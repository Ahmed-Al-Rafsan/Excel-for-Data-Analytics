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7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A:\MS Excel- Bootcamp\Day_6\"/>
    </mc:Choice>
  </mc:AlternateContent>
  <xr:revisionPtr revIDLastSave="0" documentId="13_ncr:1_{0CFF0663-E048-4C2D-8D5F-F231AF847DBB}" xr6:coauthVersionLast="47" xr6:coauthVersionMax="47" xr10:uidLastSave="{00000000-0000-0000-0000-000000000000}"/>
  <bookViews>
    <workbookView xWindow="-110" yWindow="-110" windowWidth="19420" windowHeight="10300" firstSheet="4" activeTab="9" xr2:uid="{780820C3-22C2-4E2A-8BAD-18944003DBD0}"/>
  </bookViews>
  <sheets>
    <sheet name="retail_sales_dataset" sheetId="1" r:id="rId1"/>
    <sheet name="Day1_Analysis" sheetId="2" r:id="rId2"/>
    <sheet name="Day_2" sheetId="3" r:id="rId3"/>
    <sheet name="Day-3" sheetId="4" r:id="rId4"/>
    <sheet name="Day_4" sheetId="5" r:id="rId5"/>
    <sheet name="Day_5" sheetId="6" r:id="rId6"/>
    <sheet name="Sheet5" sheetId="11" r:id="rId7"/>
    <sheet name="Sheet6" sheetId="12" r:id="rId8"/>
    <sheet name="Day_6" sheetId="7" r:id="rId9"/>
    <sheet name="Day_6_Pivot" sheetId="8" r:id="rId10"/>
  </sheets>
  <calcPr calcId="191029"/>
  <pivotCaches>
    <pivotCache cacheId="10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8" l="1"/>
  <c r="J1006" i="7"/>
  <c r="J1005" i="7"/>
  <c r="L1004" i="7"/>
  <c r="J1004" i="7"/>
  <c r="L1003" i="7"/>
  <c r="J1003" i="7"/>
  <c r="D1003" i="7"/>
  <c r="L1002" i="7"/>
  <c r="J1002" i="7"/>
  <c r="D1002" i="7"/>
  <c r="T1001" i="7"/>
  <c r="S1001" i="7"/>
  <c r="R1001" i="7"/>
  <c r="Q1001" i="7" a="1"/>
  <c r="Q1001" i="7" s="1"/>
  <c r="P1001" i="7"/>
  <c r="N1001" i="7" a="1"/>
  <c r="N1001" i="7" s="1"/>
  <c r="O1001" i="7" s="1"/>
  <c r="M1001" i="7" a="1"/>
  <c r="M1001" i="7" s="1"/>
  <c r="L1001" i="7"/>
  <c r="K1001" i="7" a="1"/>
  <c r="K1001" i="7" s="1"/>
  <c r="F1001" i="7"/>
  <c r="T1000" i="7"/>
  <c r="S1000" i="7"/>
  <c r="R1000" i="7"/>
  <c r="Q1000" i="7" a="1"/>
  <c r="Q1000" i="7" s="1"/>
  <c r="P1000" i="7"/>
  <c r="N1000" i="7" a="1"/>
  <c r="N1000" i="7" s="1"/>
  <c r="O1000" i="7" s="1"/>
  <c r="M1000" i="7" a="1"/>
  <c r="M1000" i="7" s="1"/>
  <c r="L1000" i="7"/>
  <c r="K1000" i="7" a="1"/>
  <c r="K1000" i="7" s="1"/>
  <c r="F1000" i="7"/>
  <c r="T999" i="7"/>
  <c r="S999" i="7"/>
  <c r="R999" i="7"/>
  <c r="Q999" i="7" a="1"/>
  <c r="Q999" i="7" s="1"/>
  <c r="P999" i="7"/>
  <c r="N999" i="7" a="1"/>
  <c r="N999" i="7" s="1"/>
  <c r="O999" i="7" s="1"/>
  <c r="M999" i="7" a="1"/>
  <c r="M999" i="7" s="1"/>
  <c r="L999" i="7"/>
  <c r="K999" i="7" a="1"/>
  <c r="K999" i="7" s="1"/>
  <c r="F999" i="7"/>
  <c r="T998" i="7"/>
  <c r="S998" i="7"/>
  <c r="R998" i="7"/>
  <c r="Q998" i="7" a="1"/>
  <c r="Q998" i="7" s="1"/>
  <c r="P998" i="7"/>
  <c r="N998" i="7" a="1"/>
  <c r="N998" i="7" s="1"/>
  <c r="O998" i="7" s="1"/>
  <c r="M998" i="7" a="1"/>
  <c r="M998" i="7" s="1"/>
  <c r="L998" i="7"/>
  <c r="K998" i="7" a="1"/>
  <c r="K998" i="7" s="1"/>
  <c r="F998" i="7"/>
  <c r="T997" i="7"/>
  <c r="S997" i="7"/>
  <c r="R997" i="7"/>
  <c r="Q997" i="7" a="1"/>
  <c r="Q997" i="7" s="1"/>
  <c r="P997" i="7"/>
  <c r="N997" i="7" a="1"/>
  <c r="N997" i="7" s="1"/>
  <c r="O997" i="7" s="1"/>
  <c r="M997" i="7" a="1"/>
  <c r="M997" i="7" s="1"/>
  <c r="L997" i="7"/>
  <c r="K997" i="7" a="1"/>
  <c r="K997" i="7" s="1"/>
  <c r="F997" i="7"/>
  <c r="T996" i="7"/>
  <c r="S996" i="7"/>
  <c r="R996" i="7"/>
  <c r="Q996" i="7" a="1"/>
  <c r="Q996" i="7" s="1"/>
  <c r="P996" i="7"/>
  <c r="N996" i="7" a="1"/>
  <c r="N996" i="7" s="1"/>
  <c r="O996" i="7" s="1"/>
  <c r="M996" i="7" a="1"/>
  <c r="M996" i="7" s="1"/>
  <c r="L996" i="7"/>
  <c r="K996" i="7" a="1"/>
  <c r="K996" i="7" s="1"/>
  <c r="F996" i="7"/>
  <c r="T995" i="7"/>
  <c r="S995" i="7"/>
  <c r="R995" i="7"/>
  <c r="Q995" i="7" a="1"/>
  <c r="Q995" i="7" s="1"/>
  <c r="P995" i="7"/>
  <c r="N995" i="7" a="1"/>
  <c r="N995" i="7" s="1"/>
  <c r="O995" i="7" s="1"/>
  <c r="M995" i="7" a="1"/>
  <c r="M995" i="7" s="1"/>
  <c r="L995" i="7"/>
  <c r="K995" i="7" a="1"/>
  <c r="K995" i="7" s="1"/>
  <c r="F995" i="7"/>
  <c r="T994" i="7"/>
  <c r="S994" i="7"/>
  <c r="R994" i="7"/>
  <c r="Q994" i="7" a="1"/>
  <c r="Q994" i="7" s="1"/>
  <c r="P994" i="7"/>
  <c r="N994" i="7" a="1"/>
  <c r="N994" i="7" s="1"/>
  <c r="O994" i="7" s="1"/>
  <c r="M994" i="7" a="1"/>
  <c r="M994" i="7" s="1"/>
  <c r="L994" i="7"/>
  <c r="K994" i="7" a="1"/>
  <c r="K994" i="7" s="1"/>
  <c r="F994" i="7"/>
  <c r="T993" i="7"/>
  <c r="S993" i="7"/>
  <c r="R993" i="7"/>
  <c r="Q993" i="7" a="1"/>
  <c r="Q993" i="7" s="1"/>
  <c r="P993" i="7"/>
  <c r="N993" i="7" a="1"/>
  <c r="N993" i="7" s="1"/>
  <c r="O993" i="7" s="1"/>
  <c r="M993" i="7" a="1"/>
  <c r="M993" i="7" s="1"/>
  <c r="L993" i="7"/>
  <c r="K993" i="7" a="1"/>
  <c r="K993" i="7" s="1"/>
  <c r="F993" i="7"/>
  <c r="T992" i="7"/>
  <c r="S992" i="7"/>
  <c r="R992" i="7"/>
  <c r="Q992" i="7" a="1"/>
  <c r="Q992" i="7" s="1"/>
  <c r="P992" i="7"/>
  <c r="N992" i="7" a="1"/>
  <c r="N992" i="7" s="1"/>
  <c r="O992" i="7" s="1"/>
  <c r="M992" i="7" a="1"/>
  <c r="M992" i="7" s="1"/>
  <c r="L992" i="7"/>
  <c r="K992" i="7" a="1"/>
  <c r="K992" i="7" s="1"/>
  <c r="F992" i="7"/>
  <c r="T991" i="7"/>
  <c r="S991" i="7"/>
  <c r="R991" i="7"/>
  <c r="Q991" i="7" a="1"/>
  <c r="Q991" i="7" s="1"/>
  <c r="P991" i="7"/>
  <c r="N991" i="7" a="1"/>
  <c r="N991" i="7" s="1"/>
  <c r="O991" i="7" s="1"/>
  <c r="M991" i="7" a="1"/>
  <c r="M991" i="7" s="1"/>
  <c r="L991" i="7"/>
  <c r="K991" i="7" a="1"/>
  <c r="K991" i="7" s="1"/>
  <c r="F991" i="7"/>
  <c r="T990" i="7"/>
  <c r="S990" i="7"/>
  <c r="R990" i="7"/>
  <c r="Q990" i="7" a="1"/>
  <c r="Q990" i="7" s="1"/>
  <c r="P990" i="7"/>
  <c r="N990" i="7" a="1"/>
  <c r="N990" i="7" s="1"/>
  <c r="O990" i="7" s="1"/>
  <c r="M990" i="7" a="1"/>
  <c r="M990" i="7" s="1"/>
  <c r="L990" i="7"/>
  <c r="K990" i="7" a="1"/>
  <c r="K990" i="7" s="1"/>
  <c r="F990" i="7"/>
  <c r="T989" i="7"/>
  <c r="S989" i="7"/>
  <c r="R989" i="7"/>
  <c r="Q989" i="7" a="1"/>
  <c r="Q989" i="7" s="1"/>
  <c r="P989" i="7"/>
  <c r="N989" i="7" a="1"/>
  <c r="N989" i="7" s="1"/>
  <c r="O989" i="7" s="1"/>
  <c r="M989" i="7" a="1"/>
  <c r="M989" i="7" s="1"/>
  <c r="L989" i="7"/>
  <c r="K989" i="7" a="1"/>
  <c r="K989" i="7" s="1"/>
  <c r="F989" i="7"/>
  <c r="T988" i="7"/>
  <c r="S988" i="7"/>
  <c r="R988" i="7"/>
  <c r="Q988" i="7" a="1"/>
  <c r="Q988" i="7" s="1"/>
  <c r="P988" i="7"/>
  <c r="N988" i="7" a="1"/>
  <c r="N988" i="7" s="1"/>
  <c r="O988" i="7" s="1"/>
  <c r="M988" i="7" a="1"/>
  <c r="M988" i="7" s="1"/>
  <c r="L988" i="7"/>
  <c r="K988" i="7" a="1"/>
  <c r="K988" i="7" s="1"/>
  <c r="F988" i="7"/>
  <c r="T987" i="7"/>
  <c r="S987" i="7"/>
  <c r="R987" i="7"/>
  <c r="Q987" i="7" a="1"/>
  <c r="Q987" i="7" s="1"/>
  <c r="P987" i="7"/>
  <c r="N987" i="7" a="1"/>
  <c r="N987" i="7" s="1"/>
  <c r="O987" i="7" s="1"/>
  <c r="M987" i="7" a="1"/>
  <c r="M987" i="7" s="1"/>
  <c r="L987" i="7"/>
  <c r="K987" i="7" a="1"/>
  <c r="K987" i="7" s="1"/>
  <c r="F987" i="7"/>
  <c r="T986" i="7"/>
  <c r="S986" i="7"/>
  <c r="R986" i="7"/>
  <c r="Q986" i="7" a="1"/>
  <c r="Q986" i="7" s="1"/>
  <c r="P986" i="7"/>
  <c r="N986" i="7" a="1"/>
  <c r="N986" i="7" s="1"/>
  <c r="O986" i="7" s="1"/>
  <c r="M986" i="7" a="1"/>
  <c r="M986" i="7" s="1"/>
  <c r="L986" i="7"/>
  <c r="K986" i="7" a="1"/>
  <c r="K986" i="7" s="1"/>
  <c r="F986" i="7"/>
  <c r="T985" i="7"/>
  <c r="S985" i="7"/>
  <c r="R985" i="7"/>
  <c r="Q985" i="7" a="1"/>
  <c r="Q985" i="7" s="1"/>
  <c r="P985" i="7"/>
  <c r="N985" i="7" a="1"/>
  <c r="N985" i="7" s="1"/>
  <c r="O985" i="7" s="1"/>
  <c r="M985" i="7" a="1"/>
  <c r="M985" i="7" s="1"/>
  <c r="L985" i="7"/>
  <c r="K985" i="7" a="1"/>
  <c r="K985" i="7" s="1"/>
  <c r="F985" i="7"/>
  <c r="T984" i="7"/>
  <c r="S984" i="7"/>
  <c r="R984" i="7"/>
  <c r="Q984" i="7" a="1"/>
  <c r="Q984" i="7" s="1"/>
  <c r="P984" i="7"/>
  <c r="N984" i="7" a="1"/>
  <c r="N984" i="7" s="1"/>
  <c r="O984" i="7" s="1"/>
  <c r="M984" i="7" a="1"/>
  <c r="M984" i="7" s="1"/>
  <c r="L984" i="7"/>
  <c r="K984" i="7" a="1"/>
  <c r="K984" i="7" s="1"/>
  <c r="F984" i="7"/>
  <c r="T983" i="7"/>
  <c r="S983" i="7"/>
  <c r="R983" i="7"/>
  <c r="Q983" i="7" a="1"/>
  <c r="Q983" i="7" s="1"/>
  <c r="P983" i="7"/>
  <c r="N983" i="7" a="1"/>
  <c r="N983" i="7" s="1"/>
  <c r="O983" i="7" s="1"/>
  <c r="M983" i="7" a="1"/>
  <c r="M983" i="7" s="1"/>
  <c r="L983" i="7"/>
  <c r="K983" i="7" a="1"/>
  <c r="K983" i="7" s="1"/>
  <c r="F983" i="7"/>
  <c r="T982" i="7"/>
  <c r="S982" i="7"/>
  <c r="R982" i="7"/>
  <c r="Q982" i="7" a="1"/>
  <c r="Q982" i="7" s="1"/>
  <c r="P982" i="7"/>
  <c r="N982" i="7" a="1"/>
  <c r="N982" i="7" s="1"/>
  <c r="O982" i="7" s="1"/>
  <c r="M982" i="7" a="1"/>
  <c r="M982" i="7" s="1"/>
  <c r="L982" i="7"/>
  <c r="K982" i="7" a="1"/>
  <c r="K982" i="7" s="1"/>
  <c r="F982" i="7"/>
  <c r="T981" i="7"/>
  <c r="S981" i="7"/>
  <c r="R981" i="7"/>
  <c r="Q981" i="7" a="1"/>
  <c r="Q981" i="7" s="1"/>
  <c r="P981" i="7"/>
  <c r="N981" i="7" a="1"/>
  <c r="N981" i="7" s="1"/>
  <c r="O981" i="7" s="1"/>
  <c r="M981" i="7" a="1"/>
  <c r="M981" i="7" s="1"/>
  <c r="L981" i="7"/>
  <c r="K981" i="7" a="1"/>
  <c r="K981" i="7" s="1"/>
  <c r="F981" i="7"/>
  <c r="T980" i="7"/>
  <c r="S980" i="7"/>
  <c r="R980" i="7"/>
  <c r="Q980" i="7" a="1"/>
  <c r="Q980" i="7" s="1"/>
  <c r="P980" i="7"/>
  <c r="N980" i="7" a="1"/>
  <c r="N980" i="7" s="1"/>
  <c r="O980" i="7" s="1"/>
  <c r="M980" i="7" a="1"/>
  <c r="M980" i="7" s="1"/>
  <c r="L980" i="7"/>
  <c r="K980" i="7" a="1"/>
  <c r="K980" i="7" s="1"/>
  <c r="F980" i="7"/>
  <c r="T979" i="7"/>
  <c r="S979" i="7"/>
  <c r="R979" i="7"/>
  <c r="Q979" i="7" a="1"/>
  <c r="Q979" i="7" s="1"/>
  <c r="P979" i="7"/>
  <c r="N979" i="7" a="1"/>
  <c r="N979" i="7" s="1"/>
  <c r="O979" i="7" s="1"/>
  <c r="M979" i="7" a="1"/>
  <c r="M979" i="7" s="1"/>
  <c r="L979" i="7"/>
  <c r="K979" i="7" a="1"/>
  <c r="K979" i="7" s="1"/>
  <c r="F979" i="7"/>
  <c r="T978" i="7"/>
  <c r="S978" i="7"/>
  <c r="R978" i="7"/>
  <c r="Q978" i="7" a="1"/>
  <c r="Q978" i="7" s="1"/>
  <c r="P978" i="7"/>
  <c r="N978" i="7" a="1"/>
  <c r="N978" i="7" s="1"/>
  <c r="O978" i="7" s="1"/>
  <c r="M978" i="7" a="1"/>
  <c r="M978" i="7" s="1"/>
  <c r="L978" i="7"/>
  <c r="K978" i="7" a="1"/>
  <c r="K978" i="7" s="1"/>
  <c r="F978" i="7"/>
  <c r="T977" i="7"/>
  <c r="S977" i="7"/>
  <c r="R977" i="7"/>
  <c r="Q977" i="7" a="1"/>
  <c r="Q977" i="7" s="1"/>
  <c r="P977" i="7"/>
  <c r="N977" i="7" a="1"/>
  <c r="N977" i="7" s="1"/>
  <c r="O977" i="7" s="1"/>
  <c r="M977" i="7" a="1"/>
  <c r="M977" i="7" s="1"/>
  <c r="L977" i="7"/>
  <c r="K977" i="7" a="1"/>
  <c r="K977" i="7" s="1"/>
  <c r="F977" i="7"/>
  <c r="T976" i="7"/>
  <c r="S976" i="7"/>
  <c r="R976" i="7"/>
  <c r="Q976" i="7" a="1"/>
  <c r="Q976" i="7" s="1"/>
  <c r="P976" i="7"/>
  <c r="N976" i="7" a="1"/>
  <c r="N976" i="7" s="1"/>
  <c r="O976" i="7" s="1"/>
  <c r="M976" i="7" a="1"/>
  <c r="M976" i="7" s="1"/>
  <c r="L976" i="7"/>
  <c r="K976" i="7" a="1"/>
  <c r="K976" i="7" s="1"/>
  <c r="F976" i="7"/>
  <c r="T975" i="7"/>
  <c r="S975" i="7"/>
  <c r="R975" i="7"/>
  <c r="Q975" i="7" a="1"/>
  <c r="Q975" i="7" s="1"/>
  <c r="P975" i="7"/>
  <c r="N975" i="7" a="1"/>
  <c r="N975" i="7" s="1"/>
  <c r="O975" i="7" s="1"/>
  <c r="M975" i="7" a="1"/>
  <c r="M975" i="7" s="1"/>
  <c r="L975" i="7"/>
  <c r="K975" i="7" a="1"/>
  <c r="K975" i="7" s="1"/>
  <c r="F975" i="7"/>
  <c r="T974" i="7"/>
  <c r="S974" i="7"/>
  <c r="R974" i="7"/>
  <c r="Q974" i="7" a="1"/>
  <c r="Q974" i="7" s="1"/>
  <c r="P974" i="7"/>
  <c r="N974" i="7" a="1"/>
  <c r="N974" i="7" s="1"/>
  <c r="O974" i="7" s="1"/>
  <c r="M974" i="7" a="1"/>
  <c r="M974" i="7" s="1"/>
  <c r="L974" i="7"/>
  <c r="K974" i="7" a="1"/>
  <c r="K974" i="7" s="1"/>
  <c r="F974" i="7"/>
  <c r="T973" i="7"/>
  <c r="S973" i="7"/>
  <c r="R973" i="7"/>
  <c r="Q973" i="7" a="1"/>
  <c r="Q973" i="7" s="1"/>
  <c r="P973" i="7"/>
  <c r="N973" i="7" a="1"/>
  <c r="N973" i="7" s="1"/>
  <c r="O973" i="7" s="1"/>
  <c r="M973" i="7" a="1"/>
  <c r="M973" i="7" s="1"/>
  <c r="L973" i="7"/>
  <c r="K973" i="7" a="1"/>
  <c r="K973" i="7" s="1"/>
  <c r="F973" i="7"/>
  <c r="T972" i="7"/>
  <c r="S972" i="7"/>
  <c r="R972" i="7"/>
  <c r="Q972" i="7" a="1"/>
  <c r="Q972" i="7" s="1"/>
  <c r="P972" i="7"/>
  <c r="N972" i="7" a="1"/>
  <c r="N972" i="7" s="1"/>
  <c r="O972" i="7" s="1"/>
  <c r="M972" i="7" a="1"/>
  <c r="M972" i="7" s="1"/>
  <c r="L972" i="7"/>
  <c r="K972" i="7" a="1"/>
  <c r="K972" i="7" s="1"/>
  <c r="F972" i="7"/>
  <c r="T971" i="7"/>
  <c r="S971" i="7"/>
  <c r="R971" i="7"/>
  <c r="Q971" i="7" a="1"/>
  <c r="Q971" i="7" s="1"/>
  <c r="P971" i="7"/>
  <c r="N971" i="7" a="1"/>
  <c r="N971" i="7" s="1"/>
  <c r="O971" i="7" s="1"/>
  <c r="M971" i="7" a="1"/>
  <c r="M971" i="7" s="1"/>
  <c r="L971" i="7"/>
  <c r="K971" i="7" a="1"/>
  <c r="K971" i="7" s="1"/>
  <c r="F971" i="7"/>
  <c r="T970" i="7"/>
  <c r="S970" i="7"/>
  <c r="R970" i="7"/>
  <c r="Q970" i="7" a="1"/>
  <c r="Q970" i="7" s="1"/>
  <c r="P970" i="7"/>
  <c r="N970" i="7" a="1"/>
  <c r="N970" i="7" s="1"/>
  <c r="O970" i="7" s="1"/>
  <c r="M970" i="7" a="1"/>
  <c r="M970" i="7" s="1"/>
  <c r="L970" i="7"/>
  <c r="K970" i="7" a="1"/>
  <c r="K970" i="7" s="1"/>
  <c r="F970" i="7"/>
  <c r="T969" i="7"/>
  <c r="S969" i="7"/>
  <c r="R969" i="7"/>
  <c r="Q969" i="7" a="1"/>
  <c r="Q969" i="7" s="1"/>
  <c r="P969" i="7"/>
  <c r="N969" i="7" a="1"/>
  <c r="N969" i="7" s="1"/>
  <c r="O969" i="7" s="1"/>
  <c r="M969" i="7" a="1"/>
  <c r="M969" i="7" s="1"/>
  <c r="L969" i="7"/>
  <c r="K969" i="7" a="1"/>
  <c r="K969" i="7" s="1"/>
  <c r="F969" i="7"/>
  <c r="T968" i="7"/>
  <c r="S968" i="7"/>
  <c r="R968" i="7"/>
  <c r="Q968" i="7" a="1"/>
  <c r="Q968" i="7" s="1"/>
  <c r="P968" i="7"/>
  <c r="N968" i="7" a="1"/>
  <c r="N968" i="7" s="1"/>
  <c r="O968" i="7" s="1"/>
  <c r="M968" i="7" a="1"/>
  <c r="M968" i="7" s="1"/>
  <c r="L968" i="7"/>
  <c r="K968" i="7" a="1"/>
  <c r="K968" i="7" s="1"/>
  <c r="F968" i="7"/>
  <c r="T967" i="7"/>
  <c r="S967" i="7"/>
  <c r="R967" i="7"/>
  <c r="Q967" i="7" a="1"/>
  <c r="Q967" i="7" s="1"/>
  <c r="P967" i="7"/>
  <c r="N967" i="7" a="1"/>
  <c r="N967" i="7" s="1"/>
  <c r="O967" i="7" s="1"/>
  <c r="M967" i="7" a="1"/>
  <c r="M967" i="7" s="1"/>
  <c r="L967" i="7"/>
  <c r="K967" i="7" a="1"/>
  <c r="K967" i="7" s="1"/>
  <c r="F967" i="7"/>
  <c r="T966" i="7"/>
  <c r="S966" i="7"/>
  <c r="R966" i="7"/>
  <c r="Q966" i="7" a="1"/>
  <c r="Q966" i="7" s="1"/>
  <c r="P966" i="7"/>
  <c r="N966" i="7" a="1"/>
  <c r="N966" i="7" s="1"/>
  <c r="O966" i="7" s="1"/>
  <c r="M966" i="7" a="1"/>
  <c r="M966" i="7" s="1"/>
  <c r="L966" i="7"/>
  <c r="K966" i="7" a="1"/>
  <c r="K966" i="7" s="1"/>
  <c r="F966" i="7"/>
  <c r="T965" i="7"/>
  <c r="S965" i="7"/>
  <c r="R965" i="7"/>
  <c r="Q965" i="7" a="1"/>
  <c r="Q965" i="7" s="1"/>
  <c r="P965" i="7"/>
  <c r="N965" i="7" a="1"/>
  <c r="N965" i="7" s="1"/>
  <c r="O965" i="7" s="1"/>
  <c r="M965" i="7" a="1"/>
  <c r="M965" i="7" s="1"/>
  <c r="L965" i="7"/>
  <c r="K965" i="7" a="1"/>
  <c r="K965" i="7" s="1"/>
  <c r="F965" i="7"/>
  <c r="T964" i="7"/>
  <c r="S964" i="7"/>
  <c r="R964" i="7"/>
  <c r="Q964" i="7" a="1"/>
  <c r="Q964" i="7" s="1"/>
  <c r="P964" i="7"/>
  <c r="N964" i="7" a="1"/>
  <c r="N964" i="7" s="1"/>
  <c r="O964" i="7" s="1"/>
  <c r="M964" i="7" a="1"/>
  <c r="M964" i="7" s="1"/>
  <c r="L964" i="7"/>
  <c r="K964" i="7" a="1"/>
  <c r="K964" i="7" s="1"/>
  <c r="F964" i="7"/>
  <c r="T963" i="7"/>
  <c r="S963" i="7"/>
  <c r="R963" i="7"/>
  <c r="Q963" i="7" a="1"/>
  <c r="Q963" i="7" s="1"/>
  <c r="P963" i="7"/>
  <c r="N963" i="7" a="1"/>
  <c r="N963" i="7" s="1"/>
  <c r="O963" i="7" s="1"/>
  <c r="M963" i="7" a="1"/>
  <c r="M963" i="7" s="1"/>
  <c r="L963" i="7"/>
  <c r="K963" i="7" a="1"/>
  <c r="K963" i="7" s="1"/>
  <c r="F963" i="7"/>
  <c r="T962" i="7"/>
  <c r="S962" i="7"/>
  <c r="R962" i="7"/>
  <c r="Q962" i="7" a="1"/>
  <c r="Q962" i="7" s="1"/>
  <c r="P962" i="7"/>
  <c r="N962" i="7" a="1"/>
  <c r="N962" i="7" s="1"/>
  <c r="O962" i="7" s="1"/>
  <c r="M962" i="7" a="1"/>
  <c r="M962" i="7" s="1"/>
  <c r="L962" i="7"/>
  <c r="K962" i="7" a="1"/>
  <c r="K962" i="7" s="1"/>
  <c r="F962" i="7"/>
  <c r="T961" i="7"/>
  <c r="S961" i="7"/>
  <c r="R961" i="7"/>
  <c r="Q961" i="7" a="1"/>
  <c r="Q961" i="7" s="1"/>
  <c r="P961" i="7"/>
  <c r="N961" i="7" a="1"/>
  <c r="N961" i="7" s="1"/>
  <c r="O961" i="7" s="1"/>
  <c r="M961" i="7" a="1"/>
  <c r="M961" i="7" s="1"/>
  <c r="L961" i="7"/>
  <c r="K961" i="7" a="1"/>
  <c r="K961" i="7" s="1"/>
  <c r="F961" i="7"/>
  <c r="T960" i="7"/>
  <c r="S960" i="7"/>
  <c r="R960" i="7"/>
  <c r="Q960" i="7" a="1"/>
  <c r="Q960" i="7" s="1"/>
  <c r="P960" i="7"/>
  <c r="N960" i="7" a="1"/>
  <c r="N960" i="7" s="1"/>
  <c r="O960" i="7" s="1"/>
  <c r="M960" i="7" a="1"/>
  <c r="M960" i="7" s="1"/>
  <c r="L960" i="7"/>
  <c r="K960" i="7" a="1"/>
  <c r="K960" i="7" s="1"/>
  <c r="F960" i="7"/>
  <c r="T959" i="7"/>
  <c r="S959" i="7"/>
  <c r="R959" i="7"/>
  <c r="Q959" i="7" a="1"/>
  <c r="Q959" i="7" s="1"/>
  <c r="P959" i="7"/>
  <c r="N959" i="7" a="1"/>
  <c r="N959" i="7" s="1"/>
  <c r="O959" i="7" s="1"/>
  <c r="M959" i="7" a="1"/>
  <c r="M959" i="7" s="1"/>
  <c r="L959" i="7"/>
  <c r="K959" i="7" a="1"/>
  <c r="K959" i="7" s="1"/>
  <c r="F959" i="7"/>
  <c r="T958" i="7"/>
  <c r="S958" i="7"/>
  <c r="R958" i="7"/>
  <c r="Q958" i="7" a="1"/>
  <c r="Q958" i="7" s="1"/>
  <c r="P958" i="7"/>
  <c r="N958" i="7" a="1"/>
  <c r="N958" i="7" s="1"/>
  <c r="O958" i="7" s="1"/>
  <c r="M958" i="7" a="1"/>
  <c r="M958" i="7" s="1"/>
  <c r="L958" i="7"/>
  <c r="K958" i="7" a="1"/>
  <c r="K958" i="7" s="1"/>
  <c r="F958" i="7"/>
  <c r="T957" i="7"/>
  <c r="S957" i="7"/>
  <c r="R957" i="7"/>
  <c r="Q957" i="7" a="1"/>
  <c r="Q957" i="7" s="1"/>
  <c r="P957" i="7"/>
  <c r="N957" i="7" a="1"/>
  <c r="N957" i="7" s="1"/>
  <c r="O957" i="7" s="1"/>
  <c r="M957" i="7" a="1"/>
  <c r="M957" i="7" s="1"/>
  <c r="L957" i="7"/>
  <c r="K957" i="7" a="1"/>
  <c r="K957" i="7" s="1"/>
  <c r="F957" i="7"/>
  <c r="T956" i="7"/>
  <c r="S956" i="7"/>
  <c r="R956" i="7"/>
  <c r="Q956" i="7" a="1"/>
  <c r="Q956" i="7" s="1"/>
  <c r="P956" i="7"/>
  <c r="N956" i="7" a="1"/>
  <c r="N956" i="7" s="1"/>
  <c r="O956" i="7" s="1"/>
  <c r="M956" i="7" a="1"/>
  <c r="M956" i="7" s="1"/>
  <c r="L956" i="7"/>
  <c r="K956" i="7" a="1"/>
  <c r="K956" i="7" s="1"/>
  <c r="F956" i="7"/>
  <c r="T955" i="7"/>
  <c r="S955" i="7"/>
  <c r="R955" i="7"/>
  <c r="Q955" i="7" a="1"/>
  <c r="Q955" i="7" s="1"/>
  <c r="P955" i="7"/>
  <c r="N955" i="7" a="1"/>
  <c r="N955" i="7" s="1"/>
  <c r="O955" i="7" s="1"/>
  <c r="M955" i="7" a="1"/>
  <c r="M955" i="7" s="1"/>
  <c r="L955" i="7"/>
  <c r="K955" i="7" a="1"/>
  <c r="K955" i="7" s="1"/>
  <c r="F955" i="7"/>
  <c r="T954" i="7"/>
  <c r="S954" i="7"/>
  <c r="R954" i="7"/>
  <c r="Q954" i="7" a="1"/>
  <c r="Q954" i="7" s="1"/>
  <c r="P954" i="7"/>
  <c r="N954" i="7" a="1"/>
  <c r="N954" i="7" s="1"/>
  <c r="O954" i="7" s="1"/>
  <c r="M954" i="7" a="1"/>
  <c r="M954" i="7" s="1"/>
  <c r="L954" i="7"/>
  <c r="K954" i="7" a="1"/>
  <c r="K954" i="7" s="1"/>
  <c r="F954" i="7"/>
  <c r="T953" i="7"/>
  <c r="S953" i="7"/>
  <c r="R953" i="7"/>
  <c r="Q953" i="7" a="1"/>
  <c r="Q953" i="7" s="1"/>
  <c r="P953" i="7"/>
  <c r="N953" i="7" a="1"/>
  <c r="N953" i="7" s="1"/>
  <c r="O953" i="7" s="1"/>
  <c r="M953" i="7" a="1"/>
  <c r="M953" i="7" s="1"/>
  <c r="L953" i="7"/>
  <c r="K953" i="7" a="1"/>
  <c r="K953" i="7" s="1"/>
  <c r="F953" i="7"/>
  <c r="T952" i="7"/>
  <c r="S952" i="7"/>
  <c r="R952" i="7"/>
  <c r="Q952" i="7" a="1"/>
  <c r="Q952" i="7" s="1"/>
  <c r="P952" i="7"/>
  <c r="N952" i="7" a="1"/>
  <c r="N952" i="7" s="1"/>
  <c r="O952" i="7" s="1"/>
  <c r="M952" i="7" a="1"/>
  <c r="M952" i="7" s="1"/>
  <c r="L952" i="7"/>
  <c r="K952" i="7" a="1"/>
  <c r="K952" i="7" s="1"/>
  <c r="F952" i="7"/>
  <c r="T951" i="7"/>
  <c r="S951" i="7"/>
  <c r="R951" i="7"/>
  <c r="Q951" i="7" a="1"/>
  <c r="Q951" i="7" s="1"/>
  <c r="P951" i="7"/>
  <c r="N951" i="7" a="1"/>
  <c r="N951" i="7" s="1"/>
  <c r="O951" i="7" s="1"/>
  <c r="M951" i="7" a="1"/>
  <c r="M951" i="7" s="1"/>
  <c r="L951" i="7"/>
  <c r="K951" i="7" a="1"/>
  <c r="K951" i="7" s="1"/>
  <c r="F951" i="7"/>
  <c r="T950" i="7"/>
  <c r="S950" i="7"/>
  <c r="R950" i="7"/>
  <c r="Q950" i="7" a="1"/>
  <c r="Q950" i="7" s="1"/>
  <c r="P950" i="7"/>
  <c r="N950" i="7" a="1"/>
  <c r="N950" i="7" s="1"/>
  <c r="O950" i="7" s="1"/>
  <c r="M950" i="7" a="1"/>
  <c r="M950" i="7" s="1"/>
  <c r="L950" i="7"/>
  <c r="K950" i="7" a="1"/>
  <c r="K950" i="7" s="1"/>
  <c r="F950" i="7"/>
  <c r="T949" i="7"/>
  <c r="S949" i="7"/>
  <c r="R949" i="7"/>
  <c r="Q949" i="7" a="1"/>
  <c r="Q949" i="7" s="1"/>
  <c r="P949" i="7"/>
  <c r="N949" i="7" a="1"/>
  <c r="N949" i="7" s="1"/>
  <c r="O949" i="7" s="1"/>
  <c r="M949" i="7" a="1"/>
  <c r="M949" i="7" s="1"/>
  <c r="L949" i="7"/>
  <c r="K949" i="7" a="1"/>
  <c r="K949" i="7" s="1"/>
  <c r="F949" i="7"/>
  <c r="T948" i="7"/>
  <c r="S948" i="7"/>
  <c r="R948" i="7"/>
  <c r="Q948" i="7" a="1"/>
  <c r="Q948" i="7" s="1"/>
  <c r="P948" i="7"/>
  <c r="N948" i="7" a="1"/>
  <c r="N948" i="7" s="1"/>
  <c r="O948" i="7" s="1"/>
  <c r="M948" i="7" a="1"/>
  <c r="M948" i="7" s="1"/>
  <c r="L948" i="7"/>
  <c r="K948" i="7" a="1"/>
  <c r="K948" i="7" s="1"/>
  <c r="F948" i="7"/>
  <c r="T947" i="7"/>
  <c r="S947" i="7"/>
  <c r="R947" i="7"/>
  <c r="Q947" i="7" a="1"/>
  <c r="Q947" i="7" s="1"/>
  <c r="P947" i="7"/>
  <c r="N947" i="7" a="1"/>
  <c r="N947" i="7" s="1"/>
  <c r="O947" i="7" s="1"/>
  <c r="M947" i="7" a="1"/>
  <c r="M947" i="7" s="1"/>
  <c r="L947" i="7"/>
  <c r="K947" i="7" a="1"/>
  <c r="K947" i="7" s="1"/>
  <c r="F947" i="7"/>
  <c r="T946" i="7"/>
  <c r="S946" i="7"/>
  <c r="R946" i="7"/>
  <c r="Q946" i="7" a="1"/>
  <c r="Q946" i="7" s="1"/>
  <c r="P946" i="7"/>
  <c r="N946" i="7" a="1"/>
  <c r="N946" i="7" s="1"/>
  <c r="O946" i="7" s="1"/>
  <c r="M946" i="7" a="1"/>
  <c r="M946" i="7" s="1"/>
  <c r="L946" i="7"/>
  <c r="K946" i="7" a="1"/>
  <c r="K946" i="7" s="1"/>
  <c r="F946" i="7"/>
  <c r="T945" i="7"/>
  <c r="S945" i="7"/>
  <c r="R945" i="7"/>
  <c r="Q945" i="7" a="1"/>
  <c r="Q945" i="7" s="1"/>
  <c r="P945" i="7"/>
  <c r="N945" i="7" a="1"/>
  <c r="N945" i="7" s="1"/>
  <c r="O945" i="7" s="1"/>
  <c r="M945" i="7" a="1"/>
  <c r="M945" i="7" s="1"/>
  <c r="L945" i="7"/>
  <c r="K945" i="7" a="1"/>
  <c r="K945" i="7" s="1"/>
  <c r="F945" i="7"/>
  <c r="T944" i="7"/>
  <c r="S944" i="7"/>
  <c r="R944" i="7"/>
  <c r="Q944" i="7" a="1"/>
  <c r="Q944" i="7" s="1"/>
  <c r="P944" i="7"/>
  <c r="N944" i="7" a="1"/>
  <c r="N944" i="7" s="1"/>
  <c r="O944" i="7" s="1"/>
  <c r="M944" i="7" a="1"/>
  <c r="M944" i="7" s="1"/>
  <c r="L944" i="7"/>
  <c r="K944" i="7" a="1"/>
  <c r="K944" i="7" s="1"/>
  <c r="F944" i="7"/>
  <c r="T943" i="7"/>
  <c r="S943" i="7"/>
  <c r="R943" i="7"/>
  <c r="Q943" i="7" a="1"/>
  <c r="Q943" i="7" s="1"/>
  <c r="P943" i="7"/>
  <c r="N943" i="7" a="1"/>
  <c r="N943" i="7" s="1"/>
  <c r="O943" i="7" s="1"/>
  <c r="M943" i="7" a="1"/>
  <c r="M943" i="7" s="1"/>
  <c r="L943" i="7"/>
  <c r="K943" i="7" a="1"/>
  <c r="K943" i="7" s="1"/>
  <c r="F943" i="7"/>
  <c r="T942" i="7"/>
  <c r="S942" i="7"/>
  <c r="R942" i="7"/>
  <c r="Q942" i="7" a="1"/>
  <c r="Q942" i="7" s="1"/>
  <c r="P942" i="7"/>
  <c r="N942" i="7" a="1"/>
  <c r="N942" i="7" s="1"/>
  <c r="O942" i="7" s="1"/>
  <c r="M942" i="7" a="1"/>
  <c r="M942" i="7" s="1"/>
  <c r="L942" i="7"/>
  <c r="K942" i="7" a="1"/>
  <c r="K942" i="7" s="1"/>
  <c r="F942" i="7"/>
  <c r="T941" i="7"/>
  <c r="S941" i="7"/>
  <c r="R941" i="7"/>
  <c r="Q941" i="7" a="1"/>
  <c r="Q941" i="7" s="1"/>
  <c r="P941" i="7"/>
  <c r="N941" i="7" a="1"/>
  <c r="N941" i="7" s="1"/>
  <c r="O941" i="7" s="1"/>
  <c r="M941" i="7" a="1"/>
  <c r="M941" i="7" s="1"/>
  <c r="L941" i="7"/>
  <c r="K941" i="7" a="1"/>
  <c r="K941" i="7" s="1"/>
  <c r="F941" i="7"/>
  <c r="T940" i="7"/>
  <c r="S940" i="7"/>
  <c r="R940" i="7"/>
  <c r="Q940" i="7" a="1"/>
  <c r="Q940" i="7" s="1"/>
  <c r="P940" i="7"/>
  <c r="N940" i="7" a="1"/>
  <c r="N940" i="7" s="1"/>
  <c r="O940" i="7" s="1"/>
  <c r="M940" i="7" a="1"/>
  <c r="M940" i="7" s="1"/>
  <c r="L940" i="7"/>
  <c r="K940" i="7" a="1"/>
  <c r="K940" i="7" s="1"/>
  <c r="F940" i="7"/>
  <c r="T939" i="7"/>
  <c r="S939" i="7"/>
  <c r="R939" i="7"/>
  <c r="Q939" i="7" a="1"/>
  <c r="Q939" i="7" s="1"/>
  <c r="P939" i="7"/>
  <c r="N939" i="7" a="1"/>
  <c r="N939" i="7" s="1"/>
  <c r="O939" i="7" s="1"/>
  <c r="M939" i="7" a="1"/>
  <c r="M939" i="7" s="1"/>
  <c r="L939" i="7"/>
  <c r="K939" i="7" a="1"/>
  <c r="K939" i="7" s="1"/>
  <c r="F939" i="7"/>
  <c r="T938" i="7"/>
  <c r="S938" i="7"/>
  <c r="R938" i="7"/>
  <c r="Q938" i="7" a="1"/>
  <c r="Q938" i="7" s="1"/>
  <c r="P938" i="7"/>
  <c r="N938" i="7" a="1"/>
  <c r="N938" i="7" s="1"/>
  <c r="O938" i="7" s="1"/>
  <c r="M938" i="7" a="1"/>
  <c r="M938" i="7" s="1"/>
  <c r="L938" i="7"/>
  <c r="K938" i="7" a="1"/>
  <c r="K938" i="7" s="1"/>
  <c r="F938" i="7"/>
  <c r="T937" i="7"/>
  <c r="S937" i="7"/>
  <c r="R937" i="7"/>
  <c r="Q937" i="7" a="1"/>
  <c r="Q937" i="7" s="1"/>
  <c r="P937" i="7"/>
  <c r="N937" i="7" a="1"/>
  <c r="N937" i="7" s="1"/>
  <c r="O937" i="7" s="1"/>
  <c r="M937" i="7" a="1"/>
  <c r="M937" i="7" s="1"/>
  <c r="L937" i="7"/>
  <c r="K937" i="7" a="1"/>
  <c r="K937" i="7" s="1"/>
  <c r="F937" i="7"/>
  <c r="T936" i="7"/>
  <c r="S936" i="7"/>
  <c r="R936" i="7"/>
  <c r="Q936" i="7" a="1"/>
  <c r="Q936" i="7" s="1"/>
  <c r="P936" i="7"/>
  <c r="N936" i="7" a="1"/>
  <c r="N936" i="7" s="1"/>
  <c r="O936" i="7" s="1"/>
  <c r="M936" i="7" a="1"/>
  <c r="M936" i="7" s="1"/>
  <c r="L936" i="7"/>
  <c r="K936" i="7" a="1"/>
  <c r="K936" i="7" s="1"/>
  <c r="F936" i="7"/>
  <c r="T935" i="7"/>
  <c r="S935" i="7"/>
  <c r="R935" i="7"/>
  <c r="Q935" i="7" a="1"/>
  <c r="Q935" i="7" s="1"/>
  <c r="P935" i="7"/>
  <c r="N935" i="7" a="1"/>
  <c r="N935" i="7" s="1"/>
  <c r="O935" i="7" s="1"/>
  <c r="M935" i="7" a="1"/>
  <c r="M935" i="7" s="1"/>
  <c r="L935" i="7"/>
  <c r="K935" i="7" a="1"/>
  <c r="K935" i="7" s="1"/>
  <c r="F935" i="7"/>
  <c r="T934" i="7"/>
  <c r="S934" i="7"/>
  <c r="R934" i="7"/>
  <c r="Q934" i="7" a="1"/>
  <c r="Q934" i="7" s="1"/>
  <c r="P934" i="7"/>
  <c r="N934" i="7" a="1"/>
  <c r="N934" i="7" s="1"/>
  <c r="O934" i="7" s="1"/>
  <c r="M934" i="7" a="1"/>
  <c r="M934" i="7" s="1"/>
  <c r="L934" i="7"/>
  <c r="K934" i="7" a="1"/>
  <c r="K934" i="7" s="1"/>
  <c r="F934" i="7"/>
  <c r="T933" i="7"/>
  <c r="S933" i="7"/>
  <c r="R933" i="7"/>
  <c r="Q933" i="7" a="1"/>
  <c r="Q933" i="7" s="1"/>
  <c r="P933" i="7"/>
  <c r="N933" i="7" a="1"/>
  <c r="N933" i="7" s="1"/>
  <c r="O933" i="7" s="1"/>
  <c r="M933" i="7" a="1"/>
  <c r="M933" i="7" s="1"/>
  <c r="L933" i="7"/>
  <c r="K933" i="7" a="1"/>
  <c r="K933" i="7" s="1"/>
  <c r="F933" i="7"/>
  <c r="T932" i="7"/>
  <c r="S932" i="7"/>
  <c r="R932" i="7"/>
  <c r="Q932" i="7" a="1"/>
  <c r="Q932" i="7" s="1"/>
  <c r="P932" i="7"/>
  <c r="N932" i="7" a="1"/>
  <c r="N932" i="7" s="1"/>
  <c r="O932" i="7" s="1"/>
  <c r="M932" i="7" a="1"/>
  <c r="M932" i="7" s="1"/>
  <c r="L932" i="7"/>
  <c r="K932" i="7" a="1"/>
  <c r="K932" i="7" s="1"/>
  <c r="F932" i="7"/>
  <c r="T931" i="7"/>
  <c r="S931" i="7"/>
  <c r="R931" i="7"/>
  <c r="Q931" i="7" a="1"/>
  <c r="Q931" i="7" s="1"/>
  <c r="P931" i="7"/>
  <c r="N931" i="7" a="1"/>
  <c r="N931" i="7" s="1"/>
  <c r="O931" i="7" s="1"/>
  <c r="M931" i="7" a="1"/>
  <c r="M931" i="7" s="1"/>
  <c r="L931" i="7"/>
  <c r="K931" i="7" a="1"/>
  <c r="K931" i="7" s="1"/>
  <c r="F931" i="7"/>
  <c r="T930" i="7"/>
  <c r="S930" i="7"/>
  <c r="R930" i="7"/>
  <c r="Q930" i="7" a="1"/>
  <c r="Q930" i="7" s="1"/>
  <c r="P930" i="7"/>
  <c r="N930" i="7" a="1"/>
  <c r="N930" i="7" s="1"/>
  <c r="O930" i="7" s="1"/>
  <c r="M930" i="7" a="1"/>
  <c r="M930" i="7" s="1"/>
  <c r="L930" i="7"/>
  <c r="K930" i="7" a="1"/>
  <c r="K930" i="7" s="1"/>
  <c r="F930" i="7"/>
  <c r="T929" i="7"/>
  <c r="S929" i="7"/>
  <c r="R929" i="7"/>
  <c r="Q929" i="7" a="1"/>
  <c r="Q929" i="7" s="1"/>
  <c r="P929" i="7"/>
  <c r="N929" i="7" a="1"/>
  <c r="N929" i="7" s="1"/>
  <c r="O929" i="7" s="1"/>
  <c r="M929" i="7" a="1"/>
  <c r="M929" i="7" s="1"/>
  <c r="L929" i="7"/>
  <c r="K929" i="7" a="1"/>
  <c r="K929" i="7" s="1"/>
  <c r="F929" i="7"/>
  <c r="T928" i="7"/>
  <c r="S928" i="7"/>
  <c r="R928" i="7"/>
  <c r="Q928" i="7" a="1"/>
  <c r="Q928" i="7" s="1"/>
  <c r="P928" i="7"/>
  <c r="N928" i="7" a="1"/>
  <c r="N928" i="7" s="1"/>
  <c r="O928" i="7" s="1"/>
  <c r="M928" i="7" a="1"/>
  <c r="M928" i="7" s="1"/>
  <c r="L928" i="7"/>
  <c r="K928" i="7" a="1"/>
  <c r="K928" i="7" s="1"/>
  <c r="F928" i="7"/>
  <c r="T927" i="7"/>
  <c r="S927" i="7"/>
  <c r="R927" i="7"/>
  <c r="Q927" i="7" a="1"/>
  <c r="Q927" i="7" s="1"/>
  <c r="P927" i="7"/>
  <c r="N927" i="7" a="1"/>
  <c r="N927" i="7" s="1"/>
  <c r="O927" i="7" s="1"/>
  <c r="M927" i="7" a="1"/>
  <c r="M927" i="7" s="1"/>
  <c r="L927" i="7"/>
  <c r="K927" i="7" a="1"/>
  <c r="K927" i="7" s="1"/>
  <c r="F927" i="7"/>
  <c r="T926" i="7"/>
  <c r="S926" i="7"/>
  <c r="R926" i="7"/>
  <c r="Q926" i="7" a="1"/>
  <c r="Q926" i="7" s="1"/>
  <c r="P926" i="7"/>
  <c r="N926" i="7" a="1"/>
  <c r="N926" i="7" s="1"/>
  <c r="O926" i="7" s="1"/>
  <c r="M926" i="7" a="1"/>
  <c r="M926" i="7" s="1"/>
  <c r="L926" i="7"/>
  <c r="K926" i="7" a="1"/>
  <c r="K926" i="7" s="1"/>
  <c r="F926" i="7"/>
  <c r="T925" i="7"/>
  <c r="S925" i="7"/>
  <c r="R925" i="7"/>
  <c r="Q925" i="7" a="1"/>
  <c r="Q925" i="7" s="1"/>
  <c r="P925" i="7"/>
  <c r="N925" i="7" a="1"/>
  <c r="N925" i="7" s="1"/>
  <c r="O925" i="7" s="1"/>
  <c r="M925" i="7" a="1"/>
  <c r="M925" i="7" s="1"/>
  <c r="L925" i="7"/>
  <c r="K925" i="7" a="1"/>
  <c r="K925" i="7" s="1"/>
  <c r="F925" i="7"/>
  <c r="T924" i="7"/>
  <c r="S924" i="7"/>
  <c r="R924" i="7"/>
  <c r="Q924" i="7" a="1"/>
  <c r="Q924" i="7" s="1"/>
  <c r="P924" i="7"/>
  <c r="N924" i="7" a="1"/>
  <c r="N924" i="7" s="1"/>
  <c r="O924" i="7" s="1"/>
  <c r="M924" i="7" a="1"/>
  <c r="M924" i="7" s="1"/>
  <c r="L924" i="7"/>
  <c r="K924" i="7" a="1"/>
  <c r="K924" i="7" s="1"/>
  <c r="F924" i="7"/>
  <c r="T923" i="7"/>
  <c r="S923" i="7"/>
  <c r="R923" i="7"/>
  <c r="Q923" i="7" a="1"/>
  <c r="Q923" i="7" s="1"/>
  <c r="P923" i="7"/>
  <c r="N923" i="7" a="1"/>
  <c r="N923" i="7" s="1"/>
  <c r="O923" i="7" s="1"/>
  <c r="M923" i="7" a="1"/>
  <c r="M923" i="7" s="1"/>
  <c r="L923" i="7"/>
  <c r="K923" i="7" a="1"/>
  <c r="K923" i="7" s="1"/>
  <c r="F923" i="7"/>
  <c r="T922" i="7"/>
  <c r="S922" i="7"/>
  <c r="R922" i="7"/>
  <c r="Q922" i="7" a="1"/>
  <c r="Q922" i="7" s="1"/>
  <c r="P922" i="7"/>
  <c r="N922" i="7" a="1"/>
  <c r="N922" i="7" s="1"/>
  <c r="O922" i="7" s="1"/>
  <c r="M922" i="7" a="1"/>
  <c r="M922" i="7" s="1"/>
  <c r="L922" i="7"/>
  <c r="K922" i="7" a="1"/>
  <c r="K922" i="7" s="1"/>
  <c r="F922" i="7"/>
  <c r="T921" i="7"/>
  <c r="S921" i="7"/>
  <c r="R921" i="7"/>
  <c r="Q921" i="7" a="1"/>
  <c r="Q921" i="7" s="1"/>
  <c r="P921" i="7"/>
  <c r="N921" i="7" a="1"/>
  <c r="N921" i="7" s="1"/>
  <c r="O921" i="7" s="1"/>
  <c r="M921" i="7" a="1"/>
  <c r="M921" i="7" s="1"/>
  <c r="L921" i="7"/>
  <c r="K921" i="7" a="1"/>
  <c r="K921" i="7" s="1"/>
  <c r="F921" i="7"/>
  <c r="T920" i="7"/>
  <c r="S920" i="7"/>
  <c r="R920" i="7"/>
  <c r="Q920" i="7" a="1"/>
  <c r="Q920" i="7" s="1"/>
  <c r="P920" i="7"/>
  <c r="N920" i="7" a="1"/>
  <c r="N920" i="7" s="1"/>
  <c r="O920" i="7" s="1"/>
  <c r="M920" i="7" a="1"/>
  <c r="M920" i="7" s="1"/>
  <c r="L920" i="7"/>
  <c r="K920" i="7" a="1"/>
  <c r="K920" i="7" s="1"/>
  <c r="F920" i="7"/>
  <c r="T919" i="7"/>
  <c r="S919" i="7"/>
  <c r="R919" i="7"/>
  <c r="Q919" i="7" a="1"/>
  <c r="Q919" i="7" s="1"/>
  <c r="P919" i="7"/>
  <c r="N919" i="7" a="1"/>
  <c r="N919" i="7" s="1"/>
  <c r="O919" i="7" s="1"/>
  <c r="M919" i="7" a="1"/>
  <c r="M919" i="7" s="1"/>
  <c r="L919" i="7"/>
  <c r="K919" i="7" a="1"/>
  <c r="K919" i="7" s="1"/>
  <c r="F919" i="7"/>
  <c r="T918" i="7"/>
  <c r="S918" i="7"/>
  <c r="R918" i="7"/>
  <c r="Q918" i="7" a="1"/>
  <c r="Q918" i="7" s="1"/>
  <c r="P918" i="7"/>
  <c r="N918" i="7" a="1"/>
  <c r="N918" i="7" s="1"/>
  <c r="O918" i="7" s="1"/>
  <c r="M918" i="7" a="1"/>
  <c r="M918" i="7" s="1"/>
  <c r="L918" i="7"/>
  <c r="K918" i="7" a="1"/>
  <c r="K918" i="7" s="1"/>
  <c r="F918" i="7"/>
  <c r="T917" i="7"/>
  <c r="S917" i="7"/>
  <c r="R917" i="7"/>
  <c r="Q917" i="7" a="1"/>
  <c r="Q917" i="7" s="1"/>
  <c r="P917" i="7"/>
  <c r="N917" i="7" a="1"/>
  <c r="N917" i="7" s="1"/>
  <c r="O917" i="7" s="1"/>
  <c r="M917" i="7" a="1"/>
  <c r="M917" i="7" s="1"/>
  <c r="L917" i="7"/>
  <c r="K917" i="7" a="1"/>
  <c r="K917" i="7" s="1"/>
  <c r="F917" i="7"/>
  <c r="T916" i="7"/>
  <c r="S916" i="7"/>
  <c r="R916" i="7"/>
  <c r="Q916" i="7" a="1"/>
  <c r="Q916" i="7" s="1"/>
  <c r="P916" i="7"/>
  <c r="N916" i="7" a="1"/>
  <c r="N916" i="7" s="1"/>
  <c r="O916" i="7" s="1"/>
  <c r="M916" i="7" a="1"/>
  <c r="M916" i="7" s="1"/>
  <c r="L916" i="7"/>
  <c r="K916" i="7" a="1"/>
  <c r="K916" i="7" s="1"/>
  <c r="F916" i="7"/>
  <c r="T915" i="7"/>
  <c r="S915" i="7"/>
  <c r="R915" i="7"/>
  <c r="Q915" i="7" a="1"/>
  <c r="Q915" i="7" s="1"/>
  <c r="P915" i="7"/>
  <c r="N915" i="7" a="1"/>
  <c r="N915" i="7" s="1"/>
  <c r="O915" i="7" s="1"/>
  <c r="M915" i="7" a="1"/>
  <c r="M915" i="7" s="1"/>
  <c r="L915" i="7"/>
  <c r="K915" i="7" a="1"/>
  <c r="K915" i="7" s="1"/>
  <c r="F915" i="7"/>
  <c r="T914" i="7"/>
  <c r="S914" i="7"/>
  <c r="R914" i="7"/>
  <c r="Q914" i="7" a="1"/>
  <c r="Q914" i="7" s="1"/>
  <c r="P914" i="7"/>
  <c r="N914" i="7" a="1"/>
  <c r="N914" i="7" s="1"/>
  <c r="O914" i="7" s="1"/>
  <c r="M914" i="7" a="1"/>
  <c r="M914" i="7" s="1"/>
  <c r="L914" i="7"/>
  <c r="K914" i="7" a="1"/>
  <c r="K914" i="7" s="1"/>
  <c r="F914" i="7"/>
  <c r="T913" i="7"/>
  <c r="S913" i="7"/>
  <c r="R913" i="7"/>
  <c r="Q913" i="7" a="1"/>
  <c r="Q913" i="7" s="1"/>
  <c r="P913" i="7"/>
  <c r="N913" i="7" a="1"/>
  <c r="N913" i="7" s="1"/>
  <c r="O913" i="7" s="1"/>
  <c r="M913" i="7" a="1"/>
  <c r="M913" i="7" s="1"/>
  <c r="L913" i="7"/>
  <c r="K913" i="7" a="1"/>
  <c r="K913" i="7" s="1"/>
  <c r="F913" i="7"/>
  <c r="T912" i="7"/>
  <c r="S912" i="7"/>
  <c r="R912" i="7"/>
  <c r="Q912" i="7" a="1"/>
  <c r="Q912" i="7" s="1"/>
  <c r="P912" i="7"/>
  <c r="N912" i="7" a="1"/>
  <c r="N912" i="7" s="1"/>
  <c r="O912" i="7" s="1"/>
  <c r="M912" i="7" a="1"/>
  <c r="M912" i="7" s="1"/>
  <c r="L912" i="7"/>
  <c r="K912" i="7" a="1"/>
  <c r="K912" i="7" s="1"/>
  <c r="F912" i="7"/>
  <c r="T911" i="7"/>
  <c r="S911" i="7"/>
  <c r="R911" i="7"/>
  <c r="Q911" i="7" a="1"/>
  <c r="Q911" i="7" s="1"/>
  <c r="P911" i="7"/>
  <c r="N911" i="7" a="1"/>
  <c r="N911" i="7" s="1"/>
  <c r="O911" i="7" s="1"/>
  <c r="M911" i="7" a="1"/>
  <c r="M911" i="7" s="1"/>
  <c r="L911" i="7"/>
  <c r="K911" i="7" a="1"/>
  <c r="K911" i="7" s="1"/>
  <c r="F911" i="7"/>
  <c r="T910" i="7"/>
  <c r="S910" i="7"/>
  <c r="R910" i="7"/>
  <c r="Q910" i="7" a="1"/>
  <c r="Q910" i="7" s="1"/>
  <c r="P910" i="7"/>
  <c r="N910" i="7" a="1"/>
  <c r="N910" i="7" s="1"/>
  <c r="O910" i="7" s="1"/>
  <c r="M910" i="7" a="1"/>
  <c r="M910" i="7" s="1"/>
  <c r="L910" i="7"/>
  <c r="K910" i="7" a="1"/>
  <c r="K910" i="7" s="1"/>
  <c r="F910" i="7"/>
  <c r="T909" i="7"/>
  <c r="S909" i="7"/>
  <c r="R909" i="7"/>
  <c r="Q909" i="7" a="1"/>
  <c r="Q909" i="7" s="1"/>
  <c r="P909" i="7"/>
  <c r="N909" i="7" a="1"/>
  <c r="N909" i="7" s="1"/>
  <c r="O909" i="7" s="1"/>
  <c r="M909" i="7" a="1"/>
  <c r="M909" i="7" s="1"/>
  <c r="L909" i="7"/>
  <c r="K909" i="7" a="1"/>
  <c r="K909" i="7" s="1"/>
  <c r="F909" i="7"/>
  <c r="T908" i="7"/>
  <c r="S908" i="7"/>
  <c r="R908" i="7"/>
  <c r="Q908" i="7" a="1"/>
  <c r="Q908" i="7" s="1"/>
  <c r="P908" i="7"/>
  <c r="N908" i="7" a="1"/>
  <c r="N908" i="7" s="1"/>
  <c r="O908" i="7" s="1"/>
  <c r="M908" i="7" a="1"/>
  <c r="M908" i="7" s="1"/>
  <c r="L908" i="7"/>
  <c r="K908" i="7" a="1"/>
  <c r="K908" i="7" s="1"/>
  <c r="F908" i="7"/>
  <c r="T907" i="7"/>
  <c r="S907" i="7"/>
  <c r="R907" i="7"/>
  <c r="Q907" i="7" a="1"/>
  <c r="Q907" i="7" s="1"/>
  <c r="P907" i="7"/>
  <c r="N907" i="7" a="1"/>
  <c r="N907" i="7" s="1"/>
  <c r="O907" i="7" s="1"/>
  <c r="M907" i="7" a="1"/>
  <c r="M907" i="7" s="1"/>
  <c r="L907" i="7"/>
  <c r="K907" i="7" a="1"/>
  <c r="K907" i="7" s="1"/>
  <c r="F907" i="7"/>
  <c r="T906" i="7"/>
  <c r="S906" i="7"/>
  <c r="R906" i="7"/>
  <c r="Q906" i="7" a="1"/>
  <c r="Q906" i="7" s="1"/>
  <c r="P906" i="7"/>
  <c r="N906" i="7" a="1"/>
  <c r="N906" i="7" s="1"/>
  <c r="O906" i="7" s="1"/>
  <c r="M906" i="7" a="1"/>
  <c r="M906" i="7" s="1"/>
  <c r="L906" i="7"/>
  <c r="K906" i="7" a="1"/>
  <c r="K906" i="7" s="1"/>
  <c r="F906" i="7"/>
  <c r="T905" i="7"/>
  <c r="S905" i="7"/>
  <c r="R905" i="7"/>
  <c r="Q905" i="7" a="1"/>
  <c r="Q905" i="7" s="1"/>
  <c r="P905" i="7"/>
  <c r="N905" i="7" a="1"/>
  <c r="N905" i="7" s="1"/>
  <c r="O905" i="7" s="1"/>
  <c r="M905" i="7" a="1"/>
  <c r="M905" i="7" s="1"/>
  <c r="L905" i="7"/>
  <c r="K905" i="7" a="1"/>
  <c r="K905" i="7" s="1"/>
  <c r="F905" i="7"/>
  <c r="T904" i="7"/>
  <c r="S904" i="7"/>
  <c r="R904" i="7"/>
  <c r="Q904" i="7" a="1"/>
  <c r="Q904" i="7" s="1"/>
  <c r="P904" i="7"/>
  <c r="N904" i="7" a="1"/>
  <c r="N904" i="7" s="1"/>
  <c r="O904" i="7" s="1"/>
  <c r="M904" i="7" a="1"/>
  <c r="M904" i="7" s="1"/>
  <c r="L904" i="7"/>
  <c r="K904" i="7" a="1"/>
  <c r="K904" i="7" s="1"/>
  <c r="F904" i="7"/>
  <c r="T903" i="7"/>
  <c r="S903" i="7"/>
  <c r="R903" i="7"/>
  <c r="Q903" i="7" a="1"/>
  <c r="Q903" i="7" s="1"/>
  <c r="P903" i="7"/>
  <c r="N903" i="7" a="1"/>
  <c r="N903" i="7" s="1"/>
  <c r="O903" i="7" s="1"/>
  <c r="M903" i="7" a="1"/>
  <c r="M903" i="7" s="1"/>
  <c r="L903" i="7"/>
  <c r="K903" i="7" a="1"/>
  <c r="K903" i="7" s="1"/>
  <c r="F903" i="7"/>
  <c r="T902" i="7"/>
  <c r="S902" i="7"/>
  <c r="R902" i="7"/>
  <c r="Q902" i="7" a="1"/>
  <c r="Q902" i="7" s="1"/>
  <c r="P902" i="7"/>
  <c r="N902" i="7" a="1"/>
  <c r="N902" i="7" s="1"/>
  <c r="O902" i="7" s="1"/>
  <c r="M902" i="7" a="1"/>
  <c r="M902" i="7" s="1"/>
  <c r="L902" i="7"/>
  <c r="K902" i="7" a="1"/>
  <c r="K902" i="7" s="1"/>
  <c r="F902" i="7"/>
  <c r="T901" i="7"/>
  <c r="S901" i="7"/>
  <c r="R901" i="7"/>
  <c r="Q901" i="7" a="1"/>
  <c r="Q901" i="7" s="1"/>
  <c r="P901" i="7"/>
  <c r="N901" i="7" a="1"/>
  <c r="N901" i="7" s="1"/>
  <c r="O901" i="7" s="1"/>
  <c r="M901" i="7" a="1"/>
  <c r="M901" i="7" s="1"/>
  <c r="L901" i="7"/>
  <c r="K901" i="7" a="1"/>
  <c r="K901" i="7" s="1"/>
  <c r="F901" i="7"/>
  <c r="T900" i="7"/>
  <c r="S900" i="7"/>
  <c r="R900" i="7"/>
  <c r="Q900" i="7" a="1"/>
  <c r="Q900" i="7" s="1"/>
  <c r="P900" i="7"/>
  <c r="N900" i="7" a="1"/>
  <c r="N900" i="7" s="1"/>
  <c r="O900" i="7" s="1"/>
  <c r="M900" i="7" a="1"/>
  <c r="M900" i="7" s="1"/>
  <c r="L900" i="7"/>
  <c r="K900" i="7" a="1"/>
  <c r="K900" i="7" s="1"/>
  <c r="F900" i="7"/>
  <c r="T899" i="7"/>
  <c r="S899" i="7"/>
  <c r="R899" i="7"/>
  <c r="Q899" i="7" a="1"/>
  <c r="Q899" i="7" s="1"/>
  <c r="P899" i="7"/>
  <c r="N899" i="7" a="1"/>
  <c r="N899" i="7" s="1"/>
  <c r="O899" i="7" s="1"/>
  <c r="M899" i="7" a="1"/>
  <c r="M899" i="7" s="1"/>
  <c r="L899" i="7"/>
  <c r="K899" i="7" a="1"/>
  <c r="K899" i="7" s="1"/>
  <c r="F899" i="7"/>
  <c r="T898" i="7"/>
  <c r="S898" i="7"/>
  <c r="R898" i="7"/>
  <c r="Q898" i="7" a="1"/>
  <c r="Q898" i="7" s="1"/>
  <c r="P898" i="7"/>
  <c r="N898" i="7" a="1"/>
  <c r="N898" i="7" s="1"/>
  <c r="O898" i="7" s="1"/>
  <c r="M898" i="7" a="1"/>
  <c r="M898" i="7" s="1"/>
  <c r="L898" i="7"/>
  <c r="K898" i="7" a="1"/>
  <c r="K898" i="7" s="1"/>
  <c r="F898" i="7"/>
  <c r="T897" i="7"/>
  <c r="S897" i="7"/>
  <c r="R897" i="7"/>
  <c r="Q897" i="7" a="1"/>
  <c r="Q897" i="7" s="1"/>
  <c r="P897" i="7"/>
  <c r="N897" i="7" a="1"/>
  <c r="N897" i="7" s="1"/>
  <c r="O897" i="7" s="1"/>
  <c r="M897" i="7" a="1"/>
  <c r="M897" i="7" s="1"/>
  <c r="L897" i="7"/>
  <c r="K897" i="7" a="1"/>
  <c r="K897" i="7" s="1"/>
  <c r="F897" i="7"/>
  <c r="T896" i="7"/>
  <c r="S896" i="7"/>
  <c r="R896" i="7"/>
  <c r="Q896" i="7" a="1"/>
  <c r="Q896" i="7" s="1"/>
  <c r="P896" i="7"/>
  <c r="N896" i="7" a="1"/>
  <c r="N896" i="7" s="1"/>
  <c r="O896" i="7" s="1"/>
  <c r="M896" i="7" a="1"/>
  <c r="M896" i="7" s="1"/>
  <c r="L896" i="7"/>
  <c r="K896" i="7" a="1"/>
  <c r="K896" i="7" s="1"/>
  <c r="F896" i="7"/>
  <c r="T895" i="7"/>
  <c r="S895" i="7"/>
  <c r="R895" i="7"/>
  <c r="Q895" i="7" a="1"/>
  <c r="Q895" i="7" s="1"/>
  <c r="P895" i="7"/>
  <c r="N895" i="7" a="1"/>
  <c r="N895" i="7" s="1"/>
  <c r="O895" i="7" s="1"/>
  <c r="M895" i="7" a="1"/>
  <c r="M895" i="7" s="1"/>
  <c r="L895" i="7"/>
  <c r="K895" i="7" a="1"/>
  <c r="K895" i="7" s="1"/>
  <c r="F895" i="7"/>
  <c r="T894" i="7"/>
  <c r="S894" i="7"/>
  <c r="R894" i="7"/>
  <c r="Q894" i="7" a="1"/>
  <c r="Q894" i="7" s="1"/>
  <c r="P894" i="7"/>
  <c r="N894" i="7" a="1"/>
  <c r="N894" i="7" s="1"/>
  <c r="O894" i="7" s="1"/>
  <c r="M894" i="7" a="1"/>
  <c r="M894" i="7" s="1"/>
  <c r="L894" i="7"/>
  <c r="K894" i="7" a="1"/>
  <c r="K894" i="7" s="1"/>
  <c r="F894" i="7"/>
  <c r="T893" i="7"/>
  <c r="S893" i="7"/>
  <c r="R893" i="7"/>
  <c r="Q893" i="7" a="1"/>
  <c r="Q893" i="7" s="1"/>
  <c r="P893" i="7"/>
  <c r="N893" i="7" a="1"/>
  <c r="N893" i="7" s="1"/>
  <c r="O893" i="7" s="1"/>
  <c r="M893" i="7" a="1"/>
  <c r="M893" i="7" s="1"/>
  <c r="L893" i="7"/>
  <c r="K893" i="7" a="1"/>
  <c r="K893" i="7" s="1"/>
  <c r="F893" i="7"/>
  <c r="T892" i="7"/>
  <c r="S892" i="7"/>
  <c r="R892" i="7"/>
  <c r="Q892" i="7" a="1"/>
  <c r="Q892" i="7" s="1"/>
  <c r="P892" i="7"/>
  <c r="N892" i="7" a="1"/>
  <c r="N892" i="7" s="1"/>
  <c r="O892" i="7" s="1"/>
  <c r="M892" i="7" a="1"/>
  <c r="M892" i="7" s="1"/>
  <c r="L892" i="7"/>
  <c r="K892" i="7" a="1"/>
  <c r="K892" i="7" s="1"/>
  <c r="F892" i="7"/>
  <c r="T891" i="7"/>
  <c r="S891" i="7"/>
  <c r="R891" i="7"/>
  <c r="Q891" i="7" a="1"/>
  <c r="Q891" i="7" s="1"/>
  <c r="P891" i="7"/>
  <c r="N891" i="7" a="1"/>
  <c r="N891" i="7" s="1"/>
  <c r="O891" i="7" s="1"/>
  <c r="M891" i="7" a="1"/>
  <c r="M891" i="7" s="1"/>
  <c r="L891" i="7"/>
  <c r="K891" i="7" a="1"/>
  <c r="K891" i="7" s="1"/>
  <c r="F891" i="7"/>
  <c r="T890" i="7"/>
  <c r="S890" i="7"/>
  <c r="R890" i="7"/>
  <c r="Q890" i="7" a="1"/>
  <c r="Q890" i="7" s="1"/>
  <c r="P890" i="7"/>
  <c r="N890" i="7" a="1"/>
  <c r="N890" i="7" s="1"/>
  <c r="O890" i="7" s="1"/>
  <c r="M890" i="7" a="1"/>
  <c r="M890" i="7" s="1"/>
  <c r="L890" i="7"/>
  <c r="K890" i="7" a="1"/>
  <c r="K890" i="7" s="1"/>
  <c r="F890" i="7"/>
  <c r="T889" i="7"/>
  <c r="S889" i="7"/>
  <c r="R889" i="7"/>
  <c r="Q889" i="7" a="1"/>
  <c r="Q889" i="7" s="1"/>
  <c r="P889" i="7"/>
  <c r="N889" i="7" a="1"/>
  <c r="N889" i="7" s="1"/>
  <c r="O889" i="7" s="1"/>
  <c r="M889" i="7" a="1"/>
  <c r="M889" i="7" s="1"/>
  <c r="L889" i="7"/>
  <c r="K889" i="7" a="1"/>
  <c r="K889" i="7" s="1"/>
  <c r="F889" i="7"/>
  <c r="T888" i="7"/>
  <c r="S888" i="7"/>
  <c r="R888" i="7"/>
  <c r="Q888" i="7" a="1"/>
  <c r="Q888" i="7" s="1"/>
  <c r="P888" i="7"/>
  <c r="N888" i="7" a="1"/>
  <c r="N888" i="7" s="1"/>
  <c r="O888" i="7" s="1"/>
  <c r="M888" i="7" a="1"/>
  <c r="M888" i="7" s="1"/>
  <c r="L888" i="7"/>
  <c r="K888" i="7" a="1"/>
  <c r="K888" i="7" s="1"/>
  <c r="F888" i="7"/>
  <c r="T887" i="7"/>
  <c r="S887" i="7"/>
  <c r="R887" i="7"/>
  <c r="Q887" i="7" a="1"/>
  <c r="Q887" i="7" s="1"/>
  <c r="P887" i="7"/>
  <c r="N887" i="7" a="1"/>
  <c r="N887" i="7" s="1"/>
  <c r="O887" i="7" s="1"/>
  <c r="M887" i="7" a="1"/>
  <c r="M887" i="7" s="1"/>
  <c r="L887" i="7"/>
  <c r="K887" i="7" a="1"/>
  <c r="K887" i="7" s="1"/>
  <c r="F887" i="7"/>
  <c r="T886" i="7"/>
  <c r="S886" i="7"/>
  <c r="R886" i="7"/>
  <c r="Q886" i="7" a="1"/>
  <c r="Q886" i="7" s="1"/>
  <c r="P886" i="7"/>
  <c r="N886" i="7" a="1"/>
  <c r="N886" i="7" s="1"/>
  <c r="O886" i="7" s="1"/>
  <c r="M886" i="7" a="1"/>
  <c r="M886" i="7" s="1"/>
  <c r="L886" i="7"/>
  <c r="K886" i="7" a="1"/>
  <c r="K886" i="7" s="1"/>
  <c r="F886" i="7"/>
  <c r="T885" i="7"/>
  <c r="S885" i="7"/>
  <c r="R885" i="7"/>
  <c r="Q885" i="7" a="1"/>
  <c r="Q885" i="7" s="1"/>
  <c r="P885" i="7"/>
  <c r="N885" i="7" a="1"/>
  <c r="N885" i="7" s="1"/>
  <c r="O885" i="7" s="1"/>
  <c r="M885" i="7" a="1"/>
  <c r="M885" i="7" s="1"/>
  <c r="L885" i="7"/>
  <c r="K885" i="7" a="1"/>
  <c r="K885" i="7" s="1"/>
  <c r="F885" i="7"/>
  <c r="T884" i="7"/>
  <c r="S884" i="7"/>
  <c r="R884" i="7"/>
  <c r="Q884" i="7" a="1"/>
  <c r="Q884" i="7" s="1"/>
  <c r="P884" i="7"/>
  <c r="N884" i="7" a="1"/>
  <c r="N884" i="7" s="1"/>
  <c r="O884" i="7" s="1"/>
  <c r="M884" i="7" a="1"/>
  <c r="M884" i="7" s="1"/>
  <c r="L884" i="7"/>
  <c r="K884" i="7" a="1"/>
  <c r="K884" i="7" s="1"/>
  <c r="F884" i="7"/>
  <c r="T883" i="7"/>
  <c r="S883" i="7"/>
  <c r="R883" i="7"/>
  <c r="Q883" i="7" a="1"/>
  <c r="Q883" i="7" s="1"/>
  <c r="P883" i="7"/>
  <c r="N883" i="7" a="1"/>
  <c r="N883" i="7" s="1"/>
  <c r="O883" i="7" s="1"/>
  <c r="M883" i="7" a="1"/>
  <c r="M883" i="7" s="1"/>
  <c r="L883" i="7"/>
  <c r="K883" i="7" a="1"/>
  <c r="K883" i="7" s="1"/>
  <c r="F883" i="7"/>
  <c r="T882" i="7"/>
  <c r="S882" i="7"/>
  <c r="R882" i="7"/>
  <c r="Q882" i="7" a="1"/>
  <c r="Q882" i="7" s="1"/>
  <c r="P882" i="7"/>
  <c r="N882" i="7" a="1"/>
  <c r="N882" i="7" s="1"/>
  <c r="O882" i="7" s="1"/>
  <c r="M882" i="7" a="1"/>
  <c r="M882" i="7" s="1"/>
  <c r="L882" i="7"/>
  <c r="K882" i="7" a="1"/>
  <c r="K882" i="7" s="1"/>
  <c r="F882" i="7"/>
  <c r="T881" i="7"/>
  <c r="S881" i="7"/>
  <c r="R881" i="7"/>
  <c r="Q881" i="7" a="1"/>
  <c r="Q881" i="7" s="1"/>
  <c r="P881" i="7"/>
  <c r="N881" i="7" a="1"/>
  <c r="N881" i="7" s="1"/>
  <c r="O881" i="7" s="1"/>
  <c r="M881" i="7" a="1"/>
  <c r="M881" i="7" s="1"/>
  <c r="L881" i="7"/>
  <c r="K881" i="7" a="1"/>
  <c r="K881" i="7" s="1"/>
  <c r="F881" i="7"/>
  <c r="T880" i="7"/>
  <c r="S880" i="7"/>
  <c r="R880" i="7"/>
  <c r="Q880" i="7" a="1"/>
  <c r="Q880" i="7" s="1"/>
  <c r="P880" i="7"/>
  <c r="N880" i="7" a="1"/>
  <c r="N880" i="7" s="1"/>
  <c r="O880" i="7" s="1"/>
  <c r="M880" i="7" a="1"/>
  <c r="M880" i="7" s="1"/>
  <c r="L880" i="7"/>
  <c r="K880" i="7" a="1"/>
  <c r="K880" i="7" s="1"/>
  <c r="F880" i="7"/>
  <c r="T879" i="7"/>
  <c r="S879" i="7"/>
  <c r="R879" i="7"/>
  <c r="Q879" i="7" a="1"/>
  <c r="Q879" i="7" s="1"/>
  <c r="P879" i="7"/>
  <c r="N879" i="7" a="1"/>
  <c r="N879" i="7" s="1"/>
  <c r="O879" i="7" s="1"/>
  <c r="M879" i="7" a="1"/>
  <c r="M879" i="7" s="1"/>
  <c r="L879" i="7"/>
  <c r="K879" i="7" a="1"/>
  <c r="K879" i="7" s="1"/>
  <c r="F879" i="7"/>
  <c r="T878" i="7"/>
  <c r="S878" i="7"/>
  <c r="R878" i="7"/>
  <c r="Q878" i="7" a="1"/>
  <c r="Q878" i="7" s="1"/>
  <c r="P878" i="7"/>
  <c r="N878" i="7" a="1"/>
  <c r="N878" i="7" s="1"/>
  <c r="O878" i="7" s="1"/>
  <c r="M878" i="7" a="1"/>
  <c r="M878" i="7" s="1"/>
  <c r="L878" i="7"/>
  <c r="K878" i="7" a="1"/>
  <c r="K878" i="7" s="1"/>
  <c r="F878" i="7"/>
  <c r="T877" i="7"/>
  <c r="S877" i="7"/>
  <c r="R877" i="7"/>
  <c r="Q877" i="7" a="1"/>
  <c r="Q877" i="7" s="1"/>
  <c r="P877" i="7"/>
  <c r="N877" i="7" a="1"/>
  <c r="N877" i="7" s="1"/>
  <c r="O877" i="7" s="1"/>
  <c r="M877" i="7" a="1"/>
  <c r="M877" i="7" s="1"/>
  <c r="L877" i="7"/>
  <c r="K877" i="7" a="1"/>
  <c r="K877" i="7" s="1"/>
  <c r="F877" i="7"/>
  <c r="T876" i="7"/>
  <c r="S876" i="7"/>
  <c r="R876" i="7"/>
  <c r="Q876" i="7" a="1"/>
  <c r="Q876" i="7" s="1"/>
  <c r="P876" i="7"/>
  <c r="N876" i="7" a="1"/>
  <c r="N876" i="7" s="1"/>
  <c r="O876" i="7" s="1"/>
  <c r="M876" i="7" a="1"/>
  <c r="M876" i="7" s="1"/>
  <c r="L876" i="7"/>
  <c r="K876" i="7" a="1"/>
  <c r="K876" i="7" s="1"/>
  <c r="F876" i="7"/>
  <c r="T875" i="7"/>
  <c r="S875" i="7"/>
  <c r="R875" i="7"/>
  <c r="Q875" i="7" a="1"/>
  <c r="Q875" i="7" s="1"/>
  <c r="P875" i="7"/>
  <c r="N875" i="7" a="1"/>
  <c r="N875" i="7" s="1"/>
  <c r="O875" i="7" s="1"/>
  <c r="M875" i="7" a="1"/>
  <c r="M875" i="7" s="1"/>
  <c r="L875" i="7"/>
  <c r="K875" i="7" a="1"/>
  <c r="K875" i="7" s="1"/>
  <c r="F875" i="7"/>
  <c r="T874" i="7"/>
  <c r="S874" i="7"/>
  <c r="R874" i="7"/>
  <c r="Q874" i="7" a="1"/>
  <c r="Q874" i="7" s="1"/>
  <c r="P874" i="7"/>
  <c r="N874" i="7" a="1"/>
  <c r="N874" i="7" s="1"/>
  <c r="O874" i="7" s="1"/>
  <c r="M874" i="7" a="1"/>
  <c r="M874" i="7" s="1"/>
  <c r="L874" i="7"/>
  <c r="K874" i="7" a="1"/>
  <c r="K874" i="7" s="1"/>
  <c r="F874" i="7"/>
  <c r="T873" i="7"/>
  <c r="S873" i="7"/>
  <c r="R873" i="7"/>
  <c r="Q873" i="7" a="1"/>
  <c r="Q873" i="7" s="1"/>
  <c r="P873" i="7"/>
  <c r="N873" i="7" a="1"/>
  <c r="N873" i="7" s="1"/>
  <c r="O873" i="7" s="1"/>
  <c r="M873" i="7" a="1"/>
  <c r="M873" i="7" s="1"/>
  <c r="L873" i="7"/>
  <c r="K873" i="7" a="1"/>
  <c r="K873" i="7" s="1"/>
  <c r="F873" i="7"/>
  <c r="T872" i="7"/>
  <c r="S872" i="7"/>
  <c r="R872" i="7"/>
  <c r="Q872" i="7" a="1"/>
  <c r="Q872" i="7" s="1"/>
  <c r="P872" i="7"/>
  <c r="N872" i="7" a="1"/>
  <c r="N872" i="7" s="1"/>
  <c r="O872" i="7" s="1"/>
  <c r="M872" i="7" a="1"/>
  <c r="M872" i="7" s="1"/>
  <c r="L872" i="7"/>
  <c r="K872" i="7" a="1"/>
  <c r="K872" i="7" s="1"/>
  <c r="F872" i="7"/>
  <c r="T871" i="7"/>
  <c r="S871" i="7"/>
  <c r="R871" i="7"/>
  <c r="Q871" i="7" a="1"/>
  <c r="Q871" i="7" s="1"/>
  <c r="P871" i="7"/>
  <c r="N871" i="7" a="1"/>
  <c r="N871" i="7" s="1"/>
  <c r="O871" i="7" s="1"/>
  <c r="M871" i="7" a="1"/>
  <c r="M871" i="7" s="1"/>
  <c r="L871" i="7"/>
  <c r="K871" i="7" a="1"/>
  <c r="K871" i="7" s="1"/>
  <c r="F871" i="7"/>
  <c r="T870" i="7"/>
  <c r="S870" i="7"/>
  <c r="R870" i="7"/>
  <c r="Q870" i="7" a="1"/>
  <c r="Q870" i="7" s="1"/>
  <c r="P870" i="7"/>
  <c r="N870" i="7" a="1"/>
  <c r="N870" i="7" s="1"/>
  <c r="O870" i="7" s="1"/>
  <c r="M870" i="7" a="1"/>
  <c r="M870" i="7" s="1"/>
  <c r="L870" i="7"/>
  <c r="K870" i="7" a="1"/>
  <c r="K870" i="7" s="1"/>
  <c r="F870" i="7"/>
  <c r="T869" i="7"/>
  <c r="S869" i="7"/>
  <c r="R869" i="7"/>
  <c r="Q869" i="7" a="1"/>
  <c r="Q869" i="7" s="1"/>
  <c r="P869" i="7"/>
  <c r="N869" i="7" a="1"/>
  <c r="N869" i="7" s="1"/>
  <c r="O869" i="7" s="1"/>
  <c r="M869" i="7" a="1"/>
  <c r="M869" i="7" s="1"/>
  <c r="L869" i="7"/>
  <c r="K869" i="7" a="1"/>
  <c r="K869" i="7" s="1"/>
  <c r="F869" i="7"/>
  <c r="T868" i="7"/>
  <c r="S868" i="7"/>
  <c r="R868" i="7"/>
  <c r="Q868" i="7" a="1"/>
  <c r="Q868" i="7" s="1"/>
  <c r="P868" i="7"/>
  <c r="N868" i="7" a="1"/>
  <c r="N868" i="7" s="1"/>
  <c r="O868" i="7" s="1"/>
  <c r="M868" i="7" a="1"/>
  <c r="M868" i="7" s="1"/>
  <c r="L868" i="7"/>
  <c r="K868" i="7" a="1"/>
  <c r="K868" i="7" s="1"/>
  <c r="F868" i="7"/>
  <c r="T867" i="7"/>
  <c r="S867" i="7"/>
  <c r="R867" i="7"/>
  <c r="Q867" i="7" a="1"/>
  <c r="Q867" i="7" s="1"/>
  <c r="P867" i="7"/>
  <c r="N867" i="7" a="1"/>
  <c r="N867" i="7" s="1"/>
  <c r="O867" i="7" s="1"/>
  <c r="M867" i="7" a="1"/>
  <c r="M867" i="7" s="1"/>
  <c r="L867" i="7"/>
  <c r="K867" i="7" a="1"/>
  <c r="K867" i="7" s="1"/>
  <c r="F867" i="7"/>
  <c r="T866" i="7"/>
  <c r="S866" i="7"/>
  <c r="R866" i="7"/>
  <c r="Q866" i="7" a="1"/>
  <c r="Q866" i="7" s="1"/>
  <c r="P866" i="7"/>
  <c r="N866" i="7" a="1"/>
  <c r="N866" i="7" s="1"/>
  <c r="O866" i="7" s="1"/>
  <c r="M866" i="7" a="1"/>
  <c r="M866" i="7" s="1"/>
  <c r="L866" i="7"/>
  <c r="K866" i="7" a="1"/>
  <c r="K866" i="7" s="1"/>
  <c r="F866" i="7"/>
  <c r="T865" i="7"/>
  <c r="S865" i="7"/>
  <c r="R865" i="7"/>
  <c r="Q865" i="7" a="1"/>
  <c r="Q865" i="7" s="1"/>
  <c r="P865" i="7"/>
  <c r="N865" i="7" a="1"/>
  <c r="N865" i="7" s="1"/>
  <c r="O865" i="7" s="1"/>
  <c r="M865" i="7" a="1"/>
  <c r="M865" i="7" s="1"/>
  <c r="L865" i="7"/>
  <c r="K865" i="7" a="1"/>
  <c r="K865" i="7" s="1"/>
  <c r="F865" i="7"/>
  <c r="T864" i="7"/>
  <c r="S864" i="7"/>
  <c r="R864" i="7"/>
  <c r="Q864" i="7" a="1"/>
  <c r="Q864" i="7" s="1"/>
  <c r="P864" i="7"/>
  <c r="N864" i="7" a="1"/>
  <c r="N864" i="7" s="1"/>
  <c r="O864" i="7" s="1"/>
  <c r="M864" i="7" a="1"/>
  <c r="M864" i="7" s="1"/>
  <c r="L864" i="7"/>
  <c r="K864" i="7" a="1"/>
  <c r="K864" i="7" s="1"/>
  <c r="F864" i="7"/>
  <c r="T863" i="7"/>
  <c r="S863" i="7"/>
  <c r="R863" i="7"/>
  <c r="Q863" i="7" a="1"/>
  <c r="Q863" i="7" s="1"/>
  <c r="P863" i="7"/>
  <c r="N863" i="7" a="1"/>
  <c r="N863" i="7" s="1"/>
  <c r="O863" i="7" s="1"/>
  <c r="M863" i="7" a="1"/>
  <c r="M863" i="7" s="1"/>
  <c r="L863" i="7"/>
  <c r="K863" i="7" a="1"/>
  <c r="K863" i="7" s="1"/>
  <c r="F863" i="7"/>
  <c r="T862" i="7"/>
  <c r="S862" i="7"/>
  <c r="R862" i="7"/>
  <c r="Q862" i="7" a="1"/>
  <c r="Q862" i="7" s="1"/>
  <c r="P862" i="7"/>
  <c r="N862" i="7" a="1"/>
  <c r="N862" i="7" s="1"/>
  <c r="O862" i="7" s="1"/>
  <c r="M862" i="7" a="1"/>
  <c r="M862" i="7" s="1"/>
  <c r="L862" i="7"/>
  <c r="K862" i="7" a="1"/>
  <c r="K862" i="7" s="1"/>
  <c r="F862" i="7"/>
  <c r="T861" i="7"/>
  <c r="S861" i="7"/>
  <c r="R861" i="7"/>
  <c r="Q861" i="7" a="1"/>
  <c r="Q861" i="7" s="1"/>
  <c r="P861" i="7"/>
  <c r="N861" i="7" a="1"/>
  <c r="N861" i="7" s="1"/>
  <c r="O861" i="7" s="1"/>
  <c r="M861" i="7" a="1"/>
  <c r="M861" i="7" s="1"/>
  <c r="L861" i="7"/>
  <c r="K861" i="7" a="1"/>
  <c r="K861" i="7" s="1"/>
  <c r="F861" i="7"/>
  <c r="T860" i="7"/>
  <c r="S860" i="7"/>
  <c r="R860" i="7"/>
  <c r="Q860" i="7" a="1"/>
  <c r="Q860" i="7" s="1"/>
  <c r="P860" i="7"/>
  <c r="N860" i="7" a="1"/>
  <c r="N860" i="7" s="1"/>
  <c r="O860" i="7" s="1"/>
  <c r="M860" i="7" a="1"/>
  <c r="M860" i="7" s="1"/>
  <c r="L860" i="7"/>
  <c r="K860" i="7" a="1"/>
  <c r="K860" i="7" s="1"/>
  <c r="F860" i="7"/>
  <c r="T859" i="7"/>
  <c r="S859" i="7"/>
  <c r="R859" i="7"/>
  <c r="Q859" i="7" a="1"/>
  <c r="Q859" i="7" s="1"/>
  <c r="P859" i="7"/>
  <c r="N859" i="7" a="1"/>
  <c r="N859" i="7" s="1"/>
  <c r="O859" i="7" s="1"/>
  <c r="M859" i="7" a="1"/>
  <c r="M859" i="7" s="1"/>
  <c r="L859" i="7"/>
  <c r="K859" i="7" a="1"/>
  <c r="K859" i="7" s="1"/>
  <c r="F859" i="7"/>
  <c r="T858" i="7"/>
  <c r="S858" i="7"/>
  <c r="R858" i="7"/>
  <c r="Q858" i="7" a="1"/>
  <c r="Q858" i="7" s="1"/>
  <c r="P858" i="7"/>
  <c r="N858" i="7" a="1"/>
  <c r="N858" i="7" s="1"/>
  <c r="O858" i="7" s="1"/>
  <c r="M858" i="7" a="1"/>
  <c r="M858" i="7" s="1"/>
  <c r="L858" i="7"/>
  <c r="K858" i="7" a="1"/>
  <c r="K858" i="7" s="1"/>
  <c r="F858" i="7"/>
  <c r="T857" i="7"/>
  <c r="S857" i="7"/>
  <c r="R857" i="7"/>
  <c r="Q857" i="7" a="1"/>
  <c r="Q857" i="7" s="1"/>
  <c r="P857" i="7"/>
  <c r="N857" i="7" a="1"/>
  <c r="N857" i="7" s="1"/>
  <c r="O857" i="7" s="1"/>
  <c r="M857" i="7" a="1"/>
  <c r="M857" i="7" s="1"/>
  <c r="L857" i="7"/>
  <c r="K857" i="7" a="1"/>
  <c r="K857" i="7" s="1"/>
  <c r="F857" i="7"/>
  <c r="T856" i="7"/>
  <c r="S856" i="7"/>
  <c r="R856" i="7"/>
  <c r="Q856" i="7" a="1"/>
  <c r="Q856" i="7" s="1"/>
  <c r="P856" i="7"/>
  <c r="N856" i="7" a="1"/>
  <c r="N856" i="7" s="1"/>
  <c r="O856" i="7" s="1"/>
  <c r="M856" i="7" a="1"/>
  <c r="M856" i="7" s="1"/>
  <c r="L856" i="7"/>
  <c r="K856" i="7" a="1"/>
  <c r="K856" i="7" s="1"/>
  <c r="F856" i="7"/>
  <c r="T855" i="7"/>
  <c r="S855" i="7"/>
  <c r="R855" i="7"/>
  <c r="Q855" i="7" a="1"/>
  <c r="Q855" i="7" s="1"/>
  <c r="P855" i="7"/>
  <c r="N855" i="7" a="1"/>
  <c r="N855" i="7" s="1"/>
  <c r="O855" i="7" s="1"/>
  <c r="M855" i="7" a="1"/>
  <c r="M855" i="7" s="1"/>
  <c r="L855" i="7"/>
  <c r="K855" i="7" a="1"/>
  <c r="K855" i="7" s="1"/>
  <c r="F855" i="7"/>
  <c r="T854" i="7"/>
  <c r="S854" i="7"/>
  <c r="R854" i="7"/>
  <c r="Q854" i="7" a="1"/>
  <c r="Q854" i="7" s="1"/>
  <c r="P854" i="7"/>
  <c r="N854" i="7" a="1"/>
  <c r="N854" i="7" s="1"/>
  <c r="O854" i="7" s="1"/>
  <c r="M854" i="7" a="1"/>
  <c r="M854" i="7" s="1"/>
  <c r="L854" i="7"/>
  <c r="K854" i="7" a="1"/>
  <c r="K854" i="7" s="1"/>
  <c r="F854" i="7"/>
  <c r="T853" i="7"/>
  <c r="S853" i="7"/>
  <c r="R853" i="7"/>
  <c r="Q853" i="7" a="1"/>
  <c r="Q853" i="7" s="1"/>
  <c r="P853" i="7"/>
  <c r="N853" i="7" a="1"/>
  <c r="N853" i="7" s="1"/>
  <c r="O853" i="7" s="1"/>
  <c r="M853" i="7" a="1"/>
  <c r="M853" i="7" s="1"/>
  <c r="L853" i="7"/>
  <c r="K853" i="7" a="1"/>
  <c r="K853" i="7" s="1"/>
  <c r="F853" i="7"/>
  <c r="T852" i="7"/>
  <c r="S852" i="7"/>
  <c r="R852" i="7"/>
  <c r="Q852" i="7" a="1"/>
  <c r="Q852" i="7" s="1"/>
  <c r="P852" i="7"/>
  <c r="N852" i="7" a="1"/>
  <c r="N852" i="7" s="1"/>
  <c r="O852" i="7" s="1"/>
  <c r="M852" i="7" a="1"/>
  <c r="M852" i="7" s="1"/>
  <c r="L852" i="7"/>
  <c r="K852" i="7" a="1"/>
  <c r="K852" i="7" s="1"/>
  <c r="F852" i="7"/>
  <c r="T851" i="7"/>
  <c r="S851" i="7"/>
  <c r="R851" i="7"/>
  <c r="Q851" i="7" a="1"/>
  <c r="Q851" i="7" s="1"/>
  <c r="P851" i="7"/>
  <c r="N851" i="7" a="1"/>
  <c r="N851" i="7" s="1"/>
  <c r="O851" i="7" s="1"/>
  <c r="M851" i="7" a="1"/>
  <c r="M851" i="7" s="1"/>
  <c r="L851" i="7"/>
  <c r="K851" i="7" a="1"/>
  <c r="K851" i="7" s="1"/>
  <c r="F851" i="7"/>
  <c r="T850" i="7"/>
  <c r="S850" i="7"/>
  <c r="R850" i="7"/>
  <c r="Q850" i="7" a="1"/>
  <c r="Q850" i="7" s="1"/>
  <c r="P850" i="7"/>
  <c r="N850" i="7" a="1"/>
  <c r="N850" i="7" s="1"/>
  <c r="O850" i="7" s="1"/>
  <c r="M850" i="7" a="1"/>
  <c r="M850" i="7" s="1"/>
  <c r="L850" i="7"/>
  <c r="K850" i="7" a="1"/>
  <c r="K850" i="7" s="1"/>
  <c r="F850" i="7"/>
  <c r="T849" i="7"/>
  <c r="S849" i="7"/>
  <c r="R849" i="7"/>
  <c r="Q849" i="7" a="1"/>
  <c r="Q849" i="7" s="1"/>
  <c r="P849" i="7"/>
  <c r="N849" i="7" a="1"/>
  <c r="N849" i="7" s="1"/>
  <c r="O849" i="7" s="1"/>
  <c r="M849" i="7" a="1"/>
  <c r="M849" i="7" s="1"/>
  <c r="L849" i="7"/>
  <c r="K849" i="7" a="1"/>
  <c r="K849" i="7" s="1"/>
  <c r="F849" i="7"/>
  <c r="T848" i="7"/>
  <c r="S848" i="7"/>
  <c r="R848" i="7"/>
  <c r="Q848" i="7" a="1"/>
  <c r="Q848" i="7" s="1"/>
  <c r="P848" i="7"/>
  <c r="N848" i="7" a="1"/>
  <c r="N848" i="7" s="1"/>
  <c r="O848" i="7" s="1"/>
  <c r="M848" i="7" a="1"/>
  <c r="M848" i="7" s="1"/>
  <c r="L848" i="7"/>
  <c r="K848" i="7" a="1"/>
  <c r="K848" i="7" s="1"/>
  <c r="F848" i="7"/>
  <c r="T847" i="7"/>
  <c r="S847" i="7"/>
  <c r="R847" i="7"/>
  <c r="Q847" i="7" a="1"/>
  <c r="Q847" i="7" s="1"/>
  <c r="P847" i="7"/>
  <c r="N847" i="7" a="1"/>
  <c r="N847" i="7" s="1"/>
  <c r="O847" i="7" s="1"/>
  <c r="M847" i="7" a="1"/>
  <c r="M847" i="7" s="1"/>
  <c r="L847" i="7"/>
  <c r="K847" i="7" a="1"/>
  <c r="K847" i="7" s="1"/>
  <c r="F847" i="7"/>
  <c r="T846" i="7"/>
  <c r="S846" i="7"/>
  <c r="R846" i="7"/>
  <c r="Q846" i="7" a="1"/>
  <c r="Q846" i="7" s="1"/>
  <c r="P846" i="7"/>
  <c r="N846" i="7" a="1"/>
  <c r="N846" i="7" s="1"/>
  <c r="O846" i="7" s="1"/>
  <c r="M846" i="7" a="1"/>
  <c r="M846" i="7" s="1"/>
  <c r="L846" i="7"/>
  <c r="K846" i="7" a="1"/>
  <c r="K846" i="7" s="1"/>
  <c r="F846" i="7"/>
  <c r="T845" i="7"/>
  <c r="S845" i="7"/>
  <c r="R845" i="7"/>
  <c r="Q845" i="7" a="1"/>
  <c r="Q845" i="7" s="1"/>
  <c r="P845" i="7"/>
  <c r="N845" i="7" a="1"/>
  <c r="N845" i="7" s="1"/>
  <c r="O845" i="7" s="1"/>
  <c r="M845" i="7" a="1"/>
  <c r="M845" i="7" s="1"/>
  <c r="L845" i="7"/>
  <c r="K845" i="7" a="1"/>
  <c r="K845" i="7" s="1"/>
  <c r="F845" i="7"/>
  <c r="T844" i="7"/>
  <c r="S844" i="7"/>
  <c r="R844" i="7"/>
  <c r="Q844" i="7" a="1"/>
  <c r="Q844" i="7" s="1"/>
  <c r="P844" i="7"/>
  <c r="N844" i="7" a="1"/>
  <c r="N844" i="7" s="1"/>
  <c r="O844" i="7" s="1"/>
  <c r="M844" i="7" a="1"/>
  <c r="M844" i="7" s="1"/>
  <c r="L844" i="7"/>
  <c r="K844" i="7" a="1"/>
  <c r="K844" i="7" s="1"/>
  <c r="F844" i="7"/>
  <c r="T843" i="7"/>
  <c r="S843" i="7"/>
  <c r="R843" i="7"/>
  <c r="Q843" i="7" a="1"/>
  <c r="Q843" i="7" s="1"/>
  <c r="P843" i="7"/>
  <c r="N843" i="7" a="1"/>
  <c r="N843" i="7" s="1"/>
  <c r="O843" i="7" s="1"/>
  <c r="M843" i="7" a="1"/>
  <c r="M843" i="7" s="1"/>
  <c r="L843" i="7"/>
  <c r="K843" i="7" a="1"/>
  <c r="K843" i="7" s="1"/>
  <c r="F843" i="7"/>
  <c r="T842" i="7"/>
  <c r="S842" i="7"/>
  <c r="R842" i="7"/>
  <c r="Q842" i="7" a="1"/>
  <c r="Q842" i="7" s="1"/>
  <c r="P842" i="7"/>
  <c r="N842" i="7" a="1"/>
  <c r="N842" i="7" s="1"/>
  <c r="O842" i="7" s="1"/>
  <c r="M842" i="7" a="1"/>
  <c r="M842" i="7" s="1"/>
  <c r="L842" i="7"/>
  <c r="K842" i="7" a="1"/>
  <c r="K842" i="7" s="1"/>
  <c r="F842" i="7"/>
  <c r="T841" i="7"/>
  <c r="S841" i="7"/>
  <c r="R841" i="7"/>
  <c r="Q841" i="7" a="1"/>
  <c r="Q841" i="7" s="1"/>
  <c r="P841" i="7"/>
  <c r="N841" i="7" a="1"/>
  <c r="N841" i="7" s="1"/>
  <c r="O841" i="7" s="1"/>
  <c r="M841" i="7" a="1"/>
  <c r="M841" i="7" s="1"/>
  <c r="L841" i="7"/>
  <c r="K841" i="7" a="1"/>
  <c r="K841" i="7" s="1"/>
  <c r="F841" i="7"/>
  <c r="T840" i="7"/>
  <c r="S840" i="7"/>
  <c r="R840" i="7"/>
  <c r="Q840" i="7" a="1"/>
  <c r="Q840" i="7" s="1"/>
  <c r="P840" i="7"/>
  <c r="N840" i="7" a="1"/>
  <c r="N840" i="7" s="1"/>
  <c r="O840" i="7" s="1"/>
  <c r="M840" i="7" a="1"/>
  <c r="M840" i="7" s="1"/>
  <c r="L840" i="7"/>
  <c r="K840" i="7" a="1"/>
  <c r="K840" i="7" s="1"/>
  <c r="F840" i="7"/>
  <c r="T839" i="7"/>
  <c r="S839" i="7"/>
  <c r="R839" i="7"/>
  <c r="Q839" i="7" a="1"/>
  <c r="Q839" i="7" s="1"/>
  <c r="P839" i="7"/>
  <c r="N839" i="7" a="1"/>
  <c r="N839" i="7" s="1"/>
  <c r="O839" i="7" s="1"/>
  <c r="M839" i="7" a="1"/>
  <c r="M839" i="7" s="1"/>
  <c r="L839" i="7"/>
  <c r="K839" i="7" a="1"/>
  <c r="K839" i="7" s="1"/>
  <c r="F839" i="7"/>
  <c r="T838" i="7"/>
  <c r="S838" i="7"/>
  <c r="R838" i="7"/>
  <c r="Q838" i="7" a="1"/>
  <c r="Q838" i="7" s="1"/>
  <c r="P838" i="7"/>
  <c r="N838" i="7" a="1"/>
  <c r="N838" i="7" s="1"/>
  <c r="O838" i="7" s="1"/>
  <c r="M838" i="7" a="1"/>
  <c r="M838" i="7" s="1"/>
  <c r="L838" i="7"/>
  <c r="K838" i="7" a="1"/>
  <c r="K838" i="7" s="1"/>
  <c r="F838" i="7"/>
  <c r="T837" i="7"/>
  <c r="S837" i="7"/>
  <c r="R837" i="7"/>
  <c r="Q837" i="7" a="1"/>
  <c r="Q837" i="7" s="1"/>
  <c r="P837" i="7"/>
  <c r="N837" i="7" a="1"/>
  <c r="N837" i="7" s="1"/>
  <c r="O837" i="7" s="1"/>
  <c r="M837" i="7" a="1"/>
  <c r="M837" i="7" s="1"/>
  <c r="L837" i="7"/>
  <c r="K837" i="7" a="1"/>
  <c r="K837" i="7" s="1"/>
  <c r="F837" i="7"/>
  <c r="T836" i="7"/>
  <c r="S836" i="7"/>
  <c r="R836" i="7"/>
  <c r="Q836" i="7" a="1"/>
  <c r="Q836" i="7" s="1"/>
  <c r="P836" i="7"/>
  <c r="N836" i="7" a="1"/>
  <c r="N836" i="7" s="1"/>
  <c r="O836" i="7" s="1"/>
  <c r="M836" i="7" a="1"/>
  <c r="M836" i="7" s="1"/>
  <c r="L836" i="7"/>
  <c r="K836" i="7" a="1"/>
  <c r="K836" i="7" s="1"/>
  <c r="F836" i="7"/>
  <c r="T835" i="7"/>
  <c r="S835" i="7"/>
  <c r="R835" i="7"/>
  <c r="Q835" i="7" a="1"/>
  <c r="Q835" i="7" s="1"/>
  <c r="P835" i="7"/>
  <c r="N835" i="7" a="1"/>
  <c r="N835" i="7" s="1"/>
  <c r="O835" i="7" s="1"/>
  <c r="M835" i="7" a="1"/>
  <c r="M835" i="7" s="1"/>
  <c r="L835" i="7"/>
  <c r="K835" i="7" a="1"/>
  <c r="K835" i="7" s="1"/>
  <c r="F835" i="7"/>
  <c r="T834" i="7"/>
  <c r="S834" i="7"/>
  <c r="R834" i="7"/>
  <c r="Q834" i="7" a="1"/>
  <c r="Q834" i="7" s="1"/>
  <c r="P834" i="7"/>
  <c r="N834" i="7" a="1"/>
  <c r="N834" i="7" s="1"/>
  <c r="O834" i="7" s="1"/>
  <c r="M834" i="7" a="1"/>
  <c r="M834" i="7" s="1"/>
  <c r="L834" i="7"/>
  <c r="K834" i="7" a="1"/>
  <c r="K834" i="7" s="1"/>
  <c r="F834" i="7"/>
  <c r="T833" i="7"/>
  <c r="S833" i="7"/>
  <c r="R833" i="7"/>
  <c r="Q833" i="7" a="1"/>
  <c r="Q833" i="7" s="1"/>
  <c r="P833" i="7"/>
  <c r="N833" i="7" a="1"/>
  <c r="N833" i="7" s="1"/>
  <c r="O833" i="7" s="1"/>
  <c r="M833" i="7" a="1"/>
  <c r="M833" i="7" s="1"/>
  <c r="L833" i="7"/>
  <c r="K833" i="7" a="1"/>
  <c r="K833" i="7" s="1"/>
  <c r="F833" i="7"/>
  <c r="T832" i="7"/>
  <c r="S832" i="7"/>
  <c r="R832" i="7"/>
  <c r="Q832" i="7" a="1"/>
  <c r="Q832" i="7" s="1"/>
  <c r="P832" i="7"/>
  <c r="N832" i="7" a="1"/>
  <c r="N832" i="7" s="1"/>
  <c r="O832" i="7" s="1"/>
  <c r="M832" i="7" a="1"/>
  <c r="M832" i="7" s="1"/>
  <c r="L832" i="7"/>
  <c r="K832" i="7" a="1"/>
  <c r="K832" i="7" s="1"/>
  <c r="F832" i="7"/>
  <c r="T831" i="7"/>
  <c r="S831" i="7"/>
  <c r="R831" i="7"/>
  <c r="Q831" i="7" a="1"/>
  <c r="Q831" i="7" s="1"/>
  <c r="P831" i="7"/>
  <c r="N831" i="7" a="1"/>
  <c r="N831" i="7" s="1"/>
  <c r="O831" i="7" s="1"/>
  <c r="M831" i="7" a="1"/>
  <c r="M831" i="7" s="1"/>
  <c r="L831" i="7"/>
  <c r="K831" i="7" a="1"/>
  <c r="K831" i="7" s="1"/>
  <c r="F831" i="7"/>
  <c r="T830" i="7"/>
  <c r="S830" i="7"/>
  <c r="R830" i="7"/>
  <c r="Q830" i="7" a="1"/>
  <c r="Q830" i="7" s="1"/>
  <c r="P830" i="7"/>
  <c r="N830" i="7" a="1"/>
  <c r="N830" i="7" s="1"/>
  <c r="O830" i="7" s="1"/>
  <c r="M830" i="7" a="1"/>
  <c r="M830" i="7" s="1"/>
  <c r="L830" i="7"/>
  <c r="K830" i="7" a="1"/>
  <c r="K830" i="7" s="1"/>
  <c r="F830" i="7"/>
  <c r="T829" i="7"/>
  <c r="S829" i="7"/>
  <c r="R829" i="7"/>
  <c r="Q829" i="7" a="1"/>
  <c r="Q829" i="7" s="1"/>
  <c r="P829" i="7"/>
  <c r="N829" i="7" a="1"/>
  <c r="N829" i="7" s="1"/>
  <c r="O829" i="7" s="1"/>
  <c r="M829" i="7" a="1"/>
  <c r="M829" i="7" s="1"/>
  <c r="L829" i="7"/>
  <c r="K829" i="7" a="1"/>
  <c r="K829" i="7" s="1"/>
  <c r="F829" i="7"/>
  <c r="T828" i="7"/>
  <c r="S828" i="7"/>
  <c r="R828" i="7"/>
  <c r="Q828" i="7" a="1"/>
  <c r="Q828" i="7" s="1"/>
  <c r="P828" i="7"/>
  <c r="N828" i="7" a="1"/>
  <c r="N828" i="7" s="1"/>
  <c r="O828" i="7" s="1"/>
  <c r="M828" i="7" a="1"/>
  <c r="M828" i="7" s="1"/>
  <c r="L828" i="7"/>
  <c r="K828" i="7" a="1"/>
  <c r="K828" i="7" s="1"/>
  <c r="F828" i="7"/>
  <c r="T827" i="7"/>
  <c r="S827" i="7"/>
  <c r="R827" i="7"/>
  <c r="Q827" i="7" a="1"/>
  <c r="Q827" i="7" s="1"/>
  <c r="P827" i="7"/>
  <c r="N827" i="7" a="1"/>
  <c r="N827" i="7" s="1"/>
  <c r="O827" i="7" s="1"/>
  <c r="M827" i="7" a="1"/>
  <c r="M827" i="7" s="1"/>
  <c r="L827" i="7"/>
  <c r="K827" i="7" a="1"/>
  <c r="K827" i="7" s="1"/>
  <c r="F827" i="7"/>
  <c r="T826" i="7"/>
  <c r="S826" i="7"/>
  <c r="R826" i="7"/>
  <c r="Q826" i="7" a="1"/>
  <c r="Q826" i="7" s="1"/>
  <c r="P826" i="7"/>
  <c r="N826" i="7" a="1"/>
  <c r="N826" i="7" s="1"/>
  <c r="O826" i="7" s="1"/>
  <c r="M826" i="7" a="1"/>
  <c r="M826" i="7" s="1"/>
  <c r="L826" i="7"/>
  <c r="K826" i="7" a="1"/>
  <c r="K826" i="7" s="1"/>
  <c r="F826" i="7"/>
  <c r="T825" i="7"/>
  <c r="S825" i="7"/>
  <c r="R825" i="7"/>
  <c r="Q825" i="7" a="1"/>
  <c r="Q825" i="7" s="1"/>
  <c r="P825" i="7"/>
  <c r="N825" i="7" a="1"/>
  <c r="N825" i="7" s="1"/>
  <c r="O825" i="7" s="1"/>
  <c r="M825" i="7" a="1"/>
  <c r="M825" i="7" s="1"/>
  <c r="L825" i="7"/>
  <c r="K825" i="7" a="1"/>
  <c r="K825" i="7" s="1"/>
  <c r="F825" i="7"/>
  <c r="T824" i="7"/>
  <c r="S824" i="7"/>
  <c r="R824" i="7"/>
  <c r="Q824" i="7" a="1"/>
  <c r="Q824" i="7" s="1"/>
  <c r="P824" i="7"/>
  <c r="N824" i="7" a="1"/>
  <c r="N824" i="7" s="1"/>
  <c r="O824" i="7" s="1"/>
  <c r="M824" i="7" a="1"/>
  <c r="M824" i="7" s="1"/>
  <c r="L824" i="7"/>
  <c r="K824" i="7" a="1"/>
  <c r="K824" i="7" s="1"/>
  <c r="F824" i="7"/>
  <c r="T823" i="7"/>
  <c r="S823" i="7"/>
  <c r="R823" i="7"/>
  <c r="Q823" i="7" a="1"/>
  <c r="Q823" i="7" s="1"/>
  <c r="P823" i="7"/>
  <c r="N823" i="7" a="1"/>
  <c r="N823" i="7" s="1"/>
  <c r="O823" i="7" s="1"/>
  <c r="M823" i="7" a="1"/>
  <c r="M823" i="7" s="1"/>
  <c r="L823" i="7"/>
  <c r="K823" i="7" a="1"/>
  <c r="K823" i="7" s="1"/>
  <c r="F823" i="7"/>
  <c r="T822" i="7"/>
  <c r="S822" i="7"/>
  <c r="R822" i="7"/>
  <c r="Q822" i="7" a="1"/>
  <c r="Q822" i="7" s="1"/>
  <c r="P822" i="7"/>
  <c r="N822" i="7" a="1"/>
  <c r="N822" i="7" s="1"/>
  <c r="O822" i="7" s="1"/>
  <c r="M822" i="7" a="1"/>
  <c r="M822" i="7" s="1"/>
  <c r="L822" i="7"/>
  <c r="K822" i="7" a="1"/>
  <c r="K822" i="7" s="1"/>
  <c r="F822" i="7"/>
  <c r="T821" i="7"/>
  <c r="S821" i="7"/>
  <c r="R821" i="7"/>
  <c r="Q821" i="7" a="1"/>
  <c r="Q821" i="7" s="1"/>
  <c r="P821" i="7"/>
  <c r="N821" i="7" a="1"/>
  <c r="N821" i="7" s="1"/>
  <c r="O821" i="7" s="1"/>
  <c r="M821" i="7" a="1"/>
  <c r="M821" i="7" s="1"/>
  <c r="L821" i="7"/>
  <c r="K821" i="7" a="1"/>
  <c r="K821" i="7" s="1"/>
  <c r="F821" i="7"/>
  <c r="T820" i="7"/>
  <c r="S820" i="7"/>
  <c r="R820" i="7"/>
  <c r="Q820" i="7" a="1"/>
  <c r="Q820" i="7" s="1"/>
  <c r="P820" i="7"/>
  <c r="N820" i="7" a="1"/>
  <c r="N820" i="7" s="1"/>
  <c r="O820" i="7" s="1"/>
  <c r="M820" i="7" a="1"/>
  <c r="M820" i="7" s="1"/>
  <c r="L820" i="7"/>
  <c r="K820" i="7" a="1"/>
  <c r="K820" i="7" s="1"/>
  <c r="F820" i="7"/>
  <c r="T819" i="7"/>
  <c r="S819" i="7"/>
  <c r="R819" i="7"/>
  <c r="Q819" i="7" a="1"/>
  <c r="Q819" i="7" s="1"/>
  <c r="P819" i="7"/>
  <c r="N819" i="7" a="1"/>
  <c r="N819" i="7" s="1"/>
  <c r="O819" i="7" s="1"/>
  <c r="M819" i="7" a="1"/>
  <c r="M819" i="7" s="1"/>
  <c r="L819" i="7"/>
  <c r="K819" i="7" a="1"/>
  <c r="K819" i="7" s="1"/>
  <c r="F819" i="7"/>
  <c r="T818" i="7"/>
  <c r="S818" i="7"/>
  <c r="R818" i="7"/>
  <c r="Q818" i="7" a="1"/>
  <c r="Q818" i="7" s="1"/>
  <c r="P818" i="7"/>
  <c r="N818" i="7" a="1"/>
  <c r="N818" i="7" s="1"/>
  <c r="O818" i="7" s="1"/>
  <c r="M818" i="7" a="1"/>
  <c r="M818" i="7" s="1"/>
  <c r="L818" i="7"/>
  <c r="K818" i="7" a="1"/>
  <c r="K818" i="7" s="1"/>
  <c r="F818" i="7"/>
  <c r="T817" i="7"/>
  <c r="S817" i="7"/>
  <c r="R817" i="7"/>
  <c r="Q817" i="7" a="1"/>
  <c r="Q817" i="7" s="1"/>
  <c r="P817" i="7"/>
  <c r="N817" i="7" a="1"/>
  <c r="N817" i="7" s="1"/>
  <c r="O817" i="7" s="1"/>
  <c r="M817" i="7" a="1"/>
  <c r="M817" i="7" s="1"/>
  <c r="L817" i="7"/>
  <c r="K817" i="7" a="1"/>
  <c r="K817" i="7" s="1"/>
  <c r="F817" i="7"/>
  <c r="T816" i="7"/>
  <c r="S816" i="7"/>
  <c r="R816" i="7"/>
  <c r="Q816" i="7" a="1"/>
  <c r="Q816" i="7" s="1"/>
  <c r="P816" i="7"/>
  <c r="N816" i="7" a="1"/>
  <c r="N816" i="7" s="1"/>
  <c r="O816" i="7" s="1"/>
  <c r="M816" i="7" a="1"/>
  <c r="M816" i="7" s="1"/>
  <c r="L816" i="7"/>
  <c r="K816" i="7" a="1"/>
  <c r="K816" i="7" s="1"/>
  <c r="F816" i="7"/>
  <c r="T815" i="7"/>
  <c r="S815" i="7"/>
  <c r="R815" i="7"/>
  <c r="Q815" i="7" a="1"/>
  <c r="Q815" i="7" s="1"/>
  <c r="P815" i="7"/>
  <c r="N815" i="7" a="1"/>
  <c r="N815" i="7" s="1"/>
  <c r="O815" i="7" s="1"/>
  <c r="M815" i="7" a="1"/>
  <c r="M815" i="7" s="1"/>
  <c r="L815" i="7"/>
  <c r="K815" i="7" a="1"/>
  <c r="K815" i="7" s="1"/>
  <c r="F815" i="7"/>
  <c r="T814" i="7"/>
  <c r="S814" i="7"/>
  <c r="R814" i="7"/>
  <c r="Q814" i="7" a="1"/>
  <c r="Q814" i="7" s="1"/>
  <c r="P814" i="7"/>
  <c r="N814" i="7" a="1"/>
  <c r="N814" i="7" s="1"/>
  <c r="O814" i="7" s="1"/>
  <c r="M814" i="7" a="1"/>
  <c r="M814" i="7" s="1"/>
  <c r="L814" i="7"/>
  <c r="K814" i="7" a="1"/>
  <c r="K814" i="7" s="1"/>
  <c r="F814" i="7"/>
  <c r="T813" i="7"/>
  <c r="S813" i="7"/>
  <c r="R813" i="7"/>
  <c r="Q813" i="7" a="1"/>
  <c r="Q813" i="7" s="1"/>
  <c r="P813" i="7"/>
  <c r="N813" i="7" a="1"/>
  <c r="N813" i="7" s="1"/>
  <c r="O813" i="7" s="1"/>
  <c r="M813" i="7" a="1"/>
  <c r="M813" i="7" s="1"/>
  <c r="L813" i="7"/>
  <c r="K813" i="7" a="1"/>
  <c r="K813" i="7" s="1"/>
  <c r="F813" i="7"/>
  <c r="T812" i="7"/>
  <c r="S812" i="7"/>
  <c r="R812" i="7"/>
  <c r="Q812" i="7" a="1"/>
  <c r="Q812" i="7" s="1"/>
  <c r="P812" i="7"/>
  <c r="N812" i="7" a="1"/>
  <c r="N812" i="7" s="1"/>
  <c r="O812" i="7" s="1"/>
  <c r="M812" i="7" a="1"/>
  <c r="M812" i="7" s="1"/>
  <c r="L812" i="7"/>
  <c r="K812" i="7" a="1"/>
  <c r="K812" i="7" s="1"/>
  <c r="F812" i="7"/>
  <c r="T811" i="7"/>
  <c r="S811" i="7"/>
  <c r="R811" i="7"/>
  <c r="Q811" i="7" a="1"/>
  <c r="Q811" i="7" s="1"/>
  <c r="P811" i="7"/>
  <c r="N811" i="7" a="1"/>
  <c r="N811" i="7" s="1"/>
  <c r="O811" i="7" s="1"/>
  <c r="M811" i="7" a="1"/>
  <c r="M811" i="7" s="1"/>
  <c r="L811" i="7"/>
  <c r="K811" i="7" a="1"/>
  <c r="K811" i="7" s="1"/>
  <c r="F811" i="7"/>
  <c r="T810" i="7"/>
  <c r="S810" i="7"/>
  <c r="R810" i="7"/>
  <c r="Q810" i="7" a="1"/>
  <c r="Q810" i="7" s="1"/>
  <c r="P810" i="7"/>
  <c r="N810" i="7" a="1"/>
  <c r="N810" i="7" s="1"/>
  <c r="O810" i="7" s="1"/>
  <c r="M810" i="7" a="1"/>
  <c r="M810" i="7" s="1"/>
  <c r="L810" i="7"/>
  <c r="K810" i="7" a="1"/>
  <c r="K810" i="7" s="1"/>
  <c r="F810" i="7"/>
  <c r="T809" i="7"/>
  <c r="S809" i="7"/>
  <c r="R809" i="7"/>
  <c r="Q809" i="7" a="1"/>
  <c r="Q809" i="7" s="1"/>
  <c r="P809" i="7"/>
  <c r="N809" i="7" a="1"/>
  <c r="N809" i="7" s="1"/>
  <c r="O809" i="7" s="1"/>
  <c r="M809" i="7" a="1"/>
  <c r="M809" i="7" s="1"/>
  <c r="L809" i="7"/>
  <c r="K809" i="7" a="1"/>
  <c r="K809" i="7" s="1"/>
  <c r="F809" i="7"/>
  <c r="T808" i="7"/>
  <c r="S808" i="7"/>
  <c r="R808" i="7"/>
  <c r="Q808" i="7" a="1"/>
  <c r="Q808" i="7" s="1"/>
  <c r="P808" i="7"/>
  <c r="N808" i="7" a="1"/>
  <c r="N808" i="7" s="1"/>
  <c r="O808" i="7" s="1"/>
  <c r="M808" i="7" a="1"/>
  <c r="M808" i="7" s="1"/>
  <c r="L808" i="7"/>
  <c r="K808" i="7" a="1"/>
  <c r="K808" i="7" s="1"/>
  <c r="F808" i="7"/>
  <c r="T807" i="7"/>
  <c r="S807" i="7"/>
  <c r="R807" i="7"/>
  <c r="Q807" i="7" a="1"/>
  <c r="Q807" i="7" s="1"/>
  <c r="P807" i="7"/>
  <c r="N807" i="7" a="1"/>
  <c r="N807" i="7" s="1"/>
  <c r="O807" i="7" s="1"/>
  <c r="M807" i="7" a="1"/>
  <c r="M807" i="7" s="1"/>
  <c r="L807" i="7"/>
  <c r="K807" i="7" a="1"/>
  <c r="K807" i="7" s="1"/>
  <c r="F807" i="7"/>
  <c r="T806" i="7"/>
  <c r="S806" i="7"/>
  <c r="R806" i="7"/>
  <c r="Q806" i="7" a="1"/>
  <c r="Q806" i="7" s="1"/>
  <c r="P806" i="7"/>
  <c r="N806" i="7" a="1"/>
  <c r="N806" i="7" s="1"/>
  <c r="O806" i="7" s="1"/>
  <c r="M806" i="7" a="1"/>
  <c r="M806" i="7" s="1"/>
  <c r="L806" i="7"/>
  <c r="K806" i="7" a="1"/>
  <c r="K806" i="7" s="1"/>
  <c r="F806" i="7"/>
  <c r="T805" i="7"/>
  <c r="S805" i="7"/>
  <c r="R805" i="7"/>
  <c r="Q805" i="7" a="1"/>
  <c r="Q805" i="7" s="1"/>
  <c r="P805" i="7"/>
  <c r="N805" i="7" a="1"/>
  <c r="N805" i="7" s="1"/>
  <c r="O805" i="7" s="1"/>
  <c r="M805" i="7" a="1"/>
  <c r="M805" i="7" s="1"/>
  <c r="L805" i="7"/>
  <c r="K805" i="7" a="1"/>
  <c r="K805" i="7" s="1"/>
  <c r="F805" i="7"/>
  <c r="T804" i="7"/>
  <c r="S804" i="7"/>
  <c r="R804" i="7"/>
  <c r="Q804" i="7" a="1"/>
  <c r="Q804" i="7" s="1"/>
  <c r="P804" i="7"/>
  <c r="N804" i="7" a="1"/>
  <c r="N804" i="7" s="1"/>
  <c r="O804" i="7" s="1"/>
  <c r="M804" i="7" a="1"/>
  <c r="M804" i="7" s="1"/>
  <c r="L804" i="7"/>
  <c r="K804" i="7" a="1"/>
  <c r="K804" i="7" s="1"/>
  <c r="F804" i="7"/>
  <c r="T803" i="7"/>
  <c r="S803" i="7"/>
  <c r="R803" i="7"/>
  <c r="Q803" i="7" a="1"/>
  <c r="Q803" i="7" s="1"/>
  <c r="P803" i="7"/>
  <c r="N803" i="7" a="1"/>
  <c r="N803" i="7" s="1"/>
  <c r="O803" i="7" s="1"/>
  <c r="M803" i="7" a="1"/>
  <c r="M803" i="7" s="1"/>
  <c r="L803" i="7"/>
  <c r="K803" i="7" a="1"/>
  <c r="K803" i="7" s="1"/>
  <c r="F803" i="7"/>
  <c r="T802" i="7"/>
  <c r="S802" i="7"/>
  <c r="R802" i="7"/>
  <c r="Q802" i="7" a="1"/>
  <c r="Q802" i="7" s="1"/>
  <c r="P802" i="7"/>
  <c r="N802" i="7" a="1"/>
  <c r="N802" i="7" s="1"/>
  <c r="O802" i="7" s="1"/>
  <c r="M802" i="7" a="1"/>
  <c r="M802" i="7" s="1"/>
  <c r="L802" i="7"/>
  <c r="K802" i="7" a="1"/>
  <c r="K802" i="7" s="1"/>
  <c r="F802" i="7"/>
  <c r="T801" i="7"/>
  <c r="S801" i="7"/>
  <c r="R801" i="7"/>
  <c r="Q801" i="7" a="1"/>
  <c r="Q801" i="7" s="1"/>
  <c r="P801" i="7"/>
  <c r="N801" i="7" a="1"/>
  <c r="N801" i="7" s="1"/>
  <c r="O801" i="7" s="1"/>
  <c r="M801" i="7" a="1"/>
  <c r="M801" i="7" s="1"/>
  <c r="L801" i="7"/>
  <c r="K801" i="7" a="1"/>
  <c r="K801" i="7" s="1"/>
  <c r="F801" i="7"/>
  <c r="T800" i="7"/>
  <c r="S800" i="7"/>
  <c r="R800" i="7"/>
  <c r="Q800" i="7" a="1"/>
  <c r="Q800" i="7" s="1"/>
  <c r="P800" i="7"/>
  <c r="N800" i="7" a="1"/>
  <c r="N800" i="7" s="1"/>
  <c r="O800" i="7" s="1"/>
  <c r="M800" i="7" a="1"/>
  <c r="M800" i="7" s="1"/>
  <c r="L800" i="7"/>
  <c r="K800" i="7" a="1"/>
  <c r="K800" i="7" s="1"/>
  <c r="F800" i="7"/>
  <c r="T799" i="7"/>
  <c r="S799" i="7"/>
  <c r="R799" i="7"/>
  <c r="Q799" i="7" a="1"/>
  <c r="Q799" i="7" s="1"/>
  <c r="P799" i="7"/>
  <c r="N799" i="7" a="1"/>
  <c r="N799" i="7" s="1"/>
  <c r="O799" i="7" s="1"/>
  <c r="M799" i="7" a="1"/>
  <c r="M799" i="7" s="1"/>
  <c r="L799" i="7"/>
  <c r="K799" i="7" a="1"/>
  <c r="K799" i="7" s="1"/>
  <c r="F799" i="7"/>
  <c r="T798" i="7"/>
  <c r="S798" i="7"/>
  <c r="R798" i="7"/>
  <c r="Q798" i="7" a="1"/>
  <c r="Q798" i="7" s="1"/>
  <c r="P798" i="7"/>
  <c r="N798" i="7" a="1"/>
  <c r="N798" i="7" s="1"/>
  <c r="O798" i="7" s="1"/>
  <c r="M798" i="7" a="1"/>
  <c r="M798" i="7" s="1"/>
  <c r="L798" i="7"/>
  <c r="K798" i="7" a="1"/>
  <c r="K798" i="7" s="1"/>
  <c r="F798" i="7"/>
  <c r="T797" i="7"/>
  <c r="S797" i="7"/>
  <c r="R797" i="7"/>
  <c r="Q797" i="7" a="1"/>
  <c r="Q797" i="7" s="1"/>
  <c r="P797" i="7"/>
  <c r="N797" i="7" a="1"/>
  <c r="N797" i="7" s="1"/>
  <c r="O797" i="7" s="1"/>
  <c r="M797" i="7" a="1"/>
  <c r="M797" i="7" s="1"/>
  <c r="L797" i="7"/>
  <c r="K797" i="7" a="1"/>
  <c r="K797" i="7" s="1"/>
  <c r="F797" i="7"/>
  <c r="T796" i="7"/>
  <c r="S796" i="7"/>
  <c r="R796" i="7"/>
  <c r="Q796" i="7" a="1"/>
  <c r="Q796" i="7" s="1"/>
  <c r="P796" i="7"/>
  <c r="N796" i="7" a="1"/>
  <c r="N796" i="7" s="1"/>
  <c r="O796" i="7" s="1"/>
  <c r="M796" i="7" a="1"/>
  <c r="M796" i="7" s="1"/>
  <c r="L796" i="7"/>
  <c r="K796" i="7" a="1"/>
  <c r="K796" i="7" s="1"/>
  <c r="F796" i="7"/>
  <c r="T795" i="7"/>
  <c r="S795" i="7"/>
  <c r="R795" i="7"/>
  <c r="Q795" i="7" a="1"/>
  <c r="Q795" i="7" s="1"/>
  <c r="P795" i="7"/>
  <c r="N795" i="7" a="1"/>
  <c r="N795" i="7" s="1"/>
  <c r="O795" i="7" s="1"/>
  <c r="M795" i="7" a="1"/>
  <c r="M795" i="7" s="1"/>
  <c r="L795" i="7"/>
  <c r="K795" i="7" a="1"/>
  <c r="K795" i="7" s="1"/>
  <c r="F795" i="7"/>
  <c r="T794" i="7"/>
  <c r="S794" i="7"/>
  <c r="R794" i="7"/>
  <c r="Q794" i="7" a="1"/>
  <c r="Q794" i="7" s="1"/>
  <c r="P794" i="7"/>
  <c r="N794" i="7" a="1"/>
  <c r="N794" i="7" s="1"/>
  <c r="O794" i="7" s="1"/>
  <c r="M794" i="7" a="1"/>
  <c r="M794" i="7" s="1"/>
  <c r="L794" i="7"/>
  <c r="K794" i="7" a="1"/>
  <c r="K794" i="7" s="1"/>
  <c r="F794" i="7"/>
  <c r="T793" i="7"/>
  <c r="S793" i="7"/>
  <c r="R793" i="7"/>
  <c r="Q793" i="7" a="1"/>
  <c r="Q793" i="7" s="1"/>
  <c r="P793" i="7"/>
  <c r="N793" i="7" a="1"/>
  <c r="N793" i="7" s="1"/>
  <c r="O793" i="7" s="1"/>
  <c r="M793" i="7" a="1"/>
  <c r="M793" i="7" s="1"/>
  <c r="L793" i="7"/>
  <c r="K793" i="7" a="1"/>
  <c r="K793" i="7" s="1"/>
  <c r="F793" i="7"/>
  <c r="T792" i="7"/>
  <c r="S792" i="7"/>
  <c r="R792" i="7"/>
  <c r="Q792" i="7" a="1"/>
  <c r="Q792" i="7" s="1"/>
  <c r="P792" i="7"/>
  <c r="N792" i="7" a="1"/>
  <c r="N792" i="7" s="1"/>
  <c r="O792" i="7" s="1"/>
  <c r="M792" i="7" a="1"/>
  <c r="M792" i="7" s="1"/>
  <c r="L792" i="7"/>
  <c r="K792" i="7" a="1"/>
  <c r="K792" i="7" s="1"/>
  <c r="F792" i="7"/>
  <c r="T791" i="7"/>
  <c r="S791" i="7"/>
  <c r="R791" i="7"/>
  <c r="Q791" i="7" a="1"/>
  <c r="Q791" i="7" s="1"/>
  <c r="P791" i="7"/>
  <c r="N791" i="7" a="1"/>
  <c r="N791" i="7" s="1"/>
  <c r="O791" i="7" s="1"/>
  <c r="M791" i="7" a="1"/>
  <c r="M791" i="7" s="1"/>
  <c r="L791" i="7"/>
  <c r="K791" i="7" a="1"/>
  <c r="K791" i="7" s="1"/>
  <c r="F791" i="7"/>
  <c r="T790" i="7"/>
  <c r="S790" i="7"/>
  <c r="R790" i="7"/>
  <c r="Q790" i="7" a="1"/>
  <c r="Q790" i="7" s="1"/>
  <c r="P790" i="7"/>
  <c r="N790" i="7" a="1"/>
  <c r="N790" i="7" s="1"/>
  <c r="O790" i="7" s="1"/>
  <c r="M790" i="7" a="1"/>
  <c r="M790" i="7" s="1"/>
  <c r="L790" i="7"/>
  <c r="K790" i="7" a="1"/>
  <c r="K790" i="7" s="1"/>
  <c r="F790" i="7"/>
  <c r="T789" i="7"/>
  <c r="S789" i="7"/>
  <c r="R789" i="7"/>
  <c r="Q789" i="7" a="1"/>
  <c r="Q789" i="7" s="1"/>
  <c r="P789" i="7"/>
  <c r="N789" i="7" a="1"/>
  <c r="N789" i="7" s="1"/>
  <c r="O789" i="7" s="1"/>
  <c r="M789" i="7" a="1"/>
  <c r="M789" i="7" s="1"/>
  <c r="L789" i="7"/>
  <c r="K789" i="7" a="1"/>
  <c r="K789" i="7" s="1"/>
  <c r="F789" i="7"/>
  <c r="T788" i="7"/>
  <c r="S788" i="7"/>
  <c r="R788" i="7"/>
  <c r="Q788" i="7" a="1"/>
  <c r="Q788" i="7" s="1"/>
  <c r="P788" i="7"/>
  <c r="N788" i="7" a="1"/>
  <c r="N788" i="7" s="1"/>
  <c r="O788" i="7" s="1"/>
  <c r="M788" i="7" a="1"/>
  <c r="M788" i="7" s="1"/>
  <c r="L788" i="7"/>
  <c r="K788" i="7" a="1"/>
  <c r="K788" i="7" s="1"/>
  <c r="F788" i="7"/>
  <c r="T787" i="7"/>
  <c r="S787" i="7"/>
  <c r="R787" i="7"/>
  <c r="Q787" i="7" a="1"/>
  <c r="Q787" i="7" s="1"/>
  <c r="P787" i="7"/>
  <c r="N787" i="7" a="1"/>
  <c r="N787" i="7" s="1"/>
  <c r="O787" i="7" s="1"/>
  <c r="M787" i="7" a="1"/>
  <c r="M787" i="7" s="1"/>
  <c r="L787" i="7"/>
  <c r="K787" i="7" a="1"/>
  <c r="K787" i="7" s="1"/>
  <c r="F787" i="7"/>
  <c r="T786" i="7"/>
  <c r="S786" i="7"/>
  <c r="R786" i="7"/>
  <c r="Q786" i="7" a="1"/>
  <c r="Q786" i="7" s="1"/>
  <c r="P786" i="7"/>
  <c r="N786" i="7" a="1"/>
  <c r="N786" i="7" s="1"/>
  <c r="O786" i="7" s="1"/>
  <c r="M786" i="7" a="1"/>
  <c r="M786" i="7" s="1"/>
  <c r="L786" i="7"/>
  <c r="K786" i="7" a="1"/>
  <c r="K786" i="7" s="1"/>
  <c r="F786" i="7"/>
  <c r="T785" i="7"/>
  <c r="S785" i="7"/>
  <c r="R785" i="7"/>
  <c r="Q785" i="7" a="1"/>
  <c r="Q785" i="7" s="1"/>
  <c r="P785" i="7"/>
  <c r="N785" i="7" a="1"/>
  <c r="N785" i="7" s="1"/>
  <c r="O785" i="7" s="1"/>
  <c r="M785" i="7" a="1"/>
  <c r="M785" i="7" s="1"/>
  <c r="L785" i="7"/>
  <c r="K785" i="7" a="1"/>
  <c r="K785" i="7" s="1"/>
  <c r="F785" i="7"/>
  <c r="T784" i="7"/>
  <c r="S784" i="7"/>
  <c r="R784" i="7"/>
  <c r="Q784" i="7" a="1"/>
  <c r="Q784" i="7" s="1"/>
  <c r="P784" i="7"/>
  <c r="N784" i="7" a="1"/>
  <c r="N784" i="7" s="1"/>
  <c r="O784" i="7" s="1"/>
  <c r="M784" i="7" a="1"/>
  <c r="M784" i="7" s="1"/>
  <c r="L784" i="7"/>
  <c r="K784" i="7" a="1"/>
  <c r="K784" i="7" s="1"/>
  <c r="F784" i="7"/>
  <c r="T783" i="7"/>
  <c r="S783" i="7"/>
  <c r="R783" i="7"/>
  <c r="Q783" i="7" a="1"/>
  <c r="Q783" i="7" s="1"/>
  <c r="P783" i="7"/>
  <c r="N783" i="7" a="1"/>
  <c r="N783" i="7" s="1"/>
  <c r="O783" i="7" s="1"/>
  <c r="M783" i="7" a="1"/>
  <c r="M783" i="7" s="1"/>
  <c r="L783" i="7"/>
  <c r="K783" i="7" a="1"/>
  <c r="K783" i="7" s="1"/>
  <c r="F783" i="7"/>
  <c r="T782" i="7"/>
  <c r="S782" i="7"/>
  <c r="R782" i="7"/>
  <c r="Q782" i="7" a="1"/>
  <c r="Q782" i="7" s="1"/>
  <c r="P782" i="7"/>
  <c r="N782" i="7" a="1"/>
  <c r="N782" i="7" s="1"/>
  <c r="O782" i="7" s="1"/>
  <c r="M782" i="7" a="1"/>
  <c r="M782" i="7" s="1"/>
  <c r="L782" i="7"/>
  <c r="K782" i="7" a="1"/>
  <c r="K782" i="7" s="1"/>
  <c r="F782" i="7"/>
  <c r="T781" i="7"/>
  <c r="S781" i="7"/>
  <c r="R781" i="7"/>
  <c r="Q781" i="7" a="1"/>
  <c r="Q781" i="7" s="1"/>
  <c r="P781" i="7"/>
  <c r="N781" i="7" a="1"/>
  <c r="N781" i="7" s="1"/>
  <c r="O781" i="7" s="1"/>
  <c r="M781" i="7" a="1"/>
  <c r="M781" i="7" s="1"/>
  <c r="L781" i="7"/>
  <c r="K781" i="7" a="1"/>
  <c r="K781" i="7" s="1"/>
  <c r="F781" i="7"/>
  <c r="T780" i="7"/>
  <c r="S780" i="7"/>
  <c r="R780" i="7"/>
  <c r="Q780" i="7" a="1"/>
  <c r="Q780" i="7" s="1"/>
  <c r="P780" i="7"/>
  <c r="N780" i="7" a="1"/>
  <c r="N780" i="7" s="1"/>
  <c r="O780" i="7" s="1"/>
  <c r="M780" i="7" a="1"/>
  <c r="M780" i="7" s="1"/>
  <c r="L780" i="7"/>
  <c r="K780" i="7" a="1"/>
  <c r="K780" i="7" s="1"/>
  <c r="F780" i="7"/>
  <c r="T779" i="7"/>
  <c r="S779" i="7"/>
  <c r="R779" i="7"/>
  <c r="Q779" i="7" a="1"/>
  <c r="Q779" i="7" s="1"/>
  <c r="P779" i="7"/>
  <c r="N779" i="7" a="1"/>
  <c r="N779" i="7" s="1"/>
  <c r="O779" i="7" s="1"/>
  <c r="M779" i="7" a="1"/>
  <c r="M779" i="7" s="1"/>
  <c r="L779" i="7"/>
  <c r="K779" i="7" a="1"/>
  <c r="K779" i="7" s="1"/>
  <c r="F779" i="7"/>
  <c r="T778" i="7"/>
  <c r="S778" i="7"/>
  <c r="R778" i="7"/>
  <c r="Q778" i="7" a="1"/>
  <c r="Q778" i="7" s="1"/>
  <c r="P778" i="7"/>
  <c r="N778" i="7" a="1"/>
  <c r="N778" i="7" s="1"/>
  <c r="O778" i="7" s="1"/>
  <c r="M778" i="7" a="1"/>
  <c r="M778" i="7" s="1"/>
  <c r="L778" i="7"/>
  <c r="K778" i="7" a="1"/>
  <c r="K778" i="7" s="1"/>
  <c r="F778" i="7"/>
  <c r="T777" i="7"/>
  <c r="S777" i="7"/>
  <c r="R777" i="7"/>
  <c r="Q777" i="7" a="1"/>
  <c r="Q777" i="7" s="1"/>
  <c r="P777" i="7"/>
  <c r="N777" i="7" a="1"/>
  <c r="N777" i="7" s="1"/>
  <c r="O777" i="7" s="1"/>
  <c r="M777" i="7" a="1"/>
  <c r="M777" i="7" s="1"/>
  <c r="L777" i="7"/>
  <c r="K777" i="7" a="1"/>
  <c r="K777" i="7" s="1"/>
  <c r="F777" i="7"/>
  <c r="T776" i="7"/>
  <c r="S776" i="7"/>
  <c r="R776" i="7"/>
  <c r="Q776" i="7" a="1"/>
  <c r="Q776" i="7" s="1"/>
  <c r="P776" i="7"/>
  <c r="N776" i="7" a="1"/>
  <c r="N776" i="7" s="1"/>
  <c r="O776" i="7" s="1"/>
  <c r="M776" i="7" a="1"/>
  <c r="M776" i="7" s="1"/>
  <c r="L776" i="7"/>
  <c r="K776" i="7" a="1"/>
  <c r="K776" i="7" s="1"/>
  <c r="F776" i="7"/>
  <c r="T775" i="7"/>
  <c r="S775" i="7"/>
  <c r="R775" i="7"/>
  <c r="Q775" i="7" a="1"/>
  <c r="Q775" i="7" s="1"/>
  <c r="P775" i="7"/>
  <c r="N775" i="7" a="1"/>
  <c r="N775" i="7" s="1"/>
  <c r="O775" i="7" s="1"/>
  <c r="M775" i="7" a="1"/>
  <c r="M775" i="7" s="1"/>
  <c r="L775" i="7"/>
  <c r="K775" i="7" a="1"/>
  <c r="K775" i="7" s="1"/>
  <c r="F775" i="7"/>
  <c r="T774" i="7"/>
  <c r="S774" i="7"/>
  <c r="R774" i="7"/>
  <c r="Q774" i="7" a="1"/>
  <c r="Q774" i="7" s="1"/>
  <c r="P774" i="7"/>
  <c r="N774" i="7" a="1"/>
  <c r="N774" i="7" s="1"/>
  <c r="O774" i="7" s="1"/>
  <c r="M774" i="7" a="1"/>
  <c r="M774" i="7" s="1"/>
  <c r="L774" i="7"/>
  <c r="K774" i="7" a="1"/>
  <c r="K774" i="7" s="1"/>
  <c r="F774" i="7"/>
  <c r="T773" i="7"/>
  <c r="S773" i="7"/>
  <c r="R773" i="7"/>
  <c r="Q773" i="7" a="1"/>
  <c r="Q773" i="7" s="1"/>
  <c r="P773" i="7"/>
  <c r="N773" i="7" a="1"/>
  <c r="N773" i="7" s="1"/>
  <c r="O773" i="7" s="1"/>
  <c r="M773" i="7" a="1"/>
  <c r="M773" i="7" s="1"/>
  <c r="L773" i="7"/>
  <c r="K773" i="7" a="1"/>
  <c r="K773" i="7" s="1"/>
  <c r="F773" i="7"/>
  <c r="T772" i="7"/>
  <c r="S772" i="7"/>
  <c r="R772" i="7"/>
  <c r="Q772" i="7" a="1"/>
  <c r="Q772" i="7" s="1"/>
  <c r="P772" i="7"/>
  <c r="N772" i="7" a="1"/>
  <c r="N772" i="7" s="1"/>
  <c r="O772" i="7" s="1"/>
  <c r="M772" i="7" a="1"/>
  <c r="M772" i="7" s="1"/>
  <c r="L772" i="7"/>
  <c r="K772" i="7" a="1"/>
  <c r="K772" i="7" s="1"/>
  <c r="F772" i="7"/>
  <c r="T771" i="7"/>
  <c r="S771" i="7"/>
  <c r="R771" i="7"/>
  <c r="Q771" i="7" a="1"/>
  <c r="Q771" i="7" s="1"/>
  <c r="P771" i="7"/>
  <c r="N771" i="7" a="1"/>
  <c r="N771" i="7" s="1"/>
  <c r="O771" i="7" s="1"/>
  <c r="M771" i="7" a="1"/>
  <c r="M771" i="7" s="1"/>
  <c r="L771" i="7"/>
  <c r="K771" i="7" a="1"/>
  <c r="K771" i="7" s="1"/>
  <c r="F771" i="7"/>
  <c r="T770" i="7"/>
  <c r="S770" i="7"/>
  <c r="R770" i="7"/>
  <c r="Q770" i="7" a="1"/>
  <c r="Q770" i="7" s="1"/>
  <c r="P770" i="7"/>
  <c r="N770" i="7" a="1"/>
  <c r="N770" i="7" s="1"/>
  <c r="O770" i="7" s="1"/>
  <c r="M770" i="7" a="1"/>
  <c r="M770" i="7" s="1"/>
  <c r="L770" i="7"/>
  <c r="K770" i="7" a="1"/>
  <c r="K770" i="7" s="1"/>
  <c r="F770" i="7"/>
  <c r="T769" i="7"/>
  <c r="S769" i="7"/>
  <c r="R769" i="7"/>
  <c r="Q769" i="7" a="1"/>
  <c r="Q769" i="7" s="1"/>
  <c r="P769" i="7"/>
  <c r="N769" i="7" a="1"/>
  <c r="N769" i="7" s="1"/>
  <c r="O769" i="7" s="1"/>
  <c r="M769" i="7" a="1"/>
  <c r="M769" i="7" s="1"/>
  <c r="L769" i="7"/>
  <c r="K769" i="7" a="1"/>
  <c r="K769" i="7" s="1"/>
  <c r="F769" i="7"/>
  <c r="T768" i="7"/>
  <c r="S768" i="7"/>
  <c r="R768" i="7"/>
  <c r="Q768" i="7" a="1"/>
  <c r="Q768" i="7" s="1"/>
  <c r="P768" i="7"/>
  <c r="N768" i="7" a="1"/>
  <c r="N768" i="7" s="1"/>
  <c r="O768" i="7" s="1"/>
  <c r="M768" i="7" a="1"/>
  <c r="M768" i="7" s="1"/>
  <c r="L768" i="7"/>
  <c r="K768" i="7" a="1"/>
  <c r="K768" i="7" s="1"/>
  <c r="F768" i="7"/>
  <c r="T767" i="7"/>
  <c r="S767" i="7"/>
  <c r="R767" i="7"/>
  <c r="Q767" i="7" a="1"/>
  <c r="Q767" i="7" s="1"/>
  <c r="P767" i="7"/>
  <c r="N767" i="7" a="1"/>
  <c r="N767" i="7" s="1"/>
  <c r="O767" i="7" s="1"/>
  <c r="M767" i="7" a="1"/>
  <c r="M767" i="7" s="1"/>
  <c r="L767" i="7"/>
  <c r="K767" i="7" a="1"/>
  <c r="K767" i="7" s="1"/>
  <c r="F767" i="7"/>
  <c r="T766" i="7"/>
  <c r="S766" i="7"/>
  <c r="R766" i="7"/>
  <c r="Q766" i="7" a="1"/>
  <c r="Q766" i="7" s="1"/>
  <c r="P766" i="7"/>
  <c r="N766" i="7" a="1"/>
  <c r="N766" i="7" s="1"/>
  <c r="O766" i="7" s="1"/>
  <c r="M766" i="7" a="1"/>
  <c r="M766" i="7" s="1"/>
  <c r="L766" i="7"/>
  <c r="K766" i="7" a="1"/>
  <c r="K766" i="7" s="1"/>
  <c r="F766" i="7"/>
  <c r="T765" i="7"/>
  <c r="S765" i="7"/>
  <c r="R765" i="7"/>
  <c r="Q765" i="7" a="1"/>
  <c r="Q765" i="7" s="1"/>
  <c r="P765" i="7"/>
  <c r="N765" i="7" a="1"/>
  <c r="N765" i="7" s="1"/>
  <c r="O765" i="7" s="1"/>
  <c r="M765" i="7" a="1"/>
  <c r="M765" i="7" s="1"/>
  <c r="L765" i="7"/>
  <c r="K765" i="7" a="1"/>
  <c r="K765" i="7" s="1"/>
  <c r="F765" i="7"/>
  <c r="T764" i="7"/>
  <c r="S764" i="7"/>
  <c r="R764" i="7"/>
  <c r="Q764" i="7" a="1"/>
  <c r="Q764" i="7" s="1"/>
  <c r="P764" i="7"/>
  <c r="N764" i="7" a="1"/>
  <c r="N764" i="7" s="1"/>
  <c r="O764" i="7" s="1"/>
  <c r="M764" i="7" a="1"/>
  <c r="M764" i="7" s="1"/>
  <c r="L764" i="7"/>
  <c r="K764" i="7" a="1"/>
  <c r="K764" i="7" s="1"/>
  <c r="F764" i="7"/>
  <c r="T763" i="7"/>
  <c r="S763" i="7"/>
  <c r="R763" i="7"/>
  <c r="Q763" i="7" a="1"/>
  <c r="Q763" i="7" s="1"/>
  <c r="P763" i="7"/>
  <c r="N763" i="7" a="1"/>
  <c r="N763" i="7" s="1"/>
  <c r="O763" i="7" s="1"/>
  <c r="M763" i="7" a="1"/>
  <c r="M763" i="7" s="1"/>
  <c r="L763" i="7"/>
  <c r="K763" i="7" a="1"/>
  <c r="K763" i="7" s="1"/>
  <c r="F763" i="7"/>
  <c r="T762" i="7"/>
  <c r="S762" i="7"/>
  <c r="R762" i="7"/>
  <c r="Q762" i="7" a="1"/>
  <c r="Q762" i="7" s="1"/>
  <c r="P762" i="7"/>
  <c r="N762" i="7" a="1"/>
  <c r="N762" i="7" s="1"/>
  <c r="O762" i="7" s="1"/>
  <c r="M762" i="7" a="1"/>
  <c r="M762" i="7" s="1"/>
  <c r="L762" i="7"/>
  <c r="K762" i="7" a="1"/>
  <c r="K762" i="7" s="1"/>
  <c r="F762" i="7"/>
  <c r="T761" i="7"/>
  <c r="S761" i="7"/>
  <c r="R761" i="7"/>
  <c r="Q761" i="7" a="1"/>
  <c r="Q761" i="7" s="1"/>
  <c r="P761" i="7"/>
  <c r="N761" i="7" a="1"/>
  <c r="N761" i="7" s="1"/>
  <c r="O761" i="7" s="1"/>
  <c r="M761" i="7" a="1"/>
  <c r="M761" i="7" s="1"/>
  <c r="L761" i="7"/>
  <c r="K761" i="7" a="1"/>
  <c r="K761" i="7" s="1"/>
  <c r="F761" i="7"/>
  <c r="T760" i="7"/>
  <c r="S760" i="7"/>
  <c r="R760" i="7"/>
  <c r="Q760" i="7" a="1"/>
  <c r="Q760" i="7" s="1"/>
  <c r="P760" i="7"/>
  <c r="N760" i="7" a="1"/>
  <c r="N760" i="7" s="1"/>
  <c r="O760" i="7" s="1"/>
  <c r="M760" i="7" a="1"/>
  <c r="M760" i="7" s="1"/>
  <c r="L760" i="7"/>
  <c r="K760" i="7" a="1"/>
  <c r="K760" i="7" s="1"/>
  <c r="F760" i="7"/>
  <c r="T759" i="7"/>
  <c r="S759" i="7"/>
  <c r="R759" i="7"/>
  <c r="Q759" i="7" a="1"/>
  <c r="Q759" i="7" s="1"/>
  <c r="P759" i="7"/>
  <c r="N759" i="7" a="1"/>
  <c r="N759" i="7" s="1"/>
  <c r="O759" i="7" s="1"/>
  <c r="M759" i="7" a="1"/>
  <c r="M759" i="7" s="1"/>
  <c r="L759" i="7"/>
  <c r="K759" i="7" a="1"/>
  <c r="K759" i="7" s="1"/>
  <c r="F759" i="7"/>
  <c r="T758" i="7"/>
  <c r="S758" i="7"/>
  <c r="R758" i="7"/>
  <c r="Q758" i="7" a="1"/>
  <c r="Q758" i="7" s="1"/>
  <c r="P758" i="7"/>
  <c r="N758" i="7" a="1"/>
  <c r="N758" i="7" s="1"/>
  <c r="O758" i="7" s="1"/>
  <c r="M758" i="7" a="1"/>
  <c r="M758" i="7" s="1"/>
  <c r="L758" i="7"/>
  <c r="K758" i="7" a="1"/>
  <c r="K758" i="7" s="1"/>
  <c r="F758" i="7"/>
  <c r="T757" i="7"/>
  <c r="S757" i="7"/>
  <c r="R757" i="7"/>
  <c r="Q757" i="7" a="1"/>
  <c r="Q757" i="7" s="1"/>
  <c r="P757" i="7"/>
  <c r="N757" i="7" a="1"/>
  <c r="N757" i="7" s="1"/>
  <c r="O757" i="7" s="1"/>
  <c r="M757" i="7" a="1"/>
  <c r="M757" i="7" s="1"/>
  <c r="L757" i="7"/>
  <c r="K757" i="7" a="1"/>
  <c r="K757" i="7" s="1"/>
  <c r="F757" i="7"/>
  <c r="T756" i="7"/>
  <c r="S756" i="7"/>
  <c r="R756" i="7"/>
  <c r="Q756" i="7" a="1"/>
  <c r="Q756" i="7" s="1"/>
  <c r="P756" i="7"/>
  <c r="N756" i="7" a="1"/>
  <c r="N756" i="7" s="1"/>
  <c r="O756" i="7" s="1"/>
  <c r="M756" i="7" a="1"/>
  <c r="M756" i="7" s="1"/>
  <c r="L756" i="7"/>
  <c r="K756" i="7" a="1"/>
  <c r="K756" i="7" s="1"/>
  <c r="F756" i="7"/>
  <c r="T755" i="7"/>
  <c r="S755" i="7"/>
  <c r="R755" i="7"/>
  <c r="Q755" i="7" a="1"/>
  <c r="Q755" i="7" s="1"/>
  <c r="P755" i="7"/>
  <c r="N755" i="7" a="1"/>
  <c r="N755" i="7" s="1"/>
  <c r="O755" i="7" s="1"/>
  <c r="M755" i="7" a="1"/>
  <c r="M755" i="7" s="1"/>
  <c r="L755" i="7"/>
  <c r="K755" i="7" a="1"/>
  <c r="K755" i="7" s="1"/>
  <c r="F755" i="7"/>
  <c r="T754" i="7"/>
  <c r="S754" i="7"/>
  <c r="R754" i="7"/>
  <c r="Q754" i="7" a="1"/>
  <c r="Q754" i="7" s="1"/>
  <c r="P754" i="7"/>
  <c r="N754" i="7" a="1"/>
  <c r="N754" i="7" s="1"/>
  <c r="O754" i="7" s="1"/>
  <c r="M754" i="7" a="1"/>
  <c r="M754" i="7" s="1"/>
  <c r="L754" i="7"/>
  <c r="K754" i="7" a="1"/>
  <c r="K754" i="7" s="1"/>
  <c r="F754" i="7"/>
  <c r="T753" i="7"/>
  <c r="S753" i="7"/>
  <c r="R753" i="7"/>
  <c r="Q753" i="7" a="1"/>
  <c r="Q753" i="7" s="1"/>
  <c r="P753" i="7"/>
  <c r="N753" i="7" a="1"/>
  <c r="N753" i="7" s="1"/>
  <c r="O753" i="7" s="1"/>
  <c r="M753" i="7" a="1"/>
  <c r="M753" i="7" s="1"/>
  <c r="L753" i="7"/>
  <c r="K753" i="7" a="1"/>
  <c r="K753" i="7" s="1"/>
  <c r="F753" i="7"/>
  <c r="T752" i="7"/>
  <c r="S752" i="7"/>
  <c r="R752" i="7"/>
  <c r="Q752" i="7" a="1"/>
  <c r="Q752" i="7" s="1"/>
  <c r="P752" i="7"/>
  <c r="N752" i="7" a="1"/>
  <c r="N752" i="7" s="1"/>
  <c r="O752" i="7" s="1"/>
  <c r="M752" i="7" a="1"/>
  <c r="M752" i="7" s="1"/>
  <c r="L752" i="7"/>
  <c r="K752" i="7" a="1"/>
  <c r="K752" i="7" s="1"/>
  <c r="F752" i="7"/>
  <c r="T751" i="7"/>
  <c r="S751" i="7"/>
  <c r="R751" i="7"/>
  <c r="Q751" i="7" a="1"/>
  <c r="Q751" i="7" s="1"/>
  <c r="P751" i="7"/>
  <c r="N751" i="7" a="1"/>
  <c r="N751" i="7" s="1"/>
  <c r="O751" i="7" s="1"/>
  <c r="M751" i="7" a="1"/>
  <c r="M751" i="7" s="1"/>
  <c r="L751" i="7"/>
  <c r="K751" i="7" a="1"/>
  <c r="K751" i="7" s="1"/>
  <c r="F751" i="7"/>
  <c r="T750" i="7"/>
  <c r="S750" i="7"/>
  <c r="R750" i="7"/>
  <c r="Q750" i="7" a="1"/>
  <c r="Q750" i="7" s="1"/>
  <c r="P750" i="7"/>
  <c r="N750" i="7" a="1"/>
  <c r="N750" i="7" s="1"/>
  <c r="O750" i="7" s="1"/>
  <c r="M750" i="7" a="1"/>
  <c r="M750" i="7" s="1"/>
  <c r="L750" i="7"/>
  <c r="K750" i="7" a="1"/>
  <c r="K750" i="7" s="1"/>
  <c r="F750" i="7"/>
  <c r="T749" i="7"/>
  <c r="S749" i="7"/>
  <c r="R749" i="7"/>
  <c r="Q749" i="7" a="1"/>
  <c r="Q749" i="7" s="1"/>
  <c r="P749" i="7"/>
  <c r="N749" i="7" a="1"/>
  <c r="N749" i="7" s="1"/>
  <c r="O749" i="7" s="1"/>
  <c r="M749" i="7" a="1"/>
  <c r="M749" i="7" s="1"/>
  <c r="L749" i="7"/>
  <c r="K749" i="7" a="1"/>
  <c r="K749" i="7" s="1"/>
  <c r="F749" i="7"/>
  <c r="T748" i="7"/>
  <c r="S748" i="7"/>
  <c r="R748" i="7"/>
  <c r="Q748" i="7" a="1"/>
  <c r="Q748" i="7" s="1"/>
  <c r="P748" i="7"/>
  <c r="N748" i="7" a="1"/>
  <c r="N748" i="7" s="1"/>
  <c r="O748" i="7" s="1"/>
  <c r="M748" i="7" a="1"/>
  <c r="M748" i="7" s="1"/>
  <c r="L748" i="7"/>
  <c r="K748" i="7" a="1"/>
  <c r="K748" i="7" s="1"/>
  <c r="F748" i="7"/>
  <c r="T747" i="7"/>
  <c r="S747" i="7"/>
  <c r="R747" i="7"/>
  <c r="Q747" i="7" a="1"/>
  <c r="Q747" i="7" s="1"/>
  <c r="P747" i="7"/>
  <c r="N747" i="7" a="1"/>
  <c r="N747" i="7" s="1"/>
  <c r="O747" i="7" s="1"/>
  <c r="M747" i="7" a="1"/>
  <c r="M747" i="7" s="1"/>
  <c r="L747" i="7"/>
  <c r="K747" i="7" a="1"/>
  <c r="K747" i="7" s="1"/>
  <c r="F747" i="7"/>
  <c r="T746" i="7"/>
  <c r="S746" i="7"/>
  <c r="R746" i="7"/>
  <c r="Q746" i="7" a="1"/>
  <c r="Q746" i="7" s="1"/>
  <c r="P746" i="7"/>
  <c r="N746" i="7" a="1"/>
  <c r="N746" i="7" s="1"/>
  <c r="O746" i="7" s="1"/>
  <c r="M746" i="7" a="1"/>
  <c r="M746" i="7" s="1"/>
  <c r="L746" i="7"/>
  <c r="K746" i="7" a="1"/>
  <c r="K746" i="7" s="1"/>
  <c r="F746" i="7"/>
  <c r="T745" i="7"/>
  <c r="S745" i="7"/>
  <c r="R745" i="7"/>
  <c r="Q745" i="7" a="1"/>
  <c r="Q745" i="7" s="1"/>
  <c r="P745" i="7"/>
  <c r="N745" i="7" a="1"/>
  <c r="N745" i="7" s="1"/>
  <c r="O745" i="7" s="1"/>
  <c r="M745" i="7" a="1"/>
  <c r="M745" i="7" s="1"/>
  <c r="L745" i="7"/>
  <c r="K745" i="7" a="1"/>
  <c r="K745" i="7" s="1"/>
  <c r="F745" i="7"/>
  <c r="T744" i="7"/>
  <c r="S744" i="7"/>
  <c r="R744" i="7"/>
  <c r="Q744" i="7" a="1"/>
  <c r="Q744" i="7" s="1"/>
  <c r="P744" i="7"/>
  <c r="N744" i="7" a="1"/>
  <c r="N744" i="7" s="1"/>
  <c r="O744" i="7" s="1"/>
  <c r="M744" i="7" a="1"/>
  <c r="M744" i="7" s="1"/>
  <c r="L744" i="7"/>
  <c r="K744" i="7" a="1"/>
  <c r="K744" i="7" s="1"/>
  <c r="F744" i="7"/>
  <c r="T743" i="7"/>
  <c r="S743" i="7"/>
  <c r="R743" i="7"/>
  <c r="Q743" i="7" a="1"/>
  <c r="Q743" i="7" s="1"/>
  <c r="P743" i="7"/>
  <c r="N743" i="7" a="1"/>
  <c r="N743" i="7" s="1"/>
  <c r="O743" i="7" s="1"/>
  <c r="M743" i="7" a="1"/>
  <c r="M743" i="7" s="1"/>
  <c r="L743" i="7"/>
  <c r="K743" i="7" a="1"/>
  <c r="K743" i="7" s="1"/>
  <c r="F743" i="7"/>
  <c r="T742" i="7"/>
  <c r="S742" i="7"/>
  <c r="R742" i="7"/>
  <c r="Q742" i="7" a="1"/>
  <c r="Q742" i="7" s="1"/>
  <c r="P742" i="7"/>
  <c r="N742" i="7" a="1"/>
  <c r="N742" i="7" s="1"/>
  <c r="O742" i="7" s="1"/>
  <c r="M742" i="7" a="1"/>
  <c r="M742" i="7" s="1"/>
  <c r="L742" i="7"/>
  <c r="K742" i="7" a="1"/>
  <c r="K742" i="7" s="1"/>
  <c r="F742" i="7"/>
  <c r="T741" i="7"/>
  <c r="S741" i="7"/>
  <c r="R741" i="7"/>
  <c r="Q741" i="7" a="1"/>
  <c r="Q741" i="7" s="1"/>
  <c r="P741" i="7"/>
  <c r="N741" i="7" a="1"/>
  <c r="N741" i="7" s="1"/>
  <c r="O741" i="7" s="1"/>
  <c r="M741" i="7" a="1"/>
  <c r="M741" i="7" s="1"/>
  <c r="L741" i="7"/>
  <c r="K741" i="7" a="1"/>
  <c r="K741" i="7" s="1"/>
  <c r="F741" i="7"/>
  <c r="T740" i="7"/>
  <c r="S740" i="7"/>
  <c r="R740" i="7"/>
  <c r="Q740" i="7" a="1"/>
  <c r="Q740" i="7" s="1"/>
  <c r="P740" i="7"/>
  <c r="N740" i="7" a="1"/>
  <c r="N740" i="7" s="1"/>
  <c r="O740" i="7" s="1"/>
  <c r="M740" i="7" a="1"/>
  <c r="M740" i="7" s="1"/>
  <c r="L740" i="7"/>
  <c r="K740" i="7" a="1"/>
  <c r="K740" i="7" s="1"/>
  <c r="F740" i="7"/>
  <c r="T739" i="7"/>
  <c r="S739" i="7"/>
  <c r="R739" i="7"/>
  <c r="Q739" i="7" a="1"/>
  <c r="Q739" i="7" s="1"/>
  <c r="P739" i="7"/>
  <c r="N739" i="7" a="1"/>
  <c r="N739" i="7" s="1"/>
  <c r="O739" i="7" s="1"/>
  <c r="M739" i="7" a="1"/>
  <c r="M739" i="7" s="1"/>
  <c r="L739" i="7"/>
  <c r="K739" i="7" a="1"/>
  <c r="K739" i="7" s="1"/>
  <c r="F739" i="7"/>
  <c r="T738" i="7"/>
  <c r="S738" i="7"/>
  <c r="R738" i="7"/>
  <c r="Q738" i="7" a="1"/>
  <c r="Q738" i="7" s="1"/>
  <c r="P738" i="7"/>
  <c r="N738" i="7" a="1"/>
  <c r="N738" i="7" s="1"/>
  <c r="O738" i="7" s="1"/>
  <c r="M738" i="7" a="1"/>
  <c r="M738" i="7" s="1"/>
  <c r="L738" i="7"/>
  <c r="K738" i="7" a="1"/>
  <c r="K738" i="7" s="1"/>
  <c r="F738" i="7"/>
  <c r="T737" i="7"/>
  <c r="S737" i="7"/>
  <c r="R737" i="7"/>
  <c r="Q737" i="7" a="1"/>
  <c r="Q737" i="7" s="1"/>
  <c r="P737" i="7"/>
  <c r="N737" i="7" a="1"/>
  <c r="N737" i="7" s="1"/>
  <c r="O737" i="7" s="1"/>
  <c r="M737" i="7" a="1"/>
  <c r="M737" i="7" s="1"/>
  <c r="L737" i="7"/>
  <c r="K737" i="7" a="1"/>
  <c r="K737" i="7" s="1"/>
  <c r="F737" i="7"/>
  <c r="T736" i="7"/>
  <c r="S736" i="7"/>
  <c r="R736" i="7"/>
  <c r="Q736" i="7" a="1"/>
  <c r="Q736" i="7" s="1"/>
  <c r="P736" i="7"/>
  <c r="N736" i="7" a="1"/>
  <c r="N736" i="7" s="1"/>
  <c r="O736" i="7" s="1"/>
  <c r="M736" i="7" a="1"/>
  <c r="M736" i="7" s="1"/>
  <c r="L736" i="7"/>
  <c r="K736" i="7" a="1"/>
  <c r="K736" i="7" s="1"/>
  <c r="F736" i="7"/>
  <c r="T735" i="7"/>
  <c r="S735" i="7"/>
  <c r="R735" i="7"/>
  <c r="Q735" i="7" a="1"/>
  <c r="Q735" i="7" s="1"/>
  <c r="P735" i="7"/>
  <c r="N735" i="7" a="1"/>
  <c r="N735" i="7" s="1"/>
  <c r="O735" i="7" s="1"/>
  <c r="M735" i="7" a="1"/>
  <c r="M735" i="7" s="1"/>
  <c r="L735" i="7"/>
  <c r="K735" i="7" a="1"/>
  <c r="K735" i="7" s="1"/>
  <c r="F735" i="7"/>
  <c r="T734" i="7"/>
  <c r="S734" i="7"/>
  <c r="R734" i="7"/>
  <c r="Q734" i="7" a="1"/>
  <c r="Q734" i="7" s="1"/>
  <c r="P734" i="7"/>
  <c r="N734" i="7" a="1"/>
  <c r="N734" i="7" s="1"/>
  <c r="O734" i="7" s="1"/>
  <c r="M734" i="7" a="1"/>
  <c r="M734" i="7" s="1"/>
  <c r="L734" i="7"/>
  <c r="K734" i="7" a="1"/>
  <c r="K734" i="7" s="1"/>
  <c r="F734" i="7"/>
  <c r="T733" i="7"/>
  <c r="S733" i="7"/>
  <c r="R733" i="7"/>
  <c r="Q733" i="7" a="1"/>
  <c r="Q733" i="7" s="1"/>
  <c r="P733" i="7"/>
  <c r="N733" i="7" a="1"/>
  <c r="N733" i="7" s="1"/>
  <c r="O733" i="7" s="1"/>
  <c r="M733" i="7" a="1"/>
  <c r="M733" i="7" s="1"/>
  <c r="L733" i="7"/>
  <c r="K733" i="7" a="1"/>
  <c r="K733" i="7" s="1"/>
  <c r="F733" i="7"/>
  <c r="T732" i="7"/>
  <c r="S732" i="7"/>
  <c r="R732" i="7"/>
  <c r="Q732" i="7" a="1"/>
  <c r="Q732" i="7" s="1"/>
  <c r="P732" i="7"/>
  <c r="N732" i="7" a="1"/>
  <c r="N732" i="7" s="1"/>
  <c r="O732" i="7" s="1"/>
  <c r="M732" i="7" a="1"/>
  <c r="M732" i="7" s="1"/>
  <c r="L732" i="7"/>
  <c r="K732" i="7" a="1"/>
  <c r="K732" i="7" s="1"/>
  <c r="F732" i="7"/>
  <c r="T731" i="7"/>
  <c r="S731" i="7"/>
  <c r="R731" i="7"/>
  <c r="Q731" i="7" a="1"/>
  <c r="Q731" i="7" s="1"/>
  <c r="P731" i="7"/>
  <c r="N731" i="7" a="1"/>
  <c r="N731" i="7" s="1"/>
  <c r="O731" i="7" s="1"/>
  <c r="M731" i="7" a="1"/>
  <c r="M731" i="7" s="1"/>
  <c r="L731" i="7"/>
  <c r="K731" i="7" a="1"/>
  <c r="K731" i="7" s="1"/>
  <c r="F731" i="7"/>
  <c r="T730" i="7"/>
  <c r="S730" i="7"/>
  <c r="R730" i="7"/>
  <c r="Q730" i="7" a="1"/>
  <c r="Q730" i="7" s="1"/>
  <c r="P730" i="7"/>
  <c r="N730" i="7" a="1"/>
  <c r="N730" i="7" s="1"/>
  <c r="O730" i="7" s="1"/>
  <c r="M730" i="7" a="1"/>
  <c r="M730" i="7" s="1"/>
  <c r="L730" i="7"/>
  <c r="K730" i="7" a="1"/>
  <c r="K730" i="7" s="1"/>
  <c r="F730" i="7"/>
  <c r="T729" i="7"/>
  <c r="S729" i="7"/>
  <c r="R729" i="7"/>
  <c r="Q729" i="7" a="1"/>
  <c r="Q729" i="7" s="1"/>
  <c r="P729" i="7"/>
  <c r="N729" i="7" a="1"/>
  <c r="N729" i="7" s="1"/>
  <c r="O729" i="7" s="1"/>
  <c r="M729" i="7" a="1"/>
  <c r="M729" i="7" s="1"/>
  <c r="L729" i="7"/>
  <c r="K729" i="7" a="1"/>
  <c r="K729" i="7" s="1"/>
  <c r="F729" i="7"/>
  <c r="T728" i="7"/>
  <c r="S728" i="7"/>
  <c r="R728" i="7"/>
  <c r="Q728" i="7" a="1"/>
  <c r="Q728" i="7" s="1"/>
  <c r="P728" i="7"/>
  <c r="N728" i="7" a="1"/>
  <c r="N728" i="7" s="1"/>
  <c r="O728" i="7" s="1"/>
  <c r="M728" i="7" a="1"/>
  <c r="M728" i="7" s="1"/>
  <c r="L728" i="7"/>
  <c r="K728" i="7" a="1"/>
  <c r="K728" i="7" s="1"/>
  <c r="F728" i="7"/>
  <c r="T727" i="7"/>
  <c r="S727" i="7"/>
  <c r="R727" i="7"/>
  <c r="Q727" i="7" a="1"/>
  <c r="Q727" i="7" s="1"/>
  <c r="P727" i="7"/>
  <c r="N727" i="7" a="1"/>
  <c r="N727" i="7" s="1"/>
  <c r="O727" i="7" s="1"/>
  <c r="M727" i="7" a="1"/>
  <c r="M727" i="7" s="1"/>
  <c r="L727" i="7"/>
  <c r="K727" i="7" a="1"/>
  <c r="K727" i="7" s="1"/>
  <c r="F727" i="7"/>
  <c r="T726" i="7"/>
  <c r="S726" i="7"/>
  <c r="R726" i="7"/>
  <c r="Q726" i="7" a="1"/>
  <c r="Q726" i="7" s="1"/>
  <c r="P726" i="7"/>
  <c r="N726" i="7" a="1"/>
  <c r="N726" i="7" s="1"/>
  <c r="O726" i="7" s="1"/>
  <c r="M726" i="7" a="1"/>
  <c r="M726" i="7" s="1"/>
  <c r="L726" i="7"/>
  <c r="K726" i="7" a="1"/>
  <c r="K726" i="7" s="1"/>
  <c r="F726" i="7"/>
  <c r="T725" i="7"/>
  <c r="S725" i="7"/>
  <c r="R725" i="7"/>
  <c r="Q725" i="7" a="1"/>
  <c r="Q725" i="7" s="1"/>
  <c r="P725" i="7"/>
  <c r="N725" i="7" a="1"/>
  <c r="N725" i="7" s="1"/>
  <c r="O725" i="7" s="1"/>
  <c r="M725" i="7" a="1"/>
  <c r="M725" i="7" s="1"/>
  <c r="L725" i="7"/>
  <c r="K725" i="7" a="1"/>
  <c r="K725" i="7" s="1"/>
  <c r="F725" i="7"/>
  <c r="T724" i="7"/>
  <c r="S724" i="7"/>
  <c r="R724" i="7"/>
  <c r="Q724" i="7" a="1"/>
  <c r="Q724" i="7" s="1"/>
  <c r="P724" i="7"/>
  <c r="N724" i="7" a="1"/>
  <c r="N724" i="7" s="1"/>
  <c r="O724" i="7" s="1"/>
  <c r="M724" i="7" a="1"/>
  <c r="M724" i="7" s="1"/>
  <c r="L724" i="7"/>
  <c r="K724" i="7" a="1"/>
  <c r="K724" i="7" s="1"/>
  <c r="F724" i="7"/>
  <c r="T723" i="7"/>
  <c r="S723" i="7"/>
  <c r="R723" i="7"/>
  <c r="Q723" i="7" a="1"/>
  <c r="Q723" i="7" s="1"/>
  <c r="P723" i="7"/>
  <c r="N723" i="7" a="1"/>
  <c r="N723" i="7" s="1"/>
  <c r="O723" i="7" s="1"/>
  <c r="M723" i="7" a="1"/>
  <c r="M723" i="7" s="1"/>
  <c r="L723" i="7"/>
  <c r="K723" i="7" a="1"/>
  <c r="K723" i="7" s="1"/>
  <c r="F723" i="7"/>
  <c r="T722" i="7"/>
  <c r="S722" i="7"/>
  <c r="R722" i="7"/>
  <c r="Q722" i="7" a="1"/>
  <c r="Q722" i="7" s="1"/>
  <c r="P722" i="7"/>
  <c r="N722" i="7" a="1"/>
  <c r="N722" i="7" s="1"/>
  <c r="O722" i="7" s="1"/>
  <c r="M722" i="7" a="1"/>
  <c r="M722" i="7" s="1"/>
  <c r="L722" i="7"/>
  <c r="K722" i="7" a="1"/>
  <c r="K722" i="7" s="1"/>
  <c r="F722" i="7"/>
  <c r="T721" i="7"/>
  <c r="S721" i="7"/>
  <c r="R721" i="7"/>
  <c r="Q721" i="7" a="1"/>
  <c r="Q721" i="7" s="1"/>
  <c r="P721" i="7"/>
  <c r="N721" i="7" a="1"/>
  <c r="N721" i="7" s="1"/>
  <c r="O721" i="7" s="1"/>
  <c r="M721" i="7" a="1"/>
  <c r="M721" i="7" s="1"/>
  <c r="L721" i="7"/>
  <c r="K721" i="7" a="1"/>
  <c r="K721" i="7" s="1"/>
  <c r="F721" i="7"/>
  <c r="T720" i="7"/>
  <c r="S720" i="7"/>
  <c r="R720" i="7"/>
  <c r="Q720" i="7" a="1"/>
  <c r="Q720" i="7" s="1"/>
  <c r="P720" i="7"/>
  <c r="N720" i="7" a="1"/>
  <c r="N720" i="7" s="1"/>
  <c r="O720" i="7" s="1"/>
  <c r="M720" i="7" a="1"/>
  <c r="M720" i="7" s="1"/>
  <c r="L720" i="7"/>
  <c r="K720" i="7" a="1"/>
  <c r="K720" i="7" s="1"/>
  <c r="F720" i="7"/>
  <c r="T719" i="7"/>
  <c r="S719" i="7"/>
  <c r="R719" i="7"/>
  <c r="Q719" i="7" a="1"/>
  <c r="Q719" i="7" s="1"/>
  <c r="P719" i="7"/>
  <c r="N719" i="7" a="1"/>
  <c r="N719" i="7" s="1"/>
  <c r="O719" i="7" s="1"/>
  <c r="M719" i="7" a="1"/>
  <c r="M719" i="7" s="1"/>
  <c r="L719" i="7"/>
  <c r="K719" i="7" a="1"/>
  <c r="K719" i="7" s="1"/>
  <c r="F719" i="7"/>
  <c r="T718" i="7"/>
  <c r="S718" i="7"/>
  <c r="R718" i="7"/>
  <c r="Q718" i="7" a="1"/>
  <c r="Q718" i="7" s="1"/>
  <c r="P718" i="7"/>
  <c r="N718" i="7" a="1"/>
  <c r="N718" i="7" s="1"/>
  <c r="O718" i="7" s="1"/>
  <c r="M718" i="7" a="1"/>
  <c r="M718" i="7" s="1"/>
  <c r="L718" i="7"/>
  <c r="K718" i="7" a="1"/>
  <c r="K718" i="7" s="1"/>
  <c r="F718" i="7"/>
  <c r="T717" i="7"/>
  <c r="S717" i="7"/>
  <c r="R717" i="7"/>
  <c r="Q717" i="7" a="1"/>
  <c r="Q717" i="7" s="1"/>
  <c r="P717" i="7"/>
  <c r="N717" i="7" a="1"/>
  <c r="N717" i="7" s="1"/>
  <c r="O717" i="7" s="1"/>
  <c r="M717" i="7" a="1"/>
  <c r="M717" i="7" s="1"/>
  <c r="L717" i="7"/>
  <c r="K717" i="7" a="1"/>
  <c r="K717" i="7" s="1"/>
  <c r="F717" i="7"/>
  <c r="T716" i="7"/>
  <c r="S716" i="7"/>
  <c r="R716" i="7"/>
  <c r="Q716" i="7" a="1"/>
  <c r="Q716" i="7" s="1"/>
  <c r="P716" i="7"/>
  <c r="N716" i="7" a="1"/>
  <c r="N716" i="7" s="1"/>
  <c r="O716" i="7" s="1"/>
  <c r="M716" i="7" a="1"/>
  <c r="M716" i="7" s="1"/>
  <c r="L716" i="7"/>
  <c r="K716" i="7" a="1"/>
  <c r="K716" i="7" s="1"/>
  <c r="F716" i="7"/>
  <c r="T715" i="7"/>
  <c r="S715" i="7"/>
  <c r="R715" i="7"/>
  <c r="Q715" i="7" a="1"/>
  <c r="Q715" i="7" s="1"/>
  <c r="P715" i="7"/>
  <c r="N715" i="7" a="1"/>
  <c r="N715" i="7" s="1"/>
  <c r="O715" i="7" s="1"/>
  <c r="M715" i="7" a="1"/>
  <c r="M715" i="7" s="1"/>
  <c r="L715" i="7"/>
  <c r="K715" i="7" a="1"/>
  <c r="K715" i="7" s="1"/>
  <c r="F715" i="7"/>
  <c r="T714" i="7"/>
  <c r="S714" i="7"/>
  <c r="R714" i="7"/>
  <c r="Q714" i="7" a="1"/>
  <c r="Q714" i="7" s="1"/>
  <c r="P714" i="7"/>
  <c r="N714" i="7" a="1"/>
  <c r="N714" i="7" s="1"/>
  <c r="O714" i="7" s="1"/>
  <c r="M714" i="7" a="1"/>
  <c r="M714" i="7" s="1"/>
  <c r="L714" i="7"/>
  <c r="K714" i="7" a="1"/>
  <c r="K714" i="7" s="1"/>
  <c r="F714" i="7"/>
  <c r="T713" i="7"/>
  <c r="S713" i="7"/>
  <c r="R713" i="7"/>
  <c r="Q713" i="7" a="1"/>
  <c r="Q713" i="7" s="1"/>
  <c r="P713" i="7"/>
  <c r="N713" i="7" a="1"/>
  <c r="N713" i="7" s="1"/>
  <c r="O713" i="7" s="1"/>
  <c r="M713" i="7" a="1"/>
  <c r="M713" i="7" s="1"/>
  <c r="L713" i="7"/>
  <c r="K713" i="7" a="1"/>
  <c r="K713" i="7" s="1"/>
  <c r="F713" i="7"/>
  <c r="T712" i="7"/>
  <c r="S712" i="7"/>
  <c r="R712" i="7"/>
  <c r="Q712" i="7" a="1"/>
  <c r="Q712" i="7" s="1"/>
  <c r="P712" i="7"/>
  <c r="N712" i="7" a="1"/>
  <c r="N712" i="7" s="1"/>
  <c r="O712" i="7" s="1"/>
  <c r="M712" i="7" a="1"/>
  <c r="M712" i="7" s="1"/>
  <c r="L712" i="7"/>
  <c r="K712" i="7" a="1"/>
  <c r="K712" i="7" s="1"/>
  <c r="F712" i="7"/>
  <c r="T711" i="7"/>
  <c r="S711" i="7"/>
  <c r="R711" i="7"/>
  <c r="Q711" i="7" a="1"/>
  <c r="Q711" i="7" s="1"/>
  <c r="P711" i="7"/>
  <c r="N711" i="7" a="1"/>
  <c r="N711" i="7" s="1"/>
  <c r="O711" i="7" s="1"/>
  <c r="M711" i="7" a="1"/>
  <c r="M711" i="7" s="1"/>
  <c r="L711" i="7"/>
  <c r="K711" i="7" a="1"/>
  <c r="K711" i="7" s="1"/>
  <c r="F711" i="7"/>
  <c r="T710" i="7"/>
  <c r="S710" i="7"/>
  <c r="R710" i="7"/>
  <c r="Q710" i="7" a="1"/>
  <c r="Q710" i="7" s="1"/>
  <c r="P710" i="7"/>
  <c r="N710" i="7" a="1"/>
  <c r="N710" i="7" s="1"/>
  <c r="O710" i="7" s="1"/>
  <c r="M710" i="7" a="1"/>
  <c r="M710" i="7" s="1"/>
  <c r="L710" i="7"/>
  <c r="K710" i="7" a="1"/>
  <c r="K710" i="7" s="1"/>
  <c r="F710" i="7"/>
  <c r="T709" i="7"/>
  <c r="S709" i="7"/>
  <c r="R709" i="7"/>
  <c r="Q709" i="7" a="1"/>
  <c r="Q709" i="7" s="1"/>
  <c r="P709" i="7"/>
  <c r="N709" i="7" a="1"/>
  <c r="N709" i="7" s="1"/>
  <c r="O709" i="7" s="1"/>
  <c r="M709" i="7" a="1"/>
  <c r="M709" i="7" s="1"/>
  <c r="L709" i="7"/>
  <c r="K709" i="7" a="1"/>
  <c r="K709" i="7" s="1"/>
  <c r="F709" i="7"/>
  <c r="T708" i="7"/>
  <c r="S708" i="7"/>
  <c r="R708" i="7"/>
  <c r="Q708" i="7" a="1"/>
  <c r="Q708" i="7" s="1"/>
  <c r="P708" i="7"/>
  <c r="N708" i="7" a="1"/>
  <c r="N708" i="7" s="1"/>
  <c r="O708" i="7" s="1"/>
  <c r="M708" i="7" a="1"/>
  <c r="M708" i="7" s="1"/>
  <c r="L708" i="7"/>
  <c r="K708" i="7" a="1"/>
  <c r="K708" i="7" s="1"/>
  <c r="F708" i="7"/>
  <c r="T707" i="7"/>
  <c r="S707" i="7"/>
  <c r="R707" i="7"/>
  <c r="Q707" i="7" a="1"/>
  <c r="Q707" i="7" s="1"/>
  <c r="P707" i="7"/>
  <c r="N707" i="7" a="1"/>
  <c r="N707" i="7" s="1"/>
  <c r="O707" i="7" s="1"/>
  <c r="M707" i="7" a="1"/>
  <c r="M707" i="7" s="1"/>
  <c r="L707" i="7"/>
  <c r="K707" i="7" a="1"/>
  <c r="K707" i="7" s="1"/>
  <c r="F707" i="7"/>
  <c r="T706" i="7"/>
  <c r="S706" i="7"/>
  <c r="R706" i="7"/>
  <c r="Q706" i="7" a="1"/>
  <c r="Q706" i="7" s="1"/>
  <c r="P706" i="7"/>
  <c r="N706" i="7" a="1"/>
  <c r="N706" i="7" s="1"/>
  <c r="O706" i="7" s="1"/>
  <c r="M706" i="7" a="1"/>
  <c r="M706" i="7" s="1"/>
  <c r="L706" i="7"/>
  <c r="K706" i="7" a="1"/>
  <c r="K706" i="7" s="1"/>
  <c r="F706" i="7"/>
  <c r="T705" i="7"/>
  <c r="S705" i="7"/>
  <c r="R705" i="7"/>
  <c r="Q705" i="7" a="1"/>
  <c r="Q705" i="7" s="1"/>
  <c r="P705" i="7"/>
  <c r="N705" i="7" a="1"/>
  <c r="N705" i="7" s="1"/>
  <c r="O705" i="7" s="1"/>
  <c r="M705" i="7" a="1"/>
  <c r="M705" i="7" s="1"/>
  <c r="L705" i="7"/>
  <c r="K705" i="7" a="1"/>
  <c r="K705" i="7" s="1"/>
  <c r="F705" i="7"/>
  <c r="T704" i="7"/>
  <c r="S704" i="7"/>
  <c r="R704" i="7"/>
  <c r="Q704" i="7" a="1"/>
  <c r="Q704" i="7" s="1"/>
  <c r="P704" i="7"/>
  <c r="N704" i="7" a="1"/>
  <c r="N704" i="7" s="1"/>
  <c r="O704" i="7" s="1"/>
  <c r="M704" i="7" a="1"/>
  <c r="M704" i="7" s="1"/>
  <c r="L704" i="7"/>
  <c r="K704" i="7" a="1"/>
  <c r="K704" i="7" s="1"/>
  <c r="F704" i="7"/>
  <c r="T703" i="7"/>
  <c r="S703" i="7"/>
  <c r="R703" i="7"/>
  <c r="Q703" i="7" a="1"/>
  <c r="Q703" i="7" s="1"/>
  <c r="P703" i="7"/>
  <c r="N703" i="7" a="1"/>
  <c r="N703" i="7" s="1"/>
  <c r="O703" i="7" s="1"/>
  <c r="M703" i="7" a="1"/>
  <c r="M703" i="7" s="1"/>
  <c r="L703" i="7"/>
  <c r="K703" i="7" a="1"/>
  <c r="K703" i="7" s="1"/>
  <c r="F703" i="7"/>
  <c r="T702" i="7"/>
  <c r="S702" i="7"/>
  <c r="R702" i="7"/>
  <c r="Q702" i="7" a="1"/>
  <c r="Q702" i="7" s="1"/>
  <c r="P702" i="7"/>
  <c r="N702" i="7" a="1"/>
  <c r="N702" i="7" s="1"/>
  <c r="O702" i="7" s="1"/>
  <c r="M702" i="7" a="1"/>
  <c r="M702" i="7" s="1"/>
  <c r="L702" i="7"/>
  <c r="K702" i="7" a="1"/>
  <c r="K702" i="7" s="1"/>
  <c r="F702" i="7"/>
  <c r="T701" i="7"/>
  <c r="S701" i="7"/>
  <c r="R701" i="7"/>
  <c r="Q701" i="7" a="1"/>
  <c r="Q701" i="7" s="1"/>
  <c r="P701" i="7"/>
  <c r="N701" i="7" a="1"/>
  <c r="N701" i="7" s="1"/>
  <c r="O701" i="7" s="1"/>
  <c r="M701" i="7" a="1"/>
  <c r="M701" i="7" s="1"/>
  <c r="L701" i="7"/>
  <c r="K701" i="7" a="1"/>
  <c r="K701" i="7" s="1"/>
  <c r="F701" i="7"/>
  <c r="T700" i="7"/>
  <c r="S700" i="7"/>
  <c r="R700" i="7"/>
  <c r="Q700" i="7" a="1"/>
  <c r="Q700" i="7" s="1"/>
  <c r="P700" i="7"/>
  <c r="N700" i="7" a="1"/>
  <c r="N700" i="7" s="1"/>
  <c r="O700" i="7" s="1"/>
  <c r="M700" i="7" a="1"/>
  <c r="M700" i="7" s="1"/>
  <c r="L700" i="7"/>
  <c r="K700" i="7" a="1"/>
  <c r="K700" i="7" s="1"/>
  <c r="F700" i="7"/>
  <c r="T699" i="7"/>
  <c r="S699" i="7"/>
  <c r="R699" i="7"/>
  <c r="Q699" i="7" a="1"/>
  <c r="Q699" i="7" s="1"/>
  <c r="P699" i="7"/>
  <c r="N699" i="7" a="1"/>
  <c r="N699" i="7" s="1"/>
  <c r="O699" i="7" s="1"/>
  <c r="M699" i="7" a="1"/>
  <c r="M699" i="7" s="1"/>
  <c r="L699" i="7"/>
  <c r="K699" i="7" a="1"/>
  <c r="K699" i="7" s="1"/>
  <c r="F699" i="7"/>
  <c r="T698" i="7"/>
  <c r="S698" i="7"/>
  <c r="R698" i="7"/>
  <c r="Q698" i="7" a="1"/>
  <c r="Q698" i="7" s="1"/>
  <c r="P698" i="7"/>
  <c r="N698" i="7" a="1"/>
  <c r="N698" i="7" s="1"/>
  <c r="O698" i="7" s="1"/>
  <c r="M698" i="7" a="1"/>
  <c r="M698" i="7" s="1"/>
  <c r="L698" i="7"/>
  <c r="K698" i="7" a="1"/>
  <c r="K698" i="7" s="1"/>
  <c r="F698" i="7"/>
  <c r="T697" i="7"/>
  <c r="S697" i="7"/>
  <c r="R697" i="7"/>
  <c r="Q697" i="7" a="1"/>
  <c r="Q697" i="7" s="1"/>
  <c r="P697" i="7"/>
  <c r="N697" i="7" a="1"/>
  <c r="N697" i="7" s="1"/>
  <c r="O697" i="7" s="1"/>
  <c r="M697" i="7" a="1"/>
  <c r="M697" i="7" s="1"/>
  <c r="L697" i="7"/>
  <c r="K697" i="7" a="1"/>
  <c r="K697" i="7" s="1"/>
  <c r="F697" i="7"/>
  <c r="T696" i="7"/>
  <c r="S696" i="7"/>
  <c r="R696" i="7"/>
  <c r="Q696" i="7" a="1"/>
  <c r="Q696" i="7" s="1"/>
  <c r="P696" i="7"/>
  <c r="N696" i="7" a="1"/>
  <c r="N696" i="7" s="1"/>
  <c r="O696" i="7" s="1"/>
  <c r="M696" i="7" a="1"/>
  <c r="M696" i="7" s="1"/>
  <c r="L696" i="7"/>
  <c r="K696" i="7" a="1"/>
  <c r="K696" i="7" s="1"/>
  <c r="F696" i="7"/>
  <c r="T695" i="7"/>
  <c r="S695" i="7"/>
  <c r="R695" i="7"/>
  <c r="Q695" i="7" a="1"/>
  <c r="Q695" i="7" s="1"/>
  <c r="P695" i="7"/>
  <c r="N695" i="7" a="1"/>
  <c r="N695" i="7" s="1"/>
  <c r="O695" i="7" s="1"/>
  <c r="M695" i="7" a="1"/>
  <c r="M695" i="7" s="1"/>
  <c r="L695" i="7"/>
  <c r="K695" i="7" a="1"/>
  <c r="K695" i="7" s="1"/>
  <c r="F695" i="7"/>
  <c r="T694" i="7"/>
  <c r="S694" i="7"/>
  <c r="R694" i="7"/>
  <c r="Q694" i="7" a="1"/>
  <c r="Q694" i="7" s="1"/>
  <c r="P694" i="7"/>
  <c r="N694" i="7" a="1"/>
  <c r="N694" i="7" s="1"/>
  <c r="O694" i="7" s="1"/>
  <c r="M694" i="7" a="1"/>
  <c r="M694" i="7" s="1"/>
  <c r="L694" i="7"/>
  <c r="K694" i="7" a="1"/>
  <c r="K694" i="7" s="1"/>
  <c r="F694" i="7"/>
  <c r="T693" i="7"/>
  <c r="S693" i="7"/>
  <c r="R693" i="7"/>
  <c r="Q693" i="7" a="1"/>
  <c r="Q693" i="7" s="1"/>
  <c r="P693" i="7"/>
  <c r="N693" i="7" a="1"/>
  <c r="N693" i="7" s="1"/>
  <c r="O693" i="7" s="1"/>
  <c r="M693" i="7" a="1"/>
  <c r="M693" i="7" s="1"/>
  <c r="L693" i="7"/>
  <c r="K693" i="7" a="1"/>
  <c r="K693" i="7" s="1"/>
  <c r="F693" i="7"/>
  <c r="T692" i="7"/>
  <c r="S692" i="7"/>
  <c r="R692" i="7"/>
  <c r="Q692" i="7" a="1"/>
  <c r="Q692" i="7" s="1"/>
  <c r="P692" i="7"/>
  <c r="N692" i="7" a="1"/>
  <c r="N692" i="7" s="1"/>
  <c r="O692" i="7" s="1"/>
  <c r="M692" i="7" a="1"/>
  <c r="M692" i="7" s="1"/>
  <c r="L692" i="7"/>
  <c r="K692" i="7" a="1"/>
  <c r="K692" i="7" s="1"/>
  <c r="F692" i="7"/>
  <c r="T691" i="7"/>
  <c r="S691" i="7"/>
  <c r="R691" i="7"/>
  <c r="Q691" i="7" a="1"/>
  <c r="Q691" i="7" s="1"/>
  <c r="P691" i="7"/>
  <c r="N691" i="7" a="1"/>
  <c r="N691" i="7" s="1"/>
  <c r="O691" i="7" s="1"/>
  <c r="M691" i="7" a="1"/>
  <c r="M691" i="7" s="1"/>
  <c r="L691" i="7"/>
  <c r="K691" i="7" a="1"/>
  <c r="K691" i="7" s="1"/>
  <c r="F691" i="7"/>
  <c r="T690" i="7"/>
  <c r="S690" i="7"/>
  <c r="R690" i="7"/>
  <c r="Q690" i="7" a="1"/>
  <c r="Q690" i="7" s="1"/>
  <c r="P690" i="7"/>
  <c r="N690" i="7" a="1"/>
  <c r="N690" i="7" s="1"/>
  <c r="O690" i="7" s="1"/>
  <c r="M690" i="7" a="1"/>
  <c r="M690" i="7" s="1"/>
  <c r="L690" i="7"/>
  <c r="K690" i="7" a="1"/>
  <c r="K690" i="7" s="1"/>
  <c r="F690" i="7"/>
  <c r="T689" i="7"/>
  <c r="S689" i="7"/>
  <c r="R689" i="7"/>
  <c r="Q689" i="7" a="1"/>
  <c r="Q689" i="7" s="1"/>
  <c r="P689" i="7"/>
  <c r="N689" i="7" a="1"/>
  <c r="N689" i="7" s="1"/>
  <c r="O689" i="7" s="1"/>
  <c r="M689" i="7" a="1"/>
  <c r="M689" i="7" s="1"/>
  <c r="L689" i="7"/>
  <c r="K689" i="7" a="1"/>
  <c r="K689" i="7" s="1"/>
  <c r="F689" i="7"/>
  <c r="T688" i="7"/>
  <c r="S688" i="7"/>
  <c r="R688" i="7"/>
  <c r="Q688" i="7" a="1"/>
  <c r="Q688" i="7" s="1"/>
  <c r="P688" i="7"/>
  <c r="N688" i="7" a="1"/>
  <c r="N688" i="7" s="1"/>
  <c r="O688" i="7" s="1"/>
  <c r="M688" i="7" a="1"/>
  <c r="M688" i="7" s="1"/>
  <c r="L688" i="7"/>
  <c r="K688" i="7" a="1"/>
  <c r="K688" i="7" s="1"/>
  <c r="F688" i="7"/>
  <c r="T687" i="7"/>
  <c r="S687" i="7"/>
  <c r="R687" i="7"/>
  <c r="Q687" i="7" a="1"/>
  <c r="Q687" i="7" s="1"/>
  <c r="P687" i="7"/>
  <c r="N687" i="7" a="1"/>
  <c r="N687" i="7" s="1"/>
  <c r="O687" i="7" s="1"/>
  <c r="M687" i="7" a="1"/>
  <c r="M687" i="7" s="1"/>
  <c r="L687" i="7"/>
  <c r="K687" i="7" a="1"/>
  <c r="K687" i="7" s="1"/>
  <c r="F687" i="7"/>
  <c r="T686" i="7"/>
  <c r="S686" i="7"/>
  <c r="R686" i="7"/>
  <c r="Q686" i="7" a="1"/>
  <c r="Q686" i="7" s="1"/>
  <c r="P686" i="7"/>
  <c r="N686" i="7" a="1"/>
  <c r="N686" i="7" s="1"/>
  <c r="O686" i="7" s="1"/>
  <c r="M686" i="7" a="1"/>
  <c r="M686" i="7" s="1"/>
  <c r="L686" i="7"/>
  <c r="K686" i="7" a="1"/>
  <c r="K686" i="7" s="1"/>
  <c r="F686" i="7"/>
  <c r="T685" i="7"/>
  <c r="S685" i="7"/>
  <c r="R685" i="7"/>
  <c r="Q685" i="7" a="1"/>
  <c r="Q685" i="7" s="1"/>
  <c r="P685" i="7"/>
  <c r="N685" i="7" a="1"/>
  <c r="N685" i="7" s="1"/>
  <c r="O685" i="7" s="1"/>
  <c r="M685" i="7" a="1"/>
  <c r="M685" i="7" s="1"/>
  <c r="L685" i="7"/>
  <c r="K685" i="7" a="1"/>
  <c r="K685" i="7" s="1"/>
  <c r="F685" i="7"/>
  <c r="T684" i="7"/>
  <c r="S684" i="7"/>
  <c r="R684" i="7"/>
  <c r="Q684" i="7" a="1"/>
  <c r="Q684" i="7" s="1"/>
  <c r="P684" i="7"/>
  <c r="N684" i="7" a="1"/>
  <c r="N684" i="7" s="1"/>
  <c r="O684" i="7" s="1"/>
  <c r="M684" i="7" a="1"/>
  <c r="M684" i="7" s="1"/>
  <c r="L684" i="7"/>
  <c r="K684" i="7" a="1"/>
  <c r="K684" i="7" s="1"/>
  <c r="F684" i="7"/>
  <c r="T683" i="7"/>
  <c r="S683" i="7"/>
  <c r="R683" i="7"/>
  <c r="Q683" i="7" a="1"/>
  <c r="Q683" i="7" s="1"/>
  <c r="P683" i="7"/>
  <c r="N683" i="7" a="1"/>
  <c r="N683" i="7" s="1"/>
  <c r="O683" i="7" s="1"/>
  <c r="M683" i="7" a="1"/>
  <c r="M683" i="7" s="1"/>
  <c r="L683" i="7"/>
  <c r="K683" i="7" a="1"/>
  <c r="K683" i="7" s="1"/>
  <c r="F683" i="7"/>
  <c r="T682" i="7"/>
  <c r="S682" i="7"/>
  <c r="R682" i="7"/>
  <c r="Q682" i="7" a="1"/>
  <c r="Q682" i="7" s="1"/>
  <c r="P682" i="7"/>
  <c r="N682" i="7" a="1"/>
  <c r="N682" i="7" s="1"/>
  <c r="O682" i="7" s="1"/>
  <c r="M682" i="7" a="1"/>
  <c r="M682" i="7" s="1"/>
  <c r="L682" i="7"/>
  <c r="K682" i="7" a="1"/>
  <c r="K682" i="7" s="1"/>
  <c r="F682" i="7"/>
  <c r="T681" i="7"/>
  <c r="S681" i="7"/>
  <c r="R681" i="7"/>
  <c r="Q681" i="7" a="1"/>
  <c r="Q681" i="7" s="1"/>
  <c r="P681" i="7"/>
  <c r="N681" i="7" a="1"/>
  <c r="N681" i="7" s="1"/>
  <c r="O681" i="7" s="1"/>
  <c r="M681" i="7" a="1"/>
  <c r="M681" i="7" s="1"/>
  <c r="L681" i="7"/>
  <c r="K681" i="7" a="1"/>
  <c r="K681" i="7" s="1"/>
  <c r="F681" i="7"/>
  <c r="T680" i="7"/>
  <c r="S680" i="7"/>
  <c r="R680" i="7"/>
  <c r="Q680" i="7" a="1"/>
  <c r="Q680" i="7" s="1"/>
  <c r="P680" i="7"/>
  <c r="N680" i="7" a="1"/>
  <c r="N680" i="7" s="1"/>
  <c r="O680" i="7" s="1"/>
  <c r="M680" i="7" a="1"/>
  <c r="M680" i="7" s="1"/>
  <c r="L680" i="7"/>
  <c r="K680" i="7" a="1"/>
  <c r="K680" i="7" s="1"/>
  <c r="F680" i="7"/>
  <c r="T679" i="7"/>
  <c r="S679" i="7"/>
  <c r="R679" i="7"/>
  <c r="Q679" i="7" a="1"/>
  <c r="Q679" i="7" s="1"/>
  <c r="P679" i="7"/>
  <c r="N679" i="7" a="1"/>
  <c r="N679" i="7" s="1"/>
  <c r="O679" i="7" s="1"/>
  <c r="M679" i="7" a="1"/>
  <c r="M679" i="7" s="1"/>
  <c r="L679" i="7"/>
  <c r="K679" i="7" a="1"/>
  <c r="K679" i="7" s="1"/>
  <c r="F679" i="7"/>
  <c r="T678" i="7"/>
  <c r="S678" i="7"/>
  <c r="R678" i="7"/>
  <c r="Q678" i="7" a="1"/>
  <c r="Q678" i="7" s="1"/>
  <c r="P678" i="7"/>
  <c r="N678" i="7" a="1"/>
  <c r="N678" i="7" s="1"/>
  <c r="O678" i="7" s="1"/>
  <c r="M678" i="7" a="1"/>
  <c r="M678" i="7" s="1"/>
  <c r="L678" i="7"/>
  <c r="K678" i="7" a="1"/>
  <c r="K678" i="7" s="1"/>
  <c r="F678" i="7"/>
  <c r="T677" i="7"/>
  <c r="S677" i="7"/>
  <c r="R677" i="7"/>
  <c r="Q677" i="7" a="1"/>
  <c r="Q677" i="7" s="1"/>
  <c r="P677" i="7"/>
  <c r="N677" i="7" a="1"/>
  <c r="N677" i="7" s="1"/>
  <c r="O677" i="7" s="1"/>
  <c r="M677" i="7" a="1"/>
  <c r="M677" i="7" s="1"/>
  <c r="L677" i="7"/>
  <c r="K677" i="7" a="1"/>
  <c r="K677" i="7" s="1"/>
  <c r="F677" i="7"/>
  <c r="T676" i="7"/>
  <c r="S676" i="7"/>
  <c r="R676" i="7"/>
  <c r="Q676" i="7" a="1"/>
  <c r="Q676" i="7" s="1"/>
  <c r="P676" i="7"/>
  <c r="N676" i="7" a="1"/>
  <c r="N676" i="7" s="1"/>
  <c r="O676" i="7" s="1"/>
  <c r="M676" i="7" a="1"/>
  <c r="M676" i="7" s="1"/>
  <c r="L676" i="7"/>
  <c r="K676" i="7" a="1"/>
  <c r="K676" i="7" s="1"/>
  <c r="F676" i="7"/>
  <c r="T675" i="7"/>
  <c r="S675" i="7"/>
  <c r="R675" i="7"/>
  <c r="Q675" i="7" a="1"/>
  <c r="Q675" i="7" s="1"/>
  <c r="P675" i="7"/>
  <c r="N675" i="7" a="1"/>
  <c r="N675" i="7" s="1"/>
  <c r="O675" i="7" s="1"/>
  <c r="M675" i="7" a="1"/>
  <c r="M675" i="7" s="1"/>
  <c r="L675" i="7"/>
  <c r="K675" i="7" a="1"/>
  <c r="K675" i="7" s="1"/>
  <c r="F675" i="7"/>
  <c r="T674" i="7"/>
  <c r="S674" i="7"/>
  <c r="R674" i="7"/>
  <c r="Q674" i="7" a="1"/>
  <c r="Q674" i="7" s="1"/>
  <c r="P674" i="7"/>
  <c r="N674" i="7" a="1"/>
  <c r="N674" i="7" s="1"/>
  <c r="O674" i="7" s="1"/>
  <c r="M674" i="7" a="1"/>
  <c r="M674" i="7" s="1"/>
  <c r="L674" i="7"/>
  <c r="K674" i="7" a="1"/>
  <c r="K674" i="7" s="1"/>
  <c r="F674" i="7"/>
  <c r="T673" i="7"/>
  <c r="S673" i="7"/>
  <c r="R673" i="7"/>
  <c r="Q673" i="7" a="1"/>
  <c r="Q673" i="7" s="1"/>
  <c r="P673" i="7"/>
  <c r="N673" i="7" a="1"/>
  <c r="N673" i="7" s="1"/>
  <c r="O673" i="7" s="1"/>
  <c r="M673" i="7" a="1"/>
  <c r="M673" i="7" s="1"/>
  <c r="L673" i="7"/>
  <c r="K673" i="7" a="1"/>
  <c r="K673" i="7" s="1"/>
  <c r="F673" i="7"/>
  <c r="T672" i="7"/>
  <c r="S672" i="7"/>
  <c r="R672" i="7"/>
  <c r="Q672" i="7" a="1"/>
  <c r="Q672" i="7" s="1"/>
  <c r="P672" i="7"/>
  <c r="N672" i="7" a="1"/>
  <c r="N672" i="7" s="1"/>
  <c r="O672" i="7" s="1"/>
  <c r="M672" i="7" a="1"/>
  <c r="M672" i="7" s="1"/>
  <c r="L672" i="7"/>
  <c r="K672" i="7" a="1"/>
  <c r="K672" i="7" s="1"/>
  <c r="F672" i="7"/>
  <c r="T671" i="7"/>
  <c r="S671" i="7"/>
  <c r="R671" i="7"/>
  <c r="Q671" i="7" a="1"/>
  <c r="Q671" i="7" s="1"/>
  <c r="P671" i="7"/>
  <c r="N671" i="7" a="1"/>
  <c r="N671" i="7" s="1"/>
  <c r="O671" i="7" s="1"/>
  <c r="M671" i="7" a="1"/>
  <c r="M671" i="7" s="1"/>
  <c r="L671" i="7"/>
  <c r="K671" i="7" a="1"/>
  <c r="K671" i="7" s="1"/>
  <c r="F671" i="7"/>
  <c r="T670" i="7"/>
  <c r="S670" i="7"/>
  <c r="R670" i="7"/>
  <c r="Q670" i="7" a="1"/>
  <c r="Q670" i="7" s="1"/>
  <c r="P670" i="7"/>
  <c r="N670" i="7" a="1"/>
  <c r="N670" i="7" s="1"/>
  <c r="O670" i="7" s="1"/>
  <c r="M670" i="7" a="1"/>
  <c r="M670" i="7" s="1"/>
  <c r="L670" i="7"/>
  <c r="K670" i="7" a="1"/>
  <c r="K670" i="7" s="1"/>
  <c r="F670" i="7"/>
  <c r="T669" i="7"/>
  <c r="S669" i="7"/>
  <c r="R669" i="7"/>
  <c r="Q669" i="7" a="1"/>
  <c r="Q669" i="7" s="1"/>
  <c r="P669" i="7"/>
  <c r="N669" i="7" a="1"/>
  <c r="N669" i="7" s="1"/>
  <c r="O669" i="7" s="1"/>
  <c r="M669" i="7" a="1"/>
  <c r="M669" i="7" s="1"/>
  <c r="L669" i="7"/>
  <c r="K669" i="7" a="1"/>
  <c r="K669" i="7" s="1"/>
  <c r="F669" i="7"/>
  <c r="T668" i="7"/>
  <c r="S668" i="7"/>
  <c r="R668" i="7"/>
  <c r="Q668" i="7" a="1"/>
  <c r="Q668" i="7" s="1"/>
  <c r="P668" i="7"/>
  <c r="N668" i="7" a="1"/>
  <c r="N668" i="7" s="1"/>
  <c r="O668" i="7" s="1"/>
  <c r="M668" i="7" a="1"/>
  <c r="M668" i="7" s="1"/>
  <c r="L668" i="7"/>
  <c r="K668" i="7" a="1"/>
  <c r="K668" i="7" s="1"/>
  <c r="F668" i="7"/>
  <c r="T667" i="7"/>
  <c r="S667" i="7"/>
  <c r="R667" i="7"/>
  <c r="Q667" i="7" a="1"/>
  <c r="Q667" i="7" s="1"/>
  <c r="P667" i="7"/>
  <c r="N667" i="7" a="1"/>
  <c r="N667" i="7" s="1"/>
  <c r="O667" i="7" s="1"/>
  <c r="M667" i="7" a="1"/>
  <c r="M667" i="7" s="1"/>
  <c r="L667" i="7"/>
  <c r="K667" i="7" a="1"/>
  <c r="K667" i="7" s="1"/>
  <c r="F667" i="7"/>
  <c r="T666" i="7"/>
  <c r="S666" i="7"/>
  <c r="R666" i="7"/>
  <c r="Q666" i="7" a="1"/>
  <c r="Q666" i="7" s="1"/>
  <c r="P666" i="7"/>
  <c r="N666" i="7" a="1"/>
  <c r="N666" i="7" s="1"/>
  <c r="O666" i="7" s="1"/>
  <c r="M666" i="7" a="1"/>
  <c r="M666" i="7" s="1"/>
  <c r="L666" i="7"/>
  <c r="K666" i="7" a="1"/>
  <c r="K666" i="7" s="1"/>
  <c r="F666" i="7"/>
  <c r="T665" i="7"/>
  <c r="S665" i="7"/>
  <c r="R665" i="7"/>
  <c r="Q665" i="7" a="1"/>
  <c r="Q665" i="7" s="1"/>
  <c r="P665" i="7"/>
  <c r="N665" i="7" a="1"/>
  <c r="N665" i="7" s="1"/>
  <c r="O665" i="7" s="1"/>
  <c r="M665" i="7" a="1"/>
  <c r="M665" i="7" s="1"/>
  <c r="L665" i="7"/>
  <c r="K665" i="7" a="1"/>
  <c r="K665" i="7" s="1"/>
  <c r="F665" i="7"/>
  <c r="T664" i="7"/>
  <c r="S664" i="7"/>
  <c r="R664" i="7"/>
  <c r="Q664" i="7" a="1"/>
  <c r="Q664" i="7" s="1"/>
  <c r="P664" i="7"/>
  <c r="N664" i="7" a="1"/>
  <c r="N664" i="7" s="1"/>
  <c r="O664" i="7" s="1"/>
  <c r="M664" i="7" a="1"/>
  <c r="M664" i="7" s="1"/>
  <c r="L664" i="7"/>
  <c r="K664" i="7" a="1"/>
  <c r="K664" i="7" s="1"/>
  <c r="F664" i="7"/>
  <c r="T663" i="7"/>
  <c r="S663" i="7"/>
  <c r="R663" i="7"/>
  <c r="Q663" i="7" a="1"/>
  <c r="Q663" i="7" s="1"/>
  <c r="P663" i="7"/>
  <c r="N663" i="7" a="1"/>
  <c r="N663" i="7" s="1"/>
  <c r="O663" i="7" s="1"/>
  <c r="M663" i="7" a="1"/>
  <c r="M663" i="7" s="1"/>
  <c r="L663" i="7"/>
  <c r="K663" i="7" a="1"/>
  <c r="K663" i="7" s="1"/>
  <c r="F663" i="7"/>
  <c r="T662" i="7"/>
  <c r="S662" i="7"/>
  <c r="R662" i="7"/>
  <c r="Q662" i="7" a="1"/>
  <c r="Q662" i="7" s="1"/>
  <c r="P662" i="7"/>
  <c r="N662" i="7" a="1"/>
  <c r="N662" i="7" s="1"/>
  <c r="O662" i="7" s="1"/>
  <c r="M662" i="7" a="1"/>
  <c r="M662" i="7" s="1"/>
  <c r="L662" i="7"/>
  <c r="K662" i="7" a="1"/>
  <c r="K662" i="7" s="1"/>
  <c r="F662" i="7"/>
  <c r="T661" i="7"/>
  <c r="S661" i="7"/>
  <c r="R661" i="7"/>
  <c r="Q661" i="7" a="1"/>
  <c r="Q661" i="7" s="1"/>
  <c r="P661" i="7"/>
  <c r="N661" i="7" a="1"/>
  <c r="N661" i="7" s="1"/>
  <c r="O661" i="7" s="1"/>
  <c r="M661" i="7" a="1"/>
  <c r="M661" i="7" s="1"/>
  <c r="L661" i="7"/>
  <c r="K661" i="7" a="1"/>
  <c r="K661" i="7" s="1"/>
  <c r="F661" i="7"/>
  <c r="T660" i="7"/>
  <c r="S660" i="7"/>
  <c r="R660" i="7"/>
  <c r="Q660" i="7" a="1"/>
  <c r="Q660" i="7" s="1"/>
  <c r="P660" i="7"/>
  <c r="N660" i="7" a="1"/>
  <c r="N660" i="7" s="1"/>
  <c r="O660" i="7" s="1"/>
  <c r="M660" i="7" a="1"/>
  <c r="M660" i="7" s="1"/>
  <c r="L660" i="7"/>
  <c r="K660" i="7" a="1"/>
  <c r="K660" i="7" s="1"/>
  <c r="F660" i="7"/>
  <c r="T659" i="7"/>
  <c r="S659" i="7"/>
  <c r="R659" i="7"/>
  <c r="Q659" i="7" a="1"/>
  <c r="Q659" i="7" s="1"/>
  <c r="P659" i="7"/>
  <c r="N659" i="7" a="1"/>
  <c r="N659" i="7" s="1"/>
  <c r="O659" i="7" s="1"/>
  <c r="M659" i="7" a="1"/>
  <c r="M659" i="7" s="1"/>
  <c r="L659" i="7"/>
  <c r="K659" i="7" a="1"/>
  <c r="K659" i="7" s="1"/>
  <c r="F659" i="7"/>
  <c r="T658" i="7"/>
  <c r="S658" i="7"/>
  <c r="R658" i="7"/>
  <c r="Q658" i="7" a="1"/>
  <c r="Q658" i="7" s="1"/>
  <c r="P658" i="7"/>
  <c r="N658" i="7" a="1"/>
  <c r="N658" i="7" s="1"/>
  <c r="O658" i="7" s="1"/>
  <c r="M658" i="7" a="1"/>
  <c r="M658" i="7" s="1"/>
  <c r="L658" i="7"/>
  <c r="K658" i="7" a="1"/>
  <c r="K658" i="7" s="1"/>
  <c r="F658" i="7"/>
  <c r="T657" i="7"/>
  <c r="S657" i="7"/>
  <c r="R657" i="7"/>
  <c r="Q657" i="7" a="1"/>
  <c r="Q657" i="7" s="1"/>
  <c r="P657" i="7"/>
  <c r="N657" i="7" a="1"/>
  <c r="N657" i="7" s="1"/>
  <c r="O657" i="7" s="1"/>
  <c r="M657" i="7" a="1"/>
  <c r="M657" i="7" s="1"/>
  <c r="L657" i="7"/>
  <c r="K657" i="7" a="1"/>
  <c r="K657" i="7" s="1"/>
  <c r="F657" i="7"/>
  <c r="T656" i="7"/>
  <c r="S656" i="7"/>
  <c r="R656" i="7"/>
  <c r="Q656" i="7" a="1"/>
  <c r="Q656" i="7" s="1"/>
  <c r="P656" i="7"/>
  <c r="N656" i="7" a="1"/>
  <c r="N656" i="7" s="1"/>
  <c r="O656" i="7" s="1"/>
  <c r="M656" i="7" a="1"/>
  <c r="M656" i="7" s="1"/>
  <c r="L656" i="7"/>
  <c r="K656" i="7" a="1"/>
  <c r="K656" i="7" s="1"/>
  <c r="F656" i="7"/>
  <c r="T655" i="7"/>
  <c r="S655" i="7"/>
  <c r="R655" i="7"/>
  <c r="Q655" i="7" a="1"/>
  <c r="Q655" i="7" s="1"/>
  <c r="P655" i="7"/>
  <c r="N655" i="7" a="1"/>
  <c r="N655" i="7" s="1"/>
  <c r="O655" i="7" s="1"/>
  <c r="M655" i="7" a="1"/>
  <c r="M655" i="7" s="1"/>
  <c r="L655" i="7"/>
  <c r="K655" i="7" a="1"/>
  <c r="K655" i="7" s="1"/>
  <c r="F655" i="7"/>
  <c r="T654" i="7"/>
  <c r="S654" i="7"/>
  <c r="R654" i="7"/>
  <c r="Q654" i="7" a="1"/>
  <c r="Q654" i="7" s="1"/>
  <c r="P654" i="7"/>
  <c r="N654" i="7" a="1"/>
  <c r="N654" i="7" s="1"/>
  <c r="O654" i="7" s="1"/>
  <c r="M654" i="7" a="1"/>
  <c r="M654" i="7" s="1"/>
  <c r="L654" i="7"/>
  <c r="K654" i="7" a="1"/>
  <c r="K654" i="7" s="1"/>
  <c r="F654" i="7"/>
  <c r="T653" i="7"/>
  <c r="S653" i="7"/>
  <c r="R653" i="7"/>
  <c r="Q653" i="7" a="1"/>
  <c r="Q653" i="7" s="1"/>
  <c r="P653" i="7"/>
  <c r="N653" i="7" a="1"/>
  <c r="N653" i="7" s="1"/>
  <c r="O653" i="7" s="1"/>
  <c r="M653" i="7" a="1"/>
  <c r="M653" i="7" s="1"/>
  <c r="L653" i="7"/>
  <c r="K653" i="7" a="1"/>
  <c r="K653" i="7" s="1"/>
  <c r="F653" i="7"/>
  <c r="T652" i="7"/>
  <c r="S652" i="7"/>
  <c r="R652" i="7"/>
  <c r="Q652" i="7" a="1"/>
  <c r="Q652" i="7" s="1"/>
  <c r="P652" i="7"/>
  <c r="N652" i="7" a="1"/>
  <c r="N652" i="7" s="1"/>
  <c r="O652" i="7" s="1"/>
  <c r="M652" i="7" a="1"/>
  <c r="M652" i="7" s="1"/>
  <c r="L652" i="7"/>
  <c r="K652" i="7" a="1"/>
  <c r="K652" i="7" s="1"/>
  <c r="F652" i="7"/>
  <c r="T651" i="7"/>
  <c r="S651" i="7"/>
  <c r="R651" i="7"/>
  <c r="Q651" i="7" a="1"/>
  <c r="Q651" i="7" s="1"/>
  <c r="P651" i="7"/>
  <c r="N651" i="7" a="1"/>
  <c r="N651" i="7" s="1"/>
  <c r="O651" i="7" s="1"/>
  <c r="M651" i="7" a="1"/>
  <c r="M651" i="7" s="1"/>
  <c r="L651" i="7"/>
  <c r="K651" i="7" a="1"/>
  <c r="K651" i="7" s="1"/>
  <c r="F651" i="7"/>
  <c r="T650" i="7"/>
  <c r="S650" i="7"/>
  <c r="R650" i="7"/>
  <c r="Q650" i="7" a="1"/>
  <c r="Q650" i="7" s="1"/>
  <c r="P650" i="7"/>
  <c r="N650" i="7" a="1"/>
  <c r="N650" i="7" s="1"/>
  <c r="O650" i="7" s="1"/>
  <c r="M650" i="7" a="1"/>
  <c r="M650" i="7" s="1"/>
  <c r="L650" i="7"/>
  <c r="K650" i="7" a="1"/>
  <c r="K650" i="7" s="1"/>
  <c r="F650" i="7"/>
  <c r="T649" i="7"/>
  <c r="S649" i="7"/>
  <c r="R649" i="7"/>
  <c r="Q649" i="7" a="1"/>
  <c r="Q649" i="7" s="1"/>
  <c r="P649" i="7"/>
  <c r="N649" i="7" a="1"/>
  <c r="N649" i="7" s="1"/>
  <c r="O649" i="7" s="1"/>
  <c r="M649" i="7" a="1"/>
  <c r="M649" i="7" s="1"/>
  <c r="L649" i="7"/>
  <c r="K649" i="7" a="1"/>
  <c r="K649" i="7" s="1"/>
  <c r="F649" i="7"/>
  <c r="T648" i="7"/>
  <c r="S648" i="7"/>
  <c r="R648" i="7"/>
  <c r="Q648" i="7" a="1"/>
  <c r="Q648" i="7" s="1"/>
  <c r="P648" i="7"/>
  <c r="N648" i="7" a="1"/>
  <c r="N648" i="7" s="1"/>
  <c r="O648" i="7" s="1"/>
  <c r="M648" i="7" a="1"/>
  <c r="M648" i="7" s="1"/>
  <c r="L648" i="7"/>
  <c r="K648" i="7" a="1"/>
  <c r="K648" i="7" s="1"/>
  <c r="F648" i="7"/>
  <c r="T647" i="7"/>
  <c r="S647" i="7"/>
  <c r="R647" i="7"/>
  <c r="Q647" i="7" a="1"/>
  <c r="Q647" i="7" s="1"/>
  <c r="P647" i="7"/>
  <c r="N647" i="7" a="1"/>
  <c r="N647" i="7" s="1"/>
  <c r="O647" i="7" s="1"/>
  <c r="M647" i="7" a="1"/>
  <c r="M647" i="7" s="1"/>
  <c r="L647" i="7"/>
  <c r="K647" i="7" a="1"/>
  <c r="K647" i="7" s="1"/>
  <c r="F647" i="7"/>
  <c r="T646" i="7"/>
  <c r="S646" i="7"/>
  <c r="R646" i="7"/>
  <c r="Q646" i="7" a="1"/>
  <c r="Q646" i="7" s="1"/>
  <c r="P646" i="7"/>
  <c r="N646" i="7" a="1"/>
  <c r="N646" i="7" s="1"/>
  <c r="O646" i="7" s="1"/>
  <c r="M646" i="7" a="1"/>
  <c r="M646" i="7" s="1"/>
  <c r="L646" i="7"/>
  <c r="K646" i="7" a="1"/>
  <c r="K646" i="7" s="1"/>
  <c r="F646" i="7"/>
  <c r="T645" i="7"/>
  <c r="S645" i="7"/>
  <c r="R645" i="7"/>
  <c r="Q645" i="7" a="1"/>
  <c r="Q645" i="7" s="1"/>
  <c r="P645" i="7"/>
  <c r="N645" i="7" a="1"/>
  <c r="N645" i="7" s="1"/>
  <c r="O645" i="7" s="1"/>
  <c r="M645" i="7" a="1"/>
  <c r="M645" i="7" s="1"/>
  <c r="L645" i="7"/>
  <c r="K645" i="7" a="1"/>
  <c r="K645" i="7" s="1"/>
  <c r="F645" i="7"/>
  <c r="T644" i="7"/>
  <c r="S644" i="7"/>
  <c r="R644" i="7"/>
  <c r="Q644" i="7" a="1"/>
  <c r="Q644" i="7" s="1"/>
  <c r="P644" i="7"/>
  <c r="N644" i="7" a="1"/>
  <c r="N644" i="7" s="1"/>
  <c r="O644" i="7" s="1"/>
  <c r="M644" i="7" a="1"/>
  <c r="M644" i="7" s="1"/>
  <c r="L644" i="7"/>
  <c r="K644" i="7" a="1"/>
  <c r="K644" i="7" s="1"/>
  <c r="F644" i="7"/>
  <c r="T643" i="7"/>
  <c r="S643" i="7"/>
  <c r="R643" i="7"/>
  <c r="Q643" i="7" a="1"/>
  <c r="Q643" i="7" s="1"/>
  <c r="P643" i="7"/>
  <c r="N643" i="7" a="1"/>
  <c r="N643" i="7" s="1"/>
  <c r="O643" i="7" s="1"/>
  <c r="M643" i="7" a="1"/>
  <c r="M643" i="7" s="1"/>
  <c r="L643" i="7"/>
  <c r="K643" i="7" a="1"/>
  <c r="K643" i="7" s="1"/>
  <c r="F643" i="7"/>
  <c r="T642" i="7"/>
  <c r="S642" i="7"/>
  <c r="R642" i="7"/>
  <c r="Q642" i="7" a="1"/>
  <c r="Q642" i="7" s="1"/>
  <c r="P642" i="7"/>
  <c r="N642" i="7" a="1"/>
  <c r="N642" i="7" s="1"/>
  <c r="O642" i="7" s="1"/>
  <c r="M642" i="7" a="1"/>
  <c r="M642" i="7" s="1"/>
  <c r="L642" i="7"/>
  <c r="K642" i="7" a="1"/>
  <c r="K642" i="7" s="1"/>
  <c r="F642" i="7"/>
  <c r="T641" i="7"/>
  <c r="S641" i="7"/>
  <c r="R641" i="7"/>
  <c r="Q641" i="7" a="1"/>
  <c r="Q641" i="7" s="1"/>
  <c r="P641" i="7"/>
  <c r="N641" i="7" a="1"/>
  <c r="N641" i="7" s="1"/>
  <c r="O641" i="7" s="1"/>
  <c r="M641" i="7" a="1"/>
  <c r="M641" i="7" s="1"/>
  <c r="L641" i="7"/>
  <c r="K641" i="7" a="1"/>
  <c r="K641" i="7" s="1"/>
  <c r="F641" i="7"/>
  <c r="T640" i="7"/>
  <c r="S640" i="7"/>
  <c r="R640" i="7"/>
  <c r="Q640" i="7" a="1"/>
  <c r="Q640" i="7" s="1"/>
  <c r="P640" i="7"/>
  <c r="N640" i="7" a="1"/>
  <c r="N640" i="7" s="1"/>
  <c r="O640" i="7" s="1"/>
  <c r="M640" i="7" a="1"/>
  <c r="M640" i="7" s="1"/>
  <c r="L640" i="7"/>
  <c r="K640" i="7" a="1"/>
  <c r="K640" i="7" s="1"/>
  <c r="F640" i="7"/>
  <c r="T639" i="7"/>
  <c r="S639" i="7"/>
  <c r="R639" i="7"/>
  <c r="Q639" i="7" a="1"/>
  <c r="Q639" i="7" s="1"/>
  <c r="P639" i="7"/>
  <c r="N639" i="7" a="1"/>
  <c r="N639" i="7" s="1"/>
  <c r="O639" i="7" s="1"/>
  <c r="M639" i="7" a="1"/>
  <c r="M639" i="7" s="1"/>
  <c r="L639" i="7"/>
  <c r="K639" i="7" a="1"/>
  <c r="K639" i="7" s="1"/>
  <c r="F639" i="7"/>
  <c r="T638" i="7"/>
  <c r="S638" i="7"/>
  <c r="R638" i="7"/>
  <c r="Q638" i="7" a="1"/>
  <c r="Q638" i="7" s="1"/>
  <c r="P638" i="7"/>
  <c r="N638" i="7" a="1"/>
  <c r="N638" i="7" s="1"/>
  <c r="O638" i="7" s="1"/>
  <c r="M638" i="7" a="1"/>
  <c r="M638" i="7" s="1"/>
  <c r="L638" i="7"/>
  <c r="K638" i="7" a="1"/>
  <c r="K638" i="7" s="1"/>
  <c r="F638" i="7"/>
  <c r="T637" i="7"/>
  <c r="S637" i="7"/>
  <c r="R637" i="7"/>
  <c r="Q637" i="7" a="1"/>
  <c r="Q637" i="7" s="1"/>
  <c r="P637" i="7"/>
  <c r="N637" i="7" a="1"/>
  <c r="N637" i="7" s="1"/>
  <c r="O637" i="7" s="1"/>
  <c r="M637" i="7" a="1"/>
  <c r="M637" i="7" s="1"/>
  <c r="L637" i="7"/>
  <c r="K637" i="7" a="1"/>
  <c r="K637" i="7" s="1"/>
  <c r="F637" i="7"/>
  <c r="T636" i="7"/>
  <c r="S636" i="7"/>
  <c r="R636" i="7"/>
  <c r="Q636" i="7" a="1"/>
  <c r="Q636" i="7" s="1"/>
  <c r="P636" i="7"/>
  <c r="N636" i="7" a="1"/>
  <c r="N636" i="7" s="1"/>
  <c r="O636" i="7" s="1"/>
  <c r="M636" i="7" a="1"/>
  <c r="M636" i="7" s="1"/>
  <c r="L636" i="7"/>
  <c r="K636" i="7" a="1"/>
  <c r="K636" i="7" s="1"/>
  <c r="F636" i="7"/>
  <c r="T635" i="7"/>
  <c r="S635" i="7"/>
  <c r="R635" i="7"/>
  <c r="Q635" i="7" a="1"/>
  <c r="Q635" i="7" s="1"/>
  <c r="P635" i="7"/>
  <c r="N635" i="7" a="1"/>
  <c r="N635" i="7" s="1"/>
  <c r="O635" i="7" s="1"/>
  <c r="M635" i="7" a="1"/>
  <c r="M635" i="7" s="1"/>
  <c r="L635" i="7"/>
  <c r="K635" i="7" a="1"/>
  <c r="K635" i="7" s="1"/>
  <c r="F635" i="7"/>
  <c r="T634" i="7"/>
  <c r="S634" i="7"/>
  <c r="R634" i="7"/>
  <c r="Q634" i="7" a="1"/>
  <c r="Q634" i="7" s="1"/>
  <c r="P634" i="7"/>
  <c r="N634" i="7" a="1"/>
  <c r="N634" i="7" s="1"/>
  <c r="O634" i="7" s="1"/>
  <c r="M634" i="7" a="1"/>
  <c r="M634" i="7" s="1"/>
  <c r="L634" i="7"/>
  <c r="K634" i="7" a="1"/>
  <c r="K634" i="7" s="1"/>
  <c r="F634" i="7"/>
  <c r="T633" i="7"/>
  <c r="S633" i="7"/>
  <c r="R633" i="7"/>
  <c r="Q633" i="7" a="1"/>
  <c r="Q633" i="7" s="1"/>
  <c r="P633" i="7"/>
  <c r="N633" i="7" a="1"/>
  <c r="N633" i="7" s="1"/>
  <c r="O633" i="7" s="1"/>
  <c r="M633" i="7" a="1"/>
  <c r="M633" i="7" s="1"/>
  <c r="L633" i="7"/>
  <c r="K633" i="7" a="1"/>
  <c r="K633" i="7" s="1"/>
  <c r="F633" i="7"/>
  <c r="T632" i="7"/>
  <c r="S632" i="7"/>
  <c r="R632" i="7"/>
  <c r="Q632" i="7" a="1"/>
  <c r="Q632" i="7" s="1"/>
  <c r="P632" i="7"/>
  <c r="N632" i="7" a="1"/>
  <c r="N632" i="7" s="1"/>
  <c r="O632" i="7" s="1"/>
  <c r="M632" i="7" a="1"/>
  <c r="M632" i="7" s="1"/>
  <c r="L632" i="7"/>
  <c r="K632" i="7" a="1"/>
  <c r="K632" i="7" s="1"/>
  <c r="F632" i="7"/>
  <c r="T631" i="7"/>
  <c r="S631" i="7"/>
  <c r="R631" i="7"/>
  <c r="Q631" i="7" a="1"/>
  <c r="Q631" i="7" s="1"/>
  <c r="P631" i="7"/>
  <c r="N631" i="7" a="1"/>
  <c r="N631" i="7" s="1"/>
  <c r="O631" i="7" s="1"/>
  <c r="M631" i="7" a="1"/>
  <c r="M631" i="7" s="1"/>
  <c r="L631" i="7"/>
  <c r="K631" i="7" a="1"/>
  <c r="K631" i="7" s="1"/>
  <c r="F631" i="7"/>
  <c r="T630" i="7"/>
  <c r="S630" i="7"/>
  <c r="R630" i="7"/>
  <c r="Q630" i="7" a="1"/>
  <c r="Q630" i="7" s="1"/>
  <c r="P630" i="7"/>
  <c r="N630" i="7" a="1"/>
  <c r="N630" i="7" s="1"/>
  <c r="O630" i="7" s="1"/>
  <c r="M630" i="7" a="1"/>
  <c r="M630" i="7" s="1"/>
  <c r="L630" i="7"/>
  <c r="K630" i="7" a="1"/>
  <c r="K630" i="7" s="1"/>
  <c r="F630" i="7"/>
  <c r="T629" i="7"/>
  <c r="S629" i="7"/>
  <c r="R629" i="7"/>
  <c r="Q629" i="7" a="1"/>
  <c r="Q629" i="7" s="1"/>
  <c r="P629" i="7"/>
  <c r="N629" i="7" a="1"/>
  <c r="N629" i="7" s="1"/>
  <c r="O629" i="7" s="1"/>
  <c r="M629" i="7" a="1"/>
  <c r="M629" i="7" s="1"/>
  <c r="L629" i="7"/>
  <c r="K629" i="7" a="1"/>
  <c r="K629" i="7" s="1"/>
  <c r="F629" i="7"/>
  <c r="T628" i="7"/>
  <c r="S628" i="7"/>
  <c r="R628" i="7"/>
  <c r="Q628" i="7" a="1"/>
  <c r="Q628" i="7" s="1"/>
  <c r="P628" i="7"/>
  <c r="N628" i="7" a="1"/>
  <c r="N628" i="7" s="1"/>
  <c r="O628" i="7" s="1"/>
  <c r="M628" i="7" a="1"/>
  <c r="M628" i="7" s="1"/>
  <c r="L628" i="7"/>
  <c r="K628" i="7" a="1"/>
  <c r="K628" i="7" s="1"/>
  <c r="F628" i="7"/>
  <c r="T627" i="7"/>
  <c r="S627" i="7"/>
  <c r="R627" i="7"/>
  <c r="Q627" i="7" a="1"/>
  <c r="Q627" i="7" s="1"/>
  <c r="P627" i="7"/>
  <c r="N627" i="7" a="1"/>
  <c r="N627" i="7" s="1"/>
  <c r="O627" i="7" s="1"/>
  <c r="M627" i="7" a="1"/>
  <c r="M627" i="7" s="1"/>
  <c r="L627" i="7"/>
  <c r="K627" i="7" a="1"/>
  <c r="K627" i="7" s="1"/>
  <c r="F627" i="7"/>
  <c r="T626" i="7"/>
  <c r="S626" i="7"/>
  <c r="R626" i="7"/>
  <c r="Q626" i="7" a="1"/>
  <c r="Q626" i="7" s="1"/>
  <c r="P626" i="7"/>
  <c r="N626" i="7" a="1"/>
  <c r="N626" i="7" s="1"/>
  <c r="O626" i="7" s="1"/>
  <c r="M626" i="7" a="1"/>
  <c r="M626" i="7" s="1"/>
  <c r="L626" i="7"/>
  <c r="K626" i="7" a="1"/>
  <c r="K626" i="7" s="1"/>
  <c r="F626" i="7"/>
  <c r="T625" i="7"/>
  <c r="S625" i="7"/>
  <c r="R625" i="7"/>
  <c r="Q625" i="7" a="1"/>
  <c r="Q625" i="7" s="1"/>
  <c r="P625" i="7"/>
  <c r="N625" i="7" a="1"/>
  <c r="N625" i="7" s="1"/>
  <c r="O625" i="7" s="1"/>
  <c r="M625" i="7" a="1"/>
  <c r="M625" i="7" s="1"/>
  <c r="L625" i="7"/>
  <c r="K625" i="7" a="1"/>
  <c r="K625" i="7" s="1"/>
  <c r="F625" i="7"/>
  <c r="T624" i="7"/>
  <c r="S624" i="7"/>
  <c r="R624" i="7"/>
  <c r="Q624" i="7" a="1"/>
  <c r="Q624" i="7" s="1"/>
  <c r="P624" i="7"/>
  <c r="N624" i="7" a="1"/>
  <c r="N624" i="7" s="1"/>
  <c r="O624" i="7" s="1"/>
  <c r="M624" i="7" a="1"/>
  <c r="M624" i="7" s="1"/>
  <c r="L624" i="7"/>
  <c r="K624" i="7" a="1"/>
  <c r="K624" i="7" s="1"/>
  <c r="F624" i="7"/>
  <c r="T623" i="7"/>
  <c r="S623" i="7"/>
  <c r="R623" i="7"/>
  <c r="Q623" i="7" a="1"/>
  <c r="Q623" i="7" s="1"/>
  <c r="P623" i="7"/>
  <c r="N623" i="7" a="1"/>
  <c r="N623" i="7" s="1"/>
  <c r="O623" i="7" s="1"/>
  <c r="M623" i="7" a="1"/>
  <c r="M623" i="7" s="1"/>
  <c r="L623" i="7"/>
  <c r="K623" i="7" a="1"/>
  <c r="K623" i="7" s="1"/>
  <c r="F623" i="7"/>
  <c r="T622" i="7"/>
  <c r="S622" i="7"/>
  <c r="R622" i="7"/>
  <c r="Q622" i="7" a="1"/>
  <c r="Q622" i="7" s="1"/>
  <c r="P622" i="7"/>
  <c r="N622" i="7" a="1"/>
  <c r="N622" i="7" s="1"/>
  <c r="O622" i="7" s="1"/>
  <c r="M622" i="7" a="1"/>
  <c r="M622" i="7" s="1"/>
  <c r="L622" i="7"/>
  <c r="K622" i="7" a="1"/>
  <c r="K622" i="7" s="1"/>
  <c r="F622" i="7"/>
  <c r="T621" i="7"/>
  <c r="S621" i="7"/>
  <c r="R621" i="7"/>
  <c r="Q621" i="7" a="1"/>
  <c r="Q621" i="7" s="1"/>
  <c r="P621" i="7"/>
  <c r="N621" i="7" a="1"/>
  <c r="N621" i="7" s="1"/>
  <c r="O621" i="7" s="1"/>
  <c r="M621" i="7" a="1"/>
  <c r="M621" i="7" s="1"/>
  <c r="L621" i="7"/>
  <c r="K621" i="7" a="1"/>
  <c r="K621" i="7" s="1"/>
  <c r="F621" i="7"/>
  <c r="T620" i="7"/>
  <c r="S620" i="7"/>
  <c r="R620" i="7"/>
  <c r="Q620" i="7" a="1"/>
  <c r="Q620" i="7" s="1"/>
  <c r="P620" i="7"/>
  <c r="N620" i="7" a="1"/>
  <c r="N620" i="7" s="1"/>
  <c r="O620" i="7" s="1"/>
  <c r="M620" i="7" a="1"/>
  <c r="M620" i="7" s="1"/>
  <c r="L620" i="7"/>
  <c r="K620" i="7" a="1"/>
  <c r="K620" i="7" s="1"/>
  <c r="F620" i="7"/>
  <c r="T619" i="7"/>
  <c r="S619" i="7"/>
  <c r="R619" i="7"/>
  <c r="Q619" i="7" a="1"/>
  <c r="Q619" i="7" s="1"/>
  <c r="P619" i="7"/>
  <c r="N619" i="7" a="1"/>
  <c r="N619" i="7" s="1"/>
  <c r="O619" i="7" s="1"/>
  <c r="M619" i="7" a="1"/>
  <c r="M619" i="7" s="1"/>
  <c r="L619" i="7"/>
  <c r="K619" i="7" a="1"/>
  <c r="K619" i="7" s="1"/>
  <c r="F619" i="7"/>
  <c r="T618" i="7"/>
  <c r="S618" i="7"/>
  <c r="R618" i="7"/>
  <c r="Q618" i="7" a="1"/>
  <c r="Q618" i="7" s="1"/>
  <c r="P618" i="7"/>
  <c r="N618" i="7" a="1"/>
  <c r="N618" i="7" s="1"/>
  <c r="O618" i="7" s="1"/>
  <c r="M618" i="7" a="1"/>
  <c r="M618" i="7" s="1"/>
  <c r="L618" i="7"/>
  <c r="K618" i="7" a="1"/>
  <c r="K618" i="7" s="1"/>
  <c r="F618" i="7"/>
  <c r="T617" i="7"/>
  <c r="S617" i="7"/>
  <c r="R617" i="7"/>
  <c r="Q617" i="7" a="1"/>
  <c r="Q617" i="7" s="1"/>
  <c r="P617" i="7"/>
  <c r="N617" i="7" a="1"/>
  <c r="N617" i="7" s="1"/>
  <c r="O617" i="7" s="1"/>
  <c r="M617" i="7" a="1"/>
  <c r="M617" i="7" s="1"/>
  <c r="L617" i="7"/>
  <c r="K617" i="7" a="1"/>
  <c r="K617" i="7" s="1"/>
  <c r="F617" i="7"/>
  <c r="T616" i="7"/>
  <c r="S616" i="7"/>
  <c r="R616" i="7"/>
  <c r="Q616" i="7" a="1"/>
  <c r="Q616" i="7" s="1"/>
  <c r="P616" i="7"/>
  <c r="N616" i="7" a="1"/>
  <c r="N616" i="7" s="1"/>
  <c r="O616" i="7" s="1"/>
  <c r="M616" i="7" a="1"/>
  <c r="M616" i="7" s="1"/>
  <c r="L616" i="7"/>
  <c r="K616" i="7" a="1"/>
  <c r="K616" i="7" s="1"/>
  <c r="F616" i="7"/>
  <c r="T615" i="7"/>
  <c r="S615" i="7"/>
  <c r="R615" i="7"/>
  <c r="Q615" i="7" a="1"/>
  <c r="Q615" i="7" s="1"/>
  <c r="P615" i="7"/>
  <c r="N615" i="7" a="1"/>
  <c r="N615" i="7" s="1"/>
  <c r="O615" i="7" s="1"/>
  <c r="M615" i="7" a="1"/>
  <c r="M615" i="7" s="1"/>
  <c r="L615" i="7"/>
  <c r="K615" i="7" a="1"/>
  <c r="K615" i="7" s="1"/>
  <c r="F615" i="7"/>
  <c r="T614" i="7"/>
  <c r="S614" i="7"/>
  <c r="R614" i="7"/>
  <c r="Q614" i="7" a="1"/>
  <c r="Q614" i="7" s="1"/>
  <c r="P614" i="7"/>
  <c r="N614" i="7" a="1"/>
  <c r="N614" i="7" s="1"/>
  <c r="O614" i="7" s="1"/>
  <c r="M614" i="7" a="1"/>
  <c r="M614" i="7" s="1"/>
  <c r="L614" i="7"/>
  <c r="K614" i="7" a="1"/>
  <c r="K614" i="7" s="1"/>
  <c r="F614" i="7"/>
  <c r="T613" i="7"/>
  <c r="S613" i="7"/>
  <c r="R613" i="7"/>
  <c r="Q613" i="7" a="1"/>
  <c r="Q613" i="7" s="1"/>
  <c r="P613" i="7"/>
  <c r="N613" i="7" a="1"/>
  <c r="N613" i="7" s="1"/>
  <c r="O613" i="7" s="1"/>
  <c r="M613" i="7" a="1"/>
  <c r="M613" i="7" s="1"/>
  <c r="L613" i="7"/>
  <c r="K613" i="7" a="1"/>
  <c r="K613" i="7" s="1"/>
  <c r="F613" i="7"/>
  <c r="T612" i="7"/>
  <c r="S612" i="7"/>
  <c r="R612" i="7"/>
  <c r="Q612" i="7" a="1"/>
  <c r="Q612" i="7" s="1"/>
  <c r="P612" i="7"/>
  <c r="N612" i="7" a="1"/>
  <c r="N612" i="7" s="1"/>
  <c r="O612" i="7" s="1"/>
  <c r="M612" i="7" a="1"/>
  <c r="M612" i="7" s="1"/>
  <c r="L612" i="7"/>
  <c r="K612" i="7" a="1"/>
  <c r="K612" i="7" s="1"/>
  <c r="F612" i="7"/>
  <c r="T611" i="7"/>
  <c r="S611" i="7"/>
  <c r="R611" i="7"/>
  <c r="Q611" i="7" a="1"/>
  <c r="Q611" i="7" s="1"/>
  <c r="P611" i="7"/>
  <c r="N611" i="7" a="1"/>
  <c r="N611" i="7" s="1"/>
  <c r="O611" i="7" s="1"/>
  <c r="M611" i="7" a="1"/>
  <c r="M611" i="7" s="1"/>
  <c r="L611" i="7"/>
  <c r="K611" i="7" a="1"/>
  <c r="K611" i="7" s="1"/>
  <c r="F611" i="7"/>
  <c r="T610" i="7"/>
  <c r="S610" i="7"/>
  <c r="R610" i="7"/>
  <c r="Q610" i="7" a="1"/>
  <c r="Q610" i="7" s="1"/>
  <c r="P610" i="7"/>
  <c r="N610" i="7" a="1"/>
  <c r="N610" i="7" s="1"/>
  <c r="O610" i="7" s="1"/>
  <c r="M610" i="7" a="1"/>
  <c r="M610" i="7" s="1"/>
  <c r="L610" i="7"/>
  <c r="K610" i="7" a="1"/>
  <c r="K610" i="7" s="1"/>
  <c r="F610" i="7"/>
  <c r="T609" i="7"/>
  <c r="S609" i="7"/>
  <c r="R609" i="7"/>
  <c r="Q609" i="7" a="1"/>
  <c r="Q609" i="7" s="1"/>
  <c r="P609" i="7"/>
  <c r="N609" i="7" a="1"/>
  <c r="N609" i="7" s="1"/>
  <c r="O609" i="7" s="1"/>
  <c r="M609" i="7" a="1"/>
  <c r="M609" i="7" s="1"/>
  <c r="L609" i="7"/>
  <c r="K609" i="7" a="1"/>
  <c r="K609" i="7" s="1"/>
  <c r="F609" i="7"/>
  <c r="T608" i="7"/>
  <c r="S608" i="7"/>
  <c r="R608" i="7"/>
  <c r="Q608" i="7" a="1"/>
  <c r="Q608" i="7" s="1"/>
  <c r="P608" i="7"/>
  <c r="N608" i="7" a="1"/>
  <c r="N608" i="7" s="1"/>
  <c r="O608" i="7" s="1"/>
  <c r="M608" i="7" a="1"/>
  <c r="M608" i="7" s="1"/>
  <c r="L608" i="7"/>
  <c r="K608" i="7" a="1"/>
  <c r="K608" i="7" s="1"/>
  <c r="F608" i="7"/>
  <c r="T607" i="7"/>
  <c r="S607" i="7"/>
  <c r="R607" i="7"/>
  <c r="Q607" i="7" a="1"/>
  <c r="Q607" i="7" s="1"/>
  <c r="P607" i="7"/>
  <c r="N607" i="7" a="1"/>
  <c r="N607" i="7" s="1"/>
  <c r="O607" i="7" s="1"/>
  <c r="M607" i="7" a="1"/>
  <c r="M607" i="7" s="1"/>
  <c r="L607" i="7"/>
  <c r="K607" i="7" a="1"/>
  <c r="K607" i="7" s="1"/>
  <c r="F607" i="7"/>
  <c r="T606" i="7"/>
  <c r="S606" i="7"/>
  <c r="R606" i="7"/>
  <c r="Q606" i="7" a="1"/>
  <c r="Q606" i="7" s="1"/>
  <c r="P606" i="7"/>
  <c r="N606" i="7" a="1"/>
  <c r="N606" i="7" s="1"/>
  <c r="O606" i="7" s="1"/>
  <c r="M606" i="7" a="1"/>
  <c r="M606" i="7" s="1"/>
  <c r="L606" i="7"/>
  <c r="K606" i="7" a="1"/>
  <c r="K606" i="7" s="1"/>
  <c r="F606" i="7"/>
  <c r="T605" i="7"/>
  <c r="S605" i="7"/>
  <c r="R605" i="7"/>
  <c r="Q605" i="7" a="1"/>
  <c r="Q605" i="7" s="1"/>
  <c r="P605" i="7"/>
  <c r="N605" i="7" a="1"/>
  <c r="N605" i="7" s="1"/>
  <c r="O605" i="7" s="1"/>
  <c r="M605" i="7" a="1"/>
  <c r="M605" i="7" s="1"/>
  <c r="L605" i="7"/>
  <c r="K605" i="7" a="1"/>
  <c r="K605" i="7" s="1"/>
  <c r="F605" i="7"/>
  <c r="T604" i="7"/>
  <c r="S604" i="7"/>
  <c r="R604" i="7"/>
  <c r="Q604" i="7" a="1"/>
  <c r="Q604" i="7" s="1"/>
  <c r="P604" i="7"/>
  <c r="N604" i="7" a="1"/>
  <c r="N604" i="7" s="1"/>
  <c r="O604" i="7" s="1"/>
  <c r="M604" i="7" a="1"/>
  <c r="M604" i="7" s="1"/>
  <c r="L604" i="7"/>
  <c r="K604" i="7" a="1"/>
  <c r="K604" i="7" s="1"/>
  <c r="F604" i="7"/>
  <c r="T603" i="7"/>
  <c r="S603" i="7"/>
  <c r="R603" i="7"/>
  <c r="Q603" i="7" a="1"/>
  <c r="Q603" i="7" s="1"/>
  <c r="P603" i="7"/>
  <c r="N603" i="7" a="1"/>
  <c r="N603" i="7" s="1"/>
  <c r="O603" i="7" s="1"/>
  <c r="M603" i="7" a="1"/>
  <c r="M603" i="7" s="1"/>
  <c r="L603" i="7"/>
  <c r="K603" i="7" a="1"/>
  <c r="K603" i="7" s="1"/>
  <c r="F603" i="7"/>
  <c r="T602" i="7"/>
  <c r="S602" i="7"/>
  <c r="R602" i="7"/>
  <c r="Q602" i="7" a="1"/>
  <c r="Q602" i="7" s="1"/>
  <c r="P602" i="7"/>
  <c r="N602" i="7" a="1"/>
  <c r="N602" i="7" s="1"/>
  <c r="O602" i="7" s="1"/>
  <c r="M602" i="7" a="1"/>
  <c r="M602" i="7" s="1"/>
  <c r="L602" i="7"/>
  <c r="K602" i="7" a="1"/>
  <c r="K602" i="7" s="1"/>
  <c r="F602" i="7"/>
  <c r="T601" i="7"/>
  <c r="S601" i="7"/>
  <c r="R601" i="7"/>
  <c r="Q601" i="7" a="1"/>
  <c r="Q601" i="7" s="1"/>
  <c r="P601" i="7"/>
  <c r="N601" i="7" a="1"/>
  <c r="N601" i="7" s="1"/>
  <c r="O601" i="7" s="1"/>
  <c r="M601" i="7" a="1"/>
  <c r="M601" i="7" s="1"/>
  <c r="L601" i="7"/>
  <c r="K601" i="7" a="1"/>
  <c r="K601" i="7" s="1"/>
  <c r="F601" i="7"/>
  <c r="T600" i="7"/>
  <c r="S600" i="7"/>
  <c r="R600" i="7"/>
  <c r="Q600" i="7" a="1"/>
  <c r="Q600" i="7" s="1"/>
  <c r="P600" i="7"/>
  <c r="N600" i="7" a="1"/>
  <c r="N600" i="7" s="1"/>
  <c r="O600" i="7" s="1"/>
  <c r="M600" i="7" a="1"/>
  <c r="M600" i="7" s="1"/>
  <c r="L600" i="7"/>
  <c r="K600" i="7" a="1"/>
  <c r="K600" i="7" s="1"/>
  <c r="F600" i="7"/>
  <c r="T599" i="7"/>
  <c r="S599" i="7"/>
  <c r="R599" i="7"/>
  <c r="Q599" i="7" a="1"/>
  <c r="Q599" i="7" s="1"/>
  <c r="P599" i="7"/>
  <c r="N599" i="7" a="1"/>
  <c r="N599" i="7" s="1"/>
  <c r="O599" i="7" s="1"/>
  <c r="M599" i="7" a="1"/>
  <c r="M599" i="7" s="1"/>
  <c r="L599" i="7"/>
  <c r="K599" i="7" a="1"/>
  <c r="K599" i="7" s="1"/>
  <c r="F599" i="7"/>
  <c r="T598" i="7"/>
  <c r="S598" i="7"/>
  <c r="R598" i="7"/>
  <c r="Q598" i="7" a="1"/>
  <c r="Q598" i="7" s="1"/>
  <c r="P598" i="7"/>
  <c r="N598" i="7" a="1"/>
  <c r="N598" i="7" s="1"/>
  <c r="O598" i="7" s="1"/>
  <c r="M598" i="7" a="1"/>
  <c r="M598" i="7" s="1"/>
  <c r="L598" i="7"/>
  <c r="K598" i="7" a="1"/>
  <c r="K598" i="7" s="1"/>
  <c r="F598" i="7"/>
  <c r="T597" i="7"/>
  <c r="S597" i="7"/>
  <c r="R597" i="7"/>
  <c r="Q597" i="7" a="1"/>
  <c r="Q597" i="7" s="1"/>
  <c r="P597" i="7"/>
  <c r="N597" i="7" a="1"/>
  <c r="N597" i="7" s="1"/>
  <c r="O597" i="7" s="1"/>
  <c r="M597" i="7" a="1"/>
  <c r="M597" i="7" s="1"/>
  <c r="L597" i="7"/>
  <c r="K597" i="7" a="1"/>
  <c r="K597" i="7" s="1"/>
  <c r="F597" i="7"/>
  <c r="T596" i="7"/>
  <c r="S596" i="7"/>
  <c r="R596" i="7"/>
  <c r="Q596" i="7" a="1"/>
  <c r="Q596" i="7" s="1"/>
  <c r="P596" i="7"/>
  <c r="N596" i="7" a="1"/>
  <c r="N596" i="7" s="1"/>
  <c r="O596" i="7" s="1"/>
  <c r="M596" i="7" a="1"/>
  <c r="M596" i="7" s="1"/>
  <c r="L596" i="7"/>
  <c r="K596" i="7" a="1"/>
  <c r="K596" i="7" s="1"/>
  <c r="F596" i="7"/>
  <c r="T595" i="7"/>
  <c r="S595" i="7"/>
  <c r="R595" i="7"/>
  <c r="Q595" i="7" a="1"/>
  <c r="Q595" i="7" s="1"/>
  <c r="P595" i="7"/>
  <c r="N595" i="7" a="1"/>
  <c r="N595" i="7" s="1"/>
  <c r="O595" i="7" s="1"/>
  <c r="M595" i="7" a="1"/>
  <c r="M595" i="7" s="1"/>
  <c r="L595" i="7"/>
  <c r="K595" i="7" a="1"/>
  <c r="K595" i="7" s="1"/>
  <c r="F595" i="7"/>
  <c r="T594" i="7"/>
  <c r="S594" i="7"/>
  <c r="R594" i="7"/>
  <c r="Q594" i="7" a="1"/>
  <c r="Q594" i="7" s="1"/>
  <c r="P594" i="7"/>
  <c r="N594" i="7" a="1"/>
  <c r="N594" i="7" s="1"/>
  <c r="O594" i="7" s="1"/>
  <c r="M594" i="7" a="1"/>
  <c r="M594" i="7" s="1"/>
  <c r="L594" i="7"/>
  <c r="K594" i="7" a="1"/>
  <c r="K594" i="7" s="1"/>
  <c r="F594" i="7"/>
  <c r="T593" i="7"/>
  <c r="S593" i="7"/>
  <c r="R593" i="7"/>
  <c r="Q593" i="7" a="1"/>
  <c r="Q593" i="7" s="1"/>
  <c r="P593" i="7"/>
  <c r="N593" i="7" a="1"/>
  <c r="N593" i="7" s="1"/>
  <c r="O593" i="7" s="1"/>
  <c r="M593" i="7" a="1"/>
  <c r="M593" i="7" s="1"/>
  <c r="L593" i="7"/>
  <c r="K593" i="7" a="1"/>
  <c r="K593" i="7" s="1"/>
  <c r="F593" i="7"/>
  <c r="T592" i="7"/>
  <c r="S592" i="7"/>
  <c r="R592" i="7"/>
  <c r="Q592" i="7" a="1"/>
  <c r="Q592" i="7" s="1"/>
  <c r="P592" i="7"/>
  <c r="N592" i="7" a="1"/>
  <c r="N592" i="7" s="1"/>
  <c r="O592" i="7" s="1"/>
  <c r="M592" i="7" a="1"/>
  <c r="M592" i="7" s="1"/>
  <c r="L592" i="7"/>
  <c r="K592" i="7" a="1"/>
  <c r="K592" i="7" s="1"/>
  <c r="F592" i="7"/>
  <c r="T591" i="7"/>
  <c r="S591" i="7"/>
  <c r="R591" i="7"/>
  <c r="Q591" i="7" a="1"/>
  <c r="Q591" i="7" s="1"/>
  <c r="P591" i="7"/>
  <c r="N591" i="7" a="1"/>
  <c r="N591" i="7" s="1"/>
  <c r="O591" i="7" s="1"/>
  <c r="M591" i="7" a="1"/>
  <c r="M591" i="7" s="1"/>
  <c r="L591" i="7"/>
  <c r="K591" i="7" a="1"/>
  <c r="K591" i="7" s="1"/>
  <c r="F591" i="7"/>
  <c r="T590" i="7"/>
  <c r="S590" i="7"/>
  <c r="R590" i="7"/>
  <c r="Q590" i="7" a="1"/>
  <c r="Q590" i="7" s="1"/>
  <c r="P590" i="7"/>
  <c r="N590" i="7" a="1"/>
  <c r="N590" i="7" s="1"/>
  <c r="O590" i="7" s="1"/>
  <c r="M590" i="7" a="1"/>
  <c r="M590" i="7" s="1"/>
  <c r="L590" i="7"/>
  <c r="K590" i="7" a="1"/>
  <c r="K590" i="7" s="1"/>
  <c r="F590" i="7"/>
  <c r="T589" i="7"/>
  <c r="S589" i="7"/>
  <c r="R589" i="7"/>
  <c r="Q589" i="7" a="1"/>
  <c r="Q589" i="7" s="1"/>
  <c r="P589" i="7"/>
  <c r="N589" i="7" a="1"/>
  <c r="N589" i="7" s="1"/>
  <c r="O589" i="7" s="1"/>
  <c r="M589" i="7" a="1"/>
  <c r="M589" i="7" s="1"/>
  <c r="L589" i="7"/>
  <c r="K589" i="7" a="1"/>
  <c r="K589" i="7" s="1"/>
  <c r="F589" i="7"/>
  <c r="T588" i="7"/>
  <c r="S588" i="7"/>
  <c r="R588" i="7"/>
  <c r="Q588" i="7" a="1"/>
  <c r="Q588" i="7" s="1"/>
  <c r="P588" i="7"/>
  <c r="N588" i="7" a="1"/>
  <c r="N588" i="7" s="1"/>
  <c r="O588" i="7" s="1"/>
  <c r="M588" i="7" a="1"/>
  <c r="M588" i="7" s="1"/>
  <c r="L588" i="7"/>
  <c r="K588" i="7" a="1"/>
  <c r="K588" i="7" s="1"/>
  <c r="F588" i="7"/>
  <c r="T587" i="7"/>
  <c r="S587" i="7"/>
  <c r="R587" i="7"/>
  <c r="Q587" i="7" a="1"/>
  <c r="Q587" i="7" s="1"/>
  <c r="P587" i="7"/>
  <c r="N587" i="7" a="1"/>
  <c r="N587" i="7" s="1"/>
  <c r="O587" i="7" s="1"/>
  <c r="M587" i="7" a="1"/>
  <c r="M587" i="7" s="1"/>
  <c r="L587" i="7"/>
  <c r="K587" i="7" a="1"/>
  <c r="K587" i="7" s="1"/>
  <c r="F587" i="7"/>
  <c r="T586" i="7"/>
  <c r="S586" i="7"/>
  <c r="R586" i="7"/>
  <c r="Q586" i="7" a="1"/>
  <c r="Q586" i="7" s="1"/>
  <c r="P586" i="7"/>
  <c r="N586" i="7" a="1"/>
  <c r="N586" i="7" s="1"/>
  <c r="O586" i="7" s="1"/>
  <c r="M586" i="7" a="1"/>
  <c r="M586" i="7" s="1"/>
  <c r="L586" i="7"/>
  <c r="K586" i="7" a="1"/>
  <c r="K586" i="7" s="1"/>
  <c r="F586" i="7"/>
  <c r="T585" i="7"/>
  <c r="S585" i="7"/>
  <c r="R585" i="7"/>
  <c r="Q585" i="7" a="1"/>
  <c r="Q585" i="7" s="1"/>
  <c r="P585" i="7"/>
  <c r="N585" i="7" a="1"/>
  <c r="N585" i="7" s="1"/>
  <c r="O585" i="7" s="1"/>
  <c r="M585" i="7" a="1"/>
  <c r="M585" i="7" s="1"/>
  <c r="L585" i="7"/>
  <c r="K585" i="7" a="1"/>
  <c r="K585" i="7" s="1"/>
  <c r="F585" i="7"/>
  <c r="T584" i="7"/>
  <c r="S584" i="7"/>
  <c r="R584" i="7"/>
  <c r="Q584" i="7" a="1"/>
  <c r="Q584" i="7" s="1"/>
  <c r="P584" i="7"/>
  <c r="N584" i="7" a="1"/>
  <c r="N584" i="7" s="1"/>
  <c r="O584" i="7" s="1"/>
  <c r="M584" i="7" a="1"/>
  <c r="M584" i="7" s="1"/>
  <c r="L584" i="7"/>
  <c r="K584" i="7" a="1"/>
  <c r="K584" i="7" s="1"/>
  <c r="F584" i="7"/>
  <c r="T583" i="7"/>
  <c r="S583" i="7"/>
  <c r="R583" i="7"/>
  <c r="Q583" i="7" a="1"/>
  <c r="Q583" i="7" s="1"/>
  <c r="P583" i="7"/>
  <c r="N583" i="7" a="1"/>
  <c r="N583" i="7" s="1"/>
  <c r="O583" i="7" s="1"/>
  <c r="M583" i="7" a="1"/>
  <c r="M583" i="7" s="1"/>
  <c r="L583" i="7"/>
  <c r="K583" i="7" a="1"/>
  <c r="K583" i="7" s="1"/>
  <c r="F583" i="7"/>
  <c r="T582" i="7"/>
  <c r="S582" i="7"/>
  <c r="R582" i="7"/>
  <c r="Q582" i="7" a="1"/>
  <c r="Q582" i="7" s="1"/>
  <c r="P582" i="7"/>
  <c r="N582" i="7" a="1"/>
  <c r="N582" i="7" s="1"/>
  <c r="O582" i="7" s="1"/>
  <c r="M582" i="7" a="1"/>
  <c r="M582" i="7" s="1"/>
  <c r="L582" i="7"/>
  <c r="K582" i="7" a="1"/>
  <c r="K582" i="7" s="1"/>
  <c r="F582" i="7"/>
  <c r="T581" i="7"/>
  <c r="S581" i="7"/>
  <c r="R581" i="7"/>
  <c r="Q581" i="7" a="1"/>
  <c r="Q581" i="7" s="1"/>
  <c r="P581" i="7"/>
  <c r="N581" i="7" a="1"/>
  <c r="N581" i="7" s="1"/>
  <c r="O581" i="7" s="1"/>
  <c r="M581" i="7" a="1"/>
  <c r="M581" i="7" s="1"/>
  <c r="L581" i="7"/>
  <c r="K581" i="7" a="1"/>
  <c r="K581" i="7" s="1"/>
  <c r="F581" i="7"/>
  <c r="T580" i="7"/>
  <c r="S580" i="7"/>
  <c r="R580" i="7"/>
  <c r="Q580" i="7" a="1"/>
  <c r="Q580" i="7" s="1"/>
  <c r="P580" i="7"/>
  <c r="N580" i="7" a="1"/>
  <c r="N580" i="7" s="1"/>
  <c r="O580" i="7" s="1"/>
  <c r="M580" i="7" a="1"/>
  <c r="M580" i="7" s="1"/>
  <c r="L580" i="7"/>
  <c r="K580" i="7" a="1"/>
  <c r="K580" i="7" s="1"/>
  <c r="F580" i="7"/>
  <c r="T579" i="7"/>
  <c r="S579" i="7"/>
  <c r="R579" i="7"/>
  <c r="Q579" i="7" a="1"/>
  <c r="Q579" i="7" s="1"/>
  <c r="P579" i="7"/>
  <c r="N579" i="7" a="1"/>
  <c r="N579" i="7" s="1"/>
  <c r="O579" i="7" s="1"/>
  <c r="M579" i="7" a="1"/>
  <c r="M579" i="7" s="1"/>
  <c r="L579" i="7"/>
  <c r="K579" i="7" a="1"/>
  <c r="K579" i="7" s="1"/>
  <c r="F579" i="7"/>
  <c r="T578" i="7"/>
  <c r="S578" i="7"/>
  <c r="R578" i="7"/>
  <c r="Q578" i="7" a="1"/>
  <c r="Q578" i="7" s="1"/>
  <c r="P578" i="7"/>
  <c r="N578" i="7" a="1"/>
  <c r="N578" i="7" s="1"/>
  <c r="O578" i="7" s="1"/>
  <c r="M578" i="7" a="1"/>
  <c r="M578" i="7" s="1"/>
  <c r="L578" i="7"/>
  <c r="K578" i="7" a="1"/>
  <c r="K578" i="7" s="1"/>
  <c r="F578" i="7"/>
  <c r="T577" i="7"/>
  <c r="S577" i="7"/>
  <c r="R577" i="7"/>
  <c r="Q577" i="7" a="1"/>
  <c r="Q577" i="7" s="1"/>
  <c r="P577" i="7"/>
  <c r="N577" i="7" a="1"/>
  <c r="N577" i="7" s="1"/>
  <c r="O577" i="7" s="1"/>
  <c r="M577" i="7" a="1"/>
  <c r="M577" i="7" s="1"/>
  <c r="L577" i="7"/>
  <c r="K577" i="7" a="1"/>
  <c r="K577" i="7" s="1"/>
  <c r="F577" i="7"/>
  <c r="T576" i="7"/>
  <c r="S576" i="7"/>
  <c r="R576" i="7"/>
  <c r="Q576" i="7" a="1"/>
  <c r="Q576" i="7" s="1"/>
  <c r="P576" i="7"/>
  <c r="N576" i="7" a="1"/>
  <c r="N576" i="7" s="1"/>
  <c r="O576" i="7" s="1"/>
  <c r="M576" i="7" a="1"/>
  <c r="M576" i="7" s="1"/>
  <c r="L576" i="7"/>
  <c r="K576" i="7" a="1"/>
  <c r="K576" i="7" s="1"/>
  <c r="F576" i="7"/>
  <c r="T575" i="7"/>
  <c r="S575" i="7"/>
  <c r="R575" i="7"/>
  <c r="Q575" i="7" a="1"/>
  <c r="Q575" i="7" s="1"/>
  <c r="P575" i="7"/>
  <c r="N575" i="7" a="1"/>
  <c r="N575" i="7" s="1"/>
  <c r="O575" i="7" s="1"/>
  <c r="M575" i="7" a="1"/>
  <c r="M575" i="7" s="1"/>
  <c r="L575" i="7"/>
  <c r="K575" i="7" a="1"/>
  <c r="K575" i="7" s="1"/>
  <c r="F575" i="7"/>
  <c r="T574" i="7"/>
  <c r="S574" i="7"/>
  <c r="R574" i="7"/>
  <c r="Q574" i="7" a="1"/>
  <c r="Q574" i="7" s="1"/>
  <c r="P574" i="7"/>
  <c r="N574" i="7" a="1"/>
  <c r="N574" i="7" s="1"/>
  <c r="O574" i="7" s="1"/>
  <c r="M574" i="7" a="1"/>
  <c r="M574" i="7" s="1"/>
  <c r="L574" i="7"/>
  <c r="K574" i="7" a="1"/>
  <c r="K574" i="7" s="1"/>
  <c r="F574" i="7"/>
  <c r="T573" i="7"/>
  <c r="S573" i="7"/>
  <c r="R573" i="7"/>
  <c r="Q573" i="7" a="1"/>
  <c r="Q573" i="7" s="1"/>
  <c r="P573" i="7"/>
  <c r="N573" i="7" a="1"/>
  <c r="N573" i="7" s="1"/>
  <c r="O573" i="7" s="1"/>
  <c r="M573" i="7" a="1"/>
  <c r="M573" i="7" s="1"/>
  <c r="L573" i="7"/>
  <c r="K573" i="7" a="1"/>
  <c r="K573" i="7" s="1"/>
  <c r="F573" i="7"/>
  <c r="T572" i="7"/>
  <c r="S572" i="7"/>
  <c r="R572" i="7"/>
  <c r="Q572" i="7" a="1"/>
  <c r="Q572" i="7" s="1"/>
  <c r="P572" i="7"/>
  <c r="N572" i="7" a="1"/>
  <c r="N572" i="7" s="1"/>
  <c r="O572" i="7" s="1"/>
  <c r="M572" i="7" a="1"/>
  <c r="M572" i="7" s="1"/>
  <c r="L572" i="7"/>
  <c r="K572" i="7" a="1"/>
  <c r="K572" i="7" s="1"/>
  <c r="F572" i="7"/>
  <c r="T571" i="7"/>
  <c r="S571" i="7"/>
  <c r="R571" i="7"/>
  <c r="Q571" i="7" a="1"/>
  <c r="Q571" i="7" s="1"/>
  <c r="P571" i="7"/>
  <c r="N571" i="7" a="1"/>
  <c r="N571" i="7" s="1"/>
  <c r="O571" i="7" s="1"/>
  <c r="M571" i="7" a="1"/>
  <c r="M571" i="7" s="1"/>
  <c r="L571" i="7"/>
  <c r="K571" i="7" a="1"/>
  <c r="K571" i="7" s="1"/>
  <c r="F571" i="7"/>
  <c r="T570" i="7"/>
  <c r="S570" i="7"/>
  <c r="R570" i="7"/>
  <c r="Q570" i="7" a="1"/>
  <c r="Q570" i="7" s="1"/>
  <c r="P570" i="7"/>
  <c r="N570" i="7" a="1"/>
  <c r="N570" i="7" s="1"/>
  <c r="O570" i="7" s="1"/>
  <c r="M570" i="7" a="1"/>
  <c r="M570" i="7" s="1"/>
  <c r="L570" i="7"/>
  <c r="K570" i="7" a="1"/>
  <c r="K570" i="7" s="1"/>
  <c r="F570" i="7"/>
  <c r="T569" i="7"/>
  <c r="S569" i="7"/>
  <c r="R569" i="7"/>
  <c r="Q569" i="7" a="1"/>
  <c r="Q569" i="7" s="1"/>
  <c r="P569" i="7"/>
  <c r="N569" i="7" a="1"/>
  <c r="N569" i="7" s="1"/>
  <c r="O569" i="7" s="1"/>
  <c r="M569" i="7" a="1"/>
  <c r="M569" i="7" s="1"/>
  <c r="L569" i="7"/>
  <c r="K569" i="7" a="1"/>
  <c r="K569" i="7" s="1"/>
  <c r="F569" i="7"/>
  <c r="T568" i="7"/>
  <c r="S568" i="7"/>
  <c r="R568" i="7"/>
  <c r="Q568" i="7" a="1"/>
  <c r="Q568" i="7" s="1"/>
  <c r="P568" i="7"/>
  <c r="N568" i="7" a="1"/>
  <c r="N568" i="7" s="1"/>
  <c r="O568" i="7" s="1"/>
  <c r="M568" i="7" a="1"/>
  <c r="M568" i="7" s="1"/>
  <c r="L568" i="7"/>
  <c r="K568" i="7" a="1"/>
  <c r="K568" i="7" s="1"/>
  <c r="F568" i="7"/>
  <c r="T567" i="7"/>
  <c r="S567" i="7"/>
  <c r="R567" i="7"/>
  <c r="Q567" i="7" a="1"/>
  <c r="Q567" i="7" s="1"/>
  <c r="P567" i="7"/>
  <c r="N567" i="7" a="1"/>
  <c r="N567" i="7" s="1"/>
  <c r="O567" i="7" s="1"/>
  <c r="M567" i="7" a="1"/>
  <c r="M567" i="7" s="1"/>
  <c r="L567" i="7"/>
  <c r="K567" i="7" a="1"/>
  <c r="K567" i="7" s="1"/>
  <c r="F567" i="7"/>
  <c r="T566" i="7"/>
  <c r="S566" i="7"/>
  <c r="R566" i="7"/>
  <c r="Q566" i="7" a="1"/>
  <c r="Q566" i="7" s="1"/>
  <c r="P566" i="7"/>
  <c r="N566" i="7" a="1"/>
  <c r="N566" i="7" s="1"/>
  <c r="O566" i="7" s="1"/>
  <c r="M566" i="7" a="1"/>
  <c r="M566" i="7" s="1"/>
  <c r="L566" i="7"/>
  <c r="K566" i="7" a="1"/>
  <c r="K566" i="7" s="1"/>
  <c r="F566" i="7"/>
  <c r="T565" i="7"/>
  <c r="S565" i="7"/>
  <c r="R565" i="7"/>
  <c r="Q565" i="7" a="1"/>
  <c r="Q565" i="7" s="1"/>
  <c r="P565" i="7"/>
  <c r="N565" i="7" a="1"/>
  <c r="N565" i="7" s="1"/>
  <c r="O565" i="7" s="1"/>
  <c r="M565" i="7" a="1"/>
  <c r="M565" i="7" s="1"/>
  <c r="L565" i="7"/>
  <c r="K565" i="7" a="1"/>
  <c r="K565" i="7" s="1"/>
  <c r="F565" i="7"/>
  <c r="T564" i="7"/>
  <c r="S564" i="7"/>
  <c r="R564" i="7"/>
  <c r="Q564" i="7" a="1"/>
  <c r="Q564" i="7" s="1"/>
  <c r="P564" i="7"/>
  <c r="N564" i="7" a="1"/>
  <c r="N564" i="7" s="1"/>
  <c r="O564" i="7" s="1"/>
  <c r="M564" i="7" a="1"/>
  <c r="M564" i="7" s="1"/>
  <c r="L564" i="7"/>
  <c r="K564" i="7" a="1"/>
  <c r="K564" i="7" s="1"/>
  <c r="F564" i="7"/>
  <c r="T563" i="7"/>
  <c r="S563" i="7"/>
  <c r="R563" i="7"/>
  <c r="Q563" i="7" a="1"/>
  <c r="Q563" i="7" s="1"/>
  <c r="P563" i="7"/>
  <c r="N563" i="7" a="1"/>
  <c r="N563" i="7" s="1"/>
  <c r="O563" i="7" s="1"/>
  <c r="M563" i="7" a="1"/>
  <c r="M563" i="7" s="1"/>
  <c r="L563" i="7"/>
  <c r="K563" i="7" a="1"/>
  <c r="K563" i="7" s="1"/>
  <c r="F563" i="7"/>
  <c r="T562" i="7"/>
  <c r="S562" i="7"/>
  <c r="R562" i="7"/>
  <c r="Q562" i="7" a="1"/>
  <c r="Q562" i="7" s="1"/>
  <c r="P562" i="7"/>
  <c r="N562" i="7" a="1"/>
  <c r="N562" i="7" s="1"/>
  <c r="O562" i="7" s="1"/>
  <c r="M562" i="7" a="1"/>
  <c r="M562" i="7" s="1"/>
  <c r="L562" i="7"/>
  <c r="K562" i="7" a="1"/>
  <c r="K562" i="7" s="1"/>
  <c r="F562" i="7"/>
  <c r="T561" i="7"/>
  <c r="S561" i="7"/>
  <c r="R561" i="7"/>
  <c r="Q561" i="7" a="1"/>
  <c r="Q561" i="7" s="1"/>
  <c r="P561" i="7"/>
  <c r="N561" i="7" a="1"/>
  <c r="N561" i="7" s="1"/>
  <c r="O561" i="7" s="1"/>
  <c r="M561" i="7" a="1"/>
  <c r="M561" i="7" s="1"/>
  <c r="L561" i="7"/>
  <c r="K561" i="7" a="1"/>
  <c r="K561" i="7" s="1"/>
  <c r="F561" i="7"/>
  <c r="T560" i="7"/>
  <c r="S560" i="7"/>
  <c r="R560" i="7"/>
  <c r="Q560" i="7" a="1"/>
  <c r="Q560" i="7" s="1"/>
  <c r="P560" i="7"/>
  <c r="N560" i="7" a="1"/>
  <c r="N560" i="7" s="1"/>
  <c r="O560" i="7" s="1"/>
  <c r="M560" i="7" a="1"/>
  <c r="M560" i="7" s="1"/>
  <c r="L560" i="7"/>
  <c r="K560" i="7" a="1"/>
  <c r="K560" i="7" s="1"/>
  <c r="F560" i="7"/>
  <c r="T559" i="7"/>
  <c r="S559" i="7"/>
  <c r="R559" i="7"/>
  <c r="Q559" i="7" a="1"/>
  <c r="Q559" i="7" s="1"/>
  <c r="P559" i="7"/>
  <c r="N559" i="7" a="1"/>
  <c r="N559" i="7" s="1"/>
  <c r="O559" i="7" s="1"/>
  <c r="M559" i="7" a="1"/>
  <c r="M559" i="7" s="1"/>
  <c r="L559" i="7"/>
  <c r="K559" i="7" a="1"/>
  <c r="K559" i="7" s="1"/>
  <c r="F559" i="7"/>
  <c r="T558" i="7"/>
  <c r="S558" i="7"/>
  <c r="R558" i="7"/>
  <c r="Q558" i="7" a="1"/>
  <c r="Q558" i="7" s="1"/>
  <c r="P558" i="7"/>
  <c r="N558" i="7" a="1"/>
  <c r="N558" i="7" s="1"/>
  <c r="O558" i="7" s="1"/>
  <c r="M558" i="7" a="1"/>
  <c r="M558" i="7" s="1"/>
  <c r="L558" i="7"/>
  <c r="K558" i="7" a="1"/>
  <c r="K558" i="7" s="1"/>
  <c r="F558" i="7"/>
  <c r="T557" i="7"/>
  <c r="S557" i="7"/>
  <c r="R557" i="7"/>
  <c r="Q557" i="7" a="1"/>
  <c r="Q557" i="7" s="1"/>
  <c r="P557" i="7"/>
  <c r="N557" i="7" a="1"/>
  <c r="N557" i="7" s="1"/>
  <c r="O557" i="7" s="1"/>
  <c r="M557" i="7" a="1"/>
  <c r="M557" i="7" s="1"/>
  <c r="L557" i="7"/>
  <c r="K557" i="7" a="1"/>
  <c r="K557" i="7" s="1"/>
  <c r="F557" i="7"/>
  <c r="T556" i="7"/>
  <c r="S556" i="7"/>
  <c r="R556" i="7"/>
  <c r="Q556" i="7" a="1"/>
  <c r="Q556" i="7" s="1"/>
  <c r="P556" i="7"/>
  <c r="N556" i="7" a="1"/>
  <c r="N556" i="7" s="1"/>
  <c r="O556" i="7" s="1"/>
  <c r="M556" i="7" a="1"/>
  <c r="M556" i="7" s="1"/>
  <c r="L556" i="7"/>
  <c r="K556" i="7" a="1"/>
  <c r="K556" i="7" s="1"/>
  <c r="F556" i="7"/>
  <c r="T555" i="7"/>
  <c r="S555" i="7"/>
  <c r="R555" i="7"/>
  <c r="Q555" i="7" a="1"/>
  <c r="Q555" i="7" s="1"/>
  <c r="P555" i="7"/>
  <c r="N555" i="7" a="1"/>
  <c r="N555" i="7" s="1"/>
  <c r="O555" i="7" s="1"/>
  <c r="M555" i="7" a="1"/>
  <c r="M555" i="7" s="1"/>
  <c r="L555" i="7"/>
  <c r="K555" i="7" a="1"/>
  <c r="K555" i="7" s="1"/>
  <c r="F555" i="7"/>
  <c r="T554" i="7"/>
  <c r="S554" i="7"/>
  <c r="R554" i="7"/>
  <c r="Q554" i="7" a="1"/>
  <c r="Q554" i="7" s="1"/>
  <c r="P554" i="7"/>
  <c r="N554" i="7" a="1"/>
  <c r="N554" i="7" s="1"/>
  <c r="O554" i="7" s="1"/>
  <c r="M554" i="7" a="1"/>
  <c r="M554" i="7" s="1"/>
  <c r="L554" i="7"/>
  <c r="K554" i="7" a="1"/>
  <c r="K554" i="7" s="1"/>
  <c r="F554" i="7"/>
  <c r="T553" i="7"/>
  <c r="S553" i="7"/>
  <c r="R553" i="7"/>
  <c r="Q553" i="7" a="1"/>
  <c r="Q553" i="7" s="1"/>
  <c r="P553" i="7"/>
  <c r="N553" i="7" a="1"/>
  <c r="N553" i="7" s="1"/>
  <c r="O553" i="7" s="1"/>
  <c r="M553" i="7" a="1"/>
  <c r="M553" i="7" s="1"/>
  <c r="L553" i="7"/>
  <c r="K553" i="7" a="1"/>
  <c r="K553" i="7" s="1"/>
  <c r="F553" i="7"/>
  <c r="T552" i="7"/>
  <c r="S552" i="7"/>
  <c r="R552" i="7"/>
  <c r="Q552" i="7" a="1"/>
  <c r="Q552" i="7" s="1"/>
  <c r="P552" i="7"/>
  <c r="N552" i="7" a="1"/>
  <c r="N552" i="7" s="1"/>
  <c r="O552" i="7" s="1"/>
  <c r="M552" i="7" a="1"/>
  <c r="M552" i="7" s="1"/>
  <c r="L552" i="7"/>
  <c r="K552" i="7" a="1"/>
  <c r="K552" i="7" s="1"/>
  <c r="F552" i="7"/>
  <c r="T551" i="7"/>
  <c r="S551" i="7"/>
  <c r="R551" i="7"/>
  <c r="Q551" i="7" a="1"/>
  <c r="Q551" i="7" s="1"/>
  <c r="P551" i="7"/>
  <c r="N551" i="7" a="1"/>
  <c r="N551" i="7" s="1"/>
  <c r="O551" i="7" s="1"/>
  <c r="M551" i="7" a="1"/>
  <c r="M551" i="7" s="1"/>
  <c r="L551" i="7"/>
  <c r="K551" i="7" a="1"/>
  <c r="K551" i="7" s="1"/>
  <c r="F551" i="7"/>
  <c r="T550" i="7"/>
  <c r="S550" i="7"/>
  <c r="R550" i="7"/>
  <c r="Q550" i="7" a="1"/>
  <c r="Q550" i="7" s="1"/>
  <c r="P550" i="7"/>
  <c r="N550" i="7" a="1"/>
  <c r="N550" i="7" s="1"/>
  <c r="O550" i="7" s="1"/>
  <c r="M550" i="7" a="1"/>
  <c r="M550" i="7" s="1"/>
  <c r="L550" i="7"/>
  <c r="K550" i="7" a="1"/>
  <c r="K550" i="7" s="1"/>
  <c r="F550" i="7"/>
  <c r="T549" i="7"/>
  <c r="S549" i="7"/>
  <c r="R549" i="7"/>
  <c r="Q549" i="7" a="1"/>
  <c r="Q549" i="7" s="1"/>
  <c r="P549" i="7"/>
  <c r="N549" i="7" a="1"/>
  <c r="N549" i="7" s="1"/>
  <c r="O549" i="7" s="1"/>
  <c r="M549" i="7" a="1"/>
  <c r="M549" i="7" s="1"/>
  <c r="L549" i="7"/>
  <c r="K549" i="7" a="1"/>
  <c r="K549" i="7" s="1"/>
  <c r="F549" i="7"/>
  <c r="T548" i="7"/>
  <c r="S548" i="7"/>
  <c r="R548" i="7"/>
  <c r="Q548" i="7" a="1"/>
  <c r="Q548" i="7" s="1"/>
  <c r="P548" i="7"/>
  <c r="N548" i="7" a="1"/>
  <c r="N548" i="7" s="1"/>
  <c r="O548" i="7" s="1"/>
  <c r="M548" i="7" a="1"/>
  <c r="M548" i="7" s="1"/>
  <c r="L548" i="7"/>
  <c r="K548" i="7" a="1"/>
  <c r="K548" i="7" s="1"/>
  <c r="F548" i="7"/>
  <c r="T547" i="7"/>
  <c r="S547" i="7"/>
  <c r="R547" i="7"/>
  <c r="Q547" i="7" a="1"/>
  <c r="Q547" i="7" s="1"/>
  <c r="P547" i="7"/>
  <c r="N547" i="7" a="1"/>
  <c r="N547" i="7" s="1"/>
  <c r="O547" i="7" s="1"/>
  <c r="M547" i="7" a="1"/>
  <c r="M547" i="7" s="1"/>
  <c r="L547" i="7"/>
  <c r="K547" i="7" a="1"/>
  <c r="K547" i="7" s="1"/>
  <c r="F547" i="7"/>
  <c r="T546" i="7"/>
  <c r="S546" i="7"/>
  <c r="R546" i="7"/>
  <c r="Q546" i="7" a="1"/>
  <c r="Q546" i="7" s="1"/>
  <c r="P546" i="7"/>
  <c r="N546" i="7" a="1"/>
  <c r="N546" i="7" s="1"/>
  <c r="O546" i="7" s="1"/>
  <c r="M546" i="7" a="1"/>
  <c r="M546" i="7" s="1"/>
  <c r="L546" i="7"/>
  <c r="K546" i="7" a="1"/>
  <c r="K546" i="7" s="1"/>
  <c r="F546" i="7"/>
  <c r="T545" i="7"/>
  <c r="S545" i="7"/>
  <c r="R545" i="7"/>
  <c r="Q545" i="7" a="1"/>
  <c r="Q545" i="7" s="1"/>
  <c r="P545" i="7"/>
  <c r="N545" i="7" a="1"/>
  <c r="N545" i="7" s="1"/>
  <c r="O545" i="7" s="1"/>
  <c r="M545" i="7" a="1"/>
  <c r="M545" i="7" s="1"/>
  <c r="L545" i="7"/>
  <c r="K545" i="7" a="1"/>
  <c r="K545" i="7" s="1"/>
  <c r="F545" i="7"/>
  <c r="T544" i="7"/>
  <c r="S544" i="7"/>
  <c r="R544" i="7"/>
  <c r="Q544" i="7" a="1"/>
  <c r="Q544" i="7" s="1"/>
  <c r="P544" i="7"/>
  <c r="N544" i="7" a="1"/>
  <c r="N544" i="7" s="1"/>
  <c r="O544" i="7" s="1"/>
  <c r="M544" i="7" a="1"/>
  <c r="M544" i="7" s="1"/>
  <c r="L544" i="7"/>
  <c r="K544" i="7" a="1"/>
  <c r="K544" i="7" s="1"/>
  <c r="F544" i="7"/>
  <c r="T543" i="7"/>
  <c r="S543" i="7"/>
  <c r="R543" i="7"/>
  <c r="Q543" i="7" a="1"/>
  <c r="Q543" i="7" s="1"/>
  <c r="P543" i="7"/>
  <c r="N543" i="7" a="1"/>
  <c r="N543" i="7" s="1"/>
  <c r="O543" i="7" s="1"/>
  <c r="M543" i="7" a="1"/>
  <c r="M543" i="7" s="1"/>
  <c r="L543" i="7"/>
  <c r="K543" i="7" a="1"/>
  <c r="K543" i="7" s="1"/>
  <c r="F543" i="7"/>
  <c r="T542" i="7"/>
  <c r="S542" i="7"/>
  <c r="R542" i="7"/>
  <c r="Q542" i="7" a="1"/>
  <c r="Q542" i="7" s="1"/>
  <c r="P542" i="7"/>
  <c r="N542" i="7" a="1"/>
  <c r="N542" i="7" s="1"/>
  <c r="O542" i="7" s="1"/>
  <c r="M542" i="7" a="1"/>
  <c r="M542" i="7" s="1"/>
  <c r="L542" i="7"/>
  <c r="K542" i="7" a="1"/>
  <c r="K542" i="7" s="1"/>
  <c r="F542" i="7"/>
  <c r="T541" i="7"/>
  <c r="S541" i="7"/>
  <c r="R541" i="7"/>
  <c r="Q541" i="7" a="1"/>
  <c r="Q541" i="7" s="1"/>
  <c r="P541" i="7"/>
  <c r="N541" i="7" a="1"/>
  <c r="N541" i="7" s="1"/>
  <c r="O541" i="7" s="1"/>
  <c r="M541" i="7" a="1"/>
  <c r="M541" i="7" s="1"/>
  <c r="L541" i="7"/>
  <c r="K541" i="7" a="1"/>
  <c r="K541" i="7" s="1"/>
  <c r="F541" i="7"/>
  <c r="T540" i="7"/>
  <c r="S540" i="7"/>
  <c r="R540" i="7"/>
  <c r="Q540" i="7" a="1"/>
  <c r="Q540" i="7" s="1"/>
  <c r="P540" i="7"/>
  <c r="N540" i="7" a="1"/>
  <c r="N540" i="7" s="1"/>
  <c r="O540" i="7" s="1"/>
  <c r="M540" i="7" a="1"/>
  <c r="M540" i="7" s="1"/>
  <c r="L540" i="7"/>
  <c r="K540" i="7" a="1"/>
  <c r="K540" i="7" s="1"/>
  <c r="F540" i="7"/>
  <c r="T539" i="7"/>
  <c r="S539" i="7"/>
  <c r="R539" i="7"/>
  <c r="Q539" i="7" a="1"/>
  <c r="Q539" i="7" s="1"/>
  <c r="P539" i="7"/>
  <c r="N539" i="7" a="1"/>
  <c r="N539" i="7" s="1"/>
  <c r="O539" i="7" s="1"/>
  <c r="M539" i="7" a="1"/>
  <c r="M539" i="7" s="1"/>
  <c r="L539" i="7"/>
  <c r="K539" i="7" a="1"/>
  <c r="K539" i="7" s="1"/>
  <c r="F539" i="7"/>
  <c r="T538" i="7"/>
  <c r="S538" i="7"/>
  <c r="R538" i="7"/>
  <c r="Q538" i="7" a="1"/>
  <c r="Q538" i="7" s="1"/>
  <c r="P538" i="7"/>
  <c r="N538" i="7" a="1"/>
  <c r="N538" i="7" s="1"/>
  <c r="O538" i="7" s="1"/>
  <c r="M538" i="7" a="1"/>
  <c r="M538" i="7" s="1"/>
  <c r="L538" i="7"/>
  <c r="K538" i="7" a="1"/>
  <c r="K538" i="7" s="1"/>
  <c r="F538" i="7"/>
  <c r="T537" i="7"/>
  <c r="S537" i="7"/>
  <c r="R537" i="7"/>
  <c r="Q537" i="7" a="1"/>
  <c r="Q537" i="7" s="1"/>
  <c r="P537" i="7"/>
  <c r="N537" i="7" a="1"/>
  <c r="N537" i="7" s="1"/>
  <c r="O537" i="7" s="1"/>
  <c r="M537" i="7" a="1"/>
  <c r="M537" i="7" s="1"/>
  <c r="L537" i="7"/>
  <c r="K537" i="7" a="1"/>
  <c r="K537" i="7" s="1"/>
  <c r="F537" i="7"/>
  <c r="T536" i="7"/>
  <c r="S536" i="7"/>
  <c r="R536" i="7"/>
  <c r="Q536" i="7" a="1"/>
  <c r="Q536" i="7" s="1"/>
  <c r="P536" i="7"/>
  <c r="N536" i="7" a="1"/>
  <c r="N536" i="7" s="1"/>
  <c r="O536" i="7" s="1"/>
  <c r="M536" i="7" a="1"/>
  <c r="M536" i="7" s="1"/>
  <c r="L536" i="7"/>
  <c r="K536" i="7" a="1"/>
  <c r="K536" i="7" s="1"/>
  <c r="F536" i="7"/>
  <c r="T535" i="7"/>
  <c r="S535" i="7"/>
  <c r="R535" i="7"/>
  <c r="Q535" i="7" a="1"/>
  <c r="Q535" i="7" s="1"/>
  <c r="P535" i="7"/>
  <c r="N535" i="7" a="1"/>
  <c r="N535" i="7" s="1"/>
  <c r="O535" i="7" s="1"/>
  <c r="M535" i="7" a="1"/>
  <c r="M535" i="7" s="1"/>
  <c r="L535" i="7"/>
  <c r="K535" i="7" a="1"/>
  <c r="K535" i="7" s="1"/>
  <c r="F535" i="7"/>
  <c r="T534" i="7"/>
  <c r="S534" i="7"/>
  <c r="R534" i="7"/>
  <c r="Q534" i="7" a="1"/>
  <c r="Q534" i="7" s="1"/>
  <c r="P534" i="7"/>
  <c r="N534" i="7" a="1"/>
  <c r="N534" i="7" s="1"/>
  <c r="O534" i="7" s="1"/>
  <c r="M534" i="7" a="1"/>
  <c r="M534" i="7" s="1"/>
  <c r="L534" i="7"/>
  <c r="K534" i="7" a="1"/>
  <c r="K534" i="7" s="1"/>
  <c r="F534" i="7"/>
  <c r="T533" i="7"/>
  <c r="S533" i="7"/>
  <c r="R533" i="7"/>
  <c r="Q533" i="7" a="1"/>
  <c r="Q533" i="7" s="1"/>
  <c r="P533" i="7"/>
  <c r="N533" i="7" a="1"/>
  <c r="N533" i="7" s="1"/>
  <c r="O533" i="7" s="1"/>
  <c r="M533" i="7" a="1"/>
  <c r="M533" i="7" s="1"/>
  <c r="L533" i="7"/>
  <c r="K533" i="7" a="1"/>
  <c r="K533" i="7" s="1"/>
  <c r="F533" i="7"/>
  <c r="T532" i="7"/>
  <c r="S532" i="7"/>
  <c r="R532" i="7"/>
  <c r="Q532" i="7" a="1"/>
  <c r="Q532" i="7" s="1"/>
  <c r="P532" i="7"/>
  <c r="N532" i="7" a="1"/>
  <c r="N532" i="7" s="1"/>
  <c r="O532" i="7" s="1"/>
  <c r="M532" i="7" a="1"/>
  <c r="M532" i="7" s="1"/>
  <c r="L532" i="7"/>
  <c r="K532" i="7" a="1"/>
  <c r="K532" i="7" s="1"/>
  <c r="F532" i="7"/>
  <c r="T531" i="7"/>
  <c r="S531" i="7"/>
  <c r="R531" i="7"/>
  <c r="Q531" i="7" a="1"/>
  <c r="Q531" i="7" s="1"/>
  <c r="P531" i="7"/>
  <c r="N531" i="7" a="1"/>
  <c r="N531" i="7" s="1"/>
  <c r="O531" i="7" s="1"/>
  <c r="M531" i="7" a="1"/>
  <c r="M531" i="7" s="1"/>
  <c r="L531" i="7"/>
  <c r="K531" i="7" a="1"/>
  <c r="K531" i="7" s="1"/>
  <c r="F531" i="7"/>
  <c r="T530" i="7"/>
  <c r="S530" i="7"/>
  <c r="R530" i="7"/>
  <c r="Q530" i="7" a="1"/>
  <c r="Q530" i="7" s="1"/>
  <c r="P530" i="7"/>
  <c r="N530" i="7" a="1"/>
  <c r="N530" i="7" s="1"/>
  <c r="O530" i="7" s="1"/>
  <c r="M530" i="7" a="1"/>
  <c r="M530" i="7" s="1"/>
  <c r="L530" i="7"/>
  <c r="K530" i="7" a="1"/>
  <c r="K530" i="7" s="1"/>
  <c r="F530" i="7"/>
  <c r="T529" i="7"/>
  <c r="S529" i="7"/>
  <c r="R529" i="7"/>
  <c r="Q529" i="7" a="1"/>
  <c r="Q529" i="7" s="1"/>
  <c r="P529" i="7"/>
  <c r="N529" i="7" a="1"/>
  <c r="N529" i="7" s="1"/>
  <c r="O529" i="7" s="1"/>
  <c r="M529" i="7" a="1"/>
  <c r="M529" i="7" s="1"/>
  <c r="L529" i="7"/>
  <c r="K529" i="7" a="1"/>
  <c r="K529" i="7" s="1"/>
  <c r="F529" i="7"/>
  <c r="T528" i="7"/>
  <c r="S528" i="7"/>
  <c r="R528" i="7"/>
  <c r="Q528" i="7" a="1"/>
  <c r="Q528" i="7" s="1"/>
  <c r="P528" i="7"/>
  <c r="N528" i="7" a="1"/>
  <c r="N528" i="7" s="1"/>
  <c r="O528" i="7" s="1"/>
  <c r="M528" i="7" a="1"/>
  <c r="M528" i="7" s="1"/>
  <c r="L528" i="7"/>
  <c r="K528" i="7" a="1"/>
  <c r="K528" i="7" s="1"/>
  <c r="F528" i="7"/>
  <c r="T527" i="7"/>
  <c r="S527" i="7"/>
  <c r="R527" i="7"/>
  <c r="Q527" i="7" a="1"/>
  <c r="Q527" i="7" s="1"/>
  <c r="P527" i="7"/>
  <c r="N527" i="7" a="1"/>
  <c r="N527" i="7" s="1"/>
  <c r="O527" i="7" s="1"/>
  <c r="M527" i="7" a="1"/>
  <c r="M527" i="7" s="1"/>
  <c r="L527" i="7"/>
  <c r="K527" i="7" a="1"/>
  <c r="K527" i="7" s="1"/>
  <c r="F527" i="7"/>
  <c r="T526" i="7"/>
  <c r="S526" i="7"/>
  <c r="R526" i="7"/>
  <c r="Q526" i="7" a="1"/>
  <c r="Q526" i="7" s="1"/>
  <c r="P526" i="7"/>
  <c r="N526" i="7" a="1"/>
  <c r="N526" i="7" s="1"/>
  <c r="O526" i="7" s="1"/>
  <c r="M526" i="7" a="1"/>
  <c r="M526" i="7" s="1"/>
  <c r="L526" i="7"/>
  <c r="K526" i="7" a="1"/>
  <c r="K526" i="7" s="1"/>
  <c r="F526" i="7"/>
  <c r="T525" i="7"/>
  <c r="S525" i="7"/>
  <c r="R525" i="7"/>
  <c r="Q525" i="7" a="1"/>
  <c r="Q525" i="7" s="1"/>
  <c r="P525" i="7"/>
  <c r="N525" i="7" a="1"/>
  <c r="N525" i="7" s="1"/>
  <c r="O525" i="7" s="1"/>
  <c r="M525" i="7" a="1"/>
  <c r="M525" i="7" s="1"/>
  <c r="L525" i="7"/>
  <c r="K525" i="7" a="1"/>
  <c r="K525" i="7" s="1"/>
  <c r="F525" i="7"/>
  <c r="T524" i="7"/>
  <c r="S524" i="7"/>
  <c r="R524" i="7"/>
  <c r="Q524" i="7" a="1"/>
  <c r="Q524" i="7" s="1"/>
  <c r="P524" i="7"/>
  <c r="N524" i="7" a="1"/>
  <c r="N524" i="7" s="1"/>
  <c r="O524" i="7" s="1"/>
  <c r="M524" i="7" a="1"/>
  <c r="M524" i="7" s="1"/>
  <c r="L524" i="7"/>
  <c r="K524" i="7" a="1"/>
  <c r="K524" i="7" s="1"/>
  <c r="F524" i="7"/>
  <c r="T523" i="7"/>
  <c r="S523" i="7"/>
  <c r="R523" i="7"/>
  <c r="Q523" i="7" a="1"/>
  <c r="Q523" i="7" s="1"/>
  <c r="P523" i="7"/>
  <c r="N523" i="7" a="1"/>
  <c r="N523" i="7" s="1"/>
  <c r="O523" i="7" s="1"/>
  <c r="M523" i="7" a="1"/>
  <c r="M523" i="7" s="1"/>
  <c r="L523" i="7"/>
  <c r="K523" i="7" a="1"/>
  <c r="K523" i="7" s="1"/>
  <c r="F523" i="7"/>
  <c r="T522" i="7"/>
  <c r="S522" i="7"/>
  <c r="R522" i="7"/>
  <c r="Q522" i="7" a="1"/>
  <c r="Q522" i="7" s="1"/>
  <c r="P522" i="7"/>
  <c r="N522" i="7" a="1"/>
  <c r="N522" i="7" s="1"/>
  <c r="O522" i="7" s="1"/>
  <c r="M522" i="7" a="1"/>
  <c r="M522" i="7" s="1"/>
  <c r="L522" i="7"/>
  <c r="K522" i="7" a="1"/>
  <c r="K522" i="7" s="1"/>
  <c r="F522" i="7"/>
  <c r="T521" i="7"/>
  <c r="S521" i="7"/>
  <c r="R521" i="7"/>
  <c r="Q521" i="7" a="1"/>
  <c r="Q521" i="7" s="1"/>
  <c r="P521" i="7"/>
  <c r="N521" i="7" a="1"/>
  <c r="N521" i="7" s="1"/>
  <c r="O521" i="7" s="1"/>
  <c r="M521" i="7" a="1"/>
  <c r="M521" i="7" s="1"/>
  <c r="L521" i="7"/>
  <c r="K521" i="7" a="1"/>
  <c r="K521" i="7" s="1"/>
  <c r="F521" i="7"/>
  <c r="T520" i="7"/>
  <c r="S520" i="7"/>
  <c r="R520" i="7"/>
  <c r="Q520" i="7" a="1"/>
  <c r="Q520" i="7" s="1"/>
  <c r="P520" i="7"/>
  <c r="N520" i="7" a="1"/>
  <c r="N520" i="7" s="1"/>
  <c r="O520" i="7" s="1"/>
  <c r="M520" i="7" a="1"/>
  <c r="M520" i="7" s="1"/>
  <c r="L520" i="7"/>
  <c r="K520" i="7" a="1"/>
  <c r="K520" i="7" s="1"/>
  <c r="F520" i="7"/>
  <c r="T519" i="7"/>
  <c r="S519" i="7"/>
  <c r="R519" i="7"/>
  <c r="Q519" i="7" a="1"/>
  <c r="Q519" i="7" s="1"/>
  <c r="P519" i="7"/>
  <c r="N519" i="7" a="1"/>
  <c r="N519" i="7" s="1"/>
  <c r="O519" i="7" s="1"/>
  <c r="M519" i="7" a="1"/>
  <c r="M519" i="7" s="1"/>
  <c r="L519" i="7"/>
  <c r="K519" i="7" a="1"/>
  <c r="K519" i="7" s="1"/>
  <c r="F519" i="7"/>
  <c r="T518" i="7"/>
  <c r="S518" i="7"/>
  <c r="R518" i="7"/>
  <c r="Q518" i="7" a="1"/>
  <c r="Q518" i="7" s="1"/>
  <c r="P518" i="7"/>
  <c r="N518" i="7" a="1"/>
  <c r="N518" i="7" s="1"/>
  <c r="O518" i="7" s="1"/>
  <c r="M518" i="7" a="1"/>
  <c r="M518" i="7" s="1"/>
  <c r="L518" i="7"/>
  <c r="K518" i="7" a="1"/>
  <c r="K518" i="7" s="1"/>
  <c r="F518" i="7"/>
  <c r="T517" i="7"/>
  <c r="S517" i="7"/>
  <c r="R517" i="7"/>
  <c r="Q517" i="7" a="1"/>
  <c r="Q517" i="7" s="1"/>
  <c r="P517" i="7"/>
  <c r="N517" i="7" a="1"/>
  <c r="N517" i="7" s="1"/>
  <c r="O517" i="7" s="1"/>
  <c r="M517" i="7" a="1"/>
  <c r="M517" i="7" s="1"/>
  <c r="L517" i="7"/>
  <c r="K517" i="7" a="1"/>
  <c r="K517" i="7" s="1"/>
  <c r="F517" i="7"/>
  <c r="T516" i="7"/>
  <c r="S516" i="7"/>
  <c r="R516" i="7"/>
  <c r="Q516" i="7" a="1"/>
  <c r="Q516" i="7" s="1"/>
  <c r="P516" i="7"/>
  <c r="N516" i="7" a="1"/>
  <c r="N516" i="7" s="1"/>
  <c r="O516" i="7" s="1"/>
  <c r="M516" i="7" a="1"/>
  <c r="M516" i="7" s="1"/>
  <c r="L516" i="7"/>
  <c r="K516" i="7" a="1"/>
  <c r="K516" i="7" s="1"/>
  <c r="F516" i="7"/>
  <c r="T515" i="7"/>
  <c r="S515" i="7"/>
  <c r="R515" i="7"/>
  <c r="Q515" i="7" a="1"/>
  <c r="Q515" i="7" s="1"/>
  <c r="P515" i="7"/>
  <c r="N515" i="7" a="1"/>
  <c r="N515" i="7" s="1"/>
  <c r="O515" i="7" s="1"/>
  <c r="M515" i="7" a="1"/>
  <c r="M515" i="7" s="1"/>
  <c r="L515" i="7"/>
  <c r="K515" i="7" a="1"/>
  <c r="K515" i="7" s="1"/>
  <c r="F515" i="7"/>
  <c r="T514" i="7"/>
  <c r="S514" i="7"/>
  <c r="R514" i="7"/>
  <c r="Q514" i="7" a="1"/>
  <c r="Q514" i="7" s="1"/>
  <c r="P514" i="7"/>
  <c r="N514" i="7" a="1"/>
  <c r="N514" i="7" s="1"/>
  <c r="O514" i="7" s="1"/>
  <c r="M514" i="7" a="1"/>
  <c r="M514" i="7" s="1"/>
  <c r="L514" i="7"/>
  <c r="K514" i="7" a="1"/>
  <c r="K514" i="7" s="1"/>
  <c r="F514" i="7"/>
  <c r="T513" i="7"/>
  <c r="S513" i="7"/>
  <c r="R513" i="7"/>
  <c r="Q513" i="7" a="1"/>
  <c r="Q513" i="7" s="1"/>
  <c r="P513" i="7"/>
  <c r="N513" i="7" a="1"/>
  <c r="N513" i="7" s="1"/>
  <c r="O513" i="7" s="1"/>
  <c r="M513" i="7" a="1"/>
  <c r="M513" i="7" s="1"/>
  <c r="L513" i="7"/>
  <c r="K513" i="7" a="1"/>
  <c r="K513" i="7" s="1"/>
  <c r="F513" i="7"/>
  <c r="T512" i="7"/>
  <c r="S512" i="7"/>
  <c r="R512" i="7"/>
  <c r="Q512" i="7" a="1"/>
  <c r="Q512" i="7" s="1"/>
  <c r="P512" i="7"/>
  <c r="N512" i="7" a="1"/>
  <c r="N512" i="7" s="1"/>
  <c r="O512" i="7" s="1"/>
  <c r="M512" i="7" a="1"/>
  <c r="M512" i="7" s="1"/>
  <c r="L512" i="7"/>
  <c r="K512" i="7" a="1"/>
  <c r="K512" i="7" s="1"/>
  <c r="F512" i="7"/>
  <c r="T511" i="7"/>
  <c r="S511" i="7"/>
  <c r="R511" i="7"/>
  <c r="Q511" i="7" a="1"/>
  <c r="Q511" i="7" s="1"/>
  <c r="P511" i="7"/>
  <c r="N511" i="7" a="1"/>
  <c r="N511" i="7" s="1"/>
  <c r="O511" i="7" s="1"/>
  <c r="M511" i="7" a="1"/>
  <c r="M511" i="7" s="1"/>
  <c r="L511" i="7"/>
  <c r="K511" i="7" a="1"/>
  <c r="K511" i="7" s="1"/>
  <c r="F511" i="7"/>
  <c r="T510" i="7"/>
  <c r="S510" i="7"/>
  <c r="R510" i="7"/>
  <c r="Q510" i="7" a="1"/>
  <c r="Q510" i="7" s="1"/>
  <c r="P510" i="7"/>
  <c r="N510" i="7" a="1"/>
  <c r="N510" i="7" s="1"/>
  <c r="O510" i="7" s="1"/>
  <c r="M510" i="7" a="1"/>
  <c r="M510" i="7" s="1"/>
  <c r="L510" i="7"/>
  <c r="K510" i="7" a="1"/>
  <c r="K510" i="7" s="1"/>
  <c r="F510" i="7"/>
  <c r="T509" i="7"/>
  <c r="S509" i="7"/>
  <c r="R509" i="7"/>
  <c r="Q509" i="7" a="1"/>
  <c r="Q509" i="7" s="1"/>
  <c r="P509" i="7"/>
  <c r="N509" i="7" a="1"/>
  <c r="N509" i="7" s="1"/>
  <c r="O509" i="7" s="1"/>
  <c r="M509" i="7" a="1"/>
  <c r="M509" i="7" s="1"/>
  <c r="L509" i="7"/>
  <c r="K509" i="7" a="1"/>
  <c r="K509" i="7" s="1"/>
  <c r="F509" i="7"/>
  <c r="T508" i="7"/>
  <c r="S508" i="7"/>
  <c r="R508" i="7"/>
  <c r="Q508" i="7" a="1"/>
  <c r="Q508" i="7" s="1"/>
  <c r="P508" i="7"/>
  <c r="N508" i="7" a="1"/>
  <c r="N508" i="7" s="1"/>
  <c r="O508" i="7" s="1"/>
  <c r="M508" i="7" a="1"/>
  <c r="M508" i="7" s="1"/>
  <c r="L508" i="7"/>
  <c r="K508" i="7" a="1"/>
  <c r="K508" i="7" s="1"/>
  <c r="F508" i="7"/>
  <c r="T507" i="7"/>
  <c r="S507" i="7"/>
  <c r="R507" i="7"/>
  <c r="Q507" i="7" a="1"/>
  <c r="Q507" i="7" s="1"/>
  <c r="P507" i="7"/>
  <c r="N507" i="7" a="1"/>
  <c r="N507" i="7" s="1"/>
  <c r="O507" i="7" s="1"/>
  <c r="M507" i="7" a="1"/>
  <c r="M507" i="7" s="1"/>
  <c r="L507" i="7"/>
  <c r="K507" i="7" a="1"/>
  <c r="K507" i="7" s="1"/>
  <c r="F507" i="7"/>
  <c r="T506" i="7"/>
  <c r="S506" i="7"/>
  <c r="R506" i="7"/>
  <c r="Q506" i="7" a="1"/>
  <c r="Q506" i="7" s="1"/>
  <c r="P506" i="7"/>
  <c r="N506" i="7" a="1"/>
  <c r="N506" i="7" s="1"/>
  <c r="O506" i="7" s="1"/>
  <c r="M506" i="7" a="1"/>
  <c r="M506" i="7" s="1"/>
  <c r="L506" i="7"/>
  <c r="K506" i="7" a="1"/>
  <c r="K506" i="7" s="1"/>
  <c r="F506" i="7"/>
  <c r="T505" i="7"/>
  <c r="S505" i="7"/>
  <c r="R505" i="7"/>
  <c r="Q505" i="7" a="1"/>
  <c r="Q505" i="7" s="1"/>
  <c r="P505" i="7"/>
  <c r="N505" i="7" a="1"/>
  <c r="N505" i="7" s="1"/>
  <c r="O505" i="7" s="1"/>
  <c r="M505" i="7" a="1"/>
  <c r="M505" i="7" s="1"/>
  <c r="L505" i="7"/>
  <c r="K505" i="7" a="1"/>
  <c r="K505" i="7" s="1"/>
  <c r="F505" i="7"/>
  <c r="T504" i="7"/>
  <c r="S504" i="7"/>
  <c r="R504" i="7"/>
  <c r="Q504" i="7" a="1"/>
  <c r="Q504" i="7" s="1"/>
  <c r="P504" i="7"/>
  <c r="N504" i="7" a="1"/>
  <c r="N504" i="7" s="1"/>
  <c r="O504" i="7" s="1"/>
  <c r="M504" i="7" a="1"/>
  <c r="M504" i="7" s="1"/>
  <c r="L504" i="7"/>
  <c r="K504" i="7" a="1"/>
  <c r="K504" i="7" s="1"/>
  <c r="F504" i="7"/>
  <c r="T503" i="7"/>
  <c r="S503" i="7"/>
  <c r="R503" i="7"/>
  <c r="Q503" i="7" a="1"/>
  <c r="Q503" i="7" s="1"/>
  <c r="P503" i="7"/>
  <c r="N503" i="7" a="1"/>
  <c r="N503" i="7" s="1"/>
  <c r="O503" i="7" s="1"/>
  <c r="M503" i="7" a="1"/>
  <c r="M503" i="7" s="1"/>
  <c r="L503" i="7"/>
  <c r="K503" i="7" a="1"/>
  <c r="K503" i="7" s="1"/>
  <c r="F503" i="7"/>
  <c r="T502" i="7"/>
  <c r="S502" i="7"/>
  <c r="R502" i="7"/>
  <c r="Q502" i="7" a="1"/>
  <c r="Q502" i="7" s="1"/>
  <c r="P502" i="7"/>
  <c r="N502" i="7" a="1"/>
  <c r="N502" i="7" s="1"/>
  <c r="O502" i="7" s="1"/>
  <c r="M502" i="7" a="1"/>
  <c r="M502" i="7" s="1"/>
  <c r="L502" i="7"/>
  <c r="K502" i="7" a="1"/>
  <c r="K502" i="7" s="1"/>
  <c r="F502" i="7"/>
  <c r="T501" i="7"/>
  <c r="S501" i="7"/>
  <c r="R501" i="7"/>
  <c r="Q501" i="7" a="1"/>
  <c r="Q501" i="7" s="1"/>
  <c r="P501" i="7"/>
  <c r="N501" i="7" a="1"/>
  <c r="N501" i="7" s="1"/>
  <c r="O501" i="7" s="1"/>
  <c r="M501" i="7" a="1"/>
  <c r="M501" i="7" s="1"/>
  <c r="L501" i="7"/>
  <c r="K501" i="7" a="1"/>
  <c r="K501" i="7" s="1"/>
  <c r="F501" i="7"/>
  <c r="T500" i="7"/>
  <c r="S500" i="7"/>
  <c r="R500" i="7"/>
  <c r="Q500" i="7" a="1"/>
  <c r="Q500" i="7" s="1"/>
  <c r="P500" i="7"/>
  <c r="N500" i="7" a="1"/>
  <c r="N500" i="7" s="1"/>
  <c r="O500" i="7" s="1"/>
  <c r="M500" i="7" a="1"/>
  <c r="M500" i="7" s="1"/>
  <c r="L500" i="7"/>
  <c r="K500" i="7" a="1"/>
  <c r="K500" i="7" s="1"/>
  <c r="F500" i="7"/>
  <c r="T499" i="7"/>
  <c r="S499" i="7"/>
  <c r="R499" i="7"/>
  <c r="Q499" i="7" a="1"/>
  <c r="Q499" i="7" s="1"/>
  <c r="P499" i="7"/>
  <c r="N499" i="7" a="1"/>
  <c r="N499" i="7" s="1"/>
  <c r="O499" i="7" s="1"/>
  <c r="M499" i="7" a="1"/>
  <c r="M499" i="7" s="1"/>
  <c r="L499" i="7"/>
  <c r="K499" i="7" a="1"/>
  <c r="K499" i="7" s="1"/>
  <c r="F499" i="7"/>
  <c r="T498" i="7"/>
  <c r="S498" i="7"/>
  <c r="R498" i="7"/>
  <c r="Q498" i="7" a="1"/>
  <c r="Q498" i="7" s="1"/>
  <c r="P498" i="7"/>
  <c r="N498" i="7" a="1"/>
  <c r="N498" i="7" s="1"/>
  <c r="O498" i="7" s="1"/>
  <c r="M498" i="7" a="1"/>
  <c r="M498" i="7" s="1"/>
  <c r="L498" i="7"/>
  <c r="K498" i="7" a="1"/>
  <c r="K498" i="7" s="1"/>
  <c r="F498" i="7"/>
  <c r="T497" i="7"/>
  <c r="S497" i="7"/>
  <c r="R497" i="7"/>
  <c r="Q497" i="7" a="1"/>
  <c r="Q497" i="7" s="1"/>
  <c r="P497" i="7"/>
  <c r="N497" i="7" a="1"/>
  <c r="N497" i="7" s="1"/>
  <c r="O497" i="7" s="1"/>
  <c r="M497" i="7" a="1"/>
  <c r="M497" i="7" s="1"/>
  <c r="L497" i="7"/>
  <c r="K497" i="7" a="1"/>
  <c r="K497" i="7" s="1"/>
  <c r="F497" i="7"/>
  <c r="T496" i="7"/>
  <c r="S496" i="7"/>
  <c r="R496" i="7"/>
  <c r="Q496" i="7" a="1"/>
  <c r="Q496" i="7" s="1"/>
  <c r="P496" i="7"/>
  <c r="N496" i="7" a="1"/>
  <c r="N496" i="7" s="1"/>
  <c r="O496" i="7" s="1"/>
  <c r="M496" i="7" a="1"/>
  <c r="M496" i="7" s="1"/>
  <c r="L496" i="7"/>
  <c r="K496" i="7" a="1"/>
  <c r="K496" i="7" s="1"/>
  <c r="F496" i="7"/>
  <c r="T495" i="7"/>
  <c r="S495" i="7"/>
  <c r="R495" i="7"/>
  <c r="Q495" i="7" a="1"/>
  <c r="Q495" i="7" s="1"/>
  <c r="P495" i="7"/>
  <c r="N495" i="7" a="1"/>
  <c r="N495" i="7" s="1"/>
  <c r="O495" i="7" s="1"/>
  <c r="M495" i="7" a="1"/>
  <c r="M495" i="7" s="1"/>
  <c r="L495" i="7"/>
  <c r="K495" i="7" a="1"/>
  <c r="K495" i="7" s="1"/>
  <c r="F495" i="7"/>
  <c r="T494" i="7"/>
  <c r="S494" i="7"/>
  <c r="R494" i="7"/>
  <c r="Q494" i="7" a="1"/>
  <c r="Q494" i="7" s="1"/>
  <c r="P494" i="7"/>
  <c r="N494" i="7" a="1"/>
  <c r="N494" i="7" s="1"/>
  <c r="O494" i="7" s="1"/>
  <c r="M494" i="7" a="1"/>
  <c r="M494" i="7" s="1"/>
  <c r="L494" i="7"/>
  <c r="K494" i="7" a="1"/>
  <c r="K494" i="7" s="1"/>
  <c r="F494" i="7"/>
  <c r="T493" i="7"/>
  <c r="S493" i="7"/>
  <c r="R493" i="7"/>
  <c r="Q493" i="7" a="1"/>
  <c r="Q493" i="7" s="1"/>
  <c r="P493" i="7"/>
  <c r="N493" i="7" a="1"/>
  <c r="N493" i="7" s="1"/>
  <c r="O493" i="7" s="1"/>
  <c r="M493" i="7" a="1"/>
  <c r="M493" i="7" s="1"/>
  <c r="L493" i="7"/>
  <c r="K493" i="7" a="1"/>
  <c r="K493" i="7" s="1"/>
  <c r="F493" i="7"/>
  <c r="T492" i="7"/>
  <c r="S492" i="7"/>
  <c r="R492" i="7"/>
  <c r="Q492" i="7" a="1"/>
  <c r="Q492" i="7" s="1"/>
  <c r="P492" i="7"/>
  <c r="N492" i="7" a="1"/>
  <c r="N492" i="7" s="1"/>
  <c r="O492" i="7" s="1"/>
  <c r="M492" i="7" a="1"/>
  <c r="M492" i="7" s="1"/>
  <c r="L492" i="7"/>
  <c r="K492" i="7" a="1"/>
  <c r="K492" i="7" s="1"/>
  <c r="F492" i="7"/>
  <c r="T491" i="7"/>
  <c r="S491" i="7"/>
  <c r="R491" i="7"/>
  <c r="Q491" i="7" a="1"/>
  <c r="Q491" i="7" s="1"/>
  <c r="P491" i="7"/>
  <c r="N491" i="7" a="1"/>
  <c r="N491" i="7" s="1"/>
  <c r="O491" i="7" s="1"/>
  <c r="M491" i="7" a="1"/>
  <c r="M491" i="7" s="1"/>
  <c r="L491" i="7"/>
  <c r="K491" i="7" a="1"/>
  <c r="K491" i="7" s="1"/>
  <c r="F491" i="7"/>
  <c r="T490" i="7"/>
  <c r="S490" i="7"/>
  <c r="R490" i="7"/>
  <c r="Q490" i="7" a="1"/>
  <c r="Q490" i="7" s="1"/>
  <c r="P490" i="7"/>
  <c r="N490" i="7" a="1"/>
  <c r="N490" i="7" s="1"/>
  <c r="O490" i="7" s="1"/>
  <c r="M490" i="7" a="1"/>
  <c r="M490" i="7" s="1"/>
  <c r="L490" i="7"/>
  <c r="K490" i="7" a="1"/>
  <c r="K490" i="7" s="1"/>
  <c r="F490" i="7"/>
  <c r="T489" i="7"/>
  <c r="S489" i="7"/>
  <c r="R489" i="7"/>
  <c r="Q489" i="7" a="1"/>
  <c r="Q489" i="7" s="1"/>
  <c r="P489" i="7"/>
  <c r="N489" i="7" a="1"/>
  <c r="N489" i="7" s="1"/>
  <c r="O489" i="7" s="1"/>
  <c r="M489" i="7" a="1"/>
  <c r="M489" i="7" s="1"/>
  <c r="L489" i="7"/>
  <c r="K489" i="7" a="1"/>
  <c r="K489" i="7" s="1"/>
  <c r="F489" i="7"/>
  <c r="T488" i="7"/>
  <c r="S488" i="7"/>
  <c r="R488" i="7"/>
  <c r="Q488" i="7" a="1"/>
  <c r="Q488" i="7" s="1"/>
  <c r="P488" i="7"/>
  <c r="N488" i="7" a="1"/>
  <c r="N488" i="7" s="1"/>
  <c r="O488" i="7" s="1"/>
  <c r="M488" i="7" a="1"/>
  <c r="M488" i="7" s="1"/>
  <c r="L488" i="7"/>
  <c r="K488" i="7" a="1"/>
  <c r="K488" i="7" s="1"/>
  <c r="F488" i="7"/>
  <c r="T487" i="7"/>
  <c r="S487" i="7"/>
  <c r="R487" i="7"/>
  <c r="Q487" i="7" a="1"/>
  <c r="Q487" i="7" s="1"/>
  <c r="P487" i="7"/>
  <c r="N487" i="7" a="1"/>
  <c r="N487" i="7" s="1"/>
  <c r="O487" i="7" s="1"/>
  <c r="M487" i="7" a="1"/>
  <c r="M487" i="7" s="1"/>
  <c r="L487" i="7"/>
  <c r="K487" i="7" a="1"/>
  <c r="K487" i="7" s="1"/>
  <c r="F487" i="7"/>
  <c r="T486" i="7"/>
  <c r="S486" i="7"/>
  <c r="R486" i="7"/>
  <c r="Q486" i="7" a="1"/>
  <c r="Q486" i="7" s="1"/>
  <c r="P486" i="7"/>
  <c r="N486" i="7" a="1"/>
  <c r="N486" i="7" s="1"/>
  <c r="O486" i="7" s="1"/>
  <c r="M486" i="7" a="1"/>
  <c r="M486" i="7" s="1"/>
  <c r="L486" i="7"/>
  <c r="K486" i="7" a="1"/>
  <c r="K486" i="7" s="1"/>
  <c r="F486" i="7"/>
  <c r="T485" i="7"/>
  <c r="S485" i="7"/>
  <c r="R485" i="7"/>
  <c r="Q485" i="7" a="1"/>
  <c r="Q485" i="7" s="1"/>
  <c r="P485" i="7"/>
  <c r="N485" i="7" a="1"/>
  <c r="N485" i="7" s="1"/>
  <c r="O485" i="7" s="1"/>
  <c r="M485" i="7" a="1"/>
  <c r="M485" i="7" s="1"/>
  <c r="L485" i="7"/>
  <c r="K485" i="7" a="1"/>
  <c r="K485" i="7" s="1"/>
  <c r="F485" i="7"/>
  <c r="T484" i="7"/>
  <c r="S484" i="7"/>
  <c r="R484" i="7"/>
  <c r="Q484" i="7" a="1"/>
  <c r="Q484" i="7" s="1"/>
  <c r="P484" i="7"/>
  <c r="N484" i="7" a="1"/>
  <c r="N484" i="7" s="1"/>
  <c r="O484" i="7" s="1"/>
  <c r="M484" i="7" a="1"/>
  <c r="M484" i="7" s="1"/>
  <c r="L484" i="7"/>
  <c r="K484" i="7" a="1"/>
  <c r="K484" i="7" s="1"/>
  <c r="F484" i="7"/>
  <c r="T483" i="7"/>
  <c r="S483" i="7"/>
  <c r="R483" i="7"/>
  <c r="Q483" i="7" a="1"/>
  <c r="Q483" i="7" s="1"/>
  <c r="P483" i="7"/>
  <c r="N483" i="7" a="1"/>
  <c r="N483" i="7" s="1"/>
  <c r="O483" i="7" s="1"/>
  <c r="M483" i="7" a="1"/>
  <c r="M483" i="7" s="1"/>
  <c r="L483" i="7"/>
  <c r="K483" i="7" a="1"/>
  <c r="K483" i="7" s="1"/>
  <c r="F483" i="7"/>
  <c r="T482" i="7"/>
  <c r="S482" i="7"/>
  <c r="R482" i="7"/>
  <c r="Q482" i="7" a="1"/>
  <c r="Q482" i="7" s="1"/>
  <c r="P482" i="7"/>
  <c r="N482" i="7" a="1"/>
  <c r="N482" i="7" s="1"/>
  <c r="O482" i="7" s="1"/>
  <c r="M482" i="7" a="1"/>
  <c r="M482" i="7" s="1"/>
  <c r="L482" i="7"/>
  <c r="K482" i="7" a="1"/>
  <c r="K482" i="7" s="1"/>
  <c r="F482" i="7"/>
  <c r="T481" i="7"/>
  <c r="S481" i="7"/>
  <c r="R481" i="7"/>
  <c r="Q481" i="7" a="1"/>
  <c r="Q481" i="7" s="1"/>
  <c r="P481" i="7"/>
  <c r="N481" i="7" a="1"/>
  <c r="N481" i="7" s="1"/>
  <c r="O481" i="7" s="1"/>
  <c r="M481" i="7" a="1"/>
  <c r="M481" i="7" s="1"/>
  <c r="L481" i="7"/>
  <c r="K481" i="7" a="1"/>
  <c r="K481" i="7" s="1"/>
  <c r="F481" i="7"/>
  <c r="T480" i="7"/>
  <c r="S480" i="7"/>
  <c r="R480" i="7"/>
  <c r="Q480" i="7" a="1"/>
  <c r="Q480" i="7" s="1"/>
  <c r="P480" i="7"/>
  <c r="N480" i="7" a="1"/>
  <c r="N480" i="7" s="1"/>
  <c r="O480" i="7" s="1"/>
  <c r="M480" i="7" a="1"/>
  <c r="M480" i="7" s="1"/>
  <c r="L480" i="7"/>
  <c r="K480" i="7" a="1"/>
  <c r="K480" i="7" s="1"/>
  <c r="F480" i="7"/>
  <c r="T479" i="7"/>
  <c r="S479" i="7"/>
  <c r="R479" i="7"/>
  <c r="Q479" i="7" a="1"/>
  <c r="Q479" i="7" s="1"/>
  <c r="P479" i="7"/>
  <c r="N479" i="7" a="1"/>
  <c r="N479" i="7" s="1"/>
  <c r="O479" i="7" s="1"/>
  <c r="M479" i="7" a="1"/>
  <c r="M479" i="7" s="1"/>
  <c r="L479" i="7"/>
  <c r="K479" i="7" a="1"/>
  <c r="K479" i="7" s="1"/>
  <c r="F479" i="7"/>
  <c r="T478" i="7"/>
  <c r="S478" i="7"/>
  <c r="R478" i="7"/>
  <c r="Q478" i="7" a="1"/>
  <c r="Q478" i="7" s="1"/>
  <c r="P478" i="7"/>
  <c r="N478" i="7" a="1"/>
  <c r="N478" i="7" s="1"/>
  <c r="O478" i="7" s="1"/>
  <c r="M478" i="7" a="1"/>
  <c r="M478" i="7" s="1"/>
  <c r="L478" i="7"/>
  <c r="K478" i="7" a="1"/>
  <c r="K478" i="7" s="1"/>
  <c r="F478" i="7"/>
  <c r="T477" i="7"/>
  <c r="S477" i="7"/>
  <c r="R477" i="7"/>
  <c r="Q477" i="7" a="1"/>
  <c r="Q477" i="7" s="1"/>
  <c r="P477" i="7"/>
  <c r="N477" i="7" a="1"/>
  <c r="N477" i="7" s="1"/>
  <c r="O477" i="7" s="1"/>
  <c r="M477" i="7" a="1"/>
  <c r="M477" i="7" s="1"/>
  <c r="L477" i="7"/>
  <c r="K477" i="7" a="1"/>
  <c r="K477" i="7" s="1"/>
  <c r="F477" i="7"/>
  <c r="T476" i="7"/>
  <c r="S476" i="7"/>
  <c r="R476" i="7"/>
  <c r="Q476" i="7" a="1"/>
  <c r="Q476" i="7" s="1"/>
  <c r="P476" i="7"/>
  <c r="N476" i="7" a="1"/>
  <c r="N476" i="7" s="1"/>
  <c r="O476" i="7" s="1"/>
  <c r="M476" i="7" a="1"/>
  <c r="M476" i="7" s="1"/>
  <c r="L476" i="7"/>
  <c r="K476" i="7" a="1"/>
  <c r="K476" i="7" s="1"/>
  <c r="F476" i="7"/>
  <c r="T475" i="7"/>
  <c r="S475" i="7"/>
  <c r="R475" i="7"/>
  <c r="Q475" i="7" a="1"/>
  <c r="Q475" i="7" s="1"/>
  <c r="P475" i="7"/>
  <c r="N475" i="7" a="1"/>
  <c r="N475" i="7" s="1"/>
  <c r="O475" i="7" s="1"/>
  <c r="M475" i="7" a="1"/>
  <c r="M475" i="7" s="1"/>
  <c r="L475" i="7"/>
  <c r="K475" i="7" a="1"/>
  <c r="K475" i="7" s="1"/>
  <c r="F475" i="7"/>
  <c r="T474" i="7"/>
  <c r="S474" i="7"/>
  <c r="R474" i="7"/>
  <c r="Q474" i="7" a="1"/>
  <c r="Q474" i="7" s="1"/>
  <c r="P474" i="7"/>
  <c r="N474" i="7" a="1"/>
  <c r="N474" i="7" s="1"/>
  <c r="O474" i="7" s="1"/>
  <c r="M474" i="7" a="1"/>
  <c r="M474" i="7" s="1"/>
  <c r="L474" i="7"/>
  <c r="K474" i="7" a="1"/>
  <c r="K474" i="7" s="1"/>
  <c r="F474" i="7"/>
  <c r="T473" i="7"/>
  <c r="S473" i="7"/>
  <c r="R473" i="7"/>
  <c r="Q473" i="7" a="1"/>
  <c r="Q473" i="7" s="1"/>
  <c r="P473" i="7"/>
  <c r="N473" i="7" a="1"/>
  <c r="N473" i="7" s="1"/>
  <c r="O473" i="7" s="1"/>
  <c r="M473" i="7" a="1"/>
  <c r="M473" i="7" s="1"/>
  <c r="L473" i="7"/>
  <c r="K473" i="7" a="1"/>
  <c r="K473" i="7" s="1"/>
  <c r="F473" i="7"/>
  <c r="T472" i="7"/>
  <c r="S472" i="7"/>
  <c r="R472" i="7"/>
  <c r="Q472" i="7" a="1"/>
  <c r="Q472" i="7" s="1"/>
  <c r="P472" i="7"/>
  <c r="N472" i="7" a="1"/>
  <c r="N472" i="7" s="1"/>
  <c r="O472" i="7" s="1"/>
  <c r="M472" i="7" a="1"/>
  <c r="M472" i="7" s="1"/>
  <c r="L472" i="7"/>
  <c r="K472" i="7" a="1"/>
  <c r="K472" i="7" s="1"/>
  <c r="F472" i="7"/>
  <c r="T471" i="7"/>
  <c r="S471" i="7"/>
  <c r="R471" i="7"/>
  <c r="Q471" i="7" a="1"/>
  <c r="Q471" i="7" s="1"/>
  <c r="P471" i="7"/>
  <c r="N471" i="7" a="1"/>
  <c r="N471" i="7" s="1"/>
  <c r="O471" i="7" s="1"/>
  <c r="M471" i="7" a="1"/>
  <c r="M471" i="7" s="1"/>
  <c r="L471" i="7"/>
  <c r="K471" i="7" a="1"/>
  <c r="K471" i="7" s="1"/>
  <c r="F471" i="7"/>
  <c r="T470" i="7"/>
  <c r="S470" i="7"/>
  <c r="R470" i="7"/>
  <c r="Q470" i="7" a="1"/>
  <c r="Q470" i="7" s="1"/>
  <c r="P470" i="7"/>
  <c r="N470" i="7" a="1"/>
  <c r="N470" i="7" s="1"/>
  <c r="O470" i="7" s="1"/>
  <c r="M470" i="7" a="1"/>
  <c r="M470" i="7" s="1"/>
  <c r="L470" i="7"/>
  <c r="K470" i="7" a="1"/>
  <c r="K470" i="7" s="1"/>
  <c r="F470" i="7"/>
  <c r="T469" i="7"/>
  <c r="S469" i="7"/>
  <c r="R469" i="7"/>
  <c r="Q469" i="7" a="1"/>
  <c r="Q469" i="7" s="1"/>
  <c r="P469" i="7"/>
  <c r="N469" i="7" a="1"/>
  <c r="N469" i="7" s="1"/>
  <c r="O469" i="7" s="1"/>
  <c r="M469" i="7" a="1"/>
  <c r="M469" i="7" s="1"/>
  <c r="L469" i="7"/>
  <c r="K469" i="7" a="1"/>
  <c r="K469" i="7" s="1"/>
  <c r="F469" i="7"/>
  <c r="T468" i="7"/>
  <c r="S468" i="7"/>
  <c r="R468" i="7"/>
  <c r="Q468" i="7" a="1"/>
  <c r="Q468" i="7" s="1"/>
  <c r="P468" i="7"/>
  <c r="N468" i="7" a="1"/>
  <c r="N468" i="7" s="1"/>
  <c r="O468" i="7" s="1"/>
  <c r="M468" i="7" a="1"/>
  <c r="M468" i="7" s="1"/>
  <c r="L468" i="7"/>
  <c r="K468" i="7" a="1"/>
  <c r="K468" i="7" s="1"/>
  <c r="F468" i="7"/>
  <c r="T467" i="7"/>
  <c r="S467" i="7"/>
  <c r="R467" i="7"/>
  <c r="Q467" i="7" a="1"/>
  <c r="Q467" i="7" s="1"/>
  <c r="P467" i="7"/>
  <c r="N467" i="7" a="1"/>
  <c r="N467" i="7" s="1"/>
  <c r="O467" i="7" s="1"/>
  <c r="M467" i="7" a="1"/>
  <c r="M467" i="7" s="1"/>
  <c r="L467" i="7"/>
  <c r="K467" i="7" a="1"/>
  <c r="K467" i="7" s="1"/>
  <c r="F467" i="7"/>
  <c r="T466" i="7"/>
  <c r="S466" i="7"/>
  <c r="R466" i="7"/>
  <c r="Q466" i="7" a="1"/>
  <c r="Q466" i="7" s="1"/>
  <c r="P466" i="7"/>
  <c r="N466" i="7" a="1"/>
  <c r="N466" i="7" s="1"/>
  <c r="O466" i="7" s="1"/>
  <c r="M466" i="7" a="1"/>
  <c r="M466" i="7" s="1"/>
  <c r="L466" i="7"/>
  <c r="K466" i="7" a="1"/>
  <c r="K466" i="7" s="1"/>
  <c r="F466" i="7"/>
  <c r="T465" i="7"/>
  <c r="S465" i="7"/>
  <c r="R465" i="7"/>
  <c r="Q465" i="7" a="1"/>
  <c r="Q465" i="7" s="1"/>
  <c r="P465" i="7"/>
  <c r="N465" i="7" a="1"/>
  <c r="N465" i="7" s="1"/>
  <c r="O465" i="7" s="1"/>
  <c r="M465" i="7" a="1"/>
  <c r="M465" i="7" s="1"/>
  <c r="L465" i="7"/>
  <c r="K465" i="7" a="1"/>
  <c r="K465" i="7" s="1"/>
  <c r="F465" i="7"/>
  <c r="T464" i="7"/>
  <c r="S464" i="7"/>
  <c r="R464" i="7"/>
  <c r="Q464" i="7" a="1"/>
  <c r="Q464" i="7" s="1"/>
  <c r="P464" i="7"/>
  <c r="N464" i="7" a="1"/>
  <c r="N464" i="7" s="1"/>
  <c r="O464" i="7" s="1"/>
  <c r="M464" i="7" a="1"/>
  <c r="M464" i="7" s="1"/>
  <c r="L464" i="7"/>
  <c r="K464" i="7" a="1"/>
  <c r="K464" i="7" s="1"/>
  <c r="F464" i="7"/>
  <c r="T463" i="7"/>
  <c r="S463" i="7"/>
  <c r="R463" i="7"/>
  <c r="Q463" i="7" a="1"/>
  <c r="Q463" i="7" s="1"/>
  <c r="P463" i="7"/>
  <c r="N463" i="7" a="1"/>
  <c r="N463" i="7" s="1"/>
  <c r="O463" i="7" s="1"/>
  <c r="M463" i="7" a="1"/>
  <c r="M463" i="7" s="1"/>
  <c r="L463" i="7"/>
  <c r="K463" i="7" a="1"/>
  <c r="K463" i="7" s="1"/>
  <c r="F463" i="7"/>
  <c r="T462" i="7"/>
  <c r="S462" i="7"/>
  <c r="R462" i="7"/>
  <c r="Q462" i="7" a="1"/>
  <c r="Q462" i="7" s="1"/>
  <c r="P462" i="7"/>
  <c r="N462" i="7" a="1"/>
  <c r="N462" i="7" s="1"/>
  <c r="O462" i="7" s="1"/>
  <c r="M462" i="7" a="1"/>
  <c r="M462" i="7" s="1"/>
  <c r="L462" i="7"/>
  <c r="K462" i="7" a="1"/>
  <c r="K462" i="7" s="1"/>
  <c r="F462" i="7"/>
  <c r="T461" i="7"/>
  <c r="S461" i="7"/>
  <c r="R461" i="7"/>
  <c r="Q461" i="7" a="1"/>
  <c r="Q461" i="7" s="1"/>
  <c r="P461" i="7"/>
  <c r="N461" i="7" a="1"/>
  <c r="N461" i="7" s="1"/>
  <c r="O461" i="7" s="1"/>
  <c r="M461" i="7" a="1"/>
  <c r="M461" i="7" s="1"/>
  <c r="L461" i="7"/>
  <c r="K461" i="7" a="1"/>
  <c r="K461" i="7" s="1"/>
  <c r="F461" i="7"/>
  <c r="T460" i="7"/>
  <c r="S460" i="7"/>
  <c r="R460" i="7"/>
  <c r="Q460" i="7" a="1"/>
  <c r="Q460" i="7" s="1"/>
  <c r="P460" i="7"/>
  <c r="N460" i="7" a="1"/>
  <c r="N460" i="7" s="1"/>
  <c r="O460" i="7" s="1"/>
  <c r="M460" i="7" a="1"/>
  <c r="M460" i="7" s="1"/>
  <c r="L460" i="7"/>
  <c r="K460" i="7" a="1"/>
  <c r="K460" i="7" s="1"/>
  <c r="F460" i="7"/>
  <c r="T459" i="7"/>
  <c r="S459" i="7"/>
  <c r="R459" i="7"/>
  <c r="Q459" i="7" a="1"/>
  <c r="Q459" i="7" s="1"/>
  <c r="P459" i="7"/>
  <c r="N459" i="7" a="1"/>
  <c r="N459" i="7" s="1"/>
  <c r="O459" i="7" s="1"/>
  <c r="M459" i="7" a="1"/>
  <c r="M459" i="7" s="1"/>
  <c r="L459" i="7"/>
  <c r="K459" i="7" a="1"/>
  <c r="K459" i="7" s="1"/>
  <c r="F459" i="7"/>
  <c r="T458" i="7"/>
  <c r="S458" i="7"/>
  <c r="R458" i="7"/>
  <c r="Q458" i="7" a="1"/>
  <c r="Q458" i="7" s="1"/>
  <c r="P458" i="7"/>
  <c r="N458" i="7" a="1"/>
  <c r="N458" i="7" s="1"/>
  <c r="O458" i="7" s="1"/>
  <c r="M458" i="7" a="1"/>
  <c r="M458" i="7" s="1"/>
  <c r="L458" i="7"/>
  <c r="K458" i="7" a="1"/>
  <c r="K458" i="7" s="1"/>
  <c r="F458" i="7"/>
  <c r="T457" i="7"/>
  <c r="S457" i="7"/>
  <c r="R457" i="7"/>
  <c r="Q457" i="7" a="1"/>
  <c r="Q457" i="7" s="1"/>
  <c r="P457" i="7"/>
  <c r="N457" i="7" a="1"/>
  <c r="N457" i="7" s="1"/>
  <c r="O457" i="7" s="1"/>
  <c r="M457" i="7" a="1"/>
  <c r="M457" i="7" s="1"/>
  <c r="L457" i="7"/>
  <c r="K457" i="7" a="1"/>
  <c r="K457" i="7" s="1"/>
  <c r="F457" i="7"/>
  <c r="T456" i="7"/>
  <c r="S456" i="7"/>
  <c r="R456" i="7"/>
  <c r="Q456" i="7" a="1"/>
  <c r="Q456" i="7" s="1"/>
  <c r="P456" i="7"/>
  <c r="N456" i="7" a="1"/>
  <c r="N456" i="7" s="1"/>
  <c r="O456" i="7" s="1"/>
  <c r="M456" i="7" a="1"/>
  <c r="M456" i="7" s="1"/>
  <c r="L456" i="7"/>
  <c r="K456" i="7" a="1"/>
  <c r="K456" i="7" s="1"/>
  <c r="F456" i="7"/>
  <c r="T455" i="7"/>
  <c r="S455" i="7"/>
  <c r="R455" i="7"/>
  <c r="Q455" i="7" a="1"/>
  <c r="Q455" i="7" s="1"/>
  <c r="P455" i="7"/>
  <c r="N455" i="7" a="1"/>
  <c r="N455" i="7" s="1"/>
  <c r="O455" i="7" s="1"/>
  <c r="M455" i="7" a="1"/>
  <c r="M455" i="7" s="1"/>
  <c r="L455" i="7"/>
  <c r="K455" i="7" a="1"/>
  <c r="K455" i="7" s="1"/>
  <c r="F455" i="7"/>
  <c r="T454" i="7"/>
  <c r="S454" i="7"/>
  <c r="R454" i="7"/>
  <c r="Q454" i="7" a="1"/>
  <c r="Q454" i="7" s="1"/>
  <c r="P454" i="7"/>
  <c r="N454" i="7" a="1"/>
  <c r="N454" i="7" s="1"/>
  <c r="O454" i="7" s="1"/>
  <c r="M454" i="7" a="1"/>
  <c r="M454" i="7" s="1"/>
  <c r="L454" i="7"/>
  <c r="K454" i="7" a="1"/>
  <c r="K454" i="7" s="1"/>
  <c r="F454" i="7"/>
  <c r="T453" i="7"/>
  <c r="S453" i="7"/>
  <c r="R453" i="7"/>
  <c r="Q453" i="7" a="1"/>
  <c r="Q453" i="7" s="1"/>
  <c r="P453" i="7"/>
  <c r="N453" i="7" a="1"/>
  <c r="N453" i="7" s="1"/>
  <c r="O453" i="7" s="1"/>
  <c r="M453" i="7" a="1"/>
  <c r="M453" i="7" s="1"/>
  <c r="L453" i="7"/>
  <c r="K453" i="7" a="1"/>
  <c r="K453" i="7" s="1"/>
  <c r="F453" i="7"/>
  <c r="T452" i="7"/>
  <c r="S452" i="7"/>
  <c r="R452" i="7"/>
  <c r="Q452" i="7" a="1"/>
  <c r="Q452" i="7" s="1"/>
  <c r="P452" i="7"/>
  <c r="N452" i="7" a="1"/>
  <c r="N452" i="7" s="1"/>
  <c r="O452" i="7" s="1"/>
  <c r="M452" i="7" a="1"/>
  <c r="M452" i="7" s="1"/>
  <c r="L452" i="7"/>
  <c r="K452" i="7" a="1"/>
  <c r="K452" i="7" s="1"/>
  <c r="F452" i="7"/>
  <c r="T451" i="7"/>
  <c r="S451" i="7"/>
  <c r="R451" i="7"/>
  <c r="Q451" i="7" a="1"/>
  <c r="Q451" i="7" s="1"/>
  <c r="P451" i="7"/>
  <c r="N451" i="7" a="1"/>
  <c r="N451" i="7" s="1"/>
  <c r="O451" i="7" s="1"/>
  <c r="M451" i="7" a="1"/>
  <c r="M451" i="7" s="1"/>
  <c r="L451" i="7"/>
  <c r="K451" i="7" a="1"/>
  <c r="K451" i="7" s="1"/>
  <c r="F451" i="7"/>
  <c r="T450" i="7"/>
  <c r="S450" i="7"/>
  <c r="R450" i="7"/>
  <c r="Q450" i="7" a="1"/>
  <c r="Q450" i="7" s="1"/>
  <c r="P450" i="7"/>
  <c r="N450" i="7" a="1"/>
  <c r="N450" i="7" s="1"/>
  <c r="O450" i="7" s="1"/>
  <c r="M450" i="7" a="1"/>
  <c r="M450" i="7" s="1"/>
  <c r="L450" i="7"/>
  <c r="K450" i="7" a="1"/>
  <c r="K450" i="7" s="1"/>
  <c r="F450" i="7"/>
  <c r="T449" i="7"/>
  <c r="S449" i="7"/>
  <c r="R449" i="7"/>
  <c r="Q449" i="7" a="1"/>
  <c r="Q449" i="7" s="1"/>
  <c r="P449" i="7"/>
  <c r="N449" i="7" a="1"/>
  <c r="N449" i="7" s="1"/>
  <c r="O449" i="7" s="1"/>
  <c r="M449" i="7" a="1"/>
  <c r="M449" i="7" s="1"/>
  <c r="L449" i="7"/>
  <c r="K449" i="7" a="1"/>
  <c r="K449" i="7" s="1"/>
  <c r="F449" i="7"/>
  <c r="T448" i="7"/>
  <c r="S448" i="7"/>
  <c r="R448" i="7"/>
  <c r="Q448" i="7" a="1"/>
  <c r="Q448" i="7" s="1"/>
  <c r="P448" i="7"/>
  <c r="N448" i="7" a="1"/>
  <c r="N448" i="7" s="1"/>
  <c r="O448" i="7" s="1"/>
  <c r="M448" i="7" a="1"/>
  <c r="M448" i="7" s="1"/>
  <c r="L448" i="7"/>
  <c r="K448" i="7" a="1"/>
  <c r="K448" i="7" s="1"/>
  <c r="F448" i="7"/>
  <c r="T447" i="7"/>
  <c r="S447" i="7"/>
  <c r="R447" i="7"/>
  <c r="Q447" i="7" a="1"/>
  <c r="Q447" i="7" s="1"/>
  <c r="P447" i="7"/>
  <c r="N447" i="7" a="1"/>
  <c r="N447" i="7" s="1"/>
  <c r="O447" i="7" s="1"/>
  <c r="M447" i="7" a="1"/>
  <c r="M447" i="7" s="1"/>
  <c r="L447" i="7"/>
  <c r="K447" i="7" a="1"/>
  <c r="K447" i="7" s="1"/>
  <c r="F447" i="7"/>
  <c r="T446" i="7"/>
  <c r="S446" i="7"/>
  <c r="R446" i="7"/>
  <c r="Q446" i="7" a="1"/>
  <c r="Q446" i="7" s="1"/>
  <c r="P446" i="7"/>
  <c r="N446" i="7" a="1"/>
  <c r="N446" i="7" s="1"/>
  <c r="O446" i="7" s="1"/>
  <c r="M446" i="7" a="1"/>
  <c r="M446" i="7" s="1"/>
  <c r="L446" i="7"/>
  <c r="K446" i="7" a="1"/>
  <c r="K446" i="7" s="1"/>
  <c r="F446" i="7"/>
  <c r="T445" i="7"/>
  <c r="S445" i="7"/>
  <c r="R445" i="7"/>
  <c r="Q445" i="7" a="1"/>
  <c r="Q445" i="7" s="1"/>
  <c r="P445" i="7"/>
  <c r="N445" i="7" a="1"/>
  <c r="N445" i="7" s="1"/>
  <c r="O445" i="7" s="1"/>
  <c r="M445" i="7" a="1"/>
  <c r="M445" i="7" s="1"/>
  <c r="L445" i="7"/>
  <c r="K445" i="7" a="1"/>
  <c r="K445" i="7" s="1"/>
  <c r="F445" i="7"/>
  <c r="T444" i="7"/>
  <c r="S444" i="7"/>
  <c r="R444" i="7"/>
  <c r="Q444" i="7" a="1"/>
  <c r="Q444" i="7" s="1"/>
  <c r="P444" i="7"/>
  <c r="N444" i="7" a="1"/>
  <c r="N444" i="7" s="1"/>
  <c r="O444" i="7" s="1"/>
  <c r="M444" i="7" a="1"/>
  <c r="M444" i="7" s="1"/>
  <c r="L444" i="7"/>
  <c r="K444" i="7" a="1"/>
  <c r="K444" i="7" s="1"/>
  <c r="F444" i="7"/>
  <c r="T443" i="7"/>
  <c r="S443" i="7"/>
  <c r="R443" i="7"/>
  <c r="Q443" i="7" a="1"/>
  <c r="Q443" i="7" s="1"/>
  <c r="P443" i="7"/>
  <c r="N443" i="7" a="1"/>
  <c r="N443" i="7" s="1"/>
  <c r="O443" i="7" s="1"/>
  <c r="M443" i="7" a="1"/>
  <c r="M443" i="7" s="1"/>
  <c r="L443" i="7"/>
  <c r="K443" i="7" a="1"/>
  <c r="K443" i="7" s="1"/>
  <c r="F443" i="7"/>
  <c r="T442" i="7"/>
  <c r="S442" i="7"/>
  <c r="R442" i="7"/>
  <c r="Q442" i="7" a="1"/>
  <c r="Q442" i="7" s="1"/>
  <c r="P442" i="7"/>
  <c r="N442" i="7" a="1"/>
  <c r="N442" i="7" s="1"/>
  <c r="O442" i="7" s="1"/>
  <c r="M442" i="7" a="1"/>
  <c r="M442" i="7" s="1"/>
  <c r="L442" i="7"/>
  <c r="K442" i="7" a="1"/>
  <c r="K442" i="7" s="1"/>
  <c r="F442" i="7"/>
  <c r="T441" i="7"/>
  <c r="S441" i="7"/>
  <c r="R441" i="7"/>
  <c r="Q441" i="7" a="1"/>
  <c r="Q441" i="7" s="1"/>
  <c r="P441" i="7"/>
  <c r="N441" i="7" a="1"/>
  <c r="N441" i="7" s="1"/>
  <c r="O441" i="7" s="1"/>
  <c r="M441" i="7" a="1"/>
  <c r="M441" i="7" s="1"/>
  <c r="L441" i="7"/>
  <c r="K441" i="7" a="1"/>
  <c r="K441" i="7" s="1"/>
  <c r="F441" i="7"/>
  <c r="T440" i="7"/>
  <c r="S440" i="7"/>
  <c r="R440" i="7"/>
  <c r="Q440" i="7" a="1"/>
  <c r="Q440" i="7" s="1"/>
  <c r="P440" i="7"/>
  <c r="N440" i="7" a="1"/>
  <c r="N440" i="7" s="1"/>
  <c r="O440" i="7" s="1"/>
  <c r="M440" i="7" a="1"/>
  <c r="M440" i="7" s="1"/>
  <c r="L440" i="7"/>
  <c r="K440" i="7" a="1"/>
  <c r="K440" i="7" s="1"/>
  <c r="F440" i="7"/>
  <c r="T439" i="7"/>
  <c r="S439" i="7"/>
  <c r="R439" i="7"/>
  <c r="Q439" i="7" a="1"/>
  <c r="Q439" i="7" s="1"/>
  <c r="P439" i="7"/>
  <c r="N439" i="7" a="1"/>
  <c r="N439" i="7" s="1"/>
  <c r="O439" i="7" s="1"/>
  <c r="M439" i="7" a="1"/>
  <c r="M439" i="7" s="1"/>
  <c r="L439" i="7"/>
  <c r="K439" i="7" a="1"/>
  <c r="K439" i="7" s="1"/>
  <c r="F439" i="7"/>
  <c r="T438" i="7"/>
  <c r="S438" i="7"/>
  <c r="R438" i="7"/>
  <c r="Q438" i="7" a="1"/>
  <c r="Q438" i="7" s="1"/>
  <c r="P438" i="7"/>
  <c r="N438" i="7" a="1"/>
  <c r="N438" i="7" s="1"/>
  <c r="O438" i="7" s="1"/>
  <c r="M438" i="7" a="1"/>
  <c r="M438" i="7" s="1"/>
  <c r="L438" i="7"/>
  <c r="K438" i="7" a="1"/>
  <c r="K438" i="7" s="1"/>
  <c r="F438" i="7"/>
  <c r="T437" i="7"/>
  <c r="S437" i="7"/>
  <c r="R437" i="7"/>
  <c r="Q437" i="7" a="1"/>
  <c r="Q437" i="7" s="1"/>
  <c r="P437" i="7"/>
  <c r="N437" i="7" a="1"/>
  <c r="N437" i="7" s="1"/>
  <c r="O437" i="7" s="1"/>
  <c r="M437" i="7" a="1"/>
  <c r="M437" i="7" s="1"/>
  <c r="L437" i="7"/>
  <c r="K437" i="7" a="1"/>
  <c r="K437" i="7" s="1"/>
  <c r="F437" i="7"/>
  <c r="T436" i="7"/>
  <c r="S436" i="7"/>
  <c r="R436" i="7"/>
  <c r="Q436" i="7" a="1"/>
  <c r="Q436" i="7" s="1"/>
  <c r="P436" i="7"/>
  <c r="N436" i="7" a="1"/>
  <c r="N436" i="7" s="1"/>
  <c r="O436" i="7" s="1"/>
  <c r="M436" i="7" a="1"/>
  <c r="M436" i="7" s="1"/>
  <c r="L436" i="7"/>
  <c r="K436" i="7" a="1"/>
  <c r="K436" i="7" s="1"/>
  <c r="F436" i="7"/>
  <c r="T435" i="7"/>
  <c r="S435" i="7"/>
  <c r="R435" i="7"/>
  <c r="Q435" i="7" a="1"/>
  <c r="Q435" i="7" s="1"/>
  <c r="P435" i="7"/>
  <c r="N435" i="7" a="1"/>
  <c r="N435" i="7" s="1"/>
  <c r="O435" i="7" s="1"/>
  <c r="M435" i="7" a="1"/>
  <c r="M435" i="7" s="1"/>
  <c r="L435" i="7"/>
  <c r="K435" i="7" a="1"/>
  <c r="K435" i="7" s="1"/>
  <c r="F435" i="7"/>
  <c r="T434" i="7"/>
  <c r="S434" i="7"/>
  <c r="R434" i="7"/>
  <c r="Q434" i="7" a="1"/>
  <c r="Q434" i="7" s="1"/>
  <c r="P434" i="7"/>
  <c r="N434" i="7" a="1"/>
  <c r="N434" i="7" s="1"/>
  <c r="O434" i="7" s="1"/>
  <c r="M434" i="7" a="1"/>
  <c r="M434" i="7" s="1"/>
  <c r="L434" i="7"/>
  <c r="K434" i="7" a="1"/>
  <c r="K434" i="7" s="1"/>
  <c r="F434" i="7"/>
  <c r="T433" i="7"/>
  <c r="S433" i="7"/>
  <c r="R433" i="7"/>
  <c r="Q433" i="7" a="1"/>
  <c r="Q433" i="7" s="1"/>
  <c r="P433" i="7"/>
  <c r="N433" i="7" a="1"/>
  <c r="N433" i="7" s="1"/>
  <c r="O433" i="7" s="1"/>
  <c r="M433" i="7" a="1"/>
  <c r="M433" i="7" s="1"/>
  <c r="L433" i="7"/>
  <c r="K433" i="7" a="1"/>
  <c r="K433" i="7" s="1"/>
  <c r="F433" i="7"/>
  <c r="T432" i="7"/>
  <c r="S432" i="7"/>
  <c r="R432" i="7"/>
  <c r="Q432" i="7" a="1"/>
  <c r="Q432" i="7" s="1"/>
  <c r="P432" i="7"/>
  <c r="N432" i="7" a="1"/>
  <c r="N432" i="7" s="1"/>
  <c r="O432" i="7" s="1"/>
  <c r="M432" i="7" a="1"/>
  <c r="M432" i="7" s="1"/>
  <c r="L432" i="7"/>
  <c r="K432" i="7" a="1"/>
  <c r="K432" i="7" s="1"/>
  <c r="F432" i="7"/>
  <c r="T431" i="7"/>
  <c r="S431" i="7"/>
  <c r="R431" i="7"/>
  <c r="Q431" i="7" a="1"/>
  <c r="Q431" i="7" s="1"/>
  <c r="P431" i="7"/>
  <c r="N431" i="7" a="1"/>
  <c r="N431" i="7" s="1"/>
  <c r="O431" i="7" s="1"/>
  <c r="M431" i="7" a="1"/>
  <c r="M431" i="7" s="1"/>
  <c r="L431" i="7"/>
  <c r="K431" i="7" a="1"/>
  <c r="K431" i="7" s="1"/>
  <c r="F431" i="7"/>
  <c r="T430" i="7"/>
  <c r="S430" i="7"/>
  <c r="R430" i="7"/>
  <c r="Q430" i="7" a="1"/>
  <c r="Q430" i="7" s="1"/>
  <c r="P430" i="7"/>
  <c r="N430" i="7" a="1"/>
  <c r="N430" i="7" s="1"/>
  <c r="O430" i="7" s="1"/>
  <c r="M430" i="7" a="1"/>
  <c r="M430" i="7" s="1"/>
  <c r="L430" i="7"/>
  <c r="K430" i="7" a="1"/>
  <c r="K430" i="7" s="1"/>
  <c r="F430" i="7"/>
  <c r="T429" i="7"/>
  <c r="S429" i="7"/>
  <c r="R429" i="7"/>
  <c r="Q429" i="7" a="1"/>
  <c r="Q429" i="7" s="1"/>
  <c r="P429" i="7"/>
  <c r="N429" i="7" a="1"/>
  <c r="N429" i="7" s="1"/>
  <c r="O429" i="7" s="1"/>
  <c r="M429" i="7" a="1"/>
  <c r="M429" i="7" s="1"/>
  <c r="L429" i="7"/>
  <c r="K429" i="7" a="1"/>
  <c r="K429" i="7" s="1"/>
  <c r="F429" i="7"/>
  <c r="T428" i="7"/>
  <c r="S428" i="7"/>
  <c r="R428" i="7"/>
  <c r="Q428" i="7" a="1"/>
  <c r="Q428" i="7" s="1"/>
  <c r="P428" i="7"/>
  <c r="N428" i="7" a="1"/>
  <c r="N428" i="7" s="1"/>
  <c r="O428" i="7" s="1"/>
  <c r="M428" i="7" a="1"/>
  <c r="M428" i="7" s="1"/>
  <c r="L428" i="7"/>
  <c r="K428" i="7" a="1"/>
  <c r="K428" i="7" s="1"/>
  <c r="F428" i="7"/>
  <c r="T427" i="7"/>
  <c r="S427" i="7"/>
  <c r="R427" i="7"/>
  <c r="Q427" i="7" a="1"/>
  <c r="Q427" i="7" s="1"/>
  <c r="P427" i="7"/>
  <c r="N427" i="7" a="1"/>
  <c r="N427" i="7" s="1"/>
  <c r="O427" i="7" s="1"/>
  <c r="M427" i="7" a="1"/>
  <c r="M427" i="7" s="1"/>
  <c r="L427" i="7"/>
  <c r="K427" i="7" a="1"/>
  <c r="K427" i="7" s="1"/>
  <c r="F427" i="7"/>
  <c r="T426" i="7"/>
  <c r="S426" i="7"/>
  <c r="R426" i="7"/>
  <c r="Q426" i="7" a="1"/>
  <c r="Q426" i="7" s="1"/>
  <c r="P426" i="7"/>
  <c r="N426" i="7" a="1"/>
  <c r="N426" i="7" s="1"/>
  <c r="O426" i="7" s="1"/>
  <c r="M426" i="7" a="1"/>
  <c r="M426" i="7" s="1"/>
  <c r="L426" i="7"/>
  <c r="K426" i="7" a="1"/>
  <c r="K426" i="7" s="1"/>
  <c r="F426" i="7"/>
  <c r="T425" i="7"/>
  <c r="S425" i="7"/>
  <c r="R425" i="7"/>
  <c r="Q425" i="7" a="1"/>
  <c r="Q425" i="7" s="1"/>
  <c r="P425" i="7"/>
  <c r="N425" i="7" a="1"/>
  <c r="N425" i="7" s="1"/>
  <c r="O425" i="7" s="1"/>
  <c r="M425" i="7" a="1"/>
  <c r="M425" i="7" s="1"/>
  <c r="L425" i="7"/>
  <c r="K425" i="7" a="1"/>
  <c r="K425" i="7" s="1"/>
  <c r="F425" i="7"/>
  <c r="T424" i="7"/>
  <c r="S424" i="7"/>
  <c r="R424" i="7"/>
  <c r="Q424" i="7" a="1"/>
  <c r="Q424" i="7" s="1"/>
  <c r="P424" i="7"/>
  <c r="N424" i="7" a="1"/>
  <c r="N424" i="7" s="1"/>
  <c r="O424" i="7" s="1"/>
  <c r="M424" i="7" a="1"/>
  <c r="M424" i="7" s="1"/>
  <c r="L424" i="7"/>
  <c r="K424" i="7" a="1"/>
  <c r="K424" i="7" s="1"/>
  <c r="F424" i="7"/>
  <c r="T423" i="7"/>
  <c r="S423" i="7"/>
  <c r="R423" i="7"/>
  <c r="Q423" i="7" a="1"/>
  <c r="Q423" i="7" s="1"/>
  <c r="P423" i="7"/>
  <c r="N423" i="7" a="1"/>
  <c r="N423" i="7" s="1"/>
  <c r="O423" i="7" s="1"/>
  <c r="M423" i="7" a="1"/>
  <c r="M423" i="7" s="1"/>
  <c r="L423" i="7"/>
  <c r="K423" i="7" a="1"/>
  <c r="K423" i="7" s="1"/>
  <c r="F423" i="7"/>
  <c r="T422" i="7"/>
  <c r="S422" i="7"/>
  <c r="R422" i="7"/>
  <c r="Q422" i="7" a="1"/>
  <c r="Q422" i="7" s="1"/>
  <c r="P422" i="7"/>
  <c r="N422" i="7" a="1"/>
  <c r="N422" i="7" s="1"/>
  <c r="O422" i="7" s="1"/>
  <c r="M422" i="7" a="1"/>
  <c r="M422" i="7" s="1"/>
  <c r="L422" i="7"/>
  <c r="K422" i="7" a="1"/>
  <c r="K422" i="7" s="1"/>
  <c r="F422" i="7"/>
  <c r="T421" i="7"/>
  <c r="S421" i="7"/>
  <c r="R421" i="7"/>
  <c r="Q421" i="7" a="1"/>
  <c r="Q421" i="7" s="1"/>
  <c r="P421" i="7"/>
  <c r="N421" i="7" a="1"/>
  <c r="N421" i="7" s="1"/>
  <c r="O421" i="7" s="1"/>
  <c r="M421" i="7" a="1"/>
  <c r="M421" i="7" s="1"/>
  <c r="L421" i="7"/>
  <c r="K421" i="7" a="1"/>
  <c r="K421" i="7" s="1"/>
  <c r="F421" i="7"/>
  <c r="T420" i="7"/>
  <c r="S420" i="7"/>
  <c r="R420" i="7"/>
  <c r="Q420" i="7" a="1"/>
  <c r="Q420" i="7" s="1"/>
  <c r="P420" i="7"/>
  <c r="N420" i="7" a="1"/>
  <c r="N420" i="7" s="1"/>
  <c r="O420" i="7" s="1"/>
  <c r="M420" i="7" a="1"/>
  <c r="M420" i="7" s="1"/>
  <c r="L420" i="7"/>
  <c r="K420" i="7" a="1"/>
  <c r="K420" i="7" s="1"/>
  <c r="F420" i="7"/>
  <c r="T419" i="7"/>
  <c r="S419" i="7"/>
  <c r="R419" i="7"/>
  <c r="Q419" i="7" a="1"/>
  <c r="Q419" i="7" s="1"/>
  <c r="P419" i="7"/>
  <c r="N419" i="7" a="1"/>
  <c r="N419" i="7" s="1"/>
  <c r="O419" i="7" s="1"/>
  <c r="M419" i="7" a="1"/>
  <c r="M419" i="7" s="1"/>
  <c r="L419" i="7"/>
  <c r="K419" i="7" a="1"/>
  <c r="K419" i="7" s="1"/>
  <c r="F419" i="7"/>
  <c r="T418" i="7"/>
  <c r="S418" i="7"/>
  <c r="R418" i="7"/>
  <c r="Q418" i="7" a="1"/>
  <c r="Q418" i="7" s="1"/>
  <c r="P418" i="7"/>
  <c r="N418" i="7" a="1"/>
  <c r="N418" i="7" s="1"/>
  <c r="O418" i="7" s="1"/>
  <c r="M418" i="7" a="1"/>
  <c r="M418" i="7" s="1"/>
  <c r="L418" i="7"/>
  <c r="K418" i="7" a="1"/>
  <c r="K418" i="7" s="1"/>
  <c r="F418" i="7"/>
  <c r="T417" i="7"/>
  <c r="S417" i="7"/>
  <c r="R417" i="7"/>
  <c r="Q417" i="7" a="1"/>
  <c r="Q417" i="7" s="1"/>
  <c r="P417" i="7"/>
  <c r="N417" i="7" a="1"/>
  <c r="N417" i="7" s="1"/>
  <c r="O417" i="7" s="1"/>
  <c r="M417" i="7" a="1"/>
  <c r="M417" i="7" s="1"/>
  <c r="L417" i="7"/>
  <c r="K417" i="7" a="1"/>
  <c r="K417" i="7" s="1"/>
  <c r="F417" i="7"/>
  <c r="T416" i="7"/>
  <c r="S416" i="7"/>
  <c r="R416" i="7"/>
  <c r="Q416" i="7" a="1"/>
  <c r="Q416" i="7" s="1"/>
  <c r="P416" i="7"/>
  <c r="N416" i="7" a="1"/>
  <c r="N416" i="7" s="1"/>
  <c r="O416" i="7" s="1"/>
  <c r="M416" i="7" a="1"/>
  <c r="M416" i="7" s="1"/>
  <c r="L416" i="7"/>
  <c r="K416" i="7" a="1"/>
  <c r="K416" i="7" s="1"/>
  <c r="F416" i="7"/>
  <c r="T415" i="7"/>
  <c r="S415" i="7"/>
  <c r="R415" i="7"/>
  <c r="Q415" i="7" a="1"/>
  <c r="Q415" i="7" s="1"/>
  <c r="P415" i="7"/>
  <c r="N415" i="7" a="1"/>
  <c r="N415" i="7" s="1"/>
  <c r="O415" i="7" s="1"/>
  <c r="M415" i="7" a="1"/>
  <c r="M415" i="7" s="1"/>
  <c r="L415" i="7"/>
  <c r="K415" i="7" a="1"/>
  <c r="K415" i="7" s="1"/>
  <c r="F415" i="7"/>
  <c r="T414" i="7"/>
  <c r="S414" i="7"/>
  <c r="R414" i="7"/>
  <c r="Q414" i="7" a="1"/>
  <c r="Q414" i="7" s="1"/>
  <c r="P414" i="7"/>
  <c r="N414" i="7" a="1"/>
  <c r="N414" i="7" s="1"/>
  <c r="O414" i="7" s="1"/>
  <c r="M414" i="7" a="1"/>
  <c r="M414" i="7" s="1"/>
  <c r="L414" i="7"/>
  <c r="K414" i="7" a="1"/>
  <c r="K414" i="7" s="1"/>
  <c r="F414" i="7"/>
  <c r="T413" i="7"/>
  <c r="S413" i="7"/>
  <c r="R413" i="7"/>
  <c r="Q413" i="7" a="1"/>
  <c r="Q413" i="7" s="1"/>
  <c r="P413" i="7"/>
  <c r="N413" i="7" a="1"/>
  <c r="N413" i="7" s="1"/>
  <c r="O413" i="7" s="1"/>
  <c r="M413" i="7" a="1"/>
  <c r="M413" i="7" s="1"/>
  <c r="L413" i="7"/>
  <c r="K413" i="7" a="1"/>
  <c r="K413" i="7" s="1"/>
  <c r="F413" i="7"/>
  <c r="T412" i="7"/>
  <c r="S412" i="7"/>
  <c r="R412" i="7"/>
  <c r="Q412" i="7" a="1"/>
  <c r="Q412" i="7" s="1"/>
  <c r="P412" i="7"/>
  <c r="N412" i="7" a="1"/>
  <c r="N412" i="7" s="1"/>
  <c r="O412" i="7" s="1"/>
  <c r="M412" i="7" a="1"/>
  <c r="M412" i="7" s="1"/>
  <c r="L412" i="7"/>
  <c r="K412" i="7" a="1"/>
  <c r="K412" i="7" s="1"/>
  <c r="F412" i="7"/>
  <c r="T411" i="7"/>
  <c r="S411" i="7"/>
  <c r="R411" i="7"/>
  <c r="Q411" i="7" a="1"/>
  <c r="Q411" i="7" s="1"/>
  <c r="P411" i="7"/>
  <c r="N411" i="7" a="1"/>
  <c r="N411" i="7" s="1"/>
  <c r="O411" i="7" s="1"/>
  <c r="M411" i="7" a="1"/>
  <c r="M411" i="7" s="1"/>
  <c r="L411" i="7"/>
  <c r="K411" i="7" a="1"/>
  <c r="K411" i="7" s="1"/>
  <c r="F411" i="7"/>
  <c r="T410" i="7"/>
  <c r="S410" i="7"/>
  <c r="R410" i="7"/>
  <c r="Q410" i="7" a="1"/>
  <c r="Q410" i="7" s="1"/>
  <c r="P410" i="7"/>
  <c r="N410" i="7" a="1"/>
  <c r="N410" i="7" s="1"/>
  <c r="O410" i="7" s="1"/>
  <c r="M410" i="7" a="1"/>
  <c r="M410" i="7" s="1"/>
  <c r="L410" i="7"/>
  <c r="K410" i="7" a="1"/>
  <c r="K410" i="7" s="1"/>
  <c r="F410" i="7"/>
  <c r="T409" i="7"/>
  <c r="S409" i="7"/>
  <c r="R409" i="7"/>
  <c r="Q409" i="7" a="1"/>
  <c r="Q409" i="7" s="1"/>
  <c r="P409" i="7"/>
  <c r="N409" i="7" a="1"/>
  <c r="N409" i="7" s="1"/>
  <c r="O409" i="7" s="1"/>
  <c r="M409" i="7" a="1"/>
  <c r="M409" i="7" s="1"/>
  <c r="L409" i="7"/>
  <c r="K409" i="7" a="1"/>
  <c r="K409" i="7" s="1"/>
  <c r="F409" i="7"/>
  <c r="T408" i="7"/>
  <c r="S408" i="7"/>
  <c r="R408" i="7"/>
  <c r="Q408" i="7" a="1"/>
  <c r="Q408" i="7" s="1"/>
  <c r="P408" i="7"/>
  <c r="N408" i="7" a="1"/>
  <c r="N408" i="7" s="1"/>
  <c r="O408" i="7" s="1"/>
  <c r="M408" i="7" a="1"/>
  <c r="M408" i="7" s="1"/>
  <c r="L408" i="7"/>
  <c r="K408" i="7" a="1"/>
  <c r="K408" i="7" s="1"/>
  <c r="F408" i="7"/>
  <c r="T407" i="7"/>
  <c r="S407" i="7"/>
  <c r="R407" i="7"/>
  <c r="Q407" i="7" a="1"/>
  <c r="Q407" i="7" s="1"/>
  <c r="P407" i="7"/>
  <c r="N407" i="7" a="1"/>
  <c r="N407" i="7" s="1"/>
  <c r="O407" i="7" s="1"/>
  <c r="M407" i="7" a="1"/>
  <c r="M407" i="7" s="1"/>
  <c r="L407" i="7"/>
  <c r="K407" i="7" a="1"/>
  <c r="K407" i="7" s="1"/>
  <c r="F407" i="7"/>
  <c r="T406" i="7"/>
  <c r="S406" i="7"/>
  <c r="R406" i="7"/>
  <c r="Q406" i="7" a="1"/>
  <c r="Q406" i="7" s="1"/>
  <c r="P406" i="7"/>
  <c r="N406" i="7" a="1"/>
  <c r="N406" i="7" s="1"/>
  <c r="O406" i="7" s="1"/>
  <c r="M406" i="7" a="1"/>
  <c r="M406" i="7" s="1"/>
  <c r="L406" i="7"/>
  <c r="K406" i="7" a="1"/>
  <c r="K406" i="7" s="1"/>
  <c r="F406" i="7"/>
  <c r="T405" i="7"/>
  <c r="S405" i="7"/>
  <c r="R405" i="7"/>
  <c r="Q405" i="7" a="1"/>
  <c r="Q405" i="7" s="1"/>
  <c r="P405" i="7"/>
  <c r="N405" i="7" a="1"/>
  <c r="N405" i="7" s="1"/>
  <c r="O405" i="7" s="1"/>
  <c r="M405" i="7" a="1"/>
  <c r="M405" i="7" s="1"/>
  <c r="L405" i="7"/>
  <c r="K405" i="7" a="1"/>
  <c r="K405" i="7" s="1"/>
  <c r="F405" i="7"/>
  <c r="T404" i="7"/>
  <c r="S404" i="7"/>
  <c r="R404" i="7"/>
  <c r="Q404" i="7" a="1"/>
  <c r="Q404" i="7" s="1"/>
  <c r="P404" i="7"/>
  <c r="N404" i="7" a="1"/>
  <c r="N404" i="7" s="1"/>
  <c r="O404" i="7" s="1"/>
  <c r="M404" i="7" a="1"/>
  <c r="M404" i="7" s="1"/>
  <c r="L404" i="7"/>
  <c r="K404" i="7" a="1"/>
  <c r="K404" i="7" s="1"/>
  <c r="F404" i="7"/>
  <c r="T403" i="7"/>
  <c r="S403" i="7"/>
  <c r="R403" i="7"/>
  <c r="Q403" i="7" a="1"/>
  <c r="Q403" i="7" s="1"/>
  <c r="P403" i="7"/>
  <c r="N403" i="7" a="1"/>
  <c r="N403" i="7" s="1"/>
  <c r="O403" i="7" s="1"/>
  <c r="M403" i="7" a="1"/>
  <c r="M403" i="7" s="1"/>
  <c r="L403" i="7"/>
  <c r="K403" i="7" a="1"/>
  <c r="K403" i="7" s="1"/>
  <c r="F403" i="7"/>
  <c r="T402" i="7"/>
  <c r="S402" i="7"/>
  <c r="R402" i="7"/>
  <c r="Q402" i="7" a="1"/>
  <c r="Q402" i="7" s="1"/>
  <c r="P402" i="7"/>
  <c r="N402" i="7" a="1"/>
  <c r="N402" i="7" s="1"/>
  <c r="O402" i="7" s="1"/>
  <c r="M402" i="7" a="1"/>
  <c r="M402" i="7" s="1"/>
  <c r="L402" i="7"/>
  <c r="K402" i="7" a="1"/>
  <c r="K402" i="7" s="1"/>
  <c r="F402" i="7"/>
  <c r="T401" i="7"/>
  <c r="S401" i="7"/>
  <c r="R401" i="7"/>
  <c r="Q401" i="7" a="1"/>
  <c r="Q401" i="7" s="1"/>
  <c r="P401" i="7"/>
  <c r="N401" i="7" a="1"/>
  <c r="N401" i="7" s="1"/>
  <c r="O401" i="7" s="1"/>
  <c r="M401" i="7" a="1"/>
  <c r="M401" i="7" s="1"/>
  <c r="L401" i="7"/>
  <c r="K401" i="7" a="1"/>
  <c r="K401" i="7" s="1"/>
  <c r="F401" i="7"/>
  <c r="T400" i="7"/>
  <c r="S400" i="7"/>
  <c r="R400" i="7"/>
  <c r="Q400" i="7" a="1"/>
  <c r="Q400" i="7" s="1"/>
  <c r="P400" i="7"/>
  <c r="N400" i="7" a="1"/>
  <c r="N400" i="7" s="1"/>
  <c r="O400" i="7" s="1"/>
  <c r="M400" i="7" a="1"/>
  <c r="M400" i="7" s="1"/>
  <c r="L400" i="7"/>
  <c r="K400" i="7" a="1"/>
  <c r="K400" i="7" s="1"/>
  <c r="F400" i="7"/>
  <c r="T399" i="7"/>
  <c r="S399" i="7"/>
  <c r="R399" i="7"/>
  <c r="Q399" i="7" a="1"/>
  <c r="Q399" i="7" s="1"/>
  <c r="P399" i="7"/>
  <c r="N399" i="7" a="1"/>
  <c r="N399" i="7" s="1"/>
  <c r="O399" i="7" s="1"/>
  <c r="M399" i="7" a="1"/>
  <c r="M399" i="7" s="1"/>
  <c r="L399" i="7"/>
  <c r="K399" i="7" a="1"/>
  <c r="K399" i="7" s="1"/>
  <c r="F399" i="7"/>
  <c r="T398" i="7"/>
  <c r="S398" i="7"/>
  <c r="R398" i="7"/>
  <c r="Q398" i="7" a="1"/>
  <c r="Q398" i="7" s="1"/>
  <c r="P398" i="7"/>
  <c r="N398" i="7" a="1"/>
  <c r="N398" i="7" s="1"/>
  <c r="O398" i="7" s="1"/>
  <c r="M398" i="7" a="1"/>
  <c r="M398" i="7" s="1"/>
  <c r="L398" i="7"/>
  <c r="K398" i="7" a="1"/>
  <c r="K398" i="7" s="1"/>
  <c r="F398" i="7"/>
  <c r="T397" i="7"/>
  <c r="S397" i="7"/>
  <c r="R397" i="7"/>
  <c r="Q397" i="7" a="1"/>
  <c r="Q397" i="7" s="1"/>
  <c r="P397" i="7"/>
  <c r="N397" i="7" a="1"/>
  <c r="N397" i="7" s="1"/>
  <c r="O397" i="7" s="1"/>
  <c r="M397" i="7" a="1"/>
  <c r="M397" i="7" s="1"/>
  <c r="L397" i="7"/>
  <c r="K397" i="7" a="1"/>
  <c r="K397" i="7" s="1"/>
  <c r="F397" i="7"/>
  <c r="T396" i="7"/>
  <c r="S396" i="7"/>
  <c r="R396" i="7"/>
  <c r="Q396" i="7" a="1"/>
  <c r="Q396" i="7" s="1"/>
  <c r="P396" i="7"/>
  <c r="N396" i="7" a="1"/>
  <c r="N396" i="7" s="1"/>
  <c r="O396" i="7" s="1"/>
  <c r="M396" i="7" a="1"/>
  <c r="M396" i="7" s="1"/>
  <c r="L396" i="7"/>
  <c r="K396" i="7" a="1"/>
  <c r="K396" i="7" s="1"/>
  <c r="F396" i="7"/>
  <c r="T395" i="7"/>
  <c r="S395" i="7"/>
  <c r="R395" i="7"/>
  <c r="Q395" i="7" a="1"/>
  <c r="Q395" i="7" s="1"/>
  <c r="P395" i="7"/>
  <c r="N395" i="7" a="1"/>
  <c r="N395" i="7" s="1"/>
  <c r="O395" i="7" s="1"/>
  <c r="M395" i="7" a="1"/>
  <c r="M395" i="7" s="1"/>
  <c r="L395" i="7"/>
  <c r="K395" i="7" a="1"/>
  <c r="K395" i="7" s="1"/>
  <c r="F395" i="7"/>
  <c r="T394" i="7"/>
  <c r="S394" i="7"/>
  <c r="R394" i="7"/>
  <c r="Q394" i="7" a="1"/>
  <c r="Q394" i="7" s="1"/>
  <c r="P394" i="7"/>
  <c r="N394" i="7" a="1"/>
  <c r="N394" i="7" s="1"/>
  <c r="O394" i="7" s="1"/>
  <c r="M394" i="7" a="1"/>
  <c r="M394" i="7" s="1"/>
  <c r="L394" i="7"/>
  <c r="K394" i="7" a="1"/>
  <c r="K394" i="7" s="1"/>
  <c r="F394" i="7"/>
  <c r="T393" i="7"/>
  <c r="S393" i="7"/>
  <c r="R393" i="7"/>
  <c r="Q393" i="7" a="1"/>
  <c r="Q393" i="7" s="1"/>
  <c r="P393" i="7"/>
  <c r="N393" i="7" a="1"/>
  <c r="N393" i="7" s="1"/>
  <c r="O393" i="7" s="1"/>
  <c r="M393" i="7" a="1"/>
  <c r="M393" i="7" s="1"/>
  <c r="L393" i="7"/>
  <c r="K393" i="7" a="1"/>
  <c r="K393" i="7" s="1"/>
  <c r="F393" i="7"/>
  <c r="T392" i="7"/>
  <c r="S392" i="7"/>
  <c r="R392" i="7"/>
  <c r="Q392" i="7" a="1"/>
  <c r="Q392" i="7" s="1"/>
  <c r="P392" i="7"/>
  <c r="N392" i="7" a="1"/>
  <c r="N392" i="7" s="1"/>
  <c r="O392" i="7" s="1"/>
  <c r="M392" i="7" a="1"/>
  <c r="M392" i="7" s="1"/>
  <c r="L392" i="7"/>
  <c r="K392" i="7" a="1"/>
  <c r="K392" i="7" s="1"/>
  <c r="F392" i="7"/>
  <c r="T391" i="7"/>
  <c r="S391" i="7"/>
  <c r="R391" i="7"/>
  <c r="Q391" i="7" a="1"/>
  <c r="Q391" i="7" s="1"/>
  <c r="P391" i="7"/>
  <c r="N391" i="7" a="1"/>
  <c r="N391" i="7" s="1"/>
  <c r="O391" i="7" s="1"/>
  <c r="M391" i="7" a="1"/>
  <c r="M391" i="7" s="1"/>
  <c r="L391" i="7"/>
  <c r="K391" i="7" a="1"/>
  <c r="K391" i="7" s="1"/>
  <c r="F391" i="7"/>
  <c r="T390" i="7"/>
  <c r="S390" i="7"/>
  <c r="R390" i="7"/>
  <c r="Q390" i="7" a="1"/>
  <c r="Q390" i="7" s="1"/>
  <c r="P390" i="7"/>
  <c r="N390" i="7" a="1"/>
  <c r="N390" i="7" s="1"/>
  <c r="O390" i="7" s="1"/>
  <c r="M390" i="7" a="1"/>
  <c r="M390" i="7" s="1"/>
  <c r="L390" i="7"/>
  <c r="K390" i="7" a="1"/>
  <c r="K390" i="7" s="1"/>
  <c r="F390" i="7"/>
  <c r="T389" i="7"/>
  <c r="S389" i="7"/>
  <c r="R389" i="7"/>
  <c r="Q389" i="7" a="1"/>
  <c r="Q389" i="7" s="1"/>
  <c r="P389" i="7"/>
  <c r="N389" i="7" a="1"/>
  <c r="N389" i="7" s="1"/>
  <c r="O389" i="7" s="1"/>
  <c r="M389" i="7" a="1"/>
  <c r="M389" i="7" s="1"/>
  <c r="L389" i="7"/>
  <c r="K389" i="7" a="1"/>
  <c r="K389" i="7" s="1"/>
  <c r="F389" i="7"/>
  <c r="T388" i="7"/>
  <c r="S388" i="7"/>
  <c r="R388" i="7"/>
  <c r="Q388" i="7" a="1"/>
  <c r="Q388" i="7" s="1"/>
  <c r="P388" i="7"/>
  <c r="N388" i="7" a="1"/>
  <c r="N388" i="7" s="1"/>
  <c r="O388" i="7" s="1"/>
  <c r="M388" i="7" a="1"/>
  <c r="M388" i="7" s="1"/>
  <c r="L388" i="7"/>
  <c r="K388" i="7" a="1"/>
  <c r="K388" i="7" s="1"/>
  <c r="F388" i="7"/>
  <c r="T387" i="7"/>
  <c r="S387" i="7"/>
  <c r="R387" i="7"/>
  <c r="Q387" i="7" a="1"/>
  <c r="Q387" i="7" s="1"/>
  <c r="P387" i="7"/>
  <c r="N387" i="7" a="1"/>
  <c r="N387" i="7" s="1"/>
  <c r="O387" i="7" s="1"/>
  <c r="M387" i="7" a="1"/>
  <c r="M387" i="7" s="1"/>
  <c r="L387" i="7"/>
  <c r="K387" i="7" a="1"/>
  <c r="K387" i="7" s="1"/>
  <c r="F387" i="7"/>
  <c r="T386" i="7"/>
  <c r="S386" i="7"/>
  <c r="R386" i="7"/>
  <c r="Q386" i="7" a="1"/>
  <c r="Q386" i="7" s="1"/>
  <c r="P386" i="7"/>
  <c r="N386" i="7" a="1"/>
  <c r="N386" i="7" s="1"/>
  <c r="O386" i="7" s="1"/>
  <c r="M386" i="7" a="1"/>
  <c r="M386" i="7" s="1"/>
  <c r="L386" i="7"/>
  <c r="K386" i="7" a="1"/>
  <c r="K386" i="7" s="1"/>
  <c r="F386" i="7"/>
  <c r="T385" i="7"/>
  <c r="S385" i="7"/>
  <c r="R385" i="7"/>
  <c r="Q385" i="7" a="1"/>
  <c r="Q385" i="7" s="1"/>
  <c r="P385" i="7"/>
  <c r="N385" i="7" a="1"/>
  <c r="N385" i="7" s="1"/>
  <c r="O385" i="7" s="1"/>
  <c r="M385" i="7" a="1"/>
  <c r="M385" i="7" s="1"/>
  <c r="L385" i="7"/>
  <c r="K385" i="7" a="1"/>
  <c r="K385" i="7" s="1"/>
  <c r="F385" i="7"/>
  <c r="T384" i="7"/>
  <c r="S384" i="7"/>
  <c r="R384" i="7"/>
  <c r="Q384" i="7" a="1"/>
  <c r="Q384" i="7" s="1"/>
  <c r="P384" i="7"/>
  <c r="N384" i="7" a="1"/>
  <c r="N384" i="7" s="1"/>
  <c r="O384" i="7" s="1"/>
  <c r="M384" i="7" a="1"/>
  <c r="M384" i="7" s="1"/>
  <c r="L384" i="7"/>
  <c r="K384" i="7" a="1"/>
  <c r="K384" i="7" s="1"/>
  <c r="F384" i="7"/>
  <c r="T383" i="7"/>
  <c r="S383" i="7"/>
  <c r="R383" i="7"/>
  <c r="Q383" i="7" a="1"/>
  <c r="Q383" i="7" s="1"/>
  <c r="P383" i="7"/>
  <c r="N383" i="7" a="1"/>
  <c r="N383" i="7" s="1"/>
  <c r="O383" i="7" s="1"/>
  <c r="M383" i="7" a="1"/>
  <c r="M383" i="7" s="1"/>
  <c r="L383" i="7"/>
  <c r="K383" i="7" a="1"/>
  <c r="K383" i="7" s="1"/>
  <c r="F383" i="7"/>
  <c r="T382" i="7"/>
  <c r="S382" i="7"/>
  <c r="R382" i="7"/>
  <c r="Q382" i="7" a="1"/>
  <c r="Q382" i="7" s="1"/>
  <c r="P382" i="7"/>
  <c r="N382" i="7" a="1"/>
  <c r="N382" i="7" s="1"/>
  <c r="O382" i="7" s="1"/>
  <c r="M382" i="7" a="1"/>
  <c r="M382" i="7" s="1"/>
  <c r="L382" i="7"/>
  <c r="K382" i="7" a="1"/>
  <c r="K382" i="7" s="1"/>
  <c r="F382" i="7"/>
  <c r="T381" i="7"/>
  <c r="S381" i="7"/>
  <c r="R381" i="7"/>
  <c r="Q381" i="7" a="1"/>
  <c r="Q381" i="7" s="1"/>
  <c r="P381" i="7"/>
  <c r="N381" i="7" a="1"/>
  <c r="N381" i="7" s="1"/>
  <c r="O381" i="7" s="1"/>
  <c r="M381" i="7" a="1"/>
  <c r="M381" i="7" s="1"/>
  <c r="L381" i="7"/>
  <c r="K381" i="7" a="1"/>
  <c r="K381" i="7" s="1"/>
  <c r="F381" i="7"/>
  <c r="T380" i="7"/>
  <c r="S380" i="7"/>
  <c r="R380" i="7"/>
  <c r="Q380" i="7" a="1"/>
  <c r="Q380" i="7" s="1"/>
  <c r="P380" i="7"/>
  <c r="N380" i="7" a="1"/>
  <c r="N380" i="7" s="1"/>
  <c r="O380" i="7" s="1"/>
  <c r="M380" i="7" a="1"/>
  <c r="M380" i="7" s="1"/>
  <c r="L380" i="7"/>
  <c r="K380" i="7" a="1"/>
  <c r="K380" i="7" s="1"/>
  <c r="F380" i="7"/>
  <c r="T379" i="7"/>
  <c r="S379" i="7"/>
  <c r="R379" i="7"/>
  <c r="Q379" i="7" a="1"/>
  <c r="Q379" i="7" s="1"/>
  <c r="P379" i="7"/>
  <c r="N379" i="7" a="1"/>
  <c r="N379" i="7" s="1"/>
  <c r="O379" i="7" s="1"/>
  <c r="M379" i="7" a="1"/>
  <c r="M379" i="7" s="1"/>
  <c r="L379" i="7"/>
  <c r="K379" i="7" a="1"/>
  <c r="K379" i="7" s="1"/>
  <c r="F379" i="7"/>
  <c r="T378" i="7"/>
  <c r="S378" i="7"/>
  <c r="R378" i="7"/>
  <c r="Q378" i="7" a="1"/>
  <c r="Q378" i="7" s="1"/>
  <c r="P378" i="7"/>
  <c r="N378" i="7" a="1"/>
  <c r="N378" i="7" s="1"/>
  <c r="O378" i="7" s="1"/>
  <c r="M378" i="7" a="1"/>
  <c r="M378" i="7" s="1"/>
  <c r="L378" i="7"/>
  <c r="K378" i="7" a="1"/>
  <c r="K378" i="7" s="1"/>
  <c r="F378" i="7"/>
  <c r="T377" i="7"/>
  <c r="S377" i="7"/>
  <c r="R377" i="7"/>
  <c r="Q377" i="7" a="1"/>
  <c r="Q377" i="7" s="1"/>
  <c r="P377" i="7"/>
  <c r="N377" i="7" a="1"/>
  <c r="N377" i="7" s="1"/>
  <c r="O377" i="7" s="1"/>
  <c r="M377" i="7" a="1"/>
  <c r="M377" i="7" s="1"/>
  <c r="L377" i="7"/>
  <c r="K377" i="7" a="1"/>
  <c r="K377" i="7" s="1"/>
  <c r="F377" i="7"/>
  <c r="T376" i="7"/>
  <c r="S376" i="7"/>
  <c r="R376" i="7"/>
  <c r="Q376" i="7" a="1"/>
  <c r="Q376" i="7" s="1"/>
  <c r="P376" i="7"/>
  <c r="N376" i="7" a="1"/>
  <c r="N376" i="7" s="1"/>
  <c r="O376" i="7" s="1"/>
  <c r="M376" i="7" a="1"/>
  <c r="M376" i="7" s="1"/>
  <c r="L376" i="7"/>
  <c r="K376" i="7" a="1"/>
  <c r="K376" i="7" s="1"/>
  <c r="F376" i="7"/>
  <c r="T375" i="7"/>
  <c r="S375" i="7"/>
  <c r="R375" i="7"/>
  <c r="Q375" i="7" a="1"/>
  <c r="Q375" i="7" s="1"/>
  <c r="P375" i="7"/>
  <c r="N375" i="7" a="1"/>
  <c r="N375" i="7" s="1"/>
  <c r="O375" i="7" s="1"/>
  <c r="M375" i="7" a="1"/>
  <c r="M375" i="7" s="1"/>
  <c r="L375" i="7"/>
  <c r="K375" i="7" a="1"/>
  <c r="K375" i="7" s="1"/>
  <c r="F375" i="7"/>
  <c r="T374" i="7"/>
  <c r="S374" i="7"/>
  <c r="R374" i="7"/>
  <c r="Q374" i="7" a="1"/>
  <c r="Q374" i="7" s="1"/>
  <c r="P374" i="7"/>
  <c r="N374" i="7" a="1"/>
  <c r="N374" i="7" s="1"/>
  <c r="O374" i="7" s="1"/>
  <c r="M374" i="7" a="1"/>
  <c r="M374" i="7" s="1"/>
  <c r="L374" i="7"/>
  <c r="K374" i="7" a="1"/>
  <c r="K374" i="7" s="1"/>
  <c r="F374" i="7"/>
  <c r="T373" i="7"/>
  <c r="S373" i="7"/>
  <c r="R373" i="7"/>
  <c r="Q373" i="7" a="1"/>
  <c r="Q373" i="7" s="1"/>
  <c r="P373" i="7"/>
  <c r="N373" i="7" a="1"/>
  <c r="N373" i="7" s="1"/>
  <c r="O373" i="7" s="1"/>
  <c r="M373" i="7" a="1"/>
  <c r="M373" i="7" s="1"/>
  <c r="L373" i="7"/>
  <c r="K373" i="7" a="1"/>
  <c r="K373" i="7" s="1"/>
  <c r="F373" i="7"/>
  <c r="T372" i="7"/>
  <c r="S372" i="7"/>
  <c r="R372" i="7"/>
  <c r="Q372" i="7" a="1"/>
  <c r="Q372" i="7" s="1"/>
  <c r="P372" i="7"/>
  <c r="N372" i="7" a="1"/>
  <c r="N372" i="7" s="1"/>
  <c r="O372" i="7" s="1"/>
  <c r="M372" i="7" a="1"/>
  <c r="M372" i="7" s="1"/>
  <c r="L372" i="7"/>
  <c r="K372" i="7" a="1"/>
  <c r="K372" i="7" s="1"/>
  <c r="F372" i="7"/>
  <c r="T371" i="7"/>
  <c r="S371" i="7"/>
  <c r="R371" i="7"/>
  <c r="Q371" i="7" a="1"/>
  <c r="Q371" i="7" s="1"/>
  <c r="P371" i="7"/>
  <c r="N371" i="7" a="1"/>
  <c r="N371" i="7" s="1"/>
  <c r="O371" i="7" s="1"/>
  <c r="M371" i="7" a="1"/>
  <c r="M371" i="7" s="1"/>
  <c r="L371" i="7"/>
  <c r="K371" i="7" a="1"/>
  <c r="K371" i="7" s="1"/>
  <c r="F371" i="7"/>
  <c r="T370" i="7"/>
  <c r="S370" i="7"/>
  <c r="R370" i="7"/>
  <c r="Q370" i="7" a="1"/>
  <c r="Q370" i="7" s="1"/>
  <c r="P370" i="7"/>
  <c r="N370" i="7" a="1"/>
  <c r="N370" i="7" s="1"/>
  <c r="O370" i="7" s="1"/>
  <c r="M370" i="7" a="1"/>
  <c r="M370" i="7" s="1"/>
  <c r="L370" i="7"/>
  <c r="K370" i="7" a="1"/>
  <c r="K370" i="7" s="1"/>
  <c r="F370" i="7"/>
  <c r="T369" i="7"/>
  <c r="S369" i="7"/>
  <c r="R369" i="7"/>
  <c r="Q369" i="7" a="1"/>
  <c r="Q369" i="7" s="1"/>
  <c r="P369" i="7"/>
  <c r="N369" i="7" a="1"/>
  <c r="N369" i="7" s="1"/>
  <c r="O369" i="7" s="1"/>
  <c r="M369" i="7" a="1"/>
  <c r="M369" i="7" s="1"/>
  <c r="L369" i="7"/>
  <c r="K369" i="7" a="1"/>
  <c r="K369" i="7" s="1"/>
  <c r="F369" i="7"/>
  <c r="T368" i="7"/>
  <c r="S368" i="7"/>
  <c r="R368" i="7"/>
  <c r="Q368" i="7" a="1"/>
  <c r="Q368" i="7" s="1"/>
  <c r="P368" i="7"/>
  <c r="N368" i="7" a="1"/>
  <c r="N368" i="7" s="1"/>
  <c r="O368" i="7" s="1"/>
  <c r="M368" i="7" a="1"/>
  <c r="M368" i="7" s="1"/>
  <c r="L368" i="7"/>
  <c r="K368" i="7" a="1"/>
  <c r="K368" i="7" s="1"/>
  <c r="F368" i="7"/>
  <c r="T367" i="7"/>
  <c r="S367" i="7"/>
  <c r="R367" i="7"/>
  <c r="Q367" i="7" a="1"/>
  <c r="Q367" i="7" s="1"/>
  <c r="P367" i="7"/>
  <c r="N367" i="7" a="1"/>
  <c r="N367" i="7" s="1"/>
  <c r="O367" i="7" s="1"/>
  <c r="M367" i="7" a="1"/>
  <c r="M367" i="7" s="1"/>
  <c r="L367" i="7"/>
  <c r="K367" i="7" a="1"/>
  <c r="K367" i="7" s="1"/>
  <c r="F367" i="7"/>
  <c r="T366" i="7"/>
  <c r="S366" i="7"/>
  <c r="R366" i="7"/>
  <c r="Q366" i="7" a="1"/>
  <c r="Q366" i="7" s="1"/>
  <c r="P366" i="7"/>
  <c r="N366" i="7" a="1"/>
  <c r="N366" i="7" s="1"/>
  <c r="O366" i="7" s="1"/>
  <c r="M366" i="7" a="1"/>
  <c r="M366" i="7" s="1"/>
  <c r="L366" i="7"/>
  <c r="K366" i="7" a="1"/>
  <c r="K366" i="7" s="1"/>
  <c r="F366" i="7"/>
  <c r="T365" i="7"/>
  <c r="S365" i="7"/>
  <c r="R365" i="7"/>
  <c r="Q365" i="7" a="1"/>
  <c r="Q365" i="7" s="1"/>
  <c r="P365" i="7"/>
  <c r="N365" i="7" a="1"/>
  <c r="N365" i="7" s="1"/>
  <c r="O365" i="7" s="1"/>
  <c r="M365" i="7" a="1"/>
  <c r="M365" i="7" s="1"/>
  <c r="L365" i="7"/>
  <c r="K365" i="7" a="1"/>
  <c r="K365" i="7" s="1"/>
  <c r="F365" i="7"/>
  <c r="T364" i="7"/>
  <c r="S364" i="7"/>
  <c r="R364" i="7"/>
  <c r="Q364" i="7" a="1"/>
  <c r="Q364" i="7" s="1"/>
  <c r="P364" i="7"/>
  <c r="N364" i="7" a="1"/>
  <c r="N364" i="7" s="1"/>
  <c r="O364" i="7" s="1"/>
  <c r="M364" i="7" a="1"/>
  <c r="M364" i="7" s="1"/>
  <c r="L364" i="7"/>
  <c r="K364" i="7" a="1"/>
  <c r="K364" i="7" s="1"/>
  <c r="F364" i="7"/>
  <c r="T363" i="7"/>
  <c r="S363" i="7"/>
  <c r="R363" i="7"/>
  <c r="Q363" i="7" a="1"/>
  <c r="Q363" i="7" s="1"/>
  <c r="P363" i="7"/>
  <c r="N363" i="7" a="1"/>
  <c r="N363" i="7" s="1"/>
  <c r="O363" i="7" s="1"/>
  <c r="M363" i="7" a="1"/>
  <c r="M363" i="7" s="1"/>
  <c r="L363" i="7"/>
  <c r="K363" i="7" a="1"/>
  <c r="K363" i="7" s="1"/>
  <c r="F363" i="7"/>
  <c r="T362" i="7"/>
  <c r="S362" i="7"/>
  <c r="R362" i="7"/>
  <c r="Q362" i="7" a="1"/>
  <c r="Q362" i="7" s="1"/>
  <c r="P362" i="7"/>
  <c r="N362" i="7" a="1"/>
  <c r="N362" i="7" s="1"/>
  <c r="O362" i="7" s="1"/>
  <c r="M362" i="7" a="1"/>
  <c r="M362" i="7" s="1"/>
  <c r="L362" i="7"/>
  <c r="K362" i="7" a="1"/>
  <c r="K362" i="7" s="1"/>
  <c r="F362" i="7"/>
  <c r="T361" i="7"/>
  <c r="S361" i="7"/>
  <c r="R361" i="7"/>
  <c r="Q361" i="7" a="1"/>
  <c r="Q361" i="7" s="1"/>
  <c r="P361" i="7"/>
  <c r="N361" i="7" a="1"/>
  <c r="N361" i="7" s="1"/>
  <c r="O361" i="7" s="1"/>
  <c r="M361" i="7" a="1"/>
  <c r="M361" i="7" s="1"/>
  <c r="L361" i="7"/>
  <c r="K361" i="7" a="1"/>
  <c r="K361" i="7" s="1"/>
  <c r="F361" i="7"/>
  <c r="T360" i="7"/>
  <c r="S360" i="7"/>
  <c r="R360" i="7"/>
  <c r="Q360" i="7" a="1"/>
  <c r="Q360" i="7" s="1"/>
  <c r="P360" i="7"/>
  <c r="N360" i="7" a="1"/>
  <c r="N360" i="7" s="1"/>
  <c r="O360" i="7" s="1"/>
  <c r="M360" i="7" a="1"/>
  <c r="M360" i="7" s="1"/>
  <c r="L360" i="7"/>
  <c r="K360" i="7" a="1"/>
  <c r="K360" i="7" s="1"/>
  <c r="F360" i="7"/>
  <c r="T359" i="7"/>
  <c r="S359" i="7"/>
  <c r="R359" i="7"/>
  <c r="Q359" i="7" a="1"/>
  <c r="Q359" i="7" s="1"/>
  <c r="P359" i="7"/>
  <c r="N359" i="7" a="1"/>
  <c r="N359" i="7" s="1"/>
  <c r="O359" i="7" s="1"/>
  <c r="M359" i="7" a="1"/>
  <c r="M359" i="7" s="1"/>
  <c r="L359" i="7"/>
  <c r="K359" i="7" a="1"/>
  <c r="K359" i="7" s="1"/>
  <c r="F359" i="7"/>
  <c r="T358" i="7"/>
  <c r="S358" i="7"/>
  <c r="R358" i="7"/>
  <c r="Q358" i="7" a="1"/>
  <c r="Q358" i="7" s="1"/>
  <c r="P358" i="7"/>
  <c r="N358" i="7" a="1"/>
  <c r="N358" i="7" s="1"/>
  <c r="O358" i="7" s="1"/>
  <c r="M358" i="7" a="1"/>
  <c r="M358" i="7" s="1"/>
  <c r="L358" i="7"/>
  <c r="K358" i="7" a="1"/>
  <c r="K358" i="7" s="1"/>
  <c r="F358" i="7"/>
  <c r="T357" i="7"/>
  <c r="S357" i="7"/>
  <c r="R357" i="7"/>
  <c r="Q357" i="7" a="1"/>
  <c r="Q357" i="7" s="1"/>
  <c r="P357" i="7"/>
  <c r="N357" i="7" a="1"/>
  <c r="N357" i="7" s="1"/>
  <c r="O357" i="7" s="1"/>
  <c r="M357" i="7" a="1"/>
  <c r="M357" i="7" s="1"/>
  <c r="L357" i="7"/>
  <c r="K357" i="7" a="1"/>
  <c r="K357" i="7" s="1"/>
  <c r="F357" i="7"/>
  <c r="T356" i="7"/>
  <c r="S356" i="7"/>
  <c r="R356" i="7"/>
  <c r="Q356" i="7" a="1"/>
  <c r="Q356" i="7" s="1"/>
  <c r="P356" i="7"/>
  <c r="N356" i="7" a="1"/>
  <c r="N356" i="7" s="1"/>
  <c r="O356" i="7" s="1"/>
  <c r="M356" i="7" a="1"/>
  <c r="M356" i="7" s="1"/>
  <c r="L356" i="7"/>
  <c r="K356" i="7" a="1"/>
  <c r="K356" i="7" s="1"/>
  <c r="F356" i="7"/>
  <c r="T355" i="7"/>
  <c r="S355" i="7"/>
  <c r="R355" i="7"/>
  <c r="Q355" i="7" a="1"/>
  <c r="Q355" i="7" s="1"/>
  <c r="P355" i="7"/>
  <c r="N355" i="7" a="1"/>
  <c r="N355" i="7" s="1"/>
  <c r="O355" i="7" s="1"/>
  <c r="M355" i="7" a="1"/>
  <c r="M355" i="7" s="1"/>
  <c r="L355" i="7"/>
  <c r="K355" i="7" a="1"/>
  <c r="K355" i="7" s="1"/>
  <c r="F355" i="7"/>
  <c r="T354" i="7"/>
  <c r="S354" i="7"/>
  <c r="R354" i="7"/>
  <c r="Q354" i="7" a="1"/>
  <c r="Q354" i="7" s="1"/>
  <c r="P354" i="7"/>
  <c r="N354" i="7" a="1"/>
  <c r="N354" i="7" s="1"/>
  <c r="O354" i="7" s="1"/>
  <c r="M354" i="7" a="1"/>
  <c r="M354" i="7" s="1"/>
  <c r="L354" i="7"/>
  <c r="K354" i="7" a="1"/>
  <c r="K354" i="7" s="1"/>
  <c r="F354" i="7"/>
  <c r="T353" i="7"/>
  <c r="S353" i="7"/>
  <c r="R353" i="7"/>
  <c r="Q353" i="7" a="1"/>
  <c r="Q353" i="7" s="1"/>
  <c r="P353" i="7"/>
  <c r="N353" i="7" a="1"/>
  <c r="N353" i="7" s="1"/>
  <c r="O353" i="7" s="1"/>
  <c r="M353" i="7" a="1"/>
  <c r="M353" i="7" s="1"/>
  <c r="L353" i="7"/>
  <c r="K353" i="7" a="1"/>
  <c r="K353" i="7" s="1"/>
  <c r="F353" i="7"/>
  <c r="T352" i="7"/>
  <c r="S352" i="7"/>
  <c r="R352" i="7"/>
  <c r="Q352" i="7" a="1"/>
  <c r="Q352" i="7" s="1"/>
  <c r="P352" i="7"/>
  <c r="N352" i="7" a="1"/>
  <c r="N352" i="7" s="1"/>
  <c r="O352" i="7" s="1"/>
  <c r="M352" i="7" a="1"/>
  <c r="M352" i="7" s="1"/>
  <c r="L352" i="7"/>
  <c r="K352" i="7" a="1"/>
  <c r="K352" i="7" s="1"/>
  <c r="F352" i="7"/>
  <c r="T351" i="7"/>
  <c r="S351" i="7"/>
  <c r="R351" i="7"/>
  <c r="Q351" i="7" a="1"/>
  <c r="Q351" i="7" s="1"/>
  <c r="P351" i="7"/>
  <c r="N351" i="7" a="1"/>
  <c r="N351" i="7" s="1"/>
  <c r="O351" i="7" s="1"/>
  <c r="M351" i="7" a="1"/>
  <c r="M351" i="7" s="1"/>
  <c r="L351" i="7"/>
  <c r="K351" i="7" a="1"/>
  <c r="K351" i="7" s="1"/>
  <c r="F351" i="7"/>
  <c r="T350" i="7"/>
  <c r="S350" i="7"/>
  <c r="R350" i="7"/>
  <c r="Q350" i="7" a="1"/>
  <c r="Q350" i="7" s="1"/>
  <c r="P350" i="7"/>
  <c r="N350" i="7" a="1"/>
  <c r="N350" i="7" s="1"/>
  <c r="O350" i="7" s="1"/>
  <c r="M350" i="7" a="1"/>
  <c r="M350" i="7" s="1"/>
  <c r="L350" i="7"/>
  <c r="K350" i="7" a="1"/>
  <c r="K350" i="7" s="1"/>
  <c r="F350" i="7"/>
  <c r="T349" i="7"/>
  <c r="S349" i="7"/>
  <c r="R349" i="7"/>
  <c r="Q349" i="7" a="1"/>
  <c r="Q349" i="7" s="1"/>
  <c r="P349" i="7"/>
  <c r="N349" i="7" a="1"/>
  <c r="N349" i="7" s="1"/>
  <c r="O349" i="7" s="1"/>
  <c r="M349" i="7" a="1"/>
  <c r="M349" i="7" s="1"/>
  <c r="L349" i="7"/>
  <c r="K349" i="7" a="1"/>
  <c r="K349" i="7" s="1"/>
  <c r="F349" i="7"/>
  <c r="T348" i="7"/>
  <c r="S348" i="7"/>
  <c r="R348" i="7"/>
  <c r="Q348" i="7" a="1"/>
  <c r="Q348" i="7" s="1"/>
  <c r="P348" i="7"/>
  <c r="N348" i="7" a="1"/>
  <c r="N348" i="7" s="1"/>
  <c r="O348" i="7" s="1"/>
  <c r="M348" i="7" a="1"/>
  <c r="M348" i="7" s="1"/>
  <c r="L348" i="7"/>
  <c r="K348" i="7" a="1"/>
  <c r="K348" i="7" s="1"/>
  <c r="F348" i="7"/>
  <c r="T347" i="7"/>
  <c r="S347" i="7"/>
  <c r="R347" i="7"/>
  <c r="Q347" i="7" a="1"/>
  <c r="Q347" i="7" s="1"/>
  <c r="P347" i="7"/>
  <c r="N347" i="7" a="1"/>
  <c r="N347" i="7" s="1"/>
  <c r="O347" i="7" s="1"/>
  <c r="M347" i="7" a="1"/>
  <c r="M347" i="7" s="1"/>
  <c r="L347" i="7"/>
  <c r="K347" i="7" a="1"/>
  <c r="K347" i="7" s="1"/>
  <c r="F347" i="7"/>
  <c r="T346" i="7"/>
  <c r="S346" i="7"/>
  <c r="R346" i="7"/>
  <c r="Q346" i="7" a="1"/>
  <c r="Q346" i="7" s="1"/>
  <c r="P346" i="7"/>
  <c r="N346" i="7" a="1"/>
  <c r="N346" i="7" s="1"/>
  <c r="O346" i="7" s="1"/>
  <c r="M346" i="7" a="1"/>
  <c r="M346" i="7" s="1"/>
  <c r="L346" i="7"/>
  <c r="K346" i="7" a="1"/>
  <c r="K346" i="7" s="1"/>
  <c r="F346" i="7"/>
  <c r="T345" i="7"/>
  <c r="S345" i="7"/>
  <c r="R345" i="7"/>
  <c r="Q345" i="7" a="1"/>
  <c r="Q345" i="7" s="1"/>
  <c r="P345" i="7"/>
  <c r="N345" i="7" a="1"/>
  <c r="N345" i="7" s="1"/>
  <c r="O345" i="7" s="1"/>
  <c r="M345" i="7" a="1"/>
  <c r="M345" i="7" s="1"/>
  <c r="L345" i="7"/>
  <c r="K345" i="7" a="1"/>
  <c r="K345" i="7" s="1"/>
  <c r="F345" i="7"/>
  <c r="T344" i="7"/>
  <c r="S344" i="7"/>
  <c r="R344" i="7"/>
  <c r="Q344" i="7" a="1"/>
  <c r="Q344" i="7" s="1"/>
  <c r="P344" i="7"/>
  <c r="N344" i="7" a="1"/>
  <c r="N344" i="7" s="1"/>
  <c r="O344" i="7" s="1"/>
  <c r="M344" i="7" a="1"/>
  <c r="M344" i="7" s="1"/>
  <c r="L344" i="7"/>
  <c r="K344" i="7" a="1"/>
  <c r="K344" i="7" s="1"/>
  <c r="F344" i="7"/>
  <c r="T343" i="7"/>
  <c r="S343" i="7"/>
  <c r="R343" i="7"/>
  <c r="Q343" i="7" a="1"/>
  <c r="Q343" i="7" s="1"/>
  <c r="P343" i="7"/>
  <c r="N343" i="7" a="1"/>
  <c r="N343" i="7" s="1"/>
  <c r="O343" i="7" s="1"/>
  <c r="M343" i="7" a="1"/>
  <c r="M343" i="7" s="1"/>
  <c r="L343" i="7"/>
  <c r="K343" i="7" a="1"/>
  <c r="K343" i="7" s="1"/>
  <c r="F343" i="7"/>
  <c r="T342" i="7"/>
  <c r="S342" i="7"/>
  <c r="R342" i="7"/>
  <c r="Q342" i="7" a="1"/>
  <c r="Q342" i="7" s="1"/>
  <c r="P342" i="7"/>
  <c r="N342" i="7" a="1"/>
  <c r="N342" i="7" s="1"/>
  <c r="O342" i="7" s="1"/>
  <c r="M342" i="7" a="1"/>
  <c r="M342" i="7" s="1"/>
  <c r="L342" i="7"/>
  <c r="K342" i="7" a="1"/>
  <c r="K342" i="7" s="1"/>
  <c r="F342" i="7"/>
  <c r="T341" i="7"/>
  <c r="S341" i="7"/>
  <c r="R341" i="7"/>
  <c r="Q341" i="7" a="1"/>
  <c r="Q341" i="7" s="1"/>
  <c r="P341" i="7"/>
  <c r="N341" i="7" a="1"/>
  <c r="N341" i="7" s="1"/>
  <c r="O341" i="7" s="1"/>
  <c r="M341" i="7" a="1"/>
  <c r="M341" i="7" s="1"/>
  <c r="L341" i="7"/>
  <c r="K341" i="7" a="1"/>
  <c r="K341" i="7" s="1"/>
  <c r="F341" i="7"/>
  <c r="T340" i="7"/>
  <c r="S340" i="7"/>
  <c r="R340" i="7"/>
  <c r="Q340" i="7" a="1"/>
  <c r="Q340" i="7" s="1"/>
  <c r="P340" i="7"/>
  <c r="N340" i="7" a="1"/>
  <c r="N340" i="7" s="1"/>
  <c r="O340" i="7" s="1"/>
  <c r="M340" i="7" a="1"/>
  <c r="M340" i="7" s="1"/>
  <c r="L340" i="7"/>
  <c r="K340" i="7" a="1"/>
  <c r="K340" i="7" s="1"/>
  <c r="F340" i="7"/>
  <c r="T339" i="7"/>
  <c r="S339" i="7"/>
  <c r="R339" i="7"/>
  <c r="Q339" i="7" a="1"/>
  <c r="Q339" i="7" s="1"/>
  <c r="P339" i="7"/>
  <c r="N339" i="7" a="1"/>
  <c r="N339" i="7" s="1"/>
  <c r="O339" i="7" s="1"/>
  <c r="M339" i="7" a="1"/>
  <c r="M339" i="7" s="1"/>
  <c r="L339" i="7"/>
  <c r="K339" i="7" a="1"/>
  <c r="K339" i="7" s="1"/>
  <c r="F339" i="7"/>
  <c r="T338" i="7"/>
  <c r="S338" i="7"/>
  <c r="R338" i="7"/>
  <c r="Q338" i="7" a="1"/>
  <c r="Q338" i="7" s="1"/>
  <c r="P338" i="7"/>
  <c r="N338" i="7" a="1"/>
  <c r="N338" i="7" s="1"/>
  <c r="O338" i="7" s="1"/>
  <c r="M338" i="7" a="1"/>
  <c r="M338" i="7" s="1"/>
  <c r="L338" i="7"/>
  <c r="K338" i="7" a="1"/>
  <c r="K338" i="7" s="1"/>
  <c r="F338" i="7"/>
  <c r="T337" i="7"/>
  <c r="S337" i="7"/>
  <c r="R337" i="7"/>
  <c r="Q337" i="7" a="1"/>
  <c r="Q337" i="7" s="1"/>
  <c r="P337" i="7"/>
  <c r="N337" i="7" a="1"/>
  <c r="N337" i="7" s="1"/>
  <c r="O337" i="7" s="1"/>
  <c r="M337" i="7" a="1"/>
  <c r="M337" i="7" s="1"/>
  <c r="L337" i="7"/>
  <c r="K337" i="7" a="1"/>
  <c r="K337" i="7" s="1"/>
  <c r="F337" i="7"/>
  <c r="T336" i="7"/>
  <c r="S336" i="7"/>
  <c r="R336" i="7"/>
  <c r="Q336" i="7" a="1"/>
  <c r="Q336" i="7" s="1"/>
  <c r="P336" i="7"/>
  <c r="N336" i="7" a="1"/>
  <c r="N336" i="7" s="1"/>
  <c r="O336" i="7" s="1"/>
  <c r="M336" i="7" a="1"/>
  <c r="M336" i="7" s="1"/>
  <c r="L336" i="7"/>
  <c r="K336" i="7" a="1"/>
  <c r="K336" i="7" s="1"/>
  <c r="F336" i="7"/>
  <c r="T335" i="7"/>
  <c r="S335" i="7"/>
  <c r="R335" i="7"/>
  <c r="Q335" i="7" a="1"/>
  <c r="Q335" i="7" s="1"/>
  <c r="P335" i="7"/>
  <c r="N335" i="7" a="1"/>
  <c r="N335" i="7" s="1"/>
  <c r="O335" i="7" s="1"/>
  <c r="M335" i="7" a="1"/>
  <c r="M335" i="7" s="1"/>
  <c r="L335" i="7"/>
  <c r="K335" i="7" a="1"/>
  <c r="K335" i="7" s="1"/>
  <c r="F335" i="7"/>
  <c r="T334" i="7"/>
  <c r="S334" i="7"/>
  <c r="R334" i="7"/>
  <c r="Q334" i="7" a="1"/>
  <c r="Q334" i="7" s="1"/>
  <c r="P334" i="7"/>
  <c r="N334" i="7" a="1"/>
  <c r="N334" i="7" s="1"/>
  <c r="O334" i="7" s="1"/>
  <c r="M334" i="7" a="1"/>
  <c r="M334" i="7" s="1"/>
  <c r="L334" i="7"/>
  <c r="K334" i="7" a="1"/>
  <c r="K334" i="7" s="1"/>
  <c r="F334" i="7"/>
  <c r="T333" i="7"/>
  <c r="S333" i="7"/>
  <c r="R333" i="7"/>
  <c r="Q333" i="7" a="1"/>
  <c r="Q333" i="7" s="1"/>
  <c r="P333" i="7"/>
  <c r="N333" i="7" a="1"/>
  <c r="N333" i="7" s="1"/>
  <c r="O333" i="7" s="1"/>
  <c r="M333" i="7" a="1"/>
  <c r="M333" i="7" s="1"/>
  <c r="L333" i="7"/>
  <c r="K333" i="7" a="1"/>
  <c r="K333" i="7" s="1"/>
  <c r="F333" i="7"/>
  <c r="T332" i="7"/>
  <c r="S332" i="7"/>
  <c r="R332" i="7"/>
  <c r="Q332" i="7" a="1"/>
  <c r="Q332" i="7" s="1"/>
  <c r="P332" i="7"/>
  <c r="N332" i="7" a="1"/>
  <c r="N332" i="7" s="1"/>
  <c r="O332" i="7" s="1"/>
  <c r="M332" i="7" a="1"/>
  <c r="M332" i="7" s="1"/>
  <c r="L332" i="7"/>
  <c r="K332" i="7" a="1"/>
  <c r="K332" i="7" s="1"/>
  <c r="F332" i="7"/>
  <c r="T331" i="7"/>
  <c r="S331" i="7"/>
  <c r="R331" i="7"/>
  <c r="Q331" i="7" a="1"/>
  <c r="Q331" i="7" s="1"/>
  <c r="P331" i="7"/>
  <c r="N331" i="7" a="1"/>
  <c r="N331" i="7" s="1"/>
  <c r="O331" i="7" s="1"/>
  <c r="M331" i="7" a="1"/>
  <c r="M331" i="7" s="1"/>
  <c r="L331" i="7"/>
  <c r="K331" i="7" a="1"/>
  <c r="K331" i="7" s="1"/>
  <c r="F331" i="7"/>
  <c r="T330" i="7"/>
  <c r="S330" i="7"/>
  <c r="R330" i="7"/>
  <c r="Q330" i="7" a="1"/>
  <c r="Q330" i="7" s="1"/>
  <c r="P330" i="7"/>
  <c r="N330" i="7" a="1"/>
  <c r="N330" i="7" s="1"/>
  <c r="O330" i="7" s="1"/>
  <c r="M330" i="7" a="1"/>
  <c r="M330" i="7" s="1"/>
  <c r="L330" i="7"/>
  <c r="K330" i="7" a="1"/>
  <c r="K330" i="7" s="1"/>
  <c r="F330" i="7"/>
  <c r="T329" i="7"/>
  <c r="S329" i="7"/>
  <c r="R329" i="7"/>
  <c r="Q329" i="7" a="1"/>
  <c r="Q329" i="7" s="1"/>
  <c r="P329" i="7"/>
  <c r="N329" i="7" a="1"/>
  <c r="N329" i="7" s="1"/>
  <c r="O329" i="7" s="1"/>
  <c r="M329" i="7" a="1"/>
  <c r="M329" i="7" s="1"/>
  <c r="L329" i="7"/>
  <c r="K329" i="7" a="1"/>
  <c r="K329" i="7" s="1"/>
  <c r="F329" i="7"/>
  <c r="T328" i="7"/>
  <c r="S328" i="7"/>
  <c r="R328" i="7"/>
  <c r="Q328" i="7" a="1"/>
  <c r="Q328" i="7" s="1"/>
  <c r="P328" i="7"/>
  <c r="N328" i="7" a="1"/>
  <c r="N328" i="7" s="1"/>
  <c r="O328" i="7" s="1"/>
  <c r="M328" i="7" a="1"/>
  <c r="M328" i="7" s="1"/>
  <c r="L328" i="7"/>
  <c r="K328" i="7" a="1"/>
  <c r="K328" i="7" s="1"/>
  <c r="F328" i="7"/>
  <c r="T327" i="7"/>
  <c r="S327" i="7"/>
  <c r="R327" i="7"/>
  <c r="Q327" i="7" a="1"/>
  <c r="Q327" i="7" s="1"/>
  <c r="P327" i="7"/>
  <c r="N327" i="7" a="1"/>
  <c r="N327" i="7" s="1"/>
  <c r="O327" i="7" s="1"/>
  <c r="M327" i="7" a="1"/>
  <c r="M327" i="7" s="1"/>
  <c r="L327" i="7"/>
  <c r="K327" i="7" a="1"/>
  <c r="K327" i="7" s="1"/>
  <c r="F327" i="7"/>
  <c r="T326" i="7"/>
  <c r="S326" i="7"/>
  <c r="R326" i="7"/>
  <c r="Q326" i="7" a="1"/>
  <c r="Q326" i="7" s="1"/>
  <c r="P326" i="7"/>
  <c r="N326" i="7" a="1"/>
  <c r="N326" i="7" s="1"/>
  <c r="O326" i="7" s="1"/>
  <c r="M326" i="7" a="1"/>
  <c r="M326" i="7" s="1"/>
  <c r="L326" i="7"/>
  <c r="K326" i="7" a="1"/>
  <c r="K326" i="7" s="1"/>
  <c r="F326" i="7"/>
  <c r="T325" i="7"/>
  <c r="S325" i="7"/>
  <c r="R325" i="7"/>
  <c r="Q325" i="7" a="1"/>
  <c r="Q325" i="7" s="1"/>
  <c r="P325" i="7"/>
  <c r="N325" i="7" a="1"/>
  <c r="N325" i="7" s="1"/>
  <c r="O325" i="7" s="1"/>
  <c r="M325" i="7" a="1"/>
  <c r="M325" i="7" s="1"/>
  <c r="L325" i="7"/>
  <c r="K325" i="7" a="1"/>
  <c r="K325" i="7" s="1"/>
  <c r="F325" i="7"/>
  <c r="T324" i="7"/>
  <c r="S324" i="7"/>
  <c r="R324" i="7"/>
  <c r="Q324" i="7" a="1"/>
  <c r="Q324" i="7" s="1"/>
  <c r="P324" i="7"/>
  <c r="N324" i="7" a="1"/>
  <c r="N324" i="7" s="1"/>
  <c r="O324" i="7" s="1"/>
  <c r="M324" i="7" a="1"/>
  <c r="M324" i="7" s="1"/>
  <c r="L324" i="7"/>
  <c r="K324" i="7" a="1"/>
  <c r="K324" i="7" s="1"/>
  <c r="F324" i="7"/>
  <c r="T323" i="7"/>
  <c r="S323" i="7"/>
  <c r="R323" i="7"/>
  <c r="Q323" i="7" a="1"/>
  <c r="Q323" i="7" s="1"/>
  <c r="P323" i="7"/>
  <c r="N323" i="7" a="1"/>
  <c r="N323" i="7" s="1"/>
  <c r="O323" i="7" s="1"/>
  <c r="M323" i="7" a="1"/>
  <c r="M323" i="7" s="1"/>
  <c r="L323" i="7"/>
  <c r="K323" i="7" a="1"/>
  <c r="K323" i="7" s="1"/>
  <c r="F323" i="7"/>
  <c r="T322" i="7"/>
  <c r="S322" i="7"/>
  <c r="R322" i="7"/>
  <c r="Q322" i="7" a="1"/>
  <c r="Q322" i="7" s="1"/>
  <c r="P322" i="7"/>
  <c r="N322" i="7" a="1"/>
  <c r="N322" i="7" s="1"/>
  <c r="O322" i="7" s="1"/>
  <c r="M322" i="7" a="1"/>
  <c r="M322" i="7" s="1"/>
  <c r="L322" i="7"/>
  <c r="K322" i="7" a="1"/>
  <c r="K322" i="7" s="1"/>
  <c r="F322" i="7"/>
  <c r="T321" i="7"/>
  <c r="S321" i="7"/>
  <c r="R321" i="7"/>
  <c r="Q321" i="7" a="1"/>
  <c r="Q321" i="7" s="1"/>
  <c r="P321" i="7"/>
  <c r="N321" i="7" a="1"/>
  <c r="N321" i="7" s="1"/>
  <c r="O321" i="7" s="1"/>
  <c r="M321" i="7" a="1"/>
  <c r="M321" i="7" s="1"/>
  <c r="L321" i="7"/>
  <c r="K321" i="7" a="1"/>
  <c r="K321" i="7" s="1"/>
  <c r="F321" i="7"/>
  <c r="T320" i="7"/>
  <c r="S320" i="7"/>
  <c r="R320" i="7"/>
  <c r="Q320" i="7" a="1"/>
  <c r="Q320" i="7" s="1"/>
  <c r="P320" i="7"/>
  <c r="N320" i="7" a="1"/>
  <c r="N320" i="7" s="1"/>
  <c r="O320" i="7" s="1"/>
  <c r="M320" i="7" a="1"/>
  <c r="M320" i="7" s="1"/>
  <c r="L320" i="7"/>
  <c r="K320" i="7" a="1"/>
  <c r="K320" i="7" s="1"/>
  <c r="F320" i="7"/>
  <c r="T319" i="7"/>
  <c r="S319" i="7"/>
  <c r="R319" i="7"/>
  <c r="Q319" i="7" a="1"/>
  <c r="Q319" i="7" s="1"/>
  <c r="P319" i="7"/>
  <c r="N319" i="7" a="1"/>
  <c r="N319" i="7" s="1"/>
  <c r="O319" i="7" s="1"/>
  <c r="M319" i="7" a="1"/>
  <c r="M319" i="7" s="1"/>
  <c r="L319" i="7"/>
  <c r="K319" i="7" a="1"/>
  <c r="K319" i="7" s="1"/>
  <c r="F319" i="7"/>
  <c r="T318" i="7"/>
  <c r="S318" i="7"/>
  <c r="R318" i="7"/>
  <c r="Q318" i="7" a="1"/>
  <c r="Q318" i="7" s="1"/>
  <c r="P318" i="7"/>
  <c r="N318" i="7" a="1"/>
  <c r="N318" i="7" s="1"/>
  <c r="O318" i="7" s="1"/>
  <c r="M318" i="7" a="1"/>
  <c r="M318" i="7" s="1"/>
  <c r="L318" i="7"/>
  <c r="K318" i="7" a="1"/>
  <c r="K318" i="7" s="1"/>
  <c r="F318" i="7"/>
  <c r="T317" i="7"/>
  <c r="S317" i="7"/>
  <c r="R317" i="7"/>
  <c r="Q317" i="7" a="1"/>
  <c r="Q317" i="7" s="1"/>
  <c r="P317" i="7"/>
  <c r="N317" i="7" a="1"/>
  <c r="N317" i="7" s="1"/>
  <c r="O317" i="7" s="1"/>
  <c r="M317" i="7" a="1"/>
  <c r="M317" i="7" s="1"/>
  <c r="L317" i="7"/>
  <c r="K317" i="7" a="1"/>
  <c r="K317" i="7" s="1"/>
  <c r="F317" i="7"/>
  <c r="T316" i="7"/>
  <c r="S316" i="7"/>
  <c r="R316" i="7"/>
  <c r="Q316" i="7" a="1"/>
  <c r="Q316" i="7" s="1"/>
  <c r="P316" i="7"/>
  <c r="N316" i="7" a="1"/>
  <c r="N316" i="7" s="1"/>
  <c r="O316" i="7" s="1"/>
  <c r="M316" i="7" a="1"/>
  <c r="M316" i="7" s="1"/>
  <c r="L316" i="7"/>
  <c r="K316" i="7" a="1"/>
  <c r="K316" i="7" s="1"/>
  <c r="F316" i="7"/>
  <c r="T315" i="7"/>
  <c r="S315" i="7"/>
  <c r="R315" i="7"/>
  <c r="Q315" i="7" a="1"/>
  <c r="Q315" i="7" s="1"/>
  <c r="P315" i="7"/>
  <c r="N315" i="7" a="1"/>
  <c r="N315" i="7" s="1"/>
  <c r="O315" i="7" s="1"/>
  <c r="M315" i="7" a="1"/>
  <c r="M315" i="7" s="1"/>
  <c r="L315" i="7"/>
  <c r="K315" i="7" a="1"/>
  <c r="K315" i="7" s="1"/>
  <c r="F315" i="7"/>
  <c r="T314" i="7"/>
  <c r="S314" i="7"/>
  <c r="R314" i="7"/>
  <c r="Q314" i="7" a="1"/>
  <c r="Q314" i="7" s="1"/>
  <c r="P314" i="7"/>
  <c r="N314" i="7" a="1"/>
  <c r="N314" i="7" s="1"/>
  <c r="O314" i="7" s="1"/>
  <c r="M314" i="7" a="1"/>
  <c r="M314" i="7" s="1"/>
  <c r="L314" i="7"/>
  <c r="K314" i="7" a="1"/>
  <c r="K314" i="7" s="1"/>
  <c r="F314" i="7"/>
  <c r="T313" i="7"/>
  <c r="S313" i="7"/>
  <c r="R313" i="7"/>
  <c r="Q313" i="7" a="1"/>
  <c r="Q313" i="7" s="1"/>
  <c r="P313" i="7"/>
  <c r="N313" i="7" a="1"/>
  <c r="N313" i="7" s="1"/>
  <c r="O313" i="7" s="1"/>
  <c r="M313" i="7" a="1"/>
  <c r="M313" i="7" s="1"/>
  <c r="L313" i="7"/>
  <c r="K313" i="7" a="1"/>
  <c r="K313" i="7" s="1"/>
  <c r="F313" i="7"/>
  <c r="T312" i="7"/>
  <c r="S312" i="7"/>
  <c r="R312" i="7"/>
  <c r="Q312" i="7" a="1"/>
  <c r="Q312" i="7" s="1"/>
  <c r="P312" i="7"/>
  <c r="N312" i="7" a="1"/>
  <c r="N312" i="7" s="1"/>
  <c r="O312" i="7" s="1"/>
  <c r="M312" i="7" a="1"/>
  <c r="M312" i="7" s="1"/>
  <c r="L312" i="7"/>
  <c r="K312" i="7" a="1"/>
  <c r="K312" i="7" s="1"/>
  <c r="F312" i="7"/>
  <c r="T311" i="7"/>
  <c r="S311" i="7"/>
  <c r="R311" i="7"/>
  <c r="Q311" i="7" a="1"/>
  <c r="Q311" i="7" s="1"/>
  <c r="P311" i="7"/>
  <c r="N311" i="7" a="1"/>
  <c r="N311" i="7" s="1"/>
  <c r="O311" i="7" s="1"/>
  <c r="M311" i="7" a="1"/>
  <c r="M311" i="7" s="1"/>
  <c r="L311" i="7"/>
  <c r="K311" i="7" a="1"/>
  <c r="K311" i="7" s="1"/>
  <c r="F311" i="7"/>
  <c r="T310" i="7"/>
  <c r="S310" i="7"/>
  <c r="R310" i="7"/>
  <c r="Q310" i="7" a="1"/>
  <c r="Q310" i="7" s="1"/>
  <c r="P310" i="7"/>
  <c r="N310" i="7" a="1"/>
  <c r="N310" i="7" s="1"/>
  <c r="O310" i="7" s="1"/>
  <c r="M310" i="7" a="1"/>
  <c r="M310" i="7" s="1"/>
  <c r="L310" i="7"/>
  <c r="K310" i="7" a="1"/>
  <c r="K310" i="7" s="1"/>
  <c r="F310" i="7"/>
  <c r="T309" i="7"/>
  <c r="S309" i="7"/>
  <c r="R309" i="7"/>
  <c r="Q309" i="7" a="1"/>
  <c r="Q309" i="7" s="1"/>
  <c r="P309" i="7"/>
  <c r="N309" i="7" a="1"/>
  <c r="N309" i="7" s="1"/>
  <c r="O309" i="7" s="1"/>
  <c r="M309" i="7" a="1"/>
  <c r="M309" i="7" s="1"/>
  <c r="L309" i="7"/>
  <c r="K309" i="7" a="1"/>
  <c r="K309" i="7" s="1"/>
  <c r="F309" i="7"/>
  <c r="T308" i="7"/>
  <c r="S308" i="7"/>
  <c r="R308" i="7"/>
  <c r="Q308" i="7" a="1"/>
  <c r="Q308" i="7" s="1"/>
  <c r="P308" i="7"/>
  <c r="N308" i="7" a="1"/>
  <c r="N308" i="7" s="1"/>
  <c r="O308" i="7" s="1"/>
  <c r="M308" i="7" a="1"/>
  <c r="M308" i="7" s="1"/>
  <c r="L308" i="7"/>
  <c r="K308" i="7" a="1"/>
  <c r="K308" i="7" s="1"/>
  <c r="F308" i="7"/>
  <c r="T307" i="7"/>
  <c r="S307" i="7"/>
  <c r="R307" i="7"/>
  <c r="Q307" i="7" a="1"/>
  <c r="Q307" i="7" s="1"/>
  <c r="P307" i="7"/>
  <c r="N307" i="7" a="1"/>
  <c r="N307" i="7" s="1"/>
  <c r="O307" i="7" s="1"/>
  <c r="M307" i="7" a="1"/>
  <c r="M307" i="7" s="1"/>
  <c r="L307" i="7"/>
  <c r="K307" i="7" a="1"/>
  <c r="K307" i="7" s="1"/>
  <c r="F307" i="7"/>
  <c r="T306" i="7"/>
  <c r="S306" i="7"/>
  <c r="R306" i="7"/>
  <c r="Q306" i="7" a="1"/>
  <c r="Q306" i="7" s="1"/>
  <c r="P306" i="7"/>
  <c r="N306" i="7" a="1"/>
  <c r="N306" i="7" s="1"/>
  <c r="O306" i="7" s="1"/>
  <c r="M306" i="7" a="1"/>
  <c r="M306" i="7" s="1"/>
  <c r="L306" i="7"/>
  <c r="K306" i="7" a="1"/>
  <c r="K306" i="7" s="1"/>
  <c r="F306" i="7"/>
  <c r="T305" i="7"/>
  <c r="S305" i="7"/>
  <c r="R305" i="7"/>
  <c r="Q305" i="7" a="1"/>
  <c r="Q305" i="7" s="1"/>
  <c r="P305" i="7"/>
  <c r="N305" i="7" a="1"/>
  <c r="N305" i="7" s="1"/>
  <c r="O305" i="7" s="1"/>
  <c r="M305" i="7" a="1"/>
  <c r="M305" i="7" s="1"/>
  <c r="L305" i="7"/>
  <c r="K305" i="7" a="1"/>
  <c r="K305" i="7" s="1"/>
  <c r="F305" i="7"/>
  <c r="T304" i="7"/>
  <c r="S304" i="7"/>
  <c r="R304" i="7"/>
  <c r="Q304" i="7" a="1"/>
  <c r="Q304" i="7" s="1"/>
  <c r="P304" i="7"/>
  <c r="N304" i="7" a="1"/>
  <c r="N304" i="7" s="1"/>
  <c r="O304" i="7" s="1"/>
  <c r="M304" i="7" a="1"/>
  <c r="M304" i="7" s="1"/>
  <c r="L304" i="7"/>
  <c r="K304" i="7" a="1"/>
  <c r="K304" i="7" s="1"/>
  <c r="F304" i="7"/>
  <c r="T303" i="7"/>
  <c r="S303" i="7"/>
  <c r="R303" i="7"/>
  <c r="Q303" i="7" a="1"/>
  <c r="Q303" i="7" s="1"/>
  <c r="P303" i="7"/>
  <c r="N303" i="7" a="1"/>
  <c r="N303" i="7" s="1"/>
  <c r="O303" i="7" s="1"/>
  <c r="M303" i="7" a="1"/>
  <c r="M303" i="7" s="1"/>
  <c r="L303" i="7"/>
  <c r="K303" i="7" a="1"/>
  <c r="K303" i="7" s="1"/>
  <c r="F303" i="7"/>
  <c r="T302" i="7"/>
  <c r="S302" i="7"/>
  <c r="R302" i="7"/>
  <c r="Q302" i="7" a="1"/>
  <c r="Q302" i="7" s="1"/>
  <c r="P302" i="7"/>
  <c r="N302" i="7" a="1"/>
  <c r="N302" i="7" s="1"/>
  <c r="O302" i="7" s="1"/>
  <c r="M302" i="7" a="1"/>
  <c r="M302" i="7" s="1"/>
  <c r="L302" i="7"/>
  <c r="K302" i="7" a="1"/>
  <c r="K302" i="7" s="1"/>
  <c r="F302" i="7"/>
  <c r="T301" i="7"/>
  <c r="S301" i="7"/>
  <c r="R301" i="7"/>
  <c r="Q301" i="7" a="1"/>
  <c r="Q301" i="7" s="1"/>
  <c r="P301" i="7"/>
  <c r="N301" i="7" a="1"/>
  <c r="N301" i="7" s="1"/>
  <c r="O301" i="7" s="1"/>
  <c r="M301" i="7" a="1"/>
  <c r="M301" i="7" s="1"/>
  <c r="L301" i="7"/>
  <c r="K301" i="7" a="1"/>
  <c r="K301" i="7" s="1"/>
  <c r="F301" i="7"/>
  <c r="T300" i="7"/>
  <c r="S300" i="7"/>
  <c r="R300" i="7"/>
  <c r="Q300" i="7" a="1"/>
  <c r="Q300" i="7" s="1"/>
  <c r="P300" i="7"/>
  <c r="N300" i="7" a="1"/>
  <c r="N300" i="7" s="1"/>
  <c r="O300" i="7" s="1"/>
  <c r="M300" i="7" a="1"/>
  <c r="M300" i="7" s="1"/>
  <c r="L300" i="7"/>
  <c r="K300" i="7" a="1"/>
  <c r="K300" i="7" s="1"/>
  <c r="F300" i="7"/>
  <c r="T299" i="7"/>
  <c r="S299" i="7"/>
  <c r="R299" i="7"/>
  <c r="Q299" i="7" a="1"/>
  <c r="Q299" i="7" s="1"/>
  <c r="P299" i="7"/>
  <c r="N299" i="7" a="1"/>
  <c r="N299" i="7" s="1"/>
  <c r="O299" i="7" s="1"/>
  <c r="M299" i="7" a="1"/>
  <c r="M299" i="7" s="1"/>
  <c r="L299" i="7"/>
  <c r="K299" i="7" a="1"/>
  <c r="K299" i="7" s="1"/>
  <c r="F299" i="7"/>
  <c r="T298" i="7"/>
  <c r="S298" i="7"/>
  <c r="R298" i="7"/>
  <c r="Q298" i="7" a="1"/>
  <c r="Q298" i="7" s="1"/>
  <c r="P298" i="7"/>
  <c r="N298" i="7" a="1"/>
  <c r="N298" i="7" s="1"/>
  <c r="O298" i="7" s="1"/>
  <c r="M298" i="7" a="1"/>
  <c r="M298" i="7" s="1"/>
  <c r="L298" i="7"/>
  <c r="K298" i="7" a="1"/>
  <c r="K298" i="7" s="1"/>
  <c r="F298" i="7"/>
  <c r="T297" i="7"/>
  <c r="S297" i="7"/>
  <c r="R297" i="7"/>
  <c r="Q297" i="7" a="1"/>
  <c r="Q297" i="7" s="1"/>
  <c r="P297" i="7"/>
  <c r="N297" i="7" a="1"/>
  <c r="N297" i="7" s="1"/>
  <c r="O297" i="7" s="1"/>
  <c r="M297" i="7" a="1"/>
  <c r="M297" i="7" s="1"/>
  <c r="L297" i="7"/>
  <c r="K297" i="7" a="1"/>
  <c r="K297" i="7" s="1"/>
  <c r="F297" i="7"/>
  <c r="T296" i="7"/>
  <c r="S296" i="7"/>
  <c r="R296" i="7"/>
  <c r="Q296" i="7" a="1"/>
  <c r="Q296" i="7" s="1"/>
  <c r="P296" i="7"/>
  <c r="N296" i="7" a="1"/>
  <c r="N296" i="7" s="1"/>
  <c r="O296" i="7" s="1"/>
  <c r="M296" i="7" a="1"/>
  <c r="M296" i="7" s="1"/>
  <c r="L296" i="7"/>
  <c r="K296" i="7" a="1"/>
  <c r="K296" i="7" s="1"/>
  <c r="F296" i="7"/>
  <c r="T295" i="7"/>
  <c r="S295" i="7"/>
  <c r="R295" i="7"/>
  <c r="Q295" i="7" a="1"/>
  <c r="Q295" i="7" s="1"/>
  <c r="P295" i="7"/>
  <c r="N295" i="7" a="1"/>
  <c r="N295" i="7" s="1"/>
  <c r="O295" i="7" s="1"/>
  <c r="M295" i="7" a="1"/>
  <c r="M295" i="7" s="1"/>
  <c r="L295" i="7"/>
  <c r="K295" i="7" a="1"/>
  <c r="K295" i="7" s="1"/>
  <c r="F295" i="7"/>
  <c r="T294" i="7"/>
  <c r="S294" i="7"/>
  <c r="R294" i="7"/>
  <c r="Q294" i="7" a="1"/>
  <c r="Q294" i="7" s="1"/>
  <c r="P294" i="7"/>
  <c r="N294" i="7" a="1"/>
  <c r="N294" i="7" s="1"/>
  <c r="O294" i="7" s="1"/>
  <c r="M294" i="7" a="1"/>
  <c r="M294" i="7" s="1"/>
  <c r="L294" i="7"/>
  <c r="K294" i="7" a="1"/>
  <c r="K294" i="7" s="1"/>
  <c r="F294" i="7"/>
  <c r="T293" i="7"/>
  <c r="S293" i="7"/>
  <c r="R293" i="7"/>
  <c r="Q293" i="7" a="1"/>
  <c r="Q293" i="7" s="1"/>
  <c r="P293" i="7"/>
  <c r="N293" i="7" a="1"/>
  <c r="N293" i="7" s="1"/>
  <c r="O293" i="7" s="1"/>
  <c r="M293" i="7" a="1"/>
  <c r="M293" i="7" s="1"/>
  <c r="L293" i="7"/>
  <c r="K293" i="7" a="1"/>
  <c r="K293" i="7" s="1"/>
  <c r="F293" i="7"/>
  <c r="T292" i="7"/>
  <c r="S292" i="7"/>
  <c r="R292" i="7"/>
  <c r="Q292" i="7" a="1"/>
  <c r="Q292" i="7" s="1"/>
  <c r="P292" i="7"/>
  <c r="N292" i="7" a="1"/>
  <c r="N292" i="7" s="1"/>
  <c r="O292" i="7" s="1"/>
  <c r="M292" i="7" a="1"/>
  <c r="M292" i="7" s="1"/>
  <c r="L292" i="7"/>
  <c r="K292" i="7" a="1"/>
  <c r="K292" i="7" s="1"/>
  <c r="F292" i="7"/>
  <c r="T291" i="7"/>
  <c r="S291" i="7"/>
  <c r="R291" i="7"/>
  <c r="Q291" i="7" a="1"/>
  <c r="Q291" i="7" s="1"/>
  <c r="P291" i="7"/>
  <c r="N291" i="7" a="1"/>
  <c r="N291" i="7" s="1"/>
  <c r="O291" i="7" s="1"/>
  <c r="M291" i="7" a="1"/>
  <c r="M291" i="7" s="1"/>
  <c r="L291" i="7"/>
  <c r="K291" i="7" a="1"/>
  <c r="K291" i="7" s="1"/>
  <c r="F291" i="7"/>
  <c r="T290" i="7"/>
  <c r="S290" i="7"/>
  <c r="R290" i="7"/>
  <c r="Q290" i="7" a="1"/>
  <c r="Q290" i="7" s="1"/>
  <c r="P290" i="7"/>
  <c r="N290" i="7" a="1"/>
  <c r="N290" i="7" s="1"/>
  <c r="O290" i="7" s="1"/>
  <c r="M290" i="7" a="1"/>
  <c r="M290" i="7" s="1"/>
  <c r="L290" i="7"/>
  <c r="K290" i="7" a="1"/>
  <c r="K290" i="7" s="1"/>
  <c r="F290" i="7"/>
  <c r="T289" i="7"/>
  <c r="S289" i="7"/>
  <c r="R289" i="7"/>
  <c r="Q289" i="7" a="1"/>
  <c r="Q289" i="7" s="1"/>
  <c r="P289" i="7"/>
  <c r="N289" i="7" a="1"/>
  <c r="N289" i="7" s="1"/>
  <c r="O289" i="7" s="1"/>
  <c r="M289" i="7" a="1"/>
  <c r="M289" i="7" s="1"/>
  <c r="L289" i="7"/>
  <c r="K289" i="7" a="1"/>
  <c r="K289" i="7" s="1"/>
  <c r="F289" i="7"/>
  <c r="T288" i="7"/>
  <c r="S288" i="7"/>
  <c r="R288" i="7"/>
  <c r="Q288" i="7" a="1"/>
  <c r="Q288" i="7" s="1"/>
  <c r="P288" i="7"/>
  <c r="N288" i="7" a="1"/>
  <c r="N288" i="7" s="1"/>
  <c r="O288" i="7" s="1"/>
  <c r="M288" i="7" a="1"/>
  <c r="M288" i="7" s="1"/>
  <c r="L288" i="7"/>
  <c r="K288" i="7" a="1"/>
  <c r="K288" i="7" s="1"/>
  <c r="F288" i="7"/>
  <c r="T287" i="7"/>
  <c r="S287" i="7"/>
  <c r="R287" i="7"/>
  <c r="Q287" i="7" a="1"/>
  <c r="Q287" i="7" s="1"/>
  <c r="P287" i="7"/>
  <c r="N287" i="7" a="1"/>
  <c r="N287" i="7" s="1"/>
  <c r="O287" i="7" s="1"/>
  <c r="M287" i="7" a="1"/>
  <c r="M287" i="7" s="1"/>
  <c r="L287" i="7"/>
  <c r="K287" i="7" a="1"/>
  <c r="K287" i="7" s="1"/>
  <c r="F287" i="7"/>
  <c r="T286" i="7"/>
  <c r="S286" i="7"/>
  <c r="R286" i="7"/>
  <c r="Q286" i="7" a="1"/>
  <c r="Q286" i="7" s="1"/>
  <c r="P286" i="7"/>
  <c r="N286" i="7" a="1"/>
  <c r="N286" i="7" s="1"/>
  <c r="O286" i="7" s="1"/>
  <c r="M286" i="7" a="1"/>
  <c r="M286" i="7" s="1"/>
  <c r="L286" i="7"/>
  <c r="K286" i="7" a="1"/>
  <c r="K286" i="7" s="1"/>
  <c r="F286" i="7"/>
  <c r="T285" i="7"/>
  <c r="S285" i="7"/>
  <c r="R285" i="7"/>
  <c r="Q285" i="7" a="1"/>
  <c r="Q285" i="7" s="1"/>
  <c r="P285" i="7"/>
  <c r="N285" i="7" a="1"/>
  <c r="N285" i="7" s="1"/>
  <c r="O285" i="7" s="1"/>
  <c r="M285" i="7" a="1"/>
  <c r="M285" i="7" s="1"/>
  <c r="L285" i="7"/>
  <c r="K285" i="7" a="1"/>
  <c r="K285" i="7" s="1"/>
  <c r="F285" i="7"/>
  <c r="T284" i="7"/>
  <c r="S284" i="7"/>
  <c r="R284" i="7"/>
  <c r="Q284" i="7" a="1"/>
  <c r="Q284" i="7" s="1"/>
  <c r="P284" i="7"/>
  <c r="N284" i="7" a="1"/>
  <c r="N284" i="7" s="1"/>
  <c r="O284" i="7" s="1"/>
  <c r="M284" i="7" a="1"/>
  <c r="M284" i="7" s="1"/>
  <c r="L284" i="7"/>
  <c r="K284" i="7" a="1"/>
  <c r="K284" i="7" s="1"/>
  <c r="F284" i="7"/>
  <c r="T283" i="7"/>
  <c r="S283" i="7"/>
  <c r="R283" i="7"/>
  <c r="Q283" i="7" a="1"/>
  <c r="Q283" i="7" s="1"/>
  <c r="P283" i="7"/>
  <c r="N283" i="7" a="1"/>
  <c r="N283" i="7" s="1"/>
  <c r="O283" i="7" s="1"/>
  <c r="M283" i="7" a="1"/>
  <c r="M283" i="7" s="1"/>
  <c r="L283" i="7"/>
  <c r="K283" i="7" a="1"/>
  <c r="K283" i="7" s="1"/>
  <c r="F283" i="7"/>
  <c r="T282" i="7"/>
  <c r="S282" i="7"/>
  <c r="R282" i="7"/>
  <c r="Q282" i="7" a="1"/>
  <c r="Q282" i="7" s="1"/>
  <c r="P282" i="7"/>
  <c r="N282" i="7" a="1"/>
  <c r="N282" i="7" s="1"/>
  <c r="O282" i="7" s="1"/>
  <c r="M282" i="7" a="1"/>
  <c r="M282" i="7" s="1"/>
  <c r="L282" i="7"/>
  <c r="K282" i="7" a="1"/>
  <c r="K282" i="7" s="1"/>
  <c r="F282" i="7"/>
  <c r="T281" i="7"/>
  <c r="S281" i="7"/>
  <c r="R281" i="7"/>
  <c r="Q281" i="7" a="1"/>
  <c r="Q281" i="7" s="1"/>
  <c r="P281" i="7"/>
  <c r="N281" i="7" a="1"/>
  <c r="N281" i="7" s="1"/>
  <c r="O281" i="7" s="1"/>
  <c r="M281" i="7" a="1"/>
  <c r="M281" i="7" s="1"/>
  <c r="L281" i="7"/>
  <c r="K281" i="7" a="1"/>
  <c r="K281" i="7" s="1"/>
  <c r="F281" i="7"/>
  <c r="T280" i="7"/>
  <c r="S280" i="7"/>
  <c r="R280" i="7"/>
  <c r="Q280" i="7" a="1"/>
  <c r="Q280" i="7" s="1"/>
  <c r="P280" i="7"/>
  <c r="N280" i="7" a="1"/>
  <c r="N280" i="7" s="1"/>
  <c r="O280" i="7" s="1"/>
  <c r="M280" i="7" a="1"/>
  <c r="M280" i="7" s="1"/>
  <c r="L280" i="7"/>
  <c r="K280" i="7" a="1"/>
  <c r="K280" i="7" s="1"/>
  <c r="F280" i="7"/>
  <c r="T279" i="7"/>
  <c r="S279" i="7"/>
  <c r="R279" i="7"/>
  <c r="Q279" i="7" a="1"/>
  <c r="Q279" i="7" s="1"/>
  <c r="P279" i="7"/>
  <c r="N279" i="7" a="1"/>
  <c r="N279" i="7" s="1"/>
  <c r="O279" i="7" s="1"/>
  <c r="M279" i="7" a="1"/>
  <c r="M279" i="7" s="1"/>
  <c r="L279" i="7"/>
  <c r="K279" i="7" a="1"/>
  <c r="K279" i="7" s="1"/>
  <c r="F279" i="7"/>
  <c r="T278" i="7"/>
  <c r="S278" i="7"/>
  <c r="R278" i="7"/>
  <c r="Q278" i="7" a="1"/>
  <c r="Q278" i="7" s="1"/>
  <c r="P278" i="7"/>
  <c r="N278" i="7" a="1"/>
  <c r="N278" i="7" s="1"/>
  <c r="O278" i="7" s="1"/>
  <c r="M278" i="7" a="1"/>
  <c r="M278" i="7" s="1"/>
  <c r="L278" i="7"/>
  <c r="K278" i="7" a="1"/>
  <c r="K278" i="7" s="1"/>
  <c r="F278" i="7"/>
  <c r="T277" i="7"/>
  <c r="S277" i="7"/>
  <c r="R277" i="7"/>
  <c r="Q277" i="7" a="1"/>
  <c r="Q277" i="7" s="1"/>
  <c r="P277" i="7"/>
  <c r="N277" i="7" a="1"/>
  <c r="N277" i="7" s="1"/>
  <c r="O277" i="7" s="1"/>
  <c r="M277" i="7" a="1"/>
  <c r="M277" i="7" s="1"/>
  <c r="L277" i="7"/>
  <c r="K277" i="7" a="1"/>
  <c r="K277" i="7" s="1"/>
  <c r="F277" i="7"/>
  <c r="T276" i="7"/>
  <c r="S276" i="7"/>
  <c r="R276" i="7"/>
  <c r="Q276" i="7" a="1"/>
  <c r="Q276" i="7" s="1"/>
  <c r="P276" i="7"/>
  <c r="N276" i="7" a="1"/>
  <c r="N276" i="7" s="1"/>
  <c r="O276" i="7" s="1"/>
  <c r="M276" i="7" a="1"/>
  <c r="M276" i="7" s="1"/>
  <c r="L276" i="7"/>
  <c r="K276" i="7" a="1"/>
  <c r="K276" i="7" s="1"/>
  <c r="F276" i="7"/>
  <c r="T275" i="7"/>
  <c r="S275" i="7"/>
  <c r="R275" i="7"/>
  <c r="Q275" i="7" a="1"/>
  <c r="Q275" i="7" s="1"/>
  <c r="P275" i="7"/>
  <c r="N275" i="7" a="1"/>
  <c r="N275" i="7" s="1"/>
  <c r="O275" i="7" s="1"/>
  <c r="M275" i="7" a="1"/>
  <c r="M275" i="7" s="1"/>
  <c r="L275" i="7"/>
  <c r="K275" i="7" a="1"/>
  <c r="K275" i="7" s="1"/>
  <c r="F275" i="7"/>
  <c r="T274" i="7"/>
  <c r="S274" i="7"/>
  <c r="R274" i="7"/>
  <c r="Q274" i="7" a="1"/>
  <c r="Q274" i="7" s="1"/>
  <c r="P274" i="7"/>
  <c r="N274" i="7" a="1"/>
  <c r="N274" i="7" s="1"/>
  <c r="O274" i="7" s="1"/>
  <c r="M274" i="7" a="1"/>
  <c r="M274" i="7" s="1"/>
  <c r="L274" i="7"/>
  <c r="K274" i="7" a="1"/>
  <c r="K274" i="7" s="1"/>
  <c r="F274" i="7"/>
  <c r="T273" i="7"/>
  <c r="S273" i="7"/>
  <c r="R273" i="7"/>
  <c r="Q273" i="7" a="1"/>
  <c r="Q273" i="7" s="1"/>
  <c r="P273" i="7"/>
  <c r="N273" i="7" a="1"/>
  <c r="N273" i="7" s="1"/>
  <c r="O273" i="7" s="1"/>
  <c r="M273" i="7" a="1"/>
  <c r="M273" i="7" s="1"/>
  <c r="L273" i="7"/>
  <c r="K273" i="7" a="1"/>
  <c r="K273" i="7" s="1"/>
  <c r="F273" i="7"/>
  <c r="T272" i="7"/>
  <c r="S272" i="7"/>
  <c r="R272" i="7"/>
  <c r="Q272" i="7" a="1"/>
  <c r="Q272" i="7" s="1"/>
  <c r="P272" i="7"/>
  <c r="N272" i="7" a="1"/>
  <c r="N272" i="7" s="1"/>
  <c r="O272" i="7" s="1"/>
  <c r="M272" i="7" a="1"/>
  <c r="M272" i="7" s="1"/>
  <c r="L272" i="7"/>
  <c r="K272" i="7" a="1"/>
  <c r="K272" i="7" s="1"/>
  <c r="F272" i="7"/>
  <c r="T271" i="7"/>
  <c r="S271" i="7"/>
  <c r="R271" i="7"/>
  <c r="Q271" i="7" a="1"/>
  <c r="Q271" i="7" s="1"/>
  <c r="P271" i="7"/>
  <c r="N271" i="7" a="1"/>
  <c r="N271" i="7" s="1"/>
  <c r="O271" i="7" s="1"/>
  <c r="M271" i="7" a="1"/>
  <c r="M271" i="7" s="1"/>
  <c r="L271" i="7"/>
  <c r="K271" i="7" a="1"/>
  <c r="K271" i="7" s="1"/>
  <c r="F271" i="7"/>
  <c r="T270" i="7"/>
  <c r="S270" i="7"/>
  <c r="R270" i="7"/>
  <c r="Q270" i="7" a="1"/>
  <c r="Q270" i="7" s="1"/>
  <c r="P270" i="7"/>
  <c r="N270" i="7" a="1"/>
  <c r="N270" i="7" s="1"/>
  <c r="O270" i="7" s="1"/>
  <c r="M270" i="7" a="1"/>
  <c r="M270" i="7" s="1"/>
  <c r="L270" i="7"/>
  <c r="K270" i="7" a="1"/>
  <c r="K270" i="7" s="1"/>
  <c r="F270" i="7"/>
  <c r="T269" i="7"/>
  <c r="S269" i="7"/>
  <c r="R269" i="7"/>
  <c r="Q269" i="7" a="1"/>
  <c r="Q269" i="7" s="1"/>
  <c r="P269" i="7"/>
  <c r="N269" i="7" a="1"/>
  <c r="N269" i="7" s="1"/>
  <c r="O269" i="7" s="1"/>
  <c r="M269" i="7" a="1"/>
  <c r="M269" i="7" s="1"/>
  <c r="L269" i="7"/>
  <c r="K269" i="7" a="1"/>
  <c r="K269" i="7" s="1"/>
  <c r="F269" i="7"/>
  <c r="T268" i="7"/>
  <c r="S268" i="7"/>
  <c r="R268" i="7"/>
  <c r="Q268" i="7" a="1"/>
  <c r="Q268" i="7" s="1"/>
  <c r="P268" i="7"/>
  <c r="N268" i="7" a="1"/>
  <c r="N268" i="7" s="1"/>
  <c r="O268" i="7" s="1"/>
  <c r="M268" i="7" a="1"/>
  <c r="M268" i="7" s="1"/>
  <c r="L268" i="7"/>
  <c r="K268" i="7" a="1"/>
  <c r="K268" i="7" s="1"/>
  <c r="F268" i="7"/>
  <c r="T267" i="7"/>
  <c r="S267" i="7"/>
  <c r="R267" i="7"/>
  <c r="Q267" i="7" a="1"/>
  <c r="Q267" i="7" s="1"/>
  <c r="P267" i="7"/>
  <c r="N267" i="7" a="1"/>
  <c r="N267" i="7" s="1"/>
  <c r="O267" i="7" s="1"/>
  <c r="M267" i="7" a="1"/>
  <c r="M267" i="7" s="1"/>
  <c r="L267" i="7"/>
  <c r="K267" i="7" a="1"/>
  <c r="K267" i="7" s="1"/>
  <c r="F267" i="7"/>
  <c r="T266" i="7"/>
  <c r="S266" i="7"/>
  <c r="R266" i="7"/>
  <c r="Q266" i="7" a="1"/>
  <c r="Q266" i="7" s="1"/>
  <c r="P266" i="7"/>
  <c r="N266" i="7" a="1"/>
  <c r="N266" i="7" s="1"/>
  <c r="O266" i="7" s="1"/>
  <c r="M266" i="7" a="1"/>
  <c r="M266" i="7" s="1"/>
  <c r="L266" i="7"/>
  <c r="K266" i="7" a="1"/>
  <c r="K266" i="7" s="1"/>
  <c r="F266" i="7"/>
  <c r="T265" i="7"/>
  <c r="S265" i="7"/>
  <c r="R265" i="7"/>
  <c r="Q265" i="7" a="1"/>
  <c r="Q265" i="7" s="1"/>
  <c r="P265" i="7"/>
  <c r="N265" i="7" a="1"/>
  <c r="N265" i="7" s="1"/>
  <c r="O265" i="7" s="1"/>
  <c r="M265" i="7" a="1"/>
  <c r="M265" i="7" s="1"/>
  <c r="L265" i="7"/>
  <c r="K265" i="7" a="1"/>
  <c r="K265" i="7" s="1"/>
  <c r="F265" i="7"/>
  <c r="T264" i="7"/>
  <c r="S264" i="7"/>
  <c r="R264" i="7"/>
  <c r="Q264" i="7" a="1"/>
  <c r="Q264" i="7" s="1"/>
  <c r="P264" i="7"/>
  <c r="N264" i="7" a="1"/>
  <c r="N264" i="7" s="1"/>
  <c r="O264" i="7" s="1"/>
  <c r="M264" i="7" a="1"/>
  <c r="M264" i="7" s="1"/>
  <c r="L264" i="7"/>
  <c r="K264" i="7" a="1"/>
  <c r="K264" i="7" s="1"/>
  <c r="F264" i="7"/>
  <c r="T263" i="7"/>
  <c r="S263" i="7"/>
  <c r="R263" i="7"/>
  <c r="Q263" i="7" a="1"/>
  <c r="Q263" i="7" s="1"/>
  <c r="P263" i="7"/>
  <c r="N263" i="7" a="1"/>
  <c r="N263" i="7" s="1"/>
  <c r="O263" i="7" s="1"/>
  <c r="M263" i="7" a="1"/>
  <c r="M263" i="7" s="1"/>
  <c r="L263" i="7"/>
  <c r="K263" i="7" a="1"/>
  <c r="K263" i="7" s="1"/>
  <c r="F263" i="7"/>
  <c r="T262" i="7"/>
  <c r="S262" i="7"/>
  <c r="R262" i="7"/>
  <c r="Q262" i="7" a="1"/>
  <c r="Q262" i="7" s="1"/>
  <c r="P262" i="7"/>
  <c r="N262" i="7" a="1"/>
  <c r="N262" i="7" s="1"/>
  <c r="O262" i="7" s="1"/>
  <c r="M262" i="7" a="1"/>
  <c r="M262" i="7" s="1"/>
  <c r="L262" i="7"/>
  <c r="K262" i="7" a="1"/>
  <c r="K262" i="7" s="1"/>
  <c r="F262" i="7"/>
  <c r="T261" i="7"/>
  <c r="S261" i="7"/>
  <c r="R261" i="7"/>
  <c r="Q261" i="7" a="1"/>
  <c r="Q261" i="7" s="1"/>
  <c r="P261" i="7"/>
  <c r="N261" i="7" a="1"/>
  <c r="N261" i="7" s="1"/>
  <c r="O261" i="7" s="1"/>
  <c r="M261" i="7" a="1"/>
  <c r="M261" i="7" s="1"/>
  <c r="L261" i="7"/>
  <c r="K261" i="7" a="1"/>
  <c r="K261" i="7" s="1"/>
  <c r="F261" i="7"/>
  <c r="T260" i="7"/>
  <c r="S260" i="7"/>
  <c r="R260" i="7"/>
  <c r="Q260" i="7" a="1"/>
  <c r="Q260" i="7" s="1"/>
  <c r="P260" i="7"/>
  <c r="N260" i="7" a="1"/>
  <c r="N260" i="7" s="1"/>
  <c r="O260" i="7" s="1"/>
  <c r="M260" i="7" a="1"/>
  <c r="M260" i="7" s="1"/>
  <c r="L260" i="7"/>
  <c r="K260" i="7" a="1"/>
  <c r="K260" i="7" s="1"/>
  <c r="F260" i="7"/>
  <c r="T259" i="7"/>
  <c r="S259" i="7"/>
  <c r="R259" i="7"/>
  <c r="Q259" i="7" a="1"/>
  <c r="Q259" i="7" s="1"/>
  <c r="P259" i="7"/>
  <c r="N259" i="7" a="1"/>
  <c r="N259" i="7" s="1"/>
  <c r="O259" i="7" s="1"/>
  <c r="M259" i="7" a="1"/>
  <c r="M259" i="7" s="1"/>
  <c r="L259" i="7"/>
  <c r="K259" i="7" a="1"/>
  <c r="K259" i="7" s="1"/>
  <c r="F259" i="7"/>
  <c r="T258" i="7"/>
  <c r="S258" i="7"/>
  <c r="R258" i="7"/>
  <c r="Q258" i="7" a="1"/>
  <c r="Q258" i="7" s="1"/>
  <c r="P258" i="7"/>
  <c r="N258" i="7" a="1"/>
  <c r="N258" i="7" s="1"/>
  <c r="O258" i="7" s="1"/>
  <c r="M258" i="7" a="1"/>
  <c r="M258" i="7" s="1"/>
  <c r="L258" i="7"/>
  <c r="K258" i="7" a="1"/>
  <c r="K258" i="7" s="1"/>
  <c r="F258" i="7"/>
  <c r="T257" i="7"/>
  <c r="S257" i="7"/>
  <c r="R257" i="7"/>
  <c r="Q257" i="7" a="1"/>
  <c r="Q257" i="7" s="1"/>
  <c r="P257" i="7"/>
  <c r="N257" i="7" a="1"/>
  <c r="N257" i="7" s="1"/>
  <c r="O257" i="7" s="1"/>
  <c r="M257" i="7" a="1"/>
  <c r="M257" i="7" s="1"/>
  <c r="L257" i="7"/>
  <c r="K257" i="7" a="1"/>
  <c r="K257" i="7" s="1"/>
  <c r="F257" i="7"/>
  <c r="T256" i="7"/>
  <c r="S256" i="7"/>
  <c r="R256" i="7"/>
  <c r="Q256" i="7" a="1"/>
  <c r="Q256" i="7" s="1"/>
  <c r="P256" i="7"/>
  <c r="N256" i="7" a="1"/>
  <c r="N256" i="7" s="1"/>
  <c r="O256" i="7" s="1"/>
  <c r="M256" i="7" a="1"/>
  <c r="M256" i="7" s="1"/>
  <c r="L256" i="7"/>
  <c r="K256" i="7" a="1"/>
  <c r="K256" i="7" s="1"/>
  <c r="F256" i="7"/>
  <c r="T255" i="7"/>
  <c r="S255" i="7"/>
  <c r="R255" i="7"/>
  <c r="Q255" i="7" a="1"/>
  <c r="Q255" i="7" s="1"/>
  <c r="P255" i="7"/>
  <c r="N255" i="7" a="1"/>
  <c r="N255" i="7" s="1"/>
  <c r="O255" i="7" s="1"/>
  <c r="M255" i="7" a="1"/>
  <c r="M255" i="7" s="1"/>
  <c r="L255" i="7"/>
  <c r="K255" i="7" a="1"/>
  <c r="K255" i="7" s="1"/>
  <c r="F255" i="7"/>
  <c r="T254" i="7"/>
  <c r="S254" i="7"/>
  <c r="R254" i="7"/>
  <c r="Q254" i="7" a="1"/>
  <c r="Q254" i="7" s="1"/>
  <c r="P254" i="7"/>
  <c r="N254" i="7" a="1"/>
  <c r="N254" i="7" s="1"/>
  <c r="O254" i="7" s="1"/>
  <c r="M254" i="7" a="1"/>
  <c r="M254" i="7" s="1"/>
  <c r="L254" i="7"/>
  <c r="K254" i="7" a="1"/>
  <c r="K254" i="7" s="1"/>
  <c r="F254" i="7"/>
  <c r="T253" i="7"/>
  <c r="S253" i="7"/>
  <c r="R253" i="7"/>
  <c r="Q253" i="7" a="1"/>
  <c r="Q253" i="7" s="1"/>
  <c r="P253" i="7"/>
  <c r="N253" i="7" a="1"/>
  <c r="N253" i="7" s="1"/>
  <c r="O253" i="7" s="1"/>
  <c r="M253" i="7" a="1"/>
  <c r="M253" i="7" s="1"/>
  <c r="L253" i="7"/>
  <c r="K253" i="7" a="1"/>
  <c r="K253" i="7" s="1"/>
  <c r="F253" i="7"/>
  <c r="T252" i="7"/>
  <c r="S252" i="7"/>
  <c r="R252" i="7"/>
  <c r="Q252" i="7" a="1"/>
  <c r="Q252" i="7" s="1"/>
  <c r="P252" i="7"/>
  <c r="N252" i="7" a="1"/>
  <c r="N252" i="7" s="1"/>
  <c r="O252" i="7" s="1"/>
  <c r="M252" i="7" a="1"/>
  <c r="M252" i="7" s="1"/>
  <c r="L252" i="7"/>
  <c r="K252" i="7" a="1"/>
  <c r="K252" i="7" s="1"/>
  <c r="F252" i="7"/>
  <c r="T251" i="7"/>
  <c r="S251" i="7"/>
  <c r="R251" i="7"/>
  <c r="Q251" i="7" a="1"/>
  <c r="Q251" i="7" s="1"/>
  <c r="P251" i="7"/>
  <c r="N251" i="7" a="1"/>
  <c r="N251" i="7" s="1"/>
  <c r="O251" i="7" s="1"/>
  <c r="M251" i="7" a="1"/>
  <c r="M251" i="7" s="1"/>
  <c r="L251" i="7"/>
  <c r="K251" i="7" a="1"/>
  <c r="K251" i="7" s="1"/>
  <c r="F251" i="7"/>
  <c r="T250" i="7"/>
  <c r="S250" i="7"/>
  <c r="R250" i="7"/>
  <c r="Q250" i="7" a="1"/>
  <c r="Q250" i="7" s="1"/>
  <c r="P250" i="7"/>
  <c r="N250" i="7" a="1"/>
  <c r="N250" i="7" s="1"/>
  <c r="O250" i="7" s="1"/>
  <c r="M250" i="7" a="1"/>
  <c r="M250" i="7" s="1"/>
  <c r="L250" i="7"/>
  <c r="K250" i="7" a="1"/>
  <c r="K250" i="7" s="1"/>
  <c r="F250" i="7"/>
  <c r="T249" i="7"/>
  <c r="S249" i="7"/>
  <c r="R249" i="7"/>
  <c r="Q249" i="7" a="1"/>
  <c r="Q249" i="7" s="1"/>
  <c r="P249" i="7"/>
  <c r="N249" i="7" a="1"/>
  <c r="N249" i="7" s="1"/>
  <c r="O249" i="7" s="1"/>
  <c r="M249" i="7" a="1"/>
  <c r="M249" i="7" s="1"/>
  <c r="L249" i="7"/>
  <c r="K249" i="7" a="1"/>
  <c r="K249" i="7" s="1"/>
  <c r="F249" i="7"/>
  <c r="T248" i="7"/>
  <c r="S248" i="7"/>
  <c r="R248" i="7"/>
  <c r="Q248" i="7" a="1"/>
  <c r="Q248" i="7" s="1"/>
  <c r="P248" i="7"/>
  <c r="N248" i="7" a="1"/>
  <c r="N248" i="7" s="1"/>
  <c r="O248" i="7" s="1"/>
  <c r="M248" i="7" a="1"/>
  <c r="M248" i="7" s="1"/>
  <c r="L248" i="7"/>
  <c r="K248" i="7" a="1"/>
  <c r="K248" i="7" s="1"/>
  <c r="F248" i="7"/>
  <c r="T247" i="7"/>
  <c r="S247" i="7"/>
  <c r="R247" i="7"/>
  <c r="Q247" i="7" a="1"/>
  <c r="Q247" i="7" s="1"/>
  <c r="P247" i="7"/>
  <c r="N247" i="7" a="1"/>
  <c r="N247" i="7" s="1"/>
  <c r="O247" i="7" s="1"/>
  <c r="M247" i="7" a="1"/>
  <c r="M247" i="7" s="1"/>
  <c r="L247" i="7"/>
  <c r="K247" i="7" a="1"/>
  <c r="K247" i="7" s="1"/>
  <c r="F247" i="7"/>
  <c r="T246" i="7"/>
  <c r="S246" i="7"/>
  <c r="R246" i="7"/>
  <c r="Q246" i="7" a="1"/>
  <c r="Q246" i="7" s="1"/>
  <c r="P246" i="7"/>
  <c r="N246" i="7" a="1"/>
  <c r="N246" i="7" s="1"/>
  <c r="O246" i="7" s="1"/>
  <c r="M246" i="7" a="1"/>
  <c r="M246" i="7" s="1"/>
  <c r="L246" i="7"/>
  <c r="K246" i="7" a="1"/>
  <c r="K246" i="7" s="1"/>
  <c r="F246" i="7"/>
  <c r="T245" i="7"/>
  <c r="S245" i="7"/>
  <c r="R245" i="7"/>
  <c r="Q245" i="7" a="1"/>
  <c r="Q245" i="7" s="1"/>
  <c r="P245" i="7"/>
  <c r="N245" i="7" a="1"/>
  <c r="N245" i="7" s="1"/>
  <c r="O245" i="7" s="1"/>
  <c r="M245" i="7" a="1"/>
  <c r="M245" i="7" s="1"/>
  <c r="L245" i="7"/>
  <c r="K245" i="7" a="1"/>
  <c r="K245" i="7" s="1"/>
  <c r="F245" i="7"/>
  <c r="T244" i="7"/>
  <c r="S244" i="7"/>
  <c r="R244" i="7"/>
  <c r="Q244" i="7" a="1"/>
  <c r="Q244" i="7" s="1"/>
  <c r="P244" i="7"/>
  <c r="N244" i="7" a="1"/>
  <c r="N244" i="7" s="1"/>
  <c r="O244" i="7" s="1"/>
  <c r="M244" i="7" a="1"/>
  <c r="M244" i="7" s="1"/>
  <c r="L244" i="7"/>
  <c r="K244" i="7" a="1"/>
  <c r="K244" i="7" s="1"/>
  <c r="F244" i="7"/>
  <c r="T243" i="7"/>
  <c r="S243" i="7"/>
  <c r="R243" i="7"/>
  <c r="Q243" i="7" a="1"/>
  <c r="Q243" i="7" s="1"/>
  <c r="P243" i="7"/>
  <c r="N243" i="7" a="1"/>
  <c r="N243" i="7" s="1"/>
  <c r="O243" i="7" s="1"/>
  <c r="M243" i="7" a="1"/>
  <c r="M243" i="7" s="1"/>
  <c r="L243" i="7"/>
  <c r="K243" i="7" a="1"/>
  <c r="K243" i="7" s="1"/>
  <c r="F243" i="7"/>
  <c r="T242" i="7"/>
  <c r="S242" i="7"/>
  <c r="R242" i="7"/>
  <c r="Q242" i="7" a="1"/>
  <c r="Q242" i="7" s="1"/>
  <c r="P242" i="7"/>
  <c r="N242" i="7" a="1"/>
  <c r="N242" i="7" s="1"/>
  <c r="O242" i="7" s="1"/>
  <c r="M242" i="7" a="1"/>
  <c r="M242" i="7" s="1"/>
  <c r="L242" i="7"/>
  <c r="K242" i="7" a="1"/>
  <c r="K242" i="7" s="1"/>
  <c r="F242" i="7"/>
  <c r="T241" i="7"/>
  <c r="S241" i="7"/>
  <c r="R241" i="7"/>
  <c r="Q241" i="7" a="1"/>
  <c r="Q241" i="7" s="1"/>
  <c r="P241" i="7"/>
  <c r="N241" i="7" a="1"/>
  <c r="N241" i="7" s="1"/>
  <c r="O241" i="7" s="1"/>
  <c r="M241" i="7" a="1"/>
  <c r="M241" i="7" s="1"/>
  <c r="L241" i="7"/>
  <c r="K241" i="7" a="1"/>
  <c r="K241" i="7" s="1"/>
  <c r="F241" i="7"/>
  <c r="T240" i="7"/>
  <c r="S240" i="7"/>
  <c r="R240" i="7"/>
  <c r="Q240" i="7" a="1"/>
  <c r="Q240" i="7" s="1"/>
  <c r="P240" i="7"/>
  <c r="N240" i="7" a="1"/>
  <c r="N240" i="7" s="1"/>
  <c r="O240" i="7" s="1"/>
  <c r="M240" i="7" a="1"/>
  <c r="M240" i="7" s="1"/>
  <c r="L240" i="7"/>
  <c r="K240" i="7" a="1"/>
  <c r="K240" i="7" s="1"/>
  <c r="F240" i="7"/>
  <c r="T239" i="7"/>
  <c r="S239" i="7"/>
  <c r="R239" i="7"/>
  <c r="Q239" i="7" a="1"/>
  <c r="Q239" i="7" s="1"/>
  <c r="P239" i="7"/>
  <c r="N239" i="7" a="1"/>
  <c r="N239" i="7" s="1"/>
  <c r="O239" i="7" s="1"/>
  <c r="M239" i="7" a="1"/>
  <c r="M239" i="7" s="1"/>
  <c r="L239" i="7"/>
  <c r="K239" i="7" a="1"/>
  <c r="K239" i="7" s="1"/>
  <c r="F239" i="7"/>
  <c r="T238" i="7"/>
  <c r="S238" i="7"/>
  <c r="R238" i="7"/>
  <c r="Q238" i="7" a="1"/>
  <c r="Q238" i="7" s="1"/>
  <c r="P238" i="7"/>
  <c r="N238" i="7" a="1"/>
  <c r="N238" i="7" s="1"/>
  <c r="O238" i="7" s="1"/>
  <c r="M238" i="7" a="1"/>
  <c r="M238" i="7" s="1"/>
  <c r="L238" i="7"/>
  <c r="K238" i="7" a="1"/>
  <c r="K238" i="7" s="1"/>
  <c r="F238" i="7"/>
  <c r="T237" i="7"/>
  <c r="S237" i="7"/>
  <c r="R237" i="7"/>
  <c r="Q237" i="7" a="1"/>
  <c r="Q237" i="7" s="1"/>
  <c r="P237" i="7"/>
  <c r="N237" i="7" a="1"/>
  <c r="N237" i="7" s="1"/>
  <c r="O237" i="7" s="1"/>
  <c r="M237" i="7" a="1"/>
  <c r="M237" i="7" s="1"/>
  <c r="L237" i="7"/>
  <c r="K237" i="7" a="1"/>
  <c r="K237" i="7" s="1"/>
  <c r="F237" i="7"/>
  <c r="T236" i="7"/>
  <c r="S236" i="7"/>
  <c r="R236" i="7"/>
  <c r="Q236" i="7" a="1"/>
  <c r="Q236" i="7" s="1"/>
  <c r="P236" i="7"/>
  <c r="N236" i="7" a="1"/>
  <c r="N236" i="7" s="1"/>
  <c r="O236" i="7" s="1"/>
  <c r="M236" i="7" a="1"/>
  <c r="M236" i="7" s="1"/>
  <c r="L236" i="7"/>
  <c r="K236" i="7" a="1"/>
  <c r="K236" i="7" s="1"/>
  <c r="F236" i="7"/>
  <c r="T235" i="7"/>
  <c r="S235" i="7"/>
  <c r="R235" i="7"/>
  <c r="Q235" i="7" a="1"/>
  <c r="Q235" i="7" s="1"/>
  <c r="P235" i="7"/>
  <c r="N235" i="7" a="1"/>
  <c r="N235" i="7" s="1"/>
  <c r="O235" i="7" s="1"/>
  <c r="M235" i="7" a="1"/>
  <c r="M235" i="7" s="1"/>
  <c r="L235" i="7"/>
  <c r="K235" i="7" a="1"/>
  <c r="K235" i="7" s="1"/>
  <c r="F235" i="7"/>
  <c r="T234" i="7"/>
  <c r="S234" i="7"/>
  <c r="R234" i="7"/>
  <c r="Q234" i="7" a="1"/>
  <c r="Q234" i="7" s="1"/>
  <c r="P234" i="7"/>
  <c r="N234" i="7" a="1"/>
  <c r="N234" i="7" s="1"/>
  <c r="O234" i="7" s="1"/>
  <c r="M234" i="7" a="1"/>
  <c r="M234" i="7" s="1"/>
  <c r="L234" i="7"/>
  <c r="K234" i="7" a="1"/>
  <c r="K234" i="7" s="1"/>
  <c r="F234" i="7"/>
  <c r="T233" i="7"/>
  <c r="S233" i="7"/>
  <c r="R233" i="7"/>
  <c r="Q233" i="7" a="1"/>
  <c r="Q233" i="7" s="1"/>
  <c r="P233" i="7"/>
  <c r="N233" i="7" a="1"/>
  <c r="N233" i="7" s="1"/>
  <c r="O233" i="7" s="1"/>
  <c r="M233" i="7" a="1"/>
  <c r="M233" i="7" s="1"/>
  <c r="L233" i="7"/>
  <c r="K233" i="7" a="1"/>
  <c r="K233" i="7" s="1"/>
  <c r="F233" i="7"/>
  <c r="T232" i="7"/>
  <c r="S232" i="7"/>
  <c r="R232" i="7"/>
  <c r="Q232" i="7" a="1"/>
  <c r="Q232" i="7" s="1"/>
  <c r="P232" i="7"/>
  <c r="N232" i="7" a="1"/>
  <c r="N232" i="7" s="1"/>
  <c r="O232" i="7" s="1"/>
  <c r="M232" i="7" a="1"/>
  <c r="M232" i="7" s="1"/>
  <c r="L232" i="7"/>
  <c r="K232" i="7" a="1"/>
  <c r="K232" i="7" s="1"/>
  <c r="F232" i="7"/>
  <c r="T231" i="7"/>
  <c r="S231" i="7"/>
  <c r="R231" i="7"/>
  <c r="Q231" i="7" a="1"/>
  <c r="Q231" i="7" s="1"/>
  <c r="P231" i="7"/>
  <c r="N231" i="7" a="1"/>
  <c r="N231" i="7" s="1"/>
  <c r="O231" i="7" s="1"/>
  <c r="M231" i="7" a="1"/>
  <c r="M231" i="7" s="1"/>
  <c r="L231" i="7"/>
  <c r="K231" i="7" a="1"/>
  <c r="K231" i="7" s="1"/>
  <c r="F231" i="7"/>
  <c r="T230" i="7"/>
  <c r="S230" i="7"/>
  <c r="R230" i="7"/>
  <c r="Q230" i="7" a="1"/>
  <c r="Q230" i="7" s="1"/>
  <c r="P230" i="7"/>
  <c r="N230" i="7" a="1"/>
  <c r="N230" i="7" s="1"/>
  <c r="O230" i="7" s="1"/>
  <c r="M230" i="7" a="1"/>
  <c r="M230" i="7" s="1"/>
  <c r="L230" i="7"/>
  <c r="K230" i="7" a="1"/>
  <c r="K230" i="7" s="1"/>
  <c r="F230" i="7"/>
  <c r="T229" i="7"/>
  <c r="S229" i="7"/>
  <c r="R229" i="7"/>
  <c r="Q229" i="7" a="1"/>
  <c r="Q229" i="7" s="1"/>
  <c r="P229" i="7"/>
  <c r="N229" i="7" a="1"/>
  <c r="N229" i="7" s="1"/>
  <c r="O229" i="7" s="1"/>
  <c r="M229" i="7" a="1"/>
  <c r="M229" i="7" s="1"/>
  <c r="L229" i="7"/>
  <c r="K229" i="7" a="1"/>
  <c r="K229" i="7" s="1"/>
  <c r="F229" i="7"/>
  <c r="T228" i="7"/>
  <c r="S228" i="7"/>
  <c r="R228" i="7"/>
  <c r="Q228" i="7" a="1"/>
  <c r="Q228" i="7" s="1"/>
  <c r="P228" i="7"/>
  <c r="N228" i="7" a="1"/>
  <c r="N228" i="7" s="1"/>
  <c r="O228" i="7" s="1"/>
  <c r="M228" i="7" a="1"/>
  <c r="M228" i="7" s="1"/>
  <c r="L228" i="7"/>
  <c r="K228" i="7" a="1"/>
  <c r="K228" i="7" s="1"/>
  <c r="F228" i="7"/>
  <c r="T227" i="7"/>
  <c r="S227" i="7"/>
  <c r="R227" i="7"/>
  <c r="Q227" i="7" a="1"/>
  <c r="Q227" i="7" s="1"/>
  <c r="P227" i="7"/>
  <c r="N227" i="7" a="1"/>
  <c r="N227" i="7" s="1"/>
  <c r="O227" i="7" s="1"/>
  <c r="M227" i="7" a="1"/>
  <c r="M227" i="7" s="1"/>
  <c r="L227" i="7"/>
  <c r="K227" i="7" a="1"/>
  <c r="K227" i="7" s="1"/>
  <c r="F227" i="7"/>
  <c r="T226" i="7"/>
  <c r="S226" i="7"/>
  <c r="R226" i="7"/>
  <c r="Q226" i="7" a="1"/>
  <c r="Q226" i="7" s="1"/>
  <c r="P226" i="7"/>
  <c r="N226" i="7" a="1"/>
  <c r="N226" i="7" s="1"/>
  <c r="O226" i="7" s="1"/>
  <c r="M226" i="7" a="1"/>
  <c r="M226" i="7" s="1"/>
  <c r="L226" i="7"/>
  <c r="K226" i="7" a="1"/>
  <c r="K226" i="7" s="1"/>
  <c r="F226" i="7"/>
  <c r="T225" i="7"/>
  <c r="S225" i="7"/>
  <c r="R225" i="7"/>
  <c r="Q225" i="7" a="1"/>
  <c r="Q225" i="7" s="1"/>
  <c r="P225" i="7"/>
  <c r="N225" i="7" a="1"/>
  <c r="N225" i="7" s="1"/>
  <c r="O225" i="7" s="1"/>
  <c r="M225" i="7" a="1"/>
  <c r="M225" i="7" s="1"/>
  <c r="L225" i="7"/>
  <c r="K225" i="7" a="1"/>
  <c r="K225" i="7" s="1"/>
  <c r="F225" i="7"/>
  <c r="T224" i="7"/>
  <c r="S224" i="7"/>
  <c r="R224" i="7"/>
  <c r="Q224" i="7" a="1"/>
  <c r="Q224" i="7" s="1"/>
  <c r="P224" i="7"/>
  <c r="N224" i="7" a="1"/>
  <c r="N224" i="7" s="1"/>
  <c r="O224" i="7" s="1"/>
  <c r="M224" i="7" a="1"/>
  <c r="M224" i="7" s="1"/>
  <c r="L224" i="7"/>
  <c r="K224" i="7" a="1"/>
  <c r="K224" i="7" s="1"/>
  <c r="F224" i="7"/>
  <c r="T223" i="7"/>
  <c r="S223" i="7"/>
  <c r="R223" i="7"/>
  <c r="Q223" i="7" a="1"/>
  <c r="Q223" i="7" s="1"/>
  <c r="P223" i="7"/>
  <c r="N223" i="7" a="1"/>
  <c r="N223" i="7" s="1"/>
  <c r="O223" i="7" s="1"/>
  <c r="M223" i="7" a="1"/>
  <c r="M223" i="7" s="1"/>
  <c r="L223" i="7"/>
  <c r="K223" i="7" a="1"/>
  <c r="K223" i="7" s="1"/>
  <c r="F223" i="7"/>
  <c r="T222" i="7"/>
  <c r="S222" i="7"/>
  <c r="R222" i="7"/>
  <c r="Q222" i="7" a="1"/>
  <c r="Q222" i="7" s="1"/>
  <c r="P222" i="7"/>
  <c r="N222" i="7" a="1"/>
  <c r="N222" i="7" s="1"/>
  <c r="O222" i="7" s="1"/>
  <c r="M222" i="7" a="1"/>
  <c r="M222" i="7" s="1"/>
  <c r="L222" i="7"/>
  <c r="K222" i="7" a="1"/>
  <c r="K222" i="7" s="1"/>
  <c r="F222" i="7"/>
  <c r="T221" i="7"/>
  <c r="S221" i="7"/>
  <c r="R221" i="7"/>
  <c r="Q221" i="7" a="1"/>
  <c r="Q221" i="7" s="1"/>
  <c r="P221" i="7"/>
  <c r="N221" i="7" a="1"/>
  <c r="N221" i="7" s="1"/>
  <c r="O221" i="7" s="1"/>
  <c r="M221" i="7" a="1"/>
  <c r="M221" i="7" s="1"/>
  <c r="L221" i="7"/>
  <c r="K221" i="7" a="1"/>
  <c r="K221" i="7" s="1"/>
  <c r="F221" i="7"/>
  <c r="T220" i="7"/>
  <c r="S220" i="7"/>
  <c r="R220" i="7"/>
  <c r="Q220" i="7" a="1"/>
  <c r="Q220" i="7" s="1"/>
  <c r="P220" i="7"/>
  <c r="N220" i="7" a="1"/>
  <c r="N220" i="7" s="1"/>
  <c r="O220" i="7" s="1"/>
  <c r="M220" i="7" a="1"/>
  <c r="M220" i="7" s="1"/>
  <c r="L220" i="7"/>
  <c r="K220" i="7" a="1"/>
  <c r="K220" i="7" s="1"/>
  <c r="F220" i="7"/>
  <c r="T219" i="7"/>
  <c r="S219" i="7"/>
  <c r="R219" i="7"/>
  <c r="Q219" i="7" a="1"/>
  <c r="Q219" i="7" s="1"/>
  <c r="P219" i="7"/>
  <c r="N219" i="7" a="1"/>
  <c r="N219" i="7" s="1"/>
  <c r="O219" i="7" s="1"/>
  <c r="M219" i="7" a="1"/>
  <c r="M219" i="7" s="1"/>
  <c r="L219" i="7"/>
  <c r="K219" i="7" a="1"/>
  <c r="K219" i="7" s="1"/>
  <c r="F219" i="7"/>
  <c r="T218" i="7"/>
  <c r="S218" i="7"/>
  <c r="R218" i="7"/>
  <c r="Q218" i="7" a="1"/>
  <c r="Q218" i="7" s="1"/>
  <c r="P218" i="7"/>
  <c r="N218" i="7" a="1"/>
  <c r="N218" i="7" s="1"/>
  <c r="O218" i="7" s="1"/>
  <c r="M218" i="7" a="1"/>
  <c r="M218" i="7" s="1"/>
  <c r="L218" i="7"/>
  <c r="K218" i="7" a="1"/>
  <c r="K218" i="7" s="1"/>
  <c r="F218" i="7"/>
  <c r="T217" i="7"/>
  <c r="S217" i="7"/>
  <c r="R217" i="7"/>
  <c r="Q217" i="7" a="1"/>
  <c r="Q217" i="7" s="1"/>
  <c r="P217" i="7"/>
  <c r="N217" i="7" a="1"/>
  <c r="N217" i="7" s="1"/>
  <c r="O217" i="7" s="1"/>
  <c r="M217" i="7" a="1"/>
  <c r="M217" i="7" s="1"/>
  <c r="L217" i="7"/>
  <c r="K217" i="7" a="1"/>
  <c r="K217" i="7" s="1"/>
  <c r="F217" i="7"/>
  <c r="T216" i="7"/>
  <c r="S216" i="7"/>
  <c r="R216" i="7"/>
  <c r="Q216" i="7" a="1"/>
  <c r="Q216" i="7" s="1"/>
  <c r="P216" i="7"/>
  <c r="N216" i="7" a="1"/>
  <c r="N216" i="7" s="1"/>
  <c r="O216" i="7" s="1"/>
  <c r="M216" i="7" a="1"/>
  <c r="M216" i="7" s="1"/>
  <c r="L216" i="7"/>
  <c r="K216" i="7" a="1"/>
  <c r="K216" i="7" s="1"/>
  <c r="F216" i="7"/>
  <c r="T215" i="7"/>
  <c r="S215" i="7"/>
  <c r="R215" i="7"/>
  <c r="Q215" i="7" a="1"/>
  <c r="Q215" i="7" s="1"/>
  <c r="P215" i="7"/>
  <c r="N215" i="7" a="1"/>
  <c r="N215" i="7" s="1"/>
  <c r="O215" i="7" s="1"/>
  <c r="M215" i="7" a="1"/>
  <c r="M215" i="7" s="1"/>
  <c r="L215" i="7"/>
  <c r="K215" i="7" a="1"/>
  <c r="K215" i="7" s="1"/>
  <c r="F215" i="7"/>
  <c r="T214" i="7"/>
  <c r="S214" i="7"/>
  <c r="R214" i="7"/>
  <c r="Q214" i="7" a="1"/>
  <c r="Q214" i="7" s="1"/>
  <c r="P214" i="7"/>
  <c r="N214" i="7" a="1"/>
  <c r="N214" i="7" s="1"/>
  <c r="O214" i="7" s="1"/>
  <c r="M214" i="7" a="1"/>
  <c r="M214" i="7" s="1"/>
  <c r="L214" i="7"/>
  <c r="K214" i="7" a="1"/>
  <c r="K214" i="7" s="1"/>
  <c r="F214" i="7"/>
  <c r="T213" i="7"/>
  <c r="S213" i="7"/>
  <c r="R213" i="7"/>
  <c r="Q213" i="7" a="1"/>
  <c r="Q213" i="7" s="1"/>
  <c r="P213" i="7"/>
  <c r="N213" i="7" a="1"/>
  <c r="N213" i="7" s="1"/>
  <c r="O213" i="7" s="1"/>
  <c r="M213" i="7" a="1"/>
  <c r="M213" i="7" s="1"/>
  <c r="L213" i="7"/>
  <c r="K213" i="7" a="1"/>
  <c r="K213" i="7" s="1"/>
  <c r="F213" i="7"/>
  <c r="T212" i="7"/>
  <c r="S212" i="7"/>
  <c r="R212" i="7"/>
  <c r="Q212" i="7" a="1"/>
  <c r="Q212" i="7" s="1"/>
  <c r="P212" i="7"/>
  <c r="N212" i="7" a="1"/>
  <c r="N212" i="7" s="1"/>
  <c r="O212" i="7" s="1"/>
  <c r="M212" i="7" a="1"/>
  <c r="M212" i="7" s="1"/>
  <c r="L212" i="7"/>
  <c r="K212" i="7" a="1"/>
  <c r="K212" i="7" s="1"/>
  <c r="F212" i="7"/>
  <c r="T211" i="7"/>
  <c r="S211" i="7"/>
  <c r="R211" i="7"/>
  <c r="Q211" i="7" a="1"/>
  <c r="Q211" i="7" s="1"/>
  <c r="P211" i="7"/>
  <c r="N211" i="7" a="1"/>
  <c r="N211" i="7" s="1"/>
  <c r="O211" i="7" s="1"/>
  <c r="M211" i="7" a="1"/>
  <c r="M211" i="7" s="1"/>
  <c r="L211" i="7"/>
  <c r="K211" i="7" a="1"/>
  <c r="K211" i="7" s="1"/>
  <c r="F211" i="7"/>
  <c r="T210" i="7"/>
  <c r="S210" i="7"/>
  <c r="R210" i="7"/>
  <c r="Q210" i="7" a="1"/>
  <c r="Q210" i="7" s="1"/>
  <c r="P210" i="7"/>
  <c r="N210" i="7" a="1"/>
  <c r="N210" i="7" s="1"/>
  <c r="O210" i="7" s="1"/>
  <c r="M210" i="7" a="1"/>
  <c r="M210" i="7" s="1"/>
  <c r="L210" i="7"/>
  <c r="K210" i="7" a="1"/>
  <c r="K210" i="7" s="1"/>
  <c r="F210" i="7"/>
  <c r="T209" i="7"/>
  <c r="S209" i="7"/>
  <c r="R209" i="7"/>
  <c r="Q209" i="7" a="1"/>
  <c r="Q209" i="7" s="1"/>
  <c r="P209" i="7"/>
  <c r="N209" i="7" a="1"/>
  <c r="N209" i="7" s="1"/>
  <c r="O209" i="7" s="1"/>
  <c r="M209" i="7" a="1"/>
  <c r="M209" i="7" s="1"/>
  <c r="L209" i="7"/>
  <c r="K209" i="7" a="1"/>
  <c r="K209" i="7" s="1"/>
  <c r="F209" i="7"/>
  <c r="T208" i="7"/>
  <c r="S208" i="7"/>
  <c r="R208" i="7"/>
  <c r="Q208" i="7" a="1"/>
  <c r="Q208" i="7" s="1"/>
  <c r="P208" i="7"/>
  <c r="N208" i="7" a="1"/>
  <c r="N208" i="7" s="1"/>
  <c r="O208" i="7" s="1"/>
  <c r="M208" i="7" a="1"/>
  <c r="M208" i="7" s="1"/>
  <c r="L208" i="7"/>
  <c r="K208" i="7" a="1"/>
  <c r="K208" i="7" s="1"/>
  <c r="F208" i="7"/>
  <c r="T207" i="7"/>
  <c r="S207" i="7"/>
  <c r="R207" i="7"/>
  <c r="Q207" i="7" a="1"/>
  <c r="Q207" i="7" s="1"/>
  <c r="P207" i="7"/>
  <c r="N207" i="7" a="1"/>
  <c r="N207" i="7" s="1"/>
  <c r="O207" i="7" s="1"/>
  <c r="M207" i="7" a="1"/>
  <c r="M207" i="7" s="1"/>
  <c r="L207" i="7"/>
  <c r="K207" i="7" a="1"/>
  <c r="K207" i="7" s="1"/>
  <c r="F207" i="7"/>
  <c r="T206" i="7"/>
  <c r="S206" i="7"/>
  <c r="R206" i="7"/>
  <c r="Q206" i="7" a="1"/>
  <c r="Q206" i="7" s="1"/>
  <c r="P206" i="7"/>
  <c r="N206" i="7" a="1"/>
  <c r="N206" i="7" s="1"/>
  <c r="O206" i="7" s="1"/>
  <c r="M206" i="7" a="1"/>
  <c r="M206" i="7" s="1"/>
  <c r="L206" i="7"/>
  <c r="K206" i="7" a="1"/>
  <c r="K206" i="7" s="1"/>
  <c r="F206" i="7"/>
  <c r="T205" i="7"/>
  <c r="S205" i="7"/>
  <c r="R205" i="7"/>
  <c r="Q205" i="7" a="1"/>
  <c r="Q205" i="7" s="1"/>
  <c r="P205" i="7"/>
  <c r="N205" i="7" a="1"/>
  <c r="N205" i="7" s="1"/>
  <c r="O205" i="7" s="1"/>
  <c r="M205" i="7" a="1"/>
  <c r="M205" i="7" s="1"/>
  <c r="L205" i="7"/>
  <c r="K205" i="7" a="1"/>
  <c r="K205" i="7" s="1"/>
  <c r="F205" i="7"/>
  <c r="T204" i="7"/>
  <c r="S204" i="7"/>
  <c r="R204" i="7"/>
  <c r="Q204" i="7" a="1"/>
  <c r="Q204" i="7" s="1"/>
  <c r="P204" i="7"/>
  <c r="N204" i="7" a="1"/>
  <c r="N204" i="7" s="1"/>
  <c r="O204" i="7" s="1"/>
  <c r="M204" i="7" a="1"/>
  <c r="M204" i="7" s="1"/>
  <c r="L204" i="7"/>
  <c r="K204" i="7" a="1"/>
  <c r="K204" i="7" s="1"/>
  <c r="F204" i="7"/>
  <c r="T203" i="7"/>
  <c r="S203" i="7"/>
  <c r="R203" i="7"/>
  <c r="Q203" i="7" a="1"/>
  <c r="Q203" i="7" s="1"/>
  <c r="P203" i="7"/>
  <c r="N203" i="7" a="1"/>
  <c r="N203" i="7" s="1"/>
  <c r="O203" i="7" s="1"/>
  <c r="M203" i="7" a="1"/>
  <c r="M203" i="7" s="1"/>
  <c r="L203" i="7"/>
  <c r="K203" i="7" a="1"/>
  <c r="K203" i="7" s="1"/>
  <c r="F203" i="7"/>
  <c r="T202" i="7"/>
  <c r="S202" i="7"/>
  <c r="R202" i="7"/>
  <c r="Q202" i="7" a="1"/>
  <c r="Q202" i="7" s="1"/>
  <c r="P202" i="7"/>
  <c r="N202" i="7" a="1"/>
  <c r="N202" i="7" s="1"/>
  <c r="O202" i="7" s="1"/>
  <c r="M202" i="7" a="1"/>
  <c r="M202" i="7" s="1"/>
  <c r="L202" i="7"/>
  <c r="K202" i="7" a="1"/>
  <c r="K202" i="7" s="1"/>
  <c r="F202" i="7"/>
  <c r="T201" i="7"/>
  <c r="S201" i="7"/>
  <c r="R201" i="7"/>
  <c r="Q201" i="7" a="1"/>
  <c r="Q201" i="7" s="1"/>
  <c r="P201" i="7"/>
  <c r="N201" i="7" a="1"/>
  <c r="N201" i="7" s="1"/>
  <c r="O201" i="7" s="1"/>
  <c r="M201" i="7" a="1"/>
  <c r="M201" i="7" s="1"/>
  <c r="L201" i="7"/>
  <c r="K201" i="7" a="1"/>
  <c r="K201" i="7" s="1"/>
  <c r="F201" i="7"/>
  <c r="T200" i="7"/>
  <c r="S200" i="7"/>
  <c r="R200" i="7"/>
  <c r="Q200" i="7" a="1"/>
  <c r="Q200" i="7" s="1"/>
  <c r="P200" i="7"/>
  <c r="N200" i="7" a="1"/>
  <c r="N200" i="7" s="1"/>
  <c r="O200" i="7" s="1"/>
  <c r="M200" i="7" a="1"/>
  <c r="M200" i="7" s="1"/>
  <c r="L200" i="7"/>
  <c r="K200" i="7" a="1"/>
  <c r="K200" i="7" s="1"/>
  <c r="F200" i="7"/>
  <c r="T199" i="7"/>
  <c r="S199" i="7"/>
  <c r="R199" i="7"/>
  <c r="Q199" i="7" a="1"/>
  <c r="Q199" i="7" s="1"/>
  <c r="P199" i="7"/>
  <c r="N199" i="7" a="1"/>
  <c r="N199" i="7" s="1"/>
  <c r="O199" i="7" s="1"/>
  <c r="M199" i="7" a="1"/>
  <c r="M199" i="7" s="1"/>
  <c r="L199" i="7"/>
  <c r="K199" i="7" a="1"/>
  <c r="K199" i="7" s="1"/>
  <c r="F199" i="7"/>
  <c r="T198" i="7"/>
  <c r="S198" i="7"/>
  <c r="R198" i="7"/>
  <c r="Q198" i="7" a="1"/>
  <c r="Q198" i="7" s="1"/>
  <c r="P198" i="7"/>
  <c r="N198" i="7" a="1"/>
  <c r="N198" i="7" s="1"/>
  <c r="O198" i="7" s="1"/>
  <c r="M198" i="7" a="1"/>
  <c r="M198" i="7" s="1"/>
  <c r="L198" i="7"/>
  <c r="K198" i="7" a="1"/>
  <c r="K198" i="7" s="1"/>
  <c r="F198" i="7"/>
  <c r="T197" i="7"/>
  <c r="S197" i="7"/>
  <c r="R197" i="7"/>
  <c r="Q197" i="7" a="1"/>
  <c r="Q197" i="7" s="1"/>
  <c r="P197" i="7"/>
  <c r="N197" i="7" a="1"/>
  <c r="N197" i="7" s="1"/>
  <c r="O197" i="7" s="1"/>
  <c r="M197" i="7" a="1"/>
  <c r="M197" i="7" s="1"/>
  <c r="L197" i="7"/>
  <c r="K197" i="7" a="1"/>
  <c r="K197" i="7" s="1"/>
  <c r="F197" i="7"/>
  <c r="T196" i="7"/>
  <c r="S196" i="7"/>
  <c r="R196" i="7"/>
  <c r="Q196" i="7" a="1"/>
  <c r="Q196" i="7" s="1"/>
  <c r="P196" i="7"/>
  <c r="N196" i="7" a="1"/>
  <c r="N196" i="7" s="1"/>
  <c r="O196" i="7" s="1"/>
  <c r="M196" i="7" a="1"/>
  <c r="M196" i="7" s="1"/>
  <c r="L196" i="7"/>
  <c r="K196" i="7" a="1"/>
  <c r="K196" i="7" s="1"/>
  <c r="F196" i="7"/>
  <c r="T195" i="7"/>
  <c r="S195" i="7"/>
  <c r="R195" i="7"/>
  <c r="Q195" i="7" a="1"/>
  <c r="Q195" i="7" s="1"/>
  <c r="P195" i="7"/>
  <c r="N195" i="7" a="1"/>
  <c r="N195" i="7" s="1"/>
  <c r="O195" i="7" s="1"/>
  <c r="M195" i="7" a="1"/>
  <c r="M195" i="7" s="1"/>
  <c r="L195" i="7"/>
  <c r="K195" i="7" a="1"/>
  <c r="K195" i="7" s="1"/>
  <c r="F195" i="7"/>
  <c r="T194" i="7"/>
  <c r="S194" i="7"/>
  <c r="R194" i="7"/>
  <c r="Q194" i="7" a="1"/>
  <c r="Q194" i="7" s="1"/>
  <c r="P194" i="7"/>
  <c r="N194" i="7" a="1"/>
  <c r="N194" i="7" s="1"/>
  <c r="O194" i="7" s="1"/>
  <c r="M194" i="7" a="1"/>
  <c r="M194" i="7" s="1"/>
  <c r="L194" i="7"/>
  <c r="K194" i="7" a="1"/>
  <c r="K194" i="7" s="1"/>
  <c r="F194" i="7"/>
  <c r="T193" i="7"/>
  <c r="S193" i="7"/>
  <c r="R193" i="7"/>
  <c r="Q193" i="7" a="1"/>
  <c r="Q193" i="7" s="1"/>
  <c r="P193" i="7"/>
  <c r="N193" i="7" a="1"/>
  <c r="N193" i="7" s="1"/>
  <c r="O193" i="7" s="1"/>
  <c r="M193" i="7" a="1"/>
  <c r="M193" i="7" s="1"/>
  <c r="L193" i="7"/>
  <c r="K193" i="7" a="1"/>
  <c r="K193" i="7" s="1"/>
  <c r="F193" i="7"/>
  <c r="T192" i="7"/>
  <c r="S192" i="7"/>
  <c r="R192" i="7"/>
  <c r="Q192" i="7" a="1"/>
  <c r="Q192" i="7" s="1"/>
  <c r="P192" i="7"/>
  <c r="N192" i="7" a="1"/>
  <c r="N192" i="7" s="1"/>
  <c r="O192" i="7" s="1"/>
  <c r="M192" i="7" a="1"/>
  <c r="M192" i="7" s="1"/>
  <c r="L192" i="7"/>
  <c r="K192" i="7" a="1"/>
  <c r="K192" i="7" s="1"/>
  <c r="F192" i="7"/>
  <c r="T191" i="7"/>
  <c r="S191" i="7"/>
  <c r="R191" i="7"/>
  <c r="Q191" i="7" a="1"/>
  <c r="Q191" i="7" s="1"/>
  <c r="P191" i="7"/>
  <c r="N191" i="7" a="1"/>
  <c r="N191" i="7" s="1"/>
  <c r="O191" i="7" s="1"/>
  <c r="M191" i="7" a="1"/>
  <c r="M191" i="7" s="1"/>
  <c r="L191" i="7"/>
  <c r="K191" i="7" a="1"/>
  <c r="K191" i="7" s="1"/>
  <c r="F191" i="7"/>
  <c r="T190" i="7"/>
  <c r="S190" i="7"/>
  <c r="R190" i="7"/>
  <c r="Q190" i="7" a="1"/>
  <c r="Q190" i="7" s="1"/>
  <c r="P190" i="7"/>
  <c r="N190" i="7" a="1"/>
  <c r="N190" i="7" s="1"/>
  <c r="O190" i="7" s="1"/>
  <c r="M190" i="7" a="1"/>
  <c r="M190" i="7" s="1"/>
  <c r="L190" i="7"/>
  <c r="K190" i="7" a="1"/>
  <c r="K190" i="7" s="1"/>
  <c r="F190" i="7"/>
  <c r="T189" i="7"/>
  <c r="S189" i="7"/>
  <c r="R189" i="7"/>
  <c r="Q189" i="7" a="1"/>
  <c r="Q189" i="7" s="1"/>
  <c r="P189" i="7"/>
  <c r="N189" i="7" a="1"/>
  <c r="N189" i="7" s="1"/>
  <c r="O189" i="7" s="1"/>
  <c r="M189" i="7" a="1"/>
  <c r="M189" i="7" s="1"/>
  <c r="L189" i="7"/>
  <c r="K189" i="7" a="1"/>
  <c r="K189" i="7" s="1"/>
  <c r="F189" i="7"/>
  <c r="T188" i="7"/>
  <c r="S188" i="7"/>
  <c r="R188" i="7"/>
  <c r="Q188" i="7" a="1"/>
  <c r="Q188" i="7" s="1"/>
  <c r="P188" i="7"/>
  <c r="N188" i="7" a="1"/>
  <c r="N188" i="7" s="1"/>
  <c r="O188" i="7" s="1"/>
  <c r="M188" i="7" a="1"/>
  <c r="M188" i="7" s="1"/>
  <c r="L188" i="7"/>
  <c r="K188" i="7" a="1"/>
  <c r="K188" i="7" s="1"/>
  <c r="F188" i="7"/>
  <c r="T187" i="7"/>
  <c r="S187" i="7"/>
  <c r="R187" i="7"/>
  <c r="Q187" i="7" a="1"/>
  <c r="Q187" i="7" s="1"/>
  <c r="P187" i="7"/>
  <c r="N187" i="7" a="1"/>
  <c r="N187" i="7" s="1"/>
  <c r="O187" i="7" s="1"/>
  <c r="M187" i="7" a="1"/>
  <c r="M187" i="7" s="1"/>
  <c r="L187" i="7"/>
  <c r="K187" i="7" a="1"/>
  <c r="K187" i="7" s="1"/>
  <c r="F187" i="7"/>
  <c r="T186" i="7"/>
  <c r="S186" i="7"/>
  <c r="R186" i="7"/>
  <c r="Q186" i="7" a="1"/>
  <c r="Q186" i="7" s="1"/>
  <c r="P186" i="7"/>
  <c r="N186" i="7" a="1"/>
  <c r="N186" i="7" s="1"/>
  <c r="O186" i="7" s="1"/>
  <c r="M186" i="7" a="1"/>
  <c r="M186" i="7" s="1"/>
  <c r="L186" i="7"/>
  <c r="K186" i="7" a="1"/>
  <c r="K186" i="7" s="1"/>
  <c r="F186" i="7"/>
  <c r="T185" i="7"/>
  <c r="S185" i="7"/>
  <c r="R185" i="7"/>
  <c r="Q185" i="7" a="1"/>
  <c r="Q185" i="7" s="1"/>
  <c r="P185" i="7"/>
  <c r="N185" i="7" a="1"/>
  <c r="N185" i="7" s="1"/>
  <c r="O185" i="7" s="1"/>
  <c r="M185" i="7" a="1"/>
  <c r="M185" i="7" s="1"/>
  <c r="L185" i="7"/>
  <c r="K185" i="7" a="1"/>
  <c r="K185" i="7" s="1"/>
  <c r="F185" i="7"/>
  <c r="T184" i="7"/>
  <c r="S184" i="7"/>
  <c r="R184" i="7"/>
  <c r="Q184" i="7" a="1"/>
  <c r="Q184" i="7" s="1"/>
  <c r="P184" i="7"/>
  <c r="N184" i="7" a="1"/>
  <c r="N184" i="7" s="1"/>
  <c r="O184" i="7" s="1"/>
  <c r="M184" i="7" a="1"/>
  <c r="M184" i="7" s="1"/>
  <c r="L184" i="7"/>
  <c r="K184" i="7" a="1"/>
  <c r="K184" i="7" s="1"/>
  <c r="F184" i="7"/>
  <c r="T183" i="7"/>
  <c r="S183" i="7"/>
  <c r="R183" i="7"/>
  <c r="Q183" i="7" a="1"/>
  <c r="Q183" i="7" s="1"/>
  <c r="P183" i="7"/>
  <c r="N183" i="7" a="1"/>
  <c r="N183" i="7" s="1"/>
  <c r="O183" i="7" s="1"/>
  <c r="M183" i="7" a="1"/>
  <c r="M183" i="7" s="1"/>
  <c r="L183" i="7"/>
  <c r="K183" i="7" a="1"/>
  <c r="K183" i="7" s="1"/>
  <c r="F183" i="7"/>
  <c r="T182" i="7"/>
  <c r="S182" i="7"/>
  <c r="R182" i="7"/>
  <c r="Q182" i="7" a="1"/>
  <c r="Q182" i="7" s="1"/>
  <c r="P182" i="7"/>
  <c r="N182" i="7" a="1"/>
  <c r="N182" i="7" s="1"/>
  <c r="O182" i="7" s="1"/>
  <c r="M182" i="7" a="1"/>
  <c r="M182" i="7" s="1"/>
  <c r="L182" i="7"/>
  <c r="K182" i="7" a="1"/>
  <c r="K182" i="7" s="1"/>
  <c r="F182" i="7"/>
  <c r="T181" i="7"/>
  <c r="S181" i="7"/>
  <c r="R181" i="7"/>
  <c r="Q181" i="7" a="1"/>
  <c r="Q181" i="7" s="1"/>
  <c r="P181" i="7"/>
  <c r="N181" i="7" a="1"/>
  <c r="N181" i="7" s="1"/>
  <c r="O181" i="7" s="1"/>
  <c r="M181" i="7" a="1"/>
  <c r="M181" i="7" s="1"/>
  <c r="L181" i="7"/>
  <c r="K181" i="7" a="1"/>
  <c r="K181" i="7" s="1"/>
  <c r="F181" i="7"/>
  <c r="T180" i="7"/>
  <c r="S180" i="7"/>
  <c r="R180" i="7"/>
  <c r="Q180" i="7" a="1"/>
  <c r="Q180" i="7" s="1"/>
  <c r="P180" i="7"/>
  <c r="N180" i="7" a="1"/>
  <c r="N180" i="7" s="1"/>
  <c r="O180" i="7" s="1"/>
  <c r="M180" i="7" a="1"/>
  <c r="M180" i="7" s="1"/>
  <c r="L180" i="7"/>
  <c r="K180" i="7" a="1"/>
  <c r="K180" i="7" s="1"/>
  <c r="F180" i="7"/>
  <c r="T179" i="7"/>
  <c r="S179" i="7"/>
  <c r="R179" i="7"/>
  <c r="Q179" i="7" a="1"/>
  <c r="Q179" i="7" s="1"/>
  <c r="P179" i="7"/>
  <c r="N179" i="7" a="1"/>
  <c r="N179" i="7" s="1"/>
  <c r="O179" i="7" s="1"/>
  <c r="M179" i="7" a="1"/>
  <c r="M179" i="7" s="1"/>
  <c r="L179" i="7"/>
  <c r="K179" i="7" a="1"/>
  <c r="K179" i="7" s="1"/>
  <c r="F179" i="7"/>
  <c r="T178" i="7"/>
  <c r="S178" i="7"/>
  <c r="R178" i="7"/>
  <c r="Q178" i="7" a="1"/>
  <c r="Q178" i="7" s="1"/>
  <c r="P178" i="7"/>
  <c r="N178" i="7" a="1"/>
  <c r="N178" i="7" s="1"/>
  <c r="O178" i="7" s="1"/>
  <c r="M178" i="7" a="1"/>
  <c r="M178" i="7" s="1"/>
  <c r="L178" i="7"/>
  <c r="K178" i="7" a="1"/>
  <c r="K178" i="7" s="1"/>
  <c r="F178" i="7"/>
  <c r="T177" i="7"/>
  <c r="S177" i="7"/>
  <c r="R177" i="7"/>
  <c r="Q177" i="7" a="1"/>
  <c r="Q177" i="7" s="1"/>
  <c r="P177" i="7"/>
  <c r="N177" i="7" a="1"/>
  <c r="N177" i="7" s="1"/>
  <c r="O177" i="7" s="1"/>
  <c r="M177" i="7" a="1"/>
  <c r="M177" i="7" s="1"/>
  <c r="L177" i="7"/>
  <c r="K177" i="7" a="1"/>
  <c r="K177" i="7" s="1"/>
  <c r="F177" i="7"/>
  <c r="T176" i="7"/>
  <c r="S176" i="7"/>
  <c r="R176" i="7"/>
  <c r="Q176" i="7" a="1"/>
  <c r="Q176" i="7" s="1"/>
  <c r="P176" i="7"/>
  <c r="N176" i="7" a="1"/>
  <c r="N176" i="7" s="1"/>
  <c r="O176" i="7" s="1"/>
  <c r="M176" i="7" a="1"/>
  <c r="M176" i="7" s="1"/>
  <c r="L176" i="7"/>
  <c r="K176" i="7" a="1"/>
  <c r="K176" i="7" s="1"/>
  <c r="F176" i="7"/>
  <c r="T175" i="7"/>
  <c r="S175" i="7"/>
  <c r="R175" i="7"/>
  <c r="Q175" i="7" a="1"/>
  <c r="Q175" i="7" s="1"/>
  <c r="P175" i="7"/>
  <c r="N175" i="7" a="1"/>
  <c r="N175" i="7" s="1"/>
  <c r="O175" i="7" s="1"/>
  <c r="M175" i="7" a="1"/>
  <c r="M175" i="7" s="1"/>
  <c r="L175" i="7"/>
  <c r="K175" i="7" a="1"/>
  <c r="K175" i="7" s="1"/>
  <c r="F175" i="7"/>
  <c r="T174" i="7"/>
  <c r="S174" i="7"/>
  <c r="R174" i="7"/>
  <c r="Q174" i="7" a="1"/>
  <c r="Q174" i="7" s="1"/>
  <c r="P174" i="7"/>
  <c r="N174" i="7" a="1"/>
  <c r="N174" i="7" s="1"/>
  <c r="O174" i="7" s="1"/>
  <c r="M174" i="7" a="1"/>
  <c r="M174" i="7" s="1"/>
  <c r="L174" i="7"/>
  <c r="K174" i="7" a="1"/>
  <c r="K174" i="7" s="1"/>
  <c r="F174" i="7"/>
  <c r="T173" i="7"/>
  <c r="S173" i="7"/>
  <c r="R173" i="7"/>
  <c r="Q173" i="7" a="1"/>
  <c r="Q173" i="7" s="1"/>
  <c r="P173" i="7"/>
  <c r="N173" i="7" a="1"/>
  <c r="N173" i="7" s="1"/>
  <c r="O173" i="7" s="1"/>
  <c r="M173" i="7" a="1"/>
  <c r="M173" i="7" s="1"/>
  <c r="L173" i="7"/>
  <c r="K173" i="7" a="1"/>
  <c r="K173" i="7" s="1"/>
  <c r="F173" i="7"/>
  <c r="T172" i="7"/>
  <c r="S172" i="7"/>
  <c r="R172" i="7"/>
  <c r="Q172" i="7" a="1"/>
  <c r="Q172" i="7" s="1"/>
  <c r="P172" i="7"/>
  <c r="N172" i="7" a="1"/>
  <c r="N172" i="7" s="1"/>
  <c r="O172" i="7" s="1"/>
  <c r="M172" i="7" a="1"/>
  <c r="M172" i="7" s="1"/>
  <c r="L172" i="7"/>
  <c r="K172" i="7" a="1"/>
  <c r="K172" i="7" s="1"/>
  <c r="F172" i="7"/>
  <c r="T171" i="7"/>
  <c r="S171" i="7"/>
  <c r="R171" i="7"/>
  <c r="Q171" i="7" a="1"/>
  <c r="Q171" i="7" s="1"/>
  <c r="P171" i="7"/>
  <c r="N171" i="7" a="1"/>
  <c r="N171" i="7" s="1"/>
  <c r="O171" i="7" s="1"/>
  <c r="M171" i="7" a="1"/>
  <c r="M171" i="7" s="1"/>
  <c r="L171" i="7"/>
  <c r="K171" i="7" a="1"/>
  <c r="K171" i="7" s="1"/>
  <c r="F171" i="7"/>
  <c r="T170" i="7"/>
  <c r="S170" i="7"/>
  <c r="R170" i="7"/>
  <c r="Q170" i="7" a="1"/>
  <c r="Q170" i="7" s="1"/>
  <c r="P170" i="7"/>
  <c r="N170" i="7" a="1"/>
  <c r="N170" i="7" s="1"/>
  <c r="O170" i="7" s="1"/>
  <c r="M170" i="7" a="1"/>
  <c r="M170" i="7" s="1"/>
  <c r="L170" i="7"/>
  <c r="K170" i="7" a="1"/>
  <c r="K170" i="7" s="1"/>
  <c r="F170" i="7"/>
  <c r="T169" i="7"/>
  <c r="S169" i="7"/>
  <c r="R169" i="7"/>
  <c r="Q169" i="7" a="1"/>
  <c r="Q169" i="7" s="1"/>
  <c r="P169" i="7"/>
  <c r="N169" i="7" a="1"/>
  <c r="N169" i="7" s="1"/>
  <c r="O169" i="7" s="1"/>
  <c r="M169" i="7" a="1"/>
  <c r="M169" i="7" s="1"/>
  <c r="L169" i="7"/>
  <c r="K169" i="7" a="1"/>
  <c r="K169" i="7" s="1"/>
  <c r="F169" i="7"/>
  <c r="T168" i="7"/>
  <c r="S168" i="7"/>
  <c r="R168" i="7"/>
  <c r="Q168" i="7" a="1"/>
  <c r="Q168" i="7" s="1"/>
  <c r="P168" i="7"/>
  <c r="N168" i="7" a="1"/>
  <c r="N168" i="7" s="1"/>
  <c r="O168" i="7" s="1"/>
  <c r="M168" i="7" a="1"/>
  <c r="M168" i="7" s="1"/>
  <c r="L168" i="7"/>
  <c r="K168" i="7" a="1"/>
  <c r="K168" i="7" s="1"/>
  <c r="F168" i="7"/>
  <c r="T167" i="7"/>
  <c r="S167" i="7"/>
  <c r="R167" i="7"/>
  <c r="Q167" i="7" a="1"/>
  <c r="Q167" i="7" s="1"/>
  <c r="P167" i="7"/>
  <c r="N167" i="7" a="1"/>
  <c r="N167" i="7" s="1"/>
  <c r="O167" i="7" s="1"/>
  <c r="M167" i="7" a="1"/>
  <c r="M167" i="7" s="1"/>
  <c r="L167" i="7"/>
  <c r="K167" i="7" a="1"/>
  <c r="K167" i="7" s="1"/>
  <c r="F167" i="7"/>
  <c r="T166" i="7"/>
  <c r="S166" i="7"/>
  <c r="R166" i="7"/>
  <c r="Q166" i="7" a="1"/>
  <c r="Q166" i="7" s="1"/>
  <c r="P166" i="7"/>
  <c r="N166" i="7" a="1"/>
  <c r="N166" i="7" s="1"/>
  <c r="O166" i="7" s="1"/>
  <c r="M166" i="7" a="1"/>
  <c r="M166" i="7" s="1"/>
  <c r="L166" i="7"/>
  <c r="K166" i="7" a="1"/>
  <c r="K166" i="7" s="1"/>
  <c r="F166" i="7"/>
  <c r="T165" i="7"/>
  <c r="S165" i="7"/>
  <c r="R165" i="7"/>
  <c r="Q165" i="7" a="1"/>
  <c r="Q165" i="7" s="1"/>
  <c r="P165" i="7"/>
  <c r="N165" i="7" a="1"/>
  <c r="N165" i="7" s="1"/>
  <c r="O165" i="7" s="1"/>
  <c r="M165" i="7" a="1"/>
  <c r="M165" i="7" s="1"/>
  <c r="L165" i="7"/>
  <c r="K165" i="7" a="1"/>
  <c r="K165" i="7" s="1"/>
  <c r="F165" i="7"/>
  <c r="T164" i="7"/>
  <c r="S164" i="7"/>
  <c r="R164" i="7"/>
  <c r="Q164" i="7" a="1"/>
  <c r="Q164" i="7" s="1"/>
  <c r="P164" i="7"/>
  <c r="N164" i="7" a="1"/>
  <c r="N164" i="7" s="1"/>
  <c r="O164" i="7" s="1"/>
  <c r="M164" i="7" a="1"/>
  <c r="M164" i="7" s="1"/>
  <c r="L164" i="7"/>
  <c r="K164" i="7" a="1"/>
  <c r="K164" i="7" s="1"/>
  <c r="F164" i="7"/>
  <c r="T163" i="7"/>
  <c r="S163" i="7"/>
  <c r="R163" i="7"/>
  <c r="Q163" i="7" a="1"/>
  <c r="Q163" i="7" s="1"/>
  <c r="P163" i="7"/>
  <c r="N163" i="7" a="1"/>
  <c r="N163" i="7" s="1"/>
  <c r="O163" i="7" s="1"/>
  <c r="M163" i="7" a="1"/>
  <c r="M163" i="7" s="1"/>
  <c r="L163" i="7"/>
  <c r="K163" i="7" a="1"/>
  <c r="K163" i="7" s="1"/>
  <c r="F163" i="7"/>
  <c r="T162" i="7"/>
  <c r="S162" i="7"/>
  <c r="R162" i="7"/>
  <c r="Q162" i="7" a="1"/>
  <c r="Q162" i="7" s="1"/>
  <c r="P162" i="7"/>
  <c r="N162" i="7" a="1"/>
  <c r="N162" i="7" s="1"/>
  <c r="O162" i="7" s="1"/>
  <c r="M162" i="7" a="1"/>
  <c r="M162" i="7" s="1"/>
  <c r="L162" i="7"/>
  <c r="K162" i="7" a="1"/>
  <c r="K162" i="7" s="1"/>
  <c r="F162" i="7"/>
  <c r="T161" i="7"/>
  <c r="S161" i="7"/>
  <c r="R161" i="7"/>
  <c r="Q161" i="7" a="1"/>
  <c r="Q161" i="7" s="1"/>
  <c r="P161" i="7"/>
  <c r="N161" i="7" a="1"/>
  <c r="N161" i="7" s="1"/>
  <c r="O161" i="7" s="1"/>
  <c r="M161" i="7" a="1"/>
  <c r="M161" i="7" s="1"/>
  <c r="L161" i="7"/>
  <c r="K161" i="7" a="1"/>
  <c r="K161" i="7" s="1"/>
  <c r="F161" i="7"/>
  <c r="T160" i="7"/>
  <c r="S160" i="7"/>
  <c r="R160" i="7"/>
  <c r="Q160" i="7" a="1"/>
  <c r="Q160" i="7" s="1"/>
  <c r="P160" i="7"/>
  <c r="N160" i="7" a="1"/>
  <c r="N160" i="7" s="1"/>
  <c r="O160" i="7" s="1"/>
  <c r="M160" i="7" a="1"/>
  <c r="M160" i="7" s="1"/>
  <c r="L160" i="7"/>
  <c r="K160" i="7" a="1"/>
  <c r="K160" i="7" s="1"/>
  <c r="F160" i="7"/>
  <c r="T159" i="7"/>
  <c r="S159" i="7"/>
  <c r="R159" i="7"/>
  <c r="Q159" i="7" a="1"/>
  <c r="Q159" i="7" s="1"/>
  <c r="P159" i="7"/>
  <c r="N159" i="7" a="1"/>
  <c r="N159" i="7" s="1"/>
  <c r="O159" i="7" s="1"/>
  <c r="M159" i="7" a="1"/>
  <c r="M159" i="7" s="1"/>
  <c r="L159" i="7"/>
  <c r="K159" i="7" a="1"/>
  <c r="K159" i="7" s="1"/>
  <c r="F159" i="7"/>
  <c r="T158" i="7"/>
  <c r="S158" i="7"/>
  <c r="R158" i="7"/>
  <c r="Q158" i="7" a="1"/>
  <c r="Q158" i="7" s="1"/>
  <c r="P158" i="7"/>
  <c r="N158" i="7" a="1"/>
  <c r="N158" i="7" s="1"/>
  <c r="O158" i="7" s="1"/>
  <c r="M158" i="7" a="1"/>
  <c r="M158" i="7" s="1"/>
  <c r="L158" i="7"/>
  <c r="K158" i="7" a="1"/>
  <c r="K158" i="7" s="1"/>
  <c r="F158" i="7"/>
  <c r="T157" i="7"/>
  <c r="S157" i="7"/>
  <c r="R157" i="7"/>
  <c r="Q157" i="7" a="1"/>
  <c r="Q157" i="7" s="1"/>
  <c r="P157" i="7"/>
  <c r="N157" i="7" a="1"/>
  <c r="N157" i="7" s="1"/>
  <c r="O157" i="7" s="1"/>
  <c r="M157" i="7" a="1"/>
  <c r="M157" i="7" s="1"/>
  <c r="L157" i="7"/>
  <c r="K157" i="7" a="1"/>
  <c r="K157" i="7" s="1"/>
  <c r="F157" i="7"/>
  <c r="T156" i="7"/>
  <c r="S156" i="7"/>
  <c r="R156" i="7"/>
  <c r="Q156" i="7" a="1"/>
  <c r="Q156" i="7" s="1"/>
  <c r="P156" i="7"/>
  <c r="N156" i="7" a="1"/>
  <c r="N156" i="7" s="1"/>
  <c r="O156" i="7" s="1"/>
  <c r="M156" i="7" a="1"/>
  <c r="M156" i="7" s="1"/>
  <c r="L156" i="7"/>
  <c r="K156" i="7" a="1"/>
  <c r="K156" i="7" s="1"/>
  <c r="F156" i="7"/>
  <c r="T155" i="7"/>
  <c r="S155" i="7"/>
  <c r="R155" i="7"/>
  <c r="Q155" i="7" a="1"/>
  <c r="Q155" i="7" s="1"/>
  <c r="P155" i="7"/>
  <c r="N155" i="7" a="1"/>
  <c r="N155" i="7" s="1"/>
  <c r="O155" i="7" s="1"/>
  <c r="M155" i="7" a="1"/>
  <c r="M155" i="7" s="1"/>
  <c r="L155" i="7"/>
  <c r="K155" i="7" a="1"/>
  <c r="K155" i="7" s="1"/>
  <c r="F155" i="7"/>
  <c r="T154" i="7"/>
  <c r="S154" i="7"/>
  <c r="R154" i="7"/>
  <c r="Q154" i="7" a="1"/>
  <c r="Q154" i="7" s="1"/>
  <c r="P154" i="7"/>
  <c r="N154" i="7" a="1"/>
  <c r="N154" i="7" s="1"/>
  <c r="O154" i="7" s="1"/>
  <c r="M154" i="7" a="1"/>
  <c r="M154" i="7" s="1"/>
  <c r="L154" i="7"/>
  <c r="K154" i="7" a="1"/>
  <c r="K154" i="7" s="1"/>
  <c r="F154" i="7"/>
  <c r="T153" i="7"/>
  <c r="S153" i="7"/>
  <c r="R153" i="7"/>
  <c r="Q153" i="7" a="1"/>
  <c r="Q153" i="7" s="1"/>
  <c r="P153" i="7"/>
  <c r="N153" i="7" a="1"/>
  <c r="N153" i="7" s="1"/>
  <c r="O153" i="7" s="1"/>
  <c r="M153" i="7" a="1"/>
  <c r="M153" i="7" s="1"/>
  <c r="L153" i="7"/>
  <c r="K153" i="7" a="1"/>
  <c r="K153" i="7" s="1"/>
  <c r="F153" i="7"/>
  <c r="T152" i="7"/>
  <c r="S152" i="7"/>
  <c r="R152" i="7"/>
  <c r="Q152" i="7" a="1"/>
  <c r="Q152" i="7" s="1"/>
  <c r="P152" i="7"/>
  <c r="N152" i="7" a="1"/>
  <c r="N152" i="7" s="1"/>
  <c r="O152" i="7" s="1"/>
  <c r="M152" i="7" a="1"/>
  <c r="M152" i="7" s="1"/>
  <c r="L152" i="7"/>
  <c r="K152" i="7" a="1"/>
  <c r="K152" i="7" s="1"/>
  <c r="F152" i="7"/>
  <c r="T151" i="7"/>
  <c r="S151" i="7"/>
  <c r="R151" i="7"/>
  <c r="Q151" i="7" a="1"/>
  <c r="Q151" i="7" s="1"/>
  <c r="P151" i="7"/>
  <c r="N151" i="7" a="1"/>
  <c r="N151" i="7" s="1"/>
  <c r="O151" i="7" s="1"/>
  <c r="M151" i="7" a="1"/>
  <c r="M151" i="7" s="1"/>
  <c r="L151" i="7"/>
  <c r="K151" i="7" a="1"/>
  <c r="K151" i="7" s="1"/>
  <c r="F151" i="7"/>
  <c r="T150" i="7"/>
  <c r="S150" i="7"/>
  <c r="R150" i="7"/>
  <c r="Q150" i="7" a="1"/>
  <c r="Q150" i="7" s="1"/>
  <c r="P150" i="7"/>
  <c r="N150" i="7" a="1"/>
  <c r="N150" i="7" s="1"/>
  <c r="O150" i="7" s="1"/>
  <c r="M150" i="7" a="1"/>
  <c r="M150" i="7" s="1"/>
  <c r="L150" i="7"/>
  <c r="K150" i="7" a="1"/>
  <c r="K150" i="7" s="1"/>
  <c r="F150" i="7"/>
  <c r="T149" i="7"/>
  <c r="S149" i="7"/>
  <c r="R149" i="7"/>
  <c r="Q149" i="7" a="1"/>
  <c r="Q149" i="7" s="1"/>
  <c r="P149" i="7"/>
  <c r="N149" i="7" a="1"/>
  <c r="N149" i="7" s="1"/>
  <c r="O149" i="7" s="1"/>
  <c r="M149" i="7" a="1"/>
  <c r="M149" i="7" s="1"/>
  <c r="L149" i="7"/>
  <c r="K149" i="7" a="1"/>
  <c r="K149" i="7" s="1"/>
  <c r="F149" i="7"/>
  <c r="T148" i="7"/>
  <c r="S148" i="7"/>
  <c r="R148" i="7"/>
  <c r="Q148" i="7" a="1"/>
  <c r="Q148" i="7" s="1"/>
  <c r="P148" i="7"/>
  <c r="N148" i="7" a="1"/>
  <c r="N148" i="7" s="1"/>
  <c r="O148" i="7" s="1"/>
  <c r="M148" i="7" a="1"/>
  <c r="M148" i="7" s="1"/>
  <c r="L148" i="7"/>
  <c r="K148" i="7" a="1"/>
  <c r="K148" i="7" s="1"/>
  <c r="F148" i="7"/>
  <c r="T147" i="7"/>
  <c r="S147" i="7"/>
  <c r="R147" i="7"/>
  <c r="Q147" i="7" a="1"/>
  <c r="Q147" i="7" s="1"/>
  <c r="P147" i="7"/>
  <c r="N147" i="7" a="1"/>
  <c r="N147" i="7" s="1"/>
  <c r="O147" i="7" s="1"/>
  <c r="M147" i="7" a="1"/>
  <c r="M147" i="7" s="1"/>
  <c r="L147" i="7"/>
  <c r="K147" i="7" a="1"/>
  <c r="K147" i="7" s="1"/>
  <c r="F147" i="7"/>
  <c r="T146" i="7"/>
  <c r="S146" i="7"/>
  <c r="R146" i="7"/>
  <c r="Q146" i="7" a="1"/>
  <c r="Q146" i="7" s="1"/>
  <c r="P146" i="7"/>
  <c r="N146" i="7" a="1"/>
  <c r="N146" i="7" s="1"/>
  <c r="O146" i="7" s="1"/>
  <c r="M146" i="7" a="1"/>
  <c r="M146" i="7" s="1"/>
  <c r="L146" i="7"/>
  <c r="K146" i="7" a="1"/>
  <c r="K146" i="7" s="1"/>
  <c r="F146" i="7"/>
  <c r="T145" i="7"/>
  <c r="S145" i="7"/>
  <c r="R145" i="7"/>
  <c r="Q145" i="7" a="1"/>
  <c r="Q145" i="7" s="1"/>
  <c r="P145" i="7"/>
  <c r="N145" i="7" a="1"/>
  <c r="N145" i="7" s="1"/>
  <c r="O145" i="7" s="1"/>
  <c r="M145" i="7" a="1"/>
  <c r="M145" i="7" s="1"/>
  <c r="L145" i="7"/>
  <c r="K145" i="7" a="1"/>
  <c r="K145" i="7" s="1"/>
  <c r="F145" i="7"/>
  <c r="T144" i="7"/>
  <c r="S144" i="7"/>
  <c r="R144" i="7"/>
  <c r="Q144" i="7" a="1"/>
  <c r="Q144" i="7" s="1"/>
  <c r="P144" i="7"/>
  <c r="N144" i="7" a="1"/>
  <c r="N144" i="7" s="1"/>
  <c r="O144" i="7" s="1"/>
  <c r="M144" i="7" a="1"/>
  <c r="M144" i="7" s="1"/>
  <c r="L144" i="7"/>
  <c r="K144" i="7" a="1"/>
  <c r="K144" i="7" s="1"/>
  <c r="F144" i="7"/>
  <c r="T143" i="7"/>
  <c r="S143" i="7"/>
  <c r="R143" i="7"/>
  <c r="Q143" i="7" a="1"/>
  <c r="Q143" i="7" s="1"/>
  <c r="P143" i="7"/>
  <c r="N143" i="7" a="1"/>
  <c r="N143" i="7" s="1"/>
  <c r="O143" i="7" s="1"/>
  <c r="M143" i="7" a="1"/>
  <c r="M143" i="7" s="1"/>
  <c r="L143" i="7"/>
  <c r="K143" i="7" a="1"/>
  <c r="K143" i="7" s="1"/>
  <c r="F143" i="7"/>
  <c r="T142" i="7"/>
  <c r="S142" i="7"/>
  <c r="R142" i="7"/>
  <c r="Q142" i="7" a="1"/>
  <c r="Q142" i="7" s="1"/>
  <c r="P142" i="7"/>
  <c r="N142" i="7" a="1"/>
  <c r="N142" i="7" s="1"/>
  <c r="O142" i="7" s="1"/>
  <c r="M142" i="7" a="1"/>
  <c r="M142" i="7" s="1"/>
  <c r="L142" i="7"/>
  <c r="K142" i="7" a="1"/>
  <c r="K142" i="7" s="1"/>
  <c r="F142" i="7"/>
  <c r="T141" i="7"/>
  <c r="S141" i="7"/>
  <c r="R141" i="7"/>
  <c r="Q141" i="7" a="1"/>
  <c r="Q141" i="7" s="1"/>
  <c r="P141" i="7"/>
  <c r="N141" i="7" a="1"/>
  <c r="N141" i="7" s="1"/>
  <c r="O141" i="7" s="1"/>
  <c r="M141" i="7" a="1"/>
  <c r="M141" i="7" s="1"/>
  <c r="L141" i="7"/>
  <c r="K141" i="7" a="1"/>
  <c r="K141" i="7" s="1"/>
  <c r="F141" i="7"/>
  <c r="T140" i="7"/>
  <c r="S140" i="7"/>
  <c r="R140" i="7"/>
  <c r="Q140" i="7" a="1"/>
  <c r="Q140" i="7" s="1"/>
  <c r="P140" i="7"/>
  <c r="N140" i="7" a="1"/>
  <c r="N140" i="7" s="1"/>
  <c r="O140" i="7" s="1"/>
  <c r="M140" i="7" a="1"/>
  <c r="M140" i="7" s="1"/>
  <c r="L140" i="7"/>
  <c r="K140" i="7" a="1"/>
  <c r="K140" i="7" s="1"/>
  <c r="F140" i="7"/>
  <c r="T139" i="7"/>
  <c r="S139" i="7"/>
  <c r="R139" i="7"/>
  <c r="Q139" i="7" a="1"/>
  <c r="Q139" i="7" s="1"/>
  <c r="P139" i="7"/>
  <c r="N139" i="7" a="1"/>
  <c r="N139" i="7" s="1"/>
  <c r="O139" i="7" s="1"/>
  <c r="M139" i="7" a="1"/>
  <c r="M139" i="7" s="1"/>
  <c r="L139" i="7"/>
  <c r="K139" i="7" a="1"/>
  <c r="K139" i="7" s="1"/>
  <c r="F139" i="7"/>
  <c r="T138" i="7"/>
  <c r="S138" i="7"/>
  <c r="R138" i="7"/>
  <c r="Q138" i="7" a="1"/>
  <c r="Q138" i="7" s="1"/>
  <c r="P138" i="7"/>
  <c r="N138" i="7" a="1"/>
  <c r="N138" i="7" s="1"/>
  <c r="O138" i="7" s="1"/>
  <c r="M138" i="7" a="1"/>
  <c r="M138" i="7" s="1"/>
  <c r="L138" i="7"/>
  <c r="K138" i="7" a="1"/>
  <c r="K138" i="7" s="1"/>
  <c r="F138" i="7"/>
  <c r="T137" i="7"/>
  <c r="S137" i="7"/>
  <c r="R137" i="7"/>
  <c r="Q137" i="7" a="1"/>
  <c r="Q137" i="7" s="1"/>
  <c r="P137" i="7"/>
  <c r="N137" i="7" a="1"/>
  <c r="N137" i="7" s="1"/>
  <c r="O137" i="7" s="1"/>
  <c r="M137" i="7" a="1"/>
  <c r="M137" i="7" s="1"/>
  <c r="L137" i="7"/>
  <c r="K137" i="7" a="1"/>
  <c r="K137" i="7" s="1"/>
  <c r="F137" i="7"/>
  <c r="T136" i="7"/>
  <c r="S136" i="7"/>
  <c r="R136" i="7"/>
  <c r="Q136" i="7" a="1"/>
  <c r="Q136" i="7" s="1"/>
  <c r="P136" i="7"/>
  <c r="N136" i="7" a="1"/>
  <c r="N136" i="7" s="1"/>
  <c r="O136" i="7" s="1"/>
  <c r="M136" i="7" a="1"/>
  <c r="M136" i="7" s="1"/>
  <c r="L136" i="7"/>
  <c r="K136" i="7" a="1"/>
  <c r="K136" i="7" s="1"/>
  <c r="F136" i="7"/>
  <c r="T135" i="7"/>
  <c r="S135" i="7"/>
  <c r="R135" i="7"/>
  <c r="Q135" i="7" a="1"/>
  <c r="Q135" i="7" s="1"/>
  <c r="P135" i="7"/>
  <c r="N135" i="7" a="1"/>
  <c r="N135" i="7" s="1"/>
  <c r="O135" i="7" s="1"/>
  <c r="M135" i="7" a="1"/>
  <c r="M135" i="7" s="1"/>
  <c r="L135" i="7"/>
  <c r="K135" i="7" a="1"/>
  <c r="K135" i="7" s="1"/>
  <c r="F135" i="7"/>
  <c r="T134" i="7"/>
  <c r="S134" i="7"/>
  <c r="R134" i="7"/>
  <c r="Q134" i="7" a="1"/>
  <c r="Q134" i="7" s="1"/>
  <c r="P134" i="7"/>
  <c r="N134" i="7" a="1"/>
  <c r="N134" i="7" s="1"/>
  <c r="O134" i="7" s="1"/>
  <c r="M134" i="7" a="1"/>
  <c r="M134" i="7" s="1"/>
  <c r="L134" i="7"/>
  <c r="K134" i="7" a="1"/>
  <c r="K134" i="7" s="1"/>
  <c r="F134" i="7"/>
  <c r="T133" i="7"/>
  <c r="S133" i="7"/>
  <c r="R133" i="7"/>
  <c r="Q133" i="7" a="1"/>
  <c r="Q133" i="7" s="1"/>
  <c r="P133" i="7"/>
  <c r="N133" i="7" a="1"/>
  <c r="N133" i="7" s="1"/>
  <c r="O133" i="7" s="1"/>
  <c r="M133" i="7" a="1"/>
  <c r="M133" i="7" s="1"/>
  <c r="L133" i="7"/>
  <c r="K133" i="7" a="1"/>
  <c r="K133" i="7" s="1"/>
  <c r="F133" i="7"/>
  <c r="T132" i="7"/>
  <c r="S132" i="7"/>
  <c r="R132" i="7"/>
  <c r="Q132" i="7" a="1"/>
  <c r="Q132" i="7" s="1"/>
  <c r="P132" i="7"/>
  <c r="N132" i="7" a="1"/>
  <c r="N132" i="7" s="1"/>
  <c r="O132" i="7" s="1"/>
  <c r="M132" i="7" a="1"/>
  <c r="M132" i="7" s="1"/>
  <c r="L132" i="7"/>
  <c r="K132" i="7" a="1"/>
  <c r="K132" i="7" s="1"/>
  <c r="F132" i="7"/>
  <c r="T131" i="7"/>
  <c r="S131" i="7"/>
  <c r="R131" i="7"/>
  <c r="Q131" i="7" a="1"/>
  <c r="Q131" i="7" s="1"/>
  <c r="P131" i="7"/>
  <c r="N131" i="7" a="1"/>
  <c r="N131" i="7" s="1"/>
  <c r="O131" i="7" s="1"/>
  <c r="M131" i="7" a="1"/>
  <c r="M131" i="7" s="1"/>
  <c r="L131" i="7"/>
  <c r="K131" i="7" a="1"/>
  <c r="K131" i="7" s="1"/>
  <c r="F131" i="7"/>
  <c r="T130" i="7"/>
  <c r="S130" i="7"/>
  <c r="R130" i="7"/>
  <c r="Q130" i="7" a="1"/>
  <c r="Q130" i="7" s="1"/>
  <c r="P130" i="7"/>
  <c r="N130" i="7" a="1"/>
  <c r="N130" i="7" s="1"/>
  <c r="O130" i="7" s="1"/>
  <c r="M130" i="7" a="1"/>
  <c r="M130" i="7" s="1"/>
  <c r="L130" i="7"/>
  <c r="K130" i="7" a="1"/>
  <c r="K130" i="7" s="1"/>
  <c r="F130" i="7"/>
  <c r="T129" i="7"/>
  <c r="S129" i="7"/>
  <c r="R129" i="7"/>
  <c r="Q129" i="7" a="1"/>
  <c r="Q129" i="7" s="1"/>
  <c r="P129" i="7"/>
  <c r="N129" i="7" a="1"/>
  <c r="N129" i="7" s="1"/>
  <c r="O129" i="7" s="1"/>
  <c r="M129" i="7" a="1"/>
  <c r="M129" i="7" s="1"/>
  <c r="L129" i="7"/>
  <c r="K129" i="7" a="1"/>
  <c r="K129" i="7" s="1"/>
  <c r="F129" i="7"/>
  <c r="T128" i="7"/>
  <c r="S128" i="7"/>
  <c r="R128" i="7"/>
  <c r="Q128" i="7" a="1"/>
  <c r="Q128" i="7" s="1"/>
  <c r="P128" i="7"/>
  <c r="N128" i="7" a="1"/>
  <c r="N128" i="7" s="1"/>
  <c r="O128" i="7" s="1"/>
  <c r="M128" i="7" a="1"/>
  <c r="M128" i="7" s="1"/>
  <c r="L128" i="7"/>
  <c r="K128" i="7" a="1"/>
  <c r="K128" i="7" s="1"/>
  <c r="F128" i="7"/>
  <c r="T127" i="7"/>
  <c r="S127" i="7"/>
  <c r="R127" i="7"/>
  <c r="Q127" i="7" a="1"/>
  <c r="Q127" i="7" s="1"/>
  <c r="P127" i="7"/>
  <c r="N127" i="7" a="1"/>
  <c r="N127" i="7" s="1"/>
  <c r="O127" i="7" s="1"/>
  <c r="M127" i="7" a="1"/>
  <c r="M127" i="7" s="1"/>
  <c r="L127" i="7"/>
  <c r="K127" i="7" a="1"/>
  <c r="K127" i="7" s="1"/>
  <c r="F127" i="7"/>
  <c r="T126" i="7"/>
  <c r="S126" i="7"/>
  <c r="R126" i="7"/>
  <c r="Q126" i="7" a="1"/>
  <c r="Q126" i="7" s="1"/>
  <c r="P126" i="7"/>
  <c r="N126" i="7" a="1"/>
  <c r="N126" i="7" s="1"/>
  <c r="O126" i="7" s="1"/>
  <c r="M126" i="7" a="1"/>
  <c r="M126" i="7" s="1"/>
  <c r="L126" i="7"/>
  <c r="K126" i="7" a="1"/>
  <c r="K126" i="7" s="1"/>
  <c r="F126" i="7"/>
  <c r="T125" i="7"/>
  <c r="S125" i="7"/>
  <c r="R125" i="7"/>
  <c r="Q125" i="7" a="1"/>
  <c r="Q125" i="7" s="1"/>
  <c r="P125" i="7"/>
  <c r="N125" i="7" a="1"/>
  <c r="N125" i="7" s="1"/>
  <c r="O125" i="7" s="1"/>
  <c r="M125" i="7" a="1"/>
  <c r="M125" i="7" s="1"/>
  <c r="L125" i="7"/>
  <c r="K125" i="7" a="1"/>
  <c r="K125" i="7" s="1"/>
  <c r="F125" i="7"/>
  <c r="T124" i="7"/>
  <c r="S124" i="7"/>
  <c r="R124" i="7"/>
  <c r="Q124" i="7" a="1"/>
  <c r="Q124" i="7" s="1"/>
  <c r="P124" i="7"/>
  <c r="N124" i="7" a="1"/>
  <c r="N124" i="7" s="1"/>
  <c r="O124" i="7" s="1"/>
  <c r="M124" i="7" a="1"/>
  <c r="M124" i="7" s="1"/>
  <c r="L124" i="7"/>
  <c r="K124" i="7" a="1"/>
  <c r="K124" i="7" s="1"/>
  <c r="F124" i="7"/>
  <c r="T123" i="7"/>
  <c r="S123" i="7"/>
  <c r="R123" i="7"/>
  <c r="Q123" i="7" a="1"/>
  <c r="Q123" i="7" s="1"/>
  <c r="P123" i="7"/>
  <c r="N123" i="7" a="1"/>
  <c r="N123" i="7" s="1"/>
  <c r="O123" i="7" s="1"/>
  <c r="M123" i="7" a="1"/>
  <c r="M123" i="7" s="1"/>
  <c r="L123" i="7"/>
  <c r="K123" i="7" a="1"/>
  <c r="K123" i="7" s="1"/>
  <c r="F123" i="7"/>
  <c r="T122" i="7"/>
  <c r="S122" i="7"/>
  <c r="R122" i="7"/>
  <c r="Q122" i="7" a="1"/>
  <c r="Q122" i="7" s="1"/>
  <c r="P122" i="7"/>
  <c r="N122" i="7" a="1"/>
  <c r="N122" i="7" s="1"/>
  <c r="O122" i="7" s="1"/>
  <c r="M122" i="7" a="1"/>
  <c r="M122" i="7" s="1"/>
  <c r="L122" i="7"/>
  <c r="K122" i="7" a="1"/>
  <c r="K122" i="7" s="1"/>
  <c r="F122" i="7"/>
  <c r="T121" i="7"/>
  <c r="S121" i="7"/>
  <c r="R121" i="7"/>
  <c r="Q121" i="7" a="1"/>
  <c r="Q121" i="7" s="1"/>
  <c r="P121" i="7"/>
  <c r="N121" i="7" a="1"/>
  <c r="N121" i="7" s="1"/>
  <c r="O121" i="7" s="1"/>
  <c r="M121" i="7" a="1"/>
  <c r="M121" i="7" s="1"/>
  <c r="L121" i="7"/>
  <c r="K121" i="7" a="1"/>
  <c r="K121" i="7" s="1"/>
  <c r="F121" i="7"/>
  <c r="T120" i="7"/>
  <c r="S120" i="7"/>
  <c r="R120" i="7"/>
  <c r="Q120" i="7" a="1"/>
  <c r="Q120" i="7" s="1"/>
  <c r="P120" i="7"/>
  <c r="N120" i="7" a="1"/>
  <c r="N120" i="7" s="1"/>
  <c r="O120" i="7" s="1"/>
  <c r="M120" i="7" a="1"/>
  <c r="M120" i="7" s="1"/>
  <c r="L120" i="7"/>
  <c r="K120" i="7" a="1"/>
  <c r="K120" i="7" s="1"/>
  <c r="F120" i="7"/>
  <c r="T119" i="7"/>
  <c r="S119" i="7"/>
  <c r="R119" i="7"/>
  <c r="Q119" i="7" a="1"/>
  <c r="Q119" i="7" s="1"/>
  <c r="P119" i="7"/>
  <c r="N119" i="7" a="1"/>
  <c r="N119" i="7" s="1"/>
  <c r="O119" i="7" s="1"/>
  <c r="M119" i="7" a="1"/>
  <c r="M119" i="7" s="1"/>
  <c r="L119" i="7"/>
  <c r="K119" i="7" a="1"/>
  <c r="K119" i="7" s="1"/>
  <c r="F119" i="7"/>
  <c r="T118" i="7"/>
  <c r="S118" i="7"/>
  <c r="R118" i="7"/>
  <c r="Q118" i="7" a="1"/>
  <c r="Q118" i="7" s="1"/>
  <c r="P118" i="7"/>
  <c r="N118" i="7" a="1"/>
  <c r="N118" i="7" s="1"/>
  <c r="O118" i="7" s="1"/>
  <c r="M118" i="7" a="1"/>
  <c r="M118" i="7" s="1"/>
  <c r="L118" i="7"/>
  <c r="K118" i="7" a="1"/>
  <c r="K118" i="7" s="1"/>
  <c r="F118" i="7"/>
  <c r="T117" i="7"/>
  <c r="S117" i="7"/>
  <c r="R117" i="7"/>
  <c r="Q117" i="7" a="1"/>
  <c r="Q117" i="7" s="1"/>
  <c r="P117" i="7"/>
  <c r="N117" i="7" a="1"/>
  <c r="N117" i="7" s="1"/>
  <c r="O117" i="7" s="1"/>
  <c r="M117" i="7" a="1"/>
  <c r="M117" i="7" s="1"/>
  <c r="L117" i="7"/>
  <c r="K117" i="7" a="1"/>
  <c r="K117" i="7" s="1"/>
  <c r="F117" i="7"/>
  <c r="T116" i="7"/>
  <c r="S116" i="7"/>
  <c r="R116" i="7"/>
  <c r="Q116" i="7" a="1"/>
  <c r="Q116" i="7" s="1"/>
  <c r="P116" i="7"/>
  <c r="N116" i="7" a="1"/>
  <c r="N116" i="7" s="1"/>
  <c r="O116" i="7" s="1"/>
  <c r="M116" i="7" a="1"/>
  <c r="M116" i="7" s="1"/>
  <c r="L116" i="7"/>
  <c r="K116" i="7" a="1"/>
  <c r="K116" i="7" s="1"/>
  <c r="F116" i="7"/>
  <c r="T115" i="7"/>
  <c r="S115" i="7"/>
  <c r="R115" i="7"/>
  <c r="Q115" i="7" a="1"/>
  <c r="Q115" i="7" s="1"/>
  <c r="P115" i="7"/>
  <c r="N115" i="7" a="1"/>
  <c r="N115" i="7" s="1"/>
  <c r="O115" i="7" s="1"/>
  <c r="M115" i="7" a="1"/>
  <c r="M115" i="7" s="1"/>
  <c r="L115" i="7"/>
  <c r="K115" i="7" a="1"/>
  <c r="K115" i="7" s="1"/>
  <c r="F115" i="7"/>
  <c r="T114" i="7"/>
  <c r="S114" i="7"/>
  <c r="R114" i="7"/>
  <c r="Q114" i="7" a="1"/>
  <c r="Q114" i="7" s="1"/>
  <c r="P114" i="7"/>
  <c r="N114" i="7" a="1"/>
  <c r="N114" i="7" s="1"/>
  <c r="O114" i="7" s="1"/>
  <c r="M114" i="7" a="1"/>
  <c r="M114" i="7" s="1"/>
  <c r="L114" i="7"/>
  <c r="K114" i="7" a="1"/>
  <c r="K114" i="7" s="1"/>
  <c r="F114" i="7"/>
  <c r="T113" i="7"/>
  <c r="S113" i="7"/>
  <c r="R113" i="7"/>
  <c r="Q113" i="7" a="1"/>
  <c r="Q113" i="7" s="1"/>
  <c r="P113" i="7"/>
  <c r="N113" i="7" a="1"/>
  <c r="N113" i="7" s="1"/>
  <c r="O113" i="7" s="1"/>
  <c r="M113" i="7" a="1"/>
  <c r="M113" i="7" s="1"/>
  <c r="L113" i="7"/>
  <c r="K113" i="7" a="1"/>
  <c r="K113" i="7" s="1"/>
  <c r="F113" i="7"/>
  <c r="T112" i="7"/>
  <c r="S112" i="7"/>
  <c r="R112" i="7"/>
  <c r="Q112" i="7" a="1"/>
  <c r="Q112" i="7" s="1"/>
  <c r="P112" i="7"/>
  <c r="N112" i="7" a="1"/>
  <c r="N112" i="7" s="1"/>
  <c r="O112" i="7" s="1"/>
  <c r="M112" i="7" a="1"/>
  <c r="M112" i="7" s="1"/>
  <c r="L112" i="7"/>
  <c r="K112" i="7" a="1"/>
  <c r="K112" i="7" s="1"/>
  <c r="F112" i="7"/>
  <c r="T111" i="7"/>
  <c r="S111" i="7"/>
  <c r="R111" i="7"/>
  <c r="Q111" i="7" a="1"/>
  <c r="Q111" i="7" s="1"/>
  <c r="P111" i="7"/>
  <c r="N111" i="7" a="1"/>
  <c r="N111" i="7" s="1"/>
  <c r="O111" i="7" s="1"/>
  <c r="M111" i="7" a="1"/>
  <c r="M111" i="7" s="1"/>
  <c r="L111" i="7"/>
  <c r="K111" i="7" a="1"/>
  <c r="K111" i="7" s="1"/>
  <c r="F111" i="7"/>
  <c r="T110" i="7"/>
  <c r="S110" i="7"/>
  <c r="R110" i="7"/>
  <c r="Q110" i="7" a="1"/>
  <c r="Q110" i="7" s="1"/>
  <c r="P110" i="7"/>
  <c r="N110" i="7" a="1"/>
  <c r="N110" i="7" s="1"/>
  <c r="O110" i="7" s="1"/>
  <c r="M110" i="7" a="1"/>
  <c r="M110" i="7" s="1"/>
  <c r="L110" i="7"/>
  <c r="K110" i="7" a="1"/>
  <c r="K110" i="7" s="1"/>
  <c r="F110" i="7"/>
  <c r="T109" i="7"/>
  <c r="S109" i="7"/>
  <c r="R109" i="7"/>
  <c r="Q109" i="7" a="1"/>
  <c r="Q109" i="7" s="1"/>
  <c r="P109" i="7"/>
  <c r="N109" i="7" a="1"/>
  <c r="N109" i="7" s="1"/>
  <c r="O109" i="7" s="1"/>
  <c r="M109" i="7" a="1"/>
  <c r="M109" i="7" s="1"/>
  <c r="L109" i="7"/>
  <c r="K109" i="7" a="1"/>
  <c r="K109" i="7" s="1"/>
  <c r="F109" i="7"/>
  <c r="T108" i="7"/>
  <c r="S108" i="7"/>
  <c r="R108" i="7"/>
  <c r="Q108" i="7" a="1"/>
  <c r="Q108" i="7" s="1"/>
  <c r="P108" i="7"/>
  <c r="N108" i="7" a="1"/>
  <c r="N108" i="7" s="1"/>
  <c r="O108" i="7" s="1"/>
  <c r="M108" i="7" a="1"/>
  <c r="M108" i="7" s="1"/>
  <c r="L108" i="7"/>
  <c r="K108" i="7" a="1"/>
  <c r="K108" i="7" s="1"/>
  <c r="F108" i="7"/>
  <c r="T107" i="7"/>
  <c r="S107" i="7"/>
  <c r="R107" i="7"/>
  <c r="Q107" i="7" a="1"/>
  <c r="Q107" i="7" s="1"/>
  <c r="P107" i="7"/>
  <c r="N107" i="7" a="1"/>
  <c r="N107" i="7" s="1"/>
  <c r="O107" i="7" s="1"/>
  <c r="M107" i="7" a="1"/>
  <c r="M107" i="7" s="1"/>
  <c r="L107" i="7"/>
  <c r="K107" i="7" a="1"/>
  <c r="K107" i="7" s="1"/>
  <c r="F107" i="7"/>
  <c r="T106" i="7"/>
  <c r="S106" i="7"/>
  <c r="R106" i="7"/>
  <c r="Q106" i="7" a="1"/>
  <c r="Q106" i="7" s="1"/>
  <c r="P106" i="7"/>
  <c r="N106" i="7" a="1"/>
  <c r="N106" i="7" s="1"/>
  <c r="O106" i="7" s="1"/>
  <c r="M106" i="7" a="1"/>
  <c r="M106" i="7" s="1"/>
  <c r="L106" i="7"/>
  <c r="K106" i="7" a="1"/>
  <c r="K106" i="7" s="1"/>
  <c r="F106" i="7"/>
  <c r="T105" i="7"/>
  <c r="S105" i="7"/>
  <c r="R105" i="7"/>
  <c r="Q105" i="7" a="1"/>
  <c r="Q105" i="7" s="1"/>
  <c r="P105" i="7"/>
  <c r="N105" i="7" a="1"/>
  <c r="N105" i="7" s="1"/>
  <c r="O105" i="7" s="1"/>
  <c r="M105" i="7" a="1"/>
  <c r="M105" i="7" s="1"/>
  <c r="L105" i="7"/>
  <c r="K105" i="7" a="1"/>
  <c r="K105" i="7" s="1"/>
  <c r="F105" i="7"/>
  <c r="T104" i="7"/>
  <c r="S104" i="7"/>
  <c r="R104" i="7"/>
  <c r="Q104" i="7" a="1"/>
  <c r="Q104" i="7" s="1"/>
  <c r="P104" i="7"/>
  <c r="N104" i="7" a="1"/>
  <c r="N104" i="7" s="1"/>
  <c r="O104" i="7" s="1"/>
  <c r="M104" i="7" a="1"/>
  <c r="M104" i="7" s="1"/>
  <c r="L104" i="7"/>
  <c r="K104" i="7" a="1"/>
  <c r="K104" i="7" s="1"/>
  <c r="F104" i="7"/>
  <c r="T103" i="7"/>
  <c r="S103" i="7"/>
  <c r="R103" i="7"/>
  <c r="Q103" i="7" a="1"/>
  <c r="Q103" i="7" s="1"/>
  <c r="P103" i="7"/>
  <c r="N103" i="7" a="1"/>
  <c r="N103" i="7" s="1"/>
  <c r="O103" i="7" s="1"/>
  <c r="M103" i="7" a="1"/>
  <c r="M103" i="7" s="1"/>
  <c r="L103" i="7"/>
  <c r="K103" i="7" a="1"/>
  <c r="K103" i="7" s="1"/>
  <c r="F103" i="7"/>
  <c r="T102" i="7"/>
  <c r="S102" i="7"/>
  <c r="R102" i="7"/>
  <c r="Q102" i="7" a="1"/>
  <c r="Q102" i="7" s="1"/>
  <c r="P102" i="7"/>
  <c r="N102" i="7" a="1"/>
  <c r="N102" i="7" s="1"/>
  <c r="O102" i="7" s="1"/>
  <c r="M102" i="7" a="1"/>
  <c r="M102" i="7" s="1"/>
  <c r="L102" i="7"/>
  <c r="K102" i="7" a="1"/>
  <c r="K102" i="7" s="1"/>
  <c r="F102" i="7"/>
  <c r="T101" i="7"/>
  <c r="S101" i="7"/>
  <c r="R101" i="7"/>
  <c r="Q101" i="7" a="1"/>
  <c r="Q101" i="7" s="1"/>
  <c r="P101" i="7"/>
  <c r="N101" i="7" a="1"/>
  <c r="N101" i="7" s="1"/>
  <c r="O101" i="7" s="1"/>
  <c r="M101" i="7" a="1"/>
  <c r="M101" i="7" s="1"/>
  <c r="L101" i="7"/>
  <c r="K101" i="7" a="1"/>
  <c r="K101" i="7" s="1"/>
  <c r="F101" i="7"/>
  <c r="T100" i="7"/>
  <c r="S100" i="7"/>
  <c r="R100" i="7"/>
  <c r="Q100" i="7" a="1"/>
  <c r="Q100" i="7" s="1"/>
  <c r="P100" i="7"/>
  <c r="N100" i="7" a="1"/>
  <c r="N100" i="7" s="1"/>
  <c r="O100" i="7" s="1"/>
  <c r="M100" i="7" a="1"/>
  <c r="M100" i="7" s="1"/>
  <c r="L100" i="7"/>
  <c r="K100" i="7" a="1"/>
  <c r="K100" i="7" s="1"/>
  <c r="F100" i="7"/>
  <c r="T99" i="7"/>
  <c r="S99" i="7"/>
  <c r="R99" i="7"/>
  <c r="Q99" i="7" a="1"/>
  <c r="Q99" i="7" s="1"/>
  <c r="P99" i="7"/>
  <c r="N99" i="7" a="1"/>
  <c r="N99" i="7" s="1"/>
  <c r="O99" i="7" s="1"/>
  <c r="M99" i="7" a="1"/>
  <c r="M99" i="7" s="1"/>
  <c r="L99" i="7"/>
  <c r="K99" i="7" a="1"/>
  <c r="K99" i="7" s="1"/>
  <c r="F99" i="7"/>
  <c r="T98" i="7"/>
  <c r="S98" i="7"/>
  <c r="R98" i="7"/>
  <c r="Q98" i="7" a="1"/>
  <c r="Q98" i="7" s="1"/>
  <c r="P98" i="7"/>
  <c r="N98" i="7" a="1"/>
  <c r="N98" i="7" s="1"/>
  <c r="O98" i="7" s="1"/>
  <c r="M98" i="7" a="1"/>
  <c r="M98" i="7" s="1"/>
  <c r="L98" i="7"/>
  <c r="K98" i="7" a="1"/>
  <c r="K98" i="7" s="1"/>
  <c r="F98" i="7"/>
  <c r="T97" i="7"/>
  <c r="S97" i="7"/>
  <c r="R97" i="7"/>
  <c r="Q97" i="7" a="1"/>
  <c r="Q97" i="7" s="1"/>
  <c r="P97" i="7"/>
  <c r="N97" i="7" a="1"/>
  <c r="N97" i="7" s="1"/>
  <c r="O97" i="7" s="1"/>
  <c r="M97" i="7" a="1"/>
  <c r="M97" i="7" s="1"/>
  <c r="L97" i="7"/>
  <c r="K97" i="7" a="1"/>
  <c r="K97" i="7" s="1"/>
  <c r="F97" i="7"/>
  <c r="T96" i="7"/>
  <c r="S96" i="7"/>
  <c r="R96" i="7"/>
  <c r="Q96" i="7" a="1"/>
  <c r="Q96" i="7" s="1"/>
  <c r="P96" i="7"/>
  <c r="N96" i="7" a="1"/>
  <c r="N96" i="7" s="1"/>
  <c r="O96" i="7" s="1"/>
  <c r="M96" i="7" a="1"/>
  <c r="M96" i="7" s="1"/>
  <c r="L96" i="7"/>
  <c r="K96" i="7" a="1"/>
  <c r="K96" i="7" s="1"/>
  <c r="F96" i="7"/>
  <c r="T95" i="7"/>
  <c r="S95" i="7"/>
  <c r="R95" i="7"/>
  <c r="Q95" i="7" a="1"/>
  <c r="Q95" i="7" s="1"/>
  <c r="P95" i="7"/>
  <c r="N95" i="7" a="1"/>
  <c r="N95" i="7" s="1"/>
  <c r="O95" i="7" s="1"/>
  <c r="M95" i="7" a="1"/>
  <c r="M95" i="7" s="1"/>
  <c r="L95" i="7"/>
  <c r="K95" i="7" a="1"/>
  <c r="K95" i="7" s="1"/>
  <c r="F95" i="7"/>
  <c r="T94" i="7"/>
  <c r="S94" i="7"/>
  <c r="R94" i="7"/>
  <c r="Q94" i="7" a="1"/>
  <c r="Q94" i="7" s="1"/>
  <c r="P94" i="7"/>
  <c r="N94" i="7" a="1"/>
  <c r="N94" i="7" s="1"/>
  <c r="O94" i="7" s="1"/>
  <c r="M94" i="7" a="1"/>
  <c r="M94" i="7" s="1"/>
  <c r="L94" i="7"/>
  <c r="K94" i="7" a="1"/>
  <c r="K94" i="7" s="1"/>
  <c r="F94" i="7"/>
  <c r="T93" i="7"/>
  <c r="S93" i="7"/>
  <c r="R93" i="7"/>
  <c r="Q93" i="7" a="1"/>
  <c r="Q93" i="7" s="1"/>
  <c r="P93" i="7"/>
  <c r="N93" i="7" a="1"/>
  <c r="N93" i="7" s="1"/>
  <c r="O93" i="7" s="1"/>
  <c r="M93" i="7" a="1"/>
  <c r="M93" i="7" s="1"/>
  <c r="L93" i="7"/>
  <c r="K93" i="7" a="1"/>
  <c r="K93" i="7" s="1"/>
  <c r="F93" i="7"/>
  <c r="T92" i="7"/>
  <c r="S92" i="7"/>
  <c r="R92" i="7"/>
  <c r="Q92" i="7" a="1"/>
  <c r="Q92" i="7" s="1"/>
  <c r="P92" i="7"/>
  <c r="N92" i="7" a="1"/>
  <c r="N92" i="7" s="1"/>
  <c r="O92" i="7" s="1"/>
  <c r="M92" i="7" a="1"/>
  <c r="M92" i="7" s="1"/>
  <c r="L92" i="7"/>
  <c r="K92" i="7"/>
  <c r="K92" i="7" a="1"/>
  <c r="F92" i="7"/>
  <c r="T91" i="7"/>
  <c r="S91" i="7"/>
  <c r="R91" i="7"/>
  <c r="Q91" i="7" a="1"/>
  <c r="Q91" i="7" s="1"/>
  <c r="P91" i="7"/>
  <c r="N91" i="7" a="1"/>
  <c r="N91" i="7" s="1"/>
  <c r="O91" i="7" s="1"/>
  <c r="M91" i="7" a="1"/>
  <c r="M91" i="7" s="1"/>
  <c r="L91" i="7"/>
  <c r="K91" i="7" a="1"/>
  <c r="K91" i="7" s="1"/>
  <c r="F91" i="7"/>
  <c r="T90" i="7"/>
  <c r="S90" i="7"/>
  <c r="R90" i="7"/>
  <c r="Q90" i="7" a="1"/>
  <c r="Q90" i="7" s="1"/>
  <c r="P90" i="7"/>
  <c r="N90" i="7" a="1"/>
  <c r="N90" i="7" s="1"/>
  <c r="O90" i="7" s="1"/>
  <c r="M90" i="7" a="1"/>
  <c r="M90" i="7" s="1"/>
  <c r="L90" i="7"/>
  <c r="K90" i="7" a="1"/>
  <c r="K90" i="7" s="1"/>
  <c r="F90" i="7"/>
  <c r="T89" i="7"/>
  <c r="S89" i="7"/>
  <c r="R89" i="7"/>
  <c r="Q89" i="7" a="1"/>
  <c r="Q89" i="7" s="1"/>
  <c r="P89" i="7"/>
  <c r="N89" i="7" a="1"/>
  <c r="N89" i="7" s="1"/>
  <c r="O89" i="7" s="1"/>
  <c r="M89" i="7" a="1"/>
  <c r="M89" i="7" s="1"/>
  <c r="L89" i="7"/>
  <c r="K89" i="7" a="1"/>
  <c r="K89" i="7" s="1"/>
  <c r="F89" i="7"/>
  <c r="T88" i="7"/>
  <c r="S88" i="7"/>
  <c r="R88" i="7"/>
  <c r="Q88" i="7" a="1"/>
  <c r="Q88" i="7" s="1"/>
  <c r="P88" i="7"/>
  <c r="N88" i="7" a="1"/>
  <c r="N88" i="7" s="1"/>
  <c r="O88" i="7" s="1"/>
  <c r="M88" i="7" a="1"/>
  <c r="M88" i="7" s="1"/>
  <c r="L88" i="7"/>
  <c r="K88" i="7" a="1"/>
  <c r="K88" i="7" s="1"/>
  <c r="F88" i="7"/>
  <c r="T87" i="7"/>
  <c r="S87" i="7"/>
  <c r="R87" i="7"/>
  <c r="Q87" i="7" a="1"/>
  <c r="Q87" i="7" s="1"/>
  <c r="P87" i="7"/>
  <c r="N87" i="7" a="1"/>
  <c r="N87" i="7" s="1"/>
  <c r="O87" i="7" s="1"/>
  <c r="M87" i="7" a="1"/>
  <c r="M87" i="7" s="1"/>
  <c r="L87" i="7"/>
  <c r="K87" i="7" a="1"/>
  <c r="K87" i="7" s="1"/>
  <c r="F87" i="7"/>
  <c r="T86" i="7"/>
  <c r="S86" i="7"/>
  <c r="R86" i="7"/>
  <c r="Q86" i="7" a="1"/>
  <c r="Q86" i="7" s="1"/>
  <c r="P86" i="7"/>
  <c r="N86" i="7" a="1"/>
  <c r="N86" i="7" s="1"/>
  <c r="O86" i="7" s="1"/>
  <c r="M86" i="7" a="1"/>
  <c r="M86" i="7" s="1"/>
  <c r="L86" i="7"/>
  <c r="K86" i="7" a="1"/>
  <c r="K86" i="7" s="1"/>
  <c r="F86" i="7"/>
  <c r="T85" i="7"/>
  <c r="S85" i="7"/>
  <c r="R85" i="7"/>
  <c r="Q85" i="7" a="1"/>
  <c r="Q85" i="7" s="1"/>
  <c r="P85" i="7"/>
  <c r="N85" i="7" a="1"/>
  <c r="N85" i="7" s="1"/>
  <c r="O85" i="7" s="1"/>
  <c r="M85" i="7" a="1"/>
  <c r="M85" i="7" s="1"/>
  <c r="L85" i="7"/>
  <c r="K85" i="7" a="1"/>
  <c r="K85" i="7" s="1"/>
  <c r="F85" i="7"/>
  <c r="T84" i="7"/>
  <c r="S84" i="7"/>
  <c r="R84" i="7"/>
  <c r="Q84" i="7" a="1"/>
  <c r="Q84" i="7" s="1"/>
  <c r="P84" i="7"/>
  <c r="N84" i="7" a="1"/>
  <c r="N84" i="7" s="1"/>
  <c r="O84" i="7" s="1"/>
  <c r="M84" i="7" a="1"/>
  <c r="M84" i="7" s="1"/>
  <c r="L84" i="7"/>
  <c r="K84" i="7" a="1"/>
  <c r="K84" i="7" s="1"/>
  <c r="F84" i="7"/>
  <c r="T83" i="7"/>
  <c r="S83" i="7"/>
  <c r="R83" i="7"/>
  <c r="Q83" i="7" a="1"/>
  <c r="Q83" i="7" s="1"/>
  <c r="P83" i="7"/>
  <c r="N83" i="7" a="1"/>
  <c r="N83" i="7" s="1"/>
  <c r="O83" i="7" s="1"/>
  <c r="M83" i="7" a="1"/>
  <c r="M83" i="7" s="1"/>
  <c r="L83" i="7"/>
  <c r="K83" i="7" a="1"/>
  <c r="K83" i="7" s="1"/>
  <c r="F83" i="7"/>
  <c r="T82" i="7"/>
  <c r="S82" i="7"/>
  <c r="R82" i="7"/>
  <c r="Q82" i="7" a="1"/>
  <c r="Q82" i="7" s="1"/>
  <c r="P82" i="7"/>
  <c r="N82" i="7" a="1"/>
  <c r="N82" i="7" s="1"/>
  <c r="O82" i="7" s="1"/>
  <c r="M82" i="7" a="1"/>
  <c r="M82" i="7" s="1"/>
  <c r="L82" i="7"/>
  <c r="K82" i="7" a="1"/>
  <c r="K82" i="7" s="1"/>
  <c r="F82" i="7"/>
  <c r="T81" i="7"/>
  <c r="S81" i="7"/>
  <c r="R81" i="7"/>
  <c r="Q81" i="7" a="1"/>
  <c r="Q81" i="7" s="1"/>
  <c r="P81" i="7"/>
  <c r="N81" i="7" a="1"/>
  <c r="N81" i="7" s="1"/>
  <c r="O81" i="7" s="1"/>
  <c r="M81" i="7" a="1"/>
  <c r="M81" i="7" s="1"/>
  <c r="L81" i="7"/>
  <c r="K81" i="7" a="1"/>
  <c r="K81" i="7" s="1"/>
  <c r="F81" i="7"/>
  <c r="T80" i="7"/>
  <c r="S80" i="7"/>
  <c r="R80" i="7"/>
  <c r="Q80" i="7" a="1"/>
  <c r="Q80" i="7" s="1"/>
  <c r="P80" i="7"/>
  <c r="N80" i="7" a="1"/>
  <c r="N80" i="7" s="1"/>
  <c r="O80" i="7" s="1"/>
  <c r="M80" i="7" a="1"/>
  <c r="M80" i="7" s="1"/>
  <c r="L80" i="7"/>
  <c r="K80" i="7" a="1"/>
  <c r="K80" i="7" s="1"/>
  <c r="F80" i="7"/>
  <c r="T79" i="7"/>
  <c r="S79" i="7"/>
  <c r="R79" i="7"/>
  <c r="Q79" i="7" a="1"/>
  <c r="Q79" i="7" s="1"/>
  <c r="P79" i="7"/>
  <c r="N79" i="7" a="1"/>
  <c r="N79" i="7" s="1"/>
  <c r="O79" i="7" s="1"/>
  <c r="M79" i="7" a="1"/>
  <c r="M79" i="7" s="1"/>
  <c r="L79" i="7"/>
  <c r="K79" i="7" a="1"/>
  <c r="K79" i="7" s="1"/>
  <c r="F79" i="7"/>
  <c r="T78" i="7"/>
  <c r="S78" i="7"/>
  <c r="R78" i="7"/>
  <c r="Q78" i="7" a="1"/>
  <c r="Q78" i="7" s="1"/>
  <c r="P78" i="7"/>
  <c r="N78" i="7" a="1"/>
  <c r="N78" i="7" s="1"/>
  <c r="O78" i="7" s="1"/>
  <c r="M78" i="7" a="1"/>
  <c r="M78" i="7" s="1"/>
  <c r="L78" i="7"/>
  <c r="K78" i="7" a="1"/>
  <c r="K78" i="7" s="1"/>
  <c r="F78" i="7"/>
  <c r="T77" i="7"/>
  <c r="S77" i="7"/>
  <c r="R77" i="7"/>
  <c r="Q77" i="7" a="1"/>
  <c r="Q77" i="7" s="1"/>
  <c r="P77" i="7"/>
  <c r="N77" i="7" a="1"/>
  <c r="N77" i="7" s="1"/>
  <c r="O77" i="7" s="1"/>
  <c r="M77" i="7" a="1"/>
  <c r="M77" i="7" s="1"/>
  <c r="L77" i="7"/>
  <c r="K77" i="7" a="1"/>
  <c r="K77" i="7" s="1"/>
  <c r="F77" i="7"/>
  <c r="T76" i="7"/>
  <c r="S76" i="7"/>
  <c r="R76" i="7"/>
  <c r="Q76" i="7" a="1"/>
  <c r="Q76" i="7" s="1"/>
  <c r="P76" i="7"/>
  <c r="N76" i="7" a="1"/>
  <c r="N76" i="7" s="1"/>
  <c r="O76" i="7" s="1"/>
  <c r="M76" i="7" a="1"/>
  <c r="M76" i="7" s="1"/>
  <c r="L76" i="7"/>
  <c r="K76" i="7" a="1"/>
  <c r="K76" i="7" s="1"/>
  <c r="F76" i="7"/>
  <c r="T75" i="7"/>
  <c r="S75" i="7"/>
  <c r="R75" i="7"/>
  <c r="Q75" i="7" a="1"/>
  <c r="Q75" i="7" s="1"/>
  <c r="P75" i="7"/>
  <c r="N75" i="7" a="1"/>
  <c r="N75" i="7" s="1"/>
  <c r="O75" i="7" s="1"/>
  <c r="M75" i="7" a="1"/>
  <c r="M75" i="7" s="1"/>
  <c r="L75" i="7"/>
  <c r="K75" i="7" a="1"/>
  <c r="K75" i="7" s="1"/>
  <c r="F75" i="7"/>
  <c r="T74" i="7"/>
  <c r="S74" i="7"/>
  <c r="R74" i="7"/>
  <c r="Q74" i="7" a="1"/>
  <c r="Q74" i="7" s="1"/>
  <c r="P74" i="7"/>
  <c r="N74" i="7" a="1"/>
  <c r="N74" i="7" s="1"/>
  <c r="O74" i="7" s="1"/>
  <c r="M74" i="7" a="1"/>
  <c r="M74" i="7" s="1"/>
  <c r="L74" i="7"/>
  <c r="K74" i="7" a="1"/>
  <c r="K74" i="7" s="1"/>
  <c r="F74" i="7"/>
  <c r="T73" i="7"/>
  <c r="S73" i="7"/>
  <c r="R73" i="7"/>
  <c r="Q73" i="7" a="1"/>
  <c r="Q73" i="7" s="1"/>
  <c r="P73" i="7"/>
  <c r="N73" i="7" a="1"/>
  <c r="N73" i="7" s="1"/>
  <c r="O73" i="7" s="1"/>
  <c r="M73" i="7" a="1"/>
  <c r="M73" i="7" s="1"/>
  <c r="L73" i="7"/>
  <c r="K73" i="7" a="1"/>
  <c r="K73" i="7" s="1"/>
  <c r="F73" i="7"/>
  <c r="T72" i="7"/>
  <c r="S72" i="7"/>
  <c r="R72" i="7"/>
  <c r="Q72" i="7" a="1"/>
  <c r="Q72" i="7" s="1"/>
  <c r="P72" i="7"/>
  <c r="N72" i="7" a="1"/>
  <c r="N72" i="7" s="1"/>
  <c r="O72" i="7" s="1"/>
  <c r="M72" i="7" a="1"/>
  <c r="M72" i="7" s="1"/>
  <c r="L72" i="7"/>
  <c r="K72" i="7" a="1"/>
  <c r="K72" i="7" s="1"/>
  <c r="F72" i="7"/>
  <c r="T71" i="7"/>
  <c r="S71" i="7"/>
  <c r="R71" i="7"/>
  <c r="Q71" i="7" a="1"/>
  <c r="Q71" i="7" s="1"/>
  <c r="P71" i="7"/>
  <c r="N71" i="7" a="1"/>
  <c r="N71" i="7" s="1"/>
  <c r="O71" i="7" s="1"/>
  <c r="M71" i="7" a="1"/>
  <c r="M71" i="7" s="1"/>
  <c r="L71" i="7"/>
  <c r="K71" i="7" a="1"/>
  <c r="K71" i="7" s="1"/>
  <c r="F71" i="7"/>
  <c r="T70" i="7"/>
  <c r="S70" i="7"/>
  <c r="R70" i="7"/>
  <c r="Q70" i="7" a="1"/>
  <c r="Q70" i="7" s="1"/>
  <c r="P70" i="7"/>
  <c r="N70" i="7" a="1"/>
  <c r="N70" i="7" s="1"/>
  <c r="O70" i="7" s="1"/>
  <c r="M70" i="7" a="1"/>
  <c r="M70" i="7" s="1"/>
  <c r="L70" i="7"/>
  <c r="K70" i="7" a="1"/>
  <c r="K70" i="7" s="1"/>
  <c r="F70" i="7"/>
  <c r="T69" i="7"/>
  <c r="S69" i="7"/>
  <c r="R69" i="7"/>
  <c r="Q69" i="7" a="1"/>
  <c r="Q69" i="7" s="1"/>
  <c r="P69" i="7"/>
  <c r="N69" i="7" a="1"/>
  <c r="N69" i="7" s="1"/>
  <c r="O69" i="7" s="1"/>
  <c r="M69" i="7" a="1"/>
  <c r="M69" i="7" s="1"/>
  <c r="L69" i="7"/>
  <c r="K69" i="7" a="1"/>
  <c r="K69" i="7" s="1"/>
  <c r="F69" i="7"/>
  <c r="T68" i="7"/>
  <c r="S68" i="7"/>
  <c r="R68" i="7"/>
  <c r="Q68" i="7" a="1"/>
  <c r="Q68" i="7" s="1"/>
  <c r="P68" i="7"/>
  <c r="N68" i="7" a="1"/>
  <c r="N68" i="7" s="1"/>
  <c r="O68" i="7" s="1"/>
  <c r="M68" i="7" a="1"/>
  <c r="M68" i="7" s="1"/>
  <c r="L68" i="7"/>
  <c r="K68" i="7" a="1"/>
  <c r="K68" i="7" s="1"/>
  <c r="F68" i="7"/>
  <c r="T67" i="7"/>
  <c r="S67" i="7"/>
  <c r="R67" i="7"/>
  <c r="Q67" i="7" a="1"/>
  <c r="Q67" i="7" s="1"/>
  <c r="P67" i="7"/>
  <c r="N67" i="7" a="1"/>
  <c r="N67" i="7" s="1"/>
  <c r="O67" i="7" s="1"/>
  <c r="M67" i="7" a="1"/>
  <c r="M67" i="7" s="1"/>
  <c r="L67" i="7"/>
  <c r="K67" i="7" a="1"/>
  <c r="K67" i="7" s="1"/>
  <c r="F67" i="7"/>
  <c r="T66" i="7"/>
  <c r="S66" i="7"/>
  <c r="R66" i="7"/>
  <c r="Q66" i="7" a="1"/>
  <c r="Q66" i="7" s="1"/>
  <c r="P66" i="7"/>
  <c r="N66" i="7" a="1"/>
  <c r="N66" i="7" s="1"/>
  <c r="O66" i="7" s="1"/>
  <c r="M66" i="7" a="1"/>
  <c r="M66" i="7" s="1"/>
  <c r="L66" i="7"/>
  <c r="K66" i="7" a="1"/>
  <c r="K66" i="7" s="1"/>
  <c r="F66" i="7"/>
  <c r="T65" i="7"/>
  <c r="S65" i="7"/>
  <c r="R65" i="7"/>
  <c r="Q65" i="7" a="1"/>
  <c r="Q65" i="7" s="1"/>
  <c r="P65" i="7"/>
  <c r="N65" i="7" a="1"/>
  <c r="N65" i="7" s="1"/>
  <c r="O65" i="7" s="1"/>
  <c r="M65" i="7" a="1"/>
  <c r="M65" i="7" s="1"/>
  <c r="L65" i="7"/>
  <c r="K65" i="7" a="1"/>
  <c r="K65" i="7" s="1"/>
  <c r="F65" i="7"/>
  <c r="T64" i="7"/>
  <c r="S64" i="7"/>
  <c r="R64" i="7"/>
  <c r="Q64" i="7" a="1"/>
  <c r="Q64" i="7" s="1"/>
  <c r="P64" i="7"/>
  <c r="N64" i="7" a="1"/>
  <c r="N64" i="7" s="1"/>
  <c r="O64" i="7" s="1"/>
  <c r="M64" i="7" a="1"/>
  <c r="M64" i="7" s="1"/>
  <c r="L64" i="7"/>
  <c r="K64" i="7" a="1"/>
  <c r="K64" i="7" s="1"/>
  <c r="F64" i="7"/>
  <c r="T63" i="7"/>
  <c r="S63" i="7"/>
  <c r="R63" i="7"/>
  <c r="Q63" i="7" a="1"/>
  <c r="Q63" i="7" s="1"/>
  <c r="P63" i="7"/>
  <c r="N63" i="7" a="1"/>
  <c r="N63" i="7" s="1"/>
  <c r="O63" i="7" s="1"/>
  <c r="M63" i="7" a="1"/>
  <c r="M63" i="7" s="1"/>
  <c r="L63" i="7"/>
  <c r="K63" i="7" a="1"/>
  <c r="K63" i="7" s="1"/>
  <c r="F63" i="7"/>
  <c r="T62" i="7"/>
  <c r="S62" i="7"/>
  <c r="R62" i="7"/>
  <c r="Q62" i="7" a="1"/>
  <c r="Q62" i="7" s="1"/>
  <c r="P62" i="7"/>
  <c r="N62" i="7" a="1"/>
  <c r="N62" i="7" s="1"/>
  <c r="O62" i="7" s="1"/>
  <c r="M62" i="7" a="1"/>
  <c r="M62" i="7" s="1"/>
  <c r="L62" i="7"/>
  <c r="K62" i="7" a="1"/>
  <c r="K62" i="7" s="1"/>
  <c r="F62" i="7"/>
  <c r="T61" i="7"/>
  <c r="S61" i="7"/>
  <c r="R61" i="7"/>
  <c r="Q61" i="7" a="1"/>
  <c r="Q61" i="7" s="1"/>
  <c r="P61" i="7"/>
  <c r="N61" i="7" a="1"/>
  <c r="N61" i="7" s="1"/>
  <c r="O61" i="7" s="1"/>
  <c r="M61" i="7" a="1"/>
  <c r="M61" i="7" s="1"/>
  <c r="L61" i="7"/>
  <c r="K61" i="7" a="1"/>
  <c r="K61" i="7" s="1"/>
  <c r="F61" i="7"/>
  <c r="T60" i="7"/>
  <c r="S60" i="7"/>
  <c r="R60" i="7"/>
  <c r="Q60" i="7" a="1"/>
  <c r="Q60" i="7" s="1"/>
  <c r="P60" i="7"/>
  <c r="N60" i="7" a="1"/>
  <c r="N60" i="7" s="1"/>
  <c r="O60" i="7" s="1"/>
  <c r="M60" i="7" a="1"/>
  <c r="M60" i="7" s="1"/>
  <c r="L60" i="7"/>
  <c r="K60" i="7" a="1"/>
  <c r="K60" i="7" s="1"/>
  <c r="F60" i="7"/>
  <c r="T59" i="7"/>
  <c r="S59" i="7"/>
  <c r="R59" i="7"/>
  <c r="Q59" i="7" a="1"/>
  <c r="Q59" i="7" s="1"/>
  <c r="P59" i="7"/>
  <c r="N59" i="7" a="1"/>
  <c r="N59" i="7" s="1"/>
  <c r="O59" i="7" s="1"/>
  <c r="M59" i="7" a="1"/>
  <c r="M59" i="7" s="1"/>
  <c r="L59" i="7"/>
  <c r="K59" i="7" a="1"/>
  <c r="K59" i="7" s="1"/>
  <c r="F59" i="7"/>
  <c r="T58" i="7"/>
  <c r="S58" i="7"/>
  <c r="R58" i="7"/>
  <c r="Q58" i="7" a="1"/>
  <c r="Q58" i="7" s="1"/>
  <c r="P58" i="7"/>
  <c r="N58" i="7" a="1"/>
  <c r="N58" i="7" s="1"/>
  <c r="O58" i="7" s="1"/>
  <c r="M58" i="7" a="1"/>
  <c r="M58" i="7" s="1"/>
  <c r="L58" i="7"/>
  <c r="K58" i="7" a="1"/>
  <c r="K58" i="7" s="1"/>
  <c r="F58" i="7"/>
  <c r="T57" i="7"/>
  <c r="S57" i="7"/>
  <c r="R57" i="7"/>
  <c r="Q57" i="7" a="1"/>
  <c r="Q57" i="7" s="1"/>
  <c r="P57" i="7"/>
  <c r="N57" i="7" a="1"/>
  <c r="N57" i="7" s="1"/>
  <c r="O57" i="7" s="1"/>
  <c r="M57" i="7" a="1"/>
  <c r="M57" i="7" s="1"/>
  <c r="L57" i="7"/>
  <c r="K57" i="7" a="1"/>
  <c r="K57" i="7" s="1"/>
  <c r="F57" i="7"/>
  <c r="T56" i="7"/>
  <c r="S56" i="7"/>
  <c r="R56" i="7"/>
  <c r="Q56" i="7" a="1"/>
  <c r="Q56" i="7" s="1"/>
  <c r="P56" i="7"/>
  <c r="N56" i="7" a="1"/>
  <c r="N56" i="7" s="1"/>
  <c r="O56" i="7" s="1"/>
  <c r="M56" i="7" a="1"/>
  <c r="M56" i="7" s="1"/>
  <c r="L56" i="7"/>
  <c r="K56" i="7" a="1"/>
  <c r="K56" i="7" s="1"/>
  <c r="F56" i="7"/>
  <c r="T55" i="7"/>
  <c r="S55" i="7"/>
  <c r="R55" i="7"/>
  <c r="Q55" i="7" a="1"/>
  <c r="Q55" i="7" s="1"/>
  <c r="P55" i="7"/>
  <c r="N55" i="7" a="1"/>
  <c r="N55" i="7" s="1"/>
  <c r="O55" i="7" s="1"/>
  <c r="M55" i="7" a="1"/>
  <c r="M55" i="7" s="1"/>
  <c r="L55" i="7"/>
  <c r="K55" i="7" a="1"/>
  <c r="K55" i="7" s="1"/>
  <c r="F55" i="7"/>
  <c r="T54" i="7"/>
  <c r="S54" i="7"/>
  <c r="R54" i="7"/>
  <c r="Q54" i="7" a="1"/>
  <c r="Q54" i="7" s="1"/>
  <c r="P54" i="7"/>
  <c r="N54" i="7" a="1"/>
  <c r="N54" i="7" s="1"/>
  <c r="O54" i="7" s="1"/>
  <c r="M54" i="7" a="1"/>
  <c r="M54" i="7" s="1"/>
  <c r="L54" i="7"/>
  <c r="K54" i="7" a="1"/>
  <c r="K54" i="7" s="1"/>
  <c r="F54" i="7"/>
  <c r="T53" i="7"/>
  <c r="S53" i="7"/>
  <c r="R53" i="7"/>
  <c r="Q53" i="7" a="1"/>
  <c r="Q53" i="7" s="1"/>
  <c r="P53" i="7"/>
  <c r="N53" i="7" a="1"/>
  <c r="N53" i="7" s="1"/>
  <c r="O53" i="7" s="1"/>
  <c r="M53" i="7" a="1"/>
  <c r="M53" i="7" s="1"/>
  <c r="L53" i="7"/>
  <c r="K53" i="7" a="1"/>
  <c r="K53" i="7" s="1"/>
  <c r="F53" i="7"/>
  <c r="T52" i="7"/>
  <c r="S52" i="7"/>
  <c r="R52" i="7"/>
  <c r="Q52" i="7" a="1"/>
  <c r="Q52" i="7" s="1"/>
  <c r="P52" i="7"/>
  <c r="N52" i="7" a="1"/>
  <c r="N52" i="7" s="1"/>
  <c r="O52" i="7" s="1"/>
  <c r="M52" i="7" a="1"/>
  <c r="M52" i="7" s="1"/>
  <c r="L52" i="7"/>
  <c r="K52" i="7" a="1"/>
  <c r="K52" i="7" s="1"/>
  <c r="F52" i="7"/>
  <c r="T51" i="7"/>
  <c r="S51" i="7"/>
  <c r="R51" i="7"/>
  <c r="Q51" i="7" a="1"/>
  <c r="Q51" i="7" s="1"/>
  <c r="P51" i="7"/>
  <c r="N51" i="7" a="1"/>
  <c r="N51" i="7" s="1"/>
  <c r="O51" i="7" s="1"/>
  <c r="M51" i="7" a="1"/>
  <c r="M51" i="7" s="1"/>
  <c r="L51" i="7"/>
  <c r="K51" i="7" a="1"/>
  <c r="K51" i="7" s="1"/>
  <c r="F51" i="7"/>
  <c r="T50" i="7"/>
  <c r="S50" i="7"/>
  <c r="R50" i="7"/>
  <c r="Q50" i="7" a="1"/>
  <c r="Q50" i="7" s="1"/>
  <c r="P50" i="7"/>
  <c r="N50" i="7" a="1"/>
  <c r="N50" i="7" s="1"/>
  <c r="O50" i="7" s="1"/>
  <c r="M50" i="7" a="1"/>
  <c r="M50" i="7" s="1"/>
  <c r="L50" i="7"/>
  <c r="K50" i="7" a="1"/>
  <c r="K50" i="7" s="1"/>
  <c r="F50" i="7"/>
  <c r="T49" i="7"/>
  <c r="S49" i="7"/>
  <c r="R49" i="7"/>
  <c r="Q49" i="7" a="1"/>
  <c r="Q49" i="7" s="1"/>
  <c r="P49" i="7"/>
  <c r="N49" i="7" a="1"/>
  <c r="N49" i="7" s="1"/>
  <c r="O49" i="7" s="1"/>
  <c r="M49" i="7" a="1"/>
  <c r="M49" i="7" s="1"/>
  <c r="L49" i="7"/>
  <c r="K49" i="7" a="1"/>
  <c r="K49" i="7" s="1"/>
  <c r="F49" i="7"/>
  <c r="T48" i="7"/>
  <c r="S48" i="7"/>
  <c r="R48" i="7"/>
  <c r="Q48" i="7" a="1"/>
  <c r="Q48" i="7" s="1"/>
  <c r="P48" i="7"/>
  <c r="N48" i="7" a="1"/>
  <c r="N48" i="7" s="1"/>
  <c r="O48" i="7" s="1"/>
  <c r="M48" i="7" a="1"/>
  <c r="M48" i="7" s="1"/>
  <c r="L48" i="7"/>
  <c r="K48" i="7" a="1"/>
  <c r="K48" i="7" s="1"/>
  <c r="F48" i="7"/>
  <c r="T47" i="7"/>
  <c r="S47" i="7"/>
  <c r="R47" i="7"/>
  <c r="Q47" i="7" a="1"/>
  <c r="Q47" i="7" s="1"/>
  <c r="P47" i="7"/>
  <c r="N47" i="7" a="1"/>
  <c r="N47" i="7" s="1"/>
  <c r="O47" i="7" s="1"/>
  <c r="M47" i="7" a="1"/>
  <c r="M47" i="7" s="1"/>
  <c r="L47" i="7"/>
  <c r="K47" i="7" a="1"/>
  <c r="K47" i="7" s="1"/>
  <c r="F47" i="7"/>
  <c r="T46" i="7"/>
  <c r="S46" i="7"/>
  <c r="R46" i="7"/>
  <c r="Q46" i="7" a="1"/>
  <c r="Q46" i="7" s="1"/>
  <c r="P46" i="7"/>
  <c r="N46" i="7" a="1"/>
  <c r="N46" i="7" s="1"/>
  <c r="O46" i="7" s="1"/>
  <c r="M46" i="7" a="1"/>
  <c r="M46" i="7" s="1"/>
  <c r="L46" i="7"/>
  <c r="K46" i="7" a="1"/>
  <c r="K46" i="7" s="1"/>
  <c r="F46" i="7"/>
  <c r="T45" i="7"/>
  <c r="S45" i="7"/>
  <c r="R45" i="7"/>
  <c r="Q45" i="7" a="1"/>
  <c r="Q45" i="7" s="1"/>
  <c r="P45" i="7"/>
  <c r="N45" i="7" a="1"/>
  <c r="N45" i="7" s="1"/>
  <c r="O45" i="7" s="1"/>
  <c r="M45" i="7" a="1"/>
  <c r="M45" i="7" s="1"/>
  <c r="L45" i="7"/>
  <c r="K45" i="7" a="1"/>
  <c r="K45" i="7" s="1"/>
  <c r="F45" i="7"/>
  <c r="T44" i="7"/>
  <c r="S44" i="7"/>
  <c r="R44" i="7"/>
  <c r="Q44" i="7" a="1"/>
  <c r="Q44" i="7" s="1"/>
  <c r="P44" i="7"/>
  <c r="N44" i="7" a="1"/>
  <c r="N44" i="7" s="1"/>
  <c r="O44" i="7" s="1"/>
  <c r="M44" i="7" a="1"/>
  <c r="M44" i="7" s="1"/>
  <c r="L44" i="7"/>
  <c r="K44" i="7" a="1"/>
  <c r="K44" i="7" s="1"/>
  <c r="F44" i="7"/>
  <c r="T43" i="7"/>
  <c r="S43" i="7"/>
  <c r="R43" i="7"/>
  <c r="Q43" i="7" a="1"/>
  <c r="Q43" i="7" s="1"/>
  <c r="P43" i="7"/>
  <c r="N43" i="7" a="1"/>
  <c r="N43" i="7" s="1"/>
  <c r="O43" i="7" s="1"/>
  <c r="M43" i="7" a="1"/>
  <c r="M43" i="7" s="1"/>
  <c r="L43" i="7"/>
  <c r="K43" i="7" a="1"/>
  <c r="K43" i="7" s="1"/>
  <c r="F43" i="7"/>
  <c r="T42" i="7"/>
  <c r="S42" i="7"/>
  <c r="R42" i="7"/>
  <c r="Q42" i="7" a="1"/>
  <c r="Q42" i="7" s="1"/>
  <c r="P42" i="7"/>
  <c r="N42" i="7" a="1"/>
  <c r="N42" i="7" s="1"/>
  <c r="O42" i="7" s="1"/>
  <c r="M42" i="7" a="1"/>
  <c r="M42" i="7" s="1"/>
  <c r="L42" i="7"/>
  <c r="K42" i="7" a="1"/>
  <c r="K42" i="7" s="1"/>
  <c r="F42" i="7"/>
  <c r="T41" i="7"/>
  <c r="S41" i="7"/>
  <c r="R41" i="7"/>
  <c r="Q41" i="7" a="1"/>
  <c r="Q41" i="7" s="1"/>
  <c r="P41" i="7"/>
  <c r="N41" i="7" a="1"/>
  <c r="N41" i="7" s="1"/>
  <c r="O41" i="7" s="1"/>
  <c r="M41" i="7" a="1"/>
  <c r="M41" i="7" s="1"/>
  <c r="L41" i="7"/>
  <c r="K41" i="7" a="1"/>
  <c r="K41" i="7" s="1"/>
  <c r="F41" i="7"/>
  <c r="T40" i="7"/>
  <c r="S40" i="7"/>
  <c r="R40" i="7"/>
  <c r="Q40" i="7" a="1"/>
  <c r="Q40" i="7" s="1"/>
  <c r="P40" i="7"/>
  <c r="N40" i="7" a="1"/>
  <c r="N40" i="7" s="1"/>
  <c r="O40" i="7" s="1"/>
  <c r="M40" i="7" a="1"/>
  <c r="M40" i="7" s="1"/>
  <c r="L40" i="7"/>
  <c r="K40" i="7" a="1"/>
  <c r="K40" i="7" s="1"/>
  <c r="F40" i="7"/>
  <c r="T39" i="7"/>
  <c r="S39" i="7"/>
  <c r="R39" i="7"/>
  <c r="Q39" i="7" a="1"/>
  <c r="Q39" i="7" s="1"/>
  <c r="P39" i="7"/>
  <c r="N39" i="7" a="1"/>
  <c r="N39" i="7" s="1"/>
  <c r="O39" i="7" s="1"/>
  <c r="M39" i="7" a="1"/>
  <c r="M39" i="7" s="1"/>
  <c r="L39" i="7"/>
  <c r="K39" i="7" a="1"/>
  <c r="K39" i="7" s="1"/>
  <c r="F39" i="7"/>
  <c r="T38" i="7"/>
  <c r="S38" i="7"/>
  <c r="R38" i="7"/>
  <c r="Q38" i="7" a="1"/>
  <c r="Q38" i="7" s="1"/>
  <c r="P38" i="7"/>
  <c r="N38" i="7" a="1"/>
  <c r="N38" i="7" s="1"/>
  <c r="O38" i="7" s="1"/>
  <c r="M38" i="7" a="1"/>
  <c r="M38" i="7" s="1"/>
  <c r="L38" i="7"/>
  <c r="K38" i="7" a="1"/>
  <c r="K38" i="7" s="1"/>
  <c r="F38" i="7"/>
  <c r="T37" i="7"/>
  <c r="S37" i="7"/>
  <c r="R37" i="7"/>
  <c r="Q37" i="7" a="1"/>
  <c r="Q37" i="7" s="1"/>
  <c r="P37" i="7"/>
  <c r="N37" i="7" a="1"/>
  <c r="N37" i="7" s="1"/>
  <c r="O37" i="7" s="1"/>
  <c r="M37" i="7" a="1"/>
  <c r="M37" i="7" s="1"/>
  <c r="L37" i="7"/>
  <c r="K37" i="7" a="1"/>
  <c r="K37" i="7" s="1"/>
  <c r="F37" i="7"/>
  <c r="T36" i="7"/>
  <c r="S36" i="7"/>
  <c r="R36" i="7"/>
  <c r="Q36" i="7" a="1"/>
  <c r="Q36" i="7" s="1"/>
  <c r="P36" i="7"/>
  <c r="N36" i="7" a="1"/>
  <c r="N36" i="7" s="1"/>
  <c r="O36" i="7" s="1"/>
  <c r="M36" i="7" a="1"/>
  <c r="M36" i="7" s="1"/>
  <c r="L36" i="7"/>
  <c r="K36" i="7" a="1"/>
  <c r="K36" i="7" s="1"/>
  <c r="F36" i="7"/>
  <c r="T35" i="7"/>
  <c r="S35" i="7"/>
  <c r="R35" i="7"/>
  <c r="Q35" i="7" a="1"/>
  <c r="Q35" i="7" s="1"/>
  <c r="P35" i="7"/>
  <c r="N35" i="7" a="1"/>
  <c r="N35" i="7" s="1"/>
  <c r="O35" i="7" s="1"/>
  <c r="M35" i="7" a="1"/>
  <c r="M35" i="7" s="1"/>
  <c r="L35" i="7"/>
  <c r="K35" i="7" a="1"/>
  <c r="K35" i="7" s="1"/>
  <c r="F35" i="7"/>
  <c r="T34" i="7"/>
  <c r="S34" i="7"/>
  <c r="R34" i="7"/>
  <c r="Q34" i="7" a="1"/>
  <c r="Q34" i="7" s="1"/>
  <c r="P34" i="7"/>
  <c r="N34" i="7" a="1"/>
  <c r="N34" i="7" s="1"/>
  <c r="O34" i="7" s="1"/>
  <c r="M34" i="7" a="1"/>
  <c r="M34" i="7" s="1"/>
  <c r="L34" i="7"/>
  <c r="K34" i="7" a="1"/>
  <c r="K34" i="7" s="1"/>
  <c r="F34" i="7"/>
  <c r="T33" i="7"/>
  <c r="S33" i="7"/>
  <c r="R33" i="7"/>
  <c r="Q33" i="7" a="1"/>
  <c r="Q33" i="7" s="1"/>
  <c r="P33" i="7"/>
  <c r="N33" i="7" a="1"/>
  <c r="N33" i="7" s="1"/>
  <c r="O33" i="7" s="1"/>
  <c r="M33" i="7" a="1"/>
  <c r="M33" i="7" s="1"/>
  <c r="L33" i="7"/>
  <c r="K33" i="7" a="1"/>
  <c r="K33" i="7" s="1"/>
  <c r="F33" i="7"/>
  <c r="T32" i="7"/>
  <c r="S32" i="7"/>
  <c r="R32" i="7"/>
  <c r="Q32" i="7" a="1"/>
  <c r="Q32" i="7" s="1"/>
  <c r="P32" i="7"/>
  <c r="N32" i="7" a="1"/>
  <c r="N32" i="7" s="1"/>
  <c r="O32" i="7" s="1"/>
  <c r="M32" i="7" a="1"/>
  <c r="M32" i="7" s="1"/>
  <c r="L32" i="7"/>
  <c r="K32" i="7" a="1"/>
  <c r="K32" i="7" s="1"/>
  <c r="F32" i="7"/>
  <c r="T31" i="7"/>
  <c r="S31" i="7"/>
  <c r="R31" i="7"/>
  <c r="Q31" i="7" a="1"/>
  <c r="Q31" i="7" s="1"/>
  <c r="P31" i="7"/>
  <c r="N31" i="7" a="1"/>
  <c r="N31" i="7" s="1"/>
  <c r="O31" i="7" s="1"/>
  <c r="M31" i="7" a="1"/>
  <c r="M31" i="7" s="1"/>
  <c r="L31" i="7"/>
  <c r="K31" i="7" a="1"/>
  <c r="K31" i="7" s="1"/>
  <c r="F31" i="7"/>
  <c r="T30" i="7"/>
  <c r="S30" i="7"/>
  <c r="R30" i="7"/>
  <c r="Q30" i="7" a="1"/>
  <c r="Q30" i="7" s="1"/>
  <c r="P30" i="7"/>
  <c r="N30" i="7" a="1"/>
  <c r="N30" i="7" s="1"/>
  <c r="O30" i="7" s="1"/>
  <c r="M30" i="7" a="1"/>
  <c r="M30" i="7" s="1"/>
  <c r="L30" i="7"/>
  <c r="K30" i="7" a="1"/>
  <c r="K30" i="7" s="1"/>
  <c r="F30" i="7"/>
  <c r="T29" i="7"/>
  <c r="S29" i="7"/>
  <c r="R29" i="7"/>
  <c r="Q29" i="7" a="1"/>
  <c r="Q29" i="7" s="1"/>
  <c r="P29" i="7"/>
  <c r="N29" i="7" a="1"/>
  <c r="N29" i="7" s="1"/>
  <c r="O29" i="7" s="1"/>
  <c r="M29" i="7" a="1"/>
  <c r="M29" i="7" s="1"/>
  <c r="L29" i="7"/>
  <c r="K29" i="7" a="1"/>
  <c r="K29" i="7" s="1"/>
  <c r="F29" i="7"/>
  <c r="T28" i="7"/>
  <c r="S28" i="7"/>
  <c r="R28" i="7"/>
  <c r="Q28" i="7" a="1"/>
  <c r="Q28" i="7" s="1"/>
  <c r="P28" i="7"/>
  <c r="N28" i="7" a="1"/>
  <c r="N28" i="7" s="1"/>
  <c r="O28" i="7" s="1"/>
  <c r="M28" i="7" a="1"/>
  <c r="M28" i="7" s="1"/>
  <c r="L28" i="7"/>
  <c r="K28" i="7" a="1"/>
  <c r="K28" i="7" s="1"/>
  <c r="F28" i="7"/>
  <c r="T27" i="7"/>
  <c r="S27" i="7"/>
  <c r="R27" i="7"/>
  <c r="Q27" i="7" a="1"/>
  <c r="Q27" i="7" s="1"/>
  <c r="P27" i="7"/>
  <c r="N27" i="7" a="1"/>
  <c r="N27" i="7" s="1"/>
  <c r="O27" i="7" s="1"/>
  <c r="M27" i="7" a="1"/>
  <c r="M27" i="7" s="1"/>
  <c r="L27" i="7"/>
  <c r="K27" i="7" a="1"/>
  <c r="K27" i="7" s="1"/>
  <c r="F27" i="7"/>
  <c r="T26" i="7"/>
  <c r="S26" i="7"/>
  <c r="R26" i="7"/>
  <c r="Q26" i="7" a="1"/>
  <c r="Q26" i="7" s="1"/>
  <c r="P26" i="7"/>
  <c r="N26" i="7" a="1"/>
  <c r="N26" i="7" s="1"/>
  <c r="O26" i="7" s="1"/>
  <c r="M26" i="7" a="1"/>
  <c r="M26" i="7" s="1"/>
  <c r="L26" i="7"/>
  <c r="K26" i="7" a="1"/>
  <c r="K26" i="7" s="1"/>
  <c r="F26" i="7"/>
  <c r="T25" i="7"/>
  <c r="S25" i="7"/>
  <c r="R25" i="7"/>
  <c r="Q25" i="7" a="1"/>
  <c r="Q25" i="7" s="1"/>
  <c r="P25" i="7"/>
  <c r="N25" i="7" a="1"/>
  <c r="N25" i="7" s="1"/>
  <c r="O25" i="7" s="1"/>
  <c r="M25" i="7" a="1"/>
  <c r="M25" i="7" s="1"/>
  <c r="L25" i="7"/>
  <c r="K25" i="7" a="1"/>
  <c r="K25" i="7" s="1"/>
  <c r="F25" i="7"/>
  <c r="T24" i="7"/>
  <c r="S24" i="7"/>
  <c r="R24" i="7"/>
  <c r="Q24" i="7" a="1"/>
  <c r="Q24" i="7" s="1"/>
  <c r="P24" i="7"/>
  <c r="N24" i="7" a="1"/>
  <c r="N24" i="7" s="1"/>
  <c r="O24" i="7" s="1"/>
  <c r="M24" i="7" a="1"/>
  <c r="M24" i="7" s="1"/>
  <c r="L24" i="7"/>
  <c r="K24" i="7" a="1"/>
  <c r="K24" i="7" s="1"/>
  <c r="F24" i="7"/>
  <c r="T23" i="7"/>
  <c r="S23" i="7"/>
  <c r="R23" i="7"/>
  <c r="Q23" i="7" a="1"/>
  <c r="Q23" i="7" s="1"/>
  <c r="P23" i="7"/>
  <c r="N23" i="7" a="1"/>
  <c r="N23" i="7" s="1"/>
  <c r="O23" i="7" s="1"/>
  <c r="M23" i="7" a="1"/>
  <c r="M23" i="7" s="1"/>
  <c r="L23" i="7"/>
  <c r="K23" i="7" a="1"/>
  <c r="K23" i="7" s="1"/>
  <c r="F23" i="7"/>
  <c r="T22" i="7"/>
  <c r="S22" i="7"/>
  <c r="R22" i="7"/>
  <c r="Q22" i="7" a="1"/>
  <c r="Q22" i="7" s="1"/>
  <c r="P22" i="7"/>
  <c r="N22" i="7" a="1"/>
  <c r="N22" i="7" s="1"/>
  <c r="O22" i="7" s="1"/>
  <c r="M22" i="7" a="1"/>
  <c r="M22" i="7" s="1"/>
  <c r="L22" i="7"/>
  <c r="K22" i="7" a="1"/>
  <c r="K22" i="7" s="1"/>
  <c r="F22" i="7"/>
  <c r="T21" i="7"/>
  <c r="S21" i="7"/>
  <c r="R21" i="7"/>
  <c r="Q21" i="7" a="1"/>
  <c r="Q21" i="7" s="1"/>
  <c r="P21" i="7"/>
  <c r="N21" i="7" a="1"/>
  <c r="N21" i="7" s="1"/>
  <c r="O21" i="7" s="1"/>
  <c r="M21" i="7" a="1"/>
  <c r="M21" i="7" s="1"/>
  <c r="L21" i="7"/>
  <c r="K21" i="7" a="1"/>
  <c r="K21" i="7" s="1"/>
  <c r="F21" i="7"/>
  <c r="T20" i="7"/>
  <c r="S20" i="7"/>
  <c r="R20" i="7"/>
  <c r="Q20" i="7" a="1"/>
  <c r="Q20" i="7" s="1"/>
  <c r="P20" i="7"/>
  <c r="N20" i="7" a="1"/>
  <c r="N20" i="7" s="1"/>
  <c r="O20" i="7" s="1"/>
  <c r="M20" i="7" a="1"/>
  <c r="M20" i="7" s="1"/>
  <c r="L20" i="7"/>
  <c r="K20" i="7" a="1"/>
  <c r="K20" i="7" s="1"/>
  <c r="F20" i="7"/>
  <c r="T19" i="7"/>
  <c r="S19" i="7"/>
  <c r="R19" i="7"/>
  <c r="Q19" i="7" a="1"/>
  <c r="Q19" i="7" s="1"/>
  <c r="P19" i="7"/>
  <c r="N19" i="7" a="1"/>
  <c r="N19" i="7" s="1"/>
  <c r="O19" i="7" s="1"/>
  <c r="M19" i="7" a="1"/>
  <c r="M19" i="7" s="1"/>
  <c r="L19" i="7"/>
  <c r="K19" i="7" a="1"/>
  <c r="K19" i="7" s="1"/>
  <c r="F19" i="7"/>
  <c r="T18" i="7"/>
  <c r="S18" i="7"/>
  <c r="R18" i="7"/>
  <c r="Q18" i="7" a="1"/>
  <c r="Q18" i="7" s="1"/>
  <c r="P18" i="7"/>
  <c r="N18" i="7" a="1"/>
  <c r="N18" i="7" s="1"/>
  <c r="O18" i="7" s="1"/>
  <c r="M18" i="7" a="1"/>
  <c r="M18" i="7" s="1"/>
  <c r="L18" i="7"/>
  <c r="K18" i="7" a="1"/>
  <c r="K18" i="7" s="1"/>
  <c r="F18" i="7"/>
  <c r="T17" i="7"/>
  <c r="S17" i="7"/>
  <c r="R17" i="7"/>
  <c r="Q17" i="7" a="1"/>
  <c r="Q17" i="7" s="1"/>
  <c r="P17" i="7"/>
  <c r="N17" i="7" a="1"/>
  <c r="N17" i="7" s="1"/>
  <c r="O17" i="7" s="1"/>
  <c r="M17" i="7" a="1"/>
  <c r="M17" i="7" s="1"/>
  <c r="L17" i="7"/>
  <c r="K17" i="7" a="1"/>
  <c r="K17" i="7" s="1"/>
  <c r="F17" i="7"/>
  <c r="T16" i="7"/>
  <c r="S16" i="7"/>
  <c r="R16" i="7"/>
  <c r="Q16" i="7" a="1"/>
  <c r="Q16" i="7" s="1"/>
  <c r="P16" i="7"/>
  <c r="N16" i="7" a="1"/>
  <c r="N16" i="7" s="1"/>
  <c r="O16" i="7" s="1"/>
  <c r="M16" i="7" a="1"/>
  <c r="M16" i="7" s="1"/>
  <c r="L16" i="7"/>
  <c r="K16" i="7" a="1"/>
  <c r="K16" i="7" s="1"/>
  <c r="F16" i="7"/>
  <c r="T15" i="7"/>
  <c r="S15" i="7"/>
  <c r="R15" i="7"/>
  <c r="Q15" i="7" a="1"/>
  <c r="Q15" i="7" s="1"/>
  <c r="P15" i="7"/>
  <c r="N15" i="7" a="1"/>
  <c r="N15" i="7" s="1"/>
  <c r="O15" i="7" s="1"/>
  <c r="M15" i="7" a="1"/>
  <c r="M15" i="7" s="1"/>
  <c r="L15" i="7"/>
  <c r="K15" i="7" a="1"/>
  <c r="K15" i="7" s="1"/>
  <c r="F15" i="7"/>
  <c r="T14" i="7"/>
  <c r="S14" i="7"/>
  <c r="R14" i="7"/>
  <c r="Q14" i="7" a="1"/>
  <c r="Q14" i="7" s="1"/>
  <c r="P14" i="7"/>
  <c r="N14" i="7" a="1"/>
  <c r="N14" i="7" s="1"/>
  <c r="O14" i="7" s="1"/>
  <c r="M14" i="7" a="1"/>
  <c r="M14" i="7" s="1"/>
  <c r="L14" i="7"/>
  <c r="K14" i="7" a="1"/>
  <c r="K14" i="7" s="1"/>
  <c r="F14" i="7"/>
  <c r="T13" i="7"/>
  <c r="S13" i="7"/>
  <c r="R13" i="7"/>
  <c r="Q13" i="7" a="1"/>
  <c r="Q13" i="7" s="1"/>
  <c r="P13" i="7"/>
  <c r="N13" i="7" a="1"/>
  <c r="N13" i="7" s="1"/>
  <c r="O13" i="7" s="1"/>
  <c r="M13" i="7" a="1"/>
  <c r="M13" i="7" s="1"/>
  <c r="L13" i="7"/>
  <c r="K13" i="7" a="1"/>
  <c r="K13" i="7" s="1"/>
  <c r="F13" i="7"/>
  <c r="T12" i="7"/>
  <c r="S12" i="7"/>
  <c r="R12" i="7"/>
  <c r="Q12" i="7" a="1"/>
  <c r="Q12" i="7" s="1"/>
  <c r="P12" i="7"/>
  <c r="N12" i="7" a="1"/>
  <c r="N12" i="7" s="1"/>
  <c r="O12" i="7" s="1"/>
  <c r="M12" i="7" a="1"/>
  <c r="M12" i="7" s="1"/>
  <c r="L12" i="7"/>
  <c r="K12" i="7" a="1"/>
  <c r="K12" i="7" s="1"/>
  <c r="F12" i="7"/>
  <c r="T11" i="7"/>
  <c r="S11" i="7"/>
  <c r="R11" i="7"/>
  <c r="Q11" i="7" a="1"/>
  <c r="Q11" i="7" s="1"/>
  <c r="P11" i="7"/>
  <c r="N11" i="7" a="1"/>
  <c r="N11" i="7" s="1"/>
  <c r="O11" i="7" s="1"/>
  <c r="M11" i="7" a="1"/>
  <c r="M11" i="7" s="1"/>
  <c r="L11" i="7"/>
  <c r="K11" i="7" a="1"/>
  <c r="K11" i="7" s="1"/>
  <c r="F11" i="7"/>
  <c r="T10" i="7"/>
  <c r="S10" i="7"/>
  <c r="R10" i="7"/>
  <c r="Q10" i="7" a="1"/>
  <c r="Q10" i="7" s="1"/>
  <c r="P10" i="7"/>
  <c r="N10" i="7" a="1"/>
  <c r="N10" i="7" s="1"/>
  <c r="O10" i="7" s="1"/>
  <c r="M10" i="7" a="1"/>
  <c r="M10" i="7" s="1"/>
  <c r="L10" i="7"/>
  <c r="K10" i="7" a="1"/>
  <c r="K10" i="7" s="1"/>
  <c r="F10" i="7"/>
  <c r="T9" i="7"/>
  <c r="S9" i="7"/>
  <c r="R9" i="7"/>
  <c r="Q9" i="7" a="1"/>
  <c r="Q9" i="7" s="1"/>
  <c r="P9" i="7"/>
  <c r="N9" i="7" a="1"/>
  <c r="N9" i="7" s="1"/>
  <c r="O9" i="7" s="1"/>
  <c r="M9" i="7" a="1"/>
  <c r="M9" i="7" s="1"/>
  <c r="L9" i="7"/>
  <c r="K9" i="7" a="1"/>
  <c r="K9" i="7" s="1"/>
  <c r="F9" i="7"/>
  <c r="T8" i="7"/>
  <c r="S8" i="7"/>
  <c r="R8" i="7"/>
  <c r="Q8" i="7" a="1"/>
  <c r="Q8" i="7" s="1"/>
  <c r="P8" i="7"/>
  <c r="N8" i="7" a="1"/>
  <c r="N8" i="7" s="1"/>
  <c r="O8" i="7" s="1"/>
  <c r="M8" i="7" a="1"/>
  <c r="M8" i="7" s="1"/>
  <c r="L8" i="7"/>
  <c r="K8" i="7" a="1"/>
  <c r="K8" i="7" s="1"/>
  <c r="F8" i="7"/>
  <c r="T7" i="7"/>
  <c r="S7" i="7"/>
  <c r="R7" i="7"/>
  <c r="Q7" i="7" a="1"/>
  <c r="Q7" i="7" s="1"/>
  <c r="P7" i="7"/>
  <c r="N7" i="7" a="1"/>
  <c r="N7" i="7" s="1"/>
  <c r="O7" i="7" s="1"/>
  <c r="M7" i="7" a="1"/>
  <c r="M7" i="7" s="1"/>
  <c r="L7" i="7"/>
  <c r="K7" i="7" a="1"/>
  <c r="K7" i="7" s="1"/>
  <c r="F7" i="7"/>
  <c r="T6" i="7"/>
  <c r="S6" i="7"/>
  <c r="R6" i="7"/>
  <c r="Q6" i="7" a="1"/>
  <c r="Q6" i="7" s="1"/>
  <c r="P6" i="7"/>
  <c r="N6" i="7" a="1"/>
  <c r="N6" i="7" s="1"/>
  <c r="O6" i="7" s="1"/>
  <c r="M6" i="7" a="1"/>
  <c r="M6" i="7" s="1"/>
  <c r="L6" i="7"/>
  <c r="K6" i="7" a="1"/>
  <c r="K6" i="7" s="1"/>
  <c r="F6" i="7"/>
  <c r="T5" i="7"/>
  <c r="S5" i="7"/>
  <c r="R5" i="7"/>
  <c r="Q5" i="7" a="1"/>
  <c r="Q5" i="7" s="1"/>
  <c r="P5" i="7"/>
  <c r="N5" i="7" a="1"/>
  <c r="N5" i="7" s="1"/>
  <c r="O5" i="7" s="1"/>
  <c r="M5" i="7" a="1"/>
  <c r="M5" i="7" s="1"/>
  <c r="L5" i="7"/>
  <c r="K5" i="7" a="1"/>
  <c r="K5" i="7" s="1"/>
  <c r="F5" i="7"/>
  <c r="T4" i="7"/>
  <c r="S4" i="7"/>
  <c r="R4" i="7"/>
  <c r="Q4" i="7" a="1"/>
  <c r="Q4" i="7" s="1"/>
  <c r="P4" i="7"/>
  <c r="N4" i="7" a="1"/>
  <c r="N4" i="7" s="1"/>
  <c r="O4" i="7" s="1"/>
  <c r="M4" i="7" a="1"/>
  <c r="M4" i="7" s="1"/>
  <c r="L4" i="7"/>
  <c r="K4" i="7" a="1"/>
  <c r="K4" i="7" s="1"/>
  <c r="F4" i="7"/>
  <c r="T3" i="7"/>
  <c r="S3" i="7"/>
  <c r="R3" i="7"/>
  <c r="Q3" i="7" a="1"/>
  <c r="Q3" i="7" s="1"/>
  <c r="P3" i="7"/>
  <c r="N3" i="7" a="1"/>
  <c r="N3" i="7" s="1"/>
  <c r="O3" i="7" s="1"/>
  <c r="M3" i="7" a="1"/>
  <c r="M3" i="7" s="1"/>
  <c r="L3" i="7"/>
  <c r="K3" i="7" a="1"/>
  <c r="K3" i="7" s="1"/>
  <c r="F3" i="7"/>
  <c r="T2" i="7"/>
  <c r="S2" i="7"/>
  <c r="R2" i="7"/>
  <c r="Q2" i="7" a="1"/>
  <c r="Q2" i="7" s="1"/>
  <c r="P2" i="7"/>
  <c r="N2" i="7" a="1"/>
  <c r="N2" i="7" s="1"/>
  <c r="O2" i="7" s="1"/>
  <c r="M2" i="7" a="1"/>
  <c r="M2" i="7" s="1"/>
  <c r="L2" i="7"/>
  <c r="K2" i="7" a="1"/>
  <c r="K2" i="7" s="1"/>
  <c r="F2" i="7"/>
  <c r="T2" i="6"/>
  <c r="T3" i="6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T39" i="6"/>
  <c r="T40" i="6"/>
  <c r="T41" i="6"/>
  <c r="T42" i="6"/>
  <c r="T43" i="6"/>
  <c r="T44" i="6"/>
  <c r="T45" i="6"/>
  <c r="T46" i="6"/>
  <c r="T47" i="6"/>
  <c r="T48" i="6"/>
  <c r="T49" i="6"/>
  <c r="T50" i="6"/>
  <c r="T51" i="6"/>
  <c r="T52" i="6"/>
  <c r="T53" i="6"/>
  <c r="T54" i="6"/>
  <c r="T55" i="6"/>
  <c r="T56" i="6"/>
  <c r="T57" i="6"/>
  <c r="T58" i="6"/>
  <c r="T59" i="6"/>
  <c r="T60" i="6"/>
  <c r="T61" i="6"/>
  <c r="T62" i="6"/>
  <c r="T63" i="6"/>
  <c r="T64" i="6"/>
  <c r="T65" i="6"/>
  <c r="T66" i="6"/>
  <c r="T67" i="6"/>
  <c r="T68" i="6"/>
  <c r="T69" i="6"/>
  <c r="T70" i="6"/>
  <c r="T71" i="6"/>
  <c r="T72" i="6"/>
  <c r="T73" i="6"/>
  <c r="T74" i="6"/>
  <c r="T75" i="6"/>
  <c r="T76" i="6"/>
  <c r="T77" i="6"/>
  <c r="T78" i="6"/>
  <c r="T79" i="6"/>
  <c r="T80" i="6"/>
  <c r="T81" i="6"/>
  <c r="T82" i="6"/>
  <c r="T83" i="6"/>
  <c r="T84" i="6"/>
  <c r="T85" i="6"/>
  <c r="T86" i="6"/>
  <c r="T87" i="6"/>
  <c r="T88" i="6"/>
  <c r="T89" i="6"/>
  <c r="T90" i="6"/>
  <c r="T91" i="6"/>
  <c r="T92" i="6"/>
  <c r="T93" i="6"/>
  <c r="T94" i="6"/>
  <c r="T95" i="6"/>
  <c r="T96" i="6"/>
  <c r="T97" i="6"/>
  <c r="T98" i="6"/>
  <c r="T99" i="6"/>
  <c r="T100" i="6"/>
  <c r="T101" i="6"/>
  <c r="T102" i="6"/>
  <c r="T103" i="6"/>
  <c r="T104" i="6"/>
  <c r="T105" i="6"/>
  <c r="T106" i="6"/>
  <c r="T107" i="6"/>
  <c r="T108" i="6"/>
  <c r="T109" i="6"/>
  <c r="T110" i="6"/>
  <c r="T111" i="6"/>
  <c r="T112" i="6"/>
  <c r="T113" i="6"/>
  <c r="T114" i="6"/>
  <c r="T115" i="6"/>
  <c r="T116" i="6"/>
  <c r="T117" i="6"/>
  <c r="T118" i="6"/>
  <c r="T119" i="6"/>
  <c r="T120" i="6"/>
  <c r="T121" i="6"/>
  <c r="T122" i="6"/>
  <c r="T123" i="6"/>
  <c r="T124" i="6"/>
  <c r="T125" i="6"/>
  <c r="T126" i="6"/>
  <c r="T127" i="6"/>
  <c r="T128" i="6"/>
  <c r="T129" i="6"/>
  <c r="T130" i="6"/>
  <c r="T131" i="6"/>
  <c r="T132" i="6"/>
  <c r="T133" i="6"/>
  <c r="T134" i="6"/>
  <c r="T135" i="6"/>
  <c r="T136" i="6"/>
  <c r="T137" i="6"/>
  <c r="T138" i="6"/>
  <c r="T139" i="6"/>
  <c r="T140" i="6"/>
  <c r="T141" i="6"/>
  <c r="T142" i="6"/>
  <c r="T143" i="6"/>
  <c r="T144" i="6"/>
  <c r="T145" i="6"/>
  <c r="T146" i="6"/>
  <c r="T147" i="6"/>
  <c r="T148" i="6"/>
  <c r="T149" i="6"/>
  <c r="T150" i="6"/>
  <c r="T151" i="6"/>
  <c r="T152" i="6"/>
  <c r="T153" i="6"/>
  <c r="T154" i="6"/>
  <c r="T155" i="6"/>
  <c r="T156" i="6"/>
  <c r="T157" i="6"/>
  <c r="T158" i="6"/>
  <c r="T159" i="6"/>
  <c r="T160" i="6"/>
  <c r="T161" i="6"/>
  <c r="T162" i="6"/>
  <c r="T163" i="6"/>
  <c r="T164" i="6"/>
  <c r="T165" i="6"/>
  <c r="T166" i="6"/>
  <c r="T167" i="6"/>
  <c r="T168" i="6"/>
  <c r="T169" i="6"/>
  <c r="T170" i="6"/>
  <c r="T171" i="6"/>
  <c r="T172" i="6"/>
  <c r="T173" i="6"/>
  <c r="T174" i="6"/>
  <c r="T175" i="6"/>
  <c r="T176" i="6"/>
  <c r="T177" i="6"/>
  <c r="T178" i="6"/>
  <c r="T179" i="6"/>
  <c r="T180" i="6"/>
  <c r="T181" i="6"/>
  <c r="T182" i="6"/>
  <c r="T183" i="6"/>
  <c r="T184" i="6"/>
  <c r="T185" i="6"/>
  <c r="T186" i="6"/>
  <c r="T187" i="6"/>
  <c r="T188" i="6"/>
  <c r="T189" i="6"/>
  <c r="T190" i="6"/>
  <c r="T191" i="6"/>
  <c r="T192" i="6"/>
  <c r="T193" i="6"/>
  <c r="T194" i="6"/>
  <c r="T195" i="6"/>
  <c r="T196" i="6"/>
  <c r="T197" i="6"/>
  <c r="T198" i="6"/>
  <c r="T199" i="6"/>
  <c r="T200" i="6"/>
  <c r="T201" i="6"/>
  <c r="T202" i="6"/>
  <c r="T203" i="6"/>
  <c r="T204" i="6"/>
  <c r="T205" i="6"/>
  <c r="T206" i="6"/>
  <c r="T207" i="6"/>
  <c r="T208" i="6"/>
  <c r="T209" i="6"/>
  <c r="T210" i="6"/>
  <c r="T211" i="6"/>
  <c r="T212" i="6"/>
  <c r="T213" i="6"/>
  <c r="T214" i="6"/>
  <c r="T215" i="6"/>
  <c r="T216" i="6"/>
  <c r="T217" i="6"/>
  <c r="T218" i="6"/>
  <c r="T219" i="6"/>
  <c r="T220" i="6"/>
  <c r="T221" i="6"/>
  <c r="T222" i="6"/>
  <c r="T223" i="6"/>
  <c r="T224" i="6"/>
  <c r="T225" i="6"/>
  <c r="T226" i="6"/>
  <c r="T227" i="6"/>
  <c r="T228" i="6"/>
  <c r="T229" i="6"/>
  <c r="T230" i="6"/>
  <c r="T231" i="6"/>
  <c r="T232" i="6"/>
  <c r="T233" i="6"/>
  <c r="T234" i="6"/>
  <c r="T235" i="6"/>
  <c r="T236" i="6"/>
  <c r="T237" i="6"/>
  <c r="T238" i="6"/>
  <c r="T239" i="6"/>
  <c r="T240" i="6"/>
  <c r="T241" i="6"/>
  <c r="T242" i="6"/>
  <c r="T243" i="6"/>
  <c r="T244" i="6"/>
  <c r="T245" i="6"/>
  <c r="T246" i="6"/>
  <c r="T247" i="6"/>
  <c r="T248" i="6"/>
  <c r="T249" i="6"/>
  <c r="T250" i="6"/>
  <c r="T251" i="6"/>
  <c r="T252" i="6"/>
  <c r="T253" i="6"/>
  <c r="T254" i="6"/>
  <c r="T255" i="6"/>
  <c r="T256" i="6"/>
  <c r="T257" i="6"/>
  <c r="T258" i="6"/>
  <c r="T259" i="6"/>
  <c r="T260" i="6"/>
  <c r="T261" i="6"/>
  <c r="T262" i="6"/>
  <c r="T263" i="6"/>
  <c r="T264" i="6"/>
  <c r="T265" i="6"/>
  <c r="T266" i="6"/>
  <c r="T267" i="6"/>
  <c r="T268" i="6"/>
  <c r="T269" i="6"/>
  <c r="T270" i="6"/>
  <c r="T271" i="6"/>
  <c r="T272" i="6"/>
  <c r="T273" i="6"/>
  <c r="T274" i="6"/>
  <c r="T275" i="6"/>
  <c r="T276" i="6"/>
  <c r="T277" i="6"/>
  <c r="T278" i="6"/>
  <c r="T279" i="6"/>
  <c r="T280" i="6"/>
  <c r="T281" i="6"/>
  <c r="T282" i="6"/>
  <c r="T283" i="6"/>
  <c r="T284" i="6"/>
  <c r="T285" i="6"/>
  <c r="T286" i="6"/>
  <c r="T287" i="6"/>
  <c r="T288" i="6"/>
  <c r="T289" i="6"/>
  <c r="T290" i="6"/>
  <c r="T291" i="6"/>
  <c r="T292" i="6"/>
  <c r="T293" i="6"/>
  <c r="T294" i="6"/>
  <c r="T295" i="6"/>
  <c r="T296" i="6"/>
  <c r="T297" i="6"/>
  <c r="T298" i="6"/>
  <c r="T299" i="6"/>
  <c r="T300" i="6"/>
  <c r="T301" i="6"/>
  <c r="T302" i="6"/>
  <c r="T303" i="6"/>
  <c r="T304" i="6"/>
  <c r="T305" i="6"/>
  <c r="T306" i="6"/>
  <c r="T307" i="6"/>
  <c r="T308" i="6"/>
  <c r="T309" i="6"/>
  <c r="T310" i="6"/>
  <c r="T311" i="6"/>
  <c r="T312" i="6"/>
  <c r="T313" i="6"/>
  <c r="T314" i="6"/>
  <c r="T315" i="6"/>
  <c r="T316" i="6"/>
  <c r="T317" i="6"/>
  <c r="T318" i="6"/>
  <c r="T319" i="6"/>
  <c r="T320" i="6"/>
  <c r="T321" i="6"/>
  <c r="T322" i="6"/>
  <c r="T323" i="6"/>
  <c r="T324" i="6"/>
  <c r="T325" i="6"/>
  <c r="T326" i="6"/>
  <c r="T327" i="6"/>
  <c r="T328" i="6"/>
  <c r="T329" i="6"/>
  <c r="T330" i="6"/>
  <c r="T331" i="6"/>
  <c r="T332" i="6"/>
  <c r="T333" i="6"/>
  <c r="T334" i="6"/>
  <c r="T335" i="6"/>
  <c r="T336" i="6"/>
  <c r="T337" i="6"/>
  <c r="T338" i="6"/>
  <c r="T339" i="6"/>
  <c r="T340" i="6"/>
  <c r="T341" i="6"/>
  <c r="T342" i="6"/>
  <c r="T343" i="6"/>
  <c r="T344" i="6"/>
  <c r="T345" i="6"/>
  <c r="T346" i="6"/>
  <c r="T347" i="6"/>
  <c r="T348" i="6"/>
  <c r="T349" i="6"/>
  <c r="T350" i="6"/>
  <c r="T351" i="6"/>
  <c r="T352" i="6"/>
  <c r="T353" i="6"/>
  <c r="T354" i="6"/>
  <c r="T355" i="6"/>
  <c r="T356" i="6"/>
  <c r="T357" i="6"/>
  <c r="T358" i="6"/>
  <c r="T359" i="6"/>
  <c r="T360" i="6"/>
  <c r="T361" i="6"/>
  <c r="T362" i="6"/>
  <c r="T363" i="6"/>
  <c r="T364" i="6"/>
  <c r="T365" i="6"/>
  <c r="T366" i="6"/>
  <c r="T367" i="6"/>
  <c r="T368" i="6"/>
  <c r="T369" i="6"/>
  <c r="T370" i="6"/>
  <c r="T371" i="6"/>
  <c r="T372" i="6"/>
  <c r="T373" i="6"/>
  <c r="T374" i="6"/>
  <c r="T375" i="6"/>
  <c r="T376" i="6"/>
  <c r="T377" i="6"/>
  <c r="T378" i="6"/>
  <c r="T379" i="6"/>
  <c r="T380" i="6"/>
  <c r="T381" i="6"/>
  <c r="T382" i="6"/>
  <c r="T383" i="6"/>
  <c r="T384" i="6"/>
  <c r="T385" i="6"/>
  <c r="T386" i="6"/>
  <c r="T387" i="6"/>
  <c r="T388" i="6"/>
  <c r="T389" i="6"/>
  <c r="T390" i="6"/>
  <c r="T391" i="6"/>
  <c r="T392" i="6"/>
  <c r="T393" i="6"/>
  <c r="T394" i="6"/>
  <c r="T395" i="6"/>
  <c r="T396" i="6"/>
  <c r="T397" i="6"/>
  <c r="T398" i="6"/>
  <c r="T399" i="6"/>
  <c r="T400" i="6"/>
  <c r="T401" i="6"/>
  <c r="T402" i="6"/>
  <c r="T403" i="6"/>
  <c r="T404" i="6"/>
  <c r="T405" i="6"/>
  <c r="T406" i="6"/>
  <c r="T407" i="6"/>
  <c r="T408" i="6"/>
  <c r="T409" i="6"/>
  <c r="T410" i="6"/>
  <c r="T411" i="6"/>
  <c r="T412" i="6"/>
  <c r="T413" i="6"/>
  <c r="T414" i="6"/>
  <c r="T415" i="6"/>
  <c r="T416" i="6"/>
  <c r="T417" i="6"/>
  <c r="T418" i="6"/>
  <c r="T419" i="6"/>
  <c r="T420" i="6"/>
  <c r="T421" i="6"/>
  <c r="T422" i="6"/>
  <c r="T423" i="6"/>
  <c r="T424" i="6"/>
  <c r="T425" i="6"/>
  <c r="T426" i="6"/>
  <c r="T427" i="6"/>
  <c r="T428" i="6"/>
  <c r="T429" i="6"/>
  <c r="T430" i="6"/>
  <c r="T431" i="6"/>
  <c r="T432" i="6"/>
  <c r="T433" i="6"/>
  <c r="T434" i="6"/>
  <c r="T435" i="6"/>
  <c r="T436" i="6"/>
  <c r="T437" i="6"/>
  <c r="T438" i="6"/>
  <c r="T439" i="6"/>
  <c r="T440" i="6"/>
  <c r="T441" i="6"/>
  <c r="T442" i="6"/>
  <c r="T443" i="6"/>
  <c r="T444" i="6"/>
  <c r="T445" i="6"/>
  <c r="T446" i="6"/>
  <c r="T447" i="6"/>
  <c r="T448" i="6"/>
  <c r="T449" i="6"/>
  <c r="T450" i="6"/>
  <c r="T451" i="6"/>
  <c r="T452" i="6"/>
  <c r="T453" i="6"/>
  <c r="T454" i="6"/>
  <c r="T455" i="6"/>
  <c r="T456" i="6"/>
  <c r="T457" i="6"/>
  <c r="T458" i="6"/>
  <c r="T459" i="6"/>
  <c r="T460" i="6"/>
  <c r="T461" i="6"/>
  <c r="T462" i="6"/>
  <c r="T463" i="6"/>
  <c r="T464" i="6"/>
  <c r="T465" i="6"/>
  <c r="T466" i="6"/>
  <c r="T467" i="6"/>
  <c r="T468" i="6"/>
  <c r="T469" i="6"/>
  <c r="T470" i="6"/>
  <c r="T471" i="6"/>
  <c r="T472" i="6"/>
  <c r="T473" i="6"/>
  <c r="T474" i="6"/>
  <c r="T475" i="6"/>
  <c r="T476" i="6"/>
  <c r="T477" i="6"/>
  <c r="T478" i="6"/>
  <c r="T479" i="6"/>
  <c r="T480" i="6"/>
  <c r="T481" i="6"/>
  <c r="T482" i="6"/>
  <c r="T483" i="6"/>
  <c r="T484" i="6"/>
  <c r="T485" i="6"/>
  <c r="T486" i="6"/>
  <c r="T487" i="6"/>
  <c r="T488" i="6"/>
  <c r="T489" i="6"/>
  <c r="T490" i="6"/>
  <c r="T491" i="6"/>
  <c r="T492" i="6"/>
  <c r="T493" i="6"/>
  <c r="T494" i="6"/>
  <c r="T495" i="6"/>
  <c r="T496" i="6"/>
  <c r="T497" i="6"/>
  <c r="T498" i="6"/>
  <c r="T499" i="6"/>
  <c r="T500" i="6"/>
  <c r="T501" i="6"/>
  <c r="T502" i="6"/>
  <c r="T503" i="6"/>
  <c r="T504" i="6"/>
  <c r="T505" i="6"/>
  <c r="T506" i="6"/>
  <c r="T507" i="6"/>
  <c r="T508" i="6"/>
  <c r="T509" i="6"/>
  <c r="T510" i="6"/>
  <c r="T511" i="6"/>
  <c r="T512" i="6"/>
  <c r="T513" i="6"/>
  <c r="T514" i="6"/>
  <c r="T515" i="6"/>
  <c r="T516" i="6"/>
  <c r="T517" i="6"/>
  <c r="T518" i="6"/>
  <c r="T519" i="6"/>
  <c r="T520" i="6"/>
  <c r="T521" i="6"/>
  <c r="T522" i="6"/>
  <c r="T523" i="6"/>
  <c r="T524" i="6"/>
  <c r="T525" i="6"/>
  <c r="T526" i="6"/>
  <c r="T527" i="6"/>
  <c r="T528" i="6"/>
  <c r="T529" i="6"/>
  <c r="T530" i="6"/>
  <c r="T531" i="6"/>
  <c r="T532" i="6"/>
  <c r="T533" i="6"/>
  <c r="T534" i="6"/>
  <c r="T535" i="6"/>
  <c r="T536" i="6"/>
  <c r="T537" i="6"/>
  <c r="T538" i="6"/>
  <c r="T539" i="6"/>
  <c r="T540" i="6"/>
  <c r="T541" i="6"/>
  <c r="T542" i="6"/>
  <c r="T543" i="6"/>
  <c r="T544" i="6"/>
  <c r="T545" i="6"/>
  <c r="T546" i="6"/>
  <c r="T547" i="6"/>
  <c r="T548" i="6"/>
  <c r="T549" i="6"/>
  <c r="T550" i="6"/>
  <c r="T551" i="6"/>
  <c r="T552" i="6"/>
  <c r="T553" i="6"/>
  <c r="T554" i="6"/>
  <c r="T555" i="6"/>
  <c r="T556" i="6"/>
  <c r="T557" i="6"/>
  <c r="T558" i="6"/>
  <c r="T559" i="6"/>
  <c r="T560" i="6"/>
  <c r="T561" i="6"/>
  <c r="T562" i="6"/>
  <c r="T563" i="6"/>
  <c r="T564" i="6"/>
  <c r="T565" i="6"/>
  <c r="T566" i="6"/>
  <c r="T567" i="6"/>
  <c r="T568" i="6"/>
  <c r="T569" i="6"/>
  <c r="T570" i="6"/>
  <c r="T571" i="6"/>
  <c r="T572" i="6"/>
  <c r="T573" i="6"/>
  <c r="T574" i="6"/>
  <c r="T575" i="6"/>
  <c r="T576" i="6"/>
  <c r="T577" i="6"/>
  <c r="T578" i="6"/>
  <c r="T579" i="6"/>
  <c r="T580" i="6"/>
  <c r="T581" i="6"/>
  <c r="T582" i="6"/>
  <c r="T583" i="6"/>
  <c r="T584" i="6"/>
  <c r="T585" i="6"/>
  <c r="T586" i="6"/>
  <c r="T587" i="6"/>
  <c r="T588" i="6"/>
  <c r="T589" i="6"/>
  <c r="T590" i="6"/>
  <c r="T591" i="6"/>
  <c r="T592" i="6"/>
  <c r="T593" i="6"/>
  <c r="T594" i="6"/>
  <c r="T595" i="6"/>
  <c r="T596" i="6"/>
  <c r="T597" i="6"/>
  <c r="T598" i="6"/>
  <c r="T599" i="6"/>
  <c r="T600" i="6"/>
  <c r="T601" i="6"/>
  <c r="T602" i="6"/>
  <c r="T603" i="6"/>
  <c r="T604" i="6"/>
  <c r="T605" i="6"/>
  <c r="T606" i="6"/>
  <c r="T607" i="6"/>
  <c r="T608" i="6"/>
  <c r="T609" i="6"/>
  <c r="T610" i="6"/>
  <c r="T611" i="6"/>
  <c r="T612" i="6"/>
  <c r="T613" i="6"/>
  <c r="T614" i="6"/>
  <c r="T615" i="6"/>
  <c r="T616" i="6"/>
  <c r="T617" i="6"/>
  <c r="T618" i="6"/>
  <c r="T619" i="6"/>
  <c r="T620" i="6"/>
  <c r="T621" i="6"/>
  <c r="T622" i="6"/>
  <c r="T623" i="6"/>
  <c r="T624" i="6"/>
  <c r="T625" i="6"/>
  <c r="T626" i="6"/>
  <c r="T627" i="6"/>
  <c r="T628" i="6"/>
  <c r="T629" i="6"/>
  <c r="T630" i="6"/>
  <c r="T631" i="6"/>
  <c r="T632" i="6"/>
  <c r="T633" i="6"/>
  <c r="T634" i="6"/>
  <c r="T635" i="6"/>
  <c r="T636" i="6"/>
  <c r="T637" i="6"/>
  <c r="T638" i="6"/>
  <c r="T639" i="6"/>
  <c r="T640" i="6"/>
  <c r="T641" i="6"/>
  <c r="T642" i="6"/>
  <c r="T643" i="6"/>
  <c r="T644" i="6"/>
  <c r="T645" i="6"/>
  <c r="T646" i="6"/>
  <c r="T647" i="6"/>
  <c r="T648" i="6"/>
  <c r="T649" i="6"/>
  <c r="T650" i="6"/>
  <c r="T651" i="6"/>
  <c r="T652" i="6"/>
  <c r="T653" i="6"/>
  <c r="T654" i="6"/>
  <c r="T655" i="6"/>
  <c r="T656" i="6"/>
  <c r="T657" i="6"/>
  <c r="T658" i="6"/>
  <c r="T659" i="6"/>
  <c r="T660" i="6"/>
  <c r="T661" i="6"/>
  <c r="T662" i="6"/>
  <c r="T663" i="6"/>
  <c r="T664" i="6"/>
  <c r="T665" i="6"/>
  <c r="T666" i="6"/>
  <c r="T667" i="6"/>
  <c r="T668" i="6"/>
  <c r="T669" i="6"/>
  <c r="T670" i="6"/>
  <c r="T671" i="6"/>
  <c r="T672" i="6"/>
  <c r="T673" i="6"/>
  <c r="T674" i="6"/>
  <c r="T675" i="6"/>
  <c r="T676" i="6"/>
  <c r="T677" i="6"/>
  <c r="T678" i="6"/>
  <c r="T679" i="6"/>
  <c r="T680" i="6"/>
  <c r="T681" i="6"/>
  <c r="T682" i="6"/>
  <c r="T683" i="6"/>
  <c r="T684" i="6"/>
  <c r="T685" i="6"/>
  <c r="T686" i="6"/>
  <c r="T687" i="6"/>
  <c r="T688" i="6"/>
  <c r="T689" i="6"/>
  <c r="T690" i="6"/>
  <c r="T691" i="6"/>
  <c r="T692" i="6"/>
  <c r="T693" i="6"/>
  <c r="T694" i="6"/>
  <c r="T695" i="6"/>
  <c r="T696" i="6"/>
  <c r="T697" i="6"/>
  <c r="T698" i="6"/>
  <c r="T699" i="6"/>
  <c r="T700" i="6"/>
  <c r="T701" i="6"/>
  <c r="T702" i="6"/>
  <c r="T703" i="6"/>
  <c r="T704" i="6"/>
  <c r="T705" i="6"/>
  <c r="T706" i="6"/>
  <c r="T707" i="6"/>
  <c r="T708" i="6"/>
  <c r="T709" i="6"/>
  <c r="T710" i="6"/>
  <c r="T711" i="6"/>
  <c r="T712" i="6"/>
  <c r="T713" i="6"/>
  <c r="T714" i="6"/>
  <c r="T715" i="6"/>
  <c r="T716" i="6"/>
  <c r="T717" i="6"/>
  <c r="T718" i="6"/>
  <c r="T719" i="6"/>
  <c r="T720" i="6"/>
  <c r="T721" i="6"/>
  <c r="T722" i="6"/>
  <c r="T723" i="6"/>
  <c r="T724" i="6"/>
  <c r="T725" i="6"/>
  <c r="T726" i="6"/>
  <c r="T727" i="6"/>
  <c r="T728" i="6"/>
  <c r="T729" i="6"/>
  <c r="T730" i="6"/>
  <c r="T731" i="6"/>
  <c r="T732" i="6"/>
  <c r="T733" i="6"/>
  <c r="T734" i="6"/>
  <c r="T735" i="6"/>
  <c r="T736" i="6"/>
  <c r="T737" i="6"/>
  <c r="T738" i="6"/>
  <c r="T739" i="6"/>
  <c r="T740" i="6"/>
  <c r="T741" i="6"/>
  <c r="T742" i="6"/>
  <c r="T743" i="6"/>
  <c r="T744" i="6"/>
  <c r="T745" i="6"/>
  <c r="T746" i="6"/>
  <c r="T747" i="6"/>
  <c r="T748" i="6"/>
  <c r="T749" i="6"/>
  <c r="T750" i="6"/>
  <c r="T751" i="6"/>
  <c r="T752" i="6"/>
  <c r="T753" i="6"/>
  <c r="T754" i="6"/>
  <c r="T755" i="6"/>
  <c r="T756" i="6"/>
  <c r="T757" i="6"/>
  <c r="T758" i="6"/>
  <c r="T759" i="6"/>
  <c r="T760" i="6"/>
  <c r="T761" i="6"/>
  <c r="T762" i="6"/>
  <c r="T763" i="6"/>
  <c r="T764" i="6"/>
  <c r="T765" i="6"/>
  <c r="T766" i="6"/>
  <c r="T767" i="6"/>
  <c r="T768" i="6"/>
  <c r="T769" i="6"/>
  <c r="T770" i="6"/>
  <c r="T771" i="6"/>
  <c r="T772" i="6"/>
  <c r="T773" i="6"/>
  <c r="T774" i="6"/>
  <c r="T775" i="6"/>
  <c r="T776" i="6"/>
  <c r="T777" i="6"/>
  <c r="T778" i="6"/>
  <c r="T779" i="6"/>
  <c r="T780" i="6"/>
  <c r="T781" i="6"/>
  <c r="T782" i="6"/>
  <c r="T783" i="6"/>
  <c r="T784" i="6"/>
  <c r="T785" i="6"/>
  <c r="T786" i="6"/>
  <c r="T787" i="6"/>
  <c r="T788" i="6"/>
  <c r="T789" i="6"/>
  <c r="T790" i="6"/>
  <c r="T791" i="6"/>
  <c r="T792" i="6"/>
  <c r="T793" i="6"/>
  <c r="T794" i="6"/>
  <c r="T795" i="6"/>
  <c r="T796" i="6"/>
  <c r="T797" i="6"/>
  <c r="T798" i="6"/>
  <c r="T799" i="6"/>
  <c r="T800" i="6"/>
  <c r="T801" i="6"/>
  <c r="T802" i="6"/>
  <c r="T803" i="6"/>
  <c r="T804" i="6"/>
  <c r="T805" i="6"/>
  <c r="T806" i="6"/>
  <c r="T807" i="6"/>
  <c r="T808" i="6"/>
  <c r="T809" i="6"/>
  <c r="T810" i="6"/>
  <c r="T811" i="6"/>
  <c r="T812" i="6"/>
  <c r="T813" i="6"/>
  <c r="T814" i="6"/>
  <c r="T815" i="6"/>
  <c r="T816" i="6"/>
  <c r="T817" i="6"/>
  <c r="T818" i="6"/>
  <c r="T819" i="6"/>
  <c r="T820" i="6"/>
  <c r="T821" i="6"/>
  <c r="T822" i="6"/>
  <c r="T823" i="6"/>
  <c r="T824" i="6"/>
  <c r="T825" i="6"/>
  <c r="T826" i="6"/>
  <c r="T827" i="6"/>
  <c r="T828" i="6"/>
  <c r="T829" i="6"/>
  <c r="T830" i="6"/>
  <c r="T831" i="6"/>
  <c r="T832" i="6"/>
  <c r="T833" i="6"/>
  <c r="T834" i="6"/>
  <c r="T835" i="6"/>
  <c r="T836" i="6"/>
  <c r="T837" i="6"/>
  <c r="T838" i="6"/>
  <c r="T839" i="6"/>
  <c r="T840" i="6"/>
  <c r="T841" i="6"/>
  <c r="T842" i="6"/>
  <c r="T843" i="6"/>
  <c r="T844" i="6"/>
  <c r="T845" i="6"/>
  <c r="T846" i="6"/>
  <c r="T847" i="6"/>
  <c r="T848" i="6"/>
  <c r="T849" i="6"/>
  <c r="T850" i="6"/>
  <c r="T851" i="6"/>
  <c r="T852" i="6"/>
  <c r="T853" i="6"/>
  <c r="T854" i="6"/>
  <c r="T855" i="6"/>
  <c r="T856" i="6"/>
  <c r="T857" i="6"/>
  <c r="T858" i="6"/>
  <c r="T859" i="6"/>
  <c r="T860" i="6"/>
  <c r="T861" i="6"/>
  <c r="T862" i="6"/>
  <c r="T863" i="6"/>
  <c r="T864" i="6"/>
  <c r="T865" i="6"/>
  <c r="T866" i="6"/>
  <c r="T867" i="6"/>
  <c r="T868" i="6"/>
  <c r="T869" i="6"/>
  <c r="T870" i="6"/>
  <c r="T871" i="6"/>
  <c r="T872" i="6"/>
  <c r="T873" i="6"/>
  <c r="T874" i="6"/>
  <c r="T875" i="6"/>
  <c r="T876" i="6"/>
  <c r="T877" i="6"/>
  <c r="T878" i="6"/>
  <c r="T879" i="6"/>
  <c r="T880" i="6"/>
  <c r="T881" i="6"/>
  <c r="T882" i="6"/>
  <c r="T883" i="6"/>
  <c r="T884" i="6"/>
  <c r="T885" i="6"/>
  <c r="T886" i="6"/>
  <c r="T887" i="6"/>
  <c r="T888" i="6"/>
  <c r="T889" i="6"/>
  <c r="T890" i="6"/>
  <c r="T891" i="6"/>
  <c r="T892" i="6"/>
  <c r="T893" i="6"/>
  <c r="T894" i="6"/>
  <c r="T895" i="6"/>
  <c r="T896" i="6"/>
  <c r="T897" i="6"/>
  <c r="T898" i="6"/>
  <c r="T899" i="6"/>
  <c r="T900" i="6"/>
  <c r="T901" i="6"/>
  <c r="T902" i="6"/>
  <c r="T903" i="6"/>
  <c r="T904" i="6"/>
  <c r="T905" i="6"/>
  <c r="T906" i="6"/>
  <c r="T907" i="6"/>
  <c r="T908" i="6"/>
  <c r="T909" i="6"/>
  <c r="T910" i="6"/>
  <c r="T911" i="6"/>
  <c r="T912" i="6"/>
  <c r="T913" i="6"/>
  <c r="T914" i="6"/>
  <c r="T915" i="6"/>
  <c r="T916" i="6"/>
  <c r="T917" i="6"/>
  <c r="T918" i="6"/>
  <c r="T919" i="6"/>
  <c r="T920" i="6"/>
  <c r="T921" i="6"/>
  <c r="T922" i="6"/>
  <c r="T923" i="6"/>
  <c r="T924" i="6"/>
  <c r="T925" i="6"/>
  <c r="T926" i="6"/>
  <c r="T927" i="6"/>
  <c r="T928" i="6"/>
  <c r="T929" i="6"/>
  <c r="T930" i="6"/>
  <c r="T931" i="6"/>
  <c r="T932" i="6"/>
  <c r="T933" i="6"/>
  <c r="T934" i="6"/>
  <c r="T935" i="6"/>
  <c r="T936" i="6"/>
  <c r="T937" i="6"/>
  <c r="T938" i="6"/>
  <c r="T939" i="6"/>
  <c r="T940" i="6"/>
  <c r="T941" i="6"/>
  <c r="T942" i="6"/>
  <c r="T943" i="6"/>
  <c r="T944" i="6"/>
  <c r="T945" i="6"/>
  <c r="T946" i="6"/>
  <c r="T947" i="6"/>
  <c r="T948" i="6"/>
  <c r="T949" i="6"/>
  <c r="T950" i="6"/>
  <c r="T951" i="6"/>
  <c r="T952" i="6"/>
  <c r="T953" i="6"/>
  <c r="T954" i="6"/>
  <c r="T955" i="6"/>
  <c r="T956" i="6"/>
  <c r="T957" i="6"/>
  <c r="T958" i="6"/>
  <c r="T959" i="6"/>
  <c r="T960" i="6"/>
  <c r="T961" i="6"/>
  <c r="T962" i="6"/>
  <c r="T963" i="6"/>
  <c r="T964" i="6"/>
  <c r="T965" i="6"/>
  <c r="T966" i="6"/>
  <c r="T967" i="6"/>
  <c r="T968" i="6"/>
  <c r="T969" i="6"/>
  <c r="T970" i="6"/>
  <c r="T971" i="6"/>
  <c r="T972" i="6"/>
  <c r="T973" i="6"/>
  <c r="T974" i="6"/>
  <c r="T975" i="6"/>
  <c r="T976" i="6"/>
  <c r="T977" i="6"/>
  <c r="T978" i="6"/>
  <c r="T979" i="6"/>
  <c r="T980" i="6"/>
  <c r="T981" i="6"/>
  <c r="T982" i="6"/>
  <c r="T983" i="6"/>
  <c r="T984" i="6"/>
  <c r="T985" i="6"/>
  <c r="T986" i="6"/>
  <c r="T987" i="6"/>
  <c r="T988" i="6"/>
  <c r="T989" i="6"/>
  <c r="T990" i="6"/>
  <c r="T991" i="6"/>
  <c r="T992" i="6"/>
  <c r="T993" i="6"/>
  <c r="T994" i="6"/>
  <c r="T995" i="6"/>
  <c r="T996" i="6"/>
  <c r="T997" i="6"/>
  <c r="T998" i="6"/>
  <c r="T999" i="6"/>
  <c r="T1000" i="6"/>
  <c r="T1001" i="6"/>
  <c r="S2" i="6"/>
  <c r="S3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63" i="6"/>
  <c r="S64" i="6"/>
  <c r="S65" i="6"/>
  <c r="S66" i="6"/>
  <c r="S67" i="6"/>
  <c r="S68" i="6"/>
  <c r="S69" i="6"/>
  <c r="S70" i="6"/>
  <c r="S71" i="6"/>
  <c r="S72" i="6"/>
  <c r="S73" i="6"/>
  <c r="S74" i="6"/>
  <c r="S75" i="6"/>
  <c r="S76" i="6"/>
  <c r="S77" i="6"/>
  <c r="S78" i="6"/>
  <c r="S79" i="6"/>
  <c r="S80" i="6"/>
  <c r="S81" i="6"/>
  <c r="S82" i="6"/>
  <c r="S83" i="6"/>
  <c r="S84" i="6"/>
  <c r="S85" i="6"/>
  <c r="S86" i="6"/>
  <c r="S87" i="6"/>
  <c r="S88" i="6"/>
  <c r="S89" i="6"/>
  <c r="S90" i="6"/>
  <c r="S91" i="6"/>
  <c r="S92" i="6"/>
  <c r="S93" i="6"/>
  <c r="S94" i="6"/>
  <c r="S95" i="6"/>
  <c r="S96" i="6"/>
  <c r="S97" i="6"/>
  <c r="S98" i="6"/>
  <c r="S99" i="6"/>
  <c r="S100" i="6"/>
  <c r="S101" i="6"/>
  <c r="S102" i="6"/>
  <c r="S103" i="6"/>
  <c r="S104" i="6"/>
  <c r="S105" i="6"/>
  <c r="S106" i="6"/>
  <c r="S107" i="6"/>
  <c r="S108" i="6"/>
  <c r="S109" i="6"/>
  <c r="S110" i="6"/>
  <c r="S111" i="6"/>
  <c r="S112" i="6"/>
  <c r="S113" i="6"/>
  <c r="S114" i="6"/>
  <c r="S115" i="6"/>
  <c r="S116" i="6"/>
  <c r="S117" i="6"/>
  <c r="S118" i="6"/>
  <c r="S119" i="6"/>
  <c r="S120" i="6"/>
  <c r="S121" i="6"/>
  <c r="S122" i="6"/>
  <c r="S123" i="6"/>
  <c r="S124" i="6"/>
  <c r="S125" i="6"/>
  <c r="S126" i="6"/>
  <c r="S127" i="6"/>
  <c r="S128" i="6"/>
  <c r="S129" i="6"/>
  <c r="S130" i="6"/>
  <c r="S131" i="6"/>
  <c r="S132" i="6"/>
  <c r="S133" i="6"/>
  <c r="S134" i="6"/>
  <c r="S135" i="6"/>
  <c r="S136" i="6"/>
  <c r="S137" i="6"/>
  <c r="S138" i="6"/>
  <c r="S139" i="6"/>
  <c r="S140" i="6"/>
  <c r="S141" i="6"/>
  <c r="S142" i="6"/>
  <c r="S143" i="6"/>
  <c r="S144" i="6"/>
  <c r="S145" i="6"/>
  <c r="S146" i="6"/>
  <c r="S147" i="6"/>
  <c r="S148" i="6"/>
  <c r="S149" i="6"/>
  <c r="S150" i="6"/>
  <c r="S151" i="6"/>
  <c r="S152" i="6"/>
  <c r="S153" i="6"/>
  <c r="S154" i="6"/>
  <c r="S155" i="6"/>
  <c r="S156" i="6"/>
  <c r="S157" i="6"/>
  <c r="S158" i="6"/>
  <c r="S159" i="6"/>
  <c r="S160" i="6"/>
  <c r="S161" i="6"/>
  <c r="S162" i="6"/>
  <c r="S163" i="6"/>
  <c r="S164" i="6"/>
  <c r="S165" i="6"/>
  <c r="S166" i="6"/>
  <c r="S167" i="6"/>
  <c r="S168" i="6"/>
  <c r="S169" i="6"/>
  <c r="S170" i="6"/>
  <c r="S171" i="6"/>
  <c r="S172" i="6"/>
  <c r="S173" i="6"/>
  <c r="S174" i="6"/>
  <c r="S175" i="6"/>
  <c r="S176" i="6"/>
  <c r="S177" i="6"/>
  <c r="S178" i="6"/>
  <c r="S179" i="6"/>
  <c r="S180" i="6"/>
  <c r="S181" i="6"/>
  <c r="S182" i="6"/>
  <c r="S183" i="6"/>
  <c r="S184" i="6"/>
  <c r="S185" i="6"/>
  <c r="S186" i="6"/>
  <c r="S187" i="6"/>
  <c r="S188" i="6"/>
  <c r="S189" i="6"/>
  <c r="S190" i="6"/>
  <c r="S191" i="6"/>
  <c r="S192" i="6"/>
  <c r="S193" i="6"/>
  <c r="S194" i="6"/>
  <c r="S195" i="6"/>
  <c r="S196" i="6"/>
  <c r="S197" i="6"/>
  <c r="S198" i="6"/>
  <c r="S199" i="6"/>
  <c r="S200" i="6"/>
  <c r="S201" i="6"/>
  <c r="S202" i="6"/>
  <c r="S203" i="6"/>
  <c r="S204" i="6"/>
  <c r="S205" i="6"/>
  <c r="S206" i="6"/>
  <c r="S207" i="6"/>
  <c r="S208" i="6"/>
  <c r="S209" i="6"/>
  <c r="S210" i="6"/>
  <c r="S211" i="6"/>
  <c r="S212" i="6"/>
  <c r="S213" i="6"/>
  <c r="S214" i="6"/>
  <c r="S215" i="6"/>
  <c r="S216" i="6"/>
  <c r="S217" i="6"/>
  <c r="S218" i="6"/>
  <c r="S219" i="6"/>
  <c r="S220" i="6"/>
  <c r="S221" i="6"/>
  <c r="S222" i="6"/>
  <c r="S223" i="6"/>
  <c r="S224" i="6"/>
  <c r="S225" i="6"/>
  <c r="S226" i="6"/>
  <c r="S227" i="6"/>
  <c r="S228" i="6"/>
  <c r="S229" i="6"/>
  <c r="S230" i="6"/>
  <c r="S231" i="6"/>
  <c r="S232" i="6"/>
  <c r="S233" i="6"/>
  <c r="S234" i="6"/>
  <c r="S235" i="6"/>
  <c r="S236" i="6"/>
  <c r="S237" i="6"/>
  <c r="S238" i="6"/>
  <c r="S239" i="6"/>
  <c r="S240" i="6"/>
  <c r="S241" i="6"/>
  <c r="S242" i="6"/>
  <c r="S243" i="6"/>
  <c r="S244" i="6"/>
  <c r="S245" i="6"/>
  <c r="S246" i="6"/>
  <c r="S247" i="6"/>
  <c r="S248" i="6"/>
  <c r="S249" i="6"/>
  <c r="S250" i="6"/>
  <c r="S251" i="6"/>
  <c r="S252" i="6"/>
  <c r="S253" i="6"/>
  <c r="S254" i="6"/>
  <c r="S255" i="6"/>
  <c r="S256" i="6"/>
  <c r="S257" i="6"/>
  <c r="S258" i="6"/>
  <c r="S259" i="6"/>
  <c r="S260" i="6"/>
  <c r="S261" i="6"/>
  <c r="S262" i="6"/>
  <c r="S263" i="6"/>
  <c r="S264" i="6"/>
  <c r="S265" i="6"/>
  <c r="S266" i="6"/>
  <c r="S267" i="6"/>
  <c r="S268" i="6"/>
  <c r="S269" i="6"/>
  <c r="S270" i="6"/>
  <c r="S271" i="6"/>
  <c r="S272" i="6"/>
  <c r="S273" i="6"/>
  <c r="S274" i="6"/>
  <c r="S275" i="6"/>
  <c r="S276" i="6"/>
  <c r="S277" i="6"/>
  <c r="S278" i="6"/>
  <c r="S279" i="6"/>
  <c r="S280" i="6"/>
  <c r="S281" i="6"/>
  <c r="S282" i="6"/>
  <c r="S283" i="6"/>
  <c r="S284" i="6"/>
  <c r="S285" i="6"/>
  <c r="S286" i="6"/>
  <c r="S287" i="6"/>
  <c r="S288" i="6"/>
  <c r="S289" i="6"/>
  <c r="S290" i="6"/>
  <c r="S291" i="6"/>
  <c r="S292" i="6"/>
  <c r="S293" i="6"/>
  <c r="S294" i="6"/>
  <c r="S295" i="6"/>
  <c r="S296" i="6"/>
  <c r="S297" i="6"/>
  <c r="S298" i="6"/>
  <c r="S299" i="6"/>
  <c r="S300" i="6"/>
  <c r="S301" i="6"/>
  <c r="S302" i="6"/>
  <c r="S303" i="6"/>
  <c r="S304" i="6"/>
  <c r="S305" i="6"/>
  <c r="S306" i="6"/>
  <c r="S307" i="6"/>
  <c r="S308" i="6"/>
  <c r="S309" i="6"/>
  <c r="S310" i="6"/>
  <c r="S311" i="6"/>
  <c r="S312" i="6"/>
  <c r="S313" i="6"/>
  <c r="S314" i="6"/>
  <c r="S315" i="6"/>
  <c r="S316" i="6"/>
  <c r="S317" i="6"/>
  <c r="S318" i="6"/>
  <c r="S319" i="6"/>
  <c r="S320" i="6"/>
  <c r="S321" i="6"/>
  <c r="S322" i="6"/>
  <c r="S323" i="6"/>
  <c r="S324" i="6"/>
  <c r="S325" i="6"/>
  <c r="S326" i="6"/>
  <c r="S327" i="6"/>
  <c r="S328" i="6"/>
  <c r="S329" i="6"/>
  <c r="S330" i="6"/>
  <c r="S331" i="6"/>
  <c r="S332" i="6"/>
  <c r="S333" i="6"/>
  <c r="S334" i="6"/>
  <c r="S335" i="6"/>
  <c r="S336" i="6"/>
  <c r="S337" i="6"/>
  <c r="S338" i="6"/>
  <c r="S339" i="6"/>
  <c r="S340" i="6"/>
  <c r="S341" i="6"/>
  <c r="S342" i="6"/>
  <c r="S343" i="6"/>
  <c r="S344" i="6"/>
  <c r="S345" i="6"/>
  <c r="S346" i="6"/>
  <c r="S347" i="6"/>
  <c r="S348" i="6"/>
  <c r="S349" i="6"/>
  <c r="S350" i="6"/>
  <c r="S351" i="6"/>
  <c r="S352" i="6"/>
  <c r="S353" i="6"/>
  <c r="S354" i="6"/>
  <c r="S355" i="6"/>
  <c r="S356" i="6"/>
  <c r="S357" i="6"/>
  <c r="S358" i="6"/>
  <c r="S359" i="6"/>
  <c r="S360" i="6"/>
  <c r="S361" i="6"/>
  <c r="S362" i="6"/>
  <c r="S363" i="6"/>
  <c r="S364" i="6"/>
  <c r="S365" i="6"/>
  <c r="S366" i="6"/>
  <c r="S367" i="6"/>
  <c r="S368" i="6"/>
  <c r="S369" i="6"/>
  <c r="S370" i="6"/>
  <c r="S371" i="6"/>
  <c r="S372" i="6"/>
  <c r="S373" i="6"/>
  <c r="S374" i="6"/>
  <c r="S375" i="6"/>
  <c r="S376" i="6"/>
  <c r="S377" i="6"/>
  <c r="S378" i="6"/>
  <c r="S379" i="6"/>
  <c r="S380" i="6"/>
  <c r="S381" i="6"/>
  <c r="S382" i="6"/>
  <c r="S383" i="6"/>
  <c r="S384" i="6"/>
  <c r="S385" i="6"/>
  <c r="S386" i="6"/>
  <c r="S387" i="6"/>
  <c r="S388" i="6"/>
  <c r="S389" i="6"/>
  <c r="S390" i="6"/>
  <c r="S391" i="6"/>
  <c r="S392" i="6"/>
  <c r="S393" i="6"/>
  <c r="S394" i="6"/>
  <c r="S395" i="6"/>
  <c r="S396" i="6"/>
  <c r="S397" i="6"/>
  <c r="S398" i="6"/>
  <c r="S399" i="6"/>
  <c r="S400" i="6"/>
  <c r="S401" i="6"/>
  <c r="S402" i="6"/>
  <c r="S403" i="6"/>
  <c r="S404" i="6"/>
  <c r="S405" i="6"/>
  <c r="S406" i="6"/>
  <c r="S407" i="6"/>
  <c r="S408" i="6"/>
  <c r="S409" i="6"/>
  <c r="S410" i="6"/>
  <c r="S411" i="6"/>
  <c r="S412" i="6"/>
  <c r="S413" i="6"/>
  <c r="S414" i="6"/>
  <c r="S415" i="6"/>
  <c r="S416" i="6"/>
  <c r="S417" i="6"/>
  <c r="S418" i="6"/>
  <c r="S419" i="6"/>
  <c r="S420" i="6"/>
  <c r="S421" i="6"/>
  <c r="S422" i="6"/>
  <c r="S423" i="6"/>
  <c r="S424" i="6"/>
  <c r="S425" i="6"/>
  <c r="S426" i="6"/>
  <c r="S427" i="6"/>
  <c r="S428" i="6"/>
  <c r="S429" i="6"/>
  <c r="S430" i="6"/>
  <c r="S431" i="6"/>
  <c r="S432" i="6"/>
  <c r="S433" i="6"/>
  <c r="S434" i="6"/>
  <c r="S435" i="6"/>
  <c r="S436" i="6"/>
  <c r="S437" i="6"/>
  <c r="S438" i="6"/>
  <c r="S439" i="6"/>
  <c r="S440" i="6"/>
  <c r="S441" i="6"/>
  <c r="S442" i="6"/>
  <c r="S443" i="6"/>
  <c r="S444" i="6"/>
  <c r="S445" i="6"/>
  <c r="S446" i="6"/>
  <c r="S447" i="6"/>
  <c r="S448" i="6"/>
  <c r="S449" i="6"/>
  <c r="S450" i="6"/>
  <c r="S451" i="6"/>
  <c r="S452" i="6"/>
  <c r="S453" i="6"/>
  <c r="S454" i="6"/>
  <c r="S455" i="6"/>
  <c r="S456" i="6"/>
  <c r="S457" i="6"/>
  <c r="S458" i="6"/>
  <c r="S459" i="6"/>
  <c r="S460" i="6"/>
  <c r="S461" i="6"/>
  <c r="S462" i="6"/>
  <c r="S463" i="6"/>
  <c r="S464" i="6"/>
  <c r="S465" i="6"/>
  <c r="S466" i="6"/>
  <c r="S467" i="6"/>
  <c r="S468" i="6"/>
  <c r="S469" i="6"/>
  <c r="S470" i="6"/>
  <c r="S471" i="6"/>
  <c r="S472" i="6"/>
  <c r="S473" i="6"/>
  <c r="S474" i="6"/>
  <c r="S475" i="6"/>
  <c r="S476" i="6"/>
  <c r="S477" i="6"/>
  <c r="S478" i="6"/>
  <c r="S479" i="6"/>
  <c r="S480" i="6"/>
  <c r="S481" i="6"/>
  <c r="S482" i="6"/>
  <c r="S483" i="6"/>
  <c r="S484" i="6"/>
  <c r="S485" i="6"/>
  <c r="S486" i="6"/>
  <c r="S487" i="6"/>
  <c r="S488" i="6"/>
  <c r="S489" i="6"/>
  <c r="S490" i="6"/>
  <c r="S491" i="6"/>
  <c r="S492" i="6"/>
  <c r="S493" i="6"/>
  <c r="S494" i="6"/>
  <c r="S495" i="6"/>
  <c r="S496" i="6"/>
  <c r="S497" i="6"/>
  <c r="S498" i="6"/>
  <c r="S499" i="6"/>
  <c r="S500" i="6"/>
  <c r="S501" i="6"/>
  <c r="S502" i="6"/>
  <c r="S503" i="6"/>
  <c r="S504" i="6"/>
  <c r="S505" i="6"/>
  <c r="S506" i="6"/>
  <c r="S507" i="6"/>
  <c r="S508" i="6"/>
  <c r="S509" i="6"/>
  <c r="S510" i="6"/>
  <c r="S511" i="6"/>
  <c r="S512" i="6"/>
  <c r="S513" i="6"/>
  <c r="S514" i="6"/>
  <c r="S515" i="6"/>
  <c r="S516" i="6"/>
  <c r="S517" i="6"/>
  <c r="S518" i="6"/>
  <c r="S519" i="6"/>
  <c r="S520" i="6"/>
  <c r="S521" i="6"/>
  <c r="S522" i="6"/>
  <c r="S523" i="6"/>
  <c r="S524" i="6"/>
  <c r="S525" i="6"/>
  <c r="S526" i="6"/>
  <c r="S527" i="6"/>
  <c r="S528" i="6"/>
  <c r="S529" i="6"/>
  <c r="S530" i="6"/>
  <c r="S531" i="6"/>
  <c r="S532" i="6"/>
  <c r="S533" i="6"/>
  <c r="S534" i="6"/>
  <c r="S535" i="6"/>
  <c r="S536" i="6"/>
  <c r="S537" i="6"/>
  <c r="S538" i="6"/>
  <c r="S539" i="6"/>
  <c r="S540" i="6"/>
  <c r="S541" i="6"/>
  <c r="S542" i="6"/>
  <c r="S543" i="6"/>
  <c r="S544" i="6"/>
  <c r="S545" i="6"/>
  <c r="S546" i="6"/>
  <c r="S547" i="6"/>
  <c r="S548" i="6"/>
  <c r="S549" i="6"/>
  <c r="S550" i="6"/>
  <c r="S551" i="6"/>
  <c r="S552" i="6"/>
  <c r="S553" i="6"/>
  <c r="S554" i="6"/>
  <c r="S555" i="6"/>
  <c r="S556" i="6"/>
  <c r="S557" i="6"/>
  <c r="S558" i="6"/>
  <c r="S559" i="6"/>
  <c r="S560" i="6"/>
  <c r="S561" i="6"/>
  <c r="S562" i="6"/>
  <c r="S563" i="6"/>
  <c r="S564" i="6"/>
  <c r="S565" i="6"/>
  <c r="S566" i="6"/>
  <c r="S567" i="6"/>
  <c r="S568" i="6"/>
  <c r="S569" i="6"/>
  <c r="S570" i="6"/>
  <c r="S571" i="6"/>
  <c r="S572" i="6"/>
  <c r="S573" i="6"/>
  <c r="S574" i="6"/>
  <c r="S575" i="6"/>
  <c r="S576" i="6"/>
  <c r="S577" i="6"/>
  <c r="S578" i="6"/>
  <c r="S579" i="6"/>
  <c r="S580" i="6"/>
  <c r="S581" i="6"/>
  <c r="S582" i="6"/>
  <c r="S583" i="6"/>
  <c r="S584" i="6"/>
  <c r="S585" i="6"/>
  <c r="S586" i="6"/>
  <c r="S587" i="6"/>
  <c r="S588" i="6"/>
  <c r="S589" i="6"/>
  <c r="S590" i="6"/>
  <c r="S591" i="6"/>
  <c r="S592" i="6"/>
  <c r="S593" i="6"/>
  <c r="S594" i="6"/>
  <c r="S595" i="6"/>
  <c r="S596" i="6"/>
  <c r="S597" i="6"/>
  <c r="S598" i="6"/>
  <c r="S599" i="6"/>
  <c r="S600" i="6"/>
  <c r="S601" i="6"/>
  <c r="S602" i="6"/>
  <c r="S603" i="6"/>
  <c r="S604" i="6"/>
  <c r="S605" i="6"/>
  <c r="S606" i="6"/>
  <c r="S607" i="6"/>
  <c r="S608" i="6"/>
  <c r="S609" i="6"/>
  <c r="S610" i="6"/>
  <c r="S611" i="6"/>
  <c r="S612" i="6"/>
  <c r="S613" i="6"/>
  <c r="S614" i="6"/>
  <c r="S615" i="6"/>
  <c r="S616" i="6"/>
  <c r="S617" i="6"/>
  <c r="S618" i="6"/>
  <c r="S619" i="6"/>
  <c r="S620" i="6"/>
  <c r="S621" i="6"/>
  <c r="S622" i="6"/>
  <c r="S623" i="6"/>
  <c r="S624" i="6"/>
  <c r="S625" i="6"/>
  <c r="S626" i="6"/>
  <c r="S627" i="6"/>
  <c r="S628" i="6"/>
  <c r="S629" i="6"/>
  <c r="S630" i="6"/>
  <c r="S631" i="6"/>
  <c r="S632" i="6"/>
  <c r="S633" i="6"/>
  <c r="S634" i="6"/>
  <c r="S635" i="6"/>
  <c r="S636" i="6"/>
  <c r="S637" i="6"/>
  <c r="S638" i="6"/>
  <c r="S639" i="6"/>
  <c r="S640" i="6"/>
  <c r="S641" i="6"/>
  <c r="S642" i="6"/>
  <c r="S643" i="6"/>
  <c r="S644" i="6"/>
  <c r="S645" i="6"/>
  <c r="S646" i="6"/>
  <c r="S647" i="6"/>
  <c r="S648" i="6"/>
  <c r="S649" i="6"/>
  <c r="S650" i="6"/>
  <c r="S651" i="6"/>
  <c r="S652" i="6"/>
  <c r="S653" i="6"/>
  <c r="S654" i="6"/>
  <c r="S655" i="6"/>
  <c r="S656" i="6"/>
  <c r="S657" i="6"/>
  <c r="S658" i="6"/>
  <c r="S659" i="6"/>
  <c r="S660" i="6"/>
  <c r="S661" i="6"/>
  <c r="S662" i="6"/>
  <c r="S663" i="6"/>
  <c r="S664" i="6"/>
  <c r="S665" i="6"/>
  <c r="S666" i="6"/>
  <c r="S667" i="6"/>
  <c r="S668" i="6"/>
  <c r="S669" i="6"/>
  <c r="S670" i="6"/>
  <c r="S671" i="6"/>
  <c r="S672" i="6"/>
  <c r="S673" i="6"/>
  <c r="S674" i="6"/>
  <c r="S675" i="6"/>
  <c r="S676" i="6"/>
  <c r="S677" i="6"/>
  <c r="S678" i="6"/>
  <c r="S679" i="6"/>
  <c r="S680" i="6"/>
  <c r="S681" i="6"/>
  <c r="S682" i="6"/>
  <c r="S683" i="6"/>
  <c r="S684" i="6"/>
  <c r="S685" i="6"/>
  <c r="S686" i="6"/>
  <c r="S687" i="6"/>
  <c r="S688" i="6"/>
  <c r="S689" i="6"/>
  <c r="S690" i="6"/>
  <c r="S691" i="6"/>
  <c r="S692" i="6"/>
  <c r="S693" i="6"/>
  <c r="S694" i="6"/>
  <c r="S695" i="6"/>
  <c r="S696" i="6"/>
  <c r="S697" i="6"/>
  <c r="S698" i="6"/>
  <c r="S699" i="6"/>
  <c r="S700" i="6"/>
  <c r="S701" i="6"/>
  <c r="S702" i="6"/>
  <c r="S703" i="6"/>
  <c r="S704" i="6"/>
  <c r="S705" i="6"/>
  <c r="S706" i="6"/>
  <c r="S707" i="6"/>
  <c r="S708" i="6"/>
  <c r="S709" i="6"/>
  <c r="S710" i="6"/>
  <c r="S711" i="6"/>
  <c r="S712" i="6"/>
  <c r="S713" i="6"/>
  <c r="S714" i="6"/>
  <c r="S715" i="6"/>
  <c r="S716" i="6"/>
  <c r="S717" i="6"/>
  <c r="S718" i="6"/>
  <c r="S719" i="6"/>
  <c r="S720" i="6"/>
  <c r="S721" i="6"/>
  <c r="S722" i="6"/>
  <c r="S723" i="6"/>
  <c r="S724" i="6"/>
  <c r="S725" i="6"/>
  <c r="S726" i="6"/>
  <c r="S727" i="6"/>
  <c r="S728" i="6"/>
  <c r="S729" i="6"/>
  <c r="S730" i="6"/>
  <c r="S731" i="6"/>
  <c r="S732" i="6"/>
  <c r="S733" i="6"/>
  <c r="S734" i="6"/>
  <c r="S735" i="6"/>
  <c r="S736" i="6"/>
  <c r="S737" i="6"/>
  <c r="S738" i="6"/>
  <c r="S739" i="6"/>
  <c r="S740" i="6"/>
  <c r="S741" i="6"/>
  <c r="S742" i="6"/>
  <c r="S743" i="6"/>
  <c r="S744" i="6"/>
  <c r="S745" i="6"/>
  <c r="S746" i="6"/>
  <c r="S747" i="6"/>
  <c r="S748" i="6"/>
  <c r="S749" i="6"/>
  <c r="S750" i="6"/>
  <c r="S751" i="6"/>
  <c r="S752" i="6"/>
  <c r="S753" i="6"/>
  <c r="S754" i="6"/>
  <c r="S755" i="6"/>
  <c r="S756" i="6"/>
  <c r="S757" i="6"/>
  <c r="S758" i="6"/>
  <c r="S759" i="6"/>
  <c r="S760" i="6"/>
  <c r="S761" i="6"/>
  <c r="S762" i="6"/>
  <c r="S763" i="6"/>
  <c r="S764" i="6"/>
  <c r="S765" i="6"/>
  <c r="S766" i="6"/>
  <c r="S767" i="6"/>
  <c r="S768" i="6"/>
  <c r="S769" i="6"/>
  <c r="S770" i="6"/>
  <c r="S771" i="6"/>
  <c r="S772" i="6"/>
  <c r="S773" i="6"/>
  <c r="S774" i="6"/>
  <c r="S775" i="6"/>
  <c r="S776" i="6"/>
  <c r="S777" i="6"/>
  <c r="S778" i="6"/>
  <c r="S779" i="6"/>
  <c r="S780" i="6"/>
  <c r="S781" i="6"/>
  <c r="S782" i="6"/>
  <c r="S783" i="6"/>
  <c r="S784" i="6"/>
  <c r="S785" i="6"/>
  <c r="S786" i="6"/>
  <c r="S787" i="6"/>
  <c r="S788" i="6"/>
  <c r="S789" i="6"/>
  <c r="S790" i="6"/>
  <c r="S791" i="6"/>
  <c r="S792" i="6"/>
  <c r="S793" i="6"/>
  <c r="S794" i="6"/>
  <c r="S795" i="6"/>
  <c r="S796" i="6"/>
  <c r="S797" i="6"/>
  <c r="S798" i="6"/>
  <c r="S799" i="6"/>
  <c r="S800" i="6"/>
  <c r="S801" i="6"/>
  <c r="S802" i="6"/>
  <c r="S803" i="6"/>
  <c r="S804" i="6"/>
  <c r="S805" i="6"/>
  <c r="S806" i="6"/>
  <c r="S807" i="6"/>
  <c r="S808" i="6"/>
  <c r="S809" i="6"/>
  <c r="S810" i="6"/>
  <c r="S811" i="6"/>
  <c r="S812" i="6"/>
  <c r="S813" i="6"/>
  <c r="S814" i="6"/>
  <c r="S815" i="6"/>
  <c r="S816" i="6"/>
  <c r="S817" i="6"/>
  <c r="S818" i="6"/>
  <c r="S819" i="6"/>
  <c r="S820" i="6"/>
  <c r="S821" i="6"/>
  <c r="S822" i="6"/>
  <c r="S823" i="6"/>
  <c r="S824" i="6"/>
  <c r="S825" i="6"/>
  <c r="S826" i="6"/>
  <c r="S827" i="6"/>
  <c r="S828" i="6"/>
  <c r="S829" i="6"/>
  <c r="S830" i="6"/>
  <c r="S831" i="6"/>
  <c r="S832" i="6"/>
  <c r="S833" i="6"/>
  <c r="S834" i="6"/>
  <c r="S835" i="6"/>
  <c r="S836" i="6"/>
  <c r="S837" i="6"/>
  <c r="S838" i="6"/>
  <c r="S839" i="6"/>
  <c r="S840" i="6"/>
  <c r="S841" i="6"/>
  <c r="S842" i="6"/>
  <c r="S843" i="6"/>
  <c r="S844" i="6"/>
  <c r="S845" i="6"/>
  <c r="S846" i="6"/>
  <c r="S847" i="6"/>
  <c r="S848" i="6"/>
  <c r="S849" i="6"/>
  <c r="S850" i="6"/>
  <c r="S851" i="6"/>
  <c r="S852" i="6"/>
  <c r="S853" i="6"/>
  <c r="S854" i="6"/>
  <c r="S855" i="6"/>
  <c r="S856" i="6"/>
  <c r="S857" i="6"/>
  <c r="S858" i="6"/>
  <c r="S859" i="6"/>
  <c r="S860" i="6"/>
  <c r="S861" i="6"/>
  <c r="S862" i="6"/>
  <c r="S863" i="6"/>
  <c r="S864" i="6"/>
  <c r="S865" i="6"/>
  <c r="S866" i="6"/>
  <c r="S867" i="6"/>
  <c r="S868" i="6"/>
  <c r="S869" i="6"/>
  <c r="S870" i="6"/>
  <c r="S871" i="6"/>
  <c r="S872" i="6"/>
  <c r="S873" i="6"/>
  <c r="S874" i="6"/>
  <c r="S875" i="6"/>
  <c r="S876" i="6"/>
  <c r="S877" i="6"/>
  <c r="S878" i="6"/>
  <c r="S879" i="6"/>
  <c r="S880" i="6"/>
  <c r="S881" i="6"/>
  <c r="S882" i="6"/>
  <c r="S883" i="6"/>
  <c r="S884" i="6"/>
  <c r="S885" i="6"/>
  <c r="S886" i="6"/>
  <c r="S887" i="6"/>
  <c r="S888" i="6"/>
  <c r="S889" i="6"/>
  <c r="S890" i="6"/>
  <c r="S891" i="6"/>
  <c r="S892" i="6"/>
  <c r="S893" i="6"/>
  <c r="S894" i="6"/>
  <c r="S895" i="6"/>
  <c r="S896" i="6"/>
  <c r="S897" i="6"/>
  <c r="S898" i="6"/>
  <c r="S899" i="6"/>
  <c r="S900" i="6"/>
  <c r="S901" i="6"/>
  <c r="S902" i="6"/>
  <c r="S903" i="6"/>
  <c r="S904" i="6"/>
  <c r="S905" i="6"/>
  <c r="S906" i="6"/>
  <c r="S907" i="6"/>
  <c r="S908" i="6"/>
  <c r="S909" i="6"/>
  <c r="S910" i="6"/>
  <c r="S911" i="6"/>
  <c r="S912" i="6"/>
  <c r="S913" i="6"/>
  <c r="S914" i="6"/>
  <c r="S915" i="6"/>
  <c r="S916" i="6"/>
  <c r="S917" i="6"/>
  <c r="S918" i="6"/>
  <c r="S919" i="6"/>
  <c r="S920" i="6"/>
  <c r="S921" i="6"/>
  <c r="S922" i="6"/>
  <c r="S923" i="6"/>
  <c r="S924" i="6"/>
  <c r="S925" i="6"/>
  <c r="S926" i="6"/>
  <c r="S927" i="6"/>
  <c r="S928" i="6"/>
  <c r="S929" i="6"/>
  <c r="S930" i="6"/>
  <c r="S931" i="6"/>
  <c r="S932" i="6"/>
  <c r="S933" i="6"/>
  <c r="S934" i="6"/>
  <c r="S935" i="6"/>
  <c r="S936" i="6"/>
  <c r="S937" i="6"/>
  <c r="S938" i="6"/>
  <c r="S939" i="6"/>
  <c r="S940" i="6"/>
  <c r="S941" i="6"/>
  <c r="S942" i="6"/>
  <c r="S943" i="6"/>
  <c r="S944" i="6"/>
  <c r="S945" i="6"/>
  <c r="S946" i="6"/>
  <c r="S947" i="6"/>
  <c r="S948" i="6"/>
  <c r="S949" i="6"/>
  <c r="S950" i="6"/>
  <c r="S951" i="6"/>
  <c r="S952" i="6"/>
  <c r="S953" i="6"/>
  <c r="S954" i="6"/>
  <c r="S955" i="6"/>
  <c r="S956" i="6"/>
  <c r="S957" i="6"/>
  <c r="S958" i="6"/>
  <c r="S959" i="6"/>
  <c r="S960" i="6"/>
  <c r="S961" i="6"/>
  <c r="S962" i="6"/>
  <c r="S963" i="6"/>
  <c r="S964" i="6"/>
  <c r="S965" i="6"/>
  <c r="S966" i="6"/>
  <c r="S967" i="6"/>
  <c r="S968" i="6"/>
  <c r="S969" i="6"/>
  <c r="S970" i="6"/>
  <c r="S971" i="6"/>
  <c r="S972" i="6"/>
  <c r="S973" i="6"/>
  <c r="S974" i="6"/>
  <c r="S975" i="6"/>
  <c r="S976" i="6"/>
  <c r="S977" i="6"/>
  <c r="S978" i="6"/>
  <c r="S979" i="6"/>
  <c r="S980" i="6"/>
  <c r="S981" i="6"/>
  <c r="S982" i="6"/>
  <c r="S983" i="6"/>
  <c r="S984" i="6"/>
  <c r="S985" i="6"/>
  <c r="S986" i="6"/>
  <c r="S987" i="6"/>
  <c r="S988" i="6"/>
  <c r="S989" i="6"/>
  <c r="S990" i="6"/>
  <c r="S991" i="6"/>
  <c r="S992" i="6"/>
  <c r="S993" i="6"/>
  <c r="S994" i="6"/>
  <c r="S995" i="6"/>
  <c r="S996" i="6"/>
  <c r="S997" i="6"/>
  <c r="S998" i="6"/>
  <c r="S999" i="6"/>
  <c r="S1000" i="6"/>
  <c r="S1001" i="6"/>
  <c r="R2" i="6"/>
  <c r="R3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R84" i="6"/>
  <c r="R85" i="6"/>
  <c r="R86" i="6"/>
  <c r="R87" i="6"/>
  <c r="R88" i="6"/>
  <c r="R89" i="6"/>
  <c r="R90" i="6"/>
  <c r="R91" i="6"/>
  <c r="R92" i="6"/>
  <c r="R93" i="6"/>
  <c r="R94" i="6"/>
  <c r="R95" i="6"/>
  <c r="R96" i="6"/>
  <c r="R97" i="6"/>
  <c r="R98" i="6"/>
  <c r="R99" i="6"/>
  <c r="R100" i="6"/>
  <c r="R101" i="6"/>
  <c r="R102" i="6"/>
  <c r="R103" i="6"/>
  <c r="R104" i="6"/>
  <c r="R105" i="6"/>
  <c r="R106" i="6"/>
  <c r="R107" i="6"/>
  <c r="R108" i="6"/>
  <c r="R109" i="6"/>
  <c r="R110" i="6"/>
  <c r="R111" i="6"/>
  <c r="R112" i="6"/>
  <c r="R113" i="6"/>
  <c r="R114" i="6"/>
  <c r="R115" i="6"/>
  <c r="R116" i="6"/>
  <c r="R117" i="6"/>
  <c r="R118" i="6"/>
  <c r="R119" i="6"/>
  <c r="R120" i="6"/>
  <c r="R121" i="6"/>
  <c r="R122" i="6"/>
  <c r="R123" i="6"/>
  <c r="R124" i="6"/>
  <c r="R125" i="6"/>
  <c r="R126" i="6"/>
  <c r="R127" i="6"/>
  <c r="R128" i="6"/>
  <c r="R129" i="6"/>
  <c r="R130" i="6"/>
  <c r="R131" i="6"/>
  <c r="R132" i="6"/>
  <c r="R133" i="6"/>
  <c r="R134" i="6"/>
  <c r="R135" i="6"/>
  <c r="R136" i="6"/>
  <c r="R137" i="6"/>
  <c r="R138" i="6"/>
  <c r="R139" i="6"/>
  <c r="R140" i="6"/>
  <c r="R141" i="6"/>
  <c r="R142" i="6"/>
  <c r="R143" i="6"/>
  <c r="R144" i="6"/>
  <c r="R145" i="6"/>
  <c r="R146" i="6"/>
  <c r="R147" i="6"/>
  <c r="R148" i="6"/>
  <c r="R149" i="6"/>
  <c r="R150" i="6"/>
  <c r="R151" i="6"/>
  <c r="R152" i="6"/>
  <c r="R153" i="6"/>
  <c r="R154" i="6"/>
  <c r="R155" i="6"/>
  <c r="R156" i="6"/>
  <c r="R157" i="6"/>
  <c r="R158" i="6"/>
  <c r="R159" i="6"/>
  <c r="R160" i="6"/>
  <c r="R161" i="6"/>
  <c r="R162" i="6"/>
  <c r="R163" i="6"/>
  <c r="R164" i="6"/>
  <c r="R165" i="6"/>
  <c r="R166" i="6"/>
  <c r="R167" i="6"/>
  <c r="R168" i="6"/>
  <c r="R169" i="6"/>
  <c r="R170" i="6"/>
  <c r="R171" i="6"/>
  <c r="R172" i="6"/>
  <c r="R173" i="6"/>
  <c r="R174" i="6"/>
  <c r="R175" i="6"/>
  <c r="R176" i="6"/>
  <c r="R177" i="6"/>
  <c r="R178" i="6"/>
  <c r="R179" i="6"/>
  <c r="R180" i="6"/>
  <c r="R181" i="6"/>
  <c r="R182" i="6"/>
  <c r="R183" i="6"/>
  <c r="R184" i="6"/>
  <c r="R185" i="6"/>
  <c r="R186" i="6"/>
  <c r="R187" i="6"/>
  <c r="R188" i="6"/>
  <c r="R189" i="6"/>
  <c r="R190" i="6"/>
  <c r="R191" i="6"/>
  <c r="R192" i="6"/>
  <c r="R193" i="6"/>
  <c r="R194" i="6"/>
  <c r="R195" i="6"/>
  <c r="R196" i="6"/>
  <c r="R197" i="6"/>
  <c r="R198" i="6"/>
  <c r="R199" i="6"/>
  <c r="R200" i="6"/>
  <c r="R201" i="6"/>
  <c r="R202" i="6"/>
  <c r="R203" i="6"/>
  <c r="R204" i="6"/>
  <c r="R205" i="6"/>
  <c r="R206" i="6"/>
  <c r="R207" i="6"/>
  <c r="R208" i="6"/>
  <c r="R209" i="6"/>
  <c r="R210" i="6"/>
  <c r="R211" i="6"/>
  <c r="R212" i="6"/>
  <c r="R213" i="6"/>
  <c r="R214" i="6"/>
  <c r="R215" i="6"/>
  <c r="R216" i="6"/>
  <c r="R217" i="6"/>
  <c r="R218" i="6"/>
  <c r="R219" i="6"/>
  <c r="R220" i="6"/>
  <c r="R221" i="6"/>
  <c r="R222" i="6"/>
  <c r="R223" i="6"/>
  <c r="R224" i="6"/>
  <c r="R225" i="6"/>
  <c r="R226" i="6"/>
  <c r="R227" i="6"/>
  <c r="R228" i="6"/>
  <c r="R229" i="6"/>
  <c r="R230" i="6"/>
  <c r="R231" i="6"/>
  <c r="R232" i="6"/>
  <c r="R233" i="6"/>
  <c r="R234" i="6"/>
  <c r="R235" i="6"/>
  <c r="R236" i="6"/>
  <c r="R237" i="6"/>
  <c r="R238" i="6"/>
  <c r="R239" i="6"/>
  <c r="R240" i="6"/>
  <c r="R241" i="6"/>
  <c r="R242" i="6"/>
  <c r="R243" i="6"/>
  <c r="R244" i="6"/>
  <c r="R245" i="6"/>
  <c r="R246" i="6"/>
  <c r="R247" i="6"/>
  <c r="R248" i="6"/>
  <c r="R249" i="6"/>
  <c r="R250" i="6"/>
  <c r="R251" i="6"/>
  <c r="R252" i="6"/>
  <c r="R253" i="6"/>
  <c r="R254" i="6"/>
  <c r="R255" i="6"/>
  <c r="R256" i="6"/>
  <c r="R257" i="6"/>
  <c r="R258" i="6"/>
  <c r="R259" i="6"/>
  <c r="R260" i="6"/>
  <c r="R261" i="6"/>
  <c r="R262" i="6"/>
  <c r="R263" i="6"/>
  <c r="R264" i="6"/>
  <c r="R265" i="6"/>
  <c r="R266" i="6"/>
  <c r="R267" i="6"/>
  <c r="R268" i="6"/>
  <c r="R269" i="6"/>
  <c r="R270" i="6"/>
  <c r="R271" i="6"/>
  <c r="R272" i="6"/>
  <c r="R273" i="6"/>
  <c r="R274" i="6"/>
  <c r="R275" i="6"/>
  <c r="R276" i="6"/>
  <c r="R277" i="6"/>
  <c r="R278" i="6"/>
  <c r="R279" i="6"/>
  <c r="R280" i="6"/>
  <c r="R281" i="6"/>
  <c r="R282" i="6"/>
  <c r="R283" i="6"/>
  <c r="R284" i="6"/>
  <c r="R285" i="6"/>
  <c r="R286" i="6"/>
  <c r="R287" i="6"/>
  <c r="R288" i="6"/>
  <c r="R289" i="6"/>
  <c r="R290" i="6"/>
  <c r="R291" i="6"/>
  <c r="R292" i="6"/>
  <c r="R293" i="6"/>
  <c r="R294" i="6"/>
  <c r="R295" i="6"/>
  <c r="R296" i="6"/>
  <c r="R297" i="6"/>
  <c r="R298" i="6"/>
  <c r="R299" i="6"/>
  <c r="R300" i="6"/>
  <c r="R301" i="6"/>
  <c r="R302" i="6"/>
  <c r="R303" i="6"/>
  <c r="R304" i="6"/>
  <c r="R305" i="6"/>
  <c r="R306" i="6"/>
  <c r="R307" i="6"/>
  <c r="R308" i="6"/>
  <c r="R309" i="6"/>
  <c r="R310" i="6"/>
  <c r="R311" i="6"/>
  <c r="R312" i="6"/>
  <c r="R313" i="6"/>
  <c r="R314" i="6"/>
  <c r="R315" i="6"/>
  <c r="R316" i="6"/>
  <c r="R317" i="6"/>
  <c r="R318" i="6"/>
  <c r="R319" i="6"/>
  <c r="R320" i="6"/>
  <c r="R321" i="6"/>
  <c r="R322" i="6"/>
  <c r="R323" i="6"/>
  <c r="R324" i="6"/>
  <c r="R325" i="6"/>
  <c r="R326" i="6"/>
  <c r="R327" i="6"/>
  <c r="R328" i="6"/>
  <c r="R329" i="6"/>
  <c r="R330" i="6"/>
  <c r="R331" i="6"/>
  <c r="R332" i="6"/>
  <c r="R333" i="6"/>
  <c r="R334" i="6"/>
  <c r="R335" i="6"/>
  <c r="R336" i="6"/>
  <c r="R337" i="6"/>
  <c r="R338" i="6"/>
  <c r="R339" i="6"/>
  <c r="R340" i="6"/>
  <c r="R341" i="6"/>
  <c r="R342" i="6"/>
  <c r="R343" i="6"/>
  <c r="R344" i="6"/>
  <c r="R345" i="6"/>
  <c r="R346" i="6"/>
  <c r="R347" i="6"/>
  <c r="R348" i="6"/>
  <c r="R349" i="6"/>
  <c r="R350" i="6"/>
  <c r="R351" i="6"/>
  <c r="R352" i="6"/>
  <c r="R353" i="6"/>
  <c r="R354" i="6"/>
  <c r="R355" i="6"/>
  <c r="R356" i="6"/>
  <c r="R357" i="6"/>
  <c r="R358" i="6"/>
  <c r="R359" i="6"/>
  <c r="R360" i="6"/>
  <c r="R361" i="6"/>
  <c r="R362" i="6"/>
  <c r="R363" i="6"/>
  <c r="R364" i="6"/>
  <c r="R365" i="6"/>
  <c r="R366" i="6"/>
  <c r="R367" i="6"/>
  <c r="R368" i="6"/>
  <c r="R369" i="6"/>
  <c r="R370" i="6"/>
  <c r="R371" i="6"/>
  <c r="R372" i="6"/>
  <c r="R373" i="6"/>
  <c r="R374" i="6"/>
  <c r="R375" i="6"/>
  <c r="R376" i="6"/>
  <c r="R377" i="6"/>
  <c r="R378" i="6"/>
  <c r="R379" i="6"/>
  <c r="R380" i="6"/>
  <c r="R381" i="6"/>
  <c r="R382" i="6"/>
  <c r="R383" i="6"/>
  <c r="R384" i="6"/>
  <c r="R385" i="6"/>
  <c r="R386" i="6"/>
  <c r="R387" i="6"/>
  <c r="R388" i="6"/>
  <c r="R389" i="6"/>
  <c r="R390" i="6"/>
  <c r="R391" i="6"/>
  <c r="R392" i="6"/>
  <c r="R393" i="6"/>
  <c r="R394" i="6"/>
  <c r="R395" i="6"/>
  <c r="R396" i="6"/>
  <c r="R397" i="6"/>
  <c r="R398" i="6"/>
  <c r="R399" i="6"/>
  <c r="R400" i="6"/>
  <c r="R401" i="6"/>
  <c r="R402" i="6"/>
  <c r="R403" i="6"/>
  <c r="R404" i="6"/>
  <c r="R405" i="6"/>
  <c r="R406" i="6"/>
  <c r="R407" i="6"/>
  <c r="R408" i="6"/>
  <c r="R409" i="6"/>
  <c r="R410" i="6"/>
  <c r="R411" i="6"/>
  <c r="R412" i="6"/>
  <c r="R413" i="6"/>
  <c r="R414" i="6"/>
  <c r="R415" i="6"/>
  <c r="R416" i="6"/>
  <c r="R417" i="6"/>
  <c r="R418" i="6"/>
  <c r="R419" i="6"/>
  <c r="R420" i="6"/>
  <c r="R421" i="6"/>
  <c r="R422" i="6"/>
  <c r="R423" i="6"/>
  <c r="R424" i="6"/>
  <c r="R425" i="6"/>
  <c r="R426" i="6"/>
  <c r="R427" i="6"/>
  <c r="R428" i="6"/>
  <c r="R429" i="6"/>
  <c r="R430" i="6"/>
  <c r="R431" i="6"/>
  <c r="R432" i="6"/>
  <c r="R433" i="6"/>
  <c r="R434" i="6"/>
  <c r="R435" i="6"/>
  <c r="R436" i="6"/>
  <c r="R437" i="6"/>
  <c r="R438" i="6"/>
  <c r="R439" i="6"/>
  <c r="R440" i="6"/>
  <c r="R441" i="6"/>
  <c r="R442" i="6"/>
  <c r="R443" i="6"/>
  <c r="R444" i="6"/>
  <c r="R445" i="6"/>
  <c r="R446" i="6"/>
  <c r="R447" i="6"/>
  <c r="R448" i="6"/>
  <c r="R449" i="6"/>
  <c r="R450" i="6"/>
  <c r="R451" i="6"/>
  <c r="R452" i="6"/>
  <c r="R453" i="6"/>
  <c r="R454" i="6"/>
  <c r="R455" i="6"/>
  <c r="R456" i="6"/>
  <c r="R457" i="6"/>
  <c r="R458" i="6"/>
  <c r="R459" i="6"/>
  <c r="R460" i="6"/>
  <c r="R461" i="6"/>
  <c r="R462" i="6"/>
  <c r="R463" i="6"/>
  <c r="R464" i="6"/>
  <c r="R465" i="6"/>
  <c r="R466" i="6"/>
  <c r="R467" i="6"/>
  <c r="R468" i="6"/>
  <c r="R469" i="6"/>
  <c r="R470" i="6"/>
  <c r="R471" i="6"/>
  <c r="R472" i="6"/>
  <c r="R473" i="6"/>
  <c r="R474" i="6"/>
  <c r="R475" i="6"/>
  <c r="R476" i="6"/>
  <c r="R477" i="6"/>
  <c r="R478" i="6"/>
  <c r="R479" i="6"/>
  <c r="R480" i="6"/>
  <c r="R481" i="6"/>
  <c r="R482" i="6"/>
  <c r="R483" i="6"/>
  <c r="R484" i="6"/>
  <c r="R485" i="6"/>
  <c r="R486" i="6"/>
  <c r="R487" i="6"/>
  <c r="R488" i="6"/>
  <c r="R489" i="6"/>
  <c r="R490" i="6"/>
  <c r="R491" i="6"/>
  <c r="R492" i="6"/>
  <c r="R493" i="6"/>
  <c r="R494" i="6"/>
  <c r="R495" i="6"/>
  <c r="R496" i="6"/>
  <c r="R497" i="6"/>
  <c r="R498" i="6"/>
  <c r="R499" i="6"/>
  <c r="R500" i="6"/>
  <c r="R501" i="6"/>
  <c r="R502" i="6"/>
  <c r="R503" i="6"/>
  <c r="R504" i="6"/>
  <c r="R505" i="6"/>
  <c r="R506" i="6"/>
  <c r="R507" i="6"/>
  <c r="R508" i="6"/>
  <c r="R509" i="6"/>
  <c r="R510" i="6"/>
  <c r="R511" i="6"/>
  <c r="R512" i="6"/>
  <c r="R513" i="6"/>
  <c r="R514" i="6"/>
  <c r="R515" i="6"/>
  <c r="R516" i="6"/>
  <c r="R517" i="6"/>
  <c r="R518" i="6"/>
  <c r="R519" i="6"/>
  <c r="R520" i="6"/>
  <c r="R521" i="6"/>
  <c r="R522" i="6"/>
  <c r="R523" i="6"/>
  <c r="R524" i="6"/>
  <c r="R525" i="6"/>
  <c r="R526" i="6"/>
  <c r="R527" i="6"/>
  <c r="R528" i="6"/>
  <c r="R529" i="6"/>
  <c r="R530" i="6"/>
  <c r="R531" i="6"/>
  <c r="R532" i="6"/>
  <c r="R533" i="6"/>
  <c r="R534" i="6"/>
  <c r="R535" i="6"/>
  <c r="R536" i="6"/>
  <c r="R537" i="6"/>
  <c r="R538" i="6"/>
  <c r="R539" i="6"/>
  <c r="R540" i="6"/>
  <c r="R541" i="6"/>
  <c r="R542" i="6"/>
  <c r="R543" i="6"/>
  <c r="R544" i="6"/>
  <c r="R545" i="6"/>
  <c r="R546" i="6"/>
  <c r="R547" i="6"/>
  <c r="R548" i="6"/>
  <c r="R549" i="6"/>
  <c r="R550" i="6"/>
  <c r="R551" i="6"/>
  <c r="R552" i="6"/>
  <c r="R553" i="6"/>
  <c r="R554" i="6"/>
  <c r="R555" i="6"/>
  <c r="R556" i="6"/>
  <c r="R557" i="6"/>
  <c r="R558" i="6"/>
  <c r="R559" i="6"/>
  <c r="R560" i="6"/>
  <c r="R561" i="6"/>
  <c r="R562" i="6"/>
  <c r="R563" i="6"/>
  <c r="R564" i="6"/>
  <c r="R565" i="6"/>
  <c r="R566" i="6"/>
  <c r="R567" i="6"/>
  <c r="R568" i="6"/>
  <c r="R569" i="6"/>
  <c r="R570" i="6"/>
  <c r="R571" i="6"/>
  <c r="R572" i="6"/>
  <c r="R573" i="6"/>
  <c r="R574" i="6"/>
  <c r="R575" i="6"/>
  <c r="R576" i="6"/>
  <c r="R577" i="6"/>
  <c r="R578" i="6"/>
  <c r="R579" i="6"/>
  <c r="R580" i="6"/>
  <c r="R581" i="6"/>
  <c r="R582" i="6"/>
  <c r="R583" i="6"/>
  <c r="R584" i="6"/>
  <c r="R585" i="6"/>
  <c r="R586" i="6"/>
  <c r="R587" i="6"/>
  <c r="R588" i="6"/>
  <c r="R589" i="6"/>
  <c r="R590" i="6"/>
  <c r="R591" i="6"/>
  <c r="R592" i="6"/>
  <c r="R593" i="6"/>
  <c r="R594" i="6"/>
  <c r="R595" i="6"/>
  <c r="R596" i="6"/>
  <c r="R597" i="6"/>
  <c r="R598" i="6"/>
  <c r="R599" i="6"/>
  <c r="R600" i="6"/>
  <c r="R601" i="6"/>
  <c r="R602" i="6"/>
  <c r="R603" i="6"/>
  <c r="R604" i="6"/>
  <c r="R605" i="6"/>
  <c r="R606" i="6"/>
  <c r="R607" i="6"/>
  <c r="R608" i="6"/>
  <c r="R609" i="6"/>
  <c r="R610" i="6"/>
  <c r="R611" i="6"/>
  <c r="R612" i="6"/>
  <c r="R613" i="6"/>
  <c r="R614" i="6"/>
  <c r="R615" i="6"/>
  <c r="R616" i="6"/>
  <c r="R617" i="6"/>
  <c r="R618" i="6"/>
  <c r="R619" i="6"/>
  <c r="R620" i="6"/>
  <c r="R621" i="6"/>
  <c r="R622" i="6"/>
  <c r="R623" i="6"/>
  <c r="R624" i="6"/>
  <c r="R625" i="6"/>
  <c r="R626" i="6"/>
  <c r="R627" i="6"/>
  <c r="R628" i="6"/>
  <c r="R629" i="6"/>
  <c r="R630" i="6"/>
  <c r="R631" i="6"/>
  <c r="R632" i="6"/>
  <c r="R633" i="6"/>
  <c r="R634" i="6"/>
  <c r="R635" i="6"/>
  <c r="R636" i="6"/>
  <c r="R637" i="6"/>
  <c r="R638" i="6"/>
  <c r="R639" i="6"/>
  <c r="R640" i="6"/>
  <c r="R641" i="6"/>
  <c r="R642" i="6"/>
  <c r="R643" i="6"/>
  <c r="R644" i="6"/>
  <c r="R645" i="6"/>
  <c r="R646" i="6"/>
  <c r="R647" i="6"/>
  <c r="R648" i="6"/>
  <c r="R649" i="6"/>
  <c r="R650" i="6"/>
  <c r="R651" i="6"/>
  <c r="R652" i="6"/>
  <c r="R653" i="6"/>
  <c r="R654" i="6"/>
  <c r="R655" i="6"/>
  <c r="R656" i="6"/>
  <c r="R657" i="6"/>
  <c r="R658" i="6"/>
  <c r="R659" i="6"/>
  <c r="R660" i="6"/>
  <c r="R661" i="6"/>
  <c r="R662" i="6"/>
  <c r="R663" i="6"/>
  <c r="R664" i="6"/>
  <c r="R665" i="6"/>
  <c r="R666" i="6"/>
  <c r="R667" i="6"/>
  <c r="R668" i="6"/>
  <c r="R669" i="6"/>
  <c r="R670" i="6"/>
  <c r="R671" i="6"/>
  <c r="R672" i="6"/>
  <c r="R673" i="6"/>
  <c r="R674" i="6"/>
  <c r="R675" i="6"/>
  <c r="R676" i="6"/>
  <c r="R677" i="6"/>
  <c r="R678" i="6"/>
  <c r="R679" i="6"/>
  <c r="R680" i="6"/>
  <c r="R681" i="6"/>
  <c r="R682" i="6"/>
  <c r="R683" i="6"/>
  <c r="R684" i="6"/>
  <c r="R685" i="6"/>
  <c r="R686" i="6"/>
  <c r="R687" i="6"/>
  <c r="R688" i="6"/>
  <c r="R689" i="6"/>
  <c r="R690" i="6"/>
  <c r="R691" i="6"/>
  <c r="R692" i="6"/>
  <c r="R693" i="6"/>
  <c r="R694" i="6"/>
  <c r="R695" i="6"/>
  <c r="R696" i="6"/>
  <c r="R697" i="6"/>
  <c r="R698" i="6"/>
  <c r="R699" i="6"/>
  <c r="R700" i="6"/>
  <c r="R701" i="6"/>
  <c r="R702" i="6"/>
  <c r="R703" i="6"/>
  <c r="R704" i="6"/>
  <c r="R705" i="6"/>
  <c r="R706" i="6"/>
  <c r="R707" i="6"/>
  <c r="R708" i="6"/>
  <c r="R709" i="6"/>
  <c r="R710" i="6"/>
  <c r="R711" i="6"/>
  <c r="R712" i="6"/>
  <c r="R713" i="6"/>
  <c r="R714" i="6"/>
  <c r="R715" i="6"/>
  <c r="R716" i="6"/>
  <c r="R717" i="6"/>
  <c r="R718" i="6"/>
  <c r="R719" i="6"/>
  <c r="R720" i="6"/>
  <c r="R721" i="6"/>
  <c r="R722" i="6"/>
  <c r="R723" i="6"/>
  <c r="R724" i="6"/>
  <c r="R725" i="6"/>
  <c r="R726" i="6"/>
  <c r="R727" i="6"/>
  <c r="R728" i="6"/>
  <c r="R729" i="6"/>
  <c r="R730" i="6"/>
  <c r="R731" i="6"/>
  <c r="R732" i="6"/>
  <c r="R733" i="6"/>
  <c r="R734" i="6"/>
  <c r="R735" i="6"/>
  <c r="R736" i="6"/>
  <c r="R737" i="6"/>
  <c r="R738" i="6"/>
  <c r="R739" i="6"/>
  <c r="R740" i="6"/>
  <c r="R741" i="6"/>
  <c r="R742" i="6"/>
  <c r="R743" i="6"/>
  <c r="R744" i="6"/>
  <c r="R745" i="6"/>
  <c r="R746" i="6"/>
  <c r="R747" i="6"/>
  <c r="R748" i="6"/>
  <c r="R749" i="6"/>
  <c r="R750" i="6"/>
  <c r="R751" i="6"/>
  <c r="R752" i="6"/>
  <c r="R753" i="6"/>
  <c r="R754" i="6"/>
  <c r="R755" i="6"/>
  <c r="R756" i="6"/>
  <c r="R757" i="6"/>
  <c r="R758" i="6"/>
  <c r="R759" i="6"/>
  <c r="R760" i="6"/>
  <c r="R761" i="6"/>
  <c r="R762" i="6"/>
  <c r="R763" i="6"/>
  <c r="R764" i="6"/>
  <c r="R765" i="6"/>
  <c r="R766" i="6"/>
  <c r="R767" i="6"/>
  <c r="R768" i="6"/>
  <c r="R769" i="6"/>
  <c r="R770" i="6"/>
  <c r="R771" i="6"/>
  <c r="R772" i="6"/>
  <c r="R773" i="6"/>
  <c r="R774" i="6"/>
  <c r="R775" i="6"/>
  <c r="R776" i="6"/>
  <c r="R777" i="6"/>
  <c r="R778" i="6"/>
  <c r="R779" i="6"/>
  <c r="R780" i="6"/>
  <c r="R781" i="6"/>
  <c r="R782" i="6"/>
  <c r="R783" i="6"/>
  <c r="R784" i="6"/>
  <c r="R785" i="6"/>
  <c r="R786" i="6"/>
  <c r="R787" i="6"/>
  <c r="R788" i="6"/>
  <c r="R789" i="6"/>
  <c r="R790" i="6"/>
  <c r="R791" i="6"/>
  <c r="R792" i="6"/>
  <c r="R793" i="6"/>
  <c r="R794" i="6"/>
  <c r="R795" i="6"/>
  <c r="R796" i="6"/>
  <c r="R797" i="6"/>
  <c r="R798" i="6"/>
  <c r="R799" i="6"/>
  <c r="R800" i="6"/>
  <c r="R801" i="6"/>
  <c r="R802" i="6"/>
  <c r="R803" i="6"/>
  <c r="R804" i="6"/>
  <c r="R805" i="6"/>
  <c r="R806" i="6"/>
  <c r="R807" i="6"/>
  <c r="R808" i="6"/>
  <c r="R809" i="6"/>
  <c r="R810" i="6"/>
  <c r="R811" i="6"/>
  <c r="R812" i="6"/>
  <c r="R813" i="6"/>
  <c r="R814" i="6"/>
  <c r="R815" i="6"/>
  <c r="R816" i="6"/>
  <c r="R817" i="6"/>
  <c r="R818" i="6"/>
  <c r="R819" i="6"/>
  <c r="R820" i="6"/>
  <c r="R821" i="6"/>
  <c r="R822" i="6"/>
  <c r="R823" i="6"/>
  <c r="R824" i="6"/>
  <c r="R825" i="6"/>
  <c r="R826" i="6"/>
  <c r="R827" i="6"/>
  <c r="R828" i="6"/>
  <c r="R829" i="6"/>
  <c r="R830" i="6"/>
  <c r="R831" i="6"/>
  <c r="R832" i="6"/>
  <c r="R833" i="6"/>
  <c r="R834" i="6"/>
  <c r="R835" i="6"/>
  <c r="R836" i="6"/>
  <c r="R837" i="6"/>
  <c r="R838" i="6"/>
  <c r="R839" i="6"/>
  <c r="R840" i="6"/>
  <c r="R841" i="6"/>
  <c r="R842" i="6"/>
  <c r="R843" i="6"/>
  <c r="R844" i="6"/>
  <c r="R845" i="6"/>
  <c r="R846" i="6"/>
  <c r="R847" i="6"/>
  <c r="R848" i="6"/>
  <c r="R849" i="6"/>
  <c r="R850" i="6"/>
  <c r="R851" i="6"/>
  <c r="R852" i="6"/>
  <c r="R853" i="6"/>
  <c r="R854" i="6"/>
  <c r="R855" i="6"/>
  <c r="R856" i="6"/>
  <c r="R857" i="6"/>
  <c r="R858" i="6"/>
  <c r="R859" i="6"/>
  <c r="R860" i="6"/>
  <c r="R861" i="6"/>
  <c r="R862" i="6"/>
  <c r="R863" i="6"/>
  <c r="R864" i="6"/>
  <c r="R865" i="6"/>
  <c r="R866" i="6"/>
  <c r="R867" i="6"/>
  <c r="R868" i="6"/>
  <c r="R869" i="6"/>
  <c r="R870" i="6"/>
  <c r="R871" i="6"/>
  <c r="R872" i="6"/>
  <c r="R873" i="6"/>
  <c r="R874" i="6"/>
  <c r="R875" i="6"/>
  <c r="R876" i="6"/>
  <c r="R877" i="6"/>
  <c r="R878" i="6"/>
  <c r="R879" i="6"/>
  <c r="R880" i="6"/>
  <c r="R881" i="6"/>
  <c r="R882" i="6"/>
  <c r="R883" i="6"/>
  <c r="R884" i="6"/>
  <c r="R885" i="6"/>
  <c r="R886" i="6"/>
  <c r="R887" i="6"/>
  <c r="R888" i="6"/>
  <c r="R889" i="6"/>
  <c r="R890" i="6"/>
  <c r="R891" i="6"/>
  <c r="R892" i="6"/>
  <c r="R893" i="6"/>
  <c r="R894" i="6"/>
  <c r="R895" i="6"/>
  <c r="R896" i="6"/>
  <c r="R897" i="6"/>
  <c r="R898" i="6"/>
  <c r="R899" i="6"/>
  <c r="R900" i="6"/>
  <c r="R901" i="6"/>
  <c r="R902" i="6"/>
  <c r="R903" i="6"/>
  <c r="R904" i="6"/>
  <c r="R905" i="6"/>
  <c r="R906" i="6"/>
  <c r="R907" i="6"/>
  <c r="R908" i="6"/>
  <c r="R909" i="6"/>
  <c r="R910" i="6"/>
  <c r="R911" i="6"/>
  <c r="R912" i="6"/>
  <c r="R913" i="6"/>
  <c r="R914" i="6"/>
  <c r="R915" i="6"/>
  <c r="R916" i="6"/>
  <c r="R917" i="6"/>
  <c r="R918" i="6"/>
  <c r="R919" i="6"/>
  <c r="R920" i="6"/>
  <c r="R921" i="6"/>
  <c r="R922" i="6"/>
  <c r="R923" i="6"/>
  <c r="R924" i="6"/>
  <c r="R925" i="6"/>
  <c r="R926" i="6"/>
  <c r="R927" i="6"/>
  <c r="R928" i="6"/>
  <c r="R929" i="6"/>
  <c r="R930" i="6"/>
  <c r="R931" i="6"/>
  <c r="R932" i="6"/>
  <c r="R933" i="6"/>
  <c r="R934" i="6"/>
  <c r="R935" i="6"/>
  <c r="R936" i="6"/>
  <c r="R937" i="6"/>
  <c r="R938" i="6"/>
  <c r="R939" i="6"/>
  <c r="R940" i="6"/>
  <c r="R941" i="6"/>
  <c r="R942" i="6"/>
  <c r="R943" i="6"/>
  <c r="R944" i="6"/>
  <c r="R945" i="6"/>
  <c r="R946" i="6"/>
  <c r="R947" i="6"/>
  <c r="R948" i="6"/>
  <c r="R949" i="6"/>
  <c r="R950" i="6"/>
  <c r="R951" i="6"/>
  <c r="R952" i="6"/>
  <c r="R953" i="6"/>
  <c r="R954" i="6"/>
  <c r="R955" i="6"/>
  <c r="R956" i="6"/>
  <c r="R957" i="6"/>
  <c r="R958" i="6"/>
  <c r="R959" i="6"/>
  <c r="R960" i="6"/>
  <c r="R961" i="6"/>
  <c r="R962" i="6"/>
  <c r="R963" i="6"/>
  <c r="R964" i="6"/>
  <c r="R965" i="6"/>
  <c r="R966" i="6"/>
  <c r="R967" i="6"/>
  <c r="R968" i="6"/>
  <c r="R969" i="6"/>
  <c r="R970" i="6"/>
  <c r="R971" i="6"/>
  <c r="R972" i="6"/>
  <c r="R973" i="6"/>
  <c r="R974" i="6"/>
  <c r="R975" i="6"/>
  <c r="R976" i="6"/>
  <c r="R977" i="6"/>
  <c r="R978" i="6"/>
  <c r="R979" i="6"/>
  <c r="R980" i="6"/>
  <c r="R981" i="6"/>
  <c r="R982" i="6"/>
  <c r="R983" i="6"/>
  <c r="R984" i="6"/>
  <c r="R985" i="6"/>
  <c r="R986" i="6"/>
  <c r="R987" i="6"/>
  <c r="R988" i="6"/>
  <c r="R989" i="6"/>
  <c r="R990" i="6"/>
  <c r="R991" i="6"/>
  <c r="R992" i="6"/>
  <c r="R993" i="6"/>
  <c r="R994" i="6"/>
  <c r="R995" i="6"/>
  <c r="R996" i="6"/>
  <c r="R997" i="6"/>
  <c r="R998" i="6"/>
  <c r="R999" i="6"/>
  <c r="R1000" i="6"/>
  <c r="R1001" i="6"/>
  <c r="L1004" i="6"/>
  <c r="L1003" i="6"/>
  <c r="L1002" i="6"/>
  <c r="J1006" i="6"/>
  <c r="J1005" i="6"/>
  <c r="J1004" i="6"/>
  <c r="J1003" i="6"/>
  <c r="D1003" i="6"/>
  <c r="J1002" i="6"/>
  <c r="D1002" i="6"/>
  <c r="Q1001" i="6" a="1"/>
  <c r="Q1001" i="6" s="1"/>
  <c r="P1001" i="6"/>
  <c r="N1001" i="6" a="1"/>
  <c r="N1001" i="6" s="1"/>
  <c r="O1001" i="6" s="1"/>
  <c r="M1001" i="6" a="1"/>
  <c r="M1001" i="6" s="1"/>
  <c r="L1001" i="6"/>
  <c r="K1001" i="6" a="1"/>
  <c r="K1001" i="6" s="1"/>
  <c r="F1001" i="6"/>
  <c r="Q1000" i="6" a="1"/>
  <c r="Q1000" i="6" s="1"/>
  <c r="P1000" i="6"/>
  <c r="N1000" i="6" a="1"/>
  <c r="N1000" i="6" s="1"/>
  <c r="O1000" i="6" s="1"/>
  <c r="M1000" i="6" a="1"/>
  <c r="M1000" i="6" s="1"/>
  <c r="L1000" i="6"/>
  <c r="K1000" i="6" a="1"/>
  <c r="K1000" i="6" s="1"/>
  <c r="F1000" i="6"/>
  <c r="Q999" i="6" a="1"/>
  <c r="Q999" i="6" s="1"/>
  <c r="P999" i="6"/>
  <c r="N999" i="6" a="1"/>
  <c r="N999" i="6" s="1"/>
  <c r="O999" i="6" s="1"/>
  <c r="M999" i="6" a="1"/>
  <c r="M999" i="6" s="1"/>
  <c r="L999" i="6"/>
  <c r="K999" i="6" a="1"/>
  <c r="K999" i="6" s="1"/>
  <c r="F999" i="6"/>
  <c r="Q998" i="6" a="1"/>
  <c r="Q998" i="6" s="1"/>
  <c r="P998" i="6"/>
  <c r="N998" i="6" a="1"/>
  <c r="N998" i="6" s="1"/>
  <c r="O998" i="6" s="1"/>
  <c r="M998" i="6" a="1"/>
  <c r="M998" i="6" s="1"/>
  <c r="L998" i="6"/>
  <c r="K998" i="6" a="1"/>
  <c r="K998" i="6" s="1"/>
  <c r="F998" i="6"/>
  <c r="Q997" i="6" a="1"/>
  <c r="Q997" i="6" s="1"/>
  <c r="P997" i="6"/>
  <c r="N997" i="6" a="1"/>
  <c r="N997" i="6" s="1"/>
  <c r="O997" i="6" s="1"/>
  <c r="M997" i="6" a="1"/>
  <c r="M997" i="6" s="1"/>
  <c r="L997" i="6"/>
  <c r="K997" i="6" a="1"/>
  <c r="K997" i="6" s="1"/>
  <c r="F997" i="6"/>
  <c r="Q996" i="6" a="1"/>
  <c r="Q996" i="6" s="1"/>
  <c r="P996" i="6"/>
  <c r="N996" i="6" a="1"/>
  <c r="N996" i="6" s="1"/>
  <c r="O996" i="6" s="1"/>
  <c r="M996" i="6" a="1"/>
  <c r="M996" i="6" s="1"/>
  <c r="L996" i="6"/>
  <c r="K996" i="6" a="1"/>
  <c r="K996" i="6" s="1"/>
  <c r="F996" i="6"/>
  <c r="Q995" i="6" a="1"/>
  <c r="Q995" i="6" s="1"/>
  <c r="P995" i="6"/>
  <c r="N995" i="6" a="1"/>
  <c r="N995" i="6" s="1"/>
  <c r="O995" i="6" s="1"/>
  <c r="M995" i="6" a="1"/>
  <c r="M995" i="6" s="1"/>
  <c r="L995" i="6"/>
  <c r="K995" i="6" a="1"/>
  <c r="K995" i="6" s="1"/>
  <c r="F995" i="6"/>
  <c r="Q994" i="6" a="1"/>
  <c r="Q994" i="6" s="1"/>
  <c r="P994" i="6"/>
  <c r="N994" i="6" a="1"/>
  <c r="N994" i="6" s="1"/>
  <c r="O994" i="6" s="1"/>
  <c r="M994" i="6" a="1"/>
  <c r="M994" i="6" s="1"/>
  <c r="L994" i="6"/>
  <c r="K994" i="6" a="1"/>
  <c r="K994" i="6" s="1"/>
  <c r="F994" i="6"/>
  <c r="Q993" i="6" a="1"/>
  <c r="Q993" i="6" s="1"/>
  <c r="P993" i="6"/>
  <c r="N993" i="6" a="1"/>
  <c r="N993" i="6" s="1"/>
  <c r="O993" i="6" s="1"/>
  <c r="M993" i="6" a="1"/>
  <c r="M993" i="6" s="1"/>
  <c r="L993" i="6"/>
  <c r="K993" i="6" a="1"/>
  <c r="K993" i="6" s="1"/>
  <c r="F993" i="6"/>
  <c r="Q992" i="6" a="1"/>
  <c r="Q992" i="6" s="1"/>
  <c r="P992" i="6"/>
  <c r="N992" i="6" a="1"/>
  <c r="N992" i="6" s="1"/>
  <c r="O992" i="6" s="1"/>
  <c r="M992" i="6" a="1"/>
  <c r="M992" i="6" s="1"/>
  <c r="L992" i="6"/>
  <c r="K992" i="6" a="1"/>
  <c r="K992" i="6" s="1"/>
  <c r="F992" i="6"/>
  <c r="Q991" i="6" a="1"/>
  <c r="Q991" i="6" s="1"/>
  <c r="P991" i="6"/>
  <c r="N991" i="6" a="1"/>
  <c r="N991" i="6" s="1"/>
  <c r="O991" i="6" s="1"/>
  <c r="M991" i="6" a="1"/>
  <c r="M991" i="6" s="1"/>
  <c r="L991" i="6"/>
  <c r="K991" i="6" a="1"/>
  <c r="K991" i="6" s="1"/>
  <c r="F991" i="6"/>
  <c r="Q990" i="6" a="1"/>
  <c r="Q990" i="6" s="1"/>
  <c r="P990" i="6"/>
  <c r="N990" i="6" a="1"/>
  <c r="N990" i="6" s="1"/>
  <c r="O990" i="6" s="1"/>
  <c r="M990" i="6" a="1"/>
  <c r="M990" i="6" s="1"/>
  <c r="L990" i="6"/>
  <c r="K990" i="6" a="1"/>
  <c r="K990" i="6" s="1"/>
  <c r="F990" i="6"/>
  <c r="Q989" i="6" a="1"/>
  <c r="Q989" i="6" s="1"/>
  <c r="P989" i="6"/>
  <c r="N989" i="6" a="1"/>
  <c r="N989" i="6" s="1"/>
  <c r="O989" i="6" s="1"/>
  <c r="M989" i="6" a="1"/>
  <c r="M989" i="6" s="1"/>
  <c r="L989" i="6"/>
  <c r="K989" i="6" a="1"/>
  <c r="K989" i="6" s="1"/>
  <c r="F989" i="6"/>
  <c r="Q988" i="6" a="1"/>
  <c r="Q988" i="6" s="1"/>
  <c r="P988" i="6"/>
  <c r="N988" i="6" a="1"/>
  <c r="N988" i="6" s="1"/>
  <c r="O988" i="6" s="1"/>
  <c r="M988" i="6" a="1"/>
  <c r="M988" i="6" s="1"/>
  <c r="L988" i="6"/>
  <c r="K988" i="6" a="1"/>
  <c r="K988" i="6" s="1"/>
  <c r="F988" i="6"/>
  <c r="Q987" i="6" a="1"/>
  <c r="Q987" i="6" s="1"/>
  <c r="P987" i="6"/>
  <c r="N987" i="6" a="1"/>
  <c r="N987" i="6" s="1"/>
  <c r="O987" i="6" s="1"/>
  <c r="M987" i="6" a="1"/>
  <c r="M987" i="6" s="1"/>
  <c r="L987" i="6"/>
  <c r="K987" i="6" a="1"/>
  <c r="K987" i="6" s="1"/>
  <c r="F987" i="6"/>
  <c r="Q986" i="6" a="1"/>
  <c r="Q986" i="6" s="1"/>
  <c r="P986" i="6"/>
  <c r="N986" i="6" a="1"/>
  <c r="N986" i="6" s="1"/>
  <c r="O986" i="6" s="1"/>
  <c r="M986" i="6" a="1"/>
  <c r="M986" i="6" s="1"/>
  <c r="L986" i="6"/>
  <c r="K986" i="6" a="1"/>
  <c r="K986" i="6" s="1"/>
  <c r="F986" i="6"/>
  <c r="Q985" i="6" a="1"/>
  <c r="Q985" i="6" s="1"/>
  <c r="P985" i="6"/>
  <c r="N985" i="6" a="1"/>
  <c r="N985" i="6" s="1"/>
  <c r="O985" i="6" s="1"/>
  <c r="M985" i="6" a="1"/>
  <c r="M985" i="6" s="1"/>
  <c r="L985" i="6"/>
  <c r="K985" i="6" a="1"/>
  <c r="K985" i="6" s="1"/>
  <c r="F985" i="6"/>
  <c r="Q984" i="6" a="1"/>
  <c r="Q984" i="6" s="1"/>
  <c r="P984" i="6"/>
  <c r="N984" i="6" a="1"/>
  <c r="N984" i="6" s="1"/>
  <c r="O984" i="6" s="1"/>
  <c r="M984" i="6" a="1"/>
  <c r="M984" i="6" s="1"/>
  <c r="L984" i="6"/>
  <c r="K984" i="6" a="1"/>
  <c r="K984" i="6" s="1"/>
  <c r="F984" i="6"/>
  <c r="Q983" i="6" a="1"/>
  <c r="Q983" i="6" s="1"/>
  <c r="P983" i="6"/>
  <c r="N983" i="6" a="1"/>
  <c r="N983" i="6" s="1"/>
  <c r="O983" i="6" s="1"/>
  <c r="M983" i="6" a="1"/>
  <c r="M983" i="6" s="1"/>
  <c r="L983" i="6"/>
  <c r="K983" i="6" a="1"/>
  <c r="K983" i="6" s="1"/>
  <c r="F983" i="6"/>
  <c r="Q982" i="6" a="1"/>
  <c r="Q982" i="6" s="1"/>
  <c r="P982" i="6"/>
  <c r="N982" i="6" a="1"/>
  <c r="N982" i="6" s="1"/>
  <c r="O982" i="6" s="1"/>
  <c r="M982" i="6" a="1"/>
  <c r="M982" i="6" s="1"/>
  <c r="L982" i="6"/>
  <c r="K982" i="6" a="1"/>
  <c r="K982" i="6" s="1"/>
  <c r="F982" i="6"/>
  <c r="Q981" i="6" a="1"/>
  <c r="Q981" i="6" s="1"/>
  <c r="P981" i="6"/>
  <c r="N981" i="6" a="1"/>
  <c r="N981" i="6" s="1"/>
  <c r="O981" i="6" s="1"/>
  <c r="M981" i="6" a="1"/>
  <c r="M981" i="6" s="1"/>
  <c r="L981" i="6"/>
  <c r="K981" i="6" a="1"/>
  <c r="K981" i="6" s="1"/>
  <c r="F981" i="6"/>
  <c r="Q980" i="6" a="1"/>
  <c r="Q980" i="6" s="1"/>
  <c r="P980" i="6"/>
  <c r="N980" i="6" a="1"/>
  <c r="N980" i="6" s="1"/>
  <c r="O980" i="6" s="1"/>
  <c r="M980" i="6" a="1"/>
  <c r="M980" i="6" s="1"/>
  <c r="L980" i="6"/>
  <c r="K980" i="6" a="1"/>
  <c r="K980" i="6" s="1"/>
  <c r="F980" i="6"/>
  <c r="Q979" i="6" a="1"/>
  <c r="Q979" i="6" s="1"/>
  <c r="P979" i="6"/>
  <c r="N979" i="6" a="1"/>
  <c r="N979" i="6" s="1"/>
  <c r="O979" i="6" s="1"/>
  <c r="M979" i="6" a="1"/>
  <c r="M979" i="6" s="1"/>
  <c r="L979" i="6"/>
  <c r="K979" i="6" a="1"/>
  <c r="K979" i="6" s="1"/>
  <c r="F979" i="6"/>
  <c r="Q978" i="6" a="1"/>
  <c r="Q978" i="6" s="1"/>
  <c r="P978" i="6"/>
  <c r="N978" i="6" a="1"/>
  <c r="N978" i="6" s="1"/>
  <c r="O978" i="6" s="1"/>
  <c r="M978" i="6" a="1"/>
  <c r="M978" i="6" s="1"/>
  <c r="L978" i="6"/>
  <c r="K978" i="6" a="1"/>
  <c r="K978" i="6" s="1"/>
  <c r="F978" i="6"/>
  <c r="Q977" i="6" a="1"/>
  <c r="Q977" i="6" s="1"/>
  <c r="P977" i="6"/>
  <c r="N977" i="6" a="1"/>
  <c r="N977" i="6" s="1"/>
  <c r="O977" i="6" s="1"/>
  <c r="M977" i="6" a="1"/>
  <c r="M977" i="6" s="1"/>
  <c r="L977" i="6"/>
  <c r="K977" i="6" a="1"/>
  <c r="K977" i="6" s="1"/>
  <c r="F977" i="6"/>
  <c r="Q976" i="6" a="1"/>
  <c r="Q976" i="6" s="1"/>
  <c r="P976" i="6"/>
  <c r="N976" i="6" a="1"/>
  <c r="N976" i="6" s="1"/>
  <c r="O976" i="6" s="1"/>
  <c r="M976" i="6" a="1"/>
  <c r="M976" i="6" s="1"/>
  <c r="L976" i="6"/>
  <c r="K976" i="6" a="1"/>
  <c r="K976" i="6" s="1"/>
  <c r="F976" i="6"/>
  <c r="Q975" i="6" a="1"/>
  <c r="Q975" i="6" s="1"/>
  <c r="P975" i="6"/>
  <c r="N975" i="6" a="1"/>
  <c r="N975" i="6" s="1"/>
  <c r="O975" i="6" s="1"/>
  <c r="M975" i="6" a="1"/>
  <c r="M975" i="6" s="1"/>
  <c r="L975" i="6"/>
  <c r="K975" i="6" a="1"/>
  <c r="K975" i="6" s="1"/>
  <c r="F975" i="6"/>
  <c r="Q974" i="6" a="1"/>
  <c r="Q974" i="6" s="1"/>
  <c r="P974" i="6"/>
  <c r="N974" i="6" a="1"/>
  <c r="N974" i="6" s="1"/>
  <c r="O974" i="6" s="1"/>
  <c r="M974" i="6" a="1"/>
  <c r="M974" i="6" s="1"/>
  <c r="L974" i="6"/>
  <c r="K974" i="6" a="1"/>
  <c r="K974" i="6" s="1"/>
  <c r="F974" i="6"/>
  <c r="Q973" i="6" a="1"/>
  <c r="Q973" i="6" s="1"/>
  <c r="P973" i="6"/>
  <c r="N973" i="6" a="1"/>
  <c r="N973" i="6" s="1"/>
  <c r="O973" i="6" s="1"/>
  <c r="M973" i="6" a="1"/>
  <c r="M973" i="6" s="1"/>
  <c r="L973" i="6"/>
  <c r="K973" i="6" a="1"/>
  <c r="K973" i="6" s="1"/>
  <c r="F973" i="6"/>
  <c r="Q972" i="6" a="1"/>
  <c r="Q972" i="6" s="1"/>
  <c r="P972" i="6"/>
  <c r="N972" i="6" a="1"/>
  <c r="N972" i="6" s="1"/>
  <c r="O972" i="6" s="1"/>
  <c r="M972" i="6" a="1"/>
  <c r="M972" i="6" s="1"/>
  <c r="L972" i="6"/>
  <c r="K972" i="6" a="1"/>
  <c r="K972" i="6" s="1"/>
  <c r="F972" i="6"/>
  <c r="Q971" i="6" a="1"/>
  <c r="Q971" i="6" s="1"/>
  <c r="P971" i="6"/>
  <c r="N971" i="6" a="1"/>
  <c r="N971" i="6" s="1"/>
  <c r="O971" i="6" s="1"/>
  <c r="M971" i="6" a="1"/>
  <c r="M971" i="6" s="1"/>
  <c r="L971" i="6"/>
  <c r="K971" i="6" a="1"/>
  <c r="K971" i="6" s="1"/>
  <c r="F971" i="6"/>
  <c r="Q970" i="6" a="1"/>
  <c r="Q970" i="6" s="1"/>
  <c r="P970" i="6"/>
  <c r="N970" i="6" a="1"/>
  <c r="N970" i="6" s="1"/>
  <c r="O970" i="6" s="1"/>
  <c r="M970" i="6" a="1"/>
  <c r="M970" i="6" s="1"/>
  <c r="L970" i="6"/>
  <c r="K970" i="6" a="1"/>
  <c r="K970" i="6" s="1"/>
  <c r="F970" i="6"/>
  <c r="Q969" i="6" a="1"/>
  <c r="Q969" i="6" s="1"/>
  <c r="P969" i="6"/>
  <c r="N969" i="6" a="1"/>
  <c r="N969" i="6" s="1"/>
  <c r="O969" i="6" s="1"/>
  <c r="M969" i="6" a="1"/>
  <c r="M969" i="6" s="1"/>
  <c r="L969" i="6"/>
  <c r="K969" i="6" a="1"/>
  <c r="K969" i="6" s="1"/>
  <c r="F969" i="6"/>
  <c r="Q968" i="6" a="1"/>
  <c r="Q968" i="6" s="1"/>
  <c r="P968" i="6"/>
  <c r="N968" i="6" a="1"/>
  <c r="N968" i="6" s="1"/>
  <c r="O968" i="6" s="1"/>
  <c r="M968" i="6" a="1"/>
  <c r="M968" i="6" s="1"/>
  <c r="L968" i="6"/>
  <c r="K968" i="6" a="1"/>
  <c r="K968" i="6" s="1"/>
  <c r="F968" i="6"/>
  <c r="Q967" i="6" a="1"/>
  <c r="Q967" i="6" s="1"/>
  <c r="P967" i="6"/>
  <c r="N967" i="6" a="1"/>
  <c r="N967" i="6" s="1"/>
  <c r="O967" i="6" s="1"/>
  <c r="M967" i="6" a="1"/>
  <c r="M967" i="6" s="1"/>
  <c r="L967" i="6"/>
  <c r="K967" i="6" a="1"/>
  <c r="K967" i="6" s="1"/>
  <c r="F967" i="6"/>
  <c r="Q966" i="6" a="1"/>
  <c r="Q966" i="6" s="1"/>
  <c r="P966" i="6"/>
  <c r="N966" i="6" a="1"/>
  <c r="N966" i="6" s="1"/>
  <c r="O966" i="6" s="1"/>
  <c r="M966" i="6" a="1"/>
  <c r="M966" i="6" s="1"/>
  <c r="L966" i="6"/>
  <c r="K966" i="6" a="1"/>
  <c r="K966" i="6" s="1"/>
  <c r="F966" i="6"/>
  <c r="Q965" i="6" a="1"/>
  <c r="Q965" i="6" s="1"/>
  <c r="P965" i="6"/>
  <c r="N965" i="6" a="1"/>
  <c r="N965" i="6" s="1"/>
  <c r="O965" i="6" s="1"/>
  <c r="M965" i="6" a="1"/>
  <c r="M965" i="6" s="1"/>
  <c r="L965" i="6"/>
  <c r="K965" i="6" a="1"/>
  <c r="K965" i="6" s="1"/>
  <c r="F965" i="6"/>
  <c r="Q964" i="6" a="1"/>
  <c r="Q964" i="6" s="1"/>
  <c r="P964" i="6"/>
  <c r="N964" i="6" a="1"/>
  <c r="N964" i="6" s="1"/>
  <c r="O964" i="6" s="1"/>
  <c r="M964" i="6" a="1"/>
  <c r="M964" i="6" s="1"/>
  <c r="L964" i="6"/>
  <c r="K964" i="6" a="1"/>
  <c r="K964" i="6" s="1"/>
  <c r="F964" i="6"/>
  <c r="Q963" i="6" a="1"/>
  <c r="Q963" i="6" s="1"/>
  <c r="P963" i="6"/>
  <c r="N963" i="6" a="1"/>
  <c r="N963" i="6" s="1"/>
  <c r="O963" i="6" s="1"/>
  <c r="M963" i="6" a="1"/>
  <c r="M963" i="6" s="1"/>
  <c r="L963" i="6"/>
  <c r="K963" i="6" a="1"/>
  <c r="K963" i="6" s="1"/>
  <c r="F963" i="6"/>
  <c r="Q962" i="6" a="1"/>
  <c r="Q962" i="6" s="1"/>
  <c r="P962" i="6"/>
  <c r="N962" i="6" a="1"/>
  <c r="N962" i="6" s="1"/>
  <c r="O962" i="6" s="1"/>
  <c r="M962" i="6" a="1"/>
  <c r="M962" i="6" s="1"/>
  <c r="L962" i="6"/>
  <c r="K962" i="6" a="1"/>
  <c r="K962" i="6" s="1"/>
  <c r="F962" i="6"/>
  <c r="Q961" i="6" a="1"/>
  <c r="Q961" i="6" s="1"/>
  <c r="P961" i="6"/>
  <c r="N961" i="6" a="1"/>
  <c r="N961" i="6" s="1"/>
  <c r="O961" i="6" s="1"/>
  <c r="M961" i="6" a="1"/>
  <c r="M961" i="6" s="1"/>
  <c r="L961" i="6"/>
  <c r="K961" i="6" a="1"/>
  <c r="K961" i="6" s="1"/>
  <c r="F961" i="6"/>
  <c r="Q960" i="6" a="1"/>
  <c r="Q960" i="6" s="1"/>
  <c r="P960" i="6"/>
  <c r="N960" i="6" a="1"/>
  <c r="N960" i="6" s="1"/>
  <c r="O960" i="6" s="1"/>
  <c r="M960" i="6" a="1"/>
  <c r="M960" i="6" s="1"/>
  <c r="L960" i="6"/>
  <c r="K960" i="6" a="1"/>
  <c r="K960" i="6" s="1"/>
  <c r="F960" i="6"/>
  <c r="Q959" i="6" a="1"/>
  <c r="Q959" i="6" s="1"/>
  <c r="P959" i="6"/>
  <c r="N959" i="6" a="1"/>
  <c r="N959" i="6" s="1"/>
  <c r="O959" i="6" s="1"/>
  <c r="M959" i="6" a="1"/>
  <c r="M959" i="6" s="1"/>
  <c r="L959" i="6"/>
  <c r="K959" i="6" a="1"/>
  <c r="K959" i="6" s="1"/>
  <c r="F959" i="6"/>
  <c r="Q958" i="6" a="1"/>
  <c r="Q958" i="6" s="1"/>
  <c r="P958" i="6"/>
  <c r="N958" i="6" a="1"/>
  <c r="N958" i="6" s="1"/>
  <c r="O958" i="6" s="1"/>
  <c r="M958" i="6" a="1"/>
  <c r="M958" i="6" s="1"/>
  <c r="L958" i="6"/>
  <c r="K958" i="6" a="1"/>
  <c r="K958" i="6" s="1"/>
  <c r="F958" i="6"/>
  <c r="Q957" i="6" a="1"/>
  <c r="Q957" i="6" s="1"/>
  <c r="P957" i="6"/>
  <c r="N957" i="6" a="1"/>
  <c r="N957" i="6" s="1"/>
  <c r="O957" i="6" s="1"/>
  <c r="M957" i="6" a="1"/>
  <c r="M957" i="6" s="1"/>
  <c r="L957" i="6"/>
  <c r="K957" i="6" a="1"/>
  <c r="K957" i="6" s="1"/>
  <c r="F957" i="6"/>
  <c r="Q956" i="6" a="1"/>
  <c r="Q956" i="6" s="1"/>
  <c r="P956" i="6"/>
  <c r="N956" i="6" a="1"/>
  <c r="N956" i="6" s="1"/>
  <c r="O956" i="6" s="1"/>
  <c r="M956" i="6" a="1"/>
  <c r="M956" i="6" s="1"/>
  <c r="L956" i="6"/>
  <c r="K956" i="6" a="1"/>
  <c r="K956" i="6" s="1"/>
  <c r="F956" i="6"/>
  <c r="Q955" i="6" a="1"/>
  <c r="Q955" i="6" s="1"/>
  <c r="P955" i="6"/>
  <c r="N955" i="6" a="1"/>
  <c r="N955" i="6" s="1"/>
  <c r="O955" i="6" s="1"/>
  <c r="M955" i="6" a="1"/>
  <c r="M955" i="6" s="1"/>
  <c r="L955" i="6"/>
  <c r="K955" i="6" a="1"/>
  <c r="K955" i="6" s="1"/>
  <c r="F955" i="6"/>
  <c r="Q954" i="6" a="1"/>
  <c r="Q954" i="6" s="1"/>
  <c r="P954" i="6"/>
  <c r="N954" i="6" a="1"/>
  <c r="N954" i="6" s="1"/>
  <c r="O954" i="6" s="1"/>
  <c r="M954" i="6" a="1"/>
  <c r="M954" i="6" s="1"/>
  <c r="L954" i="6"/>
  <c r="K954" i="6" a="1"/>
  <c r="K954" i="6" s="1"/>
  <c r="F954" i="6"/>
  <c r="Q953" i="6" a="1"/>
  <c r="Q953" i="6" s="1"/>
  <c r="P953" i="6"/>
  <c r="N953" i="6" a="1"/>
  <c r="N953" i="6" s="1"/>
  <c r="O953" i="6" s="1"/>
  <c r="M953" i="6" a="1"/>
  <c r="M953" i="6" s="1"/>
  <c r="L953" i="6"/>
  <c r="K953" i="6" a="1"/>
  <c r="K953" i="6" s="1"/>
  <c r="F953" i="6"/>
  <c r="Q952" i="6" a="1"/>
  <c r="Q952" i="6" s="1"/>
  <c r="P952" i="6"/>
  <c r="N952" i="6" a="1"/>
  <c r="N952" i="6" s="1"/>
  <c r="O952" i="6" s="1"/>
  <c r="M952" i="6" a="1"/>
  <c r="M952" i="6" s="1"/>
  <c r="L952" i="6"/>
  <c r="K952" i="6" a="1"/>
  <c r="K952" i="6" s="1"/>
  <c r="F952" i="6"/>
  <c r="Q951" i="6" a="1"/>
  <c r="Q951" i="6" s="1"/>
  <c r="P951" i="6"/>
  <c r="N951" i="6" a="1"/>
  <c r="N951" i="6" s="1"/>
  <c r="O951" i="6" s="1"/>
  <c r="M951" i="6" a="1"/>
  <c r="M951" i="6" s="1"/>
  <c r="L951" i="6"/>
  <c r="K951" i="6" a="1"/>
  <c r="K951" i="6" s="1"/>
  <c r="F951" i="6"/>
  <c r="Q950" i="6" a="1"/>
  <c r="Q950" i="6" s="1"/>
  <c r="P950" i="6"/>
  <c r="N950" i="6" a="1"/>
  <c r="N950" i="6" s="1"/>
  <c r="O950" i="6" s="1"/>
  <c r="M950" i="6" a="1"/>
  <c r="M950" i="6" s="1"/>
  <c r="L950" i="6"/>
  <c r="K950" i="6" a="1"/>
  <c r="K950" i="6" s="1"/>
  <c r="F950" i="6"/>
  <c r="Q949" i="6" a="1"/>
  <c r="Q949" i="6" s="1"/>
  <c r="P949" i="6"/>
  <c r="N949" i="6" a="1"/>
  <c r="N949" i="6" s="1"/>
  <c r="O949" i="6" s="1"/>
  <c r="M949" i="6" a="1"/>
  <c r="M949" i="6" s="1"/>
  <c r="L949" i="6"/>
  <c r="K949" i="6" a="1"/>
  <c r="K949" i="6" s="1"/>
  <c r="F949" i="6"/>
  <c r="Q948" i="6" a="1"/>
  <c r="Q948" i="6" s="1"/>
  <c r="P948" i="6"/>
  <c r="N948" i="6" a="1"/>
  <c r="N948" i="6" s="1"/>
  <c r="O948" i="6" s="1"/>
  <c r="M948" i="6" a="1"/>
  <c r="M948" i="6" s="1"/>
  <c r="L948" i="6"/>
  <c r="K948" i="6" a="1"/>
  <c r="K948" i="6" s="1"/>
  <c r="F948" i="6"/>
  <c r="Q947" i="6" a="1"/>
  <c r="Q947" i="6" s="1"/>
  <c r="P947" i="6"/>
  <c r="N947" i="6" a="1"/>
  <c r="N947" i="6" s="1"/>
  <c r="O947" i="6" s="1"/>
  <c r="M947" i="6" a="1"/>
  <c r="M947" i="6" s="1"/>
  <c r="L947" i="6"/>
  <c r="K947" i="6" a="1"/>
  <c r="K947" i="6" s="1"/>
  <c r="F947" i="6"/>
  <c r="Q946" i="6" a="1"/>
  <c r="Q946" i="6" s="1"/>
  <c r="P946" i="6"/>
  <c r="N946" i="6" a="1"/>
  <c r="N946" i="6" s="1"/>
  <c r="O946" i="6" s="1"/>
  <c r="M946" i="6" a="1"/>
  <c r="M946" i="6" s="1"/>
  <c r="L946" i="6"/>
  <c r="K946" i="6" a="1"/>
  <c r="K946" i="6" s="1"/>
  <c r="F946" i="6"/>
  <c r="Q945" i="6" a="1"/>
  <c r="Q945" i="6" s="1"/>
  <c r="P945" i="6"/>
  <c r="N945" i="6" a="1"/>
  <c r="N945" i="6" s="1"/>
  <c r="O945" i="6" s="1"/>
  <c r="M945" i="6" a="1"/>
  <c r="M945" i="6" s="1"/>
  <c r="L945" i="6"/>
  <c r="K945" i="6" a="1"/>
  <c r="K945" i="6" s="1"/>
  <c r="F945" i="6"/>
  <c r="Q944" i="6" a="1"/>
  <c r="Q944" i="6" s="1"/>
  <c r="P944" i="6"/>
  <c r="N944" i="6" a="1"/>
  <c r="N944" i="6" s="1"/>
  <c r="O944" i="6" s="1"/>
  <c r="M944" i="6" a="1"/>
  <c r="M944" i="6" s="1"/>
  <c r="L944" i="6"/>
  <c r="K944" i="6" a="1"/>
  <c r="K944" i="6" s="1"/>
  <c r="F944" i="6"/>
  <c r="Q943" i="6" a="1"/>
  <c r="Q943" i="6" s="1"/>
  <c r="P943" i="6"/>
  <c r="N943" i="6" a="1"/>
  <c r="N943" i="6" s="1"/>
  <c r="O943" i="6" s="1"/>
  <c r="M943" i="6" a="1"/>
  <c r="M943" i="6" s="1"/>
  <c r="L943" i="6"/>
  <c r="K943" i="6" a="1"/>
  <c r="K943" i="6" s="1"/>
  <c r="F943" i="6"/>
  <c r="Q942" i="6" a="1"/>
  <c r="Q942" i="6" s="1"/>
  <c r="P942" i="6"/>
  <c r="N942" i="6" a="1"/>
  <c r="N942" i="6" s="1"/>
  <c r="O942" i="6" s="1"/>
  <c r="M942" i="6" a="1"/>
  <c r="M942" i="6" s="1"/>
  <c r="L942" i="6"/>
  <c r="K942" i="6" a="1"/>
  <c r="K942" i="6" s="1"/>
  <c r="F942" i="6"/>
  <c r="Q941" i="6" a="1"/>
  <c r="Q941" i="6" s="1"/>
  <c r="P941" i="6"/>
  <c r="N941" i="6" a="1"/>
  <c r="N941" i="6" s="1"/>
  <c r="O941" i="6" s="1"/>
  <c r="M941" i="6" a="1"/>
  <c r="M941" i="6" s="1"/>
  <c r="L941" i="6"/>
  <c r="K941" i="6" a="1"/>
  <c r="K941" i="6" s="1"/>
  <c r="F941" i="6"/>
  <c r="Q940" i="6" a="1"/>
  <c r="Q940" i="6" s="1"/>
  <c r="P940" i="6"/>
  <c r="N940" i="6" a="1"/>
  <c r="N940" i="6" s="1"/>
  <c r="O940" i="6" s="1"/>
  <c r="M940" i="6" a="1"/>
  <c r="M940" i="6" s="1"/>
  <c r="L940" i="6"/>
  <c r="K940" i="6" a="1"/>
  <c r="K940" i="6" s="1"/>
  <c r="F940" i="6"/>
  <c r="Q939" i="6" a="1"/>
  <c r="Q939" i="6" s="1"/>
  <c r="P939" i="6"/>
  <c r="N939" i="6" a="1"/>
  <c r="N939" i="6" s="1"/>
  <c r="O939" i="6" s="1"/>
  <c r="M939" i="6" a="1"/>
  <c r="M939" i="6" s="1"/>
  <c r="L939" i="6"/>
  <c r="K939" i="6" a="1"/>
  <c r="K939" i="6" s="1"/>
  <c r="F939" i="6"/>
  <c r="Q938" i="6" a="1"/>
  <c r="Q938" i="6" s="1"/>
  <c r="P938" i="6"/>
  <c r="N938" i="6" a="1"/>
  <c r="N938" i="6" s="1"/>
  <c r="O938" i="6" s="1"/>
  <c r="M938" i="6" a="1"/>
  <c r="M938" i="6" s="1"/>
  <c r="L938" i="6"/>
  <c r="K938" i="6" a="1"/>
  <c r="K938" i="6" s="1"/>
  <c r="F938" i="6"/>
  <c r="Q937" i="6" a="1"/>
  <c r="Q937" i="6" s="1"/>
  <c r="P937" i="6"/>
  <c r="N937" i="6" a="1"/>
  <c r="N937" i="6" s="1"/>
  <c r="O937" i="6" s="1"/>
  <c r="M937" i="6" a="1"/>
  <c r="M937" i="6" s="1"/>
  <c r="L937" i="6"/>
  <c r="K937" i="6" a="1"/>
  <c r="K937" i="6" s="1"/>
  <c r="F937" i="6"/>
  <c r="Q936" i="6" a="1"/>
  <c r="Q936" i="6" s="1"/>
  <c r="P936" i="6"/>
  <c r="N936" i="6" a="1"/>
  <c r="N936" i="6" s="1"/>
  <c r="O936" i="6" s="1"/>
  <c r="M936" i="6" a="1"/>
  <c r="M936" i="6" s="1"/>
  <c r="L936" i="6"/>
  <c r="K936" i="6" a="1"/>
  <c r="K936" i="6" s="1"/>
  <c r="F936" i="6"/>
  <c r="Q935" i="6" a="1"/>
  <c r="Q935" i="6" s="1"/>
  <c r="P935" i="6"/>
  <c r="N935" i="6" a="1"/>
  <c r="N935" i="6" s="1"/>
  <c r="O935" i="6" s="1"/>
  <c r="M935" i="6" a="1"/>
  <c r="M935" i="6" s="1"/>
  <c r="L935" i="6"/>
  <c r="K935" i="6" a="1"/>
  <c r="K935" i="6" s="1"/>
  <c r="F935" i="6"/>
  <c r="Q934" i="6" a="1"/>
  <c r="Q934" i="6" s="1"/>
  <c r="P934" i="6"/>
  <c r="N934" i="6" a="1"/>
  <c r="N934" i="6" s="1"/>
  <c r="O934" i="6" s="1"/>
  <c r="M934" i="6" a="1"/>
  <c r="M934" i="6" s="1"/>
  <c r="L934" i="6"/>
  <c r="K934" i="6" a="1"/>
  <c r="K934" i="6" s="1"/>
  <c r="F934" i="6"/>
  <c r="Q933" i="6" a="1"/>
  <c r="Q933" i="6" s="1"/>
  <c r="P933" i="6"/>
  <c r="N933" i="6" a="1"/>
  <c r="N933" i="6" s="1"/>
  <c r="O933" i="6" s="1"/>
  <c r="M933" i="6" a="1"/>
  <c r="M933" i="6" s="1"/>
  <c r="L933" i="6"/>
  <c r="K933" i="6" a="1"/>
  <c r="K933" i="6" s="1"/>
  <c r="F933" i="6"/>
  <c r="Q932" i="6" a="1"/>
  <c r="Q932" i="6" s="1"/>
  <c r="P932" i="6"/>
  <c r="N932" i="6" a="1"/>
  <c r="N932" i="6" s="1"/>
  <c r="O932" i="6" s="1"/>
  <c r="M932" i="6" a="1"/>
  <c r="M932" i="6" s="1"/>
  <c r="L932" i="6"/>
  <c r="K932" i="6" a="1"/>
  <c r="K932" i="6" s="1"/>
  <c r="F932" i="6"/>
  <c r="Q931" i="6" a="1"/>
  <c r="Q931" i="6" s="1"/>
  <c r="P931" i="6"/>
  <c r="N931" i="6" a="1"/>
  <c r="N931" i="6" s="1"/>
  <c r="O931" i="6" s="1"/>
  <c r="M931" i="6" a="1"/>
  <c r="M931" i="6" s="1"/>
  <c r="L931" i="6"/>
  <c r="K931" i="6" a="1"/>
  <c r="K931" i="6" s="1"/>
  <c r="F931" i="6"/>
  <c r="Q930" i="6" a="1"/>
  <c r="Q930" i="6" s="1"/>
  <c r="P930" i="6"/>
  <c r="N930" i="6" a="1"/>
  <c r="N930" i="6" s="1"/>
  <c r="O930" i="6" s="1"/>
  <c r="M930" i="6" a="1"/>
  <c r="M930" i="6" s="1"/>
  <c r="L930" i="6"/>
  <c r="K930" i="6" a="1"/>
  <c r="K930" i="6" s="1"/>
  <c r="F930" i="6"/>
  <c r="Q929" i="6" a="1"/>
  <c r="Q929" i="6" s="1"/>
  <c r="P929" i="6"/>
  <c r="N929" i="6" a="1"/>
  <c r="N929" i="6" s="1"/>
  <c r="O929" i="6" s="1"/>
  <c r="M929" i="6" a="1"/>
  <c r="M929" i="6" s="1"/>
  <c r="L929" i="6"/>
  <c r="K929" i="6" a="1"/>
  <c r="K929" i="6" s="1"/>
  <c r="F929" i="6"/>
  <c r="Q928" i="6" a="1"/>
  <c r="Q928" i="6" s="1"/>
  <c r="P928" i="6"/>
  <c r="N928" i="6" a="1"/>
  <c r="N928" i="6" s="1"/>
  <c r="O928" i="6" s="1"/>
  <c r="M928" i="6" a="1"/>
  <c r="M928" i="6" s="1"/>
  <c r="L928" i="6"/>
  <c r="K928" i="6" a="1"/>
  <c r="K928" i="6" s="1"/>
  <c r="F928" i="6"/>
  <c r="Q927" i="6" a="1"/>
  <c r="Q927" i="6" s="1"/>
  <c r="P927" i="6"/>
  <c r="N927" i="6" a="1"/>
  <c r="N927" i="6" s="1"/>
  <c r="O927" i="6" s="1"/>
  <c r="M927" i="6" a="1"/>
  <c r="M927" i="6" s="1"/>
  <c r="L927" i="6"/>
  <c r="K927" i="6" a="1"/>
  <c r="K927" i="6" s="1"/>
  <c r="F927" i="6"/>
  <c r="Q926" i="6" a="1"/>
  <c r="Q926" i="6" s="1"/>
  <c r="P926" i="6"/>
  <c r="N926" i="6" a="1"/>
  <c r="N926" i="6" s="1"/>
  <c r="O926" i="6" s="1"/>
  <c r="M926" i="6" a="1"/>
  <c r="M926" i="6" s="1"/>
  <c r="L926" i="6"/>
  <c r="K926" i="6" a="1"/>
  <c r="K926" i="6" s="1"/>
  <c r="F926" i="6"/>
  <c r="Q925" i="6" a="1"/>
  <c r="Q925" i="6" s="1"/>
  <c r="P925" i="6"/>
  <c r="N925" i="6" a="1"/>
  <c r="N925" i="6" s="1"/>
  <c r="O925" i="6" s="1"/>
  <c r="M925" i="6" a="1"/>
  <c r="M925" i="6" s="1"/>
  <c r="L925" i="6"/>
  <c r="K925" i="6" a="1"/>
  <c r="K925" i="6" s="1"/>
  <c r="F925" i="6"/>
  <c r="Q924" i="6" a="1"/>
  <c r="Q924" i="6" s="1"/>
  <c r="P924" i="6"/>
  <c r="N924" i="6" a="1"/>
  <c r="N924" i="6" s="1"/>
  <c r="O924" i="6" s="1"/>
  <c r="M924" i="6" a="1"/>
  <c r="M924" i="6" s="1"/>
  <c r="L924" i="6"/>
  <c r="K924" i="6" a="1"/>
  <c r="K924" i="6" s="1"/>
  <c r="F924" i="6"/>
  <c r="Q923" i="6" a="1"/>
  <c r="Q923" i="6" s="1"/>
  <c r="P923" i="6"/>
  <c r="N923" i="6" a="1"/>
  <c r="N923" i="6" s="1"/>
  <c r="O923" i="6" s="1"/>
  <c r="M923" i="6" a="1"/>
  <c r="M923" i="6" s="1"/>
  <c r="L923" i="6"/>
  <c r="K923" i="6" a="1"/>
  <c r="K923" i="6" s="1"/>
  <c r="F923" i="6"/>
  <c r="Q922" i="6" a="1"/>
  <c r="Q922" i="6" s="1"/>
  <c r="P922" i="6"/>
  <c r="N922" i="6" a="1"/>
  <c r="N922" i="6" s="1"/>
  <c r="O922" i="6" s="1"/>
  <c r="M922" i="6" a="1"/>
  <c r="M922" i="6" s="1"/>
  <c r="L922" i="6"/>
  <c r="K922" i="6" a="1"/>
  <c r="K922" i="6" s="1"/>
  <c r="F922" i="6"/>
  <c r="Q921" i="6" a="1"/>
  <c r="Q921" i="6" s="1"/>
  <c r="P921" i="6"/>
  <c r="N921" i="6" a="1"/>
  <c r="N921" i="6" s="1"/>
  <c r="O921" i="6" s="1"/>
  <c r="M921" i="6" a="1"/>
  <c r="M921" i="6" s="1"/>
  <c r="L921" i="6"/>
  <c r="K921" i="6" a="1"/>
  <c r="K921" i="6" s="1"/>
  <c r="F921" i="6"/>
  <c r="Q920" i="6" a="1"/>
  <c r="Q920" i="6" s="1"/>
  <c r="P920" i="6"/>
  <c r="N920" i="6" a="1"/>
  <c r="N920" i="6" s="1"/>
  <c r="O920" i="6" s="1"/>
  <c r="M920" i="6" a="1"/>
  <c r="M920" i="6" s="1"/>
  <c r="L920" i="6"/>
  <c r="K920" i="6" a="1"/>
  <c r="K920" i="6" s="1"/>
  <c r="F920" i="6"/>
  <c r="Q919" i="6" a="1"/>
  <c r="Q919" i="6" s="1"/>
  <c r="P919" i="6"/>
  <c r="N919" i="6" a="1"/>
  <c r="N919" i="6" s="1"/>
  <c r="O919" i="6" s="1"/>
  <c r="M919" i="6" a="1"/>
  <c r="M919" i="6" s="1"/>
  <c r="L919" i="6"/>
  <c r="K919" i="6" a="1"/>
  <c r="K919" i="6" s="1"/>
  <c r="F919" i="6"/>
  <c r="Q918" i="6" a="1"/>
  <c r="Q918" i="6" s="1"/>
  <c r="P918" i="6"/>
  <c r="N918" i="6" a="1"/>
  <c r="N918" i="6" s="1"/>
  <c r="O918" i="6" s="1"/>
  <c r="M918" i="6" a="1"/>
  <c r="M918" i="6" s="1"/>
  <c r="L918" i="6"/>
  <c r="K918" i="6" a="1"/>
  <c r="K918" i="6" s="1"/>
  <c r="F918" i="6"/>
  <c r="Q917" i="6" a="1"/>
  <c r="Q917" i="6" s="1"/>
  <c r="P917" i="6"/>
  <c r="N917" i="6" a="1"/>
  <c r="N917" i="6" s="1"/>
  <c r="O917" i="6" s="1"/>
  <c r="M917" i="6" a="1"/>
  <c r="M917" i="6" s="1"/>
  <c r="L917" i="6"/>
  <c r="K917" i="6" a="1"/>
  <c r="K917" i="6" s="1"/>
  <c r="F917" i="6"/>
  <c r="Q916" i="6" a="1"/>
  <c r="Q916" i="6" s="1"/>
  <c r="P916" i="6"/>
  <c r="N916" i="6" a="1"/>
  <c r="N916" i="6" s="1"/>
  <c r="O916" i="6" s="1"/>
  <c r="M916" i="6" a="1"/>
  <c r="M916" i="6" s="1"/>
  <c r="L916" i="6"/>
  <c r="K916" i="6" a="1"/>
  <c r="K916" i="6" s="1"/>
  <c r="F916" i="6"/>
  <c r="Q915" i="6" a="1"/>
  <c r="Q915" i="6" s="1"/>
  <c r="P915" i="6"/>
  <c r="N915" i="6" a="1"/>
  <c r="N915" i="6" s="1"/>
  <c r="O915" i="6" s="1"/>
  <c r="M915" i="6" a="1"/>
  <c r="M915" i="6" s="1"/>
  <c r="L915" i="6"/>
  <c r="K915" i="6" a="1"/>
  <c r="K915" i="6" s="1"/>
  <c r="F915" i="6"/>
  <c r="Q914" i="6" a="1"/>
  <c r="Q914" i="6" s="1"/>
  <c r="P914" i="6"/>
  <c r="N914" i="6" a="1"/>
  <c r="N914" i="6" s="1"/>
  <c r="O914" i="6" s="1"/>
  <c r="M914" i="6" a="1"/>
  <c r="M914" i="6" s="1"/>
  <c r="L914" i="6"/>
  <c r="K914" i="6" a="1"/>
  <c r="K914" i="6" s="1"/>
  <c r="F914" i="6"/>
  <c r="Q913" i="6" a="1"/>
  <c r="Q913" i="6" s="1"/>
  <c r="P913" i="6"/>
  <c r="N913" i="6" a="1"/>
  <c r="N913" i="6" s="1"/>
  <c r="O913" i="6" s="1"/>
  <c r="M913" i="6" a="1"/>
  <c r="M913" i="6" s="1"/>
  <c r="L913" i="6"/>
  <c r="K913" i="6" a="1"/>
  <c r="K913" i="6" s="1"/>
  <c r="F913" i="6"/>
  <c r="Q912" i="6" a="1"/>
  <c r="Q912" i="6" s="1"/>
  <c r="P912" i="6"/>
  <c r="N912" i="6" a="1"/>
  <c r="N912" i="6" s="1"/>
  <c r="O912" i="6" s="1"/>
  <c r="M912" i="6" a="1"/>
  <c r="M912" i="6" s="1"/>
  <c r="L912" i="6"/>
  <c r="K912" i="6" a="1"/>
  <c r="K912" i="6" s="1"/>
  <c r="F912" i="6"/>
  <c r="Q911" i="6" a="1"/>
  <c r="Q911" i="6" s="1"/>
  <c r="P911" i="6"/>
  <c r="N911" i="6" a="1"/>
  <c r="N911" i="6" s="1"/>
  <c r="O911" i="6" s="1"/>
  <c r="M911" i="6" a="1"/>
  <c r="M911" i="6" s="1"/>
  <c r="L911" i="6"/>
  <c r="K911" i="6" a="1"/>
  <c r="K911" i="6" s="1"/>
  <c r="F911" i="6"/>
  <c r="Q910" i="6" a="1"/>
  <c r="Q910" i="6" s="1"/>
  <c r="P910" i="6"/>
  <c r="N910" i="6" a="1"/>
  <c r="N910" i="6" s="1"/>
  <c r="O910" i="6" s="1"/>
  <c r="M910" i="6" a="1"/>
  <c r="M910" i="6" s="1"/>
  <c r="L910" i="6"/>
  <c r="K910" i="6" a="1"/>
  <c r="K910" i="6" s="1"/>
  <c r="F910" i="6"/>
  <c r="Q909" i="6" a="1"/>
  <c r="Q909" i="6" s="1"/>
  <c r="P909" i="6"/>
  <c r="N909" i="6" a="1"/>
  <c r="N909" i="6" s="1"/>
  <c r="O909" i="6" s="1"/>
  <c r="M909" i="6" a="1"/>
  <c r="M909" i="6" s="1"/>
  <c r="L909" i="6"/>
  <c r="K909" i="6" a="1"/>
  <c r="K909" i="6" s="1"/>
  <c r="F909" i="6"/>
  <c r="Q908" i="6" a="1"/>
  <c r="Q908" i="6" s="1"/>
  <c r="P908" i="6"/>
  <c r="N908" i="6" a="1"/>
  <c r="N908" i="6" s="1"/>
  <c r="O908" i="6" s="1"/>
  <c r="M908" i="6" a="1"/>
  <c r="M908" i="6" s="1"/>
  <c r="L908" i="6"/>
  <c r="K908" i="6" a="1"/>
  <c r="K908" i="6" s="1"/>
  <c r="F908" i="6"/>
  <c r="Q907" i="6" a="1"/>
  <c r="Q907" i="6" s="1"/>
  <c r="P907" i="6"/>
  <c r="N907" i="6" a="1"/>
  <c r="N907" i="6" s="1"/>
  <c r="O907" i="6" s="1"/>
  <c r="M907" i="6" a="1"/>
  <c r="M907" i="6" s="1"/>
  <c r="L907" i="6"/>
  <c r="K907" i="6" a="1"/>
  <c r="K907" i="6" s="1"/>
  <c r="F907" i="6"/>
  <c r="Q906" i="6" a="1"/>
  <c r="Q906" i="6" s="1"/>
  <c r="P906" i="6"/>
  <c r="N906" i="6" a="1"/>
  <c r="N906" i="6" s="1"/>
  <c r="O906" i="6" s="1"/>
  <c r="M906" i="6" a="1"/>
  <c r="M906" i="6" s="1"/>
  <c r="L906" i="6"/>
  <c r="K906" i="6" a="1"/>
  <c r="K906" i="6" s="1"/>
  <c r="F906" i="6"/>
  <c r="Q905" i="6" a="1"/>
  <c r="Q905" i="6" s="1"/>
  <c r="P905" i="6"/>
  <c r="N905" i="6" a="1"/>
  <c r="N905" i="6" s="1"/>
  <c r="O905" i="6" s="1"/>
  <c r="M905" i="6" a="1"/>
  <c r="M905" i="6" s="1"/>
  <c r="L905" i="6"/>
  <c r="K905" i="6" a="1"/>
  <c r="K905" i="6" s="1"/>
  <c r="F905" i="6"/>
  <c r="Q904" i="6" a="1"/>
  <c r="Q904" i="6" s="1"/>
  <c r="P904" i="6"/>
  <c r="N904" i="6" a="1"/>
  <c r="N904" i="6" s="1"/>
  <c r="O904" i="6" s="1"/>
  <c r="M904" i="6" a="1"/>
  <c r="M904" i="6" s="1"/>
  <c r="L904" i="6"/>
  <c r="K904" i="6" a="1"/>
  <c r="K904" i="6" s="1"/>
  <c r="F904" i="6"/>
  <c r="Q903" i="6" a="1"/>
  <c r="Q903" i="6" s="1"/>
  <c r="P903" i="6"/>
  <c r="N903" i="6" a="1"/>
  <c r="N903" i="6" s="1"/>
  <c r="O903" i="6" s="1"/>
  <c r="M903" i="6" a="1"/>
  <c r="M903" i="6" s="1"/>
  <c r="L903" i="6"/>
  <c r="K903" i="6" a="1"/>
  <c r="K903" i="6" s="1"/>
  <c r="F903" i="6"/>
  <c r="Q902" i="6" a="1"/>
  <c r="Q902" i="6" s="1"/>
  <c r="P902" i="6"/>
  <c r="N902" i="6" a="1"/>
  <c r="N902" i="6" s="1"/>
  <c r="O902" i="6" s="1"/>
  <c r="M902" i="6" a="1"/>
  <c r="M902" i="6" s="1"/>
  <c r="L902" i="6"/>
  <c r="K902" i="6" a="1"/>
  <c r="K902" i="6" s="1"/>
  <c r="F902" i="6"/>
  <c r="Q901" i="6" a="1"/>
  <c r="Q901" i="6" s="1"/>
  <c r="P901" i="6"/>
  <c r="N901" i="6" a="1"/>
  <c r="N901" i="6" s="1"/>
  <c r="O901" i="6" s="1"/>
  <c r="M901" i="6" a="1"/>
  <c r="M901" i="6" s="1"/>
  <c r="L901" i="6"/>
  <c r="K901" i="6" a="1"/>
  <c r="K901" i="6" s="1"/>
  <c r="F901" i="6"/>
  <c r="Q900" i="6" a="1"/>
  <c r="Q900" i="6" s="1"/>
  <c r="P900" i="6"/>
  <c r="N900" i="6" a="1"/>
  <c r="N900" i="6" s="1"/>
  <c r="O900" i="6" s="1"/>
  <c r="M900" i="6" a="1"/>
  <c r="M900" i="6" s="1"/>
  <c r="L900" i="6"/>
  <c r="K900" i="6" a="1"/>
  <c r="K900" i="6" s="1"/>
  <c r="F900" i="6"/>
  <c r="Q899" i="6" a="1"/>
  <c r="Q899" i="6" s="1"/>
  <c r="P899" i="6"/>
  <c r="N899" i="6" a="1"/>
  <c r="N899" i="6" s="1"/>
  <c r="O899" i="6" s="1"/>
  <c r="M899" i="6" a="1"/>
  <c r="M899" i="6" s="1"/>
  <c r="L899" i="6"/>
  <c r="K899" i="6" a="1"/>
  <c r="K899" i="6" s="1"/>
  <c r="F899" i="6"/>
  <c r="Q898" i="6" a="1"/>
  <c r="Q898" i="6" s="1"/>
  <c r="P898" i="6"/>
  <c r="N898" i="6" a="1"/>
  <c r="N898" i="6" s="1"/>
  <c r="O898" i="6" s="1"/>
  <c r="M898" i="6" a="1"/>
  <c r="M898" i="6" s="1"/>
  <c r="L898" i="6"/>
  <c r="K898" i="6" a="1"/>
  <c r="K898" i="6" s="1"/>
  <c r="F898" i="6"/>
  <c r="Q897" i="6" a="1"/>
  <c r="Q897" i="6" s="1"/>
  <c r="P897" i="6"/>
  <c r="N897" i="6" a="1"/>
  <c r="N897" i="6" s="1"/>
  <c r="O897" i="6" s="1"/>
  <c r="M897" i="6" a="1"/>
  <c r="M897" i="6" s="1"/>
  <c r="L897" i="6"/>
  <c r="K897" i="6" a="1"/>
  <c r="K897" i="6" s="1"/>
  <c r="F897" i="6"/>
  <c r="Q896" i="6" a="1"/>
  <c r="Q896" i="6" s="1"/>
  <c r="P896" i="6"/>
  <c r="N896" i="6" a="1"/>
  <c r="N896" i="6" s="1"/>
  <c r="O896" i="6" s="1"/>
  <c r="M896" i="6" a="1"/>
  <c r="M896" i="6" s="1"/>
  <c r="L896" i="6"/>
  <c r="K896" i="6" a="1"/>
  <c r="K896" i="6" s="1"/>
  <c r="F896" i="6"/>
  <c r="Q895" i="6" a="1"/>
  <c r="Q895" i="6" s="1"/>
  <c r="P895" i="6"/>
  <c r="N895" i="6" a="1"/>
  <c r="N895" i="6" s="1"/>
  <c r="O895" i="6" s="1"/>
  <c r="M895" i="6" a="1"/>
  <c r="M895" i="6" s="1"/>
  <c r="L895" i="6"/>
  <c r="K895" i="6" a="1"/>
  <c r="K895" i="6" s="1"/>
  <c r="F895" i="6"/>
  <c r="Q894" i="6" a="1"/>
  <c r="Q894" i="6" s="1"/>
  <c r="P894" i="6"/>
  <c r="N894" i="6" a="1"/>
  <c r="N894" i="6" s="1"/>
  <c r="O894" i="6" s="1"/>
  <c r="M894" i="6" a="1"/>
  <c r="M894" i="6" s="1"/>
  <c r="L894" i="6"/>
  <c r="K894" i="6" a="1"/>
  <c r="K894" i="6" s="1"/>
  <c r="F894" i="6"/>
  <c r="Q893" i="6" a="1"/>
  <c r="Q893" i="6" s="1"/>
  <c r="P893" i="6"/>
  <c r="N893" i="6" a="1"/>
  <c r="N893" i="6" s="1"/>
  <c r="O893" i="6" s="1"/>
  <c r="M893" i="6" a="1"/>
  <c r="M893" i="6" s="1"/>
  <c r="L893" i="6"/>
  <c r="K893" i="6" a="1"/>
  <c r="K893" i="6" s="1"/>
  <c r="F893" i="6"/>
  <c r="Q892" i="6" a="1"/>
  <c r="Q892" i="6" s="1"/>
  <c r="P892" i="6"/>
  <c r="N892" i="6" a="1"/>
  <c r="N892" i="6" s="1"/>
  <c r="O892" i="6" s="1"/>
  <c r="M892" i="6" a="1"/>
  <c r="M892" i="6" s="1"/>
  <c r="L892" i="6"/>
  <c r="K892" i="6" a="1"/>
  <c r="K892" i="6" s="1"/>
  <c r="F892" i="6"/>
  <c r="Q891" i="6" a="1"/>
  <c r="Q891" i="6" s="1"/>
  <c r="P891" i="6"/>
  <c r="N891" i="6" a="1"/>
  <c r="N891" i="6" s="1"/>
  <c r="O891" i="6" s="1"/>
  <c r="M891" i="6" a="1"/>
  <c r="M891" i="6" s="1"/>
  <c r="L891" i="6"/>
  <c r="K891" i="6" a="1"/>
  <c r="K891" i="6" s="1"/>
  <c r="F891" i="6"/>
  <c r="Q890" i="6" a="1"/>
  <c r="Q890" i="6" s="1"/>
  <c r="P890" i="6"/>
  <c r="N890" i="6" a="1"/>
  <c r="N890" i="6" s="1"/>
  <c r="O890" i="6" s="1"/>
  <c r="M890" i="6" a="1"/>
  <c r="M890" i="6" s="1"/>
  <c r="L890" i="6"/>
  <c r="K890" i="6" a="1"/>
  <c r="K890" i="6" s="1"/>
  <c r="F890" i="6"/>
  <c r="Q889" i="6" a="1"/>
  <c r="Q889" i="6" s="1"/>
  <c r="P889" i="6"/>
  <c r="N889" i="6" a="1"/>
  <c r="N889" i="6" s="1"/>
  <c r="O889" i="6" s="1"/>
  <c r="M889" i="6" a="1"/>
  <c r="M889" i="6" s="1"/>
  <c r="L889" i="6"/>
  <c r="K889" i="6" a="1"/>
  <c r="K889" i="6" s="1"/>
  <c r="F889" i="6"/>
  <c r="Q888" i="6" a="1"/>
  <c r="Q888" i="6" s="1"/>
  <c r="P888" i="6"/>
  <c r="N888" i="6" a="1"/>
  <c r="N888" i="6" s="1"/>
  <c r="O888" i="6" s="1"/>
  <c r="M888" i="6" a="1"/>
  <c r="M888" i="6" s="1"/>
  <c r="L888" i="6"/>
  <c r="K888" i="6" a="1"/>
  <c r="K888" i="6" s="1"/>
  <c r="F888" i="6"/>
  <c r="Q887" i="6" a="1"/>
  <c r="Q887" i="6" s="1"/>
  <c r="P887" i="6"/>
  <c r="N887" i="6" a="1"/>
  <c r="N887" i="6" s="1"/>
  <c r="O887" i="6" s="1"/>
  <c r="M887" i="6" a="1"/>
  <c r="M887" i="6" s="1"/>
  <c r="L887" i="6"/>
  <c r="K887" i="6" a="1"/>
  <c r="K887" i="6" s="1"/>
  <c r="F887" i="6"/>
  <c r="Q886" i="6" a="1"/>
  <c r="Q886" i="6" s="1"/>
  <c r="P886" i="6"/>
  <c r="N886" i="6" a="1"/>
  <c r="N886" i="6" s="1"/>
  <c r="O886" i="6" s="1"/>
  <c r="M886" i="6" a="1"/>
  <c r="M886" i="6" s="1"/>
  <c r="L886" i="6"/>
  <c r="K886" i="6" a="1"/>
  <c r="K886" i="6" s="1"/>
  <c r="F886" i="6"/>
  <c r="Q885" i="6" a="1"/>
  <c r="Q885" i="6" s="1"/>
  <c r="P885" i="6"/>
  <c r="N885" i="6" a="1"/>
  <c r="N885" i="6" s="1"/>
  <c r="O885" i="6" s="1"/>
  <c r="M885" i="6" a="1"/>
  <c r="M885" i="6" s="1"/>
  <c r="L885" i="6"/>
  <c r="K885" i="6" a="1"/>
  <c r="K885" i="6" s="1"/>
  <c r="F885" i="6"/>
  <c r="Q884" i="6" a="1"/>
  <c r="Q884" i="6" s="1"/>
  <c r="P884" i="6"/>
  <c r="N884" i="6" a="1"/>
  <c r="N884" i="6" s="1"/>
  <c r="O884" i="6" s="1"/>
  <c r="M884" i="6" a="1"/>
  <c r="M884" i="6" s="1"/>
  <c r="L884" i="6"/>
  <c r="K884" i="6" a="1"/>
  <c r="K884" i="6" s="1"/>
  <c r="F884" i="6"/>
  <c r="Q883" i="6" a="1"/>
  <c r="Q883" i="6" s="1"/>
  <c r="P883" i="6"/>
  <c r="N883" i="6" a="1"/>
  <c r="N883" i="6" s="1"/>
  <c r="O883" i="6" s="1"/>
  <c r="M883" i="6" a="1"/>
  <c r="M883" i="6" s="1"/>
  <c r="L883" i="6"/>
  <c r="K883" i="6" a="1"/>
  <c r="K883" i="6" s="1"/>
  <c r="F883" i="6"/>
  <c r="Q882" i="6" a="1"/>
  <c r="Q882" i="6" s="1"/>
  <c r="P882" i="6"/>
  <c r="N882" i="6" a="1"/>
  <c r="N882" i="6" s="1"/>
  <c r="O882" i="6" s="1"/>
  <c r="M882" i="6" a="1"/>
  <c r="M882" i="6" s="1"/>
  <c r="L882" i="6"/>
  <c r="K882" i="6" a="1"/>
  <c r="K882" i="6" s="1"/>
  <c r="F882" i="6"/>
  <c r="Q881" i="6" a="1"/>
  <c r="Q881" i="6" s="1"/>
  <c r="P881" i="6"/>
  <c r="N881" i="6" a="1"/>
  <c r="N881" i="6" s="1"/>
  <c r="O881" i="6" s="1"/>
  <c r="M881" i="6" a="1"/>
  <c r="M881" i="6" s="1"/>
  <c r="L881" i="6"/>
  <c r="K881" i="6" a="1"/>
  <c r="K881" i="6" s="1"/>
  <c r="F881" i="6"/>
  <c r="Q880" i="6" a="1"/>
  <c r="Q880" i="6" s="1"/>
  <c r="P880" i="6"/>
  <c r="N880" i="6" a="1"/>
  <c r="N880" i="6" s="1"/>
  <c r="O880" i="6" s="1"/>
  <c r="M880" i="6" a="1"/>
  <c r="M880" i="6" s="1"/>
  <c r="L880" i="6"/>
  <c r="K880" i="6" a="1"/>
  <c r="K880" i="6" s="1"/>
  <c r="F880" i="6"/>
  <c r="Q879" i="6" a="1"/>
  <c r="Q879" i="6" s="1"/>
  <c r="P879" i="6"/>
  <c r="N879" i="6" a="1"/>
  <c r="N879" i="6" s="1"/>
  <c r="O879" i="6" s="1"/>
  <c r="M879" i="6" a="1"/>
  <c r="M879" i="6" s="1"/>
  <c r="L879" i="6"/>
  <c r="K879" i="6" a="1"/>
  <c r="K879" i="6" s="1"/>
  <c r="F879" i="6"/>
  <c r="Q878" i="6" a="1"/>
  <c r="Q878" i="6" s="1"/>
  <c r="P878" i="6"/>
  <c r="N878" i="6" a="1"/>
  <c r="N878" i="6" s="1"/>
  <c r="O878" i="6" s="1"/>
  <c r="M878" i="6" a="1"/>
  <c r="M878" i="6" s="1"/>
  <c r="L878" i="6"/>
  <c r="K878" i="6" a="1"/>
  <c r="K878" i="6" s="1"/>
  <c r="F878" i="6"/>
  <c r="Q877" i="6" a="1"/>
  <c r="Q877" i="6" s="1"/>
  <c r="P877" i="6"/>
  <c r="N877" i="6" a="1"/>
  <c r="N877" i="6" s="1"/>
  <c r="O877" i="6" s="1"/>
  <c r="M877" i="6" a="1"/>
  <c r="M877" i="6" s="1"/>
  <c r="L877" i="6"/>
  <c r="K877" i="6" a="1"/>
  <c r="K877" i="6" s="1"/>
  <c r="F877" i="6"/>
  <c r="Q876" i="6" a="1"/>
  <c r="Q876" i="6" s="1"/>
  <c r="P876" i="6"/>
  <c r="N876" i="6" a="1"/>
  <c r="N876" i="6" s="1"/>
  <c r="O876" i="6" s="1"/>
  <c r="M876" i="6" a="1"/>
  <c r="M876" i="6" s="1"/>
  <c r="L876" i="6"/>
  <c r="K876" i="6" a="1"/>
  <c r="K876" i="6" s="1"/>
  <c r="F876" i="6"/>
  <c r="Q875" i="6" a="1"/>
  <c r="Q875" i="6" s="1"/>
  <c r="P875" i="6"/>
  <c r="N875" i="6" a="1"/>
  <c r="N875" i="6" s="1"/>
  <c r="O875" i="6" s="1"/>
  <c r="M875" i="6" a="1"/>
  <c r="M875" i="6" s="1"/>
  <c r="L875" i="6"/>
  <c r="K875" i="6" a="1"/>
  <c r="K875" i="6" s="1"/>
  <c r="F875" i="6"/>
  <c r="Q874" i="6" a="1"/>
  <c r="Q874" i="6" s="1"/>
  <c r="P874" i="6"/>
  <c r="N874" i="6" a="1"/>
  <c r="N874" i="6" s="1"/>
  <c r="O874" i="6" s="1"/>
  <c r="M874" i="6" a="1"/>
  <c r="M874" i="6" s="1"/>
  <c r="L874" i="6"/>
  <c r="K874" i="6" a="1"/>
  <c r="K874" i="6" s="1"/>
  <c r="F874" i="6"/>
  <c r="Q873" i="6" a="1"/>
  <c r="Q873" i="6" s="1"/>
  <c r="P873" i="6"/>
  <c r="N873" i="6" a="1"/>
  <c r="N873" i="6" s="1"/>
  <c r="O873" i="6" s="1"/>
  <c r="M873" i="6" a="1"/>
  <c r="M873" i="6" s="1"/>
  <c r="L873" i="6"/>
  <c r="K873" i="6" a="1"/>
  <c r="K873" i="6" s="1"/>
  <c r="F873" i="6"/>
  <c r="Q872" i="6" a="1"/>
  <c r="Q872" i="6" s="1"/>
  <c r="P872" i="6"/>
  <c r="N872" i="6" a="1"/>
  <c r="N872" i="6" s="1"/>
  <c r="O872" i="6" s="1"/>
  <c r="M872" i="6" a="1"/>
  <c r="M872" i="6" s="1"/>
  <c r="L872" i="6"/>
  <c r="K872" i="6" a="1"/>
  <c r="K872" i="6" s="1"/>
  <c r="F872" i="6"/>
  <c r="Q871" i="6" a="1"/>
  <c r="Q871" i="6" s="1"/>
  <c r="P871" i="6"/>
  <c r="N871" i="6" a="1"/>
  <c r="N871" i="6" s="1"/>
  <c r="O871" i="6" s="1"/>
  <c r="M871" i="6" a="1"/>
  <c r="M871" i="6" s="1"/>
  <c r="L871" i="6"/>
  <c r="K871" i="6" a="1"/>
  <c r="K871" i="6" s="1"/>
  <c r="F871" i="6"/>
  <c r="Q870" i="6" a="1"/>
  <c r="Q870" i="6" s="1"/>
  <c r="P870" i="6"/>
  <c r="N870" i="6" a="1"/>
  <c r="N870" i="6" s="1"/>
  <c r="O870" i="6" s="1"/>
  <c r="M870" i="6" a="1"/>
  <c r="M870" i="6" s="1"/>
  <c r="L870" i="6"/>
  <c r="K870" i="6" a="1"/>
  <c r="K870" i="6" s="1"/>
  <c r="F870" i="6"/>
  <c r="Q869" i="6" a="1"/>
  <c r="Q869" i="6" s="1"/>
  <c r="P869" i="6"/>
  <c r="N869" i="6" a="1"/>
  <c r="N869" i="6" s="1"/>
  <c r="O869" i="6" s="1"/>
  <c r="M869" i="6" a="1"/>
  <c r="M869" i="6" s="1"/>
  <c r="L869" i="6"/>
  <c r="K869" i="6" a="1"/>
  <c r="K869" i="6" s="1"/>
  <c r="F869" i="6"/>
  <c r="Q868" i="6" a="1"/>
  <c r="Q868" i="6" s="1"/>
  <c r="P868" i="6"/>
  <c r="N868" i="6" a="1"/>
  <c r="N868" i="6" s="1"/>
  <c r="O868" i="6" s="1"/>
  <c r="M868" i="6" a="1"/>
  <c r="M868" i="6" s="1"/>
  <c r="L868" i="6"/>
  <c r="K868" i="6" a="1"/>
  <c r="K868" i="6" s="1"/>
  <c r="F868" i="6"/>
  <c r="Q867" i="6" a="1"/>
  <c r="Q867" i="6" s="1"/>
  <c r="P867" i="6"/>
  <c r="N867" i="6" a="1"/>
  <c r="N867" i="6" s="1"/>
  <c r="O867" i="6" s="1"/>
  <c r="M867" i="6" a="1"/>
  <c r="M867" i="6" s="1"/>
  <c r="L867" i="6"/>
  <c r="K867" i="6" a="1"/>
  <c r="K867" i="6" s="1"/>
  <c r="F867" i="6"/>
  <c r="Q866" i="6" a="1"/>
  <c r="Q866" i="6" s="1"/>
  <c r="P866" i="6"/>
  <c r="N866" i="6" a="1"/>
  <c r="N866" i="6" s="1"/>
  <c r="O866" i="6" s="1"/>
  <c r="M866" i="6" a="1"/>
  <c r="M866" i="6" s="1"/>
  <c r="L866" i="6"/>
  <c r="K866" i="6" a="1"/>
  <c r="K866" i="6" s="1"/>
  <c r="F866" i="6"/>
  <c r="Q865" i="6" a="1"/>
  <c r="Q865" i="6" s="1"/>
  <c r="P865" i="6"/>
  <c r="N865" i="6" a="1"/>
  <c r="N865" i="6" s="1"/>
  <c r="O865" i="6" s="1"/>
  <c r="M865" i="6" a="1"/>
  <c r="M865" i="6" s="1"/>
  <c r="L865" i="6"/>
  <c r="K865" i="6" a="1"/>
  <c r="K865" i="6" s="1"/>
  <c r="F865" i="6"/>
  <c r="Q864" i="6" a="1"/>
  <c r="Q864" i="6" s="1"/>
  <c r="P864" i="6"/>
  <c r="N864" i="6" a="1"/>
  <c r="N864" i="6" s="1"/>
  <c r="O864" i="6" s="1"/>
  <c r="M864" i="6" a="1"/>
  <c r="M864" i="6" s="1"/>
  <c r="L864" i="6"/>
  <c r="K864" i="6" a="1"/>
  <c r="K864" i="6" s="1"/>
  <c r="F864" i="6"/>
  <c r="Q863" i="6" a="1"/>
  <c r="Q863" i="6" s="1"/>
  <c r="P863" i="6"/>
  <c r="N863" i="6" a="1"/>
  <c r="N863" i="6" s="1"/>
  <c r="O863" i="6" s="1"/>
  <c r="M863" i="6" a="1"/>
  <c r="M863" i="6" s="1"/>
  <c r="L863" i="6"/>
  <c r="K863" i="6" a="1"/>
  <c r="K863" i="6" s="1"/>
  <c r="F863" i="6"/>
  <c r="Q862" i="6" a="1"/>
  <c r="Q862" i="6" s="1"/>
  <c r="P862" i="6"/>
  <c r="N862" i="6" a="1"/>
  <c r="N862" i="6" s="1"/>
  <c r="O862" i="6" s="1"/>
  <c r="M862" i="6" a="1"/>
  <c r="M862" i="6" s="1"/>
  <c r="L862" i="6"/>
  <c r="K862" i="6" a="1"/>
  <c r="K862" i="6" s="1"/>
  <c r="F862" i="6"/>
  <c r="Q861" i="6" a="1"/>
  <c r="Q861" i="6" s="1"/>
  <c r="P861" i="6"/>
  <c r="N861" i="6" a="1"/>
  <c r="N861" i="6" s="1"/>
  <c r="O861" i="6" s="1"/>
  <c r="M861" i="6" a="1"/>
  <c r="M861" i="6" s="1"/>
  <c r="L861" i="6"/>
  <c r="K861" i="6" a="1"/>
  <c r="K861" i="6" s="1"/>
  <c r="F861" i="6"/>
  <c r="Q860" i="6" a="1"/>
  <c r="Q860" i="6" s="1"/>
  <c r="P860" i="6"/>
  <c r="N860" i="6" a="1"/>
  <c r="N860" i="6" s="1"/>
  <c r="O860" i="6" s="1"/>
  <c r="M860" i="6" a="1"/>
  <c r="M860" i="6" s="1"/>
  <c r="L860" i="6"/>
  <c r="K860" i="6" a="1"/>
  <c r="K860" i="6" s="1"/>
  <c r="F860" i="6"/>
  <c r="Q859" i="6" a="1"/>
  <c r="Q859" i="6" s="1"/>
  <c r="P859" i="6"/>
  <c r="N859" i="6" a="1"/>
  <c r="N859" i="6" s="1"/>
  <c r="O859" i="6" s="1"/>
  <c r="M859" i="6" a="1"/>
  <c r="M859" i="6" s="1"/>
  <c r="L859" i="6"/>
  <c r="K859" i="6" a="1"/>
  <c r="K859" i="6" s="1"/>
  <c r="F859" i="6"/>
  <c r="Q858" i="6" a="1"/>
  <c r="Q858" i="6" s="1"/>
  <c r="P858" i="6"/>
  <c r="N858" i="6" a="1"/>
  <c r="N858" i="6" s="1"/>
  <c r="O858" i="6" s="1"/>
  <c r="M858" i="6" a="1"/>
  <c r="M858" i="6" s="1"/>
  <c r="L858" i="6"/>
  <c r="K858" i="6" a="1"/>
  <c r="K858" i="6" s="1"/>
  <c r="F858" i="6"/>
  <c r="Q857" i="6" a="1"/>
  <c r="Q857" i="6" s="1"/>
  <c r="P857" i="6"/>
  <c r="N857" i="6" a="1"/>
  <c r="N857" i="6" s="1"/>
  <c r="O857" i="6" s="1"/>
  <c r="M857" i="6" a="1"/>
  <c r="M857" i="6" s="1"/>
  <c r="L857" i="6"/>
  <c r="K857" i="6" a="1"/>
  <c r="K857" i="6" s="1"/>
  <c r="F857" i="6"/>
  <c r="Q856" i="6" a="1"/>
  <c r="Q856" i="6" s="1"/>
  <c r="P856" i="6"/>
  <c r="N856" i="6" a="1"/>
  <c r="N856" i="6" s="1"/>
  <c r="O856" i="6" s="1"/>
  <c r="M856" i="6" a="1"/>
  <c r="M856" i="6" s="1"/>
  <c r="L856" i="6"/>
  <c r="K856" i="6" a="1"/>
  <c r="K856" i="6" s="1"/>
  <c r="F856" i="6"/>
  <c r="Q855" i="6" a="1"/>
  <c r="Q855" i="6" s="1"/>
  <c r="P855" i="6"/>
  <c r="N855" i="6" a="1"/>
  <c r="N855" i="6" s="1"/>
  <c r="O855" i="6" s="1"/>
  <c r="M855" i="6" a="1"/>
  <c r="M855" i="6" s="1"/>
  <c r="L855" i="6"/>
  <c r="K855" i="6" a="1"/>
  <c r="K855" i="6" s="1"/>
  <c r="F855" i="6"/>
  <c r="Q854" i="6" a="1"/>
  <c r="Q854" i="6" s="1"/>
  <c r="P854" i="6"/>
  <c r="N854" i="6" a="1"/>
  <c r="N854" i="6" s="1"/>
  <c r="O854" i="6" s="1"/>
  <c r="M854" i="6" a="1"/>
  <c r="M854" i="6" s="1"/>
  <c r="L854" i="6"/>
  <c r="K854" i="6" a="1"/>
  <c r="K854" i="6" s="1"/>
  <c r="F854" i="6"/>
  <c r="Q853" i="6" a="1"/>
  <c r="Q853" i="6" s="1"/>
  <c r="P853" i="6"/>
  <c r="N853" i="6" a="1"/>
  <c r="N853" i="6" s="1"/>
  <c r="O853" i="6" s="1"/>
  <c r="M853" i="6" a="1"/>
  <c r="M853" i="6" s="1"/>
  <c r="L853" i="6"/>
  <c r="K853" i="6" a="1"/>
  <c r="K853" i="6" s="1"/>
  <c r="F853" i="6"/>
  <c r="Q852" i="6" a="1"/>
  <c r="Q852" i="6" s="1"/>
  <c r="P852" i="6"/>
  <c r="N852" i="6" a="1"/>
  <c r="N852" i="6" s="1"/>
  <c r="O852" i="6" s="1"/>
  <c r="M852" i="6" a="1"/>
  <c r="M852" i="6" s="1"/>
  <c r="L852" i="6"/>
  <c r="K852" i="6" a="1"/>
  <c r="K852" i="6" s="1"/>
  <c r="F852" i="6"/>
  <c r="Q851" i="6" a="1"/>
  <c r="Q851" i="6" s="1"/>
  <c r="P851" i="6"/>
  <c r="N851" i="6" a="1"/>
  <c r="N851" i="6" s="1"/>
  <c r="O851" i="6" s="1"/>
  <c r="M851" i="6" a="1"/>
  <c r="M851" i="6" s="1"/>
  <c r="L851" i="6"/>
  <c r="K851" i="6" a="1"/>
  <c r="K851" i="6" s="1"/>
  <c r="F851" i="6"/>
  <c r="Q850" i="6" a="1"/>
  <c r="Q850" i="6" s="1"/>
  <c r="P850" i="6"/>
  <c r="N850" i="6" a="1"/>
  <c r="N850" i="6" s="1"/>
  <c r="O850" i="6" s="1"/>
  <c r="M850" i="6" a="1"/>
  <c r="M850" i="6" s="1"/>
  <c r="L850" i="6"/>
  <c r="K850" i="6" a="1"/>
  <c r="K850" i="6" s="1"/>
  <c r="F850" i="6"/>
  <c r="Q849" i="6" a="1"/>
  <c r="Q849" i="6" s="1"/>
  <c r="P849" i="6"/>
  <c r="N849" i="6" a="1"/>
  <c r="N849" i="6" s="1"/>
  <c r="O849" i="6" s="1"/>
  <c r="M849" i="6" a="1"/>
  <c r="M849" i="6" s="1"/>
  <c r="L849" i="6"/>
  <c r="K849" i="6" a="1"/>
  <c r="K849" i="6" s="1"/>
  <c r="F849" i="6"/>
  <c r="Q848" i="6" a="1"/>
  <c r="Q848" i="6" s="1"/>
  <c r="P848" i="6"/>
  <c r="N848" i="6" a="1"/>
  <c r="N848" i="6" s="1"/>
  <c r="O848" i="6" s="1"/>
  <c r="M848" i="6" a="1"/>
  <c r="M848" i="6" s="1"/>
  <c r="L848" i="6"/>
  <c r="K848" i="6" a="1"/>
  <c r="K848" i="6" s="1"/>
  <c r="F848" i="6"/>
  <c r="Q847" i="6" a="1"/>
  <c r="Q847" i="6" s="1"/>
  <c r="P847" i="6"/>
  <c r="N847" i="6" a="1"/>
  <c r="N847" i="6" s="1"/>
  <c r="O847" i="6" s="1"/>
  <c r="M847" i="6" a="1"/>
  <c r="M847" i="6" s="1"/>
  <c r="L847" i="6"/>
  <c r="K847" i="6" a="1"/>
  <c r="K847" i="6" s="1"/>
  <c r="F847" i="6"/>
  <c r="Q846" i="6" a="1"/>
  <c r="Q846" i="6" s="1"/>
  <c r="P846" i="6"/>
  <c r="N846" i="6" a="1"/>
  <c r="N846" i="6" s="1"/>
  <c r="O846" i="6" s="1"/>
  <c r="M846" i="6" a="1"/>
  <c r="M846" i="6" s="1"/>
  <c r="L846" i="6"/>
  <c r="K846" i="6" a="1"/>
  <c r="K846" i="6" s="1"/>
  <c r="F846" i="6"/>
  <c r="Q845" i="6" a="1"/>
  <c r="Q845" i="6" s="1"/>
  <c r="P845" i="6"/>
  <c r="N845" i="6" a="1"/>
  <c r="N845" i="6" s="1"/>
  <c r="O845" i="6" s="1"/>
  <c r="M845" i="6" a="1"/>
  <c r="M845" i="6" s="1"/>
  <c r="L845" i="6"/>
  <c r="K845" i="6" a="1"/>
  <c r="K845" i="6" s="1"/>
  <c r="F845" i="6"/>
  <c r="Q844" i="6" a="1"/>
  <c r="Q844" i="6" s="1"/>
  <c r="P844" i="6"/>
  <c r="N844" i="6" a="1"/>
  <c r="N844" i="6" s="1"/>
  <c r="O844" i="6" s="1"/>
  <c r="M844" i="6" a="1"/>
  <c r="M844" i="6" s="1"/>
  <c r="L844" i="6"/>
  <c r="K844" i="6" a="1"/>
  <c r="K844" i="6" s="1"/>
  <c r="F844" i="6"/>
  <c r="Q843" i="6" a="1"/>
  <c r="Q843" i="6" s="1"/>
  <c r="P843" i="6"/>
  <c r="N843" i="6" a="1"/>
  <c r="N843" i="6" s="1"/>
  <c r="O843" i="6" s="1"/>
  <c r="M843" i="6" a="1"/>
  <c r="M843" i="6" s="1"/>
  <c r="L843" i="6"/>
  <c r="K843" i="6" a="1"/>
  <c r="K843" i="6" s="1"/>
  <c r="F843" i="6"/>
  <c r="Q842" i="6" a="1"/>
  <c r="Q842" i="6" s="1"/>
  <c r="P842" i="6"/>
  <c r="N842" i="6" a="1"/>
  <c r="N842" i="6" s="1"/>
  <c r="O842" i="6" s="1"/>
  <c r="M842" i="6" a="1"/>
  <c r="M842" i="6" s="1"/>
  <c r="L842" i="6"/>
  <c r="K842" i="6" a="1"/>
  <c r="K842" i="6" s="1"/>
  <c r="F842" i="6"/>
  <c r="Q841" i="6" a="1"/>
  <c r="Q841" i="6" s="1"/>
  <c r="P841" i="6"/>
  <c r="N841" i="6" a="1"/>
  <c r="N841" i="6" s="1"/>
  <c r="O841" i="6" s="1"/>
  <c r="M841" i="6" a="1"/>
  <c r="M841" i="6" s="1"/>
  <c r="L841" i="6"/>
  <c r="K841" i="6" a="1"/>
  <c r="K841" i="6" s="1"/>
  <c r="F841" i="6"/>
  <c r="Q840" i="6" a="1"/>
  <c r="Q840" i="6" s="1"/>
  <c r="P840" i="6"/>
  <c r="N840" i="6" a="1"/>
  <c r="N840" i="6" s="1"/>
  <c r="O840" i="6" s="1"/>
  <c r="M840" i="6" a="1"/>
  <c r="M840" i="6" s="1"/>
  <c r="L840" i="6"/>
  <c r="K840" i="6" a="1"/>
  <c r="K840" i="6" s="1"/>
  <c r="F840" i="6"/>
  <c r="Q839" i="6" a="1"/>
  <c r="Q839" i="6" s="1"/>
  <c r="P839" i="6"/>
  <c r="N839" i="6" a="1"/>
  <c r="N839" i="6" s="1"/>
  <c r="O839" i="6" s="1"/>
  <c r="M839" i="6" a="1"/>
  <c r="M839" i="6" s="1"/>
  <c r="L839" i="6"/>
  <c r="K839" i="6" a="1"/>
  <c r="K839" i="6" s="1"/>
  <c r="F839" i="6"/>
  <c r="Q838" i="6" a="1"/>
  <c r="Q838" i="6" s="1"/>
  <c r="P838" i="6"/>
  <c r="N838" i="6" a="1"/>
  <c r="N838" i="6" s="1"/>
  <c r="O838" i="6" s="1"/>
  <c r="M838" i="6" a="1"/>
  <c r="M838" i="6" s="1"/>
  <c r="L838" i="6"/>
  <c r="K838" i="6" a="1"/>
  <c r="K838" i="6" s="1"/>
  <c r="F838" i="6"/>
  <c r="Q837" i="6" a="1"/>
  <c r="Q837" i="6" s="1"/>
  <c r="P837" i="6"/>
  <c r="N837" i="6" a="1"/>
  <c r="N837" i="6" s="1"/>
  <c r="O837" i="6" s="1"/>
  <c r="M837" i="6" a="1"/>
  <c r="M837" i="6" s="1"/>
  <c r="L837" i="6"/>
  <c r="K837" i="6" a="1"/>
  <c r="K837" i="6" s="1"/>
  <c r="F837" i="6"/>
  <c r="Q836" i="6" a="1"/>
  <c r="Q836" i="6" s="1"/>
  <c r="P836" i="6"/>
  <c r="N836" i="6" a="1"/>
  <c r="N836" i="6" s="1"/>
  <c r="O836" i="6" s="1"/>
  <c r="M836" i="6" a="1"/>
  <c r="M836" i="6" s="1"/>
  <c r="L836" i="6"/>
  <c r="K836" i="6" a="1"/>
  <c r="K836" i="6" s="1"/>
  <c r="F836" i="6"/>
  <c r="Q835" i="6" a="1"/>
  <c r="Q835" i="6" s="1"/>
  <c r="P835" i="6"/>
  <c r="N835" i="6" a="1"/>
  <c r="N835" i="6" s="1"/>
  <c r="O835" i="6" s="1"/>
  <c r="M835" i="6" a="1"/>
  <c r="M835" i="6" s="1"/>
  <c r="L835" i="6"/>
  <c r="K835" i="6" a="1"/>
  <c r="K835" i="6" s="1"/>
  <c r="F835" i="6"/>
  <c r="Q834" i="6" a="1"/>
  <c r="Q834" i="6" s="1"/>
  <c r="P834" i="6"/>
  <c r="N834" i="6" a="1"/>
  <c r="N834" i="6" s="1"/>
  <c r="O834" i="6" s="1"/>
  <c r="M834" i="6" a="1"/>
  <c r="M834" i="6" s="1"/>
  <c r="L834" i="6"/>
  <c r="K834" i="6" a="1"/>
  <c r="K834" i="6" s="1"/>
  <c r="F834" i="6"/>
  <c r="Q833" i="6" a="1"/>
  <c r="Q833" i="6" s="1"/>
  <c r="P833" i="6"/>
  <c r="N833" i="6" a="1"/>
  <c r="N833" i="6" s="1"/>
  <c r="O833" i="6" s="1"/>
  <c r="M833" i="6" a="1"/>
  <c r="M833" i="6" s="1"/>
  <c r="L833" i="6"/>
  <c r="K833" i="6" a="1"/>
  <c r="K833" i="6" s="1"/>
  <c r="F833" i="6"/>
  <c r="Q832" i="6" a="1"/>
  <c r="Q832" i="6" s="1"/>
  <c r="P832" i="6"/>
  <c r="N832" i="6" a="1"/>
  <c r="N832" i="6" s="1"/>
  <c r="O832" i="6" s="1"/>
  <c r="M832" i="6" a="1"/>
  <c r="M832" i="6" s="1"/>
  <c r="L832" i="6"/>
  <c r="K832" i="6" a="1"/>
  <c r="K832" i="6" s="1"/>
  <c r="F832" i="6"/>
  <c r="Q831" i="6" a="1"/>
  <c r="Q831" i="6" s="1"/>
  <c r="P831" i="6"/>
  <c r="N831" i="6" a="1"/>
  <c r="N831" i="6" s="1"/>
  <c r="O831" i="6" s="1"/>
  <c r="M831" i="6" a="1"/>
  <c r="M831" i="6" s="1"/>
  <c r="L831" i="6"/>
  <c r="K831" i="6" a="1"/>
  <c r="K831" i="6" s="1"/>
  <c r="F831" i="6"/>
  <c r="Q830" i="6" a="1"/>
  <c r="Q830" i="6" s="1"/>
  <c r="P830" i="6"/>
  <c r="N830" i="6" a="1"/>
  <c r="N830" i="6" s="1"/>
  <c r="O830" i="6" s="1"/>
  <c r="M830" i="6" a="1"/>
  <c r="M830" i="6" s="1"/>
  <c r="L830" i="6"/>
  <c r="K830" i="6" a="1"/>
  <c r="K830" i="6" s="1"/>
  <c r="F830" i="6"/>
  <c r="Q829" i="6" a="1"/>
  <c r="Q829" i="6" s="1"/>
  <c r="P829" i="6"/>
  <c r="N829" i="6" a="1"/>
  <c r="N829" i="6" s="1"/>
  <c r="O829" i="6" s="1"/>
  <c r="M829" i="6" a="1"/>
  <c r="M829" i="6" s="1"/>
  <c r="L829" i="6"/>
  <c r="K829" i="6" a="1"/>
  <c r="K829" i="6" s="1"/>
  <c r="F829" i="6"/>
  <c r="Q828" i="6" a="1"/>
  <c r="Q828" i="6" s="1"/>
  <c r="P828" i="6"/>
  <c r="N828" i="6" a="1"/>
  <c r="N828" i="6" s="1"/>
  <c r="O828" i="6" s="1"/>
  <c r="M828" i="6" a="1"/>
  <c r="M828" i="6" s="1"/>
  <c r="L828" i="6"/>
  <c r="K828" i="6" a="1"/>
  <c r="K828" i="6" s="1"/>
  <c r="F828" i="6"/>
  <c r="Q827" i="6" a="1"/>
  <c r="Q827" i="6" s="1"/>
  <c r="P827" i="6"/>
  <c r="N827" i="6" a="1"/>
  <c r="N827" i="6" s="1"/>
  <c r="O827" i="6" s="1"/>
  <c r="M827" i="6" a="1"/>
  <c r="M827" i="6" s="1"/>
  <c r="L827" i="6"/>
  <c r="K827" i="6" a="1"/>
  <c r="K827" i="6" s="1"/>
  <c r="F827" i="6"/>
  <c r="Q826" i="6" a="1"/>
  <c r="Q826" i="6" s="1"/>
  <c r="P826" i="6"/>
  <c r="N826" i="6" a="1"/>
  <c r="N826" i="6" s="1"/>
  <c r="O826" i="6" s="1"/>
  <c r="M826" i="6" a="1"/>
  <c r="M826" i="6" s="1"/>
  <c r="L826" i="6"/>
  <c r="K826" i="6" a="1"/>
  <c r="K826" i="6" s="1"/>
  <c r="F826" i="6"/>
  <c r="Q825" i="6" a="1"/>
  <c r="Q825" i="6" s="1"/>
  <c r="P825" i="6"/>
  <c r="N825" i="6" a="1"/>
  <c r="N825" i="6" s="1"/>
  <c r="O825" i="6" s="1"/>
  <c r="M825" i="6" a="1"/>
  <c r="M825" i="6" s="1"/>
  <c r="L825" i="6"/>
  <c r="K825" i="6" a="1"/>
  <c r="K825" i="6" s="1"/>
  <c r="F825" i="6"/>
  <c r="Q824" i="6" a="1"/>
  <c r="Q824" i="6" s="1"/>
  <c r="P824" i="6"/>
  <c r="N824" i="6" a="1"/>
  <c r="N824" i="6" s="1"/>
  <c r="O824" i="6" s="1"/>
  <c r="M824" i="6" a="1"/>
  <c r="M824" i="6" s="1"/>
  <c r="L824" i="6"/>
  <c r="K824" i="6" a="1"/>
  <c r="K824" i="6" s="1"/>
  <c r="F824" i="6"/>
  <c r="Q823" i="6" a="1"/>
  <c r="Q823" i="6" s="1"/>
  <c r="P823" i="6"/>
  <c r="N823" i="6" a="1"/>
  <c r="N823" i="6" s="1"/>
  <c r="O823" i="6" s="1"/>
  <c r="M823" i="6" a="1"/>
  <c r="M823" i="6" s="1"/>
  <c r="L823" i="6"/>
  <c r="K823" i="6" a="1"/>
  <c r="K823" i="6" s="1"/>
  <c r="F823" i="6"/>
  <c r="Q822" i="6" a="1"/>
  <c r="Q822" i="6" s="1"/>
  <c r="P822" i="6"/>
  <c r="N822" i="6" a="1"/>
  <c r="N822" i="6" s="1"/>
  <c r="O822" i="6" s="1"/>
  <c r="M822" i="6" a="1"/>
  <c r="M822" i="6" s="1"/>
  <c r="L822" i="6"/>
  <c r="K822" i="6" a="1"/>
  <c r="K822" i="6" s="1"/>
  <c r="F822" i="6"/>
  <c r="Q821" i="6" a="1"/>
  <c r="Q821" i="6" s="1"/>
  <c r="P821" i="6"/>
  <c r="N821" i="6" a="1"/>
  <c r="N821" i="6" s="1"/>
  <c r="O821" i="6" s="1"/>
  <c r="M821" i="6" a="1"/>
  <c r="M821" i="6" s="1"/>
  <c r="L821" i="6"/>
  <c r="K821" i="6" a="1"/>
  <c r="K821" i="6" s="1"/>
  <c r="F821" i="6"/>
  <c r="Q820" i="6" a="1"/>
  <c r="Q820" i="6" s="1"/>
  <c r="P820" i="6"/>
  <c r="N820" i="6" a="1"/>
  <c r="N820" i="6" s="1"/>
  <c r="O820" i="6" s="1"/>
  <c r="M820" i="6" a="1"/>
  <c r="M820" i="6" s="1"/>
  <c r="L820" i="6"/>
  <c r="K820" i="6" a="1"/>
  <c r="K820" i="6" s="1"/>
  <c r="F820" i="6"/>
  <c r="Q819" i="6" a="1"/>
  <c r="Q819" i="6" s="1"/>
  <c r="P819" i="6"/>
  <c r="N819" i="6" a="1"/>
  <c r="N819" i="6" s="1"/>
  <c r="O819" i="6" s="1"/>
  <c r="M819" i="6" a="1"/>
  <c r="M819" i="6" s="1"/>
  <c r="L819" i="6"/>
  <c r="K819" i="6" a="1"/>
  <c r="K819" i="6" s="1"/>
  <c r="F819" i="6"/>
  <c r="Q818" i="6" a="1"/>
  <c r="Q818" i="6" s="1"/>
  <c r="P818" i="6"/>
  <c r="N818" i="6" a="1"/>
  <c r="N818" i="6" s="1"/>
  <c r="O818" i="6" s="1"/>
  <c r="M818" i="6" a="1"/>
  <c r="M818" i="6" s="1"/>
  <c r="L818" i="6"/>
  <c r="K818" i="6" a="1"/>
  <c r="K818" i="6" s="1"/>
  <c r="F818" i="6"/>
  <c r="Q817" i="6" a="1"/>
  <c r="Q817" i="6" s="1"/>
  <c r="P817" i="6"/>
  <c r="N817" i="6" a="1"/>
  <c r="N817" i="6" s="1"/>
  <c r="O817" i="6" s="1"/>
  <c r="M817" i="6" a="1"/>
  <c r="M817" i="6" s="1"/>
  <c r="L817" i="6"/>
  <c r="K817" i="6" a="1"/>
  <c r="K817" i="6" s="1"/>
  <c r="F817" i="6"/>
  <c r="Q816" i="6" a="1"/>
  <c r="Q816" i="6" s="1"/>
  <c r="P816" i="6"/>
  <c r="N816" i="6" a="1"/>
  <c r="N816" i="6" s="1"/>
  <c r="O816" i="6" s="1"/>
  <c r="M816" i="6" a="1"/>
  <c r="M816" i="6" s="1"/>
  <c r="L816" i="6"/>
  <c r="K816" i="6" a="1"/>
  <c r="K816" i="6" s="1"/>
  <c r="F816" i="6"/>
  <c r="Q815" i="6" a="1"/>
  <c r="Q815" i="6" s="1"/>
  <c r="P815" i="6"/>
  <c r="N815" i="6" a="1"/>
  <c r="N815" i="6" s="1"/>
  <c r="O815" i="6" s="1"/>
  <c r="M815" i="6" a="1"/>
  <c r="M815" i="6" s="1"/>
  <c r="L815" i="6"/>
  <c r="K815" i="6" a="1"/>
  <c r="K815" i="6" s="1"/>
  <c r="F815" i="6"/>
  <c r="Q814" i="6" a="1"/>
  <c r="Q814" i="6" s="1"/>
  <c r="P814" i="6"/>
  <c r="N814" i="6" a="1"/>
  <c r="N814" i="6" s="1"/>
  <c r="O814" i="6" s="1"/>
  <c r="M814" i="6" a="1"/>
  <c r="M814" i="6" s="1"/>
  <c r="L814" i="6"/>
  <c r="K814" i="6" a="1"/>
  <c r="K814" i="6" s="1"/>
  <c r="F814" i="6"/>
  <c r="Q813" i="6" a="1"/>
  <c r="Q813" i="6" s="1"/>
  <c r="P813" i="6"/>
  <c r="N813" i="6" a="1"/>
  <c r="N813" i="6" s="1"/>
  <c r="O813" i="6" s="1"/>
  <c r="M813" i="6" a="1"/>
  <c r="M813" i="6" s="1"/>
  <c r="L813" i="6"/>
  <c r="K813" i="6" a="1"/>
  <c r="K813" i="6" s="1"/>
  <c r="F813" i="6"/>
  <c r="Q812" i="6" a="1"/>
  <c r="Q812" i="6" s="1"/>
  <c r="P812" i="6"/>
  <c r="N812" i="6" a="1"/>
  <c r="N812" i="6" s="1"/>
  <c r="O812" i="6" s="1"/>
  <c r="M812" i="6" a="1"/>
  <c r="M812" i="6" s="1"/>
  <c r="L812" i="6"/>
  <c r="K812" i="6" a="1"/>
  <c r="K812" i="6" s="1"/>
  <c r="F812" i="6"/>
  <c r="Q811" i="6" a="1"/>
  <c r="Q811" i="6" s="1"/>
  <c r="P811" i="6"/>
  <c r="N811" i="6" a="1"/>
  <c r="N811" i="6" s="1"/>
  <c r="O811" i="6" s="1"/>
  <c r="M811" i="6" a="1"/>
  <c r="M811" i="6" s="1"/>
  <c r="L811" i="6"/>
  <c r="K811" i="6" a="1"/>
  <c r="K811" i="6" s="1"/>
  <c r="F811" i="6"/>
  <c r="Q810" i="6" a="1"/>
  <c r="Q810" i="6" s="1"/>
  <c r="P810" i="6"/>
  <c r="N810" i="6" a="1"/>
  <c r="N810" i="6" s="1"/>
  <c r="O810" i="6" s="1"/>
  <c r="M810" i="6" a="1"/>
  <c r="M810" i="6" s="1"/>
  <c r="L810" i="6"/>
  <c r="K810" i="6" a="1"/>
  <c r="K810" i="6" s="1"/>
  <c r="F810" i="6"/>
  <c r="Q809" i="6" a="1"/>
  <c r="Q809" i="6" s="1"/>
  <c r="P809" i="6"/>
  <c r="N809" i="6" a="1"/>
  <c r="N809" i="6" s="1"/>
  <c r="O809" i="6" s="1"/>
  <c r="M809" i="6" a="1"/>
  <c r="M809" i="6" s="1"/>
  <c r="L809" i="6"/>
  <c r="K809" i="6" a="1"/>
  <c r="K809" i="6" s="1"/>
  <c r="F809" i="6"/>
  <c r="Q808" i="6" a="1"/>
  <c r="Q808" i="6" s="1"/>
  <c r="P808" i="6"/>
  <c r="N808" i="6" a="1"/>
  <c r="N808" i="6" s="1"/>
  <c r="O808" i="6" s="1"/>
  <c r="M808" i="6" a="1"/>
  <c r="M808" i="6" s="1"/>
  <c r="L808" i="6"/>
  <c r="K808" i="6" a="1"/>
  <c r="K808" i="6" s="1"/>
  <c r="F808" i="6"/>
  <c r="Q807" i="6" a="1"/>
  <c r="Q807" i="6" s="1"/>
  <c r="P807" i="6"/>
  <c r="N807" i="6" a="1"/>
  <c r="N807" i="6" s="1"/>
  <c r="O807" i="6" s="1"/>
  <c r="M807" i="6" a="1"/>
  <c r="M807" i="6" s="1"/>
  <c r="L807" i="6"/>
  <c r="K807" i="6" a="1"/>
  <c r="K807" i="6" s="1"/>
  <c r="F807" i="6"/>
  <c r="Q806" i="6" a="1"/>
  <c r="Q806" i="6" s="1"/>
  <c r="P806" i="6"/>
  <c r="N806" i="6" a="1"/>
  <c r="N806" i="6" s="1"/>
  <c r="O806" i="6" s="1"/>
  <c r="M806" i="6" a="1"/>
  <c r="M806" i="6" s="1"/>
  <c r="L806" i="6"/>
  <c r="K806" i="6" a="1"/>
  <c r="K806" i="6" s="1"/>
  <c r="F806" i="6"/>
  <c r="Q805" i="6" a="1"/>
  <c r="Q805" i="6" s="1"/>
  <c r="P805" i="6"/>
  <c r="N805" i="6" a="1"/>
  <c r="N805" i="6" s="1"/>
  <c r="O805" i="6" s="1"/>
  <c r="M805" i="6" a="1"/>
  <c r="M805" i="6" s="1"/>
  <c r="L805" i="6"/>
  <c r="K805" i="6" a="1"/>
  <c r="K805" i="6" s="1"/>
  <c r="F805" i="6"/>
  <c r="Q804" i="6" a="1"/>
  <c r="Q804" i="6" s="1"/>
  <c r="P804" i="6"/>
  <c r="N804" i="6" a="1"/>
  <c r="N804" i="6" s="1"/>
  <c r="O804" i="6" s="1"/>
  <c r="M804" i="6" a="1"/>
  <c r="M804" i="6" s="1"/>
  <c r="L804" i="6"/>
  <c r="K804" i="6" a="1"/>
  <c r="K804" i="6" s="1"/>
  <c r="F804" i="6"/>
  <c r="Q803" i="6" a="1"/>
  <c r="Q803" i="6" s="1"/>
  <c r="P803" i="6"/>
  <c r="N803" i="6" a="1"/>
  <c r="N803" i="6" s="1"/>
  <c r="O803" i="6" s="1"/>
  <c r="M803" i="6" a="1"/>
  <c r="M803" i="6" s="1"/>
  <c r="L803" i="6"/>
  <c r="K803" i="6" a="1"/>
  <c r="K803" i="6" s="1"/>
  <c r="F803" i="6"/>
  <c r="Q802" i="6" a="1"/>
  <c r="Q802" i="6" s="1"/>
  <c r="P802" i="6"/>
  <c r="N802" i="6" a="1"/>
  <c r="N802" i="6" s="1"/>
  <c r="O802" i="6" s="1"/>
  <c r="M802" i="6" a="1"/>
  <c r="M802" i="6" s="1"/>
  <c r="L802" i="6"/>
  <c r="K802" i="6" a="1"/>
  <c r="K802" i="6" s="1"/>
  <c r="F802" i="6"/>
  <c r="Q801" i="6" a="1"/>
  <c r="Q801" i="6" s="1"/>
  <c r="P801" i="6"/>
  <c r="N801" i="6" a="1"/>
  <c r="N801" i="6" s="1"/>
  <c r="O801" i="6" s="1"/>
  <c r="M801" i="6" a="1"/>
  <c r="M801" i="6" s="1"/>
  <c r="L801" i="6"/>
  <c r="K801" i="6" a="1"/>
  <c r="K801" i="6" s="1"/>
  <c r="F801" i="6"/>
  <c r="Q800" i="6" a="1"/>
  <c r="Q800" i="6" s="1"/>
  <c r="P800" i="6"/>
  <c r="N800" i="6" a="1"/>
  <c r="N800" i="6" s="1"/>
  <c r="O800" i="6" s="1"/>
  <c r="M800" i="6" a="1"/>
  <c r="M800" i="6" s="1"/>
  <c r="L800" i="6"/>
  <c r="K800" i="6" a="1"/>
  <c r="K800" i="6" s="1"/>
  <c r="F800" i="6"/>
  <c r="Q799" i="6" a="1"/>
  <c r="Q799" i="6" s="1"/>
  <c r="P799" i="6"/>
  <c r="N799" i="6" a="1"/>
  <c r="N799" i="6" s="1"/>
  <c r="O799" i="6" s="1"/>
  <c r="M799" i="6" a="1"/>
  <c r="M799" i="6" s="1"/>
  <c r="L799" i="6"/>
  <c r="K799" i="6" a="1"/>
  <c r="K799" i="6" s="1"/>
  <c r="F799" i="6"/>
  <c r="Q798" i="6" a="1"/>
  <c r="Q798" i="6" s="1"/>
  <c r="P798" i="6"/>
  <c r="N798" i="6" a="1"/>
  <c r="N798" i="6" s="1"/>
  <c r="O798" i="6" s="1"/>
  <c r="M798" i="6" a="1"/>
  <c r="M798" i="6" s="1"/>
  <c r="L798" i="6"/>
  <c r="K798" i="6" a="1"/>
  <c r="K798" i="6" s="1"/>
  <c r="F798" i="6"/>
  <c r="Q797" i="6" a="1"/>
  <c r="Q797" i="6" s="1"/>
  <c r="P797" i="6"/>
  <c r="N797" i="6" a="1"/>
  <c r="N797" i="6" s="1"/>
  <c r="O797" i="6" s="1"/>
  <c r="M797" i="6" a="1"/>
  <c r="M797" i="6" s="1"/>
  <c r="L797" i="6"/>
  <c r="K797" i="6" a="1"/>
  <c r="K797" i="6" s="1"/>
  <c r="F797" i="6"/>
  <c r="Q796" i="6" a="1"/>
  <c r="Q796" i="6" s="1"/>
  <c r="P796" i="6"/>
  <c r="N796" i="6" a="1"/>
  <c r="N796" i="6" s="1"/>
  <c r="O796" i="6" s="1"/>
  <c r="M796" i="6" a="1"/>
  <c r="M796" i="6" s="1"/>
  <c r="L796" i="6"/>
  <c r="K796" i="6" a="1"/>
  <c r="K796" i="6" s="1"/>
  <c r="F796" i="6"/>
  <c r="Q795" i="6" a="1"/>
  <c r="Q795" i="6" s="1"/>
  <c r="P795" i="6"/>
  <c r="N795" i="6" a="1"/>
  <c r="N795" i="6" s="1"/>
  <c r="O795" i="6" s="1"/>
  <c r="M795" i="6" a="1"/>
  <c r="M795" i="6" s="1"/>
  <c r="L795" i="6"/>
  <c r="K795" i="6" a="1"/>
  <c r="K795" i="6" s="1"/>
  <c r="F795" i="6"/>
  <c r="Q794" i="6" a="1"/>
  <c r="Q794" i="6" s="1"/>
  <c r="P794" i="6"/>
  <c r="N794" i="6" a="1"/>
  <c r="N794" i="6" s="1"/>
  <c r="O794" i="6" s="1"/>
  <c r="M794" i="6" a="1"/>
  <c r="M794" i="6" s="1"/>
  <c r="L794" i="6"/>
  <c r="K794" i="6" a="1"/>
  <c r="K794" i="6" s="1"/>
  <c r="F794" i="6"/>
  <c r="Q793" i="6" a="1"/>
  <c r="Q793" i="6" s="1"/>
  <c r="P793" i="6"/>
  <c r="N793" i="6" a="1"/>
  <c r="N793" i="6" s="1"/>
  <c r="O793" i="6" s="1"/>
  <c r="M793" i="6" a="1"/>
  <c r="M793" i="6" s="1"/>
  <c r="L793" i="6"/>
  <c r="K793" i="6" a="1"/>
  <c r="K793" i="6" s="1"/>
  <c r="F793" i="6"/>
  <c r="Q792" i="6" a="1"/>
  <c r="Q792" i="6" s="1"/>
  <c r="P792" i="6"/>
  <c r="N792" i="6" a="1"/>
  <c r="N792" i="6" s="1"/>
  <c r="O792" i="6" s="1"/>
  <c r="M792" i="6" a="1"/>
  <c r="M792" i="6" s="1"/>
  <c r="L792" i="6"/>
  <c r="K792" i="6" a="1"/>
  <c r="K792" i="6" s="1"/>
  <c r="F792" i="6"/>
  <c r="Q791" i="6" a="1"/>
  <c r="Q791" i="6" s="1"/>
  <c r="P791" i="6"/>
  <c r="N791" i="6" a="1"/>
  <c r="N791" i="6" s="1"/>
  <c r="O791" i="6" s="1"/>
  <c r="M791" i="6" a="1"/>
  <c r="M791" i="6" s="1"/>
  <c r="L791" i="6"/>
  <c r="K791" i="6" a="1"/>
  <c r="K791" i="6" s="1"/>
  <c r="F791" i="6"/>
  <c r="Q790" i="6" a="1"/>
  <c r="Q790" i="6" s="1"/>
  <c r="P790" i="6"/>
  <c r="N790" i="6" a="1"/>
  <c r="N790" i="6" s="1"/>
  <c r="O790" i="6" s="1"/>
  <c r="M790" i="6" a="1"/>
  <c r="M790" i="6" s="1"/>
  <c r="L790" i="6"/>
  <c r="K790" i="6" a="1"/>
  <c r="K790" i="6" s="1"/>
  <c r="F790" i="6"/>
  <c r="Q789" i="6" a="1"/>
  <c r="Q789" i="6" s="1"/>
  <c r="P789" i="6"/>
  <c r="N789" i="6" a="1"/>
  <c r="N789" i="6" s="1"/>
  <c r="O789" i="6" s="1"/>
  <c r="M789" i="6" a="1"/>
  <c r="M789" i="6" s="1"/>
  <c r="L789" i="6"/>
  <c r="K789" i="6" a="1"/>
  <c r="K789" i="6" s="1"/>
  <c r="F789" i="6"/>
  <c r="Q788" i="6" a="1"/>
  <c r="Q788" i="6" s="1"/>
  <c r="P788" i="6"/>
  <c r="N788" i="6" a="1"/>
  <c r="N788" i="6" s="1"/>
  <c r="O788" i="6" s="1"/>
  <c r="M788" i="6" a="1"/>
  <c r="M788" i="6" s="1"/>
  <c r="L788" i="6"/>
  <c r="K788" i="6" a="1"/>
  <c r="K788" i="6" s="1"/>
  <c r="F788" i="6"/>
  <c r="Q787" i="6" a="1"/>
  <c r="Q787" i="6" s="1"/>
  <c r="P787" i="6"/>
  <c r="N787" i="6" a="1"/>
  <c r="N787" i="6" s="1"/>
  <c r="O787" i="6" s="1"/>
  <c r="M787" i="6" a="1"/>
  <c r="M787" i="6" s="1"/>
  <c r="L787" i="6"/>
  <c r="K787" i="6" a="1"/>
  <c r="K787" i="6" s="1"/>
  <c r="F787" i="6"/>
  <c r="Q786" i="6" a="1"/>
  <c r="Q786" i="6" s="1"/>
  <c r="P786" i="6"/>
  <c r="N786" i="6" a="1"/>
  <c r="N786" i="6" s="1"/>
  <c r="O786" i="6" s="1"/>
  <c r="M786" i="6" a="1"/>
  <c r="M786" i="6" s="1"/>
  <c r="L786" i="6"/>
  <c r="K786" i="6" a="1"/>
  <c r="K786" i="6" s="1"/>
  <c r="F786" i="6"/>
  <c r="Q785" i="6" a="1"/>
  <c r="Q785" i="6" s="1"/>
  <c r="P785" i="6"/>
  <c r="N785" i="6" a="1"/>
  <c r="N785" i="6" s="1"/>
  <c r="O785" i="6" s="1"/>
  <c r="M785" i="6" a="1"/>
  <c r="M785" i="6" s="1"/>
  <c r="L785" i="6"/>
  <c r="K785" i="6" a="1"/>
  <c r="K785" i="6" s="1"/>
  <c r="F785" i="6"/>
  <c r="Q784" i="6" a="1"/>
  <c r="Q784" i="6" s="1"/>
  <c r="P784" i="6"/>
  <c r="N784" i="6" a="1"/>
  <c r="N784" i="6" s="1"/>
  <c r="O784" i="6" s="1"/>
  <c r="M784" i="6" a="1"/>
  <c r="M784" i="6" s="1"/>
  <c r="L784" i="6"/>
  <c r="K784" i="6" a="1"/>
  <c r="K784" i="6" s="1"/>
  <c r="F784" i="6"/>
  <c r="Q783" i="6" a="1"/>
  <c r="Q783" i="6" s="1"/>
  <c r="P783" i="6"/>
  <c r="N783" i="6" a="1"/>
  <c r="N783" i="6" s="1"/>
  <c r="O783" i="6" s="1"/>
  <c r="M783" i="6" a="1"/>
  <c r="M783" i="6" s="1"/>
  <c r="L783" i="6"/>
  <c r="K783" i="6" a="1"/>
  <c r="K783" i="6" s="1"/>
  <c r="F783" i="6"/>
  <c r="Q782" i="6" a="1"/>
  <c r="Q782" i="6" s="1"/>
  <c r="P782" i="6"/>
  <c r="N782" i="6" a="1"/>
  <c r="N782" i="6" s="1"/>
  <c r="O782" i="6" s="1"/>
  <c r="M782" i="6" a="1"/>
  <c r="M782" i="6" s="1"/>
  <c r="L782" i="6"/>
  <c r="K782" i="6" a="1"/>
  <c r="K782" i="6" s="1"/>
  <c r="F782" i="6"/>
  <c r="Q781" i="6" a="1"/>
  <c r="Q781" i="6" s="1"/>
  <c r="P781" i="6"/>
  <c r="N781" i="6" a="1"/>
  <c r="N781" i="6" s="1"/>
  <c r="O781" i="6" s="1"/>
  <c r="M781" i="6" a="1"/>
  <c r="M781" i="6" s="1"/>
  <c r="L781" i="6"/>
  <c r="K781" i="6" a="1"/>
  <c r="K781" i="6" s="1"/>
  <c r="F781" i="6"/>
  <c r="Q780" i="6" a="1"/>
  <c r="Q780" i="6" s="1"/>
  <c r="P780" i="6"/>
  <c r="N780" i="6" a="1"/>
  <c r="N780" i="6" s="1"/>
  <c r="O780" i="6" s="1"/>
  <c r="M780" i="6" a="1"/>
  <c r="M780" i="6" s="1"/>
  <c r="L780" i="6"/>
  <c r="K780" i="6" a="1"/>
  <c r="K780" i="6" s="1"/>
  <c r="F780" i="6"/>
  <c r="Q779" i="6" a="1"/>
  <c r="Q779" i="6" s="1"/>
  <c r="P779" i="6"/>
  <c r="N779" i="6" a="1"/>
  <c r="N779" i="6" s="1"/>
  <c r="O779" i="6" s="1"/>
  <c r="M779" i="6" a="1"/>
  <c r="M779" i="6" s="1"/>
  <c r="L779" i="6"/>
  <c r="K779" i="6" a="1"/>
  <c r="K779" i="6" s="1"/>
  <c r="F779" i="6"/>
  <c r="Q778" i="6" a="1"/>
  <c r="Q778" i="6" s="1"/>
  <c r="P778" i="6"/>
  <c r="N778" i="6" a="1"/>
  <c r="N778" i="6" s="1"/>
  <c r="O778" i="6" s="1"/>
  <c r="M778" i="6" a="1"/>
  <c r="M778" i="6" s="1"/>
  <c r="L778" i="6"/>
  <c r="K778" i="6" a="1"/>
  <c r="K778" i="6" s="1"/>
  <c r="F778" i="6"/>
  <c r="Q777" i="6" a="1"/>
  <c r="Q777" i="6" s="1"/>
  <c r="P777" i="6"/>
  <c r="N777" i="6" a="1"/>
  <c r="N777" i="6" s="1"/>
  <c r="O777" i="6" s="1"/>
  <c r="M777" i="6" a="1"/>
  <c r="M777" i="6" s="1"/>
  <c r="L777" i="6"/>
  <c r="K777" i="6" a="1"/>
  <c r="K777" i="6" s="1"/>
  <c r="F777" i="6"/>
  <c r="Q776" i="6" a="1"/>
  <c r="Q776" i="6" s="1"/>
  <c r="P776" i="6"/>
  <c r="N776" i="6" a="1"/>
  <c r="N776" i="6" s="1"/>
  <c r="O776" i="6" s="1"/>
  <c r="M776" i="6" a="1"/>
  <c r="M776" i="6" s="1"/>
  <c r="L776" i="6"/>
  <c r="K776" i="6" a="1"/>
  <c r="K776" i="6" s="1"/>
  <c r="F776" i="6"/>
  <c r="Q775" i="6" a="1"/>
  <c r="Q775" i="6" s="1"/>
  <c r="P775" i="6"/>
  <c r="N775" i="6" a="1"/>
  <c r="N775" i="6" s="1"/>
  <c r="O775" i="6" s="1"/>
  <c r="M775" i="6" a="1"/>
  <c r="M775" i="6" s="1"/>
  <c r="L775" i="6"/>
  <c r="K775" i="6" a="1"/>
  <c r="K775" i="6" s="1"/>
  <c r="F775" i="6"/>
  <c r="Q774" i="6" a="1"/>
  <c r="Q774" i="6" s="1"/>
  <c r="P774" i="6"/>
  <c r="N774" i="6" a="1"/>
  <c r="N774" i="6" s="1"/>
  <c r="O774" i="6" s="1"/>
  <c r="M774" i="6" a="1"/>
  <c r="M774" i="6" s="1"/>
  <c r="L774" i="6"/>
  <c r="K774" i="6" a="1"/>
  <c r="K774" i="6" s="1"/>
  <c r="F774" i="6"/>
  <c r="Q773" i="6" a="1"/>
  <c r="Q773" i="6" s="1"/>
  <c r="P773" i="6"/>
  <c r="N773" i="6" a="1"/>
  <c r="N773" i="6" s="1"/>
  <c r="O773" i="6" s="1"/>
  <c r="M773" i="6" a="1"/>
  <c r="M773" i="6" s="1"/>
  <c r="L773" i="6"/>
  <c r="K773" i="6" a="1"/>
  <c r="K773" i="6" s="1"/>
  <c r="F773" i="6"/>
  <c r="Q772" i="6" a="1"/>
  <c r="Q772" i="6" s="1"/>
  <c r="P772" i="6"/>
  <c r="N772" i="6" a="1"/>
  <c r="N772" i="6" s="1"/>
  <c r="O772" i="6" s="1"/>
  <c r="M772" i="6" a="1"/>
  <c r="M772" i="6" s="1"/>
  <c r="L772" i="6"/>
  <c r="K772" i="6" a="1"/>
  <c r="K772" i="6" s="1"/>
  <c r="F772" i="6"/>
  <c r="Q771" i="6" a="1"/>
  <c r="Q771" i="6" s="1"/>
  <c r="P771" i="6"/>
  <c r="N771" i="6" a="1"/>
  <c r="N771" i="6" s="1"/>
  <c r="O771" i="6" s="1"/>
  <c r="M771" i="6" a="1"/>
  <c r="M771" i="6" s="1"/>
  <c r="L771" i="6"/>
  <c r="K771" i="6" a="1"/>
  <c r="K771" i="6" s="1"/>
  <c r="F771" i="6"/>
  <c r="Q770" i="6" a="1"/>
  <c r="Q770" i="6" s="1"/>
  <c r="P770" i="6"/>
  <c r="N770" i="6" a="1"/>
  <c r="N770" i="6" s="1"/>
  <c r="O770" i="6" s="1"/>
  <c r="M770" i="6" a="1"/>
  <c r="M770" i="6" s="1"/>
  <c r="L770" i="6"/>
  <c r="K770" i="6" a="1"/>
  <c r="K770" i="6" s="1"/>
  <c r="F770" i="6"/>
  <c r="Q769" i="6" a="1"/>
  <c r="Q769" i="6" s="1"/>
  <c r="P769" i="6"/>
  <c r="N769" i="6" a="1"/>
  <c r="N769" i="6" s="1"/>
  <c r="O769" i="6" s="1"/>
  <c r="M769" i="6" a="1"/>
  <c r="M769" i="6" s="1"/>
  <c r="L769" i="6"/>
  <c r="K769" i="6" a="1"/>
  <c r="K769" i="6" s="1"/>
  <c r="F769" i="6"/>
  <c r="Q768" i="6" a="1"/>
  <c r="Q768" i="6" s="1"/>
  <c r="P768" i="6"/>
  <c r="N768" i="6" a="1"/>
  <c r="N768" i="6" s="1"/>
  <c r="O768" i="6" s="1"/>
  <c r="M768" i="6" a="1"/>
  <c r="M768" i="6" s="1"/>
  <c r="L768" i="6"/>
  <c r="K768" i="6" a="1"/>
  <c r="K768" i="6" s="1"/>
  <c r="F768" i="6"/>
  <c r="Q767" i="6" a="1"/>
  <c r="Q767" i="6" s="1"/>
  <c r="P767" i="6"/>
  <c r="N767" i="6" a="1"/>
  <c r="N767" i="6" s="1"/>
  <c r="O767" i="6" s="1"/>
  <c r="M767" i="6" a="1"/>
  <c r="M767" i="6" s="1"/>
  <c r="L767" i="6"/>
  <c r="K767" i="6" a="1"/>
  <c r="K767" i="6" s="1"/>
  <c r="F767" i="6"/>
  <c r="Q766" i="6" a="1"/>
  <c r="Q766" i="6" s="1"/>
  <c r="P766" i="6"/>
  <c r="N766" i="6" a="1"/>
  <c r="N766" i="6" s="1"/>
  <c r="O766" i="6" s="1"/>
  <c r="M766" i="6" a="1"/>
  <c r="M766" i="6" s="1"/>
  <c r="L766" i="6"/>
  <c r="K766" i="6" a="1"/>
  <c r="K766" i="6" s="1"/>
  <c r="F766" i="6"/>
  <c r="Q765" i="6" a="1"/>
  <c r="Q765" i="6" s="1"/>
  <c r="P765" i="6"/>
  <c r="N765" i="6" a="1"/>
  <c r="N765" i="6" s="1"/>
  <c r="O765" i="6" s="1"/>
  <c r="M765" i="6" a="1"/>
  <c r="M765" i="6" s="1"/>
  <c r="L765" i="6"/>
  <c r="K765" i="6" a="1"/>
  <c r="K765" i="6" s="1"/>
  <c r="F765" i="6"/>
  <c r="Q764" i="6" a="1"/>
  <c r="Q764" i="6" s="1"/>
  <c r="P764" i="6"/>
  <c r="N764" i="6" a="1"/>
  <c r="N764" i="6" s="1"/>
  <c r="O764" i="6" s="1"/>
  <c r="M764" i="6" a="1"/>
  <c r="M764" i="6" s="1"/>
  <c r="L764" i="6"/>
  <c r="K764" i="6" a="1"/>
  <c r="K764" i="6" s="1"/>
  <c r="F764" i="6"/>
  <c r="Q763" i="6" a="1"/>
  <c r="Q763" i="6" s="1"/>
  <c r="P763" i="6"/>
  <c r="N763" i="6" a="1"/>
  <c r="N763" i="6" s="1"/>
  <c r="O763" i="6" s="1"/>
  <c r="M763" i="6" a="1"/>
  <c r="M763" i="6" s="1"/>
  <c r="L763" i="6"/>
  <c r="K763" i="6" a="1"/>
  <c r="K763" i="6" s="1"/>
  <c r="F763" i="6"/>
  <c r="Q762" i="6" a="1"/>
  <c r="Q762" i="6" s="1"/>
  <c r="P762" i="6"/>
  <c r="N762" i="6" a="1"/>
  <c r="N762" i="6" s="1"/>
  <c r="O762" i="6" s="1"/>
  <c r="M762" i="6" a="1"/>
  <c r="M762" i="6" s="1"/>
  <c r="L762" i="6"/>
  <c r="K762" i="6" a="1"/>
  <c r="K762" i="6" s="1"/>
  <c r="F762" i="6"/>
  <c r="Q761" i="6" a="1"/>
  <c r="Q761" i="6" s="1"/>
  <c r="P761" i="6"/>
  <c r="N761" i="6" a="1"/>
  <c r="N761" i="6" s="1"/>
  <c r="O761" i="6" s="1"/>
  <c r="M761" i="6" a="1"/>
  <c r="M761" i="6" s="1"/>
  <c r="L761" i="6"/>
  <c r="K761" i="6" a="1"/>
  <c r="K761" i="6" s="1"/>
  <c r="F761" i="6"/>
  <c r="Q760" i="6" a="1"/>
  <c r="Q760" i="6" s="1"/>
  <c r="P760" i="6"/>
  <c r="N760" i="6" a="1"/>
  <c r="N760" i="6" s="1"/>
  <c r="O760" i="6" s="1"/>
  <c r="M760" i="6" a="1"/>
  <c r="M760" i="6" s="1"/>
  <c r="L760" i="6"/>
  <c r="K760" i="6" a="1"/>
  <c r="K760" i="6" s="1"/>
  <c r="F760" i="6"/>
  <c r="Q759" i="6" a="1"/>
  <c r="Q759" i="6" s="1"/>
  <c r="P759" i="6"/>
  <c r="N759" i="6" a="1"/>
  <c r="N759" i="6" s="1"/>
  <c r="O759" i="6" s="1"/>
  <c r="M759" i="6" a="1"/>
  <c r="M759" i="6" s="1"/>
  <c r="L759" i="6"/>
  <c r="K759" i="6" a="1"/>
  <c r="K759" i="6" s="1"/>
  <c r="F759" i="6"/>
  <c r="Q758" i="6" a="1"/>
  <c r="Q758" i="6" s="1"/>
  <c r="P758" i="6"/>
  <c r="N758" i="6" a="1"/>
  <c r="N758" i="6" s="1"/>
  <c r="O758" i="6" s="1"/>
  <c r="M758" i="6" a="1"/>
  <c r="M758" i="6" s="1"/>
  <c r="L758" i="6"/>
  <c r="K758" i="6" a="1"/>
  <c r="K758" i="6" s="1"/>
  <c r="F758" i="6"/>
  <c r="Q757" i="6" a="1"/>
  <c r="Q757" i="6" s="1"/>
  <c r="P757" i="6"/>
  <c r="N757" i="6" a="1"/>
  <c r="N757" i="6" s="1"/>
  <c r="O757" i="6" s="1"/>
  <c r="M757" i="6" a="1"/>
  <c r="M757" i="6" s="1"/>
  <c r="L757" i="6"/>
  <c r="K757" i="6" a="1"/>
  <c r="K757" i="6" s="1"/>
  <c r="F757" i="6"/>
  <c r="Q756" i="6" a="1"/>
  <c r="Q756" i="6" s="1"/>
  <c r="P756" i="6"/>
  <c r="N756" i="6" a="1"/>
  <c r="N756" i="6" s="1"/>
  <c r="O756" i="6" s="1"/>
  <c r="M756" i="6" a="1"/>
  <c r="M756" i="6" s="1"/>
  <c r="L756" i="6"/>
  <c r="K756" i="6" a="1"/>
  <c r="K756" i="6" s="1"/>
  <c r="F756" i="6"/>
  <c r="Q755" i="6" a="1"/>
  <c r="Q755" i="6" s="1"/>
  <c r="P755" i="6"/>
  <c r="N755" i="6" a="1"/>
  <c r="N755" i="6" s="1"/>
  <c r="O755" i="6" s="1"/>
  <c r="M755" i="6" a="1"/>
  <c r="M755" i="6" s="1"/>
  <c r="L755" i="6"/>
  <c r="K755" i="6" a="1"/>
  <c r="K755" i="6" s="1"/>
  <c r="F755" i="6"/>
  <c r="Q754" i="6" a="1"/>
  <c r="Q754" i="6" s="1"/>
  <c r="P754" i="6"/>
  <c r="N754" i="6" a="1"/>
  <c r="N754" i="6" s="1"/>
  <c r="O754" i="6" s="1"/>
  <c r="M754" i="6" a="1"/>
  <c r="M754" i="6" s="1"/>
  <c r="L754" i="6"/>
  <c r="K754" i="6" a="1"/>
  <c r="K754" i="6" s="1"/>
  <c r="F754" i="6"/>
  <c r="Q753" i="6" a="1"/>
  <c r="Q753" i="6" s="1"/>
  <c r="P753" i="6"/>
  <c r="N753" i="6" a="1"/>
  <c r="N753" i="6" s="1"/>
  <c r="O753" i="6" s="1"/>
  <c r="M753" i="6" a="1"/>
  <c r="M753" i="6" s="1"/>
  <c r="L753" i="6"/>
  <c r="K753" i="6" a="1"/>
  <c r="K753" i="6" s="1"/>
  <c r="F753" i="6"/>
  <c r="Q752" i="6" a="1"/>
  <c r="Q752" i="6" s="1"/>
  <c r="P752" i="6"/>
  <c r="N752" i="6" a="1"/>
  <c r="N752" i="6" s="1"/>
  <c r="O752" i="6" s="1"/>
  <c r="M752" i="6" a="1"/>
  <c r="M752" i="6" s="1"/>
  <c r="L752" i="6"/>
  <c r="K752" i="6" a="1"/>
  <c r="K752" i="6" s="1"/>
  <c r="F752" i="6"/>
  <c r="Q751" i="6" a="1"/>
  <c r="Q751" i="6" s="1"/>
  <c r="P751" i="6"/>
  <c r="N751" i="6" a="1"/>
  <c r="N751" i="6" s="1"/>
  <c r="O751" i="6" s="1"/>
  <c r="M751" i="6" a="1"/>
  <c r="M751" i="6" s="1"/>
  <c r="L751" i="6"/>
  <c r="K751" i="6" a="1"/>
  <c r="K751" i="6" s="1"/>
  <c r="F751" i="6"/>
  <c r="Q750" i="6" a="1"/>
  <c r="Q750" i="6" s="1"/>
  <c r="P750" i="6"/>
  <c r="N750" i="6" a="1"/>
  <c r="N750" i="6" s="1"/>
  <c r="O750" i="6" s="1"/>
  <c r="M750" i="6" a="1"/>
  <c r="M750" i="6" s="1"/>
  <c r="L750" i="6"/>
  <c r="K750" i="6" a="1"/>
  <c r="K750" i="6" s="1"/>
  <c r="F750" i="6"/>
  <c r="Q749" i="6" a="1"/>
  <c r="Q749" i="6" s="1"/>
  <c r="P749" i="6"/>
  <c r="N749" i="6" a="1"/>
  <c r="N749" i="6" s="1"/>
  <c r="O749" i="6" s="1"/>
  <c r="M749" i="6" a="1"/>
  <c r="M749" i="6" s="1"/>
  <c r="L749" i="6"/>
  <c r="K749" i="6" a="1"/>
  <c r="K749" i="6" s="1"/>
  <c r="F749" i="6"/>
  <c r="Q748" i="6" a="1"/>
  <c r="Q748" i="6" s="1"/>
  <c r="P748" i="6"/>
  <c r="N748" i="6" a="1"/>
  <c r="N748" i="6" s="1"/>
  <c r="O748" i="6" s="1"/>
  <c r="M748" i="6" a="1"/>
  <c r="M748" i="6" s="1"/>
  <c r="L748" i="6"/>
  <c r="K748" i="6" a="1"/>
  <c r="K748" i="6" s="1"/>
  <c r="F748" i="6"/>
  <c r="Q747" i="6" a="1"/>
  <c r="Q747" i="6" s="1"/>
  <c r="P747" i="6"/>
  <c r="N747" i="6" a="1"/>
  <c r="N747" i="6" s="1"/>
  <c r="O747" i="6" s="1"/>
  <c r="M747" i="6" a="1"/>
  <c r="M747" i="6" s="1"/>
  <c r="L747" i="6"/>
  <c r="K747" i="6" a="1"/>
  <c r="K747" i="6" s="1"/>
  <c r="F747" i="6"/>
  <c r="Q746" i="6" a="1"/>
  <c r="Q746" i="6" s="1"/>
  <c r="P746" i="6"/>
  <c r="N746" i="6" a="1"/>
  <c r="N746" i="6" s="1"/>
  <c r="O746" i="6" s="1"/>
  <c r="M746" i="6" a="1"/>
  <c r="M746" i="6" s="1"/>
  <c r="L746" i="6"/>
  <c r="K746" i="6" a="1"/>
  <c r="K746" i="6" s="1"/>
  <c r="F746" i="6"/>
  <c r="Q745" i="6" a="1"/>
  <c r="Q745" i="6" s="1"/>
  <c r="P745" i="6"/>
  <c r="N745" i="6" a="1"/>
  <c r="N745" i="6" s="1"/>
  <c r="O745" i="6" s="1"/>
  <c r="M745" i="6" a="1"/>
  <c r="M745" i="6" s="1"/>
  <c r="L745" i="6"/>
  <c r="K745" i="6" a="1"/>
  <c r="K745" i="6" s="1"/>
  <c r="F745" i="6"/>
  <c r="Q744" i="6" a="1"/>
  <c r="Q744" i="6" s="1"/>
  <c r="P744" i="6"/>
  <c r="N744" i="6" a="1"/>
  <c r="N744" i="6" s="1"/>
  <c r="O744" i="6" s="1"/>
  <c r="M744" i="6" a="1"/>
  <c r="M744" i="6" s="1"/>
  <c r="L744" i="6"/>
  <c r="K744" i="6" a="1"/>
  <c r="K744" i="6" s="1"/>
  <c r="F744" i="6"/>
  <c r="Q743" i="6" a="1"/>
  <c r="Q743" i="6" s="1"/>
  <c r="P743" i="6"/>
  <c r="N743" i="6" a="1"/>
  <c r="N743" i="6" s="1"/>
  <c r="O743" i="6" s="1"/>
  <c r="M743" i="6" a="1"/>
  <c r="M743" i="6" s="1"/>
  <c r="L743" i="6"/>
  <c r="K743" i="6" a="1"/>
  <c r="K743" i="6" s="1"/>
  <c r="F743" i="6"/>
  <c r="Q742" i="6" a="1"/>
  <c r="Q742" i="6" s="1"/>
  <c r="P742" i="6"/>
  <c r="N742" i="6" a="1"/>
  <c r="N742" i="6" s="1"/>
  <c r="O742" i="6" s="1"/>
  <c r="M742" i="6" a="1"/>
  <c r="M742" i="6" s="1"/>
  <c r="L742" i="6"/>
  <c r="K742" i="6" a="1"/>
  <c r="K742" i="6" s="1"/>
  <c r="F742" i="6"/>
  <c r="Q741" i="6" a="1"/>
  <c r="Q741" i="6" s="1"/>
  <c r="P741" i="6"/>
  <c r="N741" i="6" a="1"/>
  <c r="N741" i="6" s="1"/>
  <c r="O741" i="6" s="1"/>
  <c r="M741" i="6" a="1"/>
  <c r="M741" i="6" s="1"/>
  <c r="L741" i="6"/>
  <c r="K741" i="6" a="1"/>
  <c r="K741" i="6" s="1"/>
  <c r="F741" i="6"/>
  <c r="Q740" i="6" a="1"/>
  <c r="Q740" i="6" s="1"/>
  <c r="P740" i="6"/>
  <c r="N740" i="6" a="1"/>
  <c r="N740" i="6" s="1"/>
  <c r="O740" i="6" s="1"/>
  <c r="M740" i="6" a="1"/>
  <c r="M740" i="6" s="1"/>
  <c r="L740" i="6"/>
  <c r="K740" i="6" a="1"/>
  <c r="K740" i="6" s="1"/>
  <c r="F740" i="6"/>
  <c r="Q739" i="6" a="1"/>
  <c r="Q739" i="6" s="1"/>
  <c r="P739" i="6"/>
  <c r="N739" i="6" a="1"/>
  <c r="N739" i="6" s="1"/>
  <c r="O739" i="6" s="1"/>
  <c r="M739" i="6" a="1"/>
  <c r="M739" i="6" s="1"/>
  <c r="L739" i="6"/>
  <c r="K739" i="6" a="1"/>
  <c r="K739" i="6" s="1"/>
  <c r="F739" i="6"/>
  <c r="Q738" i="6" a="1"/>
  <c r="Q738" i="6" s="1"/>
  <c r="P738" i="6"/>
  <c r="N738" i="6" a="1"/>
  <c r="N738" i="6" s="1"/>
  <c r="O738" i="6" s="1"/>
  <c r="M738" i="6" a="1"/>
  <c r="M738" i="6" s="1"/>
  <c r="L738" i="6"/>
  <c r="K738" i="6" a="1"/>
  <c r="K738" i="6" s="1"/>
  <c r="F738" i="6"/>
  <c r="Q737" i="6" a="1"/>
  <c r="Q737" i="6" s="1"/>
  <c r="P737" i="6"/>
  <c r="N737" i="6" a="1"/>
  <c r="N737" i="6" s="1"/>
  <c r="O737" i="6" s="1"/>
  <c r="M737" i="6" a="1"/>
  <c r="M737" i="6" s="1"/>
  <c r="L737" i="6"/>
  <c r="K737" i="6" a="1"/>
  <c r="K737" i="6" s="1"/>
  <c r="F737" i="6"/>
  <c r="Q736" i="6" a="1"/>
  <c r="Q736" i="6" s="1"/>
  <c r="P736" i="6"/>
  <c r="N736" i="6" a="1"/>
  <c r="N736" i="6" s="1"/>
  <c r="O736" i="6" s="1"/>
  <c r="M736" i="6" a="1"/>
  <c r="M736" i="6" s="1"/>
  <c r="L736" i="6"/>
  <c r="K736" i="6" a="1"/>
  <c r="K736" i="6" s="1"/>
  <c r="F736" i="6"/>
  <c r="Q735" i="6" a="1"/>
  <c r="Q735" i="6" s="1"/>
  <c r="P735" i="6"/>
  <c r="N735" i="6" a="1"/>
  <c r="N735" i="6" s="1"/>
  <c r="O735" i="6" s="1"/>
  <c r="M735" i="6" a="1"/>
  <c r="M735" i="6" s="1"/>
  <c r="L735" i="6"/>
  <c r="K735" i="6" a="1"/>
  <c r="K735" i="6" s="1"/>
  <c r="F735" i="6"/>
  <c r="Q734" i="6" a="1"/>
  <c r="Q734" i="6" s="1"/>
  <c r="P734" i="6"/>
  <c r="N734" i="6" a="1"/>
  <c r="N734" i="6" s="1"/>
  <c r="O734" i="6" s="1"/>
  <c r="M734" i="6" a="1"/>
  <c r="M734" i="6" s="1"/>
  <c r="L734" i="6"/>
  <c r="K734" i="6" a="1"/>
  <c r="K734" i="6" s="1"/>
  <c r="F734" i="6"/>
  <c r="Q733" i="6" a="1"/>
  <c r="Q733" i="6" s="1"/>
  <c r="P733" i="6"/>
  <c r="N733" i="6" a="1"/>
  <c r="N733" i="6" s="1"/>
  <c r="O733" i="6" s="1"/>
  <c r="M733" i="6" a="1"/>
  <c r="M733" i="6" s="1"/>
  <c r="L733" i="6"/>
  <c r="K733" i="6" a="1"/>
  <c r="K733" i="6" s="1"/>
  <c r="F733" i="6"/>
  <c r="Q732" i="6" a="1"/>
  <c r="Q732" i="6" s="1"/>
  <c r="P732" i="6"/>
  <c r="N732" i="6" a="1"/>
  <c r="N732" i="6" s="1"/>
  <c r="O732" i="6" s="1"/>
  <c r="M732" i="6" a="1"/>
  <c r="M732" i="6" s="1"/>
  <c r="L732" i="6"/>
  <c r="K732" i="6" a="1"/>
  <c r="K732" i="6" s="1"/>
  <c r="F732" i="6"/>
  <c r="Q731" i="6" a="1"/>
  <c r="Q731" i="6" s="1"/>
  <c r="P731" i="6"/>
  <c r="N731" i="6" a="1"/>
  <c r="N731" i="6" s="1"/>
  <c r="O731" i="6" s="1"/>
  <c r="M731" i="6" a="1"/>
  <c r="M731" i="6" s="1"/>
  <c r="L731" i="6"/>
  <c r="K731" i="6" a="1"/>
  <c r="K731" i="6" s="1"/>
  <c r="F731" i="6"/>
  <c r="Q730" i="6" a="1"/>
  <c r="Q730" i="6" s="1"/>
  <c r="P730" i="6"/>
  <c r="N730" i="6" a="1"/>
  <c r="N730" i="6" s="1"/>
  <c r="O730" i="6" s="1"/>
  <c r="M730" i="6" a="1"/>
  <c r="M730" i="6" s="1"/>
  <c r="L730" i="6"/>
  <c r="K730" i="6" a="1"/>
  <c r="K730" i="6" s="1"/>
  <c r="F730" i="6"/>
  <c r="Q729" i="6" a="1"/>
  <c r="Q729" i="6" s="1"/>
  <c r="P729" i="6"/>
  <c r="N729" i="6" a="1"/>
  <c r="N729" i="6" s="1"/>
  <c r="O729" i="6" s="1"/>
  <c r="M729" i="6" a="1"/>
  <c r="M729" i="6" s="1"/>
  <c r="L729" i="6"/>
  <c r="K729" i="6" a="1"/>
  <c r="K729" i="6" s="1"/>
  <c r="F729" i="6"/>
  <c r="Q728" i="6" a="1"/>
  <c r="Q728" i="6" s="1"/>
  <c r="P728" i="6"/>
  <c r="N728" i="6" a="1"/>
  <c r="N728" i="6" s="1"/>
  <c r="O728" i="6" s="1"/>
  <c r="M728" i="6" a="1"/>
  <c r="M728" i="6" s="1"/>
  <c r="L728" i="6"/>
  <c r="K728" i="6" a="1"/>
  <c r="K728" i="6" s="1"/>
  <c r="F728" i="6"/>
  <c r="Q727" i="6" a="1"/>
  <c r="Q727" i="6" s="1"/>
  <c r="P727" i="6"/>
  <c r="N727" i="6" a="1"/>
  <c r="N727" i="6" s="1"/>
  <c r="O727" i="6" s="1"/>
  <c r="M727" i="6" a="1"/>
  <c r="M727" i="6" s="1"/>
  <c r="L727" i="6"/>
  <c r="K727" i="6" a="1"/>
  <c r="K727" i="6" s="1"/>
  <c r="F727" i="6"/>
  <c r="Q726" i="6" a="1"/>
  <c r="Q726" i="6" s="1"/>
  <c r="P726" i="6"/>
  <c r="N726" i="6" a="1"/>
  <c r="N726" i="6" s="1"/>
  <c r="O726" i="6" s="1"/>
  <c r="M726" i="6" a="1"/>
  <c r="M726" i="6" s="1"/>
  <c r="L726" i="6"/>
  <c r="K726" i="6" a="1"/>
  <c r="K726" i="6" s="1"/>
  <c r="F726" i="6"/>
  <c r="Q725" i="6" a="1"/>
  <c r="Q725" i="6" s="1"/>
  <c r="P725" i="6"/>
  <c r="N725" i="6" a="1"/>
  <c r="N725" i="6" s="1"/>
  <c r="O725" i="6" s="1"/>
  <c r="M725" i="6" a="1"/>
  <c r="M725" i="6" s="1"/>
  <c r="L725" i="6"/>
  <c r="K725" i="6" a="1"/>
  <c r="K725" i="6" s="1"/>
  <c r="F725" i="6"/>
  <c r="Q724" i="6" a="1"/>
  <c r="Q724" i="6" s="1"/>
  <c r="P724" i="6"/>
  <c r="N724" i="6" a="1"/>
  <c r="N724" i="6" s="1"/>
  <c r="O724" i="6" s="1"/>
  <c r="M724" i="6" a="1"/>
  <c r="M724" i="6" s="1"/>
  <c r="L724" i="6"/>
  <c r="K724" i="6" a="1"/>
  <c r="K724" i="6" s="1"/>
  <c r="F724" i="6"/>
  <c r="Q723" i="6" a="1"/>
  <c r="Q723" i="6" s="1"/>
  <c r="P723" i="6"/>
  <c r="N723" i="6" a="1"/>
  <c r="N723" i="6" s="1"/>
  <c r="O723" i="6" s="1"/>
  <c r="M723" i="6" a="1"/>
  <c r="M723" i="6" s="1"/>
  <c r="L723" i="6"/>
  <c r="K723" i="6" a="1"/>
  <c r="K723" i="6" s="1"/>
  <c r="F723" i="6"/>
  <c r="Q722" i="6" a="1"/>
  <c r="Q722" i="6" s="1"/>
  <c r="P722" i="6"/>
  <c r="N722" i="6" a="1"/>
  <c r="N722" i="6" s="1"/>
  <c r="O722" i="6" s="1"/>
  <c r="M722" i="6" a="1"/>
  <c r="M722" i="6" s="1"/>
  <c r="L722" i="6"/>
  <c r="K722" i="6" a="1"/>
  <c r="K722" i="6" s="1"/>
  <c r="F722" i="6"/>
  <c r="Q721" i="6" a="1"/>
  <c r="Q721" i="6" s="1"/>
  <c r="P721" i="6"/>
  <c r="N721" i="6" a="1"/>
  <c r="N721" i="6" s="1"/>
  <c r="O721" i="6" s="1"/>
  <c r="M721" i="6" a="1"/>
  <c r="M721" i="6" s="1"/>
  <c r="L721" i="6"/>
  <c r="K721" i="6" a="1"/>
  <c r="K721" i="6" s="1"/>
  <c r="F721" i="6"/>
  <c r="Q720" i="6" a="1"/>
  <c r="Q720" i="6" s="1"/>
  <c r="P720" i="6"/>
  <c r="N720" i="6" a="1"/>
  <c r="N720" i="6" s="1"/>
  <c r="O720" i="6" s="1"/>
  <c r="M720" i="6" a="1"/>
  <c r="M720" i="6" s="1"/>
  <c r="L720" i="6"/>
  <c r="K720" i="6" a="1"/>
  <c r="K720" i="6" s="1"/>
  <c r="F720" i="6"/>
  <c r="Q719" i="6" a="1"/>
  <c r="Q719" i="6" s="1"/>
  <c r="P719" i="6"/>
  <c r="N719" i="6" a="1"/>
  <c r="N719" i="6" s="1"/>
  <c r="O719" i="6" s="1"/>
  <c r="M719" i="6" a="1"/>
  <c r="M719" i="6" s="1"/>
  <c r="L719" i="6"/>
  <c r="K719" i="6" a="1"/>
  <c r="K719" i="6" s="1"/>
  <c r="F719" i="6"/>
  <c r="Q718" i="6" a="1"/>
  <c r="Q718" i="6" s="1"/>
  <c r="P718" i="6"/>
  <c r="N718" i="6" a="1"/>
  <c r="N718" i="6" s="1"/>
  <c r="O718" i="6" s="1"/>
  <c r="M718" i="6" a="1"/>
  <c r="M718" i="6" s="1"/>
  <c r="L718" i="6"/>
  <c r="K718" i="6" a="1"/>
  <c r="K718" i="6" s="1"/>
  <c r="F718" i="6"/>
  <c r="Q717" i="6" a="1"/>
  <c r="Q717" i="6" s="1"/>
  <c r="P717" i="6"/>
  <c r="N717" i="6" a="1"/>
  <c r="N717" i="6" s="1"/>
  <c r="O717" i="6" s="1"/>
  <c r="M717" i="6" a="1"/>
  <c r="M717" i="6" s="1"/>
  <c r="L717" i="6"/>
  <c r="K717" i="6" a="1"/>
  <c r="K717" i="6" s="1"/>
  <c r="F717" i="6"/>
  <c r="Q716" i="6" a="1"/>
  <c r="Q716" i="6" s="1"/>
  <c r="P716" i="6"/>
  <c r="N716" i="6" a="1"/>
  <c r="N716" i="6" s="1"/>
  <c r="O716" i="6" s="1"/>
  <c r="M716" i="6" a="1"/>
  <c r="M716" i="6" s="1"/>
  <c r="L716" i="6"/>
  <c r="K716" i="6" a="1"/>
  <c r="K716" i="6" s="1"/>
  <c r="F716" i="6"/>
  <c r="Q715" i="6" a="1"/>
  <c r="Q715" i="6" s="1"/>
  <c r="P715" i="6"/>
  <c r="N715" i="6" a="1"/>
  <c r="N715" i="6" s="1"/>
  <c r="O715" i="6" s="1"/>
  <c r="M715" i="6" a="1"/>
  <c r="M715" i="6" s="1"/>
  <c r="L715" i="6"/>
  <c r="K715" i="6" a="1"/>
  <c r="K715" i="6" s="1"/>
  <c r="F715" i="6"/>
  <c r="Q714" i="6" a="1"/>
  <c r="Q714" i="6" s="1"/>
  <c r="P714" i="6"/>
  <c r="N714" i="6" a="1"/>
  <c r="N714" i="6" s="1"/>
  <c r="O714" i="6" s="1"/>
  <c r="M714" i="6" a="1"/>
  <c r="M714" i="6" s="1"/>
  <c r="L714" i="6"/>
  <c r="K714" i="6" a="1"/>
  <c r="K714" i="6" s="1"/>
  <c r="F714" i="6"/>
  <c r="Q713" i="6" a="1"/>
  <c r="Q713" i="6" s="1"/>
  <c r="P713" i="6"/>
  <c r="N713" i="6" a="1"/>
  <c r="N713" i="6" s="1"/>
  <c r="O713" i="6" s="1"/>
  <c r="M713" i="6" a="1"/>
  <c r="M713" i="6" s="1"/>
  <c r="L713" i="6"/>
  <c r="K713" i="6" a="1"/>
  <c r="K713" i="6" s="1"/>
  <c r="F713" i="6"/>
  <c r="Q712" i="6" a="1"/>
  <c r="Q712" i="6" s="1"/>
  <c r="P712" i="6"/>
  <c r="N712" i="6" a="1"/>
  <c r="N712" i="6" s="1"/>
  <c r="O712" i="6" s="1"/>
  <c r="M712" i="6" a="1"/>
  <c r="M712" i="6" s="1"/>
  <c r="L712" i="6"/>
  <c r="K712" i="6" a="1"/>
  <c r="K712" i="6" s="1"/>
  <c r="F712" i="6"/>
  <c r="Q711" i="6" a="1"/>
  <c r="Q711" i="6" s="1"/>
  <c r="P711" i="6"/>
  <c r="N711" i="6" a="1"/>
  <c r="N711" i="6" s="1"/>
  <c r="O711" i="6" s="1"/>
  <c r="M711" i="6" a="1"/>
  <c r="M711" i="6" s="1"/>
  <c r="L711" i="6"/>
  <c r="K711" i="6" a="1"/>
  <c r="K711" i="6" s="1"/>
  <c r="F711" i="6"/>
  <c r="Q710" i="6" a="1"/>
  <c r="Q710" i="6" s="1"/>
  <c r="P710" i="6"/>
  <c r="N710" i="6" a="1"/>
  <c r="N710" i="6" s="1"/>
  <c r="O710" i="6" s="1"/>
  <c r="M710" i="6" a="1"/>
  <c r="M710" i="6" s="1"/>
  <c r="L710" i="6"/>
  <c r="K710" i="6" a="1"/>
  <c r="K710" i="6" s="1"/>
  <c r="F710" i="6"/>
  <c r="Q709" i="6" a="1"/>
  <c r="Q709" i="6" s="1"/>
  <c r="P709" i="6"/>
  <c r="N709" i="6" a="1"/>
  <c r="N709" i="6" s="1"/>
  <c r="O709" i="6" s="1"/>
  <c r="M709" i="6" a="1"/>
  <c r="M709" i="6" s="1"/>
  <c r="L709" i="6"/>
  <c r="K709" i="6" a="1"/>
  <c r="K709" i="6" s="1"/>
  <c r="F709" i="6"/>
  <c r="Q708" i="6" a="1"/>
  <c r="Q708" i="6" s="1"/>
  <c r="P708" i="6"/>
  <c r="N708" i="6" a="1"/>
  <c r="N708" i="6" s="1"/>
  <c r="O708" i="6" s="1"/>
  <c r="M708" i="6" a="1"/>
  <c r="M708" i="6" s="1"/>
  <c r="L708" i="6"/>
  <c r="K708" i="6" a="1"/>
  <c r="K708" i="6" s="1"/>
  <c r="F708" i="6"/>
  <c r="Q707" i="6" a="1"/>
  <c r="Q707" i="6" s="1"/>
  <c r="P707" i="6"/>
  <c r="N707" i="6" a="1"/>
  <c r="N707" i="6" s="1"/>
  <c r="O707" i="6" s="1"/>
  <c r="M707" i="6" a="1"/>
  <c r="M707" i="6" s="1"/>
  <c r="L707" i="6"/>
  <c r="K707" i="6" a="1"/>
  <c r="K707" i="6" s="1"/>
  <c r="F707" i="6"/>
  <c r="Q706" i="6" a="1"/>
  <c r="Q706" i="6" s="1"/>
  <c r="P706" i="6"/>
  <c r="N706" i="6" a="1"/>
  <c r="N706" i="6" s="1"/>
  <c r="O706" i="6" s="1"/>
  <c r="M706" i="6" a="1"/>
  <c r="M706" i="6" s="1"/>
  <c r="L706" i="6"/>
  <c r="K706" i="6" a="1"/>
  <c r="K706" i="6" s="1"/>
  <c r="F706" i="6"/>
  <c r="Q705" i="6" a="1"/>
  <c r="Q705" i="6" s="1"/>
  <c r="P705" i="6"/>
  <c r="N705" i="6" a="1"/>
  <c r="N705" i="6" s="1"/>
  <c r="O705" i="6" s="1"/>
  <c r="M705" i="6" a="1"/>
  <c r="M705" i="6" s="1"/>
  <c r="L705" i="6"/>
  <c r="K705" i="6" a="1"/>
  <c r="K705" i="6" s="1"/>
  <c r="F705" i="6"/>
  <c r="Q704" i="6" a="1"/>
  <c r="Q704" i="6" s="1"/>
  <c r="P704" i="6"/>
  <c r="N704" i="6" a="1"/>
  <c r="N704" i="6" s="1"/>
  <c r="O704" i="6" s="1"/>
  <c r="M704" i="6" a="1"/>
  <c r="M704" i="6" s="1"/>
  <c r="L704" i="6"/>
  <c r="K704" i="6" a="1"/>
  <c r="K704" i="6" s="1"/>
  <c r="F704" i="6"/>
  <c r="Q703" i="6" a="1"/>
  <c r="Q703" i="6" s="1"/>
  <c r="P703" i="6"/>
  <c r="N703" i="6" a="1"/>
  <c r="N703" i="6" s="1"/>
  <c r="O703" i="6" s="1"/>
  <c r="M703" i="6" a="1"/>
  <c r="M703" i="6" s="1"/>
  <c r="L703" i="6"/>
  <c r="K703" i="6" a="1"/>
  <c r="K703" i="6" s="1"/>
  <c r="F703" i="6"/>
  <c r="Q702" i="6" a="1"/>
  <c r="Q702" i="6" s="1"/>
  <c r="P702" i="6"/>
  <c r="N702" i="6" a="1"/>
  <c r="N702" i="6" s="1"/>
  <c r="O702" i="6" s="1"/>
  <c r="M702" i="6" a="1"/>
  <c r="M702" i="6" s="1"/>
  <c r="L702" i="6"/>
  <c r="K702" i="6" a="1"/>
  <c r="K702" i="6" s="1"/>
  <c r="F702" i="6"/>
  <c r="Q701" i="6" a="1"/>
  <c r="Q701" i="6" s="1"/>
  <c r="P701" i="6"/>
  <c r="N701" i="6" a="1"/>
  <c r="N701" i="6" s="1"/>
  <c r="O701" i="6" s="1"/>
  <c r="M701" i="6" a="1"/>
  <c r="M701" i="6" s="1"/>
  <c r="L701" i="6"/>
  <c r="K701" i="6" a="1"/>
  <c r="K701" i="6" s="1"/>
  <c r="F701" i="6"/>
  <c r="Q700" i="6" a="1"/>
  <c r="Q700" i="6" s="1"/>
  <c r="P700" i="6"/>
  <c r="N700" i="6" a="1"/>
  <c r="N700" i="6" s="1"/>
  <c r="O700" i="6" s="1"/>
  <c r="M700" i="6" a="1"/>
  <c r="M700" i="6" s="1"/>
  <c r="L700" i="6"/>
  <c r="K700" i="6" a="1"/>
  <c r="K700" i="6" s="1"/>
  <c r="F700" i="6"/>
  <c r="Q699" i="6" a="1"/>
  <c r="Q699" i="6" s="1"/>
  <c r="P699" i="6"/>
  <c r="N699" i="6" a="1"/>
  <c r="N699" i="6" s="1"/>
  <c r="O699" i="6" s="1"/>
  <c r="M699" i="6" a="1"/>
  <c r="M699" i="6" s="1"/>
  <c r="L699" i="6"/>
  <c r="K699" i="6" a="1"/>
  <c r="K699" i="6" s="1"/>
  <c r="F699" i="6"/>
  <c r="Q698" i="6" a="1"/>
  <c r="Q698" i="6" s="1"/>
  <c r="P698" i="6"/>
  <c r="N698" i="6" a="1"/>
  <c r="N698" i="6" s="1"/>
  <c r="O698" i="6" s="1"/>
  <c r="M698" i="6" a="1"/>
  <c r="M698" i="6" s="1"/>
  <c r="L698" i="6"/>
  <c r="K698" i="6" a="1"/>
  <c r="K698" i="6" s="1"/>
  <c r="F698" i="6"/>
  <c r="Q697" i="6" a="1"/>
  <c r="Q697" i="6" s="1"/>
  <c r="P697" i="6"/>
  <c r="N697" i="6" a="1"/>
  <c r="N697" i="6" s="1"/>
  <c r="O697" i="6" s="1"/>
  <c r="M697" i="6" a="1"/>
  <c r="M697" i="6" s="1"/>
  <c r="L697" i="6"/>
  <c r="K697" i="6" a="1"/>
  <c r="K697" i="6" s="1"/>
  <c r="F697" i="6"/>
  <c r="Q696" i="6" a="1"/>
  <c r="Q696" i="6" s="1"/>
  <c r="P696" i="6"/>
  <c r="N696" i="6" a="1"/>
  <c r="N696" i="6" s="1"/>
  <c r="O696" i="6" s="1"/>
  <c r="M696" i="6" a="1"/>
  <c r="M696" i="6" s="1"/>
  <c r="L696" i="6"/>
  <c r="K696" i="6" a="1"/>
  <c r="K696" i="6" s="1"/>
  <c r="F696" i="6"/>
  <c r="Q695" i="6" a="1"/>
  <c r="Q695" i="6" s="1"/>
  <c r="P695" i="6"/>
  <c r="N695" i="6" a="1"/>
  <c r="N695" i="6" s="1"/>
  <c r="O695" i="6" s="1"/>
  <c r="M695" i="6" a="1"/>
  <c r="M695" i="6" s="1"/>
  <c r="L695" i="6"/>
  <c r="K695" i="6" a="1"/>
  <c r="K695" i="6" s="1"/>
  <c r="F695" i="6"/>
  <c r="Q694" i="6" a="1"/>
  <c r="Q694" i="6" s="1"/>
  <c r="P694" i="6"/>
  <c r="N694" i="6" a="1"/>
  <c r="N694" i="6" s="1"/>
  <c r="O694" i="6" s="1"/>
  <c r="M694" i="6" a="1"/>
  <c r="M694" i="6" s="1"/>
  <c r="L694" i="6"/>
  <c r="K694" i="6" a="1"/>
  <c r="K694" i="6" s="1"/>
  <c r="F694" i="6"/>
  <c r="Q693" i="6" a="1"/>
  <c r="Q693" i="6" s="1"/>
  <c r="P693" i="6"/>
  <c r="N693" i="6" a="1"/>
  <c r="N693" i="6" s="1"/>
  <c r="O693" i="6" s="1"/>
  <c r="M693" i="6" a="1"/>
  <c r="M693" i="6" s="1"/>
  <c r="L693" i="6"/>
  <c r="K693" i="6" a="1"/>
  <c r="K693" i="6" s="1"/>
  <c r="F693" i="6"/>
  <c r="Q692" i="6" a="1"/>
  <c r="Q692" i="6" s="1"/>
  <c r="P692" i="6"/>
  <c r="N692" i="6" a="1"/>
  <c r="N692" i="6" s="1"/>
  <c r="O692" i="6" s="1"/>
  <c r="M692" i="6" a="1"/>
  <c r="M692" i="6" s="1"/>
  <c r="L692" i="6"/>
  <c r="K692" i="6" a="1"/>
  <c r="K692" i="6" s="1"/>
  <c r="F692" i="6"/>
  <c r="Q691" i="6" a="1"/>
  <c r="Q691" i="6" s="1"/>
  <c r="P691" i="6"/>
  <c r="N691" i="6" a="1"/>
  <c r="N691" i="6" s="1"/>
  <c r="O691" i="6" s="1"/>
  <c r="M691" i="6" a="1"/>
  <c r="M691" i="6" s="1"/>
  <c r="L691" i="6"/>
  <c r="K691" i="6" a="1"/>
  <c r="K691" i="6" s="1"/>
  <c r="F691" i="6"/>
  <c r="Q690" i="6" a="1"/>
  <c r="Q690" i="6" s="1"/>
  <c r="P690" i="6"/>
  <c r="N690" i="6" a="1"/>
  <c r="N690" i="6" s="1"/>
  <c r="O690" i="6" s="1"/>
  <c r="M690" i="6" a="1"/>
  <c r="M690" i="6" s="1"/>
  <c r="L690" i="6"/>
  <c r="K690" i="6" a="1"/>
  <c r="K690" i="6" s="1"/>
  <c r="F690" i="6"/>
  <c r="Q689" i="6" a="1"/>
  <c r="Q689" i="6" s="1"/>
  <c r="P689" i="6"/>
  <c r="N689" i="6" a="1"/>
  <c r="N689" i="6" s="1"/>
  <c r="O689" i="6" s="1"/>
  <c r="M689" i="6" a="1"/>
  <c r="M689" i="6" s="1"/>
  <c r="L689" i="6"/>
  <c r="K689" i="6" a="1"/>
  <c r="K689" i="6" s="1"/>
  <c r="F689" i="6"/>
  <c r="Q688" i="6" a="1"/>
  <c r="Q688" i="6" s="1"/>
  <c r="P688" i="6"/>
  <c r="N688" i="6" a="1"/>
  <c r="N688" i="6" s="1"/>
  <c r="O688" i="6" s="1"/>
  <c r="M688" i="6" a="1"/>
  <c r="M688" i="6" s="1"/>
  <c r="L688" i="6"/>
  <c r="K688" i="6" a="1"/>
  <c r="K688" i="6" s="1"/>
  <c r="F688" i="6"/>
  <c r="Q687" i="6" a="1"/>
  <c r="Q687" i="6" s="1"/>
  <c r="P687" i="6"/>
  <c r="N687" i="6" a="1"/>
  <c r="N687" i="6" s="1"/>
  <c r="O687" i="6" s="1"/>
  <c r="M687" i="6" a="1"/>
  <c r="M687" i="6" s="1"/>
  <c r="L687" i="6"/>
  <c r="K687" i="6" a="1"/>
  <c r="K687" i="6" s="1"/>
  <c r="F687" i="6"/>
  <c r="Q686" i="6" a="1"/>
  <c r="Q686" i="6" s="1"/>
  <c r="P686" i="6"/>
  <c r="N686" i="6" a="1"/>
  <c r="N686" i="6" s="1"/>
  <c r="O686" i="6" s="1"/>
  <c r="M686" i="6" a="1"/>
  <c r="M686" i="6" s="1"/>
  <c r="L686" i="6"/>
  <c r="K686" i="6" a="1"/>
  <c r="K686" i="6" s="1"/>
  <c r="F686" i="6"/>
  <c r="Q685" i="6" a="1"/>
  <c r="Q685" i="6" s="1"/>
  <c r="P685" i="6"/>
  <c r="N685" i="6" a="1"/>
  <c r="N685" i="6" s="1"/>
  <c r="O685" i="6" s="1"/>
  <c r="M685" i="6" a="1"/>
  <c r="M685" i="6" s="1"/>
  <c r="L685" i="6"/>
  <c r="K685" i="6" a="1"/>
  <c r="K685" i="6" s="1"/>
  <c r="F685" i="6"/>
  <c r="Q684" i="6" a="1"/>
  <c r="Q684" i="6" s="1"/>
  <c r="P684" i="6"/>
  <c r="N684" i="6" a="1"/>
  <c r="N684" i="6" s="1"/>
  <c r="O684" i="6" s="1"/>
  <c r="M684" i="6" a="1"/>
  <c r="M684" i="6" s="1"/>
  <c r="L684" i="6"/>
  <c r="K684" i="6" a="1"/>
  <c r="K684" i="6" s="1"/>
  <c r="F684" i="6"/>
  <c r="Q683" i="6" a="1"/>
  <c r="Q683" i="6" s="1"/>
  <c r="P683" i="6"/>
  <c r="N683" i="6" a="1"/>
  <c r="N683" i="6" s="1"/>
  <c r="O683" i="6" s="1"/>
  <c r="M683" i="6" a="1"/>
  <c r="M683" i="6" s="1"/>
  <c r="L683" i="6"/>
  <c r="K683" i="6" a="1"/>
  <c r="K683" i="6" s="1"/>
  <c r="F683" i="6"/>
  <c r="Q682" i="6" a="1"/>
  <c r="Q682" i="6" s="1"/>
  <c r="P682" i="6"/>
  <c r="N682" i="6" a="1"/>
  <c r="N682" i="6" s="1"/>
  <c r="O682" i="6" s="1"/>
  <c r="M682" i="6" a="1"/>
  <c r="M682" i="6" s="1"/>
  <c r="L682" i="6"/>
  <c r="K682" i="6" a="1"/>
  <c r="K682" i="6" s="1"/>
  <c r="F682" i="6"/>
  <c r="Q681" i="6" a="1"/>
  <c r="Q681" i="6" s="1"/>
  <c r="P681" i="6"/>
  <c r="N681" i="6" a="1"/>
  <c r="N681" i="6" s="1"/>
  <c r="O681" i="6" s="1"/>
  <c r="M681" i="6" a="1"/>
  <c r="M681" i="6" s="1"/>
  <c r="L681" i="6"/>
  <c r="K681" i="6" a="1"/>
  <c r="K681" i="6" s="1"/>
  <c r="F681" i="6"/>
  <c r="Q680" i="6" a="1"/>
  <c r="Q680" i="6" s="1"/>
  <c r="P680" i="6"/>
  <c r="N680" i="6" a="1"/>
  <c r="N680" i="6" s="1"/>
  <c r="O680" i="6" s="1"/>
  <c r="M680" i="6" a="1"/>
  <c r="M680" i="6" s="1"/>
  <c r="L680" i="6"/>
  <c r="K680" i="6" a="1"/>
  <c r="K680" i="6" s="1"/>
  <c r="F680" i="6"/>
  <c r="Q679" i="6" a="1"/>
  <c r="Q679" i="6" s="1"/>
  <c r="P679" i="6"/>
  <c r="N679" i="6" a="1"/>
  <c r="N679" i="6" s="1"/>
  <c r="O679" i="6" s="1"/>
  <c r="M679" i="6" a="1"/>
  <c r="M679" i="6" s="1"/>
  <c r="L679" i="6"/>
  <c r="K679" i="6" a="1"/>
  <c r="K679" i="6" s="1"/>
  <c r="F679" i="6"/>
  <c r="Q678" i="6" a="1"/>
  <c r="Q678" i="6" s="1"/>
  <c r="P678" i="6"/>
  <c r="N678" i="6" a="1"/>
  <c r="N678" i="6" s="1"/>
  <c r="O678" i="6" s="1"/>
  <c r="M678" i="6" a="1"/>
  <c r="M678" i="6" s="1"/>
  <c r="L678" i="6"/>
  <c r="K678" i="6" a="1"/>
  <c r="K678" i="6" s="1"/>
  <c r="F678" i="6"/>
  <c r="Q677" i="6" a="1"/>
  <c r="Q677" i="6" s="1"/>
  <c r="P677" i="6"/>
  <c r="N677" i="6" a="1"/>
  <c r="N677" i="6" s="1"/>
  <c r="O677" i="6" s="1"/>
  <c r="M677" i="6" a="1"/>
  <c r="M677" i="6" s="1"/>
  <c r="L677" i="6"/>
  <c r="K677" i="6" a="1"/>
  <c r="K677" i="6" s="1"/>
  <c r="F677" i="6"/>
  <c r="Q676" i="6" a="1"/>
  <c r="Q676" i="6" s="1"/>
  <c r="P676" i="6"/>
  <c r="N676" i="6" a="1"/>
  <c r="N676" i="6" s="1"/>
  <c r="O676" i="6" s="1"/>
  <c r="M676" i="6" a="1"/>
  <c r="M676" i="6" s="1"/>
  <c r="L676" i="6"/>
  <c r="K676" i="6" a="1"/>
  <c r="K676" i="6" s="1"/>
  <c r="F676" i="6"/>
  <c r="Q675" i="6" a="1"/>
  <c r="Q675" i="6" s="1"/>
  <c r="P675" i="6"/>
  <c r="N675" i="6" a="1"/>
  <c r="N675" i="6" s="1"/>
  <c r="O675" i="6" s="1"/>
  <c r="M675" i="6" a="1"/>
  <c r="M675" i="6" s="1"/>
  <c r="L675" i="6"/>
  <c r="K675" i="6" a="1"/>
  <c r="K675" i="6" s="1"/>
  <c r="F675" i="6"/>
  <c r="Q674" i="6" a="1"/>
  <c r="Q674" i="6" s="1"/>
  <c r="P674" i="6"/>
  <c r="N674" i="6" a="1"/>
  <c r="N674" i="6" s="1"/>
  <c r="O674" i="6" s="1"/>
  <c r="M674" i="6" a="1"/>
  <c r="M674" i="6" s="1"/>
  <c r="L674" i="6"/>
  <c r="K674" i="6" a="1"/>
  <c r="K674" i="6" s="1"/>
  <c r="F674" i="6"/>
  <c r="Q673" i="6" a="1"/>
  <c r="Q673" i="6" s="1"/>
  <c r="P673" i="6"/>
  <c r="N673" i="6" a="1"/>
  <c r="N673" i="6" s="1"/>
  <c r="O673" i="6" s="1"/>
  <c r="M673" i="6" a="1"/>
  <c r="M673" i="6" s="1"/>
  <c r="L673" i="6"/>
  <c r="K673" i="6" a="1"/>
  <c r="K673" i="6" s="1"/>
  <c r="F673" i="6"/>
  <c r="Q672" i="6" a="1"/>
  <c r="Q672" i="6" s="1"/>
  <c r="P672" i="6"/>
  <c r="N672" i="6" a="1"/>
  <c r="N672" i="6" s="1"/>
  <c r="O672" i="6" s="1"/>
  <c r="M672" i="6" a="1"/>
  <c r="M672" i="6" s="1"/>
  <c r="L672" i="6"/>
  <c r="K672" i="6" a="1"/>
  <c r="K672" i="6" s="1"/>
  <c r="F672" i="6"/>
  <c r="Q671" i="6" a="1"/>
  <c r="Q671" i="6" s="1"/>
  <c r="P671" i="6"/>
  <c r="N671" i="6" a="1"/>
  <c r="N671" i="6" s="1"/>
  <c r="O671" i="6" s="1"/>
  <c r="M671" i="6" a="1"/>
  <c r="M671" i="6" s="1"/>
  <c r="L671" i="6"/>
  <c r="K671" i="6" a="1"/>
  <c r="K671" i="6" s="1"/>
  <c r="F671" i="6"/>
  <c r="Q670" i="6" a="1"/>
  <c r="Q670" i="6" s="1"/>
  <c r="P670" i="6"/>
  <c r="N670" i="6" a="1"/>
  <c r="N670" i="6" s="1"/>
  <c r="O670" i="6" s="1"/>
  <c r="M670" i="6" a="1"/>
  <c r="M670" i="6" s="1"/>
  <c r="L670" i="6"/>
  <c r="K670" i="6" a="1"/>
  <c r="K670" i="6" s="1"/>
  <c r="F670" i="6"/>
  <c r="Q669" i="6" a="1"/>
  <c r="Q669" i="6" s="1"/>
  <c r="P669" i="6"/>
  <c r="N669" i="6" a="1"/>
  <c r="N669" i="6" s="1"/>
  <c r="O669" i="6" s="1"/>
  <c r="M669" i="6" a="1"/>
  <c r="M669" i="6" s="1"/>
  <c r="L669" i="6"/>
  <c r="K669" i="6" a="1"/>
  <c r="K669" i="6" s="1"/>
  <c r="F669" i="6"/>
  <c r="Q668" i="6" a="1"/>
  <c r="Q668" i="6" s="1"/>
  <c r="P668" i="6"/>
  <c r="N668" i="6" a="1"/>
  <c r="N668" i="6" s="1"/>
  <c r="O668" i="6" s="1"/>
  <c r="M668" i="6" a="1"/>
  <c r="M668" i="6" s="1"/>
  <c r="L668" i="6"/>
  <c r="K668" i="6" a="1"/>
  <c r="K668" i="6" s="1"/>
  <c r="F668" i="6"/>
  <c r="Q667" i="6" a="1"/>
  <c r="Q667" i="6" s="1"/>
  <c r="P667" i="6"/>
  <c r="N667" i="6" a="1"/>
  <c r="N667" i="6" s="1"/>
  <c r="O667" i="6" s="1"/>
  <c r="M667" i="6" a="1"/>
  <c r="M667" i="6" s="1"/>
  <c r="L667" i="6"/>
  <c r="K667" i="6" a="1"/>
  <c r="K667" i="6" s="1"/>
  <c r="F667" i="6"/>
  <c r="Q666" i="6" a="1"/>
  <c r="Q666" i="6" s="1"/>
  <c r="P666" i="6"/>
  <c r="N666" i="6" a="1"/>
  <c r="N666" i="6" s="1"/>
  <c r="O666" i="6" s="1"/>
  <c r="M666" i="6" a="1"/>
  <c r="M666" i="6" s="1"/>
  <c r="L666" i="6"/>
  <c r="K666" i="6" a="1"/>
  <c r="K666" i="6" s="1"/>
  <c r="F666" i="6"/>
  <c r="Q665" i="6" a="1"/>
  <c r="Q665" i="6" s="1"/>
  <c r="P665" i="6"/>
  <c r="N665" i="6" a="1"/>
  <c r="N665" i="6" s="1"/>
  <c r="O665" i="6" s="1"/>
  <c r="M665" i="6" a="1"/>
  <c r="M665" i="6" s="1"/>
  <c r="L665" i="6"/>
  <c r="K665" i="6" a="1"/>
  <c r="K665" i="6" s="1"/>
  <c r="F665" i="6"/>
  <c r="Q664" i="6" a="1"/>
  <c r="Q664" i="6" s="1"/>
  <c r="P664" i="6"/>
  <c r="N664" i="6" a="1"/>
  <c r="N664" i="6" s="1"/>
  <c r="O664" i="6" s="1"/>
  <c r="M664" i="6" a="1"/>
  <c r="M664" i="6" s="1"/>
  <c r="L664" i="6"/>
  <c r="K664" i="6" a="1"/>
  <c r="K664" i="6" s="1"/>
  <c r="F664" i="6"/>
  <c r="Q663" i="6" a="1"/>
  <c r="Q663" i="6" s="1"/>
  <c r="P663" i="6"/>
  <c r="N663" i="6" a="1"/>
  <c r="N663" i="6" s="1"/>
  <c r="O663" i="6" s="1"/>
  <c r="M663" i="6" a="1"/>
  <c r="M663" i="6" s="1"/>
  <c r="L663" i="6"/>
  <c r="K663" i="6" a="1"/>
  <c r="K663" i="6" s="1"/>
  <c r="F663" i="6"/>
  <c r="Q662" i="6" a="1"/>
  <c r="Q662" i="6" s="1"/>
  <c r="P662" i="6"/>
  <c r="N662" i="6" a="1"/>
  <c r="N662" i="6" s="1"/>
  <c r="O662" i="6" s="1"/>
  <c r="M662" i="6" a="1"/>
  <c r="M662" i="6" s="1"/>
  <c r="L662" i="6"/>
  <c r="K662" i="6" a="1"/>
  <c r="K662" i="6" s="1"/>
  <c r="F662" i="6"/>
  <c r="Q661" i="6" a="1"/>
  <c r="Q661" i="6" s="1"/>
  <c r="P661" i="6"/>
  <c r="N661" i="6" a="1"/>
  <c r="N661" i="6" s="1"/>
  <c r="O661" i="6" s="1"/>
  <c r="M661" i="6" a="1"/>
  <c r="M661" i="6" s="1"/>
  <c r="L661" i="6"/>
  <c r="K661" i="6" a="1"/>
  <c r="K661" i="6" s="1"/>
  <c r="F661" i="6"/>
  <c r="Q660" i="6" a="1"/>
  <c r="Q660" i="6" s="1"/>
  <c r="P660" i="6"/>
  <c r="N660" i="6" a="1"/>
  <c r="N660" i="6" s="1"/>
  <c r="O660" i="6" s="1"/>
  <c r="M660" i="6" a="1"/>
  <c r="M660" i="6" s="1"/>
  <c r="L660" i="6"/>
  <c r="K660" i="6" a="1"/>
  <c r="K660" i="6" s="1"/>
  <c r="F660" i="6"/>
  <c r="Q659" i="6" a="1"/>
  <c r="Q659" i="6" s="1"/>
  <c r="P659" i="6"/>
  <c r="N659" i="6" a="1"/>
  <c r="N659" i="6" s="1"/>
  <c r="O659" i="6" s="1"/>
  <c r="M659" i="6" a="1"/>
  <c r="M659" i="6" s="1"/>
  <c r="L659" i="6"/>
  <c r="K659" i="6" a="1"/>
  <c r="K659" i="6" s="1"/>
  <c r="F659" i="6"/>
  <c r="Q658" i="6" a="1"/>
  <c r="Q658" i="6" s="1"/>
  <c r="P658" i="6"/>
  <c r="N658" i="6" a="1"/>
  <c r="N658" i="6" s="1"/>
  <c r="O658" i="6" s="1"/>
  <c r="M658" i="6" a="1"/>
  <c r="M658" i="6" s="1"/>
  <c r="L658" i="6"/>
  <c r="K658" i="6" a="1"/>
  <c r="K658" i="6" s="1"/>
  <c r="F658" i="6"/>
  <c r="Q657" i="6" a="1"/>
  <c r="Q657" i="6" s="1"/>
  <c r="P657" i="6"/>
  <c r="N657" i="6" a="1"/>
  <c r="N657" i="6" s="1"/>
  <c r="O657" i="6" s="1"/>
  <c r="M657" i="6" a="1"/>
  <c r="M657" i="6" s="1"/>
  <c r="L657" i="6"/>
  <c r="K657" i="6" a="1"/>
  <c r="K657" i="6" s="1"/>
  <c r="F657" i="6"/>
  <c r="Q656" i="6" a="1"/>
  <c r="Q656" i="6" s="1"/>
  <c r="P656" i="6"/>
  <c r="N656" i="6" a="1"/>
  <c r="N656" i="6" s="1"/>
  <c r="O656" i="6" s="1"/>
  <c r="M656" i="6" a="1"/>
  <c r="M656" i="6" s="1"/>
  <c r="L656" i="6"/>
  <c r="K656" i="6" a="1"/>
  <c r="K656" i="6" s="1"/>
  <c r="F656" i="6"/>
  <c r="Q655" i="6" a="1"/>
  <c r="Q655" i="6" s="1"/>
  <c r="P655" i="6"/>
  <c r="N655" i="6" a="1"/>
  <c r="N655" i="6" s="1"/>
  <c r="O655" i="6" s="1"/>
  <c r="M655" i="6" a="1"/>
  <c r="M655" i="6" s="1"/>
  <c r="L655" i="6"/>
  <c r="K655" i="6" a="1"/>
  <c r="K655" i="6" s="1"/>
  <c r="F655" i="6"/>
  <c r="Q654" i="6" a="1"/>
  <c r="Q654" i="6" s="1"/>
  <c r="P654" i="6"/>
  <c r="N654" i="6" a="1"/>
  <c r="N654" i="6" s="1"/>
  <c r="O654" i="6" s="1"/>
  <c r="M654" i="6" a="1"/>
  <c r="M654" i="6" s="1"/>
  <c r="L654" i="6"/>
  <c r="K654" i="6" a="1"/>
  <c r="K654" i="6" s="1"/>
  <c r="F654" i="6"/>
  <c r="Q653" i="6" a="1"/>
  <c r="Q653" i="6" s="1"/>
  <c r="P653" i="6"/>
  <c r="N653" i="6" a="1"/>
  <c r="N653" i="6" s="1"/>
  <c r="O653" i="6" s="1"/>
  <c r="M653" i="6" a="1"/>
  <c r="M653" i="6" s="1"/>
  <c r="L653" i="6"/>
  <c r="K653" i="6" a="1"/>
  <c r="K653" i="6" s="1"/>
  <c r="F653" i="6"/>
  <c r="Q652" i="6" a="1"/>
  <c r="Q652" i="6" s="1"/>
  <c r="P652" i="6"/>
  <c r="N652" i="6" a="1"/>
  <c r="N652" i="6" s="1"/>
  <c r="O652" i="6" s="1"/>
  <c r="M652" i="6" a="1"/>
  <c r="M652" i="6" s="1"/>
  <c r="L652" i="6"/>
  <c r="K652" i="6" a="1"/>
  <c r="K652" i="6" s="1"/>
  <c r="F652" i="6"/>
  <c r="Q651" i="6" a="1"/>
  <c r="Q651" i="6" s="1"/>
  <c r="P651" i="6"/>
  <c r="N651" i="6" a="1"/>
  <c r="N651" i="6" s="1"/>
  <c r="O651" i="6" s="1"/>
  <c r="M651" i="6" a="1"/>
  <c r="M651" i="6" s="1"/>
  <c r="L651" i="6"/>
  <c r="K651" i="6" a="1"/>
  <c r="K651" i="6" s="1"/>
  <c r="F651" i="6"/>
  <c r="Q650" i="6" a="1"/>
  <c r="Q650" i="6" s="1"/>
  <c r="P650" i="6"/>
  <c r="N650" i="6" a="1"/>
  <c r="N650" i="6" s="1"/>
  <c r="O650" i="6" s="1"/>
  <c r="M650" i="6" a="1"/>
  <c r="M650" i="6" s="1"/>
  <c r="L650" i="6"/>
  <c r="K650" i="6" a="1"/>
  <c r="K650" i="6" s="1"/>
  <c r="F650" i="6"/>
  <c r="Q649" i="6" a="1"/>
  <c r="Q649" i="6" s="1"/>
  <c r="P649" i="6"/>
  <c r="N649" i="6" a="1"/>
  <c r="N649" i="6" s="1"/>
  <c r="O649" i="6" s="1"/>
  <c r="M649" i="6" a="1"/>
  <c r="M649" i="6" s="1"/>
  <c r="L649" i="6"/>
  <c r="K649" i="6" a="1"/>
  <c r="K649" i="6" s="1"/>
  <c r="F649" i="6"/>
  <c r="Q648" i="6" a="1"/>
  <c r="Q648" i="6" s="1"/>
  <c r="P648" i="6"/>
  <c r="N648" i="6" a="1"/>
  <c r="N648" i="6" s="1"/>
  <c r="O648" i="6" s="1"/>
  <c r="M648" i="6" a="1"/>
  <c r="M648" i="6" s="1"/>
  <c r="L648" i="6"/>
  <c r="K648" i="6" a="1"/>
  <c r="K648" i="6" s="1"/>
  <c r="F648" i="6"/>
  <c r="Q647" i="6" a="1"/>
  <c r="Q647" i="6" s="1"/>
  <c r="P647" i="6"/>
  <c r="N647" i="6" a="1"/>
  <c r="N647" i="6" s="1"/>
  <c r="O647" i="6" s="1"/>
  <c r="M647" i="6" a="1"/>
  <c r="M647" i="6" s="1"/>
  <c r="L647" i="6"/>
  <c r="K647" i="6" a="1"/>
  <c r="K647" i="6" s="1"/>
  <c r="F647" i="6"/>
  <c r="Q646" i="6" a="1"/>
  <c r="Q646" i="6" s="1"/>
  <c r="P646" i="6"/>
  <c r="N646" i="6" a="1"/>
  <c r="N646" i="6" s="1"/>
  <c r="O646" i="6" s="1"/>
  <c r="M646" i="6" a="1"/>
  <c r="M646" i="6" s="1"/>
  <c r="L646" i="6"/>
  <c r="K646" i="6" a="1"/>
  <c r="K646" i="6" s="1"/>
  <c r="F646" i="6"/>
  <c r="Q645" i="6" a="1"/>
  <c r="Q645" i="6" s="1"/>
  <c r="P645" i="6"/>
  <c r="N645" i="6" a="1"/>
  <c r="N645" i="6" s="1"/>
  <c r="O645" i="6" s="1"/>
  <c r="M645" i="6" a="1"/>
  <c r="M645" i="6" s="1"/>
  <c r="L645" i="6"/>
  <c r="K645" i="6" a="1"/>
  <c r="K645" i="6" s="1"/>
  <c r="F645" i="6"/>
  <c r="Q644" i="6" a="1"/>
  <c r="Q644" i="6" s="1"/>
  <c r="P644" i="6"/>
  <c r="N644" i="6" a="1"/>
  <c r="N644" i="6" s="1"/>
  <c r="O644" i="6" s="1"/>
  <c r="M644" i="6" a="1"/>
  <c r="M644" i="6" s="1"/>
  <c r="L644" i="6"/>
  <c r="K644" i="6" a="1"/>
  <c r="K644" i="6" s="1"/>
  <c r="F644" i="6"/>
  <c r="Q643" i="6" a="1"/>
  <c r="Q643" i="6" s="1"/>
  <c r="P643" i="6"/>
  <c r="N643" i="6" a="1"/>
  <c r="N643" i="6" s="1"/>
  <c r="O643" i="6" s="1"/>
  <c r="M643" i="6" a="1"/>
  <c r="M643" i="6" s="1"/>
  <c r="L643" i="6"/>
  <c r="K643" i="6" a="1"/>
  <c r="K643" i="6" s="1"/>
  <c r="F643" i="6"/>
  <c r="Q642" i="6" a="1"/>
  <c r="Q642" i="6" s="1"/>
  <c r="P642" i="6"/>
  <c r="N642" i="6" a="1"/>
  <c r="N642" i="6" s="1"/>
  <c r="O642" i="6" s="1"/>
  <c r="M642" i="6" a="1"/>
  <c r="M642" i="6" s="1"/>
  <c r="L642" i="6"/>
  <c r="K642" i="6" a="1"/>
  <c r="K642" i="6" s="1"/>
  <c r="F642" i="6"/>
  <c r="Q641" i="6" a="1"/>
  <c r="Q641" i="6" s="1"/>
  <c r="P641" i="6"/>
  <c r="N641" i="6" a="1"/>
  <c r="N641" i="6" s="1"/>
  <c r="O641" i="6" s="1"/>
  <c r="M641" i="6" a="1"/>
  <c r="M641" i="6" s="1"/>
  <c r="L641" i="6"/>
  <c r="K641" i="6" a="1"/>
  <c r="K641" i="6" s="1"/>
  <c r="F641" i="6"/>
  <c r="Q640" i="6" a="1"/>
  <c r="Q640" i="6" s="1"/>
  <c r="P640" i="6"/>
  <c r="N640" i="6" a="1"/>
  <c r="N640" i="6" s="1"/>
  <c r="O640" i="6" s="1"/>
  <c r="M640" i="6" a="1"/>
  <c r="M640" i="6" s="1"/>
  <c r="L640" i="6"/>
  <c r="K640" i="6" a="1"/>
  <c r="K640" i="6" s="1"/>
  <c r="F640" i="6"/>
  <c r="Q639" i="6" a="1"/>
  <c r="Q639" i="6" s="1"/>
  <c r="P639" i="6"/>
  <c r="N639" i="6" a="1"/>
  <c r="N639" i="6" s="1"/>
  <c r="O639" i="6" s="1"/>
  <c r="M639" i="6" a="1"/>
  <c r="M639" i="6" s="1"/>
  <c r="L639" i="6"/>
  <c r="K639" i="6" a="1"/>
  <c r="K639" i="6" s="1"/>
  <c r="F639" i="6"/>
  <c r="Q638" i="6" a="1"/>
  <c r="Q638" i="6" s="1"/>
  <c r="P638" i="6"/>
  <c r="N638" i="6" a="1"/>
  <c r="N638" i="6" s="1"/>
  <c r="O638" i="6" s="1"/>
  <c r="M638" i="6" a="1"/>
  <c r="M638" i="6" s="1"/>
  <c r="L638" i="6"/>
  <c r="K638" i="6" a="1"/>
  <c r="K638" i="6" s="1"/>
  <c r="F638" i="6"/>
  <c r="Q637" i="6" a="1"/>
  <c r="Q637" i="6" s="1"/>
  <c r="P637" i="6"/>
  <c r="N637" i="6" a="1"/>
  <c r="N637" i="6" s="1"/>
  <c r="O637" i="6" s="1"/>
  <c r="M637" i="6" a="1"/>
  <c r="M637" i="6" s="1"/>
  <c r="L637" i="6"/>
  <c r="K637" i="6" a="1"/>
  <c r="K637" i="6" s="1"/>
  <c r="F637" i="6"/>
  <c r="Q636" i="6" a="1"/>
  <c r="Q636" i="6" s="1"/>
  <c r="P636" i="6"/>
  <c r="N636" i="6" a="1"/>
  <c r="N636" i="6" s="1"/>
  <c r="O636" i="6" s="1"/>
  <c r="M636" i="6" a="1"/>
  <c r="M636" i="6" s="1"/>
  <c r="L636" i="6"/>
  <c r="K636" i="6" a="1"/>
  <c r="K636" i="6" s="1"/>
  <c r="F636" i="6"/>
  <c r="Q635" i="6" a="1"/>
  <c r="Q635" i="6" s="1"/>
  <c r="P635" i="6"/>
  <c r="N635" i="6" a="1"/>
  <c r="N635" i="6" s="1"/>
  <c r="O635" i="6" s="1"/>
  <c r="M635" i="6" a="1"/>
  <c r="M635" i="6" s="1"/>
  <c r="L635" i="6"/>
  <c r="K635" i="6" a="1"/>
  <c r="K635" i="6" s="1"/>
  <c r="F635" i="6"/>
  <c r="Q634" i="6" a="1"/>
  <c r="Q634" i="6" s="1"/>
  <c r="P634" i="6"/>
  <c r="N634" i="6" a="1"/>
  <c r="N634" i="6" s="1"/>
  <c r="O634" i="6" s="1"/>
  <c r="M634" i="6" a="1"/>
  <c r="M634" i="6" s="1"/>
  <c r="L634" i="6"/>
  <c r="K634" i="6" a="1"/>
  <c r="K634" i="6" s="1"/>
  <c r="F634" i="6"/>
  <c r="Q633" i="6" a="1"/>
  <c r="Q633" i="6" s="1"/>
  <c r="P633" i="6"/>
  <c r="N633" i="6" a="1"/>
  <c r="N633" i="6" s="1"/>
  <c r="O633" i="6" s="1"/>
  <c r="M633" i="6" a="1"/>
  <c r="M633" i="6" s="1"/>
  <c r="L633" i="6"/>
  <c r="K633" i="6" a="1"/>
  <c r="K633" i="6" s="1"/>
  <c r="F633" i="6"/>
  <c r="Q632" i="6" a="1"/>
  <c r="Q632" i="6" s="1"/>
  <c r="P632" i="6"/>
  <c r="N632" i="6" a="1"/>
  <c r="N632" i="6" s="1"/>
  <c r="O632" i="6" s="1"/>
  <c r="M632" i="6" a="1"/>
  <c r="M632" i="6" s="1"/>
  <c r="L632" i="6"/>
  <c r="K632" i="6" a="1"/>
  <c r="K632" i="6" s="1"/>
  <c r="F632" i="6"/>
  <c r="Q631" i="6" a="1"/>
  <c r="Q631" i="6" s="1"/>
  <c r="P631" i="6"/>
  <c r="N631" i="6" a="1"/>
  <c r="N631" i="6" s="1"/>
  <c r="O631" i="6" s="1"/>
  <c r="M631" i="6" a="1"/>
  <c r="M631" i="6" s="1"/>
  <c r="L631" i="6"/>
  <c r="K631" i="6" a="1"/>
  <c r="K631" i="6" s="1"/>
  <c r="F631" i="6"/>
  <c r="Q630" i="6" a="1"/>
  <c r="Q630" i="6" s="1"/>
  <c r="P630" i="6"/>
  <c r="N630" i="6" a="1"/>
  <c r="N630" i="6" s="1"/>
  <c r="O630" i="6" s="1"/>
  <c r="M630" i="6" a="1"/>
  <c r="M630" i="6" s="1"/>
  <c r="L630" i="6"/>
  <c r="K630" i="6" a="1"/>
  <c r="K630" i="6" s="1"/>
  <c r="F630" i="6"/>
  <c r="Q629" i="6" a="1"/>
  <c r="Q629" i="6" s="1"/>
  <c r="P629" i="6"/>
  <c r="N629" i="6" a="1"/>
  <c r="N629" i="6" s="1"/>
  <c r="O629" i="6" s="1"/>
  <c r="M629" i="6" a="1"/>
  <c r="M629" i="6" s="1"/>
  <c r="L629" i="6"/>
  <c r="K629" i="6" a="1"/>
  <c r="K629" i="6" s="1"/>
  <c r="F629" i="6"/>
  <c r="Q628" i="6" a="1"/>
  <c r="Q628" i="6" s="1"/>
  <c r="P628" i="6"/>
  <c r="N628" i="6" a="1"/>
  <c r="N628" i="6" s="1"/>
  <c r="O628" i="6" s="1"/>
  <c r="M628" i="6" a="1"/>
  <c r="M628" i="6" s="1"/>
  <c r="L628" i="6"/>
  <c r="K628" i="6" a="1"/>
  <c r="K628" i="6" s="1"/>
  <c r="F628" i="6"/>
  <c r="Q627" i="6" a="1"/>
  <c r="Q627" i="6" s="1"/>
  <c r="P627" i="6"/>
  <c r="N627" i="6" a="1"/>
  <c r="N627" i="6" s="1"/>
  <c r="O627" i="6" s="1"/>
  <c r="M627" i="6" a="1"/>
  <c r="M627" i="6" s="1"/>
  <c r="L627" i="6"/>
  <c r="K627" i="6" a="1"/>
  <c r="K627" i="6" s="1"/>
  <c r="F627" i="6"/>
  <c r="Q626" i="6" a="1"/>
  <c r="Q626" i="6" s="1"/>
  <c r="P626" i="6"/>
  <c r="N626" i="6" a="1"/>
  <c r="N626" i="6" s="1"/>
  <c r="O626" i="6" s="1"/>
  <c r="M626" i="6" a="1"/>
  <c r="M626" i="6" s="1"/>
  <c r="L626" i="6"/>
  <c r="K626" i="6" a="1"/>
  <c r="K626" i="6" s="1"/>
  <c r="F626" i="6"/>
  <c r="Q625" i="6" a="1"/>
  <c r="Q625" i="6" s="1"/>
  <c r="P625" i="6"/>
  <c r="N625" i="6" a="1"/>
  <c r="N625" i="6" s="1"/>
  <c r="O625" i="6" s="1"/>
  <c r="M625" i="6" a="1"/>
  <c r="M625" i="6" s="1"/>
  <c r="L625" i="6"/>
  <c r="K625" i="6" a="1"/>
  <c r="K625" i="6" s="1"/>
  <c r="F625" i="6"/>
  <c r="Q624" i="6" a="1"/>
  <c r="Q624" i="6" s="1"/>
  <c r="P624" i="6"/>
  <c r="N624" i="6" a="1"/>
  <c r="N624" i="6" s="1"/>
  <c r="O624" i="6" s="1"/>
  <c r="M624" i="6" a="1"/>
  <c r="M624" i="6" s="1"/>
  <c r="L624" i="6"/>
  <c r="K624" i="6" a="1"/>
  <c r="K624" i="6" s="1"/>
  <c r="F624" i="6"/>
  <c r="Q623" i="6" a="1"/>
  <c r="Q623" i="6" s="1"/>
  <c r="P623" i="6"/>
  <c r="N623" i="6" a="1"/>
  <c r="N623" i="6" s="1"/>
  <c r="O623" i="6" s="1"/>
  <c r="M623" i="6" a="1"/>
  <c r="M623" i="6" s="1"/>
  <c r="L623" i="6"/>
  <c r="K623" i="6" a="1"/>
  <c r="K623" i="6" s="1"/>
  <c r="F623" i="6"/>
  <c r="Q622" i="6" a="1"/>
  <c r="Q622" i="6" s="1"/>
  <c r="P622" i="6"/>
  <c r="N622" i="6" a="1"/>
  <c r="N622" i="6" s="1"/>
  <c r="O622" i="6" s="1"/>
  <c r="M622" i="6" a="1"/>
  <c r="M622" i="6" s="1"/>
  <c r="L622" i="6"/>
  <c r="K622" i="6" a="1"/>
  <c r="K622" i="6" s="1"/>
  <c r="F622" i="6"/>
  <c r="Q621" i="6" a="1"/>
  <c r="Q621" i="6" s="1"/>
  <c r="P621" i="6"/>
  <c r="N621" i="6" a="1"/>
  <c r="N621" i="6" s="1"/>
  <c r="O621" i="6" s="1"/>
  <c r="M621" i="6" a="1"/>
  <c r="M621" i="6" s="1"/>
  <c r="L621" i="6"/>
  <c r="K621" i="6" a="1"/>
  <c r="K621" i="6" s="1"/>
  <c r="F621" i="6"/>
  <c r="Q620" i="6" a="1"/>
  <c r="Q620" i="6" s="1"/>
  <c r="P620" i="6"/>
  <c r="N620" i="6" a="1"/>
  <c r="N620" i="6" s="1"/>
  <c r="O620" i="6" s="1"/>
  <c r="M620" i="6" a="1"/>
  <c r="M620" i="6" s="1"/>
  <c r="L620" i="6"/>
  <c r="K620" i="6" a="1"/>
  <c r="K620" i="6" s="1"/>
  <c r="F620" i="6"/>
  <c r="Q619" i="6" a="1"/>
  <c r="Q619" i="6" s="1"/>
  <c r="P619" i="6"/>
  <c r="N619" i="6" a="1"/>
  <c r="N619" i="6" s="1"/>
  <c r="O619" i="6" s="1"/>
  <c r="M619" i="6" a="1"/>
  <c r="M619" i="6" s="1"/>
  <c r="L619" i="6"/>
  <c r="K619" i="6" a="1"/>
  <c r="K619" i="6" s="1"/>
  <c r="F619" i="6"/>
  <c r="Q618" i="6" a="1"/>
  <c r="Q618" i="6" s="1"/>
  <c r="P618" i="6"/>
  <c r="N618" i="6" a="1"/>
  <c r="N618" i="6" s="1"/>
  <c r="O618" i="6" s="1"/>
  <c r="M618" i="6" a="1"/>
  <c r="M618" i="6" s="1"/>
  <c r="L618" i="6"/>
  <c r="K618" i="6" a="1"/>
  <c r="K618" i="6" s="1"/>
  <c r="F618" i="6"/>
  <c r="Q617" i="6" a="1"/>
  <c r="Q617" i="6" s="1"/>
  <c r="P617" i="6"/>
  <c r="N617" i="6" a="1"/>
  <c r="N617" i="6" s="1"/>
  <c r="O617" i="6" s="1"/>
  <c r="M617" i="6" a="1"/>
  <c r="M617" i="6" s="1"/>
  <c r="L617" i="6"/>
  <c r="K617" i="6" a="1"/>
  <c r="K617" i="6" s="1"/>
  <c r="F617" i="6"/>
  <c r="Q616" i="6" a="1"/>
  <c r="Q616" i="6" s="1"/>
  <c r="P616" i="6"/>
  <c r="N616" i="6" a="1"/>
  <c r="N616" i="6" s="1"/>
  <c r="O616" i="6" s="1"/>
  <c r="M616" i="6" a="1"/>
  <c r="M616" i="6" s="1"/>
  <c r="L616" i="6"/>
  <c r="K616" i="6" a="1"/>
  <c r="K616" i="6" s="1"/>
  <c r="F616" i="6"/>
  <c r="Q615" i="6" a="1"/>
  <c r="Q615" i="6" s="1"/>
  <c r="P615" i="6"/>
  <c r="N615" i="6" a="1"/>
  <c r="N615" i="6" s="1"/>
  <c r="O615" i="6" s="1"/>
  <c r="M615" i="6" a="1"/>
  <c r="M615" i="6" s="1"/>
  <c r="L615" i="6"/>
  <c r="K615" i="6" a="1"/>
  <c r="K615" i="6" s="1"/>
  <c r="F615" i="6"/>
  <c r="Q614" i="6" a="1"/>
  <c r="Q614" i="6" s="1"/>
  <c r="P614" i="6"/>
  <c r="N614" i="6" a="1"/>
  <c r="N614" i="6" s="1"/>
  <c r="O614" i="6" s="1"/>
  <c r="M614" i="6" a="1"/>
  <c r="M614" i="6" s="1"/>
  <c r="L614" i="6"/>
  <c r="K614" i="6" a="1"/>
  <c r="K614" i="6" s="1"/>
  <c r="F614" i="6"/>
  <c r="Q613" i="6" a="1"/>
  <c r="Q613" i="6" s="1"/>
  <c r="P613" i="6"/>
  <c r="N613" i="6" a="1"/>
  <c r="N613" i="6" s="1"/>
  <c r="O613" i="6" s="1"/>
  <c r="M613" i="6" a="1"/>
  <c r="M613" i="6" s="1"/>
  <c r="L613" i="6"/>
  <c r="K613" i="6" a="1"/>
  <c r="K613" i="6" s="1"/>
  <c r="F613" i="6"/>
  <c r="Q612" i="6" a="1"/>
  <c r="Q612" i="6" s="1"/>
  <c r="P612" i="6"/>
  <c r="N612" i="6" a="1"/>
  <c r="N612" i="6" s="1"/>
  <c r="O612" i="6" s="1"/>
  <c r="M612" i="6" a="1"/>
  <c r="M612" i="6" s="1"/>
  <c r="L612" i="6"/>
  <c r="K612" i="6" a="1"/>
  <c r="K612" i="6" s="1"/>
  <c r="F612" i="6"/>
  <c r="Q611" i="6" a="1"/>
  <c r="Q611" i="6" s="1"/>
  <c r="P611" i="6"/>
  <c r="N611" i="6" a="1"/>
  <c r="N611" i="6" s="1"/>
  <c r="O611" i="6" s="1"/>
  <c r="M611" i="6" a="1"/>
  <c r="M611" i="6" s="1"/>
  <c r="L611" i="6"/>
  <c r="K611" i="6" a="1"/>
  <c r="K611" i="6" s="1"/>
  <c r="F611" i="6"/>
  <c r="Q610" i="6" a="1"/>
  <c r="Q610" i="6" s="1"/>
  <c r="P610" i="6"/>
  <c r="N610" i="6" a="1"/>
  <c r="N610" i="6" s="1"/>
  <c r="O610" i="6" s="1"/>
  <c r="M610" i="6" a="1"/>
  <c r="M610" i="6" s="1"/>
  <c r="L610" i="6"/>
  <c r="K610" i="6" a="1"/>
  <c r="K610" i="6" s="1"/>
  <c r="F610" i="6"/>
  <c r="Q609" i="6" a="1"/>
  <c r="Q609" i="6" s="1"/>
  <c r="P609" i="6"/>
  <c r="N609" i="6" a="1"/>
  <c r="N609" i="6" s="1"/>
  <c r="O609" i="6" s="1"/>
  <c r="M609" i="6" a="1"/>
  <c r="M609" i="6" s="1"/>
  <c r="L609" i="6"/>
  <c r="K609" i="6" a="1"/>
  <c r="K609" i="6" s="1"/>
  <c r="F609" i="6"/>
  <c r="Q608" i="6" a="1"/>
  <c r="Q608" i="6" s="1"/>
  <c r="P608" i="6"/>
  <c r="N608" i="6" a="1"/>
  <c r="N608" i="6" s="1"/>
  <c r="O608" i="6" s="1"/>
  <c r="M608" i="6" a="1"/>
  <c r="M608" i="6" s="1"/>
  <c r="L608" i="6"/>
  <c r="K608" i="6" a="1"/>
  <c r="K608" i="6" s="1"/>
  <c r="F608" i="6"/>
  <c r="Q607" i="6" a="1"/>
  <c r="Q607" i="6" s="1"/>
  <c r="P607" i="6"/>
  <c r="N607" i="6" a="1"/>
  <c r="N607" i="6" s="1"/>
  <c r="O607" i="6" s="1"/>
  <c r="M607" i="6" a="1"/>
  <c r="M607" i="6" s="1"/>
  <c r="L607" i="6"/>
  <c r="K607" i="6" a="1"/>
  <c r="K607" i="6" s="1"/>
  <c r="F607" i="6"/>
  <c r="Q606" i="6" a="1"/>
  <c r="Q606" i="6" s="1"/>
  <c r="P606" i="6"/>
  <c r="N606" i="6" a="1"/>
  <c r="N606" i="6" s="1"/>
  <c r="O606" i="6" s="1"/>
  <c r="M606" i="6" a="1"/>
  <c r="M606" i="6" s="1"/>
  <c r="L606" i="6"/>
  <c r="K606" i="6" a="1"/>
  <c r="K606" i="6" s="1"/>
  <c r="F606" i="6"/>
  <c r="Q605" i="6" a="1"/>
  <c r="Q605" i="6" s="1"/>
  <c r="P605" i="6"/>
  <c r="N605" i="6" a="1"/>
  <c r="N605" i="6" s="1"/>
  <c r="O605" i="6" s="1"/>
  <c r="M605" i="6" a="1"/>
  <c r="M605" i="6" s="1"/>
  <c r="L605" i="6"/>
  <c r="K605" i="6" a="1"/>
  <c r="K605" i="6" s="1"/>
  <c r="F605" i="6"/>
  <c r="Q604" i="6" a="1"/>
  <c r="Q604" i="6" s="1"/>
  <c r="P604" i="6"/>
  <c r="N604" i="6" a="1"/>
  <c r="N604" i="6" s="1"/>
  <c r="O604" i="6" s="1"/>
  <c r="M604" i="6" a="1"/>
  <c r="M604" i="6" s="1"/>
  <c r="L604" i="6"/>
  <c r="K604" i="6" a="1"/>
  <c r="K604" i="6" s="1"/>
  <c r="F604" i="6"/>
  <c r="Q603" i="6" a="1"/>
  <c r="Q603" i="6" s="1"/>
  <c r="P603" i="6"/>
  <c r="N603" i="6" a="1"/>
  <c r="N603" i="6" s="1"/>
  <c r="O603" i="6" s="1"/>
  <c r="M603" i="6" a="1"/>
  <c r="M603" i="6" s="1"/>
  <c r="L603" i="6"/>
  <c r="K603" i="6" a="1"/>
  <c r="K603" i="6" s="1"/>
  <c r="F603" i="6"/>
  <c r="Q602" i="6" a="1"/>
  <c r="Q602" i="6" s="1"/>
  <c r="P602" i="6"/>
  <c r="N602" i="6" a="1"/>
  <c r="N602" i="6" s="1"/>
  <c r="O602" i="6" s="1"/>
  <c r="M602" i="6" a="1"/>
  <c r="M602" i="6" s="1"/>
  <c r="L602" i="6"/>
  <c r="K602" i="6" a="1"/>
  <c r="K602" i="6" s="1"/>
  <c r="F602" i="6"/>
  <c r="Q601" i="6" a="1"/>
  <c r="Q601" i="6" s="1"/>
  <c r="P601" i="6"/>
  <c r="N601" i="6" a="1"/>
  <c r="N601" i="6" s="1"/>
  <c r="O601" i="6" s="1"/>
  <c r="M601" i="6" a="1"/>
  <c r="M601" i="6" s="1"/>
  <c r="L601" i="6"/>
  <c r="K601" i="6" a="1"/>
  <c r="K601" i="6" s="1"/>
  <c r="F601" i="6"/>
  <c r="Q600" i="6" a="1"/>
  <c r="Q600" i="6" s="1"/>
  <c r="P600" i="6"/>
  <c r="N600" i="6" a="1"/>
  <c r="N600" i="6" s="1"/>
  <c r="O600" i="6" s="1"/>
  <c r="M600" i="6" a="1"/>
  <c r="M600" i="6" s="1"/>
  <c r="L600" i="6"/>
  <c r="K600" i="6" a="1"/>
  <c r="K600" i="6" s="1"/>
  <c r="F600" i="6"/>
  <c r="Q599" i="6" a="1"/>
  <c r="Q599" i="6" s="1"/>
  <c r="P599" i="6"/>
  <c r="N599" i="6" a="1"/>
  <c r="N599" i="6" s="1"/>
  <c r="O599" i="6" s="1"/>
  <c r="M599" i="6" a="1"/>
  <c r="M599" i="6" s="1"/>
  <c r="L599" i="6"/>
  <c r="K599" i="6" a="1"/>
  <c r="K599" i="6" s="1"/>
  <c r="F599" i="6"/>
  <c r="Q598" i="6" a="1"/>
  <c r="Q598" i="6" s="1"/>
  <c r="P598" i="6"/>
  <c r="N598" i="6" a="1"/>
  <c r="N598" i="6" s="1"/>
  <c r="O598" i="6" s="1"/>
  <c r="M598" i="6" a="1"/>
  <c r="M598" i="6" s="1"/>
  <c r="L598" i="6"/>
  <c r="K598" i="6" a="1"/>
  <c r="K598" i="6" s="1"/>
  <c r="F598" i="6"/>
  <c r="Q597" i="6" a="1"/>
  <c r="Q597" i="6" s="1"/>
  <c r="P597" i="6"/>
  <c r="N597" i="6" a="1"/>
  <c r="N597" i="6" s="1"/>
  <c r="O597" i="6" s="1"/>
  <c r="M597" i="6" a="1"/>
  <c r="M597" i="6" s="1"/>
  <c r="L597" i="6"/>
  <c r="K597" i="6" a="1"/>
  <c r="K597" i="6" s="1"/>
  <c r="F597" i="6"/>
  <c r="Q596" i="6" a="1"/>
  <c r="Q596" i="6" s="1"/>
  <c r="P596" i="6"/>
  <c r="N596" i="6" a="1"/>
  <c r="N596" i="6" s="1"/>
  <c r="O596" i="6" s="1"/>
  <c r="M596" i="6" a="1"/>
  <c r="M596" i="6" s="1"/>
  <c r="L596" i="6"/>
  <c r="K596" i="6" a="1"/>
  <c r="K596" i="6" s="1"/>
  <c r="F596" i="6"/>
  <c r="Q595" i="6" a="1"/>
  <c r="Q595" i="6" s="1"/>
  <c r="P595" i="6"/>
  <c r="N595" i="6" a="1"/>
  <c r="N595" i="6" s="1"/>
  <c r="O595" i="6" s="1"/>
  <c r="M595" i="6" a="1"/>
  <c r="M595" i="6" s="1"/>
  <c r="L595" i="6"/>
  <c r="K595" i="6" a="1"/>
  <c r="K595" i="6" s="1"/>
  <c r="F595" i="6"/>
  <c r="Q594" i="6" a="1"/>
  <c r="Q594" i="6" s="1"/>
  <c r="P594" i="6"/>
  <c r="N594" i="6" a="1"/>
  <c r="N594" i="6" s="1"/>
  <c r="O594" i="6" s="1"/>
  <c r="M594" i="6" a="1"/>
  <c r="M594" i="6" s="1"/>
  <c r="L594" i="6"/>
  <c r="K594" i="6" a="1"/>
  <c r="K594" i="6" s="1"/>
  <c r="F594" i="6"/>
  <c r="Q593" i="6" a="1"/>
  <c r="Q593" i="6" s="1"/>
  <c r="P593" i="6"/>
  <c r="N593" i="6" a="1"/>
  <c r="N593" i="6" s="1"/>
  <c r="O593" i="6" s="1"/>
  <c r="M593" i="6" a="1"/>
  <c r="M593" i="6" s="1"/>
  <c r="L593" i="6"/>
  <c r="K593" i="6" a="1"/>
  <c r="K593" i="6" s="1"/>
  <c r="F593" i="6"/>
  <c r="Q592" i="6" a="1"/>
  <c r="Q592" i="6" s="1"/>
  <c r="P592" i="6"/>
  <c r="N592" i="6" a="1"/>
  <c r="N592" i="6" s="1"/>
  <c r="O592" i="6" s="1"/>
  <c r="M592" i="6" a="1"/>
  <c r="M592" i="6" s="1"/>
  <c r="L592" i="6"/>
  <c r="K592" i="6" a="1"/>
  <c r="K592" i="6" s="1"/>
  <c r="F592" i="6"/>
  <c r="Q591" i="6" a="1"/>
  <c r="Q591" i="6" s="1"/>
  <c r="P591" i="6"/>
  <c r="N591" i="6" a="1"/>
  <c r="N591" i="6" s="1"/>
  <c r="O591" i="6" s="1"/>
  <c r="M591" i="6" a="1"/>
  <c r="M591" i="6" s="1"/>
  <c r="L591" i="6"/>
  <c r="K591" i="6" a="1"/>
  <c r="K591" i="6" s="1"/>
  <c r="F591" i="6"/>
  <c r="Q590" i="6" a="1"/>
  <c r="Q590" i="6" s="1"/>
  <c r="P590" i="6"/>
  <c r="N590" i="6" a="1"/>
  <c r="N590" i="6" s="1"/>
  <c r="O590" i="6" s="1"/>
  <c r="M590" i="6" a="1"/>
  <c r="M590" i="6" s="1"/>
  <c r="L590" i="6"/>
  <c r="K590" i="6" a="1"/>
  <c r="K590" i="6" s="1"/>
  <c r="F590" i="6"/>
  <c r="Q589" i="6" a="1"/>
  <c r="Q589" i="6" s="1"/>
  <c r="P589" i="6"/>
  <c r="N589" i="6" a="1"/>
  <c r="N589" i="6" s="1"/>
  <c r="O589" i="6" s="1"/>
  <c r="M589" i="6" a="1"/>
  <c r="M589" i="6" s="1"/>
  <c r="L589" i="6"/>
  <c r="K589" i="6" a="1"/>
  <c r="K589" i="6" s="1"/>
  <c r="F589" i="6"/>
  <c r="Q588" i="6" a="1"/>
  <c r="Q588" i="6" s="1"/>
  <c r="P588" i="6"/>
  <c r="N588" i="6" a="1"/>
  <c r="N588" i="6" s="1"/>
  <c r="O588" i="6" s="1"/>
  <c r="M588" i="6" a="1"/>
  <c r="M588" i="6" s="1"/>
  <c r="L588" i="6"/>
  <c r="K588" i="6" a="1"/>
  <c r="K588" i="6" s="1"/>
  <c r="F588" i="6"/>
  <c r="Q587" i="6" a="1"/>
  <c r="Q587" i="6" s="1"/>
  <c r="P587" i="6"/>
  <c r="N587" i="6" a="1"/>
  <c r="N587" i="6" s="1"/>
  <c r="O587" i="6" s="1"/>
  <c r="M587" i="6" a="1"/>
  <c r="M587" i="6" s="1"/>
  <c r="L587" i="6"/>
  <c r="K587" i="6" a="1"/>
  <c r="K587" i="6" s="1"/>
  <c r="F587" i="6"/>
  <c r="Q586" i="6" a="1"/>
  <c r="Q586" i="6" s="1"/>
  <c r="P586" i="6"/>
  <c r="N586" i="6" a="1"/>
  <c r="N586" i="6" s="1"/>
  <c r="O586" i="6" s="1"/>
  <c r="M586" i="6" a="1"/>
  <c r="M586" i="6" s="1"/>
  <c r="L586" i="6"/>
  <c r="K586" i="6" a="1"/>
  <c r="K586" i="6" s="1"/>
  <c r="F586" i="6"/>
  <c r="Q585" i="6" a="1"/>
  <c r="Q585" i="6" s="1"/>
  <c r="P585" i="6"/>
  <c r="N585" i="6" a="1"/>
  <c r="N585" i="6" s="1"/>
  <c r="O585" i="6" s="1"/>
  <c r="M585" i="6" a="1"/>
  <c r="M585" i="6" s="1"/>
  <c r="L585" i="6"/>
  <c r="K585" i="6" a="1"/>
  <c r="K585" i="6" s="1"/>
  <c r="F585" i="6"/>
  <c r="Q584" i="6" a="1"/>
  <c r="Q584" i="6" s="1"/>
  <c r="P584" i="6"/>
  <c r="N584" i="6" a="1"/>
  <c r="N584" i="6" s="1"/>
  <c r="O584" i="6" s="1"/>
  <c r="M584" i="6" a="1"/>
  <c r="M584" i="6" s="1"/>
  <c r="L584" i="6"/>
  <c r="K584" i="6" a="1"/>
  <c r="K584" i="6" s="1"/>
  <c r="F584" i="6"/>
  <c r="Q583" i="6" a="1"/>
  <c r="Q583" i="6" s="1"/>
  <c r="P583" i="6"/>
  <c r="N583" i="6" a="1"/>
  <c r="N583" i="6" s="1"/>
  <c r="O583" i="6" s="1"/>
  <c r="M583" i="6" a="1"/>
  <c r="M583" i="6" s="1"/>
  <c r="L583" i="6"/>
  <c r="K583" i="6" a="1"/>
  <c r="K583" i="6" s="1"/>
  <c r="F583" i="6"/>
  <c r="Q582" i="6" a="1"/>
  <c r="Q582" i="6" s="1"/>
  <c r="P582" i="6"/>
  <c r="N582" i="6" a="1"/>
  <c r="N582" i="6" s="1"/>
  <c r="O582" i="6" s="1"/>
  <c r="M582" i="6" a="1"/>
  <c r="M582" i="6" s="1"/>
  <c r="L582" i="6"/>
  <c r="K582" i="6" a="1"/>
  <c r="K582" i="6" s="1"/>
  <c r="F582" i="6"/>
  <c r="Q581" i="6" a="1"/>
  <c r="Q581" i="6" s="1"/>
  <c r="P581" i="6"/>
  <c r="N581" i="6" a="1"/>
  <c r="N581" i="6" s="1"/>
  <c r="O581" i="6" s="1"/>
  <c r="M581" i="6" a="1"/>
  <c r="M581" i="6" s="1"/>
  <c r="L581" i="6"/>
  <c r="K581" i="6" a="1"/>
  <c r="K581" i="6" s="1"/>
  <c r="F581" i="6"/>
  <c r="Q580" i="6" a="1"/>
  <c r="Q580" i="6" s="1"/>
  <c r="P580" i="6"/>
  <c r="N580" i="6" a="1"/>
  <c r="N580" i="6" s="1"/>
  <c r="O580" i="6" s="1"/>
  <c r="M580" i="6" a="1"/>
  <c r="M580" i="6" s="1"/>
  <c r="L580" i="6"/>
  <c r="K580" i="6" a="1"/>
  <c r="K580" i="6" s="1"/>
  <c r="F580" i="6"/>
  <c r="Q579" i="6" a="1"/>
  <c r="Q579" i="6" s="1"/>
  <c r="P579" i="6"/>
  <c r="N579" i="6" a="1"/>
  <c r="N579" i="6" s="1"/>
  <c r="O579" i="6" s="1"/>
  <c r="M579" i="6" a="1"/>
  <c r="M579" i="6" s="1"/>
  <c r="L579" i="6"/>
  <c r="K579" i="6" a="1"/>
  <c r="K579" i="6" s="1"/>
  <c r="F579" i="6"/>
  <c r="Q578" i="6" a="1"/>
  <c r="Q578" i="6" s="1"/>
  <c r="P578" i="6"/>
  <c r="N578" i="6" a="1"/>
  <c r="N578" i="6" s="1"/>
  <c r="O578" i="6" s="1"/>
  <c r="M578" i="6" a="1"/>
  <c r="M578" i="6" s="1"/>
  <c r="L578" i="6"/>
  <c r="K578" i="6" a="1"/>
  <c r="K578" i="6" s="1"/>
  <c r="F578" i="6"/>
  <c r="Q577" i="6" a="1"/>
  <c r="Q577" i="6" s="1"/>
  <c r="P577" i="6"/>
  <c r="N577" i="6" a="1"/>
  <c r="N577" i="6" s="1"/>
  <c r="O577" i="6" s="1"/>
  <c r="M577" i="6" a="1"/>
  <c r="M577" i="6" s="1"/>
  <c r="L577" i="6"/>
  <c r="K577" i="6" a="1"/>
  <c r="K577" i="6" s="1"/>
  <c r="F577" i="6"/>
  <c r="Q576" i="6" a="1"/>
  <c r="Q576" i="6" s="1"/>
  <c r="P576" i="6"/>
  <c r="N576" i="6" a="1"/>
  <c r="N576" i="6" s="1"/>
  <c r="O576" i="6" s="1"/>
  <c r="M576" i="6" a="1"/>
  <c r="M576" i="6" s="1"/>
  <c r="L576" i="6"/>
  <c r="K576" i="6" a="1"/>
  <c r="K576" i="6" s="1"/>
  <c r="F576" i="6"/>
  <c r="Q575" i="6" a="1"/>
  <c r="Q575" i="6" s="1"/>
  <c r="P575" i="6"/>
  <c r="N575" i="6" a="1"/>
  <c r="N575" i="6" s="1"/>
  <c r="O575" i="6" s="1"/>
  <c r="M575" i="6" a="1"/>
  <c r="M575" i="6" s="1"/>
  <c r="L575" i="6"/>
  <c r="K575" i="6" a="1"/>
  <c r="K575" i="6" s="1"/>
  <c r="F575" i="6"/>
  <c r="Q574" i="6" a="1"/>
  <c r="Q574" i="6" s="1"/>
  <c r="P574" i="6"/>
  <c r="N574" i="6" a="1"/>
  <c r="N574" i="6" s="1"/>
  <c r="O574" i="6" s="1"/>
  <c r="M574" i="6" a="1"/>
  <c r="M574" i="6" s="1"/>
  <c r="L574" i="6"/>
  <c r="K574" i="6" a="1"/>
  <c r="K574" i="6" s="1"/>
  <c r="F574" i="6"/>
  <c r="Q573" i="6" a="1"/>
  <c r="Q573" i="6" s="1"/>
  <c r="P573" i="6"/>
  <c r="N573" i="6" a="1"/>
  <c r="N573" i="6" s="1"/>
  <c r="O573" i="6" s="1"/>
  <c r="M573" i="6" a="1"/>
  <c r="M573" i="6" s="1"/>
  <c r="L573" i="6"/>
  <c r="K573" i="6" a="1"/>
  <c r="K573" i="6" s="1"/>
  <c r="F573" i="6"/>
  <c r="Q572" i="6" a="1"/>
  <c r="Q572" i="6" s="1"/>
  <c r="P572" i="6"/>
  <c r="N572" i="6" a="1"/>
  <c r="N572" i="6" s="1"/>
  <c r="O572" i="6" s="1"/>
  <c r="M572" i="6" a="1"/>
  <c r="M572" i="6" s="1"/>
  <c r="L572" i="6"/>
  <c r="K572" i="6" a="1"/>
  <c r="K572" i="6" s="1"/>
  <c r="F572" i="6"/>
  <c r="Q571" i="6" a="1"/>
  <c r="Q571" i="6" s="1"/>
  <c r="P571" i="6"/>
  <c r="N571" i="6" a="1"/>
  <c r="N571" i="6" s="1"/>
  <c r="O571" i="6" s="1"/>
  <c r="M571" i="6" a="1"/>
  <c r="M571" i="6" s="1"/>
  <c r="L571" i="6"/>
  <c r="K571" i="6" a="1"/>
  <c r="K571" i="6" s="1"/>
  <c r="F571" i="6"/>
  <c r="Q570" i="6" a="1"/>
  <c r="Q570" i="6" s="1"/>
  <c r="P570" i="6"/>
  <c r="N570" i="6" a="1"/>
  <c r="N570" i="6" s="1"/>
  <c r="O570" i="6" s="1"/>
  <c r="M570" i="6" a="1"/>
  <c r="M570" i="6" s="1"/>
  <c r="L570" i="6"/>
  <c r="K570" i="6" a="1"/>
  <c r="K570" i="6" s="1"/>
  <c r="F570" i="6"/>
  <c r="Q569" i="6" a="1"/>
  <c r="Q569" i="6" s="1"/>
  <c r="P569" i="6"/>
  <c r="N569" i="6" a="1"/>
  <c r="N569" i="6" s="1"/>
  <c r="O569" i="6" s="1"/>
  <c r="M569" i="6" a="1"/>
  <c r="M569" i="6" s="1"/>
  <c r="L569" i="6"/>
  <c r="K569" i="6" a="1"/>
  <c r="K569" i="6" s="1"/>
  <c r="F569" i="6"/>
  <c r="Q568" i="6" a="1"/>
  <c r="Q568" i="6" s="1"/>
  <c r="P568" i="6"/>
  <c r="N568" i="6" a="1"/>
  <c r="N568" i="6" s="1"/>
  <c r="O568" i="6" s="1"/>
  <c r="M568" i="6" a="1"/>
  <c r="M568" i="6" s="1"/>
  <c r="L568" i="6"/>
  <c r="K568" i="6" a="1"/>
  <c r="K568" i="6" s="1"/>
  <c r="F568" i="6"/>
  <c r="Q567" i="6" a="1"/>
  <c r="Q567" i="6" s="1"/>
  <c r="P567" i="6"/>
  <c r="N567" i="6" a="1"/>
  <c r="N567" i="6" s="1"/>
  <c r="O567" i="6" s="1"/>
  <c r="M567" i="6" a="1"/>
  <c r="M567" i="6" s="1"/>
  <c r="L567" i="6"/>
  <c r="K567" i="6" a="1"/>
  <c r="K567" i="6" s="1"/>
  <c r="F567" i="6"/>
  <c r="Q566" i="6" a="1"/>
  <c r="Q566" i="6" s="1"/>
  <c r="P566" i="6"/>
  <c r="N566" i="6" a="1"/>
  <c r="N566" i="6" s="1"/>
  <c r="O566" i="6" s="1"/>
  <c r="M566" i="6" a="1"/>
  <c r="M566" i="6" s="1"/>
  <c r="L566" i="6"/>
  <c r="K566" i="6" a="1"/>
  <c r="K566" i="6" s="1"/>
  <c r="F566" i="6"/>
  <c r="Q565" i="6" a="1"/>
  <c r="Q565" i="6" s="1"/>
  <c r="P565" i="6"/>
  <c r="N565" i="6" a="1"/>
  <c r="N565" i="6" s="1"/>
  <c r="O565" i="6" s="1"/>
  <c r="M565" i="6" a="1"/>
  <c r="M565" i="6" s="1"/>
  <c r="L565" i="6"/>
  <c r="K565" i="6" a="1"/>
  <c r="K565" i="6" s="1"/>
  <c r="F565" i="6"/>
  <c r="Q564" i="6" a="1"/>
  <c r="Q564" i="6" s="1"/>
  <c r="P564" i="6"/>
  <c r="N564" i="6" a="1"/>
  <c r="N564" i="6" s="1"/>
  <c r="O564" i="6" s="1"/>
  <c r="M564" i="6" a="1"/>
  <c r="M564" i="6" s="1"/>
  <c r="L564" i="6"/>
  <c r="K564" i="6" a="1"/>
  <c r="K564" i="6" s="1"/>
  <c r="F564" i="6"/>
  <c r="Q563" i="6" a="1"/>
  <c r="Q563" i="6" s="1"/>
  <c r="P563" i="6"/>
  <c r="N563" i="6" a="1"/>
  <c r="N563" i="6" s="1"/>
  <c r="O563" i="6" s="1"/>
  <c r="M563" i="6" a="1"/>
  <c r="M563" i="6" s="1"/>
  <c r="L563" i="6"/>
  <c r="K563" i="6" a="1"/>
  <c r="K563" i="6" s="1"/>
  <c r="F563" i="6"/>
  <c r="Q562" i="6" a="1"/>
  <c r="Q562" i="6" s="1"/>
  <c r="P562" i="6"/>
  <c r="N562" i="6" a="1"/>
  <c r="N562" i="6" s="1"/>
  <c r="O562" i="6" s="1"/>
  <c r="M562" i="6" a="1"/>
  <c r="M562" i="6" s="1"/>
  <c r="L562" i="6"/>
  <c r="K562" i="6" a="1"/>
  <c r="K562" i="6" s="1"/>
  <c r="F562" i="6"/>
  <c r="Q561" i="6" a="1"/>
  <c r="Q561" i="6" s="1"/>
  <c r="P561" i="6"/>
  <c r="N561" i="6" a="1"/>
  <c r="N561" i="6" s="1"/>
  <c r="O561" i="6" s="1"/>
  <c r="M561" i="6" a="1"/>
  <c r="M561" i="6" s="1"/>
  <c r="L561" i="6"/>
  <c r="K561" i="6" a="1"/>
  <c r="K561" i="6" s="1"/>
  <c r="F561" i="6"/>
  <c r="Q560" i="6" a="1"/>
  <c r="Q560" i="6" s="1"/>
  <c r="P560" i="6"/>
  <c r="N560" i="6" a="1"/>
  <c r="N560" i="6" s="1"/>
  <c r="O560" i="6" s="1"/>
  <c r="M560" i="6" a="1"/>
  <c r="M560" i="6" s="1"/>
  <c r="L560" i="6"/>
  <c r="K560" i="6" a="1"/>
  <c r="K560" i="6" s="1"/>
  <c r="F560" i="6"/>
  <c r="Q559" i="6" a="1"/>
  <c r="Q559" i="6" s="1"/>
  <c r="P559" i="6"/>
  <c r="N559" i="6" a="1"/>
  <c r="N559" i="6" s="1"/>
  <c r="O559" i="6" s="1"/>
  <c r="M559" i="6" a="1"/>
  <c r="M559" i="6" s="1"/>
  <c r="L559" i="6"/>
  <c r="K559" i="6" a="1"/>
  <c r="K559" i="6" s="1"/>
  <c r="F559" i="6"/>
  <c r="Q558" i="6" a="1"/>
  <c r="Q558" i="6" s="1"/>
  <c r="P558" i="6"/>
  <c r="N558" i="6" a="1"/>
  <c r="N558" i="6" s="1"/>
  <c r="O558" i="6" s="1"/>
  <c r="M558" i="6" a="1"/>
  <c r="M558" i="6" s="1"/>
  <c r="L558" i="6"/>
  <c r="K558" i="6" a="1"/>
  <c r="K558" i="6" s="1"/>
  <c r="F558" i="6"/>
  <c r="Q557" i="6" a="1"/>
  <c r="Q557" i="6" s="1"/>
  <c r="P557" i="6"/>
  <c r="N557" i="6" a="1"/>
  <c r="N557" i="6" s="1"/>
  <c r="O557" i="6" s="1"/>
  <c r="M557" i="6" a="1"/>
  <c r="M557" i="6" s="1"/>
  <c r="L557" i="6"/>
  <c r="K557" i="6" a="1"/>
  <c r="K557" i="6" s="1"/>
  <c r="F557" i="6"/>
  <c r="Q556" i="6" a="1"/>
  <c r="Q556" i="6" s="1"/>
  <c r="P556" i="6"/>
  <c r="N556" i="6" a="1"/>
  <c r="N556" i="6" s="1"/>
  <c r="O556" i="6" s="1"/>
  <c r="M556" i="6" a="1"/>
  <c r="M556" i="6" s="1"/>
  <c r="L556" i="6"/>
  <c r="K556" i="6" a="1"/>
  <c r="K556" i="6" s="1"/>
  <c r="F556" i="6"/>
  <c r="Q555" i="6" a="1"/>
  <c r="Q555" i="6" s="1"/>
  <c r="P555" i="6"/>
  <c r="N555" i="6" a="1"/>
  <c r="N555" i="6" s="1"/>
  <c r="O555" i="6" s="1"/>
  <c r="M555" i="6" a="1"/>
  <c r="M555" i="6" s="1"/>
  <c r="L555" i="6"/>
  <c r="K555" i="6" a="1"/>
  <c r="K555" i="6" s="1"/>
  <c r="F555" i="6"/>
  <c r="Q554" i="6" a="1"/>
  <c r="Q554" i="6" s="1"/>
  <c r="P554" i="6"/>
  <c r="N554" i="6" a="1"/>
  <c r="N554" i="6" s="1"/>
  <c r="O554" i="6" s="1"/>
  <c r="M554" i="6" a="1"/>
  <c r="M554" i="6" s="1"/>
  <c r="L554" i="6"/>
  <c r="K554" i="6" a="1"/>
  <c r="K554" i="6" s="1"/>
  <c r="F554" i="6"/>
  <c r="Q553" i="6" a="1"/>
  <c r="Q553" i="6" s="1"/>
  <c r="P553" i="6"/>
  <c r="N553" i="6" a="1"/>
  <c r="N553" i="6" s="1"/>
  <c r="O553" i="6" s="1"/>
  <c r="M553" i="6" a="1"/>
  <c r="M553" i="6" s="1"/>
  <c r="L553" i="6"/>
  <c r="K553" i="6" a="1"/>
  <c r="K553" i="6" s="1"/>
  <c r="F553" i="6"/>
  <c r="Q552" i="6" a="1"/>
  <c r="Q552" i="6" s="1"/>
  <c r="P552" i="6"/>
  <c r="N552" i="6" a="1"/>
  <c r="N552" i="6" s="1"/>
  <c r="O552" i="6" s="1"/>
  <c r="M552" i="6" a="1"/>
  <c r="M552" i="6" s="1"/>
  <c r="L552" i="6"/>
  <c r="K552" i="6" a="1"/>
  <c r="K552" i="6" s="1"/>
  <c r="F552" i="6"/>
  <c r="Q551" i="6" a="1"/>
  <c r="Q551" i="6" s="1"/>
  <c r="P551" i="6"/>
  <c r="N551" i="6" a="1"/>
  <c r="N551" i="6" s="1"/>
  <c r="O551" i="6" s="1"/>
  <c r="M551" i="6" a="1"/>
  <c r="M551" i="6" s="1"/>
  <c r="L551" i="6"/>
  <c r="K551" i="6" a="1"/>
  <c r="K551" i="6" s="1"/>
  <c r="F551" i="6"/>
  <c r="Q550" i="6" a="1"/>
  <c r="Q550" i="6" s="1"/>
  <c r="P550" i="6"/>
  <c r="N550" i="6" a="1"/>
  <c r="N550" i="6" s="1"/>
  <c r="O550" i="6" s="1"/>
  <c r="M550" i="6" a="1"/>
  <c r="M550" i="6" s="1"/>
  <c r="L550" i="6"/>
  <c r="K550" i="6" a="1"/>
  <c r="K550" i="6" s="1"/>
  <c r="F550" i="6"/>
  <c r="Q549" i="6" a="1"/>
  <c r="Q549" i="6" s="1"/>
  <c r="P549" i="6"/>
  <c r="N549" i="6" a="1"/>
  <c r="N549" i="6" s="1"/>
  <c r="O549" i="6" s="1"/>
  <c r="M549" i="6" a="1"/>
  <c r="M549" i="6" s="1"/>
  <c r="L549" i="6"/>
  <c r="K549" i="6" a="1"/>
  <c r="K549" i="6" s="1"/>
  <c r="F549" i="6"/>
  <c r="Q548" i="6" a="1"/>
  <c r="Q548" i="6" s="1"/>
  <c r="P548" i="6"/>
  <c r="N548" i="6" a="1"/>
  <c r="N548" i="6" s="1"/>
  <c r="O548" i="6" s="1"/>
  <c r="M548" i="6" a="1"/>
  <c r="M548" i="6" s="1"/>
  <c r="L548" i="6"/>
  <c r="K548" i="6" a="1"/>
  <c r="K548" i="6" s="1"/>
  <c r="F548" i="6"/>
  <c r="Q547" i="6" a="1"/>
  <c r="Q547" i="6" s="1"/>
  <c r="P547" i="6"/>
  <c r="N547" i="6" a="1"/>
  <c r="N547" i="6" s="1"/>
  <c r="O547" i="6" s="1"/>
  <c r="M547" i="6" a="1"/>
  <c r="M547" i="6" s="1"/>
  <c r="L547" i="6"/>
  <c r="K547" i="6" a="1"/>
  <c r="K547" i="6" s="1"/>
  <c r="F547" i="6"/>
  <c r="Q546" i="6" a="1"/>
  <c r="Q546" i="6" s="1"/>
  <c r="P546" i="6"/>
  <c r="N546" i="6" a="1"/>
  <c r="N546" i="6" s="1"/>
  <c r="O546" i="6" s="1"/>
  <c r="M546" i="6" a="1"/>
  <c r="M546" i="6" s="1"/>
  <c r="L546" i="6"/>
  <c r="K546" i="6" a="1"/>
  <c r="K546" i="6" s="1"/>
  <c r="F546" i="6"/>
  <c r="Q545" i="6" a="1"/>
  <c r="Q545" i="6" s="1"/>
  <c r="P545" i="6"/>
  <c r="N545" i="6" a="1"/>
  <c r="N545" i="6" s="1"/>
  <c r="O545" i="6" s="1"/>
  <c r="M545" i="6" a="1"/>
  <c r="M545" i="6" s="1"/>
  <c r="L545" i="6"/>
  <c r="K545" i="6" a="1"/>
  <c r="K545" i="6" s="1"/>
  <c r="F545" i="6"/>
  <c r="Q544" i="6" a="1"/>
  <c r="Q544" i="6" s="1"/>
  <c r="P544" i="6"/>
  <c r="N544" i="6" a="1"/>
  <c r="N544" i="6" s="1"/>
  <c r="O544" i="6" s="1"/>
  <c r="M544" i="6" a="1"/>
  <c r="M544" i="6" s="1"/>
  <c r="L544" i="6"/>
  <c r="K544" i="6" a="1"/>
  <c r="K544" i="6" s="1"/>
  <c r="F544" i="6"/>
  <c r="Q543" i="6" a="1"/>
  <c r="Q543" i="6" s="1"/>
  <c r="P543" i="6"/>
  <c r="N543" i="6" a="1"/>
  <c r="N543" i="6" s="1"/>
  <c r="O543" i="6" s="1"/>
  <c r="M543" i="6" a="1"/>
  <c r="M543" i="6" s="1"/>
  <c r="L543" i="6"/>
  <c r="K543" i="6" a="1"/>
  <c r="K543" i="6" s="1"/>
  <c r="F543" i="6"/>
  <c r="Q542" i="6" a="1"/>
  <c r="Q542" i="6" s="1"/>
  <c r="P542" i="6"/>
  <c r="N542" i="6" a="1"/>
  <c r="N542" i="6" s="1"/>
  <c r="O542" i="6" s="1"/>
  <c r="M542" i="6" a="1"/>
  <c r="M542" i="6" s="1"/>
  <c r="L542" i="6"/>
  <c r="K542" i="6" a="1"/>
  <c r="K542" i="6" s="1"/>
  <c r="F542" i="6"/>
  <c r="Q541" i="6" a="1"/>
  <c r="Q541" i="6" s="1"/>
  <c r="P541" i="6"/>
  <c r="N541" i="6" a="1"/>
  <c r="N541" i="6" s="1"/>
  <c r="O541" i="6" s="1"/>
  <c r="M541" i="6" a="1"/>
  <c r="M541" i="6" s="1"/>
  <c r="L541" i="6"/>
  <c r="K541" i="6" a="1"/>
  <c r="K541" i="6" s="1"/>
  <c r="F541" i="6"/>
  <c r="Q540" i="6" a="1"/>
  <c r="Q540" i="6" s="1"/>
  <c r="P540" i="6"/>
  <c r="N540" i="6" a="1"/>
  <c r="N540" i="6" s="1"/>
  <c r="O540" i="6" s="1"/>
  <c r="M540" i="6" a="1"/>
  <c r="M540" i="6" s="1"/>
  <c r="L540" i="6"/>
  <c r="K540" i="6" a="1"/>
  <c r="K540" i="6" s="1"/>
  <c r="F540" i="6"/>
  <c r="Q539" i="6" a="1"/>
  <c r="Q539" i="6" s="1"/>
  <c r="P539" i="6"/>
  <c r="N539" i="6" a="1"/>
  <c r="N539" i="6" s="1"/>
  <c r="O539" i="6" s="1"/>
  <c r="M539" i="6" a="1"/>
  <c r="M539" i="6" s="1"/>
  <c r="L539" i="6"/>
  <c r="K539" i="6" a="1"/>
  <c r="K539" i="6" s="1"/>
  <c r="F539" i="6"/>
  <c r="Q538" i="6" a="1"/>
  <c r="Q538" i="6" s="1"/>
  <c r="P538" i="6"/>
  <c r="N538" i="6" a="1"/>
  <c r="N538" i="6" s="1"/>
  <c r="O538" i="6" s="1"/>
  <c r="M538" i="6" a="1"/>
  <c r="M538" i="6" s="1"/>
  <c r="L538" i="6"/>
  <c r="K538" i="6" a="1"/>
  <c r="K538" i="6" s="1"/>
  <c r="F538" i="6"/>
  <c r="Q537" i="6" a="1"/>
  <c r="Q537" i="6" s="1"/>
  <c r="P537" i="6"/>
  <c r="N537" i="6" a="1"/>
  <c r="N537" i="6" s="1"/>
  <c r="O537" i="6" s="1"/>
  <c r="M537" i="6" a="1"/>
  <c r="M537" i="6" s="1"/>
  <c r="L537" i="6"/>
  <c r="K537" i="6" a="1"/>
  <c r="K537" i="6" s="1"/>
  <c r="F537" i="6"/>
  <c r="Q536" i="6" a="1"/>
  <c r="Q536" i="6" s="1"/>
  <c r="P536" i="6"/>
  <c r="N536" i="6" a="1"/>
  <c r="N536" i="6" s="1"/>
  <c r="O536" i="6" s="1"/>
  <c r="M536" i="6" a="1"/>
  <c r="M536" i="6" s="1"/>
  <c r="L536" i="6"/>
  <c r="K536" i="6" a="1"/>
  <c r="K536" i="6" s="1"/>
  <c r="F536" i="6"/>
  <c r="Q535" i="6" a="1"/>
  <c r="Q535" i="6" s="1"/>
  <c r="P535" i="6"/>
  <c r="N535" i="6" a="1"/>
  <c r="N535" i="6" s="1"/>
  <c r="O535" i="6" s="1"/>
  <c r="M535" i="6" a="1"/>
  <c r="M535" i="6" s="1"/>
  <c r="L535" i="6"/>
  <c r="K535" i="6" a="1"/>
  <c r="K535" i="6" s="1"/>
  <c r="F535" i="6"/>
  <c r="Q534" i="6" a="1"/>
  <c r="Q534" i="6" s="1"/>
  <c r="P534" i="6"/>
  <c r="N534" i="6" a="1"/>
  <c r="N534" i="6" s="1"/>
  <c r="O534" i="6" s="1"/>
  <c r="M534" i="6" a="1"/>
  <c r="M534" i="6" s="1"/>
  <c r="L534" i="6"/>
  <c r="K534" i="6" a="1"/>
  <c r="K534" i="6" s="1"/>
  <c r="F534" i="6"/>
  <c r="Q533" i="6" a="1"/>
  <c r="Q533" i="6" s="1"/>
  <c r="P533" i="6"/>
  <c r="N533" i="6" a="1"/>
  <c r="N533" i="6" s="1"/>
  <c r="O533" i="6" s="1"/>
  <c r="M533" i="6" a="1"/>
  <c r="M533" i="6" s="1"/>
  <c r="L533" i="6"/>
  <c r="K533" i="6" a="1"/>
  <c r="K533" i="6" s="1"/>
  <c r="F533" i="6"/>
  <c r="Q532" i="6" a="1"/>
  <c r="Q532" i="6" s="1"/>
  <c r="P532" i="6"/>
  <c r="N532" i="6" a="1"/>
  <c r="N532" i="6" s="1"/>
  <c r="O532" i="6" s="1"/>
  <c r="M532" i="6" a="1"/>
  <c r="M532" i="6" s="1"/>
  <c r="L532" i="6"/>
  <c r="K532" i="6" a="1"/>
  <c r="K532" i="6" s="1"/>
  <c r="F532" i="6"/>
  <c r="Q531" i="6" a="1"/>
  <c r="Q531" i="6" s="1"/>
  <c r="P531" i="6"/>
  <c r="N531" i="6" a="1"/>
  <c r="N531" i="6" s="1"/>
  <c r="O531" i="6" s="1"/>
  <c r="M531" i="6" a="1"/>
  <c r="M531" i="6" s="1"/>
  <c r="L531" i="6"/>
  <c r="K531" i="6" a="1"/>
  <c r="K531" i="6" s="1"/>
  <c r="F531" i="6"/>
  <c r="Q530" i="6" a="1"/>
  <c r="Q530" i="6" s="1"/>
  <c r="P530" i="6"/>
  <c r="N530" i="6" a="1"/>
  <c r="N530" i="6" s="1"/>
  <c r="O530" i="6" s="1"/>
  <c r="M530" i="6" a="1"/>
  <c r="M530" i="6" s="1"/>
  <c r="L530" i="6"/>
  <c r="K530" i="6" a="1"/>
  <c r="K530" i="6" s="1"/>
  <c r="F530" i="6"/>
  <c r="Q529" i="6" a="1"/>
  <c r="Q529" i="6" s="1"/>
  <c r="P529" i="6"/>
  <c r="N529" i="6" a="1"/>
  <c r="N529" i="6" s="1"/>
  <c r="O529" i="6" s="1"/>
  <c r="M529" i="6" a="1"/>
  <c r="M529" i="6" s="1"/>
  <c r="L529" i="6"/>
  <c r="K529" i="6" a="1"/>
  <c r="K529" i="6" s="1"/>
  <c r="F529" i="6"/>
  <c r="Q528" i="6" a="1"/>
  <c r="Q528" i="6" s="1"/>
  <c r="P528" i="6"/>
  <c r="N528" i="6" a="1"/>
  <c r="N528" i="6" s="1"/>
  <c r="O528" i="6" s="1"/>
  <c r="M528" i="6" a="1"/>
  <c r="M528" i="6" s="1"/>
  <c r="L528" i="6"/>
  <c r="K528" i="6" a="1"/>
  <c r="K528" i="6" s="1"/>
  <c r="F528" i="6"/>
  <c r="Q527" i="6" a="1"/>
  <c r="Q527" i="6" s="1"/>
  <c r="P527" i="6"/>
  <c r="N527" i="6" a="1"/>
  <c r="N527" i="6" s="1"/>
  <c r="O527" i="6" s="1"/>
  <c r="M527" i="6" a="1"/>
  <c r="M527" i="6" s="1"/>
  <c r="L527" i="6"/>
  <c r="K527" i="6" a="1"/>
  <c r="K527" i="6" s="1"/>
  <c r="F527" i="6"/>
  <c r="Q526" i="6" a="1"/>
  <c r="Q526" i="6" s="1"/>
  <c r="P526" i="6"/>
  <c r="N526" i="6" a="1"/>
  <c r="N526" i="6" s="1"/>
  <c r="O526" i="6" s="1"/>
  <c r="M526" i="6" a="1"/>
  <c r="M526" i="6" s="1"/>
  <c r="L526" i="6"/>
  <c r="K526" i="6" a="1"/>
  <c r="K526" i="6" s="1"/>
  <c r="F526" i="6"/>
  <c r="Q525" i="6" a="1"/>
  <c r="Q525" i="6" s="1"/>
  <c r="P525" i="6"/>
  <c r="N525" i="6" a="1"/>
  <c r="N525" i="6" s="1"/>
  <c r="O525" i="6" s="1"/>
  <c r="M525" i="6" a="1"/>
  <c r="M525" i="6" s="1"/>
  <c r="L525" i="6"/>
  <c r="K525" i="6" a="1"/>
  <c r="K525" i="6" s="1"/>
  <c r="F525" i="6"/>
  <c r="Q524" i="6" a="1"/>
  <c r="Q524" i="6" s="1"/>
  <c r="P524" i="6"/>
  <c r="N524" i="6" a="1"/>
  <c r="N524" i="6" s="1"/>
  <c r="O524" i="6" s="1"/>
  <c r="M524" i="6" a="1"/>
  <c r="M524" i="6" s="1"/>
  <c r="L524" i="6"/>
  <c r="K524" i="6" a="1"/>
  <c r="K524" i="6" s="1"/>
  <c r="F524" i="6"/>
  <c r="Q523" i="6" a="1"/>
  <c r="Q523" i="6" s="1"/>
  <c r="P523" i="6"/>
  <c r="N523" i="6" a="1"/>
  <c r="N523" i="6" s="1"/>
  <c r="O523" i="6" s="1"/>
  <c r="M523" i="6" a="1"/>
  <c r="M523" i="6" s="1"/>
  <c r="L523" i="6"/>
  <c r="K523" i="6" a="1"/>
  <c r="K523" i="6" s="1"/>
  <c r="F523" i="6"/>
  <c r="Q522" i="6" a="1"/>
  <c r="Q522" i="6" s="1"/>
  <c r="P522" i="6"/>
  <c r="N522" i="6" a="1"/>
  <c r="N522" i="6" s="1"/>
  <c r="O522" i="6" s="1"/>
  <c r="M522" i="6" a="1"/>
  <c r="M522" i="6" s="1"/>
  <c r="L522" i="6"/>
  <c r="K522" i="6" a="1"/>
  <c r="K522" i="6" s="1"/>
  <c r="F522" i="6"/>
  <c r="Q521" i="6" a="1"/>
  <c r="Q521" i="6" s="1"/>
  <c r="P521" i="6"/>
  <c r="N521" i="6" a="1"/>
  <c r="N521" i="6" s="1"/>
  <c r="O521" i="6" s="1"/>
  <c r="M521" i="6" a="1"/>
  <c r="M521" i="6" s="1"/>
  <c r="L521" i="6"/>
  <c r="K521" i="6" a="1"/>
  <c r="K521" i="6" s="1"/>
  <c r="F521" i="6"/>
  <c r="Q520" i="6" a="1"/>
  <c r="Q520" i="6" s="1"/>
  <c r="P520" i="6"/>
  <c r="N520" i="6" a="1"/>
  <c r="N520" i="6" s="1"/>
  <c r="O520" i="6" s="1"/>
  <c r="M520" i="6" a="1"/>
  <c r="M520" i="6" s="1"/>
  <c r="L520" i="6"/>
  <c r="K520" i="6" a="1"/>
  <c r="K520" i="6" s="1"/>
  <c r="F520" i="6"/>
  <c r="Q519" i="6" a="1"/>
  <c r="Q519" i="6" s="1"/>
  <c r="P519" i="6"/>
  <c r="N519" i="6" a="1"/>
  <c r="N519" i="6" s="1"/>
  <c r="O519" i="6" s="1"/>
  <c r="M519" i="6" a="1"/>
  <c r="M519" i="6" s="1"/>
  <c r="L519" i="6"/>
  <c r="K519" i="6" a="1"/>
  <c r="K519" i="6" s="1"/>
  <c r="F519" i="6"/>
  <c r="Q518" i="6" a="1"/>
  <c r="Q518" i="6" s="1"/>
  <c r="P518" i="6"/>
  <c r="N518" i="6" a="1"/>
  <c r="N518" i="6" s="1"/>
  <c r="O518" i="6" s="1"/>
  <c r="M518" i="6" a="1"/>
  <c r="M518" i="6" s="1"/>
  <c r="L518" i="6"/>
  <c r="K518" i="6" a="1"/>
  <c r="K518" i="6" s="1"/>
  <c r="F518" i="6"/>
  <c r="Q517" i="6" a="1"/>
  <c r="Q517" i="6" s="1"/>
  <c r="P517" i="6"/>
  <c r="N517" i="6" a="1"/>
  <c r="N517" i="6" s="1"/>
  <c r="O517" i="6" s="1"/>
  <c r="M517" i="6" a="1"/>
  <c r="M517" i="6" s="1"/>
  <c r="L517" i="6"/>
  <c r="K517" i="6" a="1"/>
  <c r="K517" i="6" s="1"/>
  <c r="F517" i="6"/>
  <c r="Q516" i="6" a="1"/>
  <c r="Q516" i="6" s="1"/>
  <c r="P516" i="6"/>
  <c r="N516" i="6" a="1"/>
  <c r="N516" i="6" s="1"/>
  <c r="O516" i="6" s="1"/>
  <c r="M516" i="6" a="1"/>
  <c r="M516" i="6" s="1"/>
  <c r="L516" i="6"/>
  <c r="K516" i="6" a="1"/>
  <c r="K516" i="6" s="1"/>
  <c r="F516" i="6"/>
  <c r="Q515" i="6" a="1"/>
  <c r="Q515" i="6" s="1"/>
  <c r="P515" i="6"/>
  <c r="N515" i="6" a="1"/>
  <c r="N515" i="6" s="1"/>
  <c r="O515" i="6" s="1"/>
  <c r="M515" i="6" a="1"/>
  <c r="M515" i="6" s="1"/>
  <c r="L515" i="6"/>
  <c r="K515" i="6" a="1"/>
  <c r="K515" i="6" s="1"/>
  <c r="F515" i="6"/>
  <c r="Q514" i="6" a="1"/>
  <c r="Q514" i="6" s="1"/>
  <c r="P514" i="6"/>
  <c r="N514" i="6" a="1"/>
  <c r="N514" i="6" s="1"/>
  <c r="O514" i="6" s="1"/>
  <c r="M514" i="6" a="1"/>
  <c r="M514" i="6" s="1"/>
  <c r="L514" i="6"/>
  <c r="K514" i="6" a="1"/>
  <c r="K514" i="6" s="1"/>
  <c r="F514" i="6"/>
  <c r="Q513" i="6" a="1"/>
  <c r="Q513" i="6" s="1"/>
  <c r="P513" i="6"/>
  <c r="N513" i="6" a="1"/>
  <c r="N513" i="6" s="1"/>
  <c r="O513" i="6" s="1"/>
  <c r="M513" i="6" a="1"/>
  <c r="M513" i="6" s="1"/>
  <c r="L513" i="6"/>
  <c r="K513" i="6" a="1"/>
  <c r="K513" i="6" s="1"/>
  <c r="F513" i="6"/>
  <c r="Q512" i="6" a="1"/>
  <c r="Q512" i="6" s="1"/>
  <c r="P512" i="6"/>
  <c r="N512" i="6" a="1"/>
  <c r="N512" i="6" s="1"/>
  <c r="O512" i="6" s="1"/>
  <c r="M512" i="6" a="1"/>
  <c r="M512" i="6" s="1"/>
  <c r="L512" i="6"/>
  <c r="K512" i="6" a="1"/>
  <c r="K512" i="6" s="1"/>
  <c r="F512" i="6"/>
  <c r="Q511" i="6" a="1"/>
  <c r="Q511" i="6" s="1"/>
  <c r="P511" i="6"/>
  <c r="N511" i="6" a="1"/>
  <c r="N511" i="6" s="1"/>
  <c r="O511" i="6" s="1"/>
  <c r="M511" i="6" a="1"/>
  <c r="M511" i="6" s="1"/>
  <c r="L511" i="6"/>
  <c r="K511" i="6" a="1"/>
  <c r="K511" i="6" s="1"/>
  <c r="F511" i="6"/>
  <c r="Q510" i="6" a="1"/>
  <c r="Q510" i="6" s="1"/>
  <c r="P510" i="6"/>
  <c r="N510" i="6" a="1"/>
  <c r="N510" i="6" s="1"/>
  <c r="O510" i="6" s="1"/>
  <c r="M510" i="6" a="1"/>
  <c r="M510" i="6" s="1"/>
  <c r="L510" i="6"/>
  <c r="K510" i="6" a="1"/>
  <c r="K510" i="6" s="1"/>
  <c r="F510" i="6"/>
  <c r="Q509" i="6" a="1"/>
  <c r="Q509" i="6" s="1"/>
  <c r="P509" i="6"/>
  <c r="N509" i="6" a="1"/>
  <c r="N509" i="6" s="1"/>
  <c r="O509" i="6" s="1"/>
  <c r="M509" i="6" a="1"/>
  <c r="M509" i="6" s="1"/>
  <c r="L509" i="6"/>
  <c r="K509" i="6" a="1"/>
  <c r="K509" i="6" s="1"/>
  <c r="F509" i="6"/>
  <c r="Q508" i="6" a="1"/>
  <c r="Q508" i="6" s="1"/>
  <c r="P508" i="6"/>
  <c r="N508" i="6" a="1"/>
  <c r="N508" i="6" s="1"/>
  <c r="O508" i="6" s="1"/>
  <c r="M508" i="6" a="1"/>
  <c r="M508" i="6" s="1"/>
  <c r="L508" i="6"/>
  <c r="K508" i="6" a="1"/>
  <c r="K508" i="6" s="1"/>
  <c r="F508" i="6"/>
  <c r="Q507" i="6" a="1"/>
  <c r="Q507" i="6" s="1"/>
  <c r="P507" i="6"/>
  <c r="N507" i="6" a="1"/>
  <c r="N507" i="6" s="1"/>
  <c r="O507" i="6" s="1"/>
  <c r="M507" i="6" a="1"/>
  <c r="M507" i="6" s="1"/>
  <c r="L507" i="6"/>
  <c r="K507" i="6" a="1"/>
  <c r="K507" i="6" s="1"/>
  <c r="F507" i="6"/>
  <c r="Q506" i="6" a="1"/>
  <c r="Q506" i="6" s="1"/>
  <c r="P506" i="6"/>
  <c r="N506" i="6" a="1"/>
  <c r="N506" i="6" s="1"/>
  <c r="O506" i="6" s="1"/>
  <c r="M506" i="6" a="1"/>
  <c r="M506" i="6" s="1"/>
  <c r="L506" i="6"/>
  <c r="K506" i="6" a="1"/>
  <c r="K506" i="6" s="1"/>
  <c r="F506" i="6"/>
  <c r="Q505" i="6" a="1"/>
  <c r="Q505" i="6" s="1"/>
  <c r="P505" i="6"/>
  <c r="N505" i="6" a="1"/>
  <c r="N505" i="6" s="1"/>
  <c r="O505" i="6" s="1"/>
  <c r="M505" i="6" a="1"/>
  <c r="M505" i="6" s="1"/>
  <c r="L505" i="6"/>
  <c r="K505" i="6" a="1"/>
  <c r="K505" i="6" s="1"/>
  <c r="F505" i="6"/>
  <c r="Q504" i="6" a="1"/>
  <c r="Q504" i="6" s="1"/>
  <c r="P504" i="6"/>
  <c r="N504" i="6" a="1"/>
  <c r="N504" i="6" s="1"/>
  <c r="O504" i="6" s="1"/>
  <c r="M504" i="6" a="1"/>
  <c r="M504" i="6" s="1"/>
  <c r="L504" i="6"/>
  <c r="K504" i="6" a="1"/>
  <c r="K504" i="6" s="1"/>
  <c r="F504" i="6"/>
  <c r="Q503" i="6" a="1"/>
  <c r="Q503" i="6" s="1"/>
  <c r="P503" i="6"/>
  <c r="N503" i="6" a="1"/>
  <c r="N503" i="6" s="1"/>
  <c r="O503" i="6" s="1"/>
  <c r="M503" i="6" a="1"/>
  <c r="M503" i="6" s="1"/>
  <c r="L503" i="6"/>
  <c r="K503" i="6" a="1"/>
  <c r="K503" i="6" s="1"/>
  <c r="F503" i="6"/>
  <c r="Q502" i="6" a="1"/>
  <c r="Q502" i="6" s="1"/>
  <c r="P502" i="6"/>
  <c r="N502" i="6" a="1"/>
  <c r="N502" i="6" s="1"/>
  <c r="O502" i="6" s="1"/>
  <c r="M502" i="6" a="1"/>
  <c r="M502" i="6" s="1"/>
  <c r="L502" i="6"/>
  <c r="K502" i="6" a="1"/>
  <c r="K502" i="6" s="1"/>
  <c r="F502" i="6"/>
  <c r="Q501" i="6" a="1"/>
  <c r="Q501" i="6" s="1"/>
  <c r="P501" i="6"/>
  <c r="N501" i="6" a="1"/>
  <c r="N501" i="6" s="1"/>
  <c r="O501" i="6" s="1"/>
  <c r="M501" i="6" a="1"/>
  <c r="M501" i="6" s="1"/>
  <c r="L501" i="6"/>
  <c r="K501" i="6" a="1"/>
  <c r="K501" i="6" s="1"/>
  <c r="F501" i="6"/>
  <c r="Q500" i="6" a="1"/>
  <c r="Q500" i="6" s="1"/>
  <c r="P500" i="6"/>
  <c r="N500" i="6" a="1"/>
  <c r="N500" i="6" s="1"/>
  <c r="O500" i="6" s="1"/>
  <c r="M500" i="6" a="1"/>
  <c r="M500" i="6" s="1"/>
  <c r="L500" i="6"/>
  <c r="K500" i="6" a="1"/>
  <c r="K500" i="6" s="1"/>
  <c r="F500" i="6"/>
  <c r="Q499" i="6" a="1"/>
  <c r="Q499" i="6" s="1"/>
  <c r="P499" i="6"/>
  <c r="N499" i="6" a="1"/>
  <c r="N499" i="6" s="1"/>
  <c r="O499" i="6" s="1"/>
  <c r="M499" i="6" a="1"/>
  <c r="M499" i="6" s="1"/>
  <c r="L499" i="6"/>
  <c r="K499" i="6" a="1"/>
  <c r="K499" i="6" s="1"/>
  <c r="F499" i="6"/>
  <c r="Q498" i="6" a="1"/>
  <c r="Q498" i="6" s="1"/>
  <c r="P498" i="6"/>
  <c r="N498" i="6" a="1"/>
  <c r="N498" i="6" s="1"/>
  <c r="O498" i="6" s="1"/>
  <c r="M498" i="6" a="1"/>
  <c r="M498" i="6" s="1"/>
  <c r="L498" i="6"/>
  <c r="K498" i="6" a="1"/>
  <c r="K498" i="6" s="1"/>
  <c r="F498" i="6"/>
  <c r="Q497" i="6" a="1"/>
  <c r="Q497" i="6" s="1"/>
  <c r="P497" i="6"/>
  <c r="N497" i="6" a="1"/>
  <c r="N497" i="6" s="1"/>
  <c r="O497" i="6" s="1"/>
  <c r="M497" i="6" a="1"/>
  <c r="M497" i="6" s="1"/>
  <c r="L497" i="6"/>
  <c r="K497" i="6" a="1"/>
  <c r="K497" i="6" s="1"/>
  <c r="F497" i="6"/>
  <c r="Q496" i="6" a="1"/>
  <c r="Q496" i="6" s="1"/>
  <c r="P496" i="6"/>
  <c r="N496" i="6" a="1"/>
  <c r="N496" i="6" s="1"/>
  <c r="O496" i="6" s="1"/>
  <c r="M496" i="6" a="1"/>
  <c r="M496" i="6" s="1"/>
  <c r="L496" i="6"/>
  <c r="K496" i="6" a="1"/>
  <c r="K496" i="6" s="1"/>
  <c r="F496" i="6"/>
  <c r="Q495" i="6" a="1"/>
  <c r="Q495" i="6" s="1"/>
  <c r="P495" i="6"/>
  <c r="N495" i="6" a="1"/>
  <c r="N495" i="6" s="1"/>
  <c r="O495" i="6" s="1"/>
  <c r="M495" i="6" a="1"/>
  <c r="M495" i="6" s="1"/>
  <c r="L495" i="6"/>
  <c r="K495" i="6" a="1"/>
  <c r="K495" i="6" s="1"/>
  <c r="F495" i="6"/>
  <c r="Q494" i="6" a="1"/>
  <c r="Q494" i="6" s="1"/>
  <c r="P494" i="6"/>
  <c r="N494" i="6" a="1"/>
  <c r="N494" i="6" s="1"/>
  <c r="O494" i="6" s="1"/>
  <c r="M494" i="6" a="1"/>
  <c r="M494" i="6" s="1"/>
  <c r="L494" i="6"/>
  <c r="K494" i="6" a="1"/>
  <c r="K494" i="6" s="1"/>
  <c r="F494" i="6"/>
  <c r="Q493" i="6" a="1"/>
  <c r="Q493" i="6" s="1"/>
  <c r="P493" i="6"/>
  <c r="N493" i="6" a="1"/>
  <c r="N493" i="6" s="1"/>
  <c r="O493" i="6" s="1"/>
  <c r="M493" i="6" a="1"/>
  <c r="M493" i="6" s="1"/>
  <c r="L493" i="6"/>
  <c r="K493" i="6" a="1"/>
  <c r="K493" i="6" s="1"/>
  <c r="F493" i="6"/>
  <c r="Q492" i="6" a="1"/>
  <c r="Q492" i="6" s="1"/>
  <c r="P492" i="6"/>
  <c r="N492" i="6" a="1"/>
  <c r="N492" i="6" s="1"/>
  <c r="O492" i="6" s="1"/>
  <c r="M492" i="6" a="1"/>
  <c r="M492" i="6" s="1"/>
  <c r="L492" i="6"/>
  <c r="K492" i="6" a="1"/>
  <c r="K492" i="6" s="1"/>
  <c r="F492" i="6"/>
  <c r="Q491" i="6" a="1"/>
  <c r="Q491" i="6" s="1"/>
  <c r="P491" i="6"/>
  <c r="N491" i="6" a="1"/>
  <c r="N491" i="6" s="1"/>
  <c r="O491" i="6" s="1"/>
  <c r="M491" i="6" a="1"/>
  <c r="M491" i="6" s="1"/>
  <c r="L491" i="6"/>
  <c r="K491" i="6" a="1"/>
  <c r="K491" i="6" s="1"/>
  <c r="F491" i="6"/>
  <c r="Q490" i="6" a="1"/>
  <c r="Q490" i="6" s="1"/>
  <c r="P490" i="6"/>
  <c r="N490" i="6" a="1"/>
  <c r="N490" i="6" s="1"/>
  <c r="O490" i="6" s="1"/>
  <c r="M490" i="6" a="1"/>
  <c r="M490" i="6" s="1"/>
  <c r="L490" i="6"/>
  <c r="K490" i="6" a="1"/>
  <c r="K490" i="6" s="1"/>
  <c r="F490" i="6"/>
  <c r="Q489" i="6" a="1"/>
  <c r="Q489" i="6" s="1"/>
  <c r="P489" i="6"/>
  <c r="N489" i="6" a="1"/>
  <c r="N489" i="6" s="1"/>
  <c r="O489" i="6" s="1"/>
  <c r="M489" i="6" a="1"/>
  <c r="M489" i="6" s="1"/>
  <c r="L489" i="6"/>
  <c r="K489" i="6" a="1"/>
  <c r="K489" i="6" s="1"/>
  <c r="F489" i="6"/>
  <c r="Q488" i="6" a="1"/>
  <c r="Q488" i="6" s="1"/>
  <c r="P488" i="6"/>
  <c r="N488" i="6" a="1"/>
  <c r="N488" i="6" s="1"/>
  <c r="O488" i="6" s="1"/>
  <c r="M488" i="6" a="1"/>
  <c r="M488" i="6" s="1"/>
  <c r="L488" i="6"/>
  <c r="K488" i="6" a="1"/>
  <c r="K488" i="6" s="1"/>
  <c r="F488" i="6"/>
  <c r="Q487" i="6" a="1"/>
  <c r="Q487" i="6" s="1"/>
  <c r="P487" i="6"/>
  <c r="N487" i="6" a="1"/>
  <c r="N487" i="6" s="1"/>
  <c r="O487" i="6" s="1"/>
  <c r="M487" i="6" a="1"/>
  <c r="M487" i="6" s="1"/>
  <c r="L487" i="6"/>
  <c r="K487" i="6" a="1"/>
  <c r="K487" i="6" s="1"/>
  <c r="F487" i="6"/>
  <c r="Q486" i="6" a="1"/>
  <c r="Q486" i="6" s="1"/>
  <c r="P486" i="6"/>
  <c r="N486" i="6" a="1"/>
  <c r="N486" i="6" s="1"/>
  <c r="O486" i="6" s="1"/>
  <c r="M486" i="6" a="1"/>
  <c r="M486" i="6" s="1"/>
  <c r="L486" i="6"/>
  <c r="K486" i="6" a="1"/>
  <c r="K486" i="6" s="1"/>
  <c r="F486" i="6"/>
  <c r="Q485" i="6" a="1"/>
  <c r="Q485" i="6" s="1"/>
  <c r="P485" i="6"/>
  <c r="N485" i="6" a="1"/>
  <c r="N485" i="6" s="1"/>
  <c r="O485" i="6" s="1"/>
  <c r="M485" i="6" a="1"/>
  <c r="M485" i="6" s="1"/>
  <c r="L485" i="6"/>
  <c r="K485" i="6" a="1"/>
  <c r="K485" i="6" s="1"/>
  <c r="F485" i="6"/>
  <c r="Q484" i="6" a="1"/>
  <c r="Q484" i="6" s="1"/>
  <c r="P484" i="6"/>
  <c r="N484" i="6" a="1"/>
  <c r="N484" i="6" s="1"/>
  <c r="O484" i="6" s="1"/>
  <c r="M484" i="6" a="1"/>
  <c r="M484" i="6" s="1"/>
  <c r="L484" i="6"/>
  <c r="K484" i="6" a="1"/>
  <c r="K484" i="6" s="1"/>
  <c r="F484" i="6"/>
  <c r="Q483" i="6" a="1"/>
  <c r="Q483" i="6" s="1"/>
  <c r="P483" i="6"/>
  <c r="N483" i="6" a="1"/>
  <c r="N483" i="6" s="1"/>
  <c r="O483" i="6" s="1"/>
  <c r="M483" i="6" a="1"/>
  <c r="M483" i="6" s="1"/>
  <c r="L483" i="6"/>
  <c r="K483" i="6" a="1"/>
  <c r="K483" i="6" s="1"/>
  <c r="F483" i="6"/>
  <c r="Q482" i="6" a="1"/>
  <c r="Q482" i="6" s="1"/>
  <c r="P482" i="6"/>
  <c r="N482" i="6" a="1"/>
  <c r="N482" i="6" s="1"/>
  <c r="O482" i="6" s="1"/>
  <c r="M482" i="6" a="1"/>
  <c r="M482" i="6" s="1"/>
  <c r="L482" i="6"/>
  <c r="K482" i="6" a="1"/>
  <c r="K482" i="6" s="1"/>
  <c r="F482" i="6"/>
  <c r="Q481" i="6" a="1"/>
  <c r="Q481" i="6" s="1"/>
  <c r="P481" i="6"/>
  <c r="N481" i="6" a="1"/>
  <c r="N481" i="6" s="1"/>
  <c r="O481" i="6" s="1"/>
  <c r="M481" i="6" a="1"/>
  <c r="M481" i="6" s="1"/>
  <c r="L481" i="6"/>
  <c r="K481" i="6" a="1"/>
  <c r="K481" i="6" s="1"/>
  <c r="F481" i="6"/>
  <c r="Q480" i="6" a="1"/>
  <c r="Q480" i="6" s="1"/>
  <c r="P480" i="6"/>
  <c r="N480" i="6" a="1"/>
  <c r="N480" i="6" s="1"/>
  <c r="O480" i="6" s="1"/>
  <c r="M480" i="6" a="1"/>
  <c r="M480" i="6" s="1"/>
  <c r="L480" i="6"/>
  <c r="K480" i="6" a="1"/>
  <c r="K480" i="6" s="1"/>
  <c r="F480" i="6"/>
  <c r="Q479" i="6" a="1"/>
  <c r="Q479" i="6" s="1"/>
  <c r="P479" i="6"/>
  <c r="N479" i="6" a="1"/>
  <c r="N479" i="6" s="1"/>
  <c r="O479" i="6" s="1"/>
  <c r="M479" i="6" a="1"/>
  <c r="M479" i="6" s="1"/>
  <c r="L479" i="6"/>
  <c r="K479" i="6" a="1"/>
  <c r="K479" i="6" s="1"/>
  <c r="F479" i="6"/>
  <c r="Q478" i="6" a="1"/>
  <c r="Q478" i="6" s="1"/>
  <c r="P478" i="6"/>
  <c r="N478" i="6" a="1"/>
  <c r="N478" i="6" s="1"/>
  <c r="O478" i="6" s="1"/>
  <c r="M478" i="6" a="1"/>
  <c r="M478" i="6" s="1"/>
  <c r="L478" i="6"/>
  <c r="K478" i="6" a="1"/>
  <c r="K478" i="6" s="1"/>
  <c r="F478" i="6"/>
  <c r="Q477" i="6" a="1"/>
  <c r="Q477" i="6" s="1"/>
  <c r="P477" i="6"/>
  <c r="N477" i="6" a="1"/>
  <c r="N477" i="6" s="1"/>
  <c r="O477" i="6" s="1"/>
  <c r="M477" i="6" a="1"/>
  <c r="M477" i="6" s="1"/>
  <c r="L477" i="6"/>
  <c r="K477" i="6" a="1"/>
  <c r="K477" i="6" s="1"/>
  <c r="F477" i="6"/>
  <c r="Q476" i="6" a="1"/>
  <c r="Q476" i="6" s="1"/>
  <c r="P476" i="6"/>
  <c r="N476" i="6" a="1"/>
  <c r="N476" i="6" s="1"/>
  <c r="O476" i="6" s="1"/>
  <c r="M476" i="6" a="1"/>
  <c r="M476" i="6" s="1"/>
  <c r="L476" i="6"/>
  <c r="K476" i="6" a="1"/>
  <c r="K476" i="6" s="1"/>
  <c r="F476" i="6"/>
  <c r="Q475" i="6" a="1"/>
  <c r="Q475" i="6" s="1"/>
  <c r="P475" i="6"/>
  <c r="N475" i="6" a="1"/>
  <c r="N475" i="6" s="1"/>
  <c r="O475" i="6" s="1"/>
  <c r="M475" i="6" a="1"/>
  <c r="M475" i="6" s="1"/>
  <c r="L475" i="6"/>
  <c r="K475" i="6" a="1"/>
  <c r="K475" i="6" s="1"/>
  <c r="F475" i="6"/>
  <c r="Q474" i="6" a="1"/>
  <c r="Q474" i="6" s="1"/>
  <c r="P474" i="6"/>
  <c r="N474" i="6" a="1"/>
  <c r="N474" i="6" s="1"/>
  <c r="O474" i="6" s="1"/>
  <c r="M474" i="6" a="1"/>
  <c r="M474" i="6" s="1"/>
  <c r="L474" i="6"/>
  <c r="K474" i="6" a="1"/>
  <c r="K474" i="6" s="1"/>
  <c r="F474" i="6"/>
  <c r="Q473" i="6" a="1"/>
  <c r="Q473" i="6" s="1"/>
  <c r="P473" i="6"/>
  <c r="N473" i="6" a="1"/>
  <c r="N473" i="6" s="1"/>
  <c r="O473" i="6" s="1"/>
  <c r="M473" i="6" a="1"/>
  <c r="M473" i="6" s="1"/>
  <c r="L473" i="6"/>
  <c r="K473" i="6" a="1"/>
  <c r="K473" i="6" s="1"/>
  <c r="F473" i="6"/>
  <c r="Q472" i="6" a="1"/>
  <c r="Q472" i="6" s="1"/>
  <c r="P472" i="6"/>
  <c r="N472" i="6" a="1"/>
  <c r="N472" i="6" s="1"/>
  <c r="O472" i="6" s="1"/>
  <c r="M472" i="6" a="1"/>
  <c r="M472" i="6" s="1"/>
  <c r="L472" i="6"/>
  <c r="K472" i="6" a="1"/>
  <c r="K472" i="6" s="1"/>
  <c r="F472" i="6"/>
  <c r="Q471" i="6" a="1"/>
  <c r="Q471" i="6" s="1"/>
  <c r="P471" i="6"/>
  <c r="N471" i="6" a="1"/>
  <c r="N471" i="6" s="1"/>
  <c r="O471" i="6" s="1"/>
  <c r="M471" i="6" a="1"/>
  <c r="M471" i="6" s="1"/>
  <c r="L471" i="6"/>
  <c r="K471" i="6" a="1"/>
  <c r="K471" i="6" s="1"/>
  <c r="F471" i="6"/>
  <c r="Q470" i="6" a="1"/>
  <c r="Q470" i="6" s="1"/>
  <c r="P470" i="6"/>
  <c r="N470" i="6" a="1"/>
  <c r="N470" i="6" s="1"/>
  <c r="O470" i="6" s="1"/>
  <c r="M470" i="6" a="1"/>
  <c r="M470" i="6" s="1"/>
  <c r="L470" i="6"/>
  <c r="K470" i="6" a="1"/>
  <c r="K470" i="6" s="1"/>
  <c r="F470" i="6"/>
  <c r="Q469" i="6" a="1"/>
  <c r="Q469" i="6" s="1"/>
  <c r="P469" i="6"/>
  <c r="N469" i="6" a="1"/>
  <c r="N469" i="6" s="1"/>
  <c r="O469" i="6" s="1"/>
  <c r="M469" i="6" a="1"/>
  <c r="M469" i="6" s="1"/>
  <c r="L469" i="6"/>
  <c r="K469" i="6" a="1"/>
  <c r="K469" i="6" s="1"/>
  <c r="F469" i="6"/>
  <c r="Q468" i="6" a="1"/>
  <c r="Q468" i="6" s="1"/>
  <c r="P468" i="6"/>
  <c r="N468" i="6" a="1"/>
  <c r="N468" i="6" s="1"/>
  <c r="O468" i="6" s="1"/>
  <c r="M468" i="6" a="1"/>
  <c r="M468" i="6" s="1"/>
  <c r="L468" i="6"/>
  <c r="K468" i="6" a="1"/>
  <c r="K468" i="6" s="1"/>
  <c r="F468" i="6"/>
  <c r="Q467" i="6" a="1"/>
  <c r="Q467" i="6" s="1"/>
  <c r="P467" i="6"/>
  <c r="N467" i="6" a="1"/>
  <c r="N467" i="6" s="1"/>
  <c r="O467" i="6" s="1"/>
  <c r="M467" i="6" a="1"/>
  <c r="M467" i="6" s="1"/>
  <c r="L467" i="6"/>
  <c r="K467" i="6" a="1"/>
  <c r="K467" i="6" s="1"/>
  <c r="F467" i="6"/>
  <c r="Q466" i="6" a="1"/>
  <c r="Q466" i="6" s="1"/>
  <c r="P466" i="6"/>
  <c r="N466" i="6" a="1"/>
  <c r="N466" i="6" s="1"/>
  <c r="O466" i="6" s="1"/>
  <c r="M466" i="6" a="1"/>
  <c r="M466" i="6" s="1"/>
  <c r="L466" i="6"/>
  <c r="K466" i="6" a="1"/>
  <c r="K466" i="6" s="1"/>
  <c r="F466" i="6"/>
  <c r="Q465" i="6" a="1"/>
  <c r="Q465" i="6" s="1"/>
  <c r="P465" i="6"/>
  <c r="N465" i="6" a="1"/>
  <c r="N465" i="6" s="1"/>
  <c r="O465" i="6" s="1"/>
  <c r="M465" i="6" a="1"/>
  <c r="M465" i="6" s="1"/>
  <c r="L465" i="6"/>
  <c r="K465" i="6" a="1"/>
  <c r="K465" i="6" s="1"/>
  <c r="F465" i="6"/>
  <c r="Q464" i="6" a="1"/>
  <c r="Q464" i="6" s="1"/>
  <c r="P464" i="6"/>
  <c r="N464" i="6" a="1"/>
  <c r="N464" i="6" s="1"/>
  <c r="O464" i="6" s="1"/>
  <c r="M464" i="6" a="1"/>
  <c r="M464" i="6" s="1"/>
  <c r="L464" i="6"/>
  <c r="K464" i="6" a="1"/>
  <c r="K464" i="6" s="1"/>
  <c r="F464" i="6"/>
  <c r="Q463" i="6" a="1"/>
  <c r="Q463" i="6" s="1"/>
  <c r="P463" i="6"/>
  <c r="N463" i="6" a="1"/>
  <c r="N463" i="6" s="1"/>
  <c r="O463" i="6" s="1"/>
  <c r="M463" i="6" a="1"/>
  <c r="M463" i="6" s="1"/>
  <c r="L463" i="6"/>
  <c r="K463" i="6" a="1"/>
  <c r="K463" i="6" s="1"/>
  <c r="F463" i="6"/>
  <c r="Q462" i="6" a="1"/>
  <c r="Q462" i="6" s="1"/>
  <c r="P462" i="6"/>
  <c r="N462" i="6" a="1"/>
  <c r="N462" i="6" s="1"/>
  <c r="O462" i="6" s="1"/>
  <c r="M462" i="6" a="1"/>
  <c r="M462" i="6" s="1"/>
  <c r="L462" i="6"/>
  <c r="K462" i="6" a="1"/>
  <c r="K462" i="6" s="1"/>
  <c r="F462" i="6"/>
  <c r="Q461" i="6" a="1"/>
  <c r="Q461" i="6" s="1"/>
  <c r="P461" i="6"/>
  <c r="N461" i="6" a="1"/>
  <c r="N461" i="6" s="1"/>
  <c r="O461" i="6" s="1"/>
  <c r="M461" i="6" a="1"/>
  <c r="M461" i="6" s="1"/>
  <c r="L461" i="6"/>
  <c r="K461" i="6" a="1"/>
  <c r="K461" i="6" s="1"/>
  <c r="F461" i="6"/>
  <c r="Q460" i="6" a="1"/>
  <c r="Q460" i="6" s="1"/>
  <c r="P460" i="6"/>
  <c r="N460" i="6" a="1"/>
  <c r="N460" i="6" s="1"/>
  <c r="O460" i="6" s="1"/>
  <c r="M460" i="6" a="1"/>
  <c r="M460" i="6" s="1"/>
  <c r="L460" i="6"/>
  <c r="K460" i="6" a="1"/>
  <c r="K460" i="6" s="1"/>
  <c r="F460" i="6"/>
  <c r="Q459" i="6" a="1"/>
  <c r="Q459" i="6" s="1"/>
  <c r="P459" i="6"/>
  <c r="N459" i="6" a="1"/>
  <c r="N459" i="6" s="1"/>
  <c r="O459" i="6" s="1"/>
  <c r="M459" i="6" a="1"/>
  <c r="M459" i="6" s="1"/>
  <c r="L459" i="6"/>
  <c r="K459" i="6" a="1"/>
  <c r="K459" i="6" s="1"/>
  <c r="F459" i="6"/>
  <c r="Q458" i="6" a="1"/>
  <c r="Q458" i="6" s="1"/>
  <c r="P458" i="6"/>
  <c r="N458" i="6" a="1"/>
  <c r="N458" i="6" s="1"/>
  <c r="O458" i="6" s="1"/>
  <c r="M458" i="6" a="1"/>
  <c r="M458" i="6" s="1"/>
  <c r="L458" i="6"/>
  <c r="K458" i="6" a="1"/>
  <c r="K458" i="6" s="1"/>
  <c r="F458" i="6"/>
  <c r="Q457" i="6" a="1"/>
  <c r="Q457" i="6" s="1"/>
  <c r="P457" i="6"/>
  <c r="N457" i="6" a="1"/>
  <c r="N457" i="6" s="1"/>
  <c r="O457" i="6" s="1"/>
  <c r="M457" i="6" a="1"/>
  <c r="M457" i="6" s="1"/>
  <c r="L457" i="6"/>
  <c r="K457" i="6" a="1"/>
  <c r="K457" i="6" s="1"/>
  <c r="F457" i="6"/>
  <c r="Q456" i="6" a="1"/>
  <c r="Q456" i="6" s="1"/>
  <c r="P456" i="6"/>
  <c r="N456" i="6" a="1"/>
  <c r="N456" i="6" s="1"/>
  <c r="O456" i="6" s="1"/>
  <c r="M456" i="6" a="1"/>
  <c r="M456" i="6" s="1"/>
  <c r="L456" i="6"/>
  <c r="K456" i="6" a="1"/>
  <c r="K456" i="6" s="1"/>
  <c r="F456" i="6"/>
  <c r="Q455" i="6" a="1"/>
  <c r="Q455" i="6" s="1"/>
  <c r="P455" i="6"/>
  <c r="N455" i="6" a="1"/>
  <c r="N455" i="6" s="1"/>
  <c r="O455" i="6" s="1"/>
  <c r="M455" i="6" a="1"/>
  <c r="M455" i="6" s="1"/>
  <c r="L455" i="6"/>
  <c r="K455" i="6" a="1"/>
  <c r="K455" i="6" s="1"/>
  <c r="F455" i="6"/>
  <c r="Q454" i="6" a="1"/>
  <c r="Q454" i="6" s="1"/>
  <c r="P454" i="6"/>
  <c r="N454" i="6" a="1"/>
  <c r="N454" i="6" s="1"/>
  <c r="O454" i="6" s="1"/>
  <c r="M454" i="6" a="1"/>
  <c r="M454" i="6" s="1"/>
  <c r="L454" i="6"/>
  <c r="K454" i="6" a="1"/>
  <c r="K454" i="6" s="1"/>
  <c r="F454" i="6"/>
  <c r="Q453" i="6" a="1"/>
  <c r="Q453" i="6" s="1"/>
  <c r="P453" i="6"/>
  <c r="N453" i="6" a="1"/>
  <c r="N453" i="6" s="1"/>
  <c r="O453" i="6" s="1"/>
  <c r="M453" i="6" a="1"/>
  <c r="M453" i="6" s="1"/>
  <c r="L453" i="6"/>
  <c r="K453" i="6" a="1"/>
  <c r="K453" i="6" s="1"/>
  <c r="F453" i="6"/>
  <c r="Q452" i="6" a="1"/>
  <c r="Q452" i="6" s="1"/>
  <c r="P452" i="6"/>
  <c r="N452" i="6" a="1"/>
  <c r="N452" i="6" s="1"/>
  <c r="O452" i="6" s="1"/>
  <c r="M452" i="6" a="1"/>
  <c r="M452" i="6" s="1"/>
  <c r="L452" i="6"/>
  <c r="K452" i="6" a="1"/>
  <c r="K452" i="6" s="1"/>
  <c r="F452" i="6"/>
  <c r="Q451" i="6" a="1"/>
  <c r="Q451" i="6" s="1"/>
  <c r="P451" i="6"/>
  <c r="N451" i="6" a="1"/>
  <c r="N451" i="6" s="1"/>
  <c r="O451" i="6" s="1"/>
  <c r="M451" i="6" a="1"/>
  <c r="M451" i="6" s="1"/>
  <c r="L451" i="6"/>
  <c r="K451" i="6" a="1"/>
  <c r="K451" i="6" s="1"/>
  <c r="F451" i="6"/>
  <c r="Q450" i="6" a="1"/>
  <c r="Q450" i="6" s="1"/>
  <c r="P450" i="6"/>
  <c r="N450" i="6" a="1"/>
  <c r="N450" i="6" s="1"/>
  <c r="O450" i="6" s="1"/>
  <c r="M450" i="6" a="1"/>
  <c r="M450" i="6" s="1"/>
  <c r="L450" i="6"/>
  <c r="K450" i="6" a="1"/>
  <c r="K450" i="6" s="1"/>
  <c r="F450" i="6"/>
  <c r="Q449" i="6" a="1"/>
  <c r="Q449" i="6" s="1"/>
  <c r="P449" i="6"/>
  <c r="N449" i="6" a="1"/>
  <c r="N449" i="6" s="1"/>
  <c r="O449" i="6" s="1"/>
  <c r="M449" i="6" a="1"/>
  <c r="M449" i="6" s="1"/>
  <c r="L449" i="6"/>
  <c r="K449" i="6" a="1"/>
  <c r="K449" i="6" s="1"/>
  <c r="F449" i="6"/>
  <c r="Q448" i="6" a="1"/>
  <c r="Q448" i="6" s="1"/>
  <c r="P448" i="6"/>
  <c r="N448" i="6" a="1"/>
  <c r="N448" i="6" s="1"/>
  <c r="O448" i="6" s="1"/>
  <c r="M448" i="6" a="1"/>
  <c r="M448" i="6" s="1"/>
  <c r="L448" i="6"/>
  <c r="K448" i="6" a="1"/>
  <c r="K448" i="6" s="1"/>
  <c r="F448" i="6"/>
  <c r="Q447" i="6" a="1"/>
  <c r="Q447" i="6" s="1"/>
  <c r="P447" i="6"/>
  <c r="N447" i="6" a="1"/>
  <c r="N447" i="6" s="1"/>
  <c r="O447" i="6" s="1"/>
  <c r="M447" i="6" a="1"/>
  <c r="M447" i="6" s="1"/>
  <c r="L447" i="6"/>
  <c r="K447" i="6" a="1"/>
  <c r="K447" i="6" s="1"/>
  <c r="F447" i="6"/>
  <c r="Q446" i="6" a="1"/>
  <c r="Q446" i="6" s="1"/>
  <c r="P446" i="6"/>
  <c r="N446" i="6" a="1"/>
  <c r="N446" i="6" s="1"/>
  <c r="O446" i="6" s="1"/>
  <c r="M446" i="6" a="1"/>
  <c r="M446" i="6" s="1"/>
  <c r="L446" i="6"/>
  <c r="K446" i="6" a="1"/>
  <c r="K446" i="6" s="1"/>
  <c r="F446" i="6"/>
  <c r="Q445" i="6" a="1"/>
  <c r="Q445" i="6" s="1"/>
  <c r="P445" i="6"/>
  <c r="N445" i="6" a="1"/>
  <c r="N445" i="6" s="1"/>
  <c r="O445" i="6" s="1"/>
  <c r="M445" i="6" a="1"/>
  <c r="M445" i="6" s="1"/>
  <c r="L445" i="6"/>
  <c r="K445" i="6" a="1"/>
  <c r="K445" i="6" s="1"/>
  <c r="F445" i="6"/>
  <c r="Q444" i="6" a="1"/>
  <c r="Q444" i="6" s="1"/>
  <c r="P444" i="6"/>
  <c r="N444" i="6" a="1"/>
  <c r="N444" i="6" s="1"/>
  <c r="O444" i="6" s="1"/>
  <c r="M444" i="6" a="1"/>
  <c r="M444" i="6" s="1"/>
  <c r="L444" i="6"/>
  <c r="K444" i="6" a="1"/>
  <c r="K444" i="6" s="1"/>
  <c r="F444" i="6"/>
  <c r="Q443" i="6" a="1"/>
  <c r="Q443" i="6" s="1"/>
  <c r="P443" i="6"/>
  <c r="N443" i="6" a="1"/>
  <c r="N443" i="6" s="1"/>
  <c r="O443" i="6" s="1"/>
  <c r="M443" i="6" a="1"/>
  <c r="M443" i="6" s="1"/>
  <c r="L443" i="6"/>
  <c r="K443" i="6" a="1"/>
  <c r="K443" i="6" s="1"/>
  <c r="F443" i="6"/>
  <c r="Q442" i="6" a="1"/>
  <c r="Q442" i="6" s="1"/>
  <c r="P442" i="6"/>
  <c r="N442" i="6" a="1"/>
  <c r="N442" i="6" s="1"/>
  <c r="O442" i="6" s="1"/>
  <c r="M442" i="6" a="1"/>
  <c r="M442" i="6" s="1"/>
  <c r="L442" i="6"/>
  <c r="K442" i="6" a="1"/>
  <c r="K442" i="6" s="1"/>
  <c r="F442" i="6"/>
  <c r="Q441" i="6" a="1"/>
  <c r="Q441" i="6" s="1"/>
  <c r="P441" i="6"/>
  <c r="N441" i="6" a="1"/>
  <c r="N441" i="6" s="1"/>
  <c r="O441" i="6" s="1"/>
  <c r="M441" i="6" a="1"/>
  <c r="M441" i="6" s="1"/>
  <c r="L441" i="6"/>
  <c r="K441" i="6" a="1"/>
  <c r="K441" i="6" s="1"/>
  <c r="F441" i="6"/>
  <c r="Q440" i="6" a="1"/>
  <c r="Q440" i="6" s="1"/>
  <c r="P440" i="6"/>
  <c r="N440" i="6" a="1"/>
  <c r="N440" i="6" s="1"/>
  <c r="O440" i="6" s="1"/>
  <c r="M440" i="6" a="1"/>
  <c r="M440" i="6" s="1"/>
  <c r="L440" i="6"/>
  <c r="K440" i="6" a="1"/>
  <c r="K440" i="6" s="1"/>
  <c r="F440" i="6"/>
  <c r="Q439" i="6" a="1"/>
  <c r="Q439" i="6" s="1"/>
  <c r="P439" i="6"/>
  <c r="N439" i="6" a="1"/>
  <c r="N439" i="6" s="1"/>
  <c r="O439" i="6" s="1"/>
  <c r="M439" i="6" a="1"/>
  <c r="M439" i="6" s="1"/>
  <c r="L439" i="6"/>
  <c r="K439" i="6" a="1"/>
  <c r="K439" i="6" s="1"/>
  <c r="F439" i="6"/>
  <c r="Q438" i="6" a="1"/>
  <c r="Q438" i="6" s="1"/>
  <c r="P438" i="6"/>
  <c r="N438" i="6" a="1"/>
  <c r="N438" i="6" s="1"/>
  <c r="O438" i="6" s="1"/>
  <c r="M438" i="6" a="1"/>
  <c r="M438" i="6" s="1"/>
  <c r="L438" i="6"/>
  <c r="K438" i="6" a="1"/>
  <c r="K438" i="6" s="1"/>
  <c r="F438" i="6"/>
  <c r="Q437" i="6" a="1"/>
  <c r="Q437" i="6" s="1"/>
  <c r="P437" i="6"/>
  <c r="N437" i="6" a="1"/>
  <c r="N437" i="6" s="1"/>
  <c r="O437" i="6" s="1"/>
  <c r="M437" i="6" a="1"/>
  <c r="M437" i="6" s="1"/>
  <c r="L437" i="6"/>
  <c r="K437" i="6" a="1"/>
  <c r="K437" i="6" s="1"/>
  <c r="F437" i="6"/>
  <c r="Q436" i="6" a="1"/>
  <c r="Q436" i="6" s="1"/>
  <c r="P436" i="6"/>
  <c r="N436" i="6" a="1"/>
  <c r="N436" i="6" s="1"/>
  <c r="O436" i="6" s="1"/>
  <c r="M436" i="6" a="1"/>
  <c r="M436" i="6" s="1"/>
  <c r="L436" i="6"/>
  <c r="K436" i="6" a="1"/>
  <c r="K436" i="6" s="1"/>
  <c r="F436" i="6"/>
  <c r="Q435" i="6" a="1"/>
  <c r="Q435" i="6" s="1"/>
  <c r="P435" i="6"/>
  <c r="N435" i="6" a="1"/>
  <c r="N435" i="6" s="1"/>
  <c r="O435" i="6" s="1"/>
  <c r="M435" i="6" a="1"/>
  <c r="M435" i="6" s="1"/>
  <c r="L435" i="6"/>
  <c r="K435" i="6" a="1"/>
  <c r="K435" i="6" s="1"/>
  <c r="F435" i="6"/>
  <c r="Q434" i="6" a="1"/>
  <c r="Q434" i="6" s="1"/>
  <c r="P434" i="6"/>
  <c r="N434" i="6" a="1"/>
  <c r="N434" i="6" s="1"/>
  <c r="O434" i="6" s="1"/>
  <c r="M434" i="6" a="1"/>
  <c r="M434" i="6" s="1"/>
  <c r="L434" i="6"/>
  <c r="K434" i="6" a="1"/>
  <c r="K434" i="6" s="1"/>
  <c r="F434" i="6"/>
  <c r="Q433" i="6" a="1"/>
  <c r="Q433" i="6" s="1"/>
  <c r="P433" i="6"/>
  <c r="N433" i="6" a="1"/>
  <c r="N433" i="6" s="1"/>
  <c r="O433" i="6" s="1"/>
  <c r="M433" i="6" a="1"/>
  <c r="M433" i="6" s="1"/>
  <c r="L433" i="6"/>
  <c r="K433" i="6" a="1"/>
  <c r="K433" i="6" s="1"/>
  <c r="F433" i="6"/>
  <c r="Q432" i="6" a="1"/>
  <c r="Q432" i="6" s="1"/>
  <c r="P432" i="6"/>
  <c r="N432" i="6" a="1"/>
  <c r="N432" i="6" s="1"/>
  <c r="O432" i="6" s="1"/>
  <c r="M432" i="6" a="1"/>
  <c r="M432" i="6" s="1"/>
  <c r="L432" i="6"/>
  <c r="K432" i="6" a="1"/>
  <c r="K432" i="6" s="1"/>
  <c r="F432" i="6"/>
  <c r="Q431" i="6" a="1"/>
  <c r="Q431" i="6" s="1"/>
  <c r="P431" i="6"/>
  <c r="N431" i="6" a="1"/>
  <c r="N431" i="6" s="1"/>
  <c r="O431" i="6" s="1"/>
  <c r="M431" i="6" a="1"/>
  <c r="M431" i="6" s="1"/>
  <c r="L431" i="6"/>
  <c r="K431" i="6" a="1"/>
  <c r="K431" i="6" s="1"/>
  <c r="F431" i="6"/>
  <c r="Q430" i="6" a="1"/>
  <c r="Q430" i="6" s="1"/>
  <c r="P430" i="6"/>
  <c r="N430" i="6" a="1"/>
  <c r="N430" i="6" s="1"/>
  <c r="O430" i="6" s="1"/>
  <c r="M430" i="6" a="1"/>
  <c r="M430" i="6" s="1"/>
  <c r="L430" i="6"/>
  <c r="K430" i="6" a="1"/>
  <c r="K430" i="6" s="1"/>
  <c r="F430" i="6"/>
  <c r="Q429" i="6" a="1"/>
  <c r="Q429" i="6" s="1"/>
  <c r="P429" i="6"/>
  <c r="N429" i="6" a="1"/>
  <c r="N429" i="6" s="1"/>
  <c r="O429" i="6" s="1"/>
  <c r="M429" i="6" a="1"/>
  <c r="M429" i="6" s="1"/>
  <c r="L429" i="6"/>
  <c r="K429" i="6" a="1"/>
  <c r="K429" i="6" s="1"/>
  <c r="F429" i="6"/>
  <c r="Q428" i="6" a="1"/>
  <c r="Q428" i="6" s="1"/>
  <c r="P428" i="6"/>
  <c r="N428" i="6" a="1"/>
  <c r="N428" i="6" s="1"/>
  <c r="O428" i="6" s="1"/>
  <c r="M428" i="6" a="1"/>
  <c r="M428" i="6" s="1"/>
  <c r="L428" i="6"/>
  <c r="K428" i="6" a="1"/>
  <c r="K428" i="6" s="1"/>
  <c r="F428" i="6"/>
  <c r="Q427" i="6" a="1"/>
  <c r="Q427" i="6" s="1"/>
  <c r="P427" i="6"/>
  <c r="N427" i="6" a="1"/>
  <c r="N427" i="6" s="1"/>
  <c r="O427" i="6" s="1"/>
  <c r="M427" i="6" a="1"/>
  <c r="M427" i="6" s="1"/>
  <c r="L427" i="6"/>
  <c r="K427" i="6" a="1"/>
  <c r="K427" i="6" s="1"/>
  <c r="F427" i="6"/>
  <c r="Q426" i="6" a="1"/>
  <c r="Q426" i="6" s="1"/>
  <c r="P426" i="6"/>
  <c r="N426" i="6" a="1"/>
  <c r="N426" i="6" s="1"/>
  <c r="O426" i="6" s="1"/>
  <c r="M426" i="6" a="1"/>
  <c r="M426" i="6" s="1"/>
  <c r="L426" i="6"/>
  <c r="K426" i="6" a="1"/>
  <c r="K426" i="6" s="1"/>
  <c r="F426" i="6"/>
  <c r="Q425" i="6" a="1"/>
  <c r="Q425" i="6" s="1"/>
  <c r="P425" i="6"/>
  <c r="N425" i="6" a="1"/>
  <c r="N425" i="6" s="1"/>
  <c r="O425" i="6" s="1"/>
  <c r="M425" i="6" a="1"/>
  <c r="M425" i="6" s="1"/>
  <c r="L425" i="6"/>
  <c r="K425" i="6" a="1"/>
  <c r="K425" i="6" s="1"/>
  <c r="F425" i="6"/>
  <c r="Q424" i="6" a="1"/>
  <c r="Q424" i="6" s="1"/>
  <c r="P424" i="6"/>
  <c r="N424" i="6" a="1"/>
  <c r="N424" i="6" s="1"/>
  <c r="O424" i="6" s="1"/>
  <c r="M424" i="6" a="1"/>
  <c r="M424" i="6" s="1"/>
  <c r="L424" i="6"/>
  <c r="K424" i="6" a="1"/>
  <c r="K424" i="6" s="1"/>
  <c r="F424" i="6"/>
  <c r="Q423" i="6" a="1"/>
  <c r="Q423" i="6" s="1"/>
  <c r="P423" i="6"/>
  <c r="N423" i="6" a="1"/>
  <c r="N423" i="6" s="1"/>
  <c r="O423" i="6" s="1"/>
  <c r="M423" i="6" a="1"/>
  <c r="M423" i="6" s="1"/>
  <c r="L423" i="6"/>
  <c r="K423" i="6" a="1"/>
  <c r="K423" i="6" s="1"/>
  <c r="F423" i="6"/>
  <c r="Q422" i="6" a="1"/>
  <c r="Q422" i="6" s="1"/>
  <c r="P422" i="6"/>
  <c r="N422" i="6" a="1"/>
  <c r="N422" i="6" s="1"/>
  <c r="O422" i="6" s="1"/>
  <c r="M422" i="6" a="1"/>
  <c r="M422" i="6" s="1"/>
  <c r="L422" i="6"/>
  <c r="K422" i="6" a="1"/>
  <c r="K422" i="6" s="1"/>
  <c r="F422" i="6"/>
  <c r="Q421" i="6" a="1"/>
  <c r="Q421" i="6" s="1"/>
  <c r="P421" i="6"/>
  <c r="N421" i="6" a="1"/>
  <c r="N421" i="6" s="1"/>
  <c r="O421" i="6" s="1"/>
  <c r="M421" i="6" a="1"/>
  <c r="M421" i="6" s="1"/>
  <c r="L421" i="6"/>
  <c r="K421" i="6" a="1"/>
  <c r="K421" i="6" s="1"/>
  <c r="F421" i="6"/>
  <c r="Q420" i="6" a="1"/>
  <c r="Q420" i="6" s="1"/>
  <c r="P420" i="6"/>
  <c r="N420" i="6" a="1"/>
  <c r="N420" i="6" s="1"/>
  <c r="O420" i="6" s="1"/>
  <c r="M420" i="6" a="1"/>
  <c r="M420" i="6" s="1"/>
  <c r="L420" i="6"/>
  <c r="K420" i="6" a="1"/>
  <c r="K420" i="6" s="1"/>
  <c r="F420" i="6"/>
  <c r="Q419" i="6" a="1"/>
  <c r="Q419" i="6" s="1"/>
  <c r="P419" i="6"/>
  <c r="N419" i="6" a="1"/>
  <c r="N419" i="6" s="1"/>
  <c r="O419" i="6" s="1"/>
  <c r="M419" i="6" a="1"/>
  <c r="M419" i="6" s="1"/>
  <c r="L419" i="6"/>
  <c r="K419" i="6" a="1"/>
  <c r="K419" i="6" s="1"/>
  <c r="F419" i="6"/>
  <c r="Q418" i="6" a="1"/>
  <c r="Q418" i="6" s="1"/>
  <c r="P418" i="6"/>
  <c r="N418" i="6" a="1"/>
  <c r="N418" i="6" s="1"/>
  <c r="O418" i="6" s="1"/>
  <c r="M418" i="6" a="1"/>
  <c r="M418" i="6" s="1"/>
  <c r="L418" i="6"/>
  <c r="K418" i="6" a="1"/>
  <c r="K418" i="6" s="1"/>
  <c r="F418" i="6"/>
  <c r="Q417" i="6" a="1"/>
  <c r="Q417" i="6" s="1"/>
  <c r="P417" i="6"/>
  <c r="N417" i="6" a="1"/>
  <c r="N417" i="6" s="1"/>
  <c r="O417" i="6" s="1"/>
  <c r="M417" i="6" a="1"/>
  <c r="M417" i="6" s="1"/>
  <c r="L417" i="6"/>
  <c r="K417" i="6" a="1"/>
  <c r="K417" i="6" s="1"/>
  <c r="F417" i="6"/>
  <c r="Q416" i="6" a="1"/>
  <c r="Q416" i="6" s="1"/>
  <c r="P416" i="6"/>
  <c r="N416" i="6" a="1"/>
  <c r="N416" i="6" s="1"/>
  <c r="O416" i="6" s="1"/>
  <c r="M416" i="6" a="1"/>
  <c r="M416" i="6" s="1"/>
  <c r="L416" i="6"/>
  <c r="K416" i="6" a="1"/>
  <c r="K416" i="6" s="1"/>
  <c r="F416" i="6"/>
  <c r="Q415" i="6" a="1"/>
  <c r="Q415" i="6" s="1"/>
  <c r="P415" i="6"/>
  <c r="N415" i="6" a="1"/>
  <c r="N415" i="6" s="1"/>
  <c r="O415" i="6" s="1"/>
  <c r="M415" i="6" a="1"/>
  <c r="M415" i="6" s="1"/>
  <c r="L415" i="6"/>
  <c r="K415" i="6" a="1"/>
  <c r="K415" i="6" s="1"/>
  <c r="F415" i="6"/>
  <c r="Q414" i="6" a="1"/>
  <c r="Q414" i="6" s="1"/>
  <c r="P414" i="6"/>
  <c r="N414" i="6" a="1"/>
  <c r="N414" i="6" s="1"/>
  <c r="O414" i="6" s="1"/>
  <c r="M414" i="6" a="1"/>
  <c r="M414" i="6" s="1"/>
  <c r="L414" i="6"/>
  <c r="K414" i="6" a="1"/>
  <c r="K414" i="6" s="1"/>
  <c r="F414" i="6"/>
  <c r="Q413" i="6" a="1"/>
  <c r="Q413" i="6" s="1"/>
  <c r="P413" i="6"/>
  <c r="N413" i="6" a="1"/>
  <c r="N413" i="6" s="1"/>
  <c r="O413" i="6" s="1"/>
  <c r="M413" i="6" a="1"/>
  <c r="M413" i="6" s="1"/>
  <c r="L413" i="6"/>
  <c r="K413" i="6" a="1"/>
  <c r="K413" i="6" s="1"/>
  <c r="F413" i="6"/>
  <c r="Q412" i="6" a="1"/>
  <c r="Q412" i="6" s="1"/>
  <c r="P412" i="6"/>
  <c r="N412" i="6" a="1"/>
  <c r="N412" i="6" s="1"/>
  <c r="O412" i="6" s="1"/>
  <c r="M412" i="6" a="1"/>
  <c r="M412" i="6" s="1"/>
  <c r="L412" i="6"/>
  <c r="K412" i="6" a="1"/>
  <c r="K412" i="6" s="1"/>
  <c r="F412" i="6"/>
  <c r="Q411" i="6" a="1"/>
  <c r="Q411" i="6" s="1"/>
  <c r="P411" i="6"/>
  <c r="N411" i="6" a="1"/>
  <c r="N411" i="6" s="1"/>
  <c r="O411" i="6" s="1"/>
  <c r="M411" i="6" a="1"/>
  <c r="M411" i="6" s="1"/>
  <c r="L411" i="6"/>
  <c r="K411" i="6" a="1"/>
  <c r="K411" i="6" s="1"/>
  <c r="F411" i="6"/>
  <c r="Q410" i="6" a="1"/>
  <c r="Q410" i="6" s="1"/>
  <c r="P410" i="6"/>
  <c r="N410" i="6" a="1"/>
  <c r="N410" i="6" s="1"/>
  <c r="O410" i="6" s="1"/>
  <c r="M410" i="6" a="1"/>
  <c r="M410" i="6" s="1"/>
  <c r="L410" i="6"/>
  <c r="K410" i="6" a="1"/>
  <c r="K410" i="6" s="1"/>
  <c r="F410" i="6"/>
  <c r="Q409" i="6" a="1"/>
  <c r="Q409" i="6" s="1"/>
  <c r="P409" i="6"/>
  <c r="N409" i="6" a="1"/>
  <c r="N409" i="6" s="1"/>
  <c r="O409" i="6" s="1"/>
  <c r="M409" i="6" a="1"/>
  <c r="M409" i="6" s="1"/>
  <c r="L409" i="6"/>
  <c r="K409" i="6" a="1"/>
  <c r="K409" i="6" s="1"/>
  <c r="F409" i="6"/>
  <c r="Q408" i="6" a="1"/>
  <c r="Q408" i="6" s="1"/>
  <c r="P408" i="6"/>
  <c r="N408" i="6" a="1"/>
  <c r="N408" i="6" s="1"/>
  <c r="O408" i="6" s="1"/>
  <c r="M408" i="6" a="1"/>
  <c r="M408" i="6" s="1"/>
  <c r="L408" i="6"/>
  <c r="K408" i="6" a="1"/>
  <c r="K408" i="6" s="1"/>
  <c r="F408" i="6"/>
  <c r="Q407" i="6" a="1"/>
  <c r="Q407" i="6" s="1"/>
  <c r="P407" i="6"/>
  <c r="N407" i="6" a="1"/>
  <c r="N407" i="6" s="1"/>
  <c r="O407" i="6" s="1"/>
  <c r="M407" i="6" a="1"/>
  <c r="M407" i="6" s="1"/>
  <c r="L407" i="6"/>
  <c r="K407" i="6" a="1"/>
  <c r="K407" i="6" s="1"/>
  <c r="F407" i="6"/>
  <c r="Q406" i="6" a="1"/>
  <c r="Q406" i="6" s="1"/>
  <c r="P406" i="6"/>
  <c r="N406" i="6" a="1"/>
  <c r="N406" i="6" s="1"/>
  <c r="O406" i="6" s="1"/>
  <c r="M406" i="6" a="1"/>
  <c r="M406" i="6" s="1"/>
  <c r="L406" i="6"/>
  <c r="K406" i="6" a="1"/>
  <c r="K406" i="6" s="1"/>
  <c r="F406" i="6"/>
  <c r="Q405" i="6" a="1"/>
  <c r="Q405" i="6" s="1"/>
  <c r="P405" i="6"/>
  <c r="N405" i="6" a="1"/>
  <c r="N405" i="6" s="1"/>
  <c r="O405" i="6" s="1"/>
  <c r="M405" i="6" a="1"/>
  <c r="M405" i="6" s="1"/>
  <c r="L405" i="6"/>
  <c r="K405" i="6" a="1"/>
  <c r="K405" i="6" s="1"/>
  <c r="F405" i="6"/>
  <c r="Q404" i="6" a="1"/>
  <c r="Q404" i="6" s="1"/>
  <c r="P404" i="6"/>
  <c r="N404" i="6" a="1"/>
  <c r="N404" i="6" s="1"/>
  <c r="O404" i="6" s="1"/>
  <c r="M404" i="6" a="1"/>
  <c r="M404" i="6" s="1"/>
  <c r="L404" i="6"/>
  <c r="K404" i="6" a="1"/>
  <c r="K404" i="6" s="1"/>
  <c r="F404" i="6"/>
  <c r="Q403" i="6" a="1"/>
  <c r="Q403" i="6" s="1"/>
  <c r="P403" i="6"/>
  <c r="N403" i="6" a="1"/>
  <c r="N403" i="6" s="1"/>
  <c r="O403" i="6" s="1"/>
  <c r="M403" i="6" a="1"/>
  <c r="M403" i="6" s="1"/>
  <c r="L403" i="6"/>
  <c r="K403" i="6" a="1"/>
  <c r="K403" i="6" s="1"/>
  <c r="F403" i="6"/>
  <c r="Q402" i="6" a="1"/>
  <c r="Q402" i="6" s="1"/>
  <c r="P402" i="6"/>
  <c r="N402" i="6" a="1"/>
  <c r="N402" i="6" s="1"/>
  <c r="O402" i="6" s="1"/>
  <c r="M402" i="6" a="1"/>
  <c r="M402" i="6" s="1"/>
  <c r="L402" i="6"/>
  <c r="K402" i="6" a="1"/>
  <c r="K402" i="6" s="1"/>
  <c r="F402" i="6"/>
  <c r="Q401" i="6" a="1"/>
  <c r="Q401" i="6" s="1"/>
  <c r="P401" i="6"/>
  <c r="N401" i="6" a="1"/>
  <c r="N401" i="6" s="1"/>
  <c r="O401" i="6" s="1"/>
  <c r="M401" i="6" a="1"/>
  <c r="M401" i="6" s="1"/>
  <c r="L401" i="6"/>
  <c r="K401" i="6" a="1"/>
  <c r="K401" i="6" s="1"/>
  <c r="F401" i="6"/>
  <c r="Q400" i="6" a="1"/>
  <c r="Q400" i="6" s="1"/>
  <c r="P400" i="6"/>
  <c r="N400" i="6" a="1"/>
  <c r="N400" i="6" s="1"/>
  <c r="O400" i="6" s="1"/>
  <c r="M400" i="6" a="1"/>
  <c r="M400" i="6" s="1"/>
  <c r="L400" i="6"/>
  <c r="K400" i="6" a="1"/>
  <c r="K400" i="6" s="1"/>
  <c r="F400" i="6"/>
  <c r="Q399" i="6" a="1"/>
  <c r="Q399" i="6" s="1"/>
  <c r="P399" i="6"/>
  <c r="N399" i="6" a="1"/>
  <c r="N399" i="6" s="1"/>
  <c r="O399" i="6" s="1"/>
  <c r="M399" i="6" a="1"/>
  <c r="M399" i="6" s="1"/>
  <c r="L399" i="6"/>
  <c r="K399" i="6" a="1"/>
  <c r="K399" i="6" s="1"/>
  <c r="F399" i="6"/>
  <c r="Q398" i="6" a="1"/>
  <c r="Q398" i="6" s="1"/>
  <c r="P398" i="6"/>
  <c r="N398" i="6" a="1"/>
  <c r="N398" i="6" s="1"/>
  <c r="O398" i="6" s="1"/>
  <c r="M398" i="6" a="1"/>
  <c r="M398" i="6" s="1"/>
  <c r="L398" i="6"/>
  <c r="K398" i="6" a="1"/>
  <c r="K398" i="6" s="1"/>
  <c r="F398" i="6"/>
  <c r="Q397" i="6" a="1"/>
  <c r="Q397" i="6" s="1"/>
  <c r="P397" i="6"/>
  <c r="N397" i="6" a="1"/>
  <c r="N397" i="6" s="1"/>
  <c r="O397" i="6" s="1"/>
  <c r="M397" i="6" a="1"/>
  <c r="M397" i="6" s="1"/>
  <c r="L397" i="6"/>
  <c r="K397" i="6" a="1"/>
  <c r="K397" i="6" s="1"/>
  <c r="F397" i="6"/>
  <c r="Q396" i="6" a="1"/>
  <c r="Q396" i="6" s="1"/>
  <c r="P396" i="6"/>
  <c r="N396" i="6" a="1"/>
  <c r="N396" i="6" s="1"/>
  <c r="O396" i="6" s="1"/>
  <c r="M396" i="6" a="1"/>
  <c r="M396" i="6" s="1"/>
  <c r="L396" i="6"/>
  <c r="K396" i="6" a="1"/>
  <c r="K396" i="6" s="1"/>
  <c r="F396" i="6"/>
  <c r="Q395" i="6" a="1"/>
  <c r="Q395" i="6" s="1"/>
  <c r="P395" i="6"/>
  <c r="N395" i="6" a="1"/>
  <c r="N395" i="6" s="1"/>
  <c r="O395" i="6" s="1"/>
  <c r="M395" i="6" a="1"/>
  <c r="M395" i="6" s="1"/>
  <c r="L395" i="6"/>
  <c r="K395" i="6" a="1"/>
  <c r="K395" i="6" s="1"/>
  <c r="F395" i="6"/>
  <c r="Q394" i="6" a="1"/>
  <c r="Q394" i="6" s="1"/>
  <c r="P394" i="6"/>
  <c r="N394" i="6" a="1"/>
  <c r="N394" i="6" s="1"/>
  <c r="O394" i="6" s="1"/>
  <c r="M394" i="6" a="1"/>
  <c r="M394" i="6" s="1"/>
  <c r="L394" i="6"/>
  <c r="K394" i="6" a="1"/>
  <c r="K394" i="6" s="1"/>
  <c r="F394" i="6"/>
  <c r="Q393" i="6" a="1"/>
  <c r="Q393" i="6" s="1"/>
  <c r="P393" i="6"/>
  <c r="N393" i="6" a="1"/>
  <c r="N393" i="6" s="1"/>
  <c r="O393" i="6" s="1"/>
  <c r="M393" i="6" a="1"/>
  <c r="M393" i="6" s="1"/>
  <c r="L393" i="6"/>
  <c r="K393" i="6" a="1"/>
  <c r="K393" i="6" s="1"/>
  <c r="F393" i="6"/>
  <c r="Q392" i="6" a="1"/>
  <c r="Q392" i="6" s="1"/>
  <c r="P392" i="6"/>
  <c r="N392" i="6" a="1"/>
  <c r="N392" i="6" s="1"/>
  <c r="O392" i="6" s="1"/>
  <c r="M392" i="6" a="1"/>
  <c r="M392" i="6" s="1"/>
  <c r="L392" i="6"/>
  <c r="K392" i="6" a="1"/>
  <c r="K392" i="6" s="1"/>
  <c r="F392" i="6"/>
  <c r="Q391" i="6" a="1"/>
  <c r="Q391" i="6" s="1"/>
  <c r="P391" i="6"/>
  <c r="N391" i="6" a="1"/>
  <c r="N391" i="6" s="1"/>
  <c r="O391" i="6" s="1"/>
  <c r="M391" i="6" a="1"/>
  <c r="M391" i="6" s="1"/>
  <c r="L391" i="6"/>
  <c r="K391" i="6" a="1"/>
  <c r="K391" i="6" s="1"/>
  <c r="F391" i="6"/>
  <c r="Q390" i="6" a="1"/>
  <c r="Q390" i="6" s="1"/>
  <c r="P390" i="6"/>
  <c r="N390" i="6" a="1"/>
  <c r="N390" i="6" s="1"/>
  <c r="O390" i="6" s="1"/>
  <c r="M390" i="6" a="1"/>
  <c r="M390" i="6" s="1"/>
  <c r="L390" i="6"/>
  <c r="K390" i="6" a="1"/>
  <c r="K390" i="6" s="1"/>
  <c r="F390" i="6"/>
  <c r="Q389" i="6" a="1"/>
  <c r="Q389" i="6" s="1"/>
  <c r="P389" i="6"/>
  <c r="N389" i="6" a="1"/>
  <c r="N389" i="6" s="1"/>
  <c r="O389" i="6" s="1"/>
  <c r="M389" i="6" a="1"/>
  <c r="M389" i="6" s="1"/>
  <c r="L389" i="6"/>
  <c r="K389" i="6" a="1"/>
  <c r="K389" i="6" s="1"/>
  <c r="F389" i="6"/>
  <c r="Q388" i="6" a="1"/>
  <c r="Q388" i="6" s="1"/>
  <c r="P388" i="6"/>
  <c r="N388" i="6" a="1"/>
  <c r="N388" i="6" s="1"/>
  <c r="O388" i="6" s="1"/>
  <c r="M388" i="6" a="1"/>
  <c r="M388" i="6" s="1"/>
  <c r="L388" i="6"/>
  <c r="K388" i="6" a="1"/>
  <c r="K388" i="6" s="1"/>
  <c r="F388" i="6"/>
  <c r="Q387" i="6" a="1"/>
  <c r="Q387" i="6" s="1"/>
  <c r="P387" i="6"/>
  <c r="N387" i="6" a="1"/>
  <c r="N387" i="6" s="1"/>
  <c r="O387" i="6" s="1"/>
  <c r="M387" i="6" a="1"/>
  <c r="M387" i="6" s="1"/>
  <c r="L387" i="6"/>
  <c r="K387" i="6" a="1"/>
  <c r="K387" i="6" s="1"/>
  <c r="F387" i="6"/>
  <c r="Q386" i="6" a="1"/>
  <c r="Q386" i="6" s="1"/>
  <c r="P386" i="6"/>
  <c r="N386" i="6" a="1"/>
  <c r="N386" i="6" s="1"/>
  <c r="O386" i="6" s="1"/>
  <c r="M386" i="6" a="1"/>
  <c r="M386" i="6" s="1"/>
  <c r="L386" i="6"/>
  <c r="K386" i="6" a="1"/>
  <c r="K386" i="6" s="1"/>
  <c r="F386" i="6"/>
  <c r="Q385" i="6" a="1"/>
  <c r="Q385" i="6" s="1"/>
  <c r="P385" i="6"/>
  <c r="N385" i="6" a="1"/>
  <c r="N385" i="6" s="1"/>
  <c r="O385" i="6" s="1"/>
  <c r="M385" i="6" a="1"/>
  <c r="M385" i="6" s="1"/>
  <c r="L385" i="6"/>
  <c r="K385" i="6" a="1"/>
  <c r="K385" i="6" s="1"/>
  <c r="F385" i="6"/>
  <c r="Q384" i="6" a="1"/>
  <c r="Q384" i="6" s="1"/>
  <c r="P384" i="6"/>
  <c r="N384" i="6" a="1"/>
  <c r="N384" i="6" s="1"/>
  <c r="O384" i="6" s="1"/>
  <c r="M384" i="6" a="1"/>
  <c r="M384" i="6" s="1"/>
  <c r="L384" i="6"/>
  <c r="K384" i="6" a="1"/>
  <c r="K384" i="6" s="1"/>
  <c r="F384" i="6"/>
  <c r="Q383" i="6" a="1"/>
  <c r="Q383" i="6" s="1"/>
  <c r="P383" i="6"/>
  <c r="N383" i="6" a="1"/>
  <c r="N383" i="6" s="1"/>
  <c r="O383" i="6" s="1"/>
  <c r="M383" i="6" a="1"/>
  <c r="M383" i="6" s="1"/>
  <c r="L383" i="6"/>
  <c r="K383" i="6" a="1"/>
  <c r="K383" i="6" s="1"/>
  <c r="F383" i="6"/>
  <c r="Q382" i="6" a="1"/>
  <c r="Q382" i="6" s="1"/>
  <c r="P382" i="6"/>
  <c r="N382" i="6" a="1"/>
  <c r="N382" i="6" s="1"/>
  <c r="O382" i="6" s="1"/>
  <c r="M382" i="6" a="1"/>
  <c r="M382" i="6" s="1"/>
  <c r="L382" i="6"/>
  <c r="K382" i="6" a="1"/>
  <c r="K382" i="6" s="1"/>
  <c r="F382" i="6"/>
  <c r="Q381" i="6" a="1"/>
  <c r="Q381" i="6" s="1"/>
  <c r="P381" i="6"/>
  <c r="N381" i="6" a="1"/>
  <c r="N381" i="6" s="1"/>
  <c r="O381" i="6" s="1"/>
  <c r="M381" i="6" a="1"/>
  <c r="M381" i="6" s="1"/>
  <c r="L381" i="6"/>
  <c r="K381" i="6" a="1"/>
  <c r="K381" i="6" s="1"/>
  <c r="F381" i="6"/>
  <c r="Q380" i="6" a="1"/>
  <c r="Q380" i="6" s="1"/>
  <c r="P380" i="6"/>
  <c r="N380" i="6" a="1"/>
  <c r="N380" i="6" s="1"/>
  <c r="O380" i="6" s="1"/>
  <c r="M380" i="6" a="1"/>
  <c r="M380" i="6" s="1"/>
  <c r="L380" i="6"/>
  <c r="K380" i="6" a="1"/>
  <c r="K380" i="6" s="1"/>
  <c r="F380" i="6"/>
  <c r="Q379" i="6" a="1"/>
  <c r="Q379" i="6" s="1"/>
  <c r="P379" i="6"/>
  <c r="N379" i="6" a="1"/>
  <c r="N379" i="6" s="1"/>
  <c r="O379" i="6" s="1"/>
  <c r="M379" i="6" a="1"/>
  <c r="M379" i="6" s="1"/>
  <c r="L379" i="6"/>
  <c r="K379" i="6" a="1"/>
  <c r="K379" i="6" s="1"/>
  <c r="F379" i="6"/>
  <c r="Q378" i="6" a="1"/>
  <c r="Q378" i="6" s="1"/>
  <c r="P378" i="6"/>
  <c r="N378" i="6" a="1"/>
  <c r="N378" i="6" s="1"/>
  <c r="O378" i="6" s="1"/>
  <c r="M378" i="6" a="1"/>
  <c r="M378" i="6" s="1"/>
  <c r="L378" i="6"/>
  <c r="K378" i="6" a="1"/>
  <c r="K378" i="6" s="1"/>
  <c r="F378" i="6"/>
  <c r="Q377" i="6" a="1"/>
  <c r="Q377" i="6" s="1"/>
  <c r="P377" i="6"/>
  <c r="N377" i="6" a="1"/>
  <c r="N377" i="6" s="1"/>
  <c r="O377" i="6" s="1"/>
  <c r="M377" i="6" a="1"/>
  <c r="M377" i="6" s="1"/>
  <c r="L377" i="6"/>
  <c r="K377" i="6" a="1"/>
  <c r="K377" i="6" s="1"/>
  <c r="F377" i="6"/>
  <c r="Q376" i="6" a="1"/>
  <c r="Q376" i="6" s="1"/>
  <c r="P376" i="6"/>
  <c r="N376" i="6" a="1"/>
  <c r="N376" i="6" s="1"/>
  <c r="O376" i="6" s="1"/>
  <c r="M376" i="6" a="1"/>
  <c r="M376" i="6" s="1"/>
  <c r="L376" i="6"/>
  <c r="K376" i="6" a="1"/>
  <c r="K376" i="6" s="1"/>
  <c r="F376" i="6"/>
  <c r="Q375" i="6" a="1"/>
  <c r="Q375" i="6" s="1"/>
  <c r="P375" i="6"/>
  <c r="N375" i="6" a="1"/>
  <c r="N375" i="6" s="1"/>
  <c r="O375" i="6" s="1"/>
  <c r="M375" i="6" a="1"/>
  <c r="M375" i="6" s="1"/>
  <c r="L375" i="6"/>
  <c r="K375" i="6" a="1"/>
  <c r="K375" i="6" s="1"/>
  <c r="F375" i="6"/>
  <c r="Q374" i="6" a="1"/>
  <c r="Q374" i="6" s="1"/>
  <c r="P374" i="6"/>
  <c r="N374" i="6" a="1"/>
  <c r="N374" i="6" s="1"/>
  <c r="O374" i="6" s="1"/>
  <c r="M374" i="6" a="1"/>
  <c r="M374" i="6" s="1"/>
  <c r="L374" i="6"/>
  <c r="K374" i="6" a="1"/>
  <c r="K374" i="6" s="1"/>
  <c r="F374" i="6"/>
  <c r="Q373" i="6" a="1"/>
  <c r="Q373" i="6" s="1"/>
  <c r="P373" i="6"/>
  <c r="N373" i="6" a="1"/>
  <c r="N373" i="6" s="1"/>
  <c r="O373" i="6" s="1"/>
  <c r="M373" i="6" a="1"/>
  <c r="M373" i="6" s="1"/>
  <c r="L373" i="6"/>
  <c r="K373" i="6" a="1"/>
  <c r="K373" i="6" s="1"/>
  <c r="F373" i="6"/>
  <c r="Q372" i="6" a="1"/>
  <c r="Q372" i="6" s="1"/>
  <c r="P372" i="6"/>
  <c r="N372" i="6" a="1"/>
  <c r="N372" i="6" s="1"/>
  <c r="O372" i="6" s="1"/>
  <c r="M372" i="6" a="1"/>
  <c r="M372" i="6" s="1"/>
  <c r="L372" i="6"/>
  <c r="K372" i="6" a="1"/>
  <c r="K372" i="6" s="1"/>
  <c r="F372" i="6"/>
  <c r="Q371" i="6" a="1"/>
  <c r="Q371" i="6" s="1"/>
  <c r="P371" i="6"/>
  <c r="N371" i="6" a="1"/>
  <c r="N371" i="6" s="1"/>
  <c r="O371" i="6" s="1"/>
  <c r="M371" i="6" a="1"/>
  <c r="M371" i="6" s="1"/>
  <c r="L371" i="6"/>
  <c r="K371" i="6" a="1"/>
  <c r="K371" i="6" s="1"/>
  <c r="F371" i="6"/>
  <c r="Q370" i="6" a="1"/>
  <c r="Q370" i="6" s="1"/>
  <c r="P370" i="6"/>
  <c r="N370" i="6" a="1"/>
  <c r="N370" i="6" s="1"/>
  <c r="O370" i="6" s="1"/>
  <c r="M370" i="6" a="1"/>
  <c r="M370" i="6" s="1"/>
  <c r="L370" i="6"/>
  <c r="K370" i="6" a="1"/>
  <c r="K370" i="6" s="1"/>
  <c r="F370" i="6"/>
  <c r="Q369" i="6" a="1"/>
  <c r="Q369" i="6" s="1"/>
  <c r="P369" i="6"/>
  <c r="N369" i="6" a="1"/>
  <c r="N369" i="6" s="1"/>
  <c r="O369" i="6" s="1"/>
  <c r="M369" i="6" a="1"/>
  <c r="M369" i="6" s="1"/>
  <c r="L369" i="6"/>
  <c r="K369" i="6" a="1"/>
  <c r="K369" i="6" s="1"/>
  <c r="F369" i="6"/>
  <c r="Q368" i="6" a="1"/>
  <c r="Q368" i="6" s="1"/>
  <c r="P368" i="6"/>
  <c r="N368" i="6" a="1"/>
  <c r="N368" i="6" s="1"/>
  <c r="O368" i="6" s="1"/>
  <c r="M368" i="6" a="1"/>
  <c r="M368" i="6" s="1"/>
  <c r="L368" i="6"/>
  <c r="K368" i="6" a="1"/>
  <c r="K368" i="6" s="1"/>
  <c r="F368" i="6"/>
  <c r="Q367" i="6" a="1"/>
  <c r="Q367" i="6" s="1"/>
  <c r="P367" i="6"/>
  <c r="N367" i="6" a="1"/>
  <c r="N367" i="6" s="1"/>
  <c r="O367" i="6" s="1"/>
  <c r="M367" i="6" a="1"/>
  <c r="M367" i="6" s="1"/>
  <c r="L367" i="6"/>
  <c r="K367" i="6" a="1"/>
  <c r="K367" i="6" s="1"/>
  <c r="F367" i="6"/>
  <c r="Q366" i="6" a="1"/>
  <c r="Q366" i="6" s="1"/>
  <c r="P366" i="6"/>
  <c r="N366" i="6" a="1"/>
  <c r="N366" i="6" s="1"/>
  <c r="O366" i="6" s="1"/>
  <c r="M366" i="6" a="1"/>
  <c r="M366" i="6" s="1"/>
  <c r="L366" i="6"/>
  <c r="K366" i="6" a="1"/>
  <c r="K366" i="6" s="1"/>
  <c r="F366" i="6"/>
  <c r="Q365" i="6" a="1"/>
  <c r="Q365" i="6" s="1"/>
  <c r="P365" i="6"/>
  <c r="N365" i="6" a="1"/>
  <c r="N365" i="6" s="1"/>
  <c r="O365" i="6" s="1"/>
  <c r="M365" i="6" a="1"/>
  <c r="M365" i="6" s="1"/>
  <c r="L365" i="6"/>
  <c r="K365" i="6" a="1"/>
  <c r="K365" i="6" s="1"/>
  <c r="F365" i="6"/>
  <c r="Q364" i="6" a="1"/>
  <c r="Q364" i="6" s="1"/>
  <c r="P364" i="6"/>
  <c r="N364" i="6" a="1"/>
  <c r="N364" i="6" s="1"/>
  <c r="O364" i="6" s="1"/>
  <c r="M364" i="6" a="1"/>
  <c r="M364" i="6" s="1"/>
  <c r="L364" i="6"/>
  <c r="K364" i="6" a="1"/>
  <c r="K364" i="6" s="1"/>
  <c r="F364" i="6"/>
  <c r="Q363" i="6" a="1"/>
  <c r="Q363" i="6" s="1"/>
  <c r="P363" i="6"/>
  <c r="N363" i="6" a="1"/>
  <c r="N363" i="6" s="1"/>
  <c r="O363" i="6" s="1"/>
  <c r="M363" i="6" a="1"/>
  <c r="M363" i="6" s="1"/>
  <c r="L363" i="6"/>
  <c r="K363" i="6" a="1"/>
  <c r="K363" i="6" s="1"/>
  <c r="F363" i="6"/>
  <c r="Q362" i="6" a="1"/>
  <c r="Q362" i="6" s="1"/>
  <c r="P362" i="6"/>
  <c r="N362" i="6" a="1"/>
  <c r="N362" i="6" s="1"/>
  <c r="O362" i="6" s="1"/>
  <c r="M362" i="6" a="1"/>
  <c r="M362" i="6" s="1"/>
  <c r="L362" i="6"/>
  <c r="K362" i="6" a="1"/>
  <c r="K362" i="6" s="1"/>
  <c r="F362" i="6"/>
  <c r="Q361" i="6" a="1"/>
  <c r="Q361" i="6" s="1"/>
  <c r="P361" i="6"/>
  <c r="N361" i="6" a="1"/>
  <c r="N361" i="6" s="1"/>
  <c r="O361" i="6" s="1"/>
  <c r="M361" i="6" a="1"/>
  <c r="M361" i="6" s="1"/>
  <c r="L361" i="6"/>
  <c r="K361" i="6" a="1"/>
  <c r="K361" i="6" s="1"/>
  <c r="F361" i="6"/>
  <c r="Q360" i="6" a="1"/>
  <c r="Q360" i="6" s="1"/>
  <c r="P360" i="6"/>
  <c r="N360" i="6" a="1"/>
  <c r="N360" i="6" s="1"/>
  <c r="O360" i="6" s="1"/>
  <c r="M360" i="6" a="1"/>
  <c r="M360" i="6" s="1"/>
  <c r="L360" i="6"/>
  <c r="K360" i="6" a="1"/>
  <c r="K360" i="6" s="1"/>
  <c r="F360" i="6"/>
  <c r="Q359" i="6" a="1"/>
  <c r="Q359" i="6" s="1"/>
  <c r="P359" i="6"/>
  <c r="N359" i="6" a="1"/>
  <c r="N359" i="6" s="1"/>
  <c r="O359" i="6" s="1"/>
  <c r="M359" i="6" a="1"/>
  <c r="M359" i="6" s="1"/>
  <c r="L359" i="6"/>
  <c r="K359" i="6" a="1"/>
  <c r="K359" i="6" s="1"/>
  <c r="F359" i="6"/>
  <c r="Q358" i="6" a="1"/>
  <c r="Q358" i="6" s="1"/>
  <c r="P358" i="6"/>
  <c r="N358" i="6" a="1"/>
  <c r="N358" i="6" s="1"/>
  <c r="O358" i="6" s="1"/>
  <c r="M358" i="6" a="1"/>
  <c r="M358" i="6" s="1"/>
  <c r="L358" i="6"/>
  <c r="K358" i="6" a="1"/>
  <c r="K358" i="6" s="1"/>
  <c r="F358" i="6"/>
  <c r="Q357" i="6" a="1"/>
  <c r="Q357" i="6" s="1"/>
  <c r="P357" i="6"/>
  <c r="N357" i="6" a="1"/>
  <c r="N357" i="6" s="1"/>
  <c r="O357" i="6" s="1"/>
  <c r="M357" i="6" a="1"/>
  <c r="M357" i="6" s="1"/>
  <c r="L357" i="6"/>
  <c r="K357" i="6" a="1"/>
  <c r="K357" i="6" s="1"/>
  <c r="F357" i="6"/>
  <c r="Q356" i="6" a="1"/>
  <c r="Q356" i="6" s="1"/>
  <c r="P356" i="6"/>
  <c r="N356" i="6" a="1"/>
  <c r="N356" i="6" s="1"/>
  <c r="O356" i="6" s="1"/>
  <c r="M356" i="6" a="1"/>
  <c r="M356" i="6" s="1"/>
  <c r="L356" i="6"/>
  <c r="K356" i="6" a="1"/>
  <c r="K356" i="6" s="1"/>
  <c r="F356" i="6"/>
  <c r="Q355" i="6" a="1"/>
  <c r="Q355" i="6" s="1"/>
  <c r="P355" i="6"/>
  <c r="N355" i="6" a="1"/>
  <c r="N355" i="6" s="1"/>
  <c r="O355" i="6" s="1"/>
  <c r="M355" i="6" a="1"/>
  <c r="M355" i="6" s="1"/>
  <c r="L355" i="6"/>
  <c r="K355" i="6" a="1"/>
  <c r="K355" i="6" s="1"/>
  <c r="F355" i="6"/>
  <c r="Q354" i="6" a="1"/>
  <c r="Q354" i="6" s="1"/>
  <c r="P354" i="6"/>
  <c r="N354" i="6" a="1"/>
  <c r="N354" i="6" s="1"/>
  <c r="O354" i="6" s="1"/>
  <c r="M354" i="6" a="1"/>
  <c r="M354" i="6" s="1"/>
  <c r="L354" i="6"/>
  <c r="K354" i="6" a="1"/>
  <c r="K354" i="6" s="1"/>
  <c r="F354" i="6"/>
  <c r="Q353" i="6" a="1"/>
  <c r="Q353" i="6" s="1"/>
  <c r="P353" i="6"/>
  <c r="N353" i="6" a="1"/>
  <c r="N353" i="6" s="1"/>
  <c r="O353" i="6" s="1"/>
  <c r="M353" i="6" a="1"/>
  <c r="M353" i="6" s="1"/>
  <c r="L353" i="6"/>
  <c r="K353" i="6" a="1"/>
  <c r="K353" i="6" s="1"/>
  <c r="F353" i="6"/>
  <c r="Q352" i="6" a="1"/>
  <c r="Q352" i="6" s="1"/>
  <c r="P352" i="6"/>
  <c r="N352" i="6" a="1"/>
  <c r="N352" i="6" s="1"/>
  <c r="O352" i="6" s="1"/>
  <c r="M352" i="6" a="1"/>
  <c r="M352" i="6" s="1"/>
  <c r="L352" i="6"/>
  <c r="K352" i="6" a="1"/>
  <c r="K352" i="6" s="1"/>
  <c r="F352" i="6"/>
  <c r="Q351" i="6" a="1"/>
  <c r="Q351" i="6" s="1"/>
  <c r="P351" i="6"/>
  <c r="N351" i="6" a="1"/>
  <c r="N351" i="6" s="1"/>
  <c r="O351" i="6" s="1"/>
  <c r="M351" i="6" a="1"/>
  <c r="M351" i="6" s="1"/>
  <c r="L351" i="6"/>
  <c r="K351" i="6" a="1"/>
  <c r="K351" i="6" s="1"/>
  <c r="F351" i="6"/>
  <c r="Q350" i="6" a="1"/>
  <c r="Q350" i="6" s="1"/>
  <c r="P350" i="6"/>
  <c r="N350" i="6" a="1"/>
  <c r="N350" i="6" s="1"/>
  <c r="O350" i="6" s="1"/>
  <c r="M350" i="6" a="1"/>
  <c r="M350" i="6" s="1"/>
  <c r="L350" i="6"/>
  <c r="K350" i="6" a="1"/>
  <c r="K350" i="6" s="1"/>
  <c r="F350" i="6"/>
  <c r="Q349" i="6" a="1"/>
  <c r="Q349" i="6" s="1"/>
  <c r="P349" i="6"/>
  <c r="N349" i="6" a="1"/>
  <c r="N349" i="6" s="1"/>
  <c r="O349" i="6" s="1"/>
  <c r="M349" i="6" a="1"/>
  <c r="M349" i="6" s="1"/>
  <c r="L349" i="6"/>
  <c r="K349" i="6" a="1"/>
  <c r="K349" i="6" s="1"/>
  <c r="F349" i="6"/>
  <c r="Q348" i="6" a="1"/>
  <c r="Q348" i="6" s="1"/>
  <c r="P348" i="6"/>
  <c r="N348" i="6" a="1"/>
  <c r="N348" i="6" s="1"/>
  <c r="O348" i="6" s="1"/>
  <c r="M348" i="6" a="1"/>
  <c r="M348" i="6" s="1"/>
  <c r="L348" i="6"/>
  <c r="K348" i="6" a="1"/>
  <c r="K348" i="6" s="1"/>
  <c r="F348" i="6"/>
  <c r="Q347" i="6" a="1"/>
  <c r="Q347" i="6" s="1"/>
  <c r="P347" i="6"/>
  <c r="N347" i="6" a="1"/>
  <c r="N347" i="6" s="1"/>
  <c r="O347" i="6" s="1"/>
  <c r="M347" i="6" a="1"/>
  <c r="M347" i="6" s="1"/>
  <c r="L347" i="6"/>
  <c r="K347" i="6" a="1"/>
  <c r="K347" i="6" s="1"/>
  <c r="F347" i="6"/>
  <c r="Q346" i="6" a="1"/>
  <c r="Q346" i="6" s="1"/>
  <c r="P346" i="6"/>
  <c r="N346" i="6" a="1"/>
  <c r="N346" i="6" s="1"/>
  <c r="O346" i="6" s="1"/>
  <c r="M346" i="6" a="1"/>
  <c r="M346" i="6" s="1"/>
  <c r="L346" i="6"/>
  <c r="K346" i="6" a="1"/>
  <c r="K346" i="6" s="1"/>
  <c r="F346" i="6"/>
  <c r="Q345" i="6" a="1"/>
  <c r="Q345" i="6" s="1"/>
  <c r="P345" i="6"/>
  <c r="N345" i="6" a="1"/>
  <c r="N345" i="6" s="1"/>
  <c r="O345" i="6" s="1"/>
  <c r="M345" i="6" a="1"/>
  <c r="M345" i="6" s="1"/>
  <c r="L345" i="6"/>
  <c r="K345" i="6" a="1"/>
  <c r="K345" i="6" s="1"/>
  <c r="F345" i="6"/>
  <c r="Q344" i="6" a="1"/>
  <c r="Q344" i="6" s="1"/>
  <c r="P344" i="6"/>
  <c r="N344" i="6" a="1"/>
  <c r="N344" i="6" s="1"/>
  <c r="O344" i="6" s="1"/>
  <c r="M344" i="6" a="1"/>
  <c r="M344" i="6" s="1"/>
  <c r="L344" i="6"/>
  <c r="K344" i="6" a="1"/>
  <c r="K344" i="6" s="1"/>
  <c r="F344" i="6"/>
  <c r="Q343" i="6" a="1"/>
  <c r="Q343" i="6" s="1"/>
  <c r="P343" i="6"/>
  <c r="N343" i="6" a="1"/>
  <c r="N343" i="6" s="1"/>
  <c r="O343" i="6" s="1"/>
  <c r="M343" i="6" a="1"/>
  <c r="M343" i="6" s="1"/>
  <c r="L343" i="6"/>
  <c r="K343" i="6" a="1"/>
  <c r="K343" i="6" s="1"/>
  <c r="F343" i="6"/>
  <c r="Q342" i="6" a="1"/>
  <c r="Q342" i="6" s="1"/>
  <c r="P342" i="6"/>
  <c r="N342" i="6" a="1"/>
  <c r="N342" i="6" s="1"/>
  <c r="O342" i="6" s="1"/>
  <c r="M342" i="6" a="1"/>
  <c r="M342" i="6" s="1"/>
  <c r="L342" i="6"/>
  <c r="K342" i="6" a="1"/>
  <c r="K342" i="6" s="1"/>
  <c r="F342" i="6"/>
  <c r="Q341" i="6" a="1"/>
  <c r="Q341" i="6" s="1"/>
  <c r="P341" i="6"/>
  <c r="N341" i="6" a="1"/>
  <c r="N341" i="6" s="1"/>
  <c r="O341" i="6" s="1"/>
  <c r="M341" i="6" a="1"/>
  <c r="M341" i="6" s="1"/>
  <c r="L341" i="6"/>
  <c r="K341" i="6" a="1"/>
  <c r="K341" i="6" s="1"/>
  <c r="F341" i="6"/>
  <c r="Q340" i="6" a="1"/>
  <c r="Q340" i="6" s="1"/>
  <c r="P340" i="6"/>
  <c r="N340" i="6" a="1"/>
  <c r="N340" i="6" s="1"/>
  <c r="O340" i="6" s="1"/>
  <c r="M340" i="6" a="1"/>
  <c r="M340" i="6" s="1"/>
  <c r="L340" i="6"/>
  <c r="K340" i="6" a="1"/>
  <c r="K340" i="6" s="1"/>
  <c r="F340" i="6"/>
  <c r="Q339" i="6" a="1"/>
  <c r="Q339" i="6" s="1"/>
  <c r="P339" i="6"/>
  <c r="N339" i="6" a="1"/>
  <c r="N339" i="6" s="1"/>
  <c r="O339" i="6" s="1"/>
  <c r="M339" i="6" a="1"/>
  <c r="M339" i="6" s="1"/>
  <c r="L339" i="6"/>
  <c r="K339" i="6" a="1"/>
  <c r="K339" i="6" s="1"/>
  <c r="F339" i="6"/>
  <c r="Q338" i="6" a="1"/>
  <c r="Q338" i="6" s="1"/>
  <c r="P338" i="6"/>
  <c r="N338" i="6" a="1"/>
  <c r="N338" i="6" s="1"/>
  <c r="O338" i="6" s="1"/>
  <c r="M338" i="6" a="1"/>
  <c r="M338" i="6" s="1"/>
  <c r="L338" i="6"/>
  <c r="K338" i="6" a="1"/>
  <c r="K338" i="6" s="1"/>
  <c r="F338" i="6"/>
  <c r="Q337" i="6" a="1"/>
  <c r="Q337" i="6" s="1"/>
  <c r="P337" i="6"/>
  <c r="N337" i="6" a="1"/>
  <c r="N337" i="6" s="1"/>
  <c r="O337" i="6" s="1"/>
  <c r="M337" i="6" a="1"/>
  <c r="M337" i="6" s="1"/>
  <c r="L337" i="6"/>
  <c r="K337" i="6" a="1"/>
  <c r="K337" i="6" s="1"/>
  <c r="F337" i="6"/>
  <c r="Q336" i="6" a="1"/>
  <c r="Q336" i="6" s="1"/>
  <c r="P336" i="6"/>
  <c r="N336" i="6" a="1"/>
  <c r="N336" i="6" s="1"/>
  <c r="O336" i="6" s="1"/>
  <c r="M336" i="6" a="1"/>
  <c r="M336" i="6" s="1"/>
  <c r="L336" i="6"/>
  <c r="K336" i="6" a="1"/>
  <c r="K336" i="6" s="1"/>
  <c r="F336" i="6"/>
  <c r="Q335" i="6" a="1"/>
  <c r="Q335" i="6" s="1"/>
  <c r="P335" i="6"/>
  <c r="N335" i="6" a="1"/>
  <c r="N335" i="6" s="1"/>
  <c r="O335" i="6" s="1"/>
  <c r="M335" i="6" a="1"/>
  <c r="M335" i="6" s="1"/>
  <c r="L335" i="6"/>
  <c r="K335" i="6" a="1"/>
  <c r="K335" i="6" s="1"/>
  <c r="F335" i="6"/>
  <c r="Q334" i="6" a="1"/>
  <c r="Q334" i="6" s="1"/>
  <c r="P334" i="6"/>
  <c r="N334" i="6" a="1"/>
  <c r="N334" i="6" s="1"/>
  <c r="O334" i="6" s="1"/>
  <c r="M334" i="6" a="1"/>
  <c r="M334" i="6" s="1"/>
  <c r="L334" i="6"/>
  <c r="K334" i="6" a="1"/>
  <c r="K334" i="6" s="1"/>
  <c r="F334" i="6"/>
  <c r="Q333" i="6" a="1"/>
  <c r="Q333" i="6" s="1"/>
  <c r="P333" i="6"/>
  <c r="N333" i="6" a="1"/>
  <c r="N333" i="6" s="1"/>
  <c r="O333" i="6" s="1"/>
  <c r="M333" i="6" a="1"/>
  <c r="M333" i="6" s="1"/>
  <c r="L333" i="6"/>
  <c r="K333" i="6" a="1"/>
  <c r="K333" i="6" s="1"/>
  <c r="F333" i="6"/>
  <c r="Q332" i="6" a="1"/>
  <c r="Q332" i="6" s="1"/>
  <c r="P332" i="6"/>
  <c r="N332" i="6" a="1"/>
  <c r="N332" i="6" s="1"/>
  <c r="O332" i="6" s="1"/>
  <c r="M332" i="6" a="1"/>
  <c r="M332" i="6" s="1"/>
  <c r="L332" i="6"/>
  <c r="K332" i="6" a="1"/>
  <c r="K332" i="6" s="1"/>
  <c r="F332" i="6"/>
  <c r="Q331" i="6" a="1"/>
  <c r="Q331" i="6" s="1"/>
  <c r="P331" i="6"/>
  <c r="N331" i="6" a="1"/>
  <c r="N331" i="6" s="1"/>
  <c r="O331" i="6" s="1"/>
  <c r="M331" i="6" a="1"/>
  <c r="M331" i="6" s="1"/>
  <c r="L331" i="6"/>
  <c r="K331" i="6" a="1"/>
  <c r="K331" i="6" s="1"/>
  <c r="F331" i="6"/>
  <c r="Q330" i="6" a="1"/>
  <c r="Q330" i="6" s="1"/>
  <c r="P330" i="6"/>
  <c r="N330" i="6" a="1"/>
  <c r="N330" i="6" s="1"/>
  <c r="O330" i="6" s="1"/>
  <c r="M330" i="6" a="1"/>
  <c r="M330" i="6" s="1"/>
  <c r="L330" i="6"/>
  <c r="K330" i="6" a="1"/>
  <c r="K330" i="6" s="1"/>
  <c r="F330" i="6"/>
  <c r="Q329" i="6" a="1"/>
  <c r="Q329" i="6" s="1"/>
  <c r="P329" i="6"/>
  <c r="N329" i="6" a="1"/>
  <c r="N329" i="6" s="1"/>
  <c r="O329" i="6" s="1"/>
  <c r="M329" i="6" a="1"/>
  <c r="M329" i="6" s="1"/>
  <c r="L329" i="6"/>
  <c r="K329" i="6" a="1"/>
  <c r="K329" i="6" s="1"/>
  <c r="F329" i="6"/>
  <c r="Q328" i="6" a="1"/>
  <c r="Q328" i="6" s="1"/>
  <c r="P328" i="6"/>
  <c r="N328" i="6" a="1"/>
  <c r="N328" i="6" s="1"/>
  <c r="O328" i="6" s="1"/>
  <c r="M328" i="6" a="1"/>
  <c r="M328" i="6" s="1"/>
  <c r="L328" i="6"/>
  <c r="K328" i="6" a="1"/>
  <c r="K328" i="6" s="1"/>
  <c r="F328" i="6"/>
  <c r="Q327" i="6" a="1"/>
  <c r="Q327" i="6" s="1"/>
  <c r="P327" i="6"/>
  <c r="N327" i="6" a="1"/>
  <c r="N327" i="6" s="1"/>
  <c r="O327" i="6" s="1"/>
  <c r="M327" i="6" a="1"/>
  <c r="M327" i="6" s="1"/>
  <c r="L327" i="6"/>
  <c r="K327" i="6" a="1"/>
  <c r="K327" i="6" s="1"/>
  <c r="F327" i="6"/>
  <c r="Q326" i="6" a="1"/>
  <c r="Q326" i="6" s="1"/>
  <c r="P326" i="6"/>
  <c r="N326" i="6" a="1"/>
  <c r="N326" i="6" s="1"/>
  <c r="O326" i="6" s="1"/>
  <c r="M326" i="6" a="1"/>
  <c r="M326" i="6" s="1"/>
  <c r="L326" i="6"/>
  <c r="K326" i="6" a="1"/>
  <c r="K326" i="6" s="1"/>
  <c r="F326" i="6"/>
  <c r="Q325" i="6" a="1"/>
  <c r="Q325" i="6" s="1"/>
  <c r="P325" i="6"/>
  <c r="N325" i="6" a="1"/>
  <c r="N325" i="6" s="1"/>
  <c r="O325" i="6" s="1"/>
  <c r="M325" i="6" a="1"/>
  <c r="M325" i="6" s="1"/>
  <c r="L325" i="6"/>
  <c r="K325" i="6" a="1"/>
  <c r="K325" i="6" s="1"/>
  <c r="F325" i="6"/>
  <c r="Q324" i="6" a="1"/>
  <c r="Q324" i="6" s="1"/>
  <c r="P324" i="6"/>
  <c r="N324" i="6" a="1"/>
  <c r="N324" i="6" s="1"/>
  <c r="O324" i="6" s="1"/>
  <c r="M324" i="6" a="1"/>
  <c r="M324" i="6" s="1"/>
  <c r="L324" i="6"/>
  <c r="K324" i="6" a="1"/>
  <c r="K324" i="6" s="1"/>
  <c r="F324" i="6"/>
  <c r="Q323" i="6" a="1"/>
  <c r="Q323" i="6" s="1"/>
  <c r="P323" i="6"/>
  <c r="N323" i="6" a="1"/>
  <c r="N323" i="6" s="1"/>
  <c r="O323" i="6" s="1"/>
  <c r="M323" i="6" a="1"/>
  <c r="M323" i="6" s="1"/>
  <c r="L323" i="6"/>
  <c r="K323" i="6" a="1"/>
  <c r="K323" i="6" s="1"/>
  <c r="F323" i="6"/>
  <c r="Q322" i="6" a="1"/>
  <c r="Q322" i="6" s="1"/>
  <c r="P322" i="6"/>
  <c r="N322" i="6" a="1"/>
  <c r="N322" i="6" s="1"/>
  <c r="O322" i="6" s="1"/>
  <c r="M322" i="6" a="1"/>
  <c r="M322" i="6" s="1"/>
  <c r="L322" i="6"/>
  <c r="K322" i="6" a="1"/>
  <c r="K322" i="6" s="1"/>
  <c r="F322" i="6"/>
  <c r="Q321" i="6" a="1"/>
  <c r="Q321" i="6" s="1"/>
  <c r="P321" i="6"/>
  <c r="N321" i="6" a="1"/>
  <c r="N321" i="6" s="1"/>
  <c r="O321" i="6" s="1"/>
  <c r="M321" i="6" a="1"/>
  <c r="M321" i="6" s="1"/>
  <c r="L321" i="6"/>
  <c r="K321" i="6" a="1"/>
  <c r="K321" i="6" s="1"/>
  <c r="F321" i="6"/>
  <c r="Q320" i="6" a="1"/>
  <c r="Q320" i="6" s="1"/>
  <c r="P320" i="6"/>
  <c r="N320" i="6" a="1"/>
  <c r="N320" i="6" s="1"/>
  <c r="O320" i="6" s="1"/>
  <c r="M320" i="6" a="1"/>
  <c r="M320" i="6" s="1"/>
  <c r="L320" i="6"/>
  <c r="K320" i="6" a="1"/>
  <c r="K320" i="6" s="1"/>
  <c r="F320" i="6"/>
  <c r="Q319" i="6" a="1"/>
  <c r="Q319" i="6" s="1"/>
  <c r="P319" i="6"/>
  <c r="N319" i="6" a="1"/>
  <c r="N319" i="6" s="1"/>
  <c r="O319" i="6" s="1"/>
  <c r="M319" i="6" a="1"/>
  <c r="M319" i="6" s="1"/>
  <c r="L319" i="6"/>
  <c r="K319" i="6" a="1"/>
  <c r="K319" i="6" s="1"/>
  <c r="F319" i="6"/>
  <c r="Q318" i="6" a="1"/>
  <c r="Q318" i="6" s="1"/>
  <c r="P318" i="6"/>
  <c r="N318" i="6" a="1"/>
  <c r="N318" i="6" s="1"/>
  <c r="O318" i="6" s="1"/>
  <c r="M318" i="6" a="1"/>
  <c r="M318" i="6" s="1"/>
  <c r="L318" i="6"/>
  <c r="K318" i="6" a="1"/>
  <c r="K318" i="6" s="1"/>
  <c r="F318" i="6"/>
  <c r="Q317" i="6" a="1"/>
  <c r="Q317" i="6" s="1"/>
  <c r="P317" i="6"/>
  <c r="N317" i="6" a="1"/>
  <c r="N317" i="6" s="1"/>
  <c r="O317" i="6" s="1"/>
  <c r="M317" i="6" a="1"/>
  <c r="M317" i="6" s="1"/>
  <c r="L317" i="6"/>
  <c r="K317" i="6" a="1"/>
  <c r="K317" i="6" s="1"/>
  <c r="F317" i="6"/>
  <c r="Q316" i="6" a="1"/>
  <c r="Q316" i="6" s="1"/>
  <c r="P316" i="6"/>
  <c r="N316" i="6" a="1"/>
  <c r="N316" i="6" s="1"/>
  <c r="O316" i="6" s="1"/>
  <c r="M316" i="6" a="1"/>
  <c r="M316" i="6" s="1"/>
  <c r="L316" i="6"/>
  <c r="K316" i="6" a="1"/>
  <c r="K316" i="6" s="1"/>
  <c r="F316" i="6"/>
  <c r="Q315" i="6" a="1"/>
  <c r="Q315" i="6" s="1"/>
  <c r="P315" i="6"/>
  <c r="N315" i="6" a="1"/>
  <c r="N315" i="6" s="1"/>
  <c r="O315" i="6" s="1"/>
  <c r="M315" i="6" a="1"/>
  <c r="M315" i="6" s="1"/>
  <c r="L315" i="6"/>
  <c r="K315" i="6" a="1"/>
  <c r="K315" i="6" s="1"/>
  <c r="F315" i="6"/>
  <c r="Q314" i="6" a="1"/>
  <c r="Q314" i="6" s="1"/>
  <c r="P314" i="6"/>
  <c r="N314" i="6" a="1"/>
  <c r="N314" i="6" s="1"/>
  <c r="O314" i="6" s="1"/>
  <c r="M314" i="6" a="1"/>
  <c r="M314" i="6" s="1"/>
  <c r="L314" i="6"/>
  <c r="K314" i="6" a="1"/>
  <c r="K314" i="6" s="1"/>
  <c r="F314" i="6"/>
  <c r="Q313" i="6" a="1"/>
  <c r="Q313" i="6" s="1"/>
  <c r="P313" i="6"/>
  <c r="N313" i="6" a="1"/>
  <c r="N313" i="6" s="1"/>
  <c r="O313" i="6" s="1"/>
  <c r="M313" i="6" a="1"/>
  <c r="M313" i="6" s="1"/>
  <c r="L313" i="6"/>
  <c r="K313" i="6" a="1"/>
  <c r="K313" i="6" s="1"/>
  <c r="F313" i="6"/>
  <c r="Q312" i="6" a="1"/>
  <c r="Q312" i="6" s="1"/>
  <c r="P312" i="6"/>
  <c r="N312" i="6" a="1"/>
  <c r="N312" i="6" s="1"/>
  <c r="O312" i="6" s="1"/>
  <c r="M312" i="6" a="1"/>
  <c r="M312" i="6" s="1"/>
  <c r="L312" i="6"/>
  <c r="K312" i="6" a="1"/>
  <c r="K312" i="6" s="1"/>
  <c r="F312" i="6"/>
  <c r="Q311" i="6" a="1"/>
  <c r="Q311" i="6" s="1"/>
  <c r="P311" i="6"/>
  <c r="N311" i="6" a="1"/>
  <c r="N311" i="6" s="1"/>
  <c r="O311" i="6" s="1"/>
  <c r="M311" i="6" a="1"/>
  <c r="M311" i="6" s="1"/>
  <c r="L311" i="6"/>
  <c r="K311" i="6" a="1"/>
  <c r="K311" i="6" s="1"/>
  <c r="F311" i="6"/>
  <c r="Q310" i="6" a="1"/>
  <c r="Q310" i="6" s="1"/>
  <c r="P310" i="6"/>
  <c r="N310" i="6" a="1"/>
  <c r="N310" i="6" s="1"/>
  <c r="O310" i="6" s="1"/>
  <c r="M310" i="6" a="1"/>
  <c r="M310" i="6" s="1"/>
  <c r="L310" i="6"/>
  <c r="K310" i="6" a="1"/>
  <c r="K310" i="6" s="1"/>
  <c r="F310" i="6"/>
  <c r="Q309" i="6" a="1"/>
  <c r="Q309" i="6" s="1"/>
  <c r="P309" i="6"/>
  <c r="N309" i="6" a="1"/>
  <c r="N309" i="6" s="1"/>
  <c r="O309" i="6" s="1"/>
  <c r="M309" i="6" a="1"/>
  <c r="M309" i="6" s="1"/>
  <c r="L309" i="6"/>
  <c r="K309" i="6" a="1"/>
  <c r="K309" i="6" s="1"/>
  <c r="F309" i="6"/>
  <c r="Q308" i="6" a="1"/>
  <c r="Q308" i="6" s="1"/>
  <c r="P308" i="6"/>
  <c r="N308" i="6" a="1"/>
  <c r="N308" i="6" s="1"/>
  <c r="O308" i="6" s="1"/>
  <c r="M308" i="6" a="1"/>
  <c r="M308" i="6" s="1"/>
  <c r="L308" i="6"/>
  <c r="K308" i="6" a="1"/>
  <c r="K308" i="6" s="1"/>
  <c r="F308" i="6"/>
  <c r="Q307" i="6" a="1"/>
  <c r="Q307" i="6" s="1"/>
  <c r="P307" i="6"/>
  <c r="N307" i="6" a="1"/>
  <c r="N307" i="6" s="1"/>
  <c r="O307" i="6" s="1"/>
  <c r="M307" i="6" a="1"/>
  <c r="M307" i="6" s="1"/>
  <c r="L307" i="6"/>
  <c r="K307" i="6" a="1"/>
  <c r="K307" i="6" s="1"/>
  <c r="F307" i="6"/>
  <c r="Q306" i="6" a="1"/>
  <c r="Q306" i="6" s="1"/>
  <c r="P306" i="6"/>
  <c r="N306" i="6" a="1"/>
  <c r="N306" i="6" s="1"/>
  <c r="O306" i="6" s="1"/>
  <c r="M306" i="6" a="1"/>
  <c r="M306" i="6" s="1"/>
  <c r="L306" i="6"/>
  <c r="K306" i="6" a="1"/>
  <c r="K306" i="6" s="1"/>
  <c r="F306" i="6"/>
  <c r="Q305" i="6" a="1"/>
  <c r="Q305" i="6" s="1"/>
  <c r="P305" i="6"/>
  <c r="N305" i="6" a="1"/>
  <c r="N305" i="6" s="1"/>
  <c r="O305" i="6" s="1"/>
  <c r="M305" i="6" a="1"/>
  <c r="M305" i="6" s="1"/>
  <c r="L305" i="6"/>
  <c r="K305" i="6" a="1"/>
  <c r="K305" i="6" s="1"/>
  <c r="F305" i="6"/>
  <c r="Q304" i="6" a="1"/>
  <c r="Q304" i="6" s="1"/>
  <c r="P304" i="6"/>
  <c r="N304" i="6" a="1"/>
  <c r="N304" i="6" s="1"/>
  <c r="O304" i="6" s="1"/>
  <c r="M304" i="6" a="1"/>
  <c r="M304" i="6" s="1"/>
  <c r="L304" i="6"/>
  <c r="K304" i="6" a="1"/>
  <c r="K304" i="6" s="1"/>
  <c r="F304" i="6"/>
  <c r="Q303" i="6" a="1"/>
  <c r="Q303" i="6" s="1"/>
  <c r="P303" i="6"/>
  <c r="N303" i="6" a="1"/>
  <c r="N303" i="6" s="1"/>
  <c r="O303" i="6" s="1"/>
  <c r="M303" i="6" a="1"/>
  <c r="M303" i="6" s="1"/>
  <c r="L303" i="6"/>
  <c r="K303" i="6" a="1"/>
  <c r="K303" i="6" s="1"/>
  <c r="F303" i="6"/>
  <c r="Q302" i="6" a="1"/>
  <c r="Q302" i="6" s="1"/>
  <c r="P302" i="6"/>
  <c r="N302" i="6" a="1"/>
  <c r="N302" i="6" s="1"/>
  <c r="O302" i="6" s="1"/>
  <c r="M302" i="6" a="1"/>
  <c r="M302" i="6" s="1"/>
  <c r="L302" i="6"/>
  <c r="K302" i="6" a="1"/>
  <c r="K302" i="6" s="1"/>
  <c r="F302" i="6"/>
  <c r="Q301" i="6" a="1"/>
  <c r="Q301" i="6" s="1"/>
  <c r="P301" i="6"/>
  <c r="N301" i="6" a="1"/>
  <c r="N301" i="6" s="1"/>
  <c r="O301" i="6" s="1"/>
  <c r="M301" i="6" a="1"/>
  <c r="M301" i="6" s="1"/>
  <c r="L301" i="6"/>
  <c r="K301" i="6" a="1"/>
  <c r="K301" i="6" s="1"/>
  <c r="F301" i="6"/>
  <c r="Q300" i="6" a="1"/>
  <c r="Q300" i="6" s="1"/>
  <c r="P300" i="6"/>
  <c r="N300" i="6" a="1"/>
  <c r="N300" i="6" s="1"/>
  <c r="O300" i="6" s="1"/>
  <c r="M300" i="6" a="1"/>
  <c r="M300" i="6" s="1"/>
  <c r="L300" i="6"/>
  <c r="K300" i="6" a="1"/>
  <c r="K300" i="6" s="1"/>
  <c r="F300" i="6"/>
  <c r="Q299" i="6" a="1"/>
  <c r="Q299" i="6" s="1"/>
  <c r="P299" i="6"/>
  <c r="N299" i="6" a="1"/>
  <c r="N299" i="6" s="1"/>
  <c r="O299" i="6" s="1"/>
  <c r="M299" i="6" a="1"/>
  <c r="M299" i="6" s="1"/>
  <c r="L299" i="6"/>
  <c r="K299" i="6" a="1"/>
  <c r="K299" i="6" s="1"/>
  <c r="F299" i="6"/>
  <c r="Q298" i="6" a="1"/>
  <c r="Q298" i="6" s="1"/>
  <c r="P298" i="6"/>
  <c r="N298" i="6" a="1"/>
  <c r="N298" i="6" s="1"/>
  <c r="O298" i="6" s="1"/>
  <c r="M298" i="6" a="1"/>
  <c r="M298" i="6" s="1"/>
  <c r="L298" i="6"/>
  <c r="K298" i="6" a="1"/>
  <c r="K298" i="6" s="1"/>
  <c r="F298" i="6"/>
  <c r="Q297" i="6" a="1"/>
  <c r="Q297" i="6" s="1"/>
  <c r="P297" i="6"/>
  <c r="N297" i="6" a="1"/>
  <c r="N297" i="6" s="1"/>
  <c r="O297" i="6" s="1"/>
  <c r="M297" i="6" a="1"/>
  <c r="M297" i="6" s="1"/>
  <c r="L297" i="6"/>
  <c r="K297" i="6" a="1"/>
  <c r="K297" i="6" s="1"/>
  <c r="F297" i="6"/>
  <c r="Q296" i="6" a="1"/>
  <c r="Q296" i="6" s="1"/>
  <c r="P296" i="6"/>
  <c r="N296" i="6" a="1"/>
  <c r="N296" i="6" s="1"/>
  <c r="O296" i="6" s="1"/>
  <c r="M296" i="6" a="1"/>
  <c r="M296" i="6" s="1"/>
  <c r="L296" i="6"/>
  <c r="K296" i="6" a="1"/>
  <c r="K296" i="6" s="1"/>
  <c r="F296" i="6"/>
  <c r="Q295" i="6" a="1"/>
  <c r="Q295" i="6" s="1"/>
  <c r="P295" i="6"/>
  <c r="N295" i="6" a="1"/>
  <c r="N295" i="6" s="1"/>
  <c r="O295" i="6" s="1"/>
  <c r="M295" i="6" a="1"/>
  <c r="M295" i="6" s="1"/>
  <c r="L295" i="6"/>
  <c r="K295" i="6" a="1"/>
  <c r="K295" i="6" s="1"/>
  <c r="F295" i="6"/>
  <c r="Q294" i="6" a="1"/>
  <c r="Q294" i="6" s="1"/>
  <c r="P294" i="6"/>
  <c r="N294" i="6" a="1"/>
  <c r="N294" i="6" s="1"/>
  <c r="O294" i="6" s="1"/>
  <c r="M294" i="6" a="1"/>
  <c r="M294" i="6" s="1"/>
  <c r="L294" i="6"/>
  <c r="K294" i="6" a="1"/>
  <c r="K294" i="6" s="1"/>
  <c r="F294" i="6"/>
  <c r="Q293" i="6" a="1"/>
  <c r="Q293" i="6" s="1"/>
  <c r="P293" i="6"/>
  <c r="N293" i="6" a="1"/>
  <c r="N293" i="6" s="1"/>
  <c r="O293" i="6" s="1"/>
  <c r="M293" i="6" a="1"/>
  <c r="M293" i="6" s="1"/>
  <c r="L293" i="6"/>
  <c r="K293" i="6" a="1"/>
  <c r="K293" i="6" s="1"/>
  <c r="F293" i="6"/>
  <c r="Q292" i="6" a="1"/>
  <c r="Q292" i="6" s="1"/>
  <c r="P292" i="6"/>
  <c r="N292" i="6" a="1"/>
  <c r="N292" i="6" s="1"/>
  <c r="O292" i="6" s="1"/>
  <c r="M292" i="6" a="1"/>
  <c r="M292" i="6" s="1"/>
  <c r="L292" i="6"/>
  <c r="K292" i="6" a="1"/>
  <c r="K292" i="6" s="1"/>
  <c r="F292" i="6"/>
  <c r="Q291" i="6" a="1"/>
  <c r="Q291" i="6" s="1"/>
  <c r="P291" i="6"/>
  <c r="N291" i="6" a="1"/>
  <c r="N291" i="6" s="1"/>
  <c r="O291" i="6" s="1"/>
  <c r="M291" i="6" a="1"/>
  <c r="M291" i="6" s="1"/>
  <c r="L291" i="6"/>
  <c r="K291" i="6" a="1"/>
  <c r="K291" i="6" s="1"/>
  <c r="F291" i="6"/>
  <c r="Q290" i="6" a="1"/>
  <c r="Q290" i="6" s="1"/>
  <c r="P290" i="6"/>
  <c r="N290" i="6" a="1"/>
  <c r="N290" i="6" s="1"/>
  <c r="O290" i="6" s="1"/>
  <c r="M290" i="6" a="1"/>
  <c r="M290" i="6" s="1"/>
  <c r="L290" i="6"/>
  <c r="K290" i="6" a="1"/>
  <c r="K290" i="6" s="1"/>
  <c r="F290" i="6"/>
  <c r="Q289" i="6" a="1"/>
  <c r="Q289" i="6" s="1"/>
  <c r="P289" i="6"/>
  <c r="N289" i="6" a="1"/>
  <c r="N289" i="6" s="1"/>
  <c r="O289" i="6" s="1"/>
  <c r="M289" i="6" a="1"/>
  <c r="M289" i="6" s="1"/>
  <c r="L289" i="6"/>
  <c r="K289" i="6" a="1"/>
  <c r="K289" i="6" s="1"/>
  <c r="F289" i="6"/>
  <c r="Q288" i="6" a="1"/>
  <c r="Q288" i="6" s="1"/>
  <c r="P288" i="6"/>
  <c r="N288" i="6" a="1"/>
  <c r="N288" i="6" s="1"/>
  <c r="O288" i="6" s="1"/>
  <c r="M288" i="6" a="1"/>
  <c r="M288" i="6" s="1"/>
  <c r="L288" i="6"/>
  <c r="K288" i="6" a="1"/>
  <c r="K288" i="6" s="1"/>
  <c r="F288" i="6"/>
  <c r="Q287" i="6" a="1"/>
  <c r="Q287" i="6" s="1"/>
  <c r="P287" i="6"/>
  <c r="N287" i="6" a="1"/>
  <c r="N287" i="6" s="1"/>
  <c r="O287" i="6" s="1"/>
  <c r="M287" i="6" a="1"/>
  <c r="M287" i="6" s="1"/>
  <c r="L287" i="6"/>
  <c r="K287" i="6" a="1"/>
  <c r="K287" i="6" s="1"/>
  <c r="F287" i="6"/>
  <c r="Q286" i="6" a="1"/>
  <c r="Q286" i="6" s="1"/>
  <c r="P286" i="6"/>
  <c r="N286" i="6" a="1"/>
  <c r="N286" i="6" s="1"/>
  <c r="O286" i="6" s="1"/>
  <c r="M286" i="6" a="1"/>
  <c r="M286" i="6" s="1"/>
  <c r="L286" i="6"/>
  <c r="K286" i="6" a="1"/>
  <c r="K286" i="6" s="1"/>
  <c r="F286" i="6"/>
  <c r="Q285" i="6" a="1"/>
  <c r="Q285" i="6" s="1"/>
  <c r="P285" i="6"/>
  <c r="N285" i="6" a="1"/>
  <c r="N285" i="6" s="1"/>
  <c r="O285" i="6" s="1"/>
  <c r="M285" i="6" a="1"/>
  <c r="M285" i="6" s="1"/>
  <c r="L285" i="6"/>
  <c r="K285" i="6" a="1"/>
  <c r="K285" i="6" s="1"/>
  <c r="F285" i="6"/>
  <c r="Q284" i="6" a="1"/>
  <c r="Q284" i="6" s="1"/>
  <c r="P284" i="6"/>
  <c r="N284" i="6" a="1"/>
  <c r="N284" i="6" s="1"/>
  <c r="O284" i="6" s="1"/>
  <c r="M284" i="6" a="1"/>
  <c r="M284" i="6" s="1"/>
  <c r="L284" i="6"/>
  <c r="K284" i="6" a="1"/>
  <c r="K284" i="6" s="1"/>
  <c r="F284" i="6"/>
  <c r="Q283" i="6" a="1"/>
  <c r="Q283" i="6" s="1"/>
  <c r="P283" i="6"/>
  <c r="N283" i="6" a="1"/>
  <c r="N283" i="6" s="1"/>
  <c r="O283" i="6" s="1"/>
  <c r="M283" i="6" a="1"/>
  <c r="M283" i="6" s="1"/>
  <c r="L283" i="6"/>
  <c r="K283" i="6" a="1"/>
  <c r="K283" i="6" s="1"/>
  <c r="F283" i="6"/>
  <c r="Q282" i="6" a="1"/>
  <c r="Q282" i="6" s="1"/>
  <c r="P282" i="6"/>
  <c r="N282" i="6" a="1"/>
  <c r="N282" i="6" s="1"/>
  <c r="O282" i="6" s="1"/>
  <c r="M282" i="6" a="1"/>
  <c r="M282" i="6" s="1"/>
  <c r="L282" i="6"/>
  <c r="K282" i="6" a="1"/>
  <c r="K282" i="6" s="1"/>
  <c r="F282" i="6"/>
  <c r="Q281" i="6" a="1"/>
  <c r="Q281" i="6" s="1"/>
  <c r="P281" i="6"/>
  <c r="N281" i="6" a="1"/>
  <c r="N281" i="6" s="1"/>
  <c r="O281" i="6" s="1"/>
  <c r="M281" i="6" a="1"/>
  <c r="M281" i="6" s="1"/>
  <c r="L281" i="6"/>
  <c r="K281" i="6" a="1"/>
  <c r="K281" i="6" s="1"/>
  <c r="F281" i="6"/>
  <c r="Q280" i="6" a="1"/>
  <c r="Q280" i="6" s="1"/>
  <c r="P280" i="6"/>
  <c r="N280" i="6" a="1"/>
  <c r="N280" i="6" s="1"/>
  <c r="O280" i="6" s="1"/>
  <c r="M280" i="6" a="1"/>
  <c r="M280" i="6" s="1"/>
  <c r="L280" i="6"/>
  <c r="K280" i="6" a="1"/>
  <c r="K280" i="6" s="1"/>
  <c r="F280" i="6"/>
  <c r="Q279" i="6" a="1"/>
  <c r="Q279" i="6" s="1"/>
  <c r="P279" i="6"/>
  <c r="N279" i="6" a="1"/>
  <c r="N279" i="6" s="1"/>
  <c r="O279" i="6" s="1"/>
  <c r="M279" i="6" a="1"/>
  <c r="M279" i="6" s="1"/>
  <c r="L279" i="6"/>
  <c r="K279" i="6" a="1"/>
  <c r="K279" i="6" s="1"/>
  <c r="F279" i="6"/>
  <c r="Q278" i="6" a="1"/>
  <c r="Q278" i="6" s="1"/>
  <c r="P278" i="6"/>
  <c r="N278" i="6" a="1"/>
  <c r="N278" i="6" s="1"/>
  <c r="O278" i="6" s="1"/>
  <c r="M278" i="6" a="1"/>
  <c r="M278" i="6" s="1"/>
  <c r="L278" i="6"/>
  <c r="K278" i="6" a="1"/>
  <c r="K278" i="6" s="1"/>
  <c r="F278" i="6"/>
  <c r="Q277" i="6" a="1"/>
  <c r="Q277" i="6" s="1"/>
  <c r="P277" i="6"/>
  <c r="N277" i="6" a="1"/>
  <c r="N277" i="6" s="1"/>
  <c r="O277" i="6" s="1"/>
  <c r="M277" i="6" a="1"/>
  <c r="M277" i="6" s="1"/>
  <c r="L277" i="6"/>
  <c r="K277" i="6" a="1"/>
  <c r="K277" i="6" s="1"/>
  <c r="F277" i="6"/>
  <c r="Q276" i="6" a="1"/>
  <c r="Q276" i="6" s="1"/>
  <c r="P276" i="6"/>
  <c r="N276" i="6" a="1"/>
  <c r="N276" i="6" s="1"/>
  <c r="O276" i="6" s="1"/>
  <c r="M276" i="6" a="1"/>
  <c r="M276" i="6" s="1"/>
  <c r="L276" i="6"/>
  <c r="K276" i="6" a="1"/>
  <c r="K276" i="6" s="1"/>
  <c r="F276" i="6"/>
  <c r="Q275" i="6" a="1"/>
  <c r="Q275" i="6" s="1"/>
  <c r="P275" i="6"/>
  <c r="N275" i="6" a="1"/>
  <c r="N275" i="6" s="1"/>
  <c r="O275" i="6" s="1"/>
  <c r="M275" i="6" a="1"/>
  <c r="M275" i="6" s="1"/>
  <c r="L275" i="6"/>
  <c r="K275" i="6" a="1"/>
  <c r="K275" i="6" s="1"/>
  <c r="F275" i="6"/>
  <c r="Q274" i="6" a="1"/>
  <c r="Q274" i="6" s="1"/>
  <c r="P274" i="6"/>
  <c r="N274" i="6" a="1"/>
  <c r="N274" i="6" s="1"/>
  <c r="O274" i="6" s="1"/>
  <c r="M274" i="6" a="1"/>
  <c r="M274" i="6" s="1"/>
  <c r="L274" i="6"/>
  <c r="K274" i="6" a="1"/>
  <c r="K274" i="6" s="1"/>
  <c r="F274" i="6"/>
  <c r="Q273" i="6" a="1"/>
  <c r="Q273" i="6" s="1"/>
  <c r="P273" i="6"/>
  <c r="N273" i="6" a="1"/>
  <c r="N273" i="6" s="1"/>
  <c r="O273" i="6" s="1"/>
  <c r="M273" i="6" a="1"/>
  <c r="M273" i="6" s="1"/>
  <c r="L273" i="6"/>
  <c r="K273" i="6" a="1"/>
  <c r="K273" i="6" s="1"/>
  <c r="F273" i="6"/>
  <c r="Q272" i="6" a="1"/>
  <c r="Q272" i="6" s="1"/>
  <c r="P272" i="6"/>
  <c r="N272" i="6" a="1"/>
  <c r="N272" i="6" s="1"/>
  <c r="O272" i="6" s="1"/>
  <c r="M272" i="6" a="1"/>
  <c r="M272" i="6" s="1"/>
  <c r="L272" i="6"/>
  <c r="K272" i="6" a="1"/>
  <c r="K272" i="6" s="1"/>
  <c r="F272" i="6"/>
  <c r="Q271" i="6" a="1"/>
  <c r="Q271" i="6" s="1"/>
  <c r="P271" i="6"/>
  <c r="N271" i="6" a="1"/>
  <c r="N271" i="6" s="1"/>
  <c r="O271" i="6" s="1"/>
  <c r="M271" i="6" a="1"/>
  <c r="M271" i="6" s="1"/>
  <c r="L271" i="6"/>
  <c r="K271" i="6" a="1"/>
  <c r="K271" i="6" s="1"/>
  <c r="F271" i="6"/>
  <c r="Q270" i="6" a="1"/>
  <c r="Q270" i="6" s="1"/>
  <c r="P270" i="6"/>
  <c r="N270" i="6" a="1"/>
  <c r="N270" i="6" s="1"/>
  <c r="O270" i="6" s="1"/>
  <c r="M270" i="6" a="1"/>
  <c r="M270" i="6" s="1"/>
  <c r="L270" i="6"/>
  <c r="K270" i="6" a="1"/>
  <c r="K270" i="6" s="1"/>
  <c r="F270" i="6"/>
  <c r="Q269" i="6" a="1"/>
  <c r="Q269" i="6" s="1"/>
  <c r="P269" i="6"/>
  <c r="N269" i="6" a="1"/>
  <c r="N269" i="6" s="1"/>
  <c r="O269" i="6" s="1"/>
  <c r="M269" i="6" a="1"/>
  <c r="M269" i="6" s="1"/>
  <c r="L269" i="6"/>
  <c r="K269" i="6" a="1"/>
  <c r="K269" i="6" s="1"/>
  <c r="F269" i="6"/>
  <c r="Q268" i="6" a="1"/>
  <c r="Q268" i="6" s="1"/>
  <c r="P268" i="6"/>
  <c r="N268" i="6" a="1"/>
  <c r="N268" i="6" s="1"/>
  <c r="O268" i="6" s="1"/>
  <c r="M268" i="6" a="1"/>
  <c r="M268" i="6" s="1"/>
  <c r="L268" i="6"/>
  <c r="K268" i="6" a="1"/>
  <c r="K268" i="6" s="1"/>
  <c r="F268" i="6"/>
  <c r="Q267" i="6" a="1"/>
  <c r="Q267" i="6" s="1"/>
  <c r="P267" i="6"/>
  <c r="N267" i="6" a="1"/>
  <c r="N267" i="6" s="1"/>
  <c r="O267" i="6" s="1"/>
  <c r="M267" i="6" a="1"/>
  <c r="M267" i="6" s="1"/>
  <c r="L267" i="6"/>
  <c r="K267" i="6" a="1"/>
  <c r="K267" i="6" s="1"/>
  <c r="F267" i="6"/>
  <c r="Q266" i="6" a="1"/>
  <c r="Q266" i="6" s="1"/>
  <c r="P266" i="6"/>
  <c r="N266" i="6" a="1"/>
  <c r="N266" i="6" s="1"/>
  <c r="O266" i="6" s="1"/>
  <c r="M266" i="6" a="1"/>
  <c r="M266" i="6" s="1"/>
  <c r="L266" i="6"/>
  <c r="K266" i="6" a="1"/>
  <c r="K266" i="6" s="1"/>
  <c r="F266" i="6"/>
  <c r="Q265" i="6" a="1"/>
  <c r="Q265" i="6" s="1"/>
  <c r="P265" i="6"/>
  <c r="N265" i="6" a="1"/>
  <c r="N265" i="6" s="1"/>
  <c r="O265" i="6" s="1"/>
  <c r="M265" i="6" a="1"/>
  <c r="M265" i="6" s="1"/>
  <c r="L265" i="6"/>
  <c r="K265" i="6" a="1"/>
  <c r="K265" i="6" s="1"/>
  <c r="F265" i="6"/>
  <c r="Q264" i="6" a="1"/>
  <c r="Q264" i="6" s="1"/>
  <c r="P264" i="6"/>
  <c r="N264" i="6" a="1"/>
  <c r="N264" i="6" s="1"/>
  <c r="O264" i="6" s="1"/>
  <c r="M264" i="6" a="1"/>
  <c r="M264" i="6" s="1"/>
  <c r="L264" i="6"/>
  <c r="K264" i="6" a="1"/>
  <c r="K264" i="6" s="1"/>
  <c r="F264" i="6"/>
  <c r="Q263" i="6" a="1"/>
  <c r="Q263" i="6" s="1"/>
  <c r="P263" i="6"/>
  <c r="N263" i="6" a="1"/>
  <c r="N263" i="6" s="1"/>
  <c r="O263" i="6" s="1"/>
  <c r="M263" i="6" a="1"/>
  <c r="M263" i="6" s="1"/>
  <c r="L263" i="6"/>
  <c r="K263" i="6" a="1"/>
  <c r="K263" i="6" s="1"/>
  <c r="F263" i="6"/>
  <c r="Q262" i="6" a="1"/>
  <c r="Q262" i="6" s="1"/>
  <c r="P262" i="6"/>
  <c r="N262" i="6" a="1"/>
  <c r="N262" i="6" s="1"/>
  <c r="O262" i="6" s="1"/>
  <c r="M262" i="6" a="1"/>
  <c r="M262" i="6" s="1"/>
  <c r="L262" i="6"/>
  <c r="K262" i="6" a="1"/>
  <c r="K262" i="6" s="1"/>
  <c r="F262" i="6"/>
  <c r="Q261" i="6" a="1"/>
  <c r="Q261" i="6" s="1"/>
  <c r="P261" i="6"/>
  <c r="N261" i="6" a="1"/>
  <c r="N261" i="6" s="1"/>
  <c r="O261" i="6" s="1"/>
  <c r="M261" i="6" a="1"/>
  <c r="M261" i="6" s="1"/>
  <c r="L261" i="6"/>
  <c r="K261" i="6" a="1"/>
  <c r="K261" i="6" s="1"/>
  <c r="F261" i="6"/>
  <c r="Q260" i="6" a="1"/>
  <c r="Q260" i="6" s="1"/>
  <c r="P260" i="6"/>
  <c r="N260" i="6" a="1"/>
  <c r="N260" i="6" s="1"/>
  <c r="O260" i="6" s="1"/>
  <c r="M260" i="6" a="1"/>
  <c r="M260" i="6" s="1"/>
  <c r="L260" i="6"/>
  <c r="K260" i="6" a="1"/>
  <c r="K260" i="6" s="1"/>
  <c r="F260" i="6"/>
  <c r="Q259" i="6" a="1"/>
  <c r="Q259" i="6" s="1"/>
  <c r="P259" i="6"/>
  <c r="N259" i="6" a="1"/>
  <c r="N259" i="6" s="1"/>
  <c r="O259" i="6" s="1"/>
  <c r="M259" i="6" a="1"/>
  <c r="M259" i="6" s="1"/>
  <c r="L259" i="6"/>
  <c r="K259" i="6" a="1"/>
  <c r="K259" i="6" s="1"/>
  <c r="F259" i="6"/>
  <c r="Q258" i="6" a="1"/>
  <c r="Q258" i="6" s="1"/>
  <c r="P258" i="6"/>
  <c r="N258" i="6" a="1"/>
  <c r="N258" i="6" s="1"/>
  <c r="O258" i="6" s="1"/>
  <c r="M258" i="6" a="1"/>
  <c r="M258" i="6" s="1"/>
  <c r="L258" i="6"/>
  <c r="K258" i="6" a="1"/>
  <c r="K258" i="6" s="1"/>
  <c r="F258" i="6"/>
  <c r="Q257" i="6" a="1"/>
  <c r="Q257" i="6" s="1"/>
  <c r="P257" i="6"/>
  <c r="N257" i="6" a="1"/>
  <c r="N257" i="6" s="1"/>
  <c r="O257" i="6" s="1"/>
  <c r="M257" i="6" a="1"/>
  <c r="M257" i="6" s="1"/>
  <c r="L257" i="6"/>
  <c r="K257" i="6" a="1"/>
  <c r="K257" i="6" s="1"/>
  <c r="F257" i="6"/>
  <c r="Q256" i="6" a="1"/>
  <c r="Q256" i="6" s="1"/>
  <c r="P256" i="6"/>
  <c r="N256" i="6" a="1"/>
  <c r="N256" i="6" s="1"/>
  <c r="O256" i="6" s="1"/>
  <c r="M256" i="6" a="1"/>
  <c r="M256" i="6" s="1"/>
  <c r="L256" i="6"/>
  <c r="K256" i="6" a="1"/>
  <c r="K256" i="6" s="1"/>
  <c r="F256" i="6"/>
  <c r="Q255" i="6" a="1"/>
  <c r="Q255" i="6" s="1"/>
  <c r="P255" i="6"/>
  <c r="N255" i="6" a="1"/>
  <c r="N255" i="6" s="1"/>
  <c r="O255" i="6" s="1"/>
  <c r="M255" i="6" a="1"/>
  <c r="M255" i="6" s="1"/>
  <c r="L255" i="6"/>
  <c r="K255" i="6" a="1"/>
  <c r="K255" i="6" s="1"/>
  <c r="F255" i="6"/>
  <c r="Q254" i="6" a="1"/>
  <c r="Q254" i="6" s="1"/>
  <c r="P254" i="6"/>
  <c r="N254" i="6" a="1"/>
  <c r="N254" i="6" s="1"/>
  <c r="O254" i="6" s="1"/>
  <c r="M254" i="6" a="1"/>
  <c r="M254" i="6" s="1"/>
  <c r="L254" i="6"/>
  <c r="K254" i="6" a="1"/>
  <c r="K254" i="6" s="1"/>
  <c r="F254" i="6"/>
  <c r="Q253" i="6" a="1"/>
  <c r="Q253" i="6" s="1"/>
  <c r="P253" i="6"/>
  <c r="N253" i="6" a="1"/>
  <c r="N253" i="6" s="1"/>
  <c r="O253" i="6" s="1"/>
  <c r="M253" i="6" a="1"/>
  <c r="M253" i="6" s="1"/>
  <c r="L253" i="6"/>
  <c r="K253" i="6" a="1"/>
  <c r="K253" i="6" s="1"/>
  <c r="F253" i="6"/>
  <c r="Q252" i="6" a="1"/>
  <c r="Q252" i="6" s="1"/>
  <c r="P252" i="6"/>
  <c r="N252" i="6" a="1"/>
  <c r="N252" i="6" s="1"/>
  <c r="O252" i="6" s="1"/>
  <c r="M252" i="6" a="1"/>
  <c r="M252" i="6" s="1"/>
  <c r="L252" i="6"/>
  <c r="K252" i="6" a="1"/>
  <c r="K252" i="6" s="1"/>
  <c r="F252" i="6"/>
  <c r="Q251" i="6" a="1"/>
  <c r="Q251" i="6" s="1"/>
  <c r="P251" i="6"/>
  <c r="N251" i="6" a="1"/>
  <c r="N251" i="6" s="1"/>
  <c r="O251" i="6" s="1"/>
  <c r="M251" i="6" a="1"/>
  <c r="M251" i="6" s="1"/>
  <c r="L251" i="6"/>
  <c r="K251" i="6" a="1"/>
  <c r="K251" i="6" s="1"/>
  <c r="F251" i="6"/>
  <c r="Q250" i="6" a="1"/>
  <c r="Q250" i="6" s="1"/>
  <c r="P250" i="6"/>
  <c r="N250" i="6" a="1"/>
  <c r="N250" i="6" s="1"/>
  <c r="O250" i="6" s="1"/>
  <c r="M250" i="6" a="1"/>
  <c r="M250" i="6" s="1"/>
  <c r="L250" i="6"/>
  <c r="K250" i="6" a="1"/>
  <c r="K250" i="6" s="1"/>
  <c r="F250" i="6"/>
  <c r="Q249" i="6" a="1"/>
  <c r="Q249" i="6" s="1"/>
  <c r="P249" i="6"/>
  <c r="N249" i="6" a="1"/>
  <c r="N249" i="6" s="1"/>
  <c r="O249" i="6" s="1"/>
  <c r="M249" i="6" a="1"/>
  <c r="M249" i="6" s="1"/>
  <c r="L249" i="6"/>
  <c r="K249" i="6" a="1"/>
  <c r="K249" i="6" s="1"/>
  <c r="F249" i="6"/>
  <c r="Q248" i="6" a="1"/>
  <c r="Q248" i="6" s="1"/>
  <c r="P248" i="6"/>
  <c r="N248" i="6" a="1"/>
  <c r="N248" i="6" s="1"/>
  <c r="O248" i="6" s="1"/>
  <c r="M248" i="6" a="1"/>
  <c r="M248" i="6" s="1"/>
  <c r="L248" i="6"/>
  <c r="K248" i="6" a="1"/>
  <c r="K248" i="6" s="1"/>
  <c r="F248" i="6"/>
  <c r="Q247" i="6" a="1"/>
  <c r="Q247" i="6" s="1"/>
  <c r="P247" i="6"/>
  <c r="N247" i="6" a="1"/>
  <c r="N247" i="6" s="1"/>
  <c r="O247" i="6" s="1"/>
  <c r="M247" i="6" a="1"/>
  <c r="M247" i="6" s="1"/>
  <c r="L247" i="6"/>
  <c r="K247" i="6" a="1"/>
  <c r="K247" i="6" s="1"/>
  <c r="F247" i="6"/>
  <c r="Q246" i="6" a="1"/>
  <c r="Q246" i="6" s="1"/>
  <c r="P246" i="6"/>
  <c r="N246" i="6" a="1"/>
  <c r="N246" i="6" s="1"/>
  <c r="O246" i="6" s="1"/>
  <c r="M246" i="6" a="1"/>
  <c r="M246" i="6" s="1"/>
  <c r="L246" i="6"/>
  <c r="K246" i="6" a="1"/>
  <c r="K246" i="6" s="1"/>
  <c r="F246" i="6"/>
  <c r="Q245" i="6" a="1"/>
  <c r="Q245" i="6" s="1"/>
  <c r="P245" i="6"/>
  <c r="N245" i="6" a="1"/>
  <c r="N245" i="6" s="1"/>
  <c r="O245" i="6" s="1"/>
  <c r="M245" i="6" a="1"/>
  <c r="M245" i="6" s="1"/>
  <c r="L245" i="6"/>
  <c r="K245" i="6" a="1"/>
  <c r="K245" i="6" s="1"/>
  <c r="F245" i="6"/>
  <c r="Q244" i="6" a="1"/>
  <c r="Q244" i="6" s="1"/>
  <c r="P244" i="6"/>
  <c r="N244" i="6" a="1"/>
  <c r="N244" i="6" s="1"/>
  <c r="O244" i="6" s="1"/>
  <c r="M244" i="6" a="1"/>
  <c r="M244" i="6" s="1"/>
  <c r="L244" i="6"/>
  <c r="K244" i="6" a="1"/>
  <c r="K244" i="6" s="1"/>
  <c r="F244" i="6"/>
  <c r="Q243" i="6" a="1"/>
  <c r="Q243" i="6" s="1"/>
  <c r="P243" i="6"/>
  <c r="N243" i="6" a="1"/>
  <c r="N243" i="6" s="1"/>
  <c r="O243" i="6" s="1"/>
  <c r="M243" i="6" a="1"/>
  <c r="M243" i="6" s="1"/>
  <c r="L243" i="6"/>
  <c r="K243" i="6" a="1"/>
  <c r="K243" i="6" s="1"/>
  <c r="F243" i="6"/>
  <c r="Q242" i="6" a="1"/>
  <c r="Q242" i="6" s="1"/>
  <c r="P242" i="6"/>
  <c r="N242" i="6" a="1"/>
  <c r="N242" i="6" s="1"/>
  <c r="O242" i="6" s="1"/>
  <c r="M242" i="6" a="1"/>
  <c r="M242" i="6" s="1"/>
  <c r="L242" i="6"/>
  <c r="K242" i="6" a="1"/>
  <c r="K242" i="6" s="1"/>
  <c r="F242" i="6"/>
  <c r="Q241" i="6" a="1"/>
  <c r="Q241" i="6" s="1"/>
  <c r="P241" i="6"/>
  <c r="N241" i="6" a="1"/>
  <c r="N241" i="6" s="1"/>
  <c r="O241" i="6" s="1"/>
  <c r="M241" i="6" a="1"/>
  <c r="M241" i="6" s="1"/>
  <c r="L241" i="6"/>
  <c r="K241" i="6" a="1"/>
  <c r="K241" i="6" s="1"/>
  <c r="F241" i="6"/>
  <c r="Q240" i="6" a="1"/>
  <c r="Q240" i="6" s="1"/>
  <c r="P240" i="6"/>
  <c r="N240" i="6" a="1"/>
  <c r="N240" i="6" s="1"/>
  <c r="O240" i="6" s="1"/>
  <c r="M240" i="6" a="1"/>
  <c r="M240" i="6" s="1"/>
  <c r="L240" i="6"/>
  <c r="K240" i="6" a="1"/>
  <c r="K240" i="6" s="1"/>
  <c r="F240" i="6"/>
  <c r="Q239" i="6" a="1"/>
  <c r="Q239" i="6" s="1"/>
  <c r="P239" i="6"/>
  <c r="N239" i="6" a="1"/>
  <c r="N239" i="6" s="1"/>
  <c r="O239" i="6" s="1"/>
  <c r="M239" i="6" a="1"/>
  <c r="M239" i="6" s="1"/>
  <c r="L239" i="6"/>
  <c r="K239" i="6" a="1"/>
  <c r="K239" i="6" s="1"/>
  <c r="F239" i="6"/>
  <c r="Q238" i="6" a="1"/>
  <c r="Q238" i="6" s="1"/>
  <c r="P238" i="6"/>
  <c r="N238" i="6" a="1"/>
  <c r="N238" i="6" s="1"/>
  <c r="O238" i="6" s="1"/>
  <c r="M238" i="6" a="1"/>
  <c r="M238" i="6" s="1"/>
  <c r="L238" i="6"/>
  <c r="K238" i="6" a="1"/>
  <c r="K238" i="6" s="1"/>
  <c r="F238" i="6"/>
  <c r="Q237" i="6" a="1"/>
  <c r="Q237" i="6" s="1"/>
  <c r="P237" i="6"/>
  <c r="N237" i="6" a="1"/>
  <c r="N237" i="6" s="1"/>
  <c r="O237" i="6" s="1"/>
  <c r="M237" i="6" a="1"/>
  <c r="M237" i="6" s="1"/>
  <c r="L237" i="6"/>
  <c r="K237" i="6" a="1"/>
  <c r="K237" i="6" s="1"/>
  <c r="F237" i="6"/>
  <c r="Q236" i="6" a="1"/>
  <c r="Q236" i="6" s="1"/>
  <c r="P236" i="6"/>
  <c r="N236" i="6" a="1"/>
  <c r="N236" i="6" s="1"/>
  <c r="O236" i="6" s="1"/>
  <c r="M236" i="6" a="1"/>
  <c r="M236" i="6" s="1"/>
  <c r="L236" i="6"/>
  <c r="K236" i="6" a="1"/>
  <c r="K236" i="6" s="1"/>
  <c r="F236" i="6"/>
  <c r="Q235" i="6" a="1"/>
  <c r="Q235" i="6" s="1"/>
  <c r="P235" i="6"/>
  <c r="N235" i="6" a="1"/>
  <c r="N235" i="6" s="1"/>
  <c r="O235" i="6" s="1"/>
  <c r="M235" i="6" a="1"/>
  <c r="M235" i="6" s="1"/>
  <c r="L235" i="6"/>
  <c r="K235" i="6" a="1"/>
  <c r="K235" i="6" s="1"/>
  <c r="F235" i="6"/>
  <c r="Q234" i="6" a="1"/>
  <c r="Q234" i="6" s="1"/>
  <c r="P234" i="6"/>
  <c r="N234" i="6" a="1"/>
  <c r="N234" i="6" s="1"/>
  <c r="O234" i="6" s="1"/>
  <c r="M234" i="6" a="1"/>
  <c r="M234" i="6" s="1"/>
  <c r="L234" i="6"/>
  <c r="K234" i="6" a="1"/>
  <c r="K234" i="6" s="1"/>
  <c r="F234" i="6"/>
  <c r="Q233" i="6" a="1"/>
  <c r="Q233" i="6" s="1"/>
  <c r="P233" i="6"/>
  <c r="N233" i="6" a="1"/>
  <c r="N233" i="6" s="1"/>
  <c r="O233" i="6" s="1"/>
  <c r="M233" i="6" a="1"/>
  <c r="M233" i="6" s="1"/>
  <c r="L233" i="6"/>
  <c r="K233" i="6" a="1"/>
  <c r="K233" i="6" s="1"/>
  <c r="F233" i="6"/>
  <c r="Q232" i="6" a="1"/>
  <c r="Q232" i="6" s="1"/>
  <c r="P232" i="6"/>
  <c r="N232" i="6" a="1"/>
  <c r="N232" i="6" s="1"/>
  <c r="O232" i="6" s="1"/>
  <c r="M232" i="6" a="1"/>
  <c r="M232" i="6" s="1"/>
  <c r="L232" i="6"/>
  <c r="K232" i="6" a="1"/>
  <c r="K232" i="6" s="1"/>
  <c r="F232" i="6"/>
  <c r="Q231" i="6" a="1"/>
  <c r="Q231" i="6" s="1"/>
  <c r="P231" i="6"/>
  <c r="N231" i="6" a="1"/>
  <c r="N231" i="6" s="1"/>
  <c r="O231" i="6" s="1"/>
  <c r="M231" i="6" a="1"/>
  <c r="M231" i="6" s="1"/>
  <c r="L231" i="6"/>
  <c r="K231" i="6" a="1"/>
  <c r="K231" i="6" s="1"/>
  <c r="F231" i="6"/>
  <c r="Q230" i="6" a="1"/>
  <c r="Q230" i="6" s="1"/>
  <c r="P230" i="6"/>
  <c r="N230" i="6" a="1"/>
  <c r="N230" i="6" s="1"/>
  <c r="O230" i="6" s="1"/>
  <c r="M230" i="6" a="1"/>
  <c r="M230" i="6" s="1"/>
  <c r="L230" i="6"/>
  <c r="K230" i="6" a="1"/>
  <c r="K230" i="6" s="1"/>
  <c r="F230" i="6"/>
  <c r="Q229" i="6" a="1"/>
  <c r="Q229" i="6" s="1"/>
  <c r="P229" i="6"/>
  <c r="N229" i="6" a="1"/>
  <c r="N229" i="6" s="1"/>
  <c r="O229" i="6" s="1"/>
  <c r="M229" i="6" a="1"/>
  <c r="M229" i="6" s="1"/>
  <c r="L229" i="6"/>
  <c r="K229" i="6" a="1"/>
  <c r="K229" i="6" s="1"/>
  <c r="F229" i="6"/>
  <c r="Q228" i="6" a="1"/>
  <c r="Q228" i="6" s="1"/>
  <c r="P228" i="6"/>
  <c r="N228" i="6" a="1"/>
  <c r="N228" i="6" s="1"/>
  <c r="O228" i="6" s="1"/>
  <c r="M228" i="6" a="1"/>
  <c r="M228" i="6" s="1"/>
  <c r="L228" i="6"/>
  <c r="K228" i="6" a="1"/>
  <c r="K228" i="6" s="1"/>
  <c r="F228" i="6"/>
  <c r="Q227" i="6" a="1"/>
  <c r="Q227" i="6" s="1"/>
  <c r="P227" i="6"/>
  <c r="N227" i="6" a="1"/>
  <c r="N227" i="6" s="1"/>
  <c r="O227" i="6" s="1"/>
  <c r="M227" i="6" a="1"/>
  <c r="M227" i="6" s="1"/>
  <c r="L227" i="6"/>
  <c r="K227" i="6" a="1"/>
  <c r="K227" i="6" s="1"/>
  <c r="F227" i="6"/>
  <c r="Q226" i="6" a="1"/>
  <c r="Q226" i="6" s="1"/>
  <c r="P226" i="6"/>
  <c r="N226" i="6" a="1"/>
  <c r="N226" i="6" s="1"/>
  <c r="O226" i="6" s="1"/>
  <c r="M226" i="6" a="1"/>
  <c r="M226" i="6" s="1"/>
  <c r="L226" i="6"/>
  <c r="K226" i="6" a="1"/>
  <c r="K226" i="6" s="1"/>
  <c r="F226" i="6"/>
  <c r="Q225" i="6" a="1"/>
  <c r="Q225" i="6" s="1"/>
  <c r="P225" i="6"/>
  <c r="N225" i="6" a="1"/>
  <c r="N225" i="6" s="1"/>
  <c r="O225" i="6" s="1"/>
  <c r="M225" i="6" a="1"/>
  <c r="M225" i="6" s="1"/>
  <c r="L225" i="6"/>
  <c r="K225" i="6" a="1"/>
  <c r="K225" i="6" s="1"/>
  <c r="F225" i="6"/>
  <c r="Q224" i="6" a="1"/>
  <c r="Q224" i="6" s="1"/>
  <c r="P224" i="6"/>
  <c r="N224" i="6" a="1"/>
  <c r="N224" i="6" s="1"/>
  <c r="O224" i="6" s="1"/>
  <c r="M224" i="6" a="1"/>
  <c r="M224" i="6" s="1"/>
  <c r="L224" i="6"/>
  <c r="K224" i="6" a="1"/>
  <c r="K224" i="6" s="1"/>
  <c r="F224" i="6"/>
  <c r="Q223" i="6" a="1"/>
  <c r="Q223" i="6" s="1"/>
  <c r="P223" i="6"/>
  <c r="N223" i="6" a="1"/>
  <c r="N223" i="6" s="1"/>
  <c r="O223" i="6" s="1"/>
  <c r="M223" i="6" a="1"/>
  <c r="M223" i="6" s="1"/>
  <c r="L223" i="6"/>
  <c r="K223" i="6" a="1"/>
  <c r="K223" i="6" s="1"/>
  <c r="F223" i="6"/>
  <c r="Q222" i="6" a="1"/>
  <c r="Q222" i="6" s="1"/>
  <c r="P222" i="6"/>
  <c r="N222" i="6" a="1"/>
  <c r="N222" i="6" s="1"/>
  <c r="O222" i="6" s="1"/>
  <c r="M222" i="6" a="1"/>
  <c r="M222" i="6" s="1"/>
  <c r="L222" i="6"/>
  <c r="K222" i="6" a="1"/>
  <c r="K222" i="6" s="1"/>
  <c r="F222" i="6"/>
  <c r="Q221" i="6" a="1"/>
  <c r="Q221" i="6" s="1"/>
  <c r="P221" i="6"/>
  <c r="N221" i="6" a="1"/>
  <c r="N221" i="6" s="1"/>
  <c r="O221" i="6" s="1"/>
  <c r="M221" i="6" a="1"/>
  <c r="M221" i="6" s="1"/>
  <c r="L221" i="6"/>
  <c r="K221" i="6" a="1"/>
  <c r="K221" i="6" s="1"/>
  <c r="F221" i="6"/>
  <c r="Q220" i="6" a="1"/>
  <c r="Q220" i="6" s="1"/>
  <c r="P220" i="6"/>
  <c r="N220" i="6" a="1"/>
  <c r="N220" i="6" s="1"/>
  <c r="O220" i="6" s="1"/>
  <c r="M220" i="6" a="1"/>
  <c r="M220" i="6" s="1"/>
  <c r="L220" i="6"/>
  <c r="K220" i="6" a="1"/>
  <c r="K220" i="6" s="1"/>
  <c r="F220" i="6"/>
  <c r="Q219" i="6" a="1"/>
  <c r="Q219" i="6" s="1"/>
  <c r="P219" i="6"/>
  <c r="N219" i="6" a="1"/>
  <c r="N219" i="6" s="1"/>
  <c r="O219" i="6" s="1"/>
  <c r="M219" i="6" a="1"/>
  <c r="M219" i="6" s="1"/>
  <c r="L219" i="6"/>
  <c r="K219" i="6" a="1"/>
  <c r="K219" i="6" s="1"/>
  <c r="F219" i="6"/>
  <c r="Q218" i="6" a="1"/>
  <c r="Q218" i="6" s="1"/>
  <c r="P218" i="6"/>
  <c r="N218" i="6" a="1"/>
  <c r="N218" i="6" s="1"/>
  <c r="O218" i="6" s="1"/>
  <c r="M218" i="6" a="1"/>
  <c r="M218" i="6" s="1"/>
  <c r="L218" i="6"/>
  <c r="K218" i="6" a="1"/>
  <c r="K218" i="6" s="1"/>
  <c r="F218" i="6"/>
  <c r="Q217" i="6" a="1"/>
  <c r="Q217" i="6" s="1"/>
  <c r="P217" i="6"/>
  <c r="N217" i="6" a="1"/>
  <c r="N217" i="6" s="1"/>
  <c r="O217" i="6" s="1"/>
  <c r="M217" i="6" a="1"/>
  <c r="M217" i="6" s="1"/>
  <c r="L217" i="6"/>
  <c r="K217" i="6" a="1"/>
  <c r="K217" i="6" s="1"/>
  <c r="F217" i="6"/>
  <c r="Q216" i="6" a="1"/>
  <c r="Q216" i="6" s="1"/>
  <c r="P216" i="6"/>
  <c r="N216" i="6" a="1"/>
  <c r="N216" i="6" s="1"/>
  <c r="O216" i="6" s="1"/>
  <c r="M216" i="6" a="1"/>
  <c r="M216" i="6" s="1"/>
  <c r="L216" i="6"/>
  <c r="K216" i="6" a="1"/>
  <c r="K216" i="6" s="1"/>
  <c r="F216" i="6"/>
  <c r="Q215" i="6" a="1"/>
  <c r="Q215" i="6" s="1"/>
  <c r="P215" i="6"/>
  <c r="N215" i="6" a="1"/>
  <c r="N215" i="6" s="1"/>
  <c r="O215" i="6" s="1"/>
  <c r="M215" i="6" a="1"/>
  <c r="M215" i="6" s="1"/>
  <c r="L215" i="6"/>
  <c r="K215" i="6" a="1"/>
  <c r="K215" i="6" s="1"/>
  <c r="F215" i="6"/>
  <c r="Q214" i="6" a="1"/>
  <c r="Q214" i="6" s="1"/>
  <c r="P214" i="6"/>
  <c r="N214" i="6" a="1"/>
  <c r="N214" i="6" s="1"/>
  <c r="O214" i="6" s="1"/>
  <c r="M214" i="6" a="1"/>
  <c r="M214" i="6" s="1"/>
  <c r="L214" i="6"/>
  <c r="K214" i="6" a="1"/>
  <c r="K214" i="6" s="1"/>
  <c r="F214" i="6"/>
  <c r="Q213" i="6" a="1"/>
  <c r="Q213" i="6" s="1"/>
  <c r="P213" i="6"/>
  <c r="N213" i="6" a="1"/>
  <c r="N213" i="6" s="1"/>
  <c r="O213" i="6" s="1"/>
  <c r="M213" i="6" a="1"/>
  <c r="M213" i="6" s="1"/>
  <c r="L213" i="6"/>
  <c r="K213" i="6" a="1"/>
  <c r="K213" i="6" s="1"/>
  <c r="F213" i="6"/>
  <c r="Q212" i="6" a="1"/>
  <c r="Q212" i="6" s="1"/>
  <c r="P212" i="6"/>
  <c r="N212" i="6" a="1"/>
  <c r="N212" i="6" s="1"/>
  <c r="O212" i="6" s="1"/>
  <c r="M212" i="6" a="1"/>
  <c r="M212" i="6" s="1"/>
  <c r="L212" i="6"/>
  <c r="K212" i="6" a="1"/>
  <c r="K212" i="6" s="1"/>
  <c r="F212" i="6"/>
  <c r="Q211" i="6" a="1"/>
  <c r="Q211" i="6" s="1"/>
  <c r="P211" i="6"/>
  <c r="N211" i="6" a="1"/>
  <c r="N211" i="6" s="1"/>
  <c r="O211" i="6" s="1"/>
  <c r="M211" i="6" a="1"/>
  <c r="M211" i="6" s="1"/>
  <c r="L211" i="6"/>
  <c r="K211" i="6" a="1"/>
  <c r="K211" i="6" s="1"/>
  <c r="F211" i="6"/>
  <c r="Q210" i="6" a="1"/>
  <c r="Q210" i="6" s="1"/>
  <c r="P210" i="6"/>
  <c r="N210" i="6" a="1"/>
  <c r="N210" i="6" s="1"/>
  <c r="O210" i="6" s="1"/>
  <c r="M210" i="6" a="1"/>
  <c r="M210" i="6" s="1"/>
  <c r="L210" i="6"/>
  <c r="K210" i="6" a="1"/>
  <c r="K210" i="6" s="1"/>
  <c r="F210" i="6"/>
  <c r="Q209" i="6" a="1"/>
  <c r="Q209" i="6" s="1"/>
  <c r="P209" i="6"/>
  <c r="N209" i="6" a="1"/>
  <c r="N209" i="6" s="1"/>
  <c r="O209" i="6" s="1"/>
  <c r="M209" i="6" a="1"/>
  <c r="M209" i="6" s="1"/>
  <c r="L209" i="6"/>
  <c r="K209" i="6" a="1"/>
  <c r="K209" i="6" s="1"/>
  <c r="F209" i="6"/>
  <c r="Q208" i="6" a="1"/>
  <c r="Q208" i="6" s="1"/>
  <c r="P208" i="6"/>
  <c r="N208" i="6" a="1"/>
  <c r="N208" i="6" s="1"/>
  <c r="O208" i="6" s="1"/>
  <c r="M208" i="6" a="1"/>
  <c r="M208" i="6" s="1"/>
  <c r="L208" i="6"/>
  <c r="K208" i="6" a="1"/>
  <c r="K208" i="6" s="1"/>
  <c r="F208" i="6"/>
  <c r="Q207" i="6" a="1"/>
  <c r="Q207" i="6" s="1"/>
  <c r="P207" i="6"/>
  <c r="N207" i="6" a="1"/>
  <c r="N207" i="6" s="1"/>
  <c r="O207" i="6" s="1"/>
  <c r="M207" i="6" a="1"/>
  <c r="M207" i="6" s="1"/>
  <c r="L207" i="6"/>
  <c r="K207" i="6" a="1"/>
  <c r="K207" i="6" s="1"/>
  <c r="F207" i="6"/>
  <c r="Q206" i="6" a="1"/>
  <c r="Q206" i="6" s="1"/>
  <c r="P206" i="6"/>
  <c r="N206" i="6" a="1"/>
  <c r="N206" i="6" s="1"/>
  <c r="O206" i="6" s="1"/>
  <c r="M206" i="6" a="1"/>
  <c r="M206" i="6" s="1"/>
  <c r="L206" i="6"/>
  <c r="K206" i="6" a="1"/>
  <c r="K206" i="6" s="1"/>
  <c r="F206" i="6"/>
  <c r="Q205" i="6" a="1"/>
  <c r="Q205" i="6" s="1"/>
  <c r="P205" i="6"/>
  <c r="N205" i="6" a="1"/>
  <c r="N205" i="6" s="1"/>
  <c r="O205" i="6" s="1"/>
  <c r="M205" i="6" a="1"/>
  <c r="M205" i="6" s="1"/>
  <c r="L205" i="6"/>
  <c r="K205" i="6" a="1"/>
  <c r="K205" i="6" s="1"/>
  <c r="F205" i="6"/>
  <c r="Q204" i="6" a="1"/>
  <c r="Q204" i="6" s="1"/>
  <c r="P204" i="6"/>
  <c r="N204" i="6" a="1"/>
  <c r="N204" i="6" s="1"/>
  <c r="O204" i="6" s="1"/>
  <c r="M204" i="6" a="1"/>
  <c r="M204" i="6" s="1"/>
  <c r="L204" i="6"/>
  <c r="K204" i="6" a="1"/>
  <c r="K204" i="6" s="1"/>
  <c r="F204" i="6"/>
  <c r="Q203" i="6" a="1"/>
  <c r="Q203" i="6" s="1"/>
  <c r="P203" i="6"/>
  <c r="N203" i="6" a="1"/>
  <c r="N203" i="6" s="1"/>
  <c r="O203" i="6" s="1"/>
  <c r="M203" i="6" a="1"/>
  <c r="M203" i="6" s="1"/>
  <c r="L203" i="6"/>
  <c r="K203" i="6" a="1"/>
  <c r="K203" i="6" s="1"/>
  <c r="F203" i="6"/>
  <c r="Q202" i="6" a="1"/>
  <c r="Q202" i="6" s="1"/>
  <c r="P202" i="6"/>
  <c r="N202" i="6" a="1"/>
  <c r="N202" i="6" s="1"/>
  <c r="O202" i="6" s="1"/>
  <c r="M202" i="6" a="1"/>
  <c r="M202" i="6" s="1"/>
  <c r="L202" i="6"/>
  <c r="K202" i="6" a="1"/>
  <c r="K202" i="6" s="1"/>
  <c r="F202" i="6"/>
  <c r="Q201" i="6" a="1"/>
  <c r="Q201" i="6" s="1"/>
  <c r="P201" i="6"/>
  <c r="N201" i="6" a="1"/>
  <c r="N201" i="6" s="1"/>
  <c r="O201" i="6" s="1"/>
  <c r="M201" i="6" a="1"/>
  <c r="M201" i="6" s="1"/>
  <c r="L201" i="6"/>
  <c r="K201" i="6" a="1"/>
  <c r="K201" i="6" s="1"/>
  <c r="F201" i="6"/>
  <c r="Q200" i="6" a="1"/>
  <c r="Q200" i="6" s="1"/>
  <c r="P200" i="6"/>
  <c r="N200" i="6" a="1"/>
  <c r="N200" i="6" s="1"/>
  <c r="O200" i="6" s="1"/>
  <c r="M200" i="6" a="1"/>
  <c r="M200" i="6" s="1"/>
  <c r="L200" i="6"/>
  <c r="K200" i="6" a="1"/>
  <c r="K200" i="6" s="1"/>
  <c r="F200" i="6"/>
  <c r="Q199" i="6" a="1"/>
  <c r="Q199" i="6" s="1"/>
  <c r="P199" i="6"/>
  <c r="N199" i="6" a="1"/>
  <c r="N199" i="6" s="1"/>
  <c r="O199" i="6" s="1"/>
  <c r="M199" i="6" a="1"/>
  <c r="M199" i="6" s="1"/>
  <c r="L199" i="6"/>
  <c r="K199" i="6" a="1"/>
  <c r="K199" i="6" s="1"/>
  <c r="F199" i="6"/>
  <c r="Q198" i="6" a="1"/>
  <c r="Q198" i="6" s="1"/>
  <c r="P198" i="6"/>
  <c r="N198" i="6" a="1"/>
  <c r="N198" i="6" s="1"/>
  <c r="O198" i="6" s="1"/>
  <c r="M198" i="6" a="1"/>
  <c r="M198" i="6" s="1"/>
  <c r="L198" i="6"/>
  <c r="K198" i="6" a="1"/>
  <c r="K198" i="6" s="1"/>
  <c r="F198" i="6"/>
  <c r="Q197" i="6" a="1"/>
  <c r="Q197" i="6" s="1"/>
  <c r="P197" i="6"/>
  <c r="N197" i="6" a="1"/>
  <c r="N197" i="6" s="1"/>
  <c r="O197" i="6" s="1"/>
  <c r="M197" i="6" a="1"/>
  <c r="M197" i="6" s="1"/>
  <c r="L197" i="6"/>
  <c r="K197" i="6" a="1"/>
  <c r="K197" i="6" s="1"/>
  <c r="F197" i="6"/>
  <c r="Q196" i="6" a="1"/>
  <c r="Q196" i="6" s="1"/>
  <c r="P196" i="6"/>
  <c r="N196" i="6" a="1"/>
  <c r="N196" i="6" s="1"/>
  <c r="O196" i="6" s="1"/>
  <c r="M196" i="6" a="1"/>
  <c r="M196" i="6" s="1"/>
  <c r="L196" i="6"/>
  <c r="K196" i="6" a="1"/>
  <c r="K196" i="6" s="1"/>
  <c r="F196" i="6"/>
  <c r="Q195" i="6" a="1"/>
  <c r="Q195" i="6" s="1"/>
  <c r="P195" i="6"/>
  <c r="N195" i="6" a="1"/>
  <c r="N195" i="6" s="1"/>
  <c r="O195" i="6" s="1"/>
  <c r="M195" i="6" a="1"/>
  <c r="M195" i="6" s="1"/>
  <c r="L195" i="6"/>
  <c r="K195" i="6" a="1"/>
  <c r="K195" i="6" s="1"/>
  <c r="F195" i="6"/>
  <c r="Q194" i="6" a="1"/>
  <c r="Q194" i="6" s="1"/>
  <c r="P194" i="6"/>
  <c r="N194" i="6" a="1"/>
  <c r="N194" i="6" s="1"/>
  <c r="O194" i="6" s="1"/>
  <c r="M194" i="6" a="1"/>
  <c r="M194" i="6" s="1"/>
  <c r="L194" i="6"/>
  <c r="K194" i="6" a="1"/>
  <c r="K194" i="6" s="1"/>
  <c r="F194" i="6"/>
  <c r="Q193" i="6" a="1"/>
  <c r="Q193" i="6" s="1"/>
  <c r="P193" i="6"/>
  <c r="N193" i="6" a="1"/>
  <c r="N193" i="6" s="1"/>
  <c r="O193" i="6" s="1"/>
  <c r="M193" i="6" a="1"/>
  <c r="M193" i="6" s="1"/>
  <c r="L193" i="6"/>
  <c r="K193" i="6" a="1"/>
  <c r="K193" i="6" s="1"/>
  <c r="F193" i="6"/>
  <c r="Q192" i="6" a="1"/>
  <c r="Q192" i="6" s="1"/>
  <c r="P192" i="6"/>
  <c r="N192" i="6" a="1"/>
  <c r="N192" i="6" s="1"/>
  <c r="O192" i="6" s="1"/>
  <c r="M192" i="6" a="1"/>
  <c r="M192" i="6" s="1"/>
  <c r="L192" i="6"/>
  <c r="K192" i="6" a="1"/>
  <c r="K192" i="6" s="1"/>
  <c r="F192" i="6"/>
  <c r="Q191" i="6" a="1"/>
  <c r="Q191" i="6" s="1"/>
  <c r="P191" i="6"/>
  <c r="N191" i="6" a="1"/>
  <c r="N191" i="6" s="1"/>
  <c r="O191" i="6" s="1"/>
  <c r="M191" i="6" a="1"/>
  <c r="M191" i="6" s="1"/>
  <c r="L191" i="6"/>
  <c r="K191" i="6" a="1"/>
  <c r="K191" i="6" s="1"/>
  <c r="F191" i="6"/>
  <c r="Q190" i="6" a="1"/>
  <c r="Q190" i="6" s="1"/>
  <c r="P190" i="6"/>
  <c r="N190" i="6" a="1"/>
  <c r="N190" i="6" s="1"/>
  <c r="O190" i="6" s="1"/>
  <c r="M190" i="6" a="1"/>
  <c r="M190" i="6" s="1"/>
  <c r="L190" i="6"/>
  <c r="K190" i="6" a="1"/>
  <c r="K190" i="6" s="1"/>
  <c r="F190" i="6"/>
  <c r="Q189" i="6" a="1"/>
  <c r="Q189" i="6" s="1"/>
  <c r="P189" i="6"/>
  <c r="N189" i="6" a="1"/>
  <c r="N189" i="6" s="1"/>
  <c r="O189" i="6" s="1"/>
  <c r="M189" i="6" a="1"/>
  <c r="M189" i="6" s="1"/>
  <c r="L189" i="6"/>
  <c r="K189" i="6" a="1"/>
  <c r="K189" i="6" s="1"/>
  <c r="F189" i="6"/>
  <c r="Q188" i="6" a="1"/>
  <c r="Q188" i="6" s="1"/>
  <c r="P188" i="6"/>
  <c r="N188" i="6" a="1"/>
  <c r="N188" i="6" s="1"/>
  <c r="O188" i="6" s="1"/>
  <c r="M188" i="6" a="1"/>
  <c r="M188" i="6" s="1"/>
  <c r="L188" i="6"/>
  <c r="K188" i="6" a="1"/>
  <c r="K188" i="6" s="1"/>
  <c r="F188" i="6"/>
  <c r="Q187" i="6" a="1"/>
  <c r="Q187" i="6" s="1"/>
  <c r="P187" i="6"/>
  <c r="N187" i="6" a="1"/>
  <c r="N187" i="6" s="1"/>
  <c r="O187" i="6" s="1"/>
  <c r="M187" i="6" a="1"/>
  <c r="M187" i="6" s="1"/>
  <c r="L187" i="6"/>
  <c r="K187" i="6" a="1"/>
  <c r="K187" i="6" s="1"/>
  <c r="F187" i="6"/>
  <c r="Q186" i="6" a="1"/>
  <c r="Q186" i="6" s="1"/>
  <c r="P186" i="6"/>
  <c r="N186" i="6" a="1"/>
  <c r="N186" i="6" s="1"/>
  <c r="O186" i="6" s="1"/>
  <c r="M186" i="6" a="1"/>
  <c r="M186" i="6" s="1"/>
  <c r="L186" i="6"/>
  <c r="K186" i="6" a="1"/>
  <c r="K186" i="6" s="1"/>
  <c r="F186" i="6"/>
  <c r="Q185" i="6" a="1"/>
  <c r="Q185" i="6" s="1"/>
  <c r="P185" i="6"/>
  <c r="N185" i="6" a="1"/>
  <c r="N185" i="6" s="1"/>
  <c r="O185" i="6" s="1"/>
  <c r="M185" i="6" a="1"/>
  <c r="M185" i="6" s="1"/>
  <c r="L185" i="6"/>
  <c r="K185" i="6" a="1"/>
  <c r="K185" i="6" s="1"/>
  <c r="F185" i="6"/>
  <c r="Q184" i="6" a="1"/>
  <c r="Q184" i="6" s="1"/>
  <c r="P184" i="6"/>
  <c r="N184" i="6" a="1"/>
  <c r="N184" i="6" s="1"/>
  <c r="O184" i="6" s="1"/>
  <c r="M184" i="6" a="1"/>
  <c r="M184" i="6" s="1"/>
  <c r="L184" i="6"/>
  <c r="K184" i="6" a="1"/>
  <c r="K184" i="6" s="1"/>
  <c r="F184" i="6"/>
  <c r="Q183" i="6" a="1"/>
  <c r="Q183" i="6" s="1"/>
  <c r="P183" i="6"/>
  <c r="N183" i="6" a="1"/>
  <c r="N183" i="6" s="1"/>
  <c r="O183" i="6" s="1"/>
  <c r="M183" i="6" a="1"/>
  <c r="M183" i="6" s="1"/>
  <c r="L183" i="6"/>
  <c r="K183" i="6" a="1"/>
  <c r="K183" i="6" s="1"/>
  <c r="F183" i="6"/>
  <c r="Q182" i="6" a="1"/>
  <c r="Q182" i="6" s="1"/>
  <c r="P182" i="6"/>
  <c r="N182" i="6" a="1"/>
  <c r="N182" i="6" s="1"/>
  <c r="O182" i="6" s="1"/>
  <c r="M182" i="6" a="1"/>
  <c r="M182" i="6" s="1"/>
  <c r="L182" i="6"/>
  <c r="K182" i="6" a="1"/>
  <c r="K182" i="6" s="1"/>
  <c r="F182" i="6"/>
  <c r="Q181" i="6" a="1"/>
  <c r="Q181" i="6" s="1"/>
  <c r="P181" i="6"/>
  <c r="N181" i="6" a="1"/>
  <c r="N181" i="6" s="1"/>
  <c r="O181" i="6" s="1"/>
  <c r="M181" i="6" a="1"/>
  <c r="M181" i="6" s="1"/>
  <c r="L181" i="6"/>
  <c r="K181" i="6" a="1"/>
  <c r="K181" i="6" s="1"/>
  <c r="F181" i="6"/>
  <c r="Q180" i="6" a="1"/>
  <c r="Q180" i="6" s="1"/>
  <c r="P180" i="6"/>
  <c r="N180" i="6" a="1"/>
  <c r="N180" i="6" s="1"/>
  <c r="O180" i="6" s="1"/>
  <c r="M180" i="6" a="1"/>
  <c r="M180" i="6" s="1"/>
  <c r="L180" i="6"/>
  <c r="K180" i="6" a="1"/>
  <c r="K180" i="6" s="1"/>
  <c r="F180" i="6"/>
  <c r="Q179" i="6" a="1"/>
  <c r="Q179" i="6" s="1"/>
  <c r="P179" i="6"/>
  <c r="N179" i="6" a="1"/>
  <c r="N179" i="6" s="1"/>
  <c r="O179" i="6" s="1"/>
  <c r="M179" i="6" a="1"/>
  <c r="M179" i="6" s="1"/>
  <c r="L179" i="6"/>
  <c r="K179" i="6" a="1"/>
  <c r="K179" i="6" s="1"/>
  <c r="F179" i="6"/>
  <c r="Q178" i="6" a="1"/>
  <c r="Q178" i="6" s="1"/>
  <c r="P178" i="6"/>
  <c r="N178" i="6" a="1"/>
  <c r="N178" i="6" s="1"/>
  <c r="O178" i="6" s="1"/>
  <c r="M178" i="6" a="1"/>
  <c r="M178" i="6" s="1"/>
  <c r="L178" i="6"/>
  <c r="K178" i="6" a="1"/>
  <c r="K178" i="6" s="1"/>
  <c r="F178" i="6"/>
  <c r="Q177" i="6" a="1"/>
  <c r="Q177" i="6" s="1"/>
  <c r="P177" i="6"/>
  <c r="N177" i="6" a="1"/>
  <c r="N177" i="6" s="1"/>
  <c r="O177" i="6" s="1"/>
  <c r="M177" i="6" a="1"/>
  <c r="M177" i="6" s="1"/>
  <c r="L177" i="6"/>
  <c r="K177" i="6" a="1"/>
  <c r="K177" i="6" s="1"/>
  <c r="F177" i="6"/>
  <c r="Q176" i="6" a="1"/>
  <c r="Q176" i="6" s="1"/>
  <c r="P176" i="6"/>
  <c r="N176" i="6" a="1"/>
  <c r="N176" i="6" s="1"/>
  <c r="O176" i="6" s="1"/>
  <c r="M176" i="6" a="1"/>
  <c r="M176" i="6" s="1"/>
  <c r="L176" i="6"/>
  <c r="K176" i="6" a="1"/>
  <c r="K176" i="6" s="1"/>
  <c r="F176" i="6"/>
  <c r="Q175" i="6" a="1"/>
  <c r="Q175" i="6" s="1"/>
  <c r="P175" i="6"/>
  <c r="N175" i="6" a="1"/>
  <c r="N175" i="6" s="1"/>
  <c r="O175" i="6" s="1"/>
  <c r="M175" i="6" a="1"/>
  <c r="M175" i="6" s="1"/>
  <c r="L175" i="6"/>
  <c r="K175" i="6" a="1"/>
  <c r="K175" i="6" s="1"/>
  <c r="F175" i="6"/>
  <c r="Q174" i="6" a="1"/>
  <c r="Q174" i="6" s="1"/>
  <c r="P174" i="6"/>
  <c r="N174" i="6" a="1"/>
  <c r="N174" i="6" s="1"/>
  <c r="O174" i="6" s="1"/>
  <c r="M174" i="6" a="1"/>
  <c r="M174" i="6" s="1"/>
  <c r="L174" i="6"/>
  <c r="K174" i="6" a="1"/>
  <c r="K174" i="6" s="1"/>
  <c r="F174" i="6"/>
  <c r="Q173" i="6" a="1"/>
  <c r="Q173" i="6" s="1"/>
  <c r="P173" i="6"/>
  <c r="N173" i="6" a="1"/>
  <c r="N173" i="6" s="1"/>
  <c r="O173" i="6" s="1"/>
  <c r="M173" i="6" a="1"/>
  <c r="M173" i="6" s="1"/>
  <c r="L173" i="6"/>
  <c r="K173" i="6" a="1"/>
  <c r="K173" i="6" s="1"/>
  <c r="F173" i="6"/>
  <c r="Q172" i="6" a="1"/>
  <c r="Q172" i="6" s="1"/>
  <c r="P172" i="6"/>
  <c r="N172" i="6" a="1"/>
  <c r="N172" i="6" s="1"/>
  <c r="O172" i="6" s="1"/>
  <c r="M172" i="6" a="1"/>
  <c r="M172" i="6" s="1"/>
  <c r="L172" i="6"/>
  <c r="K172" i="6" a="1"/>
  <c r="K172" i="6" s="1"/>
  <c r="F172" i="6"/>
  <c r="Q171" i="6" a="1"/>
  <c r="Q171" i="6" s="1"/>
  <c r="P171" i="6"/>
  <c r="N171" i="6" a="1"/>
  <c r="N171" i="6" s="1"/>
  <c r="O171" i="6" s="1"/>
  <c r="M171" i="6" a="1"/>
  <c r="M171" i="6" s="1"/>
  <c r="L171" i="6"/>
  <c r="K171" i="6" a="1"/>
  <c r="K171" i="6" s="1"/>
  <c r="F171" i="6"/>
  <c r="Q170" i="6" a="1"/>
  <c r="Q170" i="6" s="1"/>
  <c r="P170" i="6"/>
  <c r="N170" i="6" a="1"/>
  <c r="N170" i="6" s="1"/>
  <c r="O170" i="6" s="1"/>
  <c r="M170" i="6" a="1"/>
  <c r="M170" i="6" s="1"/>
  <c r="L170" i="6"/>
  <c r="K170" i="6" a="1"/>
  <c r="K170" i="6" s="1"/>
  <c r="F170" i="6"/>
  <c r="Q169" i="6" a="1"/>
  <c r="Q169" i="6" s="1"/>
  <c r="P169" i="6"/>
  <c r="N169" i="6" a="1"/>
  <c r="N169" i="6" s="1"/>
  <c r="O169" i="6" s="1"/>
  <c r="M169" i="6" a="1"/>
  <c r="M169" i="6" s="1"/>
  <c r="L169" i="6"/>
  <c r="K169" i="6" a="1"/>
  <c r="K169" i="6" s="1"/>
  <c r="F169" i="6"/>
  <c r="Q168" i="6" a="1"/>
  <c r="Q168" i="6" s="1"/>
  <c r="P168" i="6"/>
  <c r="N168" i="6" a="1"/>
  <c r="N168" i="6" s="1"/>
  <c r="O168" i="6" s="1"/>
  <c r="M168" i="6" a="1"/>
  <c r="M168" i="6" s="1"/>
  <c r="L168" i="6"/>
  <c r="K168" i="6" a="1"/>
  <c r="K168" i="6" s="1"/>
  <c r="F168" i="6"/>
  <c r="Q167" i="6" a="1"/>
  <c r="Q167" i="6" s="1"/>
  <c r="P167" i="6"/>
  <c r="N167" i="6" a="1"/>
  <c r="N167" i="6" s="1"/>
  <c r="O167" i="6" s="1"/>
  <c r="M167" i="6" a="1"/>
  <c r="M167" i="6" s="1"/>
  <c r="L167" i="6"/>
  <c r="K167" i="6" a="1"/>
  <c r="K167" i="6" s="1"/>
  <c r="F167" i="6"/>
  <c r="Q166" i="6" a="1"/>
  <c r="Q166" i="6" s="1"/>
  <c r="P166" i="6"/>
  <c r="N166" i="6" a="1"/>
  <c r="N166" i="6" s="1"/>
  <c r="O166" i="6" s="1"/>
  <c r="M166" i="6" a="1"/>
  <c r="M166" i="6" s="1"/>
  <c r="L166" i="6"/>
  <c r="K166" i="6" a="1"/>
  <c r="K166" i="6" s="1"/>
  <c r="F166" i="6"/>
  <c r="Q165" i="6" a="1"/>
  <c r="Q165" i="6" s="1"/>
  <c r="P165" i="6"/>
  <c r="N165" i="6" a="1"/>
  <c r="N165" i="6" s="1"/>
  <c r="O165" i="6" s="1"/>
  <c r="M165" i="6" a="1"/>
  <c r="M165" i="6" s="1"/>
  <c r="L165" i="6"/>
  <c r="K165" i="6" a="1"/>
  <c r="K165" i="6" s="1"/>
  <c r="F165" i="6"/>
  <c r="Q164" i="6" a="1"/>
  <c r="Q164" i="6" s="1"/>
  <c r="P164" i="6"/>
  <c r="N164" i="6" a="1"/>
  <c r="N164" i="6" s="1"/>
  <c r="O164" i="6" s="1"/>
  <c r="M164" i="6" a="1"/>
  <c r="M164" i="6" s="1"/>
  <c r="L164" i="6"/>
  <c r="K164" i="6" a="1"/>
  <c r="K164" i="6" s="1"/>
  <c r="F164" i="6"/>
  <c r="Q163" i="6" a="1"/>
  <c r="Q163" i="6" s="1"/>
  <c r="P163" i="6"/>
  <c r="N163" i="6" a="1"/>
  <c r="N163" i="6" s="1"/>
  <c r="O163" i="6" s="1"/>
  <c r="M163" i="6" a="1"/>
  <c r="M163" i="6" s="1"/>
  <c r="L163" i="6"/>
  <c r="K163" i="6" a="1"/>
  <c r="K163" i="6" s="1"/>
  <c r="F163" i="6"/>
  <c r="Q162" i="6" a="1"/>
  <c r="Q162" i="6" s="1"/>
  <c r="P162" i="6"/>
  <c r="N162" i="6" a="1"/>
  <c r="N162" i="6" s="1"/>
  <c r="O162" i="6" s="1"/>
  <c r="M162" i="6" a="1"/>
  <c r="M162" i="6" s="1"/>
  <c r="L162" i="6"/>
  <c r="K162" i="6" a="1"/>
  <c r="K162" i="6" s="1"/>
  <c r="F162" i="6"/>
  <c r="Q161" i="6" a="1"/>
  <c r="Q161" i="6" s="1"/>
  <c r="P161" i="6"/>
  <c r="N161" i="6" a="1"/>
  <c r="N161" i="6" s="1"/>
  <c r="O161" i="6" s="1"/>
  <c r="M161" i="6" a="1"/>
  <c r="M161" i="6" s="1"/>
  <c r="L161" i="6"/>
  <c r="K161" i="6" a="1"/>
  <c r="K161" i="6" s="1"/>
  <c r="F161" i="6"/>
  <c r="Q160" i="6" a="1"/>
  <c r="Q160" i="6" s="1"/>
  <c r="P160" i="6"/>
  <c r="N160" i="6" a="1"/>
  <c r="N160" i="6" s="1"/>
  <c r="O160" i="6" s="1"/>
  <c r="M160" i="6" a="1"/>
  <c r="M160" i="6" s="1"/>
  <c r="L160" i="6"/>
  <c r="K160" i="6" a="1"/>
  <c r="K160" i="6" s="1"/>
  <c r="F160" i="6"/>
  <c r="Q159" i="6" a="1"/>
  <c r="Q159" i="6" s="1"/>
  <c r="P159" i="6"/>
  <c r="N159" i="6" a="1"/>
  <c r="N159" i="6" s="1"/>
  <c r="O159" i="6" s="1"/>
  <c r="M159" i="6" a="1"/>
  <c r="M159" i="6" s="1"/>
  <c r="L159" i="6"/>
  <c r="K159" i="6" a="1"/>
  <c r="K159" i="6" s="1"/>
  <c r="F159" i="6"/>
  <c r="Q158" i="6" a="1"/>
  <c r="Q158" i="6" s="1"/>
  <c r="P158" i="6"/>
  <c r="N158" i="6" a="1"/>
  <c r="N158" i="6" s="1"/>
  <c r="O158" i="6" s="1"/>
  <c r="M158" i="6" a="1"/>
  <c r="M158" i="6" s="1"/>
  <c r="L158" i="6"/>
  <c r="K158" i="6" a="1"/>
  <c r="K158" i="6" s="1"/>
  <c r="F158" i="6"/>
  <c r="Q157" i="6" a="1"/>
  <c r="Q157" i="6" s="1"/>
  <c r="P157" i="6"/>
  <c r="N157" i="6" a="1"/>
  <c r="N157" i="6" s="1"/>
  <c r="O157" i="6" s="1"/>
  <c r="M157" i="6" a="1"/>
  <c r="M157" i="6" s="1"/>
  <c r="L157" i="6"/>
  <c r="K157" i="6" a="1"/>
  <c r="K157" i="6" s="1"/>
  <c r="F157" i="6"/>
  <c r="Q156" i="6" a="1"/>
  <c r="Q156" i="6" s="1"/>
  <c r="P156" i="6"/>
  <c r="N156" i="6" a="1"/>
  <c r="N156" i="6" s="1"/>
  <c r="O156" i="6" s="1"/>
  <c r="M156" i="6" a="1"/>
  <c r="M156" i="6" s="1"/>
  <c r="L156" i="6"/>
  <c r="K156" i="6" a="1"/>
  <c r="K156" i="6" s="1"/>
  <c r="F156" i="6"/>
  <c r="Q155" i="6" a="1"/>
  <c r="Q155" i="6" s="1"/>
  <c r="P155" i="6"/>
  <c r="N155" i="6" a="1"/>
  <c r="N155" i="6" s="1"/>
  <c r="O155" i="6" s="1"/>
  <c r="M155" i="6" a="1"/>
  <c r="M155" i="6" s="1"/>
  <c r="L155" i="6"/>
  <c r="K155" i="6" a="1"/>
  <c r="K155" i="6" s="1"/>
  <c r="F155" i="6"/>
  <c r="Q154" i="6" a="1"/>
  <c r="Q154" i="6" s="1"/>
  <c r="P154" i="6"/>
  <c r="N154" i="6" a="1"/>
  <c r="N154" i="6" s="1"/>
  <c r="O154" i="6" s="1"/>
  <c r="M154" i="6" a="1"/>
  <c r="M154" i="6" s="1"/>
  <c r="L154" i="6"/>
  <c r="K154" i="6" a="1"/>
  <c r="K154" i="6" s="1"/>
  <c r="F154" i="6"/>
  <c r="Q153" i="6" a="1"/>
  <c r="Q153" i="6" s="1"/>
  <c r="P153" i="6"/>
  <c r="N153" i="6" a="1"/>
  <c r="N153" i="6" s="1"/>
  <c r="O153" i="6" s="1"/>
  <c r="M153" i="6" a="1"/>
  <c r="M153" i="6" s="1"/>
  <c r="L153" i="6"/>
  <c r="K153" i="6" a="1"/>
  <c r="K153" i="6" s="1"/>
  <c r="F153" i="6"/>
  <c r="Q152" i="6" a="1"/>
  <c r="Q152" i="6" s="1"/>
  <c r="P152" i="6"/>
  <c r="N152" i="6" a="1"/>
  <c r="N152" i="6" s="1"/>
  <c r="O152" i="6" s="1"/>
  <c r="M152" i="6" a="1"/>
  <c r="M152" i="6" s="1"/>
  <c r="L152" i="6"/>
  <c r="K152" i="6" a="1"/>
  <c r="K152" i="6" s="1"/>
  <c r="F152" i="6"/>
  <c r="Q151" i="6" a="1"/>
  <c r="Q151" i="6" s="1"/>
  <c r="P151" i="6"/>
  <c r="N151" i="6" a="1"/>
  <c r="N151" i="6" s="1"/>
  <c r="O151" i="6" s="1"/>
  <c r="M151" i="6" a="1"/>
  <c r="M151" i="6" s="1"/>
  <c r="L151" i="6"/>
  <c r="K151" i="6" a="1"/>
  <c r="K151" i="6" s="1"/>
  <c r="F151" i="6"/>
  <c r="Q150" i="6" a="1"/>
  <c r="Q150" i="6" s="1"/>
  <c r="P150" i="6"/>
  <c r="N150" i="6" a="1"/>
  <c r="N150" i="6" s="1"/>
  <c r="O150" i="6" s="1"/>
  <c r="M150" i="6" a="1"/>
  <c r="M150" i="6" s="1"/>
  <c r="L150" i="6"/>
  <c r="K150" i="6" a="1"/>
  <c r="K150" i="6" s="1"/>
  <c r="F150" i="6"/>
  <c r="Q149" i="6" a="1"/>
  <c r="Q149" i="6" s="1"/>
  <c r="P149" i="6"/>
  <c r="N149" i="6" a="1"/>
  <c r="N149" i="6" s="1"/>
  <c r="O149" i="6" s="1"/>
  <c r="M149" i="6" a="1"/>
  <c r="M149" i="6" s="1"/>
  <c r="L149" i="6"/>
  <c r="K149" i="6" a="1"/>
  <c r="K149" i="6" s="1"/>
  <c r="F149" i="6"/>
  <c r="Q148" i="6" a="1"/>
  <c r="Q148" i="6" s="1"/>
  <c r="P148" i="6"/>
  <c r="N148" i="6" a="1"/>
  <c r="N148" i="6" s="1"/>
  <c r="O148" i="6" s="1"/>
  <c r="M148" i="6" a="1"/>
  <c r="M148" i="6" s="1"/>
  <c r="L148" i="6"/>
  <c r="K148" i="6" a="1"/>
  <c r="K148" i="6" s="1"/>
  <c r="F148" i="6"/>
  <c r="Q147" i="6" a="1"/>
  <c r="Q147" i="6" s="1"/>
  <c r="P147" i="6"/>
  <c r="N147" i="6" a="1"/>
  <c r="N147" i="6" s="1"/>
  <c r="O147" i="6" s="1"/>
  <c r="M147" i="6" a="1"/>
  <c r="M147" i="6" s="1"/>
  <c r="L147" i="6"/>
  <c r="K147" i="6" a="1"/>
  <c r="K147" i="6" s="1"/>
  <c r="F147" i="6"/>
  <c r="Q146" i="6" a="1"/>
  <c r="Q146" i="6" s="1"/>
  <c r="P146" i="6"/>
  <c r="N146" i="6" a="1"/>
  <c r="N146" i="6" s="1"/>
  <c r="O146" i="6" s="1"/>
  <c r="M146" i="6" a="1"/>
  <c r="M146" i="6" s="1"/>
  <c r="L146" i="6"/>
  <c r="K146" i="6" a="1"/>
  <c r="K146" i="6" s="1"/>
  <c r="F146" i="6"/>
  <c r="Q145" i="6" a="1"/>
  <c r="Q145" i="6" s="1"/>
  <c r="P145" i="6"/>
  <c r="N145" i="6" a="1"/>
  <c r="N145" i="6" s="1"/>
  <c r="O145" i="6" s="1"/>
  <c r="M145" i="6" a="1"/>
  <c r="M145" i="6" s="1"/>
  <c r="L145" i="6"/>
  <c r="K145" i="6" a="1"/>
  <c r="K145" i="6" s="1"/>
  <c r="F145" i="6"/>
  <c r="Q144" i="6" a="1"/>
  <c r="Q144" i="6" s="1"/>
  <c r="P144" i="6"/>
  <c r="N144" i="6" a="1"/>
  <c r="N144" i="6" s="1"/>
  <c r="O144" i="6" s="1"/>
  <c r="M144" i="6" a="1"/>
  <c r="M144" i="6" s="1"/>
  <c r="L144" i="6"/>
  <c r="K144" i="6" a="1"/>
  <c r="K144" i="6" s="1"/>
  <c r="F144" i="6"/>
  <c r="Q143" i="6" a="1"/>
  <c r="Q143" i="6" s="1"/>
  <c r="P143" i="6"/>
  <c r="N143" i="6" a="1"/>
  <c r="N143" i="6" s="1"/>
  <c r="O143" i="6" s="1"/>
  <c r="M143" i="6" a="1"/>
  <c r="M143" i="6" s="1"/>
  <c r="L143" i="6"/>
  <c r="K143" i="6" a="1"/>
  <c r="K143" i="6" s="1"/>
  <c r="F143" i="6"/>
  <c r="Q142" i="6" a="1"/>
  <c r="Q142" i="6" s="1"/>
  <c r="P142" i="6"/>
  <c r="N142" i="6" a="1"/>
  <c r="N142" i="6" s="1"/>
  <c r="O142" i="6" s="1"/>
  <c r="M142" i="6" a="1"/>
  <c r="M142" i="6" s="1"/>
  <c r="L142" i="6"/>
  <c r="K142" i="6" a="1"/>
  <c r="K142" i="6" s="1"/>
  <c r="F142" i="6"/>
  <c r="Q141" i="6" a="1"/>
  <c r="Q141" i="6" s="1"/>
  <c r="P141" i="6"/>
  <c r="N141" i="6" a="1"/>
  <c r="N141" i="6" s="1"/>
  <c r="O141" i="6" s="1"/>
  <c r="M141" i="6" a="1"/>
  <c r="M141" i="6" s="1"/>
  <c r="L141" i="6"/>
  <c r="K141" i="6" a="1"/>
  <c r="K141" i="6" s="1"/>
  <c r="F141" i="6"/>
  <c r="Q140" i="6" a="1"/>
  <c r="Q140" i="6" s="1"/>
  <c r="P140" i="6"/>
  <c r="N140" i="6" a="1"/>
  <c r="N140" i="6" s="1"/>
  <c r="O140" i="6" s="1"/>
  <c r="M140" i="6" a="1"/>
  <c r="M140" i="6" s="1"/>
  <c r="L140" i="6"/>
  <c r="K140" i="6" a="1"/>
  <c r="K140" i="6" s="1"/>
  <c r="F140" i="6"/>
  <c r="Q139" i="6" a="1"/>
  <c r="Q139" i="6" s="1"/>
  <c r="P139" i="6"/>
  <c r="N139" i="6" a="1"/>
  <c r="N139" i="6" s="1"/>
  <c r="O139" i="6" s="1"/>
  <c r="M139" i="6" a="1"/>
  <c r="M139" i="6" s="1"/>
  <c r="L139" i="6"/>
  <c r="K139" i="6" a="1"/>
  <c r="K139" i="6" s="1"/>
  <c r="F139" i="6"/>
  <c r="Q138" i="6" a="1"/>
  <c r="Q138" i="6" s="1"/>
  <c r="P138" i="6"/>
  <c r="N138" i="6" a="1"/>
  <c r="N138" i="6" s="1"/>
  <c r="O138" i="6" s="1"/>
  <c r="M138" i="6" a="1"/>
  <c r="M138" i="6" s="1"/>
  <c r="L138" i="6"/>
  <c r="K138" i="6" a="1"/>
  <c r="K138" i="6" s="1"/>
  <c r="F138" i="6"/>
  <c r="Q137" i="6" a="1"/>
  <c r="Q137" i="6" s="1"/>
  <c r="P137" i="6"/>
  <c r="N137" i="6" a="1"/>
  <c r="N137" i="6" s="1"/>
  <c r="O137" i="6" s="1"/>
  <c r="M137" i="6" a="1"/>
  <c r="M137" i="6" s="1"/>
  <c r="L137" i="6"/>
  <c r="K137" i="6" a="1"/>
  <c r="K137" i="6" s="1"/>
  <c r="F137" i="6"/>
  <c r="Q136" i="6" a="1"/>
  <c r="Q136" i="6" s="1"/>
  <c r="P136" i="6"/>
  <c r="N136" i="6" a="1"/>
  <c r="N136" i="6" s="1"/>
  <c r="O136" i="6" s="1"/>
  <c r="M136" i="6" a="1"/>
  <c r="M136" i="6" s="1"/>
  <c r="L136" i="6"/>
  <c r="K136" i="6" a="1"/>
  <c r="K136" i="6" s="1"/>
  <c r="F136" i="6"/>
  <c r="Q135" i="6" a="1"/>
  <c r="Q135" i="6" s="1"/>
  <c r="P135" i="6"/>
  <c r="N135" i="6" a="1"/>
  <c r="N135" i="6" s="1"/>
  <c r="O135" i="6" s="1"/>
  <c r="M135" i="6" a="1"/>
  <c r="M135" i="6" s="1"/>
  <c r="L135" i="6"/>
  <c r="K135" i="6" a="1"/>
  <c r="K135" i="6" s="1"/>
  <c r="F135" i="6"/>
  <c r="Q134" i="6" a="1"/>
  <c r="Q134" i="6" s="1"/>
  <c r="P134" i="6"/>
  <c r="N134" i="6" a="1"/>
  <c r="N134" i="6" s="1"/>
  <c r="O134" i="6" s="1"/>
  <c r="M134" i="6" a="1"/>
  <c r="M134" i="6" s="1"/>
  <c r="L134" i="6"/>
  <c r="K134" i="6" a="1"/>
  <c r="K134" i="6" s="1"/>
  <c r="F134" i="6"/>
  <c r="Q133" i="6" a="1"/>
  <c r="Q133" i="6" s="1"/>
  <c r="P133" i="6"/>
  <c r="N133" i="6" a="1"/>
  <c r="N133" i="6" s="1"/>
  <c r="O133" i="6" s="1"/>
  <c r="M133" i="6" a="1"/>
  <c r="M133" i="6" s="1"/>
  <c r="L133" i="6"/>
  <c r="K133" i="6" a="1"/>
  <c r="K133" i="6" s="1"/>
  <c r="F133" i="6"/>
  <c r="Q132" i="6" a="1"/>
  <c r="Q132" i="6" s="1"/>
  <c r="P132" i="6"/>
  <c r="N132" i="6" a="1"/>
  <c r="N132" i="6" s="1"/>
  <c r="O132" i="6" s="1"/>
  <c r="M132" i="6" a="1"/>
  <c r="M132" i="6" s="1"/>
  <c r="L132" i="6"/>
  <c r="K132" i="6" a="1"/>
  <c r="K132" i="6" s="1"/>
  <c r="F132" i="6"/>
  <c r="Q131" i="6" a="1"/>
  <c r="Q131" i="6" s="1"/>
  <c r="P131" i="6"/>
  <c r="N131" i="6" a="1"/>
  <c r="N131" i="6" s="1"/>
  <c r="O131" i="6" s="1"/>
  <c r="M131" i="6" a="1"/>
  <c r="M131" i="6" s="1"/>
  <c r="L131" i="6"/>
  <c r="K131" i="6" a="1"/>
  <c r="K131" i="6" s="1"/>
  <c r="F131" i="6"/>
  <c r="Q130" i="6" a="1"/>
  <c r="Q130" i="6" s="1"/>
  <c r="P130" i="6"/>
  <c r="N130" i="6" a="1"/>
  <c r="N130" i="6" s="1"/>
  <c r="O130" i="6" s="1"/>
  <c r="M130" i="6" a="1"/>
  <c r="M130" i="6" s="1"/>
  <c r="L130" i="6"/>
  <c r="K130" i="6" a="1"/>
  <c r="K130" i="6" s="1"/>
  <c r="F130" i="6"/>
  <c r="Q129" i="6" a="1"/>
  <c r="Q129" i="6" s="1"/>
  <c r="P129" i="6"/>
  <c r="N129" i="6" a="1"/>
  <c r="N129" i="6" s="1"/>
  <c r="O129" i="6" s="1"/>
  <c r="M129" i="6" a="1"/>
  <c r="M129" i="6" s="1"/>
  <c r="L129" i="6"/>
  <c r="K129" i="6" a="1"/>
  <c r="K129" i="6" s="1"/>
  <c r="F129" i="6"/>
  <c r="Q128" i="6" a="1"/>
  <c r="Q128" i="6" s="1"/>
  <c r="P128" i="6"/>
  <c r="N128" i="6" a="1"/>
  <c r="N128" i="6" s="1"/>
  <c r="O128" i="6" s="1"/>
  <c r="M128" i="6" a="1"/>
  <c r="M128" i="6" s="1"/>
  <c r="L128" i="6"/>
  <c r="K128" i="6" a="1"/>
  <c r="K128" i="6" s="1"/>
  <c r="F128" i="6"/>
  <c r="Q127" i="6" a="1"/>
  <c r="Q127" i="6" s="1"/>
  <c r="P127" i="6"/>
  <c r="N127" i="6" a="1"/>
  <c r="N127" i="6" s="1"/>
  <c r="O127" i="6" s="1"/>
  <c r="M127" i="6" a="1"/>
  <c r="M127" i="6" s="1"/>
  <c r="L127" i="6"/>
  <c r="K127" i="6" a="1"/>
  <c r="K127" i="6" s="1"/>
  <c r="F127" i="6"/>
  <c r="Q126" i="6" a="1"/>
  <c r="Q126" i="6" s="1"/>
  <c r="P126" i="6"/>
  <c r="N126" i="6" a="1"/>
  <c r="N126" i="6" s="1"/>
  <c r="O126" i="6" s="1"/>
  <c r="M126" i="6" a="1"/>
  <c r="M126" i="6" s="1"/>
  <c r="L126" i="6"/>
  <c r="K126" i="6" a="1"/>
  <c r="K126" i="6" s="1"/>
  <c r="F126" i="6"/>
  <c r="Q125" i="6" a="1"/>
  <c r="Q125" i="6" s="1"/>
  <c r="P125" i="6"/>
  <c r="N125" i="6" a="1"/>
  <c r="N125" i="6" s="1"/>
  <c r="O125" i="6" s="1"/>
  <c r="M125" i="6" a="1"/>
  <c r="M125" i="6" s="1"/>
  <c r="L125" i="6"/>
  <c r="K125" i="6" a="1"/>
  <c r="K125" i="6" s="1"/>
  <c r="F125" i="6"/>
  <c r="Q124" i="6" a="1"/>
  <c r="Q124" i="6" s="1"/>
  <c r="P124" i="6"/>
  <c r="N124" i="6" a="1"/>
  <c r="N124" i="6" s="1"/>
  <c r="O124" i="6" s="1"/>
  <c r="M124" i="6" a="1"/>
  <c r="M124" i="6" s="1"/>
  <c r="L124" i="6"/>
  <c r="K124" i="6" a="1"/>
  <c r="K124" i="6" s="1"/>
  <c r="F124" i="6"/>
  <c r="Q123" i="6" a="1"/>
  <c r="Q123" i="6" s="1"/>
  <c r="P123" i="6"/>
  <c r="N123" i="6" a="1"/>
  <c r="N123" i="6" s="1"/>
  <c r="O123" i="6" s="1"/>
  <c r="M123" i="6" a="1"/>
  <c r="M123" i="6" s="1"/>
  <c r="L123" i="6"/>
  <c r="K123" i="6" a="1"/>
  <c r="K123" i="6" s="1"/>
  <c r="F123" i="6"/>
  <c r="Q122" i="6" a="1"/>
  <c r="Q122" i="6" s="1"/>
  <c r="P122" i="6"/>
  <c r="N122" i="6" a="1"/>
  <c r="N122" i="6" s="1"/>
  <c r="O122" i="6" s="1"/>
  <c r="M122" i="6" a="1"/>
  <c r="M122" i="6" s="1"/>
  <c r="L122" i="6"/>
  <c r="K122" i="6" a="1"/>
  <c r="K122" i="6" s="1"/>
  <c r="F122" i="6"/>
  <c r="Q121" i="6" a="1"/>
  <c r="Q121" i="6" s="1"/>
  <c r="P121" i="6"/>
  <c r="N121" i="6" a="1"/>
  <c r="N121" i="6" s="1"/>
  <c r="O121" i="6" s="1"/>
  <c r="M121" i="6" a="1"/>
  <c r="M121" i="6" s="1"/>
  <c r="L121" i="6"/>
  <c r="K121" i="6" a="1"/>
  <c r="K121" i="6" s="1"/>
  <c r="F121" i="6"/>
  <c r="Q120" i="6" a="1"/>
  <c r="Q120" i="6" s="1"/>
  <c r="P120" i="6"/>
  <c r="N120" i="6" a="1"/>
  <c r="N120" i="6" s="1"/>
  <c r="O120" i="6" s="1"/>
  <c r="M120" i="6" a="1"/>
  <c r="M120" i="6" s="1"/>
  <c r="L120" i="6"/>
  <c r="K120" i="6" a="1"/>
  <c r="K120" i="6" s="1"/>
  <c r="F120" i="6"/>
  <c r="Q119" i="6" a="1"/>
  <c r="Q119" i="6" s="1"/>
  <c r="P119" i="6"/>
  <c r="N119" i="6" a="1"/>
  <c r="N119" i="6" s="1"/>
  <c r="O119" i="6" s="1"/>
  <c r="M119" i="6" a="1"/>
  <c r="M119" i="6" s="1"/>
  <c r="L119" i="6"/>
  <c r="K119" i="6" a="1"/>
  <c r="K119" i="6" s="1"/>
  <c r="F119" i="6"/>
  <c r="Q118" i="6" a="1"/>
  <c r="Q118" i="6" s="1"/>
  <c r="P118" i="6"/>
  <c r="N118" i="6" a="1"/>
  <c r="N118" i="6" s="1"/>
  <c r="O118" i="6" s="1"/>
  <c r="M118" i="6" a="1"/>
  <c r="M118" i="6" s="1"/>
  <c r="L118" i="6"/>
  <c r="K118" i="6" a="1"/>
  <c r="K118" i="6" s="1"/>
  <c r="F118" i="6"/>
  <c r="Q117" i="6" a="1"/>
  <c r="Q117" i="6" s="1"/>
  <c r="P117" i="6"/>
  <c r="N117" i="6" a="1"/>
  <c r="N117" i="6" s="1"/>
  <c r="O117" i="6" s="1"/>
  <c r="M117" i="6" a="1"/>
  <c r="M117" i="6" s="1"/>
  <c r="L117" i="6"/>
  <c r="K117" i="6" a="1"/>
  <c r="K117" i="6" s="1"/>
  <c r="F117" i="6"/>
  <c r="Q116" i="6" a="1"/>
  <c r="Q116" i="6" s="1"/>
  <c r="P116" i="6"/>
  <c r="N116" i="6" a="1"/>
  <c r="N116" i="6" s="1"/>
  <c r="O116" i="6" s="1"/>
  <c r="M116" i="6" a="1"/>
  <c r="M116" i="6" s="1"/>
  <c r="L116" i="6"/>
  <c r="K116" i="6" a="1"/>
  <c r="K116" i="6" s="1"/>
  <c r="F116" i="6"/>
  <c r="Q115" i="6" a="1"/>
  <c r="Q115" i="6" s="1"/>
  <c r="P115" i="6"/>
  <c r="N115" i="6" a="1"/>
  <c r="N115" i="6" s="1"/>
  <c r="O115" i="6" s="1"/>
  <c r="M115" i="6" a="1"/>
  <c r="M115" i="6" s="1"/>
  <c r="L115" i="6"/>
  <c r="K115" i="6" a="1"/>
  <c r="K115" i="6" s="1"/>
  <c r="F115" i="6"/>
  <c r="Q114" i="6" a="1"/>
  <c r="Q114" i="6" s="1"/>
  <c r="P114" i="6"/>
  <c r="N114" i="6" a="1"/>
  <c r="N114" i="6" s="1"/>
  <c r="O114" i="6" s="1"/>
  <c r="M114" i="6" a="1"/>
  <c r="M114" i="6" s="1"/>
  <c r="L114" i="6"/>
  <c r="K114" i="6" a="1"/>
  <c r="K114" i="6" s="1"/>
  <c r="F114" i="6"/>
  <c r="Q113" i="6" a="1"/>
  <c r="Q113" i="6" s="1"/>
  <c r="P113" i="6"/>
  <c r="N113" i="6" a="1"/>
  <c r="N113" i="6" s="1"/>
  <c r="O113" i="6" s="1"/>
  <c r="M113" i="6" a="1"/>
  <c r="M113" i="6" s="1"/>
  <c r="L113" i="6"/>
  <c r="K113" i="6" a="1"/>
  <c r="K113" i="6" s="1"/>
  <c r="F113" i="6"/>
  <c r="Q112" i="6" a="1"/>
  <c r="Q112" i="6" s="1"/>
  <c r="P112" i="6"/>
  <c r="N112" i="6" a="1"/>
  <c r="N112" i="6" s="1"/>
  <c r="O112" i="6" s="1"/>
  <c r="M112" i="6" a="1"/>
  <c r="M112" i="6" s="1"/>
  <c r="L112" i="6"/>
  <c r="K112" i="6" a="1"/>
  <c r="K112" i="6" s="1"/>
  <c r="F112" i="6"/>
  <c r="Q111" i="6" a="1"/>
  <c r="Q111" i="6" s="1"/>
  <c r="P111" i="6"/>
  <c r="N111" i="6" a="1"/>
  <c r="N111" i="6" s="1"/>
  <c r="O111" i="6" s="1"/>
  <c r="M111" i="6" a="1"/>
  <c r="M111" i="6" s="1"/>
  <c r="L111" i="6"/>
  <c r="K111" i="6" a="1"/>
  <c r="K111" i="6" s="1"/>
  <c r="F111" i="6"/>
  <c r="Q110" i="6" a="1"/>
  <c r="Q110" i="6" s="1"/>
  <c r="P110" i="6"/>
  <c r="N110" i="6" a="1"/>
  <c r="N110" i="6" s="1"/>
  <c r="O110" i="6" s="1"/>
  <c r="M110" i="6" a="1"/>
  <c r="M110" i="6" s="1"/>
  <c r="L110" i="6"/>
  <c r="K110" i="6" a="1"/>
  <c r="K110" i="6" s="1"/>
  <c r="F110" i="6"/>
  <c r="Q109" i="6" a="1"/>
  <c r="Q109" i="6" s="1"/>
  <c r="P109" i="6"/>
  <c r="N109" i="6" a="1"/>
  <c r="N109" i="6" s="1"/>
  <c r="O109" i="6" s="1"/>
  <c r="M109" i="6" a="1"/>
  <c r="M109" i="6" s="1"/>
  <c r="L109" i="6"/>
  <c r="K109" i="6" a="1"/>
  <c r="K109" i="6" s="1"/>
  <c r="F109" i="6"/>
  <c r="Q108" i="6" a="1"/>
  <c r="Q108" i="6" s="1"/>
  <c r="P108" i="6"/>
  <c r="N108" i="6" a="1"/>
  <c r="N108" i="6" s="1"/>
  <c r="O108" i="6" s="1"/>
  <c r="M108" i="6" a="1"/>
  <c r="M108" i="6" s="1"/>
  <c r="L108" i="6"/>
  <c r="K108" i="6" a="1"/>
  <c r="K108" i="6" s="1"/>
  <c r="F108" i="6"/>
  <c r="Q107" i="6" a="1"/>
  <c r="Q107" i="6" s="1"/>
  <c r="P107" i="6"/>
  <c r="N107" i="6" a="1"/>
  <c r="N107" i="6" s="1"/>
  <c r="O107" i="6" s="1"/>
  <c r="M107" i="6" a="1"/>
  <c r="M107" i="6" s="1"/>
  <c r="L107" i="6"/>
  <c r="K107" i="6" a="1"/>
  <c r="K107" i="6" s="1"/>
  <c r="F107" i="6"/>
  <c r="Q106" i="6" a="1"/>
  <c r="Q106" i="6" s="1"/>
  <c r="P106" i="6"/>
  <c r="N106" i="6" a="1"/>
  <c r="N106" i="6" s="1"/>
  <c r="O106" i="6" s="1"/>
  <c r="M106" i="6" a="1"/>
  <c r="M106" i="6" s="1"/>
  <c r="L106" i="6"/>
  <c r="K106" i="6" a="1"/>
  <c r="K106" i="6" s="1"/>
  <c r="F106" i="6"/>
  <c r="Q105" i="6" a="1"/>
  <c r="Q105" i="6" s="1"/>
  <c r="P105" i="6"/>
  <c r="N105" i="6" a="1"/>
  <c r="N105" i="6" s="1"/>
  <c r="O105" i="6" s="1"/>
  <c r="M105" i="6" a="1"/>
  <c r="M105" i="6" s="1"/>
  <c r="L105" i="6"/>
  <c r="K105" i="6" a="1"/>
  <c r="K105" i="6" s="1"/>
  <c r="F105" i="6"/>
  <c r="Q104" i="6" a="1"/>
  <c r="Q104" i="6" s="1"/>
  <c r="P104" i="6"/>
  <c r="N104" i="6" a="1"/>
  <c r="N104" i="6" s="1"/>
  <c r="O104" i="6" s="1"/>
  <c r="M104" i="6" a="1"/>
  <c r="M104" i="6" s="1"/>
  <c r="L104" i="6"/>
  <c r="K104" i="6" a="1"/>
  <c r="K104" i="6" s="1"/>
  <c r="F104" i="6"/>
  <c r="Q103" i="6" a="1"/>
  <c r="Q103" i="6" s="1"/>
  <c r="P103" i="6"/>
  <c r="N103" i="6" a="1"/>
  <c r="N103" i="6" s="1"/>
  <c r="O103" i="6" s="1"/>
  <c r="M103" i="6" a="1"/>
  <c r="M103" i="6" s="1"/>
  <c r="L103" i="6"/>
  <c r="K103" i="6" a="1"/>
  <c r="K103" i="6" s="1"/>
  <c r="F103" i="6"/>
  <c r="Q102" i="6" a="1"/>
  <c r="Q102" i="6" s="1"/>
  <c r="P102" i="6"/>
  <c r="N102" i="6" a="1"/>
  <c r="N102" i="6" s="1"/>
  <c r="O102" i="6" s="1"/>
  <c r="M102" i="6" a="1"/>
  <c r="M102" i="6" s="1"/>
  <c r="L102" i="6"/>
  <c r="K102" i="6" a="1"/>
  <c r="K102" i="6" s="1"/>
  <c r="F102" i="6"/>
  <c r="Q101" i="6" a="1"/>
  <c r="Q101" i="6" s="1"/>
  <c r="P101" i="6"/>
  <c r="N101" i="6" a="1"/>
  <c r="N101" i="6" s="1"/>
  <c r="O101" i="6" s="1"/>
  <c r="M101" i="6" a="1"/>
  <c r="M101" i="6" s="1"/>
  <c r="L101" i="6"/>
  <c r="K101" i="6" a="1"/>
  <c r="K101" i="6" s="1"/>
  <c r="F101" i="6"/>
  <c r="Q100" i="6" a="1"/>
  <c r="Q100" i="6" s="1"/>
  <c r="P100" i="6"/>
  <c r="N100" i="6" a="1"/>
  <c r="N100" i="6" s="1"/>
  <c r="O100" i="6" s="1"/>
  <c r="M100" i="6" a="1"/>
  <c r="M100" i="6" s="1"/>
  <c r="L100" i="6"/>
  <c r="K100" i="6" a="1"/>
  <c r="K100" i="6" s="1"/>
  <c r="F100" i="6"/>
  <c r="Q99" i="6" a="1"/>
  <c r="Q99" i="6" s="1"/>
  <c r="P99" i="6"/>
  <c r="N99" i="6" a="1"/>
  <c r="N99" i="6" s="1"/>
  <c r="O99" i="6" s="1"/>
  <c r="M99" i="6" a="1"/>
  <c r="M99" i="6" s="1"/>
  <c r="L99" i="6"/>
  <c r="K99" i="6" a="1"/>
  <c r="K99" i="6" s="1"/>
  <c r="F99" i="6"/>
  <c r="Q98" i="6" a="1"/>
  <c r="Q98" i="6" s="1"/>
  <c r="P98" i="6"/>
  <c r="N98" i="6" a="1"/>
  <c r="N98" i="6" s="1"/>
  <c r="O98" i="6" s="1"/>
  <c r="M98" i="6" a="1"/>
  <c r="M98" i="6" s="1"/>
  <c r="L98" i="6"/>
  <c r="K98" i="6" a="1"/>
  <c r="K98" i="6" s="1"/>
  <c r="F98" i="6"/>
  <c r="Q97" i="6" a="1"/>
  <c r="Q97" i="6" s="1"/>
  <c r="P97" i="6"/>
  <c r="N97" i="6" a="1"/>
  <c r="N97" i="6" s="1"/>
  <c r="O97" i="6" s="1"/>
  <c r="M97" i="6" a="1"/>
  <c r="M97" i="6" s="1"/>
  <c r="L97" i="6"/>
  <c r="K97" i="6" a="1"/>
  <c r="K97" i="6" s="1"/>
  <c r="F97" i="6"/>
  <c r="Q96" i="6" a="1"/>
  <c r="Q96" i="6" s="1"/>
  <c r="P96" i="6"/>
  <c r="N96" i="6" a="1"/>
  <c r="N96" i="6" s="1"/>
  <c r="O96" i="6" s="1"/>
  <c r="M96" i="6" a="1"/>
  <c r="M96" i="6" s="1"/>
  <c r="L96" i="6"/>
  <c r="K96" i="6" a="1"/>
  <c r="K96" i="6" s="1"/>
  <c r="F96" i="6"/>
  <c r="Q95" i="6" a="1"/>
  <c r="Q95" i="6" s="1"/>
  <c r="P95" i="6"/>
  <c r="N95" i="6" a="1"/>
  <c r="N95" i="6" s="1"/>
  <c r="O95" i="6" s="1"/>
  <c r="M95" i="6" a="1"/>
  <c r="M95" i="6" s="1"/>
  <c r="L95" i="6"/>
  <c r="K95" i="6" a="1"/>
  <c r="K95" i="6" s="1"/>
  <c r="F95" i="6"/>
  <c r="Q94" i="6" a="1"/>
  <c r="Q94" i="6" s="1"/>
  <c r="P94" i="6"/>
  <c r="N94" i="6" a="1"/>
  <c r="N94" i="6" s="1"/>
  <c r="O94" i="6" s="1"/>
  <c r="M94" i="6" a="1"/>
  <c r="M94" i="6" s="1"/>
  <c r="L94" i="6"/>
  <c r="K94" i="6" a="1"/>
  <c r="K94" i="6" s="1"/>
  <c r="F94" i="6"/>
  <c r="Q93" i="6" a="1"/>
  <c r="Q93" i="6" s="1"/>
  <c r="P93" i="6"/>
  <c r="N93" i="6" a="1"/>
  <c r="N93" i="6" s="1"/>
  <c r="O93" i="6" s="1"/>
  <c r="M93" i="6" a="1"/>
  <c r="M93" i="6" s="1"/>
  <c r="L93" i="6"/>
  <c r="K93" i="6" a="1"/>
  <c r="K93" i="6" s="1"/>
  <c r="F93" i="6"/>
  <c r="Q92" i="6" a="1"/>
  <c r="Q92" i="6" s="1"/>
  <c r="P92" i="6"/>
  <c r="N92" i="6" a="1"/>
  <c r="N92" i="6" s="1"/>
  <c r="O92" i="6" s="1"/>
  <c r="M92" i="6" a="1"/>
  <c r="M92" i="6" s="1"/>
  <c r="L92" i="6"/>
  <c r="K92" i="6" a="1"/>
  <c r="K92" i="6" s="1"/>
  <c r="F92" i="6"/>
  <c r="Q91" i="6" a="1"/>
  <c r="Q91" i="6" s="1"/>
  <c r="P91" i="6"/>
  <c r="N91" i="6" a="1"/>
  <c r="N91" i="6" s="1"/>
  <c r="O91" i="6" s="1"/>
  <c r="M91" i="6" a="1"/>
  <c r="M91" i="6" s="1"/>
  <c r="L91" i="6"/>
  <c r="K91" i="6" a="1"/>
  <c r="K91" i="6" s="1"/>
  <c r="F91" i="6"/>
  <c r="Q90" i="6" a="1"/>
  <c r="Q90" i="6" s="1"/>
  <c r="P90" i="6"/>
  <c r="N90" i="6" a="1"/>
  <c r="N90" i="6" s="1"/>
  <c r="O90" i="6" s="1"/>
  <c r="M90" i="6" a="1"/>
  <c r="M90" i="6" s="1"/>
  <c r="L90" i="6"/>
  <c r="K90" i="6" a="1"/>
  <c r="K90" i="6" s="1"/>
  <c r="F90" i="6"/>
  <c r="Q89" i="6" a="1"/>
  <c r="Q89" i="6" s="1"/>
  <c r="P89" i="6"/>
  <c r="N89" i="6" a="1"/>
  <c r="N89" i="6" s="1"/>
  <c r="O89" i="6" s="1"/>
  <c r="M89" i="6" a="1"/>
  <c r="M89" i="6" s="1"/>
  <c r="L89" i="6"/>
  <c r="K89" i="6" a="1"/>
  <c r="K89" i="6" s="1"/>
  <c r="F89" i="6"/>
  <c r="Q88" i="6" a="1"/>
  <c r="Q88" i="6" s="1"/>
  <c r="P88" i="6"/>
  <c r="N88" i="6" a="1"/>
  <c r="N88" i="6" s="1"/>
  <c r="O88" i="6" s="1"/>
  <c r="M88" i="6" a="1"/>
  <c r="M88" i="6" s="1"/>
  <c r="L88" i="6"/>
  <c r="K88" i="6" a="1"/>
  <c r="K88" i="6" s="1"/>
  <c r="F88" i="6"/>
  <c r="Q87" i="6" a="1"/>
  <c r="Q87" i="6" s="1"/>
  <c r="P87" i="6"/>
  <c r="N87" i="6" a="1"/>
  <c r="N87" i="6" s="1"/>
  <c r="O87" i="6" s="1"/>
  <c r="M87" i="6" a="1"/>
  <c r="M87" i="6" s="1"/>
  <c r="L87" i="6"/>
  <c r="K87" i="6" a="1"/>
  <c r="K87" i="6" s="1"/>
  <c r="F87" i="6"/>
  <c r="Q86" i="6" a="1"/>
  <c r="Q86" i="6" s="1"/>
  <c r="P86" i="6"/>
  <c r="N86" i="6" a="1"/>
  <c r="N86" i="6" s="1"/>
  <c r="O86" i="6" s="1"/>
  <c r="M86" i="6" a="1"/>
  <c r="M86" i="6" s="1"/>
  <c r="L86" i="6"/>
  <c r="K86" i="6" a="1"/>
  <c r="K86" i="6" s="1"/>
  <c r="F86" i="6"/>
  <c r="Q85" i="6" a="1"/>
  <c r="Q85" i="6" s="1"/>
  <c r="P85" i="6"/>
  <c r="N85" i="6" a="1"/>
  <c r="N85" i="6" s="1"/>
  <c r="O85" i="6" s="1"/>
  <c r="M85" i="6" a="1"/>
  <c r="M85" i="6" s="1"/>
  <c r="L85" i="6"/>
  <c r="K85" i="6" a="1"/>
  <c r="K85" i="6" s="1"/>
  <c r="F85" i="6"/>
  <c r="Q84" i="6" a="1"/>
  <c r="Q84" i="6" s="1"/>
  <c r="P84" i="6"/>
  <c r="N84" i="6" a="1"/>
  <c r="N84" i="6" s="1"/>
  <c r="O84" i="6" s="1"/>
  <c r="M84" i="6" a="1"/>
  <c r="M84" i="6" s="1"/>
  <c r="L84" i="6"/>
  <c r="K84" i="6" a="1"/>
  <c r="K84" i="6" s="1"/>
  <c r="F84" i="6"/>
  <c r="Q83" i="6" a="1"/>
  <c r="Q83" i="6" s="1"/>
  <c r="P83" i="6"/>
  <c r="N83" i="6" a="1"/>
  <c r="N83" i="6" s="1"/>
  <c r="O83" i="6" s="1"/>
  <c r="M83" i="6" a="1"/>
  <c r="M83" i="6" s="1"/>
  <c r="L83" i="6"/>
  <c r="K83" i="6" a="1"/>
  <c r="K83" i="6" s="1"/>
  <c r="F83" i="6"/>
  <c r="Q82" i="6" a="1"/>
  <c r="Q82" i="6" s="1"/>
  <c r="P82" i="6"/>
  <c r="N82" i="6" a="1"/>
  <c r="N82" i="6" s="1"/>
  <c r="O82" i="6" s="1"/>
  <c r="M82" i="6" a="1"/>
  <c r="M82" i="6" s="1"/>
  <c r="L82" i="6"/>
  <c r="K82" i="6" a="1"/>
  <c r="K82" i="6" s="1"/>
  <c r="F82" i="6"/>
  <c r="Q81" i="6" a="1"/>
  <c r="Q81" i="6" s="1"/>
  <c r="P81" i="6"/>
  <c r="N81" i="6" a="1"/>
  <c r="N81" i="6" s="1"/>
  <c r="O81" i="6" s="1"/>
  <c r="M81" i="6" a="1"/>
  <c r="M81" i="6" s="1"/>
  <c r="L81" i="6"/>
  <c r="K81" i="6" a="1"/>
  <c r="K81" i="6" s="1"/>
  <c r="F81" i="6"/>
  <c r="Q80" i="6" a="1"/>
  <c r="Q80" i="6" s="1"/>
  <c r="P80" i="6"/>
  <c r="N80" i="6" a="1"/>
  <c r="N80" i="6" s="1"/>
  <c r="O80" i="6" s="1"/>
  <c r="M80" i="6" a="1"/>
  <c r="M80" i="6" s="1"/>
  <c r="L80" i="6"/>
  <c r="K80" i="6" a="1"/>
  <c r="K80" i="6" s="1"/>
  <c r="F80" i="6"/>
  <c r="Q79" i="6" a="1"/>
  <c r="Q79" i="6" s="1"/>
  <c r="P79" i="6"/>
  <c r="N79" i="6" a="1"/>
  <c r="N79" i="6" s="1"/>
  <c r="O79" i="6" s="1"/>
  <c r="M79" i="6" a="1"/>
  <c r="M79" i="6" s="1"/>
  <c r="L79" i="6"/>
  <c r="K79" i="6" a="1"/>
  <c r="K79" i="6" s="1"/>
  <c r="F79" i="6"/>
  <c r="Q78" i="6" a="1"/>
  <c r="Q78" i="6" s="1"/>
  <c r="P78" i="6"/>
  <c r="N78" i="6" a="1"/>
  <c r="N78" i="6" s="1"/>
  <c r="O78" i="6" s="1"/>
  <c r="M78" i="6" a="1"/>
  <c r="M78" i="6" s="1"/>
  <c r="L78" i="6"/>
  <c r="K78" i="6" a="1"/>
  <c r="K78" i="6" s="1"/>
  <c r="F78" i="6"/>
  <c r="Q77" i="6" a="1"/>
  <c r="Q77" i="6" s="1"/>
  <c r="P77" i="6"/>
  <c r="N77" i="6" a="1"/>
  <c r="N77" i="6" s="1"/>
  <c r="O77" i="6" s="1"/>
  <c r="M77" i="6" a="1"/>
  <c r="M77" i="6" s="1"/>
  <c r="L77" i="6"/>
  <c r="K77" i="6" a="1"/>
  <c r="K77" i="6" s="1"/>
  <c r="F77" i="6"/>
  <c r="Q76" i="6" a="1"/>
  <c r="Q76" i="6" s="1"/>
  <c r="P76" i="6"/>
  <c r="N76" i="6" a="1"/>
  <c r="N76" i="6" s="1"/>
  <c r="O76" i="6" s="1"/>
  <c r="M76" i="6" a="1"/>
  <c r="M76" i="6" s="1"/>
  <c r="L76" i="6"/>
  <c r="K76" i="6" a="1"/>
  <c r="K76" i="6" s="1"/>
  <c r="F76" i="6"/>
  <c r="Q75" i="6" a="1"/>
  <c r="Q75" i="6" s="1"/>
  <c r="P75" i="6"/>
  <c r="N75" i="6" a="1"/>
  <c r="N75" i="6" s="1"/>
  <c r="O75" i="6" s="1"/>
  <c r="M75" i="6" a="1"/>
  <c r="M75" i="6" s="1"/>
  <c r="L75" i="6"/>
  <c r="K75" i="6" a="1"/>
  <c r="K75" i="6" s="1"/>
  <c r="F75" i="6"/>
  <c r="Q74" i="6" a="1"/>
  <c r="Q74" i="6" s="1"/>
  <c r="P74" i="6"/>
  <c r="N74" i="6" a="1"/>
  <c r="N74" i="6" s="1"/>
  <c r="O74" i="6" s="1"/>
  <c r="M74" i="6" a="1"/>
  <c r="M74" i="6" s="1"/>
  <c r="L74" i="6"/>
  <c r="K74" i="6" a="1"/>
  <c r="K74" i="6" s="1"/>
  <c r="F74" i="6"/>
  <c r="Q73" i="6" a="1"/>
  <c r="Q73" i="6" s="1"/>
  <c r="P73" i="6"/>
  <c r="N73" i="6" a="1"/>
  <c r="N73" i="6" s="1"/>
  <c r="O73" i="6" s="1"/>
  <c r="M73" i="6" a="1"/>
  <c r="M73" i="6" s="1"/>
  <c r="L73" i="6"/>
  <c r="K73" i="6" a="1"/>
  <c r="K73" i="6" s="1"/>
  <c r="F73" i="6"/>
  <c r="Q72" i="6" a="1"/>
  <c r="Q72" i="6" s="1"/>
  <c r="P72" i="6"/>
  <c r="N72" i="6" a="1"/>
  <c r="N72" i="6" s="1"/>
  <c r="O72" i="6" s="1"/>
  <c r="M72" i="6" a="1"/>
  <c r="M72" i="6" s="1"/>
  <c r="L72" i="6"/>
  <c r="K72" i="6" a="1"/>
  <c r="K72" i="6" s="1"/>
  <c r="F72" i="6"/>
  <c r="Q71" i="6" a="1"/>
  <c r="Q71" i="6" s="1"/>
  <c r="P71" i="6"/>
  <c r="N71" i="6" a="1"/>
  <c r="N71" i="6" s="1"/>
  <c r="O71" i="6" s="1"/>
  <c r="M71" i="6" a="1"/>
  <c r="M71" i="6" s="1"/>
  <c r="L71" i="6"/>
  <c r="K71" i="6" a="1"/>
  <c r="K71" i="6" s="1"/>
  <c r="F71" i="6"/>
  <c r="Q70" i="6" a="1"/>
  <c r="Q70" i="6" s="1"/>
  <c r="P70" i="6"/>
  <c r="N70" i="6" a="1"/>
  <c r="N70" i="6" s="1"/>
  <c r="O70" i="6" s="1"/>
  <c r="M70" i="6" a="1"/>
  <c r="M70" i="6" s="1"/>
  <c r="L70" i="6"/>
  <c r="K70" i="6" a="1"/>
  <c r="K70" i="6" s="1"/>
  <c r="F70" i="6"/>
  <c r="Q69" i="6" a="1"/>
  <c r="Q69" i="6" s="1"/>
  <c r="P69" i="6"/>
  <c r="N69" i="6" a="1"/>
  <c r="N69" i="6" s="1"/>
  <c r="O69" i="6" s="1"/>
  <c r="M69" i="6" a="1"/>
  <c r="M69" i="6" s="1"/>
  <c r="L69" i="6"/>
  <c r="K69" i="6" a="1"/>
  <c r="K69" i="6" s="1"/>
  <c r="F69" i="6"/>
  <c r="Q68" i="6" a="1"/>
  <c r="Q68" i="6" s="1"/>
  <c r="P68" i="6"/>
  <c r="N68" i="6" a="1"/>
  <c r="N68" i="6" s="1"/>
  <c r="O68" i="6" s="1"/>
  <c r="M68" i="6" a="1"/>
  <c r="M68" i="6" s="1"/>
  <c r="L68" i="6"/>
  <c r="K68" i="6" a="1"/>
  <c r="K68" i="6" s="1"/>
  <c r="F68" i="6"/>
  <c r="Q67" i="6" a="1"/>
  <c r="Q67" i="6" s="1"/>
  <c r="P67" i="6"/>
  <c r="N67" i="6" a="1"/>
  <c r="N67" i="6" s="1"/>
  <c r="O67" i="6" s="1"/>
  <c r="M67" i="6" a="1"/>
  <c r="M67" i="6" s="1"/>
  <c r="L67" i="6"/>
  <c r="K67" i="6" a="1"/>
  <c r="K67" i="6" s="1"/>
  <c r="F67" i="6"/>
  <c r="Q66" i="6" a="1"/>
  <c r="Q66" i="6" s="1"/>
  <c r="P66" i="6"/>
  <c r="N66" i="6" a="1"/>
  <c r="N66" i="6" s="1"/>
  <c r="O66" i="6" s="1"/>
  <c r="M66" i="6" a="1"/>
  <c r="M66" i="6" s="1"/>
  <c r="L66" i="6"/>
  <c r="K66" i="6" a="1"/>
  <c r="K66" i="6" s="1"/>
  <c r="F66" i="6"/>
  <c r="Q65" i="6" a="1"/>
  <c r="Q65" i="6" s="1"/>
  <c r="P65" i="6"/>
  <c r="N65" i="6" a="1"/>
  <c r="N65" i="6" s="1"/>
  <c r="O65" i="6" s="1"/>
  <c r="M65" i="6" a="1"/>
  <c r="M65" i="6" s="1"/>
  <c r="L65" i="6"/>
  <c r="K65" i="6" a="1"/>
  <c r="K65" i="6" s="1"/>
  <c r="F65" i="6"/>
  <c r="Q64" i="6" a="1"/>
  <c r="Q64" i="6" s="1"/>
  <c r="P64" i="6"/>
  <c r="N64" i="6" a="1"/>
  <c r="N64" i="6" s="1"/>
  <c r="O64" i="6" s="1"/>
  <c r="M64" i="6" a="1"/>
  <c r="M64" i="6" s="1"/>
  <c r="L64" i="6"/>
  <c r="K64" i="6" a="1"/>
  <c r="K64" i="6" s="1"/>
  <c r="F64" i="6"/>
  <c r="Q63" i="6" a="1"/>
  <c r="Q63" i="6" s="1"/>
  <c r="P63" i="6"/>
  <c r="N63" i="6" a="1"/>
  <c r="N63" i="6" s="1"/>
  <c r="O63" i="6" s="1"/>
  <c r="M63" i="6" a="1"/>
  <c r="M63" i="6" s="1"/>
  <c r="L63" i="6"/>
  <c r="K63" i="6" a="1"/>
  <c r="K63" i="6" s="1"/>
  <c r="F63" i="6"/>
  <c r="Q62" i="6" a="1"/>
  <c r="Q62" i="6" s="1"/>
  <c r="P62" i="6"/>
  <c r="N62" i="6" a="1"/>
  <c r="N62" i="6" s="1"/>
  <c r="O62" i="6" s="1"/>
  <c r="M62" i="6" a="1"/>
  <c r="M62" i="6" s="1"/>
  <c r="L62" i="6"/>
  <c r="K62" i="6" a="1"/>
  <c r="K62" i="6" s="1"/>
  <c r="F62" i="6"/>
  <c r="Q61" i="6" a="1"/>
  <c r="Q61" i="6" s="1"/>
  <c r="P61" i="6"/>
  <c r="N61" i="6" a="1"/>
  <c r="N61" i="6" s="1"/>
  <c r="O61" i="6" s="1"/>
  <c r="M61" i="6" a="1"/>
  <c r="M61" i="6" s="1"/>
  <c r="L61" i="6"/>
  <c r="K61" i="6" a="1"/>
  <c r="K61" i="6" s="1"/>
  <c r="F61" i="6"/>
  <c r="Q60" i="6" a="1"/>
  <c r="Q60" i="6" s="1"/>
  <c r="P60" i="6"/>
  <c r="N60" i="6" a="1"/>
  <c r="N60" i="6" s="1"/>
  <c r="O60" i="6" s="1"/>
  <c r="M60" i="6" a="1"/>
  <c r="M60" i="6" s="1"/>
  <c r="L60" i="6"/>
  <c r="K60" i="6" a="1"/>
  <c r="K60" i="6" s="1"/>
  <c r="F60" i="6"/>
  <c r="Q59" i="6" a="1"/>
  <c r="Q59" i="6" s="1"/>
  <c r="P59" i="6"/>
  <c r="N59" i="6" a="1"/>
  <c r="N59" i="6" s="1"/>
  <c r="O59" i="6" s="1"/>
  <c r="M59" i="6" a="1"/>
  <c r="M59" i="6" s="1"/>
  <c r="L59" i="6"/>
  <c r="K59" i="6" a="1"/>
  <c r="K59" i="6" s="1"/>
  <c r="F59" i="6"/>
  <c r="Q58" i="6" a="1"/>
  <c r="Q58" i="6" s="1"/>
  <c r="P58" i="6"/>
  <c r="N58" i="6" a="1"/>
  <c r="N58" i="6" s="1"/>
  <c r="O58" i="6" s="1"/>
  <c r="M58" i="6" a="1"/>
  <c r="M58" i="6" s="1"/>
  <c r="L58" i="6"/>
  <c r="K58" i="6" a="1"/>
  <c r="K58" i="6" s="1"/>
  <c r="F58" i="6"/>
  <c r="Q57" i="6" a="1"/>
  <c r="Q57" i="6" s="1"/>
  <c r="P57" i="6"/>
  <c r="N57" i="6" a="1"/>
  <c r="N57" i="6" s="1"/>
  <c r="O57" i="6" s="1"/>
  <c r="M57" i="6" a="1"/>
  <c r="M57" i="6" s="1"/>
  <c r="L57" i="6"/>
  <c r="K57" i="6" a="1"/>
  <c r="K57" i="6" s="1"/>
  <c r="F57" i="6"/>
  <c r="Q56" i="6" a="1"/>
  <c r="Q56" i="6" s="1"/>
  <c r="P56" i="6"/>
  <c r="N56" i="6" a="1"/>
  <c r="N56" i="6" s="1"/>
  <c r="O56" i="6" s="1"/>
  <c r="M56" i="6" a="1"/>
  <c r="M56" i="6" s="1"/>
  <c r="L56" i="6"/>
  <c r="K56" i="6" a="1"/>
  <c r="K56" i="6" s="1"/>
  <c r="F56" i="6"/>
  <c r="Q55" i="6" a="1"/>
  <c r="Q55" i="6" s="1"/>
  <c r="P55" i="6"/>
  <c r="N55" i="6" a="1"/>
  <c r="N55" i="6" s="1"/>
  <c r="O55" i="6" s="1"/>
  <c r="M55" i="6" a="1"/>
  <c r="M55" i="6" s="1"/>
  <c r="L55" i="6"/>
  <c r="K55" i="6" a="1"/>
  <c r="K55" i="6" s="1"/>
  <c r="F55" i="6"/>
  <c r="Q54" i="6" a="1"/>
  <c r="Q54" i="6" s="1"/>
  <c r="P54" i="6"/>
  <c r="N54" i="6" a="1"/>
  <c r="N54" i="6" s="1"/>
  <c r="O54" i="6" s="1"/>
  <c r="M54" i="6" a="1"/>
  <c r="M54" i="6" s="1"/>
  <c r="L54" i="6"/>
  <c r="K54" i="6" a="1"/>
  <c r="K54" i="6" s="1"/>
  <c r="F54" i="6"/>
  <c r="Q53" i="6" a="1"/>
  <c r="Q53" i="6" s="1"/>
  <c r="P53" i="6"/>
  <c r="N53" i="6" a="1"/>
  <c r="N53" i="6" s="1"/>
  <c r="O53" i="6" s="1"/>
  <c r="M53" i="6" a="1"/>
  <c r="M53" i="6" s="1"/>
  <c r="L53" i="6"/>
  <c r="K53" i="6" a="1"/>
  <c r="K53" i="6" s="1"/>
  <c r="F53" i="6"/>
  <c r="Q52" i="6" a="1"/>
  <c r="Q52" i="6" s="1"/>
  <c r="P52" i="6"/>
  <c r="N52" i="6" a="1"/>
  <c r="N52" i="6" s="1"/>
  <c r="O52" i="6" s="1"/>
  <c r="M52" i="6" a="1"/>
  <c r="M52" i="6" s="1"/>
  <c r="L52" i="6"/>
  <c r="K52" i="6" a="1"/>
  <c r="K52" i="6" s="1"/>
  <c r="F52" i="6"/>
  <c r="Q51" i="6" a="1"/>
  <c r="Q51" i="6" s="1"/>
  <c r="P51" i="6"/>
  <c r="N51" i="6" a="1"/>
  <c r="N51" i="6" s="1"/>
  <c r="O51" i="6" s="1"/>
  <c r="M51" i="6" a="1"/>
  <c r="M51" i="6" s="1"/>
  <c r="L51" i="6"/>
  <c r="K51" i="6" a="1"/>
  <c r="K51" i="6" s="1"/>
  <c r="F51" i="6"/>
  <c r="Q50" i="6" a="1"/>
  <c r="Q50" i="6" s="1"/>
  <c r="P50" i="6"/>
  <c r="N50" i="6" a="1"/>
  <c r="N50" i="6" s="1"/>
  <c r="O50" i="6" s="1"/>
  <c r="M50" i="6" a="1"/>
  <c r="M50" i="6" s="1"/>
  <c r="L50" i="6"/>
  <c r="K50" i="6" a="1"/>
  <c r="K50" i="6" s="1"/>
  <c r="F50" i="6"/>
  <c r="Q49" i="6" a="1"/>
  <c r="Q49" i="6" s="1"/>
  <c r="P49" i="6"/>
  <c r="N49" i="6" a="1"/>
  <c r="N49" i="6" s="1"/>
  <c r="O49" i="6" s="1"/>
  <c r="M49" i="6" a="1"/>
  <c r="M49" i="6" s="1"/>
  <c r="L49" i="6"/>
  <c r="K49" i="6" a="1"/>
  <c r="K49" i="6" s="1"/>
  <c r="F49" i="6"/>
  <c r="Q48" i="6" a="1"/>
  <c r="Q48" i="6" s="1"/>
  <c r="P48" i="6"/>
  <c r="N48" i="6" a="1"/>
  <c r="N48" i="6" s="1"/>
  <c r="O48" i="6" s="1"/>
  <c r="M48" i="6" a="1"/>
  <c r="M48" i="6" s="1"/>
  <c r="L48" i="6"/>
  <c r="K48" i="6" a="1"/>
  <c r="K48" i="6" s="1"/>
  <c r="F48" i="6"/>
  <c r="Q47" i="6" a="1"/>
  <c r="Q47" i="6" s="1"/>
  <c r="P47" i="6"/>
  <c r="N47" i="6" a="1"/>
  <c r="N47" i="6" s="1"/>
  <c r="O47" i="6" s="1"/>
  <c r="M47" i="6" a="1"/>
  <c r="M47" i="6" s="1"/>
  <c r="L47" i="6"/>
  <c r="K47" i="6" a="1"/>
  <c r="K47" i="6" s="1"/>
  <c r="F47" i="6"/>
  <c r="Q46" i="6" a="1"/>
  <c r="Q46" i="6" s="1"/>
  <c r="P46" i="6"/>
  <c r="N46" i="6" a="1"/>
  <c r="N46" i="6" s="1"/>
  <c r="O46" i="6" s="1"/>
  <c r="M46" i="6" a="1"/>
  <c r="M46" i="6" s="1"/>
  <c r="L46" i="6"/>
  <c r="K46" i="6" a="1"/>
  <c r="K46" i="6" s="1"/>
  <c r="F46" i="6"/>
  <c r="Q45" i="6" a="1"/>
  <c r="Q45" i="6" s="1"/>
  <c r="P45" i="6"/>
  <c r="N45" i="6" a="1"/>
  <c r="N45" i="6" s="1"/>
  <c r="O45" i="6" s="1"/>
  <c r="M45" i="6" a="1"/>
  <c r="M45" i="6" s="1"/>
  <c r="L45" i="6"/>
  <c r="K45" i="6" a="1"/>
  <c r="K45" i="6" s="1"/>
  <c r="F45" i="6"/>
  <c r="Q44" i="6" a="1"/>
  <c r="Q44" i="6" s="1"/>
  <c r="P44" i="6"/>
  <c r="N44" i="6" a="1"/>
  <c r="N44" i="6" s="1"/>
  <c r="O44" i="6" s="1"/>
  <c r="M44" i="6" a="1"/>
  <c r="M44" i="6" s="1"/>
  <c r="L44" i="6"/>
  <c r="K44" i="6" a="1"/>
  <c r="K44" i="6" s="1"/>
  <c r="F44" i="6"/>
  <c r="Q43" i="6" a="1"/>
  <c r="Q43" i="6" s="1"/>
  <c r="P43" i="6"/>
  <c r="N43" i="6" a="1"/>
  <c r="N43" i="6" s="1"/>
  <c r="O43" i="6" s="1"/>
  <c r="M43" i="6" a="1"/>
  <c r="M43" i="6" s="1"/>
  <c r="L43" i="6"/>
  <c r="K43" i="6" a="1"/>
  <c r="K43" i="6" s="1"/>
  <c r="F43" i="6"/>
  <c r="Q42" i="6" a="1"/>
  <c r="Q42" i="6" s="1"/>
  <c r="P42" i="6"/>
  <c r="N42" i="6" a="1"/>
  <c r="N42" i="6" s="1"/>
  <c r="O42" i="6" s="1"/>
  <c r="M42" i="6" a="1"/>
  <c r="M42" i="6" s="1"/>
  <c r="L42" i="6"/>
  <c r="K42" i="6" a="1"/>
  <c r="K42" i="6" s="1"/>
  <c r="F42" i="6"/>
  <c r="Q41" i="6" a="1"/>
  <c r="Q41" i="6" s="1"/>
  <c r="P41" i="6"/>
  <c r="N41" i="6" a="1"/>
  <c r="N41" i="6" s="1"/>
  <c r="O41" i="6" s="1"/>
  <c r="M41" i="6" a="1"/>
  <c r="M41" i="6" s="1"/>
  <c r="L41" i="6"/>
  <c r="K41" i="6" a="1"/>
  <c r="K41" i="6" s="1"/>
  <c r="F41" i="6"/>
  <c r="Q40" i="6" a="1"/>
  <c r="Q40" i="6" s="1"/>
  <c r="P40" i="6"/>
  <c r="N40" i="6" a="1"/>
  <c r="N40" i="6" s="1"/>
  <c r="O40" i="6" s="1"/>
  <c r="M40" i="6" a="1"/>
  <c r="M40" i="6" s="1"/>
  <c r="L40" i="6"/>
  <c r="K40" i="6" a="1"/>
  <c r="K40" i="6" s="1"/>
  <c r="F40" i="6"/>
  <c r="Q39" i="6" a="1"/>
  <c r="Q39" i="6" s="1"/>
  <c r="P39" i="6"/>
  <c r="N39" i="6" a="1"/>
  <c r="N39" i="6" s="1"/>
  <c r="O39" i="6" s="1"/>
  <c r="M39" i="6" a="1"/>
  <c r="M39" i="6" s="1"/>
  <c r="L39" i="6"/>
  <c r="K39" i="6" a="1"/>
  <c r="K39" i="6" s="1"/>
  <c r="F39" i="6"/>
  <c r="Q38" i="6" a="1"/>
  <c r="Q38" i="6" s="1"/>
  <c r="P38" i="6"/>
  <c r="N38" i="6" a="1"/>
  <c r="N38" i="6" s="1"/>
  <c r="O38" i="6" s="1"/>
  <c r="M38" i="6" a="1"/>
  <c r="M38" i="6" s="1"/>
  <c r="L38" i="6"/>
  <c r="K38" i="6" a="1"/>
  <c r="K38" i="6" s="1"/>
  <c r="F38" i="6"/>
  <c r="Q37" i="6" a="1"/>
  <c r="Q37" i="6" s="1"/>
  <c r="P37" i="6"/>
  <c r="N37" i="6" a="1"/>
  <c r="N37" i="6" s="1"/>
  <c r="O37" i="6" s="1"/>
  <c r="M37" i="6" a="1"/>
  <c r="M37" i="6" s="1"/>
  <c r="L37" i="6"/>
  <c r="K37" i="6" a="1"/>
  <c r="K37" i="6" s="1"/>
  <c r="F37" i="6"/>
  <c r="Q36" i="6" a="1"/>
  <c r="Q36" i="6" s="1"/>
  <c r="P36" i="6"/>
  <c r="N36" i="6" a="1"/>
  <c r="N36" i="6" s="1"/>
  <c r="O36" i="6" s="1"/>
  <c r="M36" i="6" a="1"/>
  <c r="M36" i="6" s="1"/>
  <c r="L36" i="6"/>
  <c r="K36" i="6" a="1"/>
  <c r="K36" i="6" s="1"/>
  <c r="F36" i="6"/>
  <c r="Q35" i="6" a="1"/>
  <c r="Q35" i="6" s="1"/>
  <c r="P35" i="6"/>
  <c r="N35" i="6" a="1"/>
  <c r="N35" i="6" s="1"/>
  <c r="O35" i="6" s="1"/>
  <c r="M35" i="6" a="1"/>
  <c r="M35" i="6" s="1"/>
  <c r="L35" i="6"/>
  <c r="K35" i="6" a="1"/>
  <c r="K35" i="6" s="1"/>
  <c r="F35" i="6"/>
  <c r="Q34" i="6" a="1"/>
  <c r="Q34" i="6" s="1"/>
  <c r="P34" i="6"/>
  <c r="N34" i="6" a="1"/>
  <c r="N34" i="6" s="1"/>
  <c r="O34" i="6" s="1"/>
  <c r="M34" i="6" a="1"/>
  <c r="M34" i="6" s="1"/>
  <c r="L34" i="6"/>
  <c r="K34" i="6" a="1"/>
  <c r="K34" i="6" s="1"/>
  <c r="F34" i="6"/>
  <c r="Q33" i="6" a="1"/>
  <c r="Q33" i="6" s="1"/>
  <c r="P33" i="6"/>
  <c r="N33" i="6" a="1"/>
  <c r="N33" i="6" s="1"/>
  <c r="O33" i="6" s="1"/>
  <c r="M33" i="6" a="1"/>
  <c r="M33" i="6" s="1"/>
  <c r="L33" i="6"/>
  <c r="K33" i="6" a="1"/>
  <c r="K33" i="6" s="1"/>
  <c r="F33" i="6"/>
  <c r="Q32" i="6" a="1"/>
  <c r="Q32" i="6" s="1"/>
  <c r="P32" i="6"/>
  <c r="N32" i="6" a="1"/>
  <c r="N32" i="6" s="1"/>
  <c r="O32" i="6" s="1"/>
  <c r="M32" i="6" a="1"/>
  <c r="M32" i="6" s="1"/>
  <c r="L32" i="6"/>
  <c r="K32" i="6" a="1"/>
  <c r="K32" i="6" s="1"/>
  <c r="F32" i="6"/>
  <c r="Q31" i="6" a="1"/>
  <c r="Q31" i="6" s="1"/>
  <c r="P31" i="6"/>
  <c r="N31" i="6" a="1"/>
  <c r="N31" i="6" s="1"/>
  <c r="O31" i="6" s="1"/>
  <c r="M31" i="6" a="1"/>
  <c r="M31" i="6" s="1"/>
  <c r="L31" i="6"/>
  <c r="K31" i="6" a="1"/>
  <c r="K31" i="6" s="1"/>
  <c r="F31" i="6"/>
  <c r="Q30" i="6" a="1"/>
  <c r="Q30" i="6" s="1"/>
  <c r="P30" i="6"/>
  <c r="N30" i="6" a="1"/>
  <c r="N30" i="6" s="1"/>
  <c r="O30" i="6" s="1"/>
  <c r="M30" i="6" a="1"/>
  <c r="M30" i="6" s="1"/>
  <c r="L30" i="6"/>
  <c r="K30" i="6" a="1"/>
  <c r="K30" i="6" s="1"/>
  <c r="F30" i="6"/>
  <c r="Q29" i="6" a="1"/>
  <c r="Q29" i="6" s="1"/>
  <c r="P29" i="6"/>
  <c r="N29" i="6" a="1"/>
  <c r="N29" i="6" s="1"/>
  <c r="O29" i="6" s="1"/>
  <c r="M29" i="6" a="1"/>
  <c r="M29" i="6" s="1"/>
  <c r="L29" i="6"/>
  <c r="K29" i="6" a="1"/>
  <c r="K29" i="6" s="1"/>
  <c r="F29" i="6"/>
  <c r="Q28" i="6" a="1"/>
  <c r="Q28" i="6" s="1"/>
  <c r="P28" i="6"/>
  <c r="N28" i="6" a="1"/>
  <c r="N28" i="6" s="1"/>
  <c r="O28" i="6" s="1"/>
  <c r="M28" i="6" a="1"/>
  <c r="M28" i="6" s="1"/>
  <c r="L28" i="6"/>
  <c r="K28" i="6" a="1"/>
  <c r="K28" i="6" s="1"/>
  <c r="F28" i="6"/>
  <c r="Q27" i="6" a="1"/>
  <c r="Q27" i="6" s="1"/>
  <c r="P27" i="6"/>
  <c r="N27" i="6" a="1"/>
  <c r="N27" i="6" s="1"/>
  <c r="O27" i="6" s="1"/>
  <c r="M27" i="6" a="1"/>
  <c r="M27" i="6" s="1"/>
  <c r="L27" i="6"/>
  <c r="K27" i="6" a="1"/>
  <c r="K27" i="6" s="1"/>
  <c r="F27" i="6"/>
  <c r="Q26" i="6" a="1"/>
  <c r="Q26" i="6" s="1"/>
  <c r="P26" i="6"/>
  <c r="N26" i="6" a="1"/>
  <c r="N26" i="6" s="1"/>
  <c r="O26" i="6" s="1"/>
  <c r="M26" i="6" a="1"/>
  <c r="M26" i="6" s="1"/>
  <c r="L26" i="6"/>
  <c r="K26" i="6" a="1"/>
  <c r="K26" i="6" s="1"/>
  <c r="F26" i="6"/>
  <c r="Q25" i="6" a="1"/>
  <c r="Q25" i="6" s="1"/>
  <c r="P25" i="6"/>
  <c r="N25" i="6" a="1"/>
  <c r="N25" i="6" s="1"/>
  <c r="O25" i="6" s="1"/>
  <c r="M25" i="6" a="1"/>
  <c r="M25" i="6" s="1"/>
  <c r="L25" i="6"/>
  <c r="K25" i="6" a="1"/>
  <c r="K25" i="6" s="1"/>
  <c r="F25" i="6"/>
  <c r="Q24" i="6" a="1"/>
  <c r="Q24" i="6" s="1"/>
  <c r="P24" i="6"/>
  <c r="N24" i="6" a="1"/>
  <c r="N24" i="6" s="1"/>
  <c r="O24" i="6" s="1"/>
  <c r="M24" i="6" a="1"/>
  <c r="M24" i="6" s="1"/>
  <c r="L24" i="6"/>
  <c r="K24" i="6" a="1"/>
  <c r="K24" i="6" s="1"/>
  <c r="F24" i="6"/>
  <c r="Q23" i="6" a="1"/>
  <c r="Q23" i="6" s="1"/>
  <c r="P23" i="6"/>
  <c r="N23" i="6" a="1"/>
  <c r="N23" i="6" s="1"/>
  <c r="O23" i="6" s="1"/>
  <c r="M23" i="6" a="1"/>
  <c r="M23" i="6" s="1"/>
  <c r="L23" i="6"/>
  <c r="K23" i="6" a="1"/>
  <c r="K23" i="6" s="1"/>
  <c r="F23" i="6"/>
  <c r="Q22" i="6" a="1"/>
  <c r="Q22" i="6" s="1"/>
  <c r="P22" i="6"/>
  <c r="N22" i="6" a="1"/>
  <c r="N22" i="6" s="1"/>
  <c r="O22" i="6" s="1"/>
  <c r="M22" i="6" a="1"/>
  <c r="M22" i="6" s="1"/>
  <c r="L22" i="6"/>
  <c r="K22" i="6" a="1"/>
  <c r="K22" i="6" s="1"/>
  <c r="F22" i="6"/>
  <c r="Q21" i="6" a="1"/>
  <c r="Q21" i="6" s="1"/>
  <c r="P21" i="6"/>
  <c r="N21" i="6" a="1"/>
  <c r="N21" i="6" s="1"/>
  <c r="O21" i="6" s="1"/>
  <c r="M21" i="6" a="1"/>
  <c r="M21" i="6" s="1"/>
  <c r="L21" i="6"/>
  <c r="K21" i="6" a="1"/>
  <c r="K21" i="6" s="1"/>
  <c r="F21" i="6"/>
  <c r="Q20" i="6" a="1"/>
  <c r="Q20" i="6" s="1"/>
  <c r="P20" i="6"/>
  <c r="N20" i="6" a="1"/>
  <c r="N20" i="6" s="1"/>
  <c r="O20" i="6" s="1"/>
  <c r="M20" i="6" a="1"/>
  <c r="M20" i="6" s="1"/>
  <c r="L20" i="6"/>
  <c r="K20" i="6" a="1"/>
  <c r="K20" i="6" s="1"/>
  <c r="F20" i="6"/>
  <c r="Q19" i="6" a="1"/>
  <c r="Q19" i="6" s="1"/>
  <c r="P19" i="6"/>
  <c r="N19" i="6" a="1"/>
  <c r="N19" i="6" s="1"/>
  <c r="O19" i="6" s="1"/>
  <c r="M19" i="6" a="1"/>
  <c r="M19" i="6" s="1"/>
  <c r="L19" i="6"/>
  <c r="K19" i="6" a="1"/>
  <c r="K19" i="6" s="1"/>
  <c r="F19" i="6"/>
  <c r="Q18" i="6" a="1"/>
  <c r="Q18" i="6" s="1"/>
  <c r="P18" i="6"/>
  <c r="N18" i="6" a="1"/>
  <c r="N18" i="6" s="1"/>
  <c r="O18" i="6" s="1"/>
  <c r="M18" i="6" a="1"/>
  <c r="M18" i="6" s="1"/>
  <c r="L18" i="6"/>
  <c r="K18" i="6" a="1"/>
  <c r="K18" i="6" s="1"/>
  <c r="F18" i="6"/>
  <c r="Q17" i="6" a="1"/>
  <c r="Q17" i="6" s="1"/>
  <c r="P17" i="6"/>
  <c r="N17" i="6" a="1"/>
  <c r="N17" i="6" s="1"/>
  <c r="O17" i="6" s="1"/>
  <c r="M17" i="6" a="1"/>
  <c r="M17" i="6" s="1"/>
  <c r="L17" i="6"/>
  <c r="K17" i="6" a="1"/>
  <c r="K17" i="6" s="1"/>
  <c r="F17" i="6"/>
  <c r="Q16" i="6" a="1"/>
  <c r="Q16" i="6" s="1"/>
  <c r="P16" i="6"/>
  <c r="N16" i="6" a="1"/>
  <c r="N16" i="6" s="1"/>
  <c r="O16" i="6" s="1"/>
  <c r="M16" i="6" a="1"/>
  <c r="M16" i="6" s="1"/>
  <c r="L16" i="6"/>
  <c r="K16" i="6" a="1"/>
  <c r="K16" i="6" s="1"/>
  <c r="F16" i="6"/>
  <c r="Q15" i="6" a="1"/>
  <c r="Q15" i="6" s="1"/>
  <c r="P15" i="6"/>
  <c r="N15" i="6" a="1"/>
  <c r="N15" i="6" s="1"/>
  <c r="O15" i="6" s="1"/>
  <c r="M15" i="6" a="1"/>
  <c r="M15" i="6" s="1"/>
  <c r="L15" i="6"/>
  <c r="K15" i="6" a="1"/>
  <c r="K15" i="6" s="1"/>
  <c r="F15" i="6"/>
  <c r="Q14" i="6" a="1"/>
  <c r="Q14" i="6" s="1"/>
  <c r="P14" i="6"/>
  <c r="N14" i="6" a="1"/>
  <c r="N14" i="6" s="1"/>
  <c r="O14" i="6" s="1"/>
  <c r="M14" i="6" a="1"/>
  <c r="M14" i="6" s="1"/>
  <c r="L14" i="6"/>
  <c r="K14" i="6" a="1"/>
  <c r="K14" i="6" s="1"/>
  <c r="F14" i="6"/>
  <c r="Q13" i="6" a="1"/>
  <c r="Q13" i="6" s="1"/>
  <c r="P13" i="6"/>
  <c r="N13" i="6" a="1"/>
  <c r="N13" i="6" s="1"/>
  <c r="O13" i="6" s="1"/>
  <c r="M13" i="6" a="1"/>
  <c r="M13" i="6" s="1"/>
  <c r="L13" i="6"/>
  <c r="K13" i="6" a="1"/>
  <c r="K13" i="6" s="1"/>
  <c r="F13" i="6"/>
  <c r="Q12" i="6" a="1"/>
  <c r="Q12" i="6" s="1"/>
  <c r="P12" i="6"/>
  <c r="N12" i="6" a="1"/>
  <c r="N12" i="6" s="1"/>
  <c r="O12" i="6" s="1"/>
  <c r="M12" i="6" a="1"/>
  <c r="M12" i="6" s="1"/>
  <c r="L12" i="6"/>
  <c r="K12" i="6" a="1"/>
  <c r="K12" i="6" s="1"/>
  <c r="F12" i="6"/>
  <c r="Q11" i="6" a="1"/>
  <c r="Q11" i="6" s="1"/>
  <c r="P11" i="6"/>
  <c r="N11" i="6" a="1"/>
  <c r="N11" i="6" s="1"/>
  <c r="O11" i="6" s="1"/>
  <c r="M11" i="6" a="1"/>
  <c r="M11" i="6" s="1"/>
  <c r="L11" i="6"/>
  <c r="K11" i="6" a="1"/>
  <c r="K11" i="6" s="1"/>
  <c r="F11" i="6"/>
  <c r="Q10" i="6" a="1"/>
  <c r="Q10" i="6" s="1"/>
  <c r="P10" i="6"/>
  <c r="N10" i="6" a="1"/>
  <c r="N10" i="6" s="1"/>
  <c r="O10" i="6" s="1"/>
  <c r="M10" i="6" a="1"/>
  <c r="M10" i="6" s="1"/>
  <c r="L10" i="6"/>
  <c r="K10" i="6" a="1"/>
  <c r="K10" i="6" s="1"/>
  <c r="F10" i="6"/>
  <c r="Q9" i="6" a="1"/>
  <c r="Q9" i="6" s="1"/>
  <c r="P9" i="6"/>
  <c r="N9" i="6" a="1"/>
  <c r="N9" i="6" s="1"/>
  <c r="O9" i="6" s="1"/>
  <c r="M9" i="6" a="1"/>
  <c r="M9" i="6" s="1"/>
  <c r="L9" i="6"/>
  <c r="K9" i="6" a="1"/>
  <c r="K9" i="6" s="1"/>
  <c r="F9" i="6"/>
  <c r="Q8" i="6" a="1"/>
  <c r="Q8" i="6" s="1"/>
  <c r="P8" i="6"/>
  <c r="N8" i="6" a="1"/>
  <c r="N8" i="6" s="1"/>
  <c r="O8" i="6" s="1"/>
  <c r="M8" i="6" a="1"/>
  <c r="M8" i="6" s="1"/>
  <c r="L8" i="6"/>
  <c r="K8" i="6" a="1"/>
  <c r="K8" i="6" s="1"/>
  <c r="F8" i="6"/>
  <c r="Q7" i="6" a="1"/>
  <c r="Q7" i="6" s="1"/>
  <c r="P7" i="6"/>
  <c r="N7" i="6" a="1"/>
  <c r="N7" i="6" s="1"/>
  <c r="O7" i="6" s="1"/>
  <c r="M7" i="6" a="1"/>
  <c r="M7" i="6" s="1"/>
  <c r="L7" i="6"/>
  <c r="K7" i="6" a="1"/>
  <c r="K7" i="6" s="1"/>
  <c r="F7" i="6"/>
  <c r="Q6" i="6" a="1"/>
  <c r="Q6" i="6" s="1"/>
  <c r="P6" i="6"/>
  <c r="N6" i="6" a="1"/>
  <c r="N6" i="6" s="1"/>
  <c r="O6" i="6" s="1"/>
  <c r="M6" i="6" a="1"/>
  <c r="M6" i="6" s="1"/>
  <c r="L6" i="6"/>
  <c r="K6" i="6" a="1"/>
  <c r="K6" i="6" s="1"/>
  <c r="F6" i="6"/>
  <c r="Q5" i="6" a="1"/>
  <c r="Q5" i="6" s="1"/>
  <c r="P5" i="6"/>
  <c r="N5" i="6" a="1"/>
  <c r="N5" i="6" s="1"/>
  <c r="O5" i="6" s="1"/>
  <c r="M5" i="6" a="1"/>
  <c r="M5" i="6" s="1"/>
  <c r="L5" i="6"/>
  <c r="K5" i="6" a="1"/>
  <c r="K5" i="6" s="1"/>
  <c r="F5" i="6"/>
  <c r="Q4" i="6" a="1"/>
  <c r="Q4" i="6" s="1"/>
  <c r="P4" i="6"/>
  <c r="N4" i="6" a="1"/>
  <c r="N4" i="6" s="1"/>
  <c r="O4" i="6" s="1"/>
  <c r="M4" i="6" a="1"/>
  <c r="M4" i="6" s="1"/>
  <c r="L4" i="6"/>
  <c r="K4" i="6" a="1"/>
  <c r="K4" i="6" s="1"/>
  <c r="F4" i="6"/>
  <c r="Q3" i="6" a="1"/>
  <c r="Q3" i="6" s="1"/>
  <c r="P3" i="6"/>
  <c r="N3" i="6" a="1"/>
  <c r="N3" i="6" s="1"/>
  <c r="O3" i="6" s="1"/>
  <c r="M3" i="6" a="1"/>
  <c r="M3" i="6" s="1"/>
  <c r="L3" i="6"/>
  <c r="K3" i="6" a="1"/>
  <c r="K3" i="6" s="1"/>
  <c r="F3" i="6"/>
  <c r="Q2" i="6" a="1"/>
  <c r="Q2" i="6" s="1"/>
  <c r="P2" i="6"/>
  <c r="N2" i="6" a="1"/>
  <c r="N2" i="6" s="1"/>
  <c r="O2" i="6" s="1"/>
  <c r="M2" i="6" a="1"/>
  <c r="M2" i="6" s="1"/>
  <c r="L2" i="6"/>
  <c r="K2" i="6" a="1"/>
  <c r="K2" i="6" s="1"/>
  <c r="F2" i="6"/>
  <c r="J1006" i="5"/>
  <c r="J1005" i="5"/>
  <c r="J1004" i="5"/>
  <c r="J1003" i="5"/>
  <c r="J1002" i="5"/>
  <c r="D1003" i="5"/>
  <c r="D1002" i="5"/>
  <c r="R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5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09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R224" i="5"/>
  <c r="R225" i="5"/>
  <c r="R226" i="5"/>
  <c r="R227" i="5"/>
  <c r="R228" i="5"/>
  <c r="R229" i="5"/>
  <c r="R230" i="5"/>
  <c r="R231" i="5"/>
  <c r="R232" i="5"/>
  <c r="R233" i="5"/>
  <c r="R234" i="5"/>
  <c r="R235" i="5"/>
  <c r="R236" i="5"/>
  <c r="R237" i="5"/>
  <c r="R238" i="5"/>
  <c r="R239" i="5"/>
  <c r="R240" i="5"/>
  <c r="R241" i="5"/>
  <c r="R242" i="5"/>
  <c r="R243" i="5"/>
  <c r="R244" i="5"/>
  <c r="R245" i="5"/>
  <c r="R246" i="5"/>
  <c r="R247" i="5"/>
  <c r="R248" i="5"/>
  <c r="R249" i="5"/>
  <c r="R250" i="5"/>
  <c r="R251" i="5"/>
  <c r="R252" i="5"/>
  <c r="R253" i="5"/>
  <c r="R254" i="5"/>
  <c r="R255" i="5"/>
  <c r="R256" i="5"/>
  <c r="R257" i="5"/>
  <c r="R258" i="5"/>
  <c r="R259" i="5"/>
  <c r="R260" i="5"/>
  <c r="R261" i="5"/>
  <c r="R262" i="5"/>
  <c r="R263" i="5"/>
  <c r="R264" i="5"/>
  <c r="R265" i="5"/>
  <c r="R266" i="5"/>
  <c r="R267" i="5"/>
  <c r="R268" i="5"/>
  <c r="R269" i="5"/>
  <c r="R270" i="5"/>
  <c r="R271" i="5"/>
  <c r="R272" i="5"/>
  <c r="R273" i="5"/>
  <c r="R274" i="5"/>
  <c r="R275" i="5"/>
  <c r="R276" i="5"/>
  <c r="R277" i="5"/>
  <c r="R278" i="5"/>
  <c r="R279" i="5"/>
  <c r="R280" i="5"/>
  <c r="R281" i="5"/>
  <c r="R282" i="5"/>
  <c r="R283" i="5"/>
  <c r="R284" i="5"/>
  <c r="R285" i="5"/>
  <c r="R286" i="5"/>
  <c r="R287" i="5"/>
  <c r="R288" i="5"/>
  <c r="R289" i="5"/>
  <c r="R290" i="5"/>
  <c r="R291" i="5"/>
  <c r="R292" i="5"/>
  <c r="R293" i="5"/>
  <c r="R294" i="5"/>
  <c r="R295" i="5"/>
  <c r="R296" i="5"/>
  <c r="R297" i="5"/>
  <c r="R298" i="5"/>
  <c r="R299" i="5"/>
  <c r="R300" i="5"/>
  <c r="R301" i="5"/>
  <c r="R302" i="5"/>
  <c r="R303" i="5"/>
  <c r="R304" i="5"/>
  <c r="R305" i="5"/>
  <c r="R306" i="5"/>
  <c r="R307" i="5"/>
  <c r="R308" i="5"/>
  <c r="R309" i="5"/>
  <c r="R310" i="5"/>
  <c r="R311" i="5"/>
  <c r="R312" i="5"/>
  <c r="R313" i="5"/>
  <c r="R314" i="5"/>
  <c r="R315" i="5"/>
  <c r="R316" i="5"/>
  <c r="R317" i="5"/>
  <c r="R318" i="5"/>
  <c r="R319" i="5"/>
  <c r="R320" i="5"/>
  <c r="R321" i="5"/>
  <c r="R322" i="5"/>
  <c r="R323" i="5"/>
  <c r="R324" i="5"/>
  <c r="R325" i="5"/>
  <c r="R326" i="5"/>
  <c r="R327" i="5"/>
  <c r="R328" i="5"/>
  <c r="R329" i="5"/>
  <c r="R330" i="5"/>
  <c r="R331" i="5"/>
  <c r="R332" i="5"/>
  <c r="R333" i="5"/>
  <c r="R334" i="5"/>
  <c r="R335" i="5"/>
  <c r="R336" i="5"/>
  <c r="R337" i="5"/>
  <c r="R338" i="5"/>
  <c r="R339" i="5"/>
  <c r="R340" i="5"/>
  <c r="R341" i="5"/>
  <c r="R342" i="5"/>
  <c r="R343" i="5"/>
  <c r="R344" i="5"/>
  <c r="R345" i="5"/>
  <c r="R346" i="5"/>
  <c r="R347" i="5"/>
  <c r="R348" i="5"/>
  <c r="R349" i="5"/>
  <c r="R350" i="5"/>
  <c r="R351" i="5"/>
  <c r="R352" i="5"/>
  <c r="R353" i="5"/>
  <c r="R354" i="5"/>
  <c r="R355" i="5"/>
  <c r="R356" i="5"/>
  <c r="R357" i="5"/>
  <c r="R358" i="5"/>
  <c r="R359" i="5"/>
  <c r="R360" i="5"/>
  <c r="R361" i="5"/>
  <c r="R362" i="5"/>
  <c r="R363" i="5"/>
  <c r="R364" i="5"/>
  <c r="R365" i="5"/>
  <c r="R366" i="5"/>
  <c r="R367" i="5"/>
  <c r="R368" i="5"/>
  <c r="R369" i="5"/>
  <c r="R370" i="5"/>
  <c r="R371" i="5"/>
  <c r="R372" i="5"/>
  <c r="R373" i="5"/>
  <c r="R374" i="5"/>
  <c r="R375" i="5"/>
  <c r="R376" i="5"/>
  <c r="R377" i="5"/>
  <c r="R378" i="5"/>
  <c r="R379" i="5"/>
  <c r="R380" i="5"/>
  <c r="R381" i="5"/>
  <c r="R382" i="5"/>
  <c r="R383" i="5"/>
  <c r="R384" i="5"/>
  <c r="R385" i="5"/>
  <c r="R386" i="5"/>
  <c r="R387" i="5"/>
  <c r="R388" i="5"/>
  <c r="R389" i="5"/>
  <c r="R390" i="5"/>
  <c r="R391" i="5"/>
  <c r="R392" i="5"/>
  <c r="R393" i="5"/>
  <c r="R394" i="5"/>
  <c r="R395" i="5"/>
  <c r="R396" i="5"/>
  <c r="R397" i="5"/>
  <c r="R398" i="5"/>
  <c r="R399" i="5"/>
  <c r="R400" i="5"/>
  <c r="R401" i="5"/>
  <c r="R402" i="5"/>
  <c r="R403" i="5"/>
  <c r="R404" i="5"/>
  <c r="R405" i="5"/>
  <c r="R406" i="5"/>
  <c r="R407" i="5"/>
  <c r="R408" i="5"/>
  <c r="R409" i="5"/>
  <c r="R410" i="5"/>
  <c r="R411" i="5"/>
  <c r="R412" i="5"/>
  <c r="R413" i="5"/>
  <c r="R414" i="5"/>
  <c r="R415" i="5"/>
  <c r="R416" i="5"/>
  <c r="R417" i="5"/>
  <c r="R418" i="5"/>
  <c r="R419" i="5"/>
  <c r="R420" i="5"/>
  <c r="R421" i="5"/>
  <c r="R422" i="5"/>
  <c r="R423" i="5"/>
  <c r="R424" i="5"/>
  <c r="R425" i="5"/>
  <c r="R426" i="5"/>
  <c r="R427" i="5"/>
  <c r="R428" i="5"/>
  <c r="R429" i="5"/>
  <c r="R430" i="5"/>
  <c r="R431" i="5"/>
  <c r="R432" i="5"/>
  <c r="R433" i="5"/>
  <c r="R434" i="5"/>
  <c r="R435" i="5"/>
  <c r="R436" i="5"/>
  <c r="R437" i="5"/>
  <c r="R438" i="5"/>
  <c r="R439" i="5"/>
  <c r="R440" i="5"/>
  <c r="R441" i="5"/>
  <c r="R442" i="5"/>
  <c r="R443" i="5"/>
  <c r="R444" i="5"/>
  <c r="R445" i="5"/>
  <c r="R446" i="5"/>
  <c r="R447" i="5"/>
  <c r="R448" i="5"/>
  <c r="R449" i="5"/>
  <c r="R450" i="5"/>
  <c r="R451" i="5"/>
  <c r="R452" i="5"/>
  <c r="R453" i="5"/>
  <c r="R454" i="5"/>
  <c r="R455" i="5"/>
  <c r="R456" i="5"/>
  <c r="R457" i="5"/>
  <c r="R458" i="5"/>
  <c r="R459" i="5"/>
  <c r="R460" i="5"/>
  <c r="R461" i="5"/>
  <c r="R462" i="5"/>
  <c r="R463" i="5"/>
  <c r="R464" i="5"/>
  <c r="R465" i="5"/>
  <c r="R466" i="5"/>
  <c r="R467" i="5"/>
  <c r="R468" i="5"/>
  <c r="R469" i="5"/>
  <c r="R470" i="5"/>
  <c r="R471" i="5"/>
  <c r="R472" i="5"/>
  <c r="R473" i="5"/>
  <c r="R474" i="5"/>
  <c r="R475" i="5"/>
  <c r="R476" i="5"/>
  <c r="R477" i="5"/>
  <c r="R478" i="5"/>
  <c r="R479" i="5"/>
  <c r="R480" i="5"/>
  <c r="R481" i="5"/>
  <c r="R482" i="5"/>
  <c r="R483" i="5"/>
  <c r="R484" i="5"/>
  <c r="R485" i="5"/>
  <c r="R486" i="5"/>
  <c r="R487" i="5"/>
  <c r="R488" i="5"/>
  <c r="R489" i="5"/>
  <c r="R490" i="5"/>
  <c r="R491" i="5"/>
  <c r="R492" i="5"/>
  <c r="R493" i="5"/>
  <c r="R494" i="5"/>
  <c r="R495" i="5"/>
  <c r="R496" i="5"/>
  <c r="R497" i="5"/>
  <c r="R498" i="5"/>
  <c r="R499" i="5"/>
  <c r="R500" i="5"/>
  <c r="R501" i="5"/>
  <c r="R502" i="5"/>
  <c r="R503" i="5"/>
  <c r="R504" i="5"/>
  <c r="R505" i="5"/>
  <c r="R506" i="5"/>
  <c r="R507" i="5"/>
  <c r="R508" i="5"/>
  <c r="R509" i="5"/>
  <c r="R510" i="5"/>
  <c r="R511" i="5"/>
  <c r="R512" i="5"/>
  <c r="R513" i="5"/>
  <c r="R514" i="5"/>
  <c r="R515" i="5"/>
  <c r="R516" i="5"/>
  <c r="R517" i="5"/>
  <c r="R518" i="5"/>
  <c r="R519" i="5"/>
  <c r="R520" i="5"/>
  <c r="R521" i="5"/>
  <c r="R522" i="5"/>
  <c r="R523" i="5"/>
  <c r="R524" i="5"/>
  <c r="R525" i="5"/>
  <c r="R526" i="5"/>
  <c r="R527" i="5"/>
  <c r="R528" i="5"/>
  <c r="R529" i="5"/>
  <c r="R530" i="5"/>
  <c r="R531" i="5"/>
  <c r="R532" i="5"/>
  <c r="R533" i="5"/>
  <c r="R534" i="5"/>
  <c r="R535" i="5"/>
  <c r="R536" i="5"/>
  <c r="R537" i="5"/>
  <c r="R538" i="5"/>
  <c r="R539" i="5"/>
  <c r="R540" i="5"/>
  <c r="R541" i="5"/>
  <c r="R542" i="5"/>
  <c r="R543" i="5"/>
  <c r="R544" i="5"/>
  <c r="R545" i="5"/>
  <c r="R546" i="5"/>
  <c r="R547" i="5"/>
  <c r="R548" i="5"/>
  <c r="R549" i="5"/>
  <c r="R550" i="5"/>
  <c r="R551" i="5"/>
  <c r="R552" i="5"/>
  <c r="R553" i="5"/>
  <c r="R554" i="5"/>
  <c r="R555" i="5"/>
  <c r="R556" i="5"/>
  <c r="R557" i="5"/>
  <c r="R558" i="5"/>
  <c r="R559" i="5"/>
  <c r="R560" i="5"/>
  <c r="R561" i="5"/>
  <c r="R562" i="5"/>
  <c r="R563" i="5"/>
  <c r="R564" i="5"/>
  <c r="R565" i="5"/>
  <c r="R566" i="5"/>
  <c r="R567" i="5"/>
  <c r="R568" i="5"/>
  <c r="R569" i="5"/>
  <c r="R570" i="5"/>
  <c r="R571" i="5"/>
  <c r="R572" i="5"/>
  <c r="R573" i="5"/>
  <c r="R574" i="5"/>
  <c r="R575" i="5"/>
  <c r="R576" i="5"/>
  <c r="R577" i="5"/>
  <c r="R578" i="5"/>
  <c r="R579" i="5"/>
  <c r="R580" i="5"/>
  <c r="R581" i="5"/>
  <c r="R582" i="5"/>
  <c r="R583" i="5"/>
  <c r="R584" i="5"/>
  <c r="R585" i="5"/>
  <c r="R586" i="5"/>
  <c r="R587" i="5"/>
  <c r="R588" i="5"/>
  <c r="R589" i="5"/>
  <c r="R590" i="5"/>
  <c r="R591" i="5"/>
  <c r="R592" i="5"/>
  <c r="R593" i="5"/>
  <c r="R594" i="5"/>
  <c r="R595" i="5"/>
  <c r="R596" i="5"/>
  <c r="R597" i="5"/>
  <c r="R598" i="5"/>
  <c r="R599" i="5"/>
  <c r="R600" i="5"/>
  <c r="R601" i="5"/>
  <c r="R602" i="5"/>
  <c r="R603" i="5"/>
  <c r="R604" i="5"/>
  <c r="R605" i="5"/>
  <c r="R606" i="5"/>
  <c r="R607" i="5"/>
  <c r="R608" i="5"/>
  <c r="R609" i="5"/>
  <c r="R610" i="5"/>
  <c r="R611" i="5"/>
  <c r="R612" i="5"/>
  <c r="R613" i="5"/>
  <c r="R614" i="5"/>
  <c r="R615" i="5"/>
  <c r="R616" i="5"/>
  <c r="R617" i="5"/>
  <c r="R618" i="5"/>
  <c r="R619" i="5"/>
  <c r="R620" i="5"/>
  <c r="R621" i="5"/>
  <c r="R622" i="5"/>
  <c r="R623" i="5"/>
  <c r="R624" i="5"/>
  <c r="R625" i="5"/>
  <c r="R626" i="5"/>
  <c r="R627" i="5"/>
  <c r="R628" i="5"/>
  <c r="R629" i="5"/>
  <c r="R630" i="5"/>
  <c r="R631" i="5"/>
  <c r="R632" i="5"/>
  <c r="R633" i="5"/>
  <c r="R634" i="5"/>
  <c r="R635" i="5"/>
  <c r="R636" i="5"/>
  <c r="R637" i="5"/>
  <c r="R638" i="5"/>
  <c r="R639" i="5"/>
  <c r="R640" i="5"/>
  <c r="R641" i="5"/>
  <c r="R642" i="5"/>
  <c r="R643" i="5"/>
  <c r="R644" i="5"/>
  <c r="R645" i="5"/>
  <c r="R646" i="5"/>
  <c r="R647" i="5"/>
  <c r="R648" i="5"/>
  <c r="R649" i="5"/>
  <c r="R650" i="5"/>
  <c r="R651" i="5"/>
  <c r="R652" i="5"/>
  <c r="R653" i="5"/>
  <c r="R654" i="5"/>
  <c r="R655" i="5"/>
  <c r="R656" i="5"/>
  <c r="R657" i="5"/>
  <c r="R658" i="5"/>
  <c r="R659" i="5"/>
  <c r="R660" i="5"/>
  <c r="R661" i="5"/>
  <c r="R662" i="5"/>
  <c r="R663" i="5"/>
  <c r="R664" i="5"/>
  <c r="R665" i="5"/>
  <c r="R666" i="5"/>
  <c r="R667" i="5"/>
  <c r="R668" i="5"/>
  <c r="R669" i="5"/>
  <c r="R670" i="5"/>
  <c r="R671" i="5"/>
  <c r="R672" i="5"/>
  <c r="R673" i="5"/>
  <c r="R674" i="5"/>
  <c r="R675" i="5"/>
  <c r="R676" i="5"/>
  <c r="R677" i="5"/>
  <c r="R678" i="5"/>
  <c r="R679" i="5"/>
  <c r="R680" i="5"/>
  <c r="R681" i="5"/>
  <c r="R682" i="5"/>
  <c r="R683" i="5"/>
  <c r="R684" i="5"/>
  <c r="R685" i="5"/>
  <c r="R686" i="5"/>
  <c r="R687" i="5"/>
  <c r="R688" i="5"/>
  <c r="R689" i="5"/>
  <c r="R690" i="5"/>
  <c r="R691" i="5"/>
  <c r="R692" i="5"/>
  <c r="R693" i="5"/>
  <c r="R694" i="5"/>
  <c r="R695" i="5"/>
  <c r="R696" i="5"/>
  <c r="R697" i="5"/>
  <c r="R698" i="5"/>
  <c r="R699" i="5"/>
  <c r="R700" i="5"/>
  <c r="R701" i="5"/>
  <c r="R702" i="5"/>
  <c r="R703" i="5"/>
  <c r="R704" i="5"/>
  <c r="R705" i="5"/>
  <c r="R706" i="5"/>
  <c r="R707" i="5"/>
  <c r="R708" i="5"/>
  <c r="R709" i="5"/>
  <c r="R710" i="5"/>
  <c r="R711" i="5"/>
  <c r="R712" i="5"/>
  <c r="R713" i="5"/>
  <c r="R714" i="5"/>
  <c r="R715" i="5"/>
  <c r="R716" i="5"/>
  <c r="R717" i="5"/>
  <c r="R718" i="5"/>
  <c r="R719" i="5"/>
  <c r="R720" i="5"/>
  <c r="R721" i="5"/>
  <c r="R722" i="5"/>
  <c r="R723" i="5"/>
  <c r="R724" i="5"/>
  <c r="R725" i="5"/>
  <c r="R726" i="5"/>
  <c r="R727" i="5"/>
  <c r="R728" i="5"/>
  <c r="R729" i="5"/>
  <c r="R730" i="5"/>
  <c r="R731" i="5"/>
  <c r="R732" i="5"/>
  <c r="R733" i="5"/>
  <c r="R734" i="5"/>
  <c r="R735" i="5"/>
  <c r="R736" i="5"/>
  <c r="R737" i="5"/>
  <c r="R738" i="5"/>
  <c r="R739" i="5"/>
  <c r="R740" i="5"/>
  <c r="R741" i="5"/>
  <c r="R742" i="5"/>
  <c r="R743" i="5"/>
  <c r="R744" i="5"/>
  <c r="R745" i="5"/>
  <c r="R746" i="5"/>
  <c r="R747" i="5"/>
  <c r="R748" i="5"/>
  <c r="R749" i="5"/>
  <c r="R750" i="5"/>
  <c r="R751" i="5"/>
  <c r="R752" i="5"/>
  <c r="R753" i="5"/>
  <c r="R754" i="5"/>
  <c r="R755" i="5"/>
  <c r="R756" i="5"/>
  <c r="R757" i="5"/>
  <c r="R758" i="5"/>
  <c r="R759" i="5"/>
  <c r="R760" i="5"/>
  <c r="R761" i="5"/>
  <c r="R762" i="5"/>
  <c r="R763" i="5"/>
  <c r="R764" i="5"/>
  <c r="R765" i="5"/>
  <c r="R766" i="5"/>
  <c r="R767" i="5"/>
  <c r="R768" i="5"/>
  <c r="R769" i="5"/>
  <c r="R770" i="5"/>
  <c r="R771" i="5"/>
  <c r="R772" i="5"/>
  <c r="R773" i="5"/>
  <c r="R774" i="5"/>
  <c r="R775" i="5"/>
  <c r="R776" i="5"/>
  <c r="R777" i="5"/>
  <c r="R778" i="5"/>
  <c r="R779" i="5"/>
  <c r="R780" i="5"/>
  <c r="R781" i="5"/>
  <c r="R782" i="5"/>
  <c r="R783" i="5"/>
  <c r="R784" i="5"/>
  <c r="R785" i="5"/>
  <c r="R786" i="5"/>
  <c r="R787" i="5"/>
  <c r="R788" i="5"/>
  <c r="R789" i="5"/>
  <c r="R790" i="5"/>
  <c r="R791" i="5"/>
  <c r="R792" i="5"/>
  <c r="R793" i="5"/>
  <c r="R794" i="5"/>
  <c r="R795" i="5"/>
  <c r="R796" i="5"/>
  <c r="R797" i="5"/>
  <c r="R798" i="5"/>
  <c r="R799" i="5"/>
  <c r="R800" i="5"/>
  <c r="R801" i="5"/>
  <c r="R802" i="5"/>
  <c r="R803" i="5"/>
  <c r="R804" i="5"/>
  <c r="R805" i="5"/>
  <c r="R806" i="5"/>
  <c r="R807" i="5"/>
  <c r="R808" i="5"/>
  <c r="R809" i="5"/>
  <c r="R810" i="5"/>
  <c r="R811" i="5"/>
  <c r="R812" i="5"/>
  <c r="R813" i="5"/>
  <c r="R814" i="5"/>
  <c r="R815" i="5"/>
  <c r="R816" i="5"/>
  <c r="R817" i="5"/>
  <c r="R818" i="5"/>
  <c r="R819" i="5"/>
  <c r="R820" i="5"/>
  <c r="R821" i="5"/>
  <c r="R822" i="5"/>
  <c r="R823" i="5"/>
  <c r="R824" i="5"/>
  <c r="R825" i="5"/>
  <c r="R826" i="5"/>
  <c r="R827" i="5"/>
  <c r="R828" i="5"/>
  <c r="R829" i="5"/>
  <c r="R830" i="5"/>
  <c r="R831" i="5"/>
  <c r="R832" i="5"/>
  <c r="R833" i="5"/>
  <c r="R834" i="5"/>
  <c r="R835" i="5"/>
  <c r="R836" i="5"/>
  <c r="R837" i="5"/>
  <c r="R838" i="5"/>
  <c r="R839" i="5"/>
  <c r="R840" i="5"/>
  <c r="R841" i="5"/>
  <c r="R842" i="5"/>
  <c r="R843" i="5"/>
  <c r="R844" i="5"/>
  <c r="R845" i="5"/>
  <c r="R846" i="5"/>
  <c r="R847" i="5"/>
  <c r="R848" i="5"/>
  <c r="R849" i="5"/>
  <c r="R850" i="5"/>
  <c r="R851" i="5"/>
  <c r="R852" i="5"/>
  <c r="R853" i="5"/>
  <c r="R854" i="5"/>
  <c r="R855" i="5"/>
  <c r="R856" i="5"/>
  <c r="R857" i="5"/>
  <c r="R858" i="5"/>
  <c r="R859" i="5"/>
  <c r="R860" i="5"/>
  <c r="R861" i="5"/>
  <c r="R862" i="5"/>
  <c r="R863" i="5"/>
  <c r="R864" i="5"/>
  <c r="R865" i="5"/>
  <c r="R866" i="5"/>
  <c r="R867" i="5"/>
  <c r="R868" i="5"/>
  <c r="R869" i="5"/>
  <c r="R870" i="5"/>
  <c r="R871" i="5"/>
  <c r="R872" i="5"/>
  <c r="R873" i="5"/>
  <c r="R874" i="5"/>
  <c r="R875" i="5"/>
  <c r="R876" i="5"/>
  <c r="R877" i="5"/>
  <c r="R878" i="5"/>
  <c r="R879" i="5"/>
  <c r="R880" i="5"/>
  <c r="R881" i="5"/>
  <c r="R882" i="5"/>
  <c r="R883" i="5"/>
  <c r="R884" i="5"/>
  <c r="R885" i="5"/>
  <c r="R886" i="5"/>
  <c r="R887" i="5"/>
  <c r="R888" i="5"/>
  <c r="R889" i="5"/>
  <c r="R890" i="5"/>
  <c r="R891" i="5"/>
  <c r="R892" i="5"/>
  <c r="R893" i="5"/>
  <c r="R894" i="5"/>
  <c r="R895" i="5"/>
  <c r="R896" i="5"/>
  <c r="R897" i="5"/>
  <c r="R898" i="5"/>
  <c r="R899" i="5"/>
  <c r="R900" i="5"/>
  <c r="R901" i="5"/>
  <c r="R902" i="5"/>
  <c r="R903" i="5"/>
  <c r="R904" i="5"/>
  <c r="R905" i="5"/>
  <c r="R906" i="5"/>
  <c r="R907" i="5"/>
  <c r="R908" i="5"/>
  <c r="R909" i="5"/>
  <c r="R910" i="5"/>
  <c r="R911" i="5"/>
  <c r="R912" i="5"/>
  <c r="R913" i="5"/>
  <c r="R914" i="5"/>
  <c r="R915" i="5"/>
  <c r="R916" i="5"/>
  <c r="R917" i="5"/>
  <c r="R918" i="5"/>
  <c r="R919" i="5"/>
  <c r="R920" i="5"/>
  <c r="R921" i="5"/>
  <c r="R922" i="5"/>
  <c r="R923" i="5"/>
  <c r="R924" i="5"/>
  <c r="R925" i="5"/>
  <c r="R926" i="5"/>
  <c r="R927" i="5"/>
  <c r="R928" i="5"/>
  <c r="R929" i="5"/>
  <c r="R930" i="5"/>
  <c r="R931" i="5"/>
  <c r="R932" i="5"/>
  <c r="R933" i="5"/>
  <c r="R934" i="5"/>
  <c r="R935" i="5"/>
  <c r="R936" i="5"/>
  <c r="R937" i="5"/>
  <c r="R938" i="5"/>
  <c r="R939" i="5"/>
  <c r="R940" i="5"/>
  <c r="R941" i="5"/>
  <c r="R942" i="5"/>
  <c r="R943" i="5"/>
  <c r="R944" i="5"/>
  <c r="R945" i="5"/>
  <c r="R946" i="5"/>
  <c r="R947" i="5"/>
  <c r="R948" i="5"/>
  <c r="R949" i="5"/>
  <c r="R950" i="5"/>
  <c r="R951" i="5"/>
  <c r="R952" i="5"/>
  <c r="R953" i="5"/>
  <c r="R954" i="5"/>
  <c r="R955" i="5"/>
  <c r="R956" i="5"/>
  <c r="R957" i="5"/>
  <c r="R958" i="5"/>
  <c r="R959" i="5"/>
  <c r="R960" i="5"/>
  <c r="R961" i="5"/>
  <c r="R962" i="5"/>
  <c r="R963" i="5"/>
  <c r="R964" i="5"/>
  <c r="R965" i="5"/>
  <c r="R966" i="5"/>
  <c r="R967" i="5"/>
  <c r="R968" i="5"/>
  <c r="R969" i="5"/>
  <c r="R970" i="5"/>
  <c r="R971" i="5"/>
  <c r="R972" i="5"/>
  <c r="R973" i="5"/>
  <c r="R974" i="5"/>
  <c r="R975" i="5"/>
  <c r="R976" i="5"/>
  <c r="R977" i="5"/>
  <c r="R978" i="5"/>
  <c r="R979" i="5"/>
  <c r="R980" i="5"/>
  <c r="R981" i="5"/>
  <c r="R982" i="5"/>
  <c r="R983" i="5"/>
  <c r="R984" i="5"/>
  <c r="R985" i="5"/>
  <c r="R986" i="5"/>
  <c r="R987" i="5"/>
  <c r="R988" i="5"/>
  <c r="R989" i="5"/>
  <c r="R990" i="5"/>
  <c r="R991" i="5"/>
  <c r="R992" i="5"/>
  <c r="R993" i="5"/>
  <c r="R994" i="5"/>
  <c r="R995" i="5"/>
  <c r="R996" i="5"/>
  <c r="R997" i="5"/>
  <c r="R998" i="5"/>
  <c r="R999" i="5"/>
  <c r="R1000" i="5"/>
  <c r="R1001" i="5"/>
  <c r="Q2" i="5" a="1"/>
  <c r="Q2" i="5" s="1"/>
  <c r="Q3" i="5" a="1"/>
  <c r="Q3" i="5" s="1"/>
  <c r="Q4" i="5" a="1"/>
  <c r="Q4" i="5" s="1"/>
  <c r="Q5" i="5" a="1"/>
  <c r="Q5" i="5" s="1"/>
  <c r="Q6" i="5" a="1"/>
  <c r="Q6" i="5" s="1"/>
  <c r="Q7" i="5" a="1"/>
  <c r="Q7" i="5" s="1"/>
  <c r="Q8" i="5" a="1"/>
  <c r="Q8" i="5" s="1"/>
  <c r="Q9" i="5" a="1"/>
  <c r="Q9" i="5" s="1"/>
  <c r="Q10" i="5" a="1"/>
  <c r="Q10" i="5" s="1"/>
  <c r="Q11" i="5" a="1"/>
  <c r="Q11" i="5" s="1"/>
  <c r="Q12" i="5" a="1"/>
  <c r="Q12" i="5" s="1"/>
  <c r="Q13" i="5" a="1"/>
  <c r="Q13" i="5" s="1"/>
  <c r="Q14" i="5" a="1"/>
  <c r="Q14" i="5" s="1"/>
  <c r="Q15" i="5" a="1"/>
  <c r="Q15" i="5" s="1"/>
  <c r="Q16" i="5" a="1"/>
  <c r="Q16" i="5" s="1"/>
  <c r="Q17" i="5" a="1"/>
  <c r="Q17" i="5" s="1"/>
  <c r="Q18" i="5" a="1"/>
  <c r="Q18" i="5" s="1"/>
  <c r="Q19" i="5" a="1"/>
  <c r="Q19" i="5" s="1"/>
  <c r="Q20" i="5" a="1"/>
  <c r="Q20" i="5" s="1"/>
  <c r="Q21" i="5" a="1"/>
  <c r="Q21" i="5" s="1"/>
  <c r="Q22" i="5" a="1"/>
  <c r="Q22" i="5" s="1"/>
  <c r="Q23" i="5" a="1"/>
  <c r="Q23" i="5" s="1"/>
  <c r="Q24" i="5" a="1"/>
  <c r="Q24" i="5" s="1"/>
  <c r="Q25" i="5" a="1"/>
  <c r="Q25" i="5" s="1"/>
  <c r="Q26" i="5" a="1"/>
  <c r="Q26" i="5" s="1"/>
  <c r="Q27" i="5" a="1"/>
  <c r="Q27" i="5" s="1"/>
  <c r="Q28" i="5" a="1"/>
  <c r="Q28" i="5" s="1"/>
  <c r="Q29" i="5" a="1"/>
  <c r="Q29" i="5" s="1"/>
  <c r="Q30" i="5" a="1"/>
  <c r="Q30" i="5" s="1"/>
  <c r="Q31" i="5" a="1"/>
  <c r="Q31" i="5" s="1"/>
  <c r="Q32" i="5" a="1"/>
  <c r="Q32" i="5" s="1"/>
  <c r="Q33" i="5" a="1"/>
  <c r="Q33" i="5" s="1"/>
  <c r="Q34" i="5" a="1"/>
  <c r="Q34" i="5" s="1"/>
  <c r="Q35" i="5" a="1"/>
  <c r="Q35" i="5" s="1"/>
  <c r="Q36" i="5" a="1"/>
  <c r="Q36" i="5" s="1"/>
  <c r="Q37" i="5" a="1"/>
  <c r="Q37" i="5" s="1"/>
  <c r="Q38" i="5" a="1"/>
  <c r="Q38" i="5" s="1"/>
  <c r="Q39" i="5" a="1"/>
  <c r="Q39" i="5" s="1"/>
  <c r="Q40" i="5" a="1"/>
  <c r="Q40" i="5" s="1"/>
  <c r="Q41" i="5" a="1"/>
  <c r="Q41" i="5" s="1"/>
  <c r="Q42" i="5" a="1"/>
  <c r="Q42" i="5" s="1"/>
  <c r="Q43" i="5" a="1"/>
  <c r="Q43" i="5" s="1"/>
  <c r="Q44" i="5" a="1"/>
  <c r="Q44" i="5" s="1"/>
  <c r="Q45" i="5" a="1"/>
  <c r="Q45" i="5" s="1"/>
  <c r="Q46" i="5" a="1"/>
  <c r="Q46" i="5" s="1"/>
  <c r="Q47" i="5" a="1"/>
  <c r="Q47" i="5" s="1"/>
  <c r="Q48" i="5" a="1"/>
  <c r="Q48" i="5" s="1"/>
  <c r="Q49" i="5" a="1"/>
  <c r="Q49" i="5" s="1"/>
  <c r="Q50" i="5" a="1"/>
  <c r="Q50" i="5" s="1"/>
  <c r="Q51" i="5" a="1"/>
  <c r="Q51" i="5" s="1"/>
  <c r="Q52" i="5" a="1"/>
  <c r="Q52" i="5" s="1"/>
  <c r="Q53" i="5" a="1"/>
  <c r="Q53" i="5" s="1"/>
  <c r="Q54" i="5" a="1"/>
  <c r="Q54" i="5" s="1"/>
  <c r="Q55" i="5" a="1"/>
  <c r="Q55" i="5" s="1"/>
  <c r="Q56" i="5" a="1"/>
  <c r="Q56" i="5" s="1"/>
  <c r="Q57" i="5" a="1"/>
  <c r="Q57" i="5" s="1"/>
  <c r="Q58" i="5" a="1"/>
  <c r="Q58" i="5" s="1"/>
  <c r="Q59" i="5" a="1"/>
  <c r="Q59" i="5" s="1"/>
  <c r="Q60" i="5" a="1"/>
  <c r="Q60" i="5" s="1"/>
  <c r="Q61" i="5" a="1"/>
  <c r="Q61" i="5" s="1"/>
  <c r="Q62" i="5" a="1"/>
  <c r="Q62" i="5" s="1"/>
  <c r="Q63" i="5" a="1"/>
  <c r="Q63" i="5" s="1"/>
  <c r="Q64" i="5" a="1"/>
  <c r="Q64" i="5" s="1"/>
  <c r="Q65" i="5" a="1"/>
  <c r="Q65" i="5" s="1"/>
  <c r="Q66" i="5" a="1"/>
  <c r="Q66" i="5" s="1"/>
  <c r="Q67" i="5" a="1"/>
  <c r="Q67" i="5" s="1"/>
  <c r="Q68" i="5" a="1"/>
  <c r="Q68" i="5" s="1"/>
  <c r="Q69" i="5" a="1"/>
  <c r="Q69" i="5" s="1"/>
  <c r="Q70" i="5" a="1"/>
  <c r="Q70" i="5" s="1"/>
  <c r="Q71" i="5" a="1"/>
  <c r="Q71" i="5" s="1"/>
  <c r="Q72" i="5" a="1"/>
  <c r="Q72" i="5" s="1"/>
  <c r="Q73" i="5" a="1"/>
  <c r="Q73" i="5" s="1"/>
  <c r="Q74" i="5" a="1"/>
  <c r="Q74" i="5" s="1"/>
  <c r="Q75" i="5" a="1"/>
  <c r="Q75" i="5" s="1"/>
  <c r="Q76" i="5" a="1"/>
  <c r="Q76" i="5" s="1"/>
  <c r="Q77" i="5" a="1"/>
  <c r="Q77" i="5" s="1"/>
  <c r="Q78" i="5" a="1"/>
  <c r="Q78" i="5" s="1"/>
  <c r="Q79" i="5" a="1"/>
  <c r="Q79" i="5" s="1"/>
  <c r="Q80" i="5" a="1"/>
  <c r="Q80" i="5" s="1"/>
  <c r="Q81" i="5" a="1"/>
  <c r="Q81" i="5" s="1"/>
  <c r="Q82" i="5" a="1"/>
  <c r="Q82" i="5" s="1"/>
  <c r="Q83" i="5" a="1"/>
  <c r="Q83" i="5" s="1"/>
  <c r="Q84" i="5" a="1"/>
  <c r="Q84" i="5" s="1"/>
  <c r="Q85" i="5" a="1"/>
  <c r="Q85" i="5" s="1"/>
  <c r="Q86" i="5" a="1"/>
  <c r="Q86" i="5" s="1"/>
  <c r="Q87" i="5" a="1"/>
  <c r="Q87" i="5" s="1"/>
  <c r="Q88" i="5" a="1"/>
  <c r="Q88" i="5" s="1"/>
  <c r="Q89" i="5" a="1"/>
  <c r="Q89" i="5" s="1"/>
  <c r="Q90" i="5" a="1"/>
  <c r="Q90" i="5" s="1"/>
  <c r="Q91" i="5" a="1"/>
  <c r="Q91" i="5" s="1"/>
  <c r="Q92" i="5" a="1"/>
  <c r="Q92" i="5" s="1"/>
  <c r="Q93" i="5" a="1"/>
  <c r="Q93" i="5" s="1"/>
  <c r="Q94" i="5" a="1"/>
  <c r="Q94" i="5" s="1"/>
  <c r="Q95" i="5" a="1"/>
  <c r="Q95" i="5" s="1"/>
  <c r="Q96" i="5" a="1"/>
  <c r="Q96" i="5" s="1"/>
  <c r="Q97" i="5" a="1"/>
  <c r="Q97" i="5" s="1"/>
  <c r="Q98" i="5" a="1"/>
  <c r="Q98" i="5" s="1"/>
  <c r="Q99" i="5" a="1"/>
  <c r="Q99" i="5" s="1"/>
  <c r="Q100" i="5" a="1"/>
  <c r="Q100" i="5" s="1"/>
  <c r="Q101" i="5" a="1"/>
  <c r="Q101" i="5" s="1"/>
  <c r="Q102" i="5" a="1"/>
  <c r="Q102" i="5" s="1"/>
  <c r="Q103" i="5" a="1"/>
  <c r="Q103" i="5" s="1"/>
  <c r="Q104" i="5" a="1"/>
  <c r="Q104" i="5" s="1"/>
  <c r="Q105" i="5" a="1"/>
  <c r="Q105" i="5" s="1"/>
  <c r="Q106" i="5" a="1"/>
  <c r="Q106" i="5" s="1"/>
  <c r="Q107" i="5" a="1"/>
  <c r="Q107" i="5" s="1"/>
  <c r="Q108" i="5" a="1"/>
  <c r="Q108" i="5" s="1"/>
  <c r="Q109" i="5" a="1"/>
  <c r="Q109" i="5" s="1"/>
  <c r="Q110" i="5" a="1"/>
  <c r="Q110" i="5" s="1"/>
  <c r="Q111" i="5" a="1"/>
  <c r="Q111" i="5" s="1"/>
  <c r="Q112" i="5" a="1"/>
  <c r="Q112" i="5" s="1"/>
  <c r="Q113" i="5" a="1"/>
  <c r="Q113" i="5" s="1"/>
  <c r="Q114" i="5" a="1"/>
  <c r="Q114" i="5" s="1"/>
  <c r="Q115" i="5" a="1"/>
  <c r="Q115" i="5" s="1"/>
  <c r="Q116" i="5" a="1"/>
  <c r="Q116" i="5" s="1"/>
  <c r="Q117" i="5" a="1"/>
  <c r="Q117" i="5" s="1"/>
  <c r="Q118" i="5" a="1"/>
  <c r="Q118" i="5" s="1"/>
  <c r="Q119" i="5" a="1"/>
  <c r="Q119" i="5" s="1"/>
  <c r="Q120" i="5" a="1"/>
  <c r="Q120" i="5" s="1"/>
  <c r="Q121" i="5" a="1"/>
  <c r="Q121" i="5" s="1"/>
  <c r="Q122" i="5" a="1"/>
  <c r="Q122" i="5" s="1"/>
  <c r="Q123" i="5" a="1"/>
  <c r="Q123" i="5" s="1"/>
  <c r="Q124" i="5" a="1"/>
  <c r="Q124" i="5" s="1"/>
  <c r="Q125" i="5" a="1"/>
  <c r="Q125" i="5" s="1"/>
  <c r="Q126" i="5" a="1"/>
  <c r="Q126" i="5" s="1"/>
  <c r="Q127" i="5" a="1"/>
  <c r="Q127" i="5" s="1"/>
  <c r="Q128" i="5" a="1"/>
  <c r="Q128" i="5" s="1"/>
  <c r="Q129" i="5" a="1"/>
  <c r="Q129" i="5" s="1"/>
  <c r="Q130" i="5" a="1"/>
  <c r="Q130" i="5" s="1"/>
  <c r="Q131" i="5" a="1"/>
  <c r="Q131" i="5" s="1"/>
  <c r="Q132" i="5" a="1"/>
  <c r="Q132" i="5" s="1"/>
  <c r="Q133" i="5" a="1"/>
  <c r="Q133" i="5" s="1"/>
  <c r="Q134" i="5" a="1"/>
  <c r="Q134" i="5" s="1"/>
  <c r="Q135" i="5" a="1"/>
  <c r="Q135" i="5" s="1"/>
  <c r="Q136" i="5" a="1"/>
  <c r="Q136" i="5" s="1"/>
  <c r="Q137" i="5" a="1"/>
  <c r="Q137" i="5" s="1"/>
  <c r="Q138" i="5" a="1"/>
  <c r="Q138" i="5" s="1"/>
  <c r="Q139" i="5" a="1"/>
  <c r="Q139" i="5" s="1"/>
  <c r="Q140" i="5" a="1"/>
  <c r="Q140" i="5" s="1"/>
  <c r="Q141" i="5" a="1"/>
  <c r="Q141" i="5" s="1"/>
  <c r="Q142" i="5" a="1"/>
  <c r="Q142" i="5" s="1"/>
  <c r="Q143" i="5" a="1"/>
  <c r="Q143" i="5" s="1"/>
  <c r="Q144" i="5" a="1"/>
  <c r="Q144" i="5" s="1"/>
  <c r="Q145" i="5" a="1"/>
  <c r="Q145" i="5" s="1"/>
  <c r="Q146" i="5" a="1"/>
  <c r="Q146" i="5" s="1"/>
  <c r="Q147" i="5" a="1"/>
  <c r="Q147" i="5" s="1"/>
  <c r="Q148" i="5" a="1"/>
  <c r="Q148" i="5" s="1"/>
  <c r="Q149" i="5" a="1"/>
  <c r="Q149" i="5" s="1"/>
  <c r="Q150" i="5" a="1"/>
  <c r="Q150" i="5" s="1"/>
  <c r="Q151" i="5" a="1"/>
  <c r="Q151" i="5" s="1"/>
  <c r="Q152" i="5" a="1"/>
  <c r="Q152" i="5" s="1"/>
  <c r="Q153" i="5" a="1"/>
  <c r="Q153" i="5" s="1"/>
  <c r="Q154" i="5" a="1"/>
  <c r="Q154" i="5" s="1"/>
  <c r="Q155" i="5" a="1"/>
  <c r="Q155" i="5" s="1"/>
  <c r="Q156" i="5" a="1"/>
  <c r="Q156" i="5" s="1"/>
  <c r="Q157" i="5" a="1"/>
  <c r="Q157" i="5" s="1"/>
  <c r="Q158" i="5" a="1"/>
  <c r="Q158" i="5" s="1"/>
  <c r="Q159" i="5" a="1"/>
  <c r="Q159" i="5" s="1"/>
  <c r="Q160" i="5" a="1"/>
  <c r="Q160" i="5" s="1"/>
  <c r="Q161" i="5" a="1"/>
  <c r="Q161" i="5" s="1"/>
  <c r="Q162" i="5" a="1"/>
  <c r="Q162" i="5" s="1"/>
  <c r="Q163" i="5" a="1"/>
  <c r="Q163" i="5" s="1"/>
  <c r="Q164" i="5" a="1"/>
  <c r="Q164" i="5" s="1"/>
  <c r="Q165" i="5" a="1"/>
  <c r="Q165" i="5" s="1"/>
  <c r="Q166" i="5" a="1"/>
  <c r="Q166" i="5" s="1"/>
  <c r="Q167" i="5" a="1"/>
  <c r="Q167" i="5" s="1"/>
  <c r="Q168" i="5" a="1"/>
  <c r="Q168" i="5" s="1"/>
  <c r="Q169" i="5" a="1"/>
  <c r="Q169" i="5" s="1"/>
  <c r="Q170" i="5" a="1"/>
  <c r="Q170" i="5" s="1"/>
  <c r="Q171" i="5" a="1"/>
  <c r="Q171" i="5" s="1"/>
  <c r="Q172" i="5" a="1"/>
  <c r="Q172" i="5" s="1"/>
  <c r="Q173" i="5" a="1"/>
  <c r="Q173" i="5" s="1"/>
  <c r="Q174" i="5" a="1"/>
  <c r="Q174" i="5" s="1"/>
  <c r="Q175" i="5" a="1"/>
  <c r="Q175" i="5" s="1"/>
  <c r="Q176" i="5" a="1"/>
  <c r="Q176" i="5" s="1"/>
  <c r="Q177" i="5" a="1"/>
  <c r="Q177" i="5" s="1"/>
  <c r="Q178" i="5" a="1"/>
  <c r="Q178" i="5" s="1"/>
  <c r="Q179" i="5" a="1"/>
  <c r="Q179" i="5" s="1"/>
  <c r="Q180" i="5" a="1"/>
  <c r="Q180" i="5" s="1"/>
  <c r="Q181" i="5" a="1"/>
  <c r="Q181" i="5" s="1"/>
  <c r="Q182" i="5" a="1"/>
  <c r="Q182" i="5" s="1"/>
  <c r="Q183" i="5" a="1"/>
  <c r="Q183" i="5" s="1"/>
  <c r="Q184" i="5" a="1"/>
  <c r="Q184" i="5" s="1"/>
  <c r="Q185" i="5" a="1"/>
  <c r="Q185" i="5" s="1"/>
  <c r="Q186" i="5" a="1"/>
  <c r="Q186" i="5" s="1"/>
  <c r="Q187" i="5" a="1"/>
  <c r="Q187" i="5" s="1"/>
  <c r="Q188" i="5" a="1"/>
  <c r="Q188" i="5" s="1"/>
  <c r="Q189" i="5" a="1"/>
  <c r="Q189" i="5" s="1"/>
  <c r="Q190" i="5" a="1"/>
  <c r="Q190" i="5" s="1"/>
  <c r="Q191" i="5" a="1"/>
  <c r="Q191" i="5" s="1"/>
  <c r="Q192" i="5" a="1"/>
  <c r="Q192" i="5" s="1"/>
  <c r="Q193" i="5" a="1"/>
  <c r="Q193" i="5" s="1"/>
  <c r="Q194" i="5" a="1"/>
  <c r="Q194" i="5" s="1"/>
  <c r="Q195" i="5" a="1"/>
  <c r="Q195" i="5" s="1"/>
  <c r="Q196" i="5" a="1"/>
  <c r="Q196" i="5" s="1"/>
  <c r="Q197" i="5" a="1"/>
  <c r="Q197" i="5" s="1"/>
  <c r="Q198" i="5" a="1"/>
  <c r="Q198" i="5" s="1"/>
  <c r="Q199" i="5" a="1"/>
  <c r="Q199" i="5" s="1"/>
  <c r="Q200" i="5" a="1"/>
  <c r="Q200" i="5" s="1"/>
  <c r="Q201" i="5" a="1"/>
  <c r="Q201" i="5" s="1"/>
  <c r="Q202" i="5" a="1"/>
  <c r="Q202" i="5" s="1"/>
  <c r="Q203" i="5" a="1"/>
  <c r="Q203" i="5" s="1"/>
  <c r="Q204" i="5" a="1"/>
  <c r="Q204" i="5" s="1"/>
  <c r="Q205" i="5" a="1"/>
  <c r="Q205" i="5" s="1"/>
  <c r="Q206" i="5" a="1"/>
  <c r="Q206" i="5" s="1"/>
  <c r="Q207" i="5" a="1"/>
  <c r="Q207" i="5" s="1"/>
  <c r="Q208" i="5" a="1"/>
  <c r="Q208" i="5" s="1"/>
  <c r="Q209" i="5" a="1"/>
  <c r="Q209" i="5" s="1"/>
  <c r="Q210" i="5" a="1"/>
  <c r="Q210" i="5" s="1"/>
  <c r="Q211" i="5" a="1"/>
  <c r="Q211" i="5" s="1"/>
  <c r="Q212" i="5" a="1"/>
  <c r="Q212" i="5" s="1"/>
  <c r="Q213" i="5" a="1"/>
  <c r="Q213" i="5" s="1"/>
  <c r="Q214" i="5" a="1"/>
  <c r="Q214" i="5" s="1"/>
  <c r="Q215" i="5" a="1"/>
  <c r="Q215" i="5" s="1"/>
  <c r="Q216" i="5" a="1"/>
  <c r="Q216" i="5" s="1"/>
  <c r="Q217" i="5" a="1"/>
  <c r="Q217" i="5" s="1"/>
  <c r="Q218" i="5" a="1"/>
  <c r="Q218" i="5" s="1"/>
  <c r="Q219" i="5" a="1"/>
  <c r="Q219" i="5" s="1"/>
  <c r="Q220" i="5" a="1"/>
  <c r="Q220" i="5" s="1"/>
  <c r="Q221" i="5" a="1"/>
  <c r="Q221" i="5" s="1"/>
  <c r="Q222" i="5" a="1"/>
  <c r="Q222" i="5" s="1"/>
  <c r="Q223" i="5" a="1"/>
  <c r="Q223" i="5" s="1"/>
  <c r="Q224" i="5" a="1"/>
  <c r="Q224" i="5" s="1"/>
  <c r="Q225" i="5" a="1"/>
  <c r="Q225" i="5" s="1"/>
  <c r="Q226" i="5" a="1"/>
  <c r="Q226" i="5" s="1"/>
  <c r="Q227" i="5" a="1"/>
  <c r="Q227" i="5" s="1"/>
  <c r="Q228" i="5" a="1"/>
  <c r="Q228" i="5" s="1"/>
  <c r="Q229" i="5" a="1"/>
  <c r="Q229" i="5" s="1"/>
  <c r="Q230" i="5" a="1"/>
  <c r="Q230" i="5" s="1"/>
  <c r="Q231" i="5" a="1"/>
  <c r="Q231" i="5" s="1"/>
  <c r="Q232" i="5" a="1"/>
  <c r="Q232" i="5" s="1"/>
  <c r="Q233" i="5" a="1"/>
  <c r="Q233" i="5" s="1"/>
  <c r="Q234" i="5" a="1"/>
  <c r="Q234" i="5" s="1"/>
  <c r="Q235" i="5" a="1"/>
  <c r="Q235" i="5" s="1"/>
  <c r="Q236" i="5" a="1"/>
  <c r="Q236" i="5" s="1"/>
  <c r="Q237" i="5" a="1"/>
  <c r="Q237" i="5" s="1"/>
  <c r="Q238" i="5" a="1"/>
  <c r="Q238" i="5" s="1"/>
  <c r="Q239" i="5" a="1"/>
  <c r="Q239" i="5" s="1"/>
  <c r="Q240" i="5" a="1"/>
  <c r="Q240" i="5" s="1"/>
  <c r="Q241" i="5" a="1"/>
  <c r="Q241" i="5" s="1"/>
  <c r="Q242" i="5" a="1"/>
  <c r="Q242" i="5" s="1"/>
  <c r="Q243" i="5" a="1"/>
  <c r="Q243" i="5" s="1"/>
  <c r="Q244" i="5" a="1"/>
  <c r="Q244" i="5" s="1"/>
  <c r="Q245" i="5" a="1"/>
  <c r="Q245" i="5" s="1"/>
  <c r="Q246" i="5" a="1"/>
  <c r="Q246" i="5" s="1"/>
  <c r="Q247" i="5" a="1"/>
  <c r="Q247" i="5" s="1"/>
  <c r="Q248" i="5" a="1"/>
  <c r="Q248" i="5" s="1"/>
  <c r="Q249" i="5" a="1"/>
  <c r="Q249" i="5" s="1"/>
  <c r="Q250" i="5" a="1"/>
  <c r="Q250" i="5" s="1"/>
  <c r="Q251" i="5" a="1"/>
  <c r="Q251" i="5" s="1"/>
  <c r="Q252" i="5" a="1"/>
  <c r="Q252" i="5" s="1"/>
  <c r="Q253" i="5" a="1"/>
  <c r="Q253" i="5" s="1"/>
  <c r="Q254" i="5" a="1"/>
  <c r="Q254" i="5" s="1"/>
  <c r="Q255" i="5" a="1"/>
  <c r="Q255" i="5" s="1"/>
  <c r="Q256" i="5" a="1"/>
  <c r="Q256" i="5" s="1"/>
  <c r="Q257" i="5" a="1"/>
  <c r="Q257" i="5" s="1"/>
  <c r="Q258" i="5" a="1"/>
  <c r="Q258" i="5" s="1"/>
  <c r="Q259" i="5" a="1"/>
  <c r="Q259" i="5" s="1"/>
  <c r="Q260" i="5" a="1"/>
  <c r="Q260" i="5" s="1"/>
  <c r="Q261" i="5" a="1"/>
  <c r="Q261" i="5" s="1"/>
  <c r="Q262" i="5" a="1"/>
  <c r="Q262" i="5" s="1"/>
  <c r="Q263" i="5" a="1"/>
  <c r="Q263" i="5" s="1"/>
  <c r="Q264" i="5" a="1"/>
  <c r="Q264" i="5" s="1"/>
  <c r="Q265" i="5" a="1"/>
  <c r="Q265" i="5" s="1"/>
  <c r="Q266" i="5" a="1"/>
  <c r="Q266" i="5" s="1"/>
  <c r="Q267" i="5" a="1"/>
  <c r="Q267" i="5" s="1"/>
  <c r="Q268" i="5" a="1"/>
  <c r="Q268" i="5" s="1"/>
  <c r="Q269" i="5" a="1"/>
  <c r="Q269" i="5" s="1"/>
  <c r="Q270" i="5" a="1"/>
  <c r="Q270" i="5" s="1"/>
  <c r="Q271" i="5" a="1"/>
  <c r="Q271" i="5" s="1"/>
  <c r="Q272" i="5" a="1"/>
  <c r="Q272" i="5" s="1"/>
  <c r="Q273" i="5" a="1"/>
  <c r="Q273" i="5" s="1"/>
  <c r="Q274" i="5" a="1"/>
  <c r="Q274" i="5" s="1"/>
  <c r="Q275" i="5" a="1"/>
  <c r="Q275" i="5" s="1"/>
  <c r="Q276" i="5" a="1"/>
  <c r="Q276" i="5" s="1"/>
  <c r="Q277" i="5" a="1"/>
  <c r="Q277" i="5" s="1"/>
  <c r="Q278" i="5" a="1"/>
  <c r="Q278" i="5" s="1"/>
  <c r="Q279" i="5" a="1"/>
  <c r="Q279" i="5" s="1"/>
  <c r="Q280" i="5" a="1"/>
  <c r="Q280" i="5" s="1"/>
  <c r="Q281" i="5" a="1"/>
  <c r="Q281" i="5" s="1"/>
  <c r="Q282" i="5" a="1"/>
  <c r="Q282" i="5" s="1"/>
  <c r="Q283" i="5" a="1"/>
  <c r="Q283" i="5" s="1"/>
  <c r="Q284" i="5" a="1"/>
  <c r="Q284" i="5" s="1"/>
  <c r="Q285" i="5" a="1"/>
  <c r="Q285" i="5" s="1"/>
  <c r="Q286" i="5" a="1"/>
  <c r="Q286" i="5" s="1"/>
  <c r="Q287" i="5" a="1"/>
  <c r="Q287" i="5" s="1"/>
  <c r="Q288" i="5" a="1"/>
  <c r="Q288" i="5" s="1"/>
  <c r="Q289" i="5" a="1"/>
  <c r="Q289" i="5" s="1"/>
  <c r="Q290" i="5" a="1"/>
  <c r="Q290" i="5" s="1"/>
  <c r="Q291" i="5" a="1"/>
  <c r="Q291" i="5" s="1"/>
  <c r="Q292" i="5" a="1"/>
  <c r="Q292" i="5" s="1"/>
  <c r="Q293" i="5" a="1"/>
  <c r="Q293" i="5" s="1"/>
  <c r="Q294" i="5" a="1"/>
  <c r="Q294" i="5" s="1"/>
  <c r="Q295" i="5" a="1"/>
  <c r="Q295" i="5" s="1"/>
  <c r="Q296" i="5" a="1"/>
  <c r="Q296" i="5" s="1"/>
  <c r="Q297" i="5" a="1"/>
  <c r="Q297" i="5" s="1"/>
  <c r="Q298" i="5" a="1"/>
  <c r="Q298" i="5" s="1"/>
  <c r="Q299" i="5" a="1"/>
  <c r="Q299" i="5" s="1"/>
  <c r="Q300" i="5" a="1"/>
  <c r="Q300" i="5" s="1"/>
  <c r="Q301" i="5" a="1"/>
  <c r="Q301" i="5" s="1"/>
  <c r="Q302" i="5" a="1"/>
  <c r="Q302" i="5" s="1"/>
  <c r="Q303" i="5" a="1"/>
  <c r="Q303" i="5" s="1"/>
  <c r="Q304" i="5" a="1"/>
  <c r="Q304" i="5" s="1"/>
  <c r="Q305" i="5" a="1"/>
  <c r="Q305" i="5" s="1"/>
  <c r="Q306" i="5" a="1"/>
  <c r="Q306" i="5" s="1"/>
  <c r="Q307" i="5" a="1"/>
  <c r="Q307" i="5" s="1"/>
  <c r="Q308" i="5" a="1"/>
  <c r="Q308" i="5" s="1"/>
  <c r="Q309" i="5" a="1"/>
  <c r="Q309" i="5" s="1"/>
  <c r="Q310" i="5" a="1"/>
  <c r="Q310" i="5" s="1"/>
  <c r="Q311" i="5" a="1"/>
  <c r="Q311" i="5" s="1"/>
  <c r="Q312" i="5" a="1"/>
  <c r="Q312" i="5" s="1"/>
  <c r="Q313" i="5" a="1"/>
  <c r="Q313" i="5" s="1"/>
  <c r="Q314" i="5" a="1"/>
  <c r="Q314" i="5" s="1"/>
  <c r="Q315" i="5" a="1"/>
  <c r="Q315" i="5" s="1"/>
  <c r="Q316" i="5" a="1"/>
  <c r="Q316" i="5" s="1"/>
  <c r="Q317" i="5" a="1"/>
  <c r="Q317" i="5" s="1"/>
  <c r="Q318" i="5" a="1"/>
  <c r="Q318" i="5" s="1"/>
  <c r="Q319" i="5" a="1"/>
  <c r="Q319" i="5" s="1"/>
  <c r="Q320" i="5" a="1"/>
  <c r="Q320" i="5" s="1"/>
  <c r="Q321" i="5" a="1"/>
  <c r="Q321" i="5" s="1"/>
  <c r="Q322" i="5" a="1"/>
  <c r="Q322" i="5" s="1"/>
  <c r="Q323" i="5" a="1"/>
  <c r="Q323" i="5" s="1"/>
  <c r="Q324" i="5" a="1"/>
  <c r="Q324" i="5" s="1"/>
  <c r="Q325" i="5" a="1"/>
  <c r="Q325" i="5" s="1"/>
  <c r="Q326" i="5" a="1"/>
  <c r="Q326" i="5" s="1"/>
  <c r="Q327" i="5" a="1"/>
  <c r="Q327" i="5" s="1"/>
  <c r="Q328" i="5" a="1"/>
  <c r="Q328" i="5" s="1"/>
  <c r="Q329" i="5" a="1"/>
  <c r="Q329" i="5" s="1"/>
  <c r="Q330" i="5" a="1"/>
  <c r="Q330" i="5" s="1"/>
  <c r="Q331" i="5" a="1"/>
  <c r="Q331" i="5" s="1"/>
  <c r="Q332" i="5" a="1"/>
  <c r="Q332" i="5" s="1"/>
  <c r="Q333" i="5" a="1"/>
  <c r="Q333" i="5" s="1"/>
  <c r="Q334" i="5" a="1"/>
  <c r="Q334" i="5" s="1"/>
  <c r="Q335" i="5" a="1"/>
  <c r="Q335" i="5" s="1"/>
  <c r="Q336" i="5" a="1"/>
  <c r="Q336" i="5" s="1"/>
  <c r="Q337" i="5" a="1"/>
  <c r="Q337" i="5" s="1"/>
  <c r="Q338" i="5" a="1"/>
  <c r="Q338" i="5" s="1"/>
  <c r="Q339" i="5" a="1"/>
  <c r="Q339" i="5" s="1"/>
  <c r="Q340" i="5" a="1"/>
  <c r="Q340" i="5" s="1"/>
  <c r="Q341" i="5" a="1"/>
  <c r="Q341" i="5" s="1"/>
  <c r="Q342" i="5" a="1"/>
  <c r="Q342" i="5" s="1"/>
  <c r="Q343" i="5" a="1"/>
  <c r="Q343" i="5" s="1"/>
  <c r="Q344" i="5" a="1"/>
  <c r="Q344" i="5" s="1"/>
  <c r="Q345" i="5" a="1"/>
  <c r="Q345" i="5" s="1"/>
  <c r="Q346" i="5" a="1"/>
  <c r="Q346" i="5" s="1"/>
  <c r="Q347" i="5" a="1"/>
  <c r="Q347" i="5" s="1"/>
  <c r="Q348" i="5" a="1"/>
  <c r="Q348" i="5" s="1"/>
  <c r="Q349" i="5" a="1"/>
  <c r="Q349" i="5" s="1"/>
  <c r="Q350" i="5" a="1"/>
  <c r="Q350" i="5" s="1"/>
  <c r="Q351" i="5" a="1"/>
  <c r="Q351" i="5" s="1"/>
  <c r="Q352" i="5" a="1"/>
  <c r="Q352" i="5" s="1"/>
  <c r="Q353" i="5" a="1"/>
  <c r="Q353" i="5" s="1"/>
  <c r="Q354" i="5" a="1"/>
  <c r="Q354" i="5" s="1"/>
  <c r="Q355" i="5" a="1"/>
  <c r="Q355" i="5" s="1"/>
  <c r="Q356" i="5" a="1"/>
  <c r="Q356" i="5" s="1"/>
  <c r="Q357" i="5" a="1"/>
  <c r="Q357" i="5" s="1"/>
  <c r="Q358" i="5" a="1"/>
  <c r="Q358" i="5" s="1"/>
  <c r="Q359" i="5" a="1"/>
  <c r="Q359" i="5" s="1"/>
  <c r="Q360" i="5" a="1"/>
  <c r="Q360" i="5" s="1"/>
  <c r="Q361" i="5" a="1"/>
  <c r="Q361" i="5" s="1"/>
  <c r="Q362" i="5" a="1"/>
  <c r="Q362" i="5" s="1"/>
  <c r="Q363" i="5" a="1"/>
  <c r="Q363" i="5" s="1"/>
  <c r="Q364" i="5" a="1"/>
  <c r="Q364" i="5" s="1"/>
  <c r="Q365" i="5" a="1"/>
  <c r="Q365" i="5" s="1"/>
  <c r="Q366" i="5" a="1"/>
  <c r="Q366" i="5" s="1"/>
  <c r="Q367" i="5" a="1"/>
  <c r="Q367" i="5" s="1"/>
  <c r="Q368" i="5" a="1"/>
  <c r="Q368" i="5" s="1"/>
  <c r="Q369" i="5" a="1"/>
  <c r="Q369" i="5" s="1"/>
  <c r="Q370" i="5" a="1"/>
  <c r="Q370" i="5" s="1"/>
  <c r="Q371" i="5" a="1"/>
  <c r="Q371" i="5" s="1"/>
  <c r="Q372" i="5" a="1"/>
  <c r="Q372" i="5" s="1"/>
  <c r="Q373" i="5" a="1"/>
  <c r="Q373" i="5" s="1"/>
  <c r="Q374" i="5" a="1"/>
  <c r="Q374" i="5" s="1"/>
  <c r="Q375" i="5" a="1"/>
  <c r="Q375" i="5" s="1"/>
  <c r="Q376" i="5" a="1"/>
  <c r="Q376" i="5" s="1"/>
  <c r="Q377" i="5" a="1"/>
  <c r="Q377" i="5" s="1"/>
  <c r="Q378" i="5" a="1"/>
  <c r="Q378" i="5" s="1"/>
  <c r="Q379" i="5" a="1"/>
  <c r="Q379" i="5" s="1"/>
  <c r="Q380" i="5" a="1"/>
  <c r="Q380" i="5" s="1"/>
  <c r="Q381" i="5" a="1"/>
  <c r="Q381" i="5" s="1"/>
  <c r="Q382" i="5" a="1"/>
  <c r="Q382" i="5" s="1"/>
  <c r="Q383" i="5" a="1"/>
  <c r="Q383" i="5" s="1"/>
  <c r="Q384" i="5" a="1"/>
  <c r="Q384" i="5" s="1"/>
  <c r="Q385" i="5" a="1"/>
  <c r="Q385" i="5" s="1"/>
  <c r="Q386" i="5" a="1"/>
  <c r="Q386" i="5" s="1"/>
  <c r="Q387" i="5" a="1"/>
  <c r="Q387" i="5" s="1"/>
  <c r="Q388" i="5" a="1"/>
  <c r="Q388" i="5" s="1"/>
  <c r="Q389" i="5" a="1"/>
  <c r="Q389" i="5" s="1"/>
  <c r="Q390" i="5" a="1"/>
  <c r="Q390" i="5" s="1"/>
  <c r="Q391" i="5" a="1"/>
  <c r="Q391" i="5" s="1"/>
  <c r="Q392" i="5" a="1"/>
  <c r="Q392" i="5" s="1"/>
  <c r="Q393" i="5" a="1"/>
  <c r="Q393" i="5" s="1"/>
  <c r="Q394" i="5" a="1"/>
  <c r="Q394" i="5" s="1"/>
  <c r="Q395" i="5" a="1"/>
  <c r="Q395" i="5" s="1"/>
  <c r="Q396" i="5" a="1"/>
  <c r="Q396" i="5" s="1"/>
  <c r="Q397" i="5" a="1"/>
  <c r="Q397" i="5" s="1"/>
  <c r="Q398" i="5" a="1"/>
  <c r="Q398" i="5" s="1"/>
  <c r="Q399" i="5" a="1"/>
  <c r="Q399" i="5" s="1"/>
  <c r="Q400" i="5" a="1"/>
  <c r="Q400" i="5" s="1"/>
  <c r="Q401" i="5" a="1"/>
  <c r="Q401" i="5" s="1"/>
  <c r="Q402" i="5" a="1"/>
  <c r="Q402" i="5" s="1"/>
  <c r="Q403" i="5" a="1"/>
  <c r="Q403" i="5" s="1"/>
  <c r="Q404" i="5" a="1"/>
  <c r="Q404" i="5" s="1"/>
  <c r="Q405" i="5" a="1"/>
  <c r="Q405" i="5" s="1"/>
  <c r="Q406" i="5" a="1"/>
  <c r="Q406" i="5" s="1"/>
  <c r="Q407" i="5" a="1"/>
  <c r="Q407" i="5" s="1"/>
  <c r="Q408" i="5" a="1"/>
  <c r="Q408" i="5" s="1"/>
  <c r="Q409" i="5" a="1"/>
  <c r="Q409" i="5" s="1"/>
  <c r="Q410" i="5" a="1"/>
  <c r="Q410" i="5" s="1"/>
  <c r="Q411" i="5" a="1"/>
  <c r="Q411" i="5" s="1"/>
  <c r="Q412" i="5" a="1"/>
  <c r="Q412" i="5" s="1"/>
  <c r="Q413" i="5" a="1"/>
  <c r="Q413" i="5" s="1"/>
  <c r="Q414" i="5" a="1"/>
  <c r="Q414" i="5"/>
  <c r="Q415" i="5" a="1"/>
  <c r="Q415" i="5" s="1"/>
  <c r="Q416" i="5" a="1"/>
  <c r="Q416" i="5" s="1"/>
  <c r="Q417" i="5" a="1"/>
  <c r="Q417" i="5" s="1"/>
  <c r="Q418" i="5" a="1"/>
  <c r="Q418" i="5" s="1"/>
  <c r="Q419" i="5" a="1"/>
  <c r="Q419" i="5" s="1"/>
  <c r="Q420" i="5" a="1"/>
  <c r="Q420" i="5" s="1"/>
  <c r="Q421" i="5" a="1"/>
  <c r="Q421" i="5" s="1"/>
  <c r="Q422" i="5" a="1"/>
  <c r="Q422" i="5" s="1"/>
  <c r="Q423" i="5" a="1"/>
  <c r="Q423" i="5" s="1"/>
  <c r="Q424" i="5" a="1"/>
  <c r="Q424" i="5" s="1"/>
  <c r="Q425" i="5" a="1"/>
  <c r="Q425" i="5" s="1"/>
  <c r="Q426" i="5" a="1"/>
  <c r="Q426" i="5" s="1"/>
  <c r="Q427" i="5" a="1"/>
  <c r="Q427" i="5" s="1"/>
  <c r="Q428" i="5" a="1"/>
  <c r="Q428" i="5" s="1"/>
  <c r="Q429" i="5" a="1"/>
  <c r="Q429" i="5" s="1"/>
  <c r="Q430" i="5" a="1"/>
  <c r="Q430" i="5" s="1"/>
  <c r="Q431" i="5" a="1"/>
  <c r="Q431" i="5" s="1"/>
  <c r="Q432" i="5" a="1"/>
  <c r="Q432" i="5" s="1"/>
  <c r="Q433" i="5" a="1"/>
  <c r="Q433" i="5" s="1"/>
  <c r="Q434" i="5" a="1"/>
  <c r="Q434" i="5" s="1"/>
  <c r="Q435" i="5" a="1"/>
  <c r="Q435" i="5" s="1"/>
  <c r="Q436" i="5" a="1"/>
  <c r="Q436" i="5" s="1"/>
  <c r="Q437" i="5" a="1"/>
  <c r="Q437" i="5" s="1"/>
  <c r="Q438" i="5" a="1"/>
  <c r="Q438" i="5" s="1"/>
  <c r="Q439" i="5" a="1"/>
  <c r="Q439" i="5" s="1"/>
  <c r="Q440" i="5" a="1"/>
  <c r="Q440" i="5" s="1"/>
  <c r="Q441" i="5" a="1"/>
  <c r="Q441" i="5" s="1"/>
  <c r="Q442" i="5" a="1"/>
  <c r="Q442" i="5" s="1"/>
  <c r="Q443" i="5" a="1"/>
  <c r="Q443" i="5" s="1"/>
  <c r="Q444" i="5" a="1"/>
  <c r="Q444" i="5" s="1"/>
  <c r="Q445" i="5" a="1"/>
  <c r="Q445" i="5" s="1"/>
  <c r="Q446" i="5" a="1"/>
  <c r="Q446" i="5" s="1"/>
  <c r="Q447" i="5" a="1"/>
  <c r="Q447" i="5" s="1"/>
  <c r="Q448" i="5" a="1"/>
  <c r="Q448" i="5" s="1"/>
  <c r="Q449" i="5" a="1"/>
  <c r="Q449" i="5" s="1"/>
  <c r="Q450" i="5" a="1"/>
  <c r="Q450" i="5" s="1"/>
  <c r="Q451" i="5" a="1"/>
  <c r="Q451" i="5" s="1"/>
  <c r="Q452" i="5" a="1"/>
  <c r="Q452" i="5" s="1"/>
  <c r="Q453" i="5" a="1"/>
  <c r="Q453" i="5" s="1"/>
  <c r="Q454" i="5" a="1"/>
  <c r="Q454" i="5" s="1"/>
  <c r="Q455" i="5" a="1"/>
  <c r="Q455" i="5" s="1"/>
  <c r="Q456" i="5" a="1"/>
  <c r="Q456" i="5" s="1"/>
  <c r="Q457" i="5" a="1"/>
  <c r="Q457" i="5" s="1"/>
  <c r="Q458" i="5" a="1"/>
  <c r="Q458" i="5" s="1"/>
  <c r="Q459" i="5" a="1"/>
  <c r="Q459" i="5" s="1"/>
  <c r="Q460" i="5" a="1"/>
  <c r="Q460" i="5" s="1"/>
  <c r="Q461" i="5" a="1"/>
  <c r="Q461" i="5" s="1"/>
  <c r="Q462" i="5" a="1"/>
  <c r="Q462" i="5" s="1"/>
  <c r="Q463" i="5" a="1"/>
  <c r="Q463" i="5" s="1"/>
  <c r="Q464" i="5" a="1"/>
  <c r="Q464" i="5" s="1"/>
  <c r="Q465" i="5" a="1"/>
  <c r="Q465" i="5" s="1"/>
  <c r="Q466" i="5" a="1"/>
  <c r="Q466" i="5" s="1"/>
  <c r="Q467" i="5" a="1"/>
  <c r="Q467" i="5" s="1"/>
  <c r="Q468" i="5" a="1"/>
  <c r="Q468" i="5" s="1"/>
  <c r="Q469" i="5" a="1"/>
  <c r="Q469" i="5" s="1"/>
  <c r="Q470" i="5" a="1"/>
  <c r="Q470" i="5" s="1"/>
  <c r="Q471" i="5" a="1"/>
  <c r="Q471" i="5" s="1"/>
  <c r="Q472" i="5" a="1"/>
  <c r="Q472" i="5" s="1"/>
  <c r="Q473" i="5" a="1"/>
  <c r="Q473" i="5" s="1"/>
  <c r="Q474" i="5" a="1"/>
  <c r="Q474" i="5" s="1"/>
  <c r="Q475" i="5" a="1"/>
  <c r="Q475" i="5" s="1"/>
  <c r="Q476" i="5" a="1"/>
  <c r="Q476" i="5" s="1"/>
  <c r="Q477" i="5" a="1"/>
  <c r="Q477" i="5" s="1"/>
  <c r="Q478" i="5" a="1"/>
  <c r="Q478" i="5" s="1"/>
  <c r="Q479" i="5" a="1"/>
  <c r="Q479" i="5" s="1"/>
  <c r="Q480" i="5" a="1"/>
  <c r="Q480" i="5" s="1"/>
  <c r="Q481" i="5" a="1"/>
  <c r="Q481" i="5" s="1"/>
  <c r="Q482" i="5" a="1"/>
  <c r="Q482" i="5" s="1"/>
  <c r="Q483" i="5" a="1"/>
  <c r="Q483" i="5" s="1"/>
  <c r="Q484" i="5" a="1"/>
  <c r="Q484" i="5" s="1"/>
  <c r="Q485" i="5" a="1"/>
  <c r="Q485" i="5" s="1"/>
  <c r="Q486" i="5" a="1"/>
  <c r="Q486" i="5" s="1"/>
  <c r="Q487" i="5" a="1"/>
  <c r="Q487" i="5" s="1"/>
  <c r="Q488" i="5" a="1"/>
  <c r="Q488" i="5" s="1"/>
  <c r="Q489" i="5" a="1"/>
  <c r="Q489" i="5" s="1"/>
  <c r="Q490" i="5" a="1"/>
  <c r="Q490" i="5" s="1"/>
  <c r="Q491" i="5" a="1"/>
  <c r="Q491" i="5" s="1"/>
  <c r="Q492" i="5" a="1"/>
  <c r="Q492" i="5" s="1"/>
  <c r="Q493" i="5" a="1"/>
  <c r="Q493" i="5" s="1"/>
  <c r="Q494" i="5" a="1"/>
  <c r="Q494" i="5" s="1"/>
  <c r="Q495" i="5" a="1"/>
  <c r="Q495" i="5" s="1"/>
  <c r="Q496" i="5" a="1"/>
  <c r="Q496" i="5" s="1"/>
  <c r="Q497" i="5" a="1"/>
  <c r="Q497" i="5" s="1"/>
  <c r="Q498" i="5" a="1"/>
  <c r="Q498" i="5" s="1"/>
  <c r="Q499" i="5" a="1"/>
  <c r="Q499" i="5" s="1"/>
  <c r="Q500" i="5" a="1"/>
  <c r="Q500" i="5" s="1"/>
  <c r="Q501" i="5" a="1"/>
  <c r="Q501" i="5" s="1"/>
  <c r="Q502" i="5" a="1"/>
  <c r="Q502" i="5" s="1"/>
  <c r="Q503" i="5" a="1"/>
  <c r="Q503" i="5" s="1"/>
  <c r="Q504" i="5" a="1"/>
  <c r="Q504" i="5" s="1"/>
  <c r="Q505" i="5" a="1"/>
  <c r="Q505" i="5" s="1"/>
  <c r="Q506" i="5" a="1"/>
  <c r="Q506" i="5" s="1"/>
  <c r="Q507" i="5" a="1"/>
  <c r="Q507" i="5" s="1"/>
  <c r="Q508" i="5" a="1"/>
  <c r="Q508" i="5" s="1"/>
  <c r="Q509" i="5" a="1"/>
  <c r="Q509" i="5" s="1"/>
  <c r="Q510" i="5" a="1"/>
  <c r="Q510" i="5" s="1"/>
  <c r="Q511" i="5" a="1"/>
  <c r="Q511" i="5" s="1"/>
  <c r="Q512" i="5" a="1"/>
  <c r="Q512" i="5" s="1"/>
  <c r="Q513" i="5" a="1"/>
  <c r="Q513" i="5" s="1"/>
  <c r="Q514" i="5" a="1"/>
  <c r="Q514" i="5" s="1"/>
  <c r="Q515" i="5" a="1"/>
  <c r="Q515" i="5" s="1"/>
  <c r="Q516" i="5" a="1"/>
  <c r="Q516" i="5" s="1"/>
  <c r="Q517" i="5" a="1"/>
  <c r="Q517" i="5" s="1"/>
  <c r="Q518" i="5" a="1"/>
  <c r="Q518" i="5" s="1"/>
  <c r="Q519" i="5" a="1"/>
  <c r="Q519" i="5" s="1"/>
  <c r="Q520" i="5" a="1"/>
  <c r="Q520" i="5" s="1"/>
  <c r="Q521" i="5" a="1"/>
  <c r="Q521" i="5" s="1"/>
  <c r="Q522" i="5" a="1"/>
  <c r="Q522" i="5" s="1"/>
  <c r="Q523" i="5" a="1"/>
  <c r="Q523" i="5" s="1"/>
  <c r="Q524" i="5" a="1"/>
  <c r="Q524" i="5" s="1"/>
  <c r="Q525" i="5" a="1"/>
  <c r="Q525" i="5"/>
  <c r="Q526" i="5" a="1"/>
  <c r="Q526" i="5"/>
  <c r="Q527" i="5" a="1"/>
  <c r="Q527" i="5"/>
  <c r="Q528" i="5" a="1"/>
  <c r="Q528" i="5"/>
  <c r="Q529" i="5" a="1"/>
  <c r="Q529" i="5"/>
  <c r="Q530" i="5" a="1"/>
  <c r="Q530" i="5"/>
  <c r="Q531" i="5" a="1"/>
  <c r="Q531" i="5"/>
  <c r="Q532" i="5" a="1"/>
  <c r="Q532" i="5"/>
  <c r="Q533" i="5" a="1"/>
  <c r="Q533" i="5"/>
  <c r="Q534" i="5" a="1"/>
  <c r="Q534" i="5"/>
  <c r="Q535" i="5" a="1"/>
  <c r="Q535" i="5"/>
  <c r="Q536" i="5" a="1"/>
  <c r="Q536" i="5"/>
  <c r="Q537" i="5" a="1"/>
  <c r="Q537" i="5"/>
  <c r="Q538" i="5" a="1"/>
  <c r="Q538" i="5"/>
  <c r="Q539" i="5" a="1"/>
  <c r="Q539" i="5"/>
  <c r="Q540" i="5" a="1"/>
  <c r="Q540" i="5"/>
  <c r="Q541" i="5" a="1"/>
  <c r="Q541" i="5"/>
  <c r="Q542" i="5" a="1"/>
  <c r="Q542" i="5"/>
  <c r="Q543" i="5" a="1"/>
  <c r="Q543" i="5"/>
  <c r="Q544" i="5" a="1"/>
  <c r="Q544" i="5"/>
  <c r="Q545" i="5" a="1"/>
  <c r="Q545" i="5"/>
  <c r="Q546" i="5" a="1"/>
  <c r="Q546" i="5"/>
  <c r="Q547" i="5" a="1"/>
  <c r="Q547" i="5"/>
  <c r="Q548" i="5" a="1"/>
  <c r="Q548" i="5"/>
  <c r="Q549" i="5" a="1"/>
  <c r="Q549" i="5"/>
  <c r="Q550" i="5" a="1"/>
  <c r="Q550" i="5"/>
  <c r="Q551" i="5" a="1"/>
  <c r="Q551" i="5"/>
  <c r="Q552" i="5" a="1"/>
  <c r="Q552" i="5"/>
  <c r="Q553" i="5" a="1"/>
  <c r="Q553" i="5"/>
  <c r="Q554" i="5" a="1"/>
  <c r="Q554" i="5"/>
  <c r="Q555" i="5" a="1"/>
  <c r="Q555" i="5"/>
  <c r="Q556" i="5" a="1"/>
  <c r="Q556" i="5"/>
  <c r="Q557" i="5" a="1"/>
  <c r="Q557" i="5"/>
  <c r="Q558" i="5" a="1"/>
  <c r="Q558" i="5"/>
  <c r="Q559" i="5" a="1"/>
  <c r="Q559" i="5"/>
  <c r="Q560" i="5" a="1"/>
  <c r="Q560" i="5"/>
  <c r="Q561" i="5" a="1"/>
  <c r="Q561" i="5"/>
  <c r="Q562" i="5" a="1"/>
  <c r="Q562" i="5"/>
  <c r="Q563" i="5" a="1"/>
  <c r="Q563" i="5"/>
  <c r="Q564" i="5" a="1"/>
  <c r="Q564" i="5"/>
  <c r="Q565" i="5" a="1"/>
  <c r="Q565" i="5"/>
  <c r="Q566" i="5" a="1"/>
  <c r="Q566" i="5"/>
  <c r="Q567" i="5" a="1"/>
  <c r="Q567" i="5"/>
  <c r="Q568" i="5" a="1"/>
  <c r="Q568" i="5"/>
  <c r="Q569" i="5" a="1"/>
  <c r="Q569" i="5"/>
  <c r="Q570" i="5" a="1"/>
  <c r="Q570" i="5"/>
  <c r="Q571" i="5" a="1"/>
  <c r="Q571" i="5"/>
  <c r="Q572" i="5" a="1"/>
  <c r="Q572" i="5"/>
  <c r="Q573" i="5" a="1"/>
  <c r="Q573" i="5"/>
  <c r="Q574" i="5" a="1"/>
  <c r="Q574" i="5"/>
  <c r="Q575" i="5" a="1"/>
  <c r="Q575" i="5"/>
  <c r="Q576" i="5" a="1"/>
  <c r="Q576" i="5"/>
  <c r="Q577" i="5" a="1"/>
  <c r="Q577" i="5"/>
  <c r="Q578" i="5" a="1"/>
  <c r="Q578" i="5"/>
  <c r="Q579" i="5" a="1"/>
  <c r="Q579" i="5"/>
  <c r="Q580" i="5" a="1"/>
  <c r="Q580" i="5"/>
  <c r="Q581" i="5" a="1"/>
  <c r="Q581" i="5"/>
  <c r="Q582" i="5" a="1"/>
  <c r="Q582" i="5"/>
  <c r="Q583" i="5" a="1"/>
  <c r="Q583" i="5"/>
  <c r="Q584" i="5" a="1"/>
  <c r="Q584" i="5"/>
  <c r="Q585" i="5" a="1"/>
  <c r="Q585" i="5"/>
  <c r="Q586" i="5" a="1"/>
  <c r="Q586" i="5"/>
  <c r="Q587" i="5" a="1"/>
  <c r="Q587" i="5"/>
  <c r="Q588" i="5" a="1"/>
  <c r="Q588" i="5"/>
  <c r="Q589" i="5" a="1"/>
  <c r="Q589" i="5"/>
  <c r="Q590" i="5" a="1"/>
  <c r="Q590" i="5"/>
  <c r="Q591" i="5" a="1"/>
  <c r="Q591" i="5"/>
  <c r="Q592" i="5" a="1"/>
  <c r="Q592" i="5" s="1"/>
  <c r="Q593" i="5" a="1"/>
  <c r="Q593" i="5" s="1"/>
  <c r="Q594" i="5" a="1"/>
  <c r="Q594" i="5" s="1"/>
  <c r="Q595" i="5" a="1"/>
  <c r="Q595" i="5" s="1"/>
  <c r="Q596" i="5" a="1"/>
  <c r="Q596" i="5" s="1"/>
  <c r="Q597" i="5" a="1"/>
  <c r="Q597" i="5" s="1"/>
  <c r="Q598" i="5" a="1"/>
  <c r="Q598" i="5" s="1"/>
  <c r="Q599" i="5" a="1"/>
  <c r="Q599" i="5" s="1"/>
  <c r="Q600" i="5" a="1"/>
  <c r="Q600" i="5" s="1"/>
  <c r="Q601" i="5" a="1"/>
  <c r="Q601" i="5" s="1"/>
  <c r="Q602" i="5" a="1"/>
  <c r="Q602" i="5" s="1"/>
  <c r="Q603" i="5" a="1"/>
  <c r="Q603" i="5" s="1"/>
  <c r="Q604" i="5" a="1"/>
  <c r="Q604" i="5" s="1"/>
  <c r="Q605" i="5" a="1"/>
  <c r="Q605" i="5" s="1"/>
  <c r="Q606" i="5" a="1"/>
  <c r="Q606" i="5" s="1"/>
  <c r="Q607" i="5" a="1"/>
  <c r="Q607" i="5" s="1"/>
  <c r="Q608" i="5" a="1"/>
  <c r="Q608" i="5" s="1"/>
  <c r="Q609" i="5" a="1"/>
  <c r="Q609" i="5" s="1"/>
  <c r="Q610" i="5" a="1"/>
  <c r="Q610" i="5" s="1"/>
  <c r="Q611" i="5" a="1"/>
  <c r="Q611" i="5" s="1"/>
  <c r="Q612" i="5" a="1"/>
  <c r="Q612" i="5" s="1"/>
  <c r="Q613" i="5" a="1"/>
  <c r="Q613" i="5" s="1"/>
  <c r="Q614" i="5" a="1"/>
  <c r="Q614" i="5" s="1"/>
  <c r="Q615" i="5" a="1"/>
  <c r="Q615" i="5" s="1"/>
  <c r="Q616" i="5" a="1"/>
  <c r="Q616" i="5" s="1"/>
  <c r="Q617" i="5" a="1"/>
  <c r="Q617" i="5" s="1"/>
  <c r="Q618" i="5" a="1"/>
  <c r="Q618" i="5" s="1"/>
  <c r="Q619" i="5" a="1"/>
  <c r="Q619" i="5" s="1"/>
  <c r="Q620" i="5" a="1"/>
  <c r="Q620" i="5" s="1"/>
  <c r="Q621" i="5" a="1"/>
  <c r="Q621" i="5" s="1"/>
  <c r="Q622" i="5" a="1"/>
  <c r="Q622" i="5" s="1"/>
  <c r="Q623" i="5" a="1"/>
  <c r="Q623" i="5" s="1"/>
  <c r="Q624" i="5" a="1"/>
  <c r="Q624" i="5" s="1"/>
  <c r="Q625" i="5" a="1"/>
  <c r="Q625" i="5" s="1"/>
  <c r="Q626" i="5" a="1"/>
  <c r="Q626" i="5" s="1"/>
  <c r="Q627" i="5" a="1"/>
  <c r="Q627" i="5" s="1"/>
  <c r="Q628" i="5" a="1"/>
  <c r="Q628" i="5" s="1"/>
  <c r="Q629" i="5" a="1"/>
  <c r="Q629" i="5" s="1"/>
  <c r="Q630" i="5" a="1"/>
  <c r="Q630" i="5" s="1"/>
  <c r="Q631" i="5" a="1"/>
  <c r="Q631" i="5" s="1"/>
  <c r="Q632" i="5" a="1"/>
  <c r="Q632" i="5" s="1"/>
  <c r="Q633" i="5" a="1"/>
  <c r="Q633" i="5" s="1"/>
  <c r="Q634" i="5" a="1"/>
  <c r="Q634" i="5" s="1"/>
  <c r="Q635" i="5" a="1"/>
  <c r="Q635" i="5" s="1"/>
  <c r="Q636" i="5" a="1"/>
  <c r="Q636" i="5" s="1"/>
  <c r="Q637" i="5" a="1"/>
  <c r="Q637" i="5" s="1"/>
  <c r="Q638" i="5" a="1"/>
  <c r="Q638" i="5" s="1"/>
  <c r="Q639" i="5" a="1"/>
  <c r="Q639" i="5" s="1"/>
  <c r="Q640" i="5" a="1"/>
  <c r="Q640" i="5" s="1"/>
  <c r="Q641" i="5" a="1"/>
  <c r="Q641" i="5" s="1"/>
  <c r="Q642" i="5" a="1"/>
  <c r="Q642" i="5" s="1"/>
  <c r="Q643" i="5" a="1"/>
  <c r="Q643" i="5" s="1"/>
  <c r="Q644" i="5" a="1"/>
  <c r="Q644" i="5" s="1"/>
  <c r="Q645" i="5" a="1"/>
  <c r="Q645" i="5" s="1"/>
  <c r="Q646" i="5" a="1"/>
  <c r="Q646" i="5" s="1"/>
  <c r="Q647" i="5" a="1"/>
  <c r="Q647" i="5" s="1"/>
  <c r="Q648" i="5" a="1"/>
  <c r="Q648" i="5" s="1"/>
  <c r="Q649" i="5" a="1"/>
  <c r="Q649" i="5" s="1"/>
  <c r="Q650" i="5" a="1"/>
  <c r="Q650" i="5" s="1"/>
  <c r="Q651" i="5" a="1"/>
  <c r="Q651" i="5" s="1"/>
  <c r="Q652" i="5" a="1"/>
  <c r="Q652" i="5" s="1"/>
  <c r="Q653" i="5" a="1"/>
  <c r="Q653" i="5" s="1"/>
  <c r="Q654" i="5" a="1"/>
  <c r="Q654" i="5" s="1"/>
  <c r="Q655" i="5" a="1"/>
  <c r="Q655" i="5" s="1"/>
  <c r="Q656" i="5" a="1"/>
  <c r="Q656" i="5" s="1"/>
  <c r="Q657" i="5" a="1"/>
  <c r="Q657" i="5" s="1"/>
  <c r="Q658" i="5" a="1"/>
  <c r="Q658" i="5" s="1"/>
  <c r="Q659" i="5" a="1"/>
  <c r="Q659" i="5" s="1"/>
  <c r="Q660" i="5" a="1"/>
  <c r="Q660" i="5" s="1"/>
  <c r="Q661" i="5" a="1"/>
  <c r="Q661" i="5" s="1"/>
  <c r="Q662" i="5" a="1"/>
  <c r="Q662" i="5" s="1"/>
  <c r="Q663" i="5" a="1"/>
  <c r="Q663" i="5" s="1"/>
  <c r="Q664" i="5" a="1"/>
  <c r="Q664" i="5" s="1"/>
  <c r="Q665" i="5" a="1"/>
  <c r="Q665" i="5" s="1"/>
  <c r="Q666" i="5" a="1"/>
  <c r="Q666" i="5" s="1"/>
  <c r="Q667" i="5" a="1"/>
  <c r="Q667" i="5"/>
  <c r="Q668" i="5" a="1"/>
  <c r="Q668" i="5" s="1"/>
  <c r="Q669" i="5" a="1"/>
  <c r="Q669" i="5"/>
  <c r="Q670" i="5" a="1"/>
  <c r="Q670" i="5"/>
  <c r="Q671" i="5" a="1"/>
  <c r="Q671" i="5"/>
  <c r="Q672" i="5" a="1"/>
  <c r="Q672" i="5" s="1"/>
  <c r="Q673" i="5" a="1"/>
  <c r="Q673" i="5" s="1"/>
  <c r="Q674" i="5" a="1"/>
  <c r="Q674" i="5" s="1"/>
  <c r="Q675" i="5" a="1"/>
  <c r="Q675" i="5" s="1"/>
  <c r="Q676" i="5" a="1"/>
  <c r="Q676" i="5" s="1"/>
  <c r="Q677" i="5" a="1"/>
  <c r="Q677" i="5" s="1"/>
  <c r="Q678" i="5" a="1"/>
  <c r="Q678" i="5" s="1"/>
  <c r="Q679" i="5" a="1"/>
  <c r="Q679" i="5" s="1"/>
  <c r="Q680" i="5" a="1"/>
  <c r="Q680" i="5" s="1"/>
  <c r="Q681" i="5" a="1"/>
  <c r="Q681" i="5" s="1"/>
  <c r="Q682" i="5" a="1"/>
  <c r="Q682" i="5" s="1"/>
  <c r="Q683" i="5" a="1"/>
  <c r="Q683" i="5" s="1"/>
  <c r="Q684" i="5" a="1"/>
  <c r="Q684" i="5" s="1"/>
  <c r="Q685" i="5" a="1"/>
  <c r="Q685" i="5" s="1"/>
  <c r="Q686" i="5" a="1"/>
  <c r="Q686" i="5" s="1"/>
  <c r="Q687" i="5" a="1"/>
  <c r="Q687" i="5" s="1"/>
  <c r="Q688" i="5" a="1"/>
  <c r="Q688" i="5" s="1"/>
  <c r="Q689" i="5" a="1"/>
  <c r="Q689" i="5" s="1"/>
  <c r="Q690" i="5" a="1"/>
  <c r="Q690" i="5" s="1"/>
  <c r="Q691" i="5" a="1"/>
  <c r="Q691" i="5" s="1"/>
  <c r="Q692" i="5" a="1"/>
  <c r="Q692" i="5" s="1"/>
  <c r="Q693" i="5" a="1"/>
  <c r="Q693" i="5" s="1"/>
  <c r="Q694" i="5" a="1"/>
  <c r="Q694" i="5" s="1"/>
  <c r="Q695" i="5" a="1"/>
  <c r="Q695" i="5" s="1"/>
  <c r="Q696" i="5" a="1"/>
  <c r="Q696" i="5" s="1"/>
  <c r="Q697" i="5" a="1"/>
  <c r="Q697" i="5" s="1"/>
  <c r="Q698" i="5" a="1"/>
  <c r="Q698" i="5" s="1"/>
  <c r="Q699" i="5" a="1"/>
  <c r="Q699" i="5" s="1"/>
  <c r="Q700" i="5" a="1"/>
  <c r="Q700" i="5" s="1"/>
  <c r="Q701" i="5" a="1"/>
  <c r="Q701" i="5" s="1"/>
  <c r="Q702" i="5" a="1"/>
  <c r="Q702" i="5" s="1"/>
  <c r="Q703" i="5" a="1"/>
  <c r="Q703" i="5" s="1"/>
  <c r="Q704" i="5" a="1"/>
  <c r="Q704" i="5" s="1"/>
  <c r="Q705" i="5" a="1"/>
  <c r="Q705" i="5" s="1"/>
  <c r="Q706" i="5" a="1"/>
  <c r="Q706" i="5" s="1"/>
  <c r="Q707" i="5" a="1"/>
  <c r="Q707" i="5" s="1"/>
  <c r="Q708" i="5" a="1"/>
  <c r="Q708" i="5" s="1"/>
  <c r="Q709" i="5" a="1"/>
  <c r="Q709" i="5" s="1"/>
  <c r="Q710" i="5" a="1"/>
  <c r="Q710" i="5" s="1"/>
  <c r="Q711" i="5" a="1"/>
  <c r="Q711" i="5" s="1"/>
  <c r="Q712" i="5" a="1"/>
  <c r="Q712" i="5" s="1"/>
  <c r="Q713" i="5" a="1"/>
  <c r="Q713" i="5" s="1"/>
  <c r="Q714" i="5" a="1"/>
  <c r="Q714" i="5" s="1"/>
  <c r="Q715" i="5" a="1"/>
  <c r="Q715" i="5" s="1"/>
  <c r="Q716" i="5" a="1"/>
  <c r="Q716" i="5" s="1"/>
  <c r="Q717" i="5" a="1"/>
  <c r="Q717" i="5" s="1"/>
  <c r="Q718" i="5" a="1"/>
  <c r="Q718" i="5" s="1"/>
  <c r="Q719" i="5" a="1"/>
  <c r="Q719" i="5" s="1"/>
  <c r="Q720" i="5" a="1"/>
  <c r="Q720" i="5" s="1"/>
  <c r="Q721" i="5" a="1"/>
  <c r="Q721" i="5" s="1"/>
  <c r="Q722" i="5" a="1"/>
  <c r="Q722" i="5" s="1"/>
  <c r="Q723" i="5" a="1"/>
  <c r="Q723" i="5" s="1"/>
  <c r="Q724" i="5" a="1"/>
  <c r="Q724" i="5" s="1"/>
  <c r="Q725" i="5" a="1"/>
  <c r="Q725" i="5" s="1"/>
  <c r="Q726" i="5" a="1"/>
  <c r="Q726" i="5" s="1"/>
  <c r="Q727" i="5" a="1"/>
  <c r="Q727" i="5" s="1"/>
  <c r="Q728" i="5" a="1"/>
  <c r="Q728" i="5" s="1"/>
  <c r="Q729" i="5" a="1"/>
  <c r="Q729" i="5" s="1"/>
  <c r="Q730" i="5" a="1"/>
  <c r="Q730" i="5" s="1"/>
  <c r="Q731" i="5" a="1"/>
  <c r="Q731" i="5" s="1"/>
  <c r="Q732" i="5" a="1"/>
  <c r="Q732" i="5" s="1"/>
  <c r="Q733" i="5" a="1"/>
  <c r="Q733" i="5" s="1"/>
  <c r="Q734" i="5" a="1"/>
  <c r="Q734" i="5" s="1"/>
  <c r="Q735" i="5" a="1"/>
  <c r="Q735" i="5" s="1"/>
  <c r="Q736" i="5" a="1"/>
  <c r="Q736" i="5" s="1"/>
  <c r="Q737" i="5" a="1"/>
  <c r="Q737" i="5" s="1"/>
  <c r="Q738" i="5" a="1"/>
  <c r="Q738" i="5" s="1"/>
  <c r="Q739" i="5" a="1"/>
  <c r="Q739" i="5" s="1"/>
  <c r="Q740" i="5" a="1"/>
  <c r="Q740" i="5" s="1"/>
  <c r="Q741" i="5" a="1"/>
  <c r="Q741" i="5" s="1"/>
  <c r="Q742" i="5" a="1"/>
  <c r="Q742" i="5" s="1"/>
  <c r="Q743" i="5" a="1"/>
  <c r="Q743" i="5" s="1"/>
  <c r="Q744" i="5" a="1"/>
  <c r="Q744" i="5" s="1"/>
  <c r="Q745" i="5" a="1"/>
  <c r="Q745" i="5" s="1"/>
  <c r="Q746" i="5" a="1"/>
  <c r="Q746" i="5" s="1"/>
  <c r="Q747" i="5" a="1"/>
  <c r="Q747" i="5" s="1"/>
  <c r="Q748" i="5" a="1"/>
  <c r="Q748" i="5" s="1"/>
  <c r="Q749" i="5" a="1"/>
  <c r="Q749" i="5" s="1"/>
  <c r="Q750" i="5" a="1"/>
  <c r="Q750" i="5" s="1"/>
  <c r="Q751" i="5" a="1"/>
  <c r="Q751" i="5" s="1"/>
  <c r="Q752" i="5" a="1"/>
  <c r="Q752" i="5" s="1"/>
  <c r="Q753" i="5" a="1"/>
  <c r="Q753" i="5" s="1"/>
  <c r="Q754" i="5" a="1"/>
  <c r="Q754" i="5" s="1"/>
  <c r="Q755" i="5" a="1"/>
  <c r="Q755" i="5" s="1"/>
  <c r="Q756" i="5" a="1"/>
  <c r="Q756" i="5" s="1"/>
  <c r="Q757" i="5" a="1"/>
  <c r="Q757" i="5" s="1"/>
  <c r="Q758" i="5" a="1"/>
  <c r="Q758" i="5" s="1"/>
  <c r="Q759" i="5" a="1"/>
  <c r="Q759" i="5" s="1"/>
  <c r="Q760" i="5" a="1"/>
  <c r="Q760" i="5" s="1"/>
  <c r="Q761" i="5" a="1"/>
  <c r="Q761" i="5" s="1"/>
  <c r="Q762" i="5" a="1"/>
  <c r="Q762" i="5" s="1"/>
  <c r="Q763" i="5" a="1"/>
  <c r="Q763" i="5" s="1"/>
  <c r="Q764" i="5" a="1"/>
  <c r="Q764" i="5" s="1"/>
  <c r="Q765" i="5" a="1"/>
  <c r="Q765" i="5" s="1"/>
  <c r="Q766" i="5" a="1"/>
  <c r="Q766" i="5" s="1"/>
  <c r="Q767" i="5" a="1"/>
  <c r="Q767" i="5" s="1"/>
  <c r="Q768" i="5" a="1"/>
  <c r="Q768" i="5" s="1"/>
  <c r="Q769" i="5" a="1"/>
  <c r="Q769" i="5" s="1"/>
  <c r="Q770" i="5" a="1"/>
  <c r="Q770" i="5" s="1"/>
  <c r="Q771" i="5" a="1"/>
  <c r="Q771" i="5" s="1"/>
  <c r="Q772" i="5" a="1"/>
  <c r="Q772" i="5" s="1"/>
  <c r="Q773" i="5" a="1"/>
  <c r="Q773" i="5" s="1"/>
  <c r="Q774" i="5" a="1"/>
  <c r="Q774" i="5" s="1"/>
  <c r="Q775" i="5" a="1"/>
  <c r="Q775" i="5" s="1"/>
  <c r="Q776" i="5" a="1"/>
  <c r="Q776" i="5" s="1"/>
  <c r="Q777" i="5" a="1"/>
  <c r="Q777" i="5" s="1"/>
  <c r="Q778" i="5" a="1"/>
  <c r="Q778" i="5" s="1"/>
  <c r="Q779" i="5" a="1"/>
  <c r="Q779" i="5" s="1"/>
  <c r="Q780" i="5" a="1"/>
  <c r="Q780" i="5" s="1"/>
  <c r="Q781" i="5" a="1"/>
  <c r="Q781" i="5" s="1"/>
  <c r="Q782" i="5" a="1"/>
  <c r="Q782" i="5" s="1"/>
  <c r="Q783" i="5" a="1"/>
  <c r="Q783" i="5" s="1"/>
  <c r="Q784" i="5" a="1"/>
  <c r="Q784" i="5" s="1"/>
  <c r="Q785" i="5" a="1"/>
  <c r="Q785" i="5" s="1"/>
  <c r="Q786" i="5" a="1"/>
  <c r="Q786" i="5" s="1"/>
  <c r="Q787" i="5" a="1"/>
  <c r="Q787" i="5" s="1"/>
  <c r="Q788" i="5" a="1"/>
  <c r="Q788" i="5" s="1"/>
  <c r="Q789" i="5" a="1"/>
  <c r="Q789" i="5" s="1"/>
  <c r="Q790" i="5" a="1"/>
  <c r="Q790" i="5" s="1"/>
  <c r="Q791" i="5" a="1"/>
  <c r="Q791" i="5" s="1"/>
  <c r="Q792" i="5" a="1"/>
  <c r="Q792" i="5" s="1"/>
  <c r="Q793" i="5" a="1"/>
  <c r="Q793" i="5" s="1"/>
  <c r="Q794" i="5" a="1"/>
  <c r="Q794" i="5" s="1"/>
  <c r="Q795" i="5" a="1"/>
  <c r="Q795" i="5" s="1"/>
  <c r="Q796" i="5" a="1"/>
  <c r="Q796" i="5" s="1"/>
  <c r="Q797" i="5" a="1"/>
  <c r="Q797" i="5" s="1"/>
  <c r="Q798" i="5" a="1"/>
  <c r="Q798" i="5" s="1"/>
  <c r="Q799" i="5" a="1"/>
  <c r="Q799" i="5" s="1"/>
  <c r="Q800" i="5" a="1"/>
  <c r="Q800" i="5" s="1"/>
  <c r="Q801" i="5" a="1"/>
  <c r="Q801" i="5" s="1"/>
  <c r="Q802" i="5" a="1"/>
  <c r="Q802" i="5" s="1"/>
  <c r="Q803" i="5" a="1"/>
  <c r="Q803" i="5" s="1"/>
  <c r="Q804" i="5" a="1"/>
  <c r="Q804" i="5" s="1"/>
  <c r="Q805" i="5" a="1"/>
  <c r="Q805" i="5" s="1"/>
  <c r="Q806" i="5" a="1"/>
  <c r="Q806" i="5" s="1"/>
  <c r="Q807" i="5" a="1"/>
  <c r="Q807" i="5" s="1"/>
  <c r="Q808" i="5" a="1"/>
  <c r="Q808" i="5" s="1"/>
  <c r="Q809" i="5" a="1"/>
  <c r="Q809" i="5" s="1"/>
  <c r="Q810" i="5" a="1"/>
  <c r="Q810" i="5" s="1"/>
  <c r="Q811" i="5" a="1"/>
  <c r="Q811" i="5" s="1"/>
  <c r="Q812" i="5" a="1"/>
  <c r="Q812" i="5" s="1"/>
  <c r="Q813" i="5" a="1"/>
  <c r="Q813" i="5" s="1"/>
  <c r="Q814" i="5" a="1"/>
  <c r="Q814" i="5" s="1"/>
  <c r="Q815" i="5" a="1"/>
  <c r="Q815" i="5" s="1"/>
  <c r="Q816" i="5" a="1"/>
  <c r="Q816" i="5" s="1"/>
  <c r="Q817" i="5" a="1"/>
  <c r="Q817" i="5" s="1"/>
  <c r="Q818" i="5" a="1"/>
  <c r="Q818" i="5" s="1"/>
  <c r="Q819" i="5" a="1"/>
  <c r="Q819" i="5" s="1"/>
  <c r="Q820" i="5" a="1"/>
  <c r="Q820" i="5" s="1"/>
  <c r="Q821" i="5" a="1"/>
  <c r="Q821" i="5" s="1"/>
  <c r="Q822" i="5" a="1"/>
  <c r="Q822" i="5" s="1"/>
  <c r="Q823" i="5" a="1"/>
  <c r="Q823" i="5" s="1"/>
  <c r="Q824" i="5" a="1"/>
  <c r="Q824" i="5" s="1"/>
  <c r="Q825" i="5" a="1"/>
  <c r="Q825" i="5" s="1"/>
  <c r="Q826" i="5" a="1"/>
  <c r="Q826" i="5" s="1"/>
  <c r="Q827" i="5" a="1"/>
  <c r="Q827" i="5" s="1"/>
  <c r="Q828" i="5" a="1"/>
  <c r="Q828" i="5" s="1"/>
  <c r="Q829" i="5" a="1"/>
  <c r="Q829" i="5" s="1"/>
  <c r="Q830" i="5" a="1"/>
  <c r="Q830" i="5" s="1"/>
  <c r="Q831" i="5" a="1"/>
  <c r="Q831" i="5" s="1"/>
  <c r="Q832" i="5" a="1"/>
  <c r="Q832" i="5" s="1"/>
  <c r="Q833" i="5" a="1"/>
  <c r="Q833" i="5" s="1"/>
  <c r="Q834" i="5" a="1"/>
  <c r="Q834" i="5" s="1"/>
  <c r="Q835" i="5" a="1"/>
  <c r="Q835" i="5" s="1"/>
  <c r="Q836" i="5" a="1"/>
  <c r="Q836" i="5" s="1"/>
  <c r="Q837" i="5" a="1"/>
  <c r="Q837" i="5" s="1"/>
  <c r="Q838" i="5" a="1"/>
  <c r="Q838" i="5" s="1"/>
  <c r="Q839" i="5" a="1"/>
  <c r="Q839" i="5" s="1"/>
  <c r="Q840" i="5" a="1"/>
  <c r="Q840" i="5" s="1"/>
  <c r="Q841" i="5" a="1"/>
  <c r="Q841" i="5" s="1"/>
  <c r="Q842" i="5" a="1"/>
  <c r="Q842" i="5" s="1"/>
  <c r="Q843" i="5" a="1"/>
  <c r="Q843" i="5" s="1"/>
  <c r="Q844" i="5" a="1"/>
  <c r="Q844" i="5" s="1"/>
  <c r="Q845" i="5" a="1"/>
  <c r="Q845" i="5" s="1"/>
  <c r="Q846" i="5" a="1"/>
  <c r="Q846" i="5" s="1"/>
  <c r="Q847" i="5" a="1"/>
  <c r="Q847" i="5" s="1"/>
  <c r="Q848" i="5" a="1"/>
  <c r="Q848" i="5" s="1"/>
  <c r="Q849" i="5" a="1"/>
  <c r="Q849" i="5" s="1"/>
  <c r="Q850" i="5" a="1"/>
  <c r="Q850" i="5" s="1"/>
  <c r="Q851" i="5" a="1"/>
  <c r="Q851" i="5" s="1"/>
  <c r="Q852" i="5" a="1"/>
  <c r="Q852" i="5" s="1"/>
  <c r="Q853" i="5" a="1"/>
  <c r="Q853" i="5" s="1"/>
  <c r="Q854" i="5" a="1"/>
  <c r="Q854" i="5" s="1"/>
  <c r="Q855" i="5" a="1"/>
  <c r="Q855" i="5" s="1"/>
  <c r="Q856" i="5" a="1"/>
  <c r="Q856" i="5" s="1"/>
  <c r="Q857" i="5" a="1"/>
  <c r="Q857" i="5" s="1"/>
  <c r="Q858" i="5" a="1"/>
  <c r="Q858" i="5" s="1"/>
  <c r="Q859" i="5" a="1"/>
  <c r="Q859" i="5" s="1"/>
  <c r="Q860" i="5" a="1"/>
  <c r="Q860" i="5" s="1"/>
  <c r="Q861" i="5" a="1"/>
  <c r="Q861" i="5" s="1"/>
  <c r="Q862" i="5" a="1"/>
  <c r="Q862" i="5" s="1"/>
  <c r="Q863" i="5" a="1"/>
  <c r="Q863" i="5" s="1"/>
  <c r="Q864" i="5" a="1"/>
  <c r="Q864" i="5" s="1"/>
  <c r="Q865" i="5" a="1"/>
  <c r="Q865" i="5" s="1"/>
  <c r="Q866" i="5" a="1"/>
  <c r="Q866" i="5" s="1"/>
  <c r="Q867" i="5" a="1"/>
  <c r="Q867" i="5" s="1"/>
  <c r="Q868" i="5" a="1"/>
  <c r="Q868" i="5" s="1"/>
  <c r="Q869" i="5" a="1"/>
  <c r="Q869" i="5" s="1"/>
  <c r="Q870" i="5" a="1"/>
  <c r="Q870" i="5" s="1"/>
  <c r="Q871" i="5" a="1"/>
  <c r="Q871" i="5" s="1"/>
  <c r="Q872" i="5" a="1"/>
  <c r="Q872" i="5" s="1"/>
  <c r="Q873" i="5" a="1"/>
  <c r="Q873" i="5" s="1"/>
  <c r="Q874" i="5" a="1"/>
  <c r="Q874" i="5" s="1"/>
  <c r="Q875" i="5" a="1"/>
  <c r="Q875" i="5" s="1"/>
  <c r="Q876" i="5" a="1"/>
  <c r="Q876" i="5" s="1"/>
  <c r="Q877" i="5" a="1"/>
  <c r="Q877" i="5" s="1"/>
  <c r="Q878" i="5" a="1"/>
  <c r="Q878" i="5" s="1"/>
  <c r="Q879" i="5" a="1"/>
  <c r="Q879" i="5" s="1"/>
  <c r="Q880" i="5" a="1"/>
  <c r="Q880" i="5" s="1"/>
  <c r="Q881" i="5" a="1"/>
  <c r="Q881" i="5" s="1"/>
  <c r="Q882" i="5" a="1"/>
  <c r="Q882" i="5" s="1"/>
  <c r="Q883" i="5" a="1"/>
  <c r="Q883" i="5" s="1"/>
  <c r="Q884" i="5" a="1"/>
  <c r="Q884" i="5" s="1"/>
  <c r="Q885" i="5" a="1"/>
  <c r="Q885" i="5" s="1"/>
  <c r="Q886" i="5" a="1"/>
  <c r="Q886" i="5" s="1"/>
  <c r="Q887" i="5" a="1"/>
  <c r="Q887" i="5" s="1"/>
  <c r="Q888" i="5" a="1"/>
  <c r="Q888" i="5" s="1"/>
  <c r="Q889" i="5" a="1"/>
  <c r="Q889" i="5" s="1"/>
  <c r="Q890" i="5" a="1"/>
  <c r="Q890" i="5" s="1"/>
  <c r="Q891" i="5" a="1"/>
  <c r="Q891" i="5" s="1"/>
  <c r="Q892" i="5" a="1"/>
  <c r="Q892" i="5" s="1"/>
  <c r="Q893" i="5" a="1"/>
  <c r="Q893" i="5" s="1"/>
  <c r="Q894" i="5" a="1"/>
  <c r="Q894" i="5" s="1"/>
  <c r="Q895" i="5" a="1"/>
  <c r="Q895" i="5" s="1"/>
  <c r="Q896" i="5" a="1"/>
  <c r="Q896" i="5" s="1"/>
  <c r="Q897" i="5" a="1"/>
  <c r="Q897" i="5" s="1"/>
  <c r="Q898" i="5" a="1"/>
  <c r="Q898" i="5" s="1"/>
  <c r="Q899" i="5" a="1"/>
  <c r="Q899" i="5" s="1"/>
  <c r="Q900" i="5" a="1"/>
  <c r="Q900" i="5" s="1"/>
  <c r="Q901" i="5" a="1"/>
  <c r="Q901" i="5" s="1"/>
  <c r="Q902" i="5" a="1"/>
  <c r="Q902" i="5" s="1"/>
  <c r="Q903" i="5" a="1"/>
  <c r="Q903" i="5" s="1"/>
  <c r="Q904" i="5" a="1"/>
  <c r="Q904" i="5" s="1"/>
  <c r="Q905" i="5" a="1"/>
  <c r="Q905" i="5" s="1"/>
  <c r="Q906" i="5" a="1"/>
  <c r="Q906" i="5" s="1"/>
  <c r="Q907" i="5" a="1"/>
  <c r="Q907" i="5" s="1"/>
  <c r="Q908" i="5" a="1"/>
  <c r="Q908" i="5" s="1"/>
  <c r="Q909" i="5" a="1"/>
  <c r="Q909" i="5" s="1"/>
  <c r="Q910" i="5" a="1"/>
  <c r="Q910" i="5" s="1"/>
  <c r="Q911" i="5" a="1"/>
  <c r="Q911" i="5" s="1"/>
  <c r="Q912" i="5" a="1"/>
  <c r="Q912" i="5" s="1"/>
  <c r="Q913" i="5" a="1"/>
  <c r="Q913" i="5" s="1"/>
  <c r="Q914" i="5" a="1"/>
  <c r="Q914" i="5" s="1"/>
  <c r="Q915" i="5" a="1"/>
  <c r="Q915" i="5" s="1"/>
  <c r="Q916" i="5" a="1"/>
  <c r="Q916" i="5" s="1"/>
  <c r="Q917" i="5" a="1"/>
  <c r="Q917" i="5" s="1"/>
  <c r="Q918" i="5" a="1"/>
  <c r="Q918" i="5" s="1"/>
  <c r="Q919" i="5" a="1"/>
  <c r="Q919" i="5" s="1"/>
  <c r="Q920" i="5" a="1"/>
  <c r="Q920" i="5" s="1"/>
  <c r="Q921" i="5" a="1"/>
  <c r="Q921" i="5" s="1"/>
  <c r="Q922" i="5" a="1"/>
  <c r="Q922" i="5" s="1"/>
  <c r="Q923" i="5" a="1"/>
  <c r="Q923" i="5" s="1"/>
  <c r="Q924" i="5" a="1"/>
  <c r="Q924" i="5" s="1"/>
  <c r="Q925" i="5" a="1"/>
  <c r="Q925" i="5" s="1"/>
  <c r="Q926" i="5" a="1"/>
  <c r="Q926" i="5" s="1"/>
  <c r="Q927" i="5" a="1"/>
  <c r="Q927" i="5" s="1"/>
  <c r="Q928" i="5" a="1"/>
  <c r="Q928" i="5" s="1"/>
  <c r="Q929" i="5" a="1"/>
  <c r="Q929" i="5" s="1"/>
  <c r="Q930" i="5" a="1"/>
  <c r="Q930" i="5" s="1"/>
  <c r="Q931" i="5" a="1"/>
  <c r="Q931" i="5" s="1"/>
  <c r="Q932" i="5" a="1"/>
  <c r="Q932" i="5" s="1"/>
  <c r="Q933" i="5" a="1"/>
  <c r="Q933" i="5" s="1"/>
  <c r="Q934" i="5" a="1"/>
  <c r="Q934" i="5" s="1"/>
  <c r="Q935" i="5" a="1"/>
  <c r="Q935" i="5" s="1"/>
  <c r="Q936" i="5" a="1"/>
  <c r="Q936" i="5" s="1"/>
  <c r="Q937" i="5" a="1"/>
  <c r="Q937" i="5" s="1"/>
  <c r="Q938" i="5" a="1"/>
  <c r="Q938" i="5" s="1"/>
  <c r="Q939" i="5" a="1"/>
  <c r="Q939" i="5" s="1"/>
  <c r="Q940" i="5" a="1"/>
  <c r="Q940" i="5" s="1"/>
  <c r="Q941" i="5" a="1"/>
  <c r="Q941" i="5" s="1"/>
  <c r="Q942" i="5" a="1"/>
  <c r="Q942" i="5" s="1"/>
  <c r="Q943" i="5" a="1"/>
  <c r="Q943" i="5" s="1"/>
  <c r="Q944" i="5" a="1"/>
  <c r="Q944" i="5" s="1"/>
  <c r="Q945" i="5" a="1"/>
  <c r="Q945" i="5" s="1"/>
  <c r="Q946" i="5" a="1"/>
  <c r="Q946" i="5" s="1"/>
  <c r="Q947" i="5" a="1"/>
  <c r="Q947" i="5" s="1"/>
  <c r="Q948" i="5" a="1"/>
  <c r="Q948" i="5" s="1"/>
  <c r="Q949" i="5" a="1"/>
  <c r="Q949" i="5" s="1"/>
  <c r="Q950" i="5" a="1"/>
  <c r="Q950" i="5" s="1"/>
  <c r="Q951" i="5" a="1"/>
  <c r="Q951" i="5" s="1"/>
  <c r="Q952" i="5" a="1"/>
  <c r="Q952" i="5" s="1"/>
  <c r="Q953" i="5" a="1"/>
  <c r="Q953" i="5" s="1"/>
  <c r="Q954" i="5" a="1"/>
  <c r="Q954" i="5" s="1"/>
  <c r="Q955" i="5" a="1"/>
  <c r="Q955" i="5" s="1"/>
  <c r="Q956" i="5" a="1"/>
  <c r="Q956" i="5" s="1"/>
  <c r="Q957" i="5" a="1"/>
  <c r="Q957" i="5" s="1"/>
  <c r="Q958" i="5" a="1"/>
  <c r="Q958" i="5" s="1"/>
  <c r="Q959" i="5" a="1"/>
  <c r="Q959" i="5" s="1"/>
  <c r="Q960" i="5" a="1"/>
  <c r="Q960" i="5" s="1"/>
  <c r="Q961" i="5" a="1"/>
  <c r="Q961" i="5" s="1"/>
  <c r="Q962" i="5" a="1"/>
  <c r="Q962" i="5" s="1"/>
  <c r="Q963" i="5" a="1"/>
  <c r="Q963" i="5" s="1"/>
  <c r="Q964" i="5" a="1"/>
  <c r="Q964" i="5" s="1"/>
  <c r="Q965" i="5" a="1"/>
  <c r="Q965" i="5" s="1"/>
  <c r="Q966" i="5" a="1"/>
  <c r="Q966" i="5" s="1"/>
  <c r="Q967" i="5" a="1"/>
  <c r="Q967" i="5" s="1"/>
  <c r="Q968" i="5" a="1"/>
  <c r="Q968" i="5" s="1"/>
  <c r="Q969" i="5" a="1"/>
  <c r="Q969" i="5" s="1"/>
  <c r="Q970" i="5" a="1"/>
  <c r="Q970" i="5" s="1"/>
  <c r="Q971" i="5" a="1"/>
  <c r="Q971" i="5" s="1"/>
  <c r="Q972" i="5" a="1"/>
  <c r="Q972" i="5" s="1"/>
  <c r="Q973" i="5" a="1"/>
  <c r="Q973" i="5" s="1"/>
  <c r="Q974" i="5" a="1"/>
  <c r="Q974" i="5" s="1"/>
  <c r="Q975" i="5" a="1"/>
  <c r="Q975" i="5" s="1"/>
  <c r="Q976" i="5" a="1"/>
  <c r="Q976" i="5" s="1"/>
  <c r="Q977" i="5" a="1"/>
  <c r="Q977" i="5" s="1"/>
  <c r="Q978" i="5" a="1"/>
  <c r="Q978" i="5" s="1"/>
  <c r="Q979" i="5" a="1"/>
  <c r="Q979" i="5" s="1"/>
  <c r="Q980" i="5" a="1"/>
  <c r="Q980" i="5" s="1"/>
  <c r="Q981" i="5" a="1"/>
  <c r="Q981" i="5" s="1"/>
  <c r="Q982" i="5" a="1"/>
  <c r="Q982" i="5" s="1"/>
  <c r="Q983" i="5" a="1"/>
  <c r="Q983" i="5" s="1"/>
  <c r="Q984" i="5" a="1"/>
  <c r="Q984" i="5" s="1"/>
  <c r="Q985" i="5" a="1"/>
  <c r="Q985" i="5" s="1"/>
  <c r="Q986" i="5" a="1"/>
  <c r="Q986" i="5" s="1"/>
  <c r="Q987" i="5" a="1"/>
  <c r="Q987" i="5" s="1"/>
  <c r="Q988" i="5" a="1"/>
  <c r="Q988" i="5" s="1"/>
  <c r="Q989" i="5" a="1"/>
  <c r="Q989" i="5" s="1"/>
  <c r="Q990" i="5" a="1"/>
  <c r="Q990" i="5" s="1"/>
  <c r="Q991" i="5" a="1"/>
  <c r="Q991" i="5" s="1"/>
  <c r="Q992" i="5" a="1"/>
  <c r="Q992" i="5" s="1"/>
  <c r="Q993" i="5" a="1"/>
  <c r="Q993" i="5" s="1"/>
  <c r="Q994" i="5" a="1"/>
  <c r="Q994" i="5" s="1"/>
  <c r="Q995" i="5" a="1"/>
  <c r="Q995" i="5" s="1"/>
  <c r="Q996" i="5" a="1"/>
  <c r="Q996" i="5" s="1"/>
  <c r="Q997" i="5" a="1"/>
  <c r="Q997" i="5" s="1"/>
  <c r="Q998" i="5" a="1"/>
  <c r="Q998" i="5" s="1"/>
  <c r="Q999" i="5" a="1"/>
  <c r="Q999" i="5" s="1"/>
  <c r="Q1000" i="5" a="1"/>
  <c r="Q1000" i="5" s="1"/>
  <c r="Q1001" i="5" a="1"/>
  <c r="Q1001" i="5" s="1"/>
  <c r="P2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22" i="5"/>
  <c r="P323" i="5"/>
  <c r="P324" i="5"/>
  <c r="P325" i="5"/>
  <c r="P326" i="5"/>
  <c r="P327" i="5"/>
  <c r="P328" i="5"/>
  <c r="P329" i="5"/>
  <c r="P330" i="5"/>
  <c r="P331" i="5"/>
  <c r="P332" i="5"/>
  <c r="P333" i="5"/>
  <c r="P334" i="5"/>
  <c r="P335" i="5"/>
  <c r="P336" i="5"/>
  <c r="P337" i="5"/>
  <c r="P338" i="5"/>
  <c r="P339" i="5"/>
  <c r="P340" i="5"/>
  <c r="P341" i="5"/>
  <c r="P342" i="5"/>
  <c r="P343" i="5"/>
  <c r="P344" i="5"/>
  <c r="P345" i="5"/>
  <c r="P346" i="5"/>
  <c r="P347" i="5"/>
  <c r="P348" i="5"/>
  <c r="P349" i="5"/>
  <c r="P350" i="5"/>
  <c r="P351" i="5"/>
  <c r="P352" i="5"/>
  <c r="P353" i="5"/>
  <c r="P354" i="5"/>
  <c r="P355" i="5"/>
  <c r="P356" i="5"/>
  <c r="P357" i="5"/>
  <c r="P358" i="5"/>
  <c r="P359" i="5"/>
  <c r="P360" i="5"/>
  <c r="P361" i="5"/>
  <c r="P362" i="5"/>
  <c r="P363" i="5"/>
  <c r="P364" i="5"/>
  <c r="P365" i="5"/>
  <c r="P366" i="5"/>
  <c r="P367" i="5"/>
  <c r="P368" i="5"/>
  <c r="P369" i="5"/>
  <c r="P370" i="5"/>
  <c r="P371" i="5"/>
  <c r="P372" i="5"/>
  <c r="P373" i="5"/>
  <c r="P374" i="5"/>
  <c r="P375" i="5"/>
  <c r="P376" i="5"/>
  <c r="P377" i="5"/>
  <c r="P378" i="5"/>
  <c r="P379" i="5"/>
  <c r="P380" i="5"/>
  <c r="P381" i="5"/>
  <c r="P382" i="5"/>
  <c r="P383" i="5"/>
  <c r="P384" i="5"/>
  <c r="P385" i="5"/>
  <c r="P386" i="5"/>
  <c r="P387" i="5"/>
  <c r="P388" i="5"/>
  <c r="P389" i="5"/>
  <c r="P390" i="5"/>
  <c r="P391" i="5"/>
  <c r="P392" i="5"/>
  <c r="P393" i="5"/>
  <c r="P394" i="5"/>
  <c r="P395" i="5"/>
  <c r="P396" i="5"/>
  <c r="P397" i="5"/>
  <c r="P398" i="5"/>
  <c r="P399" i="5"/>
  <c r="P400" i="5"/>
  <c r="P401" i="5"/>
  <c r="P402" i="5"/>
  <c r="P403" i="5"/>
  <c r="P404" i="5"/>
  <c r="P405" i="5"/>
  <c r="P406" i="5"/>
  <c r="P407" i="5"/>
  <c r="P408" i="5"/>
  <c r="P409" i="5"/>
  <c r="P410" i="5"/>
  <c r="P411" i="5"/>
  <c r="P412" i="5"/>
  <c r="P413" i="5"/>
  <c r="P414" i="5"/>
  <c r="P415" i="5"/>
  <c r="P416" i="5"/>
  <c r="P417" i="5"/>
  <c r="P418" i="5"/>
  <c r="P419" i="5"/>
  <c r="P420" i="5"/>
  <c r="P421" i="5"/>
  <c r="P422" i="5"/>
  <c r="P423" i="5"/>
  <c r="P424" i="5"/>
  <c r="P425" i="5"/>
  <c r="P426" i="5"/>
  <c r="P427" i="5"/>
  <c r="P428" i="5"/>
  <c r="P429" i="5"/>
  <c r="P430" i="5"/>
  <c r="P431" i="5"/>
  <c r="P432" i="5"/>
  <c r="P433" i="5"/>
  <c r="P434" i="5"/>
  <c r="P435" i="5"/>
  <c r="P436" i="5"/>
  <c r="P437" i="5"/>
  <c r="P438" i="5"/>
  <c r="P439" i="5"/>
  <c r="P440" i="5"/>
  <c r="P441" i="5"/>
  <c r="P442" i="5"/>
  <c r="P443" i="5"/>
  <c r="P444" i="5"/>
  <c r="P445" i="5"/>
  <c r="P446" i="5"/>
  <c r="P447" i="5"/>
  <c r="P448" i="5"/>
  <c r="P449" i="5"/>
  <c r="P450" i="5"/>
  <c r="P451" i="5"/>
  <c r="P452" i="5"/>
  <c r="P453" i="5"/>
  <c r="P454" i="5"/>
  <c r="P455" i="5"/>
  <c r="P456" i="5"/>
  <c r="P457" i="5"/>
  <c r="P458" i="5"/>
  <c r="P459" i="5"/>
  <c r="P460" i="5"/>
  <c r="P461" i="5"/>
  <c r="P462" i="5"/>
  <c r="P463" i="5"/>
  <c r="P464" i="5"/>
  <c r="P465" i="5"/>
  <c r="P466" i="5"/>
  <c r="P467" i="5"/>
  <c r="P468" i="5"/>
  <c r="P469" i="5"/>
  <c r="P470" i="5"/>
  <c r="P471" i="5"/>
  <c r="P472" i="5"/>
  <c r="P473" i="5"/>
  <c r="P474" i="5"/>
  <c r="P475" i="5"/>
  <c r="P476" i="5"/>
  <c r="P477" i="5"/>
  <c r="P478" i="5"/>
  <c r="P479" i="5"/>
  <c r="P480" i="5"/>
  <c r="P481" i="5"/>
  <c r="P482" i="5"/>
  <c r="P483" i="5"/>
  <c r="P484" i="5"/>
  <c r="P485" i="5"/>
  <c r="P486" i="5"/>
  <c r="P487" i="5"/>
  <c r="P488" i="5"/>
  <c r="P489" i="5"/>
  <c r="P490" i="5"/>
  <c r="P491" i="5"/>
  <c r="P492" i="5"/>
  <c r="P493" i="5"/>
  <c r="P494" i="5"/>
  <c r="P495" i="5"/>
  <c r="P496" i="5"/>
  <c r="P497" i="5"/>
  <c r="P498" i="5"/>
  <c r="P499" i="5"/>
  <c r="P500" i="5"/>
  <c r="P501" i="5"/>
  <c r="P502" i="5"/>
  <c r="P503" i="5"/>
  <c r="P504" i="5"/>
  <c r="P505" i="5"/>
  <c r="P506" i="5"/>
  <c r="P507" i="5"/>
  <c r="P508" i="5"/>
  <c r="P509" i="5"/>
  <c r="P510" i="5"/>
  <c r="P511" i="5"/>
  <c r="P512" i="5"/>
  <c r="P513" i="5"/>
  <c r="P514" i="5"/>
  <c r="P515" i="5"/>
  <c r="P516" i="5"/>
  <c r="P517" i="5"/>
  <c r="P518" i="5"/>
  <c r="P519" i="5"/>
  <c r="P520" i="5"/>
  <c r="P521" i="5"/>
  <c r="P522" i="5"/>
  <c r="P523" i="5"/>
  <c r="P524" i="5"/>
  <c r="P525" i="5"/>
  <c r="P526" i="5"/>
  <c r="P527" i="5"/>
  <c r="P528" i="5"/>
  <c r="P529" i="5"/>
  <c r="P530" i="5"/>
  <c r="P531" i="5"/>
  <c r="P532" i="5"/>
  <c r="P533" i="5"/>
  <c r="P534" i="5"/>
  <c r="P535" i="5"/>
  <c r="P536" i="5"/>
  <c r="P537" i="5"/>
  <c r="P538" i="5"/>
  <c r="P539" i="5"/>
  <c r="P540" i="5"/>
  <c r="P541" i="5"/>
  <c r="P542" i="5"/>
  <c r="P543" i="5"/>
  <c r="P544" i="5"/>
  <c r="P545" i="5"/>
  <c r="P546" i="5"/>
  <c r="P547" i="5"/>
  <c r="P548" i="5"/>
  <c r="P549" i="5"/>
  <c r="P550" i="5"/>
  <c r="P551" i="5"/>
  <c r="P552" i="5"/>
  <c r="P553" i="5"/>
  <c r="P554" i="5"/>
  <c r="P555" i="5"/>
  <c r="P556" i="5"/>
  <c r="P557" i="5"/>
  <c r="P558" i="5"/>
  <c r="P559" i="5"/>
  <c r="P560" i="5"/>
  <c r="P561" i="5"/>
  <c r="P562" i="5"/>
  <c r="P563" i="5"/>
  <c r="P564" i="5"/>
  <c r="P565" i="5"/>
  <c r="P566" i="5"/>
  <c r="P567" i="5"/>
  <c r="P568" i="5"/>
  <c r="P569" i="5"/>
  <c r="P570" i="5"/>
  <c r="P571" i="5"/>
  <c r="P572" i="5"/>
  <c r="P573" i="5"/>
  <c r="P574" i="5"/>
  <c r="P575" i="5"/>
  <c r="P576" i="5"/>
  <c r="P577" i="5"/>
  <c r="P578" i="5"/>
  <c r="P579" i="5"/>
  <c r="P580" i="5"/>
  <c r="P581" i="5"/>
  <c r="P582" i="5"/>
  <c r="P583" i="5"/>
  <c r="P584" i="5"/>
  <c r="P585" i="5"/>
  <c r="P586" i="5"/>
  <c r="P587" i="5"/>
  <c r="P588" i="5"/>
  <c r="P589" i="5"/>
  <c r="P590" i="5"/>
  <c r="P591" i="5"/>
  <c r="P592" i="5"/>
  <c r="P593" i="5"/>
  <c r="P594" i="5"/>
  <c r="P595" i="5"/>
  <c r="P596" i="5"/>
  <c r="P597" i="5"/>
  <c r="P598" i="5"/>
  <c r="P599" i="5"/>
  <c r="P600" i="5"/>
  <c r="P601" i="5"/>
  <c r="P602" i="5"/>
  <c r="P603" i="5"/>
  <c r="P604" i="5"/>
  <c r="P605" i="5"/>
  <c r="P606" i="5"/>
  <c r="P607" i="5"/>
  <c r="P608" i="5"/>
  <c r="P609" i="5"/>
  <c r="P610" i="5"/>
  <c r="P611" i="5"/>
  <c r="P612" i="5"/>
  <c r="P613" i="5"/>
  <c r="P614" i="5"/>
  <c r="P615" i="5"/>
  <c r="P616" i="5"/>
  <c r="P617" i="5"/>
  <c r="P618" i="5"/>
  <c r="P619" i="5"/>
  <c r="P620" i="5"/>
  <c r="P621" i="5"/>
  <c r="P622" i="5"/>
  <c r="P623" i="5"/>
  <c r="P624" i="5"/>
  <c r="P625" i="5"/>
  <c r="P626" i="5"/>
  <c r="P627" i="5"/>
  <c r="P628" i="5"/>
  <c r="P629" i="5"/>
  <c r="P630" i="5"/>
  <c r="P631" i="5"/>
  <c r="P632" i="5"/>
  <c r="P633" i="5"/>
  <c r="P634" i="5"/>
  <c r="P635" i="5"/>
  <c r="P636" i="5"/>
  <c r="P637" i="5"/>
  <c r="P638" i="5"/>
  <c r="P639" i="5"/>
  <c r="P640" i="5"/>
  <c r="P641" i="5"/>
  <c r="P642" i="5"/>
  <c r="P643" i="5"/>
  <c r="P644" i="5"/>
  <c r="P645" i="5"/>
  <c r="P646" i="5"/>
  <c r="P647" i="5"/>
  <c r="P648" i="5"/>
  <c r="P649" i="5"/>
  <c r="P650" i="5"/>
  <c r="P651" i="5"/>
  <c r="P652" i="5"/>
  <c r="P653" i="5"/>
  <c r="P654" i="5"/>
  <c r="P655" i="5"/>
  <c r="P656" i="5"/>
  <c r="P657" i="5"/>
  <c r="P658" i="5"/>
  <c r="P659" i="5"/>
  <c r="P660" i="5"/>
  <c r="P661" i="5"/>
  <c r="P662" i="5"/>
  <c r="P663" i="5"/>
  <c r="P664" i="5"/>
  <c r="P665" i="5"/>
  <c r="P666" i="5"/>
  <c r="P667" i="5"/>
  <c r="P668" i="5"/>
  <c r="P669" i="5"/>
  <c r="P670" i="5"/>
  <c r="P671" i="5"/>
  <c r="P672" i="5"/>
  <c r="P673" i="5"/>
  <c r="P674" i="5"/>
  <c r="P675" i="5"/>
  <c r="P676" i="5"/>
  <c r="P677" i="5"/>
  <c r="P678" i="5"/>
  <c r="P679" i="5"/>
  <c r="P680" i="5"/>
  <c r="P681" i="5"/>
  <c r="P682" i="5"/>
  <c r="P683" i="5"/>
  <c r="P684" i="5"/>
  <c r="P685" i="5"/>
  <c r="P686" i="5"/>
  <c r="P687" i="5"/>
  <c r="P688" i="5"/>
  <c r="P689" i="5"/>
  <c r="P690" i="5"/>
  <c r="P691" i="5"/>
  <c r="P692" i="5"/>
  <c r="P693" i="5"/>
  <c r="P694" i="5"/>
  <c r="P695" i="5"/>
  <c r="P696" i="5"/>
  <c r="P697" i="5"/>
  <c r="P698" i="5"/>
  <c r="P699" i="5"/>
  <c r="P700" i="5"/>
  <c r="P701" i="5"/>
  <c r="P702" i="5"/>
  <c r="P703" i="5"/>
  <c r="P704" i="5"/>
  <c r="P705" i="5"/>
  <c r="P706" i="5"/>
  <c r="P707" i="5"/>
  <c r="P708" i="5"/>
  <c r="P709" i="5"/>
  <c r="P710" i="5"/>
  <c r="P711" i="5"/>
  <c r="P712" i="5"/>
  <c r="P713" i="5"/>
  <c r="P714" i="5"/>
  <c r="P715" i="5"/>
  <c r="P716" i="5"/>
  <c r="P717" i="5"/>
  <c r="P718" i="5"/>
  <c r="P719" i="5"/>
  <c r="P720" i="5"/>
  <c r="P721" i="5"/>
  <c r="P722" i="5"/>
  <c r="P723" i="5"/>
  <c r="P724" i="5"/>
  <c r="P725" i="5"/>
  <c r="P726" i="5"/>
  <c r="P727" i="5"/>
  <c r="P728" i="5"/>
  <c r="P729" i="5"/>
  <c r="P730" i="5"/>
  <c r="P731" i="5"/>
  <c r="P732" i="5"/>
  <c r="P733" i="5"/>
  <c r="P734" i="5"/>
  <c r="P735" i="5"/>
  <c r="P736" i="5"/>
  <c r="P737" i="5"/>
  <c r="P738" i="5"/>
  <c r="P739" i="5"/>
  <c r="P740" i="5"/>
  <c r="P741" i="5"/>
  <c r="P742" i="5"/>
  <c r="P743" i="5"/>
  <c r="P744" i="5"/>
  <c r="P745" i="5"/>
  <c r="P746" i="5"/>
  <c r="P747" i="5"/>
  <c r="P748" i="5"/>
  <c r="P749" i="5"/>
  <c r="P750" i="5"/>
  <c r="P751" i="5"/>
  <c r="P752" i="5"/>
  <c r="P753" i="5"/>
  <c r="P754" i="5"/>
  <c r="P755" i="5"/>
  <c r="P756" i="5"/>
  <c r="P757" i="5"/>
  <c r="P758" i="5"/>
  <c r="P759" i="5"/>
  <c r="P760" i="5"/>
  <c r="P761" i="5"/>
  <c r="P762" i="5"/>
  <c r="P763" i="5"/>
  <c r="P764" i="5"/>
  <c r="P765" i="5"/>
  <c r="P766" i="5"/>
  <c r="P767" i="5"/>
  <c r="P768" i="5"/>
  <c r="P769" i="5"/>
  <c r="P770" i="5"/>
  <c r="P771" i="5"/>
  <c r="P772" i="5"/>
  <c r="P773" i="5"/>
  <c r="P774" i="5"/>
  <c r="P775" i="5"/>
  <c r="P776" i="5"/>
  <c r="P777" i="5"/>
  <c r="P778" i="5"/>
  <c r="P779" i="5"/>
  <c r="P780" i="5"/>
  <c r="P781" i="5"/>
  <c r="P782" i="5"/>
  <c r="P783" i="5"/>
  <c r="P784" i="5"/>
  <c r="P785" i="5"/>
  <c r="P786" i="5"/>
  <c r="P787" i="5"/>
  <c r="P788" i="5"/>
  <c r="P789" i="5"/>
  <c r="P790" i="5"/>
  <c r="P791" i="5"/>
  <c r="P792" i="5"/>
  <c r="P793" i="5"/>
  <c r="P794" i="5"/>
  <c r="P795" i="5"/>
  <c r="P796" i="5"/>
  <c r="P797" i="5"/>
  <c r="P798" i="5"/>
  <c r="P799" i="5"/>
  <c r="P800" i="5"/>
  <c r="P801" i="5"/>
  <c r="P802" i="5"/>
  <c r="P803" i="5"/>
  <c r="P804" i="5"/>
  <c r="P805" i="5"/>
  <c r="P806" i="5"/>
  <c r="P807" i="5"/>
  <c r="P808" i="5"/>
  <c r="P809" i="5"/>
  <c r="P810" i="5"/>
  <c r="P811" i="5"/>
  <c r="P812" i="5"/>
  <c r="P813" i="5"/>
  <c r="P814" i="5"/>
  <c r="P815" i="5"/>
  <c r="P816" i="5"/>
  <c r="P817" i="5"/>
  <c r="P818" i="5"/>
  <c r="P819" i="5"/>
  <c r="P820" i="5"/>
  <c r="P821" i="5"/>
  <c r="P822" i="5"/>
  <c r="P823" i="5"/>
  <c r="P824" i="5"/>
  <c r="P825" i="5"/>
  <c r="P826" i="5"/>
  <c r="P827" i="5"/>
  <c r="P828" i="5"/>
  <c r="P829" i="5"/>
  <c r="P830" i="5"/>
  <c r="P831" i="5"/>
  <c r="P832" i="5"/>
  <c r="P833" i="5"/>
  <c r="P834" i="5"/>
  <c r="P835" i="5"/>
  <c r="P836" i="5"/>
  <c r="P837" i="5"/>
  <c r="P838" i="5"/>
  <c r="P839" i="5"/>
  <c r="P840" i="5"/>
  <c r="P841" i="5"/>
  <c r="P842" i="5"/>
  <c r="P843" i="5"/>
  <c r="P844" i="5"/>
  <c r="P845" i="5"/>
  <c r="P846" i="5"/>
  <c r="P847" i="5"/>
  <c r="P848" i="5"/>
  <c r="P849" i="5"/>
  <c r="P850" i="5"/>
  <c r="P851" i="5"/>
  <c r="P852" i="5"/>
  <c r="P853" i="5"/>
  <c r="P854" i="5"/>
  <c r="P855" i="5"/>
  <c r="P856" i="5"/>
  <c r="P857" i="5"/>
  <c r="P858" i="5"/>
  <c r="P859" i="5"/>
  <c r="P860" i="5"/>
  <c r="P861" i="5"/>
  <c r="P862" i="5"/>
  <c r="P863" i="5"/>
  <c r="P864" i="5"/>
  <c r="P865" i="5"/>
  <c r="P866" i="5"/>
  <c r="P867" i="5"/>
  <c r="P868" i="5"/>
  <c r="P869" i="5"/>
  <c r="P870" i="5"/>
  <c r="P871" i="5"/>
  <c r="P872" i="5"/>
  <c r="P873" i="5"/>
  <c r="P874" i="5"/>
  <c r="P875" i="5"/>
  <c r="P876" i="5"/>
  <c r="P877" i="5"/>
  <c r="P878" i="5"/>
  <c r="P879" i="5"/>
  <c r="P880" i="5"/>
  <c r="P881" i="5"/>
  <c r="P882" i="5"/>
  <c r="P883" i="5"/>
  <c r="P884" i="5"/>
  <c r="P885" i="5"/>
  <c r="P886" i="5"/>
  <c r="P887" i="5"/>
  <c r="P888" i="5"/>
  <c r="P889" i="5"/>
  <c r="P890" i="5"/>
  <c r="P891" i="5"/>
  <c r="P892" i="5"/>
  <c r="P893" i="5"/>
  <c r="P894" i="5"/>
  <c r="P895" i="5"/>
  <c r="P896" i="5"/>
  <c r="P897" i="5"/>
  <c r="P898" i="5"/>
  <c r="P899" i="5"/>
  <c r="P900" i="5"/>
  <c r="P901" i="5"/>
  <c r="P902" i="5"/>
  <c r="P903" i="5"/>
  <c r="P904" i="5"/>
  <c r="P905" i="5"/>
  <c r="P906" i="5"/>
  <c r="P907" i="5"/>
  <c r="P908" i="5"/>
  <c r="P909" i="5"/>
  <c r="P910" i="5"/>
  <c r="P911" i="5"/>
  <c r="P912" i="5"/>
  <c r="P913" i="5"/>
  <c r="P914" i="5"/>
  <c r="P915" i="5"/>
  <c r="P916" i="5"/>
  <c r="P917" i="5"/>
  <c r="P918" i="5"/>
  <c r="P919" i="5"/>
  <c r="P920" i="5"/>
  <c r="P921" i="5"/>
  <c r="P922" i="5"/>
  <c r="P923" i="5"/>
  <c r="P924" i="5"/>
  <c r="P925" i="5"/>
  <c r="P926" i="5"/>
  <c r="P927" i="5"/>
  <c r="P928" i="5"/>
  <c r="P929" i="5"/>
  <c r="P930" i="5"/>
  <c r="P931" i="5"/>
  <c r="P932" i="5"/>
  <c r="P933" i="5"/>
  <c r="P934" i="5"/>
  <c r="P935" i="5"/>
  <c r="P936" i="5"/>
  <c r="P937" i="5"/>
  <c r="P938" i="5"/>
  <c r="P939" i="5"/>
  <c r="P940" i="5"/>
  <c r="P941" i="5"/>
  <c r="P942" i="5"/>
  <c r="P943" i="5"/>
  <c r="P944" i="5"/>
  <c r="P945" i="5"/>
  <c r="P946" i="5"/>
  <c r="P947" i="5"/>
  <c r="P948" i="5"/>
  <c r="P949" i="5"/>
  <c r="P950" i="5"/>
  <c r="P951" i="5"/>
  <c r="P952" i="5"/>
  <c r="P953" i="5"/>
  <c r="P954" i="5"/>
  <c r="P955" i="5"/>
  <c r="P956" i="5"/>
  <c r="P957" i="5"/>
  <c r="P958" i="5"/>
  <c r="P959" i="5"/>
  <c r="P960" i="5"/>
  <c r="P961" i="5"/>
  <c r="P962" i="5"/>
  <c r="P963" i="5"/>
  <c r="P964" i="5"/>
  <c r="P965" i="5"/>
  <c r="P966" i="5"/>
  <c r="P967" i="5"/>
  <c r="P968" i="5"/>
  <c r="P969" i="5"/>
  <c r="P970" i="5"/>
  <c r="P971" i="5"/>
  <c r="P972" i="5"/>
  <c r="P973" i="5"/>
  <c r="P974" i="5"/>
  <c r="P975" i="5"/>
  <c r="P976" i="5"/>
  <c r="P977" i="5"/>
  <c r="P978" i="5"/>
  <c r="P979" i="5"/>
  <c r="P980" i="5"/>
  <c r="P981" i="5"/>
  <c r="P982" i="5"/>
  <c r="P983" i="5"/>
  <c r="P984" i="5"/>
  <c r="P985" i="5"/>
  <c r="P986" i="5"/>
  <c r="P987" i="5"/>
  <c r="P988" i="5"/>
  <c r="P989" i="5"/>
  <c r="P990" i="5"/>
  <c r="P991" i="5"/>
  <c r="P992" i="5"/>
  <c r="P993" i="5"/>
  <c r="P994" i="5"/>
  <c r="P995" i="5"/>
  <c r="P996" i="5"/>
  <c r="P997" i="5"/>
  <c r="P998" i="5"/>
  <c r="P999" i="5"/>
  <c r="P1000" i="5"/>
  <c r="P1001" i="5"/>
  <c r="N1001" i="5" a="1"/>
  <c r="N1001" i="5" s="1"/>
  <c r="O1001" i="5" s="1"/>
  <c r="M1001" i="5" a="1"/>
  <c r="M1001" i="5" s="1"/>
  <c r="L1001" i="5"/>
  <c r="K1001" i="5" a="1"/>
  <c r="K1001" i="5" s="1"/>
  <c r="F1001" i="5"/>
  <c r="N1000" i="5" a="1"/>
  <c r="N1000" i="5" s="1"/>
  <c r="O1000" i="5" s="1"/>
  <c r="M1000" i="5" a="1"/>
  <c r="M1000" i="5" s="1"/>
  <c r="L1000" i="5"/>
  <c r="K1000" i="5" a="1"/>
  <c r="K1000" i="5" s="1"/>
  <c r="F1000" i="5"/>
  <c r="N999" i="5" a="1"/>
  <c r="N999" i="5" s="1"/>
  <c r="O999" i="5" s="1"/>
  <c r="M999" i="5" a="1"/>
  <c r="M999" i="5" s="1"/>
  <c r="L999" i="5"/>
  <c r="K999" i="5" a="1"/>
  <c r="K999" i="5" s="1"/>
  <c r="F999" i="5"/>
  <c r="N998" i="5" a="1"/>
  <c r="N998" i="5" s="1"/>
  <c r="O998" i="5" s="1"/>
  <c r="M998" i="5" a="1"/>
  <c r="M998" i="5" s="1"/>
  <c r="L998" i="5"/>
  <c r="K998" i="5" a="1"/>
  <c r="K998" i="5" s="1"/>
  <c r="F998" i="5"/>
  <c r="N997" i="5" a="1"/>
  <c r="N997" i="5" s="1"/>
  <c r="O997" i="5" s="1"/>
  <c r="M997" i="5" a="1"/>
  <c r="M997" i="5" s="1"/>
  <c r="L997" i="5"/>
  <c r="K997" i="5" a="1"/>
  <c r="K997" i="5" s="1"/>
  <c r="F997" i="5"/>
  <c r="N996" i="5" a="1"/>
  <c r="N996" i="5" s="1"/>
  <c r="O996" i="5" s="1"/>
  <c r="M996" i="5" a="1"/>
  <c r="M996" i="5" s="1"/>
  <c r="L996" i="5"/>
  <c r="K996" i="5" a="1"/>
  <c r="K996" i="5" s="1"/>
  <c r="F996" i="5"/>
  <c r="N995" i="5" a="1"/>
  <c r="N995" i="5" s="1"/>
  <c r="O995" i="5" s="1"/>
  <c r="M995" i="5" a="1"/>
  <c r="M995" i="5" s="1"/>
  <c r="L995" i="5"/>
  <c r="K995" i="5" a="1"/>
  <c r="K995" i="5" s="1"/>
  <c r="F995" i="5"/>
  <c r="N994" i="5" a="1"/>
  <c r="N994" i="5" s="1"/>
  <c r="O994" i="5" s="1"/>
  <c r="M994" i="5" a="1"/>
  <c r="M994" i="5" s="1"/>
  <c r="L994" i="5"/>
  <c r="K994" i="5" a="1"/>
  <c r="K994" i="5" s="1"/>
  <c r="F994" i="5"/>
  <c r="N993" i="5" a="1"/>
  <c r="N993" i="5" s="1"/>
  <c r="O993" i="5" s="1"/>
  <c r="M993" i="5" a="1"/>
  <c r="M993" i="5" s="1"/>
  <c r="L993" i="5"/>
  <c r="K993" i="5" a="1"/>
  <c r="K993" i="5" s="1"/>
  <c r="F993" i="5"/>
  <c r="N992" i="5" a="1"/>
  <c r="N992" i="5" s="1"/>
  <c r="O992" i="5" s="1"/>
  <c r="M992" i="5" a="1"/>
  <c r="M992" i="5" s="1"/>
  <c r="L992" i="5"/>
  <c r="K992" i="5" a="1"/>
  <c r="K992" i="5" s="1"/>
  <c r="F992" i="5"/>
  <c r="N991" i="5" a="1"/>
  <c r="N991" i="5" s="1"/>
  <c r="O991" i="5" s="1"/>
  <c r="M991" i="5" a="1"/>
  <c r="M991" i="5" s="1"/>
  <c r="L991" i="5"/>
  <c r="K991" i="5" a="1"/>
  <c r="K991" i="5" s="1"/>
  <c r="F991" i="5"/>
  <c r="N990" i="5" a="1"/>
  <c r="N990" i="5" s="1"/>
  <c r="O990" i="5" s="1"/>
  <c r="M990" i="5" a="1"/>
  <c r="M990" i="5" s="1"/>
  <c r="L990" i="5"/>
  <c r="K990" i="5" a="1"/>
  <c r="K990" i="5" s="1"/>
  <c r="F990" i="5"/>
  <c r="N989" i="5" a="1"/>
  <c r="N989" i="5" s="1"/>
  <c r="O989" i="5" s="1"/>
  <c r="M989" i="5" a="1"/>
  <c r="M989" i="5" s="1"/>
  <c r="L989" i="5"/>
  <c r="K989" i="5" a="1"/>
  <c r="K989" i="5" s="1"/>
  <c r="F989" i="5"/>
  <c r="N988" i="5" a="1"/>
  <c r="N988" i="5" s="1"/>
  <c r="O988" i="5" s="1"/>
  <c r="M988" i="5" a="1"/>
  <c r="M988" i="5" s="1"/>
  <c r="L988" i="5"/>
  <c r="K988" i="5" a="1"/>
  <c r="K988" i="5" s="1"/>
  <c r="F988" i="5"/>
  <c r="N987" i="5" a="1"/>
  <c r="N987" i="5" s="1"/>
  <c r="O987" i="5" s="1"/>
  <c r="M987" i="5" a="1"/>
  <c r="M987" i="5" s="1"/>
  <c r="L987" i="5"/>
  <c r="K987" i="5" a="1"/>
  <c r="K987" i="5" s="1"/>
  <c r="F987" i="5"/>
  <c r="N986" i="5" a="1"/>
  <c r="N986" i="5" s="1"/>
  <c r="O986" i="5" s="1"/>
  <c r="M986" i="5" a="1"/>
  <c r="M986" i="5" s="1"/>
  <c r="L986" i="5"/>
  <c r="K986" i="5" a="1"/>
  <c r="K986" i="5" s="1"/>
  <c r="F986" i="5"/>
  <c r="N985" i="5" a="1"/>
  <c r="N985" i="5" s="1"/>
  <c r="O985" i="5" s="1"/>
  <c r="M985" i="5" a="1"/>
  <c r="M985" i="5" s="1"/>
  <c r="L985" i="5"/>
  <c r="K985" i="5" a="1"/>
  <c r="K985" i="5" s="1"/>
  <c r="F985" i="5"/>
  <c r="N984" i="5" a="1"/>
  <c r="N984" i="5" s="1"/>
  <c r="O984" i="5" s="1"/>
  <c r="M984" i="5" a="1"/>
  <c r="M984" i="5" s="1"/>
  <c r="L984" i="5"/>
  <c r="K984" i="5" a="1"/>
  <c r="K984" i="5" s="1"/>
  <c r="F984" i="5"/>
  <c r="N983" i="5" a="1"/>
  <c r="N983" i="5" s="1"/>
  <c r="O983" i="5" s="1"/>
  <c r="M983" i="5" a="1"/>
  <c r="M983" i="5" s="1"/>
  <c r="L983" i="5"/>
  <c r="K983" i="5" a="1"/>
  <c r="K983" i="5" s="1"/>
  <c r="F983" i="5"/>
  <c r="N982" i="5" a="1"/>
  <c r="N982" i="5" s="1"/>
  <c r="O982" i="5" s="1"/>
  <c r="M982" i="5" a="1"/>
  <c r="M982" i="5" s="1"/>
  <c r="L982" i="5"/>
  <c r="K982" i="5" a="1"/>
  <c r="K982" i="5" s="1"/>
  <c r="F982" i="5"/>
  <c r="N981" i="5" a="1"/>
  <c r="N981" i="5" s="1"/>
  <c r="O981" i="5" s="1"/>
  <c r="M981" i="5" a="1"/>
  <c r="M981" i="5" s="1"/>
  <c r="L981" i="5"/>
  <c r="K981" i="5" a="1"/>
  <c r="K981" i="5" s="1"/>
  <c r="F981" i="5"/>
  <c r="N980" i="5" a="1"/>
  <c r="N980" i="5" s="1"/>
  <c r="O980" i="5" s="1"/>
  <c r="M980" i="5" a="1"/>
  <c r="M980" i="5" s="1"/>
  <c r="L980" i="5"/>
  <c r="K980" i="5" a="1"/>
  <c r="K980" i="5" s="1"/>
  <c r="F980" i="5"/>
  <c r="N979" i="5" a="1"/>
  <c r="N979" i="5" s="1"/>
  <c r="O979" i="5" s="1"/>
  <c r="M979" i="5" a="1"/>
  <c r="M979" i="5" s="1"/>
  <c r="L979" i="5"/>
  <c r="K979" i="5" a="1"/>
  <c r="K979" i="5" s="1"/>
  <c r="F979" i="5"/>
  <c r="N978" i="5" a="1"/>
  <c r="N978" i="5" s="1"/>
  <c r="O978" i="5" s="1"/>
  <c r="M978" i="5" a="1"/>
  <c r="M978" i="5" s="1"/>
  <c r="L978" i="5"/>
  <c r="K978" i="5" a="1"/>
  <c r="K978" i="5" s="1"/>
  <c r="F978" i="5"/>
  <c r="N977" i="5" a="1"/>
  <c r="N977" i="5" s="1"/>
  <c r="O977" i="5" s="1"/>
  <c r="M977" i="5" a="1"/>
  <c r="M977" i="5" s="1"/>
  <c r="L977" i="5"/>
  <c r="K977" i="5" a="1"/>
  <c r="K977" i="5" s="1"/>
  <c r="F977" i="5"/>
  <c r="N976" i="5" a="1"/>
  <c r="N976" i="5" s="1"/>
  <c r="O976" i="5" s="1"/>
  <c r="M976" i="5" a="1"/>
  <c r="M976" i="5" s="1"/>
  <c r="L976" i="5"/>
  <c r="K976" i="5" a="1"/>
  <c r="K976" i="5" s="1"/>
  <c r="F976" i="5"/>
  <c r="N975" i="5" a="1"/>
  <c r="N975" i="5" s="1"/>
  <c r="O975" i="5" s="1"/>
  <c r="M975" i="5" a="1"/>
  <c r="M975" i="5" s="1"/>
  <c r="L975" i="5"/>
  <c r="K975" i="5" a="1"/>
  <c r="K975" i="5" s="1"/>
  <c r="F975" i="5"/>
  <c r="N974" i="5" a="1"/>
  <c r="N974" i="5" s="1"/>
  <c r="O974" i="5" s="1"/>
  <c r="M974" i="5" a="1"/>
  <c r="M974" i="5" s="1"/>
  <c r="L974" i="5"/>
  <c r="K974" i="5" a="1"/>
  <c r="K974" i="5" s="1"/>
  <c r="F974" i="5"/>
  <c r="N973" i="5" a="1"/>
  <c r="N973" i="5" s="1"/>
  <c r="O973" i="5" s="1"/>
  <c r="M973" i="5" a="1"/>
  <c r="M973" i="5" s="1"/>
  <c r="L973" i="5"/>
  <c r="K973" i="5" a="1"/>
  <c r="K973" i="5" s="1"/>
  <c r="F973" i="5"/>
  <c r="N972" i="5" a="1"/>
  <c r="N972" i="5" s="1"/>
  <c r="O972" i="5" s="1"/>
  <c r="M972" i="5" a="1"/>
  <c r="M972" i="5" s="1"/>
  <c r="L972" i="5"/>
  <c r="K972" i="5" a="1"/>
  <c r="K972" i="5" s="1"/>
  <c r="F972" i="5"/>
  <c r="N971" i="5" a="1"/>
  <c r="N971" i="5" s="1"/>
  <c r="O971" i="5" s="1"/>
  <c r="M971" i="5" a="1"/>
  <c r="M971" i="5" s="1"/>
  <c r="L971" i="5"/>
  <c r="K971" i="5" a="1"/>
  <c r="K971" i="5" s="1"/>
  <c r="F971" i="5"/>
  <c r="N970" i="5" a="1"/>
  <c r="N970" i="5" s="1"/>
  <c r="O970" i="5" s="1"/>
  <c r="M970" i="5" a="1"/>
  <c r="M970" i="5" s="1"/>
  <c r="L970" i="5"/>
  <c r="K970" i="5" a="1"/>
  <c r="K970" i="5" s="1"/>
  <c r="F970" i="5"/>
  <c r="N969" i="5" a="1"/>
  <c r="N969" i="5" s="1"/>
  <c r="O969" i="5" s="1"/>
  <c r="M969" i="5" a="1"/>
  <c r="M969" i="5" s="1"/>
  <c r="L969" i="5"/>
  <c r="K969" i="5" a="1"/>
  <c r="K969" i="5" s="1"/>
  <c r="F969" i="5"/>
  <c r="N968" i="5" a="1"/>
  <c r="N968" i="5" s="1"/>
  <c r="O968" i="5" s="1"/>
  <c r="M968" i="5" a="1"/>
  <c r="M968" i="5" s="1"/>
  <c r="L968" i="5"/>
  <c r="K968" i="5" a="1"/>
  <c r="K968" i="5" s="1"/>
  <c r="F968" i="5"/>
  <c r="N967" i="5" a="1"/>
  <c r="N967" i="5" s="1"/>
  <c r="O967" i="5" s="1"/>
  <c r="M967" i="5" a="1"/>
  <c r="M967" i="5" s="1"/>
  <c r="L967" i="5"/>
  <c r="K967" i="5" a="1"/>
  <c r="K967" i="5" s="1"/>
  <c r="F967" i="5"/>
  <c r="N966" i="5" a="1"/>
  <c r="N966" i="5" s="1"/>
  <c r="O966" i="5" s="1"/>
  <c r="M966" i="5" a="1"/>
  <c r="M966" i="5" s="1"/>
  <c r="L966" i="5"/>
  <c r="K966" i="5" a="1"/>
  <c r="K966" i="5" s="1"/>
  <c r="F966" i="5"/>
  <c r="N965" i="5" a="1"/>
  <c r="N965" i="5" s="1"/>
  <c r="O965" i="5" s="1"/>
  <c r="M965" i="5" a="1"/>
  <c r="M965" i="5" s="1"/>
  <c r="L965" i="5"/>
  <c r="K965" i="5" a="1"/>
  <c r="K965" i="5" s="1"/>
  <c r="F965" i="5"/>
  <c r="N964" i="5" a="1"/>
  <c r="N964" i="5" s="1"/>
  <c r="O964" i="5" s="1"/>
  <c r="M964" i="5" a="1"/>
  <c r="M964" i="5" s="1"/>
  <c r="L964" i="5"/>
  <c r="K964" i="5" a="1"/>
  <c r="K964" i="5" s="1"/>
  <c r="F964" i="5"/>
  <c r="N963" i="5" a="1"/>
  <c r="N963" i="5" s="1"/>
  <c r="O963" i="5" s="1"/>
  <c r="M963" i="5" a="1"/>
  <c r="M963" i="5" s="1"/>
  <c r="L963" i="5"/>
  <c r="K963" i="5" a="1"/>
  <c r="K963" i="5" s="1"/>
  <c r="F963" i="5"/>
  <c r="N962" i="5" a="1"/>
  <c r="N962" i="5" s="1"/>
  <c r="O962" i="5" s="1"/>
  <c r="M962" i="5" a="1"/>
  <c r="M962" i="5" s="1"/>
  <c r="L962" i="5"/>
  <c r="K962" i="5" a="1"/>
  <c r="K962" i="5" s="1"/>
  <c r="F962" i="5"/>
  <c r="N961" i="5" a="1"/>
  <c r="N961" i="5" s="1"/>
  <c r="O961" i="5" s="1"/>
  <c r="M961" i="5" a="1"/>
  <c r="M961" i="5" s="1"/>
  <c r="L961" i="5"/>
  <c r="K961" i="5" a="1"/>
  <c r="K961" i="5" s="1"/>
  <c r="F961" i="5"/>
  <c r="N960" i="5" a="1"/>
  <c r="N960" i="5" s="1"/>
  <c r="O960" i="5" s="1"/>
  <c r="M960" i="5" a="1"/>
  <c r="M960" i="5" s="1"/>
  <c r="L960" i="5"/>
  <c r="K960" i="5" a="1"/>
  <c r="K960" i="5" s="1"/>
  <c r="F960" i="5"/>
  <c r="N959" i="5" a="1"/>
  <c r="N959" i="5" s="1"/>
  <c r="O959" i="5" s="1"/>
  <c r="M959" i="5" a="1"/>
  <c r="M959" i="5" s="1"/>
  <c r="L959" i="5"/>
  <c r="K959" i="5" a="1"/>
  <c r="K959" i="5" s="1"/>
  <c r="F959" i="5"/>
  <c r="N958" i="5" a="1"/>
  <c r="N958" i="5" s="1"/>
  <c r="O958" i="5" s="1"/>
  <c r="M958" i="5" a="1"/>
  <c r="M958" i="5" s="1"/>
  <c r="L958" i="5"/>
  <c r="K958" i="5" a="1"/>
  <c r="K958" i="5" s="1"/>
  <c r="F958" i="5"/>
  <c r="N957" i="5" a="1"/>
  <c r="N957" i="5" s="1"/>
  <c r="O957" i="5" s="1"/>
  <c r="M957" i="5" a="1"/>
  <c r="M957" i="5" s="1"/>
  <c r="L957" i="5"/>
  <c r="K957" i="5" a="1"/>
  <c r="K957" i="5" s="1"/>
  <c r="F957" i="5"/>
  <c r="N956" i="5" a="1"/>
  <c r="N956" i="5" s="1"/>
  <c r="O956" i="5" s="1"/>
  <c r="M956" i="5" a="1"/>
  <c r="M956" i="5" s="1"/>
  <c r="L956" i="5"/>
  <c r="K956" i="5" a="1"/>
  <c r="K956" i="5" s="1"/>
  <c r="F956" i="5"/>
  <c r="N955" i="5" a="1"/>
  <c r="N955" i="5" s="1"/>
  <c r="O955" i="5" s="1"/>
  <c r="M955" i="5" a="1"/>
  <c r="M955" i="5" s="1"/>
  <c r="L955" i="5"/>
  <c r="K955" i="5" a="1"/>
  <c r="K955" i="5" s="1"/>
  <c r="F955" i="5"/>
  <c r="N954" i="5" a="1"/>
  <c r="N954" i="5" s="1"/>
  <c r="O954" i="5" s="1"/>
  <c r="M954" i="5" a="1"/>
  <c r="M954" i="5" s="1"/>
  <c r="L954" i="5"/>
  <c r="K954" i="5" a="1"/>
  <c r="K954" i="5" s="1"/>
  <c r="F954" i="5"/>
  <c r="N953" i="5" a="1"/>
  <c r="N953" i="5" s="1"/>
  <c r="O953" i="5" s="1"/>
  <c r="M953" i="5" a="1"/>
  <c r="M953" i="5" s="1"/>
  <c r="L953" i="5"/>
  <c r="K953" i="5" a="1"/>
  <c r="K953" i="5" s="1"/>
  <c r="F953" i="5"/>
  <c r="N952" i="5" a="1"/>
  <c r="N952" i="5" s="1"/>
  <c r="O952" i="5" s="1"/>
  <c r="M952" i="5" a="1"/>
  <c r="M952" i="5" s="1"/>
  <c r="L952" i="5"/>
  <c r="K952" i="5" a="1"/>
  <c r="K952" i="5" s="1"/>
  <c r="F952" i="5"/>
  <c r="N951" i="5" a="1"/>
  <c r="N951" i="5" s="1"/>
  <c r="O951" i="5" s="1"/>
  <c r="M951" i="5" a="1"/>
  <c r="M951" i="5" s="1"/>
  <c r="L951" i="5"/>
  <c r="K951" i="5" a="1"/>
  <c r="K951" i="5" s="1"/>
  <c r="F951" i="5"/>
  <c r="N950" i="5" a="1"/>
  <c r="N950" i="5" s="1"/>
  <c r="O950" i="5" s="1"/>
  <c r="M950" i="5" a="1"/>
  <c r="M950" i="5" s="1"/>
  <c r="L950" i="5"/>
  <c r="K950" i="5" a="1"/>
  <c r="K950" i="5" s="1"/>
  <c r="F950" i="5"/>
  <c r="N949" i="5" a="1"/>
  <c r="N949" i="5" s="1"/>
  <c r="O949" i="5" s="1"/>
  <c r="M949" i="5" a="1"/>
  <c r="M949" i="5" s="1"/>
  <c r="L949" i="5"/>
  <c r="K949" i="5" a="1"/>
  <c r="K949" i="5" s="1"/>
  <c r="F949" i="5"/>
  <c r="N948" i="5" a="1"/>
  <c r="N948" i="5" s="1"/>
  <c r="O948" i="5" s="1"/>
  <c r="M948" i="5" a="1"/>
  <c r="M948" i="5" s="1"/>
  <c r="L948" i="5"/>
  <c r="K948" i="5" a="1"/>
  <c r="K948" i="5" s="1"/>
  <c r="F948" i="5"/>
  <c r="N947" i="5" a="1"/>
  <c r="N947" i="5" s="1"/>
  <c r="O947" i="5" s="1"/>
  <c r="M947" i="5" a="1"/>
  <c r="M947" i="5" s="1"/>
  <c r="L947" i="5"/>
  <c r="K947" i="5" a="1"/>
  <c r="K947" i="5" s="1"/>
  <c r="F947" i="5"/>
  <c r="N946" i="5" a="1"/>
  <c r="N946" i="5" s="1"/>
  <c r="O946" i="5" s="1"/>
  <c r="M946" i="5" a="1"/>
  <c r="M946" i="5" s="1"/>
  <c r="L946" i="5"/>
  <c r="K946" i="5" a="1"/>
  <c r="K946" i="5" s="1"/>
  <c r="F946" i="5"/>
  <c r="N945" i="5" a="1"/>
  <c r="N945" i="5" s="1"/>
  <c r="O945" i="5" s="1"/>
  <c r="M945" i="5" a="1"/>
  <c r="M945" i="5" s="1"/>
  <c r="L945" i="5"/>
  <c r="K945" i="5" a="1"/>
  <c r="K945" i="5" s="1"/>
  <c r="F945" i="5"/>
  <c r="N944" i="5" a="1"/>
  <c r="N944" i="5" s="1"/>
  <c r="O944" i="5" s="1"/>
  <c r="M944" i="5" a="1"/>
  <c r="M944" i="5" s="1"/>
  <c r="L944" i="5"/>
  <c r="K944" i="5" a="1"/>
  <c r="K944" i="5" s="1"/>
  <c r="F944" i="5"/>
  <c r="N943" i="5" a="1"/>
  <c r="N943" i="5" s="1"/>
  <c r="O943" i="5" s="1"/>
  <c r="M943" i="5" a="1"/>
  <c r="M943" i="5" s="1"/>
  <c r="L943" i="5"/>
  <c r="K943" i="5" a="1"/>
  <c r="K943" i="5" s="1"/>
  <c r="F943" i="5"/>
  <c r="N942" i="5" a="1"/>
  <c r="N942" i="5" s="1"/>
  <c r="O942" i="5" s="1"/>
  <c r="M942" i="5" a="1"/>
  <c r="M942" i="5" s="1"/>
  <c r="L942" i="5"/>
  <c r="K942" i="5" a="1"/>
  <c r="K942" i="5" s="1"/>
  <c r="F942" i="5"/>
  <c r="N941" i="5" a="1"/>
  <c r="N941" i="5" s="1"/>
  <c r="O941" i="5" s="1"/>
  <c r="M941" i="5" a="1"/>
  <c r="M941" i="5" s="1"/>
  <c r="L941" i="5"/>
  <c r="K941" i="5" a="1"/>
  <c r="K941" i="5" s="1"/>
  <c r="F941" i="5"/>
  <c r="N940" i="5" a="1"/>
  <c r="N940" i="5" s="1"/>
  <c r="O940" i="5" s="1"/>
  <c r="M940" i="5" a="1"/>
  <c r="M940" i="5" s="1"/>
  <c r="L940" i="5"/>
  <c r="K940" i="5" a="1"/>
  <c r="K940" i="5" s="1"/>
  <c r="F940" i="5"/>
  <c r="N939" i="5" a="1"/>
  <c r="N939" i="5" s="1"/>
  <c r="O939" i="5" s="1"/>
  <c r="M939" i="5" a="1"/>
  <c r="M939" i="5" s="1"/>
  <c r="L939" i="5"/>
  <c r="K939" i="5" a="1"/>
  <c r="K939" i="5" s="1"/>
  <c r="F939" i="5"/>
  <c r="N938" i="5" a="1"/>
  <c r="N938" i="5" s="1"/>
  <c r="O938" i="5" s="1"/>
  <c r="M938" i="5" a="1"/>
  <c r="M938" i="5" s="1"/>
  <c r="L938" i="5"/>
  <c r="K938" i="5" a="1"/>
  <c r="K938" i="5" s="1"/>
  <c r="F938" i="5"/>
  <c r="N937" i="5" a="1"/>
  <c r="N937" i="5" s="1"/>
  <c r="O937" i="5" s="1"/>
  <c r="M937" i="5" a="1"/>
  <c r="M937" i="5" s="1"/>
  <c r="L937" i="5"/>
  <c r="K937" i="5" a="1"/>
  <c r="K937" i="5" s="1"/>
  <c r="F937" i="5"/>
  <c r="N936" i="5" a="1"/>
  <c r="N936" i="5" s="1"/>
  <c r="O936" i="5" s="1"/>
  <c r="M936" i="5" a="1"/>
  <c r="M936" i="5" s="1"/>
  <c r="L936" i="5"/>
  <c r="K936" i="5" a="1"/>
  <c r="K936" i="5" s="1"/>
  <c r="F936" i="5"/>
  <c r="N935" i="5" a="1"/>
  <c r="N935" i="5" s="1"/>
  <c r="O935" i="5" s="1"/>
  <c r="M935" i="5" a="1"/>
  <c r="M935" i="5" s="1"/>
  <c r="L935" i="5"/>
  <c r="K935" i="5" a="1"/>
  <c r="K935" i="5" s="1"/>
  <c r="F935" i="5"/>
  <c r="N934" i="5" a="1"/>
  <c r="N934" i="5" s="1"/>
  <c r="O934" i="5" s="1"/>
  <c r="M934" i="5" a="1"/>
  <c r="M934" i="5" s="1"/>
  <c r="L934" i="5"/>
  <c r="K934" i="5" a="1"/>
  <c r="K934" i="5" s="1"/>
  <c r="F934" i="5"/>
  <c r="N933" i="5" a="1"/>
  <c r="N933" i="5" s="1"/>
  <c r="O933" i="5" s="1"/>
  <c r="M933" i="5" a="1"/>
  <c r="M933" i="5" s="1"/>
  <c r="L933" i="5"/>
  <c r="K933" i="5" a="1"/>
  <c r="K933" i="5" s="1"/>
  <c r="F933" i="5"/>
  <c r="N932" i="5" a="1"/>
  <c r="N932" i="5" s="1"/>
  <c r="O932" i="5" s="1"/>
  <c r="M932" i="5" a="1"/>
  <c r="M932" i="5" s="1"/>
  <c r="L932" i="5"/>
  <c r="K932" i="5" a="1"/>
  <c r="K932" i="5" s="1"/>
  <c r="F932" i="5"/>
  <c r="N931" i="5" a="1"/>
  <c r="N931" i="5" s="1"/>
  <c r="O931" i="5" s="1"/>
  <c r="M931" i="5" a="1"/>
  <c r="M931" i="5" s="1"/>
  <c r="L931" i="5"/>
  <c r="K931" i="5" a="1"/>
  <c r="K931" i="5" s="1"/>
  <c r="F931" i="5"/>
  <c r="N930" i="5" a="1"/>
  <c r="N930" i="5" s="1"/>
  <c r="O930" i="5" s="1"/>
  <c r="M930" i="5" a="1"/>
  <c r="M930" i="5" s="1"/>
  <c r="L930" i="5"/>
  <c r="K930" i="5" a="1"/>
  <c r="K930" i="5" s="1"/>
  <c r="F930" i="5"/>
  <c r="N929" i="5" a="1"/>
  <c r="N929" i="5" s="1"/>
  <c r="O929" i="5" s="1"/>
  <c r="M929" i="5" a="1"/>
  <c r="M929" i="5" s="1"/>
  <c r="L929" i="5"/>
  <c r="K929" i="5" a="1"/>
  <c r="K929" i="5" s="1"/>
  <c r="F929" i="5"/>
  <c r="N928" i="5" a="1"/>
  <c r="N928" i="5" s="1"/>
  <c r="O928" i="5" s="1"/>
  <c r="M928" i="5" a="1"/>
  <c r="M928" i="5" s="1"/>
  <c r="L928" i="5"/>
  <c r="K928" i="5" a="1"/>
  <c r="K928" i="5" s="1"/>
  <c r="F928" i="5"/>
  <c r="N927" i="5" a="1"/>
  <c r="N927" i="5" s="1"/>
  <c r="O927" i="5" s="1"/>
  <c r="M927" i="5" a="1"/>
  <c r="M927" i="5" s="1"/>
  <c r="L927" i="5"/>
  <c r="K927" i="5" a="1"/>
  <c r="K927" i="5" s="1"/>
  <c r="F927" i="5"/>
  <c r="N926" i="5" a="1"/>
  <c r="N926" i="5" s="1"/>
  <c r="O926" i="5" s="1"/>
  <c r="M926" i="5" a="1"/>
  <c r="M926" i="5" s="1"/>
  <c r="L926" i="5"/>
  <c r="K926" i="5" a="1"/>
  <c r="K926" i="5" s="1"/>
  <c r="F926" i="5"/>
  <c r="N925" i="5" a="1"/>
  <c r="N925" i="5" s="1"/>
  <c r="O925" i="5" s="1"/>
  <c r="M925" i="5" a="1"/>
  <c r="M925" i="5" s="1"/>
  <c r="L925" i="5"/>
  <c r="K925" i="5" a="1"/>
  <c r="K925" i="5" s="1"/>
  <c r="F925" i="5"/>
  <c r="N924" i="5" a="1"/>
  <c r="N924" i="5" s="1"/>
  <c r="O924" i="5" s="1"/>
  <c r="M924" i="5" a="1"/>
  <c r="M924" i="5" s="1"/>
  <c r="L924" i="5"/>
  <c r="K924" i="5" a="1"/>
  <c r="K924" i="5" s="1"/>
  <c r="F924" i="5"/>
  <c r="N923" i="5" a="1"/>
  <c r="N923" i="5" s="1"/>
  <c r="O923" i="5" s="1"/>
  <c r="M923" i="5" a="1"/>
  <c r="M923" i="5" s="1"/>
  <c r="L923" i="5"/>
  <c r="K923" i="5" a="1"/>
  <c r="K923" i="5" s="1"/>
  <c r="F923" i="5"/>
  <c r="N922" i="5" a="1"/>
  <c r="N922" i="5" s="1"/>
  <c r="O922" i="5" s="1"/>
  <c r="M922" i="5" a="1"/>
  <c r="M922" i="5" s="1"/>
  <c r="L922" i="5"/>
  <c r="K922" i="5" a="1"/>
  <c r="K922" i="5" s="1"/>
  <c r="F922" i="5"/>
  <c r="N921" i="5" a="1"/>
  <c r="N921" i="5" s="1"/>
  <c r="O921" i="5" s="1"/>
  <c r="M921" i="5" a="1"/>
  <c r="M921" i="5" s="1"/>
  <c r="L921" i="5"/>
  <c r="K921" i="5" a="1"/>
  <c r="K921" i="5" s="1"/>
  <c r="F921" i="5"/>
  <c r="N920" i="5" a="1"/>
  <c r="N920" i="5" s="1"/>
  <c r="O920" i="5" s="1"/>
  <c r="M920" i="5" a="1"/>
  <c r="M920" i="5" s="1"/>
  <c r="L920" i="5"/>
  <c r="K920" i="5" a="1"/>
  <c r="K920" i="5" s="1"/>
  <c r="F920" i="5"/>
  <c r="N919" i="5" a="1"/>
  <c r="N919" i="5" s="1"/>
  <c r="O919" i="5" s="1"/>
  <c r="M919" i="5" a="1"/>
  <c r="M919" i="5" s="1"/>
  <c r="L919" i="5"/>
  <c r="K919" i="5" a="1"/>
  <c r="K919" i="5" s="1"/>
  <c r="F919" i="5"/>
  <c r="N918" i="5" a="1"/>
  <c r="N918" i="5" s="1"/>
  <c r="O918" i="5" s="1"/>
  <c r="M918" i="5" a="1"/>
  <c r="M918" i="5" s="1"/>
  <c r="L918" i="5"/>
  <c r="K918" i="5" a="1"/>
  <c r="K918" i="5" s="1"/>
  <c r="F918" i="5"/>
  <c r="N917" i="5" a="1"/>
  <c r="N917" i="5" s="1"/>
  <c r="O917" i="5" s="1"/>
  <c r="M917" i="5" a="1"/>
  <c r="M917" i="5" s="1"/>
  <c r="L917" i="5"/>
  <c r="K917" i="5" a="1"/>
  <c r="K917" i="5" s="1"/>
  <c r="F917" i="5"/>
  <c r="N916" i="5" a="1"/>
  <c r="N916" i="5" s="1"/>
  <c r="O916" i="5" s="1"/>
  <c r="M916" i="5" a="1"/>
  <c r="M916" i="5" s="1"/>
  <c r="L916" i="5"/>
  <c r="K916" i="5" a="1"/>
  <c r="K916" i="5" s="1"/>
  <c r="F916" i="5"/>
  <c r="N915" i="5" a="1"/>
  <c r="N915" i="5" s="1"/>
  <c r="O915" i="5" s="1"/>
  <c r="M915" i="5" a="1"/>
  <c r="M915" i="5" s="1"/>
  <c r="L915" i="5"/>
  <c r="K915" i="5" a="1"/>
  <c r="K915" i="5" s="1"/>
  <c r="F915" i="5"/>
  <c r="N914" i="5" a="1"/>
  <c r="N914" i="5" s="1"/>
  <c r="O914" i="5" s="1"/>
  <c r="M914" i="5" a="1"/>
  <c r="M914" i="5" s="1"/>
  <c r="L914" i="5"/>
  <c r="K914" i="5" a="1"/>
  <c r="K914" i="5" s="1"/>
  <c r="F914" i="5"/>
  <c r="N913" i="5" a="1"/>
  <c r="N913" i="5" s="1"/>
  <c r="O913" i="5" s="1"/>
  <c r="M913" i="5" a="1"/>
  <c r="M913" i="5" s="1"/>
  <c r="L913" i="5"/>
  <c r="K913" i="5" a="1"/>
  <c r="K913" i="5" s="1"/>
  <c r="F913" i="5"/>
  <c r="N912" i="5" a="1"/>
  <c r="N912" i="5" s="1"/>
  <c r="O912" i="5" s="1"/>
  <c r="M912" i="5" a="1"/>
  <c r="M912" i="5" s="1"/>
  <c r="L912" i="5"/>
  <c r="K912" i="5" a="1"/>
  <c r="K912" i="5" s="1"/>
  <c r="F912" i="5"/>
  <c r="N911" i="5" a="1"/>
  <c r="N911" i="5" s="1"/>
  <c r="O911" i="5" s="1"/>
  <c r="M911" i="5" a="1"/>
  <c r="M911" i="5" s="1"/>
  <c r="L911" i="5"/>
  <c r="K911" i="5" a="1"/>
  <c r="K911" i="5" s="1"/>
  <c r="F911" i="5"/>
  <c r="N910" i="5" a="1"/>
  <c r="N910" i="5" s="1"/>
  <c r="O910" i="5" s="1"/>
  <c r="M910" i="5" a="1"/>
  <c r="M910" i="5" s="1"/>
  <c r="L910" i="5"/>
  <c r="K910" i="5" a="1"/>
  <c r="K910" i="5" s="1"/>
  <c r="F910" i="5"/>
  <c r="N909" i="5" a="1"/>
  <c r="N909" i="5" s="1"/>
  <c r="O909" i="5" s="1"/>
  <c r="M909" i="5" a="1"/>
  <c r="M909" i="5" s="1"/>
  <c r="L909" i="5"/>
  <c r="K909" i="5" a="1"/>
  <c r="K909" i="5" s="1"/>
  <c r="F909" i="5"/>
  <c r="N908" i="5" a="1"/>
  <c r="N908" i="5" s="1"/>
  <c r="O908" i="5" s="1"/>
  <c r="M908" i="5" a="1"/>
  <c r="M908" i="5" s="1"/>
  <c r="L908" i="5"/>
  <c r="K908" i="5" a="1"/>
  <c r="K908" i="5" s="1"/>
  <c r="F908" i="5"/>
  <c r="N907" i="5" a="1"/>
  <c r="N907" i="5" s="1"/>
  <c r="O907" i="5" s="1"/>
  <c r="M907" i="5" a="1"/>
  <c r="M907" i="5" s="1"/>
  <c r="L907" i="5"/>
  <c r="K907" i="5" a="1"/>
  <c r="K907" i="5" s="1"/>
  <c r="F907" i="5"/>
  <c r="N906" i="5" a="1"/>
  <c r="N906" i="5" s="1"/>
  <c r="O906" i="5" s="1"/>
  <c r="M906" i="5" a="1"/>
  <c r="M906" i="5" s="1"/>
  <c r="L906" i="5"/>
  <c r="K906" i="5" a="1"/>
  <c r="K906" i="5" s="1"/>
  <c r="F906" i="5"/>
  <c r="N905" i="5" a="1"/>
  <c r="N905" i="5" s="1"/>
  <c r="O905" i="5" s="1"/>
  <c r="M905" i="5" a="1"/>
  <c r="M905" i="5" s="1"/>
  <c r="L905" i="5"/>
  <c r="K905" i="5" a="1"/>
  <c r="K905" i="5" s="1"/>
  <c r="F905" i="5"/>
  <c r="N904" i="5" a="1"/>
  <c r="N904" i="5" s="1"/>
  <c r="O904" i="5" s="1"/>
  <c r="M904" i="5" a="1"/>
  <c r="M904" i="5" s="1"/>
  <c r="L904" i="5"/>
  <c r="K904" i="5" a="1"/>
  <c r="K904" i="5" s="1"/>
  <c r="F904" i="5"/>
  <c r="N903" i="5" a="1"/>
  <c r="N903" i="5" s="1"/>
  <c r="O903" i="5" s="1"/>
  <c r="M903" i="5" a="1"/>
  <c r="M903" i="5" s="1"/>
  <c r="L903" i="5"/>
  <c r="K903" i="5" a="1"/>
  <c r="K903" i="5" s="1"/>
  <c r="F903" i="5"/>
  <c r="N902" i="5" a="1"/>
  <c r="N902" i="5" s="1"/>
  <c r="O902" i="5" s="1"/>
  <c r="M902" i="5" a="1"/>
  <c r="M902" i="5" s="1"/>
  <c r="L902" i="5"/>
  <c r="K902" i="5" a="1"/>
  <c r="K902" i="5" s="1"/>
  <c r="F902" i="5"/>
  <c r="N901" i="5" a="1"/>
  <c r="N901" i="5" s="1"/>
  <c r="O901" i="5" s="1"/>
  <c r="M901" i="5" a="1"/>
  <c r="M901" i="5" s="1"/>
  <c r="L901" i="5"/>
  <c r="K901" i="5" a="1"/>
  <c r="K901" i="5" s="1"/>
  <c r="F901" i="5"/>
  <c r="N900" i="5" a="1"/>
  <c r="N900" i="5" s="1"/>
  <c r="O900" i="5" s="1"/>
  <c r="M900" i="5" a="1"/>
  <c r="M900" i="5" s="1"/>
  <c r="L900" i="5"/>
  <c r="K900" i="5" a="1"/>
  <c r="K900" i="5" s="1"/>
  <c r="F900" i="5"/>
  <c r="N899" i="5" a="1"/>
  <c r="N899" i="5" s="1"/>
  <c r="O899" i="5" s="1"/>
  <c r="M899" i="5" a="1"/>
  <c r="M899" i="5" s="1"/>
  <c r="L899" i="5"/>
  <c r="K899" i="5" a="1"/>
  <c r="K899" i="5" s="1"/>
  <c r="F899" i="5"/>
  <c r="N898" i="5" a="1"/>
  <c r="N898" i="5" s="1"/>
  <c r="O898" i="5" s="1"/>
  <c r="M898" i="5" a="1"/>
  <c r="M898" i="5" s="1"/>
  <c r="L898" i="5"/>
  <c r="K898" i="5" a="1"/>
  <c r="K898" i="5" s="1"/>
  <c r="F898" i="5"/>
  <c r="N897" i="5" a="1"/>
  <c r="N897" i="5" s="1"/>
  <c r="O897" i="5" s="1"/>
  <c r="M897" i="5" a="1"/>
  <c r="M897" i="5" s="1"/>
  <c r="L897" i="5"/>
  <c r="K897" i="5" a="1"/>
  <c r="K897" i="5" s="1"/>
  <c r="F897" i="5"/>
  <c r="N896" i="5" a="1"/>
  <c r="N896" i="5" s="1"/>
  <c r="O896" i="5" s="1"/>
  <c r="M896" i="5" a="1"/>
  <c r="M896" i="5" s="1"/>
  <c r="L896" i="5"/>
  <c r="K896" i="5" a="1"/>
  <c r="K896" i="5" s="1"/>
  <c r="F896" i="5"/>
  <c r="N895" i="5" a="1"/>
  <c r="N895" i="5" s="1"/>
  <c r="O895" i="5" s="1"/>
  <c r="M895" i="5" a="1"/>
  <c r="M895" i="5" s="1"/>
  <c r="L895" i="5"/>
  <c r="K895" i="5" a="1"/>
  <c r="K895" i="5" s="1"/>
  <c r="F895" i="5"/>
  <c r="N894" i="5" a="1"/>
  <c r="N894" i="5" s="1"/>
  <c r="O894" i="5" s="1"/>
  <c r="M894" i="5" a="1"/>
  <c r="M894" i="5" s="1"/>
  <c r="L894" i="5"/>
  <c r="K894" i="5" a="1"/>
  <c r="K894" i="5" s="1"/>
  <c r="F894" i="5"/>
  <c r="N893" i="5" a="1"/>
  <c r="N893" i="5" s="1"/>
  <c r="O893" i="5" s="1"/>
  <c r="M893" i="5" a="1"/>
  <c r="M893" i="5" s="1"/>
  <c r="L893" i="5"/>
  <c r="K893" i="5" a="1"/>
  <c r="K893" i="5" s="1"/>
  <c r="F893" i="5"/>
  <c r="N892" i="5" a="1"/>
  <c r="N892" i="5" s="1"/>
  <c r="O892" i="5" s="1"/>
  <c r="M892" i="5" a="1"/>
  <c r="M892" i="5" s="1"/>
  <c r="L892" i="5"/>
  <c r="K892" i="5" a="1"/>
  <c r="K892" i="5" s="1"/>
  <c r="F892" i="5"/>
  <c r="N891" i="5" a="1"/>
  <c r="N891" i="5" s="1"/>
  <c r="O891" i="5" s="1"/>
  <c r="M891" i="5" a="1"/>
  <c r="M891" i="5" s="1"/>
  <c r="L891" i="5"/>
  <c r="K891" i="5" a="1"/>
  <c r="K891" i="5" s="1"/>
  <c r="F891" i="5"/>
  <c r="N890" i="5" a="1"/>
  <c r="N890" i="5" s="1"/>
  <c r="O890" i="5" s="1"/>
  <c r="M890" i="5" a="1"/>
  <c r="M890" i="5" s="1"/>
  <c r="L890" i="5"/>
  <c r="K890" i="5" a="1"/>
  <c r="K890" i="5" s="1"/>
  <c r="F890" i="5"/>
  <c r="N889" i="5" a="1"/>
  <c r="N889" i="5" s="1"/>
  <c r="O889" i="5" s="1"/>
  <c r="M889" i="5" a="1"/>
  <c r="M889" i="5" s="1"/>
  <c r="L889" i="5"/>
  <c r="K889" i="5" a="1"/>
  <c r="K889" i="5" s="1"/>
  <c r="F889" i="5"/>
  <c r="N888" i="5" a="1"/>
  <c r="N888" i="5" s="1"/>
  <c r="O888" i="5" s="1"/>
  <c r="M888" i="5" a="1"/>
  <c r="M888" i="5" s="1"/>
  <c r="L888" i="5"/>
  <c r="K888" i="5" a="1"/>
  <c r="K888" i="5" s="1"/>
  <c r="F888" i="5"/>
  <c r="N887" i="5" a="1"/>
  <c r="N887" i="5" s="1"/>
  <c r="O887" i="5" s="1"/>
  <c r="M887" i="5" a="1"/>
  <c r="M887" i="5" s="1"/>
  <c r="L887" i="5"/>
  <c r="K887" i="5" a="1"/>
  <c r="K887" i="5" s="1"/>
  <c r="F887" i="5"/>
  <c r="N886" i="5" a="1"/>
  <c r="N886" i="5" s="1"/>
  <c r="O886" i="5" s="1"/>
  <c r="M886" i="5" a="1"/>
  <c r="M886" i="5" s="1"/>
  <c r="L886" i="5"/>
  <c r="K886" i="5" a="1"/>
  <c r="K886" i="5" s="1"/>
  <c r="F886" i="5"/>
  <c r="N885" i="5" a="1"/>
  <c r="N885" i="5" s="1"/>
  <c r="O885" i="5" s="1"/>
  <c r="M885" i="5" a="1"/>
  <c r="M885" i="5" s="1"/>
  <c r="L885" i="5"/>
  <c r="K885" i="5" a="1"/>
  <c r="K885" i="5" s="1"/>
  <c r="F885" i="5"/>
  <c r="N884" i="5" a="1"/>
  <c r="N884" i="5" s="1"/>
  <c r="O884" i="5" s="1"/>
  <c r="M884" i="5" a="1"/>
  <c r="M884" i="5" s="1"/>
  <c r="L884" i="5"/>
  <c r="K884" i="5" a="1"/>
  <c r="K884" i="5" s="1"/>
  <c r="F884" i="5"/>
  <c r="N883" i="5" a="1"/>
  <c r="N883" i="5" s="1"/>
  <c r="O883" i="5" s="1"/>
  <c r="M883" i="5" a="1"/>
  <c r="M883" i="5" s="1"/>
  <c r="L883" i="5"/>
  <c r="K883" i="5" a="1"/>
  <c r="K883" i="5" s="1"/>
  <c r="F883" i="5"/>
  <c r="N882" i="5" a="1"/>
  <c r="N882" i="5" s="1"/>
  <c r="O882" i="5" s="1"/>
  <c r="M882" i="5" a="1"/>
  <c r="M882" i="5" s="1"/>
  <c r="L882" i="5"/>
  <c r="K882" i="5" a="1"/>
  <c r="K882" i="5" s="1"/>
  <c r="F882" i="5"/>
  <c r="N881" i="5" a="1"/>
  <c r="N881" i="5" s="1"/>
  <c r="O881" i="5" s="1"/>
  <c r="M881" i="5" a="1"/>
  <c r="M881" i="5" s="1"/>
  <c r="L881" i="5"/>
  <c r="K881" i="5" a="1"/>
  <c r="K881" i="5" s="1"/>
  <c r="F881" i="5"/>
  <c r="N880" i="5" a="1"/>
  <c r="N880" i="5" s="1"/>
  <c r="O880" i="5" s="1"/>
  <c r="M880" i="5" a="1"/>
  <c r="M880" i="5" s="1"/>
  <c r="L880" i="5"/>
  <c r="K880" i="5" a="1"/>
  <c r="K880" i="5" s="1"/>
  <c r="F880" i="5"/>
  <c r="N879" i="5" a="1"/>
  <c r="N879" i="5" s="1"/>
  <c r="O879" i="5" s="1"/>
  <c r="M879" i="5" a="1"/>
  <c r="M879" i="5" s="1"/>
  <c r="L879" i="5"/>
  <c r="K879" i="5" a="1"/>
  <c r="K879" i="5" s="1"/>
  <c r="F879" i="5"/>
  <c r="N878" i="5" a="1"/>
  <c r="N878" i="5" s="1"/>
  <c r="O878" i="5" s="1"/>
  <c r="M878" i="5" a="1"/>
  <c r="M878" i="5" s="1"/>
  <c r="L878" i="5"/>
  <c r="K878" i="5" a="1"/>
  <c r="K878" i="5" s="1"/>
  <c r="F878" i="5"/>
  <c r="N877" i="5" a="1"/>
  <c r="N877" i="5" s="1"/>
  <c r="O877" i="5" s="1"/>
  <c r="M877" i="5" a="1"/>
  <c r="M877" i="5" s="1"/>
  <c r="L877" i="5"/>
  <c r="K877" i="5" a="1"/>
  <c r="K877" i="5" s="1"/>
  <c r="F877" i="5"/>
  <c r="N876" i="5" a="1"/>
  <c r="N876" i="5" s="1"/>
  <c r="O876" i="5" s="1"/>
  <c r="M876" i="5" a="1"/>
  <c r="M876" i="5" s="1"/>
  <c r="L876" i="5"/>
  <c r="K876" i="5" a="1"/>
  <c r="K876" i="5" s="1"/>
  <c r="F876" i="5"/>
  <c r="N875" i="5" a="1"/>
  <c r="N875" i="5" s="1"/>
  <c r="O875" i="5" s="1"/>
  <c r="M875" i="5" a="1"/>
  <c r="M875" i="5" s="1"/>
  <c r="L875" i="5"/>
  <c r="K875" i="5" a="1"/>
  <c r="K875" i="5" s="1"/>
  <c r="F875" i="5"/>
  <c r="N874" i="5" a="1"/>
  <c r="N874" i="5" s="1"/>
  <c r="O874" i="5" s="1"/>
  <c r="M874" i="5" a="1"/>
  <c r="M874" i="5" s="1"/>
  <c r="L874" i="5"/>
  <c r="K874" i="5" a="1"/>
  <c r="K874" i="5" s="1"/>
  <c r="F874" i="5"/>
  <c r="N873" i="5" a="1"/>
  <c r="N873" i="5" s="1"/>
  <c r="O873" i="5" s="1"/>
  <c r="M873" i="5" a="1"/>
  <c r="M873" i="5" s="1"/>
  <c r="L873" i="5"/>
  <c r="K873" i="5" a="1"/>
  <c r="K873" i="5" s="1"/>
  <c r="F873" i="5"/>
  <c r="N872" i="5" a="1"/>
  <c r="N872" i="5" s="1"/>
  <c r="O872" i="5" s="1"/>
  <c r="M872" i="5" a="1"/>
  <c r="M872" i="5" s="1"/>
  <c r="L872" i="5"/>
  <c r="K872" i="5" a="1"/>
  <c r="K872" i="5" s="1"/>
  <c r="F872" i="5"/>
  <c r="N871" i="5" a="1"/>
  <c r="N871" i="5" s="1"/>
  <c r="O871" i="5" s="1"/>
  <c r="M871" i="5" a="1"/>
  <c r="M871" i="5" s="1"/>
  <c r="L871" i="5"/>
  <c r="K871" i="5" a="1"/>
  <c r="K871" i="5" s="1"/>
  <c r="F871" i="5"/>
  <c r="N870" i="5" a="1"/>
  <c r="N870" i="5" s="1"/>
  <c r="O870" i="5" s="1"/>
  <c r="M870" i="5" a="1"/>
  <c r="M870" i="5" s="1"/>
  <c r="L870" i="5"/>
  <c r="K870" i="5" a="1"/>
  <c r="K870" i="5" s="1"/>
  <c r="F870" i="5"/>
  <c r="N869" i="5" a="1"/>
  <c r="N869" i="5" s="1"/>
  <c r="O869" i="5" s="1"/>
  <c r="M869" i="5" a="1"/>
  <c r="M869" i="5" s="1"/>
  <c r="L869" i="5"/>
  <c r="K869" i="5" a="1"/>
  <c r="K869" i="5" s="1"/>
  <c r="F869" i="5"/>
  <c r="N868" i="5" a="1"/>
  <c r="N868" i="5" s="1"/>
  <c r="O868" i="5" s="1"/>
  <c r="M868" i="5" a="1"/>
  <c r="M868" i="5" s="1"/>
  <c r="L868" i="5"/>
  <c r="K868" i="5" a="1"/>
  <c r="K868" i="5" s="1"/>
  <c r="F868" i="5"/>
  <c r="N867" i="5" a="1"/>
  <c r="N867" i="5" s="1"/>
  <c r="O867" i="5" s="1"/>
  <c r="M867" i="5" a="1"/>
  <c r="M867" i="5" s="1"/>
  <c r="L867" i="5"/>
  <c r="K867" i="5" a="1"/>
  <c r="K867" i="5" s="1"/>
  <c r="F867" i="5"/>
  <c r="N866" i="5" a="1"/>
  <c r="N866" i="5" s="1"/>
  <c r="O866" i="5" s="1"/>
  <c r="M866" i="5" a="1"/>
  <c r="M866" i="5" s="1"/>
  <c r="L866" i="5"/>
  <c r="K866" i="5" a="1"/>
  <c r="K866" i="5" s="1"/>
  <c r="F866" i="5"/>
  <c r="N865" i="5" a="1"/>
  <c r="N865" i="5" s="1"/>
  <c r="O865" i="5" s="1"/>
  <c r="M865" i="5" a="1"/>
  <c r="M865" i="5" s="1"/>
  <c r="L865" i="5"/>
  <c r="K865" i="5" a="1"/>
  <c r="K865" i="5" s="1"/>
  <c r="F865" i="5"/>
  <c r="N864" i="5" a="1"/>
  <c r="N864" i="5" s="1"/>
  <c r="O864" i="5" s="1"/>
  <c r="M864" i="5" a="1"/>
  <c r="M864" i="5" s="1"/>
  <c r="L864" i="5"/>
  <c r="K864" i="5" a="1"/>
  <c r="K864" i="5" s="1"/>
  <c r="F864" i="5"/>
  <c r="N863" i="5" a="1"/>
  <c r="N863" i="5" s="1"/>
  <c r="O863" i="5" s="1"/>
  <c r="M863" i="5" a="1"/>
  <c r="M863" i="5" s="1"/>
  <c r="L863" i="5"/>
  <c r="K863" i="5" a="1"/>
  <c r="K863" i="5" s="1"/>
  <c r="F863" i="5"/>
  <c r="N862" i="5" a="1"/>
  <c r="N862" i="5" s="1"/>
  <c r="O862" i="5" s="1"/>
  <c r="M862" i="5" a="1"/>
  <c r="M862" i="5" s="1"/>
  <c r="L862" i="5"/>
  <c r="K862" i="5" a="1"/>
  <c r="K862" i="5" s="1"/>
  <c r="F862" i="5"/>
  <c r="N861" i="5" a="1"/>
  <c r="N861" i="5" s="1"/>
  <c r="O861" i="5" s="1"/>
  <c r="M861" i="5" a="1"/>
  <c r="M861" i="5" s="1"/>
  <c r="L861" i="5"/>
  <c r="K861" i="5" a="1"/>
  <c r="K861" i="5" s="1"/>
  <c r="F861" i="5"/>
  <c r="N860" i="5" a="1"/>
  <c r="N860" i="5" s="1"/>
  <c r="O860" i="5" s="1"/>
  <c r="M860" i="5" a="1"/>
  <c r="M860" i="5" s="1"/>
  <c r="L860" i="5"/>
  <c r="K860" i="5" a="1"/>
  <c r="K860" i="5" s="1"/>
  <c r="F860" i="5"/>
  <c r="N859" i="5" a="1"/>
  <c r="N859" i="5" s="1"/>
  <c r="O859" i="5" s="1"/>
  <c r="M859" i="5" a="1"/>
  <c r="M859" i="5" s="1"/>
  <c r="L859" i="5"/>
  <c r="K859" i="5" a="1"/>
  <c r="K859" i="5" s="1"/>
  <c r="F859" i="5"/>
  <c r="N858" i="5" a="1"/>
  <c r="N858" i="5" s="1"/>
  <c r="O858" i="5" s="1"/>
  <c r="M858" i="5" a="1"/>
  <c r="M858" i="5" s="1"/>
  <c r="L858" i="5"/>
  <c r="K858" i="5" a="1"/>
  <c r="K858" i="5" s="1"/>
  <c r="F858" i="5"/>
  <c r="N857" i="5" a="1"/>
  <c r="N857" i="5" s="1"/>
  <c r="O857" i="5" s="1"/>
  <c r="M857" i="5" a="1"/>
  <c r="M857" i="5" s="1"/>
  <c r="L857" i="5"/>
  <c r="K857" i="5" a="1"/>
  <c r="K857" i="5" s="1"/>
  <c r="F857" i="5"/>
  <c r="N856" i="5" a="1"/>
  <c r="N856" i="5" s="1"/>
  <c r="O856" i="5" s="1"/>
  <c r="M856" i="5" a="1"/>
  <c r="M856" i="5" s="1"/>
  <c r="L856" i="5"/>
  <c r="K856" i="5" a="1"/>
  <c r="K856" i="5" s="1"/>
  <c r="F856" i="5"/>
  <c r="N855" i="5" a="1"/>
  <c r="N855" i="5" s="1"/>
  <c r="O855" i="5" s="1"/>
  <c r="M855" i="5" a="1"/>
  <c r="M855" i="5" s="1"/>
  <c r="L855" i="5"/>
  <c r="K855" i="5" a="1"/>
  <c r="K855" i="5" s="1"/>
  <c r="F855" i="5"/>
  <c r="N854" i="5" a="1"/>
  <c r="N854" i="5" s="1"/>
  <c r="O854" i="5" s="1"/>
  <c r="M854" i="5" a="1"/>
  <c r="M854" i="5" s="1"/>
  <c r="L854" i="5"/>
  <c r="K854" i="5" a="1"/>
  <c r="K854" i="5" s="1"/>
  <c r="F854" i="5"/>
  <c r="N853" i="5" a="1"/>
  <c r="N853" i="5" s="1"/>
  <c r="O853" i="5" s="1"/>
  <c r="M853" i="5" a="1"/>
  <c r="M853" i="5" s="1"/>
  <c r="L853" i="5"/>
  <c r="K853" i="5" a="1"/>
  <c r="K853" i="5" s="1"/>
  <c r="F853" i="5"/>
  <c r="N852" i="5" a="1"/>
  <c r="N852" i="5" s="1"/>
  <c r="O852" i="5" s="1"/>
  <c r="M852" i="5" a="1"/>
  <c r="M852" i="5" s="1"/>
  <c r="L852" i="5"/>
  <c r="K852" i="5" a="1"/>
  <c r="K852" i="5" s="1"/>
  <c r="F852" i="5"/>
  <c r="N851" i="5" a="1"/>
  <c r="N851" i="5" s="1"/>
  <c r="O851" i="5" s="1"/>
  <c r="M851" i="5" a="1"/>
  <c r="M851" i="5" s="1"/>
  <c r="L851" i="5"/>
  <c r="K851" i="5" a="1"/>
  <c r="K851" i="5" s="1"/>
  <c r="F851" i="5"/>
  <c r="N850" i="5" a="1"/>
  <c r="N850" i="5" s="1"/>
  <c r="O850" i="5" s="1"/>
  <c r="M850" i="5" a="1"/>
  <c r="M850" i="5" s="1"/>
  <c r="L850" i="5"/>
  <c r="K850" i="5" a="1"/>
  <c r="K850" i="5" s="1"/>
  <c r="F850" i="5"/>
  <c r="N849" i="5" a="1"/>
  <c r="N849" i="5" s="1"/>
  <c r="O849" i="5" s="1"/>
  <c r="M849" i="5" a="1"/>
  <c r="M849" i="5" s="1"/>
  <c r="L849" i="5"/>
  <c r="K849" i="5" a="1"/>
  <c r="K849" i="5" s="1"/>
  <c r="F849" i="5"/>
  <c r="N848" i="5" a="1"/>
  <c r="N848" i="5" s="1"/>
  <c r="O848" i="5" s="1"/>
  <c r="M848" i="5" a="1"/>
  <c r="M848" i="5" s="1"/>
  <c r="L848" i="5"/>
  <c r="K848" i="5" a="1"/>
  <c r="K848" i="5" s="1"/>
  <c r="F848" i="5"/>
  <c r="N847" i="5" a="1"/>
  <c r="N847" i="5" s="1"/>
  <c r="O847" i="5" s="1"/>
  <c r="M847" i="5" a="1"/>
  <c r="M847" i="5" s="1"/>
  <c r="L847" i="5"/>
  <c r="K847" i="5" a="1"/>
  <c r="K847" i="5" s="1"/>
  <c r="F847" i="5"/>
  <c r="N846" i="5" a="1"/>
  <c r="N846" i="5" s="1"/>
  <c r="O846" i="5" s="1"/>
  <c r="M846" i="5" a="1"/>
  <c r="M846" i="5" s="1"/>
  <c r="L846" i="5"/>
  <c r="K846" i="5" a="1"/>
  <c r="K846" i="5" s="1"/>
  <c r="F846" i="5"/>
  <c r="N845" i="5" a="1"/>
  <c r="N845" i="5" s="1"/>
  <c r="O845" i="5" s="1"/>
  <c r="M845" i="5" a="1"/>
  <c r="M845" i="5" s="1"/>
  <c r="L845" i="5"/>
  <c r="K845" i="5" a="1"/>
  <c r="K845" i="5" s="1"/>
  <c r="F845" i="5"/>
  <c r="N844" i="5" a="1"/>
  <c r="N844" i="5" s="1"/>
  <c r="O844" i="5" s="1"/>
  <c r="M844" i="5" a="1"/>
  <c r="M844" i="5" s="1"/>
  <c r="L844" i="5"/>
  <c r="K844" i="5" a="1"/>
  <c r="K844" i="5" s="1"/>
  <c r="F844" i="5"/>
  <c r="N843" i="5" a="1"/>
  <c r="N843" i="5" s="1"/>
  <c r="O843" i="5" s="1"/>
  <c r="M843" i="5" a="1"/>
  <c r="M843" i="5" s="1"/>
  <c r="L843" i="5"/>
  <c r="K843" i="5" a="1"/>
  <c r="K843" i="5" s="1"/>
  <c r="F843" i="5"/>
  <c r="N842" i="5" a="1"/>
  <c r="N842" i="5" s="1"/>
  <c r="O842" i="5" s="1"/>
  <c r="M842" i="5" a="1"/>
  <c r="M842" i="5" s="1"/>
  <c r="L842" i="5"/>
  <c r="K842" i="5" a="1"/>
  <c r="K842" i="5" s="1"/>
  <c r="F842" i="5"/>
  <c r="N841" i="5" a="1"/>
  <c r="N841" i="5" s="1"/>
  <c r="O841" i="5" s="1"/>
  <c r="M841" i="5" a="1"/>
  <c r="M841" i="5" s="1"/>
  <c r="L841" i="5"/>
  <c r="K841" i="5" a="1"/>
  <c r="K841" i="5" s="1"/>
  <c r="F841" i="5"/>
  <c r="N840" i="5" a="1"/>
  <c r="N840" i="5" s="1"/>
  <c r="O840" i="5" s="1"/>
  <c r="M840" i="5" a="1"/>
  <c r="M840" i="5" s="1"/>
  <c r="L840" i="5"/>
  <c r="K840" i="5" a="1"/>
  <c r="K840" i="5" s="1"/>
  <c r="F840" i="5"/>
  <c r="N839" i="5" a="1"/>
  <c r="N839" i="5" s="1"/>
  <c r="O839" i="5" s="1"/>
  <c r="M839" i="5" a="1"/>
  <c r="M839" i="5" s="1"/>
  <c r="L839" i="5"/>
  <c r="K839" i="5" a="1"/>
  <c r="K839" i="5" s="1"/>
  <c r="F839" i="5"/>
  <c r="N838" i="5" a="1"/>
  <c r="N838" i="5" s="1"/>
  <c r="O838" i="5" s="1"/>
  <c r="M838" i="5" a="1"/>
  <c r="M838" i="5" s="1"/>
  <c r="L838" i="5"/>
  <c r="K838" i="5" a="1"/>
  <c r="K838" i="5" s="1"/>
  <c r="F838" i="5"/>
  <c r="N837" i="5" a="1"/>
  <c r="N837" i="5" s="1"/>
  <c r="O837" i="5" s="1"/>
  <c r="M837" i="5" a="1"/>
  <c r="M837" i="5" s="1"/>
  <c r="L837" i="5"/>
  <c r="K837" i="5" a="1"/>
  <c r="K837" i="5" s="1"/>
  <c r="F837" i="5"/>
  <c r="N836" i="5" a="1"/>
  <c r="N836" i="5" s="1"/>
  <c r="O836" i="5" s="1"/>
  <c r="M836" i="5" a="1"/>
  <c r="M836" i="5" s="1"/>
  <c r="L836" i="5"/>
  <c r="K836" i="5" a="1"/>
  <c r="K836" i="5" s="1"/>
  <c r="F836" i="5"/>
  <c r="N835" i="5" a="1"/>
  <c r="N835" i="5" s="1"/>
  <c r="O835" i="5" s="1"/>
  <c r="M835" i="5" a="1"/>
  <c r="M835" i="5" s="1"/>
  <c r="L835" i="5"/>
  <c r="K835" i="5" a="1"/>
  <c r="K835" i="5" s="1"/>
  <c r="F835" i="5"/>
  <c r="N834" i="5" a="1"/>
  <c r="N834" i="5" s="1"/>
  <c r="O834" i="5" s="1"/>
  <c r="M834" i="5" a="1"/>
  <c r="M834" i="5" s="1"/>
  <c r="L834" i="5"/>
  <c r="K834" i="5" a="1"/>
  <c r="K834" i="5" s="1"/>
  <c r="F834" i="5"/>
  <c r="N833" i="5" a="1"/>
  <c r="N833" i="5" s="1"/>
  <c r="O833" i="5" s="1"/>
  <c r="M833" i="5" a="1"/>
  <c r="M833" i="5" s="1"/>
  <c r="L833" i="5"/>
  <c r="K833" i="5" a="1"/>
  <c r="K833" i="5" s="1"/>
  <c r="F833" i="5"/>
  <c r="N832" i="5" a="1"/>
  <c r="N832" i="5" s="1"/>
  <c r="O832" i="5" s="1"/>
  <c r="M832" i="5" a="1"/>
  <c r="M832" i="5" s="1"/>
  <c r="L832" i="5"/>
  <c r="K832" i="5" a="1"/>
  <c r="K832" i="5" s="1"/>
  <c r="F832" i="5"/>
  <c r="N831" i="5" a="1"/>
  <c r="N831" i="5" s="1"/>
  <c r="O831" i="5" s="1"/>
  <c r="M831" i="5" a="1"/>
  <c r="M831" i="5" s="1"/>
  <c r="L831" i="5"/>
  <c r="K831" i="5" a="1"/>
  <c r="K831" i="5" s="1"/>
  <c r="F831" i="5"/>
  <c r="N830" i="5" a="1"/>
  <c r="N830" i="5" s="1"/>
  <c r="O830" i="5" s="1"/>
  <c r="M830" i="5" a="1"/>
  <c r="M830" i="5" s="1"/>
  <c r="L830" i="5"/>
  <c r="K830" i="5" a="1"/>
  <c r="K830" i="5" s="1"/>
  <c r="F830" i="5"/>
  <c r="N829" i="5" a="1"/>
  <c r="N829" i="5" s="1"/>
  <c r="O829" i="5" s="1"/>
  <c r="M829" i="5" a="1"/>
  <c r="M829" i="5" s="1"/>
  <c r="L829" i="5"/>
  <c r="K829" i="5" a="1"/>
  <c r="K829" i="5" s="1"/>
  <c r="F829" i="5"/>
  <c r="N828" i="5" a="1"/>
  <c r="N828" i="5" s="1"/>
  <c r="O828" i="5" s="1"/>
  <c r="M828" i="5" a="1"/>
  <c r="M828" i="5" s="1"/>
  <c r="L828" i="5"/>
  <c r="K828" i="5" a="1"/>
  <c r="K828" i="5" s="1"/>
  <c r="F828" i="5"/>
  <c r="N827" i="5" a="1"/>
  <c r="N827" i="5" s="1"/>
  <c r="O827" i="5" s="1"/>
  <c r="M827" i="5" a="1"/>
  <c r="M827" i="5" s="1"/>
  <c r="L827" i="5"/>
  <c r="K827" i="5" a="1"/>
  <c r="K827" i="5" s="1"/>
  <c r="F827" i="5"/>
  <c r="N826" i="5" a="1"/>
  <c r="N826" i="5" s="1"/>
  <c r="O826" i="5" s="1"/>
  <c r="M826" i="5" a="1"/>
  <c r="M826" i="5" s="1"/>
  <c r="L826" i="5"/>
  <c r="K826" i="5" a="1"/>
  <c r="K826" i="5" s="1"/>
  <c r="F826" i="5"/>
  <c r="N825" i="5" a="1"/>
  <c r="N825" i="5" s="1"/>
  <c r="O825" i="5" s="1"/>
  <c r="M825" i="5" a="1"/>
  <c r="M825" i="5" s="1"/>
  <c r="L825" i="5"/>
  <c r="K825" i="5" a="1"/>
  <c r="K825" i="5" s="1"/>
  <c r="F825" i="5"/>
  <c r="N824" i="5" a="1"/>
  <c r="N824" i="5" s="1"/>
  <c r="O824" i="5" s="1"/>
  <c r="M824" i="5" a="1"/>
  <c r="M824" i="5" s="1"/>
  <c r="L824" i="5"/>
  <c r="K824" i="5" a="1"/>
  <c r="K824" i="5" s="1"/>
  <c r="F824" i="5"/>
  <c r="N823" i="5" a="1"/>
  <c r="N823" i="5" s="1"/>
  <c r="O823" i="5" s="1"/>
  <c r="M823" i="5" a="1"/>
  <c r="M823" i="5" s="1"/>
  <c r="L823" i="5"/>
  <c r="K823" i="5" a="1"/>
  <c r="K823" i="5" s="1"/>
  <c r="F823" i="5"/>
  <c r="N822" i="5" a="1"/>
  <c r="N822" i="5" s="1"/>
  <c r="O822" i="5" s="1"/>
  <c r="M822" i="5" a="1"/>
  <c r="M822" i="5" s="1"/>
  <c r="L822" i="5"/>
  <c r="K822" i="5" a="1"/>
  <c r="K822" i="5" s="1"/>
  <c r="F822" i="5"/>
  <c r="N821" i="5" a="1"/>
  <c r="N821" i="5" s="1"/>
  <c r="O821" i="5" s="1"/>
  <c r="M821" i="5" a="1"/>
  <c r="M821" i="5" s="1"/>
  <c r="L821" i="5"/>
  <c r="K821" i="5" a="1"/>
  <c r="K821" i="5" s="1"/>
  <c r="F821" i="5"/>
  <c r="N820" i="5" a="1"/>
  <c r="N820" i="5" s="1"/>
  <c r="O820" i="5" s="1"/>
  <c r="M820" i="5" a="1"/>
  <c r="M820" i="5" s="1"/>
  <c r="L820" i="5"/>
  <c r="K820" i="5" a="1"/>
  <c r="K820" i="5" s="1"/>
  <c r="F820" i="5"/>
  <c r="N819" i="5" a="1"/>
  <c r="N819" i="5" s="1"/>
  <c r="O819" i="5" s="1"/>
  <c r="M819" i="5" a="1"/>
  <c r="M819" i="5" s="1"/>
  <c r="L819" i="5"/>
  <c r="K819" i="5" a="1"/>
  <c r="K819" i="5" s="1"/>
  <c r="F819" i="5"/>
  <c r="N818" i="5" a="1"/>
  <c r="N818" i="5" s="1"/>
  <c r="O818" i="5" s="1"/>
  <c r="M818" i="5" a="1"/>
  <c r="M818" i="5" s="1"/>
  <c r="L818" i="5"/>
  <c r="K818" i="5" a="1"/>
  <c r="K818" i="5" s="1"/>
  <c r="F818" i="5"/>
  <c r="N817" i="5" a="1"/>
  <c r="N817" i="5" s="1"/>
  <c r="O817" i="5" s="1"/>
  <c r="M817" i="5" a="1"/>
  <c r="M817" i="5" s="1"/>
  <c r="L817" i="5"/>
  <c r="K817" i="5" a="1"/>
  <c r="K817" i="5" s="1"/>
  <c r="F817" i="5"/>
  <c r="N816" i="5" a="1"/>
  <c r="N816" i="5" s="1"/>
  <c r="O816" i="5" s="1"/>
  <c r="M816" i="5" a="1"/>
  <c r="M816" i="5" s="1"/>
  <c r="L816" i="5"/>
  <c r="K816" i="5" a="1"/>
  <c r="K816" i="5" s="1"/>
  <c r="F816" i="5"/>
  <c r="N815" i="5" a="1"/>
  <c r="N815" i="5" s="1"/>
  <c r="O815" i="5" s="1"/>
  <c r="M815" i="5" a="1"/>
  <c r="M815" i="5" s="1"/>
  <c r="L815" i="5"/>
  <c r="K815" i="5" a="1"/>
  <c r="K815" i="5" s="1"/>
  <c r="F815" i="5"/>
  <c r="N814" i="5" a="1"/>
  <c r="N814" i="5" s="1"/>
  <c r="O814" i="5" s="1"/>
  <c r="M814" i="5" a="1"/>
  <c r="M814" i="5" s="1"/>
  <c r="L814" i="5"/>
  <c r="K814" i="5" a="1"/>
  <c r="K814" i="5" s="1"/>
  <c r="F814" i="5"/>
  <c r="N813" i="5" a="1"/>
  <c r="N813" i="5" s="1"/>
  <c r="O813" i="5" s="1"/>
  <c r="M813" i="5" a="1"/>
  <c r="M813" i="5" s="1"/>
  <c r="L813" i="5"/>
  <c r="K813" i="5" a="1"/>
  <c r="K813" i="5" s="1"/>
  <c r="F813" i="5"/>
  <c r="N812" i="5" a="1"/>
  <c r="N812" i="5" s="1"/>
  <c r="O812" i="5" s="1"/>
  <c r="M812" i="5" a="1"/>
  <c r="M812" i="5" s="1"/>
  <c r="L812" i="5"/>
  <c r="K812" i="5" a="1"/>
  <c r="K812" i="5" s="1"/>
  <c r="F812" i="5"/>
  <c r="N811" i="5" a="1"/>
  <c r="N811" i="5" s="1"/>
  <c r="O811" i="5" s="1"/>
  <c r="M811" i="5" a="1"/>
  <c r="M811" i="5" s="1"/>
  <c r="L811" i="5"/>
  <c r="K811" i="5" a="1"/>
  <c r="K811" i="5" s="1"/>
  <c r="F811" i="5"/>
  <c r="N810" i="5" a="1"/>
  <c r="N810" i="5" s="1"/>
  <c r="O810" i="5" s="1"/>
  <c r="M810" i="5" a="1"/>
  <c r="M810" i="5" s="1"/>
  <c r="L810" i="5"/>
  <c r="K810" i="5" a="1"/>
  <c r="K810" i="5" s="1"/>
  <c r="F810" i="5"/>
  <c r="N809" i="5" a="1"/>
  <c r="N809" i="5" s="1"/>
  <c r="O809" i="5" s="1"/>
  <c r="M809" i="5" a="1"/>
  <c r="M809" i="5" s="1"/>
  <c r="L809" i="5"/>
  <c r="K809" i="5" a="1"/>
  <c r="K809" i="5" s="1"/>
  <c r="F809" i="5"/>
  <c r="N808" i="5" a="1"/>
  <c r="N808" i="5" s="1"/>
  <c r="O808" i="5" s="1"/>
  <c r="M808" i="5" a="1"/>
  <c r="M808" i="5" s="1"/>
  <c r="L808" i="5"/>
  <c r="K808" i="5" a="1"/>
  <c r="K808" i="5" s="1"/>
  <c r="F808" i="5"/>
  <c r="N807" i="5" a="1"/>
  <c r="N807" i="5" s="1"/>
  <c r="O807" i="5" s="1"/>
  <c r="M807" i="5" a="1"/>
  <c r="M807" i="5" s="1"/>
  <c r="L807" i="5"/>
  <c r="K807" i="5" a="1"/>
  <c r="K807" i="5" s="1"/>
  <c r="F807" i="5"/>
  <c r="N806" i="5" a="1"/>
  <c r="N806" i="5" s="1"/>
  <c r="O806" i="5" s="1"/>
  <c r="M806" i="5" a="1"/>
  <c r="M806" i="5" s="1"/>
  <c r="L806" i="5"/>
  <c r="K806" i="5" a="1"/>
  <c r="K806" i="5" s="1"/>
  <c r="F806" i="5"/>
  <c r="N805" i="5" a="1"/>
  <c r="N805" i="5" s="1"/>
  <c r="O805" i="5" s="1"/>
  <c r="M805" i="5" a="1"/>
  <c r="M805" i="5" s="1"/>
  <c r="L805" i="5"/>
  <c r="K805" i="5" a="1"/>
  <c r="K805" i="5" s="1"/>
  <c r="F805" i="5"/>
  <c r="N804" i="5" a="1"/>
  <c r="N804" i="5" s="1"/>
  <c r="O804" i="5" s="1"/>
  <c r="M804" i="5" a="1"/>
  <c r="M804" i="5" s="1"/>
  <c r="L804" i="5"/>
  <c r="K804" i="5" a="1"/>
  <c r="K804" i="5" s="1"/>
  <c r="F804" i="5"/>
  <c r="N803" i="5" a="1"/>
  <c r="N803" i="5" s="1"/>
  <c r="O803" i="5" s="1"/>
  <c r="M803" i="5" a="1"/>
  <c r="M803" i="5" s="1"/>
  <c r="L803" i="5"/>
  <c r="K803" i="5" a="1"/>
  <c r="K803" i="5" s="1"/>
  <c r="F803" i="5"/>
  <c r="N802" i="5" a="1"/>
  <c r="N802" i="5" s="1"/>
  <c r="O802" i="5" s="1"/>
  <c r="M802" i="5" a="1"/>
  <c r="M802" i="5" s="1"/>
  <c r="L802" i="5"/>
  <c r="K802" i="5" a="1"/>
  <c r="K802" i="5" s="1"/>
  <c r="F802" i="5"/>
  <c r="N801" i="5" a="1"/>
  <c r="N801" i="5" s="1"/>
  <c r="O801" i="5" s="1"/>
  <c r="M801" i="5" a="1"/>
  <c r="M801" i="5" s="1"/>
  <c r="L801" i="5"/>
  <c r="K801" i="5" a="1"/>
  <c r="K801" i="5" s="1"/>
  <c r="F801" i="5"/>
  <c r="N800" i="5" a="1"/>
  <c r="N800" i="5" s="1"/>
  <c r="O800" i="5" s="1"/>
  <c r="M800" i="5" a="1"/>
  <c r="M800" i="5" s="1"/>
  <c r="L800" i="5"/>
  <c r="K800" i="5" a="1"/>
  <c r="K800" i="5" s="1"/>
  <c r="F800" i="5"/>
  <c r="N799" i="5" a="1"/>
  <c r="N799" i="5" s="1"/>
  <c r="O799" i="5" s="1"/>
  <c r="M799" i="5" a="1"/>
  <c r="M799" i="5" s="1"/>
  <c r="L799" i="5"/>
  <c r="K799" i="5" a="1"/>
  <c r="K799" i="5" s="1"/>
  <c r="F799" i="5"/>
  <c r="N798" i="5" a="1"/>
  <c r="N798" i="5" s="1"/>
  <c r="O798" i="5" s="1"/>
  <c r="M798" i="5" a="1"/>
  <c r="M798" i="5" s="1"/>
  <c r="L798" i="5"/>
  <c r="K798" i="5" a="1"/>
  <c r="K798" i="5" s="1"/>
  <c r="F798" i="5"/>
  <c r="N797" i="5" a="1"/>
  <c r="N797" i="5" s="1"/>
  <c r="O797" i="5" s="1"/>
  <c r="M797" i="5" a="1"/>
  <c r="M797" i="5" s="1"/>
  <c r="L797" i="5"/>
  <c r="K797" i="5" a="1"/>
  <c r="K797" i="5" s="1"/>
  <c r="F797" i="5"/>
  <c r="N796" i="5" a="1"/>
  <c r="N796" i="5" s="1"/>
  <c r="O796" i="5" s="1"/>
  <c r="M796" i="5" a="1"/>
  <c r="M796" i="5" s="1"/>
  <c r="L796" i="5"/>
  <c r="K796" i="5" a="1"/>
  <c r="K796" i="5" s="1"/>
  <c r="F796" i="5"/>
  <c r="N795" i="5" a="1"/>
  <c r="N795" i="5" s="1"/>
  <c r="O795" i="5" s="1"/>
  <c r="M795" i="5" a="1"/>
  <c r="M795" i="5" s="1"/>
  <c r="L795" i="5"/>
  <c r="K795" i="5" a="1"/>
  <c r="K795" i="5" s="1"/>
  <c r="F795" i="5"/>
  <c r="N794" i="5" a="1"/>
  <c r="N794" i="5" s="1"/>
  <c r="O794" i="5" s="1"/>
  <c r="M794" i="5" a="1"/>
  <c r="M794" i="5" s="1"/>
  <c r="L794" i="5"/>
  <c r="K794" i="5" a="1"/>
  <c r="K794" i="5" s="1"/>
  <c r="F794" i="5"/>
  <c r="N793" i="5" a="1"/>
  <c r="N793" i="5" s="1"/>
  <c r="O793" i="5" s="1"/>
  <c r="M793" i="5" a="1"/>
  <c r="M793" i="5" s="1"/>
  <c r="L793" i="5"/>
  <c r="K793" i="5" a="1"/>
  <c r="K793" i="5" s="1"/>
  <c r="F793" i="5"/>
  <c r="N792" i="5" a="1"/>
  <c r="N792" i="5" s="1"/>
  <c r="O792" i="5" s="1"/>
  <c r="M792" i="5" a="1"/>
  <c r="M792" i="5" s="1"/>
  <c r="L792" i="5"/>
  <c r="K792" i="5" a="1"/>
  <c r="K792" i="5" s="1"/>
  <c r="F792" i="5"/>
  <c r="N791" i="5" a="1"/>
  <c r="N791" i="5" s="1"/>
  <c r="O791" i="5" s="1"/>
  <c r="M791" i="5" a="1"/>
  <c r="M791" i="5" s="1"/>
  <c r="L791" i="5"/>
  <c r="K791" i="5" a="1"/>
  <c r="K791" i="5" s="1"/>
  <c r="F791" i="5"/>
  <c r="N790" i="5" a="1"/>
  <c r="N790" i="5" s="1"/>
  <c r="O790" i="5" s="1"/>
  <c r="M790" i="5" a="1"/>
  <c r="M790" i="5" s="1"/>
  <c r="L790" i="5"/>
  <c r="K790" i="5" a="1"/>
  <c r="K790" i="5" s="1"/>
  <c r="F790" i="5"/>
  <c r="N789" i="5" a="1"/>
  <c r="N789" i="5" s="1"/>
  <c r="O789" i="5" s="1"/>
  <c r="M789" i="5" a="1"/>
  <c r="M789" i="5" s="1"/>
  <c r="L789" i="5"/>
  <c r="K789" i="5" a="1"/>
  <c r="K789" i="5" s="1"/>
  <c r="F789" i="5"/>
  <c r="N788" i="5" a="1"/>
  <c r="N788" i="5" s="1"/>
  <c r="O788" i="5" s="1"/>
  <c r="M788" i="5" a="1"/>
  <c r="M788" i="5" s="1"/>
  <c r="L788" i="5"/>
  <c r="K788" i="5" a="1"/>
  <c r="K788" i="5" s="1"/>
  <c r="F788" i="5"/>
  <c r="N787" i="5" a="1"/>
  <c r="N787" i="5" s="1"/>
  <c r="O787" i="5" s="1"/>
  <c r="M787" i="5" a="1"/>
  <c r="M787" i="5" s="1"/>
  <c r="L787" i="5"/>
  <c r="K787" i="5" a="1"/>
  <c r="K787" i="5" s="1"/>
  <c r="F787" i="5"/>
  <c r="N786" i="5" a="1"/>
  <c r="N786" i="5" s="1"/>
  <c r="O786" i="5" s="1"/>
  <c r="M786" i="5" a="1"/>
  <c r="M786" i="5" s="1"/>
  <c r="L786" i="5"/>
  <c r="K786" i="5" a="1"/>
  <c r="K786" i="5" s="1"/>
  <c r="F786" i="5"/>
  <c r="N785" i="5" a="1"/>
  <c r="N785" i="5" s="1"/>
  <c r="O785" i="5" s="1"/>
  <c r="M785" i="5" a="1"/>
  <c r="M785" i="5" s="1"/>
  <c r="L785" i="5"/>
  <c r="K785" i="5" a="1"/>
  <c r="K785" i="5" s="1"/>
  <c r="F785" i="5"/>
  <c r="N784" i="5" a="1"/>
  <c r="N784" i="5" s="1"/>
  <c r="O784" i="5" s="1"/>
  <c r="M784" i="5" a="1"/>
  <c r="M784" i="5" s="1"/>
  <c r="L784" i="5"/>
  <c r="K784" i="5" a="1"/>
  <c r="K784" i="5" s="1"/>
  <c r="F784" i="5"/>
  <c r="N783" i="5" a="1"/>
  <c r="N783" i="5" s="1"/>
  <c r="O783" i="5" s="1"/>
  <c r="M783" i="5" a="1"/>
  <c r="M783" i="5" s="1"/>
  <c r="L783" i="5"/>
  <c r="K783" i="5" a="1"/>
  <c r="K783" i="5" s="1"/>
  <c r="F783" i="5"/>
  <c r="N782" i="5" a="1"/>
  <c r="N782" i="5" s="1"/>
  <c r="O782" i="5" s="1"/>
  <c r="M782" i="5" a="1"/>
  <c r="M782" i="5" s="1"/>
  <c r="L782" i="5"/>
  <c r="K782" i="5" a="1"/>
  <c r="K782" i="5" s="1"/>
  <c r="F782" i="5"/>
  <c r="N781" i="5" a="1"/>
  <c r="N781" i="5" s="1"/>
  <c r="O781" i="5" s="1"/>
  <c r="M781" i="5" a="1"/>
  <c r="M781" i="5" s="1"/>
  <c r="L781" i="5"/>
  <c r="K781" i="5" a="1"/>
  <c r="K781" i="5" s="1"/>
  <c r="F781" i="5"/>
  <c r="N780" i="5" a="1"/>
  <c r="N780" i="5" s="1"/>
  <c r="O780" i="5" s="1"/>
  <c r="M780" i="5" a="1"/>
  <c r="M780" i="5" s="1"/>
  <c r="L780" i="5"/>
  <c r="K780" i="5" a="1"/>
  <c r="K780" i="5" s="1"/>
  <c r="F780" i="5"/>
  <c r="N779" i="5" a="1"/>
  <c r="N779" i="5" s="1"/>
  <c r="O779" i="5" s="1"/>
  <c r="M779" i="5" a="1"/>
  <c r="M779" i="5" s="1"/>
  <c r="L779" i="5"/>
  <c r="K779" i="5" a="1"/>
  <c r="K779" i="5" s="1"/>
  <c r="F779" i="5"/>
  <c r="N778" i="5" a="1"/>
  <c r="N778" i="5" s="1"/>
  <c r="O778" i="5" s="1"/>
  <c r="M778" i="5" a="1"/>
  <c r="M778" i="5" s="1"/>
  <c r="L778" i="5"/>
  <c r="K778" i="5" a="1"/>
  <c r="K778" i="5" s="1"/>
  <c r="F778" i="5"/>
  <c r="N777" i="5" a="1"/>
  <c r="N777" i="5" s="1"/>
  <c r="O777" i="5" s="1"/>
  <c r="M777" i="5" a="1"/>
  <c r="M777" i="5" s="1"/>
  <c r="L777" i="5"/>
  <c r="K777" i="5" a="1"/>
  <c r="K777" i="5" s="1"/>
  <c r="F777" i="5"/>
  <c r="N776" i="5" a="1"/>
  <c r="N776" i="5" s="1"/>
  <c r="O776" i="5" s="1"/>
  <c r="M776" i="5" a="1"/>
  <c r="M776" i="5" s="1"/>
  <c r="L776" i="5"/>
  <c r="K776" i="5" a="1"/>
  <c r="K776" i="5" s="1"/>
  <c r="F776" i="5"/>
  <c r="N775" i="5" a="1"/>
  <c r="N775" i="5" s="1"/>
  <c r="O775" i="5" s="1"/>
  <c r="M775" i="5" a="1"/>
  <c r="M775" i="5" s="1"/>
  <c r="L775" i="5"/>
  <c r="K775" i="5" a="1"/>
  <c r="K775" i="5" s="1"/>
  <c r="F775" i="5"/>
  <c r="N774" i="5" a="1"/>
  <c r="N774" i="5" s="1"/>
  <c r="O774" i="5" s="1"/>
  <c r="M774" i="5" a="1"/>
  <c r="M774" i="5" s="1"/>
  <c r="L774" i="5"/>
  <c r="K774" i="5" a="1"/>
  <c r="K774" i="5" s="1"/>
  <c r="F774" i="5"/>
  <c r="N773" i="5" a="1"/>
  <c r="N773" i="5" s="1"/>
  <c r="O773" i="5" s="1"/>
  <c r="M773" i="5" a="1"/>
  <c r="M773" i="5" s="1"/>
  <c r="L773" i="5"/>
  <c r="K773" i="5" a="1"/>
  <c r="K773" i="5" s="1"/>
  <c r="F773" i="5"/>
  <c r="N772" i="5" a="1"/>
  <c r="N772" i="5" s="1"/>
  <c r="O772" i="5" s="1"/>
  <c r="M772" i="5" a="1"/>
  <c r="M772" i="5" s="1"/>
  <c r="L772" i="5"/>
  <c r="K772" i="5" a="1"/>
  <c r="K772" i="5" s="1"/>
  <c r="F772" i="5"/>
  <c r="N771" i="5" a="1"/>
  <c r="N771" i="5" s="1"/>
  <c r="O771" i="5" s="1"/>
  <c r="M771" i="5" a="1"/>
  <c r="M771" i="5" s="1"/>
  <c r="L771" i="5"/>
  <c r="K771" i="5" a="1"/>
  <c r="K771" i="5" s="1"/>
  <c r="F771" i="5"/>
  <c r="N770" i="5" a="1"/>
  <c r="N770" i="5" s="1"/>
  <c r="O770" i="5" s="1"/>
  <c r="M770" i="5" a="1"/>
  <c r="M770" i="5" s="1"/>
  <c r="L770" i="5"/>
  <c r="K770" i="5" a="1"/>
  <c r="K770" i="5" s="1"/>
  <c r="F770" i="5"/>
  <c r="N769" i="5" a="1"/>
  <c r="N769" i="5" s="1"/>
  <c r="O769" i="5" s="1"/>
  <c r="M769" i="5" a="1"/>
  <c r="M769" i="5" s="1"/>
  <c r="L769" i="5"/>
  <c r="K769" i="5" a="1"/>
  <c r="K769" i="5" s="1"/>
  <c r="F769" i="5"/>
  <c r="N768" i="5" a="1"/>
  <c r="N768" i="5" s="1"/>
  <c r="O768" i="5" s="1"/>
  <c r="M768" i="5" a="1"/>
  <c r="M768" i="5" s="1"/>
  <c r="L768" i="5"/>
  <c r="K768" i="5" a="1"/>
  <c r="K768" i="5" s="1"/>
  <c r="F768" i="5"/>
  <c r="N767" i="5" a="1"/>
  <c r="N767" i="5" s="1"/>
  <c r="O767" i="5" s="1"/>
  <c r="M767" i="5" a="1"/>
  <c r="M767" i="5" s="1"/>
  <c r="L767" i="5"/>
  <c r="K767" i="5" a="1"/>
  <c r="K767" i="5" s="1"/>
  <c r="F767" i="5"/>
  <c r="N766" i="5" a="1"/>
  <c r="N766" i="5" s="1"/>
  <c r="O766" i="5" s="1"/>
  <c r="M766" i="5" a="1"/>
  <c r="M766" i="5" s="1"/>
  <c r="L766" i="5"/>
  <c r="K766" i="5" a="1"/>
  <c r="K766" i="5" s="1"/>
  <c r="F766" i="5"/>
  <c r="N765" i="5" a="1"/>
  <c r="N765" i="5" s="1"/>
  <c r="O765" i="5" s="1"/>
  <c r="M765" i="5" a="1"/>
  <c r="M765" i="5" s="1"/>
  <c r="L765" i="5"/>
  <c r="K765" i="5" a="1"/>
  <c r="K765" i="5" s="1"/>
  <c r="F765" i="5"/>
  <c r="N764" i="5" a="1"/>
  <c r="N764" i="5" s="1"/>
  <c r="O764" i="5" s="1"/>
  <c r="M764" i="5" a="1"/>
  <c r="M764" i="5" s="1"/>
  <c r="L764" i="5"/>
  <c r="K764" i="5" a="1"/>
  <c r="K764" i="5" s="1"/>
  <c r="F764" i="5"/>
  <c r="N763" i="5" a="1"/>
  <c r="N763" i="5" s="1"/>
  <c r="O763" i="5" s="1"/>
  <c r="M763" i="5" a="1"/>
  <c r="M763" i="5" s="1"/>
  <c r="L763" i="5"/>
  <c r="K763" i="5" a="1"/>
  <c r="K763" i="5" s="1"/>
  <c r="F763" i="5"/>
  <c r="N762" i="5" a="1"/>
  <c r="N762" i="5" s="1"/>
  <c r="O762" i="5" s="1"/>
  <c r="M762" i="5" a="1"/>
  <c r="M762" i="5" s="1"/>
  <c r="L762" i="5"/>
  <c r="K762" i="5" a="1"/>
  <c r="K762" i="5" s="1"/>
  <c r="F762" i="5"/>
  <c r="N761" i="5" a="1"/>
  <c r="N761" i="5" s="1"/>
  <c r="O761" i="5" s="1"/>
  <c r="M761" i="5" a="1"/>
  <c r="M761" i="5" s="1"/>
  <c r="L761" i="5"/>
  <c r="K761" i="5" a="1"/>
  <c r="K761" i="5" s="1"/>
  <c r="F761" i="5"/>
  <c r="N760" i="5" a="1"/>
  <c r="N760" i="5" s="1"/>
  <c r="O760" i="5" s="1"/>
  <c r="M760" i="5" a="1"/>
  <c r="M760" i="5" s="1"/>
  <c r="L760" i="5"/>
  <c r="K760" i="5" a="1"/>
  <c r="K760" i="5" s="1"/>
  <c r="F760" i="5"/>
  <c r="N759" i="5" a="1"/>
  <c r="N759" i="5" s="1"/>
  <c r="O759" i="5" s="1"/>
  <c r="M759" i="5" a="1"/>
  <c r="M759" i="5" s="1"/>
  <c r="L759" i="5"/>
  <c r="K759" i="5" a="1"/>
  <c r="K759" i="5" s="1"/>
  <c r="F759" i="5"/>
  <c r="N758" i="5" a="1"/>
  <c r="N758" i="5" s="1"/>
  <c r="O758" i="5" s="1"/>
  <c r="M758" i="5" a="1"/>
  <c r="M758" i="5" s="1"/>
  <c r="L758" i="5"/>
  <c r="K758" i="5" a="1"/>
  <c r="K758" i="5" s="1"/>
  <c r="F758" i="5"/>
  <c r="N757" i="5" a="1"/>
  <c r="N757" i="5" s="1"/>
  <c r="O757" i="5" s="1"/>
  <c r="M757" i="5" a="1"/>
  <c r="M757" i="5" s="1"/>
  <c r="L757" i="5"/>
  <c r="K757" i="5" a="1"/>
  <c r="K757" i="5" s="1"/>
  <c r="F757" i="5"/>
  <c r="N756" i="5" a="1"/>
  <c r="N756" i="5" s="1"/>
  <c r="O756" i="5" s="1"/>
  <c r="M756" i="5" a="1"/>
  <c r="M756" i="5" s="1"/>
  <c r="L756" i="5"/>
  <c r="K756" i="5" a="1"/>
  <c r="K756" i="5" s="1"/>
  <c r="F756" i="5"/>
  <c r="N755" i="5" a="1"/>
  <c r="N755" i="5" s="1"/>
  <c r="O755" i="5" s="1"/>
  <c r="M755" i="5" a="1"/>
  <c r="M755" i="5" s="1"/>
  <c r="L755" i="5"/>
  <c r="K755" i="5" a="1"/>
  <c r="K755" i="5" s="1"/>
  <c r="F755" i="5"/>
  <c r="N754" i="5" a="1"/>
  <c r="N754" i="5" s="1"/>
  <c r="O754" i="5" s="1"/>
  <c r="M754" i="5" a="1"/>
  <c r="M754" i="5" s="1"/>
  <c r="L754" i="5"/>
  <c r="K754" i="5" a="1"/>
  <c r="K754" i="5" s="1"/>
  <c r="F754" i="5"/>
  <c r="N753" i="5" a="1"/>
  <c r="N753" i="5" s="1"/>
  <c r="O753" i="5" s="1"/>
  <c r="M753" i="5" a="1"/>
  <c r="M753" i="5" s="1"/>
  <c r="L753" i="5"/>
  <c r="K753" i="5" a="1"/>
  <c r="K753" i="5" s="1"/>
  <c r="F753" i="5"/>
  <c r="N752" i="5" a="1"/>
  <c r="N752" i="5" s="1"/>
  <c r="O752" i="5" s="1"/>
  <c r="M752" i="5" a="1"/>
  <c r="M752" i="5" s="1"/>
  <c r="L752" i="5"/>
  <c r="K752" i="5" a="1"/>
  <c r="K752" i="5" s="1"/>
  <c r="F752" i="5"/>
  <c r="N751" i="5" a="1"/>
  <c r="N751" i="5" s="1"/>
  <c r="O751" i="5" s="1"/>
  <c r="M751" i="5" a="1"/>
  <c r="M751" i="5" s="1"/>
  <c r="L751" i="5"/>
  <c r="K751" i="5" a="1"/>
  <c r="K751" i="5" s="1"/>
  <c r="F751" i="5"/>
  <c r="N750" i="5" a="1"/>
  <c r="N750" i="5" s="1"/>
  <c r="O750" i="5" s="1"/>
  <c r="M750" i="5" a="1"/>
  <c r="M750" i="5" s="1"/>
  <c r="L750" i="5"/>
  <c r="K750" i="5" a="1"/>
  <c r="K750" i="5" s="1"/>
  <c r="F750" i="5"/>
  <c r="N749" i="5" a="1"/>
  <c r="N749" i="5" s="1"/>
  <c r="O749" i="5" s="1"/>
  <c r="M749" i="5" a="1"/>
  <c r="M749" i="5" s="1"/>
  <c r="L749" i="5"/>
  <c r="K749" i="5" a="1"/>
  <c r="K749" i="5" s="1"/>
  <c r="F749" i="5"/>
  <c r="N748" i="5" a="1"/>
  <c r="N748" i="5" s="1"/>
  <c r="O748" i="5" s="1"/>
  <c r="M748" i="5" a="1"/>
  <c r="M748" i="5" s="1"/>
  <c r="L748" i="5"/>
  <c r="K748" i="5" a="1"/>
  <c r="K748" i="5" s="1"/>
  <c r="F748" i="5"/>
  <c r="N747" i="5" a="1"/>
  <c r="N747" i="5" s="1"/>
  <c r="O747" i="5" s="1"/>
  <c r="M747" i="5" a="1"/>
  <c r="M747" i="5" s="1"/>
  <c r="L747" i="5"/>
  <c r="K747" i="5" a="1"/>
  <c r="K747" i="5" s="1"/>
  <c r="F747" i="5"/>
  <c r="N746" i="5" a="1"/>
  <c r="N746" i="5" s="1"/>
  <c r="O746" i="5" s="1"/>
  <c r="M746" i="5" a="1"/>
  <c r="M746" i="5" s="1"/>
  <c r="L746" i="5"/>
  <c r="K746" i="5" a="1"/>
  <c r="K746" i="5" s="1"/>
  <c r="F746" i="5"/>
  <c r="N745" i="5" a="1"/>
  <c r="N745" i="5" s="1"/>
  <c r="O745" i="5" s="1"/>
  <c r="M745" i="5" a="1"/>
  <c r="M745" i="5" s="1"/>
  <c r="L745" i="5"/>
  <c r="K745" i="5" a="1"/>
  <c r="K745" i="5" s="1"/>
  <c r="F745" i="5"/>
  <c r="N744" i="5" a="1"/>
  <c r="N744" i="5" s="1"/>
  <c r="O744" i="5" s="1"/>
  <c r="M744" i="5" a="1"/>
  <c r="M744" i="5" s="1"/>
  <c r="L744" i="5"/>
  <c r="K744" i="5" a="1"/>
  <c r="K744" i="5" s="1"/>
  <c r="F744" i="5"/>
  <c r="N743" i="5" a="1"/>
  <c r="N743" i="5" s="1"/>
  <c r="O743" i="5" s="1"/>
  <c r="M743" i="5" a="1"/>
  <c r="M743" i="5" s="1"/>
  <c r="L743" i="5"/>
  <c r="K743" i="5" a="1"/>
  <c r="K743" i="5" s="1"/>
  <c r="F743" i="5"/>
  <c r="N742" i="5" a="1"/>
  <c r="N742" i="5" s="1"/>
  <c r="O742" i="5" s="1"/>
  <c r="M742" i="5" a="1"/>
  <c r="M742" i="5" s="1"/>
  <c r="L742" i="5"/>
  <c r="K742" i="5" a="1"/>
  <c r="K742" i="5" s="1"/>
  <c r="F742" i="5"/>
  <c r="N741" i="5" a="1"/>
  <c r="N741" i="5" s="1"/>
  <c r="O741" i="5" s="1"/>
  <c r="M741" i="5" a="1"/>
  <c r="M741" i="5" s="1"/>
  <c r="L741" i="5"/>
  <c r="K741" i="5" a="1"/>
  <c r="K741" i="5" s="1"/>
  <c r="F741" i="5"/>
  <c r="N740" i="5" a="1"/>
  <c r="N740" i="5" s="1"/>
  <c r="O740" i="5" s="1"/>
  <c r="M740" i="5" a="1"/>
  <c r="M740" i="5" s="1"/>
  <c r="L740" i="5"/>
  <c r="K740" i="5" a="1"/>
  <c r="K740" i="5" s="1"/>
  <c r="F740" i="5"/>
  <c r="N739" i="5" a="1"/>
  <c r="N739" i="5" s="1"/>
  <c r="O739" i="5" s="1"/>
  <c r="M739" i="5" a="1"/>
  <c r="M739" i="5" s="1"/>
  <c r="L739" i="5"/>
  <c r="K739" i="5" a="1"/>
  <c r="K739" i="5" s="1"/>
  <c r="F739" i="5"/>
  <c r="N738" i="5" a="1"/>
  <c r="N738" i="5" s="1"/>
  <c r="O738" i="5" s="1"/>
  <c r="M738" i="5" a="1"/>
  <c r="M738" i="5" s="1"/>
  <c r="L738" i="5"/>
  <c r="K738" i="5" a="1"/>
  <c r="K738" i="5" s="1"/>
  <c r="F738" i="5"/>
  <c r="N737" i="5" a="1"/>
  <c r="N737" i="5" s="1"/>
  <c r="O737" i="5" s="1"/>
  <c r="M737" i="5" a="1"/>
  <c r="M737" i="5" s="1"/>
  <c r="L737" i="5"/>
  <c r="K737" i="5" a="1"/>
  <c r="K737" i="5" s="1"/>
  <c r="F737" i="5"/>
  <c r="N736" i="5" a="1"/>
  <c r="N736" i="5" s="1"/>
  <c r="O736" i="5" s="1"/>
  <c r="M736" i="5" a="1"/>
  <c r="M736" i="5" s="1"/>
  <c r="L736" i="5"/>
  <c r="K736" i="5" a="1"/>
  <c r="K736" i="5" s="1"/>
  <c r="F736" i="5"/>
  <c r="N735" i="5" a="1"/>
  <c r="N735" i="5" s="1"/>
  <c r="O735" i="5" s="1"/>
  <c r="M735" i="5" a="1"/>
  <c r="M735" i="5" s="1"/>
  <c r="L735" i="5"/>
  <c r="K735" i="5" a="1"/>
  <c r="K735" i="5" s="1"/>
  <c r="F735" i="5"/>
  <c r="N734" i="5" a="1"/>
  <c r="N734" i="5" s="1"/>
  <c r="O734" i="5" s="1"/>
  <c r="M734" i="5" a="1"/>
  <c r="M734" i="5" s="1"/>
  <c r="L734" i="5"/>
  <c r="K734" i="5" a="1"/>
  <c r="K734" i="5" s="1"/>
  <c r="F734" i="5"/>
  <c r="N733" i="5" a="1"/>
  <c r="N733" i="5" s="1"/>
  <c r="O733" i="5" s="1"/>
  <c r="M733" i="5" a="1"/>
  <c r="M733" i="5" s="1"/>
  <c r="L733" i="5"/>
  <c r="K733" i="5" a="1"/>
  <c r="K733" i="5" s="1"/>
  <c r="F733" i="5"/>
  <c r="N732" i="5" a="1"/>
  <c r="N732" i="5" s="1"/>
  <c r="O732" i="5" s="1"/>
  <c r="M732" i="5" a="1"/>
  <c r="M732" i="5" s="1"/>
  <c r="L732" i="5"/>
  <c r="K732" i="5" a="1"/>
  <c r="K732" i="5" s="1"/>
  <c r="F732" i="5"/>
  <c r="N731" i="5" a="1"/>
  <c r="N731" i="5" s="1"/>
  <c r="O731" i="5" s="1"/>
  <c r="M731" i="5" a="1"/>
  <c r="M731" i="5" s="1"/>
  <c r="L731" i="5"/>
  <c r="K731" i="5" a="1"/>
  <c r="K731" i="5" s="1"/>
  <c r="F731" i="5"/>
  <c r="N730" i="5" a="1"/>
  <c r="N730" i="5" s="1"/>
  <c r="O730" i="5" s="1"/>
  <c r="M730" i="5" a="1"/>
  <c r="M730" i="5" s="1"/>
  <c r="L730" i="5"/>
  <c r="K730" i="5" a="1"/>
  <c r="K730" i="5" s="1"/>
  <c r="F730" i="5"/>
  <c r="N729" i="5" a="1"/>
  <c r="N729" i="5" s="1"/>
  <c r="O729" i="5" s="1"/>
  <c r="M729" i="5" a="1"/>
  <c r="M729" i="5" s="1"/>
  <c r="L729" i="5"/>
  <c r="K729" i="5" a="1"/>
  <c r="K729" i="5" s="1"/>
  <c r="F729" i="5"/>
  <c r="N728" i="5" a="1"/>
  <c r="N728" i="5" s="1"/>
  <c r="O728" i="5" s="1"/>
  <c r="M728" i="5" a="1"/>
  <c r="M728" i="5" s="1"/>
  <c r="L728" i="5"/>
  <c r="K728" i="5" a="1"/>
  <c r="K728" i="5" s="1"/>
  <c r="F728" i="5"/>
  <c r="N727" i="5" a="1"/>
  <c r="N727" i="5" s="1"/>
  <c r="O727" i="5" s="1"/>
  <c r="M727" i="5" a="1"/>
  <c r="M727" i="5" s="1"/>
  <c r="L727" i="5"/>
  <c r="K727" i="5" a="1"/>
  <c r="K727" i="5" s="1"/>
  <c r="F727" i="5"/>
  <c r="N726" i="5" a="1"/>
  <c r="N726" i="5" s="1"/>
  <c r="O726" i="5" s="1"/>
  <c r="M726" i="5" a="1"/>
  <c r="M726" i="5" s="1"/>
  <c r="L726" i="5"/>
  <c r="K726" i="5" a="1"/>
  <c r="K726" i="5" s="1"/>
  <c r="F726" i="5"/>
  <c r="N725" i="5" a="1"/>
  <c r="N725" i="5" s="1"/>
  <c r="O725" i="5" s="1"/>
  <c r="M725" i="5" a="1"/>
  <c r="M725" i="5" s="1"/>
  <c r="L725" i="5"/>
  <c r="K725" i="5" a="1"/>
  <c r="K725" i="5" s="1"/>
  <c r="F725" i="5"/>
  <c r="N724" i="5" a="1"/>
  <c r="N724" i="5" s="1"/>
  <c r="O724" i="5" s="1"/>
  <c r="M724" i="5" a="1"/>
  <c r="M724" i="5" s="1"/>
  <c r="L724" i="5"/>
  <c r="K724" i="5" a="1"/>
  <c r="K724" i="5" s="1"/>
  <c r="F724" i="5"/>
  <c r="N723" i="5" a="1"/>
  <c r="N723" i="5" s="1"/>
  <c r="O723" i="5" s="1"/>
  <c r="M723" i="5" a="1"/>
  <c r="M723" i="5" s="1"/>
  <c r="L723" i="5"/>
  <c r="K723" i="5" a="1"/>
  <c r="K723" i="5" s="1"/>
  <c r="F723" i="5"/>
  <c r="N722" i="5" a="1"/>
  <c r="N722" i="5" s="1"/>
  <c r="O722" i="5" s="1"/>
  <c r="M722" i="5" a="1"/>
  <c r="M722" i="5" s="1"/>
  <c r="L722" i="5"/>
  <c r="K722" i="5" a="1"/>
  <c r="K722" i="5" s="1"/>
  <c r="F722" i="5"/>
  <c r="N721" i="5" a="1"/>
  <c r="N721" i="5" s="1"/>
  <c r="O721" i="5" s="1"/>
  <c r="M721" i="5" a="1"/>
  <c r="M721" i="5" s="1"/>
  <c r="L721" i="5"/>
  <c r="K721" i="5" a="1"/>
  <c r="K721" i="5" s="1"/>
  <c r="F721" i="5"/>
  <c r="N720" i="5" a="1"/>
  <c r="N720" i="5" s="1"/>
  <c r="O720" i="5" s="1"/>
  <c r="M720" i="5" a="1"/>
  <c r="M720" i="5" s="1"/>
  <c r="L720" i="5"/>
  <c r="K720" i="5" a="1"/>
  <c r="K720" i="5" s="1"/>
  <c r="F720" i="5"/>
  <c r="N719" i="5" a="1"/>
  <c r="N719" i="5" s="1"/>
  <c r="O719" i="5" s="1"/>
  <c r="M719" i="5" a="1"/>
  <c r="M719" i="5" s="1"/>
  <c r="L719" i="5"/>
  <c r="K719" i="5" a="1"/>
  <c r="K719" i="5" s="1"/>
  <c r="F719" i="5"/>
  <c r="N718" i="5" a="1"/>
  <c r="N718" i="5" s="1"/>
  <c r="O718" i="5" s="1"/>
  <c r="M718" i="5" a="1"/>
  <c r="M718" i="5" s="1"/>
  <c r="L718" i="5"/>
  <c r="K718" i="5" a="1"/>
  <c r="K718" i="5" s="1"/>
  <c r="F718" i="5"/>
  <c r="N717" i="5" a="1"/>
  <c r="N717" i="5" s="1"/>
  <c r="O717" i="5" s="1"/>
  <c r="M717" i="5" a="1"/>
  <c r="M717" i="5" s="1"/>
  <c r="L717" i="5"/>
  <c r="K717" i="5" a="1"/>
  <c r="K717" i="5" s="1"/>
  <c r="F717" i="5"/>
  <c r="N716" i="5" a="1"/>
  <c r="N716" i="5" s="1"/>
  <c r="O716" i="5" s="1"/>
  <c r="M716" i="5" a="1"/>
  <c r="M716" i="5" s="1"/>
  <c r="L716" i="5"/>
  <c r="K716" i="5" a="1"/>
  <c r="K716" i="5" s="1"/>
  <c r="F716" i="5"/>
  <c r="N715" i="5" a="1"/>
  <c r="N715" i="5" s="1"/>
  <c r="O715" i="5" s="1"/>
  <c r="M715" i="5" a="1"/>
  <c r="M715" i="5" s="1"/>
  <c r="L715" i="5"/>
  <c r="K715" i="5" a="1"/>
  <c r="K715" i="5" s="1"/>
  <c r="F715" i="5"/>
  <c r="N714" i="5" a="1"/>
  <c r="N714" i="5" s="1"/>
  <c r="O714" i="5" s="1"/>
  <c r="M714" i="5" a="1"/>
  <c r="M714" i="5" s="1"/>
  <c r="L714" i="5"/>
  <c r="K714" i="5" a="1"/>
  <c r="K714" i="5" s="1"/>
  <c r="F714" i="5"/>
  <c r="N713" i="5" a="1"/>
  <c r="N713" i="5" s="1"/>
  <c r="O713" i="5" s="1"/>
  <c r="M713" i="5" a="1"/>
  <c r="M713" i="5" s="1"/>
  <c r="L713" i="5"/>
  <c r="K713" i="5" a="1"/>
  <c r="K713" i="5" s="1"/>
  <c r="F713" i="5"/>
  <c r="N712" i="5" a="1"/>
  <c r="N712" i="5" s="1"/>
  <c r="O712" i="5" s="1"/>
  <c r="M712" i="5" a="1"/>
  <c r="M712" i="5" s="1"/>
  <c r="L712" i="5"/>
  <c r="K712" i="5" a="1"/>
  <c r="K712" i="5" s="1"/>
  <c r="F712" i="5"/>
  <c r="N711" i="5" a="1"/>
  <c r="N711" i="5" s="1"/>
  <c r="O711" i="5" s="1"/>
  <c r="M711" i="5" a="1"/>
  <c r="M711" i="5" s="1"/>
  <c r="L711" i="5"/>
  <c r="K711" i="5" a="1"/>
  <c r="K711" i="5" s="1"/>
  <c r="F711" i="5"/>
  <c r="N710" i="5" a="1"/>
  <c r="N710" i="5" s="1"/>
  <c r="O710" i="5" s="1"/>
  <c r="M710" i="5" a="1"/>
  <c r="M710" i="5" s="1"/>
  <c r="L710" i="5"/>
  <c r="K710" i="5" a="1"/>
  <c r="K710" i="5" s="1"/>
  <c r="F710" i="5"/>
  <c r="N709" i="5" a="1"/>
  <c r="N709" i="5" s="1"/>
  <c r="O709" i="5" s="1"/>
  <c r="M709" i="5" a="1"/>
  <c r="M709" i="5" s="1"/>
  <c r="L709" i="5"/>
  <c r="K709" i="5" a="1"/>
  <c r="K709" i="5" s="1"/>
  <c r="F709" i="5"/>
  <c r="N708" i="5" a="1"/>
  <c r="N708" i="5" s="1"/>
  <c r="O708" i="5" s="1"/>
  <c r="M708" i="5" a="1"/>
  <c r="M708" i="5" s="1"/>
  <c r="L708" i="5"/>
  <c r="K708" i="5" a="1"/>
  <c r="K708" i="5" s="1"/>
  <c r="F708" i="5"/>
  <c r="N707" i="5" a="1"/>
  <c r="N707" i="5" s="1"/>
  <c r="O707" i="5" s="1"/>
  <c r="M707" i="5" a="1"/>
  <c r="M707" i="5" s="1"/>
  <c r="L707" i="5"/>
  <c r="K707" i="5" a="1"/>
  <c r="K707" i="5" s="1"/>
  <c r="F707" i="5"/>
  <c r="N706" i="5" a="1"/>
  <c r="N706" i="5" s="1"/>
  <c r="O706" i="5" s="1"/>
  <c r="M706" i="5" a="1"/>
  <c r="M706" i="5" s="1"/>
  <c r="L706" i="5"/>
  <c r="K706" i="5" a="1"/>
  <c r="K706" i="5" s="1"/>
  <c r="F706" i="5"/>
  <c r="N705" i="5" a="1"/>
  <c r="N705" i="5" s="1"/>
  <c r="O705" i="5" s="1"/>
  <c r="M705" i="5" a="1"/>
  <c r="M705" i="5" s="1"/>
  <c r="L705" i="5"/>
  <c r="K705" i="5" a="1"/>
  <c r="K705" i="5" s="1"/>
  <c r="F705" i="5"/>
  <c r="N704" i="5" a="1"/>
  <c r="N704" i="5" s="1"/>
  <c r="O704" i="5" s="1"/>
  <c r="M704" i="5" a="1"/>
  <c r="M704" i="5" s="1"/>
  <c r="L704" i="5"/>
  <c r="K704" i="5" a="1"/>
  <c r="K704" i="5" s="1"/>
  <c r="F704" i="5"/>
  <c r="N703" i="5" a="1"/>
  <c r="N703" i="5" s="1"/>
  <c r="O703" i="5" s="1"/>
  <c r="M703" i="5" a="1"/>
  <c r="M703" i="5" s="1"/>
  <c r="L703" i="5"/>
  <c r="K703" i="5" a="1"/>
  <c r="K703" i="5" s="1"/>
  <c r="F703" i="5"/>
  <c r="N702" i="5" a="1"/>
  <c r="N702" i="5" s="1"/>
  <c r="O702" i="5" s="1"/>
  <c r="M702" i="5" a="1"/>
  <c r="M702" i="5" s="1"/>
  <c r="L702" i="5"/>
  <c r="K702" i="5" a="1"/>
  <c r="K702" i="5" s="1"/>
  <c r="F702" i="5"/>
  <c r="N701" i="5" a="1"/>
  <c r="N701" i="5" s="1"/>
  <c r="O701" i="5" s="1"/>
  <c r="M701" i="5" a="1"/>
  <c r="M701" i="5" s="1"/>
  <c r="L701" i="5"/>
  <c r="K701" i="5" a="1"/>
  <c r="K701" i="5" s="1"/>
  <c r="F701" i="5"/>
  <c r="N700" i="5" a="1"/>
  <c r="N700" i="5" s="1"/>
  <c r="O700" i="5" s="1"/>
  <c r="M700" i="5" a="1"/>
  <c r="M700" i="5" s="1"/>
  <c r="L700" i="5"/>
  <c r="K700" i="5" a="1"/>
  <c r="K700" i="5" s="1"/>
  <c r="F700" i="5"/>
  <c r="N699" i="5" a="1"/>
  <c r="N699" i="5" s="1"/>
  <c r="O699" i="5" s="1"/>
  <c r="M699" i="5" a="1"/>
  <c r="M699" i="5" s="1"/>
  <c r="L699" i="5"/>
  <c r="K699" i="5" a="1"/>
  <c r="K699" i="5" s="1"/>
  <c r="F699" i="5"/>
  <c r="N698" i="5" a="1"/>
  <c r="N698" i="5" s="1"/>
  <c r="O698" i="5" s="1"/>
  <c r="M698" i="5" a="1"/>
  <c r="M698" i="5" s="1"/>
  <c r="L698" i="5"/>
  <c r="K698" i="5" a="1"/>
  <c r="K698" i="5" s="1"/>
  <c r="F698" i="5"/>
  <c r="N697" i="5" a="1"/>
  <c r="N697" i="5" s="1"/>
  <c r="O697" i="5" s="1"/>
  <c r="M697" i="5" a="1"/>
  <c r="M697" i="5" s="1"/>
  <c r="L697" i="5"/>
  <c r="K697" i="5" a="1"/>
  <c r="K697" i="5" s="1"/>
  <c r="F697" i="5"/>
  <c r="N696" i="5" a="1"/>
  <c r="N696" i="5" s="1"/>
  <c r="O696" i="5" s="1"/>
  <c r="M696" i="5" a="1"/>
  <c r="M696" i="5" s="1"/>
  <c r="L696" i="5"/>
  <c r="K696" i="5" a="1"/>
  <c r="K696" i="5" s="1"/>
  <c r="F696" i="5"/>
  <c r="N695" i="5" a="1"/>
  <c r="N695" i="5" s="1"/>
  <c r="O695" i="5" s="1"/>
  <c r="M695" i="5" a="1"/>
  <c r="M695" i="5" s="1"/>
  <c r="L695" i="5"/>
  <c r="K695" i="5" a="1"/>
  <c r="K695" i="5" s="1"/>
  <c r="F695" i="5"/>
  <c r="N694" i="5" a="1"/>
  <c r="N694" i="5" s="1"/>
  <c r="O694" i="5" s="1"/>
  <c r="M694" i="5" a="1"/>
  <c r="M694" i="5" s="1"/>
  <c r="L694" i="5"/>
  <c r="K694" i="5" a="1"/>
  <c r="K694" i="5" s="1"/>
  <c r="F694" i="5"/>
  <c r="N693" i="5" a="1"/>
  <c r="N693" i="5" s="1"/>
  <c r="O693" i="5" s="1"/>
  <c r="M693" i="5" a="1"/>
  <c r="M693" i="5" s="1"/>
  <c r="L693" i="5"/>
  <c r="K693" i="5" a="1"/>
  <c r="K693" i="5" s="1"/>
  <c r="F693" i="5"/>
  <c r="N692" i="5" a="1"/>
  <c r="N692" i="5" s="1"/>
  <c r="O692" i="5" s="1"/>
  <c r="M692" i="5" a="1"/>
  <c r="M692" i="5" s="1"/>
  <c r="L692" i="5"/>
  <c r="K692" i="5" a="1"/>
  <c r="K692" i="5" s="1"/>
  <c r="F692" i="5"/>
  <c r="N691" i="5" a="1"/>
  <c r="N691" i="5" s="1"/>
  <c r="O691" i="5" s="1"/>
  <c r="M691" i="5" a="1"/>
  <c r="M691" i="5" s="1"/>
  <c r="L691" i="5"/>
  <c r="K691" i="5" a="1"/>
  <c r="K691" i="5" s="1"/>
  <c r="F691" i="5"/>
  <c r="N690" i="5" a="1"/>
  <c r="N690" i="5" s="1"/>
  <c r="O690" i="5" s="1"/>
  <c r="M690" i="5" a="1"/>
  <c r="M690" i="5" s="1"/>
  <c r="L690" i="5"/>
  <c r="K690" i="5" a="1"/>
  <c r="K690" i="5" s="1"/>
  <c r="F690" i="5"/>
  <c r="N689" i="5" a="1"/>
  <c r="N689" i="5" s="1"/>
  <c r="O689" i="5" s="1"/>
  <c r="M689" i="5" a="1"/>
  <c r="M689" i="5" s="1"/>
  <c r="L689" i="5"/>
  <c r="K689" i="5" a="1"/>
  <c r="K689" i="5" s="1"/>
  <c r="F689" i="5"/>
  <c r="N688" i="5" a="1"/>
  <c r="N688" i="5" s="1"/>
  <c r="O688" i="5" s="1"/>
  <c r="M688" i="5" a="1"/>
  <c r="M688" i="5" s="1"/>
  <c r="L688" i="5"/>
  <c r="K688" i="5" a="1"/>
  <c r="K688" i="5" s="1"/>
  <c r="F688" i="5"/>
  <c r="N687" i="5" a="1"/>
  <c r="N687" i="5" s="1"/>
  <c r="O687" i="5" s="1"/>
  <c r="M687" i="5" a="1"/>
  <c r="M687" i="5" s="1"/>
  <c r="L687" i="5"/>
  <c r="K687" i="5" a="1"/>
  <c r="K687" i="5" s="1"/>
  <c r="F687" i="5"/>
  <c r="N686" i="5" a="1"/>
  <c r="N686" i="5" s="1"/>
  <c r="O686" i="5" s="1"/>
  <c r="M686" i="5" a="1"/>
  <c r="M686" i="5" s="1"/>
  <c r="L686" i="5"/>
  <c r="K686" i="5" a="1"/>
  <c r="K686" i="5" s="1"/>
  <c r="F686" i="5"/>
  <c r="N685" i="5" a="1"/>
  <c r="N685" i="5" s="1"/>
  <c r="O685" i="5" s="1"/>
  <c r="M685" i="5" a="1"/>
  <c r="M685" i="5" s="1"/>
  <c r="L685" i="5"/>
  <c r="K685" i="5" a="1"/>
  <c r="K685" i="5" s="1"/>
  <c r="F685" i="5"/>
  <c r="N684" i="5" a="1"/>
  <c r="N684" i="5" s="1"/>
  <c r="O684" i="5" s="1"/>
  <c r="M684" i="5" a="1"/>
  <c r="M684" i="5" s="1"/>
  <c r="L684" i="5"/>
  <c r="K684" i="5" a="1"/>
  <c r="K684" i="5" s="1"/>
  <c r="F684" i="5"/>
  <c r="N683" i="5" a="1"/>
  <c r="N683" i="5" s="1"/>
  <c r="O683" i="5" s="1"/>
  <c r="M683" i="5" a="1"/>
  <c r="M683" i="5" s="1"/>
  <c r="L683" i="5"/>
  <c r="K683" i="5" a="1"/>
  <c r="K683" i="5" s="1"/>
  <c r="F683" i="5"/>
  <c r="N682" i="5" a="1"/>
  <c r="N682" i="5" s="1"/>
  <c r="O682" i="5" s="1"/>
  <c r="M682" i="5" a="1"/>
  <c r="M682" i="5" s="1"/>
  <c r="L682" i="5"/>
  <c r="K682" i="5" a="1"/>
  <c r="K682" i="5" s="1"/>
  <c r="F682" i="5"/>
  <c r="N681" i="5" a="1"/>
  <c r="N681" i="5" s="1"/>
  <c r="O681" i="5" s="1"/>
  <c r="M681" i="5" a="1"/>
  <c r="M681" i="5" s="1"/>
  <c r="L681" i="5"/>
  <c r="K681" i="5" a="1"/>
  <c r="K681" i="5" s="1"/>
  <c r="F681" i="5"/>
  <c r="N680" i="5" a="1"/>
  <c r="N680" i="5" s="1"/>
  <c r="O680" i="5" s="1"/>
  <c r="M680" i="5" a="1"/>
  <c r="M680" i="5" s="1"/>
  <c r="L680" i="5"/>
  <c r="K680" i="5" a="1"/>
  <c r="K680" i="5" s="1"/>
  <c r="F680" i="5"/>
  <c r="N679" i="5" a="1"/>
  <c r="N679" i="5" s="1"/>
  <c r="O679" i="5" s="1"/>
  <c r="M679" i="5" a="1"/>
  <c r="M679" i="5" s="1"/>
  <c r="L679" i="5"/>
  <c r="K679" i="5" a="1"/>
  <c r="K679" i="5" s="1"/>
  <c r="F679" i="5"/>
  <c r="N678" i="5" a="1"/>
  <c r="N678" i="5" s="1"/>
  <c r="O678" i="5" s="1"/>
  <c r="M678" i="5" a="1"/>
  <c r="M678" i="5" s="1"/>
  <c r="L678" i="5"/>
  <c r="K678" i="5" a="1"/>
  <c r="K678" i="5" s="1"/>
  <c r="F678" i="5"/>
  <c r="N677" i="5" a="1"/>
  <c r="N677" i="5" s="1"/>
  <c r="O677" i="5" s="1"/>
  <c r="M677" i="5" a="1"/>
  <c r="M677" i="5" s="1"/>
  <c r="L677" i="5"/>
  <c r="K677" i="5" a="1"/>
  <c r="K677" i="5" s="1"/>
  <c r="F677" i="5"/>
  <c r="N676" i="5" a="1"/>
  <c r="N676" i="5" s="1"/>
  <c r="O676" i="5" s="1"/>
  <c r="M676" i="5" a="1"/>
  <c r="M676" i="5" s="1"/>
  <c r="L676" i="5"/>
  <c r="K676" i="5" a="1"/>
  <c r="K676" i="5" s="1"/>
  <c r="F676" i="5"/>
  <c r="N675" i="5" a="1"/>
  <c r="N675" i="5" s="1"/>
  <c r="O675" i="5" s="1"/>
  <c r="M675" i="5" a="1"/>
  <c r="M675" i="5" s="1"/>
  <c r="L675" i="5"/>
  <c r="K675" i="5" a="1"/>
  <c r="K675" i="5" s="1"/>
  <c r="F675" i="5"/>
  <c r="N674" i="5" a="1"/>
  <c r="N674" i="5" s="1"/>
  <c r="O674" i="5" s="1"/>
  <c r="M674" i="5" a="1"/>
  <c r="M674" i="5" s="1"/>
  <c r="L674" i="5"/>
  <c r="K674" i="5" a="1"/>
  <c r="K674" i="5" s="1"/>
  <c r="F674" i="5"/>
  <c r="N673" i="5" a="1"/>
  <c r="N673" i="5" s="1"/>
  <c r="O673" i="5" s="1"/>
  <c r="M673" i="5" a="1"/>
  <c r="M673" i="5" s="1"/>
  <c r="L673" i="5"/>
  <c r="K673" i="5" a="1"/>
  <c r="K673" i="5" s="1"/>
  <c r="F673" i="5"/>
  <c r="N672" i="5" a="1"/>
  <c r="N672" i="5" s="1"/>
  <c r="O672" i="5" s="1"/>
  <c r="M672" i="5" a="1"/>
  <c r="M672" i="5" s="1"/>
  <c r="L672" i="5"/>
  <c r="K672" i="5" a="1"/>
  <c r="K672" i="5" s="1"/>
  <c r="F672" i="5"/>
  <c r="N671" i="5" a="1"/>
  <c r="N671" i="5" s="1"/>
  <c r="O671" i="5" s="1"/>
  <c r="M671" i="5" a="1"/>
  <c r="M671" i="5" s="1"/>
  <c r="L671" i="5"/>
  <c r="K671" i="5" a="1"/>
  <c r="K671" i="5" s="1"/>
  <c r="F671" i="5"/>
  <c r="N670" i="5" a="1"/>
  <c r="N670" i="5" s="1"/>
  <c r="O670" i="5" s="1"/>
  <c r="M670" i="5" a="1"/>
  <c r="M670" i="5" s="1"/>
  <c r="L670" i="5"/>
  <c r="K670" i="5" a="1"/>
  <c r="K670" i="5" s="1"/>
  <c r="F670" i="5"/>
  <c r="N669" i="5" a="1"/>
  <c r="N669" i="5" s="1"/>
  <c r="O669" i="5" s="1"/>
  <c r="M669" i="5" a="1"/>
  <c r="M669" i="5" s="1"/>
  <c r="L669" i="5"/>
  <c r="K669" i="5" a="1"/>
  <c r="K669" i="5" s="1"/>
  <c r="F669" i="5"/>
  <c r="N668" i="5" a="1"/>
  <c r="N668" i="5" s="1"/>
  <c r="O668" i="5" s="1"/>
  <c r="M668" i="5" a="1"/>
  <c r="M668" i="5" s="1"/>
  <c r="L668" i="5"/>
  <c r="K668" i="5" a="1"/>
  <c r="K668" i="5" s="1"/>
  <c r="F668" i="5"/>
  <c r="N667" i="5" a="1"/>
  <c r="N667" i="5" s="1"/>
  <c r="O667" i="5" s="1"/>
  <c r="M667" i="5" a="1"/>
  <c r="M667" i="5" s="1"/>
  <c r="L667" i="5"/>
  <c r="K667" i="5" a="1"/>
  <c r="K667" i="5" s="1"/>
  <c r="F667" i="5"/>
  <c r="N666" i="5" a="1"/>
  <c r="N666" i="5" s="1"/>
  <c r="O666" i="5" s="1"/>
  <c r="M666" i="5" a="1"/>
  <c r="M666" i="5" s="1"/>
  <c r="L666" i="5"/>
  <c r="K666" i="5" a="1"/>
  <c r="K666" i="5" s="1"/>
  <c r="F666" i="5"/>
  <c r="N665" i="5" a="1"/>
  <c r="N665" i="5" s="1"/>
  <c r="O665" i="5" s="1"/>
  <c r="M665" i="5" a="1"/>
  <c r="M665" i="5" s="1"/>
  <c r="L665" i="5"/>
  <c r="K665" i="5" a="1"/>
  <c r="K665" i="5" s="1"/>
  <c r="F665" i="5"/>
  <c r="N664" i="5" a="1"/>
  <c r="N664" i="5" s="1"/>
  <c r="O664" i="5" s="1"/>
  <c r="M664" i="5" a="1"/>
  <c r="M664" i="5" s="1"/>
  <c r="L664" i="5"/>
  <c r="K664" i="5" a="1"/>
  <c r="K664" i="5" s="1"/>
  <c r="F664" i="5"/>
  <c r="N663" i="5" a="1"/>
  <c r="N663" i="5" s="1"/>
  <c r="O663" i="5" s="1"/>
  <c r="M663" i="5" a="1"/>
  <c r="M663" i="5" s="1"/>
  <c r="L663" i="5"/>
  <c r="K663" i="5" a="1"/>
  <c r="K663" i="5" s="1"/>
  <c r="F663" i="5"/>
  <c r="N662" i="5" a="1"/>
  <c r="N662" i="5" s="1"/>
  <c r="O662" i="5" s="1"/>
  <c r="M662" i="5" a="1"/>
  <c r="M662" i="5" s="1"/>
  <c r="L662" i="5"/>
  <c r="K662" i="5" a="1"/>
  <c r="K662" i="5" s="1"/>
  <c r="F662" i="5"/>
  <c r="N661" i="5" a="1"/>
  <c r="N661" i="5" s="1"/>
  <c r="O661" i="5" s="1"/>
  <c r="M661" i="5" a="1"/>
  <c r="M661" i="5" s="1"/>
  <c r="L661" i="5"/>
  <c r="K661" i="5" a="1"/>
  <c r="K661" i="5" s="1"/>
  <c r="F661" i="5"/>
  <c r="N660" i="5" a="1"/>
  <c r="N660" i="5" s="1"/>
  <c r="O660" i="5" s="1"/>
  <c r="M660" i="5" a="1"/>
  <c r="M660" i="5" s="1"/>
  <c r="L660" i="5"/>
  <c r="K660" i="5" a="1"/>
  <c r="K660" i="5" s="1"/>
  <c r="F660" i="5"/>
  <c r="N659" i="5" a="1"/>
  <c r="N659" i="5" s="1"/>
  <c r="O659" i="5" s="1"/>
  <c r="M659" i="5" a="1"/>
  <c r="M659" i="5" s="1"/>
  <c r="L659" i="5"/>
  <c r="K659" i="5" a="1"/>
  <c r="K659" i="5" s="1"/>
  <c r="F659" i="5"/>
  <c r="N658" i="5" a="1"/>
  <c r="N658" i="5" s="1"/>
  <c r="O658" i="5" s="1"/>
  <c r="M658" i="5" a="1"/>
  <c r="M658" i="5" s="1"/>
  <c r="L658" i="5"/>
  <c r="K658" i="5" a="1"/>
  <c r="K658" i="5" s="1"/>
  <c r="F658" i="5"/>
  <c r="N657" i="5" a="1"/>
  <c r="N657" i="5" s="1"/>
  <c r="O657" i="5" s="1"/>
  <c r="M657" i="5" a="1"/>
  <c r="M657" i="5" s="1"/>
  <c r="L657" i="5"/>
  <c r="K657" i="5" a="1"/>
  <c r="K657" i="5" s="1"/>
  <c r="F657" i="5"/>
  <c r="N656" i="5" a="1"/>
  <c r="N656" i="5" s="1"/>
  <c r="O656" i="5" s="1"/>
  <c r="M656" i="5" a="1"/>
  <c r="M656" i="5" s="1"/>
  <c r="L656" i="5"/>
  <c r="K656" i="5" a="1"/>
  <c r="K656" i="5" s="1"/>
  <c r="F656" i="5"/>
  <c r="N655" i="5" a="1"/>
  <c r="N655" i="5" s="1"/>
  <c r="O655" i="5" s="1"/>
  <c r="M655" i="5" a="1"/>
  <c r="M655" i="5" s="1"/>
  <c r="L655" i="5"/>
  <c r="K655" i="5" a="1"/>
  <c r="K655" i="5" s="1"/>
  <c r="F655" i="5"/>
  <c r="N654" i="5" a="1"/>
  <c r="N654" i="5" s="1"/>
  <c r="O654" i="5" s="1"/>
  <c r="M654" i="5" a="1"/>
  <c r="M654" i="5" s="1"/>
  <c r="L654" i="5"/>
  <c r="K654" i="5" a="1"/>
  <c r="K654" i="5" s="1"/>
  <c r="F654" i="5"/>
  <c r="N653" i="5" a="1"/>
  <c r="N653" i="5" s="1"/>
  <c r="O653" i="5" s="1"/>
  <c r="M653" i="5" a="1"/>
  <c r="M653" i="5" s="1"/>
  <c r="L653" i="5"/>
  <c r="K653" i="5" a="1"/>
  <c r="K653" i="5" s="1"/>
  <c r="F653" i="5"/>
  <c r="N652" i="5" a="1"/>
  <c r="N652" i="5" s="1"/>
  <c r="O652" i="5" s="1"/>
  <c r="M652" i="5" a="1"/>
  <c r="M652" i="5" s="1"/>
  <c r="L652" i="5"/>
  <c r="K652" i="5" a="1"/>
  <c r="K652" i="5" s="1"/>
  <c r="F652" i="5"/>
  <c r="N651" i="5" a="1"/>
  <c r="N651" i="5" s="1"/>
  <c r="O651" i="5" s="1"/>
  <c r="M651" i="5" a="1"/>
  <c r="M651" i="5" s="1"/>
  <c r="L651" i="5"/>
  <c r="K651" i="5" a="1"/>
  <c r="K651" i="5" s="1"/>
  <c r="F651" i="5"/>
  <c r="N650" i="5" a="1"/>
  <c r="N650" i="5" s="1"/>
  <c r="O650" i="5" s="1"/>
  <c r="M650" i="5" a="1"/>
  <c r="M650" i="5" s="1"/>
  <c r="L650" i="5"/>
  <c r="K650" i="5" a="1"/>
  <c r="K650" i="5" s="1"/>
  <c r="F650" i="5"/>
  <c r="N649" i="5" a="1"/>
  <c r="N649" i="5" s="1"/>
  <c r="O649" i="5" s="1"/>
  <c r="M649" i="5" a="1"/>
  <c r="M649" i="5" s="1"/>
  <c r="L649" i="5"/>
  <c r="K649" i="5" a="1"/>
  <c r="K649" i="5" s="1"/>
  <c r="F649" i="5"/>
  <c r="N648" i="5" a="1"/>
  <c r="N648" i="5" s="1"/>
  <c r="O648" i="5" s="1"/>
  <c r="M648" i="5" a="1"/>
  <c r="M648" i="5" s="1"/>
  <c r="L648" i="5"/>
  <c r="K648" i="5" a="1"/>
  <c r="K648" i="5" s="1"/>
  <c r="F648" i="5"/>
  <c r="N647" i="5" a="1"/>
  <c r="N647" i="5" s="1"/>
  <c r="O647" i="5" s="1"/>
  <c r="M647" i="5" a="1"/>
  <c r="M647" i="5" s="1"/>
  <c r="L647" i="5"/>
  <c r="K647" i="5" a="1"/>
  <c r="K647" i="5" s="1"/>
  <c r="F647" i="5"/>
  <c r="N646" i="5" a="1"/>
  <c r="N646" i="5" s="1"/>
  <c r="O646" i="5" s="1"/>
  <c r="M646" i="5" a="1"/>
  <c r="M646" i="5" s="1"/>
  <c r="L646" i="5"/>
  <c r="K646" i="5" a="1"/>
  <c r="K646" i="5" s="1"/>
  <c r="F646" i="5"/>
  <c r="N645" i="5" a="1"/>
  <c r="N645" i="5" s="1"/>
  <c r="O645" i="5" s="1"/>
  <c r="M645" i="5" a="1"/>
  <c r="M645" i="5" s="1"/>
  <c r="L645" i="5"/>
  <c r="K645" i="5" a="1"/>
  <c r="K645" i="5" s="1"/>
  <c r="F645" i="5"/>
  <c r="N644" i="5" a="1"/>
  <c r="N644" i="5" s="1"/>
  <c r="O644" i="5" s="1"/>
  <c r="M644" i="5" a="1"/>
  <c r="M644" i="5" s="1"/>
  <c r="L644" i="5"/>
  <c r="K644" i="5" a="1"/>
  <c r="K644" i="5" s="1"/>
  <c r="F644" i="5"/>
  <c r="N643" i="5" a="1"/>
  <c r="N643" i="5" s="1"/>
  <c r="O643" i="5" s="1"/>
  <c r="M643" i="5" a="1"/>
  <c r="M643" i="5" s="1"/>
  <c r="L643" i="5"/>
  <c r="K643" i="5" a="1"/>
  <c r="K643" i="5" s="1"/>
  <c r="F643" i="5"/>
  <c r="N642" i="5" a="1"/>
  <c r="N642" i="5" s="1"/>
  <c r="O642" i="5" s="1"/>
  <c r="M642" i="5" a="1"/>
  <c r="M642" i="5" s="1"/>
  <c r="L642" i="5"/>
  <c r="K642" i="5" a="1"/>
  <c r="K642" i="5" s="1"/>
  <c r="F642" i="5"/>
  <c r="N641" i="5" a="1"/>
  <c r="N641" i="5" s="1"/>
  <c r="O641" i="5" s="1"/>
  <c r="M641" i="5" a="1"/>
  <c r="M641" i="5" s="1"/>
  <c r="L641" i="5"/>
  <c r="K641" i="5" a="1"/>
  <c r="K641" i="5" s="1"/>
  <c r="F641" i="5"/>
  <c r="N640" i="5" a="1"/>
  <c r="N640" i="5" s="1"/>
  <c r="O640" i="5" s="1"/>
  <c r="M640" i="5" a="1"/>
  <c r="M640" i="5" s="1"/>
  <c r="L640" i="5"/>
  <c r="K640" i="5" a="1"/>
  <c r="K640" i="5" s="1"/>
  <c r="F640" i="5"/>
  <c r="N639" i="5" a="1"/>
  <c r="N639" i="5" s="1"/>
  <c r="O639" i="5" s="1"/>
  <c r="M639" i="5" a="1"/>
  <c r="M639" i="5" s="1"/>
  <c r="L639" i="5"/>
  <c r="K639" i="5" a="1"/>
  <c r="K639" i="5" s="1"/>
  <c r="F639" i="5"/>
  <c r="N638" i="5" a="1"/>
  <c r="N638" i="5" s="1"/>
  <c r="O638" i="5" s="1"/>
  <c r="M638" i="5" a="1"/>
  <c r="M638" i="5" s="1"/>
  <c r="L638" i="5"/>
  <c r="K638" i="5" a="1"/>
  <c r="K638" i="5" s="1"/>
  <c r="F638" i="5"/>
  <c r="N637" i="5" a="1"/>
  <c r="N637" i="5" s="1"/>
  <c r="O637" i="5" s="1"/>
  <c r="M637" i="5" a="1"/>
  <c r="M637" i="5" s="1"/>
  <c r="L637" i="5"/>
  <c r="K637" i="5" a="1"/>
  <c r="K637" i="5" s="1"/>
  <c r="F637" i="5"/>
  <c r="N636" i="5" a="1"/>
  <c r="N636" i="5" s="1"/>
  <c r="O636" i="5" s="1"/>
  <c r="M636" i="5" a="1"/>
  <c r="M636" i="5" s="1"/>
  <c r="L636" i="5"/>
  <c r="K636" i="5" a="1"/>
  <c r="K636" i="5" s="1"/>
  <c r="F636" i="5"/>
  <c r="N635" i="5" a="1"/>
  <c r="N635" i="5" s="1"/>
  <c r="O635" i="5" s="1"/>
  <c r="M635" i="5" a="1"/>
  <c r="M635" i="5" s="1"/>
  <c r="L635" i="5"/>
  <c r="K635" i="5" a="1"/>
  <c r="K635" i="5" s="1"/>
  <c r="F635" i="5"/>
  <c r="N634" i="5" a="1"/>
  <c r="N634" i="5" s="1"/>
  <c r="O634" i="5" s="1"/>
  <c r="M634" i="5" a="1"/>
  <c r="M634" i="5" s="1"/>
  <c r="L634" i="5"/>
  <c r="K634" i="5" a="1"/>
  <c r="K634" i="5" s="1"/>
  <c r="F634" i="5"/>
  <c r="N633" i="5" a="1"/>
  <c r="N633" i="5" s="1"/>
  <c r="O633" i="5" s="1"/>
  <c r="M633" i="5" a="1"/>
  <c r="M633" i="5" s="1"/>
  <c r="L633" i="5"/>
  <c r="K633" i="5" a="1"/>
  <c r="K633" i="5" s="1"/>
  <c r="F633" i="5"/>
  <c r="N632" i="5" a="1"/>
  <c r="N632" i="5" s="1"/>
  <c r="O632" i="5" s="1"/>
  <c r="M632" i="5" a="1"/>
  <c r="M632" i="5" s="1"/>
  <c r="L632" i="5"/>
  <c r="K632" i="5" a="1"/>
  <c r="K632" i="5" s="1"/>
  <c r="F632" i="5"/>
  <c r="N631" i="5" a="1"/>
  <c r="N631" i="5" s="1"/>
  <c r="O631" i="5" s="1"/>
  <c r="M631" i="5" a="1"/>
  <c r="M631" i="5" s="1"/>
  <c r="L631" i="5"/>
  <c r="K631" i="5" a="1"/>
  <c r="K631" i="5" s="1"/>
  <c r="F631" i="5"/>
  <c r="N630" i="5" a="1"/>
  <c r="N630" i="5" s="1"/>
  <c r="O630" i="5" s="1"/>
  <c r="M630" i="5" a="1"/>
  <c r="M630" i="5" s="1"/>
  <c r="L630" i="5"/>
  <c r="K630" i="5" a="1"/>
  <c r="K630" i="5" s="1"/>
  <c r="F630" i="5"/>
  <c r="N629" i="5" a="1"/>
  <c r="N629" i="5" s="1"/>
  <c r="O629" i="5" s="1"/>
  <c r="M629" i="5" a="1"/>
  <c r="M629" i="5" s="1"/>
  <c r="L629" i="5"/>
  <c r="K629" i="5" a="1"/>
  <c r="K629" i="5" s="1"/>
  <c r="F629" i="5"/>
  <c r="N628" i="5" a="1"/>
  <c r="N628" i="5" s="1"/>
  <c r="O628" i="5" s="1"/>
  <c r="M628" i="5" a="1"/>
  <c r="M628" i="5" s="1"/>
  <c r="L628" i="5"/>
  <c r="K628" i="5" a="1"/>
  <c r="K628" i="5" s="1"/>
  <c r="F628" i="5"/>
  <c r="N627" i="5" a="1"/>
  <c r="N627" i="5" s="1"/>
  <c r="O627" i="5" s="1"/>
  <c r="M627" i="5" a="1"/>
  <c r="M627" i="5" s="1"/>
  <c r="L627" i="5"/>
  <c r="K627" i="5" a="1"/>
  <c r="K627" i="5" s="1"/>
  <c r="F627" i="5"/>
  <c r="N626" i="5" a="1"/>
  <c r="N626" i="5" s="1"/>
  <c r="O626" i="5" s="1"/>
  <c r="M626" i="5" a="1"/>
  <c r="M626" i="5" s="1"/>
  <c r="L626" i="5"/>
  <c r="K626" i="5" a="1"/>
  <c r="K626" i="5" s="1"/>
  <c r="F626" i="5"/>
  <c r="N625" i="5" a="1"/>
  <c r="N625" i="5" s="1"/>
  <c r="O625" i="5" s="1"/>
  <c r="M625" i="5" a="1"/>
  <c r="M625" i="5" s="1"/>
  <c r="L625" i="5"/>
  <c r="K625" i="5" a="1"/>
  <c r="K625" i="5" s="1"/>
  <c r="F625" i="5"/>
  <c r="N624" i="5" a="1"/>
  <c r="N624" i="5" s="1"/>
  <c r="O624" i="5" s="1"/>
  <c r="M624" i="5" a="1"/>
  <c r="M624" i="5" s="1"/>
  <c r="L624" i="5"/>
  <c r="K624" i="5" a="1"/>
  <c r="K624" i="5" s="1"/>
  <c r="F624" i="5"/>
  <c r="N623" i="5" a="1"/>
  <c r="N623" i="5" s="1"/>
  <c r="O623" i="5" s="1"/>
  <c r="M623" i="5" a="1"/>
  <c r="M623" i="5" s="1"/>
  <c r="L623" i="5"/>
  <c r="K623" i="5" a="1"/>
  <c r="K623" i="5" s="1"/>
  <c r="F623" i="5"/>
  <c r="N622" i="5" a="1"/>
  <c r="N622" i="5" s="1"/>
  <c r="O622" i="5" s="1"/>
  <c r="M622" i="5" a="1"/>
  <c r="M622" i="5" s="1"/>
  <c r="L622" i="5"/>
  <c r="K622" i="5" a="1"/>
  <c r="K622" i="5" s="1"/>
  <c r="F622" i="5"/>
  <c r="N621" i="5" a="1"/>
  <c r="N621" i="5" s="1"/>
  <c r="O621" i="5" s="1"/>
  <c r="M621" i="5" a="1"/>
  <c r="M621" i="5" s="1"/>
  <c r="L621" i="5"/>
  <c r="K621" i="5" a="1"/>
  <c r="K621" i="5" s="1"/>
  <c r="F621" i="5"/>
  <c r="N620" i="5" a="1"/>
  <c r="N620" i="5" s="1"/>
  <c r="O620" i="5" s="1"/>
  <c r="M620" i="5" a="1"/>
  <c r="M620" i="5" s="1"/>
  <c r="L620" i="5"/>
  <c r="K620" i="5" a="1"/>
  <c r="K620" i="5" s="1"/>
  <c r="F620" i="5"/>
  <c r="N619" i="5" a="1"/>
  <c r="N619" i="5" s="1"/>
  <c r="O619" i="5" s="1"/>
  <c r="M619" i="5" a="1"/>
  <c r="M619" i="5" s="1"/>
  <c r="L619" i="5"/>
  <c r="K619" i="5" a="1"/>
  <c r="K619" i="5" s="1"/>
  <c r="F619" i="5"/>
  <c r="N618" i="5" a="1"/>
  <c r="N618" i="5" s="1"/>
  <c r="O618" i="5" s="1"/>
  <c r="M618" i="5" a="1"/>
  <c r="M618" i="5" s="1"/>
  <c r="L618" i="5"/>
  <c r="K618" i="5" a="1"/>
  <c r="K618" i="5" s="1"/>
  <c r="F618" i="5"/>
  <c r="N617" i="5" a="1"/>
  <c r="N617" i="5" s="1"/>
  <c r="O617" i="5" s="1"/>
  <c r="M617" i="5" a="1"/>
  <c r="M617" i="5" s="1"/>
  <c r="L617" i="5"/>
  <c r="K617" i="5" a="1"/>
  <c r="K617" i="5" s="1"/>
  <c r="F617" i="5"/>
  <c r="N616" i="5" a="1"/>
  <c r="N616" i="5" s="1"/>
  <c r="O616" i="5" s="1"/>
  <c r="M616" i="5" a="1"/>
  <c r="M616" i="5" s="1"/>
  <c r="L616" i="5"/>
  <c r="K616" i="5" a="1"/>
  <c r="K616" i="5" s="1"/>
  <c r="F616" i="5"/>
  <c r="N615" i="5" a="1"/>
  <c r="N615" i="5" s="1"/>
  <c r="O615" i="5" s="1"/>
  <c r="M615" i="5" a="1"/>
  <c r="M615" i="5" s="1"/>
  <c r="L615" i="5"/>
  <c r="K615" i="5" a="1"/>
  <c r="K615" i="5" s="1"/>
  <c r="F615" i="5"/>
  <c r="N614" i="5" a="1"/>
  <c r="N614" i="5" s="1"/>
  <c r="O614" i="5" s="1"/>
  <c r="M614" i="5" a="1"/>
  <c r="M614" i="5" s="1"/>
  <c r="L614" i="5"/>
  <c r="K614" i="5" a="1"/>
  <c r="K614" i="5" s="1"/>
  <c r="F614" i="5"/>
  <c r="N613" i="5" a="1"/>
  <c r="N613" i="5" s="1"/>
  <c r="O613" i="5" s="1"/>
  <c r="M613" i="5" a="1"/>
  <c r="M613" i="5" s="1"/>
  <c r="L613" i="5"/>
  <c r="K613" i="5" a="1"/>
  <c r="K613" i="5" s="1"/>
  <c r="F613" i="5"/>
  <c r="N612" i="5" a="1"/>
  <c r="N612" i="5" s="1"/>
  <c r="O612" i="5" s="1"/>
  <c r="M612" i="5" a="1"/>
  <c r="M612" i="5" s="1"/>
  <c r="L612" i="5"/>
  <c r="K612" i="5" a="1"/>
  <c r="K612" i="5" s="1"/>
  <c r="F612" i="5"/>
  <c r="N611" i="5" a="1"/>
  <c r="N611" i="5" s="1"/>
  <c r="O611" i="5" s="1"/>
  <c r="M611" i="5" a="1"/>
  <c r="M611" i="5" s="1"/>
  <c r="L611" i="5"/>
  <c r="K611" i="5" a="1"/>
  <c r="K611" i="5" s="1"/>
  <c r="F611" i="5"/>
  <c r="N610" i="5" a="1"/>
  <c r="N610" i="5" s="1"/>
  <c r="O610" i="5" s="1"/>
  <c r="M610" i="5" a="1"/>
  <c r="M610" i="5" s="1"/>
  <c r="L610" i="5"/>
  <c r="K610" i="5" a="1"/>
  <c r="K610" i="5" s="1"/>
  <c r="F610" i="5"/>
  <c r="N609" i="5" a="1"/>
  <c r="N609" i="5" s="1"/>
  <c r="O609" i="5" s="1"/>
  <c r="M609" i="5" a="1"/>
  <c r="M609" i="5" s="1"/>
  <c r="L609" i="5"/>
  <c r="K609" i="5" a="1"/>
  <c r="K609" i="5" s="1"/>
  <c r="F609" i="5"/>
  <c r="N608" i="5" a="1"/>
  <c r="N608" i="5" s="1"/>
  <c r="O608" i="5" s="1"/>
  <c r="M608" i="5" a="1"/>
  <c r="M608" i="5" s="1"/>
  <c r="L608" i="5"/>
  <c r="K608" i="5" a="1"/>
  <c r="K608" i="5" s="1"/>
  <c r="F608" i="5"/>
  <c r="N607" i="5" a="1"/>
  <c r="N607" i="5" s="1"/>
  <c r="O607" i="5" s="1"/>
  <c r="M607" i="5" a="1"/>
  <c r="M607" i="5" s="1"/>
  <c r="L607" i="5"/>
  <c r="K607" i="5" a="1"/>
  <c r="K607" i="5" s="1"/>
  <c r="F607" i="5"/>
  <c r="N606" i="5" a="1"/>
  <c r="N606" i="5" s="1"/>
  <c r="O606" i="5" s="1"/>
  <c r="M606" i="5" a="1"/>
  <c r="M606" i="5" s="1"/>
  <c r="L606" i="5"/>
  <c r="K606" i="5" a="1"/>
  <c r="K606" i="5" s="1"/>
  <c r="F606" i="5"/>
  <c r="N605" i="5" a="1"/>
  <c r="N605" i="5" s="1"/>
  <c r="O605" i="5" s="1"/>
  <c r="M605" i="5" a="1"/>
  <c r="M605" i="5" s="1"/>
  <c r="L605" i="5"/>
  <c r="K605" i="5" a="1"/>
  <c r="K605" i="5" s="1"/>
  <c r="F605" i="5"/>
  <c r="N604" i="5" a="1"/>
  <c r="N604" i="5" s="1"/>
  <c r="O604" i="5" s="1"/>
  <c r="M604" i="5" a="1"/>
  <c r="M604" i="5" s="1"/>
  <c r="L604" i="5"/>
  <c r="K604" i="5" a="1"/>
  <c r="K604" i="5" s="1"/>
  <c r="F604" i="5"/>
  <c r="N603" i="5" a="1"/>
  <c r="N603" i="5" s="1"/>
  <c r="O603" i="5" s="1"/>
  <c r="M603" i="5" a="1"/>
  <c r="M603" i="5" s="1"/>
  <c r="L603" i="5"/>
  <c r="K603" i="5" a="1"/>
  <c r="K603" i="5" s="1"/>
  <c r="F603" i="5"/>
  <c r="N602" i="5" a="1"/>
  <c r="N602" i="5" s="1"/>
  <c r="O602" i="5" s="1"/>
  <c r="M602" i="5" a="1"/>
  <c r="M602" i="5" s="1"/>
  <c r="L602" i="5"/>
  <c r="K602" i="5" a="1"/>
  <c r="K602" i="5" s="1"/>
  <c r="F602" i="5"/>
  <c r="N601" i="5" a="1"/>
  <c r="N601" i="5" s="1"/>
  <c r="O601" i="5" s="1"/>
  <c r="M601" i="5" a="1"/>
  <c r="M601" i="5" s="1"/>
  <c r="L601" i="5"/>
  <c r="K601" i="5" a="1"/>
  <c r="K601" i="5" s="1"/>
  <c r="F601" i="5"/>
  <c r="N600" i="5" a="1"/>
  <c r="N600" i="5" s="1"/>
  <c r="O600" i="5" s="1"/>
  <c r="M600" i="5" a="1"/>
  <c r="M600" i="5" s="1"/>
  <c r="L600" i="5"/>
  <c r="K600" i="5" a="1"/>
  <c r="K600" i="5" s="1"/>
  <c r="F600" i="5"/>
  <c r="N599" i="5" a="1"/>
  <c r="N599" i="5" s="1"/>
  <c r="O599" i="5" s="1"/>
  <c r="M599" i="5" a="1"/>
  <c r="M599" i="5" s="1"/>
  <c r="L599" i="5"/>
  <c r="K599" i="5" a="1"/>
  <c r="K599" i="5" s="1"/>
  <c r="F599" i="5"/>
  <c r="N598" i="5" a="1"/>
  <c r="N598" i="5" s="1"/>
  <c r="O598" i="5" s="1"/>
  <c r="M598" i="5" a="1"/>
  <c r="M598" i="5" s="1"/>
  <c r="L598" i="5"/>
  <c r="K598" i="5" a="1"/>
  <c r="K598" i="5" s="1"/>
  <c r="F598" i="5"/>
  <c r="N597" i="5" a="1"/>
  <c r="N597" i="5" s="1"/>
  <c r="O597" i="5" s="1"/>
  <c r="M597" i="5" a="1"/>
  <c r="M597" i="5" s="1"/>
  <c r="L597" i="5"/>
  <c r="K597" i="5" a="1"/>
  <c r="K597" i="5" s="1"/>
  <c r="F597" i="5"/>
  <c r="N596" i="5" a="1"/>
  <c r="N596" i="5" s="1"/>
  <c r="O596" i="5" s="1"/>
  <c r="M596" i="5" a="1"/>
  <c r="M596" i="5" s="1"/>
  <c r="L596" i="5"/>
  <c r="K596" i="5" a="1"/>
  <c r="K596" i="5" s="1"/>
  <c r="F596" i="5"/>
  <c r="N595" i="5" a="1"/>
  <c r="N595" i="5" s="1"/>
  <c r="O595" i="5" s="1"/>
  <c r="M595" i="5" a="1"/>
  <c r="M595" i="5" s="1"/>
  <c r="L595" i="5"/>
  <c r="K595" i="5" a="1"/>
  <c r="K595" i="5" s="1"/>
  <c r="F595" i="5"/>
  <c r="N594" i="5" a="1"/>
  <c r="N594" i="5" s="1"/>
  <c r="O594" i="5" s="1"/>
  <c r="M594" i="5" a="1"/>
  <c r="M594" i="5" s="1"/>
  <c r="L594" i="5"/>
  <c r="K594" i="5" a="1"/>
  <c r="K594" i="5" s="1"/>
  <c r="F594" i="5"/>
  <c r="N593" i="5" a="1"/>
  <c r="N593" i="5" s="1"/>
  <c r="O593" i="5" s="1"/>
  <c r="M593" i="5" a="1"/>
  <c r="M593" i="5" s="1"/>
  <c r="L593" i="5"/>
  <c r="K593" i="5" a="1"/>
  <c r="K593" i="5" s="1"/>
  <c r="F593" i="5"/>
  <c r="N592" i="5" a="1"/>
  <c r="N592" i="5" s="1"/>
  <c r="O592" i="5" s="1"/>
  <c r="M592" i="5" a="1"/>
  <c r="M592" i="5" s="1"/>
  <c r="L592" i="5"/>
  <c r="K592" i="5" a="1"/>
  <c r="K592" i="5" s="1"/>
  <c r="F592" i="5"/>
  <c r="N591" i="5" a="1"/>
  <c r="N591" i="5" s="1"/>
  <c r="O591" i="5" s="1"/>
  <c r="M591" i="5" a="1"/>
  <c r="M591" i="5" s="1"/>
  <c r="L591" i="5"/>
  <c r="K591" i="5" a="1"/>
  <c r="K591" i="5" s="1"/>
  <c r="F591" i="5"/>
  <c r="N590" i="5" a="1"/>
  <c r="N590" i="5" s="1"/>
  <c r="O590" i="5" s="1"/>
  <c r="M590" i="5" a="1"/>
  <c r="M590" i="5" s="1"/>
  <c r="L590" i="5"/>
  <c r="K590" i="5" a="1"/>
  <c r="K590" i="5" s="1"/>
  <c r="F590" i="5"/>
  <c r="N589" i="5" a="1"/>
  <c r="N589" i="5" s="1"/>
  <c r="O589" i="5" s="1"/>
  <c r="M589" i="5" a="1"/>
  <c r="M589" i="5" s="1"/>
  <c r="L589" i="5"/>
  <c r="K589" i="5" a="1"/>
  <c r="K589" i="5" s="1"/>
  <c r="F589" i="5"/>
  <c r="N588" i="5" a="1"/>
  <c r="N588" i="5" s="1"/>
  <c r="O588" i="5" s="1"/>
  <c r="M588" i="5" a="1"/>
  <c r="M588" i="5" s="1"/>
  <c r="L588" i="5"/>
  <c r="K588" i="5" a="1"/>
  <c r="K588" i="5" s="1"/>
  <c r="F588" i="5"/>
  <c r="N587" i="5" a="1"/>
  <c r="N587" i="5" s="1"/>
  <c r="O587" i="5" s="1"/>
  <c r="M587" i="5" a="1"/>
  <c r="M587" i="5" s="1"/>
  <c r="L587" i="5"/>
  <c r="K587" i="5" a="1"/>
  <c r="K587" i="5" s="1"/>
  <c r="F587" i="5"/>
  <c r="N586" i="5" a="1"/>
  <c r="N586" i="5" s="1"/>
  <c r="O586" i="5" s="1"/>
  <c r="M586" i="5" a="1"/>
  <c r="M586" i="5" s="1"/>
  <c r="L586" i="5"/>
  <c r="K586" i="5" a="1"/>
  <c r="K586" i="5" s="1"/>
  <c r="F586" i="5"/>
  <c r="N585" i="5" a="1"/>
  <c r="N585" i="5" s="1"/>
  <c r="O585" i="5" s="1"/>
  <c r="M585" i="5" a="1"/>
  <c r="M585" i="5" s="1"/>
  <c r="L585" i="5"/>
  <c r="K585" i="5" a="1"/>
  <c r="K585" i="5" s="1"/>
  <c r="F585" i="5"/>
  <c r="N584" i="5" a="1"/>
  <c r="N584" i="5" s="1"/>
  <c r="O584" i="5" s="1"/>
  <c r="M584" i="5" a="1"/>
  <c r="M584" i="5" s="1"/>
  <c r="L584" i="5"/>
  <c r="K584" i="5" a="1"/>
  <c r="K584" i="5" s="1"/>
  <c r="F584" i="5"/>
  <c r="N583" i="5" a="1"/>
  <c r="N583" i="5" s="1"/>
  <c r="O583" i="5" s="1"/>
  <c r="M583" i="5" a="1"/>
  <c r="M583" i="5" s="1"/>
  <c r="L583" i="5"/>
  <c r="K583" i="5" a="1"/>
  <c r="K583" i="5" s="1"/>
  <c r="F583" i="5"/>
  <c r="N582" i="5" a="1"/>
  <c r="N582" i="5" s="1"/>
  <c r="O582" i="5" s="1"/>
  <c r="M582" i="5" a="1"/>
  <c r="M582" i="5" s="1"/>
  <c r="L582" i="5"/>
  <c r="K582" i="5" a="1"/>
  <c r="K582" i="5" s="1"/>
  <c r="F582" i="5"/>
  <c r="N581" i="5" a="1"/>
  <c r="N581" i="5" s="1"/>
  <c r="O581" i="5" s="1"/>
  <c r="M581" i="5" a="1"/>
  <c r="M581" i="5" s="1"/>
  <c r="L581" i="5"/>
  <c r="K581" i="5" a="1"/>
  <c r="K581" i="5" s="1"/>
  <c r="F581" i="5"/>
  <c r="N580" i="5" a="1"/>
  <c r="N580" i="5" s="1"/>
  <c r="O580" i="5" s="1"/>
  <c r="M580" i="5" a="1"/>
  <c r="M580" i="5" s="1"/>
  <c r="L580" i="5"/>
  <c r="K580" i="5" a="1"/>
  <c r="K580" i="5" s="1"/>
  <c r="F580" i="5"/>
  <c r="N579" i="5" a="1"/>
  <c r="N579" i="5" s="1"/>
  <c r="O579" i="5" s="1"/>
  <c r="M579" i="5" a="1"/>
  <c r="M579" i="5" s="1"/>
  <c r="L579" i="5"/>
  <c r="K579" i="5" a="1"/>
  <c r="K579" i="5" s="1"/>
  <c r="F579" i="5"/>
  <c r="N578" i="5" a="1"/>
  <c r="N578" i="5" s="1"/>
  <c r="O578" i="5" s="1"/>
  <c r="M578" i="5" a="1"/>
  <c r="M578" i="5" s="1"/>
  <c r="L578" i="5"/>
  <c r="K578" i="5" a="1"/>
  <c r="K578" i="5" s="1"/>
  <c r="F578" i="5"/>
  <c r="N577" i="5" a="1"/>
  <c r="N577" i="5" s="1"/>
  <c r="O577" i="5" s="1"/>
  <c r="M577" i="5" a="1"/>
  <c r="M577" i="5" s="1"/>
  <c r="L577" i="5"/>
  <c r="K577" i="5" a="1"/>
  <c r="K577" i="5" s="1"/>
  <c r="F577" i="5"/>
  <c r="N576" i="5" a="1"/>
  <c r="N576" i="5" s="1"/>
  <c r="O576" i="5" s="1"/>
  <c r="M576" i="5" a="1"/>
  <c r="M576" i="5" s="1"/>
  <c r="L576" i="5"/>
  <c r="K576" i="5" a="1"/>
  <c r="K576" i="5" s="1"/>
  <c r="F576" i="5"/>
  <c r="N575" i="5" a="1"/>
  <c r="N575" i="5" s="1"/>
  <c r="O575" i="5" s="1"/>
  <c r="M575" i="5" a="1"/>
  <c r="M575" i="5" s="1"/>
  <c r="L575" i="5"/>
  <c r="K575" i="5" a="1"/>
  <c r="K575" i="5" s="1"/>
  <c r="F575" i="5"/>
  <c r="N574" i="5" a="1"/>
  <c r="N574" i="5" s="1"/>
  <c r="O574" i="5" s="1"/>
  <c r="M574" i="5" a="1"/>
  <c r="M574" i="5" s="1"/>
  <c r="L574" i="5"/>
  <c r="K574" i="5" a="1"/>
  <c r="K574" i="5" s="1"/>
  <c r="F574" i="5"/>
  <c r="N573" i="5" a="1"/>
  <c r="N573" i="5" s="1"/>
  <c r="O573" i="5" s="1"/>
  <c r="M573" i="5" a="1"/>
  <c r="M573" i="5" s="1"/>
  <c r="L573" i="5"/>
  <c r="K573" i="5" a="1"/>
  <c r="K573" i="5" s="1"/>
  <c r="F573" i="5"/>
  <c r="N572" i="5" a="1"/>
  <c r="N572" i="5" s="1"/>
  <c r="O572" i="5" s="1"/>
  <c r="M572" i="5" a="1"/>
  <c r="M572" i="5" s="1"/>
  <c r="L572" i="5"/>
  <c r="K572" i="5" a="1"/>
  <c r="K572" i="5" s="1"/>
  <c r="F572" i="5"/>
  <c r="N571" i="5" a="1"/>
  <c r="N571" i="5" s="1"/>
  <c r="O571" i="5" s="1"/>
  <c r="M571" i="5" a="1"/>
  <c r="M571" i="5" s="1"/>
  <c r="L571" i="5"/>
  <c r="K571" i="5" a="1"/>
  <c r="K571" i="5" s="1"/>
  <c r="F571" i="5"/>
  <c r="N570" i="5" a="1"/>
  <c r="N570" i="5" s="1"/>
  <c r="O570" i="5" s="1"/>
  <c r="M570" i="5" a="1"/>
  <c r="M570" i="5" s="1"/>
  <c r="L570" i="5"/>
  <c r="K570" i="5" a="1"/>
  <c r="K570" i="5" s="1"/>
  <c r="F570" i="5"/>
  <c r="N569" i="5" a="1"/>
  <c r="N569" i="5" s="1"/>
  <c r="O569" i="5" s="1"/>
  <c r="M569" i="5" a="1"/>
  <c r="M569" i="5" s="1"/>
  <c r="L569" i="5"/>
  <c r="K569" i="5" a="1"/>
  <c r="K569" i="5" s="1"/>
  <c r="F569" i="5"/>
  <c r="N568" i="5" a="1"/>
  <c r="N568" i="5" s="1"/>
  <c r="O568" i="5" s="1"/>
  <c r="M568" i="5" a="1"/>
  <c r="M568" i="5" s="1"/>
  <c r="L568" i="5"/>
  <c r="K568" i="5" a="1"/>
  <c r="K568" i="5" s="1"/>
  <c r="F568" i="5"/>
  <c r="N567" i="5" a="1"/>
  <c r="N567" i="5" s="1"/>
  <c r="O567" i="5" s="1"/>
  <c r="M567" i="5" a="1"/>
  <c r="M567" i="5" s="1"/>
  <c r="L567" i="5"/>
  <c r="K567" i="5" a="1"/>
  <c r="K567" i="5" s="1"/>
  <c r="F567" i="5"/>
  <c r="N566" i="5" a="1"/>
  <c r="N566" i="5" s="1"/>
  <c r="O566" i="5" s="1"/>
  <c r="M566" i="5" a="1"/>
  <c r="M566" i="5" s="1"/>
  <c r="L566" i="5"/>
  <c r="K566" i="5" a="1"/>
  <c r="K566" i="5" s="1"/>
  <c r="F566" i="5"/>
  <c r="N565" i="5" a="1"/>
  <c r="N565" i="5" s="1"/>
  <c r="O565" i="5" s="1"/>
  <c r="M565" i="5" a="1"/>
  <c r="M565" i="5" s="1"/>
  <c r="L565" i="5"/>
  <c r="K565" i="5" a="1"/>
  <c r="K565" i="5" s="1"/>
  <c r="F565" i="5"/>
  <c r="N564" i="5" a="1"/>
  <c r="N564" i="5" s="1"/>
  <c r="O564" i="5" s="1"/>
  <c r="M564" i="5" a="1"/>
  <c r="M564" i="5" s="1"/>
  <c r="L564" i="5"/>
  <c r="K564" i="5" a="1"/>
  <c r="K564" i="5" s="1"/>
  <c r="F564" i="5"/>
  <c r="N563" i="5" a="1"/>
  <c r="N563" i="5" s="1"/>
  <c r="O563" i="5" s="1"/>
  <c r="M563" i="5" a="1"/>
  <c r="M563" i="5" s="1"/>
  <c r="L563" i="5"/>
  <c r="K563" i="5" a="1"/>
  <c r="K563" i="5" s="1"/>
  <c r="F563" i="5"/>
  <c r="N562" i="5" a="1"/>
  <c r="N562" i="5" s="1"/>
  <c r="O562" i="5" s="1"/>
  <c r="M562" i="5" a="1"/>
  <c r="M562" i="5" s="1"/>
  <c r="L562" i="5"/>
  <c r="K562" i="5" a="1"/>
  <c r="K562" i="5" s="1"/>
  <c r="F562" i="5"/>
  <c r="N561" i="5" a="1"/>
  <c r="N561" i="5" s="1"/>
  <c r="O561" i="5" s="1"/>
  <c r="M561" i="5" a="1"/>
  <c r="M561" i="5" s="1"/>
  <c r="L561" i="5"/>
  <c r="K561" i="5" a="1"/>
  <c r="K561" i="5" s="1"/>
  <c r="F561" i="5"/>
  <c r="N560" i="5" a="1"/>
  <c r="N560" i="5" s="1"/>
  <c r="O560" i="5" s="1"/>
  <c r="M560" i="5" a="1"/>
  <c r="M560" i="5" s="1"/>
  <c r="L560" i="5"/>
  <c r="K560" i="5" a="1"/>
  <c r="K560" i="5" s="1"/>
  <c r="F560" i="5"/>
  <c r="N559" i="5" a="1"/>
  <c r="N559" i="5" s="1"/>
  <c r="O559" i="5" s="1"/>
  <c r="M559" i="5" a="1"/>
  <c r="M559" i="5" s="1"/>
  <c r="L559" i="5"/>
  <c r="K559" i="5" a="1"/>
  <c r="K559" i="5" s="1"/>
  <c r="F559" i="5"/>
  <c r="N558" i="5" a="1"/>
  <c r="N558" i="5" s="1"/>
  <c r="O558" i="5" s="1"/>
  <c r="M558" i="5" a="1"/>
  <c r="M558" i="5" s="1"/>
  <c r="L558" i="5"/>
  <c r="K558" i="5" a="1"/>
  <c r="K558" i="5" s="1"/>
  <c r="F558" i="5"/>
  <c r="N557" i="5" a="1"/>
  <c r="N557" i="5" s="1"/>
  <c r="O557" i="5" s="1"/>
  <c r="M557" i="5" a="1"/>
  <c r="M557" i="5" s="1"/>
  <c r="L557" i="5"/>
  <c r="K557" i="5" a="1"/>
  <c r="K557" i="5" s="1"/>
  <c r="F557" i="5"/>
  <c r="N556" i="5" a="1"/>
  <c r="N556" i="5" s="1"/>
  <c r="O556" i="5" s="1"/>
  <c r="M556" i="5" a="1"/>
  <c r="M556" i="5" s="1"/>
  <c r="L556" i="5"/>
  <c r="K556" i="5" a="1"/>
  <c r="K556" i="5" s="1"/>
  <c r="F556" i="5"/>
  <c r="N555" i="5" a="1"/>
  <c r="N555" i="5" s="1"/>
  <c r="O555" i="5" s="1"/>
  <c r="M555" i="5" a="1"/>
  <c r="M555" i="5" s="1"/>
  <c r="L555" i="5"/>
  <c r="K555" i="5" a="1"/>
  <c r="K555" i="5" s="1"/>
  <c r="F555" i="5"/>
  <c r="N554" i="5" a="1"/>
  <c r="N554" i="5" s="1"/>
  <c r="O554" i="5" s="1"/>
  <c r="M554" i="5" a="1"/>
  <c r="M554" i="5" s="1"/>
  <c r="L554" i="5"/>
  <c r="K554" i="5" a="1"/>
  <c r="K554" i="5" s="1"/>
  <c r="F554" i="5"/>
  <c r="N553" i="5" a="1"/>
  <c r="N553" i="5" s="1"/>
  <c r="O553" i="5" s="1"/>
  <c r="M553" i="5" a="1"/>
  <c r="M553" i="5" s="1"/>
  <c r="L553" i="5"/>
  <c r="K553" i="5" a="1"/>
  <c r="K553" i="5" s="1"/>
  <c r="F553" i="5"/>
  <c r="N552" i="5" a="1"/>
  <c r="N552" i="5" s="1"/>
  <c r="O552" i="5" s="1"/>
  <c r="M552" i="5" a="1"/>
  <c r="M552" i="5" s="1"/>
  <c r="L552" i="5"/>
  <c r="K552" i="5" a="1"/>
  <c r="K552" i="5" s="1"/>
  <c r="F552" i="5"/>
  <c r="N551" i="5" a="1"/>
  <c r="N551" i="5" s="1"/>
  <c r="O551" i="5" s="1"/>
  <c r="M551" i="5" a="1"/>
  <c r="M551" i="5" s="1"/>
  <c r="L551" i="5"/>
  <c r="K551" i="5" a="1"/>
  <c r="K551" i="5" s="1"/>
  <c r="F551" i="5"/>
  <c r="N550" i="5" a="1"/>
  <c r="N550" i="5" s="1"/>
  <c r="O550" i="5" s="1"/>
  <c r="M550" i="5" a="1"/>
  <c r="M550" i="5" s="1"/>
  <c r="L550" i="5"/>
  <c r="K550" i="5" a="1"/>
  <c r="K550" i="5" s="1"/>
  <c r="F550" i="5"/>
  <c r="N549" i="5" a="1"/>
  <c r="N549" i="5" s="1"/>
  <c r="O549" i="5" s="1"/>
  <c r="M549" i="5" a="1"/>
  <c r="M549" i="5" s="1"/>
  <c r="L549" i="5"/>
  <c r="K549" i="5" a="1"/>
  <c r="K549" i="5" s="1"/>
  <c r="F549" i="5"/>
  <c r="N548" i="5" a="1"/>
  <c r="N548" i="5" s="1"/>
  <c r="O548" i="5" s="1"/>
  <c r="M548" i="5" a="1"/>
  <c r="M548" i="5" s="1"/>
  <c r="L548" i="5"/>
  <c r="K548" i="5" a="1"/>
  <c r="K548" i="5" s="1"/>
  <c r="F548" i="5"/>
  <c r="N547" i="5" a="1"/>
  <c r="N547" i="5" s="1"/>
  <c r="O547" i="5" s="1"/>
  <c r="M547" i="5" a="1"/>
  <c r="M547" i="5" s="1"/>
  <c r="L547" i="5"/>
  <c r="K547" i="5" a="1"/>
  <c r="K547" i="5" s="1"/>
  <c r="F547" i="5"/>
  <c r="N546" i="5" a="1"/>
  <c r="N546" i="5" s="1"/>
  <c r="O546" i="5" s="1"/>
  <c r="M546" i="5" a="1"/>
  <c r="M546" i="5" s="1"/>
  <c r="L546" i="5"/>
  <c r="K546" i="5" a="1"/>
  <c r="K546" i="5" s="1"/>
  <c r="F546" i="5"/>
  <c r="N545" i="5" a="1"/>
  <c r="N545" i="5" s="1"/>
  <c r="O545" i="5" s="1"/>
  <c r="M545" i="5" a="1"/>
  <c r="M545" i="5" s="1"/>
  <c r="L545" i="5"/>
  <c r="K545" i="5" a="1"/>
  <c r="K545" i="5" s="1"/>
  <c r="F545" i="5"/>
  <c r="N544" i="5" a="1"/>
  <c r="N544" i="5" s="1"/>
  <c r="O544" i="5" s="1"/>
  <c r="M544" i="5" a="1"/>
  <c r="M544" i="5" s="1"/>
  <c r="L544" i="5"/>
  <c r="K544" i="5" a="1"/>
  <c r="K544" i="5" s="1"/>
  <c r="F544" i="5"/>
  <c r="N543" i="5" a="1"/>
  <c r="N543" i="5" s="1"/>
  <c r="O543" i="5" s="1"/>
  <c r="M543" i="5" a="1"/>
  <c r="M543" i="5" s="1"/>
  <c r="L543" i="5"/>
  <c r="K543" i="5" a="1"/>
  <c r="K543" i="5" s="1"/>
  <c r="F543" i="5"/>
  <c r="N542" i="5" a="1"/>
  <c r="N542" i="5" s="1"/>
  <c r="O542" i="5" s="1"/>
  <c r="M542" i="5" a="1"/>
  <c r="M542" i="5" s="1"/>
  <c r="L542" i="5"/>
  <c r="K542" i="5" a="1"/>
  <c r="K542" i="5" s="1"/>
  <c r="F542" i="5"/>
  <c r="N541" i="5" a="1"/>
  <c r="N541" i="5" s="1"/>
  <c r="O541" i="5" s="1"/>
  <c r="M541" i="5" a="1"/>
  <c r="M541" i="5" s="1"/>
  <c r="L541" i="5"/>
  <c r="K541" i="5" a="1"/>
  <c r="K541" i="5" s="1"/>
  <c r="F541" i="5"/>
  <c r="N540" i="5" a="1"/>
  <c r="N540" i="5" s="1"/>
  <c r="O540" i="5" s="1"/>
  <c r="M540" i="5" a="1"/>
  <c r="M540" i="5" s="1"/>
  <c r="L540" i="5"/>
  <c r="K540" i="5" a="1"/>
  <c r="K540" i="5" s="1"/>
  <c r="F540" i="5"/>
  <c r="N539" i="5" a="1"/>
  <c r="N539" i="5" s="1"/>
  <c r="O539" i="5" s="1"/>
  <c r="M539" i="5" a="1"/>
  <c r="M539" i="5" s="1"/>
  <c r="L539" i="5"/>
  <c r="K539" i="5" a="1"/>
  <c r="K539" i="5" s="1"/>
  <c r="F539" i="5"/>
  <c r="N538" i="5" a="1"/>
  <c r="N538" i="5" s="1"/>
  <c r="O538" i="5" s="1"/>
  <c r="M538" i="5" a="1"/>
  <c r="M538" i="5" s="1"/>
  <c r="L538" i="5"/>
  <c r="K538" i="5" a="1"/>
  <c r="K538" i="5" s="1"/>
  <c r="F538" i="5"/>
  <c r="N537" i="5" a="1"/>
  <c r="N537" i="5" s="1"/>
  <c r="O537" i="5" s="1"/>
  <c r="M537" i="5" a="1"/>
  <c r="M537" i="5" s="1"/>
  <c r="L537" i="5"/>
  <c r="K537" i="5" a="1"/>
  <c r="K537" i="5" s="1"/>
  <c r="F537" i="5"/>
  <c r="N536" i="5" a="1"/>
  <c r="N536" i="5" s="1"/>
  <c r="O536" i="5" s="1"/>
  <c r="M536" i="5" a="1"/>
  <c r="M536" i="5" s="1"/>
  <c r="L536" i="5"/>
  <c r="K536" i="5" a="1"/>
  <c r="K536" i="5" s="1"/>
  <c r="F536" i="5"/>
  <c r="N535" i="5" a="1"/>
  <c r="N535" i="5" s="1"/>
  <c r="O535" i="5" s="1"/>
  <c r="M535" i="5" a="1"/>
  <c r="M535" i="5" s="1"/>
  <c r="L535" i="5"/>
  <c r="K535" i="5" a="1"/>
  <c r="K535" i="5" s="1"/>
  <c r="F535" i="5"/>
  <c r="N534" i="5" a="1"/>
  <c r="N534" i="5" s="1"/>
  <c r="O534" i="5" s="1"/>
  <c r="M534" i="5" a="1"/>
  <c r="M534" i="5" s="1"/>
  <c r="L534" i="5"/>
  <c r="K534" i="5" a="1"/>
  <c r="K534" i="5" s="1"/>
  <c r="F534" i="5"/>
  <c r="N533" i="5" a="1"/>
  <c r="N533" i="5" s="1"/>
  <c r="O533" i="5" s="1"/>
  <c r="M533" i="5" a="1"/>
  <c r="M533" i="5" s="1"/>
  <c r="L533" i="5"/>
  <c r="K533" i="5" a="1"/>
  <c r="K533" i="5" s="1"/>
  <c r="F533" i="5"/>
  <c r="N532" i="5" a="1"/>
  <c r="N532" i="5" s="1"/>
  <c r="O532" i="5" s="1"/>
  <c r="M532" i="5" a="1"/>
  <c r="M532" i="5" s="1"/>
  <c r="L532" i="5"/>
  <c r="K532" i="5" a="1"/>
  <c r="K532" i="5" s="1"/>
  <c r="F532" i="5"/>
  <c r="N531" i="5" a="1"/>
  <c r="N531" i="5" s="1"/>
  <c r="O531" i="5" s="1"/>
  <c r="M531" i="5" a="1"/>
  <c r="M531" i="5" s="1"/>
  <c r="L531" i="5"/>
  <c r="K531" i="5" a="1"/>
  <c r="K531" i="5" s="1"/>
  <c r="F531" i="5"/>
  <c r="N530" i="5" a="1"/>
  <c r="N530" i="5" s="1"/>
  <c r="O530" i="5" s="1"/>
  <c r="M530" i="5" a="1"/>
  <c r="M530" i="5" s="1"/>
  <c r="L530" i="5"/>
  <c r="K530" i="5" a="1"/>
  <c r="K530" i="5" s="1"/>
  <c r="F530" i="5"/>
  <c r="N529" i="5" a="1"/>
  <c r="N529" i="5" s="1"/>
  <c r="O529" i="5" s="1"/>
  <c r="M529" i="5" a="1"/>
  <c r="M529" i="5" s="1"/>
  <c r="L529" i="5"/>
  <c r="K529" i="5" a="1"/>
  <c r="K529" i="5" s="1"/>
  <c r="F529" i="5"/>
  <c r="N528" i="5" a="1"/>
  <c r="N528" i="5" s="1"/>
  <c r="O528" i="5" s="1"/>
  <c r="M528" i="5" a="1"/>
  <c r="M528" i="5" s="1"/>
  <c r="L528" i="5"/>
  <c r="K528" i="5" a="1"/>
  <c r="K528" i="5" s="1"/>
  <c r="F528" i="5"/>
  <c r="N527" i="5" a="1"/>
  <c r="N527" i="5" s="1"/>
  <c r="O527" i="5" s="1"/>
  <c r="M527" i="5" a="1"/>
  <c r="M527" i="5" s="1"/>
  <c r="L527" i="5"/>
  <c r="K527" i="5" a="1"/>
  <c r="K527" i="5" s="1"/>
  <c r="F527" i="5"/>
  <c r="N526" i="5" a="1"/>
  <c r="N526" i="5" s="1"/>
  <c r="O526" i="5" s="1"/>
  <c r="M526" i="5" a="1"/>
  <c r="M526" i="5" s="1"/>
  <c r="L526" i="5"/>
  <c r="K526" i="5" a="1"/>
  <c r="K526" i="5" s="1"/>
  <c r="F526" i="5"/>
  <c r="N525" i="5" a="1"/>
  <c r="N525" i="5" s="1"/>
  <c r="O525" i="5" s="1"/>
  <c r="M525" i="5" a="1"/>
  <c r="M525" i="5" s="1"/>
  <c r="L525" i="5"/>
  <c r="K525" i="5" a="1"/>
  <c r="K525" i="5" s="1"/>
  <c r="F525" i="5"/>
  <c r="N524" i="5" a="1"/>
  <c r="N524" i="5" s="1"/>
  <c r="O524" i="5" s="1"/>
  <c r="M524" i="5" a="1"/>
  <c r="M524" i="5" s="1"/>
  <c r="L524" i="5"/>
  <c r="K524" i="5" a="1"/>
  <c r="K524" i="5" s="1"/>
  <c r="F524" i="5"/>
  <c r="N523" i="5" a="1"/>
  <c r="N523" i="5" s="1"/>
  <c r="O523" i="5" s="1"/>
  <c r="M523" i="5" a="1"/>
  <c r="M523" i="5" s="1"/>
  <c r="L523" i="5"/>
  <c r="K523" i="5" a="1"/>
  <c r="K523" i="5" s="1"/>
  <c r="F523" i="5"/>
  <c r="N522" i="5" a="1"/>
  <c r="N522" i="5" s="1"/>
  <c r="O522" i="5" s="1"/>
  <c r="M522" i="5" a="1"/>
  <c r="M522" i="5" s="1"/>
  <c r="L522" i="5"/>
  <c r="K522" i="5" a="1"/>
  <c r="K522" i="5" s="1"/>
  <c r="F522" i="5"/>
  <c r="N521" i="5" a="1"/>
  <c r="N521" i="5" s="1"/>
  <c r="O521" i="5" s="1"/>
  <c r="M521" i="5" a="1"/>
  <c r="M521" i="5" s="1"/>
  <c r="L521" i="5"/>
  <c r="K521" i="5" a="1"/>
  <c r="K521" i="5" s="1"/>
  <c r="F521" i="5"/>
  <c r="N520" i="5" a="1"/>
  <c r="N520" i="5" s="1"/>
  <c r="O520" i="5" s="1"/>
  <c r="M520" i="5" a="1"/>
  <c r="M520" i="5" s="1"/>
  <c r="L520" i="5"/>
  <c r="K520" i="5" a="1"/>
  <c r="K520" i="5" s="1"/>
  <c r="F520" i="5"/>
  <c r="N519" i="5" a="1"/>
  <c r="N519" i="5" s="1"/>
  <c r="O519" i="5" s="1"/>
  <c r="M519" i="5" a="1"/>
  <c r="M519" i="5" s="1"/>
  <c r="L519" i="5"/>
  <c r="K519" i="5" a="1"/>
  <c r="K519" i="5" s="1"/>
  <c r="F519" i="5"/>
  <c r="N518" i="5" a="1"/>
  <c r="N518" i="5" s="1"/>
  <c r="O518" i="5" s="1"/>
  <c r="M518" i="5" a="1"/>
  <c r="M518" i="5" s="1"/>
  <c r="L518" i="5"/>
  <c r="K518" i="5" a="1"/>
  <c r="K518" i="5" s="1"/>
  <c r="F518" i="5"/>
  <c r="N517" i="5" a="1"/>
  <c r="N517" i="5" s="1"/>
  <c r="O517" i="5" s="1"/>
  <c r="M517" i="5" a="1"/>
  <c r="M517" i="5" s="1"/>
  <c r="L517" i="5"/>
  <c r="K517" i="5" a="1"/>
  <c r="K517" i="5" s="1"/>
  <c r="F517" i="5"/>
  <c r="N516" i="5" a="1"/>
  <c r="N516" i="5" s="1"/>
  <c r="O516" i="5" s="1"/>
  <c r="M516" i="5" a="1"/>
  <c r="M516" i="5" s="1"/>
  <c r="L516" i="5"/>
  <c r="K516" i="5" a="1"/>
  <c r="K516" i="5" s="1"/>
  <c r="F516" i="5"/>
  <c r="N515" i="5" a="1"/>
  <c r="N515" i="5" s="1"/>
  <c r="O515" i="5" s="1"/>
  <c r="M515" i="5" a="1"/>
  <c r="M515" i="5" s="1"/>
  <c r="L515" i="5"/>
  <c r="K515" i="5" a="1"/>
  <c r="K515" i="5" s="1"/>
  <c r="F515" i="5"/>
  <c r="N514" i="5" a="1"/>
  <c r="N514" i="5" s="1"/>
  <c r="O514" i="5" s="1"/>
  <c r="M514" i="5" a="1"/>
  <c r="M514" i="5" s="1"/>
  <c r="L514" i="5"/>
  <c r="K514" i="5" a="1"/>
  <c r="K514" i="5" s="1"/>
  <c r="F514" i="5"/>
  <c r="N513" i="5" a="1"/>
  <c r="N513" i="5" s="1"/>
  <c r="O513" i="5" s="1"/>
  <c r="M513" i="5" a="1"/>
  <c r="M513" i="5" s="1"/>
  <c r="L513" i="5"/>
  <c r="K513" i="5" a="1"/>
  <c r="K513" i="5" s="1"/>
  <c r="F513" i="5"/>
  <c r="N512" i="5" a="1"/>
  <c r="N512" i="5" s="1"/>
  <c r="O512" i="5" s="1"/>
  <c r="M512" i="5" a="1"/>
  <c r="M512" i="5" s="1"/>
  <c r="L512" i="5"/>
  <c r="K512" i="5" a="1"/>
  <c r="K512" i="5" s="1"/>
  <c r="F512" i="5"/>
  <c r="N511" i="5" a="1"/>
  <c r="N511" i="5" s="1"/>
  <c r="O511" i="5" s="1"/>
  <c r="M511" i="5" a="1"/>
  <c r="M511" i="5" s="1"/>
  <c r="L511" i="5"/>
  <c r="K511" i="5" a="1"/>
  <c r="K511" i="5" s="1"/>
  <c r="F511" i="5"/>
  <c r="N510" i="5" a="1"/>
  <c r="N510" i="5" s="1"/>
  <c r="O510" i="5" s="1"/>
  <c r="M510" i="5" a="1"/>
  <c r="M510" i="5" s="1"/>
  <c r="L510" i="5"/>
  <c r="K510" i="5" a="1"/>
  <c r="K510" i="5" s="1"/>
  <c r="F510" i="5"/>
  <c r="N509" i="5" a="1"/>
  <c r="N509" i="5" s="1"/>
  <c r="O509" i="5" s="1"/>
  <c r="M509" i="5" a="1"/>
  <c r="M509" i="5" s="1"/>
  <c r="L509" i="5"/>
  <c r="K509" i="5" a="1"/>
  <c r="K509" i="5" s="1"/>
  <c r="F509" i="5"/>
  <c r="N508" i="5" a="1"/>
  <c r="N508" i="5" s="1"/>
  <c r="O508" i="5" s="1"/>
  <c r="M508" i="5" a="1"/>
  <c r="M508" i="5" s="1"/>
  <c r="L508" i="5"/>
  <c r="K508" i="5" a="1"/>
  <c r="K508" i="5" s="1"/>
  <c r="F508" i="5"/>
  <c r="N507" i="5" a="1"/>
  <c r="N507" i="5" s="1"/>
  <c r="O507" i="5" s="1"/>
  <c r="M507" i="5" a="1"/>
  <c r="M507" i="5" s="1"/>
  <c r="L507" i="5"/>
  <c r="K507" i="5" a="1"/>
  <c r="K507" i="5" s="1"/>
  <c r="F507" i="5"/>
  <c r="N506" i="5" a="1"/>
  <c r="N506" i="5" s="1"/>
  <c r="O506" i="5" s="1"/>
  <c r="M506" i="5" a="1"/>
  <c r="M506" i="5" s="1"/>
  <c r="L506" i="5"/>
  <c r="K506" i="5" a="1"/>
  <c r="K506" i="5" s="1"/>
  <c r="F506" i="5"/>
  <c r="N505" i="5" a="1"/>
  <c r="N505" i="5" s="1"/>
  <c r="O505" i="5" s="1"/>
  <c r="M505" i="5" a="1"/>
  <c r="M505" i="5" s="1"/>
  <c r="L505" i="5"/>
  <c r="K505" i="5" a="1"/>
  <c r="K505" i="5" s="1"/>
  <c r="F505" i="5"/>
  <c r="N504" i="5" a="1"/>
  <c r="N504" i="5" s="1"/>
  <c r="O504" i="5" s="1"/>
  <c r="M504" i="5" a="1"/>
  <c r="M504" i="5" s="1"/>
  <c r="L504" i="5"/>
  <c r="K504" i="5" a="1"/>
  <c r="K504" i="5" s="1"/>
  <c r="F504" i="5"/>
  <c r="N503" i="5" a="1"/>
  <c r="N503" i="5" s="1"/>
  <c r="O503" i="5" s="1"/>
  <c r="M503" i="5" a="1"/>
  <c r="M503" i="5" s="1"/>
  <c r="L503" i="5"/>
  <c r="K503" i="5" a="1"/>
  <c r="K503" i="5" s="1"/>
  <c r="F503" i="5"/>
  <c r="N502" i="5" a="1"/>
  <c r="N502" i="5" s="1"/>
  <c r="O502" i="5" s="1"/>
  <c r="M502" i="5" a="1"/>
  <c r="M502" i="5" s="1"/>
  <c r="L502" i="5"/>
  <c r="K502" i="5" a="1"/>
  <c r="K502" i="5" s="1"/>
  <c r="F502" i="5"/>
  <c r="N501" i="5" a="1"/>
  <c r="N501" i="5" s="1"/>
  <c r="O501" i="5" s="1"/>
  <c r="M501" i="5" a="1"/>
  <c r="M501" i="5" s="1"/>
  <c r="L501" i="5"/>
  <c r="K501" i="5" a="1"/>
  <c r="K501" i="5" s="1"/>
  <c r="F501" i="5"/>
  <c r="N500" i="5" a="1"/>
  <c r="N500" i="5" s="1"/>
  <c r="O500" i="5" s="1"/>
  <c r="M500" i="5" a="1"/>
  <c r="M500" i="5" s="1"/>
  <c r="L500" i="5"/>
  <c r="K500" i="5" a="1"/>
  <c r="K500" i="5" s="1"/>
  <c r="F500" i="5"/>
  <c r="N499" i="5" a="1"/>
  <c r="N499" i="5" s="1"/>
  <c r="O499" i="5" s="1"/>
  <c r="M499" i="5" a="1"/>
  <c r="M499" i="5" s="1"/>
  <c r="L499" i="5"/>
  <c r="K499" i="5" a="1"/>
  <c r="K499" i="5" s="1"/>
  <c r="F499" i="5"/>
  <c r="N498" i="5" a="1"/>
  <c r="N498" i="5" s="1"/>
  <c r="O498" i="5" s="1"/>
  <c r="M498" i="5" a="1"/>
  <c r="M498" i="5" s="1"/>
  <c r="L498" i="5"/>
  <c r="K498" i="5" a="1"/>
  <c r="K498" i="5" s="1"/>
  <c r="F498" i="5"/>
  <c r="N497" i="5" a="1"/>
  <c r="N497" i="5" s="1"/>
  <c r="O497" i="5" s="1"/>
  <c r="M497" i="5" a="1"/>
  <c r="M497" i="5" s="1"/>
  <c r="L497" i="5"/>
  <c r="K497" i="5" a="1"/>
  <c r="K497" i="5" s="1"/>
  <c r="F497" i="5"/>
  <c r="N496" i="5" a="1"/>
  <c r="N496" i="5" s="1"/>
  <c r="O496" i="5" s="1"/>
  <c r="M496" i="5" a="1"/>
  <c r="M496" i="5" s="1"/>
  <c r="L496" i="5"/>
  <c r="K496" i="5" a="1"/>
  <c r="K496" i="5" s="1"/>
  <c r="F496" i="5"/>
  <c r="N495" i="5" a="1"/>
  <c r="N495" i="5" s="1"/>
  <c r="O495" i="5" s="1"/>
  <c r="M495" i="5" a="1"/>
  <c r="M495" i="5" s="1"/>
  <c r="L495" i="5"/>
  <c r="K495" i="5" a="1"/>
  <c r="K495" i="5" s="1"/>
  <c r="F495" i="5"/>
  <c r="N494" i="5" a="1"/>
  <c r="N494" i="5" s="1"/>
  <c r="O494" i="5" s="1"/>
  <c r="M494" i="5" a="1"/>
  <c r="M494" i="5" s="1"/>
  <c r="L494" i="5"/>
  <c r="K494" i="5" a="1"/>
  <c r="K494" i="5" s="1"/>
  <c r="F494" i="5"/>
  <c r="N493" i="5" a="1"/>
  <c r="N493" i="5" s="1"/>
  <c r="O493" i="5" s="1"/>
  <c r="M493" i="5" a="1"/>
  <c r="M493" i="5" s="1"/>
  <c r="L493" i="5"/>
  <c r="K493" i="5" a="1"/>
  <c r="K493" i="5" s="1"/>
  <c r="F493" i="5"/>
  <c r="N492" i="5" a="1"/>
  <c r="N492" i="5" s="1"/>
  <c r="O492" i="5" s="1"/>
  <c r="M492" i="5" a="1"/>
  <c r="M492" i="5" s="1"/>
  <c r="L492" i="5"/>
  <c r="K492" i="5" a="1"/>
  <c r="K492" i="5" s="1"/>
  <c r="F492" i="5"/>
  <c r="N491" i="5" a="1"/>
  <c r="N491" i="5" s="1"/>
  <c r="O491" i="5" s="1"/>
  <c r="M491" i="5" a="1"/>
  <c r="M491" i="5" s="1"/>
  <c r="L491" i="5"/>
  <c r="K491" i="5" a="1"/>
  <c r="K491" i="5" s="1"/>
  <c r="F491" i="5"/>
  <c r="N490" i="5" a="1"/>
  <c r="N490" i="5" s="1"/>
  <c r="O490" i="5" s="1"/>
  <c r="M490" i="5" a="1"/>
  <c r="M490" i="5" s="1"/>
  <c r="L490" i="5"/>
  <c r="K490" i="5" a="1"/>
  <c r="K490" i="5" s="1"/>
  <c r="F490" i="5"/>
  <c r="N489" i="5" a="1"/>
  <c r="N489" i="5" s="1"/>
  <c r="O489" i="5" s="1"/>
  <c r="M489" i="5" a="1"/>
  <c r="M489" i="5" s="1"/>
  <c r="L489" i="5"/>
  <c r="K489" i="5" a="1"/>
  <c r="K489" i="5" s="1"/>
  <c r="F489" i="5"/>
  <c r="N488" i="5" a="1"/>
  <c r="N488" i="5" s="1"/>
  <c r="O488" i="5" s="1"/>
  <c r="M488" i="5" a="1"/>
  <c r="M488" i="5" s="1"/>
  <c r="L488" i="5"/>
  <c r="K488" i="5" a="1"/>
  <c r="K488" i="5" s="1"/>
  <c r="F488" i="5"/>
  <c r="N487" i="5" a="1"/>
  <c r="N487" i="5" s="1"/>
  <c r="O487" i="5" s="1"/>
  <c r="M487" i="5" a="1"/>
  <c r="M487" i="5" s="1"/>
  <c r="L487" i="5"/>
  <c r="K487" i="5" a="1"/>
  <c r="K487" i="5" s="1"/>
  <c r="F487" i="5"/>
  <c r="N486" i="5" a="1"/>
  <c r="N486" i="5" s="1"/>
  <c r="O486" i="5" s="1"/>
  <c r="M486" i="5" a="1"/>
  <c r="M486" i="5" s="1"/>
  <c r="L486" i="5"/>
  <c r="K486" i="5" a="1"/>
  <c r="K486" i="5" s="1"/>
  <c r="F486" i="5"/>
  <c r="N485" i="5" a="1"/>
  <c r="N485" i="5" s="1"/>
  <c r="O485" i="5" s="1"/>
  <c r="M485" i="5" a="1"/>
  <c r="M485" i="5" s="1"/>
  <c r="L485" i="5"/>
  <c r="K485" i="5" a="1"/>
  <c r="K485" i="5" s="1"/>
  <c r="F485" i="5"/>
  <c r="N484" i="5" a="1"/>
  <c r="N484" i="5" s="1"/>
  <c r="O484" i="5" s="1"/>
  <c r="M484" i="5" a="1"/>
  <c r="M484" i="5" s="1"/>
  <c r="L484" i="5"/>
  <c r="K484" i="5" a="1"/>
  <c r="K484" i="5" s="1"/>
  <c r="F484" i="5"/>
  <c r="N483" i="5" a="1"/>
  <c r="N483" i="5" s="1"/>
  <c r="O483" i="5" s="1"/>
  <c r="M483" i="5" a="1"/>
  <c r="M483" i="5" s="1"/>
  <c r="L483" i="5"/>
  <c r="K483" i="5" a="1"/>
  <c r="K483" i="5" s="1"/>
  <c r="F483" i="5"/>
  <c r="N482" i="5" a="1"/>
  <c r="N482" i="5" s="1"/>
  <c r="O482" i="5" s="1"/>
  <c r="M482" i="5" a="1"/>
  <c r="M482" i="5" s="1"/>
  <c r="L482" i="5"/>
  <c r="K482" i="5" a="1"/>
  <c r="K482" i="5" s="1"/>
  <c r="F482" i="5"/>
  <c r="N481" i="5" a="1"/>
  <c r="N481" i="5" s="1"/>
  <c r="O481" i="5" s="1"/>
  <c r="M481" i="5" a="1"/>
  <c r="M481" i="5" s="1"/>
  <c r="L481" i="5"/>
  <c r="K481" i="5" a="1"/>
  <c r="K481" i="5" s="1"/>
  <c r="F481" i="5"/>
  <c r="N480" i="5" a="1"/>
  <c r="N480" i="5" s="1"/>
  <c r="O480" i="5" s="1"/>
  <c r="M480" i="5" a="1"/>
  <c r="M480" i="5" s="1"/>
  <c r="L480" i="5"/>
  <c r="K480" i="5" a="1"/>
  <c r="K480" i="5" s="1"/>
  <c r="F480" i="5"/>
  <c r="N479" i="5" a="1"/>
  <c r="N479" i="5" s="1"/>
  <c r="O479" i="5" s="1"/>
  <c r="M479" i="5" a="1"/>
  <c r="M479" i="5" s="1"/>
  <c r="L479" i="5"/>
  <c r="K479" i="5" a="1"/>
  <c r="K479" i="5" s="1"/>
  <c r="F479" i="5"/>
  <c r="N478" i="5" a="1"/>
  <c r="N478" i="5" s="1"/>
  <c r="O478" i="5" s="1"/>
  <c r="M478" i="5" a="1"/>
  <c r="M478" i="5" s="1"/>
  <c r="L478" i="5"/>
  <c r="K478" i="5" a="1"/>
  <c r="K478" i="5" s="1"/>
  <c r="F478" i="5"/>
  <c r="N477" i="5" a="1"/>
  <c r="N477" i="5" s="1"/>
  <c r="O477" i="5" s="1"/>
  <c r="M477" i="5" a="1"/>
  <c r="M477" i="5" s="1"/>
  <c r="L477" i="5"/>
  <c r="K477" i="5" a="1"/>
  <c r="K477" i="5" s="1"/>
  <c r="F477" i="5"/>
  <c r="N476" i="5" a="1"/>
  <c r="N476" i="5" s="1"/>
  <c r="O476" i="5" s="1"/>
  <c r="M476" i="5" a="1"/>
  <c r="M476" i="5" s="1"/>
  <c r="L476" i="5"/>
  <c r="K476" i="5" a="1"/>
  <c r="K476" i="5" s="1"/>
  <c r="F476" i="5"/>
  <c r="N475" i="5" a="1"/>
  <c r="N475" i="5" s="1"/>
  <c r="O475" i="5" s="1"/>
  <c r="M475" i="5" a="1"/>
  <c r="M475" i="5" s="1"/>
  <c r="L475" i="5"/>
  <c r="K475" i="5" a="1"/>
  <c r="K475" i="5" s="1"/>
  <c r="F475" i="5"/>
  <c r="N474" i="5" a="1"/>
  <c r="N474" i="5" s="1"/>
  <c r="O474" i="5" s="1"/>
  <c r="M474" i="5" a="1"/>
  <c r="M474" i="5" s="1"/>
  <c r="L474" i="5"/>
  <c r="K474" i="5" a="1"/>
  <c r="K474" i="5" s="1"/>
  <c r="F474" i="5"/>
  <c r="N473" i="5" a="1"/>
  <c r="N473" i="5" s="1"/>
  <c r="O473" i="5" s="1"/>
  <c r="M473" i="5" a="1"/>
  <c r="M473" i="5" s="1"/>
  <c r="L473" i="5"/>
  <c r="K473" i="5" a="1"/>
  <c r="K473" i="5" s="1"/>
  <c r="F473" i="5"/>
  <c r="N472" i="5" a="1"/>
  <c r="N472" i="5" s="1"/>
  <c r="O472" i="5" s="1"/>
  <c r="M472" i="5" a="1"/>
  <c r="M472" i="5" s="1"/>
  <c r="L472" i="5"/>
  <c r="K472" i="5" a="1"/>
  <c r="K472" i="5" s="1"/>
  <c r="F472" i="5"/>
  <c r="N471" i="5" a="1"/>
  <c r="N471" i="5" s="1"/>
  <c r="O471" i="5" s="1"/>
  <c r="M471" i="5" a="1"/>
  <c r="M471" i="5" s="1"/>
  <c r="L471" i="5"/>
  <c r="K471" i="5" a="1"/>
  <c r="K471" i="5" s="1"/>
  <c r="F471" i="5"/>
  <c r="N470" i="5" a="1"/>
  <c r="N470" i="5" s="1"/>
  <c r="O470" i="5" s="1"/>
  <c r="M470" i="5" a="1"/>
  <c r="M470" i="5" s="1"/>
  <c r="L470" i="5"/>
  <c r="K470" i="5" a="1"/>
  <c r="K470" i="5" s="1"/>
  <c r="F470" i="5"/>
  <c r="N469" i="5" a="1"/>
  <c r="N469" i="5" s="1"/>
  <c r="O469" i="5" s="1"/>
  <c r="M469" i="5" a="1"/>
  <c r="M469" i="5" s="1"/>
  <c r="L469" i="5"/>
  <c r="K469" i="5" a="1"/>
  <c r="K469" i="5" s="1"/>
  <c r="F469" i="5"/>
  <c r="N468" i="5" a="1"/>
  <c r="N468" i="5" s="1"/>
  <c r="O468" i="5" s="1"/>
  <c r="M468" i="5" a="1"/>
  <c r="M468" i="5" s="1"/>
  <c r="L468" i="5"/>
  <c r="K468" i="5" a="1"/>
  <c r="K468" i="5" s="1"/>
  <c r="F468" i="5"/>
  <c r="N467" i="5" a="1"/>
  <c r="N467" i="5" s="1"/>
  <c r="O467" i="5" s="1"/>
  <c r="M467" i="5" a="1"/>
  <c r="M467" i="5" s="1"/>
  <c r="L467" i="5"/>
  <c r="K467" i="5" a="1"/>
  <c r="K467" i="5" s="1"/>
  <c r="F467" i="5"/>
  <c r="N466" i="5" a="1"/>
  <c r="N466" i="5" s="1"/>
  <c r="O466" i="5" s="1"/>
  <c r="M466" i="5" a="1"/>
  <c r="M466" i="5" s="1"/>
  <c r="L466" i="5"/>
  <c r="K466" i="5" a="1"/>
  <c r="K466" i="5" s="1"/>
  <c r="F466" i="5"/>
  <c r="N465" i="5" a="1"/>
  <c r="N465" i="5" s="1"/>
  <c r="O465" i="5" s="1"/>
  <c r="M465" i="5" a="1"/>
  <c r="M465" i="5" s="1"/>
  <c r="L465" i="5"/>
  <c r="K465" i="5" a="1"/>
  <c r="K465" i="5" s="1"/>
  <c r="F465" i="5"/>
  <c r="N464" i="5" a="1"/>
  <c r="N464" i="5" s="1"/>
  <c r="O464" i="5" s="1"/>
  <c r="M464" i="5" a="1"/>
  <c r="M464" i="5" s="1"/>
  <c r="L464" i="5"/>
  <c r="K464" i="5" a="1"/>
  <c r="K464" i="5" s="1"/>
  <c r="F464" i="5"/>
  <c r="N463" i="5" a="1"/>
  <c r="N463" i="5" s="1"/>
  <c r="O463" i="5" s="1"/>
  <c r="M463" i="5" a="1"/>
  <c r="M463" i="5" s="1"/>
  <c r="L463" i="5"/>
  <c r="K463" i="5" a="1"/>
  <c r="K463" i="5" s="1"/>
  <c r="F463" i="5"/>
  <c r="N462" i="5" a="1"/>
  <c r="N462" i="5" s="1"/>
  <c r="O462" i="5" s="1"/>
  <c r="M462" i="5" a="1"/>
  <c r="M462" i="5" s="1"/>
  <c r="L462" i="5"/>
  <c r="K462" i="5" a="1"/>
  <c r="K462" i="5" s="1"/>
  <c r="F462" i="5"/>
  <c r="N461" i="5" a="1"/>
  <c r="N461" i="5" s="1"/>
  <c r="O461" i="5" s="1"/>
  <c r="M461" i="5" a="1"/>
  <c r="M461" i="5" s="1"/>
  <c r="L461" i="5"/>
  <c r="K461" i="5" a="1"/>
  <c r="K461" i="5" s="1"/>
  <c r="F461" i="5"/>
  <c r="N460" i="5" a="1"/>
  <c r="N460" i="5" s="1"/>
  <c r="O460" i="5" s="1"/>
  <c r="M460" i="5" a="1"/>
  <c r="M460" i="5" s="1"/>
  <c r="L460" i="5"/>
  <c r="K460" i="5" a="1"/>
  <c r="K460" i="5" s="1"/>
  <c r="F460" i="5"/>
  <c r="N459" i="5" a="1"/>
  <c r="N459" i="5" s="1"/>
  <c r="O459" i="5" s="1"/>
  <c r="M459" i="5" a="1"/>
  <c r="M459" i="5" s="1"/>
  <c r="L459" i="5"/>
  <c r="K459" i="5" a="1"/>
  <c r="K459" i="5" s="1"/>
  <c r="F459" i="5"/>
  <c r="N458" i="5" a="1"/>
  <c r="N458" i="5" s="1"/>
  <c r="O458" i="5" s="1"/>
  <c r="M458" i="5" a="1"/>
  <c r="M458" i="5" s="1"/>
  <c r="L458" i="5"/>
  <c r="K458" i="5" a="1"/>
  <c r="K458" i="5" s="1"/>
  <c r="F458" i="5"/>
  <c r="N457" i="5" a="1"/>
  <c r="N457" i="5" s="1"/>
  <c r="O457" i="5" s="1"/>
  <c r="M457" i="5" a="1"/>
  <c r="M457" i="5" s="1"/>
  <c r="L457" i="5"/>
  <c r="K457" i="5" a="1"/>
  <c r="K457" i="5" s="1"/>
  <c r="F457" i="5"/>
  <c r="N456" i="5" a="1"/>
  <c r="N456" i="5" s="1"/>
  <c r="O456" i="5" s="1"/>
  <c r="M456" i="5" a="1"/>
  <c r="M456" i="5" s="1"/>
  <c r="L456" i="5"/>
  <c r="K456" i="5" a="1"/>
  <c r="K456" i="5" s="1"/>
  <c r="F456" i="5"/>
  <c r="N455" i="5" a="1"/>
  <c r="N455" i="5" s="1"/>
  <c r="O455" i="5" s="1"/>
  <c r="M455" i="5" a="1"/>
  <c r="M455" i="5" s="1"/>
  <c r="L455" i="5"/>
  <c r="K455" i="5" a="1"/>
  <c r="K455" i="5" s="1"/>
  <c r="F455" i="5"/>
  <c r="N454" i="5" a="1"/>
  <c r="N454" i="5" s="1"/>
  <c r="O454" i="5" s="1"/>
  <c r="M454" i="5" a="1"/>
  <c r="M454" i="5" s="1"/>
  <c r="L454" i="5"/>
  <c r="K454" i="5" a="1"/>
  <c r="K454" i="5" s="1"/>
  <c r="F454" i="5"/>
  <c r="N453" i="5" a="1"/>
  <c r="N453" i="5" s="1"/>
  <c r="O453" i="5" s="1"/>
  <c r="M453" i="5" a="1"/>
  <c r="M453" i="5" s="1"/>
  <c r="L453" i="5"/>
  <c r="K453" i="5" a="1"/>
  <c r="K453" i="5" s="1"/>
  <c r="F453" i="5"/>
  <c r="N452" i="5" a="1"/>
  <c r="N452" i="5" s="1"/>
  <c r="O452" i="5" s="1"/>
  <c r="M452" i="5" a="1"/>
  <c r="M452" i="5" s="1"/>
  <c r="L452" i="5"/>
  <c r="K452" i="5" a="1"/>
  <c r="K452" i="5" s="1"/>
  <c r="F452" i="5"/>
  <c r="N451" i="5" a="1"/>
  <c r="N451" i="5" s="1"/>
  <c r="O451" i="5" s="1"/>
  <c r="M451" i="5" a="1"/>
  <c r="M451" i="5" s="1"/>
  <c r="L451" i="5"/>
  <c r="K451" i="5" a="1"/>
  <c r="K451" i="5" s="1"/>
  <c r="F451" i="5"/>
  <c r="N450" i="5" a="1"/>
  <c r="N450" i="5" s="1"/>
  <c r="O450" i="5" s="1"/>
  <c r="M450" i="5" a="1"/>
  <c r="M450" i="5" s="1"/>
  <c r="L450" i="5"/>
  <c r="K450" i="5" a="1"/>
  <c r="K450" i="5" s="1"/>
  <c r="F450" i="5"/>
  <c r="N449" i="5" a="1"/>
  <c r="N449" i="5" s="1"/>
  <c r="O449" i="5" s="1"/>
  <c r="M449" i="5" a="1"/>
  <c r="M449" i="5" s="1"/>
  <c r="L449" i="5"/>
  <c r="K449" i="5" a="1"/>
  <c r="K449" i="5" s="1"/>
  <c r="F449" i="5"/>
  <c r="N448" i="5" a="1"/>
  <c r="N448" i="5" s="1"/>
  <c r="O448" i="5" s="1"/>
  <c r="M448" i="5" a="1"/>
  <c r="M448" i="5" s="1"/>
  <c r="L448" i="5"/>
  <c r="K448" i="5" a="1"/>
  <c r="K448" i="5" s="1"/>
  <c r="F448" i="5"/>
  <c r="N447" i="5" a="1"/>
  <c r="N447" i="5" s="1"/>
  <c r="O447" i="5" s="1"/>
  <c r="M447" i="5" a="1"/>
  <c r="M447" i="5" s="1"/>
  <c r="L447" i="5"/>
  <c r="K447" i="5" a="1"/>
  <c r="K447" i="5" s="1"/>
  <c r="F447" i="5"/>
  <c r="N446" i="5" a="1"/>
  <c r="N446" i="5" s="1"/>
  <c r="O446" i="5" s="1"/>
  <c r="M446" i="5" a="1"/>
  <c r="M446" i="5" s="1"/>
  <c r="L446" i="5"/>
  <c r="K446" i="5" a="1"/>
  <c r="K446" i="5" s="1"/>
  <c r="F446" i="5"/>
  <c r="N445" i="5" a="1"/>
  <c r="N445" i="5" s="1"/>
  <c r="O445" i="5" s="1"/>
  <c r="M445" i="5" a="1"/>
  <c r="M445" i="5" s="1"/>
  <c r="L445" i="5"/>
  <c r="K445" i="5" a="1"/>
  <c r="K445" i="5" s="1"/>
  <c r="F445" i="5"/>
  <c r="N444" i="5" a="1"/>
  <c r="N444" i="5" s="1"/>
  <c r="O444" i="5" s="1"/>
  <c r="M444" i="5" a="1"/>
  <c r="M444" i="5" s="1"/>
  <c r="L444" i="5"/>
  <c r="K444" i="5" a="1"/>
  <c r="K444" i="5" s="1"/>
  <c r="F444" i="5"/>
  <c r="N443" i="5" a="1"/>
  <c r="N443" i="5" s="1"/>
  <c r="O443" i="5" s="1"/>
  <c r="M443" i="5" a="1"/>
  <c r="M443" i="5" s="1"/>
  <c r="L443" i="5"/>
  <c r="K443" i="5" a="1"/>
  <c r="K443" i="5" s="1"/>
  <c r="F443" i="5"/>
  <c r="N442" i="5" a="1"/>
  <c r="N442" i="5" s="1"/>
  <c r="O442" i="5" s="1"/>
  <c r="M442" i="5" a="1"/>
  <c r="M442" i="5" s="1"/>
  <c r="L442" i="5"/>
  <c r="K442" i="5" a="1"/>
  <c r="K442" i="5" s="1"/>
  <c r="F442" i="5"/>
  <c r="N441" i="5" a="1"/>
  <c r="N441" i="5" s="1"/>
  <c r="O441" i="5" s="1"/>
  <c r="M441" i="5" a="1"/>
  <c r="M441" i="5" s="1"/>
  <c r="L441" i="5"/>
  <c r="K441" i="5" a="1"/>
  <c r="K441" i="5" s="1"/>
  <c r="F441" i="5"/>
  <c r="N440" i="5" a="1"/>
  <c r="N440" i="5" s="1"/>
  <c r="O440" i="5" s="1"/>
  <c r="M440" i="5" a="1"/>
  <c r="M440" i="5" s="1"/>
  <c r="L440" i="5"/>
  <c r="K440" i="5" a="1"/>
  <c r="K440" i="5" s="1"/>
  <c r="F440" i="5"/>
  <c r="N439" i="5" a="1"/>
  <c r="N439" i="5" s="1"/>
  <c r="O439" i="5" s="1"/>
  <c r="M439" i="5" a="1"/>
  <c r="M439" i="5" s="1"/>
  <c r="L439" i="5"/>
  <c r="K439" i="5" a="1"/>
  <c r="K439" i="5" s="1"/>
  <c r="F439" i="5"/>
  <c r="N438" i="5" a="1"/>
  <c r="N438" i="5" s="1"/>
  <c r="O438" i="5" s="1"/>
  <c r="M438" i="5" a="1"/>
  <c r="M438" i="5" s="1"/>
  <c r="L438" i="5"/>
  <c r="K438" i="5" a="1"/>
  <c r="K438" i="5" s="1"/>
  <c r="F438" i="5"/>
  <c r="N437" i="5" a="1"/>
  <c r="N437" i="5" s="1"/>
  <c r="O437" i="5" s="1"/>
  <c r="M437" i="5" a="1"/>
  <c r="M437" i="5" s="1"/>
  <c r="L437" i="5"/>
  <c r="K437" i="5" a="1"/>
  <c r="K437" i="5" s="1"/>
  <c r="F437" i="5"/>
  <c r="N436" i="5" a="1"/>
  <c r="N436" i="5" s="1"/>
  <c r="O436" i="5" s="1"/>
  <c r="M436" i="5" a="1"/>
  <c r="M436" i="5" s="1"/>
  <c r="L436" i="5"/>
  <c r="K436" i="5" a="1"/>
  <c r="K436" i="5" s="1"/>
  <c r="F436" i="5"/>
  <c r="N435" i="5" a="1"/>
  <c r="N435" i="5" s="1"/>
  <c r="O435" i="5" s="1"/>
  <c r="M435" i="5" a="1"/>
  <c r="M435" i="5" s="1"/>
  <c r="L435" i="5"/>
  <c r="K435" i="5" a="1"/>
  <c r="K435" i="5" s="1"/>
  <c r="F435" i="5"/>
  <c r="N434" i="5" a="1"/>
  <c r="N434" i="5" s="1"/>
  <c r="O434" i="5" s="1"/>
  <c r="M434" i="5" a="1"/>
  <c r="M434" i="5" s="1"/>
  <c r="L434" i="5"/>
  <c r="K434" i="5" a="1"/>
  <c r="K434" i="5" s="1"/>
  <c r="F434" i="5"/>
  <c r="N433" i="5" a="1"/>
  <c r="N433" i="5" s="1"/>
  <c r="O433" i="5" s="1"/>
  <c r="M433" i="5" a="1"/>
  <c r="M433" i="5" s="1"/>
  <c r="L433" i="5"/>
  <c r="K433" i="5" a="1"/>
  <c r="K433" i="5" s="1"/>
  <c r="F433" i="5"/>
  <c r="N432" i="5" a="1"/>
  <c r="N432" i="5" s="1"/>
  <c r="O432" i="5" s="1"/>
  <c r="M432" i="5" a="1"/>
  <c r="M432" i="5" s="1"/>
  <c r="L432" i="5"/>
  <c r="K432" i="5" a="1"/>
  <c r="K432" i="5" s="1"/>
  <c r="F432" i="5"/>
  <c r="N431" i="5" a="1"/>
  <c r="N431" i="5" s="1"/>
  <c r="O431" i="5" s="1"/>
  <c r="M431" i="5" a="1"/>
  <c r="M431" i="5" s="1"/>
  <c r="L431" i="5"/>
  <c r="K431" i="5" a="1"/>
  <c r="K431" i="5" s="1"/>
  <c r="F431" i="5"/>
  <c r="N430" i="5" a="1"/>
  <c r="N430" i="5" s="1"/>
  <c r="O430" i="5" s="1"/>
  <c r="M430" i="5" a="1"/>
  <c r="M430" i="5" s="1"/>
  <c r="L430" i="5"/>
  <c r="K430" i="5" a="1"/>
  <c r="K430" i="5" s="1"/>
  <c r="F430" i="5"/>
  <c r="N429" i="5" a="1"/>
  <c r="N429" i="5" s="1"/>
  <c r="O429" i="5" s="1"/>
  <c r="M429" i="5" a="1"/>
  <c r="M429" i="5" s="1"/>
  <c r="L429" i="5"/>
  <c r="K429" i="5" a="1"/>
  <c r="K429" i="5" s="1"/>
  <c r="F429" i="5"/>
  <c r="N428" i="5" a="1"/>
  <c r="N428" i="5" s="1"/>
  <c r="O428" i="5" s="1"/>
  <c r="M428" i="5" a="1"/>
  <c r="M428" i="5" s="1"/>
  <c r="L428" i="5"/>
  <c r="K428" i="5" a="1"/>
  <c r="K428" i="5" s="1"/>
  <c r="F428" i="5"/>
  <c r="N427" i="5" a="1"/>
  <c r="N427" i="5" s="1"/>
  <c r="O427" i="5" s="1"/>
  <c r="M427" i="5" a="1"/>
  <c r="M427" i="5" s="1"/>
  <c r="L427" i="5"/>
  <c r="K427" i="5" a="1"/>
  <c r="K427" i="5" s="1"/>
  <c r="F427" i="5"/>
  <c r="N426" i="5" a="1"/>
  <c r="N426" i="5" s="1"/>
  <c r="O426" i="5" s="1"/>
  <c r="M426" i="5" a="1"/>
  <c r="M426" i="5" s="1"/>
  <c r="L426" i="5"/>
  <c r="K426" i="5" a="1"/>
  <c r="K426" i="5" s="1"/>
  <c r="F426" i="5"/>
  <c r="N425" i="5" a="1"/>
  <c r="N425" i="5" s="1"/>
  <c r="O425" i="5" s="1"/>
  <c r="M425" i="5" a="1"/>
  <c r="M425" i="5" s="1"/>
  <c r="L425" i="5"/>
  <c r="K425" i="5" a="1"/>
  <c r="K425" i="5" s="1"/>
  <c r="F425" i="5"/>
  <c r="N424" i="5" a="1"/>
  <c r="N424" i="5" s="1"/>
  <c r="O424" i="5" s="1"/>
  <c r="M424" i="5" a="1"/>
  <c r="M424" i="5" s="1"/>
  <c r="L424" i="5"/>
  <c r="K424" i="5" a="1"/>
  <c r="K424" i="5" s="1"/>
  <c r="F424" i="5"/>
  <c r="N423" i="5" a="1"/>
  <c r="N423" i="5" s="1"/>
  <c r="O423" i="5" s="1"/>
  <c r="M423" i="5" a="1"/>
  <c r="M423" i="5" s="1"/>
  <c r="L423" i="5"/>
  <c r="K423" i="5" a="1"/>
  <c r="K423" i="5" s="1"/>
  <c r="F423" i="5"/>
  <c r="N422" i="5" a="1"/>
  <c r="N422" i="5" s="1"/>
  <c r="O422" i="5" s="1"/>
  <c r="M422" i="5" a="1"/>
  <c r="M422" i="5" s="1"/>
  <c r="L422" i="5"/>
  <c r="K422" i="5" a="1"/>
  <c r="K422" i="5" s="1"/>
  <c r="F422" i="5"/>
  <c r="N421" i="5" a="1"/>
  <c r="N421" i="5" s="1"/>
  <c r="O421" i="5" s="1"/>
  <c r="M421" i="5" a="1"/>
  <c r="M421" i="5" s="1"/>
  <c r="L421" i="5"/>
  <c r="K421" i="5" a="1"/>
  <c r="K421" i="5" s="1"/>
  <c r="F421" i="5"/>
  <c r="N420" i="5" a="1"/>
  <c r="N420" i="5" s="1"/>
  <c r="O420" i="5" s="1"/>
  <c r="M420" i="5" a="1"/>
  <c r="M420" i="5" s="1"/>
  <c r="L420" i="5"/>
  <c r="K420" i="5" a="1"/>
  <c r="K420" i="5" s="1"/>
  <c r="F420" i="5"/>
  <c r="N419" i="5" a="1"/>
  <c r="N419" i="5" s="1"/>
  <c r="O419" i="5" s="1"/>
  <c r="M419" i="5" a="1"/>
  <c r="M419" i="5" s="1"/>
  <c r="L419" i="5"/>
  <c r="K419" i="5" a="1"/>
  <c r="K419" i="5" s="1"/>
  <c r="F419" i="5"/>
  <c r="N418" i="5" a="1"/>
  <c r="N418" i="5" s="1"/>
  <c r="O418" i="5" s="1"/>
  <c r="M418" i="5" a="1"/>
  <c r="M418" i="5" s="1"/>
  <c r="L418" i="5"/>
  <c r="K418" i="5" a="1"/>
  <c r="K418" i="5" s="1"/>
  <c r="F418" i="5"/>
  <c r="N417" i="5" a="1"/>
  <c r="N417" i="5" s="1"/>
  <c r="O417" i="5" s="1"/>
  <c r="M417" i="5" a="1"/>
  <c r="M417" i="5" s="1"/>
  <c r="L417" i="5"/>
  <c r="K417" i="5" a="1"/>
  <c r="K417" i="5" s="1"/>
  <c r="F417" i="5"/>
  <c r="N416" i="5" a="1"/>
  <c r="N416" i="5" s="1"/>
  <c r="O416" i="5" s="1"/>
  <c r="M416" i="5" a="1"/>
  <c r="M416" i="5" s="1"/>
  <c r="L416" i="5"/>
  <c r="K416" i="5" a="1"/>
  <c r="K416" i="5" s="1"/>
  <c r="F416" i="5"/>
  <c r="N415" i="5" a="1"/>
  <c r="N415" i="5" s="1"/>
  <c r="O415" i="5" s="1"/>
  <c r="M415" i="5" a="1"/>
  <c r="M415" i="5" s="1"/>
  <c r="L415" i="5"/>
  <c r="K415" i="5" a="1"/>
  <c r="K415" i="5" s="1"/>
  <c r="F415" i="5"/>
  <c r="N414" i="5" a="1"/>
  <c r="N414" i="5" s="1"/>
  <c r="O414" i="5" s="1"/>
  <c r="M414" i="5" a="1"/>
  <c r="M414" i="5" s="1"/>
  <c r="L414" i="5"/>
  <c r="K414" i="5" a="1"/>
  <c r="K414" i="5" s="1"/>
  <c r="F414" i="5"/>
  <c r="N413" i="5" a="1"/>
  <c r="N413" i="5" s="1"/>
  <c r="O413" i="5" s="1"/>
  <c r="M413" i="5" a="1"/>
  <c r="M413" i="5" s="1"/>
  <c r="L413" i="5"/>
  <c r="K413" i="5" a="1"/>
  <c r="K413" i="5" s="1"/>
  <c r="F413" i="5"/>
  <c r="N412" i="5" a="1"/>
  <c r="N412" i="5" s="1"/>
  <c r="O412" i="5" s="1"/>
  <c r="M412" i="5" a="1"/>
  <c r="M412" i="5" s="1"/>
  <c r="L412" i="5"/>
  <c r="K412" i="5" a="1"/>
  <c r="K412" i="5" s="1"/>
  <c r="F412" i="5"/>
  <c r="N411" i="5" a="1"/>
  <c r="N411" i="5" s="1"/>
  <c r="O411" i="5" s="1"/>
  <c r="M411" i="5" a="1"/>
  <c r="M411" i="5" s="1"/>
  <c r="L411" i="5"/>
  <c r="K411" i="5" a="1"/>
  <c r="K411" i="5" s="1"/>
  <c r="F411" i="5"/>
  <c r="N410" i="5" a="1"/>
  <c r="N410" i="5" s="1"/>
  <c r="O410" i="5" s="1"/>
  <c r="M410" i="5" a="1"/>
  <c r="M410" i="5" s="1"/>
  <c r="L410" i="5"/>
  <c r="K410" i="5" a="1"/>
  <c r="K410" i="5" s="1"/>
  <c r="F410" i="5"/>
  <c r="N409" i="5" a="1"/>
  <c r="N409" i="5" s="1"/>
  <c r="O409" i="5" s="1"/>
  <c r="M409" i="5" a="1"/>
  <c r="M409" i="5" s="1"/>
  <c r="L409" i="5"/>
  <c r="K409" i="5" a="1"/>
  <c r="K409" i="5" s="1"/>
  <c r="F409" i="5"/>
  <c r="N408" i="5" a="1"/>
  <c r="N408" i="5" s="1"/>
  <c r="O408" i="5" s="1"/>
  <c r="M408" i="5" a="1"/>
  <c r="M408" i="5" s="1"/>
  <c r="L408" i="5"/>
  <c r="K408" i="5" a="1"/>
  <c r="K408" i="5" s="1"/>
  <c r="F408" i="5"/>
  <c r="N407" i="5" a="1"/>
  <c r="N407" i="5" s="1"/>
  <c r="O407" i="5" s="1"/>
  <c r="M407" i="5" a="1"/>
  <c r="M407" i="5" s="1"/>
  <c r="L407" i="5"/>
  <c r="K407" i="5" a="1"/>
  <c r="K407" i="5" s="1"/>
  <c r="F407" i="5"/>
  <c r="N406" i="5" a="1"/>
  <c r="N406" i="5" s="1"/>
  <c r="O406" i="5" s="1"/>
  <c r="M406" i="5" a="1"/>
  <c r="M406" i="5" s="1"/>
  <c r="L406" i="5"/>
  <c r="K406" i="5" a="1"/>
  <c r="K406" i="5" s="1"/>
  <c r="F406" i="5"/>
  <c r="N405" i="5" a="1"/>
  <c r="N405" i="5" s="1"/>
  <c r="O405" i="5" s="1"/>
  <c r="M405" i="5" a="1"/>
  <c r="M405" i="5" s="1"/>
  <c r="L405" i="5"/>
  <c r="K405" i="5" a="1"/>
  <c r="K405" i="5" s="1"/>
  <c r="F405" i="5"/>
  <c r="N404" i="5" a="1"/>
  <c r="N404" i="5" s="1"/>
  <c r="O404" i="5" s="1"/>
  <c r="M404" i="5" a="1"/>
  <c r="M404" i="5" s="1"/>
  <c r="L404" i="5"/>
  <c r="K404" i="5" a="1"/>
  <c r="K404" i="5" s="1"/>
  <c r="F404" i="5"/>
  <c r="N403" i="5" a="1"/>
  <c r="N403" i="5" s="1"/>
  <c r="O403" i="5" s="1"/>
  <c r="M403" i="5" a="1"/>
  <c r="M403" i="5" s="1"/>
  <c r="L403" i="5"/>
  <c r="K403" i="5" a="1"/>
  <c r="K403" i="5" s="1"/>
  <c r="F403" i="5"/>
  <c r="N402" i="5" a="1"/>
  <c r="N402" i="5" s="1"/>
  <c r="O402" i="5" s="1"/>
  <c r="M402" i="5" a="1"/>
  <c r="M402" i="5" s="1"/>
  <c r="L402" i="5"/>
  <c r="K402" i="5" a="1"/>
  <c r="K402" i="5" s="1"/>
  <c r="F402" i="5"/>
  <c r="N401" i="5" a="1"/>
  <c r="N401" i="5" s="1"/>
  <c r="O401" i="5" s="1"/>
  <c r="M401" i="5" a="1"/>
  <c r="M401" i="5" s="1"/>
  <c r="L401" i="5"/>
  <c r="K401" i="5" a="1"/>
  <c r="K401" i="5" s="1"/>
  <c r="F401" i="5"/>
  <c r="N400" i="5" a="1"/>
  <c r="N400" i="5" s="1"/>
  <c r="O400" i="5" s="1"/>
  <c r="M400" i="5" a="1"/>
  <c r="M400" i="5" s="1"/>
  <c r="L400" i="5"/>
  <c r="K400" i="5" a="1"/>
  <c r="K400" i="5" s="1"/>
  <c r="F400" i="5"/>
  <c r="N399" i="5" a="1"/>
  <c r="N399" i="5" s="1"/>
  <c r="O399" i="5" s="1"/>
  <c r="M399" i="5" a="1"/>
  <c r="M399" i="5" s="1"/>
  <c r="L399" i="5"/>
  <c r="K399" i="5" a="1"/>
  <c r="K399" i="5" s="1"/>
  <c r="F399" i="5"/>
  <c r="N398" i="5" a="1"/>
  <c r="N398" i="5" s="1"/>
  <c r="O398" i="5" s="1"/>
  <c r="M398" i="5" a="1"/>
  <c r="M398" i="5" s="1"/>
  <c r="L398" i="5"/>
  <c r="K398" i="5" a="1"/>
  <c r="K398" i="5" s="1"/>
  <c r="F398" i="5"/>
  <c r="N397" i="5" a="1"/>
  <c r="N397" i="5" s="1"/>
  <c r="O397" i="5" s="1"/>
  <c r="M397" i="5" a="1"/>
  <c r="M397" i="5" s="1"/>
  <c r="L397" i="5"/>
  <c r="K397" i="5" a="1"/>
  <c r="K397" i="5" s="1"/>
  <c r="F397" i="5"/>
  <c r="N396" i="5" a="1"/>
  <c r="N396" i="5" s="1"/>
  <c r="O396" i="5" s="1"/>
  <c r="M396" i="5" a="1"/>
  <c r="M396" i="5" s="1"/>
  <c r="L396" i="5"/>
  <c r="K396" i="5" a="1"/>
  <c r="K396" i="5" s="1"/>
  <c r="F396" i="5"/>
  <c r="N395" i="5" a="1"/>
  <c r="N395" i="5" s="1"/>
  <c r="O395" i="5" s="1"/>
  <c r="M395" i="5" a="1"/>
  <c r="M395" i="5" s="1"/>
  <c r="L395" i="5"/>
  <c r="K395" i="5" a="1"/>
  <c r="K395" i="5" s="1"/>
  <c r="F395" i="5"/>
  <c r="N394" i="5" a="1"/>
  <c r="N394" i="5" s="1"/>
  <c r="O394" i="5" s="1"/>
  <c r="M394" i="5" a="1"/>
  <c r="M394" i="5" s="1"/>
  <c r="L394" i="5"/>
  <c r="K394" i="5" a="1"/>
  <c r="K394" i="5" s="1"/>
  <c r="F394" i="5"/>
  <c r="N393" i="5" a="1"/>
  <c r="N393" i="5" s="1"/>
  <c r="O393" i="5" s="1"/>
  <c r="M393" i="5" a="1"/>
  <c r="M393" i="5" s="1"/>
  <c r="L393" i="5"/>
  <c r="K393" i="5" a="1"/>
  <c r="K393" i="5" s="1"/>
  <c r="F393" i="5"/>
  <c r="N392" i="5" a="1"/>
  <c r="N392" i="5" s="1"/>
  <c r="O392" i="5" s="1"/>
  <c r="M392" i="5" a="1"/>
  <c r="M392" i="5" s="1"/>
  <c r="L392" i="5"/>
  <c r="K392" i="5" a="1"/>
  <c r="K392" i="5" s="1"/>
  <c r="F392" i="5"/>
  <c r="N391" i="5" a="1"/>
  <c r="N391" i="5" s="1"/>
  <c r="O391" i="5" s="1"/>
  <c r="M391" i="5" a="1"/>
  <c r="M391" i="5" s="1"/>
  <c r="L391" i="5"/>
  <c r="K391" i="5" a="1"/>
  <c r="K391" i="5" s="1"/>
  <c r="F391" i="5"/>
  <c r="N390" i="5" a="1"/>
  <c r="N390" i="5" s="1"/>
  <c r="O390" i="5" s="1"/>
  <c r="M390" i="5" a="1"/>
  <c r="M390" i="5" s="1"/>
  <c r="L390" i="5"/>
  <c r="K390" i="5" a="1"/>
  <c r="K390" i="5" s="1"/>
  <c r="F390" i="5"/>
  <c r="N389" i="5" a="1"/>
  <c r="N389" i="5" s="1"/>
  <c r="O389" i="5" s="1"/>
  <c r="M389" i="5" a="1"/>
  <c r="M389" i="5" s="1"/>
  <c r="L389" i="5"/>
  <c r="K389" i="5" a="1"/>
  <c r="K389" i="5" s="1"/>
  <c r="F389" i="5"/>
  <c r="N388" i="5" a="1"/>
  <c r="N388" i="5" s="1"/>
  <c r="O388" i="5" s="1"/>
  <c r="M388" i="5" a="1"/>
  <c r="M388" i="5" s="1"/>
  <c r="L388" i="5"/>
  <c r="K388" i="5" a="1"/>
  <c r="K388" i="5" s="1"/>
  <c r="F388" i="5"/>
  <c r="N387" i="5" a="1"/>
  <c r="N387" i="5" s="1"/>
  <c r="O387" i="5" s="1"/>
  <c r="M387" i="5" a="1"/>
  <c r="M387" i="5" s="1"/>
  <c r="L387" i="5"/>
  <c r="K387" i="5" a="1"/>
  <c r="K387" i="5" s="1"/>
  <c r="F387" i="5"/>
  <c r="N386" i="5" a="1"/>
  <c r="N386" i="5" s="1"/>
  <c r="O386" i="5" s="1"/>
  <c r="M386" i="5" a="1"/>
  <c r="M386" i="5" s="1"/>
  <c r="L386" i="5"/>
  <c r="K386" i="5" a="1"/>
  <c r="K386" i="5" s="1"/>
  <c r="F386" i="5"/>
  <c r="N385" i="5" a="1"/>
  <c r="N385" i="5" s="1"/>
  <c r="O385" i="5" s="1"/>
  <c r="M385" i="5" a="1"/>
  <c r="M385" i="5" s="1"/>
  <c r="L385" i="5"/>
  <c r="K385" i="5" a="1"/>
  <c r="K385" i="5" s="1"/>
  <c r="F385" i="5"/>
  <c r="N384" i="5" a="1"/>
  <c r="N384" i="5" s="1"/>
  <c r="O384" i="5" s="1"/>
  <c r="M384" i="5" a="1"/>
  <c r="M384" i="5" s="1"/>
  <c r="L384" i="5"/>
  <c r="K384" i="5" a="1"/>
  <c r="K384" i="5" s="1"/>
  <c r="F384" i="5"/>
  <c r="N383" i="5" a="1"/>
  <c r="N383" i="5" s="1"/>
  <c r="O383" i="5" s="1"/>
  <c r="M383" i="5" a="1"/>
  <c r="M383" i="5" s="1"/>
  <c r="L383" i="5"/>
  <c r="K383" i="5" a="1"/>
  <c r="K383" i="5" s="1"/>
  <c r="F383" i="5"/>
  <c r="N382" i="5" a="1"/>
  <c r="N382" i="5" s="1"/>
  <c r="O382" i="5" s="1"/>
  <c r="M382" i="5" a="1"/>
  <c r="M382" i="5" s="1"/>
  <c r="L382" i="5"/>
  <c r="K382" i="5" a="1"/>
  <c r="K382" i="5" s="1"/>
  <c r="F382" i="5"/>
  <c r="N381" i="5" a="1"/>
  <c r="N381" i="5" s="1"/>
  <c r="O381" i="5" s="1"/>
  <c r="M381" i="5" a="1"/>
  <c r="M381" i="5" s="1"/>
  <c r="L381" i="5"/>
  <c r="K381" i="5" a="1"/>
  <c r="K381" i="5" s="1"/>
  <c r="F381" i="5"/>
  <c r="N380" i="5" a="1"/>
  <c r="N380" i="5" s="1"/>
  <c r="O380" i="5" s="1"/>
  <c r="M380" i="5" a="1"/>
  <c r="M380" i="5" s="1"/>
  <c r="L380" i="5"/>
  <c r="K380" i="5" a="1"/>
  <c r="K380" i="5" s="1"/>
  <c r="F380" i="5"/>
  <c r="N379" i="5" a="1"/>
  <c r="N379" i="5" s="1"/>
  <c r="O379" i="5" s="1"/>
  <c r="M379" i="5" a="1"/>
  <c r="M379" i="5" s="1"/>
  <c r="L379" i="5"/>
  <c r="K379" i="5" a="1"/>
  <c r="K379" i="5" s="1"/>
  <c r="F379" i="5"/>
  <c r="N378" i="5" a="1"/>
  <c r="N378" i="5" s="1"/>
  <c r="O378" i="5" s="1"/>
  <c r="M378" i="5" a="1"/>
  <c r="M378" i="5" s="1"/>
  <c r="L378" i="5"/>
  <c r="K378" i="5" a="1"/>
  <c r="K378" i="5" s="1"/>
  <c r="F378" i="5"/>
  <c r="N377" i="5" a="1"/>
  <c r="N377" i="5" s="1"/>
  <c r="O377" i="5" s="1"/>
  <c r="M377" i="5" a="1"/>
  <c r="M377" i="5" s="1"/>
  <c r="L377" i="5"/>
  <c r="K377" i="5" a="1"/>
  <c r="K377" i="5" s="1"/>
  <c r="F377" i="5"/>
  <c r="N376" i="5" a="1"/>
  <c r="N376" i="5" s="1"/>
  <c r="O376" i="5" s="1"/>
  <c r="M376" i="5" a="1"/>
  <c r="M376" i="5" s="1"/>
  <c r="L376" i="5"/>
  <c r="K376" i="5" a="1"/>
  <c r="K376" i="5" s="1"/>
  <c r="F376" i="5"/>
  <c r="N375" i="5" a="1"/>
  <c r="N375" i="5" s="1"/>
  <c r="O375" i="5" s="1"/>
  <c r="M375" i="5" a="1"/>
  <c r="M375" i="5" s="1"/>
  <c r="L375" i="5"/>
  <c r="K375" i="5" a="1"/>
  <c r="K375" i="5" s="1"/>
  <c r="F375" i="5"/>
  <c r="N374" i="5" a="1"/>
  <c r="N374" i="5" s="1"/>
  <c r="O374" i="5" s="1"/>
  <c r="M374" i="5" a="1"/>
  <c r="M374" i="5" s="1"/>
  <c r="L374" i="5"/>
  <c r="K374" i="5" a="1"/>
  <c r="K374" i="5" s="1"/>
  <c r="F374" i="5"/>
  <c r="N373" i="5" a="1"/>
  <c r="N373" i="5" s="1"/>
  <c r="O373" i="5" s="1"/>
  <c r="M373" i="5" a="1"/>
  <c r="M373" i="5" s="1"/>
  <c r="L373" i="5"/>
  <c r="K373" i="5" a="1"/>
  <c r="K373" i="5" s="1"/>
  <c r="F373" i="5"/>
  <c r="N372" i="5" a="1"/>
  <c r="N372" i="5" s="1"/>
  <c r="O372" i="5" s="1"/>
  <c r="M372" i="5" a="1"/>
  <c r="M372" i="5" s="1"/>
  <c r="L372" i="5"/>
  <c r="K372" i="5" a="1"/>
  <c r="K372" i="5" s="1"/>
  <c r="F372" i="5"/>
  <c r="N371" i="5" a="1"/>
  <c r="N371" i="5" s="1"/>
  <c r="O371" i="5" s="1"/>
  <c r="M371" i="5" a="1"/>
  <c r="M371" i="5" s="1"/>
  <c r="L371" i="5"/>
  <c r="K371" i="5" a="1"/>
  <c r="K371" i="5" s="1"/>
  <c r="F371" i="5"/>
  <c r="N370" i="5" a="1"/>
  <c r="N370" i="5" s="1"/>
  <c r="O370" i="5" s="1"/>
  <c r="M370" i="5" a="1"/>
  <c r="M370" i="5" s="1"/>
  <c r="L370" i="5"/>
  <c r="K370" i="5" a="1"/>
  <c r="K370" i="5" s="1"/>
  <c r="F370" i="5"/>
  <c r="N369" i="5" a="1"/>
  <c r="N369" i="5" s="1"/>
  <c r="O369" i="5" s="1"/>
  <c r="M369" i="5" a="1"/>
  <c r="M369" i="5" s="1"/>
  <c r="L369" i="5"/>
  <c r="K369" i="5" a="1"/>
  <c r="K369" i="5" s="1"/>
  <c r="F369" i="5"/>
  <c r="N368" i="5" a="1"/>
  <c r="N368" i="5" s="1"/>
  <c r="O368" i="5" s="1"/>
  <c r="M368" i="5" a="1"/>
  <c r="M368" i="5" s="1"/>
  <c r="L368" i="5"/>
  <c r="K368" i="5" a="1"/>
  <c r="K368" i="5" s="1"/>
  <c r="F368" i="5"/>
  <c r="N367" i="5" a="1"/>
  <c r="N367" i="5" s="1"/>
  <c r="O367" i="5" s="1"/>
  <c r="M367" i="5" a="1"/>
  <c r="M367" i="5" s="1"/>
  <c r="L367" i="5"/>
  <c r="K367" i="5" a="1"/>
  <c r="K367" i="5" s="1"/>
  <c r="F367" i="5"/>
  <c r="N366" i="5" a="1"/>
  <c r="N366" i="5" s="1"/>
  <c r="O366" i="5" s="1"/>
  <c r="M366" i="5" a="1"/>
  <c r="M366" i="5" s="1"/>
  <c r="L366" i="5"/>
  <c r="K366" i="5" a="1"/>
  <c r="K366" i="5" s="1"/>
  <c r="F366" i="5"/>
  <c r="N365" i="5" a="1"/>
  <c r="N365" i="5" s="1"/>
  <c r="O365" i="5" s="1"/>
  <c r="M365" i="5" a="1"/>
  <c r="M365" i="5" s="1"/>
  <c r="L365" i="5"/>
  <c r="K365" i="5" a="1"/>
  <c r="K365" i="5" s="1"/>
  <c r="F365" i="5"/>
  <c r="N364" i="5" a="1"/>
  <c r="N364" i="5" s="1"/>
  <c r="O364" i="5" s="1"/>
  <c r="M364" i="5" a="1"/>
  <c r="M364" i="5" s="1"/>
  <c r="L364" i="5"/>
  <c r="K364" i="5" a="1"/>
  <c r="K364" i="5" s="1"/>
  <c r="F364" i="5"/>
  <c r="N363" i="5" a="1"/>
  <c r="N363" i="5" s="1"/>
  <c r="O363" i="5" s="1"/>
  <c r="M363" i="5" a="1"/>
  <c r="M363" i="5" s="1"/>
  <c r="L363" i="5"/>
  <c r="K363" i="5" a="1"/>
  <c r="K363" i="5" s="1"/>
  <c r="F363" i="5"/>
  <c r="N362" i="5" a="1"/>
  <c r="N362" i="5" s="1"/>
  <c r="O362" i="5" s="1"/>
  <c r="M362" i="5" a="1"/>
  <c r="M362" i="5" s="1"/>
  <c r="L362" i="5"/>
  <c r="K362" i="5" a="1"/>
  <c r="K362" i="5" s="1"/>
  <c r="F362" i="5"/>
  <c r="N361" i="5" a="1"/>
  <c r="N361" i="5" s="1"/>
  <c r="O361" i="5" s="1"/>
  <c r="M361" i="5" a="1"/>
  <c r="M361" i="5" s="1"/>
  <c r="L361" i="5"/>
  <c r="K361" i="5" a="1"/>
  <c r="K361" i="5" s="1"/>
  <c r="F361" i="5"/>
  <c r="N360" i="5" a="1"/>
  <c r="N360" i="5" s="1"/>
  <c r="O360" i="5" s="1"/>
  <c r="M360" i="5" a="1"/>
  <c r="M360" i="5" s="1"/>
  <c r="L360" i="5"/>
  <c r="K360" i="5" a="1"/>
  <c r="K360" i="5" s="1"/>
  <c r="F360" i="5"/>
  <c r="N359" i="5" a="1"/>
  <c r="N359" i="5" s="1"/>
  <c r="O359" i="5" s="1"/>
  <c r="M359" i="5" a="1"/>
  <c r="M359" i="5" s="1"/>
  <c r="L359" i="5"/>
  <c r="K359" i="5" a="1"/>
  <c r="K359" i="5" s="1"/>
  <c r="F359" i="5"/>
  <c r="N358" i="5" a="1"/>
  <c r="N358" i="5" s="1"/>
  <c r="O358" i="5" s="1"/>
  <c r="M358" i="5" a="1"/>
  <c r="M358" i="5" s="1"/>
  <c r="L358" i="5"/>
  <c r="K358" i="5" a="1"/>
  <c r="K358" i="5" s="1"/>
  <c r="F358" i="5"/>
  <c r="N357" i="5" a="1"/>
  <c r="N357" i="5" s="1"/>
  <c r="O357" i="5" s="1"/>
  <c r="M357" i="5" a="1"/>
  <c r="M357" i="5" s="1"/>
  <c r="L357" i="5"/>
  <c r="K357" i="5" a="1"/>
  <c r="K357" i="5" s="1"/>
  <c r="F357" i="5"/>
  <c r="N356" i="5" a="1"/>
  <c r="N356" i="5" s="1"/>
  <c r="O356" i="5" s="1"/>
  <c r="M356" i="5" a="1"/>
  <c r="M356" i="5" s="1"/>
  <c r="L356" i="5"/>
  <c r="K356" i="5" a="1"/>
  <c r="K356" i="5" s="1"/>
  <c r="F356" i="5"/>
  <c r="N355" i="5" a="1"/>
  <c r="N355" i="5" s="1"/>
  <c r="O355" i="5" s="1"/>
  <c r="M355" i="5" a="1"/>
  <c r="M355" i="5" s="1"/>
  <c r="L355" i="5"/>
  <c r="K355" i="5" a="1"/>
  <c r="K355" i="5" s="1"/>
  <c r="F355" i="5"/>
  <c r="N354" i="5" a="1"/>
  <c r="N354" i="5" s="1"/>
  <c r="O354" i="5" s="1"/>
  <c r="M354" i="5" a="1"/>
  <c r="M354" i="5" s="1"/>
  <c r="L354" i="5"/>
  <c r="K354" i="5" a="1"/>
  <c r="K354" i="5" s="1"/>
  <c r="F354" i="5"/>
  <c r="N353" i="5" a="1"/>
  <c r="N353" i="5" s="1"/>
  <c r="O353" i="5" s="1"/>
  <c r="M353" i="5" a="1"/>
  <c r="M353" i="5" s="1"/>
  <c r="L353" i="5"/>
  <c r="K353" i="5" a="1"/>
  <c r="K353" i="5" s="1"/>
  <c r="F353" i="5"/>
  <c r="N352" i="5" a="1"/>
  <c r="N352" i="5" s="1"/>
  <c r="O352" i="5" s="1"/>
  <c r="M352" i="5" a="1"/>
  <c r="M352" i="5" s="1"/>
  <c r="L352" i="5"/>
  <c r="K352" i="5" a="1"/>
  <c r="K352" i="5" s="1"/>
  <c r="F352" i="5"/>
  <c r="N351" i="5" a="1"/>
  <c r="N351" i="5" s="1"/>
  <c r="O351" i="5" s="1"/>
  <c r="M351" i="5" a="1"/>
  <c r="M351" i="5" s="1"/>
  <c r="L351" i="5"/>
  <c r="K351" i="5" a="1"/>
  <c r="K351" i="5" s="1"/>
  <c r="F351" i="5"/>
  <c r="N350" i="5" a="1"/>
  <c r="N350" i="5" s="1"/>
  <c r="O350" i="5" s="1"/>
  <c r="M350" i="5" a="1"/>
  <c r="M350" i="5" s="1"/>
  <c r="L350" i="5"/>
  <c r="K350" i="5" a="1"/>
  <c r="K350" i="5" s="1"/>
  <c r="F350" i="5"/>
  <c r="N349" i="5" a="1"/>
  <c r="N349" i="5" s="1"/>
  <c r="O349" i="5" s="1"/>
  <c r="M349" i="5" a="1"/>
  <c r="M349" i="5" s="1"/>
  <c r="L349" i="5"/>
  <c r="K349" i="5" a="1"/>
  <c r="K349" i="5" s="1"/>
  <c r="F349" i="5"/>
  <c r="N348" i="5" a="1"/>
  <c r="N348" i="5" s="1"/>
  <c r="O348" i="5" s="1"/>
  <c r="M348" i="5" a="1"/>
  <c r="M348" i="5" s="1"/>
  <c r="L348" i="5"/>
  <c r="K348" i="5" a="1"/>
  <c r="K348" i="5" s="1"/>
  <c r="F348" i="5"/>
  <c r="N347" i="5" a="1"/>
  <c r="N347" i="5" s="1"/>
  <c r="O347" i="5" s="1"/>
  <c r="M347" i="5" a="1"/>
  <c r="M347" i="5" s="1"/>
  <c r="L347" i="5"/>
  <c r="K347" i="5" a="1"/>
  <c r="K347" i="5" s="1"/>
  <c r="F347" i="5"/>
  <c r="N346" i="5" a="1"/>
  <c r="N346" i="5" s="1"/>
  <c r="O346" i="5" s="1"/>
  <c r="M346" i="5" a="1"/>
  <c r="M346" i="5" s="1"/>
  <c r="L346" i="5"/>
  <c r="K346" i="5" a="1"/>
  <c r="K346" i="5" s="1"/>
  <c r="F346" i="5"/>
  <c r="N345" i="5" a="1"/>
  <c r="N345" i="5" s="1"/>
  <c r="O345" i="5" s="1"/>
  <c r="M345" i="5" a="1"/>
  <c r="M345" i="5" s="1"/>
  <c r="L345" i="5"/>
  <c r="K345" i="5" a="1"/>
  <c r="K345" i="5" s="1"/>
  <c r="F345" i="5"/>
  <c r="N344" i="5" a="1"/>
  <c r="N344" i="5" s="1"/>
  <c r="O344" i="5" s="1"/>
  <c r="M344" i="5" a="1"/>
  <c r="M344" i="5" s="1"/>
  <c r="L344" i="5"/>
  <c r="K344" i="5" a="1"/>
  <c r="K344" i="5" s="1"/>
  <c r="F344" i="5"/>
  <c r="N343" i="5" a="1"/>
  <c r="N343" i="5" s="1"/>
  <c r="O343" i="5" s="1"/>
  <c r="M343" i="5" a="1"/>
  <c r="M343" i="5" s="1"/>
  <c r="L343" i="5"/>
  <c r="K343" i="5" a="1"/>
  <c r="K343" i="5" s="1"/>
  <c r="F343" i="5"/>
  <c r="N342" i="5" a="1"/>
  <c r="N342" i="5" s="1"/>
  <c r="O342" i="5" s="1"/>
  <c r="M342" i="5" a="1"/>
  <c r="M342" i="5" s="1"/>
  <c r="L342" i="5"/>
  <c r="K342" i="5" a="1"/>
  <c r="K342" i="5" s="1"/>
  <c r="F342" i="5"/>
  <c r="N341" i="5" a="1"/>
  <c r="N341" i="5" s="1"/>
  <c r="O341" i="5" s="1"/>
  <c r="M341" i="5" a="1"/>
  <c r="M341" i="5" s="1"/>
  <c r="L341" i="5"/>
  <c r="K341" i="5" a="1"/>
  <c r="K341" i="5" s="1"/>
  <c r="F341" i="5"/>
  <c r="N340" i="5" a="1"/>
  <c r="N340" i="5" s="1"/>
  <c r="O340" i="5" s="1"/>
  <c r="M340" i="5" a="1"/>
  <c r="M340" i="5" s="1"/>
  <c r="L340" i="5"/>
  <c r="K340" i="5" a="1"/>
  <c r="K340" i="5" s="1"/>
  <c r="F340" i="5"/>
  <c r="N339" i="5" a="1"/>
  <c r="N339" i="5" s="1"/>
  <c r="O339" i="5" s="1"/>
  <c r="M339" i="5" a="1"/>
  <c r="M339" i="5" s="1"/>
  <c r="L339" i="5"/>
  <c r="K339" i="5" a="1"/>
  <c r="K339" i="5" s="1"/>
  <c r="F339" i="5"/>
  <c r="N338" i="5" a="1"/>
  <c r="N338" i="5" s="1"/>
  <c r="O338" i="5" s="1"/>
  <c r="M338" i="5" a="1"/>
  <c r="M338" i="5" s="1"/>
  <c r="L338" i="5"/>
  <c r="K338" i="5" a="1"/>
  <c r="K338" i="5" s="1"/>
  <c r="F338" i="5"/>
  <c r="N337" i="5" a="1"/>
  <c r="N337" i="5" s="1"/>
  <c r="O337" i="5" s="1"/>
  <c r="M337" i="5" a="1"/>
  <c r="M337" i="5" s="1"/>
  <c r="L337" i="5"/>
  <c r="K337" i="5" a="1"/>
  <c r="K337" i="5" s="1"/>
  <c r="F337" i="5"/>
  <c r="N336" i="5" a="1"/>
  <c r="N336" i="5" s="1"/>
  <c r="O336" i="5" s="1"/>
  <c r="M336" i="5" a="1"/>
  <c r="M336" i="5" s="1"/>
  <c r="L336" i="5"/>
  <c r="K336" i="5" a="1"/>
  <c r="K336" i="5" s="1"/>
  <c r="F336" i="5"/>
  <c r="N335" i="5" a="1"/>
  <c r="N335" i="5" s="1"/>
  <c r="O335" i="5" s="1"/>
  <c r="M335" i="5" a="1"/>
  <c r="M335" i="5" s="1"/>
  <c r="L335" i="5"/>
  <c r="K335" i="5" a="1"/>
  <c r="K335" i="5" s="1"/>
  <c r="F335" i="5"/>
  <c r="N334" i="5" a="1"/>
  <c r="N334" i="5" s="1"/>
  <c r="O334" i="5" s="1"/>
  <c r="M334" i="5" a="1"/>
  <c r="M334" i="5" s="1"/>
  <c r="L334" i="5"/>
  <c r="K334" i="5" a="1"/>
  <c r="K334" i="5" s="1"/>
  <c r="F334" i="5"/>
  <c r="N333" i="5" a="1"/>
  <c r="N333" i="5" s="1"/>
  <c r="O333" i="5" s="1"/>
  <c r="M333" i="5" a="1"/>
  <c r="M333" i="5" s="1"/>
  <c r="L333" i="5"/>
  <c r="K333" i="5" a="1"/>
  <c r="K333" i="5" s="1"/>
  <c r="F333" i="5"/>
  <c r="N332" i="5" a="1"/>
  <c r="N332" i="5" s="1"/>
  <c r="O332" i="5" s="1"/>
  <c r="M332" i="5" a="1"/>
  <c r="M332" i="5" s="1"/>
  <c r="L332" i="5"/>
  <c r="K332" i="5" a="1"/>
  <c r="K332" i="5" s="1"/>
  <c r="F332" i="5"/>
  <c r="N331" i="5" a="1"/>
  <c r="N331" i="5" s="1"/>
  <c r="O331" i="5" s="1"/>
  <c r="M331" i="5" a="1"/>
  <c r="M331" i="5" s="1"/>
  <c r="L331" i="5"/>
  <c r="K331" i="5" a="1"/>
  <c r="K331" i="5" s="1"/>
  <c r="F331" i="5"/>
  <c r="N330" i="5" a="1"/>
  <c r="N330" i="5" s="1"/>
  <c r="O330" i="5" s="1"/>
  <c r="M330" i="5" a="1"/>
  <c r="M330" i="5" s="1"/>
  <c r="L330" i="5"/>
  <c r="K330" i="5" a="1"/>
  <c r="K330" i="5" s="1"/>
  <c r="F330" i="5"/>
  <c r="N329" i="5" a="1"/>
  <c r="N329" i="5" s="1"/>
  <c r="O329" i="5" s="1"/>
  <c r="M329" i="5" a="1"/>
  <c r="M329" i="5" s="1"/>
  <c r="L329" i="5"/>
  <c r="K329" i="5" a="1"/>
  <c r="K329" i="5" s="1"/>
  <c r="F329" i="5"/>
  <c r="N328" i="5" a="1"/>
  <c r="N328" i="5" s="1"/>
  <c r="O328" i="5" s="1"/>
  <c r="M328" i="5" a="1"/>
  <c r="M328" i="5" s="1"/>
  <c r="L328" i="5"/>
  <c r="K328" i="5" a="1"/>
  <c r="K328" i="5" s="1"/>
  <c r="F328" i="5"/>
  <c r="N327" i="5" a="1"/>
  <c r="N327" i="5" s="1"/>
  <c r="O327" i="5" s="1"/>
  <c r="M327" i="5" a="1"/>
  <c r="M327" i="5" s="1"/>
  <c r="L327" i="5"/>
  <c r="K327" i="5" a="1"/>
  <c r="K327" i="5" s="1"/>
  <c r="F327" i="5"/>
  <c r="N326" i="5" a="1"/>
  <c r="N326" i="5" s="1"/>
  <c r="O326" i="5" s="1"/>
  <c r="M326" i="5" a="1"/>
  <c r="M326" i="5" s="1"/>
  <c r="L326" i="5"/>
  <c r="K326" i="5" a="1"/>
  <c r="K326" i="5" s="1"/>
  <c r="F326" i="5"/>
  <c r="N325" i="5" a="1"/>
  <c r="N325" i="5" s="1"/>
  <c r="O325" i="5" s="1"/>
  <c r="M325" i="5" a="1"/>
  <c r="M325" i="5" s="1"/>
  <c r="L325" i="5"/>
  <c r="K325" i="5" a="1"/>
  <c r="K325" i="5" s="1"/>
  <c r="F325" i="5"/>
  <c r="N324" i="5" a="1"/>
  <c r="N324" i="5" s="1"/>
  <c r="O324" i="5" s="1"/>
  <c r="M324" i="5" a="1"/>
  <c r="M324" i="5" s="1"/>
  <c r="L324" i="5"/>
  <c r="K324" i="5" a="1"/>
  <c r="K324" i="5" s="1"/>
  <c r="F324" i="5"/>
  <c r="N323" i="5" a="1"/>
  <c r="N323" i="5" s="1"/>
  <c r="O323" i="5" s="1"/>
  <c r="M323" i="5" a="1"/>
  <c r="M323" i="5" s="1"/>
  <c r="L323" i="5"/>
  <c r="K323" i="5" a="1"/>
  <c r="K323" i="5" s="1"/>
  <c r="F323" i="5"/>
  <c r="N322" i="5" a="1"/>
  <c r="N322" i="5" s="1"/>
  <c r="O322" i="5" s="1"/>
  <c r="M322" i="5" a="1"/>
  <c r="M322" i="5" s="1"/>
  <c r="L322" i="5"/>
  <c r="K322" i="5" a="1"/>
  <c r="K322" i="5" s="1"/>
  <c r="F322" i="5"/>
  <c r="N321" i="5" a="1"/>
  <c r="N321" i="5" s="1"/>
  <c r="O321" i="5" s="1"/>
  <c r="M321" i="5" a="1"/>
  <c r="M321" i="5" s="1"/>
  <c r="L321" i="5"/>
  <c r="K321" i="5" a="1"/>
  <c r="K321" i="5" s="1"/>
  <c r="F321" i="5"/>
  <c r="N320" i="5" a="1"/>
  <c r="N320" i="5" s="1"/>
  <c r="O320" i="5" s="1"/>
  <c r="M320" i="5" a="1"/>
  <c r="M320" i="5" s="1"/>
  <c r="L320" i="5"/>
  <c r="K320" i="5" a="1"/>
  <c r="K320" i="5" s="1"/>
  <c r="F320" i="5"/>
  <c r="N319" i="5" a="1"/>
  <c r="N319" i="5" s="1"/>
  <c r="O319" i="5" s="1"/>
  <c r="M319" i="5" a="1"/>
  <c r="M319" i="5" s="1"/>
  <c r="L319" i="5"/>
  <c r="K319" i="5" a="1"/>
  <c r="K319" i="5" s="1"/>
  <c r="F319" i="5"/>
  <c r="N318" i="5" a="1"/>
  <c r="N318" i="5" s="1"/>
  <c r="O318" i="5" s="1"/>
  <c r="M318" i="5" a="1"/>
  <c r="M318" i="5" s="1"/>
  <c r="L318" i="5"/>
  <c r="K318" i="5" a="1"/>
  <c r="K318" i="5" s="1"/>
  <c r="F318" i="5"/>
  <c r="N317" i="5" a="1"/>
  <c r="N317" i="5" s="1"/>
  <c r="O317" i="5" s="1"/>
  <c r="M317" i="5" a="1"/>
  <c r="M317" i="5" s="1"/>
  <c r="L317" i="5"/>
  <c r="K317" i="5" a="1"/>
  <c r="K317" i="5" s="1"/>
  <c r="F317" i="5"/>
  <c r="N316" i="5" a="1"/>
  <c r="N316" i="5" s="1"/>
  <c r="O316" i="5" s="1"/>
  <c r="M316" i="5" a="1"/>
  <c r="M316" i="5" s="1"/>
  <c r="L316" i="5"/>
  <c r="K316" i="5" a="1"/>
  <c r="K316" i="5" s="1"/>
  <c r="F316" i="5"/>
  <c r="N315" i="5" a="1"/>
  <c r="N315" i="5" s="1"/>
  <c r="O315" i="5" s="1"/>
  <c r="M315" i="5" a="1"/>
  <c r="M315" i="5" s="1"/>
  <c r="L315" i="5"/>
  <c r="K315" i="5" a="1"/>
  <c r="K315" i="5" s="1"/>
  <c r="F315" i="5"/>
  <c r="N314" i="5" a="1"/>
  <c r="N314" i="5" s="1"/>
  <c r="O314" i="5" s="1"/>
  <c r="M314" i="5" a="1"/>
  <c r="M314" i="5" s="1"/>
  <c r="L314" i="5"/>
  <c r="K314" i="5" a="1"/>
  <c r="K314" i="5" s="1"/>
  <c r="F314" i="5"/>
  <c r="N313" i="5" a="1"/>
  <c r="N313" i="5" s="1"/>
  <c r="O313" i="5" s="1"/>
  <c r="M313" i="5" a="1"/>
  <c r="M313" i="5" s="1"/>
  <c r="L313" i="5"/>
  <c r="K313" i="5" a="1"/>
  <c r="K313" i="5" s="1"/>
  <c r="F313" i="5"/>
  <c r="N312" i="5" a="1"/>
  <c r="N312" i="5" s="1"/>
  <c r="O312" i="5" s="1"/>
  <c r="M312" i="5" a="1"/>
  <c r="M312" i="5" s="1"/>
  <c r="L312" i="5"/>
  <c r="K312" i="5" a="1"/>
  <c r="K312" i="5" s="1"/>
  <c r="F312" i="5"/>
  <c r="N311" i="5" a="1"/>
  <c r="N311" i="5" s="1"/>
  <c r="O311" i="5" s="1"/>
  <c r="M311" i="5" a="1"/>
  <c r="M311" i="5" s="1"/>
  <c r="L311" i="5"/>
  <c r="K311" i="5" a="1"/>
  <c r="K311" i="5" s="1"/>
  <c r="F311" i="5"/>
  <c r="N310" i="5" a="1"/>
  <c r="N310" i="5" s="1"/>
  <c r="O310" i="5" s="1"/>
  <c r="M310" i="5" a="1"/>
  <c r="M310" i="5" s="1"/>
  <c r="L310" i="5"/>
  <c r="K310" i="5" a="1"/>
  <c r="K310" i="5" s="1"/>
  <c r="F310" i="5"/>
  <c r="N309" i="5" a="1"/>
  <c r="N309" i="5" s="1"/>
  <c r="O309" i="5" s="1"/>
  <c r="M309" i="5" a="1"/>
  <c r="M309" i="5" s="1"/>
  <c r="L309" i="5"/>
  <c r="K309" i="5" a="1"/>
  <c r="K309" i="5" s="1"/>
  <c r="F309" i="5"/>
  <c r="N308" i="5" a="1"/>
  <c r="N308" i="5" s="1"/>
  <c r="O308" i="5" s="1"/>
  <c r="M308" i="5" a="1"/>
  <c r="M308" i="5" s="1"/>
  <c r="L308" i="5"/>
  <c r="K308" i="5" a="1"/>
  <c r="K308" i="5" s="1"/>
  <c r="F308" i="5"/>
  <c r="N307" i="5" a="1"/>
  <c r="N307" i="5" s="1"/>
  <c r="O307" i="5" s="1"/>
  <c r="M307" i="5" a="1"/>
  <c r="M307" i="5" s="1"/>
  <c r="L307" i="5"/>
  <c r="K307" i="5" a="1"/>
  <c r="K307" i="5" s="1"/>
  <c r="F307" i="5"/>
  <c r="N306" i="5" a="1"/>
  <c r="N306" i="5" s="1"/>
  <c r="O306" i="5" s="1"/>
  <c r="M306" i="5" a="1"/>
  <c r="M306" i="5" s="1"/>
  <c r="L306" i="5"/>
  <c r="K306" i="5" a="1"/>
  <c r="K306" i="5" s="1"/>
  <c r="F306" i="5"/>
  <c r="N305" i="5" a="1"/>
  <c r="N305" i="5" s="1"/>
  <c r="O305" i="5" s="1"/>
  <c r="M305" i="5" a="1"/>
  <c r="M305" i="5" s="1"/>
  <c r="L305" i="5"/>
  <c r="K305" i="5" a="1"/>
  <c r="K305" i="5" s="1"/>
  <c r="F305" i="5"/>
  <c r="N304" i="5" a="1"/>
  <c r="N304" i="5" s="1"/>
  <c r="O304" i="5" s="1"/>
  <c r="M304" i="5" a="1"/>
  <c r="M304" i="5" s="1"/>
  <c r="L304" i="5"/>
  <c r="K304" i="5" a="1"/>
  <c r="K304" i="5" s="1"/>
  <c r="F304" i="5"/>
  <c r="N303" i="5" a="1"/>
  <c r="N303" i="5" s="1"/>
  <c r="O303" i="5" s="1"/>
  <c r="M303" i="5" a="1"/>
  <c r="M303" i="5" s="1"/>
  <c r="L303" i="5"/>
  <c r="K303" i="5" a="1"/>
  <c r="K303" i="5" s="1"/>
  <c r="F303" i="5"/>
  <c r="N302" i="5" a="1"/>
  <c r="N302" i="5" s="1"/>
  <c r="O302" i="5" s="1"/>
  <c r="M302" i="5" a="1"/>
  <c r="M302" i="5" s="1"/>
  <c r="L302" i="5"/>
  <c r="K302" i="5" a="1"/>
  <c r="K302" i="5" s="1"/>
  <c r="F302" i="5"/>
  <c r="N301" i="5" a="1"/>
  <c r="N301" i="5" s="1"/>
  <c r="O301" i="5" s="1"/>
  <c r="M301" i="5" a="1"/>
  <c r="M301" i="5" s="1"/>
  <c r="L301" i="5"/>
  <c r="K301" i="5" a="1"/>
  <c r="K301" i="5" s="1"/>
  <c r="F301" i="5"/>
  <c r="N300" i="5" a="1"/>
  <c r="N300" i="5" s="1"/>
  <c r="O300" i="5" s="1"/>
  <c r="M300" i="5" a="1"/>
  <c r="M300" i="5" s="1"/>
  <c r="L300" i="5"/>
  <c r="K300" i="5" a="1"/>
  <c r="K300" i="5" s="1"/>
  <c r="F300" i="5"/>
  <c r="N299" i="5" a="1"/>
  <c r="N299" i="5" s="1"/>
  <c r="O299" i="5" s="1"/>
  <c r="M299" i="5" a="1"/>
  <c r="M299" i="5" s="1"/>
  <c r="L299" i="5"/>
  <c r="K299" i="5" a="1"/>
  <c r="K299" i="5" s="1"/>
  <c r="F299" i="5"/>
  <c r="N298" i="5" a="1"/>
  <c r="N298" i="5" s="1"/>
  <c r="O298" i="5" s="1"/>
  <c r="M298" i="5" a="1"/>
  <c r="M298" i="5" s="1"/>
  <c r="L298" i="5"/>
  <c r="K298" i="5" a="1"/>
  <c r="K298" i="5" s="1"/>
  <c r="F298" i="5"/>
  <c r="N297" i="5" a="1"/>
  <c r="N297" i="5" s="1"/>
  <c r="O297" i="5" s="1"/>
  <c r="M297" i="5" a="1"/>
  <c r="M297" i="5" s="1"/>
  <c r="L297" i="5"/>
  <c r="K297" i="5" a="1"/>
  <c r="K297" i="5" s="1"/>
  <c r="F297" i="5"/>
  <c r="N296" i="5" a="1"/>
  <c r="N296" i="5" s="1"/>
  <c r="O296" i="5" s="1"/>
  <c r="M296" i="5" a="1"/>
  <c r="M296" i="5" s="1"/>
  <c r="L296" i="5"/>
  <c r="K296" i="5" a="1"/>
  <c r="K296" i="5" s="1"/>
  <c r="F296" i="5"/>
  <c r="N295" i="5" a="1"/>
  <c r="N295" i="5" s="1"/>
  <c r="O295" i="5" s="1"/>
  <c r="M295" i="5" a="1"/>
  <c r="M295" i="5" s="1"/>
  <c r="L295" i="5"/>
  <c r="K295" i="5" a="1"/>
  <c r="K295" i="5" s="1"/>
  <c r="F295" i="5"/>
  <c r="N294" i="5" a="1"/>
  <c r="N294" i="5" s="1"/>
  <c r="O294" i="5" s="1"/>
  <c r="M294" i="5" a="1"/>
  <c r="M294" i="5" s="1"/>
  <c r="L294" i="5"/>
  <c r="K294" i="5" a="1"/>
  <c r="K294" i="5" s="1"/>
  <c r="F294" i="5"/>
  <c r="N293" i="5" a="1"/>
  <c r="N293" i="5" s="1"/>
  <c r="O293" i="5" s="1"/>
  <c r="M293" i="5" a="1"/>
  <c r="M293" i="5" s="1"/>
  <c r="L293" i="5"/>
  <c r="K293" i="5" a="1"/>
  <c r="K293" i="5" s="1"/>
  <c r="F293" i="5"/>
  <c r="N292" i="5" a="1"/>
  <c r="N292" i="5" s="1"/>
  <c r="O292" i="5" s="1"/>
  <c r="M292" i="5" a="1"/>
  <c r="M292" i="5" s="1"/>
  <c r="L292" i="5"/>
  <c r="K292" i="5" a="1"/>
  <c r="K292" i="5" s="1"/>
  <c r="F292" i="5"/>
  <c r="N291" i="5" a="1"/>
  <c r="N291" i="5" s="1"/>
  <c r="O291" i="5" s="1"/>
  <c r="M291" i="5" a="1"/>
  <c r="M291" i="5" s="1"/>
  <c r="L291" i="5"/>
  <c r="K291" i="5" a="1"/>
  <c r="K291" i="5" s="1"/>
  <c r="F291" i="5"/>
  <c r="N290" i="5" a="1"/>
  <c r="N290" i="5" s="1"/>
  <c r="O290" i="5" s="1"/>
  <c r="M290" i="5" a="1"/>
  <c r="M290" i="5" s="1"/>
  <c r="L290" i="5"/>
  <c r="K290" i="5" a="1"/>
  <c r="K290" i="5" s="1"/>
  <c r="F290" i="5"/>
  <c r="N289" i="5" a="1"/>
  <c r="N289" i="5" s="1"/>
  <c r="O289" i="5" s="1"/>
  <c r="M289" i="5" a="1"/>
  <c r="M289" i="5" s="1"/>
  <c r="L289" i="5"/>
  <c r="K289" i="5" a="1"/>
  <c r="K289" i="5" s="1"/>
  <c r="F289" i="5"/>
  <c r="N288" i="5" a="1"/>
  <c r="N288" i="5" s="1"/>
  <c r="O288" i="5" s="1"/>
  <c r="M288" i="5" a="1"/>
  <c r="M288" i="5" s="1"/>
  <c r="L288" i="5"/>
  <c r="K288" i="5" a="1"/>
  <c r="K288" i="5" s="1"/>
  <c r="F288" i="5"/>
  <c r="N287" i="5" a="1"/>
  <c r="N287" i="5" s="1"/>
  <c r="O287" i="5" s="1"/>
  <c r="M287" i="5" a="1"/>
  <c r="M287" i="5" s="1"/>
  <c r="L287" i="5"/>
  <c r="K287" i="5" a="1"/>
  <c r="K287" i="5" s="1"/>
  <c r="F287" i="5"/>
  <c r="N286" i="5" a="1"/>
  <c r="N286" i="5" s="1"/>
  <c r="O286" i="5" s="1"/>
  <c r="M286" i="5" a="1"/>
  <c r="M286" i="5" s="1"/>
  <c r="L286" i="5"/>
  <c r="K286" i="5" a="1"/>
  <c r="K286" i="5" s="1"/>
  <c r="F286" i="5"/>
  <c r="N285" i="5" a="1"/>
  <c r="N285" i="5" s="1"/>
  <c r="O285" i="5" s="1"/>
  <c r="M285" i="5" a="1"/>
  <c r="M285" i="5" s="1"/>
  <c r="L285" i="5"/>
  <c r="K285" i="5" a="1"/>
  <c r="K285" i="5" s="1"/>
  <c r="F285" i="5"/>
  <c r="N284" i="5" a="1"/>
  <c r="N284" i="5" s="1"/>
  <c r="O284" i="5" s="1"/>
  <c r="M284" i="5" a="1"/>
  <c r="M284" i="5" s="1"/>
  <c r="L284" i="5"/>
  <c r="K284" i="5" a="1"/>
  <c r="K284" i="5" s="1"/>
  <c r="F284" i="5"/>
  <c r="N283" i="5" a="1"/>
  <c r="N283" i="5" s="1"/>
  <c r="O283" i="5" s="1"/>
  <c r="M283" i="5" a="1"/>
  <c r="M283" i="5" s="1"/>
  <c r="L283" i="5"/>
  <c r="K283" i="5" a="1"/>
  <c r="K283" i="5" s="1"/>
  <c r="F283" i="5"/>
  <c r="N282" i="5" a="1"/>
  <c r="N282" i="5" s="1"/>
  <c r="O282" i="5" s="1"/>
  <c r="M282" i="5" a="1"/>
  <c r="M282" i="5" s="1"/>
  <c r="L282" i="5"/>
  <c r="K282" i="5" a="1"/>
  <c r="K282" i="5" s="1"/>
  <c r="F282" i="5"/>
  <c r="N281" i="5" a="1"/>
  <c r="N281" i="5" s="1"/>
  <c r="O281" i="5" s="1"/>
  <c r="M281" i="5" a="1"/>
  <c r="M281" i="5" s="1"/>
  <c r="L281" i="5"/>
  <c r="K281" i="5" a="1"/>
  <c r="K281" i="5" s="1"/>
  <c r="F281" i="5"/>
  <c r="N280" i="5" a="1"/>
  <c r="N280" i="5" s="1"/>
  <c r="O280" i="5" s="1"/>
  <c r="M280" i="5" a="1"/>
  <c r="M280" i="5" s="1"/>
  <c r="L280" i="5"/>
  <c r="K280" i="5" a="1"/>
  <c r="K280" i="5" s="1"/>
  <c r="F280" i="5"/>
  <c r="N279" i="5" a="1"/>
  <c r="N279" i="5" s="1"/>
  <c r="O279" i="5" s="1"/>
  <c r="M279" i="5" a="1"/>
  <c r="M279" i="5" s="1"/>
  <c r="L279" i="5"/>
  <c r="K279" i="5" a="1"/>
  <c r="K279" i="5" s="1"/>
  <c r="F279" i="5"/>
  <c r="N278" i="5" a="1"/>
  <c r="N278" i="5" s="1"/>
  <c r="O278" i="5" s="1"/>
  <c r="M278" i="5" a="1"/>
  <c r="M278" i="5" s="1"/>
  <c r="L278" i="5"/>
  <c r="K278" i="5" a="1"/>
  <c r="K278" i="5" s="1"/>
  <c r="F278" i="5"/>
  <c r="N277" i="5" a="1"/>
  <c r="N277" i="5" s="1"/>
  <c r="O277" i="5" s="1"/>
  <c r="M277" i="5" a="1"/>
  <c r="M277" i="5" s="1"/>
  <c r="L277" i="5"/>
  <c r="K277" i="5" a="1"/>
  <c r="K277" i="5" s="1"/>
  <c r="F277" i="5"/>
  <c r="N276" i="5" a="1"/>
  <c r="N276" i="5" s="1"/>
  <c r="O276" i="5" s="1"/>
  <c r="M276" i="5" a="1"/>
  <c r="M276" i="5" s="1"/>
  <c r="L276" i="5"/>
  <c r="K276" i="5" a="1"/>
  <c r="K276" i="5" s="1"/>
  <c r="F276" i="5"/>
  <c r="N275" i="5" a="1"/>
  <c r="N275" i="5" s="1"/>
  <c r="O275" i="5" s="1"/>
  <c r="M275" i="5" a="1"/>
  <c r="M275" i="5" s="1"/>
  <c r="L275" i="5"/>
  <c r="K275" i="5" a="1"/>
  <c r="K275" i="5" s="1"/>
  <c r="F275" i="5"/>
  <c r="N274" i="5" a="1"/>
  <c r="N274" i="5" s="1"/>
  <c r="O274" i="5" s="1"/>
  <c r="M274" i="5" a="1"/>
  <c r="M274" i="5" s="1"/>
  <c r="L274" i="5"/>
  <c r="K274" i="5" a="1"/>
  <c r="K274" i="5" s="1"/>
  <c r="F274" i="5"/>
  <c r="N273" i="5" a="1"/>
  <c r="N273" i="5" s="1"/>
  <c r="O273" i="5" s="1"/>
  <c r="M273" i="5" a="1"/>
  <c r="M273" i="5" s="1"/>
  <c r="L273" i="5"/>
  <c r="K273" i="5" a="1"/>
  <c r="K273" i="5" s="1"/>
  <c r="F273" i="5"/>
  <c r="N272" i="5" a="1"/>
  <c r="N272" i="5" s="1"/>
  <c r="O272" i="5" s="1"/>
  <c r="M272" i="5" a="1"/>
  <c r="M272" i="5" s="1"/>
  <c r="L272" i="5"/>
  <c r="K272" i="5" a="1"/>
  <c r="K272" i="5" s="1"/>
  <c r="F272" i="5"/>
  <c r="N271" i="5" a="1"/>
  <c r="N271" i="5" s="1"/>
  <c r="O271" i="5" s="1"/>
  <c r="M271" i="5" a="1"/>
  <c r="M271" i="5" s="1"/>
  <c r="L271" i="5"/>
  <c r="K271" i="5" a="1"/>
  <c r="K271" i="5" s="1"/>
  <c r="F271" i="5"/>
  <c r="N270" i="5" a="1"/>
  <c r="N270" i="5" s="1"/>
  <c r="O270" i="5" s="1"/>
  <c r="M270" i="5" a="1"/>
  <c r="M270" i="5" s="1"/>
  <c r="L270" i="5"/>
  <c r="K270" i="5" a="1"/>
  <c r="K270" i="5" s="1"/>
  <c r="F270" i="5"/>
  <c r="N269" i="5" a="1"/>
  <c r="N269" i="5" s="1"/>
  <c r="O269" i="5" s="1"/>
  <c r="M269" i="5" a="1"/>
  <c r="M269" i="5" s="1"/>
  <c r="L269" i="5"/>
  <c r="K269" i="5" a="1"/>
  <c r="K269" i="5" s="1"/>
  <c r="F269" i="5"/>
  <c r="N268" i="5" a="1"/>
  <c r="N268" i="5" s="1"/>
  <c r="O268" i="5" s="1"/>
  <c r="M268" i="5" a="1"/>
  <c r="M268" i="5" s="1"/>
  <c r="L268" i="5"/>
  <c r="K268" i="5" a="1"/>
  <c r="K268" i="5" s="1"/>
  <c r="F268" i="5"/>
  <c r="N267" i="5" a="1"/>
  <c r="N267" i="5" s="1"/>
  <c r="O267" i="5" s="1"/>
  <c r="M267" i="5" a="1"/>
  <c r="M267" i="5" s="1"/>
  <c r="L267" i="5"/>
  <c r="K267" i="5" a="1"/>
  <c r="K267" i="5" s="1"/>
  <c r="F267" i="5"/>
  <c r="N266" i="5" a="1"/>
  <c r="N266" i="5" s="1"/>
  <c r="O266" i="5" s="1"/>
  <c r="M266" i="5" a="1"/>
  <c r="M266" i="5" s="1"/>
  <c r="L266" i="5"/>
  <c r="K266" i="5" a="1"/>
  <c r="K266" i="5" s="1"/>
  <c r="F266" i="5"/>
  <c r="N265" i="5" a="1"/>
  <c r="N265" i="5" s="1"/>
  <c r="O265" i="5" s="1"/>
  <c r="M265" i="5" a="1"/>
  <c r="M265" i="5" s="1"/>
  <c r="L265" i="5"/>
  <c r="K265" i="5" a="1"/>
  <c r="K265" i="5" s="1"/>
  <c r="F265" i="5"/>
  <c r="N264" i="5" a="1"/>
  <c r="N264" i="5" s="1"/>
  <c r="O264" i="5" s="1"/>
  <c r="M264" i="5" a="1"/>
  <c r="M264" i="5" s="1"/>
  <c r="L264" i="5"/>
  <c r="K264" i="5" a="1"/>
  <c r="K264" i="5" s="1"/>
  <c r="F264" i="5"/>
  <c r="N263" i="5" a="1"/>
  <c r="N263" i="5" s="1"/>
  <c r="O263" i="5" s="1"/>
  <c r="M263" i="5" a="1"/>
  <c r="M263" i="5" s="1"/>
  <c r="L263" i="5"/>
  <c r="K263" i="5" a="1"/>
  <c r="K263" i="5" s="1"/>
  <c r="F263" i="5"/>
  <c r="N262" i="5" a="1"/>
  <c r="N262" i="5" s="1"/>
  <c r="O262" i="5" s="1"/>
  <c r="M262" i="5" a="1"/>
  <c r="M262" i="5" s="1"/>
  <c r="L262" i="5"/>
  <c r="K262" i="5" a="1"/>
  <c r="K262" i="5" s="1"/>
  <c r="F262" i="5"/>
  <c r="N261" i="5" a="1"/>
  <c r="N261" i="5" s="1"/>
  <c r="O261" i="5" s="1"/>
  <c r="M261" i="5" a="1"/>
  <c r="M261" i="5" s="1"/>
  <c r="L261" i="5"/>
  <c r="K261" i="5" a="1"/>
  <c r="K261" i="5" s="1"/>
  <c r="F261" i="5"/>
  <c r="N260" i="5" a="1"/>
  <c r="N260" i="5" s="1"/>
  <c r="O260" i="5" s="1"/>
  <c r="M260" i="5" a="1"/>
  <c r="M260" i="5" s="1"/>
  <c r="L260" i="5"/>
  <c r="K260" i="5" a="1"/>
  <c r="K260" i="5" s="1"/>
  <c r="F260" i="5"/>
  <c r="N259" i="5" a="1"/>
  <c r="N259" i="5" s="1"/>
  <c r="O259" i="5" s="1"/>
  <c r="M259" i="5" a="1"/>
  <c r="M259" i="5" s="1"/>
  <c r="L259" i="5"/>
  <c r="K259" i="5" a="1"/>
  <c r="K259" i="5" s="1"/>
  <c r="F259" i="5"/>
  <c r="N258" i="5" a="1"/>
  <c r="N258" i="5" s="1"/>
  <c r="O258" i="5" s="1"/>
  <c r="M258" i="5" a="1"/>
  <c r="M258" i="5" s="1"/>
  <c r="L258" i="5"/>
  <c r="K258" i="5" a="1"/>
  <c r="K258" i="5" s="1"/>
  <c r="F258" i="5"/>
  <c r="N257" i="5" a="1"/>
  <c r="N257" i="5" s="1"/>
  <c r="O257" i="5" s="1"/>
  <c r="M257" i="5" a="1"/>
  <c r="M257" i="5" s="1"/>
  <c r="L257" i="5"/>
  <c r="K257" i="5" a="1"/>
  <c r="K257" i="5" s="1"/>
  <c r="F257" i="5"/>
  <c r="N256" i="5" a="1"/>
  <c r="N256" i="5" s="1"/>
  <c r="O256" i="5" s="1"/>
  <c r="M256" i="5" a="1"/>
  <c r="M256" i="5" s="1"/>
  <c r="L256" i="5"/>
  <c r="K256" i="5" a="1"/>
  <c r="K256" i="5" s="1"/>
  <c r="F256" i="5"/>
  <c r="N255" i="5" a="1"/>
  <c r="N255" i="5" s="1"/>
  <c r="O255" i="5" s="1"/>
  <c r="M255" i="5" a="1"/>
  <c r="M255" i="5" s="1"/>
  <c r="L255" i="5"/>
  <c r="K255" i="5" a="1"/>
  <c r="K255" i="5" s="1"/>
  <c r="F255" i="5"/>
  <c r="N254" i="5" a="1"/>
  <c r="N254" i="5" s="1"/>
  <c r="O254" i="5" s="1"/>
  <c r="M254" i="5" a="1"/>
  <c r="M254" i="5" s="1"/>
  <c r="L254" i="5"/>
  <c r="K254" i="5" a="1"/>
  <c r="K254" i="5" s="1"/>
  <c r="F254" i="5"/>
  <c r="N253" i="5" a="1"/>
  <c r="N253" i="5" s="1"/>
  <c r="O253" i="5" s="1"/>
  <c r="M253" i="5" a="1"/>
  <c r="M253" i="5" s="1"/>
  <c r="L253" i="5"/>
  <c r="K253" i="5" a="1"/>
  <c r="K253" i="5" s="1"/>
  <c r="F253" i="5"/>
  <c r="N252" i="5" a="1"/>
  <c r="N252" i="5" s="1"/>
  <c r="O252" i="5" s="1"/>
  <c r="M252" i="5" a="1"/>
  <c r="M252" i="5" s="1"/>
  <c r="L252" i="5"/>
  <c r="K252" i="5" a="1"/>
  <c r="K252" i="5" s="1"/>
  <c r="F252" i="5"/>
  <c r="N251" i="5" a="1"/>
  <c r="N251" i="5" s="1"/>
  <c r="O251" i="5" s="1"/>
  <c r="M251" i="5" a="1"/>
  <c r="M251" i="5" s="1"/>
  <c r="L251" i="5"/>
  <c r="K251" i="5" a="1"/>
  <c r="K251" i="5" s="1"/>
  <c r="F251" i="5"/>
  <c r="N250" i="5" a="1"/>
  <c r="N250" i="5" s="1"/>
  <c r="O250" i="5" s="1"/>
  <c r="M250" i="5" a="1"/>
  <c r="M250" i="5" s="1"/>
  <c r="L250" i="5"/>
  <c r="K250" i="5" a="1"/>
  <c r="K250" i="5" s="1"/>
  <c r="F250" i="5"/>
  <c r="N249" i="5" a="1"/>
  <c r="N249" i="5" s="1"/>
  <c r="O249" i="5" s="1"/>
  <c r="M249" i="5" a="1"/>
  <c r="M249" i="5" s="1"/>
  <c r="L249" i="5"/>
  <c r="K249" i="5" a="1"/>
  <c r="K249" i="5" s="1"/>
  <c r="F249" i="5"/>
  <c r="N248" i="5" a="1"/>
  <c r="N248" i="5" s="1"/>
  <c r="O248" i="5" s="1"/>
  <c r="M248" i="5" a="1"/>
  <c r="M248" i="5" s="1"/>
  <c r="L248" i="5"/>
  <c r="K248" i="5" a="1"/>
  <c r="K248" i="5" s="1"/>
  <c r="F248" i="5"/>
  <c r="N247" i="5" a="1"/>
  <c r="N247" i="5" s="1"/>
  <c r="O247" i="5" s="1"/>
  <c r="M247" i="5" a="1"/>
  <c r="M247" i="5" s="1"/>
  <c r="L247" i="5"/>
  <c r="K247" i="5" a="1"/>
  <c r="K247" i="5" s="1"/>
  <c r="F247" i="5"/>
  <c r="N246" i="5" a="1"/>
  <c r="N246" i="5" s="1"/>
  <c r="O246" i="5" s="1"/>
  <c r="M246" i="5" a="1"/>
  <c r="M246" i="5" s="1"/>
  <c r="L246" i="5"/>
  <c r="K246" i="5" a="1"/>
  <c r="K246" i="5" s="1"/>
  <c r="F246" i="5"/>
  <c r="N245" i="5" a="1"/>
  <c r="N245" i="5" s="1"/>
  <c r="O245" i="5" s="1"/>
  <c r="M245" i="5" a="1"/>
  <c r="M245" i="5" s="1"/>
  <c r="L245" i="5"/>
  <c r="K245" i="5" a="1"/>
  <c r="K245" i="5" s="1"/>
  <c r="F245" i="5"/>
  <c r="N244" i="5" a="1"/>
  <c r="N244" i="5" s="1"/>
  <c r="O244" i="5" s="1"/>
  <c r="M244" i="5" a="1"/>
  <c r="M244" i="5" s="1"/>
  <c r="L244" i="5"/>
  <c r="K244" i="5" a="1"/>
  <c r="K244" i="5" s="1"/>
  <c r="F244" i="5"/>
  <c r="N243" i="5" a="1"/>
  <c r="N243" i="5" s="1"/>
  <c r="O243" i="5" s="1"/>
  <c r="M243" i="5" a="1"/>
  <c r="M243" i="5" s="1"/>
  <c r="L243" i="5"/>
  <c r="K243" i="5" a="1"/>
  <c r="K243" i="5" s="1"/>
  <c r="F243" i="5"/>
  <c r="N242" i="5" a="1"/>
  <c r="N242" i="5" s="1"/>
  <c r="O242" i="5" s="1"/>
  <c r="M242" i="5" a="1"/>
  <c r="M242" i="5" s="1"/>
  <c r="L242" i="5"/>
  <c r="K242" i="5" a="1"/>
  <c r="K242" i="5" s="1"/>
  <c r="F242" i="5"/>
  <c r="N241" i="5" a="1"/>
  <c r="N241" i="5" s="1"/>
  <c r="O241" i="5" s="1"/>
  <c r="M241" i="5" a="1"/>
  <c r="M241" i="5" s="1"/>
  <c r="L241" i="5"/>
  <c r="K241" i="5" a="1"/>
  <c r="K241" i="5" s="1"/>
  <c r="F241" i="5"/>
  <c r="N240" i="5" a="1"/>
  <c r="N240" i="5" s="1"/>
  <c r="O240" i="5" s="1"/>
  <c r="M240" i="5" a="1"/>
  <c r="M240" i="5" s="1"/>
  <c r="L240" i="5"/>
  <c r="K240" i="5" a="1"/>
  <c r="K240" i="5" s="1"/>
  <c r="F240" i="5"/>
  <c r="N239" i="5" a="1"/>
  <c r="N239" i="5" s="1"/>
  <c r="O239" i="5" s="1"/>
  <c r="M239" i="5" a="1"/>
  <c r="M239" i="5" s="1"/>
  <c r="L239" i="5"/>
  <c r="K239" i="5" a="1"/>
  <c r="K239" i="5" s="1"/>
  <c r="F239" i="5"/>
  <c r="N238" i="5" a="1"/>
  <c r="N238" i="5" s="1"/>
  <c r="O238" i="5" s="1"/>
  <c r="M238" i="5" a="1"/>
  <c r="M238" i="5" s="1"/>
  <c r="L238" i="5"/>
  <c r="K238" i="5" a="1"/>
  <c r="K238" i="5" s="1"/>
  <c r="F238" i="5"/>
  <c r="N237" i="5" a="1"/>
  <c r="N237" i="5" s="1"/>
  <c r="O237" i="5" s="1"/>
  <c r="M237" i="5" a="1"/>
  <c r="M237" i="5" s="1"/>
  <c r="L237" i="5"/>
  <c r="K237" i="5" a="1"/>
  <c r="K237" i="5" s="1"/>
  <c r="F237" i="5"/>
  <c r="N236" i="5" a="1"/>
  <c r="N236" i="5" s="1"/>
  <c r="O236" i="5" s="1"/>
  <c r="M236" i="5" a="1"/>
  <c r="M236" i="5" s="1"/>
  <c r="L236" i="5"/>
  <c r="K236" i="5" a="1"/>
  <c r="K236" i="5" s="1"/>
  <c r="F236" i="5"/>
  <c r="N235" i="5" a="1"/>
  <c r="N235" i="5" s="1"/>
  <c r="O235" i="5" s="1"/>
  <c r="M235" i="5" a="1"/>
  <c r="M235" i="5" s="1"/>
  <c r="L235" i="5"/>
  <c r="K235" i="5" a="1"/>
  <c r="K235" i="5" s="1"/>
  <c r="F235" i="5"/>
  <c r="N234" i="5" a="1"/>
  <c r="N234" i="5" s="1"/>
  <c r="O234" i="5" s="1"/>
  <c r="M234" i="5" a="1"/>
  <c r="M234" i="5" s="1"/>
  <c r="L234" i="5"/>
  <c r="K234" i="5" a="1"/>
  <c r="K234" i="5" s="1"/>
  <c r="F234" i="5"/>
  <c r="N233" i="5" a="1"/>
  <c r="N233" i="5" s="1"/>
  <c r="O233" i="5" s="1"/>
  <c r="M233" i="5" a="1"/>
  <c r="M233" i="5" s="1"/>
  <c r="L233" i="5"/>
  <c r="K233" i="5" a="1"/>
  <c r="K233" i="5" s="1"/>
  <c r="F233" i="5"/>
  <c r="N232" i="5" a="1"/>
  <c r="N232" i="5" s="1"/>
  <c r="O232" i="5" s="1"/>
  <c r="M232" i="5" a="1"/>
  <c r="M232" i="5" s="1"/>
  <c r="L232" i="5"/>
  <c r="K232" i="5" a="1"/>
  <c r="K232" i="5" s="1"/>
  <c r="F232" i="5"/>
  <c r="N231" i="5" a="1"/>
  <c r="N231" i="5" s="1"/>
  <c r="O231" i="5" s="1"/>
  <c r="M231" i="5" a="1"/>
  <c r="M231" i="5" s="1"/>
  <c r="L231" i="5"/>
  <c r="K231" i="5" a="1"/>
  <c r="K231" i="5" s="1"/>
  <c r="F231" i="5"/>
  <c r="N230" i="5" a="1"/>
  <c r="N230" i="5" s="1"/>
  <c r="O230" i="5" s="1"/>
  <c r="M230" i="5" a="1"/>
  <c r="M230" i="5" s="1"/>
  <c r="L230" i="5"/>
  <c r="K230" i="5" a="1"/>
  <c r="K230" i="5" s="1"/>
  <c r="F230" i="5"/>
  <c r="N229" i="5" a="1"/>
  <c r="N229" i="5" s="1"/>
  <c r="O229" i="5" s="1"/>
  <c r="M229" i="5" a="1"/>
  <c r="M229" i="5" s="1"/>
  <c r="L229" i="5"/>
  <c r="K229" i="5" a="1"/>
  <c r="K229" i="5" s="1"/>
  <c r="F229" i="5"/>
  <c r="N228" i="5" a="1"/>
  <c r="N228" i="5" s="1"/>
  <c r="O228" i="5" s="1"/>
  <c r="M228" i="5" a="1"/>
  <c r="M228" i="5" s="1"/>
  <c r="L228" i="5"/>
  <c r="K228" i="5" a="1"/>
  <c r="K228" i="5" s="1"/>
  <c r="F228" i="5"/>
  <c r="N227" i="5" a="1"/>
  <c r="N227" i="5" s="1"/>
  <c r="O227" i="5" s="1"/>
  <c r="M227" i="5" a="1"/>
  <c r="M227" i="5" s="1"/>
  <c r="L227" i="5"/>
  <c r="K227" i="5" a="1"/>
  <c r="K227" i="5" s="1"/>
  <c r="F227" i="5"/>
  <c r="N226" i="5" a="1"/>
  <c r="N226" i="5" s="1"/>
  <c r="O226" i="5" s="1"/>
  <c r="M226" i="5" a="1"/>
  <c r="M226" i="5" s="1"/>
  <c r="L226" i="5"/>
  <c r="K226" i="5" a="1"/>
  <c r="K226" i="5" s="1"/>
  <c r="F226" i="5"/>
  <c r="N225" i="5" a="1"/>
  <c r="N225" i="5" s="1"/>
  <c r="O225" i="5" s="1"/>
  <c r="M225" i="5" a="1"/>
  <c r="M225" i="5" s="1"/>
  <c r="L225" i="5"/>
  <c r="K225" i="5" a="1"/>
  <c r="K225" i="5" s="1"/>
  <c r="F225" i="5"/>
  <c r="N224" i="5" a="1"/>
  <c r="N224" i="5" s="1"/>
  <c r="O224" i="5" s="1"/>
  <c r="M224" i="5" a="1"/>
  <c r="M224" i="5" s="1"/>
  <c r="L224" i="5"/>
  <c r="K224" i="5" a="1"/>
  <c r="K224" i="5" s="1"/>
  <c r="F224" i="5"/>
  <c r="N223" i="5" a="1"/>
  <c r="N223" i="5" s="1"/>
  <c r="O223" i="5" s="1"/>
  <c r="M223" i="5" a="1"/>
  <c r="M223" i="5" s="1"/>
  <c r="L223" i="5"/>
  <c r="K223" i="5" a="1"/>
  <c r="K223" i="5" s="1"/>
  <c r="F223" i="5"/>
  <c r="N222" i="5" a="1"/>
  <c r="N222" i="5" s="1"/>
  <c r="O222" i="5" s="1"/>
  <c r="M222" i="5" a="1"/>
  <c r="M222" i="5" s="1"/>
  <c r="L222" i="5"/>
  <c r="K222" i="5" a="1"/>
  <c r="K222" i="5" s="1"/>
  <c r="F222" i="5"/>
  <c r="N221" i="5" a="1"/>
  <c r="N221" i="5" s="1"/>
  <c r="O221" i="5" s="1"/>
  <c r="M221" i="5" a="1"/>
  <c r="M221" i="5" s="1"/>
  <c r="L221" i="5"/>
  <c r="K221" i="5" a="1"/>
  <c r="K221" i="5" s="1"/>
  <c r="F221" i="5"/>
  <c r="N220" i="5" a="1"/>
  <c r="N220" i="5" s="1"/>
  <c r="O220" i="5" s="1"/>
  <c r="M220" i="5" a="1"/>
  <c r="M220" i="5" s="1"/>
  <c r="L220" i="5"/>
  <c r="K220" i="5" a="1"/>
  <c r="K220" i="5" s="1"/>
  <c r="F220" i="5"/>
  <c r="N219" i="5" a="1"/>
  <c r="N219" i="5" s="1"/>
  <c r="O219" i="5" s="1"/>
  <c r="M219" i="5" a="1"/>
  <c r="M219" i="5" s="1"/>
  <c r="L219" i="5"/>
  <c r="K219" i="5" a="1"/>
  <c r="K219" i="5" s="1"/>
  <c r="F219" i="5"/>
  <c r="N218" i="5" a="1"/>
  <c r="N218" i="5" s="1"/>
  <c r="O218" i="5" s="1"/>
  <c r="M218" i="5" a="1"/>
  <c r="M218" i="5" s="1"/>
  <c r="L218" i="5"/>
  <c r="K218" i="5" a="1"/>
  <c r="K218" i="5" s="1"/>
  <c r="F218" i="5"/>
  <c r="N217" i="5" a="1"/>
  <c r="N217" i="5" s="1"/>
  <c r="O217" i="5" s="1"/>
  <c r="M217" i="5" a="1"/>
  <c r="M217" i="5" s="1"/>
  <c r="L217" i="5"/>
  <c r="K217" i="5" a="1"/>
  <c r="K217" i="5" s="1"/>
  <c r="F217" i="5"/>
  <c r="N216" i="5" a="1"/>
  <c r="N216" i="5" s="1"/>
  <c r="O216" i="5" s="1"/>
  <c r="M216" i="5" a="1"/>
  <c r="M216" i="5" s="1"/>
  <c r="L216" i="5"/>
  <c r="K216" i="5" a="1"/>
  <c r="K216" i="5" s="1"/>
  <c r="F216" i="5"/>
  <c r="N215" i="5" a="1"/>
  <c r="N215" i="5" s="1"/>
  <c r="O215" i="5" s="1"/>
  <c r="M215" i="5" a="1"/>
  <c r="M215" i="5" s="1"/>
  <c r="L215" i="5"/>
  <c r="K215" i="5" a="1"/>
  <c r="K215" i="5" s="1"/>
  <c r="F215" i="5"/>
  <c r="N214" i="5" a="1"/>
  <c r="N214" i="5" s="1"/>
  <c r="O214" i="5" s="1"/>
  <c r="M214" i="5" a="1"/>
  <c r="M214" i="5" s="1"/>
  <c r="L214" i="5"/>
  <c r="K214" i="5" a="1"/>
  <c r="K214" i="5" s="1"/>
  <c r="F214" i="5"/>
  <c r="N213" i="5" a="1"/>
  <c r="N213" i="5" s="1"/>
  <c r="O213" i="5" s="1"/>
  <c r="M213" i="5" a="1"/>
  <c r="M213" i="5" s="1"/>
  <c r="L213" i="5"/>
  <c r="K213" i="5" a="1"/>
  <c r="K213" i="5" s="1"/>
  <c r="F213" i="5"/>
  <c r="N212" i="5" a="1"/>
  <c r="N212" i="5" s="1"/>
  <c r="O212" i="5" s="1"/>
  <c r="M212" i="5" a="1"/>
  <c r="M212" i="5" s="1"/>
  <c r="L212" i="5"/>
  <c r="K212" i="5" a="1"/>
  <c r="K212" i="5" s="1"/>
  <c r="F212" i="5"/>
  <c r="N211" i="5" a="1"/>
  <c r="N211" i="5" s="1"/>
  <c r="O211" i="5" s="1"/>
  <c r="M211" i="5" a="1"/>
  <c r="M211" i="5" s="1"/>
  <c r="L211" i="5"/>
  <c r="K211" i="5" a="1"/>
  <c r="K211" i="5" s="1"/>
  <c r="F211" i="5"/>
  <c r="N210" i="5" a="1"/>
  <c r="N210" i="5" s="1"/>
  <c r="O210" i="5" s="1"/>
  <c r="M210" i="5" a="1"/>
  <c r="M210" i="5" s="1"/>
  <c r="L210" i="5"/>
  <c r="K210" i="5" a="1"/>
  <c r="K210" i="5" s="1"/>
  <c r="F210" i="5"/>
  <c r="N209" i="5" a="1"/>
  <c r="N209" i="5" s="1"/>
  <c r="O209" i="5" s="1"/>
  <c r="M209" i="5" a="1"/>
  <c r="M209" i="5" s="1"/>
  <c r="L209" i="5"/>
  <c r="K209" i="5" a="1"/>
  <c r="K209" i="5" s="1"/>
  <c r="F209" i="5"/>
  <c r="N208" i="5" a="1"/>
  <c r="N208" i="5" s="1"/>
  <c r="O208" i="5" s="1"/>
  <c r="M208" i="5" a="1"/>
  <c r="M208" i="5" s="1"/>
  <c r="L208" i="5"/>
  <c r="K208" i="5" a="1"/>
  <c r="K208" i="5" s="1"/>
  <c r="F208" i="5"/>
  <c r="N207" i="5" a="1"/>
  <c r="N207" i="5" s="1"/>
  <c r="O207" i="5" s="1"/>
  <c r="M207" i="5" a="1"/>
  <c r="M207" i="5" s="1"/>
  <c r="L207" i="5"/>
  <c r="K207" i="5" a="1"/>
  <c r="K207" i="5" s="1"/>
  <c r="F207" i="5"/>
  <c r="N206" i="5" a="1"/>
  <c r="N206" i="5" s="1"/>
  <c r="O206" i="5" s="1"/>
  <c r="M206" i="5" a="1"/>
  <c r="M206" i="5" s="1"/>
  <c r="L206" i="5"/>
  <c r="K206" i="5" a="1"/>
  <c r="K206" i="5" s="1"/>
  <c r="F206" i="5"/>
  <c r="N205" i="5" a="1"/>
  <c r="N205" i="5" s="1"/>
  <c r="O205" i="5" s="1"/>
  <c r="M205" i="5" a="1"/>
  <c r="M205" i="5" s="1"/>
  <c r="L205" i="5"/>
  <c r="K205" i="5" a="1"/>
  <c r="K205" i="5" s="1"/>
  <c r="F205" i="5"/>
  <c r="N204" i="5" a="1"/>
  <c r="N204" i="5" s="1"/>
  <c r="O204" i="5" s="1"/>
  <c r="M204" i="5" a="1"/>
  <c r="M204" i="5" s="1"/>
  <c r="L204" i="5"/>
  <c r="K204" i="5" a="1"/>
  <c r="K204" i="5" s="1"/>
  <c r="F204" i="5"/>
  <c r="N203" i="5" a="1"/>
  <c r="N203" i="5" s="1"/>
  <c r="O203" i="5" s="1"/>
  <c r="M203" i="5" a="1"/>
  <c r="M203" i="5" s="1"/>
  <c r="L203" i="5"/>
  <c r="K203" i="5" a="1"/>
  <c r="K203" i="5" s="1"/>
  <c r="F203" i="5"/>
  <c r="N202" i="5" a="1"/>
  <c r="N202" i="5" s="1"/>
  <c r="O202" i="5" s="1"/>
  <c r="M202" i="5" a="1"/>
  <c r="M202" i="5" s="1"/>
  <c r="L202" i="5"/>
  <c r="K202" i="5" a="1"/>
  <c r="K202" i="5" s="1"/>
  <c r="F202" i="5"/>
  <c r="N201" i="5" a="1"/>
  <c r="N201" i="5" s="1"/>
  <c r="O201" i="5" s="1"/>
  <c r="M201" i="5" a="1"/>
  <c r="M201" i="5" s="1"/>
  <c r="L201" i="5"/>
  <c r="K201" i="5" a="1"/>
  <c r="K201" i="5" s="1"/>
  <c r="F201" i="5"/>
  <c r="N200" i="5" a="1"/>
  <c r="N200" i="5" s="1"/>
  <c r="O200" i="5" s="1"/>
  <c r="M200" i="5" a="1"/>
  <c r="M200" i="5" s="1"/>
  <c r="L200" i="5"/>
  <c r="K200" i="5" a="1"/>
  <c r="K200" i="5" s="1"/>
  <c r="F200" i="5"/>
  <c r="N199" i="5" a="1"/>
  <c r="N199" i="5" s="1"/>
  <c r="O199" i="5" s="1"/>
  <c r="M199" i="5" a="1"/>
  <c r="M199" i="5" s="1"/>
  <c r="L199" i="5"/>
  <c r="K199" i="5" a="1"/>
  <c r="K199" i="5" s="1"/>
  <c r="F199" i="5"/>
  <c r="N198" i="5" a="1"/>
  <c r="N198" i="5" s="1"/>
  <c r="O198" i="5" s="1"/>
  <c r="M198" i="5" a="1"/>
  <c r="M198" i="5" s="1"/>
  <c r="L198" i="5"/>
  <c r="K198" i="5" a="1"/>
  <c r="K198" i="5" s="1"/>
  <c r="F198" i="5"/>
  <c r="N197" i="5" a="1"/>
  <c r="N197" i="5" s="1"/>
  <c r="O197" i="5" s="1"/>
  <c r="M197" i="5" a="1"/>
  <c r="M197" i="5" s="1"/>
  <c r="L197" i="5"/>
  <c r="K197" i="5" a="1"/>
  <c r="K197" i="5" s="1"/>
  <c r="F197" i="5"/>
  <c r="N196" i="5" a="1"/>
  <c r="N196" i="5" s="1"/>
  <c r="O196" i="5" s="1"/>
  <c r="M196" i="5" a="1"/>
  <c r="M196" i="5" s="1"/>
  <c r="L196" i="5"/>
  <c r="K196" i="5" a="1"/>
  <c r="K196" i="5" s="1"/>
  <c r="F196" i="5"/>
  <c r="N195" i="5" a="1"/>
  <c r="N195" i="5" s="1"/>
  <c r="O195" i="5" s="1"/>
  <c r="M195" i="5" a="1"/>
  <c r="M195" i="5" s="1"/>
  <c r="L195" i="5"/>
  <c r="K195" i="5" a="1"/>
  <c r="K195" i="5" s="1"/>
  <c r="F195" i="5"/>
  <c r="N194" i="5" a="1"/>
  <c r="N194" i="5" s="1"/>
  <c r="O194" i="5" s="1"/>
  <c r="M194" i="5" a="1"/>
  <c r="M194" i="5" s="1"/>
  <c r="L194" i="5"/>
  <c r="K194" i="5" a="1"/>
  <c r="K194" i="5" s="1"/>
  <c r="F194" i="5"/>
  <c r="N193" i="5" a="1"/>
  <c r="N193" i="5" s="1"/>
  <c r="O193" i="5" s="1"/>
  <c r="M193" i="5" a="1"/>
  <c r="M193" i="5" s="1"/>
  <c r="L193" i="5"/>
  <c r="K193" i="5" a="1"/>
  <c r="K193" i="5" s="1"/>
  <c r="F193" i="5"/>
  <c r="N192" i="5" a="1"/>
  <c r="N192" i="5" s="1"/>
  <c r="O192" i="5" s="1"/>
  <c r="M192" i="5" a="1"/>
  <c r="M192" i="5" s="1"/>
  <c r="L192" i="5"/>
  <c r="K192" i="5" a="1"/>
  <c r="K192" i="5" s="1"/>
  <c r="F192" i="5"/>
  <c r="N191" i="5" a="1"/>
  <c r="N191" i="5" s="1"/>
  <c r="O191" i="5" s="1"/>
  <c r="M191" i="5" a="1"/>
  <c r="M191" i="5" s="1"/>
  <c r="L191" i="5"/>
  <c r="K191" i="5" a="1"/>
  <c r="K191" i="5" s="1"/>
  <c r="F191" i="5"/>
  <c r="N190" i="5" a="1"/>
  <c r="N190" i="5" s="1"/>
  <c r="O190" i="5" s="1"/>
  <c r="M190" i="5" a="1"/>
  <c r="M190" i="5" s="1"/>
  <c r="L190" i="5"/>
  <c r="K190" i="5" a="1"/>
  <c r="K190" i="5" s="1"/>
  <c r="F190" i="5"/>
  <c r="N189" i="5" a="1"/>
  <c r="N189" i="5" s="1"/>
  <c r="O189" i="5" s="1"/>
  <c r="M189" i="5" a="1"/>
  <c r="M189" i="5" s="1"/>
  <c r="L189" i="5"/>
  <c r="K189" i="5" a="1"/>
  <c r="K189" i="5" s="1"/>
  <c r="F189" i="5"/>
  <c r="N188" i="5" a="1"/>
  <c r="N188" i="5" s="1"/>
  <c r="O188" i="5" s="1"/>
  <c r="M188" i="5" a="1"/>
  <c r="M188" i="5" s="1"/>
  <c r="L188" i="5"/>
  <c r="K188" i="5" a="1"/>
  <c r="K188" i="5" s="1"/>
  <c r="F188" i="5"/>
  <c r="N187" i="5" a="1"/>
  <c r="N187" i="5" s="1"/>
  <c r="O187" i="5" s="1"/>
  <c r="M187" i="5" a="1"/>
  <c r="M187" i="5" s="1"/>
  <c r="L187" i="5"/>
  <c r="K187" i="5" a="1"/>
  <c r="K187" i="5" s="1"/>
  <c r="F187" i="5"/>
  <c r="N186" i="5" a="1"/>
  <c r="N186" i="5" s="1"/>
  <c r="O186" i="5" s="1"/>
  <c r="M186" i="5" a="1"/>
  <c r="M186" i="5" s="1"/>
  <c r="L186" i="5"/>
  <c r="K186" i="5" a="1"/>
  <c r="K186" i="5" s="1"/>
  <c r="F186" i="5"/>
  <c r="N185" i="5" a="1"/>
  <c r="N185" i="5" s="1"/>
  <c r="O185" i="5" s="1"/>
  <c r="M185" i="5" a="1"/>
  <c r="M185" i="5" s="1"/>
  <c r="L185" i="5"/>
  <c r="K185" i="5" a="1"/>
  <c r="K185" i="5" s="1"/>
  <c r="F185" i="5"/>
  <c r="N184" i="5" a="1"/>
  <c r="N184" i="5" s="1"/>
  <c r="O184" i="5" s="1"/>
  <c r="M184" i="5" a="1"/>
  <c r="M184" i="5" s="1"/>
  <c r="L184" i="5"/>
  <c r="K184" i="5" a="1"/>
  <c r="K184" i="5" s="1"/>
  <c r="F184" i="5"/>
  <c r="N183" i="5" a="1"/>
  <c r="N183" i="5" s="1"/>
  <c r="O183" i="5" s="1"/>
  <c r="M183" i="5" a="1"/>
  <c r="M183" i="5" s="1"/>
  <c r="L183" i="5"/>
  <c r="K183" i="5" a="1"/>
  <c r="K183" i="5" s="1"/>
  <c r="F183" i="5"/>
  <c r="N182" i="5" a="1"/>
  <c r="N182" i="5" s="1"/>
  <c r="O182" i="5" s="1"/>
  <c r="M182" i="5" a="1"/>
  <c r="M182" i="5" s="1"/>
  <c r="L182" i="5"/>
  <c r="K182" i="5" a="1"/>
  <c r="K182" i="5" s="1"/>
  <c r="F182" i="5"/>
  <c r="N181" i="5" a="1"/>
  <c r="N181" i="5" s="1"/>
  <c r="O181" i="5" s="1"/>
  <c r="M181" i="5" a="1"/>
  <c r="M181" i="5" s="1"/>
  <c r="L181" i="5"/>
  <c r="K181" i="5" a="1"/>
  <c r="K181" i="5" s="1"/>
  <c r="F181" i="5"/>
  <c r="N180" i="5" a="1"/>
  <c r="N180" i="5" s="1"/>
  <c r="O180" i="5" s="1"/>
  <c r="M180" i="5" a="1"/>
  <c r="M180" i="5" s="1"/>
  <c r="L180" i="5"/>
  <c r="K180" i="5" a="1"/>
  <c r="K180" i="5" s="1"/>
  <c r="F180" i="5"/>
  <c r="N179" i="5" a="1"/>
  <c r="N179" i="5" s="1"/>
  <c r="O179" i="5" s="1"/>
  <c r="M179" i="5" a="1"/>
  <c r="M179" i="5" s="1"/>
  <c r="L179" i="5"/>
  <c r="K179" i="5" a="1"/>
  <c r="K179" i="5" s="1"/>
  <c r="F179" i="5"/>
  <c r="N178" i="5" a="1"/>
  <c r="N178" i="5" s="1"/>
  <c r="O178" i="5" s="1"/>
  <c r="M178" i="5" a="1"/>
  <c r="M178" i="5" s="1"/>
  <c r="L178" i="5"/>
  <c r="K178" i="5" a="1"/>
  <c r="K178" i="5" s="1"/>
  <c r="F178" i="5"/>
  <c r="N177" i="5" a="1"/>
  <c r="N177" i="5" s="1"/>
  <c r="O177" i="5" s="1"/>
  <c r="M177" i="5" a="1"/>
  <c r="M177" i="5" s="1"/>
  <c r="L177" i="5"/>
  <c r="K177" i="5" a="1"/>
  <c r="K177" i="5" s="1"/>
  <c r="F177" i="5"/>
  <c r="N176" i="5" a="1"/>
  <c r="N176" i="5" s="1"/>
  <c r="O176" i="5" s="1"/>
  <c r="M176" i="5" a="1"/>
  <c r="M176" i="5" s="1"/>
  <c r="L176" i="5"/>
  <c r="K176" i="5" a="1"/>
  <c r="K176" i="5" s="1"/>
  <c r="F176" i="5"/>
  <c r="N175" i="5" a="1"/>
  <c r="N175" i="5" s="1"/>
  <c r="O175" i="5" s="1"/>
  <c r="M175" i="5" a="1"/>
  <c r="M175" i="5" s="1"/>
  <c r="L175" i="5"/>
  <c r="K175" i="5" a="1"/>
  <c r="K175" i="5" s="1"/>
  <c r="F175" i="5"/>
  <c r="N174" i="5" a="1"/>
  <c r="N174" i="5" s="1"/>
  <c r="O174" i="5" s="1"/>
  <c r="M174" i="5" a="1"/>
  <c r="M174" i="5" s="1"/>
  <c r="L174" i="5"/>
  <c r="K174" i="5" a="1"/>
  <c r="K174" i="5" s="1"/>
  <c r="F174" i="5"/>
  <c r="N173" i="5" a="1"/>
  <c r="N173" i="5" s="1"/>
  <c r="O173" i="5" s="1"/>
  <c r="M173" i="5" a="1"/>
  <c r="M173" i="5" s="1"/>
  <c r="L173" i="5"/>
  <c r="K173" i="5" a="1"/>
  <c r="K173" i="5" s="1"/>
  <c r="F173" i="5"/>
  <c r="N172" i="5" a="1"/>
  <c r="N172" i="5" s="1"/>
  <c r="O172" i="5" s="1"/>
  <c r="M172" i="5" a="1"/>
  <c r="M172" i="5" s="1"/>
  <c r="L172" i="5"/>
  <c r="K172" i="5" a="1"/>
  <c r="K172" i="5" s="1"/>
  <c r="F172" i="5"/>
  <c r="N171" i="5" a="1"/>
  <c r="N171" i="5" s="1"/>
  <c r="O171" i="5" s="1"/>
  <c r="M171" i="5" a="1"/>
  <c r="M171" i="5" s="1"/>
  <c r="L171" i="5"/>
  <c r="K171" i="5" a="1"/>
  <c r="K171" i="5" s="1"/>
  <c r="F171" i="5"/>
  <c r="N170" i="5" a="1"/>
  <c r="N170" i="5" s="1"/>
  <c r="O170" i="5" s="1"/>
  <c r="M170" i="5" a="1"/>
  <c r="M170" i="5" s="1"/>
  <c r="L170" i="5"/>
  <c r="K170" i="5" a="1"/>
  <c r="K170" i="5" s="1"/>
  <c r="F170" i="5"/>
  <c r="N169" i="5" a="1"/>
  <c r="N169" i="5" s="1"/>
  <c r="O169" i="5" s="1"/>
  <c r="M169" i="5" a="1"/>
  <c r="M169" i="5" s="1"/>
  <c r="L169" i="5"/>
  <c r="K169" i="5" a="1"/>
  <c r="K169" i="5" s="1"/>
  <c r="F169" i="5"/>
  <c r="N168" i="5" a="1"/>
  <c r="N168" i="5" s="1"/>
  <c r="O168" i="5" s="1"/>
  <c r="M168" i="5" a="1"/>
  <c r="M168" i="5" s="1"/>
  <c r="L168" i="5"/>
  <c r="K168" i="5" a="1"/>
  <c r="K168" i="5" s="1"/>
  <c r="F168" i="5"/>
  <c r="N167" i="5" a="1"/>
  <c r="N167" i="5" s="1"/>
  <c r="O167" i="5" s="1"/>
  <c r="M167" i="5" a="1"/>
  <c r="M167" i="5" s="1"/>
  <c r="L167" i="5"/>
  <c r="K167" i="5" a="1"/>
  <c r="K167" i="5" s="1"/>
  <c r="F167" i="5"/>
  <c r="N166" i="5" a="1"/>
  <c r="N166" i="5" s="1"/>
  <c r="O166" i="5" s="1"/>
  <c r="M166" i="5" a="1"/>
  <c r="M166" i="5" s="1"/>
  <c r="L166" i="5"/>
  <c r="K166" i="5" a="1"/>
  <c r="K166" i="5" s="1"/>
  <c r="F166" i="5"/>
  <c r="N165" i="5" a="1"/>
  <c r="N165" i="5" s="1"/>
  <c r="O165" i="5" s="1"/>
  <c r="M165" i="5" a="1"/>
  <c r="M165" i="5" s="1"/>
  <c r="L165" i="5"/>
  <c r="K165" i="5" a="1"/>
  <c r="K165" i="5" s="1"/>
  <c r="F165" i="5"/>
  <c r="N164" i="5" a="1"/>
  <c r="N164" i="5" s="1"/>
  <c r="O164" i="5" s="1"/>
  <c r="M164" i="5" a="1"/>
  <c r="M164" i="5" s="1"/>
  <c r="L164" i="5"/>
  <c r="K164" i="5" a="1"/>
  <c r="K164" i="5" s="1"/>
  <c r="F164" i="5"/>
  <c r="N163" i="5" a="1"/>
  <c r="N163" i="5" s="1"/>
  <c r="O163" i="5" s="1"/>
  <c r="M163" i="5" a="1"/>
  <c r="M163" i="5" s="1"/>
  <c r="L163" i="5"/>
  <c r="K163" i="5" a="1"/>
  <c r="K163" i="5" s="1"/>
  <c r="F163" i="5"/>
  <c r="N162" i="5" a="1"/>
  <c r="N162" i="5" s="1"/>
  <c r="O162" i="5" s="1"/>
  <c r="M162" i="5" a="1"/>
  <c r="M162" i="5" s="1"/>
  <c r="L162" i="5"/>
  <c r="K162" i="5" a="1"/>
  <c r="K162" i="5" s="1"/>
  <c r="F162" i="5"/>
  <c r="N161" i="5" a="1"/>
  <c r="N161" i="5" s="1"/>
  <c r="O161" i="5" s="1"/>
  <c r="M161" i="5" a="1"/>
  <c r="M161" i="5" s="1"/>
  <c r="L161" i="5"/>
  <c r="K161" i="5" a="1"/>
  <c r="K161" i="5" s="1"/>
  <c r="F161" i="5"/>
  <c r="N160" i="5" a="1"/>
  <c r="N160" i="5" s="1"/>
  <c r="O160" i="5" s="1"/>
  <c r="M160" i="5" a="1"/>
  <c r="M160" i="5" s="1"/>
  <c r="L160" i="5"/>
  <c r="K160" i="5" a="1"/>
  <c r="K160" i="5" s="1"/>
  <c r="F160" i="5"/>
  <c r="N159" i="5" a="1"/>
  <c r="N159" i="5" s="1"/>
  <c r="O159" i="5" s="1"/>
  <c r="M159" i="5" a="1"/>
  <c r="M159" i="5" s="1"/>
  <c r="L159" i="5"/>
  <c r="K159" i="5" a="1"/>
  <c r="K159" i="5" s="1"/>
  <c r="F159" i="5"/>
  <c r="N158" i="5" a="1"/>
  <c r="N158" i="5" s="1"/>
  <c r="O158" i="5" s="1"/>
  <c r="M158" i="5" a="1"/>
  <c r="M158" i="5" s="1"/>
  <c r="L158" i="5"/>
  <c r="K158" i="5" a="1"/>
  <c r="K158" i="5" s="1"/>
  <c r="F158" i="5"/>
  <c r="N157" i="5" a="1"/>
  <c r="N157" i="5" s="1"/>
  <c r="O157" i="5" s="1"/>
  <c r="M157" i="5" a="1"/>
  <c r="M157" i="5" s="1"/>
  <c r="L157" i="5"/>
  <c r="K157" i="5" a="1"/>
  <c r="K157" i="5" s="1"/>
  <c r="F157" i="5"/>
  <c r="N156" i="5" a="1"/>
  <c r="N156" i="5" s="1"/>
  <c r="O156" i="5" s="1"/>
  <c r="M156" i="5" a="1"/>
  <c r="M156" i="5" s="1"/>
  <c r="L156" i="5"/>
  <c r="K156" i="5" a="1"/>
  <c r="K156" i="5" s="1"/>
  <c r="F156" i="5"/>
  <c r="N155" i="5" a="1"/>
  <c r="N155" i="5" s="1"/>
  <c r="O155" i="5" s="1"/>
  <c r="M155" i="5" a="1"/>
  <c r="M155" i="5" s="1"/>
  <c r="L155" i="5"/>
  <c r="K155" i="5" a="1"/>
  <c r="K155" i="5" s="1"/>
  <c r="F155" i="5"/>
  <c r="N154" i="5" a="1"/>
  <c r="N154" i="5" s="1"/>
  <c r="O154" i="5" s="1"/>
  <c r="M154" i="5" a="1"/>
  <c r="M154" i="5" s="1"/>
  <c r="L154" i="5"/>
  <c r="K154" i="5" a="1"/>
  <c r="K154" i="5" s="1"/>
  <c r="F154" i="5"/>
  <c r="N153" i="5" a="1"/>
  <c r="N153" i="5" s="1"/>
  <c r="O153" i="5" s="1"/>
  <c r="M153" i="5" a="1"/>
  <c r="M153" i="5" s="1"/>
  <c r="L153" i="5"/>
  <c r="K153" i="5" a="1"/>
  <c r="K153" i="5" s="1"/>
  <c r="F153" i="5"/>
  <c r="N152" i="5" a="1"/>
  <c r="N152" i="5" s="1"/>
  <c r="O152" i="5" s="1"/>
  <c r="M152" i="5" a="1"/>
  <c r="M152" i="5" s="1"/>
  <c r="L152" i="5"/>
  <c r="K152" i="5" a="1"/>
  <c r="K152" i="5" s="1"/>
  <c r="F152" i="5"/>
  <c r="N151" i="5" a="1"/>
  <c r="N151" i="5" s="1"/>
  <c r="O151" i="5" s="1"/>
  <c r="M151" i="5" a="1"/>
  <c r="M151" i="5" s="1"/>
  <c r="L151" i="5"/>
  <c r="K151" i="5" a="1"/>
  <c r="K151" i="5" s="1"/>
  <c r="F151" i="5"/>
  <c r="N150" i="5" a="1"/>
  <c r="N150" i="5" s="1"/>
  <c r="O150" i="5" s="1"/>
  <c r="M150" i="5" a="1"/>
  <c r="M150" i="5" s="1"/>
  <c r="L150" i="5"/>
  <c r="K150" i="5" a="1"/>
  <c r="K150" i="5" s="1"/>
  <c r="F150" i="5"/>
  <c r="N149" i="5" a="1"/>
  <c r="N149" i="5" s="1"/>
  <c r="O149" i="5" s="1"/>
  <c r="M149" i="5" a="1"/>
  <c r="M149" i="5" s="1"/>
  <c r="L149" i="5"/>
  <c r="K149" i="5" a="1"/>
  <c r="K149" i="5" s="1"/>
  <c r="F149" i="5"/>
  <c r="N148" i="5" a="1"/>
  <c r="N148" i="5" s="1"/>
  <c r="O148" i="5" s="1"/>
  <c r="M148" i="5" a="1"/>
  <c r="M148" i="5" s="1"/>
  <c r="L148" i="5"/>
  <c r="K148" i="5" a="1"/>
  <c r="K148" i="5" s="1"/>
  <c r="F148" i="5"/>
  <c r="N147" i="5" a="1"/>
  <c r="N147" i="5" s="1"/>
  <c r="O147" i="5" s="1"/>
  <c r="M147" i="5" a="1"/>
  <c r="M147" i="5" s="1"/>
  <c r="L147" i="5"/>
  <c r="K147" i="5" a="1"/>
  <c r="K147" i="5" s="1"/>
  <c r="F147" i="5"/>
  <c r="N146" i="5" a="1"/>
  <c r="N146" i="5" s="1"/>
  <c r="O146" i="5" s="1"/>
  <c r="M146" i="5" a="1"/>
  <c r="M146" i="5" s="1"/>
  <c r="L146" i="5"/>
  <c r="K146" i="5" a="1"/>
  <c r="K146" i="5" s="1"/>
  <c r="F146" i="5"/>
  <c r="N145" i="5" a="1"/>
  <c r="N145" i="5" s="1"/>
  <c r="O145" i="5" s="1"/>
  <c r="M145" i="5" a="1"/>
  <c r="M145" i="5" s="1"/>
  <c r="L145" i="5"/>
  <c r="K145" i="5" a="1"/>
  <c r="K145" i="5" s="1"/>
  <c r="F145" i="5"/>
  <c r="N144" i="5" a="1"/>
  <c r="N144" i="5" s="1"/>
  <c r="O144" i="5" s="1"/>
  <c r="M144" i="5" a="1"/>
  <c r="M144" i="5" s="1"/>
  <c r="L144" i="5"/>
  <c r="K144" i="5" a="1"/>
  <c r="K144" i="5" s="1"/>
  <c r="F144" i="5"/>
  <c r="N143" i="5" a="1"/>
  <c r="N143" i="5" s="1"/>
  <c r="O143" i="5" s="1"/>
  <c r="M143" i="5" a="1"/>
  <c r="M143" i="5" s="1"/>
  <c r="L143" i="5"/>
  <c r="K143" i="5" a="1"/>
  <c r="K143" i="5" s="1"/>
  <c r="F143" i="5"/>
  <c r="N142" i="5" a="1"/>
  <c r="N142" i="5" s="1"/>
  <c r="O142" i="5" s="1"/>
  <c r="M142" i="5" a="1"/>
  <c r="M142" i="5" s="1"/>
  <c r="L142" i="5"/>
  <c r="K142" i="5" a="1"/>
  <c r="K142" i="5" s="1"/>
  <c r="F142" i="5"/>
  <c r="N141" i="5" a="1"/>
  <c r="N141" i="5" s="1"/>
  <c r="O141" i="5" s="1"/>
  <c r="M141" i="5" a="1"/>
  <c r="M141" i="5" s="1"/>
  <c r="L141" i="5"/>
  <c r="K141" i="5" a="1"/>
  <c r="K141" i="5" s="1"/>
  <c r="F141" i="5"/>
  <c r="N140" i="5" a="1"/>
  <c r="N140" i="5" s="1"/>
  <c r="O140" i="5" s="1"/>
  <c r="M140" i="5" a="1"/>
  <c r="M140" i="5" s="1"/>
  <c r="L140" i="5"/>
  <c r="K140" i="5" a="1"/>
  <c r="K140" i="5" s="1"/>
  <c r="F140" i="5"/>
  <c r="N139" i="5" a="1"/>
  <c r="N139" i="5" s="1"/>
  <c r="O139" i="5" s="1"/>
  <c r="M139" i="5" a="1"/>
  <c r="M139" i="5" s="1"/>
  <c r="L139" i="5"/>
  <c r="K139" i="5" a="1"/>
  <c r="K139" i="5" s="1"/>
  <c r="F139" i="5"/>
  <c r="N138" i="5" a="1"/>
  <c r="N138" i="5" s="1"/>
  <c r="O138" i="5" s="1"/>
  <c r="M138" i="5" a="1"/>
  <c r="M138" i="5" s="1"/>
  <c r="L138" i="5"/>
  <c r="K138" i="5" a="1"/>
  <c r="K138" i="5" s="1"/>
  <c r="F138" i="5"/>
  <c r="N137" i="5" a="1"/>
  <c r="N137" i="5" s="1"/>
  <c r="O137" i="5" s="1"/>
  <c r="M137" i="5" a="1"/>
  <c r="M137" i="5" s="1"/>
  <c r="L137" i="5"/>
  <c r="K137" i="5" a="1"/>
  <c r="K137" i="5" s="1"/>
  <c r="F137" i="5"/>
  <c r="N136" i="5" a="1"/>
  <c r="N136" i="5" s="1"/>
  <c r="O136" i="5" s="1"/>
  <c r="M136" i="5" a="1"/>
  <c r="M136" i="5" s="1"/>
  <c r="L136" i="5"/>
  <c r="K136" i="5" a="1"/>
  <c r="K136" i="5" s="1"/>
  <c r="F136" i="5"/>
  <c r="N135" i="5" a="1"/>
  <c r="N135" i="5" s="1"/>
  <c r="O135" i="5" s="1"/>
  <c r="M135" i="5" a="1"/>
  <c r="M135" i="5" s="1"/>
  <c r="L135" i="5"/>
  <c r="K135" i="5" a="1"/>
  <c r="K135" i="5" s="1"/>
  <c r="F135" i="5"/>
  <c r="N134" i="5" a="1"/>
  <c r="N134" i="5" s="1"/>
  <c r="O134" i="5" s="1"/>
  <c r="M134" i="5" a="1"/>
  <c r="M134" i="5" s="1"/>
  <c r="L134" i="5"/>
  <c r="K134" i="5" a="1"/>
  <c r="K134" i="5" s="1"/>
  <c r="F134" i="5"/>
  <c r="N133" i="5" a="1"/>
  <c r="N133" i="5" s="1"/>
  <c r="O133" i="5" s="1"/>
  <c r="M133" i="5" a="1"/>
  <c r="M133" i="5" s="1"/>
  <c r="L133" i="5"/>
  <c r="K133" i="5" a="1"/>
  <c r="K133" i="5" s="1"/>
  <c r="F133" i="5"/>
  <c r="N132" i="5" a="1"/>
  <c r="N132" i="5" s="1"/>
  <c r="O132" i="5" s="1"/>
  <c r="M132" i="5" a="1"/>
  <c r="M132" i="5" s="1"/>
  <c r="L132" i="5"/>
  <c r="K132" i="5" a="1"/>
  <c r="K132" i="5" s="1"/>
  <c r="F132" i="5"/>
  <c r="N131" i="5" a="1"/>
  <c r="N131" i="5" s="1"/>
  <c r="O131" i="5" s="1"/>
  <c r="M131" i="5" a="1"/>
  <c r="M131" i="5" s="1"/>
  <c r="L131" i="5"/>
  <c r="K131" i="5" a="1"/>
  <c r="K131" i="5" s="1"/>
  <c r="F131" i="5"/>
  <c r="N130" i="5" a="1"/>
  <c r="N130" i="5" s="1"/>
  <c r="O130" i="5" s="1"/>
  <c r="M130" i="5" a="1"/>
  <c r="M130" i="5" s="1"/>
  <c r="L130" i="5"/>
  <c r="K130" i="5" a="1"/>
  <c r="K130" i="5" s="1"/>
  <c r="F130" i="5"/>
  <c r="N129" i="5" a="1"/>
  <c r="N129" i="5" s="1"/>
  <c r="O129" i="5" s="1"/>
  <c r="M129" i="5" a="1"/>
  <c r="M129" i="5" s="1"/>
  <c r="L129" i="5"/>
  <c r="K129" i="5" a="1"/>
  <c r="K129" i="5" s="1"/>
  <c r="F129" i="5"/>
  <c r="N128" i="5" a="1"/>
  <c r="N128" i="5" s="1"/>
  <c r="O128" i="5" s="1"/>
  <c r="M128" i="5" a="1"/>
  <c r="M128" i="5" s="1"/>
  <c r="L128" i="5"/>
  <c r="K128" i="5" a="1"/>
  <c r="K128" i="5" s="1"/>
  <c r="F128" i="5"/>
  <c r="N127" i="5" a="1"/>
  <c r="N127" i="5" s="1"/>
  <c r="O127" i="5" s="1"/>
  <c r="M127" i="5" a="1"/>
  <c r="M127" i="5" s="1"/>
  <c r="L127" i="5"/>
  <c r="K127" i="5" a="1"/>
  <c r="K127" i="5" s="1"/>
  <c r="F127" i="5"/>
  <c r="N126" i="5" a="1"/>
  <c r="N126" i="5" s="1"/>
  <c r="O126" i="5" s="1"/>
  <c r="M126" i="5" a="1"/>
  <c r="M126" i="5" s="1"/>
  <c r="L126" i="5"/>
  <c r="K126" i="5" a="1"/>
  <c r="K126" i="5" s="1"/>
  <c r="F126" i="5"/>
  <c r="N125" i="5" a="1"/>
  <c r="N125" i="5" s="1"/>
  <c r="O125" i="5" s="1"/>
  <c r="M125" i="5" a="1"/>
  <c r="M125" i="5" s="1"/>
  <c r="L125" i="5"/>
  <c r="K125" i="5" a="1"/>
  <c r="K125" i="5" s="1"/>
  <c r="F125" i="5"/>
  <c r="N124" i="5" a="1"/>
  <c r="N124" i="5" s="1"/>
  <c r="O124" i="5" s="1"/>
  <c r="M124" i="5" a="1"/>
  <c r="M124" i="5" s="1"/>
  <c r="L124" i="5"/>
  <c r="K124" i="5" a="1"/>
  <c r="K124" i="5" s="1"/>
  <c r="F124" i="5"/>
  <c r="N123" i="5" a="1"/>
  <c r="N123" i="5" s="1"/>
  <c r="O123" i="5" s="1"/>
  <c r="M123" i="5" a="1"/>
  <c r="M123" i="5" s="1"/>
  <c r="L123" i="5"/>
  <c r="K123" i="5" a="1"/>
  <c r="K123" i="5" s="1"/>
  <c r="F123" i="5"/>
  <c r="N122" i="5" a="1"/>
  <c r="N122" i="5" s="1"/>
  <c r="O122" i="5" s="1"/>
  <c r="M122" i="5" a="1"/>
  <c r="M122" i="5" s="1"/>
  <c r="L122" i="5"/>
  <c r="K122" i="5" a="1"/>
  <c r="K122" i="5" s="1"/>
  <c r="F122" i="5"/>
  <c r="N121" i="5" a="1"/>
  <c r="N121" i="5" s="1"/>
  <c r="O121" i="5" s="1"/>
  <c r="M121" i="5" a="1"/>
  <c r="M121" i="5" s="1"/>
  <c r="L121" i="5"/>
  <c r="K121" i="5" a="1"/>
  <c r="K121" i="5" s="1"/>
  <c r="F121" i="5"/>
  <c r="N120" i="5" a="1"/>
  <c r="N120" i="5" s="1"/>
  <c r="O120" i="5" s="1"/>
  <c r="M120" i="5" a="1"/>
  <c r="M120" i="5" s="1"/>
  <c r="L120" i="5"/>
  <c r="K120" i="5" a="1"/>
  <c r="K120" i="5" s="1"/>
  <c r="F120" i="5"/>
  <c r="N119" i="5" a="1"/>
  <c r="N119" i="5" s="1"/>
  <c r="O119" i="5" s="1"/>
  <c r="M119" i="5" a="1"/>
  <c r="M119" i="5" s="1"/>
  <c r="L119" i="5"/>
  <c r="K119" i="5" a="1"/>
  <c r="K119" i="5" s="1"/>
  <c r="F119" i="5"/>
  <c r="N118" i="5" a="1"/>
  <c r="N118" i="5" s="1"/>
  <c r="O118" i="5" s="1"/>
  <c r="M118" i="5" a="1"/>
  <c r="M118" i="5" s="1"/>
  <c r="L118" i="5"/>
  <c r="K118" i="5" a="1"/>
  <c r="K118" i="5" s="1"/>
  <c r="F118" i="5"/>
  <c r="N117" i="5" a="1"/>
  <c r="N117" i="5" s="1"/>
  <c r="O117" i="5" s="1"/>
  <c r="M117" i="5" a="1"/>
  <c r="M117" i="5" s="1"/>
  <c r="L117" i="5"/>
  <c r="K117" i="5" a="1"/>
  <c r="K117" i="5" s="1"/>
  <c r="F117" i="5"/>
  <c r="N116" i="5" a="1"/>
  <c r="N116" i="5" s="1"/>
  <c r="O116" i="5" s="1"/>
  <c r="M116" i="5" a="1"/>
  <c r="M116" i="5" s="1"/>
  <c r="L116" i="5"/>
  <c r="K116" i="5" a="1"/>
  <c r="K116" i="5" s="1"/>
  <c r="F116" i="5"/>
  <c r="N115" i="5" a="1"/>
  <c r="N115" i="5" s="1"/>
  <c r="O115" i="5" s="1"/>
  <c r="M115" i="5" a="1"/>
  <c r="M115" i="5" s="1"/>
  <c r="L115" i="5"/>
  <c r="K115" i="5" a="1"/>
  <c r="K115" i="5" s="1"/>
  <c r="F115" i="5"/>
  <c r="N114" i="5" a="1"/>
  <c r="N114" i="5" s="1"/>
  <c r="O114" i="5" s="1"/>
  <c r="M114" i="5" a="1"/>
  <c r="M114" i="5" s="1"/>
  <c r="L114" i="5"/>
  <c r="K114" i="5" a="1"/>
  <c r="K114" i="5" s="1"/>
  <c r="F114" i="5"/>
  <c r="N113" i="5" a="1"/>
  <c r="N113" i="5" s="1"/>
  <c r="O113" i="5" s="1"/>
  <c r="M113" i="5" a="1"/>
  <c r="M113" i="5" s="1"/>
  <c r="L113" i="5"/>
  <c r="K113" i="5" a="1"/>
  <c r="K113" i="5" s="1"/>
  <c r="F113" i="5"/>
  <c r="N112" i="5" a="1"/>
  <c r="N112" i="5" s="1"/>
  <c r="O112" i="5" s="1"/>
  <c r="M112" i="5" a="1"/>
  <c r="M112" i="5" s="1"/>
  <c r="L112" i="5"/>
  <c r="K112" i="5" a="1"/>
  <c r="K112" i="5" s="1"/>
  <c r="F112" i="5"/>
  <c r="N111" i="5" a="1"/>
  <c r="N111" i="5" s="1"/>
  <c r="O111" i="5" s="1"/>
  <c r="M111" i="5" a="1"/>
  <c r="M111" i="5" s="1"/>
  <c r="L111" i="5"/>
  <c r="K111" i="5" a="1"/>
  <c r="K111" i="5" s="1"/>
  <c r="F111" i="5"/>
  <c r="N110" i="5" a="1"/>
  <c r="N110" i="5" s="1"/>
  <c r="O110" i="5" s="1"/>
  <c r="M110" i="5" a="1"/>
  <c r="M110" i="5" s="1"/>
  <c r="L110" i="5"/>
  <c r="K110" i="5" a="1"/>
  <c r="K110" i="5" s="1"/>
  <c r="F110" i="5"/>
  <c r="N109" i="5" a="1"/>
  <c r="N109" i="5" s="1"/>
  <c r="O109" i="5" s="1"/>
  <c r="M109" i="5" a="1"/>
  <c r="M109" i="5" s="1"/>
  <c r="L109" i="5"/>
  <c r="K109" i="5" a="1"/>
  <c r="K109" i="5" s="1"/>
  <c r="F109" i="5"/>
  <c r="N108" i="5" a="1"/>
  <c r="N108" i="5" s="1"/>
  <c r="O108" i="5" s="1"/>
  <c r="M108" i="5" a="1"/>
  <c r="M108" i="5" s="1"/>
  <c r="L108" i="5"/>
  <c r="K108" i="5" a="1"/>
  <c r="K108" i="5" s="1"/>
  <c r="F108" i="5"/>
  <c r="N107" i="5" a="1"/>
  <c r="N107" i="5" s="1"/>
  <c r="O107" i="5" s="1"/>
  <c r="M107" i="5" a="1"/>
  <c r="M107" i="5" s="1"/>
  <c r="L107" i="5"/>
  <c r="K107" i="5" a="1"/>
  <c r="K107" i="5" s="1"/>
  <c r="F107" i="5"/>
  <c r="N106" i="5" a="1"/>
  <c r="N106" i="5" s="1"/>
  <c r="O106" i="5" s="1"/>
  <c r="M106" i="5" a="1"/>
  <c r="M106" i="5" s="1"/>
  <c r="L106" i="5"/>
  <c r="K106" i="5" a="1"/>
  <c r="K106" i="5" s="1"/>
  <c r="F106" i="5"/>
  <c r="N105" i="5" a="1"/>
  <c r="N105" i="5" s="1"/>
  <c r="O105" i="5" s="1"/>
  <c r="M105" i="5" a="1"/>
  <c r="M105" i="5" s="1"/>
  <c r="L105" i="5"/>
  <c r="K105" i="5" a="1"/>
  <c r="K105" i="5" s="1"/>
  <c r="F105" i="5"/>
  <c r="N104" i="5" a="1"/>
  <c r="N104" i="5" s="1"/>
  <c r="O104" i="5" s="1"/>
  <c r="M104" i="5" a="1"/>
  <c r="M104" i="5" s="1"/>
  <c r="L104" i="5"/>
  <c r="K104" i="5" a="1"/>
  <c r="K104" i="5" s="1"/>
  <c r="F104" i="5"/>
  <c r="N103" i="5" a="1"/>
  <c r="N103" i="5" s="1"/>
  <c r="O103" i="5" s="1"/>
  <c r="M103" i="5" a="1"/>
  <c r="M103" i="5" s="1"/>
  <c r="L103" i="5"/>
  <c r="K103" i="5" a="1"/>
  <c r="K103" i="5" s="1"/>
  <c r="F103" i="5"/>
  <c r="N102" i="5" a="1"/>
  <c r="N102" i="5" s="1"/>
  <c r="O102" i="5" s="1"/>
  <c r="M102" i="5" a="1"/>
  <c r="M102" i="5" s="1"/>
  <c r="L102" i="5"/>
  <c r="K102" i="5" a="1"/>
  <c r="K102" i="5" s="1"/>
  <c r="F102" i="5"/>
  <c r="N101" i="5" a="1"/>
  <c r="N101" i="5" s="1"/>
  <c r="O101" i="5" s="1"/>
  <c r="M101" i="5" a="1"/>
  <c r="M101" i="5" s="1"/>
  <c r="L101" i="5"/>
  <c r="K101" i="5" a="1"/>
  <c r="K101" i="5" s="1"/>
  <c r="F101" i="5"/>
  <c r="N100" i="5" a="1"/>
  <c r="N100" i="5" s="1"/>
  <c r="O100" i="5" s="1"/>
  <c r="M100" i="5" a="1"/>
  <c r="M100" i="5" s="1"/>
  <c r="L100" i="5"/>
  <c r="K100" i="5" a="1"/>
  <c r="K100" i="5" s="1"/>
  <c r="F100" i="5"/>
  <c r="N99" i="5" a="1"/>
  <c r="N99" i="5" s="1"/>
  <c r="O99" i="5" s="1"/>
  <c r="M99" i="5" a="1"/>
  <c r="M99" i="5" s="1"/>
  <c r="L99" i="5"/>
  <c r="K99" i="5" a="1"/>
  <c r="K99" i="5" s="1"/>
  <c r="F99" i="5"/>
  <c r="N98" i="5" a="1"/>
  <c r="N98" i="5" s="1"/>
  <c r="O98" i="5" s="1"/>
  <c r="M98" i="5" a="1"/>
  <c r="M98" i="5" s="1"/>
  <c r="L98" i="5"/>
  <c r="K98" i="5" a="1"/>
  <c r="K98" i="5" s="1"/>
  <c r="F98" i="5"/>
  <c r="N97" i="5" a="1"/>
  <c r="N97" i="5" s="1"/>
  <c r="O97" i="5" s="1"/>
  <c r="M97" i="5" a="1"/>
  <c r="M97" i="5" s="1"/>
  <c r="L97" i="5"/>
  <c r="K97" i="5" a="1"/>
  <c r="K97" i="5" s="1"/>
  <c r="F97" i="5"/>
  <c r="N96" i="5" a="1"/>
  <c r="N96" i="5" s="1"/>
  <c r="O96" i="5" s="1"/>
  <c r="M96" i="5" a="1"/>
  <c r="M96" i="5" s="1"/>
  <c r="L96" i="5"/>
  <c r="K96" i="5" a="1"/>
  <c r="K96" i="5" s="1"/>
  <c r="F96" i="5"/>
  <c r="N95" i="5" a="1"/>
  <c r="N95" i="5" s="1"/>
  <c r="O95" i="5" s="1"/>
  <c r="M95" i="5" a="1"/>
  <c r="M95" i="5" s="1"/>
  <c r="L95" i="5"/>
  <c r="K95" i="5" a="1"/>
  <c r="K95" i="5" s="1"/>
  <c r="F95" i="5"/>
  <c r="N94" i="5" a="1"/>
  <c r="N94" i="5" s="1"/>
  <c r="O94" i="5" s="1"/>
  <c r="M94" i="5" a="1"/>
  <c r="M94" i="5" s="1"/>
  <c r="L94" i="5"/>
  <c r="K94" i="5" a="1"/>
  <c r="K94" i="5" s="1"/>
  <c r="F94" i="5"/>
  <c r="N93" i="5" a="1"/>
  <c r="N93" i="5" s="1"/>
  <c r="O93" i="5" s="1"/>
  <c r="M93" i="5" a="1"/>
  <c r="M93" i="5" s="1"/>
  <c r="L93" i="5"/>
  <c r="K93" i="5" a="1"/>
  <c r="K93" i="5" s="1"/>
  <c r="F93" i="5"/>
  <c r="N92" i="5" a="1"/>
  <c r="N92" i="5" s="1"/>
  <c r="O92" i="5" s="1"/>
  <c r="M92" i="5" a="1"/>
  <c r="M92" i="5" s="1"/>
  <c r="L92" i="5"/>
  <c r="K92" i="5" a="1"/>
  <c r="K92" i="5" s="1"/>
  <c r="F92" i="5"/>
  <c r="N91" i="5" a="1"/>
  <c r="N91" i="5" s="1"/>
  <c r="O91" i="5" s="1"/>
  <c r="M91" i="5" a="1"/>
  <c r="M91" i="5" s="1"/>
  <c r="L91" i="5"/>
  <c r="K91" i="5" a="1"/>
  <c r="K91" i="5" s="1"/>
  <c r="F91" i="5"/>
  <c r="N90" i="5" a="1"/>
  <c r="N90" i="5" s="1"/>
  <c r="O90" i="5" s="1"/>
  <c r="M90" i="5" a="1"/>
  <c r="M90" i="5" s="1"/>
  <c r="L90" i="5"/>
  <c r="K90" i="5" a="1"/>
  <c r="K90" i="5" s="1"/>
  <c r="F90" i="5"/>
  <c r="N89" i="5" a="1"/>
  <c r="N89" i="5" s="1"/>
  <c r="O89" i="5" s="1"/>
  <c r="M89" i="5" a="1"/>
  <c r="M89" i="5" s="1"/>
  <c r="L89" i="5"/>
  <c r="K89" i="5" a="1"/>
  <c r="K89" i="5" s="1"/>
  <c r="F89" i="5"/>
  <c r="N88" i="5" a="1"/>
  <c r="N88" i="5" s="1"/>
  <c r="O88" i="5" s="1"/>
  <c r="M88" i="5" a="1"/>
  <c r="M88" i="5" s="1"/>
  <c r="L88" i="5"/>
  <c r="K88" i="5" a="1"/>
  <c r="K88" i="5" s="1"/>
  <c r="F88" i="5"/>
  <c r="N87" i="5" a="1"/>
  <c r="N87" i="5" s="1"/>
  <c r="O87" i="5" s="1"/>
  <c r="M87" i="5" a="1"/>
  <c r="M87" i="5" s="1"/>
  <c r="L87" i="5"/>
  <c r="K87" i="5" a="1"/>
  <c r="K87" i="5" s="1"/>
  <c r="F87" i="5"/>
  <c r="N86" i="5" a="1"/>
  <c r="N86" i="5" s="1"/>
  <c r="O86" i="5" s="1"/>
  <c r="M86" i="5" a="1"/>
  <c r="M86" i="5" s="1"/>
  <c r="L86" i="5"/>
  <c r="K86" i="5" a="1"/>
  <c r="K86" i="5" s="1"/>
  <c r="F86" i="5"/>
  <c r="N85" i="5" a="1"/>
  <c r="N85" i="5" s="1"/>
  <c r="O85" i="5" s="1"/>
  <c r="M85" i="5" a="1"/>
  <c r="M85" i="5" s="1"/>
  <c r="L85" i="5"/>
  <c r="K85" i="5" a="1"/>
  <c r="K85" i="5" s="1"/>
  <c r="F85" i="5"/>
  <c r="N84" i="5" a="1"/>
  <c r="N84" i="5" s="1"/>
  <c r="O84" i="5" s="1"/>
  <c r="M84" i="5" a="1"/>
  <c r="M84" i="5" s="1"/>
  <c r="L84" i="5"/>
  <c r="K84" i="5" a="1"/>
  <c r="K84" i="5" s="1"/>
  <c r="F84" i="5"/>
  <c r="N83" i="5" a="1"/>
  <c r="N83" i="5" s="1"/>
  <c r="O83" i="5" s="1"/>
  <c r="M83" i="5" a="1"/>
  <c r="M83" i="5" s="1"/>
  <c r="L83" i="5"/>
  <c r="K83" i="5" a="1"/>
  <c r="K83" i="5" s="1"/>
  <c r="F83" i="5"/>
  <c r="N82" i="5" a="1"/>
  <c r="N82" i="5" s="1"/>
  <c r="O82" i="5" s="1"/>
  <c r="M82" i="5" a="1"/>
  <c r="M82" i="5" s="1"/>
  <c r="L82" i="5"/>
  <c r="K82" i="5" a="1"/>
  <c r="K82" i="5" s="1"/>
  <c r="F82" i="5"/>
  <c r="N81" i="5" a="1"/>
  <c r="N81" i="5" s="1"/>
  <c r="O81" i="5" s="1"/>
  <c r="M81" i="5" a="1"/>
  <c r="M81" i="5" s="1"/>
  <c r="L81" i="5"/>
  <c r="K81" i="5" a="1"/>
  <c r="K81" i="5" s="1"/>
  <c r="F81" i="5"/>
  <c r="N80" i="5" a="1"/>
  <c r="N80" i="5" s="1"/>
  <c r="O80" i="5" s="1"/>
  <c r="M80" i="5" a="1"/>
  <c r="M80" i="5" s="1"/>
  <c r="L80" i="5"/>
  <c r="K80" i="5" a="1"/>
  <c r="K80" i="5" s="1"/>
  <c r="F80" i="5"/>
  <c r="N79" i="5" a="1"/>
  <c r="N79" i="5" s="1"/>
  <c r="O79" i="5" s="1"/>
  <c r="M79" i="5" a="1"/>
  <c r="M79" i="5" s="1"/>
  <c r="L79" i="5"/>
  <c r="K79" i="5" a="1"/>
  <c r="K79" i="5" s="1"/>
  <c r="F79" i="5"/>
  <c r="N78" i="5" a="1"/>
  <c r="N78" i="5" s="1"/>
  <c r="O78" i="5" s="1"/>
  <c r="M78" i="5" a="1"/>
  <c r="M78" i="5" s="1"/>
  <c r="L78" i="5"/>
  <c r="K78" i="5" a="1"/>
  <c r="K78" i="5" s="1"/>
  <c r="F78" i="5"/>
  <c r="N77" i="5" a="1"/>
  <c r="N77" i="5" s="1"/>
  <c r="O77" i="5" s="1"/>
  <c r="M77" i="5" a="1"/>
  <c r="M77" i="5" s="1"/>
  <c r="L77" i="5"/>
  <c r="K77" i="5" a="1"/>
  <c r="K77" i="5" s="1"/>
  <c r="F77" i="5"/>
  <c r="N76" i="5" a="1"/>
  <c r="N76" i="5" s="1"/>
  <c r="O76" i="5" s="1"/>
  <c r="M76" i="5" a="1"/>
  <c r="M76" i="5" s="1"/>
  <c r="L76" i="5"/>
  <c r="K76" i="5" a="1"/>
  <c r="K76" i="5" s="1"/>
  <c r="F76" i="5"/>
  <c r="N75" i="5" a="1"/>
  <c r="N75" i="5" s="1"/>
  <c r="O75" i="5" s="1"/>
  <c r="M75" i="5" a="1"/>
  <c r="M75" i="5" s="1"/>
  <c r="L75" i="5"/>
  <c r="K75" i="5" a="1"/>
  <c r="K75" i="5" s="1"/>
  <c r="F75" i="5"/>
  <c r="N74" i="5" a="1"/>
  <c r="N74" i="5" s="1"/>
  <c r="O74" i="5" s="1"/>
  <c r="M74" i="5" a="1"/>
  <c r="M74" i="5" s="1"/>
  <c r="L74" i="5"/>
  <c r="K74" i="5" a="1"/>
  <c r="K74" i="5" s="1"/>
  <c r="F74" i="5"/>
  <c r="N73" i="5" a="1"/>
  <c r="N73" i="5" s="1"/>
  <c r="O73" i="5" s="1"/>
  <c r="M73" i="5" a="1"/>
  <c r="M73" i="5" s="1"/>
  <c r="L73" i="5"/>
  <c r="K73" i="5" a="1"/>
  <c r="K73" i="5" s="1"/>
  <c r="F73" i="5"/>
  <c r="N72" i="5" a="1"/>
  <c r="N72" i="5" s="1"/>
  <c r="O72" i="5" s="1"/>
  <c r="M72" i="5" a="1"/>
  <c r="M72" i="5" s="1"/>
  <c r="L72" i="5"/>
  <c r="K72" i="5" a="1"/>
  <c r="K72" i="5" s="1"/>
  <c r="F72" i="5"/>
  <c r="N71" i="5" a="1"/>
  <c r="N71" i="5" s="1"/>
  <c r="O71" i="5" s="1"/>
  <c r="M71" i="5" a="1"/>
  <c r="M71" i="5" s="1"/>
  <c r="L71" i="5"/>
  <c r="K71" i="5" a="1"/>
  <c r="K71" i="5" s="1"/>
  <c r="F71" i="5"/>
  <c r="N70" i="5" a="1"/>
  <c r="N70" i="5" s="1"/>
  <c r="O70" i="5" s="1"/>
  <c r="M70" i="5" a="1"/>
  <c r="M70" i="5" s="1"/>
  <c r="L70" i="5"/>
  <c r="K70" i="5" a="1"/>
  <c r="K70" i="5" s="1"/>
  <c r="F70" i="5"/>
  <c r="N69" i="5" a="1"/>
  <c r="N69" i="5" s="1"/>
  <c r="O69" i="5" s="1"/>
  <c r="M69" i="5" a="1"/>
  <c r="M69" i="5" s="1"/>
  <c r="L69" i="5"/>
  <c r="K69" i="5" a="1"/>
  <c r="K69" i="5" s="1"/>
  <c r="F69" i="5"/>
  <c r="N68" i="5" a="1"/>
  <c r="N68" i="5" s="1"/>
  <c r="O68" i="5" s="1"/>
  <c r="M68" i="5" a="1"/>
  <c r="M68" i="5" s="1"/>
  <c r="L68" i="5"/>
  <c r="K68" i="5" a="1"/>
  <c r="K68" i="5" s="1"/>
  <c r="F68" i="5"/>
  <c r="N67" i="5" a="1"/>
  <c r="N67" i="5" s="1"/>
  <c r="O67" i="5" s="1"/>
  <c r="M67" i="5" a="1"/>
  <c r="M67" i="5" s="1"/>
  <c r="L67" i="5"/>
  <c r="K67" i="5" a="1"/>
  <c r="K67" i="5" s="1"/>
  <c r="F67" i="5"/>
  <c r="N66" i="5" a="1"/>
  <c r="N66" i="5" s="1"/>
  <c r="O66" i="5" s="1"/>
  <c r="M66" i="5" a="1"/>
  <c r="M66" i="5" s="1"/>
  <c r="L66" i="5"/>
  <c r="K66" i="5" a="1"/>
  <c r="K66" i="5" s="1"/>
  <c r="F66" i="5"/>
  <c r="N65" i="5" a="1"/>
  <c r="N65" i="5" s="1"/>
  <c r="O65" i="5" s="1"/>
  <c r="M65" i="5" a="1"/>
  <c r="M65" i="5" s="1"/>
  <c r="L65" i="5"/>
  <c r="K65" i="5" a="1"/>
  <c r="K65" i="5" s="1"/>
  <c r="F65" i="5"/>
  <c r="N64" i="5" a="1"/>
  <c r="N64" i="5" s="1"/>
  <c r="O64" i="5" s="1"/>
  <c r="M64" i="5" a="1"/>
  <c r="M64" i="5" s="1"/>
  <c r="L64" i="5"/>
  <c r="K64" i="5" a="1"/>
  <c r="K64" i="5" s="1"/>
  <c r="F64" i="5"/>
  <c r="N63" i="5" a="1"/>
  <c r="N63" i="5" s="1"/>
  <c r="O63" i="5" s="1"/>
  <c r="M63" i="5" a="1"/>
  <c r="M63" i="5" s="1"/>
  <c r="L63" i="5"/>
  <c r="K63" i="5" a="1"/>
  <c r="K63" i="5" s="1"/>
  <c r="F63" i="5"/>
  <c r="N62" i="5" a="1"/>
  <c r="N62" i="5" s="1"/>
  <c r="O62" i="5" s="1"/>
  <c r="M62" i="5" a="1"/>
  <c r="M62" i="5" s="1"/>
  <c r="L62" i="5"/>
  <c r="K62" i="5" a="1"/>
  <c r="K62" i="5" s="1"/>
  <c r="F62" i="5"/>
  <c r="N61" i="5" a="1"/>
  <c r="N61" i="5" s="1"/>
  <c r="O61" i="5" s="1"/>
  <c r="M61" i="5" a="1"/>
  <c r="M61" i="5" s="1"/>
  <c r="L61" i="5"/>
  <c r="K61" i="5" a="1"/>
  <c r="K61" i="5" s="1"/>
  <c r="F61" i="5"/>
  <c r="N60" i="5" a="1"/>
  <c r="N60" i="5" s="1"/>
  <c r="O60" i="5" s="1"/>
  <c r="M60" i="5" a="1"/>
  <c r="M60" i="5" s="1"/>
  <c r="L60" i="5"/>
  <c r="K60" i="5" a="1"/>
  <c r="K60" i="5" s="1"/>
  <c r="F60" i="5"/>
  <c r="N59" i="5" a="1"/>
  <c r="N59" i="5" s="1"/>
  <c r="O59" i="5" s="1"/>
  <c r="M59" i="5" a="1"/>
  <c r="M59" i="5" s="1"/>
  <c r="L59" i="5"/>
  <c r="K59" i="5" a="1"/>
  <c r="K59" i="5" s="1"/>
  <c r="F59" i="5"/>
  <c r="N58" i="5" a="1"/>
  <c r="N58" i="5" s="1"/>
  <c r="O58" i="5" s="1"/>
  <c r="M58" i="5" a="1"/>
  <c r="M58" i="5" s="1"/>
  <c r="L58" i="5"/>
  <c r="K58" i="5" a="1"/>
  <c r="K58" i="5" s="1"/>
  <c r="F58" i="5"/>
  <c r="N57" i="5" a="1"/>
  <c r="N57" i="5" s="1"/>
  <c r="O57" i="5" s="1"/>
  <c r="M57" i="5" a="1"/>
  <c r="M57" i="5" s="1"/>
  <c r="L57" i="5"/>
  <c r="K57" i="5" a="1"/>
  <c r="K57" i="5" s="1"/>
  <c r="F57" i="5"/>
  <c r="N56" i="5" a="1"/>
  <c r="N56" i="5" s="1"/>
  <c r="O56" i="5" s="1"/>
  <c r="M56" i="5" a="1"/>
  <c r="M56" i="5" s="1"/>
  <c r="L56" i="5"/>
  <c r="K56" i="5" a="1"/>
  <c r="K56" i="5" s="1"/>
  <c r="F56" i="5"/>
  <c r="N55" i="5" a="1"/>
  <c r="N55" i="5" s="1"/>
  <c r="O55" i="5" s="1"/>
  <c r="M55" i="5" a="1"/>
  <c r="M55" i="5" s="1"/>
  <c r="L55" i="5"/>
  <c r="K55" i="5" a="1"/>
  <c r="K55" i="5" s="1"/>
  <c r="F55" i="5"/>
  <c r="N54" i="5" a="1"/>
  <c r="N54" i="5" s="1"/>
  <c r="O54" i="5" s="1"/>
  <c r="M54" i="5" a="1"/>
  <c r="M54" i="5" s="1"/>
  <c r="L54" i="5"/>
  <c r="K54" i="5" a="1"/>
  <c r="K54" i="5" s="1"/>
  <c r="F54" i="5"/>
  <c r="N53" i="5" a="1"/>
  <c r="N53" i="5" s="1"/>
  <c r="O53" i="5" s="1"/>
  <c r="M53" i="5" a="1"/>
  <c r="M53" i="5" s="1"/>
  <c r="L53" i="5"/>
  <c r="K53" i="5" a="1"/>
  <c r="K53" i="5" s="1"/>
  <c r="F53" i="5"/>
  <c r="N52" i="5" a="1"/>
  <c r="N52" i="5" s="1"/>
  <c r="O52" i="5" s="1"/>
  <c r="M52" i="5" a="1"/>
  <c r="M52" i="5" s="1"/>
  <c r="L52" i="5"/>
  <c r="K52" i="5" a="1"/>
  <c r="K52" i="5" s="1"/>
  <c r="F52" i="5"/>
  <c r="N51" i="5" a="1"/>
  <c r="N51" i="5" s="1"/>
  <c r="O51" i="5" s="1"/>
  <c r="M51" i="5" a="1"/>
  <c r="M51" i="5" s="1"/>
  <c r="L51" i="5"/>
  <c r="K51" i="5" a="1"/>
  <c r="K51" i="5" s="1"/>
  <c r="F51" i="5"/>
  <c r="N50" i="5" a="1"/>
  <c r="N50" i="5" s="1"/>
  <c r="O50" i="5" s="1"/>
  <c r="M50" i="5" a="1"/>
  <c r="M50" i="5" s="1"/>
  <c r="L50" i="5"/>
  <c r="K50" i="5" a="1"/>
  <c r="K50" i="5" s="1"/>
  <c r="F50" i="5"/>
  <c r="N49" i="5" a="1"/>
  <c r="N49" i="5" s="1"/>
  <c r="O49" i="5" s="1"/>
  <c r="M49" i="5" a="1"/>
  <c r="M49" i="5" s="1"/>
  <c r="L49" i="5"/>
  <c r="K49" i="5" a="1"/>
  <c r="K49" i="5" s="1"/>
  <c r="F49" i="5"/>
  <c r="N48" i="5" a="1"/>
  <c r="N48" i="5" s="1"/>
  <c r="O48" i="5" s="1"/>
  <c r="M48" i="5" a="1"/>
  <c r="M48" i="5" s="1"/>
  <c r="L48" i="5"/>
  <c r="K48" i="5" a="1"/>
  <c r="K48" i="5" s="1"/>
  <c r="F48" i="5"/>
  <c r="N47" i="5" a="1"/>
  <c r="N47" i="5" s="1"/>
  <c r="O47" i="5" s="1"/>
  <c r="M47" i="5" a="1"/>
  <c r="M47" i="5" s="1"/>
  <c r="L47" i="5"/>
  <c r="K47" i="5" a="1"/>
  <c r="K47" i="5" s="1"/>
  <c r="F47" i="5"/>
  <c r="N46" i="5" a="1"/>
  <c r="N46" i="5" s="1"/>
  <c r="O46" i="5" s="1"/>
  <c r="M46" i="5" a="1"/>
  <c r="M46" i="5" s="1"/>
  <c r="L46" i="5"/>
  <c r="K46" i="5" a="1"/>
  <c r="K46" i="5" s="1"/>
  <c r="F46" i="5"/>
  <c r="N45" i="5" a="1"/>
  <c r="N45" i="5" s="1"/>
  <c r="O45" i="5" s="1"/>
  <c r="M45" i="5" a="1"/>
  <c r="M45" i="5" s="1"/>
  <c r="L45" i="5"/>
  <c r="K45" i="5" a="1"/>
  <c r="K45" i="5" s="1"/>
  <c r="F45" i="5"/>
  <c r="N44" i="5" a="1"/>
  <c r="N44" i="5" s="1"/>
  <c r="O44" i="5" s="1"/>
  <c r="M44" i="5" a="1"/>
  <c r="M44" i="5" s="1"/>
  <c r="L44" i="5"/>
  <c r="K44" i="5" a="1"/>
  <c r="K44" i="5" s="1"/>
  <c r="F44" i="5"/>
  <c r="N43" i="5" a="1"/>
  <c r="N43" i="5" s="1"/>
  <c r="O43" i="5" s="1"/>
  <c r="M43" i="5" a="1"/>
  <c r="M43" i="5" s="1"/>
  <c r="L43" i="5"/>
  <c r="K43" i="5" a="1"/>
  <c r="K43" i="5" s="1"/>
  <c r="F43" i="5"/>
  <c r="N42" i="5" a="1"/>
  <c r="N42" i="5" s="1"/>
  <c r="O42" i="5" s="1"/>
  <c r="M42" i="5" a="1"/>
  <c r="M42" i="5" s="1"/>
  <c r="L42" i="5"/>
  <c r="K42" i="5" a="1"/>
  <c r="K42" i="5" s="1"/>
  <c r="F42" i="5"/>
  <c r="N41" i="5" a="1"/>
  <c r="N41" i="5" s="1"/>
  <c r="O41" i="5" s="1"/>
  <c r="M41" i="5" a="1"/>
  <c r="M41" i="5" s="1"/>
  <c r="L41" i="5"/>
  <c r="K41" i="5" a="1"/>
  <c r="K41" i="5" s="1"/>
  <c r="F41" i="5"/>
  <c r="N40" i="5" a="1"/>
  <c r="N40" i="5" s="1"/>
  <c r="O40" i="5" s="1"/>
  <c r="M40" i="5" a="1"/>
  <c r="M40" i="5" s="1"/>
  <c r="L40" i="5"/>
  <c r="K40" i="5" a="1"/>
  <c r="K40" i="5" s="1"/>
  <c r="F40" i="5"/>
  <c r="N39" i="5" a="1"/>
  <c r="N39" i="5" s="1"/>
  <c r="O39" i="5" s="1"/>
  <c r="M39" i="5" a="1"/>
  <c r="M39" i="5" s="1"/>
  <c r="L39" i="5"/>
  <c r="K39" i="5" a="1"/>
  <c r="K39" i="5" s="1"/>
  <c r="F39" i="5"/>
  <c r="N38" i="5" a="1"/>
  <c r="N38" i="5" s="1"/>
  <c r="O38" i="5" s="1"/>
  <c r="M38" i="5" a="1"/>
  <c r="M38" i="5" s="1"/>
  <c r="L38" i="5"/>
  <c r="K38" i="5" a="1"/>
  <c r="K38" i="5" s="1"/>
  <c r="F38" i="5"/>
  <c r="N37" i="5" a="1"/>
  <c r="N37" i="5" s="1"/>
  <c r="O37" i="5" s="1"/>
  <c r="M37" i="5" a="1"/>
  <c r="M37" i="5" s="1"/>
  <c r="L37" i="5"/>
  <c r="K37" i="5" a="1"/>
  <c r="K37" i="5" s="1"/>
  <c r="F37" i="5"/>
  <c r="N36" i="5" a="1"/>
  <c r="N36" i="5" s="1"/>
  <c r="O36" i="5" s="1"/>
  <c r="M36" i="5" a="1"/>
  <c r="M36" i="5" s="1"/>
  <c r="L36" i="5"/>
  <c r="K36" i="5" a="1"/>
  <c r="K36" i="5" s="1"/>
  <c r="F36" i="5"/>
  <c r="N35" i="5" a="1"/>
  <c r="N35" i="5" s="1"/>
  <c r="O35" i="5" s="1"/>
  <c r="M35" i="5" a="1"/>
  <c r="M35" i="5" s="1"/>
  <c r="L35" i="5"/>
  <c r="K35" i="5" a="1"/>
  <c r="K35" i="5" s="1"/>
  <c r="F35" i="5"/>
  <c r="N34" i="5" a="1"/>
  <c r="N34" i="5" s="1"/>
  <c r="O34" i="5" s="1"/>
  <c r="M34" i="5" a="1"/>
  <c r="M34" i="5" s="1"/>
  <c r="L34" i="5"/>
  <c r="K34" i="5" a="1"/>
  <c r="K34" i="5" s="1"/>
  <c r="F34" i="5"/>
  <c r="N33" i="5" a="1"/>
  <c r="N33" i="5" s="1"/>
  <c r="O33" i="5" s="1"/>
  <c r="M33" i="5" a="1"/>
  <c r="M33" i="5" s="1"/>
  <c r="L33" i="5"/>
  <c r="K33" i="5" a="1"/>
  <c r="K33" i="5" s="1"/>
  <c r="F33" i="5"/>
  <c r="N32" i="5" a="1"/>
  <c r="N32" i="5" s="1"/>
  <c r="O32" i="5" s="1"/>
  <c r="M32" i="5" a="1"/>
  <c r="M32" i="5" s="1"/>
  <c r="L32" i="5"/>
  <c r="K32" i="5" a="1"/>
  <c r="K32" i="5" s="1"/>
  <c r="F32" i="5"/>
  <c r="N31" i="5" a="1"/>
  <c r="N31" i="5" s="1"/>
  <c r="O31" i="5" s="1"/>
  <c r="M31" i="5" a="1"/>
  <c r="M31" i="5" s="1"/>
  <c r="L31" i="5"/>
  <c r="K31" i="5" a="1"/>
  <c r="K31" i="5" s="1"/>
  <c r="F31" i="5"/>
  <c r="N30" i="5" a="1"/>
  <c r="N30" i="5" s="1"/>
  <c r="O30" i="5" s="1"/>
  <c r="M30" i="5" a="1"/>
  <c r="M30" i="5" s="1"/>
  <c r="L30" i="5"/>
  <c r="K30" i="5" a="1"/>
  <c r="K30" i="5" s="1"/>
  <c r="F30" i="5"/>
  <c r="N29" i="5" a="1"/>
  <c r="N29" i="5" s="1"/>
  <c r="O29" i="5" s="1"/>
  <c r="M29" i="5" a="1"/>
  <c r="M29" i="5" s="1"/>
  <c r="L29" i="5"/>
  <c r="K29" i="5" a="1"/>
  <c r="K29" i="5" s="1"/>
  <c r="F29" i="5"/>
  <c r="N28" i="5" a="1"/>
  <c r="N28" i="5" s="1"/>
  <c r="O28" i="5" s="1"/>
  <c r="M28" i="5" a="1"/>
  <c r="M28" i="5" s="1"/>
  <c r="L28" i="5"/>
  <c r="K28" i="5" a="1"/>
  <c r="K28" i="5" s="1"/>
  <c r="F28" i="5"/>
  <c r="N27" i="5" a="1"/>
  <c r="N27" i="5" s="1"/>
  <c r="O27" i="5" s="1"/>
  <c r="M27" i="5" a="1"/>
  <c r="M27" i="5" s="1"/>
  <c r="L27" i="5"/>
  <c r="K27" i="5" a="1"/>
  <c r="K27" i="5" s="1"/>
  <c r="F27" i="5"/>
  <c r="N26" i="5" a="1"/>
  <c r="N26" i="5" s="1"/>
  <c r="O26" i="5" s="1"/>
  <c r="M26" i="5" a="1"/>
  <c r="M26" i="5" s="1"/>
  <c r="L26" i="5"/>
  <c r="K26" i="5" a="1"/>
  <c r="K26" i="5" s="1"/>
  <c r="F26" i="5"/>
  <c r="N25" i="5" a="1"/>
  <c r="N25" i="5" s="1"/>
  <c r="O25" i="5" s="1"/>
  <c r="M25" i="5" a="1"/>
  <c r="M25" i="5" s="1"/>
  <c r="L25" i="5"/>
  <c r="K25" i="5" a="1"/>
  <c r="K25" i="5" s="1"/>
  <c r="F25" i="5"/>
  <c r="N24" i="5" a="1"/>
  <c r="N24" i="5" s="1"/>
  <c r="O24" i="5" s="1"/>
  <c r="M24" i="5" a="1"/>
  <c r="M24" i="5" s="1"/>
  <c r="L24" i="5"/>
  <c r="K24" i="5" a="1"/>
  <c r="K24" i="5" s="1"/>
  <c r="F24" i="5"/>
  <c r="N23" i="5" a="1"/>
  <c r="N23" i="5" s="1"/>
  <c r="O23" i="5" s="1"/>
  <c r="M23" i="5" a="1"/>
  <c r="M23" i="5" s="1"/>
  <c r="L23" i="5"/>
  <c r="K23" i="5" a="1"/>
  <c r="K23" i="5" s="1"/>
  <c r="F23" i="5"/>
  <c r="N22" i="5" a="1"/>
  <c r="N22" i="5" s="1"/>
  <c r="O22" i="5" s="1"/>
  <c r="M22" i="5" a="1"/>
  <c r="M22" i="5" s="1"/>
  <c r="L22" i="5"/>
  <c r="K22" i="5" a="1"/>
  <c r="K22" i="5" s="1"/>
  <c r="F22" i="5"/>
  <c r="N21" i="5" a="1"/>
  <c r="N21" i="5" s="1"/>
  <c r="O21" i="5" s="1"/>
  <c r="M21" i="5" a="1"/>
  <c r="M21" i="5" s="1"/>
  <c r="L21" i="5"/>
  <c r="K21" i="5" a="1"/>
  <c r="K21" i="5" s="1"/>
  <c r="F21" i="5"/>
  <c r="N20" i="5" a="1"/>
  <c r="N20" i="5" s="1"/>
  <c r="O20" i="5" s="1"/>
  <c r="M20" i="5" a="1"/>
  <c r="M20" i="5" s="1"/>
  <c r="L20" i="5"/>
  <c r="K20" i="5" a="1"/>
  <c r="K20" i="5" s="1"/>
  <c r="F20" i="5"/>
  <c r="N19" i="5" a="1"/>
  <c r="N19" i="5" s="1"/>
  <c r="O19" i="5" s="1"/>
  <c r="M19" i="5" a="1"/>
  <c r="M19" i="5" s="1"/>
  <c r="L19" i="5"/>
  <c r="K19" i="5" a="1"/>
  <c r="K19" i="5" s="1"/>
  <c r="F19" i="5"/>
  <c r="N18" i="5" a="1"/>
  <c r="N18" i="5" s="1"/>
  <c r="O18" i="5" s="1"/>
  <c r="M18" i="5" a="1"/>
  <c r="M18" i="5" s="1"/>
  <c r="L18" i="5"/>
  <c r="K18" i="5" a="1"/>
  <c r="K18" i="5" s="1"/>
  <c r="F18" i="5"/>
  <c r="N17" i="5" a="1"/>
  <c r="N17" i="5" s="1"/>
  <c r="O17" i="5" s="1"/>
  <c r="M17" i="5" a="1"/>
  <c r="M17" i="5" s="1"/>
  <c r="L17" i="5"/>
  <c r="K17" i="5" a="1"/>
  <c r="K17" i="5" s="1"/>
  <c r="F17" i="5"/>
  <c r="N16" i="5" a="1"/>
  <c r="N16" i="5" s="1"/>
  <c r="O16" i="5" s="1"/>
  <c r="M16" i="5" a="1"/>
  <c r="M16" i="5" s="1"/>
  <c r="L16" i="5"/>
  <c r="K16" i="5" a="1"/>
  <c r="K16" i="5" s="1"/>
  <c r="F16" i="5"/>
  <c r="N15" i="5" a="1"/>
  <c r="N15" i="5" s="1"/>
  <c r="O15" i="5" s="1"/>
  <c r="M15" i="5" a="1"/>
  <c r="M15" i="5" s="1"/>
  <c r="L15" i="5"/>
  <c r="K15" i="5" a="1"/>
  <c r="K15" i="5" s="1"/>
  <c r="F15" i="5"/>
  <c r="N14" i="5" a="1"/>
  <c r="N14" i="5" s="1"/>
  <c r="O14" i="5" s="1"/>
  <c r="M14" i="5" a="1"/>
  <c r="M14" i="5" s="1"/>
  <c r="L14" i="5"/>
  <c r="K14" i="5" a="1"/>
  <c r="K14" i="5" s="1"/>
  <c r="F14" i="5"/>
  <c r="N13" i="5" a="1"/>
  <c r="N13" i="5" s="1"/>
  <c r="O13" i="5" s="1"/>
  <c r="M13" i="5" a="1"/>
  <c r="M13" i="5" s="1"/>
  <c r="L13" i="5"/>
  <c r="K13" i="5" a="1"/>
  <c r="K13" i="5" s="1"/>
  <c r="F13" i="5"/>
  <c r="N12" i="5" a="1"/>
  <c r="N12" i="5" s="1"/>
  <c r="O12" i="5" s="1"/>
  <c r="M12" i="5" a="1"/>
  <c r="M12" i="5" s="1"/>
  <c r="L12" i="5"/>
  <c r="K12" i="5" a="1"/>
  <c r="K12" i="5" s="1"/>
  <c r="F12" i="5"/>
  <c r="N11" i="5" a="1"/>
  <c r="N11" i="5" s="1"/>
  <c r="O11" i="5" s="1"/>
  <c r="M11" i="5" a="1"/>
  <c r="M11" i="5" s="1"/>
  <c r="L11" i="5"/>
  <c r="K11" i="5" a="1"/>
  <c r="K11" i="5" s="1"/>
  <c r="F11" i="5"/>
  <c r="N10" i="5" a="1"/>
  <c r="N10" i="5" s="1"/>
  <c r="O10" i="5" s="1"/>
  <c r="M10" i="5" a="1"/>
  <c r="M10" i="5" s="1"/>
  <c r="L10" i="5"/>
  <c r="K10" i="5" a="1"/>
  <c r="K10" i="5" s="1"/>
  <c r="F10" i="5"/>
  <c r="N9" i="5" a="1"/>
  <c r="N9" i="5" s="1"/>
  <c r="O9" i="5" s="1"/>
  <c r="M9" i="5" a="1"/>
  <c r="M9" i="5" s="1"/>
  <c r="L9" i="5"/>
  <c r="K9" i="5" a="1"/>
  <c r="K9" i="5" s="1"/>
  <c r="F9" i="5"/>
  <c r="N8" i="5" a="1"/>
  <c r="N8" i="5" s="1"/>
  <c r="O8" i="5" s="1"/>
  <c r="M8" i="5" a="1"/>
  <c r="M8" i="5" s="1"/>
  <c r="L8" i="5"/>
  <c r="K8" i="5" a="1"/>
  <c r="K8" i="5" s="1"/>
  <c r="F8" i="5"/>
  <c r="N7" i="5" a="1"/>
  <c r="N7" i="5" s="1"/>
  <c r="O7" i="5" s="1"/>
  <c r="M7" i="5" a="1"/>
  <c r="M7" i="5" s="1"/>
  <c r="L7" i="5"/>
  <c r="K7" i="5" a="1"/>
  <c r="K7" i="5" s="1"/>
  <c r="F7" i="5"/>
  <c r="N6" i="5" a="1"/>
  <c r="N6" i="5" s="1"/>
  <c r="O6" i="5" s="1"/>
  <c r="M6" i="5" a="1"/>
  <c r="M6" i="5" s="1"/>
  <c r="L6" i="5"/>
  <c r="K6" i="5" a="1"/>
  <c r="K6" i="5" s="1"/>
  <c r="F6" i="5"/>
  <c r="N5" i="5" a="1"/>
  <c r="N5" i="5" s="1"/>
  <c r="O5" i="5" s="1"/>
  <c r="M5" i="5" a="1"/>
  <c r="M5" i="5" s="1"/>
  <c r="L5" i="5"/>
  <c r="K5" i="5" a="1"/>
  <c r="K5" i="5" s="1"/>
  <c r="F5" i="5"/>
  <c r="N4" i="5" a="1"/>
  <c r="N4" i="5" s="1"/>
  <c r="O4" i="5" s="1"/>
  <c r="M4" i="5" a="1"/>
  <c r="M4" i="5" s="1"/>
  <c r="L4" i="5"/>
  <c r="K4" i="5" a="1"/>
  <c r="K4" i="5" s="1"/>
  <c r="F4" i="5"/>
  <c r="N3" i="5" a="1"/>
  <c r="N3" i="5" s="1"/>
  <c r="O3" i="5" s="1"/>
  <c r="M3" i="5" a="1"/>
  <c r="M3" i="5" s="1"/>
  <c r="L3" i="5"/>
  <c r="K3" i="5" a="1"/>
  <c r="K3" i="5" s="1"/>
  <c r="F3" i="5"/>
  <c r="N2" i="5" a="1"/>
  <c r="N2" i="5" s="1"/>
  <c r="O2" i="5" s="1"/>
  <c r="M2" i="5" a="1"/>
  <c r="M2" i="5" s="1"/>
  <c r="L2" i="5"/>
  <c r="K2" i="5" a="1"/>
  <c r="K2" i="5" s="1"/>
  <c r="F2" i="5"/>
  <c r="K2" i="4" a="1"/>
  <c r="K2" i="4"/>
  <c r="K3" i="4" a="1"/>
  <c r="K3" i="4"/>
  <c r="K4" i="4" a="1"/>
  <c r="K4" i="4"/>
  <c r="K5" i="4" a="1"/>
  <c r="K5" i="4"/>
  <c r="K6" i="4" a="1"/>
  <c r="K6" i="4"/>
  <c r="K7" i="4" a="1"/>
  <c r="K7" i="4"/>
  <c r="K8" i="4" a="1"/>
  <c r="K8" i="4"/>
  <c r="K9" i="4" a="1"/>
  <c r="K9" i="4"/>
  <c r="K10" i="4" a="1"/>
  <c r="K10" i="4"/>
  <c r="K11" i="4" a="1"/>
  <c r="K11" i="4"/>
  <c r="K12" i="4" a="1"/>
  <c r="K12" i="4"/>
  <c r="K13" i="4" a="1"/>
  <c r="K13" i="4"/>
  <c r="K14" i="4" a="1"/>
  <c r="K14" i="4"/>
  <c r="K15" i="4" a="1"/>
  <c r="K15" i="4"/>
  <c r="K16" i="4" a="1"/>
  <c r="K16" i="4"/>
  <c r="K17" i="4" a="1"/>
  <c r="K17" i="4"/>
  <c r="K18" i="4" a="1"/>
  <c r="K18" i="4"/>
  <c r="K19" i="4" a="1"/>
  <c r="K19" i="4"/>
  <c r="K20" i="4" a="1"/>
  <c r="K20" i="4"/>
  <c r="K21" i="4" a="1"/>
  <c r="K21" i="4"/>
  <c r="K22" i="4" a="1"/>
  <c r="K22" i="4"/>
  <c r="K23" i="4" a="1"/>
  <c r="K23" i="4"/>
  <c r="K24" i="4" a="1"/>
  <c r="K24" i="4"/>
  <c r="K25" i="4" a="1"/>
  <c r="K25" i="4"/>
  <c r="K26" i="4" a="1"/>
  <c r="K26" i="4"/>
  <c r="K27" i="4" a="1"/>
  <c r="K27" i="4"/>
  <c r="K28" i="4" a="1"/>
  <c r="K28" i="4"/>
  <c r="K29" i="4" a="1"/>
  <c r="K29" i="4"/>
  <c r="K30" i="4" a="1"/>
  <c r="K30" i="4"/>
  <c r="K31" i="4" a="1"/>
  <c r="K31" i="4"/>
  <c r="K32" i="4" a="1"/>
  <c r="K32" i="4"/>
  <c r="K33" i="4" a="1"/>
  <c r="K33" i="4"/>
  <c r="K34" i="4" a="1"/>
  <c r="K34" i="4"/>
  <c r="K35" i="4" a="1"/>
  <c r="K35" i="4"/>
  <c r="K36" i="4" a="1"/>
  <c r="K36" i="4"/>
  <c r="K37" i="4" a="1"/>
  <c r="K37" i="4"/>
  <c r="K38" i="4" a="1"/>
  <c r="K38" i="4"/>
  <c r="K39" i="4" a="1"/>
  <c r="K39" i="4"/>
  <c r="K40" i="4" a="1"/>
  <c r="K40" i="4"/>
  <c r="K41" i="4" a="1"/>
  <c r="K41" i="4"/>
  <c r="K42" i="4" a="1"/>
  <c r="K42" i="4"/>
  <c r="K43" i="4" a="1"/>
  <c r="K43" i="4"/>
  <c r="K44" i="4" a="1"/>
  <c r="K44" i="4"/>
  <c r="K45" i="4" a="1"/>
  <c r="K45" i="4"/>
  <c r="K46" i="4" a="1"/>
  <c r="K46" i="4"/>
  <c r="K47" i="4" a="1"/>
  <c r="K47" i="4"/>
  <c r="K48" i="4" a="1"/>
  <c r="K48" i="4"/>
  <c r="K49" i="4" a="1"/>
  <c r="K49" i="4"/>
  <c r="K50" i="4" a="1"/>
  <c r="K50" i="4"/>
  <c r="K51" i="4" a="1"/>
  <c r="K51" i="4"/>
  <c r="K52" i="4" a="1"/>
  <c r="K52" i="4"/>
  <c r="K53" i="4" a="1"/>
  <c r="K53" i="4"/>
  <c r="K54" i="4" a="1"/>
  <c r="K54" i="4"/>
  <c r="K55" i="4" a="1"/>
  <c r="K55" i="4"/>
  <c r="K56" i="4" a="1"/>
  <c r="K56" i="4"/>
  <c r="K57" i="4" a="1"/>
  <c r="K57" i="4"/>
  <c r="K58" i="4" a="1"/>
  <c r="K58" i="4"/>
  <c r="K59" i="4" a="1"/>
  <c r="K59" i="4"/>
  <c r="K60" i="4" a="1"/>
  <c r="K60" i="4"/>
  <c r="K61" i="4" a="1"/>
  <c r="K61" i="4"/>
  <c r="K62" i="4" a="1"/>
  <c r="K62" i="4"/>
  <c r="K63" i="4" a="1"/>
  <c r="K63" i="4"/>
  <c r="K64" i="4" a="1"/>
  <c r="K64" i="4"/>
  <c r="K65" i="4" a="1"/>
  <c r="K65" i="4"/>
  <c r="K66" i="4" a="1"/>
  <c r="K66" i="4"/>
  <c r="K67" i="4" a="1"/>
  <c r="K67" i="4"/>
  <c r="K68" i="4" a="1"/>
  <c r="K68" i="4"/>
  <c r="K69" i="4" a="1"/>
  <c r="K69" i="4"/>
  <c r="K70" i="4" a="1"/>
  <c r="K70" i="4"/>
  <c r="K71" i="4" a="1"/>
  <c r="K71" i="4"/>
  <c r="K72" i="4" a="1"/>
  <c r="K72" i="4"/>
  <c r="K73" i="4" a="1"/>
  <c r="K73" i="4"/>
  <c r="K74" i="4" a="1"/>
  <c r="K74" i="4"/>
  <c r="K75" i="4" a="1"/>
  <c r="K75" i="4"/>
  <c r="K76" i="4" a="1"/>
  <c r="K76" i="4"/>
  <c r="K77" i="4" a="1"/>
  <c r="K77" i="4"/>
  <c r="K78" i="4" a="1"/>
  <c r="K78" i="4"/>
  <c r="K79" i="4" a="1"/>
  <c r="K79" i="4"/>
  <c r="K80" i="4" a="1"/>
  <c r="K80" i="4"/>
  <c r="K81" i="4" a="1"/>
  <c r="K81" i="4"/>
  <c r="K82" i="4" a="1"/>
  <c r="K82" i="4"/>
  <c r="K83" i="4" a="1"/>
  <c r="K83" i="4"/>
  <c r="K84" i="4" a="1"/>
  <c r="K84" i="4"/>
  <c r="K85" i="4" a="1"/>
  <c r="K85" i="4"/>
  <c r="K86" i="4" a="1"/>
  <c r="K86" i="4"/>
  <c r="K87" i="4" a="1"/>
  <c r="K87" i="4"/>
  <c r="K88" i="4" a="1"/>
  <c r="K88" i="4"/>
  <c r="K89" i="4" a="1"/>
  <c r="K89" i="4"/>
  <c r="K90" i="4" a="1"/>
  <c r="K90" i="4"/>
  <c r="K91" i="4" a="1"/>
  <c r="K91" i="4"/>
  <c r="K92" i="4" a="1"/>
  <c r="K92" i="4"/>
  <c r="K93" i="4" a="1"/>
  <c r="K93" i="4"/>
  <c r="K94" i="4" a="1"/>
  <c r="K94" i="4"/>
  <c r="K95" i="4" a="1"/>
  <c r="K95" i="4"/>
  <c r="K96" i="4" a="1"/>
  <c r="K96" i="4"/>
  <c r="K97" i="4" a="1"/>
  <c r="K97" i="4"/>
  <c r="K98" i="4" a="1"/>
  <c r="K98" i="4"/>
  <c r="K99" i="4" a="1"/>
  <c r="K99" i="4"/>
  <c r="K100" i="4" a="1"/>
  <c r="K100" i="4"/>
  <c r="K101" i="4" a="1"/>
  <c r="K101" i="4"/>
  <c r="K102" i="4" a="1"/>
  <c r="K102" i="4"/>
  <c r="K103" i="4" a="1"/>
  <c r="K103" i="4"/>
  <c r="K104" i="4" a="1"/>
  <c r="K104" i="4"/>
  <c r="K105" i="4" a="1"/>
  <c r="K105" i="4"/>
  <c r="K106" i="4" a="1"/>
  <c r="K106" i="4"/>
  <c r="K107" i="4" a="1"/>
  <c r="K107" i="4"/>
  <c r="K108" i="4" a="1"/>
  <c r="K108" i="4"/>
  <c r="K109" i="4" a="1"/>
  <c r="K109" i="4"/>
  <c r="K110" i="4" a="1"/>
  <c r="K110" i="4"/>
  <c r="K111" i="4" a="1"/>
  <c r="K111" i="4"/>
  <c r="K112" i="4" a="1"/>
  <c r="K112" i="4"/>
  <c r="K113" i="4" a="1"/>
  <c r="K113" i="4"/>
  <c r="K114" i="4" a="1"/>
  <c r="K114" i="4"/>
  <c r="K115" i="4" a="1"/>
  <c r="K115" i="4"/>
  <c r="K116" i="4" a="1"/>
  <c r="K116" i="4"/>
  <c r="K117" i="4" a="1"/>
  <c r="K117" i="4"/>
  <c r="K118" i="4" a="1"/>
  <c r="K118" i="4"/>
  <c r="K119" i="4" a="1"/>
  <c r="K119" i="4"/>
  <c r="K120" i="4" a="1"/>
  <c r="K120" i="4"/>
  <c r="K121" i="4" a="1"/>
  <c r="K121" i="4"/>
  <c r="K122" i="4" a="1"/>
  <c r="K122" i="4"/>
  <c r="K123" i="4" a="1"/>
  <c r="K123" i="4"/>
  <c r="K124" i="4" a="1"/>
  <c r="K124" i="4"/>
  <c r="K125" i="4" a="1"/>
  <c r="K125" i="4"/>
  <c r="K126" i="4" a="1"/>
  <c r="K126" i="4"/>
  <c r="K127" i="4" a="1"/>
  <c r="K127" i="4"/>
  <c r="K128" i="4" a="1"/>
  <c r="K128" i="4"/>
  <c r="K129" i="4" a="1"/>
  <c r="K129" i="4"/>
  <c r="K130" i="4" a="1"/>
  <c r="K130" i="4"/>
  <c r="K131" i="4" a="1"/>
  <c r="K131" i="4"/>
  <c r="K132" i="4" a="1"/>
  <c r="K132" i="4"/>
  <c r="K133" i="4" a="1"/>
  <c r="K133" i="4"/>
  <c r="K134" i="4" a="1"/>
  <c r="K134" i="4"/>
  <c r="K135" i="4" a="1"/>
  <c r="K135" i="4"/>
  <c r="K136" i="4" a="1"/>
  <c r="K136" i="4"/>
  <c r="K137" i="4" a="1"/>
  <c r="K137" i="4"/>
  <c r="K138" i="4" a="1"/>
  <c r="K138" i="4"/>
  <c r="K139" i="4" a="1"/>
  <c r="K139" i="4"/>
  <c r="K140" i="4" a="1"/>
  <c r="K140" i="4"/>
  <c r="K141" i="4" a="1"/>
  <c r="K141" i="4"/>
  <c r="K142" i="4" a="1"/>
  <c r="K142" i="4"/>
  <c r="K143" i="4" a="1"/>
  <c r="K143" i="4"/>
  <c r="K144" i="4" a="1"/>
  <c r="K144" i="4"/>
  <c r="K145" i="4" a="1"/>
  <c r="K145" i="4"/>
  <c r="K146" i="4" a="1"/>
  <c r="K146" i="4"/>
  <c r="K147" i="4" a="1"/>
  <c r="K147" i="4"/>
  <c r="K148" i="4" a="1"/>
  <c r="K148" i="4"/>
  <c r="K149" i="4" a="1"/>
  <c r="K149" i="4"/>
  <c r="K150" i="4" a="1"/>
  <c r="K150" i="4"/>
  <c r="K151" i="4" a="1"/>
  <c r="K151" i="4"/>
  <c r="K152" i="4" a="1"/>
  <c r="K152" i="4"/>
  <c r="K153" i="4" a="1"/>
  <c r="K153" i="4"/>
  <c r="K154" i="4" a="1"/>
  <c r="K154" i="4"/>
  <c r="K155" i="4" a="1"/>
  <c r="K155" i="4"/>
  <c r="K156" i="4" a="1"/>
  <c r="K156" i="4"/>
  <c r="K157" i="4" a="1"/>
  <c r="K157" i="4"/>
  <c r="K158" i="4" a="1"/>
  <c r="K158" i="4"/>
  <c r="K159" i="4" a="1"/>
  <c r="K159" i="4"/>
  <c r="K160" i="4" a="1"/>
  <c r="K160" i="4"/>
  <c r="K161" i="4" a="1"/>
  <c r="K161" i="4"/>
  <c r="K162" i="4" a="1"/>
  <c r="K162" i="4"/>
  <c r="K163" i="4" a="1"/>
  <c r="K163" i="4"/>
  <c r="K164" i="4" a="1"/>
  <c r="K164" i="4"/>
  <c r="K165" i="4" a="1"/>
  <c r="K165" i="4"/>
  <c r="K166" i="4" a="1"/>
  <c r="K166" i="4"/>
  <c r="K167" i="4" a="1"/>
  <c r="K167" i="4"/>
  <c r="K168" i="4" a="1"/>
  <c r="K168" i="4"/>
  <c r="K169" i="4" a="1"/>
  <c r="K169" i="4"/>
  <c r="K170" i="4" a="1"/>
  <c r="K170" i="4"/>
  <c r="K171" i="4" a="1"/>
  <c r="K171" i="4"/>
  <c r="K172" i="4" a="1"/>
  <c r="K172" i="4"/>
  <c r="K173" i="4" a="1"/>
  <c r="K173" i="4"/>
  <c r="K174" i="4" a="1"/>
  <c r="K174" i="4"/>
  <c r="K175" i="4" a="1"/>
  <c r="K175" i="4"/>
  <c r="K176" i="4" a="1"/>
  <c r="K176" i="4"/>
  <c r="K177" i="4" a="1"/>
  <c r="K177" i="4"/>
  <c r="K178" i="4" a="1"/>
  <c r="K178" i="4"/>
  <c r="K179" i="4" a="1"/>
  <c r="K179" i="4"/>
  <c r="K180" i="4" a="1"/>
  <c r="K180" i="4"/>
  <c r="K181" i="4" a="1"/>
  <c r="K181" i="4"/>
  <c r="K182" i="4" a="1"/>
  <c r="K182" i="4"/>
  <c r="K183" i="4" a="1"/>
  <c r="K183" i="4"/>
  <c r="K184" i="4" a="1"/>
  <c r="K184" i="4"/>
  <c r="K185" i="4" a="1"/>
  <c r="K185" i="4"/>
  <c r="K186" i="4" a="1"/>
  <c r="K186" i="4"/>
  <c r="K187" i="4" a="1"/>
  <c r="K187" i="4"/>
  <c r="K188" i="4" a="1"/>
  <c r="K188" i="4"/>
  <c r="K189" i="4" a="1"/>
  <c r="K189" i="4"/>
  <c r="K190" i="4" a="1"/>
  <c r="K190" i="4"/>
  <c r="K191" i="4" a="1"/>
  <c r="K191" i="4"/>
  <c r="K192" i="4" a="1"/>
  <c r="K192" i="4"/>
  <c r="K193" i="4" a="1"/>
  <c r="K193" i="4"/>
  <c r="K194" i="4" a="1"/>
  <c r="K194" i="4"/>
  <c r="K195" i="4" a="1"/>
  <c r="K195" i="4"/>
  <c r="K196" i="4" a="1"/>
  <c r="K196" i="4"/>
  <c r="K197" i="4" a="1"/>
  <c r="K197" i="4"/>
  <c r="K198" i="4" a="1"/>
  <c r="K198" i="4"/>
  <c r="K199" i="4" a="1"/>
  <c r="K199" i="4"/>
  <c r="K200" i="4" a="1"/>
  <c r="K200" i="4"/>
  <c r="K201" i="4" a="1"/>
  <c r="K201" i="4"/>
  <c r="K202" i="4" a="1"/>
  <c r="K202" i="4"/>
  <c r="K203" i="4" a="1"/>
  <c r="K203" i="4"/>
  <c r="K204" i="4" a="1"/>
  <c r="K204" i="4"/>
  <c r="K205" i="4" a="1"/>
  <c r="K205" i="4"/>
  <c r="K206" i="4" a="1"/>
  <c r="K206" i="4"/>
  <c r="K207" i="4" a="1"/>
  <c r="K207" i="4"/>
  <c r="K208" i="4" a="1"/>
  <c r="K208" i="4"/>
  <c r="K209" i="4" a="1"/>
  <c r="K209" i="4"/>
  <c r="K210" i="4" a="1"/>
  <c r="K210" i="4"/>
  <c r="K211" i="4" a="1"/>
  <c r="K211" i="4"/>
  <c r="K212" i="4" a="1"/>
  <c r="K212" i="4"/>
  <c r="K213" i="4" a="1"/>
  <c r="K213" i="4"/>
  <c r="K214" i="4" a="1"/>
  <c r="K214" i="4"/>
  <c r="K215" i="4" a="1"/>
  <c r="K215" i="4"/>
  <c r="K216" i="4" a="1"/>
  <c r="K216" i="4"/>
  <c r="K217" i="4" a="1"/>
  <c r="K217" i="4"/>
  <c r="K218" i="4" a="1"/>
  <c r="K218" i="4"/>
  <c r="K219" i="4" a="1"/>
  <c r="K219" i="4"/>
  <c r="K220" i="4" a="1"/>
  <c r="K220" i="4"/>
  <c r="K221" i="4" a="1"/>
  <c r="K221" i="4"/>
  <c r="K222" i="4" a="1"/>
  <c r="K222" i="4"/>
  <c r="K223" i="4" a="1"/>
  <c r="K223" i="4"/>
  <c r="K224" i="4" a="1"/>
  <c r="K224" i="4"/>
  <c r="K225" i="4" a="1"/>
  <c r="K225" i="4"/>
  <c r="K226" i="4" a="1"/>
  <c r="K226" i="4"/>
  <c r="K227" i="4" a="1"/>
  <c r="K227" i="4"/>
  <c r="K228" i="4" a="1"/>
  <c r="K228" i="4"/>
  <c r="K229" i="4" a="1"/>
  <c r="K229" i="4"/>
  <c r="K230" i="4" a="1"/>
  <c r="K230" i="4"/>
  <c r="K231" i="4" a="1"/>
  <c r="K231" i="4"/>
  <c r="K232" i="4" a="1"/>
  <c r="K232" i="4"/>
  <c r="K233" i="4" a="1"/>
  <c r="K233" i="4"/>
  <c r="K234" i="4" a="1"/>
  <c r="K234" i="4"/>
  <c r="K235" i="4" a="1"/>
  <c r="K235" i="4"/>
  <c r="K236" i="4" a="1"/>
  <c r="K236" i="4"/>
  <c r="K237" i="4" a="1"/>
  <c r="K237" i="4"/>
  <c r="K238" i="4" a="1"/>
  <c r="K238" i="4"/>
  <c r="K239" i="4" a="1"/>
  <c r="K239" i="4"/>
  <c r="K240" i="4" a="1"/>
  <c r="K240" i="4"/>
  <c r="K241" i="4" a="1"/>
  <c r="K241" i="4"/>
  <c r="K242" i="4" a="1"/>
  <c r="K242" i="4"/>
  <c r="K243" i="4" a="1"/>
  <c r="K243" i="4"/>
  <c r="K244" i="4" a="1"/>
  <c r="K244" i="4"/>
  <c r="K245" i="4" a="1"/>
  <c r="K245" i="4"/>
  <c r="K246" i="4" a="1"/>
  <c r="K246" i="4"/>
  <c r="K247" i="4" a="1"/>
  <c r="K247" i="4"/>
  <c r="K248" i="4" a="1"/>
  <c r="K248" i="4"/>
  <c r="K249" i="4" a="1"/>
  <c r="K249" i="4"/>
  <c r="K250" i="4" a="1"/>
  <c r="K250" i="4"/>
  <c r="K251" i="4" a="1"/>
  <c r="K251" i="4"/>
  <c r="K252" i="4" a="1"/>
  <c r="K252" i="4"/>
  <c r="K253" i="4" a="1"/>
  <c r="K253" i="4"/>
  <c r="K254" i="4" a="1"/>
  <c r="K254" i="4"/>
  <c r="K255" i="4" a="1"/>
  <c r="K255" i="4"/>
  <c r="K256" i="4" a="1"/>
  <c r="K256" i="4"/>
  <c r="K257" i="4" a="1"/>
  <c r="K257" i="4"/>
  <c r="K258" i="4" a="1"/>
  <c r="K258" i="4"/>
  <c r="K259" i="4" a="1"/>
  <c r="K259" i="4"/>
  <c r="K260" i="4" a="1"/>
  <c r="K260" i="4"/>
  <c r="K261" i="4" a="1"/>
  <c r="K261" i="4"/>
  <c r="K262" i="4" a="1"/>
  <c r="K262" i="4"/>
  <c r="K263" i="4" a="1"/>
  <c r="K263" i="4"/>
  <c r="K264" i="4" a="1"/>
  <c r="K264" i="4"/>
  <c r="K265" i="4" a="1"/>
  <c r="K265" i="4"/>
  <c r="K266" i="4" a="1"/>
  <c r="K266" i="4"/>
  <c r="K267" i="4" a="1"/>
  <c r="K267" i="4"/>
  <c r="K268" i="4" a="1"/>
  <c r="K268" i="4"/>
  <c r="K269" i="4" a="1"/>
  <c r="K269" i="4"/>
  <c r="K270" i="4" a="1"/>
  <c r="K270" i="4"/>
  <c r="K271" i="4" a="1"/>
  <c r="K271" i="4"/>
  <c r="K272" i="4" a="1"/>
  <c r="K272" i="4"/>
  <c r="K273" i="4" a="1"/>
  <c r="K273" i="4"/>
  <c r="K274" i="4" a="1"/>
  <c r="K274" i="4"/>
  <c r="K275" i="4" a="1"/>
  <c r="K275" i="4"/>
  <c r="K276" i="4" a="1"/>
  <c r="K276" i="4"/>
  <c r="K277" i="4" a="1"/>
  <c r="K277" i="4"/>
  <c r="K278" i="4" a="1"/>
  <c r="K278" i="4"/>
  <c r="K279" i="4" a="1"/>
  <c r="K279" i="4"/>
  <c r="K280" i="4" a="1"/>
  <c r="K280" i="4"/>
  <c r="K281" i="4" a="1"/>
  <c r="K281" i="4"/>
  <c r="K282" i="4" a="1"/>
  <c r="K282" i="4"/>
  <c r="K283" i="4" a="1"/>
  <c r="K283" i="4"/>
  <c r="K284" i="4" a="1"/>
  <c r="K284" i="4"/>
  <c r="K285" i="4" a="1"/>
  <c r="K285" i="4"/>
  <c r="K286" i="4" a="1"/>
  <c r="K286" i="4"/>
  <c r="K287" i="4" a="1"/>
  <c r="K287" i="4"/>
  <c r="K288" i="4" a="1"/>
  <c r="K288" i="4"/>
  <c r="K289" i="4" a="1"/>
  <c r="K289" i="4"/>
  <c r="K290" i="4" a="1"/>
  <c r="K290" i="4"/>
  <c r="K291" i="4" a="1"/>
  <c r="K291" i="4"/>
  <c r="K292" i="4" a="1"/>
  <c r="K292" i="4"/>
  <c r="K293" i="4" a="1"/>
  <c r="K293" i="4"/>
  <c r="K294" i="4" a="1"/>
  <c r="K294" i="4"/>
  <c r="K295" i="4" a="1"/>
  <c r="K295" i="4"/>
  <c r="K296" i="4" a="1"/>
  <c r="K296" i="4"/>
  <c r="K297" i="4" a="1"/>
  <c r="K297" i="4"/>
  <c r="K298" i="4" a="1"/>
  <c r="K298" i="4"/>
  <c r="K299" i="4" a="1"/>
  <c r="K299" i="4"/>
  <c r="K300" i="4" a="1"/>
  <c r="K300" i="4"/>
  <c r="K301" i="4" a="1"/>
  <c r="K301" i="4"/>
  <c r="K302" i="4" a="1"/>
  <c r="K302" i="4"/>
  <c r="K303" i="4" a="1"/>
  <c r="K303" i="4"/>
  <c r="K304" i="4" a="1"/>
  <c r="K304" i="4"/>
  <c r="K305" i="4" a="1"/>
  <c r="K305" i="4"/>
  <c r="K306" i="4" a="1"/>
  <c r="K306" i="4"/>
  <c r="K307" i="4" a="1"/>
  <c r="K307" i="4"/>
  <c r="K308" i="4" a="1"/>
  <c r="K308" i="4"/>
  <c r="K309" i="4" a="1"/>
  <c r="K309" i="4"/>
  <c r="K310" i="4" a="1"/>
  <c r="K310" i="4"/>
  <c r="K311" i="4" a="1"/>
  <c r="K311" i="4"/>
  <c r="K312" i="4" a="1"/>
  <c r="K312" i="4"/>
  <c r="K313" i="4" a="1"/>
  <c r="K313" i="4"/>
  <c r="K314" i="4" a="1"/>
  <c r="K314" i="4"/>
  <c r="K315" i="4" a="1"/>
  <c r="K315" i="4"/>
  <c r="K316" i="4" a="1"/>
  <c r="K316" i="4"/>
  <c r="K317" i="4" a="1"/>
  <c r="K317" i="4"/>
  <c r="K318" i="4" a="1"/>
  <c r="K318" i="4"/>
  <c r="K319" i="4" a="1"/>
  <c r="K319" i="4"/>
  <c r="K320" i="4" a="1"/>
  <c r="K320" i="4"/>
  <c r="K321" i="4" a="1"/>
  <c r="K321" i="4"/>
  <c r="K322" i="4" a="1"/>
  <c r="K322" i="4"/>
  <c r="K323" i="4" a="1"/>
  <c r="K323" i="4"/>
  <c r="K324" i="4" a="1"/>
  <c r="K324" i="4"/>
  <c r="K325" i="4" a="1"/>
  <c r="K325" i="4"/>
  <c r="K326" i="4" a="1"/>
  <c r="K326" i="4"/>
  <c r="K327" i="4" a="1"/>
  <c r="K327" i="4"/>
  <c r="K328" i="4" a="1"/>
  <c r="K328" i="4"/>
  <c r="K329" i="4" a="1"/>
  <c r="K329" i="4"/>
  <c r="K330" i="4" a="1"/>
  <c r="K330" i="4"/>
  <c r="K331" i="4" a="1"/>
  <c r="K331" i="4"/>
  <c r="K332" i="4" a="1"/>
  <c r="K332" i="4"/>
  <c r="K333" i="4" a="1"/>
  <c r="K333" i="4"/>
  <c r="K334" i="4" a="1"/>
  <c r="K334" i="4"/>
  <c r="K335" i="4" a="1"/>
  <c r="K335" i="4"/>
  <c r="K336" i="4" a="1"/>
  <c r="K336" i="4"/>
  <c r="K337" i="4" a="1"/>
  <c r="K337" i="4"/>
  <c r="K338" i="4" a="1"/>
  <c r="K338" i="4"/>
  <c r="K339" i="4" a="1"/>
  <c r="K339" i="4"/>
  <c r="K340" i="4" a="1"/>
  <c r="K340" i="4"/>
  <c r="K341" i="4" a="1"/>
  <c r="K341" i="4"/>
  <c r="K342" i="4" a="1"/>
  <c r="K342" i="4"/>
  <c r="K343" i="4" a="1"/>
  <c r="K343" i="4"/>
  <c r="K344" i="4" a="1"/>
  <c r="K344" i="4"/>
  <c r="K345" i="4" a="1"/>
  <c r="K345" i="4"/>
  <c r="K346" i="4" a="1"/>
  <c r="K346" i="4"/>
  <c r="K347" i="4" a="1"/>
  <c r="K347" i="4"/>
  <c r="K348" i="4" a="1"/>
  <c r="K348" i="4"/>
  <c r="K349" i="4" a="1"/>
  <c r="K349" i="4"/>
  <c r="K350" i="4" a="1"/>
  <c r="K350" i="4"/>
  <c r="K351" i="4" a="1"/>
  <c r="K351" i="4"/>
  <c r="K352" i="4" a="1"/>
  <c r="K352" i="4"/>
  <c r="K353" i="4" a="1"/>
  <c r="K353" i="4"/>
  <c r="K354" i="4" a="1"/>
  <c r="K354" i="4"/>
  <c r="K355" i="4" a="1"/>
  <c r="K355" i="4"/>
  <c r="K356" i="4" a="1"/>
  <c r="K356" i="4"/>
  <c r="K357" i="4" a="1"/>
  <c r="K357" i="4"/>
  <c r="K358" i="4" a="1"/>
  <c r="K358" i="4"/>
  <c r="K359" i="4" a="1"/>
  <c r="K359" i="4"/>
  <c r="K360" i="4" a="1"/>
  <c r="K360" i="4"/>
  <c r="K361" i="4" a="1"/>
  <c r="K361" i="4"/>
  <c r="K362" i="4" a="1"/>
  <c r="K362" i="4"/>
  <c r="K363" i="4" a="1"/>
  <c r="K363" i="4"/>
  <c r="K364" i="4" a="1"/>
  <c r="K364" i="4"/>
  <c r="K365" i="4" a="1"/>
  <c r="K365" i="4"/>
  <c r="K366" i="4" a="1"/>
  <c r="K366" i="4"/>
  <c r="K367" i="4" a="1"/>
  <c r="K367" i="4"/>
  <c r="K368" i="4" a="1"/>
  <c r="K368" i="4"/>
  <c r="K369" i="4" a="1"/>
  <c r="K369" i="4"/>
  <c r="K370" i="4" a="1"/>
  <c r="K370" i="4"/>
  <c r="K371" i="4" a="1"/>
  <c r="K371" i="4"/>
  <c r="K372" i="4" a="1"/>
  <c r="K372" i="4"/>
  <c r="K373" i="4" a="1"/>
  <c r="K373" i="4"/>
  <c r="K374" i="4" a="1"/>
  <c r="K374" i="4"/>
  <c r="K375" i="4" a="1"/>
  <c r="K375" i="4"/>
  <c r="K376" i="4" a="1"/>
  <c r="K376" i="4"/>
  <c r="K377" i="4" a="1"/>
  <c r="K377" i="4"/>
  <c r="K378" i="4" a="1"/>
  <c r="K378" i="4"/>
  <c r="K379" i="4" a="1"/>
  <c r="K379" i="4"/>
  <c r="K380" i="4" a="1"/>
  <c r="K380" i="4"/>
  <c r="K381" i="4" a="1"/>
  <c r="K381" i="4"/>
  <c r="K382" i="4" a="1"/>
  <c r="K382" i="4"/>
  <c r="K383" i="4" a="1"/>
  <c r="K383" i="4"/>
  <c r="K384" i="4" a="1"/>
  <c r="K384" i="4"/>
  <c r="K385" i="4" a="1"/>
  <c r="K385" i="4"/>
  <c r="K386" i="4" a="1"/>
  <c r="K386" i="4"/>
  <c r="K387" i="4" a="1"/>
  <c r="K387" i="4"/>
  <c r="K388" i="4" a="1"/>
  <c r="K388" i="4"/>
  <c r="K389" i="4" a="1"/>
  <c r="K389" i="4"/>
  <c r="K390" i="4" a="1"/>
  <c r="K390" i="4"/>
  <c r="K391" i="4" a="1"/>
  <c r="K391" i="4"/>
  <c r="K392" i="4" a="1"/>
  <c r="K392" i="4"/>
  <c r="K393" i="4" a="1"/>
  <c r="K393" i="4"/>
  <c r="K394" i="4" a="1"/>
  <c r="K394" i="4"/>
  <c r="K395" i="4" a="1"/>
  <c r="K395" i="4"/>
  <c r="K396" i="4" a="1"/>
  <c r="K396" i="4"/>
  <c r="K397" i="4" a="1"/>
  <c r="K397" i="4"/>
  <c r="K398" i="4" a="1"/>
  <c r="K398" i="4"/>
  <c r="K399" i="4" a="1"/>
  <c r="K399" i="4"/>
  <c r="K400" i="4" a="1"/>
  <c r="K400" i="4"/>
  <c r="K401" i="4" a="1"/>
  <c r="K401" i="4"/>
  <c r="K402" i="4" a="1"/>
  <c r="K402" i="4"/>
  <c r="K403" i="4" a="1"/>
  <c r="K403" i="4"/>
  <c r="K404" i="4" a="1"/>
  <c r="K404" i="4"/>
  <c r="K405" i="4" a="1"/>
  <c r="K405" i="4"/>
  <c r="K406" i="4" a="1"/>
  <c r="K406" i="4"/>
  <c r="K407" i="4" a="1"/>
  <c r="K407" i="4"/>
  <c r="K408" i="4" a="1"/>
  <c r="K408" i="4"/>
  <c r="K409" i="4" a="1"/>
  <c r="K409" i="4"/>
  <c r="K410" i="4" a="1"/>
  <c r="K410" i="4"/>
  <c r="K411" i="4" a="1"/>
  <c r="K411" i="4"/>
  <c r="K412" i="4" a="1"/>
  <c r="K412" i="4"/>
  <c r="K413" i="4" a="1"/>
  <c r="K413" i="4"/>
  <c r="K414" i="4" a="1"/>
  <c r="K414" i="4"/>
  <c r="K415" i="4" a="1"/>
  <c r="K415" i="4"/>
  <c r="K416" i="4" a="1"/>
  <c r="K416" i="4"/>
  <c r="K417" i="4" a="1"/>
  <c r="K417" i="4"/>
  <c r="K418" i="4" a="1"/>
  <c r="K418" i="4"/>
  <c r="K419" i="4" a="1"/>
  <c r="K419" i="4"/>
  <c r="K420" i="4" a="1"/>
  <c r="K420" i="4"/>
  <c r="K421" i="4" a="1"/>
  <c r="K421" i="4"/>
  <c r="K422" i="4" a="1"/>
  <c r="K422" i="4"/>
  <c r="K423" i="4" a="1"/>
  <c r="K423" i="4"/>
  <c r="K424" i="4" a="1"/>
  <c r="K424" i="4"/>
  <c r="K425" i="4" a="1"/>
  <c r="K425" i="4"/>
  <c r="K426" i="4" a="1"/>
  <c r="K426" i="4"/>
  <c r="K427" i="4" a="1"/>
  <c r="K427" i="4"/>
  <c r="K428" i="4" a="1"/>
  <c r="K428" i="4"/>
  <c r="K429" i="4" a="1"/>
  <c r="K429" i="4"/>
  <c r="K430" i="4" a="1"/>
  <c r="K430" i="4"/>
  <c r="K431" i="4" a="1"/>
  <c r="K431" i="4"/>
  <c r="K432" i="4" a="1"/>
  <c r="K432" i="4"/>
  <c r="K433" i="4" a="1"/>
  <c r="K433" i="4"/>
  <c r="K434" i="4" a="1"/>
  <c r="K434" i="4"/>
  <c r="K435" i="4" a="1"/>
  <c r="K435" i="4"/>
  <c r="K436" i="4" a="1"/>
  <c r="K436" i="4"/>
  <c r="K437" i="4" a="1"/>
  <c r="K437" i="4"/>
  <c r="K438" i="4" a="1"/>
  <c r="K438" i="4"/>
  <c r="K439" i="4" a="1"/>
  <c r="K439" i="4"/>
  <c r="K440" i="4" a="1"/>
  <c r="K440" i="4"/>
  <c r="K441" i="4" a="1"/>
  <c r="K441" i="4"/>
  <c r="K442" i="4" a="1"/>
  <c r="K442" i="4"/>
  <c r="K443" i="4" a="1"/>
  <c r="K443" i="4"/>
  <c r="K444" i="4" a="1"/>
  <c r="K444" i="4"/>
  <c r="K445" i="4" a="1"/>
  <c r="K445" i="4"/>
  <c r="K446" i="4" a="1"/>
  <c r="K446" i="4"/>
  <c r="K447" i="4" a="1"/>
  <c r="K447" i="4"/>
  <c r="K448" i="4" a="1"/>
  <c r="K448" i="4"/>
  <c r="K449" i="4" a="1"/>
  <c r="K449" i="4"/>
  <c r="K450" i="4" a="1"/>
  <c r="K450" i="4"/>
  <c r="K451" i="4" a="1"/>
  <c r="K451" i="4"/>
  <c r="K452" i="4" a="1"/>
  <c r="K452" i="4"/>
  <c r="K453" i="4" a="1"/>
  <c r="K453" i="4"/>
  <c r="K454" i="4" a="1"/>
  <c r="K454" i="4"/>
  <c r="K455" i="4" a="1"/>
  <c r="K455" i="4"/>
  <c r="K456" i="4" a="1"/>
  <c r="K456" i="4"/>
  <c r="K457" i="4" a="1"/>
  <c r="K457" i="4"/>
  <c r="K458" i="4" a="1"/>
  <c r="K458" i="4"/>
  <c r="K459" i="4" a="1"/>
  <c r="K459" i="4"/>
  <c r="K460" i="4" a="1"/>
  <c r="K460" i="4"/>
  <c r="K461" i="4" a="1"/>
  <c r="K461" i="4"/>
  <c r="K462" i="4" a="1"/>
  <c r="K462" i="4"/>
  <c r="K463" i="4" a="1"/>
  <c r="K463" i="4"/>
  <c r="K464" i="4" a="1"/>
  <c r="K464" i="4"/>
  <c r="K465" i="4" a="1"/>
  <c r="K465" i="4"/>
  <c r="K466" i="4" a="1"/>
  <c r="K466" i="4"/>
  <c r="K467" i="4" a="1"/>
  <c r="K467" i="4"/>
  <c r="K468" i="4" a="1"/>
  <c r="K468" i="4"/>
  <c r="K469" i="4" a="1"/>
  <c r="K469" i="4"/>
  <c r="K470" i="4" a="1"/>
  <c r="K470" i="4"/>
  <c r="K471" i="4" a="1"/>
  <c r="K471" i="4"/>
  <c r="K472" i="4" a="1"/>
  <c r="K472" i="4"/>
  <c r="K473" i="4" a="1"/>
  <c r="K473" i="4"/>
  <c r="K474" i="4" a="1"/>
  <c r="K474" i="4"/>
  <c r="K475" i="4" a="1"/>
  <c r="K475" i="4"/>
  <c r="K476" i="4" a="1"/>
  <c r="K476" i="4"/>
  <c r="K477" i="4" a="1"/>
  <c r="K477" i="4"/>
  <c r="K478" i="4" a="1"/>
  <c r="K478" i="4"/>
  <c r="K479" i="4" a="1"/>
  <c r="K479" i="4"/>
  <c r="K480" i="4" a="1"/>
  <c r="K480" i="4"/>
  <c r="K481" i="4" a="1"/>
  <c r="K481" i="4"/>
  <c r="K482" i="4" a="1"/>
  <c r="K482" i="4"/>
  <c r="K483" i="4" a="1"/>
  <c r="K483" i="4"/>
  <c r="K484" i="4" a="1"/>
  <c r="K484" i="4"/>
  <c r="K485" i="4" a="1"/>
  <c r="K485" i="4"/>
  <c r="K486" i="4" a="1"/>
  <c r="K486" i="4"/>
  <c r="K487" i="4" a="1"/>
  <c r="K487" i="4"/>
  <c r="K488" i="4" a="1"/>
  <c r="K488" i="4"/>
  <c r="K489" i="4" a="1"/>
  <c r="K489" i="4"/>
  <c r="K490" i="4" a="1"/>
  <c r="K490" i="4"/>
  <c r="K491" i="4" a="1"/>
  <c r="K491" i="4"/>
  <c r="K492" i="4" a="1"/>
  <c r="K492" i="4"/>
  <c r="K493" i="4" a="1"/>
  <c r="K493" i="4"/>
  <c r="K494" i="4" a="1"/>
  <c r="K494" i="4"/>
  <c r="K495" i="4" a="1"/>
  <c r="K495" i="4"/>
  <c r="K496" i="4" a="1"/>
  <c r="K496" i="4"/>
  <c r="K497" i="4" a="1"/>
  <c r="K497" i="4"/>
  <c r="K498" i="4" a="1"/>
  <c r="K498" i="4"/>
  <c r="K499" i="4" a="1"/>
  <c r="K499" i="4"/>
  <c r="K500" i="4" a="1"/>
  <c r="K500" i="4"/>
  <c r="K501" i="4" a="1"/>
  <c r="K501" i="4"/>
  <c r="K502" i="4" a="1"/>
  <c r="K502" i="4"/>
  <c r="K503" i="4" a="1"/>
  <c r="K503" i="4"/>
  <c r="K504" i="4" a="1"/>
  <c r="K504" i="4"/>
  <c r="K505" i="4" a="1"/>
  <c r="K505" i="4"/>
  <c r="K506" i="4" a="1"/>
  <c r="K506" i="4"/>
  <c r="K507" i="4" a="1"/>
  <c r="K507" i="4"/>
  <c r="K508" i="4" a="1"/>
  <c r="K508" i="4"/>
  <c r="K509" i="4" a="1"/>
  <c r="K509" i="4"/>
  <c r="K510" i="4" a="1"/>
  <c r="K510" i="4"/>
  <c r="K511" i="4" a="1"/>
  <c r="K511" i="4"/>
  <c r="K512" i="4" a="1"/>
  <c r="K512" i="4"/>
  <c r="K513" i="4" a="1"/>
  <c r="K513" i="4"/>
  <c r="K514" i="4" a="1"/>
  <c r="K514" i="4"/>
  <c r="K515" i="4" a="1"/>
  <c r="K515" i="4"/>
  <c r="K516" i="4" a="1"/>
  <c r="K516" i="4"/>
  <c r="K517" i="4" a="1"/>
  <c r="K517" i="4"/>
  <c r="K518" i="4" a="1"/>
  <c r="K518" i="4"/>
  <c r="K519" i="4" a="1"/>
  <c r="K519" i="4"/>
  <c r="K520" i="4" a="1"/>
  <c r="K520" i="4"/>
  <c r="K521" i="4" a="1"/>
  <c r="K521" i="4"/>
  <c r="K522" i="4" a="1"/>
  <c r="K522" i="4"/>
  <c r="K523" i="4" a="1"/>
  <c r="K523" i="4"/>
  <c r="K524" i="4" a="1"/>
  <c r="K524" i="4"/>
  <c r="K525" i="4" a="1"/>
  <c r="K525" i="4"/>
  <c r="K526" i="4" a="1"/>
  <c r="K526" i="4"/>
  <c r="K527" i="4" a="1"/>
  <c r="K527" i="4"/>
  <c r="K528" i="4" a="1"/>
  <c r="K528" i="4"/>
  <c r="K529" i="4" a="1"/>
  <c r="K529" i="4"/>
  <c r="K530" i="4" a="1"/>
  <c r="K530" i="4"/>
  <c r="K531" i="4" a="1"/>
  <c r="K531" i="4"/>
  <c r="K532" i="4" a="1"/>
  <c r="K532" i="4"/>
  <c r="K533" i="4" a="1"/>
  <c r="K533" i="4"/>
  <c r="K534" i="4" a="1"/>
  <c r="K534" i="4"/>
  <c r="K535" i="4" a="1"/>
  <c r="K535" i="4"/>
  <c r="K536" i="4" a="1"/>
  <c r="K536" i="4"/>
  <c r="K537" i="4" a="1"/>
  <c r="K537" i="4"/>
  <c r="K538" i="4" a="1"/>
  <c r="K538" i="4"/>
  <c r="K539" i="4" a="1"/>
  <c r="K539" i="4"/>
  <c r="K540" i="4" a="1"/>
  <c r="K540" i="4"/>
  <c r="K541" i="4" a="1"/>
  <c r="K541" i="4"/>
  <c r="K542" i="4" a="1"/>
  <c r="K542" i="4"/>
  <c r="K543" i="4" a="1"/>
  <c r="K543" i="4"/>
  <c r="K544" i="4" a="1"/>
  <c r="K544" i="4"/>
  <c r="K545" i="4" a="1"/>
  <c r="K545" i="4"/>
  <c r="K546" i="4" a="1"/>
  <c r="K546" i="4"/>
  <c r="K547" i="4" a="1"/>
  <c r="K547" i="4"/>
  <c r="K548" i="4" a="1"/>
  <c r="K548" i="4"/>
  <c r="K549" i="4" a="1"/>
  <c r="K549" i="4"/>
  <c r="K550" i="4" a="1"/>
  <c r="K550" i="4"/>
  <c r="K551" i="4" a="1"/>
  <c r="K551" i="4"/>
  <c r="K552" i="4" a="1"/>
  <c r="K552" i="4"/>
  <c r="K553" i="4" a="1"/>
  <c r="K553" i="4"/>
  <c r="K554" i="4" a="1"/>
  <c r="K554" i="4"/>
  <c r="K555" i="4" a="1"/>
  <c r="K555" i="4"/>
  <c r="K556" i="4" a="1"/>
  <c r="K556" i="4"/>
  <c r="K557" i="4" a="1"/>
  <c r="K557" i="4"/>
  <c r="K558" i="4" a="1"/>
  <c r="K558" i="4"/>
  <c r="K559" i="4" a="1"/>
  <c r="K559" i="4"/>
  <c r="K560" i="4" a="1"/>
  <c r="K560" i="4"/>
  <c r="K561" i="4" a="1"/>
  <c r="K561" i="4"/>
  <c r="K562" i="4" a="1"/>
  <c r="K562" i="4"/>
  <c r="K563" i="4" a="1"/>
  <c r="K563" i="4"/>
  <c r="K564" i="4" a="1"/>
  <c r="K564" i="4"/>
  <c r="K565" i="4" a="1"/>
  <c r="K565" i="4"/>
  <c r="K566" i="4" a="1"/>
  <c r="K566" i="4"/>
  <c r="K567" i="4" a="1"/>
  <c r="K567" i="4"/>
  <c r="K568" i="4" a="1"/>
  <c r="K568" i="4"/>
  <c r="K569" i="4" a="1"/>
  <c r="K569" i="4"/>
  <c r="K570" i="4" a="1"/>
  <c r="K570" i="4"/>
  <c r="K571" i="4" a="1"/>
  <c r="K571" i="4"/>
  <c r="K572" i="4" a="1"/>
  <c r="K572" i="4"/>
  <c r="K573" i="4" a="1"/>
  <c r="K573" i="4"/>
  <c r="K574" i="4" a="1"/>
  <c r="K574" i="4"/>
  <c r="K575" i="4" a="1"/>
  <c r="K575" i="4"/>
  <c r="K576" i="4" a="1"/>
  <c r="K576" i="4"/>
  <c r="K577" i="4" a="1"/>
  <c r="K577" i="4"/>
  <c r="K578" i="4" a="1"/>
  <c r="K578" i="4"/>
  <c r="K579" i="4" a="1"/>
  <c r="K579" i="4"/>
  <c r="K580" i="4" a="1"/>
  <c r="K580" i="4"/>
  <c r="K581" i="4" a="1"/>
  <c r="K581" i="4"/>
  <c r="K582" i="4" a="1"/>
  <c r="K582" i="4"/>
  <c r="K583" i="4" a="1"/>
  <c r="K583" i="4"/>
  <c r="K584" i="4" a="1"/>
  <c r="K584" i="4"/>
  <c r="K585" i="4" a="1"/>
  <c r="K585" i="4"/>
  <c r="K586" i="4" a="1"/>
  <c r="K586" i="4"/>
  <c r="K587" i="4" a="1"/>
  <c r="K587" i="4"/>
  <c r="K588" i="4" a="1"/>
  <c r="K588" i="4"/>
  <c r="K589" i="4" a="1"/>
  <c r="K589" i="4"/>
  <c r="K590" i="4" a="1"/>
  <c r="K590" i="4"/>
  <c r="K591" i="4" a="1"/>
  <c r="K591" i="4"/>
  <c r="K592" i="4" a="1"/>
  <c r="K592" i="4"/>
  <c r="K593" i="4" a="1"/>
  <c r="K593" i="4"/>
  <c r="K594" i="4" a="1"/>
  <c r="K594" i="4"/>
  <c r="K595" i="4" a="1"/>
  <c r="K595" i="4"/>
  <c r="K596" i="4" a="1"/>
  <c r="K596" i="4"/>
  <c r="K597" i="4" a="1"/>
  <c r="K597" i="4"/>
  <c r="K598" i="4" a="1"/>
  <c r="K598" i="4"/>
  <c r="K599" i="4" a="1"/>
  <c r="K599" i="4"/>
  <c r="K600" i="4" a="1"/>
  <c r="K600" i="4"/>
  <c r="K601" i="4" a="1"/>
  <c r="K601" i="4"/>
  <c r="K602" i="4" a="1"/>
  <c r="K602" i="4"/>
  <c r="K603" i="4" a="1"/>
  <c r="K603" i="4"/>
  <c r="K604" i="4" a="1"/>
  <c r="K604" i="4"/>
  <c r="K605" i="4" a="1"/>
  <c r="K605" i="4"/>
  <c r="K606" i="4" a="1"/>
  <c r="K606" i="4"/>
  <c r="K607" i="4" a="1"/>
  <c r="K607" i="4"/>
  <c r="K608" i="4" a="1"/>
  <c r="K608" i="4"/>
  <c r="K609" i="4" a="1"/>
  <c r="K609" i="4"/>
  <c r="K610" i="4" a="1"/>
  <c r="K610" i="4"/>
  <c r="K611" i="4" a="1"/>
  <c r="K611" i="4"/>
  <c r="K612" i="4" a="1"/>
  <c r="K612" i="4"/>
  <c r="K613" i="4" a="1"/>
  <c r="K613" i="4"/>
  <c r="K614" i="4" a="1"/>
  <c r="K614" i="4"/>
  <c r="K615" i="4" a="1"/>
  <c r="K615" i="4"/>
  <c r="K616" i="4" a="1"/>
  <c r="K616" i="4"/>
  <c r="K617" i="4" a="1"/>
  <c r="K617" i="4"/>
  <c r="K618" i="4" a="1"/>
  <c r="K618" i="4"/>
  <c r="K619" i="4" a="1"/>
  <c r="K619" i="4"/>
  <c r="K620" i="4" a="1"/>
  <c r="K620" i="4"/>
  <c r="K621" i="4" a="1"/>
  <c r="K621" i="4"/>
  <c r="K622" i="4" a="1"/>
  <c r="K622" i="4"/>
  <c r="K623" i="4" a="1"/>
  <c r="K623" i="4"/>
  <c r="K624" i="4" a="1"/>
  <c r="K624" i="4"/>
  <c r="K625" i="4" a="1"/>
  <c r="K625" i="4"/>
  <c r="K626" i="4" a="1"/>
  <c r="K626" i="4"/>
  <c r="K627" i="4" a="1"/>
  <c r="K627" i="4"/>
  <c r="K628" i="4" a="1"/>
  <c r="K628" i="4"/>
  <c r="K629" i="4" a="1"/>
  <c r="K629" i="4"/>
  <c r="K630" i="4" a="1"/>
  <c r="K630" i="4"/>
  <c r="K631" i="4" a="1"/>
  <c r="K631" i="4"/>
  <c r="K632" i="4" a="1"/>
  <c r="K632" i="4"/>
  <c r="K633" i="4" a="1"/>
  <c r="K633" i="4"/>
  <c r="K634" i="4" a="1"/>
  <c r="K634" i="4"/>
  <c r="K635" i="4" a="1"/>
  <c r="K635" i="4"/>
  <c r="K636" i="4" a="1"/>
  <c r="K636" i="4"/>
  <c r="K637" i="4" a="1"/>
  <c r="K637" i="4"/>
  <c r="K638" i="4" a="1"/>
  <c r="K638" i="4"/>
  <c r="K639" i="4" a="1"/>
  <c r="K639" i="4"/>
  <c r="K640" i="4" a="1"/>
  <c r="K640" i="4"/>
  <c r="K641" i="4" a="1"/>
  <c r="K641" i="4"/>
  <c r="K642" i="4" a="1"/>
  <c r="K642" i="4"/>
  <c r="K643" i="4" a="1"/>
  <c r="K643" i="4"/>
  <c r="K644" i="4" a="1"/>
  <c r="K644" i="4"/>
  <c r="K645" i="4" a="1"/>
  <c r="K645" i="4"/>
  <c r="K646" i="4" a="1"/>
  <c r="K646" i="4"/>
  <c r="K647" i="4" a="1"/>
  <c r="K647" i="4"/>
  <c r="K648" i="4" a="1"/>
  <c r="K648" i="4"/>
  <c r="K649" i="4" a="1"/>
  <c r="K649" i="4"/>
  <c r="K650" i="4" a="1"/>
  <c r="K650" i="4"/>
  <c r="K651" i="4" a="1"/>
  <c r="K651" i="4"/>
  <c r="K652" i="4" a="1"/>
  <c r="K652" i="4"/>
  <c r="K653" i="4" a="1"/>
  <c r="K653" i="4"/>
  <c r="K654" i="4" a="1"/>
  <c r="K654" i="4"/>
  <c r="K655" i="4" a="1"/>
  <c r="K655" i="4"/>
  <c r="K656" i="4" a="1"/>
  <c r="K656" i="4"/>
  <c r="K657" i="4" a="1"/>
  <c r="K657" i="4"/>
  <c r="K658" i="4" a="1"/>
  <c r="K658" i="4"/>
  <c r="K659" i="4" a="1"/>
  <c r="K659" i="4"/>
  <c r="K660" i="4" a="1"/>
  <c r="K660" i="4"/>
  <c r="K661" i="4" a="1"/>
  <c r="K661" i="4"/>
  <c r="K662" i="4" a="1"/>
  <c r="K662" i="4"/>
  <c r="K663" i="4" a="1"/>
  <c r="K663" i="4"/>
  <c r="K664" i="4" a="1"/>
  <c r="K664" i="4"/>
  <c r="K665" i="4" a="1"/>
  <c r="K665" i="4"/>
  <c r="K666" i="4" a="1"/>
  <c r="K666" i="4"/>
  <c r="K667" i="4" a="1"/>
  <c r="K667" i="4"/>
  <c r="K668" i="4" a="1"/>
  <c r="K668" i="4"/>
  <c r="K669" i="4" a="1"/>
  <c r="K669" i="4"/>
  <c r="K670" i="4" a="1"/>
  <c r="K670" i="4"/>
  <c r="K671" i="4" a="1"/>
  <c r="K671" i="4"/>
  <c r="K672" i="4" a="1"/>
  <c r="K672" i="4"/>
  <c r="K673" i="4" a="1"/>
  <c r="K673" i="4"/>
  <c r="K674" i="4" a="1"/>
  <c r="K674" i="4"/>
  <c r="K675" i="4" a="1"/>
  <c r="K675" i="4"/>
  <c r="K676" i="4" a="1"/>
  <c r="K676" i="4"/>
  <c r="K677" i="4" a="1"/>
  <c r="K677" i="4"/>
  <c r="K678" i="4" a="1"/>
  <c r="K678" i="4"/>
  <c r="K679" i="4" a="1"/>
  <c r="K679" i="4"/>
  <c r="K680" i="4" a="1"/>
  <c r="K680" i="4"/>
  <c r="K681" i="4" a="1"/>
  <c r="K681" i="4"/>
  <c r="K682" i="4" a="1"/>
  <c r="K682" i="4"/>
  <c r="K683" i="4" a="1"/>
  <c r="K683" i="4"/>
  <c r="K684" i="4" a="1"/>
  <c r="K684" i="4"/>
  <c r="K685" i="4" a="1"/>
  <c r="K685" i="4"/>
  <c r="K686" i="4" a="1"/>
  <c r="K686" i="4"/>
  <c r="K687" i="4" a="1"/>
  <c r="K687" i="4"/>
  <c r="K688" i="4" a="1"/>
  <c r="K688" i="4"/>
  <c r="K689" i="4" a="1"/>
  <c r="K689" i="4"/>
  <c r="K690" i="4" a="1"/>
  <c r="K690" i="4"/>
  <c r="K691" i="4" a="1"/>
  <c r="K691" i="4"/>
  <c r="K692" i="4" a="1"/>
  <c r="K692" i="4"/>
  <c r="K693" i="4" a="1"/>
  <c r="K693" i="4"/>
  <c r="K694" i="4" a="1"/>
  <c r="K694" i="4"/>
  <c r="K695" i="4" a="1"/>
  <c r="K695" i="4"/>
  <c r="K696" i="4" a="1"/>
  <c r="K696" i="4"/>
  <c r="K697" i="4" a="1"/>
  <c r="K697" i="4"/>
  <c r="K698" i="4" a="1"/>
  <c r="K698" i="4"/>
  <c r="K699" i="4" a="1"/>
  <c r="K699" i="4"/>
  <c r="K700" i="4" a="1"/>
  <c r="K700" i="4"/>
  <c r="K701" i="4" a="1"/>
  <c r="K701" i="4"/>
  <c r="K702" i="4" a="1"/>
  <c r="K702" i="4"/>
  <c r="K703" i="4" a="1"/>
  <c r="K703" i="4"/>
  <c r="K704" i="4" a="1"/>
  <c r="K704" i="4"/>
  <c r="K705" i="4" a="1"/>
  <c r="K705" i="4"/>
  <c r="K706" i="4" a="1"/>
  <c r="K706" i="4"/>
  <c r="K707" i="4" a="1"/>
  <c r="K707" i="4"/>
  <c r="K708" i="4" a="1"/>
  <c r="K708" i="4"/>
  <c r="K709" i="4" a="1"/>
  <c r="K709" i="4"/>
  <c r="K710" i="4" a="1"/>
  <c r="K710" i="4"/>
  <c r="K711" i="4" a="1"/>
  <c r="K711" i="4"/>
  <c r="K712" i="4" a="1"/>
  <c r="K712" i="4"/>
  <c r="K713" i="4" a="1"/>
  <c r="K713" i="4"/>
  <c r="K714" i="4" a="1"/>
  <c r="K714" i="4"/>
  <c r="K715" i="4" a="1"/>
  <c r="K715" i="4"/>
  <c r="K716" i="4" a="1"/>
  <c r="K716" i="4"/>
  <c r="K717" i="4" a="1"/>
  <c r="K717" i="4"/>
  <c r="K718" i="4" a="1"/>
  <c r="K718" i="4"/>
  <c r="K719" i="4" a="1"/>
  <c r="K719" i="4"/>
  <c r="K720" i="4" a="1"/>
  <c r="K720" i="4"/>
  <c r="K721" i="4" a="1"/>
  <c r="K721" i="4"/>
  <c r="K722" i="4" a="1"/>
  <c r="K722" i="4"/>
  <c r="K723" i="4" a="1"/>
  <c r="K723" i="4"/>
  <c r="K724" i="4" a="1"/>
  <c r="K724" i="4"/>
  <c r="K725" i="4" a="1"/>
  <c r="K725" i="4"/>
  <c r="K726" i="4" a="1"/>
  <c r="K726" i="4"/>
  <c r="K727" i="4" a="1"/>
  <c r="K727" i="4"/>
  <c r="K728" i="4" a="1"/>
  <c r="K728" i="4"/>
  <c r="K729" i="4" a="1"/>
  <c r="K729" i="4"/>
  <c r="K730" i="4" a="1"/>
  <c r="K730" i="4"/>
  <c r="K731" i="4" a="1"/>
  <c r="K731" i="4"/>
  <c r="K732" i="4" a="1"/>
  <c r="K732" i="4"/>
  <c r="K733" i="4" a="1"/>
  <c r="K733" i="4"/>
  <c r="K734" i="4" a="1"/>
  <c r="K734" i="4"/>
  <c r="K735" i="4" a="1"/>
  <c r="K735" i="4"/>
  <c r="K736" i="4" a="1"/>
  <c r="K736" i="4"/>
  <c r="K737" i="4" a="1"/>
  <c r="K737" i="4"/>
  <c r="K738" i="4" a="1"/>
  <c r="K738" i="4"/>
  <c r="K739" i="4" a="1"/>
  <c r="K739" i="4"/>
  <c r="K740" i="4" a="1"/>
  <c r="K740" i="4"/>
  <c r="K741" i="4" a="1"/>
  <c r="K741" i="4"/>
  <c r="K742" i="4" a="1"/>
  <c r="K742" i="4"/>
  <c r="K743" i="4" a="1"/>
  <c r="K743" i="4"/>
  <c r="K744" i="4" a="1"/>
  <c r="K744" i="4"/>
  <c r="K745" i="4" a="1"/>
  <c r="K745" i="4"/>
  <c r="K746" i="4" a="1"/>
  <c r="K746" i="4"/>
  <c r="K747" i="4" a="1"/>
  <c r="K747" i="4"/>
  <c r="K748" i="4" a="1"/>
  <c r="K748" i="4"/>
  <c r="K749" i="4" a="1"/>
  <c r="K749" i="4"/>
  <c r="K750" i="4" a="1"/>
  <c r="K750" i="4"/>
  <c r="K751" i="4" a="1"/>
  <c r="K751" i="4"/>
  <c r="K752" i="4" a="1"/>
  <c r="K752" i="4"/>
  <c r="K753" i="4" a="1"/>
  <c r="K753" i="4"/>
  <c r="K754" i="4" a="1"/>
  <c r="K754" i="4"/>
  <c r="K755" i="4" a="1"/>
  <c r="K755" i="4"/>
  <c r="K756" i="4" a="1"/>
  <c r="K756" i="4"/>
  <c r="K757" i="4" a="1"/>
  <c r="K757" i="4"/>
  <c r="K758" i="4" a="1"/>
  <c r="K758" i="4"/>
  <c r="K759" i="4" a="1"/>
  <c r="K759" i="4"/>
  <c r="K760" i="4" a="1"/>
  <c r="K760" i="4"/>
  <c r="K761" i="4" a="1"/>
  <c r="K761" i="4"/>
  <c r="K762" i="4" a="1"/>
  <c r="K762" i="4"/>
  <c r="K763" i="4" a="1"/>
  <c r="K763" i="4"/>
  <c r="K764" i="4" a="1"/>
  <c r="K764" i="4"/>
  <c r="K765" i="4" a="1"/>
  <c r="K765" i="4"/>
  <c r="K766" i="4" a="1"/>
  <c r="K766" i="4"/>
  <c r="K767" i="4" a="1"/>
  <c r="K767" i="4"/>
  <c r="K768" i="4" a="1"/>
  <c r="K768" i="4"/>
  <c r="K769" i="4" a="1"/>
  <c r="K769" i="4"/>
  <c r="K770" i="4" a="1"/>
  <c r="K770" i="4"/>
  <c r="K771" i="4" a="1"/>
  <c r="K771" i="4"/>
  <c r="K772" i="4" a="1"/>
  <c r="K772" i="4"/>
  <c r="K773" i="4" a="1"/>
  <c r="K773" i="4"/>
  <c r="K774" i="4" a="1"/>
  <c r="K774" i="4"/>
  <c r="K775" i="4" a="1"/>
  <c r="K775" i="4"/>
  <c r="K776" i="4" a="1"/>
  <c r="K776" i="4"/>
  <c r="K777" i="4" a="1"/>
  <c r="K777" i="4"/>
  <c r="K778" i="4" a="1"/>
  <c r="K778" i="4"/>
  <c r="K779" i="4" a="1"/>
  <c r="K779" i="4"/>
  <c r="K780" i="4" a="1"/>
  <c r="K780" i="4"/>
  <c r="K781" i="4" a="1"/>
  <c r="K781" i="4"/>
  <c r="K782" i="4" a="1"/>
  <c r="K782" i="4"/>
  <c r="K783" i="4" a="1"/>
  <c r="K783" i="4"/>
  <c r="K784" i="4" a="1"/>
  <c r="K784" i="4"/>
  <c r="K785" i="4" a="1"/>
  <c r="K785" i="4"/>
  <c r="K786" i="4" a="1"/>
  <c r="K786" i="4"/>
  <c r="K787" i="4" a="1"/>
  <c r="K787" i="4"/>
  <c r="K788" i="4" a="1"/>
  <c r="K788" i="4"/>
  <c r="K789" i="4" a="1"/>
  <c r="K789" i="4"/>
  <c r="K790" i="4" a="1"/>
  <c r="K790" i="4"/>
  <c r="K791" i="4" a="1"/>
  <c r="K791" i="4"/>
  <c r="K792" i="4" a="1"/>
  <c r="K792" i="4"/>
  <c r="K793" i="4" a="1"/>
  <c r="K793" i="4"/>
  <c r="K794" i="4" a="1"/>
  <c r="K794" i="4"/>
  <c r="K795" i="4" a="1"/>
  <c r="K795" i="4"/>
  <c r="K796" i="4" a="1"/>
  <c r="K796" i="4"/>
  <c r="K797" i="4" a="1"/>
  <c r="K797" i="4"/>
  <c r="K798" i="4" a="1"/>
  <c r="K798" i="4"/>
  <c r="K799" i="4" a="1"/>
  <c r="K799" i="4"/>
  <c r="K800" i="4" a="1"/>
  <c r="K800" i="4"/>
  <c r="K801" i="4" a="1"/>
  <c r="K801" i="4"/>
  <c r="K802" i="4" a="1"/>
  <c r="K802" i="4"/>
  <c r="K803" i="4" a="1"/>
  <c r="K803" i="4"/>
  <c r="K804" i="4" a="1"/>
  <c r="K804" i="4"/>
  <c r="K805" i="4" a="1"/>
  <c r="K805" i="4"/>
  <c r="K806" i="4" a="1"/>
  <c r="K806" i="4"/>
  <c r="K807" i="4" a="1"/>
  <c r="K807" i="4"/>
  <c r="K808" i="4" a="1"/>
  <c r="K808" i="4"/>
  <c r="K809" i="4" a="1"/>
  <c r="K809" i="4"/>
  <c r="K810" i="4" a="1"/>
  <c r="K810" i="4"/>
  <c r="K811" i="4" a="1"/>
  <c r="K811" i="4"/>
  <c r="K812" i="4" a="1"/>
  <c r="K812" i="4"/>
  <c r="K813" i="4" a="1"/>
  <c r="K813" i="4"/>
  <c r="K814" i="4" a="1"/>
  <c r="K814" i="4"/>
  <c r="K815" i="4" a="1"/>
  <c r="K815" i="4"/>
  <c r="K816" i="4" a="1"/>
  <c r="K816" i="4"/>
  <c r="K817" i="4" a="1"/>
  <c r="K817" i="4"/>
  <c r="K818" i="4" a="1"/>
  <c r="K818" i="4"/>
  <c r="K819" i="4" a="1"/>
  <c r="K819" i="4"/>
  <c r="K820" i="4" a="1"/>
  <c r="K820" i="4"/>
  <c r="K821" i="4" a="1"/>
  <c r="K821" i="4"/>
  <c r="K822" i="4" a="1"/>
  <c r="K822" i="4"/>
  <c r="K823" i="4" a="1"/>
  <c r="K823" i="4"/>
  <c r="K824" i="4" a="1"/>
  <c r="K824" i="4"/>
  <c r="K825" i="4" a="1"/>
  <c r="K825" i="4"/>
  <c r="K826" i="4" a="1"/>
  <c r="K826" i="4"/>
  <c r="K827" i="4" a="1"/>
  <c r="K827" i="4"/>
  <c r="K828" i="4" a="1"/>
  <c r="K828" i="4"/>
  <c r="K829" i="4" a="1"/>
  <c r="K829" i="4"/>
  <c r="K830" i="4" a="1"/>
  <c r="K830" i="4"/>
  <c r="K831" i="4" a="1"/>
  <c r="K831" i="4"/>
  <c r="K832" i="4" a="1"/>
  <c r="K832" i="4"/>
  <c r="K833" i="4" a="1"/>
  <c r="K833" i="4"/>
  <c r="K834" i="4" a="1"/>
  <c r="K834" i="4"/>
  <c r="K835" i="4" a="1"/>
  <c r="K835" i="4"/>
  <c r="K836" i="4" a="1"/>
  <c r="K836" i="4"/>
  <c r="K837" i="4" a="1"/>
  <c r="K837" i="4"/>
  <c r="K838" i="4" a="1"/>
  <c r="K838" i="4"/>
  <c r="K839" i="4" a="1"/>
  <c r="K839" i="4"/>
  <c r="K840" i="4" a="1"/>
  <c r="K840" i="4"/>
  <c r="K841" i="4" a="1"/>
  <c r="K841" i="4"/>
  <c r="K842" i="4" a="1"/>
  <c r="K842" i="4"/>
  <c r="K843" i="4" a="1"/>
  <c r="K843" i="4"/>
  <c r="K844" i="4" a="1"/>
  <c r="K844" i="4"/>
  <c r="K845" i="4" a="1"/>
  <c r="K845" i="4"/>
  <c r="K846" i="4" a="1"/>
  <c r="K846" i="4"/>
  <c r="K847" i="4" a="1"/>
  <c r="K847" i="4"/>
  <c r="K848" i="4" a="1"/>
  <c r="K848" i="4"/>
  <c r="K849" i="4" a="1"/>
  <c r="K849" i="4"/>
  <c r="K850" i="4" a="1"/>
  <c r="K850" i="4"/>
  <c r="K851" i="4" a="1"/>
  <c r="K851" i="4"/>
  <c r="K852" i="4" a="1"/>
  <c r="K852" i="4"/>
  <c r="K853" i="4" a="1"/>
  <c r="K853" i="4"/>
  <c r="K854" i="4" a="1"/>
  <c r="K854" i="4"/>
  <c r="K855" i="4" a="1"/>
  <c r="K855" i="4"/>
  <c r="K856" i="4" a="1"/>
  <c r="K856" i="4"/>
  <c r="K857" i="4" a="1"/>
  <c r="K857" i="4"/>
  <c r="K858" i="4" a="1"/>
  <c r="K858" i="4"/>
  <c r="K859" i="4" a="1"/>
  <c r="K859" i="4"/>
  <c r="K860" i="4" a="1"/>
  <c r="K860" i="4"/>
  <c r="K861" i="4" a="1"/>
  <c r="K861" i="4"/>
  <c r="K862" i="4" a="1"/>
  <c r="K862" i="4"/>
  <c r="K863" i="4" a="1"/>
  <c r="K863" i="4"/>
  <c r="K864" i="4" a="1"/>
  <c r="K864" i="4"/>
  <c r="K865" i="4" a="1"/>
  <c r="K865" i="4"/>
  <c r="K866" i="4" a="1"/>
  <c r="K866" i="4"/>
  <c r="K867" i="4" a="1"/>
  <c r="K867" i="4"/>
  <c r="K868" i="4" a="1"/>
  <c r="K868" i="4"/>
  <c r="K869" i="4" a="1"/>
  <c r="K869" i="4"/>
  <c r="K870" i="4" a="1"/>
  <c r="K870" i="4"/>
  <c r="K871" i="4" a="1"/>
  <c r="K871" i="4"/>
  <c r="K872" i="4" a="1"/>
  <c r="K872" i="4"/>
  <c r="K873" i="4" a="1"/>
  <c r="K873" i="4"/>
  <c r="K874" i="4" a="1"/>
  <c r="K874" i="4"/>
  <c r="K875" i="4" a="1"/>
  <c r="K875" i="4"/>
  <c r="K876" i="4" a="1"/>
  <c r="K876" i="4"/>
  <c r="K877" i="4" a="1"/>
  <c r="K877" i="4"/>
  <c r="K878" i="4" a="1"/>
  <c r="K878" i="4"/>
  <c r="K879" i="4" a="1"/>
  <c r="K879" i="4"/>
  <c r="K880" i="4" a="1"/>
  <c r="K880" i="4"/>
  <c r="K881" i="4" a="1"/>
  <c r="K881" i="4"/>
  <c r="K882" i="4" a="1"/>
  <c r="K882" i="4"/>
  <c r="K883" i="4" a="1"/>
  <c r="K883" i="4"/>
  <c r="K884" i="4" a="1"/>
  <c r="K884" i="4"/>
  <c r="K885" i="4" a="1"/>
  <c r="K885" i="4"/>
  <c r="K886" i="4" a="1"/>
  <c r="K886" i="4"/>
  <c r="K887" i="4" a="1"/>
  <c r="K887" i="4"/>
  <c r="K888" i="4" a="1"/>
  <c r="K888" i="4"/>
  <c r="K889" i="4" a="1"/>
  <c r="K889" i="4"/>
  <c r="K890" i="4" a="1"/>
  <c r="K890" i="4"/>
  <c r="K891" i="4" a="1"/>
  <c r="K891" i="4"/>
  <c r="K892" i="4" a="1"/>
  <c r="K892" i="4"/>
  <c r="K893" i="4" a="1"/>
  <c r="K893" i="4"/>
  <c r="K894" i="4" a="1"/>
  <c r="K894" i="4"/>
  <c r="K895" i="4" a="1"/>
  <c r="K895" i="4"/>
  <c r="K896" i="4" a="1"/>
  <c r="K896" i="4"/>
  <c r="K897" i="4" a="1"/>
  <c r="K897" i="4"/>
  <c r="K898" i="4" a="1"/>
  <c r="K898" i="4"/>
  <c r="K899" i="4" a="1"/>
  <c r="K899" i="4"/>
  <c r="K900" i="4" a="1"/>
  <c r="K900" i="4"/>
  <c r="K901" i="4" a="1"/>
  <c r="K901" i="4"/>
  <c r="K902" i="4" a="1"/>
  <c r="K902" i="4"/>
  <c r="K903" i="4" a="1"/>
  <c r="K903" i="4"/>
  <c r="K904" i="4" a="1"/>
  <c r="K904" i="4"/>
  <c r="K905" i="4" a="1"/>
  <c r="K905" i="4"/>
  <c r="K906" i="4" a="1"/>
  <c r="K906" i="4"/>
  <c r="K907" i="4" a="1"/>
  <c r="K907" i="4"/>
  <c r="K908" i="4" a="1"/>
  <c r="K908" i="4"/>
  <c r="K909" i="4" a="1"/>
  <c r="K909" i="4"/>
  <c r="K910" i="4" a="1"/>
  <c r="K910" i="4"/>
  <c r="K911" i="4" a="1"/>
  <c r="K911" i="4"/>
  <c r="K912" i="4" a="1"/>
  <c r="K912" i="4"/>
  <c r="K913" i="4" a="1"/>
  <c r="K913" i="4"/>
  <c r="K914" i="4" a="1"/>
  <c r="K914" i="4"/>
  <c r="K915" i="4" a="1"/>
  <c r="K915" i="4"/>
  <c r="K916" i="4" a="1"/>
  <c r="K916" i="4"/>
  <c r="K917" i="4" a="1"/>
  <c r="K917" i="4"/>
  <c r="K918" i="4" a="1"/>
  <c r="K918" i="4"/>
  <c r="K919" i="4" a="1"/>
  <c r="K919" i="4"/>
  <c r="K920" i="4" a="1"/>
  <c r="K920" i="4"/>
  <c r="K921" i="4" a="1"/>
  <c r="K921" i="4"/>
  <c r="K922" i="4" a="1"/>
  <c r="K922" i="4"/>
  <c r="K923" i="4" a="1"/>
  <c r="K923" i="4"/>
  <c r="K924" i="4" a="1"/>
  <c r="K924" i="4"/>
  <c r="K925" i="4" a="1"/>
  <c r="K925" i="4"/>
  <c r="K926" i="4" a="1"/>
  <c r="K926" i="4"/>
  <c r="K927" i="4" a="1"/>
  <c r="K927" i="4"/>
  <c r="K928" i="4" a="1"/>
  <c r="K928" i="4"/>
  <c r="K929" i="4" a="1"/>
  <c r="K929" i="4"/>
  <c r="K930" i="4" a="1"/>
  <c r="K930" i="4"/>
  <c r="K931" i="4" a="1"/>
  <c r="K931" i="4"/>
  <c r="K932" i="4" a="1"/>
  <c r="K932" i="4"/>
  <c r="K933" i="4" a="1"/>
  <c r="K933" i="4"/>
  <c r="K934" i="4" a="1"/>
  <c r="K934" i="4"/>
  <c r="K935" i="4" a="1"/>
  <c r="K935" i="4"/>
  <c r="K936" i="4" a="1"/>
  <c r="K936" i="4"/>
  <c r="K937" i="4" a="1"/>
  <c r="K937" i="4"/>
  <c r="K938" i="4" a="1"/>
  <c r="K938" i="4"/>
  <c r="K939" i="4" a="1"/>
  <c r="K939" i="4"/>
  <c r="K940" i="4" a="1"/>
  <c r="K940" i="4"/>
  <c r="K941" i="4" a="1"/>
  <c r="K941" i="4"/>
  <c r="K942" i="4" a="1"/>
  <c r="K942" i="4"/>
  <c r="K943" i="4" a="1"/>
  <c r="K943" i="4"/>
  <c r="K944" i="4" a="1"/>
  <c r="K944" i="4"/>
  <c r="K945" i="4" a="1"/>
  <c r="K945" i="4"/>
  <c r="K946" i="4" a="1"/>
  <c r="K946" i="4"/>
  <c r="K947" i="4" a="1"/>
  <c r="K947" i="4"/>
  <c r="K948" i="4" a="1"/>
  <c r="K948" i="4"/>
  <c r="K949" i="4" a="1"/>
  <c r="K949" i="4"/>
  <c r="K950" i="4" a="1"/>
  <c r="K950" i="4"/>
  <c r="K951" i="4" a="1"/>
  <c r="K951" i="4"/>
  <c r="K952" i="4" a="1"/>
  <c r="K952" i="4"/>
  <c r="K953" i="4" a="1"/>
  <c r="K953" i="4"/>
  <c r="K954" i="4" a="1"/>
  <c r="K954" i="4"/>
  <c r="K955" i="4" a="1"/>
  <c r="K955" i="4"/>
  <c r="K956" i="4" a="1"/>
  <c r="K956" i="4"/>
  <c r="K957" i="4" a="1"/>
  <c r="K957" i="4"/>
  <c r="K958" i="4" a="1"/>
  <c r="K958" i="4"/>
  <c r="K959" i="4" a="1"/>
  <c r="K959" i="4"/>
  <c r="K960" i="4" a="1"/>
  <c r="K960" i="4"/>
  <c r="K961" i="4" a="1"/>
  <c r="K961" i="4"/>
  <c r="K962" i="4" a="1"/>
  <c r="K962" i="4"/>
  <c r="K963" i="4" a="1"/>
  <c r="K963" i="4"/>
  <c r="K964" i="4" a="1"/>
  <c r="K964" i="4"/>
  <c r="K965" i="4" a="1"/>
  <c r="K965" i="4"/>
  <c r="K966" i="4" a="1"/>
  <c r="K966" i="4"/>
  <c r="K967" i="4" a="1"/>
  <c r="K967" i="4"/>
  <c r="K968" i="4" a="1"/>
  <c r="K968" i="4"/>
  <c r="K969" i="4" a="1"/>
  <c r="K969" i="4"/>
  <c r="K970" i="4" a="1"/>
  <c r="K970" i="4"/>
  <c r="K971" i="4" a="1"/>
  <c r="K971" i="4"/>
  <c r="K972" i="4" a="1"/>
  <c r="K972" i="4"/>
  <c r="K973" i="4" a="1"/>
  <c r="K973" i="4"/>
  <c r="K974" i="4" a="1"/>
  <c r="K974" i="4"/>
  <c r="K975" i="4" a="1"/>
  <c r="K975" i="4"/>
  <c r="K976" i="4" a="1"/>
  <c r="K976" i="4"/>
  <c r="K977" i="4" a="1"/>
  <c r="K977" i="4"/>
  <c r="K978" i="4" a="1"/>
  <c r="K978" i="4"/>
  <c r="K979" i="4" a="1"/>
  <c r="K979" i="4"/>
  <c r="K980" i="4" a="1"/>
  <c r="K980" i="4"/>
  <c r="K981" i="4" a="1"/>
  <c r="K981" i="4"/>
  <c r="K982" i="4" a="1"/>
  <c r="K982" i="4"/>
  <c r="K983" i="4" a="1"/>
  <c r="K983" i="4"/>
  <c r="K984" i="4" a="1"/>
  <c r="K984" i="4"/>
  <c r="K985" i="4" a="1"/>
  <c r="K985" i="4"/>
  <c r="K986" i="4" a="1"/>
  <c r="K986" i="4"/>
  <c r="K987" i="4" a="1"/>
  <c r="K987" i="4"/>
  <c r="K988" i="4" a="1"/>
  <c r="K988" i="4"/>
  <c r="K989" i="4" a="1"/>
  <c r="K989" i="4"/>
  <c r="K990" i="4" a="1"/>
  <c r="K990" i="4"/>
  <c r="K991" i="4" a="1"/>
  <c r="K991" i="4"/>
  <c r="K992" i="4" a="1"/>
  <c r="K992" i="4"/>
  <c r="K993" i="4" a="1"/>
  <c r="K993" i="4"/>
  <c r="K994" i="4" a="1"/>
  <c r="K994" i="4"/>
  <c r="K995" i="4" a="1"/>
  <c r="K995" i="4"/>
  <c r="K996" i="4" a="1"/>
  <c r="K996" i="4"/>
  <c r="K997" i="4" a="1"/>
  <c r="K997" i="4"/>
  <c r="K998" i="4" a="1"/>
  <c r="K998" i="4"/>
  <c r="K999" i="4" a="1"/>
  <c r="K999" i="4"/>
  <c r="K1000" i="4" a="1"/>
  <c r="K1000" i="4"/>
  <c r="K1001" i="4" a="1"/>
  <c r="K1001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N2" i="4" a="1"/>
  <c r="N2" i="4" s="1"/>
  <c r="O2" i="4" s="1"/>
  <c r="N3" i="4" a="1"/>
  <c r="N3" i="4"/>
  <c r="O3" i="4" s="1"/>
  <c r="N4" i="4" a="1"/>
  <c r="N4" i="4" s="1"/>
  <c r="O4" i="4" s="1"/>
  <c r="N5" i="4" a="1"/>
  <c r="N5" i="4" s="1"/>
  <c r="O5" i="4" s="1"/>
  <c r="N6" i="4" a="1"/>
  <c r="N6" i="4" s="1"/>
  <c r="O6" i="4" s="1"/>
  <c r="N7" i="4" a="1"/>
  <c r="N7" i="4" s="1"/>
  <c r="O7" i="4" s="1"/>
  <c r="N8" i="4" a="1"/>
  <c r="N8" i="4" s="1"/>
  <c r="O8" i="4" s="1"/>
  <c r="N9" i="4" a="1"/>
  <c r="N9" i="4" s="1"/>
  <c r="O9" i="4" s="1"/>
  <c r="N10" i="4" a="1"/>
  <c r="N10" i="4" s="1"/>
  <c r="O10" i="4" s="1"/>
  <c r="N11" i="4" a="1"/>
  <c r="N11" i="4" s="1"/>
  <c r="O11" i="4" s="1"/>
  <c r="N12" i="4" a="1"/>
  <c r="N12" i="4" s="1"/>
  <c r="O12" i="4" s="1"/>
  <c r="N13" i="4" a="1"/>
  <c r="N13" i="4" s="1"/>
  <c r="O13" i="4" s="1"/>
  <c r="N14" i="4" a="1"/>
  <c r="N14" i="4" s="1"/>
  <c r="O14" i="4" s="1"/>
  <c r="N15" i="4" a="1"/>
  <c r="N15" i="4" s="1"/>
  <c r="O15" i="4" s="1"/>
  <c r="N16" i="4" a="1"/>
  <c r="N16" i="4" s="1"/>
  <c r="O16" i="4" s="1"/>
  <c r="N17" i="4" a="1"/>
  <c r="N17" i="4" s="1"/>
  <c r="O17" i="4" s="1"/>
  <c r="N18" i="4" a="1"/>
  <c r="N18" i="4" s="1"/>
  <c r="O18" i="4" s="1"/>
  <c r="N19" i="4" a="1"/>
  <c r="N19" i="4" s="1"/>
  <c r="O19" i="4" s="1"/>
  <c r="N20" i="4" a="1"/>
  <c r="N20" i="4" s="1"/>
  <c r="O20" i="4" s="1"/>
  <c r="N21" i="4" a="1"/>
  <c r="N21" i="4" s="1"/>
  <c r="O21" i="4" s="1"/>
  <c r="N22" i="4" a="1"/>
  <c r="N22" i="4" s="1"/>
  <c r="O22" i="4" s="1"/>
  <c r="N23" i="4" a="1"/>
  <c r="N23" i="4" s="1"/>
  <c r="O23" i="4" s="1"/>
  <c r="N24" i="4" a="1"/>
  <c r="N24" i="4" s="1"/>
  <c r="O24" i="4" s="1"/>
  <c r="N25" i="4" a="1"/>
  <c r="N25" i="4" s="1"/>
  <c r="O25" i="4" s="1"/>
  <c r="N26" i="4" a="1"/>
  <c r="N26" i="4" s="1"/>
  <c r="O26" i="4" s="1"/>
  <c r="N27" i="4" a="1"/>
  <c r="N27" i="4" s="1"/>
  <c r="O27" i="4" s="1"/>
  <c r="N28" i="4" a="1"/>
  <c r="N28" i="4" s="1"/>
  <c r="O28" i="4" s="1"/>
  <c r="N29" i="4" a="1"/>
  <c r="N29" i="4" s="1"/>
  <c r="O29" i="4" s="1"/>
  <c r="N30" i="4" a="1"/>
  <c r="N30" i="4" s="1"/>
  <c r="O30" i="4" s="1"/>
  <c r="N31" i="4" a="1"/>
  <c r="N31" i="4" s="1"/>
  <c r="O31" i="4" s="1"/>
  <c r="N32" i="4" a="1"/>
  <c r="N32" i="4" s="1"/>
  <c r="O32" i="4" s="1"/>
  <c r="N33" i="4" a="1"/>
  <c r="N33" i="4" s="1"/>
  <c r="O33" i="4" s="1"/>
  <c r="N34" i="4" a="1"/>
  <c r="N34" i="4" s="1"/>
  <c r="O34" i="4" s="1"/>
  <c r="N35" i="4" a="1"/>
  <c r="N35" i="4" s="1"/>
  <c r="O35" i="4" s="1"/>
  <c r="N36" i="4" a="1"/>
  <c r="N36" i="4" s="1"/>
  <c r="O36" i="4" s="1"/>
  <c r="N37" i="4" a="1"/>
  <c r="N37" i="4" s="1"/>
  <c r="O37" i="4" s="1"/>
  <c r="N38" i="4" a="1"/>
  <c r="N38" i="4" s="1"/>
  <c r="O38" i="4" s="1"/>
  <c r="N39" i="4" a="1"/>
  <c r="N39" i="4" s="1"/>
  <c r="O39" i="4" s="1"/>
  <c r="N40" i="4" a="1"/>
  <c r="N40" i="4" s="1"/>
  <c r="O40" i="4" s="1"/>
  <c r="N41" i="4" a="1"/>
  <c r="N41" i="4" s="1"/>
  <c r="O41" i="4" s="1"/>
  <c r="N42" i="4" a="1"/>
  <c r="N42" i="4" s="1"/>
  <c r="O42" i="4" s="1"/>
  <c r="N43" i="4" a="1"/>
  <c r="N43" i="4" s="1"/>
  <c r="O43" i="4" s="1"/>
  <c r="N44" i="4" a="1"/>
  <c r="N44" i="4" s="1"/>
  <c r="O44" i="4" s="1"/>
  <c r="N45" i="4" a="1"/>
  <c r="N45" i="4" s="1"/>
  <c r="O45" i="4" s="1"/>
  <c r="N46" i="4" a="1"/>
  <c r="N46" i="4" s="1"/>
  <c r="O46" i="4" s="1"/>
  <c r="N47" i="4" a="1"/>
  <c r="N47" i="4" s="1"/>
  <c r="O47" i="4" s="1"/>
  <c r="N48" i="4" a="1"/>
  <c r="N48" i="4" s="1"/>
  <c r="O48" i="4" s="1"/>
  <c r="N49" i="4" a="1"/>
  <c r="N49" i="4" s="1"/>
  <c r="O49" i="4" s="1"/>
  <c r="N50" i="4" a="1"/>
  <c r="N50" i="4" s="1"/>
  <c r="O50" i="4" s="1"/>
  <c r="N51" i="4" a="1"/>
  <c r="N51" i="4" s="1"/>
  <c r="O51" i="4" s="1"/>
  <c r="N52" i="4" a="1"/>
  <c r="N52" i="4" s="1"/>
  <c r="O52" i="4" s="1"/>
  <c r="N53" i="4" a="1"/>
  <c r="N53" i="4" s="1"/>
  <c r="O53" i="4" s="1"/>
  <c r="N54" i="4" a="1"/>
  <c r="N54" i="4" s="1"/>
  <c r="O54" i="4" s="1"/>
  <c r="N55" i="4" a="1"/>
  <c r="N55" i="4" s="1"/>
  <c r="O55" i="4" s="1"/>
  <c r="N56" i="4" a="1"/>
  <c r="N56" i="4" s="1"/>
  <c r="O56" i="4" s="1"/>
  <c r="N57" i="4" a="1"/>
  <c r="N57" i="4" s="1"/>
  <c r="O57" i="4" s="1"/>
  <c r="N58" i="4" a="1"/>
  <c r="N58" i="4" s="1"/>
  <c r="O58" i="4" s="1"/>
  <c r="N59" i="4" a="1"/>
  <c r="N59" i="4" s="1"/>
  <c r="O59" i="4" s="1"/>
  <c r="N60" i="4" a="1"/>
  <c r="N60" i="4" s="1"/>
  <c r="O60" i="4" s="1"/>
  <c r="N61" i="4" a="1"/>
  <c r="N61" i="4" s="1"/>
  <c r="O61" i="4" s="1"/>
  <c r="N62" i="4" a="1"/>
  <c r="N62" i="4" s="1"/>
  <c r="O62" i="4" s="1"/>
  <c r="N63" i="4" a="1"/>
  <c r="N63" i="4" s="1"/>
  <c r="O63" i="4" s="1"/>
  <c r="N64" i="4" a="1"/>
  <c r="N64" i="4" s="1"/>
  <c r="O64" i="4" s="1"/>
  <c r="N65" i="4" a="1"/>
  <c r="N65" i="4" s="1"/>
  <c r="O65" i="4" s="1"/>
  <c r="N66" i="4" a="1"/>
  <c r="N66" i="4" s="1"/>
  <c r="O66" i="4" s="1"/>
  <c r="N67" i="4" a="1"/>
  <c r="N67" i="4" s="1"/>
  <c r="O67" i="4" s="1"/>
  <c r="N68" i="4" a="1"/>
  <c r="N68" i="4" s="1"/>
  <c r="O68" i="4" s="1"/>
  <c r="N69" i="4" a="1"/>
  <c r="N69" i="4" s="1"/>
  <c r="O69" i="4" s="1"/>
  <c r="N70" i="4" a="1"/>
  <c r="N70" i="4" s="1"/>
  <c r="O70" i="4" s="1"/>
  <c r="N71" i="4" a="1"/>
  <c r="N71" i="4" s="1"/>
  <c r="O71" i="4" s="1"/>
  <c r="N72" i="4" a="1"/>
  <c r="N72" i="4" s="1"/>
  <c r="O72" i="4" s="1"/>
  <c r="N73" i="4" a="1"/>
  <c r="N73" i="4" s="1"/>
  <c r="O73" i="4" s="1"/>
  <c r="N74" i="4" a="1"/>
  <c r="N74" i="4" s="1"/>
  <c r="O74" i="4" s="1"/>
  <c r="N75" i="4" a="1"/>
  <c r="N75" i="4" s="1"/>
  <c r="O75" i="4" s="1"/>
  <c r="N76" i="4" a="1"/>
  <c r="N76" i="4" s="1"/>
  <c r="O76" i="4" s="1"/>
  <c r="N77" i="4" a="1"/>
  <c r="N77" i="4" s="1"/>
  <c r="O77" i="4" s="1"/>
  <c r="N78" i="4" a="1"/>
  <c r="N78" i="4" s="1"/>
  <c r="O78" i="4" s="1"/>
  <c r="N79" i="4" a="1"/>
  <c r="N79" i="4" s="1"/>
  <c r="O79" i="4" s="1"/>
  <c r="N80" i="4" a="1"/>
  <c r="N80" i="4" s="1"/>
  <c r="O80" i="4" s="1"/>
  <c r="N81" i="4" a="1"/>
  <c r="N81" i="4" s="1"/>
  <c r="O81" i="4" s="1"/>
  <c r="N82" i="4" a="1"/>
  <c r="N82" i="4" s="1"/>
  <c r="O82" i="4" s="1"/>
  <c r="N83" i="4" a="1"/>
  <c r="N83" i="4" s="1"/>
  <c r="O83" i="4" s="1"/>
  <c r="N84" i="4" a="1"/>
  <c r="N84" i="4" s="1"/>
  <c r="O84" i="4" s="1"/>
  <c r="N85" i="4" a="1"/>
  <c r="N85" i="4" s="1"/>
  <c r="O85" i="4" s="1"/>
  <c r="N86" i="4" a="1"/>
  <c r="N86" i="4" s="1"/>
  <c r="O86" i="4" s="1"/>
  <c r="N87" i="4" a="1"/>
  <c r="N87" i="4" s="1"/>
  <c r="O87" i="4" s="1"/>
  <c r="N88" i="4" a="1"/>
  <c r="N88" i="4" s="1"/>
  <c r="O88" i="4" s="1"/>
  <c r="N89" i="4" a="1"/>
  <c r="N89" i="4" s="1"/>
  <c r="O89" i="4" s="1"/>
  <c r="N90" i="4" a="1"/>
  <c r="N90" i="4" s="1"/>
  <c r="O90" i="4" s="1"/>
  <c r="N91" i="4" a="1"/>
  <c r="N91" i="4" s="1"/>
  <c r="O91" i="4" s="1"/>
  <c r="N92" i="4" a="1"/>
  <c r="N92" i="4" s="1"/>
  <c r="O92" i="4" s="1"/>
  <c r="N93" i="4" a="1"/>
  <c r="N93" i="4" s="1"/>
  <c r="O93" i="4" s="1"/>
  <c r="N94" i="4" a="1"/>
  <c r="N94" i="4" s="1"/>
  <c r="O94" i="4" s="1"/>
  <c r="N95" i="4" a="1"/>
  <c r="N95" i="4" s="1"/>
  <c r="O95" i="4" s="1"/>
  <c r="N96" i="4" a="1"/>
  <c r="N96" i="4" s="1"/>
  <c r="O96" i="4" s="1"/>
  <c r="N97" i="4" a="1"/>
  <c r="N97" i="4" s="1"/>
  <c r="O97" i="4" s="1"/>
  <c r="N98" i="4" a="1"/>
  <c r="N98" i="4" s="1"/>
  <c r="O98" i="4" s="1"/>
  <c r="N99" i="4" a="1"/>
  <c r="N99" i="4" s="1"/>
  <c r="O99" i="4" s="1"/>
  <c r="N100" i="4" a="1"/>
  <c r="N100" i="4" s="1"/>
  <c r="O100" i="4" s="1"/>
  <c r="N101" i="4" a="1"/>
  <c r="N101" i="4" s="1"/>
  <c r="O101" i="4" s="1"/>
  <c r="N102" i="4" a="1"/>
  <c r="N102" i="4" s="1"/>
  <c r="O102" i="4" s="1"/>
  <c r="N103" i="4" a="1"/>
  <c r="N103" i="4" s="1"/>
  <c r="O103" i="4" s="1"/>
  <c r="N104" i="4" a="1"/>
  <c r="N104" i="4" s="1"/>
  <c r="O104" i="4" s="1"/>
  <c r="N105" i="4" a="1"/>
  <c r="N105" i="4" s="1"/>
  <c r="O105" i="4" s="1"/>
  <c r="N106" i="4" a="1"/>
  <c r="N106" i="4" s="1"/>
  <c r="O106" i="4" s="1"/>
  <c r="N107" i="4" a="1"/>
  <c r="N107" i="4" s="1"/>
  <c r="O107" i="4" s="1"/>
  <c r="N108" i="4" a="1"/>
  <c r="N108" i="4" s="1"/>
  <c r="O108" i="4" s="1"/>
  <c r="N109" i="4" a="1"/>
  <c r="N109" i="4" s="1"/>
  <c r="O109" i="4" s="1"/>
  <c r="N110" i="4" a="1"/>
  <c r="N110" i="4" s="1"/>
  <c r="O110" i="4" s="1"/>
  <c r="N111" i="4" a="1"/>
  <c r="N111" i="4" s="1"/>
  <c r="O111" i="4" s="1"/>
  <c r="N112" i="4" a="1"/>
  <c r="N112" i="4" s="1"/>
  <c r="O112" i="4" s="1"/>
  <c r="N113" i="4" a="1"/>
  <c r="N113" i="4" s="1"/>
  <c r="O113" i="4" s="1"/>
  <c r="N114" i="4" a="1"/>
  <c r="N114" i="4" s="1"/>
  <c r="O114" i="4" s="1"/>
  <c r="N115" i="4" a="1"/>
  <c r="N115" i="4" s="1"/>
  <c r="O115" i="4" s="1"/>
  <c r="N116" i="4" a="1"/>
  <c r="N116" i="4" s="1"/>
  <c r="O116" i="4" s="1"/>
  <c r="N117" i="4" a="1"/>
  <c r="N117" i="4" s="1"/>
  <c r="O117" i="4" s="1"/>
  <c r="N118" i="4" a="1"/>
  <c r="N118" i="4" s="1"/>
  <c r="O118" i="4" s="1"/>
  <c r="N119" i="4" a="1"/>
  <c r="N119" i="4" s="1"/>
  <c r="O119" i="4" s="1"/>
  <c r="N120" i="4" a="1"/>
  <c r="N120" i="4" s="1"/>
  <c r="O120" i="4" s="1"/>
  <c r="N121" i="4" a="1"/>
  <c r="N121" i="4" s="1"/>
  <c r="O121" i="4" s="1"/>
  <c r="N122" i="4" a="1"/>
  <c r="N122" i="4" s="1"/>
  <c r="O122" i="4" s="1"/>
  <c r="N123" i="4" a="1"/>
  <c r="N123" i="4" s="1"/>
  <c r="O123" i="4" s="1"/>
  <c r="N124" i="4" a="1"/>
  <c r="N124" i="4" s="1"/>
  <c r="O124" i="4" s="1"/>
  <c r="N125" i="4" a="1"/>
  <c r="N125" i="4" s="1"/>
  <c r="O125" i="4" s="1"/>
  <c r="N126" i="4" a="1"/>
  <c r="N126" i="4" s="1"/>
  <c r="O126" i="4" s="1"/>
  <c r="N127" i="4" a="1"/>
  <c r="N127" i="4" s="1"/>
  <c r="O127" i="4" s="1"/>
  <c r="N128" i="4" a="1"/>
  <c r="N128" i="4" s="1"/>
  <c r="O128" i="4" s="1"/>
  <c r="N129" i="4" a="1"/>
  <c r="N129" i="4" s="1"/>
  <c r="O129" i="4" s="1"/>
  <c r="N130" i="4" a="1"/>
  <c r="N130" i="4" s="1"/>
  <c r="O130" i="4" s="1"/>
  <c r="N131" i="4" a="1"/>
  <c r="N131" i="4" s="1"/>
  <c r="O131" i="4" s="1"/>
  <c r="N132" i="4" a="1"/>
  <c r="N132" i="4" s="1"/>
  <c r="O132" i="4" s="1"/>
  <c r="N133" i="4" a="1"/>
  <c r="N133" i="4" s="1"/>
  <c r="O133" i="4" s="1"/>
  <c r="N134" i="4" a="1"/>
  <c r="N134" i="4" s="1"/>
  <c r="O134" i="4" s="1"/>
  <c r="N135" i="4" a="1"/>
  <c r="N135" i="4" s="1"/>
  <c r="O135" i="4" s="1"/>
  <c r="N136" i="4" a="1"/>
  <c r="N136" i="4" s="1"/>
  <c r="O136" i="4" s="1"/>
  <c r="N137" i="4" a="1"/>
  <c r="N137" i="4" s="1"/>
  <c r="O137" i="4" s="1"/>
  <c r="N138" i="4" a="1"/>
  <c r="N138" i="4" s="1"/>
  <c r="O138" i="4" s="1"/>
  <c r="N139" i="4" a="1"/>
  <c r="N139" i="4" s="1"/>
  <c r="O139" i="4" s="1"/>
  <c r="N140" i="4" a="1"/>
  <c r="N140" i="4" s="1"/>
  <c r="O140" i="4" s="1"/>
  <c r="N141" i="4" a="1"/>
  <c r="N141" i="4" s="1"/>
  <c r="O141" i="4" s="1"/>
  <c r="N142" i="4" a="1"/>
  <c r="N142" i="4" s="1"/>
  <c r="O142" i="4" s="1"/>
  <c r="N143" i="4" a="1"/>
  <c r="N143" i="4" s="1"/>
  <c r="O143" i="4" s="1"/>
  <c r="N144" i="4" a="1"/>
  <c r="N144" i="4" s="1"/>
  <c r="O144" i="4" s="1"/>
  <c r="N145" i="4" a="1"/>
  <c r="N145" i="4" s="1"/>
  <c r="O145" i="4" s="1"/>
  <c r="N146" i="4" a="1"/>
  <c r="N146" i="4" s="1"/>
  <c r="O146" i="4" s="1"/>
  <c r="N147" i="4" a="1"/>
  <c r="N147" i="4" s="1"/>
  <c r="O147" i="4" s="1"/>
  <c r="N148" i="4" a="1"/>
  <c r="N148" i="4" s="1"/>
  <c r="O148" i="4" s="1"/>
  <c r="N149" i="4" a="1"/>
  <c r="N149" i="4" s="1"/>
  <c r="O149" i="4" s="1"/>
  <c r="N150" i="4" a="1"/>
  <c r="N150" i="4" s="1"/>
  <c r="O150" i="4" s="1"/>
  <c r="N151" i="4" a="1"/>
  <c r="N151" i="4" s="1"/>
  <c r="O151" i="4" s="1"/>
  <c r="N152" i="4" a="1"/>
  <c r="N152" i="4" s="1"/>
  <c r="O152" i="4" s="1"/>
  <c r="N153" i="4" a="1"/>
  <c r="N153" i="4" s="1"/>
  <c r="O153" i="4" s="1"/>
  <c r="N154" i="4" a="1"/>
  <c r="N154" i="4" s="1"/>
  <c r="O154" i="4" s="1"/>
  <c r="N155" i="4" a="1"/>
  <c r="N155" i="4" s="1"/>
  <c r="O155" i="4" s="1"/>
  <c r="N156" i="4" a="1"/>
  <c r="N156" i="4" s="1"/>
  <c r="O156" i="4" s="1"/>
  <c r="N157" i="4" a="1"/>
  <c r="N157" i="4" s="1"/>
  <c r="O157" i="4" s="1"/>
  <c r="N158" i="4" a="1"/>
  <c r="N158" i="4" s="1"/>
  <c r="O158" i="4" s="1"/>
  <c r="N159" i="4" a="1"/>
  <c r="N159" i="4" s="1"/>
  <c r="O159" i="4" s="1"/>
  <c r="N160" i="4" a="1"/>
  <c r="N160" i="4" s="1"/>
  <c r="O160" i="4" s="1"/>
  <c r="N161" i="4" a="1"/>
  <c r="N161" i="4" s="1"/>
  <c r="O161" i="4" s="1"/>
  <c r="N162" i="4" a="1"/>
  <c r="N162" i="4" s="1"/>
  <c r="O162" i="4" s="1"/>
  <c r="N163" i="4" a="1"/>
  <c r="N163" i="4" s="1"/>
  <c r="O163" i="4" s="1"/>
  <c r="N164" i="4" a="1"/>
  <c r="N164" i="4" s="1"/>
  <c r="O164" i="4" s="1"/>
  <c r="N165" i="4" a="1"/>
  <c r="N165" i="4" s="1"/>
  <c r="O165" i="4" s="1"/>
  <c r="N166" i="4" a="1"/>
  <c r="N166" i="4" s="1"/>
  <c r="O166" i="4" s="1"/>
  <c r="N167" i="4" a="1"/>
  <c r="N167" i="4" s="1"/>
  <c r="O167" i="4" s="1"/>
  <c r="N168" i="4" a="1"/>
  <c r="N168" i="4" s="1"/>
  <c r="O168" i="4" s="1"/>
  <c r="N169" i="4" a="1"/>
  <c r="N169" i="4" s="1"/>
  <c r="O169" i="4" s="1"/>
  <c r="N170" i="4" a="1"/>
  <c r="N170" i="4" s="1"/>
  <c r="O170" i="4" s="1"/>
  <c r="N171" i="4" a="1"/>
  <c r="N171" i="4" s="1"/>
  <c r="O171" i="4" s="1"/>
  <c r="N172" i="4" a="1"/>
  <c r="N172" i="4" s="1"/>
  <c r="O172" i="4" s="1"/>
  <c r="N173" i="4" a="1"/>
  <c r="N173" i="4" s="1"/>
  <c r="O173" i="4" s="1"/>
  <c r="N174" i="4" a="1"/>
  <c r="N174" i="4" s="1"/>
  <c r="O174" i="4" s="1"/>
  <c r="N175" i="4" a="1"/>
  <c r="N175" i="4" s="1"/>
  <c r="O175" i="4" s="1"/>
  <c r="N176" i="4" a="1"/>
  <c r="N176" i="4" s="1"/>
  <c r="O176" i="4" s="1"/>
  <c r="N177" i="4" a="1"/>
  <c r="N177" i="4" s="1"/>
  <c r="O177" i="4" s="1"/>
  <c r="N178" i="4" a="1"/>
  <c r="N178" i="4" s="1"/>
  <c r="O178" i="4" s="1"/>
  <c r="N179" i="4" a="1"/>
  <c r="N179" i="4" s="1"/>
  <c r="O179" i="4" s="1"/>
  <c r="N180" i="4" a="1"/>
  <c r="N180" i="4" s="1"/>
  <c r="O180" i="4" s="1"/>
  <c r="N181" i="4" a="1"/>
  <c r="N181" i="4" s="1"/>
  <c r="O181" i="4" s="1"/>
  <c r="N182" i="4" a="1"/>
  <c r="N182" i="4" s="1"/>
  <c r="O182" i="4" s="1"/>
  <c r="N183" i="4" a="1"/>
  <c r="N183" i="4" s="1"/>
  <c r="O183" i="4" s="1"/>
  <c r="N184" i="4" a="1"/>
  <c r="N184" i="4" s="1"/>
  <c r="O184" i="4" s="1"/>
  <c r="N185" i="4" a="1"/>
  <c r="N185" i="4" s="1"/>
  <c r="O185" i="4" s="1"/>
  <c r="N186" i="4" a="1"/>
  <c r="N186" i="4" s="1"/>
  <c r="O186" i="4" s="1"/>
  <c r="N187" i="4" a="1"/>
  <c r="N187" i="4" s="1"/>
  <c r="O187" i="4" s="1"/>
  <c r="N188" i="4" a="1"/>
  <c r="N188" i="4" s="1"/>
  <c r="O188" i="4" s="1"/>
  <c r="N189" i="4" a="1"/>
  <c r="N189" i="4" s="1"/>
  <c r="O189" i="4" s="1"/>
  <c r="N190" i="4" a="1"/>
  <c r="N190" i="4" s="1"/>
  <c r="O190" i="4" s="1"/>
  <c r="N191" i="4" a="1"/>
  <c r="N191" i="4" s="1"/>
  <c r="O191" i="4" s="1"/>
  <c r="N192" i="4" a="1"/>
  <c r="N192" i="4" s="1"/>
  <c r="O192" i="4" s="1"/>
  <c r="N193" i="4" a="1"/>
  <c r="N193" i="4" s="1"/>
  <c r="O193" i="4" s="1"/>
  <c r="N194" i="4" a="1"/>
  <c r="N194" i="4" s="1"/>
  <c r="O194" i="4" s="1"/>
  <c r="N195" i="4" a="1"/>
  <c r="N195" i="4" s="1"/>
  <c r="O195" i="4" s="1"/>
  <c r="N196" i="4" a="1"/>
  <c r="N196" i="4" s="1"/>
  <c r="O196" i="4" s="1"/>
  <c r="N197" i="4" a="1"/>
  <c r="N197" i="4" s="1"/>
  <c r="O197" i="4" s="1"/>
  <c r="N198" i="4" a="1"/>
  <c r="N198" i="4" s="1"/>
  <c r="O198" i="4" s="1"/>
  <c r="N199" i="4" a="1"/>
  <c r="N199" i="4" s="1"/>
  <c r="O199" i="4" s="1"/>
  <c r="N200" i="4" a="1"/>
  <c r="N200" i="4" s="1"/>
  <c r="O200" i="4" s="1"/>
  <c r="N201" i="4" a="1"/>
  <c r="N201" i="4" s="1"/>
  <c r="O201" i="4" s="1"/>
  <c r="N202" i="4" a="1"/>
  <c r="N202" i="4" s="1"/>
  <c r="O202" i="4" s="1"/>
  <c r="N203" i="4" a="1"/>
  <c r="N203" i="4" s="1"/>
  <c r="O203" i="4" s="1"/>
  <c r="N204" i="4" a="1"/>
  <c r="N204" i="4" s="1"/>
  <c r="O204" i="4" s="1"/>
  <c r="N205" i="4" a="1"/>
  <c r="N205" i="4" s="1"/>
  <c r="O205" i="4" s="1"/>
  <c r="N206" i="4" a="1"/>
  <c r="N206" i="4" s="1"/>
  <c r="O206" i="4" s="1"/>
  <c r="N207" i="4" a="1"/>
  <c r="N207" i="4" s="1"/>
  <c r="O207" i="4" s="1"/>
  <c r="N208" i="4" a="1"/>
  <c r="N208" i="4" s="1"/>
  <c r="O208" i="4" s="1"/>
  <c r="N209" i="4" a="1"/>
  <c r="N209" i="4" s="1"/>
  <c r="O209" i="4" s="1"/>
  <c r="N210" i="4" a="1"/>
  <c r="N210" i="4" s="1"/>
  <c r="O210" i="4" s="1"/>
  <c r="N211" i="4" a="1"/>
  <c r="N211" i="4" s="1"/>
  <c r="O211" i="4" s="1"/>
  <c r="N212" i="4" a="1"/>
  <c r="N212" i="4" s="1"/>
  <c r="O212" i="4" s="1"/>
  <c r="N213" i="4" a="1"/>
  <c r="N213" i="4" s="1"/>
  <c r="O213" i="4" s="1"/>
  <c r="N214" i="4" a="1"/>
  <c r="N214" i="4" s="1"/>
  <c r="O214" i="4" s="1"/>
  <c r="N215" i="4" a="1"/>
  <c r="N215" i="4" s="1"/>
  <c r="O215" i="4" s="1"/>
  <c r="N216" i="4" a="1"/>
  <c r="N216" i="4" s="1"/>
  <c r="O216" i="4" s="1"/>
  <c r="N217" i="4" a="1"/>
  <c r="N217" i="4" s="1"/>
  <c r="O217" i="4" s="1"/>
  <c r="N218" i="4" a="1"/>
  <c r="N218" i="4" s="1"/>
  <c r="O218" i="4" s="1"/>
  <c r="N219" i="4" a="1"/>
  <c r="N219" i="4" s="1"/>
  <c r="O219" i="4" s="1"/>
  <c r="N220" i="4" a="1"/>
  <c r="N220" i="4" s="1"/>
  <c r="O220" i="4" s="1"/>
  <c r="N221" i="4" a="1"/>
  <c r="N221" i="4" s="1"/>
  <c r="O221" i="4" s="1"/>
  <c r="N222" i="4" a="1"/>
  <c r="N222" i="4" s="1"/>
  <c r="O222" i="4" s="1"/>
  <c r="N223" i="4" a="1"/>
  <c r="N223" i="4" s="1"/>
  <c r="O223" i="4" s="1"/>
  <c r="N224" i="4" a="1"/>
  <c r="N224" i="4" s="1"/>
  <c r="O224" i="4" s="1"/>
  <c r="N225" i="4" a="1"/>
  <c r="N225" i="4" s="1"/>
  <c r="O225" i="4" s="1"/>
  <c r="N226" i="4" a="1"/>
  <c r="N226" i="4" s="1"/>
  <c r="O226" i="4" s="1"/>
  <c r="N227" i="4" a="1"/>
  <c r="N227" i="4" s="1"/>
  <c r="O227" i="4" s="1"/>
  <c r="N228" i="4" a="1"/>
  <c r="N228" i="4" s="1"/>
  <c r="O228" i="4" s="1"/>
  <c r="N229" i="4" a="1"/>
  <c r="N229" i="4" s="1"/>
  <c r="O229" i="4" s="1"/>
  <c r="N230" i="4" a="1"/>
  <c r="N230" i="4" s="1"/>
  <c r="O230" i="4" s="1"/>
  <c r="N231" i="4" a="1"/>
  <c r="N231" i="4" s="1"/>
  <c r="O231" i="4" s="1"/>
  <c r="N232" i="4" a="1"/>
  <c r="N232" i="4" s="1"/>
  <c r="O232" i="4" s="1"/>
  <c r="N233" i="4" a="1"/>
  <c r="N233" i="4" s="1"/>
  <c r="O233" i="4" s="1"/>
  <c r="N234" i="4" a="1"/>
  <c r="N234" i="4" s="1"/>
  <c r="O234" i="4" s="1"/>
  <c r="N235" i="4" a="1"/>
  <c r="N235" i="4" s="1"/>
  <c r="O235" i="4" s="1"/>
  <c r="N236" i="4" a="1"/>
  <c r="N236" i="4" s="1"/>
  <c r="O236" i="4" s="1"/>
  <c r="N237" i="4" a="1"/>
  <c r="N237" i="4" s="1"/>
  <c r="O237" i="4" s="1"/>
  <c r="N238" i="4" a="1"/>
  <c r="N238" i="4" s="1"/>
  <c r="O238" i="4" s="1"/>
  <c r="N239" i="4" a="1"/>
  <c r="N239" i="4" s="1"/>
  <c r="O239" i="4" s="1"/>
  <c r="N240" i="4" a="1"/>
  <c r="N240" i="4" s="1"/>
  <c r="O240" i="4" s="1"/>
  <c r="N241" i="4" a="1"/>
  <c r="N241" i="4" s="1"/>
  <c r="O241" i="4" s="1"/>
  <c r="N242" i="4" a="1"/>
  <c r="N242" i="4" s="1"/>
  <c r="O242" i="4" s="1"/>
  <c r="N243" i="4" a="1"/>
  <c r="N243" i="4" s="1"/>
  <c r="O243" i="4" s="1"/>
  <c r="N244" i="4" a="1"/>
  <c r="N244" i="4" s="1"/>
  <c r="O244" i="4" s="1"/>
  <c r="N245" i="4" a="1"/>
  <c r="N245" i="4" s="1"/>
  <c r="O245" i="4" s="1"/>
  <c r="N246" i="4" a="1"/>
  <c r="N246" i="4" s="1"/>
  <c r="O246" i="4" s="1"/>
  <c r="N247" i="4" a="1"/>
  <c r="N247" i="4" s="1"/>
  <c r="O247" i="4" s="1"/>
  <c r="N248" i="4" a="1"/>
  <c r="N248" i="4" s="1"/>
  <c r="O248" i="4" s="1"/>
  <c r="N249" i="4" a="1"/>
  <c r="N249" i="4" s="1"/>
  <c r="O249" i="4" s="1"/>
  <c r="N250" i="4" a="1"/>
  <c r="N250" i="4" s="1"/>
  <c r="O250" i="4" s="1"/>
  <c r="N251" i="4" a="1"/>
  <c r="N251" i="4" s="1"/>
  <c r="O251" i="4" s="1"/>
  <c r="N252" i="4" a="1"/>
  <c r="N252" i="4" s="1"/>
  <c r="O252" i="4" s="1"/>
  <c r="N253" i="4" a="1"/>
  <c r="N253" i="4" s="1"/>
  <c r="O253" i="4" s="1"/>
  <c r="N254" i="4" a="1"/>
  <c r="N254" i="4" s="1"/>
  <c r="O254" i="4" s="1"/>
  <c r="N255" i="4" a="1"/>
  <c r="N255" i="4" s="1"/>
  <c r="O255" i="4" s="1"/>
  <c r="N256" i="4" a="1"/>
  <c r="N256" i="4" s="1"/>
  <c r="O256" i="4" s="1"/>
  <c r="N257" i="4" a="1"/>
  <c r="N257" i="4" s="1"/>
  <c r="O257" i="4" s="1"/>
  <c r="N258" i="4" a="1"/>
  <c r="N258" i="4" s="1"/>
  <c r="O258" i="4" s="1"/>
  <c r="N259" i="4" a="1"/>
  <c r="N259" i="4" s="1"/>
  <c r="O259" i="4" s="1"/>
  <c r="N260" i="4" a="1"/>
  <c r="N260" i="4" s="1"/>
  <c r="O260" i="4" s="1"/>
  <c r="N261" i="4" a="1"/>
  <c r="N261" i="4" s="1"/>
  <c r="O261" i="4" s="1"/>
  <c r="N262" i="4" a="1"/>
  <c r="N262" i="4" s="1"/>
  <c r="O262" i="4" s="1"/>
  <c r="N263" i="4" a="1"/>
  <c r="N263" i="4" s="1"/>
  <c r="O263" i="4" s="1"/>
  <c r="N264" i="4" a="1"/>
  <c r="N264" i="4" s="1"/>
  <c r="O264" i="4" s="1"/>
  <c r="N265" i="4" a="1"/>
  <c r="N265" i="4" s="1"/>
  <c r="O265" i="4" s="1"/>
  <c r="N266" i="4" a="1"/>
  <c r="N266" i="4" s="1"/>
  <c r="O266" i="4" s="1"/>
  <c r="N267" i="4" a="1"/>
  <c r="N267" i="4" s="1"/>
  <c r="O267" i="4" s="1"/>
  <c r="N268" i="4" a="1"/>
  <c r="N268" i="4" s="1"/>
  <c r="O268" i="4" s="1"/>
  <c r="N269" i="4" a="1"/>
  <c r="N269" i="4" s="1"/>
  <c r="O269" i="4" s="1"/>
  <c r="N270" i="4" a="1"/>
  <c r="N270" i="4" s="1"/>
  <c r="O270" i="4" s="1"/>
  <c r="N271" i="4" a="1"/>
  <c r="N271" i="4" s="1"/>
  <c r="O271" i="4" s="1"/>
  <c r="N272" i="4" a="1"/>
  <c r="N272" i="4" s="1"/>
  <c r="O272" i="4" s="1"/>
  <c r="N273" i="4" a="1"/>
  <c r="N273" i="4" s="1"/>
  <c r="O273" i="4" s="1"/>
  <c r="N274" i="4" a="1"/>
  <c r="N274" i="4" s="1"/>
  <c r="O274" i="4" s="1"/>
  <c r="N275" i="4" a="1"/>
  <c r="N275" i="4" s="1"/>
  <c r="O275" i="4" s="1"/>
  <c r="N276" i="4" a="1"/>
  <c r="N276" i="4" s="1"/>
  <c r="O276" i="4" s="1"/>
  <c r="N277" i="4" a="1"/>
  <c r="N277" i="4" s="1"/>
  <c r="O277" i="4" s="1"/>
  <c r="N278" i="4" a="1"/>
  <c r="N278" i="4" s="1"/>
  <c r="O278" i="4" s="1"/>
  <c r="N279" i="4" a="1"/>
  <c r="N279" i="4" s="1"/>
  <c r="O279" i="4" s="1"/>
  <c r="N280" i="4" a="1"/>
  <c r="N280" i="4" s="1"/>
  <c r="O280" i="4" s="1"/>
  <c r="N281" i="4" a="1"/>
  <c r="N281" i="4" s="1"/>
  <c r="O281" i="4" s="1"/>
  <c r="N282" i="4" a="1"/>
  <c r="N282" i="4" s="1"/>
  <c r="O282" i="4" s="1"/>
  <c r="N283" i="4" a="1"/>
  <c r="N283" i="4" s="1"/>
  <c r="O283" i="4" s="1"/>
  <c r="N284" i="4" a="1"/>
  <c r="N284" i="4" s="1"/>
  <c r="O284" i="4" s="1"/>
  <c r="N285" i="4" a="1"/>
  <c r="N285" i="4" s="1"/>
  <c r="O285" i="4" s="1"/>
  <c r="N286" i="4" a="1"/>
  <c r="N286" i="4" s="1"/>
  <c r="O286" i="4" s="1"/>
  <c r="N287" i="4" a="1"/>
  <c r="N287" i="4" s="1"/>
  <c r="O287" i="4" s="1"/>
  <c r="N288" i="4" a="1"/>
  <c r="N288" i="4" s="1"/>
  <c r="O288" i="4" s="1"/>
  <c r="N289" i="4" a="1"/>
  <c r="N289" i="4" s="1"/>
  <c r="O289" i="4" s="1"/>
  <c r="N290" i="4" a="1"/>
  <c r="N290" i="4" s="1"/>
  <c r="O290" i="4" s="1"/>
  <c r="N291" i="4" a="1"/>
  <c r="N291" i="4" s="1"/>
  <c r="O291" i="4" s="1"/>
  <c r="N292" i="4" a="1"/>
  <c r="N292" i="4" s="1"/>
  <c r="O292" i="4" s="1"/>
  <c r="N293" i="4" a="1"/>
  <c r="N293" i="4" s="1"/>
  <c r="O293" i="4" s="1"/>
  <c r="N294" i="4" a="1"/>
  <c r="N294" i="4" s="1"/>
  <c r="O294" i="4" s="1"/>
  <c r="N295" i="4" a="1"/>
  <c r="N295" i="4" s="1"/>
  <c r="O295" i="4" s="1"/>
  <c r="N296" i="4" a="1"/>
  <c r="N296" i="4" s="1"/>
  <c r="O296" i="4" s="1"/>
  <c r="N297" i="4" a="1"/>
  <c r="N297" i="4" s="1"/>
  <c r="O297" i="4" s="1"/>
  <c r="N298" i="4" a="1"/>
  <c r="N298" i="4" s="1"/>
  <c r="O298" i="4" s="1"/>
  <c r="N299" i="4" a="1"/>
  <c r="N299" i="4" s="1"/>
  <c r="O299" i="4" s="1"/>
  <c r="N300" i="4" a="1"/>
  <c r="N300" i="4" s="1"/>
  <c r="O300" i="4" s="1"/>
  <c r="N301" i="4" a="1"/>
  <c r="N301" i="4" s="1"/>
  <c r="O301" i="4" s="1"/>
  <c r="N302" i="4" a="1"/>
  <c r="N302" i="4" s="1"/>
  <c r="O302" i="4" s="1"/>
  <c r="N303" i="4" a="1"/>
  <c r="N303" i="4" s="1"/>
  <c r="O303" i="4" s="1"/>
  <c r="N304" i="4" a="1"/>
  <c r="N304" i="4" s="1"/>
  <c r="O304" i="4" s="1"/>
  <c r="N305" i="4" a="1"/>
  <c r="N305" i="4" s="1"/>
  <c r="O305" i="4" s="1"/>
  <c r="N306" i="4" a="1"/>
  <c r="N306" i="4" s="1"/>
  <c r="O306" i="4" s="1"/>
  <c r="N307" i="4" a="1"/>
  <c r="N307" i="4" s="1"/>
  <c r="O307" i="4" s="1"/>
  <c r="N308" i="4" a="1"/>
  <c r="N308" i="4" s="1"/>
  <c r="O308" i="4" s="1"/>
  <c r="N309" i="4" a="1"/>
  <c r="N309" i="4" s="1"/>
  <c r="O309" i="4" s="1"/>
  <c r="N310" i="4" a="1"/>
  <c r="N310" i="4" s="1"/>
  <c r="O310" i="4" s="1"/>
  <c r="N311" i="4" a="1"/>
  <c r="N311" i="4" s="1"/>
  <c r="O311" i="4" s="1"/>
  <c r="N312" i="4" a="1"/>
  <c r="N312" i="4" s="1"/>
  <c r="O312" i="4" s="1"/>
  <c r="N313" i="4" a="1"/>
  <c r="N313" i="4" s="1"/>
  <c r="O313" i="4" s="1"/>
  <c r="N314" i="4" a="1"/>
  <c r="N314" i="4" s="1"/>
  <c r="O314" i="4" s="1"/>
  <c r="N315" i="4" a="1"/>
  <c r="N315" i="4" s="1"/>
  <c r="O315" i="4" s="1"/>
  <c r="N316" i="4" a="1"/>
  <c r="N316" i="4" s="1"/>
  <c r="O316" i="4" s="1"/>
  <c r="N317" i="4" a="1"/>
  <c r="N317" i="4" s="1"/>
  <c r="O317" i="4" s="1"/>
  <c r="N318" i="4" a="1"/>
  <c r="N318" i="4" s="1"/>
  <c r="O318" i="4" s="1"/>
  <c r="N319" i="4" a="1"/>
  <c r="N319" i="4" s="1"/>
  <c r="O319" i="4" s="1"/>
  <c r="N320" i="4" a="1"/>
  <c r="N320" i="4" s="1"/>
  <c r="O320" i="4" s="1"/>
  <c r="N321" i="4" a="1"/>
  <c r="N321" i="4" s="1"/>
  <c r="O321" i="4" s="1"/>
  <c r="N322" i="4" a="1"/>
  <c r="N322" i="4" s="1"/>
  <c r="O322" i="4" s="1"/>
  <c r="N323" i="4" a="1"/>
  <c r="N323" i="4" s="1"/>
  <c r="O323" i="4" s="1"/>
  <c r="N324" i="4" a="1"/>
  <c r="N324" i="4" s="1"/>
  <c r="O324" i="4" s="1"/>
  <c r="N325" i="4" a="1"/>
  <c r="N325" i="4" s="1"/>
  <c r="O325" i="4" s="1"/>
  <c r="N326" i="4" a="1"/>
  <c r="N326" i="4" s="1"/>
  <c r="O326" i="4" s="1"/>
  <c r="N327" i="4" a="1"/>
  <c r="N327" i="4" s="1"/>
  <c r="O327" i="4" s="1"/>
  <c r="N328" i="4" a="1"/>
  <c r="N328" i="4" s="1"/>
  <c r="O328" i="4" s="1"/>
  <c r="N329" i="4" a="1"/>
  <c r="N329" i="4" s="1"/>
  <c r="O329" i="4" s="1"/>
  <c r="N330" i="4" a="1"/>
  <c r="N330" i="4" s="1"/>
  <c r="O330" i="4" s="1"/>
  <c r="N331" i="4" a="1"/>
  <c r="N331" i="4" s="1"/>
  <c r="O331" i="4" s="1"/>
  <c r="N332" i="4" a="1"/>
  <c r="N332" i="4" s="1"/>
  <c r="O332" i="4" s="1"/>
  <c r="N333" i="4" a="1"/>
  <c r="N333" i="4" s="1"/>
  <c r="O333" i="4" s="1"/>
  <c r="N334" i="4" a="1"/>
  <c r="N334" i="4" s="1"/>
  <c r="O334" i="4" s="1"/>
  <c r="N335" i="4" a="1"/>
  <c r="N335" i="4" s="1"/>
  <c r="O335" i="4" s="1"/>
  <c r="N336" i="4" a="1"/>
  <c r="N336" i="4" s="1"/>
  <c r="O336" i="4" s="1"/>
  <c r="N337" i="4" a="1"/>
  <c r="N337" i="4" s="1"/>
  <c r="O337" i="4" s="1"/>
  <c r="N338" i="4" a="1"/>
  <c r="N338" i="4" s="1"/>
  <c r="O338" i="4" s="1"/>
  <c r="N339" i="4" a="1"/>
  <c r="N339" i="4" s="1"/>
  <c r="O339" i="4" s="1"/>
  <c r="N340" i="4" a="1"/>
  <c r="N340" i="4" s="1"/>
  <c r="O340" i="4" s="1"/>
  <c r="N341" i="4" a="1"/>
  <c r="N341" i="4" s="1"/>
  <c r="O341" i="4" s="1"/>
  <c r="N342" i="4" a="1"/>
  <c r="N342" i="4" s="1"/>
  <c r="O342" i="4" s="1"/>
  <c r="N343" i="4" a="1"/>
  <c r="N343" i="4" s="1"/>
  <c r="O343" i="4" s="1"/>
  <c r="N344" i="4" a="1"/>
  <c r="N344" i="4" s="1"/>
  <c r="O344" i="4" s="1"/>
  <c r="N345" i="4" a="1"/>
  <c r="N345" i="4" s="1"/>
  <c r="O345" i="4" s="1"/>
  <c r="N346" i="4" a="1"/>
  <c r="N346" i="4" s="1"/>
  <c r="O346" i="4" s="1"/>
  <c r="N347" i="4" a="1"/>
  <c r="N347" i="4" s="1"/>
  <c r="O347" i="4" s="1"/>
  <c r="N348" i="4" a="1"/>
  <c r="N348" i="4" s="1"/>
  <c r="O348" i="4" s="1"/>
  <c r="N349" i="4" a="1"/>
  <c r="N349" i="4" s="1"/>
  <c r="O349" i="4" s="1"/>
  <c r="N350" i="4" a="1"/>
  <c r="N350" i="4" s="1"/>
  <c r="O350" i="4" s="1"/>
  <c r="N351" i="4" a="1"/>
  <c r="N351" i="4" s="1"/>
  <c r="O351" i="4" s="1"/>
  <c r="N352" i="4" a="1"/>
  <c r="N352" i="4" s="1"/>
  <c r="O352" i="4" s="1"/>
  <c r="N353" i="4" a="1"/>
  <c r="N353" i="4" s="1"/>
  <c r="O353" i="4" s="1"/>
  <c r="N354" i="4" a="1"/>
  <c r="N354" i="4" s="1"/>
  <c r="O354" i="4" s="1"/>
  <c r="N355" i="4" a="1"/>
  <c r="N355" i="4" s="1"/>
  <c r="O355" i="4" s="1"/>
  <c r="N356" i="4" a="1"/>
  <c r="N356" i="4" s="1"/>
  <c r="O356" i="4" s="1"/>
  <c r="N357" i="4" a="1"/>
  <c r="N357" i="4" s="1"/>
  <c r="O357" i="4" s="1"/>
  <c r="N358" i="4" a="1"/>
  <c r="N358" i="4" s="1"/>
  <c r="O358" i="4" s="1"/>
  <c r="N359" i="4" a="1"/>
  <c r="N359" i="4" s="1"/>
  <c r="O359" i="4" s="1"/>
  <c r="N360" i="4" a="1"/>
  <c r="N360" i="4" s="1"/>
  <c r="O360" i="4" s="1"/>
  <c r="N361" i="4" a="1"/>
  <c r="N361" i="4" s="1"/>
  <c r="O361" i="4" s="1"/>
  <c r="N362" i="4" a="1"/>
  <c r="N362" i="4" s="1"/>
  <c r="O362" i="4" s="1"/>
  <c r="N363" i="4" a="1"/>
  <c r="N363" i="4" s="1"/>
  <c r="O363" i="4" s="1"/>
  <c r="N364" i="4" a="1"/>
  <c r="N364" i="4" s="1"/>
  <c r="O364" i="4" s="1"/>
  <c r="N365" i="4" a="1"/>
  <c r="N365" i="4" s="1"/>
  <c r="O365" i="4" s="1"/>
  <c r="N366" i="4" a="1"/>
  <c r="N366" i="4" s="1"/>
  <c r="O366" i="4" s="1"/>
  <c r="N367" i="4" a="1"/>
  <c r="N367" i="4" s="1"/>
  <c r="O367" i="4" s="1"/>
  <c r="N368" i="4" a="1"/>
  <c r="N368" i="4" s="1"/>
  <c r="O368" i="4" s="1"/>
  <c r="N369" i="4" a="1"/>
  <c r="N369" i="4" s="1"/>
  <c r="O369" i="4" s="1"/>
  <c r="N370" i="4" a="1"/>
  <c r="N370" i="4" s="1"/>
  <c r="O370" i="4" s="1"/>
  <c r="N371" i="4" a="1"/>
  <c r="N371" i="4" s="1"/>
  <c r="O371" i="4" s="1"/>
  <c r="N372" i="4" a="1"/>
  <c r="N372" i="4" s="1"/>
  <c r="O372" i="4" s="1"/>
  <c r="N373" i="4" a="1"/>
  <c r="N373" i="4" s="1"/>
  <c r="O373" i="4" s="1"/>
  <c r="N374" i="4" a="1"/>
  <c r="N374" i="4" s="1"/>
  <c r="O374" i="4" s="1"/>
  <c r="N375" i="4" a="1"/>
  <c r="N375" i="4" s="1"/>
  <c r="O375" i="4" s="1"/>
  <c r="N376" i="4" a="1"/>
  <c r="N376" i="4" s="1"/>
  <c r="O376" i="4" s="1"/>
  <c r="N377" i="4" a="1"/>
  <c r="N377" i="4" s="1"/>
  <c r="O377" i="4" s="1"/>
  <c r="N378" i="4" a="1"/>
  <c r="N378" i="4" s="1"/>
  <c r="O378" i="4" s="1"/>
  <c r="N379" i="4" a="1"/>
  <c r="N379" i="4" s="1"/>
  <c r="O379" i="4" s="1"/>
  <c r="N380" i="4" a="1"/>
  <c r="N380" i="4" s="1"/>
  <c r="O380" i="4" s="1"/>
  <c r="N381" i="4" a="1"/>
  <c r="N381" i="4" s="1"/>
  <c r="O381" i="4" s="1"/>
  <c r="N382" i="4" a="1"/>
  <c r="N382" i="4" s="1"/>
  <c r="O382" i="4" s="1"/>
  <c r="N383" i="4" a="1"/>
  <c r="N383" i="4" s="1"/>
  <c r="O383" i="4" s="1"/>
  <c r="N384" i="4" a="1"/>
  <c r="N384" i="4" s="1"/>
  <c r="O384" i="4" s="1"/>
  <c r="N385" i="4" a="1"/>
  <c r="N385" i="4" s="1"/>
  <c r="O385" i="4" s="1"/>
  <c r="N386" i="4" a="1"/>
  <c r="N386" i="4" s="1"/>
  <c r="O386" i="4" s="1"/>
  <c r="N387" i="4" a="1"/>
  <c r="N387" i="4" s="1"/>
  <c r="O387" i="4" s="1"/>
  <c r="N388" i="4" a="1"/>
  <c r="N388" i="4" s="1"/>
  <c r="O388" i="4" s="1"/>
  <c r="N389" i="4" a="1"/>
  <c r="N389" i="4" s="1"/>
  <c r="O389" i="4" s="1"/>
  <c r="N390" i="4" a="1"/>
  <c r="N390" i="4" s="1"/>
  <c r="O390" i="4" s="1"/>
  <c r="N391" i="4" a="1"/>
  <c r="N391" i="4" s="1"/>
  <c r="O391" i="4" s="1"/>
  <c r="N392" i="4" a="1"/>
  <c r="N392" i="4" s="1"/>
  <c r="O392" i="4" s="1"/>
  <c r="N393" i="4" a="1"/>
  <c r="N393" i="4" s="1"/>
  <c r="O393" i="4" s="1"/>
  <c r="N394" i="4" a="1"/>
  <c r="N394" i="4" s="1"/>
  <c r="O394" i="4" s="1"/>
  <c r="N395" i="4" a="1"/>
  <c r="N395" i="4" s="1"/>
  <c r="O395" i="4" s="1"/>
  <c r="N396" i="4" a="1"/>
  <c r="N396" i="4" s="1"/>
  <c r="O396" i="4" s="1"/>
  <c r="N397" i="4" a="1"/>
  <c r="N397" i="4" s="1"/>
  <c r="O397" i="4" s="1"/>
  <c r="N398" i="4" a="1"/>
  <c r="N398" i="4" s="1"/>
  <c r="O398" i="4" s="1"/>
  <c r="N399" i="4" a="1"/>
  <c r="N399" i="4" s="1"/>
  <c r="O399" i="4" s="1"/>
  <c r="N400" i="4" a="1"/>
  <c r="N400" i="4" s="1"/>
  <c r="O400" i="4" s="1"/>
  <c r="N401" i="4" a="1"/>
  <c r="N401" i="4" s="1"/>
  <c r="O401" i="4" s="1"/>
  <c r="N402" i="4" a="1"/>
  <c r="N402" i="4" s="1"/>
  <c r="O402" i="4" s="1"/>
  <c r="N403" i="4" a="1"/>
  <c r="N403" i="4" s="1"/>
  <c r="O403" i="4" s="1"/>
  <c r="N404" i="4" a="1"/>
  <c r="N404" i="4" s="1"/>
  <c r="O404" i="4" s="1"/>
  <c r="N405" i="4" a="1"/>
  <c r="N405" i="4" s="1"/>
  <c r="O405" i="4" s="1"/>
  <c r="N406" i="4" a="1"/>
  <c r="N406" i="4" s="1"/>
  <c r="O406" i="4" s="1"/>
  <c r="N407" i="4" a="1"/>
  <c r="N407" i="4" s="1"/>
  <c r="O407" i="4" s="1"/>
  <c r="N408" i="4" a="1"/>
  <c r="N408" i="4" s="1"/>
  <c r="O408" i="4" s="1"/>
  <c r="N409" i="4" a="1"/>
  <c r="N409" i="4" s="1"/>
  <c r="O409" i="4" s="1"/>
  <c r="N410" i="4" a="1"/>
  <c r="N410" i="4" s="1"/>
  <c r="O410" i="4" s="1"/>
  <c r="N411" i="4" a="1"/>
  <c r="N411" i="4" s="1"/>
  <c r="O411" i="4" s="1"/>
  <c r="N412" i="4" a="1"/>
  <c r="N412" i="4" s="1"/>
  <c r="O412" i="4" s="1"/>
  <c r="N413" i="4" a="1"/>
  <c r="N413" i="4" s="1"/>
  <c r="O413" i="4" s="1"/>
  <c r="N414" i="4" a="1"/>
  <c r="N414" i="4" s="1"/>
  <c r="O414" i="4" s="1"/>
  <c r="N415" i="4" a="1"/>
  <c r="N415" i="4" s="1"/>
  <c r="O415" i="4" s="1"/>
  <c r="N416" i="4" a="1"/>
  <c r="N416" i="4" s="1"/>
  <c r="O416" i="4" s="1"/>
  <c r="N417" i="4" a="1"/>
  <c r="N417" i="4" s="1"/>
  <c r="O417" i="4" s="1"/>
  <c r="N418" i="4" a="1"/>
  <c r="N418" i="4" s="1"/>
  <c r="O418" i="4" s="1"/>
  <c r="N419" i="4" a="1"/>
  <c r="N419" i="4" s="1"/>
  <c r="O419" i="4" s="1"/>
  <c r="N420" i="4" a="1"/>
  <c r="N420" i="4" s="1"/>
  <c r="O420" i="4" s="1"/>
  <c r="N421" i="4" a="1"/>
  <c r="N421" i="4" s="1"/>
  <c r="O421" i="4" s="1"/>
  <c r="N422" i="4" a="1"/>
  <c r="N422" i="4" s="1"/>
  <c r="O422" i="4" s="1"/>
  <c r="N423" i="4" a="1"/>
  <c r="N423" i="4" s="1"/>
  <c r="O423" i="4" s="1"/>
  <c r="N424" i="4" a="1"/>
  <c r="N424" i="4" s="1"/>
  <c r="O424" i="4" s="1"/>
  <c r="N425" i="4" a="1"/>
  <c r="N425" i="4" s="1"/>
  <c r="O425" i="4" s="1"/>
  <c r="N426" i="4" a="1"/>
  <c r="N426" i="4" s="1"/>
  <c r="O426" i="4" s="1"/>
  <c r="N427" i="4" a="1"/>
  <c r="N427" i="4" s="1"/>
  <c r="O427" i="4" s="1"/>
  <c r="N428" i="4" a="1"/>
  <c r="N428" i="4" s="1"/>
  <c r="O428" i="4" s="1"/>
  <c r="N429" i="4" a="1"/>
  <c r="N429" i="4" s="1"/>
  <c r="O429" i="4" s="1"/>
  <c r="N430" i="4" a="1"/>
  <c r="N430" i="4" s="1"/>
  <c r="O430" i="4" s="1"/>
  <c r="N431" i="4" a="1"/>
  <c r="N431" i="4" s="1"/>
  <c r="O431" i="4" s="1"/>
  <c r="N432" i="4" a="1"/>
  <c r="N432" i="4" s="1"/>
  <c r="O432" i="4" s="1"/>
  <c r="N433" i="4" a="1"/>
  <c r="N433" i="4" s="1"/>
  <c r="O433" i="4" s="1"/>
  <c r="N434" i="4" a="1"/>
  <c r="N434" i="4" s="1"/>
  <c r="O434" i="4" s="1"/>
  <c r="N435" i="4" a="1"/>
  <c r="N435" i="4" s="1"/>
  <c r="O435" i="4" s="1"/>
  <c r="N436" i="4" a="1"/>
  <c r="N436" i="4" s="1"/>
  <c r="O436" i="4" s="1"/>
  <c r="N437" i="4" a="1"/>
  <c r="N437" i="4" s="1"/>
  <c r="O437" i="4" s="1"/>
  <c r="N438" i="4" a="1"/>
  <c r="N438" i="4" s="1"/>
  <c r="O438" i="4" s="1"/>
  <c r="N439" i="4" a="1"/>
  <c r="N439" i="4" s="1"/>
  <c r="O439" i="4" s="1"/>
  <c r="N440" i="4" a="1"/>
  <c r="N440" i="4" s="1"/>
  <c r="O440" i="4" s="1"/>
  <c r="N441" i="4" a="1"/>
  <c r="N441" i="4" s="1"/>
  <c r="O441" i="4" s="1"/>
  <c r="N442" i="4" a="1"/>
  <c r="N442" i="4" s="1"/>
  <c r="O442" i="4" s="1"/>
  <c r="N443" i="4" a="1"/>
  <c r="N443" i="4" s="1"/>
  <c r="O443" i="4" s="1"/>
  <c r="N444" i="4" a="1"/>
  <c r="N444" i="4" s="1"/>
  <c r="O444" i="4" s="1"/>
  <c r="N445" i="4" a="1"/>
  <c r="N445" i="4" s="1"/>
  <c r="O445" i="4" s="1"/>
  <c r="N446" i="4" a="1"/>
  <c r="N446" i="4" s="1"/>
  <c r="O446" i="4" s="1"/>
  <c r="N447" i="4" a="1"/>
  <c r="N447" i="4" s="1"/>
  <c r="O447" i="4" s="1"/>
  <c r="N448" i="4" a="1"/>
  <c r="N448" i="4" s="1"/>
  <c r="O448" i="4" s="1"/>
  <c r="N449" i="4" a="1"/>
  <c r="N449" i="4" s="1"/>
  <c r="O449" i="4" s="1"/>
  <c r="N450" i="4" a="1"/>
  <c r="N450" i="4" s="1"/>
  <c r="O450" i="4" s="1"/>
  <c r="N451" i="4" a="1"/>
  <c r="N451" i="4" s="1"/>
  <c r="O451" i="4" s="1"/>
  <c r="N452" i="4" a="1"/>
  <c r="N452" i="4" s="1"/>
  <c r="O452" i="4" s="1"/>
  <c r="N453" i="4" a="1"/>
  <c r="N453" i="4" s="1"/>
  <c r="O453" i="4" s="1"/>
  <c r="N454" i="4" a="1"/>
  <c r="N454" i="4" s="1"/>
  <c r="O454" i="4" s="1"/>
  <c r="N455" i="4" a="1"/>
  <c r="N455" i="4" s="1"/>
  <c r="O455" i="4" s="1"/>
  <c r="N456" i="4" a="1"/>
  <c r="N456" i="4" s="1"/>
  <c r="O456" i="4" s="1"/>
  <c r="N457" i="4" a="1"/>
  <c r="N457" i="4" s="1"/>
  <c r="O457" i="4" s="1"/>
  <c r="N458" i="4" a="1"/>
  <c r="N458" i="4" s="1"/>
  <c r="O458" i="4" s="1"/>
  <c r="N459" i="4" a="1"/>
  <c r="N459" i="4" s="1"/>
  <c r="O459" i="4" s="1"/>
  <c r="N460" i="4" a="1"/>
  <c r="N460" i="4" s="1"/>
  <c r="O460" i="4" s="1"/>
  <c r="N461" i="4" a="1"/>
  <c r="N461" i="4" s="1"/>
  <c r="O461" i="4" s="1"/>
  <c r="N462" i="4" a="1"/>
  <c r="N462" i="4" s="1"/>
  <c r="O462" i="4" s="1"/>
  <c r="N463" i="4" a="1"/>
  <c r="N463" i="4" s="1"/>
  <c r="O463" i="4" s="1"/>
  <c r="N464" i="4" a="1"/>
  <c r="N464" i="4" s="1"/>
  <c r="O464" i="4" s="1"/>
  <c r="N465" i="4" a="1"/>
  <c r="N465" i="4" s="1"/>
  <c r="O465" i="4" s="1"/>
  <c r="N466" i="4" a="1"/>
  <c r="N466" i="4" s="1"/>
  <c r="O466" i="4" s="1"/>
  <c r="N467" i="4" a="1"/>
  <c r="N467" i="4" s="1"/>
  <c r="O467" i="4" s="1"/>
  <c r="N468" i="4" a="1"/>
  <c r="N468" i="4" s="1"/>
  <c r="O468" i="4" s="1"/>
  <c r="N469" i="4" a="1"/>
  <c r="N469" i="4" s="1"/>
  <c r="O469" i="4" s="1"/>
  <c r="N470" i="4" a="1"/>
  <c r="N470" i="4" s="1"/>
  <c r="O470" i="4" s="1"/>
  <c r="N471" i="4" a="1"/>
  <c r="N471" i="4" s="1"/>
  <c r="O471" i="4" s="1"/>
  <c r="N472" i="4" a="1"/>
  <c r="N472" i="4" s="1"/>
  <c r="O472" i="4" s="1"/>
  <c r="N473" i="4" a="1"/>
  <c r="N473" i="4" s="1"/>
  <c r="O473" i="4" s="1"/>
  <c r="N474" i="4" a="1"/>
  <c r="N474" i="4" s="1"/>
  <c r="O474" i="4" s="1"/>
  <c r="N475" i="4" a="1"/>
  <c r="N475" i="4" s="1"/>
  <c r="O475" i="4" s="1"/>
  <c r="N476" i="4" a="1"/>
  <c r="N476" i="4" s="1"/>
  <c r="O476" i="4" s="1"/>
  <c r="N477" i="4" a="1"/>
  <c r="N477" i="4" s="1"/>
  <c r="O477" i="4" s="1"/>
  <c r="N478" i="4" a="1"/>
  <c r="N478" i="4" s="1"/>
  <c r="O478" i="4" s="1"/>
  <c r="N479" i="4" a="1"/>
  <c r="N479" i="4" s="1"/>
  <c r="O479" i="4" s="1"/>
  <c r="N480" i="4" a="1"/>
  <c r="N480" i="4" s="1"/>
  <c r="O480" i="4" s="1"/>
  <c r="N481" i="4" a="1"/>
  <c r="N481" i="4" s="1"/>
  <c r="O481" i="4" s="1"/>
  <c r="N482" i="4" a="1"/>
  <c r="N482" i="4" s="1"/>
  <c r="O482" i="4" s="1"/>
  <c r="N483" i="4" a="1"/>
  <c r="N483" i="4" s="1"/>
  <c r="O483" i="4" s="1"/>
  <c r="N484" i="4" a="1"/>
  <c r="N484" i="4" s="1"/>
  <c r="O484" i="4" s="1"/>
  <c r="N485" i="4" a="1"/>
  <c r="N485" i="4" s="1"/>
  <c r="O485" i="4" s="1"/>
  <c r="N486" i="4" a="1"/>
  <c r="N486" i="4" s="1"/>
  <c r="O486" i="4" s="1"/>
  <c r="N487" i="4" a="1"/>
  <c r="N487" i="4" s="1"/>
  <c r="O487" i="4" s="1"/>
  <c r="N488" i="4" a="1"/>
  <c r="N488" i="4" s="1"/>
  <c r="O488" i="4" s="1"/>
  <c r="N489" i="4" a="1"/>
  <c r="N489" i="4" s="1"/>
  <c r="O489" i="4" s="1"/>
  <c r="N490" i="4" a="1"/>
  <c r="N490" i="4" s="1"/>
  <c r="O490" i="4" s="1"/>
  <c r="N491" i="4" a="1"/>
  <c r="N491" i="4" s="1"/>
  <c r="O491" i="4" s="1"/>
  <c r="N492" i="4" a="1"/>
  <c r="N492" i="4" s="1"/>
  <c r="O492" i="4" s="1"/>
  <c r="N493" i="4" a="1"/>
  <c r="N493" i="4" s="1"/>
  <c r="O493" i="4" s="1"/>
  <c r="N494" i="4" a="1"/>
  <c r="N494" i="4" s="1"/>
  <c r="O494" i="4" s="1"/>
  <c r="N495" i="4" a="1"/>
  <c r="N495" i="4" s="1"/>
  <c r="O495" i="4" s="1"/>
  <c r="N496" i="4" a="1"/>
  <c r="N496" i="4" s="1"/>
  <c r="O496" i="4" s="1"/>
  <c r="N497" i="4" a="1"/>
  <c r="N497" i="4" s="1"/>
  <c r="O497" i="4" s="1"/>
  <c r="N498" i="4" a="1"/>
  <c r="N498" i="4" s="1"/>
  <c r="O498" i="4" s="1"/>
  <c r="N499" i="4" a="1"/>
  <c r="N499" i="4" s="1"/>
  <c r="O499" i="4" s="1"/>
  <c r="N500" i="4" a="1"/>
  <c r="N500" i="4" s="1"/>
  <c r="O500" i="4" s="1"/>
  <c r="N501" i="4" a="1"/>
  <c r="N501" i="4" s="1"/>
  <c r="O501" i="4" s="1"/>
  <c r="N502" i="4" a="1"/>
  <c r="N502" i="4" s="1"/>
  <c r="O502" i="4" s="1"/>
  <c r="N503" i="4" a="1"/>
  <c r="N503" i="4" s="1"/>
  <c r="O503" i="4" s="1"/>
  <c r="N504" i="4" a="1"/>
  <c r="N504" i="4" s="1"/>
  <c r="O504" i="4" s="1"/>
  <c r="N505" i="4" a="1"/>
  <c r="N505" i="4" s="1"/>
  <c r="O505" i="4" s="1"/>
  <c r="N506" i="4" a="1"/>
  <c r="N506" i="4" s="1"/>
  <c r="O506" i="4" s="1"/>
  <c r="N507" i="4" a="1"/>
  <c r="N507" i="4" s="1"/>
  <c r="O507" i="4" s="1"/>
  <c r="N508" i="4" a="1"/>
  <c r="N508" i="4" s="1"/>
  <c r="O508" i="4" s="1"/>
  <c r="N509" i="4" a="1"/>
  <c r="N509" i="4" s="1"/>
  <c r="O509" i="4" s="1"/>
  <c r="N510" i="4" a="1"/>
  <c r="N510" i="4" s="1"/>
  <c r="O510" i="4" s="1"/>
  <c r="N511" i="4" a="1"/>
  <c r="N511" i="4" s="1"/>
  <c r="O511" i="4" s="1"/>
  <c r="N512" i="4" a="1"/>
  <c r="N512" i="4" s="1"/>
  <c r="O512" i="4" s="1"/>
  <c r="N513" i="4" a="1"/>
  <c r="N513" i="4" s="1"/>
  <c r="O513" i="4" s="1"/>
  <c r="N514" i="4" a="1"/>
  <c r="N514" i="4" s="1"/>
  <c r="O514" i="4" s="1"/>
  <c r="N515" i="4" a="1"/>
  <c r="N515" i="4" s="1"/>
  <c r="O515" i="4" s="1"/>
  <c r="N516" i="4" a="1"/>
  <c r="N516" i="4" s="1"/>
  <c r="O516" i="4" s="1"/>
  <c r="N517" i="4" a="1"/>
  <c r="N517" i="4" s="1"/>
  <c r="O517" i="4" s="1"/>
  <c r="N518" i="4" a="1"/>
  <c r="N518" i="4" s="1"/>
  <c r="O518" i="4" s="1"/>
  <c r="N519" i="4" a="1"/>
  <c r="N519" i="4" s="1"/>
  <c r="O519" i="4" s="1"/>
  <c r="N520" i="4" a="1"/>
  <c r="N520" i="4" s="1"/>
  <c r="O520" i="4" s="1"/>
  <c r="N521" i="4" a="1"/>
  <c r="N521" i="4" s="1"/>
  <c r="O521" i="4" s="1"/>
  <c r="N522" i="4" a="1"/>
  <c r="N522" i="4" s="1"/>
  <c r="O522" i="4" s="1"/>
  <c r="N523" i="4" a="1"/>
  <c r="N523" i="4" s="1"/>
  <c r="O523" i="4" s="1"/>
  <c r="N524" i="4" a="1"/>
  <c r="N524" i="4" s="1"/>
  <c r="O524" i="4" s="1"/>
  <c r="N525" i="4" a="1"/>
  <c r="N525" i="4" s="1"/>
  <c r="O525" i="4" s="1"/>
  <c r="N526" i="4" a="1"/>
  <c r="N526" i="4" s="1"/>
  <c r="O526" i="4" s="1"/>
  <c r="N527" i="4" a="1"/>
  <c r="N527" i="4" s="1"/>
  <c r="O527" i="4" s="1"/>
  <c r="N528" i="4" a="1"/>
  <c r="N528" i="4" s="1"/>
  <c r="O528" i="4" s="1"/>
  <c r="N529" i="4" a="1"/>
  <c r="N529" i="4" s="1"/>
  <c r="O529" i="4" s="1"/>
  <c r="N530" i="4" a="1"/>
  <c r="N530" i="4" s="1"/>
  <c r="O530" i="4" s="1"/>
  <c r="N531" i="4" a="1"/>
  <c r="N531" i="4" s="1"/>
  <c r="O531" i="4" s="1"/>
  <c r="N532" i="4" a="1"/>
  <c r="N532" i="4" s="1"/>
  <c r="O532" i="4" s="1"/>
  <c r="N533" i="4" a="1"/>
  <c r="N533" i="4" s="1"/>
  <c r="O533" i="4" s="1"/>
  <c r="N534" i="4" a="1"/>
  <c r="N534" i="4" s="1"/>
  <c r="O534" i="4" s="1"/>
  <c r="N535" i="4" a="1"/>
  <c r="N535" i="4" s="1"/>
  <c r="O535" i="4" s="1"/>
  <c r="N536" i="4" a="1"/>
  <c r="N536" i="4" s="1"/>
  <c r="O536" i="4" s="1"/>
  <c r="N537" i="4" a="1"/>
  <c r="N537" i="4" s="1"/>
  <c r="O537" i="4" s="1"/>
  <c r="N538" i="4" a="1"/>
  <c r="N538" i="4" s="1"/>
  <c r="O538" i="4" s="1"/>
  <c r="N539" i="4" a="1"/>
  <c r="N539" i="4" s="1"/>
  <c r="O539" i="4" s="1"/>
  <c r="N540" i="4" a="1"/>
  <c r="N540" i="4" s="1"/>
  <c r="O540" i="4" s="1"/>
  <c r="N541" i="4" a="1"/>
  <c r="N541" i="4" s="1"/>
  <c r="O541" i="4" s="1"/>
  <c r="N542" i="4" a="1"/>
  <c r="N542" i="4" s="1"/>
  <c r="O542" i="4" s="1"/>
  <c r="N543" i="4" a="1"/>
  <c r="N543" i="4" s="1"/>
  <c r="O543" i="4" s="1"/>
  <c r="N544" i="4" a="1"/>
  <c r="N544" i="4" s="1"/>
  <c r="O544" i="4" s="1"/>
  <c r="N545" i="4" a="1"/>
  <c r="N545" i="4" s="1"/>
  <c r="O545" i="4" s="1"/>
  <c r="N546" i="4" a="1"/>
  <c r="N546" i="4" s="1"/>
  <c r="O546" i="4" s="1"/>
  <c r="N547" i="4" a="1"/>
  <c r="N547" i="4" s="1"/>
  <c r="O547" i="4" s="1"/>
  <c r="N548" i="4" a="1"/>
  <c r="N548" i="4" s="1"/>
  <c r="O548" i="4" s="1"/>
  <c r="N549" i="4" a="1"/>
  <c r="N549" i="4" s="1"/>
  <c r="O549" i="4" s="1"/>
  <c r="N550" i="4" a="1"/>
  <c r="N550" i="4" s="1"/>
  <c r="O550" i="4" s="1"/>
  <c r="N551" i="4" a="1"/>
  <c r="N551" i="4" s="1"/>
  <c r="O551" i="4" s="1"/>
  <c r="N552" i="4" a="1"/>
  <c r="N552" i="4" s="1"/>
  <c r="O552" i="4" s="1"/>
  <c r="N553" i="4" a="1"/>
  <c r="N553" i="4" s="1"/>
  <c r="O553" i="4" s="1"/>
  <c r="N554" i="4" a="1"/>
  <c r="N554" i="4" s="1"/>
  <c r="O554" i="4" s="1"/>
  <c r="N555" i="4" a="1"/>
  <c r="N555" i="4" s="1"/>
  <c r="O555" i="4" s="1"/>
  <c r="N556" i="4" a="1"/>
  <c r="N556" i="4" s="1"/>
  <c r="O556" i="4" s="1"/>
  <c r="N557" i="4" a="1"/>
  <c r="N557" i="4" s="1"/>
  <c r="O557" i="4" s="1"/>
  <c r="N558" i="4" a="1"/>
  <c r="N558" i="4" s="1"/>
  <c r="O558" i="4" s="1"/>
  <c r="N559" i="4" a="1"/>
  <c r="N559" i="4" s="1"/>
  <c r="O559" i="4" s="1"/>
  <c r="N560" i="4" a="1"/>
  <c r="N560" i="4" s="1"/>
  <c r="O560" i="4" s="1"/>
  <c r="N561" i="4" a="1"/>
  <c r="N561" i="4" s="1"/>
  <c r="O561" i="4" s="1"/>
  <c r="N562" i="4" a="1"/>
  <c r="N562" i="4" s="1"/>
  <c r="O562" i="4" s="1"/>
  <c r="N563" i="4" a="1"/>
  <c r="N563" i="4" s="1"/>
  <c r="O563" i="4" s="1"/>
  <c r="N564" i="4" a="1"/>
  <c r="N564" i="4" s="1"/>
  <c r="O564" i="4" s="1"/>
  <c r="N565" i="4" a="1"/>
  <c r="N565" i="4" s="1"/>
  <c r="O565" i="4" s="1"/>
  <c r="N566" i="4" a="1"/>
  <c r="N566" i="4" s="1"/>
  <c r="O566" i="4" s="1"/>
  <c r="N567" i="4" a="1"/>
  <c r="N567" i="4" s="1"/>
  <c r="O567" i="4" s="1"/>
  <c r="N568" i="4" a="1"/>
  <c r="N568" i="4" s="1"/>
  <c r="O568" i="4" s="1"/>
  <c r="N569" i="4" a="1"/>
  <c r="N569" i="4" s="1"/>
  <c r="O569" i="4" s="1"/>
  <c r="N570" i="4" a="1"/>
  <c r="N570" i="4" s="1"/>
  <c r="O570" i="4" s="1"/>
  <c r="N571" i="4" a="1"/>
  <c r="N571" i="4" s="1"/>
  <c r="O571" i="4" s="1"/>
  <c r="N572" i="4" a="1"/>
  <c r="N572" i="4" s="1"/>
  <c r="O572" i="4" s="1"/>
  <c r="N573" i="4" a="1"/>
  <c r="N573" i="4" s="1"/>
  <c r="O573" i="4" s="1"/>
  <c r="N574" i="4" a="1"/>
  <c r="N574" i="4" s="1"/>
  <c r="O574" i="4" s="1"/>
  <c r="N575" i="4" a="1"/>
  <c r="N575" i="4" s="1"/>
  <c r="O575" i="4" s="1"/>
  <c r="N576" i="4" a="1"/>
  <c r="N576" i="4" s="1"/>
  <c r="O576" i="4" s="1"/>
  <c r="N577" i="4" a="1"/>
  <c r="N577" i="4" s="1"/>
  <c r="O577" i="4" s="1"/>
  <c r="N578" i="4" a="1"/>
  <c r="N578" i="4" s="1"/>
  <c r="O578" i="4" s="1"/>
  <c r="N579" i="4" a="1"/>
  <c r="N579" i="4" s="1"/>
  <c r="O579" i="4" s="1"/>
  <c r="N580" i="4" a="1"/>
  <c r="N580" i="4" s="1"/>
  <c r="O580" i="4" s="1"/>
  <c r="N581" i="4" a="1"/>
  <c r="N581" i="4" s="1"/>
  <c r="O581" i="4" s="1"/>
  <c r="N582" i="4" a="1"/>
  <c r="N582" i="4" s="1"/>
  <c r="O582" i="4" s="1"/>
  <c r="N583" i="4" a="1"/>
  <c r="N583" i="4" s="1"/>
  <c r="O583" i="4" s="1"/>
  <c r="N584" i="4" a="1"/>
  <c r="N584" i="4" s="1"/>
  <c r="O584" i="4" s="1"/>
  <c r="N585" i="4" a="1"/>
  <c r="N585" i="4" s="1"/>
  <c r="O585" i="4" s="1"/>
  <c r="N586" i="4" a="1"/>
  <c r="N586" i="4" s="1"/>
  <c r="O586" i="4" s="1"/>
  <c r="N587" i="4" a="1"/>
  <c r="N587" i="4" s="1"/>
  <c r="O587" i="4" s="1"/>
  <c r="N588" i="4" a="1"/>
  <c r="N588" i="4" s="1"/>
  <c r="O588" i="4" s="1"/>
  <c r="N589" i="4" a="1"/>
  <c r="N589" i="4" s="1"/>
  <c r="O589" i="4" s="1"/>
  <c r="N590" i="4" a="1"/>
  <c r="N590" i="4" s="1"/>
  <c r="O590" i="4" s="1"/>
  <c r="N591" i="4" a="1"/>
  <c r="N591" i="4" s="1"/>
  <c r="O591" i="4" s="1"/>
  <c r="N592" i="4" a="1"/>
  <c r="N592" i="4" s="1"/>
  <c r="O592" i="4" s="1"/>
  <c r="N593" i="4" a="1"/>
  <c r="N593" i="4" s="1"/>
  <c r="O593" i="4" s="1"/>
  <c r="N594" i="4" a="1"/>
  <c r="N594" i="4" s="1"/>
  <c r="O594" i="4" s="1"/>
  <c r="N595" i="4" a="1"/>
  <c r="N595" i="4" s="1"/>
  <c r="O595" i="4" s="1"/>
  <c r="N596" i="4" a="1"/>
  <c r="N596" i="4" s="1"/>
  <c r="O596" i="4" s="1"/>
  <c r="N597" i="4" a="1"/>
  <c r="N597" i="4" s="1"/>
  <c r="O597" i="4" s="1"/>
  <c r="N598" i="4" a="1"/>
  <c r="N598" i="4" s="1"/>
  <c r="O598" i="4" s="1"/>
  <c r="N599" i="4" a="1"/>
  <c r="N599" i="4" s="1"/>
  <c r="O599" i="4" s="1"/>
  <c r="N600" i="4" a="1"/>
  <c r="N600" i="4" s="1"/>
  <c r="O600" i="4" s="1"/>
  <c r="N601" i="4" a="1"/>
  <c r="N601" i="4" s="1"/>
  <c r="O601" i="4" s="1"/>
  <c r="N602" i="4" a="1"/>
  <c r="N602" i="4" s="1"/>
  <c r="O602" i="4" s="1"/>
  <c r="N603" i="4" a="1"/>
  <c r="N603" i="4" s="1"/>
  <c r="O603" i="4" s="1"/>
  <c r="N604" i="4" a="1"/>
  <c r="N604" i="4" s="1"/>
  <c r="O604" i="4" s="1"/>
  <c r="N605" i="4" a="1"/>
  <c r="N605" i="4" s="1"/>
  <c r="O605" i="4" s="1"/>
  <c r="N606" i="4" a="1"/>
  <c r="N606" i="4" s="1"/>
  <c r="O606" i="4" s="1"/>
  <c r="N607" i="4" a="1"/>
  <c r="N607" i="4" s="1"/>
  <c r="O607" i="4" s="1"/>
  <c r="N608" i="4" a="1"/>
  <c r="N608" i="4" s="1"/>
  <c r="O608" i="4" s="1"/>
  <c r="N609" i="4" a="1"/>
  <c r="N609" i="4" s="1"/>
  <c r="O609" i="4" s="1"/>
  <c r="N610" i="4" a="1"/>
  <c r="N610" i="4" s="1"/>
  <c r="O610" i="4" s="1"/>
  <c r="N611" i="4" a="1"/>
  <c r="N611" i="4" s="1"/>
  <c r="O611" i="4" s="1"/>
  <c r="N612" i="4" a="1"/>
  <c r="N612" i="4" s="1"/>
  <c r="O612" i="4" s="1"/>
  <c r="N613" i="4" a="1"/>
  <c r="N613" i="4" s="1"/>
  <c r="O613" i="4" s="1"/>
  <c r="N614" i="4" a="1"/>
  <c r="N614" i="4" s="1"/>
  <c r="O614" i="4" s="1"/>
  <c r="N615" i="4" a="1"/>
  <c r="N615" i="4" s="1"/>
  <c r="O615" i="4" s="1"/>
  <c r="N616" i="4" a="1"/>
  <c r="N616" i="4" s="1"/>
  <c r="O616" i="4" s="1"/>
  <c r="N617" i="4" a="1"/>
  <c r="N617" i="4" s="1"/>
  <c r="O617" i="4" s="1"/>
  <c r="N618" i="4" a="1"/>
  <c r="N618" i="4" s="1"/>
  <c r="O618" i="4" s="1"/>
  <c r="N619" i="4" a="1"/>
  <c r="N619" i="4" s="1"/>
  <c r="O619" i="4" s="1"/>
  <c r="N620" i="4" a="1"/>
  <c r="N620" i="4" s="1"/>
  <c r="O620" i="4" s="1"/>
  <c r="N621" i="4" a="1"/>
  <c r="N621" i="4" s="1"/>
  <c r="O621" i="4" s="1"/>
  <c r="N622" i="4" a="1"/>
  <c r="N622" i="4" s="1"/>
  <c r="O622" i="4" s="1"/>
  <c r="N623" i="4" a="1"/>
  <c r="N623" i="4" s="1"/>
  <c r="O623" i="4" s="1"/>
  <c r="N624" i="4" a="1"/>
  <c r="N624" i="4" s="1"/>
  <c r="O624" i="4" s="1"/>
  <c r="N625" i="4" a="1"/>
  <c r="N625" i="4" s="1"/>
  <c r="O625" i="4" s="1"/>
  <c r="N626" i="4" a="1"/>
  <c r="N626" i="4" s="1"/>
  <c r="O626" i="4" s="1"/>
  <c r="N627" i="4" a="1"/>
  <c r="N627" i="4" s="1"/>
  <c r="O627" i="4" s="1"/>
  <c r="N628" i="4" a="1"/>
  <c r="N628" i="4" s="1"/>
  <c r="O628" i="4" s="1"/>
  <c r="N629" i="4" a="1"/>
  <c r="N629" i="4" s="1"/>
  <c r="O629" i="4" s="1"/>
  <c r="N630" i="4" a="1"/>
  <c r="N630" i="4" s="1"/>
  <c r="O630" i="4" s="1"/>
  <c r="N631" i="4" a="1"/>
  <c r="N631" i="4" s="1"/>
  <c r="O631" i="4" s="1"/>
  <c r="N632" i="4" a="1"/>
  <c r="N632" i="4" s="1"/>
  <c r="O632" i="4" s="1"/>
  <c r="N633" i="4" a="1"/>
  <c r="N633" i="4" s="1"/>
  <c r="O633" i="4" s="1"/>
  <c r="N634" i="4" a="1"/>
  <c r="N634" i="4" s="1"/>
  <c r="O634" i="4" s="1"/>
  <c r="N635" i="4" a="1"/>
  <c r="N635" i="4" s="1"/>
  <c r="O635" i="4" s="1"/>
  <c r="N636" i="4" a="1"/>
  <c r="N636" i="4" s="1"/>
  <c r="O636" i="4" s="1"/>
  <c r="N637" i="4" a="1"/>
  <c r="N637" i="4" s="1"/>
  <c r="O637" i="4" s="1"/>
  <c r="N638" i="4" a="1"/>
  <c r="N638" i="4" s="1"/>
  <c r="O638" i="4" s="1"/>
  <c r="N639" i="4" a="1"/>
  <c r="N639" i="4" s="1"/>
  <c r="O639" i="4" s="1"/>
  <c r="N640" i="4" a="1"/>
  <c r="N640" i="4" s="1"/>
  <c r="O640" i="4" s="1"/>
  <c r="N641" i="4" a="1"/>
  <c r="N641" i="4" s="1"/>
  <c r="O641" i="4" s="1"/>
  <c r="N642" i="4" a="1"/>
  <c r="N642" i="4" s="1"/>
  <c r="O642" i="4" s="1"/>
  <c r="N643" i="4" a="1"/>
  <c r="N643" i="4" s="1"/>
  <c r="O643" i="4" s="1"/>
  <c r="N644" i="4" a="1"/>
  <c r="N644" i="4" s="1"/>
  <c r="O644" i="4" s="1"/>
  <c r="N645" i="4" a="1"/>
  <c r="N645" i="4" s="1"/>
  <c r="O645" i="4" s="1"/>
  <c r="N646" i="4" a="1"/>
  <c r="N646" i="4" s="1"/>
  <c r="O646" i="4" s="1"/>
  <c r="N647" i="4" a="1"/>
  <c r="N647" i="4" s="1"/>
  <c r="O647" i="4" s="1"/>
  <c r="N648" i="4" a="1"/>
  <c r="N648" i="4" s="1"/>
  <c r="O648" i="4" s="1"/>
  <c r="N649" i="4" a="1"/>
  <c r="N649" i="4" s="1"/>
  <c r="O649" i="4" s="1"/>
  <c r="N650" i="4" a="1"/>
  <c r="N650" i="4" s="1"/>
  <c r="O650" i="4" s="1"/>
  <c r="N651" i="4" a="1"/>
  <c r="N651" i="4" s="1"/>
  <c r="O651" i="4" s="1"/>
  <c r="N652" i="4" a="1"/>
  <c r="N652" i="4" s="1"/>
  <c r="O652" i="4" s="1"/>
  <c r="N653" i="4" a="1"/>
  <c r="N653" i="4" s="1"/>
  <c r="O653" i="4" s="1"/>
  <c r="N654" i="4" a="1"/>
  <c r="N654" i="4" s="1"/>
  <c r="O654" i="4" s="1"/>
  <c r="N655" i="4" a="1"/>
  <c r="N655" i="4" s="1"/>
  <c r="O655" i="4" s="1"/>
  <c r="N656" i="4" a="1"/>
  <c r="N656" i="4" s="1"/>
  <c r="O656" i="4" s="1"/>
  <c r="N657" i="4" a="1"/>
  <c r="N657" i="4" s="1"/>
  <c r="O657" i="4" s="1"/>
  <c r="N658" i="4" a="1"/>
  <c r="N658" i="4" s="1"/>
  <c r="O658" i="4" s="1"/>
  <c r="N659" i="4" a="1"/>
  <c r="N659" i="4" s="1"/>
  <c r="O659" i="4" s="1"/>
  <c r="N660" i="4" a="1"/>
  <c r="N660" i="4" s="1"/>
  <c r="O660" i="4" s="1"/>
  <c r="N661" i="4" a="1"/>
  <c r="N661" i="4" s="1"/>
  <c r="O661" i="4" s="1"/>
  <c r="N662" i="4" a="1"/>
  <c r="N662" i="4" s="1"/>
  <c r="O662" i="4" s="1"/>
  <c r="N663" i="4" a="1"/>
  <c r="N663" i="4" s="1"/>
  <c r="O663" i="4" s="1"/>
  <c r="N664" i="4" a="1"/>
  <c r="N664" i="4" s="1"/>
  <c r="O664" i="4" s="1"/>
  <c r="N665" i="4" a="1"/>
  <c r="N665" i="4" s="1"/>
  <c r="O665" i="4" s="1"/>
  <c r="N666" i="4" a="1"/>
  <c r="N666" i="4" s="1"/>
  <c r="O666" i="4" s="1"/>
  <c r="N667" i="4" a="1"/>
  <c r="N667" i="4" s="1"/>
  <c r="O667" i="4" s="1"/>
  <c r="N668" i="4" a="1"/>
  <c r="N668" i="4" s="1"/>
  <c r="O668" i="4" s="1"/>
  <c r="N669" i="4" a="1"/>
  <c r="N669" i="4" s="1"/>
  <c r="O669" i="4" s="1"/>
  <c r="N670" i="4" a="1"/>
  <c r="N670" i="4" s="1"/>
  <c r="O670" i="4" s="1"/>
  <c r="N671" i="4" a="1"/>
  <c r="N671" i="4" s="1"/>
  <c r="O671" i="4" s="1"/>
  <c r="N672" i="4" a="1"/>
  <c r="N672" i="4" s="1"/>
  <c r="O672" i="4" s="1"/>
  <c r="N673" i="4" a="1"/>
  <c r="N673" i="4" s="1"/>
  <c r="O673" i="4" s="1"/>
  <c r="N674" i="4" a="1"/>
  <c r="N674" i="4" s="1"/>
  <c r="O674" i="4" s="1"/>
  <c r="N675" i="4" a="1"/>
  <c r="N675" i="4" s="1"/>
  <c r="O675" i="4" s="1"/>
  <c r="N676" i="4" a="1"/>
  <c r="N676" i="4" s="1"/>
  <c r="O676" i="4" s="1"/>
  <c r="N677" i="4" a="1"/>
  <c r="N677" i="4" s="1"/>
  <c r="O677" i="4" s="1"/>
  <c r="N678" i="4" a="1"/>
  <c r="N678" i="4" s="1"/>
  <c r="O678" i="4" s="1"/>
  <c r="N679" i="4" a="1"/>
  <c r="N679" i="4" s="1"/>
  <c r="O679" i="4" s="1"/>
  <c r="N680" i="4" a="1"/>
  <c r="N680" i="4" s="1"/>
  <c r="O680" i="4" s="1"/>
  <c r="N681" i="4" a="1"/>
  <c r="N681" i="4" s="1"/>
  <c r="O681" i="4" s="1"/>
  <c r="N682" i="4" a="1"/>
  <c r="N682" i="4" s="1"/>
  <c r="O682" i="4" s="1"/>
  <c r="N683" i="4" a="1"/>
  <c r="N683" i="4" s="1"/>
  <c r="O683" i="4" s="1"/>
  <c r="N684" i="4" a="1"/>
  <c r="N684" i="4" s="1"/>
  <c r="O684" i="4" s="1"/>
  <c r="N685" i="4" a="1"/>
  <c r="N685" i="4" s="1"/>
  <c r="O685" i="4" s="1"/>
  <c r="N686" i="4" a="1"/>
  <c r="N686" i="4" s="1"/>
  <c r="O686" i="4" s="1"/>
  <c r="N687" i="4" a="1"/>
  <c r="N687" i="4" s="1"/>
  <c r="O687" i="4" s="1"/>
  <c r="N688" i="4" a="1"/>
  <c r="N688" i="4" s="1"/>
  <c r="O688" i="4" s="1"/>
  <c r="N689" i="4" a="1"/>
  <c r="N689" i="4" s="1"/>
  <c r="O689" i="4" s="1"/>
  <c r="N690" i="4" a="1"/>
  <c r="N690" i="4" s="1"/>
  <c r="O690" i="4" s="1"/>
  <c r="N691" i="4" a="1"/>
  <c r="N691" i="4" s="1"/>
  <c r="O691" i="4" s="1"/>
  <c r="N692" i="4" a="1"/>
  <c r="N692" i="4" s="1"/>
  <c r="O692" i="4" s="1"/>
  <c r="N693" i="4" a="1"/>
  <c r="N693" i="4" s="1"/>
  <c r="O693" i="4" s="1"/>
  <c r="N694" i="4" a="1"/>
  <c r="N694" i="4" s="1"/>
  <c r="O694" i="4" s="1"/>
  <c r="N695" i="4" a="1"/>
  <c r="N695" i="4" s="1"/>
  <c r="O695" i="4" s="1"/>
  <c r="N696" i="4" a="1"/>
  <c r="N696" i="4" s="1"/>
  <c r="O696" i="4" s="1"/>
  <c r="N697" i="4" a="1"/>
  <c r="N697" i="4" s="1"/>
  <c r="O697" i="4" s="1"/>
  <c r="N698" i="4" a="1"/>
  <c r="N698" i="4" s="1"/>
  <c r="O698" i="4" s="1"/>
  <c r="N699" i="4" a="1"/>
  <c r="N699" i="4" s="1"/>
  <c r="O699" i="4" s="1"/>
  <c r="N700" i="4" a="1"/>
  <c r="N700" i="4" s="1"/>
  <c r="O700" i="4" s="1"/>
  <c r="N701" i="4" a="1"/>
  <c r="N701" i="4" s="1"/>
  <c r="O701" i="4" s="1"/>
  <c r="N702" i="4" a="1"/>
  <c r="N702" i="4" s="1"/>
  <c r="O702" i="4" s="1"/>
  <c r="N703" i="4" a="1"/>
  <c r="N703" i="4" s="1"/>
  <c r="O703" i="4" s="1"/>
  <c r="N704" i="4" a="1"/>
  <c r="N704" i="4" s="1"/>
  <c r="O704" i="4" s="1"/>
  <c r="N705" i="4" a="1"/>
  <c r="N705" i="4" s="1"/>
  <c r="O705" i="4" s="1"/>
  <c r="N706" i="4" a="1"/>
  <c r="N706" i="4" s="1"/>
  <c r="O706" i="4" s="1"/>
  <c r="N707" i="4" a="1"/>
  <c r="N707" i="4" s="1"/>
  <c r="O707" i="4" s="1"/>
  <c r="N708" i="4" a="1"/>
  <c r="N708" i="4" s="1"/>
  <c r="O708" i="4" s="1"/>
  <c r="N709" i="4" a="1"/>
  <c r="N709" i="4" s="1"/>
  <c r="O709" i="4" s="1"/>
  <c r="N710" i="4" a="1"/>
  <c r="N710" i="4" s="1"/>
  <c r="O710" i="4" s="1"/>
  <c r="N711" i="4" a="1"/>
  <c r="N711" i="4" s="1"/>
  <c r="O711" i="4" s="1"/>
  <c r="N712" i="4" a="1"/>
  <c r="N712" i="4" s="1"/>
  <c r="O712" i="4" s="1"/>
  <c r="N713" i="4" a="1"/>
  <c r="N713" i="4" s="1"/>
  <c r="O713" i="4" s="1"/>
  <c r="N714" i="4" a="1"/>
  <c r="N714" i="4" s="1"/>
  <c r="O714" i="4" s="1"/>
  <c r="N715" i="4" a="1"/>
  <c r="N715" i="4" s="1"/>
  <c r="O715" i="4" s="1"/>
  <c r="N716" i="4" a="1"/>
  <c r="N716" i="4" s="1"/>
  <c r="O716" i="4" s="1"/>
  <c r="N717" i="4" a="1"/>
  <c r="N717" i="4" s="1"/>
  <c r="O717" i="4" s="1"/>
  <c r="N718" i="4" a="1"/>
  <c r="N718" i="4" s="1"/>
  <c r="O718" i="4" s="1"/>
  <c r="N719" i="4" a="1"/>
  <c r="N719" i="4" s="1"/>
  <c r="O719" i="4" s="1"/>
  <c r="N720" i="4" a="1"/>
  <c r="N720" i="4" s="1"/>
  <c r="O720" i="4" s="1"/>
  <c r="N721" i="4" a="1"/>
  <c r="N721" i="4" s="1"/>
  <c r="O721" i="4" s="1"/>
  <c r="N722" i="4" a="1"/>
  <c r="N722" i="4" s="1"/>
  <c r="O722" i="4" s="1"/>
  <c r="N723" i="4" a="1"/>
  <c r="N723" i="4" s="1"/>
  <c r="O723" i="4" s="1"/>
  <c r="N724" i="4" a="1"/>
  <c r="N724" i="4" s="1"/>
  <c r="O724" i="4" s="1"/>
  <c r="N725" i="4" a="1"/>
  <c r="N725" i="4" s="1"/>
  <c r="O725" i="4" s="1"/>
  <c r="N726" i="4" a="1"/>
  <c r="N726" i="4" s="1"/>
  <c r="O726" i="4" s="1"/>
  <c r="N727" i="4" a="1"/>
  <c r="N727" i="4" s="1"/>
  <c r="O727" i="4" s="1"/>
  <c r="N728" i="4" a="1"/>
  <c r="N728" i="4" s="1"/>
  <c r="O728" i="4" s="1"/>
  <c r="N729" i="4" a="1"/>
  <c r="N729" i="4" s="1"/>
  <c r="O729" i="4" s="1"/>
  <c r="N730" i="4" a="1"/>
  <c r="N730" i="4" s="1"/>
  <c r="O730" i="4" s="1"/>
  <c r="N731" i="4" a="1"/>
  <c r="N731" i="4" s="1"/>
  <c r="O731" i="4" s="1"/>
  <c r="N732" i="4" a="1"/>
  <c r="N732" i="4" s="1"/>
  <c r="O732" i="4" s="1"/>
  <c r="N733" i="4" a="1"/>
  <c r="N733" i="4" s="1"/>
  <c r="O733" i="4" s="1"/>
  <c r="N734" i="4" a="1"/>
  <c r="N734" i="4" s="1"/>
  <c r="O734" i="4" s="1"/>
  <c r="N735" i="4" a="1"/>
  <c r="N735" i="4" s="1"/>
  <c r="O735" i="4" s="1"/>
  <c r="N736" i="4" a="1"/>
  <c r="N736" i="4" s="1"/>
  <c r="O736" i="4" s="1"/>
  <c r="N737" i="4" a="1"/>
  <c r="N737" i="4" s="1"/>
  <c r="O737" i="4" s="1"/>
  <c r="N738" i="4" a="1"/>
  <c r="N738" i="4" s="1"/>
  <c r="O738" i="4" s="1"/>
  <c r="N739" i="4" a="1"/>
  <c r="N739" i="4" s="1"/>
  <c r="O739" i="4" s="1"/>
  <c r="N740" i="4" a="1"/>
  <c r="N740" i="4" s="1"/>
  <c r="O740" i="4" s="1"/>
  <c r="N741" i="4" a="1"/>
  <c r="N741" i="4" s="1"/>
  <c r="O741" i="4" s="1"/>
  <c r="N742" i="4" a="1"/>
  <c r="N742" i="4" s="1"/>
  <c r="O742" i="4" s="1"/>
  <c r="N743" i="4" a="1"/>
  <c r="N743" i="4" s="1"/>
  <c r="O743" i="4" s="1"/>
  <c r="N744" i="4" a="1"/>
  <c r="N744" i="4" s="1"/>
  <c r="O744" i="4" s="1"/>
  <c r="N745" i="4" a="1"/>
  <c r="N745" i="4" s="1"/>
  <c r="O745" i="4" s="1"/>
  <c r="N746" i="4" a="1"/>
  <c r="N746" i="4" s="1"/>
  <c r="O746" i="4" s="1"/>
  <c r="N747" i="4" a="1"/>
  <c r="N747" i="4" s="1"/>
  <c r="O747" i="4" s="1"/>
  <c r="N748" i="4" a="1"/>
  <c r="N748" i="4" s="1"/>
  <c r="O748" i="4" s="1"/>
  <c r="N749" i="4" a="1"/>
  <c r="N749" i="4" s="1"/>
  <c r="O749" i="4" s="1"/>
  <c r="N750" i="4" a="1"/>
  <c r="N750" i="4" s="1"/>
  <c r="O750" i="4" s="1"/>
  <c r="N751" i="4" a="1"/>
  <c r="N751" i="4" s="1"/>
  <c r="O751" i="4" s="1"/>
  <c r="N752" i="4" a="1"/>
  <c r="N752" i="4" s="1"/>
  <c r="O752" i="4" s="1"/>
  <c r="N753" i="4" a="1"/>
  <c r="N753" i="4" s="1"/>
  <c r="O753" i="4" s="1"/>
  <c r="N754" i="4" a="1"/>
  <c r="N754" i="4" s="1"/>
  <c r="O754" i="4" s="1"/>
  <c r="N755" i="4" a="1"/>
  <c r="N755" i="4" s="1"/>
  <c r="O755" i="4" s="1"/>
  <c r="N756" i="4" a="1"/>
  <c r="N756" i="4" s="1"/>
  <c r="O756" i="4" s="1"/>
  <c r="N757" i="4" a="1"/>
  <c r="N757" i="4" s="1"/>
  <c r="O757" i="4" s="1"/>
  <c r="N758" i="4" a="1"/>
  <c r="N758" i="4" s="1"/>
  <c r="O758" i="4" s="1"/>
  <c r="N759" i="4" a="1"/>
  <c r="N759" i="4" s="1"/>
  <c r="O759" i="4" s="1"/>
  <c r="N760" i="4" a="1"/>
  <c r="N760" i="4" s="1"/>
  <c r="O760" i="4" s="1"/>
  <c r="N761" i="4" a="1"/>
  <c r="N761" i="4" s="1"/>
  <c r="O761" i="4" s="1"/>
  <c r="N762" i="4" a="1"/>
  <c r="N762" i="4" s="1"/>
  <c r="O762" i="4" s="1"/>
  <c r="N763" i="4" a="1"/>
  <c r="N763" i="4" s="1"/>
  <c r="O763" i="4" s="1"/>
  <c r="N764" i="4" a="1"/>
  <c r="N764" i="4" s="1"/>
  <c r="O764" i="4" s="1"/>
  <c r="N765" i="4" a="1"/>
  <c r="N765" i="4" s="1"/>
  <c r="O765" i="4" s="1"/>
  <c r="N766" i="4" a="1"/>
  <c r="N766" i="4" s="1"/>
  <c r="O766" i="4" s="1"/>
  <c r="N767" i="4" a="1"/>
  <c r="N767" i="4" s="1"/>
  <c r="O767" i="4" s="1"/>
  <c r="N768" i="4" a="1"/>
  <c r="N768" i="4" s="1"/>
  <c r="O768" i="4" s="1"/>
  <c r="N769" i="4" a="1"/>
  <c r="N769" i="4" s="1"/>
  <c r="O769" i="4" s="1"/>
  <c r="N770" i="4" a="1"/>
  <c r="N770" i="4" s="1"/>
  <c r="O770" i="4" s="1"/>
  <c r="N771" i="4" a="1"/>
  <c r="N771" i="4" s="1"/>
  <c r="O771" i="4" s="1"/>
  <c r="N772" i="4" a="1"/>
  <c r="N772" i="4" s="1"/>
  <c r="O772" i="4" s="1"/>
  <c r="N773" i="4" a="1"/>
  <c r="N773" i="4" s="1"/>
  <c r="O773" i="4" s="1"/>
  <c r="N774" i="4" a="1"/>
  <c r="N774" i="4" s="1"/>
  <c r="O774" i="4" s="1"/>
  <c r="N775" i="4" a="1"/>
  <c r="N775" i="4" s="1"/>
  <c r="O775" i="4" s="1"/>
  <c r="N776" i="4" a="1"/>
  <c r="N776" i="4" s="1"/>
  <c r="O776" i="4" s="1"/>
  <c r="N777" i="4" a="1"/>
  <c r="N777" i="4" s="1"/>
  <c r="O777" i="4" s="1"/>
  <c r="N778" i="4" a="1"/>
  <c r="N778" i="4" s="1"/>
  <c r="O778" i="4" s="1"/>
  <c r="N779" i="4" a="1"/>
  <c r="N779" i="4" s="1"/>
  <c r="O779" i="4" s="1"/>
  <c r="N780" i="4" a="1"/>
  <c r="N780" i="4" s="1"/>
  <c r="O780" i="4" s="1"/>
  <c r="N781" i="4" a="1"/>
  <c r="N781" i="4" s="1"/>
  <c r="O781" i="4" s="1"/>
  <c r="N782" i="4" a="1"/>
  <c r="N782" i="4" s="1"/>
  <c r="O782" i="4" s="1"/>
  <c r="N783" i="4" a="1"/>
  <c r="N783" i="4" s="1"/>
  <c r="O783" i="4" s="1"/>
  <c r="N784" i="4" a="1"/>
  <c r="N784" i="4" s="1"/>
  <c r="O784" i="4" s="1"/>
  <c r="N785" i="4" a="1"/>
  <c r="N785" i="4" s="1"/>
  <c r="O785" i="4" s="1"/>
  <c r="N786" i="4" a="1"/>
  <c r="N786" i="4" s="1"/>
  <c r="O786" i="4" s="1"/>
  <c r="N787" i="4" a="1"/>
  <c r="N787" i="4" s="1"/>
  <c r="O787" i="4" s="1"/>
  <c r="N788" i="4" a="1"/>
  <c r="N788" i="4" s="1"/>
  <c r="O788" i="4" s="1"/>
  <c r="N789" i="4" a="1"/>
  <c r="N789" i="4" s="1"/>
  <c r="O789" i="4" s="1"/>
  <c r="N790" i="4" a="1"/>
  <c r="N790" i="4" s="1"/>
  <c r="O790" i="4" s="1"/>
  <c r="N791" i="4" a="1"/>
  <c r="N791" i="4" s="1"/>
  <c r="O791" i="4" s="1"/>
  <c r="N792" i="4" a="1"/>
  <c r="N792" i="4" s="1"/>
  <c r="O792" i="4" s="1"/>
  <c r="N793" i="4" a="1"/>
  <c r="N793" i="4" s="1"/>
  <c r="O793" i="4" s="1"/>
  <c r="N794" i="4" a="1"/>
  <c r="N794" i="4" s="1"/>
  <c r="O794" i="4" s="1"/>
  <c r="N795" i="4" a="1"/>
  <c r="N795" i="4" s="1"/>
  <c r="O795" i="4" s="1"/>
  <c r="N796" i="4" a="1"/>
  <c r="N796" i="4" s="1"/>
  <c r="O796" i="4" s="1"/>
  <c r="N797" i="4" a="1"/>
  <c r="N797" i="4" s="1"/>
  <c r="O797" i="4" s="1"/>
  <c r="N798" i="4" a="1"/>
  <c r="N798" i="4" s="1"/>
  <c r="O798" i="4" s="1"/>
  <c r="N799" i="4" a="1"/>
  <c r="N799" i="4" s="1"/>
  <c r="O799" i="4" s="1"/>
  <c r="N800" i="4" a="1"/>
  <c r="N800" i="4" s="1"/>
  <c r="O800" i="4" s="1"/>
  <c r="N801" i="4" a="1"/>
  <c r="N801" i="4" s="1"/>
  <c r="O801" i="4" s="1"/>
  <c r="N802" i="4" a="1"/>
  <c r="N802" i="4" s="1"/>
  <c r="O802" i="4" s="1"/>
  <c r="N803" i="4" a="1"/>
  <c r="N803" i="4" s="1"/>
  <c r="O803" i="4" s="1"/>
  <c r="N804" i="4" a="1"/>
  <c r="N804" i="4" s="1"/>
  <c r="O804" i="4" s="1"/>
  <c r="N805" i="4" a="1"/>
  <c r="N805" i="4" s="1"/>
  <c r="O805" i="4" s="1"/>
  <c r="N806" i="4" a="1"/>
  <c r="N806" i="4" s="1"/>
  <c r="O806" i="4" s="1"/>
  <c r="N807" i="4" a="1"/>
  <c r="N807" i="4" s="1"/>
  <c r="O807" i="4" s="1"/>
  <c r="N808" i="4" a="1"/>
  <c r="N808" i="4" s="1"/>
  <c r="O808" i="4" s="1"/>
  <c r="N809" i="4" a="1"/>
  <c r="N809" i="4" s="1"/>
  <c r="O809" i="4" s="1"/>
  <c r="N810" i="4" a="1"/>
  <c r="N810" i="4" s="1"/>
  <c r="O810" i="4" s="1"/>
  <c r="N811" i="4" a="1"/>
  <c r="N811" i="4" s="1"/>
  <c r="O811" i="4" s="1"/>
  <c r="N812" i="4" a="1"/>
  <c r="N812" i="4" s="1"/>
  <c r="O812" i="4" s="1"/>
  <c r="N813" i="4" a="1"/>
  <c r="N813" i="4" s="1"/>
  <c r="O813" i="4" s="1"/>
  <c r="N814" i="4" a="1"/>
  <c r="N814" i="4" s="1"/>
  <c r="O814" i="4" s="1"/>
  <c r="N815" i="4" a="1"/>
  <c r="N815" i="4" s="1"/>
  <c r="O815" i="4" s="1"/>
  <c r="N816" i="4" a="1"/>
  <c r="N816" i="4" s="1"/>
  <c r="O816" i="4" s="1"/>
  <c r="N817" i="4" a="1"/>
  <c r="N817" i="4" s="1"/>
  <c r="O817" i="4" s="1"/>
  <c r="N818" i="4" a="1"/>
  <c r="N818" i="4" s="1"/>
  <c r="O818" i="4" s="1"/>
  <c r="N819" i="4" a="1"/>
  <c r="N819" i="4" s="1"/>
  <c r="O819" i="4" s="1"/>
  <c r="N820" i="4" a="1"/>
  <c r="N820" i="4" s="1"/>
  <c r="O820" i="4" s="1"/>
  <c r="N821" i="4" a="1"/>
  <c r="N821" i="4" s="1"/>
  <c r="O821" i="4" s="1"/>
  <c r="N822" i="4" a="1"/>
  <c r="N822" i="4" s="1"/>
  <c r="O822" i="4" s="1"/>
  <c r="N823" i="4" a="1"/>
  <c r="N823" i="4" s="1"/>
  <c r="O823" i="4" s="1"/>
  <c r="N824" i="4" a="1"/>
  <c r="N824" i="4" s="1"/>
  <c r="O824" i="4" s="1"/>
  <c r="N825" i="4" a="1"/>
  <c r="N825" i="4" s="1"/>
  <c r="O825" i="4" s="1"/>
  <c r="N826" i="4" a="1"/>
  <c r="N826" i="4" s="1"/>
  <c r="O826" i="4" s="1"/>
  <c r="N827" i="4" a="1"/>
  <c r="N827" i="4" s="1"/>
  <c r="O827" i="4" s="1"/>
  <c r="N828" i="4" a="1"/>
  <c r="N828" i="4" s="1"/>
  <c r="O828" i="4" s="1"/>
  <c r="N829" i="4" a="1"/>
  <c r="N829" i="4" s="1"/>
  <c r="O829" i="4" s="1"/>
  <c r="N830" i="4" a="1"/>
  <c r="N830" i="4" s="1"/>
  <c r="O830" i="4" s="1"/>
  <c r="N831" i="4" a="1"/>
  <c r="N831" i="4" s="1"/>
  <c r="O831" i="4" s="1"/>
  <c r="N832" i="4" a="1"/>
  <c r="N832" i="4" s="1"/>
  <c r="O832" i="4" s="1"/>
  <c r="N833" i="4" a="1"/>
  <c r="N833" i="4" s="1"/>
  <c r="O833" i="4" s="1"/>
  <c r="N834" i="4" a="1"/>
  <c r="N834" i="4" s="1"/>
  <c r="O834" i="4" s="1"/>
  <c r="N835" i="4" a="1"/>
  <c r="N835" i="4" s="1"/>
  <c r="O835" i="4" s="1"/>
  <c r="N836" i="4" a="1"/>
  <c r="N836" i="4" s="1"/>
  <c r="O836" i="4" s="1"/>
  <c r="N837" i="4" a="1"/>
  <c r="N837" i="4" s="1"/>
  <c r="O837" i="4" s="1"/>
  <c r="N838" i="4" a="1"/>
  <c r="N838" i="4" s="1"/>
  <c r="O838" i="4" s="1"/>
  <c r="N839" i="4" a="1"/>
  <c r="N839" i="4" s="1"/>
  <c r="O839" i="4" s="1"/>
  <c r="N840" i="4" a="1"/>
  <c r="N840" i="4" s="1"/>
  <c r="O840" i="4" s="1"/>
  <c r="N841" i="4" a="1"/>
  <c r="N841" i="4" s="1"/>
  <c r="O841" i="4" s="1"/>
  <c r="N842" i="4" a="1"/>
  <c r="N842" i="4" s="1"/>
  <c r="O842" i="4" s="1"/>
  <c r="N843" i="4" a="1"/>
  <c r="N843" i="4" s="1"/>
  <c r="O843" i="4" s="1"/>
  <c r="N844" i="4" a="1"/>
  <c r="N844" i="4" s="1"/>
  <c r="O844" i="4" s="1"/>
  <c r="N845" i="4" a="1"/>
  <c r="N845" i="4" s="1"/>
  <c r="O845" i="4" s="1"/>
  <c r="N846" i="4" a="1"/>
  <c r="N846" i="4" s="1"/>
  <c r="O846" i="4" s="1"/>
  <c r="N847" i="4" a="1"/>
  <c r="N847" i="4" s="1"/>
  <c r="O847" i="4" s="1"/>
  <c r="N848" i="4" a="1"/>
  <c r="N848" i="4" s="1"/>
  <c r="O848" i="4" s="1"/>
  <c r="N849" i="4" a="1"/>
  <c r="N849" i="4" s="1"/>
  <c r="O849" i="4" s="1"/>
  <c r="N850" i="4" a="1"/>
  <c r="N850" i="4" s="1"/>
  <c r="O850" i="4" s="1"/>
  <c r="N851" i="4" a="1"/>
  <c r="N851" i="4" s="1"/>
  <c r="O851" i="4" s="1"/>
  <c r="N852" i="4" a="1"/>
  <c r="N852" i="4" s="1"/>
  <c r="O852" i="4" s="1"/>
  <c r="N853" i="4" a="1"/>
  <c r="N853" i="4" s="1"/>
  <c r="O853" i="4" s="1"/>
  <c r="N854" i="4" a="1"/>
  <c r="N854" i="4" s="1"/>
  <c r="O854" i="4" s="1"/>
  <c r="N855" i="4" a="1"/>
  <c r="N855" i="4" s="1"/>
  <c r="O855" i="4" s="1"/>
  <c r="N856" i="4" a="1"/>
  <c r="N856" i="4" s="1"/>
  <c r="O856" i="4" s="1"/>
  <c r="N857" i="4" a="1"/>
  <c r="N857" i="4" s="1"/>
  <c r="O857" i="4" s="1"/>
  <c r="N858" i="4" a="1"/>
  <c r="N858" i="4" s="1"/>
  <c r="O858" i="4" s="1"/>
  <c r="N859" i="4" a="1"/>
  <c r="N859" i="4" s="1"/>
  <c r="O859" i="4" s="1"/>
  <c r="N860" i="4" a="1"/>
  <c r="N860" i="4" s="1"/>
  <c r="O860" i="4" s="1"/>
  <c r="N861" i="4" a="1"/>
  <c r="N861" i="4" s="1"/>
  <c r="O861" i="4" s="1"/>
  <c r="N862" i="4" a="1"/>
  <c r="N862" i="4" s="1"/>
  <c r="O862" i="4" s="1"/>
  <c r="N863" i="4" a="1"/>
  <c r="N863" i="4" s="1"/>
  <c r="O863" i="4" s="1"/>
  <c r="N864" i="4" a="1"/>
  <c r="N864" i="4" s="1"/>
  <c r="O864" i="4" s="1"/>
  <c r="N865" i="4" a="1"/>
  <c r="N865" i="4" s="1"/>
  <c r="O865" i="4" s="1"/>
  <c r="N866" i="4" a="1"/>
  <c r="N866" i="4" s="1"/>
  <c r="O866" i="4" s="1"/>
  <c r="N867" i="4" a="1"/>
  <c r="N867" i="4" s="1"/>
  <c r="O867" i="4" s="1"/>
  <c r="N868" i="4" a="1"/>
  <c r="N868" i="4" s="1"/>
  <c r="O868" i="4" s="1"/>
  <c r="N869" i="4" a="1"/>
  <c r="N869" i="4" s="1"/>
  <c r="O869" i="4" s="1"/>
  <c r="N870" i="4" a="1"/>
  <c r="N870" i="4" s="1"/>
  <c r="O870" i="4" s="1"/>
  <c r="N871" i="4" a="1"/>
  <c r="N871" i="4" s="1"/>
  <c r="O871" i="4" s="1"/>
  <c r="N872" i="4" a="1"/>
  <c r="N872" i="4" s="1"/>
  <c r="O872" i="4" s="1"/>
  <c r="N873" i="4" a="1"/>
  <c r="N873" i="4" s="1"/>
  <c r="O873" i="4" s="1"/>
  <c r="N874" i="4" a="1"/>
  <c r="N874" i="4" s="1"/>
  <c r="O874" i="4" s="1"/>
  <c r="N875" i="4" a="1"/>
  <c r="N875" i="4" s="1"/>
  <c r="O875" i="4" s="1"/>
  <c r="N876" i="4" a="1"/>
  <c r="N876" i="4" s="1"/>
  <c r="O876" i="4" s="1"/>
  <c r="N877" i="4" a="1"/>
  <c r="N877" i="4" s="1"/>
  <c r="O877" i="4" s="1"/>
  <c r="N878" i="4" a="1"/>
  <c r="N878" i="4" s="1"/>
  <c r="O878" i="4" s="1"/>
  <c r="N879" i="4" a="1"/>
  <c r="N879" i="4" s="1"/>
  <c r="O879" i="4" s="1"/>
  <c r="N880" i="4" a="1"/>
  <c r="N880" i="4" s="1"/>
  <c r="O880" i="4" s="1"/>
  <c r="N881" i="4" a="1"/>
  <c r="N881" i="4" s="1"/>
  <c r="O881" i="4" s="1"/>
  <c r="N882" i="4" a="1"/>
  <c r="N882" i="4" s="1"/>
  <c r="O882" i="4" s="1"/>
  <c r="N883" i="4" a="1"/>
  <c r="N883" i="4" s="1"/>
  <c r="O883" i="4" s="1"/>
  <c r="N884" i="4" a="1"/>
  <c r="N884" i="4" s="1"/>
  <c r="O884" i="4" s="1"/>
  <c r="N885" i="4" a="1"/>
  <c r="N885" i="4" s="1"/>
  <c r="O885" i="4" s="1"/>
  <c r="N886" i="4" a="1"/>
  <c r="N886" i="4" s="1"/>
  <c r="O886" i="4" s="1"/>
  <c r="N887" i="4" a="1"/>
  <c r="N887" i="4" s="1"/>
  <c r="O887" i="4" s="1"/>
  <c r="N888" i="4" a="1"/>
  <c r="N888" i="4" s="1"/>
  <c r="O888" i="4" s="1"/>
  <c r="N889" i="4" a="1"/>
  <c r="N889" i="4" s="1"/>
  <c r="O889" i="4" s="1"/>
  <c r="N890" i="4" a="1"/>
  <c r="N890" i="4" s="1"/>
  <c r="O890" i="4" s="1"/>
  <c r="N891" i="4" a="1"/>
  <c r="N891" i="4" s="1"/>
  <c r="O891" i="4" s="1"/>
  <c r="N892" i="4" a="1"/>
  <c r="N892" i="4" s="1"/>
  <c r="O892" i="4" s="1"/>
  <c r="N893" i="4" a="1"/>
  <c r="N893" i="4" s="1"/>
  <c r="O893" i="4" s="1"/>
  <c r="N894" i="4" a="1"/>
  <c r="N894" i="4" s="1"/>
  <c r="O894" i="4" s="1"/>
  <c r="N895" i="4" a="1"/>
  <c r="N895" i="4" s="1"/>
  <c r="O895" i="4" s="1"/>
  <c r="N896" i="4" a="1"/>
  <c r="N896" i="4" s="1"/>
  <c r="O896" i="4" s="1"/>
  <c r="N897" i="4" a="1"/>
  <c r="N897" i="4" s="1"/>
  <c r="O897" i="4" s="1"/>
  <c r="N898" i="4" a="1"/>
  <c r="N898" i="4" s="1"/>
  <c r="O898" i="4" s="1"/>
  <c r="N899" i="4" a="1"/>
  <c r="N899" i="4" s="1"/>
  <c r="O899" i="4" s="1"/>
  <c r="N900" i="4" a="1"/>
  <c r="N900" i="4" s="1"/>
  <c r="O900" i="4" s="1"/>
  <c r="N901" i="4" a="1"/>
  <c r="N901" i="4" s="1"/>
  <c r="O901" i="4" s="1"/>
  <c r="N902" i="4" a="1"/>
  <c r="N902" i="4" s="1"/>
  <c r="O902" i="4" s="1"/>
  <c r="N903" i="4" a="1"/>
  <c r="N903" i="4" s="1"/>
  <c r="O903" i="4" s="1"/>
  <c r="N904" i="4" a="1"/>
  <c r="N904" i="4" s="1"/>
  <c r="O904" i="4" s="1"/>
  <c r="N905" i="4" a="1"/>
  <c r="N905" i="4" s="1"/>
  <c r="O905" i="4" s="1"/>
  <c r="N906" i="4" a="1"/>
  <c r="N906" i="4" s="1"/>
  <c r="O906" i="4" s="1"/>
  <c r="N907" i="4" a="1"/>
  <c r="N907" i="4" s="1"/>
  <c r="O907" i="4" s="1"/>
  <c r="N908" i="4" a="1"/>
  <c r="N908" i="4" s="1"/>
  <c r="O908" i="4" s="1"/>
  <c r="N909" i="4" a="1"/>
  <c r="N909" i="4" s="1"/>
  <c r="O909" i="4" s="1"/>
  <c r="N910" i="4" a="1"/>
  <c r="N910" i="4" s="1"/>
  <c r="O910" i="4" s="1"/>
  <c r="N911" i="4" a="1"/>
  <c r="N911" i="4" s="1"/>
  <c r="O911" i="4" s="1"/>
  <c r="N912" i="4" a="1"/>
  <c r="N912" i="4" s="1"/>
  <c r="O912" i="4" s="1"/>
  <c r="N913" i="4" a="1"/>
  <c r="N913" i="4" s="1"/>
  <c r="O913" i="4" s="1"/>
  <c r="N914" i="4" a="1"/>
  <c r="N914" i="4" s="1"/>
  <c r="O914" i="4" s="1"/>
  <c r="N915" i="4" a="1"/>
  <c r="N915" i="4" s="1"/>
  <c r="O915" i="4" s="1"/>
  <c r="N916" i="4" a="1"/>
  <c r="N916" i="4" s="1"/>
  <c r="O916" i="4" s="1"/>
  <c r="N917" i="4" a="1"/>
  <c r="N917" i="4" s="1"/>
  <c r="O917" i="4" s="1"/>
  <c r="N918" i="4" a="1"/>
  <c r="N918" i="4" s="1"/>
  <c r="O918" i="4" s="1"/>
  <c r="N919" i="4" a="1"/>
  <c r="N919" i="4" s="1"/>
  <c r="O919" i="4" s="1"/>
  <c r="N920" i="4" a="1"/>
  <c r="N920" i="4" s="1"/>
  <c r="O920" i="4" s="1"/>
  <c r="N921" i="4" a="1"/>
  <c r="N921" i="4" s="1"/>
  <c r="O921" i="4" s="1"/>
  <c r="N922" i="4" a="1"/>
  <c r="N922" i="4" s="1"/>
  <c r="O922" i="4" s="1"/>
  <c r="N923" i="4" a="1"/>
  <c r="N923" i="4" s="1"/>
  <c r="O923" i="4" s="1"/>
  <c r="N924" i="4" a="1"/>
  <c r="N924" i="4" s="1"/>
  <c r="O924" i="4" s="1"/>
  <c r="N925" i="4" a="1"/>
  <c r="N925" i="4" s="1"/>
  <c r="O925" i="4" s="1"/>
  <c r="N926" i="4" a="1"/>
  <c r="N926" i="4" s="1"/>
  <c r="O926" i="4" s="1"/>
  <c r="N927" i="4" a="1"/>
  <c r="N927" i="4" s="1"/>
  <c r="O927" i="4" s="1"/>
  <c r="N928" i="4" a="1"/>
  <c r="N928" i="4" s="1"/>
  <c r="O928" i="4" s="1"/>
  <c r="N929" i="4" a="1"/>
  <c r="N929" i="4" s="1"/>
  <c r="O929" i="4" s="1"/>
  <c r="N930" i="4" a="1"/>
  <c r="N930" i="4" s="1"/>
  <c r="O930" i="4" s="1"/>
  <c r="N931" i="4" a="1"/>
  <c r="N931" i="4" s="1"/>
  <c r="O931" i="4" s="1"/>
  <c r="N932" i="4" a="1"/>
  <c r="N932" i="4" s="1"/>
  <c r="O932" i="4" s="1"/>
  <c r="N933" i="4" a="1"/>
  <c r="N933" i="4" s="1"/>
  <c r="O933" i="4" s="1"/>
  <c r="N934" i="4" a="1"/>
  <c r="N934" i="4" s="1"/>
  <c r="O934" i="4" s="1"/>
  <c r="N935" i="4" a="1"/>
  <c r="N935" i="4" s="1"/>
  <c r="O935" i="4" s="1"/>
  <c r="N936" i="4" a="1"/>
  <c r="N936" i="4" s="1"/>
  <c r="O936" i="4" s="1"/>
  <c r="N937" i="4" a="1"/>
  <c r="N937" i="4" s="1"/>
  <c r="O937" i="4" s="1"/>
  <c r="N938" i="4" a="1"/>
  <c r="N938" i="4" s="1"/>
  <c r="O938" i="4" s="1"/>
  <c r="N939" i="4" a="1"/>
  <c r="N939" i="4" s="1"/>
  <c r="O939" i="4" s="1"/>
  <c r="N940" i="4" a="1"/>
  <c r="N940" i="4" s="1"/>
  <c r="O940" i="4" s="1"/>
  <c r="N941" i="4" a="1"/>
  <c r="N941" i="4" s="1"/>
  <c r="O941" i="4" s="1"/>
  <c r="N942" i="4" a="1"/>
  <c r="N942" i="4" s="1"/>
  <c r="O942" i="4" s="1"/>
  <c r="N943" i="4" a="1"/>
  <c r="N943" i="4" s="1"/>
  <c r="O943" i="4" s="1"/>
  <c r="N944" i="4" a="1"/>
  <c r="N944" i="4" s="1"/>
  <c r="O944" i="4" s="1"/>
  <c r="N945" i="4" a="1"/>
  <c r="N945" i="4" s="1"/>
  <c r="O945" i="4" s="1"/>
  <c r="N946" i="4" a="1"/>
  <c r="N946" i="4" s="1"/>
  <c r="O946" i="4" s="1"/>
  <c r="N947" i="4" a="1"/>
  <c r="N947" i="4" s="1"/>
  <c r="O947" i="4" s="1"/>
  <c r="N948" i="4" a="1"/>
  <c r="N948" i="4" s="1"/>
  <c r="O948" i="4" s="1"/>
  <c r="N949" i="4" a="1"/>
  <c r="N949" i="4" s="1"/>
  <c r="O949" i="4" s="1"/>
  <c r="N950" i="4" a="1"/>
  <c r="N950" i="4" s="1"/>
  <c r="O950" i="4" s="1"/>
  <c r="N951" i="4" a="1"/>
  <c r="N951" i="4" s="1"/>
  <c r="O951" i="4" s="1"/>
  <c r="N952" i="4" a="1"/>
  <c r="N952" i="4" s="1"/>
  <c r="O952" i="4" s="1"/>
  <c r="N953" i="4" a="1"/>
  <c r="N953" i="4" s="1"/>
  <c r="O953" i="4" s="1"/>
  <c r="N954" i="4" a="1"/>
  <c r="N954" i="4" s="1"/>
  <c r="O954" i="4" s="1"/>
  <c r="N955" i="4" a="1"/>
  <c r="N955" i="4" s="1"/>
  <c r="O955" i="4" s="1"/>
  <c r="N956" i="4" a="1"/>
  <c r="N956" i="4" s="1"/>
  <c r="O956" i="4" s="1"/>
  <c r="N957" i="4" a="1"/>
  <c r="N957" i="4" s="1"/>
  <c r="O957" i="4" s="1"/>
  <c r="N958" i="4" a="1"/>
  <c r="N958" i="4" s="1"/>
  <c r="O958" i="4" s="1"/>
  <c r="N959" i="4" a="1"/>
  <c r="N959" i="4" s="1"/>
  <c r="O959" i="4" s="1"/>
  <c r="N960" i="4" a="1"/>
  <c r="N960" i="4" s="1"/>
  <c r="O960" i="4" s="1"/>
  <c r="N961" i="4" a="1"/>
  <c r="N961" i="4" s="1"/>
  <c r="O961" i="4" s="1"/>
  <c r="N962" i="4" a="1"/>
  <c r="N962" i="4" s="1"/>
  <c r="O962" i="4" s="1"/>
  <c r="N963" i="4" a="1"/>
  <c r="N963" i="4" s="1"/>
  <c r="O963" i="4" s="1"/>
  <c r="N964" i="4" a="1"/>
  <c r="N964" i="4" s="1"/>
  <c r="O964" i="4" s="1"/>
  <c r="N965" i="4" a="1"/>
  <c r="N965" i="4" s="1"/>
  <c r="O965" i="4" s="1"/>
  <c r="N966" i="4" a="1"/>
  <c r="N966" i="4" s="1"/>
  <c r="O966" i="4" s="1"/>
  <c r="N967" i="4" a="1"/>
  <c r="N967" i="4" s="1"/>
  <c r="O967" i="4" s="1"/>
  <c r="N968" i="4" a="1"/>
  <c r="N968" i="4" s="1"/>
  <c r="O968" i="4" s="1"/>
  <c r="N969" i="4" a="1"/>
  <c r="N969" i="4" s="1"/>
  <c r="O969" i="4" s="1"/>
  <c r="N970" i="4" a="1"/>
  <c r="N970" i="4" s="1"/>
  <c r="O970" i="4" s="1"/>
  <c r="N971" i="4" a="1"/>
  <c r="N971" i="4" s="1"/>
  <c r="O971" i="4" s="1"/>
  <c r="N972" i="4" a="1"/>
  <c r="N972" i="4" s="1"/>
  <c r="O972" i="4" s="1"/>
  <c r="N973" i="4" a="1"/>
  <c r="N973" i="4" s="1"/>
  <c r="O973" i="4" s="1"/>
  <c r="N974" i="4" a="1"/>
  <c r="N974" i="4" s="1"/>
  <c r="O974" i="4" s="1"/>
  <c r="N975" i="4" a="1"/>
  <c r="N975" i="4" s="1"/>
  <c r="O975" i="4" s="1"/>
  <c r="N976" i="4" a="1"/>
  <c r="N976" i="4" s="1"/>
  <c r="O976" i="4" s="1"/>
  <c r="N977" i="4" a="1"/>
  <c r="N977" i="4" s="1"/>
  <c r="O977" i="4" s="1"/>
  <c r="N978" i="4" a="1"/>
  <c r="N978" i="4" s="1"/>
  <c r="O978" i="4" s="1"/>
  <c r="N979" i="4" a="1"/>
  <c r="N979" i="4" s="1"/>
  <c r="O979" i="4" s="1"/>
  <c r="N980" i="4" a="1"/>
  <c r="N980" i="4" s="1"/>
  <c r="O980" i="4" s="1"/>
  <c r="N981" i="4" a="1"/>
  <c r="N981" i="4" s="1"/>
  <c r="O981" i="4" s="1"/>
  <c r="N982" i="4" a="1"/>
  <c r="N982" i="4" s="1"/>
  <c r="O982" i="4" s="1"/>
  <c r="N983" i="4" a="1"/>
  <c r="N983" i="4" s="1"/>
  <c r="O983" i="4" s="1"/>
  <c r="N984" i="4" a="1"/>
  <c r="N984" i="4" s="1"/>
  <c r="O984" i="4" s="1"/>
  <c r="N985" i="4" a="1"/>
  <c r="N985" i="4" s="1"/>
  <c r="O985" i="4" s="1"/>
  <c r="N986" i="4" a="1"/>
  <c r="N986" i="4" s="1"/>
  <c r="O986" i="4" s="1"/>
  <c r="N987" i="4" a="1"/>
  <c r="N987" i="4" s="1"/>
  <c r="O987" i="4" s="1"/>
  <c r="N988" i="4" a="1"/>
  <c r="N988" i="4" s="1"/>
  <c r="O988" i="4" s="1"/>
  <c r="N989" i="4" a="1"/>
  <c r="N989" i="4" s="1"/>
  <c r="O989" i="4" s="1"/>
  <c r="N990" i="4" a="1"/>
  <c r="N990" i="4" s="1"/>
  <c r="O990" i="4" s="1"/>
  <c r="N991" i="4" a="1"/>
  <c r="N991" i="4" s="1"/>
  <c r="O991" i="4" s="1"/>
  <c r="N992" i="4" a="1"/>
  <c r="N992" i="4" s="1"/>
  <c r="O992" i="4" s="1"/>
  <c r="N993" i="4" a="1"/>
  <c r="N993" i="4" s="1"/>
  <c r="O993" i="4" s="1"/>
  <c r="N994" i="4" a="1"/>
  <c r="N994" i="4" s="1"/>
  <c r="O994" i="4" s="1"/>
  <c r="N995" i="4" a="1"/>
  <c r="N995" i="4" s="1"/>
  <c r="O995" i="4" s="1"/>
  <c r="N996" i="4" a="1"/>
  <c r="N996" i="4" s="1"/>
  <c r="O996" i="4" s="1"/>
  <c r="N997" i="4" a="1"/>
  <c r="N997" i="4" s="1"/>
  <c r="O997" i="4" s="1"/>
  <c r="N998" i="4" a="1"/>
  <c r="N998" i="4" s="1"/>
  <c r="O998" i="4" s="1"/>
  <c r="N999" i="4" a="1"/>
  <c r="N999" i="4" s="1"/>
  <c r="O999" i="4" s="1"/>
  <c r="N1000" i="4" a="1"/>
  <c r="N1000" i="4" s="1"/>
  <c r="O1000" i="4" s="1"/>
  <c r="N1001" i="4" a="1"/>
  <c r="N1001" i="4" s="1"/>
  <c r="O1001" i="4" s="1"/>
  <c r="M2" i="4" a="1"/>
  <c r="M2" i="4" s="1"/>
  <c r="M3" i="4" a="1"/>
  <c r="M3" i="4" s="1"/>
  <c r="M4" i="4" a="1"/>
  <c r="M4" i="4" s="1"/>
  <c r="M5" i="4" a="1"/>
  <c r="M5" i="4" s="1"/>
  <c r="M6" i="4" a="1"/>
  <c r="M6" i="4" s="1"/>
  <c r="M7" i="4" a="1"/>
  <c r="M7" i="4" s="1"/>
  <c r="M8" i="4" a="1"/>
  <c r="M8" i="4" s="1"/>
  <c r="M9" i="4" a="1"/>
  <c r="M9" i="4" s="1"/>
  <c r="M10" i="4" a="1"/>
  <c r="M10" i="4" s="1"/>
  <c r="M11" i="4" a="1"/>
  <c r="M11" i="4" s="1"/>
  <c r="M12" i="4" a="1"/>
  <c r="M12" i="4" s="1"/>
  <c r="M13" i="4" a="1"/>
  <c r="M13" i="4" s="1"/>
  <c r="M14" i="4" a="1"/>
  <c r="M14" i="4" s="1"/>
  <c r="M15" i="4" a="1"/>
  <c r="M15" i="4" s="1"/>
  <c r="M16" i="4" a="1"/>
  <c r="M16" i="4" s="1"/>
  <c r="M17" i="4" a="1"/>
  <c r="M17" i="4" s="1"/>
  <c r="M18" i="4" a="1"/>
  <c r="M18" i="4" s="1"/>
  <c r="M19" i="4" a="1"/>
  <c r="M19" i="4" s="1"/>
  <c r="M20" i="4" a="1"/>
  <c r="M20" i="4" s="1"/>
  <c r="M21" i="4" a="1"/>
  <c r="M21" i="4" s="1"/>
  <c r="M22" i="4" a="1"/>
  <c r="M22" i="4" s="1"/>
  <c r="M23" i="4" a="1"/>
  <c r="M23" i="4" s="1"/>
  <c r="M24" i="4" a="1"/>
  <c r="M24" i="4" s="1"/>
  <c r="M25" i="4" a="1"/>
  <c r="M25" i="4" s="1"/>
  <c r="M26" i="4" a="1"/>
  <c r="M26" i="4" s="1"/>
  <c r="M27" i="4" a="1"/>
  <c r="M27" i="4" s="1"/>
  <c r="M28" i="4" a="1"/>
  <c r="M28" i="4" s="1"/>
  <c r="M29" i="4" a="1"/>
  <c r="M29" i="4" s="1"/>
  <c r="M30" i="4" a="1"/>
  <c r="M30" i="4" s="1"/>
  <c r="M31" i="4" a="1"/>
  <c r="M31" i="4" s="1"/>
  <c r="M32" i="4" a="1"/>
  <c r="M32" i="4" s="1"/>
  <c r="M33" i="4" a="1"/>
  <c r="M33" i="4" s="1"/>
  <c r="M34" i="4" a="1"/>
  <c r="M34" i="4" s="1"/>
  <c r="M35" i="4" a="1"/>
  <c r="M35" i="4" s="1"/>
  <c r="M36" i="4" a="1"/>
  <c r="M36" i="4" s="1"/>
  <c r="M37" i="4" a="1"/>
  <c r="M37" i="4" s="1"/>
  <c r="M38" i="4" a="1"/>
  <c r="M38" i="4" s="1"/>
  <c r="M39" i="4" a="1"/>
  <c r="M39" i="4" s="1"/>
  <c r="M40" i="4" a="1"/>
  <c r="M40" i="4" s="1"/>
  <c r="M41" i="4" a="1"/>
  <c r="M41" i="4" s="1"/>
  <c r="M42" i="4" a="1"/>
  <c r="M42" i="4" s="1"/>
  <c r="M43" i="4" a="1"/>
  <c r="M43" i="4" s="1"/>
  <c r="M44" i="4" a="1"/>
  <c r="M44" i="4" s="1"/>
  <c r="M45" i="4" a="1"/>
  <c r="M45" i="4" s="1"/>
  <c r="M46" i="4" a="1"/>
  <c r="M46" i="4" s="1"/>
  <c r="M47" i="4" a="1"/>
  <c r="M47" i="4" s="1"/>
  <c r="M48" i="4" a="1"/>
  <c r="M48" i="4" s="1"/>
  <c r="M49" i="4" a="1"/>
  <c r="M49" i="4" s="1"/>
  <c r="M50" i="4" a="1"/>
  <c r="M50" i="4" s="1"/>
  <c r="M51" i="4" a="1"/>
  <c r="M51" i="4" s="1"/>
  <c r="M52" i="4" a="1"/>
  <c r="M52" i="4" s="1"/>
  <c r="M53" i="4" a="1"/>
  <c r="M53" i="4" s="1"/>
  <c r="M54" i="4" a="1"/>
  <c r="M54" i="4" s="1"/>
  <c r="M55" i="4" a="1"/>
  <c r="M55" i="4" s="1"/>
  <c r="M56" i="4" a="1"/>
  <c r="M56" i="4" s="1"/>
  <c r="M57" i="4" a="1"/>
  <c r="M57" i="4" s="1"/>
  <c r="M58" i="4" a="1"/>
  <c r="M58" i="4" s="1"/>
  <c r="M59" i="4" a="1"/>
  <c r="M59" i="4" s="1"/>
  <c r="M60" i="4" a="1"/>
  <c r="M60" i="4" s="1"/>
  <c r="M61" i="4" a="1"/>
  <c r="M61" i="4" s="1"/>
  <c r="M62" i="4" a="1"/>
  <c r="M62" i="4" s="1"/>
  <c r="M63" i="4" a="1"/>
  <c r="M63" i="4" s="1"/>
  <c r="M64" i="4" a="1"/>
  <c r="M64" i="4" s="1"/>
  <c r="M65" i="4" a="1"/>
  <c r="M65" i="4" s="1"/>
  <c r="M66" i="4" a="1"/>
  <c r="M66" i="4" s="1"/>
  <c r="M67" i="4" a="1"/>
  <c r="M67" i="4" s="1"/>
  <c r="M68" i="4" a="1"/>
  <c r="M68" i="4" s="1"/>
  <c r="M69" i="4" a="1"/>
  <c r="M69" i="4" s="1"/>
  <c r="M70" i="4" a="1"/>
  <c r="M70" i="4" s="1"/>
  <c r="M71" i="4" a="1"/>
  <c r="M71" i="4" s="1"/>
  <c r="M72" i="4" a="1"/>
  <c r="M72" i="4" s="1"/>
  <c r="M73" i="4" a="1"/>
  <c r="M73" i="4" s="1"/>
  <c r="M74" i="4" a="1"/>
  <c r="M74" i="4" s="1"/>
  <c r="M75" i="4" a="1"/>
  <c r="M75" i="4" s="1"/>
  <c r="M76" i="4" a="1"/>
  <c r="M76" i="4" s="1"/>
  <c r="M77" i="4" a="1"/>
  <c r="M77" i="4" s="1"/>
  <c r="M78" i="4" a="1"/>
  <c r="M78" i="4" s="1"/>
  <c r="M79" i="4" a="1"/>
  <c r="M79" i="4" s="1"/>
  <c r="M80" i="4" a="1"/>
  <c r="M80" i="4" s="1"/>
  <c r="M81" i="4" a="1"/>
  <c r="M81" i="4" s="1"/>
  <c r="M82" i="4" a="1"/>
  <c r="M82" i="4" s="1"/>
  <c r="M83" i="4" a="1"/>
  <c r="M83" i="4" s="1"/>
  <c r="M84" i="4" a="1"/>
  <c r="M84" i="4" s="1"/>
  <c r="M85" i="4" a="1"/>
  <c r="M85" i="4" s="1"/>
  <c r="M86" i="4" a="1"/>
  <c r="M86" i="4" s="1"/>
  <c r="M87" i="4" a="1"/>
  <c r="M87" i="4" s="1"/>
  <c r="M88" i="4" a="1"/>
  <c r="M88" i="4" s="1"/>
  <c r="M89" i="4" a="1"/>
  <c r="M89" i="4" s="1"/>
  <c r="M90" i="4" a="1"/>
  <c r="M90" i="4" s="1"/>
  <c r="M91" i="4" a="1"/>
  <c r="M91" i="4" s="1"/>
  <c r="M92" i="4" a="1"/>
  <c r="M92" i="4" s="1"/>
  <c r="M93" i="4" a="1"/>
  <c r="M93" i="4" s="1"/>
  <c r="M94" i="4" a="1"/>
  <c r="M94" i="4" s="1"/>
  <c r="M95" i="4" a="1"/>
  <c r="M95" i="4" s="1"/>
  <c r="M96" i="4" a="1"/>
  <c r="M96" i="4" s="1"/>
  <c r="M97" i="4" a="1"/>
  <c r="M97" i="4" s="1"/>
  <c r="M98" i="4" a="1"/>
  <c r="M98" i="4" s="1"/>
  <c r="M99" i="4" a="1"/>
  <c r="M99" i="4" s="1"/>
  <c r="M100" i="4" a="1"/>
  <c r="M100" i="4" s="1"/>
  <c r="M101" i="4" a="1"/>
  <c r="M101" i="4" s="1"/>
  <c r="M102" i="4" a="1"/>
  <c r="M102" i="4" s="1"/>
  <c r="M103" i="4" a="1"/>
  <c r="M103" i="4" s="1"/>
  <c r="M104" i="4" a="1"/>
  <c r="M104" i="4" s="1"/>
  <c r="M105" i="4" a="1"/>
  <c r="M105" i="4" s="1"/>
  <c r="M106" i="4" a="1"/>
  <c r="M106" i="4" s="1"/>
  <c r="M107" i="4" a="1"/>
  <c r="M107" i="4" s="1"/>
  <c r="M108" i="4" a="1"/>
  <c r="M108" i="4" s="1"/>
  <c r="M109" i="4" a="1"/>
  <c r="M109" i="4" s="1"/>
  <c r="M110" i="4" a="1"/>
  <c r="M110" i="4" s="1"/>
  <c r="M111" i="4" a="1"/>
  <c r="M111" i="4" s="1"/>
  <c r="M112" i="4" a="1"/>
  <c r="M112" i="4" s="1"/>
  <c r="M113" i="4" a="1"/>
  <c r="M113" i="4" s="1"/>
  <c r="M114" i="4" a="1"/>
  <c r="M114" i="4" s="1"/>
  <c r="M115" i="4" a="1"/>
  <c r="M115" i="4" s="1"/>
  <c r="M116" i="4" a="1"/>
  <c r="M116" i="4" s="1"/>
  <c r="M117" i="4" a="1"/>
  <c r="M117" i="4" s="1"/>
  <c r="M118" i="4" a="1"/>
  <c r="M118" i="4" s="1"/>
  <c r="M119" i="4" a="1"/>
  <c r="M119" i="4" s="1"/>
  <c r="M120" i="4" a="1"/>
  <c r="M120" i="4" s="1"/>
  <c r="M121" i="4" a="1"/>
  <c r="M121" i="4" s="1"/>
  <c r="M122" i="4" a="1"/>
  <c r="M122" i="4" s="1"/>
  <c r="M123" i="4" a="1"/>
  <c r="M123" i="4" s="1"/>
  <c r="M124" i="4" a="1"/>
  <c r="M124" i="4" s="1"/>
  <c r="M125" i="4" a="1"/>
  <c r="M125" i="4" s="1"/>
  <c r="M126" i="4" a="1"/>
  <c r="M126" i="4" s="1"/>
  <c r="M127" i="4" a="1"/>
  <c r="M127" i="4" s="1"/>
  <c r="M128" i="4" a="1"/>
  <c r="M128" i="4" s="1"/>
  <c r="M129" i="4" a="1"/>
  <c r="M129" i="4" s="1"/>
  <c r="M130" i="4" a="1"/>
  <c r="M130" i="4" s="1"/>
  <c r="M131" i="4" a="1"/>
  <c r="M131" i="4" s="1"/>
  <c r="M132" i="4" a="1"/>
  <c r="M132" i="4" s="1"/>
  <c r="M133" i="4" a="1"/>
  <c r="M133" i="4" s="1"/>
  <c r="M134" i="4" a="1"/>
  <c r="M134" i="4" s="1"/>
  <c r="M135" i="4" a="1"/>
  <c r="M135" i="4" s="1"/>
  <c r="M136" i="4" a="1"/>
  <c r="M136" i="4" s="1"/>
  <c r="M137" i="4" a="1"/>
  <c r="M137" i="4" s="1"/>
  <c r="M138" i="4" a="1"/>
  <c r="M138" i="4" s="1"/>
  <c r="M139" i="4" a="1"/>
  <c r="M139" i="4" s="1"/>
  <c r="M140" i="4" a="1"/>
  <c r="M140" i="4" s="1"/>
  <c r="M141" i="4" a="1"/>
  <c r="M141" i="4" s="1"/>
  <c r="M142" i="4" a="1"/>
  <c r="M142" i="4" s="1"/>
  <c r="M143" i="4" a="1"/>
  <c r="M143" i="4" s="1"/>
  <c r="M144" i="4" a="1"/>
  <c r="M144" i="4" s="1"/>
  <c r="M145" i="4" a="1"/>
  <c r="M145" i="4" s="1"/>
  <c r="M146" i="4" a="1"/>
  <c r="M146" i="4" s="1"/>
  <c r="M147" i="4" a="1"/>
  <c r="M147" i="4" s="1"/>
  <c r="M148" i="4" a="1"/>
  <c r="M148" i="4" s="1"/>
  <c r="M149" i="4" a="1"/>
  <c r="M149" i="4" s="1"/>
  <c r="M150" i="4" a="1"/>
  <c r="M150" i="4" s="1"/>
  <c r="M151" i="4" a="1"/>
  <c r="M151" i="4" s="1"/>
  <c r="M152" i="4" a="1"/>
  <c r="M152" i="4" s="1"/>
  <c r="M153" i="4" a="1"/>
  <c r="M153" i="4" s="1"/>
  <c r="M154" i="4" a="1"/>
  <c r="M154" i="4" s="1"/>
  <c r="M155" i="4" a="1"/>
  <c r="M155" i="4" s="1"/>
  <c r="M156" i="4" a="1"/>
  <c r="M156" i="4" s="1"/>
  <c r="M157" i="4" a="1"/>
  <c r="M157" i="4" s="1"/>
  <c r="M158" i="4" a="1"/>
  <c r="M158" i="4" s="1"/>
  <c r="M159" i="4" a="1"/>
  <c r="M159" i="4" s="1"/>
  <c r="M160" i="4" a="1"/>
  <c r="M160" i="4" s="1"/>
  <c r="M161" i="4" a="1"/>
  <c r="M161" i="4" s="1"/>
  <c r="M162" i="4" a="1"/>
  <c r="M162" i="4" s="1"/>
  <c r="M163" i="4" a="1"/>
  <c r="M163" i="4" s="1"/>
  <c r="M164" i="4" a="1"/>
  <c r="M164" i="4" s="1"/>
  <c r="M165" i="4" a="1"/>
  <c r="M165" i="4" s="1"/>
  <c r="M166" i="4" a="1"/>
  <c r="M166" i="4" s="1"/>
  <c r="M167" i="4" a="1"/>
  <c r="M167" i="4" s="1"/>
  <c r="M168" i="4" a="1"/>
  <c r="M168" i="4" s="1"/>
  <c r="M169" i="4" a="1"/>
  <c r="M169" i="4" s="1"/>
  <c r="M170" i="4" a="1"/>
  <c r="M170" i="4" s="1"/>
  <c r="M171" i="4" a="1"/>
  <c r="M171" i="4" s="1"/>
  <c r="M172" i="4" a="1"/>
  <c r="M172" i="4" s="1"/>
  <c r="M173" i="4" a="1"/>
  <c r="M173" i="4" s="1"/>
  <c r="M174" i="4" a="1"/>
  <c r="M174" i="4" s="1"/>
  <c r="M175" i="4" a="1"/>
  <c r="M175" i="4" s="1"/>
  <c r="M176" i="4" a="1"/>
  <c r="M176" i="4" s="1"/>
  <c r="M177" i="4" a="1"/>
  <c r="M177" i="4" s="1"/>
  <c r="M178" i="4" a="1"/>
  <c r="M178" i="4" s="1"/>
  <c r="M179" i="4" a="1"/>
  <c r="M179" i="4" s="1"/>
  <c r="M180" i="4" a="1"/>
  <c r="M180" i="4" s="1"/>
  <c r="M181" i="4" a="1"/>
  <c r="M181" i="4" s="1"/>
  <c r="M182" i="4" a="1"/>
  <c r="M182" i="4" s="1"/>
  <c r="M183" i="4" a="1"/>
  <c r="M183" i="4" s="1"/>
  <c r="M184" i="4" a="1"/>
  <c r="M184" i="4" s="1"/>
  <c r="M185" i="4" a="1"/>
  <c r="M185" i="4" s="1"/>
  <c r="M186" i="4" a="1"/>
  <c r="M186" i="4" s="1"/>
  <c r="M187" i="4" a="1"/>
  <c r="M187" i="4" s="1"/>
  <c r="M188" i="4" a="1"/>
  <c r="M188" i="4" s="1"/>
  <c r="M189" i="4" a="1"/>
  <c r="M189" i="4" s="1"/>
  <c r="M190" i="4" a="1"/>
  <c r="M190" i="4" s="1"/>
  <c r="M191" i="4" a="1"/>
  <c r="M191" i="4" s="1"/>
  <c r="M192" i="4" a="1"/>
  <c r="M192" i="4" s="1"/>
  <c r="M193" i="4" a="1"/>
  <c r="M193" i="4" s="1"/>
  <c r="M194" i="4" a="1"/>
  <c r="M194" i="4" s="1"/>
  <c r="M195" i="4" a="1"/>
  <c r="M195" i="4" s="1"/>
  <c r="M196" i="4" a="1"/>
  <c r="M196" i="4" s="1"/>
  <c r="M197" i="4" a="1"/>
  <c r="M197" i="4" s="1"/>
  <c r="M198" i="4" a="1"/>
  <c r="M198" i="4" s="1"/>
  <c r="M199" i="4" a="1"/>
  <c r="M199" i="4" s="1"/>
  <c r="M200" i="4" a="1"/>
  <c r="M200" i="4" s="1"/>
  <c r="M201" i="4" a="1"/>
  <c r="M201" i="4" s="1"/>
  <c r="M202" i="4" a="1"/>
  <c r="M202" i="4" s="1"/>
  <c r="M203" i="4" a="1"/>
  <c r="M203" i="4" s="1"/>
  <c r="M204" i="4" a="1"/>
  <c r="M204" i="4" s="1"/>
  <c r="M205" i="4" a="1"/>
  <c r="M205" i="4" s="1"/>
  <c r="M206" i="4" a="1"/>
  <c r="M206" i="4" s="1"/>
  <c r="M207" i="4" a="1"/>
  <c r="M207" i="4" s="1"/>
  <c r="M208" i="4" a="1"/>
  <c r="M208" i="4" s="1"/>
  <c r="M209" i="4" a="1"/>
  <c r="M209" i="4" s="1"/>
  <c r="M210" i="4" a="1"/>
  <c r="M210" i="4" s="1"/>
  <c r="M211" i="4" a="1"/>
  <c r="M211" i="4" s="1"/>
  <c r="M212" i="4" a="1"/>
  <c r="M212" i="4" s="1"/>
  <c r="M213" i="4" a="1"/>
  <c r="M213" i="4" s="1"/>
  <c r="M214" i="4" a="1"/>
  <c r="M214" i="4" s="1"/>
  <c r="M215" i="4" a="1"/>
  <c r="M215" i="4" s="1"/>
  <c r="M216" i="4" a="1"/>
  <c r="M216" i="4" s="1"/>
  <c r="M217" i="4" a="1"/>
  <c r="M217" i="4" s="1"/>
  <c r="M218" i="4" a="1"/>
  <c r="M218" i="4" s="1"/>
  <c r="M219" i="4" a="1"/>
  <c r="M219" i="4" s="1"/>
  <c r="M220" i="4" a="1"/>
  <c r="M220" i="4" s="1"/>
  <c r="M221" i="4" a="1"/>
  <c r="M221" i="4" s="1"/>
  <c r="M222" i="4" a="1"/>
  <c r="M222" i="4" s="1"/>
  <c r="M223" i="4" a="1"/>
  <c r="M223" i="4" s="1"/>
  <c r="M224" i="4" a="1"/>
  <c r="M224" i="4" s="1"/>
  <c r="M225" i="4" a="1"/>
  <c r="M225" i="4" s="1"/>
  <c r="M226" i="4" a="1"/>
  <c r="M226" i="4" s="1"/>
  <c r="M227" i="4" a="1"/>
  <c r="M227" i="4" s="1"/>
  <c r="M228" i="4" a="1"/>
  <c r="M228" i="4" s="1"/>
  <c r="M229" i="4" a="1"/>
  <c r="M229" i="4" s="1"/>
  <c r="M230" i="4" a="1"/>
  <c r="M230" i="4" s="1"/>
  <c r="M231" i="4" a="1"/>
  <c r="M231" i="4" s="1"/>
  <c r="M232" i="4" a="1"/>
  <c r="M232" i="4" s="1"/>
  <c r="M233" i="4" a="1"/>
  <c r="M233" i="4" s="1"/>
  <c r="M234" i="4" a="1"/>
  <c r="M234" i="4" s="1"/>
  <c r="M235" i="4" a="1"/>
  <c r="M235" i="4" s="1"/>
  <c r="M236" i="4" a="1"/>
  <c r="M236" i="4" s="1"/>
  <c r="M237" i="4" a="1"/>
  <c r="M237" i="4" s="1"/>
  <c r="M238" i="4" a="1"/>
  <c r="M238" i="4" s="1"/>
  <c r="M239" i="4" a="1"/>
  <c r="M239" i="4" s="1"/>
  <c r="M240" i="4" a="1"/>
  <c r="M240" i="4" s="1"/>
  <c r="M241" i="4" a="1"/>
  <c r="M241" i="4" s="1"/>
  <c r="M242" i="4" a="1"/>
  <c r="M242" i="4" s="1"/>
  <c r="M243" i="4" a="1"/>
  <c r="M243" i="4" s="1"/>
  <c r="M244" i="4" a="1"/>
  <c r="M244" i="4" s="1"/>
  <c r="M245" i="4" a="1"/>
  <c r="M245" i="4" s="1"/>
  <c r="M246" i="4" a="1"/>
  <c r="M246" i="4" s="1"/>
  <c r="M247" i="4" a="1"/>
  <c r="M247" i="4" s="1"/>
  <c r="M248" i="4" a="1"/>
  <c r="M248" i="4" s="1"/>
  <c r="M249" i="4" a="1"/>
  <c r="M249" i="4" s="1"/>
  <c r="M250" i="4" a="1"/>
  <c r="M250" i="4" s="1"/>
  <c r="M251" i="4" a="1"/>
  <c r="M251" i="4" s="1"/>
  <c r="M252" i="4" a="1"/>
  <c r="M252" i="4" s="1"/>
  <c r="M253" i="4" a="1"/>
  <c r="M253" i="4" s="1"/>
  <c r="M254" i="4" a="1"/>
  <c r="M254" i="4" s="1"/>
  <c r="M255" i="4" a="1"/>
  <c r="M255" i="4" s="1"/>
  <c r="M256" i="4" a="1"/>
  <c r="M256" i="4" s="1"/>
  <c r="M257" i="4" a="1"/>
  <c r="M257" i="4" s="1"/>
  <c r="M258" i="4" a="1"/>
  <c r="M258" i="4" s="1"/>
  <c r="M259" i="4" a="1"/>
  <c r="M259" i="4" s="1"/>
  <c r="M260" i="4" a="1"/>
  <c r="M260" i="4" s="1"/>
  <c r="M261" i="4" a="1"/>
  <c r="M261" i="4" s="1"/>
  <c r="M262" i="4" a="1"/>
  <c r="M262" i="4" s="1"/>
  <c r="M263" i="4" a="1"/>
  <c r="M263" i="4" s="1"/>
  <c r="M264" i="4" a="1"/>
  <c r="M264" i="4" s="1"/>
  <c r="M265" i="4" a="1"/>
  <c r="M265" i="4" s="1"/>
  <c r="M266" i="4" a="1"/>
  <c r="M266" i="4" s="1"/>
  <c r="M267" i="4" a="1"/>
  <c r="M267" i="4" s="1"/>
  <c r="M268" i="4" a="1"/>
  <c r="M268" i="4" s="1"/>
  <c r="M269" i="4" a="1"/>
  <c r="M269" i="4" s="1"/>
  <c r="M270" i="4" a="1"/>
  <c r="M270" i="4" s="1"/>
  <c r="M271" i="4" a="1"/>
  <c r="M271" i="4" s="1"/>
  <c r="M272" i="4" a="1"/>
  <c r="M272" i="4" s="1"/>
  <c r="M273" i="4" a="1"/>
  <c r="M273" i="4" s="1"/>
  <c r="M274" i="4" a="1"/>
  <c r="M274" i="4" s="1"/>
  <c r="M275" i="4" a="1"/>
  <c r="M275" i="4" s="1"/>
  <c r="M276" i="4" a="1"/>
  <c r="M276" i="4" s="1"/>
  <c r="M277" i="4" a="1"/>
  <c r="M277" i="4" s="1"/>
  <c r="M278" i="4" a="1"/>
  <c r="M278" i="4" s="1"/>
  <c r="M279" i="4" a="1"/>
  <c r="M279" i="4" s="1"/>
  <c r="M280" i="4" a="1"/>
  <c r="M280" i="4" s="1"/>
  <c r="M281" i="4" a="1"/>
  <c r="M281" i="4" s="1"/>
  <c r="M282" i="4" a="1"/>
  <c r="M282" i="4" s="1"/>
  <c r="M283" i="4" a="1"/>
  <c r="M283" i="4" s="1"/>
  <c r="M284" i="4" a="1"/>
  <c r="M284" i="4" s="1"/>
  <c r="M285" i="4" a="1"/>
  <c r="M285" i="4" s="1"/>
  <c r="M286" i="4" a="1"/>
  <c r="M286" i="4" s="1"/>
  <c r="M287" i="4" a="1"/>
  <c r="M287" i="4" s="1"/>
  <c r="M288" i="4" a="1"/>
  <c r="M288" i="4" s="1"/>
  <c r="M289" i="4" a="1"/>
  <c r="M289" i="4" s="1"/>
  <c r="M290" i="4" a="1"/>
  <c r="M290" i="4" s="1"/>
  <c r="M291" i="4" a="1"/>
  <c r="M291" i="4" s="1"/>
  <c r="M292" i="4" a="1"/>
  <c r="M292" i="4" s="1"/>
  <c r="M293" i="4" a="1"/>
  <c r="M293" i="4" s="1"/>
  <c r="M294" i="4" a="1"/>
  <c r="M294" i="4" s="1"/>
  <c r="M295" i="4" a="1"/>
  <c r="M295" i="4" s="1"/>
  <c r="M296" i="4" a="1"/>
  <c r="M296" i="4" s="1"/>
  <c r="M297" i="4" a="1"/>
  <c r="M297" i="4" s="1"/>
  <c r="M298" i="4" a="1"/>
  <c r="M298" i="4" s="1"/>
  <c r="M299" i="4" a="1"/>
  <c r="M299" i="4" s="1"/>
  <c r="M300" i="4" a="1"/>
  <c r="M300" i="4" s="1"/>
  <c r="M301" i="4" a="1"/>
  <c r="M301" i="4" s="1"/>
  <c r="M302" i="4" a="1"/>
  <c r="M302" i="4" s="1"/>
  <c r="M303" i="4" a="1"/>
  <c r="M303" i="4" s="1"/>
  <c r="M304" i="4" a="1"/>
  <c r="M304" i="4" s="1"/>
  <c r="M305" i="4" a="1"/>
  <c r="M305" i="4" s="1"/>
  <c r="M306" i="4" a="1"/>
  <c r="M306" i="4" s="1"/>
  <c r="M307" i="4" a="1"/>
  <c r="M307" i="4" s="1"/>
  <c r="M308" i="4" a="1"/>
  <c r="M308" i="4" s="1"/>
  <c r="M309" i="4" a="1"/>
  <c r="M309" i="4" s="1"/>
  <c r="M310" i="4" a="1"/>
  <c r="M310" i="4" s="1"/>
  <c r="M311" i="4" a="1"/>
  <c r="M311" i="4" s="1"/>
  <c r="M312" i="4" a="1"/>
  <c r="M312" i="4" s="1"/>
  <c r="M313" i="4" a="1"/>
  <c r="M313" i="4" s="1"/>
  <c r="M314" i="4" a="1"/>
  <c r="M314" i="4" s="1"/>
  <c r="M315" i="4" a="1"/>
  <c r="M315" i="4" s="1"/>
  <c r="M316" i="4" a="1"/>
  <c r="M316" i="4" s="1"/>
  <c r="M317" i="4" a="1"/>
  <c r="M317" i="4" s="1"/>
  <c r="M318" i="4" a="1"/>
  <c r="M318" i="4" s="1"/>
  <c r="M319" i="4" a="1"/>
  <c r="M319" i="4" s="1"/>
  <c r="M320" i="4" a="1"/>
  <c r="M320" i="4" s="1"/>
  <c r="M321" i="4" a="1"/>
  <c r="M321" i="4" s="1"/>
  <c r="M322" i="4" a="1"/>
  <c r="M322" i="4" s="1"/>
  <c r="M323" i="4" a="1"/>
  <c r="M323" i="4" s="1"/>
  <c r="M324" i="4" a="1"/>
  <c r="M324" i="4" s="1"/>
  <c r="M325" i="4" a="1"/>
  <c r="M325" i="4" s="1"/>
  <c r="M326" i="4" a="1"/>
  <c r="M326" i="4" s="1"/>
  <c r="M327" i="4" a="1"/>
  <c r="M327" i="4" s="1"/>
  <c r="M328" i="4" a="1"/>
  <c r="M328" i="4" s="1"/>
  <c r="M329" i="4" a="1"/>
  <c r="M329" i="4" s="1"/>
  <c r="M330" i="4" a="1"/>
  <c r="M330" i="4" s="1"/>
  <c r="M331" i="4" a="1"/>
  <c r="M331" i="4" s="1"/>
  <c r="M332" i="4" a="1"/>
  <c r="M332" i="4" s="1"/>
  <c r="M333" i="4" a="1"/>
  <c r="M333" i="4" s="1"/>
  <c r="M334" i="4" a="1"/>
  <c r="M334" i="4" s="1"/>
  <c r="M335" i="4" a="1"/>
  <c r="M335" i="4" s="1"/>
  <c r="M336" i="4" a="1"/>
  <c r="M336" i="4" s="1"/>
  <c r="M337" i="4" a="1"/>
  <c r="M337" i="4" s="1"/>
  <c r="M338" i="4" a="1"/>
  <c r="M338" i="4" s="1"/>
  <c r="M339" i="4" a="1"/>
  <c r="M339" i="4" s="1"/>
  <c r="M340" i="4" a="1"/>
  <c r="M340" i="4" s="1"/>
  <c r="M341" i="4" a="1"/>
  <c r="M341" i="4" s="1"/>
  <c r="M342" i="4" a="1"/>
  <c r="M342" i="4" s="1"/>
  <c r="M343" i="4" a="1"/>
  <c r="M343" i="4" s="1"/>
  <c r="M344" i="4" a="1"/>
  <c r="M344" i="4" s="1"/>
  <c r="M345" i="4" a="1"/>
  <c r="M345" i="4" s="1"/>
  <c r="M346" i="4" a="1"/>
  <c r="M346" i="4" s="1"/>
  <c r="M347" i="4" a="1"/>
  <c r="M347" i="4" s="1"/>
  <c r="M348" i="4" a="1"/>
  <c r="M348" i="4" s="1"/>
  <c r="M349" i="4" a="1"/>
  <c r="M349" i="4" s="1"/>
  <c r="M350" i="4" a="1"/>
  <c r="M350" i="4" s="1"/>
  <c r="M351" i="4" a="1"/>
  <c r="M351" i="4" s="1"/>
  <c r="M352" i="4" a="1"/>
  <c r="M352" i="4" s="1"/>
  <c r="M353" i="4" a="1"/>
  <c r="M353" i="4" s="1"/>
  <c r="M354" i="4" a="1"/>
  <c r="M354" i="4" s="1"/>
  <c r="M355" i="4" a="1"/>
  <c r="M355" i="4" s="1"/>
  <c r="M356" i="4" a="1"/>
  <c r="M356" i="4" s="1"/>
  <c r="M357" i="4" a="1"/>
  <c r="M357" i="4" s="1"/>
  <c r="M358" i="4" a="1"/>
  <c r="M358" i="4" s="1"/>
  <c r="M359" i="4" a="1"/>
  <c r="M359" i="4" s="1"/>
  <c r="M360" i="4" a="1"/>
  <c r="M360" i="4" s="1"/>
  <c r="M361" i="4" a="1"/>
  <c r="M361" i="4" s="1"/>
  <c r="M362" i="4" a="1"/>
  <c r="M362" i="4" s="1"/>
  <c r="M363" i="4" a="1"/>
  <c r="M363" i="4" s="1"/>
  <c r="M364" i="4" a="1"/>
  <c r="M364" i="4" s="1"/>
  <c r="M365" i="4" a="1"/>
  <c r="M365" i="4" s="1"/>
  <c r="M366" i="4" a="1"/>
  <c r="M366" i="4" s="1"/>
  <c r="M367" i="4" a="1"/>
  <c r="M367" i="4" s="1"/>
  <c r="M368" i="4" a="1"/>
  <c r="M368" i="4" s="1"/>
  <c r="M369" i="4" a="1"/>
  <c r="M369" i="4" s="1"/>
  <c r="M370" i="4" a="1"/>
  <c r="M370" i="4" s="1"/>
  <c r="M371" i="4" a="1"/>
  <c r="M371" i="4" s="1"/>
  <c r="M372" i="4" a="1"/>
  <c r="M372" i="4" s="1"/>
  <c r="M373" i="4" a="1"/>
  <c r="M373" i="4" s="1"/>
  <c r="M374" i="4" a="1"/>
  <c r="M374" i="4" s="1"/>
  <c r="M375" i="4" a="1"/>
  <c r="M375" i="4" s="1"/>
  <c r="M376" i="4" a="1"/>
  <c r="M376" i="4" s="1"/>
  <c r="M377" i="4" a="1"/>
  <c r="M377" i="4" s="1"/>
  <c r="M378" i="4" a="1"/>
  <c r="M378" i="4" s="1"/>
  <c r="M379" i="4" a="1"/>
  <c r="M379" i="4" s="1"/>
  <c r="M380" i="4" a="1"/>
  <c r="M380" i="4" s="1"/>
  <c r="M381" i="4" a="1"/>
  <c r="M381" i="4" s="1"/>
  <c r="M382" i="4" a="1"/>
  <c r="M382" i="4" s="1"/>
  <c r="M383" i="4" a="1"/>
  <c r="M383" i="4" s="1"/>
  <c r="M384" i="4" a="1"/>
  <c r="M384" i="4" s="1"/>
  <c r="M385" i="4" a="1"/>
  <c r="M385" i="4" s="1"/>
  <c r="M386" i="4" a="1"/>
  <c r="M386" i="4" s="1"/>
  <c r="M387" i="4" a="1"/>
  <c r="M387" i="4" s="1"/>
  <c r="M388" i="4" a="1"/>
  <c r="M388" i="4" s="1"/>
  <c r="M389" i="4" a="1"/>
  <c r="M389" i="4" s="1"/>
  <c r="M390" i="4" a="1"/>
  <c r="M390" i="4" s="1"/>
  <c r="M391" i="4" a="1"/>
  <c r="M391" i="4" s="1"/>
  <c r="M392" i="4" a="1"/>
  <c r="M392" i="4" s="1"/>
  <c r="M393" i="4" a="1"/>
  <c r="M393" i="4" s="1"/>
  <c r="M394" i="4" a="1"/>
  <c r="M394" i="4" s="1"/>
  <c r="M395" i="4" a="1"/>
  <c r="M395" i="4" s="1"/>
  <c r="M396" i="4" a="1"/>
  <c r="M396" i="4" s="1"/>
  <c r="M397" i="4" a="1"/>
  <c r="M397" i="4" s="1"/>
  <c r="M398" i="4" a="1"/>
  <c r="M398" i="4" s="1"/>
  <c r="M399" i="4" a="1"/>
  <c r="M399" i="4" s="1"/>
  <c r="M400" i="4" a="1"/>
  <c r="M400" i="4" s="1"/>
  <c r="M401" i="4" a="1"/>
  <c r="M401" i="4" s="1"/>
  <c r="M402" i="4" a="1"/>
  <c r="M402" i="4" s="1"/>
  <c r="M403" i="4" a="1"/>
  <c r="M403" i="4" s="1"/>
  <c r="M404" i="4" a="1"/>
  <c r="M404" i="4" s="1"/>
  <c r="M405" i="4" a="1"/>
  <c r="M405" i="4" s="1"/>
  <c r="M406" i="4" a="1"/>
  <c r="M406" i="4" s="1"/>
  <c r="M407" i="4" a="1"/>
  <c r="M407" i="4" s="1"/>
  <c r="M408" i="4" a="1"/>
  <c r="M408" i="4" s="1"/>
  <c r="M409" i="4" a="1"/>
  <c r="M409" i="4" s="1"/>
  <c r="M410" i="4" a="1"/>
  <c r="M410" i="4" s="1"/>
  <c r="M411" i="4" a="1"/>
  <c r="M411" i="4" s="1"/>
  <c r="M412" i="4" a="1"/>
  <c r="M412" i="4" s="1"/>
  <c r="M413" i="4" a="1"/>
  <c r="M413" i="4" s="1"/>
  <c r="M414" i="4" a="1"/>
  <c r="M414" i="4" s="1"/>
  <c r="M415" i="4" a="1"/>
  <c r="M415" i="4" s="1"/>
  <c r="M416" i="4" a="1"/>
  <c r="M416" i="4" s="1"/>
  <c r="M417" i="4" a="1"/>
  <c r="M417" i="4" s="1"/>
  <c r="M418" i="4" a="1"/>
  <c r="M418" i="4" s="1"/>
  <c r="M419" i="4" a="1"/>
  <c r="M419" i="4" s="1"/>
  <c r="M420" i="4" a="1"/>
  <c r="M420" i="4" s="1"/>
  <c r="M421" i="4" a="1"/>
  <c r="M421" i="4" s="1"/>
  <c r="M422" i="4" a="1"/>
  <c r="M422" i="4" s="1"/>
  <c r="M423" i="4" a="1"/>
  <c r="M423" i="4" s="1"/>
  <c r="M424" i="4" a="1"/>
  <c r="M424" i="4" s="1"/>
  <c r="M425" i="4" a="1"/>
  <c r="M425" i="4" s="1"/>
  <c r="M426" i="4" a="1"/>
  <c r="M426" i="4" s="1"/>
  <c r="M427" i="4" a="1"/>
  <c r="M427" i="4" s="1"/>
  <c r="M428" i="4" a="1"/>
  <c r="M428" i="4" s="1"/>
  <c r="M429" i="4" a="1"/>
  <c r="M429" i="4" s="1"/>
  <c r="M430" i="4" a="1"/>
  <c r="M430" i="4" s="1"/>
  <c r="M431" i="4" a="1"/>
  <c r="M431" i="4" s="1"/>
  <c r="M432" i="4" a="1"/>
  <c r="M432" i="4" s="1"/>
  <c r="M433" i="4" a="1"/>
  <c r="M433" i="4" s="1"/>
  <c r="M434" i="4" a="1"/>
  <c r="M434" i="4" s="1"/>
  <c r="M435" i="4" a="1"/>
  <c r="M435" i="4" s="1"/>
  <c r="M436" i="4" a="1"/>
  <c r="M436" i="4" s="1"/>
  <c r="M437" i="4" a="1"/>
  <c r="M437" i="4" s="1"/>
  <c r="M438" i="4" a="1"/>
  <c r="M438" i="4" s="1"/>
  <c r="M439" i="4" a="1"/>
  <c r="M439" i="4" s="1"/>
  <c r="M440" i="4" a="1"/>
  <c r="M440" i="4" s="1"/>
  <c r="M441" i="4" a="1"/>
  <c r="M441" i="4" s="1"/>
  <c r="M442" i="4" a="1"/>
  <c r="M442" i="4" s="1"/>
  <c r="M443" i="4" a="1"/>
  <c r="M443" i="4" s="1"/>
  <c r="M444" i="4" a="1"/>
  <c r="M444" i="4" s="1"/>
  <c r="M445" i="4" a="1"/>
  <c r="M445" i="4" s="1"/>
  <c r="M446" i="4" a="1"/>
  <c r="M446" i="4" s="1"/>
  <c r="M447" i="4" a="1"/>
  <c r="M447" i="4" s="1"/>
  <c r="M448" i="4" a="1"/>
  <c r="M448" i="4" s="1"/>
  <c r="M449" i="4" a="1"/>
  <c r="M449" i="4" s="1"/>
  <c r="M450" i="4" a="1"/>
  <c r="M450" i="4" s="1"/>
  <c r="M451" i="4" a="1"/>
  <c r="M451" i="4" s="1"/>
  <c r="M452" i="4" a="1"/>
  <c r="M452" i="4" s="1"/>
  <c r="M453" i="4" a="1"/>
  <c r="M453" i="4" s="1"/>
  <c r="M454" i="4" a="1"/>
  <c r="M454" i="4" s="1"/>
  <c r="M455" i="4" a="1"/>
  <c r="M455" i="4" s="1"/>
  <c r="M456" i="4" a="1"/>
  <c r="M456" i="4" s="1"/>
  <c r="M457" i="4" a="1"/>
  <c r="M457" i="4" s="1"/>
  <c r="M458" i="4" a="1"/>
  <c r="M458" i="4" s="1"/>
  <c r="M459" i="4" a="1"/>
  <c r="M459" i="4" s="1"/>
  <c r="M460" i="4" a="1"/>
  <c r="M460" i="4" s="1"/>
  <c r="M461" i="4" a="1"/>
  <c r="M461" i="4" s="1"/>
  <c r="M462" i="4" a="1"/>
  <c r="M462" i="4" s="1"/>
  <c r="M463" i="4" a="1"/>
  <c r="M463" i="4" s="1"/>
  <c r="M464" i="4" a="1"/>
  <c r="M464" i="4" s="1"/>
  <c r="M465" i="4" a="1"/>
  <c r="M465" i="4" s="1"/>
  <c r="M466" i="4" a="1"/>
  <c r="M466" i="4" s="1"/>
  <c r="M467" i="4" a="1"/>
  <c r="M467" i="4" s="1"/>
  <c r="M468" i="4" a="1"/>
  <c r="M468" i="4" s="1"/>
  <c r="M469" i="4" a="1"/>
  <c r="M469" i="4" s="1"/>
  <c r="M470" i="4" a="1"/>
  <c r="M470" i="4" s="1"/>
  <c r="M471" i="4" a="1"/>
  <c r="M471" i="4" s="1"/>
  <c r="M472" i="4" a="1"/>
  <c r="M472" i="4" s="1"/>
  <c r="M473" i="4" a="1"/>
  <c r="M473" i="4" s="1"/>
  <c r="M474" i="4" a="1"/>
  <c r="M474" i="4" s="1"/>
  <c r="M475" i="4" a="1"/>
  <c r="M475" i="4" s="1"/>
  <c r="M476" i="4" a="1"/>
  <c r="M476" i="4" s="1"/>
  <c r="M477" i="4" a="1"/>
  <c r="M477" i="4" s="1"/>
  <c r="M478" i="4" a="1"/>
  <c r="M478" i="4" s="1"/>
  <c r="M479" i="4" a="1"/>
  <c r="M479" i="4" s="1"/>
  <c r="M480" i="4" a="1"/>
  <c r="M480" i="4" s="1"/>
  <c r="M481" i="4" a="1"/>
  <c r="M481" i="4" s="1"/>
  <c r="M482" i="4" a="1"/>
  <c r="M482" i="4" s="1"/>
  <c r="M483" i="4" a="1"/>
  <c r="M483" i="4" s="1"/>
  <c r="M484" i="4" a="1"/>
  <c r="M484" i="4" s="1"/>
  <c r="M485" i="4" a="1"/>
  <c r="M485" i="4" s="1"/>
  <c r="M486" i="4" a="1"/>
  <c r="M486" i="4" s="1"/>
  <c r="M487" i="4" a="1"/>
  <c r="M487" i="4" s="1"/>
  <c r="M488" i="4" a="1"/>
  <c r="M488" i="4" s="1"/>
  <c r="M489" i="4" a="1"/>
  <c r="M489" i="4" s="1"/>
  <c r="M490" i="4" a="1"/>
  <c r="M490" i="4" s="1"/>
  <c r="M491" i="4" a="1"/>
  <c r="M491" i="4" s="1"/>
  <c r="M492" i="4" a="1"/>
  <c r="M492" i="4" s="1"/>
  <c r="M493" i="4" a="1"/>
  <c r="M493" i="4" s="1"/>
  <c r="M494" i="4" a="1"/>
  <c r="M494" i="4" s="1"/>
  <c r="M495" i="4" a="1"/>
  <c r="M495" i="4" s="1"/>
  <c r="M496" i="4" a="1"/>
  <c r="M496" i="4" s="1"/>
  <c r="M497" i="4" a="1"/>
  <c r="M497" i="4" s="1"/>
  <c r="M498" i="4" a="1"/>
  <c r="M498" i="4" s="1"/>
  <c r="M499" i="4" a="1"/>
  <c r="M499" i="4" s="1"/>
  <c r="M500" i="4" a="1"/>
  <c r="M500" i="4" s="1"/>
  <c r="M501" i="4" a="1"/>
  <c r="M501" i="4" s="1"/>
  <c r="M502" i="4" a="1"/>
  <c r="M502" i="4" s="1"/>
  <c r="M503" i="4" a="1"/>
  <c r="M503" i="4" s="1"/>
  <c r="M504" i="4" a="1"/>
  <c r="M504" i="4" s="1"/>
  <c r="M505" i="4" a="1"/>
  <c r="M505" i="4" s="1"/>
  <c r="M506" i="4" a="1"/>
  <c r="M506" i="4" s="1"/>
  <c r="M507" i="4" a="1"/>
  <c r="M507" i="4" s="1"/>
  <c r="M508" i="4" a="1"/>
  <c r="M508" i="4" s="1"/>
  <c r="M509" i="4" a="1"/>
  <c r="M509" i="4" s="1"/>
  <c r="M510" i="4" a="1"/>
  <c r="M510" i="4" s="1"/>
  <c r="M511" i="4" a="1"/>
  <c r="M511" i="4" s="1"/>
  <c r="M512" i="4" a="1"/>
  <c r="M512" i="4" s="1"/>
  <c r="M513" i="4" a="1"/>
  <c r="M513" i="4" s="1"/>
  <c r="M514" i="4" a="1"/>
  <c r="M514" i="4" s="1"/>
  <c r="M515" i="4" a="1"/>
  <c r="M515" i="4" s="1"/>
  <c r="M516" i="4" a="1"/>
  <c r="M516" i="4" s="1"/>
  <c r="M517" i="4" a="1"/>
  <c r="M517" i="4" s="1"/>
  <c r="M518" i="4" a="1"/>
  <c r="M518" i="4" s="1"/>
  <c r="M519" i="4" a="1"/>
  <c r="M519" i="4" s="1"/>
  <c r="M520" i="4" a="1"/>
  <c r="M520" i="4" s="1"/>
  <c r="M521" i="4" a="1"/>
  <c r="M521" i="4" s="1"/>
  <c r="M522" i="4" a="1"/>
  <c r="M522" i="4" s="1"/>
  <c r="M523" i="4" a="1"/>
  <c r="M523" i="4" s="1"/>
  <c r="M524" i="4" a="1"/>
  <c r="M524" i="4" s="1"/>
  <c r="M525" i="4" a="1"/>
  <c r="M525" i="4" s="1"/>
  <c r="M526" i="4" a="1"/>
  <c r="M526" i="4" s="1"/>
  <c r="M527" i="4" a="1"/>
  <c r="M527" i="4" s="1"/>
  <c r="M528" i="4" a="1"/>
  <c r="M528" i="4" s="1"/>
  <c r="M529" i="4" a="1"/>
  <c r="M529" i="4" s="1"/>
  <c r="M530" i="4" a="1"/>
  <c r="M530" i="4" s="1"/>
  <c r="M531" i="4" a="1"/>
  <c r="M531" i="4" s="1"/>
  <c r="M532" i="4" a="1"/>
  <c r="M532" i="4" s="1"/>
  <c r="M533" i="4" a="1"/>
  <c r="M533" i="4" s="1"/>
  <c r="M534" i="4" a="1"/>
  <c r="M534" i="4" s="1"/>
  <c r="M535" i="4" a="1"/>
  <c r="M535" i="4" s="1"/>
  <c r="M536" i="4" a="1"/>
  <c r="M536" i="4" s="1"/>
  <c r="M537" i="4" a="1"/>
  <c r="M537" i="4" s="1"/>
  <c r="M538" i="4" a="1"/>
  <c r="M538" i="4" s="1"/>
  <c r="M539" i="4" a="1"/>
  <c r="M539" i="4" s="1"/>
  <c r="M540" i="4" a="1"/>
  <c r="M540" i="4" s="1"/>
  <c r="M541" i="4" a="1"/>
  <c r="M541" i="4" s="1"/>
  <c r="M542" i="4" a="1"/>
  <c r="M542" i="4" s="1"/>
  <c r="M543" i="4" a="1"/>
  <c r="M543" i="4" s="1"/>
  <c r="M544" i="4" a="1"/>
  <c r="M544" i="4" s="1"/>
  <c r="M545" i="4" a="1"/>
  <c r="M545" i="4" s="1"/>
  <c r="M546" i="4" a="1"/>
  <c r="M546" i="4" s="1"/>
  <c r="M547" i="4" a="1"/>
  <c r="M547" i="4" s="1"/>
  <c r="M548" i="4" a="1"/>
  <c r="M548" i="4" s="1"/>
  <c r="M549" i="4" a="1"/>
  <c r="M549" i="4" s="1"/>
  <c r="M550" i="4" a="1"/>
  <c r="M550" i="4" s="1"/>
  <c r="M551" i="4" a="1"/>
  <c r="M551" i="4" s="1"/>
  <c r="M552" i="4" a="1"/>
  <c r="M552" i="4" s="1"/>
  <c r="M553" i="4" a="1"/>
  <c r="M553" i="4" s="1"/>
  <c r="M554" i="4" a="1"/>
  <c r="M554" i="4" s="1"/>
  <c r="M555" i="4" a="1"/>
  <c r="M555" i="4" s="1"/>
  <c r="M556" i="4" a="1"/>
  <c r="M556" i="4" s="1"/>
  <c r="M557" i="4" a="1"/>
  <c r="M557" i="4" s="1"/>
  <c r="M558" i="4" a="1"/>
  <c r="M558" i="4" s="1"/>
  <c r="M559" i="4" a="1"/>
  <c r="M559" i="4" s="1"/>
  <c r="M560" i="4" a="1"/>
  <c r="M560" i="4" s="1"/>
  <c r="M561" i="4" a="1"/>
  <c r="M561" i="4" s="1"/>
  <c r="M562" i="4" a="1"/>
  <c r="M562" i="4" s="1"/>
  <c r="M563" i="4" a="1"/>
  <c r="M563" i="4" s="1"/>
  <c r="M564" i="4" a="1"/>
  <c r="M564" i="4" s="1"/>
  <c r="M565" i="4" a="1"/>
  <c r="M565" i="4" s="1"/>
  <c r="M566" i="4" a="1"/>
  <c r="M566" i="4" s="1"/>
  <c r="M567" i="4" a="1"/>
  <c r="M567" i="4" s="1"/>
  <c r="M568" i="4" a="1"/>
  <c r="M568" i="4" s="1"/>
  <c r="M569" i="4" a="1"/>
  <c r="M569" i="4" s="1"/>
  <c r="M570" i="4" a="1"/>
  <c r="M570" i="4" s="1"/>
  <c r="M571" i="4" a="1"/>
  <c r="M571" i="4" s="1"/>
  <c r="M572" i="4" a="1"/>
  <c r="M572" i="4" s="1"/>
  <c r="M573" i="4" a="1"/>
  <c r="M573" i="4" s="1"/>
  <c r="M574" i="4" a="1"/>
  <c r="M574" i="4" s="1"/>
  <c r="M575" i="4" a="1"/>
  <c r="M575" i="4" s="1"/>
  <c r="M576" i="4" a="1"/>
  <c r="M576" i="4" s="1"/>
  <c r="M577" i="4" a="1"/>
  <c r="M577" i="4" s="1"/>
  <c r="M578" i="4" a="1"/>
  <c r="M578" i="4" s="1"/>
  <c r="M579" i="4" a="1"/>
  <c r="M579" i="4" s="1"/>
  <c r="M580" i="4" a="1"/>
  <c r="M580" i="4" s="1"/>
  <c r="M581" i="4" a="1"/>
  <c r="M581" i="4" s="1"/>
  <c r="M582" i="4" a="1"/>
  <c r="M582" i="4" s="1"/>
  <c r="M583" i="4" a="1"/>
  <c r="M583" i="4" s="1"/>
  <c r="M584" i="4" a="1"/>
  <c r="M584" i="4" s="1"/>
  <c r="M585" i="4" a="1"/>
  <c r="M585" i="4" s="1"/>
  <c r="M586" i="4" a="1"/>
  <c r="M586" i="4" s="1"/>
  <c r="M587" i="4" a="1"/>
  <c r="M587" i="4" s="1"/>
  <c r="M588" i="4" a="1"/>
  <c r="M588" i="4" s="1"/>
  <c r="M589" i="4" a="1"/>
  <c r="M589" i="4" s="1"/>
  <c r="M590" i="4" a="1"/>
  <c r="M590" i="4" s="1"/>
  <c r="M591" i="4" a="1"/>
  <c r="M591" i="4" s="1"/>
  <c r="M592" i="4" a="1"/>
  <c r="M592" i="4" s="1"/>
  <c r="M593" i="4" a="1"/>
  <c r="M593" i="4" s="1"/>
  <c r="M594" i="4" a="1"/>
  <c r="M594" i="4" s="1"/>
  <c r="M595" i="4" a="1"/>
  <c r="M595" i="4" s="1"/>
  <c r="M596" i="4" a="1"/>
  <c r="M596" i="4" s="1"/>
  <c r="M597" i="4" a="1"/>
  <c r="M597" i="4" s="1"/>
  <c r="M598" i="4" a="1"/>
  <c r="M598" i="4" s="1"/>
  <c r="M599" i="4" a="1"/>
  <c r="M599" i="4" s="1"/>
  <c r="M600" i="4" a="1"/>
  <c r="M600" i="4" s="1"/>
  <c r="M601" i="4" a="1"/>
  <c r="M601" i="4" s="1"/>
  <c r="M602" i="4" a="1"/>
  <c r="M602" i="4" s="1"/>
  <c r="M603" i="4" a="1"/>
  <c r="M603" i="4" s="1"/>
  <c r="M604" i="4" a="1"/>
  <c r="M604" i="4" s="1"/>
  <c r="M605" i="4" a="1"/>
  <c r="M605" i="4" s="1"/>
  <c r="M606" i="4" a="1"/>
  <c r="M606" i="4" s="1"/>
  <c r="M607" i="4" a="1"/>
  <c r="M607" i="4" s="1"/>
  <c r="M608" i="4" a="1"/>
  <c r="M608" i="4" s="1"/>
  <c r="M609" i="4" a="1"/>
  <c r="M609" i="4" s="1"/>
  <c r="M610" i="4" a="1"/>
  <c r="M610" i="4" s="1"/>
  <c r="M611" i="4" a="1"/>
  <c r="M611" i="4" s="1"/>
  <c r="M612" i="4" a="1"/>
  <c r="M612" i="4" s="1"/>
  <c r="M613" i="4" a="1"/>
  <c r="M613" i="4" s="1"/>
  <c r="M614" i="4" a="1"/>
  <c r="M614" i="4" s="1"/>
  <c r="M615" i="4" a="1"/>
  <c r="M615" i="4" s="1"/>
  <c r="M616" i="4" a="1"/>
  <c r="M616" i="4" s="1"/>
  <c r="M617" i="4" a="1"/>
  <c r="M617" i="4" s="1"/>
  <c r="M618" i="4" a="1"/>
  <c r="M618" i="4" s="1"/>
  <c r="M619" i="4" a="1"/>
  <c r="M619" i="4" s="1"/>
  <c r="M620" i="4" a="1"/>
  <c r="M620" i="4" s="1"/>
  <c r="M621" i="4" a="1"/>
  <c r="M621" i="4" s="1"/>
  <c r="M622" i="4" a="1"/>
  <c r="M622" i="4" s="1"/>
  <c r="M623" i="4" a="1"/>
  <c r="M623" i="4" s="1"/>
  <c r="M624" i="4" a="1"/>
  <c r="M624" i="4" s="1"/>
  <c r="M625" i="4" a="1"/>
  <c r="M625" i="4" s="1"/>
  <c r="M626" i="4" a="1"/>
  <c r="M626" i="4" s="1"/>
  <c r="M627" i="4" a="1"/>
  <c r="M627" i="4" s="1"/>
  <c r="M628" i="4" a="1"/>
  <c r="M628" i="4" s="1"/>
  <c r="M629" i="4" a="1"/>
  <c r="M629" i="4" s="1"/>
  <c r="M630" i="4" a="1"/>
  <c r="M630" i="4" s="1"/>
  <c r="M631" i="4" a="1"/>
  <c r="M631" i="4" s="1"/>
  <c r="M632" i="4" a="1"/>
  <c r="M632" i="4" s="1"/>
  <c r="M633" i="4" a="1"/>
  <c r="M633" i="4" s="1"/>
  <c r="M634" i="4" a="1"/>
  <c r="M634" i="4" s="1"/>
  <c r="M635" i="4" a="1"/>
  <c r="M635" i="4" s="1"/>
  <c r="M636" i="4" a="1"/>
  <c r="M636" i="4" s="1"/>
  <c r="M637" i="4" a="1"/>
  <c r="M637" i="4" s="1"/>
  <c r="M638" i="4" a="1"/>
  <c r="M638" i="4" s="1"/>
  <c r="M639" i="4" a="1"/>
  <c r="M639" i="4" s="1"/>
  <c r="M640" i="4" a="1"/>
  <c r="M640" i="4" s="1"/>
  <c r="M641" i="4" a="1"/>
  <c r="M641" i="4" s="1"/>
  <c r="M642" i="4" a="1"/>
  <c r="M642" i="4" s="1"/>
  <c r="M643" i="4" a="1"/>
  <c r="M643" i="4" s="1"/>
  <c r="M644" i="4" a="1"/>
  <c r="M644" i="4" s="1"/>
  <c r="M645" i="4" a="1"/>
  <c r="M645" i="4" s="1"/>
  <c r="M646" i="4" a="1"/>
  <c r="M646" i="4" s="1"/>
  <c r="M647" i="4" a="1"/>
  <c r="M647" i="4" s="1"/>
  <c r="M648" i="4" a="1"/>
  <c r="M648" i="4" s="1"/>
  <c r="M649" i="4" a="1"/>
  <c r="M649" i="4" s="1"/>
  <c r="M650" i="4" a="1"/>
  <c r="M650" i="4" s="1"/>
  <c r="M651" i="4" a="1"/>
  <c r="M651" i="4" s="1"/>
  <c r="M652" i="4" a="1"/>
  <c r="M652" i="4" s="1"/>
  <c r="M653" i="4" a="1"/>
  <c r="M653" i="4" s="1"/>
  <c r="M654" i="4" a="1"/>
  <c r="M654" i="4" s="1"/>
  <c r="M655" i="4" a="1"/>
  <c r="M655" i="4" s="1"/>
  <c r="M656" i="4" a="1"/>
  <c r="M656" i="4" s="1"/>
  <c r="M657" i="4" a="1"/>
  <c r="M657" i="4" s="1"/>
  <c r="M658" i="4" a="1"/>
  <c r="M658" i="4" s="1"/>
  <c r="M659" i="4" a="1"/>
  <c r="M659" i="4" s="1"/>
  <c r="M660" i="4" a="1"/>
  <c r="M660" i="4" s="1"/>
  <c r="M661" i="4" a="1"/>
  <c r="M661" i="4" s="1"/>
  <c r="M662" i="4" a="1"/>
  <c r="M662" i="4" s="1"/>
  <c r="M663" i="4" a="1"/>
  <c r="M663" i="4" s="1"/>
  <c r="M664" i="4" a="1"/>
  <c r="M664" i="4" s="1"/>
  <c r="M665" i="4" a="1"/>
  <c r="M665" i="4" s="1"/>
  <c r="M666" i="4" a="1"/>
  <c r="M666" i="4" s="1"/>
  <c r="M667" i="4" a="1"/>
  <c r="M667" i="4" s="1"/>
  <c r="M668" i="4" a="1"/>
  <c r="M668" i="4" s="1"/>
  <c r="M669" i="4" a="1"/>
  <c r="M669" i="4" s="1"/>
  <c r="M670" i="4" a="1"/>
  <c r="M670" i="4" s="1"/>
  <c r="M671" i="4" a="1"/>
  <c r="M671" i="4" s="1"/>
  <c r="M672" i="4" a="1"/>
  <c r="M672" i="4" s="1"/>
  <c r="M673" i="4" a="1"/>
  <c r="M673" i="4" s="1"/>
  <c r="M674" i="4" a="1"/>
  <c r="M674" i="4" s="1"/>
  <c r="M675" i="4" a="1"/>
  <c r="M675" i="4" s="1"/>
  <c r="M676" i="4" a="1"/>
  <c r="M676" i="4" s="1"/>
  <c r="M677" i="4" a="1"/>
  <c r="M677" i="4" s="1"/>
  <c r="M678" i="4" a="1"/>
  <c r="M678" i="4" s="1"/>
  <c r="M679" i="4" a="1"/>
  <c r="M679" i="4" s="1"/>
  <c r="M680" i="4" a="1"/>
  <c r="M680" i="4" s="1"/>
  <c r="M681" i="4" a="1"/>
  <c r="M681" i="4" s="1"/>
  <c r="M682" i="4" a="1"/>
  <c r="M682" i="4" s="1"/>
  <c r="M683" i="4" a="1"/>
  <c r="M683" i="4" s="1"/>
  <c r="M684" i="4" a="1"/>
  <c r="M684" i="4" s="1"/>
  <c r="M685" i="4" a="1"/>
  <c r="M685" i="4" s="1"/>
  <c r="M686" i="4" a="1"/>
  <c r="M686" i="4" s="1"/>
  <c r="M687" i="4" a="1"/>
  <c r="M687" i="4" s="1"/>
  <c r="M688" i="4" a="1"/>
  <c r="M688" i="4" s="1"/>
  <c r="M689" i="4" a="1"/>
  <c r="M689" i="4" s="1"/>
  <c r="M690" i="4" a="1"/>
  <c r="M690" i="4" s="1"/>
  <c r="M691" i="4" a="1"/>
  <c r="M691" i="4" s="1"/>
  <c r="M692" i="4" a="1"/>
  <c r="M692" i="4" s="1"/>
  <c r="M693" i="4" a="1"/>
  <c r="M693" i="4" s="1"/>
  <c r="M694" i="4" a="1"/>
  <c r="M694" i="4" s="1"/>
  <c r="M695" i="4" a="1"/>
  <c r="M695" i="4" s="1"/>
  <c r="M696" i="4" a="1"/>
  <c r="M696" i="4" s="1"/>
  <c r="M697" i="4" a="1"/>
  <c r="M697" i="4" s="1"/>
  <c r="M698" i="4" a="1"/>
  <c r="M698" i="4" s="1"/>
  <c r="M699" i="4" a="1"/>
  <c r="M699" i="4" s="1"/>
  <c r="M700" i="4" a="1"/>
  <c r="M700" i="4" s="1"/>
  <c r="M701" i="4" a="1"/>
  <c r="M701" i="4" s="1"/>
  <c r="M702" i="4" a="1"/>
  <c r="M702" i="4" s="1"/>
  <c r="M703" i="4" a="1"/>
  <c r="M703" i="4" s="1"/>
  <c r="M704" i="4" a="1"/>
  <c r="M704" i="4" s="1"/>
  <c r="M705" i="4" a="1"/>
  <c r="M705" i="4" s="1"/>
  <c r="M706" i="4" a="1"/>
  <c r="M706" i="4" s="1"/>
  <c r="M707" i="4" a="1"/>
  <c r="M707" i="4" s="1"/>
  <c r="M708" i="4" a="1"/>
  <c r="M708" i="4" s="1"/>
  <c r="M709" i="4" a="1"/>
  <c r="M709" i="4" s="1"/>
  <c r="M710" i="4" a="1"/>
  <c r="M710" i="4" s="1"/>
  <c r="M711" i="4" a="1"/>
  <c r="M711" i="4" s="1"/>
  <c r="M712" i="4" a="1"/>
  <c r="M712" i="4" s="1"/>
  <c r="M713" i="4" a="1"/>
  <c r="M713" i="4" s="1"/>
  <c r="M714" i="4" a="1"/>
  <c r="M714" i="4" s="1"/>
  <c r="M715" i="4" a="1"/>
  <c r="M715" i="4" s="1"/>
  <c r="M716" i="4" a="1"/>
  <c r="M716" i="4" s="1"/>
  <c r="M717" i="4" a="1"/>
  <c r="M717" i="4" s="1"/>
  <c r="M718" i="4" a="1"/>
  <c r="M718" i="4" s="1"/>
  <c r="M719" i="4" a="1"/>
  <c r="M719" i="4" s="1"/>
  <c r="M720" i="4" a="1"/>
  <c r="M720" i="4" s="1"/>
  <c r="M721" i="4" a="1"/>
  <c r="M721" i="4" s="1"/>
  <c r="M722" i="4" a="1"/>
  <c r="M722" i="4" s="1"/>
  <c r="M723" i="4" a="1"/>
  <c r="M723" i="4" s="1"/>
  <c r="M724" i="4" a="1"/>
  <c r="M724" i="4" s="1"/>
  <c r="M725" i="4" a="1"/>
  <c r="M725" i="4" s="1"/>
  <c r="M726" i="4" a="1"/>
  <c r="M726" i="4" s="1"/>
  <c r="M727" i="4" a="1"/>
  <c r="M727" i="4" s="1"/>
  <c r="M728" i="4" a="1"/>
  <c r="M728" i="4" s="1"/>
  <c r="M729" i="4" a="1"/>
  <c r="M729" i="4" s="1"/>
  <c r="M730" i="4" a="1"/>
  <c r="M730" i="4" s="1"/>
  <c r="M731" i="4" a="1"/>
  <c r="M731" i="4" s="1"/>
  <c r="M732" i="4" a="1"/>
  <c r="M732" i="4" s="1"/>
  <c r="M733" i="4" a="1"/>
  <c r="M733" i="4" s="1"/>
  <c r="M734" i="4" a="1"/>
  <c r="M734" i="4" s="1"/>
  <c r="M735" i="4" a="1"/>
  <c r="M735" i="4" s="1"/>
  <c r="M736" i="4" a="1"/>
  <c r="M736" i="4" s="1"/>
  <c r="M737" i="4" a="1"/>
  <c r="M737" i="4" s="1"/>
  <c r="M738" i="4" a="1"/>
  <c r="M738" i="4" s="1"/>
  <c r="M739" i="4" a="1"/>
  <c r="M739" i="4" s="1"/>
  <c r="M740" i="4" a="1"/>
  <c r="M740" i="4" s="1"/>
  <c r="M741" i="4" a="1"/>
  <c r="M741" i="4" s="1"/>
  <c r="M742" i="4" a="1"/>
  <c r="M742" i="4" s="1"/>
  <c r="M743" i="4" a="1"/>
  <c r="M743" i="4" s="1"/>
  <c r="M744" i="4" a="1"/>
  <c r="M744" i="4" s="1"/>
  <c r="M745" i="4" a="1"/>
  <c r="M745" i="4" s="1"/>
  <c r="M746" i="4" a="1"/>
  <c r="M746" i="4" s="1"/>
  <c r="M747" i="4" a="1"/>
  <c r="M747" i="4" s="1"/>
  <c r="M748" i="4" a="1"/>
  <c r="M748" i="4" s="1"/>
  <c r="M749" i="4" a="1"/>
  <c r="M749" i="4" s="1"/>
  <c r="M750" i="4" a="1"/>
  <c r="M750" i="4" s="1"/>
  <c r="M751" i="4" a="1"/>
  <c r="M751" i="4" s="1"/>
  <c r="M752" i="4" a="1"/>
  <c r="M752" i="4" s="1"/>
  <c r="M753" i="4" a="1"/>
  <c r="M753" i="4" s="1"/>
  <c r="M754" i="4" a="1"/>
  <c r="M754" i="4" s="1"/>
  <c r="M755" i="4" a="1"/>
  <c r="M755" i="4" s="1"/>
  <c r="M756" i="4" a="1"/>
  <c r="M756" i="4" s="1"/>
  <c r="M757" i="4" a="1"/>
  <c r="M757" i="4" s="1"/>
  <c r="M758" i="4" a="1"/>
  <c r="M758" i="4" s="1"/>
  <c r="M759" i="4" a="1"/>
  <c r="M759" i="4" s="1"/>
  <c r="M760" i="4" a="1"/>
  <c r="M760" i="4" s="1"/>
  <c r="M761" i="4" a="1"/>
  <c r="M761" i="4" s="1"/>
  <c r="M762" i="4" a="1"/>
  <c r="M762" i="4" s="1"/>
  <c r="M763" i="4" a="1"/>
  <c r="M763" i="4" s="1"/>
  <c r="M764" i="4" a="1"/>
  <c r="M764" i="4" s="1"/>
  <c r="M765" i="4" a="1"/>
  <c r="M765" i="4" s="1"/>
  <c r="M766" i="4" a="1"/>
  <c r="M766" i="4" s="1"/>
  <c r="M767" i="4" a="1"/>
  <c r="M767" i="4" s="1"/>
  <c r="M768" i="4" a="1"/>
  <c r="M768" i="4" s="1"/>
  <c r="M769" i="4" a="1"/>
  <c r="M769" i="4" s="1"/>
  <c r="M770" i="4" a="1"/>
  <c r="M770" i="4" s="1"/>
  <c r="M771" i="4" a="1"/>
  <c r="M771" i="4" s="1"/>
  <c r="M772" i="4" a="1"/>
  <c r="M772" i="4" s="1"/>
  <c r="M773" i="4" a="1"/>
  <c r="M773" i="4" s="1"/>
  <c r="M774" i="4" a="1"/>
  <c r="M774" i="4" s="1"/>
  <c r="M775" i="4" a="1"/>
  <c r="M775" i="4" s="1"/>
  <c r="M776" i="4" a="1"/>
  <c r="M776" i="4" s="1"/>
  <c r="M777" i="4" a="1"/>
  <c r="M777" i="4" s="1"/>
  <c r="M778" i="4" a="1"/>
  <c r="M778" i="4" s="1"/>
  <c r="M779" i="4" a="1"/>
  <c r="M779" i="4" s="1"/>
  <c r="M780" i="4" a="1"/>
  <c r="M780" i="4" s="1"/>
  <c r="M781" i="4" a="1"/>
  <c r="M781" i="4" s="1"/>
  <c r="M782" i="4" a="1"/>
  <c r="M782" i="4" s="1"/>
  <c r="M783" i="4" a="1"/>
  <c r="M783" i="4" s="1"/>
  <c r="M784" i="4" a="1"/>
  <c r="M784" i="4" s="1"/>
  <c r="M785" i="4" a="1"/>
  <c r="M785" i="4" s="1"/>
  <c r="M786" i="4" a="1"/>
  <c r="M786" i="4" s="1"/>
  <c r="M787" i="4" a="1"/>
  <c r="M787" i="4" s="1"/>
  <c r="M788" i="4" a="1"/>
  <c r="M788" i="4" s="1"/>
  <c r="M789" i="4" a="1"/>
  <c r="M789" i="4" s="1"/>
  <c r="M790" i="4" a="1"/>
  <c r="M790" i="4" s="1"/>
  <c r="M791" i="4" a="1"/>
  <c r="M791" i="4" s="1"/>
  <c r="M792" i="4" a="1"/>
  <c r="M792" i="4" s="1"/>
  <c r="M793" i="4" a="1"/>
  <c r="M793" i="4" s="1"/>
  <c r="M794" i="4" a="1"/>
  <c r="M794" i="4" s="1"/>
  <c r="M795" i="4" a="1"/>
  <c r="M795" i="4" s="1"/>
  <c r="M796" i="4" a="1"/>
  <c r="M796" i="4" s="1"/>
  <c r="M797" i="4" a="1"/>
  <c r="M797" i="4" s="1"/>
  <c r="M798" i="4" a="1"/>
  <c r="M798" i="4" s="1"/>
  <c r="M799" i="4" a="1"/>
  <c r="M799" i="4" s="1"/>
  <c r="M800" i="4" a="1"/>
  <c r="M800" i="4" s="1"/>
  <c r="M801" i="4" a="1"/>
  <c r="M801" i="4" s="1"/>
  <c r="M802" i="4" a="1"/>
  <c r="M802" i="4" s="1"/>
  <c r="M803" i="4" a="1"/>
  <c r="M803" i="4" s="1"/>
  <c r="M804" i="4" a="1"/>
  <c r="M804" i="4" s="1"/>
  <c r="M805" i="4" a="1"/>
  <c r="M805" i="4" s="1"/>
  <c r="M806" i="4" a="1"/>
  <c r="M806" i="4" s="1"/>
  <c r="M807" i="4" a="1"/>
  <c r="M807" i="4" s="1"/>
  <c r="M808" i="4" a="1"/>
  <c r="M808" i="4" s="1"/>
  <c r="M809" i="4" a="1"/>
  <c r="M809" i="4" s="1"/>
  <c r="M810" i="4" a="1"/>
  <c r="M810" i="4" s="1"/>
  <c r="M811" i="4" a="1"/>
  <c r="M811" i="4" s="1"/>
  <c r="M812" i="4" a="1"/>
  <c r="M812" i="4" s="1"/>
  <c r="M813" i="4" a="1"/>
  <c r="M813" i="4" s="1"/>
  <c r="M814" i="4" a="1"/>
  <c r="M814" i="4" s="1"/>
  <c r="M815" i="4" a="1"/>
  <c r="M815" i="4" s="1"/>
  <c r="M816" i="4" a="1"/>
  <c r="M816" i="4" s="1"/>
  <c r="M817" i="4" a="1"/>
  <c r="M817" i="4" s="1"/>
  <c r="M818" i="4" a="1"/>
  <c r="M818" i="4" s="1"/>
  <c r="M819" i="4" a="1"/>
  <c r="M819" i="4" s="1"/>
  <c r="M820" i="4" a="1"/>
  <c r="M820" i="4" s="1"/>
  <c r="M821" i="4" a="1"/>
  <c r="M821" i="4" s="1"/>
  <c r="M822" i="4" a="1"/>
  <c r="M822" i="4" s="1"/>
  <c r="M823" i="4" a="1"/>
  <c r="M823" i="4" s="1"/>
  <c r="M824" i="4" a="1"/>
  <c r="M824" i="4" s="1"/>
  <c r="M825" i="4" a="1"/>
  <c r="M825" i="4" s="1"/>
  <c r="M826" i="4" a="1"/>
  <c r="M826" i="4" s="1"/>
  <c r="M827" i="4" a="1"/>
  <c r="M827" i="4" s="1"/>
  <c r="M828" i="4" a="1"/>
  <c r="M828" i="4" s="1"/>
  <c r="M829" i="4" a="1"/>
  <c r="M829" i="4" s="1"/>
  <c r="M830" i="4" a="1"/>
  <c r="M830" i="4" s="1"/>
  <c r="M831" i="4" a="1"/>
  <c r="M831" i="4" s="1"/>
  <c r="M832" i="4" a="1"/>
  <c r="M832" i="4" s="1"/>
  <c r="M833" i="4" a="1"/>
  <c r="M833" i="4" s="1"/>
  <c r="M834" i="4" a="1"/>
  <c r="M834" i="4" s="1"/>
  <c r="M835" i="4" a="1"/>
  <c r="M835" i="4" s="1"/>
  <c r="M836" i="4" a="1"/>
  <c r="M836" i="4" s="1"/>
  <c r="M837" i="4" a="1"/>
  <c r="M837" i="4" s="1"/>
  <c r="M838" i="4" a="1"/>
  <c r="M838" i="4" s="1"/>
  <c r="M839" i="4" a="1"/>
  <c r="M839" i="4" s="1"/>
  <c r="M840" i="4" a="1"/>
  <c r="M840" i="4" s="1"/>
  <c r="M841" i="4" a="1"/>
  <c r="M841" i="4" s="1"/>
  <c r="M842" i="4" a="1"/>
  <c r="M842" i="4" s="1"/>
  <c r="M843" i="4" a="1"/>
  <c r="M843" i="4" s="1"/>
  <c r="M844" i="4" a="1"/>
  <c r="M844" i="4" s="1"/>
  <c r="M845" i="4" a="1"/>
  <c r="M845" i="4" s="1"/>
  <c r="M846" i="4" a="1"/>
  <c r="M846" i="4" s="1"/>
  <c r="M847" i="4" a="1"/>
  <c r="M847" i="4" s="1"/>
  <c r="M848" i="4" a="1"/>
  <c r="M848" i="4" s="1"/>
  <c r="M849" i="4" a="1"/>
  <c r="M849" i="4" s="1"/>
  <c r="M850" i="4" a="1"/>
  <c r="M850" i="4" s="1"/>
  <c r="M851" i="4" a="1"/>
  <c r="M851" i="4" s="1"/>
  <c r="M852" i="4" a="1"/>
  <c r="M852" i="4" s="1"/>
  <c r="M853" i="4" a="1"/>
  <c r="M853" i="4" s="1"/>
  <c r="M854" i="4" a="1"/>
  <c r="M854" i="4" s="1"/>
  <c r="M855" i="4" a="1"/>
  <c r="M855" i="4" s="1"/>
  <c r="M856" i="4" a="1"/>
  <c r="M856" i="4" s="1"/>
  <c r="M857" i="4" a="1"/>
  <c r="M857" i="4" s="1"/>
  <c r="M858" i="4" a="1"/>
  <c r="M858" i="4" s="1"/>
  <c r="M859" i="4" a="1"/>
  <c r="M859" i="4" s="1"/>
  <c r="M860" i="4" a="1"/>
  <c r="M860" i="4" s="1"/>
  <c r="M861" i="4" a="1"/>
  <c r="M861" i="4" s="1"/>
  <c r="M862" i="4" a="1"/>
  <c r="M862" i="4" s="1"/>
  <c r="M863" i="4" a="1"/>
  <c r="M863" i="4" s="1"/>
  <c r="M864" i="4" a="1"/>
  <c r="M864" i="4" s="1"/>
  <c r="M865" i="4" a="1"/>
  <c r="M865" i="4" s="1"/>
  <c r="M866" i="4" a="1"/>
  <c r="M866" i="4" s="1"/>
  <c r="M867" i="4" a="1"/>
  <c r="M867" i="4" s="1"/>
  <c r="M868" i="4" a="1"/>
  <c r="M868" i="4" s="1"/>
  <c r="M869" i="4" a="1"/>
  <c r="M869" i="4" s="1"/>
  <c r="M870" i="4" a="1"/>
  <c r="M870" i="4" s="1"/>
  <c r="M871" i="4" a="1"/>
  <c r="M871" i="4" s="1"/>
  <c r="M872" i="4" a="1"/>
  <c r="M872" i="4" s="1"/>
  <c r="M873" i="4" a="1"/>
  <c r="M873" i="4" s="1"/>
  <c r="M874" i="4" a="1"/>
  <c r="M874" i="4" s="1"/>
  <c r="M875" i="4" a="1"/>
  <c r="M875" i="4" s="1"/>
  <c r="M876" i="4" a="1"/>
  <c r="M876" i="4" s="1"/>
  <c r="M877" i="4" a="1"/>
  <c r="M877" i="4" s="1"/>
  <c r="M878" i="4" a="1"/>
  <c r="M878" i="4" s="1"/>
  <c r="M879" i="4" a="1"/>
  <c r="M879" i="4" s="1"/>
  <c r="M880" i="4" a="1"/>
  <c r="M880" i="4" s="1"/>
  <c r="M881" i="4" a="1"/>
  <c r="M881" i="4" s="1"/>
  <c r="M882" i="4" a="1"/>
  <c r="M882" i="4" s="1"/>
  <c r="M883" i="4" a="1"/>
  <c r="M883" i="4" s="1"/>
  <c r="M884" i="4" a="1"/>
  <c r="M884" i="4" s="1"/>
  <c r="M885" i="4" a="1"/>
  <c r="M885" i="4" s="1"/>
  <c r="M886" i="4" a="1"/>
  <c r="M886" i="4" s="1"/>
  <c r="M887" i="4" a="1"/>
  <c r="M887" i="4" s="1"/>
  <c r="M888" i="4" a="1"/>
  <c r="M888" i="4" s="1"/>
  <c r="M889" i="4" a="1"/>
  <c r="M889" i="4" s="1"/>
  <c r="M890" i="4" a="1"/>
  <c r="M890" i="4" s="1"/>
  <c r="M891" i="4" a="1"/>
  <c r="M891" i="4" s="1"/>
  <c r="M892" i="4" a="1"/>
  <c r="M892" i="4" s="1"/>
  <c r="M893" i="4" a="1"/>
  <c r="M893" i="4" s="1"/>
  <c r="M894" i="4" a="1"/>
  <c r="M894" i="4" s="1"/>
  <c r="M895" i="4" a="1"/>
  <c r="M895" i="4" s="1"/>
  <c r="M896" i="4" a="1"/>
  <c r="M896" i="4" s="1"/>
  <c r="M897" i="4" a="1"/>
  <c r="M897" i="4" s="1"/>
  <c r="M898" i="4" a="1"/>
  <c r="M898" i="4" s="1"/>
  <c r="M899" i="4" a="1"/>
  <c r="M899" i="4" s="1"/>
  <c r="M900" i="4" a="1"/>
  <c r="M900" i="4" s="1"/>
  <c r="M901" i="4" a="1"/>
  <c r="M901" i="4" s="1"/>
  <c r="M902" i="4" a="1"/>
  <c r="M902" i="4" s="1"/>
  <c r="M903" i="4" a="1"/>
  <c r="M903" i="4" s="1"/>
  <c r="M904" i="4" a="1"/>
  <c r="M904" i="4" s="1"/>
  <c r="M905" i="4" a="1"/>
  <c r="M905" i="4" s="1"/>
  <c r="M906" i="4" a="1"/>
  <c r="M906" i="4" s="1"/>
  <c r="M907" i="4" a="1"/>
  <c r="M907" i="4" s="1"/>
  <c r="M908" i="4" a="1"/>
  <c r="M908" i="4" s="1"/>
  <c r="M909" i="4" a="1"/>
  <c r="M909" i="4" s="1"/>
  <c r="M910" i="4" a="1"/>
  <c r="M910" i="4" s="1"/>
  <c r="M911" i="4" a="1"/>
  <c r="M911" i="4" s="1"/>
  <c r="M912" i="4" a="1"/>
  <c r="M912" i="4" s="1"/>
  <c r="M913" i="4" a="1"/>
  <c r="M913" i="4" s="1"/>
  <c r="M914" i="4" a="1"/>
  <c r="M914" i="4" s="1"/>
  <c r="M915" i="4" a="1"/>
  <c r="M915" i="4" s="1"/>
  <c r="M916" i="4" a="1"/>
  <c r="M916" i="4" s="1"/>
  <c r="M917" i="4" a="1"/>
  <c r="M917" i="4" s="1"/>
  <c r="M918" i="4" a="1"/>
  <c r="M918" i="4" s="1"/>
  <c r="M919" i="4" a="1"/>
  <c r="M919" i="4" s="1"/>
  <c r="M920" i="4" a="1"/>
  <c r="M920" i="4" s="1"/>
  <c r="M921" i="4" a="1"/>
  <c r="M921" i="4" s="1"/>
  <c r="M922" i="4" a="1"/>
  <c r="M922" i="4" s="1"/>
  <c r="M923" i="4" a="1"/>
  <c r="M923" i="4" s="1"/>
  <c r="M924" i="4" a="1"/>
  <c r="M924" i="4" s="1"/>
  <c r="M925" i="4" a="1"/>
  <c r="M925" i="4" s="1"/>
  <c r="M926" i="4" a="1"/>
  <c r="M926" i="4" s="1"/>
  <c r="M927" i="4" a="1"/>
  <c r="M927" i="4" s="1"/>
  <c r="M928" i="4" a="1"/>
  <c r="M928" i="4" s="1"/>
  <c r="M929" i="4" a="1"/>
  <c r="M929" i="4" s="1"/>
  <c r="M930" i="4" a="1"/>
  <c r="M930" i="4" s="1"/>
  <c r="M931" i="4" a="1"/>
  <c r="M931" i="4" s="1"/>
  <c r="M932" i="4" a="1"/>
  <c r="M932" i="4" s="1"/>
  <c r="M933" i="4" a="1"/>
  <c r="M933" i="4" s="1"/>
  <c r="M934" i="4" a="1"/>
  <c r="M934" i="4" s="1"/>
  <c r="M935" i="4" a="1"/>
  <c r="M935" i="4" s="1"/>
  <c r="M936" i="4" a="1"/>
  <c r="M936" i="4" s="1"/>
  <c r="M937" i="4" a="1"/>
  <c r="M937" i="4" s="1"/>
  <c r="M938" i="4" a="1"/>
  <c r="M938" i="4" s="1"/>
  <c r="M939" i="4" a="1"/>
  <c r="M939" i="4" s="1"/>
  <c r="M940" i="4" a="1"/>
  <c r="M940" i="4" s="1"/>
  <c r="M941" i="4" a="1"/>
  <c r="M941" i="4" s="1"/>
  <c r="M942" i="4" a="1"/>
  <c r="M942" i="4" s="1"/>
  <c r="M943" i="4" a="1"/>
  <c r="M943" i="4" s="1"/>
  <c r="M944" i="4" a="1"/>
  <c r="M944" i="4" s="1"/>
  <c r="M945" i="4" a="1"/>
  <c r="M945" i="4" s="1"/>
  <c r="M946" i="4" a="1"/>
  <c r="M946" i="4" s="1"/>
  <c r="M947" i="4" a="1"/>
  <c r="M947" i="4" s="1"/>
  <c r="M948" i="4" a="1"/>
  <c r="M948" i="4" s="1"/>
  <c r="M949" i="4" a="1"/>
  <c r="M949" i="4" s="1"/>
  <c r="M950" i="4" a="1"/>
  <c r="M950" i="4" s="1"/>
  <c r="M951" i="4" a="1"/>
  <c r="M951" i="4" s="1"/>
  <c r="M952" i="4" a="1"/>
  <c r="M952" i="4" s="1"/>
  <c r="M953" i="4" a="1"/>
  <c r="M953" i="4" s="1"/>
  <c r="M954" i="4" a="1"/>
  <c r="M954" i="4" s="1"/>
  <c r="M955" i="4" a="1"/>
  <c r="M955" i="4" s="1"/>
  <c r="M956" i="4" a="1"/>
  <c r="M956" i="4" s="1"/>
  <c r="M957" i="4" a="1"/>
  <c r="M957" i="4" s="1"/>
  <c r="M958" i="4" a="1"/>
  <c r="M958" i="4" s="1"/>
  <c r="M959" i="4" a="1"/>
  <c r="M959" i="4" s="1"/>
  <c r="M960" i="4" a="1"/>
  <c r="M960" i="4" s="1"/>
  <c r="M961" i="4" a="1"/>
  <c r="M961" i="4" s="1"/>
  <c r="M962" i="4" a="1"/>
  <c r="M962" i="4" s="1"/>
  <c r="M963" i="4" a="1"/>
  <c r="M963" i="4" s="1"/>
  <c r="M964" i="4" a="1"/>
  <c r="M964" i="4" s="1"/>
  <c r="M965" i="4" a="1"/>
  <c r="M965" i="4" s="1"/>
  <c r="M966" i="4" a="1"/>
  <c r="M966" i="4" s="1"/>
  <c r="M967" i="4" a="1"/>
  <c r="M967" i="4" s="1"/>
  <c r="M968" i="4" a="1"/>
  <c r="M968" i="4" s="1"/>
  <c r="M969" i="4" a="1"/>
  <c r="M969" i="4" s="1"/>
  <c r="M970" i="4" a="1"/>
  <c r="M970" i="4" s="1"/>
  <c r="M971" i="4" a="1"/>
  <c r="M971" i="4" s="1"/>
  <c r="M972" i="4" a="1"/>
  <c r="M972" i="4" s="1"/>
  <c r="M973" i="4" a="1"/>
  <c r="M973" i="4" s="1"/>
  <c r="M974" i="4" a="1"/>
  <c r="M974" i="4" s="1"/>
  <c r="M975" i="4" a="1"/>
  <c r="M975" i="4" s="1"/>
  <c r="M976" i="4" a="1"/>
  <c r="M976" i="4" s="1"/>
  <c r="M977" i="4" a="1"/>
  <c r="M977" i="4" s="1"/>
  <c r="M978" i="4" a="1"/>
  <c r="M978" i="4" s="1"/>
  <c r="M979" i="4" a="1"/>
  <c r="M979" i="4" s="1"/>
  <c r="M980" i="4" a="1"/>
  <c r="M980" i="4" s="1"/>
  <c r="M981" i="4" a="1"/>
  <c r="M981" i="4" s="1"/>
  <c r="M982" i="4" a="1"/>
  <c r="M982" i="4" s="1"/>
  <c r="M983" i="4" a="1"/>
  <c r="M983" i="4" s="1"/>
  <c r="M984" i="4" a="1"/>
  <c r="M984" i="4" s="1"/>
  <c r="M985" i="4" a="1"/>
  <c r="M985" i="4" s="1"/>
  <c r="M986" i="4" a="1"/>
  <c r="M986" i="4" s="1"/>
  <c r="M987" i="4" a="1"/>
  <c r="M987" i="4" s="1"/>
  <c r="M988" i="4" a="1"/>
  <c r="M988" i="4" s="1"/>
  <c r="M989" i="4" a="1"/>
  <c r="M989" i="4" s="1"/>
  <c r="M990" i="4" a="1"/>
  <c r="M990" i="4" s="1"/>
  <c r="M991" i="4" a="1"/>
  <c r="M991" i="4" s="1"/>
  <c r="M992" i="4" a="1"/>
  <c r="M992" i="4" s="1"/>
  <c r="M993" i="4" a="1"/>
  <c r="M993" i="4" s="1"/>
  <c r="M994" i="4" a="1"/>
  <c r="M994" i="4" s="1"/>
  <c r="M995" i="4" a="1"/>
  <c r="M995" i="4" s="1"/>
  <c r="M996" i="4" a="1"/>
  <c r="M996" i="4" s="1"/>
  <c r="M997" i="4" a="1"/>
  <c r="M997" i="4" s="1"/>
  <c r="M998" i="4" a="1"/>
  <c r="M998" i="4" s="1"/>
  <c r="M999" i="4" a="1"/>
  <c r="M999" i="4" s="1"/>
  <c r="M1000" i="4" a="1"/>
  <c r="M1000" i="4" s="1"/>
  <c r="M1001" i="4" a="1"/>
  <c r="M1001" i="4" s="1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I1005" i="3"/>
  <c r="I1004" i="3"/>
  <c r="I1003" i="3"/>
  <c r="I1002" i="3"/>
  <c r="I1006" i="3" s="1"/>
  <c r="I326" i="2"/>
  <c r="I171" i="2"/>
  <c r="I666" i="2"/>
  <c r="I391" i="2"/>
  <c r="I253" i="2"/>
  <c r="I561" i="2"/>
  <c r="I578" i="2"/>
  <c r="I254" i="2"/>
  <c r="I954" i="2"/>
  <c r="I719" i="2"/>
  <c r="I112" i="2"/>
  <c r="I354" i="2"/>
  <c r="I85" i="2"/>
  <c r="I971" i="2"/>
  <c r="I489" i="2"/>
  <c r="I23" i="2"/>
  <c r="I193" i="2"/>
  <c r="I603" i="2"/>
  <c r="I927" i="2"/>
  <c r="I86" i="2"/>
  <c r="I667" i="2"/>
  <c r="I2" i="2"/>
  <c r="I355" i="2"/>
  <c r="I647" i="2"/>
  <c r="I972" i="2"/>
  <c r="I216" i="2"/>
  <c r="I407" i="2"/>
  <c r="I515" i="2"/>
  <c r="I490" i="2"/>
  <c r="I426" i="2"/>
  <c r="I546" i="2"/>
  <c r="I255" i="2"/>
  <c r="I668" i="2"/>
  <c r="I689" i="2"/>
  <c r="I856" i="2"/>
  <c r="I720" i="2"/>
  <c r="I3" i="2"/>
  <c r="I408" i="2"/>
  <c r="I113" i="2"/>
  <c r="I562" i="2"/>
  <c r="I327" i="2"/>
  <c r="I87" i="2"/>
  <c r="I629" i="2"/>
  <c r="I88" i="2"/>
  <c r="I786" i="2"/>
  <c r="I44" i="2"/>
  <c r="I444" i="2"/>
  <c r="I758" i="2"/>
  <c r="I759" i="2"/>
  <c r="I194" i="2"/>
  <c r="I195" i="2"/>
  <c r="I376" i="2"/>
  <c r="I328" i="2"/>
  <c r="I409" i="2"/>
  <c r="I275" i="2"/>
  <c r="I172" i="2"/>
  <c r="I955" i="2"/>
  <c r="I4" i="2"/>
  <c r="I928" i="2"/>
  <c r="I256" i="2"/>
  <c r="I65" i="2"/>
  <c r="I5" i="2"/>
  <c r="I826" i="2"/>
  <c r="I648" i="2"/>
  <c r="I690" i="2"/>
  <c r="I563" i="2"/>
  <c r="I630" i="2"/>
  <c r="I151" i="2"/>
  <c r="I807" i="2"/>
  <c r="I516" i="2"/>
  <c r="I691" i="2"/>
  <c r="I45" i="2"/>
  <c r="I237" i="2"/>
  <c r="I6" i="2"/>
  <c r="I909" i="2"/>
  <c r="I89" i="2"/>
  <c r="I604" i="2"/>
  <c r="I605" i="2"/>
  <c r="I329" i="2"/>
  <c r="I973" i="2"/>
  <c r="I445" i="2"/>
  <c r="I297" i="2"/>
  <c r="I760" i="2"/>
  <c r="I410" i="2"/>
  <c r="I276" i="2"/>
  <c r="I24" i="2"/>
  <c r="I217" i="2"/>
  <c r="I808" i="2"/>
  <c r="I787" i="2"/>
  <c r="I692" i="2"/>
  <c r="I788" i="2"/>
  <c r="I693" i="2"/>
  <c r="I356" i="2"/>
  <c r="I606" i="2"/>
  <c r="I298" i="2"/>
  <c r="I547" i="2"/>
  <c r="I694" i="2"/>
  <c r="I789" i="2"/>
  <c r="I669" i="2"/>
  <c r="I468" i="2"/>
  <c r="I299" i="2"/>
  <c r="I607" i="2"/>
  <c r="I870" i="2"/>
  <c r="I330" i="2"/>
  <c r="I90" i="2"/>
  <c r="I579" i="2"/>
  <c r="I66" i="2"/>
  <c r="I196" i="2"/>
  <c r="I331" i="2"/>
  <c r="I197" i="2"/>
  <c r="I332" i="2"/>
  <c r="I392" i="2"/>
  <c r="I469" i="2"/>
  <c r="I91" i="2"/>
  <c r="I695" i="2"/>
  <c r="I114" i="2"/>
  <c r="I25" i="2"/>
  <c r="I257" i="2"/>
  <c r="I887" i="2"/>
  <c r="I888" i="2"/>
  <c r="I218" i="2"/>
  <c r="I974" i="2"/>
  <c r="I446" i="2"/>
  <c r="I316" i="2"/>
  <c r="I631" i="2"/>
  <c r="I219" i="2"/>
  <c r="I317" i="2"/>
  <c r="I152" i="2"/>
  <c r="I67" i="2"/>
  <c r="I827" i="2"/>
  <c r="I68" i="2"/>
  <c r="I491" i="2"/>
  <c r="I46" i="2"/>
  <c r="I649" i="2"/>
  <c r="I47" i="2"/>
  <c r="I548" i="2"/>
  <c r="I580" i="2"/>
  <c r="I650" i="2"/>
  <c r="I377" i="2"/>
  <c r="I411" i="2"/>
  <c r="I92" i="2"/>
  <c r="I357" i="2"/>
  <c r="I564" i="2"/>
  <c r="I871" i="2"/>
  <c r="I427" i="2"/>
  <c r="I412" i="2"/>
  <c r="I115" i="2"/>
  <c r="I7" i="2"/>
  <c r="I93" i="2"/>
  <c r="I857" i="2"/>
  <c r="I238" i="2"/>
  <c r="I517" i="2"/>
  <c r="I956" i="2"/>
  <c r="I696" i="2"/>
  <c r="I277" i="2"/>
  <c r="I518" i="2"/>
  <c r="I929" i="2"/>
  <c r="I549" i="2"/>
  <c r="I173" i="2"/>
  <c r="I519" i="2"/>
  <c r="I975" i="2"/>
  <c r="I428" i="2"/>
  <c r="I976" i="2"/>
  <c r="I608" i="2"/>
  <c r="I889" i="2"/>
  <c r="I333" i="2"/>
  <c r="I520" i="2"/>
  <c r="I741" i="2"/>
  <c r="I8" i="2"/>
  <c r="I153" i="2"/>
  <c r="I721" i="2"/>
  <c r="I300" i="2"/>
  <c r="I977" i="2"/>
  <c r="I429" i="2"/>
  <c r="I278" i="2"/>
  <c r="I521" i="2"/>
  <c r="I565" i="2"/>
  <c r="I447" i="2"/>
  <c r="I279" i="2"/>
  <c r="I470" i="2"/>
  <c r="I26" i="2"/>
  <c r="I930" i="2"/>
  <c r="I522" i="2"/>
  <c r="I280" i="2"/>
  <c r="I136" i="2"/>
  <c r="I48" i="2"/>
  <c r="I978" i="2"/>
  <c r="I448" i="2"/>
  <c r="I957" i="2"/>
  <c r="I890" i="2"/>
  <c r="I979" i="2"/>
  <c r="I931" i="2"/>
  <c r="I358" i="2"/>
  <c r="I790" i="2"/>
  <c r="I722" i="2"/>
  <c r="I301" i="2"/>
  <c r="I492" i="2"/>
  <c r="I761" i="2"/>
  <c r="I566" i="2"/>
  <c r="I198" i="2"/>
  <c r="I809" i="2"/>
  <c r="I334" i="2"/>
  <c r="I810" i="2"/>
  <c r="I430" i="2"/>
  <c r="I523" i="2"/>
  <c r="I910" i="2"/>
  <c r="I493" i="2"/>
  <c r="I335" i="2"/>
  <c r="I258" i="2"/>
  <c r="I393" i="2"/>
  <c r="I494" i="2"/>
  <c r="I69" i="2"/>
  <c r="I199" i="2"/>
  <c r="I49" i="2"/>
  <c r="I858" i="2"/>
  <c r="I932" i="2"/>
  <c r="I359" i="2"/>
  <c r="I980" i="2"/>
  <c r="I742" i="2"/>
  <c r="I981" i="2"/>
  <c r="I431" i="2"/>
  <c r="I697" i="2"/>
  <c r="I982" i="2"/>
  <c r="I154" i="2"/>
  <c r="I828" i="2"/>
  <c r="I911" i="2"/>
  <c r="I378" i="2"/>
  <c r="I872" i="2"/>
  <c r="I859" i="2"/>
  <c r="I762" i="2"/>
  <c r="I116" i="2"/>
  <c r="I524" i="2"/>
  <c r="I698" i="2"/>
  <c r="I933" i="2"/>
  <c r="I117" i="2"/>
  <c r="I763" i="2"/>
  <c r="I670" i="2"/>
  <c r="I432" i="2"/>
  <c r="I413" i="2"/>
  <c r="I118" i="2"/>
  <c r="I119" i="2"/>
  <c r="I70" i="2"/>
  <c r="I609" i="2"/>
  <c r="I220" i="2"/>
  <c r="I610" i="2"/>
  <c r="I632" i="2"/>
  <c r="I471" i="2"/>
  <c r="I174" i="2"/>
  <c r="I50" i="2"/>
  <c r="I633" i="2"/>
  <c r="I829" i="2"/>
  <c r="I764" i="2"/>
  <c r="I743" i="2"/>
  <c r="I472" i="2"/>
  <c r="I634" i="2"/>
  <c r="I120" i="2"/>
  <c r="I27" i="2"/>
  <c r="I394" i="2"/>
  <c r="I567" i="2"/>
  <c r="I221" i="2"/>
  <c r="I71" i="2"/>
  <c r="I302" i="2"/>
  <c r="I121" i="2"/>
  <c r="I611" i="2"/>
  <c r="I791" i="2"/>
  <c r="I28" i="2"/>
  <c r="I303" i="2"/>
  <c r="I222" i="2"/>
  <c r="I155" i="2"/>
  <c r="I525" i="2"/>
  <c r="I934" i="2"/>
  <c r="I912" i="2"/>
  <c r="I94" i="2"/>
  <c r="I122" i="2"/>
  <c r="I526" i="2"/>
  <c r="I72" i="2"/>
  <c r="I379" i="2"/>
  <c r="I395" i="2"/>
  <c r="I671" i="2"/>
  <c r="I396" i="2"/>
  <c r="I239" i="2"/>
  <c r="I983" i="2"/>
  <c r="I9" i="2"/>
  <c r="I527" i="2"/>
  <c r="I281" i="2"/>
  <c r="I792" i="2"/>
  <c r="I765" i="2"/>
  <c r="I223" i="2"/>
  <c r="I744" i="2"/>
  <c r="I259" i="2"/>
  <c r="I891" i="2"/>
  <c r="I51" i="2"/>
  <c r="I672" i="2"/>
  <c r="I123" i="2"/>
  <c r="I200" i="2"/>
  <c r="I95" i="2"/>
  <c r="I449" i="2"/>
  <c r="I201" i="2"/>
  <c r="I913" i="2"/>
  <c r="I29" i="2"/>
  <c r="I260" i="2"/>
  <c r="I830" i="2"/>
  <c r="I30" i="2"/>
  <c r="I397" i="2"/>
  <c r="I10" i="2"/>
  <c r="I766" i="2"/>
  <c r="I175" i="2"/>
  <c r="I336" i="2"/>
  <c r="I176" i="2"/>
  <c r="I224" i="2"/>
  <c r="I304" i="2"/>
  <c r="I473" i="2"/>
  <c r="I793" i="2"/>
  <c r="I723" i="2"/>
  <c r="I612" i="2"/>
  <c r="I635" i="2"/>
  <c r="I96" i="2"/>
  <c r="I914" i="2"/>
  <c r="I282" i="2"/>
  <c r="I225" i="2"/>
  <c r="I177" i="2"/>
  <c r="I699" i="2"/>
  <c r="I240" i="2"/>
  <c r="I724" i="2"/>
  <c r="I725" i="2"/>
  <c r="I11" i="2"/>
  <c r="I831" i="2"/>
  <c r="I433" i="2"/>
  <c r="I581" i="2"/>
  <c r="I156" i="2"/>
  <c r="I226" i="2"/>
  <c r="I860" i="2"/>
  <c r="I767" i="2"/>
  <c r="I283" i="2"/>
  <c r="I613" i="2"/>
  <c r="I726" i="2"/>
  <c r="I414" i="2"/>
  <c r="I768" i="2"/>
  <c r="I97" i="2"/>
  <c r="I380" i="2"/>
  <c r="I284" i="2"/>
  <c r="I528" i="2"/>
  <c r="I73" i="2"/>
  <c r="I495" i="2"/>
  <c r="I935" i="2"/>
  <c r="I873" i="2"/>
  <c r="I496" i="2"/>
  <c r="I360" i="2"/>
  <c r="I832" i="2"/>
  <c r="I157" i="2"/>
  <c r="I811" i="2"/>
  <c r="I833" i="2"/>
  <c r="I285" i="2"/>
  <c r="I651" i="2"/>
  <c r="I794" i="2"/>
  <c r="I673" i="2"/>
  <c r="I450" i="2"/>
  <c r="I305" i="2"/>
  <c r="I674" i="2"/>
  <c r="I497" i="2"/>
  <c r="I337" i="2"/>
  <c r="I675" i="2"/>
  <c r="I984" i="2"/>
  <c r="I31" i="2"/>
  <c r="I286" i="2"/>
  <c r="I834" i="2"/>
  <c r="I835" i="2"/>
  <c r="I812" i="2"/>
  <c r="I124" i="2"/>
  <c r="I125" i="2"/>
  <c r="I52" i="2"/>
  <c r="I137" i="2"/>
  <c r="I158" i="2"/>
  <c r="I874" i="2"/>
  <c r="I306" i="2"/>
  <c r="I985" i="2"/>
  <c r="I582" i="2"/>
  <c r="I676" i="2"/>
  <c r="I614" i="2"/>
  <c r="I813" i="2"/>
  <c r="I550" i="2"/>
  <c r="I745" i="2"/>
  <c r="I583" i="2"/>
  <c r="I795" i="2"/>
  <c r="I677" i="2"/>
  <c r="I769" i="2"/>
  <c r="I551" i="2"/>
  <c r="I678" i="2"/>
  <c r="I74" i="2"/>
  <c r="I434" i="2"/>
  <c r="I32" i="2"/>
  <c r="I202" i="2"/>
  <c r="I98" i="2"/>
  <c r="I203" i="2"/>
  <c r="I679" i="2"/>
  <c r="I796" i="2"/>
  <c r="I261" i="2"/>
  <c r="I636" i="2"/>
  <c r="I986" i="2"/>
  <c r="I746" i="2"/>
  <c r="I936" i="2"/>
  <c r="I474" i="2"/>
  <c r="I307" i="2"/>
  <c r="I584" i="2"/>
  <c r="I159" i="2"/>
  <c r="I99" i="2"/>
  <c r="I585" i="2"/>
  <c r="I987" i="2"/>
  <c r="I75" i="2"/>
  <c r="I241" i="2"/>
  <c r="I937" i="2"/>
  <c r="I33" i="2"/>
  <c r="I552" i="2"/>
  <c r="I637" i="2"/>
  <c r="I747" i="2"/>
  <c r="I748" i="2"/>
  <c r="I529" i="2"/>
  <c r="I892" i="2"/>
  <c r="I553" i="2"/>
  <c r="I100" i="2"/>
  <c r="I398" i="2"/>
  <c r="I227" i="2"/>
  <c r="I204" i="2"/>
  <c r="I836" i="2"/>
  <c r="I797" i="2"/>
  <c r="I126" i="2"/>
  <c r="I160" i="2"/>
  <c r="I451" i="2"/>
  <c r="I988" i="2"/>
  <c r="I530" i="2"/>
  <c r="I958" i="2"/>
  <c r="I893" i="2"/>
  <c r="I242" i="2"/>
  <c r="I531" i="2"/>
  <c r="I262" i="2"/>
  <c r="I837" i="2"/>
  <c r="I361" i="2"/>
  <c r="I498" i="2"/>
  <c r="I680" i="2"/>
  <c r="I989" i="2"/>
  <c r="I838" i="2"/>
  <c r="I894" i="2"/>
  <c r="I243" i="2"/>
  <c r="I915" i="2"/>
  <c r="I749" i="2"/>
  <c r="I76" i="2"/>
  <c r="I101" i="2"/>
  <c r="I770" i="2"/>
  <c r="I161" i="2"/>
  <c r="I875" i="2"/>
  <c r="I568" i="2"/>
  <c r="I638" i="2"/>
  <c r="I178" i="2"/>
  <c r="I586" i="2"/>
  <c r="I287" i="2"/>
  <c r="I839" i="2"/>
  <c r="I861" i="2"/>
  <c r="I435" i="2"/>
  <c r="I228" i="2"/>
  <c r="I452" i="2"/>
  <c r="I12" i="2"/>
  <c r="I959" i="2"/>
  <c r="I771" i="2"/>
  <c r="I415" i="2"/>
  <c r="I532" i="2"/>
  <c r="I960" i="2"/>
  <c r="I750" i="2"/>
  <c r="I453" i="2"/>
  <c r="I13" i="2"/>
  <c r="I840" i="2"/>
  <c r="I308" i="2"/>
  <c r="I416" i="2"/>
  <c r="I990" i="2"/>
  <c r="I179" i="2"/>
  <c r="I180" i="2"/>
  <c r="I205" i="2"/>
  <c r="I533" i="2"/>
  <c r="I862" i="2"/>
  <c r="I727" i="2"/>
  <c r="I499" i="2"/>
  <c r="I534" i="2"/>
  <c r="I229" i="2"/>
  <c r="I798" i="2"/>
  <c r="I34" i="2"/>
  <c r="I138" i="2"/>
  <c r="I362" i="2"/>
  <c r="I554" i="2"/>
  <c r="I700" i="2"/>
  <c r="I555" i="2"/>
  <c r="I338" i="2"/>
  <c r="I895" i="2"/>
  <c r="I916" i="2"/>
  <c r="I475" i="2"/>
  <c r="I500" i="2"/>
  <c r="I139" i="2"/>
  <c r="I127" i="2"/>
  <c r="I476" i="2"/>
  <c r="I681" i="2"/>
  <c r="I587" i="2"/>
  <c r="I896" i="2"/>
  <c r="I436" i="2"/>
  <c r="I535" i="2"/>
  <c r="I569" i="2"/>
  <c r="I417" i="2"/>
  <c r="I140" i="2"/>
  <c r="I339" i="2"/>
  <c r="I399" i="2"/>
  <c r="I863" i="2"/>
  <c r="I400" i="2"/>
  <c r="I437" i="2"/>
  <c r="I570" i="2"/>
  <c r="I841" i="2"/>
  <c r="I141" i="2"/>
  <c r="I14" i="2"/>
  <c r="I652" i="2"/>
  <c r="I263" i="2"/>
  <c r="I615" i="2"/>
  <c r="I454" i="2"/>
  <c r="I381" i="2"/>
  <c r="I653" i="2"/>
  <c r="I616" i="2"/>
  <c r="I588" i="2"/>
  <c r="I938" i="2"/>
  <c r="I589" i="2"/>
  <c r="I617" i="2"/>
  <c r="I318" i="2"/>
  <c r="I842" i="2"/>
  <c r="I382" i="2"/>
  <c r="I363" i="2"/>
  <c r="I15" i="2"/>
  <c r="I288" i="2"/>
  <c r="I991" i="2"/>
  <c r="I35" i="2"/>
  <c r="I571" i="2"/>
  <c r="I618" i="2"/>
  <c r="I799" i="2"/>
  <c r="I77" i="2"/>
  <c r="I16" i="2"/>
  <c r="I162" i="2"/>
  <c r="I590" i="2"/>
  <c r="I814" i="2"/>
  <c r="I53" i="2"/>
  <c r="I654" i="2"/>
  <c r="I206" i="2"/>
  <c r="I207" i="2"/>
  <c r="I383" i="2"/>
  <c r="I961" i="2"/>
  <c r="I701" i="2"/>
  <c r="I682" i="2"/>
  <c r="I455" i="2"/>
  <c r="I572" i="2"/>
  <c r="I655" i="2"/>
  <c r="I142" i="2"/>
  <c r="I591" i="2"/>
  <c r="I163" i="2"/>
  <c r="I17" i="2"/>
  <c r="I54" i="2"/>
  <c r="I477" i="2"/>
  <c r="I456" i="2"/>
  <c r="I164" i="2"/>
  <c r="I992" i="2"/>
  <c r="I772" i="2"/>
  <c r="I55" i="2"/>
  <c r="I683" i="2"/>
  <c r="I573" i="2"/>
  <c r="I993" i="2"/>
  <c r="I165" i="2"/>
  <c r="I702" i="2"/>
  <c r="I728" i="2"/>
  <c r="I656" i="2"/>
  <c r="I478" i="2"/>
  <c r="I289" i="2"/>
  <c r="I657" i="2"/>
  <c r="I962" i="2"/>
  <c r="I897" i="2"/>
  <c r="I319" i="2"/>
  <c r="I78" i="2"/>
  <c r="I773" i="2"/>
  <c r="I418" i="2"/>
  <c r="I290" i="2"/>
  <c r="I639" i="2"/>
  <c r="I364" i="2"/>
  <c r="I143" i="2"/>
  <c r="I208" i="2"/>
  <c r="I144" i="2"/>
  <c r="I684" i="2"/>
  <c r="I457" i="2"/>
  <c r="I419" i="2"/>
  <c r="I384" i="2"/>
  <c r="I385" i="2"/>
  <c r="I751" i="2"/>
  <c r="I592" i="2"/>
  <c r="I365" i="2"/>
  <c r="I36" i="2"/>
  <c r="I18" i="2"/>
  <c r="I994" i="2"/>
  <c r="I102" i="2"/>
  <c r="I401" i="2"/>
  <c r="I230" i="2"/>
  <c r="I876" i="2"/>
  <c r="I37" i="2"/>
  <c r="I56" i="2"/>
  <c r="I458" i="2"/>
  <c r="I244" i="2"/>
  <c r="I402" i="2"/>
  <c r="I103" i="2"/>
  <c r="I774" i="2"/>
  <c r="I800" i="2"/>
  <c r="I619" i="2"/>
  <c r="I181" i="2"/>
  <c r="I703" i="2"/>
  <c r="I917" i="2"/>
  <c r="I729" i="2"/>
  <c r="I438" i="2"/>
  <c r="I918" i="2"/>
  <c r="I479" i="2"/>
  <c r="I340" i="2"/>
  <c r="I209" i="2"/>
  <c r="I620" i="2"/>
  <c r="I963" i="2"/>
  <c r="I459" i="2"/>
  <c r="I658" i="2"/>
  <c r="I341" i="2"/>
  <c r="I342" i="2"/>
  <c r="I291" i="2"/>
  <c r="I182" i="2"/>
  <c r="I843" i="2"/>
  <c r="I38" i="2"/>
  <c r="I939" i="2"/>
  <c r="I501" i="2"/>
  <c r="I815" i="2"/>
  <c r="I183" i="2"/>
  <c r="I439" i="2"/>
  <c r="I898" i="2"/>
  <c r="I964" i="2"/>
  <c r="I79" i="2"/>
  <c r="I536" i="2"/>
  <c r="I593" i="2"/>
  <c r="I940" i="2"/>
  <c r="I704" i="2"/>
  <c r="I460" i="2"/>
  <c r="I775" i="2"/>
  <c r="I231" i="2"/>
  <c r="I128" i="2"/>
  <c r="I366" i="2"/>
  <c r="I420" i="2"/>
  <c r="I877" i="2"/>
  <c r="I752" i="2"/>
  <c r="I864" i="2"/>
  <c r="I801" i="2"/>
  <c r="I705" i="2"/>
  <c r="I343" i="2"/>
  <c r="I776" i="2"/>
  <c r="I502" i="2"/>
  <c r="I802" i="2"/>
  <c r="I245" i="2"/>
  <c r="I461" i="2"/>
  <c r="I878" i="2"/>
  <c r="I440" i="2"/>
  <c r="I421" i="2"/>
  <c r="I556" i="2"/>
  <c r="I640" i="2"/>
  <c r="I129" i="2"/>
  <c r="I557" i="2"/>
  <c r="I844" i="2"/>
  <c r="I706" i="2"/>
  <c r="I246" i="2"/>
  <c r="I941" i="2"/>
  <c r="I145" i="2"/>
  <c r="I210" i="2"/>
  <c r="I942" i="2"/>
  <c r="I344" i="2"/>
  <c r="I537" i="2"/>
  <c r="I422" i="2"/>
  <c r="I574" i="2"/>
  <c r="I965" i="2"/>
  <c r="I39" i="2"/>
  <c r="I899" i="2"/>
  <c r="I19" i="2"/>
  <c r="I753" i="2"/>
  <c r="I538" i="2"/>
  <c r="I594" i="2"/>
  <c r="I423" i="2"/>
  <c r="I232" i="2"/>
  <c r="I845" i="2"/>
  <c r="I233" i="2"/>
  <c r="I754" i="2"/>
  <c r="I816" i="2"/>
  <c r="I846" i="2"/>
  <c r="I730" i="2"/>
  <c r="I707" i="2"/>
  <c r="I995" i="2"/>
  <c r="I480" i="2"/>
  <c r="I441" i="2"/>
  <c r="I104" i="2"/>
  <c r="I685" i="2"/>
  <c r="I755" i="2"/>
  <c r="I996" i="2"/>
  <c r="I403" i="2"/>
  <c r="I386" i="2"/>
  <c r="I731" i="2"/>
  <c r="I900" i="2"/>
  <c r="I345" i="2"/>
  <c r="I943" i="2"/>
  <c r="I901" i="2"/>
  <c r="I708" i="2"/>
  <c r="I184" i="2"/>
  <c r="I539" i="2"/>
  <c r="I40" i="2"/>
  <c r="I185" i="2"/>
  <c r="I186" i="2"/>
  <c r="I847" i="2"/>
  <c r="I346" i="2"/>
  <c r="I20" i="2"/>
  <c r="I503" i="2"/>
  <c r="I902" i="2"/>
  <c r="I848" i="2"/>
  <c r="I879" i="2"/>
  <c r="I504" i="2"/>
  <c r="I817" i="2"/>
  <c r="I732" i="2"/>
  <c r="I57" i="2"/>
  <c r="I777" i="2"/>
  <c r="I919" i="2"/>
  <c r="I920" i="2"/>
  <c r="I621" i="2"/>
  <c r="I803" i="2"/>
  <c r="I709" i="2"/>
  <c r="I247" i="2"/>
  <c r="I387" i="2"/>
  <c r="I778" i="2"/>
  <c r="I921" i="2"/>
  <c r="I347" i="2"/>
  <c r="I211" i="2"/>
  <c r="I997" i="2"/>
  <c r="I248" i="2"/>
  <c r="I320" i="2"/>
  <c r="I481" i="2"/>
  <c r="I388" i="2"/>
  <c r="I166" i="2"/>
  <c r="I641" i="2"/>
  <c r="I424" i="2"/>
  <c r="I348" i="2"/>
  <c r="I462" i="2"/>
  <c r="I779" i="2"/>
  <c r="I321" i="2"/>
  <c r="I130" i="2"/>
  <c r="I167" i="2"/>
  <c r="I505" i="2"/>
  <c r="I367" i="2"/>
  <c r="I506" i="2"/>
  <c r="I249" i="2"/>
  <c r="I309" i="2"/>
  <c r="I540" i="2"/>
  <c r="I865" i="2"/>
  <c r="I944" i="2"/>
  <c r="I541" i="2"/>
  <c r="I998" i="2"/>
  <c r="I659" i="2"/>
  <c r="I212" i="2"/>
  <c r="I322" i="2"/>
  <c r="I146" i="2"/>
  <c r="I349" i="2"/>
  <c r="I463" i="2"/>
  <c r="I542" i="2"/>
  <c r="I425" i="2"/>
  <c r="I442" i="2"/>
  <c r="I147" i="2"/>
  <c r="I292" i="2"/>
  <c r="I310" i="2"/>
  <c r="I148" i="2"/>
  <c r="I187" i="2"/>
  <c r="I168" i="2"/>
  <c r="I464" i="2"/>
  <c r="I595" i="2"/>
  <c r="I368" i="2"/>
  <c r="I642" i="2"/>
  <c r="I622" i="2"/>
  <c r="I818" i="2"/>
  <c r="I733" i="2"/>
  <c r="I369" i="2"/>
  <c r="I880" i="2"/>
  <c r="I819" i="2"/>
  <c r="I350" i="2"/>
  <c r="I293" i="2"/>
  <c r="I643" i="2"/>
  <c r="I482" i="2"/>
  <c r="I734" i="2"/>
  <c r="I922" i="2"/>
  <c r="I945" i="2"/>
  <c r="I710" i="2"/>
  <c r="I58" i="2"/>
  <c r="I780" i="2"/>
  <c r="I903" i="2"/>
  <c r="I849" i="2"/>
  <c r="I543" i="2"/>
  <c r="I465" i="2"/>
  <c r="I923" i="2"/>
  <c r="I820" i="2"/>
  <c r="I311" i="2"/>
  <c r="I80" i="2"/>
  <c r="I596" i="2"/>
  <c r="I443" i="2"/>
  <c r="I507" i="2"/>
  <c r="I264" i="2"/>
  <c r="I370" i="2"/>
  <c r="I686" i="2"/>
  <c r="I323" i="2"/>
  <c r="I946" i="2"/>
  <c r="I881" i="2"/>
  <c r="I924" i="2"/>
  <c r="I41" i="2"/>
  <c r="I735" i="2"/>
  <c r="I882" i="2"/>
  <c r="I711" i="2"/>
  <c r="I623" i="2"/>
  <c r="I265" i="2"/>
  <c r="I266" i="2"/>
  <c r="I371" i="2"/>
  <c r="I660" i="2"/>
  <c r="I661" i="2"/>
  <c r="I736" i="2"/>
  <c r="I821" i="2"/>
  <c r="I966" i="2"/>
  <c r="I597" i="2"/>
  <c r="I598" i="2"/>
  <c r="I925" i="2"/>
  <c r="I324" i="2"/>
  <c r="I926" i="2"/>
  <c r="I999" i="2"/>
  <c r="I213" i="2"/>
  <c r="I624" i="2"/>
  <c r="I508" i="2"/>
  <c r="I822" i="2"/>
  <c r="I404" i="2"/>
  <c r="I105" i="2"/>
  <c r="I21" i="2"/>
  <c r="I625" i="2"/>
  <c r="I59" i="2"/>
  <c r="I947" i="2"/>
  <c r="I294" i="2"/>
  <c r="I626" i="2"/>
  <c r="I81" i="2"/>
  <c r="I372" i="2"/>
  <c r="I781" i="2"/>
  <c r="I509" i="2"/>
  <c r="I22" i="2"/>
  <c r="I967" i="2"/>
  <c r="I312" i="2"/>
  <c r="I188" i="2"/>
  <c r="I313" i="2"/>
  <c r="I483" i="2"/>
  <c r="I82" i="2"/>
  <c r="I250" i="2"/>
  <c r="I782" i="2"/>
  <c r="I783" i="2"/>
  <c r="I904" i="2"/>
  <c r="I131" i="2"/>
  <c r="I823" i="2"/>
  <c r="I968" i="2"/>
  <c r="I484" i="2"/>
  <c r="I234" i="2"/>
  <c r="I267" i="2"/>
  <c r="I712" i="2"/>
  <c r="I510" i="2"/>
  <c r="I149" i="2"/>
  <c r="I83" i="2"/>
  <c r="I169" i="2"/>
  <c r="I405" i="2"/>
  <c r="I599" i="2"/>
  <c r="I948" i="2"/>
  <c r="I969" i="2"/>
  <c r="I214" i="2"/>
  <c r="I905" i="2"/>
  <c r="I713" i="2"/>
  <c r="I544" i="2"/>
  <c r="I866" i="2"/>
  <c r="I60" i="2"/>
  <c r="I132" i="2"/>
  <c r="I106" i="2"/>
  <c r="I107" i="2"/>
  <c r="I1000" i="2"/>
  <c r="I466" i="2"/>
  <c r="I189" i="2"/>
  <c r="I737" i="2"/>
  <c r="I406" i="2"/>
  <c r="I883" i="2"/>
  <c r="I738" i="2"/>
  <c r="I373" i="2"/>
  <c r="I351" i="2"/>
  <c r="I485" i="2"/>
  <c r="I61" i="2"/>
  <c r="I662" i="2"/>
  <c r="I739" i="2"/>
  <c r="I804" i="2"/>
  <c r="I268" i="2"/>
  <c r="I1001" i="2"/>
  <c r="I511" i="2"/>
  <c r="I190" i="2"/>
  <c r="I84" i="2"/>
  <c r="I295" i="2"/>
  <c r="I784" i="2"/>
  <c r="I714" i="2"/>
  <c r="I235" i="2"/>
  <c r="I867" i="2"/>
  <c r="I62" i="2"/>
  <c r="I575" i="2"/>
  <c r="I600" i="2"/>
  <c r="I191" i="2"/>
  <c r="I63" i="2"/>
  <c r="I512" i="2"/>
  <c r="I715" i="2"/>
  <c r="I251" i="2"/>
  <c r="I884" i="2"/>
  <c r="I192" i="2"/>
  <c r="I314" i="2"/>
  <c r="I850" i="2"/>
  <c r="I513" i="2"/>
  <c r="I108" i="2"/>
  <c r="I236" i="2"/>
  <c r="I716" i="2"/>
  <c r="I486" i="2"/>
  <c r="I315" i="2"/>
  <c r="I805" i="2"/>
  <c r="I170" i="2"/>
  <c r="I109" i="2"/>
  <c r="I545" i="2"/>
  <c r="I374" i="2"/>
  <c r="I133" i="2"/>
  <c r="I785" i="2"/>
  <c r="I269" i="2"/>
  <c r="I576" i="2"/>
  <c r="I110" i="2"/>
  <c r="I270" i="2"/>
  <c r="I352" i="2"/>
  <c r="I851" i="2"/>
  <c r="I949" i="2"/>
  <c r="I663" i="2"/>
  <c r="I601" i="2"/>
  <c r="I64" i="2"/>
  <c r="I852" i="2"/>
  <c r="I717" i="2"/>
  <c r="I853" i="2"/>
  <c r="I558" i="2"/>
  <c r="I271" i="2"/>
  <c r="I950" i="2"/>
  <c r="I687" i="2"/>
  <c r="I134" i="2"/>
  <c r="I487" i="2"/>
  <c r="I389" i="2"/>
  <c r="I325" i="2"/>
  <c r="I854" i="2"/>
  <c r="I577" i="2"/>
  <c r="I688" i="2"/>
  <c r="I868" i="2"/>
  <c r="I272" i="2"/>
  <c r="I906" i="2"/>
  <c r="I951" i="2"/>
  <c r="I514" i="2"/>
  <c r="I885" i="2"/>
  <c r="I756" i="2"/>
  <c r="I559" i="2"/>
  <c r="I806" i="2"/>
  <c r="I150" i="2"/>
  <c r="I111" i="2"/>
  <c r="I907" i="2"/>
  <c r="I952" i="2"/>
  <c r="I644" i="2"/>
  <c r="I467" i="2"/>
  <c r="I886" i="2"/>
  <c r="I215" i="2"/>
  <c r="I664" i="2"/>
  <c r="I908" i="2"/>
  <c r="I627" i="2"/>
  <c r="I824" i="2"/>
  <c r="I645" i="2"/>
  <c r="I375" i="2"/>
  <c r="I757" i="2"/>
  <c r="I42" i="2"/>
  <c r="I296" i="2"/>
  <c r="I273" i="2"/>
  <c r="I602" i="2"/>
  <c r="I252" i="2"/>
  <c r="I825" i="2"/>
  <c r="I43" i="2"/>
  <c r="I665" i="2"/>
  <c r="I274" i="2"/>
  <c r="I970" i="2"/>
  <c r="I560" i="2"/>
  <c r="I869" i="2"/>
  <c r="I353" i="2"/>
  <c r="I855" i="2"/>
  <c r="I646" i="2"/>
  <c r="I718" i="2"/>
  <c r="I488" i="2"/>
  <c r="I953" i="2"/>
  <c r="I740" i="2"/>
  <c r="I135" i="2"/>
  <c r="I390" i="2"/>
  <c r="I628" i="2"/>
  <c r="I1002" i="2" l="1"/>
  <c r="I1005" i="2"/>
  <c r="I1004" i="2"/>
  <c r="I1003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<sst xmlns="http://schemas.openxmlformats.org/spreadsheetml/2006/main" count="21200" uniqueCount="1070">
  <si>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</si>
  <si>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</si>
  <si>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</si>
  <si>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</si>
  <si>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</si>
  <si>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</si>
  <si>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</si>
  <si>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</si>
  <si>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</si>
  <si>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</si>
  <si>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</si>
  <si>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</si>
  <si>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</si>
  <si>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</si>
  <si>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</si>
  <si>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</si>
  <si>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</si>
  <si>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</si>
  <si>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</si>
  <si>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</si>
  <si>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</si>
  <si>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</si>
  <si>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</si>
  <si>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</si>
  <si>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</si>
  <si>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</si>
  <si>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</si>
  <si>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</si>
  <si>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</si>
  <si>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</si>
  <si>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</si>
  <si>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</si>
  <si>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</si>
  <si>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</si>
  <si>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</si>
  <si>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</si>
  <si>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</si>
  <si>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</si>
  <si>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</si>
  <si>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</si>
  <si>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</si>
  <si>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</si>
  <si>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</si>
  <si>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</si>
  <si>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</si>
  <si>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</si>
  <si>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</si>
  <si>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</si>
  <si>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</si>
  <si>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</si>
  <si>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</si>
  <si>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</si>
  <si>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</si>
  <si>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</si>
  <si>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</si>
  <si>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</si>
  <si>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</si>
  <si>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</si>
  <si>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</si>
  <si>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</si>
  <si>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</si>
  <si>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</si>
  <si>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</si>
  <si>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</si>
  <si>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</si>
  <si>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</si>
  <si>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</si>
  <si>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</si>
  <si>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</si>
  <si>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</si>
  <si>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</si>
  <si>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</si>
  <si>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</si>
  <si>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</si>
  <si>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</si>
  <si>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</si>
  <si>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</si>
  <si>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</si>
  <si>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</si>
  <si>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</si>
  <si>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</si>
  <si>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</si>
  <si>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</si>
  <si>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</si>
  <si>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</si>
  <si>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</si>
  <si>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</si>
  <si>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</si>
  <si>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</si>
  <si>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</si>
  <si>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</si>
  <si>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</si>
  <si>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</si>
  <si>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</si>
  <si>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</si>
  <si>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</si>
  <si>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</si>
  <si>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</si>
  <si>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</si>
  <si>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</si>
  <si>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</si>
  <si>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</si>
  <si>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</si>
  <si>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</si>
  <si>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</si>
  <si>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</si>
  <si>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</si>
  <si>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</si>
  <si>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</si>
  <si>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</si>
  <si>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</si>
  <si>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</si>
  <si>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</si>
  <si>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</si>
  <si>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</si>
  <si>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</si>
  <si>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</si>
  <si>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</si>
  <si>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</si>
  <si>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</si>
  <si>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</si>
  <si>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</si>
  <si>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</si>
  <si>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</si>
  <si>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</si>
  <si>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</si>
  <si>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</si>
  <si>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</si>
  <si>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</si>
  <si>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</si>
  <si>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</si>
  <si>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</si>
  <si>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</si>
  <si>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</si>
  <si>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</si>
  <si>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</si>
  <si>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</si>
  <si>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</si>
  <si>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</si>
  <si>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</si>
  <si>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</si>
  <si>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</si>
  <si>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</si>
  <si>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</si>
  <si>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</si>
  <si>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</si>
  <si>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</si>
  <si>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</si>
  <si>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</si>
  <si>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</si>
  <si>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</si>
  <si>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</si>
  <si>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</si>
  <si>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</si>
  <si>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</si>
  <si>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</si>
  <si>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</si>
  <si>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</si>
  <si>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</si>
  <si>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</si>
  <si>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</si>
  <si>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</si>
  <si>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</si>
  <si>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</si>
  <si>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</si>
  <si>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</si>
  <si>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</si>
  <si>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</si>
  <si>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</si>
  <si>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</si>
  <si>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</si>
  <si>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</si>
  <si>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</si>
  <si>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</si>
  <si>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</si>
  <si>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</si>
  <si>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</si>
  <si>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</si>
  <si>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</si>
  <si>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</si>
  <si>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</si>
  <si>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</si>
  <si>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</si>
  <si>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</si>
  <si>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</si>
  <si>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</si>
  <si>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</si>
  <si>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</si>
  <si>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</si>
  <si>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</si>
  <si>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</si>
  <si>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</si>
  <si>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</si>
  <si>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</si>
  <si>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</si>
  <si>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</si>
  <si>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</si>
  <si>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</si>
  <si>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</si>
  <si>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</si>
  <si>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</si>
  <si>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</si>
  <si>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</si>
  <si>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</si>
  <si>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</si>
  <si>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</si>
  <si>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</si>
  <si>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</si>
  <si>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</si>
  <si>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</si>
  <si>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</si>
  <si>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</si>
  <si>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</si>
  <si>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</si>
  <si>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</si>
  <si>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</si>
  <si>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</si>
  <si>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</si>
  <si>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</si>
  <si>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</si>
  <si>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</si>
  <si>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</si>
  <si>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</si>
  <si>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</si>
  <si>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</si>
  <si>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</si>
  <si>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</si>
  <si>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</si>
  <si>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</si>
  <si>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</si>
  <si>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</si>
  <si>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</si>
  <si>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</si>
  <si>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</si>
  <si>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</si>
  <si>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</si>
  <si>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</si>
  <si>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</si>
  <si>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</si>
  <si>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</si>
  <si>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</si>
  <si>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</si>
  <si>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</si>
  <si>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</si>
  <si>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</si>
  <si>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</si>
  <si>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</si>
  <si>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</si>
  <si>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</si>
  <si>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</si>
  <si>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</si>
  <si>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</si>
  <si>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</si>
  <si>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</si>
  <si>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</si>
  <si>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</si>
  <si>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</si>
  <si>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</si>
  <si>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</si>
  <si>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</si>
  <si>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</si>
  <si>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</si>
  <si>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</si>
  <si>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</si>
  <si>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</si>
  <si>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</si>
  <si>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</si>
  <si>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</si>
  <si>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</si>
  <si>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</si>
  <si>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</si>
  <si>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</si>
  <si>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</si>
  <si>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</si>
  <si>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</si>
  <si>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</si>
  <si>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</si>
  <si>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</si>
  <si>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</si>
  <si>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</si>
  <si>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</si>
  <si>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</si>
  <si>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</si>
  <si>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</si>
  <si>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</si>
  <si>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</si>
  <si>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</si>
  <si>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</si>
  <si>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</si>
  <si>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</si>
  <si>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</si>
  <si>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</si>
  <si>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</si>
  <si>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</si>
  <si>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</si>
  <si>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</si>
  <si>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</si>
  <si>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</si>
  <si>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</si>
  <si>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</si>
  <si>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</si>
  <si>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</si>
  <si>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</si>
  <si>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</si>
  <si>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</si>
  <si>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</si>
  <si>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</si>
  <si>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</si>
  <si>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</si>
  <si>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</si>
  <si>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</si>
  <si>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</si>
  <si>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</si>
  <si>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</si>
  <si>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</si>
  <si>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</si>
  <si>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</si>
  <si>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</si>
  <si>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</si>
  <si>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</si>
  <si>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</si>
  <si>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</si>
  <si>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</si>
  <si>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</si>
  <si>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</si>
  <si>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</si>
  <si>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</si>
  <si>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</si>
  <si>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</si>
  <si>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</si>
  <si>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</si>
  <si>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</si>
  <si>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</si>
  <si>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</si>
  <si>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</si>
  <si>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</si>
  <si>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</si>
  <si>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</si>
  <si>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</si>
  <si>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</si>
  <si>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</si>
  <si>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</si>
  <si>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</si>
  <si>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</si>
  <si>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</si>
  <si>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</si>
  <si>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</si>
  <si>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</si>
  <si>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</si>
  <si>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</si>
  <si>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</si>
  <si>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</si>
  <si>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</si>
  <si>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</si>
  <si>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</si>
  <si>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</si>
  <si>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</si>
  <si>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</si>
  <si>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</si>
  <si>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</si>
  <si>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</si>
  <si>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</si>
  <si>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</si>
  <si>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</si>
  <si>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</si>
  <si>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</si>
  <si>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</si>
  <si>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</si>
  <si>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</si>
  <si>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</si>
  <si>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</si>
  <si>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</si>
  <si>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</si>
  <si>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</si>
  <si>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</si>
  <si>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</si>
  <si>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</si>
  <si>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</si>
  <si>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</si>
  <si>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</si>
  <si>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</si>
  <si>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</si>
  <si>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</si>
  <si>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</si>
  <si>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</si>
  <si>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</si>
  <si>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</si>
  <si>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</si>
  <si>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</si>
  <si>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</si>
  <si>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</si>
  <si>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</si>
  <si>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</si>
  <si>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</si>
  <si>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</si>
  <si>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</si>
  <si>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</si>
  <si>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</si>
  <si>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</si>
  <si>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</si>
  <si>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</si>
  <si>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</si>
  <si>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</si>
  <si>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</si>
  <si>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</si>
  <si>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</si>
  <si>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</si>
  <si>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</si>
  <si>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</si>
  <si>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</si>
  <si>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</si>
  <si>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</si>
  <si>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</si>
  <si>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</si>
  <si>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</si>
  <si>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</si>
  <si>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</si>
  <si>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</si>
  <si>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</si>
  <si>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</si>
  <si>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</si>
  <si>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</si>
  <si>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</si>
  <si>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</si>
  <si>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</si>
  <si>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</si>
  <si>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</si>
  <si>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</si>
  <si>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</si>
  <si>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</si>
  <si>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</si>
  <si>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</si>
  <si>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</si>
  <si>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</si>
  <si>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</si>
  <si>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</si>
  <si>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</si>
  <si>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</si>
  <si>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</si>
  <si>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</si>
  <si>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</si>
  <si>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</si>
  <si>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</si>
  <si>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</si>
  <si>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</si>
  <si>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</si>
  <si>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</si>
  <si>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</si>
  <si>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</si>
  <si>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</si>
  <si>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</si>
  <si>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</si>
  <si>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</si>
  <si>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</si>
  <si>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</si>
  <si>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</si>
  <si>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</si>
  <si>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</si>
  <si>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</si>
  <si>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</si>
  <si>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</si>
  <si>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</si>
  <si>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</si>
  <si>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</si>
  <si>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</si>
  <si>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</si>
  <si>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</si>
  <si>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</si>
  <si>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</si>
  <si>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</si>
  <si>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</si>
  <si>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</si>
  <si>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</si>
  <si>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</si>
  <si>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</si>
  <si>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</si>
  <si>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</si>
  <si>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</si>
  <si>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</si>
  <si>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</si>
  <si>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</si>
  <si>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</si>
  <si>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</si>
  <si>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</si>
  <si>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</si>
  <si>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</si>
  <si>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</si>
  <si>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</si>
  <si>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</si>
  <si>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</si>
  <si>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</si>
  <si>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</si>
  <si>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</si>
  <si>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</si>
  <si>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</si>
  <si>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</si>
  <si>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</si>
  <si>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</si>
  <si>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</si>
  <si>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</si>
  <si>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</si>
  <si>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</si>
  <si>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</si>
  <si>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</si>
  <si>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</si>
  <si>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</si>
  <si>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</si>
  <si>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</si>
  <si>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</si>
  <si>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</si>
  <si>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</si>
  <si>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</si>
  <si>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</si>
  <si>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</si>
  <si>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</si>
  <si>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</si>
  <si>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</si>
  <si>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</si>
  <si>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</si>
  <si>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</si>
  <si>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</si>
  <si>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</si>
  <si>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</si>
  <si>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</si>
  <si>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</si>
  <si>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</si>
  <si>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</si>
  <si>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</si>
  <si>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</si>
  <si>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</si>
  <si>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</si>
  <si>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</si>
  <si>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</si>
  <si>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</si>
  <si>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</si>
  <si>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</si>
  <si>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</si>
  <si>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</si>
  <si>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</si>
  <si>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</si>
  <si>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</si>
  <si>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</si>
  <si>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</si>
  <si>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</si>
  <si>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</si>
  <si>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</si>
  <si>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</si>
  <si>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</si>
  <si>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</si>
  <si>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</si>
  <si>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</si>
  <si>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</si>
  <si>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</si>
  <si>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</si>
  <si>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</si>
  <si>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</si>
  <si>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</si>
  <si>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</si>
  <si>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</si>
  <si>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</si>
  <si>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</si>
  <si>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</si>
  <si>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</si>
  <si>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</si>
  <si>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</si>
  <si>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</si>
  <si>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</si>
  <si>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</si>
  <si>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</si>
  <si>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</si>
  <si>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</si>
  <si>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</si>
  <si>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</si>
  <si>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</si>
  <si>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</si>
  <si>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</si>
  <si>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</si>
  <si>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</si>
  <si>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</si>
  <si>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</si>
  <si>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</si>
  <si>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</si>
  <si>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</si>
  <si>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</si>
  <si>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</si>
  <si>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</si>
  <si>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</si>
  <si>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</si>
  <si>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</si>
  <si>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</si>
  <si>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</si>
  <si>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</si>
  <si>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</si>
  <si>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</si>
  <si>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</si>
  <si>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</si>
  <si>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</si>
  <si>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</si>
  <si>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</si>
  <si>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</si>
  <si>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</si>
  <si>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</si>
  <si>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</si>
  <si>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</si>
  <si>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</si>
  <si>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</si>
  <si>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</si>
  <si>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</si>
  <si>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</si>
  <si>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</si>
  <si>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</si>
  <si>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</si>
  <si>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</si>
  <si>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</si>
  <si>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</si>
  <si>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</si>
  <si>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</si>
  <si>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</si>
  <si>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</si>
  <si>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</si>
  <si>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</si>
  <si>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</si>
  <si>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</si>
  <si>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</si>
  <si>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</si>
  <si>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</si>
  <si>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</si>
  <si>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</si>
  <si>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</si>
  <si>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</si>
  <si>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</si>
  <si>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</si>
  <si>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</si>
  <si>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</si>
  <si>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</si>
  <si>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</si>
  <si>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</si>
  <si>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</si>
  <si>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</si>
  <si>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</si>
  <si>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</si>
  <si>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</si>
  <si>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</si>
  <si>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</si>
  <si>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</si>
  <si>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</si>
  <si>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</si>
  <si>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</si>
  <si>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</si>
  <si>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</si>
  <si>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</si>
  <si>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</si>
  <si>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</si>
  <si>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</si>
  <si>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</si>
  <si>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</si>
  <si>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</si>
  <si>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</si>
  <si>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</si>
  <si>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</si>
  <si>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</si>
  <si>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</si>
  <si>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</si>
  <si>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</si>
  <si>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</si>
  <si>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</si>
  <si>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</si>
  <si>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</si>
  <si>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</si>
  <si>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</si>
  <si>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</si>
  <si>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</si>
  <si>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</si>
  <si>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</si>
  <si>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</si>
  <si>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</si>
  <si>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</si>
  <si>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</si>
  <si>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</si>
  <si>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</si>
  <si>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</si>
  <si>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</si>
  <si>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</si>
  <si>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</si>
  <si>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</si>
  <si>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</si>
  <si>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</si>
  <si>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</si>
  <si>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</si>
  <si>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</si>
  <si>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</si>
  <si>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</si>
  <si>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</si>
  <si>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</si>
  <si>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</si>
  <si>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</si>
  <si>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</si>
  <si>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</si>
  <si>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</si>
  <si>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</si>
  <si>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</si>
  <si>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</si>
  <si>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</si>
  <si>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</si>
  <si>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</si>
  <si>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</si>
  <si>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</si>
  <si>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</si>
  <si>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</si>
  <si>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</si>
  <si>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</si>
  <si>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</si>
  <si>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</si>
  <si>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</si>
  <si>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</si>
  <si>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</si>
  <si>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</si>
  <si>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</si>
  <si>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</si>
  <si>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</si>
  <si>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</si>
  <si>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</si>
  <si>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</si>
  <si>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</si>
  <si>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</si>
  <si>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</si>
  <si>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</si>
  <si>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</si>
  <si>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</si>
  <si>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</si>
  <si>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</si>
  <si>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</si>
  <si>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</si>
  <si>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</si>
  <si>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</si>
  <si>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</si>
  <si>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</si>
  <si>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</si>
  <si>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</si>
  <si>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</si>
  <si>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</si>
  <si>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</si>
  <si>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</si>
  <si>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</si>
  <si>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</si>
  <si>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</si>
  <si>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</si>
  <si>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</si>
  <si>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</si>
  <si>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</si>
  <si>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</si>
  <si>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</si>
  <si>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</si>
  <si>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</si>
  <si>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</si>
  <si>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</si>
  <si>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</si>
  <si>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</si>
  <si>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</si>
  <si>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</si>
  <si>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</si>
  <si>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</si>
  <si>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</si>
  <si>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</si>
  <si>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</si>
  <si>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</si>
  <si>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</si>
  <si>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</si>
  <si>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</si>
  <si>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</si>
  <si>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</si>
  <si>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</si>
  <si>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</si>
  <si>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</si>
  <si>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</si>
  <si>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</si>
  <si>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</si>
  <si>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</si>
  <si>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</si>
  <si>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</si>
  <si>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</si>
  <si>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</si>
  <si>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</si>
  <si>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</si>
  <si>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</si>
  <si>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</si>
  <si>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</si>
  <si>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</si>
  <si>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</si>
  <si>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</si>
  <si>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</si>
  <si>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</si>
  <si>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</si>
  <si>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</si>
  <si>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</si>
  <si>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</si>
  <si>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</si>
  <si>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</si>
  <si>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</si>
  <si>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</si>
  <si>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</si>
  <si>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</si>
  <si>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</si>
  <si>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</si>
  <si>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</si>
  <si>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</si>
  <si>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</si>
  <si>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</si>
  <si>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</si>
  <si>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</si>
  <si>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</si>
  <si>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</si>
  <si>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</si>
  <si>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</si>
  <si>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</si>
  <si>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</si>
  <si>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</si>
  <si>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</si>
  <si>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</si>
  <si>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</si>
  <si>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</si>
  <si>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</si>
  <si>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</si>
  <si>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</si>
  <si>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</si>
  <si>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</si>
  <si>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</si>
  <si>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</si>
  <si>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</si>
  <si>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</si>
  <si>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</si>
  <si>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</si>
  <si>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</si>
  <si>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</si>
  <si>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</si>
  <si>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</si>
  <si>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</si>
  <si>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</si>
  <si>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</si>
  <si>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</si>
  <si>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</si>
  <si>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</si>
  <si>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</si>
  <si>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</si>
  <si>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</si>
  <si>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</si>
  <si>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</si>
  <si>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</si>
  <si>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</si>
  <si>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</si>
  <si>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</si>
  <si>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</si>
  <si>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</si>
  <si>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</si>
  <si>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</si>
  <si>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</si>
  <si>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</si>
  <si>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</si>
  <si>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</si>
  <si>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</si>
  <si>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</si>
  <si>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</si>
  <si>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</si>
  <si>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</si>
  <si>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</si>
  <si>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</si>
  <si>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</si>
  <si>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</si>
  <si>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</si>
  <si>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</si>
  <si>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</si>
  <si>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</si>
  <si>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</si>
  <si>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</si>
  <si>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</si>
  <si>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</si>
  <si>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</si>
  <si>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</si>
  <si>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</si>
  <si>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</si>
  <si>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</si>
  <si>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</si>
  <si>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</si>
  <si>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</si>
  <si>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</si>
  <si>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</si>
  <si>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</si>
  <si>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</si>
  <si>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</si>
  <si>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</si>
  <si>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</si>
  <si>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</si>
  <si>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</si>
  <si>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</si>
  <si>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</si>
  <si>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</si>
  <si>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</si>
  <si>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</si>
  <si>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</si>
  <si>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</si>
  <si>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</si>
  <si>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</si>
  <si>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</si>
  <si>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</si>
  <si>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</si>
  <si>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</si>
  <si>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</si>
  <si>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</si>
  <si>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</si>
  <si>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</si>
  <si>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</si>
  <si>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</si>
  <si>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</si>
  <si>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</si>
  <si>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</si>
  <si>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</si>
  <si>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</si>
  <si>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</si>
  <si>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</si>
  <si>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</si>
  <si>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</si>
  <si>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</si>
  <si>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</si>
  <si>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</si>
  <si>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</si>
  <si>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</si>
  <si>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</si>
  <si>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</si>
  <si>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</si>
  <si>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</si>
  <si>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</si>
  <si>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</si>
  <si>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</si>
  <si>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</si>
  <si>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</si>
  <si>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</si>
  <si>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</si>
  <si>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</si>
  <si>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</si>
  <si>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</si>
  <si>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</si>
  <si>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</si>
  <si>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</si>
  <si>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</si>
  <si>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</si>
  <si>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</si>
  <si>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</si>
  <si>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</si>
  <si>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</si>
  <si>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</si>
  <si>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</si>
  <si>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</si>
  <si>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</si>
  <si>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</si>
  <si>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</si>
  <si>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</si>
  <si>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</si>
  <si>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</si>
  <si>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</si>
  <si>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</si>
  <si>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</si>
  <si>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</si>
  <si>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</si>
  <si>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</si>
  <si>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</si>
  <si>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</si>
  <si>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</si>
  <si>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</si>
  <si>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</si>
  <si>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</si>
  <si>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</si>
  <si>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</si>
  <si>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</si>
  <si>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</si>
  <si>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</si>
  <si>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</si>
  <si>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</si>
  <si>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</si>
  <si>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</si>
  <si>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</si>
  <si>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</si>
  <si>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</si>
  <si>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</si>
  <si>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</si>
  <si>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</si>
  <si>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</si>
  <si>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</si>
  <si>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</si>
  <si>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</si>
  <si>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</si>
  <si>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</si>
  <si>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</si>
  <si>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</si>
  <si>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</si>
  <si>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</si>
  <si>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</si>
  <si>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</si>
  <si>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</si>
  <si>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</si>
  <si>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</si>
  <si>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</si>
  <si>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</si>
  <si>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</si>
  <si>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</si>
  <si>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</si>
  <si>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</si>
  <si>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</si>
  <si>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</si>
  <si>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</si>
  <si>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</si>
  <si>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</si>
  <si>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</si>
  <si>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</si>
  <si>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</si>
  <si>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Sales</t>
  </si>
  <si>
    <t>Average Sales</t>
  </si>
  <si>
    <t>Total Sales</t>
  </si>
  <si>
    <t>Minimum Sales</t>
  </si>
  <si>
    <t>Maximum Sales</t>
  </si>
  <si>
    <t>Discounted Price</t>
  </si>
  <si>
    <t>Price After Discount</t>
  </si>
  <si>
    <t>Sales Category</t>
  </si>
  <si>
    <t>Discount Eligibility</t>
  </si>
  <si>
    <t>Discount Amount</t>
  </si>
  <si>
    <t>Amout After Discount</t>
  </si>
  <si>
    <t>Customer Segment</t>
  </si>
  <si>
    <t>Transaction Priority</t>
  </si>
  <si>
    <t>Sales_Level</t>
  </si>
  <si>
    <t>Priority_IFS</t>
  </si>
  <si>
    <t>Column1</t>
  </si>
  <si>
    <t>Male(countif)</t>
  </si>
  <si>
    <t>Female(countif)</t>
  </si>
  <si>
    <t>Total Amount ≥ 1000</t>
  </si>
  <si>
    <t>Total_Sales For Female</t>
  </si>
  <si>
    <t>Total Sales where:
Total Amount ≥ 1000</t>
  </si>
  <si>
    <t>Count transactions where:
Age ≥ 30
AND Total Amount ≥ 1000</t>
  </si>
  <si>
    <t>Total Sales where:
Age ≥ 30
AND Total Amount ≥ 1000</t>
  </si>
  <si>
    <t>Day_5, Task-1How many transactions are there where:
Gender = "Female"
Age ≥ 30</t>
  </si>
  <si>
    <t>Day_5, Task-2    :     What is the Total Sales where:
Gender = "Male"
Category = "Electronics"</t>
  </si>
  <si>
    <t>Day_5    Task_3 :    What is the average Total Amount for:
Category = "Clothing"
Age ≥ 25</t>
  </si>
  <si>
    <t>Customer_Code</t>
  </si>
  <si>
    <t>Month</t>
  </si>
  <si>
    <t>Day</t>
  </si>
  <si>
    <t>Row Labels</t>
  </si>
  <si>
    <t>Grand Total</t>
  </si>
  <si>
    <t>Sum of Total Amount</t>
  </si>
  <si>
    <t>Sum of Quantity</t>
  </si>
  <si>
    <t>Count of Gender</t>
  </si>
  <si>
    <r>
      <t xml:space="preserve">Task 2: </t>
    </r>
    <r>
      <rPr>
        <b/>
        <sz val="11"/>
        <color rgb="FF002060"/>
        <rFont val="Aptos Narrow"/>
        <family val="2"/>
        <scheme val="minor"/>
      </rPr>
      <t>Clothing sells the highest number of units, but Electronics generates the highest revenue.</t>
    </r>
  </si>
  <si>
    <r>
      <rPr>
        <b/>
        <sz val="11"/>
        <color rgb="FFFF0000"/>
        <rFont val="Aptos Narrow"/>
        <family val="2"/>
        <scheme val="minor"/>
      </rPr>
      <t>Task:1 Business question answered:
Which product categories generate the most revenue?</t>
    </r>
    <r>
      <rPr>
        <b/>
        <sz val="11"/>
        <color rgb="FF002060"/>
        <rFont val="Aptos Narrow"/>
        <family val="2"/>
        <scheme val="minor"/>
      </rPr>
      <t>Answer: Electronics</t>
    </r>
  </si>
  <si>
    <t>Median</t>
  </si>
  <si>
    <t>Old</t>
  </si>
  <si>
    <t>Teenager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</si>
  <si>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</si>
  <si>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</si>
  <si>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</si>
  <si>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</si>
  <si>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</si>
  <si>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</si>
  <si>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</si>
  <si>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</si>
  <si>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</si>
  <si>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</si>
  <si>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</si>
  <si>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</si>
  <si>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r>
      <rPr>
        <b/>
        <sz val="11"/>
        <color rgb="FF002060"/>
        <rFont val="Aptos Narrow"/>
        <family val="2"/>
        <scheme val="minor"/>
      </rPr>
      <t>Task 3 : Which gender contributes more to total sales revenue?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 xml:space="preserve">Answer:Female customers contribute slightly higher total revenue than male customers, although the contribution is relatively balanced between both genders. </t>
    </r>
  </si>
  <si>
    <r>
      <rPr>
        <b/>
        <sz val="11"/>
        <color rgb="FFFF0000"/>
        <rFont val="Aptos Narrow"/>
        <family val="2"/>
        <scheme val="minor"/>
      </rPr>
      <t xml:space="preserve">Task 4 —Which age group generates the highest total sales revenue? </t>
    </r>
    <r>
      <rPr>
        <b/>
        <sz val="11"/>
        <color rgb="FF002060"/>
        <rFont val="Aptos Narrow"/>
        <family val="2"/>
        <scheme val="minor"/>
      </rPr>
      <t>Answer: Here Old age group is the winner, they contributess more than Median and Teenagers .</t>
    </r>
  </si>
  <si>
    <r>
      <t xml:space="preserve">Task 5:Which month records the highest total sales revenue? </t>
    </r>
    <r>
      <rPr>
        <b/>
        <sz val="11"/>
        <color rgb="FF002060"/>
        <rFont val="Aptos Narrow"/>
        <family val="2"/>
        <scheme val="minor"/>
      </rPr>
      <t>Answer : Comparing with all other months , it is found that May is the highest revenue earning month.</t>
    </r>
  </si>
  <si>
    <t>Summary Of the Sales Analysis</t>
  </si>
  <si>
    <t>Highest Month: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</si>
</sst>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206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 wrapText="1"/>
    </xf>
    <xf numFmtId="0" fontId="0" fillId="0" borderId="11" xfId="0" applyBorder="1"/>
    <xf numFmtId="0" fontId="0" fillId="0" borderId="11" xfId="0" applyBorder="1" applyAlignment="1">
      <alignment horizontal="center" vertical="center" wrapText="1"/>
    </xf>
    <xf numFmtId="0" fontId="0" fillId="33" borderId="10" xfId="0" applyFill="1" applyBorder="1" applyAlignment="1">
      <alignment horizontal="center" vertical="center" wrapText="1"/>
    </xf>
    <xf numFmtId="0" fontId="0" fillId="33" borderId="11" xfId="0" applyFill="1" applyBorder="1" applyAlignment="1">
      <alignment horizontal="center"/>
    </xf>
    <xf numFmtId="0" fontId="0" fillId="34" borderId="10" xfId="0" applyFill="1" applyBorder="1" applyAlignment="1">
      <alignment horizontal="center" vertical="center" wrapText="1"/>
    </xf>
    <xf numFmtId="0" fontId="0" fillId="34" borderId="11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0" xfId="0" pivotButton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NumberFormat="1" applyBorder="1" applyAlignment="1">
      <alignment horizontal="center" vertical="center"/>
    </xf>
    <xf numFmtId="0" fontId="0" fillId="0" borderId="11" xfId="0" applyNumberFormat="1" applyBorder="1" applyAlignment="1">
      <alignment horizontal="center" vertical="center"/>
    </xf>
    <xf numFmtId="0" fontId="0" fillId="35" borderId="10" xfId="0" applyFill="1" applyBorder="1" applyAlignment="1">
      <alignment horizontal="left" vertical="top" wrapText="1"/>
    </xf>
    <xf numFmtId="0" fontId="0" fillId="0" borderId="10" xfId="0" pivotButton="1" applyBorder="1" applyAlignment="1">
      <alignment horizontal="center" vertical="center" wrapText="1"/>
    </xf>
    <xf numFmtId="0" fontId="0" fillId="0" borderId="10" xfId="0" applyNumberForma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2" xfId="0" applyNumberFormat="1" applyBorder="1" applyAlignment="1">
      <alignment horizontal="center" vertical="center" wrapText="1"/>
    </xf>
    <xf numFmtId="0" fontId="0" fillId="0" borderId="10" xfId="0" pivotButton="1" applyBorder="1" applyAlignment="1">
      <alignment wrapText="1"/>
    </xf>
    <xf numFmtId="0" fontId="0" fillId="0" borderId="10" xfId="0" applyBorder="1" applyAlignment="1">
      <alignment wrapText="1"/>
    </xf>
    <xf numFmtId="0" fontId="0" fillId="0" borderId="10" xfId="0" applyBorder="1" applyAlignment="1">
      <alignment horizontal="left" wrapText="1"/>
    </xf>
    <xf numFmtId="0" fontId="0" fillId="0" borderId="10" xfId="0" applyNumberFormat="1" applyBorder="1" applyAlignment="1">
      <alignment wrapText="1"/>
    </xf>
    <xf numFmtId="0" fontId="0" fillId="33" borderId="10" xfId="0" applyFill="1" applyBorder="1" applyAlignment="1">
      <alignment horizontal="left" wrapText="1"/>
    </xf>
    <xf numFmtId="0" fontId="0" fillId="33" borderId="10" xfId="0" applyNumberFormat="1" applyFill="1" applyBorder="1" applyAlignment="1">
      <alignment wrapText="1"/>
    </xf>
    <xf numFmtId="0" fontId="0" fillId="33" borderId="12" xfId="0" applyNumberFormat="1" applyFill="1" applyBorder="1" applyAlignment="1">
      <alignment horizontal="center" vertical="center" wrapText="1"/>
    </xf>
    <xf numFmtId="0" fontId="0" fillId="33" borderId="10" xfId="0" applyNumberFormat="1" applyFill="1" applyBorder="1" applyAlignment="1">
      <alignment horizontal="center" vertical="center" wrapText="1"/>
    </xf>
    <xf numFmtId="0" fontId="0" fillId="33" borderId="10" xfId="0" applyFill="1" applyBorder="1" applyAlignment="1">
      <alignment horizontal="center" vertical="center"/>
    </xf>
    <xf numFmtId="0" fontId="0" fillId="33" borderId="10" xfId="0" applyNumberFormat="1" applyFill="1" applyBorder="1" applyAlignment="1">
      <alignment horizontal="center" vertical="center"/>
    </xf>
    <xf numFmtId="0" fontId="0" fillId="0" borderId="14" xfId="0" applyNumberFormat="1" applyBorder="1" applyAlignment="1">
      <alignment horizontal="center" vertical="center" wrapText="1"/>
    </xf>
    <xf numFmtId="0" fontId="16" fillId="35" borderId="10" xfId="0" applyFont="1" applyFill="1" applyBorder="1" applyAlignment="1">
      <alignment horizontal="left" vertical="top" wrapText="1"/>
    </xf>
    <xf numFmtId="0" fontId="0" fillId="0" borderId="13" xfId="0" applyBorder="1" applyAlignment="1">
      <alignment horizontal="left" wrapText="1"/>
    </xf>
    <xf numFmtId="0" fontId="19" fillId="35" borderId="10" xfId="0" applyFont="1" applyFill="1" applyBorder="1" applyAlignment="1">
      <alignment horizontal="left" vertical="top" wrapText="1"/>
    </xf>
    <xf numFmtId="0" fontId="16" fillId="36" borderId="10" xfId="0" applyFont="1" applyFill="1" applyBorder="1" applyAlignment="1">
      <alignment horizontal="center" vertical="center"/>
    </xf>
    <xf numFmtId="0" fontId="16" fillId="37" borderId="10" xfId="0" applyFont="1" applyFill="1" applyBorder="1" applyAlignment="1">
      <alignment horizontal="left" vertical="top" wrapText="1"/>
    </xf>
    <xf numFmtId="0" fontId="16" fillId="37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98">
    <dxf>
      <alignment vertical="center"/>
    </dxf>
    <dxf>
      <alignment horizontal="center"/>
    </dxf>
    <dxf>
      <font>
        <color theme="1"/>
      </font>
      <fill>
        <patternFill>
          <bgColor rgb="FFFFFF00"/>
        </patternFill>
      </fill>
    </dxf>
    <dxf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ont>
        <color rgb="FF9C0006"/>
      </font>
    </dxf>
    <dxf>
      <font>
        <color theme="1"/>
      </font>
      <fill>
        <patternFill>
          <bgColor rgb="FFFFFF00"/>
        </patternFill>
      </fill>
    </dxf>
    <dxf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ont>
        <color rgb="FF9C0006"/>
      </font>
    </dxf>
    <dxf>
      <font>
        <color theme="1"/>
      </font>
      <fill>
        <patternFill>
          <bgColor rgb="FFFFFF00"/>
        </patternFill>
      </fill>
    </dxf>
    <dxf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ont>
        <color rgb="FF9C0006"/>
      </font>
    </dxf>
    <dxf>
      <font>
        <color theme="1"/>
      </font>
      <fill>
        <patternFill>
          <bgColor rgb="FFFFFF00"/>
        </patternFill>
      </fill>
    </dxf>
    <dxf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ont>
        <color rgb="FF9C0006"/>
      </font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center"/>
    </dxf>
    <dxf>
      <alignment vertical="top"/>
    </dxf>
    <dxf>
      <alignment vertical="top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/mm/yyyy"/>
      <alignment horizontal="center" vertical="center" textRotation="0" wrapText="1" indent="0" justifyLastLine="0" shrinkToFit="0" readingOrder="0"/>
    </dxf>
    <dxf>
      <numFmt numFmtId="19" formatCode="d/mm/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numFmt numFmtId="19" formatCode="d/mm/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numFmt numFmtId="19" formatCode="d/mm/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</dxf>
    <dxf>
      <numFmt numFmtId="19" formatCode="d/mm/yyyy"/>
    </dxf>
    <dxf>
      <numFmt numFmtId="19" formatCode="d/mm/yyyy"/>
    </dxf>
    <dxf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/mm/yyyy"/>
    </dxf>
    <dxf>
      <numFmt numFmtId="19" formatCode="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hmed Al Rafsan" refreshedDate="46015.364775810187" createdVersion="8" refreshedVersion="8" minRefreshableVersion="3" recordCount="1000" xr:uid="{0C13426F-1855-4233-B69F-9658A6084141}">
  <cacheSource type="worksheet">
    <worksheetSource name="Table15678"/>
  </cacheSource>
  <cacheFields count="20">
    <cacheField name="Transaction 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 count="47">
        <n v="34"/>
        <n v="26"/>
        <n v="50"/>
        <n v="37"/>
        <n v="30"/>
        <n v="45"/>
        <n v="46"/>
        <n v="63"/>
        <n v="52"/>
        <n v="23"/>
        <n v="35"/>
        <n v="22"/>
        <n v="64"/>
        <n v="42"/>
        <n v="19"/>
        <n v="27"/>
        <n v="47"/>
        <n v="62"/>
        <n v="18"/>
        <n v="49"/>
        <n v="28"/>
        <n v="38"/>
        <n v="43"/>
        <n v="39"/>
        <n v="44"/>
        <n v="51"/>
        <n v="58"/>
        <n v="48"/>
        <n v="55"/>
        <n v="20"/>
        <n v="40"/>
        <n v="54"/>
        <n v="36"/>
        <n v="31"/>
        <n v="21"/>
        <n v="57"/>
        <n v="25"/>
        <n v="56"/>
        <n v="29"/>
        <n v="61"/>
        <n v="32"/>
        <n v="41"/>
        <n v="59"/>
        <n v="60"/>
        <n v="33"/>
        <n v="53"/>
        <n v="24"/>
      </sharedItems>
    </cacheField>
    <cacheField name="Customer Segment" numFmtId="0">
      <sharedItems count="3">
        <s v="Median"/>
        <s v="Old"/>
        <s v="Teenager"/>
      </sharedItems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Amount" numFmtId="0">
      <sharedItems containsSemiMixedTypes="0" containsString="0" containsNumber="1" containsInteger="1" minValue="25" maxValue="2000"/>
    </cacheField>
    <cacheField name="Transaction Priority" numFmtId="0">
      <sharedItems/>
    </cacheField>
    <cacheField name="Sales Category" numFmtId="0">
      <sharedItems/>
    </cacheField>
    <cacheField name="Discount Eligibility" numFmtId="0">
      <sharedItems/>
    </cacheField>
    <cacheField name="Discount Amount" numFmtId="0">
      <sharedItems containsSemiMixedTypes="0" containsString="0" containsNumber="1" minValue="0" maxValue="400"/>
    </cacheField>
    <cacheField name="Amout After Discount" numFmtId="0">
      <sharedItems containsSemiMixedTypes="0" containsString="0" containsNumber="1" minValue="20" maxValue="2000"/>
    </cacheField>
    <cacheField name="Sales_Level" numFmtId="0">
      <sharedItems/>
    </cacheField>
    <cacheField name="Priority_IFS" numFmtId="0">
      <sharedItems/>
    </cacheField>
    <cacheField name="Customer_Code" numFmtId="0">
      <sharedItems/>
    </cacheField>
    <cacheField name="Month" numFmtId="0">
      <sharedItems count="12">
        <s v="Nov"/>
        <s v="Feb"/>
        <s v="Jan"/>
        <s v="May"/>
        <s v="Apr"/>
        <s v="Mar"/>
        <s v="Dec"/>
        <s v="Oct"/>
        <s v="Aug"/>
        <s v="Sep"/>
        <s v="Jun"/>
        <s v="Jul"/>
      </sharedItems>
    </cacheField>
    <cacheField name="Da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d v="2023-11-24T00:00:00"/>
    <s v="CUST001"/>
    <x v="0"/>
    <x v="0"/>
    <x v="0"/>
    <x v="0"/>
    <n v="3"/>
    <n v="50"/>
    <n v="150"/>
    <s v="Normal"/>
    <s v="Low"/>
    <s v="Yes"/>
    <n v="22.5"/>
    <n v="127.5"/>
    <s v="Low"/>
    <s v="Normal"/>
    <s v="CUST001-34"/>
    <x v="0"/>
    <s v="Fri"/>
  </r>
  <r>
    <n v="2"/>
    <d v="2023-02-27T00:00:00"/>
    <s v="CUST002"/>
    <x v="1"/>
    <x v="1"/>
    <x v="0"/>
    <x v="1"/>
    <n v="2"/>
    <n v="500"/>
    <n v="1000"/>
    <s v="High"/>
    <s v="High"/>
    <s v="Yes"/>
    <n v="150"/>
    <n v="850"/>
    <s v="High"/>
    <s v="Normal"/>
    <s v="CUST002-26"/>
    <x v="1"/>
    <s v="Mon"/>
  </r>
  <r>
    <n v="3"/>
    <d v="2023-01-13T00:00:00"/>
    <s v="CUST003"/>
    <x v="0"/>
    <x v="2"/>
    <x v="1"/>
    <x v="2"/>
    <n v="1"/>
    <n v="30"/>
    <n v="30"/>
    <s v="Normal"/>
    <s v="Low"/>
    <s v="Yes"/>
    <n v="3"/>
    <n v="27"/>
    <s v="Low"/>
    <s v="Normal"/>
    <s v="CUST003-50"/>
    <x v="2"/>
    <s v="Fri"/>
  </r>
  <r>
    <n v="4"/>
    <d v="2023-05-21T00:00:00"/>
    <s v="CUST004"/>
    <x v="0"/>
    <x v="3"/>
    <x v="0"/>
    <x v="1"/>
    <n v="1"/>
    <n v="500"/>
    <n v="500"/>
    <s v="Normal"/>
    <s v="Medium"/>
    <s v="Yes"/>
    <n v="50"/>
    <n v="450"/>
    <s v="Low"/>
    <s v="Normal"/>
    <s v="CUST004-37"/>
    <x v="3"/>
    <s v="Sun"/>
  </r>
  <r>
    <n v="5"/>
    <d v="2023-05-06T00:00:00"/>
    <s v="CUST005"/>
    <x v="0"/>
    <x v="4"/>
    <x v="0"/>
    <x v="0"/>
    <n v="2"/>
    <n v="50"/>
    <n v="100"/>
    <s v="Normal"/>
    <s v="Low"/>
    <s v="Yes"/>
    <n v="15"/>
    <n v="85"/>
    <s v="Low"/>
    <s v="Normal"/>
    <s v="CUST005-30"/>
    <x v="3"/>
    <s v="Sat"/>
  </r>
  <r>
    <n v="6"/>
    <d v="2023-04-25T00:00:00"/>
    <s v="CUST006"/>
    <x v="1"/>
    <x v="5"/>
    <x v="1"/>
    <x v="0"/>
    <n v="1"/>
    <n v="30"/>
    <n v="30"/>
    <s v="Normal"/>
    <s v="Low"/>
    <s v="Yes"/>
    <n v="6"/>
    <n v="24"/>
    <s v="Low"/>
    <s v="Normal"/>
    <s v="CUST006-45"/>
    <x v="4"/>
    <s v="Tue"/>
  </r>
  <r>
    <n v="7"/>
    <d v="2023-03-13T00:00:00"/>
    <s v="CUST007"/>
    <x v="0"/>
    <x v="6"/>
    <x v="1"/>
    <x v="1"/>
    <n v="2"/>
    <n v="25"/>
    <n v="50"/>
    <s v="Normal"/>
    <s v="Low"/>
    <s v="Yes"/>
    <n v="5"/>
    <n v="45"/>
    <s v="Low"/>
    <s v="Normal"/>
    <s v="CUST007-46"/>
    <x v="5"/>
    <s v="Mon"/>
  </r>
  <r>
    <n v="8"/>
    <d v="2023-02-22T00:00:00"/>
    <s v="CUST008"/>
    <x v="0"/>
    <x v="4"/>
    <x v="0"/>
    <x v="2"/>
    <n v="4"/>
    <n v="25"/>
    <n v="100"/>
    <s v="Normal"/>
    <s v="Low"/>
    <s v="Yes"/>
    <n v="15"/>
    <n v="85"/>
    <s v="Low"/>
    <s v="Normal"/>
    <s v="CUST008-30"/>
    <x v="1"/>
    <s v="Wed"/>
  </r>
  <r>
    <n v="9"/>
    <d v="2023-12-13T00:00:00"/>
    <s v="CUST009"/>
    <x v="0"/>
    <x v="7"/>
    <x v="1"/>
    <x v="2"/>
    <n v="2"/>
    <n v="300"/>
    <n v="600"/>
    <s v="Normal"/>
    <s v="Medium"/>
    <s v="Yes"/>
    <n v="60"/>
    <n v="540"/>
    <s v="Low"/>
    <s v="Normal"/>
    <s v="CUST009-63"/>
    <x v="6"/>
    <s v="Wed"/>
  </r>
  <r>
    <n v="10"/>
    <d v="2023-10-07T00:00:00"/>
    <s v="CUST010"/>
    <x v="1"/>
    <x v="8"/>
    <x v="1"/>
    <x v="1"/>
    <n v="4"/>
    <n v="50"/>
    <n v="200"/>
    <s v="Normal"/>
    <s v="Low"/>
    <s v="Yes"/>
    <n v="40"/>
    <n v="160"/>
    <s v="Low"/>
    <s v="Normal"/>
    <s v="CUST010-52"/>
    <x v="7"/>
    <s v="Sat"/>
  </r>
  <r>
    <n v="11"/>
    <d v="2023-02-14T00:00:00"/>
    <s v="CUST011"/>
    <x v="0"/>
    <x v="9"/>
    <x v="0"/>
    <x v="1"/>
    <n v="2"/>
    <n v="50"/>
    <n v="100"/>
    <s v="Normal"/>
    <s v="Low"/>
    <s v="No"/>
    <n v="0"/>
    <n v="100"/>
    <s v="Low"/>
    <s v="Normal"/>
    <s v="CUST011-23"/>
    <x v="1"/>
    <s v="Tue"/>
  </r>
  <r>
    <n v="12"/>
    <d v="2023-10-30T00:00:00"/>
    <s v="CUST012"/>
    <x v="0"/>
    <x v="10"/>
    <x v="0"/>
    <x v="0"/>
    <n v="3"/>
    <n v="25"/>
    <n v="75"/>
    <s v="Normal"/>
    <s v="Low"/>
    <s v="Yes"/>
    <n v="7.5"/>
    <n v="67.5"/>
    <s v="Low"/>
    <s v="Normal"/>
    <s v="CUST012-35"/>
    <x v="7"/>
    <s v="Mon"/>
  </r>
  <r>
    <n v="13"/>
    <d v="2023-08-05T00:00:00"/>
    <s v="CUST013"/>
    <x v="0"/>
    <x v="11"/>
    <x v="0"/>
    <x v="2"/>
    <n v="3"/>
    <n v="500"/>
    <n v="1500"/>
    <s v="Critical"/>
    <s v="High"/>
    <s v="No"/>
    <n v="0"/>
    <n v="1500"/>
    <s v="High"/>
    <b v="1"/>
    <s v="CUST013-22"/>
    <x v="8"/>
    <s v="Sat"/>
  </r>
  <r>
    <n v="14"/>
    <d v="2023-01-17T00:00:00"/>
    <s v="CUST014"/>
    <x v="0"/>
    <x v="12"/>
    <x v="1"/>
    <x v="1"/>
    <n v="4"/>
    <n v="30"/>
    <n v="120"/>
    <s v="Normal"/>
    <s v="Low"/>
    <s v="Yes"/>
    <n v="12"/>
    <n v="108"/>
    <s v="Low"/>
    <s v="Normal"/>
    <s v="CUST014-64"/>
    <x v="2"/>
    <s v="Tue"/>
  </r>
  <r>
    <n v="15"/>
    <d v="2023-01-16T00:00:00"/>
    <s v="CUST015"/>
    <x v="1"/>
    <x v="13"/>
    <x v="1"/>
    <x v="2"/>
    <n v="4"/>
    <n v="500"/>
    <n v="2000"/>
    <s v="Critical"/>
    <s v="High"/>
    <s v="Yes"/>
    <n v="400"/>
    <n v="1600"/>
    <s v="High"/>
    <b v="1"/>
    <s v="CUST015-42"/>
    <x v="2"/>
    <s v="Mon"/>
  </r>
  <r>
    <n v="16"/>
    <d v="2023-02-17T00:00:00"/>
    <s v="CUST016"/>
    <x v="0"/>
    <x v="14"/>
    <x v="2"/>
    <x v="1"/>
    <n v="3"/>
    <n v="500"/>
    <n v="1500"/>
    <s v="Critical"/>
    <s v="High"/>
    <s v="No"/>
    <n v="0"/>
    <n v="1500"/>
    <s v="High"/>
    <b v="1"/>
    <s v="CUST016-19"/>
    <x v="1"/>
    <s v="Fri"/>
  </r>
  <r>
    <n v="17"/>
    <d v="2023-04-22T00:00:00"/>
    <s v="CUST017"/>
    <x v="1"/>
    <x v="15"/>
    <x v="0"/>
    <x v="1"/>
    <n v="4"/>
    <n v="25"/>
    <n v="100"/>
    <s v="Normal"/>
    <s v="Low"/>
    <s v="Yes"/>
    <n v="15"/>
    <n v="85"/>
    <s v="Low"/>
    <s v="Normal"/>
    <s v="CUST017-27"/>
    <x v="4"/>
    <s v="Sat"/>
  </r>
  <r>
    <n v="18"/>
    <d v="2023-04-30T00:00:00"/>
    <s v="CUST018"/>
    <x v="1"/>
    <x v="16"/>
    <x v="1"/>
    <x v="2"/>
    <n v="2"/>
    <n v="25"/>
    <n v="50"/>
    <s v="Normal"/>
    <s v="Low"/>
    <s v="Yes"/>
    <n v="10"/>
    <n v="40"/>
    <s v="Low"/>
    <s v="Normal"/>
    <s v="CUST018-47"/>
    <x v="4"/>
    <s v="Sun"/>
  </r>
  <r>
    <n v="19"/>
    <d v="2023-09-16T00:00:00"/>
    <s v="CUST019"/>
    <x v="1"/>
    <x v="17"/>
    <x v="1"/>
    <x v="1"/>
    <n v="2"/>
    <n v="25"/>
    <n v="50"/>
    <s v="Normal"/>
    <s v="Low"/>
    <s v="Yes"/>
    <n v="10"/>
    <n v="40"/>
    <s v="Low"/>
    <s v="Normal"/>
    <s v="CUST019-62"/>
    <x v="9"/>
    <s v="Sat"/>
  </r>
  <r>
    <n v="20"/>
    <d v="2023-11-05T00:00:00"/>
    <s v="CUST020"/>
    <x v="0"/>
    <x v="11"/>
    <x v="0"/>
    <x v="1"/>
    <n v="3"/>
    <n v="300"/>
    <n v="900"/>
    <s v="Normal"/>
    <s v="Medium"/>
    <s v="No"/>
    <n v="0"/>
    <n v="900"/>
    <s v="Low"/>
    <s v="Normal"/>
    <s v="CUST020-22"/>
    <x v="0"/>
    <s v="Sun"/>
  </r>
  <r>
    <n v="21"/>
    <d v="2023-01-14T00:00:00"/>
    <s v="CUST021"/>
    <x v="1"/>
    <x v="2"/>
    <x v="1"/>
    <x v="0"/>
    <n v="1"/>
    <n v="500"/>
    <n v="500"/>
    <s v="Normal"/>
    <s v="Medium"/>
    <s v="Yes"/>
    <n v="100"/>
    <n v="400"/>
    <s v="Low"/>
    <s v="Normal"/>
    <s v="CUST021-50"/>
    <x v="2"/>
    <s v="Sat"/>
  </r>
  <r>
    <n v="22"/>
    <d v="2023-10-15T00:00:00"/>
    <s v="CUST022"/>
    <x v="0"/>
    <x v="18"/>
    <x v="2"/>
    <x v="1"/>
    <n v="2"/>
    <n v="50"/>
    <n v="100"/>
    <s v="Normal"/>
    <s v="Low"/>
    <s v="No"/>
    <n v="0"/>
    <n v="100"/>
    <s v="Low"/>
    <s v="Normal"/>
    <s v="CUST022-18"/>
    <x v="7"/>
    <s v="Sun"/>
  </r>
  <r>
    <n v="23"/>
    <d v="2023-04-12T00:00:00"/>
    <s v="CUST023"/>
    <x v="1"/>
    <x v="10"/>
    <x v="0"/>
    <x v="1"/>
    <n v="4"/>
    <n v="30"/>
    <n v="120"/>
    <s v="Normal"/>
    <s v="Low"/>
    <s v="Yes"/>
    <n v="24"/>
    <n v="96"/>
    <s v="Low"/>
    <s v="Normal"/>
    <s v="CUST023-35"/>
    <x v="4"/>
    <s v="Wed"/>
  </r>
  <r>
    <n v="24"/>
    <d v="2023-11-29T00:00:00"/>
    <s v="CUST024"/>
    <x v="1"/>
    <x v="19"/>
    <x v="1"/>
    <x v="1"/>
    <n v="1"/>
    <n v="300"/>
    <n v="300"/>
    <s v="Normal"/>
    <s v="Low"/>
    <s v="Yes"/>
    <n v="60"/>
    <n v="240"/>
    <s v="Low"/>
    <s v="Normal"/>
    <s v="CUST024-49"/>
    <x v="0"/>
    <s v="Wed"/>
  </r>
  <r>
    <n v="25"/>
    <d v="2023-12-26T00:00:00"/>
    <s v="CUST025"/>
    <x v="1"/>
    <x v="12"/>
    <x v="1"/>
    <x v="0"/>
    <n v="1"/>
    <n v="50"/>
    <n v="50"/>
    <s v="Normal"/>
    <s v="Low"/>
    <s v="Yes"/>
    <n v="10"/>
    <n v="40"/>
    <s v="Low"/>
    <s v="Normal"/>
    <s v="CUST025-64"/>
    <x v="6"/>
    <s v="Tue"/>
  </r>
  <r>
    <n v="26"/>
    <d v="2023-10-07T00:00:00"/>
    <s v="CUST026"/>
    <x v="1"/>
    <x v="20"/>
    <x v="0"/>
    <x v="2"/>
    <n v="2"/>
    <n v="500"/>
    <n v="1000"/>
    <s v="High"/>
    <s v="High"/>
    <s v="Yes"/>
    <n v="150"/>
    <n v="850"/>
    <s v="High"/>
    <s v="Normal"/>
    <s v="CUST026-28"/>
    <x v="7"/>
    <s v="Sat"/>
  </r>
  <r>
    <n v="27"/>
    <d v="2023-08-03T00:00:00"/>
    <s v="CUST027"/>
    <x v="1"/>
    <x v="21"/>
    <x v="0"/>
    <x v="0"/>
    <n v="2"/>
    <n v="25"/>
    <n v="50"/>
    <s v="Normal"/>
    <s v="Low"/>
    <s v="Yes"/>
    <n v="10"/>
    <n v="40"/>
    <s v="Low"/>
    <s v="Normal"/>
    <s v="CUST027-38"/>
    <x v="8"/>
    <s v="Thu"/>
  </r>
  <r>
    <n v="28"/>
    <d v="2023-04-23T00:00:00"/>
    <s v="CUST028"/>
    <x v="1"/>
    <x v="22"/>
    <x v="1"/>
    <x v="0"/>
    <n v="1"/>
    <n v="500"/>
    <n v="500"/>
    <s v="Normal"/>
    <s v="Medium"/>
    <s v="Yes"/>
    <n v="100"/>
    <n v="400"/>
    <s v="Low"/>
    <s v="Normal"/>
    <s v="CUST028-43"/>
    <x v="4"/>
    <s v="Sun"/>
  </r>
  <r>
    <n v="29"/>
    <d v="2023-08-18T00:00:00"/>
    <s v="CUST029"/>
    <x v="1"/>
    <x v="13"/>
    <x v="1"/>
    <x v="2"/>
    <n v="1"/>
    <n v="30"/>
    <n v="30"/>
    <s v="Normal"/>
    <s v="Low"/>
    <s v="Yes"/>
    <n v="6"/>
    <n v="24"/>
    <s v="Low"/>
    <s v="Normal"/>
    <s v="CUST029-42"/>
    <x v="8"/>
    <s v="Fri"/>
  </r>
  <r>
    <n v="30"/>
    <d v="2023-10-29T00:00:00"/>
    <s v="CUST030"/>
    <x v="1"/>
    <x v="23"/>
    <x v="0"/>
    <x v="0"/>
    <n v="3"/>
    <n v="300"/>
    <n v="900"/>
    <s v="Normal"/>
    <s v="Medium"/>
    <s v="Yes"/>
    <n v="180"/>
    <n v="720"/>
    <s v="Low"/>
    <s v="Normal"/>
    <s v="CUST030-39"/>
    <x v="7"/>
    <s v="Sun"/>
  </r>
  <r>
    <n v="31"/>
    <d v="2023-05-23T00:00:00"/>
    <s v="CUST031"/>
    <x v="0"/>
    <x v="24"/>
    <x v="1"/>
    <x v="2"/>
    <n v="4"/>
    <n v="300"/>
    <n v="1200"/>
    <s v="High"/>
    <s v="High"/>
    <s v="Yes"/>
    <n v="120"/>
    <n v="1080"/>
    <s v="High"/>
    <s v="Normal"/>
    <s v="CUST031-44"/>
    <x v="3"/>
    <s v="Tue"/>
  </r>
  <r>
    <n v="32"/>
    <d v="2023-01-04T00:00:00"/>
    <s v="CUST032"/>
    <x v="0"/>
    <x v="4"/>
    <x v="0"/>
    <x v="0"/>
    <n v="3"/>
    <n v="30"/>
    <n v="90"/>
    <s v="Normal"/>
    <s v="Low"/>
    <s v="Yes"/>
    <n v="13.5"/>
    <n v="76.5"/>
    <s v="Low"/>
    <s v="Normal"/>
    <s v="CUST032-30"/>
    <x v="2"/>
    <s v="Wed"/>
  </r>
  <r>
    <n v="33"/>
    <d v="2023-03-23T00:00:00"/>
    <s v="CUST033"/>
    <x v="1"/>
    <x v="2"/>
    <x v="1"/>
    <x v="2"/>
    <n v="2"/>
    <n v="50"/>
    <n v="100"/>
    <s v="Normal"/>
    <s v="Low"/>
    <s v="Yes"/>
    <n v="20"/>
    <n v="80"/>
    <s v="Low"/>
    <s v="Normal"/>
    <s v="CUST033-50"/>
    <x v="5"/>
    <s v="Thu"/>
  </r>
  <r>
    <n v="34"/>
    <d v="2023-12-24T00:00:00"/>
    <s v="CUST034"/>
    <x v="1"/>
    <x v="25"/>
    <x v="1"/>
    <x v="1"/>
    <n v="3"/>
    <n v="50"/>
    <n v="150"/>
    <s v="Normal"/>
    <s v="Low"/>
    <s v="Yes"/>
    <n v="30"/>
    <n v="120"/>
    <s v="Low"/>
    <s v="Normal"/>
    <s v="CUST034-51"/>
    <x v="6"/>
    <s v="Sun"/>
  </r>
  <r>
    <n v="35"/>
    <d v="2023-08-05T00:00:00"/>
    <s v="CUST035"/>
    <x v="1"/>
    <x v="26"/>
    <x v="1"/>
    <x v="0"/>
    <n v="3"/>
    <n v="300"/>
    <n v="900"/>
    <s v="Normal"/>
    <s v="Medium"/>
    <s v="Yes"/>
    <n v="180"/>
    <n v="720"/>
    <s v="Low"/>
    <s v="Normal"/>
    <s v="CUST035-58"/>
    <x v="8"/>
    <s v="Sat"/>
  </r>
  <r>
    <n v="36"/>
    <d v="2023-06-24T00:00:00"/>
    <s v="CUST036"/>
    <x v="0"/>
    <x v="8"/>
    <x v="1"/>
    <x v="0"/>
    <n v="3"/>
    <n v="300"/>
    <n v="900"/>
    <s v="Normal"/>
    <s v="Medium"/>
    <s v="Yes"/>
    <n v="90"/>
    <n v="810"/>
    <s v="Low"/>
    <s v="Normal"/>
    <s v="CUST036-52"/>
    <x v="10"/>
    <s v="Sat"/>
  </r>
  <r>
    <n v="37"/>
    <d v="2023-05-23T00:00:00"/>
    <s v="CUST037"/>
    <x v="1"/>
    <x v="18"/>
    <x v="2"/>
    <x v="0"/>
    <n v="3"/>
    <n v="25"/>
    <n v="75"/>
    <s v="Normal"/>
    <s v="Low"/>
    <s v="No"/>
    <n v="0"/>
    <n v="75"/>
    <s v="Low"/>
    <s v="Normal"/>
    <s v="CUST037-18"/>
    <x v="3"/>
    <s v="Tue"/>
  </r>
  <r>
    <n v="38"/>
    <d v="2023-03-21T00:00:00"/>
    <s v="CUST038"/>
    <x v="0"/>
    <x v="21"/>
    <x v="0"/>
    <x v="0"/>
    <n v="4"/>
    <n v="50"/>
    <n v="200"/>
    <s v="Normal"/>
    <s v="Low"/>
    <s v="Yes"/>
    <n v="20"/>
    <n v="180"/>
    <s v="Low"/>
    <s v="Normal"/>
    <s v="CUST038-38"/>
    <x v="5"/>
    <s v="Tue"/>
  </r>
  <r>
    <n v="39"/>
    <d v="2023-04-21T00:00:00"/>
    <s v="CUST039"/>
    <x v="0"/>
    <x v="9"/>
    <x v="0"/>
    <x v="1"/>
    <n v="4"/>
    <n v="30"/>
    <n v="120"/>
    <s v="Normal"/>
    <s v="Low"/>
    <s v="No"/>
    <n v="0"/>
    <n v="120"/>
    <s v="Low"/>
    <s v="Normal"/>
    <s v="CUST039-23"/>
    <x v="4"/>
    <s v="Fri"/>
  </r>
  <r>
    <n v="40"/>
    <d v="2023-06-22T00:00:00"/>
    <s v="CUST040"/>
    <x v="0"/>
    <x v="5"/>
    <x v="1"/>
    <x v="0"/>
    <n v="1"/>
    <n v="50"/>
    <n v="50"/>
    <s v="Normal"/>
    <s v="Low"/>
    <s v="Yes"/>
    <n v="5"/>
    <n v="45"/>
    <s v="Low"/>
    <s v="Normal"/>
    <s v="CUST040-45"/>
    <x v="10"/>
    <s v="Thu"/>
  </r>
  <r>
    <n v="41"/>
    <d v="2023-02-22T00:00:00"/>
    <s v="CUST041"/>
    <x v="0"/>
    <x v="0"/>
    <x v="0"/>
    <x v="1"/>
    <n v="2"/>
    <n v="25"/>
    <n v="50"/>
    <s v="Normal"/>
    <s v="Low"/>
    <s v="Yes"/>
    <n v="7.5"/>
    <n v="42.5"/>
    <s v="Low"/>
    <s v="Normal"/>
    <s v="CUST041-34"/>
    <x v="1"/>
    <s v="Wed"/>
  </r>
  <r>
    <n v="42"/>
    <d v="2023-02-17T00:00:00"/>
    <s v="CUST042"/>
    <x v="0"/>
    <x v="11"/>
    <x v="0"/>
    <x v="1"/>
    <n v="3"/>
    <n v="300"/>
    <n v="900"/>
    <s v="Normal"/>
    <s v="Medium"/>
    <s v="No"/>
    <n v="0"/>
    <n v="900"/>
    <s v="Low"/>
    <s v="Normal"/>
    <s v="CUST042-22"/>
    <x v="1"/>
    <s v="Fri"/>
  </r>
  <r>
    <n v="43"/>
    <d v="2023-07-14T00:00:00"/>
    <s v="CUST043"/>
    <x v="1"/>
    <x v="27"/>
    <x v="1"/>
    <x v="1"/>
    <n v="1"/>
    <n v="300"/>
    <n v="300"/>
    <s v="Normal"/>
    <s v="Low"/>
    <s v="Yes"/>
    <n v="60"/>
    <n v="240"/>
    <s v="Low"/>
    <s v="Normal"/>
    <s v="CUST043-48"/>
    <x v="11"/>
    <s v="Fri"/>
  </r>
  <r>
    <n v="44"/>
    <d v="2023-02-19T00:00:00"/>
    <s v="CUST044"/>
    <x v="1"/>
    <x v="11"/>
    <x v="0"/>
    <x v="1"/>
    <n v="1"/>
    <n v="25"/>
    <n v="25"/>
    <s v="Normal"/>
    <s v="Low"/>
    <s v="No"/>
    <n v="0"/>
    <n v="25"/>
    <s v="Low"/>
    <s v="Normal"/>
    <s v="CUST044-22"/>
    <x v="1"/>
    <s v="Sun"/>
  </r>
  <r>
    <n v="45"/>
    <d v="2023-07-03T00:00:00"/>
    <s v="CUST045"/>
    <x v="1"/>
    <x v="28"/>
    <x v="1"/>
    <x v="2"/>
    <n v="1"/>
    <n v="30"/>
    <n v="30"/>
    <s v="Normal"/>
    <s v="Low"/>
    <s v="Yes"/>
    <n v="6"/>
    <n v="24"/>
    <s v="Low"/>
    <s v="Normal"/>
    <s v="CUST045-55"/>
    <x v="11"/>
    <s v="Mon"/>
  </r>
  <r>
    <n v="46"/>
    <d v="2023-06-26T00:00:00"/>
    <s v="CUST046"/>
    <x v="1"/>
    <x v="29"/>
    <x v="0"/>
    <x v="2"/>
    <n v="4"/>
    <n v="300"/>
    <n v="1200"/>
    <s v="High"/>
    <s v="High"/>
    <s v="No"/>
    <n v="0"/>
    <n v="1200"/>
    <s v="High"/>
    <s v="Normal"/>
    <s v="CUST046-20"/>
    <x v="10"/>
    <s v="Mon"/>
  </r>
  <r>
    <n v="47"/>
    <d v="2023-11-06T00:00:00"/>
    <s v="CUST047"/>
    <x v="1"/>
    <x v="30"/>
    <x v="0"/>
    <x v="0"/>
    <n v="3"/>
    <n v="500"/>
    <n v="1500"/>
    <s v="Critical"/>
    <s v="High"/>
    <s v="Yes"/>
    <n v="300"/>
    <n v="1200"/>
    <s v="High"/>
    <b v="1"/>
    <s v="CUST047-40"/>
    <x v="0"/>
    <s v="Mon"/>
  </r>
  <r>
    <n v="48"/>
    <d v="2023-05-16T00:00:00"/>
    <s v="CUST048"/>
    <x v="0"/>
    <x v="31"/>
    <x v="1"/>
    <x v="2"/>
    <n v="3"/>
    <n v="300"/>
    <n v="900"/>
    <s v="Normal"/>
    <s v="Medium"/>
    <s v="Yes"/>
    <n v="90"/>
    <n v="810"/>
    <s v="Low"/>
    <s v="Normal"/>
    <s v="CUST048-54"/>
    <x v="3"/>
    <s v="Tue"/>
  </r>
  <r>
    <n v="49"/>
    <d v="2023-01-23T00:00:00"/>
    <s v="CUST049"/>
    <x v="1"/>
    <x v="31"/>
    <x v="1"/>
    <x v="2"/>
    <n v="2"/>
    <n v="500"/>
    <n v="1000"/>
    <s v="High"/>
    <s v="High"/>
    <s v="Yes"/>
    <n v="200"/>
    <n v="800"/>
    <s v="High"/>
    <s v="Normal"/>
    <s v="CUST049-54"/>
    <x v="2"/>
    <s v="Mon"/>
  </r>
  <r>
    <n v="50"/>
    <d v="2023-08-24T00:00:00"/>
    <s v="CUST050"/>
    <x v="1"/>
    <x v="15"/>
    <x v="0"/>
    <x v="0"/>
    <n v="3"/>
    <n v="25"/>
    <n v="75"/>
    <s v="Normal"/>
    <s v="Low"/>
    <s v="Yes"/>
    <n v="11.25"/>
    <n v="63.75"/>
    <s v="Low"/>
    <s v="Normal"/>
    <s v="CUST050-27"/>
    <x v="8"/>
    <s v="Thu"/>
  </r>
  <r>
    <n v="51"/>
    <d v="2023-10-02T00:00:00"/>
    <s v="CUST051"/>
    <x v="0"/>
    <x v="15"/>
    <x v="0"/>
    <x v="0"/>
    <n v="3"/>
    <n v="25"/>
    <n v="75"/>
    <s v="Normal"/>
    <s v="Low"/>
    <s v="Yes"/>
    <n v="11.25"/>
    <n v="63.75"/>
    <s v="Low"/>
    <s v="Normal"/>
    <s v="CUST051-27"/>
    <x v="7"/>
    <s v="Mon"/>
  </r>
  <r>
    <n v="52"/>
    <d v="2023-03-05T00:00:00"/>
    <s v="CUST052"/>
    <x v="1"/>
    <x v="32"/>
    <x v="0"/>
    <x v="0"/>
    <n v="1"/>
    <n v="300"/>
    <n v="300"/>
    <s v="Normal"/>
    <s v="Low"/>
    <s v="Yes"/>
    <n v="60"/>
    <n v="240"/>
    <s v="Low"/>
    <s v="Normal"/>
    <s v="CUST052-36"/>
    <x v="5"/>
    <s v="Sun"/>
  </r>
  <r>
    <n v="53"/>
    <d v="2023-07-13T00:00:00"/>
    <s v="CUST053"/>
    <x v="0"/>
    <x v="0"/>
    <x v="0"/>
    <x v="2"/>
    <n v="2"/>
    <n v="50"/>
    <n v="100"/>
    <s v="Normal"/>
    <s v="Low"/>
    <s v="Yes"/>
    <n v="15"/>
    <n v="85"/>
    <s v="Low"/>
    <s v="Normal"/>
    <s v="CUST053-34"/>
    <x v="11"/>
    <s v="Thu"/>
  </r>
  <r>
    <n v="54"/>
    <d v="2023-02-10T00:00:00"/>
    <s v="CUST054"/>
    <x v="1"/>
    <x v="21"/>
    <x v="0"/>
    <x v="2"/>
    <n v="3"/>
    <n v="500"/>
    <n v="1500"/>
    <s v="Critical"/>
    <s v="High"/>
    <s v="Yes"/>
    <n v="300"/>
    <n v="1200"/>
    <s v="High"/>
    <b v="1"/>
    <s v="CUST054-38"/>
    <x v="1"/>
    <s v="Fri"/>
  </r>
  <r>
    <n v="55"/>
    <d v="2023-10-10T00:00:00"/>
    <s v="CUST055"/>
    <x v="0"/>
    <x v="33"/>
    <x v="0"/>
    <x v="0"/>
    <n v="4"/>
    <n v="30"/>
    <n v="120"/>
    <s v="Normal"/>
    <s v="Low"/>
    <s v="Yes"/>
    <n v="18"/>
    <n v="102"/>
    <s v="Low"/>
    <s v="Normal"/>
    <s v="CUST055-31"/>
    <x v="7"/>
    <s v="Tue"/>
  </r>
  <r>
    <n v="56"/>
    <d v="2023-05-31T00:00:00"/>
    <s v="CUST056"/>
    <x v="1"/>
    <x v="1"/>
    <x v="0"/>
    <x v="1"/>
    <n v="3"/>
    <n v="300"/>
    <n v="900"/>
    <s v="Normal"/>
    <s v="Medium"/>
    <s v="Yes"/>
    <n v="135"/>
    <n v="765"/>
    <s v="Low"/>
    <s v="Normal"/>
    <s v="CUST056-26"/>
    <x v="3"/>
    <s v="Wed"/>
  </r>
  <r>
    <n v="57"/>
    <d v="2023-11-18T00:00:00"/>
    <s v="CUST057"/>
    <x v="1"/>
    <x v="7"/>
    <x v="1"/>
    <x v="0"/>
    <n v="1"/>
    <n v="30"/>
    <n v="30"/>
    <s v="Normal"/>
    <s v="Low"/>
    <s v="Yes"/>
    <n v="6"/>
    <n v="24"/>
    <s v="Low"/>
    <s v="Normal"/>
    <s v="CUST057-63"/>
    <x v="0"/>
    <s v="Sat"/>
  </r>
  <r>
    <n v="58"/>
    <d v="2023-11-13T00:00:00"/>
    <s v="CUST058"/>
    <x v="0"/>
    <x v="18"/>
    <x v="2"/>
    <x v="1"/>
    <n v="4"/>
    <n v="300"/>
    <n v="1200"/>
    <s v="High"/>
    <s v="High"/>
    <s v="No"/>
    <n v="0"/>
    <n v="1200"/>
    <s v="High"/>
    <s v="Normal"/>
    <s v="CUST058-18"/>
    <x v="0"/>
    <s v="Mon"/>
  </r>
  <r>
    <n v="59"/>
    <d v="2023-07-05T00:00:00"/>
    <s v="CUST059"/>
    <x v="0"/>
    <x v="17"/>
    <x v="1"/>
    <x v="1"/>
    <n v="1"/>
    <n v="50"/>
    <n v="50"/>
    <s v="Normal"/>
    <s v="Low"/>
    <s v="Yes"/>
    <n v="5"/>
    <n v="45"/>
    <s v="Low"/>
    <s v="Normal"/>
    <s v="CUST059-62"/>
    <x v="11"/>
    <s v="Wed"/>
  </r>
  <r>
    <n v="60"/>
    <d v="2023-10-23T00:00:00"/>
    <s v="CUST060"/>
    <x v="0"/>
    <x v="4"/>
    <x v="0"/>
    <x v="0"/>
    <n v="3"/>
    <n v="50"/>
    <n v="150"/>
    <s v="Normal"/>
    <s v="Low"/>
    <s v="Yes"/>
    <n v="22.5"/>
    <n v="127.5"/>
    <s v="Low"/>
    <s v="Normal"/>
    <s v="CUST060-30"/>
    <x v="7"/>
    <s v="Mon"/>
  </r>
  <r>
    <n v="61"/>
    <d v="2023-04-09T00:00:00"/>
    <s v="CUST061"/>
    <x v="0"/>
    <x v="34"/>
    <x v="0"/>
    <x v="0"/>
    <n v="4"/>
    <n v="50"/>
    <n v="200"/>
    <s v="Normal"/>
    <s v="Low"/>
    <s v="No"/>
    <n v="0"/>
    <n v="200"/>
    <s v="Low"/>
    <s v="Normal"/>
    <s v="CUST061-21"/>
    <x v="4"/>
    <s v="Sun"/>
  </r>
  <r>
    <n v="62"/>
    <d v="2023-12-27T00:00:00"/>
    <s v="CUST062"/>
    <x v="0"/>
    <x v="18"/>
    <x v="2"/>
    <x v="0"/>
    <n v="2"/>
    <n v="50"/>
    <n v="100"/>
    <s v="Normal"/>
    <s v="Low"/>
    <s v="No"/>
    <n v="0"/>
    <n v="100"/>
    <s v="Low"/>
    <s v="Normal"/>
    <s v="CUST062-18"/>
    <x v="6"/>
    <s v="Wed"/>
  </r>
  <r>
    <n v="63"/>
    <d v="2023-02-05T00:00:00"/>
    <s v="CUST063"/>
    <x v="0"/>
    <x v="35"/>
    <x v="1"/>
    <x v="2"/>
    <n v="2"/>
    <n v="25"/>
    <n v="50"/>
    <s v="Normal"/>
    <s v="Low"/>
    <s v="Yes"/>
    <n v="5"/>
    <n v="45"/>
    <s v="Low"/>
    <s v="Normal"/>
    <s v="CUST063-57"/>
    <x v="1"/>
    <s v="Sun"/>
  </r>
  <r>
    <n v="64"/>
    <d v="2023-01-24T00:00:00"/>
    <s v="CUST064"/>
    <x v="0"/>
    <x v="19"/>
    <x v="1"/>
    <x v="1"/>
    <n v="4"/>
    <n v="25"/>
    <n v="100"/>
    <s v="Normal"/>
    <s v="Low"/>
    <s v="Yes"/>
    <n v="10"/>
    <n v="90"/>
    <s v="Low"/>
    <s v="Normal"/>
    <s v="CUST064-49"/>
    <x v="2"/>
    <s v="Tue"/>
  </r>
  <r>
    <n v="65"/>
    <d v="2023-12-05T00:00:00"/>
    <s v="CUST065"/>
    <x v="0"/>
    <x v="25"/>
    <x v="1"/>
    <x v="2"/>
    <n v="4"/>
    <n v="500"/>
    <n v="2000"/>
    <s v="Critical"/>
    <s v="High"/>
    <s v="Yes"/>
    <n v="200"/>
    <n v="1800"/>
    <s v="High"/>
    <b v="1"/>
    <s v="CUST065-51"/>
    <x v="6"/>
    <s v="Tue"/>
  </r>
  <r>
    <n v="66"/>
    <d v="2023-04-27T00:00:00"/>
    <s v="CUST066"/>
    <x v="1"/>
    <x v="5"/>
    <x v="1"/>
    <x v="2"/>
    <n v="1"/>
    <n v="30"/>
    <n v="30"/>
    <s v="Normal"/>
    <s v="Low"/>
    <s v="Yes"/>
    <n v="6"/>
    <n v="24"/>
    <s v="Low"/>
    <s v="Normal"/>
    <s v="CUST066-45"/>
    <x v="4"/>
    <s v="Thu"/>
  </r>
  <r>
    <n v="67"/>
    <d v="2023-05-29T00:00:00"/>
    <s v="CUST067"/>
    <x v="1"/>
    <x v="27"/>
    <x v="1"/>
    <x v="0"/>
    <n v="4"/>
    <n v="300"/>
    <n v="1200"/>
    <s v="High"/>
    <s v="High"/>
    <s v="Yes"/>
    <n v="240"/>
    <n v="960"/>
    <s v="High"/>
    <s v="Normal"/>
    <s v="CUST067-48"/>
    <x v="3"/>
    <s v="Mon"/>
  </r>
  <r>
    <n v="68"/>
    <d v="2023-02-10T00:00:00"/>
    <s v="CUST068"/>
    <x v="0"/>
    <x v="36"/>
    <x v="0"/>
    <x v="2"/>
    <n v="1"/>
    <n v="300"/>
    <n v="300"/>
    <s v="Normal"/>
    <s v="Low"/>
    <s v="Yes"/>
    <n v="45"/>
    <n v="255"/>
    <s v="Low"/>
    <s v="Normal"/>
    <s v="CUST068-25"/>
    <x v="1"/>
    <s v="Fri"/>
  </r>
  <r>
    <n v="69"/>
    <d v="2023-04-30T00:00:00"/>
    <s v="CUST069"/>
    <x v="1"/>
    <x v="37"/>
    <x v="1"/>
    <x v="0"/>
    <n v="3"/>
    <n v="25"/>
    <n v="75"/>
    <s v="Normal"/>
    <s v="Low"/>
    <s v="Yes"/>
    <n v="15"/>
    <n v="60"/>
    <s v="Low"/>
    <s v="Normal"/>
    <s v="CUST069-56"/>
    <x v="4"/>
    <s v="Sun"/>
  </r>
  <r>
    <n v="70"/>
    <d v="2023-02-21T00:00:00"/>
    <s v="CUST070"/>
    <x v="1"/>
    <x v="22"/>
    <x v="1"/>
    <x v="1"/>
    <n v="1"/>
    <n v="300"/>
    <n v="300"/>
    <s v="Normal"/>
    <s v="Low"/>
    <s v="Yes"/>
    <n v="60"/>
    <n v="240"/>
    <s v="Low"/>
    <s v="Normal"/>
    <s v="CUST070-43"/>
    <x v="1"/>
    <s v="Tue"/>
  </r>
  <r>
    <n v="71"/>
    <d v="2023-07-14T00:00:00"/>
    <s v="CUST071"/>
    <x v="1"/>
    <x v="25"/>
    <x v="1"/>
    <x v="0"/>
    <n v="4"/>
    <n v="25"/>
    <n v="100"/>
    <s v="Normal"/>
    <s v="Low"/>
    <s v="Yes"/>
    <n v="20"/>
    <n v="80"/>
    <s v="Low"/>
    <s v="Normal"/>
    <s v="CUST071-51"/>
    <x v="11"/>
    <s v="Fri"/>
  </r>
  <r>
    <n v="72"/>
    <d v="2023-05-23T00:00:00"/>
    <s v="CUST072"/>
    <x v="1"/>
    <x v="29"/>
    <x v="0"/>
    <x v="2"/>
    <n v="4"/>
    <n v="500"/>
    <n v="2000"/>
    <s v="Critical"/>
    <s v="High"/>
    <s v="No"/>
    <n v="0"/>
    <n v="2000"/>
    <s v="High"/>
    <b v="1"/>
    <s v="CUST072-20"/>
    <x v="3"/>
    <s v="Tue"/>
  </r>
  <r>
    <n v="73"/>
    <d v="2023-08-21T00:00:00"/>
    <s v="CUST073"/>
    <x v="0"/>
    <x v="38"/>
    <x v="0"/>
    <x v="2"/>
    <n v="3"/>
    <n v="30"/>
    <n v="90"/>
    <s v="Normal"/>
    <s v="Low"/>
    <s v="Yes"/>
    <n v="13.5"/>
    <n v="76.5"/>
    <s v="Low"/>
    <s v="Normal"/>
    <s v="CUST073-29"/>
    <x v="8"/>
    <s v="Mon"/>
  </r>
  <r>
    <n v="74"/>
    <d v="2023-11-22T00:00:00"/>
    <s v="CUST074"/>
    <x v="1"/>
    <x v="18"/>
    <x v="2"/>
    <x v="0"/>
    <n v="4"/>
    <n v="500"/>
    <n v="2000"/>
    <s v="Critical"/>
    <s v="High"/>
    <s v="No"/>
    <n v="0"/>
    <n v="2000"/>
    <s v="High"/>
    <b v="1"/>
    <s v="CUST074-18"/>
    <x v="0"/>
    <s v="Wed"/>
  </r>
  <r>
    <n v="75"/>
    <d v="2023-07-06T00:00:00"/>
    <s v="CUST075"/>
    <x v="0"/>
    <x v="39"/>
    <x v="1"/>
    <x v="0"/>
    <n v="4"/>
    <n v="50"/>
    <n v="200"/>
    <s v="Normal"/>
    <s v="Low"/>
    <s v="Yes"/>
    <n v="20"/>
    <n v="180"/>
    <s v="Low"/>
    <s v="Normal"/>
    <s v="CUST075-61"/>
    <x v="11"/>
    <s v="Thu"/>
  </r>
  <r>
    <n v="76"/>
    <d v="2023-03-25T00:00:00"/>
    <s v="CUST076"/>
    <x v="1"/>
    <x v="11"/>
    <x v="0"/>
    <x v="2"/>
    <n v="2"/>
    <n v="50"/>
    <n v="100"/>
    <s v="Normal"/>
    <s v="Low"/>
    <s v="No"/>
    <n v="0"/>
    <n v="100"/>
    <s v="Low"/>
    <s v="Normal"/>
    <s v="CUST076-22"/>
    <x v="5"/>
    <s v="Sat"/>
  </r>
  <r>
    <n v="77"/>
    <d v="2023-07-09T00:00:00"/>
    <s v="CUST077"/>
    <x v="1"/>
    <x v="16"/>
    <x v="1"/>
    <x v="1"/>
    <n v="2"/>
    <n v="50"/>
    <n v="100"/>
    <s v="Normal"/>
    <s v="Low"/>
    <s v="Yes"/>
    <n v="20"/>
    <n v="80"/>
    <s v="Low"/>
    <s v="Normal"/>
    <s v="CUST077-47"/>
    <x v="11"/>
    <s v="Sun"/>
  </r>
  <r>
    <n v="78"/>
    <d v="2023-07-01T00:00:00"/>
    <s v="CUST078"/>
    <x v="1"/>
    <x v="16"/>
    <x v="1"/>
    <x v="1"/>
    <n v="3"/>
    <n v="500"/>
    <n v="1500"/>
    <s v="Critical"/>
    <s v="High"/>
    <s v="Yes"/>
    <n v="300"/>
    <n v="1200"/>
    <s v="High"/>
    <b v="1"/>
    <s v="CUST078-47"/>
    <x v="11"/>
    <s v="Sat"/>
  </r>
  <r>
    <n v="79"/>
    <d v="2023-04-18T00:00:00"/>
    <s v="CUST079"/>
    <x v="0"/>
    <x v="0"/>
    <x v="0"/>
    <x v="0"/>
    <n v="1"/>
    <n v="300"/>
    <n v="300"/>
    <s v="Normal"/>
    <s v="Low"/>
    <s v="Yes"/>
    <n v="45"/>
    <n v="255"/>
    <s v="Low"/>
    <s v="Normal"/>
    <s v="CUST079-34"/>
    <x v="4"/>
    <s v="Tue"/>
  </r>
  <r>
    <n v="80"/>
    <d v="2023-12-10T00:00:00"/>
    <s v="CUST080"/>
    <x v="1"/>
    <x v="12"/>
    <x v="1"/>
    <x v="1"/>
    <n v="2"/>
    <n v="30"/>
    <n v="60"/>
    <s v="Normal"/>
    <s v="Low"/>
    <s v="Yes"/>
    <n v="12"/>
    <n v="48"/>
    <s v="Low"/>
    <s v="Normal"/>
    <s v="CUST080-64"/>
    <x v="6"/>
    <s v="Sun"/>
  </r>
  <r>
    <n v="81"/>
    <d v="2023-05-17T00:00:00"/>
    <s v="CUST081"/>
    <x v="0"/>
    <x v="30"/>
    <x v="0"/>
    <x v="2"/>
    <n v="1"/>
    <n v="50"/>
    <n v="50"/>
    <s v="Normal"/>
    <s v="Low"/>
    <s v="Yes"/>
    <n v="5"/>
    <n v="45"/>
    <s v="Low"/>
    <s v="Normal"/>
    <s v="CUST081-40"/>
    <x v="3"/>
    <s v="Wed"/>
  </r>
  <r>
    <n v="82"/>
    <d v="2023-12-26T00:00:00"/>
    <s v="CUST082"/>
    <x v="1"/>
    <x v="40"/>
    <x v="0"/>
    <x v="0"/>
    <n v="4"/>
    <n v="50"/>
    <n v="200"/>
    <s v="Normal"/>
    <s v="Low"/>
    <s v="Yes"/>
    <n v="30"/>
    <n v="170"/>
    <s v="Low"/>
    <s v="Normal"/>
    <s v="CUST082-32"/>
    <x v="6"/>
    <s v="Tue"/>
  </r>
  <r>
    <n v="83"/>
    <d v="2023-12-16T00:00:00"/>
    <s v="CUST083"/>
    <x v="0"/>
    <x v="31"/>
    <x v="1"/>
    <x v="2"/>
    <n v="2"/>
    <n v="50"/>
    <n v="100"/>
    <s v="Normal"/>
    <s v="Low"/>
    <s v="Yes"/>
    <n v="10"/>
    <n v="90"/>
    <s v="Low"/>
    <s v="Normal"/>
    <s v="CUST083-54"/>
    <x v="6"/>
    <s v="Sat"/>
  </r>
  <r>
    <n v="84"/>
    <d v="2023-11-28T00:00:00"/>
    <s v="CUST084"/>
    <x v="1"/>
    <x v="21"/>
    <x v="0"/>
    <x v="2"/>
    <n v="3"/>
    <n v="30"/>
    <n v="90"/>
    <s v="Normal"/>
    <s v="Low"/>
    <s v="Yes"/>
    <n v="18"/>
    <n v="72"/>
    <s v="Low"/>
    <s v="Normal"/>
    <s v="CUST084-38"/>
    <x v="0"/>
    <s v="Tue"/>
  </r>
  <r>
    <n v="85"/>
    <d v="2023-02-06T00:00:00"/>
    <s v="CUST085"/>
    <x v="0"/>
    <x v="33"/>
    <x v="0"/>
    <x v="1"/>
    <n v="3"/>
    <n v="50"/>
    <n v="150"/>
    <s v="Normal"/>
    <s v="Low"/>
    <s v="Yes"/>
    <n v="22.5"/>
    <n v="127.5"/>
    <s v="Low"/>
    <s v="Normal"/>
    <s v="CUST085-31"/>
    <x v="1"/>
    <s v="Mon"/>
  </r>
  <r>
    <n v="86"/>
    <d v="2023-11-08T00:00:00"/>
    <s v="CUST086"/>
    <x v="0"/>
    <x v="14"/>
    <x v="2"/>
    <x v="0"/>
    <n v="3"/>
    <n v="30"/>
    <n v="90"/>
    <s v="Normal"/>
    <s v="Low"/>
    <s v="No"/>
    <n v="0"/>
    <n v="90"/>
    <s v="Low"/>
    <s v="Normal"/>
    <s v="CUST086-19"/>
    <x v="0"/>
    <s v="Wed"/>
  </r>
  <r>
    <n v="87"/>
    <d v="2023-11-22T00:00:00"/>
    <s v="CUST087"/>
    <x v="1"/>
    <x v="20"/>
    <x v="0"/>
    <x v="0"/>
    <n v="2"/>
    <n v="50"/>
    <n v="100"/>
    <s v="Normal"/>
    <s v="Low"/>
    <s v="Yes"/>
    <n v="15"/>
    <n v="85"/>
    <s v="Low"/>
    <s v="Normal"/>
    <s v="CUST087-28"/>
    <x v="0"/>
    <s v="Wed"/>
  </r>
  <r>
    <n v="88"/>
    <d v="2023-03-29T00:00:00"/>
    <s v="CUST088"/>
    <x v="0"/>
    <x v="37"/>
    <x v="1"/>
    <x v="1"/>
    <n v="1"/>
    <n v="500"/>
    <n v="500"/>
    <s v="Normal"/>
    <s v="Medium"/>
    <s v="Yes"/>
    <n v="50"/>
    <n v="450"/>
    <s v="Low"/>
    <s v="Normal"/>
    <s v="CUST088-56"/>
    <x v="5"/>
    <s v="Wed"/>
  </r>
  <r>
    <n v="89"/>
    <d v="2023-10-01T00:00:00"/>
    <s v="CUST089"/>
    <x v="1"/>
    <x v="28"/>
    <x v="1"/>
    <x v="2"/>
    <n v="4"/>
    <n v="500"/>
    <n v="2000"/>
    <s v="Critical"/>
    <s v="High"/>
    <s v="Yes"/>
    <n v="400"/>
    <n v="1600"/>
    <s v="High"/>
    <b v="1"/>
    <s v="CUST089-55"/>
    <x v="7"/>
    <s v="Sun"/>
  </r>
  <r>
    <n v="90"/>
    <d v="2023-05-06T00:00:00"/>
    <s v="CUST090"/>
    <x v="1"/>
    <x v="25"/>
    <x v="1"/>
    <x v="2"/>
    <n v="1"/>
    <n v="30"/>
    <n v="30"/>
    <s v="Normal"/>
    <s v="Low"/>
    <s v="Yes"/>
    <n v="6"/>
    <n v="24"/>
    <s v="Low"/>
    <s v="Normal"/>
    <s v="CUST090-51"/>
    <x v="3"/>
    <s v="Sat"/>
  </r>
  <r>
    <n v="91"/>
    <d v="2023-03-25T00:00:00"/>
    <s v="CUST091"/>
    <x v="1"/>
    <x v="28"/>
    <x v="1"/>
    <x v="2"/>
    <n v="1"/>
    <n v="500"/>
    <n v="500"/>
    <s v="Normal"/>
    <s v="Medium"/>
    <s v="Yes"/>
    <n v="100"/>
    <n v="400"/>
    <s v="Low"/>
    <s v="Normal"/>
    <s v="CUST091-55"/>
    <x v="5"/>
    <s v="Sat"/>
  </r>
  <r>
    <n v="92"/>
    <d v="2023-08-25T00:00:00"/>
    <s v="CUST092"/>
    <x v="1"/>
    <x v="25"/>
    <x v="1"/>
    <x v="2"/>
    <n v="4"/>
    <n v="30"/>
    <n v="120"/>
    <s v="Normal"/>
    <s v="Low"/>
    <s v="Yes"/>
    <n v="24"/>
    <n v="96"/>
    <s v="Low"/>
    <s v="Normal"/>
    <s v="CUST092-51"/>
    <x v="8"/>
    <s v="Fri"/>
  </r>
  <r>
    <n v="93"/>
    <d v="2023-07-14T00:00:00"/>
    <s v="CUST093"/>
    <x v="1"/>
    <x v="10"/>
    <x v="0"/>
    <x v="0"/>
    <n v="4"/>
    <n v="500"/>
    <n v="2000"/>
    <s v="Critical"/>
    <s v="High"/>
    <s v="Yes"/>
    <n v="400"/>
    <n v="1600"/>
    <s v="High"/>
    <b v="1"/>
    <s v="CUST093-35"/>
    <x v="11"/>
    <s v="Fri"/>
  </r>
  <r>
    <n v="94"/>
    <d v="2023-05-19T00:00:00"/>
    <s v="CUST094"/>
    <x v="1"/>
    <x v="16"/>
    <x v="1"/>
    <x v="0"/>
    <n v="2"/>
    <n v="500"/>
    <n v="1000"/>
    <s v="High"/>
    <s v="High"/>
    <s v="Yes"/>
    <n v="200"/>
    <n v="800"/>
    <s v="High"/>
    <s v="Normal"/>
    <s v="CUST094-47"/>
    <x v="3"/>
    <s v="Fri"/>
  </r>
  <r>
    <n v="95"/>
    <d v="2023-11-24T00:00:00"/>
    <s v="CUST095"/>
    <x v="1"/>
    <x v="40"/>
    <x v="0"/>
    <x v="1"/>
    <n v="2"/>
    <n v="30"/>
    <n v="60"/>
    <s v="Normal"/>
    <s v="Low"/>
    <s v="Yes"/>
    <n v="9"/>
    <n v="51"/>
    <s v="Low"/>
    <s v="Normal"/>
    <s v="CUST095-32"/>
    <x v="0"/>
    <s v="Fri"/>
  </r>
  <r>
    <n v="96"/>
    <d v="2023-12-19T00:00:00"/>
    <s v="CUST096"/>
    <x v="1"/>
    <x v="24"/>
    <x v="1"/>
    <x v="1"/>
    <n v="2"/>
    <n v="300"/>
    <n v="600"/>
    <s v="Normal"/>
    <s v="Medium"/>
    <s v="Yes"/>
    <n v="120"/>
    <n v="480"/>
    <s v="Low"/>
    <s v="Normal"/>
    <s v="CUST096-44"/>
    <x v="6"/>
    <s v="Tue"/>
  </r>
  <r>
    <n v="97"/>
    <d v="2023-10-13T00:00:00"/>
    <s v="CUST097"/>
    <x v="1"/>
    <x v="25"/>
    <x v="1"/>
    <x v="0"/>
    <n v="2"/>
    <n v="500"/>
    <n v="1000"/>
    <s v="High"/>
    <s v="High"/>
    <s v="Yes"/>
    <n v="200"/>
    <n v="800"/>
    <s v="High"/>
    <s v="Normal"/>
    <s v="CUST097-51"/>
    <x v="7"/>
    <s v="Fri"/>
  </r>
  <r>
    <n v="98"/>
    <d v="2023-04-23T00:00:00"/>
    <s v="CUST098"/>
    <x v="1"/>
    <x v="28"/>
    <x v="1"/>
    <x v="0"/>
    <n v="2"/>
    <n v="50"/>
    <n v="100"/>
    <s v="Normal"/>
    <s v="Low"/>
    <s v="Yes"/>
    <n v="20"/>
    <n v="80"/>
    <s v="Low"/>
    <s v="Normal"/>
    <s v="CUST098-55"/>
    <x v="4"/>
    <s v="Sun"/>
  </r>
  <r>
    <n v="99"/>
    <d v="2023-12-17T00:00:00"/>
    <s v="CUST099"/>
    <x v="1"/>
    <x v="2"/>
    <x v="1"/>
    <x v="2"/>
    <n v="4"/>
    <n v="300"/>
    <n v="1200"/>
    <s v="High"/>
    <s v="High"/>
    <s v="Yes"/>
    <n v="240"/>
    <n v="960"/>
    <s v="High"/>
    <s v="Normal"/>
    <s v="CUST099-50"/>
    <x v="6"/>
    <s v="Sun"/>
  </r>
  <r>
    <n v="100"/>
    <d v="2023-06-16T00:00:00"/>
    <s v="CUST100"/>
    <x v="0"/>
    <x v="41"/>
    <x v="1"/>
    <x v="2"/>
    <n v="1"/>
    <n v="30"/>
    <n v="30"/>
    <s v="Normal"/>
    <s v="Low"/>
    <s v="Yes"/>
    <n v="3"/>
    <n v="27"/>
    <s v="Low"/>
    <s v="Normal"/>
    <s v="CUST100-41"/>
    <x v="10"/>
    <s v="Fri"/>
  </r>
  <r>
    <n v="101"/>
    <d v="2023-01-29T00:00:00"/>
    <s v="CUST101"/>
    <x v="0"/>
    <x v="40"/>
    <x v="0"/>
    <x v="1"/>
    <n v="2"/>
    <n v="300"/>
    <n v="600"/>
    <s v="Normal"/>
    <s v="Medium"/>
    <s v="Yes"/>
    <n v="90"/>
    <n v="510"/>
    <s v="Low"/>
    <s v="Normal"/>
    <s v="CUST101-32"/>
    <x v="2"/>
    <s v="Sun"/>
  </r>
  <r>
    <n v="102"/>
    <d v="2023-04-28T00:00:00"/>
    <s v="CUST102"/>
    <x v="1"/>
    <x v="16"/>
    <x v="1"/>
    <x v="0"/>
    <n v="2"/>
    <n v="25"/>
    <n v="50"/>
    <s v="Normal"/>
    <s v="Low"/>
    <s v="Yes"/>
    <n v="10"/>
    <n v="40"/>
    <s v="Low"/>
    <s v="Normal"/>
    <s v="CUST102-47"/>
    <x v="4"/>
    <s v="Fri"/>
  </r>
  <r>
    <n v="103"/>
    <d v="2023-01-17T00:00:00"/>
    <s v="CUST103"/>
    <x v="1"/>
    <x v="42"/>
    <x v="1"/>
    <x v="1"/>
    <n v="1"/>
    <n v="25"/>
    <n v="25"/>
    <s v="Normal"/>
    <s v="Low"/>
    <s v="Yes"/>
    <n v="5"/>
    <n v="20"/>
    <s v="Low"/>
    <s v="Normal"/>
    <s v="CUST103-59"/>
    <x v="2"/>
    <s v="Tue"/>
  </r>
  <r>
    <n v="104"/>
    <d v="2023-06-11T00:00:00"/>
    <s v="CUST104"/>
    <x v="1"/>
    <x v="0"/>
    <x v="0"/>
    <x v="0"/>
    <n v="2"/>
    <n v="500"/>
    <n v="1000"/>
    <s v="High"/>
    <s v="High"/>
    <s v="Yes"/>
    <n v="150"/>
    <n v="850"/>
    <s v="High"/>
    <s v="Normal"/>
    <s v="CUST104-34"/>
    <x v="10"/>
    <s v="Sun"/>
  </r>
  <r>
    <n v="105"/>
    <d v="2023-07-25T00:00:00"/>
    <s v="CUST105"/>
    <x v="1"/>
    <x v="11"/>
    <x v="0"/>
    <x v="2"/>
    <n v="1"/>
    <n v="500"/>
    <n v="500"/>
    <s v="Normal"/>
    <s v="Medium"/>
    <s v="No"/>
    <n v="0"/>
    <n v="500"/>
    <s v="Low"/>
    <s v="Normal"/>
    <s v="CUST105-22"/>
    <x v="11"/>
    <s v="Tue"/>
  </r>
  <r>
    <n v="106"/>
    <d v="2023-05-18T00:00:00"/>
    <s v="CUST106"/>
    <x v="1"/>
    <x v="6"/>
    <x v="1"/>
    <x v="1"/>
    <n v="1"/>
    <n v="50"/>
    <n v="50"/>
    <s v="Normal"/>
    <s v="Low"/>
    <s v="Yes"/>
    <n v="10"/>
    <n v="40"/>
    <s v="Low"/>
    <s v="Normal"/>
    <s v="CUST106-46"/>
    <x v="3"/>
    <s v="Thu"/>
  </r>
  <r>
    <n v="107"/>
    <d v="2023-02-03T00:00:00"/>
    <s v="CUST107"/>
    <x v="1"/>
    <x v="34"/>
    <x v="0"/>
    <x v="1"/>
    <n v="4"/>
    <n v="300"/>
    <n v="1200"/>
    <s v="High"/>
    <s v="High"/>
    <s v="No"/>
    <n v="0"/>
    <n v="1200"/>
    <s v="High"/>
    <s v="Normal"/>
    <s v="CUST107-21"/>
    <x v="1"/>
    <s v="Fri"/>
  </r>
  <r>
    <n v="108"/>
    <d v="2023-04-19T00:00:00"/>
    <s v="CUST108"/>
    <x v="1"/>
    <x v="15"/>
    <x v="0"/>
    <x v="0"/>
    <n v="3"/>
    <n v="25"/>
    <n v="75"/>
    <s v="Normal"/>
    <s v="Low"/>
    <s v="Yes"/>
    <n v="11.25"/>
    <n v="63.75"/>
    <s v="Low"/>
    <s v="Normal"/>
    <s v="CUST108-27"/>
    <x v="4"/>
    <s v="Wed"/>
  </r>
  <r>
    <n v="109"/>
    <d v="2023-10-18T00:00:00"/>
    <s v="CUST109"/>
    <x v="1"/>
    <x v="0"/>
    <x v="0"/>
    <x v="2"/>
    <n v="4"/>
    <n v="500"/>
    <n v="2000"/>
    <s v="Critical"/>
    <s v="High"/>
    <s v="Yes"/>
    <n v="300"/>
    <n v="1700"/>
    <s v="High"/>
    <b v="1"/>
    <s v="CUST109-34"/>
    <x v="7"/>
    <s v="Wed"/>
  </r>
  <r>
    <n v="110"/>
    <d v="2023-06-11T00:00:00"/>
    <s v="CUST110"/>
    <x v="0"/>
    <x v="15"/>
    <x v="0"/>
    <x v="1"/>
    <n v="3"/>
    <n v="300"/>
    <n v="900"/>
    <s v="Normal"/>
    <s v="Medium"/>
    <s v="Yes"/>
    <n v="135"/>
    <n v="765"/>
    <s v="Low"/>
    <s v="Normal"/>
    <s v="CUST110-27"/>
    <x v="10"/>
    <s v="Sun"/>
  </r>
  <r>
    <n v="111"/>
    <d v="2023-04-19T00:00:00"/>
    <s v="CUST111"/>
    <x v="1"/>
    <x v="0"/>
    <x v="0"/>
    <x v="2"/>
    <n v="3"/>
    <n v="500"/>
    <n v="1500"/>
    <s v="Critical"/>
    <s v="High"/>
    <s v="Yes"/>
    <n v="225"/>
    <n v="1275"/>
    <s v="High"/>
    <b v="1"/>
    <s v="CUST111-34"/>
    <x v="4"/>
    <s v="Wed"/>
  </r>
  <r>
    <n v="112"/>
    <d v="2023-12-02T00:00:00"/>
    <s v="CUST112"/>
    <x v="0"/>
    <x v="3"/>
    <x v="0"/>
    <x v="1"/>
    <n v="3"/>
    <n v="500"/>
    <n v="1500"/>
    <s v="Critical"/>
    <s v="High"/>
    <s v="Yes"/>
    <n v="150"/>
    <n v="1350"/>
    <s v="High"/>
    <b v="1"/>
    <s v="CUST112-37"/>
    <x v="6"/>
    <s v="Sat"/>
  </r>
  <r>
    <n v="113"/>
    <d v="2023-09-13T00:00:00"/>
    <s v="CUST113"/>
    <x v="1"/>
    <x v="41"/>
    <x v="1"/>
    <x v="2"/>
    <n v="2"/>
    <n v="25"/>
    <n v="50"/>
    <s v="Normal"/>
    <s v="Low"/>
    <s v="Yes"/>
    <n v="10"/>
    <n v="40"/>
    <s v="Low"/>
    <s v="Normal"/>
    <s v="CUST113-41"/>
    <x v="9"/>
    <s v="Wed"/>
  </r>
  <r>
    <n v="114"/>
    <d v="2023-07-22T00:00:00"/>
    <s v="CUST114"/>
    <x v="1"/>
    <x v="11"/>
    <x v="0"/>
    <x v="0"/>
    <n v="4"/>
    <n v="25"/>
    <n v="100"/>
    <s v="Normal"/>
    <s v="Low"/>
    <s v="No"/>
    <n v="0"/>
    <n v="100"/>
    <s v="Low"/>
    <s v="Normal"/>
    <s v="CUST114-22"/>
    <x v="11"/>
    <s v="Sat"/>
  </r>
  <r>
    <n v="115"/>
    <d v="2023-11-26T00:00:00"/>
    <s v="CUST115"/>
    <x v="0"/>
    <x v="25"/>
    <x v="1"/>
    <x v="1"/>
    <n v="3"/>
    <n v="500"/>
    <n v="1500"/>
    <s v="Critical"/>
    <s v="High"/>
    <s v="Yes"/>
    <n v="150"/>
    <n v="1350"/>
    <s v="High"/>
    <b v="1"/>
    <s v="CUST115-51"/>
    <x v="0"/>
    <s v="Sun"/>
  </r>
  <r>
    <n v="116"/>
    <d v="2023-08-23T00:00:00"/>
    <s v="CUST116"/>
    <x v="1"/>
    <x v="9"/>
    <x v="0"/>
    <x v="1"/>
    <n v="1"/>
    <n v="30"/>
    <n v="30"/>
    <s v="Normal"/>
    <s v="Low"/>
    <s v="No"/>
    <n v="0"/>
    <n v="30"/>
    <s v="Low"/>
    <s v="Normal"/>
    <s v="CUST116-23"/>
    <x v="8"/>
    <s v="Wed"/>
  </r>
  <r>
    <n v="117"/>
    <d v="2023-03-15T00:00:00"/>
    <s v="CUST117"/>
    <x v="0"/>
    <x v="14"/>
    <x v="2"/>
    <x v="2"/>
    <n v="2"/>
    <n v="500"/>
    <n v="1000"/>
    <s v="High"/>
    <s v="High"/>
    <s v="No"/>
    <n v="0"/>
    <n v="1000"/>
    <s v="High"/>
    <s v="Normal"/>
    <s v="CUST117-19"/>
    <x v="5"/>
    <s v="Wed"/>
  </r>
  <r>
    <n v="118"/>
    <d v="2023-05-16T00:00:00"/>
    <s v="CUST118"/>
    <x v="1"/>
    <x v="4"/>
    <x v="0"/>
    <x v="2"/>
    <n v="4"/>
    <n v="500"/>
    <n v="2000"/>
    <s v="Critical"/>
    <s v="High"/>
    <s v="Yes"/>
    <n v="300"/>
    <n v="1700"/>
    <s v="High"/>
    <b v="1"/>
    <s v="CUST118-30"/>
    <x v="3"/>
    <s v="Tue"/>
  </r>
  <r>
    <n v="119"/>
    <d v="2023-03-13T00:00:00"/>
    <s v="CUST119"/>
    <x v="1"/>
    <x v="43"/>
    <x v="1"/>
    <x v="1"/>
    <n v="3"/>
    <n v="50"/>
    <n v="150"/>
    <s v="Normal"/>
    <s v="Low"/>
    <s v="Yes"/>
    <n v="30"/>
    <n v="120"/>
    <s v="Low"/>
    <s v="Normal"/>
    <s v="CUST119-60"/>
    <x v="5"/>
    <s v="Mon"/>
  </r>
  <r>
    <n v="120"/>
    <d v="2023-05-07T00:00:00"/>
    <s v="CUST120"/>
    <x v="0"/>
    <x v="43"/>
    <x v="1"/>
    <x v="0"/>
    <n v="1"/>
    <n v="50"/>
    <n v="50"/>
    <s v="Normal"/>
    <s v="Low"/>
    <s v="Yes"/>
    <n v="5"/>
    <n v="45"/>
    <s v="Low"/>
    <s v="Normal"/>
    <s v="CUST120-60"/>
    <x v="3"/>
    <s v="Sun"/>
  </r>
  <r>
    <n v="121"/>
    <d v="2023-10-15T00:00:00"/>
    <s v="CUST121"/>
    <x v="1"/>
    <x v="20"/>
    <x v="0"/>
    <x v="2"/>
    <n v="4"/>
    <n v="50"/>
    <n v="200"/>
    <s v="Normal"/>
    <s v="Low"/>
    <s v="Yes"/>
    <n v="30"/>
    <n v="170"/>
    <s v="Low"/>
    <s v="Normal"/>
    <s v="CUST121-28"/>
    <x v="7"/>
    <s v="Sun"/>
  </r>
  <r>
    <n v="122"/>
    <d v="2023-10-03T00:00:00"/>
    <s v="CUST122"/>
    <x v="0"/>
    <x v="12"/>
    <x v="1"/>
    <x v="2"/>
    <n v="4"/>
    <n v="30"/>
    <n v="120"/>
    <s v="Normal"/>
    <s v="Low"/>
    <s v="Yes"/>
    <n v="12"/>
    <n v="108"/>
    <s v="Low"/>
    <s v="Normal"/>
    <s v="CUST122-64"/>
    <x v="7"/>
    <s v="Tue"/>
  </r>
  <r>
    <n v="123"/>
    <d v="2023-05-15T00:00:00"/>
    <s v="CUST123"/>
    <x v="1"/>
    <x v="30"/>
    <x v="0"/>
    <x v="2"/>
    <n v="2"/>
    <n v="30"/>
    <n v="60"/>
    <s v="Normal"/>
    <s v="Low"/>
    <s v="Yes"/>
    <n v="12"/>
    <n v="48"/>
    <s v="Low"/>
    <s v="Normal"/>
    <s v="CUST123-40"/>
    <x v="3"/>
    <s v="Mon"/>
  </r>
  <r>
    <n v="124"/>
    <d v="2023-10-27T00:00:00"/>
    <s v="CUST124"/>
    <x v="0"/>
    <x v="44"/>
    <x v="0"/>
    <x v="1"/>
    <n v="4"/>
    <n v="500"/>
    <n v="2000"/>
    <s v="Critical"/>
    <s v="High"/>
    <s v="Yes"/>
    <n v="300"/>
    <n v="1700"/>
    <s v="High"/>
    <b v="1"/>
    <s v="CUST124-33"/>
    <x v="7"/>
    <s v="Fri"/>
  </r>
  <r>
    <n v="125"/>
    <d v="2023-08-08T00:00:00"/>
    <s v="CUST125"/>
    <x v="0"/>
    <x v="27"/>
    <x v="1"/>
    <x v="1"/>
    <n v="2"/>
    <n v="50"/>
    <n v="100"/>
    <s v="Normal"/>
    <s v="Low"/>
    <s v="Yes"/>
    <n v="10"/>
    <n v="90"/>
    <s v="Low"/>
    <s v="Normal"/>
    <s v="CUST125-48"/>
    <x v="8"/>
    <s v="Tue"/>
  </r>
  <r>
    <n v="126"/>
    <d v="2023-10-26T00:00:00"/>
    <s v="CUST126"/>
    <x v="1"/>
    <x v="20"/>
    <x v="0"/>
    <x v="1"/>
    <n v="3"/>
    <n v="30"/>
    <n v="90"/>
    <s v="Normal"/>
    <s v="Low"/>
    <s v="Yes"/>
    <n v="13.5"/>
    <n v="76.5"/>
    <s v="Low"/>
    <s v="Normal"/>
    <s v="CUST126-28"/>
    <x v="7"/>
    <s v="Thu"/>
  </r>
  <r>
    <n v="127"/>
    <d v="2023-07-24T00:00:00"/>
    <s v="CUST127"/>
    <x v="1"/>
    <x v="44"/>
    <x v="0"/>
    <x v="1"/>
    <n v="2"/>
    <n v="25"/>
    <n v="50"/>
    <s v="Normal"/>
    <s v="Low"/>
    <s v="Yes"/>
    <n v="7.5"/>
    <n v="42.5"/>
    <s v="Low"/>
    <s v="Normal"/>
    <s v="CUST127-33"/>
    <x v="11"/>
    <s v="Mon"/>
  </r>
  <r>
    <n v="128"/>
    <d v="2023-07-05T00:00:00"/>
    <s v="CUST128"/>
    <x v="0"/>
    <x v="36"/>
    <x v="0"/>
    <x v="0"/>
    <n v="1"/>
    <n v="500"/>
    <n v="500"/>
    <s v="Normal"/>
    <s v="Medium"/>
    <s v="Yes"/>
    <n v="75"/>
    <n v="425"/>
    <s v="Low"/>
    <s v="Normal"/>
    <s v="CUST128-25"/>
    <x v="11"/>
    <s v="Wed"/>
  </r>
  <r>
    <n v="129"/>
    <d v="2023-04-23T00:00:00"/>
    <s v="CUST129"/>
    <x v="1"/>
    <x v="34"/>
    <x v="0"/>
    <x v="0"/>
    <n v="2"/>
    <n v="300"/>
    <n v="600"/>
    <s v="Normal"/>
    <s v="Medium"/>
    <s v="No"/>
    <n v="0"/>
    <n v="600"/>
    <s v="Low"/>
    <s v="Normal"/>
    <s v="CUST129-21"/>
    <x v="4"/>
    <s v="Sun"/>
  </r>
  <r>
    <n v="130"/>
    <d v="2023-03-12T00:00:00"/>
    <s v="CUST130"/>
    <x v="1"/>
    <x v="35"/>
    <x v="1"/>
    <x v="1"/>
    <n v="1"/>
    <n v="500"/>
    <n v="500"/>
    <s v="Normal"/>
    <s v="Medium"/>
    <s v="Yes"/>
    <n v="100"/>
    <n v="400"/>
    <s v="Low"/>
    <s v="Normal"/>
    <s v="CUST130-57"/>
    <x v="5"/>
    <s v="Sun"/>
  </r>
  <r>
    <n v="131"/>
    <d v="2023-09-18T00:00:00"/>
    <s v="CUST131"/>
    <x v="1"/>
    <x v="34"/>
    <x v="0"/>
    <x v="0"/>
    <n v="2"/>
    <n v="300"/>
    <n v="600"/>
    <s v="Normal"/>
    <s v="Medium"/>
    <s v="No"/>
    <n v="0"/>
    <n v="600"/>
    <s v="Low"/>
    <s v="Normal"/>
    <s v="CUST131-21"/>
    <x v="9"/>
    <s v="Mon"/>
  </r>
  <r>
    <n v="132"/>
    <d v="2023-09-10T00:00:00"/>
    <s v="CUST132"/>
    <x v="0"/>
    <x v="13"/>
    <x v="1"/>
    <x v="2"/>
    <n v="4"/>
    <n v="50"/>
    <n v="200"/>
    <s v="Normal"/>
    <s v="Low"/>
    <s v="Yes"/>
    <n v="20"/>
    <n v="180"/>
    <s v="Low"/>
    <s v="Normal"/>
    <s v="CUST132-42"/>
    <x v="9"/>
    <s v="Sun"/>
  </r>
  <r>
    <n v="133"/>
    <d v="2023-02-16T00:00:00"/>
    <s v="CUST133"/>
    <x v="0"/>
    <x v="29"/>
    <x v="0"/>
    <x v="2"/>
    <n v="3"/>
    <n v="300"/>
    <n v="900"/>
    <s v="Normal"/>
    <s v="Medium"/>
    <s v="No"/>
    <n v="0"/>
    <n v="900"/>
    <s v="Low"/>
    <s v="Normal"/>
    <s v="CUST133-20"/>
    <x v="1"/>
    <s v="Thu"/>
  </r>
  <r>
    <n v="134"/>
    <d v="2023-01-25T00:00:00"/>
    <s v="CUST134"/>
    <x v="0"/>
    <x v="19"/>
    <x v="1"/>
    <x v="2"/>
    <n v="1"/>
    <n v="50"/>
    <n v="50"/>
    <s v="Normal"/>
    <s v="Low"/>
    <s v="Yes"/>
    <n v="5"/>
    <n v="45"/>
    <s v="Low"/>
    <s v="Normal"/>
    <s v="CUST134-49"/>
    <x v="2"/>
    <s v="Wed"/>
  </r>
  <r>
    <n v="135"/>
    <d v="2023-02-26T00:00:00"/>
    <s v="CUST135"/>
    <x v="0"/>
    <x v="29"/>
    <x v="0"/>
    <x v="1"/>
    <n v="2"/>
    <n v="25"/>
    <n v="50"/>
    <s v="Normal"/>
    <s v="Low"/>
    <s v="No"/>
    <n v="0"/>
    <n v="50"/>
    <s v="Low"/>
    <s v="Normal"/>
    <s v="CUST135-20"/>
    <x v="1"/>
    <s v="Sun"/>
  </r>
  <r>
    <n v="136"/>
    <d v="2023-03-20T00:00:00"/>
    <s v="CUST136"/>
    <x v="0"/>
    <x v="24"/>
    <x v="1"/>
    <x v="2"/>
    <n v="2"/>
    <n v="300"/>
    <n v="600"/>
    <s v="Normal"/>
    <s v="Medium"/>
    <s v="Yes"/>
    <n v="60"/>
    <n v="540"/>
    <s v="Low"/>
    <s v="Normal"/>
    <s v="CUST136-44"/>
    <x v="5"/>
    <s v="Mon"/>
  </r>
  <r>
    <n v="137"/>
    <d v="2023-11-18T00:00:00"/>
    <s v="CUST137"/>
    <x v="0"/>
    <x v="6"/>
    <x v="1"/>
    <x v="0"/>
    <n v="2"/>
    <n v="500"/>
    <n v="1000"/>
    <s v="High"/>
    <s v="High"/>
    <s v="Yes"/>
    <n v="100"/>
    <n v="900"/>
    <s v="High"/>
    <s v="Normal"/>
    <s v="CUST137-46"/>
    <x v="0"/>
    <s v="Sat"/>
  </r>
  <r>
    <n v="138"/>
    <d v="2023-03-23T00:00:00"/>
    <s v="CUST138"/>
    <x v="0"/>
    <x v="19"/>
    <x v="1"/>
    <x v="1"/>
    <n v="4"/>
    <n v="50"/>
    <n v="200"/>
    <s v="Normal"/>
    <s v="Low"/>
    <s v="Yes"/>
    <n v="20"/>
    <n v="180"/>
    <s v="Low"/>
    <s v="Normal"/>
    <s v="CUST138-49"/>
    <x v="5"/>
    <s v="Thu"/>
  </r>
  <r>
    <n v="139"/>
    <d v="2023-12-15T00:00:00"/>
    <s v="CUST139"/>
    <x v="0"/>
    <x v="32"/>
    <x v="0"/>
    <x v="0"/>
    <n v="4"/>
    <n v="500"/>
    <n v="2000"/>
    <s v="Critical"/>
    <s v="High"/>
    <s v="Yes"/>
    <n v="200"/>
    <n v="1800"/>
    <s v="High"/>
    <b v="1"/>
    <s v="CUST139-36"/>
    <x v="6"/>
    <s v="Fri"/>
  </r>
  <r>
    <n v="140"/>
    <d v="2023-08-05T00:00:00"/>
    <s v="CUST140"/>
    <x v="0"/>
    <x v="21"/>
    <x v="0"/>
    <x v="2"/>
    <n v="1"/>
    <n v="30"/>
    <n v="30"/>
    <s v="Normal"/>
    <s v="Low"/>
    <s v="Yes"/>
    <n v="3"/>
    <n v="27"/>
    <s v="Low"/>
    <s v="Normal"/>
    <s v="CUST140-38"/>
    <x v="8"/>
    <s v="Sat"/>
  </r>
  <r>
    <n v="141"/>
    <d v="2023-11-02T00:00:00"/>
    <s v="CUST141"/>
    <x v="1"/>
    <x v="11"/>
    <x v="0"/>
    <x v="2"/>
    <n v="1"/>
    <n v="50"/>
    <n v="50"/>
    <s v="Normal"/>
    <s v="Low"/>
    <s v="No"/>
    <n v="0"/>
    <n v="50"/>
    <s v="Low"/>
    <s v="Normal"/>
    <s v="CUST141-22"/>
    <x v="0"/>
    <s v="Thu"/>
  </r>
  <r>
    <n v="142"/>
    <d v="2023-02-02T00:00:00"/>
    <s v="CUST142"/>
    <x v="0"/>
    <x v="10"/>
    <x v="0"/>
    <x v="2"/>
    <n v="4"/>
    <n v="300"/>
    <n v="1200"/>
    <s v="High"/>
    <s v="High"/>
    <s v="Yes"/>
    <n v="120"/>
    <n v="1080"/>
    <s v="High"/>
    <s v="Normal"/>
    <s v="CUST142-35"/>
    <x v="1"/>
    <s v="Thu"/>
  </r>
  <r>
    <n v="143"/>
    <d v="2023-07-17T00:00:00"/>
    <s v="CUST143"/>
    <x v="1"/>
    <x v="5"/>
    <x v="1"/>
    <x v="1"/>
    <n v="1"/>
    <n v="50"/>
    <n v="50"/>
    <s v="Normal"/>
    <s v="Low"/>
    <s v="Yes"/>
    <n v="10"/>
    <n v="40"/>
    <s v="Low"/>
    <s v="Normal"/>
    <s v="CUST143-45"/>
    <x v="11"/>
    <s v="Mon"/>
  </r>
  <r>
    <n v="144"/>
    <d v="2023-07-15T00:00:00"/>
    <s v="CUST144"/>
    <x v="1"/>
    <x v="42"/>
    <x v="1"/>
    <x v="0"/>
    <n v="3"/>
    <n v="500"/>
    <n v="1500"/>
    <s v="Critical"/>
    <s v="High"/>
    <s v="Yes"/>
    <n v="300"/>
    <n v="1200"/>
    <s v="High"/>
    <b v="1"/>
    <s v="CUST144-59"/>
    <x v="11"/>
    <s v="Sat"/>
  </r>
  <r>
    <n v="145"/>
    <d v="2023-11-02T00:00:00"/>
    <s v="CUST145"/>
    <x v="1"/>
    <x v="23"/>
    <x v="0"/>
    <x v="1"/>
    <n v="3"/>
    <n v="25"/>
    <n v="75"/>
    <s v="Normal"/>
    <s v="Low"/>
    <s v="Yes"/>
    <n v="15"/>
    <n v="60"/>
    <s v="Low"/>
    <s v="Normal"/>
    <s v="CUST145-39"/>
    <x v="0"/>
    <s v="Thu"/>
  </r>
  <r>
    <n v="146"/>
    <d v="2023-08-28T00:00:00"/>
    <s v="CUST146"/>
    <x v="0"/>
    <x v="21"/>
    <x v="0"/>
    <x v="1"/>
    <n v="4"/>
    <n v="50"/>
    <n v="200"/>
    <s v="Normal"/>
    <s v="Low"/>
    <s v="Yes"/>
    <n v="20"/>
    <n v="180"/>
    <s v="Low"/>
    <s v="Normal"/>
    <s v="CUST146-38"/>
    <x v="8"/>
    <s v="Mon"/>
  </r>
  <r>
    <n v="147"/>
    <d v="2023-09-28T00:00:00"/>
    <s v="CUST147"/>
    <x v="0"/>
    <x v="9"/>
    <x v="0"/>
    <x v="2"/>
    <n v="1"/>
    <n v="300"/>
    <n v="300"/>
    <s v="Normal"/>
    <s v="Low"/>
    <s v="No"/>
    <n v="0"/>
    <n v="300"/>
    <s v="Low"/>
    <s v="Normal"/>
    <s v="CUST147-23"/>
    <x v="9"/>
    <s v="Thu"/>
  </r>
  <r>
    <n v="148"/>
    <d v="2023-05-09T00:00:00"/>
    <s v="CUST148"/>
    <x v="0"/>
    <x v="18"/>
    <x v="2"/>
    <x v="1"/>
    <n v="2"/>
    <n v="30"/>
    <n v="60"/>
    <s v="Normal"/>
    <s v="Low"/>
    <s v="No"/>
    <n v="0"/>
    <n v="60"/>
    <s v="Low"/>
    <s v="Normal"/>
    <s v="CUST148-18"/>
    <x v="3"/>
    <s v="Tue"/>
  </r>
  <r>
    <n v="149"/>
    <d v="2023-10-11T00:00:00"/>
    <s v="CUST149"/>
    <x v="0"/>
    <x v="11"/>
    <x v="0"/>
    <x v="1"/>
    <n v="3"/>
    <n v="25"/>
    <n v="75"/>
    <s v="Normal"/>
    <s v="Low"/>
    <s v="No"/>
    <n v="0"/>
    <n v="75"/>
    <s v="Low"/>
    <s v="Normal"/>
    <s v="CUST149-22"/>
    <x v="7"/>
    <s v="Wed"/>
  </r>
  <r>
    <n v="150"/>
    <d v="2023-01-06T00:00:00"/>
    <s v="CUST150"/>
    <x v="1"/>
    <x v="26"/>
    <x v="1"/>
    <x v="2"/>
    <n v="4"/>
    <n v="30"/>
    <n v="120"/>
    <s v="Normal"/>
    <s v="Low"/>
    <s v="Yes"/>
    <n v="24"/>
    <n v="96"/>
    <s v="Low"/>
    <s v="Normal"/>
    <s v="CUST150-58"/>
    <x v="2"/>
    <s v="Fri"/>
  </r>
  <r>
    <n v="151"/>
    <d v="2023-12-15T00:00:00"/>
    <s v="CUST151"/>
    <x v="0"/>
    <x v="38"/>
    <x v="0"/>
    <x v="1"/>
    <n v="1"/>
    <n v="50"/>
    <n v="50"/>
    <s v="Normal"/>
    <s v="Low"/>
    <s v="Yes"/>
    <n v="7.5"/>
    <n v="42.5"/>
    <s v="Low"/>
    <s v="Normal"/>
    <s v="CUST151-29"/>
    <x v="6"/>
    <s v="Fri"/>
  </r>
  <r>
    <n v="152"/>
    <d v="2023-02-28T00:00:00"/>
    <s v="CUST152"/>
    <x v="0"/>
    <x v="22"/>
    <x v="1"/>
    <x v="2"/>
    <n v="4"/>
    <n v="500"/>
    <n v="2000"/>
    <s v="Critical"/>
    <s v="High"/>
    <s v="Yes"/>
    <n v="200"/>
    <n v="1800"/>
    <s v="High"/>
    <b v="1"/>
    <s v="CUST152-43"/>
    <x v="1"/>
    <s v="Tue"/>
  </r>
  <r>
    <n v="153"/>
    <d v="2023-12-16T00:00:00"/>
    <s v="CUST153"/>
    <x v="0"/>
    <x v="7"/>
    <x v="1"/>
    <x v="2"/>
    <n v="2"/>
    <n v="500"/>
    <n v="1000"/>
    <s v="High"/>
    <s v="High"/>
    <s v="Yes"/>
    <n v="100"/>
    <n v="900"/>
    <s v="High"/>
    <s v="Normal"/>
    <s v="CUST153-63"/>
    <x v="6"/>
    <s v="Sat"/>
  </r>
  <r>
    <n v="154"/>
    <d v="2023-10-02T00:00:00"/>
    <s v="CUST154"/>
    <x v="0"/>
    <x v="25"/>
    <x v="1"/>
    <x v="2"/>
    <n v="3"/>
    <n v="300"/>
    <n v="900"/>
    <s v="Normal"/>
    <s v="Medium"/>
    <s v="Yes"/>
    <n v="90"/>
    <n v="810"/>
    <s v="Low"/>
    <s v="Normal"/>
    <s v="CUST154-51"/>
    <x v="7"/>
    <s v="Mon"/>
  </r>
  <r>
    <n v="155"/>
    <d v="2023-05-17T00:00:00"/>
    <s v="CUST155"/>
    <x v="0"/>
    <x v="33"/>
    <x v="0"/>
    <x v="2"/>
    <n v="4"/>
    <n v="500"/>
    <n v="2000"/>
    <s v="Critical"/>
    <s v="High"/>
    <s v="Yes"/>
    <n v="300"/>
    <n v="1700"/>
    <s v="High"/>
    <b v="1"/>
    <s v="CUST155-31"/>
    <x v="3"/>
    <s v="Wed"/>
  </r>
  <r>
    <n v="156"/>
    <d v="2023-11-25T00:00:00"/>
    <s v="CUST156"/>
    <x v="1"/>
    <x v="22"/>
    <x v="1"/>
    <x v="1"/>
    <n v="4"/>
    <n v="25"/>
    <n v="100"/>
    <s v="Normal"/>
    <s v="Low"/>
    <s v="Yes"/>
    <n v="20"/>
    <n v="80"/>
    <s v="Low"/>
    <s v="Normal"/>
    <s v="CUST156-43"/>
    <x v="0"/>
    <s v="Sat"/>
  </r>
  <r>
    <n v="157"/>
    <d v="2023-06-24T00:00:00"/>
    <s v="CUST157"/>
    <x v="0"/>
    <x v="17"/>
    <x v="1"/>
    <x v="2"/>
    <n v="4"/>
    <n v="500"/>
    <n v="2000"/>
    <s v="Critical"/>
    <s v="High"/>
    <s v="Yes"/>
    <n v="200"/>
    <n v="1800"/>
    <s v="High"/>
    <b v="1"/>
    <s v="CUST157-62"/>
    <x v="10"/>
    <s v="Sat"/>
  </r>
  <r>
    <n v="158"/>
    <d v="2023-02-27T00:00:00"/>
    <s v="CUST158"/>
    <x v="1"/>
    <x v="24"/>
    <x v="1"/>
    <x v="2"/>
    <n v="2"/>
    <n v="300"/>
    <n v="600"/>
    <s v="Normal"/>
    <s v="Medium"/>
    <s v="Yes"/>
    <n v="120"/>
    <n v="480"/>
    <s v="Low"/>
    <s v="Normal"/>
    <s v="CUST158-44"/>
    <x v="1"/>
    <s v="Mon"/>
  </r>
  <r>
    <n v="159"/>
    <d v="2023-05-31T00:00:00"/>
    <s v="CUST159"/>
    <x v="0"/>
    <x v="1"/>
    <x v="0"/>
    <x v="1"/>
    <n v="4"/>
    <n v="50"/>
    <n v="200"/>
    <s v="Normal"/>
    <s v="Low"/>
    <s v="Yes"/>
    <n v="30"/>
    <n v="170"/>
    <s v="Low"/>
    <s v="Normal"/>
    <s v="CUST159-26"/>
    <x v="3"/>
    <s v="Wed"/>
  </r>
  <r>
    <n v="160"/>
    <d v="2023-08-11T00:00:00"/>
    <s v="CUST160"/>
    <x v="1"/>
    <x v="22"/>
    <x v="1"/>
    <x v="1"/>
    <n v="2"/>
    <n v="50"/>
    <n v="100"/>
    <s v="Normal"/>
    <s v="Low"/>
    <s v="Yes"/>
    <n v="20"/>
    <n v="80"/>
    <s v="Low"/>
    <s v="Normal"/>
    <s v="CUST160-43"/>
    <x v="8"/>
    <s v="Fri"/>
  </r>
  <r>
    <n v="161"/>
    <d v="2023-03-22T00:00:00"/>
    <s v="CUST161"/>
    <x v="0"/>
    <x v="12"/>
    <x v="1"/>
    <x v="0"/>
    <n v="2"/>
    <n v="500"/>
    <n v="1000"/>
    <s v="High"/>
    <s v="High"/>
    <s v="Yes"/>
    <n v="100"/>
    <n v="900"/>
    <s v="High"/>
    <s v="Normal"/>
    <s v="CUST161-64"/>
    <x v="5"/>
    <s v="Wed"/>
  </r>
  <r>
    <n v="162"/>
    <d v="2023-08-21T00:00:00"/>
    <s v="CUST162"/>
    <x v="0"/>
    <x v="23"/>
    <x v="0"/>
    <x v="1"/>
    <n v="2"/>
    <n v="30"/>
    <n v="60"/>
    <s v="Normal"/>
    <s v="Low"/>
    <s v="Yes"/>
    <n v="6"/>
    <n v="54"/>
    <s v="Low"/>
    <s v="Normal"/>
    <s v="CUST162-39"/>
    <x v="8"/>
    <s v="Mon"/>
  </r>
  <r>
    <n v="163"/>
    <d v="2023-01-02T00:00:00"/>
    <s v="CUST163"/>
    <x v="1"/>
    <x v="12"/>
    <x v="1"/>
    <x v="1"/>
    <n v="3"/>
    <n v="50"/>
    <n v="150"/>
    <s v="Normal"/>
    <s v="Low"/>
    <s v="Yes"/>
    <n v="30"/>
    <n v="120"/>
    <s v="Low"/>
    <s v="Normal"/>
    <s v="CUST163-64"/>
    <x v="2"/>
    <s v="Mon"/>
  </r>
  <r>
    <n v="164"/>
    <d v="2023-05-15T00:00:00"/>
    <s v="CUST164"/>
    <x v="1"/>
    <x v="16"/>
    <x v="1"/>
    <x v="0"/>
    <n v="3"/>
    <n v="500"/>
    <n v="1500"/>
    <s v="Critical"/>
    <s v="High"/>
    <s v="Yes"/>
    <n v="300"/>
    <n v="1200"/>
    <s v="High"/>
    <b v="1"/>
    <s v="CUST164-47"/>
    <x v="3"/>
    <s v="Mon"/>
  </r>
  <r>
    <n v="165"/>
    <d v="2023-09-14T00:00:00"/>
    <s v="CUST165"/>
    <x v="1"/>
    <x v="43"/>
    <x v="1"/>
    <x v="1"/>
    <n v="4"/>
    <n v="300"/>
    <n v="1200"/>
    <s v="High"/>
    <s v="High"/>
    <s v="Yes"/>
    <n v="240"/>
    <n v="960"/>
    <s v="High"/>
    <s v="Normal"/>
    <s v="CUST165-60"/>
    <x v="9"/>
    <s v="Thu"/>
  </r>
  <r>
    <n v="166"/>
    <d v="2023-04-02T00:00:00"/>
    <s v="CUST166"/>
    <x v="0"/>
    <x v="0"/>
    <x v="0"/>
    <x v="1"/>
    <n v="4"/>
    <n v="500"/>
    <n v="2000"/>
    <s v="Critical"/>
    <s v="High"/>
    <s v="Yes"/>
    <n v="300"/>
    <n v="1700"/>
    <s v="High"/>
    <b v="1"/>
    <s v="CUST166-34"/>
    <x v="4"/>
    <s v="Sun"/>
  </r>
  <r>
    <n v="167"/>
    <d v="2023-09-17T00:00:00"/>
    <s v="CUST167"/>
    <x v="1"/>
    <x v="22"/>
    <x v="1"/>
    <x v="1"/>
    <n v="3"/>
    <n v="50"/>
    <n v="150"/>
    <s v="Normal"/>
    <s v="Low"/>
    <s v="Yes"/>
    <n v="30"/>
    <n v="120"/>
    <s v="Low"/>
    <s v="Normal"/>
    <s v="CUST167-43"/>
    <x v="9"/>
    <s v="Sun"/>
  </r>
  <r>
    <n v="168"/>
    <d v="2023-02-24T00:00:00"/>
    <s v="CUST168"/>
    <x v="0"/>
    <x v="45"/>
    <x v="1"/>
    <x v="1"/>
    <n v="1"/>
    <n v="300"/>
    <n v="300"/>
    <s v="Normal"/>
    <s v="Low"/>
    <s v="Yes"/>
    <n v="30"/>
    <n v="270"/>
    <s v="Low"/>
    <s v="Normal"/>
    <s v="CUST168-53"/>
    <x v="1"/>
    <s v="Fri"/>
  </r>
  <r>
    <n v="169"/>
    <d v="2023-11-17T00:00:00"/>
    <s v="CUST169"/>
    <x v="0"/>
    <x v="18"/>
    <x v="2"/>
    <x v="0"/>
    <n v="3"/>
    <n v="500"/>
    <n v="1500"/>
    <s v="Critical"/>
    <s v="High"/>
    <s v="No"/>
    <n v="0"/>
    <n v="1500"/>
    <s v="High"/>
    <b v="1"/>
    <s v="CUST169-18"/>
    <x v="0"/>
    <s v="Fri"/>
  </r>
  <r>
    <n v="170"/>
    <d v="2023-06-02T00:00:00"/>
    <s v="CUST170"/>
    <x v="1"/>
    <x v="36"/>
    <x v="0"/>
    <x v="1"/>
    <n v="2"/>
    <n v="25"/>
    <n v="50"/>
    <s v="Normal"/>
    <s v="Low"/>
    <s v="Yes"/>
    <n v="7.5"/>
    <n v="42.5"/>
    <s v="Low"/>
    <s v="Normal"/>
    <s v="CUST170-25"/>
    <x v="10"/>
    <s v="Fri"/>
  </r>
  <r>
    <n v="171"/>
    <d v="2023-11-24T00:00:00"/>
    <s v="CUST171"/>
    <x v="1"/>
    <x v="8"/>
    <x v="1"/>
    <x v="1"/>
    <n v="3"/>
    <n v="300"/>
    <n v="900"/>
    <s v="Normal"/>
    <s v="Medium"/>
    <s v="Yes"/>
    <n v="180"/>
    <n v="720"/>
    <s v="Low"/>
    <s v="Normal"/>
    <s v="CUST171-52"/>
    <x v="0"/>
    <s v="Fri"/>
  </r>
  <r>
    <n v="172"/>
    <d v="2023-09-17T00:00:00"/>
    <s v="CUST172"/>
    <x v="0"/>
    <x v="40"/>
    <x v="0"/>
    <x v="0"/>
    <n v="2"/>
    <n v="25"/>
    <n v="50"/>
    <s v="Normal"/>
    <s v="Low"/>
    <s v="Yes"/>
    <n v="7.5"/>
    <n v="42.5"/>
    <s v="Low"/>
    <s v="Normal"/>
    <s v="CUST172-32"/>
    <x v="9"/>
    <s v="Sun"/>
  </r>
  <r>
    <n v="173"/>
    <d v="2023-11-08T00:00:00"/>
    <s v="CUST173"/>
    <x v="0"/>
    <x v="12"/>
    <x v="1"/>
    <x v="2"/>
    <n v="4"/>
    <n v="30"/>
    <n v="120"/>
    <s v="Normal"/>
    <s v="Low"/>
    <s v="Yes"/>
    <n v="12"/>
    <n v="108"/>
    <s v="Low"/>
    <s v="Normal"/>
    <s v="CUST173-64"/>
    <x v="0"/>
    <s v="Wed"/>
  </r>
  <r>
    <n v="174"/>
    <d v="2023-04-12T00:00:00"/>
    <s v="CUST174"/>
    <x v="1"/>
    <x v="23"/>
    <x v="0"/>
    <x v="0"/>
    <n v="1"/>
    <n v="300"/>
    <n v="300"/>
    <s v="Normal"/>
    <s v="Low"/>
    <s v="Yes"/>
    <n v="60"/>
    <n v="240"/>
    <s v="Low"/>
    <s v="Normal"/>
    <s v="CUST174-39"/>
    <x v="4"/>
    <s v="Wed"/>
  </r>
  <r>
    <n v="175"/>
    <d v="2023-03-20T00:00:00"/>
    <s v="CUST175"/>
    <x v="1"/>
    <x v="33"/>
    <x v="0"/>
    <x v="2"/>
    <n v="4"/>
    <n v="25"/>
    <n v="100"/>
    <s v="Normal"/>
    <s v="Low"/>
    <s v="Yes"/>
    <n v="15"/>
    <n v="85"/>
    <s v="Low"/>
    <s v="Normal"/>
    <s v="CUST175-31"/>
    <x v="5"/>
    <s v="Mon"/>
  </r>
  <r>
    <n v="176"/>
    <d v="2023-07-11T00:00:00"/>
    <s v="CUST176"/>
    <x v="1"/>
    <x v="22"/>
    <x v="1"/>
    <x v="0"/>
    <n v="2"/>
    <n v="50"/>
    <n v="100"/>
    <s v="Normal"/>
    <s v="Low"/>
    <s v="Yes"/>
    <n v="20"/>
    <n v="80"/>
    <s v="Low"/>
    <s v="Normal"/>
    <s v="CUST176-43"/>
    <x v="11"/>
    <s v="Tue"/>
  </r>
  <r>
    <n v="177"/>
    <d v="2023-03-24T00:00:00"/>
    <s v="CUST177"/>
    <x v="0"/>
    <x v="5"/>
    <x v="1"/>
    <x v="0"/>
    <n v="2"/>
    <n v="50"/>
    <n v="100"/>
    <s v="Normal"/>
    <s v="Low"/>
    <s v="Yes"/>
    <n v="10"/>
    <n v="90"/>
    <s v="Low"/>
    <s v="Normal"/>
    <s v="CUST177-45"/>
    <x v="5"/>
    <s v="Fri"/>
  </r>
  <r>
    <n v="178"/>
    <d v="2023-10-04T00:00:00"/>
    <s v="CUST178"/>
    <x v="0"/>
    <x v="30"/>
    <x v="0"/>
    <x v="1"/>
    <n v="2"/>
    <n v="30"/>
    <n v="60"/>
    <s v="Normal"/>
    <s v="Low"/>
    <s v="Yes"/>
    <n v="6"/>
    <n v="54"/>
    <s v="Low"/>
    <s v="Normal"/>
    <s v="CUST178-40"/>
    <x v="7"/>
    <s v="Wed"/>
  </r>
  <r>
    <n v="179"/>
    <d v="2023-09-29T00:00:00"/>
    <s v="CUST179"/>
    <x v="0"/>
    <x v="33"/>
    <x v="0"/>
    <x v="2"/>
    <n v="1"/>
    <n v="300"/>
    <n v="300"/>
    <s v="Normal"/>
    <s v="Low"/>
    <s v="Yes"/>
    <n v="45"/>
    <n v="255"/>
    <s v="Low"/>
    <s v="Normal"/>
    <s v="CUST179-31"/>
    <x v="9"/>
    <s v="Fri"/>
  </r>
  <r>
    <n v="180"/>
    <d v="2023-01-01T00:00:00"/>
    <s v="CUST180"/>
    <x v="0"/>
    <x v="41"/>
    <x v="1"/>
    <x v="1"/>
    <n v="3"/>
    <n v="300"/>
    <n v="900"/>
    <s v="Normal"/>
    <s v="Medium"/>
    <s v="Yes"/>
    <n v="90"/>
    <n v="810"/>
    <s v="Low"/>
    <s v="Normal"/>
    <s v="CUST180-41"/>
    <x v="2"/>
    <s v="Sun"/>
  </r>
  <r>
    <n v="181"/>
    <d v="2023-11-03T00:00:00"/>
    <s v="CUST181"/>
    <x v="0"/>
    <x v="14"/>
    <x v="2"/>
    <x v="2"/>
    <n v="4"/>
    <n v="300"/>
    <n v="1200"/>
    <s v="High"/>
    <s v="High"/>
    <s v="No"/>
    <n v="0"/>
    <n v="1200"/>
    <s v="High"/>
    <s v="Normal"/>
    <s v="CUST181-19"/>
    <x v="0"/>
    <s v="Fri"/>
  </r>
  <r>
    <n v="182"/>
    <d v="2023-06-15T00:00:00"/>
    <s v="CUST182"/>
    <x v="0"/>
    <x v="17"/>
    <x v="1"/>
    <x v="0"/>
    <n v="4"/>
    <n v="30"/>
    <n v="120"/>
    <s v="Normal"/>
    <s v="Low"/>
    <s v="Yes"/>
    <n v="12"/>
    <n v="108"/>
    <s v="Low"/>
    <s v="Normal"/>
    <s v="CUST182-62"/>
    <x v="10"/>
    <s v="Thu"/>
  </r>
  <r>
    <n v="183"/>
    <d v="2023-09-08T00:00:00"/>
    <s v="CUST183"/>
    <x v="1"/>
    <x v="22"/>
    <x v="1"/>
    <x v="0"/>
    <n v="3"/>
    <n v="300"/>
    <n v="900"/>
    <s v="Normal"/>
    <s v="Medium"/>
    <s v="Yes"/>
    <n v="180"/>
    <n v="720"/>
    <s v="Low"/>
    <s v="Normal"/>
    <s v="CUST183-43"/>
    <x v="9"/>
    <s v="Fri"/>
  </r>
  <r>
    <n v="184"/>
    <d v="2023-01-10T00:00:00"/>
    <s v="CUST184"/>
    <x v="0"/>
    <x v="33"/>
    <x v="0"/>
    <x v="2"/>
    <n v="4"/>
    <n v="50"/>
    <n v="200"/>
    <s v="Normal"/>
    <s v="Low"/>
    <s v="Yes"/>
    <n v="30"/>
    <n v="170"/>
    <s v="Low"/>
    <s v="Normal"/>
    <s v="CUST184-31"/>
    <x v="2"/>
    <s v="Tue"/>
  </r>
  <r>
    <n v="185"/>
    <d v="2023-02-27T00:00:00"/>
    <s v="CUST185"/>
    <x v="0"/>
    <x v="46"/>
    <x v="0"/>
    <x v="1"/>
    <n v="1"/>
    <n v="25"/>
    <n v="25"/>
    <s v="Normal"/>
    <s v="Low"/>
    <s v="No"/>
    <n v="0"/>
    <n v="25"/>
    <s v="Low"/>
    <s v="Normal"/>
    <s v="CUST185-24"/>
    <x v="1"/>
    <s v="Mon"/>
  </r>
  <r>
    <n v="186"/>
    <d v="2023-07-05T00:00:00"/>
    <s v="CUST186"/>
    <x v="0"/>
    <x v="29"/>
    <x v="0"/>
    <x v="1"/>
    <n v="4"/>
    <n v="50"/>
    <n v="200"/>
    <s v="Normal"/>
    <s v="Low"/>
    <s v="No"/>
    <n v="0"/>
    <n v="200"/>
    <s v="Low"/>
    <s v="Normal"/>
    <s v="CUST186-20"/>
    <x v="11"/>
    <s v="Wed"/>
  </r>
  <r>
    <n v="187"/>
    <d v="2023-06-07T00:00:00"/>
    <s v="CUST187"/>
    <x v="1"/>
    <x v="12"/>
    <x v="1"/>
    <x v="1"/>
    <n v="2"/>
    <n v="50"/>
    <n v="100"/>
    <s v="Normal"/>
    <s v="Low"/>
    <s v="Yes"/>
    <n v="20"/>
    <n v="80"/>
    <s v="Low"/>
    <s v="Normal"/>
    <s v="CUST187-64"/>
    <x v="10"/>
    <s v="Wed"/>
  </r>
  <r>
    <n v="188"/>
    <d v="2023-05-03T00:00:00"/>
    <s v="CUST188"/>
    <x v="0"/>
    <x v="30"/>
    <x v="0"/>
    <x v="1"/>
    <n v="3"/>
    <n v="25"/>
    <n v="75"/>
    <s v="Normal"/>
    <s v="Low"/>
    <s v="Yes"/>
    <n v="7.5"/>
    <n v="67.5"/>
    <s v="Low"/>
    <s v="Normal"/>
    <s v="CUST188-40"/>
    <x v="3"/>
    <s v="Wed"/>
  </r>
  <r>
    <n v="189"/>
    <d v="2023-01-30T00:00:00"/>
    <s v="CUST189"/>
    <x v="0"/>
    <x v="7"/>
    <x v="1"/>
    <x v="0"/>
    <n v="1"/>
    <n v="50"/>
    <n v="50"/>
    <s v="Normal"/>
    <s v="Low"/>
    <s v="Yes"/>
    <n v="5"/>
    <n v="45"/>
    <s v="Low"/>
    <s v="Normal"/>
    <s v="CUST189-63"/>
    <x v="2"/>
    <s v="Mon"/>
  </r>
  <r>
    <n v="190"/>
    <d v="2023-05-04T00:00:00"/>
    <s v="CUST190"/>
    <x v="1"/>
    <x v="43"/>
    <x v="1"/>
    <x v="0"/>
    <n v="3"/>
    <n v="30"/>
    <n v="90"/>
    <s v="Normal"/>
    <s v="Low"/>
    <s v="Yes"/>
    <n v="18"/>
    <n v="72"/>
    <s v="Low"/>
    <s v="Normal"/>
    <s v="CUST190-60"/>
    <x v="3"/>
    <s v="Thu"/>
  </r>
  <r>
    <n v="191"/>
    <d v="2023-10-18T00:00:00"/>
    <s v="CUST191"/>
    <x v="0"/>
    <x v="12"/>
    <x v="1"/>
    <x v="0"/>
    <n v="1"/>
    <n v="25"/>
    <n v="25"/>
    <s v="Normal"/>
    <s v="Low"/>
    <s v="Yes"/>
    <n v="2.5"/>
    <n v="22.5"/>
    <s v="Low"/>
    <s v="Normal"/>
    <s v="CUST191-64"/>
    <x v="7"/>
    <s v="Wed"/>
  </r>
  <r>
    <n v="192"/>
    <d v="2023-02-10T00:00:00"/>
    <s v="CUST192"/>
    <x v="0"/>
    <x v="17"/>
    <x v="1"/>
    <x v="0"/>
    <n v="2"/>
    <n v="50"/>
    <n v="100"/>
    <s v="Normal"/>
    <s v="Low"/>
    <s v="Yes"/>
    <n v="10"/>
    <n v="90"/>
    <s v="Low"/>
    <s v="Normal"/>
    <s v="CUST192-62"/>
    <x v="1"/>
    <s v="Fri"/>
  </r>
  <r>
    <n v="193"/>
    <d v="2023-02-13T00:00:00"/>
    <s v="CUST193"/>
    <x v="0"/>
    <x v="10"/>
    <x v="0"/>
    <x v="0"/>
    <n v="3"/>
    <n v="500"/>
    <n v="1500"/>
    <s v="Critical"/>
    <s v="High"/>
    <s v="Yes"/>
    <n v="150"/>
    <n v="1350"/>
    <s v="High"/>
    <b v="1"/>
    <s v="CUST193-35"/>
    <x v="1"/>
    <s v="Mon"/>
  </r>
  <r>
    <n v="194"/>
    <d v="2023-09-06T00:00:00"/>
    <s v="CUST194"/>
    <x v="0"/>
    <x v="28"/>
    <x v="1"/>
    <x v="1"/>
    <n v="4"/>
    <n v="50"/>
    <n v="200"/>
    <s v="Normal"/>
    <s v="Low"/>
    <s v="Yes"/>
    <n v="20"/>
    <n v="180"/>
    <s v="Low"/>
    <s v="Normal"/>
    <s v="CUST194-55"/>
    <x v="9"/>
    <s v="Wed"/>
  </r>
  <r>
    <n v="195"/>
    <d v="2023-02-05T00:00:00"/>
    <s v="CUST195"/>
    <x v="0"/>
    <x v="8"/>
    <x v="1"/>
    <x v="1"/>
    <n v="1"/>
    <n v="30"/>
    <n v="30"/>
    <s v="Normal"/>
    <s v="Low"/>
    <s v="Yes"/>
    <n v="3"/>
    <n v="27"/>
    <s v="Low"/>
    <s v="Normal"/>
    <s v="CUST195-52"/>
    <x v="1"/>
    <s v="Sun"/>
  </r>
  <r>
    <n v="196"/>
    <d v="2023-09-30T00:00:00"/>
    <s v="CUST196"/>
    <x v="1"/>
    <x v="40"/>
    <x v="0"/>
    <x v="1"/>
    <n v="3"/>
    <n v="300"/>
    <n v="900"/>
    <s v="Normal"/>
    <s v="Medium"/>
    <s v="Yes"/>
    <n v="135"/>
    <n v="765"/>
    <s v="Low"/>
    <s v="Normal"/>
    <s v="CUST196-32"/>
    <x v="9"/>
    <s v="Sat"/>
  </r>
  <r>
    <n v="197"/>
    <d v="2023-03-06T00:00:00"/>
    <s v="CUST197"/>
    <x v="1"/>
    <x v="13"/>
    <x v="1"/>
    <x v="1"/>
    <n v="4"/>
    <n v="50"/>
    <n v="200"/>
    <s v="Normal"/>
    <s v="Low"/>
    <s v="Yes"/>
    <n v="40"/>
    <n v="160"/>
    <s v="Low"/>
    <s v="Normal"/>
    <s v="CUST197-42"/>
    <x v="5"/>
    <s v="Mon"/>
  </r>
  <r>
    <n v="198"/>
    <d v="2023-03-07T00:00:00"/>
    <s v="CUST198"/>
    <x v="1"/>
    <x v="31"/>
    <x v="1"/>
    <x v="0"/>
    <n v="3"/>
    <n v="300"/>
    <n v="900"/>
    <s v="Normal"/>
    <s v="Medium"/>
    <s v="Yes"/>
    <n v="180"/>
    <n v="720"/>
    <s v="Low"/>
    <s v="Normal"/>
    <s v="CUST198-54"/>
    <x v="5"/>
    <s v="Tue"/>
  </r>
  <r>
    <n v="199"/>
    <d v="2023-12-04T00:00:00"/>
    <s v="CUST199"/>
    <x v="0"/>
    <x v="5"/>
    <x v="1"/>
    <x v="0"/>
    <n v="3"/>
    <n v="500"/>
    <n v="1500"/>
    <s v="Critical"/>
    <s v="High"/>
    <s v="Yes"/>
    <n v="150"/>
    <n v="1350"/>
    <s v="High"/>
    <b v="1"/>
    <s v="CUST199-45"/>
    <x v="6"/>
    <s v="Mon"/>
  </r>
  <r>
    <n v="200"/>
    <d v="2023-09-01T00:00:00"/>
    <s v="CUST200"/>
    <x v="0"/>
    <x v="15"/>
    <x v="0"/>
    <x v="0"/>
    <n v="3"/>
    <n v="50"/>
    <n v="150"/>
    <s v="Normal"/>
    <s v="Low"/>
    <s v="Yes"/>
    <n v="22.5"/>
    <n v="127.5"/>
    <s v="Low"/>
    <s v="Normal"/>
    <s v="CUST200-27"/>
    <x v="9"/>
    <s v="Fri"/>
  </r>
  <r>
    <n v="201"/>
    <d v="2023-10-09T00:00:00"/>
    <s v="CUST201"/>
    <x v="0"/>
    <x v="37"/>
    <x v="1"/>
    <x v="2"/>
    <n v="1"/>
    <n v="25"/>
    <n v="25"/>
    <s v="Normal"/>
    <s v="Low"/>
    <s v="Yes"/>
    <n v="2.5"/>
    <n v="22.5"/>
    <s v="Low"/>
    <s v="Normal"/>
    <s v="CUST201-56"/>
    <x v="7"/>
    <s v="Mon"/>
  </r>
  <r>
    <n v="202"/>
    <d v="2023-03-26T00:00:00"/>
    <s v="CUST202"/>
    <x v="1"/>
    <x v="0"/>
    <x v="0"/>
    <x v="1"/>
    <n v="4"/>
    <n v="300"/>
    <n v="1200"/>
    <s v="High"/>
    <s v="High"/>
    <s v="Yes"/>
    <n v="180"/>
    <n v="1020"/>
    <s v="High"/>
    <s v="Normal"/>
    <s v="CUST202-34"/>
    <x v="5"/>
    <s v="Sun"/>
  </r>
  <r>
    <n v="203"/>
    <d v="2023-05-16T00:00:00"/>
    <s v="CUST203"/>
    <x v="0"/>
    <x v="37"/>
    <x v="1"/>
    <x v="1"/>
    <n v="2"/>
    <n v="500"/>
    <n v="1000"/>
    <s v="High"/>
    <s v="High"/>
    <s v="Yes"/>
    <n v="100"/>
    <n v="900"/>
    <s v="High"/>
    <s v="Normal"/>
    <s v="CUST203-56"/>
    <x v="3"/>
    <s v="Tue"/>
  </r>
  <r>
    <n v="204"/>
    <d v="2023-09-28T00:00:00"/>
    <s v="CUST204"/>
    <x v="0"/>
    <x v="23"/>
    <x v="0"/>
    <x v="0"/>
    <n v="1"/>
    <n v="25"/>
    <n v="25"/>
    <s v="Normal"/>
    <s v="Low"/>
    <s v="Yes"/>
    <n v="2.5"/>
    <n v="22.5"/>
    <s v="Low"/>
    <s v="Normal"/>
    <s v="CUST204-39"/>
    <x v="9"/>
    <s v="Thu"/>
  </r>
  <r>
    <n v="205"/>
    <d v="2023-11-07T00:00:00"/>
    <s v="CUST205"/>
    <x v="1"/>
    <x v="22"/>
    <x v="1"/>
    <x v="1"/>
    <n v="1"/>
    <n v="25"/>
    <n v="25"/>
    <s v="Normal"/>
    <s v="Low"/>
    <s v="Yes"/>
    <n v="5"/>
    <n v="20"/>
    <s v="Low"/>
    <s v="Normal"/>
    <s v="CUST205-43"/>
    <x v="0"/>
    <s v="Tue"/>
  </r>
  <r>
    <n v="206"/>
    <d v="2023-08-05T00:00:00"/>
    <s v="CUST206"/>
    <x v="0"/>
    <x v="39"/>
    <x v="1"/>
    <x v="1"/>
    <n v="1"/>
    <n v="25"/>
    <n v="25"/>
    <s v="Normal"/>
    <s v="Low"/>
    <s v="Yes"/>
    <n v="2.5"/>
    <n v="22.5"/>
    <s v="Low"/>
    <s v="Normal"/>
    <s v="CUST206-61"/>
    <x v="8"/>
    <s v="Sat"/>
  </r>
  <r>
    <n v="207"/>
    <d v="2023-04-19T00:00:00"/>
    <s v="CUST207"/>
    <x v="1"/>
    <x v="13"/>
    <x v="1"/>
    <x v="0"/>
    <n v="2"/>
    <n v="25"/>
    <n v="50"/>
    <s v="Normal"/>
    <s v="Low"/>
    <s v="Yes"/>
    <n v="10"/>
    <n v="40"/>
    <s v="Low"/>
    <s v="Normal"/>
    <s v="CUST207-42"/>
    <x v="4"/>
    <s v="Wed"/>
  </r>
  <r>
    <n v="208"/>
    <d v="2023-10-04T00:00:00"/>
    <s v="CUST208"/>
    <x v="1"/>
    <x v="0"/>
    <x v="0"/>
    <x v="2"/>
    <n v="4"/>
    <n v="50"/>
    <n v="200"/>
    <s v="Normal"/>
    <s v="Low"/>
    <s v="Yes"/>
    <n v="30"/>
    <n v="170"/>
    <s v="Low"/>
    <s v="Normal"/>
    <s v="CUST208-34"/>
    <x v="7"/>
    <s v="Wed"/>
  </r>
  <r>
    <n v="209"/>
    <d v="2023-12-20T00:00:00"/>
    <s v="CUST209"/>
    <x v="1"/>
    <x v="4"/>
    <x v="0"/>
    <x v="2"/>
    <n v="4"/>
    <n v="50"/>
    <n v="200"/>
    <s v="Normal"/>
    <s v="Low"/>
    <s v="Yes"/>
    <n v="30"/>
    <n v="170"/>
    <s v="Low"/>
    <s v="Normal"/>
    <s v="CUST209-30"/>
    <x v="6"/>
    <s v="Wed"/>
  </r>
  <r>
    <n v="210"/>
    <d v="2023-04-13T00:00:00"/>
    <s v="CUST210"/>
    <x v="0"/>
    <x v="3"/>
    <x v="0"/>
    <x v="2"/>
    <n v="4"/>
    <n v="50"/>
    <n v="200"/>
    <s v="Normal"/>
    <s v="Low"/>
    <s v="Yes"/>
    <n v="20"/>
    <n v="180"/>
    <s v="Low"/>
    <s v="Normal"/>
    <s v="CUST210-37"/>
    <x v="4"/>
    <s v="Thu"/>
  </r>
  <r>
    <n v="211"/>
    <d v="2024-01-01T00:00:00"/>
    <s v="CUST211"/>
    <x v="0"/>
    <x v="13"/>
    <x v="1"/>
    <x v="0"/>
    <n v="3"/>
    <n v="500"/>
    <n v="1500"/>
    <s v="Critical"/>
    <s v="High"/>
    <s v="Yes"/>
    <n v="150"/>
    <n v="1350"/>
    <s v="High"/>
    <b v="1"/>
    <s v="CUST211-42"/>
    <x v="2"/>
    <s v="Mon"/>
  </r>
  <r>
    <n v="212"/>
    <d v="2023-06-09T00:00:00"/>
    <s v="CUST212"/>
    <x v="0"/>
    <x v="34"/>
    <x v="0"/>
    <x v="1"/>
    <n v="3"/>
    <n v="500"/>
    <n v="1500"/>
    <s v="Critical"/>
    <s v="High"/>
    <s v="No"/>
    <n v="0"/>
    <n v="1500"/>
    <s v="High"/>
    <b v="1"/>
    <s v="CUST212-21"/>
    <x v="10"/>
    <s v="Fri"/>
  </r>
  <r>
    <n v="213"/>
    <d v="2023-07-24T00:00:00"/>
    <s v="CUST213"/>
    <x v="0"/>
    <x v="15"/>
    <x v="0"/>
    <x v="0"/>
    <n v="3"/>
    <n v="500"/>
    <n v="1500"/>
    <s v="Critical"/>
    <s v="High"/>
    <s v="Yes"/>
    <n v="225"/>
    <n v="1275"/>
    <s v="High"/>
    <b v="1"/>
    <s v="CUST213-27"/>
    <x v="11"/>
    <s v="Mon"/>
  </r>
  <r>
    <n v="214"/>
    <d v="2023-12-10T00:00:00"/>
    <s v="CUST214"/>
    <x v="0"/>
    <x v="29"/>
    <x v="0"/>
    <x v="0"/>
    <n v="2"/>
    <n v="30"/>
    <n v="60"/>
    <s v="Normal"/>
    <s v="Low"/>
    <s v="No"/>
    <n v="0"/>
    <n v="60"/>
    <s v="Low"/>
    <s v="Normal"/>
    <s v="CUST214-20"/>
    <x v="6"/>
    <s v="Sun"/>
  </r>
  <r>
    <n v="215"/>
    <d v="2023-11-29T00:00:00"/>
    <s v="CUST215"/>
    <x v="0"/>
    <x v="26"/>
    <x v="1"/>
    <x v="1"/>
    <n v="3"/>
    <n v="500"/>
    <n v="1500"/>
    <s v="Critical"/>
    <s v="High"/>
    <s v="Yes"/>
    <n v="150"/>
    <n v="1350"/>
    <s v="High"/>
    <b v="1"/>
    <s v="CUST215-58"/>
    <x v="0"/>
    <s v="Wed"/>
  </r>
  <r>
    <n v="216"/>
    <d v="2023-07-11T00:00:00"/>
    <s v="CUST216"/>
    <x v="0"/>
    <x v="17"/>
    <x v="1"/>
    <x v="2"/>
    <n v="2"/>
    <n v="50"/>
    <n v="100"/>
    <s v="Normal"/>
    <s v="Low"/>
    <s v="Yes"/>
    <n v="10"/>
    <n v="90"/>
    <s v="Low"/>
    <s v="Normal"/>
    <s v="CUST216-62"/>
    <x v="11"/>
    <s v="Tue"/>
  </r>
  <r>
    <n v="217"/>
    <d v="2023-08-13T00:00:00"/>
    <s v="CUST217"/>
    <x v="1"/>
    <x v="10"/>
    <x v="0"/>
    <x v="2"/>
    <n v="4"/>
    <n v="50"/>
    <n v="200"/>
    <s v="Normal"/>
    <s v="Low"/>
    <s v="Yes"/>
    <n v="40"/>
    <n v="160"/>
    <s v="Low"/>
    <s v="Normal"/>
    <s v="CUST217-35"/>
    <x v="8"/>
    <s v="Sun"/>
  </r>
  <r>
    <n v="218"/>
    <d v="2023-09-22T00:00:00"/>
    <s v="CUST218"/>
    <x v="0"/>
    <x v="12"/>
    <x v="1"/>
    <x v="0"/>
    <n v="3"/>
    <n v="30"/>
    <n v="90"/>
    <s v="Normal"/>
    <s v="Low"/>
    <s v="Yes"/>
    <n v="9"/>
    <n v="81"/>
    <s v="Low"/>
    <s v="Normal"/>
    <s v="CUST218-64"/>
    <x v="9"/>
    <s v="Fri"/>
  </r>
  <r>
    <n v="219"/>
    <d v="2023-08-20T00:00:00"/>
    <s v="CUST219"/>
    <x v="1"/>
    <x v="45"/>
    <x v="1"/>
    <x v="2"/>
    <n v="3"/>
    <n v="30"/>
    <n v="90"/>
    <s v="Normal"/>
    <s v="Low"/>
    <s v="Yes"/>
    <n v="18"/>
    <n v="72"/>
    <s v="Low"/>
    <s v="Normal"/>
    <s v="CUST219-53"/>
    <x v="8"/>
    <s v="Sun"/>
  </r>
  <r>
    <n v="220"/>
    <d v="2023-03-03T00:00:00"/>
    <s v="CUST220"/>
    <x v="0"/>
    <x v="12"/>
    <x v="1"/>
    <x v="0"/>
    <n v="1"/>
    <n v="500"/>
    <n v="500"/>
    <s v="Normal"/>
    <s v="Medium"/>
    <s v="Yes"/>
    <n v="50"/>
    <n v="450"/>
    <s v="Low"/>
    <s v="Normal"/>
    <s v="CUST220-64"/>
    <x v="5"/>
    <s v="Fri"/>
  </r>
  <r>
    <n v="221"/>
    <d v="2023-05-07T00:00:00"/>
    <s v="CUST221"/>
    <x v="0"/>
    <x v="23"/>
    <x v="0"/>
    <x v="0"/>
    <n v="2"/>
    <n v="300"/>
    <n v="600"/>
    <s v="Normal"/>
    <s v="Medium"/>
    <s v="Yes"/>
    <n v="60"/>
    <n v="540"/>
    <s v="Low"/>
    <s v="Normal"/>
    <s v="CUST221-39"/>
    <x v="3"/>
    <s v="Sun"/>
  </r>
  <r>
    <n v="222"/>
    <d v="2023-04-26T00:00:00"/>
    <s v="CUST222"/>
    <x v="0"/>
    <x v="25"/>
    <x v="1"/>
    <x v="1"/>
    <n v="4"/>
    <n v="30"/>
    <n v="120"/>
    <s v="Normal"/>
    <s v="Low"/>
    <s v="Yes"/>
    <n v="12"/>
    <n v="108"/>
    <s v="Low"/>
    <s v="Normal"/>
    <s v="CUST222-51"/>
    <x v="4"/>
    <s v="Wed"/>
  </r>
  <r>
    <n v="223"/>
    <d v="2023-02-02T00:00:00"/>
    <s v="CUST223"/>
    <x v="1"/>
    <x v="12"/>
    <x v="1"/>
    <x v="1"/>
    <n v="1"/>
    <n v="25"/>
    <n v="25"/>
    <s v="Normal"/>
    <s v="Low"/>
    <s v="Yes"/>
    <n v="5"/>
    <n v="20"/>
    <s v="Low"/>
    <s v="Normal"/>
    <s v="CUST223-64"/>
    <x v="1"/>
    <s v="Thu"/>
  </r>
  <r>
    <n v="224"/>
    <d v="2023-06-23T00:00:00"/>
    <s v="CUST224"/>
    <x v="1"/>
    <x v="36"/>
    <x v="0"/>
    <x v="1"/>
    <n v="1"/>
    <n v="50"/>
    <n v="50"/>
    <s v="Normal"/>
    <s v="Low"/>
    <s v="Yes"/>
    <n v="7.5"/>
    <n v="42.5"/>
    <s v="Low"/>
    <s v="Normal"/>
    <s v="CUST224-25"/>
    <x v="10"/>
    <s v="Fri"/>
  </r>
  <r>
    <n v="225"/>
    <d v="2023-01-11T00:00:00"/>
    <s v="CUST225"/>
    <x v="1"/>
    <x v="35"/>
    <x v="1"/>
    <x v="0"/>
    <n v="4"/>
    <n v="25"/>
    <n v="100"/>
    <s v="Normal"/>
    <s v="Low"/>
    <s v="Yes"/>
    <n v="20"/>
    <n v="80"/>
    <s v="Low"/>
    <s v="Normal"/>
    <s v="CUST225-57"/>
    <x v="2"/>
    <s v="Wed"/>
  </r>
  <r>
    <n v="226"/>
    <d v="2023-10-29T00:00:00"/>
    <s v="CUST226"/>
    <x v="1"/>
    <x v="39"/>
    <x v="1"/>
    <x v="1"/>
    <n v="1"/>
    <n v="50"/>
    <n v="50"/>
    <s v="Normal"/>
    <s v="Low"/>
    <s v="Yes"/>
    <n v="10"/>
    <n v="40"/>
    <s v="Low"/>
    <s v="Normal"/>
    <s v="CUST226-61"/>
    <x v="7"/>
    <s v="Sun"/>
  </r>
  <r>
    <n v="227"/>
    <d v="2023-10-11T00:00:00"/>
    <s v="CUST227"/>
    <x v="0"/>
    <x v="32"/>
    <x v="0"/>
    <x v="2"/>
    <n v="2"/>
    <n v="50"/>
    <n v="100"/>
    <s v="Normal"/>
    <s v="Low"/>
    <s v="Yes"/>
    <n v="10"/>
    <n v="90"/>
    <s v="Low"/>
    <s v="Normal"/>
    <s v="CUST227-36"/>
    <x v="7"/>
    <s v="Wed"/>
  </r>
  <r>
    <n v="228"/>
    <d v="2023-04-28T00:00:00"/>
    <s v="CUST228"/>
    <x v="1"/>
    <x v="42"/>
    <x v="1"/>
    <x v="2"/>
    <n v="2"/>
    <n v="30"/>
    <n v="60"/>
    <s v="Normal"/>
    <s v="Low"/>
    <s v="Yes"/>
    <n v="12"/>
    <n v="48"/>
    <s v="Low"/>
    <s v="Normal"/>
    <s v="CUST228-59"/>
    <x v="4"/>
    <s v="Fri"/>
  </r>
  <r>
    <n v="229"/>
    <d v="2023-10-29T00:00:00"/>
    <s v="CUST229"/>
    <x v="0"/>
    <x v="26"/>
    <x v="1"/>
    <x v="0"/>
    <n v="3"/>
    <n v="30"/>
    <n v="90"/>
    <s v="Normal"/>
    <s v="Low"/>
    <s v="Yes"/>
    <n v="9"/>
    <n v="81"/>
    <s v="Low"/>
    <s v="Normal"/>
    <s v="CUST229-58"/>
    <x v="7"/>
    <s v="Sun"/>
  </r>
  <r>
    <n v="230"/>
    <d v="2023-04-23T00:00:00"/>
    <s v="CUST230"/>
    <x v="0"/>
    <x v="31"/>
    <x v="1"/>
    <x v="0"/>
    <n v="1"/>
    <n v="25"/>
    <n v="25"/>
    <s v="Normal"/>
    <s v="Low"/>
    <s v="Yes"/>
    <n v="2.5"/>
    <n v="22.5"/>
    <s v="Low"/>
    <s v="Normal"/>
    <s v="CUST230-54"/>
    <x v="4"/>
    <s v="Sun"/>
  </r>
  <r>
    <n v="231"/>
    <d v="2023-01-04T00:00:00"/>
    <s v="CUST231"/>
    <x v="1"/>
    <x v="9"/>
    <x v="0"/>
    <x v="1"/>
    <n v="3"/>
    <n v="50"/>
    <n v="150"/>
    <s v="Normal"/>
    <s v="Low"/>
    <s v="No"/>
    <n v="0"/>
    <n v="150"/>
    <s v="Low"/>
    <s v="Normal"/>
    <s v="CUST231-23"/>
    <x v="2"/>
    <s v="Wed"/>
  </r>
  <r>
    <n v="232"/>
    <d v="2023-02-06T00:00:00"/>
    <s v="CUST232"/>
    <x v="1"/>
    <x v="22"/>
    <x v="1"/>
    <x v="0"/>
    <n v="1"/>
    <n v="25"/>
    <n v="25"/>
    <s v="Normal"/>
    <s v="Low"/>
    <s v="Yes"/>
    <n v="5"/>
    <n v="20"/>
    <s v="Low"/>
    <s v="Normal"/>
    <s v="CUST232-43"/>
    <x v="1"/>
    <s v="Mon"/>
  </r>
  <r>
    <n v="233"/>
    <d v="2023-12-29T00:00:00"/>
    <s v="CUST233"/>
    <x v="1"/>
    <x v="25"/>
    <x v="1"/>
    <x v="0"/>
    <n v="2"/>
    <n v="300"/>
    <n v="600"/>
    <s v="Normal"/>
    <s v="Medium"/>
    <s v="Yes"/>
    <n v="120"/>
    <n v="480"/>
    <s v="Low"/>
    <s v="Normal"/>
    <s v="CUST233-51"/>
    <x v="6"/>
    <s v="Fri"/>
  </r>
  <r>
    <n v="234"/>
    <d v="2023-11-20T00:00:00"/>
    <s v="CUST234"/>
    <x v="1"/>
    <x v="17"/>
    <x v="1"/>
    <x v="2"/>
    <n v="2"/>
    <n v="25"/>
    <n v="50"/>
    <s v="Normal"/>
    <s v="Low"/>
    <s v="Yes"/>
    <n v="10"/>
    <n v="40"/>
    <s v="Low"/>
    <s v="Normal"/>
    <s v="CUST234-62"/>
    <x v="0"/>
    <s v="Mon"/>
  </r>
  <r>
    <n v="235"/>
    <d v="2023-01-31T00:00:00"/>
    <s v="CUST235"/>
    <x v="1"/>
    <x v="9"/>
    <x v="0"/>
    <x v="2"/>
    <n v="2"/>
    <n v="500"/>
    <n v="1000"/>
    <s v="High"/>
    <s v="High"/>
    <s v="No"/>
    <n v="0"/>
    <n v="1000"/>
    <s v="High"/>
    <s v="Normal"/>
    <s v="CUST235-23"/>
    <x v="2"/>
    <s v="Tue"/>
  </r>
  <r>
    <n v="236"/>
    <d v="2023-04-28T00:00:00"/>
    <s v="CUST236"/>
    <x v="1"/>
    <x v="31"/>
    <x v="1"/>
    <x v="1"/>
    <n v="1"/>
    <n v="25"/>
    <n v="25"/>
    <s v="Normal"/>
    <s v="Low"/>
    <s v="Yes"/>
    <n v="5"/>
    <n v="20"/>
    <s v="Low"/>
    <s v="Normal"/>
    <s v="CUST236-54"/>
    <x v="4"/>
    <s v="Fri"/>
  </r>
  <r>
    <n v="237"/>
    <d v="2023-02-04T00:00:00"/>
    <s v="CUST237"/>
    <x v="1"/>
    <x v="2"/>
    <x v="1"/>
    <x v="0"/>
    <n v="2"/>
    <n v="500"/>
    <n v="1000"/>
    <s v="High"/>
    <s v="High"/>
    <s v="Yes"/>
    <n v="200"/>
    <n v="800"/>
    <s v="High"/>
    <s v="Normal"/>
    <s v="CUST237-50"/>
    <x v="1"/>
    <s v="Sat"/>
  </r>
  <r>
    <n v="238"/>
    <d v="2023-01-17T00:00:00"/>
    <s v="CUST238"/>
    <x v="1"/>
    <x v="23"/>
    <x v="0"/>
    <x v="0"/>
    <n v="1"/>
    <n v="500"/>
    <n v="500"/>
    <s v="Normal"/>
    <s v="Medium"/>
    <s v="Yes"/>
    <n v="100"/>
    <n v="400"/>
    <s v="Low"/>
    <s v="Normal"/>
    <s v="CUST238-39"/>
    <x v="2"/>
    <s v="Tue"/>
  </r>
  <r>
    <n v="239"/>
    <d v="2023-06-19T00:00:00"/>
    <s v="CUST239"/>
    <x v="0"/>
    <x v="21"/>
    <x v="0"/>
    <x v="2"/>
    <n v="3"/>
    <n v="500"/>
    <n v="1500"/>
    <s v="Critical"/>
    <s v="High"/>
    <s v="Yes"/>
    <n v="150"/>
    <n v="1350"/>
    <s v="High"/>
    <b v="1"/>
    <s v="CUST239-38"/>
    <x v="10"/>
    <s v="Mon"/>
  </r>
  <r>
    <n v="240"/>
    <d v="2023-02-06T00:00:00"/>
    <s v="CUST240"/>
    <x v="1"/>
    <x v="9"/>
    <x v="0"/>
    <x v="0"/>
    <n v="1"/>
    <n v="300"/>
    <n v="300"/>
    <s v="Normal"/>
    <s v="Low"/>
    <s v="No"/>
    <n v="0"/>
    <n v="300"/>
    <s v="Low"/>
    <s v="Normal"/>
    <s v="CUST240-23"/>
    <x v="1"/>
    <s v="Mon"/>
  </r>
  <r>
    <n v="241"/>
    <d v="2023-09-21T00:00:00"/>
    <s v="CUST241"/>
    <x v="1"/>
    <x v="9"/>
    <x v="0"/>
    <x v="2"/>
    <n v="3"/>
    <n v="25"/>
    <n v="75"/>
    <s v="Normal"/>
    <s v="Low"/>
    <s v="No"/>
    <n v="0"/>
    <n v="75"/>
    <s v="Low"/>
    <s v="Normal"/>
    <s v="CUST241-23"/>
    <x v="9"/>
    <s v="Thu"/>
  </r>
  <r>
    <n v="242"/>
    <d v="2023-05-02T00:00:00"/>
    <s v="CUST242"/>
    <x v="0"/>
    <x v="34"/>
    <x v="0"/>
    <x v="1"/>
    <n v="1"/>
    <n v="25"/>
    <n v="25"/>
    <s v="Normal"/>
    <s v="Low"/>
    <s v="No"/>
    <n v="0"/>
    <n v="25"/>
    <s v="Low"/>
    <s v="Normal"/>
    <s v="CUST242-21"/>
    <x v="3"/>
    <s v="Tue"/>
  </r>
  <r>
    <n v="243"/>
    <d v="2023-05-23T00:00:00"/>
    <s v="CUST243"/>
    <x v="1"/>
    <x v="16"/>
    <x v="1"/>
    <x v="2"/>
    <n v="3"/>
    <n v="300"/>
    <n v="900"/>
    <s v="Normal"/>
    <s v="Medium"/>
    <s v="Yes"/>
    <n v="180"/>
    <n v="720"/>
    <s v="Low"/>
    <s v="Normal"/>
    <s v="CUST243-47"/>
    <x v="3"/>
    <s v="Tue"/>
  </r>
  <r>
    <n v="244"/>
    <d v="2023-12-09T00:00:00"/>
    <s v="CUST244"/>
    <x v="0"/>
    <x v="20"/>
    <x v="0"/>
    <x v="0"/>
    <n v="2"/>
    <n v="50"/>
    <n v="100"/>
    <s v="Normal"/>
    <s v="Low"/>
    <s v="Yes"/>
    <n v="15"/>
    <n v="85"/>
    <s v="Low"/>
    <s v="Normal"/>
    <s v="CUST244-28"/>
    <x v="6"/>
    <s v="Sat"/>
  </r>
  <r>
    <n v="245"/>
    <d v="2023-09-06T00:00:00"/>
    <s v="CUST245"/>
    <x v="0"/>
    <x v="16"/>
    <x v="1"/>
    <x v="1"/>
    <n v="3"/>
    <n v="30"/>
    <n v="90"/>
    <s v="Normal"/>
    <s v="Low"/>
    <s v="Yes"/>
    <n v="9"/>
    <n v="81"/>
    <s v="Low"/>
    <s v="Normal"/>
    <s v="CUST245-47"/>
    <x v="9"/>
    <s v="Wed"/>
  </r>
  <r>
    <n v="246"/>
    <d v="2023-04-20T00:00:00"/>
    <s v="CUST246"/>
    <x v="1"/>
    <x v="27"/>
    <x v="1"/>
    <x v="2"/>
    <n v="2"/>
    <n v="25"/>
    <n v="50"/>
    <s v="Normal"/>
    <s v="Low"/>
    <s v="Yes"/>
    <n v="10"/>
    <n v="40"/>
    <s v="Low"/>
    <s v="Normal"/>
    <s v="CUST246-48"/>
    <x v="4"/>
    <s v="Thu"/>
  </r>
  <r>
    <n v="247"/>
    <d v="2023-10-04T00:00:00"/>
    <s v="CUST247"/>
    <x v="0"/>
    <x v="41"/>
    <x v="1"/>
    <x v="2"/>
    <n v="2"/>
    <n v="30"/>
    <n v="60"/>
    <s v="Normal"/>
    <s v="Low"/>
    <s v="Yes"/>
    <n v="6"/>
    <n v="54"/>
    <s v="Low"/>
    <s v="Normal"/>
    <s v="CUST247-41"/>
    <x v="7"/>
    <s v="Wed"/>
  </r>
  <r>
    <n v="248"/>
    <d v="2023-03-09T00:00:00"/>
    <s v="CUST248"/>
    <x v="0"/>
    <x v="1"/>
    <x v="0"/>
    <x v="1"/>
    <n v="3"/>
    <n v="300"/>
    <n v="900"/>
    <s v="Normal"/>
    <s v="Medium"/>
    <s v="Yes"/>
    <n v="135"/>
    <n v="765"/>
    <s v="Low"/>
    <s v="Normal"/>
    <s v="CUST248-26"/>
    <x v="5"/>
    <s v="Thu"/>
  </r>
  <r>
    <n v="249"/>
    <d v="2023-10-20T00:00:00"/>
    <s v="CUST249"/>
    <x v="0"/>
    <x v="29"/>
    <x v="0"/>
    <x v="1"/>
    <n v="1"/>
    <n v="50"/>
    <n v="50"/>
    <s v="Normal"/>
    <s v="Low"/>
    <s v="No"/>
    <n v="0"/>
    <n v="50"/>
    <s v="Low"/>
    <s v="Normal"/>
    <s v="CUST249-20"/>
    <x v="7"/>
    <s v="Fri"/>
  </r>
  <r>
    <n v="250"/>
    <d v="2023-10-23T00:00:00"/>
    <s v="CUST250"/>
    <x v="0"/>
    <x v="27"/>
    <x v="1"/>
    <x v="2"/>
    <n v="1"/>
    <n v="50"/>
    <n v="50"/>
    <s v="Normal"/>
    <s v="Low"/>
    <s v="Yes"/>
    <n v="5"/>
    <n v="45"/>
    <s v="Low"/>
    <s v="Normal"/>
    <s v="CUST250-48"/>
    <x v="7"/>
    <s v="Mon"/>
  </r>
  <r>
    <n v="251"/>
    <d v="2023-08-31T00:00:00"/>
    <s v="CUST251"/>
    <x v="1"/>
    <x v="35"/>
    <x v="1"/>
    <x v="0"/>
    <n v="4"/>
    <n v="50"/>
    <n v="200"/>
    <s v="Normal"/>
    <s v="Low"/>
    <s v="Yes"/>
    <n v="40"/>
    <n v="160"/>
    <s v="Low"/>
    <s v="Normal"/>
    <s v="CUST251-57"/>
    <x v="8"/>
    <s v="Thu"/>
  </r>
  <r>
    <n v="252"/>
    <d v="2023-05-05T00:00:00"/>
    <s v="CUST252"/>
    <x v="0"/>
    <x v="31"/>
    <x v="1"/>
    <x v="2"/>
    <n v="1"/>
    <n v="300"/>
    <n v="300"/>
    <s v="Normal"/>
    <s v="Low"/>
    <s v="Yes"/>
    <n v="30"/>
    <n v="270"/>
    <s v="Low"/>
    <s v="Normal"/>
    <s v="CUST252-54"/>
    <x v="3"/>
    <s v="Fri"/>
  </r>
  <r>
    <n v="253"/>
    <d v="2023-08-31T00:00:00"/>
    <s v="CUST253"/>
    <x v="1"/>
    <x v="45"/>
    <x v="1"/>
    <x v="1"/>
    <n v="4"/>
    <n v="500"/>
    <n v="2000"/>
    <s v="Critical"/>
    <s v="High"/>
    <s v="Yes"/>
    <n v="400"/>
    <n v="1600"/>
    <s v="High"/>
    <b v="1"/>
    <s v="CUST253-53"/>
    <x v="8"/>
    <s v="Thu"/>
  </r>
  <r>
    <n v="254"/>
    <d v="2023-07-28T00:00:00"/>
    <s v="CUST254"/>
    <x v="0"/>
    <x v="41"/>
    <x v="1"/>
    <x v="2"/>
    <n v="1"/>
    <n v="500"/>
    <n v="500"/>
    <s v="Normal"/>
    <s v="Medium"/>
    <s v="Yes"/>
    <n v="50"/>
    <n v="450"/>
    <s v="Low"/>
    <s v="Normal"/>
    <s v="CUST254-41"/>
    <x v="11"/>
    <s v="Fri"/>
  </r>
  <r>
    <n v="255"/>
    <d v="2023-04-08T00:00:00"/>
    <s v="CUST255"/>
    <x v="0"/>
    <x v="27"/>
    <x v="1"/>
    <x v="1"/>
    <n v="1"/>
    <n v="30"/>
    <n v="30"/>
    <s v="Normal"/>
    <s v="Low"/>
    <s v="Yes"/>
    <n v="3"/>
    <n v="27"/>
    <s v="Low"/>
    <s v="Normal"/>
    <s v="CUST255-48"/>
    <x v="4"/>
    <s v="Sat"/>
  </r>
  <r>
    <n v="256"/>
    <d v="2023-02-18T00:00:00"/>
    <s v="CUST256"/>
    <x v="0"/>
    <x v="9"/>
    <x v="0"/>
    <x v="1"/>
    <n v="2"/>
    <n v="500"/>
    <n v="1000"/>
    <s v="High"/>
    <s v="High"/>
    <s v="No"/>
    <n v="0"/>
    <n v="1000"/>
    <s v="High"/>
    <s v="Normal"/>
    <s v="CUST256-23"/>
    <x v="1"/>
    <s v="Sat"/>
  </r>
  <r>
    <n v="257"/>
    <d v="2023-02-19T00:00:00"/>
    <s v="CUST257"/>
    <x v="0"/>
    <x v="14"/>
    <x v="2"/>
    <x v="0"/>
    <n v="4"/>
    <n v="500"/>
    <n v="2000"/>
    <s v="Critical"/>
    <s v="High"/>
    <s v="No"/>
    <n v="0"/>
    <n v="2000"/>
    <s v="High"/>
    <b v="1"/>
    <s v="CUST257-19"/>
    <x v="1"/>
    <s v="Sun"/>
  </r>
  <r>
    <n v="258"/>
    <d v="2023-12-04T00:00:00"/>
    <s v="CUST258"/>
    <x v="1"/>
    <x v="3"/>
    <x v="0"/>
    <x v="1"/>
    <n v="1"/>
    <n v="50"/>
    <n v="50"/>
    <s v="Normal"/>
    <s v="Low"/>
    <s v="Yes"/>
    <n v="10"/>
    <n v="40"/>
    <s v="Low"/>
    <s v="Normal"/>
    <s v="CUST258-37"/>
    <x v="6"/>
    <s v="Mon"/>
  </r>
  <r>
    <n v="259"/>
    <d v="2023-08-09T00:00:00"/>
    <s v="CUST259"/>
    <x v="1"/>
    <x v="5"/>
    <x v="1"/>
    <x v="1"/>
    <n v="4"/>
    <n v="50"/>
    <n v="200"/>
    <s v="Normal"/>
    <s v="Low"/>
    <s v="Yes"/>
    <n v="40"/>
    <n v="160"/>
    <s v="Low"/>
    <s v="Normal"/>
    <s v="CUST259-45"/>
    <x v="8"/>
    <s v="Wed"/>
  </r>
  <r>
    <n v="260"/>
    <d v="2023-07-01T00:00:00"/>
    <s v="CUST260"/>
    <x v="0"/>
    <x v="20"/>
    <x v="0"/>
    <x v="0"/>
    <n v="2"/>
    <n v="30"/>
    <n v="60"/>
    <s v="Normal"/>
    <s v="Low"/>
    <s v="Yes"/>
    <n v="9"/>
    <n v="51"/>
    <s v="Low"/>
    <s v="Normal"/>
    <s v="CUST260-28"/>
    <x v="11"/>
    <s v="Sat"/>
  </r>
  <r>
    <n v="261"/>
    <d v="2023-08-05T00:00:00"/>
    <s v="CUST261"/>
    <x v="0"/>
    <x v="34"/>
    <x v="0"/>
    <x v="1"/>
    <n v="2"/>
    <n v="25"/>
    <n v="50"/>
    <s v="Normal"/>
    <s v="Low"/>
    <s v="No"/>
    <n v="0"/>
    <n v="50"/>
    <s v="Low"/>
    <s v="Normal"/>
    <s v="CUST261-21"/>
    <x v="8"/>
    <s v="Sat"/>
  </r>
  <r>
    <n v="262"/>
    <d v="2023-07-30T00:00:00"/>
    <s v="CUST262"/>
    <x v="1"/>
    <x v="40"/>
    <x v="0"/>
    <x v="0"/>
    <n v="4"/>
    <n v="30"/>
    <n v="120"/>
    <s v="Normal"/>
    <s v="Low"/>
    <s v="Yes"/>
    <n v="18"/>
    <n v="102"/>
    <s v="Low"/>
    <s v="Normal"/>
    <s v="CUST262-32"/>
    <x v="11"/>
    <s v="Sun"/>
  </r>
  <r>
    <n v="263"/>
    <d v="2023-08-28T00:00:00"/>
    <s v="CUST263"/>
    <x v="0"/>
    <x v="9"/>
    <x v="0"/>
    <x v="0"/>
    <n v="2"/>
    <n v="30"/>
    <n v="60"/>
    <s v="Normal"/>
    <s v="Low"/>
    <s v="No"/>
    <n v="0"/>
    <n v="60"/>
    <s v="Low"/>
    <s v="Normal"/>
    <s v="CUST263-23"/>
    <x v="8"/>
    <s v="Mon"/>
  </r>
  <r>
    <n v="264"/>
    <d v="2023-01-28T00:00:00"/>
    <s v="CUST264"/>
    <x v="0"/>
    <x v="16"/>
    <x v="1"/>
    <x v="1"/>
    <n v="3"/>
    <n v="300"/>
    <n v="900"/>
    <s v="Normal"/>
    <s v="Medium"/>
    <s v="Yes"/>
    <n v="90"/>
    <n v="810"/>
    <s v="Low"/>
    <s v="Normal"/>
    <s v="CUST264-47"/>
    <x v="2"/>
    <s v="Sat"/>
  </r>
  <r>
    <n v="265"/>
    <d v="2023-12-11T00:00:00"/>
    <s v="CUST265"/>
    <x v="0"/>
    <x v="28"/>
    <x v="1"/>
    <x v="1"/>
    <n v="3"/>
    <n v="300"/>
    <n v="900"/>
    <s v="Normal"/>
    <s v="Medium"/>
    <s v="Yes"/>
    <n v="90"/>
    <n v="810"/>
    <s v="Low"/>
    <s v="Normal"/>
    <s v="CUST265-55"/>
    <x v="6"/>
    <s v="Mon"/>
  </r>
  <r>
    <n v="266"/>
    <d v="2023-12-01T00:00:00"/>
    <s v="CUST266"/>
    <x v="1"/>
    <x v="14"/>
    <x v="2"/>
    <x v="2"/>
    <n v="2"/>
    <n v="30"/>
    <n v="60"/>
    <s v="Normal"/>
    <s v="Low"/>
    <s v="No"/>
    <n v="0"/>
    <n v="60"/>
    <s v="Low"/>
    <s v="Normal"/>
    <s v="CUST266-19"/>
    <x v="6"/>
    <s v="Fri"/>
  </r>
  <r>
    <n v="267"/>
    <d v="2023-11-27T00:00:00"/>
    <s v="CUST267"/>
    <x v="1"/>
    <x v="40"/>
    <x v="0"/>
    <x v="0"/>
    <n v="3"/>
    <n v="30"/>
    <n v="90"/>
    <s v="Normal"/>
    <s v="Low"/>
    <s v="Yes"/>
    <n v="13.5"/>
    <n v="76.5"/>
    <s v="Low"/>
    <s v="Normal"/>
    <s v="CUST267-32"/>
    <x v="0"/>
    <s v="Mon"/>
  </r>
  <r>
    <n v="268"/>
    <d v="2023-02-20T00:00:00"/>
    <s v="CUST268"/>
    <x v="1"/>
    <x v="20"/>
    <x v="0"/>
    <x v="2"/>
    <n v="1"/>
    <n v="30"/>
    <n v="30"/>
    <s v="Normal"/>
    <s v="Low"/>
    <s v="Yes"/>
    <n v="4.5"/>
    <n v="25.5"/>
    <s v="Low"/>
    <s v="Normal"/>
    <s v="CUST268-28"/>
    <x v="1"/>
    <s v="Mon"/>
  </r>
  <r>
    <n v="269"/>
    <d v="2023-02-01T00:00:00"/>
    <s v="CUST269"/>
    <x v="0"/>
    <x v="36"/>
    <x v="0"/>
    <x v="1"/>
    <n v="4"/>
    <n v="500"/>
    <n v="2000"/>
    <s v="Critical"/>
    <s v="High"/>
    <s v="Yes"/>
    <n v="300"/>
    <n v="1700"/>
    <s v="High"/>
    <b v="1"/>
    <s v="CUST269-25"/>
    <x v="1"/>
    <s v="Wed"/>
  </r>
  <r>
    <n v="270"/>
    <d v="2023-07-26T00:00:00"/>
    <s v="CUST270"/>
    <x v="0"/>
    <x v="22"/>
    <x v="1"/>
    <x v="2"/>
    <n v="1"/>
    <n v="300"/>
    <n v="300"/>
    <s v="Normal"/>
    <s v="Low"/>
    <s v="Yes"/>
    <n v="30"/>
    <n v="270"/>
    <s v="Low"/>
    <s v="Normal"/>
    <s v="CUST270-43"/>
    <x v="11"/>
    <s v="Wed"/>
  </r>
  <r>
    <n v="271"/>
    <d v="2023-06-23T00:00:00"/>
    <s v="CUST271"/>
    <x v="1"/>
    <x v="17"/>
    <x v="1"/>
    <x v="0"/>
    <n v="4"/>
    <n v="30"/>
    <n v="120"/>
    <s v="Normal"/>
    <s v="Low"/>
    <s v="Yes"/>
    <n v="24"/>
    <n v="96"/>
    <s v="Low"/>
    <s v="Normal"/>
    <s v="CUST271-62"/>
    <x v="10"/>
    <s v="Fri"/>
  </r>
  <r>
    <n v="272"/>
    <d v="2023-02-25T00:00:00"/>
    <s v="CUST272"/>
    <x v="1"/>
    <x v="39"/>
    <x v="1"/>
    <x v="2"/>
    <n v="2"/>
    <n v="50"/>
    <n v="100"/>
    <s v="Normal"/>
    <s v="Low"/>
    <s v="Yes"/>
    <n v="20"/>
    <n v="80"/>
    <s v="Low"/>
    <s v="Normal"/>
    <s v="CUST272-61"/>
    <x v="1"/>
    <s v="Sat"/>
  </r>
  <r>
    <n v="273"/>
    <d v="2023-05-08T00:00:00"/>
    <s v="CUST273"/>
    <x v="1"/>
    <x v="11"/>
    <x v="0"/>
    <x v="0"/>
    <n v="1"/>
    <n v="50"/>
    <n v="50"/>
    <s v="Normal"/>
    <s v="Low"/>
    <s v="No"/>
    <n v="0"/>
    <n v="50"/>
    <s v="Low"/>
    <s v="Normal"/>
    <s v="CUST273-22"/>
    <x v="3"/>
    <s v="Mon"/>
  </r>
  <r>
    <n v="274"/>
    <d v="2023-04-09T00:00:00"/>
    <s v="CUST274"/>
    <x v="1"/>
    <x v="9"/>
    <x v="0"/>
    <x v="1"/>
    <n v="2"/>
    <n v="500"/>
    <n v="1000"/>
    <s v="High"/>
    <s v="High"/>
    <s v="No"/>
    <n v="0"/>
    <n v="1000"/>
    <s v="High"/>
    <s v="Normal"/>
    <s v="CUST274-23"/>
    <x v="4"/>
    <s v="Sun"/>
  </r>
  <r>
    <n v="275"/>
    <d v="2023-04-08T00:00:00"/>
    <s v="CUST275"/>
    <x v="0"/>
    <x v="22"/>
    <x v="1"/>
    <x v="1"/>
    <n v="2"/>
    <n v="500"/>
    <n v="1000"/>
    <s v="High"/>
    <s v="High"/>
    <s v="Yes"/>
    <n v="100"/>
    <n v="900"/>
    <s v="High"/>
    <s v="Normal"/>
    <s v="CUST275-43"/>
    <x v="4"/>
    <s v="Sat"/>
  </r>
  <r>
    <n v="276"/>
    <d v="2023-10-02T00:00:00"/>
    <s v="CUST276"/>
    <x v="1"/>
    <x v="34"/>
    <x v="0"/>
    <x v="0"/>
    <n v="4"/>
    <n v="25"/>
    <n v="100"/>
    <s v="Normal"/>
    <s v="Low"/>
    <s v="No"/>
    <n v="0"/>
    <n v="100"/>
    <s v="Low"/>
    <s v="Normal"/>
    <s v="CUST276-21"/>
    <x v="7"/>
    <s v="Mon"/>
  </r>
  <r>
    <n v="277"/>
    <d v="2023-08-18T00:00:00"/>
    <s v="CUST277"/>
    <x v="0"/>
    <x v="32"/>
    <x v="0"/>
    <x v="1"/>
    <n v="4"/>
    <n v="25"/>
    <n v="100"/>
    <s v="Normal"/>
    <s v="Low"/>
    <s v="Yes"/>
    <n v="10"/>
    <n v="90"/>
    <s v="Low"/>
    <s v="Normal"/>
    <s v="CUST277-36"/>
    <x v="8"/>
    <s v="Fri"/>
  </r>
  <r>
    <n v="278"/>
    <d v="2023-03-13T00:00:00"/>
    <s v="CUST278"/>
    <x v="1"/>
    <x v="3"/>
    <x v="0"/>
    <x v="1"/>
    <n v="4"/>
    <n v="25"/>
    <n v="100"/>
    <s v="Normal"/>
    <s v="Low"/>
    <s v="Yes"/>
    <n v="20"/>
    <n v="80"/>
    <s v="Low"/>
    <s v="Normal"/>
    <s v="CUST278-37"/>
    <x v="5"/>
    <s v="Mon"/>
  </r>
  <r>
    <n v="279"/>
    <d v="2023-08-05T00:00:00"/>
    <s v="CUST279"/>
    <x v="0"/>
    <x v="2"/>
    <x v="1"/>
    <x v="1"/>
    <n v="1"/>
    <n v="500"/>
    <n v="500"/>
    <s v="Normal"/>
    <s v="Medium"/>
    <s v="Yes"/>
    <n v="50"/>
    <n v="450"/>
    <s v="Low"/>
    <s v="Normal"/>
    <s v="CUST279-50"/>
    <x v="8"/>
    <s v="Sat"/>
  </r>
  <r>
    <n v="280"/>
    <d v="2023-04-04T00:00:00"/>
    <s v="CUST280"/>
    <x v="1"/>
    <x v="3"/>
    <x v="0"/>
    <x v="1"/>
    <n v="3"/>
    <n v="500"/>
    <n v="1500"/>
    <s v="Critical"/>
    <s v="High"/>
    <s v="Yes"/>
    <n v="300"/>
    <n v="1200"/>
    <s v="High"/>
    <b v="1"/>
    <s v="CUST280-37"/>
    <x v="4"/>
    <s v="Tue"/>
  </r>
  <r>
    <n v="281"/>
    <d v="2023-05-23T00:00:00"/>
    <s v="CUST281"/>
    <x v="1"/>
    <x v="38"/>
    <x v="0"/>
    <x v="0"/>
    <n v="4"/>
    <n v="500"/>
    <n v="2000"/>
    <s v="Critical"/>
    <s v="High"/>
    <s v="Yes"/>
    <n v="300"/>
    <n v="1700"/>
    <s v="High"/>
    <b v="1"/>
    <s v="CUST281-29"/>
    <x v="3"/>
    <s v="Tue"/>
  </r>
  <r>
    <n v="282"/>
    <d v="2023-08-25T00:00:00"/>
    <s v="CUST282"/>
    <x v="1"/>
    <x v="12"/>
    <x v="1"/>
    <x v="2"/>
    <n v="4"/>
    <n v="50"/>
    <n v="200"/>
    <s v="Normal"/>
    <s v="Low"/>
    <s v="Yes"/>
    <n v="40"/>
    <n v="160"/>
    <s v="Low"/>
    <s v="Normal"/>
    <s v="CUST282-64"/>
    <x v="8"/>
    <s v="Fri"/>
  </r>
  <r>
    <n v="283"/>
    <d v="2023-05-08T00:00:00"/>
    <s v="CUST283"/>
    <x v="1"/>
    <x v="18"/>
    <x v="2"/>
    <x v="2"/>
    <n v="1"/>
    <n v="500"/>
    <n v="500"/>
    <s v="Normal"/>
    <s v="Medium"/>
    <s v="No"/>
    <n v="0"/>
    <n v="500"/>
    <s v="Low"/>
    <s v="Normal"/>
    <s v="CUST283-18"/>
    <x v="3"/>
    <s v="Mon"/>
  </r>
  <r>
    <n v="284"/>
    <d v="2023-02-08T00:00:00"/>
    <s v="CUST284"/>
    <x v="0"/>
    <x v="22"/>
    <x v="1"/>
    <x v="1"/>
    <n v="4"/>
    <n v="50"/>
    <n v="200"/>
    <s v="Normal"/>
    <s v="Low"/>
    <s v="Yes"/>
    <n v="20"/>
    <n v="180"/>
    <s v="Low"/>
    <s v="Normal"/>
    <s v="CUST284-43"/>
    <x v="1"/>
    <s v="Wed"/>
  </r>
  <r>
    <n v="285"/>
    <d v="2023-08-15T00:00:00"/>
    <s v="CUST285"/>
    <x v="1"/>
    <x v="33"/>
    <x v="0"/>
    <x v="2"/>
    <n v="1"/>
    <n v="25"/>
    <n v="25"/>
    <s v="Normal"/>
    <s v="Low"/>
    <s v="Yes"/>
    <n v="3.75"/>
    <n v="21.25"/>
    <s v="Low"/>
    <s v="Normal"/>
    <s v="CUST285-31"/>
    <x v="8"/>
    <s v="Tue"/>
  </r>
  <r>
    <n v="286"/>
    <d v="2023-10-09T00:00:00"/>
    <s v="CUST286"/>
    <x v="0"/>
    <x v="28"/>
    <x v="1"/>
    <x v="2"/>
    <n v="2"/>
    <n v="25"/>
    <n v="50"/>
    <s v="Normal"/>
    <s v="Low"/>
    <s v="Yes"/>
    <n v="5"/>
    <n v="45"/>
    <s v="Low"/>
    <s v="Normal"/>
    <s v="CUST286-55"/>
    <x v="7"/>
    <s v="Mon"/>
  </r>
  <r>
    <n v="287"/>
    <d v="2023-02-20T00:00:00"/>
    <s v="CUST287"/>
    <x v="0"/>
    <x v="31"/>
    <x v="1"/>
    <x v="1"/>
    <n v="4"/>
    <n v="25"/>
    <n v="100"/>
    <s v="Normal"/>
    <s v="Low"/>
    <s v="Yes"/>
    <n v="10"/>
    <n v="90"/>
    <s v="Low"/>
    <s v="Normal"/>
    <s v="CUST287-54"/>
    <x v="1"/>
    <s v="Mon"/>
  </r>
  <r>
    <n v="288"/>
    <d v="2023-01-26T00:00:00"/>
    <s v="CUST288"/>
    <x v="0"/>
    <x v="20"/>
    <x v="0"/>
    <x v="1"/>
    <n v="4"/>
    <n v="30"/>
    <n v="120"/>
    <s v="Normal"/>
    <s v="Low"/>
    <s v="Yes"/>
    <n v="18"/>
    <n v="102"/>
    <s v="Low"/>
    <s v="Normal"/>
    <s v="CUST288-28"/>
    <x v="2"/>
    <s v="Thu"/>
  </r>
  <r>
    <n v="289"/>
    <d v="2023-11-30T00:00:00"/>
    <s v="CUST289"/>
    <x v="0"/>
    <x v="45"/>
    <x v="1"/>
    <x v="2"/>
    <n v="2"/>
    <n v="30"/>
    <n v="60"/>
    <s v="Normal"/>
    <s v="Low"/>
    <s v="Yes"/>
    <n v="6"/>
    <n v="54"/>
    <s v="Low"/>
    <s v="Normal"/>
    <s v="CUST289-53"/>
    <x v="0"/>
    <s v="Thu"/>
  </r>
  <r>
    <n v="290"/>
    <d v="2023-10-04T00:00:00"/>
    <s v="CUST290"/>
    <x v="1"/>
    <x v="4"/>
    <x v="0"/>
    <x v="0"/>
    <n v="2"/>
    <n v="300"/>
    <n v="600"/>
    <s v="Normal"/>
    <s v="Medium"/>
    <s v="Yes"/>
    <n v="90"/>
    <n v="510"/>
    <s v="Low"/>
    <s v="Normal"/>
    <s v="CUST290-30"/>
    <x v="7"/>
    <s v="Wed"/>
  </r>
  <r>
    <n v="291"/>
    <d v="2023-01-08T00:00:00"/>
    <s v="CUST291"/>
    <x v="0"/>
    <x v="43"/>
    <x v="1"/>
    <x v="1"/>
    <n v="2"/>
    <n v="300"/>
    <n v="600"/>
    <s v="Normal"/>
    <s v="Medium"/>
    <s v="Yes"/>
    <n v="60"/>
    <n v="540"/>
    <s v="Low"/>
    <s v="Normal"/>
    <s v="CUST291-60"/>
    <x v="2"/>
    <s v="Sun"/>
  </r>
  <r>
    <n v="292"/>
    <d v="2023-02-17T00:00:00"/>
    <s v="CUST292"/>
    <x v="0"/>
    <x v="29"/>
    <x v="0"/>
    <x v="0"/>
    <n v="4"/>
    <n v="300"/>
    <n v="1200"/>
    <s v="High"/>
    <s v="High"/>
    <s v="No"/>
    <n v="0"/>
    <n v="1200"/>
    <s v="High"/>
    <s v="Normal"/>
    <s v="CUST292-20"/>
    <x v="1"/>
    <s v="Fri"/>
  </r>
  <r>
    <n v="293"/>
    <d v="2023-05-02T00:00:00"/>
    <s v="CUST293"/>
    <x v="0"/>
    <x v="2"/>
    <x v="1"/>
    <x v="2"/>
    <n v="3"/>
    <n v="30"/>
    <n v="90"/>
    <s v="Normal"/>
    <s v="Low"/>
    <s v="Yes"/>
    <n v="9"/>
    <n v="81"/>
    <s v="Low"/>
    <s v="Normal"/>
    <s v="CUST293-50"/>
    <x v="3"/>
    <s v="Tue"/>
  </r>
  <r>
    <n v="294"/>
    <d v="2023-03-27T00:00:00"/>
    <s v="CUST294"/>
    <x v="1"/>
    <x v="9"/>
    <x v="0"/>
    <x v="1"/>
    <n v="3"/>
    <n v="30"/>
    <n v="90"/>
    <s v="Normal"/>
    <s v="Low"/>
    <s v="No"/>
    <n v="0"/>
    <n v="90"/>
    <s v="Low"/>
    <s v="Normal"/>
    <s v="CUST294-23"/>
    <x v="5"/>
    <s v="Mon"/>
  </r>
  <r>
    <n v="295"/>
    <d v="2023-07-28T00:00:00"/>
    <s v="CUST295"/>
    <x v="1"/>
    <x v="15"/>
    <x v="0"/>
    <x v="0"/>
    <n v="3"/>
    <n v="300"/>
    <n v="900"/>
    <s v="Normal"/>
    <s v="Medium"/>
    <s v="Yes"/>
    <n v="135"/>
    <n v="765"/>
    <s v="Low"/>
    <s v="Normal"/>
    <s v="CUST295-27"/>
    <x v="11"/>
    <s v="Fri"/>
  </r>
  <r>
    <n v="296"/>
    <d v="2023-09-06T00:00:00"/>
    <s v="CUST296"/>
    <x v="1"/>
    <x v="11"/>
    <x v="0"/>
    <x v="1"/>
    <n v="4"/>
    <n v="300"/>
    <n v="1200"/>
    <s v="High"/>
    <s v="High"/>
    <s v="No"/>
    <n v="0"/>
    <n v="1200"/>
    <s v="High"/>
    <s v="Normal"/>
    <s v="CUST296-22"/>
    <x v="9"/>
    <s v="Wed"/>
  </r>
  <r>
    <n v="297"/>
    <d v="2023-09-04T00:00:00"/>
    <s v="CUST297"/>
    <x v="1"/>
    <x v="30"/>
    <x v="0"/>
    <x v="2"/>
    <n v="2"/>
    <n v="500"/>
    <n v="1000"/>
    <s v="High"/>
    <s v="High"/>
    <s v="Yes"/>
    <n v="200"/>
    <n v="800"/>
    <s v="High"/>
    <s v="Normal"/>
    <s v="CUST297-40"/>
    <x v="9"/>
    <s v="Mon"/>
  </r>
  <r>
    <n v="298"/>
    <d v="2023-04-20T00:00:00"/>
    <s v="CUST298"/>
    <x v="0"/>
    <x v="15"/>
    <x v="0"/>
    <x v="0"/>
    <n v="4"/>
    <n v="300"/>
    <n v="1200"/>
    <s v="High"/>
    <s v="High"/>
    <s v="Yes"/>
    <n v="180"/>
    <n v="1020"/>
    <s v="High"/>
    <s v="Normal"/>
    <s v="CUST298-27"/>
    <x v="4"/>
    <s v="Thu"/>
  </r>
  <r>
    <n v="299"/>
    <d v="2023-07-25T00:00:00"/>
    <s v="CUST299"/>
    <x v="0"/>
    <x v="39"/>
    <x v="1"/>
    <x v="2"/>
    <n v="2"/>
    <n v="500"/>
    <n v="1000"/>
    <s v="High"/>
    <s v="High"/>
    <s v="Yes"/>
    <n v="100"/>
    <n v="900"/>
    <s v="High"/>
    <s v="Normal"/>
    <s v="CUST299-61"/>
    <x v="11"/>
    <s v="Tue"/>
  </r>
  <r>
    <n v="300"/>
    <d v="2023-01-31T00:00:00"/>
    <s v="CUST300"/>
    <x v="1"/>
    <x v="14"/>
    <x v="2"/>
    <x v="2"/>
    <n v="4"/>
    <n v="50"/>
    <n v="200"/>
    <s v="Normal"/>
    <s v="Low"/>
    <s v="No"/>
    <n v="0"/>
    <n v="200"/>
    <s v="Low"/>
    <s v="Normal"/>
    <s v="CUST300-19"/>
    <x v="2"/>
    <s v="Tue"/>
  </r>
  <r>
    <n v="301"/>
    <d v="2023-03-26T00:00:00"/>
    <s v="CUST301"/>
    <x v="0"/>
    <x v="4"/>
    <x v="0"/>
    <x v="1"/>
    <n v="4"/>
    <n v="30"/>
    <n v="120"/>
    <s v="Normal"/>
    <s v="Low"/>
    <s v="Yes"/>
    <n v="18"/>
    <n v="102"/>
    <s v="Low"/>
    <s v="Normal"/>
    <s v="CUST301-30"/>
    <x v="5"/>
    <s v="Sun"/>
  </r>
  <r>
    <n v="302"/>
    <d v="2023-07-14T00:00:00"/>
    <s v="CUST302"/>
    <x v="0"/>
    <x v="35"/>
    <x v="1"/>
    <x v="0"/>
    <n v="2"/>
    <n v="300"/>
    <n v="600"/>
    <s v="Normal"/>
    <s v="Medium"/>
    <s v="Yes"/>
    <n v="60"/>
    <n v="540"/>
    <s v="Low"/>
    <s v="Normal"/>
    <s v="CUST302-57"/>
    <x v="11"/>
    <s v="Fri"/>
  </r>
  <r>
    <n v="303"/>
    <d v="2023-01-02T00:00:00"/>
    <s v="CUST303"/>
    <x v="0"/>
    <x v="14"/>
    <x v="2"/>
    <x v="2"/>
    <n v="3"/>
    <n v="30"/>
    <n v="90"/>
    <s v="Normal"/>
    <s v="Low"/>
    <s v="No"/>
    <n v="0"/>
    <n v="90"/>
    <s v="Low"/>
    <s v="Normal"/>
    <s v="CUST303-19"/>
    <x v="2"/>
    <s v="Mon"/>
  </r>
  <r>
    <n v="304"/>
    <d v="2023-07-19T00:00:00"/>
    <s v="CUST304"/>
    <x v="1"/>
    <x v="3"/>
    <x v="0"/>
    <x v="2"/>
    <n v="2"/>
    <n v="30"/>
    <n v="60"/>
    <s v="Normal"/>
    <s v="Low"/>
    <s v="Yes"/>
    <n v="12"/>
    <n v="48"/>
    <s v="Low"/>
    <s v="Normal"/>
    <s v="CUST304-37"/>
    <x v="11"/>
    <s v="Wed"/>
  </r>
  <r>
    <n v="305"/>
    <d v="2023-05-16T00:00:00"/>
    <s v="CUST305"/>
    <x v="1"/>
    <x v="18"/>
    <x v="2"/>
    <x v="0"/>
    <n v="1"/>
    <n v="30"/>
    <n v="30"/>
    <s v="Normal"/>
    <s v="Low"/>
    <s v="No"/>
    <n v="0"/>
    <n v="30"/>
    <s v="Low"/>
    <s v="Normal"/>
    <s v="CUST305-18"/>
    <x v="3"/>
    <s v="Tue"/>
  </r>
  <r>
    <n v="306"/>
    <d v="2023-08-21T00:00:00"/>
    <s v="CUST306"/>
    <x v="0"/>
    <x v="31"/>
    <x v="1"/>
    <x v="2"/>
    <n v="1"/>
    <n v="50"/>
    <n v="50"/>
    <s v="Normal"/>
    <s v="Low"/>
    <s v="Yes"/>
    <n v="5"/>
    <n v="45"/>
    <s v="Low"/>
    <s v="Normal"/>
    <s v="CUST306-54"/>
    <x v="8"/>
    <s v="Mon"/>
  </r>
  <r>
    <n v="307"/>
    <d v="2023-05-27T00:00:00"/>
    <s v="CUST307"/>
    <x v="1"/>
    <x v="1"/>
    <x v="0"/>
    <x v="2"/>
    <n v="2"/>
    <n v="25"/>
    <n v="50"/>
    <s v="Normal"/>
    <s v="Low"/>
    <s v="Yes"/>
    <n v="7.5"/>
    <n v="42.5"/>
    <s v="Low"/>
    <s v="Normal"/>
    <s v="CUST307-26"/>
    <x v="3"/>
    <s v="Sat"/>
  </r>
  <r>
    <n v="308"/>
    <d v="2023-08-05T00:00:00"/>
    <s v="CUST308"/>
    <x v="1"/>
    <x v="0"/>
    <x v="0"/>
    <x v="0"/>
    <n v="4"/>
    <n v="300"/>
    <n v="1200"/>
    <s v="High"/>
    <s v="High"/>
    <s v="Yes"/>
    <n v="180"/>
    <n v="1020"/>
    <s v="High"/>
    <s v="Normal"/>
    <s v="CUST308-34"/>
    <x v="8"/>
    <s v="Sat"/>
  </r>
  <r>
    <n v="309"/>
    <d v="2023-12-23T00:00:00"/>
    <s v="CUST309"/>
    <x v="1"/>
    <x v="1"/>
    <x v="0"/>
    <x v="0"/>
    <n v="1"/>
    <n v="25"/>
    <n v="25"/>
    <s v="Normal"/>
    <s v="Low"/>
    <s v="Yes"/>
    <n v="3.75"/>
    <n v="21.25"/>
    <s v="Low"/>
    <s v="Normal"/>
    <s v="CUST309-26"/>
    <x v="6"/>
    <s v="Sat"/>
  </r>
  <r>
    <n v="310"/>
    <d v="2023-10-12T00:00:00"/>
    <s v="CUST310"/>
    <x v="1"/>
    <x v="20"/>
    <x v="0"/>
    <x v="0"/>
    <n v="1"/>
    <n v="25"/>
    <n v="25"/>
    <s v="Normal"/>
    <s v="Low"/>
    <s v="Yes"/>
    <n v="3.75"/>
    <n v="21.25"/>
    <s v="Low"/>
    <s v="Normal"/>
    <s v="CUST310-28"/>
    <x v="7"/>
    <s v="Thu"/>
  </r>
  <r>
    <n v="311"/>
    <d v="2023-12-05T00:00:00"/>
    <s v="CUST311"/>
    <x v="1"/>
    <x v="40"/>
    <x v="0"/>
    <x v="0"/>
    <n v="4"/>
    <n v="25"/>
    <n v="100"/>
    <s v="Normal"/>
    <s v="Low"/>
    <s v="Yes"/>
    <n v="15"/>
    <n v="85"/>
    <s v="Low"/>
    <s v="Normal"/>
    <s v="CUST311-32"/>
    <x v="6"/>
    <s v="Tue"/>
  </r>
  <r>
    <n v="312"/>
    <d v="2023-09-07T00:00:00"/>
    <s v="CUST312"/>
    <x v="0"/>
    <x v="41"/>
    <x v="1"/>
    <x v="1"/>
    <n v="4"/>
    <n v="30"/>
    <n v="120"/>
    <s v="Normal"/>
    <s v="Low"/>
    <s v="Yes"/>
    <n v="12"/>
    <n v="108"/>
    <s v="Low"/>
    <s v="Normal"/>
    <s v="CUST312-41"/>
    <x v="9"/>
    <s v="Thu"/>
  </r>
  <r>
    <n v="313"/>
    <d v="2023-03-21T00:00:00"/>
    <s v="CUST313"/>
    <x v="1"/>
    <x v="28"/>
    <x v="1"/>
    <x v="0"/>
    <n v="3"/>
    <n v="500"/>
    <n v="1500"/>
    <s v="Critical"/>
    <s v="High"/>
    <s v="Yes"/>
    <n v="300"/>
    <n v="1200"/>
    <s v="High"/>
    <b v="1"/>
    <s v="CUST313-55"/>
    <x v="5"/>
    <s v="Tue"/>
  </r>
  <r>
    <n v="314"/>
    <d v="2023-04-08T00:00:00"/>
    <s v="CUST314"/>
    <x v="0"/>
    <x v="8"/>
    <x v="1"/>
    <x v="1"/>
    <n v="4"/>
    <n v="30"/>
    <n v="120"/>
    <s v="Normal"/>
    <s v="Low"/>
    <s v="Yes"/>
    <n v="12"/>
    <n v="108"/>
    <s v="Low"/>
    <s v="Normal"/>
    <s v="CUST314-52"/>
    <x v="4"/>
    <s v="Sat"/>
  </r>
  <r>
    <n v="315"/>
    <d v="2023-06-01T00:00:00"/>
    <s v="CUST315"/>
    <x v="0"/>
    <x v="16"/>
    <x v="1"/>
    <x v="1"/>
    <n v="2"/>
    <n v="30"/>
    <n v="60"/>
    <s v="Normal"/>
    <s v="Low"/>
    <s v="Yes"/>
    <n v="6"/>
    <n v="54"/>
    <s v="Low"/>
    <s v="Normal"/>
    <s v="CUST315-47"/>
    <x v="10"/>
    <s v="Thu"/>
  </r>
  <r>
    <n v="316"/>
    <d v="2023-04-22T00:00:00"/>
    <s v="CUST316"/>
    <x v="1"/>
    <x v="27"/>
    <x v="1"/>
    <x v="1"/>
    <n v="2"/>
    <n v="25"/>
    <n v="50"/>
    <s v="Normal"/>
    <s v="Low"/>
    <s v="Yes"/>
    <n v="10"/>
    <n v="40"/>
    <s v="Low"/>
    <s v="Normal"/>
    <s v="CUST316-48"/>
    <x v="4"/>
    <s v="Sat"/>
  </r>
  <r>
    <n v="317"/>
    <d v="2023-01-30T00:00:00"/>
    <s v="CUST317"/>
    <x v="0"/>
    <x v="11"/>
    <x v="0"/>
    <x v="2"/>
    <n v="3"/>
    <n v="30"/>
    <n v="90"/>
    <s v="Normal"/>
    <s v="Low"/>
    <s v="No"/>
    <n v="0"/>
    <n v="90"/>
    <s v="Low"/>
    <s v="Normal"/>
    <s v="CUST317-22"/>
    <x v="2"/>
    <s v="Mon"/>
  </r>
  <r>
    <n v="318"/>
    <d v="2023-10-24T00:00:00"/>
    <s v="CUST318"/>
    <x v="0"/>
    <x v="39"/>
    <x v="1"/>
    <x v="1"/>
    <n v="1"/>
    <n v="25"/>
    <n v="25"/>
    <s v="Normal"/>
    <s v="Low"/>
    <s v="Yes"/>
    <n v="2.5"/>
    <n v="22.5"/>
    <s v="Low"/>
    <s v="Normal"/>
    <s v="CUST318-61"/>
    <x v="7"/>
    <s v="Tue"/>
  </r>
  <r>
    <n v="319"/>
    <d v="2023-10-05T00:00:00"/>
    <s v="CUST319"/>
    <x v="0"/>
    <x v="33"/>
    <x v="0"/>
    <x v="1"/>
    <n v="1"/>
    <n v="500"/>
    <n v="500"/>
    <s v="Normal"/>
    <s v="Medium"/>
    <s v="Yes"/>
    <n v="75"/>
    <n v="425"/>
    <s v="Low"/>
    <s v="Normal"/>
    <s v="CUST319-31"/>
    <x v="7"/>
    <s v="Thu"/>
  </r>
  <r>
    <n v="320"/>
    <d v="2023-02-01T00:00:00"/>
    <s v="CUST320"/>
    <x v="1"/>
    <x v="20"/>
    <x v="0"/>
    <x v="2"/>
    <n v="4"/>
    <n v="300"/>
    <n v="1200"/>
    <s v="High"/>
    <s v="High"/>
    <s v="Yes"/>
    <n v="180"/>
    <n v="1020"/>
    <s v="High"/>
    <s v="Normal"/>
    <s v="CUST320-28"/>
    <x v="1"/>
    <s v="Wed"/>
  </r>
  <r>
    <n v="321"/>
    <d v="2023-06-10T00:00:00"/>
    <s v="CUST321"/>
    <x v="1"/>
    <x v="1"/>
    <x v="0"/>
    <x v="2"/>
    <n v="2"/>
    <n v="25"/>
    <n v="50"/>
    <s v="Normal"/>
    <s v="Low"/>
    <s v="Yes"/>
    <n v="7.5"/>
    <n v="42.5"/>
    <s v="Low"/>
    <s v="Normal"/>
    <s v="CUST321-26"/>
    <x v="10"/>
    <s v="Sat"/>
  </r>
  <r>
    <n v="322"/>
    <d v="2023-01-30T00:00:00"/>
    <s v="CUST322"/>
    <x v="0"/>
    <x v="25"/>
    <x v="1"/>
    <x v="2"/>
    <n v="1"/>
    <n v="500"/>
    <n v="500"/>
    <s v="Normal"/>
    <s v="Medium"/>
    <s v="Yes"/>
    <n v="50"/>
    <n v="450"/>
    <s v="Low"/>
    <s v="Normal"/>
    <s v="CUST322-51"/>
    <x v="2"/>
    <s v="Mon"/>
  </r>
  <r>
    <n v="323"/>
    <d v="2023-01-26T00:00:00"/>
    <s v="CUST323"/>
    <x v="1"/>
    <x v="38"/>
    <x v="0"/>
    <x v="0"/>
    <n v="3"/>
    <n v="300"/>
    <n v="900"/>
    <s v="Normal"/>
    <s v="Medium"/>
    <s v="Yes"/>
    <n v="135"/>
    <n v="765"/>
    <s v="Low"/>
    <s v="Normal"/>
    <s v="CUST323-29"/>
    <x v="2"/>
    <s v="Thu"/>
  </r>
  <r>
    <n v="324"/>
    <d v="2023-10-27T00:00:00"/>
    <s v="CUST324"/>
    <x v="1"/>
    <x v="8"/>
    <x v="1"/>
    <x v="2"/>
    <n v="3"/>
    <n v="50"/>
    <n v="150"/>
    <s v="Normal"/>
    <s v="Low"/>
    <s v="Yes"/>
    <n v="30"/>
    <n v="120"/>
    <s v="Low"/>
    <s v="Normal"/>
    <s v="CUST324-52"/>
    <x v="7"/>
    <s v="Fri"/>
  </r>
  <r>
    <n v="325"/>
    <d v="2023-09-02T00:00:00"/>
    <s v="CUST325"/>
    <x v="1"/>
    <x v="8"/>
    <x v="1"/>
    <x v="2"/>
    <n v="2"/>
    <n v="25"/>
    <n v="50"/>
    <s v="Normal"/>
    <s v="Low"/>
    <s v="Yes"/>
    <n v="10"/>
    <n v="40"/>
    <s v="Low"/>
    <s v="Normal"/>
    <s v="CUST325-52"/>
    <x v="9"/>
    <s v="Sat"/>
  </r>
  <r>
    <n v="326"/>
    <d v="2023-09-15T00:00:00"/>
    <s v="CUST326"/>
    <x v="1"/>
    <x v="18"/>
    <x v="2"/>
    <x v="1"/>
    <n v="3"/>
    <n v="25"/>
    <n v="75"/>
    <s v="Normal"/>
    <s v="Low"/>
    <s v="No"/>
    <n v="0"/>
    <n v="75"/>
    <s v="Low"/>
    <s v="Normal"/>
    <s v="CUST326-18"/>
    <x v="9"/>
    <s v="Fri"/>
  </r>
  <r>
    <n v="327"/>
    <d v="2023-09-29T00:00:00"/>
    <s v="CUST327"/>
    <x v="0"/>
    <x v="35"/>
    <x v="1"/>
    <x v="2"/>
    <n v="3"/>
    <n v="50"/>
    <n v="150"/>
    <s v="Normal"/>
    <s v="Low"/>
    <s v="Yes"/>
    <n v="15"/>
    <n v="135"/>
    <s v="Low"/>
    <s v="Normal"/>
    <s v="CUST327-57"/>
    <x v="9"/>
    <s v="Fri"/>
  </r>
  <r>
    <n v="328"/>
    <d v="2023-03-22T00:00:00"/>
    <s v="CUST328"/>
    <x v="0"/>
    <x v="23"/>
    <x v="0"/>
    <x v="0"/>
    <n v="2"/>
    <n v="50"/>
    <n v="100"/>
    <s v="Normal"/>
    <s v="Low"/>
    <s v="Yes"/>
    <n v="10"/>
    <n v="90"/>
    <s v="Low"/>
    <s v="Normal"/>
    <s v="CUST328-39"/>
    <x v="5"/>
    <s v="Wed"/>
  </r>
  <r>
    <n v="329"/>
    <d v="2023-01-30T00:00:00"/>
    <s v="CUST329"/>
    <x v="1"/>
    <x v="6"/>
    <x v="1"/>
    <x v="2"/>
    <n v="4"/>
    <n v="25"/>
    <n v="100"/>
    <s v="Normal"/>
    <s v="Low"/>
    <s v="Yes"/>
    <n v="20"/>
    <n v="80"/>
    <s v="Low"/>
    <s v="Normal"/>
    <s v="CUST329-46"/>
    <x v="2"/>
    <s v="Mon"/>
  </r>
  <r>
    <n v="330"/>
    <d v="2023-09-18T00:00:00"/>
    <s v="CUST330"/>
    <x v="1"/>
    <x v="36"/>
    <x v="0"/>
    <x v="0"/>
    <n v="4"/>
    <n v="50"/>
    <n v="200"/>
    <s v="Normal"/>
    <s v="Low"/>
    <s v="Yes"/>
    <n v="30"/>
    <n v="170"/>
    <s v="Low"/>
    <s v="Normal"/>
    <s v="CUST330-25"/>
    <x v="9"/>
    <s v="Mon"/>
  </r>
  <r>
    <n v="331"/>
    <d v="2023-02-11T00:00:00"/>
    <s v="CUST331"/>
    <x v="0"/>
    <x v="20"/>
    <x v="0"/>
    <x v="2"/>
    <n v="3"/>
    <n v="30"/>
    <n v="90"/>
    <s v="Normal"/>
    <s v="Low"/>
    <s v="Yes"/>
    <n v="13.5"/>
    <n v="76.5"/>
    <s v="Low"/>
    <s v="Normal"/>
    <s v="CUST331-28"/>
    <x v="1"/>
    <s v="Sat"/>
  </r>
  <r>
    <n v="332"/>
    <d v="2023-04-06T00:00:00"/>
    <s v="CUST332"/>
    <x v="0"/>
    <x v="26"/>
    <x v="1"/>
    <x v="2"/>
    <n v="4"/>
    <n v="300"/>
    <n v="1200"/>
    <s v="High"/>
    <s v="High"/>
    <s v="Yes"/>
    <n v="120"/>
    <n v="1080"/>
    <s v="High"/>
    <s v="Normal"/>
    <s v="CUST332-58"/>
    <x v="4"/>
    <s v="Thu"/>
  </r>
  <r>
    <n v="333"/>
    <d v="2023-02-05T00:00:00"/>
    <s v="CUST333"/>
    <x v="1"/>
    <x v="31"/>
    <x v="1"/>
    <x v="2"/>
    <n v="4"/>
    <n v="300"/>
    <n v="1200"/>
    <s v="High"/>
    <s v="High"/>
    <s v="Yes"/>
    <n v="240"/>
    <n v="960"/>
    <s v="High"/>
    <s v="Normal"/>
    <s v="CUST333-54"/>
    <x v="1"/>
    <s v="Sun"/>
  </r>
  <r>
    <n v="334"/>
    <d v="2023-11-01T00:00:00"/>
    <s v="CUST334"/>
    <x v="0"/>
    <x v="33"/>
    <x v="0"/>
    <x v="2"/>
    <n v="3"/>
    <n v="300"/>
    <n v="900"/>
    <s v="Normal"/>
    <s v="Medium"/>
    <s v="Yes"/>
    <n v="135"/>
    <n v="765"/>
    <s v="Low"/>
    <s v="Normal"/>
    <s v="CUST334-31"/>
    <x v="0"/>
    <s v="Wed"/>
  </r>
  <r>
    <n v="335"/>
    <d v="2023-02-04T00:00:00"/>
    <s v="CUST335"/>
    <x v="1"/>
    <x v="16"/>
    <x v="1"/>
    <x v="0"/>
    <n v="4"/>
    <n v="30"/>
    <n v="120"/>
    <s v="Normal"/>
    <s v="Low"/>
    <s v="Yes"/>
    <n v="24"/>
    <n v="96"/>
    <s v="Low"/>
    <s v="Normal"/>
    <s v="CUST335-47"/>
    <x v="1"/>
    <s v="Sat"/>
  </r>
  <r>
    <n v="336"/>
    <d v="2023-12-12T00:00:00"/>
    <s v="CUST336"/>
    <x v="1"/>
    <x v="8"/>
    <x v="1"/>
    <x v="0"/>
    <n v="3"/>
    <n v="50"/>
    <n v="150"/>
    <s v="Normal"/>
    <s v="Low"/>
    <s v="Yes"/>
    <n v="30"/>
    <n v="120"/>
    <s v="Low"/>
    <s v="Normal"/>
    <s v="CUST336-52"/>
    <x v="6"/>
    <s v="Tue"/>
  </r>
  <r>
    <n v="337"/>
    <d v="2023-05-01T00:00:00"/>
    <s v="CUST337"/>
    <x v="0"/>
    <x v="21"/>
    <x v="0"/>
    <x v="1"/>
    <n v="1"/>
    <n v="500"/>
    <n v="500"/>
    <s v="Normal"/>
    <s v="Medium"/>
    <s v="Yes"/>
    <n v="50"/>
    <n v="450"/>
    <s v="Low"/>
    <s v="Normal"/>
    <s v="CUST337-38"/>
    <x v="3"/>
    <s v="Mon"/>
  </r>
  <r>
    <n v="338"/>
    <d v="2023-07-26T00:00:00"/>
    <s v="CUST338"/>
    <x v="0"/>
    <x v="31"/>
    <x v="1"/>
    <x v="0"/>
    <n v="2"/>
    <n v="50"/>
    <n v="100"/>
    <s v="Normal"/>
    <s v="Low"/>
    <s v="Yes"/>
    <n v="10"/>
    <n v="90"/>
    <s v="Low"/>
    <s v="Normal"/>
    <s v="CUST338-54"/>
    <x v="11"/>
    <s v="Wed"/>
  </r>
  <r>
    <n v="339"/>
    <d v="2023-03-03T00:00:00"/>
    <s v="CUST339"/>
    <x v="1"/>
    <x v="11"/>
    <x v="0"/>
    <x v="2"/>
    <n v="2"/>
    <n v="25"/>
    <n v="50"/>
    <s v="Normal"/>
    <s v="Low"/>
    <s v="No"/>
    <n v="0"/>
    <n v="50"/>
    <s v="Low"/>
    <s v="Normal"/>
    <s v="CUST339-22"/>
    <x v="5"/>
    <s v="Fri"/>
  </r>
  <r>
    <n v="340"/>
    <d v="2023-10-19T00:00:00"/>
    <s v="CUST340"/>
    <x v="1"/>
    <x v="32"/>
    <x v="0"/>
    <x v="1"/>
    <n v="4"/>
    <n v="300"/>
    <n v="1200"/>
    <s v="High"/>
    <s v="High"/>
    <s v="Yes"/>
    <n v="240"/>
    <n v="960"/>
    <s v="High"/>
    <s v="Normal"/>
    <s v="CUST340-36"/>
    <x v="7"/>
    <s v="Thu"/>
  </r>
  <r>
    <n v="341"/>
    <d v="2023-05-07T00:00:00"/>
    <s v="CUST341"/>
    <x v="0"/>
    <x v="33"/>
    <x v="0"/>
    <x v="1"/>
    <n v="4"/>
    <n v="50"/>
    <n v="200"/>
    <s v="Normal"/>
    <s v="Low"/>
    <s v="Yes"/>
    <n v="30"/>
    <n v="170"/>
    <s v="Low"/>
    <s v="Normal"/>
    <s v="CUST341-31"/>
    <x v="3"/>
    <s v="Sun"/>
  </r>
  <r>
    <n v="342"/>
    <d v="2023-10-24T00:00:00"/>
    <s v="CUST342"/>
    <x v="1"/>
    <x v="22"/>
    <x v="1"/>
    <x v="1"/>
    <n v="4"/>
    <n v="500"/>
    <n v="2000"/>
    <s v="Critical"/>
    <s v="High"/>
    <s v="Yes"/>
    <n v="400"/>
    <n v="1600"/>
    <s v="High"/>
    <b v="1"/>
    <s v="CUST342-43"/>
    <x v="7"/>
    <s v="Tue"/>
  </r>
  <r>
    <n v="343"/>
    <d v="2023-11-01T00:00:00"/>
    <s v="CUST343"/>
    <x v="0"/>
    <x v="34"/>
    <x v="0"/>
    <x v="2"/>
    <n v="2"/>
    <n v="25"/>
    <n v="50"/>
    <s v="Normal"/>
    <s v="Low"/>
    <s v="No"/>
    <n v="0"/>
    <n v="50"/>
    <s v="Low"/>
    <s v="Normal"/>
    <s v="CUST343-21"/>
    <x v="0"/>
    <s v="Wed"/>
  </r>
  <r>
    <n v="344"/>
    <d v="2023-01-21T00:00:00"/>
    <s v="CUST344"/>
    <x v="1"/>
    <x v="13"/>
    <x v="1"/>
    <x v="0"/>
    <n v="1"/>
    <n v="30"/>
    <n v="30"/>
    <s v="Normal"/>
    <s v="Low"/>
    <s v="Yes"/>
    <n v="6"/>
    <n v="24"/>
    <s v="Low"/>
    <s v="Normal"/>
    <s v="CUST344-42"/>
    <x v="2"/>
    <s v="Sat"/>
  </r>
  <r>
    <n v="345"/>
    <d v="2023-11-14T00:00:00"/>
    <s v="CUST345"/>
    <x v="0"/>
    <x v="17"/>
    <x v="1"/>
    <x v="2"/>
    <n v="1"/>
    <n v="30"/>
    <n v="30"/>
    <s v="Normal"/>
    <s v="Low"/>
    <s v="Yes"/>
    <n v="3"/>
    <n v="27"/>
    <s v="Low"/>
    <s v="Normal"/>
    <s v="CUST345-62"/>
    <x v="0"/>
    <s v="Tue"/>
  </r>
  <r>
    <n v="346"/>
    <d v="2023-02-11T00:00:00"/>
    <s v="CUST346"/>
    <x v="0"/>
    <x v="42"/>
    <x v="1"/>
    <x v="1"/>
    <n v="2"/>
    <n v="500"/>
    <n v="1000"/>
    <s v="High"/>
    <s v="High"/>
    <s v="Yes"/>
    <n v="100"/>
    <n v="900"/>
    <s v="High"/>
    <s v="Normal"/>
    <s v="CUST346-59"/>
    <x v="1"/>
    <s v="Sat"/>
  </r>
  <r>
    <n v="347"/>
    <d v="2023-08-03T00:00:00"/>
    <s v="CUST347"/>
    <x v="0"/>
    <x v="13"/>
    <x v="1"/>
    <x v="2"/>
    <n v="1"/>
    <n v="25"/>
    <n v="25"/>
    <s v="Normal"/>
    <s v="Low"/>
    <s v="Yes"/>
    <n v="2.5"/>
    <n v="22.5"/>
    <s v="Low"/>
    <s v="Normal"/>
    <s v="CUST347-42"/>
    <x v="8"/>
    <s v="Thu"/>
  </r>
  <r>
    <n v="348"/>
    <d v="2023-12-03T00:00:00"/>
    <s v="CUST348"/>
    <x v="1"/>
    <x v="10"/>
    <x v="0"/>
    <x v="2"/>
    <n v="2"/>
    <n v="300"/>
    <n v="600"/>
    <s v="Normal"/>
    <s v="Medium"/>
    <s v="Yes"/>
    <n v="120"/>
    <n v="480"/>
    <s v="Low"/>
    <s v="Normal"/>
    <s v="CUST348-35"/>
    <x v="6"/>
    <s v="Sun"/>
  </r>
  <r>
    <n v="349"/>
    <d v="2023-10-26T00:00:00"/>
    <s v="CUST349"/>
    <x v="1"/>
    <x v="35"/>
    <x v="1"/>
    <x v="0"/>
    <n v="1"/>
    <n v="50"/>
    <n v="50"/>
    <s v="Normal"/>
    <s v="Low"/>
    <s v="Yes"/>
    <n v="10"/>
    <n v="40"/>
    <s v="Low"/>
    <s v="Normal"/>
    <s v="CUST349-57"/>
    <x v="7"/>
    <s v="Thu"/>
  </r>
  <r>
    <n v="350"/>
    <d v="2023-10-17T00:00:00"/>
    <s v="CUST350"/>
    <x v="0"/>
    <x v="36"/>
    <x v="0"/>
    <x v="0"/>
    <n v="3"/>
    <n v="25"/>
    <n v="75"/>
    <s v="Normal"/>
    <s v="Low"/>
    <s v="Yes"/>
    <n v="11.25"/>
    <n v="63.75"/>
    <s v="Low"/>
    <s v="Normal"/>
    <s v="CUST350-25"/>
    <x v="7"/>
    <s v="Tue"/>
  </r>
  <r>
    <n v="351"/>
    <d v="2023-09-25T00:00:00"/>
    <s v="CUST351"/>
    <x v="1"/>
    <x v="37"/>
    <x v="1"/>
    <x v="1"/>
    <n v="3"/>
    <n v="30"/>
    <n v="90"/>
    <s v="Normal"/>
    <s v="Low"/>
    <s v="Yes"/>
    <n v="18"/>
    <n v="72"/>
    <s v="Low"/>
    <s v="Normal"/>
    <s v="CUST351-56"/>
    <x v="9"/>
    <s v="Mon"/>
  </r>
  <r>
    <n v="352"/>
    <d v="2023-06-11T00:00:00"/>
    <s v="CUST352"/>
    <x v="0"/>
    <x v="35"/>
    <x v="1"/>
    <x v="2"/>
    <n v="2"/>
    <n v="500"/>
    <n v="1000"/>
    <s v="High"/>
    <s v="High"/>
    <s v="Yes"/>
    <n v="100"/>
    <n v="900"/>
    <s v="High"/>
    <s v="Normal"/>
    <s v="CUST352-57"/>
    <x v="10"/>
    <s v="Sun"/>
  </r>
  <r>
    <n v="353"/>
    <d v="2023-05-14T00:00:00"/>
    <s v="CUST353"/>
    <x v="0"/>
    <x v="33"/>
    <x v="0"/>
    <x v="2"/>
    <n v="1"/>
    <n v="500"/>
    <n v="500"/>
    <s v="Normal"/>
    <s v="Medium"/>
    <s v="Yes"/>
    <n v="75"/>
    <n v="425"/>
    <s v="Low"/>
    <s v="Normal"/>
    <s v="CUST353-31"/>
    <x v="3"/>
    <s v="Sun"/>
  </r>
  <r>
    <n v="354"/>
    <d v="2023-04-15T00:00:00"/>
    <s v="CUST354"/>
    <x v="1"/>
    <x v="19"/>
    <x v="1"/>
    <x v="0"/>
    <n v="4"/>
    <n v="50"/>
    <n v="200"/>
    <s v="Normal"/>
    <s v="Low"/>
    <s v="Yes"/>
    <n v="40"/>
    <n v="160"/>
    <s v="Low"/>
    <s v="Normal"/>
    <s v="CUST354-49"/>
    <x v="4"/>
    <s v="Sat"/>
  </r>
  <r>
    <n v="355"/>
    <d v="2023-12-09T00:00:00"/>
    <s v="CUST355"/>
    <x v="1"/>
    <x v="28"/>
    <x v="1"/>
    <x v="2"/>
    <n v="1"/>
    <n v="500"/>
    <n v="500"/>
    <s v="Normal"/>
    <s v="Medium"/>
    <s v="Yes"/>
    <n v="100"/>
    <n v="400"/>
    <s v="Low"/>
    <s v="Normal"/>
    <s v="CUST355-55"/>
    <x v="6"/>
    <s v="Sat"/>
  </r>
  <r>
    <n v="356"/>
    <d v="2023-06-10T00:00:00"/>
    <s v="CUST356"/>
    <x v="0"/>
    <x v="2"/>
    <x v="1"/>
    <x v="2"/>
    <n v="3"/>
    <n v="500"/>
    <n v="1500"/>
    <s v="Critical"/>
    <s v="High"/>
    <s v="Yes"/>
    <n v="150"/>
    <n v="1350"/>
    <s v="High"/>
    <b v="1"/>
    <s v="CUST356-50"/>
    <x v="10"/>
    <s v="Sat"/>
  </r>
  <r>
    <n v="357"/>
    <d v="2023-05-03T00:00:00"/>
    <s v="CUST357"/>
    <x v="1"/>
    <x v="30"/>
    <x v="0"/>
    <x v="2"/>
    <n v="3"/>
    <n v="25"/>
    <n v="75"/>
    <s v="Normal"/>
    <s v="Low"/>
    <s v="Yes"/>
    <n v="15"/>
    <n v="60"/>
    <s v="Low"/>
    <s v="Normal"/>
    <s v="CUST357-40"/>
    <x v="3"/>
    <s v="Wed"/>
  </r>
  <r>
    <n v="358"/>
    <d v="2023-05-16T00:00:00"/>
    <s v="CUST358"/>
    <x v="1"/>
    <x v="40"/>
    <x v="0"/>
    <x v="0"/>
    <n v="1"/>
    <n v="300"/>
    <n v="300"/>
    <s v="Normal"/>
    <s v="Low"/>
    <s v="Yes"/>
    <n v="45"/>
    <n v="255"/>
    <s v="Low"/>
    <s v="Normal"/>
    <s v="CUST358-32"/>
    <x v="3"/>
    <s v="Tue"/>
  </r>
  <r>
    <n v="359"/>
    <d v="2023-07-22T00:00:00"/>
    <s v="CUST359"/>
    <x v="0"/>
    <x v="2"/>
    <x v="1"/>
    <x v="1"/>
    <n v="1"/>
    <n v="50"/>
    <n v="50"/>
    <s v="Normal"/>
    <s v="Low"/>
    <s v="Yes"/>
    <n v="5"/>
    <n v="45"/>
    <s v="Low"/>
    <s v="Normal"/>
    <s v="CUST359-50"/>
    <x v="11"/>
    <s v="Sat"/>
  </r>
  <r>
    <n v="360"/>
    <d v="2023-03-09T00:00:00"/>
    <s v="CUST360"/>
    <x v="0"/>
    <x v="13"/>
    <x v="1"/>
    <x v="1"/>
    <n v="4"/>
    <n v="25"/>
    <n v="100"/>
    <s v="Normal"/>
    <s v="Low"/>
    <s v="Yes"/>
    <n v="10"/>
    <n v="90"/>
    <s v="Low"/>
    <s v="Normal"/>
    <s v="CUST360-42"/>
    <x v="5"/>
    <s v="Thu"/>
  </r>
  <r>
    <n v="361"/>
    <d v="2023-12-10T00:00:00"/>
    <s v="CUST361"/>
    <x v="1"/>
    <x v="0"/>
    <x v="0"/>
    <x v="2"/>
    <n v="4"/>
    <n v="300"/>
    <n v="1200"/>
    <s v="High"/>
    <s v="High"/>
    <s v="Yes"/>
    <n v="180"/>
    <n v="1020"/>
    <s v="High"/>
    <s v="Normal"/>
    <s v="CUST361-34"/>
    <x v="6"/>
    <s v="Sun"/>
  </r>
  <r>
    <n v="362"/>
    <d v="2023-11-27T00:00:00"/>
    <s v="CUST362"/>
    <x v="0"/>
    <x v="2"/>
    <x v="1"/>
    <x v="1"/>
    <n v="1"/>
    <n v="25"/>
    <n v="25"/>
    <s v="Normal"/>
    <s v="Low"/>
    <s v="Yes"/>
    <n v="2.5"/>
    <n v="22.5"/>
    <s v="Low"/>
    <s v="Normal"/>
    <s v="CUST362-50"/>
    <x v="0"/>
    <s v="Mon"/>
  </r>
  <r>
    <n v="363"/>
    <d v="2023-06-03T00:00:00"/>
    <s v="CUST363"/>
    <x v="0"/>
    <x v="12"/>
    <x v="1"/>
    <x v="0"/>
    <n v="1"/>
    <n v="25"/>
    <n v="25"/>
    <s v="Normal"/>
    <s v="Low"/>
    <s v="Yes"/>
    <n v="2.5"/>
    <n v="22.5"/>
    <s v="Low"/>
    <s v="Normal"/>
    <s v="CUST363-64"/>
    <x v="10"/>
    <s v="Sat"/>
  </r>
  <r>
    <n v="364"/>
    <d v="2023-08-23T00:00:00"/>
    <s v="CUST364"/>
    <x v="1"/>
    <x v="14"/>
    <x v="2"/>
    <x v="0"/>
    <n v="1"/>
    <n v="500"/>
    <n v="500"/>
    <s v="Normal"/>
    <s v="Medium"/>
    <s v="No"/>
    <n v="0"/>
    <n v="500"/>
    <s v="Low"/>
    <s v="Normal"/>
    <s v="CUST364-19"/>
    <x v="8"/>
    <s v="Wed"/>
  </r>
  <r>
    <n v="365"/>
    <d v="2023-06-11T00:00:00"/>
    <s v="CUST365"/>
    <x v="0"/>
    <x v="33"/>
    <x v="0"/>
    <x v="1"/>
    <n v="1"/>
    <n v="300"/>
    <n v="300"/>
    <s v="Normal"/>
    <s v="Low"/>
    <s v="Yes"/>
    <n v="45"/>
    <n v="255"/>
    <s v="Low"/>
    <s v="Normal"/>
    <s v="CUST365-31"/>
    <x v="10"/>
    <s v="Sun"/>
  </r>
  <r>
    <n v="366"/>
    <d v="2023-02-07T00:00:00"/>
    <s v="CUST366"/>
    <x v="0"/>
    <x v="35"/>
    <x v="1"/>
    <x v="1"/>
    <n v="2"/>
    <n v="50"/>
    <n v="100"/>
    <s v="Normal"/>
    <s v="Low"/>
    <s v="Yes"/>
    <n v="10"/>
    <n v="90"/>
    <s v="Low"/>
    <s v="Normal"/>
    <s v="CUST366-57"/>
    <x v="1"/>
    <s v="Tue"/>
  </r>
  <r>
    <n v="367"/>
    <d v="2023-01-05T00:00:00"/>
    <s v="CUST367"/>
    <x v="1"/>
    <x v="35"/>
    <x v="1"/>
    <x v="2"/>
    <n v="1"/>
    <n v="50"/>
    <n v="50"/>
    <s v="Normal"/>
    <s v="Low"/>
    <s v="Yes"/>
    <n v="10"/>
    <n v="40"/>
    <s v="Low"/>
    <s v="Normal"/>
    <s v="CUST367-57"/>
    <x v="2"/>
    <s v="Thu"/>
  </r>
  <r>
    <n v="368"/>
    <d v="2023-08-23T00:00:00"/>
    <s v="CUST368"/>
    <x v="1"/>
    <x v="37"/>
    <x v="1"/>
    <x v="1"/>
    <n v="4"/>
    <n v="300"/>
    <n v="1200"/>
    <s v="High"/>
    <s v="High"/>
    <s v="Yes"/>
    <n v="240"/>
    <n v="960"/>
    <s v="High"/>
    <s v="Normal"/>
    <s v="CUST368-56"/>
    <x v="8"/>
    <s v="Wed"/>
  </r>
  <r>
    <n v="369"/>
    <d v="2023-11-15T00:00:00"/>
    <s v="CUST369"/>
    <x v="0"/>
    <x v="9"/>
    <x v="0"/>
    <x v="2"/>
    <n v="3"/>
    <n v="500"/>
    <n v="1500"/>
    <s v="Critical"/>
    <s v="High"/>
    <s v="No"/>
    <n v="0"/>
    <n v="1500"/>
    <s v="High"/>
    <b v="1"/>
    <s v="CUST369-23"/>
    <x v="0"/>
    <s v="Wed"/>
  </r>
  <r>
    <n v="370"/>
    <d v="2023-10-16T00:00:00"/>
    <s v="CUST370"/>
    <x v="0"/>
    <x v="9"/>
    <x v="0"/>
    <x v="2"/>
    <n v="2"/>
    <n v="30"/>
    <n v="60"/>
    <s v="Normal"/>
    <s v="Low"/>
    <s v="No"/>
    <n v="0"/>
    <n v="60"/>
    <s v="Low"/>
    <s v="Normal"/>
    <s v="CUST370-23"/>
    <x v="7"/>
    <s v="Mon"/>
  </r>
  <r>
    <n v="371"/>
    <d v="2023-02-21T00:00:00"/>
    <s v="CUST371"/>
    <x v="1"/>
    <x v="29"/>
    <x v="0"/>
    <x v="0"/>
    <n v="1"/>
    <n v="25"/>
    <n v="25"/>
    <s v="Normal"/>
    <s v="Low"/>
    <s v="No"/>
    <n v="0"/>
    <n v="25"/>
    <s v="Low"/>
    <s v="Normal"/>
    <s v="CUST371-20"/>
    <x v="1"/>
    <s v="Tue"/>
  </r>
  <r>
    <n v="372"/>
    <d v="2023-02-07T00:00:00"/>
    <s v="CUST372"/>
    <x v="1"/>
    <x v="46"/>
    <x v="0"/>
    <x v="0"/>
    <n v="3"/>
    <n v="500"/>
    <n v="1500"/>
    <s v="Critical"/>
    <s v="High"/>
    <s v="No"/>
    <n v="0"/>
    <n v="1500"/>
    <s v="High"/>
    <b v="1"/>
    <s v="CUST372-24"/>
    <x v="1"/>
    <s v="Tue"/>
  </r>
  <r>
    <n v="373"/>
    <d v="2023-10-03T00:00:00"/>
    <s v="CUST373"/>
    <x v="1"/>
    <x v="36"/>
    <x v="0"/>
    <x v="0"/>
    <n v="2"/>
    <n v="300"/>
    <n v="600"/>
    <s v="Normal"/>
    <s v="Medium"/>
    <s v="Yes"/>
    <n v="90"/>
    <n v="510"/>
    <s v="Low"/>
    <s v="Normal"/>
    <s v="CUST373-25"/>
    <x v="7"/>
    <s v="Tue"/>
  </r>
  <r>
    <n v="374"/>
    <d v="2023-04-20T00:00:00"/>
    <s v="CUST374"/>
    <x v="1"/>
    <x v="42"/>
    <x v="1"/>
    <x v="0"/>
    <n v="3"/>
    <n v="25"/>
    <n v="75"/>
    <s v="Normal"/>
    <s v="Low"/>
    <s v="Yes"/>
    <n v="15"/>
    <n v="60"/>
    <s v="Low"/>
    <s v="Normal"/>
    <s v="CUST374-59"/>
    <x v="4"/>
    <s v="Thu"/>
  </r>
  <r>
    <n v="375"/>
    <d v="2023-09-17T00:00:00"/>
    <s v="CUST375"/>
    <x v="0"/>
    <x v="40"/>
    <x v="0"/>
    <x v="1"/>
    <n v="1"/>
    <n v="50"/>
    <n v="50"/>
    <s v="Normal"/>
    <s v="Low"/>
    <s v="Yes"/>
    <n v="7.5"/>
    <n v="42.5"/>
    <s v="Low"/>
    <s v="Normal"/>
    <s v="CUST375-32"/>
    <x v="9"/>
    <s v="Sun"/>
  </r>
  <r>
    <n v="376"/>
    <d v="2023-05-16T00:00:00"/>
    <s v="CUST376"/>
    <x v="1"/>
    <x v="12"/>
    <x v="1"/>
    <x v="0"/>
    <n v="1"/>
    <n v="30"/>
    <n v="30"/>
    <s v="Normal"/>
    <s v="Low"/>
    <s v="Yes"/>
    <n v="6"/>
    <n v="24"/>
    <s v="Low"/>
    <s v="Normal"/>
    <s v="CUST376-64"/>
    <x v="3"/>
    <s v="Tue"/>
  </r>
  <r>
    <n v="377"/>
    <d v="2023-03-09T00:00:00"/>
    <s v="CUST377"/>
    <x v="1"/>
    <x v="6"/>
    <x v="1"/>
    <x v="1"/>
    <n v="4"/>
    <n v="50"/>
    <n v="200"/>
    <s v="Normal"/>
    <s v="Low"/>
    <s v="Yes"/>
    <n v="40"/>
    <n v="160"/>
    <s v="Low"/>
    <s v="Normal"/>
    <s v="CUST377-46"/>
    <x v="5"/>
    <s v="Thu"/>
  </r>
  <r>
    <n v="378"/>
    <d v="2023-06-28T00:00:00"/>
    <s v="CUST378"/>
    <x v="0"/>
    <x v="2"/>
    <x v="1"/>
    <x v="0"/>
    <n v="1"/>
    <n v="300"/>
    <n v="300"/>
    <s v="Normal"/>
    <s v="Low"/>
    <s v="Yes"/>
    <n v="30"/>
    <n v="270"/>
    <s v="Low"/>
    <s v="Normal"/>
    <s v="CUST378-50"/>
    <x v="10"/>
    <s v="Wed"/>
  </r>
  <r>
    <n v="379"/>
    <d v="2023-02-05T00:00:00"/>
    <s v="CUST379"/>
    <x v="1"/>
    <x v="16"/>
    <x v="1"/>
    <x v="1"/>
    <n v="1"/>
    <n v="25"/>
    <n v="25"/>
    <s v="Normal"/>
    <s v="Low"/>
    <s v="Yes"/>
    <n v="5"/>
    <n v="20"/>
    <s v="Low"/>
    <s v="Normal"/>
    <s v="CUST379-47"/>
    <x v="1"/>
    <s v="Sun"/>
  </r>
  <r>
    <n v="380"/>
    <d v="2023-05-06T00:00:00"/>
    <s v="CUST380"/>
    <x v="0"/>
    <x v="37"/>
    <x v="1"/>
    <x v="2"/>
    <n v="2"/>
    <n v="300"/>
    <n v="600"/>
    <s v="Normal"/>
    <s v="Medium"/>
    <s v="Yes"/>
    <n v="60"/>
    <n v="540"/>
    <s v="Low"/>
    <s v="Normal"/>
    <s v="CUST380-56"/>
    <x v="3"/>
    <s v="Sat"/>
  </r>
  <r>
    <n v="381"/>
    <d v="2023-07-09T00:00:00"/>
    <s v="CUST381"/>
    <x v="1"/>
    <x v="24"/>
    <x v="1"/>
    <x v="1"/>
    <n v="4"/>
    <n v="25"/>
    <n v="100"/>
    <s v="Normal"/>
    <s v="Low"/>
    <s v="Yes"/>
    <n v="20"/>
    <n v="80"/>
    <s v="Low"/>
    <s v="Normal"/>
    <s v="CUST381-44"/>
    <x v="11"/>
    <s v="Sun"/>
  </r>
  <r>
    <n v="382"/>
    <d v="2023-05-26T00:00:00"/>
    <s v="CUST382"/>
    <x v="1"/>
    <x v="45"/>
    <x v="1"/>
    <x v="1"/>
    <n v="2"/>
    <n v="500"/>
    <n v="1000"/>
    <s v="High"/>
    <s v="High"/>
    <s v="Yes"/>
    <n v="200"/>
    <n v="800"/>
    <s v="High"/>
    <s v="Normal"/>
    <s v="CUST382-53"/>
    <x v="3"/>
    <s v="Fri"/>
  </r>
  <r>
    <n v="383"/>
    <d v="2023-03-22T00:00:00"/>
    <s v="CUST383"/>
    <x v="1"/>
    <x v="6"/>
    <x v="1"/>
    <x v="0"/>
    <n v="3"/>
    <n v="30"/>
    <n v="90"/>
    <s v="Normal"/>
    <s v="Low"/>
    <s v="Yes"/>
    <n v="18"/>
    <n v="72"/>
    <s v="Low"/>
    <s v="Normal"/>
    <s v="CUST383-46"/>
    <x v="5"/>
    <s v="Wed"/>
  </r>
  <r>
    <n v="384"/>
    <d v="2023-08-13T00:00:00"/>
    <s v="CUST384"/>
    <x v="0"/>
    <x v="28"/>
    <x v="1"/>
    <x v="1"/>
    <n v="1"/>
    <n v="500"/>
    <n v="500"/>
    <s v="Normal"/>
    <s v="Medium"/>
    <s v="Yes"/>
    <n v="50"/>
    <n v="450"/>
    <s v="Low"/>
    <s v="Normal"/>
    <s v="CUST384-55"/>
    <x v="8"/>
    <s v="Sun"/>
  </r>
  <r>
    <n v="385"/>
    <d v="2023-10-06T00:00:00"/>
    <s v="CUST385"/>
    <x v="0"/>
    <x v="2"/>
    <x v="1"/>
    <x v="2"/>
    <n v="3"/>
    <n v="500"/>
    <n v="1500"/>
    <s v="Critical"/>
    <s v="High"/>
    <s v="Yes"/>
    <n v="150"/>
    <n v="1350"/>
    <s v="High"/>
    <b v="1"/>
    <s v="CUST385-50"/>
    <x v="7"/>
    <s v="Fri"/>
  </r>
  <r>
    <n v="386"/>
    <d v="2023-12-27T00:00:00"/>
    <s v="CUST386"/>
    <x v="1"/>
    <x v="31"/>
    <x v="1"/>
    <x v="2"/>
    <n v="2"/>
    <n v="300"/>
    <n v="600"/>
    <s v="Normal"/>
    <s v="Medium"/>
    <s v="Yes"/>
    <n v="120"/>
    <n v="480"/>
    <s v="Low"/>
    <s v="Normal"/>
    <s v="CUST386-54"/>
    <x v="6"/>
    <s v="Wed"/>
  </r>
  <r>
    <n v="387"/>
    <d v="2023-06-04T00:00:00"/>
    <s v="CUST387"/>
    <x v="0"/>
    <x v="24"/>
    <x v="1"/>
    <x v="0"/>
    <n v="1"/>
    <n v="30"/>
    <n v="30"/>
    <s v="Normal"/>
    <s v="Low"/>
    <s v="Yes"/>
    <n v="3"/>
    <n v="27"/>
    <s v="Low"/>
    <s v="Normal"/>
    <s v="CUST387-44"/>
    <x v="10"/>
    <s v="Sun"/>
  </r>
  <r>
    <n v="388"/>
    <d v="2023-11-10T00:00:00"/>
    <s v="CUST388"/>
    <x v="0"/>
    <x v="2"/>
    <x v="1"/>
    <x v="2"/>
    <n v="1"/>
    <n v="25"/>
    <n v="25"/>
    <s v="Normal"/>
    <s v="Low"/>
    <s v="Yes"/>
    <n v="2.5"/>
    <n v="22.5"/>
    <s v="Low"/>
    <s v="Normal"/>
    <s v="CUST388-50"/>
    <x v="0"/>
    <s v="Fri"/>
  </r>
  <r>
    <n v="389"/>
    <d v="2023-12-01T00:00:00"/>
    <s v="CUST389"/>
    <x v="0"/>
    <x v="34"/>
    <x v="0"/>
    <x v="1"/>
    <n v="2"/>
    <n v="25"/>
    <n v="50"/>
    <s v="Normal"/>
    <s v="Low"/>
    <s v="No"/>
    <n v="0"/>
    <n v="50"/>
    <s v="Low"/>
    <s v="Normal"/>
    <s v="CUST389-21"/>
    <x v="6"/>
    <s v="Fri"/>
  </r>
  <r>
    <n v="390"/>
    <d v="2023-09-28T00:00:00"/>
    <s v="CUST390"/>
    <x v="0"/>
    <x v="23"/>
    <x v="0"/>
    <x v="2"/>
    <n v="2"/>
    <n v="50"/>
    <n v="100"/>
    <s v="Normal"/>
    <s v="Low"/>
    <s v="Yes"/>
    <n v="10"/>
    <n v="90"/>
    <s v="Low"/>
    <s v="Normal"/>
    <s v="CUST390-39"/>
    <x v="9"/>
    <s v="Thu"/>
  </r>
  <r>
    <n v="391"/>
    <d v="2023-01-05T00:00:00"/>
    <s v="CUST391"/>
    <x v="0"/>
    <x v="14"/>
    <x v="2"/>
    <x v="0"/>
    <n v="2"/>
    <n v="25"/>
    <n v="50"/>
    <s v="Normal"/>
    <s v="Low"/>
    <s v="No"/>
    <n v="0"/>
    <n v="50"/>
    <s v="Low"/>
    <s v="Normal"/>
    <s v="CUST391-19"/>
    <x v="2"/>
    <s v="Thu"/>
  </r>
  <r>
    <n v="392"/>
    <d v="2023-12-08T00:00:00"/>
    <s v="CUST392"/>
    <x v="0"/>
    <x v="15"/>
    <x v="0"/>
    <x v="1"/>
    <n v="2"/>
    <n v="300"/>
    <n v="600"/>
    <s v="Normal"/>
    <s v="Medium"/>
    <s v="Yes"/>
    <n v="90"/>
    <n v="510"/>
    <s v="Low"/>
    <s v="Normal"/>
    <s v="CUST392-27"/>
    <x v="6"/>
    <s v="Fri"/>
  </r>
  <r>
    <n v="393"/>
    <d v="2023-10-11T00:00:00"/>
    <s v="CUST393"/>
    <x v="1"/>
    <x v="11"/>
    <x v="0"/>
    <x v="0"/>
    <n v="2"/>
    <n v="500"/>
    <n v="1000"/>
    <s v="High"/>
    <s v="High"/>
    <s v="No"/>
    <n v="0"/>
    <n v="1000"/>
    <s v="High"/>
    <s v="Normal"/>
    <s v="CUST393-22"/>
    <x v="7"/>
    <s v="Wed"/>
  </r>
  <r>
    <n v="394"/>
    <d v="2023-06-03T00:00:00"/>
    <s v="CUST394"/>
    <x v="1"/>
    <x v="15"/>
    <x v="0"/>
    <x v="1"/>
    <n v="1"/>
    <n v="500"/>
    <n v="500"/>
    <s v="Normal"/>
    <s v="Medium"/>
    <s v="Yes"/>
    <n v="75"/>
    <n v="425"/>
    <s v="Low"/>
    <s v="Normal"/>
    <s v="CUST394-27"/>
    <x v="10"/>
    <s v="Sat"/>
  </r>
  <r>
    <n v="395"/>
    <d v="2023-12-06T00:00:00"/>
    <s v="CUST395"/>
    <x v="0"/>
    <x v="2"/>
    <x v="1"/>
    <x v="2"/>
    <n v="2"/>
    <n v="500"/>
    <n v="1000"/>
    <s v="High"/>
    <s v="High"/>
    <s v="Yes"/>
    <n v="100"/>
    <n v="900"/>
    <s v="High"/>
    <s v="Normal"/>
    <s v="CUST395-50"/>
    <x v="6"/>
    <s v="Wed"/>
  </r>
  <r>
    <n v="396"/>
    <d v="2023-02-23T00:00:00"/>
    <s v="CUST396"/>
    <x v="1"/>
    <x v="28"/>
    <x v="1"/>
    <x v="0"/>
    <n v="1"/>
    <n v="30"/>
    <n v="30"/>
    <s v="Normal"/>
    <s v="Low"/>
    <s v="Yes"/>
    <n v="6"/>
    <n v="24"/>
    <s v="Low"/>
    <s v="Normal"/>
    <s v="CUST396-55"/>
    <x v="1"/>
    <s v="Thu"/>
  </r>
  <r>
    <n v="397"/>
    <d v="2023-03-10T00:00:00"/>
    <s v="CUST397"/>
    <x v="1"/>
    <x v="4"/>
    <x v="0"/>
    <x v="0"/>
    <n v="1"/>
    <n v="25"/>
    <n v="25"/>
    <s v="Normal"/>
    <s v="Low"/>
    <s v="Yes"/>
    <n v="3.75"/>
    <n v="21.25"/>
    <s v="Low"/>
    <s v="Normal"/>
    <s v="CUST397-30"/>
    <x v="5"/>
    <s v="Fri"/>
  </r>
  <r>
    <n v="398"/>
    <d v="2023-05-16T00:00:00"/>
    <s v="CUST398"/>
    <x v="1"/>
    <x v="27"/>
    <x v="1"/>
    <x v="1"/>
    <n v="2"/>
    <n v="300"/>
    <n v="600"/>
    <s v="Normal"/>
    <s v="Medium"/>
    <s v="Yes"/>
    <n v="120"/>
    <n v="480"/>
    <s v="Low"/>
    <s v="Normal"/>
    <s v="CUST398-48"/>
    <x v="3"/>
    <s v="Tue"/>
  </r>
  <r>
    <n v="399"/>
    <d v="2023-03-01T00:00:00"/>
    <s v="CUST399"/>
    <x v="1"/>
    <x v="12"/>
    <x v="1"/>
    <x v="0"/>
    <n v="2"/>
    <n v="30"/>
    <n v="60"/>
    <s v="Normal"/>
    <s v="Low"/>
    <s v="Yes"/>
    <n v="12"/>
    <n v="48"/>
    <s v="Low"/>
    <s v="Normal"/>
    <s v="CUST399-64"/>
    <x v="5"/>
    <s v="Wed"/>
  </r>
  <r>
    <n v="400"/>
    <d v="2023-02-24T00:00:00"/>
    <s v="CUST400"/>
    <x v="0"/>
    <x v="45"/>
    <x v="1"/>
    <x v="1"/>
    <n v="4"/>
    <n v="50"/>
    <n v="200"/>
    <s v="Normal"/>
    <s v="Low"/>
    <s v="Yes"/>
    <n v="20"/>
    <n v="180"/>
    <s v="Low"/>
    <s v="Normal"/>
    <s v="CUST400-53"/>
    <x v="1"/>
    <s v="Fri"/>
  </r>
  <r>
    <n v="401"/>
    <d v="2023-10-11T00:00:00"/>
    <s v="CUST401"/>
    <x v="1"/>
    <x v="17"/>
    <x v="1"/>
    <x v="1"/>
    <n v="1"/>
    <n v="300"/>
    <n v="300"/>
    <s v="Normal"/>
    <s v="Low"/>
    <s v="Yes"/>
    <n v="60"/>
    <n v="240"/>
    <s v="Low"/>
    <s v="Normal"/>
    <s v="CUST401-62"/>
    <x v="7"/>
    <s v="Wed"/>
  </r>
  <r>
    <n v="402"/>
    <d v="2023-03-21T00:00:00"/>
    <s v="CUST402"/>
    <x v="1"/>
    <x v="41"/>
    <x v="1"/>
    <x v="1"/>
    <n v="2"/>
    <n v="300"/>
    <n v="600"/>
    <s v="Normal"/>
    <s v="Medium"/>
    <s v="Yes"/>
    <n v="120"/>
    <n v="480"/>
    <s v="Low"/>
    <s v="Normal"/>
    <s v="CUST402-41"/>
    <x v="5"/>
    <s v="Tue"/>
  </r>
  <r>
    <n v="403"/>
    <d v="2023-05-20T00:00:00"/>
    <s v="CUST403"/>
    <x v="0"/>
    <x v="40"/>
    <x v="0"/>
    <x v="1"/>
    <n v="2"/>
    <n v="300"/>
    <n v="600"/>
    <s v="Normal"/>
    <s v="Medium"/>
    <s v="Yes"/>
    <n v="90"/>
    <n v="510"/>
    <s v="Low"/>
    <s v="Normal"/>
    <s v="CUST403-32"/>
    <x v="3"/>
    <s v="Sat"/>
  </r>
  <r>
    <n v="404"/>
    <d v="2023-05-25T00:00:00"/>
    <s v="CUST404"/>
    <x v="0"/>
    <x v="6"/>
    <x v="1"/>
    <x v="2"/>
    <n v="2"/>
    <n v="500"/>
    <n v="1000"/>
    <s v="High"/>
    <s v="High"/>
    <s v="Yes"/>
    <n v="100"/>
    <n v="900"/>
    <s v="High"/>
    <s v="Normal"/>
    <s v="CUST404-46"/>
    <x v="3"/>
    <s v="Thu"/>
  </r>
  <r>
    <n v="405"/>
    <d v="2023-11-06T00:00:00"/>
    <s v="CUST405"/>
    <x v="1"/>
    <x v="36"/>
    <x v="0"/>
    <x v="1"/>
    <n v="4"/>
    <n v="300"/>
    <n v="1200"/>
    <s v="High"/>
    <s v="High"/>
    <s v="Yes"/>
    <n v="180"/>
    <n v="1020"/>
    <s v="High"/>
    <s v="Normal"/>
    <s v="CUST405-25"/>
    <x v="0"/>
    <s v="Mon"/>
  </r>
  <r>
    <n v="406"/>
    <d v="2023-04-18T00:00:00"/>
    <s v="CUST406"/>
    <x v="1"/>
    <x v="11"/>
    <x v="0"/>
    <x v="0"/>
    <n v="4"/>
    <n v="25"/>
    <n v="100"/>
    <s v="Normal"/>
    <s v="Low"/>
    <s v="No"/>
    <n v="0"/>
    <n v="100"/>
    <s v="Low"/>
    <s v="Normal"/>
    <s v="CUST406-22"/>
    <x v="4"/>
    <s v="Tue"/>
  </r>
  <r>
    <n v="407"/>
    <d v="2023-06-25T00:00:00"/>
    <s v="CUST407"/>
    <x v="1"/>
    <x v="6"/>
    <x v="1"/>
    <x v="2"/>
    <n v="3"/>
    <n v="300"/>
    <n v="900"/>
    <s v="Normal"/>
    <s v="Medium"/>
    <s v="Yes"/>
    <n v="180"/>
    <n v="720"/>
    <s v="Low"/>
    <s v="Normal"/>
    <s v="CUST407-46"/>
    <x v="10"/>
    <s v="Sun"/>
  </r>
  <r>
    <n v="408"/>
    <d v="2023-04-15T00:00:00"/>
    <s v="CUST408"/>
    <x v="1"/>
    <x v="12"/>
    <x v="1"/>
    <x v="0"/>
    <n v="1"/>
    <n v="500"/>
    <n v="500"/>
    <s v="Normal"/>
    <s v="Medium"/>
    <s v="Yes"/>
    <n v="100"/>
    <n v="400"/>
    <s v="Low"/>
    <s v="Normal"/>
    <s v="CUST408-64"/>
    <x v="4"/>
    <s v="Sat"/>
  </r>
  <r>
    <n v="409"/>
    <d v="2023-12-18T00:00:00"/>
    <s v="CUST409"/>
    <x v="1"/>
    <x v="34"/>
    <x v="0"/>
    <x v="2"/>
    <n v="3"/>
    <n v="300"/>
    <n v="900"/>
    <s v="Normal"/>
    <s v="Medium"/>
    <s v="No"/>
    <n v="0"/>
    <n v="900"/>
    <s v="Low"/>
    <s v="Normal"/>
    <s v="CUST409-21"/>
    <x v="6"/>
    <s v="Mon"/>
  </r>
  <r>
    <n v="410"/>
    <d v="2023-11-21T00:00:00"/>
    <s v="CUST410"/>
    <x v="1"/>
    <x v="38"/>
    <x v="0"/>
    <x v="1"/>
    <n v="2"/>
    <n v="50"/>
    <n v="100"/>
    <s v="Normal"/>
    <s v="Low"/>
    <s v="Yes"/>
    <n v="15"/>
    <n v="85"/>
    <s v="Low"/>
    <s v="Normal"/>
    <s v="CUST410-29"/>
    <x v="0"/>
    <s v="Tue"/>
  </r>
  <r>
    <n v="411"/>
    <d v="2023-05-16T00:00:00"/>
    <s v="CUST411"/>
    <x v="0"/>
    <x v="17"/>
    <x v="1"/>
    <x v="2"/>
    <n v="4"/>
    <n v="50"/>
    <n v="200"/>
    <s v="Normal"/>
    <s v="Low"/>
    <s v="Yes"/>
    <n v="20"/>
    <n v="180"/>
    <s v="Low"/>
    <s v="Normal"/>
    <s v="CUST411-62"/>
    <x v="3"/>
    <s v="Tue"/>
  </r>
  <r>
    <n v="412"/>
    <d v="2023-09-16T00:00:00"/>
    <s v="CUST412"/>
    <x v="1"/>
    <x v="14"/>
    <x v="2"/>
    <x v="2"/>
    <n v="4"/>
    <n v="500"/>
    <n v="2000"/>
    <s v="Critical"/>
    <s v="High"/>
    <s v="No"/>
    <n v="0"/>
    <n v="2000"/>
    <s v="High"/>
    <b v="1"/>
    <s v="CUST412-19"/>
    <x v="9"/>
    <s v="Sat"/>
  </r>
  <r>
    <n v="413"/>
    <d v="2023-09-08T00:00:00"/>
    <s v="CUST413"/>
    <x v="1"/>
    <x v="24"/>
    <x v="1"/>
    <x v="0"/>
    <n v="3"/>
    <n v="25"/>
    <n v="75"/>
    <s v="Normal"/>
    <s v="Low"/>
    <s v="Yes"/>
    <n v="15"/>
    <n v="60"/>
    <s v="Low"/>
    <s v="Normal"/>
    <s v="CUST413-44"/>
    <x v="9"/>
    <s v="Fri"/>
  </r>
  <r>
    <n v="414"/>
    <d v="2023-05-09T00:00:00"/>
    <s v="CUST414"/>
    <x v="0"/>
    <x v="27"/>
    <x v="1"/>
    <x v="0"/>
    <n v="4"/>
    <n v="25"/>
    <n v="100"/>
    <s v="Normal"/>
    <s v="Low"/>
    <s v="Yes"/>
    <n v="10"/>
    <n v="90"/>
    <s v="Low"/>
    <s v="Normal"/>
    <s v="CUST414-48"/>
    <x v="3"/>
    <s v="Tue"/>
  </r>
  <r>
    <n v="415"/>
    <d v="2023-01-27T00:00:00"/>
    <s v="CUST415"/>
    <x v="0"/>
    <x v="45"/>
    <x v="1"/>
    <x v="1"/>
    <n v="2"/>
    <n v="30"/>
    <n v="60"/>
    <s v="Normal"/>
    <s v="Low"/>
    <s v="Yes"/>
    <n v="6"/>
    <n v="54"/>
    <s v="Low"/>
    <s v="Normal"/>
    <s v="CUST415-53"/>
    <x v="2"/>
    <s v="Fri"/>
  </r>
  <r>
    <n v="416"/>
    <d v="2023-02-17T00:00:00"/>
    <s v="CUST416"/>
    <x v="0"/>
    <x v="45"/>
    <x v="1"/>
    <x v="2"/>
    <n v="4"/>
    <n v="500"/>
    <n v="2000"/>
    <s v="Critical"/>
    <s v="High"/>
    <s v="Yes"/>
    <n v="200"/>
    <n v="1800"/>
    <s v="High"/>
    <b v="1"/>
    <s v="CUST416-53"/>
    <x v="1"/>
    <s v="Fri"/>
  </r>
  <r>
    <n v="417"/>
    <d v="2023-11-21T00:00:00"/>
    <s v="CUST417"/>
    <x v="0"/>
    <x v="22"/>
    <x v="1"/>
    <x v="2"/>
    <n v="3"/>
    <n v="300"/>
    <n v="900"/>
    <s v="Normal"/>
    <s v="Medium"/>
    <s v="Yes"/>
    <n v="90"/>
    <n v="810"/>
    <s v="Low"/>
    <s v="Normal"/>
    <s v="CUST417-43"/>
    <x v="0"/>
    <s v="Tue"/>
  </r>
  <r>
    <n v="418"/>
    <d v="2023-08-05T00:00:00"/>
    <s v="CUST418"/>
    <x v="1"/>
    <x v="43"/>
    <x v="1"/>
    <x v="2"/>
    <n v="2"/>
    <n v="500"/>
    <n v="1000"/>
    <s v="High"/>
    <s v="High"/>
    <s v="Yes"/>
    <n v="200"/>
    <n v="800"/>
    <s v="High"/>
    <s v="Normal"/>
    <s v="CUST418-60"/>
    <x v="8"/>
    <s v="Sat"/>
  </r>
  <r>
    <n v="419"/>
    <d v="2023-05-22T00:00:00"/>
    <s v="CUST419"/>
    <x v="1"/>
    <x v="24"/>
    <x v="1"/>
    <x v="1"/>
    <n v="3"/>
    <n v="30"/>
    <n v="90"/>
    <s v="Normal"/>
    <s v="Low"/>
    <s v="Yes"/>
    <n v="18"/>
    <n v="72"/>
    <s v="Low"/>
    <s v="Normal"/>
    <s v="CUST419-44"/>
    <x v="3"/>
    <s v="Mon"/>
  </r>
  <r>
    <n v="420"/>
    <d v="2023-01-23T00:00:00"/>
    <s v="CUST420"/>
    <x v="1"/>
    <x v="11"/>
    <x v="0"/>
    <x v="1"/>
    <n v="4"/>
    <n v="500"/>
    <n v="2000"/>
    <s v="Critical"/>
    <s v="High"/>
    <s v="No"/>
    <n v="0"/>
    <n v="2000"/>
    <s v="High"/>
    <b v="1"/>
    <s v="CUST420-22"/>
    <x v="2"/>
    <s v="Mon"/>
  </r>
  <r>
    <n v="421"/>
    <d v="2023-01-02T00:00:00"/>
    <s v="CUST421"/>
    <x v="1"/>
    <x v="3"/>
    <x v="0"/>
    <x v="1"/>
    <n v="3"/>
    <n v="500"/>
    <n v="1500"/>
    <s v="Critical"/>
    <s v="High"/>
    <s v="Yes"/>
    <n v="300"/>
    <n v="1200"/>
    <s v="High"/>
    <b v="1"/>
    <s v="CUST421-37"/>
    <x v="2"/>
    <s v="Mon"/>
  </r>
  <r>
    <n v="422"/>
    <d v="2023-06-20T00:00:00"/>
    <s v="CUST422"/>
    <x v="1"/>
    <x v="20"/>
    <x v="0"/>
    <x v="1"/>
    <n v="3"/>
    <n v="30"/>
    <n v="90"/>
    <s v="Normal"/>
    <s v="Low"/>
    <s v="Yes"/>
    <n v="13.5"/>
    <n v="76.5"/>
    <s v="Low"/>
    <s v="Normal"/>
    <s v="CUST422-28"/>
    <x v="10"/>
    <s v="Tue"/>
  </r>
  <r>
    <n v="423"/>
    <d v="2023-03-08T00:00:00"/>
    <s v="CUST423"/>
    <x v="1"/>
    <x v="15"/>
    <x v="0"/>
    <x v="1"/>
    <n v="1"/>
    <n v="25"/>
    <n v="25"/>
    <s v="Normal"/>
    <s v="Low"/>
    <s v="Yes"/>
    <n v="3.75"/>
    <n v="21.25"/>
    <s v="Low"/>
    <s v="Normal"/>
    <s v="CUST423-27"/>
    <x v="5"/>
    <s v="Wed"/>
  </r>
  <r>
    <n v="424"/>
    <d v="2023-11-23T00:00:00"/>
    <s v="CUST424"/>
    <x v="0"/>
    <x v="35"/>
    <x v="1"/>
    <x v="0"/>
    <n v="4"/>
    <n v="300"/>
    <n v="1200"/>
    <s v="High"/>
    <s v="High"/>
    <s v="Yes"/>
    <n v="120"/>
    <n v="1080"/>
    <s v="High"/>
    <s v="Normal"/>
    <s v="CUST424-57"/>
    <x v="0"/>
    <s v="Thu"/>
  </r>
  <r>
    <n v="425"/>
    <d v="2023-05-15T00:00:00"/>
    <s v="CUST425"/>
    <x v="1"/>
    <x v="28"/>
    <x v="1"/>
    <x v="2"/>
    <n v="4"/>
    <n v="30"/>
    <n v="120"/>
    <s v="Normal"/>
    <s v="Low"/>
    <s v="Yes"/>
    <n v="24"/>
    <n v="96"/>
    <s v="Low"/>
    <s v="Normal"/>
    <s v="CUST425-55"/>
    <x v="3"/>
    <s v="Mon"/>
  </r>
  <r>
    <n v="426"/>
    <d v="2023-03-24T00:00:00"/>
    <s v="CUST426"/>
    <x v="0"/>
    <x v="9"/>
    <x v="0"/>
    <x v="2"/>
    <n v="3"/>
    <n v="50"/>
    <n v="150"/>
    <s v="Normal"/>
    <s v="Low"/>
    <s v="No"/>
    <n v="0"/>
    <n v="150"/>
    <s v="Low"/>
    <s v="Normal"/>
    <s v="CUST426-23"/>
    <x v="5"/>
    <s v="Fri"/>
  </r>
  <r>
    <n v="427"/>
    <d v="2023-08-15T00:00:00"/>
    <s v="CUST427"/>
    <x v="0"/>
    <x v="36"/>
    <x v="0"/>
    <x v="2"/>
    <n v="1"/>
    <n v="25"/>
    <n v="25"/>
    <s v="Normal"/>
    <s v="Low"/>
    <s v="Yes"/>
    <n v="3.75"/>
    <n v="21.25"/>
    <s v="Low"/>
    <s v="Normal"/>
    <s v="CUST427-25"/>
    <x v="8"/>
    <s v="Tue"/>
  </r>
  <r>
    <n v="428"/>
    <d v="2023-10-10T00:00:00"/>
    <s v="CUST428"/>
    <x v="1"/>
    <x v="30"/>
    <x v="0"/>
    <x v="2"/>
    <n v="4"/>
    <n v="50"/>
    <n v="200"/>
    <s v="Normal"/>
    <s v="Low"/>
    <s v="Yes"/>
    <n v="40"/>
    <n v="160"/>
    <s v="Low"/>
    <s v="Normal"/>
    <s v="CUST428-40"/>
    <x v="7"/>
    <s v="Tue"/>
  </r>
  <r>
    <n v="429"/>
    <d v="2023-12-28T00:00:00"/>
    <s v="CUST429"/>
    <x v="0"/>
    <x v="12"/>
    <x v="1"/>
    <x v="2"/>
    <n v="2"/>
    <n v="25"/>
    <n v="50"/>
    <s v="Normal"/>
    <s v="Low"/>
    <s v="Yes"/>
    <n v="5"/>
    <n v="45"/>
    <s v="Low"/>
    <s v="Normal"/>
    <s v="CUST429-64"/>
    <x v="6"/>
    <s v="Thu"/>
  </r>
  <r>
    <n v="430"/>
    <d v="2023-08-07T00:00:00"/>
    <s v="CUST430"/>
    <x v="1"/>
    <x v="22"/>
    <x v="1"/>
    <x v="2"/>
    <n v="3"/>
    <n v="300"/>
    <n v="900"/>
    <s v="Normal"/>
    <s v="Medium"/>
    <s v="Yes"/>
    <n v="180"/>
    <n v="720"/>
    <s v="Low"/>
    <s v="Normal"/>
    <s v="CUST430-43"/>
    <x v="8"/>
    <s v="Mon"/>
  </r>
  <r>
    <n v="431"/>
    <d v="2023-10-15T00:00:00"/>
    <s v="CUST431"/>
    <x v="0"/>
    <x v="7"/>
    <x v="1"/>
    <x v="2"/>
    <n v="4"/>
    <n v="300"/>
    <n v="1200"/>
    <s v="High"/>
    <s v="High"/>
    <s v="Yes"/>
    <n v="120"/>
    <n v="1080"/>
    <s v="High"/>
    <s v="Normal"/>
    <s v="CUST431-63"/>
    <x v="7"/>
    <s v="Sun"/>
  </r>
  <r>
    <n v="432"/>
    <d v="2023-01-05T00:00:00"/>
    <s v="CUST432"/>
    <x v="1"/>
    <x v="43"/>
    <x v="1"/>
    <x v="2"/>
    <n v="2"/>
    <n v="500"/>
    <n v="1000"/>
    <s v="High"/>
    <s v="High"/>
    <s v="Yes"/>
    <n v="200"/>
    <n v="800"/>
    <s v="High"/>
    <s v="Normal"/>
    <s v="CUST432-60"/>
    <x v="2"/>
    <s v="Thu"/>
  </r>
  <r>
    <n v="433"/>
    <d v="2023-02-27T00:00:00"/>
    <s v="CUST433"/>
    <x v="0"/>
    <x v="38"/>
    <x v="0"/>
    <x v="0"/>
    <n v="4"/>
    <n v="50"/>
    <n v="200"/>
    <s v="Normal"/>
    <s v="Low"/>
    <s v="Yes"/>
    <n v="30"/>
    <n v="170"/>
    <s v="Low"/>
    <s v="Normal"/>
    <s v="CUST433-29"/>
    <x v="1"/>
    <s v="Mon"/>
  </r>
  <r>
    <n v="434"/>
    <d v="2023-02-08T00:00:00"/>
    <s v="CUST434"/>
    <x v="1"/>
    <x v="22"/>
    <x v="1"/>
    <x v="2"/>
    <n v="2"/>
    <n v="25"/>
    <n v="50"/>
    <s v="Normal"/>
    <s v="Low"/>
    <s v="Yes"/>
    <n v="10"/>
    <n v="40"/>
    <s v="Low"/>
    <s v="Normal"/>
    <s v="CUST434-43"/>
    <x v="1"/>
    <s v="Wed"/>
  </r>
  <r>
    <n v="435"/>
    <d v="2023-12-20T00:00:00"/>
    <s v="CUST435"/>
    <x v="1"/>
    <x v="4"/>
    <x v="0"/>
    <x v="0"/>
    <n v="3"/>
    <n v="300"/>
    <n v="900"/>
    <s v="Normal"/>
    <s v="Medium"/>
    <s v="Yes"/>
    <n v="135"/>
    <n v="765"/>
    <s v="Low"/>
    <s v="Normal"/>
    <s v="CUST435-30"/>
    <x v="6"/>
    <s v="Wed"/>
  </r>
  <r>
    <n v="436"/>
    <d v="2023-03-18T00:00:00"/>
    <s v="CUST436"/>
    <x v="1"/>
    <x v="35"/>
    <x v="1"/>
    <x v="1"/>
    <n v="4"/>
    <n v="30"/>
    <n v="120"/>
    <s v="Normal"/>
    <s v="Low"/>
    <s v="Yes"/>
    <n v="24"/>
    <n v="96"/>
    <s v="Low"/>
    <s v="Normal"/>
    <s v="CUST436-57"/>
    <x v="5"/>
    <s v="Sat"/>
  </r>
  <r>
    <n v="437"/>
    <d v="2023-10-07T00:00:00"/>
    <s v="CUST437"/>
    <x v="1"/>
    <x v="10"/>
    <x v="0"/>
    <x v="2"/>
    <n v="4"/>
    <n v="300"/>
    <n v="1200"/>
    <s v="High"/>
    <s v="High"/>
    <s v="Yes"/>
    <n v="240"/>
    <n v="960"/>
    <s v="High"/>
    <s v="Normal"/>
    <s v="CUST437-35"/>
    <x v="7"/>
    <s v="Sat"/>
  </r>
  <r>
    <n v="438"/>
    <d v="2023-01-19T00:00:00"/>
    <s v="CUST438"/>
    <x v="1"/>
    <x v="13"/>
    <x v="1"/>
    <x v="1"/>
    <n v="1"/>
    <n v="30"/>
    <n v="30"/>
    <s v="Normal"/>
    <s v="Low"/>
    <s v="Yes"/>
    <n v="6"/>
    <n v="24"/>
    <s v="Low"/>
    <s v="Normal"/>
    <s v="CUST438-42"/>
    <x v="2"/>
    <s v="Thu"/>
  </r>
  <r>
    <n v="439"/>
    <d v="2023-07-09T00:00:00"/>
    <s v="CUST439"/>
    <x v="0"/>
    <x v="2"/>
    <x v="1"/>
    <x v="1"/>
    <n v="3"/>
    <n v="25"/>
    <n v="75"/>
    <s v="Normal"/>
    <s v="Low"/>
    <s v="Yes"/>
    <n v="7.5"/>
    <n v="67.5"/>
    <s v="Low"/>
    <s v="Normal"/>
    <s v="CUST439-50"/>
    <x v="11"/>
    <s v="Sun"/>
  </r>
  <r>
    <n v="440"/>
    <d v="2023-10-26T00:00:00"/>
    <s v="CUST440"/>
    <x v="0"/>
    <x v="12"/>
    <x v="1"/>
    <x v="1"/>
    <n v="2"/>
    <n v="300"/>
    <n v="600"/>
    <s v="Normal"/>
    <s v="Medium"/>
    <s v="Yes"/>
    <n v="60"/>
    <n v="540"/>
    <s v="Low"/>
    <s v="Normal"/>
    <s v="CUST440-64"/>
    <x v="7"/>
    <s v="Thu"/>
  </r>
  <r>
    <n v="441"/>
    <d v="2023-10-10T00:00:00"/>
    <s v="CUST441"/>
    <x v="0"/>
    <x v="35"/>
    <x v="1"/>
    <x v="0"/>
    <n v="4"/>
    <n v="300"/>
    <n v="1200"/>
    <s v="High"/>
    <s v="High"/>
    <s v="Yes"/>
    <n v="120"/>
    <n v="1080"/>
    <s v="High"/>
    <s v="Normal"/>
    <s v="CUST441-57"/>
    <x v="7"/>
    <s v="Tue"/>
  </r>
  <r>
    <n v="442"/>
    <d v="2023-03-17T00:00:00"/>
    <s v="CUST442"/>
    <x v="1"/>
    <x v="43"/>
    <x v="1"/>
    <x v="1"/>
    <n v="4"/>
    <n v="25"/>
    <n v="100"/>
    <s v="Normal"/>
    <s v="Low"/>
    <s v="Yes"/>
    <n v="20"/>
    <n v="80"/>
    <s v="Low"/>
    <s v="Normal"/>
    <s v="CUST442-60"/>
    <x v="5"/>
    <s v="Fri"/>
  </r>
  <r>
    <n v="443"/>
    <d v="2023-08-09T00:00:00"/>
    <s v="CUST443"/>
    <x v="0"/>
    <x v="38"/>
    <x v="0"/>
    <x v="1"/>
    <n v="2"/>
    <n v="300"/>
    <n v="600"/>
    <s v="Normal"/>
    <s v="Medium"/>
    <s v="Yes"/>
    <n v="90"/>
    <n v="510"/>
    <s v="Low"/>
    <s v="Normal"/>
    <s v="CUST443-29"/>
    <x v="8"/>
    <s v="Wed"/>
  </r>
  <r>
    <n v="444"/>
    <d v="2023-03-07T00:00:00"/>
    <s v="CUST444"/>
    <x v="1"/>
    <x v="39"/>
    <x v="1"/>
    <x v="1"/>
    <n v="3"/>
    <n v="30"/>
    <n v="90"/>
    <s v="Normal"/>
    <s v="Low"/>
    <s v="Yes"/>
    <n v="18"/>
    <n v="72"/>
    <s v="Low"/>
    <s v="Normal"/>
    <s v="CUST444-61"/>
    <x v="5"/>
    <s v="Tue"/>
  </r>
  <r>
    <n v="445"/>
    <d v="2023-01-22T00:00:00"/>
    <s v="CUST445"/>
    <x v="1"/>
    <x v="45"/>
    <x v="1"/>
    <x v="2"/>
    <n v="1"/>
    <n v="300"/>
    <n v="300"/>
    <s v="Normal"/>
    <s v="Low"/>
    <s v="Yes"/>
    <n v="60"/>
    <n v="240"/>
    <s v="Low"/>
    <s v="Normal"/>
    <s v="CUST445-53"/>
    <x v="2"/>
    <s v="Sun"/>
  </r>
  <r>
    <n v="446"/>
    <d v="2023-06-07T00:00:00"/>
    <s v="CUST446"/>
    <x v="0"/>
    <x v="34"/>
    <x v="0"/>
    <x v="2"/>
    <n v="1"/>
    <n v="50"/>
    <n v="50"/>
    <s v="Normal"/>
    <s v="Low"/>
    <s v="No"/>
    <n v="0"/>
    <n v="50"/>
    <s v="Low"/>
    <s v="Normal"/>
    <s v="CUST446-21"/>
    <x v="10"/>
    <s v="Wed"/>
  </r>
  <r>
    <n v="447"/>
    <d v="2023-07-06T00:00:00"/>
    <s v="CUST447"/>
    <x v="0"/>
    <x v="11"/>
    <x v="0"/>
    <x v="0"/>
    <n v="4"/>
    <n v="500"/>
    <n v="2000"/>
    <s v="Critical"/>
    <s v="High"/>
    <s v="No"/>
    <n v="0"/>
    <n v="2000"/>
    <s v="High"/>
    <b v="1"/>
    <s v="CUST447-22"/>
    <x v="11"/>
    <s v="Thu"/>
  </r>
  <r>
    <n v="448"/>
    <d v="2023-01-21T00:00:00"/>
    <s v="CUST448"/>
    <x v="1"/>
    <x v="31"/>
    <x v="1"/>
    <x v="0"/>
    <n v="2"/>
    <n v="30"/>
    <n v="60"/>
    <s v="Normal"/>
    <s v="Low"/>
    <s v="Yes"/>
    <n v="12"/>
    <n v="48"/>
    <s v="Low"/>
    <s v="Normal"/>
    <s v="CUST448-54"/>
    <x v="2"/>
    <s v="Sat"/>
  </r>
  <r>
    <n v="449"/>
    <d v="2023-07-03T00:00:00"/>
    <s v="CUST449"/>
    <x v="0"/>
    <x v="36"/>
    <x v="0"/>
    <x v="2"/>
    <n v="4"/>
    <n v="50"/>
    <n v="200"/>
    <s v="Normal"/>
    <s v="Low"/>
    <s v="Yes"/>
    <n v="30"/>
    <n v="170"/>
    <s v="Low"/>
    <s v="Normal"/>
    <s v="CUST449-25"/>
    <x v="11"/>
    <s v="Mon"/>
  </r>
  <r>
    <n v="450"/>
    <d v="2023-04-18T00:00:00"/>
    <s v="CUST450"/>
    <x v="1"/>
    <x v="42"/>
    <x v="1"/>
    <x v="0"/>
    <n v="2"/>
    <n v="25"/>
    <n v="50"/>
    <s v="Normal"/>
    <s v="Low"/>
    <s v="Yes"/>
    <n v="10"/>
    <n v="40"/>
    <s v="Low"/>
    <s v="Normal"/>
    <s v="CUST450-59"/>
    <x v="4"/>
    <s v="Tue"/>
  </r>
  <r>
    <n v="451"/>
    <d v="2023-12-16T00:00:00"/>
    <s v="CUST451"/>
    <x v="1"/>
    <x v="5"/>
    <x v="1"/>
    <x v="2"/>
    <n v="1"/>
    <n v="30"/>
    <n v="30"/>
    <s v="Normal"/>
    <s v="Low"/>
    <s v="Yes"/>
    <n v="6"/>
    <n v="24"/>
    <s v="Low"/>
    <s v="Normal"/>
    <s v="CUST451-45"/>
    <x v="6"/>
    <s v="Sat"/>
  </r>
  <r>
    <n v="452"/>
    <d v="2023-05-08T00:00:00"/>
    <s v="CUST452"/>
    <x v="1"/>
    <x v="27"/>
    <x v="1"/>
    <x v="1"/>
    <n v="3"/>
    <n v="500"/>
    <n v="1500"/>
    <s v="Critical"/>
    <s v="High"/>
    <s v="Yes"/>
    <n v="300"/>
    <n v="1200"/>
    <s v="High"/>
    <b v="1"/>
    <s v="CUST452-48"/>
    <x v="3"/>
    <s v="Mon"/>
  </r>
  <r>
    <n v="453"/>
    <d v="2023-12-08T00:00:00"/>
    <s v="CUST453"/>
    <x v="1"/>
    <x v="1"/>
    <x v="0"/>
    <x v="1"/>
    <n v="2"/>
    <n v="500"/>
    <n v="1000"/>
    <s v="High"/>
    <s v="High"/>
    <s v="Yes"/>
    <n v="150"/>
    <n v="850"/>
    <s v="High"/>
    <s v="Normal"/>
    <s v="CUST453-26"/>
    <x v="6"/>
    <s v="Fri"/>
  </r>
  <r>
    <n v="454"/>
    <d v="2023-02-22T00:00:00"/>
    <s v="CUST454"/>
    <x v="1"/>
    <x v="6"/>
    <x v="1"/>
    <x v="0"/>
    <n v="1"/>
    <n v="25"/>
    <n v="25"/>
    <s v="Normal"/>
    <s v="Low"/>
    <s v="Yes"/>
    <n v="5"/>
    <n v="20"/>
    <s v="Low"/>
    <s v="Normal"/>
    <s v="CUST454-46"/>
    <x v="1"/>
    <s v="Wed"/>
  </r>
  <r>
    <n v="455"/>
    <d v="2023-07-01T00:00:00"/>
    <s v="CUST455"/>
    <x v="0"/>
    <x v="33"/>
    <x v="0"/>
    <x v="2"/>
    <n v="4"/>
    <n v="25"/>
    <n v="100"/>
    <s v="Normal"/>
    <s v="Low"/>
    <s v="Yes"/>
    <n v="15"/>
    <n v="85"/>
    <s v="Low"/>
    <s v="Normal"/>
    <s v="CUST455-31"/>
    <x v="11"/>
    <s v="Sat"/>
  </r>
  <r>
    <n v="456"/>
    <d v="2023-10-14T00:00:00"/>
    <s v="CUST456"/>
    <x v="0"/>
    <x v="35"/>
    <x v="1"/>
    <x v="2"/>
    <n v="2"/>
    <n v="30"/>
    <n v="60"/>
    <s v="Normal"/>
    <s v="Low"/>
    <s v="Yes"/>
    <n v="6"/>
    <n v="54"/>
    <s v="Low"/>
    <s v="Normal"/>
    <s v="CUST456-57"/>
    <x v="7"/>
    <s v="Sat"/>
  </r>
  <r>
    <n v="457"/>
    <d v="2023-07-28T00:00:00"/>
    <s v="CUST457"/>
    <x v="1"/>
    <x v="26"/>
    <x v="1"/>
    <x v="0"/>
    <n v="3"/>
    <n v="300"/>
    <n v="900"/>
    <s v="Normal"/>
    <s v="Medium"/>
    <s v="Yes"/>
    <n v="180"/>
    <n v="720"/>
    <s v="Low"/>
    <s v="Normal"/>
    <s v="CUST457-58"/>
    <x v="11"/>
    <s v="Fri"/>
  </r>
  <r>
    <n v="458"/>
    <d v="2023-11-14T00:00:00"/>
    <s v="CUST458"/>
    <x v="1"/>
    <x v="23"/>
    <x v="0"/>
    <x v="2"/>
    <n v="4"/>
    <n v="25"/>
    <n v="100"/>
    <s v="Normal"/>
    <s v="Low"/>
    <s v="Yes"/>
    <n v="20"/>
    <n v="80"/>
    <s v="Low"/>
    <s v="Normal"/>
    <s v="CUST458-39"/>
    <x v="0"/>
    <s v="Tue"/>
  </r>
  <r>
    <n v="459"/>
    <d v="2023-03-21T00:00:00"/>
    <s v="CUST459"/>
    <x v="0"/>
    <x v="20"/>
    <x v="0"/>
    <x v="1"/>
    <n v="4"/>
    <n v="300"/>
    <n v="1200"/>
    <s v="High"/>
    <s v="High"/>
    <s v="Yes"/>
    <n v="180"/>
    <n v="1020"/>
    <s v="High"/>
    <s v="Normal"/>
    <s v="CUST459-28"/>
    <x v="5"/>
    <s v="Tue"/>
  </r>
  <r>
    <n v="460"/>
    <d v="2023-05-02T00:00:00"/>
    <s v="CUST460"/>
    <x v="0"/>
    <x v="30"/>
    <x v="0"/>
    <x v="0"/>
    <n v="1"/>
    <n v="50"/>
    <n v="50"/>
    <s v="Normal"/>
    <s v="Low"/>
    <s v="Yes"/>
    <n v="5"/>
    <n v="45"/>
    <s v="Low"/>
    <s v="Normal"/>
    <s v="CUST460-40"/>
    <x v="3"/>
    <s v="Tue"/>
  </r>
  <r>
    <n v="461"/>
    <d v="2023-03-25T00:00:00"/>
    <s v="CUST461"/>
    <x v="1"/>
    <x v="18"/>
    <x v="2"/>
    <x v="0"/>
    <n v="2"/>
    <n v="500"/>
    <n v="1000"/>
    <s v="High"/>
    <s v="High"/>
    <s v="No"/>
    <n v="0"/>
    <n v="1000"/>
    <s v="High"/>
    <s v="Normal"/>
    <s v="CUST461-18"/>
    <x v="5"/>
    <s v="Sat"/>
  </r>
  <r>
    <n v="462"/>
    <d v="2023-04-01T00:00:00"/>
    <s v="CUST462"/>
    <x v="0"/>
    <x v="7"/>
    <x v="1"/>
    <x v="2"/>
    <n v="4"/>
    <n v="300"/>
    <n v="1200"/>
    <s v="High"/>
    <s v="High"/>
    <s v="Yes"/>
    <n v="120"/>
    <n v="1080"/>
    <s v="High"/>
    <s v="Normal"/>
    <s v="CUST462-63"/>
    <x v="4"/>
    <s v="Sat"/>
  </r>
  <r>
    <n v="463"/>
    <d v="2023-07-31T00:00:00"/>
    <s v="CUST463"/>
    <x v="1"/>
    <x v="31"/>
    <x v="1"/>
    <x v="0"/>
    <n v="3"/>
    <n v="500"/>
    <n v="1500"/>
    <s v="Critical"/>
    <s v="High"/>
    <s v="Yes"/>
    <n v="300"/>
    <n v="1200"/>
    <s v="High"/>
    <b v="1"/>
    <s v="CUST463-54"/>
    <x v="11"/>
    <s v="Mon"/>
  </r>
  <r>
    <n v="464"/>
    <d v="2023-01-13T00:00:00"/>
    <s v="CUST464"/>
    <x v="0"/>
    <x v="21"/>
    <x v="0"/>
    <x v="2"/>
    <n v="2"/>
    <n v="300"/>
    <n v="600"/>
    <s v="Normal"/>
    <s v="Medium"/>
    <s v="Yes"/>
    <n v="60"/>
    <n v="540"/>
    <s v="Low"/>
    <s v="Normal"/>
    <s v="CUST464-38"/>
    <x v="2"/>
    <s v="Fri"/>
  </r>
  <r>
    <n v="465"/>
    <d v="2023-04-02T00:00:00"/>
    <s v="CUST465"/>
    <x v="1"/>
    <x v="22"/>
    <x v="1"/>
    <x v="2"/>
    <n v="3"/>
    <n v="50"/>
    <n v="150"/>
    <s v="Normal"/>
    <s v="Low"/>
    <s v="Yes"/>
    <n v="30"/>
    <n v="120"/>
    <s v="Low"/>
    <s v="Normal"/>
    <s v="CUST465-43"/>
    <x v="4"/>
    <s v="Sun"/>
  </r>
  <r>
    <n v="466"/>
    <d v="2023-06-20T00:00:00"/>
    <s v="CUST466"/>
    <x v="0"/>
    <x v="7"/>
    <x v="1"/>
    <x v="2"/>
    <n v="4"/>
    <n v="25"/>
    <n v="100"/>
    <s v="Normal"/>
    <s v="Low"/>
    <s v="Yes"/>
    <n v="10"/>
    <n v="90"/>
    <s v="Low"/>
    <s v="Normal"/>
    <s v="CUST466-63"/>
    <x v="10"/>
    <s v="Tue"/>
  </r>
  <r>
    <n v="467"/>
    <d v="2023-07-30T00:00:00"/>
    <s v="CUST467"/>
    <x v="1"/>
    <x v="45"/>
    <x v="1"/>
    <x v="2"/>
    <n v="3"/>
    <n v="50"/>
    <n v="150"/>
    <s v="Normal"/>
    <s v="Low"/>
    <s v="Yes"/>
    <n v="30"/>
    <n v="120"/>
    <s v="Low"/>
    <s v="Normal"/>
    <s v="CUST467-53"/>
    <x v="11"/>
    <s v="Sun"/>
  </r>
  <r>
    <n v="468"/>
    <d v="2023-12-09T00:00:00"/>
    <s v="CUST468"/>
    <x v="0"/>
    <x v="30"/>
    <x v="0"/>
    <x v="2"/>
    <n v="1"/>
    <n v="25"/>
    <n v="25"/>
    <s v="Normal"/>
    <s v="Low"/>
    <s v="Yes"/>
    <n v="2.5"/>
    <n v="22.5"/>
    <s v="Low"/>
    <s v="Normal"/>
    <s v="CUST468-40"/>
    <x v="6"/>
    <s v="Sat"/>
  </r>
  <r>
    <n v="469"/>
    <d v="2023-05-08T00:00:00"/>
    <s v="CUST469"/>
    <x v="0"/>
    <x v="18"/>
    <x v="2"/>
    <x v="0"/>
    <n v="3"/>
    <n v="25"/>
    <n v="75"/>
    <s v="Normal"/>
    <s v="Low"/>
    <s v="No"/>
    <n v="0"/>
    <n v="75"/>
    <s v="Low"/>
    <s v="Normal"/>
    <s v="CUST469-18"/>
    <x v="3"/>
    <s v="Mon"/>
  </r>
  <r>
    <n v="470"/>
    <d v="2023-05-17T00:00:00"/>
    <s v="CUST470"/>
    <x v="1"/>
    <x v="35"/>
    <x v="1"/>
    <x v="1"/>
    <n v="2"/>
    <n v="500"/>
    <n v="1000"/>
    <s v="High"/>
    <s v="High"/>
    <s v="Yes"/>
    <n v="200"/>
    <n v="800"/>
    <s v="High"/>
    <s v="Normal"/>
    <s v="CUST470-57"/>
    <x v="3"/>
    <s v="Wed"/>
  </r>
  <r>
    <n v="471"/>
    <d v="2023-03-23T00:00:00"/>
    <s v="CUST471"/>
    <x v="0"/>
    <x v="40"/>
    <x v="0"/>
    <x v="1"/>
    <n v="3"/>
    <n v="50"/>
    <n v="150"/>
    <s v="Normal"/>
    <s v="Low"/>
    <s v="Yes"/>
    <n v="22.5"/>
    <n v="127.5"/>
    <s v="Low"/>
    <s v="Normal"/>
    <s v="CUST471-32"/>
    <x v="5"/>
    <s v="Thu"/>
  </r>
  <r>
    <n v="472"/>
    <d v="2023-12-26T00:00:00"/>
    <s v="CUST472"/>
    <x v="1"/>
    <x v="21"/>
    <x v="0"/>
    <x v="0"/>
    <n v="3"/>
    <n v="300"/>
    <n v="900"/>
    <s v="Normal"/>
    <s v="Medium"/>
    <s v="Yes"/>
    <n v="180"/>
    <n v="720"/>
    <s v="Low"/>
    <s v="Normal"/>
    <s v="CUST472-38"/>
    <x v="6"/>
    <s v="Tue"/>
  </r>
  <r>
    <n v="473"/>
    <d v="2023-02-25T00:00:00"/>
    <s v="CUST473"/>
    <x v="0"/>
    <x v="12"/>
    <x v="1"/>
    <x v="0"/>
    <n v="1"/>
    <n v="50"/>
    <n v="50"/>
    <s v="Normal"/>
    <s v="Low"/>
    <s v="Yes"/>
    <n v="5"/>
    <n v="45"/>
    <s v="Low"/>
    <s v="Normal"/>
    <s v="CUST473-64"/>
    <x v="1"/>
    <s v="Sat"/>
  </r>
  <r>
    <n v="474"/>
    <d v="2023-07-15T00:00:00"/>
    <s v="CUST474"/>
    <x v="1"/>
    <x v="1"/>
    <x v="0"/>
    <x v="1"/>
    <n v="3"/>
    <n v="500"/>
    <n v="1500"/>
    <s v="Critical"/>
    <s v="High"/>
    <s v="Yes"/>
    <n v="225"/>
    <n v="1275"/>
    <s v="High"/>
    <b v="1"/>
    <s v="CUST474-26"/>
    <x v="11"/>
    <s v="Sat"/>
  </r>
  <r>
    <n v="475"/>
    <d v="2023-01-20T00:00:00"/>
    <s v="CUST475"/>
    <x v="0"/>
    <x v="1"/>
    <x v="0"/>
    <x v="1"/>
    <n v="3"/>
    <n v="25"/>
    <n v="75"/>
    <s v="Normal"/>
    <s v="Low"/>
    <s v="Yes"/>
    <n v="11.25"/>
    <n v="63.75"/>
    <s v="Low"/>
    <s v="Normal"/>
    <s v="CUST475-26"/>
    <x v="2"/>
    <s v="Fri"/>
  </r>
  <r>
    <n v="476"/>
    <d v="2023-08-29T00:00:00"/>
    <s v="CUST476"/>
    <x v="1"/>
    <x v="15"/>
    <x v="0"/>
    <x v="1"/>
    <n v="4"/>
    <n v="500"/>
    <n v="2000"/>
    <s v="Critical"/>
    <s v="High"/>
    <s v="Yes"/>
    <n v="300"/>
    <n v="1700"/>
    <s v="High"/>
    <b v="1"/>
    <s v="CUST476-27"/>
    <x v="8"/>
    <s v="Tue"/>
  </r>
  <r>
    <n v="477"/>
    <d v="2023-04-24T00:00:00"/>
    <s v="CUST477"/>
    <x v="0"/>
    <x v="22"/>
    <x v="1"/>
    <x v="1"/>
    <n v="4"/>
    <n v="30"/>
    <n v="120"/>
    <s v="Normal"/>
    <s v="Low"/>
    <s v="Yes"/>
    <n v="12"/>
    <n v="108"/>
    <s v="Low"/>
    <s v="Normal"/>
    <s v="CUST477-43"/>
    <x v="4"/>
    <s v="Mon"/>
  </r>
  <r>
    <n v="478"/>
    <d v="2023-04-13T00:00:00"/>
    <s v="CUST478"/>
    <x v="1"/>
    <x v="26"/>
    <x v="1"/>
    <x v="1"/>
    <n v="2"/>
    <n v="30"/>
    <n v="60"/>
    <s v="Normal"/>
    <s v="Low"/>
    <s v="Yes"/>
    <n v="12"/>
    <n v="48"/>
    <s v="Low"/>
    <s v="Normal"/>
    <s v="CUST478-58"/>
    <x v="4"/>
    <s v="Thu"/>
  </r>
  <r>
    <n v="479"/>
    <d v="2023-08-24T00:00:00"/>
    <s v="CUST479"/>
    <x v="0"/>
    <x v="8"/>
    <x v="1"/>
    <x v="2"/>
    <n v="4"/>
    <n v="300"/>
    <n v="1200"/>
    <s v="High"/>
    <s v="High"/>
    <s v="Yes"/>
    <n v="120"/>
    <n v="1080"/>
    <s v="High"/>
    <s v="Normal"/>
    <s v="CUST479-52"/>
    <x v="8"/>
    <s v="Thu"/>
  </r>
  <r>
    <n v="480"/>
    <d v="2023-06-29T00:00:00"/>
    <s v="CUST480"/>
    <x v="1"/>
    <x v="13"/>
    <x v="1"/>
    <x v="0"/>
    <n v="4"/>
    <n v="500"/>
    <n v="2000"/>
    <s v="Critical"/>
    <s v="High"/>
    <s v="Yes"/>
    <n v="400"/>
    <n v="1600"/>
    <s v="High"/>
    <b v="1"/>
    <s v="CUST480-42"/>
    <x v="10"/>
    <s v="Thu"/>
  </r>
  <r>
    <n v="481"/>
    <d v="2023-06-06T00:00:00"/>
    <s v="CUST481"/>
    <x v="1"/>
    <x v="22"/>
    <x v="1"/>
    <x v="2"/>
    <n v="4"/>
    <n v="300"/>
    <n v="1200"/>
    <s v="High"/>
    <s v="High"/>
    <s v="Yes"/>
    <n v="240"/>
    <n v="960"/>
    <s v="High"/>
    <s v="Normal"/>
    <s v="CUST481-43"/>
    <x v="10"/>
    <s v="Tue"/>
  </r>
  <r>
    <n v="482"/>
    <d v="2023-04-27T00:00:00"/>
    <s v="CUST482"/>
    <x v="1"/>
    <x v="20"/>
    <x v="0"/>
    <x v="1"/>
    <n v="4"/>
    <n v="300"/>
    <n v="1200"/>
    <s v="High"/>
    <s v="High"/>
    <s v="Yes"/>
    <n v="180"/>
    <n v="1020"/>
    <s v="High"/>
    <s v="Normal"/>
    <s v="CUST482-28"/>
    <x v="4"/>
    <s v="Thu"/>
  </r>
  <r>
    <n v="483"/>
    <d v="2023-04-25T00:00:00"/>
    <s v="CUST483"/>
    <x v="0"/>
    <x v="28"/>
    <x v="1"/>
    <x v="1"/>
    <n v="1"/>
    <n v="30"/>
    <n v="30"/>
    <s v="Normal"/>
    <s v="Low"/>
    <s v="Yes"/>
    <n v="3"/>
    <n v="27"/>
    <s v="Low"/>
    <s v="Normal"/>
    <s v="CUST483-55"/>
    <x v="4"/>
    <s v="Tue"/>
  </r>
  <r>
    <n v="484"/>
    <d v="2023-01-13T00:00:00"/>
    <s v="CUST484"/>
    <x v="1"/>
    <x v="14"/>
    <x v="2"/>
    <x v="1"/>
    <n v="4"/>
    <n v="300"/>
    <n v="1200"/>
    <s v="High"/>
    <s v="High"/>
    <s v="No"/>
    <n v="0"/>
    <n v="1200"/>
    <s v="High"/>
    <s v="Normal"/>
    <s v="CUST484-19"/>
    <x v="2"/>
    <s v="Fri"/>
  </r>
  <r>
    <n v="485"/>
    <d v="2023-12-04T00:00:00"/>
    <s v="CUST485"/>
    <x v="0"/>
    <x v="46"/>
    <x v="0"/>
    <x v="2"/>
    <n v="1"/>
    <n v="30"/>
    <n v="30"/>
    <s v="Normal"/>
    <s v="Low"/>
    <s v="No"/>
    <n v="0"/>
    <n v="30"/>
    <s v="Low"/>
    <s v="Normal"/>
    <s v="CUST485-24"/>
    <x v="6"/>
    <s v="Mon"/>
  </r>
  <r>
    <n v="486"/>
    <d v="2023-04-09T00:00:00"/>
    <s v="CUST486"/>
    <x v="1"/>
    <x v="10"/>
    <x v="0"/>
    <x v="2"/>
    <n v="1"/>
    <n v="25"/>
    <n v="25"/>
    <s v="Normal"/>
    <s v="Low"/>
    <s v="Yes"/>
    <n v="5"/>
    <n v="20"/>
    <s v="Low"/>
    <s v="Normal"/>
    <s v="CUST486-35"/>
    <x v="4"/>
    <s v="Sun"/>
  </r>
  <r>
    <n v="487"/>
    <d v="2023-07-24T00:00:00"/>
    <s v="CUST487"/>
    <x v="0"/>
    <x v="24"/>
    <x v="1"/>
    <x v="1"/>
    <n v="4"/>
    <n v="500"/>
    <n v="2000"/>
    <s v="Critical"/>
    <s v="High"/>
    <s v="Yes"/>
    <n v="200"/>
    <n v="1800"/>
    <s v="High"/>
    <b v="1"/>
    <s v="CUST487-44"/>
    <x v="11"/>
    <s v="Mon"/>
  </r>
  <r>
    <n v="488"/>
    <d v="2023-06-18T00:00:00"/>
    <s v="CUST488"/>
    <x v="1"/>
    <x v="25"/>
    <x v="1"/>
    <x v="2"/>
    <n v="3"/>
    <n v="300"/>
    <n v="900"/>
    <s v="Normal"/>
    <s v="Medium"/>
    <s v="Yes"/>
    <n v="180"/>
    <n v="720"/>
    <s v="Low"/>
    <s v="Normal"/>
    <s v="CUST488-51"/>
    <x v="10"/>
    <s v="Sun"/>
  </r>
  <r>
    <n v="489"/>
    <d v="2023-05-23T00:00:00"/>
    <s v="CUST489"/>
    <x v="0"/>
    <x v="24"/>
    <x v="1"/>
    <x v="2"/>
    <n v="1"/>
    <n v="30"/>
    <n v="30"/>
    <s v="Normal"/>
    <s v="Low"/>
    <s v="Yes"/>
    <n v="3"/>
    <n v="27"/>
    <s v="Low"/>
    <s v="Normal"/>
    <s v="CUST489-44"/>
    <x v="3"/>
    <s v="Tue"/>
  </r>
  <r>
    <n v="490"/>
    <d v="2023-02-05T00:00:00"/>
    <s v="CUST490"/>
    <x v="0"/>
    <x v="0"/>
    <x v="0"/>
    <x v="1"/>
    <n v="3"/>
    <n v="50"/>
    <n v="150"/>
    <s v="Normal"/>
    <s v="Low"/>
    <s v="Yes"/>
    <n v="22.5"/>
    <n v="127.5"/>
    <s v="Low"/>
    <s v="Normal"/>
    <s v="CUST490-34"/>
    <x v="1"/>
    <s v="Sun"/>
  </r>
  <r>
    <n v="491"/>
    <d v="2023-05-23T00:00:00"/>
    <s v="CUST491"/>
    <x v="1"/>
    <x v="43"/>
    <x v="1"/>
    <x v="2"/>
    <n v="3"/>
    <n v="300"/>
    <n v="900"/>
    <s v="Normal"/>
    <s v="Medium"/>
    <s v="Yes"/>
    <n v="180"/>
    <n v="720"/>
    <s v="Low"/>
    <s v="Normal"/>
    <s v="CUST491-60"/>
    <x v="3"/>
    <s v="Tue"/>
  </r>
  <r>
    <n v="492"/>
    <d v="2023-06-29T00:00:00"/>
    <s v="CUST492"/>
    <x v="0"/>
    <x v="39"/>
    <x v="1"/>
    <x v="0"/>
    <n v="4"/>
    <n v="25"/>
    <n v="100"/>
    <s v="Normal"/>
    <s v="Low"/>
    <s v="Yes"/>
    <n v="10"/>
    <n v="90"/>
    <s v="Low"/>
    <s v="Normal"/>
    <s v="CUST492-61"/>
    <x v="10"/>
    <s v="Thu"/>
  </r>
  <r>
    <n v="493"/>
    <d v="2023-11-25T00:00:00"/>
    <s v="CUST493"/>
    <x v="0"/>
    <x v="41"/>
    <x v="1"/>
    <x v="0"/>
    <n v="2"/>
    <n v="25"/>
    <n v="50"/>
    <s v="Normal"/>
    <s v="Low"/>
    <s v="Yes"/>
    <n v="5"/>
    <n v="45"/>
    <s v="Low"/>
    <s v="Normal"/>
    <s v="CUST493-41"/>
    <x v="0"/>
    <s v="Sat"/>
  </r>
  <r>
    <n v="494"/>
    <d v="2023-09-18T00:00:00"/>
    <s v="CUST494"/>
    <x v="1"/>
    <x v="13"/>
    <x v="1"/>
    <x v="0"/>
    <n v="4"/>
    <n v="50"/>
    <n v="200"/>
    <s v="Normal"/>
    <s v="Low"/>
    <s v="Yes"/>
    <n v="40"/>
    <n v="160"/>
    <s v="Low"/>
    <s v="Normal"/>
    <s v="CUST494-42"/>
    <x v="9"/>
    <s v="Mon"/>
  </r>
  <r>
    <n v="495"/>
    <d v="2023-07-24T00:00:00"/>
    <s v="CUST495"/>
    <x v="0"/>
    <x v="46"/>
    <x v="0"/>
    <x v="0"/>
    <n v="2"/>
    <n v="30"/>
    <n v="60"/>
    <s v="Normal"/>
    <s v="Low"/>
    <s v="No"/>
    <n v="0"/>
    <n v="60"/>
    <s v="Low"/>
    <s v="Normal"/>
    <s v="CUST495-24"/>
    <x v="11"/>
    <s v="Mon"/>
  </r>
  <r>
    <n v="496"/>
    <d v="2023-12-14T00:00:00"/>
    <s v="CUST496"/>
    <x v="0"/>
    <x v="9"/>
    <x v="0"/>
    <x v="1"/>
    <n v="2"/>
    <n v="300"/>
    <n v="600"/>
    <s v="Normal"/>
    <s v="Medium"/>
    <s v="No"/>
    <n v="0"/>
    <n v="600"/>
    <s v="Low"/>
    <s v="Normal"/>
    <s v="CUST496-23"/>
    <x v="6"/>
    <s v="Thu"/>
  </r>
  <r>
    <n v="497"/>
    <d v="2023-10-02T00:00:00"/>
    <s v="CUST497"/>
    <x v="0"/>
    <x v="41"/>
    <x v="1"/>
    <x v="1"/>
    <n v="4"/>
    <n v="30"/>
    <n v="120"/>
    <s v="Normal"/>
    <s v="Low"/>
    <s v="Yes"/>
    <n v="12"/>
    <n v="108"/>
    <s v="Low"/>
    <s v="Normal"/>
    <s v="CUST497-41"/>
    <x v="7"/>
    <s v="Mon"/>
  </r>
  <r>
    <n v="498"/>
    <d v="2023-06-19T00:00:00"/>
    <s v="CUST498"/>
    <x v="1"/>
    <x v="2"/>
    <x v="1"/>
    <x v="1"/>
    <n v="4"/>
    <n v="25"/>
    <n v="100"/>
    <s v="Normal"/>
    <s v="Low"/>
    <s v="Yes"/>
    <n v="20"/>
    <n v="80"/>
    <s v="Low"/>
    <s v="Normal"/>
    <s v="CUST498-50"/>
    <x v="10"/>
    <s v="Mon"/>
  </r>
  <r>
    <n v="499"/>
    <d v="2023-01-15T00:00:00"/>
    <s v="CUST499"/>
    <x v="0"/>
    <x v="6"/>
    <x v="1"/>
    <x v="0"/>
    <n v="2"/>
    <n v="30"/>
    <n v="60"/>
    <s v="Normal"/>
    <s v="Low"/>
    <s v="Yes"/>
    <n v="6"/>
    <n v="54"/>
    <s v="Low"/>
    <s v="Normal"/>
    <s v="CUST499-46"/>
    <x v="2"/>
    <s v="Sun"/>
  </r>
  <r>
    <n v="500"/>
    <d v="2023-03-01T00:00:00"/>
    <s v="CUST500"/>
    <x v="1"/>
    <x v="43"/>
    <x v="1"/>
    <x v="0"/>
    <n v="4"/>
    <n v="25"/>
    <n v="100"/>
    <s v="Normal"/>
    <s v="Low"/>
    <s v="Yes"/>
    <n v="20"/>
    <n v="80"/>
    <s v="Low"/>
    <s v="Normal"/>
    <s v="CUST500-60"/>
    <x v="5"/>
    <s v="Wed"/>
  </r>
  <r>
    <n v="501"/>
    <d v="2023-05-14T00:00:00"/>
    <s v="CUST501"/>
    <x v="0"/>
    <x v="23"/>
    <x v="0"/>
    <x v="2"/>
    <n v="2"/>
    <n v="30"/>
    <n v="60"/>
    <s v="Normal"/>
    <s v="Low"/>
    <s v="Yes"/>
    <n v="6"/>
    <n v="54"/>
    <s v="Low"/>
    <s v="Normal"/>
    <s v="CUST501-39"/>
    <x v="3"/>
    <s v="Sun"/>
  </r>
  <r>
    <n v="502"/>
    <d v="2023-04-02T00:00:00"/>
    <s v="CUST502"/>
    <x v="0"/>
    <x v="22"/>
    <x v="1"/>
    <x v="2"/>
    <n v="3"/>
    <n v="50"/>
    <n v="150"/>
    <s v="Normal"/>
    <s v="Low"/>
    <s v="Yes"/>
    <n v="15"/>
    <n v="135"/>
    <s v="Low"/>
    <s v="Normal"/>
    <s v="CUST502-43"/>
    <x v="4"/>
    <s v="Sun"/>
  </r>
  <r>
    <n v="503"/>
    <d v="2023-10-25T00:00:00"/>
    <s v="CUST503"/>
    <x v="0"/>
    <x v="5"/>
    <x v="1"/>
    <x v="0"/>
    <n v="4"/>
    <n v="500"/>
    <n v="2000"/>
    <s v="Critical"/>
    <s v="High"/>
    <s v="Yes"/>
    <n v="200"/>
    <n v="1800"/>
    <s v="High"/>
    <b v="1"/>
    <s v="CUST503-45"/>
    <x v="7"/>
    <s v="Wed"/>
  </r>
  <r>
    <n v="504"/>
    <d v="2023-05-16T00:00:00"/>
    <s v="CUST504"/>
    <x v="1"/>
    <x v="21"/>
    <x v="0"/>
    <x v="0"/>
    <n v="3"/>
    <n v="50"/>
    <n v="150"/>
    <s v="Normal"/>
    <s v="Low"/>
    <s v="Yes"/>
    <n v="30"/>
    <n v="120"/>
    <s v="Low"/>
    <s v="Normal"/>
    <s v="CUST504-38"/>
    <x v="3"/>
    <s v="Tue"/>
  </r>
  <r>
    <n v="505"/>
    <d v="2023-01-20T00:00:00"/>
    <s v="CUST505"/>
    <x v="0"/>
    <x v="46"/>
    <x v="0"/>
    <x v="0"/>
    <n v="1"/>
    <n v="50"/>
    <n v="50"/>
    <s v="Normal"/>
    <s v="Low"/>
    <s v="No"/>
    <n v="0"/>
    <n v="50"/>
    <s v="Low"/>
    <s v="Normal"/>
    <s v="CUST505-24"/>
    <x v="2"/>
    <s v="Fri"/>
  </r>
  <r>
    <n v="506"/>
    <d v="2023-02-25T00:00:00"/>
    <s v="CUST506"/>
    <x v="0"/>
    <x v="0"/>
    <x v="0"/>
    <x v="0"/>
    <n v="3"/>
    <n v="500"/>
    <n v="1500"/>
    <s v="Critical"/>
    <s v="High"/>
    <s v="Yes"/>
    <n v="225"/>
    <n v="1275"/>
    <s v="High"/>
    <b v="1"/>
    <s v="CUST506-34"/>
    <x v="1"/>
    <s v="Sat"/>
  </r>
  <r>
    <n v="507"/>
    <d v="2023-11-02T00:00:00"/>
    <s v="CUST507"/>
    <x v="1"/>
    <x v="3"/>
    <x v="0"/>
    <x v="2"/>
    <n v="3"/>
    <n v="500"/>
    <n v="1500"/>
    <s v="Critical"/>
    <s v="High"/>
    <s v="Yes"/>
    <n v="300"/>
    <n v="1200"/>
    <s v="High"/>
    <b v="1"/>
    <s v="CUST507-37"/>
    <x v="0"/>
    <s v="Thu"/>
  </r>
  <r>
    <n v="508"/>
    <d v="2023-08-11T00:00:00"/>
    <s v="CUST508"/>
    <x v="0"/>
    <x v="26"/>
    <x v="1"/>
    <x v="0"/>
    <n v="2"/>
    <n v="300"/>
    <n v="600"/>
    <s v="Normal"/>
    <s v="Medium"/>
    <s v="Yes"/>
    <n v="60"/>
    <n v="540"/>
    <s v="Low"/>
    <s v="Normal"/>
    <s v="CUST508-58"/>
    <x v="8"/>
    <s v="Fri"/>
  </r>
  <r>
    <n v="509"/>
    <d v="2023-06-26T00:00:00"/>
    <s v="CUST509"/>
    <x v="1"/>
    <x v="3"/>
    <x v="0"/>
    <x v="2"/>
    <n v="3"/>
    <n v="300"/>
    <n v="900"/>
    <s v="Normal"/>
    <s v="Medium"/>
    <s v="Yes"/>
    <n v="180"/>
    <n v="720"/>
    <s v="Low"/>
    <s v="Normal"/>
    <s v="CUST509-37"/>
    <x v="10"/>
    <s v="Mon"/>
  </r>
  <r>
    <n v="510"/>
    <d v="2023-06-10T00:00:00"/>
    <s v="CUST510"/>
    <x v="1"/>
    <x v="23"/>
    <x v="0"/>
    <x v="0"/>
    <n v="4"/>
    <n v="50"/>
    <n v="200"/>
    <s v="Normal"/>
    <s v="Low"/>
    <s v="Yes"/>
    <n v="40"/>
    <n v="160"/>
    <s v="Low"/>
    <s v="Normal"/>
    <s v="CUST510-39"/>
    <x v="10"/>
    <s v="Sat"/>
  </r>
  <r>
    <n v="511"/>
    <d v="2023-08-12T00:00:00"/>
    <s v="CUST511"/>
    <x v="0"/>
    <x v="5"/>
    <x v="1"/>
    <x v="0"/>
    <n v="2"/>
    <n v="50"/>
    <n v="100"/>
    <s v="Normal"/>
    <s v="Low"/>
    <s v="Yes"/>
    <n v="10"/>
    <n v="90"/>
    <s v="Low"/>
    <s v="Normal"/>
    <s v="CUST511-45"/>
    <x v="8"/>
    <s v="Sat"/>
  </r>
  <r>
    <n v="512"/>
    <d v="2023-11-07T00:00:00"/>
    <s v="CUST512"/>
    <x v="1"/>
    <x v="35"/>
    <x v="1"/>
    <x v="0"/>
    <n v="1"/>
    <n v="25"/>
    <n v="25"/>
    <s v="Normal"/>
    <s v="Low"/>
    <s v="Yes"/>
    <n v="5"/>
    <n v="20"/>
    <s v="Low"/>
    <s v="Normal"/>
    <s v="CUST512-57"/>
    <x v="0"/>
    <s v="Tue"/>
  </r>
  <r>
    <n v="513"/>
    <d v="2023-09-19T00:00:00"/>
    <s v="CUST513"/>
    <x v="0"/>
    <x v="46"/>
    <x v="0"/>
    <x v="2"/>
    <n v="4"/>
    <n v="25"/>
    <n v="100"/>
    <s v="Normal"/>
    <s v="Low"/>
    <s v="No"/>
    <n v="0"/>
    <n v="100"/>
    <s v="Low"/>
    <s v="Normal"/>
    <s v="CUST513-24"/>
    <x v="9"/>
    <s v="Tue"/>
  </r>
  <r>
    <n v="514"/>
    <d v="2023-03-01T00:00:00"/>
    <s v="CUST514"/>
    <x v="1"/>
    <x v="18"/>
    <x v="2"/>
    <x v="2"/>
    <n v="1"/>
    <n v="300"/>
    <n v="300"/>
    <s v="Normal"/>
    <s v="Low"/>
    <s v="No"/>
    <n v="0"/>
    <n v="300"/>
    <s v="Low"/>
    <s v="Normal"/>
    <s v="CUST514-18"/>
    <x v="5"/>
    <s v="Wed"/>
  </r>
  <r>
    <n v="515"/>
    <d v="2023-07-17T00:00:00"/>
    <s v="CUST515"/>
    <x v="1"/>
    <x v="19"/>
    <x v="1"/>
    <x v="1"/>
    <n v="3"/>
    <n v="300"/>
    <n v="900"/>
    <s v="Normal"/>
    <s v="Medium"/>
    <s v="Yes"/>
    <n v="180"/>
    <n v="720"/>
    <s v="Low"/>
    <s v="Normal"/>
    <s v="CUST515-49"/>
    <x v="11"/>
    <s v="Mon"/>
  </r>
  <r>
    <n v="516"/>
    <d v="2023-10-23T00:00:00"/>
    <s v="CUST516"/>
    <x v="0"/>
    <x v="4"/>
    <x v="0"/>
    <x v="0"/>
    <n v="4"/>
    <n v="25"/>
    <n v="100"/>
    <s v="Normal"/>
    <s v="Low"/>
    <s v="Yes"/>
    <n v="15"/>
    <n v="85"/>
    <s v="Low"/>
    <s v="Normal"/>
    <s v="CUST516-30"/>
    <x v="7"/>
    <s v="Mon"/>
  </r>
  <r>
    <n v="517"/>
    <d v="2023-04-08T00:00:00"/>
    <s v="CUST517"/>
    <x v="1"/>
    <x v="16"/>
    <x v="1"/>
    <x v="1"/>
    <n v="4"/>
    <n v="25"/>
    <n v="100"/>
    <s v="Normal"/>
    <s v="Low"/>
    <s v="Yes"/>
    <n v="20"/>
    <n v="80"/>
    <s v="Low"/>
    <s v="Normal"/>
    <s v="CUST517-47"/>
    <x v="4"/>
    <s v="Sat"/>
  </r>
  <r>
    <n v="518"/>
    <d v="2023-05-11T00:00:00"/>
    <s v="CUST518"/>
    <x v="1"/>
    <x v="30"/>
    <x v="0"/>
    <x v="1"/>
    <n v="1"/>
    <n v="30"/>
    <n v="30"/>
    <s v="Normal"/>
    <s v="Low"/>
    <s v="Yes"/>
    <n v="6"/>
    <n v="24"/>
    <s v="Low"/>
    <s v="Normal"/>
    <s v="CUST518-40"/>
    <x v="3"/>
    <s v="Thu"/>
  </r>
  <r>
    <n v="519"/>
    <d v="2023-01-23T00:00:00"/>
    <s v="CUST519"/>
    <x v="1"/>
    <x v="32"/>
    <x v="0"/>
    <x v="2"/>
    <n v="4"/>
    <n v="30"/>
    <n v="120"/>
    <s v="Normal"/>
    <s v="Low"/>
    <s v="Yes"/>
    <n v="24"/>
    <n v="96"/>
    <s v="Low"/>
    <s v="Normal"/>
    <s v="CUST519-36"/>
    <x v="2"/>
    <s v="Mon"/>
  </r>
  <r>
    <n v="520"/>
    <d v="2023-12-29T00:00:00"/>
    <s v="CUST520"/>
    <x v="1"/>
    <x v="19"/>
    <x v="1"/>
    <x v="2"/>
    <n v="4"/>
    <n v="25"/>
    <n v="100"/>
    <s v="Normal"/>
    <s v="Low"/>
    <s v="Yes"/>
    <n v="20"/>
    <n v="80"/>
    <s v="Low"/>
    <s v="Normal"/>
    <s v="CUST520-49"/>
    <x v="6"/>
    <s v="Fri"/>
  </r>
  <r>
    <n v="521"/>
    <d v="2023-08-12T00:00:00"/>
    <s v="CUST521"/>
    <x v="1"/>
    <x v="16"/>
    <x v="1"/>
    <x v="1"/>
    <n v="4"/>
    <n v="30"/>
    <n v="120"/>
    <s v="Normal"/>
    <s v="Low"/>
    <s v="Yes"/>
    <n v="24"/>
    <n v="96"/>
    <s v="Low"/>
    <s v="Normal"/>
    <s v="CUST521-47"/>
    <x v="8"/>
    <s v="Sat"/>
  </r>
  <r>
    <n v="522"/>
    <d v="2023-01-01T00:00:00"/>
    <s v="CUST522"/>
    <x v="0"/>
    <x v="6"/>
    <x v="1"/>
    <x v="0"/>
    <n v="3"/>
    <n v="500"/>
    <n v="1500"/>
    <s v="Critical"/>
    <s v="High"/>
    <s v="Yes"/>
    <n v="150"/>
    <n v="1350"/>
    <s v="High"/>
    <b v="1"/>
    <s v="CUST522-46"/>
    <x v="2"/>
    <s v="Sun"/>
  </r>
  <r>
    <n v="523"/>
    <d v="2023-09-24T00:00:00"/>
    <s v="CUST523"/>
    <x v="1"/>
    <x v="17"/>
    <x v="1"/>
    <x v="2"/>
    <n v="1"/>
    <n v="300"/>
    <n v="300"/>
    <s v="Normal"/>
    <s v="Low"/>
    <s v="Yes"/>
    <n v="60"/>
    <n v="240"/>
    <s v="Low"/>
    <s v="Normal"/>
    <s v="CUST523-62"/>
    <x v="9"/>
    <s v="Sun"/>
  </r>
  <r>
    <n v="524"/>
    <d v="2023-10-03T00:00:00"/>
    <s v="CUST524"/>
    <x v="0"/>
    <x v="6"/>
    <x v="1"/>
    <x v="0"/>
    <n v="4"/>
    <n v="300"/>
    <n v="1200"/>
    <s v="High"/>
    <s v="High"/>
    <s v="Yes"/>
    <n v="120"/>
    <n v="1080"/>
    <s v="High"/>
    <s v="Normal"/>
    <s v="CUST524-46"/>
    <x v="7"/>
    <s v="Tue"/>
  </r>
  <r>
    <n v="525"/>
    <d v="2023-12-18T00:00:00"/>
    <s v="CUST525"/>
    <x v="1"/>
    <x v="16"/>
    <x v="1"/>
    <x v="0"/>
    <n v="2"/>
    <n v="25"/>
    <n v="50"/>
    <s v="Normal"/>
    <s v="Low"/>
    <s v="Yes"/>
    <n v="10"/>
    <n v="40"/>
    <s v="Low"/>
    <s v="Normal"/>
    <s v="CUST525-47"/>
    <x v="6"/>
    <s v="Mon"/>
  </r>
  <r>
    <n v="526"/>
    <d v="2023-12-10T00:00:00"/>
    <s v="CUST526"/>
    <x v="0"/>
    <x v="44"/>
    <x v="0"/>
    <x v="1"/>
    <n v="2"/>
    <n v="50"/>
    <n v="100"/>
    <s v="Normal"/>
    <s v="Low"/>
    <s v="Yes"/>
    <n v="15"/>
    <n v="85"/>
    <s v="Low"/>
    <s v="Normal"/>
    <s v="CUST526-33"/>
    <x v="6"/>
    <s v="Sun"/>
  </r>
  <r>
    <n v="527"/>
    <d v="2023-04-11T00:00:00"/>
    <s v="CUST527"/>
    <x v="0"/>
    <x v="35"/>
    <x v="1"/>
    <x v="1"/>
    <n v="2"/>
    <n v="25"/>
    <n v="50"/>
    <s v="Normal"/>
    <s v="Low"/>
    <s v="Yes"/>
    <n v="5"/>
    <n v="45"/>
    <s v="Low"/>
    <s v="Normal"/>
    <s v="CUST527-57"/>
    <x v="4"/>
    <s v="Tue"/>
  </r>
  <r>
    <n v="528"/>
    <d v="2023-07-06T00:00:00"/>
    <s v="CUST528"/>
    <x v="1"/>
    <x v="32"/>
    <x v="0"/>
    <x v="1"/>
    <n v="2"/>
    <n v="30"/>
    <n v="60"/>
    <s v="Normal"/>
    <s v="Low"/>
    <s v="Yes"/>
    <n v="12"/>
    <n v="48"/>
    <s v="Low"/>
    <s v="Normal"/>
    <s v="CUST528-36"/>
    <x v="11"/>
    <s v="Thu"/>
  </r>
  <r>
    <n v="529"/>
    <d v="2023-08-09T00:00:00"/>
    <s v="CUST529"/>
    <x v="1"/>
    <x v="10"/>
    <x v="0"/>
    <x v="1"/>
    <n v="3"/>
    <n v="50"/>
    <n v="150"/>
    <s v="Normal"/>
    <s v="Low"/>
    <s v="Yes"/>
    <n v="30"/>
    <n v="120"/>
    <s v="Low"/>
    <s v="Normal"/>
    <s v="CUST529-35"/>
    <x v="8"/>
    <s v="Wed"/>
  </r>
  <r>
    <n v="530"/>
    <d v="2023-02-05T00:00:00"/>
    <s v="CUST530"/>
    <x v="1"/>
    <x v="18"/>
    <x v="2"/>
    <x v="2"/>
    <n v="4"/>
    <n v="30"/>
    <n v="120"/>
    <s v="Normal"/>
    <s v="Low"/>
    <s v="No"/>
    <n v="0"/>
    <n v="120"/>
    <s v="Low"/>
    <s v="Normal"/>
    <s v="CUST530-18"/>
    <x v="1"/>
    <s v="Sun"/>
  </r>
  <r>
    <n v="531"/>
    <d v="2023-12-07T00:00:00"/>
    <s v="CUST531"/>
    <x v="0"/>
    <x v="33"/>
    <x v="0"/>
    <x v="2"/>
    <n v="1"/>
    <n v="500"/>
    <n v="500"/>
    <s v="Normal"/>
    <s v="Medium"/>
    <s v="Yes"/>
    <n v="75"/>
    <n v="425"/>
    <s v="Low"/>
    <s v="Normal"/>
    <s v="CUST531-31"/>
    <x v="6"/>
    <s v="Thu"/>
  </r>
  <r>
    <n v="532"/>
    <d v="2023-06-19T00:00:00"/>
    <s v="CUST532"/>
    <x v="1"/>
    <x v="12"/>
    <x v="1"/>
    <x v="1"/>
    <n v="4"/>
    <n v="30"/>
    <n v="120"/>
    <s v="Normal"/>
    <s v="Low"/>
    <s v="Yes"/>
    <n v="24"/>
    <n v="96"/>
    <s v="Low"/>
    <s v="Normal"/>
    <s v="CUST532-64"/>
    <x v="10"/>
    <s v="Mon"/>
  </r>
  <r>
    <n v="533"/>
    <d v="2023-11-16T00:00:00"/>
    <s v="CUST533"/>
    <x v="0"/>
    <x v="14"/>
    <x v="2"/>
    <x v="2"/>
    <n v="3"/>
    <n v="500"/>
    <n v="1500"/>
    <s v="Critical"/>
    <s v="High"/>
    <s v="No"/>
    <n v="0"/>
    <n v="1500"/>
    <s v="High"/>
    <b v="1"/>
    <s v="CUST533-19"/>
    <x v="0"/>
    <s v="Thu"/>
  </r>
  <r>
    <n v="534"/>
    <d v="2023-06-10T00:00:00"/>
    <s v="CUST534"/>
    <x v="0"/>
    <x v="5"/>
    <x v="1"/>
    <x v="1"/>
    <n v="2"/>
    <n v="500"/>
    <n v="1000"/>
    <s v="High"/>
    <s v="High"/>
    <s v="Yes"/>
    <n v="100"/>
    <n v="900"/>
    <s v="High"/>
    <s v="Normal"/>
    <s v="CUST534-45"/>
    <x v="10"/>
    <s v="Sat"/>
  </r>
  <r>
    <n v="535"/>
    <d v="2023-12-06T00:00:00"/>
    <s v="CUST535"/>
    <x v="0"/>
    <x v="16"/>
    <x v="1"/>
    <x v="0"/>
    <n v="3"/>
    <n v="30"/>
    <n v="90"/>
    <s v="Normal"/>
    <s v="Low"/>
    <s v="Yes"/>
    <n v="9"/>
    <n v="81"/>
    <s v="Low"/>
    <s v="Normal"/>
    <s v="CUST535-47"/>
    <x v="6"/>
    <s v="Wed"/>
  </r>
  <r>
    <n v="536"/>
    <d v="2023-03-05T00:00:00"/>
    <s v="CUST536"/>
    <x v="1"/>
    <x v="28"/>
    <x v="1"/>
    <x v="0"/>
    <n v="4"/>
    <n v="30"/>
    <n v="120"/>
    <s v="Normal"/>
    <s v="Low"/>
    <s v="Yes"/>
    <n v="24"/>
    <n v="96"/>
    <s v="Low"/>
    <s v="Normal"/>
    <s v="CUST536-55"/>
    <x v="5"/>
    <s v="Sun"/>
  </r>
  <r>
    <n v="537"/>
    <d v="2023-06-03T00:00:00"/>
    <s v="CUST537"/>
    <x v="1"/>
    <x v="34"/>
    <x v="0"/>
    <x v="0"/>
    <n v="1"/>
    <n v="500"/>
    <n v="500"/>
    <s v="Normal"/>
    <s v="Medium"/>
    <s v="No"/>
    <n v="0"/>
    <n v="500"/>
    <s v="Low"/>
    <s v="Normal"/>
    <s v="CUST537-21"/>
    <x v="10"/>
    <s v="Sat"/>
  </r>
  <r>
    <n v="538"/>
    <d v="2023-09-17T00:00:00"/>
    <s v="CUST538"/>
    <x v="0"/>
    <x v="18"/>
    <x v="2"/>
    <x v="1"/>
    <n v="3"/>
    <n v="50"/>
    <n v="150"/>
    <s v="Normal"/>
    <s v="Low"/>
    <s v="No"/>
    <n v="0"/>
    <n v="150"/>
    <s v="Low"/>
    <s v="Normal"/>
    <s v="CUST538-18"/>
    <x v="9"/>
    <s v="Sun"/>
  </r>
  <r>
    <n v="539"/>
    <d v="2023-06-08T00:00:00"/>
    <s v="CUST539"/>
    <x v="0"/>
    <x v="36"/>
    <x v="0"/>
    <x v="0"/>
    <n v="1"/>
    <n v="500"/>
    <n v="500"/>
    <s v="Normal"/>
    <s v="Medium"/>
    <s v="Yes"/>
    <n v="75"/>
    <n v="425"/>
    <s v="Low"/>
    <s v="Normal"/>
    <s v="CUST539-25"/>
    <x v="10"/>
    <s v="Thu"/>
  </r>
  <r>
    <n v="540"/>
    <d v="2023-12-08T00:00:00"/>
    <s v="CUST540"/>
    <x v="1"/>
    <x v="6"/>
    <x v="1"/>
    <x v="2"/>
    <n v="3"/>
    <n v="300"/>
    <n v="900"/>
    <s v="Normal"/>
    <s v="Medium"/>
    <s v="Yes"/>
    <n v="180"/>
    <n v="720"/>
    <s v="Low"/>
    <s v="Normal"/>
    <s v="CUST540-46"/>
    <x v="6"/>
    <s v="Fri"/>
  </r>
  <r>
    <n v="541"/>
    <d v="2023-07-29T00:00:00"/>
    <s v="CUST541"/>
    <x v="0"/>
    <x v="37"/>
    <x v="1"/>
    <x v="0"/>
    <n v="1"/>
    <n v="500"/>
    <n v="500"/>
    <s v="Normal"/>
    <s v="Medium"/>
    <s v="Yes"/>
    <n v="50"/>
    <n v="450"/>
    <s v="Low"/>
    <s v="Normal"/>
    <s v="CUST541-56"/>
    <x v="11"/>
    <s v="Sat"/>
  </r>
  <r>
    <n v="542"/>
    <d v="2023-06-17T00:00:00"/>
    <s v="CUST542"/>
    <x v="1"/>
    <x v="29"/>
    <x v="0"/>
    <x v="0"/>
    <n v="1"/>
    <n v="50"/>
    <n v="50"/>
    <s v="Normal"/>
    <s v="Low"/>
    <s v="No"/>
    <n v="0"/>
    <n v="50"/>
    <s v="Low"/>
    <s v="Normal"/>
    <s v="CUST542-20"/>
    <x v="10"/>
    <s v="Sat"/>
  </r>
  <r>
    <n v="543"/>
    <d v="2023-07-26T00:00:00"/>
    <s v="CUST543"/>
    <x v="0"/>
    <x v="19"/>
    <x v="1"/>
    <x v="0"/>
    <n v="2"/>
    <n v="300"/>
    <n v="600"/>
    <s v="Normal"/>
    <s v="Medium"/>
    <s v="Yes"/>
    <n v="60"/>
    <n v="540"/>
    <s v="Low"/>
    <s v="Normal"/>
    <s v="CUST543-49"/>
    <x v="11"/>
    <s v="Wed"/>
  </r>
  <r>
    <n v="544"/>
    <d v="2023-12-23T00:00:00"/>
    <s v="CUST544"/>
    <x v="1"/>
    <x v="15"/>
    <x v="0"/>
    <x v="2"/>
    <n v="1"/>
    <n v="25"/>
    <n v="25"/>
    <s v="Normal"/>
    <s v="Low"/>
    <s v="Yes"/>
    <n v="3.75"/>
    <n v="21.25"/>
    <s v="Low"/>
    <s v="Normal"/>
    <s v="CUST544-27"/>
    <x v="6"/>
    <s v="Sat"/>
  </r>
  <r>
    <n v="545"/>
    <d v="2023-06-01T00:00:00"/>
    <s v="CUST545"/>
    <x v="0"/>
    <x v="15"/>
    <x v="0"/>
    <x v="1"/>
    <n v="2"/>
    <n v="25"/>
    <n v="50"/>
    <s v="Normal"/>
    <s v="Low"/>
    <s v="Yes"/>
    <n v="7.5"/>
    <n v="42.5"/>
    <s v="Low"/>
    <s v="Normal"/>
    <s v="CUST545-27"/>
    <x v="10"/>
    <s v="Thu"/>
  </r>
  <r>
    <n v="546"/>
    <d v="2023-10-11T00:00:00"/>
    <s v="CUST546"/>
    <x v="1"/>
    <x v="32"/>
    <x v="0"/>
    <x v="2"/>
    <n v="4"/>
    <n v="50"/>
    <n v="200"/>
    <s v="Normal"/>
    <s v="Low"/>
    <s v="Yes"/>
    <n v="40"/>
    <n v="160"/>
    <s v="Low"/>
    <s v="Normal"/>
    <s v="CUST546-36"/>
    <x v="7"/>
    <s v="Wed"/>
  </r>
  <r>
    <n v="547"/>
    <d v="2023-03-07T00:00:00"/>
    <s v="CUST547"/>
    <x v="0"/>
    <x v="7"/>
    <x v="1"/>
    <x v="1"/>
    <n v="4"/>
    <n v="500"/>
    <n v="2000"/>
    <s v="Critical"/>
    <s v="High"/>
    <s v="Yes"/>
    <n v="200"/>
    <n v="1800"/>
    <s v="High"/>
    <b v="1"/>
    <s v="CUST547-63"/>
    <x v="5"/>
    <s v="Tue"/>
  </r>
  <r>
    <n v="548"/>
    <d v="2023-04-09T00:00:00"/>
    <s v="CUST548"/>
    <x v="1"/>
    <x v="25"/>
    <x v="1"/>
    <x v="1"/>
    <n v="2"/>
    <n v="30"/>
    <n v="60"/>
    <s v="Normal"/>
    <s v="Low"/>
    <s v="Yes"/>
    <n v="12"/>
    <n v="48"/>
    <s v="Low"/>
    <s v="Normal"/>
    <s v="CUST548-51"/>
    <x v="4"/>
    <s v="Sun"/>
  </r>
  <r>
    <n v="549"/>
    <d v="2023-08-04T00:00:00"/>
    <s v="CUST549"/>
    <x v="1"/>
    <x v="2"/>
    <x v="1"/>
    <x v="0"/>
    <n v="2"/>
    <n v="50"/>
    <n v="100"/>
    <s v="Normal"/>
    <s v="Low"/>
    <s v="Yes"/>
    <n v="20"/>
    <n v="80"/>
    <s v="Low"/>
    <s v="Normal"/>
    <s v="CUST549-50"/>
    <x v="8"/>
    <s v="Fri"/>
  </r>
  <r>
    <n v="550"/>
    <d v="2023-12-07T00:00:00"/>
    <s v="CUST550"/>
    <x v="0"/>
    <x v="30"/>
    <x v="0"/>
    <x v="1"/>
    <n v="3"/>
    <n v="300"/>
    <n v="900"/>
    <s v="Normal"/>
    <s v="Medium"/>
    <s v="Yes"/>
    <n v="90"/>
    <n v="810"/>
    <s v="Low"/>
    <s v="Normal"/>
    <s v="CUST550-40"/>
    <x v="6"/>
    <s v="Thu"/>
  </r>
  <r>
    <n v="551"/>
    <d v="2023-07-14T00:00:00"/>
    <s v="CUST551"/>
    <x v="0"/>
    <x v="5"/>
    <x v="1"/>
    <x v="2"/>
    <n v="3"/>
    <n v="300"/>
    <n v="900"/>
    <s v="Normal"/>
    <s v="Medium"/>
    <s v="Yes"/>
    <n v="90"/>
    <n v="810"/>
    <s v="Low"/>
    <s v="Normal"/>
    <s v="CUST551-45"/>
    <x v="11"/>
    <s v="Fri"/>
  </r>
  <r>
    <n v="552"/>
    <d v="2023-12-13T00:00:00"/>
    <s v="CUST552"/>
    <x v="1"/>
    <x v="19"/>
    <x v="1"/>
    <x v="2"/>
    <n v="3"/>
    <n v="25"/>
    <n v="75"/>
    <s v="Normal"/>
    <s v="Low"/>
    <s v="Yes"/>
    <n v="15"/>
    <n v="60"/>
    <s v="Low"/>
    <s v="Normal"/>
    <s v="CUST552-49"/>
    <x v="6"/>
    <s v="Wed"/>
  </r>
  <r>
    <n v="553"/>
    <d v="2023-03-31T00:00:00"/>
    <s v="CUST553"/>
    <x v="0"/>
    <x v="46"/>
    <x v="0"/>
    <x v="1"/>
    <n v="4"/>
    <n v="300"/>
    <n v="1200"/>
    <s v="High"/>
    <s v="High"/>
    <s v="No"/>
    <n v="0"/>
    <n v="1200"/>
    <s v="High"/>
    <s v="Normal"/>
    <s v="CUST553-24"/>
    <x v="5"/>
    <s v="Fri"/>
  </r>
  <r>
    <n v="554"/>
    <d v="2023-11-12T00:00:00"/>
    <s v="CUST554"/>
    <x v="1"/>
    <x v="6"/>
    <x v="1"/>
    <x v="0"/>
    <n v="3"/>
    <n v="50"/>
    <n v="150"/>
    <s v="Normal"/>
    <s v="Low"/>
    <s v="Yes"/>
    <n v="30"/>
    <n v="120"/>
    <s v="Low"/>
    <s v="Normal"/>
    <s v="CUST554-46"/>
    <x v="0"/>
    <s v="Sun"/>
  </r>
  <r>
    <n v="555"/>
    <d v="2023-10-19T00:00:00"/>
    <s v="CUST555"/>
    <x v="0"/>
    <x v="36"/>
    <x v="0"/>
    <x v="0"/>
    <n v="1"/>
    <n v="300"/>
    <n v="300"/>
    <s v="Normal"/>
    <s v="Low"/>
    <s v="Yes"/>
    <n v="45"/>
    <n v="255"/>
    <s v="Low"/>
    <s v="Normal"/>
    <s v="CUST555-25"/>
    <x v="7"/>
    <s v="Thu"/>
  </r>
  <r>
    <n v="556"/>
    <d v="2023-06-04T00:00:00"/>
    <s v="CUST556"/>
    <x v="1"/>
    <x v="18"/>
    <x v="2"/>
    <x v="2"/>
    <n v="1"/>
    <n v="50"/>
    <n v="50"/>
    <s v="Normal"/>
    <s v="Low"/>
    <s v="No"/>
    <n v="0"/>
    <n v="50"/>
    <s v="Low"/>
    <s v="Normal"/>
    <s v="CUST556-18"/>
    <x v="10"/>
    <s v="Sun"/>
  </r>
  <r>
    <n v="557"/>
    <d v="2023-07-27T00:00:00"/>
    <s v="CUST557"/>
    <x v="1"/>
    <x v="29"/>
    <x v="0"/>
    <x v="0"/>
    <n v="3"/>
    <n v="30"/>
    <n v="90"/>
    <s v="Normal"/>
    <s v="Low"/>
    <s v="No"/>
    <n v="0"/>
    <n v="90"/>
    <s v="Low"/>
    <s v="Normal"/>
    <s v="CUST557-20"/>
    <x v="11"/>
    <s v="Thu"/>
  </r>
  <r>
    <n v="558"/>
    <d v="2023-10-08T00:00:00"/>
    <s v="CUST558"/>
    <x v="1"/>
    <x v="41"/>
    <x v="1"/>
    <x v="1"/>
    <n v="1"/>
    <n v="25"/>
    <n v="25"/>
    <s v="Normal"/>
    <s v="Low"/>
    <s v="Yes"/>
    <n v="5"/>
    <n v="20"/>
    <s v="Low"/>
    <s v="Normal"/>
    <s v="CUST558-41"/>
    <x v="7"/>
    <s v="Sun"/>
  </r>
  <r>
    <n v="559"/>
    <d v="2023-01-01T00:00:00"/>
    <s v="CUST559"/>
    <x v="1"/>
    <x v="30"/>
    <x v="0"/>
    <x v="1"/>
    <n v="4"/>
    <n v="300"/>
    <n v="1200"/>
    <s v="High"/>
    <s v="High"/>
    <s v="Yes"/>
    <n v="240"/>
    <n v="960"/>
    <s v="High"/>
    <s v="Normal"/>
    <s v="CUST559-40"/>
    <x v="2"/>
    <s v="Sun"/>
  </r>
  <r>
    <n v="560"/>
    <d v="2023-06-05T00:00:00"/>
    <s v="CUST560"/>
    <x v="1"/>
    <x v="36"/>
    <x v="0"/>
    <x v="2"/>
    <n v="1"/>
    <n v="50"/>
    <n v="50"/>
    <s v="Normal"/>
    <s v="Low"/>
    <s v="Yes"/>
    <n v="7.5"/>
    <n v="42.5"/>
    <s v="Low"/>
    <s v="Normal"/>
    <s v="CUST560-25"/>
    <x v="10"/>
    <s v="Mon"/>
  </r>
  <r>
    <n v="561"/>
    <d v="2023-05-27T00:00:00"/>
    <s v="CUST561"/>
    <x v="1"/>
    <x v="12"/>
    <x v="1"/>
    <x v="1"/>
    <n v="4"/>
    <n v="500"/>
    <n v="2000"/>
    <s v="Critical"/>
    <s v="High"/>
    <s v="Yes"/>
    <n v="400"/>
    <n v="1600"/>
    <s v="High"/>
    <b v="1"/>
    <s v="CUST561-64"/>
    <x v="3"/>
    <s v="Sat"/>
  </r>
  <r>
    <n v="562"/>
    <d v="2023-04-18T00:00:00"/>
    <s v="CUST562"/>
    <x v="0"/>
    <x v="31"/>
    <x v="1"/>
    <x v="2"/>
    <n v="2"/>
    <n v="25"/>
    <n v="50"/>
    <s v="Normal"/>
    <s v="Low"/>
    <s v="Yes"/>
    <n v="5"/>
    <n v="45"/>
    <s v="Low"/>
    <s v="Normal"/>
    <s v="CUST562-54"/>
    <x v="4"/>
    <s v="Tue"/>
  </r>
  <r>
    <n v="563"/>
    <d v="2023-08-09T00:00:00"/>
    <s v="CUST563"/>
    <x v="0"/>
    <x v="29"/>
    <x v="0"/>
    <x v="1"/>
    <n v="2"/>
    <n v="30"/>
    <n v="60"/>
    <s v="Normal"/>
    <s v="Low"/>
    <s v="No"/>
    <n v="0"/>
    <n v="60"/>
    <s v="Low"/>
    <s v="Normal"/>
    <s v="CUST563-20"/>
    <x v="8"/>
    <s v="Wed"/>
  </r>
  <r>
    <n v="564"/>
    <d v="2023-10-24T00:00:00"/>
    <s v="CUST564"/>
    <x v="0"/>
    <x v="2"/>
    <x v="1"/>
    <x v="2"/>
    <n v="2"/>
    <n v="50"/>
    <n v="100"/>
    <s v="Normal"/>
    <s v="Low"/>
    <s v="Yes"/>
    <n v="10"/>
    <n v="90"/>
    <s v="Low"/>
    <s v="Normal"/>
    <s v="CUST564-50"/>
    <x v="7"/>
    <s v="Tue"/>
  </r>
  <r>
    <n v="565"/>
    <d v="2023-11-07T00:00:00"/>
    <s v="CUST565"/>
    <x v="1"/>
    <x v="5"/>
    <x v="1"/>
    <x v="0"/>
    <n v="2"/>
    <n v="30"/>
    <n v="60"/>
    <s v="Normal"/>
    <s v="Low"/>
    <s v="Yes"/>
    <n v="12"/>
    <n v="48"/>
    <s v="Low"/>
    <s v="Normal"/>
    <s v="CUST565-45"/>
    <x v="0"/>
    <s v="Tue"/>
  </r>
  <r>
    <n v="566"/>
    <d v="2023-12-02T00:00:00"/>
    <s v="CUST566"/>
    <x v="1"/>
    <x v="12"/>
    <x v="1"/>
    <x v="1"/>
    <n v="1"/>
    <n v="30"/>
    <n v="30"/>
    <s v="Normal"/>
    <s v="Low"/>
    <s v="Yes"/>
    <n v="6"/>
    <n v="24"/>
    <s v="Low"/>
    <s v="Normal"/>
    <s v="CUST566-64"/>
    <x v="6"/>
    <s v="Sat"/>
  </r>
  <r>
    <n v="567"/>
    <d v="2023-06-14T00:00:00"/>
    <s v="CUST567"/>
    <x v="1"/>
    <x v="36"/>
    <x v="0"/>
    <x v="1"/>
    <n v="3"/>
    <n v="300"/>
    <n v="900"/>
    <s v="Normal"/>
    <s v="Medium"/>
    <s v="Yes"/>
    <n v="135"/>
    <n v="765"/>
    <s v="Low"/>
    <s v="Normal"/>
    <s v="CUST567-25"/>
    <x v="10"/>
    <s v="Wed"/>
  </r>
  <r>
    <n v="568"/>
    <d v="2023-08-27T00:00:00"/>
    <s v="CUST568"/>
    <x v="1"/>
    <x v="25"/>
    <x v="1"/>
    <x v="2"/>
    <n v="1"/>
    <n v="300"/>
    <n v="300"/>
    <s v="Normal"/>
    <s v="Low"/>
    <s v="Yes"/>
    <n v="60"/>
    <n v="240"/>
    <s v="Low"/>
    <s v="Normal"/>
    <s v="CUST568-51"/>
    <x v="8"/>
    <s v="Sun"/>
  </r>
  <r>
    <n v="569"/>
    <d v="2023-08-15T00:00:00"/>
    <s v="CUST569"/>
    <x v="0"/>
    <x v="8"/>
    <x v="1"/>
    <x v="2"/>
    <n v="4"/>
    <n v="50"/>
    <n v="200"/>
    <s v="Normal"/>
    <s v="Low"/>
    <s v="Yes"/>
    <n v="20"/>
    <n v="180"/>
    <s v="Low"/>
    <s v="Normal"/>
    <s v="CUST569-52"/>
    <x v="8"/>
    <s v="Tue"/>
  </r>
  <r>
    <n v="570"/>
    <d v="2023-08-15T00:00:00"/>
    <s v="CUST570"/>
    <x v="0"/>
    <x v="19"/>
    <x v="1"/>
    <x v="1"/>
    <n v="1"/>
    <n v="500"/>
    <n v="500"/>
    <s v="Normal"/>
    <s v="Medium"/>
    <s v="Yes"/>
    <n v="50"/>
    <n v="450"/>
    <s v="Low"/>
    <s v="Normal"/>
    <s v="CUST570-49"/>
    <x v="8"/>
    <s v="Tue"/>
  </r>
  <r>
    <n v="571"/>
    <d v="2023-12-12T00:00:00"/>
    <s v="CUST571"/>
    <x v="1"/>
    <x v="41"/>
    <x v="1"/>
    <x v="2"/>
    <n v="1"/>
    <n v="50"/>
    <n v="50"/>
    <s v="Normal"/>
    <s v="Low"/>
    <s v="Yes"/>
    <n v="10"/>
    <n v="40"/>
    <s v="Low"/>
    <s v="Normal"/>
    <s v="CUST571-41"/>
    <x v="6"/>
    <s v="Tue"/>
  </r>
  <r>
    <n v="572"/>
    <d v="2023-04-20T00:00:00"/>
    <s v="CUST572"/>
    <x v="0"/>
    <x v="33"/>
    <x v="0"/>
    <x v="1"/>
    <n v="4"/>
    <n v="500"/>
    <n v="2000"/>
    <s v="Critical"/>
    <s v="High"/>
    <s v="Yes"/>
    <n v="300"/>
    <n v="1700"/>
    <s v="High"/>
    <b v="1"/>
    <s v="CUST572-31"/>
    <x v="4"/>
    <s v="Thu"/>
  </r>
  <r>
    <n v="573"/>
    <d v="2023-09-19T00:00:00"/>
    <s v="CUST573"/>
    <x v="0"/>
    <x v="19"/>
    <x v="1"/>
    <x v="0"/>
    <n v="2"/>
    <n v="30"/>
    <n v="60"/>
    <s v="Normal"/>
    <s v="Low"/>
    <s v="Yes"/>
    <n v="6"/>
    <n v="54"/>
    <s v="Low"/>
    <s v="Normal"/>
    <s v="CUST573-49"/>
    <x v="9"/>
    <s v="Tue"/>
  </r>
  <r>
    <n v="574"/>
    <d v="2023-08-31T00:00:00"/>
    <s v="CUST574"/>
    <x v="1"/>
    <x v="7"/>
    <x v="1"/>
    <x v="2"/>
    <n v="2"/>
    <n v="25"/>
    <n v="50"/>
    <s v="Normal"/>
    <s v="Low"/>
    <s v="Yes"/>
    <n v="10"/>
    <n v="40"/>
    <s v="Low"/>
    <s v="Normal"/>
    <s v="CUST574-63"/>
    <x v="8"/>
    <s v="Thu"/>
  </r>
  <r>
    <n v="575"/>
    <d v="2023-03-28T00:00:00"/>
    <s v="CUST575"/>
    <x v="0"/>
    <x v="43"/>
    <x v="1"/>
    <x v="1"/>
    <n v="2"/>
    <n v="50"/>
    <n v="100"/>
    <s v="Normal"/>
    <s v="Low"/>
    <s v="Yes"/>
    <n v="10"/>
    <n v="90"/>
    <s v="Low"/>
    <s v="Normal"/>
    <s v="CUST575-60"/>
    <x v="5"/>
    <s v="Tue"/>
  </r>
  <r>
    <n v="576"/>
    <d v="2023-12-04T00:00:00"/>
    <s v="CUST576"/>
    <x v="1"/>
    <x v="44"/>
    <x v="0"/>
    <x v="0"/>
    <n v="3"/>
    <n v="50"/>
    <n v="150"/>
    <s v="Normal"/>
    <s v="Low"/>
    <s v="Yes"/>
    <n v="22.5"/>
    <n v="127.5"/>
    <s v="Low"/>
    <s v="Normal"/>
    <s v="CUST576-33"/>
    <x v="6"/>
    <s v="Mon"/>
  </r>
  <r>
    <n v="577"/>
    <d v="2023-02-13T00:00:00"/>
    <s v="CUST577"/>
    <x v="0"/>
    <x v="34"/>
    <x v="0"/>
    <x v="0"/>
    <n v="4"/>
    <n v="500"/>
    <n v="2000"/>
    <s v="Critical"/>
    <s v="High"/>
    <s v="No"/>
    <n v="0"/>
    <n v="2000"/>
    <s v="High"/>
    <b v="1"/>
    <s v="CUST577-21"/>
    <x v="1"/>
    <s v="Mon"/>
  </r>
  <r>
    <n v="578"/>
    <d v="2023-05-26T00:00:00"/>
    <s v="CUST578"/>
    <x v="1"/>
    <x v="31"/>
    <x v="1"/>
    <x v="1"/>
    <n v="4"/>
    <n v="30"/>
    <n v="120"/>
    <s v="Normal"/>
    <s v="Low"/>
    <s v="Yes"/>
    <n v="24"/>
    <n v="96"/>
    <s v="Low"/>
    <s v="Normal"/>
    <s v="CUST578-54"/>
    <x v="3"/>
    <s v="Fri"/>
  </r>
  <r>
    <n v="579"/>
    <d v="2023-09-21T00:00:00"/>
    <s v="CUST579"/>
    <x v="1"/>
    <x v="21"/>
    <x v="0"/>
    <x v="2"/>
    <n v="1"/>
    <n v="30"/>
    <n v="30"/>
    <s v="Normal"/>
    <s v="Low"/>
    <s v="Yes"/>
    <n v="6"/>
    <n v="24"/>
    <s v="Low"/>
    <s v="Normal"/>
    <s v="CUST579-38"/>
    <x v="9"/>
    <s v="Thu"/>
  </r>
  <r>
    <n v="580"/>
    <d v="2023-12-06T00:00:00"/>
    <s v="CUST580"/>
    <x v="1"/>
    <x v="33"/>
    <x v="0"/>
    <x v="1"/>
    <n v="3"/>
    <n v="500"/>
    <n v="1500"/>
    <s v="Critical"/>
    <s v="High"/>
    <s v="Yes"/>
    <n v="225"/>
    <n v="1275"/>
    <s v="High"/>
    <b v="1"/>
    <s v="CUST580-31"/>
    <x v="6"/>
    <s v="Wed"/>
  </r>
  <r>
    <n v="581"/>
    <d v="2023-11-21T00:00:00"/>
    <s v="CUST581"/>
    <x v="1"/>
    <x v="27"/>
    <x v="1"/>
    <x v="0"/>
    <n v="2"/>
    <n v="30"/>
    <n v="60"/>
    <s v="Normal"/>
    <s v="Low"/>
    <s v="Yes"/>
    <n v="12"/>
    <n v="48"/>
    <s v="Low"/>
    <s v="Normal"/>
    <s v="CUST581-48"/>
    <x v="0"/>
    <s v="Tue"/>
  </r>
  <r>
    <n v="582"/>
    <d v="2023-11-14T00:00:00"/>
    <s v="CUST582"/>
    <x v="0"/>
    <x v="10"/>
    <x v="0"/>
    <x v="1"/>
    <n v="3"/>
    <n v="300"/>
    <n v="900"/>
    <s v="Normal"/>
    <s v="Medium"/>
    <s v="Yes"/>
    <n v="90"/>
    <n v="810"/>
    <s v="Low"/>
    <s v="Normal"/>
    <s v="CUST582-35"/>
    <x v="0"/>
    <s v="Tue"/>
  </r>
  <r>
    <n v="583"/>
    <d v="2023-06-21T00:00:00"/>
    <s v="CUST583"/>
    <x v="1"/>
    <x v="46"/>
    <x v="0"/>
    <x v="2"/>
    <n v="4"/>
    <n v="25"/>
    <n v="100"/>
    <s v="Normal"/>
    <s v="Low"/>
    <s v="No"/>
    <n v="0"/>
    <n v="100"/>
    <s v="Low"/>
    <s v="Normal"/>
    <s v="CUST583-24"/>
    <x v="10"/>
    <s v="Wed"/>
  </r>
  <r>
    <n v="584"/>
    <d v="2023-02-17T00:00:00"/>
    <s v="CUST584"/>
    <x v="1"/>
    <x v="15"/>
    <x v="0"/>
    <x v="0"/>
    <n v="4"/>
    <n v="50"/>
    <n v="200"/>
    <s v="Normal"/>
    <s v="Low"/>
    <s v="Yes"/>
    <n v="30"/>
    <n v="170"/>
    <s v="Low"/>
    <s v="Normal"/>
    <s v="CUST584-27"/>
    <x v="1"/>
    <s v="Fri"/>
  </r>
  <r>
    <n v="585"/>
    <d v="2023-05-01T00:00:00"/>
    <s v="CUST585"/>
    <x v="1"/>
    <x v="46"/>
    <x v="0"/>
    <x v="1"/>
    <n v="1"/>
    <n v="25"/>
    <n v="25"/>
    <s v="Normal"/>
    <s v="Low"/>
    <s v="No"/>
    <n v="0"/>
    <n v="25"/>
    <s v="Low"/>
    <s v="Normal"/>
    <s v="CUST585-24"/>
    <x v="3"/>
    <s v="Mon"/>
  </r>
  <r>
    <n v="586"/>
    <d v="2023-12-11T00:00:00"/>
    <s v="CUST586"/>
    <x v="0"/>
    <x v="2"/>
    <x v="1"/>
    <x v="2"/>
    <n v="1"/>
    <n v="50"/>
    <n v="50"/>
    <s v="Normal"/>
    <s v="Low"/>
    <s v="Yes"/>
    <n v="5"/>
    <n v="45"/>
    <s v="Low"/>
    <s v="Normal"/>
    <s v="CUST586-50"/>
    <x v="6"/>
    <s v="Mon"/>
  </r>
  <r>
    <n v="587"/>
    <d v="2023-06-08T00:00:00"/>
    <s v="CUST587"/>
    <x v="1"/>
    <x v="30"/>
    <x v="0"/>
    <x v="0"/>
    <n v="4"/>
    <n v="300"/>
    <n v="1200"/>
    <s v="High"/>
    <s v="High"/>
    <s v="Yes"/>
    <n v="240"/>
    <n v="960"/>
    <s v="High"/>
    <s v="Normal"/>
    <s v="CUST587-40"/>
    <x v="10"/>
    <s v="Thu"/>
  </r>
  <r>
    <n v="588"/>
    <d v="2023-04-26T00:00:00"/>
    <s v="CUST588"/>
    <x v="0"/>
    <x v="21"/>
    <x v="0"/>
    <x v="2"/>
    <n v="2"/>
    <n v="30"/>
    <n v="60"/>
    <s v="Normal"/>
    <s v="Low"/>
    <s v="Yes"/>
    <n v="6"/>
    <n v="54"/>
    <s v="Low"/>
    <s v="Normal"/>
    <s v="CUST588-38"/>
    <x v="4"/>
    <s v="Wed"/>
  </r>
  <r>
    <n v="589"/>
    <d v="2023-04-12T00:00:00"/>
    <s v="CUST589"/>
    <x v="1"/>
    <x v="32"/>
    <x v="0"/>
    <x v="0"/>
    <n v="2"/>
    <n v="500"/>
    <n v="1000"/>
    <s v="High"/>
    <s v="High"/>
    <s v="Yes"/>
    <n v="200"/>
    <n v="800"/>
    <s v="High"/>
    <s v="Normal"/>
    <s v="CUST589-36"/>
    <x v="4"/>
    <s v="Wed"/>
  </r>
  <r>
    <n v="590"/>
    <d v="2023-03-17T00:00:00"/>
    <s v="CUST590"/>
    <x v="0"/>
    <x v="32"/>
    <x v="0"/>
    <x v="1"/>
    <n v="3"/>
    <n v="300"/>
    <n v="900"/>
    <s v="Normal"/>
    <s v="Medium"/>
    <s v="Yes"/>
    <n v="90"/>
    <n v="810"/>
    <s v="Low"/>
    <s v="Normal"/>
    <s v="CUST590-36"/>
    <x v="5"/>
    <s v="Fri"/>
  </r>
  <r>
    <n v="591"/>
    <d v="2023-01-13T00:00:00"/>
    <s v="CUST591"/>
    <x v="0"/>
    <x v="45"/>
    <x v="1"/>
    <x v="2"/>
    <n v="4"/>
    <n v="25"/>
    <n v="100"/>
    <s v="Normal"/>
    <s v="Low"/>
    <s v="Yes"/>
    <n v="10"/>
    <n v="90"/>
    <s v="Low"/>
    <s v="Normal"/>
    <s v="CUST591-53"/>
    <x v="2"/>
    <s v="Fri"/>
  </r>
  <r>
    <n v="592"/>
    <d v="2023-01-24T00:00:00"/>
    <s v="CUST592"/>
    <x v="1"/>
    <x v="6"/>
    <x v="1"/>
    <x v="0"/>
    <n v="4"/>
    <n v="500"/>
    <n v="2000"/>
    <s v="Critical"/>
    <s v="High"/>
    <s v="Yes"/>
    <n v="400"/>
    <n v="1600"/>
    <s v="High"/>
    <b v="1"/>
    <s v="CUST592-46"/>
    <x v="2"/>
    <s v="Tue"/>
  </r>
  <r>
    <n v="593"/>
    <d v="2023-05-06T00:00:00"/>
    <s v="CUST593"/>
    <x v="0"/>
    <x v="10"/>
    <x v="0"/>
    <x v="2"/>
    <n v="2"/>
    <n v="30"/>
    <n v="60"/>
    <s v="Normal"/>
    <s v="Low"/>
    <s v="Yes"/>
    <n v="6"/>
    <n v="54"/>
    <s v="Low"/>
    <s v="Normal"/>
    <s v="CUST593-35"/>
    <x v="3"/>
    <s v="Sat"/>
  </r>
  <r>
    <n v="594"/>
    <d v="2023-09-01T00:00:00"/>
    <s v="CUST594"/>
    <x v="1"/>
    <x v="14"/>
    <x v="2"/>
    <x v="2"/>
    <n v="2"/>
    <n v="300"/>
    <n v="600"/>
    <s v="Normal"/>
    <s v="Medium"/>
    <s v="No"/>
    <n v="0"/>
    <n v="600"/>
    <s v="Low"/>
    <s v="Normal"/>
    <s v="CUST594-19"/>
    <x v="9"/>
    <s v="Fri"/>
  </r>
  <r>
    <n v="595"/>
    <d v="2023-11-09T00:00:00"/>
    <s v="CUST595"/>
    <x v="1"/>
    <x v="18"/>
    <x v="2"/>
    <x v="1"/>
    <n v="4"/>
    <n v="500"/>
    <n v="2000"/>
    <s v="Critical"/>
    <s v="High"/>
    <s v="No"/>
    <n v="0"/>
    <n v="2000"/>
    <s v="High"/>
    <b v="1"/>
    <s v="CUST595-18"/>
    <x v="0"/>
    <s v="Thu"/>
  </r>
  <r>
    <n v="596"/>
    <d v="2023-02-07T00:00:00"/>
    <s v="CUST596"/>
    <x v="1"/>
    <x v="12"/>
    <x v="1"/>
    <x v="2"/>
    <n v="1"/>
    <n v="300"/>
    <n v="300"/>
    <s v="Normal"/>
    <s v="Low"/>
    <s v="Yes"/>
    <n v="60"/>
    <n v="240"/>
    <s v="Low"/>
    <s v="Normal"/>
    <s v="CUST596-64"/>
    <x v="1"/>
    <s v="Tue"/>
  </r>
  <r>
    <n v="597"/>
    <d v="2023-08-22T00:00:00"/>
    <s v="CUST597"/>
    <x v="0"/>
    <x v="11"/>
    <x v="0"/>
    <x v="0"/>
    <n v="4"/>
    <n v="300"/>
    <n v="1200"/>
    <s v="High"/>
    <s v="High"/>
    <s v="No"/>
    <n v="0"/>
    <n v="1200"/>
    <s v="High"/>
    <s v="Normal"/>
    <s v="CUST597-22"/>
    <x v="8"/>
    <s v="Tue"/>
  </r>
  <r>
    <n v="598"/>
    <d v="2023-08-01T00:00:00"/>
    <s v="CUST598"/>
    <x v="0"/>
    <x v="3"/>
    <x v="0"/>
    <x v="0"/>
    <n v="4"/>
    <n v="30"/>
    <n v="120"/>
    <s v="Normal"/>
    <s v="Low"/>
    <s v="Yes"/>
    <n v="12"/>
    <n v="108"/>
    <s v="Low"/>
    <s v="Normal"/>
    <s v="CUST598-37"/>
    <x v="8"/>
    <s v="Tue"/>
  </r>
  <r>
    <n v="599"/>
    <d v="2023-11-19T00:00:00"/>
    <s v="CUST599"/>
    <x v="1"/>
    <x v="20"/>
    <x v="0"/>
    <x v="0"/>
    <n v="2"/>
    <n v="50"/>
    <n v="100"/>
    <s v="Normal"/>
    <s v="Low"/>
    <s v="Yes"/>
    <n v="15"/>
    <n v="85"/>
    <s v="Low"/>
    <s v="Normal"/>
    <s v="CUST599-28"/>
    <x v="0"/>
    <s v="Sun"/>
  </r>
  <r>
    <n v="600"/>
    <d v="2023-10-22T00:00:00"/>
    <s v="CUST600"/>
    <x v="1"/>
    <x v="42"/>
    <x v="1"/>
    <x v="0"/>
    <n v="2"/>
    <n v="500"/>
    <n v="1000"/>
    <s v="High"/>
    <s v="High"/>
    <s v="Yes"/>
    <n v="200"/>
    <n v="800"/>
    <s v="High"/>
    <s v="Normal"/>
    <s v="CUST600-59"/>
    <x v="7"/>
    <s v="Sun"/>
  </r>
  <r>
    <n v="601"/>
    <d v="2023-04-10T00:00:00"/>
    <s v="CUST601"/>
    <x v="0"/>
    <x v="14"/>
    <x v="2"/>
    <x v="1"/>
    <n v="1"/>
    <n v="30"/>
    <n v="30"/>
    <s v="Normal"/>
    <s v="Low"/>
    <s v="No"/>
    <n v="0"/>
    <n v="30"/>
    <s v="Low"/>
    <s v="Normal"/>
    <s v="CUST601-19"/>
    <x v="4"/>
    <s v="Mon"/>
  </r>
  <r>
    <n v="602"/>
    <d v="2023-12-23T00:00:00"/>
    <s v="CUST602"/>
    <x v="1"/>
    <x v="29"/>
    <x v="0"/>
    <x v="2"/>
    <n v="1"/>
    <n v="300"/>
    <n v="300"/>
    <s v="Normal"/>
    <s v="Low"/>
    <s v="No"/>
    <n v="0"/>
    <n v="300"/>
    <s v="Low"/>
    <s v="Normal"/>
    <s v="CUST602-20"/>
    <x v="6"/>
    <s v="Sat"/>
  </r>
  <r>
    <n v="603"/>
    <d v="2023-07-16T00:00:00"/>
    <s v="CUST603"/>
    <x v="1"/>
    <x v="30"/>
    <x v="0"/>
    <x v="1"/>
    <n v="3"/>
    <n v="30"/>
    <n v="90"/>
    <s v="Normal"/>
    <s v="Low"/>
    <s v="Yes"/>
    <n v="18"/>
    <n v="72"/>
    <s v="Low"/>
    <s v="Normal"/>
    <s v="CUST603-40"/>
    <x v="11"/>
    <s v="Sun"/>
  </r>
  <r>
    <n v="604"/>
    <d v="2023-09-11T00:00:00"/>
    <s v="CUST604"/>
    <x v="1"/>
    <x v="38"/>
    <x v="0"/>
    <x v="2"/>
    <n v="4"/>
    <n v="50"/>
    <n v="200"/>
    <s v="Normal"/>
    <s v="Low"/>
    <s v="Yes"/>
    <n v="30"/>
    <n v="170"/>
    <s v="Low"/>
    <s v="Normal"/>
    <s v="CUST604-29"/>
    <x v="9"/>
    <s v="Mon"/>
  </r>
  <r>
    <n v="605"/>
    <d v="2023-07-24T00:00:00"/>
    <s v="CUST605"/>
    <x v="0"/>
    <x v="3"/>
    <x v="0"/>
    <x v="2"/>
    <n v="2"/>
    <n v="500"/>
    <n v="1000"/>
    <s v="High"/>
    <s v="High"/>
    <s v="Yes"/>
    <n v="100"/>
    <n v="900"/>
    <s v="High"/>
    <s v="Normal"/>
    <s v="CUST605-37"/>
    <x v="11"/>
    <s v="Mon"/>
  </r>
  <r>
    <n v="606"/>
    <d v="2023-05-05T00:00:00"/>
    <s v="CUST606"/>
    <x v="0"/>
    <x v="11"/>
    <x v="0"/>
    <x v="2"/>
    <n v="1"/>
    <n v="50"/>
    <n v="50"/>
    <s v="Normal"/>
    <s v="Low"/>
    <s v="No"/>
    <n v="0"/>
    <n v="50"/>
    <s v="Low"/>
    <s v="Normal"/>
    <s v="CUST606-22"/>
    <x v="3"/>
    <s v="Fri"/>
  </r>
  <r>
    <n v="607"/>
    <d v="2023-03-17T00:00:00"/>
    <s v="CUST607"/>
    <x v="0"/>
    <x v="31"/>
    <x v="1"/>
    <x v="1"/>
    <n v="3"/>
    <n v="25"/>
    <n v="75"/>
    <s v="Normal"/>
    <s v="Low"/>
    <s v="Yes"/>
    <n v="7.5"/>
    <n v="67.5"/>
    <s v="Low"/>
    <s v="Normal"/>
    <s v="CUST607-54"/>
    <x v="5"/>
    <s v="Fri"/>
  </r>
  <r>
    <n v="608"/>
    <d v="2023-12-02T00:00:00"/>
    <s v="CUST608"/>
    <x v="1"/>
    <x v="28"/>
    <x v="1"/>
    <x v="2"/>
    <n v="3"/>
    <n v="500"/>
    <n v="1500"/>
    <s v="Critical"/>
    <s v="High"/>
    <s v="Yes"/>
    <n v="300"/>
    <n v="1200"/>
    <s v="High"/>
    <b v="1"/>
    <s v="CUST608-55"/>
    <x v="6"/>
    <s v="Sat"/>
  </r>
  <r>
    <n v="609"/>
    <d v="2023-12-19T00:00:00"/>
    <s v="CUST609"/>
    <x v="1"/>
    <x v="16"/>
    <x v="1"/>
    <x v="1"/>
    <n v="2"/>
    <n v="50"/>
    <n v="100"/>
    <s v="Normal"/>
    <s v="Low"/>
    <s v="Yes"/>
    <n v="20"/>
    <n v="80"/>
    <s v="Low"/>
    <s v="Normal"/>
    <s v="CUST609-47"/>
    <x v="6"/>
    <s v="Tue"/>
  </r>
  <r>
    <n v="610"/>
    <d v="2023-01-03T00:00:00"/>
    <s v="CUST610"/>
    <x v="1"/>
    <x v="1"/>
    <x v="0"/>
    <x v="0"/>
    <n v="2"/>
    <n v="300"/>
    <n v="600"/>
    <s v="Normal"/>
    <s v="Medium"/>
    <s v="Yes"/>
    <n v="90"/>
    <n v="510"/>
    <s v="Low"/>
    <s v="Normal"/>
    <s v="CUST610-26"/>
    <x v="2"/>
    <s v="Tue"/>
  </r>
  <r>
    <n v="611"/>
    <d v="2023-02-24T00:00:00"/>
    <s v="CUST611"/>
    <x v="0"/>
    <x v="25"/>
    <x v="1"/>
    <x v="0"/>
    <n v="3"/>
    <n v="500"/>
    <n v="1500"/>
    <s v="Critical"/>
    <s v="High"/>
    <s v="Yes"/>
    <n v="150"/>
    <n v="1350"/>
    <s v="High"/>
    <b v="1"/>
    <s v="CUST611-51"/>
    <x v="1"/>
    <s v="Fri"/>
  </r>
  <r>
    <n v="612"/>
    <d v="2023-08-06T00:00:00"/>
    <s v="CUST612"/>
    <x v="1"/>
    <x v="39"/>
    <x v="1"/>
    <x v="2"/>
    <n v="1"/>
    <n v="500"/>
    <n v="500"/>
    <s v="Normal"/>
    <s v="Medium"/>
    <s v="Yes"/>
    <n v="100"/>
    <n v="400"/>
    <s v="Low"/>
    <s v="Normal"/>
    <s v="CUST612-61"/>
    <x v="8"/>
    <s v="Sun"/>
  </r>
  <r>
    <n v="613"/>
    <d v="2023-04-23T00:00:00"/>
    <s v="CUST613"/>
    <x v="1"/>
    <x v="8"/>
    <x v="1"/>
    <x v="1"/>
    <n v="3"/>
    <n v="30"/>
    <n v="90"/>
    <s v="Normal"/>
    <s v="Low"/>
    <s v="Yes"/>
    <n v="18"/>
    <n v="72"/>
    <s v="Low"/>
    <s v="Normal"/>
    <s v="CUST613-52"/>
    <x v="4"/>
    <s v="Sun"/>
  </r>
  <r>
    <n v="614"/>
    <d v="2023-04-01T00:00:00"/>
    <s v="CUST614"/>
    <x v="1"/>
    <x v="23"/>
    <x v="0"/>
    <x v="0"/>
    <n v="4"/>
    <n v="300"/>
    <n v="1200"/>
    <s v="High"/>
    <s v="High"/>
    <s v="Yes"/>
    <n v="240"/>
    <n v="960"/>
    <s v="High"/>
    <s v="Normal"/>
    <s v="CUST614-39"/>
    <x v="4"/>
    <s v="Sat"/>
  </r>
  <r>
    <n v="615"/>
    <d v="2023-12-23T00:00:00"/>
    <s v="CUST615"/>
    <x v="1"/>
    <x v="39"/>
    <x v="1"/>
    <x v="1"/>
    <n v="4"/>
    <n v="25"/>
    <n v="100"/>
    <s v="Normal"/>
    <s v="Low"/>
    <s v="Yes"/>
    <n v="20"/>
    <n v="80"/>
    <s v="Low"/>
    <s v="Normal"/>
    <s v="CUST615-61"/>
    <x v="6"/>
    <s v="Sat"/>
  </r>
  <r>
    <n v="616"/>
    <d v="2023-09-23T00:00:00"/>
    <s v="CUST616"/>
    <x v="0"/>
    <x v="41"/>
    <x v="1"/>
    <x v="1"/>
    <n v="2"/>
    <n v="50"/>
    <n v="100"/>
    <s v="Normal"/>
    <s v="Low"/>
    <s v="Yes"/>
    <n v="10"/>
    <n v="90"/>
    <s v="Low"/>
    <s v="Normal"/>
    <s v="CUST616-41"/>
    <x v="9"/>
    <s v="Sat"/>
  </r>
  <r>
    <n v="617"/>
    <d v="2023-08-26T00:00:00"/>
    <s v="CUST617"/>
    <x v="0"/>
    <x v="0"/>
    <x v="0"/>
    <x v="2"/>
    <n v="1"/>
    <n v="30"/>
    <n v="30"/>
    <s v="Normal"/>
    <s v="Low"/>
    <s v="Yes"/>
    <n v="4.5"/>
    <n v="25.5"/>
    <s v="Low"/>
    <s v="Normal"/>
    <s v="CUST617-34"/>
    <x v="8"/>
    <s v="Sat"/>
  </r>
  <r>
    <n v="618"/>
    <d v="2023-01-26T00:00:00"/>
    <s v="CUST618"/>
    <x v="1"/>
    <x v="15"/>
    <x v="0"/>
    <x v="0"/>
    <n v="1"/>
    <n v="50"/>
    <n v="50"/>
    <s v="Normal"/>
    <s v="Low"/>
    <s v="Yes"/>
    <n v="7.5"/>
    <n v="42.5"/>
    <s v="Low"/>
    <s v="Normal"/>
    <s v="CUST618-27"/>
    <x v="2"/>
    <s v="Thu"/>
  </r>
  <r>
    <n v="619"/>
    <d v="2023-10-13T00:00:00"/>
    <s v="CUST619"/>
    <x v="0"/>
    <x v="16"/>
    <x v="1"/>
    <x v="2"/>
    <n v="4"/>
    <n v="25"/>
    <n v="100"/>
    <s v="Normal"/>
    <s v="Low"/>
    <s v="Yes"/>
    <n v="10"/>
    <n v="90"/>
    <s v="Low"/>
    <s v="Normal"/>
    <s v="CUST619-47"/>
    <x v="7"/>
    <s v="Fri"/>
  </r>
  <r>
    <n v="620"/>
    <d v="2023-05-08T00:00:00"/>
    <s v="CUST620"/>
    <x v="0"/>
    <x v="7"/>
    <x v="1"/>
    <x v="2"/>
    <n v="3"/>
    <n v="25"/>
    <n v="75"/>
    <s v="Normal"/>
    <s v="Low"/>
    <s v="Yes"/>
    <n v="7.5"/>
    <n v="67.5"/>
    <s v="Low"/>
    <s v="Normal"/>
    <s v="CUST620-63"/>
    <x v="3"/>
    <s v="Mon"/>
  </r>
  <r>
    <n v="621"/>
    <d v="2023-03-04T00:00:00"/>
    <s v="CUST621"/>
    <x v="1"/>
    <x v="30"/>
    <x v="0"/>
    <x v="0"/>
    <n v="2"/>
    <n v="500"/>
    <n v="1000"/>
    <s v="High"/>
    <s v="High"/>
    <s v="Yes"/>
    <n v="200"/>
    <n v="800"/>
    <s v="High"/>
    <s v="Normal"/>
    <s v="CUST621-40"/>
    <x v="5"/>
    <s v="Sat"/>
  </r>
  <r>
    <n v="622"/>
    <d v="2023-08-22T00:00:00"/>
    <s v="CUST622"/>
    <x v="1"/>
    <x v="19"/>
    <x v="1"/>
    <x v="0"/>
    <n v="3"/>
    <n v="25"/>
    <n v="75"/>
    <s v="Normal"/>
    <s v="Low"/>
    <s v="Yes"/>
    <n v="15"/>
    <n v="60"/>
    <s v="Low"/>
    <s v="Normal"/>
    <s v="CUST622-49"/>
    <x v="8"/>
    <s v="Tue"/>
  </r>
  <r>
    <n v="623"/>
    <d v="2023-03-10T00:00:00"/>
    <s v="CUST623"/>
    <x v="0"/>
    <x v="0"/>
    <x v="0"/>
    <x v="1"/>
    <n v="3"/>
    <n v="50"/>
    <n v="150"/>
    <s v="Normal"/>
    <s v="Low"/>
    <s v="Yes"/>
    <n v="22.5"/>
    <n v="127.5"/>
    <s v="Low"/>
    <s v="Normal"/>
    <s v="CUST623-34"/>
    <x v="5"/>
    <s v="Fri"/>
  </r>
  <r>
    <n v="624"/>
    <d v="2023-08-26T00:00:00"/>
    <s v="CUST624"/>
    <x v="1"/>
    <x v="0"/>
    <x v="0"/>
    <x v="0"/>
    <n v="3"/>
    <n v="300"/>
    <n v="900"/>
    <s v="Normal"/>
    <s v="Medium"/>
    <s v="Yes"/>
    <n v="135"/>
    <n v="765"/>
    <s v="Low"/>
    <s v="Normal"/>
    <s v="CUST624-34"/>
    <x v="8"/>
    <s v="Sat"/>
  </r>
  <r>
    <n v="625"/>
    <d v="2023-12-08T00:00:00"/>
    <s v="CUST625"/>
    <x v="0"/>
    <x v="33"/>
    <x v="0"/>
    <x v="1"/>
    <n v="1"/>
    <n v="300"/>
    <n v="300"/>
    <s v="Normal"/>
    <s v="Low"/>
    <s v="Yes"/>
    <n v="45"/>
    <n v="255"/>
    <s v="Low"/>
    <s v="Normal"/>
    <s v="CUST625-31"/>
    <x v="6"/>
    <s v="Fri"/>
  </r>
  <r>
    <n v="626"/>
    <d v="2023-09-29T00:00:00"/>
    <s v="CUST626"/>
    <x v="1"/>
    <x v="1"/>
    <x v="0"/>
    <x v="1"/>
    <n v="4"/>
    <n v="500"/>
    <n v="2000"/>
    <s v="Critical"/>
    <s v="High"/>
    <s v="Yes"/>
    <n v="300"/>
    <n v="1700"/>
    <s v="High"/>
    <b v="1"/>
    <s v="CUST626-26"/>
    <x v="9"/>
    <s v="Fri"/>
  </r>
  <r>
    <n v="627"/>
    <d v="2023-10-14T00:00:00"/>
    <s v="CUST627"/>
    <x v="0"/>
    <x v="35"/>
    <x v="1"/>
    <x v="1"/>
    <n v="1"/>
    <n v="50"/>
    <n v="50"/>
    <s v="Normal"/>
    <s v="Low"/>
    <s v="Yes"/>
    <n v="5"/>
    <n v="45"/>
    <s v="Low"/>
    <s v="Normal"/>
    <s v="CUST627-57"/>
    <x v="7"/>
    <s v="Sat"/>
  </r>
  <r>
    <n v="628"/>
    <d v="2023-11-01T00:00:00"/>
    <s v="CUST628"/>
    <x v="1"/>
    <x v="14"/>
    <x v="2"/>
    <x v="0"/>
    <n v="4"/>
    <n v="50"/>
    <n v="200"/>
    <s v="Normal"/>
    <s v="Low"/>
    <s v="No"/>
    <n v="0"/>
    <n v="200"/>
    <s v="Low"/>
    <s v="Normal"/>
    <s v="CUST628-19"/>
    <x v="0"/>
    <s v="Wed"/>
  </r>
  <r>
    <n v="629"/>
    <d v="2023-06-12T00:00:00"/>
    <s v="CUST629"/>
    <x v="0"/>
    <x v="17"/>
    <x v="1"/>
    <x v="2"/>
    <n v="2"/>
    <n v="25"/>
    <n v="50"/>
    <s v="Normal"/>
    <s v="Low"/>
    <s v="Yes"/>
    <n v="5"/>
    <n v="45"/>
    <s v="Low"/>
    <s v="Normal"/>
    <s v="CUST629-62"/>
    <x v="10"/>
    <s v="Mon"/>
  </r>
  <r>
    <n v="630"/>
    <d v="2023-08-15T00:00:00"/>
    <s v="CUST630"/>
    <x v="0"/>
    <x v="13"/>
    <x v="1"/>
    <x v="1"/>
    <n v="2"/>
    <n v="50"/>
    <n v="100"/>
    <s v="Normal"/>
    <s v="Low"/>
    <s v="Yes"/>
    <n v="10"/>
    <n v="90"/>
    <s v="Low"/>
    <s v="Normal"/>
    <s v="CUST630-42"/>
    <x v="8"/>
    <s v="Tue"/>
  </r>
  <r>
    <n v="631"/>
    <d v="2023-11-10T00:00:00"/>
    <s v="CUST631"/>
    <x v="0"/>
    <x v="37"/>
    <x v="1"/>
    <x v="2"/>
    <n v="3"/>
    <n v="30"/>
    <n v="90"/>
    <s v="Normal"/>
    <s v="Low"/>
    <s v="Yes"/>
    <n v="9"/>
    <n v="81"/>
    <s v="Low"/>
    <s v="Normal"/>
    <s v="CUST631-56"/>
    <x v="0"/>
    <s v="Fri"/>
  </r>
  <r>
    <n v="632"/>
    <d v="2023-09-16T00:00:00"/>
    <s v="CUST632"/>
    <x v="1"/>
    <x v="1"/>
    <x v="0"/>
    <x v="2"/>
    <n v="4"/>
    <n v="25"/>
    <n v="100"/>
    <s v="Normal"/>
    <s v="Low"/>
    <s v="Yes"/>
    <n v="15"/>
    <n v="85"/>
    <s v="Low"/>
    <s v="Normal"/>
    <s v="CUST632-26"/>
    <x v="9"/>
    <s v="Sat"/>
  </r>
  <r>
    <n v="633"/>
    <d v="2023-08-07T00:00:00"/>
    <s v="CUST633"/>
    <x v="0"/>
    <x v="23"/>
    <x v="0"/>
    <x v="0"/>
    <n v="4"/>
    <n v="30"/>
    <n v="120"/>
    <s v="Normal"/>
    <s v="Low"/>
    <s v="Yes"/>
    <n v="12"/>
    <n v="108"/>
    <s v="Low"/>
    <s v="Normal"/>
    <s v="CUST633-39"/>
    <x v="8"/>
    <s v="Mon"/>
  </r>
  <r>
    <n v="634"/>
    <d v="2023-10-08T00:00:00"/>
    <s v="CUST634"/>
    <x v="0"/>
    <x v="43"/>
    <x v="1"/>
    <x v="2"/>
    <n v="4"/>
    <n v="500"/>
    <n v="2000"/>
    <s v="Critical"/>
    <s v="High"/>
    <s v="Yes"/>
    <n v="200"/>
    <n v="1800"/>
    <s v="High"/>
    <b v="1"/>
    <s v="CUST634-60"/>
    <x v="7"/>
    <s v="Sun"/>
  </r>
  <r>
    <n v="635"/>
    <d v="2023-08-17T00:00:00"/>
    <s v="CUST635"/>
    <x v="1"/>
    <x v="7"/>
    <x v="1"/>
    <x v="2"/>
    <n v="3"/>
    <n v="300"/>
    <n v="900"/>
    <s v="Normal"/>
    <s v="Medium"/>
    <s v="Yes"/>
    <n v="180"/>
    <n v="720"/>
    <s v="Low"/>
    <s v="Normal"/>
    <s v="CUST635-63"/>
    <x v="8"/>
    <s v="Thu"/>
  </r>
  <r>
    <n v="636"/>
    <d v="2023-03-23T00:00:00"/>
    <s v="CUST636"/>
    <x v="1"/>
    <x v="34"/>
    <x v="0"/>
    <x v="0"/>
    <n v="3"/>
    <n v="500"/>
    <n v="1500"/>
    <s v="Critical"/>
    <s v="High"/>
    <s v="No"/>
    <n v="0"/>
    <n v="1500"/>
    <s v="High"/>
    <b v="1"/>
    <s v="CUST636-21"/>
    <x v="5"/>
    <s v="Thu"/>
  </r>
  <r>
    <n v="637"/>
    <d v="2023-09-01T00:00:00"/>
    <s v="CUST637"/>
    <x v="0"/>
    <x v="22"/>
    <x v="1"/>
    <x v="1"/>
    <n v="2"/>
    <n v="300"/>
    <n v="600"/>
    <s v="Normal"/>
    <s v="Medium"/>
    <s v="Yes"/>
    <n v="60"/>
    <n v="540"/>
    <s v="Low"/>
    <s v="Normal"/>
    <s v="CUST637-43"/>
    <x v="9"/>
    <s v="Fri"/>
  </r>
  <r>
    <n v="638"/>
    <d v="2023-08-19T00:00:00"/>
    <s v="CUST638"/>
    <x v="0"/>
    <x v="6"/>
    <x v="1"/>
    <x v="2"/>
    <n v="1"/>
    <n v="500"/>
    <n v="500"/>
    <s v="Normal"/>
    <s v="Medium"/>
    <s v="Yes"/>
    <n v="50"/>
    <n v="450"/>
    <s v="Low"/>
    <s v="Normal"/>
    <s v="CUST638-46"/>
    <x v="8"/>
    <s v="Sat"/>
  </r>
  <r>
    <n v="639"/>
    <d v="2023-05-13T00:00:00"/>
    <s v="CUST639"/>
    <x v="1"/>
    <x v="17"/>
    <x v="1"/>
    <x v="0"/>
    <n v="4"/>
    <n v="50"/>
    <n v="200"/>
    <s v="Normal"/>
    <s v="Low"/>
    <s v="Yes"/>
    <n v="40"/>
    <n v="160"/>
    <s v="Low"/>
    <s v="Normal"/>
    <s v="CUST639-62"/>
    <x v="3"/>
    <s v="Sat"/>
  </r>
  <r>
    <n v="640"/>
    <d v="2023-05-07T00:00:00"/>
    <s v="CUST640"/>
    <x v="1"/>
    <x v="25"/>
    <x v="1"/>
    <x v="2"/>
    <n v="4"/>
    <n v="30"/>
    <n v="120"/>
    <s v="Normal"/>
    <s v="Low"/>
    <s v="Yes"/>
    <n v="24"/>
    <n v="96"/>
    <s v="Low"/>
    <s v="Normal"/>
    <s v="CUST640-51"/>
    <x v="3"/>
    <s v="Sun"/>
  </r>
  <r>
    <n v="641"/>
    <d v="2023-11-23T00:00:00"/>
    <s v="CUST641"/>
    <x v="1"/>
    <x v="30"/>
    <x v="0"/>
    <x v="2"/>
    <n v="1"/>
    <n v="300"/>
    <n v="300"/>
    <s v="Normal"/>
    <s v="Low"/>
    <s v="Yes"/>
    <n v="60"/>
    <n v="240"/>
    <s v="Low"/>
    <s v="Normal"/>
    <s v="CUST641-40"/>
    <x v="0"/>
    <s v="Thu"/>
  </r>
  <r>
    <n v="642"/>
    <d v="2023-05-22T00:00:00"/>
    <s v="CUST642"/>
    <x v="1"/>
    <x v="31"/>
    <x v="1"/>
    <x v="1"/>
    <n v="4"/>
    <n v="25"/>
    <n v="100"/>
    <s v="Normal"/>
    <s v="Low"/>
    <s v="Yes"/>
    <n v="20"/>
    <n v="80"/>
    <s v="Low"/>
    <s v="Normal"/>
    <s v="CUST642-54"/>
    <x v="3"/>
    <s v="Mon"/>
  </r>
  <r>
    <n v="643"/>
    <d v="2023-09-24T00:00:00"/>
    <s v="CUST643"/>
    <x v="1"/>
    <x v="20"/>
    <x v="0"/>
    <x v="2"/>
    <n v="3"/>
    <n v="30"/>
    <n v="90"/>
    <s v="Normal"/>
    <s v="Low"/>
    <s v="Yes"/>
    <n v="13.5"/>
    <n v="76.5"/>
    <s v="Low"/>
    <s v="Normal"/>
    <s v="CUST643-28"/>
    <x v="9"/>
    <s v="Sun"/>
  </r>
  <r>
    <n v="644"/>
    <d v="2023-09-06T00:00:00"/>
    <s v="CUST644"/>
    <x v="0"/>
    <x v="9"/>
    <x v="0"/>
    <x v="0"/>
    <n v="3"/>
    <n v="25"/>
    <n v="75"/>
    <s v="Normal"/>
    <s v="Low"/>
    <s v="No"/>
    <n v="0"/>
    <n v="75"/>
    <s v="Low"/>
    <s v="Normal"/>
    <s v="CUST644-23"/>
    <x v="9"/>
    <s v="Wed"/>
  </r>
  <r>
    <n v="645"/>
    <d v="2023-11-17T00:00:00"/>
    <s v="CUST645"/>
    <x v="1"/>
    <x v="10"/>
    <x v="0"/>
    <x v="2"/>
    <n v="4"/>
    <n v="30"/>
    <n v="120"/>
    <s v="Normal"/>
    <s v="Low"/>
    <s v="Yes"/>
    <n v="24"/>
    <n v="96"/>
    <s v="Low"/>
    <s v="Normal"/>
    <s v="CUST645-35"/>
    <x v="0"/>
    <s v="Fri"/>
  </r>
  <r>
    <n v="646"/>
    <d v="2023-05-03T00:00:00"/>
    <s v="CUST646"/>
    <x v="0"/>
    <x v="21"/>
    <x v="0"/>
    <x v="1"/>
    <n v="3"/>
    <n v="30"/>
    <n v="90"/>
    <s v="Normal"/>
    <s v="Low"/>
    <s v="Yes"/>
    <n v="9"/>
    <n v="81"/>
    <s v="Low"/>
    <s v="Normal"/>
    <s v="CUST646-38"/>
    <x v="3"/>
    <s v="Wed"/>
  </r>
  <r>
    <n v="647"/>
    <d v="2023-05-21T00:00:00"/>
    <s v="CUST647"/>
    <x v="0"/>
    <x v="42"/>
    <x v="1"/>
    <x v="1"/>
    <n v="3"/>
    <n v="500"/>
    <n v="1500"/>
    <s v="Critical"/>
    <s v="High"/>
    <s v="Yes"/>
    <n v="150"/>
    <n v="1350"/>
    <s v="High"/>
    <b v="1"/>
    <s v="CUST647-59"/>
    <x v="3"/>
    <s v="Sun"/>
  </r>
  <r>
    <n v="648"/>
    <d v="2023-08-14T00:00:00"/>
    <s v="CUST648"/>
    <x v="0"/>
    <x v="45"/>
    <x v="1"/>
    <x v="0"/>
    <n v="4"/>
    <n v="300"/>
    <n v="1200"/>
    <s v="High"/>
    <s v="High"/>
    <s v="Yes"/>
    <n v="120"/>
    <n v="1080"/>
    <s v="High"/>
    <s v="Normal"/>
    <s v="CUST648-53"/>
    <x v="8"/>
    <s v="Mon"/>
  </r>
  <r>
    <n v="649"/>
    <d v="2023-02-09T00:00:00"/>
    <s v="CUST649"/>
    <x v="1"/>
    <x v="26"/>
    <x v="1"/>
    <x v="1"/>
    <n v="2"/>
    <n v="300"/>
    <n v="600"/>
    <s v="Normal"/>
    <s v="Medium"/>
    <s v="Yes"/>
    <n v="120"/>
    <n v="480"/>
    <s v="Low"/>
    <s v="Normal"/>
    <s v="CUST649-58"/>
    <x v="1"/>
    <s v="Thu"/>
  </r>
  <r>
    <n v="650"/>
    <d v="2024-01-01T00:00:00"/>
    <s v="CUST650"/>
    <x v="0"/>
    <x v="28"/>
    <x v="1"/>
    <x v="2"/>
    <n v="1"/>
    <n v="30"/>
    <n v="30"/>
    <s v="Normal"/>
    <s v="Low"/>
    <s v="Yes"/>
    <n v="3"/>
    <n v="27"/>
    <s v="Low"/>
    <s v="Normal"/>
    <s v="CUST650-55"/>
    <x v="2"/>
    <s v="Mon"/>
  </r>
  <r>
    <n v="651"/>
    <d v="2023-05-27T00:00:00"/>
    <s v="CUST651"/>
    <x v="0"/>
    <x v="25"/>
    <x v="1"/>
    <x v="1"/>
    <n v="3"/>
    <n v="50"/>
    <n v="150"/>
    <s v="Normal"/>
    <s v="Low"/>
    <s v="Yes"/>
    <n v="15"/>
    <n v="135"/>
    <s v="Low"/>
    <s v="Normal"/>
    <s v="CUST651-51"/>
    <x v="3"/>
    <s v="Sat"/>
  </r>
  <r>
    <n v="652"/>
    <d v="2023-05-01T00:00:00"/>
    <s v="CUST652"/>
    <x v="1"/>
    <x v="0"/>
    <x v="0"/>
    <x v="0"/>
    <n v="2"/>
    <n v="50"/>
    <n v="100"/>
    <s v="Normal"/>
    <s v="Low"/>
    <s v="Yes"/>
    <n v="15"/>
    <n v="85"/>
    <s v="Low"/>
    <s v="Normal"/>
    <s v="CUST652-34"/>
    <x v="3"/>
    <s v="Mon"/>
  </r>
  <r>
    <n v="653"/>
    <d v="2023-05-20T00:00:00"/>
    <s v="CUST653"/>
    <x v="0"/>
    <x v="31"/>
    <x v="1"/>
    <x v="1"/>
    <n v="3"/>
    <n v="25"/>
    <n v="75"/>
    <s v="Normal"/>
    <s v="Low"/>
    <s v="Yes"/>
    <n v="7.5"/>
    <n v="67.5"/>
    <s v="Low"/>
    <s v="Normal"/>
    <s v="CUST653-54"/>
    <x v="3"/>
    <s v="Sat"/>
  </r>
  <r>
    <n v="654"/>
    <d v="2023-06-21T00:00:00"/>
    <s v="CUST654"/>
    <x v="0"/>
    <x v="13"/>
    <x v="1"/>
    <x v="1"/>
    <n v="3"/>
    <n v="25"/>
    <n v="75"/>
    <s v="Normal"/>
    <s v="Low"/>
    <s v="Yes"/>
    <n v="7.5"/>
    <n v="67.5"/>
    <s v="Low"/>
    <s v="Normal"/>
    <s v="CUST654-42"/>
    <x v="10"/>
    <s v="Wed"/>
  </r>
  <r>
    <n v="655"/>
    <d v="2023-06-13T00:00:00"/>
    <s v="CUST655"/>
    <x v="1"/>
    <x v="28"/>
    <x v="1"/>
    <x v="1"/>
    <n v="1"/>
    <n v="500"/>
    <n v="500"/>
    <s v="Normal"/>
    <s v="Medium"/>
    <s v="Yes"/>
    <n v="100"/>
    <n v="400"/>
    <s v="Low"/>
    <s v="Normal"/>
    <s v="CUST655-55"/>
    <x v="10"/>
    <s v="Tue"/>
  </r>
  <r>
    <n v="656"/>
    <d v="2023-10-04T00:00:00"/>
    <s v="CUST656"/>
    <x v="0"/>
    <x v="38"/>
    <x v="0"/>
    <x v="0"/>
    <n v="3"/>
    <n v="30"/>
    <n v="90"/>
    <s v="Normal"/>
    <s v="Low"/>
    <s v="Yes"/>
    <n v="13.5"/>
    <n v="76.5"/>
    <s v="Low"/>
    <s v="Normal"/>
    <s v="CUST656-29"/>
    <x v="7"/>
    <s v="Wed"/>
  </r>
  <r>
    <n v="657"/>
    <d v="2023-02-11T00:00:00"/>
    <s v="CUST657"/>
    <x v="0"/>
    <x v="30"/>
    <x v="0"/>
    <x v="1"/>
    <n v="1"/>
    <n v="25"/>
    <n v="25"/>
    <s v="Normal"/>
    <s v="Low"/>
    <s v="Yes"/>
    <n v="2.5"/>
    <n v="22.5"/>
    <s v="Low"/>
    <s v="Normal"/>
    <s v="CUST657-40"/>
    <x v="1"/>
    <s v="Sat"/>
  </r>
  <r>
    <n v="658"/>
    <d v="2023-03-12T00:00:00"/>
    <s v="CUST658"/>
    <x v="0"/>
    <x v="42"/>
    <x v="1"/>
    <x v="1"/>
    <n v="1"/>
    <n v="25"/>
    <n v="25"/>
    <s v="Normal"/>
    <s v="Low"/>
    <s v="Yes"/>
    <n v="2.5"/>
    <n v="22.5"/>
    <s v="Low"/>
    <s v="Normal"/>
    <s v="CUST658-59"/>
    <x v="5"/>
    <s v="Sun"/>
  </r>
  <r>
    <n v="659"/>
    <d v="2023-03-19T00:00:00"/>
    <s v="CUST659"/>
    <x v="1"/>
    <x v="23"/>
    <x v="0"/>
    <x v="2"/>
    <n v="1"/>
    <n v="30"/>
    <n v="30"/>
    <s v="Normal"/>
    <s v="Low"/>
    <s v="Yes"/>
    <n v="6"/>
    <n v="24"/>
    <s v="Low"/>
    <s v="Normal"/>
    <s v="CUST659-39"/>
    <x v="5"/>
    <s v="Sun"/>
  </r>
  <r>
    <n v="660"/>
    <d v="2023-04-29T00:00:00"/>
    <s v="CUST660"/>
    <x v="1"/>
    <x v="21"/>
    <x v="0"/>
    <x v="0"/>
    <n v="2"/>
    <n v="500"/>
    <n v="1000"/>
    <s v="High"/>
    <s v="High"/>
    <s v="Yes"/>
    <n v="200"/>
    <n v="800"/>
    <s v="High"/>
    <s v="Normal"/>
    <s v="CUST660-38"/>
    <x v="4"/>
    <s v="Sat"/>
  </r>
  <r>
    <n v="661"/>
    <d v="2023-07-16T00:00:00"/>
    <s v="CUST661"/>
    <x v="1"/>
    <x v="24"/>
    <x v="1"/>
    <x v="1"/>
    <n v="4"/>
    <n v="25"/>
    <n v="100"/>
    <s v="Normal"/>
    <s v="Low"/>
    <s v="Yes"/>
    <n v="20"/>
    <n v="80"/>
    <s v="Low"/>
    <s v="Normal"/>
    <s v="CUST661-44"/>
    <x v="11"/>
    <s v="Sun"/>
  </r>
  <r>
    <n v="662"/>
    <d v="2023-12-22T00:00:00"/>
    <s v="CUST662"/>
    <x v="0"/>
    <x v="27"/>
    <x v="1"/>
    <x v="0"/>
    <n v="2"/>
    <n v="500"/>
    <n v="1000"/>
    <s v="High"/>
    <s v="High"/>
    <s v="Yes"/>
    <n v="100"/>
    <n v="900"/>
    <s v="High"/>
    <s v="Normal"/>
    <s v="CUST662-48"/>
    <x v="6"/>
    <s v="Fri"/>
  </r>
  <r>
    <n v="663"/>
    <d v="2023-03-20T00:00:00"/>
    <s v="CUST663"/>
    <x v="0"/>
    <x v="9"/>
    <x v="0"/>
    <x v="1"/>
    <n v="4"/>
    <n v="300"/>
    <n v="1200"/>
    <s v="High"/>
    <s v="High"/>
    <s v="No"/>
    <n v="0"/>
    <n v="1200"/>
    <s v="High"/>
    <s v="Normal"/>
    <s v="CUST663-23"/>
    <x v="5"/>
    <s v="Mon"/>
  </r>
  <r>
    <n v="664"/>
    <d v="2023-12-28T00:00:00"/>
    <s v="CUST664"/>
    <x v="1"/>
    <x v="24"/>
    <x v="1"/>
    <x v="1"/>
    <n v="4"/>
    <n v="500"/>
    <n v="2000"/>
    <s v="Critical"/>
    <s v="High"/>
    <s v="Yes"/>
    <n v="400"/>
    <n v="1600"/>
    <s v="High"/>
    <b v="1"/>
    <s v="CUST664-44"/>
    <x v="6"/>
    <s v="Thu"/>
  </r>
  <r>
    <n v="665"/>
    <d v="2023-04-20T00:00:00"/>
    <s v="CUST665"/>
    <x v="0"/>
    <x v="35"/>
    <x v="1"/>
    <x v="1"/>
    <n v="1"/>
    <n v="50"/>
    <n v="50"/>
    <s v="Normal"/>
    <s v="Low"/>
    <s v="Yes"/>
    <n v="5"/>
    <n v="45"/>
    <s v="Low"/>
    <s v="Normal"/>
    <s v="CUST665-57"/>
    <x v="4"/>
    <s v="Thu"/>
  </r>
  <r>
    <n v="666"/>
    <d v="2023-02-02T00:00:00"/>
    <s v="CUST666"/>
    <x v="0"/>
    <x v="25"/>
    <x v="1"/>
    <x v="2"/>
    <n v="3"/>
    <n v="50"/>
    <n v="150"/>
    <s v="Normal"/>
    <s v="Low"/>
    <s v="Yes"/>
    <n v="15"/>
    <n v="135"/>
    <s v="Low"/>
    <s v="Normal"/>
    <s v="CUST666-51"/>
    <x v="1"/>
    <s v="Thu"/>
  </r>
  <r>
    <n v="667"/>
    <d v="2023-08-01T00:00:00"/>
    <s v="CUST667"/>
    <x v="1"/>
    <x v="38"/>
    <x v="0"/>
    <x v="2"/>
    <n v="1"/>
    <n v="500"/>
    <n v="500"/>
    <s v="Normal"/>
    <s v="Medium"/>
    <s v="Yes"/>
    <n v="75"/>
    <n v="425"/>
    <s v="Low"/>
    <s v="Normal"/>
    <s v="CUST667-29"/>
    <x v="8"/>
    <s v="Tue"/>
  </r>
  <r>
    <n v="668"/>
    <d v="2023-07-28T00:00:00"/>
    <s v="CUST668"/>
    <x v="1"/>
    <x v="17"/>
    <x v="1"/>
    <x v="2"/>
    <n v="3"/>
    <n v="50"/>
    <n v="150"/>
    <s v="Normal"/>
    <s v="Low"/>
    <s v="Yes"/>
    <n v="30"/>
    <n v="120"/>
    <s v="Low"/>
    <s v="Normal"/>
    <s v="CUST668-62"/>
    <x v="11"/>
    <s v="Fri"/>
  </r>
  <r>
    <n v="669"/>
    <d v="2023-06-19T00:00:00"/>
    <s v="CUST669"/>
    <x v="0"/>
    <x v="46"/>
    <x v="0"/>
    <x v="0"/>
    <n v="4"/>
    <n v="300"/>
    <n v="1200"/>
    <s v="High"/>
    <s v="High"/>
    <s v="No"/>
    <n v="0"/>
    <n v="1200"/>
    <s v="High"/>
    <s v="Normal"/>
    <s v="CUST669-24"/>
    <x v="10"/>
    <s v="Mon"/>
  </r>
  <r>
    <n v="670"/>
    <d v="2023-10-05T00:00:00"/>
    <s v="CUST670"/>
    <x v="0"/>
    <x v="15"/>
    <x v="0"/>
    <x v="0"/>
    <n v="1"/>
    <n v="30"/>
    <n v="30"/>
    <s v="Normal"/>
    <s v="Low"/>
    <s v="Yes"/>
    <n v="4.5"/>
    <n v="25.5"/>
    <s v="Low"/>
    <s v="Normal"/>
    <s v="CUST670-27"/>
    <x v="7"/>
    <s v="Thu"/>
  </r>
  <r>
    <n v="671"/>
    <d v="2023-08-27T00:00:00"/>
    <s v="CUST671"/>
    <x v="0"/>
    <x v="17"/>
    <x v="1"/>
    <x v="2"/>
    <n v="3"/>
    <n v="50"/>
    <n v="150"/>
    <s v="Normal"/>
    <s v="Low"/>
    <s v="Yes"/>
    <n v="15"/>
    <n v="135"/>
    <s v="Low"/>
    <s v="Normal"/>
    <s v="CUST671-62"/>
    <x v="8"/>
    <s v="Sun"/>
  </r>
  <r>
    <n v="672"/>
    <d v="2023-08-01T00:00:00"/>
    <s v="CUST672"/>
    <x v="1"/>
    <x v="0"/>
    <x v="0"/>
    <x v="0"/>
    <n v="2"/>
    <n v="50"/>
    <n v="100"/>
    <s v="Normal"/>
    <s v="Low"/>
    <s v="Yes"/>
    <n v="15"/>
    <n v="85"/>
    <s v="Low"/>
    <s v="Normal"/>
    <s v="CUST672-34"/>
    <x v="8"/>
    <s v="Tue"/>
  </r>
  <r>
    <n v="673"/>
    <d v="2023-02-01T00:00:00"/>
    <s v="CUST673"/>
    <x v="1"/>
    <x v="22"/>
    <x v="1"/>
    <x v="1"/>
    <n v="3"/>
    <n v="500"/>
    <n v="1500"/>
    <s v="Critical"/>
    <s v="High"/>
    <s v="Yes"/>
    <n v="300"/>
    <n v="1200"/>
    <s v="High"/>
    <b v="1"/>
    <s v="CUST673-43"/>
    <x v="1"/>
    <s v="Wed"/>
  </r>
  <r>
    <n v="674"/>
    <d v="2023-04-16T00:00:00"/>
    <s v="CUST674"/>
    <x v="1"/>
    <x v="21"/>
    <x v="0"/>
    <x v="1"/>
    <n v="1"/>
    <n v="300"/>
    <n v="300"/>
    <s v="Normal"/>
    <s v="Low"/>
    <s v="Yes"/>
    <n v="60"/>
    <n v="240"/>
    <s v="Low"/>
    <s v="Normal"/>
    <s v="CUST674-38"/>
    <x v="4"/>
    <s v="Sun"/>
  </r>
  <r>
    <n v="675"/>
    <d v="2023-08-04T00:00:00"/>
    <s v="CUST675"/>
    <x v="1"/>
    <x v="5"/>
    <x v="1"/>
    <x v="1"/>
    <n v="2"/>
    <n v="30"/>
    <n v="60"/>
    <s v="Normal"/>
    <s v="Low"/>
    <s v="Yes"/>
    <n v="12"/>
    <n v="48"/>
    <s v="Low"/>
    <s v="Normal"/>
    <s v="CUST675-45"/>
    <x v="8"/>
    <s v="Fri"/>
  </r>
  <r>
    <n v="676"/>
    <d v="2023-07-19T00:00:00"/>
    <s v="CUST676"/>
    <x v="0"/>
    <x v="7"/>
    <x v="1"/>
    <x v="2"/>
    <n v="3"/>
    <n v="500"/>
    <n v="1500"/>
    <s v="Critical"/>
    <s v="High"/>
    <s v="Yes"/>
    <n v="150"/>
    <n v="1350"/>
    <s v="High"/>
    <b v="1"/>
    <s v="CUST676-63"/>
    <x v="11"/>
    <s v="Wed"/>
  </r>
  <r>
    <n v="677"/>
    <d v="2023-10-27T00:00:00"/>
    <s v="CUST677"/>
    <x v="1"/>
    <x v="14"/>
    <x v="2"/>
    <x v="0"/>
    <n v="3"/>
    <n v="500"/>
    <n v="1500"/>
    <s v="Critical"/>
    <s v="High"/>
    <s v="No"/>
    <n v="0"/>
    <n v="1500"/>
    <s v="High"/>
    <b v="1"/>
    <s v="CUST677-19"/>
    <x v="7"/>
    <s v="Fri"/>
  </r>
  <r>
    <n v="678"/>
    <d v="2023-12-23T00:00:00"/>
    <s v="CUST678"/>
    <x v="1"/>
    <x v="43"/>
    <x v="1"/>
    <x v="2"/>
    <n v="3"/>
    <n v="300"/>
    <n v="900"/>
    <s v="Normal"/>
    <s v="Medium"/>
    <s v="Yes"/>
    <n v="180"/>
    <n v="720"/>
    <s v="Low"/>
    <s v="Normal"/>
    <s v="CUST678-60"/>
    <x v="6"/>
    <s v="Sat"/>
  </r>
  <r>
    <n v="679"/>
    <d v="2023-01-11T00:00:00"/>
    <s v="CUST679"/>
    <x v="1"/>
    <x v="18"/>
    <x v="2"/>
    <x v="0"/>
    <n v="3"/>
    <n v="30"/>
    <n v="90"/>
    <s v="Normal"/>
    <s v="Low"/>
    <s v="No"/>
    <n v="0"/>
    <n v="90"/>
    <s v="Low"/>
    <s v="Normal"/>
    <s v="CUST679-18"/>
    <x v="2"/>
    <s v="Wed"/>
  </r>
  <r>
    <n v="680"/>
    <d v="2023-10-22T00:00:00"/>
    <s v="CUST680"/>
    <x v="1"/>
    <x v="45"/>
    <x v="1"/>
    <x v="1"/>
    <n v="3"/>
    <n v="300"/>
    <n v="900"/>
    <s v="Normal"/>
    <s v="Medium"/>
    <s v="Yes"/>
    <n v="180"/>
    <n v="720"/>
    <s v="Low"/>
    <s v="Normal"/>
    <s v="CUST680-53"/>
    <x v="7"/>
    <s v="Sun"/>
  </r>
  <r>
    <n v="681"/>
    <d v="2023-07-14T00:00:00"/>
    <s v="CUST681"/>
    <x v="1"/>
    <x v="22"/>
    <x v="1"/>
    <x v="2"/>
    <n v="2"/>
    <n v="30"/>
    <n v="60"/>
    <s v="Normal"/>
    <s v="Low"/>
    <s v="Yes"/>
    <n v="12"/>
    <n v="48"/>
    <s v="Low"/>
    <s v="Normal"/>
    <s v="CUST681-43"/>
    <x v="11"/>
    <s v="Fri"/>
  </r>
  <r>
    <n v="682"/>
    <d v="2023-09-02T00:00:00"/>
    <s v="CUST682"/>
    <x v="0"/>
    <x v="6"/>
    <x v="1"/>
    <x v="0"/>
    <n v="4"/>
    <n v="300"/>
    <n v="1200"/>
    <s v="High"/>
    <s v="High"/>
    <s v="Yes"/>
    <n v="120"/>
    <n v="1080"/>
    <s v="High"/>
    <s v="Normal"/>
    <s v="CUST682-46"/>
    <x v="9"/>
    <s v="Sat"/>
  </r>
  <r>
    <n v="683"/>
    <d v="2023-01-04T00:00:00"/>
    <s v="CUST683"/>
    <x v="0"/>
    <x v="21"/>
    <x v="0"/>
    <x v="0"/>
    <n v="2"/>
    <n v="500"/>
    <n v="1000"/>
    <s v="High"/>
    <s v="High"/>
    <s v="Yes"/>
    <n v="100"/>
    <n v="900"/>
    <s v="High"/>
    <s v="Normal"/>
    <s v="CUST683-38"/>
    <x v="2"/>
    <s v="Wed"/>
  </r>
  <r>
    <n v="684"/>
    <d v="2023-06-30T00:00:00"/>
    <s v="CUST684"/>
    <x v="1"/>
    <x v="20"/>
    <x v="0"/>
    <x v="1"/>
    <n v="2"/>
    <n v="500"/>
    <n v="1000"/>
    <s v="High"/>
    <s v="High"/>
    <s v="Yes"/>
    <n v="150"/>
    <n v="850"/>
    <s v="High"/>
    <s v="Normal"/>
    <s v="CUST684-28"/>
    <x v="10"/>
    <s v="Fri"/>
  </r>
  <r>
    <n v="685"/>
    <d v="2023-06-02T00:00:00"/>
    <s v="CUST685"/>
    <x v="0"/>
    <x v="35"/>
    <x v="1"/>
    <x v="2"/>
    <n v="2"/>
    <n v="25"/>
    <n v="50"/>
    <s v="Normal"/>
    <s v="Low"/>
    <s v="Yes"/>
    <n v="5"/>
    <n v="45"/>
    <s v="Low"/>
    <s v="Normal"/>
    <s v="CUST685-57"/>
    <x v="10"/>
    <s v="Fri"/>
  </r>
  <r>
    <n v="686"/>
    <d v="2023-07-19T00:00:00"/>
    <s v="CUST686"/>
    <x v="1"/>
    <x v="20"/>
    <x v="0"/>
    <x v="2"/>
    <n v="4"/>
    <n v="50"/>
    <n v="200"/>
    <s v="Normal"/>
    <s v="Low"/>
    <s v="Yes"/>
    <n v="30"/>
    <n v="170"/>
    <s v="Low"/>
    <s v="Normal"/>
    <s v="CUST686-28"/>
    <x v="11"/>
    <s v="Wed"/>
  </r>
  <r>
    <n v="687"/>
    <d v="2023-08-03T00:00:00"/>
    <s v="CUST687"/>
    <x v="1"/>
    <x v="45"/>
    <x v="1"/>
    <x v="2"/>
    <n v="1"/>
    <n v="300"/>
    <n v="300"/>
    <s v="Normal"/>
    <s v="Low"/>
    <s v="Yes"/>
    <n v="60"/>
    <n v="240"/>
    <s v="Low"/>
    <s v="Normal"/>
    <s v="CUST687-53"/>
    <x v="8"/>
    <s v="Thu"/>
  </r>
  <r>
    <n v="688"/>
    <d v="2023-10-03T00:00:00"/>
    <s v="CUST688"/>
    <x v="0"/>
    <x v="37"/>
    <x v="1"/>
    <x v="1"/>
    <n v="4"/>
    <n v="25"/>
    <n v="100"/>
    <s v="Normal"/>
    <s v="Low"/>
    <s v="Yes"/>
    <n v="10"/>
    <n v="90"/>
    <s v="Low"/>
    <s v="Normal"/>
    <s v="CUST688-56"/>
    <x v="7"/>
    <s v="Tue"/>
  </r>
  <r>
    <n v="689"/>
    <d v="2023-10-07T00:00:00"/>
    <s v="CUST689"/>
    <x v="0"/>
    <x v="35"/>
    <x v="1"/>
    <x v="2"/>
    <n v="2"/>
    <n v="50"/>
    <n v="100"/>
    <s v="Normal"/>
    <s v="Low"/>
    <s v="Yes"/>
    <n v="10"/>
    <n v="90"/>
    <s v="Low"/>
    <s v="Normal"/>
    <s v="CUST689-57"/>
    <x v="7"/>
    <s v="Sat"/>
  </r>
  <r>
    <n v="690"/>
    <d v="2023-11-05T00:00:00"/>
    <s v="CUST690"/>
    <x v="1"/>
    <x v="8"/>
    <x v="1"/>
    <x v="1"/>
    <n v="3"/>
    <n v="300"/>
    <n v="900"/>
    <s v="Normal"/>
    <s v="Medium"/>
    <s v="Yes"/>
    <n v="180"/>
    <n v="720"/>
    <s v="Low"/>
    <s v="Normal"/>
    <s v="CUST690-52"/>
    <x v="0"/>
    <s v="Sun"/>
  </r>
  <r>
    <n v="691"/>
    <d v="2023-04-23T00:00:00"/>
    <s v="CUST691"/>
    <x v="1"/>
    <x v="25"/>
    <x v="1"/>
    <x v="1"/>
    <n v="3"/>
    <n v="30"/>
    <n v="90"/>
    <s v="Normal"/>
    <s v="Low"/>
    <s v="Yes"/>
    <n v="18"/>
    <n v="72"/>
    <s v="Low"/>
    <s v="Normal"/>
    <s v="CUST691-51"/>
    <x v="4"/>
    <s v="Sun"/>
  </r>
  <r>
    <n v="692"/>
    <d v="2023-09-07T00:00:00"/>
    <s v="CUST692"/>
    <x v="1"/>
    <x v="12"/>
    <x v="1"/>
    <x v="1"/>
    <n v="2"/>
    <n v="50"/>
    <n v="100"/>
    <s v="Normal"/>
    <s v="Low"/>
    <s v="Yes"/>
    <n v="20"/>
    <n v="80"/>
    <s v="Low"/>
    <s v="Normal"/>
    <s v="CUST692-64"/>
    <x v="9"/>
    <s v="Thu"/>
  </r>
  <r>
    <n v="693"/>
    <d v="2023-04-23T00:00:00"/>
    <s v="CUST693"/>
    <x v="0"/>
    <x v="41"/>
    <x v="1"/>
    <x v="0"/>
    <n v="3"/>
    <n v="500"/>
    <n v="1500"/>
    <s v="Critical"/>
    <s v="High"/>
    <s v="Yes"/>
    <n v="150"/>
    <n v="1350"/>
    <s v="High"/>
    <b v="1"/>
    <s v="CUST693-41"/>
    <x v="4"/>
    <s v="Sun"/>
  </r>
  <r>
    <n v="694"/>
    <d v="2023-05-20T00:00:00"/>
    <s v="CUST694"/>
    <x v="1"/>
    <x v="23"/>
    <x v="0"/>
    <x v="2"/>
    <n v="2"/>
    <n v="25"/>
    <n v="50"/>
    <s v="Normal"/>
    <s v="Low"/>
    <s v="Yes"/>
    <n v="10"/>
    <n v="40"/>
    <s v="Low"/>
    <s v="Normal"/>
    <s v="CUST694-39"/>
    <x v="3"/>
    <s v="Sat"/>
  </r>
  <r>
    <n v="695"/>
    <d v="2023-08-12T00:00:00"/>
    <s v="CUST695"/>
    <x v="1"/>
    <x v="11"/>
    <x v="0"/>
    <x v="2"/>
    <n v="3"/>
    <n v="50"/>
    <n v="150"/>
    <s v="Normal"/>
    <s v="Low"/>
    <s v="No"/>
    <n v="0"/>
    <n v="150"/>
    <s v="Low"/>
    <s v="Normal"/>
    <s v="CUST695-22"/>
    <x v="8"/>
    <s v="Sat"/>
  </r>
  <r>
    <n v="696"/>
    <d v="2023-09-06T00:00:00"/>
    <s v="CUST696"/>
    <x v="1"/>
    <x v="2"/>
    <x v="1"/>
    <x v="1"/>
    <n v="4"/>
    <n v="50"/>
    <n v="200"/>
    <s v="Normal"/>
    <s v="Low"/>
    <s v="Yes"/>
    <n v="40"/>
    <n v="160"/>
    <s v="Low"/>
    <s v="Normal"/>
    <s v="CUST696-50"/>
    <x v="9"/>
    <s v="Wed"/>
  </r>
  <r>
    <n v="697"/>
    <d v="2023-01-15T00:00:00"/>
    <s v="CUST697"/>
    <x v="0"/>
    <x v="45"/>
    <x v="1"/>
    <x v="1"/>
    <n v="1"/>
    <n v="500"/>
    <n v="500"/>
    <s v="Normal"/>
    <s v="Medium"/>
    <s v="Yes"/>
    <n v="50"/>
    <n v="450"/>
    <s v="Low"/>
    <s v="Normal"/>
    <s v="CUST697-53"/>
    <x v="2"/>
    <s v="Sun"/>
  </r>
  <r>
    <n v="698"/>
    <d v="2023-07-19T00:00:00"/>
    <s v="CUST698"/>
    <x v="1"/>
    <x v="12"/>
    <x v="1"/>
    <x v="2"/>
    <n v="1"/>
    <n v="300"/>
    <n v="300"/>
    <s v="Normal"/>
    <s v="Low"/>
    <s v="Yes"/>
    <n v="60"/>
    <n v="240"/>
    <s v="Low"/>
    <s v="Normal"/>
    <s v="CUST698-64"/>
    <x v="11"/>
    <s v="Wed"/>
  </r>
  <r>
    <n v="699"/>
    <d v="2023-06-22T00:00:00"/>
    <s v="CUST699"/>
    <x v="1"/>
    <x v="3"/>
    <x v="0"/>
    <x v="1"/>
    <n v="4"/>
    <n v="30"/>
    <n v="120"/>
    <s v="Normal"/>
    <s v="Low"/>
    <s v="Yes"/>
    <n v="24"/>
    <n v="96"/>
    <s v="Low"/>
    <s v="Normal"/>
    <s v="CUST699-37"/>
    <x v="10"/>
    <s v="Thu"/>
  </r>
  <r>
    <n v="700"/>
    <d v="2023-12-09T00:00:00"/>
    <s v="CUST700"/>
    <x v="0"/>
    <x v="32"/>
    <x v="0"/>
    <x v="2"/>
    <n v="4"/>
    <n v="500"/>
    <n v="2000"/>
    <s v="Critical"/>
    <s v="High"/>
    <s v="Yes"/>
    <n v="200"/>
    <n v="1800"/>
    <s v="High"/>
    <b v="1"/>
    <s v="CUST700-36"/>
    <x v="6"/>
    <s v="Sat"/>
  </r>
  <r>
    <n v="701"/>
    <d v="2023-12-14T00:00:00"/>
    <s v="CUST701"/>
    <x v="1"/>
    <x v="8"/>
    <x v="1"/>
    <x v="0"/>
    <n v="2"/>
    <n v="30"/>
    <n v="60"/>
    <s v="Normal"/>
    <s v="Low"/>
    <s v="Yes"/>
    <n v="12"/>
    <n v="48"/>
    <s v="Low"/>
    <s v="Normal"/>
    <s v="CUST701-52"/>
    <x v="6"/>
    <s v="Thu"/>
  </r>
  <r>
    <n v="702"/>
    <d v="2023-07-27T00:00:00"/>
    <s v="CUST702"/>
    <x v="1"/>
    <x v="43"/>
    <x v="1"/>
    <x v="1"/>
    <n v="2"/>
    <n v="300"/>
    <n v="600"/>
    <s v="Normal"/>
    <s v="Medium"/>
    <s v="Yes"/>
    <n v="120"/>
    <n v="480"/>
    <s v="Low"/>
    <s v="Normal"/>
    <s v="CUST702-60"/>
    <x v="11"/>
    <s v="Thu"/>
  </r>
  <r>
    <n v="703"/>
    <d v="2023-03-26T00:00:00"/>
    <s v="CUST703"/>
    <x v="0"/>
    <x v="0"/>
    <x v="0"/>
    <x v="2"/>
    <n v="2"/>
    <n v="50"/>
    <n v="100"/>
    <s v="Normal"/>
    <s v="Low"/>
    <s v="Yes"/>
    <n v="15"/>
    <n v="85"/>
    <s v="Low"/>
    <s v="Normal"/>
    <s v="CUST703-34"/>
    <x v="5"/>
    <s v="Sun"/>
  </r>
  <r>
    <n v="704"/>
    <d v="2023-08-28T00:00:00"/>
    <s v="CUST704"/>
    <x v="1"/>
    <x v="17"/>
    <x v="1"/>
    <x v="1"/>
    <n v="3"/>
    <n v="30"/>
    <n v="90"/>
    <s v="Normal"/>
    <s v="Low"/>
    <s v="Yes"/>
    <n v="18"/>
    <n v="72"/>
    <s v="Low"/>
    <s v="Normal"/>
    <s v="CUST704-62"/>
    <x v="8"/>
    <s v="Mon"/>
  </r>
  <r>
    <n v="705"/>
    <d v="2023-03-07T00:00:00"/>
    <s v="CUST705"/>
    <x v="0"/>
    <x v="43"/>
    <x v="1"/>
    <x v="2"/>
    <n v="2"/>
    <n v="25"/>
    <n v="50"/>
    <s v="Normal"/>
    <s v="Low"/>
    <s v="Yes"/>
    <n v="5"/>
    <n v="45"/>
    <s v="Low"/>
    <s v="Normal"/>
    <s v="CUST705-60"/>
    <x v="5"/>
    <s v="Tue"/>
  </r>
  <r>
    <n v="706"/>
    <d v="2023-11-15T00:00:00"/>
    <s v="CUST706"/>
    <x v="0"/>
    <x v="25"/>
    <x v="1"/>
    <x v="2"/>
    <n v="4"/>
    <n v="25"/>
    <n v="100"/>
    <s v="Normal"/>
    <s v="Low"/>
    <s v="Yes"/>
    <n v="10"/>
    <n v="90"/>
    <s v="Low"/>
    <s v="Normal"/>
    <s v="CUST706-51"/>
    <x v="0"/>
    <s v="Wed"/>
  </r>
  <r>
    <n v="707"/>
    <d v="2023-10-01T00:00:00"/>
    <s v="CUST707"/>
    <x v="1"/>
    <x v="1"/>
    <x v="0"/>
    <x v="1"/>
    <n v="1"/>
    <n v="500"/>
    <n v="500"/>
    <s v="Normal"/>
    <s v="Medium"/>
    <s v="Yes"/>
    <n v="75"/>
    <n v="425"/>
    <s v="Low"/>
    <s v="Normal"/>
    <s v="CUST707-26"/>
    <x v="7"/>
    <s v="Sun"/>
  </r>
  <r>
    <n v="708"/>
    <d v="2023-01-14T00:00:00"/>
    <s v="CUST708"/>
    <x v="1"/>
    <x v="22"/>
    <x v="1"/>
    <x v="0"/>
    <n v="3"/>
    <n v="300"/>
    <n v="900"/>
    <s v="Normal"/>
    <s v="Medium"/>
    <s v="Yes"/>
    <n v="180"/>
    <n v="720"/>
    <s v="Low"/>
    <s v="Normal"/>
    <s v="CUST708-43"/>
    <x v="2"/>
    <s v="Sat"/>
  </r>
  <r>
    <n v="709"/>
    <d v="2023-07-21T00:00:00"/>
    <s v="CUST709"/>
    <x v="1"/>
    <x v="14"/>
    <x v="2"/>
    <x v="2"/>
    <n v="2"/>
    <n v="500"/>
    <n v="1000"/>
    <s v="High"/>
    <s v="High"/>
    <s v="No"/>
    <n v="0"/>
    <n v="1000"/>
    <s v="High"/>
    <s v="Normal"/>
    <s v="CUST709-19"/>
    <x v="11"/>
    <s v="Fri"/>
  </r>
  <r>
    <n v="710"/>
    <d v="2023-10-31T00:00:00"/>
    <s v="CUST710"/>
    <x v="1"/>
    <x v="1"/>
    <x v="0"/>
    <x v="2"/>
    <n v="3"/>
    <n v="500"/>
    <n v="1500"/>
    <s v="Critical"/>
    <s v="High"/>
    <s v="Yes"/>
    <n v="225"/>
    <n v="1275"/>
    <s v="High"/>
    <b v="1"/>
    <s v="CUST710-26"/>
    <x v="7"/>
    <s v="Tue"/>
  </r>
  <r>
    <n v="711"/>
    <d v="2023-10-16T00:00:00"/>
    <s v="CUST711"/>
    <x v="0"/>
    <x v="1"/>
    <x v="0"/>
    <x v="2"/>
    <n v="3"/>
    <n v="500"/>
    <n v="1500"/>
    <s v="Critical"/>
    <s v="High"/>
    <s v="Yes"/>
    <n v="225"/>
    <n v="1275"/>
    <s v="High"/>
    <b v="1"/>
    <s v="CUST711-26"/>
    <x v="7"/>
    <s v="Mon"/>
  </r>
  <r>
    <n v="712"/>
    <d v="2023-12-06T00:00:00"/>
    <s v="CUST712"/>
    <x v="1"/>
    <x v="35"/>
    <x v="1"/>
    <x v="0"/>
    <n v="2"/>
    <n v="25"/>
    <n v="50"/>
    <s v="Normal"/>
    <s v="Low"/>
    <s v="Yes"/>
    <n v="10"/>
    <n v="40"/>
    <s v="Low"/>
    <s v="Normal"/>
    <s v="CUST712-57"/>
    <x v="6"/>
    <s v="Wed"/>
  </r>
  <r>
    <n v="713"/>
    <d v="2023-01-14T00:00:00"/>
    <s v="CUST713"/>
    <x v="0"/>
    <x v="0"/>
    <x v="0"/>
    <x v="0"/>
    <n v="3"/>
    <n v="25"/>
    <n v="75"/>
    <s v="Normal"/>
    <s v="Low"/>
    <s v="Yes"/>
    <n v="11.25"/>
    <n v="63.75"/>
    <s v="Low"/>
    <s v="Normal"/>
    <s v="CUST713-34"/>
    <x v="2"/>
    <s v="Sat"/>
  </r>
  <r>
    <n v="714"/>
    <d v="2023-02-12T00:00:00"/>
    <s v="CUST714"/>
    <x v="1"/>
    <x v="18"/>
    <x v="2"/>
    <x v="1"/>
    <n v="1"/>
    <n v="500"/>
    <n v="500"/>
    <s v="Normal"/>
    <s v="Medium"/>
    <s v="No"/>
    <n v="0"/>
    <n v="500"/>
    <s v="Low"/>
    <s v="Normal"/>
    <s v="CUST714-18"/>
    <x v="1"/>
    <s v="Sun"/>
  </r>
  <r>
    <n v="715"/>
    <d v="2023-11-26T00:00:00"/>
    <s v="CUST715"/>
    <x v="1"/>
    <x v="13"/>
    <x v="1"/>
    <x v="0"/>
    <n v="4"/>
    <n v="25"/>
    <n v="100"/>
    <s v="Normal"/>
    <s v="Low"/>
    <s v="Yes"/>
    <n v="20"/>
    <n v="80"/>
    <s v="Low"/>
    <s v="Normal"/>
    <s v="CUST715-42"/>
    <x v="0"/>
    <s v="Sun"/>
  </r>
  <r>
    <n v="716"/>
    <d v="2023-08-08T00:00:00"/>
    <s v="CUST716"/>
    <x v="1"/>
    <x v="43"/>
    <x v="1"/>
    <x v="1"/>
    <n v="4"/>
    <n v="300"/>
    <n v="1200"/>
    <s v="High"/>
    <s v="High"/>
    <s v="Yes"/>
    <n v="240"/>
    <n v="960"/>
    <s v="High"/>
    <s v="Normal"/>
    <s v="CUST716-60"/>
    <x v="8"/>
    <s v="Tue"/>
  </r>
  <r>
    <n v="717"/>
    <d v="2023-03-11T00:00:00"/>
    <s v="CUST717"/>
    <x v="0"/>
    <x v="35"/>
    <x v="1"/>
    <x v="1"/>
    <n v="1"/>
    <n v="500"/>
    <n v="500"/>
    <s v="Normal"/>
    <s v="Medium"/>
    <s v="Yes"/>
    <n v="50"/>
    <n v="450"/>
    <s v="Low"/>
    <s v="Normal"/>
    <s v="CUST717-57"/>
    <x v="5"/>
    <s v="Sat"/>
  </r>
  <r>
    <n v="718"/>
    <d v="2023-08-25T00:00:00"/>
    <s v="CUST718"/>
    <x v="1"/>
    <x v="42"/>
    <x v="1"/>
    <x v="0"/>
    <n v="3"/>
    <n v="25"/>
    <n v="75"/>
    <s v="Normal"/>
    <s v="Low"/>
    <s v="Yes"/>
    <n v="15"/>
    <n v="60"/>
    <s v="Low"/>
    <s v="Normal"/>
    <s v="CUST718-59"/>
    <x v="8"/>
    <s v="Fri"/>
  </r>
  <r>
    <n v="719"/>
    <d v="2023-04-04T00:00:00"/>
    <s v="CUST719"/>
    <x v="1"/>
    <x v="13"/>
    <x v="1"/>
    <x v="1"/>
    <n v="2"/>
    <n v="30"/>
    <n v="60"/>
    <s v="Normal"/>
    <s v="Low"/>
    <s v="Yes"/>
    <n v="12"/>
    <n v="48"/>
    <s v="Low"/>
    <s v="Normal"/>
    <s v="CUST719-42"/>
    <x v="4"/>
    <s v="Tue"/>
  </r>
  <r>
    <n v="720"/>
    <d v="2023-01-26T00:00:00"/>
    <s v="CUST720"/>
    <x v="1"/>
    <x v="37"/>
    <x v="1"/>
    <x v="0"/>
    <n v="3"/>
    <n v="500"/>
    <n v="1500"/>
    <s v="Critical"/>
    <s v="High"/>
    <s v="Yes"/>
    <n v="300"/>
    <n v="1200"/>
    <s v="High"/>
    <b v="1"/>
    <s v="CUST720-56"/>
    <x v="2"/>
    <s v="Thu"/>
  </r>
  <r>
    <n v="721"/>
    <d v="2023-05-14T00:00:00"/>
    <s v="CUST721"/>
    <x v="1"/>
    <x v="8"/>
    <x v="1"/>
    <x v="1"/>
    <n v="1"/>
    <n v="500"/>
    <n v="500"/>
    <s v="Normal"/>
    <s v="Medium"/>
    <s v="Yes"/>
    <n v="100"/>
    <n v="400"/>
    <s v="Low"/>
    <s v="Normal"/>
    <s v="CUST721-52"/>
    <x v="3"/>
    <s v="Sun"/>
  </r>
  <r>
    <n v="722"/>
    <d v="2023-07-14T00:00:00"/>
    <s v="CUST722"/>
    <x v="0"/>
    <x v="29"/>
    <x v="0"/>
    <x v="0"/>
    <n v="3"/>
    <n v="300"/>
    <n v="900"/>
    <s v="Normal"/>
    <s v="Medium"/>
    <s v="No"/>
    <n v="0"/>
    <n v="900"/>
    <s v="Low"/>
    <s v="Normal"/>
    <s v="CUST722-20"/>
    <x v="11"/>
    <s v="Fri"/>
  </r>
  <r>
    <n v="723"/>
    <d v="2023-06-17T00:00:00"/>
    <s v="CUST723"/>
    <x v="1"/>
    <x v="31"/>
    <x v="1"/>
    <x v="0"/>
    <n v="4"/>
    <n v="50"/>
    <n v="200"/>
    <s v="Normal"/>
    <s v="Low"/>
    <s v="Yes"/>
    <n v="40"/>
    <n v="160"/>
    <s v="Low"/>
    <s v="Normal"/>
    <s v="CUST723-54"/>
    <x v="10"/>
    <s v="Sat"/>
  </r>
  <r>
    <n v="724"/>
    <d v="2023-04-19T00:00:00"/>
    <s v="CUST724"/>
    <x v="0"/>
    <x v="39"/>
    <x v="1"/>
    <x v="1"/>
    <n v="3"/>
    <n v="50"/>
    <n v="150"/>
    <s v="Normal"/>
    <s v="Low"/>
    <s v="Yes"/>
    <n v="15"/>
    <n v="135"/>
    <s v="Low"/>
    <s v="Normal"/>
    <s v="CUST724-61"/>
    <x v="4"/>
    <s v="Wed"/>
  </r>
  <r>
    <n v="725"/>
    <d v="2023-08-21T00:00:00"/>
    <s v="CUST725"/>
    <x v="0"/>
    <x v="39"/>
    <x v="1"/>
    <x v="2"/>
    <n v="1"/>
    <n v="300"/>
    <n v="300"/>
    <s v="Normal"/>
    <s v="Low"/>
    <s v="Yes"/>
    <n v="30"/>
    <n v="270"/>
    <s v="Low"/>
    <s v="Normal"/>
    <s v="CUST725-61"/>
    <x v="8"/>
    <s v="Mon"/>
  </r>
  <r>
    <n v="726"/>
    <d v="2023-06-17T00:00:00"/>
    <s v="CUST726"/>
    <x v="0"/>
    <x v="16"/>
    <x v="1"/>
    <x v="1"/>
    <n v="4"/>
    <n v="300"/>
    <n v="1200"/>
    <s v="High"/>
    <s v="High"/>
    <s v="Yes"/>
    <n v="120"/>
    <n v="1080"/>
    <s v="High"/>
    <s v="Normal"/>
    <s v="CUST726-47"/>
    <x v="10"/>
    <s v="Sat"/>
  </r>
  <r>
    <n v="727"/>
    <d v="2023-06-22T00:00:00"/>
    <s v="CUST727"/>
    <x v="0"/>
    <x v="28"/>
    <x v="1"/>
    <x v="0"/>
    <n v="3"/>
    <n v="300"/>
    <n v="900"/>
    <s v="Normal"/>
    <s v="Medium"/>
    <s v="Yes"/>
    <n v="90"/>
    <n v="810"/>
    <s v="Low"/>
    <s v="Normal"/>
    <s v="CUST727-55"/>
    <x v="10"/>
    <s v="Thu"/>
  </r>
  <r>
    <n v="728"/>
    <d v="2023-07-14T00:00:00"/>
    <s v="CUST728"/>
    <x v="0"/>
    <x v="25"/>
    <x v="1"/>
    <x v="2"/>
    <n v="3"/>
    <n v="50"/>
    <n v="150"/>
    <s v="Normal"/>
    <s v="Low"/>
    <s v="Yes"/>
    <n v="15"/>
    <n v="135"/>
    <s v="Low"/>
    <s v="Normal"/>
    <s v="CUST728-51"/>
    <x v="11"/>
    <s v="Fri"/>
  </r>
  <r>
    <n v="729"/>
    <d v="2023-05-23T00:00:00"/>
    <s v="CUST729"/>
    <x v="0"/>
    <x v="38"/>
    <x v="0"/>
    <x v="1"/>
    <n v="4"/>
    <n v="300"/>
    <n v="1200"/>
    <s v="High"/>
    <s v="High"/>
    <s v="Yes"/>
    <n v="180"/>
    <n v="1020"/>
    <s v="High"/>
    <s v="Normal"/>
    <s v="CUST729-29"/>
    <x v="3"/>
    <s v="Tue"/>
  </r>
  <r>
    <n v="730"/>
    <d v="2023-08-04T00:00:00"/>
    <s v="CUST730"/>
    <x v="1"/>
    <x v="32"/>
    <x v="0"/>
    <x v="1"/>
    <n v="2"/>
    <n v="25"/>
    <n v="50"/>
    <s v="Normal"/>
    <s v="Low"/>
    <s v="Yes"/>
    <n v="10"/>
    <n v="40"/>
    <s v="Low"/>
    <s v="Normal"/>
    <s v="CUST730-36"/>
    <x v="8"/>
    <s v="Fri"/>
  </r>
  <r>
    <n v="731"/>
    <d v="2023-05-10T00:00:00"/>
    <s v="CUST731"/>
    <x v="0"/>
    <x v="31"/>
    <x v="1"/>
    <x v="1"/>
    <n v="4"/>
    <n v="500"/>
    <n v="2000"/>
    <s v="Critical"/>
    <s v="High"/>
    <s v="Yes"/>
    <n v="200"/>
    <n v="1800"/>
    <s v="High"/>
    <b v="1"/>
    <s v="CUST731-54"/>
    <x v="3"/>
    <s v="Wed"/>
  </r>
  <r>
    <n v="732"/>
    <d v="2023-02-11T00:00:00"/>
    <s v="CUST732"/>
    <x v="0"/>
    <x v="39"/>
    <x v="1"/>
    <x v="2"/>
    <n v="2"/>
    <n v="500"/>
    <n v="1000"/>
    <s v="High"/>
    <s v="High"/>
    <s v="Yes"/>
    <n v="100"/>
    <n v="900"/>
    <s v="High"/>
    <s v="Normal"/>
    <s v="CUST732-61"/>
    <x v="1"/>
    <s v="Sat"/>
  </r>
  <r>
    <n v="733"/>
    <d v="2023-08-29T00:00:00"/>
    <s v="CUST733"/>
    <x v="0"/>
    <x v="0"/>
    <x v="0"/>
    <x v="0"/>
    <n v="1"/>
    <n v="30"/>
    <n v="30"/>
    <s v="Normal"/>
    <s v="Low"/>
    <s v="Yes"/>
    <n v="4.5"/>
    <n v="25.5"/>
    <s v="Low"/>
    <s v="Normal"/>
    <s v="CUST733-34"/>
    <x v="8"/>
    <s v="Tue"/>
  </r>
  <r>
    <n v="734"/>
    <d v="2023-01-10T00:00:00"/>
    <s v="CUST734"/>
    <x v="1"/>
    <x v="15"/>
    <x v="0"/>
    <x v="1"/>
    <n v="1"/>
    <n v="30"/>
    <n v="30"/>
    <s v="Normal"/>
    <s v="Low"/>
    <s v="Yes"/>
    <n v="4.5"/>
    <n v="25.5"/>
    <s v="Low"/>
    <s v="Normal"/>
    <s v="CUST734-27"/>
    <x v="2"/>
    <s v="Tue"/>
  </r>
  <r>
    <n v="735"/>
    <d v="2023-10-04T00:00:00"/>
    <s v="CUST735"/>
    <x v="1"/>
    <x v="12"/>
    <x v="1"/>
    <x v="1"/>
    <n v="4"/>
    <n v="500"/>
    <n v="2000"/>
    <s v="Critical"/>
    <s v="High"/>
    <s v="Yes"/>
    <n v="400"/>
    <n v="1600"/>
    <s v="High"/>
    <b v="1"/>
    <s v="CUST735-64"/>
    <x v="7"/>
    <s v="Wed"/>
  </r>
  <r>
    <n v="736"/>
    <d v="2023-01-27T00:00:00"/>
    <s v="CUST736"/>
    <x v="0"/>
    <x v="38"/>
    <x v="0"/>
    <x v="1"/>
    <n v="4"/>
    <n v="25"/>
    <n v="100"/>
    <s v="Normal"/>
    <s v="Low"/>
    <s v="Yes"/>
    <n v="15"/>
    <n v="85"/>
    <s v="Low"/>
    <s v="Normal"/>
    <s v="CUST736-29"/>
    <x v="2"/>
    <s v="Fri"/>
  </r>
  <r>
    <n v="737"/>
    <d v="2023-06-29T00:00:00"/>
    <s v="CUST737"/>
    <x v="1"/>
    <x v="44"/>
    <x v="0"/>
    <x v="1"/>
    <n v="1"/>
    <n v="50"/>
    <n v="50"/>
    <s v="Normal"/>
    <s v="Low"/>
    <s v="Yes"/>
    <n v="7.5"/>
    <n v="42.5"/>
    <s v="Low"/>
    <s v="Normal"/>
    <s v="CUST737-33"/>
    <x v="10"/>
    <s v="Thu"/>
  </r>
  <r>
    <n v="738"/>
    <d v="2023-04-25T00:00:00"/>
    <s v="CUST738"/>
    <x v="0"/>
    <x v="41"/>
    <x v="1"/>
    <x v="1"/>
    <n v="2"/>
    <n v="50"/>
    <n v="100"/>
    <s v="Normal"/>
    <s v="Low"/>
    <s v="Yes"/>
    <n v="10"/>
    <n v="90"/>
    <s v="Low"/>
    <s v="Normal"/>
    <s v="CUST738-41"/>
    <x v="4"/>
    <s v="Tue"/>
  </r>
  <r>
    <n v="739"/>
    <d v="2023-11-29T00:00:00"/>
    <s v="CUST739"/>
    <x v="0"/>
    <x v="32"/>
    <x v="0"/>
    <x v="0"/>
    <n v="1"/>
    <n v="25"/>
    <n v="25"/>
    <s v="Normal"/>
    <s v="Low"/>
    <s v="Yes"/>
    <n v="2.5"/>
    <n v="22.5"/>
    <s v="Low"/>
    <s v="Normal"/>
    <s v="CUST739-36"/>
    <x v="0"/>
    <s v="Wed"/>
  </r>
  <r>
    <n v="740"/>
    <d v="2023-02-05T00:00:00"/>
    <s v="CUST740"/>
    <x v="1"/>
    <x v="36"/>
    <x v="0"/>
    <x v="0"/>
    <n v="4"/>
    <n v="50"/>
    <n v="200"/>
    <s v="Normal"/>
    <s v="Low"/>
    <s v="Yes"/>
    <n v="30"/>
    <n v="170"/>
    <s v="Low"/>
    <s v="Normal"/>
    <s v="CUST740-25"/>
    <x v="1"/>
    <s v="Sun"/>
  </r>
  <r>
    <n v="741"/>
    <d v="2023-11-30T00:00:00"/>
    <s v="CUST741"/>
    <x v="0"/>
    <x v="27"/>
    <x v="1"/>
    <x v="1"/>
    <n v="1"/>
    <n v="300"/>
    <n v="300"/>
    <s v="Normal"/>
    <s v="Low"/>
    <s v="Yes"/>
    <n v="30"/>
    <n v="270"/>
    <s v="Low"/>
    <s v="Normal"/>
    <s v="CUST741-48"/>
    <x v="0"/>
    <s v="Thu"/>
  </r>
  <r>
    <n v="742"/>
    <d v="2023-01-21T00:00:00"/>
    <s v="CUST742"/>
    <x v="1"/>
    <x v="21"/>
    <x v="0"/>
    <x v="2"/>
    <n v="4"/>
    <n v="500"/>
    <n v="2000"/>
    <s v="Critical"/>
    <s v="High"/>
    <s v="Yes"/>
    <n v="400"/>
    <n v="1600"/>
    <s v="High"/>
    <b v="1"/>
    <s v="CUST742-38"/>
    <x v="2"/>
    <s v="Sat"/>
  </r>
  <r>
    <n v="743"/>
    <d v="2023-01-16T00:00:00"/>
    <s v="CUST743"/>
    <x v="1"/>
    <x v="0"/>
    <x v="0"/>
    <x v="0"/>
    <n v="4"/>
    <n v="500"/>
    <n v="2000"/>
    <s v="Critical"/>
    <s v="High"/>
    <s v="Yes"/>
    <n v="300"/>
    <n v="1700"/>
    <s v="High"/>
    <b v="1"/>
    <s v="CUST743-34"/>
    <x v="2"/>
    <s v="Mon"/>
  </r>
  <r>
    <n v="744"/>
    <d v="2023-05-07T00:00:00"/>
    <s v="CUST744"/>
    <x v="0"/>
    <x v="30"/>
    <x v="0"/>
    <x v="2"/>
    <n v="1"/>
    <n v="25"/>
    <n v="25"/>
    <s v="Normal"/>
    <s v="Low"/>
    <s v="Yes"/>
    <n v="2.5"/>
    <n v="22.5"/>
    <s v="Low"/>
    <s v="Normal"/>
    <s v="CUST744-40"/>
    <x v="3"/>
    <s v="Sun"/>
  </r>
  <r>
    <n v="745"/>
    <d v="2023-04-13T00:00:00"/>
    <s v="CUST745"/>
    <x v="0"/>
    <x v="31"/>
    <x v="1"/>
    <x v="0"/>
    <n v="2"/>
    <n v="50"/>
    <n v="100"/>
    <s v="Normal"/>
    <s v="Low"/>
    <s v="Yes"/>
    <n v="10"/>
    <n v="90"/>
    <s v="Low"/>
    <s v="Normal"/>
    <s v="CUST745-54"/>
    <x v="4"/>
    <s v="Thu"/>
  </r>
  <r>
    <n v="746"/>
    <d v="2023-01-11T00:00:00"/>
    <s v="CUST746"/>
    <x v="1"/>
    <x v="44"/>
    <x v="0"/>
    <x v="1"/>
    <n v="3"/>
    <n v="30"/>
    <n v="90"/>
    <s v="Normal"/>
    <s v="Low"/>
    <s v="Yes"/>
    <n v="13.5"/>
    <n v="76.5"/>
    <s v="Low"/>
    <s v="Normal"/>
    <s v="CUST746-33"/>
    <x v="2"/>
    <s v="Wed"/>
  </r>
  <r>
    <n v="747"/>
    <d v="2023-11-15T00:00:00"/>
    <s v="CUST747"/>
    <x v="0"/>
    <x v="9"/>
    <x v="0"/>
    <x v="0"/>
    <n v="1"/>
    <n v="30"/>
    <n v="30"/>
    <s v="Normal"/>
    <s v="Low"/>
    <s v="No"/>
    <n v="0"/>
    <n v="30"/>
    <s v="Low"/>
    <s v="Normal"/>
    <s v="CUST747-23"/>
    <x v="0"/>
    <s v="Wed"/>
  </r>
  <r>
    <n v="748"/>
    <d v="2023-03-20T00:00:00"/>
    <s v="CUST748"/>
    <x v="0"/>
    <x v="36"/>
    <x v="0"/>
    <x v="1"/>
    <n v="3"/>
    <n v="50"/>
    <n v="150"/>
    <s v="Normal"/>
    <s v="Low"/>
    <s v="Yes"/>
    <n v="22.5"/>
    <n v="127.5"/>
    <s v="Low"/>
    <s v="Normal"/>
    <s v="CUST748-25"/>
    <x v="5"/>
    <s v="Mon"/>
  </r>
  <r>
    <n v="749"/>
    <d v="2023-05-03T00:00:00"/>
    <s v="CUST749"/>
    <x v="0"/>
    <x v="13"/>
    <x v="1"/>
    <x v="0"/>
    <n v="1"/>
    <n v="30"/>
    <n v="30"/>
    <s v="Normal"/>
    <s v="Low"/>
    <s v="Yes"/>
    <n v="3"/>
    <n v="27"/>
    <s v="Low"/>
    <s v="Normal"/>
    <s v="CUST749-42"/>
    <x v="3"/>
    <s v="Wed"/>
  </r>
  <r>
    <n v="750"/>
    <d v="2023-03-06T00:00:00"/>
    <s v="CUST750"/>
    <x v="1"/>
    <x v="10"/>
    <x v="0"/>
    <x v="1"/>
    <n v="3"/>
    <n v="25"/>
    <n v="75"/>
    <s v="Normal"/>
    <s v="Low"/>
    <s v="Yes"/>
    <n v="15"/>
    <n v="60"/>
    <s v="Low"/>
    <s v="Normal"/>
    <s v="CUST750-35"/>
    <x v="5"/>
    <s v="Mon"/>
  </r>
  <r>
    <n v="751"/>
    <d v="2023-08-31T00:00:00"/>
    <s v="CUST751"/>
    <x v="1"/>
    <x v="13"/>
    <x v="1"/>
    <x v="1"/>
    <n v="2"/>
    <n v="25"/>
    <n v="50"/>
    <s v="Normal"/>
    <s v="Low"/>
    <s v="Yes"/>
    <n v="10"/>
    <n v="40"/>
    <s v="Low"/>
    <s v="Normal"/>
    <s v="CUST751-42"/>
    <x v="8"/>
    <s v="Thu"/>
  </r>
  <r>
    <n v="752"/>
    <d v="2023-12-09T00:00:00"/>
    <s v="CUST752"/>
    <x v="0"/>
    <x v="38"/>
    <x v="0"/>
    <x v="1"/>
    <n v="2"/>
    <n v="50"/>
    <n v="100"/>
    <s v="Normal"/>
    <s v="Low"/>
    <s v="Yes"/>
    <n v="15"/>
    <n v="85"/>
    <s v="Low"/>
    <s v="Normal"/>
    <s v="CUST752-29"/>
    <x v="6"/>
    <s v="Sat"/>
  </r>
  <r>
    <n v="753"/>
    <d v="2023-02-28T00:00:00"/>
    <s v="CUST753"/>
    <x v="1"/>
    <x v="40"/>
    <x v="0"/>
    <x v="1"/>
    <n v="1"/>
    <n v="30"/>
    <n v="30"/>
    <s v="Normal"/>
    <s v="Low"/>
    <s v="Yes"/>
    <n v="4.5"/>
    <n v="25.5"/>
    <s v="Low"/>
    <s v="Normal"/>
    <s v="CUST753-32"/>
    <x v="1"/>
    <s v="Tue"/>
  </r>
  <r>
    <n v="754"/>
    <d v="2023-10-16T00:00:00"/>
    <s v="CUST754"/>
    <x v="1"/>
    <x v="22"/>
    <x v="1"/>
    <x v="2"/>
    <n v="4"/>
    <n v="25"/>
    <n v="100"/>
    <s v="Normal"/>
    <s v="Low"/>
    <s v="Yes"/>
    <n v="20"/>
    <n v="80"/>
    <s v="Low"/>
    <s v="Normal"/>
    <s v="CUST754-43"/>
    <x v="7"/>
    <s v="Mon"/>
  </r>
  <r>
    <n v="755"/>
    <d v="2023-04-22T00:00:00"/>
    <s v="CUST755"/>
    <x v="1"/>
    <x v="26"/>
    <x v="1"/>
    <x v="1"/>
    <n v="3"/>
    <n v="25"/>
    <n v="75"/>
    <s v="Normal"/>
    <s v="Low"/>
    <s v="Yes"/>
    <n v="15"/>
    <n v="60"/>
    <s v="Low"/>
    <s v="Normal"/>
    <s v="CUST755-58"/>
    <x v="4"/>
    <s v="Sat"/>
  </r>
  <r>
    <n v="756"/>
    <d v="2023-08-27T00:00:00"/>
    <s v="CUST756"/>
    <x v="1"/>
    <x v="17"/>
    <x v="1"/>
    <x v="2"/>
    <n v="4"/>
    <n v="300"/>
    <n v="1200"/>
    <s v="High"/>
    <s v="High"/>
    <s v="Yes"/>
    <n v="240"/>
    <n v="960"/>
    <s v="High"/>
    <s v="Normal"/>
    <s v="CUST756-62"/>
    <x v="8"/>
    <s v="Sun"/>
  </r>
  <r>
    <n v="757"/>
    <d v="2023-12-25T00:00:00"/>
    <s v="CUST757"/>
    <x v="1"/>
    <x v="22"/>
    <x v="1"/>
    <x v="2"/>
    <n v="4"/>
    <n v="300"/>
    <n v="1200"/>
    <s v="High"/>
    <s v="High"/>
    <s v="Yes"/>
    <n v="240"/>
    <n v="960"/>
    <s v="High"/>
    <s v="Normal"/>
    <s v="CUST757-43"/>
    <x v="6"/>
    <s v="Mon"/>
  </r>
  <r>
    <n v="758"/>
    <d v="2023-05-12T00:00:00"/>
    <s v="CUST758"/>
    <x v="0"/>
    <x v="12"/>
    <x v="1"/>
    <x v="1"/>
    <n v="4"/>
    <n v="25"/>
    <n v="100"/>
    <s v="Normal"/>
    <s v="Low"/>
    <s v="Yes"/>
    <n v="10"/>
    <n v="90"/>
    <s v="Low"/>
    <s v="Normal"/>
    <s v="CUST758-64"/>
    <x v="3"/>
    <s v="Fri"/>
  </r>
  <r>
    <n v="759"/>
    <d v="2023-07-08T00:00:00"/>
    <s v="CUST759"/>
    <x v="0"/>
    <x v="19"/>
    <x v="1"/>
    <x v="2"/>
    <n v="2"/>
    <n v="50"/>
    <n v="100"/>
    <s v="Normal"/>
    <s v="Low"/>
    <s v="Yes"/>
    <n v="10"/>
    <n v="90"/>
    <s v="Low"/>
    <s v="Normal"/>
    <s v="CUST759-49"/>
    <x v="11"/>
    <s v="Sat"/>
  </r>
  <r>
    <n v="760"/>
    <d v="2023-03-27T00:00:00"/>
    <s v="CUST760"/>
    <x v="0"/>
    <x v="15"/>
    <x v="0"/>
    <x v="0"/>
    <n v="1"/>
    <n v="500"/>
    <n v="500"/>
    <s v="Normal"/>
    <s v="Medium"/>
    <s v="Yes"/>
    <n v="75"/>
    <n v="425"/>
    <s v="Low"/>
    <s v="Normal"/>
    <s v="CUST760-27"/>
    <x v="5"/>
    <s v="Mon"/>
  </r>
  <r>
    <n v="761"/>
    <d v="2023-11-07T00:00:00"/>
    <s v="CUST761"/>
    <x v="1"/>
    <x v="44"/>
    <x v="0"/>
    <x v="1"/>
    <n v="1"/>
    <n v="500"/>
    <n v="500"/>
    <s v="Normal"/>
    <s v="Medium"/>
    <s v="Yes"/>
    <n v="75"/>
    <n v="425"/>
    <s v="Low"/>
    <s v="Normal"/>
    <s v="CUST761-33"/>
    <x v="0"/>
    <s v="Tue"/>
  </r>
  <r>
    <n v="762"/>
    <d v="2023-11-07T00:00:00"/>
    <s v="CUST762"/>
    <x v="1"/>
    <x v="46"/>
    <x v="0"/>
    <x v="2"/>
    <n v="2"/>
    <n v="25"/>
    <n v="50"/>
    <s v="Normal"/>
    <s v="Low"/>
    <s v="No"/>
    <n v="0"/>
    <n v="50"/>
    <s v="Low"/>
    <s v="Normal"/>
    <s v="CUST762-24"/>
    <x v="0"/>
    <s v="Tue"/>
  </r>
  <r>
    <n v="763"/>
    <d v="2023-02-28T00:00:00"/>
    <s v="CUST763"/>
    <x v="0"/>
    <x v="0"/>
    <x v="0"/>
    <x v="1"/>
    <n v="2"/>
    <n v="25"/>
    <n v="50"/>
    <s v="Normal"/>
    <s v="Low"/>
    <s v="Yes"/>
    <n v="7.5"/>
    <n v="42.5"/>
    <s v="Low"/>
    <s v="Normal"/>
    <s v="CUST763-34"/>
    <x v="1"/>
    <s v="Tue"/>
  </r>
  <r>
    <n v="764"/>
    <d v="2023-03-25T00:00:00"/>
    <s v="CUST764"/>
    <x v="1"/>
    <x v="30"/>
    <x v="0"/>
    <x v="1"/>
    <n v="1"/>
    <n v="25"/>
    <n v="25"/>
    <s v="Normal"/>
    <s v="Low"/>
    <s v="Yes"/>
    <n v="5"/>
    <n v="20"/>
    <s v="Low"/>
    <s v="Normal"/>
    <s v="CUST764-40"/>
    <x v="5"/>
    <s v="Sat"/>
  </r>
  <r>
    <n v="765"/>
    <d v="2023-06-09T00:00:00"/>
    <s v="CUST765"/>
    <x v="0"/>
    <x v="22"/>
    <x v="1"/>
    <x v="1"/>
    <n v="4"/>
    <n v="50"/>
    <n v="200"/>
    <s v="Normal"/>
    <s v="Low"/>
    <s v="Yes"/>
    <n v="20"/>
    <n v="180"/>
    <s v="Low"/>
    <s v="Normal"/>
    <s v="CUST765-43"/>
    <x v="10"/>
    <s v="Fri"/>
  </r>
  <r>
    <n v="766"/>
    <d v="2023-02-25T00:00:00"/>
    <s v="CUST766"/>
    <x v="0"/>
    <x v="21"/>
    <x v="0"/>
    <x v="2"/>
    <n v="3"/>
    <n v="300"/>
    <n v="900"/>
    <s v="Normal"/>
    <s v="Medium"/>
    <s v="Yes"/>
    <n v="90"/>
    <n v="810"/>
    <s v="Low"/>
    <s v="Normal"/>
    <s v="CUST766-38"/>
    <x v="1"/>
    <s v="Sat"/>
  </r>
  <r>
    <n v="767"/>
    <d v="2023-10-24T00:00:00"/>
    <s v="CUST767"/>
    <x v="0"/>
    <x v="23"/>
    <x v="0"/>
    <x v="0"/>
    <n v="3"/>
    <n v="25"/>
    <n v="75"/>
    <s v="Normal"/>
    <s v="Low"/>
    <s v="Yes"/>
    <n v="7.5"/>
    <n v="67.5"/>
    <s v="Low"/>
    <s v="Normal"/>
    <s v="CUST767-39"/>
    <x v="7"/>
    <s v="Tue"/>
  </r>
  <r>
    <n v="768"/>
    <d v="2023-01-14T00:00:00"/>
    <s v="CUST768"/>
    <x v="1"/>
    <x v="46"/>
    <x v="0"/>
    <x v="0"/>
    <n v="3"/>
    <n v="25"/>
    <n v="75"/>
    <s v="Normal"/>
    <s v="Low"/>
    <s v="No"/>
    <n v="0"/>
    <n v="75"/>
    <s v="Low"/>
    <s v="Normal"/>
    <s v="CUST768-24"/>
    <x v="2"/>
    <s v="Sat"/>
  </r>
  <r>
    <n v="769"/>
    <d v="2023-06-09T00:00:00"/>
    <s v="CUST769"/>
    <x v="1"/>
    <x v="33"/>
    <x v="0"/>
    <x v="2"/>
    <n v="4"/>
    <n v="30"/>
    <n v="120"/>
    <s v="Normal"/>
    <s v="Low"/>
    <s v="Yes"/>
    <n v="18"/>
    <n v="102"/>
    <s v="Low"/>
    <s v="Normal"/>
    <s v="CUST769-31"/>
    <x v="10"/>
    <s v="Fri"/>
  </r>
  <r>
    <n v="770"/>
    <d v="2023-10-22T00:00:00"/>
    <s v="CUST770"/>
    <x v="0"/>
    <x v="40"/>
    <x v="0"/>
    <x v="1"/>
    <n v="1"/>
    <n v="50"/>
    <n v="50"/>
    <s v="Normal"/>
    <s v="Low"/>
    <s v="Yes"/>
    <n v="7.5"/>
    <n v="42.5"/>
    <s v="Low"/>
    <s v="Normal"/>
    <s v="CUST770-32"/>
    <x v="7"/>
    <s v="Sun"/>
  </r>
  <r>
    <n v="771"/>
    <d v="2023-12-13T00:00:00"/>
    <s v="CUST771"/>
    <x v="0"/>
    <x v="46"/>
    <x v="0"/>
    <x v="2"/>
    <n v="2"/>
    <n v="25"/>
    <n v="50"/>
    <s v="Normal"/>
    <s v="Low"/>
    <s v="No"/>
    <n v="0"/>
    <n v="50"/>
    <s v="Low"/>
    <s v="Normal"/>
    <s v="CUST771-24"/>
    <x v="6"/>
    <s v="Wed"/>
  </r>
  <r>
    <n v="772"/>
    <d v="2023-07-12T00:00:00"/>
    <s v="CUST772"/>
    <x v="0"/>
    <x v="1"/>
    <x v="0"/>
    <x v="2"/>
    <n v="1"/>
    <n v="30"/>
    <n v="30"/>
    <s v="Normal"/>
    <s v="Low"/>
    <s v="Yes"/>
    <n v="4.5"/>
    <n v="25.5"/>
    <s v="Low"/>
    <s v="Normal"/>
    <s v="CUST772-26"/>
    <x v="11"/>
    <s v="Wed"/>
  </r>
  <r>
    <n v="773"/>
    <d v="2023-07-23T00:00:00"/>
    <s v="CUST773"/>
    <x v="0"/>
    <x v="36"/>
    <x v="0"/>
    <x v="2"/>
    <n v="4"/>
    <n v="500"/>
    <n v="2000"/>
    <s v="Critical"/>
    <s v="High"/>
    <s v="Yes"/>
    <n v="300"/>
    <n v="1700"/>
    <s v="High"/>
    <b v="1"/>
    <s v="CUST773-25"/>
    <x v="11"/>
    <s v="Sun"/>
  </r>
  <r>
    <n v="774"/>
    <d v="2023-04-12T00:00:00"/>
    <s v="CUST774"/>
    <x v="1"/>
    <x v="30"/>
    <x v="0"/>
    <x v="1"/>
    <n v="2"/>
    <n v="25"/>
    <n v="50"/>
    <s v="Normal"/>
    <s v="Low"/>
    <s v="Yes"/>
    <n v="10"/>
    <n v="40"/>
    <s v="Low"/>
    <s v="Normal"/>
    <s v="CUST774-40"/>
    <x v="4"/>
    <s v="Wed"/>
  </r>
  <r>
    <n v="775"/>
    <d v="2023-02-08T00:00:00"/>
    <s v="CUST775"/>
    <x v="1"/>
    <x v="6"/>
    <x v="1"/>
    <x v="2"/>
    <n v="4"/>
    <n v="25"/>
    <n v="100"/>
    <s v="Normal"/>
    <s v="Low"/>
    <s v="Yes"/>
    <n v="20"/>
    <n v="80"/>
    <s v="Low"/>
    <s v="Normal"/>
    <s v="CUST775-46"/>
    <x v="1"/>
    <s v="Wed"/>
  </r>
  <r>
    <n v="776"/>
    <d v="2023-10-31T00:00:00"/>
    <s v="CUST776"/>
    <x v="0"/>
    <x v="10"/>
    <x v="0"/>
    <x v="1"/>
    <n v="3"/>
    <n v="30"/>
    <n v="90"/>
    <s v="Normal"/>
    <s v="Low"/>
    <s v="Yes"/>
    <n v="9"/>
    <n v="81"/>
    <s v="Low"/>
    <s v="Normal"/>
    <s v="CUST776-35"/>
    <x v="7"/>
    <s v="Tue"/>
  </r>
  <r>
    <n v="777"/>
    <d v="2023-12-20T00:00:00"/>
    <s v="CUST777"/>
    <x v="0"/>
    <x v="27"/>
    <x v="1"/>
    <x v="2"/>
    <n v="3"/>
    <n v="50"/>
    <n v="150"/>
    <s v="Normal"/>
    <s v="Low"/>
    <s v="Yes"/>
    <n v="15"/>
    <n v="135"/>
    <s v="Low"/>
    <s v="Normal"/>
    <s v="CUST777-48"/>
    <x v="6"/>
    <s v="Wed"/>
  </r>
  <r>
    <n v="778"/>
    <d v="2023-11-18T00:00:00"/>
    <s v="CUST778"/>
    <x v="1"/>
    <x v="16"/>
    <x v="1"/>
    <x v="0"/>
    <n v="4"/>
    <n v="25"/>
    <n v="100"/>
    <s v="Normal"/>
    <s v="Low"/>
    <s v="Yes"/>
    <n v="20"/>
    <n v="80"/>
    <s v="Low"/>
    <s v="Normal"/>
    <s v="CUST778-47"/>
    <x v="0"/>
    <s v="Sat"/>
  </r>
  <r>
    <n v="779"/>
    <d v="2023-05-05T00:00:00"/>
    <s v="CUST779"/>
    <x v="1"/>
    <x v="37"/>
    <x v="1"/>
    <x v="2"/>
    <n v="2"/>
    <n v="500"/>
    <n v="1000"/>
    <s v="High"/>
    <s v="High"/>
    <s v="Yes"/>
    <n v="200"/>
    <n v="800"/>
    <s v="High"/>
    <s v="Normal"/>
    <s v="CUST779-56"/>
    <x v="3"/>
    <s v="Fri"/>
  </r>
  <r>
    <n v="780"/>
    <d v="2023-02-22T00:00:00"/>
    <s v="CUST780"/>
    <x v="0"/>
    <x v="8"/>
    <x v="1"/>
    <x v="2"/>
    <n v="2"/>
    <n v="25"/>
    <n v="50"/>
    <s v="Normal"/>
    <s v="Low"/>
    <s v="Yes"/>
    <n v="5"/>
    <n v="45"/>
    <s v="Low"/>
    <s v="Normal"/>
    <s v="CUST780-52"/>
    <x v="1"/>
    <s v="Wed"/>
  </r>
  <r>
    <n v="781"/>
    <d v="2023-12-23T00:00:00"/>
    <s v="CUST781"/>
    <x v="0"/>
    <x v="10"/>
    <x v="0"/>
    <x v="0"/>
    <n v="1"/>
    <n v="500"/>
    <n v="500"/>
    <s v="Normal"/>
    <s v="Medium"/>
    <s v="Yes"/>
    <n v="50"/>
    <n v="450"/>
    <s v="Low"/>
    <s v="Normal"/>
    <s v="CUST781-35"/>
    <x v="6"/>
    <s v="Sat"/>
  </r>
  <r>
    <n v="782"/>
    <d v="2023-06-04T00:00:00"/>
    <s v="CUST782"/>
    <x v="0"/>
    <x v="42"/>
    <x v="1"/>
    <x v="1"/>
    <n v="3"/>
    <n v="300"/>
    <n v="900"/>
    <s v="Normal"/>
    <s v="Medium"/>
    <s v="Yes"/>
    <n v="90"/>
    <n v="810"/>
    <s v="Low"/>
    <s v="Normal"/>
    <s v="CUST782-59"/>
    <x v="10"/>
    <s v="Sun"/>
  </r>
  <r>
    <n v="783"/>
    <d v="2023-12-17T00:00:00"/>
    <s v="CUST783"/>
    <x v="1"/>
    <x v="37"/>
    <x v="1"/>
    <x v="1"/>
    <n v="1"/>
    <n v="300"/>
    <n v="300"/>
    <s v="Normal"/>
    <s v="Low"/>
    <s v="Yes"/>
    <n v="60"/>
    <n v="240"/>
    <s v="Low"/>
    <s v="Normal"/>
    <s v="CUST783-56"/>
    <x v="6"/>
    <s v="Sun"/>
  </r>
  <r>
    <n v="784"/>
    <d v="2023-11-04T00:00:00"/>
    <s v="CUST784"/>
    <x v="1"/>
    <x v="0"/>
    <x v="0"/>
    <x v="2"/>
    <n v="1"/>
    <n v="500"/>
    <n v="500"/>
    <s v="Normal"/>
    <s v="Medium"/>
    <s v="Yes"/>
    <n v="75"/>
    <n v="425"/>
    <s v="Low"/>
    <s v="Normal"/>
    <s v="CUST784-34"/>
    <x v="0"/>
    <s v="Sat"/>
  </r>
  <r>
    <n v="785"/>
    <d v="2023-03-03T00:00:00"/>
    <s v="CUST785"/>
    <x v="1"/>
    <x v="33"/>
    <x v="0"/>
    <x v="0"/>
    <n v="4"/>
    <n v="50"/>
    <n v="200"/>
    <s v="Normal"/>
    <s v="Low"/>
    <s v="Yes"/>
    <n v="30"/>
    <n v="170"/>
    <s v="Low"/>
    <s v="Normal"/>
    <s v="CUST785-31"/>
    <x v="5"/>
    <s v="Fri"/>
  </r>
  <r>
    <n v="786"/>
    <d v="2023-10-17T00:00:00"/>
    <s v="CUST786"/>
    <x v="0"/>
    <x v="27"/>
    <x v="1"/>
    <x v="1"/>
    <n v="4"/>
    <n v="25"/>
    <n v="100"/>
    <s v="Normal"/>
    <s v="Low"/>
    <s v="Yes"/>
    <n v="10"/>
    <n v="90"/>
    <s v="Low"/>
    <s v="Normal"/>
    <s v="CUST786-48"/>
    <x v="7"/>
    <s v="Tue"/>
  </r>
  <r>
    <n v="787"/>
    <d v="2023-01-22T00:00:00"/>
    <s v="CUST787"/>
    <x v="0"/>
    <x v="41"/>
    <x v="1"/>
    <x v="2"/>
    <n v="1"/>
    <n v="25"/>
    <n v="25"/>
    <s v="Normal"/>
    <s v="Low"/>
    <s v="Yes"/>
    <n v="2.5"/>
    <n v="22.5"/>
    <s v="Low"/>
    <s v="Normal"/>
    <s v="CUST787-41"/>
    <x v="2"/>
    <s v="Sun"/>
  </r>
  <r>
    <n v="788"/>
    <d v="2023-06-27T00:00:00"/>
    <s v="CUST788"/>
    <x v="1"/>
    <x v="8"/>
    <x v="1"/>
    <x v="0"/>
    <n v="3"/>
    <n v="300"/>
    <n v="900"/>
    <s v="Normal"/>
    <s v="Medium"/>
    <s v="Yes"/>
    <n v="180"/>
    <n v="720"/>
    <s v="Low"/>
    <s v="Normal"/>
    <s v="CUST788-52"/>
    <x v="10"/>
    <s v="Tue"/>
  </r>
  <r>
    <n v="789"/>
    <d v="2023-09-30T00:00:00"/>
    <s v="CUST789"/>
    <x v="1"/>
    <x v="39"/>
    <x v="1"/>
    <x v="1"/>
    <n v="4"/>
    <n v="500"/>
    <n v="2000"/>
    <s v="Critical"/>
    <s v="High"/>
    <s v="Yes"/>
    <n v="400"/>
    <n v="1600"/>
    <s v="High"/>
    <b v="1"/>
    <s v="CUST789-61"/>
    <x v="9"/>
    <s v="Sat"/>
  </r>
  <r>
    <n v="790"/>
    <d v="2023-08-08T00:00:00"/>
    <s v="CUST790"/>
    <x v="0"/>
    <x v="17"/>
    <x v="1"/>
    <x v="1"/>
    <n v="1"/>
    <n v="25"/>
    <n v="25"/>
    <s v="Normal"/>
    <s v="Low"/>
    <s v="Yes"/>
    <n v="2.5"/>
    <n v="22.5"/>
    <s v="Low"/>
    <s v="Normal"/>
    <s v="CUST790-62"/>
    <x v="8"/>
    <s v="Tue"/>
  </r>
  <r>
    <n v="791"/>
    <d v="2023-12-05T00:00:00"/>
    <s v="CUST791"/>
    <x v="1"/>
    <x v="25"/>
    <x v="1"/>
    <x v="0"/>
    <n v="1"/>
    <n v="25"/>
    <n v="25"/>
    <s v="Normal"/>
    <s v="Low"/>
    <s v="Yes"/>
    <n v="5"/>
    <n v="20"/>
    <s v="Low"/>
    <s v="Normal"/>
    <s v="CUST791-51"/>
    <x v="6"/>
    <s v="Tue"/>
  </r>
  <r>
    <n v="792"/>
    <d v="2023-07-09T00:00:00"/>
    <s v="CUST792"/>
    <x v="1"/>
    <x v="29"/>
    <x v="0"/>
    <x v="0"/>
    <n v="1"/>
    <n v="50"/>
    <n v="50"/>
    <s v="Normal"/>
    <s v="Low"/>
    <s v="No"/>
    <n v="0"/>
    <n v="50"/>
    <s v="Low"/>
    <s v="Normal"/>
    <s v="CUST792-20"/>
    <x v="11"/>
    <s v="Sun"/>
  </r>
  <r>
    <n v="793"/>
    <d v="2023-02-05T00:00:00"/>
    <s v="CUST793"/>
    <x v="0"/>
    <x v="31"/>
    <x v="1"/>
    <x v="0"/>
    <n v="1"/>
    <n v="30"/>
    <n v="30"/>
    <s v="Normal"/>
    <s v="Low"/>
    <s v="Yes"/>
    <n v="3"/>
    <n v="27"/>
    <s v="Low"/>
    <s v="Normal"/>
    <s v="CUST793-54"/>
    <x v="1"/>
    <s v="Sun"/>
  </r>
  <r>
    <n v="794"/>
    <d v="2023-09-17T00:00:00"/>
    <s v="CUST794"/>
    <x v="1"/>
    <x v="43"/>
    <x v="1"/>
    <x v="0"/>
    <n v="1"/>
    <n v="300"/>
    <n v="300"/>
    <s v="Normal"/>
    <s v="Low"/>
    <s v="Yes"/>
    <n v="60"/>
    <n v="240"/>
    <s v="Low"/>
    <s v="Normal"/>
    <s v="CUST794-60"/>
    <x v="9"/>
    <s v="Sun"/>
  </r>
  <r>
    <n v="795"/>
    <d v="2023-11-28T00:00:00"/>
    <s v="CUST795"/>
    <x v="0"/>
    <x v="35"/>
    <x v="1"/>
    <x v="2"/>
    <n v="1"/>
    <n v="300"/>
    <n v="300"/>
    <s v="Normal"/>
    <s v="Low"/>
    <s v="Yes"/>
    <n v="30"/>
    <n v="270"/>
    <s v="Low"/>
    <s v="Normal"/>
    <s v="CUST795-57"/>
    <x v="0"/>
    <s v="Tue"/>
  </r>
  <r>
    <n v="796"/>
    <d v="2023-06-24T00:00:00"/>
    <s v="CUST796"/>
    <x v="0"/>
    <x v="22"/>
    <x v="1"/>
    <x v="0"/>
    <n v="4"/>
    <n v="30"/>
    <n v="120"/>
    <s v="Normal"/>
    <s v="Low"/>
    <s v="Yes"/>
    <n v="12"/>
    <n v="108"/>
    <s v="Low"/>
    <s v="Normal"/>
    <s v="CUST796-43"/>
    <x v="10"/>
    <s v="Sat"/>
  </r>
  <r>
    <n v="797"/>
    <d v="2023-01-07T00:00:00"/>
    <s v="CUST797"/>
    <x v="0"/>
    <x v="30"/>
    <x v="0"/>
    <x v="1"/>
    <n v="3"/>
    <n v="25"/>
    <n v="75"/>
    <s v="Normal"/>
    <s v="Low"/>
    <s v="Yes"/>
    <n v="7.5"/>
    <n v="67.5"/>
    <s v="Low"/>
    <s v="Normal"/>
    <s v="CUST797-40"/>
    <x v="2"/>
    <s v="Sat"/>
  </r>
  <r>
    <n v="798"/>
    <d v="2023-08-04T00:00:00"/>
    <s v="CUST798"/>
    <x v="0"/>
    <x v="39"/>
    <x v="1"/>
    <x v="1"/>
    <n v="1"/>
    <n v="50"/>
    <n v="50"/>
    <s v="Normal"/>
    <s v="Low"/>
    <s v="Yes"/>
    <n v="5"/>
    <n v="45"/>
    <s v="Low"/>
    <s v="Normal"/>
    <s v="CUST798-61"/>
    <x v="8"/>
    <s v="Fri"/>
  </r>
  <r>
    <n v="799"/>
    <d v="2023-09-08T00:00:00"/>
    <s v="CUST799"/>
    <x v="0"/>
    <x v="37"/>
    <x v="1"/>
    <x v="2"/>
    <n v="2"/>
    <n v="50"/>
    <n v="100"/>
    <s v="Normal"/>
    <s v="Low"/>
    <s v="Yes"/>
    <n v="10"/>
    <n v="90"/>
    <s v="Low"/>
    <s v="Normal"/>
    <s v="CUST799-56"/>
    <x v="9"/>
    <s v="Fri"/>
  </r>
  <r>
    <n v="800"/>
    <d v="2023-02-24T00:00:00"/>
    <s v="CUST800"/>
    <x v="0"/>
    <x v="40"/>
    <x v="0"/>
    <x v="1"/>
    <n v="4"/>
    <n v="300"/>
    <n v="1200"/>
    <s v="High"/>
    <s v="High"/>
    <s v="Yes"/>
    <n v="180"/>
    <n v="1020"/>
    <s v="High"/>
    <s v="Normal"/>
    <s v="CUST800-32"/>
    <x v="1"/>
    <s v="Fri"/>
  </r>
  <r>
    <n v="801"/>
    <d v="2023-08-10T00:00:00"/>
    <s v="CUST801"/>
    <x v="0"/>
    <x v="34"/>
    <x v="0"/>
    <x v="1"/>
    <n v="4"/>
    <n v="50"/>
    <n v="200"/>
    <s v="Normal"/>
    <s v="Low"/>
    <s v="No"/>
    <n v="0"/>
    <n v="200"/>
    <s v="Low"/>
    <s v="Normal"/>
    <s v="CUST801-21"/>
    <x v="8"/>
    <s v="Thu"/>
  </r>
  <r>
    <n v="802"/>
    <d v="2023-07-05T00:00:00"/>
    <s v="CUST802"/>
    <x v="1"/>
    <x v="6"/>
    <x v="1"/>
    <x v="0"/>
    <n v="1"/>
    <n v="30"/>
    <n v="30"/>
    <s v="Normal"/>
    <s v="Low"/>
    <s v="Yes"/>
    <n v="6"/>
    <n v="24"/>
    <s v="Low"/>
    <s v="Normal"/>
    <s v="CUST802-46"/>
    <x v="11"/>
    <s v="Wed"/>
  </r>
  <r>
    <n v="803"/>
    <d v="2023-11-22T00:00:00"/>
    <s v="CUST803"/>
    <x v="0"/>
    <x v="23"/>
    <x v="0"/>
    <x v="1"/>
    <n v="4"/>
    <n v="25"/>
    <n v="100"/>
    <s v="Normal"/>
    <s v="Low"/>
    <s v="Yes"/>
    <n v="10"/>
    <n v="90"/>
    <s v="Low"/>
    <s v="Normal"/>
    <s v="CUST803-39"/>
    <x v="0"/>
    <s v="Wed"/>
  </r>
  <r>
    <n v="804"/>
    <d v="2023-08-24T00:00:00"/>
    <s v="CUST804"/>
    <x v="0"/>
    <x v="13"/>
    <x v="1"/>
    <x v="2"/>
    <n v="1"/>
    <n v="30"/>
    <n v="30"/>
    <s v="Normal"/>
    <s v="Low"/>
    <s v="Yes"/>
    <n v="3"/>
    <n v="27"/>
    <s v="Low"/>
    <s v="Normal"/>
    <s v="CUST804-42"/>
    <x v="8"/>
    <s v="Thu"/>
  </r>
  <r>
    <n v="805"/>
    <d v="2023-12-29T00:00:00"/>
    <s v="CUST805"/>
    <x v="1"/>
    <x v="4"/>
    <x v="0"/>
    <x v="0"/>
    <n v="3"/>
    <n v="500"/>
    <n v="1500"/>
    <s v="Critical"/>
    <s v="High"/>
    <s v="Yes"/>
    <n v="225"/>
    <n v="1275"/>
    <s v="High"/>
    <b v="1"/>
    <s v="CUST805-30"/>
    <x v="6"/>
    <s v="Fri"/>
  </r>
  <r>
    <n v="806"/>
    <d v="2023-03-20T00:00:00"/>
    <s v="CUST806"/>
    <x v="1"/>
    <x v="10"/>
    <x v="0"/>
    <x v="0"/>
    <n v="3"/>
    <n v="300"/>
    <n v="900"/>
    <s v="Normal"/>
    <s v="Medium"/>
    <s v="Yes"/>
    <n v="180"/>
    <n v="720"/>
    <s v="Low"/>
    <s v="Normal"/>
    <s v="CUST806-35"/>
    <x v="5"/>
    <s v="Mon"/>
  </r>
  <r>
    <n v="807"/>
    <d v="2023-08-11T00:00:00"/>
    <s v="CUST807"/>
    <x v="1"/>
    <x v="2"/>
    <x v="1"/>
    <x v="2"/>
    <n v="4"/>
    <n v="50"/>
    <n v="200"/>
    <s v="Normal"/>
    <s v="Low"/>
    <s v="Yes"/>
    <n v="40"/>
    <n v="160"/>
    <s v="Low"/>
    <s v="Normal"/>
    <s v="CUST807-50"/>
    <x v="8"/>
    <s v="Fri"/>
  </r>
  <r>
    <n v="808"/>
    <d v="2023-04-01T00:00:00"/>
    <s v="CUST808"/>
    <x v="0"/>
    <x v="44"/>
    <x v="0"/>
    <x v="0"/>
    <n v="4"/>
    <n v="500"/>
    <n v="2000"/>
    <s v="Critical"/>
    <s v="High"/>
    <s v="Yes"/>
    <n v="300"/>
    <n v="1700"/>
    <s v="High"/>
    <b v="1"/>
    <s v="CUST808-33"/>
    <x v="4"/>
    <s v="Sat"/>
  </r>
  <r>
    <n v="809"/>
    <d v="2023-09-25T00:00:00"/>
    <s v="CUST809"/>
    <x v="1"/>
    <x v="17"/>
    <x v="1"/>
    <x v="0"/>
    <n v="2"/>
    <n v="50"/>
    <n v="100"/>
    <s v="Normal"/>
    <s v="Low"/>
    <s v="Yes"/>
    <n v="20"/>
    <n v="80"/>
    <s v="Low"/>
    <s v="Normal"/>
    <s v="CUST809-62"/>
    <x v="9"/>
    <s v="Mon"/>
  </r>
  <r>
    <n v="810"/>
    <d v="2023-11-30T00:00:00"/>
    <s v="CUST810"/>
    <x v="0"/>
    <x v="42"/>
    <x v="1"/>
    <x v="2"/>
    <n v="4"/>
    <n v="25"/>
    <n v="100"/>
    <s v="Normal"/>
    <s v="Low"/>
    <s v="Yes"/>
    <n v="10"/>
    <n v="90"/>
    <s v="Low"/>
    <s v="Normal"/>
    <s v="CUST810-59"/>
    <x v="0"/>
    <s v="Thu"/>
  </r>
  <r>
    <n v="811"/>
    <d v="2023-05-19T00:00:00"/>
    <s v="CUST811"/>
    <x v="0"/>
    <x v="39"/>
    <x v="1"/>
    <x v="0"/>
    <n v="2"/>
    <n v="25"/>
    <n v="50"/>
    <s v="Normal"/>
    <s v="Low"/>
    <s v="Yes"/>
    <n v="5"/>
    <n v="45"/>
    <s v="Low"/>
    <s v="Normal"/>
    <s v="CUST811-61"/>
    <x v="3"/>
    <s v="Fri"/>
  </r>
  <r>
    <n v="812"/>
    <d v="2023-11-12T00:00:00"/>
    <s v="CUST812"/>
    <x v="0"/>
    <x v="14"/>
    <x v="2"/>
    <x v="2"/>
    <n v="3"/>
    <n v="25"/>
    <n v="75"/>
    <s v="Normal"/>
    <s v="Low"/>
    <s v="No"/>
    <n v="0"/>
    <n v="75"/>
    <s v="Low"/>
    <s v="Normal"/>
    <s v="CUST812-19"/>
    <x v="0"/>
    <s v="Sun"/>
  </r>
  <r>
    <n v="813"/>
    <d v="2023-10-03T00:00:00"/>
    <s v="CUST813"/>
    <x v="0"/>
    <x v="8"/>
    <x v="1"/>
    <x v="2"/>
    <n v="3"/>
    <n v="50"/>
    <n v="150"/>
    <s v="Normal"/>
    <s v="Low"/>
    <s v="Yes"/>
    <n v="15"/>
    <n v="135"/>
    <s v="Low"/>
    <s v="Normal"/>
    <s v="CUST813-52"/>
    <x v="7"/>
    <s v="Tue"/>
  </r>
  <r>
    <n v="814"/>
    <d v="2023-09-05T00:00:00"/>
    <s v="CUST814"/>
    <x v="1"/>
    <x v="42"/>
    <x v="1"/>
    <x v="1"/>
    <n v="1"/>
    <n v="500"/>
    <n v="500"/>
    <s v="Normal"/>
    <s v="Medium"/>
    <s v="Yes"/>
    <n v="100"/>
    <n v="400"/>
    <s v="Low"/>
    <s v="Normal"/>
    <s v="CUST814-59"/>
    <x v="9"/>
    <s v="Tue"/>
  </r>
  <r>
    <n v="815"/>
    <d v="2023-08-27T00:00:00"/>
    <s v="CUST815"/>
    <x v="1"/>
    <x v="25"/>
    <x v="1"/>
    <x v="1"/>
    <n v="3"/>
    <n v="25"/>
    <n v="75"/>
    <s v="Normal"/>
    <s v="Low"/>
    <s v="Yes"/>
    <n v="15"/>
    <n v="60"/>
    <s v="Low"/>
    <s v="Normal"/>
    <s v="CUST815-51"/>
    <x v="8"/>
    <s v="Sun"/>
  </r>
  <r>
    <n v="816"/>
    <d v="2023-08-12T00:00:00"/>
    <s v="CUST816"/>
    <x v="0"/>
    <x v="16"/>
    <x v="1"/>
    <x v="0"/>
    <n v="2"/>
    <n v="500"/>
    <n v="1000"/>
    <s v="High"/>
    <s v="High"/>
    <s v="Yes"/>
    <n v="100"/>
    <n v="900"/>
    <s v="High"/>
    <s v="Normal"/>
    <s v="CUST816-47"/>
    <x v="8"/>
    <s v="Sat"/>
  </r>
  <r>
    <n v="817"/>
    <d v="2023-10-31T00:00:00"/>
    <s v="CUST817"/>
    <x v="0"/>
    <x v="4"/>
    <x v="0"/>
    <x v="0"/>
    <n v="4"/>
    <n v="50"/>
    <n v="200"/>
    <s v="Normal"/>
    <s v="Low"/>
    <s v="Yes"/>
    <n v="30"/>
    <n v="170"/>
    <s v="Low"/>
    <s v="Normal"/>
    <s v="CUST817-30"/>
    <x v="7"/>
    <s v="Tue"/>
  </r>
  <r>
    <n v="818"/>
    <d v="2023-05-18T00:00:00"/>
    <s v="CUST818"/>
    <x v="0"/>
    <x v="4"/>
    <x v="0"/>
    <x v="2"/>
    <n v="1"/>
    <n v="500"/>
    <n v="500"/>
    <s v="Normal"/>
    <s v="Medium"/>
    <s v="Yes"/>
    <n v="75"/>
    <n v="425"/>
    <s v="Low"/>
    <s v="Normal"/>
    <s v="CUST818-30"/>
    <x v="3"/>
    <s v="Thu"/>
  </r>
  <r>
    <n v="819"/>
    <d v="2023-06-15T00:00:00"/>
    <s v="CUST819"/>
    <x v="1"/>
    <x v="10"/>
    <x v="0"/>
    <x v="0"/>
    <n v="2"/>
    <n v="50"/>
    <n v="100"/>
    <s v="Normal"/>
    <s v="Low"/>
    <s v="Yes"/>
    <n v="20"/>
    <n v="80"/>
    <s v="Low"/>
    <s v="Normal"/>
    <s v="CUST819-35"/>
    <x v="10"/>
    <s v="Thu"/>
  </r>
  <r>
    <n v="820"/>
    <d v="2023-05-06T00:00:00"/>
    <s v="CUST820"/>
    <x v="0"/>
    <x v="19"/>
    <x v="1"/>
    <x v="2"/>
    <n v="4"/>
    <n v="50"/>
    <n v="200"/>
    <s v="Normal"/>
    <s v="Low"/>
    <s v="Yes"/>
    <n v="20"/>
    <n v="180"/>
    <s v="Low"/>
    <s v="Normal"/>
    <s v="CUST820-49"/>
    <x v="3"/>
    <s v="Sat"/>
  </r>
  <r>
    <n v="821"/>
    <d v="2023-02-14T00:00:00"/>
    <s v="CUST821"/>
    <x v="0"/>
    <x v="19"/>
    <x v="1"/>
    <x v="2"/>
    <n v="1"/>
    <n v="300"/>
    <n v="300"/>
    <s v="Normal"/>
    <s v="Low"/>
    <s v="Yes"/>
    <n v="30"/>
    <n v="270"/>
    <s v="Low"/>
    <s v="Normal"/>
    <s v="CUST821-49"/>
    <x v="1"/>
    <s v="Tue"/>
  </r>
  <r>
    <n v="822"/>
    <d v="2023-05-23T00:00:00"/>
    <s v="CUST822"/>
    <x v="1"/>
    <x v="8"/>
    <x v="1"/>
    <x v="0"/>
    <n v="3"/>
    <n v="50"/>
    <n v="150"/>
    <s v="Normal"/>
    <s v="Low"/>
    <s v="Yes"/>
    <n v="30"/>
    <n v="120"/>
    <s v="Low"/>
    <s v="Normal"/>
    <s v="CUST822-52"/>
    <x v="3"/>
    <s v="Tue"/>
  </r>
  <r>
    <n v="823"/>
    <d v="2023-08-19T00:00:00"/>
    <s v="CUST823"/>
    <x v="1"/>
    <x v="37"/>
    <x v="1"/>
    <x v="2"/>
    <n v="2"/>
    <n v="50"/>
    <n v="100"/>
    <s v="Normal"/>
    <s v="Low"/>
    <s v="Yes"/>
    <n v="20"/>
    <n v="80"/>
    <s v="Low"/>
    <s v="Normal"/>
    <s v="CUST823-56"/>
    <x v="8"/>
    <s v="Sat"/>
  </r>
  <r>
    <n v="824"/>
    <d v="2023-05-05T00:00:00"/>
    <s v="CUST824"/>
    <x v="0"/>
    <x v="7"/>
    <x v="1"/>
    <x v="1"/>
    <n v="4"/>
    <n v="30"/>
    <n v="120"/>
    <s v="Normal"/>
    <s v="Low"/>
    <s v="Yes"/>
    <n v="12"/>
    <n v="108"/>
    <s v="Low"/>
    <s v="Normal"/>
    <s v="CUST824-63"/>
    <x v="3"/>
    <s v="Fri"/>
  </r>
  <r>
    <n v="825"/>
    <d v="2023-08-26T00:00:00"/>
    <s v="CUST825"/>
    <x v="1"/>
    <x v="6"/>
    <x v="1"/>
    <x v="0"/>
    <n v="1"/>
    <n v="25"/>
    <n v="25"/>
    <s v="Normal"/>
    <s v="Low"/>
    <s v="Yes"/>
    <n v="5"/>
    <n v="20"/>
    <s v="Low"/>
    <s v="Normal"/>
    <s v="CUST825-46"/>
    <x v="8"/>
    <s v="Sat"/>
  </r>
  <r>
    <n v="826"/>
    <d v="2023-10-19T00:00:00"/>
    <s v="CUST826"/>
    <x v="1"/>
    <x v="6"/>
    <x v="1"/>
    <x v="1"/>
    <n v="1"/>
    <n v="300"/>
    <n v="300"/>
    <s v="Normal"/>
    <s v="Low"/>
    <s v="Yes"/>
    <n v="60"/>
    <n v="240"/>
    <s v="Low"/>
    <s v="Normal"/>
    <s v="CUST826-46"/>
    <x v="7"/>
    <s v="Thu"/>
  </r>
  <r>
    <n v="827"/>
    <d v="2023-11-09T00:00:00"/>
    <s v="CUST827"/>
    <x v="0"/>
    <x v="39"/>
    <x v="1"/>
    <x v="0"/>
    <n v="3"/>
    <n v="300"/>
    <n v="900"/>
    <s v="Normal"/>
    <s v="Medium"/>
    <s v="Yes"/>
    <n v="90"/>
    <n v="810"/>
    <s v="Low"/>
    <s v="Normal"/>
    <s v="CUST827-61"/>
    <x v="0"/>
    <s v="Thu"/>
  </r>
  <r>
    <n v="828"/>
    <d v="2023-12-09T00:00:00"/>
    <s v="CUST828"/>
    <x v="1"/>
    <x v="44"/>
    <x v="0"/>
    <x v="2"/>
    <n v="4"/>
    <n v="300"/>
    <n v="1200"/>
    <s v="High"/>
    <s v="High"/>
    <s v="Yes"/>
    <n v="180"/>
    <n v="1020"/>
    <s v="High"/>
    <s v="Normal"/>
    <s v="CUST828-33"/>
    <x v="6"/>
    <s v="Sat"/>
  </r>
  <r>
    <n v="829"/>
    <d v="2023-07-14T00:00:00"/>
    <s v="CUST829"/>
    <x v="0"/>
    <x v="39"/>
    <x v="1"/>
    <x v="0"/>
    <n v="3"/>
    <n v="30"/>
    <n v="90"/>
    <s v="Normal"/>
    <s v="Low"/>
    <s v="Yes"/>
    <n v="9"/>
    <n v="81"/>
    <s v="Low"/>
    <s v="Normal"/>
    <s v="CUST829-61"/>
    <x v="11"/>
    <s v="Fri"/>
  </r>
  <r>
    <n v="830"/>
    <d v="2023-06-22T00:00:00"/>
    <s v="CUST830"/>
    <x v="1"/>
    <x v="12"/>
    <x v="1"/>
    <x v="1"/>
    <n v="3"/>
    <n v="50"/>
    <n v="150"/>
    <s v="Normal"/>
    <s v="Low"/>
    <s v="Yes"/>
    <n v="30"/>
    <n v="120"/>
    <s v="Low"/>
    <s v="Normal"/>
    <s v="CUST830-64"/>
    <x v="10"/>
    <s v="Thu"/>
  </r>
  <r>
    <n v="831"/>
    <d v="2023-01-15T00:00:00"/>
    <s v="CUST831"/>
    <x v="0"/>
    <x v="15"/>
    <x v="0"/>
    <x v="2"/>
    <n v="4"/>
    <n v="25"/>
    <n v="100"/>
    <s v="Normal"/>
    <s v="Low"/>
    <s v="Yes"/>
    <n v="15"/>
    <n v="85"/>
    <s v="Low"/>
    <s v="Normal"/>
    <s v="CUST831-27"/>
    <x v="2"/>
    <s v="Sun"/>
  </r>
  <r>
    <n v="832"/>
    <d v="2023-09-11T00:00:00"/>
    <s v="CUST832"/>
    <x v="0"/>
    <x v="16"/>
    <x v="1"/>
    <x v="0"/>
    <n v="4"/>
    <n v="500"/>
    <n v="2000"/>
    <s v="Critical"/>
    <s v="High"/>
    <s v="Yes"/>
    <n v="200"/>
    <n v="1800"/>
    <s v="High"/>
    <b v="1"/>
    <s v="CUST832-47"/>
    <x v="9"/>
    <s v="Mon"/>
  </r>
  <r>
    <n v="833"/>
    <d v="2023-06-16T00:00:00"/>
    <s v="CUST833"/>
    <x v="0"/>
    <x v="13"/>
    <x v="1"/>
    <x v="0"/>
    <n v="4"/>
    <n v="50"/>
    <n v="200"/>
    <s v="Normal"/>
    <s v="Low"/>
    <s v="Yes"/>
    <n v="20"/>
    <n v="180"/>
    <s v="Low"/>
    <s v="Normal"/>
    <s v="CUST833-42"/>
    <x v="10"/>
    <s v="Fri"/>
  </r>
  <r>
    <n v="834"/>
    <d v="2023-04-04T00:00:00"/>
    <s v="CUST834"/>
    <x v="1"/>
    <x v="37"/>
    <x v="1"/>
    <x v="0"/>
    <n v="2"/>
    <n v="30"/>
    <n v="60"/>
    <s v="Normal"/>
    <s v="Low"/>
    <s v="Yes"/>
    <n v="12"/>
    <n v="48"/>
    <s v="Low"/>
    <s v="Normal"/>
    <s v="CUST834-56"/>
    <x v="4"/>
    <s v="Tue"/>
  </r>
  <r>
    <n v="835"/>
    <d v="2023-09-07T00:00:00"/>
    <s v="CUST835"/>
    <x v="0"/>
    <x v="3"/>
    <x v="0"/>
    <x v="1"/>
    <n v="4"/>
    <n v="50"/>
    <n v="200"/>
    <s v="Normal"/>
    <s v="Low"/>
    <s v="Yes"/>
    <n v="20"/>
    <n v="180"/>
    <s v="Low"/>
    <s v="Normal"/>
    <s v="CUST835-37"/>
    <x v="9"/>
    <s v="Thu"/>
  </r>
  <r>
    <n v="836"/>
    <d v="2023-04-19T00:00:00"/>
    <s v="CUST836"/>
    <x v="1"/>
    <x v="11"/>
    <x v="0"/>
    <x v="1"/>
    <n v="1"/>
    <n v="50"/>
    <n v="50"/>
    <s v="Normal"/>
    <s v="Low"/>
    <s v="No"/>
    <n v="0"/>
    <n v="50"/>
    <s v="Low"/>
    <s v="Normal"/>
    <s v="CUST836-22"/>
    <x v="4"/>
    <s v="Wed"/>
  </r>
  <r>
    <n v="837"/>
    <d v="2023-07-01T00:00:00"/>
    <s v="CUST837"/>
    <x v="0"/>
    <x v="18"/>
    <x v="2"/>
    <x v="0"/>
    <n v="3"/>
    <n v="30"/>
    <n v="90"/>
    <s v="Normal"/>
    <s v="Low"/>
    <s v="No"/>
    <n v="0"/>
    <n v="90"/>
    <s v="Low"/>
    <s v="Normal"/>
    <s v="CUST837-18"/>
    <x v="11"/>
    <s v="Sat"/>
  </r>
  <r>
    <n v="838"/>
    <d v="2023-05-13T00:00:00"/>
    <s v="CUST838"/>
    <x v="0"/>
    <x v="16"/>
    <x v="1"/>
    <x v="2"/>
    <n v="2"/>
    <n v="300"/>
    <n v="600"/>
    <s v="Normal"/>
    <s v="Medium"/>
    <s v="Yes"/>
    <n v="60"/>
    <n v="540"/>
    <s v="Low"/>
    <s v="Normal"/>
    <s v="CUST838-47"/>
    <x v="3"/>
    <s v="Sat"/>
  </r>
  <r>
    <n v="839"/>
    <d v="2023-06-24T00:00:00"/>
    <s v="CUST839"/>
    <x v="1"/>
    <x v="29"/>
    <x v="0"/>
    <x v="2"/>
    <n v="4"/>
    <n v="300"/>
    <n v="1200"/>
    <s v="High"/>
    <s v="High"/>
    <s v="No"/>
    <n v="0"/>
    <n v="1200"/>
    <s v="High"/>
    <s v="Normal"/>
    <s v="CUST839-20"/>
    <x v="10"/>
    <s v="Sat"/>
  </r>
  <r>
    <n v="840"/>
    <d v="2023-05-24T00:00:00"/>
    <s v="CUST840"/>
    <x v="0"/>
    <x v="17"/>
    <x v="1"/>
    <x v="1"/>
    <n v="2"/>
    <n v="25"/>
    <n v="50"/>
    <s v="Normal"/>
    <s v="Low"/>
    <s v="Yes"/>
    <n v="5"/>
    <n v="45"/>
    <s v="Low"/>
    <s v="Normal"/>
    <s v="CUST840-62"/>
    <x v="3"/>
    <s v="Wed"/>
  </r>
  <r>
    <n v="841"/>
    <d v="2023-11-02T00:00:00"/>
    <s v="CUST841"/>
    <x v="0"/>
    <x v="33"/>
    <x v="0"/>
    <x v="2"/>
    <n v="4"/>
    <n v="25"/>
    <n v="100"/>
    <s v="Normal"/>
    <s v="Low"/>
    <s v="Yes"/>
    <n v="15"/>
    <n v="85"/>
    <s v="Low"/>
    <s v="Normal"/>
    <s v="CUST841-31"/>
    <x v="0"/>
    <s v="Thu"/>
  </r>
  <r>
    <n v="842"/>
    <d v="2023-12-26T00:00:00"/>
    <s v="CUST842"/>
    <x v="1"/>
    <x v="16"/>
    <x v="1"/>
    <x v="1"/>
    <n v="2"/>
    <n v="300"/>
    <n v="600"/>
    <s v="Normal"/>
    <s v="Medium"/>
    <s v="Yes"/>
    <n v="120"/>
    <n v="480"/>
    <s v="Low"/>
    <s v="Normal"/>
    <s v="CUST842-47"/>
    <x v="6"/>
    <s v="Tue"/>
  </r>
  <r>
    <n v="843"/>
    <d v="2023-05-22T00:00:00"/>
    <s v="CUST843"/>
    <x v="0"/>
    <x v="34"/>
    <x v="0"/>
    <x v="0"/>
    <n v="3"/>
    <n v="500"/>
    <n v="1500"/>
    <s v="Critical"/>
    <s v="High"/>
    <s v="No"/>
    <n v="0"/>
    <n v="1500"/>
    <s v="High"/>
    <b v="1"/>
    <s v="CUST843-21"/>
    <x v="3"/>
    <s v="Mon"/>
  </r>
  <r>
    <n v="844"/>
    <d v="2023-10-12T00:00:00"/>
    <s v="CUST844"/>
    <x v="0"/>
    <x v="10"/>
    <x v="0"/>
    <x v="1"/>
    <n v="3"/>
    <n v="50"/>
    <n v="150"/>
    <s v="Normal"/>
    <s v="Low"/>
    <s v="Yes"/>
    <n v="15"/>
    <n v="135"/>
    <s v="Low"/>
    <s v="Normal"/>
    <s v="CUST844-35"/>
    <x v="7"/>
    <s v="Thu"/>
  </r>
  <r>
    <n v="845"/>
    <d v="2023-01-06T00:00:00"/>
    <s v="CUST845"/>
    <x v="0"/>
    <x v="31"/>
    <x v="1"/>
    <x v="1"/>
    <n v="1"/>
    <n v="500"/>
    <n v="500"/>
    <s v="Normal"/>
    <s v="Medium"/>
    <s v="Yes"/>
    <n v="50"/>
    <n v="450"/>
    <s v="Low"/>
    <s v="Normal"/>
    <s v="CUST845-54"/>
    <x v="2"/>
    <s v="Fri"/>
  </r>
  <r>
    <n v="846"/>
    <d v="2023-09-22T00:00:00"/>
    <s v="CUST846"/>
    <x v="0"/>
    <x v="13"/>
    <x v="1"/>
    <x v="0"/>
    <n v="1"/>
    <n v="50"/>
    <n v="50"/>
    <s v="Normal"/>
    <s v="Low"/>
    <s v="Yes"/>
    <n v="5"/>
    <n v="45"/>
    <s v="Low"/>
    <s v="Normal"/>
    <s v="CUST846-42"/>
    <x v="9"/>
    <s v="Fri"/>
  </r>
  <r>
    <n v="847"/>
    <d v="2023-04-08T00:00:00"/>
    <s v="CUST847"/>
    <x v="1"/>
    <x v="18"/>
    <x v="2"/>
    <x v="2"/>
    <n v="4"/>
    <n v="300"/>
    <n v="1200"/>
    <s v="High"/>
    <s v="High"/>
    <s v="No"/>
    <n v="0"/>
    <n v="1200"/>
    <s v="High"/>
    <s v="Normal"/>
    <s v="CUST847-18"/>
    <x v="4"/>
    <s v="Sat"/>
  </r>
  <r>
    <n v="848"/>
    <d v="2023-02-13T00:00:00"/>
    <s v="CUST848"/>
    <x v="1"/>
    <x v="7"/>
    <x v="1"/>
    <x v="1"/>
    <n v="3"/>
    <n v="25"/>
    <n v="75"/>
    <s v="Normal"/>
    <s v="Low"/>
    <s v="Yes"/>
    <n v="15"/>
    <n v="60"/>
    <s v="Low"/>
    <s v="Normal"/>
    <s v="CUST848-63"/>
    <x v="1"/>
    <s v="Mon"/>
  </r>
  <r>
    <n v="849"/>
    <d v="2023-05-04T00:00:00"/>
    <s v="CUST849"/>
    <x v="0"/>
    <x v="40"/>
    <x v="0"/>
    <x v="1"/>
    <n v="2"/>
    <n v="25"/>
    <n v="50"/>
    <s v="Normal"/>
    <s v="Low"/>
    <s v="Yes"/>
    <n v="7.5"/>
    <n v="42.5"/>
    <s v="Low"/>
    <s v="Normal"/>
    <s v="CUST849-32"/>
    <x v="3"/>
    <s v="Thu"/>
  </r>
  <r>
    <n v="850"/>
    <d v="2023-07-28T00:00:00"/>
    <s v="CUST850"/>
    <x v="1"/>
    <x v="1"/>
    <x v="0"/>
    <x v="0"/>
    <n v="2"/>
    <n v="500"/>
    <n v="1000"/>
    <s v="High"/>
    <s v="High"/>
    <s v="Yes"/>
    <n v="150"/>
    <n v="850"/>
    <s v="High"/>
    <s v="Normal"/>
    <s v="CUST850-26"/>
    <x v="11"/>
    <s v="Fri"/>
  </r>
  <r>
    <n v="851"/>
    <d v="2023-09-08T00:00:00"/>
    <s v="CUST851"/>
    <x v="0"/>
    <x v="40"/>
    <x v="0"/>
    <x v="2"/>
    <n v="2"/>
    <n v="25"/>
    <n v="50"/>
    <s v="Normal"/>
    <s v="Low"/>
    <s v="Yes"/>
    <n v="7.5"/>
    <n v="42.5"/>
    <s v="Low"/>
    <s v="Normal"/>
    <s v="CUST851-32"/>
    <x v="9"/>
    <s v="Fri"/>
  </r>
  <r>
    <n v="852"/>
    <d v="2023-10-12T00:00:00"/>
    <s v="CUST852"/>
    <x v="1"/>
    <x v="41"/>
    <x v="1"/>
    <x v="1"/>
    <n v="1"/>
    <n v="300"/>
    <n v="300"/>
    <s v="Normal"/>
    <s v="Low"/>
    <s v="Yes"/>
    <n v="60"/>
    <n v="240"/>
    <s v="Low"/>
    <s v="Normal"/>
    <s v="CUST852-41"/>
    <x v="7"/>
    <s v="Thu"/>
  </r>
  <r>
    <n v="853"/>
    <d v="2023-05-04T00:00:00"/>
    <s v="CUST853"/>
    <x v="0"/>
    <x v="34"/>
    <x v="0"/>
    <x v="0"/>
    <n v="2"/>
    <n v="500"/>
    <n v="1000"/>
    <s v="High"/>
    <s v="High"/>
    <s v="No"/>
    <n v="0"/>
    <n v="1000"/>
    <s v="High"/>
    <s v="Normal"/>
    <s v="CUST853-21"/>
    <x v="3"/>
    <s v="Thu"/>
  </r>
  <r>
    <n v="854"/>
    <d v="2023-12-20T00:00:00"/>
    <s v="CUST854"/>
    <x v="0"/>
    <x v="38"/>
    <x v="0"/>
    <x v="1"/>
    <n v="1"/>
    <n v="50"/>
    <n v="50"/>
    <s v="Normal"/>
    <s v="Low"/>
    <s v="Yes"/>
    <n v="7.5"/>
    <n v="42.5"/>
    <s v="Low"/>
    <s v="Normal"/>
    <s v="CUST854-29"/>
    <x v="6"/>
    <s v="Wed"/>
  </r>
  <r>
    <n v="855"/>
    <d v="2023-09-01T00:00:00"/>
    <s v="CUST855"/>
    <x v="0"/>
    <x v="31"/>
    <x v="1"/>
    <x v="0"/>
    <n v="1"/>
    <n v="25"/>
    <n v="25"/>
    <s v="Normal"/>
    <s v="Low"/>
    <s v="Yes"/>
    <n v="2.5"/>
    <n v="22.5"/>
    <s v="Low"/>
    <s v="Normal"/>
    <s v="CUST855-54"/>
    <x v="9"/>
    <s v="Fri"/>
  </r>
  <r>
    <n v="856"/>
    <d v="2023-11-27T00:00:00"/>
    <s v="CUST856"/>
    <x v="0"/>
    <x v="31"/>
    <x v="1"/>
    <x v="2"/>
    <n v="4"/>
    <n v="30"/>
    <n v="120"/>
    <s v="Normal"/>
    <s v="Low"/>
    <s v="Yes"/>
    <n v="12"/>
    <n v="108"/>
    <s v="Low"/>
    <s v="Normal"/>
    <s v="CUST856-54"/>
    <x v="0"/>
    <s v="Mon"/>
  </r>
  <r>
    <n v="857"/>
    <d v="2023-12-31T00:00:00"/>
    <s v="CUST857"/>
    <x v="0"/>
    <x v="43"/>
    <x v="1"/>
    <x v="2"/>
    <n v="2"/>
    <n v="25"/>
    <n v="50"/>
    <s v="Normal"/>
    <s v="Low"/>
    <s v="Yes"/>
    <n v="5"/>
    <n v="45"/>
    <s v="Low"/>
    <s v="Normal"/>
    <s v="CUST857-60"/>
    <x v="6"/>
    <s v="Sun"/>
  </r>
  <r>
    <n v="858"/>
    <d v="2023-09-09T00:00:00"/>
    <s v="CUST858"/>
    <x v="0"/>
    <x v="9"/>
    <x v="0"/>
    <x v="2"/>
    <n v="2"/>
    <n v="50"/>
    <n v="100"/>
    <s v="Normal"/>
    <s v="Low"/>
    <s v="No"/>
    <n v="0"/>
    <n v="100"/>
    <s v="Low"/>
    <s v="Normal"/>
    <s v="CUST858-23"/>
    <x v="9"/>
    <s v="Sat"/>
  </r>
  <r>
    <n v="859"/>
    <d v="2023-08-18T00:00:00"/>
    <s v="CUST859"/>
    <x v="1"/>
    <x v="37"/>
    <x v="1"/>
    <x v="2"/>
    <n v="3"/>
    <n v="500"/>
    <n v="1500"/>
    <s v="Critical"/>
    <s v="High"/>
    <s v="Yes"/>
    <n v="300"/>
    <n v="1200"/>
    <s v="High"/>
    <b v="1"/>
    <s v="CUST859-56"/>
    <x v="8"/>
    <s v="Fri"/>
  </r>
  <r>
    <n v="860"/>
    <d v="2023-01-09T00:00:00"/>
    <s v="CUST860"/>
    <x v="0"/>
    <x v="7"/>
    <x v="1"/>
    <x v="1"/>
    <n v="4"/>
    <n v="50"/>
    <n v="200"/>
    <s v="Normal"/>
    <s v="Low"/>
    <s v="Yes"/>
    <n v="20"/>
    <n v="180"/>
    <s v="Low"/>
    <s v="Normal"/>
    <s v="CUST860-63"/>
    <x v="2"/>
    <s v="Mon"/>
  </r>
  <r>
    <n v="861"/>
    <d v="2023-02-17T00:00:00"/>
    <s v="CUST861"/>
    <x v="1"/>
    <x v="41"/>
    <x v="1"/>
    <x v="1"/>
    <n v="3"/>
    <n v="30"/>
    <n v="90"/>
    <s v="Normal"/>
    <s v="Low"/>
    <s v="Yes"/>
    <n v="18"/>
    <n v="72"/>
    <s v="Low"/>
    <s v="Normal"/>
    <s v="CUST861-41"/>
    <x v="1"/>
    <s v="Fri"/>
  </r>
  <r>
    <n v="862"/>
    <d v="2023-05-31T00:00:00"/>
    <s v="CUST862"/>
    <x v="0"/>
    <x v="20"/>
    <x v="0"/>
    <x v="2"/>
    <n v="4"/>
    <n v="300"/>
    <n v="1200"/>
    <s v="High"/>
    <s v="High"/>
    <s v="Yes"/>
    <n v="180"/>
    <n v="1020"/>
    <s v="High"/>
    <s v="Normal"/>
    <s v="CUST862-28"/>
    <x v="3"/>
    <s v="Wed"/>
  </r>
  <r>
    <n v="863"/>
    <d v="2023-04-24T00:00:00"/>
    <s v="CUST863"/>
    <x v="1"/>
    <x v="4"/>
    <x v="0"/>
    <x v="2"/>
    <n v="2"/>
    <n v="25"/>
    <n v="50"/>
    <s v="Normal"/>
    <s v="Low"/>
    <s v="Yes"/>
    <n v="7.5"/>
    <n v="42.5"/>
    <s v="Low"/>
    <s v="Normal"/>
    <s v="CUST863-30"/>
    <x v="4"/>
    <s v="Mon"/>
  </r>
  <r>
    <n v="864"/>
    <d v="2023-07-27T00:00:00"/>
    <s v="CUST864"/>
    <x v="1"/>
    <x v="25"/>
    <x v="1"/>
    <x v="2"/>
    <n v="1"/>
    <n v="500"/>
    <n v="500"/>
    <s v="Normal"/>
    <s v="Medium"/>
    <s v="Yes"/>
    <n v="100"/>
    <n v="400"/>
    <s v="Low"/>
    <s v="Normal"/>
    <s v="CUST864-51"/>
    <x v="11"/>
    <s v="Thu"/>
  </r>
  <r>
    <n v="865"/>
    <d v="2023-12-21T00:00:00"/>
    <s v="CUST865"/>
    <x v="1"/>
    <x v="13"/>
    <x v="1"/>
    <x v="1"/>
    <n v="1"/>
    <n v="300"/>
    <n v="300"/>
    <s v="Normal"/>
    <s v="Low"/>
    <s v="Yes"/>
    <n v="60"/>
    <n v="240"/>
    <s v="Low"/>
    <s v="Normal"/>
    <s v="CUST865-42"/>
    <x v="6"/>
    <s v="Thu"/>
  </r>
  <r>
    <n v="866"/>
    <d v="2023-05-05T00:00:00"/>
    <s v="CUST866"/>
    <x v="0"/>
    <x v="46"/>
    <x v="0"/>
    <x v="2"/>
    <n v="1"/>
    <n v="50"/>
    <n v="50"/>
    <s v="Normal"/>
    <s v="Low"/>
    <s v="No"/>
    <n v="0"/>
    <n v="50"/>
    <s v="Low"/>
    <s v="Normal"/>
    <s v="CUST866-24"/>
    <x v="3"/>
    <s v="Fri"/>
  </r>
  <r>
    <n v="867"/>
    <d v="2023-06-06T00:00:00"/>
    <s v="CUST867"/>
    <x v="0"/>
    <x v="34"/>
    <x v="0"/>
    <x v="2"/>
    <n v="1"/>
    <n v="500"/>
    <n v="500"/>
    <s v="Normal"/>
    <s v="Medium"/>
    <s v="No"/>
    <n v="0"/>
    <n v="500"/>
    <s v="Low"/>
    <s v="Normal"/>
    <s v="CUST867-21"/>
    <x v="10"/>
    <s v="Tue"/>
  </r>
  <r>
    <n v="868"/>
    <d v="2023-12-06T00:00:00"/>
    <s v="CUST868"/>
    <x v="1"/>
    <x v="36"/>
    <x v="0"/>
    <x v="2"/>
    <n v="1"/>
    <n v="300"/>
    <n v="300"/>
    <s v="Normal"/>
    <s v="Low"/>
    <s v="Yes"/>
    <n v="45"/>
    <n v="255"/>
    <s v="Low"/>
    <s v="Normal"/>
    <s v="CUST868-25"/>
    <x v="6"/>
    <s v="Wed"/>
  </r>
  <r>
    <n v="869"/>
    <d v="2023-10-25T00:00:00"/>
    <s v="CUST869"/>
    <x v="0"/>
    <x v="3"/>
    <x v="0"/>
    <x v="0"/>
    <n v="3"/>
    <n v="500"/>
    <n v="1500"/>
    <s v="Critical"/>
    <s v="High"/>
    <s v="Yes"/>
    <n v="150"/>
    <n v="1350"/>
    <s v="High"/>
    <b v="1"/>
    <s v="CUST869-37"/>
    <x v="7"/>
    <s v="Wed"/>
  </r>
  <r>
    <n v="870"/>
    <d v="2023-07-08T00:00:00"/>
    <s v="CUST870"/>
    <x v="1"/>
    <x v="6"/>
    <x v="1"/>
    <x v="2"/>
    <n v="4"/>
    <n v="30"/>
    <n v="120"/>
    <s v="Normal"/>
    <s v="Low"/>
    <s v="Yes"/>
    <n v="24"/>
    <n v="96"/>
    <s v="Low"/>
    <s v="Normal"/>
    <s v="CUST870-46"/>
    <x v="11"/>
    <s v="Sat"/>
  </r>
  <r>
    <n v="871"/>
    <d v="2023-08-31T00:00:00"/>
    <s v="CUST871"/>
    <x v="0"/>
    <x v="17"/>
    <x v="1"/>
    <x v="0"/>
    <n v="2"/>
    <n v="30"/>
    <n v="60"/>
    <s v="Normal"/>
    <s v="Low"/>
    <s v="Yes"/>
    <n v="6"/>
    <n v="54"/>
    <s v="Low"/>
    <s v="Normal"/>
    <s v="CUST871-62"/>
    <x v="8"/>
    <s v="Thu"/>
  </r>
  <r>
    <n v="872"/>
    <d v="2023-10-11T00:00:00"/>
    <s v="CUST872"/>
    <x v="1"/>
    <x v="7"/>
    <x v="1"/>
    <x v="0"/>
    <n v="3"/>
    <n v="25"/>
    <n v="75"/>
    <s v="Normal"/>
    <s v="Low"/>
    <s v="Yes"/>
    <n v="15"/>
    <n v="60"/>
    <s v="Low"/>
    <s v="Normal"/>
    <s v="CUST872-63"/>
    <x v="7"/>
    <s v="Wed"/>
  </r>
  <r>
    <n v="873"/>
    <d v="2023-09-29T00:00:00"/>
    <s v="CUST873"/>
    <x v="1"/>
    <x v="15"/>
    <x v="0"/>
    <x v="2"/>
    <n v="4"/>
    <n v="25"/>
    <n v="100"/>
    <s v="Normal"/>
    <s v="Low"/>
    <s v="Yes"/>
    <n v="15"/>
    <n v="85"/>
    <s v="Low"/>
    <s v="Normal"/>
    <s v="CUST873-27"/>
    <x v="9"/>
    <s v="Fri"/>
  </r>
  <r>
    <n v="874"/>
    <d v="2023-06-26T00:00:00"/>
    <s v="CUST874"/>
    <x v="0"/>
    <x v="43"/>
    <x v="1"/>
    <x v="0"/>
    <n v="1"/>
    <n v="30"/>
    <n v="30"/>
    <s v="Normal"/>
    <s v="Low"/>
    <s v="Yes"/>
    <n v="3"/>
    <n v="27"/>
    <s v="Low"/>
    <s v="Normal"/>
    <s v="CUST874-60"/>
    <x v="10"/>
    <s v="Mon"/>
  </r>
  <r>
    <n v="875"/>
    <d v="2023-08-06T00:00:00"/>
    <s v="CUST875"/>
    <x v="1"/>
    <x v="25"/>
    <x v="1"/>
    <x v="2"/>
    <n v="4"/>
    <n v="500"/>
    <n v="2000"/>
    <s v="Critical"/>
    <s v="High"/>
    <s v="Yes"/>
    <n v="400"/>
    <n v="1600"/>
    <s v="High"/>
    <b v="1"/>
    <s v="CUST875-51"/>
    <x v="8"/>
    <s v="Sun"/>
  </r>
  <r>
    <n v="876"/>
    <d v="2023-10-09T00:00:00"/>
    <s v="CUST876"/>
    <x v="0"/>
    <x v="22"/>
    <x v="1"/>
    <x v="1"/>
    <n v="4"/>
    <n v="30"/>
    <n v="120"/>
    <s v="Normal"/>
    <s v="Low"/>
    <s v="Yes"/>
    <n v="12"/>
    <n v="108"/>
    <s v="Low"/>
    <s v="Normal"/>
    <s v="CUST876-43"/>
    <x v="7"/>
    <s v="Mon"/>
  </r>
  <r>
    <n v="877"/>
    <d v="2023-06-19T00:00:00"/>
    <s v="CUST877"/>
    <x v="1"/>
    <x v="26"/>
    <x v="1"/>
    <x v="1"/>
    <n v="1"/>
    <n v="25"/>
    <n v="25"/>
    <s v="Normal"/>
    <s v="Low"/>
    <s v="Yes"/>
    <n v="5"/>
    <n v="20"/>
    <s v="Low"/>
    <s v="Normal"/>
    <s v="CUST877-58"/>
    <x v="10"/>
    <s v="Mon"/>
  </r>
  <r>
    <n v="878"/>
    <d v="2023-06-30T00:00:00"/>
    <s v="CUST878"/>
    <x v="1"/>
    <x v="29"/>
    <x v="0"/>
    <x v="1"/>
    <n v="1"/>
    <n v="30"/>
    <n v="30"/>
    <s v="Normal"/>
    <s v="Low"/>
    <s v="No"/>
    <n v="0"/>
    <n v="30"/>
    <s v="Low"/>
    <s v="Normal"/>
    <s v="CUST878-20"/>
    <x v="10"/>
    <s v="Fri"/>
  </r>
  <r>
    <n v="879"/>
    <d v="2023-12-26T00:00:00"/>
    <s v="CUST879"/>
    <x v="0"/>
    <x v="9"/>
    <x v="0"/>
    <x v="1"/>
    <n v="1"/>
    <n v="30"/>
    <n v="30"/>
    <s v="Normal"/>
    <s v="Low"/>
    <s v="No"/>
    <n v="0"/>
    <n v="30"/>
    <s v="Low"/>
    <s v="Normal"/>
    <s v="CUST879-23"/>
    <x v="6"/>
    <s v="Tue"/>
  </r>
  <r>
    <n v="880"/>
    <d v="2023-08-21T00:00:00"/>
    <s v="CUST880"/>
    <x v="0"/>
    <x v="11"/>
    <x v="0"/>
    <x v="0"/>
    <n v="2"/>
    <n v="500"/>
    <n v="1000"/>
    <s v="High"/>
    <s v="High"/>
    <s v="No"/>
    <n v="0"/>
    <n v="1000"/>
    <s v="High"/>
    <s v="Normal"/>
    <s v="CUST880-22"/>
    <x v="8"/>
    <s v="Mon"/>
  </r>
  <r>
    <n v="881"/>
    <d v="2023-05-19T00:00:00"/>
    <s v="CUST881"/>
    <x v="0"/>
    <x v="11"/>
    <x v="0"/>
    <x v="2"/>
    <n v="1"/>
    <n v="300"/>
    <n v="300"/>
    <s v="Normal"/>
    <s v="Low"/>
    <s v="No"/>
    <n v="0"/>
    <n v="300"/>
    <s v="Low"/>
    <s v="Normal"/>
    <s v="CUST881-22"/>
    <x v="3"/>
    <s v="Fri"/>
  </r>
  <r>
    <n v="882"/>
    <d v="2023-06-06T00:00:00"/>
    <s v="CUST882"/>
    <x v="1"/>
    <x v="12"/>
    <x v="1"/>
    <x v="2"/>
    <n v="2"/>
    <n v="25"/>
    <n v="50"/>
    <s v="Normal"/>
    <s v="Low"/>
    <s v="Yes"/>
    <n v="10"/>
    <n v="40"/>
    <s v="Low"/>
    <s v="Normal"/>
    <s v="CUST882-64"/>
    <x v="10"/>
    <s v="Tue"/>
  </r>
  <r>
    <n v="883"/>
    <d v="2023-05-09T00:00:00"/>
    <s v="CUST883"/>
    <x v="0"/>
    <x v="30"/>
    <x v="0"/>
    <x v="2"/>
    <n v="1"/>
    <n v="500"/>
    <n v="500"/>
    <s v="Normal"/>
    <s v="Medium"/>
    <s v="Yes"/>
    <n v="50"/>
    <n v="450"/>
    <s v="Low"/>
    <s v="Normal"/>
    <s v="CUST883-40"/>
    <x v="3"/>
    <s v="Tue"/>
  </r>
  <r>
    <n v="884"/>
    <d v="2023-04-29T00:00:00"/>
    <s v="CUST884"/>
    <x v="1"/>
    <x v="1"/>
    <x v="0"/>
    <x v="1"/>
    <n v="2"/>
    <n v="30"/>
    <n v="60"/>
    <s v="Normal"/>
    <s v="Low"/>
    <s v="Yes"/>
    <n v="9"/>
    <n v="51"/>
    <s v="Low"/>
    <s v="Normal"/>
    <s v="CUST884-26"/>
    <x v="4"/>
    <s v="Sat"/>
  </r>
  <r>
    <n v="885"/>
    <d v="2023-03-03T00:00:00"/>
    <s v="CUST885"/>
    <x v="1"/>
    <x v="8"/>
    <x v="1"/>
    <x v="1"/>
    <n v="4"/>
    <n v="30"/>
    <n v="120"/>
    <s v="Normal"/>
    <s v="Low"/>
    <s v="Yes"/>
    <n v="24"/>
    <n v="96"/>
    <s v="Low"/>
    <s v="Normal"/>
    <s v="CUST885-52"/>
    <x v="5"/>
    <s v="Fri"/>
  </r>
  <r>
    <n v="886"/>
    <d v="2023-04-09T00:00:00"/>
    <s v="CUST886"/>
    <x v="0"/>
    <x v="3"/>
    <x v="0"/>
    <x v="2"/>
    <n v="3"/>
    <n v="300"/>
    <n v="900"/>
    <s v="Normal"/>
    <s v="Medium"/>
    <s v="Yes"/>
    <n v="90"/>
    <n v="810"/>
    <s v="Low"/>
    <s v="Normal"/>
    <s v="CUST886-37"/>
    <x v="4"/>
    <s v="Sun"/>
  </r>
  <r>
    <n v="887"/>
    <d v="2023-06-11T00:00:00"/>
    <s v="CUST887"/>
    <x v="0"/>
    <x v="42"/>
    <x v="1"/>
    <x v="1"/>
    <n v="4"/>
    <n v="25"/>
    <n v="100"/>
    <s v="Normal"/>
    <s v="Low"/>
    <s v="Yes"/>
    <n v="10"/>
    <n v="90"/>
    <s v="Low"/>
    <s v="Normal"/>
    <s v="CUST887-59"/>
    <x v="10"/>
    <s v="Sun"/>
  </r>
  <r>
    <n v="888"/>
    <d v="2023-03-03T00:00:00"/>
    <s v="CUST888"/>
    <x v="1"/>
    <x v="8"/>
    <x v="1"/>
    <x v="2"/>
    <n v="4"/>
    <n v="25"/>
    <n v="100"/>
    <s v="Normal"/>
    <s v="Low"/>
    <s v="Yes"/>
    <n v="20"/>
    <n v="80"/>
    <s v="Low"/>
    <s v="Normal"/>
    <s v="CUST888-52"/>
    <x v="5"/>
    <s v="Fri"/>
  </r>
  <r>
    <n v="889"/>
    <d v="2023-10-02T00:00:00"/>
    <s v="CUST889"/>
    <x v="1"/>
    <x v="10"/>
    <x v="0"/>
    <x v="2"/>
    <n v="1"/>
    <n v="50"/>
    <n v="50"/>
    <s v="Normal"/>
    <s v="Low"/>
    <s v="Yes"/>
    <n v="10"/>
    <n v="40"/>
    <s v="Low"/>
    <s v="Normal"/>
    <s v="CUST889-35"/>
    <x v="7"/>
    <s v="Mon"/>
  </r>
  <r>
    <n v="890"/>
    <d v="2023-12-20T00:00:00"/>
    <s v="CUST890"/>
    <x v="0"/>
    <x v="0"/>
    <x v="0"/>
    <x v="2"/>
    <n v="2"/>
    <n v="25"/>
    <n v="50"/>
    <s v="Normal"/>
    <s v="Low"/>
    <s v="Yes"/>
    <n v="7.5"/>
    <n v="42.5"/>
    <s v="Low"/>
    <s v="Normal"/>
    <s v="CUST890-34"/>
    <x v="6"/>
    <s v="Wed"/>
  </r>
  <r>
    <n v="891"/>
    <d v="2023-04-05T00:00:00"/>
    <s v="CUST891"/>
    <x v="0"/>
    <x v="41"/>
    <x v="1"/>
    <x v="2"/>
    <n v="3"/>
    <n v="300"/>
    <n v="900"/>
    <s v="Normal"/>
    <s v="Medium"/>
    <s v="Yes"/>
    <n v="90"/>
    <n v="810"/>
    <s v="Low"/>
    <s v="Normal"/>
    <s v="CUST891-41"/>
    <x v="4"/>
    <s v="Wed"/>
  </r>
  <r>
    <n v="892"/>
    <d v="2023-04-09T00:00:00"/>
    <s v="CUST892"/>
    <x v="0"/>
    <x v="29"/>
    <x v="0"/>
    <x v="2"/>
    <n v="1"/>
    <n v="50"/>
    <n v="50"/>
    <s v="Normal"/>
    <s v="Low"/>
    <s v="No"/>
    <n v="0"/>
    <n v="50"/>
    <s v="Low"/>
    <s v="Normal"/>
    <s v="CUST892-20"/>
    <x v="4"/>
    <s v="Sun"/>
  </r>
  <r>
    <n v="893"/>
    <d v="2023-04-21T00:00:00"/>
    <s v="CUST893"/>
    <x v="0"/>
    <x v="19"/>
    <x v="1"/>
    <x v="2"/>
    <n v="1"/>
    <n v="50"/>
    <n v="50"/>
    <s v="Normal"/>
    <s v="Low"/>
    <s v="Yes"/>
    <n v="5"/>
    <n v="45"/>
    <s v="Low"/>
    <s v="Normal"/>
    <s v="CUST893-49"/>
    <x v="4"/>
    <s v="Fri"/>
  </r>
  <r>
    <n v="894"/>
    <d v="2023-09-05T00:00:00"/>
    <s v="CUST894"/>
    <x v="0"/>
    <x v="8"/>
    <x v="1"/>
    <x v="2"/>
    <n v="1"/>
    <n v="30"/>
    <n v="30"/>
    <s v="Normal"/>
    <s v="Low"/>
    <s v="Yes"/>
    <n v="3"/>
    <n v="27"/>
    <s v="Low"/>
    <s v="Normal"/>
    <s v="CUST894-52"/>
    <x v="9"/>
    <s v="Tue"/>
  </r>
  <r>
    <n v="895"/>
    <d v="2023-05-22T00:00:00"/>
    <s v="CUST895"/>
    <x v="1"/>
    <x v="28"/>
    <x v="1"/>
    <x v="1"/>
    <n v="4"/>
    <n v="30"/>
    <n v="120"/>
    <s v="Normal"/>
    <s v="Low"/>
    <s v="Yes"/>
    <n v="24"/>
    <n v="96"/>
    <s v="Low"/>
    <s v="Normal"/>
    <s v="CUST895-55"/>
    <x v="3"/>
    <s v="Mon"/>
  </r>
  <r>
    <n v="896"/>
    <d v="2023-10-29T00:00:00"/>
    <s v="CUST896"/>
    <x v="1"/>
    <x v="4"/>
    <x v="0"/>
    <x v="2"/>
    <n v="2"/>
    <n v="25"/>
    <n v="50"/>
    <s v="Normal"/>
    <s v="Low"/>
    <s v="Yes"/>
    <n v="7.5"/>
    <n v="42.5"/>
    <s v="Low"/>
    <s v="Normal"/>
    <s v="CUST896-30"/>
    <x v="7"/>
    <s v="Sun"/>
  </r>
  <r>
    <n v="897"/>
    <d v="2023-09-26T00:00:00"/>
    <s v="CUST897"/>
    <x v="1"/>
    <x v="12"/>
    <x v="1"/>
    <x v="2"/>
    <n v="2"/>
    <n v="50"/>
    <n v="100"/>
    <s v="Normal"/>
    <s v="Low"/>
    <s v="Yes"/>
    <n v="20"/>
    <n v="80"/>
    <s v="Low"/>
    <s v="Normal"/>
    <s v="CUST897-64"/>
    <x v="9"/>
    <s v="Tue"/>
  </r>
  <r>
    <n v="898"/>
    <d v="2023-11-02T00:00:00"/>
    <s v="CUST898"/>
    <x v="1"/>
    <x v="13"/>
    <x v="1"/>
    <x v="1"/>
    <n v="3"/>
    <n v="30"/>
    <n v="90"/>
    <s v="Normal"/>
    <s v="Low"/>
    <s v="Yes"/>
    <n v="18"/>
    <n v="72"/>
    <s v="Low"/>
    <s v="Normal"/>
    <s v="CUST898-42"/>
    <x v="0"/>
    <s v="Thu"/>
  </r>
  <r>
    <n v="899"/>
    <d v="2023-05-25T00:00:00"/>
    <s v="CUST899"/>
    <x v="0"/>
    <x v="1"/>
    <x v="0"/>
    <x v="1"/>
    <n v="2"/>
    <n v="300"/>
    <n v="600"/>
    <s v="Normal"/>
    <s v="Medium"/>
    <s v="Yes"/>
    <n v="90"/>
    <n v="510"/>
    <s v="Low"/>
    <s v="Normal"/>
    <s v="CUST899-26"/>
    <x v="3"/>
    <s v="Thu"/>
  </r>
  <r>
    <n v="900"/>
    <d v="2023-02-21T00:00:00"/>
    <s v="CUST900"/>
    <x v="0"/>
    <x v="34"/>
    <x v="0"/>
    <x v="1"/>
    <n v="2"/>
    <n v="30"/>
    <n v="60"/>
    <s v="Normal"/>
    <s v="Low"/>
    <s v="No"/>
    <n v="0"/>
    <n v="60"/>
    <s v="Low"/>
    <s v="Normal"/>
    <s v="CUST900-21"/>
    <x v="1"/>
    <s v="Tue"/>
  </r>
  <r>
    <n v="901"/>
    <d v="2023-04-10T00:00:00"/>
    <s v="CUST901"/>
    <x v="0"/>
    <x v="33"/>
    <x v="0"/>
    <x v="2"/>
    <n v="1"/>
    <n v="30"/>
    <n v="30"/>
    <s v="Normal"/>
    <s v="Low"/>
    <s v="Yes"/>
    <n v="4.5"/>
    <n v="25.5"/>
    <s v="Low"/>
    <s v="Normal"/>
    <s v="CUST901-31"/>
    <x v="4"/>
    <s v="Mon"/>
  </r>
  <r>
    <n v="902"/>
    <d v="2023-06-01T00:00:00"/>
    <s v="CUST902"/>
    <x v="1"/>
    <x v="31"/>
    <x v="1"/>
    <x v="0"/>
    <n v="1"/>
    <n v="50"/>
    <n v="50"/>
    <s v="Normal"/>
    <s v="Low"/>
    <s v="Yes"/>
    <n v="10"/>
    <n v="40"/>
    <s v="Low"/>
    <s v="Normal"/>
    <s v="CUST902-54"/>
    <x v="10"/>
    <s v="Thu"/>
  </r>
  <r>
    <n v="903"/>
    <d v="2023-04-27T00:00:00"/>
    <s v="CUST903"/>
    <x v="1"/>
    <x v="25"/>
    <x v="1"/>
    <x v="0"/>
    <n v="4"/>
    <n v="50"/>
    <n v="200"/>
    <s v="Normal"/>
    <s v="Low"/>
    <s v="Yes"/>
    <n v="40"/>
    <n v="160"/>
    <s v="Low"/>
    <s v="Normal"/>
    <s v="CUST903-51"/>
    <x v="4"/>
    <s v="Thu"/>
  </r>
  <r>
    <n v="904"/>
    <d v="2023-07-04T00:00:00"/>
    <s v="CUST904"/>
    <x v="0"/>
    <x v="20"/>
    <x v="0"/>
    <x v="1"/>
    <n v="1"/>
    <n v="500"/>
    <n v="500"/>
    <s v="Normal"/>
    <s v="Medium"/>
    <s v="Yes"/>
    <n v="75"/>
    <n v="425"/>
    <s v="Low"/>
    <s v="Normal"/>
    <s v="CUST904-28"/>
    <x v="11"/>
    <s v="Tue"/>
  </r>
  <r>
    <n v="905"/>
    <d v="2023-04-02T00:00:00"/>
    <s v="CUST905"/>
    <x v="0"/>
    <x v="26"/>
    <x v="1"/>
    <x v="0"/>
    <n v="1"/>
    <n v="300"/>
    <n v="300"/>
    <s v="Normal"/>
    <s v="Low"/>
    <s v="Yes"/>
    <n v="30"/>
    <n v="270"/>
    <s v="Low"/>
    <s v="Normal"/>
    <s v="CUST905-58"/>
    <x v="4"/>
    <s v="Sun"/>
  </r>
  <r>
    <n v="906"/>
    <d v="2023-06-04T00:00:00"/>
    <s v="CUST906"/>
    <x v="1"/>
    <x v="29"/>
    <x v="0"/>
    <x v="1"/>
    <n v="1"/>
    <n v="50"/>
    <n v="50"/>
    <s v="Normal"/>
    <s v="Low"/>
    <s v="No"/>
    <n v="0"/>
    <n v="50"/>
    <s v="Low"/>
    <s v="Normal"/>
    <s v="CUST906-20"/>
    <x v="10"/>
    <s v="Sun"/>
  </r>
  <r>
    <n v="907"/>
    <d v="2023-01-08T00:00:00"/>
    <s v="CUST907"/>
    <x v="1"/>
    <x v="5"/>
    <x v="1"/>
    <x v="2"/>
    <n v="1"/>
    <n v="25"/>
    <n v="25"/>
    <s v="Normal"/>
    <s v="Low"/>
    <s v="Yes"/>
    <n v="5"/>
    <n v="20"/>
    <s v="Low"/>
    <s v="Normal"/>
    <s v="CUST907-45"/>
    <x v="2"/>
    <s v="Sun"/>
  </r>
  <r>
    <n v="908"/>
    <d v="2023-12-29T00:00:00"/>
    <s v="CUST908"/>
    <x v="0"/>
    <x v="6"/>
    <x v="1"/>
    <x v="0"/>
    <n v="4"/>
    <n v="300"/>
    <n v="1200"/>
    <s v="High"/>
    <s v="High"/>
    <s v="Yes"/>
    <n v="120"/>
    <n v="1080"/>
    <s v="High"/>
    <s v="Normal"/>
    <s v="CUST908-46"/>
    <x v="6"/>
    <s v="Fri"/>
  </r>
  <r>
    <n v="909"/>
    <d v="2023-10-01T00:00:00"/>
    <s v="CUST909"/>
    <x v="0"/>
    <x v="1"/>
    <x v="0"/>
    <x v="2"/>
    <n v="1"/>
    <n v="300"/>
    <n v="300"/>
    <s v="Normal"/>
    <s v="Low"/>
    <s v="Yes"/>
    <n v="45"/>
    <n v="255"/>
    <s v="Low"/>
    <s v="Normal"/>
    <s v="CUST909-26"/>
    <x v="7"/>
    <s v="Sun"/>
  </r>
  <r>
    <n v="910"/>
    <d v="2023-03-06T00:00:00"/>
    <s v="CUST910"/>
    <x v="1"/>
    <x v="29"/>
    <x v="0"/>
    <x v="0"/>
    <n v="3"/>
    <n v="50"/>
    <n v="150"/>
    <s v="Normal"/>
    <s v="Low"/>
    <s v="No"/>
    <n v="0"/>
    <n v="150"/>
    <s v="Low"/>
    <s v="Normal"/>
    <s v="CUST910-20"/>
    <x v="5"/>
    <s v="Mon"/>
  </r>
  <r>
    <n v="911"/>
    <d v="2023-05-21T00:00:00"/>
    <s v="CUST911"/>
    <x v="0"/>
    <x v="13"/>
    <x v="1"/>
    <x v="2"/>
    <n v="3"/>
    <n v="300"/>
    <n v="900"/>
    <s v="Normal"/>
    <s v="Medium"/>
    <s v="Yes"/>
    <n v="90"/>
    <n v="810"/>
    <s v="Low"/>
    <s v="Normal"/>
    <s v="CUST911-42"/>
    <x v="3"/>
    <s v="Sun"/>
  </r>
  <r>
    <n v="912"/>
    <d v="2023-01-24T00:00:00"/>
    <s v="CUST912"/>
    <x v="0"/>
    <x v="25"/>
    <x v="1"/>
    <x v="0"/>
    <n v="3"/>
    <n v="50"/>
    <n v="150"/>
    <s v="Normal"/>
    <s v="Low"/>
    <s v="Yes"/>
    <n v="15"/>
    <n v="135"/>
    <s v="Low"/>
    <s v="Normal"/>
    <s v="CUST912-51"/>
    <x v="2"/>
    <s v="Tue"/>
  </r>
  <r>
    <n v="913"/>
    <d v="2023-01-28T00:00:00"/>
    <s v="CUST913"/>
    <x v="0"/>
    <x v="38"/>
    <x v="0"/>
    <x v="2"/>
    <n v="3"/>
    <n v="30"/>
    <n v="90"/>
    <s v="Normal"/>
    <s v="Low"/>
    <s v="Yes"/>
    <n v="13.5"/>
    <n v="76.5"/>
    <s v="Low"/>
    <s v="Normal"/>
    <s v="CUST913-29"/>
    <x v="2"/>
    <s v="Sat"/>
  </r>
  <r>
    <n v="914"/>
    <d v="2023-10-11T00:00:00"/>
    <s v="CUST914"/>
    <x v="1"/>
    <x v="42"/>
    <x v="1"/>
    <x v="2"/>
    <n v="1"/>
    <n v="500"/>
    <n v="500"/>
    <s v="Normal"/>
    <s v="Medium"/>
    <s v="Yes"/>
    <n v="100"/>
    <n v="400"/>
    <s v="Low"/>
    <s v="Normal"/>
    <s v="CUST914-59"/>
    <x v="7"/>
    <s v="Wed"/>
  </r>
  <r>
    <n v="915"/>
    <d v="2023-05-30T00:00:00"/>
    <s v="CUST915"/>
    <x v="1"/>
    <x v="1"/>
    <x v="0"/>
    <x v="0"/>
    <n v="3"/>
    <n v="30"/>
    <n v="90"/>
    <s v="Normal"/>
    <s v="Low"/>
    <s v="Yes"/>
    <n v="13.5"/>
    <n v="76.5"/>
    <s v="Low"/>
    <s v="Normal"/>
    <s v="CUST915-26"/>
    <x v="3"/>
    <s v="Tue"/>
  </r>
  <r>
    <n v="916"/>
    <d v="2023-12-24T00:00:00"/>
    <s v="CUST916"/>
    <x v="1"/>
    <x v="40"/>
    <x v="0"/>
    <x v="2"/>
    <n v="1"/>
    <n v="50"/>
    <n v="50"/>
    <s v="Normal"/>
    <s v="Low"/>
    <s v="Yes"/>
    <n v="7.5"/>
    <n v="42.5"/>
    <s v="Low"/>
    <s v="Normal"/>
    <s v="CUST916-32"/>
    <x v="6"/>
    <s v="Sun"/>
  </r>
  <r>
    <n v="917"/>
    <d v="2023-03-06T00:00:00"/>
    <s v="CUST917"/>
    <x v="1"/>
    <x v="35"/>
    <x v="1"/>
    <x v="2"/>
    <n v="4"/>
    <n v="50"/>
    <n v="200"/>
    <s v="Normal"/>
    <s v="Low"/>
    <s v="Yes"/>
    <n v="40"/>
    <n v="160"/>
    <s v="Low"/>
    <s v="Normal"/>
    <s v="CUST917-57"/>
    <x v="5"/>
    <s v="Mon"/>
  </r>
  <r>
    <n v="918"/>
    <d v="2023-11-23T00:00:00"/>
    <s v="CUST918"/>
    <x v="1"/>
    <x v="13"/>
    <x v="1"/>
    <x v="2"/>
    <n v="3"/>
    <n v="30"/>
    <n v="90"/>
    <s v="Normal"/>
    <s v="Low"/>
    <s v="Yes"/>
    <n v="18"/>
    <n v="72"/>
    <s v="Low"/>
    <s v="Normal"/>
    <s v="CUST918-42"/>
    <x v="0"/>
    <s v="Thu"/>
  </r>
  <r>
    <n v="919"/>
    <d v="2023-09-09T00:00:00"/>
    <s v="CUST919"/>
    <x v="1"/>
    <x v="11"/>
    <x v="0"/>
    <x v="0"/>
    <n v="2"/>
    <n v="25"/>
    <n v="50"/>
    <s v="Normal"/>
    <s v="Low"/>
    <s v="No"/>
    <n v="0"/>
    <n v="50"/>
    <s v="Low"/>
    <s v="Normal"/>
    <s v="CUST919-22"/>
    <x v="9"/>
    <s v="Sat"/>
  </r>
  <r>
    <n v="920"/>
    <d v="2023-02-22T00:00:00"/>
    <s v="CUST920"/>
    <x v="1"/>
    <x v="20"/>
    <x v="0"/>
    <x v="0"/>
    <n v="3"/>
    <n v="25"/>
    <n v="75"/>
    <s v="Normal"/>
    <s v="Low"/>
    <s v="Yes"/>
    <n v="11.25"/>
    <n v="63.75"/>
    <s v="Low"/>
    <s v="Normal"/>
    <s v="CUST920-28"/>
    <x v="1"/>
    <s v="Wed"/>
  </r>
  <r>
    <n v="921"/>
    <d v="2023-01-07T00:00:00"/>
    <s v="CUST921"/>
    <x v="0"/>
    <x v="25"/>
    <x v="1"/>
    <x v="2"/>
    <n v="3"/>
    <n v="25"/>
    <n v="75"/>
    <s v="Normal"/>
    <s v="Low"/>
    <s v="Yes"/>
    <n v="7.5"/>
    <n v="67.5"/>
    <s v="Low"/>
    <s v="Normal"/>
    <s v="CUST921-51"/>
    <x v="2"/>
    <s v="Sat"/>
  </r>
  <r>
    <n v="922"/>
    <d v="2023-10-21T00:00:00"/>
    <s v="CUST922"/>
    <x v="0"/>
    <x v="41"/>
    <x v="1"/>
    <x v="2"/>
    <n v="1"/>
    <n v="50"/>
    <n v="50"/>
    <s v="Normal"/>
    <s v="Low"/>
    <s v="Yes"/>
    <n v="5"/>
    <n v="45"/>
    <s v="Low"/>
    <s v="Normal"/>
    <s v="CUST922-41"/>
    <x v="7"/>
    <s v="Sat"/>
  </r>
  <r>
    <n v="923"/>
    <d v="2023-05-26T00:00:00"/>
    <s v="CUST923"/>
    <x v="0"/>
    <x v="40"/>
    <x v="0"/>
    <x v="0"/>
    <n v="3"/>
    <n v="300"/>
    <n v="900"/>
    <s v="Normal"/>
    <s v="Medium"/>
    <s v="Yes"/>
    <n v="135"/>
    <n v="765"/>
    <s v="Low"/>
    <s v="Normal"/>
    <s v="CUST923-32"/>
    <x v="3"/>
    <s v="Fri"/>
  </r>
  <r>
    <n v="924"/>
    <d v="2023-08-29T00:00:00"/>
    <s v="CUST924"/>
    <x v="0"/>
    <x v="28"/>
    <x v="1"/>
    <x v="0"/>
    <n v="2"/>
    <n v="50"/>
    <n v="100"/>
    <s v="Normal"/>
    <s v="Low"/>
    <s v="Yes"/>
    <n v="10"/>
    <n v="90"/>
    <s v="Low"/>
    <s v="Normal"/>
    <s v="CUST924-55"/>
    <x v="8"/>
    <s v="Tue"/>
  </r>
  <r>
    <n v="925"/>
    <d v="2023-09-03T00:00:00"/>
    <s v="CUST925"/>
    <x v="0"/>
    <x v="36"/>
    <x v="0"/>
    <x v="2"/>
    <n v="1"/>
    <n v="300"/>
    <n v="300"/>
    <s v="Normal"/>
    <s v="Low"/>
    <s v="Yes"/>
    <n v="45"/>
    <n v="255"/>
    <s v="Low"/>
    <s v="Normal"/>
    <s v="CUST925-25"/>
    <x v="9"/>
    <s v="Sun"/>
  </r>
  <r>
    <n v="926"/>
    <d v="2023-08-14T00:00:00"/>
    <s v="CUST926"/>
    <x v="0"/>
    <x v="11"/>
    <x v="0"/>
    <x v="2"/>
    <n v="1"/>
    <n v="30"/>
    <n v="30"/>
    <s v="Normal"/>
    <s v="Low"/>
    <s v="No"/>
    <n v="0"/>
    <n v="30"/>
    <s v="Low"/>
    <s v="Normal"/>
    <s v="CUST926-22"/>
    <x v="8"/>
    <s v="Mon"/>
  </r>
  <r>
    <n v="927"/>
    <d v="2023-06-24T00:00:00"/>
    <s v="CUST927"/>
    <x v="0"/>
    <x v="22"/>
    <x v="1"/>
    <x v="2"/>
    <n v="4"/>
    <n v="500"/>
    <n v="2000"/>
    <s v="Critical"/>
    <s v="High"/>
    <s v="Yes"/>
    <n v="200"/>
    <n v="1800"/>
    <s v="High"/>
    <b v="1"/>
    <s v="CUST927-43"/>
    <x v="10"/>
    <s v="Sat"/>
  </r>
  <r>
    <n v="928"/>
    <d v="2023-04-05T00:00:00"/>
    <s v="CUST928"/>
    <x v="1"/>
    <x v="10"/>
    <x v="0"/>
    <x v="1"/>
    <n v="4"/>
    <n v="300"/>
    <n v="1200"/>
    <s v="High"/>
    <s v="High"/>
    <s v="Yes"/>
    <n v="240"/>
    <n v="960"/>
    <s v="High"/>
    <s v="Normal"/>
    <s v="CUST928-35"/>
    <x v="4"/>
    <s v="Wed"/>
  </r>
  <r>
    <n v="929"/>
    <d v="2023-01-27T00:00:00"/>
    <s v="CUST929"/>
    <x v="1"/>
    <x v="9"/>
    <x v="0"/>
    <x v="0"/>
    <n v="3"/>
    <n v="25"/>
    <n v="75"/>
    <s v="Normal"/>
    <s v="Low"/>
    <s v="No"/>
    <n v="0"/>
    <n v="75"/>
    <s v="Low"/>
    <s v="Normal"/>
    <s v="CUST929-23"/>
    <x v="2"/>
    <s v="Fri"/>
  </r>
  <r>
    <n v="930"/>
    <d v="2023-05-10T00:00:00"/>
    <s v="CUST930"/>
    <x v="0"/>
    <x v="31"/>
    <x v="1"/>
    <x v="1"/>
    <n v="4"/>
    <n v="50"/>
    <n v="200"/>
    <s v="Normal"/>
    <s v="Low"/>
    <s v="Yes"/>
    <n v="20"/>
    <n v="180"/>
    <s v="Low"/>
    <s v="Normal"/>
    <s v="CUST930-54"/>
    <x v="3"/>
    <s v="Wed"/>
  </r>
  <r>
    <n v="931"/>
    <d v="2023-09-02T00:00:00"/>
    <s v="CUST931"/>
    <x v="0"/>
    <x v="4"/>
    <x v="0"/>
    <x v="0"/>
    <n v="4"/>
    <n v="30"/>
    <n v="120"/>
    <s v="Normal"/>
    <s v="Low"/>
    <s v="Yes"/>
    <n v="18"/>
    <n v="102"/>
    <s v="Low"/>
    <s v="Normal"/>
    <s v="CUST931-30"/>
    <x v="9"/>
    <s v="Sat"/>
  </r>
  <r>
    <n v="932"/>
    <d v="2023-02-28T00:00:00"/>
    <s v="CUST932"/>
    <x v="1"/>
    <x v="5"/>
    <x v="1"/>
    <x v="0"/>
    <n v="4"/>
    <n v="25"/>
    <n v="100"/>
    <s v="Normal"/>
    <s v="Low"/>
    <s v="Yes"/>
    <n v="20"/>
    <n v="80"/>
    <s v="Low"/>
    <s v="Normal"/>
    <s v="CUST932-45"/>
    <x v="1"/>
    <s v="Tue"/>
  </r>
  <r>
    <n v="933"/>
    <d v="2023-02-03T00:00:00"/>
    <s v="CUST933"/>
    <x v="0"/>
    <x v="11"/>
    <x v="0"/>
    <x v="0"/>
    <n v="1"/>
    <n v="30"/>
    <n v="30"/>
    <s v="Normal"/>
    <s v="Low"/>
    <s v="No"/>
    <n v="0"/>
    <n v="30"/>
    <s v="Low"/>
    <s v="Normal"/>
    <s v="CUST933-22"/>
    <x v="1"/>
    <s v="Fri"/>
  </r>
  <r>
    <n v="934"/>
    <d v="2023-07-25T00:00:00"/>
    <s v="CUST934"/>
    <x v="0"/>
    <x v="4"/>
    <x v="0"/>
    <x v="0"/>
    <n v="1"/>
    <n v="500"/>
    <n v="500"/>
    <s v="Normal"/>
    <s v="Medium"/>
    <s v="Yes"/>
    <n v="75"/>
    <n v="425"/>
    <s v="Low"/>
    <s v="Normal"/>
    <s v="CUST934-30"/>
    <x v="11"/>
    <s v="Tue"/>
  </r>
  <r>
    <n v="935"/>
    <d v="2023-09-09T00:00:00"/>
    <s v="CUST935"/>
    <x v="1"/>
    <x v="0"/>
    <x v="0"/>
    <x v="0"/>
    <n v="1"/>
    <n v="50"/>
    <n v="50"/>
    <s v="Normal"/>
    <s v="Low"/>
    <s v="Yes"/>
    <n v="7.5"/>
    <n v="42.5"/>
    <s v="Low"/>
    <s v="Normal"/>
    <s v="CUST935-34"/>
    <x v="9"/>
    <s v="Sat"/>
  </r>
  <r>
    <n v="936"/>
    <d v="2023-02-07T00:00:00"/>
    <s v="CUST936"/>
    <x v="0"/>
    <x v="35"/>
    <x v="1"/>
    <x v="0"/>
    <n v="4"/>
    <n v="50"/>
    <n v="200"/>
    <s v="Normal"/>
    <s v="Low"/>
    <s v="Yes"/>
    <n v="20"/>
    <n v="180"/>
    <s v="Low"/>
    <s v="Normal"/>
    <s v="CUST936-57"/>
    <x v="1"/>
    <s v="Tue"/>
  </r>
  <r>
    <n v="937"/>
    <d v="2023-10-23T00:00:00"/>
    <s v="CUST937"/>
    <x v="1"/>
    <x v="17"/>
    <x v="1"/>
    <x v="0"/>
    <n v="1"/>
    <n v="500"/>
    <n v="500"/>
    <s v="Normal"/>
    <s v="Medium"/>
    <s v="Yes"/>
    <n v="100"/>
    <n v="400"/>
    <s v="Low"/>
    <s v="Normal"/>
    <s v="CUST937-62"/>
    <x v="7"/>
    <s v="Mon"/>
  </r>
  <r>
    <n v="938"/>
    <d v="2023-11-19T00:00:00"/>
    <s v="CUST938"/>
    <x v="0"/>
    <x v="19"/>
    <x v="1"/>
    <x v="1"/>
    <n v="4"/>
    <n v="50"/>
    <n v="200"/>
    <s v="Normal"/>
    <s v="Low"/>
    <s v="Yes"/>
    <n v="20"/>
    <n v="180"/>
    <s v="Low"/>
    <s v="Normal"/>
    <s v="CUST938-49"/>
    <x v="0"/>
    <s v="Sun"/>
  </r>
  <r>
    <n v="939"/>
    <d v="2023-12-18T00:00:00"/>
    <s v="CUST939"/>
    <x v="1"/>
    <x v="6"/>
    <x v="1"/>
    <x v="2"/>
    <n v="1"/>
    <n v="300"/>
    <n v="300"/>
    <s v="Normal"/>
    <s v="Low"/>
    <s v="Yes"/>
    <n v="60"/>
    <n v="240"/>
    <s v="Low"/>
    <s v="Normal"/>
    <s v="CUST939-46"/>
    <x v="6"/>
    <s v="Mon"/>
  </r>
  <r>
    <n v="940"/>
    <d v="2023-01-28T00:00:00"/>
    <s v="CUST940"/>
    <x v="1"/>
    <x v="29"/>
    <x v="0"/>
    <x v="2"/>
    <n v="1"/>
    <n v="30"/>
    <n v="30"/>
    <s v="Normal"/>
    <s v="Low"/>
    <s v="No"/>
    <n v="0"/>
    <n v="30"/>
    <s v="Low"/>
    <s v="Normal"/>
    <s v="CUST940-20"/>
    <x v="2"/>
    <s v="Sat"/>
  </r>
  <r>
    <n v="941"/>
    <d v="2023-03-19T00:00:00"/>
    <s v="CUST941"/>
    <x v="1"/>
    <x v="35"/>
    <x v="1"/>
    <x v="1"/>
    <n v="2"/>
    <n v="25"/>
    <n v="50"/>
    <s v="Normal"/>
    <s v="Low"/>
    <s v="Yes"/>
    <n v="10"/>
    <n v="40"/>
    <s v="Low"/>
    <s v="Normal"/>
    <s v="CUST941-57"/>
    <x v="5"/>
    <s v="Sun"/>
  </r>
  <r>
    <n v="942"/>
    <d v="2023-03-18T00:00:00"/>
    <s v="CUST942"/>
    <x v="0"/>
    <x v="25"/>
    <x v="1"/>
    <x v="1"/>
    <n v="3"/>
    <n v="500"/>
    <n v="1500"/>
    <s v="Critical"/>
    <s v="High"/>
    <s v="Yes"/>
    <n v="150"/>
    <n v="1350"/>
    <s v="High"/>
    <b v="1"/>
    <s v="CUST942-51"/>
    <x v="5"/>
    <s v="Sat"/>
  </r>
  <r>
    <n v="943"/>
    <d v="2023-10-16T00:00:00"/>
    <s v="CUST943"/>
    <x v="1"/>
    <x v="35"/>
    <x v="1"/>
    <x v="1"/>
    <n v="4"/>
    <n v="300"/>
    <n v="1200"/>
    <s v="High"/>
    <s v="High"/>
    <s v="Yes"/>
    <n v="240"/>
    <n v="960"/>
    <s v="High"/>
    <s v="Normal"/>
    <s v="CUST943-57"/>
    <x v="7"/>
    <s v="Mon"/>
  </r>
  <r>
    <n v="944"/>
    <d v="2023-06-05T00:00:00"/>
    <s v="CUST944"/>
    <x v="0"/>
    <x v="24"/>
    <x v="1"/>
    <x v="1"/>
    <n v="2"/>
    <n v="25"/>
    <n v="50"/>
    <s v="Normal"/>
    <s v="Low"/>
    <s v="Yes"/>
    <n v="5"/>
    <n v="45"/>
    <s v="Low"/>
    <s v="Normal"/>
    <s v="CUST944-44"/>
    <x v="10"/>
    <s v="Mon"/>
  </r>
  <r>
    <n v="945"/>
    <d v="2023-02-13T00:00:00"/>
    <s v="CUST945"/>
    <x v="0"/>
    <x v="4"/>
    <x v="0"/>
    <x v="0"/>
    <n v="1"/>
    <n v="25"/>
    <n v="25"/>
    <s v="Normal"/>
    <s v="Low"/>
    <s v="Yes"/>
    <n v="3.75"/>
    <n v="21.25"/>
    <s v="Low"/>
    <s v="Normal"/>
    <s v="CUST945-30"/>
    <x v="1"/>
    <s v="Mon"/>
  </r>
  <r>
    <n v="946"/>
    <d v="2023-05-08T00:00:00"/>
    <s v="CUST946"/>
    <x v="0"/>
    <x v="17"/>
    <x v="1"/>
    <x v="2"/>
    <n v="4"/>
    <n v="500"/>
    <n v="2000"/>
    <s v="Critical"/>
    <s v="High"/>
    <s v="Yes"/>
    <n v="200"/>
    <n v="1800"/>
    <s v="High"/>
    <b v="1"/>
    <s v="CUST946-62"/>
    <x v="3"/>
    <s v="Mon"/>
  </r>
  <r>
    <n v="947"/>
    <d v="2023-03-02T00:00:00"/>
    <s v="CUST947"/>
    <x v="0"/>
    <x v="2"/>
    <x v="1"/>
    <x v="0"/>
    <n v="1"/>
    <n v="300"/>
    <n v="300"/>
    <s v="Normal"/>
    <s v="Low"/>
    <s v="Yes"/>
    <n v="30"/>
    <n v="270"/>
    <s v="Low"/>
    <s v="Normal"/>
    <s v="CUST947-50"/>
    <x v="5"/>
    <s v="Thu"/>
  </r>
  <r>
    <n v="948"/>
    <d v="2023-10-13T00:00:00"/>
    <s v="CUST948"/>
    <x v="1"/>
    <x v="9"/>
    <x v="0"/>
    <x v="2"/>
    <n v="3"/>
    <n v="25"/>
    <n v="75"/>
    <s v="Normal"/>
    <s v="Low"/>
    <s v="No"/>
    <n v="0"/>
    <n v="75"/>
    <s v="Low"/>
    <s v="Normal"/>
    <s v="CUST948-23"/>
    <x v="7"/>
    <s v="Fri"/>
  </r>
  <r>
    <n v="949"/>
    <d v="2023-08-02T00:00:00"/>
    <s v="CUST949"/>
    <x v="1"/>
    <x v="41"/>
    <x v="1"/>
    <x v="2"/>
    <n v="2"/>
    <n v="25"/>
    <n v="50"/>
    <s v="Normal"/>
    <s v="Low"/>
    <s v="Yes"/>
    <n v="10"/>
    <n v="40"/>
    <s v="Low"/>
    <s v="Normal"/>
    <s v="CUST949-41"/>
    <x v="8"/>
    <s v="Wed"/>
  </r>
  <r>
    <n v="950"/>
    <d v="2023-11-07T00:00:00"/>
    <s v="CUST950"/>
    <x v="0"/>
    <x v="32"/>
    <x v="0"/>
    <x v="1"/>
    <n v="3"/>
    <n v="300"/>
    <n v="900"/>
    <s v="Normal"/>
    <s v="Medium"/>
    <s v="Yes"/>
    <n v="90"/>
    <n v="810"/>
    <s v="Low"/>
    <s v="Normal"/>
    <s v="CUST950-36"/>
    <x v="0"/>
    <s v="Tue"/>
  </r>
  <r>
    <n v="951"/>
    <d v="2023-11-02T00:00:00"/>
    <s v="CUST951"/>
    <x v="0"/>
    <x v="44"/>
    <x v="0"/>
    <x v="0"/>
    <n v="2"/>
    <n v="50"/>
    <n v="100"/>
    <s v="Normal"/>
    <s v="Low"/>
    <s v="Yes"/>
    <n v="15"/>
    <n v="85"/>
    <s v="Low"/>
    <s v="Normal"/>
    <s v="CUST951-33"/>
    <x v="0"/>
    <s v="Thu"/>
  </r>
  <r>
    <n v="952"/>
    <d v="2023-11-13T00:00:00"/>
    <s v="CUST952"/>
    <x v="1"/>
    <x v="35"/>
    <x v="1"/>
    <x v="1"/>
    <n v="1"/>
    <n v="25"/>
    <n v="25"/>
    <s v="Normal"/>
    <s v="Low"/>
    <s v="Yes"/>
    <n v="5"/>
    <n v="20"/>
    <s v="Low"/>
    <s v="Normal"/>
    <s v="CUST952-57"/>
    <x v="0"/>
    <s v="Mon"/>
  </r>
  <r>
    <n v="953"/>
    <d v="2023-04-26T00:00:00"/>
    <s v="CUST953"/>
    <x v="0"/>
    <x v="5"/>
    <x v="1"/>
    <x v="0"/>
    <n v="3"/>
    <n v="30"/>
    <n v="90"/>
    <s v="Normal"/>
    <s v="Low"/>
    <s v="Yes"/>
    <n v="9"/>
    <n v="81"/>
    <s v="Low"/>
    <s v="Normal"/>
    <s v="CUST953-45"/>
    <x v="4"/>
    <s v="Wed"/>
  </r>
  <r>
    <n v="954"/>
    <d v="2023-09-25T00:00:00"/>
    <s v="CUST954"/>
    <x v="1"/>
    <x v="2"/>
    <x v="1"/>
    <x v="2"/>
    <n v="3"/>
    <n v="300"/>
    <n v="900"/>
    <s v="Normal"/>
    <s v="Medium"/>
    <s v="Yes"/>
    <n v="180"/>
    <n v="720"/>
    <s v="Low"/>
    <s v="Normal"/>
    <s v="CUST954-50"/>
    <x v="9"/>
    <s v="Mon"/>
  </r>
  <r>
    <n v="955"/>
    <d v="2023-07-14T00:00:00"/>
    <s v="CUST955"/>
    <x v="0"/>
    <x v="26"/>
    <x v="1"/>
    <x v="1"/>
    <n v="1"/>
    <n v="25"/>
    <n v="25"/>
    <s v="Normal"/>
    <s v="Low"/>
    <s v="Yes"/>
    <n v="2.5"/>
    <n v="22.5"/>
    <s v="Low"/>
    <s v="Normal"/>
    <s v="CUST955-58"/>
    <x v="11"/>
    <s v="Fri"/>
  </r>
  <r>
    <n v="956"/>
    <d v="2023-08-19T00:00:00"/>
    <s v="CUST956"/>
    <x v="0"/>
    <x v="4"/>
    <x v="0"/>
    <x v="1"/>
    <n v="3"/>
    <n v="500"/>
    <n v="1500"/>
    <s v="Critical"/>
    <s v="High"/>
    <s v="Yes"/>
    <n v="225"/>
    <n v="1275"/>
    <s v="High"/>
    <b v="1"/>
    <s v="CUST956-30"/>
    <x v="8"/>
    <s v="Sat"/>
  </r>
  <r>
    <n v="957"/>
    <d v="2023-08-15T00:00:00"/>
    <s v="CUST957"/>
    <x v="1"/>
    <x v="43"/>
    <x v="1"/>
    <x v="2"/>
    <n v="4"/>
    <n v="30"/>
    <n v="120"/>
    <s v="Normal"/>
    <s v="Low"/>
    <s v="Yes"/>
    <n v="24"/>
    <n v="96"/>
    <s v="Low"/>
    <s v="Normal"/>
    <s v="CUST957-60"/>
    <x v="8"/>
    <s v="Tue"/>
  </r>
  <r>
    <n v="958"/>
    <d v="2023-06-02T00:00:00"/>
    <s v="CUST958"/>
    <x v="0"/>
    <x v="17"/>
    <x v="1"/>
    <x v="2"/>
    <n v="2"/>
    <n v="25"/>
    <n v="50"/>
    <s v="Normal"/>
    <s v="Low"/>
    <s v="Yes"/>
    <n v="5"/>
    <n v="45"/>
    <s v="Low"/>
    <s v="Normal"/>
    <s v="CUST958-62"/>
    <x v="10"/>
    <s v="Fri"/>
  </r>
  <r>
    <n v="959"/>
    <d v="2023-10-29T00:00:00"/>
    <s v="CUST959"/>
    <x v="1"/>
    <x v="13"/>
    <x v="1"/>
    <x v="2"/>
    <n v="2"/>
    <n v="30"/>
    <n v="60"/>
    <s v="Normal"/>
    <s v="Low"/>
    <s v="Yes"/>
    <n v="12"/>
    <n v="48"/>
    <s v="Low"/>
    <s v="Normal"/>
    <s v="CUST959-42"/>
    <x v="7"/>
    <s v="Sun"/>
  </r>
  <r>
    <n v="960"/>
    <d v="2023-08-08T00:00:00"/>
    <s v="CUST960"/>
    <x v="0"/>
    <x v="42"/>
    <x v="1"/>
    <x v="1"/>
    <n v="2"/>
    <n v="30"/>
    <n v="60"/>
    <s v="Normal"/>
    <s v="Low"/>
    <s v="Yes"/>
    <n v="6"/>
    <n v="54"/>
    <s v="Low"/>
    <s v="Normal"/>
    <s v="CUST960-59"/>
    <x v="8"/>
    <s v="Tue"/>
  </r>
  <r>
    <n v="961"/>
    <d v="2023-06-06T00:00:00"/>
    <s v="CUST961"/>
    <x v="0"/>
    <x v="45"/>
    <x v="1"/>
    <x v="0"/>
    <n v="4"/>
    <n v="50"/>
    <n v="200"/>
    <s v="Normal"/>
    <s v="Low"/>
    <s v="Yes"/>
    <n v="20"/>
    <n v="180"/>
    <s v="Low"/>
    <s v="Normal"/>
    <s v="CUST961-53"/>
    <x v="10"/>
    <s v="Tue"/>
  </r>
  <r>
    <n v="962"/>
    <d v="2023-10-19T00:00:00"/>
    <s v="CUST962"/>
    <x v="0"/>
    <x v="24"/>
    <x v="1"/>
    <x v="1"/>
    <n v="2"/>
    <n v="30"/>
    <n v="60"/>
    <s v="Normal"/>
    <s v="Low"/>
    <s v="Yes"/>
    <n v="6"/>
    <n v="54"/>
    <s v="Low"/>
    <s v="Normal"/>
    <s v="CUST962-44"/>
    <x v="7"/>
    <s v="Thu"/>
  </r>
  <r>
    <n v="963"/>
    <d v="2023-11-14T00:00:00"/>
    <s v="CUST963"/>
    <x v="1"/>
    <x v="28"/>
    <x v="1"/>
    <x v="0"/>
    <n v="1"/>
    <n v="50"/>
    <n v="50"/>
    <s v="Normal"/>
    <s v="Low"/>
    <s v="Yes"/>
    <n v="10"/>
    <n v="40"/>
    <s v="Low"/>
    <s v="Normal"/>
    <s v="CUST963-55"/>
    <x v="0"/>
    <s v="Tue"/>
  </r>
  <r>
    <n v="964"/>
    <d v="2023-01-31T00:00:00"/>
    <s v="CUST964"/>
    <x v="0"/>
    <x v="46"/>
    <x v="0"/>
    <x v="1"/>
    <n v="3"/>
    <n v="300"/>
    <n v="900"/>
    <s v="Normal"/>
    <s v="Medium"/>
    <s v="No"/>
    <n v="0"/>
    <n v="900"/>
    <s v="Low"/>
    <s v="Normal"/>
    <s v="CUST964-24"/>
    <x v="2"/>
    <s v="Tue"/>
  </r>
  <r>
    <n v="965"/>
    <d v="2023-11-09T00:00:00"/>
    <s v="CUST965"/>
    <x v="0"/>
    <x v="11"/>
    <x v="0"/>
    <x v="1"/>
    <n v="4"/>
    <n v="50"/>
    <n v="200"/>
    <s v="Normal"/>
    <s v="Low"/>
    <s v="No"/>
    <n v="0"/>
    <n v="200"/>
    <s v="Low"/>
    <s v="Normal"/>
    <s v="CUST965-22"/>
    <x v="0"/>
    <s v="Thu"/>
  </r>
  <r>
    <n v="966"/>
    <d v="2023-02-20T00:00:00"/>
    <s v="CUST966"/>
    <x v="0"/>
    <x v="43"/>
    <x v="1"/>
    <x v="2"/>
    <n v="2"/>
    <n v="500"/>
    <n v="1000"/>
    <s v="High"/>
    <s v="High"/>
    <s v="Yes"/>
    <n v="100"/>
    <n v="900"/>
    <s v="High"/>
    <s v="Normal"/>
    <s v="CUST966-60"/>
    <x v="1"/>
    <s v="Mon"/>
  </r>
  <r>
    <n v="967"/>
    <d v="2023-04-17T00:00:00"/>
    <s v="CUST967"/>
    <x v="0"/>
    <x v="17"/>
    <x v="1"/>
    <x v="0"/>
    <n v="1"/>
    <n v="25"/>
    <n v="25"/>
    <s v="Normal"/>
    <s v="Low"/>
    <s v="Yes"/>
    <n v="2.5"/>
    <n v="22.5"/>
    <s v="Low"/>
    <s v="Normal"/>
    <s v="CUST967-62"/>
    <x v="4"/>
    <s v="Mon"/>
  </r>
  <r>
    <n v="968"/>
    <d v="2023-11-17T00:00:00"/>
    <s v="CUST968"/>
    <x v="1"/>
    <x v="27"/>
    <x v="1"/>
    <x v="1"/>
    <n v="3"/>
    <n v="300"/>
    <n v="900"/>
    <s v="Normal"/>
    <s v="Medium"/>
    <s v="Yes"/>
    <n v="180"/>
    <n v="720"/>
    <s v="Low"/>
    <s v="Normal"/>
    <s v="CUST968-48"/>
    <x v="0"/>
    <s v="Fri"/>
  </r>
  <r>
    <n v="969"/>
    <d v="2023-04-19T00:00:00"/>
    <s v="CUST969"/>
    <x v="1"/>
    <x v="30"/>
    <x v="0"/>
    <x v="1"/>
    <n v="3"/>
    <n v="300"/>
    <n v="900"/>
    <s v="Normal"/>
    <s v="Medium"/>
    <s v="Yes"/>
    <n v="180"/>
    <n v="720"/>
    <s v="Low"/>
    <s v="Normal"/>
    <s v="CUST969-40"/>
    <x v="4"/>
    <s v="Wed"/>
  </r>
  <r>
    <n v="970"/>
    <d v="2023-05-16T00:00:00"/>
    <s v="CUST970"/>
    <x v="0"/>
    <x v="42"/>
    <x v="1"/>
    <x v="2"/>
    <n v="4"/>
    <n v="500"/>
    <n v="2000"/>
    <s v="Critical"/>
    <s v="High"/>
    <s v="Yes"/>
    <n v="200"/>
    <n v="1800"/>
    <s v="High"/>
    <b v="1"/>
    <s v="CUST970-59"/>
    <x v="3"/>
    <s v="Tue"/>
  </r>
  <r>
    <n v="971"/>
    <d v="2023-12-05T00:00:00"/>
    <s v="CUST971"/>
    <x v="1"/>
    <x v="15"/>
    <x v="0"/>
    <x v="2"/>
    <n v="4"/>
    <n v="50"/>
    <n v="200"/>
    <s v="Normal"/>
    <s v="Low"/>
    <s v="Yes"/>
    <n v="30"/>
    <n v="170"/>
    <s v="Low"/>
    <s v="Normal"/>
    <s v="CUST971-27"/>
    <x v="6"/>
    <s v="Tue"/>
  </r>
  <r>
    <n v="972"/>
    <d v="2023-02-11T00:00:00"/>
    <s v="CUST972"/>
    <x v="0"/>
    <x v="19"/>
    <x v="1"/>
    <x v="0"/>
    <n v="4"/>
    <n v="25"/>
    <n v="100"/>
    <s v="Normal"/>
    <s v="Low"/>
    <s v="Yes"/>
    <n v="10"/>
    <n v="90"/>
    <s v="Low"/>
    <s v="Normal"/>
    <s v="CUST972-49"/>
    <x v="1"/>
    <s v="Sat"/>
  </r>
  <r>
    <n v="973"/>
    <d v="2023-03-22T00:00:00"/>
    <s v="CUST973"/>
    <x v="0"/>
    <x v="43"/>
    <x v="1"/>
    <x v="1"/>
    <n v="1"/>
    <n v="50"/>
    <n v="50"/>
    <s v="Normal"/>
    <s v="Low"/>
    <s v="Yes"/>
    <n v="5"/>
    <n v="45"/>
    <s v="Low"/>
    <s v="Normal"/>
    <s v="CUST973-60"/>
    <x v="5"/>
    <s v="Wed"/>
  </r>
  <r>
    <n v="974"/>
    <d v="2023-05-03T00:00:00"/>
    <s v="CUST974"/>
    <x v="0"/>
    <x v="16"/>
    <x v="1"/>
    <x v="0"/>
    <n v="1"/>
    <n v="30"/>
    <n v="30"/>
    <s v="Normal"/>
    <s v="Low"/>
    <s v="Yes"/>
    <n v="3"/>
    <n v="27"/>
    <s v="Low"/>
    <s v="Normal"/>
    <s v="CUST974-47"/>
    <x v="3"/>
    <s v="Wed"/>
  </r>
  <r>
    <n v="975"/>
    <d v="2023-03-30T00:00:00"/>
    <s v="CUST975"/>
    <x v="1"/>
    <x v="37"/>
    <x v="1"/>
    <x v="1"/>
    <n v="4"/>
    <n v="50"/>
    <n v="200"/>
    <s v="Normal"/>
    <s v="Low"/>
    <s v="Yes"/>
    <n v="40"/>
    <n v="160"/>
    <s v="Low"/>
    <s v="Normal"/>
    <s v="CUST975-56"/>
    <x v="5"/>
    <s v="Thu"/>
  </r>
  <r>
    <n v="976"/>
    <d v="2023-10-10T00:00:00"/>
    <s v="CUST976"/>
    <x v="1"/>
    <x v="27"/>
    <x v="1"/>
    <x v="0"/>
    <n v="2"/>
    <n v="300"/>
    <n v="600"/>
    <s v="Normal"/>
    <s v="Medium"/>
    <s v="Yes"/>
    <n v="120"/>
    <n v="480"/>
    <s v="Low"/>
    <s v="Normal"/>
    <s v="CUST976-48"/>
    <x v="7"/>
    <s v="Tue"/>
  </r>
  <r>
    <n v="977"/>
    <d v="2023-02-08T00:00:00"/>
    <s v="CUST977"/>
    <x v="1"/>
    <x v="10"/>
    <x v="0"/>
    <x v="2"/>
    <n v="3"/>
    <n v="25"/>
    <n v="75"/>
    <s v="Normal"/>
    <s v="Low"/>
    <s v="Yes"/>
    <n v="15"/>
    <n v="60"/>
    <s v="Low"/>
    <s v="Normal"/>
    <s v="CUST977-35"/>
    <x v="1"/>
    <s v="Wed"/>
  </r>
  <r>
    <n v="978"/>
    <d v="2023-03-22T00:00:00"/>
    <s v="CUST978"/>
    <x v="1"/>
    <x v="45"/>
    <x v="1"/>
    <x v="1"/>
    <n v="3"/>
    <n v="50"/>
    <n v="150"/>
    <s v="Normal"/>
    <s v="Low"/>
    <s v="Yes"/>
    <n v="30"/>
    <n v="120"/>
    <s v="Low"/>
    <s v="Normal"/>
    <s v="CUST978-53"/>
    <x v="5"/>
    <s v="Wed"/>
  </r>
  <r>
    <n v="979"/>
    <d v="2023-01-02T00:00:00"/>
    <s v="CUST979"/>
    <x v="1"/>
    <x v="14"/>
    <x v="2"/>
    <x v="0"/>
    <n v="1"/>
    <n v="25"/>
    <n v="25"/>
    <s v="Normal"/>
    <s v="Low"/>
    <s v="No"/>
    <n v="0"/>
    <n v="25"/>
    <s v="Low"/>
    <s v="Normal"/>
    <s v="CUST979-19"/>
    <x v="2"/>
    <s v="Mon"/>
  </r>
  <r>
    <n v="980"/>
    <d v="2023-07-29T00:00:00"/>
    <s v="CUST980"/>
    <x v="1"/>
    <x v="33"/>
    <x v="0"/>
    <x v="2"/>
    <n v="3"/>
    <n v="25"/>
    <n v="75"/>
    <s v="Normal"/>
    <s v="Low"/>
    <s v="Yes"/>
    <n v="11.25"/>
    <n v="63.75"/>
    <s v="Low"/>
    <s v="Normal"/>
    <s v="CUST980-31"/>
    <x v="11"/>
    <s v="Sat"/>
  </r>
  <r>
    <n v="981"/>
    <d v="2023-08-19T00:00:00"/>
    <s v="CUST981"/>
    <x v="1"/>
    <x v="4"/>
    <x v="0"/>
    <x v="2"/>
    <n v="2"/>
    <n v="30"/>
    <n v="60"/>
    <s v="Normal"/>
    <s v="Low"/>
    <s v="Yes"/>
    <n v="9"/>
    <n v="51"/>
    <s v="Low"/>
    <s v="Normal"/>
    <s v="CUST981-30"/>
    <x v="8"/>
    <s v="Sat"/>
  </r>
  <r>
    <n v="982"/>
    <d v="2023-12-19T00:00:00"/>
    <s v="CUST982"/>
    <x v="1"/>
    <x v="6"/>
    <x v="1"/>
    <x v="0"/>
    <n v="3"/>
    <n v="30"/>
    <n v="90"/>
    <s v="Normal"/>
    <s v="Low"/>
    <s v="Yes"/>
    <n v="18"/>
    <n v="72"/>
    <s v="Low"/>
    <s v="Normal"/>
    <s v="CUST982-46"/>
    <x v="6"/>
    <s v="Tue"/>
  </r>
  <r>
    <n v="983"/>
    <d v="2023-11-01T00:00:00"/>
    <s v="CUST983"/>
    <x v="1"/>
    <x v="38"/>
    <x v="0"/>
    <x v="1"/>
    <n v="1"/>
    <n v="300"/>
    <n v="300"/>
    <s v="Normal"/>
    <s v="Low"/>
    <s v="Yes"/>
    <n v="45"/>
    <n v="255"/>
    <s v="Low"/>
    <s v="Normal"/>
    <s v="CUST983-29"/>
    <x v="0"/>
    <s v="Wed"/>
  </r>
  <r>
    <n v="984"/>
    <d v="2023-08-29T00:00:00"/>
    <s v="CUST984"/>
    <x v="0"/>
    <x v="37"/>
    <x v="1"/>
    <x v="1"/>
    <n v="1"/>
    <n v="500"/>
    <n v="500"/>
    <s v="Normal"/>
    <s v="Medium"/>
    <s v="Yes"/>
    <n v="50"/>
    <n v="450"/>
    <s v="Low"/>
    <s v="Normal"/>
    <s v="CUST984-56"/>
    <x v="8"/>
    <s v="Tue"/>
  </r>
  <r>
    <n v="985"/>
    <d v="2023-05-30T00:00:00"/>
    <s v="CUST985"/>
    <x v="1"/>
    <x v="14"/>
    <x v="2"/>
    <x v="2"/>
    <n v="2"/>
    <n v="25"/>
    <n v="50"/>
    <s v="Normal"/>
    <s v="Low"/>
    <s v="No"/>
    <n v="0"/>
    <n v="50"/>
    <s v="Low"/>
    <s v="Normal"/>
    <s v="CUST985-19"/>
    <x v="3"/>
    <s v="Tue"/>
  </r>
  <r>
    <n v="986"/>
    <d v="2023-01-17T00:00:00"/>
    <s v="CUST986"/>
    <x v="1"/>
    <x v="19"/>
    <x v="1"/>
    <x v="1"/>
    <n v="2"/>
    <n v="500"/>
    <n v="1000"/>
    <s v="High"/>
    <s v="High"/>
    <s v="Yes"/>
    <n v="200"/>
    <n v="800"/>
    <s v="High"/>
    <s v="Normal"/>
    <s v="CUST986-49"/>
    <x v="2"/>
    <s v="Tue"/>
  </r>
  <r>
    <n v="987"/>
    <d v="2023-04-29T00:00:00"/>
    <s v="CUST987"/>
    <x v="1"/>
    <x v="4"/>
    <x v="0"/>
    <x v="1"/>
    <n v="3"/>
    <n v="300"/>
    <n v="900"/>
    <s v="Normal"/>
    <s v="Medium"/>
    <s v="Yes"/>
    <n v="135"/>
    <n v="765"/>
    <s v="Low"/>
    <s v="Normal"/>
    <s v="CUST987-30"/>
    <x v="4"/>
    <s v="Sat"/>
  </r>
  <r>
    <n v="988"/>
    <d v="2023-05-28T00:00:00"/>
    <s v="CUST988"/>
    <x v="1"/>
    <x v="7"/>
    <x v="1"/>
    <x v="1"/>
    <n v="3"/>
    <n v="25"/>
    <n v="75"/>
    <s v="Normal"/>
    <s v="Low"/>
    <s v="Yes"/>
    <n v="15"/>
    <n v="60"/>
    <s v="Low"/>
    <s v="Normal"/>
    <s v="CUST988-63"/>
    <x v="3"/>
    <s v="Sun"/>
  </r>
  <r>
    <n v="989"/>
    <d v="2023-12-28T00:00:00"/>
    <s v="CUST989"/>
    <x v="1"/>
    <x v="24"/>
    <x v="1"/>
    <x v="2"/>
    <n v="1"/>
    <n v="25"/>
    <n v="25"/>
    <s v="Normal"/>
    <s v="Low"/>
    <s v="Yes"/>
    <n v="5"/>
    <n v="20"/>
    <s v="Low"/>
    <s v="Normal"/>
    <s v="CUST989-44"/>
    <x v="6"/>
    <s v="Thu"/>
  </r>
  <r>
    <n v="990"/>
    <d v="2023-05-25T00:00:00"/>
    <s v="CUST990"/>
    <x v="1"/>
    <x v="26"/>
    <x v="1"/>
    <x v="0"/>
    <n v="2"/>
    <n v="500"/>
    <n v="1000"/>
    <s v="High"/>
    <s v="High"/>
    <s v="Yes"/>
    <n v="200"/>
    <n v="800"/>
    <s v="High"/>
    <s v="Normal"/>
    <s v="CUST990-58"/>
    <x v="3"/>
    <s v="Thu"/>
  </r>
  <r>
    <n v="991"/>
    <d v="2023-12-26T00:00:00"/>
    <s v="CUST991"/>
    <x v="1"/>
    <x v="0"/>
    <x v="0"/>
    <x v="1"/>
    <n v="2"/>
    <n v="50"/>
    <n v="100"/>
    <s v="Normal"/>
    <s v="Low"/>
    <s v="Yes"/>
    <n v="15"/>
    <n v="85"/>
    <s v="Low"/>
    <s v="Normal"/>
    <s v="CUST991-34"/>
    <x v="6"/>
    <s v="Tue"/>
  </r>
  <r>
    <n v="992"/>
    <d v="2023-08-21T00:00:00"/>
    <s v="CUST992"/>
    <x v="1"/>
    <x v="35"/>
    <x v="1"/>
    <x v="2"/>
    <n v="2"/>
    <n v="30"/>
    <n v="60"/>
    <s v="Normal"/>
    <s v="Low"/>
    <s v="Yes"/>
    <n v="12"/>
    <n v="48"/>
    <s v="Low"/>
    <s v="Normal"/>
    <s v="CUST992-57"/>
    <x v="8"/>
    <s v="Mon"/>
  </r>
  <r>
    <n v="993"/>
    <d v="2023-02-06T00:00:00"/>
    <s v="CUST993"/>
    <x v="1"/>
    <x v="27"/>
    <x v="1"/>
    <x v="2"/>
    <n v="3"/>
    <n v="50"/>
    <n v="150"/>
    <s v="Normal"/>
    <s v="Low"/>
    <s v="Yes"/>
    <n v="30"/>
    <n v="120"/>
    <s v="Low"/>
    <s v="Normal"/>
    <s v="CUST993-48"/>
    <x v="1"/>
    <s v="Mon"/>
  </r>
  <r>
    <n v="994"/>
    <d v="2023-12-18T00:00:00"/>
    <s v="CUST994"/>
    <x v="1"/>
    <x v="25"/>
    <x v="1"/>
    <x v="0"/>
    <n v="2"/>
    <n v="500"/>
    <n v="1000"/>
    <s v="High"/>
    <s v="High"/>
    <s v="Yes"/>
    <n v="200"/>
    <n v="800"/>
    <s v="High"/>
    <s v="Normal"/>
    <s v="CUST994-51"/>
    <x v="6"/>
    <s v="Mon"/>
  </r>
  <r>
    <n v="995"/>
    <d v="2023-04-30T00:00:00"/>
    <s v="CUST995"/>
    <x v="1"/>
    <x v="41"/>
    <x v="1"/>
    <x v="1"/>
    <n v="1"/>
    <n v="30"/>
    <n v="30"/>
    <s v="Normal"/>
    <s v="Low"/>
    <s v="Yes"/>
    <n v="6"/>
    <n v="24"/>
    <s v="Low"/>
    <s v="Normal"/>
    <s v="CUST995-41"/>
    <x v="4"/>
    <s v="Sun"/>
  </r>
  <r>
    <n v="996"/>
    <d v="2023-05-16T00:00:00"/>
    <s v="CUST996"/>
    <x v="0"/>
    <x v="17"/>
    <x v="1"/>
    <x v="1"/>
    <n v="1"/>
    <n v="50"/>
    <n v="50"/>
    <s v="Normal"/>
    <s v="Low"/>
    <s v="Yes"/>
    <n v="5"/>
    <n v="45"/>
    <s v="Low"/>
    <s v="Normal"/>
    <s v="CUST996-62"/>
    <x v="3"/>
    <s v="Tue"/>
  </r>
  <r>
    <n v="997"/>
    <d v="2023-11-17T00:00:00"/>
    <s v="CUST997"/>
    <x v="0"/>
    <x v="8"/>
    <x v="1"/>
    <x v="0"/>
    <n v="3"/>
    <n v="30"/>
    <n v="90"/>
    <s v="Normal"/>
    <s v="Low"/>
    <s v="Yes"/>
    <n v="9"/>
    <n v="81"/>
    <s v="Low"/>
    <s v="Normal"/>
    <s v="CUST997-52"/>
    <x v="0"/>
    <s v="Fri"/>
  </r>
  <r>
    <n v="998"/>
    <d v="2023-10-29T00:00:00"/>
    <s v="CUST998"/>
    <x v="1"/>
    <x v="9"/>
    <x v="0"/>
    <x v="0"/>
    <n v="4"/>
    <n v="25"/>
    <n v="100"/>
    <s v="Normal"/>
    <s v="Low"/>
    <s v="No"/>
    <n v="0"/>
    <n v="100"/>
    <s v="Low"/>
    <s v="Normal"/>
    <s v="CUST998-23"/>
    <x v="7"/>
    <s v="Sun"/>
  </r>
  <r>
    <n v="999"/>
    <d v="2023-12-05T00:00:00"/>
    <s v="CUST999"/>
    <x v="1"/>
    <x v="32"/>
    <x v="0"/>
    <x v="2"/>
    <n v="3"/>
    <n v="50"/>
    <n v="150"/>
    <s v="Normal"/>
    <s v="Low"/>
    <s v="Yes"/>
    <n v="30"/>
    <n v="120"/>
    <s v="Low"/>
    <s v="Normal"/>
    <s v="CUST999-36"/>
    <x v="6"/>
    <s v="Tue"/>
  </r>
  <r>
    <n v="1000"/>
    <d v="2023-04-12T00:00:00"/>
    <s v="CUST1000"/>
    <x v="0"/>
    <x v="16"/>
    <x v="1"/>
    <x v="2"/>
    <n v="4"/>
    <n v="30"/>
    <n v="120"/>
    <s v="Normal"/>
    <s v="Low"/>
    <s v="Yes"/>
    <n v="12"/>
    <n v="108"/>
    <s v="Low"/>
    <s v="Normal"/>
    <s v="CUST1000-47"/>
    <x v="4"/>
    <s v="W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2CCF7F-F13A-4EAE-8A4F-3528B988D318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0">
    <pivotField showAll="0"/>
    <pivotField numFmtId="14" showAll="0"/>
    <pivotField showAll="0"/>
    <pivotField showAll="0"/>
    <pivotField showAll="0">
      <items count="48">
        <item x="18"/>
        <item x="14"/>
        <item x="29"/>
        <item x="34"/>
        <item x="11"/>
        <item x="9"/>
        <item x="46"/>
        <item x="36"/>
        <item x="1"/>
        <item x="15"/>
        <item x="20"/>
        <item x="38"/>
        <item x="4"/>
        <item x="33"/>
        <item x="40"/>
        <item x="44"/>
        <item x="0"/>
        <item x="10"/>
        <item x="32"/>
        <item x="3"/>
        <item x="21"/>
        <item x="23"/>
        <item x="30"/>
        <item x="41"/>
        <item x="13"/>
        <item x="22"/>
        <item x="24"/>
        <item x="5"/>
        <item x="6"/>
        <item x="16"/>
        <item x="27"/>
        <item x="19"/>
        <item x="2"/>
        <item x="25"/>
        <item x="8"/>
        <item x="45"/>
        <item x="31"/>
        <item x="28"/>
        <item x="37"/>
        <item x="35"/>
        <item x="26"/>
        <item x="42"/>
        <item x="43"/>
        <item x="39"/>
        <item x="17"/>
        <item x="7"/>
        <item x="12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Amoun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6B3C1D-DD4D-45E2-AADF-3C35CC09AD7D}" name="PivotTable6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20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2"/>
        <item x="1"/>
        <item x="5"/>
        <item x="4"/>
        <item x="3"/>
        <item x="10"/>
        <item x="11"/>
        <item x="8"/>
        <item x="9"/>
        <item x="7"/>
        <item x="0"/>
        <item x="6"/>
        <item t="default"/>
      </items>
    </pivotField>
    <pivotField showAll="0"/>
  </pivotFields>
  <rowFields count="1">
    <field x="1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 Amoun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0841BB-6BF0-4894-888A-38F99D12E380}" name="PivotTable7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J16" firstHeaderRow="1" firstDataRow="1" firstDataCol="1"/>
  <pivotFields count="20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2"/>
        <item x="1"/>
        <item x="5"/>
        <item x="4"/>
        <item x="3"/>
        <item x="10"/>
        <item x="11"/>
        <item x="8"/>
        <item x="9"/>
        <item x="7"/>
        <item x="0"/>
        <item x="6"/>
        <item t="default"/>
      </items>
    </pivotField>
    <pivotField showAll="0"/>
  </pivotFields>
  <rowFields count="1">
    <field x="1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 Amount" fld="9" baseField="0" baseItem="0"/>
  </dataFields>
  <formats count="17"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18" type="button" dataOnly="0" labelOnly="1" outline="0" axis="axisRow" fieldPosition="0"/>
    </format>
    <format dxfId="44">
      <pivotArea dataOnly="0" labelOnly="1" fieldPosition="0">
        <references count="1">
          <reference field="18" count="0"/>
        </references>
      </pivotArea>
    </format>
    <format dxfId="43">
      <pivotArea dataOnly="0" labelOnly="1" grandRow="1" outline="0" fieldPosition="0"/>
    </format>
    <format dxfId="42">
      <pivotArea dataOnly="0" labelOnly="1" outline="0" axis="axisValues" fieldPosition="0"/>
    </format>
    <format dxfId="40">
      <pivotArea type="all" dataOnly="0" outline="0" fieldPosition="0"/>
    </format>
    <format dxfId="39">
      <pivotArea outline="0" collapsedLevelsAreSubtotals="1" fieldPosition="0"/>
    </format>
    <format dxfId="38">
      <pivotArea field="18" type="button" dataOnly="0" labelOnly="1" outline="0" axis="axisRow" fieldPosition="0"/>
    </format>
    <format dxfId="37">
      <pivotArea dataOnly="0" labelOnly="1" fieldPosition="0">
        <references count="1">
          <reference field="18" count="0"/>
        </references>
      </pivotArea>
    </format>
    <format dxfId="36">
      <pivotArea dataOnly="0" labelOnly="1" outline="0" axis="axisValues" fieldPosition="0"/>
    </format>
    <format dxfId="34">
      <pivotArea collapsedLevelsAreSubtotals="1" fieldPosition="0">
        <references count="1">
          <reference field="18" count="1">
            <x v="4"/>
          </reference>
        </references>
      </pivotArea>
    </format>
    <format dxfId="33">
      <pivotArea dataOnly="0" labelOnly="1" fieldPosition="0">
        <references count="1">
          <reference field="18" count="1">
            <x v="4"/>
          </reference>
        </references>
      </pivotArea>
    </format>
    <format dxfId="25">
      <pivotArea grandRow="1" outline="0" collapsedLevelsAreSubtotals="1" fieldPosition="0"/>
    </format>
    <format dxfId="23">
      <pivotArea dataOnly="0" labelOnly="1" grandRow="1" outline="0" fieldPosition="0"/>
    </format>
    <format dxfId="1">
      <pivotArea grandRow="1" outline="0" collapsedLevelsAreSubtotals="1" fieldPosition="0"/>
    </format>
    <format dxfId="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44F981-EC72-4B01-8690-1B2FCC1EE63B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7" firstHeaderRow="1" firstDataRow="1" firstDataCol="1"/>
  <pivotFields count="20">
    <pivotField showAll="0"/>
    <pivotField numFmtId="14" showAll="0"/>
    <pivotField showAll="0"/>
    <pivotField showAll="0"/>
    <pivotField showAll="0">
      <items count="48">
        <item x="18"/>
        <item x="14"/>
        <item x="29"/>
        <item x="34"/>
        <item x="11"/>
        <item x="9"/>
        <item x="46"/>
        <item x="36"/>
        <item x="1"/>
        <item x="15"/>
        <item x="20"/>
        <item x="38"/>
        <item x="4"/>
        <item x="33"/>
        <item x="40"/>
        <item x="44"/>
        <item x="0"/>
        <item x="10"/>
        <item x="32"/>
        <item x="3"/>
        <item x="21"/>
        <item x="23"/>
        <item x="30"/>
        <item x="41"/>
        <item x="13"/>
        <item x="22"/>
        <item x="24"/>
        <item x="5"/>
        <item x="6"/>
        <item x="16"/>
        <item x="27"/>
        <item x="19"/>
        <item x="2"/>
        <item x="25"/>
        <item x="8"/>
        <item x="45"/>
        <item x="31"/>
        <item x="28"/>
        <item x="37"/>
        <item x="35"/>
        <item x="26"/>
        <item x="42"/>
        <item x="43"/>
        <item x="39"/>
        <item x="17"/>
        <item x="7"/>
        <item x="12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Amount" fld="9" baseField="0" baseItem="0"/>
  </dataFields>
  <formats count="26">
    <format dxfId="117">
      <pivotArea type="all" dataOnly="0" outline="0" fieldPosition="0"/>
    </format>
    <format dxfId="116">
      <pivotArea outline="0" collapsedLevelsAreSubtotals="1" fieldPosition="0"/>
    </format>
    <format dxfId="115">
      <pivotArea field="5" type="button" dataOnly="0" labelOnly="1" outline="0" axis="axisRow" fieldPosition="0"/>
    </format>
    <format dxfId="114">
      <pivotArea dataOnly="0" labelOnly="1" fieldPosition="0">
        <references count="1">
          <reference field="5" count="0"/>
        </references>
      </pivotArea>
    </format>
    <format dxfId="113">
      <pivotArea dataOnly="0" labelOnly="1" grandRow="1" outline="0" fieldPosition="0"/>
    </format>
    <format dxfId="112">
      <pivotArea dataOnly="0" labelOnly="1" outline="0" axis="axisValues" fieldPosition="0"/>
    </format>
    <format dxfId="101">
      <pivotArea type="all" dataOnly="0" outline="0" fieldPosition="0"/>
    </format>
    <format dxfId="94">
      <pivotArea outline="0" collapsedLevelsAreSubtotals="1" fieldPosition="0"/>
    </format>
    <format dxfId="93">
      <pivotArea field="5" type="button" dataOnly="0" labelOnly="1" outline="0" axis="axisRow" fieldPosition="0"/>
    </format>
    <format dxfId="92">
      <pivotArea dataOnly="0" labelOnly="1" fieldPosition="0">
        <references count="1">
          <reference field="5" count="0"/>
        </references>
      </pivotArea>
    </format>
    <format dxfId="91">
      <pivotArea dataOnly="0" labelOnly="1" grandRow="1" outline="0" fieldPosition="0"/>
    </format>
    <format dxfId="90">
      <pivotArea dataOnly="0" labelOnly="1" outline="0" axis="axisValues" fieldPosition="0"/>
    </format>
    <format dxfId="75">
      <pivotArea type="all" dataOnly="0" outline="0" fieldPosition="0"/>
    </format>
    <format dxfId="74">
      <pivotArea outline="0" collapsedLevelsAreSubtotals="1" fieldPosition="0"/>
    </format>
    <format dxfId="73">
      <pivotArea field="5" type="button" dataOnly="0" labelOnly="1" outline="0" axis="axisRow" fieldPosition="0"/>
    </format>
    <format dxfId="72">
      <pivotArea dataOnly="0" labelOnly="1" fieldPosition="0">
        <references count="1">
          <reference field="5" count="0"/>
        </references>
      </pivotArea>
    </format>
    <format dxfId="71">
      <pivotArea dataOnly="0" labelOnly="1" grandRow="1" outline="0" fieldPosition="0"/>
    </format>
    <format dxfId="70">
      <pivotArea dataOnly="0" labelOnly="1" outline="0" axis="axisValues" fieldPosition="0"/>
    </format>
    <format dxfId="61">
      <pivotArea type="all" dataOnly="0" outline="0" fieldPosition="0"/>
    </format>
    <format dxfId="60">
      <pivotArea outline="0" collapsedLevelsAreSubtotals="1" fieldPosition="0"/>
    </format>
    <format dxfId="59">
      <pivotArea field="5" type="button" dataOnly="0" labelOnly="1" outline="0" axis="axisRow" fieldPosition="0"/>
    </format>
    <format dxfId="58">
      <pivotArea dataOnly="0" labelOnly="1" fieldPosition="0">
        <references count="1">
          <reference field="5" count="0"/>
        </references>
      </pivotArea>
    </format>
    <format dxfId="57">
      <pivotArea dataOnly="0" labelOnly="1" grandRow="1" outline="0" fieldPosition="0"/>
    </format>
    <format dxfId="56">
      <pivotArea dataOnly="0" labelOnly="1" outline="0" axis="axisValues" fieldPosition="0"/>
    </format>
    <format dxfId="32">
      <pivotArea collapsedLevelsAreSubtotals="1" fieldPosition="0">
        <references count="1">
          <reference field="5" count="1">
            <x v="1"/>
          </reference>
        </references>
      </pivotArea>
    </format>
    <format dxfId="31">
      <pivotArea dataOnly="0" labelOnly="1" fieldPosition="0">
        <references count="1">
          <reference field="5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8B0CCE-94C2-4364-AF53-54ACE1319E75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6" firstHeaderRow="1" firstDataRow="1" firstDataCol="1"/>
  <pivotFields count="20">
    <pivotField showAll="0"/>
    <pivotField numFmtId="14"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Total Amount" fld="9" baseField="0" baseItem="0"/>
  </dataFields>
  <formats count="26">
    <format dxfId="110">
      <pivotArea type="all" dataOnly="0" outline="0" fieldPosition="0"/>
    </format>
    <format dxfId="109">
      <pivotArea outline="0" collapsedLevelsAreSubtotals="1" fieldPosition="0"/>
    </format>
    <format dxfId="108">
      <pivotArea field="3" type="button" dataOnly="0" labelOnly="1" outline="0" axis="axisRow" fieldPosition="0"/>
    </format>
    <format dxfId="107">
      <pivotArea dataOnly="0" labelOnly="1" fieldPosition="0">
        <references count="1">
          <reference field="3" count="0"/>
        </references>
      </pivotArea>
    </format>
    <format dxfId="106">
      <pivotArea dataOnly="0" labelOnly="1" grandRow="1" outline="0" fieldPosition="0"/>
    </format>
    <format dxfId="105">
      <pivotArea dataOnly="0" labelOnly="1" outline="0" axis="axisValues" fieldPosition="0"/>
    </format>
    <format dxfId="88">
      <pivotArea type="all" dataOnly="0" outline="0" fieldPosition="0"/>
    </format>
    <format dxfId="81">
      <pivotArea outline="0" collapsedLevelsAreSubtotals="1" fieldPosition="0"/>
    </format>
    <format dxfId="80">
      <pivotArea field="3" type="button" dataOnly="0" labelOnly="1" outline="0" axis="axisRow" fieldPosition="0"/>
    </format>
    <format dxfId="79">
      <pivotArea dataOnly="0" labelOnly="1" fieldPosition="0">
        <references count="1">
          <reference field="3" count="0"/>
        </references>
      </pivotArea>
    </format>
    <format dxfId="78">
      <pivotArea dataOnly="0" labelOnly="1" grandRow="1" outline="0" fieldPosition="0"/>
    </format>
    <format dxfId="77">
      <pivotArea dataOnly="0" labelOnly="1" outline="0" axis="axisValues" fieldPosition="0"/>
    </format>
    <format dxfId="68">
      <pivotArea type="all" dataOnly="0" outline="0" fieldPosition="0"/>
    </format>
    <format dxfId="67">
      <pivotArea outline="0" collapsedLevelsAreSubtotals="1" fieldPosition="0"/>
    </format>
    <format dxfId="66">
      <pivotArea field="3" type="button" dataOnly="0" labelOnly="1" outline="0" axis="axisRow" fieldPosition="0"/>
    </format>
    <format dxfId="65">
      <pivotArea dataOnly="0" labelOnly="1" fieldPosition="0">
        <references count="1">
          <reference field="3" count="0"/>
        </references>
      </pivotArea>
    </format>
    <format dxfId="64">
      <pivotArea dataOnly="0" labelOnly="1" grandRow="1" outline="0" fieldPosition="0"/>
    </format>
    <format dxfId="63">
      <pivotArea dataOnly="0" labelOnly="1" outline="0" axis="axisValues" fieldPosition="0"/>
    </format>
    <format dxfId="54">
      <pivotArea type="all" dataOnly="0" outline="0" fieldPosition="0"/>
    </format>
    <format dxfId="53">
      <pivotArea outline="0" collapsedLevelsAreSubtotals="1" fieldPosition="0"/>
    </format>
    <format dxfId="52">
      <pivotArea field="3" type="button" dataOnly="0" labelOnly="1" outline="0" axis="axisRow" fieldPosition="0"/>
    </format>
    <format dxfId="51">
      <pivotArea dataOnly="0" labelOnly="1" fieldPosition="0">
        <references count="1">
          <reference field="3" count="0"/>
        </references>
      </pivotArea>
    </format>
    <format dxfId="50">
      <pivotArea dataOnly="0" labelOnly="1" grandRow="1" outline="0" fieldPosition="0"/>
    </format>
    <format dxfId="49">
      <pivotArea dataOnly="0" labelOnly="1" outline="0" axis="axisValues" fieldPosition="0"/>
    </format>
    <format dxfId="30">
      <pivotArea collapsedLevelsAreSubtotals="1" fieldPosition="0">
        <references count="1">
          <reference field="3" count="1">
            <x v="0"/>
          </reference>
        </references>
      </pivotArea>
    </format>
    <format dxfId="29">
      <pivotArea dataOnly="0" labelOnly="1" fieldPosition="0">
        <references count="1">
          <reference field="3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4FD223-C2F6-4D27-A6EA-23DE40F7D7A1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0" firstDataRow="1" firstDataCol="1"/>
  <pivotFields count="20">
    <pivotField showAll="0"/>
    <pivotField numFmtId="14" showAll="0"/>
    <pivotField showAll="0"/>
    <pivotField dataField="1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 Amount" fld="9" baseField="0" baseItem="0"/>
    <dataField name="Count of Gender" fld="3" subtotal="count" baseField="0" baseItem="0"/>
    <dataField name="Sum of Quantity" fld="7" baseField="0" baseItem="0"/>
  </dataFields>
  <formats count="20">
    <format dxfId="118">
      <pivotArea type="all" dataOnly="0" outline="0" fieldPosition="0"/>
    </format>
    <format dxfId="119">
      <pivotArea outline="0" collapsedLevelsAreSubtotals="1" fieldPosition="0"/>
    </format>
    <format dxfId="120">
      <pivotArea field="6" type="button" dataOnly="0" labelOnly="1" outline="0" axis="axisRow" fieldPosition="0"/>
    </format>
    <format dxfId="121">
      <pivotArea dataOnly="0" labelOnly="1" fieldPosition="0">
        <references count="1">
          <reference field="6" count="0"/>
        </references>
      </pivotArea>
    </format>
    <format dxfId="122">
      <pivotArea dataOnly="0" labelOnly="1" grandRow="1" outline="0" fieldPosition="0"/>
    </format>
    <format dxfId="123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  <format dxfId="124">
      <pivotArea type="all" dataOnly="0" outline="0" fieldPosition="0"/>
    </format>
    <format dxfId="125">
      <pivotArea outline="0" collapsedLevelsAreSubtotals="1" fieldPosition="0"/>
    </format>
    <format dxfId="126">
      <pivotArea field="6" type="button" dataOnly="0" labelOnly="1" outline="0" axis="axisRow" fieldPosition="0"/>
    </format>
    <format dxfId="127">
      <pivotArea dataOnly="0" labelOnly="1" fieldPosition="0">
        <references count="1">
          <reference field="6" count="0"/>
        </references>
      </pivotArea>
    </format>
    <format dxfId="128">
      <pivotArea dataOnly="0" labelOnly="1" grandRow="1" outline="0" fieldPosition="0"/>
    </format>
    <format dxfId="129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  <format dxfId="130">
      <pivotArea type="all" dataOnly="0" outline="0" fieldPosition="0"/>
    </format>
    <format dxfId="131">
      <pivotArea outline="0" collapsedLevelsAreSubtotals="1" fieldPosition="0"/>
    </format>
    <format dxfId="132">
      <pivotArea field="6" type="button" dataOnly="0" labelOnly="1" outline="0" axis="axisRow" fieldPosition="0"/>
    </format>
    <format dxfId="133">
      <pivotArea dataOnly="0" labelOnly="1" fieldPosition="0">
        <references count="1">
          <reference field="6" count="0"/>
        </references>
      </pivotArea>
    </format>
    <format dxfId="134">
      <pivotArea dataOnly="0" labelOnly="1" grandRow="1" outline="0" fieldPosition="0"/>
    </format>
    <format dxfId="135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  <format dxfId="28">
      <pivotArea collapsedLevelsAreSubtotals="1" fieldPosition="0">
        <references count="2">
          <reference field="4294967294" count="1" selected="0">
            <x v="0"/>
          </reference>
          <reference field="6" count="1">
            <x v="1"/>
          </reference>
        </references>
      </pivotArea>
    </format>
    <format dxfId="27">
      <pivotArea dataOnly="0" labelOnly="1" fieldPosition="0">
        <references count="1">
          <reference field="6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884A5F-9C2F-4084-A3FC-CC7717109CDE}" name="Table1" displayName="Table1" ref="A1:I1001" totalsRowShown="0">
  <autoFilter ref="A1:I1001" xr:uid="{9D884A5F-9C2F-4084-A3FC-CC7717109CDE}"/>
  <tableColumns count="9">
    <tableColumn id="1" xr3:uid="{0E0115B1-C039-4C00-B6D5-6CA5AC26B48D}" name="Transaction ID"/>
    <tableColumn id="2" xr3:uid="{80F7B834-4516-447B-B5B1-62180768ACE3}" name="Date" dataDxfId="297"/>
    <tableColumn id="3" xr3:uid="{55E6D76F-2E37-4E95-9ABD-B374FCEC7EF3}" name="Customer ID"/>
    <tableColumn id="4" xr3:uid="{17F33AC7-A112-44CD-8B7B-6C830066CA5B}" name="Gender"/>
    <tableColumn id="5" xr3:uid="{D24E64A5-02D2-43CC-85FB-193E3BCF40D2}" name="Age"/>
    <tableColumn id="6" xr3:uid="{1CAE6221-07C0-4DD8-86F2-2AB4A94337C1}" name="Product Category"/>
    <tableColumn id="7" xr3:uid="{55E260BC-CA15-4914-87BA-FE60AB197F07}" name="Quantity"/>
    <tableColumn id="8" xr3:uid="{9B631D38-F0DA-412B-A34B-E3E356BB18C9}" name="Price per Unit"/>
    <tableColumn id="9" xr3:uid="{A67FFD6E-54E5-42DE-898B-3F06541E66F9}" name="Total Am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E69158-B4F9-4752-8FBE-A64F627EDE59}" name="Table13" displayName="Table13" ref="A1:J1002" totalsRowCount="1" headerRowDxfId="296">
  <autoFilter ref="A1:J1001" xr:uid="{FAE69158-B4F9-4752-8FBE-A64F627EDE59}"/>
  <sortState xmlns:xlrd2="http://schemas.microsoft.com/office/spreadsheetml/2017/richdata2" ref="A2:J1001">
    <sortCondition ref="E1:E1001"/>
  </sortState>
  <tableColumns count="10">
    <tableColumn id="1" xr3:uid="{F5DA34EC-F910-4668-9118-97A4E3F46EBD}" name="Transaction ID" dataDxfId="295"/>
    <tableColumn id="2" xr3:uid="{56064087-A0D3-4055-82C9-D7DA813F26A6}" name="Date" dataDxfId="294" totalsRowDxfId="293"/>
    <tableColumn id="3" xr3:uid="{4DD808A7-A49E-42C9-B45A-FCA04382F774}" name="Customer ID" dataDxfId="292"/>
    <tableColumn id="4" xr3:uid="{854D9C28-1513-420E-AB41-6B219D792B7E}" name="Gender" dataDxfId="291"/>
    <tableColumn id="5" xr3:uid="{CF9E009F-CAD1-472B-891C-96252CC19733}" name="Age" dataDxfId="290"/>
    <tableColumn id="6" xr3:uid="{51167289-F947-47B3-9BE3-3BAF020670C9}" name="Product Category" dataDxfId="289"/>
    <tableColumn id="7" xr3:uid="{6F1CBE50-726D-47A8-B122-660FB8544830}" name="Quantity" dataDxfId="288"/>
    <tableColumn id="8" xr3:uid="{2094E10E-9AF3-4DEF-B068-2259D3D73919}" name="Price per Unit" totalsRowLabel="Total Sales" dataDxfId="287"/>
    <tableColumn id="10" xr3:uid="{42A8E495-C7D7-4115-91FA-FF96EE6FDDC7}" name="Sales" totalsRowFunction="sum" dataDxfId="286" totalsRowDxfId="285">
      <calculatedColumnFormula>Table13[[#This Row],[Quantity]]*Table13[[#This Row],[Price per Unit]]</calculatedColumnFormula>
    </tableColumn>
    <tableColumn id="9" xr3:uid="{02CA5ABE-A097-40F6-89E5-88DA47D6EC92}" name="Total Amount" dataDxfId="28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FF2DA4-96B4-419F-A9BE-F77FF0985AD8}" name="Table14" displayName="Table14" ref="A1:K1006" totalsRowCount="1">
  <autoFilter ref="A1:K1005" xr:uid="{D8FF2DA4-96B4-419F-A9BE-F77FF0985AD8}"/>
  <tableColumns count="11">
    <tableColumn id="1" xr3:uid="{588D0953-8622-4079-A6B5-A46F5B14AA20}" name="Transaction ID"/>
    <tableColumn id="2" xr3:uid="{463495B1-9BE1-4851-B9AD-631599FAAE22}" name="Date" dataDxfId="283" totalsRowDxfId="282"/>
    <tableColumn id="3" xr3:uid="{965C9C87-C65F-4955-9DD1-F7D7F0031F97}" name="Customer ID"/>
    <tableColumn id="4" xr3:uid="{C672129F-6A6A-4696-9E0F-9EFE6607D610}" name="Gender"/>
    <tableColumn id="5" xr3:uid="{B98AA4F2-F52C-4603-AFEC-DF1510597E2A}" name="Age"/>
    <tableColumn id="6" xr3:uid="{F4084974-425D-4A71-BFDF-B54FF5512609}" name="Product Category"/>
    <tableColumn id="7" xr3:uid="{F57279BD-9D47-440C-8F76-4F4987E53F46}" name="Quantity"/>
    <tableColumn id="8" xr3:uid="{08049817-A25E-421F-8A18-8420E25CB827}" name="Price per Unit"/>
    <tableColumn id="9" xr3:uid="{B6A76C51-F76F-4E1F-9FB9-52D4DC819EB9}" name="Total Amount" totalsRowFunction="sum"/>
    <tableColumn id="10" xr3:uid="{4FD4DAF5-6B81-48AE-9C51-EA80654D09B8}" name="Discounted Price"/>
    <tableColumn id="11" xr3:uid="{2FC5FA5A-615A-4B14-8552-6567ADB90A61}" name="Price After Discount" dataDxfId="281">
      <calculatedColumnFormula>Table14[[#This Row],[Total Amount]]-Table14[[#This Row],[Discounted Price]]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11F1F0-B28C-401E-89AD-BA869088EFF4}" name="Table15" displayName="Table15" ref="A1:O1001" totalsRowShown="0" headerRowDxfId="280" dataDxfId="279">
  <autoFilter ref="A1:O1001" xr:uid="{6311F1F0-B28C-401E-89AD-BA869088EFF4}"/>
  <tableColumns count="15">
    <tableColumn id="1" xr3:uid="{DE85237B-91ED-4518-8A3B-3847689B4399}" name="Transaction ID" dataDxfId="278"/>
    <tableColumn id="2" xr3:uid="{26F3964D-DAD6-495A-BF9F-EB0357BE1542}" name="Date" dataDxfId="277"/>
    <tableColumn id="3" xr3:uid="{761BD785-DAA5-4DEA-8EFF-2D47734F59B9}" name="Customer ID" dataDxfId="276"/>
    <tableColumn id="4" xr3:uid="{EEEA44E3-FAA0-4EFD-9F9D-3B8D70E88509}" name="Gender" dataDxfId="275"/>
    <tableColumn id="5" xr3:uid="{7684FB4E-C776-4DD3-929C-99886001B036}" name="Age" dataDxfId="274"/>
    <tableColumn id="17" xr3:uid="{2C4A97C6-BB54-4420-8443-82495E13CC3B}" name="Customer Segment" dataDxfId="273">
      <calculatedColumnFormula>IF(Table15[[#This Row],[Age]]&lt;=19,"Teenager",IF(Table15[[#This Row],[Age]]&lt;=40,"Median","Old"))</calculatedColumnFormula>
    </tableColumn>
    <tableColumn id="6" xr3:uid="{60B91873-A7E2-4648-9820-4872B81BF57D}" name="Product Category" dataDxfId="272"/>
    <tableColumn id="7" xr3:uid="{8A969A7D-D898-4443-96D1-F7999DB0DEE4}" name="Quantity" dataDxfId="271"/>
    <tableColumn id="8" xr3:uid="{18E421B2-14F8-4CD7-A903-A0A88B1F3A3C}" name="Price per Unit" dataDxfId="270"/>
    <tableColumn id="9" xr3:uid="{C977D47C-1723-40FE-80C9-8BAF6791FD73}" name="Total Amount" dataDxfId="269"/>
    <tableColumn id="18" xr3:uid="{2CAFB538-A1E1-4BA9-B2CE-7F96B676BCF6}" name="Transaction Priority" dataDxfId="268">
      <calculatedColumnFormula array="1">_xlfn.IFS(AND(Table15[[#This Row],[Total Amount]]&gt;=1500),"Critical",AND(Table15[[#This Row],[Total Amount]]&gt;=1000),"High",TRUE,"Normal")</calculatedColumnFormula>
    </tableColumn>
    <tableColumn id="10" xr3:uid="{FB5DAD2C-E33D-4A31-97EC-DB8BE51C4F2E}" name="Sales Category" dataDxfId="267">
      <calculatedColumnFormula>IF(Table15[[#This Row],[Total Amount]]&gt;=1000,"High",(IF(Table15[[#This Row],[Total Amount]]&gt;=500,"Medium","Low")))</calculatedColumnFormula>
    </tableColumn>
    <tableColumn id="14" xr3:uid="{AF2BD2A2-7E3B-4DB2-A179-DAF784912385}" name="Discount Eligibility" dataDxfId="266">
      <calculatedColumnFormula array="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calculatedColumnFormula>
    </tableColumn>
    <tableColumn id="15" xr3:uid="{6CAD2DBF-2245-4855-9D82-7768BE6F963D}" name="Discount Amount" dataDxfId="265">
      <calculatedColumnFormula array="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calculatedColumnFormula>
    </tableColumn>
    <tableColumn id="16" xr3:uid="{A92E716E-BDE3-40AF-BF05-B1F12A3D0728}" name="Amout After Discount" dataDxfId="264">
      <calculatedColumnFormula>Table15[[#This Row],[Total Amount]]-Table15[[#This Row],[Discount Amount]]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DBAF2A2-C611-4235-83A3-264C509C35E2}" name="Table156" displayName="Table156" ref="A1:R1002" totalsRowCount="1" headerRowDxfId="263" dataDxfId="262" totalsRowDxfId="261" totalsRowBorderDxfId="260">
  <autoFilter ref="A1:R1001" xr:uid="{3DBAF2A2-C611-4235-83A3-264C509C35E2}"/>
  <tableColumns count="18">
    <tableColumn id="1" xr3:uid="{CCA2AE80-0548-4F25-B766-6BCDCC761725}" name="Transaction ID" dataDxfId="259" totalsRowDxfId="258"/>
    <tableColumn id="2" xr3:uid="{A8B67FF8-F0AC-482B-9707-73827AC34F8A}" name="Date" dataDxfId="257" totalsRowDxfId="256"/>
    <tableColumn id="3" xr3:uid="{CBE60258-73CD-4859-B477-E8367CEEE8CB}" name="Customer ID" totalsRowLabel="Male(countif)" dataDxfId="255" totalsRowDxfId="254"/>
    <tableColumn id="4" xr3:uid="{AAECD189-1478-4561-8AF6-DFBE05A8FF27}" name="Gender" totalsRowFunction="custom" dataDxfId="253" totalsRowDxfId="252">
      <totalsRowFormula>COUNTIF(Table156[Gender],"Male")</totalsRowFormula>
    </tableColumn>
    <tableColumn id="5" xr3:uid="{3893E90D-4774-4923-9C68-3206B76428FC}" name="Age" dataDxfId="251" totalsRowDxfId="250"/>
    <tableColumn id="17" xr3:uid="{9D2093F0-B19C-4DF4-9320-D2934A4DC4F7}" name="Customer Segment" dataDxfId="249" totalsRowDxfId="248">
      <calculatedColumnFormula>IF(Table156[[#This Row],[Age]]&lt;=19,"Teenager",IF(Table156[[#This Row],[Age]]&lt;=40,"Median","Old"))</calculatedColumnFormula>
    </tableColumn>
    <tableColumn id="6" xr3:uid="{A04AD6BF-20D3-4CFD-89AF-4579F8B8AA0D}" name="Product Category" dataDxfId="247" totalsRowDxfId="246"/>
    <tableColumn id="7" xr3:uid="{5A2805EB-3835-485A-ACD9-22373F10041E}" name="Quantity" dataDxfId="245" totalsRowDxfId="244"/>
    <tableColumn id="8" xr3:uid="{4B0C3B52-C18A-4180-920F-F66EF1907F50}" name="Price per Unit" totalsRowLabel="Total Amount ≥ 1000" dataDxfId="243" totalsRowDxfId="242"/>
    <tableColumn id="9" xr3:uid="{CADCDAE5-CFD7-4DB6-97BF-044D7F2F82FC}" name="Total Amount" totalsRowFunction="custom" dataDxfId="241" totalsRowDxfId="240">
      <totalsRowFormula>COUNTIF(Table156[Total Amount],"&gt;=1000")</totalsRowFormula>
    </tableColumn>
    <tableColumn id="18" xr3:uid="{2E080F38-177C-4245-A2A8-E89A3B7A1DC3}" name="Transaction Priority" dataDxfId="239" totalsRowDxfId="238">
      <calculatedColumnFormula array="1">_xlfn.IFS(AND(Table156[[#This Row],[Total Amount]]&gt;=1500),"Critical",AND(Table156[[#This Row],[Total Amount]]&gt;=1000),"High",TRUE,"Normal")</calculatedColumnFormula>
    </tableColumn>
    <tableColumn id="10" xr3:uid="{60C1E09A-25FB-4C9E-A14D-F677F7B73F7C}" name="Sales Category" dataDxfId="237" totalsRowDxfId="236">
      <calculatedColumnFormula>IF(Table156[[#This Row],[Total Amount]]&gt;=1000,"High",(IF(Table156[[#This Row],[Total Amount]]&gt;=500,"Medium","Low")))</calculatedColumnFormula>
    </tableColumn>
    <tableColumn id="14" xr3:uid="{3E52B216-6F6C-4F95-A6C2-EC881147B9BB}" name="Discount Eligibility" dataDxfId="235" totalsRowDxfId="234">
      <calculatedColumnFormula array="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calculatedColumnFormula>
    </tableColumn>
    <tableColumn id="15" xr3:uid="{8F62091D-5F20-45D6-91B2-F1290D3C7721}" name="Discount Amount" dataDxfId="233" totalsRowDxfId="232">
      <calculatedColumnFormula array="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calculatedColumnFormula>
    </tableColumn>
    <tableColumn id="16" xr3:uid="{4909F5F0-D647-4C4B-921E-5E5347BA97CF}" name="Amout After Discount" dataDxfId="231" totalsRowDxfId="230">
      <calculatedColumnFormula>Table156[[#This Row],[Total Amount]]-Table156[[#This Row],[Discount Amount]]</calculatedColumnFormula>
    </tableColumn>
    <tableColumn id="11" xr3:uid="{A032CEB5-D7FF-45DE-A2D9-D700E5A1751C}" name="Sales_Level" dataDxfId="229" totalsRowDxfId="228">
      <calculatedColumnFormula>IF(Table156[[#This Row],[Total Amount]]&gt;=1000,"High","Low")</calculatedColumnFormula>
    </tableColumn>
    <tableColumn id="12" xr3:uid="{53D6AB90-F659-456E-92DB-64E8EFAEFCAE}" name="Priority_IFS" dataDxfId="227" totalsRowDxfId="226">
      <calculatedColumnFormula array="1">_xlfn.IFS(AND(Table156[[#This Row],[Total Amount]]&gt;=1500,"Critical"),AND(Table156[[#This Row],[Total Amount]]&gt;=1000,"High"),TRUE,"Normal")</calculatedColumnFormula>
    </tableColumn>
    <tableColumn id="13" xr3:uid="{26B51DC2-3FD2-439A-9B43-492B28D5D6C7}" name="Column1" dataDxfId="225" totalsRowDxfId="224">
      <calculatedColumnFormula>COUNTIF(Table156[Gender],"Male")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9744876-8DD2-40BB-81DF-AD831B5616C5}" name="Table1567" displayName="Table1567" ref="A1:T1002" totalsRowCount="1" headerRowDxfId="223" dataDxfId="222" totalsRowDxfId="221" totalsRowBorderDxfId="220">
  <autoFilter ref="A1:T1001" xr:uid="{09744876-8DD2-40BB-81DF-AD831B5616C5}"/>
  <tableColumns count="20">
    <tableColumn id="1" xr3:uid="{1072834B-5435-465C-AC53-229D6894A594}" name="Transaction ID" dataDxfId="219" totalsRowDxfId="218"/>
    <tableColumn id="2" xr3:uid="{3D926D25-B35F-421F-9C49-991222AEC5A4}" name="Date" dataDxfId="217" totalsRowDxfId="216"/>
    <tableColumn id="3" xr3:uid="{5307BA16-CFB4-4A78-B722-F5F64D7A8C1B}" name="Customer ID" totalsRowLabel="Male(countif)" dataDxfId="215" totalsRowDxfId="214"/>
    <tableColumn id="4" xr3:uid="{9834EB6B-CD0A-488D-ACEC-368D23CE06C6}" name="Gender" totalsRowFunction="custom" dataDxfId="213" totalsRowDxfId="212">
      <totalsRowFormula>COUNTIF(Table1567[Gender],"Male")</totalsRowFormula>
    </tableColumn>
    <tableColumn id="5" xr3:uid="{41CF57E7-64AB-497E-A72D-C4B61B966DCE}" name="Age" dataDxfId="211" totalsRowDxfId="210"/>
    <tableColumn id="17" xr3:uid="{C965F1A1-8D04-432A-9D41-92D9A009B8B9}" name="Customer Segment" dataDxfId="209" totalsRowDxfId="208">
      <calculatedColumnFormula>IF(Table1567[[#This Row],[Age]]&lt;=19,"Teenager",IF(Table1567[[#This Row],[Age]]&lt;=40,"Median","Old"))</calculatedColumnFormula>
    </tableColumn>
    <tableColumn id="6" xr3:uid="{683F267F-1D89-4965-8691-4DE4D9519157}" name="Product Category" dataDxfId="207" totalsRowDxfId="206"/>
    <tableColumn id="7" xr3:uid="{F00A56EB-1EB1-40A1-8778-920A2237DF2D}" name="Quantity" dataDxfId="205" totalsRowDxfId="204"/>
    <tableColumn id="8" xr3:uid="{4CB8C330-5376-4774-89D9-DF5DB3AA8681}" name="Price per Unit" totalsRowLabel="Total Amount ≥ 1000" dataDxfId="203" totalsRowDxfId="202"/>
    <tableColumn id="9" xr3:uid="{9CF815B2-5676-4E9C-9086-7CE5B420E375}" name="Total Amount" totalsRowFunction="custom" dataDxfId="201" totalsRowDxfId="200">
      <totalsRowFormula>COUNTIF(Table1567[Total Amount],"&gt;=1000")</totalsRowFormula>
    </tableColumn>
    <tableColumn id="18" xr3:uid="{A753573D-121A-4CDA-A115-D665AEE9C63C}" name="Transaction Priority" totalsRowLabel="Day_5, Task-1How many transactions are there where:_x000a__x000a_Gender = &quot;Female&quot;_x000a__x000a_Age ≥ 30" dataDxfId="199" totalsRowDxfId="198">
      <calculatedColumnFormula array="1">_xlfn.IFS(AND(Table1567[[#This Row],[Total Amount]]&gt;=1500),"Critical",AND(Table1567[[#This Row],[Total Amount]]&gt;=1000),"High",TRUE,"Normal")</calculatedColumnFormula>
    </tableColumn>
    <tableColumn id="10" xr3:uid="{FA1BC6AC-5431-4BA2-8319-3214296C0086}" name="Sales Category" totalsRowFunction="custom" dataDxfId="197" totalsRowDxfId="196">
      <calculatedColumnFormula>IF(Table1567[[#This Row],[Total Amount]]&gt;=1000,"High",(IF(Table1567[[#This Row],[Total Amount]]&gt;=500,"Medium","Low")))</calculatedColumnFormula>
      <totalsRowFormula>COUNTIFS(Table1567[Gender],"Female",Table1567[Age],"&gt;=30")</totalsRowFormula>
    </tableColumn>
    <tableColumn id="14" xr3:uid="{8DE84725-46CC-461D-8530-8B4D1D4EEEBA}" name="Discount Eligibility" dataDxfId="195" totalsRowDxfId="194">
      <calculatedColumnFormula array="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calculatedColumnFormula>
    </tableColumn>
    <tableColumn id="15" xr3:uid="{A817D6C3-ADAE-4B50-A9AD-A3924E9B401F}" name="Discount Amount" dataDxfId="193" totalsRowDxfId="192">
      <calculatedColumnFormula array="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calculatedColumnFormula>
    </tableColumn>
    <tableColumn id="16" xr3:uid="{246BF802-93BB-4DFF-803A-CFB611C3E748}" name="Amout After Discount" dataDxfId="191" totalsRowDxfId="190">
      <calculatedColumnFormula>Table1567[[#This Row],[Total Amount]]-Table1567[[#This Row],[Discount Amount]]</calculatedColumnFormula>
    </tableColumn>
    <tableColumn id="11" xr3:uid="{3DF25CEB-1300-4A90-910C-B370AA203CB9}" name="Sales_Level" dataDxfId="189" totalsRowDxfId="188">
      <calculatedColumnFormula>IF(Table1567[[#This Row],[Total Amount]]&gt;=1000,"High","Low")</calculatedColumnFormula>
    </tableColumn>
    <tableColumn id="12" xr3:uid="{9FF83709-D7D5-4689-B91B-555D5EBE2BE4}" name="Priority_IFS" dataDxfId="187" totalsRowDxfId="186">
      <calculatedColumnFormula array="1">_xlfn.IFS(AND(Table1567[[#This Row],[Total Amount]]&gt;=1500,"Critical"),AND(Table1567[[#This Row],[Total Amount]]&gt;=1000,"High"),TRUE,"Normal")</calculatedColumnFormula>
    </tableColumn>
    <tableColumn id="13" xr3:uid="{06A0498D-AF27-464E-BCF3-A510D017625D}" name="Customer_Code" dataDxfId="185" totalsRowDxfId="184">
      <calculatedColumnFormula>CONCATENATE(Table1567[[#This Row],[Customer ID]], "-",Table1567[[#This Row],[Age]])</calculatedColumnFormula>
    </tableColumn>
    <tableColumn id="19" xr3:uid="{7685AF23-E723-4C42-AE26-9EC5191149A4}" name="Month" dataDxfId="183" totalsRowDxfId="182">
      <calculatedColumnFormula>TEXT(Table1567[[#This Row],[Date]],"mmm")</calculatedColumnFormula>
    </tableColumn>
    <tableColumn id="20" xr3:uid="{CBCC9A8B-8B04-4B5E-9093-02131B47E9BB}" name="Day" dataDxfId="181" totalsRowDxfId="180">
      <calculatedColumnFormula>TEXT(Table1567[[#This Row],[Date]],"DDD")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BA8FF08-EB10-44C3-B937-09BC35591B37}" name="Table15678" displayName="Table15678" ref="A1:T1002" totalsRowCount="1" headerRowDxfId="179" dataDxfId="178" totalsRowDxfId="177" totalsRowBorderDxfId="176">
  <autoFilter ref="A1:T1001" xr:uid="{DBA8FF08-EB10-44C3-B937-09BC35591B37}"/>
  <tableColumns count="20">
    <tableColumn id="1" xr3:uid="{6F7BDE92-BEDA-445A-A601-7E6EBB16F81A}" name="Transaction ID" dataDxfId="174" totalsRowDxfId="175"/>
    <tableColumn id="2" xr3:uid="{DC183E2C-5A48-4FF8-87B2-740E68CF0B25}" name="Date" dataDxfId="172" totalsRowDxfId="173"/>
    <tableColumn id="3" xr3:uid="{101D1573-7039-4DF7-8541-10F21E63A408}" name="Customer ID" totalsRowLabel="Male(countif)" dataDxfId="170" totalsRowDxfId="171"/>
    <tableColumn id="4" xr3:uid="{9D9E8851-6FC4-4D7A-9930-6B958D3DBD80}" name="Gender" totalsRowFunction="custom" dataDxfId="168" totalsRowDxfId="169">
      <totalsRowFormula>COUNTIF(Table15678[Gender],"Male")</totalsRowFormula>
    </tableColumn>
    <tableColumn id="5" xr3:uid="{F192CBEF-15C9-4E56-BA0B-0D7DB84BAA4F}" name="Age" dataDxfId="166" totalsRowDxfId="167"/>
    <tableColumn id="17" xr3:uid="{1DB520FF-F2C5-4BCD-9ED3-649B340F10BE}" name="Customer Segment" dataDxfId="164" totalsRowDxfId="165">
      <calculatedColumnFormula>IF(Table15678[[#This Row],[Age]]&lt;=19,"Teenager",IF(Table15678[[#This Row],[Age]]&lt;=40,"Median","Old"))</calculatedColumnFormula>
    </tableColumn>
    <tableColumn id="6" xr3:uid="{D739932D-94D4-4465-B7EC-CEFB1B0E0D0B}" name="Product Category" dataDxfId="162" totalsRowDxfId="163"/>
    <tableColumn id="7" xr3:uid="{99B33535-658C-46CC-9B7E-CA1B8A82F9E6}" name="Quantity" dataDxfId="160" totalsRowDxfId="161"/>
    <tableColumn id="8" xr3:uid="{FDE8D952-402A-4B2D-A66A-E24C7644FDFF}" name="Price per Unit" totalsRowLabel="Total Amount ≥ 1000" dataDxfId="158" totalsRowDxfId="159"/>
    <tableColumn id="9" xr3:uid="{F7D7ABEF-9A58-4A44-913D-12DED1CF772F}" name="Total Amount" totalsRowFunction="custom" dataDxfId="156" totalsRowDxfId="157">
      <totalsRowFormula>COUNTIF(Table15678[Total Amount],"&gt;=1000")</totalsRowFormula>
    </tableColumn>
    <tableColumn id="18" xr3:uid="{3E17453C-FDC5-435D-9FBD-CFA1253B909B}" name="Transaction Priority" totalsRowLabel="Day_5, Task-1How many transactions are there where:_x000a__x000a_Gender = &quot;Female&quot;_x000a__x000a_Age ≥ 30" dataDxfId="154" totalsRowDxfId="155">
      <calculatedColumnFormula array="1">_xlfn.IFS(AND(Table15678[[#This Row],[Total Amount]]&gt;=1500),"Critical",AND(Table15678[[#This Row],[Total Amount]]&gt;=1000),"High",TRUE,"Normal")</calculatedColumnFormula>
    </tableColumn>
    <tableColumn id="10" xr3:uid="{EF69DCD0-2C6A-43AC-8FB0-A12D91D1DECE}" name="Sales Category" totalsRowFunction="custom" dataDxfId="152" totalsRowDxfId="153">
      <calculatedColumnFormula>IF(Table15678[[#This Row],[Total Amount]]&gt;=1000,"High",(IF(Table15678[[#This Row],[Total Amount]]&gt;=500,"Medium","Low")))</calculatedColumnFormula>
      <totalsRowFormula>COUNTIFS(Table15678[Gender],"Female",Table15678[Age],"&gt;=30")</totalsRowFormula>
    </tableColumn>
    <tableColumn id="14" xr3:uid="{3157B1AE-4E1D-4611-BCCE-9434827EA662}" name="Discount Eligibility" dataDxfId="150" totalsRowDxfId="151">
      <calculatedColumnFormula array="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calculatedColumnFormula>
    </tableColumn>
    <tableColumn id="15" xr3:uid="{4CB153B0-66A2-46ED-A046-2066A481AF57}" name="Discount Amount" dataDxfId="148" totalsRowDxfId="149">
      <calculatedColumnFormula array="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calculatedColumnFormula>
    </tableColumn>
    <tableColumn id="16" xr3:uid="{93611C28-2D8D-44DE-B1A8-491D57D6BAAF}" name="Amout After Discount" dataDxfId="146" totalsRowDxfId="147">
      <calculatedColumnFormula>Table15678[[#This Row],[Total Amount]]-Table15678[[#This Row],[Discount Amount]]</calculatedColumnFormula>
    </tableColumn>
    <tableColumn id="11" xr3:uid="{6D418918-D2A8-4130-B4C1-5B9D5018E4CA}" name="Sales_Level" dataDxfId="144" totalsRowDxfId="145">
      <calculatedColumnFormula>IF(Table15678[[#This Row],[Total Amount]]&gt;=1000,"High","Low")</calculatedColumnFormula>
    </tableColumn>
    <tableColumn id="12" xr3:uid="{F14CD971-8899-43C3-8EC1-D1AEA17B5E78}" name="Priority_IFS" dataDxfId="142" totalsRowDxfId="143">
      <calculatedColumnFormula array="1">_xlfn.IFS(AND(Table15678[[#This Row],[Total Amount]]&gt;=1500,"Critical"),AND(Table15678[[#This Row],[Total Amount]]&gt;=1000,"High"),TRUE,"Normal")</calculatedColumnFormula>
    </tableColumn>
    <tableColumn id="13" xr3:uid="{31045F93-C548-4605-BE98-B61326F17592}" name="Customer_Code" dataDxfId="140" totalsRowDxfId="141">
      <calculatedColumnFormula>CONCATENATE(Table15678[[#This Row],[Customer ID]], "-",Table15678[[#This Row],[Age]])</calculatedColumnFormula>
    </tableColumn>
    <tableColumn id="19" xr3:uid="{D34A0C77-5AB8-4E2A-B6D5-F693EE1409E2}" name="Month" dataDxfId="138" totalsRowDxfId="139">
      <calculatedColumnFormula>TEXT(Table15678[[#This Row],[Date]],"mmm")</calculatedColumnFormula>
    </tableColumn>
    <tableColumn id="20" xr3:uid="{0ED44DC1-966B-46DF-BC62-893B882C3C4A}" name="Day" dataDxfId="136" totalsRowDxfId="137">
      <calculatedColumnFormula>TEXT(Table15678[[#This Row],[Date]],"DDD")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A7D19-DB12-4E8D-9256-0B8A164D8DEE}">
  <dimension ref="A1:I1001"/>
  <sheetViews>
    <sheetView topLeftCell="A268" workbookViewId="0">
      <selection activeCell="A268" sqref="A1:XFD1048576"/>
    </sheetView>
  </sheetViews>
  <sheetFormatPr defaultRowHeight="14.5" x14ac:dyDescent="0.35"/>
  <cols>
    <col min="1" max="1" width="14.81640625" customWidth="1"/>
    <col min="2" max="2" width="12.453125" customWidth="1"/>
    <col min="3" max="3" width="13.1796875" customWidth="1"/>
    <col min="4" max="4" width="8.90625" customWidth="1"/>
    <col min="6" max="6" width="17.08984375" customWidth="1"/>
    <col min="7" max="7" width="10" customWidth="1"/>
    <col min="8" max="8" width="14.08984375" customWidth="1"/>
    <col min="9" max="9" width="13.81640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</row>
    <row r="3" spans="1:9" x14ac:dyDescent="0.35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</row>
    <row r="4" spans="1:9" x14ac:dyDescent="0.35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</row>
    <row r="5" spans="1:9" x14ac:dyDescent="0.35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</row>
    <row r="6" spans="1:9" x14ac:dyDescent="0.35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</row>
    <row r="7" spans="1:9" x14ac:dyDescent="0.35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</row>
    <row r="8" spans="1:9" x14ac:dyDescent="0.35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</row>
    <row r="9" spans="1:9" x14ac:dyDescent="0.35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</row>
    <row r="10" spans="1:9" x14ac:dyDescent="0.35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</row>
    <row r="11" spans="1:9" x14ac:dyDescent="0.35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</row>
    <row r="12" spans="1:9" x14ac:dyDescent="0.35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9" x14ac:dyDescent="0.35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9" x14ac:dyDescent="0.35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9" x14ac:dyDescent="0.35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9" x14ac:dyDescent="0.35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 x14ac:dyDescent="0.35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 x14ac:dyDescent="0.35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 x14ac:dyDescent="0.35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 x14ac:dyDescent="0.35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 x14ac:dyDescent="0.35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 x14ac:dyDescent="0.35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 x14ac:dyDescent="0.35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 x14ac:dyDescent="0.35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 x14ac:dyDescent="0.35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 x14ac:dyDescent="0.35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 x14ac:dyDescent="0.35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 x14ac:dyDescent="0.35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 x14ac:dyDescent="0.35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 x14ac:dyDescent="0.35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 x14ac:dyDescent="0.35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 x14ac:dyDescent="0.35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 x14ac:dyDescent="0.35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 x14ac:dyDescent="0.35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 x14ac:dyDescent="0.35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 x14ac:dyDescent="0.35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 x14ac:dyDescent="0.35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 x14ac:dyDescent="0.35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 x14ac:dyDescent="0.35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 x14ac:dyDescent="0.35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 x14ac:dyDescent="0.35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 x14ac:dyDescent="0.35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 x14ac:dyDescent="0.35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 x14ac:dyDescent="0.35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 x14ac:dyDescent="0.35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 x14ac:dyDescent="0.35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 x14ac:dyDescent="0.35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 x14ac:dyDescent="0.35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 x14ac:dyDescent="0.35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 x14ac:dyDescent="0.35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 x14ac:dyDescent="0.35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 x14ac:dyDescent="0.35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 x14ac:dyDescent="0.35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 x14ac:dyDescent="0.35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 x14ac:dyDescent="0.35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 x14ac:dyDescent="0.35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 x14ac:dyDescent="0.35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 x14ac:dyDescent="0.35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 x14ac:dyDescent="0.35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 x14ac:dyDescent="0.35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 x14ac:dyDescent="0.35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 x14ac:dyDescent="0.35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 x14ac:dyDescent="0.35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 x14ac:dyDescent="0.35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 x14ac:dyDescent="0.35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 x14ac:dyDescent="0.35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 x14ac:dyDescent="0.35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 x14ac:dyDescent="0.35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 x14ac:dyDescent="0.35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 x14ac:dyDescent="0.35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 x14ac:dyDescent="0.35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 x14ac:dyDescent="0.35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 x14ac:dyDescent="0.35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 x14ac:dyDescent="0.35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 x14ac:dyDescent="0.35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 x14ac:dyDescent="0.35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 x14ac:dyDescent="0.35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 x14ac:dyDescent="0.35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 x14ac:dyDescent="0.35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 x14ac:dyDescent="0.35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 x14ac:dyDescent="0.35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 x14ac:dyDescent="0.35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 x14ac:dyDescent="0.35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 x14ac:dyDescent="0.35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 x14ac:dyDescent="0.35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 x14ac:dyDescent="0.35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 x14ac:dyDescent="0.35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 x14ac:dyDescent="0.35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 x14ac:dyDescent="0.35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 x14ac:dyDescent="0.35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 x14ac:dyDescent="0.35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 x14ac:dyDescent="0.35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 x14ac:dyDescent="0.35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 x14ac:dyDescent="0.35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 x14ac:dyDescent="0.35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 x14ac:dyDescent="0.35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 x14ac:dyDescent="0.35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 x14ac:dyDescent="0.35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 x14ac:dyDescent="0.35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 x14ac:dyDescent="0.35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 x14ac:dyDescent="0.35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 x14ac:dyDescent="0.35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 x14ac:dyDescent="0.35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 x14ac:dyDescent="0.35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 x14ac:dyDescent="0.35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 x14ac:dyDescent="0.35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 x14ac:dyDescent="0.35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 x14ac:dyDescent="0.35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 x14ac:dyDescent="0.35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 x14ac:dyDescent="0.35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 x14ac:dyDescent="0.35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 x14ac:dyDescent="0.35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 x14ac:dyDescent="0.35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 x14ac:dyDescent="0.35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 x14ac:dyDescent="0.35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 x14ac:dyDescent="0.35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 x14ac:dyDescent="0.35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 x14ac:dyDescent="0.35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 x14ac:dyDescent="0.35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 x14ac:dyDescent="0.35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 x14ac:dyDescent="0.35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 x14ac:dyDescent="0.35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 x14ac:dyDescent="0.35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 x14ac:dyDescent="0.35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 x14ac:dyDescent="0.35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 x14ac:dyDescent="0.35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 x14ac:dyDescent="0.35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 x14ac:dyDescent="0.35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 x14ac:dyDescent="0.35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 x14ac:dyDescent="0.35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 x14ac:dyDescent="0.35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 x14ac:dyDescent="0.35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 x14ac:dyDescent="0.35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 x14ac:dyDescent="0.35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 x14ac:dyDescent="0.35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 x14ac:dyDescent="0.35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 x14ac:dyDescent="0.35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 x14ac:dyDescent="0.35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 x14ac:dyDescent="0.35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 x14ac:dyDescent="0.35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 x14ac:dyDescent="0.35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 x14ac:dyDescent="0.35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 x14ac:dyDescent="0.35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 x14ac:dyDescent="0.35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 x14ac:dyDescent="0.35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 x14ac:dyDescent="0.35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 x14ac:dyDescent="0.35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 x14ac:dyDescent="0.35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 x14ac:dyDescent="0.35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 x14ac:dyDescent="0.35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 x14ac:dyDescent="0.35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 x14ac:dyDescent="0.35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 x14ac:dyDescent="0.35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 x14ac:dyDescent="0.35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 x14ac:dyDescent="0.35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 x14ac:dyDescent="0.35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 x14ac:dyDescent="0.35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 x14ac:dyDescent="0.35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 x14ac:dyDescent="0.35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 x14ac:dyDescent="0.35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 x14ac:dyDescent="0.35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 x14ac:dyDescent="0.35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 x14ac:dyDescent="0.35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 x14ac:dyDescent="0.35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 x14ac:dyDescent="0.35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 x14ac:dyDescent="0.35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 x14ac:dyDescent="0.35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 x14ac:dyDescent="0.35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 x14ac:dyDescent="0.35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 x14ac:dyDescent="0.35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 x14ac:dyDescent="0.35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 x14ac:dyDescent="0.35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 x14ac:dyDescent="0.35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 x14ac:dyDescent="0.35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 x14ac:dyDescent="0.35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 x14ac:dyDescent="0.35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 x14ac:dyDescent="0.35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 x14ac:dyDescent="0.35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 x14ac:dyDescent="0.35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 x14ac:dyDescent="0.35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 x14ac:dyDescent="0.35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 x14ac:dyDescent="0.35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 x14ac:dyDescent="0.35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 x14ac:dyDescent="0.35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 x14ac:dyDescent="0.35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 x14ac:dyDescent="0.35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 x14ac:dyDescent="0.35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 x14ac:dyDescent="0.35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 x14ac:dyDescent="0.35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 x14ac:dyDescent="0.35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 x14ac:dyDescent="0.35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 x14ac:dyDescent="0.35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 x14ac:dyDescent="0.35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 x14ac:dyDescent="0.35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 x14ac:dyDescent="0.35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 x14ac:dyDescent="0.35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 x14ac:dyDescent="0.35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 x14ac:dyDescent="0.35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 x14ac:dyDescent="0.35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 x14ac:dyDescent="0.35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 x14ac:dyDescent="0.35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 x14ac:dyDescent="0.35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 x14ac:dyDescent="0.35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 x14ac:dyDescent="0.35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 x14ac:dyDescent="0.35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 x14ac:dyDescent="0.35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 x14ac:dyDescent="0.35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 x14ac:dyDescent="0.35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 x14ac:dyDescent="0.35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 x14ac:dyDescent="0.35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 x14ac:dyDescent="0.35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 x14ac:dyDescent="0.35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 x14ac:dyDescent="0.35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 x14ac:dyDescent="0.35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 x14ac:dyDescent="0.35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 x14ac:dyDescent="0.35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 x14ac:dyDescent="0.35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 x14ac:dyDescent="0.35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 x14ac:dyDescent="0.35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 x14ac:dyDescent="0.35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 x14ac:dyDescent="0.35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 x14ac:dyDescent="0.35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 x14ac:dyDescent="0.35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 x14ac:dyDescent="0.35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 x14ac:dyDescent="0.35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 x14ac:dyDescent="0.35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 x14ac:dyDescent="0.35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 x14ac:dyDescent="0.35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 x14ac:dyDescent="0.35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 x14ac:dyDescent="0.35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 x14ac:dyDescent="0.35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 x14ac:dyDescent="0.35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 x14ac:dyDescent="0.35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 x14ac:dyDescent="0.35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 x14ac:dyDescent="0.35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 x14ac:dyDescent="0.35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 x14ac:dyDescent="0.35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 x14ac:dyDescent="0.35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 x14ac:dyDescent="0.35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 x14ac:dyDescent="0.35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 x14ac:dyDescent="0.35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 x14ac:dyDescent="0.35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 x14ac:dyDescent="0.35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 x14ac:dyDescent="0.35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 x14ac:dyDescent="0.35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 x14ac:dyDescent="0.35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 x14ac:dyDescent="0.35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 x14ac:dyDescent="0.35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 x14ac:dyDescent="0.35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 x14ac:dyDescent="0.35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 x14ac:dyDescent="0.35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 x14ac:dyDescent="0.35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 x14ac:dyDescent="0.35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 x14ac:dyDescent="0.35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 x14ac:dyDescent="0.35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 x14ac:dyDescent="0.35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 x14ac:dyDescent="0.35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 x14ac:dyDescent="0.35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 x14ac:dyDescent="0.35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 x14ac:dyDescent="0.35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 x14ac:dyDescent="0.35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 x14ac:dyDescent="0.35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 x14ac:dyDescent="0.35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 x14ac:dyDescent="0.35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 x14ac:dyDescent="0.35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 x14ac:dyDescent="0.35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 x14ac:dyDescent="0.35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 x14ac:dyDescent="0.35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 x14ac:dyDescent="0.35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 x14ac:dyDescent="0.35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 x14ac:dyDescent="0.35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 x14ac:dyDescent="0.35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 x14ac:dyDescent="0.35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 x14ac:dyDescent="0.35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 x14ac:dyDescent="0.35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 x14ac:dyDescent="0.35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 x14ac:dyDescent="0.35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 x14ac:dyDescent="0.35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 x14ac:dyDescent="0.35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 x14ac:dyDescent="0.35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 x14ac:dyDescent="0.35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 x14ac:dyDescent="0.35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 x14ac:dyDescent="0.35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 x14ac:dyDescent="0.35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 x14ac:dyDescent="0.35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 x14ac:dyDescent="0.35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 x14ac:dyDescent="0.35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 x14ac:dyDescent="0.35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 x14ac:dyDescent="0.35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 x14ac:dyDescent="0.35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 x14ac:dyDescent="0.35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 x14ac:dyDescent="0.35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 x14ac:dyDescent="0.35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 x14ac:dyDescent="0.35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 x14ac:dyDescent="0.35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 x14ac:dyDescent="0.35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 x14ac:dyDescent="0.35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 x14ac:dyDescent="0.35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 x14ac:dyDescent="0.35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 x14ac:dyDescent="0.35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 x14ac:dyDescent="0.35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 x14ac:dyDescent="0.35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 x14ac:dyDescent="0.35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 x14ac:dyDescent="0.35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 x14ac:dyDescent="0.35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 x14ac:dyDescent="0.35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 x14ac:dyDescent="0.35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 x14ac:dyDescent="0.35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 x14ac:dyDescent="0.35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 x14ac:dyDescent="0.35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 x14ac:dyDescent="0.35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 x14ac:dyDescent="0.35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 x14ac:dyDescent="0.35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 x14ac:dyDescent="0.35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 x14ac:dyDescent="0.35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 x14ac:dyDescent="0.35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 x14ac:dyDescent="0.35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 x14ac:dyDescent="0.35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 x14ac:dyDescent="0.35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 x14ac:dyDescent="0.35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 x14ac:dyDescent="0.35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 x14ac:dyDescent="0.35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 x14ac:dyDescent="0.35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 x14ac:dyDescent="0.35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 x14ac:dyDescent="0.35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 x14ac:dyDescent="0.35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 x14ac:dyDescent="0.35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 x14ac:dyDescent="0.35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 x14ac:dyDescent="0.35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 x14ac:dyDescent="0.35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 x14ac:dyDescent="0.35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 x14ac:dyDescent="0.35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 x14ac:dyDescent="0.35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 x14ac:dyDescent="0.35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 x14ac:dyDescent="0.35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 x14ac:dyDescent="0.35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 x14ac:dyDescent="0.35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 x14ac:dyDescent="0.35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 x14ac:dyDescent="0.35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 x14ac:dyDescent="0.35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 x14ac:dyDescent="0.35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 x14ac:dyDescent="0.35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 x14ac:dyDescent="0.35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 x14ac:dyDescent="0.35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 x14ac:dyDescent="0.35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 x14ac:dyDescent="0.35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 x14ac:dyDescent="0.35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 x14ac:dyDescent="0.35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 x14ac:dyDescent="0.35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 x14ac:dyDescent="0.35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 x14ac:dyDescent="0.35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 x14ac:dyDescent="0.35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 x14ac:dyDescent="0.35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 x14ac:dyDescent="0.35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 x14ac:dyDescent="0.35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 x14ac:dyDescent="0.35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 x14ac:dyDescent="0.35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 x14ac:dyDescent="0.35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 x14ac:dyDescent="0.35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 x14ac:dyDescent="0.35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 x14ac:dyDescent="0.35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 x14ac:dyDescent="0.35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 x14ac:dyDescent="0.35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 x14ac:dyDescent="0.35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 x14ac:dyDescent="0.35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 x14ac:dyDescent="0.35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 x14ac:dyDescent="0.35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 x14ac:dyDescent="0.35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 x14ac:dyDescent="0.35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 x14ac:dyDescent="0.35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 x14ac:dyDescent="0.35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 x14ac:dyDescent="0.35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 x14ac:dyDescent="0.35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 x14ac:dyDescent="0.35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 x14ac:dyDescent="0.35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 x14ac:dyDescent="0.35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 x14ac:dyDescent="0.35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 x14ac:dyDescent="0.35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 x14ac:dyDescent="0.35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 x14ac:dyDescent="0.35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 x14ac:dyDescent="0.35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 x14ac:dyDescent="0.35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 x14ac:dyDescent="0.35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 x14ac:dyDescent="0.35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 x14ac:dyDescent="0.35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 x14ac:dyDescent="0.35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 x14ac:dyDescent="0.35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 x14ac:dyDescent="0.35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 x14ac:dyDescent="0.35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 x14ac:dyDescent="0.35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 x14ac:dyDescent="0.35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 x14ac:dyDescent="0.35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 x14ac:dyDescent="0.35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 x14ac:dyDescent="0.35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 x14ac:dyDescent="0.35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 x14ac:dyDescent="0.35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 x14ac:dyDescent="0.35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 x14ac:dyDescent="0.35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 x14ac:dyDescent="0.35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 x14ac:dyDescent="0.35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 x14ac:dyDescent="0.35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 x14ac:dyDescent="0.35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 x14ac:dyDescent="0.35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 x14ac:dyDescent="0.35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 x14ac:dyDescent="0.35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 x14ac:dyDescent="0.35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 x14ac:dyDescent="0.35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 x14ac:dyDescent="0.35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 x14ac:dyDescent="0.35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 x14ac:dyDescent="0.35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 x14ac:dyDescent="0.35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 x14ac:dyDescent="0.35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 x14ac:dyDescent="0.35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 x14ac:dyDescent="0.35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 x14ac:dyDescent="0.35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 x14ac:dyDescent="0.35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 x14ac:dyDescent="0.35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 x14ac:dyDescent="0.35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 x14ac:dyDescent="0.35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 x14ac:dyDescent="0.35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 x14ac:dyDescent="0.35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 x14ac:dyDescent="0.35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 x14ac:dyDescent="0.35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 x14ac:dyDescent="0.35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 x14ac:dyDescent="0.35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 x14ac:dyDescent="0.35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 x14ac:dyDescent="0.35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 x14ac:dyDescent="0.35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 x14ac:dyDescent="0.35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 x14ac:dyDescent="0.35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 x14ac:dyDescent="0.35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 x14ac:dyDescent="0.35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 x14ac:dyDescent="0.35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 x14ac:dyDescent="0.35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 x14ac:dyDescent="0.35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 x14ac:dyDescent="0.35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 x14ac:dyDescent="0.35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 x14ac:dyDescent="0.35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 x14ac:dyDescent="0.35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 x14ac:dyDescent="0.35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 x14ac:dyDescent="0.35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 x14ac:dyDescent="0.35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 x14ac:dyDescent="0.35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 x14ac:dyDescent="0.35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 x14ac:dyDescent="0.35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 x14ac:dyDescent="0.35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 x14ac:dyDescent="0.35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 x14ac:dyDescent="0.35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 x14ac:dyDescent="0.35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 x14ac:dyDescent="0.35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 x14ac:dyDescent="0.35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 x14ac:dyDescent="0.35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 x14ac:dyDescent="0.35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 x14ac:dyDescent="0.35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 x14ac:dyDescent="0.35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 x14ac:dyDescent="0.35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 x14ac:dyDescent="0.35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 x14ac:dyDescent="0.35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 x14ac:dyDescent="0.35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 x14ac:dyDescent="0.35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 x14ac:dyDescent="0.35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 x14ac:dyDescent="0.35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 x14ac:dyDescent="0.35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 x14ac:dyDescent="0.35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 x14ac:dyDescent="0.35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 x14ac:dyDescent="0.35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 x14ac:dyDescent="0.35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 x14ac:dyDescent="0.35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 x14ac:dyDescent="0.35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 x14ac:dyDescent="0.35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 x14ac:dyDescent="0.35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 x14ac:dyDescent="0.35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 x14ac:dyDescent="0.35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 x14ac:dyDescent="0.35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 x14ac:dyDescent="0.35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 x14ac:dyDescent="0.35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 x14ac:dyDescent="0.35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 x14ac:dyDescent="0.35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 x14ac:dyDescent="0.35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 x14ac:dyDescent="0.35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 x14ac:dyDescent="0.35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 x14ac:dyDescent="0.35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 x14ac:dyDescent="0.35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 x14ac:dyDescent="0.35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 x14ac:dyDescent="0.35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 x14ac:dyDescent="0.35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 x14ac:dyDescent="0.35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 x14ac:dyDescent="0.35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 x14ac:dyDescent="0.35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 x14ac:dyDescent="0.35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 x14ac:dyDescent="0.35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 x14ac:dyDescent="0.35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 x14ac:dyDescent="0.35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 x14ac:dyDescent="0.35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 x14ac:dyDescent="0.35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 x14ac:dyDescent="0.35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 x14ac:dyDescent="0.35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 x14ac:dyDescent="0.35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 x14ac:dyDescent="0.35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 x14ac:dyDescent="0.35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 x14ac:dyDescent="0.35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 x14ac:dyDescent="0.35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 x14ac:dyDescent="0.35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 x14ac:dyDescent="0.35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 x14ac:dyDescent="0.35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 x14ac:dyDescent="0.35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 x14ac:dyDescent="0.35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 x14ac:dyDescent="0.35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 x14ac:dyDescent="0.35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 x14ac:dyDescent="0.35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 x14ac:dyDescent="0.35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 x14ac:dyDescent="0.35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 x14ac:dyDescent="0.35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 x14ac:dyDescent="0.35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 x14ac:dyDescent="0.35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 x14ac:dyDescent="0.35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 x14ac:dyDescent="0.35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 x14ac:dyDescent="0.35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 x14ac:dyDescent="0.35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 x14ac:dyDescent="0.35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 x14ac:dyDescent="0.35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 x14ac:dyDescent="0.35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 x14ac:dyDescent="0.35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 x14ac:dyDescent="0.35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 x14ac:dyDescent="0.35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 x14ac:dyDescent="0.35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 x14ac:dyDescent="0.35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 x14ac:dyDescent="0.35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 x14ac:dyDescent="0.35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 x14ac:dyDescent="0.35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 x14ac:dyDescent="0.35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 x14ac:dyDescent="0.35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 x14ac:dyDescent="0.35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 x14ac:dyDescent="0.35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 x14ac:dyDescent="0.35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 x14ac:dyDescent="0.35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 x14ac:dyDescent="0.35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 x14ac:dyDescent="0.35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 x14ac:dyDescent="0.35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 x14ac:dyDescent="0.35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 x14ac:dyDescent="0.35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 x14ac:dyDescent="0.35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 x14ac:dyDescent="0.35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 x14ac:dyDescent="0.35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 x14ac:dyDescent="0.35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 x14ac:dyDescent="0.35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 x14ac:dyDescent="0.35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 x14ac:dyDescent="0.35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 x14ac:dyDescent="0.35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 x14ac:dyDescent="0.35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 x14ac:dyDescent="0.35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 x14ac:dyDescent="0.35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 x14ac:dyDescent="0.35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 x14ac:dyDescent="0.35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 x14ac:dyDescent="0.35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 x14ac:dyDescent="0.35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 x14ac:dyDescent="0.35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 x14ac:dyDescent="0.35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 x14ac:dyDescent="0.35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 x14ac:dyDescent="0.35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 x14ac:dyDescent="0.35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 x14ac:dyDescent="0.35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 x14ac:dyDescent="0.35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 x14ac:dyDescent="0.35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 x14ac:dyDescent="0.35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 x14ac:dyDescent="0.35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 x14ac:dyDescent="0.35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 x14ac:dyDescent="0.35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 x14ac:dyDescent="0.35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 x14ac:dyDescent="0.35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 x14ac:dyDescent="0.35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 x14ac:dyDescent="0.35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 x14ac:dyDescent="0.35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 x14ac:dyDescent="0.35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 x14ac:dyDescent="0.35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 x14ac:dyDescent="0.35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 x14ac:dyDescent="0.35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 x14ac:dyDescent="0.35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 x14ac:dyDescent="0.35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 x14ac:dyDescent="0.35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 x14ac:dyDescent="0.35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 x14ac:dyDescent="0.35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 x14ac:dyDescent="0.35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 x14ac:dyDescent="0.35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 x14ac:dyDescent="0.35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 x14ac:dyDescent="0.35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 x14ac:dyDescent="0.35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 x14ac:dyDescent="0.35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 x14ac:dyDescent="0.35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 x14ac:dyDescent="0.35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 x14ac:dyDescent="0.35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 x14ac:dyDescent="0.35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 x14ac:dyDescent="0.35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 x14ac:dyDescent="0.35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 x14ac:dyDescent="0.35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 x14ac:dyDescent="0.35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 x14ac:dyDescent="0.35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 x14ac:dyDescent="0.35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 x14ac:dyDescent="0.35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 x14ac:dyDescent="0.35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 x14ac:dyDescent="0.35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 x14ac:dyDescent="0.35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 x14ac:dyDescent="0.35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 x14ac:dyDescent="0.35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 x14ac:dyDescent="0.35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 x14ac:dyDescent="0.35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 x14ac:dyDescent="0.35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 x14ac:dyDescent="0.35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 x14ac:dyDescent="0.35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 x14ac:dyDescent="0.35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 x14ac:dyDescent="0.35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 x14ac:dyDescent="0.35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 x14ac:dyDescent="0.35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 x14ac:dyDescent="0.35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 x14ac:dyDescent="0.35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 x14ac:dyDescent="0.35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 x14ac:dyDescent="0.35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 x14ac:dyDescent="0.35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 x14ac:dyDescent="0.35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 x14ac:dyDescent="0.35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 x14ac:dyDescent="0.35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 x14ac:dyDescent="0.35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 x14ac:dyDescent="0.35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 x14ac:dyDescent="0.35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 x14ac:dyDescent="0.35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 x14ac:dyDescent="0.35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 x14ac:dyDescent="0.35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 x14ac:dyDescent="0.35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 x14ac:dyDescent="0.35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 x14ac:dyDescent="0.35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 x14ac:dyDescent="0.35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 x14ac:dyDescent="0.35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 x14ac:dyDescent="0.35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 x14ac:dyDescent="0.35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 x14ac:dyDescent="0.35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 x14ac:dyDescent="0.35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 x14ac:dyDescent="0.35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 x14ac:dyDescent="0.35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 x14ac:dyDescent="0.35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 x14ac:dyDescent="0.35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 x14ac:dyDescent="0.35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 x14ac:dyDescent="0.35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 x14ac:dyDescent="0.35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 x14ac:dyDescent="0.35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 x14ac:dyDescent="0.35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 x14ac:dyDescent="0.35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 x14ac:dyDescent="0.35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 x14ac:dyDescent="0.35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 x14ac:dyDescent="0.35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 x14ac:dyDescent="0.35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 x14ac:dyDescent="0.35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 x14ac:dyDescent="0.35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 x14ac:dyDescent="0.35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 x14ac:dyDescent="0.35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 x14ac:dyDescent="0.35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 x14ac:dyDescent="0.35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 x14ac:dyDescent="0.35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 x14ac:dyDescent="0.35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 x14ac:dyDescent="0.35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 x14ac:dyDescent="0.35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 x14ac:dyDescent="0.35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 x14ac:dyDescent="0.35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 x14ac:dyDescent="0.35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 x14ac:dyDescent="0.35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 x14ac:dyDescent="0.35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 x14ac:dyDescent="0.35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 x14ac:dyDescent="0.35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 x14ac:dyDescent="0.35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 x14ac:dyDescent="0.35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 x14ac:dyDescent="0.35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 x14ac:dyDescent="0.35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 x14ac:dyDescent="0.35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 x14ac:dyDescent="0.35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 x14ac:dyDescent="0.35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 x14ac:dyDescent="0.35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 x14ac:dyDescent="0.35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 x14ac:dyDescent="0.35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 x14ac:dyDescent="0.35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 x14ac:dyDescent="0.35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 x14ac:dyDescent="0.35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 x14ac:dyDescent="0.35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 x14ac:dyDescent="0.35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 x14ac:dyDescent="0.35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 x14ac:dyDescent="0.35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 x14ac:dyDescent="0.35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 x14ac:dyDescent="0.35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 x14ac:dyDescent="0.35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 x14ac:dyDescent="0.35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 x14ac:dyDescent="0.35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 x14ac:dyDescent="0.35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 x14ac:dyDescent="0.35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 x14ac:dyDescent="0.35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 x14ac:dyDescent="0.35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 x14ac:dyDescent="0.35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 x14ac:dyDescent="0.35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 x14ac:dyDescent="0.35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 x14ac:dyDescent="0.35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 x14ac:dyDescent="0.35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 x14ac:dyDescent="0.35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 x14ac:dyDescent="0.35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 x14ac:dyDescent="0.35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 x14ac:dyDescent="0.35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 x14ac:dyDescent="0.35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 x14ac:dyDescent="0.35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 x14ac:dyDescent="0.35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 x14ac:dyDescent="0.35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 x14ac:dyDescent="0.35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 x14ac:dyDescent="0.35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 x14ac:dyDescent="0.35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 x14ac:dyDescent="0.35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 x14ac:dyDescent="0.35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 x14ac:dyDescent="0.35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 x14ac:dyDescent="0.35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 x14ac:dyDescent="0.35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 x14ac:dyDescent="0.35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 x14ac:dyDescent="0.35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 x14ac:dyDescent="0.35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 x14ac:dyDescent="0.35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 x14ac:dyDescent="0.35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 x14ac:dyDescent="0.35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 x14ac:dyDescent="0.35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 x14ac:dyDescent="0.35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 x14ac:dyDescent="0.35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 x14ac:dyDescent="0.35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 x14ac:dyDescent="0.35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 x14ac:dyDescent="0.35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 x14ac:dyDescent="0.35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 x14ac:dyDescent="0.35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 x14ac:dyDescent="0.35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 x14ac:dyDescent="0.35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 x14ac:dyDescent="0.35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 x14ac:dyDescent="0.35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 x14ac:dyDescent="0.35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 x14ac:dyDescent="0.35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 x14ac:dyDescent="0.35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 x14ac:dyDescent="0.35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 x14ac:dyDescent="0.35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 x14ac:dyDescent="0.35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 x14ac:dyDescent="0.35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 x14ac:dyDescent="0.35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 x14ac:dyDescent="0.35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 x14ac:dyDescent="0.35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 x14ac:dyDescent="0.35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 x14ac:dyDescent="0.35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 x14ac:dyDescent="0.35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 x14ac:dyDescent="0.35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 x14ac:dyDescent="0.35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 x14ac:dyDescent="0.35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 x14ac:dyDescent="0.35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 x14ac:dyDescent="0.35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 x14ac:dyDescent="0.35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 x14ac:dyDescent="0.35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 x14ac:dyDescent="0.35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 x14ac:dyDescent="0.35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 x14ac:dyDescent="0.35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 x14ac:dyDescent="0.35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 x14ac:dyDescent="0.35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 x14ac:dyDescent="0.35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 x14ac:dyDescent="0.35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 x14ac:dyDescent="0.35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 x14ac:dyDescent="0.35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 x14ac:dyDescent="0.35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 x14ac:dyDescent="0.35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 x14ac:dyDescent="0.35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 x14ac:dyDescent="0.35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 x14ac:dyDescent="0.35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 x14ac:dyDescent="0.35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 x14ac:dyDescent="0.35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 x14ac:dyDescent="0.35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 x14ac:dyDescent="0.35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 x14ac:dyDescent="0.35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 x14ac:dyDescent="0.35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 x14ac:dyDescent="0.35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 x14ac:dyDescent="0.35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 x14ac:dyDescent="0.35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 x14ac:dyDescent="0.35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 x14ac:dyDescent="0.35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 x14ac:dyDescent="0.35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 x14ac:dyDescent="0.35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 x14ac:dyDescent="0.35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 x14ac:dyDescent="0.35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 x14ac:dyDescent="0.35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 x14ac:dyDescent="0.35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 x14ac:dyDescent="0.35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 x14ac:dyDescent="0.35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 x14ac:dyDescent="0.35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 x14ac:dyDescent="0.35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 x14ac:dyDescent="0.35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 x14ac:dyDescent="0.35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 x14ac:dyDescent="0.35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 x14ac:dyDescent="0.35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 x14ac:dyDescent="0.35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 x14ac:dyDescent="0.35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 x14ac:dyDescent="0.35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 x14ac:dyDescent="0.35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 x14ac:dyDescent="0.35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 x14ac:dyDescent="0.35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 x14ac:dyDescent="0.35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 x14ac:dyDescent="0.35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 x14ac:dyDescent="0.35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 x14ac:dyDescent="0.35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 x14ac:dyDescent="0.35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 x14ac:dyDescent="0.35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 x14ac:dyDescent="0.35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 x14ac:dyDescent="0.35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 x14ac:dyDescent="0.35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 x14ac:dyDescent="0.35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 x14ac:dyDescent="0.35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 x14ac:dyDescent="0.35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 x14ac:dyDescent="0.35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 x14ac:dyDescent="0.35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 x14ac:dyDescent="0.35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 x14ac:dyDescent="0.35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 x14ac:dyDescent="0.35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 x14ac:dyDescent="0.35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 x14ac:dyDescent="0.35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 x14ac:dyDescent="0.35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 x14ac:dyDescent="0.35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 x14ac:dyDescent="0.35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 x14ac:dyDescent="0.35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 x14ac:dyDescent="0.35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 x14ac:dyDescent="0.35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 x14ac:dyDescent="0.35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 x14ac:dyDescent="0.35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 x14ac:dyDescent="0.35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 x14ac:dyDescent="0.35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 x14ac:dyDescent="0.35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 x14ac:dyDescent="0.35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 x14ac:dyDescent="0.35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 x14ac:dyDescent="0.35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 x14ac:dyDescent="0.35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 x14ac:dyDescent="0.35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 x14ac:dyDescent="0.35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 x14ac:dyDescent="0.35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 x14ac:dyDescent="0.35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 x14ac:dyDescent="0.35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 x14ac:dyDescent="0.35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 x14ac:dyDescent="0.35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 x14ac:dyDescent="0.35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 x14ac:dyDescent="0.35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 x14ac:dyDescent="0.35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 x14ac:dyDescent="0.35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 x14ac:dyDescent="0.35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 x14ac:dyDescent="0.35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 x14ac:dyDescent="0.35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 x14ac:dyDescent="0.35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 x14ac:dyDescent="0.35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 x14ac:dyDescent="0.35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 x14ac:dyDescent="0.35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 x14ac:dyDescent="0.35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 x14ac:dyDescent="0.35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 x14ac:dyDescent="0.35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 x14ac:dyDescent="0.35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 x14ac:dyDescent="0.35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 x14ac:dyDescent="0.35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 x14ac:dyDescent="0.35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 x14ac:dyDescent="0.35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 x14ac:dyDescent="0.35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 x14ac:dyDescent="0.35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 x14ac:dyDescent="0.35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 x14ac:dyDescent="0.35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 x14ac:dyDescent="0.35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 x14ac:dyDescent="0.35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 x14ac:dyDescent="0.35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 x14ac:dyDescent="0.35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 x14ac:dyDescent="0.35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 x14ac:dyDescent="0.35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 x14ac:dyDescent="0.35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 x14ac:dyDescent="0.35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 x14ac:dyDescent="0.35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 x14ac:dyDescent="0.35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 x14ac:dyDescent="0.35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 x14ac:dyDescent="0.35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 x14ac:dyDescent="0.35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 x14ac:dyDescent="0.35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 x14ac:dyDescent="0.35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 x14ac:dyDescent="0.35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 x14ac:dyDescent="0.35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 x14ac:dyDescent="0.35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 x14ac:dyDescent="0.35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 x14ac:dyDescent="0.35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 x14ac:dyDescent="0.35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 x14ac:dyDescent="0.35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 x14ac:dyDescent="0.35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 x14ac:dyDescent="0.35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 x14ac:dyDescent="0.35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 x14ac:dyDescent="0.35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 x14ac:dyDescent="0.35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 x14ac:dyDescent="0.35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 x14ac:dyDescent="0.35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 x14ac:dyDescent="0.35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 x14ac:dyDescent="0.35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 x14ac:dyDescent="0.35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 x14ac:dyDescent="0.35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 x14ac:dyDescent="0.35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 x14ac:dyDescent="0.35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 x14ac:dyDescent="0.35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 x14ac:dyDescent="0.35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 x14ac:dyDescent="0.35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 x14ac:dyDescent="0.35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 x14ac:dyDescent="0.35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 x14ac:dyDescent="0.35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 x14ac:dyDescent="0.35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 x14ac:dyDescent="0.35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 x14ac:dyDescent="0.35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 x14ac:dyDescent="0.35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 x14ac:dyDescent="0.35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 x14ac:dyDescent="0.35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 x14ac:dyDescent="0.35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 x14ac:dyDescent="0.35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 x14ac:dyDescent="0.35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 x14ac:dyDescent="0.35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 x14ac:dyDescent="0.35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 x14ac:dyDescent="0.35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 x14ac:dyDescent="0.35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 x14ac:dyDescent="0.35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 x14ac:dyDescent="0.35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 x14ac:dyDescent="0.35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 x14ac:dyDescent="0.35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 x14ac:dyDescent="0.35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 x14ac:dyDescent="0.35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 x14ac:dyDescent="0.35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 x14ac:dyDescent="0.35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 x14ac:dyDescent="0.35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 x14ac:dyDescent="0.35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 x14ac:dyDescent="0.35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 x14ac:dyDescent="0.35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 x14ac:dyDescent="0.35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 x14ac:dyDescent="0.35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 x14ac:dyDescent="0.35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 x14ac:dyDescent="0.35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 x14ac:dyDescent="0.35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 x14ac:dyDescent="0.35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 x14ac:dyDescent="0.35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 x14ac:dyDescent="0.35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 x14ac:dyDescent="0.35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 x14ac:dyDescent="0.35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 x14ac:dyDescent="0.35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 x14ac:dyDescent="0.35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 x14ac:dyDescent="0.35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 x14ac:dyDescent="0.35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 x14ac:dyDescent="0.35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 x14ac:dyDescent="0.35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 x14ac:dyDescent="0.35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 x14ac:dyDescent="0.35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 x14ac:dyDescent="0.35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 x14ac:dyDescent="0.35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 x14ac:dyDescent="0.35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 x14ac:dyDescent="0.35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 x14ac:dyDescent="0.35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 x14ac:dyDescent="0.35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 x14ac:dyDescent="0.35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 x14ac:dyDescent="0.35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 x14ac:dyDescent="0.35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 x14ac:dyDescent="0.35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 x14ac:dyDescent="0.35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 x14ac:dyDescent="0.35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 x14ac:dyDescent="0.35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 x14ac:dyDescent="0.35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 x14ac:dyDescent="0.35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 x14ac:dyDescent="0.35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 x14ac:dyDescent="0.35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 x14ac:dyDescent="0.35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 x14ac:dyDescent="0.35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 x14ac:dyDescent="0.35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 x14ac:dyDescent="0.35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 x14ac:dyDescent="0.35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 x14ac:dyDescent="0.35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 x14ac:dyDescent="0.35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 x14ac:dyDescent="0.35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 x14ac:dyDescent="0.35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 x14ac:dyDescent="0.35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 x14ac:dyDescent="0.35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 x14ac:dyDescent="0.35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 x14ac:dyDescent="0.35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 x14ac:dyDescent="0.35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 x14ac:dyDescent="0.35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 x14ac:dyDescent="0.35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 x14ac:dyDescent="0.35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 x14ac:dyDescent="0.35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 x14ac:dyDescent="0.35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 x14ac:dyDescent="0.35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 x14ac:dyDescent="0.35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 x14ac:dyDescent="0.35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 x14ac:dyDescent="0.35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 x14ac:dyDescent="0.35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 x14ac:dyDescent="0.35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 x14ac:dyDescent="0.35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 x14ac:dyDescent="0.35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 x14ac:dyDescent="0.35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 x14ac:dyDescent="0.35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 x14ac:dyDescent="0.35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9" x14ac:dyDescent="0.35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9" x14ac:dyDescent="0.35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9" x14ac:dyDescent="0.35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9" x14ac:dyDescent="0.35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9" x14ac:dyDescent="0.35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9" x14ac:dyDescent="0.35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9" x14ac:dyDescent="0.35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9" x14ac:dyDescent="0.35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9" x14ac:dyDescent="0.35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84540-F634-4132-AEBA-A351C6041FEB}">
  <dimension ref="A1:J1005"/>
  <sheetViews>
    <sheetView zoomScale="108" zoomScaleNormal="108" workbookViewId="0">
      <pane ySplit="1" topLeftCell="A988" activePane="bottomLeft" state="frozen"/>
      <selection pane="bottomLeft" activeCell="H1002" sqref="H1002:I1005"/>
    </sheetView>
  </sheetViews>
  <sheetFormatPr defaultRowHeight="14.5" x14ac:dyDescent="0.35"/>
  <cols>
    <col min="1" max="1" width="14.81640625" customWidth="1"/>
    <col min="2" max="2" width="12.453125" customWidth="1"/>
    <col min="3" max="3" width="13.1796875" customWidth="1"/>
    <col min="4" max="4" width="8.90625" customWidth="1"/>
    <col min="6" max="6" width="17.08984375" customWidth="1"/>
    <col min="7" max="7" width="10" customWidth="1"/>
    <col min="8" max="9" width="14.08984375" customWidth="1"/>
    <col min="10" max="10" width="13.81640625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1014</v>
      </c>
      <c r="J1" s="2" t="s">
        <v>8</v>
      </c>
    </row>
    <row r="2" spans="1:10" x14ac:dyDescent="0.35">
      <c r="A2" s="2">
        <v>22</v>
      </c>
      <c r="B2" s="3">
        <v>45214</v>
      </c>
      <c r="C2" s="2" t="s">
        <v>35</v>
      </c>
      <c r="D2" s="2" t="s">
        <v>10</v>
      </c>
      <c r="E2" s="2">
        <v>18</v>
      </c>
      <c r="F2" s="2" t="s">
        <v>14</v>
      </c>
      <c r="G2" s="2">
        <v>2</v>
      </c>
      <c r="H2" s="2">
        <v>50</v>
      </c>
      <c r="I2" s="2">
        <f>Table13[[#This Row],[Quantity]]*Table13[[#This Row],[Price per Unit]]</f>
        <v>100</v>
      </c>
      <c r="J2" s="2">
        <v>100</v>
      </c>
    </row>
    <row r="3" spans="1:10" x14ac:dyDescent="0.35">
      <c r="A3" s="2">
        <v>37</v>
      </c>
      <c r="B3" s="3">
        <v>45069</v>
      </c>
      <c r="C3" s="2" t="s">
        <v>50</v>
      </c>
      <c r="D3" s="2" t="s">
        <v>13</v>
      </c>
      <c r="E3" s="2">
        <v>18</v>
      </c>
      <c r="F3" s="2" t="s">
        <v>11</v>
      </c>
      <c r="G3" s="2">
        <v>3</v>
      </c>
      <c r="H3" s="2">
        <v>25</v>
      </c>
      <c r="I3" s="2">
        <f>Table13[[#This Row],[Quantity]]*Table13[[#This Row],[Price per Unit]]</f>
        <v>75</v>
      </c>
      <c r="J3" s="2">
        <v>75</v>
      </c>
    </row>
    <row r="4" spans="1:10" x14ac:dyDescent="0.35">
      <c r="A4" s="2">
        <v>58</v>
      </c>
      <c r="B4" s="3">
        <v>45243</v>
      </c>
      <c r="C4" s="2" t="s">
        <v>71</v>
      </c>
      <c r="D4" s="2" t="s">
        <v>10</v>
      </c>
      <c r="E4" s="2">
        <v>18</v>
      </c>
      <c r="F4" s="2" t="s">
        <v>14</v>
      </c>
      <c r="G4" s="2">
        <v>4</v>
      </c>
      <c r="H4" s="2">
        <v>300</v>
      </c>
      <c r="I4" s="2">
        <f>Table13[[#This Row],[Quantity]]*Table13[[#This Row],[Price per Unit]]</f>
        <v>1200</v>
      </c>
      <c r="J4" s="2">
        <v>1200</v>
      </c>
    </row>
    <row r="5" spans="1:10" x14ac:dyDescent="0.35">
      <c r="A5" s="2">
        <v>62</v>
      </c>
      <c r="B5" s="3">
        <v>45287</v>
      </c>
      <c r="C5" s="2" t="s">
        <v>75</v>
      </c>
      <c r="D5" s="2" t="s">
        <v>10</v>
      </c>
      <c r="E5" s="2">
        <v>18</v>
      </c>
      <c r="F5" s="2" t="s">
        <v>11</v>
      </c>
      <c r="G5" s="2">
        <v>2</v>
      </c>
      <c r="H5" s="2">
        <v>50</v>
      </c>
      <c r="I5" s="2">
        <f>Table13[[#This Row],[Quantity]]*Table13[[#This Row],[Price per Unit]]</f>
        <v>100</v>
      </c>
      <c r="J5" s="2">
        <v>100</v>
      </c>
    </row>
    <row r="6" spans="1:10" x14ac:dyDescent="0.35">
      <c r="A6" s="2">
        <v>74</v>
      </c>
      <c r="B6" s="3">
        <v>45252</v>
      </c>
      <c r="C6" s="2" t="s">
        <v>87</v>
      </c>
      <c r="D6" s="2" t="s">
        <v>13</v>
      </c>
      <c r="E6" s="2">
        <v>18</v>
      </c>
      <c r="F6" s="2" t="s">
        <v>11</v>
      </c>
      <c r="G6" s="2">
        <v>4</v>
      </c>
      <c r="H6" s="2">
        <v>500</v>
      </c>
      <c r="I6" s="2">
        <f>Table13[[#This Row],[Quantity]]*Table13[[#This Row],[Price per Unit]]</f>
        <v>2000</v>
      </c>
      <c r="J6" s="2">
        <v>2000</v>
      </c>
    </row>
    <row r="7" spans="1:10" x14ac:dyDescent="0.35">
      <c r="A7" s="2">
        <v>148</v>
      </c>
      <c r="B7" s="3">
        <v>45055</v>
      </c>
      <c r="C7" s="2" t="s">
        <v>161</v>
      </c>
      <c r="D7" s="2" t="s">
        <v>10</v>
      </c>
      <c r="E7" s="2">
        <v>18</v>
      </c>
      <c r="F7" s="2" t="s">
        <v>14</v>
      </c>
      <c r="G7" s="2">
        <v>2</v>
      </c>
      <c r="H7" s="2">
        <v>30</v>
      </c>
      <c r="I7" s="2">
        <f>Table13[[#This Row],[Quantity]]*Table13[[#This Row],[Price per Unit]]</f>
        <v>60</v>
      </c>
      <c r="J7" s="2">
        <v>60</v>
      </c>
    </row>
    <row r="8" spans="1:10" x14ac:dyDescent="0.35">
      <c r="A8" s="2">
        <v>169</v>
      </c>
      <c r="B8" s="3">
        <v>45247</v>
      </c>
      <c r="C8" s="2" t="s">
        <v>182</v>
      </c>
      <c r="D8" s="2" t="s">
        <v>10</v>
      </c>
      <c r="E8" s="2">
        <v>18</v>
      </c>
      <c r="F8" s="2" t="s">
        <v>11</v>
      </c>
      <c r="G8" s="2">
        <v>3</v>
      </c>
      <c r="H8" s="2">
        <v>500</v>
      </c>
      <c r="I8" s="2">
        <f>Table13[[#This Row],[Quantity]]*Table13[[#This Row],[Price per Unit]]</f>
        <v>1500</v>
      </c>
      <c r="J8" s="2">
        <v>1500</v>
      </c>
    </row>
    <row r="9" spans="1:10" x14ac:dyDescent="0.35">
      <c r="A9" s="2">
        <v>283</v>
      </c>
      <c r="B9" s="3">
        <v>45054</v>
      </c>
      <c r="C9" s="2" t="s">
        <v>296</v>
      </c>
      <c r="D9" s="2" t="s">
        <v>13</v>
      </c>
      <c r="E9" s="2">
        <v>18</v>
      </c>
      <c r="F9" s="2" t="s">
        <v>16</v>
      </c>
      <c r="G9" s="2">
        <v>1</v>
      </c>
      <c r="H9" s="2">
        <v>500</v>
      </c>
      <c r="I9" s="2">
        <f>Table13[[#This Row],[Quantity]]*Table13[[#This Row],[Price per Unit]]</f>
        <v>500</v>
      </c>
      <c r="J9" s="2">
        <v>500</v>
      </c>
    </row>
    <row r="10" spans="1:10" x14ac:dyDescent="0.35">
      <c r="A10" s="2">
        <v>305</v>
      </c>
      <c r="B10" s="3">
        <v>45062</v>
      </c>
      <c r="C10" s="2" t="s">
        <v>318</v>
      </c>
      <c r="D10" s="2" t="s">
        <v>13</v>
      </c>
      <c r="E10" s="2">
        <v>18</v>
      </c>
      <c r="F10" s="2" t="s">
        <v>11</v>
      </c>
      <c r="G10" s="2">
        <v>1</v>
      </c>
      <c r="H10" s="2">
        <v>30</v>
      </c>
      <c r="I10" s="2">
        <f>Table13[[#This Row],[Quantity]]*Table13[[#This Row],[Price per Unit]]</f>
        <v>30</v>
      </c>
      <c r="J10" s="2">
        <v>30</v>
      </c>
    </row>
    <row r="11" spans="1:10" x14ac:dyDescent="0.35">
      <c r="A11" s="2">
        <v>326</v>
      </c>
      <c r="B11" s="3">
        <v>45184</v>
      </c>
      <c r="C11" s="2" t="s">
        <v>339</v>
      </c>
      <c r="D11" s="2" t="s">
        <v>13</v>
      </c>
      <c r="E11" s="2">
        <v>18</v>
      </c>
      <c r="F11" s="2" t="s">
        <v>14</v>
      </c>
      <c r="G11" s="2">
        <v>3</v>
      </c>
      <c r="H11" s="2">
        <v>25</v>
      </c>
      <c r="I11" s="2">
        <f>Table13[[#This Row],[Quantity]]*Table13[[#This Row],[Price per Unit]]</f>
        <v>75</v>
      </c>
      <c r="J11" s="2">
        <v>75</v>
      </c>
    </row>
    <row r="12" spans="1:10" x14ac:dyDescent="0.35">
      <c r="A12" s="2">
        <v>461</v>
      </c>
      <c r="B12" s="3">
        <v>45010</v>
      </c>
      <c r="C12" s="2" t="s">
        <v>474</v>
      </c>
      <c r="D12" s="2" t="s">
        <v>13</v>
      </c>
      <c r="E12" s="2">
        <v>18</v>
      </c>
      <c r="F12" s="2" t="s">
        <v>11</v>
      </c>
      <c r="G12" s="2">
        <v>2</v>
      </c>
      <c r="H12" s="2">
        <v>500</v>
      </c>
      <c r="I12" s="2">
        <f>Table13[[#This Row],[Quantity]]*Table13[[#This Row],[Price per Unit]]</f>
        <v>1000</v>
      </c>
      <c r="J12" s="2">
        <v>1000</v>
      </c>
    </row>
    <row r="13" spans="1:10" x14ac:dyDescent="0.35">
      <c r="A13" s="2">
        <v>469</v>
      </c>
      <c r="B13" s="3">
        <v>45054</v>
      </c>
      <c r="C13" s="2" t="s">
        <v>482</v>
      </c>
      <c r="D13" s="2" t="s">
        <v>10</v>
      </c>
      <c r="E13" s="2">
        <v>18</v>
      </c>
      <c r="F13" s="2" t="s">
        <v>11</v>
      </c>
      <c r="G13" s="2">
        <v>3</v>
      </c>
      <c r="H13" s="2">
        <v>25</v>
      </c>
      <c r="I13" s="2">
        <f>Table13[[#This Row],[Quantity]]*Table13[[#This Row],[Price per Unit]]</f>
        <v>75</v>
      </c>
      <c r="J13" s="2">
        <v>75</v>
      </c>
    </row>
    <row r="14" spans="1:10" x14ac:dyDescent="0.35">
      <c r="A14" s="2">
        <v>514</v>
      </c>
      <c r="B14" s="3">
        <v>44986</v>
      </c>
      <c r="C14" s="2" t="s">
        <v>527</v>
      </c>
      <c r="D14" s="2" t="s">
        <v>13</v>
      </c>
      <c r="E14" s="2">
        <v>18</v>
      </c>
      <c r="F14" s="2" t="s">
        <v>16</v>
      </c>
      <c r="G14" s="2">
        <v>1</v>
      </c>
      <c r="H14" s="2">
        <v>300</v>
      </c>
      <c r="I14" s="2">
        <f>Table13[[#This Row],[Quantity]]*Table13[[#This Row],[Price per Unit]]</f>
        <v>300</v>
      </c>
      <c r="J14" s="2">
        <v>300</v>
      </c>
    </row>
    <row r="15" spans="1:10" x14ac:dyDescent="0.35">
      <c r="A15" s="2">
        <v>530</v>
      </c>
      <c r="B15" s="3">
        <v>44962</v>
      </c>
      <c r="C15" s="2" t="s">
        <v>543</v>
      </c>
      <c r="D15" s="2" t="s">
        <v>13</v>
      </c>
      <c r="E15" s="2">
        <v>18</v>
      </c>
      <c r="F15" s="2" t="s">
        <v>16</v>
      </c>
      <c r="G15" s="2">
        <v>4</v>
      </c>
      <c r="H15" s="2">
        <v>30</v>
      </c>
      <c r="I15" s="2">
        <f>Table13[[#This Row],[Quantity]]*Table13[[#This Row],[Price per Unit]]</f>
        <v>120</v>
      </c>
      <c r="J15" s="2">
        <v>120</v>
      </c>
    </row>
    <row r="16" spans="1:10" x14ac:dyDescent="0.35">
      <c r="A16" s="2">
        <v>538</v>
      </c>
      <c r="B16" s="3">
        <v>45186</v>
      </c>
      <c r="C16" s="2" t="s">
        <v>551</v>
      </c>
      <c r="D16" s="2" t="s">
        <v>10</v>
      </c>
      <c r="E16" s="2">
        <v>18</v>
      </c>
      <c r="F16" s="2" t="s">
        <v>14</v>
      </c>
      <c r="G16" s="2">
        <v>3</v>
      </c>
      <c r="H16" s="2">
        <v>50</v>
      </c>
      <c r="I16" s="2">
        <f>Table13[[#This Row],[Quantity]]*Table13[[#This Row],[Price per Unit]]</f>
        <v>150</v>
      </c>
      <c r="J16" s="2">
        <v>150</v>
      </c>
    </row>
    <row r="17" spans="1:10" x14ac:dyDescent="0.35">
      <c r="A17" s="2">
        <v>556</v>
      </c>
      <c r="B17" s="3">
        <v>45081</v>
      </c>
      <c r="C17" s="2" t="s">
        <v>569</v>
      </c>
      <c r="D17" s="2" t="s">
        <v>13</v>
      </c>
      <c r="E17" s="2">
        <v>18</v>
      </c>
      <c r="F17" s="2" t="s">
        <v>16</v>
      </c>
      <c r="G17" s="2">
        <v>1</v>
      </c>
      <c r="H17" s="2">
        <v>50</v>
      </c>
      <c r="I17" s="2">
        <f>Table13[[#This Row],[Quantity]]*Table13[[#This Row],[Price per Unit]]</f>
        <v>50</v>
      </c>
      <c r="J17" s="2">
        <v>50</v>
      </c>
    </row>
    <row r="18" spans="1:10" x14ac:dyDescent="0.35">
      <c r="A18" s="2">
        <v>595</v>
      </c>
      <c r="B18" s="3">
        <v>45239</v>
      </c>
      <c r="C18" s="2" t="s">
        <v>608</v>
      </c>
      <c r="D18" s="2" t="s">
        <v>13</v>
      </c>
      <c r="E18" s="2">
        <v>18</v>
      </c>
      <c r="F18" s="2" t="s">
        <v>14</v>
      </c>
      <c r="G18" s="2">
        <v>4</v>
      </c>
      <c r="H18" s="2">
        <v>500</v>
      </c>
      <c r="I18" s="2">
        <f>Table13[[#This Row],[Quantity]]*Table13[[#This Row],[Price per Unit]]</f>
        <v>2000</v>
      </c>
      <c r="J18" s="2">
        <v>2000</v>
      </c>
    </row>
    <row r="19" spans="1:10" x14ac:dyDescent="0.35">
      <c r="A19" s="2">
        <v>679</v>
      </c>
      <c r="B19" s="3">
        <v>44937</v>
      </c>
      <c r="C19" s="2" t="s">
        <v>692</v>
      </c>
      <c r="D19" s="2" t="s">
        <v>13</v>
      </c>
      <c r="E19" s="2">
        <v>18</v>
      </c>
      <c r="F19" s="2" t="s">
        <v>11</v>
      </c>
      <c r="G19" s="2">
        <v>3</v>
      </c>
      <c r="H19" s="2">
        <v>30</v>
      </c>
      <c r="I19" s="2">
        <f>Table13[[#This Row],[Quantity]]*Table13[[#This Row],[Price per Unit]]</f>
        <v>90</v>
      </c>
      <c r="J19" s="2">
        <v>90</v>
      </c>
    </row>
    <row r="20" spans="1:10" x14ac:dyDescent="0.35">
      <c r="A20" s="2">
        <v>714</v>
      </c>
      <c r="B20" s="3">
        <v>44969</v>
      </c>
      <c r="C20" s="2" t="s">
        <v>727</v>
      </c>
      <c r="D20" s="2" t="s">
        <v>13</v>
      </c>
      <c r="E20" s="2">
        <v>18</v>
      </c>
      <c r="F20" s="2" t="s">
        <v>14</v>
      </c>
      <c r="G20" s="2">
        <v>1</v>
      </c>
      <c r="H20" s="2">
        <v>500</v>
      </c>
      <c r="I20" s="2">
        <f>Table13[[#This Row],[Quantity]]*Table13[[#This Row],[Price per Unit]]</f>
        <v>500</v>
      </c>
      <c r="J20" s="2">
        <v>500</v>
      </c>
    </row>
    <row r="21" spans="1:10" x14ac:dyDescent="0.35">
      <c r="A21" s="2">
        <v>837</v>
      </c>
      <c r="B21" s="3">
        <v>45108</v>
      </c>
      <c r="C21" s="2" t="s">
        <v>850</v>
      </c>
      <c r="D21" s="2" t="s">
        <v>10</v>
      </c>
      <c r="E21" s="2">
        <v>18</v>
      </c>
      <c r="F21" s="2" t="s">
        <v>11</v>
      </c>
      <c r="G21" s="2">
        <v>3</v>
      </c>
      <c r="H21" s="2">
        <v>30</v>
      </c>
      <c r="I21" s="2">
        <f>Table13[[#This Row],[Quantity]]*Table13[[#This Row],[Price per Unit]]</f>
        <v>90</v>
      </c>
      <c r="J21" s="2">
        <v>90</v>
      </c>
    </row>
    <row r="22" spans="1:10" x14ac:dyDescent="0.35">
      <c r="A22" s="2">
        <v>847</v>
      </c>
      <c r="B22" s="3">
        <v>45024</v>
      </c>
      <c r="C22" s="2" t="s">
        <v>860</v>
      </c>
      <c r="D22" s="2" t="s">
        <v>13</v>
      </c>
      <c r="E22" s="2">
        <v>18</v>
      </c>
      <c r="F22" s="2" t="s">
        <v>16</v>
      </c>
      <c r="G22" s="2">
        <v>4</v>
      </c>
      <c r="H22" s="2">
        <v>300</v>
      </c>
      <c r="I22" s="2">
        <f>Table13[[#This Row],[Quantity]]*Table13[[#This Row],[Price per Unit]]</f>
        <v>1200</v>
      </c>
      <c r="J22" s="2">
        <v>1200</v>
      </c>
    </row>
    <row r="23" spans="1:10" x14ac:dyDescent="0.35">
      <c r="A23" s="2">
        <v>16</v>
      </c>
      <c r="B23" s="3">
        <v>44974</v>
      </c>
      <c r="C23" s="2" t="s">
        <v>29</v>
      </c>
      <c r="D23" s="2" t="s">
        <v>10</v>
      </c>
      <c r="E23" s="2">
        <v>19</v>
      </c>
      <c r="F23" s="2" t="s">
        <v>14</v>
      </c>
      <c r="G23" s="2">
        <v>3</v>
      </c>
      <c r="H23" s="2">
        <v>500</v>
      </c>
      <c r="I23" s="2">
        <f>Table13[[#This Row],[Quantity]]*Table13[[#This Row],[Price per Unit]]</f>
        <v>1500</v>
      </c>
      <c r="J23" s="2">
        <v>1500</v>
      </c>
    </row>
    <row r="24" spans="1:10" x14ac:dyDescent="0.35">
      <c r="A24" s="2">
        <v>86</v>
      </c>
      <c r="B24" s="3">
        <v>45238</v>
      </c>
      <c r="C24" s="2" t="s">
        <v>99</v>
      </c>
      <c r="D24" s="2" t="s">
        <v>10</v>
      </c>
      <c r="E24" s="2">
        <v>19</v>
      </c>
      <c r="F24" s="2" t="s">
        <v>11</v>
      </c>
      <c r="G24" s="2">
        <v>3</v>
      </c>
      <c r="H24" s="2">
        <v>30</v>
      </c>
      <c r="I24" s="2">
        <f>Table13[[#This Row],[Quantity]]*Table13[[#This Row],[Price per Unit]]</f>
        <v>90</v>
      </c>
      <c r="J24" s="2">
        <v>90</v>
      </c>
    </row>
    <row r="25" spans="1:10" x14ac:dyDescent="0.35">
      <c r="A25" s="2">
        <v>117</v>
      </c>
      <c r="B25" s="3">
        <v>45000</v>
      </c>
      <c r="C25" s="2" t="s">
        <v>130</v>
      </c>
      <c r="D25" s="2" t="s">
        <v>10</v>
      </c>
      <c r="E25" s="2">
        <v>19</v>
      </c>
      <c r="F25" s="2" t="s">
        <v>16</v>
      </c>
      <c r="G25" s="2">
        <v>2</v>
      </c>
      <c r="H25" s="2">
        <v>500</v>
      </c>
      <c r="I25" s="2">
        <f>Table13[[#This Row],[Quantity]]*Table13[[#This Row],[Price per Unit]]</f>
        <v>1000</v>
      </c>
      <c r="J25" s="2">
        <v>1000</v>
      </c>
    </row>
    <row r="26" spans="1:10" x14ac:dyDescent="0.35">
      <c r="A26" s="2">
        <v>181</v>
      </c>
      <c r="B26" s="3">
        <v>45233</v>
      </c>
      <c r="C26" s="2" t="s">
        <v>194</v>
      </c>
      <c r="D26" s="2" t="s">
        <v>10</v>
      </c>
      <c r="E26" s="2">
        <v>19</v>
      </c>
      <c r="F26" s="2" t="s">
        <v>16</v>
      </c>
      <c r="G26" s="2">
        <v>4</v>
      </c>
      <c r="H26" s="2">
        <v>300</v>
      </c>
      <c r="I26" s="2">
        <f>Table13[[#This Row],[Quantity]]*Table13[[#This Row],[Price per Unit]]</f>
        <v>1200</v>
      </c>
      <c r="J26" s="2">
        <v>1200</v>
      </c>
    </row>
    <row r="27" spans="1:10" x14ac:dyDescent="0.35">
      <c r="A27" s="2">
        <v>257</v>
      </c>
      <c r="B27" s="3">
        <v>44976</v>
      </c>
      <c r="C27" s="2" t="s">
        <v>270</v>
      </c>
      <c r="D27" s="2" t="s">
        <v>10</v>
      </c>
      <c r="E27" s="2">
        <v>19</v>
      </c>
      <c r="F27" s="2" t="s">
        <v>11</v>
      </c>
      <c r="G27" s="2">
        <v>4</v>
      </c>
      <c r="H27" s="2">
        <v>500</v>
      </c>
      <c r="I27" s="2">
        <f>Table13[[#This Row],[Quantity]]*Table13[[#This Row],[Price per Unit]]</f>
        <v>2000</v>
      </c>
      <c r="J27" s="2">
        <v>2000</v>
      </c>
    </row>
    <row r="28" spans="1:10" x14ac:dyDescent="0.35">
      <c r="A28" s="2">
        <v>266</v>
      </c>
      <c r="B28" s="3">
        <v>45261</v>
      </c>
      <c r="C28" s="2" t="s">
        <v>279</v>
      </c>
      <c r="D28" s="2" t="s">
        <v>13</v>
      </c>
      <c r="E28" s="2">
        <v>19</v>
      </c>
      <c r="F28" s="2" t="s">
        <v>16</v>
      </c>
      <c r="G28" s="2">
        <v>2</v>
      </c>
      <c r="H28" s="2">
        <v>30</v>
      </c>
      <c r="I28" s="2">
        <f>Table13[[#This Row],[Quantity]]*Table13[[#This Row],[Price per Unit]]</f>
        <v>60</v>
      </c>
      <c r="J28" s="2">
        <v>60</v>
      </c>
    </row>
    <row r="29" spans="1:10" x14ac:dyDescent="0.35">
      <c r="A29" s="2">
        <v>300</v>
      </c>
      <c r="B29" s="3">
        <v>44957</v>
      </c>
      <c r="C29" s="2" t="s">
        <v>313</v>
      </c>
      <c r="D29" s="2" t="s">
        <v>13</v>
      </c>
      <c r="E29" s="2">
        <v>19</v>
      </c>
      <c r="F29" s="2" t="s">
        <v>16</v>
      </c>
      <c r="G29" s="2">
        <v>4</v>
      </c>
      <c r="H29" s="2">
        <v>50</v>
      </c>
      <c r="I29" s="2">
        <f>Table13[[#This Row],[Quantity]]*Table13[[#This Row],[Price per Unit]]</f>
        <v>200</v>
      </c>
      <c r="J29" s="2">
        <v>200</v>
      </c>
    </row>
    <row r="30" spans="1:10" x14ac:dyDescent="0.35">
      <c r="A30" s="2">
        <v>303</v>
      </c>
      <c r="B30" s="3">
        <v>44928</v>
      </c>
      <c r="C30" s="2" t="s">
        <v>316</v>
      </c>
      <c r="D30" s="2" t="s">
        <v>10</v>
      </c>
      <c r="E30" s="2">
        <v>19</v>
      </c>
      <c r="F30" s="2" t="s">
        <v>16</v>
      </c>
      <c r="G30" s="2">
        <v>3</v>
      </c>
      <c r="H30" s="2">
        <v>30</v>
      </c>
      <c r="I30" s="2">
        <f>Table13[[#This Row],[Quantity]]*Table13[[#This Row],[Price per Unit]]</f>
        <v>90</v>
      </c>
      <c r="J30" s="2">
        <v>90</v>
      </c>
    </row>
    <row r="31" spans="1:10" x14ac:dyDescent="0.35">
      <c r="A31" s="2">
        <v>364</v>
      </c>
      <c r="B31" s="3">
        <v>45161</v>
      </c>
      <c r="C31" s="2" t="s">
        <v>377</v>
      </c>
      <c r="D31" s="2" t="s">
        <v>13</v>
      </c>
      <c r="E31" s="2">
        <v>19</v>
      </c>
      <c r="F31" s="2" t="s">
        <v>11</v>
      </c>
      <c r="G31" s="2">
        <v>1</v>
      </c>
      <c r="H31" s="2">
        <v>500</v>
      </c>
      <c r="I31" s="2">
        <f>Table13[[#This Row],[Quantity]]*Table13[[#This Row],[Price per Unit]]</f>
        <v>500</v>
      </c>
      <c r="J31" s="2">
        <v>500</v>
      </c>
    </row>
    <row r="32" spans="1:10" x14ac:dyDescent="0.35">
      <c r="A32" s="2">
        <v>391</v>
      </c>
      <c r="B32" s="3">
        <v>44931</v>
      </c>
      <c r="C32" s="2" t="s">
        <v>404</v>
      </c>
      <c r="D32" s="2" t="s">
        <v>10</v>
      </c>
      <c r="E32" s="2">
        <v>19</v>
      </c>
      <c r="F32" s="2" t="s">
        <v>11</v>
      </c>
      <c r="G32" s="2">
        <v>2</v>
      </c>
      <c r="H32" s="2">
        <v>25</v>
      </c>
      <c r="I32" s="2">
        <f>Table13[[#This Row],[Quantity]]*Table13[[#This Row],[Price per Unit]]</f>
        <v>50</v>
      </c>
      <c r="J32" s="2">
        <v>50</v>
      </c>
    </row>
    <row r="33" spans="1:10" x14ac:dyDescent="0.35">
      <c r="A33" s="2">
        <v>412</v>
      </c>
      <c r="B33" s="3">
        <v>45185</v>
      </c>
      <c r="C33" s="2" t="s">
        <v>425</v>
      </c>
      <c r="D33" s="2" t="s">
        <v>13</v>
      </c>
      <c r="E33" s="2">
        <v>19</v>
      </c>
      <c r="F33" s="2" t="s">
        <v>16</v>
      </c>
      <c r="G33" s="2">
        <v>4</v>
      </c>
      <c r="H33" s="2">
        <v>500</v>
      </c>
      <c r="I33" s="2">
        <f>Table13[[#This Row],[Quantity]]*Table13[[#This Row],[Price per Unit]]</f>
        <v>2000</v>
      </c>
      <c r="J33" s="2">
        <v>2000</v>
      </c>
    </row>
    <row r="34" spans="1:10" x14ac:dyDescent="0.35">
      <c r="A34" s="2">
        <v>484</v>
      </c>
      <c r="B34" s="3">
        <v>44939</v>
      </c>
      <c r="C34" s="2" t="s">
        <v>497</v>
      </c>
      <c r="D34" s="2" t="s">
        <v>13</v>
      </c>
      <c r="E34" s="2">
        <v>19</v>
      </c>
      <c r="F34" s="2" t="s">
        <v>14</v>
      </c>
      <c r="G34" s="2">
        <v>4</v>
      </c>
      <c r="H34" s="2">
        <v>300</v>
      </c>
      <c r="I34" s="2">
        <f>Table13[[#This Row],[Quantity]]*Table13[[#This Row],[Price per Unit]]</f>
        <v>1200</v>
      </c>
      <c r="J34" s="2">
        <v>1200</v>
      </c>
    </row>
    <row r="35" spans="1:10" x14ac:dyDescent="0.35">
      <c r="A35" s="2">
        <v>533</v>
      </c>
      <c r="B35" s="3">
        <v>45246</v>
      </c>
      <c r="C35" s="2" t="s">
        <v>546</v>
      </c>
      <c r="D35" s="2" t="s">
        <v>10</v>
      </c>
      <c r="E35" s="2">
        <v>19</v>
      </c>
      <c r="F35" s="2" t="s">
        <v>16</v>
      </c>
      <c r="G35" s="2">
        <v>3</v>
      </c>
      <c r="H35" s="2">
        <v>500</v>
      </c>
      <c r="I35" s="2">
        <f>Table13[[#This Row],[Quantity]]*Table13[[#This Row],[Price per Unit]]</f>
        <v>1500</v>
      </c>
      <c r="J35" s="2">
        <v>1500</v>
      </c>
    </row>
    <row r="36" spans="1:10" x14ac:dyDescent="0.35">
      <c r="A36" s="2">
        <v>594</v>
      </c>
      <c r="B36" s="3">
        <v>45170</v>
      </c>
      <c r="C36" s="2" t="s">
        <v>607</v>
      </c>
      <c r="D36" s="2" t="s">
        <v>13</v>
      </c>
      <c r="E36" s="2">
        <v>19</v>
      </c>
      <c r="F36" s="2" t="s">
        <v>16</v>
      </c>
      <c r="G36" s="2">
        <v>2</v>
      </c>
      <c r="H36" s="2">
        <v>300</v>
      </c>
      <c r="I36" s="2">
        <f>Table13[[#This Row],[Quantity]]*Table13[[#This Row],[Price per Unit]]</f>
        <v>600</v>
      </c>
      <c r="J36" s="2">
        <v>600</v>
      </c>
    </row>
    <row r="37" spans="1:10" x14ac:dyDescent="0.35">
      <c r="A37" s="2">
        <v>601</v>
      </c>
      <c r="B37" s="3">
        <v>45026</v>
      </c>
      <c r="C37" s="2" t="s">
        <v>614</v>
      </c>
      <c r="D37" s="2" t="s">
        <v>10</v>
      </c>
      <c r="E37" s="2">
        <v>19</v>
      </c>
      <c r="F37" s="2" t="s">
        <v>14</v>
      </c>
      <c r="G37" s="2">
        <v>1</v>
      </c>
      <c r="H37" s="2">
        <v>30</v>
      </c>
      <c r="I37" s="2">
        <f>Table13[[#This Row],[Quantity]]*Table13[[#This Row],[Price per Unit]]</f>
        <v>30</v>
      </c>
      <c r="J37" s="2">
        <v>30</v>
      </c>
    </row>
    <row r="38" spans="1:10" x14ac:dyDescent="0.35">
      <c r="A38" s="2">
        <v>628</v>
      </c>
      <c r="B38" s="3">
        <v>45231</v>
      </c>
      <c r="C38" s="2" t="s">
        <v>641</v>
      </c>
      <c r="D38" s="2" t="s">
        <v>13</v>
      </c>
      <c r="E38" s="2">
        <v>19</v>
      </c>
      <c r="F38" s="2" t="s">
        <v>11</v>
      </c>
      <c r="G38" s="2">
        <v>4</v>
      </c>
      <c r="H38" s="2">
        <v>50</v>
      </c>
      <c r="I38" s="2">
        <f>Table13[[#This Row],[Quantity]]*Table13[[#This Row],[Price per Unit]]</f>
        <v>200</v>
      </c>
      <c r="J38" s="2">
        <v>200</v>
      </c>
    </row>
    <row r="39" spans="1:10" x14ac:dyDescent="0.35">
      <c r="A39" s="2">
        <v>677</v>
      </c>
      <c r="B39" s="3">
        <v>45226</v>
      </c>
      <c r="C39" s="2" t="s">
        <v>690</v>
      </c>
      <c r="D39" s="2" t="s">
        <v>13</v>
      </c>
      <c r="E39" s="2">
        <v>19</v>
      </c>
      <c r="F39" s="2" t="s">
        <v>11</v>
      </c>
      <c r="G39" s="2">
        <v>3</v>
      </c>
      <c r="H39" s="2">
        <v>500</v>
      </c>
      <c r="I39" s="2">
        <f>Table13[[#This Row],[Quantity]]*Table13[[#This Row],[Price per Unit]]</f>
        <v>1500</v>
      </c>
      <c r="J39" s="2">
        <v>1500</v>
      </c>
    </row>
    <row r="40" spans="1:10" x14ac:dyDescent="0.35">
      <c r="A40" s="2">
        <v>709</v>
      </c>
      <c r="B40" s="3">
        <v>45128</v>
      </c>
      <c r="C40" s="2" t="s">
        <v>722</v>
      </c>
      <c r="D40" s="2" t="s">
        <v>13</v>
      </c>
      <c r="E40" s="2">
        <v>19</v>
      </c>
      <c r="F40" s="2" t="s">
        <v>16</v>
      </c>
      <c r="G40" s="2">
        <v>2</v>
      </c>
      <c r="H40" s="2">
        <v>500</v>
      </c>
      <c r="I40" s="2">
        <f>Table13[[#This Row],[Quantity]]*Table13[[#This Row],[Price per Unit]]</f>
        <v>1000</v>
      </c>
      <c r="J40" s="2">
        <v>1000</v>
      </c>
    </row>
    <row r="41" spans="1:10" x14ac:dyDescent="0.35">
      <c r="A41" s="2">
        <v>812</v>
      </c>
      <c r="B41" s="3">
        <v>45242</v>
      </c>
      <c r="C41" s="2" t="s">
        <v>825</v>
      </c>
      <c r="D41" s="2" t="s">
        <v>10</v>
      </c>
      <c r="E41" s="2">
        <v>19</v>
      </c>
      <c r="F41" s="2" t="s">
        <v>16</v>
      </c>
      <c r="G41" s="2">
        <v>3</v>
      </c>
      <c r="H41" s="2">
        <v>25</v>
      </c>
      <c r="I41" s="2">
        <f>Table13[[#This Row],[Quantity]]*Table13[[#This Row],[Price per Unit]]</f>
        <v>75</v>
      </c>
      <c r="J41" s="2">
        <v>75</v>
      </c>
    </row>
    <row r="42" spans="1:10" x14ac:dyDescent="0.35">
      <c r="A42" s="2">
        <v>979</v>
      </c>
      <c r="B42" s="3">
        <v>44928</v>
      </c>
      <c r="C42" s="2" t="s">
        <v>992</v>
      </c>
      <c r="D42" s="2" t="s">
        <v>13</v>
      </c>
      <c r="E42" s="2">
        <v>19</v>
      </c>
      <c r="F42" s="2" t="s">
        <v>11</v>
      </c>
      <c r="G42" s="2">
        <v>1</v>
      </c>
      <c r="H42" s="2">
        <v>25</v>
      </c>
      <c r="I42" s="2">
        <f>Table13[[#This Row],[Quantity]]*Table13[[#This Row],[Price per Unit]]</f>
        <v>25</v>
      </c>
      <c r="J42" s="2">
        <v>25</v>
      </c>
    </row>
    <row r="43" spans="1:10" x14ac:dyDescent="0.35">
      <c r="A43" s="2">
        <v>985</v>
      </c>
      <c r="B43" s="3">
        <v>45076</v>
      </c>
      <c r="C43" s="2" t="s">
        <v>998</v>
      </c>
      <c r="D43" s="2" t="s">
        <v>13</v>
      </c>
      <c r="E43" s="2">
        <v>19</v>
      </c>
      <c r="F43" s="2" t="s">
        <v>16</v>
      </c>
      <c r="G43" s="2">
        <v>2</v>
      </c>
      <c r="H43" s="2">
        <v>25</v>
      </c>
      <c r="I43" s="2">
        <f>Table13[[#This Row],[Quantity]]*Table13[[#This Row],[Price per Unit]]</f>
        <v>50</v>
      </c>
      <c r="J43" s="2">
        <v>50</v>
      </c>
    </row>
    <row r="44" spans="1:10" x14ac:dyDescent="0.35">
      <c r="A44" s="2">
        <v>46</v>
      </c>
      <c r="B44" s="3">
        <v>45103</v>
      </c>
      <c r="C44" s="2" t="s">
        <v>59</v>
      </c>
      <c r="D44" s="2" t="s">
        <v>13</v>
      </c>
      <c r="E44" s="2">
        <v>20</v>
      </c>
      <c r="F44" s="2" t="s">
        <v>16</v>
      </c>
      <c r="G44" s="2">
        <v>4</v>
      </c>
      <c r="H44" s="2">
        <v>300</v>
      </c>
      <c r="I44" s="2">
        <f>Table13[[#This Row],[Quantity]]*Table13[[#This Row],[Price per Unit]]</f>
        <v>1200</v>
      </c>
      <c r="J44" s="2">
        <v>1200</v>
      </c>
    </row>
    <row r="45" spans="1:10" x14ac:dyDescent="0.35">
      <c r="A45" s="2">
        <v>72</v>
      </c>
      <c r="B45" s="3">
        <v>45069</v>
      </c>
      <c r="C45" s="2" t="s">
        <v>85</v>
      </c>
      <c r="D45" s="2" t="s">
        <v>13</v>
      </c>
      <c r="E45" s="2">
        <v>20</v>
      </c>
      <c r="F45" s="2" t="s">
        <v>16</v>
      </c>
      <c r="G45" s="2">
        <v>4</v>
      </c>
      <c r="H45" s="2">
        <v>500</v>
      </c>
      <c r="I45" s="2">
        <f>Table13[[#This Row],[Quantity]]*Table13[[#This Row],[Price per Unit]]</f>
        <v>2000</v>
      </c>
      <c r="J45" s="2">
        <v>2000</v>
      </c>
    </row>
    <row r="46" spans="1:10" x14ac:dyDescent="0.35">
      <c r="A46" s="2">
        <v>133</v>
      </c>
      <c r="B46" s="3">
        <v>44973</v>
      </c>
      <c r="C46" s="2" t="s">
        <v>146</v>
      </c>
      <c r="D46" s="2" t="s">
        <v>10</v>
      </c>
      <c r="E46" s="2">
        <v>20</v>
      </c>
      <c r="F46" s="2" t="s">
        <v>16</v>
      </c>
      <c r="G46" s="2">
        <v>3</v>
      </c>
      <c r="H46" s="2">
        <v>300</v>
      </c>
      <c r="I46" s="2">
        <f>Table13[[#This Row],[Quantity]]*Table13[[#This Row],[Price per Unit]]</f>
        <v>900</v>
      </c>
      <c r="J46" s="2">
        <v>900</v>
      </c>
    </row>
    <row r="47" spans="1:10" x14ac:dyDescent="0.35">
      <c r="A47" s="2">
        <v>135</v>
      </c>
      <c r="B47" s="3">
        <v>44983</v>
      </c>
      <c r="C47" s="2" t="s">
        <v>148</v>
      </c>
      <c r="D47" s="2" t="s">
        <v>10</v>
      </c>
      <c r="E47" s="2">
        <v>20</v>
      </c>
      <c r="F47" s="2" t="s">
        <v>14</v>
      </c>
      <c r="G47" s="2">
        <v>2</v>
      </c>
      <c r="H47" s="2">
        <v>25</v>
      </c>
      <c r="I47" s="2">
        <f>Table13[[#This Row],[Quantity]]*Table13[[#This Row],[Price per Unit]]</f>
        <v>50</v>
      </c>
      <c r="J47" s="2">
        <v>50</v>
      </c>
    </row>
    <row r="48" spans="1:10" x14ac:dyDescent="0.35">
      <c r="A48" s="2">
        <v>186</v>
      </c>
      <c r="B48" s="3">
        <v>45112</v>
      </c>
      <c r="C48" s="2" t="s">
        <v>199</v>
      </c>
      <c r="D48" s="2" t="s">
        <v>10</v>
      </c>
      <c r="E48" s="2">
        <v>20</v>
      </c>
      <c r="F48" s="2" t="s">
        <v>14</v>
      </c>
      <c r="G48" s="2">
        <v>4</v>
      </c>
      <c r="H48" s="2">
        <v>50</v>
      </c>
      <c r="I48" s="2">
        <f>Table13[[#This Row],[Quantity]]*Table13[[#This Row],[Price per Unit]]</f>
        <v>200</v>
      </c>
      <c r="J48" s="2">
        <v>200</v>
      </c>
    </row>
    <row r="49" spans="1:10" x14ac:dyDescent="0.35">
      <c r="A49" s="2">
        <v>214</v>
      </c>
      <c r="B49" s="3">
        <v>45270</v>
      </c>
      <c r="C49" s="2" t="s">
        <v>227</v>
      </c>
      <c r="D49" s="2" t="s">
        <v>10</v>
      </c>
      <c r="E49" s="2">
        <v>20</v>
      </c>
      <c r="F49" s="2" t="s">
        <v>11</v>
      </c>
      <c r="G49" s="2">
        <v>2</v>
      </c>
      <c r="H49" s="2">
        <v>30</v>
      </c>
      <c r="I49" s="2">
        <f>Table13[[#This Row],[Quantity]]*Table13[[#This Row],[Price per Unit]]</f>
        <v>60</v>
      </c>
      <c r="J49" s="2">
        <v>60</v>
      </c>
    </row>
    <row r="50" spans="1:10" x14ac:dyDescent="0.35">
      <c r="A50" s="2">
        <v>249</v>
      </c>
      <c r="B50" s="3">
        <v>45219</v>
      </c>
      <c r="C50" s="2" t="s">
        <v>262</v>
      </c>
      <c r="D50" s="2" t="s">
        <v>10</v>
      </c>
      <c r="E50" s="2">
        <v>20</v>
      </c>
      <c r="F50" s="2" t="s">
        <v>14</v>
      </c>
      <c r="G50" s="2">
        <v>1</v>
      </c>
      <c r="H50" s="2">
        <v>50</v>
      </c>
      <c r="I50" s="2">
        <f>Table13[[#This Row],[Quantity]]*Table13[[#This Row],[Price per Unit]]</f>
        <v>50</v>
      </c>
      <c r="J50" s="2">
        <v>50</v>
      </c>
    </row>
    <row r="51" spans="1:10" x14ac:dyDescent="0.35">
      <c r="A51" s="2">
        <v>292</v>
      </c>
      <c r="B51" s="3">
        <v>44974</v>
      </c>
      <c r="C51" s="2" t="s">
        <v>305</v>
      </c>
      <c r="D51" s="2" t="s">
        <v>10</v>
      </c>
      <c r="E51" s="2">
        <v>20</v>
      </c>
      <c r="F51" s="2" t="s">
        <v>11</v>
      </c>
      <c r="G51" s="2">
        <v>4</v>
      </c>
      <c r="H51" s="2">
        <v>300</v>
      </c>
      <c r="I51" s="2">
        <f>Table13[[#This Row],[Quantity]]*Table13[[#This Row],[Price per Unit]]</f>
        <v>1200</v>
      </c>
      <c r="J51" s="2">
        <v>1200</v>
      </c>
    </row>
    <row r="52" spans="1:10" x14ac:dyDescent="0.35">
      <c r="A52" s="2">
        <v>371</v>
      </c>
      <c r="B52" s="3">
        <v>44978</v>
      </c>
      <c r="C52" s="2" t="s">
        <v>384</v>
      </c>
      <c r="D52" s="2" t="s">
        <v>13</v>
      </c>
      <c r="E52" s="2">
        <v>20</v>
      </c>
      <c r="F52" s="2" t="s">
        <v>11</v>
      </c>
      <c r="G52" s="2">
        <v>1</v>
      </c>
      <c r="H52" s="2">
        <v>25</v>
      </c>
      <c r="I52" s="2">
        <f>Table13[[#This Row],[Quantity]]*Table13[[#This Row],[Price per Unit]]</f>
        <v>25</v>
      </c>
      <c r="J52" s="2">
        <v>25</v>
      </c>
    </row>
    <row r="53" spans="1:10" x14ac:dyDescent="0.35">
      <c r="A53" s="2">
        <v>542</v>
      </c>
      <c r="B53" s="3">
        <v>45094</v>
      </c>
      <c r="C53" s="2" t="s">
        <v>555</v>
      </c>
      <c r="D53" s="2" t="s">
        <v>13</v>
      </c>
      <c r="E53" s="2">
        <v>20</v>
      </c>
      <c r="F53" s="2" t="s">
        <v>11</v>
      </c>
      <c r="G53" s="2">
        <v>1</v>
      </c>
      <c r="H53" s="2">
        <v>50</v>
      </c>
      <c r="I53" s="2">
        <f>Table13[[#This Row],[Quantity]]*Table13[[#This Row],[Price per Unit]]</f>
        <v>50</v>
      </c>
      <c r="J53" s="2">
        <v>50</v>
      </c>
    </row>
    <row r="54" spans="1:10" x14ac:dyDescent="0.35">
      <c r="A54" s="2">
        <v>557</v>
      </c>
      <c r="B54" s="3">
        <v>45134</v>
      </c>
      <c r="C54" s="2" t="s">
        <v>570</v>
      </c>
      <c r="D54" s="2" t="s">
        <v>13</v>
      </c>
      <c r="E54" s="2">
        <v>20</v>
      </c>
      <c r="F54" s="2" t="s">
        <v>11</v>
      </c>
      <c r="G54" s="2">
        <v>3</v>
      </c>
      <c r="H54" s="2">
        <v>30</v>
      </c>
      <c r="I54" s="2">
        <f>Table13[[#This Row],[Quantity]]*Table13[[#This Row],[Price per Unit]]</f>
        <v>90</v>
      </c>
      <c r="J54" s="2">
        <v>90</v>
      </c>
    </row>
    <row r="55" spans="1:10" x14ac:dyDescent="0.35">
      <c r="A55" s="2">
        <v>563</v>
      </c>
      <c r="B55" s="3">
        <v>45147</v>
      </c>
      <c r="C55" s="2" t="s">
        <v>576</v>
      </c>
      <c r="D55" s="2" t="s">
        <v>10</v>
      </c>
      <c r="E55" s="2">
        <v>20</v>
      </c>
      <c r="F55" s="2" t="s">
        <v>14</v>
      </c>
      <c r="G55" s="2">
        <v>2</v>
      </c>
      <c r="H55" s="2">
        <v>30</v>
      </c>
      <c r="I55" s="2">
        <f>Table13[[#This Row],[Quantity]]*Table13[[#This Row],[Price per Unit]]</f>
        <v>60</v>
      </c>
      <c r="J55" s="2">
        <v>60</v>
      </c>
    </row>
    <row r="56" spans="1:10" x14ac:dyDescent="0.35">
      <c r="A56" s="2">
        <v>602</v>
      </c>
      <c r="B56" s="3">
        <v>45283</v>
      </c>
      <c r="C56" s="2" t="s">
        <v>615</v>
      </c>
      <c r="D56" s="2" t="s">
        <v>13</v>
      </c>
      <c r="E56" s="2">
        <v>20</v>
      </c>
      <c r="F56" s="2" t="s">
        <v>16</v>
      </c>
      <c r="G56" s="2">
        <v>1</v>
      </c>
      <c r="H56" s="2">
        <v>300</v>
      </c>
      <c r="I56" s="2">
        <f>Table13[[#This Row],[Quantity]]*Table13[[#This Row],[Price per Unit]]</f>
        <v>300</v>
      </c>
      <c r="J56" s="2">
        <v>300</v>
      </c>
    </row>
    <row r="57" spans="1:10" x14ac:dyDescent="0.35">
      <c r="A57" s="2">
        <v>722</v>
      </c>
      <c r="B57" s="3">
        <v>45121</v>
      </c>
      <c r="C57" s="2" t="s">
        <v>735</v>
      </c>
      <c r="D57" s="2" t="s">
        <v>10</v>
      </c>
      <c r="E57" s="2">
        <v>20</v>
      </c>
      <c r="F57" s="2" t="s">
        <v>11</v>
      </c>
      <c r="G57" s="2">
        <v>3</v>
      </c>
      <c r="H57" s="2">
        <v>300</v>
      </c>
      <c r="I57" s="2">
        <f>Table13[[#This Row],[Quantity]]*Table13[[#This Row],[Price per Unit]]</f>
        <v>900</v>
      </c>
      <c r="J57" s="2">
        <v>900</v>
      </c>
    </row>
    <row r="58" spans="1:10" x14ac:dyDescent="0.35">
      <c r="A58" s="2">
        <v>792</v>
      </c>
      <c r="B58" s="3">
        <v>45116</v>
      </c>
      <c r="C58" s="2" t="s">
        <v>805</v>
      </c>
      <c r="D58" s="2" t="s">
        <v>13</v>
      </c>
      <c r="E58" s="2">
        <v>20</v>
      </c>
      <c r="F58" s="2" t="s">
        <v>11</v>
      </c>
      <c r="G58" s="2">
        <v>1</v>
      </c>
      <c r="H58" s="2">
        <v>50</v>
      </c>
      <c r="I58" s="2">
        <f>Table13[[#This Row],[Quantity]]*Table13[[#This Row],[Price per Unit]]</f>
        <v>50</v>
      </c>
      <c r="J58" s="2">
        <v>50</v>
      </c>
    </row>
    <row r="59" spans="1:10" x14ac:dyDescent="0.35">
      <c r="A59" s="2">
        <v>839</v>
      </c>
      <c r="B59" s="3">
        <v>45101</v>
      </c>
      <c r="C59" s="2" t="s">
        <v>852</v>
      </c>
      <c r="D59" s="2" t="s">
        <v>13</v>
      </c>
      <c r="E59" s="2">
        <v>20</v>
      </c>
      <c r="F59" s="2" t="s">
        <v>16</v>
      </c>
      <c r="G59" s="2">
        <v>4</v>
      </c>
      <c r="H59" s="2">
        <v>300</v>
      </c>
      <c r="I59" s="2">
        <f>Table13[[#This Row],[Quantity]]*Table13[[#This Row],[Price per Unit]]</f>
        <v>1200</v>
      </c>
      <c r="J59" s="2">
        <v>1200</v>
      </c>
    </row>
    <row r="60" spans="1:10" x14ac:dyDescent="0.35">
      <c r="A60" s="2">
        <v>878</v>
      </c>
      <c r="B60" s="3">
        <v>45107</v>
      </c>
      <c r="C60" s="2" t="s">
        <v>891</v>
      </c>
      <c r="D60" s="2" t="s">
        <v>13</v>
      </c>
      <c r="E60" s="2">
        <v>20</v>
      </c>
      <c r="F60" s="2" t="s">
        <v>14</v>
      </c>
      <c r="G60" s="2">
        <v>1</v>
      </c>
      <c r="H60" s="2">
        <v>30</v>
      </c>
      <c r="I60" s="2">
        <f>Table13[[#This Row],[Quantity]]*Table13[[#This Row],[Price per Unit]]</f>
        <v>30</v>
      </c>
      <c r="J60" s="2">
        <v>30</v>
      </c>
    </row>
    <row r="61" spans="1:10" x14ac:dyDescent="0.35">
      <c r="A61" s="2">
        <v>892</v>
      </c>
      <c r="B61" s="3">
        <v>45025</v>
      </c>
      <c r="C61" s="2" t="s">
        <v>905</v>
      </c>
      <c r="D61" s="2" t="s">
        <v>10</v>
      </c>
      <c r="E61" s="2">
        <v>20</v>
      </c>
      <c r="F61" s="2" t="s">
        <v>16</v>
      </c>
      <c r="G61" s="2">
        <v>1</v>
      </c>
      <c r="H61" s="2">
        <v>50</v>
      </c>
      <c r="I61" s="2">
        <f>Table13[[#This Row],[Quantity]]*Table13[[#This Row],[Price per Unit]]</f>
        <v>50</v>
      </c>
      <c r="J61" s="2">
        <v>50</v>
      </c>
    </row>
    <row r="62" spans="1:10" x14ac:dyDescent="0.35">
      <c r="A62" s="2">
        <v>906</v>
      </c>
      <c r="B62" s="3">
        <v>45081</v>
      </c>
      <c r="C62" s="2" t="s">
        <v>919</v>
      </c>
      <c r="D62" s="2" t="s">
        <v>13</v>
      </c>
      <c r="E62" s="2">
        <v>20</v>
      </c>
      <c r="F62" s="2" t="s">
        <v>14</v>
      </c>
      <c r="G62" s="2">
        <v>1</v>
      </c>
      <c r="H62" s="2">
        <v>50</v>
      </c>
      <c r="I62" s="2">
        <f>Table13[[#This Row],[Quantity]]*Table13[[#This Row],[Price per Unit]]</f>
        <v>50</v>
      </c>
      <c r="J62" s="2">
        <v>50</v>
      </c>
    </row>
    <row r="63" spans="1:10" x14ac:dyDescent="0.35">
      <c r="A63" s="2">
        <v>910</v>
      </c>
      <c r="B63" s="3">
        <v>44991</v>
      </c>
      <c r="C63" s="2" t="s">
        <v>923</v>
      </c>
      <c r="D63" s="2" t="s">
        <v>13</v>
      </c>
      <c r="E63" s="2">
        <v>20</v>
      </c>
      <c r="F63" s="2" t="s">
        <v>11</v>
      </c>
      <c r="G63" s="2">
        <v>3</v>
      </c>
      <c r="H63" s="2">
        <v>50</v>
      </c>
      <c r="I63" s="2">
        <f>Table13[[#This Row],[Quantity]]*Table13[[#This Row],[Price per Unit]]</f>
        <v>150</v>
      </c>
      <c r="J63" s="2">
        <v>150</v>
      </c>
    </row>
    <row r="64" spans="1:10" x14ac:dyDescent="0.35">
      <c r="A64" s="2">
        <v>940</v>
      </c>
      <c r="B64" s="3">
        <v>44954</v>
      </c>
      <c r="C64" s="2" t="s">
        <v>953</v>
      </c>
      <c r="D64" s="2" t="s">
        <v>13</v>
      </c>
      <c r="E64" s="2">
        <v>20</v>
      </c>
      <c r="F64" s="2" t="s">
        <v>16</v>
      </c>
      <c r="G64" s="2">
        <v>1</v>
      </c>
      <c r="H64" s="2">
        <v>30</v>
      </c>
      <c r="I64" s="2">
        <f>Table13[[#This Row],[Quantity]]*Table13[[#This Row],[Price per Unit]]</f>
        <v>30</v>
      </c>
      <c r="J64" s="2">
        <v>30</v>
      </c>
    </row>
    <row r="65" spans="1:10" x14ac:dyDescent="0.35">
      <c r="A65" s="2">
        <v>61</v>
      </c>
      <c r="B65" s="3">
        <v>45025</v>
      </c>
      <c r="C65" s="2" t="s">
        <v>74</v>
      </c>
      <c r="D65" s="2" t="s">
        <v>10</v>
      </c>
      <c r="E65" s="2">
        <v>21</v>
      </c>
      <c r="F65" s="2" t="s">
        <v>11</v>
      </c>
      <c r="G65" s="2">
        <v>4</v>
      </c>
      <c r="H65" s="2">
        <v>50</v>
      </c>
      <c r="I65" s="2">
        <f>Table13[[#This Row],[Quantity]]*Table13[[#This Row],[Price per Unit]]</f>
        <v>200</v>
      </c>
      <c r="J65" s="2">
        <v>200</v>
      </c>
    </row>
    <row r="66" spans="1:10" x14ac:dyDescent="0.35">
      <c r="A66" s="2">
        <v>107</v>
      </c>
      <c r="B66" s="3">
        <v>44960</v>
      </c>
      <c r="C66" s="2" t="s">
        <v>120</v>
      </c>
      <c r="D66" s="2" t="s">
        <v>13</v>
      </c>
      <c r="E66" s="2">
        <v>21</v>
      </c>
      <c r="F66" s="2" t="s">
        <v>14</v>
      </c>
      <c r="G66" s="2">
        <v>4</v>
      </c>
      <c r="H66" s="2">
        <v>300</v>
      </c>
      <c r="I66" s="2">
        <f>Table13[[#This Row],[Quantity]]*Table13[[#This Row],[Price per Unit]]</f>
        <v>1200</v>
      </c>
      <c r="J66" s="2">
        <v>1200</v>
      </c>
    </row>
    <row r="67" spans="1:10" x14ac:dyDescent="0.35">
      <c r="A67" s="2">
        <v>129</v>
      </c>
      <c r="B67" s="3">
        <v>45039</v>
      </c>
      <c r="C67" s="2" t="s">
        <v>142</v>
      </c>
      <c r="D67" s="2" t="s">
        <v>13</v>
      </c>
      <c r="E67" s="2">
        <v>21</v>
      </c>
      <c r="F67" s="2" t="s">
        <v>11</v>
      </c>
      <c r="G67" s="2">
        <v>2</v>
      </c>
      <c r="H67" s="2">
        <v>300</v>
      </c>
      <c r="I67" s="2">
        <f>Table13[[#This Row],[Quantity]]*Table13[[#This Row],[Price per Unit]]</f>
        <v>600</v>
      </c>
      <c r="J67" s="2">
        <v>600</v>
      </c>
    </row>
    <row r="68" spans="1:10" x14ac:dyDescent="0.35">
      <c r="A68" s="2">
        <v>131</v>
      </c>
      <c r="B68" s="3">
        <v>45187</v>
      </c>
      <c r="C68" s="2" t="s">
        <v>144</v>
      </c>
      <c r="D68" s="2" t="s">
        <v>13</v>
      </c>
      <c r="E68" s="2">
        <v>21</v>
      </c>
      <c r="F68" s="2" t="s">
        <v>11</v>
      </c>
      <c r="G68" s="2">
        <v>2</v>
      </c>
      <c r="H68" s="2">
        <v>300</v>
      </c>
      <c r="I68" s="2">
        <f>Table13[[#This Row],[Quantity]]*Table13[[#This Row],[Price per Unit]]</f>
        <v>600</v>
      </c>
      <c r="J68" s="2">
        <v>600</v>
      </c>
    </row>
    <row r="69" spans="1:10" x14ac:dyDescent="0.35">
      <c r="A69" s="2">
        <v>212</v>
      </c>
      <c r="B69" s="3">
        <v>45086</v>
      </c>
      <c r="C69" s="2" t="s">
        <v>225</v>
      </c>
      <c r="D69" s="2" t="s">
        <v>10</v>
      </c>
      <c r="E69" s="2">
        <v>21</v>
      </c>
      <c r="F69" s="2" t="s">
        <v>14</v>
      </c>
      <c r="G69" s="2">
        <v>3</v>
      </c>
      <c r="H69" s="2">
        <v>500</v>
      </c>
      <c r="I69" s="2">
        <f>Table13[[#This Row],[Quantity]]*Table13[[#This Row],[Price per Unit]]</f>
        <v>1500</v>
      </c>
      <c r="J69" s="2">
        <v>1500</v>
      </c>
    </row>
    <row r="70" spans="1:10" x14ac:dyDescent="0.35">
      <c r="A70" s="2">
        <v>242</v>
      </c>
      <c r="B70" s="3">
        <v>45048</v>
      </c>
      <c r="C70" s="2" t="s">
        <v>255</v>
      </c>
      <c r="D70" s="2" t="s">
        <v>10</v>
      </c>
      <c r="E70" s="2">
        <v>21</v>
      </c>
      <c r="F70" s="2" t="s">
        <v>14</v>
      </c>
      <c r="G70" s="2">
        <v>1</v>
      </c>
      <c r="H70" s="2">
        <v>25</v>
      </c>
      <c r="I70" s="2">
        <f>Table13[[#This Row],[Quantity]]*Table13[[#This Row],[Price per Unit]]</f>
        <v>25</v>
      </c>
      <c r="J70" s="2">
        <v>25</v>
      </c>
    </row>
    <row r="71" spans="1:10" x14ac:dyDescent="0.35">
      <c r="A71" s="2">
        <v>261</v>
      </c>
      <c r="B71" s="3">
        <v>45143</v>
      </c>
      <c r="C71" s="2" t="s">
        <v>274</v>
      </c>
      <c r="D71" s="2" t="s">
        <v>10</v>
      </c>
      <c r="E71" s="2">
        <v>21</v>
      </c>
      <c r="F71" s="2" t="s">
        <v>14</v>
      </c>
      <c r="G71" s="2">
        <v>2</v>
      </c>
      <c r="H71" s="2">
        <v>25</v>
      </c>
      <c r="I71" s="2">
        <f>Table13[[#This Row],[Quantity]]*Table13[[#This Row],[Price per Unit]]</f>
        <v>50</v>
      </c>
      <c r="J71" s="2">
        <v>50</v>
      </c>
    </row>
    <row r="72" spans="1:10" x14ac:dyDescent="0.35">
      <c r="A72" s="2">
        <v>276</v>
      </c>
      <c r="B72" s="3">
        <v>45201</v>
      </c>
      <c r="C72" s="2" t="s">
        <v>289</v>
      </c>
      <c r="D72" s="2" t="s">
        <v>13</v>
      </c>
      <c r="E72" s="2">
        <v>21</v>
      </c>
      <c r="F72" s="2" t="s">
        <v>11</v>
      </c>
      <c r="G72" s="2">
        <v>4</v>
      </c>
      <c r="H72" s="2">
        <v>25</v>
      </c>
      <c r="I72" s="2">
        <f>Table13[[#This Row],[Quantity]]*Table13[[#This Row],[Price per Unit]]</f>
        <v>100</v>
      </c>
      <c r="J72" s="2">
        <v>100</v>
      </c>
    </row>
    <row r="73" spans="1:10" x14ac:dyDescent="0.35">
      <c r="A73" s="2">
        <v>343</v>
      </c>
      <c r="B73" s="3">
        <v>45231</v>
      </c>
      <c r="C73" s="2" t="s">
        <v>356</v>
      </c>
      <c r="D73" s="2" t="s">
        <v>10</v>
      </c>
      <c r="E73" s="2">
        <v>21</v>
      </c>
      <c r="F73" s="2" t="s">
        <v>16</v>
      </c>
      <c r="G73" s="2">
        <v>2</v>
      </c>
      <c r="H73" s="2">
        <v>25</v>
      </c>
      <c r="I73" s="2">
        <f>Table13[[#This Row],[Quantity]]*Table13[[#This Row],[Price per Unit]]</f>
        <v>50</v>
      </c>
      <c r="J73" s="2">
        <v>50</v>
      </c>
    </row>
    <row r="74" spans="1:10" x14ac:dyDescent="0.35">
      <c r="A74" s="2">
        <v>389</v>
      </c>
      <c r="B74" s="3">
        <v>45261</v>
      </c>
      <c r="C74" s="2" t="s">
        <v>402</v>
      </c>
      <c r="D74" s="2" t="s">
        <v>10</v>
      </c>
      <c r="E74" s="2">
        <v>21</v>
      </c>
      <c r="F74" s="2" t="s">
        <v>14</v>
      </c>
      <c r="G74" s="2">
        <v>2</v>
      </c>
      <c r="H74" s="2">
        <v>25</v>
      </c>
      <c r="I74" s="2">
        <f>Table13[[#This Row],[Quantity]]*Table13[[#This Row],[Price per Unit]]</f>
        <v>50</v>
      </c>
      <c r="J74" s="2">
        <v>50</v>
      </c>
    </row>
    <row r="75" spans="1:10" x14ac:dyDescent="0.35">
      <c r="A75" s="2">
        <v>409</v>
      </c>
      <c r="B75" s="3">
        <v>45278</v>
      </c>
      <c r="C75" s="2" t="s">
        <v>422</v>
      </c>
      <c r="D75" s="2" t="s">
        <v>13</v>
      </c>
      <c r="E75" s="2">
        <v>21</v>
      </c>
      <c r="F75" s="2" t="s">
        <v>16</v>
      </c>
      <c r="G75" s="2">
        <v>3</v>
      </c>
      <c r="H75" s="2">
        <v>300</v>
      </c>
      <c r="I75" s="2">
        <f>Table13[[#This Row],[Quantity]]*Table13[[#This Row],[Price per Unit]]</f>
        <v>900</v>
      </c>
      <c r="J75" s="2">
        <v>900</v>
      </c>
    </row>
    <row r="76" spans="1:10" x14ac:dyDescent="0.35">
      <c r="A76" s="2">
        <v>446</v>
      </c>
      <c r="B76" s="3">
        <v>45084</v>
      </c>
      <c r="C76" s="2" t="s">
        <v>459</v>
      </c>
      <c r="D76" s="2" t="s">
        <v>10</v>
      </c>
      <c r="E76" s="2">
        <v>21</v>
      </c>
      <c r="F76" s="2" t="s">
        <v>16</v>
      </c>
      <c r="G76" s="2">
        <v>1</v>
      </c>
      <c r="H76" s="2">
        <v>50</v>
      </c>
      <c r="I76" s="2">
        <f>Table13[[#This Row],[Quantity]]*Table13[[#This Row],[Price per Unit]]</f>
        <v>50</v>
      </c>
      <c r="J76" s="2">
        <v>50</v>
      </c>
    </row>
    <row r="77" spans="1:10" x14ac:dyDescent="0.35">
      <c r="A77" s="2">
        <v>537</v>
      </c>
      <c r="B77" s="3">
        <v>45080</v>
      </c>
      <c r="C77" s="2" t="s">
        <v>550</v>
      </c>
      <c r="D77" s="2" t="s">
        <v>13</v>
      </c>
      <c r="E77" s="2">
        <v>21</v>
      </c>
      <c r="F77" s="2" t="s">
        <v>11</v>
      </c>
      <c r="G77" s="2">
        <v>1</v>
      </c>
      <c r="H77" s="2">
        <v>500</v>
      </c>
      <c r="I77" s="2">
        <f>Table13[[#This Row],[Quantity]]*Table13[[#This Row],[Price per Unit]]</f>
        <v>500</v>
      </c>
      <c r="J77" s="2">
        <v>500</v>
      </c>
    </row>
    <row r="78" spans="1:10" x14ac:dyDescent="0.35">
      <c r="A78" s="2">
        <v>577</v>
      </c>
      <c r="B78" s="3">
        <v>44970</v>
      </c>
      <c r="C78" s="2" t="s">
        <v>590</v>
      </c>
      <c r="D78" s="2" t="s">
        <v>10</v>
      </c>
      <c r="E78" s="2">
        <v>21</v>
      </c>
      <c r="F78" s="2" t="s">
        <v>11</v>
      </c>
      <c r="G78" s="2">
        <v>4</v>
      </c>
      <c r="H78" s="2">
        <v>500</v>
      </c>
      <c r="I78" s="2">
        <f>Table13[[#This Row],[Quantity]]*Table13[[#This Row],[Price per Unit]]</f>
        <v>2000</v>
      </c>
      <c r="J78" s="2">
        <v>2000</v>
      </c>
    </row>
    <row r="79" spans="1:10" x14ac:dyDescent="0.35">
      <c r="A79" s="2">
        <v>636</v>
      </c>
      <c r="B79" s="3">
        <v>45008</v>
      </c>
      <c r="C79" s="2" t="s">
        <v>649</v>
      </c>
      <c r="D79" s="2" t="s">
        <v>13</v>
      </c>
      <c r="E79" s="2">
        <v>21</v>
      </c>
      <c r="F79" s="2" t="s">
        <v>11</v>
      </c>
      <c r="G79" s="2">
        <v>3</v>
      </c>
      <c r="H79" s="2">
        <v>500</v>
      </c>
      <c r="I79" s="2">
        <f>Table13[[#This Row],[Quantity]]*Table13[[#This Row],[Price per Unit]]</f>
        <v>1500</v>
      </c>
      <c r="J79" s="2">
        <v>1500</v>
      </c>
    </row>
    <row r="80" spans="1:10" x14ac:dyDescent="0.35">
      <c r="A80" s="2">
        <v>801</v>
      </c>
      <c r="B80" s="3">
        <v>45148</v>
      </c>
      <c r="C80" s="2" t="s">
        <v>814</v>
      </c>
      <c r="D80" s="2" t="s">
        <v>10</v>
      </c>
      <c r="E80" s="2">
        <v>21</v>
      </c>
      <c r="F80" s="2" t="s">
        <v>14</v>
      </c>
      <c r="G80" s="2">
        <v>4</v>
      </c>
      <c r="H80" s="2">
        <v>50</v>
      </c>
      <c r="I80" s="2">
        <f>Table13[[#This Row],[Quantity]]*Table13[[#This Row],[Price per Unit]]</f>
        <v>200</v>
      </c>
      <c r="J80" s="2">
        <v>200</v>
      </c>
    </row>
    <row r="81" spans="1:10" x14ac:dyDescent="0.35">
      <c r="A81" s="2">
        <v>843</v>
      </c>
      <c r="B81" s="3">
        <v>45068</v>
      </c>
      <c r="C81" s="2" t="s">
        <v>856</v>
      </c>
      <c r="D81" s="2" t="s">
        <v>10</v>
      </c>
      <c r="E81" s="2">
        <v>21</v>
      </c>
      <c r="F81" s="2" t="s">
        <v>11</v>
      </c>
      <c r="G81" s="2">
        <v>3</v>
      </c>
      <c r="H81" s="2">
        <v>500</v>
      </c>
      <c r="I81" s="2">
        <f>Table13[[#This Row],[Quantity]]*Table13[[#This Row],[Price per Unit]]</f>
        <v>1500</v>
      </c>
      <c r="J81" s="2">
        <v>1500</v>
      </c>
    </row>
    <row r="82" spans="1:10" x14ac:dyDescent="0.35">
      <c r="A82" s="2">
        <v>853</v>
      </c>
      <c r="B82" s="3">
        <v>45050</v>
      </c>
      <c r="C82" s="2" t="s">
        <v>866</v>
      </c>
      <c r="D82" s="2" t="s">
        <v>10</v>
      </c>
      <c r="E82" s="2">
        <v>21</v>
      </c>
      <c r="F82" s="2" t="s">
        <v>11</v>
      </c>
      <c r="G82" s="2">
        <v>2</v>
      </c>
      <c r="H82" s="2">
        <v>500</v>
      </c>
      <c r="I82" s="2">
        <f>Table13[[#This Row],[Quantity]]*Table13[[#This Row],[Price per Unit]]</f>
        <v>1000</v>
      </c>
      <c r="J82" s="2">
        <v>1000</v>
      </c>
    </row>
    <row r="83" spans="1:10" x14ac:dyDescent="0.35">
      <c r="A83" s="2">
        <v>867</v>
      </c>
      <c r="B83" s="3">
        <v>45083</v>
      </c>
      <c r="C83" s="2" t="s">
        <v>880</v>
      </c>
      <c r="D83" s="2" t="s">
        <v>10</v>
      </c>
      <c r="E83" s="2">
        <v>21</v>
      </c>
      <c r="F83" s="2" t="s">
        <v>16</v>
      </c>
      <c r="G83" s="2">
        <v>1</v>
      </c>
      <c r="H83" s="2">
        <v>500</v>
      </c>
      <c r="I83" s="2">
        <f>Table13[[#This Row],[Quantity]]*Table13[[#This Row],[Price per Unit]]</f>
        <v>500</v>
      </c>
      <c r="J83" s="2">
        <v>500</v>
      </c>
    </row>
    <row r="84" spans="1:10" x14ac:dyDescent="0.35">
      <c r="A84" s="2">
        <v>900</v>
      </c>
      <c r="B84" s="3">
        <v>44978</v>
      </c>
      <c r="C84" s="2" t="s">
        <v>913</v>
      </c>
      <c r="D84" s="2" t="s">
        <v>10</v>
      </c>
      <c r="E84" s="2">
        <v>21</v>
      </c>
      <c r="F84" s="2" t="s">
        <v>14</v>
      </c>
      <c r="G84" s="2">
        <v>2</v>
      </c>
      <c r="H84" s="2">
        <v>30</v>
      </c>
      <c r="I84" s="2">
        <f>Table13[[#This Row],[Quantity]]*Table13[[#This Row],[Price per Unit]]</f>
        <v>60</v>
      </c>
      <c r="J84" s="2">
        <v>60</v>
      </c>
    </row>
    <row r="85" spans="1:10" x14ac:dyDescent="0.35">
      <c r="A85" s="2">
        <v>13</v>
      </c>
      <c r="B85" s="3">
        <v>45143</v>
      </c>
      <c r="C85" s="2" t="s">
        <v>26</v>
      </c>
      <c r="D85" s="2" t="s">
        <v>10</v>
      </c>
      <c r="E85" s="2">
        <v>22</v>
      </c>
      <c r="F85" s="2" t="s">
        <v>16</v>
      </c>
      <c r="G85" s="2">
        <v>3</v>
      </c>
      <c r="H85" s="2">
        <v>500</v>
      </c>
      <c r="I85" s="2">
        <f>Table13[[#This Row],[Quantity]]*Table13[[#This Row],[Price per Unit]]</f>
        <v>1500</v>
      </c>
      <c r="J85" s="2">
        <v>1500</v>
      </c>
    </row>
    <row r="86" spans="1:10" x14ac:dyDescent="0.35">
      <c r="A86" s="2">
        <v>20</v>
      </c>
      <c r="B86" s="3">
        <v>45235</v>
      </c>
      <c r="C86" s="2" t="s">
        <v>33</v>
      </c>
      <c r="D86" s="2" t="s">
        <v>10</v>
      </c>
      <c r="E86" s="2">
        <v>22</v>
      </c>
      <c r="F86" s="2" t="s">
        <v>14</v>
      </c>
      <c r="G86" s="2">
        <v>3</v>
      </c>
      <c r="H86" s="2">
        <v>300</v>
      </c>
      <c r="I86" s="2">
        <f>Table13[[#This Row],[Quantity]]*Table13[[#This Row],[Price per Unit]]</f>
        <v>900</v>
      </c>
      <c r="J86" s="2">
        <v>900</v>
      </c>
    </row>
    <row r="87" spans="1:10" x14ac:dyDescent="0.35">
      <c r="A87" s="2">
        <v>42</v>
      </c>
      <c r="B87" s="3">
        <v>44974</v>
      </c>
      <c r="C87" s="2" t="s">
        <v>55</v>
      </c>
      <c r="D87" s="2" t="s">
        <v>10</v>
      </c>
      <c r="E87" s="2">
        <v>22</v>
      </c>
      <c r="F87" s="2" t="s">
        <v>14</v>
      </c>
      <c r="G87" s="2">
        <v>3</v>
      </c>
      <c r="H87" s="2">
        <v>300</v>
      </c>
      <c r="I87" s="2">
        <f>Table13[[#This Row],[Quantity]]*Table13[[#This Row],[Price per Unit]]</f>
        <v>900</v>
      </c>
      <c r="J87" s="2">
        <v>900</v>
      </c>
    </row>
    <row r="88" spans="1:10" x14ac:dyDescent="0.35">
      <c r="A88" s="2">
        <v>44</v>
      </c>
      <c r="B88" s="3">
        <v>44976</v>
      </c>
      <c r="C88" s="2" t="s">
        <v>57</v>
      </c>
      <c r="D88" s="2" t="s">
        <v>13</v>
      </c>
      <c r="E88" s="2">
        <v>22</v>
      </c>
      <c r="F88" s="2" t="s">
        <v>14</v>
      </c>
      <c r="G88" s="2">
        <v>1</v>
      </c>
      <c r="H88" s="2">
        <v>25</v>
      </c>
      <c r="I88" s="2">
        <f>Table13[[#This Row],[Quantity]]*Table13[[#This Row],[Price per Unit]]</f>
        <v>25</v>
      </c>
      <c r="J88" s="2">
        <v>25</v>
      </c>
    </row>
    <row r="89" spans="1:10" x14ac:dyDescent="0.35">
      <c r="A89" s="2">
        <v>76</v>
      </c>
      <c r="B89" s="3">
        <v>45010</v>
      </c>
      <c r="C89" s="2" t="s">
        <v>89</v>
      </c>
      <c r="D89" s="2" t="s">
        <v>13</v>
      </c>
      <c r="E89" s="2">
        <v>22</v>
      </c>
      <c r="F89" s="2" t="s">
        <v>16</v>
      </c>
      <c r="G89" s="2">
        <v>2</v>
      </c>
      <c r="H89" s="2">
        <v>50</v>
      </c>
      <c r="I89" s="2">
        <f>Table13[[#This Row],[Quantity]]*Table13[[#This Row],[Price per Unit]]</f>
        <v>100</v>
      </c>
      <c r="J89" s="2">
        <v>100</v>
      </c>
    </row>
    <row r="90" spans="1:10" x14ac:dyDescent="0.35">
      <c r="A90" s="2">
        <v>105</v>
      </c>
      <c r="B90" s="3">
        <v>45132</v>
      </c>
      <c r="C90" s="2" t="s">
        <v>118</v>
      </c>
      <c r="D90" s="2" t="s">
        <v>13</v>
      </c>
      <c r="E90" s="2">
        <v>22</v>
      </c>
      <c r="F90" s="2" t="s">
        <v>16</v>
      </c>
      <c r="G90" s="2">
        <v>1</v>
      </c>
      <c r="H90" s="2">
        <v>500</v>
      </c>
      <c r="I90" s="2">
        <f>Table13[[#This Row],[Quantity]]*Table13[[#This Row],[Price per Unit]]</f>
        <v>500</v>
      </c>
      <c r="J90" s="2">
        <v>500</v>
      </c>
    </row>
    <row r="91" spans="1:10" x14ac:dyDescent="0.35">
      <c r="A91" s="2">
        <v>114</v>
      </c>
      <c r="B91" s="3">
        <v>45129</v>
      </c>
      <c r="C91" s="2" t="s">
        <v>127</v>
      </c>
      <c r="D91" s="2" t="s">
        <v>13</v>
      </c>
      <c r="E91" s="2">
        <v>22</v>
      </c>
      <c r="F91" s="2" t="s">
        <v>11</v>
      </c>
      <c r="G91" s="2">
        <v>4</v>
      </c>
      <c r="H91" s="2">
        <v>25</v>
      </c>
      <c r="I91" s="2">
        <f>Table13[[#This Row],[Quantity]]*Table13[[#This Row],[Price per Unit]]</f>
        <v>100</v>
      </c>
      <c r="J91" s="2">
        <v>100</v>
      </c>
    </row>
    <row r="92" spans="1:10" x14ac:dyDescent="0.35">
      <c r="A92" s="2">
        <v>141</v>
      </c>
      <c r="B92" s="3">
        <v>45232</v>
      </c>
      <c r="C92" s="2" t="s">
        <v>154</v>
      </c>
      <c r="D92" s="2" t="s">
        <v>13</v>
      </c>
      <c r="E92" s="2">
        <v>22</v>
      </c>
      <c r="F92" s="2" t="s">
        <v>16</v>
      </c>
      <c r="G92" s="2">
        <v>1</v>
      </c>
      <c r="H92" s="2">
        <v>50</v>
      </c>
      <c r="I92" s="2">
        <f>Table13[[#This Row],[Quantity]]*Table13[[#This Row],[Price per Unit]]</f>
        <v>50</v>
      </c>
      <c r="J92" s="2">
        <v>50</v>
      </c>
    </row>
    <row r="93" spans="1:10" x14ac:dyDescent="0.35">
      <c r="A93" s="2">
        <v>149</v>
      </c>
      <c r="B93" s="3">
        <v>45210</v>
      </c>
      <c r="C93" s="2" t="s">
        <v>162</v>
      </c>
      <c r="D93" s="2" t="s">
        <v>10</v>
      </c>
      <c r="E93" s="2">
        <v>22</v>
      </c>
      <c r="F93" s="2" t="s">
        <v>14</v>
      </c>
      <c r="G93" s="2">
        <v>3</v>
      </c>
      <c r="H93" s="2">
        <v>25</v>
      </c>
      <c r="I93" s="2">
        <f>Table13[[#This Row],[Quantity]]*Table13[[#This Row],[Price per Unit]]</f>
        <v>75</v>
      </c>
      <c r="J93" s="2">
        <v>75</v>
      </c>
    </row>
    <row r="94" spans="1:10" x14ac:dyDescent="0.35">
      <c r="A94" s="2">
        <v>273</v>
      </c>
      <c r="B94" s="3">
        <v>45054</v>
      </c>
      <c r="C94" s="2" t="s">
        <v>286</v>
      </c>
      <c r="D94" s="2" t="s">
        <v>13</v>
      </c>
      <c r="E94" s="2">
        <v>22</v>
      </c>
      <c r="F94" s="2" t="s">
        <v>11</v>
      </c>
      <c r="G94" s="2">
        <v>1</v>
      </c>
      <c r="H94" s="2">
        <v>50</v>
      </c>
      <c r="I94" s="2">
        <f>Table13[[#This Row],[Quantity]]*Table13[[#This Row],[Price per Unit]]</f>
        <v>50</v>
      </c>
      <c r="J94" s="2">
        <v>50</v>
      </c>
    </row>
    <row r="95" spans="1:10" x14ac:dyDescent="0.35">
      <c r="A95" s="2">
        <v>296</v>
      </c>
      <c r="B95" s="3">
        <v>45175</v>
      </c>
      <c r="C95" s="2" t="s">
        <v>309</v>
      </c>
      <c r="D95" s="2" t="s">
        <v>13</v>
      </c>
      <c r="E95" s="2">
        <v>22</v>
      </c>
      <c r="F95" s="2" t="s">
        <v>14</v>
      </c>
      <c r="G95" s="2">
        <v>4</v>
      </c>
      <c r="H95" s="2">
        <v>300</v>
      </c>
      <c r="I95" s="2">
        <f>Table13[[#This Row],[Quantity]]*Table13[[#This Row],[Price per Unit]]</f>
        <v>1200</v>
      </c>
      <c r="J95" s="2">
        <v>1200</v>
      </c>
    </row>
    <row r="96" spans="1:10" x14ac:dyDescent="0.35">
      <c r="A96" s="2">
        <v>317</v>
      </c>
      <c r="B96" s="3">
        <v>44956</v>
      </c>
      <c r="C96" s="2" t="s">
        <v>330</v>
      </c>
      <c r="D96" s="2" t="s">
        <v>10</v>
      </c>
      <c r="E96" s="2">
        <v>22</v>
      </c>
      <c r="F96" s="2" t="s">
        <v>16</v>
      </c>
      <c r="G96" s="2">
        <v>3</v>
      </c>
      <c r="H96" s="2">
        <v>30</v>
      </c>
      <c r="I96" s="2">
        <f>Table13[[#This Row],[Quantity]]*Table13[[#This Row],[Price per Unit]]</f>
        <v>90</v>
      </c>
      <c r="J96" s="2">
        <v>90</v>
      </c>
    </row>
    <row r="97" spans="1:10" x14ac:dyDescent="0.35">
      <c r="A97" s="2">
        <v>339</v>
      </c>
      <c r="B97" s="3">
        <v>44988</v>
      </c>
      <c r="C97" s="2" t="s">
        <v>352</v>
      </c>
      <c r="D97" s="2" t="s">
        <v>13</v>
      </c>
      <c r="E97" s="2">
        <v>22</v>
      </c>
      <c r="F97" s="2" t="s">
        <v>16</v>
      </c>
      <c r="G97" s="2">
        <v>2</v>
      </c>
      <c r="H97" s="2">
        <v>25</v>
      </c>
      <c r="I97" s="2">
        <f>Table13[[#This Row],[Quantity]]*Table13[[#This Row],[Price per Unit]]</f>
        <v>50</v>
      </c>
      <c r="J97" s="2">
        <v>50</v>
      </c>
    </row>
    <row r="98" spans="1:10" x14ac:dyDescent="0.35">
      <c r="A98" s="2">
        <v>393</v>
      </c>
      <c r="B98" s="3">
        <v>45210</v>
      </c>
      <c r="C98" s="2" t="s">
        <v>406</v>
      </c>
      <c r="D98" s="2" t="s">
        <v>13</v>
      </c>
      <c r="E98" s="2">
        <v>22</v>
      </c>
      <c r="F98" s="2" t="s">
        <v>11</v>
      </c>
      <c r="G98" s="2">
        <v>2</v>
      </c>
      <c r="H98" s="2">
        <v>500</v>
      </c>
      <c r="I98" s="2">
        <f>Table13[[#This Row],[Quantity]]*Table13[[#This Row],[Price per Unit]]</f>
        <v>1000</v>
      </c>
      <c r="J98" s="2">
        <v>1000</v>
      </c>
    </row>
    <row r="99" spans="1:10" x14ac:dyDescent="0.35">
      <c r="A99" s="2">
        <v>406</v>
      </c>
      <c r="B99" s="3">
        <v>45034</v>
      </c>
      <c r="C99" s="2" t="s">
        <v>419</v>
      </c>
      <c r="D99" s="2" t="s">
        <v>13</v>
      </c>
      <c r="E99" s="2">
        <v>22</v>
      </c>
      <c r="F99" s="2" t="s">
        <v>11</v>
      </c>
      <c r="G99" s="2">
        <v>4</v>
      </c>
      <c r="H99" s="2">
        <v>25</v>
      </c>
      <c r="I99" s="2">
        <f>Table13[[#This Row],[Quantity]]*Table13[[#This Row],[Price per Unit]]</f>
        <v>100</v>
      </c>
      <c r="J99" s="2">
        <v>100</v>
      </c>
    </row>
    <row r="100" spans="1:10" x14ac:dyDescent="0.35">
      <c r="A100" s="2">
        <v>420</v>
      </c>
      <c r="B100" s="3">
        <v>44949</v>
      </c>
      <c r="C100" s="2" t="s">
        <v>433</v>
      </c>
      <c r="D100" s="2" t="s">
        <v>13</v>
      </c>
      <c r="E100" s="2">
        <v>22</v>
      </c>
      <c r="F100" s="2" t="s">
        <v>14</v>
      </c>
      <c r="G100" s="2">
        <v>4</v>
      </c>
      <c r="H100" s="2">
        <v>500</v>
      </c>
      <c r="I100" s="2">
        <f>Table13[[#This Row],[Quantity]]*Table13[[#This Row],[Price per Unit]]</f>
        <v>2000</v>
      </c>
      <c r="J100" s="2">
        <v>2000</v>
      </c>
    </row>
    <row r="101" spans="1:10" x14ac:dyDescent="0.35">
      <c r="A101" s="2">
        <v>447</v>
      </c>
      <c r="B101" s="3">
        <v>45113</v>
      </c>
      <c r="C101" s="2" t="s">
        <v>460</v>
      </c>
      <c r="D101" s="2" t="s">
        <v>10</v>
      </c>
      <c r="E101" s="2">
        <v>22</v>
      </c>
      <c r="F101" s="2" t="s">
        <v>11</v>
      </c>
      <c r="G101" s="2">
        <v>4</v>
      </c>
      <c r="H101" s="2">
        <v>500</v>
      </c>
      <c r="I101" s="2">
        <f>Table13[[#This Row],[Quantity]]*Table13[[#This Row],[Price per Unit]]</f>
        <v>2000</v>
      </c>
      <c r="J101" s="2">
        <v>2000</v>
      </c>
    </row>
    <row r="102" spans="1:10" x14ac:dyDescent="0.35">
      <c r="A102" s="2">
        <v>597</v>
      </c>
      <c r="B102" s="3">
        <v>45160</v>
      </c>
      <c r="C102" s="2" t="s">
        <v>610</v>
      </c>
      <c r="D102" s="2" t="s">
        <v>10</v>
      </c>
      <c r="E102" s="2">
        <v>22</v>
      </c>
      <c r="F102" s="2" t="s">
        <v>11</v>
      </c>
      <c r="G102" s="2">
        <v>4</v>
      </c>
      <c r="H102" s="2">
        <v>300</v>
      </c>
      <c r="I102" s="2">
        <f>Table13[[#This Row],[Quantity]]*Table13[[#This Row],[Price per Unit]]</f>
        <v>1200</v>
      </c>
      <c r="J102" s="2">
        <v>1200</v>
      </c>
    </row>
    <row r="103" spans="1:10" x14ac:dyDescent="0.35">
      <c r="A103" s="2">
        <v>606</v>
      </c>
      <c r="B103" s="3">
        <v>45051</v>
      </c>
      <c r="C103" s="2" t="s">
        <v>619</v>
      </c>
      <c r="D103" s="2" t="s">
        <v>10</v>
      </c>
      <c r="E103" s="2">
        <v>22</v>
      </c>
      <c r="F103" s="2" t="s">
        <v>16</v>
      </c>
      <c r="G103" s="2">
        <v>1</v>
      </c>
      <c r="H103" s="2">
        <v>50</v>
      </c>
      <c r="I103" s="2">
        <f>Table13[[#This Row],[Quantity]]*Table13[[#This Row],[Price per Unit]]</f>
        <v>50</v>
      </c>
      <c r="J103" s="2">
        <v>50</v>
      </c>
    </row>
    <row r="104" spans="1:10" x14ac:dyDescent="0.35">
      <c r="A104" s="2">
        <v>695</v>
      </c>
      <c r="B104" s="3">
        <v>45150</v>
      </c>
      <c r="C104" s="2" t="s">
        <v>708</v>
      </c>
      <c r="D104" s="2" t="s">
        <v>13</v>
      </c>
      <c r="E104" s="2">
        <v>22</v>
      </c>
      <c r="F104" s="2" t="s">
        <v>16</v>
      </c>
      <c r="G104" s="2">
        <v>3</v>
      </c>
      <c r="H104" s="2">
        <v>50</v>
      </c>
      <c r="I104" s="2">
        <f>Table13[[#This Row],[Quantity]]*Table13[[#This Row],[Price per Unit]]</f>
        <v>150</v>
      </c>
      <c r="J104" s="2">
        <v>150</v>
      </c>
    </row>
    <row r="105" spans="1:10" x14ac:dyDescent="0.35">
      <c r="A105" s="2">
        <v>836</v>
      </c>
      <c r="B105" s="3">
        <v>45035</v>
      </c>
      <c r="C105" s="2" t="s">
        <v>849</v>
      </c>
      <c r="D105" s="2" t="s">
        <v>13</v>
      </c>
      <c r="E105" s="2">
        <v>22</v>
      </c>
      <c r="F105" s="2" t="s">
        <v>14</v>
      </c>
      <c r="G105" s="2">
        <v>1</v>
      </c>
      <c r="H105" s="2">
        <v>50</v>
      </c>
      <c r="I105" s="2">
        <f>Table13[[#This Row],[Quantity]]*Table13[[#This Row],[Price per Unit]]</f>
        <v>50</v>
      </c>
      <c r="J105" s="2">
        <v>50</v>
      </c>
    </row>
    <row r="106" spans="1:10" x14ac:dyDescent="0.35">
      <c r="A106" s="2">
        <v>880</v>
      </c>
      <c r="B106" s="3">
        <v>45159</v>
      </c>
      <c r="C106" s="2" t="s">
        <v>893</v>
      </c>
      <c r="D106" s="2" t="s">
        <v>10</v>
      </c>
      <c r="E106" s="2">
        <v>22</v>
      </c>
      <c r="F106" s="2" t="s">
        <v>11</v>
      </c>
      <c r="G106" s="2">
        <v>2</v>
      </c>
      <c r="H106" s="2">
        <v>500</v>
      </c>
      <c r="I106" s="2">
        <f>Table13[[#This Row],[Quantity]]*Table13[[#This Row],[Price per Unit]]</f>
        <v>1000</v>
      </c>
      <c r="J106" s="2">
        <v>1000</v>
      </c>
    </row>
    <row r="107" spans="1:10" x14ac:dyDescent="0.35">
      <c r="A107" s="2">
        <v>881</v>
      </c>
      <c r="B107" s="3">
        <v>45065</v>
      </c>
      <c r="C107" s="2" t="s">
        <v>894</v>
      </c>
      <c r="D107" s="2" t="s">
        <v>10</v>
      </c>
      <c r="E107" s="2">
        <v>22</v>
      </c>
      <c r="F107" s="2" t="s">
        <v>16</v>
      </c>
      <c r="G107" s="2">
        <v>1</v>
      </c>
      <c r="H107" s="2">
        <v>300</v>
      </c>
      <c r="I107" s="2">
        <f>Table13[[#This Row],[Quantity]]*Table13[[#This Row],[Price per Unit]]</f>
        <v>300</v>
      </c>
      <c r="J107" s="2">
        <v>300</v>
      </c>
    </row>
    <row r="108" spans="1:10" x14ac:dyDescent="0.35">
      <c r="A108" s="2">
        <v>919</v>
      </c>
      <c r="B108" s="3">
        <v>45178</v>
      </c>
      <c r="C108" s="2" t="s">
        <v>932</v>
      </c>
      <c r="D108" s="2" t="s">
        <v>13</v>
      </c>
      <c r="E108" s="2">
        <v>22</v>
      </c>
      <c r="F108" s="2" t="s">
        <v>11</v>
      </c>
      <c r="G108" s="2">
        <v>2</v>
      </c>
      <c r="H108" s="2">
        <v>25</v>
      </c>
      <c r="I108" s="2">
        <f>Table13[[#This Row],[Quantity]]*Table13[[#This Row],[Price per Unit]]</f>
        <v>50</v>
      </c>
      <c r="J108" s="2">
        <v>50</v>
      </c>
    </row>
    <row r="109" spans="1:10" x14ac:dyDescent="0.35">
      <c r="A109" s="2">
        <v>926</v>
      </c>
      <c r="B109" s="3">
        <v>45152</v>
      </c>
      <c r="C109" s="2" t="s">
        <v>939</v>
      </c>
      <c r="D109" s="2" t="s">
        <v>10</v>
      </c>
      <c r="E109" s="2">
        <v>22</v>
      </c>
      <c r="F109" s="2" t="s">
        <v>16</v>
      </c>
      <c r="G109" s="2">
        <v>1</v>
      </c>
      <c r="H109" s="2">
        <v>30</v>
      </c>
      <c r="I109" s="2">
        <f>Table13[[#This Row],[Quantity]]*Table13[[#This Row],[Price per Unit]]</f>
        <v>30</v>
      </c>
      <c r="J109" s="2">
        <v>30</v>
      </c>
    </row>
    <row r="110" spans="1:10" x14ac:dyDescent="0.35">
      <c r="A110" s="2">
        <v>933</v>
      </c>
      <c r="B110" s="3">
        <v>44960</v>
      </c>
      <c r="C110" s="2" t="s">
        <v>946</v>
      </c>
      <c r="D110" s="2" t="s">
        <v>10</v>
      </c>
      <c r="E110" s="2">
        <v>22</v>
      </c>
      <c r="F110" s="2" t="s">
        <v>11</v>
      </c>
      <c r="G110" s="2">
        <v>1</v>
      </c>
      <c r="H110" s="2">
        <v>30</v>
      </c>
      <c r="I110" s="2">
        <f>Table13[[#This Row],[Quantity]]*Table13[[#This Row],[Price per Unit]]</f>
        <v>30</v>
      </c>
      <c r="J110" s="2">
        <v>30</v>
      </c>
    </row>
    <row r="111" spans="1:10" x14ac:dyDescent="0.35">
      <c r="A111" s="2">
        <v>965</v>
      </c>
      <c r="B111" s="3">
        <v>45239</v>
      </c>
      <c r="C111" s="2" t="s">
        <v>978</v>
      </c>
      <c r="D111" s="2" t="s">
        <v>10</v>
      </c>
      <c r="E111" s="2">
        <v>22</v>
      </c>
      <c r="F111" s="2" t="s">
        <v>14</v>
      </c>
      <c r="G111" s="2">
        <v>4</v>
      </c>
      <c r="H111" s="2">
        <v>50</v>
      </c>
      <c r="I111" s="2">
        <f>Table13[[#This Row],[Quantity]]*Table13[[#This Row],[Price per Unit]]</f>
        <v>200</v>
      </c>
      <c r="J111" s="2">
        <v>200</v>
      </c>
    </row>
    <row r="112" spans="1:10" x14ac:dyDescent="0.35">
      <c r="A112" s="2">
        <v>11</v>
      </c>
      <c r="B112" s="3">
        <v>44971</v>
      </c>
      <c r="C112" s="2" t="s">
        <v>24</v>
      </c>
      <c r="D112" s="2" t="s">
        <v>10</v>
      </c>
      <c r="E112" s="2">
        <v>23</v>
      </c>
      <c r="F112" s="2" t="s">
        <v>14</v>
      </c>
      <c r="G112" s="2">
        <v>2</v>
      </c>
      <c r="H112" s="2">
        <v>50</v>
      </c>
      <c r="I112" s="2">
        <f>Table13[[#This Row],[Quantity]]*Table13[[#This Row],[Price per Unit]]</f>
        <v>100</v>
      </c>
      <c r="J112" s="2">
        <v>100</v>
      </c>
    </row>
    <row r="113" spans="1:10" x14ac:dyDescent="0.35">
      <c r="A113" s="2">
        <v>39</v>
      </c>
      <c r="B113" s="3">
        <v>45037</v>
      </c>
      <c r="C113" s="2" t="s">
        <v>52</v>
      </c>
      <c r="D113" s="2" t="s">
        <v>10</v>
      </c>
      <c r="E113" s="2">
        <v>23</v>
      </c>
      <c r="F113" s="2" t="s">
        <v>14</v>
      </c>
      <c r="G113" s="2">
        <v>4</v>
      </c>
      <c r="H113" s="2">
        <v>30</v>
      </c>
      <c r="I113" s="2">
        <f>Table13[[#This Row],[Quantity]]*Table13[[#This Row],[Price per Unit]]</f>
        <v>120</v>
      </c>
      <c r="J113" s="2">
        <v>120</v>
      </c>
    </row>
    <row r="114" spans="1:10" x14ac:dyDescent="0.35">
      <c r="A114" s="2">
        <v>116</v>
      </c>
      <c r="B114" s="3">
        <v>45161</v>
      </c>
      <c r="C114" s="2" t="s">
        <v>129</v>
      </c>
      <c r="D114" s="2" t="s">
        <v>13</v>
      </c>
      <c r="E114" s="2">
        <v>23</v>
      </c>
      <c r="F114" s="2" t="s">
        <v>14</v>
      </c>
      <c r="G114" s="2">
        <v>1</v>
      </c>
      <c r="H114" s="2">
        <v>30</v>
      </c>
      <c r="I114" s="2">
        <f>Table13[[#This Row],[Quantity]]*Table13[[#This Row],[Price per Unit]]</f>
        <v>30</v>
      </c>
      <c r="J114" s="2">
        <v>30</v>
      </c>
    </row>
    <row r="115" spans="1:10" x14ac:dyDescent="0.35">
      <c r="A115" s="2">
        <v>147</v>
      </c>
      <c r="B115" s="3">
        <v>45197</v>
      </c>
      <c r="C115" s="2" t="s">
        <v>160</v>
      </c>
      <c r="D115" s="2" t="s">
        <v>10</v>
      </c>
      <c r="E115" s="2">
        <v>23</v>
      </c>
      <c r="F115" s="2" t="s">
        <v>16</v>
      </c>
      <c r="G115" s="2">
        <v>1</v>
      </c>
      <c r="H115" s="2">
        <v>300</v>
      </c>
      <c r="I115" s="2">
        <f>Table13[[#This Row],[Quantity]]*Table13[[#This Row],[Price per Unit]]</f>
        <v>300</v>
      </c>
      <c r="J115" s="2">
        <v>300</v>
      </c>
    </row>
    <row r="116" spans="1:10" x14ac:dyDescent="0.35">
      <c r="A116" s="2">
        <v>231</v>
      </c>
      <c r="B116" s="3">
        <v>44930</v>
      </c>
      <c r="C116" s="2" t="s">
        <v>244</v>
      </c>
      <c r="D116" s="2" t="s">
        <v>13</v>
      </c>
      <c r="E116" s="2">
        <v>23</v>
      </c>
      <c r="F116" s="2" t="s">
        <v>14</v>
      </c>
      <c r="G116" s="2">
        <v>3</v>
      </c>
      <c r="H116" s="2">
        <v>50</v>
      </c>
      <c r="I116" s="2">
        <f>Table13[[#This Row],[Quantity]]*Table13[[#This Row],[Price per Unit]]</f>
        <v>150</v>
      </c>
      <c r="J116" s="2">
        <v>150</v>
      </c>
    </row>
    <row r="117" spans="1:10" x14ac:dyDescent="0.35">
      <c r="A117" s="2">
        <v>235</v>
      </c>
      <c r="B117" s="3">
        <v>44957</v>
      </c>
      <c r="C117" s="2" t="s">
        <v>248</v>
      </c>
      <c r="D117" s="2" t="s">
        <v>13</v>
      </c>
      <c r="E117" s="2">
        <v>23</v>
      </c>
      <c r="F117" s="2" t="s">
        <v>16</v>
      </c>
      <c r="G117" s="2">
        <v>2</v>
      </c>
      <c r="H117" s="2">
        <v>500</v>
      </c>
      <c r="I117" s="2">
        <f>Table13[[#This Row],[Quantity]]*Table13[[#This Row],[Price per Unit]]</f>
        <v>1000</v>
      </c>
      <c r="J117" s="2">
        <v>1000</v>
      </c>
    </row>
    <row r="118" spans="1:10" x14ac:dyDescent="0.35">
      <c r="A118" s="2">
        <v>240</v>
      </c>
      <c r="B118" s="3">
        <v>44963</v>
      </c>
      <c r="C118" s="2" t="s">
        <v>253</v>
      </c>
      <c r="D118" s="2" t="s">
        <v>13</v>
      </c>
      <c r="E118" s="2">
        <v>23</v>
      </c>
      <c r="F118" s="2" t="s">
        <v>11</v>
      </c>
      <c r="G118" s="2">
        <v>1</v>
      </c>
      <c r="H118" s="2">
        <v>300</v>
      </c>
      <c r="I118" s="2">
        <f>Table13[[#This Row],[Quantity]]*Table13[[#This Row],[Price per Unit]]</f>
        <v>300</v>
      </c>
      <c r="J118" s="2">
        <v>300</v>
      </c>
    </row>
    <row r="119" spans="1:10" x14ac:dyDescent="0.35">
      <c r="A119" s="2">
        <v>241</v>
      </c>
      <c r="B119" s="3">
        <v>45190</v>
      </c>
      <c r="C119" s="2" t="s">
        <v>254</v>
      </c>
      <c r="D119" s="2" t="s">
        <v>13</v>
      </c>
      <c r="E119" s="2">
        <v>23</v>
      </c>
      <c r="F119" s="2" t="s">
        <v>16</v>
      </c>
      <c r="G119" s="2">
        <v>3</v>
      </c>
      <c r="H119" s="2">
        <v>25</v>
      </c>
      <c r="I119" s="2">
        <f>Table13[[#This Row],[Quantity]]*Table13[[#This Row],[Price per Unit]]</f>
        <v>75</v>
      </c>
      <c r="J119" s="2">
        <v>75</v>
      </c>
    </row>
    <row r="120" spans="1:10" x14ac:dyDescent="0.35">
      <c r="A120" s="2">
        <v>256</v>
      </c>
      <c r="B120" s="3">
        <v>44975</v>
      </c>
      <c r="C120" s="2" t="s">
        <v>269</v>
      </c>
      <c r="D120" s="2" t="s">
        <v>10</v>
      </c>
      <c r="E120" s="2">
        <v>23</v>
      </c>
      <c r="F120" s="2" t="s">
        <v>14</v>
      </c>
      <c r="G120" s="2">
        <v>2</v>
      </c>
      <c r="H120" s="2">
        <v>500</v>
      </c>
      <c r="I120" s="2">
        <f>Table13[[#This Row],[Quantity]]*Table13[[#This Row],[Price per Unit]]</f>
        <v>1000</v>
      </c>
      <c r="J120" s="2">
        <v>1000</v>
      </c>
    </row>
    <row r="121" spans="1:10" x14ac:dyDescent="0.35">
      <c r="A121" s="2">
        <v>263</v>
      </c>
      <c r="B121" s="3">
        <v>45166</v>
      </c>
      <c r="C121" s="2" t="s">
        <v>276</v>
      </c>
      <c r="D121" s="2" t="s">
        <v>10</v>
      </c>
      <c r="E121" s="2">
        <v>23</v>
      </c>
      <c r="F121" s="2" t="s">
        <v>11</v>
      </c>
      <c r="G121" s="2">
        <v>2</v>
      </c>
      <c r="H121" s="2">
        <v>30</v>
      </c>
      <c r="I121" s="2">
        <f>Table13[[#This Row],[Quantity]]*Table13[[#This Row],[Price per Unit]]</f>
        <v>60</v>
      </c>
      <c r="J121" s="2">
        <v>60</v>
      </c>
    </row>
    <row r="122" spans="1:10" x14ac:dyDescent="0.35">
      <c r="A122" s="2">
        <v>274</v>
      </c>
      <c r="B122" s="3">
        <v>45025</v>
      </c>
      <c r="C122" s="2" t="s">
        <v>287</v>
      </c>
      <c r="D122" s="2" t="s">
        <v>13</v>
      </c>
      <c r="E122" s="2">
        <v>23</v>
      </c>
      <c r="F122" s="2" t="s">
        <v>14</v>
      </c>
      <c r="G122" s="2">
        <v>2</v>
      </c>
      <c r="H122" s="2">
        <v>500</v>
      </c>
      <c r="I122" s="2">
        <f>Table13[[#This Row],[Quantity]]*Table13[[#This Row],[Price per Unit]]</f>
        <v>1000</v>
      </c>
      <c r="J122" s="2">
        <v>1000</v>
      </c>
    </row>
    <row r="123" spans="1:10" x14ac:dyDescent="0.35">
      <c r="A123" s="2">
        <v>294</v>
      </c>
      <c r="B123" s="3">
        <v>45012</v>
      </c>
      <c r="C123" s="2" t="s">
        <v>307</v>
      </c>
      <c r="D123" s="2" t="s">
        <v>13</v>
      </c>
      <c r="E123" s="2">
        <v>23</v>
      </c>
      <c r="F123" s="2" t="s">
        <v>14</v>
      </c>
      <c r="G123" s="2">
        <v>3</v>
      </c>
      <c r="H123" s="2">
        <v>30</v>
      </c>
      <c r="I123" s="2">
        <f>Table13[[#This Row],[Quantity]]*Table13[[#This Row],[Price per Unit]]</f>
        <v>90</v>
      </c>
      <c r="J123" s="2">
        <v>90</v>
      </c>
    </row>
    <row r="124" spans="1:10" x14ac:dyDescent="0.35">
      <c r="A124" s="2">
        <v>369</v>
      </c>
      <c r="B124" s="3">
        <v>45245</v>
      </c>
      <c r="C124" s="2" t="s">
        <v>382</v>
      </c>
      <c r="D124" s="2" t="s">
        <v>10</v>
      </c>
      <c r="E124" s="2">
        <v>23</v>
      </c>
      <c r="F124" s="2" t="s">
        <v>16</v>
      </c>
      <c r="G124" s="2">
        <v>3</v>
      </c>
      <c r="H124" s="2">
        <v>500</v>
      </c>
      <c r="I124" s="2">
        <f>Table13[[#This Row],[Quantity]]*Table13[[#This Row],[Price per Unit]]</f>
        <v>1500</v>
      </c>
      <c r="J124" s="2">
        <v>1500</v>
      </c>
    </row>
    <row r="125" spans="1:10" x14ac:dyDescent="0.35">
      <c r="A125" s="2">
        <v>370</v>
      </c>
      <c r="B125" s="3">
        <v>45215</v>
      </c>
      <c r="C125" s="2" t="s">
        <v>383</v>
      </c>
      <c r="D125" s="2" t="s">
        <v>10</v>
      </c>
      <c r="E125" s="2">
        <v>23</v>
      </c>
      <c r="F125" s="2" t="s">
        <v>16</v>
      </c>
      <c r="G125" s="2">
        <v>2</v>
      </c>
      <c r="H125" s="2">
        <v>30</v>
      </c>
      <c r="I125" s="2">
        <f>Table13[[#This Row],[Quantity]]*Table13[[#This Row],[Price per Unit]]</f>
        <v>60</v>
      </c>
      <c r="J125" s="2">
        <v>60</v>
      </c>
    </row>
    <row r="126" spans="1:10" x14ac:dyDescent="0.35">
      <c r="A126" s="2">
        <v>426</v>
      </c>
      <c r="B126" s="3">
        <v>45009</v>
      </c>
      <c r="C126" s="2" t="s">
        <v>439</v>
      </c>
      <c r="D126" s="2" t="s">
        <v>10</v>
      </c>
      <c r="E126" s="2">
        <v>23</v>
      </c>
      <c r="F126" s="2" t="s">
        <v>16</v>
      </c>
      <c r="G126" s="2">
        <v>3</v>
      </c>
      <c r="H126" s="2">
        <v>50</v>
      </c>
      <c r="I126" s="2">
        <f>Table13[[#This Row],[Quantity]]*Table13[[#This Row],[Price per Unit]]</f>
        <v>150</v>
      </c>
      <c r="J126" s="2">
        <v>150</v>
      </c>
    </row>
    <row r="127" spans="1:10" x14ac:dyDescent="0.35">
      <c r="A127" s="2">
        <v>496</v>
      </c>
      <c r="B127" s="3">
        <v>45274</v>
      </c>
      <c r="C127" s="2" t="s">
        <v>509</v>
      </c>
      <c r="D127" s="2" t="s">
        <v>10</v>
      </c>
      <c r="E127" s="2">
        <v>23</v>
      </c>
      <c r="F127" s="2" t="s">
        <v>14</v>
      </c>
      <c r="G127" s="2">
        <v>2</v>
      </c>
      <c r="H127" s="2">
        <v>300</v>
      </c>
      <c r="I127" s="2">
        <f>Table13[[#This Row],[Quantity]]*Table13[[#This Row],[Price per Unit]]</f>
        <v>600</v>
      </c>
      <c r="J127" s="2">
        <v>600</v>
      </c>
    </row>
    <row r="128" spans="1:10" x14ac:dyDescent="0.35">
      <c r="A128" s="2">
        <v>644</v>
      </c>
      <c r="B128" s="3">
        <v>45175</v>
      </c>
      <c r="C128" s="2" t="s">
        <v>657</v>
      </c>
      <c r="D128" s="2" t="s">
        <v>10</v>
      </c>
      <c r="E128" s="2">
        <v>23</v>
      </c>
      <c r="F128" s="2" t="s">
        <v>11</v>
      </c>
      <c r="G128" s="2">
        <v>3</v>
      </c>
      <c r="H128" s="2">
        <v>25</v>
      </c>
      <c r="I128" s="2">
        <f>Table13[[#This Row],[Quantity]]*Table13[[#This Row],[Price per Unit]]</f>
        <v>75</v>
      </c>
      <c r="J128" s="2">
        <v>75</v>
      </c>
    </row>
    <row r="129" spans="1:10" x14ac:dyDescent="0.35">
      <c r="A129" s="2">
        <v>663</v>
      </c>
      <c r="B129" s="3">
        <v>45005</v>
      </c>
      <c r="C129" s="2" t="s">
        <v>676</v>
      </c>
      <c r="D129" s="2" t="s">
        <v>10</v>
      </c>
      <c r="E129" s="2">
        <v>23</v>
      </c>
      <c r="F129" s="2" t="s">
        <v>14</v>
      </c>
      <c r="G129" s="2">
        <v>4</v>
      </c>
      <c r="H129" s="2">
        <v>300</v>
      </c>
      <c r="I129" s="2">
        <f>Table13[[#This Row],[Quantity]]*Table13[[#This Row],[Price per Unit]]</f>
        <v>1200</v>
      </c>
      <c r="J129" s="2">
        <v>1200</v>
      </c>
    </row>
    <row r="130" spans="1:10" x14ac:dyDescent="0.35">
      <c r="A130" s="2">
        <v>747</v>
      </c>
      <c r="B130" s="3">
        <v>45245</v>
      </c>
      <c r="C130" s="2" t="s">
        <v>760</v>
      </c>
      <c r="D130" s="2" t="s">
        <v>10</v>
      </c>
      <c r="E130" s="2">
        <v>23</v>
      </c>
      <c r="F130" s="2" t="s">
        <v>11</v>
      </c>
      <c r="G130" s="2">
        <v>1</v>
      </c>
      <c r="H130" s="2">
        <v>30</v>
      </c>
      <c r="I130" s="2">
        <f>Table13[[#This Row],[Quantity]]*Table13[[#This Row],[Price per Unit]]</f>
        <v>30</v>
      </c>
      <c r="J130" s="2">
        <v>30</v>
      </c>
    </row>
    <row r="131" spans="1:10" x14ac:dyDescent="0.35">
      <c r="A131" s="2">
        <v>858</v>
      </c>
      <c r="B131" s="3">
        <v>45178</v>
      </c>
      <c r="C131" s="2" t="s">
        <v>871</v>
      </c>
      <c r="D131" s="2" t="s">
        <v>10</v>
      </c>
      <c r="E131" s="2">
        <v>23</v>
      </c>
      <c r="F131" s="2" t="s">
        <v>16</v>
      </c>
      <c r="G131" s="2">
        <v>2</v>
      </c>
      <c r="H131" s="2">
        <v>50</v>
      </c>
      <c r="I131" s="2">
        <f>Table13[[#This Row],[Quantity]]*Table13[[#This Row],[Price per Unit]]</f>
        <v>100</v>
      </c>
      <c r="J131" s="2">
        <v>100</v>
      </c>
    </row>
    <row r="132" spans="1:10" x14ac:dyDescent="0.35">
      <c r="A132" s="2">
        <v>879</v>
      </c>
      <c r="B132" s="3">
        <v>45286</v>
      </c>
      <c r="C132" s="2" t="s">
        <v>892</v>
      </c>
      <c r="D132" s="2" t="s">
        <v>10</v>
      </c>
      <c r="E132" s="2">
        <v>23</v>
      </c>
      <c r="F132" s="2" t="s">
        <v>14</v>
      </c>
      <c r="G132" s="2">
        <v>1</v>
      </c>
      <c r="H132" s="2">
        <v>30</v>
      </c>
      <c r="I132" s="2">
        <f>Table13[[#This Row],[Quantity]]*Table13[[#This Row],[Price per Unit]]</f>
        <v>30</v>
      </c>
      <c r="J132" s="2">
        <v>30</v>
      </c>
    </row>
    <row r="133" spans="1:10" x14ac:dyDescent="0.35">
      <c r="A133" s="2">
        <v>929</v>
      </c>
      <c r="B133" s="3">
        <v>44953</v>
      </c>
      <c r="C133" s="2" t="s">
        <v>942</v>
      </c>
      <c r="D133" s="2" t="s">
        <v>13</v>
      </c>
      <c r="E133" s="2">
        <v>23</v>
      </c>
      <c r="F133" s="2" t="s">
        <v>11</v>
      </c>
      <c r="G133" s="2">
        <v>3</v>
      </c>
      <c r="H133" s="2">
        <v>25</v>
      </c>
      <c r="I133" s="2">
        <f>Table13[[#This Row],[Quantity]]*Table13[[#This Row],[Price per Unit]]</f>
        <v>75</v>
      </c>
      <c r="J133" s="2">
        <v>75</v>
      </c>
    </row>
    <row r="134" spans="1:10" x14ac:dyDescent="0.35">
      <c r="A134" s="2">
        <v>948</v>
      </c>
      <c r="B134" s="3">
        <v>45212</v>
      </c>
      <c r="C134" s="2" t="s">
        <v>961</v>
      </c>
      <c r="D134" s="2" t="s">
        <v>13</v>
      </c>
      <c r="E134" s="2">
        <v>23</v>
      </c>
      <c r="F134" s="2" t="s">
        <v>16</v>
      </c>
      <c r="G134" s="2">
        <v>3</v>
      </c>
      <c r="H134" s="2">
        <v>25</v>
      </c>
      <c r="I134" s="2">
        <f>Table13[[#This Row],[Quantity]]*Table13[[#This Row],[Price per Unit]]</f>
        <v>75</v>
      </c>
      <c r="J134" s="2">
        <v>75</v>
      </c>
    </row>
    <row r="135" spans="1:10" x14ac:dyDescent="0.35">
      <c r="A135" s="2">
        <v>998</v>
      </c>
      <c r="B135" s="3">
        <v>45228</v>
      </c>
      <c r="C135" s="2" t="s">
        <v>1011</v>
      </c>
      <c r="D135" s="2" t="s">
        <v>13</v>
      </c>
      <c r="E135" s="2">
        <v>23</v>
      </c>
      <c r="F135" s="2" t="s">
        <v>11</v>
      </c>
      <c r="G135" s="2">
        <v>4</v>
      </c>
      <c r="H135" s="2">
        <v>25</v>
      </c>
      <c r="I135" s="2">
        <f>Table13[[#This Row],[Quantity]]*Table13[[#This Row],[Price per Unit]]</f>
        <v>100</v>
      </c>
      <c r="J135" s="2">
        <v>100</v>
      </c>
    </row>
    <row r="136" spans="1:10" x14ac:dyDescent="0.35">
      <c r="A136" s="2">
        <v>185</v>
      </c>
      <c r="B136" s="3">
        <v>44984</v>
      </c>
      <c r="C136" s="2" t="s">
        <v>198</v>
      </c>
      <c r="D136" s="2" t="s">
        <v>10</v>
      </c>
      <c r="E136" s="2">
        <v>24</v>
      </c>
      <c r="F136" s="2" t="s">
        <v>14</v>
      </c>
      <c r="G136" s="2">
        <v>1</v>
      </c>
      <c r="H136" s="2">
        <v>25</v>
      </c>
      <c r="I136" s="2">
        <f>Table13[[#This Row],[Quantity]]*Table13[[#This Row],[Price per Unit]]</f>
        <v>25</v>
      </c>
      <c r="J136" s="2">
        <v>25</v>
      </c>
    </row>
    <row r="137" spans="1:10" x14ac:dyDescent="0.35">
      <c r="A137" s="2">
        <v>372</v>
      </c>
      <c r="B137" s="3">
        <v>44964</v>
      </c>
      <c r="C137" s="2" t="s">
        <v>385</v>
      </c>
      <c r="D137" s="2" t="s">
        <v>13</v>
      </c>
      <c r="E137" s="2">
        <v>24</v>
      </c>
      <c r="F137" s="2" t="s">
        <v>11</v>
      </c>
      <c r="G137" s="2">
        <v>3</v>
      </c>
      <c r="H137" s="2">
        <v>500</v>
      </c>
      <c r="I137" s="2">
        <f>Table13[[#This Row],[Quantity]]*Table13[[#This Row],[Price per Unit]]</f>
        <v>1500</v>
      </c>
      <c r="J137" s="2">
        <v>1500</v>
      </c>
    </row>
    <row r="138" spans="1:10" x14ac:dyDescent="0.35">
      <c r="A138" s="2">
        <v>485</v>
      </c>
      <c r="B138" s="3">
        <v>45264</v>
      </c>
      <c r="C138" s="2" t="s">
        <v>498</v>
      </c>
      <c r="D138" s="2" t="s">
        <v>10</v>
      </c>
      <c r="E138" s="2">
        <v>24</v>
      </c>
      <c r="F138" s="2" t="s">
        <v>16</v>
      </c>
      <c r="G138" s="2">
        <v>1</v>
      </c>
      <c r="H138" s="2">
        <v>30</v>
      </c>
      <c r="I138" s="2">
        <f>Table13[[#This Row],[Quantity]]*Table13[[#This Row],[Price per Unit]]</f>
        <v>30</v>
      </c>
      <c r="J138" s="2">
        <v>30</v>
      </c>
    </row>
    <row r="139" spans="1:10" x14ac:dyDescent="0.35">
      <c r="A139" s="2">
        <v>495</v>
      </c>
      <c r="B139" s="3">
        <v>45131</v>
      </c>
      <c r="C139" s="2" t="s">
        <v>508</v>
      </c>
      <c r="D139" s="2" t="s">
        <v>10</v>
      </c>
      <c r="E139" s="2">
        <v>24</v>
      </c>
      <c r="F139" s="2" t="s">
        <v>11</v>
      </c>
      <c r="G139" s="2">
        <v>2</v>
      </c>
      <c r="H139" s="2">
        <v>30</v>
      </c>
      <c r="I139" s="2">
        <f>Table13[[#This Row],[Quantity]]*Table13[[#This Row],[Price per Unit]]</f>
        <v>60</v>
      </c>
      <c r="J139" s="2">
        <v>60</v>
      </c>
    </row>
    <row r="140" spans="1:10" x14ac:dyDescent="0.35">
      <c r="A140" s="2">
        <v>505</v>
      </c>
      <c r="B140" s="3">
        <v>44946</v>
      </c>
      <c r="C140" s="2" t="s">
        <v>518</v>
      </c>
      <c r="D140" s="2" t="s">
        <v>10</v>
      </c>
      <c r="E140" s="2">
        <v>24</v>
      </c>
      <c r="F140" s="2" t="s">
        <v>11</v>
      </c>
      <c r="G140" s="2">
        <v>1</v>
      </c>
      <c r="H140" s="2">
        <v>50</v>
      </c>
      <c r="I140" s="2">
        <f>Table13[[#This Row],[Quantity]]*Table13[[#This Row],[Price per Unit]]</f>
        <v>50</v>
      </c>
      <c r="J140" s="2">
        <v>50</v>
      </c>
    </row>
    <row r="141" spans="1:10" x14ac:dyDescent="0.35">
      <c r="A141" s="2">
        <v>513</v>
      </c>
      <c r="B141" s="3">
        <v>45188</v>
      </c>
      <c r="C141" s="2" t="s">
        <v>526</v>
      </c>
      <c r="D141" s="2" t="s">
        <v>10</v>
      </c>
      <c r="E141" s="2">
        <v>24</v>
      </c>
      <c r="F141" s="2" t="s">
        <v>16</v>
      </c>
      <c r="G141" s="2">
        <v>4</v>
      </c>
      <c r="H141" s="2">
        <v>25</v>
      </c>
      <c r="I141" s="2">
        <f>Table13[[#This Row],[Quantity]]*Table13[[#This Row],[Price per Unit]]</f>
        <v>100</v>
      </c>
      <c r="J141" s="2">
        <v>100</v>
      </c>
    </row>
    <row r="142" spans="1:10" x14ac:dyDescent="0.35">
      <c r="A142" s="2">
        <v>553</v>
      </c>
      <c r="B142" s="3">
        <v>45016</v>
      </c>
      <c r="C142" s="2" t="s">
        <v>566</v>
      </c>
      <c r="D142" s="2" t="s">
        <v>10</v>
      </c>
      <c r="E142" s="2">
        <v>24</v>
      </c>
      <c r="F142" s="2" t="s">
        <v>14</v>
      </c>
      <c r="G142" s="2">
        <v>4</v>
      </c>
      <c r="H142" s="2">
        <v>300</v>
      </c>
      <c r="I142" s="2">
        <f>Table13[[#This Row],[Quantity]]*Table13[[#This Row],[Price per Unit]]</f>
        <v>1200</v>
      </c>
      <c r="J142" s="2">
        <v>1200</v>
      </c>
    </row>
    <row r="143" spans="1:10" x14ac:dyDescent="0.35">
      <c r="A143" s="2">
        <v>583</v>
      </c>
      <c r="B143" s="3">
        <v>45098</v>
      </c>
      <c r="C143" s="2" t="s">
        <v>596</v>
      </c>
      <c r="D143" s="2" t="s">
        <v>13</v>
      </c>
      <c r="E143" s="2">
        <v>24</v>
      </c>
      <c r="F143" s="2" t="s">
        <v>16</v>
      </c>
      <c r="G143" s="2">
        <v>4</v>
      </c>
      <c r="H143" s="2">
        <v>25</v>
      </c>
      <c r="I143" s="2">
        <f>Table13[[#This Row],[Quantity]]*Table13[[#This Row],[Price per Unit]]</f>
        <v>100</v>
      </c>
      <c r="J143" s="2">
        <v>100</v>
      </c>
    </row>
    <row r="144" spans="1:10" x14ac:dyDescent="0.35">
      <c r="A144" s="2">
        <v>585</v>
      </c>
      <c r="B144" s="3">
        <v>45047</v>
      </c>
      <c r="C144" s="2" t="s">
        <v>598</v>
      </c>
      <c r="D144" s="2" t="s">
        <v>13</v>
      </c>
      <c r="E144" s="2">
        <v>24</v>
      </c>
      <c r="F144" s="2" t="s">
        <v>14</v>
      </c>
      <c r="G144" s="2">
        <v>1</v>
      </c>
      <c r="H144" s="2">
        <v>25</v>
      </c>
      <c r="I144" s="2">
        <f>Table13[[#This Row],[Quantity]]*Table13[[#This Row],[Price per Unit]]</f>
        <v>25</v>
      </c>
      <c r="J144" s="2">
        <v>25</v>
      </c>
    </row>
    <row r="145" spans="1:10" x14ac:dyDescent="0.35">
      <c r="A145" s="2">
        <v>669</v>
      </c>
      <c r="B145" s="3">
        <v>45096</v>
      </c>
      <c r="C145" s="2" t="s">
        <v>682</v>
      </c>
      <c r="D145" s="2" t="s">
        <v>10</v>
      </c>
      <c r="E145" s="2">
        <v>24</v>
      </c>
      <c r="F145" s="2" t="s">
        <v>11</v>
      </c>
      <c r="G145" s="2">
        <v>4</v>
      </c>
      <c r="H145" s="2">
        <v>300</v>
      </c>
      <c r="I145" s="2">
        <f>Table13[[#This Row],[Quantity]]*Table13[[#This Row],[Price per Unit]]</f>
        <v>1200</v>
      </c>
      <c r="J145" s="2">
        <v>1200</v>
      </c>
    </row>
    <row r="146" spans="1:10" x14ac:dyDescent="0.35">
      <c r="A146" s="2">
        <v>762</v>
      </c>
      <c r="B146" s="3">
        <v>45237</v>
      </c>
      <c r="C146" s="2" t="s">
        <v>775</v>
      </c>
      <c r="D146" s="2" t="s">
        <v>13</v>
      </c>
      <c r="E146" s="2">
        <v>24</v>
      </c>
      <c r="F146" s="2" t="s">
        <v>16</v>
      </c>
      <c r="G146" s="2">
        <v>2</v>
      </c>
      <c r="H146" s="2">
        <v>25</v>
      </c>
      <c r="I146" s="2">
        <f>Table13[[#This Row],[Quantity]]*Table13[[#This Row],[Price per Unit]]</f>
        <v>50</v>
      </c>
      <c r="J146" s="2">
        <v>50</v>
      </c>
    </row>
    <row r="147" spans="1:10" x14ac:dyDescent="0.35">
      <c r="A147" s="2">
        <v>768</v>
      </c>
      <c r="B147" s="3">
        <v>44940</v>
      </c>
      <c r="C147" s="2" t="s">
        <v>781</v>
      </c>
      <c r="D147" s="2" t="s">
        <v>13</v>
      </c>
      <c r="E147" s="2">
        <v>24</v>
      </c>
      <c r="F147" s="2" t="s">
        <v>11</v>
      </c>
      <c r="G147" s="2">
        <v>3</v>
      </c>
      <c r="H147" s="2">
        <v>25</v>
      </c>
      <c r="I147" s="2">
        <f>Table13[[#This Row],[Quantity]]*Table13[[#This Row],[Price per Unit]]</f>
        <v>75</v>
      </c>
      <c r="J147" s="2">
        <v>75</v>
      </c>
    </row>
    <row r="148" spans="1:10" x14ac:dyDescent="0.35">
      <c r="A148" s="2">
        <v>771</v>
      </c>
      <c r="B148" s="3">
        <v>45273</v>
      </c>
      <c r="C148" s="2" t="s">
        <v>784</v>
      </c>
      <c r="D148" s="2" t="s">
        <v>10</v>
      </c>
      <c r="E148" s="2">
        <v>24</v>
      </c>
      <c r="F148" s="2" t="s">
        <v>16</v>
      </c>
      <c r="G148" s="2">
        <v>2</v>
      </c>
      <c r="H148" s="2">
        <v>25</v>
      </c>
      <c r="I148" s="2">
        <f>Table13[[#This Row],[Quantity]]*Table13[[#This Row],[Price per Unit]]</f>
        <v>50</v>
      </c>
      <c r="J148" s="2">
        <v>50</v>
      </c>
    </row>
    <row r="149" spans="1:10" x14ac:dyDescent="0.35">
      <c r="A149" s="2">
        <v>866</v>
      </c>
      <c r="B149" s="3">
        <v>45051</v>
      </c>
      <c r="C149" s="2" t="s">
        <v>879</v>
      </c>
      <c r="D149" s="2" t="s">
        <v>10</v>
      </c>
      <c r="E149" s="2">
        <v>24</v>
      </c>
      <c r="F149" s="2" t="s">
        <v>16</v>
      </c>
      <c r="G149" s="2">
        <v>1</v>
      </c>
      <c r="H149" s="2">
        <v>50</v>
      </c>
      <c r="I149" s="2">
        <f>Table13[[#This Row],[Quantity]]*Table13[[#This Row],[Price per Unit]]</f>
        <v>50</v>
      </c>
      <c r="J149" s="2">
        <v>50</v>
      </c>
    </row>
    <row r="150" spans="1:10" x14ac:dyDescent="0.35">
      <c r="A150" s="2">
        <v>964</v>
      </c>
      <c r="B150" s="3">
        <v>44957</v>
      </c>
      <c r="C150" s="2" t="s">
        <v>977</v>
      </c>
      <c r="D150" s="2" t="s">
        <v>10</v>
      </c>
      <c r="E150" s="2">
        <v>24</v>
      </c>
      <c r="F150" s="2" t="s">
        <v>14</v>
      </c>
      <c r="G150" s="2">
        <v>3</v>
      </c>
      <c r="H150" s="2">
        <v>300</v>
      </c>
      <c r="I150" s="2">
        <f>Table13[[#This Row],[Quantity]]*Table13[[#This Row],[Price per Unit]]</f>
        <v>900</v>
      </c>
      <c r="J150" s="2">
        <v>900</v>
      </c>
    </row>
    <row r="151" spans="1:10" x14ac:dyDescent="0.35">
      <c r="A151" s="2">
        <v>68</v>
      </c>
      <c r="B151" s="3">
        <v>44967</v>
      </c>
      <c r="C151" s="2" t="s">
        <v>81</v>
      </c>
      <c r="D151" s="2" t="s">
        <v>10</v>
      </c>
      <c r="E151" s="2">
        <v>25</v>
      </c>
      <c r="F151" s="2" t="s">
        <v>16</v>
      </c>
      <c r="G151" s="2">
        <v>1</v>
      </c>
      <c r="H151" s="2">
        <v>300</v>
      </c>
      <c r="I151" s="2">
        <f>Table13[[#This Row],[Quantity]]*Table13[[#This Row],[Price per Unit]]</f>
        <v>300</v>
      </c>
      <c r="J151" s="2">
        <v>300</v>
      </c>
    </row>
    <row r="152" spans="1:10" x14ac:dyDescent="0.35">
      <c r="A152" s="2">
        <v>128</v>
      </c>
      <c r="B152" s="3">
        <v>45112</v>
      </c>
      <c r="C152" s="2" t="s">
        <v>141</v>
      </c>
      <c r="D152" s="2" t="s">
        <v>10</v>
      </c>
      <c r="E152" s="2">
        <v>25</v>
      </c>
      <c r="F152" s="2" t="s">
        <v>11</v>
      </c>
      <c r="G152" s="2">
        <v>1</v>
      </c>
      <c r="H152" s="2">
        <v>500</v>
      </c>
      <c r="I152" s="2">
        <f>Table13[[#This Row],[Quantity]]*Table13[[#This Row],[Price per Unit]]</f>
        <v>500</v>
      </c>
      <c r="J152" s="2">
        <v>500</v>
      </c>
    </row>
    <row r="153" spans="1:10" x14ac:dyDescent="0.35">
      <c r="A153" s="2">
        <v>170</v>
      </c>
      <c r="B153" s="3">
        <v>45079</v>
      </c>
      <c r="C153" s="2" t="s">
        <v>183</v>
      </c>
      <c r="D153" s="2" t="s">
        <v>13</v>
      </c>
      <c r="E153" s="2">
        <v>25</v>
      </c>
      <c r="F153" s="2" t="s">
        <v>14</v>
      </c>
      <c r="G153" s="2">
        <v>2</v>
      </c>
      <c r="H153" s="2">
        <v>25</v>
      </c>
      <c r="I153" s="2">
        <f>Table13[[#This Row],[Quantity]]*Table13[[#This Row],[Price per Unit]]</f>
        <v>50</v>
      </c>
      <c r="J153" s="2">
        <v>50</v>
      </c>
    </row>
    <row r="154" spans="1:10" x14ac:dyDescent="0.35">
      <c r="A154" s="2">
        <v>224</v>
      </c>
      <c r="B154" s="3">
        <v>45100</v>
      </c>
      <c r="C154" s="2" t="s">
        <v>237</v>
      </c>
      <c r="D154" s="2" t="s">
        <v>13</v>
      </c>
      <c r="E154" s="2">
        <v>25</v>
      </c>
      <c r="F154" s="2" t="s">
        <v>14</v>
      </c>
      <c r="G154" s="2">
        <v>1</v>
      </c>
      <c r="H154" s="2">
        <v>50</v>
      </c>
      <c r="I154" s="2">
        <f>Table13[[#This Row],[Quantity]]*Table13[[#This Row],[Price per Unit]]</f>
        <v>50</v>
      </c>
      <c r="J154" s="2">
        <v>50</v>
      </c>
    </row>
    <row r="155" spans="1:10" x14ac:dyDescent="0.35">
      <c r="A155" s="2">
        <v>269</v>
      </c>
      <c r="B155" s="3">
        <v>44958</v>
      </c>
      <c r="C155" s="2" t="s">
        <v>282</v>
      </c>
      <c r="D155" s="2" t="s">
        <v>10</v>
      </c>
      <c r="E155" s="2">
        <v>25</v>
      </c>
      <c r="F155" s="2" t="s">
        <v>14</v>
      </c>
      <c r="G155" s="2">
        <v>4</v>
      </c>
      <c r="H155" s="2">
        <v>500</v>
      </c>
      <c r="I155" s="2">
        <f>Table13[[#This Row],[Quantity]]*Table13[[#This Row],[Price per Unit]]</f>
        <v>2000</v>
      </c>
      <c r="J155" s="2">
        <v>2000</v>
      </c>
    </row>
    <row r="156" spans="1:10" x14ac:dyDescent="0.35">
      <c r="A156" s="2">
        <v>330</v>
      </c>
      <c r="B156" s="3">
        <v>45187</v>
      </c>
      <c r="C156" s="2" t="s">
        <v>343</v>
      </c>
      <c r="D156" s="2" t="s">
        <v>13</v>
      </c>
      <c r="E156" s="2">
        <v>25</v>
      </c>
      <c r="F156" s="2" t="s">
        <v>11</v>
      </c>
      <c r="G156" s="2">
        <v>4</v>
      </c>
      <c r="H156" s="2">
        <v>50</v>
      </c>
      <c r="I156" s="2">
        <f>Table13[[#This Row],[Quantity]]*Table13[[#This Row],[Price per Unit]]</f>
        <v>200</v>
      </c>
      <c r="J156" s="2">
        <v>200</v>
      </c>
    </row>
    <row r="157" spans="1:10" x14ac:dyDescent="0.35">
      <c r="A157" s="2">
        <v>350</v>
      </c>
      <c r="B157" s="3">
        <v>45216</v>
      </c>
      <c r="C157" s="2" t="s">
        <v>363</v>
      </c>
      <c r="D157" s="2" t="s">
        <v>10</v>
      </c>
      <c r="E157" s="2">
        <v>25</v>
      </c>
      <c r="F157" s="2" t="s">
        <v>11</v>
      </c>
      <c r="G157" s="2">
        <v>3</v>
      </c>
      <c r="H157" s="2">
        <v>25</v>
      </c>
      <c r="I157" s="2">
        <f>Table13[[#This Row],[Quantity]]*Table13[[#This Row],[Price per Unit]]</f>
        <v>75</v>
      </c>
      <c r="J157" s="2">
        <v>75</v>
      </c>
    </row>
    <row r="158" spans="1:10" x14ac:dyDescent="0.35">
      <c r="A158" s="2">
        <v>373</v>
      </c>
      <c r="B158" s="3">
        <v>45202</v>
      </c>
      <c r="C158" s="2" t="s">
        <v>386</v>
      </c>
      <c r="D158" s="2" t="s">
        <v>13</v>
      </c>
      <c r="E158" s="2">
        <v>25</v>
      </c>
      <c r="F158" s="2" t="s">
        <v>11</v>
      </c>
      <c r="G158" s="2">
        <v>2</v>
      </c>
      <c r="H158" s="2">
        <v>300</v>
      </c>
      <c r="I158" s="2">
        <f>Table13[[#This Row],[Quantity]]*Table13[[#This Row],[Price per Unit]]</f>
        <v>600</v>
      </c>
      <c r="J158" s="2">
        <v>600</v>
      </c>
    </row>
    <row r="159" spans="1:10" x14ac:dyDescent="0.35">
      <c r="A159" s="2">
        <v>405</v>
      </c>
      <c r="B159" s="3">
        <v>45236</v>
      </c>
      <c r="C159" s="2" t="s">
        <v>418</v>
      </c>
      <c r="D159" s="2" t="s">
        <v>13</v>
      </c>
      <c r="E159" s="2">
        <v>25</v>
      </c>
      <c r="F159" s="2" t="s">
        <v>14</v>
      </c>
      <c r="G159" s="2">
        <v>4</v>
      </c>
      <c r="H159" s="2">
        <v>300</v>
      </c>
      <c r="I159" s="2">
        <f>Table13[[#This Row],[Quantity]]*Table13[[#This Row],[Price per Unit]]</f>
        <v>1200</v>
      </c>
      <c r="J159" s="2">
        <v>1200</v>
      </c>
    </row>
    <row r="160" spans="1:10" x14ac:dyDescent="0.35">
      <c r="A160" s="2">
        <v>427</v>
      </c>
      <c r="B160" s="3">
        <v>45153</v>
      </c>
      <c r="C160" s="2" t="s">
        <v>440</v>
      </c>
      <c r="D160" s="2" t="s">
        <v>10</v>
      </c>
      <c r="E160" s="2">
        <v>25</v>
      </c>
      <c r="F160" s="2" t="s">
        <v>16</v>
      </c>
      <c r="G160" s="2">
        <v>1</v>
      </c>
      <c r="H160" s="2">
        <v>25</v>
      </c>
      <c r="I160" s="2">
        <f>Table13[[#This Row],[Quantity]]*Table13[[#This Row],[Price per Unit]]</f>
        <v>25</v>
      </c>
      <c r="J160" s="2">
        <v>25</v>
      </c>
    </row>
    <row r="161" spans="1:10" x14ac:dyDescent="0.35">
      <c r="A161" s="2">
        <v>449</v>
      </c>
      <c r="B161" s="3">
        <v>45110</v>
      </c>
      <c r="C161" s="2" t="s">
        <v>462</v>
      </c>
      <c r="D161" s="2" t="s">
        <v>10</v>
      </c>
      <c r="E161" s="2">
        <v>25</v>
      </c>
      <c r="F161" s="2" t="s">
        <v>16</v>
      </c>
      <c r="G161" s="2">
        <v>4</v>
      </c>
      <c r="H161" s="2">
        <v>50</v>
      </c>
      <c r="I161" s="2">
        <f>Table13[[#This Row],[Quantity]]*Table13[[#This Row],[Price per Unit]]</f>
        <v>200</v>
      </c>
      <c r="J161" s="2">
        <v>200</v>
      </c>
    </row>
    <row r="162" spans="1:10" x14ac:dyDescent="0.35">
      <c r="A162" s="2">
        <v>539</v>
      </c>
      <c r="B162" s="3">
        <v>45085</v>
      </c>
      <c r="C162" s="2" t="s">
        <v>552</v>
      </c>
      <c r="D162" s="2" t="s">
        <v>10</v>
      </c>
      <c r="E162" s="2">
        <v>25</v>
      </c>
      <c r="F162" s="2" t="s">
        <v>11</v>
      </c>
      <c r="G162" s="2">
        <v>1</v>
      </c>
      <c r="H162" s="2">
        <v>500</v>
      </c>
      <c r="I162" s="2">
        <f>Table13[[#This Row],[Quantity]]*Table13[[#This Row],[Price per Unit]]</f>
        <v>500</v>
      </c>
      <c r="J162" s="2">
        <v>500</v>
      </c>
    </row>
    <row r="163" spans="1:10" x14ac:dyDescent="0.35">
      <c r="A163" s="2">
        <v>555</v>
      </c>
      <c r="B163" s="3">
        <v>45218</v>
      </c>
      <c r="C163" s="2" t="s">
        <v>568</v>
      </c>
      <c r="D163" s="2" t="s">
        <v>10</v>
      </c>
      <c r="E163" s="2">
        <v>25</v>
      </c>
      <c r="F163" s="2" t="s">
        <v>11</v>
      </c>
      <c r="G163" s="2">
        <v>1</v>
      </c>
      <c r="H163" s="2">
        <v>300</v>
      </c>
      <c r="I163" s="2">
        <f>Table13[[#This Row],[Quantity]]*Table13[[#This Row],[Price per Unit]]</f>
        <v>300</v>
      </c>
      <c r="J163" s="2">
        <v>300</v>
      </c>
    </row>
    <row r="164" spans="1:10" x14ac:dyDescent="0.35">
      <c r="A164" s="2">
        <v>560</v>
      </c>
      <c r="B164" s="3">
        <v>45082</v>
      </c>
      <c r="C164" s="2" t="s">
        <v>573</v>
      </c>
      <c r="D164" s="2" t="s">
        <v>13</v>
      </c>
      <c r="E164" s="2">
        <v>25</v>
      </c>
      <c r="F164" s="2" t="s">
        <v>16</v>
      </c>
      <c r="G164" s="2">
        <v>1</v>
      </c>
      <c r="H164" s="2">
        <v>50</v>
      </c>
      <c r="I164" s="2">
        <f>Table13[[#This Row],[Quantity]]*Table13[[#This Row],[Price per Unit]]</f>
        <v>50</v>
      </c>
      <c r="J164" s="2">
        <v>50</v>
      </c>
    </row>
    <row r="165" spans="1:10" x14ac:dyDescent="0.35">
      <c r="A165" s="2">
        <v>567</v>
      </c>
      <c r="B165" s="3">
        <v>45091</v>
      </c>
      <c r="C165" s="2" t="s">
        <v>580</v>
      </c>
      <c r="D165" s="2" t="s">
        <v>13</v>
      </c>
      <c r="E165" s="2">
        <v>25</v>
      </c>
      <c r="F165" s="2" t="s">
        <v>14</v>
      </c>
      <c r="G165" s="2">
        <v>3</v>
      </c>
      <c r="H165" s="2">
        <v>300</v>
      </c>
      <c r="I165" s="2">
        <f>Table13[[#This Row],[Quantity]]*Table13[[#This Row],[Price per Unit]]</f>
        <v>900</v>
      </c>
      <c r="J165" s="2">
        <v>900</v>
      </c>
    </row>
    <row r="166" spans="1:10" x14ac:dyDescent="0.35">
      <c r="A166" s="2">
        <v>740</v>
      </c>
      <c r="B166" s="3">
        <v>44962</v>
      </c>
      <c r="C166" s="2" t="s">
        <v>753</v>
      </c>
      <c r="D166" s="2" t="s">
        <v>13</v>
      </c>
      <c r="E166" s="2">
        <v>25</v>
      </c>
      <c r="F166" s="2" t="s">
        <v>11</v>
      </c>
      <c r="G166" s="2">
        <v>4</v>
      </c>
      <c r="H166" s="2">
        <v>50</v>
      </c>
      <c r="I166" s="2">
        <f>Table13[[#This Row],[Quantity]]*Table13[[#This Row],[Price per Unit]]</f>
        <v>200</v>
      </c>
      <c r="J166" s="2">
        <v>200</v>
      </c>
    </row>
    <row r="167" spans="1:10" x14ac:dyDescent="0.35">
      <c r="A167" s="2">
        <v>748</v>
      </c>
      <c r="B167" s="3">
        <v>45005</v>
      </c>
      <c r="C167" s="2" t="s">
        <v>761</v>
      </c>
      <c r="D167" s="2" t="s">
        <v>10</v>
      </c>
      <c r="E167" s="2">
        <v>25</v>
      </c>
      <c r="F167" s="2" t="s">
        <v>14</v>
      </c>
      <c r="G167" s="2">
        <v>3</v>
      </c>
      <c r="H167" s="2">
        <v>50</v>
      </c>
      <c r="I167" s="2">
        <f>Table13[[#This Row],[Quantity]]*Table13[[#This Row],[Price per Unit]]</f>
        <v>150</v>
      </c>
      <c r="J167" s="2">
        <v>150</v>
      </c>
    </row>
    <row r="168" spans="1:10" x14ac:dyDescent="0.35">
      <c r="A168" s="2">
        <v>773</v>
      </c>
      <c r="B168" s="3">
        <v>45130</v>
      </c>
      <c r="C168" s="2" t="s">
        <v>786</v>
      </c>
      <c r="D168" s="2" t="s">
        <v>10</v>
      </c>
      <c r="E168" s="2">
        <v>25</v>
      </c>
      <c r="F168" s="2" t="s">
        <v>16</v>
      </c>
      <c r="G168" s="2">
        <v>4</v>
      </c>
      <c r="H168" s="2">
        <v>500</v>
      </c>
      <c r="I168" s="2">
        <f>Table13[[#This Row],[Quantity]]*Table13[[#This Row],[Price per Unit]]</f>
        <v>2000</v>
      </c>
      <c r="J168" s="2">
        <v>2000</v>
      </c>
    </row>
    <row r="169" spans="1:10" x14ac:dyDescent="0.35">
      <c r="A169" s="2">
        <v>868</v>
      </c>
      <c r="B169" s="3">
        <v>45266</v>
      </c>
      <c r="C169" s="2" t="s">
        <v>881</v>
      </c>
      <c r="D169" s="2" t="s">
        <v>13</v>
      </c>
      <c r="E169" s="2">
        <v>25</v>
      </c>
      <c r="F169" s="2" t="s">
        <v>16</v>
      </c>
      <c r="G169" s="2">
        <v>1</v>
      </c>
      <c r="H169" s="2">
        <v>300</v>
      </c>
      <c r="I169" s="2">
        <f>Table13[[#This Row],[Quantity]]*Table13[[#This Row],[Price per Unit]]</f>
        <v>300</v>
      </c>
      <c r="J169" s="2">
        <v>300</v>
      </c>
    </row>
    <row r="170" spans="1:10" x14ac:dyDescent="0.35">
      <c r="A170" s="2">
        <v>925</v>
      </c>
      <c r="B170" s="3">
        <v>45172</v>
      </c>
      <c r="C170" s="2" t="s">
        <v>938</v>
      </c>
      <c r="D170" s="2" t="s">
        <v>10</v>
      </c>
      <c r="E170" s="2">
        <v>25</v>
      </c>
      <c r="F170" s="2" t="s">
        <v>16</v>
      </c>
      <c r="G170" s="2">
        <v>1</v>
      </c>
      <c r="H170" s="2">
        <v>300</v>
      </c>
      <c r="I170" s="2">
        <f>Table13[[#This Row],[Quantity]]*Table13[[#This Row],[Price per Unit]]</f>
        <v>300</v>
      </c>
      <c r="J170" s="2">
        <v>300</v>
      </c>
    </row>
    <row r="171" spans="1:10" x14ac:dyDescent="0.35">
      <c r="A171" s="2">
        <v>2</v>
      </c>
      <c r="B171" s="3">
        <v>44984</v>
      </c>
      <c r="C171" s="2" t="s">
        <v>12</v>
      </c>
      <c r="D171" s="2" t="s">
        <v>13</v>
      </c>
      <c r="E171" s="2">
        <v>26</v>
      </c>
      <c r="F171" s="2" t="s">
        <v>14</v>
      </c>
      <c r="G171" s="2">
        <v>2</v>
      </c>
      <c r="H171" s="2">
        <v>500</v>
      </c>
      <c r="I171" s="2">
        <f>Table13[[#This Row],[Quantity]]*Table13[[#This Row],[Price per Unit]]</f>
        <v>1000</v>
      </c>
      <c r="J171" s="2">
        <v>1000</v>
      </c>
    </row>
    <row r="172" spans="1:10" x14ac:dyDescent="0.35">
      <c r="A172" s="2">
        <v>56</v>
      </c>
      <c r="B172" s="3">
        <v>45077</v>
      </c>
      <c r="C172" s="2" t="s">
        <v>69</v>
      </c>
      <c r="D172" s="2" t="s">
        <v>13</v>
      </c>
      <c r="E172" s="2">
        <v>26</v>
      </c>
      <c r="F172" s="2" t="s">
        <v>14</v>
      </c>
      <c r="G172" s="2">
        <v>3</v>
      </c>
      <c r="H172" s="2">
        <v>300</v>
      </c>
      <c r="I172" s="2">
        <f>Table13[[#This Row],[Quantity]]*Table13[[#This Row],[Price per Unit]]</f>
        <v>900</v>
      </c>
      <c r="J172" s="2">
        <v>900</v>
      </c>
    </row>
    <row r="173" spans="1:10" x14ac:dyDescent="0.35">
      <c r="A173" s="2">
        <v>159</v>
      </c>
      <c r="B173" s="3">
        <v>45077</v>
      </c>
      <c r="C173" s="2" t="s">
        <v>172</v>
      </c>
      <c r="D173" s="2" t="s">
        <v>10</v>
      </c>
      <c r="E173" s="2">
        <v>26</v>
      </c>
      <c r="F173" s="2" t="s">
        <v>14</v>
      </c>
      <c r="G173" s="2">
        <v>4</v>
      </c>
      <c r="H173" s="2">
        <v>50</v>
      </c>
      <c r="I173" s="2">
        <f>Table13[[#This Row],[Quantity]]*Table13[[#This Row],[Price per Unit]]</f>
        <v>200</v>
      </c>
      <c r="J173" s="2">
        <v>200</v>
      </c>
    </row>
    <row r="174" spans="1:10" x14ac:dyDescent="0.35">
      <c r="A174" s="2">
        <v>248</v>
      </c>
      <c r="B174" s="3">
        <v>44994</v>
      </c>
      <c r="C174" s="2" t="s">
        <v>261</v>
      </c>
      <c r="D174" s="2" t="s">
        <v>10</v>
      </c>
      <c r="E174" s="2">
        <v>26</v>
      </c>
      <c r="F174" s="2" t="s">
        <v>14</v>
      </c>
      <c r="G174" s="2">
        <v>3</v>
      </c>
      <c r="H174" s="2">
        <v>300</v>
      </c>
      <c r="I174" s="2">
        <f>Table13[[#This Row],[Quantity]]*Table13[[#This Row],[Price per Unit]]</f>
        <v>900</v>
      </c>
      <c r="J174" s="2">
        <v>900</v>
      </c>
    </row>
    <row r="175" spans="1:10" x14ac:dyDescent="0.35">
      <c r="A175" s="2">
        <v>307</v>
      </c>
      <c r="B175" s="3">
        <v>45073</v>
      </c>
      <c r="C175" s="2" t="s">
        <v>320</v>
      </c>
      <c r="D175" s="2" t="s">
        <v>13</v>
      </c>
      <c r="E175" s="2">
        <v>26</v>
      </c>
      <c r="F175" s="2" t="s">
        <v>16</v>
      </c>
      <c r="G175" s="2">
        <v>2</v>
      </c>
      <c r="H175" s="2">
        <v>25</v>
      </c>
      <c r="I175" s="2">
        <f>Table13[[#This Row],[Quantity]]*Table13[[#This Row],[Price per Unit]]</f>
        <v>50</v>
      </c>
      <c r="J175" s="2">
        <v>50</v>
      </c>
    </row>
    <row r="176" spans="1:10" x14ac:dyDescent="0.35">
      <c r="A176" s="2">
        <v>309</v>
      </c>
      <c r="B176" s="3">
        <v>45283</v>
      </c>
      <c r="C176" s="2" t="s">
        <v>322</v>
      </c>
      <c r="D176" s="2" t="s">
        <v>13</v>
      </c>
      <c r="E176" s="2">
        <v>26</v>
      </c>
      <c r="F176" s="2" t="s">
        <v>11</v>
      </c>
      <c r="G176" s="2">
        <v>1</v>
      </c>
      <c r="H176" s="2">
        <v>25</v>
      </c>
      <c r="I176" s="2">
        <f>Table13[[#This Row],[Quantity]]*Table13[[#This Row],[Price per Unit]]</f>
        <v>25</v>
      </c>
      <c r="J176" s="2">
        <v>25</v>
      </c>
    </row>
    <row r="177" spans="1:10" x14ac:dyDescent="0.35">
      <c r="A177" s="2">
        <v>321</v>
      </c>
      <c r="B177" s="3">
        <v>45087</v>
      </c>
      <c r="C177" s="2" t="s">
        <v>334</v>
      </c>
      <c r="D177" s="2" t="s">
        <v>13</v>
      </c>
      <c r="E177" s="2">
        <v>26</v>
      </c>
      <c r="F177" s="2" t="s">
        <v>16</v>
      </c>
      <c r="G177" s="2">
        <v>2</v>
      </c>
      <c r="H177" s="2">
        <v>25</v>
      </c>
      <c r="I177" s="2">
        <f>Table13[[#This Row],[Quantity]]*Table13[[#This Row],[Price per Unit]]</f>
        <v>50</v>
      </c>
      <c r="J177" s="2">
        <v>50</v>
      </c>
    </row>
    <row r="178" spans="1:10" x14ac:dyDescent="0.35">
      <c r="A178" s="2">
        <v>453</v>
      </c>
      <c r="B178" s="3">
        <v>45268</v>
      </c>
      <c r="C178" s="2" t="s">
        <v>466</v>
      </c>
      <c r="D178" s="2" t="s">
        <v>13</v>
      </c>
      <c r="E178" s="2">
        <v>26</v>
      </c>
      <c r="F178" s="2" t="s">
        <v>14</v>
      </c>
      <c r="G178" s="2">
        <v>2</v>
      </c>
      <c r="H178" s="2">
        <v>500</v>
      </c>
      <c r="I178" s="2">
        <f>Table13[[#This Row],[Quantity]]*Table13[[#This Row],[Price per Unit]]</f>
        <v>1000</v>
      </c>
      <c r="J178" s="2">
        <v>1000</v>
      </c>
    </row>
    <row r="179" spans="1:10" x14ac:dyDescent="0.35">
      <c r="A179" s="2">
        <v>474</v>
      </c>
      <c r="B179" s="3">
        <v>45122</v>
      </c>
      <c r="C179" s="2" t="s">
        <v>487</v>
      </c>
      <c r="D179" s="2" t="s">
        <v>13</v>
      </c>
      <c r="E179" s="2">
        <v>26</v>
      </c>
      <c r="F179" s="2" t="s">
        <v>14</v>
      </c>
      <c r="G179" s="2">
        <v>3</v>
      </c>
      <c r="H179" s="2">
        <v>500</v>
      </c>
      <c r="I179" s="2">
        <f>Table13[[#This Row],[Quantity]]*Table13[[#This Row],[Price per Unit]]</f>
        <v>1500</v>
      </c>
      <c r="J179" s="2">
        <v>1500</v>
      </c>
    </row>
    <row r="180" spans="1:10" x14ac:dyDescent="0.35">
      <c r="A180" s="2">
        <v>475</v>
      </c>
      <c r="B180" s="3">
        <v>44946</v>
      </c>
      <c r="C180" s="2" t="s">
        <v>488</v>
      </c>
      <c r="D180" s="2" t="s">
        <v>10</v>
      </c>
      <c r="E180" s="2">
        <v>26</v>
      </c>
      <c r="F180" s="2" t="s">
        <v>14</v>
      </c>
      <c r="G180" s="2">
        <v>3</v>
      </c>
      <c r="H180" s="2">
        <v>25</v>
      </c>
      <c r="I180" s="2">
        <f>Table13[[#This Row],[Quantity]]*Table13[[#This Row],[Price per Unit]]</f>
        <v>75</v>
      </c>
      <c r="J180" s="2">
        <v>75</v>
      </c>
    </row>
    <row r="181" spans="1:10" x14ac:dyDescent="0.35">
      <c r="A181" s="2">
        <v>610</v>
      </c>
      <c r="B181" s="3">
        <v>44929</v>
      </c>
      <c r="C181" s="2" t="s">
        <v>623</v>
      </c>
      <c r="D181" s="2" t="s">
        <v>13</v>
      </c>
      <c r="E181" s="2">
        <v>26</v>
      </c>
      <c r="F181" s="2" t="s">
        <v>11</v>
      </c>
      <c r="G181" s="2">
        <v>2</v>
      </c>
      <c r="H181" s="2">
        <v>300</v>
      </c>
      <c r="I181" s="2">
        <f>Table13[[#This Row],[Quantity]]*Table13[[#This Row],[Price per Unit]]</f>
        <v>600</v>
      </c>
      <c r="J181" s="2">
        <v>600</v>
      </c>
    </row>
    <row r="182" spans="1:10" x14ac:dyDescent="0.35">
      <c r="A182" s="2">
        <v>626</v>
      </c>
      <c r="B182" s="3">
        <v>45198</v>
      </c>
      <c r="C182" s="2" t="s">
        <v>639</v>
      </c>
      <c r="D182" s="2" t="s">
        <v>13</v>
      </c>
      <c r="E182" s="2">
        <v>26</v>
      </c>
      <c r="F182" s="2" t="s">
        <v>14</v>
      </c>
      <c r="G182" s="2">
        <v>4</v>
      </c>
      <c r="H182" s="2">
        <v>500</v>
      </c>
      <c r="I182" s="2">
        <f>Table13[[#This Row],[Quantity]]*Table13[[#This Row],[Price per Unit]]</f>
        <v>2000</v>
      </c>
      <c r="J182" s="2">
        <v>2000</v>
      </c>
    </row>
    <row r="183" spans="1:10" x14ac:dyDescent="0.35">
      <c r="A183" s="2">
        <v>632</v>
      </c>
      <c r="B183" s="3">
        <v>45185</v>
      </c>
      <c r="C183" s="2" t="s">
        <v>645</v>
      </c>
      <c r="D183" s="2" t="s">
        <v>13</v>
      </c>
      <c r="E183" s="2">
        <v>26</v>
      </c>
      <c r="F183" s="2" t="s">
        <v>16</v>
      </c>
      <c r="G183" s="2">
        <v>4</v>
      </c>
      <c r="H183" s="2">
        <v>25</v>
      </c>
      <c r="I183" s="2">
        <f>Table13[[#This Row],[Quantity]]*Table13[[#This Row],[Price per Unit]]</f>
        <v>100</v>
      </c>
      <c r="J183" s="2">
        <v>100</v>
      </c>
    </row>
    <row r="184" spans="1:10" x14ac:dyDescent="0.35">
      <c r="A184" s="2">
        <v>707</v>
      </c>
      <c r="B184" s="3">
        <v>45200</v>
      </c>
      <c r="C184" s="2" t="s">
        <v>720</v>
      </c>
      <c r="D184" s="2" t="s">
        <v>13</v>
      </c>
      <c r="E184" s="2">
        <v>26</v>
      </c>
      <c r="F184" s="2" t="s">
        <v>14</v>
      </c>
      <c r="G184" s="2">
        <v>1</v>
      </c>
      <c r="H184" s="2">
        <v>500</v>
      </c>
      <c r="I184" s="2">
        <f>Table13[[#This Row],[Quantity]]*Table13[[#This Row],[Price per Unit]]</f>
        <v>500</v>
      </c>
      <c r="J184" s="2">
        <v>500</v>
      </c>
    </row>
    <row r="185" spans="1:10" x14ac:dyDescent="0.35">
      <c r="A185" s="2">
        <v>710</v>
      </c>
      <c r="B185" s="3">
        <v>45230</v>
      </c>
      <c r="C185" s="2" t="s">
        <v>723</v>
      </c>
      <c r="D185" s="2" t="s">
        <v>13</v>
      </c>
      <c r="E185" s="2">
        <v>26</v>
      </c>
      <c r="F185" s="2" t="s">
        <v>16</v>
      </c>
      <c r="G185" s="2">
        <v>3</v>
      </c>
      <c r="H185" s="2">
        <v>500</v>
      </c>
      <c r="I185" s="2">
        <f>Table13[[#This Row],[Quantity]]*Table13[[#This Row],[Price per Unit]]</f>
        <v>1500</v>
      </c>
      <c r="J185" s="2">
        <v>1500</v>
      </c>
    </row>
    <row r="186" spans="1:10" x14ac:dyDescent="0.35">
      <c r="A186" s="2">
        <v>711</v>
      </c>
      <c r="B186" s="3">
        <v>45215</v>
      </c>
      <c r="C186" s="2" t="s">
        <v>724</v>
      </c>
      <c r="D186" s="2" t="s">
        <v>10</v>
      </c>
      <c r="E186" s="2">
        <v>26</v>
      </c>
      <c r="F186" s="2" t="s">
        <v>16</v>
      </c>
      <c r="G186" s="2">
        <v>3</v>
      </c>
      <c r="H186" s="2">
        <v>500</v>
      </c>
      <c r="I186" s="2">
        <f>Table13[[#This Row],[Quantity]]*Table13[[#This Row],[Price per Unit]]</f>
        <v>1500</v>
      </c>
      <c r="J186" s="2">
        <v>1500</v>
      </c>
    </row>
    <row r="187" spans="1:10" x14ac:dyDescent="0.35">
      <c r="A187" s="2">
        <v>772</v>
      </c>
      <c r="B187" s="3">
        <v>45119</v>
      </c>
      <c r="C187" s="2" t="s">
        <v>785</v>
      </c>
      <c r="D187" s="2" t="s">
        <v>10</v>
      </c>
      <c r="E187" s="2">
        <v>26</v>
      </c>
      <c r="F187" s="2" t="s">
        <v>16</v>
      </c>
      <c r="G187" s="2">
        <v>1</v>
      </c>
      <c r="H187" s="2">
        <v>30</v>
      </c>
      <c r="I187" s="2">
        <f>Table13[[#This Row],[Quantity]]*Table13[[#This Row],[Price per Unit]]</f>
        <v>30</v>
      </c>
      <c r="J187" s="2">
        <v>30</v>
      </c>
    </row>
    <row r="188" spans="1:10" x14ac:dyDescent="0.35">
      <c r="A188" s="2">
        <v>850</v>
      </c>
      <c r="B188" s="3">
        <v>45135</v>
      </c>
      <c r="C188" s="2" t="s">
        <v>863</v>
      </c>
      <c r="D188" s="2" t="s">
        <v>13</v>
      </c>
      <c r="E188" s="2">
        <v>26</v>
      </c>
      <c r="F188" s="2" t="s">
        <v>11</v>
      </c>
      <c r="G188" s="2">
        <v>2</v>
      </c>
      <c r="H188" s="2">
        <v>500</v>
      </c>
      <c r="I188" s="2">
        <f>Table13[[#This Row],[Quantity]]*Table13[[#This Row],[Price per Unit]]</f>
        <v>1000</v>
      </c>
      <c r="J188" s="2">
        <v>1000</v>
      </c>
    </row>
    <row r="189" spans="1:10" x14ac:dyDescent="0.35">
      <c r="A189" s="2">
        <v>884</v>
      </c>
      <c r="B189" s="3">
        <v>45045</v>
      </c>
      <c r="C189" s="2" t="s">
        <v>897</v>
      </c>
      <c r="D189" s="2" t="s">
        <v>13</v>
      </c>
      <c r="E189" s="2">
        <v>26</v>
      </c>
      <c r="F189" s="2" t="s">
        <v>14</v>
      </c>
      <c r="G189" s="2">
        <v>2</v>
      </c>
      <c r="H189" s="2">
        <v>30</v>
      </c>
      <c r="I189" s="2">
        <f>Table13[[#This Row],[Quantity]]*Table13[[#This Row],[Price per Unit]]</f>
        <v>60</v>
      </c>
      <c r="J189" s="2">
        <v>60</v>
      </c>
    </row>
    <row r="190" spans="1:10" x14ac:dyDescent="0.35">
      <c r="A190" s="2">
        <v>899</v>
      </c>
      <c r="B190" s="3">
        <v>45071</v>
      </c>
      <c r="C190" s="2" t="s">
        <v>912</v>
      </c>
      <c r="D190" s="2" t="s">
        <v>10</v>
      </c>
      <c r="E190" s="2">
        <v>26</v>
      </c>
      <c r="F190" s="2" t="s">
        <v>14</v>
      </c>
      <c r="G190" s="2">
        <v>2</v>
      </c>
      <c r="H190" s="2">
        <v>300</v>
      </c>
      <c r="I190" s="2">
        <f>Table13[[#This Row],[Quantity]]*Table13[[#This Row],[Price per Unit]]</f>
        <v>600</v>
      </c>
      <c r="J190" s="2">
        <v>600</v>
      </c>
    </row>
    <row r="191" spans="1:10" x14ac:dyDescent="0.35">
      <c r="A191" s="2">
        <v>909</v>
      </c>
      <c r="B191" s="3">
        <v>45200</v>
      </c>
      <c r="C191" s="2" t="s">
        <v>922</v>
      </c>
      <c r="D191" s="2" t="s">
        <v>10</v>
      </c>
      <c r="E191" s="2">
        <v>26</v>
      </c>
      <c r="F191" s="2" t="s">
        <v>16</v>
      </c>
      <c r="G191" s="2">
        <v>1</v>
      </c>
      <c r="H191" s="2">
        <v>300</v>
      </c>
      <c r="I191" s="2">
        <f>Table13[[#This Row],[Quantity]]*Table13[[#This Row],[Price per Unit]]</f>
        <v>300</v>
      </c>
      <c r="J191" s="2">
        <v>300</v>
      </c>
    </row>
    <row r="192" spans="1:10" x14ac:dyDescent="0.35">
      <c r="A192" s="2">
        <v>915</v>
      </c>
      <c r="B192" s="3">
        <v>45076</v>
      </c>
      <c r="C192" s="2" t="s">
        <v>928</v>
      </c>
      <c r="D192" s="2" t="s">
        <v>13</v>
      </c>
      <c r="E192" s="2">
        <v>26</v>
      </c>
      <c r="F192" s="2" t="s">
        <v>11</v>
      </c>
      <c r="G192" s="2">
        <v>3</v>
      </c>
      <c r="H192" s="2">
        <v>30</v>
      </c>
      <c r="I192" s="2">
        <f>Table13[[#This Row],[Quantity]]*Table13[[#This Row],[Price per Unit]]</f>
        <v>90</v>
      </c>
      <c r="J192" s="2">
        <v>90</v>
      </c>
    </row>
    <row r="193" spans="1:10" x14ac:dyDescent="0.35">
      <c r="A193" s="2">
        <v>17</v>
      </c>
      <c r="B193" s="3">
        <v>45038</v>
      </c>
      <c r="C193" s="2" t="s">
        <v>30</v>
      </c>
      <c r="D193" s="2" t="s">
        <v>13</v>
      </c>
      <c r="E193" s="2">
        <v>27</v>
      </c>
      <c r="F193" s="2" t="s">
        <v>14</v>
      </c>
      <c r="G193" s="2">
        <v>4</v>
      </c>
      <c r="H193" s="2">
        <v>25</v>
      </c>
      <c r="I193" s="2">
        <f>Table13[[#This Row],[Quantity]]*Table13[[#This Row],[Price per Unit]]</f>
        <v>100</v>
      </c>
      <c r="J193" s="2">
        <v>100</v>
      </c>
    </row>
    <row r="194" spans="1:10" x14ac:dyDescent="0.35">
      <c r="A194" s="2">
        <v>50</v>
      </c>
      <c r="B194" s="3">
        <v>45162</v>
      </c>
      <c r="C194" s="2" t="s">
        <v>63</v>
      </c>
      <c r="D194" s="2" t="s">
        <v>13</v>
      </c>
      <c r="E194" s="2">
        <v>27</v>
      </c>
      <c r="F194" s="2" t="s">
        <v>11</v>
      </c>
      <c r="G194" s="2">
        <v>3</v>
      </c>
      <c r="H194" s="2">
        <v>25</v>
      </c>
      <c r="I194" s="2">
        <f>Table13[[#This Row],[Quantity]]*Table13[[#This Row],[Price per Unit]]</f>
        <v>75</v>
      </c>
      <c r="J194" s="2">
        <v>75</v>
      </c>
    </row>
    <row r="195" spans="1:10" x14ac:dyDescent="0.35">
      <c r="A195" s="2">
        <v>51</v>
      </c>
      <c r="B195" s="3">
        <v>45201</v>
      </c>
      <c r="C195" s="2" t="s">
        <v>64</v>
      </c>
      <c r="D195" s="2" t="s">
        <v>10</v>
      </c>
      <c r="E195" s="2">
        <v>27</v>
      </c>
      <c r="F195" s="2" t="s">
        <v>11</v>
      </c>
      <c r="G195" s="2">
        <v>3</v>
      </c>
      <c r="H195" s="2">
        <v>25</v>
      </c>
      <c r="I195" s="2">
        <f>Table13[[#This Row],[Quantity]]*Table13[[#This Row],[Price per Unit]]</f>
        <v>75</v>
      </c>
      <c r="J195" s="2">
        <v>75</v>
      </c>
    </row>
    <row r="196" spans="1:10" x14ac:dyDescent="0.35">
      <c r="A196" s="2">
        <v>108</v>
      </c>
      <c r="B196" s="3">
        <v>45035</v>
      </c>
      <c r="C196" s="2" t="s">
        <v>121</v>
      </c>
      <c r="D196" s="2" t="s">
        <v>13</v>
      </c>
      <c r="E196" s="2">
        <v>27</v>
      </c>
      <c r="F196" s="2" t="s">
        <v>11</v>
      </c>
      <c r="G196" s="2">
        <v>3</v>
      </c>
      <c r="H196" s="2">
        <v>25</v>
      </c>
      <c r="I196" s="2">
        <f>Table13[[#This Row],[Quantity]]*Table13[[#This Row],[Price per Unit]]</f>
        <v>75</v>
      </c>
      <c r="J196" s="2">
        <v>75</v>
      </c>
    </row>
    <row r="197" spans="1:10" x14ac:dyDescent="0.35">
      <c r="A197" s="2">
        <v>110</v>
      </c>
      <c r="B197" s="3">
        <v>45088</v>
      </c>
      <c r="C197" s="2" t="s">
        <v>123</v>
      </c>
      <c r="D197" s="2" t="s">
        <v>10</v>
      </c>
      <c r="E197" s="2">
        <v>27</v>
      </c>
      <c r="F197" s="2" t="s">
        <v>14</v>
      </c>
      <c r="G197" s="2">
        <v>3</v>
      </c>
      <c r="H197" s="2">
        <v>300</v>
      </c>
      <c r="I197" s="2">
        <f>Table13[[#This Row],[Quantity]]*Table13[[#This Row],[Price per Unit]]</f>
        <v>900</v>
      </c>
      <c r="J197" s="2">
        <v>900</v>
      </c>
    </row>
    <row r="198" spans="1:10" x14ac:dyDescent="0.35">
      <c r="A198" s="2">
        <v>200</v>
      </c>
      <c r="B198" s="3">
        <v>45170</v>
      </c>
      <c r="C198" s="2" t="s">
        <v>213</v>
      </c>
      <c r="D198" s="2" t="s">
        <v>10</v>
      </c>
      <c r="E198" s="2">
        <v>27</v>
      </c>
      <c r="F198" s="2" t="s">
        <v>11</v>
      </c>
      <c r="G198" s="2">
        <v>3</v>
      </c>
      <c r="H198" s="2">
        <v>50</v>
      </c>
      <c r="I198" s="2">
        <f>Table13[[#This Row],[Quantity]]*Table13[[#This Row],[Price per Unit]]</f>
        <v>150</v>
      </c>
      <c r="J198" s="2">
        <v>150</v>
      </c>
    </row>
    <row r="199" spans="1:10" x14ac:dyDescent="0.35">
      <c r="A199" s="2">
        <v>213</v>
      </c>
      <c r="B199" s="3">
        <v>45131</v>
      </c>
      <c r="C199" s="2" t="s">
        <v>226</v>
      </c>
      <c r="D199" s="2" t="s">
        <v>10</v>
      </c>
      <c r="E199" s="2">
        <v>27</v>
      </c>
      <c r="F199" s="2" t="s">
        <v>11</v>
      </c>
      <c r="G199" s="2">
        <v>3</v>
      </c>
      <c r="H199" s="2">
        <v>500</v>
      </c>
      <c r="I199" s="2">
        <f>Table13[[#This Row],[Quantity]]*Table13[[#This Row],[Price per Unit]]</f>
        <v>1500</v>
      </c>
      <c r="J199" s="2">
        <v>1500</v>
      </c>
    </row>
    <row r="200" spans="1:10" x14ac:dyDescent="0.35">
      <c r="A200" s="2">
        <v>295</v>
      </c>
      <c r="B200" s="3">
        <v>45135</v>
      </c>
      <c r="C200" s="2" t="s">
        <v>308</v>
      </c>
      <c r="D200" s="2" t="s">
        <v>13</v>
      </c>
      <c r="E200" s="2">
        <v>27</v>
      </c>
      <c r="F200" s="2" t="s">
        <v>11</v>
      </c>
      <c r="G200" s="2">
        <v>3</v>
      </c>
      <c r="H200" s="2">
        <v>300</v>
      </c>
      <c r="I200" s="2">
        <f>Table13[[#This Row],[Quantity]]*Table13[[#This Row],[Price per Unit]]</f>
        <v>900</v>
      </c>
      <c r="J200" s="2">
        <v>900</v>
      </c>
    </row>
    <row r="201" spans="1:10" x14ac:dyDescent="0.35">
      <c r="A201" s="2">
        <v>298</v>
      </c>
      <c r="B201" s="3">
        <v>45036</v>
      </c>
      <c r="C201" s="2" t="s">
        <v>311</v>
      </c>
      <c r="D201" s="2" t="s">
        <v>10</v>
      </c>
      <c r="E201" s="2">
        <v>27</v>
      </c>
      <c r="F201" s="2" t="s">
        <v>11</v>
      </c>
      <c r="G201" s="2">
        <v>4</v>
      </c>
      <c r="H201" s="2">
        <v>300</v>
      </c>
      <c r="I201" s="2">
        <f>Table13[[#This Row],[Quantity]]*Table13[[#This Row],[Price per Unit]]</f>
        <v>1200</v>
      </c>
      <c r="J201" s="2">
        <v>1200</v>
      </c>
    </row>
    <row r="202" spans="1:10" x14ac:dyDescent="0.35">
      <c r="A202" s="2">
        <v>392</v>
      </c>
      <c r="B202" s="3">
        <v>45268</v>
      </c>
      <c r="C202" s="2" t="s">
        <v>405</v>
      </c>
      <c r="D202" s="2" t="s">
        <v>10</v>
      </c>
      <c r="E202" s="2">
        <v>27</v>
      </c>
      <c r="F202" s="2" t="s">
        <v>14</v>
      </c>
      <c r="G202" s="2">
        <v>2</v>
      </c>
      <c r="H202" s="2">
        <v>300</v>
      </c>
      <c r="I202" s="2">
        <f>Table13[[#This Row],[Quantity]]*Table13[[#This Row],[Price per Unit]]</f>
        <v>600</v>
      </c>
      <c r="J202" s="2">
        <v>600</v>
      </c>
    </row>
    <row r="203" spans="1:10" x14ac:dyDescent="0.35">
      <c r="A203" s="2">
        <v>394</v>
      </c>
      <c r="B203" s="3">
        <v>45080</v>
      </c>
      <c r="C203" s="2" t="s">
        <v>407</v>
      </c>
      <c r="D203" s="2" t="s">
        <v>13</v>
      </c>
      <c r="E203" s="2">
        <v>27</v>
      </c>
      <c r="F203" s="2" t="s">
        <v>14</v>
      </c>
      <c r="G203" s="2">
        <v>1</v>
      </c>
      <c r="H203" s="2">
        <v>500</v>
      </c>
      <c r="I203" s="2">
        <f>Table13[[#This Row],[Quantity]]*Table13[[#This Row],[Price per Unit]]</f>
        <v>500</v>
      </c>
      <c r="J203" s="2">
        <v>500</v>
      </c>
    </row>
    <row r="204" spans="1:10" x14ac:dyDescent="0.35">
      <c r="A204" s="2">
        <v>423</v>
      </c>
      <c r="B204" s="3">
        <v>44993</v>
      </c>
      <c r="C204" s="2" t="s">
        <v>436</v>
      </c>
      <c r="D204" s="2" t="s">
        <v>13</v>
      </c>
      <c r="E204" s="2">
        <v>27</v>
      </c>
      <c r="F204" s="2" t="s">
        <v>14</v>
      </c>
      <c r="G204" s="2">
        <v>1</v>
      </c>
      <c r="H204" s="2">
        <v>25</v>
      </c>
      <c r="I204" s="2">
        <f>Table13[[#This Row],[Quantity]]*Table13[[#This Row],[Price per Unit]]</f>
        <v>25</v>
      </c>
      <c r="J204" s="2">
        <v>25</v>
      </c>
    </row>
    <row r="205" spans="1:10" x14ac:dyDescent="0.35">
      <c r="A205" s="2">
        <v>476</v>
      </c>
      <c r="B205" s="3">
        <v>45167</v>
      </c>
      <c r="C205" s="2" t="s">
        <v>489</v>
      </c>
      <c r="D205" s="2" t="s">
        <v>13</v>
      </c>
      <c r="E205" s="2">
        <v>27</v>
      </c>
      <c r="F205" s="2" t="s">
        <v>14</v>
      </c>
      <c r="G205" s="2">
        <v>4</v>
      </c>
      <c r="H205" s="2">
        <v>500</v>
      </c>
      <c r="I205" s="2">
        <f>Table13[[#This Row],[Quantity]]*Table13[[#This Row],[Price per Unit]]</f>
        <v>2000</v>
      </c>
      <c r="J205" s="2">
        <v>2000</v>
      </c>
    </row>
    <row r="206" spans="1:10" x14ac:dyDescent="0.35">
      <c r="A206" s="2">
        <v>544</v>
      </c>
      <c r="B206" s="3">
        <v>45283</v>
      </c>
      <c r="C206" s="2" t="s">
        <v>557</v>
      </c>
      <c r="D206" s="2" t="s">
        <v>13</v>
      </c>
      <c r="E206" s="2">
        <v>27</v>
      </c>
      <c r="F206" s="2" t="s">
        <v>16</v>
      </c>
      <c r="G206" s="2">
        <v>1</v>
      </c>
      <c r="H206" s="2">
        <v>25</v>
      </c>
      <c r="I206" s="2">
        <f>Table13[[#This Row],[Quantity]]*Table13[[#This Row],[Price per Unit]]</f>
        <v>25</v>
      </c>
      <c r="J206" s="2">
        <v>25</v>
      </c>
    </row>
    <row r="207" spans="1:10" x14ac:dyDescent="0.35">
      <c r="A207" s="2">
        <v>545</v>
      </c>
      <c r="B207" s="3">
        <v>45078</v>
      </c>
      <c r="C207" s="2" t="s">
        <v>558</v>
      </c>
      <c r="D207" s="2" t="s">
        <v>10</v>
      </c>
      <c r="E207" s="2">
        <v>27</v>
      </c>
      <c r="F207" s="2" t="s">
        <v>14</v>
      </c>
      <c r="G207" s="2">
        <v>2</v>
      </c>
      <c r="H207" s="2">
        <v>25</v>
      </c>
      <c r="I207" s="2">
        <f>Table13[[#This Row],[Quantity]]*Table13[[#This Row],[Price per Unit]]</f>
        <v>50</v>
      </c>
      <c r="J207" s="2">
        <v>50</v>
      </c>
    </row>
    <row r="208" spans="1:10" x14ac:dyDescent="0.35">
      <c r="A208" s="2">
        <v>584</v>
      </c>
      <c r="B208" s="3">
        <v>44974</v>
      </c>
      <c r="C208" s="2" t="s">
        <v>597</v>
      </c>
      <c r="D208" s="2" t="s">
        <v>13</v>
      </c>
      <c r="E208" s="2">
        <v>27</v>
      </c>
      <c r="F208" s="2" t="s">
        <v>11</v>
      </c>
      <c r="G208" s="2">
        <v>4</v>
      </c>
      <c r="H208" s="2">
        <v>50</v>
      </c>
      <c r="I208" s="2">
        <f>Table13[[#This Row],[Quantity]]*Table13[[#This Row],[Price per Unit]]</f>
        <v>200</v>
      </c>
      <c r="J208" s="2">
        <v>200</v>
      </c>
    </row>
    <row r="209" spans="1:10" x14ac:dyDescent="0.35">
      <c r="A209" s="2">
        <v>618</v>
      </c>
      <c r="B209" s="3">
        <v>44952</v>
      </c>
      <c r="C209" s="2" t="s">
        <v>631</v>
      </c>
      <c r="D209" s="2" t="s">
        <v>13</v>
      </c>
      <c r="E209" s="2">
        <v>27</v>
      </c>
      <c r="F209" s="2" t="s">
        <v>11</v>
      </c>
      <c r="G209" s="2">
        <v>1</v>
      </c>
      <c r="H209" s="2">
        <v>50</v>
      </c>
      <c r="I209" s="2">
        <f>Table13[[#This Row],[Quantity]]*Table13[[#This Row],[Price per Unit]]</f>
        <v>50</v>
      </c>
      <c r="J209" s="2">
        <v>50</v>
      </c>
    </row>
    <row r="210" spans="1:10" x14ac:dyDescent="0.35">
      <c r="A210" s="2">
        <v>670</v>
      </c>
      <c r="B210" s="3">
        <v>45204</v>
      </c>
      <c r="C210" s="2" t="s">
        <v>683</v>
      </c>
      <c r="D210" s="2" t="s">
        <v>10</v>
      </c>
      <c r="E210" s="2">
        <v>27</v>
      </c>
      <c r="F210" s="2" t="s">
        <v>11</v>
      </c>
      <c r="G210" s="2">
        <v>1</v>
      </c>
      <c r="H210" s="2">
        <v>30</v>
      </c>
      <c r="I210" s="2">
        <f>Table13[[#This Row],[Quantity]]*Table13[[#This Row],[Price per Unit]]</f>
        <v>30</v>
      </c>
      <c r="J210" s="2">
        <v>30</v>
      </c>
    </row>
    <row r="211" spans="1:10" x14ac:dyDescent="0.35">
      <c r="A211" s="2">
        <v>734</v>
      </c>
      <c r="B211" s="3">
        <v>44936</v>
      </c>
      <c r="C211" s="2" t="s">
        <v>747</v>
      </c>
      <c r="D211" s="2" t="s">
        <v>13</v>
      </c>
      <c r="E211" s="2">
        <v>27</v>
      </c>
      <c r="F211" s="2" t="s">
        <v>14</v>
      </c>
      <c r="G211" s="2">
        <v>1</v>
      </c>
      <c r="H211" s="2">
        <v>30</v>
      </c>
      <c r="I211" s="2">
        <f>Table13[[#This Row],[Quantity]]*Table13[[#This Row],[Price per Unit]]</f>
        <v>30</v>
      </c>
      <c r="J211" s="2">
        <v>30</v>
      </c>
    </row>
    <row r="212" spans="1:10" x14ac:dyDescent="0.35">
      <c r="A212" s="2">
        <v>760</v>
      </c>
      <c r="B212" s="3">
        <v>45012</v>
      </c>
      <c r="C212" s="2" t="s">
        <v>773</v>
      </c>
      <c r="D212" s="2" t="s">
        <v>10</v>
      </c>
      <c r="E212" s="2">
        <v>27</v>
      </c>
      <c r="F212" s="2" t="s">
        <v>11</v>
      </c>
      <c r="G212" s="2">
        <v>1</v>
      </c>
      <c r="H212" s="2">
        <v>500</v>
      </c>
      <c r="I212" s="2">
        <f>Table13[[#This Row],[Quantity]]*Table13[[#This Row],[Price per Unit]]</f>
        <v>500</v>
      </c>
      <c r="J212" s="2">
        <v>500</v>
      </c>
    </row>
    <row r="213" spans="1:10" x14ac:dyDescent="0.35">
      <c r="A213" s="2">
        <v>831</v>
      </c>
      <c r="B213" s="3">
        <v>44941</v>
      </c>
      <c r="C213" s="2" t="s">
        <v>844</v>
      </c>
      <c r="D213" s="2" t="s">
        <v>10</v>
      </c>
      <c r="E213" s="2">
        <v>27</v>
      </c>
      <c r="F213" s="2" t="s">
        <v>16</v>
      </c>
      <c r="G213" s="2">
        <v>4</v>
      </c>
      <c r="H213" s="2">
        <v>25</v>
      </c>
      <c r="I213" s="2">
        <f>Table13[[#This Row],[Quantity]]*Table13[[#This Row],[Price per Unit]]</f>
        <v>100</v>
      </c>
      <c r="J213" s="2">
        <v>100</v>
      </c>
    </row>
    <row r="214" spans="1:10" x14ac:dyDescent="0.35">
      <c r="A214" s="2">
        <v>873</v>
      </c>
      <c r="B214" s="3">
        <v>45198</v>
      </c>
      <c r="C214" s="2" t="s">
        <v>886</v>
      </c>
      <c r="D214" s="2" t="s">
        <v>13</v>
      </c>
      <c r="E214" s="2">
        <v>27</v>
      </c>
      <c r="F214" s="2" t="s">
        <v>16</v>
      </c>
      <c r="G214" s="2">
        <v>4</v>
      </c>
      <c r="H214" s="2">
        <v>25</v>
      </c>
      <c r="I214" s="2">
        <f>Table13[[#This Row],[Quantity]]*Table13[[#This Row],[Price per Unit]]</f>
        <v>100</v>
      </c>
      <c r="J214" s="2">
        <v>100</v>
      </c>
    </row>
    <row r="215" spans="1:10" x14ac:dyDescent="0.35">
      <c r="A215" s="2">
        <v>971</v>
      </c>
      <c r="B215" s="3">
        <v>45265</v>
      </c>
      <c r="C215" s="2" t="s">
        <v>984</v>
      </c>
      <c r="D215" s="2" t="s">
        <v>13</v>
      </c>
      <c r="E215" s="2">
        <v>27</v>
      </c>
      <c r="F215" s="2" t="s">
        <v>16</v>
      </c>
      <c r="G215" s="2">
        <v>4</v>
      </c>
      <c r="H215" s="2">
        <v>50</v>
      </c>
      <c r="I215" s="2">
        <f>Table13[[#This Row],[Quantity]]*Table13[[#This Row],[Price per Unit]]</f>
        <v>200</v>
      </c>
      <c r="J215" s="2">
        <v>200</v>
      </c>
    </row>
    <row r="216" spans="1:10" x14ac:dyDescent="0.35">
      <c r="A216" s="2">
        <v>26</v>
      </c>
      <c r="B216" s="3">
        <v>45206</v>
      </c>
      <c r="C216" s="2" t="s">
        <v>39</v>
      </c>
      <c r="D216" s="2" t="s">
        <v>13</v>
      </c>
      <c r="E216" s="2">
        <v>28</v>
      </c>
      <c r="F216" s="2" t="s">
        <v>16</v>
      </c>
      <c r="G216" s="2">
        <v>2</v>
      </c>
      <c r="H216" s="2">
        <v>500</v>
      </c>
      <c r="I216" s="2">
        <f>Table13[[#This Row],[Quantity]]*Table13[[#This Row],[Price per Unit]]</f>
        <v>1000</v>
      </c>
      <c r="J216" s="2">
        <v>1000</v>
      </c>
    </row>
    <row r="217" spans="1:10" x14ac:dyDescent="0.35">
      <c r="A217" s="2">
        <v>87</v>
      </c>
      <c r="B217" s="3">
        <v>45252</v>
      </c>
      <c r="C217" s="2" t="s">
        <v>100</v>
      </c>
      <c r="D217" s="2" t="s">
        <v>13</v>
      </c>
      <c r="E217" s="2">
        <v>28</v>
      </c>
      <c r="F217" s="2" t="s">
        <v>11</v>
      </c>
      <c r="G217" s="2">
        <v>2</v>
      </c>
      <c r="H217" s="2">
        <v>50</v>
      </c>
      <c r="I217" s="2">
        <f>Table13[[#This Row],[Quantity]]*Table13[[#This Row],[Price per Unit]]</f>
        <v>100</v>
      </c>
      <c r="J217" s="2">
        <v>100</v>
      </c>
    </row>
    <row r="218" spans="1:10" x14ac:dyDescent="0.35">
      <c r="A218" s="2">
        <v>121</v>
      </c>
      <c r="B218" s="3">
        <v>45214</v>
      </c>
      <c r="C218" s="2" t="s">
        <v>134</v>
      </c>
      <c r="D218" s="2" t="s">
        <v>13</v>
      </c>
      <c r="E218" s="2">
        <v>28</v>
      </c>
      <c r="F218" s="2" t="s">
        <v>16</v>
      </c>
      <c r="G218" s="2">
        <v>4</v>
      </c>
      <c r="H218" s="2">
        <v>50</v>
      </c>
      <c r="I218" s="2">
        <f>Table13[[#This Row],[Quantity]]*Table13[[#This Row],[Price per Unit]]</f>
        <v>200</v>
      </c>
      <c r="J218" s="2">
        <v>200</v>
      </c>
    </row>
    <row r="219" spans="1:10" x14ac:dyDescent="0.35">
      <c r="A219" s="2">
        <v>126</v>
      </c>
      <c r="B219" s="3">
        <v>45225</v>
      </c>
      <c r="C219" s="2" t="s">
        <v>139</v>
      </c>
      <c r="D219" s="2" t="s">
        <v>13</v>
      </c>
      <c r="E219" s="2">
        <v>28</v>
      </c>
      <c r="F219" s="2" t="s">
        <v>14</v>
      </c>
      <c r="G219" s="2">
        <v>3</v>
      </c>
      <c r="H219" s="2">
        <v>30</v>
      </c>
      <c r="I219" s="2">
        <f>Table13[[#This Row],[Quantity]]*Table13[[#This Row],[Price per Unit]]</f>
        <v>90</v>
      </c>
      <c r="J219" s="2">
        <v>90</v>
      </c>
    </row>
    <row r="220" spans="1:10" x14ac:dyDescent="0.35">
      <c r="A220" s="2">
        <v>244</v>
      </c>
      <c r="B220" s="3">
        <v>45269</v>
      </c>
      <c r="C220" s="2" t="s">
        <v>257</v>
      </c>
      <c r="D220" s="2" t="s">
        <v>10</v>
      </c>
      <c r="E220" s="2">
        <v>28</v>
      </c>
      <c r="F220" s="2" t="s">
        <v>11</v>
      </c>
      <c r="G220" s="2">
        <v>2</v>
      </c>
      <c r="H220" s="2">
        <v>50</v>
      </c>
      <c r="I220" s="2">
        <f>Table13[[#This Row],[Quantity]]*Table13[[#This Row],[Price per Unit]]</f>
        <v>100</v>
      </c>
      <c r="J220" s="2">
        <v>100</v>
      </c>
    </row>
    <row r="221" spans="1:10" x14ac:dyDescent="0.35">
      <c r="A221" s="2">
        <v>260</v>
      </c>
      <c r="B221" s="3">
        <v>45108</v>
      </c>
      <c r="C221" s="2" t="s">
        <v>273</v>
      </c>
      <c r="D221" s="2" t="s">
        <v>10</v>
      </c>
      <c r="E221" s="2">
        <v>28</v>
      </c>
      <c r="F221" s="2" t="s">
        <v>11</v>
      </c>
      <c r="G221" s="2">
        <v>2</v>
      </c>
      <c r="H221" s="2">
        <v>30</v>
      </c>
      <c r="I221" s="2">
        <f>Table13[[#This Row],[Quantity]]*Table13[[#This Row],[Price per Unit]]</f>
        <v>60</v>
      </c>
      <c r="J221" s="2">
        <v>60</v>
      </c>
    </row>
    <row r="222" spans="1:10" x14ac:dyDescent="0.35">
      <c r="A222" s="2">
        <v>268</v>
      </c>
      <c r="B222" s="3">
        <v>44977</v>
      </c>
      <c r="C222" s="2" t="s">
        <v>281</v>
      </c>
      <c r="D222" s="2" t="s">
        <v>13</v>
      </c>
      <c r="E222" s="2">
        <v>28</v>
      </c>
      <c r="F222" s="2" t="s">
        <v>16</v>
      </c>
      <c r="G222" s="2">
        <v>1</v>
      </c>
      <c r="H222" s="2">
        <v>30</v>
      </c>
      <c r="I222" s="2">
        <f>Table13[[#This Row],[Quantity]]*Table13[[#This Row],[Price per Unit]]</f>
        <v>30</v>
      </c>
      <c r="J222" s="2">
        <v>30</v>
      </c>
    </row>
    <row r="223" spans="1:10" x14ac:dyDescent="0.35">
      <c r="A223" s="2">
        <v>288</v>
      </c>
      <c r="B223" s="3">
        <v>44952</v>
      </c>
      <c r="C223" s="2" t="s">
        <v>301</v>
      </c>
      <c r="D223" s="2" t="s">
        <v>10</v>
      </c>
      <c r="E223" s="2">
        <v>28</v>
      </c>
      <c r="F223" s="2" t="s">
        <v>14</v>
      </c>
      <c r="G223" s="2">
        <v>4</v>
      </c>
      <c r="H223" s="2">
        <v>30</v>
      </c>
      <c r="I223" s="2">
        <f>Table13[[#This Row],[Quantity]]*Table13[[#This Row],[Price per Unit]]</f>
        <v>120</v>
      </c>
      <c r="J223" s="2">
        <v>120</v>
      </c>
    </row>
    <row r="224" spans="1:10" x14ac:dyDescent="0.35">
      <c r="A224" s="2">
        <v>310</v>
      </c>
      <c r="B224" s="3">
        <v>45211</v>
      </c>
      <c r="C224" s="2" t="s">
        <v>323</v>
      </c>
      <c r="D224" s="2" t="s">
        <v>13</v>
      </c>
      <c r="E224" s="2">
        <v>28</v>
      </c>
      <c r="F224" s="2" t="s">
        <v>11</v>
      </c>
      <c r="G224" s="2">
        <v>1</v>
      </c>
      <c r="H224" s="2">
        <v>25</v>
      </c>
      <c r="I224" s="2">
        <f>Table13[[#This Row],[Quantity]]*Table13[[#This Row],[Price per Unit]]</f>
        <v>25</v>
      </c>
      <c r="J224" s="2">
        <v>25</v>
      </c>
    </row>
    <row r="225" spans="1:10" x14ac:dyDescent="0.35">
      <c r="A225" s="2">
        <v>320</v>
      </c>
      <c r="B225" s="3">
        <v>44958</v>
      </c>
      <c r="C225" s="2" t="s">
        <v>333</v>
      </c>
      <c r="D225" s="2" t="s">
        <v>13</v>
      </c>
      <c r="E225" s="2">
        <v>28</v>
      </c>
      <c r="F225" s="2" t="s">
        <v>16</v>
      </c>
      <c r="G225" s="2">
        <v>4</v>
      </c>
      <c r="H225" s="2">
        <v>300</v>
      </c>
      <c r="I225" s="2">
        <f>Table13[[#This Row],[Quantity]]*Table13[[#This Row],[Price per Unit]]</f>
        <v>1200</v>
      </c>
      <c r="J225" s="2">
        <v>1200</v>
      </c>
    </row>
    <row r="226" spans="1:10" x14ac:dyDescent="0.35">
      <c r="A226" s="2">
        <v>331</v>
      </c>
      <c r="B226" s="3">
        <v>44968</v>
      </c>
      <c r="C226" s="2" t="s">
        <v>344</v>
      </c>
      <c r="D226" s="2" t="s">
        <v>10</v>
      </c>
      <c r="E226" s="2">
        <v>28</v>
      </c>
      <c r="F226" s="2" t="s">
        <v>16</v>
      </c>
      <c r="G226" s="2">
        <v>3</v>
      </c>
      <c r="H226" s="2">
        <v>30</v>
      </c>
      <c r="I226" s="2">
        <f>Table13[[#This Row],[Quantity]]*Table13[[#This Row],[Price per Unit]]</f>
        <v>90</v>
      </c>
      <c r="J226" s="2">
        <v>90</v>
      </c>
    </row>
    <row r="227" spans="1:10" x14ac:dyDescent="0.35">
      <c r="A227" s="2">
        <v>422</v>
      </c>
      <c r="B227" s="3">
        <v>45097</v>
      </c>
      <c r="C227" s="2" t="s">
        <v>435</v>
      </c>
      <c r="D227" s="2" t="s">
        <v>13</v>
      </c>
      <c r="E227" s="2">
        <v>28</v>
      </c>
      <c r="F227" s="2" t="s">
        <v>14</v>
      </c>
      <c r="G227" s="2">
        <v>3</v>
      </c>
      <c r="H227" s="2">
        <v>30</v>
      </c>
      <c r="I227" s="2">
        <f>Table13[[#This Row],[Quantity]]*Table13[[#This Row],[Price per Unit]]</f>
        <v>90</v>
      </c>
      <c r="J227" s="2">
        <v>90</v>
      </c>
    </row>
    <row r="228" spans="1:10" x14ac:dyDescent="0.35">
      <c r="A228" s="2">
        <v>459</v>
      </c>
      <c r="B228" s="3">
        <v>45006</v>
      </c>
      <c r="C228" s="2" t="s">
        <v>472</v>
      </c>
      <c r="D228" s="2" t="s">
        <v>10</v>
      </c>
      <c r="E228" s="2">
        <v>28</v>
      </c>
      <c r="F228" s="2" t="s">
        <v>14</v>
      </c>
      <c r="G228" s="2">
        <v>4</v>
      </c>
      <c r="H228" s="2">
        <v>300</v>
      </c>
      <c r="I228" s="2">
        <f>Table13[[#This Row],[Quantity]]*Table13[[#This Row],[Price per Unit]]</f>
        <v>1200</v>
      </c>
      <c r="J228" s="2">
        <v>1200</v>
      </c>
    </row>
    <row r="229" spans="1:10" x14ac:dyDescent="0.35">
      <c r="A229" s="2">
        <v>482</v>
      </c>
      <c r="B229" s="3">
        <v>45043</v>
      </c>
      <c r="C229" s="2" t="s">
        <v>495</v>
      </c>
      <c r="D229" s="2" t="s">
        <v>13</v>
      </c>
      <c r="E229" s="2">
        <v>28</v>
      </c>
      <c r="F229" s="2" t="s">
        <v>14</v>
      </c>
      <c r="G229" s="2">
        <v>4</v>
      </c>
      <c r="H229" s="2">
        <v>300</v>
      </c>
      <c r="I229" s="2">
        <f>Table13[[#This Row],[Quantity]]*Table13[[#This Row],[Price per Unit]]</f>
        <v>1200</v>
      </c>
      <c r="J229" s="2">
        <v>1200</v>
      </c>
    </row>
    <row r="230" spans="1:10" x14ac:dyDescent="0.35">
      <c r="A230" s="2">
        <v>599</v>
      </c>
      <c r="B230" s="3">
        <v>45249</v>
      </c>
      <c r="C230" s="2" t="s">
        <v>612</v>
      </c>
      <c r="D230" s="2" t="s">
        <v>13</v>
      </c>
      <c r="E230" s="2">
        <v>28</v>
      </c>
      <c r="F230" s="2" t="s">
        <v>11</v>
      </c>
      <c r="G230" s="2">
        <v>2</v>
      </c>
      <c r="H230" s="2">
        <v>50</v>
      </c>
      <c r="I230" s="2">
        <f>Table13[[#This Row],[Quantity]]*Table13[[#This Row],[Price per Unit]]</f>
        <v>100</v>
      </c>
      <c r="J230" s="2">
        <v>100</v>
      </c>
    </row>
    <row r="231" spans="1:10" x14ac:dyDescent="0.35">
      <c r="A231" s="2">
        <v>643</v>
      </c>
      <c r="B231" s="3">
        <v>45193</v>
      </c>
      <c r="C231" s="2" t="s">
        <v>656</v>
      </c>
      <c r="D231" s="2" t="s">
        <v>13</v>
      </c>
      <c r="E231" s="2">
        <v>28</v>
      </c>
      <c r="F231" s="2" t="s">
        <v>16</v>
      </c>
      <c r="G231" s="2">
        <v>3</v>
      </c>
      <c r="H231" s="2">
        <v>30</v>
      </c>
      <c r="I231" s="2">
        <f>Table13[[#This Row],[Quantity]]*Table13[[#This Row],[Price per Unit]]</f>
        <v>90</v>
      </c>
      <c r="J231" s="2">
        <v>90</v>
      </c>
    </row>
    <row r="232" spans="1:10" x14ac:dyDescent="0.35">
      <c r="A232" s="2">
        <v>684</v>
      </c>
      <c r="B232" s="3">
        <v>45107</v>
      </c>
      <c r="C232" s="2" t="s">
        <v>697</v>
      </c>
      <c r="D232" s="2" t="s">
        <v>13</v>
      </c>
      <c r="E232" s="2">
        <v>28</v>
      </c>
      <c r="F232" s="2" t="s">
        <v>14</v>
      </c>
      <c r="G232" s="2">
        <v>2</v>
      </c>
      <c r="H232" s="2">
        <v>500</v>
      </c>
      <c r="I232" s="2">
        <f>Table13[[#This Row],[Quantity]]*Table13[[#This Row],[Price per Unit]]</f>
        <v>1000</v>
      </c>
      <c r="J232" s="2">
        <v>1000</v>
      </c>
    </row>
    <row r="233" spans="1:10" x14ac:dyDescent="0.35">
      <c r="A233" s="2">
        <v>686</v>
      </c>
      <c r="B233" s="3">
        <v>45126</v>
      </c>
      <c r="C233" s="2" t="s">
        <v>699</v>
      </c>
      <c r="D233" s="2" t="s">
        <v>13</v>
      </c>
      <c r="E233" s="2">
        <v>28</v>
      </c>
      <c r="F233" s="2" t="s">
        <v>16</v>
      </c>
      <c r="G233" s="2">
        <v>4</v>
      </c>
      <c r="H233" s="2">
        <v>50</v>
      </c>
      <c r="I233" s="2">
        <f>Table13[[#This Row],[Quantity]]*Table13[[#This Row],[Price per Unit]]</f>
        <v>200</v>
      </c>
      <c r="J233" s="2">
        <v>200</v>
      </c>
    </row>
    <row r="234" spans="1:10" x14ac:dyDescent="0.35">
      <c r="A234" s="2">
        <v>862</v>
      </c>
      <c r="B234" s="3">
        <v>45077</v>
      </c>
      <c r="C234" s="2" t="s">
        <v>875</v>
      </c>
      <c r="D234" s="2" t="s">
        <v>10</v>
      </c>
      <c r="E234" s="2">
        <v>28</v>
      </c>
      <c r="F234" s="2" t="s">
        <v>16</v>
      </c>
      <c r="G234" s="2">
        <v>4</v>
      </c>
      <c r="H234" s="2">
        <v>300</v>
      </c>
      <c r="I234" s="2">
        <f>Table13[[#This Row],[Quantity]]*Table13[[#This Row],[Price per Unit]]</f>
        <v>1200</v>
      </c>
      <c r="J234" s="2">
        <v>1200</v>
      </c>
    </row>
    <row r="235" spans="1:10" x14ac:dyDescent="0.35">
      <c r="A235" s="2">
        <v>904</v>
      </c>
      <c r="B235" s="3">
        <v>45111</v>
      </c>
      <c r="C235" s="2" t="s">
        <v>917</v>
      </c>
      <c r="D235" s="2" t="s">
        <v>10</v>
      </c>
      <c r="E235" s="2">
        <v>28</v>
      </c>
      <c r="F235" s="2" t="s">
        <v>14</v>
      </c>
      <c r="G235" s="2">
        <v>1</v>
      </c>
      <c r="H235" s="2">
        <v>500</v>
      </c>
      <c r="I235" s="2">
        <f>Table13[[#This Row],[Quantity]]*Table13[[#This Row],[Price per Unit]]</f>
        <v>500</v>
      </c>
      <c r="J235" s="2">
        <v>500</v>
      </c>
    </row>
    <row r="236" spans="1:10" x14ac:dyDescent="0.35">
      <c r="A236" s="2">
        <v>920</v>
      </c>
      <c r="B236" s="3">
        <v>44979</v>
      </c>
      <c r="C236" s="2" t="s">
        <v>933</v>
      </c>
      <c r="D236" s="2" t="s">
        <v>13</v>
      </c>
      <c r="E236" s="2">
        <v>28</v>
      </c>
      <c r="F236" s="2" t="s">
        <v>11</v>
      </c>
      <c r="G236" s="2">
        <v>3</v>
      </c>
      <c r="H236" s="2">
        <v>25</v>
      </c>
      <c r="I236" s="2">
        <f>Table13[[#This Row],[Quantity]]*Table13[[#This Row],[Price per Unit]]</f>
        <v>75</v>
      </c>
      <c r="J236" s="2">
        <v>75</v>
      </c>
    </row>
    <row r="237" spans="1:10" x14ac:dyDescent="0.35">
      <c r="A237" s="2">
        <v>73</v>
      </c>
      <c r="B237" s="3">
        <v>45159</v>
      </c>
      <c r="C237" s="2" t="s">
        <v>86</v>
      </c>
      <c r="D237" s="2" t="s">
        <v>10</v>
      </c>
      <c r="E237" s="2">
        <v>29</v>
      </c>
      <c r="F237" s="2" t="s">
        <v>16</v>
      </c>
      <c r="G237" s="2">
        <v>3</v>
      </c>
      <c r="H237" s="2">
        <v>30</v>
      </c>
      <c r="I237" s="2">
        <f>Table13[[#This Row],[Quantity]]*Table13[[#This Row],[Price per Unit]]</f>
        <v>90</v>
      </c>
      <c r="J237" s="2">
        <v>90</v>
      </c>
    </row>
    <row r="238" spans="1:10" x14ac:dyDescent="0.35">
      <c r="A238" s="2">
        <v>151</v>
      </c>
      <c r="B238" s="3">
        <v>45275</v>
      </c>
      <c r="C238" s="2" t="s">
        <v>164</v>
      </c>
      <c r="D238" s="2" t="s">
        <v>10</v>
      </c>
      <c r="E238" s="2">
        <v>29</v>
      </c>
      <c r="F238" s="2" t="s">
        <v>14</v>
      </c>
      <c r="G238" s="2">
        <v>1</v>
      </c>
      <c r="H238" s="2">
        <v>50</v>
      </c>
      <c r="I238" s="2">
        <f>Table13[[#This Row],[Quantity]]*Table13[[#This Row],[Price per Unit]]</f>
        <v>50</v>
      </c>
      <c r="J238" s="2">
        <v>50</v>
      </c>
    </row>
    <row r="239" spans="1:10" x14ac:dyDescent="0.35">
      <c r="A239" s="2">
        <v>281</v>
      </c>
      <c r="B239" s="3">
        <v>45069</v>
      </c>
      <c r="C239" s="2" t="s">
        <v>294</v>
      </c>
      <c r="D239" s="2" t="s">
        <v>13</v>
      </c>
      <c r="E239" s="2">
        <v>29</v>
      </c>
      <c r="F239" s="2" t="s">
        <v>11</v>
      </c>
      <c r="G239" s="2">
        <v>4</v>
      </c>
      <c r="H239" s="2">
        <v>500</v>
      </c>
      <c r="I239" s="2">
        <f>Table13[[#This Row],[Quantity]]*Table13[[#This Row],[Price per Unit]]</f>
        <v>2000</v>
      </c>
      <c r="J239" s="2">
        <v>2000</v>
      </c>
    </row>
    <row r="240" spans="1:10" x14ac:dyDescent="0.35">
      <c r="A240" s="2">
        <v>323</v>
      </c>
      <c r="B240" s="3">
        <v>44952</v>
      </c>
      <c r="C240" s="2" t="s">
        <v>336</v>
      </c>
      <c r="D240" s="2" t="s">
        <v>13</v>
      </c>
      <c r="E240" s="2">
        <v>29</v>
      </c>
      <c r="F240" s="2" t="s">
        <v>11</v>
      </c>
      <c r="G240" s="2">
        <v>3</v>
      </c>
      <c r="H240" s="2">
        <v>300</v>
      </c>
      <c r="I240" s="2">
        <f>Table13[[#This Row],[Quantity]]*Table13[[#This Row],[Price per Unit]]</f>
        <v>900</v>
      </c>
      <c r="J240" s="2">
        <v>900</v>
      </c>
    </row>
    <row r="241" spans="1:10" x14ac:dyDescent="0.35">
      <c r="A241" s="2">
        <v>410</v>
      </c>
      <c r="B241" s="3">
        <v>45251</v>
      </c>
      <c r="C241" s="2" t="s">
        <v>423</v>
      </c>
      <c r="D241" s="2" t="s">
        <v>13</v>
      </c>
      <c r="E241" s="2">
        <v>29</v>
      </c>
      <c r="F241" s="2" t="s">
        <v>14</v>
      </c>
      <c r="G241" s="2">
        <v>2</v>
      </c>
      <c r="H241" s="2">
        <v>50</v>
      </c>
      <c r="I241" s="2">
        <f>Table13[[#This Row],[Quantity]]*Table13[[#This Row],[Price per Unit]]</f>
        <v>100</v>
      </c>
      <c r="J241" s="2">
        <v>100</v>
      </c>
    </row>
    <row r="242" spans="1:10" x14ac:dyDescent="0.35">
      <c r="A242" s="2">
        <v>433</v>
      </c>
      <c r="B242" s="3">
        <v>44984</v>
      </c>
      <c r="C242" s="2" t="s">
        <v>446</v>
      </c>
      <c r="D242" s="2" t="s">
        <v>10</v>
      </c>
      <c r="E242" s="2">
        <v>29</v>
      </c>
      <c r="F242" s="2" t="s">
        <v>11</v>
      </c>
      <c r="G242" s="2">
        <v>4</v>
      </c>
      <c r="H242" s="2">
        <v>50</v>
      </c>
      <c r="I242" s="2">
        <f>Table13[[#This Row],[Quantity]]*Table13[[#This Row],[Price per Unit]]</f>
        <v>200</v>
      </c>
      <c r="J242" s="2">
        <v>200</v>
      </c>
    </row>
    <row r="243" spans="1:10" x14ac:dyDescent="0.35">
      <c r="A243" s="2">
        <v>443</v>
      </c>
      <c r="B243" s="3">
        <v>45147</v>
      </c>
      <c r="C243" s="2" t="s">
        <v>456</v>
      </c>
      <c r="D243" s="2" t="s">
        <v>10</v>
      </c>
      <c r="E243" s="2">
        <v>29</v>
      </c>
      <c r="F243" s="2" t="s">
        <v>14</v>
      </c>
      <c r="G243" s="2">
        <v>2</v>
      </c>
      <c r="H243" s="2">
        <v>300</v>
      </c>
      <c r="I243" s="2">
        <f>Table13[[#This Row],[Quantity]]*Table13[[#This Row],[Price per Unit]]</f>
        <v>600</v>
      </c>
      <c r="J243" s="2">
        <v>600</v>
      </c>
    </row>
    <row r="244" spans="1:10" x14ac:dyDescent="0.35">
      <c r="A244" s="2">
        <v>604</v>
      </c>
      <c r="B244" s="3">
        <v>45180</v>
      </c>
      <c r="C244" s="2" t="s">
        <v>617</v>
      </c>
      <c r="D244" s="2" t="s">
        <v>13</v>
      </c>
      <c r="E244" s="2">
        <v>29</v>
      </c>
      <c r="F244" s="2" t="s">
        <v>16</v>
      </c>
      <c r="G244" s="2">
        <v>4</v>
      </c>
      <c r="H244" s="2">
        <v>50</v>
      </c>
      <c r="I244" s="2">
        <f>Table13[[#This Row],[Quantity]]*Table13[[#This Row],[Price per Unit]]</f>
        <v>200</v>
      </c>
      <c r="J244" s="2">
        <v>200</v>
      </c>
    </row>
    <row r="245" spans="1:10" x14ac:dyDescent="0.35">
      <c r="A245" s="2">
        <v>656</v>
      </c>
      <c r="B245" s="3">
        <v>45203</v>
      </c>
      <c r="C245" s="2" t="s">
        <v>669</v>
      </c>
      <c r="D245" s="2" t="s">
        <v>10</v>
      </c>
      <c r="E245" s="2">
        <v>29</v>
      </c>
      <c r="F245" s="2" t="s">
        <v>11</v>
      </c>
      <c r="G245" s="2">
        <v>3</v>
      </c>
      <c r="H245" s="2">
        <v>30</v>
      </c>
      <c r="I245" s="2">
        <f>Table13[[#This Row],[Quantity]]*Table13[[#This Row],[Price per Unit]]</f>
        <v>90</v>
      </c>
      <c r="J245" s="2">
        <v>90</v>
      </c>
    </row>
    <row r="246" spans="1:10" x14ac:dyDescent="0.35">
      <c r="A246" s="2">
        <v>667</v>
      </c>
      <c r="B246" s="3">
        <v>45139</v>
      </c>
      <c r="C246" s="2" t="s">
        <v>680</v>
      </c>
      <c r="D246" s="2" t="s">
        <v>13</v>
      </c>
      <c r="E246" s="2">
        <v>29</v>
      </c>
      <c r="F246" s="2" t="s">
        <v>16</v>
      </c>
      <c r="G246" s="2">
        <v>1</v>
      </c>
      <c r="H246" s="2">
        <v>500</v>
      </c>
      <c r="I246" s="2">
        <f>Table13[[#This Row],[Quantity]]*Table13[[#This Row],[Price per Unit]]</f>
        <v>500</v>
      </c>
      <c r="J246" s="2">
        <v>500</v>
      </c>
    </row>
    <row r="247" spans="1:10" x14ac:dyDescent="0.35">
      <c r="A247" s="2">
        <v>729</v>
      </c>
      <c r="B247" s="3">
        <v>45069</v>
      </c>
      <c r="C247" s="2" t="s">
        <v>742</v>
      </c>
      <c r="D247" s="2" t="s">
        <v>10</v>
      </c>
      <c r="E247" s="2">
        <v>29</v>
      </c>
      <c r="F247" s="2" t="s">
        <v>14</v>
      </c>
      <c r="G247" s="2">
        <v>4</v>
      </c>
      <c r="H247" s="2">
        <v>300</v>
      </c>
      <c r="I247" s="2">
        <f>Table13[[#This Row],[Quantity]]*Table13[[#This Row],[Price per Unit]]</f>
        <v>1200</v>
      </c>
      <c r="J247" s="2">
        <v>1200</v>
      </c>
    </row>
    <row r="248" spans="1:10" x14ac:dyDescent="0.35">
      <c r="A248" s="2">
        <v>736</v>
      </c>
      <c r="B248" s="3">
        <v>44953</v>
      </c>
      <c r="C248" s="2" t="s">
        <v>749</v>
      </c>
      <c r="D248" s="2" t="s">
        <v>10</v>
      </c>
      <c r="E248" s="2">
        <v>29</v>
      </c>
      <c r="F248" s="2" t="s">
        <v>14</v>
      </c>
      <c r="G248" s="2">
        <v>4</v>
      </c>
      <c r="H248" s="2">
        <v>25</v>
      </c>
      <c r="I248" s="2">
        <f>Table13[[#This Row],[Quantity]]*Table13[[#This Row],[Price per Unit]]</f>
        <v>100</v>
      </c>
      <c r="J248" s="2">
        <v>100</v>
      </c>
    </row>
    <row r="249" spans="1:10" x14ac:dyDescent="0.35">
      <c r="A249" s="2">
        <v>752</v>
      </c>
      <c r="B249" s="3">
        <v>45269</v>
      </c>
      <c r="C249" s="2" t="s">
        <v>765</v>
      </c>
      <c r="D249" s="2" t="s">
        <v>10</v>
      </c>
      <c r="E249" s="2">
        <v>29</v>
      </c>
      <c r="F249" s="2" t="s">
        <v>14</v>
      </c>
      <c r="G249" s="2">
        <v>2</v>
      </c>
      <c r="H249" s="2">
        <v>50</v>
      </c>
      <c r="I249" s="2">
        <f>Table13[[#This Row],[Quantity]]*Table13[[#This Row],[Price per Unit]]</f>
        <v>100</v>
      </c>
      <c r="J249" s="2">
        <v>100</v>
      </c>
    </row>
    <row r="250" spans="1:10" x14ac:dyDescent="0.35">
      <c r="A250" s="2">
        <v>854</v>
      </c>
      <c r="B250" s="3">
        <v>45280</v>
      </c>
      <c r="C250" s="2" t="s">
        <v>867</v>
      </c>
      <c r="D250" s="2" t="s">
        <v>10</v>
      </c>
      <c r="E250" s="2">
        <v>29</v>
      </c>
      <c r="F250" s="2" t="s">
        <v>14</v>
      </c>
      <c r="G250" s="2">
        <v>1</v>
      </c>
      <c r="H250" s="2">
        <v>50</v>
      </c>
      <c r="I250" s="2">
        <f>Table13[[#This Row],[Quantity]]*Table13[[#This Row],[Price per Unit]]</f>
        <v>50</v>
      </c>
      <c r="J250" s="2">
        <v>50</v>
      </c>
    </row>
    <row r="251" spans="1:10" x14ac:dyDescent="0.35">
      <c r="A251" s="2">
        <v>913</v>
      </c>
      <c r="B251" s="3">
        <v>44954</v>
      </c>
      <c r="C251" s="2" t="s">
        <v>926</v>
      </c>
      <c r="D251" s="2" t="s">
        <v>10</v>
      </c>
      <c r="E251" s="2">
        <v>29</v>
      </c>
      <c r="F251" s="2" t="s">
        <v>16</v>
      </c>
      <c r="G251" s="2">
        <v>3</v>
      </c>
      <c r="H251" s="2">
        <v>30</v>
      </c>
      <c r="I251" s="2">
        <f>Table13[[#This Row],[Quantity]]*Table13[[#This Row],[Price per Unit]]</f>
        <v>90</v>
      </c>
      <c r="J251" s="2">
        <v>90</v>
      </c>
    </row>
    <row r="252" spans="1:10" x14ac:dyDescent="0.35">
      <c r="A252" s="2">
        <v>983</v>
      </c>
      <c r="B252" s="3">
        <v>45231</v>
      </c>
      <c r="C252" s="2" t="s">
        <v>996</v>
      </c>
      <c r="D252" s="2" t="s">
        <v>13</v>
      </c>
      <c r="E252" s="2">
        <v>29</v>
      </c>
      <c r="F252" s="2" t="s">
        <v>14</v>
      </c>
      <c r="G252" s="2">
        <v>1</v>
      </c>
      <c r="H252" s="2">
        <v>300</v>
      </c>
      <c r="I252" s="2">
        <f>Table13[[#This Row],[Quantity]]*Table13[[#This Row],[Price per Unit]]</f>
        <v>300</v>
      </c>
      <c r="J252" s="2">
        <v>300</v>
      </c>
    </row>
    <row r="253" spans="1:10" x14ac:dyDescent="0.35">
      <c r="A253" s="2">
        <v>5</v>
      </c>
      <c r="B253" s="3">
        <v>45052</v>
      </c>
      <c r="C253" s="2" t="s">
        <v>18</v>
      </c>
      <c r="D253" s="2" t="s">
        <v>10</v>
      </c>
      <c r="E253" s="2">
        <v>30</v>
      </c>
      <c r="F253" s="2" t="s">
        <v>11</v>
      </c>
      <c r="G253" s="2">
        <v>2</v>
      </c>
      <c r="H253" s="2">
        <v>50</v>
      </c>
      <c r="I253" s="2">
        <f>Table13[[#This Row],[Quantity]]*Table13[[#This Row],[Price per Unit]]</f>
        <v>100</v>
      </c>
      <c r="J253" s="2">
        <v>100</v>
      </c>
    </row>
    <row r="254" spans="1:10" x14ac:dyDescent="0.35">
      <c r="A254" s="2">
        <v>8</v>
      </c>
      <c r="B254" s="3">
        <v>44979</v>
      </c>
      <c r="C254" s="2" t="s">
        <v>21</v>
      </c>
      <c r="D254" s="2" t="s">
        <v>10</v>
      </c>
      <c r="E254" s="2">
        <v>30</v>
      </c>
      <c r="F254" s="2" t="s">
        <v>16</v>
      </c>
      <c r="G254" s="2">
        <v>4</v>
      </c>
      <c r="H254" s="2">
        <v>25</v>
      </c>
      <c r="I254" s="2">
        <f>Table13[[#This Row],[Quantity]]*Table13[[#This Row],[Price per Unit]]</f>
        <v>100</v>
      </c>
      <c r="J254" s="2">
        <v>100</v>
      </c>
    </row>
    <row r="255" spans="1:10" x14ac:dyDescent="0.35">
      <c r="A255" s="2">
        <v>32</v>
      </c>
      <c r="B255" s="3">
        <v>44930</v>
      </c>
      <c r="C255" s="2" t="s">
        <v>45</v>
      </c>
      <c r="D255" s="2" t="s">
        <v>10</v>
      </c>
      <c r="E255" s="2">
        <v>30</v>
      </c>
      <c r="F255" s="2" t="s">
        <v>11</v>
      </c>
      <c r="G255" s="2">
        <v>3</v>
      </c>
      <c r="H255" s="2">
        <v>30</v>
      </c>
      <c r="I255" s="2">
        <f>Table13[[#This Row],[Quantity]]*Table13[[#This Row],[Price per Unit]]</f>
        <v>90</v>
      </c>
      <c r="J255" s="2">
        <v>90</v>
      </c>
    </row>
    <row r="256" spans="1:10" x14ac:dyDescent="0.35">
      <c r="A256" s="2">
        <v>60</v>
      </c>
      <c r="B256" s="3">
        <v>45222</v>
      </c>
      <c r="C256" s="2" t="s">
        <v>73</v>
      </c>
      <c r="D256" s="2" t="s">
        <v>10</v>
      </c>
      <c r="E256" s="2">
        <v>30</v>
      </c>
      <c r="F256" s="2" t="s">
        <v>11</v>
      </c>
      <c r="G256" s="2">
        <v>3</v>
      </c>
      <c r="H256" s="2">
        <v>50</v>
      </c>
      <c r="I256" s="2">
        <f>Table13[[#This Row],[Quantity]]*Table13[[#This Row],[Price per Unit]]</f>
        <v>150</v>
      </c>
      <c r="J256" s="2">
        <v>150</v>
      </c>
    </row>
    <row r="257" spans="1:10" x14ac:dyDescent="0.35">
      <c r="A257" s="2">
        <v>118</v>
      </c>
      <c r="B257" s="3">
        <v>45062</v>
      </c>
      <c r="C257" s="2" t="s">
        <v>131</v>
      </c>
      <c r="D257" s="2" t="s">
        <v>13</v>
      </c>
      <c r="E257" s="2">
        <v>30</v>
      </c>
      <c r="F257" s="2" t="s">
        <v>16</v>
      </c>
      <c r="G257" s="2">
        <v>4</v>
      </c>
      <c r="H257" s="2">
        <v>500</v>
      </c>
      <c r="I257" s="2">
        <f>Table13[[#This Row],[Quantity]]*Table13[[#This Row],[Price per Unit]]</f>
        <v>2000</v>
      </c>
      <c r="J257" s="2">
        <v>2000</v>
      </c>
    </row>
    <row r="258" spans="1:10" x14ac:dyDescent="0.35">
      <c r="A258" s="2">
        <v>209</v>
      </c>
      <c r="B258" s="3">
        <v>45280</v>
      </c>
      <c r="C258" s="2" t="s">
        <v>222</v>
      </c>
      <c r="D258" s="2" t="s">
        <v>13</v>
      </c>
      <c r="E258" s="2">
        <v>30</v>
      </c>
      <c r="F258" s="2" t="s">
        <v>16</v>
      </c>
      <c r="G258" s="2">
        <v>4</v>
      </c>
      <c r="H258" s="2">
        <v>50</v>
      </c>
      <c r="I258" s="2">
        <f>Table13[[#This Row],[Quantity]]*Table13[[#This Row],[Price per Unit]]</f>
        <v>200</v>
      </c>
      <c r="J258" s="2">
        <v>200</v>
      </c>
    </row>
    <row r="259" spans="1:10" x14ac:dyDescent="0.35">
      <c r="A259" s="2">
        <v>290</v>
      </c>
      <c r="B259" s="3">
        <v>45203</v>
      </c>
      <c r="C259" s="2" t="s">
        <v>303</v>
      </c>
      <c r="D259" s="2" t="s">
        <v>13</v>
      </c>
      <c r="E259" s="2">
        <v>30</v>
      </c>
      <c r="F259" s="2" t="s">
        <v>11</v>
      </c>
      <c r="G259" s="2">
        <v>2</v>
      </c>
      <c r="H259" s="2">
        <v>300</v>
      </c>
      <c r="I259" s="2">
        <f>Table13[[#This Row],[Quantity]]*Table13[[#This Row],[Price per Unit]]</f>
        <v>600</v>
      </c>
      <c r="J259" s="2">
        <v>600</v>
      </c>
    </row>
    <row r="260" spans="1:10" x14ac:dyDescent="0.35">
      <c r="A260" s="2">
        <v>301</v>
      </c>
      <c r="B260" s="3">
        <v>45011</v>
      </c>
      <c r="C260" s="2" t="s">
        <v>314</v>
      </c>
      <c r="D260" s="2" t="s">
        <v>10</v>
      </c>
      <c r="E260" s="2">
        <v>30</v>
      </c>
      <c r="F260" s="2" t="s">
        <v>14</v>
      </c>
      <c r="G260" s="2">
        <v>4</v>
      </c>
      <c r="H260" s="2">
        <v>30</v>
      </c>
      <c r="I260" s="2">
        <f>Table13[[#This Row],[Quantity]]*Table13[[#This Row],[Price per Unit]]</f>
        <v>120</v>
      </c>
      <c r="J260" s="2">
        <v>120</v>
      </c>
    </row>
    <row r="261" spans="1:10" x14ac:dyDescent="0.35">
      <c r="A261" s="2">
        <v>397</v>
      </c>
      <c r="B261" s="3">
        <v>44995</v>
      </c>
      <c r="C261" s="2" t="s">
        <v>410</v>
      </c>
      <c r="D261" s="2" t="s">
        <v>13</v>
      </c>
      <c r="E261" s="2">
        <v>30</v>
      </c>
      <c r="F261" s="2" t="s">
        <v>11</v>
      </c>
      <c r="G261" s="2">
        <v>1</v>
      </c>
      <c r="H261" s="2">
        <v>25</v>
      </c>
      <c r="I261" s="2">
        <f>Table13[[#This Row],[Quantity]]*Table13[[#This Row],[Price per Unit]]</f>
        <v>25</v>
      </c>
      <c r="J261" s="2">
        <v>25</v>
      </c>
    </row>
    <row r="262" spans="1:10" x14ac:dyDescent="0.35">
      <c r="A262" s="2">
        <v>435</v>
      </c>
      <c r="B262" s="3">
        <v>45280</v>
      </c>
      <c r="C262" s="2" t="s">
        <v>448</v>
      </c>
      <c r="D262" s="2" t="s">
        <v>13</v>
      </c>
      <c r="E262" s="2">
        <v>30</v>
      </c>
      <c r="F262" s="2" t="s">
        <v>11</v>
      </c>
      <c r="G262" s="2">
        <v>3</v>
      </c>
      <c r="H262" s="2">
        <v>300</v>
      </c>
      <c r="I262" s="2">
        <f>Table13[[#This Row],[Quantity]]*Table13[[#This Row],[Price per Unit]]</f>
        <v>900</v>
      </c>
      <c r="J262" s="2">
        <v>900</v>
      </c>
    </row>
    <row r="263" spans="1:10" x14ac:dyDescent="0.35">
      <c r="A263" s="2">
        <v>516</v>
      </c>
      <c r="B263" s="3">
        <v>45222</v>
      </c>
      <c r="C263" s="2" t="s">
        <v>529</v>
      </c>
      <c r="D263" s="2" t="s">
        <v>10</v>
      </c>
      <c r="E263" s="2">
        <v>30</v>
      </c>
      <c r="F263" s="2" t="s">
        <v>11</v>
      </c>
      <c r="G263" s="2">
        <v>4</v>
      </c>
      <c r="H263" s="2">
        <v>25</v>
      </c>
      <c r="I263" s="2">
        <f>Table13[[#This Row],[Quantity]]*Table13[[#This Row],[Price per Unit]]</f>
        <v>100</v>
      </c>
      <c r="J263" s="2">
        <v>100</v>
      </c>
    </row>
    <row r="264" spans="1:10" x14ac:dyDescent="0.35">
      <c r="A264" s="2">
        <v>805</v>
      </c>
      <c r="B264" s="3">
        <v>45289</v>
      </c>
      <c r="C264" s="2" t="s">
        <v>818</v>
      </c>
      <c r="D264" s="2" t="s">
        <v>13</v>
      </c>
      <c r="E264" s="2">
        <v>30</v>
      </c>
      <c r="F264" s="2" t="s">
        <v>11</v>
      </c>
      <c r="G264" s="2">
        <v>3</v>
      </c>
      <c r="H264" s="2">
        <v>500</v>
      </c>
      <c r="I264" s="2">
        <f>Table13[[#This Row],[Quantity]]*Table13[[#This Row],[Price per Unit]]</f>
        <v>1500</v>
      </c>
      <c r="J264" s="2">
        <v>1500</v>
      </c>
    </row>
    <row r="265" spans="1:10" x14ac:dyDescent="0.35">
      <c r="A265" s="2">
        <v>817</v>
      </c>
      <c r="B265" s="3">
        <v>45230</v>
      </c>
      <c r="C265" s="2" t="s">
        <v>830</v>
      </c>
      <c r="D265" s="2" t="s">
        <v>10</v>
      </c>
      <c r="E265" s="2">
        <v>30</v>
      </c>
      <c r="F265" s="2" t="s">
        <v>11</v>
      </c>
      <c r="G265" s="2">
        <v>4</v>
      </c>
      <c r="H265" s="2">
        <v>50</v>
      </c>
      <c r="I265" s="2">
        <f>Table13[[#This Row],[Quantity]]*Table13[[#This Row],[Price per Unit]]</f>
        <v>200</v>
      </c>
      <c r="J265" s="2">
        <v>200</v>
      </c>
    </row>
    <row r="266" spans="1:10" x14ac:dyDescent="0.35">
      <c r="A266" s="2">
        <v>818</v>
      </c>
      <c r="B266" s="3">
        <v>45064</v>
      </c>
      <c r="C266" s="2" t="s">
        <v>831</v>
      </c>
      <c r="D266" s="2" t="s">
        <v>10</v>
      </c>
      <c r="E266" s="2">
        <v>30</v>
      </c>
      <c r="F266" s="2" t="s">
        <v>16</v>
      </c>
      <c r="G266" s="2">
        <v>1</v>
      </c>
      <c r="H266" s="2">
        <v>500</v>
      </c>
      <c r="I266" s="2">
        <f>Table13[[#This Row],[Quantity]]*Table13[[#This Row],[Price per Unit]]</f>
        <v>500</v>
      </c>
      <c r="J266" s="2">
        <v>500</v>
      </c>
    </row>
    <row r="267" spans="1:10" x14ac:dyDescent="0.35">
      <c r="A267" s="2">
        <v>863</v>
      </c>
      <c r="B267" s="3">
        <v>45040</v>
      </c>
      <c r="C267" s="2" t="s">
        <v>876</v>
      </c>
      <c r="D267" s="2" t="s">
        <v>13</v>
      </c>
      <c r="E267" s="2">
        <v>30</v>
      </c>
      <c r="F267" s="2" t="s">
        <v>16</v>
      </c>
      <c r="G267" s="2">
        <v>2</v>
      </c>
      <c r="H267" s="2">
        <v>25</v>
      </c>
      <c r="I267" s="2">
        <f>Table13[[#This Row],[Quantity]]*Table13[[#This Row],[Price per Unit]]</f>
        <v>50</v>
      </c>
      <c r="J267" s="2">
        <v>50</v>
      </c>
    </row>
    <row r="268" spans="1:10" x14ac:dyDescent="0.35">
      <c r="A268" s="2">
        <v>896</v>
      </c>
      <c r="B268" s="3">
        <v>45228</v>
      </c>
      <c r="C268" s="2" t="s">
        <v>909</v>
      </c>
      <c r="D268" s="2" t="s">
        <v>13</v>
      </c>
      <c r="E268" s="2">
        <v>30</v>
      </c>
      <c r="F268" s="2" t="s">
        <v>16</v>
      </c>
      <c r="G268" s="2">
        <v>2</v>
      </c>
      <c r="H268" s="2">
        <v>25</v>
      </c>
      <c r="I268" s="2">
        <f>Table13[[#This Row],[Quantity]]*Table13[[#This Row],[Price per Unit]]</f>
        <v>50</v>
      </c>
      <c r="J268" s="2">
        <v>50</v>
      </c>
    </row>
    <row r="269" spans="1:10" x14ac:dyDescent="0.35">
      <c r="A269" s="2">
        <v>931</v>
      </c>
      <c r="B269" s="3">
        <v>45171</v>
      </c>
      <c r="C269" s="2" t="s">
        <v>944</v>
      </c>
      <c r="D269" s="2" t="s">
        <v>10</v>
      </c>
      <c r="E269" s="2">
        <v>30</v>
      </c>
      <c r="F269" s="2" t="s">
        <v>11</v>
      </c>
      <c r="G269" s="2">
        <v>4</v>
      </c>
      <c r="H269" s="2">
        <v>30</v>
      </c>
      <c r="I269" s="2">
        <f>Table13[[#This Row],[Quantity]]*Table13[[#This Row],[Price per Unit]]</f>
        <v>120</v>
      </c>
      <c r="J269" s="2">
        <v>120</v>
      </c>
    </row>
    <row r="270" spans="1:10" x14ac:dyDescent="0.35">
      <c r="A270" s="2">
        <v>934</v>
      </c>
      <c r="B270" s="3">
        <v>45132</v>
      </c>
      <c r="C270" s="2" t="s">
        <v>947</v>
      </c>
      <c r="D270" s="2" t="s">
        <v>10</v>
      </c>
      <c r="E270" s="2">
        <v>30</v>
      </c>
      <c r="F270" s="2" t="s">
        <v>11</v>
      </c>
      <c r="G270" s="2">
        <v>1</v>
      </c>
      <c r="H270" s="2">
        <v>500</v>
      </c>
      <c r="I270" s="2">
        <f>Table13[[#This Row],[Quantity]]*Table13[[#This Row],[Price per Unit]]</f>
        <v>500</v>
      </c>
      <c r="J270" s="2">
        <v>500</v>
      </c>
    </row>
    <row r="271" spans="1:10" x14ac:dyDescent="0.35">
      <c r="A271" s="2">
        <v>945</v>
      </c>
      <c r="B271" s="3">
        <v>44970</v>
      </c>
      <c r="C271" s="2" t="s">
        <v>958</v>
      </c>
      <c r="D271" s="2" t="s">
        <v>10</v>
      </c>
      <c r="E271" s="2">
        <v>30</v>
      </c>
      <c r="F271" s="2" t="s">
        <v>11</v>
      </c>
      <c r="G271" s="2">
        <v>1</v>
      </c>
      <c r="H271" s="2">
        <v>25</v>
      </c>
      <c r="I271" s="2">
        <f>Table13[[#This Row],[Quantity]]*Table13[[#This Row],[Price per Unit]]</f>
        <v>25</v>
      </c>
      <c r="J271" s="2">
        <v>25</v>
      </c>
    </row>
    <row r="272" spans="1:10" x14ac:dyDescent="0.35">
      <c r="A272" s="2">
        <v>956</v>
      </c>
      <c r="B272" s="3">
        <v>45157</v>
      </c>
      <c r="C272" s="2" t="s">
        <v>969</v>
      </c>
      <c r="D272" s="2" t="s">
        <v>10</v>
      </c>
      <c r="E272" s="2">
        <v>30</v>
      </c>
      <c r="F272" s="2" t="s">
        <v>14</v>
      </c>
      <c r="G272" s="2">
        <v>3</v>
      </c>
      <c r="H272" s="2">
        <v>500</v>
      </c>
      <c r="I272" s="2">
        <f>Table13[[#This Row],[Quantity]]*Table13[[#This Row],[Price per Unit]]</f>
        <v>1500</v>
      </c>
      <c r="J272" s="2">
        <v>1500</v>
      </c>
    </row>
    <row r="273" spans="1:10" x14ac:dyDescent="0.35">
      <c r="A273" s="2">
        <v>981</v>
      </c>
      <c r="B273" s="3">
        <v>45157</v>
      </c>
      <c r="C273" s="2" t="s">
        <v>994</v>
      </c>
      <c r="D273" s="2" t="s">
        <v>13</v>
      </c>
      <c r="E273" s="2">
        <v>30</v>
      </c>
      <c r="F273" s="2" t="s">
        <v>16</v>
      </c>
      <c r="G273" s="2">
        <v>2</v>
      </c>
      <c r="H273" s="2">
        <v>30</v>
      </c>
      <c r="I273" s="2">
        <f>Table13[[#This Row],[Quantity]]*Table13[[#This Row],[Price per Unit]]</f>
        <v>60</v>
      </c>
      <c r="J273" s="2">
        <v>60</v>
      </c>
    </row>
    <row r="274" spans="1:10" x14ac:dyDescent="0.35">
      <c r="A274" s="2">
        <v>987</v>
      </c>
      <c r="B274" s="3">
        <v>45045</v>
      </c>
      <c r="C274" s="2" t="s">
        <v>1000</v>
      </c>
      <c r="D274" s="2" t="s">
        <v>13</v>
      </c>
      <c r="E274" s="2">
        <v>30</v>
      </c>
      <c r="F274" s="2" t="s">
        <v>14</v>
      </c>
      <c r="G274" s="2">
        <v>3</v>
      </c>
      <c r="H274" s="2">
        <v>300</v>
      </c>
      <c r="I274" s="2">
        <f>Table13[[#This Row],[Quantity]]*Table13[[#This Row],[Price per Unit]]</f>
        <v>900</v>
      </c>
      <c r="J274" s="2">
        <v>900</v>
      </c>
    </row>
    <row r="275" spans="1:10" x14ac:dyDescent="0.35">
      <c r="A275" s="2">
        <v>55</v>
      </c>
      <c r="B275" s="3">
        <v>45209</v>
      </c>
      <c r="C275" s="2" t="s">
        <v>68</v>
      </c>
      <c r="D275" s="2" t="s">
        <v>10</v>
      </c>
      <c r="E275" s="2">
        <v>31</v>
      </c>
      <c r="F275" s="2" t="s">
        <v>11</v>
      </c>
      <c r="G275" s="2">
        <v>4</v>
      </c>
      <c r="H275" s="2">
        <v>30</v>
      </c>
      <c r="I275" s="2">
        <f>Table13[[#This Row],[Quantity]]*Table13[[#This Row],[Price per Unit]]</f>
        <v>120</v>
      </c>
      <c r="J275" s="2">
        <v>120</v>
      </c>
    </row>
    <row r="276" spans="1:10" x14ac:dyDescent="0.35">
      <c r="A276" s="2">
        <v>85</v>
      </c>
      <c r="B276" s="3">
        <v>44963</v>
      </c>
      <c r="C276" s="2" t="s">
        <v>98</v>
      </c>
      <c r="D276" s="2" t="s">
        <v>10</v>
      </c>
      <c r="E276" s="2">
        <v>31</v>
      </c>
      <c r="F276" s="2" t="s">
        <v>14</v>
      </c>
      <c r="G276" s="2">
        <v>3</v>
      </c>
      <c r="H276" s="2">
        <v>50</v>
      </c>
      <c r="I276" s="2">
        <f>Table13[[#This Row],[Quantity]]*Table13[[#This Row],[Price per Unit]]</f>
        <v>150</v>
      </c>
      <c r="J276" s="2">
        <v>150</v>
      </c>
    </row>
    <row r="277" spans="1:10" x14ac:dyDescent="0.35">
      <c r="A277" s="2">
        <v>155</v>
      </c>
      <c r="B277" s="3">
        <v>45063</v>
      </c>
      <c r="C277" s="2" t="s">
        <v>168</v>
      </c>
      <c r="D277" s="2" t="s">
        <v>10</v>
      </c>
      <c r="E277" s="2">
        <v>31</v>
      </c>
      <c r="F277" s="2" t="s">
        <v>16</v>
      </c>
      <c r="G277" s="2">
        <v>4</v>
      </c>
      <c r="H277" s="2">
        <v>500</v>
      </c>
      <c r="I277" s="2">
        <f>Table13[[#This Row],[Quantity]]*Table13[[#This Row],[Price per Unit]]</f>
        <v>2000</v>
      </c>
      <c r="J277" s="2">
        <v>2000</v>
      </c>
    </row>
    <row r="278" spans="1:10" x14ac:dyDescent="0.35">
      <c r="A278" s="2">
        <v>175</v>
      </c>
      <c r="B278" s="3">
        <v>45005</v>
      </c>
      <c r="C278" s="2" t="s">
        <v>188</v>
      </c>
      <c r="D278" s="2" t="s">
        <v>13</v>
      </c>
      <c r="E278" s="2">
        <v>31</v>
      </c>
      <c r="F278" s="2" t="s">
        <v>16</v>
      </c>
      <c r="G278" s="2">
        <v>4</v>
      </c>
      <c r="H278" s="2">
        <v>25</v>
      </c>
      <c r="I278" s="2">
        <f>Table13[[#This Row],[Quantity]]*Table13[[#This Row],[Price per Unit]]</f>
        <v>100</v>
      </c>
      <c r="J278" s="2">
        <v>100</v>
      </c>
    </row>
    <row r="279" spans="1:10" x14ac:dyDescent="0.35">
      <c r="A279" s="2">
        <v>179</v>
      </c>
      <c r="B279" s="3">
        <v>45198</v>
      </c>
      <c r="C279" s="2" t="s">
        <v>192</v>
      </c>
      <c r="D279" s="2" t="s">
        <v>10</v>
      </c>
      <c r="E279" s="2">
        <v>31</v>
      </c>
      <c r="F279" s="2" t="s">
        <v>16</v>
      </c>
      <c r="G279" s="2">
        <v>1</v>
      </c>
      <c r="H279" s="2">
        <v>300</v>
      </c>
      <c r="I279" s="2">
        <f>Table13[[#This Row],[Quantity]]*Table13[[#This Row],[Price per Unit]]</f>
        <v>300</v>
      </c>
      <c r="J279" s="2">
        <v>300</v>
      </c>
    </row>
    <row r="280" spans="1:10" x14ac:dyDescent="0.35">
      <c r="A280" s="2">
        <v>184</v>
      </c>
      <c r="B280" s="3">
        <v>44936</v>
      </c>
      <c r="C280" s="2" t="s">
        <v>197</v>
      </c>
      <c r="D280" s="2" t="s">
        <v>10</v>
      </c>
      <c r="E280" s="2">
        <v>31</v>
      </c>
      <c r="F280" s="2" t="s">
        <v>16</v>
      </c>
      <c r="G280" s="2">
        <v>4</v>
      </c>
      <c r="H280" s="2">
        <v>50</v>
      </c>
      <c r="I280" s="2">
        <f>Table13[[#This Row],[Quantity]]*Table13[[#This Row],[Price per Unit]]</f>
        <v>200</v>
      </c>
      <c r="J280" s="2">
        <v>200</v>
      </c>
    </row>
    <row r="281" spans="1:10" x14ac:dyDescent="0.35">
      <c r="A281" s="2">
        <v>285</v>
      </c>
      <c r="B281" s="3">
        <v>45153</v>
      </c>
      <c r="C281" s="2" t="s">
        <v>298</v>
      </c>
      <c r="D281" s="2" t="s">
        <v>13</v>
      </c>
      <c r="E281" s="2">
        <v>31</v>
      </c>
      <c r="F281" s="2" t="s">
        <v>16</v>
      </c>
      <c r="G281" s="2">
        <v>1</v>
      </c>
      <c r="H281" s="2">
        <v>25</v>
      </c>
      <c r="I281" s="2">
        <f>Table13[[#This Row],[Quantity]]*Table13[[#This Row],[Price per Unit]]</f>
        <v>25</v>
      </c>
      <c r="J281" s="2">
        <v>25</v>
      </c>
    </row>
    <row r="282" spans="1:10" x14ac:dyDescent="0.35">
      <c r="A282" s="2">
        <v>319</v>
      </c>
      <c r="B282" s="3">
        <v>45204</v>
      </c>
      <c r="C282" s="2" t="s">
        <v>332</v>
      </c>
      <c r="D282" s="2" t="s">
        <v>10</v>
      </c>
      <c r="E282" s="2">
        <v>31</v>
      </c>
      <c r="F282" s="2" t="s">
        <v>14</v>
      </c>
      <c r="G282" s="2">
        <v>1</v>
      </c>
      <c r="H282" s="2">
        <v>500</v>
      </c>
      <c r="I282" s="2">
        <f>Table13[[#This Row],[Quantity]]*Table13[[#This Row],[Price per Unit]]</f>
        <v>500</v>
      </c>
      <c r="J282" s="2">
        <v>500</v>
      </c>
    </row>
    <row r="283" spans="1:10" x14ac:dyDescent="0.35">
      <c r="A283" s="2">
        <v>334</v>
      </c>
      <c r="B283" s="3">
        <v>45231</v>
      </c>
      <c r="C283" s="2" t="s">
        <v>347</v>
      </c>
      <c r="D283" s="2" t="s">
        <v>10</v>
      </c>
      <c r="E283" s="2">
        <v>31</v>
      </c>
      <c r="F283" s="2" t="s">
        <v>16</v>
      </c>
      <c r="G283" s="2">
        <v>3</v>
      </c>
      <c r="H283" s="2">
        <v>300</v>
      </c>
      <c r="I283" s="2">
        <f>Table13[[#This Row],[Quantity]]*Table13[[#This Row],[Price per Unit]]</f>
        <v>900</v>
      </c>
      <c r="J283" s="2">
        <v>900</v>
      </c>
    </row>
    <row r="284" spans="1:10" x14ac:dyDescent="0.35">
      <c r="A284" s="2">
        <v>341</v>
      </c>
      <c r="B284" s="3">
        <v>45053</v>
      </c>
      <c r="C284" s="2" t="s">
        <v>354</v>
      </c>
      <c r="D284" s="2" t="s">
        <v>10</v>
      </c>
      <c r="E284" s="2">
        <v>31</v>
      </c>
      <c r="F284" s="2" t="s">
        <v>14</v>
      </c>
      <c r="G284" s="2">
        <v>4</v>
      </c>
      <c r="H284" s="2">
        <v>50</v>
      </c>
      <c r="I284" s="2">
        <f>Table13[[#This Row],[Quantity]]*Table13[[#This Row],[Price per Unit]]</f>
        <v>200</v>
      </c>
      <c r="J284" s="2">
        <v>200</v>
      </c>
    </row>
    <row r="285" spans="1:10" x14ac:dyDescent="0.35">
      <c r="A285" s="2">
        <v>353</v>
      </c>
      <c r="B285" s="3">
        <v>45060</v>
      </c>
      <c r="C285" s="2" t="s">
        <v>366</v>
      </c>
      <c r="D285" s="2" t="s">
        <v>10</v>
      </c>
      <c r="E285" s="2">
        <v>31</v>
      </c>
      <c r="F285" s="2" t="s">
        <v>16</v>
      </c>
      <c r="G285" s="2">
        <v>1</v>
      </c>
      <c r="H285" s="2">
        <v>500</v>
      </c>
      <c r="I285" s="2">
        <f>Table13[[#This Row],[Quantity]]*Table13[[#This Row],[Price per Unit]]</f>
        <v>500</v>
      </c>
      <c r="J285" s="2">
        <v>500</v>
      </c>
    </row>
    <row r="286" spans="1:10" x14ac:dyDescent="0.35">
      <c r="A286" s="2">
        <v>365</v>
      </c>
      <c r="B286" s="3">
        <v>45088</v>
      </c>
      <c r="C286" s="2" t="s">
        <v>378</v>
      </c>
      <c r="D286" s="2" t="s">
        <v>10</v>
      </c>
      <c r="E286" s="2">
        <v>31</v>
      </c>
      <c r="F286" s="2" t="s">
        <v>14</v>
      </c>
      <c r="G286" s="2">
        <v>1</v>
      </c>
      <c r="H286" s="2">
        <v>300</v>
      </c>
      <c r="I286" s="2">
        <f>Table13[[#This Row],[Quantity]]*Table13[[#This Row],[Price per Unit]]</f>
        <v>300</v>
      </c>
      <c r="J286" s="2">
        <v>300</v>
      </c>
    </row>
    <row r="287" spans="1:10" x14ac:dyDescent="0.35">
      <c r="A287" s="2">
        <v>455</v>
      </c>
      <c r="B287" s="3">
        <v>45108</v>
      </c>
      <c r="C287" s="2" t="s">
        <v>468</v>
      </c>
      <c r="D287" s="2" t="s">
        <v>10</v>
      </c>
      <c r="E287" s="2">
        <v>31</v>
      </c>
      <c r="F287" s="2" t="s">
        <v>16</v>
      </c>
      <c r="G287" s="2">
        <v>4</v>
      </c>
      <c r="H287" s="2">
        <v>25</v>
      </c>
      <c r="I287" s="2">
        <f>Table13[[#This Row],[Quantity]]*Table13[[#This Row],[Price per Unit]]</f>
        <v>100</v>
      </c>
      <c r="J287" s="2">
        <v>100</v>
      </c>
    </row>
    <row r="288" spans="1:10" x14ac:dyDescent="0.35">
      <c r="A288" s="2">
        <v>531</v>
      </c>
      <c r="B288" s="3">
        <v>45267</v>
      </c>
      <c r="C288" s="2" t="s">
        <v>544</v>
      </c>
      <c r="D288" s="2" t="s">
        <v>10</v>
      </c>
      <c r="E288" s="2">
        <v>31</v>
      </c>
      <c r="F288" s="2" t="s">
        <v>16</v>
      </c>
      <c r="G288" s="2">
        <v>1</v>
      </c>
      <c r="H288" s="2">
        <v>500</v>
      </c>
      <c r="I288" s="2">
        <f>Table13[[#This Row],[Quantity]]*Table13[[#This Row],[Price per Unit]]</f>
        <v>500</v>
      </c>
      <c r="J288" s="2">
        <v>500</v>
      </c>
    </row>
    <row r="289" spans="1:10" x14ac:dyDescent="0.35">
      <c r="A289" s="2">
        <v>572</v>
      </c>
      <c r="B289" s="3">
        <v>45036</v>
      </c>
      <c r="C289" s="2" t="s">
        <v>585</v>
      </c>
      <c r="D289" s="2" t="s">
        <v>10</v>
      </c>
      <c r="E289" s="2">
        <v>31</v>
      </c>
      <c r="F289" s="2" t="s">
        <v>14</v>
      </c>
      <c r="G289" s="2">
        <v>4</v>
      </c>
      <c r="H289" s="2">
        <v>500</v>
      </c>
      <c r="I289" s="2">
        <f>Table13[[#This Row],[Quantity]]*Table13[[#This Row],[Price per Unit]]</f>
        <v>2000</v>
      </c>
      <c r="J289" s="2">
        <v>2000</v>
      </c>
    </row>
    <row r="290" spans="1:10" x14ac:dyDescent="0.35">
      <c r="A290" s="2">
        <v>580</v>
      </c>
      <c r="B290" s="3">
        <v>45266</v>
      </c>
      <c r="C290" s="2" t="s">
        <v>593</v>
      </c>
      <c r="D290" s="2" t="s">
        <v>13</v>
      </c>
      <c r="E290" s="2">
        <v>31</v>
      </c>
      <c r="F290" s="2" t="s">
        <v>14</v>
      </c>
      <c r="G290" s="2">
        <v>3</v>
      </c>
      <c r="H290" s="2">
        <v>500</v>
      </c>
      <c r="I290" s="2">
        <f>Table13[[#This Row],[Quantity]]*Table13[[#This Row],[Price per Unit]]</f>
        <v>1500</v>
      </c>
      <c r="J290" s="2">
        <v>1500</v>
      </c>
    </row>
    <row r="291" spans="1:10" x14ac:dyDescent="0.35">
      <c r="A291" s="2">
        <v>625</v>
      </c>
      <c r="B291" s="3">
        <v>45268</v>
      </c>
      <c r="C291" s="2" t="s">
        <v>638</v>
      </c>
      <c r="D291" s="2" t="s">
        <v>10</v>
      </c>
      <c r="E291" s="2">
        <v>31</v>
      </c>
      <c r="F291" s="2" t="s">
        <v>14</v>
      </c>
      <c r="G291" s="2">
        <v>1</v>
      </c>
      <c r="H291" s="2">
        <v>300</v>
      </c>
      <c r="I291" s="2">
        <f>Table13[[#This Row],[Quantity]]*Table13[[#This Row],[Price per Unit]]</f>
        <v>300</v>
      </c>
      <c r="J291" s="2">
        <v>300</v>
      </c>
    </row>
    <row r="292" spans="1:10" x14ac:dyDescent="0.35">
      <c r="A292" s="2">
        <v>769</v>
      </c>
      <c r="B292" s="3">
        <v>45086</v>
      </c>
      <c r="C292" s="2" t="s">
        <v>782</v>
      </c>
      <c r="D292" s="2" t="s">
        <v>13</v>
      </c>
      <c r="E292" s="2">
        <v>31</v>
      </c>
      <c r="F292" s="2" t="s">
        <v>16</v>
      </c>
      <c r="G292" s="2">
        <v>4</v>
      </c>
      <c r="H292" s="2">
        <v>30</v>
      </c>
      <c r="I292" s="2">
        <f>Table13[[#This Row],[Quantity]]*Table13[[#This Row],[Price per Unit]]</f>
        <v>120</v>
      </c>
      <c r="J292" s="2">
        <v>120</v>
      </c>
    </row>
    <row r="293" spans="1:10" x14ac:dyDescent="0.35">
      <c r="A293" s="2">
        <v>785</v>
      </c>
      <c r="B293" s="3">
        <v>44988</v>
      </c>
      <c r="C293" s="2" t="s">
        <v>798</v>
      </c>
      <c r="D293" s="2" t="s">
        <v>13</v>
      </c>
      <c r="E293" s="2">
        <v>31</v>
      </c>
      <c r="F293" s="2" t="s">
        <v>11</v>
      </c>
      <c r="G293" s="2">
        <v>4</v>
      </c>
      <c r="H293" s="2">
        <v>50</v>
      </c>
      <c r="I293" s="2">
        <f>Table13[[#This Row],[Quantity]]*Table13[[#This Row],[Price per Unit]]</f>
        <v>200</v>
      </c>
      <c r="J293" s="2">
        <v>200</v>
      </c>
    </row>
    <row r="294" spans="1:10" x14ac:dyDescent="0.35">
      <c r="A294" s="2">
        <v>841</v>
      </c>
      <c r="B294" s="3">
        <v>45232</v>
      </c>
      <c r="C294" s="2" t="s">
        <v>854</v>
      </c>
      <c r="D294" s="2" t="s">
        <v>10</v>
      </c>
      <c r="E294" s="2">
        <v>31</v>
      </c>
      <c r="F294" s="2" t="s">
        <v>16</v>
      </c>
      <c r="G294" s="2">
        <v>4</v>
      </c>
      <c r="H294" s="2">
        <v>25</v>
      </c>
      <c r="I294" s="2">
        <f>Table13[[#This Row],[Quantity]]*Table13[[#This Row],[Price per Unit]]</f>
        <v>100</v>
      </c>
      <c r="J294" s="2">
        <v>100</v>
      </c>
    </row>
    <row r="295" spans="1:10" x14ac:dyDescent="0.35">
      <c r="A295" s="2">
        <v>901</v>
      </c>
      <c r="B295" s="3">
        <v>45026</v>
      </c>
      <c r="C295" s="2" t="s">
        <v>914</v>
      </c>
      <c r="D295" s="2" t="s">
        <v>10</v>
      </c>
      <c r="E295" s="2">
        <v>31</v>
      </c>
      <c r="F295" s="2" t="s">
        <v>16</v>
      </c>
      <c r="G295" s="2">
        <v>1</v>
      </c>
      <c r="H295" s="2">
        <v>30</v>
      </c>
      <c r="I295" s="2">
        <f>Table13[[#This Row],[Quantity]]*Table13[[#This Row],[Price per Unit]]</f>
        <v>30</v>
      </c>
      <c r="J295" s="2">
        <v>30</v>
      </c>
    </row>
    <row r="296" spans="1:10" x14ac:dyDescent="0.35">
      <c r="A296" s="2">
        <v>980</v>
      </c>
      <c r="B296" s="3">
        <v>45136</v>
      </c>
      <c r="C296" s="2" t="s">
        <v>993</v>
      </c>
      <c r="D296" s="2" t="s">
        <v>13</v>
      </c>
      <c r="E296" s="2">
        <v>31</v>
      </c>
      <c r="F296" s="2" t="s">
        <v>16</v>
      </c>
      <c r="G296" s="2">
        <v>3</v>
      </c>
      <c r="H296" s="2">
        <v>25</v>
      </c>
      <c r="I296" s="2">
        <f>Table13[[#This Row],[Quantity]]*Table13[[#This Row],[Price per Unit]]</f>
        <v>75</v>
      </c>
      <c r="J296" s="2">
        <v>75</v>
      </c>
    </row>
    <row r="297" spans="1:10" x14ac:dyDescent="0.35">
      <c r="A297" s="2">
        <v>82</v>
      </c>
      <c r="B297" s="3">
        <v>45286</v>
      </c>
      <c r="C297" s="2" t="s">
        <v>95</v>
      </c>
      <c r="D297" s="2" t="s">
        <v>13</v>
      </c>
      <c r="E297" s="2">
        <v>32</v>
      </c>
      <c r="F297" s="2" t="s">
        <v>11</v>
      </c>
      <c r="G297" s="2">
        <v>4</v>
      </c>
      <c r="H297" s="2">
        <v>50</v>
      </c>
      <c r="I297" s="2">
        <f>Table13[[#This Row],[Quantity]]*Table13[[#This Row],[Price per Unit]]</f>
        <v>200</v>
      </c>
      <c r="J297" s="2">
        <v>200</v>
      </c>
    </row>
    <row r="298" spans="1:10" x14ac:dyDescent="0.35">
      <c r="A298" s="2">
        <v>95</v>
      </c>
      <c r="B298" s="3">
        <v>45254</v>
      </c>
      <c r="C298" s="2" t="s">
        <v>108</v>
      </c>
      <c r="D298" s="2" t="s">
        <v>13</v>
      </c>
      <c r="E298" s="2">
        <v>32</v>
      </c>
      <c r="F298" s="2" t="s">
        <v>14</v>
      </c>
      <c r="G298" s="2">
        <v>2</v>
      </c>
      <c r="H298" s="2">
        <v>30</v>
      </c>
      <c r="I298" s="2">
        <f>Table13[[#This Row],[Quantity]]*Table13[[#This Row],[Price per Unit]]</f>
        <v>60</v>
      </c>
      <c r="J298" s="2">
        <v>60</v>
      </c>
    </row>
    <row r="299" spans="1:10" x14ac:dyDescent="0.35">
      <c r="A299" s="2">
        <v>101</v>
      </c>
      <c r="B299" s="3">
        <v>44955</v>
      </c>
      <c r="C299" s="2" t="s">
        <v>114</v>
      </c>
      <c r="D299" s="2" t="s">
        <v>10</v>
      </c>
      <c r="E299" s="2">
        <v>32</v>
      </c>
      <c r="F299" s="2" t="s">
        <v>14</v>
      </c>
      <c r="G299" s="2">
        <v>2</v>
      </c>
      <c r="H299" s="2">
        <v>300</v>
      </c>
      <c r="I299" s="2">
        <f>Table13[[#This Row],[Quantity]]*Table13[[#This Row],[Price per Unit]]</f>
        <v>600</v>
      </c>
      <c r="J299" s="2">
        <v>600</v>
      </c>
    </row>
    <row r="300" spans="1:10" x14ac:dyDescent="0.35">
      <c r="A300" s="2">
        <v>172</v>
      </c>
      <c r="B300" s="3">
        <v>45186</v>
      </c>
      <c r="C300" s="2" t="s">
        <v>185</v>
      </c>
      <c r="D300" s="2" t="s">
        <v>10</v>
      </c>
      <c r="E300" s="2">
        <v>32</v>
      </c>
      <c r="F300" s="2" t="s">
        <v>11</v>
      </c>
      <c r="G300" s="2">
        <v>2</v>
      </c>
      <c r="H300" s="2">
        <v>25</v>
      </c>
      <c r="I300" s="2">
        <f>Table13[[#This Row],[Quantity]]*Table13[[#This Row],[Price per Unit]]</f>
        <v>50</v>
      </c>
      <c r="J300" s="2">
        <v>50</v>
      </c>
    </row>
    <row r="301" spans="1:10" x14ac:dyDescent="0.35">
      <c r="A301" s="2">
        <v>196</v>
      </c>
      <c r="B301" s="3">
        <v>45199</v>
      </c>
      <c r="C301" s="2" t="s">
        <v>209</v>
      </c>
      <c r="D301" s="2" t="s">
        <v>13</v>
      </c>
      <c r="E301" s="2">
        <v>32</v>
      </c>
      <c r="F301" s="2" t="s">
        <v>14</v>
      </c>
      <c r="G301" s="2">
        <v>3</v>
      </c>
      <c r="H301" s="2">
        <v>300</v>
      </c>
      <c r="I301" s="2">
        <f>Table13[[#This Row],[Quantity]]*Table13[[#This Row],[Price per Unit]]</f>
        <v>900</v>
      </c>
      <c r="J301" s="2">
        <v>900</v>
      </c>
    </row>
    <row r="302" spans="1:10" x14ac:dyDescent="0.35">
      <c r="A302" s="2">
        <v>262</v>
      </c>
      <c r="B302" s="3">
        <v>45137</v>
      </c>
      <c r="C302" s="2" t="s">
        <v>275</v>
      </c>
      <c r="D302" s="2" t="s">
        <v>13</v>
      </c>
      <c r="E302" s="2">
        <v>32</v>
      </c>
      <c r="F302" s="2" t="s">
        <v>11</v>
      </c>
      <c r="G302" s="2">
        <v>4</v>
      </c>
      <c r="H302" s="2">
        <v>30</v>
      </c>
      <c r="I302" s="2">
        <f>Table13[[#This Row],[Quantity]]*Table13[[#This Row],[Price per Unit]]</f>
        <v>120</v>
      </c>
      <c r="J302" s="2">
        <v>120</v>
      </c>
    </row>
    <row r="303" spans="1:10" x14ac:dyDescent="0.35">
      <c r="A303" s="2">
        <v>267</v>
      </c>
      <c r="B303" s="3">
        <v>45257</v>
      </c>
      <c r="C303" s="2" t="s">
        <v>280</v>
      </c>
      <c r="D303" s="2" t="s">
        <v>13</v>
      </c>
      <c r="E303" s="2">
        <v>32</v>
      </c>
      <c r="F303" s="2" t="s">
        <v>11</v>
      </c>
      <c r="G303" s="2">
        <v>3</v>
      </c>
      <c r="H303" s="2">
        <v>30</v>
      </c>
      <c r="I303" s="2">
        <f>Table13[[#This Row],[Quantity]]*Table13[[#This Row],[Price per Unit]]</f>
        <v>90</v>
      </c>
      <c r="J303" s="2">
        <v>90</v>
      </c>
    </row>
    <row r="304" spans="1:10" x14ac:dyDescent="0.35">
      <c r="A304" s="2">
        <v>311</v>
      </c>
      <c r="B304" s="3">
        <v>45265</v>
      </c>
      <c r="C304" s="2" t="s">
        <v>324</v>
      </c>
      <c r="D304" s="2" t="s">
        <v>13</v>
      </c>
      <c r="E304" s="2">
        <v>32</v>
      </c>
      <c r="F304" s="2" t="s">
        <v>11</v>
      </c>
      <c r="G304" s="2">
        <v>4</v>
      </c>
      <c r="H304" s="2">
        <v>25</v>
      </c>
      <c r="I304" s="2">
        <f>Table13[[#This Row],[Quantity]]*Table13[[#This Row],[Price per Unit]]</f>
        <v>100</v>
      </c>
      <c r="J304" s="2">
        <v>100</v>
      </c>
    </row>
    <row r="305" spans="1:10" x14ac:dyDescent="0.35">
      <c r="A305" s="2">
        <v>358</v>
      </c>
      <c r="B305" s="3">
        <v>45062</v>
      </c>
      <c r="C305" s="2" t="s">
        <v>371</v>
      </c>
      <c r="D305" s="2" t="s">
        <v>13</v>
      </c>
      <c r="E305" s="2">
        <v>32</v>
      </c>
      <c r="F305" s="2" t="s">
        <v>11</v>
      </c>
      <c r="G305" s="2">
        <v>1</v>
      </c>
      <c r="H305" s="2">
        <v>300</v>
      </c>
      <c r="I305" s="2">
        <f>Table13[[#This Row],[Quantity]]*Table13[[#This Row],[Price per Unit]]</f>
        <v>300</v>
      </c>
      <c r="J305" s="2">
        <v>300</v>
      </c>
    </row>
    <row r="306" spans="1:10" x14ac:dyDescent="0.35">
      <c r="A306" s="2">
        <v>375</v>
      </c>
      <c r="B306" s="3">
        <v>45186</v>
      </c>
      <c r="C306" s="2" t="s">
        <v>388</v>
      </c>
      <c r="D306" s="2" t="s">
        <v>10</v>
      </c>
      <c r="E306" s="2">
        <v>32</v>
      </c>
      <c r="F306" s="2" t="s">
        <v>14</v>
      </c>
      <c r="G306" s="2">
        <v>1</v>
      </c>
      <c r="H306" s="2">
        <v>50</v>
      </c>
      <c r="I306" s="2">
        <f>Table13[[#This Row],[Quantity]]*Table13[[#This Row],[Price per Unit]]</f>
        <v>50</v>
      </c>
      <c r="J306" s="2">
        <v>50</v>
      </c>
    </row>
    <row r="307" spans="1:10" x14ac:dyDescent="0.35">
      <c r="A307" s="2">
        <v>403</v>
      </c>
      <c r="B307" s="3">
        <v>45066</v>
      </c>
      <c r="C307" s="2" t="s">
        <v>416</v>
      </c>
      <c r="D307" s="2" t="s">
        <v>10</v>
      </c>
      <c r="E307" s="2">
        <v>32</v>
      </c>
      <c r="F307" s="2" t="s">
        <v>14</v>
      </c>
      <c r="G307" s="2">
        <v>2</v>
      </c>
      <c r="H307" s="2">
        <v>300</v>
      </c>
      <c r="I307" s="2">
        <f>Table13[[#This Row],[Quantity]]*Table13[[#This Row],[Price per Unit]]</f>
        <v>600</v>
      </c>
      <c r="J307" s="2">
        <v>600</v>
      </c>
    </row>
    <row r="308" spans="1:10" x14ac:dyDescent="0.35">
      <c r="A308" s="2">
        <v>471</v>
      </c>
      <c r="B308" s="3">
        <v>45008</v>
      </c>
      <c r="C308" s="2" t="s">
        <v>484</v>
      </c>
      <c r="D308" s="2" t="s">
        <v>10</v>
      </c>
      <c r="E308" s="2">
        <v>32</v>
      </c>
      <c r="F308" s="2" t="s">
        <v>14</v>
      </c>
      <c r="G308" s="2">
        <v>3</v>
      </c>
      <c r="H308" s="2">
        <v>50</v>
      </c>
      <c r="I308" s="2">
        <f>Table13[[#This Row],[Quantity]]*Table13[[#This Row],[Price per Unit]]</f>
        <v>150</v>
      </c>
      <c r="J308" s="2">
        <v>150</v>
      </c>
    </row>
    <row r="309" spans="1:10" x14ac:dyDescent="0.35">
      <c r="A309" s="2">
        <v>753</v>
      </c>
      <c r="B309" s="3">
        <v>44985</v>
      </c>
      <c r="C309" s="2" t="s">
        <v>766</v>
      </c>
      <c r="D309" s="2" t="s">
        <v>13</v>
      </c>
      <c r="E309" s="2">
        <v>32</v>
      </c>
      <c r="F309" s="2" t="s">
        <v>14</v>
      </c>
      <c r="G309" s="2">
        <v>1</v>
      </c>
      <c r="H309" s="2">
        <v>30</v>
      </c>
      <c r="I309" s="2">
        <f>Table13[[#This Row],[Quantity]]*Table13[[#This Row],[Price per Unit]]</f>
        <v>30</v>
      </c>
      <c r="J309" s="2">
        <v>30</v>
      </c>
    </row>
    <row r="310" spans="1:10" x14ac:dyDescent="0.35">
      <c r="A310" s="2">
        <v>770</v>
      </c>
      <c r="B310" s="3">
        <v>45221</v>
      </c>
      <c r="C310" s="2" t="s">
        <v>783</v>
      </c>
      <c r="D310" s="2" t="s">
        <v>10</v>
      </c>
      <c r="E310" s="2">
        <v>32</v>
      </c>
      <c r="F310" s="2" t="s">
        <v>14</v>
      </c>
      <c r="G310" s="2">
        <v>1</v>
      </c>
      <c r="H310" s="2">
        <v>50</v>
      </c>
      <c r="I310" s="2">
        <f>Table13[[#This Row],[Quantity]]*Table13[[#This Row],[Price per Unit]]</f>
        <v>50</v>
      </c>
      <c r="J310" s="2">
        <v>50</v>
      </c>
    </row>
    <row r="311" spans="1:10" x14ac:dyDescent="0.35">
      <c r="A311" s="2">
        <v>800</v>
      </c>
      <c r="B311" s="3">
        <v>44981</v>
      </c>
      <c r="C311" s="2" t="s">
        <v>813</v>
      </c>
      <c r="D311" s="2" t="s">
        <v>10</v>
      </c>
      <c r="E311" s="2">
        <v>32</v>
      </c>
      <c r="F311" s="2" t="s">
        <v>14</v>
      </c>
      <c r="G311" s="2">
        <v>4</v>
      </c>
      <c r="H311" s="2">
        <v>300</v>
      </c>
      <c r="I311" s="2">
        <f>Table13[[#This Row],[Quantity]]*Table13[[#This Row],[Price per Unit]]</f>
        <v>1200</v>
      </c>
      <c r="J311" s="2">
        <v>1200</v>
      </c>
    </row>
    <row r="312" spans="1:10" x14ac:dyDescent="0.35">
      <c r="A312" s="2">
        <v>849</v>
      </c>
      <c r="B312" s="3">
        <v>45050</v>
      </c>
      <c r="C312" s="2" t="s">
        <v>862</v>
      </c>
      <c r="D312" s="2" t="s">
        <v>10</v>
      </c>
      <c r="E312" s="2">
        <v>32</v>
      </c>
      <c r="F312" s="2" t="s">
        <v>14</v>
      </c>
      <c r="G312" s="2">
        <v>2</v>
      </c>
      <c r="H312" s="2">
        <v>25</v>
      </c>
      <c r="I312" s="2">
        <f>Table13[[#This Row],[Quantity]]*Table13[[#This Row],[Price per Unit]]</f>
        <v>50</v>
      </c>
      <c r="J312" s="2">
        <v>50</v>
      </c>
    </row>
    <row r="313" spans="1:10" x14ac:dyDescent="0.35">
      <c r="A313" s="2">
        <v>851</v>
      </c>
      <c r="B313" s="3">
        <v>45177</v>
      </c>
      <c r="C313" s="2" t="s">
        <v>864</v>
      </c>
      <c r="D313" s="2" t="s">
        <v>10</v>
      </c>
      <c r="E313" s="2">
        <v>32</v>
      </c>
      <c r="F313" s="2" t="s">
        <v>16</v>
      </c>
      <c r="G313" s="2">
        <v>2</v>
      </c>
      <c r="H313" s="2">
        <v>25</v>
      </c>
      <c r="I313" s="2">
        <f>Table13[[#This Row],[Quantity]]*Table13[[#This Row],[Price per Unit]]</f>
        <v>50</v>
      </c>
      <c r="J313" s="2">
        <v>50</v>
      </c>
    </row>
    <row r="314" spans="1:10" x14ac:dyDescent="0.35">
      <c r="A314" s="2">
        <v>916</v>
      </c>
      <c r="B314" s="3">
        <v>45284</v>
      </c>
      <c r="C314" s="2" t="s">
        <v>929</v>
      </c>
      <c r="D314" s="2" t="s">
        <v>13</v>
      </c>
      <c r="E314" s="2">
        <v>32</v>
      </c>
      <c r="F314" s="2" t="s">
        <v>16</v>
      </c>
      <c r="G314" s="2">
        <v>1</v>
      </c>
      <c r="H314" s="2">
        <v>50</v>
      </c>
      <c r="I314" s="2">
        <f>Table13[[#This Row],[Quantity]]*Table13[[#This Row],[Price per Unit]]</f>
        <v>50</v>
      </c>
      <c r="J314" s="2">
        <v>50</v>
      </c>
    </row>
    <row r="315" spans="1:10" x14ac:dyDescent="0.35">
      <c r="A315" s="2">
        <v>923</v>
      </c>
      <c r="B315" s="3">
        <v>45072</v>
      </c>
      <c r="C315" s="2" t="s">
        <v>936</v>
      </c>
      <c r="D315" s="2" t="s">
        <v>10</v>
      </c>
      <c r="E315" s="2">
        <v>32</v>
      </c>
      <c r="F315" s="2" t="s">
        <v>11</v>
      </c>
      <c r="G315" s="2">
        <v>3</v>
      </c>
      <c r="H315" s="2">
        <v>300</v>
      </c>
      <c r="I315" s="2">
        <f>Table13[[#This Row],[Quantity]]*Table13[[#This Row],[Price per Unit]]</f>
        <v>900</v>
      </c>
      <c r="J315" s="2">
        <v>900</v>
      </c>
    </row>
    <row r="316" spans="1:10" x14ac:dyDescent="0.35">
      <c r="A316" s="2">
        <v>124</v>
      </c>
      <c r="B316" s="3">
        <v>45226</v>
      </c>
      <c r="C316" s="2" t="s">
        <v>137</v>
      </c>
      <c r="D316" s="2" t="s">
        <v>10</v>
      </c>
      <c r="E316" s="2">
        <v>33</v>
      </c>
      <c r="F316" s="2" t="s">
        <v>14</v>
      </c>
      <c r="G316" s="2">
        <v>4</v>
      </c>
      <c r="H316" s="2">
        <v>500</v>
      </c>
      <c r="I316" s="2">
        <f>Table13[[#This Row],[Quantity]]*Table13[[#This Row],[Price per Unit]]</f>
        <v>2000</v>
      </c>
      <c r="J316" s="2">
        <v>2000</v>
      </c>
    </row>
    <row r="317" spans="1:10" x14ac:dyDescent="0.35">
      <c r="A317" s="2">
        <v>127</v>
      </c>
      <c r="B317" s="3">
        <v>45131</v>
      </c>
      <c r="C317" s="2" t="s">
        <v>140</v>
      </c>
      <c r="D317" s="2" t="s">
        <v>13</v>
      </c>
      <c r="E317" s="2">
        <v>33</v>
      </c>
      <c r="F317" s="2" t="s">
        <v>14</v>
      </c>
      <c r="G317" s="2">
        <v>2</v>
      </c>
      <c r="H317" s="2">
        <v>25</v>
      </c>
      <c r="I317" s="2">
        <f>Table13[[#This Row],[Quantity]]*Table13[[#This Row],[Price per Unit]]</f>
        <v>50</v>
      </c>
      <c r="J317" s="2">
        <v>50</v>
      </c>
    </row>
    <row r="318" spans="1:10" x14ac:dyDescent="0.35">
      <c r="A318" s="2">
        <v>526</v>
      </c>
      <c r="B318" s="3">
        <v>45270</v>
      </c>
      <c r="C318" s="2" t="s">
        <v>539</v>
      </c>
      <c r="D318" s="2" t="s">
        <v>10</v>
      </c>
      <c r="E318" s="2">
        <v>33</v>
      </c>
      <c r="F318" s="2" t="s">
        <v>14</v>
      </c>
      <c r="G318" s="2">
        <v>2</v>
      </c>
      <c r="H318" s="2">
        <v>50</v>
      </c>
      <c r="I318" s="2">
        <f>Table13[[#This Row],[Quantity]]*Table13[[#This Row],[Price per Unit]]</f>
        <v>100</v>
      </c>
      <c r="J318" s="2">
        <v>100</v>
      </c>
    </row>
    <row r="319" spans="1:10" x14ac:dyDescent="0.35">
      <c r="A319" s="2">
        <v>576</v>
      </c>
      <c r="B319" s="3">
        <v>45264</v>
      </c>
      <c r="C319" s="2" t="s">
        <v>589</v>
      </c>
      <c r="D319" s="2" t="s">
        <v>13</v>
      </c>
      <c r="E319" s="2">
        <v>33</v>
      </c>
      <c r="F319" s="2" t="s">
        <v>11</v>
      </c>
      <c r="G319" s="2">
        <v>3</v>
      </c>
      <c r="H319" s="2">
        <v>50</v>
      </c>
      <c r="I319" s="2">
        <f>Table13[[#This Row],[Quantity]]*Table13[[#This Row],[Price per Unit]]</f>
        <v>150</v>
      </c>
      <c r="J319" s="2">
        <v>150</v>
      </c>
    </row>
    <row r="320" spans="1:10" x14ac:dyDescent="0.35">
      <c r="A320" s="2">
        <v>737</v>
      </c>
      <c r="B320" s="3">
        <v>45106</v>
      </c>
      <c r="C320" s="2" t="s">
        <v>750</v>
      </c>
      <c r="D320" s="2" t="s">
        <v>13</v>
      </c>
      <c r="E320" s="2">
        <v>33</v>
      </c>
      <c r="F320" s="2" t="s">
        <v>14</v>
      </c>
      <c r="G320" s="2">
        <v>1</v>
      </c>
      <c r="H320" s="2">
        <v>50</v>
      </c>
      <c r="I320" s="2">
        <f>Table13[[#This Row],[Quantity]]*Table13[[#This Row],[Price per Unit]]</f>
        <v>50</v>
      </c>
      <c r="J320" s="2">
        <v>50</v>
      </c>
    </row>
    <row r="321" spans="1:10" x14ac:dyDescent="0.35">
      <c r="A321" s="2">
        <v>746</v>
      </c>
      <c r="B321" s="3">
        <v>44937</v>
      </c>
      <c r="C321" s="2" t="s">
        <v>759</v>
      </c>
      <c r="D321" s="2" t="s">
        <v>13</v>
      </c>
      <c r="E321" s="2">
        <v>33</v>
      </c>
      <c r="F321" s="2" t="s">
        <v>14</v>
      </c>
      <c r="G321" s="2">
        <v>3</v>
      </c>
      <c r="H321" s="2">
        <v>30</v>
      </c>
      <c r="I321" s="2">
        <f>Table13[[#This Row],[Quantity]]*Table13[[#This Row],[Price per Unit]]</f>
        <v>90</v>
      </c>
      <c r="J321" s="2">
        <v>90</v>
      </c>
    </row>
    <row r="322" spans="1:10" x14ac:dyDescent="0.35">
      <c r="A322" s="2">
        <v>761</v>
      </c>
      <c r="B322" s="3">
        <v>45237</v>
      </c>
      <c r="C322" s="2" t="s">
        <v>774</v>
      </c>
      <c r="D322" s="2" t="s">
        <v>13</v>
      </c>
      <c r="E322" s="2">
        <v>33</v>
      </c>
      <c r="F322" s="2" t="s">
        <v>14</v>
      </c>
      <c r="G322" s="2">
        <v>1</v>
      </c>
      <c r="H322" s="2">
        <v>500</v>
      </c>
      <c r="I322" s="2">
        <f>Table13[[#This Row],[Quantity]]*Table13[[#This Row],[Price per Unit]]</f>
        <v>500</v>
      </c>
      <c r="J322" s="2">
        <v>500</v>
      </c>
    </row>
    <row r="323" spans="1:10" x14ac:dyDescent="0.35">
      <c r="A323" s="2">
        <v>808</v>
      </c>
      <c r="B323" s="3">
        <v>45017</v>
      </c>
      <c r="C323" s="2" t="s">
        <v>821</v>
      </c>
      <c r="D323" s="2" t="s">
        <v>10</v>
      </c>
      <c r="E323" s="2">
        <v>33</v>
      </c>
      <c r="F323" s="2" t="s">
        <v>11</v>
      </c>
      <c r="G323" s="2">
        <v>4</v>
      </c>
      <c r="H323" s="2">
        <v>500</v>
      </c>
      <c r="I323" s="2">
        <f>Table13[[#This Row],[Quantity]]*Table13[[#This Row],[Price per Unit]]</f>
        <v>2000</v>
      </c>
      <c r="J323" s="2">
        <v>2000</v>
      </c>
    </row>
    <row r="324" spans="1:10" x14ac:dyDescent="0.35">
      <c r="A324" s="2">
        <v>828</v>
      </c>
      <c r="B324" s="3">
        <v>45269</v>
      </c>
      <c r="C324" s="2" t="s">
        <v>841</v>
      </c>
      <c r="D324" s="2" t="s">
        <v>13</v>
      </c>
      <c r="E324" s="2">
        <v>33</v>
      </c>
      <c r="F324" s="2" t="s">
        <v>16</v>
      </c>
      <c r="G324" s="2">
        <v>4</v>
      </c>
      <c r="H324" s="2">
        <v>300</v>
      </c>
      <c r="I324" s="2">
        <f>Table13[[#This Row],[Quantity]]*Table13[[#This Row],[Price per Unit]]</f>
        <v>1200</v>
      </c>
      <c r="J324" s="2">
        <v>1200</v>
      </c>
    </row>
    <row r="325" spans="1:10" x14ac:dyDescent="0.35">
      <c r="A325" s="2">
        <v>951</v>
      </c>
      <c r="B325" s="3">
        <v>45232</v>
      </c>
      <c r="C325" s="2" t="s">
        <v>964</v>
      </c>
      <c r="D325" s="2" t="s">
        <v>10</v>
      </c>
      <c r="E325" s="2">
        <v>33</v>
      </c>
      <c r="F325" s="2" t="s">
        <v>11</v>
      </c>
      <c r="G325" s="2">
        <v>2</v>
      </c>
      <c r="H325" s="2">
        <v>50</v>
      </c>
      <c r="I325" s="2">
        <f>Table13[[#This Row],[Quantity]]*Table13[[#This Row],[Price per Unit]]</f>
        <v>100</v>
      </c>
      <c r="J325" s="2">
        <v>100</v>
      </c>
    </row>
    <row r="326" spans="1:10" x14ac:dyDescent="0.35">
      <c r="A326" s="2">
        <v>1</v>
      </c>
      <c r="B326" s="3">
        <v>45254</v>
      </c>
      <c r="C326" s="2" t="s">
        <v>9</v>
      </c>
      <c r="D326" s="2" t="s">
        <v>10</v>
      </c>
      <c r="E326" s="2">
        <v>34</v>
      </c>
      <c r="F326" s="2" t="s">
        <v>11</v>
      </c>
      <c r="G326" s="2">
        <v>3</v>
      </c>
      <c r="H326" s="2">
        <v>50</v>
      </c>
      <c r="I326" s="2">
        <f>Table13[[#This Row],[Quantity]]*Table13[[#This Row],[Price per Unit]]</f>
        <v>150</v>
      </c>
      <c r="J326" s="2">
        <v>150</v>
      </c>
    </row>
    <row r="327" spans="1:10" x14ac:dyDescent="0.35">
      <c r="A327" s="2">
        <v>41</v>
      </c>
      <c r="B327" s="3">
        <v>44979</v>
      </c>
      <c r="C327" s="2" t="s">
        <v>54</v>
      </c>
      <c r="D327" s="2" t="s">
        <v>10</v>
      </c>
      <c r="E327" s="2">
        <v>34</v>
      </c>
      <c r="F327" s="2" t="s">
        <v>14</v>
      </c>
      <c r="G327" s="2">
        <v>2</v>
      </c>
      <c r="H327" s="2">
        <v>25</v>
      </c>
      <c r="I327" s="2">
        <f>Table13[[#This Row],[Quantity]]*Table13[[#This Row],[Price per Unit]]</f>
        <v>50</v>
      </c>
      <c r="J327" s="2">
        <v>50</v>
      </c>
    </row>
    <row r="328" spans="1:10" x14ac:dyDescent="0.35">
      <c r="A328" s="2">
        <v>53</v>
      </c>
      <c r="B328" s="3">
        <v>45120</v>
      </c>
      <c r="C328" s="2" t="s">
        <v>66</v>
      </c>
      <c r="D328" s="2" t="s">
        <v>10</v>
      </c>
      <c r="E328" s="2">
        <v>34</v>
      </c>
      <c r="F328" s="2" t="s">
        <v>16</v>
      </c>
      <c r="G328" s="2">
        <v>2</v>
      </c>
      <c r="H328" s="2">
        <v>50</v>
      </c>
      <c r="I328" s="2">
        <f>Table13[[#This Row],[Quantity]]*Table13[[#This Row],[Price per Unit]]</f>
        <v>100</v>
      </c>
      <c r="J328" s="2">
        <v>100</v>
      </c>
    </row>
    <row r="329" spans="1:10" x14ac:dyDescent="0.35">
      <c r="A329" s="2">
        <v>79</v>
      </c>
      <c r="B329" s="3">
        <v>45034</v>
      </c>
      <c r="C329" s="2" t="s">
        <v>92</v>
      </c>
      <c r="D329" s="2" t="s">
        <v>10</v>
      </c>
      <c r="E329" s="2">
        <v>34</v>
      </c>
      <c r="F329" s="2" t="s">
        <v>11</v>
      </c>
      <c r="G329" s="2">
        <v>1</v>
      </c>
      <c r="H329" s="2">
        <v>300</v>
      </c>
      <c r="I329" s="2">
        <f>Table13[[#This Row],[Quantity]]*Table13[[#This Row],[Price per Unit]]</f>
        <v>300</v>
      </c>
      <c r="J329" s="2">
        <v>300</v>
      </c>
    </row>
    <row r="330" spans="1:10" x14ac:dyDescent="0.35">
      <c r="A330" s="2">
        <v>104</v>
      </c>
      <c r="B330" s="3">
        <v>45088</v>
      </c>
      <c r="C330" s="2" t="s">
        <v>117</v>
      </c>
      <c r="D330" s="2" t="s">
        <v>13</v>
      </c>
      <c r="E330" s="2">
        <v>34</v>
      </c>
      <c r="F330" s="2" t="s">
        <v>11</v>
      </c>
      <c r="G330" s="2">
        <v>2</v>
      </c>
      <c r="H330" s="2">
        <v>500</v>
      </c>
      <c r="I330" s="2">
        <f>Table13[[#This Row],[Quantity]]*Table13[[#This Row],[Price per Unit]]</f>
        <v>1000</v>
      </c>
      <c r="J330" s="2">
        <v>1000</v>
      </c>
    </row>
    <row r="331" spans="1:10" x14ac:dyDescent="0.35">
      <c r="A331" s="2">
        <v>109</v>
      </c>
      <c r="B331" s="3">
        <v>45217</v>
      </c>
      <c r="C331" s="2" t="s">
        <v>122</v>
      </c>
      <c r="D331" s="2" t="s">
        <v>13</v>
      </c>
      <c r="E331" s="2">
        <v>34</v>
      </c>
      <c r="F331" s="2" t="s">
        <v>16</v>
      </c>
      <c r="G331" s="2">
        <v>4</v>
      </c>
      <c r="H331" s="2">
        <v>500</v>
      </c>
      <c r="I331" s="2">
        <f>Table13[[#This Row],[Quantity]]*Table13[[#This Row],[Price per Unit]]</f>
        <v>2000</v>
      </c>
      <c r="J331" s="2">
        <v>2000</v>
      </c>
    </row>
    <row r="332" spans="1:10" x14ac:dyDescent="0.35">
      <c r="A332" s="2">
        <v>111</v>
      </c>
      <c r="B332" s="3">
        <v>45035</v>
      </c>
      <c r="C332" s="2" t="s">
        <v>124</v>
      </c>
      <c r="D332" s="2" t="s">
        <v>13</v>
      </c>
      <c r="E332" s="2">
        <v>34</v>
      </c>
      <c r="F332" s="2" t="s">
        <v>16</v>
      </c>
      <c r="G332" s="2">
        <v>3</v>
      </c>
      <c r="H332" s="2">
        <v>500</v>
      </c>
      <c r="I332" s="2">
        <f>Table13[[#This Row],[Quantity]]*Table13[[#This Row],[Price per Unit]]</f>
        <v>1500</v>
      </c>
      <c r="J332" s="2">
        <v>1500</v>
      </c>
    </row>
    <row r="333" spans="1:10" x14ac:dyDescent="0.35">
      <c r="A333" s="2">
        <v>166</v>
      </c>
      <c r="B333" s="3">
        <v>45018</v>
      </c>
      <c r="C333" s="2" t="s">
        <v>179</v>
      </c>
      <c r="D333" s="2" t="s">
        <v>10</v>
      </c>
      <c r="E333" s="2">
        <v>34</v>
      </c>
      <c r="F333" s="2" t="s">
        <v>14</v>
      </c>
      <c r="G333" s="2">
        <v>4</v>
      </c>
      <c r="H333" s="2">
        <v>500</v>
      </c>
      <c r="I333" s="2">
        <f>Table13[[#This Row],[Quantity]]*Table13[[#This Row],[Price per Unit]]</f>
        <v>2000</v>
      </c>
      <c r="J333" s="2">
        <v>2000</v>
      </c>
    </row>
    <row r="334" spans="1:10" x14ac:dyDescent="0.35">
      <c r="A334" s="2">
        <v>202</v>
      </c>
      <c r="B334" s="3">
        <v>45011</v>
      </c>
      <c r="C334" s="2" t="s">
        <v>215</v>
      </c>
      <c r="D334" s="2" t="s">
        <v>13</v>
      </c>
      <c r="E334" s="2">
        <v>34</v>
      </c>
      <c r="F334" s="2" t="s">
        <v>14</v>
      </c>
      <c r="G334" s="2">
        <v>4</v>
      </c>
      <c r="H334" s="2">
        <v>300</v>
      </c>
      <c r="I334" s="2">
        <f>Table13[[#This Row],[Quantity]]*Table13[[#This Row],[Price per Unit]]</f>
        <v>1200</v>
      </c>
      <c r="J334" s="2">
        <v>1200</v>
      </c>
    </row>
    <row r="335" spans="1:10" x14ac:dyDescent="0.35">
      <c r="A335" s="2">
        <v>208</v>
      </c>
      <c r="B335" s="3">
        <v>45203</v>
      </c>
      <c r="C335" s="2" t="s">
        <v>221</v>
      </c>
      <c r="D335" s="2" t="s">
        <v>13</v>
      </c>
      <c r="E335" s="2">
        <v>34</v>
      </c>
      <c r="F335" s="2" t="s">
        <v>16</v>
      </c>
      <c r="G335" s="2">
        <v>4</v>
      </c>
      <c r="H335" s="2">
        <v>50</v>
      </c>
      <c r="I335" s="2">
        <f>Table13[[#This Row],[Quantity]]*Table13[[#This Row],[Price per Unit]]</f>
        <v>200</v>
      </c>
      <c r="J335" s="2">
        <v>200</v>
      </c>
    </row>
    <row r="336" spans="1:10" x14ac:dyDescent="0.35">
      <c r="A336" s="2">
        <v>308</v>
      </c>
      <c r="B336" s="3">
        <v>45143</v>
      </c>
      <c r="C336" s="2" t="s">
        <v>321</v>
      </c>
      <c r="D336" s="2" t="s">
        <v>13</v>
      </c>
      <c r="E336" s="2">
        <v>34</v>
      </c>
      <c r="F336" s="2" t="s">
        <v>11</v>
      </c>
      <c r="G336" s="2">
        <v>4</v>
      </c>
      <c r="H336" s="2">
        <v>300</v>
      </c>
      <c r="I336" s="2">
        <f>Table13[[#This Row],[Quantity]]*Table13[[#This Row],[Price per Unit]]</f>
        <v>1200</v>
      </c>
      <c r="J336" s="2">
        <v>1200</v>
      </c>
    </row>
    <row r="337" spans="1:10" x14ac:dyDescent="0.35">
      <c r="A337" s="2">
        <v>361</v>
      </c>
      <c r="B337" s="3">
        <v>45270</v>
      </c>
      <c r="C337" s="2" t="s">
        <v>374</v>
      </c>
      <c r="D337" s="2" t="s">
        <v>13</v>
      </c>
      <c r="E337" s="2">
        <v>34</v>
      </c>
      <c r="F337" s="2" t="s">
        <v>16</v>
      </c>
      <c r="G337" s="2">
        <v>4</v>
      </c>
      <c r="H337" s="2">
        <v>300</v>
      </c>
      <c r="I337" s="2">
        <f>Table13[[#This Row],[Quantity]]*Table13[[#This Row],[Price per Unit]]</f>
        <v>1200</v>
      </c>
      <c r="J337" s="2">
        <v>1200</v>
      </c>
    </row>
    <row r="338" spans="1:10" x14ac:dyDescent="0.35">
      <c r="A338" s="2">
        <v>490</v>
      </c>
      <c r="B338" s="3">
        <v>44962</v>
      </c>
      <c r="C338" s="2" t="s">
        <v>503</v>
      </c>
      <c r="D338" s="2" t="s">
        <v>10</v>
      </c>
      <c r="E338" s="2">
        <v>34</v>
      </c>
      <c r="F338" s="2" t="s">
        <v>14</v>
      </c>
      <c r="G338" s="2">
        <v>3</v>
      </c>
      <c r="H338" s="2">
        <v>50</v>
      </c>
      <c r="I338" s="2">
        <f>Table13[[#This Row],[Quantity]]*Table13[[#This Row],[Price per Unit]]</f>
        <v>150</v>
      </c>
      <c r="J338" s="2">
        <v>150</v>
      </c>
    </row>
    <row r="339" spans="1:10" x14ac:dyDescent="0.35">
      <c r="A339" s="2">
        <v>506</v>
      </c>
      <c r="B339" s="3">
        <v>44982</v>
      </c>
      <c r="C339" s="2" t="s">
        <v>519</v>
      </c>
      <c r="D339" s="2" t="s">
        <v>10</v>
      </c>
      <c r="E339" s="2">
        <v>34</v>
      </c>
      <c r="F339" s="2" t="s">
        <v>11</v>
      </c>
      <c r="G339" s="2">
        <v>3</v>
      </c>
      <c r="H339" s="2">
        <v>500</v>
      </c>
      <c r="I339" s="2">
        <f>Table13[[#This Row],[Quantity]]*Table13[[#This Row],[Price per Unit]]</f>
        <v>1500</v>
      </c>
      <c r="J339" s="2">
        <v>1500</v>
      </c>
    </row>
    <row r="340" spans="1:10" x14ac:dyDescent="0.35">
      <c r="A340" s="2">
        <v>617</v>
      </c>
      <c r="B340" s="3">
        <v>45164</v>
      </c>
      <c r="C340" s="2" t="s">
        <v>630</v>
      </c>
      <c r="D340" s="2" t="s">
        <v>10</v>
      </c>
      <c r="E340" s="2">
        <v>34</v>
      </c>
      <c r="F340" s="2" t="s">
        <v>16</v>
      </c>
      <c r="G340" s="2">
        <v>1</v>
      </c>
      <c r="H340" s="2">
        <v>30</v>
      </c>
      <c r="I340" s="2">
        <f>Table13[[#This Row],[Quantity]]*Table13[[#This Row],[Price per Unit]]</f>
        <v>30</v>
      </c>
      <c r="J340" s="2">
        <v>30</v>
      </c>
    </row>
    <row r="341" spans="1:10" x14ac:dyDescent="0.35">
      <c r="A341" s="2">
        <v>623</v>
      </c>
      <c r="B341" s="3">
        <v>44995</v>
      </c>
      <c r="C341" s="2" t="s">
        <v>636</v>
      </c>
      <c r="D341" s="2" t="s">
        <v>10</v>
      </c>
      <c r="E341" s="2">
        <v>34</v>
      </c>
      <c r="F341" s="2" t="s">
        <v>14</v>
      </c>
      <c r="G341" s="2">
        <v>3</v>
      </c>
      <c r="H341" s="2">
        <v>50</v>
      </c>
      <c r="I341" s="2">
        <f>Table13[[#This Row],[Quantity]]*Table13[[#This Row],[Price per Unit]]</f>
        <v>150</v>
      </c>
      <c r="J341" s="2">
        <v>150</v>
      </c>
    </row>
    <row r="342" spans="1:10" x14ac:dyDescent="0.35">
      <c r="A342" s="2">
        <v>624</v>
      </c>
      <c r="B342" s="3">
        <v>45164</v>
      </c>
      <c r="C342" s="2" t="s">
        <v>637</v>
      </c>
      <c r="D342" s="2" t="s">
        <v>13</v>
      </c>
      <c r="E342" s="2">
        <v>34</v>
      </c>
      <c r="F342" s="2" t="s">
        <v>11</v>
      </c>
      <c r="G342" s="2">
        <v>3</v>
      </c>
      <c r="H342" s="2">
        <v>300</v>
      </c>
      <c r="I342" s="2">
        <f>Table13[[#This Row],[Quantity]]*Table13[[#This Row],[Price per Unit]]</f>
        <v>900</v>
      </c>
      <c r="J342" s="2">
        <v>900</v>
      </c>
    </row>
    <row r="343" spans="1:10" x14ac:dyDescent="0.35">
      <c r="A343" s="2">
        <v>652</v>
      </c>
      <c r="B343" s="3">
        <v>45047</v>
      </c>
      <c r="C343" s="2" t="s">
        <v>665</v>
      </c>
      <c r="D343" s="2" t="s">
        <v>13</v>
      </c>
      <c r="E343" s="2">
        <v>34</v>
      </c>
      <c r="F343" s="2" t="s">
        <v>11</v>
      </c>
      <c r="G343" s="2">
        <v>2</v>
      </c>
      <c r="H343" s="2">
        <v>50</v>
      </c>
      <c r="I343" s="2">
        <f>Table13[[#This Row],[Quantity]]*Table13[[#This Row],[Price per Unit]]</f>
        <v>100</v>
      </c>
      <c r="J343" s="2">
        <v>100</v>
      </c>
    </row>
    <row r="344" spans="1:10" x14ac:dyDescent="0.35">
      <c r="A344" s="2">
        <v>672</v>
      </c>
      <c r="B344" s="3">
        <v>45139</v>
      </c>
      <c r="C344" s="2" t="s">
        <v>685</v>
      </c>
      <c r="D344" s="2" t="s">
        <v>13</v>
      </c>
      <c r="E344" s="2">
        <v>34</v>
      </c>
      <c r="F344" s="2" t="s">
        <v>11</v>
      </c>
      <c r="G344" s="2">
        <v>2</v>
      </c>
      <c r="H344" s="2">
        <v>50</v>
      </c>
      <c r="I344" s="2">
        <f>Table13[[#This Row],[Quantity]]*Table13[[#This Row],[Price per Unit]]</f>
        <v>100</v>
      </c>
      <c r="J344" s="2">
        <v>100</v>
      </c>
    </row>
    <row r="345" spans="1:10" x14ac:dyDescent="0.35">
      <c r="A345" s="2">
        <v>703</v>
      </c>
      <c r="B345" s="3">
        <v>45011</v>
      </c>
      <c r="C345" s="2" t="s">
        <v>716</v>
      </c>
      <c r="D345" s="2" t="s">
        <v>10</v>
      </c>
      <c r="E345" s="2">
        <v>34</v>
      </c>
      <c r="F345" s="2" t="s">
        <v>16</v>
      </c>
      <c r="G345" s="2">
        <v>2</v>
      </c>
      <c r="H345" s="2">
        <v>50</v>
      </c>
      <c r="I345" s="2">
        <f>Table13[[#This Row],[Quantity]]*Table13[[#This Row],[Price per Unit]]</f>
        <v>100</v>
      </c>
      <c r="J345" s="2">
        <v>100</v>
      </c>
    </row>
    <row r="346" spans="1:10" x14ac:dyDescent="0.35">
      <c r="A346" s="2">
        <v>713</v>
      </c>
      <c r="B346" s="3">
        <v>44940</v>
      </c>
      <c r="C346" s="2" t="s">
        <v>726</v>
      </c>
      <c r="D346" s="2" t="s">
        <v>10</v>
      </c>
      <c r="E346" s="2">
        <v>34</v>
      </c>
      <c r="F346" s="2" t="s">
        <v>11</v>
      </c>
      <c r="G346" s="2">
        <v>3</v>
      </c>
      <c r="H346" s="2">
        <v>25</v>
      </c>
      <c r="I346" s="2">
        <f>Table13[[#This Row],[Quantity]]*Table13[[#This Row],[Price per Unit]]</f>
        <v>75</v>
      </c>
      <c r="J346" s="2">
        <v>75</v>
      </c>
    </row>
    <row r="347" spans="1:10" x14ac:dyDescent="0.35">
      <c r="A347" s="2">
        <v>733</v>
      </c>
      <c r="B347" s="3">
        <v>45167</v>
      </c>
      <c r="C347" s="2" t="s">
        <v>746</v>
      </c>
      <c r="D347" s="2" t="s">
        <v>10</v>
      </c>
      <c r="E347" s="2">
        <v>34</v>
      </c>
      <c r="F347" s="2" t="s">
        <v>11</v>
      </c>
      <c r="G347" s="2">
        <v>1</v>
      </c>
      <c r="H347" s="2">
        <v>30</v>
      </c>
      <c r="I347" s="2">
        <f>Table13[[#This Row],[Quantity]]*Table13[[#This Row],[Price per Unit]]</f>
        <v>30</v>
      </c>
      <c r="J347" s="2">
        <v>30</v>
      </c>
    </row>
    <row r="348" spans="1:10" x14ac:dyDescent="0.35">
      <c r="A348" s="2">
        <v>743</v>
      </c>
      <c r="B348" s="3">
        <v>44942</v>
      </c>
      <c r="C348" s="2" t="s">
        <v>756</v>
      </c>
      <c r="D348" s="2" t="s">
        <v>13</v>
      </c>
      <c r="E348" s="2">
        <v>34</v>
      </c>
      <c r="F348" s="2" t="s">
        <v>11</v>
      </c>
      <c r="G348" s="2">
        <v>4</v>
      </c>
      <c r="H348" s="2">
        <v>500</v>
      </c>
      <c r="I348" s="2">
        <f>Table13[[#This Row],[Quantity]]*Table13[[#This Row],[Price per Unit]]</f>
        <v>2000</v>
      </c>
      <c r="J348" s="2">
        <v>2000</v>
      </c>
    </row>
    <row r="349" spans="1:10" x14ac:dyDescent="0.35">
      <c r="A349" s="2">
        <v>763</v>
      </c>
      <c r="B349" s="3">
        <v>44985</v>
      </c>
      <c r="C349" s="2" t="s">
        <v>776</v>
      </c>
      <c r="D349" s="2" t="s">
        <v>10</v>
      </c>
      <c r="E349" s="2">
        <v>34</v>
      </c>
      <c r="F349" s="2" t="s">
        <v>14</v>
      </c>
      <c r="G349" s="2">
        <v>2</v>
      </c>
      <c r="H349" s="2">
        <v>25</v>
      </c>
      <c r="I349" s="2">
        <f>Table13[[#This Row],[Quantity]]*Table13[[#This Row],[Price per Unit]]</f>
        <v>50</v>
      </c>
      <c r="J349" s="2">
        <v>50</v>
      </c>
    </row>
    <row r="350" spans="1:10" x14ac:dyDescent="0.35">
      <c r="A350" s="2">
        <v>784</v>
      </c>
      <c r="B350" s="3">
        <v>45234</v>
      </c>
      <c r="C350" s="2" t="s">
        <v>797</v>
      </c>
      <c r="D350" s="2" t="s">
        <v>13</v>
      </c>
      <c r="E350" s="2">
        <v>34</v>
      </c>
      <c r="F350" s="2" t="s">
        <v>16</v>
      </c>
      <c r="G350" s="2">
        <v>1</v>
      </c>
      <c r="H350" s="2">
        <v>500</v>
      </c>
      <c r="I350" s="2">
        <f>Table13[[#This Row],[Quantity]]*Table13[[#This Row],[Price per Unit]]</f>
        <v>500</v>
      </c>
      <c r="J350" s="2">
        <v>500</v>
      </c>
    </row>
    <row r="351" spans="1:10" x14ac:dyDescent="0.35">
      <c r="A351" s="2">
        <v>890</v>
      </c>
      <c r="B351" s="3">
        <v>45280</v>
      </c>
      <c r="C351" s="2" t="s">
        <v>903</v>
      </c>
      <c r="D351" s="2" t="s">
        <v>10</v>
      </c>
      <c r="E351" s="2">
        <v>34</v>
      </c>
      <c r="F351" s="2" t="s">
        <v>16</v>
      </c>
      <c r="G351" s="2">
        <v>2</v>
      </c>
      <c r="H351" s="2">
        <v>25</v>
      </c>
      <c r="I351" s="2">
        <f>Table13[[#This Row],[Quantity]]*Table13[[#This Row],[Price per Unit]]</f>
        <v>50</v>
      </c>
      <c r="J351" s="2">
        <v>50</v>
      </c>
    </row>
    <row r="352" spans="1:10" x14ac:dyDescent="0.35">
      <c r="A352" s="2">
        <v>935</v>
      </c>
      <c r="B352" s="3">
        <v>45178</v>
      </c>
      <c r="C352" s="2" t="s">
        <v>948</v>
      </c>
      <c r="D352" s="2" t="s">
        <v>13</v>
      </c>
      <c r="E352" s="2">
        <v>34</v>
      </c>
      <c r="F352" s="2" t="s">
        <v>11</v>
      </c>
      <c r="G352" s="2">
        <v>1</v>
      </c>
      <c r="H352" s="2">
        <v>50</v>
      </c>
      <c r="I352" s="2">
        <f>Table13[[#This Row],[Quantity]]*Table13[[#This Row],[Price per Unit]]</f>
        <v>50</v>
      </c>
      <c r="J352" s="2">
        <v>50</v>
      </c>
    </row>
    <row r="353" spans="1:10" x14ac:dyDescent="0.35">
      <c r="A353" s="2">
        <v>991</v>
      </c>
      <c r="B353" s="3">
        <v>45286</v>
      </c>
      <c r="C353" s="2" t="s">
        <v>1004</v>
      </c>
      <c r="D353" s="2" t="s">
        <v>13</v>
      </c>
      <c r="E353" s="2">
        <v>34</v>
      </c>
      <c r="F353" s="2" t="s">
        <v>14</v>
      </c>
      <c r="G353" s="2">
        <v>2</v>
      </c>
      <c r="H353" s="2">
        <v>50</v>
      </c>
      <c r="I353" s="2">
        <f>Table13[[#This Row],[Quantity]]*Table13[[#This Row],[Price per Unit]]</f>
        <v>100</v>
      </c>
      <c r="J353" s="2">
        <v>100</v>
      </c>
    </row>
    <row r="354" spans="1:10" x14ac:dyDescent="0.35">
      <c r="A354" s="2">
        <v>12</v>
      </c>
      <c r="B354" s="3">
        <v>45229</v>
      </c>
      <c r="C354" s="2" t="s">
        <v>25</v>
      </c>
      <c r="D354" s="2" t="s">
        <v>10</v>
      </c>
      <c r="E354" s="2">
        <v>35</v>
      </c>
      <c r="F354" s="2" t="s">
        <v>11</v>
      </c>
      <c r="G354" s="2">
        <v>3</v>
      </c>
      <c r="H354" s="2">
        <v>25</v>
      </c>
      <c r="I354" s="2">
        <f>Table13[[#This Row],[Quantity]]*Table13[[#This Row],[Price per Unit]]</f>
        <v>75</v>
      </c>
      <c r="J354" s="2">
        <v>75</v>
      </c>
    </row>
    <row r="355" spans="1:10" x14ac:dyDescent="0.35">
      <c r="A355" s="2">
        <v>23</v>
      </c>
      <c r="B355" s="3">
        <v>45028</v>
      </c>
      <c r="C355" s="2" t="s">
        <v>36</v>
      </c>
      <c r="D355" s="2" t="s">
        <v>13</v>
      </c>
      <c r="E355" s="2">
        <v>35</v>
      </c>
      <c r="F355" s="2" t="s">
        <v>14</v>
      </c>
      <c r="G355" s="2">
        <v>4</v>
      </c>
      <c r="H355" s="2">
        <v>30</v>
      </c>
      <c r="I355" s="2">
        <f>Table13[[#This Row],[Quantity]]*Table13[[#This Row],[Price per Unit]]</f>
        <v>120</v>
      </c>
      <c r="J355" s="2">
        <v>120</v>
      </c>
    </row>
    <row r="356" spans="1:10" x14ac:dyDescent="0.35">
      <c r="A356" s="2">
        <v>93</v>
      </c>
      <c r="B356" s="3">
        <v>45121</v>
      </c>
      <c r="C356" s="2" t="s">
        <v>106</v>
      </c>
      <c r="D356" s="2" t="s">
        <v>13</v>
      </c>
      <c r="E356" s="2">
        <v>35</v>
      </c>
      <c r="F356" s="2" t="s">
        <v>11</v>
      </c>
      <c r="G356" s="2">
        <v>4</v>
      </c>
      <c r="H356" s="2">
        <v>500</v>
      </c>
      <c r="I356" s="2">
        <f>Table13[[#This Row],[Quantity]]*Table13[[#This Row],[Price per Unit]]</f>
        <v>2000</v>
      </c>
      <c r="J356" s="2">
        <v>2000</v>
      </c>
    </row>
    <row r="357" spans="1:10" x14ac:dyDescent="0.35">
      <c r="A357" s="2">
        <v>142</v>
      </c>
      <c r="B357" s="3">
        <v>44959</v>
      </c>
      <c r="C357" s="2" t="s">
        <v>155</v>
      </c>
      <c r="D357" s="2" t="s">
        <v>10</v>
      </c>
      <c r="E357" s="2">
        <v>35</v>
      </c>
      <c r="F357" s="2" t="s">
        <v>16</v>
      </c>
      <c r="G357" s="2">
        <v>4</v>
      </c>
      <c r="H357" s="2">
        <v>300</v>
      </c>
      <c r="I357" s="2">
        <f>Table13[[#This Row],[Quantity]]*Table13[[#This Row],[Price per Unit]]</f>
        <v>1200</v>
      </c>
      <c r="J357" s="2">
        <v>1200</v>
      </c>
    </row>
    <row r="358" spans="1:10" x14ac:dyDescent="0.35">
      <c r="A358" s="2">
        <v>193</v>
      </c>
      <c r="B358" s="3">
        <v>44970</v>
      </c>
      <c r="C358" s="2" t="s">
        <v>206</v>
      </c>
      <c r="D358" s="2" t="s">
        <v>10</v>
      </c>
      <c r="E358" s="2">
        <v>35</v>
      </c>
      <c r="F358" s="2" t="s">
        <v>11</v>
      </c>
      <c r="G358" s="2">
        <v>3</v>
      </c>
      <c r="H358" s="2">
        <v>500</v>
      </c>
      <c r="I358" s="2">
        <f>Table13[[#This Row],[Quantity]]*Table13[[#This Row],[Price per Unit]]</f>
        <v>1500</v>
      </c>
      <c r="J358" s="2">
        <v>1500</v>
      </c>
    </row>
    <row r="359" spans="1:10" x14ac:dyDescent="0.35">
      <c r="A359" s="2">
        <v>217</v>
      </c>
      <c r="B359" s="3">
        <v>45151</v>
      </c>
      <c r="C359" s="2" t="s">
        <v>230</v>
      </c>
      <c r="D359" s="2" t="s">
        <v>13</v>
      </c>
      <c r="E359" s="2">
        <v>35</v>
      </c>
      <c r="F359" s="2" t="s">
        <v>16</v>
      </c>
      <c r="G359" s="2">
        <v>4</v>
      </c>
      <c r="H359" s="2">
        <v>50</v>
      </c>
      <c r="I359" s="2">
        <f>Table13[[#This Row],[Quantity]]*Table13[[#This Row],[Price per Unit]]</f>
        <v>200</v>
      </c>
      <c r="J359" s="2">
        <v>200</v>
      </c>
    </row>
    <row r="360" spans="1:10" x14ac:dyDescent="0.35">
      <c r="A360" s="2">
        <v>348</v>
      </c>
      <c r="B360" s="3">
        <v>45263</v>
      </c>
      <c r="C360" s="2" t="s">
        <v>361</v>
      </c>
      <c r="D360" s="2" t="s">
        <v>13</v>
      </c>
      <c r="E360" s="2">
        <v>35</v>
      </c>
      <c r="F360" s="2" t="s">
        <v>16</v>
      </c>
      <c r="G360" s="2">
        <v>2</v>
      </c>
      <c r="H360" s="2">
        <v>300</v>
      </c>
      <c r="I360" s="2">
        <f>Table13[[#This Row],[Quantity]]*Table13[[#This Row],[Price per Unit]]</f>
        <v>600</v>
      </c>
      <c r="J360" s="2">
        <v>600</v>
      </c>
    </row>
    <row r="361" spans="1:10" x14ac:dyDescent="0.35">
      <c r="A361" s="2">
        <v>437</v>
      </c>
      <c r="B361" s="3">
        <v>45206</v>
      </c>
      <c r="C361" s="2" t="s">
        <v>450</v>
      </c>
      <c r="D361" s="2" t="s">
        <v>13</v>
      </c>
      <c r="E361" s="2">
        <v>35</v>
      </c>
      <c r="F361" s="2" t="s">
        <v>16</v>
      </c>
      <c r="G361" s="2">
        <v>4</v>
      </c>
      <c r="H361" s="2">
        <v>300</v>
      </c>
      <c r="I361" s="2">
        <f>Table13[[#This Row],[Quantity]]*Table13[[#This Row],[Price per Unit]]</f>
        <v>1200</v>
      </c>
      <c r="J361" s="2">
        <v>1200</v>
      </c>
    </row>
    <row r="362" spans="1:10" x14ac:dyDescent="0.35">
      <c r="A362" s="2">
        <v>486</v>
      </c>
      <c r="B362" s="3">
        <v>45025</v>
      </c>
      <c r="C362" s="2" t="s">
        <v>499</v>
      </c>
      <c r="D362" s="2" t="s">
        <v>13</v>
      </c>
      <c r="E362" s="2">
        <v>35</v>
      </c>
      <c r="F362" s="2" t="s">
        <v>16</v>
      </c>
      <c r="G362" s="2">
        <v>1</v>
      </c>
      <c r="H362" s="2">
        <v>25</v>
      </c>
      <c r="I362" s="2">
        <f>Table13[[#This Row],[Quantity]]*Table13[[#This Row],[Price per Unit]]</f>
        <v>25</v>
      </c>
      <c r="J362" s="2">
        <v>25</v>
      </c>
    </row>
    <row r="363" spans="1:10" x14ac:dyDescent="0.35">
      <c r="A363" s="2">
        <v>529</v>
      </c>
      <c r="B363" s="3">
        <v>45147</v>
      </c>
      <c r="C363" s="2" t="s">
        <v>542</v>
      </c>
      <c r="D363" s="2" t="s">
        <v>13</v>
      </c>
      <c r="E363" s="2">
        <v>35</v>
      </c>
      <c r="F363" s="2" t="s">
        <v>14</v>
      </c>
      <c r="G363" s="2">
        <v>3</v>
      </c>
      <c r="H363" s="2">
        <v>50</v>
      </c>
      <c r="I363" s="2">
        <f>Table13[[#This Row],[Quantity]]*Table13[[#This Row],[Price per Unit]]</f>
        <v>150</v>
      </c>
      <c r="J363" s="2">
        <v>150</v>
      </c>
    </row>
    <row r="364" spans="1:10" x14ac:dyDescent="0.35">
      <c r="A364" s="2">
        <v>582</v>
      </c>
      <c r="B364" s="3">
        <v>45244</v>
      </c>
      <c r="C364" s="2" t="s">
        <v>595</v>
      </c>
      <c r="D364" s="2" t="s">
        <v>10</v>
      </c>
      <c r="E364" s="2">
        <v>35</v>
      </c>
      <c r="F364" s="2" t="s">
        <v>14</v>
      </c>
      <c r="G364" s="2">
        <v>3</v>
      </c>
      <c r="H364" s="2">
        <v>300</v>
      </c>
      <c r="I364" s="2">
        <f>Table13[[#This Row],[Quantity]]*Table13[[#This Row],[Price per Unit]]</f>
        <v>900</v>
      </c>
      <c r="J364" s="2">
        <v>900</v>
      </c>
    </row>
    <row r="365" spans="1:10" x14ac:dyDescent="0.35">
      <c r="A365" s="2">
        <v>593</v>
      </c>
      <c r="B365" s="3">
        <v>45052</v>
      </c>
      <c r="C365" s="2" t="s">
        <v>606</v>
      </c>
      <c r="D365" s="2" t="s">
        <v>10</v>
      </c>
      <c r="E365" s="2">
        <v>35</v>
      </c>
      <c r="F365" s="2" t="s">
        <v>16</v>
      </c>
      <c r="G365" s="2">
        <v>2</v>
      </c>
      <c r="H365" s="2">
        <v>30</v>
      </c>
      <c r="I365" s="2">
        <f>Table13[[#This Row],[Quantity]]*Table13[[#This Row],[Price per Unit]]</f>
        <v>60</v>
      </c>
      <c r="J365" s="2">
        <v>60</v>
      </c>
    </row>
    <row r="366" spans="1:10" x14ac:dyDescent="0.35">
      <c r="A366" s="2">
        <v>645</v>
      </c>
      <c r="B366" s="3">
        <v>45247</v>
      </c>
      <c r="C366" s="2" t="s">
        <v>658</v>
      </c>
      <c r="D366" s="2" t="s">
        <v>13</v>
      </c>
      <c r="E366" s="2">
        <v>35</v>
      </c>
      <c r="F366" s="2" t="s">
        <v>16</v>
      </c>
      <c r="G366" s="2">
        <v>4</v>
      </c>
      <c r="H366" s="2">
        <v>30</v>
      </c>
      <c r="I366" s="2">
        <f>Table13[[#This Row],[Quantity]]*Table13[[#This Row],[Price per Unit]]</f>
        <v>120</v>
      </c>
      <c r="J366" s="2">
        <v>120</v>
      </c>
    </row>
    <row r="367" spans="1:10" x14ac:dyDescent="0.35">
      <c r="A367" s="2">
        <v>750</v>
      </c>
      <c r="B367" s="3">
        <v>44991</v>
      </c>
      <c r="C367" s="2" t="s">
        <v>763</v>
      </c>
      <c r="D367" s="2" t="s">
        <v>13</v>
      </c>
      <c r="E367" s="2">
        <v>35</v>
      </c>
      <c r="F367" s="2" t="s">
        <v>14</v>
      </c>
      <c r="G367" s="2">
        <v>3</v>
      </c>
      <c r="H367" s="2">
        <v>25</v>
      </c>
      <c r="I367" s="2">
        <f>Table13[[#This Row],[Quantity]]*Table13[[#This Row],[Price per Unit]]</f>
        <v>75</v>
      </c>
      <c r="J367" s="2">
        <v>75</v>
      </c>
    </row>
    <row r="368" spans="1:10" x14ac:dyDescent="0.35">
      <c r="A368" s="2">
        <v>776</v>
      </c>
      <c r="B368" s="3">
        <v>45230</v>
      </c>
      <c r="C368" s="2" t="s">
        <v>789</v>
      </c>
      <c r="D368" s="2" t="s">
        <v>10</v>
      </c>
      <c r="E368" s="2">
        <v>35</v>
      </c>
      <c r="F368" s="2" t="s">
        <v>14</v>
      </c>
      <c r="G368" s="2">
        <v>3</v>
      </c>
      <c r="H368" s="2">
        <v>30</v>
      </c>
      <c r="I368" s="2">
        <f>Table13[[#This Row],[Quantity]]*Table13[[#This Row],[Price per Unit]]</f>
        <v>90</v>
      </c>
      <c r="J368" s="2">
        <v>90</v>
      </c>
    </row>
    <row r="369" spans="1:10" x14ac:dyDescent="0.35">
      <c r="A369" s="2">
        <v>781</v>
      </c>
      <c r="B369" s="3">
        <v>45283</v>
      </c>
      <c r="C369" s="2" t="s">
        <v>794</v>
      </c>
      <c r="D369" s="2" t="s">
        <v>10</v>
      </c>
      <c r="E369" s="2">
        <v>35</v>
      </c>
      <c r="F369" s="2" t="s">
        <v>11</v>
      </c>
      <c r="G369" s="2">
        <v>1</v>
      </c>
      <c r="H369" s="2">
        <v>500</v>
      </c>
      <c r="I369" s="2">
        <f>Table13[[#This Row],[Quantity]]*Table13[[#This Row],[Price per Unit]]</f>
        <v>500</v>
      </c>
      <c r="J369" s="2">
        <v>500</v>
      </c>
    </row>
    <row r="370" spans="1:10" x14ac:dyDescent="0.35">
      <c r="A370" s="2">
        <v>806</v>
      </c>
      <c r="B370" s="3">
        <v>45005</v>
      </c>
      <c r="C370" s="2" t="s">
        <v>819</v>
      </c>
      <c r="D370" s="2" t="s">
        <v>13</v>
      </c>
      <c r="E370" s="2">
        <v>35</v>
      </c>
      <c r="F370" s="2" t="s">
        <v>11</v>
      </c>
      <c r="G370" s="2">
        <v>3</v>
      </c>
      <c r="H370" s="2">
        <v>300</v>
      </c>
      <c r="I370" s="2">
        <f>Table13[[#This Row],[Quantity]]*Table13[[#This Row],[Price per Unit]]</f>
        <v>900</v>
      </c>
      <c r="J370" s="2">
        <v>900</v>
      </c>
    </row>
    <row r="371" spans="1:10" x14ac:dyDescent="0.35">
      <c r="A371" s="2">
        <v>819</v>
      </c>
      <c r="B371" s="3">
        <v>45092</v>
      </c>
      <c r="C371" s="2" t="s">
        <v>832</v>
      </c>
      <c r="D371" s="2" t="s">
        <v>13</v>
      </c>
      <c r="E371" s="2">
        <v>35</v>
      </c>
      <c r="F371" s="2" t="s">
        <v>11</v>
      </c>
      <c r="G371" s="2">
        <v>2</v>
      </c>
      <c r="H371" s="2">
        <v>50</v>
      </c>
      <c r="I371" s="2">
        <f>Table13[[#This Row],[Quantity]]*Table13[[#This Row],[Price per Unit]]</f>
        <v>100</v>
      </c>
      <c r="J371" s="2">
        <v>100</v>
      </c>
    </row>
    <row r="372" spans="1:10" x14ac:dyDescent="0.35">
      <c r="A372" s="2">
        <v>844</v>
      </c>
      <c r="B372" s="3">
        <v>45211</v>
      </c>
      <c r="C372" s="2" t="s">
        <v>857</v>
      </c>
      <c r="D372" s="2" t="s">
        <v>10</v>
      </c>
      <c r="E372" s="2">
        <v>35</v>
      </c>
      <c r="F372" s="2" t="s">
        <v>14</v>
      </c>
      <c r="G372" s="2">
        <v>3</v>
      </c>
      <c r="H372" s="2">
        <v>50</v>
      </c>
      <c r="I372" s="2">
        <f>Table13[[#This Row],[Quantity]]*Table13[[#This Row],[Price per Unit]]</f>
        <v>150</v>
      </c>
      <c r="J372" s="2">
        <v>150</v>
      </c>
    </row>
    <row r="373" spans="1:10" x14ac:dyDescent="0.35">
      <c r="A373" s="2">
        <v>889</v>
      </c>
      <c r="B373" s="3">
        <v>45201</v>
      </c>
      <c r="C373" s="2" t="s">
        <v>902</v>
      </c>
      <c r="D373" s="2" t="s">
        <v>13</v>
      </c>
      <c r="E373" s="2">
        <v>35</v>
      </c>
      <c r="F373" s="2" t="s">
        <v>16</v>
      </c>
      <c r="G373" s="2">
        <v>1</v>
      </c>
      <c r="H373" s="2">
        <v>50</v>
      </c>
      <c r="I373" s="2">
        <f>Table13[[#This Row],[Quantity]]*Table13[[#This Row],[Price per Unit]]</f>
        <v>50</v>
      </c>
      <c r="J373" s="2">
        <v>50</v>
      </c>
    </row>
    <row r="374" spans="1:10" x14ac:dyDescent="0.35">
      <c r="A374" s="2">
        <v>928</v>
      </c>
      <c r="B374" s="3">
        <v>45021</v>
      </c>
      <c r="C374" s="2" t="s">
        <v>941</v>
      </c>
      <c r="D374" s="2" t="s">
        <v>13</v>
      </c>
      <c r="E374" s="2">
        <v>35</v>
      </c>
      <c r="F374" s="2" t="s">
        <v>14</v>
      </c>
      <c r="G374" s="2">
        <v>4</v>
      </c>
      <c r="H374" s="2">
        <v>300</v>
      </c>
      <c r="I374" s="2">
        <f>Table13[[#This Row],[Quantity]]*Table13[[#This Row],[Price per Unit]]</f>
        <v>1200</v>
      </c>
      <c r="J374" s="2">
        <v>1200</v>
      </c>
    </row>
    <row r="375" spans="1:10" x14ac:dyDescent="0.35">
      <c r="A375" s="2">
        <v>977</v>
      </c>
      <c r="B375" s="3">
        <v>44965</v>
      </c>
      <c r="C375" s="2" t="s">
        <v>990</v>
      </c>
      <c r="D375" s="2" t="s">
        <v>13</v>
      </c>
      <c r="E375" s="2">
        <v>35</v>
      </c>
      <c r="F375" s="2" t="s">
        <v>16</v>
      </c>
      <c r="G375" s="2">
        <v>3</v>
      </c>
      <c r="H375" s="2">
        <v>25</v>
      </c>
      <c r="I375" s="2">
        <f>Table13[[#This Row],[Quantity]]*Table13[[#This Row],[Price per Unit]]</f>
        <v>75</v>
      </c>
      <c r="J375" s="2">
        <v>75</v>
      </c>
    </row>
    <row r="376" spans="1:10" x14ac:dyDescent="0.35">
      <c r="A376" s="2">
        <v>52</v>
      </c>
      <c r="B376" s="3">
        <v>44990</v>
      </c>
      <c r="C376" s="2" t="s">
        <v>65</v>
      </c>
      <c r="D376" s="2" t="s">
        <v>13</v>
      </c>
      <c r="E376" s="2">
        <v>36</v>
      </c>
      <c r="F376" s="2" t="s">
        <v>11</v>
      </c>
      <c r="G376" s="2">
        <v>1</v>
      </c>
      <c r="H376" s="2">
        <v>300</v>
      </c>
      <c r="I376" s="2">
        <f>Table13[[#This Row],[Quantity]]*Table13[[#This Row],[Price per Unit]]</f>
        <v>300</v>
      </c>
      <c r="J376" s="2">
        <v>300</v>
      </c>
    </row>
    <row r="377" spans="1:10" x14ac:dyDescent="0.35">
      <c r="A377" s="2">
        <v>139</v>
      </c>
      <c r="B377" s="3">
        <v>45275</v>
      </c>
      <c r="C377" s="2" t="s">
        <v>152</v>
      </c>
      <c r="D377" s="2" t="s">
        <v>10</v>
      </c>
      <c r="E377" s="2">
        <v>36</v>
      </c>
      <c r="F377" s="2" t="s">
        <v>11</v>
      </c>
      <c r="G377" s="2">
        <v>4</v>
      </c>
      <c r="H377" s="2">
        <v>500</v>
      </c>
      <c r="I377" s="2">
        <f>Table13[[#This Row],[Quantity]]*Table13[[#This Row],[Price per Unit]]</f>
        <v>2000</v>
      </c>
      <c r="J377" s="2">
        <v>2000</v>
      </c>
    </row>
    <row r="378" spans="1:10" x14ac:dyDescent="0.35">
      <c r="A378" s="2">
        <v>227</v>
      </c>
      <c r="B378" s="3">
        <v>45210</v>
      </c>
      <c r="C378" s="2" t="s">
        <v>240</v>
      </c>
      <c r="D378" s="2" t="s">
        <v>10</v>
      </c>
      <c r="E378" s="2">
        <v>36</v>
      </c>
      <c r="F378" s="2" t="s">
        <v>16</v>
      </c>
      <c r="G378" s="2">
        <v>2</v>
      </c>
      <c r="H378" s="2">
        <v>50</v>
      </c>
      <c r="I378" s="2">
        <f>Table13[[#This Row],[Quantity]]*Table13[[#This Row],[Price per Unit]]</f>
        <v>100</v>
      </c>
      <c r="J378" s="2">
        <v>100</v>
      </c>
    </row>
    <row r="379" spans="1:10" x14ac:dyDescent="0.35">
      <c r="A379" s="2">
        <v>277</v>
      </c>
      <c r="B379" s="3">
        <v>45156</v>
      </c>
      <c r="C379" s="2" t="s">
        <v>290</v>
      </c>
      <c r="D379" s="2" t="s">
        <v>10</v>
      </c>
      <c r="E379" s="2">
        <v>36</v>
      </c>
      <c r="F379" s="2" t="s">
        <v>14</v>
      </c>
      <c r="G379" s="2">
        <v>4</v>
      </c>
      <c r="H379" s="2">
        <v>25</v>
      </c>
      <c r="I379" s="2">
        <f>Table13[[#This Row],[Quantity]]*Table13[[#This Row],[Price per Unit]]</f>
        <v>100</v>
      </c>
      <c r="J379" s="2">
        <v>100</v>
      </c>
    </row>
    <row r="380" spans="1:10" x14ac:dyDescent="0.35">
      <c r="A380" s="2">
        <v>340</v>
      </c>
      <c r="B380" s="3">
        <v>45218</v>
      </c>
      <c r="C380" s="2" t="s">
        <v>353</v>
      </c>
      <c r="D380" s="2" t="s">
        <v>13</v>
      </c>
      <c r="E380" s="2">
        <v>36</v>
      </c>
      <c r="F380" s="2" t="s">
        <v>14</v>
      </c>
      <c r="G380" s="2">
        <v>4</v>
      </c>
      <c r="H380" s="2">
        <v>300</v>
      </c>
      <c r="I380" s="2">
        <f>Table13[[#This Row],[Quantity]]*Table13[[#This Row],[Price per Unit]]</f>
        <v>1200</v>
      </c>
      <c r="J380" s="2">
        <v>1200</v>
      </c>
    </row>
    <row r="381" spans="1:10" x14ac:dyDescent="0.35">
      <c r="A381" s="2">
        <v>519</v>
      </c>
      <c r="B381" s="3">
        <v>44949</v>
      </c>
      <c r="C381" s="2" t="s">
        <v>532</v>
      </c>
      <c r="D381" s="2" t="s">
        <v>13</v>
      </c>
      <c r="E381" s="2">
        <v>36</v>
      </c>
      <c r="F381" s="2" t="s">
        <v>16</v>
      </c>
      <c r="G381" s="2">
        <v>4</v>
      </c>
      <c r="H381" s="2">
        <v>30</v>
      </c>
      <c r="I381" s="2">
        <f>Table13[[#This Row],[Quantity]]*Table13[[#This Row],[Price per Unit]]</f>
        <v>120</v>
      </c>
      <c r="J381" s="2">
        <v>120</v>
      </c>
    </row>
    <row r="382" spans="1:10" x14ac:dyDescent="0.35">
      <c r="A382" s="2">
        <v>528</v>
      </c>
      <c r="B382" s="3">
        <v>45113</v>
      </c>
      <c r="C382" s="2" t="s">
        <v>541</v>
      </c>
      <c r="D382" s="2" t="s">
        <v>13</v>
      </c>
      <c r="E382" s="2">
        <v>36</v>
      </c>
      <c r="F382" s="2" t="s">
        <v>14</v>
      </c>
      <c r="G382" s="2">
        <v>2</v>
      </c>
      <c r="H382" s="2">
        <v>30</v>
      </c>
      <c r="I382" s="2">
        <f>Table13[[#This Row],[Quantity]]*Table13[[#This Row],[Price per Unit]]</f>
        <v>60</v>
      </c>
      <c r="J382" s="2">
        <v>60</v>
      </c>
    </row>
    <row r="383" spans="1:10" x14ac:dyDescent="0.35">
      <c r="A383" s="2">
        <v>546</v>
      </c>
      <c r="B383" s="3">
        <v>45210</v>
      </c>
      <c r="C383" s="2" t="s">
        <v>559</v>
      </c>
      <c r="D383" s="2" t="s">
        <v>13</v>
      </c>
      <c r="E383" s="2">
        <v>36</v>
      </c>
      <c r="F383" s="2" t="s">
        <v>16</v>
      </c>
      <c r="G383" s="2">
        <v>4</v>
      </c>
      <c r="H383" s="2">
        <v>50</v>
      </c>
      <c r="I383" s="2">
        <f>Table13[[#This Row],[Quantity]]*Table13[[#This Row],[Price per Unit]]</f>
        <v>200</v>
      </c>
      <c r="J383" s="2">
        <v>200</v>
      </c>
    </row>
    <row r="384" spans="1:10" x14ac:dyDescent="0.35">
      <c r="A384" s="2">
        <v>589</v>
      </c>
      <c r="B384" s="3">
        <v>45028</v>
      </c>
      <c r="C384" s="2" t="s">
        <v>602</v>
      </c>
      <c r="D384" s="2" t="s">
        <v>13</v>
      </c>
      <c r="E384" s="2">
        <v>36</v>
      </c>
      <c r="F384" s="2" t="s">
        <v>11</v>
      </c>
      <c r="G384" s="2">
        <v>2</v>
      </c>
      <c r="H384" s="2">
        <v>500</v>
      </c>
      <c r="I384" s="2">
        <f>Table13[[#This Row],[Quantity]]*Table13[[#This Row],[Price per Unit]]</f>
        <v>1000</v>
      </c>
      <c r="J384" s="2">
        <v>1000</v>
      </c>
    </row>
    <row r="385" spans="1:10" x14ac:dyDescent="0.35">
      <c r="A385" s="2">
        <v>590</v>
      </c>
      <c r="B385" s="3">
        <v>45002</v>
      </c>
      <c r="C385" s="2" t="s">
        <v>603</v>
      </c>
      <c r="D385" s="2" t="s">
        <v>10</v>
      </c>
      <c r="E385" s="2">
        <v>36</v>
      </c>
      <c r="F385" s="2" t="s">
        <v>14</v>
      </c>
      <c r="G385" s="2">
        <v>3</v>
      </c>
      <c r="H385" s="2">
        <v>300</v>
      </c>
      <c r="I385" s="2">
        <f>Table13[[#This Row],[Quantity]]*Table13[[#This Row],[Price per Unit]]</f>
        <v>900</v>
      </c>
      <c r="J385" s="2">
        <v>900</v>
      </c>
    </row>
    <row r="386" spans="1:10" x14ac:dyDescent="0.35">
      <c r="A386" s="2">
        <v>700</v>
      </c>
      <c r="B386" s="3">
        <v>45269</v>
      </c>
      <c r="C386" s="2" t="s">
        <v>713</v>
      </c>
      <c r="D386" s="2" t="s">
        <v>10</v>
      </c>
      <c r="E386" s="2">
        <v>36</v>
      </c>
      <c r="F386" s="2" t="s">
        <v>16</v>
      </c>
      <c r="G386" s="2">
        <v>4</v>
      </c>
      <c r="H386" s="2">
        <v>500</v>
      </c>
      <c r="I386" s="2">
        <f>Table13[[#This Row],[Quantity]]*Table13[[#This Row],[Price per Unit]]</f>
        <v>2000</v>
      </c>
      <c r="J386" s="2">
        <v>2000</v>
      </c>
    </row>
    <row r="387" spans="1:10" x14ac:dyDescent="0.35">
      <c r="A387" s="2">
        <v>730</v>
      </c>
      <c r="B387" s="3">
        <v>45142</v>
      </c>
      <c r="C387" s="2" t="s">
        <v>743</v>
      </c>
      <c r="D387" s="2" t="s">
        <v>13</v>
      </c>
      <c r="E387" s="2">
        <v>36</v>
      </c>
      <c r="F387" s="2" t="s">
        <v>14</v>
      </c>
      <c r="G387" s="2">
        <v>2</v>
      </c>
      <c r="H387" s="2">
        <v>25</v>
      </c>
      <c r="I387" s="2">
        <f>Table13[[#This Row],[Quantity]]*Table13[[#This Row],[Price per Unit]]</f>
        <v>50</v>
      </c>
      <c r="J387" s="2">
        <v>50</v>
      </c>
    </row>
    <row r="388" spans="1:10" x14ac:dyDescent="0.35">
      <c r="A388" s="2">
        <v>739</v>
      </c>
      <c r="B388" s="3">
        <v>45259</v>
      </c>
      <c r="C388" s="2" t="s">
        <v>752</v>
      </c>
      <c r="D388" s="2" t="s">
        <v>10</v>
      </c>
      <c r="E388" s="2">
        <v>36</v>
      </c>
      <c r="F388" s="2" t="s">
        <v>11</v>
      </c>
      <c r="G388" s="2">
        <v>1</v>
      </c>
      <c r="H388" s="2">
        <v>25</v>
      </c>
      <c r="I388" s="2">
        <f>Table13[[#This Row],[Quantity]]*Table13[[#This Row],[Price per Unit]]</f>
        <v>25</v>
      </c>
      <c r="J388" s="2">
        <v>25</v>
      </c>
    </row>
    <row r="389" spans="1:10" x14ac:dyDescent="0.35">
      <c r="A389" s="2">
        <v>950</v>
      </c>
      <c r="B389" s="3">
        <v>45237</v>
      </c>
      <c r="C389" s="2" t="s">
        <v>963</v>
      </c>
      <c r="D389" s="2" t="s">
        <v>10</v>
      </c>
      <c r="E389" s="2">
        <v>36</v>
      </c>
      <c r="F389" s="2" t="s">
        <v>14</v>
      </c>
      <c r="G389" s="2">
        <v>3</v>
      </c>
      <c r="H389" s="2">
        <v>300</v>
      </c>
      <c r="I389" s="2">
        <f>Table13[[#This Row],[Quantity]]*Table13[[#This Row],[Price per Unit]]</f>
        <v>900</v>
      </c>
      <c r="J389" s="2">
        <v>900</v>
      </c>
    </row>
    <row r="390" spans="1:10" x14ac:dyDescent="0.35">
      <c r="A390" s="2">
        <v>999</v>
      </c>
      <c r="B390" s="3">
        <v>45265</v>
      </c>
      <c r="C390" s="2" t="s">
        <v>1012</v>
      </c>
      <c r="D390" s="2" t="s">
        <v>13</v>
      </c>
      <c r="E390" s="2">
        <v>36</v>
      </c>
      <c r="F390" s="2" t="s">
        <v>16</v>
      </c>
      <c r="G390" s="2">
        <v>3</v>
      </c>
      <c r="H390" s="2">
        <v>50</v>
      </c>
      <c r="I390" s="2">
        <f>Table13[[#This Row],[Quantity]]*Table13[[#This Row],[Price per Unit]]</f>
        <v>150</v>
      </c>
      <c r="J390" s="2">
        <v>150</v>
      </c>
    </row>
    <row r="391" spans="1:10" x14ac:dyDescent="0.35">
      <c r="A391" s="2">
        <v>4</v>
      </c>
      <c r="B391" s="3">
        <v>45067</v>
      </c>
      <c r="C391" s="2" t="s">
        <v>17</v>
      </c>
      <c r="D391" s="2" t="s">
        <v>10</v>
      </c>
      <c r="E391" s="2">
        <v>37</v>
      </c>
      <c r="F391" s="2" t="s">
        <v>14</v>
      </c>
      <c r="G391" s="2">
        <v>1</v>
      </c>
      <c r="H391" s="2">
        <v>500</v>
      </c>
      <c r="I391" s="2">
        <f>Table13[[#This Row],[Quantity]]*Table13[[#This Row],[Price per Unit]]</f>
        <v>500</v>
      </c>
      <c r="J391" s="2">
        <v>500</v>
      </c>
    </row>
    <row r="392" spans="1:10" x14ac:dyDescent="0.35">
      <c r="A392" s="2">
        <v>112</v>
      </c>
      <c r="B392" s="3">
        <v>45262</v>
      </c>
      <c r="C392" s="2" t="s">
        <v>125</v>
      </c>
      <c r="D392" s="2" t="s">
        <v>10</v>
      </c>
      <c r="E392" s="2">
        <v>37</v>
      </c>
      <c r="F392" s="2" t="s">
        <v>14</v>
      </c>
      <c r="G392" s="2">
        <v>3</v>
      </c>
      <c r="H392" s="2">
        <v>500</v>
      </c>
      <c r="I392" s="2">
        <f>Table13[[#This Row],[Quantity]]*Table13[[#This Row],[Price per Unit]]</f>
        <v>1500</v>
      </c>
      <c r="J392" s="2">
        <v>1500</v>
      </c>
    </row>
    <row r="393" spans="1:10" x14ac:dyDescent="0.35">
      <c r="A393" s="2">
        <v>210</v>
      </c>
      <c r="B393" s="3">
        <v>45029</v>
      </c>
      <c r="C393" s="2" t="s">
        <v>223</v>
      </c>
      <c r="D393" s="2" t="s">
        <v>10</v>
      </c>
      <c r="E393" s="2">
        <v>37</v>
      </c>
      <c r="F393" s="2" t="s">
        <v>16</v>
      </c>
      <c r="G393" s="2">
        <v>4</v>
      </c>
      <c r="H393" s="2">
        <v>50</v>
      </c>
      <c r="I393" s="2">
        <f>Table13[[#This Row],[Quantity]]*Table13[[#This Row],[Price per Unit]]</f>
        <v>200</v>
      </c>
      <c r="J393" s="2">
        <v>200</v>
      </c>
    </row>
    <row r="394" spans="1:10" x14ac:dyDescent="0.35">
      <c r="A394" s="2">
        <v>258</v>
      </c>
      <c r="B394" s="3">
        <v>45264</v>
      </c>
      <c r="C394" s="2" t="s">
        <v>271</v>
      </c>
      <c r="D394" s="2" t="s">
        <v>13</v>
      </c>
      <c r="E394" s="2">
        <v>37</v>
      </c>
      <c r="F394" s="2" t="s">
        <v>14</v>
      </c>
      <c r="G394" s="2">
        <v>1</v>
      </c>
      <c r="H394" s="2">
        <v>50</v>
      </c>
      <c r="I394" s="2">
        <f>Table13[[#This Row],[Quantity]]*Table13[[#This Row],[Price per Unit]]</f>
        <v>50</v>
      </c>
      <c r="J394" s="2">
        <v>50</v>
      </c>
    </row>
    <row r="395" spans="1:10" x14ac:dyDescent="0.35">
      <c r="A395" s="2">
        <v>278</v>
      </c>
      <c r="B395" s="3">
        <v>44998</v>
      </c>
      <c r="C395" s="2" t="s">
        <v>291</v>
      </c>
      <c r="D395" s="2" t="s">
        <v>13</v>
      </c>
      <c r="E395" s="2">
        <v>37</v>
      </c>
      <c r="F395" s="2" t="s">
        <v>14</v>
      </c>
      <c r="G395" s="2">
        <v>4</v>
      </c>
      <c r="H395" s="2">
        <v>25</v>
      </c>
      <c r="I395" s="2">
        <f>Table13[[#This Row],[Quantity]]*Table13[[#This Row],[Price per Unit]]</f>
        <v>100</v>
      </c>
      <c r="J395" s="2">
        <v>100</v>
      </c>
    </row>
    <row r="396" spans="1:10" x14ac:dyDescent="0.35">
      <c r="A396" s="2">
        <v>280</v>
      </c>
      <c r="B396" s="3">
        <v>45020</v>
      </c>
      <c r="C396" s="2" t="s">
        <v>293</v>
      </c>
      <c r="D396" s="2" t="s">
        <v>13</v>
      </c>
      <c r="E396" s="2">
        <v>37</v>
      </c>
      <c r="F396" s="2" t="s">
        <v>14</v>
      </c>
      <c r="G396" s="2">
        <v>3</v>
      </c>
      <c r="H396" s="2">
        <v>500</v>
      </c>
      <c r="I396" s="2">
        <f>Table13[[#This Row],[Quantity]]*Table13[[#This Row],[Price per Unit]]</f>
        <v>1500</v>
      </c>
      <c r="J396" s="2">
        <v>1500</v>
      </c>
    </row>
    <row r="397" spans="1:10" x14ac:dyDescent="0.35">
      <c r="A397" s="2">
        <v>304</v>
      </c>
      <c r="B397" s="3">
        <v>45126</v>
      </c>
      <c r="C397" s="2" t="s">
        <v>317</v>
      </c>
      <c r="D397" s="2" t="s">
        <v>13</v>
      </c>
      <c r="E397" s="2">
        <v>37</v>
      </c>
      <c r="F397" s="2" t="s">
        <v>16</v>
      </c>
      <c r="G397" s="2">
        <v>2</v>
      </c>
      <c r="H397" s="2">
        <v>30</v>
      </c>
      <c r="I397" s="2">
        <f>Table13[[#This Row],[Quantity]]*Table13[[#This Row],[Price per Unit]]</f>
        <v>60</v>
      </c>
      <c r="J397" s="2">
        <v>60</v>
      </c>
    </row>
    <row r="398" spans="1:10" x14ac:dyDescent="0.35">
      <c r="A398" s="2">
        <v>421</v>
      </c>
      <c r="B398" s="3">
        <v>44928</v>
      </c>
      <c r="C398" s="2" t="s">
        <v>434</v>
      </c>
      <c r="D398" s="2" t="s">
        <v>13</v>
      </c>
      <c r="E398" s="2">
        <v>37</v>
      </c>
      <c r="F398" s="2" t="s">
        <v>14</v>
      </c>
      <c r="G398" s="2">
        <v>3</v>
      </c>
      <c r="H398" s="2">
        <v>500</v>
      </c>
      <c r="I398" s="2">
        <f>Table13[[#This Row],[Quantity]]*Table13[[#This Row],[Price per Unit]]</f>
        <v>1500</v>
      </c>
      <c r="J398" s="2">
        <v>1500</v>
      </c>
    </row>
    <row r="399" spans="1:10" x14ac:dyDescent="0.35">
      <c r="A399" s="2">
        <v>507</v>
      </c>
      <c r="B399" s="3">
        <v>45232</v>
      </c>
      <c r="C399" s="2" t="s">
        <v>520</v>
      </c>
      <c r="D399" s="2" t="s">
        <v>13</v>
      </c>
      <c r="E399" s="2">
        <v>37</v>
      </c>
      <c r="F399" s="2" t="s">
        <v>16</v>
      </c>
      <c r="G399" s="2">
        <v>3</v>
      </c>
      <c r="H399" s="2">
        <v>500</v>
      </c>
      <c r="I399" s="2">
        <f>Table13[[#This Row],[Quantity]]*Table13[[#This Row],[Price per Unit]]</f>
        <v>1500</v>
      </c>
      <c r="J399" s="2">
        <v>1500</v>
      </c>
    </row>
    <row r="400" spans="1:10" x14ac:dyDescent="0.35">
      <c r="A400" s="2">
        <v>509</v>
      </c>
      <c r="B400" s="3">
        <v>45103</v>
      </c>
      <c r="C400" s="2" t="s">
        <v>522</v>
      </c>
      <c r="D400" s="2" t="s">
        <v>13</v>
      </c>
      <c r="E400" s="2">
        <v>37</v>
      </c>
      <c r="F400" s="2" t="s">
        <v>16</v>
      </c>
      <c r="G400" s="2">
        <v>3</v>
      </c>
      <c r="H400" s="2">
        <v>300</v>
      </c>
      <c r="I400" s="2">
        <f>Table13[[#This Row],[Quantity]]*Table13[[#This Row],[Price per Unit]]</f>
        <v>900</v>
      </c>
      <c r="J400" s="2">
        <v>900</v>
      </c>
    </row>
    <row r="401" spans="1:10" x14ac:dyDescent="0.35">
      <c r="A401" s="2">
        <v>598</v>
      </c>
      <c r="B401" s="3">
        <v>45139</v>
      </c>
      <c r="C401" s="2" t="s">
        <v>611</v>
      </c>
      <c r="D401" s="2" t="s">
        <v>10</v>
      </c>
      <c r="E401" s="2">
        <v>37</v>
      </c>
      <c r="F401" s="2" t="s">
        <v>11</v>
      </c>
      <c r="G401" s="2">
        <v>4</v>
      </c>
      <c r="H401" s="2">
        <v>30</v>
      </c>
      <c r="I401" s="2">
        <f>Table13[[#This Row],[Quantity]]*Table13[[#This Row],[Price per Unit]]</f>
        <v>120</v>
      </c>
      <c r="J401" s="2">
        <v>120</v>
      </c>
    </row>
    <row r="402" spans="1:10" x14ac:dyDescent="0.35">
      <c r="A402" s="2">
        <v>605</v>
      </c>
      <c r="B402" s="3">
        <v>45131</v>
      </c>
      <c r="C402" s="2" t="s">
        <v>618</v>
      </c>
      <c r="D402" s="2" t="s">
        <v>10</v>
      </c>
      <c r="E402" s="2">
        <v>37</v>
      </c>
      <c r="F402" s="2" t="s">
        <v>16</v>
      </c>
      <c r="G402" s="2">
        <v>2</v>
      </c>
      <c r="H402" s="2">
        <v>500</v>
      </c>
      <c r="I402" s="2">
        <f>Table13[[#This Row],[Quantity]]*Table13[[#This Row],[Price per Unit]]</f>
        <v>1000</v>
      </c>
      <c r="J402" s="2">
        <v>1000</v>
      </c>
    </row>
    <row r="403" spans="1:10" x14ac:dyDescent="0.35">
      <c r="A403" s="2">
        <v>699</v>
      </c>
      <c r="B403" s="3">
        <v>45099</v>
      </c>
      <c r="C403" s="2" t="s">
        <v>712</v>
      </c>
      <c r="D403" s="2" t="s">
        <v>13</v>
      </c>
      <c r="E403" s="2">
        <v>37</v>
      </c>
      <c r="F403" s="2" t="s">
        <v>14</v>
      </c>
      <c r="G403" s="2">
        <v>4</v>
      </c>
      <c r="H403" s="2">
        <v>30</v>
      </c>
      <c r="I403" s="2">
        <f>Table13[[#This Row],[Quantity]]*Table13[[#This Row],[Price per Unit]]</f>
        <v>120</v>
      </c>
      <c r="J403" s="2">
        <v>120</v>
      </c>
    </row>
    <row r="404" spans="1:10" x14ac:dyDescent="0.35">
      <c r="A404" s="2">
        <v>835</v>
      </c>
      <c r="B404" s="3">
        <v>45176</v>
      </c>
      <c r="C404" s="2" t="s">
        <v>848</v>
      </c>
      <c r="D404" s="2" t="s">
        <v>10</v>
      </c>
      <c r="E404" s="2">
        <v>37</v>
      </c>
      <c r="F404" s="2" t="s">
        <v>14</v>
      </c>
      <c r="G404" s="2">
        <v>4</v>
      </c>
      <c r="H404" s="2">
        <v>50</v>
      </c>
      <c r="I404" s="2">
        <f>Table13[[#This Row],[Quantity]]*Table13[[#This Row],[Price per Unit]]</f>
        <v>200</v>
      </c>
      <c r="J404" s="2">
        <v>200</v>
      </c>
    </row>
    <row r="405" spans="1:10" x14ac:dyDescent="0.35">
      <c r="A405" s="2">
        <v>869</v>
      </c>
      <c r="B405" s="3">
        <v>45224</v>
      </c>
      <c r="C405" s="2" t="s">
        <v>882</v>
      </c>
      <c r="D405" s="2" t="s">
        <v>10</v>
      </c>
      <c r="E405" s="2">
        <v>37</v>
      </c>
      <c r="F405" s="2" t="s">
        <v>11</v>
      </c>
      <c r="G405" s="2">
        <v>3</v>
      </c>
      <c r="H405" s="2">
        <v>500</v>
      </c>
      <c r="I405" s="2">
        <f>Table13[[#This Row],[Quantity]]*Table13[[#This Row],[Price per Unit]]</f>
        <v>1500</v>
      </c>
      <c r="J405" s="2">
        <v>1500</v>
      </c>
    </row>
    <row r="406" spans="1:10" x14ac:dyDescent="0.35">
      <c r="A406" s="2">
        <v>886</v>
      </c>
      <c r="B406" s="3">
        <v>45025</v>
      </c>
      <c r="C406" s="2" t="s">
        <v>899</v>
      </c>
      <c r="D406" s="2" t="s">
        <v>10</v>
      </c>
      <c r="E406" s="2">
        <v>37</v>
      </c>
      <c r="F406" s="2" t="s">
        <v>16</v>
      </c>
      <c r="G406" s="2">
        <v>3</v>
      </c>
      <c r="H406" s="2">
        <v>300</v>
      </c>
      <c r="I406" s="2">
        <f>Table13[[#This Row],[Quantity]]*Table13[[#This Row],[Price per Unit]]</f>
        <v>900</v>
      </c>
      <c r="J406" s="2">
        <v>900</v>
      </c>
    </row>
    <row r="407" spans="1:10" x14ac:dyDescent="0.35">
      <c r="A407" s="2">
        <v>27</v>
      </c>
      <c r="B407" s="3">
        <v>45141</v>
      </c>
      <c r="C407" s="2" t="s">
        <v>40</v>
      </c>
      <c r="D407" s="2" t="s">
        <v>13</v>
      </c>
      <c r="E407" s="2">
        <v>38</v>
      </c>
      <c r="F407" s="2" t="s">
        <v>11</v>
      </c>
      <c r="G407" s="2">
        <v>2</v>
      </c>
      <c r="H407" s="2">
        <v>25</v>
      </c>
      <c r="I407" s="2">
        <f>Table13[[#This Row],[Quantity]]*Table13[[#This Row],[Price per Unit]]</f>
        <v>50</v>
      </c>
      <c r="J407" s="2">
        <v>50</v>
      </c>
    </row>
    <row r="408" spans="1:10" x14ac:dyDescent="0.35">
      <c r="A408" s="2">
        <v>38</v>
      </c>
      <c r="B408" s="3">
        <v>45006</v>
      </c>
      <c r="C408" s="2" t="s">
        <v>51</v>
      </c>
      <c r="D408" s="2" t="s">
        <v>10</v>
      </c>
      <c r="E408" s="2">
        <v>38</v>
      </c>
      <c r="F408" s="2" t="s">
        <v>11</v>
      </c>
      <c r="G408" s="2">
        <v>4</v>
      </c>
      <c r="H408" s="2">
        <v>50</v>
      </c>
      <c r="I408" s="2">
        <f>Table13[[#This Row],[Quantity]]*Table13[[#This Row],[Price per Unit]]</f>
        <v>200</v>
      </c>
      <c r="J408" s="2">
        <v>200</v>
      </c>
    </row>
    <row r="409" spans="1:10" x14ac:dyDescent="0.35">
      <c r="A409" s="2">
        <v>54</v>
      </c>
      <c r="B409" s="3">
        <v>44967</v>
      </c>
      <c r="C409" s="2" t="s">
        <v>67</v>
      </c>
      <c r="D409" s="2" t="s">
        <v>13</v>
      </c>
      <c r="E409" s="2">
        <v>38</v>
      </c>
      <c r="F409" s="2" t="s">
        <v>16</v>
      </c>
      <c r="G409" s="2">
        <v>3</v>
      </c>
      <c r="H409" s="2">
        <v>500</v>
      </c>
      <c r="I409" s="2">
        <f>Table13[[#This Row],[Quantity]]*Table13[[#This Row],[Price per Unit]]</f>
        <v>1500</v>
      </c>
      <c r="J409" s="2">
        <v>1500</v>
      </c>
    </row>
    <row r="410" spans="1:10" x14ac:dyDescent="0.35">
      <c r="A410" s="2">
        <v>84</v>
      </c>
      <c r="B410" s="3">
        <v>45258</v>
      </c>
      <c r="C410" s="2" t="s">
        <v>97</v>
      </c>
      <c r="D410" s="2" t="s">
        <v>13</v>
      </c>
      <c r="E410" s="2">
        <v>38</v>
      </c>
      <c r="F410" s="2" t="s">
        <v>16</v>
      </c>
      <c r="G410" s="2">
        <v>3</v>
      </c>
      <c r="H410" s="2">
        <v>30</v>
      </c>
      <c r="I410" s="2">
        <f>Table13[[#This Row],[Quantity]]*Table13[[#This Row],[Price per Unit]]</f>
        <v>90</v>
      </c>
      <c r="J410" s="2">
        <v>90</v>
      </c>
    </row>
    <row r="411" spans="1:10" x14ac:dyDescent="0.35">
      <c r="A411" s="2">
        <v>140</v>
      </c>
      <c r="B411" s="3">
        <v>45143</v>
      </c>
      <c r="C411" s="2" t="s">
        <v>153</v>
      </c>
      <c r="D411" s="2" t="s">
        <v>10</v>
      </c>
      <c r="E411" s="2">
        <v>38</v>
      </c>
      <c r="F411" s="2" t="s">
        <v>16</v>
      </c>
      <c r="G411" s="2">
        <v>1</v>
      </c>
      <c r="H411" s="2">
        <v>30</v>
      </c>
      <c r="I411" s="2">
        <f>Table13[[#This Row],[Quantity]]*Table13[[#This Row],[Price per Unit]]</f>
        <v>30</v>
      </c>
      <c r="J411" s="2">
        <v>30</v>
      </c>
    </row>
    <row r="412" spans="1:10" x14ac:dyDescent="0.35">
      <c r="A412" s="2">
        <v>146</v>
      </c>
      <c r="B412" s="3">
        <v>45166</v>
      </c>
      <c r="C412" s="2" t="s">
        <v>159</v>
      </c>
      <c r="D412" s="2" t="s">
        <v>10</v>
      </c>
      <c r="E412" s="2">
        <v>38</v>
      </c>
      <c r="F412" s="2" t="s">
        <v>14</v>
      </c>
      <c r="G412" s="2">
        <v>4</v>
      </c>
      <c r="H412" s="2">
        <v>50</v>
      </c>
      <c r="I412" s="2">
        <f>Table13[[#This Row],[Quantity]]*Table13[[#This Row],[Price per Unit]]</f>
        <v>200</v>
      </c>
      <c r="J412" s="2">
        <v>200</v>
      </c>
    </row>
    <row r="413" spans="1:10" x14ac:dyDescent="0.35">
      <c r="A413" s="2">
        <v>239</v>
      </c>
      <c r="B413" s="3">
        <v>45096</v>
      </c>
      <c r="C413" s="2" t="s">
        <v>252</v>
      </c>
      <c r="D413" s="2" t="s">
        <v>10</v>
      </c>
      <c r="E413" s="2">
        <v>38</v>
      </c>
      <c r="F413" s="2" t="s">
        <v>16</v>
      </c>
      <c r="G413" s="2">
        <v>3</v>
      </c>
      <c r="H413" s="2">
        <v>500</v>
      </c>
      <c r="I413" s="2">
        <f>Table13[[#This Row],[Quantity]]*Table13[[#This Row],[Price per Unit]]</f>
        <v>1500</v>
      </c>
      <c r="J413" s="2">
        <v>1500</v>
      </c>
    </row>
    <row r="414" spans="1:10" x14ac:dyDescent="0.35">
      <c r="A414" s="2">
        <v>337</v>
      </c>
      <c r="B414" s="3">
        <v>45047</v>
      </c>
      <c r="C414" s="2" t="s">
        <v>350</v>
      </c>
      <c r="D414" s="2" t="s">
        <v>10</v>
      </c>
      <c r="E414" s="2">
        <v>38</v>
      </c>
      <c r="F414" s="2" t="s">
        <v>14</v>
      </c>
      <c r="G414" s="2">
        <v>1</v>
      </c>
      <c r="H414" s="2">
        <v>500</v>
      </c>
      <c r="I414" s="2">
        <f>Table13[[#This Row],[Quantity]]*Table13[[#This Row],[Price per Unit]]</f>
        <v>500</v>
      </c>
      <c r="J414" s="2">
        <v>500</v>
      </c>
    </row>
    <row r="415" spans="1:10" x14ac:dyDescent="0.35">
      <c r="A415" s="2">
        <v>464</v>
      </c>
      <c r="B415" s="3">
        <v>44939</v>
      </c>
      <c r="C415" s="2" t="s">
        <v>477</v>
      </c>
      <c r="D415" s="2" t="s">
        <v>10</v>
      </c>
      <c r="E415" s="2">
        <v>38</v>
      </c>
      <c r="F415" s="2" t="s">
        <v>16</v>
      </c>
      <c r="G415" s="2">
        <v>2</v>
      </c>
      <c r="H415" s="2">
        <v>300</v>
      </c>
      <c r="I415" s="2">
        <f>Table13[[#This Row],[Quantity]]*Table13[[#This Row],[Price per Unit]]</f>
        <v>600</v>
      </c>
      <c r="J415" s="2">
        <v>600</v>
      </c>
    </row>
    <row r="416" spans="1:10" x14ac:dyDescent="0.35">
      <c r="A416" s="2">
        <v>472</v>
      </c>
      <c r="B416" s="3">
        <v>45286</v>
      </c>
      <c r="C416" s="2" t="s">
        <v>485</v>
      </c>
      <c r="D416" s="2" t="s">
        <v>13</v>
      </c>
      <c r="E416" s="2">
        <v>38</v>
      </c>
      <c r="F416" s="2" t="s">
        <v>11</v>
      </c>
      <c r="G416" s="2">
        <v>3</v>
      </c>
      <c r="H416" s="2">
        <v>300</v>
      </c>
      <c r="I416" s="2">
        <f>Table13[[#This Row],[Quantity]]*Table13[[#This Row],[Price per Unit]]</f>
        <v>900</v>
      </c>
      <c r="J416" s="2">
        <v>900</v>
      </c>
    </row>
    <row r="417" spans="1:10" x14ac:dyDescent="0.35">
      <c r="A417" s="2">
        <v>504</v>
      </c>
      <c r="B417" s="3">
        <v>45062</v>
      </c>
      <c r="C417" s="2" t="s">
        <v>517</v>
      </c>
      <c r="D417" s="2" t="s">
        <v>13</v>
      </c>
      <c r="E417" s="2">
        <v>38</v>
      </c>
      <c r="F417" s="2" t="s">
        <v>11</v>
      </c>
      <c r="G417" s="2">
        <v>3</v>
      </c>
      <c r="H417" s="2">
        <v>50</v>
      </c>
      <c r="I417" s="2">
        <f>Table13[[#This Row],[Quantity]]*Table13[[#This Row],[Price per Unit]]</f>
        <v>150</v>
      </c>
      <c r="J417" s="2">
        <v>150</v>
      </c>
    </row>
    <row r="418" spans="1:10" x14ac:dyDescent="0.35">
      <c r="A418" s="2">
        <v>579</v>
      </c>
      <c r="B418" s="3">
        <v>45190</v>
      </c>
      <c r="C418" s="2" t="s">
        <v>592</v>
      </c>
      <c r="D418" s="2" t="s">
        <v>13</v>
      </c>
      <c r="E418" s="2">
        <v>38</v>
      </c>
      <c r="F418" s="2" t="s">
        <v>16</v>
      </c>
      <c r="G418" s="2">
        <v>1</v>
      </c>
      <c r="H418" s="2">
        <v>30</v>
      </c>
      <c r="I418" s="2">
        <f>Table13[[#This Row],[Quantity]]*Table13[[#This Row],[Price per Unit]]</f>
        <v>30</v>
      </c>
      <c r="J418" s="2">
        <v>30</v>
      </c>
    </row>
    <row r="419" spans="1:10" x14ac:dyDescent="0.35">
      <c r="A419" s="2">
        <v>588</v>
      </c>
      <c r="B419" s="3">
        <v>45042</v>
      </c>
      <c r="C419" s="2" t="s">
        <v>601</v>
      </c>
      <c r="D419" s="2" t="s">
        <v>10</v>
      </c>
      <c r="E419" s="2">
        <v>38</v>
      </c>
      <c r="F419" s="2" t="s">
        <v>16</v>
      </c>
      <c r="G419" s="2">
        <v>2</v>
      </c>
      <c r="H419" s="2">
        <v>30</v>
      </c>
      <c r="I419" s="2">
        <f>Table13[[#This Row],[Quantity]]*Table13[[#This Row],[Price per Unit]]</f>
        <v>60</v>
      </c>
      <c r="J419" s="2">
        <v>60</v>
      </c>
    </row>
    <row r="420" spans="1:10" x14ac:dyDescent="0.35">
      <c r="A420" s="2">
        <v>646</v>
      </c>
      <c r="B420" s="3">
        <v>45049</v>
      </c>
      <c r="C420" s="2" t="s">
        <v>659</v>
      </c>
      <c r="D420" s="2" t="s">
        <v>10</v>
      </c>
      <c r="E420" s="2">
        <v>38</v>
      </c>
      <c r="F420" s="2" t="s">
        <v>14</v>
      </c>
      <c r="G420" s="2">
        <v>3</v>
      </c>
      <c r="H420" s="2">
        <v>30</v>
      </c>
      <c r="I420" s="2">
        <f>Table13[[#This Row],[Quantity]]*Table13[[#This Row],[Price per Unit]]</f>
        <v>90</v>
      </c>
      <c r="J420" s="2">
        <v>90</v>
      </c>
    </row>
    <row r="421" spans="1:10" x14ac:dyDescent="0.35">
      <c r="A421" s="2">
        <v>660</v>
      </c>
      <c r="B421" s="3">
        <v>45045</v>
      </c>
      <c r="C421" s="2" t="s">
        <v>673</v>
      </c>
      <c r="D421" s="2" t="s">
        <v>13</v>
      </c>
      <c r="E421" s="2">
        <v>38</v>
      </c>
      <c r="F421" s="2" t="s">
        <v>11</v>
      </c>
      <c r="G421" s="2">
        <v>2</v>
      </c>
      <c r="H421" s="2">
        <v>500</v>
      </c>
      <c r="I421" s="2">
        <f>Table13[[#This Row],[Quantity]]*Table13[[#This Row],[Price per Unit]]</f>
        <v>1000</v>
      </c>
      <c r="J421" s="2">
        <v>1000</v>
      </c>
    </row>
    <row r="422" spans="1:10" x14ac:dyDescent="0.35">
      <c r="A422" s="2">
        <v>674</v>
      </c>
      <c r="B422" s="3">
        <v>45032</v>
      </c>
      <c r="C422" s="2" t="s">
        <v>687</v>
      </c>
      <c r="D422" s="2" t="s">
        <v>13</v>
      </c>
      <c r="E422" s="2">
        <v>38</v>
      </c>
      <c r="F422" s="2" t="s">
        <v>14</v>
      </c>
      <c r="G422" s="2">
        <v>1</v>
      </c>
      <c r="H422" s="2">
        <v>300</v>
      </c>
      <c r="I422" s="2">
        <f>Table13[[#This Row],[Quantity]]*Table13[[#This Row],[Price per Unit]]</f>
        <v>300</v>
      </c>
      <c r="J422" s="2">
        <v>300</v>
      </c>
    </row>
    <row r="423" spans="1:10" x14ac:dyDescent="0.35">
      <c r="A423" s="2">
        <v>683</v>
      </c>
      <c r="B423" s="3">
        <v>44930</v>
      </c>
      <c r="C423" s="2" t="s">
        <v>696</v>
      </c>
      <c r="D423" s="2" t="s">
        <v>10</v>
      </c>
      <c r="E423" s="2">
        <v>38</v>
      </c>
      <c r="F423" s="2" t="s">
        <v>11</v>
      </c>
      <c r="G423" s="2">
        <v>2</v>
      </c>
      <c r="H423" s="2">
        <v>500</v>
      </c>
      <c r="I423" s="2">
        <f>Table13[[#This Row],[Quantity]]*Table13[[#This Row],[Price per Unit]]</f>
        <v>1000</v>
      </c>
      <c r="J423" s="2">
        <v>1000</v>
      </c>
    </row>
    <row r="424" spans="1:10" x14ac:dyDescent="0.35">
      <c r="A424" s="2">
        <v>742</v>
      </c>
      <c r="B424" s="3">
        <v>44947</v>
      </c>
      <c r="C424" s="2" t="s">
        <v>755</v>
      </c>
      <c r="D424" s="2" t="s">
        <v>13</v>
      </c>
      <c r="E424" s="2">
        <v>38</v>
      </c>
      <c r="F424" s="2" t="s">
        <v>16</v>
      </c>
      <c r="G424" s="2">
        <v>4</v>
      </c>
      <c r="H424" s="2">
        <v>500</v>
      </c>
      <c r="I424" s="2">
        <f>Table13[[#This Row],[Quantity]]*Table13[[#This Row],[Price per Unit]]</f>
        <v>2000</v>
      </c>
      <c r="J424" s="2">
        <v>2000</v>
      </c>
    </row>
    <row r="425" spans="1:10" x14ac:dyDescent="0.35">
      <c r="A425" s="2">
        <v>766</v>
      </c>
      <c r="B425" s="3">
        <v>44982</v>
      </c>
      <c r="C425" s="2" t="s">
        <v>779</v>
      </c>
      <c r="D425" s="2" t="s">
        <v>10</v>
      </c>
      <c r="E425" s="2">
        <v>38</v>
      </c>
      <c r="F425" s="2" t="s">
        <v>16</v>
      </c>
      <c r="G425" s="2">
        <v>3</v>
      </c>
      <c r="H425" s="2">
        <v>300</v>
      </c>
      <c r="I425" s="2">
        <f>Table13[[#This Row],[Quantity]]*Table13[[#This Row],[Price per Unit]]</f>
        <v>900</v>
      </c>
      <c r="J425" s="2">
        <v>900</v>
      </c>
    </row>
    <row r="426" spans="1:10" x14ac:dyDescent="0.35">
      <c r="A426" s="2">
        <v>30</v>
      </c>
      <c r="B426" s="3">
        <v>45228</v>
      </c>
      <c r="C426" s="2" t="s">
        <v>43</v>
      </c>
      <c r="D426" s="2" t="s">
        <v>13</v>
      </c>
      <c r="E426" s="2">
        <v>39</v>
      </c>
      <c r="F426" s="2" t="s">
        <v>11</v>
      </c>
      <c r="G426" s="2">
        <v>3</v>
      </c>
      <c r="H426" s="2">
        <v>300</v>
      </c>
      <c r="I426" s="2">
        <f>Table13[[#This Row],[Quantity]]*Table13[[#This Row],[Price per Unit]]</f>
        <v>900</v>
      </c>
      <c r="J426" s="2">
        <v>900</v>
      </c>
    </row>
    <row r="427" spans="1:10" x14ac:dyDescent="0.35">
      <c r="A427" s="2">
        <v>145</v>
      </c>
      <c r="B427" s="3">
        <v>45232</v>
      </c>
      <c r="C427" s="2" t="s">
        <v>158</v>
      </c>
      <c r="D427" s="2" t="s">
        <v>13</v>
      </c>
      <c r="E427" s="2">
        <v>39</v>
      </c>
      <c r="F427" s="2" t="s">
        <v>14</v>
      </c>
      <c r="G427" s="2">
        <v>3</v>
      </c>
      <c r="H427" s="2">
        <v>25</v>
      </c>
      <c r="I427" s="2">
        <f>Table13[[#This Row],[Quantity]]*Table13[[#This Row],[Price per Unit]]</f>
        <v>75</v>
      </c>
      <c r="J427" s="2">
        <v>75</v>
      </c>
    </row>
    <row r="428" spans="1:10" x14ac:dyDescent="0.35">
      <c r="A428" s="2">
        <v>162</v>
      </c>
      <c r="B428" s="3">
        <v>45159</v>
      </c>
      <c r="C428" s="2" t="s">
        <v>175</v>
      </c>
      <c r="D428" s="2" t="s">
        <v>10</v>
      </c>
      <c r="E428" s="2">
        <v>39</v>
      </c>
      <c r="F428" s="2" t="s">
        <v>14</v>
      </c>
      <c r="G428" s="2">
        <v>2</v>
      </c>
      <c r="H428" s="2">
        <v>30</v>
      </c>
      <c r="I428" s="2">
        <f>Table13[[#This Row],[Quantity]]*Table13[[#This Row],[Price per Unit]]</f>
        <v>60</v>
      </c>
      <c r="J428" s="2">
        <v>60</v>
      </c>
    </row>
    <row r="429" spans="1:10" x14ac:dyDescent="0.35">
      <c r="A429" s="2">
        <v>174</v>
      </c>
      <c r="B429" s="3">
        <v>45028</v>
      </c>
      <c r="C429" s="2" t="s">
        <v>187</v>
      </c>
      <c r="D429" s="2" t="s">
        <v>13</v>
      </c>
      <c r="E429" s="2">
        <v>39</v>
      </c>
      <c r="F429" s="2" t="s">
        <v>11</v>
      </c>
      <c r="G429" s="2">
        <v>1</v>
      </c>
      <c r="H429" s="2">
        <v>300</v>
      </c>
      <c r="I429" s="2">
        <f>Table13[[#This Row],[Quantity]]*Table13[[#This Row],[Price per Unit]]</f>
        <v>300</v>
      </c>
      <c r="J429" s="2">
        <v>300</v>
      </c>
    </row>
    <row r="430" spans="1:10" x14ac:dyDescent="0.35">
      <c r="A430" s="2">
        <v>204</v>
      </c>
      <c r="B430" s="3">
        <v>45197</v>
      </c>
      <c r="C430" s="2" t="s">
        <v>217</v>
      </c>
      <c r="D430" s="2" t="s">
        <v>10</v>
      </c>
      <c r="E430" s="2">
        <v>39</v>
      </c>
      <c r="F430" s="2" t="s">
        <v>11</v>
      </c>
      <c r="G430" s="2">
        <v>1</v>
      </c>
      <c r="H430" s="2">
        <v>25</v>
      </c>
      <c r="I430" s="2">
        <f>Table13[[#This Row],[Quantity]]*Table13[[#This Row],[Price per Unit]]</f>
        <v>25</v>
      </c>
      <c r="J430" s="2">
        <v>25</v>
      </c>
    </row>
    <row r="431" spans="1:10" x14ac:dyDescent="0.35">
      <c r="A431" s="2">
        <v>221</v>
      </c>
      <c r="B431" s="3">
        <v>45053</v>
      </c>
      <c r="C431" s="2" t="s">
        <v>234</v>
      </c>
      <c r="D431" s="2" t="s">
        <v>10</v>
      </c>
      <c r="E431" s="2">
        <v>39</v>
      </c>
      <c r="F431" s="2" t="s">
        <v>11</v>
      </c>
      <c r="G431" s="2">
        <v>2</v>
      </c>
      <c r="H431" s="2">
        <v>300</v>
      </c>
      <c r="I431" s="2">
        <f>Table13[[#This Row],[Quantity]]*Table13[[#This Row],[Price per Unit]]</f>
        <v>600</v>
      </c>
      <c r="J431" s="2">
        <v>600</v>
      </c>
    </row>
    <row r="432" spans="1:10" x14ac:dyDescent="0.35">
      <c r="A432" s="2">
        <v>238</v>
      </c>
      <c r="B432" s="3">
        <v>44943</v>
      </c>
      <c r="C432" s="2" t="s">
        <v>251</v>
      </c>
      <c r="D432" s="2" t="s">
        <v>13</v>
      </c>
      <c r="E432" s="2">
        <v>39</v>
      </c>
      <c r="F432" s="2" t="s">
        <v>11</v>
      </c>
      <c r="G432" s="2">
        <v>1</v>
      </c>
      <c r="H432" s="2">
        <v>500</v>
      </c>
      <c r="I432" s="2">
        <f>Table13[[#This Row],[Quantity]]*Table13[[#This Row],[Price per Unit]]</f>
        <v>500</v>
      </c>
      <c r="J432" s="2">
        <v>500</v>
      </c>
    </row>
    <row r="433" spans="1:10" x14ac:dyDescent="0.35">
      <c r="A433" s="2">
        <v>328</v>
      </c>
      <c r="B433" s="3">
        <v>45007</v>
      </c>
      <c r="C433" s="2" t="s">
        <v>341</v>
      </c>
      <c r="D433" s="2" t="s">
        <v>10</v>
      </c>
      <c r="E433" s="2">
        <v>39</v>
      </c>
      <c r="F433" s="2" t="s">
        <v>11</v>
      </c>
      <c r="G433" s="2">
        <v>2</v>
      </c>
      <c r="H433" s="2">
        <v>50</v>
      </c>
      <c r="I433" s="2">
        <f>Table13[[#This Row],[Quantity]]*Table13[[#This Row],[Price per Unit]]</f>
        <v>100</v>
      </c>
      <c r="J433" s="2">
        <v>100</v>
      </c>
    </row>
    <row r="434" spans="1:10" x14ac:dyDescent="0.35">
      <c r="A434" s="2">
        <v>390</v>
      </c>
      <c r="B434" s="3">
        <v>45197</v>
      </c>
      <c r="C434" s="2" t="s">
        <v>403</v>
      </c>
      <c r="D434" s="2" t="s">
        <v>10</v>
      </c>
      <c r="E434" s="2">
        <v>39</v>
      </c>
      <c r="F434" s="2" t="s">
        <v>16</v>
      </c>
      <c r="G434" s="2">
        <v>2</v>
      </c>
      <c r="H434" s="2">
        <v>50</v>
      </c>
      <c r="I434" s="2">
        <f>Table13[[#This Row],[Quantity]]*Table13[[#This Row],[Price per Unit]]</f>
        <v>100</v>
      </c>
      <c r="J434" s="2">
        <v>100</v>
      </c>
    </row>
    <row r="435" spans="1:10" x14ac:dyDescent="0.35">
      <c r="A435" s="2">
        <v>458</v>
      </c>
      <c r="B435" s="3">
        <v>45244</v>
      </c>
      <c r="C435" s="2" t="s">
        <v>471</v>
      </c>
      <c r="D435" s="2" t="s">
        <v>13</v>
      </c>
      <c r="E435" s="2">
        <v>39</v>
      </c>
      <c r="F435" s="2" t="s">
        <v>16</v>
      </c>
      <c r="G435" s="2">
        <v>4</v>
      </c>
      <c r="H435" s="2">
        <v>25</v>
      </c>
      <c r="I435" s="2">
        <f>Table13[[#This Row],[Quantity]]*Table13[[#This Row],[Price per Unit]]</f>
        <v>100</v>
      </c>
      <c r="J435" s="2">
        <v>100</v>
      </c>
    </row>
    <row r="436" spans="1:10" x14ac:dyDescent="0.35">
      <c r="A436" s="2">
        <v>501</v>
      </c>
      <c r="B436" s="3">
        <v>45060</v>
      </c>
      <c r="C436" s="2" t="s">
        <v>514</v>
      </c>
      <c r="D436" s="2" t="s">
        <v>10</v>
      </c>
      <c r="E436" s="2">
        <v>39</v>
      </c>
      <c r="F436" s="2" t="s">
        <v>16</v>
      </c>
      <c r="G436" s="2">
        <v>2</v>
      </c>
      <c r="H436" s="2">
        <v>30</v>
      </c>
      <c r="I436" s="2">
        <f>Table13[[#This Row],[Quantity]]*Table13[[#This Row],[Price per Unit]]</f>
        <v>60</v>
      </c>
      <c r="J436" s="2">
        <v>60</v>
      </c>
    </row>
    <row r="437" spans="1:10" x14ac:dyDescent="0.35">
      <c r="A437" s="2">
        <v>510</v>
      </c>
      <c r="B437" s="3">
        <v>45087</v>
      </c>
      <c r="C437" s="2" t="s">
        <v>523</v>
      </c>
      <c r="D437" s="2" t="s">
        <v>13</v>
      </c>
      <c r="E437" s="2">
        <v>39</v>
      </c>
      <c r="F437" s="2" t="s">
        <v>11</v>
      </c>
      <c r="G437" s="2">
        <v>4</v>
      </c>
      <c r="H437" s="2">
        <v>50</v>
      </c>
      <c r="I437" s="2">
        <f>Table13[[#This Row],[Quantity]]*Table13[[#This Row],[Price per Unit]]</f>
        <v>200</v>
      </c>
      <c r="J437" s="2">
        <v>200</v>
      </c>
    </row>
    <row r="438" spans="1:10" x14ac:dyDescent="0.35">
      <c r="A438" s="2">
        <v>614</v>
      </c>
      <c r="B438" s="3">
        <v>45017</v>
      </c>
      <c r="C438" s="2" t="s">
        <v>627</v>
      </c>
      <c r="D438" s="2" t="s">
        <v>13</v>
      </c>
      <c r="E438" s="2">
        <v>39</v>
      </c>
      <c r="F438" s="2" t="s">
        <v>11</v>
      </c>
      <c r="G438" s="2">
        <v>4</v>
      </c>
      <c r="H438" s="2">
        <v>300</v>
      </c>
      <c r="I438" s="2">
        <f>Table13[[#This Row],[Quantity]]*Table13[[#This Row],[Price per Unit]]</f>
        <v>1200</v>
      </c>
      <c r="J438" s="2">
        <v>1200</v>
      </c>
    </row>
    <row r="439" spans="1:10" x14ac:dyDescent="0.35">
      <c r="A439" s="2">
        <v>633</v>
      </c>
      <c r="B439" s="3">
        <v>45145</v>
      </c>
      <c r="C439" s="2" t="s">
        <v>646</v>
      </c>
      <c r="D439" s="2" t="s">
        <v>10</v>
      </c>
      <c r="E439" s="2">
        <v>39</v>
      </c>
      <c r="F439" s="2" t="s">
        <v>11</v>
      </c>
      <c r="G439" s="2">
        <v>4</v>
      </c>
      <c r="H439" s="2">
        <v>30</v>
      </c>
      <c r="I439" s="2">
        <f>Table13[[#This Row],[Quantity]]*Table13[[#This Row],[Price per Unit]]</f>
        <v>120</v>
      </c>
      <c r="J439" s="2">
        <v>120</v>
      </c>
    </row>
    <row r="440" spans="1:10" x14ac:dyDescent="0.35">
      <c r="A440" s="2">
        <v>659</v>
      </c>
      <c r="B440" s="3">
        <v>45004</v>
      </c>
      <c r="C440" s="2" t="s">
        <v>672</v>
      </c>
      <c r="D440" s="2" t="s">
        <v>13</v>
      </c>
      <c r="E440" s="2">
        <v>39</v>
      </c>
      <c r="F440" s="2" t="s">
        <v>16</v>
      </c>
      <c r="G440" s="2">
        <v>1</v>
      </c>
      <c r="H440" s="2">
        <v>30</v>
      </c>
      <c r="I440" s="2">
        <f>Table13[[#This Row],[Quantity]]*Table13[[#This Row],[Price per Unit]]</f>
        <v>30</v>
      </c>
      <c r="J440" s="2">
        <v>30</v>
      </c>
    </row>
    <row r="441" spans="1:10" x14ac:dyDescent="0.35">
      <c r="A441" s="2">
        <v>694</v>
      </c>
      <c r="B441" s="3">
        <v>45066</v>
      </c>
      <c r="C441" s="2" t="s">
        <v>707</v>
      </c>
      <c r="D441" s="2" t="s">
        <v>13</v>
      </c>
      <c r="E441" s="2">
        <v>39</v>
      </c>
      <c r="F441" s="2" t="s">
        <v>16</v>
      </c>
      <c r="G441" s="2">
        <v>2</v>
      </c>
      <c r="H441" s="2">
        <v>25</v>
      </c>
      <c r="I441" s="2">
        <f>Table13[[#This Row],[Quantity]]*Table13[[#This Row],[Price per Unit]]</f>
        <v>50</v>
      </c>
      <c r="J441" s="2">
        <v>50</v>
      </c>
    </row>
    <row r="442" spans="1:10" x14ac:dyDescent="0.35">
      <c r="A442" s="2">
        <v>767</v>
      </c>
      <c r="B442" s="3">
        <v>45223</v>
      </c>
      <c r="C442" s="2" t="s">
        <v>780</v>
      </c>
      <c r="D442" s="2" t="s">
        <v>10</v>
      </c>
      <c r="E442" s="2">
        <v>39</v>
      </c>
      <c r="F442" s="2" t="s">
        <v>11</v>
      </c>
      <c r="G442" s="2">
        <v>3</v>
      </c>
      <c r="H442" s="2">
        <v>25</v>
      </c>
      <c r="I442" s="2">
        <f>Table13[[#This Row],[Quantity]]*Table13[[#This Row],[Price per Unit]]</f>
        <v>75</v>
      </c>
      <c r="J442" s="2">
        <v>75</v>
      </c>
    </row>
    <row r="443" spans="1:10" x14ac:dyDescent="0.35">
      <c r="A443" s="2">
        <v>803</v>
      </c>
      <c r="B443" s="3">
        <v>45252</v>
      </c>
      <c r="C443" s="2" t="s">
        <v>816</v>
      </c>
      <c r="D443" s="2" t="s">
        <v>10</v>
      </c>
      <c r="E443" s="2">
        <v>39</v>
      </c>
      <c r="F443" s="2" t="s">
        <v>14</v>
      </c>
      <c r="G443" s="2">
        <v>4</v>
      </c>
      <c r="H443" s="2">
        <v>25</v>
      </c>
      <c r="I443" s="2">
        <f>Table13[[#This Row],[Quantity]]*Table13[[#This Row],[Price per Unit]]</f>
        <v>100</v>
      </c>
      <c r="J443" s="2">
        <v>100</v>
      </c>
    </row>
    <row r="444" spans="1:10" x14ac:dyDescent="0.35">
      <c r="A444" s="2">
        <v>47</v>
      </c>
      <c r="B444" s="3">
        <v>45236</v>
      </c>
      <c r="C444" s="2" t="s">
        <v>60</v>
      </c>
      <c r="D444" s="2" t="s">
        <v>13</v>
      </c>
      <c r="E444" s="2">
        <v>40</v>
      </c>
      <c r="F444" s="2" t="s">
        <v>11</v>
      </c>
      <c r="G444" s="2">
        <v>3</v>
      </c>
      <c r="H444" s="2">
        <v>500</v>
      </c>
      <c r="I444" s="2">
        <f>Table13[[#This Row],[Quantity]]*Table13[[#This Row],[Price per Unit]]</f>
        <v>1500</v>
      </c>
      <c r="J444" s="2">
        <v>1500</v>
      </c>
    </row>
    <row r="445" spans="1:10" x14ac:dyDescent="0.35">
      <c r="A445" s="2">
        <v>81</v>
      </c>
      <c r="B445" s="3">
        <v>45063</v>
      </c>
      <c r="C445" s="2" t="s">
        <v>94</v>
      </c>
      <c r="D445" s="2" t="s">
        <v>10</v>
      </c>
      <c r="E445" s="2">
        <v>40</v>
      </c>
      <c r="F445" s="2" t="s">
        <v>16</v>
      </c>
      <c r="G445" s="2">
        <v>1</v>
      </c>
      <c r="H445" s="2">
        <v>50</v>
      </c>
      <c r="I445" s="2">
        <f>Table13[[#This Row],[Quantity]]*Table13[[#This Row],[Price per Unit]]</f>
        <v>50</v>
      </c>
      <c r="J445" s="2">
        <v>50</v>
      </c>
    </row>
    <row r="446" spans="1:10" x14ac:dyDescent="0.35">
      <c r="A446" s="2">
        <v>123</v>
      </c>
      <c r="B446" s="3">
        <v>45061</v>
      </c>
      <c r="C446" s="2" t="s">
        <v>136</v>
      </c>
      <c r="D446" s="2" t="s">
        <v>13</v>
      </c>
      <c r="E446" s="2">
        <v>40</v>
      </c>
      <c r="F446" s="2" t="s">
        <v>16</v>
      </c>
      <c r="G446" s="2">
        <v>2</v>
      </c>
      <c r="H446" s="2">
        <v>30</v>
      </c>
      <c r="I446" s="2">
        <f>Table13[[#This Row],[Quantity]]*Table13[[#This Row],[Price per Unit]]</f>
        <v>60</v>
      </c>
      <c r="J446" s="2">
        <v>60</v>
      </c>
    </row>
    <row r="447" spans="1:10" x14ac:dyDescent="0.35">
      <c r="A447" s="2">
        <v>178</v>
      </c>
      <c r="B447" s="3">
        <v>45203</v>
      </c>
      <c r="C447" s="2" t="s">
        <v>191</v>
      </c>
      <c r="D447" s="2" t="s">
        <v>10</v>
      </c>
      <c r="E447" s="2">
        <v>40</v>
      </c>
      <c r="F447" s="2" t="s">
        <v>14</v>
      </c>
      <c r="G447" s="2">
        <v>2</v>
      </c>
      <c r="H447" s="2">
        <v>30</v>
      </c>
      <c r="I447" s="2">
        <f>Table13[[#This Row],[Quantity]]*Table13[[#This Row],[Price per Unit]]</f>
        <v>60</v>
      </c>
      <c r="J447" s="2">
        <v>60</v>
      </c>
    </row>
    <row r="448" spans="1:10" x14ac:dyDescent="0.35">
      <c r="A448" s="2">
        <v>188</v>
      </c>
      <c r="B448" s="3">
        <v>45049</v>
      </c>
      <c r="C448" s="2" t="s">
        <v>201</v>
      </c>
      <c r="D448" s="2" t="s">
        <v>10</v>
      </c>
      <c r="E448" s="2">
        <v>40</v>
      </c>
      <c r="F448" s="2" t="s">
        <v>14</v>
      </c>
      <c r="G448" s="2">
        <v>3</v>
      </c>
      <c r="H448" s="2">
        <v>25</v>
      </c>
      <c r="I448" s="2">
        <f>Table13[[#This Row],[Quantity]]*Table13[[#This Row],[Price per Unit]]</f>
        <v>75</v>
      </c>
      <c r="J448" s="2">
        <v>75</v>
      </c>
    </row>
    <row r="449" spans="1:10" x14ac:dyDescent="0.35">
      <c r="A449" s="2">
        <v>297</v>
      </c>
      <c r="B449" s="3">
        <v>45173</v>
      </c>
      <c r="C449" s="2" t="s">
        <v>310</v>
      </c>
      <c r="D449" s="2" t="s">
        <v>13</v>
      </c>
      <c r="E449" s="2">
        <v>40</v>
      </c>
      <c r="F449" s="2" t="s">
        <v>16</v>
      </c>
      <c r="G449" s="2">
        <v>2</v>
      </c>
      <c r="H449" s="2">
        <v>500</v>
      </c>
      <c r="I449" s="2">
        <f>Table13[[#This Row],[Quantity]]*Table13[[#This Row],[Price per Unit]]</f>
        <v>1000</v>
      </c>
      <c r="J449" s="2">
        <v>1000</v>
      </c>
    </row>
    <row r="450" spans="1:10" x14ac:dyDescent="0.35">
      <c r="A450" s="2">
        <v>357</v>
      </c>
      <c r="B450" s="3">
        <v>45049</v>
      </c>
      <c r="C450" s="2" t="s">
        <v>370</v>
      </c>
      <c r="D450" s="2" t="s">
        <v>13</v>
      </c>
      <c r="E450" s="2">
        <v>40</v>
      </c>
      <c r="F450" s="2" t="s">
        <v>16</v>
      </c>
      <c r="G450" s="2">
        <v>3</v>
      </c>
      <c r="H450" s="2">
        <v>25</v>
      </c>
      <c r="I450" s="2">
        <f>Table13[[#This Row],[Quantity]]*Table13[[#This Row],[Price per Unit]]</f>
        <v>75</v>
      </c>
      <c r="J450" s="2">
        <v>75</v>
      </c>
    </row>
    <row r="451" spans="1:10" x14ac:dyDescent="0.35">
      <c r="A451" s="2">
        <v>428</v>
      </c>
      <c r="B451" s="3">
        <v>45209</v>
      </c>
      <c r="C451" s="2" t="s">
        <v>441</v>
      </c>
      <c r="D451" s="2" t="s">
        <v>13</v>
      </c>
      <c r="E451" s="2">
        <v>40</v>
      </c>
      <c r="F451" s="2" t="s">
        <v>16</v>
      </c>
      <c r="G451" s="2">
        <v>4</v>
      </c>
      <c r="H451" s="2">
        <v>50</v>
      </c>
      <c r="I451" s="2">
        <f>Table13[[#This Row],[Quantity]]*Table13[[#This Row],[Price per Unit]]</f>
        <v>200</v>
      </c>
      <c r="J451" s="2">
        <v>200</v>
      </c>
    </row>
    <row r="452" spans="1:10" x14ac:dyDescent="0.35">
      <c r="A452" s="2">
        <v>460</v>
      </c>
      <c r="B452" s="3">
        <v>45048</v>
      </c>
      <c r="C452" s="2" t="s">
        <v>473</v>
      </c>
      <c r="D452" s="2" t="s">
        <v>10</v>
      </c>
      <c r="E452" s="2">
        <v>40</v>
      </c>
      <c r="F452" s="2" t="s">
        <v>11</v>
      </c>
      <c r="G452" s="2">
        <v>1</v>
      </c>
      <c r="H452" s="2">
        <v>50</v>
      </c>
      <c r="I452" s="2">
        <f>Table13[[#This Row],[Quantity]]*Table13[[#This Row],[Price per Unit]]</f>
        <v>50</v>
      </c>
      <c r="J452" s="2">
        <v>50</v>
      </c>
    </row>
    <row r="453" spans="1:10" x14ac:dyDescent="0.35">
      <c r="A453" s="2">
        <v>468</v>
      </c>
      <c r="B453" s="3">
        <v>45269</v>
      </c>
      <c r="C453" s="2" t="s">
        <v>481</v>
      </c>
      <c r="D453" s="2" t="s">
        <v>10</v>
      </c>
      <c r="E453" s="2">
        <v>40</v>
      </c>
      <c r="F453" s="2" t="s">
        <v>16</v>
      </c>
      <c r="G453" s="2">
        <v>1</v>
      </c>
      <c r="H453" s="2">
        <v>25</v>
      </c>
      <c r="I453" s="2">
        <f>Table13[[#This Row],[Quantity]]*Table13[[#This Row],[Price per Unit]]</f>
        <v>25</v>
      </c>
      <c r="J453" s="2">
        <v>25</v>
      </c>
    </row>
    <row r="454" spans="1:10" x14ac:dyDescent="0.35">
      <c r="A454" s="2">
        <v>518</v>
      </c>
      <c r="B454" s="3">
        <v>45057</v>
      </c>
      <c r="C454" s="2" t="s">
        <v>531</v>
      </c>
      <c r="D454" s="2" t="s">
        <v>13</v>
      </c>
      <c r="E454" s="2">
        <v>40</v>
      </c>
      <c r="F454" s="2" t="s">
        <v>14</v>
      </c>
      <c r="G454" s="2">
        <v>1</v>
      </c>
      <c r="H454" s="2">
        <v>30</v>
      </c>
      <c r="I454" s="2">
        <f>Table13[[#This Row],[Quantity]]*Table13[[#This Row],[Price per Unit]]</f>
        <v>30</v>
      </c>
      <c r="J454" s="2">
        <v>30</v>
      </c>
    </row>
    <row r="455" spans="1:10" x14ac:dyDescent="0.35">
      <c r="A455" s="2">
        <v>550</v>
      </c>
      <c r="B455" s="3">
        <v>45267</v>
      </c>
      <c r="C455" s="2" t="s">
        <v>563</v>
      </c>
      <c r="D455" s="2" t="s">
        <v>10</v>
      </c>
      <c r="E455" s="2">
        <v>40</v>
      </c>
      <c r="F455" s="2" t="s">
        <v>14</v>
      </c>
      <c r="G455" s="2">
        <v>3</v>
      </c>
      <c r="H455" s="2">
        <v>300</v>
      </c>
      <c r="I455" s="2">
        <f>Table13[[#This Row],[Quantity]]*Table13[[#This Row],[Price per Unit]]</f>
        <v>900</v>
      </c>
      <c r="J455" s="2">
        <v>900</v>
      </c>
    </row>
    <row r="456" spans="1:10" x14ac:dyDescent="0.35">
      <c r="A456" s="2">
        <v>559</v>
      </c>
      <c r="B456" s="3">
        <v>44927</v>
      </c>
      <c r="C456" s="2" t="s">
        <v>572</v>
      </c>
      <c r="D456" s="2" t="s">
        <v>13</v>
      </c>
      <c r="E456" s="2">
        <v>40</v>
      </c>
      <c r="F456" s="2" t="s">
        <v>14</v>
      </c>
      <c r="G456" s="2">
        <v>4</v>
      </c>
      <c r="H456" s="2">
        <v>300</v>
      </c>
      <c r="I456" s="2">
        <f>Table13[[#This Row],[Quantity]]*Table13[[#This Row],[Price per Unit]]</f>
        <v>1200</v>
      </c>
      <c r="J456" s="2">
        <v>1200</v>
      </c>
    </row>
    <row r="457" spans="1:10" x14ac:dyDescent="0.35">
      <c r="A457" s="2">
        <v>587</v>
      </c>
      <c r="B457" s="3">
        <v>45085</v>
      </c>
      <c r="C457" s="2" t="s">
        <v>600</v>
      </c>
      <c r="D457" s="2" t="s">
        <v>13</v>
      </c>
      <c r="E457" s="2">
        <v>40</v>
      </c>
      <c r="F457" s="2" t="s">
        <v>11</v>
      </c>
      <c r="G457" s="2">
        <v>4</v>
      </c>
      <c r="H457" s="2">
        <v>300</v>
      </c>
      <c r="I457" s="2">
        <f>Table13[[#This Row],[Quantity]]*Table13[[#This Row],[Price per Unit]]</f>
        <v>1200</v>
      </c>
      <c r="J457" s="2">
        <v>1200</v>
      </c>
    </row>
    <row r="458" spans="1:10" x14ac:dyDescent="0.35">
      <c r="A458" s="2">
        <v>603</v>
      </c>
      <c r="B458" s="3">
        <v>45123</v>
      </c>
      <c r="C458" s="2" t="s">
        <v>616</v>
      </c>
      <c r="D458" s="2" t="s">
        <v>13</v>
      </c>
      <c r="E458" s="2">
        <v>40</v>
      </c>
      <c r="F458" s="2" t="s">
        <v>14</v>
      </c>
      <c r="G458" s="2">
        <v>3</v>
      </c>
      <c r="H458" s="2">
        <v>30</v>
      </c>
      <c r="I458" s="2">
        <f>Table13[[#This Row],[Quantity]]*Table13[[#This Row],[Price per Unit]]</f>
        <v>90</v>
      </c>
      <c r="J458" s="2">
        <v>90</v>
      </c>
    </row>
    <row r="459" spans="1:10" x14ac:dyDescent="0.35">
      <c r="A459" s="2">
        <v>621</v>
      </c>
      <c r="B459" s="3">
        <v>44989</v>
      </c>
      <c r="C459" s="2" t="s">
        <v>634</v>
      </c>
      <c r="D459" s="2" t="s">
        <v>13</v>
      </c>
      <c r="E459" s="2">
        <v>40</v>
      </c>
      <c r="F459" s="2" t="s">
        <v>11</v>
      </c>
      <c r="G459" s="2">
        <v>2</v>
      </c>
      <c r="H459" s="2">
        <v>500</v>
      </c>
      <c r="I459" s="2">
        <f>Table13[[#This Row],[Quantity]]*Table13[[#This Row],[Price per Unit]]</f>
        <v>1000</v>
      </c>
      <c r="J459" s="2">
        <v>1000</v>
      </c>
    </row>
    <row r="460" spans="1:10" x14ac:dyDescent="0.35">
      <c r="A460" s="2">
        <v>641</v>
      </c>
      <c r="B460" s="3">
        <v>45253</v>
      </c>
      <c r="C460" s="2" t="s">
        <v>654</v>
      </c>
      <c r="D460" s="2" t="s">
        <v>13</v>
      </c>
      <c r="E460" s="2">
        <v>40</v>
      </c>
      <c r="F460" s="2" t="s">
        <v>16</v>
      </c>
      <c r="G460" s="2">
        <v>1</v>
      </c>
      <c r="H460" s="2">
        <v>300</v>
      </c>
      <c r="I460" s="2">
        <f>Table13[[#This Row],[Quantity]]*Table13[[#This Row],[Price per Unit]]</f>
        <v>300</v>
      </c>
      <c r="J460" s="2">
        <v>300</v>
      </c>
    </row>
    <row r="461" spans="1:10" x14ac:dyDescent="0.35">
      <c r="A461" s="2">
        <v>657</v>
      </c>
      <c r="B461" s="3">
        <v>44968</v>
      </c>
      <c r="C461" s="2" t="s">
        <v>670</v>
      </c>
      <c r="D461" s="2" t="s">
        <v>10</v>
      </c>
      <c r="E461" s="2">
        <v>40</v>
      </c>
      <c r="F461" s="2" t="s">
        <v>14</v>
      </c>
      <c r="G461" s="2">
        <v>1</v>
      </c>
      <c r="H461" s="2">
        <v>25</v>
      </c>
      <c r="I461" s="2">
        <f>Table13[[#This Row],[Quantity]]*Table13[[#This Row],[Price per Unit]]</f>
        <v>25</v>
      </c>
      <c r="J461" s="2">
        <v>25</v>
      </c>
    </row>
    <row r="462" spans="1:10" x14ac:dyDescent="0.35">
      <c r="A462" s="2">
        <v>744</v>
      </c>
      <c r="B462" s="3">
        <v>45053</v>
      </c>
      <c r="C462" s="2" t="s">
        <v>757</v>
      </c>
      <c r="D462" s="2" t="s">
        <v>10</v>
      </c>
      <c r="E462" s="2">
        <v>40</v>
      </c>
      <c r="F462" s="2" t="s">
        <v>16</v>
      </c>
      <c r="G462" s="2">
        <v>1</v>
      </c>
      <c r="H462" s="2">
        <v>25</v>
      </c>
      <c r="I462" s="2">
        <f>Table13[[#This Row],[Quantity]]*Table13[[#This Row],[Price per Unit]]</f>
        <v>25</v>
      </c>
      <c r="J462" s="2">
        <v>25</v>
      </c>
    </row>
    <row r="463" spans="1:10" x14ac:dyDescent="0.35">
      <c r="A463" s="2">
        <v>764</v>
      </c>
      <c r="B463" s="3">
        <v>45010</v>
      </c>
      <c r="C463" s="2" t="s">
        <v>777</v>
      </c>
      <c r="D463" s="2" t="s">
        <v>13</v>
      </c>
      <c r="E463" s="2">
        <v>40</v>
      </c>
      <c r="F463" s="2" t="s">
        <v>14</v>
      </c>
      <c r="G463" s="2">
        <v>1</v>
      </c>
      <c r="H463" s="2">
        <v>25</v>
      </c>
      <c r="I463" s="2">
        <f>Table13[[#This Row],[Quantity]]*Table13[[#This Row],[Price per Unit]]</f>
        <v>25</v>
      </c>
      <c r="J463" s="2">
        <v>25</v>
      </c>
    </row>
    <row r="464" spans="1:10" x14ac:dyDescent="0.35">
      <c r="A464" s="2">
        <v>774</v>
      </c>
      <c r="B464" s="3">
        <v>45028</v>
      </c>
      <c r="C464" s="2" t="s">
        <v>787</v>
      </c>
      <c r="D464" s="2" t="s">
        <v>13</v>
      </c>
      <c r="E464" s="2">
        <v>40</v>
      </c>
      <c r="F464" s="2" t="s">
        <v>14</v>
      </c>
      <c r="G464" s="2">
        <v>2</v>
      </c>
      <c r="H464" s="2">
        <v>25</v>
      </c>
      <c r="I464" s="2">
        <f>Table13[[#This Row],[Quantity]]*Table13[[#This Row],[Price per Unit]]</f>
        <v>50</v>
      </c>
      <c r="J464" s="2">
        <v>50</v>
      </c>
    </row>
    <row r="465" spans="1:10" x14ac:dyDescent="0.35">
      <c r="A465" s="2">
        <v>797</v>
      </c>
      <c r="B465" s="3">
        <v>44933</v>
      </c>
      <c r="C465" s="2" t="s">
        <v>810</v>
      </c>
      <c r="D465" s="2" t="s">
        <v>10</v>
      </c>
      <c r="E465" s="2">
        <v>40</v>
      </c>
      <c r="F465" s="2" t="s">
        <v>14</v>
      </c>
      <c r="G465" s="2">
        <v>3</v>
      </c>
      <c r="H465" s="2">
        <v>25</v>
      </c>
      <c r="I465" s="2">
        <f>Table13[[#This Row],[Quantity]]*Table13[[#This Row],[Price per Unit]]</f>
        <v>75</v>
      </c>
      <c r="J465" s="2">
        <v>75</v>
      </c>
    </row>
    <row r="466" spans="1:10" x14ac:dyDescent="0.35">
      <c r="A466" s="2">
        <v>883</v>
      </c>
      <c r="B466" s="3">
        <v>45055</v>
      </c>
      <c r="C466" s="2" t="s">
        <v>896</v>
      </c>
      <c r="D466" s="2" t="s">
        <v>10</v>
      </c>
      <c r="E466" s="2">
        <v>40</v>
      </c>
      <c r="F466" s="2" t="s">
        <v>16</v>
      </c>
      <c r="G466" s="2">
        <v>1</v>
      </c>
      <c r="H466" s="2">
        <v>500</v>
      </c>
      <c r="I466" s="2">
        <f>Table13[[#This Row],[Quantity]]*Table13[[#This Row],[Price per Unit]]</f>
        <v>500</v>
      </c>
      <c r="J466" s="2">
        <v>500</v>
      </c>
    </row>
    <row r="467" spans="1:10" x14ac:dyDescent="0.35">
      <c r="A467" s="2">
        <v>969</v>
      </c>
      <c r="B467" s="3">
        <v>45035</v>
      </c>
      <c r="C467" s="2" t="s">
        <v>982</v>
      </c>
      <c r="D467" s="2" t="s">
        <v>13</v>
      </c>
      <c r="E467" s="2">
        <v>40</v>
      </c>
      <c r="F467" s="2" t="s">
        <v>14</v>
      </c>
      <c r="G467" s="2">
        <v>3</v>
      </c>
      <c r="H467" s="2">
        <v>300</v>
      </c>
      <c r="I467" s="2">
        <f>Table13[[#This Row],[Quantity]]*Table13[[#This Row],[Price per Unit]]</f>
        <v>900</v>
      </c>
      <c r="J467" s="2">
        <v>900</v>
      </c>
    </row>
    <row r="468" spans="1:10" x14ac:dyDescent="0.35">
      <c r="A468" s="2">
        <v>100</v>
      </c>
      <c r="B468" s="3">
        <v>45093</v>
      </c>
      <c r="C468" s="2" t="s">
        <v>113</v>
      </c>
      <c r="D468" s="2" t="s">
        <v>10</v>
      </c>
      <c r="E468" s="2">
        <v>41</v>
      </c>
      <c r="F468" s="2" t="s">
        <v>16</v>
      </c>
      <c r="G468" s="2">
        <v>1</v>
      </c>
      <c r="H468" s="2">
        <v>30</v>
      </c>
      <c r="I468" s="2">
        <f>Table13[[#This Row],[Quantity]]*Table13[[#This Row],[Price per Unit]]</f>
        <v>30</v>
      </c>
      <c r="J468" s="2">
        <v>30</v>
      </c>
    </row>
    <row r="469" spans="1:10" x14ac:dyDescent="0.35">
      <c r="A469" s="2">
        <v>113</v>
      </c>
      <c r="B469" s="3">
        <v>45182</v>
      </c>
      <c r="C469" s="2" t="s">
        <v>126</v>
      </c>
      <c r="D469" s="2" t="s">
        <v>13</v>
      </c>
      <c r="E469" s="2">
        <v>41</v>
      </c>
      <c r="F469" s="2" t="s">
        <v>16</v>
      </c>
      <c r="G469" s="2">
        <v>2</v>
      </c>
      <c r="H469" s="2">
        <v>25</v>
      </c>
      <c r="I469" s="2">
        <f>Table13[[#This Row],[Quantity]]*Table13[[#This Row],[Price per Unit]]</f>
        <v>50</v>
      </c>
      <c r="J469" s="2">
        <v>50</v>
      </c>
    </row>
    <row r="470" spans="1:10" x14ac:dyDescent="0.35">
      <c r="A470" s="2">
        <v>180</v>
      </c>
      <c r="B470" s="3">
        <v>44927</v>
      </c>
      <c r="C470" s="2" t="s">
        <v>193</v>
      </c>
      <c r="D470" s="2" t="s">
        <v>10</v>
      </c>
      <c r="E470" s="2">
        <v>41</v>
      </c>
      <c r="F470" s="2" t="s">
        <v>14</v>
      </c>
      <c r="G470" s="2">
        <v>3</v>
      </c>
      <c r="H470" s="2">
        <v>300</v>
      </c>
      <c r="I470" s="2">
        <f>Table13[[#This Row],[Quantity]]*Table13[[#This Row],[Price per Unit]]</f>
        <v>900</v>
      </c>
      <c r="J470" s="2">
        <v>900</v>
      </c>
    </row>
    <row r="471" spans="1:10" x14ac:dyDescent="0.35">
      <c r="A471" s="2">
        <v>247</v>
      </c>
      <c r="B471" s="3">
        <v>45203</v>
      </c>
      <c r="C471" s="2" t="s">
        <v>260</v>
      </c>
      <c r="D471" s="2" t="s">
        <v>10</v>
      </c>
      <c r="E471" s="2">
        <v>41</v>
      </c>
      <c r="F471" s="2" t="s">
        <v>16</v>
      </c>
      <c r="G471" s="2">
        <v>2</v>
      </c>
      <c r="H471" s="2">
        <v>30</v>
      </c>
      <c r="I471" s="2">
        <f>Table13[[#This Row],[Quantity]]*Table13[[#This Row],[Price per Unit]]</f>
        <v>60</v>
      </c>
      <c r="J471" s="2">
        <v>60</v>
      </c>
    </row>
    <row r="472" spans="1:10" x14ac:dyDescent="0.35">
      <c r="A472" s="2">
        <v>254</v>
      </c>
      <c r="B472" s="3">
        <v>45135</v>
      </c>
      <c r="C472" s="2" t="s">
        <v>267</v>
      </c>
      <c r="D472" s="2" t="s">
        <v>10</v>
      </c>
      <c r="E472" s="2">
        <v>41</v>
      </c>
      <c r="F472" s="2" t="s">
        <v>16</v>
      </c>
      <c r="G472" s="2">
        <v>1</v>
      </c>
      <c r="H472" s="2">
        <v>500</v>
      </c>
      <c r="I472" s="2">
        <f>Table13[[#This Row],[Quantity]]*Table13[[#This Row],[Price per Unit]]</f>
        <v>500</v>
      </c>
      <c r="J472" s="2">
        <v>500</v>
      </c>
    </row>
    <row r="473" spans="1:10" x14ac:dyDescent="0.35">
      <c r="A473" s="2">
        <v>312</v>
      </c>
      <c r="B473" s="3">
        <v>45176</v>
      </c>
      <c r="C473" s="2" t="s">
        <v>325</v>
      </c>
      <c r="D473" s="2" t="s">
        <v>10</v>
      </c>
      <c r="E473" s="2">
        <v>41</v>
      </c>
      <c r="F473" s="2" t="s">
        <v>14</v>
      </c>
      <c r="G473" s="2">
        <v>4</v>
      </c>
      <c r="H473" s="2">
        <v>30</v>
      </c>
      <c r="I473" s="2">
        <f>Table13[[#This Row],[Quantity]]*Table13[[#This Row],[Price per Unit]]</f>
        <v>120</v>
      </c>
      <c r="J473" s="2">
        <v>120</v>
      </c>
    </row>
    <row r="474" spans="1:10" x14ac:dyDescent="0.35">
      <c r="A474" s="2">
        <v>402</v>
      </c>
      <c r="B474" s="3">
        <v>45006</v>
      </c>
      <c r="C474" s="2" t="s">
        <v>415</v>
      </c>
      <c r="D474" s="2" t="s">
        <v>13</v>
      </c>
      <c r="E474" s="2">
        <v>41</v>
      </c>
      <c r="F474" s="2" t="s">
        <v>14</v>
      </c>
      <c r="G474" s="2">
        <v>2</v>
      </c>
      <c r="H474" s="2">
        <v>300</v>
      </c>
      <c r="I474" s="2">
        <f>Table13[[#This Row],[Quantity]]*Table13[[#This Row],[Price per Unit]]</f>
        <v>600</v>
      </c>
      <c r="J474" s="2">
        <v>600</v>
      </c>
    </row>
    <row r="475" spans="1:10" x14ac:dyDescent="0.35">
      <c r="A475" s="2">
        <v>493</v>
      </c>
      <c r="B475" s="3">
        <v>45255</v>
      </c>
      <c r="C475" s="2" t="s">
        <v>506</v>
      </c>
      <c r="D475" s="2" t="s">
        <v>10</v>
      </c>
      <c r="E475" s="2">
        <v>41</v>
      </c>
      <c r="F475" s="2" t="s">
        <v>11</v>
      </c>
      <c r="G475" s="2">
        <v>2</v>
      </c>
      <c r="H475" s="2">
        <v>25</v>
      </c>
      <c r="I475" s="2">
        <f>Table13[[#This Row],[Quantity]]*Table13[[#This Row],[Price per Unit]]</f>
        <v>50</v>
      </c>
      <c r="J475" s="2">
        <v>50</v>
      </c>
    </row>
    <row r="476" spans="1:10" x14ac:dyDescent="0.35">
      <c r="A476" s="2">
        <v>497</v>
      </c>
      <c r="B476" s="3">
        <v>45201</v>
      </c>
      <c r="C476" s="2" t="s">
        <v>510</v>
      </c>
      <c r="D476" s="2" t="s">
        <v>10</v>
      </c>
      <c r="E476" s="2">
        <v>41</v>
      </c>
      <c r="F476" s="2" t="s">
        <v>14</v>
      </c>
      <c r="G476" s="2">
        <v>4</v>
      </c>
      <c r="H476" s="2">
        <v>30</v>
      </c>
      <c r="I476" s="2">
        <f>Table13[[#This Row],[Quantity]]*Table13[[#This Row],[Price per Unit]]</f>
        <v>120</v>
      </c>
      <c r="J476" s="2">
        <v>120</v>
      </c>
    </row>
    <row r="477" spans="1:10" x14ac:dyDescent="0.35">
      <c r="A477" s="2">
        <v>558</v>
      </c>
      <c r="B477" s="3">
        <v>45207</v>
      </c>
      <c r="C477" s="2" t="s">
        <v>571</v>
      </c>
      <c r="D477" s="2" t="s">
        <v>13</v>
      </c>
      <c r="E477" s="2">
        <v>41</v>
      </c>
      <c r="F477" s="2" t="s">
        <v>14</v>
      </c>
      <c r="G477" s="2">
        <v>1</v>
      </c>
      <c r="H477" s="2">
        <v>25</v>
      </c>
      <c r="I477" s="2">
        <f>Table13[[#This Row],[Quantity]]*Table13[[#This Row],[Price per Unit]]</f>
        <v>25</v>
      </c>
      <c r="J477" s="2">
        <v>25</v>
      </c>
    </row>
    <row r="478" spans="1:10" x14ac:dyDescent="0.35">
      <c r="A478" s="2">
        <v>571</v>
      </c>
      <c r="B478" s="3">
        <v>45272</v>
      </c>
      <c r="C478" s="2" t="s">
        <v>584</v>
      </c>
      <c r="D478" s="2" t="s">
        <v>13</v>
      </c>
      <c r="E478" s="2">
        <v>41</v>
      </c>
      <c r="F478" s="2" t="s">
        <v>16</v>
      </c>
      <c r="G478" s="2">
        <v>1</v>
      </c>
      <c r="H478" s="2">
        <v>50</v>
      </c>
      <c r="I478" s="2">
        <f>Table13[[#This Row],[Quantity]]*Table13[[#This Row],[Price per Unit]]</f>
        <v>50</v>
      </c>
      <c r="J478" s="2">
        <v>50</v>
      </c>
    </row>
    <row r="479" spans="1:10" x14ac:dyDescent="0.35">
      <c r="A479" s="2">
        <v>616</v>
      </c>
      <c r="B479" s="3">
        <v>45192</v>
      </c>
      <c r="C479" s="2" t="s">
        <v>629</v>
      </c>
      <c r="D479" s="2" t="s">
        <v>10</v>
      </c>
      <c r="E479" s="2">
        <v>41</v>
      </c>
      <c r="F479" s="2" t="s">
        <v>14</v>
      </c>
      <c r="G479" s="2">
        <v>2</v>
      </c>
      <c r="H479" s="2">
        <v>50</v>
      </c>
      <c r="I479" s="2">
        <f>Table13[[#This Row],[Quantity]]*Table13[[#This Row],[Price per Unit]]</f>
        <v>100</v>
      </c>
      <c r="J479" s="2">
        <v>100</v>
      </c>
    </row>
    <row r="480" spans="1:10" x14ac:dyDescent="0.35">
      <c r="A480" s="2">
        <v>693</v>
      </c>
      <c r="B480" s="3">
        <v>45039</v>
      </c>
      <c r="C480" s="2" t="s">
        <v>706</v>
      </c>
      <c r="D480" s="2" t="s">
        <v>10</v>
      </c>
      <c r="E480" s="2">
        <v>41</v>
      </c>
      <c r="F480" s="2" t="s">
        <v>11</v>
      </c>
      <c r="G480" s="2">
        <v>3</v>
      </c>
      <c r="H480" s="2">
        <v>500</v>
      </c>
      <c r="I480" s="2">
        <f>Table13[[#This Row],[Quantity]]*Table13[[#This Row],[Price per Unit]]</f>
        <v>1500</v>
      </c>
      <c r="J480" s="2">
        <v>1500</v>
      </c>
    </row>
    <row r="481" spans="1:10" x14ac:dyDescent="0.35">
      <c r="A481" s="2">
        <v>738</v>
      </c>
      <c r="B481" s="3">
        <v>45041</v>
      </c>
      <c r="C481" s="2" t="s">
        <v>751</v>
      </c>
      <c r="D481" s="2" t="s">
        <v>10</v>
      </c>
      <c r="E481" s="2">
        <v>41</v>
      </c>
      <c r="F481" s="2" t="s">
        <v>14</v>
      </c>
      <c r="G481" s="2">
        <v>2</v>
      </c>
      <c r="H481" s="2">
        <v>50</v>
      </c>
      <c r="I481" s="2">
        <f>Table13[[#This Row],[Quantity]]*Table13[[#This Row],[Price per Unit]]</f>
        <v>100</v>
      </c>
      <c r="J481" s="2">
        <v>100</v>
      </c>
    </row>
    <row r="482" spans="1:10" x14ac:dyDescent="0.35">
      <c r="A482" s="2">
        <v>787</v>
      </c>
      <c r="B482" s="3">
        <v>44948</v>
      </c>
      <c r="C482" s="2" t="s">
        <v>800</v>
      </c>
      <c r="D482" s="2" t="s">
        <v>10</v>
      </c>
      <c r="E482" s="2">
        <v>41</v>
      </c>
      <c r="F482" s="2" t="s">
        <v>16</v>
      </c>
      <c r="G482" s="2">
        <v>1</v>
      </c>
      <c r="H482" s="2">
        <v>25</v>
      </c>
      <c r="I482" s="2">
        <f>Table13[[#This Row],[Quantity]]*Table13[[#This Row],[Price per Unit]]</f>
        <v>25</v>
      </c>
      <c r="J482" s="2">
        <v>25</v>
      </c>
    </row>
    <row r="483" spans="1:10" x14ac:dyDescent="0.35">
      <c r="A483" s="2">
        <v>852</v>
      </c>
      <c r="B483" s="3">
        <v>45211</v>
      </c>
      <c r="C483" s="2" t="s">
        <v>865</v>
      </c>
      <c r="D483" s="2" t="s">
        <v>13</v>
      </c>
      <c r="E483" s="2">
        <v>41</v>
      </c>
      <c r="F483" s="2" t="s">
        <v>14</v>
      </c>
      <c r="G483" s="2">
        <v>1</v>
      </c>
      <c r="H483" s="2">
        <v>300</v>
      </c>
      <c r="I483" s="2">
        <f>Table13[[#This Row],[Quantity]]*Table13[[#This Row],[Price per Unit]]</f>
        <v>300</v>
      </c>
      <c r="J483" s="2">
        <v>300</v>
      </c>
    </row>
    <row r="484" spans="1:10" x14ac:dyDescent="0.35">
      <c r="A484" s="2">
        <v>861</v>
      </c>
      <c r="B484" s="3">
        <v>44974</v>
      </c>
      <c r="C484" s="2" t="s">
        <v>874</v>
      </c>
      <c r="D484" s="2" t="s">
        <v>13</v>
      </c>
      <c r="E484" s="2">
        <v>41</v>
      </c>
      <c r="F484" s="2" t="s">
        <v>14</v>
      </c>
      <c r="G484" s="2">
        <v>3</v>
      </c>
      <c r="H484" s="2">
        <v>30</v>
      </c>
      <c r="I484" s="2">
        <f>Table13[[#This Row],[Quantity]]*Table13[[#This Row],[Price per Unit]]</f>
        <v>90</v>
      </c>
      <c r="J484" s="2">
        <v>90</v>
      </c>
    </row>
    <row r="485" spans="1:10" x14ac:dyDescent="0.35">
      <c r="A485" s="2">
        <v>891</v>
      </c>
      <c r="B485" s="3">
        <v>45021</v>
      </c>
      <c r="C485" s="2" t="s">
        <v>904</v>
      </c>
      <c r="D485" s="2" t="s">
        <v>10</v>
      </c>
      <c r="E485" s="2">
        <v>41</v>
      </c>
      <c r="F485" s="2" t="s">
        <v>16</v>
      </c>
      <c r="G485" s="2">
        <v>3</v>
      </c>
      <c r="H485" s="2">
        <v>300</v>
      </c>
      <c r="I485" s="2">
        <f>Table13[[#This Row],[Quantity]]*Table13[[#This Row],[Price per Unit]]</f>
        <v>900</v>
      </c>
      <c r="J485" s="2">
        <v>900</v>
      </c>
    </row>
    <row r="486" spans="1:10" x14ac:dyDescent="0.35">
      <c r="A486" s="2">
        <v>922</v>
      </c>
      <c r="B486" s="3">
        <v>45220</v>
      </c>
      <c r="C486" s="2" t="s">
        <v>935</v>
      </c>
      <c r="D486" s="2" t="s">
        <v>10</v>
      </c>
      <c r="E486" s="2">
        <v>41</v>
      </c>
      <c r="F486" s="2" t="s">
        <v>16</v>
      </c>
      <c r="G486" s="2">
        <v>1</v>
      </c>
      <c r="H486" s="2">
        <v>50</v>
      </c>
      <c r="I486" s="2">
        <f>Table13[[#This Row],[Quantity]]*Table13[[#This Row],[Price per Unit]]</f>
        <v>50</v>
      </c>
      <c r="J486" s="2">
        <v>50</v>
      </c>
    </row>
    <row r="487" spans="1:10" x14ac:dyDescent="0.35">
      <c r="A487" s="2">
        <v>949</v>
      </c>
      <c r="B487" s="3">
        <v>45140</v>
      </c>
      <c r="C487" s="2" t="s">
        <v>962</v>
      </c>
      <c r="D487" s="2" t="s">
        <v>13</v>
      </c>
      <c r="E487" s="2">
        <v>41</v>
      </c>
      <c r="F487" s="2" t="s">
        <v>16</v>
      </c>
      <c r="G487" s="2">
        <v>2</v>
      </c>
      <c r="H487" s="2">
        <v>25</v>
      </c>
      <c r="I487" s="2">
        <f>Table13[[#This Row],[Quantity]]*Table13[[#This Row],[Price per Unit]]</f>
        <v>50</v>
      </c>
      <c r="J487" s="2">
        <v>50</v>
      </c>
    </row>
    <row r="488" spans="1:10" x14ac:dyDescent="0.35">
      <c r="A488" s="2">
        <v>995</v>
      </c>
      <c r="B488" s="3">
        <v>45046</v>
      </c>
      <c r="C488" s="2" t="s">
        <v>1008</v>
      </c>
      <c r="D488" s="2" t="s">
        <v>13</v>
      </c>
      <c r="E488" s="2">
        <v>41</v>
      </c>
      <c r="F488" s="2" t="s">
        <v>14</v>
      </c>
      <c r="G488" s="2">
        <v>1</v>
      </c>
      <c r="H488" s="2">
        <v>30</v>
      </c>
      <c r="I488" s="2">
        <f>Table13[[#This Row],[Quantity]]*Table13[[#This Row],[Price per Unit]]</f>
        <v>30</v>
      </c>
      <c r="J488" s="2">
        <v>30</v>
      </c>
    </row>
    <row r="489" spans="1:10" x14ac:dyDescent="0.35">
      <c r="A489" s="2">
        <v>15</v>
      </c>
      <c r="B489" s="3">
        <v>44942</v>
      </c>
      <c r="C489" s="2" t="s">
        <v>28</v>
      </c>
      <c r="D489" s="2" t="s">
        <v>13</v>
      </c>
      <c r="E489" s="2">
        <v>42</v>
      </c>
      <c r="F489" s="2" t="s">
        <v>16</v>
      </c>
      <c r="G489" s="2">
        <v>4</v>
      </c>
      <c r="H489" s="2">
        <v>500</v>
      </c>
      <c r="I489" s="2">
        <f>Table13[[#This Row],[Quantity]]*Table13[[#This Row],[Price per Unit]]</f>
        <v>2000</v>
      </c>
      <c r="J489" s="2">
        <v>2000</v>
      </c>
    </row>
    <row r="490" spans="1:10" x14ac:dyDescent="0.35">
      <c r="A490" s="2">
        <v>29</v>
      </c>
      <c r="B490" s="3">
        <v>45156</v>
      </c>
      <c r="C490" s="2" t="s">
        <v>42</v>
      </c>
      <c r="D490" s="2" t="s">
        <v>13</v>
      </c>
      <c r="E490" s="2">
        <v>42</v>
      </c>
      <c r="F490" s="2" t="s">
        <v>16</v>
      </c>
      <c r="G490" s="2">
        <v>1</v>
      </c>
      <c r="H490" s="2">
        <v>30</v>
      </c>
      <c r="I490" s="2">
        <f>Table13[[#This Row],[Quantity]]*Table13[[#This Row],[Price per Unit]]</f>
        <v>30</v>
      </c>
      <c r="J490" s="2">
        <v>30</v>
      </c>
    </row>
    <row r="491" spans="1:10" x14ac:dyDescent="0.35">
      <c r="A491" s="2">
        <v>132</v>
      </c>
      <c r="B491" s="3">
        <v>45179</v>
      </c>
      <c r="C491" s="2" t="s">
        <v>145</v>
      </c>
      <c r="D491" s="2" t="s">
        <v>10</v>
      </c>
      <c r="E491" s="2">
        <v>42</v>
      </c>
      <c r="F491" s="2" t="s">
        <v>16</v>
      </c>
      <c r="G491" s="2">
        <v>4</v>
      </c>
      <c r="H491" s="2">
        <v>50</v>
      </c>
      <c r="I491" s="2">
        <f>Table13[[#This Row],[Quantity]]*Table13[[#This Row],[Price per Unit]]</f>
        <v>200</v>
      </c>
      <c r="J491" s="2">
        <v>200</v>
      </c>
    </row>
    <row r="492" spans="1:10" x14ac:dyDescent="0.35">
      <c r="A492" s="2">
        <v>197</v>
      </c>
      <c r="B492" s="3">
        <v>44991</v>
      </c>
      <c r="C492" s="2" t="s">
        <v>210</v>
      </c>
      <c r="D492" s="2" t="s">
        <v>13</v>
      </c>
      <c r="E492" s="2">
        <v>42</v>
      </c>
      <c r="F492" s="2" t="s">
        <v>14</v>
      </c>
      <c r="G492" s="2">
        <v>4</v>
      </c>
      <c r="H492" s="2">
        <v>50</v>
      </c>
      <c r="I492" s="2">
        <f>Table13[[#This Row],[Quantity]]*Table13[[#This Row],[Price per Unit]]</f>
        <v>200</v>
      </c>
      <c r="J492" s="2">
        <v>200</v>
      </c>
    </row>
    <row r="493" spans="1:10" x14ac:dyDescent="0.35">
      <c r="A493" s="2">
        <v>207</v>
      </c>
      <c r="B493" s="3">
        <v>45035</v>
      </c>
      <c r="C493" s="2" t="s">
        <v>220</v>
      </c>
      <c r="D493" s="2" t="s">
        <v>13</v>
      </c>
      <c r="E493" s="2">
        <v>42</v>
      </c>
      <c r="F493" s="2" t="s">
        <v>11</v>
      </c>
      <c r="G493" s="2">
        <v>2</v>
      </c>
      <c r="H493" s="2">
        <v>25</v>
      </c>
      <c r="I493" s="2">
        <f>Table13[[#This Row],[Quantity]]*Table13[[#This Row],[Price per Unit]]</f>
        <v>50</v>
      </c>
      <c r="J493" s="2">
        <v>50</v>
      </c>
    </row>
    <row r="494" spans="1:10" x14ac:dyDescent="0.35">
      <c r="A494" s="2">
        <v>211</v>
      </c>
      <c r="B494" s="3">
        <v>45292</v>
      </c>
      <c r="C494" s="2" t="s">
        <v>224</v>
      </c>
      <c r="D494" s="2" t="s">
        <v>10</v>
      </c>
      <c r="E494" s="2">
        <v>42</v>
      </c>
      <c r="F494" s="2" t="s">
        <v>11</v>
      </c>
      <c r="G494" s="2">
        <v>3</v>
      </c>
      <c r="H494" s="2">
        <v>500</v>
      </c>
      <c r="I494" s="2">
        <f>Table13[[#This Row],[Quantity]]*Table13[[#This Row],[Price per Unit]]</f>
        <v>1500</v>
      </c>
      <c r="J494" s="2">
        <v>1500</v>
      </c>
    </row>
    <row r="495" spans="1:10" x14ac:dyDescent="0.35">
      <c r="A495" s="2">
        <v>344</v>
      </c>
      <c r="B495" s="3">
        <v>44947</v>
      </c>
      <c r="C495" s="2" t="s">
        <v>357</v>
      </c>
      <c r="D495" s="2" t="s">
        <v>13</v>
      </c>
      <c r="E495" s="2">
        <v>42</v>
      </c>
      <c r="F495" s="2" t="s">
        <v>11</v>
      </c>
      <c r="G495" s="2">
        <v>1</v>
      </c>
      <c r="H495" s="2">
        <v>30</v>
      </c>
      <c r="I495" s="2">
        <f>Table13[[#This Row],[Quantity]]*Table13[[#This Row],[Price per Unit]]</f>
        <v>30</v>
      </c>
      <c r="J495" s="2">
        <v>30</v>
      </c>
    </row>
    <row r="496" spans="1:10" x14ac:dyDescent="0.35">
      <c r="A496" s="2">
        <v>347</v>
      </c>
      <c r="B496" s="3">
        <v>45141</v>
      </c>
      <c r="C496" s="2" t="s">
        <v>360</v>
      </c>
      <c r="D496" s="2" t="s">
        <v>10</v>
      </c>
      <c r="E496" s="2">
        <v>42</v>
      </c>
      <c r="F496" s="2" t="s">
        <v>16</v>
      </c>
      <c r="G496" s="2">
        <v>1</v>
      </c>
      <c r="H496" s="2">
        <v>25</v>
      </c>
      <c r="I496" s="2">
        <f>Table13[[#This Row],[Quantity]]*Table13[[#This Row],[Price per Unit]]</f>
        <v>25</v>
      </c>
      <c r="J496" s="2">
        <v>25</v>
      </c>
    </row>
    <row r="497" spans="1:10" x14ac:dyDescent="0.35">
      <c r="A497" s="2">
        <v>360</v>
      </c>
      <c r="B497" s="3">
        <v>44994</v>
      </c>
      <c r="C497" s="2" t="s">
        <v>373</v>
      </c>
      <c r="D497" s="2" t="s">
        <v>10</v>
      </c>
      <c r="E497" s="2">
        <v>42</v>
      </c>
      <c r="F497" s="2" t="s">
        <v>14</v>
      </c>
      <c r="G497" s="2">
        <v>4</v>
      </c>
      <c r="H497" s="2">
        <v>25</v>
      </c>
      <c r="I497" s="2">
        <f>Table13[[#This Row],[Quantity]]*Table13[[#This Row],[Price per Unit]]</f>
        <v>100</v>
      </c>
      <c r="J497" s="2">
        <v>100</v>
      </c>
    </row>
    <row r="498" spans="1:10" x14ac:dyDescent="0.35">
      <c r="A498" s="2">
        <v>438</v>
      </c>
      <c r="B498" s="3">
        <v>44945</v>
      </c>
      <c r="C498" s="2" t="s">
        <v>451</v>
      </c>
      <c r="D498" s="2" t="s">
        <v>13</v>
      </c>
      <c r="E498" s="2">
        <v>42</v>
      </c>
      <c r="F498" s="2" t="s">
        <v>14</v>
      </c>
      <c r="G498" s="2">
        <v>1</v>
      </c>
      <c r="H498" s="2">
        <v>30</v>
      </c>
      <c r="I498" s="2">
        <f>Table13[[#This Row],[Quantity]]*Table13[[#This Row],[Price per Unit]]</f>
        <v>30</v>
      </c>
      <c r="J498" s="2">
        <v>30</v>
      </c>
    </row>
    <row r="499" spans="1:10" x14ac:dyDescent="0.35">
      <c r="A499" s="2">
        <v>480</v>
      </c>
      <c r="B499" s="3">
        <v>45106</v>
      </c>
      <c r="C499" s="2" t="s">
        <v>493</v>
      </c>
      <c r="D499" s="2" t="s">
        <v>13</v>
      </c>
      <c r="E499" s="2">
        <v>42</v>
      </c>
      <c r="F499" s="2" t="s">
        <v>11</v>
      </c>
      <c r="G499" s="2">
        <v>4</v>
      </c>
      <c r="H499" s="2">
        <v>500</v>
      </c>
      <c r="I499" s="2">
        <f>Table13[[#This Row],[Quantity]]*Table13[[#This Row],[Price per Unit]]</f>
        <v>2000</v>
      </c>
      <c r="J499" s="2">
        <v>2000</v>
      </c>
    </row>
    <row r="500" spans="1:10" x14ac:dyDescent="0.35">
      <c r="A500" s="2">
        <v>494</v>
      </c>
      <c r="B500" s="3">
        <v>45187</v>
      </c>
      <c r="C500" s="2" t="s">
        <v>507</v>
      </c>
      <c r="D500" s="2" t="s">
        <v>13</v>
      </c>
      <c r="E500" s="2">
        <v>42</v>
      </c>
      <c r="F500" s="2" t="s">
        <v>11</v>
      </c>
      <c r="G500" s="2">
        <v>4</v>
      </c>
      <c r="H500" s="2">
        <v>50</v>
      </c>
      <c r="I500" s="2">
        <f>Table13[[#This Row],[Quantity]]*Table13[[#This Row],[Price per Unit]]</f>
        <v>200</v>
      </c>
      <c r="J500" s="2">
        <v>200</v>
      </c>
    </row>
    <row r="501" spans="1:10" x14ac:dyDescent="0.35">
      <c r="A501" s="2">
        <v>630</v>
      </c>
      <c r="B501" s="3">
        <v>45153</v>
      </c>
      <c r="C501" s="2" t="s">
        <v>643</v>
      </c>
      <c r="D501" s="2" t="s">
        <v>10</v>
      </c>
      <c r="E501" s="2">
        <v>42</v>
      </c>
      <c r="F501" s="2" t="s">
        <v>14</v>
      </c>
      <c r="G501" s="2">
        <v>2</v>
      </c>
      <c r="H501" s="2">
        <v>50</v>
      </c>
      <c r="I501" s="2">
        <f>Table13[[#This Row],[Quantity]]*Table13[[#This Row],[Price per Unit]]</f>
        <v>100</v>
      </c>
      <c r="J501" s="2">
        <v>100</v>
      </c>
    </row>
    <row r="502" spans="1:10" x14ac:dyDescent="0.35">
      <c r="A502" s="2">
        <v>654</v>
      </c>
      <c r="B502" s="3">
        <v>45098</v>
      </c>
      <c r="C502" s="2" t="s">
        <v>667</v>
      </c>
      <c r="D502" s="2" t="s">
        <v>10</v>
      </c>
      <c r="E502" s="2">
        <v>42</v>
      </c>
      <c r="F502" s="2" t="s">
        <v>14</v>
      </c>
      <c r="G502" s="2">
        <v>3</v>
      </c>
      <c r="H502" s="2">
        <v>25</v>
      </c>
      <c r="I502" s="2">
        <f>Table13[[#This Row],[Quantity]]*Table13[[#This Row],[Price per Unit]]</f>
        <v>75</v>
      </c>
      <c r="J502" s="2">
        <v>75</v>
      </c>
    </row>
    <row r="503" spans="1:10" x14ac:dyDescent="0.35">
      <c r="A503" s="2">
        <v>715</v>
      </c>
      <c r="B503" s="3">
        <v>45256</v>
      </c>
      <c r="C503" s="2" t="s">
        <v>728</v>
      </c>
      <c r="D503" s="2" t="s">
        <v>13</v>
      </c>
      <c r="E503" s="2">
        <v>42</v>
      </c>
      <c r="F503" s="2" t="s">
        <v>11</v>
      </c>
      <c r="G503" s="2">
        <v>4</v>
      </c>
      <c r="H503" s="2">
        <v>25</v>
      </c>
      <c r="I503" s="2">
        <f>Table13[[#This Row],[Quantity]]*Table13[[#This Row],[Price per Unit]]</f>
        <v>100</v>
      </c>
      <c r="J503" s="2">
        <v>100</v>
      </c>
    </row>
    <row r="504" spans="1:10" x14ac:dyDescent="0.35">
      <c r="A504" s="2">
        <v>719</v>
      </c>
      <c r="B504" s="3">
        <v>45020</v>
      </c>
      <c r="C504" s="2" t="s">
        <v>732</v>
      </c>
      <c r="D504" s="2" t="s">
        <v>13</v>
      </c>
      <c r="E504" s="2">
        <v>42</v>
      </c>
      <c r="F504" s="2" t="s">
        <v>14</v>
      </c>
      <c r="G504" s="2">
        <v>2</v>
      </c>
      <c r="H504" s="2">
        <v>30</v>
      </c>
      <c r="I504" s="2">
        <f>Table13[[#This Row],[Quantity]]*Table13[[#This Row],[Price per Unit]]</f>
        <v>60</v>
      </c>
      <c r="J504" s="2">
        <v>60</v>
      </c>
    </row>
    <row r="505" spans="1:10" x14ac:dyDescent="0.35">
      <c r="A505" s="2">
        <v>749</v>
      </c>
      <c r="B505" s="3">
        <v>45049</v>
      </c>
      <c r="C505" s="2" t="s">
        <v>762</v>
      </c>
      <c r="D505" s="2" t="s">
        <v>10</v>
      </c>
      <c r="E505" s="2">
        <v>42</v>
      </c>
      <c r="F505" s="2" t="s">
        <v>11</v>
      </c>
      <c r="G505" s="2">
        <v>1</v>
      </c>
      <c r="H505" s="2">
        <v>30</v>
      </c>
      <c r="I505" s="2">
        <f>Table13[[#This Row],[Quantity]]*Table13[[#This Row],[Price per Unit]]</f>
        <v>30</v>
      </c>
      <c r="J505" s="2">
        <v>30</v>
      </c>
    </row>
    <row r="506" spans="1:10" x14ac:dyDescent="0.35">
      <c r="A506" s="2">
        <v>751</v>
      </c>
      <c r="B506" s="3">
        <v>45169</v>
      </c>
      <c r="C506" s="2" t="s">
        <v>764</v>
      </c>
      <c r="D506" s="2" t="s">
        <v>13</v>
      </c>
      <c r="E506" s="2">
        <v>42</v>
      </c>
      <c r="F506" s="2" t="s">
        <v>14</v>
      </c>
      <c r="G506" s="2">
        <v>2</v>
      </c>
      <c r="H506" s="2">
        <v>25</v>
      </c>
      <c r="I506" s="2">
        <f>Table13[[#This Row],[Quantity]]*Table13[[#This Row],[Price per Unit]]</f>
        <v>50</v>
      </c>
      <c r="J506" s="2">
        <v>50</v>
      </c>
    </row>
    <row r="507" spans="1:10" x14ac:dyDescent="0.35">
      <c r="A507" s="2">
        <v>804</v>
      </c>
      <c r="B507" s="3">
        <v>45162</v>
      </c>
      <c r="C507" s="2" t="s">
        <v>817</v>
      </c>
      <c r="D507" s="2" t="s">
        <v>10</v>
      </c>
      <c r="E507" s="2">
        <v>42</v>
      </c>
      <c r="F507" s="2" t="s">
        <v>16</v>
      </c>
      <c r="G507" s="2">
        <v>1</v>
      </c>
      <c r="H507" s="2">
        <v>30</v>
      </c>
      <c r="I507" s="2">
        <f>Table13[[#This Row],[Quantity]]*Table13[[#This Row],[Price per Unit]]</f>
        <v>30</v>
      </c>
      <c r="J507" s="2">
        <v>30</v>
      </c>
    </row>
    <row r="508" spans="1:10" x14ac:dyDescent="0.35">
      <c r="A508" s="2">
        <v>833</v>
      </c>
      <c r="B508" s="3">
        <v>45093</v>
      </c>
      <c r="C508" s="2" t="s">
        <v>846</v>
      </c>
      <c r="D508" s="2" t="s">
        <v>10</v>
      </c>
      <c r="E508" s="2">
        <v>42</v>
      </c>
      <c r="F508" s="2" t="s">
        <v>11</v>
      </c>
      <c r="G508" s="2">
        <v>4</v>
      </c>
      <c r="H508" s="2">
        <v>50</v>
      </c>
      <c r="I508" s="2">
        <f>Table13[[#This Row],[Quantity]]*Table13[[#This Row],[Price per Unit]]</f>
        <v>200</v>
      </c>
      <c r="J508" s="2">
        <v>200</v>
      </c>
    </row>
    <row r="509" spans="1:10" x14ac:dyDescent="0.35">
      <c r="A509" s="2">
        <v>846</v>
      </c>
      <c r="B509" s="3">
        <v>45191</v>
      </c>
      <c r="C509" s="2" t="s">
        <v>859</v>
      </c>
      <c r="D509" s="2" t="s">
        <v>10</v>
      </c>
      <c r="E509" s="2">
        <v>42</v>
      </c>
      <c r="F509" s="2" t="s">
        <v>11</v>
      </c>
      <c r="G509" s="2">
        <v>1</v>
      </c>
      <c r="H509" s="2">
        <v>50</v>
      </c>
      <c r="I509" s="2">
        <f>Table13[[#This Row],[Quantity]]*Table13[[#This Row],[Price per Unit]]</f>
        <v>50</v>
      </c>
      <c r="J509" s="2">
        <v>50</v>
      </c>
    </row>
    <row r="510" spans="1:10" x14ac:dyDescent="0.35">
      <c r="A510" s="2">
        <v>865</v>
      </c>
      <c r="B510" s="3">
        <v>45281</v>
      </c>
      <c r="C510" s="2" t="s">
        <v>878</v>
      </c>
      <c r="D510" s="2" t="s">
        <v>13</v>
      </c>
      <c r="E510" s="2">
        <v>42</v>
      </c>
      <c r="F510" s="2" t="s">
        <v>14</v>
      </c>
      <c r="G510" s="2">
        <v>1</v>
      </c>
      <c r="H510" s="2">
        <v>300</v>
      </c>
      <c r="I510" s="2">
        <f>Table13[[#This Row],[Quantity]]*Table13[[#This Row],[Price per Unit]]</f>
        <v>300</v>
      </c>
      <c r="J510" s="2">
        <v>300</v>
      </c>
    </row>
    <row r="511" spans="1:10" x14ac:dyDescent="0.35">
      <c r="A511" s="2">
        <v>898</v>
      </c>
      <c r="B511" s="3">
        <v>45232</v>
      </c>
      <c r="C511" s="2" t="s">
        <v>911</v>
      </c>
      <c r="D511" s="2" t="s">
        <v>13</v>
      </c>
      <c r="E511" s="2">
        <v>42</v>
      </c>
      <c r="F511" s="2" t="s">
        <v>14</v>
      </c>
      <c r="G511" s="2">
        <v>3</v>
      </c>
      <c r="H511" s="2">
        <v>30</v>
      </c>
      <c r="I511" s="2">
        <f>Table13[[#This Row],[Quantity]]*Table13[[#This Row],[Price per Unit]]</f>
        <v>90</v>
      </c>
      <c r="J511" s="2">
        <v>90</v>
      </c>
    </row>
    <row r="512" spans="1:10" x14ac:dyDescent="0.35">
      <c r="A512" s="2">
        <v>911</v>
      </c>
      <c r="B512" s="3">
        <v>45067</v>
      </c>
      <c r="C512" s="2" t="s">
        <v>924</v>
      </c>
      <c r="D512" s="2" t="s">
        <v>10</v>
      </c>
      <c r="E512" s="2">
        <v>42</v>
      </c>
      <c r="F512" s="2" t="s">
        <v>16</v>
      </c>
      <c r="G512" s="2">
        <v>3</v>
      </c>
      <c r="H512" s="2">
        <v>300</v>
      </c>
      <c r="I512" s="2">
        <f>Table13[[#This Row],[Quantity]]*Table13[[#This Row],[Price per Unit]]</f>
        <v>900</v>
      </c>
      <c r="J512" s="2">
        <v>900</v>
      </c>
    </row>
    <row r="513" spans="1:10" x14ac:dyDescent="0.35">
      <c r="A513" s="2">
        <v>918</v>
      </c>
      <c r="B513" s="3">
        <v>45253</v>
      </c>
      <c r="C513" s="2" t="s">
        <v>931</v>
      </c>
      <c r="D513" s="2" t="s">
        <v>13</v>
      </c>
      <c r="E513" s="2">
        <v>42</v>
      </c>
      <c r="F513" s="2" t="s">
        <v>16</v>
      </c>
      <c r="G513" s="2">
        <v>3</v>
      </c>
      <c r="H513" s="2">
        <v>30</v>
      </c>
      <c r="I513" s="2">
        <f>Table13[[#This Row],[Quantity]]*Table13[[#This Row],[Price per Unit]]</f>
        <v>90</v>
      </c>
      <c r="J513" s="2">
        <v>90</v>
      </c>
    </row>
    <row r="514" spans="1:10" x14ac:dyDescent="0.35">
      <c r="A514" s="2">
        <v>959</v>
      </c>
      <c r="B514" s="3">
        <v>45228</v>
      </c>
      <c r="C514" s="2" t="s">
        <v>972</v>
      </c>
      <c r="D514" s="2" t="s">
        <v>13</v>
      </c>
      <c r="E514" s="2">
        <v>42</v>
      </c>
      <c r="F514" s="2" t="s">
        <v>16</v>
      </c>
      <c r="G514" s="2">
        <v>2</v>
      </c>
      <c r="H514" s="2">
        <v>30</v>
      </c>
      <c r="I514" s="2">
        <f>Table13[[#This Row],[Quantity]]*Table13[[#This Row],[Price per Unit]]</f>
        <v>60</v>
      </c>
      <c r="J514" s="2">
        <v>60</v>
      </c>
    </row>
    <row r="515" spans="1:10" x14ac:dyDescent="0.35">
      <c r="A515" s="2">
        <v>28</v>
      </c>
      <c r="B515" s="3">
        <v>45039</v>
      </c>
      <c r="C515" s="2" t="s">
        <v>41</v>
      </c>
      <c r="D515" s="2" t="s">
        <v>13</v>
      </c>
      <c r="E515" s="2">
        <v>43</v>
      </c>
      <c r="F515" s="2" t="s">
        <v>11</v>
      </c>
      <c r="G515" s="2">
        <v>1</v>
      </c>
      <c r="H515" s="2">
        <v>500</v>
      </c>
      <c r="I515" s="2">
        <f>Table13[[#This Row],[Quantity]]*Table13[[#This Row],[Price per Unit]]</f>
        <v>500</v>
      </c>
      <c r="J515" s="2">
        <v>500</v>
      </c>
    </row>
    <row r="516" spans="1:10" x14ac:dyDescent="0.35">
      <c r="A516" s="2">
        <v>70</v>
      </c>
      <c r="B516" s="3">
        <v>44978</v>
      </c>
      <c r="C516" s="2" t="s">
        <v>83</v>
      </c>
      <c r="D516" s="2" t="s">
        <v>13</v>
      </c>
      <c r="E516" s="2">
        <v>43</v>
      </c>
      <c r="F516" s="2" t="s">
        <v>14</v>
      </c>
      <c r="G516" s="2">
        <v>1</v>
      </c>
      <c r="H516" s="2">
        <v>300</v>
      </c>
      <c r="I516" s="2">
        <f>Table13[[#This Row],[Quantity]]*Table13[[#This Row],[Price per Unit]]</f>
        <v>300</v>
      </c>
      <c r="J516" s="2">
        <v>300</v>
      </c>
    </row>
    <row r="517" spans="1:10" x14ac:dyDescent="0.35">
      <c r="A517" s="2">
        <v>152</v>
      </c>
      <c r="B517" s="3">
        <v>44985</v>
      </c>
      <c r="C517" s="2" t="s">
        <v>165</v>
      </c>
      <c r="D517" s="2" t="s">
        <v>10</v>
      </c>
      <c r="E517" s="2">
        <v>43</v>
      </c>
      <c r="F517" s="2" t="s">
        <v>16</v>
      </c>
      <c r="G517" s="2">
        <v>4</v>
      </c>
      <c r="H517" s="2">
        <v>500</v>
      </c>
      <c r="I517" s="2">
        <f>Table13[[#This Row],[Quantity]]*Table13[[#This Row],[Price per Unit]]</f>
        <v>2000</v>
      </c>
      <c r="J517" s="2">
        <v>2000</v>
      </c>
    </row>
    <row r="518" spans="1:10" x14ac:dyDescent="0.35">
      <c r="A518" s="2">
        <v>156</v>
      </c>
      <c r="B518" s="3">
        <v>45255</v>
      </c>
      <c r="C518" s="2" t="s">
        <v>169</v>
      </c>
      <c r="D518" s="2" t="s">
        <v>13</v>
      </c>
      <c r="E518" s="2">
        <v>43</v>
      </c>
      <c r="F518" s="2" t="s">
        <v>14</v>
      </c>
      <c r="G518" s="2">
        <v>4</v>
      </c>
      <c r="H518" s="2">
        <v>25</v>
      </c>
      <c r="I518" s="2">
        <f>Table13[[#This Row],[Quantity]]*Table13[[#This Row],[Price per Unit]]</f>
        <v>100</v>
      </c>
      <c r="J518" s="2">
        <v>100</v>
      </c>
    </row>
    <row r="519" spans="1:10" x14ac:dyDescent="0.35">
      <c r="A519" s="2">
        <v>160</v>
      </c>
      <c r="B519" s="3">
        <v>45149</v>
      </c>
      <c r="C519" s="2" t="s">
        <v>173</v>
      </c>
      <c r="D519" s="2" t="s">
        <v>13</v>
      </c>
      <c r="E519" s="2">
        <v>43</v>
      </c>
      <c r="F519" s="2" t="s">
        <v>14</v>
      </c>
      <c r="G519" s="2">
        <v>2</v>
      </c>
      <c r="H519" s="2">
        <v>50</v>
      </c>
      <c r="I519" s="2">
        <f>Table13[[#This Row],[Quantity]]*Table13[[#This Row],[Price per Unit]]</f>
        <v>100</v>
      </c>
      <c r="J519" s="2">
        <v>100</v>
      </c>
    </row>
    <row r="520" spans="1:10" x14ac:dyDescent="0.35">
      <c r="A520" s="2">
        <v>167</v>
      </c>
      <c r="B520" s="3">
        <v>45186</v>
      </c>
      <c r="C520" s="2" t="s">
        <v>180</v>
      </c>
      <c r="D520" s="2" t="s">
        <v>13</v>
      </c>
      <c r="E520" s="2">
        <v>43</v>
      </c>
      <c r="F520" s="2" t="s">
        <v>14</v>
      </c>
      <c r="G520" s="2">
        <v>3</v>
      </c>
      <c r="H520" s="2">
        <v>50</v>
      </c>
      <c r="I520" s="2">
        <f>Table13[[#This Row],[Quantity]]*Table13[[#This Row],[Price per Unit]]</f>
        <v>150</v>
      </c>
      <c r="J520" s="2">
        <v>150</v>
      </c>
    </row>
    <row r="521" spans="1:10" x14ac:dyDescent="0.35">
      <c r="A521" s="2">
        <v>176</v>
      </c>
      <c r="B521" s="3">
        <v>45118</v>
      </c>
      <c r="C521" s="2" t="s">
        <v>189</v>
      </c>
      <c r="D521" s="2" t="s">
        <v>13</v>
      </c>
      <c r="E521" s="2">
        <v>43</v>
      </c>
      <c r="F521" s="2" t="s">
        <v>11</v>
      </c>
      <c r="G521" s="2">
        <v>2</v>
      </c>
      <c r="H521" s="2">
        <v>50</v>
      </c>
      <c r="I521" s="2">
        <f>Table13[[#This Row],[Quantity]]*Table13[[#This Row],[Price per Unit]]</f>
        <v>100</v>
      </c>
      <c r="J521" s="2">
        <v>100</v>
      </c>
    </row>
    <row r="522" spans="1:10" x14ac:dyDescent="0.35">
      <c r="A522" s="2">
        <v>183</v>
      </c>
      <c r="B522" s="3">
        <v>45177</v>
      </c>
      <c r="C522" s="2" t="s">
        <v>196</v>
      </c>
      <c r="D522" s="2" t="s">
        <v>13</v>
      </c>
      <c r="E522" s="2">
        <v>43</v>
      </c>
      <c r="F522" s="2" t="s">
        <v>11</v>
      </c>
      <c r="G522" s="2">
        <v>3</v>
      </c>
      <c r="H522" s="2">
        <v>300</v>
      </c>
      <c r="I522" s="2">
        <f>Table13[[#This Row],[Quantity]]*Table13[[#This Row],[Price per Unit]]</f>
        <v>900</v>
      </c>
      <c r="J522" s="2">
        <v>900</v>
      </c>
    </row>
    <row r="523" spans="1:10" x14ac:dyDescent="0.35">
      <c r="A523" s="2">
        <v>205</v>
      </c>
      <c r="B523" s="3">
        <v>45237</v>
      </c>
      <c r="C523" s="2" t="s">
        <v>218</v>
      </c>
      <c r="D523" s="2" t="s">
        <v>13</v>
      </c>
      <c r="E523" s="2">
        <v>43</v>
      </c>
      <c r="F523" s="2" t="s">
        <v>14</v>
      </c>
      <c r="G523" s="2">
        <v>1</v>
      </c>
      <c r="H523" s="2">
        <v>25</v>
      </c>
      <c r="I523" s="2">
        <f>Table13[[#This Row],[Quantity]]*Table13[[#This Row],[Price per Unit]]</f>
        <v>25</v>
      </c>
      <c r="J523" s="2">
        <v>25</v>
      </c>
    </row>
    <row r="524" spans="1:10" x14ac:dyDescent="0.35">
      <c r="A524" s="2">
        <v>232</v>
      </c>
      <c r="B524" s="3">
        <v>44963</v>
      </c>
      <c r="C524" s="2" t="s">
        <v>245</v>
      </c>
      <c r="D524" s="2" t="s">
        <v>13</v>
      </c>
      <c r="E524" s="2">
        <v>43</v>
      </c>
      <c r="F524" s="2" t="s">
        <v>11</v>
      </c>
      <c r="G524" s="2">
        <v>1</v>
      </c>
      <c r="H524" s="2">
        <v>25</v>
      </c>
      <c r="I524" s="2">
        <f>Table13[[#This Row],[Quantity]]*Table13[[#This Row],[Price per Unit]]</f>
        <v>25</v>
      </c>
      <c r="J524" s="2">
        <v>25</v>
      </c>
    </row>
    <row r="525" spans="1:10" x14ac:dyDescent="0.35">
      <c r="A525" s="2">
        <v>270</v>
      </c>
      <c r="B525" s="3">
        <v>45133</v>
      </c>
      <c r="C525" s="2" t="s">
        <v>283</v>
      </c>
      <c r="D525" s="2" t="s">
        <v>10</v>
      </c>
      <c r="E525" s="2">
        <v>43</v>
      </c>
      <c r="F525" s="2" t="s">
        <v>16</v>
      </c>
      <c r="G525" s="2">
        <v>1</v>
      </c>
      <c r="H525" s="2">
        <v>300</v>
      </c>
      <c r="I525" s="2">
        <f>Table13[[#This Row],[Quantity]]*Table13[[#This Row],[Price per Unit]]</f>
        <v>300</v>
      </c>
      <c r="J525" s="2">
        <v>300</v>
      </c>
    </row>
    <row r="526" spans="1:10" x14ac:dyDescent="0.35">
      <c r="A526" s="2">
        <v>275</v>
      </c>
      <c r="B526" s="3">
        <v>45024</v>
      </c>
      <c r="C526" s="2" t="s">
        <v>288</v>
      </c>
      <c r="D526" s="2" t="s">
        <v>10</v>
      </c>
      <c r="E526" s="2">
        <v>43</v>
      </c>
      <c r="F526" s="2" t="s">
        <v>14</v>
      </c>
      <c r="G526" s="2">
        <v>2</v>
      </c>
      <c r="H526" s="2">
        <v>500</v>
      </c>
      <c r="I526" s="2">
        <f>Table13[[#This Row],[Quantity]]*Table13[[#This Row],[Price per Unit]]</f>
        <v>1000</v>
      </c>
      <c r="J526" s="2">
        <v>1000</v>
      </c>
    </row>
    <row r="527" spans="1:10" x14ac:dyDescent="0.35">
      <c r="A527" s="2">
        <v>284</v>
      </c>
      <c r="B527" s="3">
        <v>44965</v>
      </c>
      <c r="C527" s="2" t="s">
        <v>297</v>
      </c>
      <c r="D527" s="2" t="s">
        <v>10</v>
      </c>
      <c r="E527" s="2">
        <v>43</v>
      </c>
      <c r="F527" s="2" t="s">
        <v>14</v>
      </c>
      <c r="G527" s="2">
        <v>4</v>
      </c>
      <c r="H527" s="2">
        <v>50</v>
      </c>
      <c r="I527" s="2">
        <f>Table13[[#This Row],[Quantity]]*Table13[[#This Row],[Price per Unit]]</f>
        <v>200</v>
      </c>
      <c r="J527" s="2">
        <v>200</v>
      </c>
    </row>
    <row r="528" spans="1:10" x14ac:dyDescent="0.35">
      <c r="A528" s="2">
        <v>342</v>
      </c>
      <c r="B528" s="3">
        <v>45223</v>
      </c>
      <c r="C528" s="2" t="s">
        <v>355</v>
      </c>
      <c r="D528" s="2" t="s">
        <v>13</v>
      </c>
      <c r="E528" s="2">
        <v>43</v>
      </c>
      <c r="F528" s="2" t="s">
        <v>14</v>
      </c>
      <c r="G528" s="2">
        <v>4</v>
      </c>
      <c r="H528" s="2">
        <v>500</v>
      </c>
      <c r="I528" s="2">
        <f>Table13[[#This Row],[Quantity]]*Table13[[#This Row],[Price per Unit]]</f>
        <v>2000</v>
      </c>
      <c r="J528" s="2">
        <v>2000</v>
      </c>
    </row>
    <row r="529" spans="1:10" x14ac:dyDescent="0.35">
      <c r="A529" s="2">
        <v>417</v>
      </c>
      <c r="B529" s="3">
        <v>45251</v>
      </c>
      <c r="C529" s="2" t="s">
        <v>430</v>
      </c>
      <c r="D529" s="2" t="s">
        <v>10</v>
      </c>
      <c r="E529" s="2">
        <v>43</v>
      </c>
      <c r="F529" s="2" t="s">
        <v>16</v>
      </c>
      <c r="G529" s="2">
        <v>3</v>
      </c>
      <c r="H529" s="2">
        <v>300</v>
      </c>
      <c r="I529" s="2">
        <f>Table13[[#This Row],[Quantity]]*Table13[[#This Row],[Price per Unit]]</f>
        <v>900</v>
      </c>
      <c r="J529" s="2">
        <v>900</v>
      </c>
    </row>
    <row r="530" spans="1:10" x14ac:dyDescent="0.35">
      <c r="A530" s="2">
        <v>430</v>
      </c>
      <c r="B530" s="3">
        <v>45145</v>
      </c>
      <c r="C530" s="2" t="s">
        <v>443</v>
      </c>
      <c r="D530" s="2" t="s">
        <v>13</v>
      </c>
      <c r="E530" s="2">
        <v>43</v>
      </c>
      <c r="F530" s="2" t="s">
        <v>16</v>
      </c>
      <c r="G530" s="2">
        <v>3</v>
      </c>
      <c r="H530" s="2">
        <v>300</v>
      </c>
      <c r="I530" s="2">
        <f>Table13[[#This Row],[Quantity]]*Table13[[#This Row],[Price per Unit]]</f>
        <v>900</v>
      </c>
      <c r="J530" s="2">
        <v>900</v>
      </c>
    </row>
    <row r="531" spans="1:10" x14ac:dyDescent="0.35">
      <c r="A531" s="2">
        <v>434</v>
      </c>
      <c r="B531" s="3">
        <v>44965</v>
      </c>
      <c r="C531" s="2" t="s">
        <v>447</v>
      </c>
      <c r="D531" s="2" t="s">
        <v>13</v>
      </c>
      <c r="E531" s="2">
        <v>43</v>
      </c>
      <c r="F531" s="2" t="s">
        <v>16</v>
      </c>
      <c r="G531" s="2">
        <v>2</v>
      </c>
      <c r="H531" s="2">
        <v>25</v>
      </c>
      <c r="I531" s="2">
        <f>Table13[[#This Row],[Quantity]]*Table13[[#This Row],[Price per Unit]]</f>
        <v>50</v>
      </c>
      <c r="J531" s="2">
        <v>50</v>
      </c>
    </row>
    <row r="532" spans="1:10" x14ac:dyDescent="0.35">
      <c r="A532" s="2">
        <v>465</v>
      </c>
      <c r="B532" s="3">
        <v>45018</v>
      </c>
      <c r="C532" s="2" t="s">
        <v>478</v>
      </c>
      <c r="D532" s="2" t="s">
        <v>13</v>
      </c>
      <c r="E532" s="2">
        <v>43</v>
      </c>
      <c r="F532" s="2" t="s">
        <v>16</v>
      </c>
      <c r="G532" s="2">
        <v>3</v>
      </c>
      <c r="H532" s="2">
        <v>50</v>
      </c>
      <c r="I532" s="2">
        <f>Table13[[#This Row],[Quantity]]*Table13[[#This Row],[Price per Unit]]</f>
        <v>150</v>
      </c>
      <c r="J532" s="2">
        <v>150</v>
      </c>
    </row>
    <row r="533" spans="1:10" x14ac:dyDescent="0.35">
      <c r="A533" s="2">
        <v>477</v>
      </c>
      <c r="B533" s="3">
        <v>45040</v>
      </c>
      <c r="C533" s="2" t="s">
        <v>490</v>
      </c>
      <c r="D533" s="2" t="s">
        <v>10</v>
      </c>
      <c r="E533" s="2">
        <v>43</v>
      </c>
      <c r="F533" s="2" t="s">
        <v>14</v>
      </c>
      <c r="G533" s="2">
        <v>4</v>
      </c>
      <c r="H533" s="2">
        <v>30</v>
      </c>
      <c r="I533" s="2">
        <f>Table13[[#This Row],[Quantity]]*Table13[[#This Row],[Price per Unit]]</f>
        <v>120</v>
      </c>
      <c r="J533" s="2">
        <v>120</v>
      </c>
    </row>
    <row r="534" spans="1:10" x14ac:dyDescent="0.35">
      <c r="A534" s="2">
        <v>481</v>
      </c>
      <c r="B534" s="3">
        <v>45083</v>
      </c>
      <c r="C534" s="2" t="s">
        <v>494</v>
      </c>
      <c r="D534" s="2" t="s">
        <v>13</v>
      </c>
      <c r="E534" s="2">
        <v>43</v>
      </c>
      <c r="F534" s="2" t="s">
        <v>16</v>
      </c>
      <c r="G534" s="2">
        <v>4</v>
      </c>
      <c r="H534" s="2">
        <v>300</v>
      </c>
      <c r="I534" s="2">
        <f>Table13[[#This Row],[Quantity]]*Table13[[#This Row],[Price per Unit]]</f>
        <v>1200</v>
      </c>
      <c r="J534" s="2">
        <v>1200</v>
      </c>
    </row>
    <row r="535" spans="1:10" x14ac:dyDescent="0.35">
      <c r="A535" s="2">
        <v>502</v>
      </c>
      <c r="B535" s="3">
        <v>45018</v>
      </c>
      <c r="C535" s="2" t="s">
        <v>515</v>
      </c>
      <c r="D535" s="2" t="s">
        <v>10</v>
      </c>
      <c r="E535" s="2">
        <v>43</v>
      </c>
      <c r="F535" s="2" t="s">
        <v>16</v>
      </c>
      <c r="G535" s="2">
        <v>3</v>
      </c>
      <c r="H535" s="2">
        <v>50</v>
      </c>
      <c r="I535" s="2">
        <f>Table13[[#This Row],[Quantity]]*Table13[[#This Row],[Price per Unit]]</f>
        <v>150</v>
      </c>
      <c r="J535" s="2">
        <v>150</v>
      </c>
    </row>
    <row r="536" spans="1:10" x14ac:dyDescent="0.35">
      <c r="A536" s="2">
        <v>637</v>
      </c>
      <c r="B536" s="3">
        <v>45170</v>
      </c>
      <c r="C536" s="2" t="s">
        <v>650</v>
      </c>
      <c r="D536" s="2" t="s">
        <v>10</v>
      </c>
      <c r="E536" s="2">
        <v>43</v>
      </c>
      <c r="F536" s="2" t="s">
        <v>14</v>
      </c>
      <c r="G536" s="2">
        <v>2</v>
      </c>
      <c r="H536" s="2">
        <v>300</v>
      </c>
      <c r="I536" s="2">
        <f>Table13[[#This Row],[Quantity]]*Table13[[#This Row],[Price per Unit]]</f>
        <v>600</v>
      </c>
      <c r="J536" s="2">
        <v>600</v>
      </c>
    </row>
    <row r="537" spans="1:10" x14ac:dyDescent="0.35">
      <c r="A537" s="2">
        <v>673</v>
      </c>
      <c r="B537" s="3">
        <v>44958</v>
      </c>
      <c r="C537" s="2" t="s">
        <v>686</v>
      </c>
      <c r="D537" s="2" t="s">
        <v>13</v>
      </c>
      <c r="E537" s="2">
        <v>43</v>
      </c>
      <c r="F537" s="2" t="s">
        <v>14</v>
      </c>
      <c r="G537" s="2">
        <v>3</v>
      </c>
      <c r="H537" s="2">
        <v>500</v>
      </c>
      <c r="I537" s="2">
        <f>Table13[[#This Row],[Quantity]]*Table13[[#This Row],[Price per Unit]]</f>
        <v>1500</v>
      </c>
      <c r="J537" s="2">
        <v>1500</v>
      </c>
    </row>
    <row r="538" spans="1:10" x14ac:dyDescent="0.35">
      <c r="A538" s="2">
        <v>681</v>
      </c>
      <c r="B538" s="3">
        <v>45121</v>
      </c>
      <c r="C538" s="2" t="s">
        <v>694</v>
      </c>
      <c r="D538" s="2" t="s">
        <v>13</v>
      </c>
      <c r="E538" s="2">
        <v>43</v>
      </c>
      <c r="F538" s="2" t="s">
        <v>16</v>
      </c>
      <c r="G538" s="2">
        <v>2</v>
      </c>
      <c r="H538" s="2">
        <v>30</v>
      </c>
      <c r="I538" s="2">
        <f>Table13[[#This Row],[Quantity]]*Table13[[#This Row],[Price per Unit]]</f>
        <v>60</v>
      </c>
      <c r="J538" s="2">
        <v>60</v>
      </c>
    </row>
    <row r="539" spans="1:10" x14ac:dyDescent="0.35">
      <c r="A539" s="2">
        <v>708</v>
      </c>
      <c r="B539" s="3">
        <v>44940</v>
      </c>
      <c r="C539" s="2" t="s">
        <v>721</v>
      </c>
      <c r="D539" s="2" t="s">
        <v>13</v>
      </c>
      <c r="E539" s="2">
        <v>43</v>
      </c>
      <c r="F539" s="2" t="s">
        <v>11</v>
      </c>
      <c r="G539" s="2">
        <v>3</v>
      </c>
      <c r="H539" s="2">
        <v>300</v>
      </c>
      <c r="I539" s="2">
        <f>Table13[[#This Row],[Quantity]]*Table13[[#This Row],[Price per Unit]]</f>
        <v>900</v>
      </c>
      <c r="J539" s="2">
        <v>900</v>
      </c>
    </row>
    <row r="540" spans="1:10" x14ac:dyDescent="0.35">
      <c r="A540" s="2">
        <v>754</v>
      </c>
      <c r="B540" s="3">
        <v>45215</v>
      </c>
      <c r="C540" s="2" t="s">
        <v>767</v>
      </c>
      <c r="D540" s="2" t="s">
        <v>13</v>
      </c>
      <c r="E540" s="2">
        <v>43</v>
      </c>
      <c r="F540" s="2" t="s">
        <v>16</v>
      </c>
      <c r="G540" s="2">
        <v>4</v>
      </c>
      <c r="H540" s="2">
        <v>25</v>
      </c>
      <c r="I540" s="2">
        <f>Table13[[#This Row],[Quantity]]*Table13[[#This Row],[Price per Unit]]</f>
        <v>100</v>
      </c>
      <c r="J540" s="2">
        <v>100</v>
      </c>
    </row>
    <row r="541" spans="1:10" x14ac:dyDescent="0.35">
      <c r="A541" s="2">
        <v>757</v>
      </c>
      <c r="B541" s="3">
        <v>45285</v>
      </c>
      <c r="C541" s="2" t="s">
        <v>770</v>
      </c>
      <c r="D541" s="2" t="s">
        <v>13</v>
      </c>
      <c r="E541" s="2">
        <v>43</v>
      </c>
      <c r="F541" s="2" t="s">
        <v>16</v>
      </c>
      <c r="G541" s="2">
        <v>4</v>
      </c>
      <c r="H541" s="2">
        <v>300</v>
      </c>
      <c r="I541" s="2">
        <f>Table13[[#This Row],[Quantity]]*Table13[[#This Row],[Price per Unit]]</f>
        <v>1200</v>
      </c>
      <c r="J541" s="2">
        <v>1200</v>
      </c>
    </row>
    <row r="542" spans="1:10" x14ac:dyDescent="0.35">
      <c r="A542" s="2">
        <v>765</v>
      </c>
      <c r="B542" s="3">
        <v>45086</v>
      </c>
      <c r="C542" s="2" t="s">
        <v>778</v>
      </c>
      <c r="D542" s="2" t="s">
        <v>10</v>
      </c>
      <c r="E542" s="2">
        <v>43</v>
      </c>
      <c r="F542" s="2" t="s">
        <v>14</v>
      </c>
      <c r="G542" s="2">
        <v>4</v>
      </c>
      <c r="H542" s="2">
        <v>50</v>
      </c>
      <c r="I542" s="2">
        <f>Table13[[#This Row],[Quantity]]*Table13[[#This Row],[Price per Unit]]</f>
        <v>200</v>
      </c>
      <c r="J542" s="2">
        <v>200</v>
      </c>
    </row>
    <row r="543" spans="1:10" x14ac:dyDescent="0.35">
      <c r="A543" s="2">
        <v>796</v>
      </c>
      <c r="B543" s="3">
        <v>45101</v>
      </c>
      <c r="C543" s="2" t="s">
        <v>809</v>
      </c>
      <c r="D543" s="2" t="s">
        <v>10</v>
      </c>
      <c r="E543" s="2">
        <v>43</v>
      </c>
      <c r="F543" s="2" t="s">
        <v>11</v>
      </c>
      <c r="G543" s="2">
        <v>4</v>
      </c>
      <c r="H543" s="2">
        <v>30</v>
      </c>
      <c r="I543" s="2">
        <f>Table13[[#This Row],[Quantity]]*Table13[[#This Row],[Price per Unit]]</f>
        <v>120</v>
      </c>
      <c r="J543" s="2">
        <v>120</v>
      </c>
    </row>
    <row r="544" spans="1:10" x14ac:dyDescent="0.35">
      <c r="A544" s="2">
        <v>876</v>
      </c>
      <c r="B544" s="3">
        <v>45208</v>
      </c>
      <c r="C544" s="2" t="s">
        <v>889</v>
      </c>
      <c r="D544" s="2" t="s">
        <v>10</v>
      </c>
      <c r="E544" s="2">
        <v>43</v>
      </c>
      <c r="F544" s="2" t="s">
        <v>14</v>
      </c>
      <c r="G544" s="2">
        <v>4</v>
      </c>
      <c r="H544" s="2">
        <v>30</v>
      </c>
      <c r="I544" s="2">
        <f>Table13[[#This Row],[Quantity]]*Table13[[#This Row],[Price per Unit]]</f>
        <v>120</v>
      </c>
      <c r="J544" s="2">
        <v>120</v>
      </c>
    </row>
    <row r="545" spans="1:10" x14ac:dyDescent="0.35">
      <c r="A545" s="2">
        <v>927</v>
      </c>
      <c r="B545" s="3">
        <v>45101</v>
      </c>
      <c r="C545" s="2" t="s">
        <v>940</v>
      </c>
      <c r="D545" s="2" t="s">
        <v>10</v>
      </c>
      <c r="E545" s="2">
        <v>43</v>
      </c>
      <c r="F545" s="2" t="s">
        <v>16</v>
      </c>
      <c r="G545" s="2">
        <v>4</v>
      </c>
      <c r="H545" s="2">
        <v>500</v>
      </c>
      <c r="I545" s="2">
        <f>Table13[[#This Row],[Quantity]]*Table13[[#This Row],[Price per Unit]]</f>
        <v>2000</v>
      </c>
      <c r="J545" s="2">
        <v>2000</v>
      </c>
    </row>
    <row r="546" spans="1:10" x14ac:dyDescent="0.35">
      <c r="A546" s="2">
        <v>31</v>
      </c>
      <c r="B546" s="3">
        <v>45069</v>
      </c>
      <c r="C546" s="2" t="s">
        <v>44</v>
      </c>
      <c r="D546" s="2" t="s">
        <v>10</v>
      </c>
      <c r="E546" s="2">
        <v>44</v>
      </c>
      <c r="F546" s="2" t="s">
        <v>16</v>
      </c>
      <c r="G546" s="2">
        <v>4</v>
      </c>
      <c r="H546" s="2">
        <v>300</v>
      </c>
      <c r="I546" s="2">
        <f>Table13[[#This Row],[Quantity]]*Table13[[#This Row],[Price per Unit]]</f>
        <v>1200</v>
      </c>
      <c r="J546" s="2">
        <v>1200</v>
      </c>
    </row>
    <row r="547" spans="1:10" x14ac:dyDescent="0.35">
      <c r="A547" s="2">
        <v>96</v>
      </c>
      <c r="B547" s="3">
        <v>45279</v>
      </c>
      <c r="C547" s="2" t="s">
        <v>109</v>
      </c>
      <c r="D547" s="2" t="s">
        <v>13</v>
      </c>
      <c r="E547" s="2">
        <v>44</v>
      </c>
      <c r="F547" s="2" t="s">
        <v>14</v>
      </c>
      <c r="G547" s="2">
        <v>2</v>
      </c>
      <c r="H547" s="2">
        <v>300</v>
      </c>
      <c r="I547" s="2">
        <f>Table13[[#This Row],[Quantity]]*Table13[[#This Row],[Price per Unit]]</f>
        <v>600</v>
      </c>
      <c r="J547" s="2">
        <v>600</v>
      </c>
    </row>
    <row r="548" spans="1:10" x14ac:dyDescent="0.35">
      <c r="A548" s="2">
        <v>136</v>
      </c>
      <c r="B548" s="3">
        <v>45005</v>
      </c>
      <c r="C548" s="2" t="s">
        <v>149</v>
      </c>
      <c r="D548" s="2" t="s">
        <v>10</v>
      </c>
      <c r="E548" s="2">
        <v>44</v>
      </c>
      <c r="F548" s="2" t="s">
        <v>16</v>
      </c>
      <c r="G548" s="2">
        <v>2</v>
      </c>
      <c r="H548" s="2">
        <v>300</v>
      </c>
      <c r="I548" s="2">
        <f>Table13[[#This Row],[Quantity]]*Table13[[#This Row],[Price per Unit]]</f>
        <v>600</v>
      </c>
      <c r="J548" s="2">
        <v>600</v>
      </c>
    </row>
    <row r="549" spans="1:10" x14ac:dyDescent="0.35">
      <c r="A549" s="2">
        <v>158</v>
      </c>
      <c r="B549" s="3">
        <v>44984</v>
      </c>
      <c r="C549" s="2" t="s">
        <v>171</v>
      </c>
      <c r="D549" s="2" t="s">
        <v>13</v>
      </c>
      <c r="E549" s="2">
        <v>44</v>
      </c>
      <c r="F549" s="2" t="s">
        <v>16</v>
      </c>
      <c r="G549" s="2">
        <v>2</v>
      </c>
      <c r="H549" s="2">
        <v>300</v>
      </c>
      <c r="I549" s="2">
        <f>Table13[[#This Row],[Quantity]]*Table13[[#This Row],[Price per Unit]]</f>
        <v>600</v>
      </c>
      <c r="J549" s="2">
        <v>600</v>
      </c>
    </row>
    <row r="550" spans="1:10" x14ac:dyDescent="0.35">
      <c r="A550" s="2">
        <v>381</v>
      </c>
      <c r="B550" s="3">
        <v>45116</v>
      </c>
      <c r="C550" s="2" t="s">
        <v>394</v>
      </c>
      <c r="D550" s="2" t="s">
        <v>13</v>
      </c>
      <c r="E550" s="2">
        <v>44</v>
      </c>
      <c r="F550" s="2" t="s">
        <v>14</v>
      </c>
      <c r="G550" s="2">
        <v>4</v>
      </c>
      <c r="H550" s="2">
        <v>25</v>
      </c>
      <c r="I550" s="2">
        <f>Table13[[#This Row],[Quantity]]*Table13[[#This Row],[Price per Unit]]</f>
        <v>100</v>
      </c>
      <c r="J550" s="2">
        <v>100</v>
      </c>
    </row>
    <row r="551" spans="1:10" x14ac:dyDescent="0.35">
      <c r="A551" s="2">
        <v>387</v>
      </c>
      <c r="B551" s="3">
        <v>45081</v>
      </c>
      <c r="C551" s="2" t="s">
        <v>400</v>
      </c>
      <c r="D551" s="2" t="s">
        <v>10</v>
      </c>
      <c r="E551" s="2">
        <v>44</v>
      </c>
      <c r="F551" s="2" t="s">
        <v>11</v>
      </c>
      <c r="G551" s="2">
        <v>1</v>
      </c>
      <c r="H551" s="2">
        <v>30</v>
      </c>
      <c r="I551" s="2">
        <f>Table13[[#This Row],[Quantity]]*Table13[[#This Row],[Price per Unit]]</f>
        <v>30</v>
      </c>
      <c r="J551" s="2">
        <v>30</v>
      </c>
    </row>
    <row r="552" spans="1:10" x14ac:dyDescent="0.35">
      <c r="A552" s="2">
        <v>413</v>
      </c>
      <c r="B552" s="3">
        <v>45177</v>
      </c>
      <c r="C552" s="2" t="s">
        <v>426</v>
      </c>
      <c r="D552" s="2" t="s">
        <v>13</v>
      </c>
      <c r="E552" s="2">
        <v>44</v>
      </c>
      <c r="F552" s="2" t="s">
        <v>11</v>
      </c>
      <c r="G552" s="2">
        <v>3</v>
      </c>
      <c r="H552" s="2">
        <v>25</v>
      </c>
      <c r="I552" s="2">
        <f>Table13[[#This Row],[Quantity]]*Table13[[#This Row],[Price per Unit]]</f>
        <v>75</v>
      </c>
      <c r="J552" s="2">
        <v>75</v>
      </c>
    </row>
    <row r="553" spans="1:10" x14ac:dyDescent="0.35">
      <c r="A553" s="2">
        <v>419</v>
      </c>
      <c r="B553" s="3">
        <v>45068</v>
      </c>
      <c r="C553" s="2" t="s">
        <v>432</v>
      </c>
      <c r="D553" s="2" t="s">
        <v>13</v>
      </c>
      <c r="E553" s="2">
        <v>44</v>
      </c>
      <c r="F553" s="2" t="s">
        <v>14</v>
      </c>
      <c r="G553" s="2">
        <v>3</v>
      </c>
      <c r="H553" s="2">
        <v>30</v>
      </c>
      <c r="I553" s="2">
        <f>Table13[[#This Row],[Quantity]]*Table13[[#This Row],[Price per Unit]]</f>
        <v>90</v>
      </c>
      <c r="J553" s="2">
        <v>90</v>
      </c>
    </row>
    <row r="554" spans="1:10" x14ac:dyDescent="0.35">
      <c r="A554" s="2">
        <v>487</v>
      </c>
      <c r="B554" s="3">
        <v>45131</v>
      </c>
      <c r="C554" s="2" t="s">
        <v>500</v>
      </c>
      <c r="D554" s="2" t="s">
        <v>10</v>
      </c>
      <c r="E554" s="2">
        <v>44</v>
      </c>
      <c r="F554" s="2" t="s">
        <v>14</v>
      </c>
      <c r="G554" s="2">
        <v>4</v>
      </c>
      <c r="H554" s="2">
        <v>500</v>
      </c>
      <c r="I554" s="2">
        <f>Table13[[#This Row],[Quantity]]*Table13[[#This Row],[Price per Unit]]</f>
        <v>2000</v>
      </c>
      <c r="J554" s="2">
        <v>2000</v>
      </c>
    </row>
    <row r="555" spans="1:10" x14ac:dyDescent="0.35">
      <c r="A555" s="2">
        <v>489</v>
      </c>
      <c r="B555" s="3">
        <v>45069</v>
      </c>
      <c r="C555" s="2" t="s">
        <v>502</v>
      </c>
      <c r="D555" s="2" t="s">
        <v>10</v>
      </c>
      <c r="E555" s="2">
        <v>44</v>
      </c>
      <c r="F555" s="2" t="s">
        <v>16</v>
      </c>
      <c r="G555" s="2">
        <v>1</v>
      </c>
      <c r="H555" s="2">
        <v>30</v>
      </c>
      <c r="I555" s="2">
        <f>Table13[[#This Row],[Quantity]]*Table13[[#This Row],[Price per Unit]]</f>
        <v>30</v>
      </c>
      <c r="J555" s="2">
        <v>30</v>
      </c>
    </row>
    <row r="556" spans="1:10" x14ac:dyDescent="0.35">
      <c r="A556" s="2">
        <v>661</v>
      </c>
      <c r="B556" s="3">
        <v>45123</v>
      </c>
      <c r="C556" s="2" t="s">
        <v>674</v>
      </c>
      <c r="D556" s="2" t="s">
        <v>13</v>
      </c>
      <c r="E556" s="2">
        <v>44</v>
      </c>
      <c r="F556" s="2" t="s">
        <v>14</v>
      </c>
      <c r="G556" s="2">
        <v>4</v>
      </c>
      <c r="H556" s="2">
        <v>25</v>
      </c>
      <c r="I556" s="2">
        <f>Table13[[#This Row],[Quantity]]*Table13[[#This Row],[Price per Unit]]</f>
        <v>100</v>
      </c>
      <c r="J556" s="2">
        <v>100</v>
      </c>
    </row>
    <row r="557" spans="1:10" x14ac:dyDescent="0.35">
      <c r="A557" s="2">
        <v>664</v>
      </c>
      <c r="B557" s="3">
        <v>45288</v>
      </c>
      <c r="C557" s="2" t="s">
        <v>677</v>
      </c>
      <c r="D557" s="2" t="s">
        <v>13</v>
      </c>
      <c r="E557" s="2">
        <v>44</v>
      </c>
      <c r="F557" s="2" t="s">
        <v>14</v>
      </c>
      <c r="G557" s="2">
        <v>4</v>
      </c>
      <c r="H557" s="2">
        <v>500</v>
      </c>
      <c r="I557" s="2">
        <f>Table13[[#This Row],[Quantity]]*Table13[[#This Row],[Price per Unit]]</f>
        <v>2000</v>
      </c>
      <c r="J557" s="2">
        <v>2000</v>
      </c>
    </row>
    <row r="558" spans="1:10" x14ac:dyDescent="0.35">
      <c r="A558" s="2">
        <v>944</v>
      </c>
      <c r="B558" s="3">
        <v>45082</v>
      </c>
      <c r="C558" s="2" t="s">
        <v>957</v>
      </c>
      <c r="D558" s="2" t="s">
        <v>10</v>
      </c>
      <c r="E558" s="2">
        <v>44</v>
      </c>
      <c r="F558" s="2" t="s">
        <v>14</v>
      </c>
      <c r="G558" s="2">
        <v>2</v>
      </c>
      <c r="H558" s="2">
        <v>25</v>
      </c>
      <c r="I558" s="2">
        <f>Table13[[#This Row],[Quantity]]*Table13[[#This Row],[Price per Unit]]</f>
        <v>50</v>
      </c>
      <c r="J558" s="2">
        <v>50</v>
      </c>
    </row>
    <row r="559" spans="1:10" x14ac:dyDescent="0.35">
      <c r="A559" s="2">
        <v>962</v>
      </c>
      <c r="B559" s="3">
        <v>45218</v>
      </c>
      <c r="C559" s="2" t="s">
        <v>975</v>
      </c>
      <c r="D559" s="2" t="s">
        <v>10</v>
      </c>
      <c r="E559" s="2">
        <v>44</v>
      </c>
      <c r="F559" s="2" t="s">
        <v>14</v>
      </c>
      <c r="G559" s="2">
        <v>2</v>
      </c>
      <c r="H559" s="2">
        <v>30</v>
      </c>
      <c r="I559" s="2">
        <f>Table13[[#This Row],[Quantity]]*Table13[[#This Row],[Price per Unit]]</f>
        <v>60</v>
      </c>
      <c r="J559" s="2">
        <v>60</v>
      </c>
    </row>
    <row r="560" spans="1:10" x14ac:dyDescent="0.35">
      <c r="A560" s="2">
        <v>989</v>
      </c>
      <c r="B560" s="3">
        <v>45288</v>
      </c>
      <c r="C560" s="2" t="s">
        <v>1002</v>
      </c>
      <c r="D560" s="2" t="s">
        <v>13</v>
      </c>
      <c r="E560" s="2">
        <v>44</v>
      </c>
      <c r="F560" s="2" t="s">
        <v>16</v>
      </c>
      <c r="G560" s="2">
        <v>1</v>
      </c>
      <c r="H560" s="2">
        <v>25</v>
      </c>
      <c r="I560" s="2">
        <f>Table13[[#This Row],[Quantity]]*Table13[[#This Row],[Price per Unit]]</f>
        <v>25</v>
      </c>
      <c r="J560" s="2">
        <v>25</v>
      </c>
    </row>
    <row r="561" spans="1:10" x14ac:dyDescent="0.35">
      <c r="A561" s="2">
        <v>6</v>
      </c>
      <c r="B561" s="3">
        <v>45041</v>
      </c>
      <c r="C561" s="2" t="s">
        <v>19</v>
      </c>
      <c r="D561" s="2" t="s">
        <v>13</v>
      </c>
      <c r="E561" s="2">
        <v>45</v>
      </c>
      <c r="F561" s="2" t="s">
        <v>11</v>
      </c>
      <c r="G561" s="2">
        <v>1</v>
      </c>
      <c r="H561" s="2">
        <v>30</v>
      </c>
      <c r="I561" s="2">
        <f>Table13[[#This Row],[Quantity]]*Table13[[#This Row],[Price per Unit]]</f>
        <v>30</v>
      </c>
      <c r="J561" s="2">
        <v>30</v>
      </c>
    </row>
    <row r="562" spans="1:10" x14ac:dyDescent="0.35">
      <c r="A562" s="2">
        <v>40</v>
      </c>
      <c r="B562" s="3">
        <v>45099</v>
      </c>
      <c r="C562" s="2" t="s">
        <v>53</v>
      </c>
      <c r="D562" s="2" t="s">
        <v>10</v>
      </c>
      <c r="E562" s="2">
        <v>45</v>
      </c>
      <c r="F562" s="2" t="s">
        <v>11</v>
      </c>
      <c r="G562" s="2">
        <v>1</v>
      </c>
      <c r="H562" s="2">
        <v>50</v>
      </c>
      <c r="I562" s="2">
        <f>Table13[[#This Row],[Quantity]]*Table13[[#This Row],[Price per Unit]]</f>
        <v>50</v>
      </c>
      <c r="J562" s="2">
        <v>50</v>
      </c>
    </row>
    <row r="563" spans="1:10" x14ac:dyDescent="0.35">
      <c r="A563" s="2">
        <v>66</v>
      </c>
      <c r="B563" s="3">
        <v>45043</v>
      </c>
      <c r="C563" s="2" t="s">
        <v>79</v>
      </c>
      <c r="D563" s="2" t="s">
        <v>13</v>
      </c>
      <c r="E563" s="2">
        <v>45</v>
      </c>
      <c r="F563" s="2" t="s">
        <v>16</v>
      </c>
      <c r="G563" s="2">
        <v>1</v>
      </c>
      <c r="H563" s="2">
        <v>30</v>
      </c>
      <c r="I563" s="2">
        <f>Table13[[#This Row],[Quantity]]*Table13[[#This Row],[Price per Unit]]</f>
        <v>30</v>
      </c>
      <c r="J563" s="2">
        <v>30</v>
      </c>
    </row>
    <row r="564" spans="1:10" x14ac:dyDescent="0.35">
      <c r="A564" s="2">
        <v>143</v>
      </c>
      <c r="B564" s="3">
        <v>45124</v>
      </c>
      <c r="C564" s="2" t="s">
        <v>156</v>
      </c>
      <c r="D564" s="2" t="s">
        <v>13</v>
      </c>
      <c r="E564" s="2">
        <v>45</v>
      </c>
      <c r="F564" s="2" t="s">
        <v>14</v>
      </c>
      <c r="G564" s="2">
        <v>1</v>
      </c>
      <c r="H564" s="2">
        <v>50</v>
      </c>
      <c r="I564" s="2">
        <f>Table13[[#This Row],[Quantity]]*Table13[[#This Row],[Price per Unit]]</f>
        <v>50</v>
      </c>
      <c r="J564" s="2">
        <v>50</v>
      </c>
    </row>
    <row r="565" spans="1:10" x14ac:dyDescent="0.35">
      <c r="A565" s="2">
        <v>177</v>
      </c>
      <c r="B565" s="3">
        <v>45009</v>
      </c>
      <c r="C565" s="2" t="s">
        <v>190</v>
      </c>
      <c r="D565" s="2" t="s">
        <v>10</v>
      </c>
      <c r="E565" s="2">
        <v>45</v>
      </c>
      <c r="F565" s="2" t="s">
        <v>11</v>
      </c>
      <c r="G565" s="2">
        <v>2</v>
      </c>
      <c r="H565" s="2">
        <v>50</v>
      </c>
      <c r="I565" s="2">
        <f>Table13[[#This Row],[Quantity]]*Table13[[#This Row],[Price per Unit]]</f>
        <v>100</v>
      </c>
      <c r="J565" s="2">
        <v>100</v>
      </c>
    </row>
    <row r="566" spans="1:10" x14ac:dyDescent="0.35">
      <c r="A566" s="2">
        <v>199</v>
      </c>
      <c r="B566" s="3">
        <v>45264</v>
      </c>
      <c r="C566" s="2" t="s">
        <v>212</v>
      </c>
      <c r="D566" s="2" t="s">
        <v>10</v>
      </c>
      <c r="E566" s="2">
        <v>45</v>
      </c>
      <c r="F566" s="2" t="s">
        <v>11</v>
      </c>
      <c r="G566" s="2">
        <v>3</v>
      </c>
      <c r="H566" s="2">
        <v>500</v>
      </c>
      <c r="I566" s="2">
        <f>Table13[[#This Row],[Quantity]]*Table13[[#This Row],[Price per Unit]]</f>
        <v>1500</v>
      </c>
      <c r="J566" s="2">
        <v>1500</v>
      </c>
    </row>
    <row r="567" spans="1:10" x14ac:dyDescent="0.35">
      <c r="A567" s="2">
        <v>259</v>
      </c>
      <c r="B567" s="3">
        <v>45147</v>
      </c>
      <c r="C567" s="2" t="s">
        <v>272</v>
      </c>
      <c r="D567" s="2" t="s">
        <v>13</v>
      </c>
      <c r="E567" s="2">
        <v>45</v>
      </c>
      <c r="F567" s="2" t="s">
        <v>14</v>
      </c>
      <c r="G567" s="2">
        <v>4</v>
      </c>
      <c r="H567" s="2">
        <v>50</v>
      </c>
      <c r="I567" s="2">
        <f>Table13[[#This Row],[Quantity]]*Table13[[#This Row],[Price per Unit]]</f>
        <v>200</v>
      </c>
      <c r="J567" s="2">
        <v>200</v>
      </c>
    </row>
    <row r="568" spans="1:10" x14ac:dyDescent="0.35">
      <c r="A568" s="2">
        <v>451</v>
      </c>
      <c r="B568" s="3">
        <v>45276</v>
      </c>
      <c r="C568" s="2" t="s">
        <v>464</v>
      </c>
      <c r="D568" s="2" t="s">
        <v>13</v>
      </c>
      <c r="E568" s="2">
        <v>45</v>
      </c>
      <c r="F568" s="2" t="s">
        <v>16</v>
      </c>
      <c r="G568" s="2">
        <v>1</v>
      </c>
      <c r="H568" s="2">
        <v>30</v>
      </c>
      <c r="I568" s="2">
        <f>Table13[[#This Row],[Quantity]]*Table13[[#This Row],[Price per Unit]]</f>
        <v>30</v>
      </c>
      <c r="J568" s="2">
        <v>30</v>
      </c>
    </row>
    <row r="569" spans="1:10" x14ac:dyDescent="0.35">
      <c r="A569" s="2">
        <v>503</v>
      </c>
      <c r="B569" s="3">
        <v>45224</v>
      </c>
      <c r="C569" s="2" t="s">
        <v>516</v>
      </c>
      <c r="D569" s="2" t="s">
        <v>10</v>
      </c>
      <c r="E569" s="2">
        <v>45</v>
      </c>
      <c r="F569" s="2" t="s">
        <v>11</v>
      </c>
      <c r="G569" s="2">
        <v>4</v>
      </c>
      <c r="H569" s="2">
        <v>500</v>
      </c>
      <c r="I569" s="2">
        <f>Table13[[#This Row],[Quantity]]*Table13[[#This Row],[Price per Unit]]</f>
        <v>2000</v>
      </c>
      <c r="J569" s="2">
        <v>2000</v>
      </c>
    </row>
    <row r="570" spans="1:10" x14ac:dyDescent="0.35">
      <c r="A570" s="2">
        <v>511</v>
      </c>
      <c r="B570" s="3">
        <v>45150</v>
      </c>
      <c r="C570" s="2" t="s">
        <v>524</v>
      </c>
      <c r="D570" s="2" t="s">
        <v>10</v>
      </c>
      <c r="E570" s="2">
        <v>45</v>
      </c>
      <c r="F570" s="2" t="s">
        <v>11</v>
      </c>
      <c r="G570" s="2">
        <v>2</v>
      </c>
      <c r="H570" s="2">
        <v>50</v>
      </c>
      <c r="I570" s="2">
        <f>Table13[[#This Row],[Quantity]]*Table13[[#This Row],[Price per Unit]]</f>
        <v>100</v>
      </c>
      <c r="J570" s="2">
        <v>100</v>
      </c>
    </row>
    <row r="571" spans="1:10" x14ac:dyDescent="0.35">
      <c r="A571" s="2">
        <v>534</v>
      </c>
      <c r="B571" s="3">
        <v>45087</v>
      </c>
      <c r="C571" s="2" t="s">
        <v>547</v>
      </c>
      <c r="D571" s="2" t="s">
        <v>10</v>
      </c>
      <c r="E571" s="2">
        <v>45</v>
      </c>
      <c r="F571" s="2" t="s">
        <v>14</v>
      </c>
      <c r="G571" s="2">
        <v>2</v>
      </c>
      <c r="H571" s="2">
        <v>500</v>
      </c>
      <c r="I571" s="2">
        <f>Table13[[#This Row],[Quantity]]*Table13[[#This Row],[Price per Unit]]</f>
        <v>1000</v>
      </c>
      <c r="J571" s="2">
        <v>1000</v>
      </c>
    </row>
    <row r="572" spans="1:10" x14ac:dyDescent="0.35">
      <c r="A572" s="2">
        <v>551</v>
      </c>
      <c r="B572" s="3">
        <v>45121</v>
      </c>
      <c r="C572" s="2" t="s">
        <v>564</v>
      </c>
      <c r="D572" s="2" t="s">
        <v>10</v>
      </c>
      <c r="E572" s="2">
        <v>45</v>
      </c>
      <c r="F572" s="2" t="s">
        <v>16</v>
      </c>
      <c r="G572" s="2">
        <v>3</v>
      </c>
      <c r="H572" s="2">
        <v>300</v>
      </c>
      <c r="I572" s="2">
        <f>Table13[[#This Row],[Quantity]]*Table13[[#This Row],[Price per Unit]]</f>
        <v>900</v>
      </c>
      <c r="J572" s="2">
        <v>900</v>
      </c>
    </row>
    <row r="573" spans="1:10" x14ac:dyDescent="0.35">
      <c r="A573" s="2">
        <v>565</v>
      </c>
      <c r="B573" s="3">
        <v>45237</v>
      </c>
      <c r="C573" s="2" t="s">
        <v>578</v>
      </c>
      <c r="D573" s="2" t="s">
        <v>13</v>
      </c>
      <c r="E573" s="2">
        <v>45</v>
      </c>
      <c r="F573" s="2" t="s">
        <v>11</v>
      </c>
      <c r="G573" s="2">
        <v>2</v>
      </c>
      <c r="H573" s="2">
        <v>30</v>
      </c>
      <c r="I573" s="2">
        <f>Table13[[#This Row],[Quantity]]*Table13[[#This Row],[Price per Unit]]</f>
        <v>60</v>
      </c>
      <c r="J573" s="2">
        <v>60</v>
      </c>
    </row>
    <row r="574" spans="1:10" x14ac:dyDescent="0.35">
      <c r="A574" s="2">
        <v>675</v>
      </c>
      <c r="B574" s="3">
        <v>45142</v>
      </c>
      <c r="C574" s="2" t="s">
        <v>688</v>
      </c>
      <c r="D574" s="2" t="s">
        <v>13</v>
      </c>
      <c r="E574" s="2">
        <v>45</v>
      </c>
      <c r="F574" s="2" t="s">
        <v>14</v>
      </c>
      <c r="G574" s="2">
        <v>2</v>
      </c>
      <c r="H574" s="2">
        <v>30</v>
      </c>
      <c r="I574" s="2">
        <f>Table13[[#This Row],[Quantity]]*Table13[[#This Row],[Price per Unit]]</f>
        <v>60</v>
      </c>
      <c r="J574" s="2">
        <v>60</v>
      </c>
    </row>
    <row r="575" spans="1:10" x14ac:dyDescent="0.35">
      <c r="A575" s="2">
        <v>907</v>
      </c>
      <c r="B575" s="3">
        <v>44934</v>
      </c>
      <c r="C575" s="2" t="s">
        <v>920</v>
      </c>
      <c r="D575" s="2" t="s">
        <v>13</v>
      </c>
      <c r="E575" s="2">
        <v>45</v>
      </c>
      <c r="F575" s="2" t="s">
        <v>16</v>
      </c>
      <c r="G575" s="2">
        <v>1</v>
      </c>
      <c r="H575" s="2">
        <v>25</v>
      </c>
      <c r="I575" s="2">
        <f>Table13[[#This Row],[Quantity]]*Table13[[#This Row],[Price per Unit]]</f>
        <v>25</v>
      </c>
      <c r="J575" s="2">
        <v>25</v>
      </c>
    </row>
    <row r="576" spans="1:10" x14ac:dyDescent="0.35">
      <c r="A576" s="2">
        <v>932</v>
      </c>
      <c r="B576" s="3">
        <v>44985</v>
      </c>
      <c r="C576" s="2" t="s">
        <v>945</v>
      </c>
      <c r="D576" s="2" t="s">
        <v>13</v>
      </c>
      <c r="E576" s="2">
        <v>45</v>
      </c>
      <c r="F576" s="2" t="s">
        <v>11</v>
      </c>
      <c r="G576" s="2">
        <v>4</v>
      </c>
      <c r="H576" s="2">
        <v>25</v>
      </c>
      <c r="I576" s="2">
        <f>Table13[[#This Row],[Quantity]]*Table13[[#This Row],[Price per Unit]]</f>
        <v>100</v>
      </c>
      <c r="J576" s="2">
        <v>100</v>
      </c>
    </row>
    <row r="577" spans="1:10" x14ac:dyDescent="0.35">
      <c r="A577" s="2">
        <v>953</v>
      </c>
      <c r="B577" s="3">
        <v>45042</v>
      </c>
      <c r="C577" s="2" t="s">
        <v>966</v>
      </c>
      <c r="D577" s="2" t="s">
        <v>10</v>
      </c>
      <c r="E577" s="2">
        <v>45</v>
      </c>
      <c r="F577" s="2" t="s">
        <v>11</v>
      </c>
      <c r="G577" s="2">
        <v>3</v>
      </c>
      <c r="H577" s="2">
        <v>30</v>
      </c>
      <c r="I577" s="2">
        <f>Table13[[#This Row],[Quantity]]*Table13[[#This Row],[Price per Unit]]</f>
        <v>90</v>
      </c>
      <c r="J577" s="2">
        <v>90</v>
      </c>
    </row>
    <row r="578" spans="1:10" x14ac:dyDescent="0.35">
      <c r="A578" s="2">
        <v>7</v>
      </c>
      <c r="B578" s="3">
        <v>44998</v>
      </c>
      <c r="C578" s="2" t="s">
        <v>20</v>
      </c>
      <c r="D578" s="2" t="s">
        <v>10</v>
      </c>
      <c r="E578" s="2">
        <v>46</v>
      </c>
      <c r="F578" s="2" t="s">
        <v>14</v>
      </c>
      <c r="G578" s="2">
        <v>2</v>
      </c>
      <c r="H578" s="2">
        <v>25</v>
      </c>
      <c r="I578" s="2">
        <f>Table13[[#This Row],[Quantity]]*Table13[[#This Row],[Price per Unit]]</f>
        <v>50</v>
      </c>
      <c r="J578" s="2">
        <v>50</v>
      </c>
    </row>
    <row r="579" spans="1:10" x14ac:dyDescent="0.35">
      <c r="A579" s="2">
        <v>106</v>
      </c>
      <c r="B579" s="3">
        <v>45064</v>
      </c>
      <c r="C579" s="2" t="s">
        <v>119</v>
      </c>
      <c r="D579" s="2" t="s">
        <v>13</v>
      </c>
      <c r="E579" s="2">
        <v>46</v>
      </c>
      <c r="F579" s="2" t="s">
        <v>14</v>
      </c>
      <c r="G579" s="2">
        <v>1</v>
      </c>
      <c r="H579" s="2">
        <v>50</v>
      </c>
      <c r="I579" s="2">
        <f>Table13[[#This Row],[Quantity]]*Table13[[#This Row],[Price per Unit]]</f>
        <v>50</v>
      </c>
      <c r="J579" s="2">
        <v>50</v>
      </c>
    </row>
    <row r="580" spans="1:10" x14ac:dyDescent="0.35">
      <c r="A580" s="2">
        <v>137</v>
      </c>
      <c r="B580" s="3">
        <v>45248</v>
      </c>
      <c r="C580" s="2" t="s">
        <v>150</v>
      </c>
      <c r="D580" s="2" t="s">
        <v>10</v>
      </c>
      <c r="E580" s="2">
        <v>46</v>
      </c>
      <c r="F580" s="2" t="s">
        <v>11</v>
      </c>
      <c r="G580" s="2">
        <v>2</v>
      </c>
      <c r="H580" s="2">
        <v>500</v>
      </c>
      <c r="I580" s="2">
        <f>Table13[[#This Row],[Quantity]]*Table13[[#This Row],[Price per Unit]]</f>
        <v>1000</v>
      </c>
      <c r="J580" s="2">
        <v>1000</v>
      </c>
    </row>
    <row r="581" spans="1:10" x14ac:dyDescent="0.35">
      <c r="A581" s="2">
        <v>329</v>
      </c>
      <c r="B581" s="3">
        <v>44956</v>
      </c>
      <c r="C581" s="2" t="s">
        <v>342</v>
      </c>
      <c r="D581" s="2" t="s">
        <v>13</v>
      </c>
      <c r="E581" s="2">
        <v>46</v>
      </c>
      <c r="F581" s="2" t="s">
        <v>16</v>
      </c>
      <c r="G581" s="2">
        <v>4</v>
      </c>
      <c r="H581" s="2">
        <v>25</v>
      </c>
      <c r="I581" s="2">
        <f>Table13[[#This Row],[Quantity]]*Table13[[#This Row],[Price per Unit]]</f>
        <v>100</v>
      </c>
      <c r="J581" s="2">
        <v>100</v>
      </c>
    </row>
    <row r="582" spans="1:10" x14ac:dyDescent="0.35">
      <c r="A582" s="2">
        <v>377</v>
      </c>
      <c r="B582" s="3">
        <v>44994</v>
      </c>
      <c r="C582" s="2" t="s">
        <v>390</v>
      </c>
      <c r="D582" s="2" t="s">
        <v>13</v>
      </c>
      <c r="E582" s="2">
        <v>46</v>
      </c>
      <c r="F582" s="2" t="s">
        <v>14</v>
      </c>
      <c r="G582" s="2">
        <v>4</v>
      </c>
      <c r="H582" s="2">
        <v>50</v>
      </c>
      <c r="I582" s="2">
        <f>Table13[[#This Row],[Quantity]]*Table13[[#This Row],[Price per Unit]]</f>
        <v>200</v>
      </c>
      <c r="J582" s="2">
        <v>200</v>
      </c>
    </row>
    <row r="583" spans="1:10" x14ac:dyDescent="0.35">
      <c r="A583" s="2">
        <v>383</v>
      </c>
      <c r="B583" s="3">
        <v>45007</v>
      </c>
      <c r="C583" s="2" t="s">
        <v>396</v>
      </c>
      <c r="D583" s="2" t="s">
        <v>13</v>
      </c>
      <c r="E583" s="2">
        <v>46</v>
      </c>
      <c r="F583" s="2" t="s">
        <v>11</v>
      </c>
      <c r="G583" s="2">
        <v>3</v>
      </c>
      <c r="H583" s="2">
        <v>30</v>
      </c>
      <c r="I583" s="2">
        <f>Table13[[#This Row],[Quantity]]*Table13[[#This Row],[Price per Unit]]</f>
        <v>90</v>
      </c>
      <c r="J583" s="2">
        <v>90</v>
      </c>
    </row>
    <row r="584" spans="1:10" x14ac:dyDescent="0.35">
      <c r="A584" s="2">
        <v>404</v>
      </c>
      <c r="B584" s="3">
        <v>45071</v>
      </c>
      <c r="C584" s="2" t="s">
        <v>417</v>
      </c>
      <c r="D584" s="2" t="s">
        <v>10</v>
      </c>
      <c r="E584" s="2">
        <v>46</v>
      </c>
      <c r="F584" s="2" t="s">
        <v>16</v>
      </c>
      <c r="G584" s="2">
        <v>2</v>
      </c>
      <c r="H584" s="2">
        <v>500</v>
      </c>
      <c r="I584" s="2">
        <f>Table13[[#This Row],[Quantity]]*Table13[[#This Row],[Price per Unit]]</f>
        <v>1000</v>
      </c>
      <c r="J584" s="2">
        <v>1000</v>
      </c>
    </row>
    <row r="585" spans="1:10" x14ac:dyDescent="0.35">
      <c r="A585" s="2">
        <v>407</v>
      </c>
      <c r="B585" s="3">
        <v>45102</v>
      </c>
      <c r="C585" s="2" t="s">
        <v>420</v>
      </c>
      <c r="D585" s="2" t="s">
        <v>13</v>
      </c>
      <c r="E585" s="2">
        <v>46</v>
      </c>
      <c r="F585" s="2" t="s">
        <v>16</v>
      </c>
      <c r="G585" s="2">
        <v>3</v>
      </c>
      <c r="H585" s="2">
        <v>300</v>
      </c>
      <c r="I585" s="2">
        <f>Table13[[#This Row],[Quantity]]*Table13[[#This Row],[Price per Unit]]</f>
        <v>900</v>
      </c>
      <c r="J585" s="2">
        <v>900</v>
      </c>
    </row>
    <row r="586" spans="1:10" x14ac:dyDescent="0.35">
      <c r="A586" s="2">
        <v>454</v>
      </c>
      <c r="B586" s="3">
        <v>44979</v>
      </c>
      <c r="C586" s="2" t="s">
        <v>467</v>
      </c>
      <c r="D586" s="2" t="s">
        <v>13</v>
      </c>
      <c r="E586" s="2">
        <v>46</v>
      </c>
      <c r="F586" s="2" t="s">
        <v>11</v>
      </c>
      <c r="G586" s="2">
        <v>1</v>
      </c>
      <c r="H586" s="2">
        <v>25</v>
      </c>
      <c r="I586" s="2">
        <f>Table13[[#This Row],[Quantity]]*Table13[[#This Row],[Price per Unit]]</f>
        <v>25</v>
      </c>
      <c r="J586" s="2">
        <v>25</v>
      </c>
    </row>
    <row r="587" spans="1:10" x14ac:dyDescent="0.35">
      <c r="A587" s="2">
        <v>499</v>
      </c>
      <c r="B587" s="3">
        <v>44941</v>
      </c>
      <c r="C587" s="2" t="s">
        <v>512</v>
      </c>
      <c r="D587" s="2" t="s">
        <v>10</v>
      </c>
      <c r="E587" s="2">
        <v>46</v>
      </c>
      <c r="F587" s="2" t="s">
        <v>11</v>
      </c>
      <c r="G587" s="2">
        <v>2</v>
      </c>
      <c r="H587" s="2">
        <v>30</v>
      </c>
      <c r="I587" s="2">
        <f>Table13[[#This Row],[Quantity]]*Table13[[#This Row],[Price per Unit]]</f>
        <v>60</v>
      </c>
      <c r="J587" s="2">
        <v>60</v>
      </c>
    </row>
    <row r="588" spans="1:10" x14ac:dyDescent="0.35">
      <c r="A588" s="2">
        <v>522</v>
      </c>
      <c r="B588" s="3">
        <v>44927</v>
      </c>
      <c r="C588" s="2" t="s">
        <v>535</v>
      </c>
      <c r="D588" s="2" t="s">
        <v>10</v>
      </c>
      <c r="E588" s="2">
        <v>46</v>
      </c>
      <c r="F588" s="2" t="s">
        <v>11</v>
      </c>
      <c r="G588" s="2">
        <v>3</v>
      </c>
      <c r="H588" s="2">
        <v>500</v>
      </c>
      <c r="I588" s="2">
        <f>Table13[[#This Row],[Quantity]]*Table13[[#This Row],[Price per Unit]]</f>
        <v>1500</v>
      </c>
      <c r="J588" s="2">
        <v>1500</v>
      </c>
    </row>
    <row r="589" spans="1:10" x14ac:dyDescent="0.35">
      <c r="A589" s="2">
        <v>524</v>
      </c>
      <c r="B589" s="3">
        <v>45202</v>
      </c>
      <c r="C589" s="2" t="s">
        <v>537</v>
      </c>
      <c r="D589" s="2" t="s">
        <v>10</v>
      </c>
      <c r="E589" s="2">
        <v>46</v>
      </c>
      <c r="F589" s="2" t="s">
        <v>11</v>
      </c>
      <c r="G589" s="2">
        <v>4</v>
      </c>
      <c r="H589" s="2">
        <v>300</v>
      </c>
      <c r="I589" s="2">
        <f>Table13[[#This Row],[Quantity]]*Table13[[#This Row],[Price per Unit]]</f>
        <v>1200</v>
      </c>
      <c r="J589" s="2">
        <v>1200</v>
      </c>
    </row>
    <row r="590" spans="1:10" x14ac:dyDescent="0.35">
      <c r="A590" s="2">
        <v>540</v>
      </c>
      <c r="B590" s="3">
        <v>45268</v>
      </c>
      <c r="C590" s="2" t="s">
        <v>553</v>
      </c>
      <c r="D590" s="2" t="s">
        <v>13</v>
      </c>
      <c r="E590" s="2">
        <v>46</v>
      </c>
      <c r="F590" s="2" t="s">
        <v>16</v>
      </c>
      <c r="G590" s="2">
        <v>3</v>
      </c>
      <c r="H590" s="2">
        <v>300</v>
      </c>
      <c r="I590" s="2">
        <f>Table13[[#This Row],[Quantity]]*Table13[[#This Row],[Price per Unit]]</f>
        <v>900</v>
      </c>
      <c r="J590" s="2">
        <v>900</v>
      </c>
    </row>
    <row r="591" spans="1:10" x14ac:dyDescent="0.35">
      <c r="A591" s="2">
        <v>554</v>
      </c>
      <c r="B591" s="3">
        <v>45242</v>
      </c>
      <c r="C591" s="2" t="s">
        <v>567</v>
      </c>
      <c r="D591" s="2" t="s">
        <v>13</v>
      </c>
      <c r="E591" s="2">
        <v>46</v>
      </c>
      <c r="F591" s="2" t="s">
        <v>11</v>
      </c>
      <c r="G591" s="2">
        <v>3</v>
      </c>
      <c r="H591" s="2">
        <v>50</v>
      </c>
      <c r="I591" s="2">
        <f>Table13[[#This Row],[Quantity]]*Table13[[#This Row],[Price per Unit]]</f>
        <v>150</v>
      </c>
      <c r="J591" s="2">
        <v>150</v>
      </c>
    </row>
    <row r="592" spans="1:10" x14ac:dyDescent="0.35">
      <c r="A592" s="2">
        <v>592</v>
      </c>
      <c r="B592" s="3">
        <v>44950</v>
      </c>
      <c r="C592" s="2" t="s">
        <v>605</v>
      </c>
      <c r="D592" s="2" t="s">
        <v>13</v>
      </c>
      <c r="E592" s="2">
        <v>46</v>
      </c>
      <c r="F592" s="2" t="s">
        <v>11</v>
      </c>
      <c r="G592" s="2">
        <v>4</v>
      </c>
      <c r="H592" s="2">
        <v>500</v>
      </c>
      <c r="I592" s="2">
        <f>Table13[[#This Row],[Quantity]]*Table13[[#This Row],[Price per Unit]]</f>
        <v>2000</v>
      </c>
      <c r="J592" s="2">
        <v>2000</v>
      </c>
    </row>
    <row r="593" spans="1:10" x14ac:dyDescent="0.35">
      <c r="A593" s="2">
        <v>638</v>
      </c>
      <c r="B593" s="3">
        <v>45157</v>
      </c>
      <c r="C593" s="2" t="s">
        <v>651</v>
      </c>
      <c r="D593" s="2" t="s">
        <v>10</v>
      </c>
      <c r="E593" s="2">
        <v>46</v>
      </c>
      <c r="F593" s="2" t="s">
        <v>16</v>
      </c>
      <c r="G593" s="2">
        <v>1</v>
      </c>
      <c r="H593" s="2">
        <v>500</v>
      </c>
      <c r="I593" s="2">
        <f>Table13[[#This Row],[Quantity]]*Table13[[#This Row],[Price per Unit]]</f>
        <v>500</v>
      </c>
      <c r="J593" s="2">
        <v>500</v>
      </c>
    </row>
    <row r="594" spans="1:10" x14ac:dyDescent="0.35">
      <c r="A594" s="2">
        <v>682</v>
      </c>
      <c r="B594" s="3">
        <v>45171</v>
      </c>
      <c r="C594" s="2" t="s">
        <v>695</v>
      </c>
      <c r="D594" s="2" t="s">
        <v>10</v>
      </c>
      <c r="E594" s="2">
        <v>46</v>
      </c>
      <c r="F594" s="2" t="s">
        <v>11</v>
      </c>
      <c r="G594" s="2">
        <v>4</v>
      </c>
      <c r="H594" s="2">
        <v>300</v>
      </c>
      <c r="I594" s="2">
        <f>Table13[[#This Row],[Quantity]]*Table13[[#This Row],[Price per Unit]]</f>
        <v>1200</v>
      </c>
      <c r="J594" s="2">
        <v>1200</v>
      </c>
    </row>
    <row r="595" spans="1:10" x14ac:dyDescent="0.35">
      <c r="A595" s="2">
        <v>775</v>
      </c>
      <c r="B595" s="3">
        <v>44965</v>
      </c>
      <c r="C595" s="2" t="s">
        <v>788</v>
      </c>
      <c r="D595" s="2" t="s">
        <v>13</v>
      </c>
      <c r="E595" s="2">
        <v>46</v>
      </c>
      <c r="F595" s="2" t="s">
        <v>16</v>
      </c>
      <c r="G595" s="2">
        <v>4</v>
      </c>
      <c r="H595" s="2">
        <v>25</v>
      </c>
      <c r="I595" s="2">
        <f>Table13[[#This Row],[Quantity]]*Table13[[#This Row],[Price per Unit]]</f>
        <v>100</v>
      </c>
      <c r="J595" s="2">
        <v>100</v>
      </c>
    </row>
    <row r="596" spans="1:10" x14ac:dyDescent="0.35">
      <c r="A596" s="2">
        <v>802</v>
      </c>
      <c r="B596" s="3">
        <v>45112</v>
      </c>
      <c r="C596" s="2" t="s">
        <v>815</v>
      </c>
      <c r="D596" s="2" t="s">
        <v>13</v>
      </c>
      <c r="E596" s="2">
        <v>46</v>
      </c>
      <c r="F596" s="2" t="s">
        <v>11</v>
      </c>
      <c r="G596" s="2">
        <v>1</v>
      </c>
      <c r="H596" s="2">
        <v>30</v>
      </c>
      <c r="I596" s="2">
        <f>Table13[[#This Row],[Quantity]]*Table13[[#This Row],[Price per Unit]]</f>
        <v>30</v>
      </c>
      <c r="J596" s="2">
        <v>30</v>
      </c>
    </row>
    <row r="597" spans="1:10" x14ac:dyDescent="0.35">
      <c r="A597" s="2">
        <v>825</v>
      </c>
      <c r="B597" s="3">
        <v>45164</v>
      </c>
      <c r="C597" s="2" t="s">
        <v>838</v>
      </c>
      <c r="D597" s="2" t="s">
        <v>13</v>
      </c>
      <c r="E597" s="2">
        <v>46</v>
      </c>
      <c r="F597" s="2" t="s">
        <v>11</v>
      </c>
      <c r="G597" s="2">
        <v>1</v>
      </c>
      <c r="H597" s="2">
        <v>25</v>
      </c>
      <c r="I597" s="2">
        <f>Table13[[#This Row],[Quantity]]*Table13[[#This Row],[Price per Unit]]</f>
        <v>25</v>
      </c>
      <c r="J597" s="2">
        <v>25</v>
      </c>
    </row>
    <row r="598" spans="1:10" x14ac:dyDescent="0.35">
      <c r="A598" s="2">
        <v>826</v>
      </c>
      <c r="B598" s="3">
        <v>45218</v>
      </c>
      <c r="C598" s="2" t="s">
        <v>839</v>
      </c>
      <c r="D598" s="2" t="s">
        <v>13</v>
      </c>
      <c r="E598" s="2">
        <v>46</v>
      </c>
      <c r="F598" s="2" t="s">
        <v>14</v>
      </c>
      <c r="G598" s="2">
        <v>1</v>
      </c>
      <c r="H598" s="2">
        <v>300</v>
      </c>
      <c r="I598" s="2">
        <f>Table13[[#This Row],[Quantity]]*Table13[[#This Row],[Price per Unit]]</f>
        <v>300</v>
      </c>
      <c r="J598" s="2">
        <v>300</v>
      </c>
    </row>
    <row r="599" spans="1:10" x14ac:dyDescent="0.35">
      <c r="A599" s="2">
        <v>870</v>
      </c>
      <c r="B599" s="3">
        <v>45115</v>
      </c>
      <c r="C599" s="2" t="s">
        <v>883</v>
      </c>
      <c r="D599" s="2" t="s">
        <v>13</v>
      </c>
      <c r="E599" s="2">
        <v>46</v>
      </c>
      <c r="F599" s="2" t="s">
        <v>16</v>
      </c>
      <c r="G599" s="2">
        <v>4</v>
      </c>
      <c r="H599" s="2">
        <v>30</v>
      </c>
      <c r="I599" s="2">
        <f>Table13[[#This Row],[Quantity]]*Table13[[#This Row],[Price per Unit]]</f>
        <v>120</v>
      </c>
      <c r="J599" s="2">
        <v>120</v>
      </c>
    </row>
    <row r="600" spans="1:10" x14ac:dyDescent="0.35">
      <c r="A600" s="2">
        <v>908</v>
      </c>
      <c r="B600" s="3">
        <v>45289</v>
      </c>
      <c r="C600" s="2" t="s">
        <v>921</v>
      </c>
      <c r="D600" s="2" t="s">
        <v>10</v>
      </c>
      <c r="E600" s="2">
        <v>46</v>
      </c>
      <c r="F600" s="2" t="s">
        <v>11</v>
      </c>
      <c r="G600" s="2">
        <v>4</v>
      </c>
      <c r="H600" s="2">
        <v>300</v>
      </c>
      <c r="I600" s="2">
        <f>Table13[[#This Row],[Quantity]]*Table13[[#This Row],[Price per Unit]]</f>
        <v>1200</v>
      </c>
      <c r="J600" s="2">
        <v>1200</v>
      </c>
    </row>
    <row r="601" spans="1:10" x14ac:dyDescent="0.35">
      <c r="A601" s="2">
        <v>939</v>
      </c>
      <c r="B601" s="3">
        <v>45278</v>
      </c>
      <c r="C601" s="2" t="s">
        <v>952</v>
      </c>
      <c r="D601" s="2" t="s">
        <v>13</v>
      </c>
      <c r="E601" s="2">
        <v>46</v>
      </c>
      <c r="F601" s="2" t="s">
        <v>16</v>
      </c>
      <c r="G601" s="2">
        <v>1</v>
      </c>
      <c r="H601" s="2">
        <v>300</v>
      </c>
      <c r="I601" s="2">
        <f>Table13[[#This Row],[Quantity]]*Table13[[#This Row],[Price per Unit]]</f>
        <v>300</v>
      </c>
      <c r="J601" s="2">
        <v>300</v>
      </c>
    </row>
    <row r="602" spans="1:10" x14ac:dyDescent="0.35">
      <c r="A602" s="2">
        <v>982</v>
      </c>
      <c r="B602" s="3">
        <v>45279</v>
      </c>
      <c r="C602" s="2" t="s">
        <v>995</v>
      </c>
      <c r="D602" s="2" t="s">
        <v>13</v>
      </c>
      <c r="E602" s="2">
        <v>46</v>
      </c>
      <c r="F602" s="2" t="s">
        <v>11</v>
      </c>
      <c r="G602" s="2">
        <v>3</v>
      </c>
      <c r="H602" s="2">
        <v>30</v>
      </c>
      <c r="I602" s="2">
        <f>Table13[[#This Row],[Quantity]]*Table13[[#This Row],[Price per Unit]]</f>
        <v>90</v>
      </c>
      <c r="J602" s="2">
        <v>90</v>
      </c>
    </row>
    <row r="603" spans="1:10" x14ac:dyDescent="0.35">
      <c r="A603" s="2">
        <v>18</v>
      </c>
      <c r="B603" s="3">
        <v>45046</v>
      </c>
      <c r="C603" s="2" t="s">
        <v>31</v>
      </c>
      <c r="D603" s="2" t="s">
        <v>13</v>
      </c>
      <c r="E603" s="2">
        <v>47</v>
      </c>
      <c r="F603" s="2" t="s">
        <v>16</v>
      </c>
      <c r="G603" s="2">
        <v>2</v>
      </c>
      <c r="H603" s="2">
        <v>25</v>
      </c>
      <c r="I603" s="2">
        <f>Table13[[#This Row],[Quantity]]*Table13[[#This Row],[Price per Unit]]</f>
        <v>50</v>
      </c>
      <c r="J603" s="2">
        <v>50</v>
      </c>
    </row>
    <row r="604" spans="1:10" x14ac:dyDescent="0.35">
      <c r="A604" s="2">
        <v>77</v>
      </c>
      <c r="B604" s="3">
        <v>45116</v>
      </c>
      <c r="C604" s="2" t="s">
        <v>90</v>
      </c>
      <c r="D604" s="2" t="s">
        <v>13</v>
      </c>
      <c r="E604" s="2">
        <v>47</v>
      </c>
      <c r="F604" s="2" t="s">
        <v>14</v>
      </c>
      <c r="G604" s="2">
        <v>2</v>
      </c>
      <c r="H604" s="2">
        <v>50</v>
      </c>
      <c r="I604" s="2">
        <f>Table13[[#This Row],[Quantity]]*Table13[[#This Row],[Price per Unit]]</f>
        <v>100</v>
      </c>
      <c r="J604" s="2">
        <v>100</v>
      </c>
    </row>
    <row r="605" spans="1:10" x14ac:dyDescent="0.35">
      <c r="A605" s="2">
        <v>78</v>
      </c>
      <c r="B605" s="3">
        <v>45108</v>
      </c>
      <c r="C605" s="2" t="s">
        <v>91</v>
      </c>
      <c r="D605" s="2" t="s">
        <v>13</v>
      </c>
      <c r="E605" s="2">
        <v>47</v>
      </c>
      <c r="F605" s="2" t="s">
        <v>14</v>
      </c>
      <c r="G605" s="2">
        <v>3</v>
      </c>
      <c r="H605" s="2">
        <v>500</v>
      </c>
      <c r="I605" s="2">
        <f>Table13[[#This Row],[Quantity]]*Table13[[#This Row],[Price per Unit]]</f>
        <v>1500</v>
      </c>
      <c r="J605" s="2">
        <v>1500</v>
      </c>
    </row>
    <row r="606" spans="1:10" x14ac:dyDescent="0.35">
      <c r="A606" s="2">
        <v>94</v>
      </c>
      <c r="B606" s="3">
        <v>45065</v>
      </c>
      <c r="C606" s="2" t="s">
        <v>107</v>
      </c>
      <c r="D606" s="2" t="s">
        <v>13</v>
      </c>
      <c r="E606" s="2">
        <v>47</v>
      </c>
      <c r="F606" s="2" t="s">
        <v>11</v>
      </c>
      <c r="G606" s="2">
        <v>2</v>
      </c>
      <c r="H606" s="2">
        <v>500</v>
      </c>
      <c r="I606" s="2">
        <f>Table13[[#This Row],[Quantity]]*Table13[[#This Row],[Price per Unit]]</f>
        <v>1000</v>
      </c>
      <c r="J606" s="2">
        <v>1000</v>
      </c>
    </row>
    <row r="607" spans="1:10" x14ac:dyDescent="0.35">
      <c r="A607" s="2">
        <v>102</v>
      </c>
      <c r="B607" s="3">
        <v>45044</v>
      </c>
      <c r="C607" s="2" t="s">
        <v>115</v>
      </c>
      <c r="D607" s="2" t="s">
        <v>13</v>
      </c>
      <c r="E607" s="2">
        <v>47</v>
      </c>
      <c r="F607" s="2" t="s">
        <v>11</v>
      </c>
      <c r="G607" s="2">
        <v>2</v>
      </c>
      <c r="H607" s="2">
        <v>25</v>
      </c>
      <c r="I607" s="2">
        <f>Table13[[#This Row],[Quantity]]*Table13[[#This Row],[Price per Unit]]</f>
        <v>50</v>
      </c>
      <c r="J607" s="2">
        <v>50</v>
      </c>
    </row>
    <row r="608" spans="1:10" x14ac:dyDescent="0.35">
      <c r="A608" s="2">
        <v>164</v>
      </c>
      <c r="B608" s="3">
        <v>45061</v>
      </c>
      <c r="C608" s="2" t="s">
        <v>177</v>
      </c>
      <c r="D608" s="2" t="s">
        <v>13</v>
      </c>
      <c r="E608" s="2">
        <v>47</v>
      </c>
      <c r="F608" s="2" t="s">
        <v>11</v>
      </c>
      <c r="G608" s="2">
        <v>3</v>
      </c>
      <c r="H608" s="2">
        <v>500</v>
      </c>
      <c r="I608" s="2">
        <f>Table13[[#This Row],[Quantity]]*Table13[[#This Row],[Price per Unit]]</f>
        <v>1500</v>
      </c>
      <c r="J608" s="2">
        <v>1500</v>
      </c>
    </row>
    <row r="609" spans="1:10" x14ac:dyDescent="0.35">
      <c r="A609" s="2">
        <v>243</v>
      </c>
      <c r="B609" s="3">
        <v>45069</v>
      </c>
      <c r="C609" s="2" t="s">
        <v>256</v>
      </c>
      <c r="D609" s="2" t="s">
        <v>13</v>
      </c>
      <c r="E609" s="2">
        <v>47</v>
      </c>
      <c r="F609" s="2" t="s">
        <v>16</v>
      </c>
      <c r="G609" s="2">
        <v>3</v>
      </c>
      <c r="H609" s="2">
        <v>300</v>
      </c>
      <c r="I609" s="2">
        <f>Table13[[#This Row],[Quantity]]*Table13[[#This Row],[Price per Unit]]</f>
        <v>900</v>
      </c>
      <c r="J609" s="2">
        <v>900</v>
      </c>
    </row>
    <row r="610" spans="1:10" x14ac:dyDescent="0.35">
      <c r="A610" s="2">
        <v>245</v>
      </c>
      <c r="B610" s="3">
        <v>45175</v>
      </c>
      <c r="C610" s="2" t="s">
        <v>258</v>
      </c>
      <c r="D610" s="2" t="s">
        <v>10</v>
      </c>
      <c r="E610" s="2">
        <v>47</v>
      </c>
      <c r="F610" s="2" t="s">
        <v>14</v>
      </c>
      <c r="G610" s="2">
        <v>3</v>
      </c>
      <c r="H610" s="2">
        <v>30</v>
      </c>
      <c r="I610" s="2">
        <f>Table13[[#This Row],[Quantity]]*Table13[[#This Row],[Price per Unit]]</f>
        <v>90</v>
      </c>
      <c r="J610" s="2">
        <v>90</v>
      </c>
    </row>
    <row r="611" spans="1:10" x14ac:dyDescent="0.35">
      <c r="A611" s="2">
        <v>264</v>
      </c>
      <c r="B611" s="3">
        <v>44954</v>
      </c>
      <c r="C611" s="2" t="s">
        <v>277</v>
      </c>
      <c r="D611" s="2" t="s">
        <v>10</v>
      </c>
      <c r="E611" s="2">
        <v>47</v>
      </c>
      <c r="F611" s="2" t="s">
        <v>14</v>
      </c>
      <c r="G611" s="2">
        <v>3</v>
      </c>
      <c r="H611" s="2">
        <v>300</v>
      </c>
      <c r="I611" s="2">
        <f>Table13[[#This Row],[Quantity]]*Table13[[#This Row],[Price per Unit]]</f>
        <v>900</v>
      </c>
      <c r="J611" s="2">
        <v>900</v>
      </c>
    </row>
    <row r="612" spans="1:10" x14ac:dyDescent="0.35">
      <c r="A612" s="2">
        <v>315</v>
      </c>
      <c r="B612" s="3">
        <v>45078</v>
      </c>
      <c r="C612" s="2" t="s">
        <v>328</v>
      </c>
      <c r="D612" s="2" t="s">
        <v>10</v>
      </c>
      <c r="E612" s="2">
        <v>47</v>
      </c>
      <c r="F612" s="2" t="s">
        <v>14</v>
      </c>
      <c r="G612" s="2">
        <v>2</v>
      </c>
      <c r="H612" s="2">
        <v>30</v>
      </c>
      <c r="I612" s="2">
        <f>Table13[[#This Row],[Quantity]]*Table13[[#This Row],[Price per Unit]]</f>
        <v>60</v>
      </c>
      <c r="J612" s="2">
        <v>60</v>
      </c>
    </row>
    <row r="613" spans="1:10" x14ac:dyDescent="0.35">
      <c r="A613" s="2">
        <v>335</v>
      </c>
      <c r="B613" s="3">
        <v>44961</v>
      </c>
      <c r="C613" s="2" t="s">
        <v>348</v>
      </c>
      <c r="D613" s="2" t="s">
        <v>13</v>
      </c>
      <c r="E613" s="2">
        <v>47</v>
      </c>
      <c r="F613" s="2" t="s">
        <v>11</v>
      </c>
      <c r="G613" s="2">
        <v>4</v>
      </c>
      <c r="H613" s="2">
        <v>30</v>
      </c>
      <c r="I613" s="2">
        <f>Table13[[#This Row],[Quantity]]*Table13[[#This Row],[Price per Unit]]</f>
        <v>120</v>
      </c>
      <c r="J613" s="2">
        <v>120</v>
      </c>
    </row>
    <row r="614" spans="1:10" x14ac:dyDescent="0.35">
      <c r="A614" s="2">
        <v>379</v>
      </c>
      <c r="B614" s="3">
        <v>44962</v>
      </c>
      <c r="C614" s="2" t="s">
        <v>392</v>
      </c>
      <c r="D614" s="2" t="s">
        <v>13</v>
      </c>
      <c r="E614" s="2">
        <v>47</v>
      </c>
      <c r="F614" s="2" t="s">
        <v>14</v>
      </c>
      <c r="G614" s="2">
        <v>1</v>
      </c>
      <c r="H614" s="2">
        <v>25</v>
      </c>
      <c r="I614" s="2">
        <f>Table13[[#This Row],[Quantity]]*Table13[[#This Row],[Price per Unit]]</f>
        <v>25</v>
      </c>
      <c r="J614" s="2">
        <v>25</v>
      </c>
    </row>
    <row r="615" spans="1:10" x14ac:dyDescent="0.35">
      <c r="A615" s="2">
        <v>517</v>
      </c>
      <c r="B615" s="3">
        <v>45024</v>
      </c>
      <c r="C615" s="2" t="s">
        <v>530</v>
      </c>
      <c r="D615" s="2" t="s">
        <v>13</v>
      </c>
      <c r="E615" s="2">
        <v>47</v>
      </c>
      <c r="F615" s="2" t="s">
        <v>14</v>
      </c>
      <c r="G615" s="2">
        <v>4</v>
      </c>
      <c r="H615" s="2">
        <v>25</v>
      </c>
      <c r="I615" s="2">
        <f>Table13[[#This Row],[Quantity]]*Table13[[#This Row],[Price per Unit]]</f>
        <v>100</v>
      </c>
      <c r="J615" s="2">
        <v>100</v>
      </c>
    </row>
    <row r="616" spans="1:10" x14ac:dyDescent="0.35">
      <c r="A616" s="2">
        <v>521</v>
      </c>
      <c r="B616" s="3">
        <v>45150</v>
      </c>
      <c r="C616" s="2" t="s">
        <v>534</v>
      </c>
      <c r="D616" s="2" t="s">
        <v>13</v>
      </c>
      <c r="E616" s="2">
        <v>47</v>
      </c>
      <c r="F616" s="2" t="s">
        <v>14</v>
      </c>
      <c r="G616" s="2">
        <v>4</v>
      </c>
      <c r="H616" s="2">
        <v>30</v>
      </c>
      <c r="I616" s="2">
        <f>Table13[[#This Row],[Quantity]]*Table13[[#This Row],[Price per Unit]]</f>
        <v>120</v>
      </c>
      <c r="J616" s="2">
        <v>120</v>
      </c>
    </row>
    <row r="617" spans="1:10" x14ac:dyDescent="0.35">
      <c r="A617" s="2">
        <v>525</v>
      </c>
      <c r="B617" s="3">
        <v>45278</v>
      </c>
      <c r="C617" s="2" t="s">
        <v>538</v>
      </c>
      <c r="D617" s="2" t="s">
        <v>13</v>
      </c>
      <c r="E617" s="2">
        <v>47</v>
      </c>
      <c r="F617" s="2" t="s">
        <v>11</v>
      </c>
      <c r="G617" s="2">
        <v>2</v>
      </c>
      <c r="H617" s="2">
        <v>25</v>
      </c>
      <c r="I617" s="2">
        <f>Table13[[#This Row],[Quantity]]*Table13[[#This Row],[Price per Unit]]</f>
        <v>50</v>
      </c>
      <c r="J617" s="2">
        <v>50</v>
      </c>
    </row>
    <row r="618" spans="1:10" x14ac:dyDescent="0.35">
      <c r="A618" s="2">
        <v>535</v>
      </c>
      <c r="B618" s="3">
        <v>45266</v>
      </c>
      <c r="C618" s="2" t="s">
        <v>548</v>
      </c>
      <c r="D618" s="2" t="s">
        <v>10</v>
      </c>
      <c r="E618" s="2">
        <v>47</v>
      </c>
      <c r="F618" s="2" t="s">
        <v>11</v>
      </c>
      <c r="G618" s="2">
        <v>3</v>
      </c>
      <c r="H618" s="2">
        <v>30</v>
      </c>
      <c r="I618" s="2">
        <f>Table13[[#This Row],[Quantity]]*Table13[[#This Row],[Price per Unit]]</f>
        <v>90</v>
      </c>
      <c r="J618" s="2">
        <v>90</v>
      </c>
    </row>
    <row r="619" spans="1:10" x14ac:dyDescent="0.35">
      <c r="A619" s="2">
        <v>609</v>
      </c>
      <c r="B619" s="3">
        <v>45279</v>
      </c>
      <c r="C619" s="2" t="s">
        <v>622</v>
      </c>
      <c r="D619" s="2" t="s">
        <v>13</v>
      </c>
      <c r="E619" s="2">
        <v>47</v>
      </c>
      <c r="F619" s="2" t="s">
        <v>14</v>
      </c>
      <c r="G619" s="2">
        <v>2</v>
      </c>
      <c r="H619" s="2">
        <v>50</v>
      </c>
      <c r="I619" s="2">
        <f>Table13[[#This Row],[Quantity]]*Table13[[#This Row],[Price per Unit]]</f>
        <v>100</v>
      </c>
      <c r="J619" s="2">
        <v>100</v>
      </c>
    </row>
    <row r="620" spans="1:10" x14ac:dyDescent="0.35">
      <c r="A620" s="2">
        <v>619</v>
      </c>
      <c r="B620" s="3">
        <v>45212</v>
      </c>
      <c r="C620" s="2" t="s">
        <v>632</v>
      </c>
      <c r="D620" s="2" t="s">
        <v>10</v>
      </c>
      <c r="E620" s="2">
        <v>47</v>
      </c>
      <c r="F620" s="2" t="s">
        <v>16</v>
      </c>
      <c r="G620" s="2">
        <v>4</v>
      </c>
      <c r="H620" s="2">
        <v>25</v>
      </c>
      <c r="I620" s="2">
        <f>Table13[[#This Row],[Quantity]]*Table13[[#This Row],[Price per Unit]]</f>
        <v>100</v>
      </c>
      <c r="J620" s="2">
        <v>100</v>
      </c>
    </row>
    <row r="621" spans="1:10" x14ac:dyDescent="0.35">
      <c r="A621" s="2">
        <v>726</v>
      </c>
      <c r="B621" s="3">
        <v>45094</v>
      </c>
      <c r="C621" s="2" t="s">
        <v>739</v>
      </c>
      <c r="D621" s="2" t="s">
        <v>10</v>
      </c>
      <c r="E621" s="2">
        <v>47</v>
      </c>
      <c r="F621" s="2" t="s">
        <v>14</v>
      </c>
      <c r="G621" s="2">
        <v>4</v>
      </c>
      <c r="H621" s="2">
        <v>300</v>
      </c>
      <c r="I621" s="2">
        <f>Table13[[#This Row],[Quantity]]*Table13[[#This Row],[Price per Unit]]</f>
        <v>1200</v>
      </c>
      <c r="J621" s="2">
        <v>1200</v>
      </c>
    </row>
    <row r="622" spans="1:10" x14ac:dyDescent="0.35">
      <c r="A622" s="2">
        <v>778</v>
      </c>
      <c r="B622" s="3">
        <v>45248</v>
      </c>
      <c r="C622" s="2" t="s">
        <v>791</v>
      </c>
      <c r="D622" s="2" t="s">
        <v>13</v>
      </c>
      <c r="E622" s="2">
        <v>47</v>
      </c>
      <c r="F622" s="2" t="s">
        <v>11</v>
      </c>
      <c r="G622" s="2">
        <v>4</v>
      </c>
      <c r="H622" s="2">
        <v>25</v>
      </c>
      <c r="I622" s="2">
        <f>Table13[[#This Row],[Quantity]]*Table13[[#This Row],[Price per Unit]]</f>
        <v>100</v>
      </c>
      <c r="J622" s="2">
        <v>100</v>
      </c>
    </row>
    <row r="623" spans="1:10" x14ac:dyDescent="0.35">
      <c r="A623" s="2">
        <v>816</v>
      </c>
      <c r="B623" s="3">
        <v>45150</v>
      </c>
      <c r="C623" s="2" t="s">
        <v>829</v>
      </c>
      <c r="D623" s="2" t="s">
        <v>10</v>
      </c>
      <c r="E623" s="2">
        <v>47</v>
      </c>
      <c r="F623" s="2" t="s">
        <v>11</v>
      </c>
      <c r="G623" s="2">
        <v>2</v>
      </c>
      <c r="H623" s="2">
        <v>500</v>
      </c>
      <c r="I623" s="2">
        <f>Table13[[#This Row],[Quantity]]*Table13[[#This Row],[Price per Unit]]</f>
        <v>1000</v>
      </c>
      <c r="J623" s="2">
        <v>1000</v>
      </c>
    </row>
    <row r="624" spans="1:10" x14ac:dyDescent="0.35">
      <c r="A624" s="2">
        <v>832</v>
      </c>
      <c r="B624" s="3">
        <v>45180</v>
      </c>
      <c r="C624" s="2" t="s">
        <v>845</v>
      </c>
      <c r="D624" s="2" t="s">
        <v>10</v>
      </c>
      <c r="E624" s="2">
        <v>47</v>
      </c>
      <c r="F624" s="2" t="s">
        <v>11</v>
      </c>
      <c r="G624" s="2">
        <v>4</v>
      </c>
      <c r="H624" s="2">
        <v>500</v>
      </c>
      <c r="I624" s="2">
        <f>Table13[[#This Row],[Quantity]]*Table13[[#This Row],[Price per Unit]]</f>
        <v>2000</v>
      </c>
      <c r="J624" s="2">
        <v>2000</v>
      </c>
    </row>
    <row r="625" spans="1:10" x14ac:dyDescent="0.35">
      <c r="A625" s="2">
        <v>838</v>
      </c>
      <c r="B625" s="3">
        <v>45059</v>
      </c>
      <c r="C625" s="2" t="s">
        <v>851</v>
      </c>
      <c r="D625" s="2" t="s">
        <v>10</v>
      </c>
      <c r="E625" s="2">
        <v>47</v>
      </c>
      <c r="F625" s="2" t="s">
        <v>16</v>
      </c>
      <c r="G625" s="2">
        <v>2</v>
      </c>
      <c r="H625" s="2">
        <v>300</v>
      </c>
      <c r="I625" s="2">
        <f>Table13[[#This Row],[Quantity]]*Table13[[#This Row],[Price per Unit]]</f>
        <v>600</v>
      </c>
      <c r="J625" s="2">
        <v>600</v>
      </c>
    </row>
    <row r="626" spans="1:10" x14ac:dyDescent="0.35">
      <c r="A626" s="2">
        <v>842</v>
      </c>
      <c r="B626" s="3">
        <v>45286</v>
      </c>
      <c r="C626" s="2" t="s">
        <v>855</v>
      </c>
      <c r="D626" s="2" t="s">
        <v>13</v>
      </c>
      <c r="E626" s="2">
        <v>47</v>
      </c>
      <c r="F626" s="2" t="s">
        <v>14</v>
      </c>
      <c r="G626" s="2">
        <v>2</v>
      </c>
      <c r="H626" s="2">
        <v>300</v>
      </c>
      <c r="I626" s="2">
        <f>Table13[[#This Row],[Quantity]]*Table13[[#This Row],[Price per Unit]]</f>
        <v>600</v>
      </c>
      <c r="J626" s="2">
        <v>600</v>
      </c>
    </row>
    <row r="627" spans="1:10" x14ac:dyDescent="0.35">
      <c r="A627" s="2">
        <v>974</v>
      </c>
      <c r="B627" s="3">
        <v>45049</v>
      </c>
      <c r="C627" s="2" t="s">
        <v>987</v>
      </c>
      <c r="D627" s="2" t="s">
        <v>10</v>
      </c>
      <c r="E627" s="2">
        <v>47</v>
      </c>
      <c r="F627" s="2" t="s">
        <v>11</v>
      </c>
      <c r="G627" s="2">
        <v>1</v>
      </c>
      <c r="H627" s="2">
        <v>30</v>
      </c>
      <c r="I627" s="2">
        <f>Table13[[#This Row],[Quantity]]*Table13[[#This Row],[Price per Unit]]</f>
        <v>30</v>
      </c>
      <c r="J627" s="2">
        <v>30</v>
      </c>
    </row>
    <row r="628" spans="1:10" x14ac:dyDescent="0.35">
      <c r="A628" s="2">
        <v>1000</v>
      </c>
      <c r="B628" s="3">
        <v>45028</v>
      </c>
      <c r="C628" s="2" t="s">
        <v>1013</v>
      </c>
      <c r="D628" s="2" t="s">
        <v>10</v>
      </c>
      <c r="E628" s="2">
        <v>47</v>
      </c>
      <c r="F628" s="2" t="s">
        <v>16</v>
      </c>
      <c r="G628" s="2">
        <v>4</v>
      </c>
      <c r="H628" s="2">
        <v>30</v>
      </c>
      <c r="I628" s="2">
        <f>Table13[[#This Row],[Quantity]]*Table13[[#This Row],[Price per Unit]]</f>
        <v>120</v>
      </c>
      <c r="J628" s="2">
        <v>120</v>
      </c>
    </row>
    <row r="629" spans="1:10" x14ac:dyDescent="0.35">
      <c r="A629" s="2">
        <v>43</v>
      </c>
      <c r="B629" s="3">
        <v>45121</v>
      </c>
      <c r="C629" s="2" t="s">
        <v>56</v>
      </c>
      <c r="D629" s="2" t="s">
        <v>13</v>
      </c>
      <c r="E629" s="2">
        <v>48</v>
      </c>
      <c r="F629" s="2" t="s">
        <v>14</v>
      </c>
      <c r="G629" s="2">
        <v>1</v>
      </c>
      <c r="H629" s="2">
        <v>300</v>
      </c>
      <c r="I629" s="2">
        <f>Table13[[#This Row],[Quantity]]*Table13[[#This Row],[Price per Unit]]</f>
        <v>300</v>
      </c>
      <c r="J629" s="2">
        <v>300</v>
      </c>
    </row>
    <row r="630" spans="1:10" x14ac:dyDescent="0.35">
      <c r="A630" s="2">
        <v>67</v>
      </c>
      <c r="B630" s="3">
        <v>45075</v>
      </c>
      <c r="C630" s="2" t="s">
        <v>80</v>
      </c>
      <c r="D630" s="2" t="s">
        <v>13</v>
      </c>
      <c r="E630" s="2">
        <v>48</v>
      </c>
      <c r="F630" s="2" t="s">
        <v>11</v>
      </c>
      <c r="G630" s="2">
        <v>4</v>
      </c>
      <c r="H630" s="2">
        <v>300</v>
      </c>
      <c r="I630" s="2">
        <f>Table13[[#This Row],[Quantity]]*Table13[[#This Row],[Price per Unit]]</f>
        <v>1200</v>
      </c>
      <c r="J630" s="2">
        <v>1200</v>
      </c>
    </row>
    <row r="631" spans="1:10" x14ac:dyDescent="0.35">
      <c r="A631" s="2">
        <v>125</v>
      </c>
      <c r="B631" s="3">
        <v>45146</v>
      </c>
      <c r="C631" s="2" t="s">
        <v>138</v>
      </c>
      <c r="D631" s="2" t="s">
        <v>10</v>
      </c>
      <c r="E631" s="2">
        <v>48</v>
      </c>
      <c r="F631" s="2" t="s">
        <v>14</v>
      </c>
      <c r="G631" s="2">
        <v>2</v>
      </c>
      <c r="H631" s="2">
        <v>50</v>
      </c>
      <c r="I631" s="2">
        <f>Table13[[#This Row],[Quantity]]*Table13[[#This Row],[Price per Unit]]</f>
        <v>100</v>
      </c>
      <c r="J631" s="2">
        <v>100</v>
      </c>
    </row>
    <row r="632" spans="1:10" x14ac:dyDescent="0.35">
      <c r="A632" s="2">
        <v>246</v>
      </c>
      <c r="B632" s="3">
        <v>45036</v>
      </c>
      <c r="C632" s="2" t="s">
        <v>259</v>
      </c>
      <c r="D632" s="2" t="s">
        <v>13</v>
      </c>
      <c r="E632" s="2">
        <v>48</v>
      </c>
      <c r="F632" s="2" t="s">
        <v>16</v>
      </c>
      <c r="G632" s="2">
        <v>2</v>
      </c>
      <c r="H632" s="2">
        <v>25</v>
      </c>
      <c r="I632" s="2">
        <f>Table13[[#This Row],[Quantity]]*Table13[[#This Row],[Price per Unit]]</f>
        <v>50</v>
      </c>
      <c r="J632" s="2">
        <v>50</v>
      </c>
    </row>
    <row r="633" spans="1:10" x14ac:dyDescent="0.35">
      <c r="A633" s="2">
        <v>250</v>
      </c>
      <c r="B633" s="3">
        <v>45222</v>
      </c>
      <c r="C633" s="2" t="s">
        <v>263</v>
      </c>
      <c r="D633" s="2" t="s">
        <v>10</v>
      </c>
      <c r="E633" s="2">
        <v>48</v>
      </c>
      <c r="F633" s="2" t="s">
        <v>16</v>
      </c>
      <c r="G633" s="2">
        <v>1</v>
      </c>
      <c r="H633" s="2">
        <v>50</v>
      </c>
      <c r="I633" s="2">
        <f>Table13[[#This Row],[Quantity]]*Table13[[#This Row],[Price per Unit]]</f>
        <v>50</v>
      </c>
      <c r="J633" s="2">
        <v>50</v>
      </c>
    </row>
    <row r="634" spans="1:10" x14ac:dyDescent="0.35">
      <c r="A634" s="2">
        <v>255</v>
      </c>
      <c r="B634" s="3">
        <v>45024</v>
      </c>
      <c r="C634" s="2" t="s">
        <v>268</v>
      </c>
      <c r="D634" s="2" t="s">
        <v>10</v>
      </c>
      <c r="E634" s="2">
        <v>48</v>
      </c>
      <c r="F634" s="2" t="s">
        <v>14</v>
      </c>
      <c r="G634" s="2">
        <v>1</v>
      </c>
      <c r="H634" s="2">
        <v>30</v>
      </c>
      <c r="I634" s="2">
        <f>Table13[[#This Row],[Quantity]]*Table13[[#This Row],[Price per Unit]]</f>
        <v>30</v>
      </c>
      <c r="J634" s="2">
        <v>30</v>
      </c>
    </row>
    <row r="635" spans="1:10" x14ac:dyDescent="0.35">
      <c r="A635" s="2">
        <v>316</v>
      </c>
      <c r="B635" s="3">
        <v>45038</v>
      </c>
      <c r="C635" s="2" t="s">
        <v>329</v>
      </c>
      <c r="D635" s="2" t="s">
        <v>13</v>
      </c>
      <c r="E635" s="2">
        <v>48</v>
      </c>
      <c r="F635" s="2" t="s">
        <v>14</v>
      </c>
      <c r="G635" s="2">
        <v>2</v>
      </c>
      <c r="H635" s="2">
        <v>25</v>
      </c>
      <c r="I635" s="2">
        <f>Table13[[#This Row],[Quantity]]*Table13[[#This Row],[Price per Unit]]</f>
        <v>50</v>
      </c>
      <c r="J635" s="2">
        <v>50</v>
      </c>
    </row>
    <row r="636" spans="1:10" x14ac:dyDescent="0.35">
      <c r="A636" s="2">
        <v>398</v>
      </c>
      <c r="B636" s="3">
        <v>45062</v>
      </c>
      <c r="C636" s="2" t="s">
        <v>411</v>
      </c>
      <c r="D636" s="2" t="s">
        <v>13</v>
      </c>
      <c r="E636" s="2">
        <v>48</v>
      </c>
      <c r="F636" s="2" t="s">
        <v>14</v>
      </c>
      <c r="G636" s="2">
        <v>2</v>
      </c>
      <c r="H636" s="2">
        <v>300</v>
      </c>
      <c r="I636" s="2">
        <f>Table13[[#This Row],[Quantity]]*Table13[[#This Row],[Price per Unit]]</f>
        <v>600</v>
      </c>
      <c r="J636" s="2">
        <v>600</v>
      </c>
    </row>
    <row r="637" spans="1:10" x14ac:dyDescent="0.35">
      <c r="A637" s="2">
        <v>414</v>
      </c>
      <c r="B637" s="3">
        <v>45055</v>
      </c>
      <c r="C637" s="2" t="s">
        <v>427</v>
      </c>
      <c r="D637" s="2" t="s">
        <v>10</v>
      </c>
      <c r="E637" s="2">
        <v>48</v>
      </c>
      <c r="F637" s="2" t="s">
        <v>11</v>
      </c>
      <c r="G637" s="2">
        <v>4</v>
      </c>
      <c r="H637" s="2">
        <v>25</v>
      </c>
      <c r="I637" s="2">
        <f>Table13[[#This Row],[Quantity]]*Table13[[#This Row],[Price per Unit]]</f>
        <v>100</v>
      </c>
      <c r="J637" s="2">
        <v>100</v>
      </c>
    </row>
    <row r="638" spans="1:10" x14ac:dyDescent="0.35">
      <c r="A638" s="2">
        <v>452</v>
      </c>
      <c r="B638" s="3">
        <v>45054</v>
      </c>
      <c r="C638" s="2" t="s">
        <v>465</v>
      </c>
      <c r="D638" s="2" t="s">
        <v>13</v>
      </c>
      <c r="E638" s="2">
        <v>48</v>
      </c>
      <c r="F638" s="2" t="s">
        <v>14</v>
      </c>
      <c r="G638" s="2">
        <v>3</v>
      </c>
      <c r="H638" s="2">
        <v>500</v>
      </c>
      <c r="I638" s="2">
        <f>Table13[[#This Row],[Quantity]]*Table13[[#This Row],[Price per Unit]]</f>
        <v>1500</v>
      </c>
      <c r="J638" s="2">
        <v>1500</v>
      </c>
    </row>
    <row r="639" spans="1:10" x14ac:dyDescent="0.35">
      <c r="A639" s="2">
        <v>581</v>
      </c>
      <c r="B639" s="3">
        <v>45251</v>
      </c>
      <c r="C639" s="2" t="s">
        <v>594</v>
      </c>
      <c r="D639" s="2" t="s">
        <v>13</v>
      </c>
      <c r="E639" s="2">
        <v>48</v>
      </c>
      <c r="F639" s="2" t="s">
        <v>11</v>
      </c>
      <c r="G639" s="2">
        <v>2</v>
      </c>
      <c r="H639" s="2">
        <v>30</v>
      </c>
      <c r="I639" s="2">
        <f>Table13[[#This Row],[Quantity]]*Table13[[#This Row],[Price per Unit]]</f>
        <v>60</v>
      </c>
      <c r="J639" s="2">
        <v>60</v>
      </c>
    </row>
    <row r="640" spans="1:10" x14ac:dyDescent="0.35">
      <c r="A640" s="2">
        <v>662</v>
      </c>
      <c r="B640" s="3">
        <v>45282</v>
      </c>
      <c r="C640" s="2" t="s">
        <v>675</v>
      </c>
      <c r="D640" s="2" t="s">
        <v>10</v>
      </c>
      <c r="E640" s="2">
        <v>48</v>
      </c>
      <c r="F640" s="2" t="s">
        <v>11</v>
      </c>
      <c r="G640" s="2">
        <v>2</v>
      </c>
      <c r="H640" s="2">
        <v>500</v>
      </c>
      <c r="I640" s="2">
        <f>Table13[[#This Row],[Quantity]]*Table13[[#This Row],[Price per Unit]]</f>
        <v>1000</v>
      </c>
      <c r="J640" s="2">
        <v>1000</v>
      </c>
    </row>
    <row r="641" spans="1:10" x14ac:dyDescent="0.35">
      <c r="A641" s="2">
        <v>741</v>
      </c>
      <c r="B641" s="3">
        <v>45260</v>
      </c>
      <c r="C641" s="2" t="s">
        <v>754</v>
      </c>
      <c r="D641" s="2" t="s">
        <v>10</v>
      </c>
      <c r="E641" s="2">
        <v>48</v>
      </c>
      <c r="F641" s="2" t="s">
        <v>14</v>
      </c>
      <c r="G641" s="2">
        <v>1</v>
      </c>
      <c r="H641" s="2">
        <v>300</v>
      </c>
      <c r="I641" s="2">
        <f>Table13[[#This Row],[Quantity]]*Table13[[#This Row],[Price per Unit]]</f>
        <v>300</v>
      </c>
      <c r="J641" s="2">
        <v>300</v>
      </c>
    </row>
    <row r="642" spans="1:10" x14ac:dyDescent="0.35">
      <c r="A642" s="2">
        <v>777</v>
      </c>
      <c r="B642" s="3">
        <v>45280</v>
      </c>
      <c r="C642" s="2" t="s">
        <v>790</v>
      </c>
      <c r="D642" s="2" t="s">
        <v>10</v>
      </c>
      <c r="E642" s="2">
        <v>48</v>
      </c>
      <c r="F642" s="2" t="s">
        <v>16</v>
      </c>
      <c r="G642" s="2">
        <v>3</v>
      </c>
      <c r="H642" s="2">
        <v>50</v>
      </c>
      <c r="I642" s="2">
        <f>Table13[[#This Row],[Quantity]]*Table13[[#This Row],[Price per Unit]]</f>
        <v>150</v>
      </c>
      <c r="J642" s="2">
        <v>150</v>
      </c>
    </row>
    <row r="643" spans="1:10" x14ac:dyDescent="0.35">
      <c r="A643" s="2">
        <v>786</v>
      </c>
      <c r="B643" s="3">
        <v>45216</v>
      </c>
      <c r="C643" s="2" t="s">
        <v>799</v>
      </c>
      <c r="D643" s="2" t="s">
        <v>10</v>
      </c>
      <c r="E643" s="2">
        <v>48</v>
      </c>
      <c r="F643" s="2" t="s">
        <v>14</v>
      </c>
      <c r="G643" s="2">
        <v>4</v>
      </c>
      <c r="H643" s="2">
        <v>25</v>
      </c>
      <c r="I643" s="2">
        <f>Table13[[#This Row],[Quantity]]*Table13[[#This Row],[Price per Unit]]</f>
        <v>100</v>
      </c>
      <c r="J643" s="2">
        <v>100</v>
      </c>
    </row>
    <row r="644" spans="1:10" x14ac:dyDescent="0.35">
      <c r="A644" s="2">
        <v>968</v>
      </c>
      <c r="B644" s="3">
        <v>45247</v>
      </c>
      <c r="C644" s="2" t="s">
        <v>981</v>
      </c>
      <c r="D644" s="2" t="s">
        <v>13</v>
      </c>
      <c r="E644" s="2">
        <v>48</v>
      </c>
      <c r="F644" s="2" t="s">
        <v>14</v>
      </c>
      <c r="G644" s="2">
        <v>3</v>
      </c>
      <c r="H644" s="2">
        <v>300</v>
      </c>
      <c r="I644" s="2">
        <f>Table13[[#This Row],[Quantity]]*Table13[[#This Row],[Price per Unit]]</f>
        <v>900</v>
      </c>
      <c r="J644" s="2">
        <v>900</v>
      </c>
    </row>
    <row r="645" spans="1:10" x14ac:dyDescent="0.35">
      <c r="A645" s="2">
        <v>976</v>
      </c>
      <c r="B645" s="3">
        <v>45209</v>
      </c>
      <c r="C645" s="2" t="s">
        <v>989</v>
      </c>
      <c r="D645" s="2" t="s">
        <v>13</v>
      </c>
      <c r="E645" s="2">
        <v>48</v>
      </c>
      <c r="F645" s="2" t="s">
        <v>11</v>
      </c>
      <c r="G645" s="2">
        <v>2</v>
      </c>
      <c r="H645" s="2">
        <v>300</v>
      </c>
      <c r="I645" s="2">
        <f>Table13[[#This Row],[Quantity]]*Table13[[#This Row],[Price per Unit]]</f>
        <v>600</v>
      </c>
      <c r="J645" s="2">
        <v>600</v>
      </c>
    </row>
    <row r="646" spans="1:10" x14ac:dyDescent="0.35">
      <c r="A646" s="2">
        <v>993</v>
      </c>
      <c r="B646" s="3">
        <v>44963</v>
      </c>
      <c r="C646" s="2" t="s">
        <v>1006</v>
      </c>
      <c r="D646" s="2" t="s">
        <v>13</v>
      </c>
      <c r="E646" s="2">
        <v>48</v>
      </c>
      <c r="F646" s="2" t="s">
        <v>16</v>
      </c>
      <c r="G646" s="2">
        <v>3</v>
      </c>
      <c r="H646" s="2">
        <v>50</v>
      </c>
      <c r="I646" s="2">
        <f>Table13[[#This Row],[Quantity]]*Table13[[#This Row],[Price per Unit]]</f>
        <v>150</v>
      </c>
      <c r="J646" s="2">
        <v>150</v>
      </c>
    </row>
    <row r="647" spans="1:10" x14ac:dyDescent="0.35">
      <c r="A647" s="2">
        <v>24</v>
      </c>
      <c r="B647" s="3">
        <v>45259</v>
      </c>
      <c r="C647" s="2" t="s">
        <v>37</v>
      </c>
      <c r="D647" s="2" t="s">
        <v>13</v>
      </c>
      <c r="E647" s="2">
        <v>49</v>
      </c>
      <c r="F647" s="2" t="s">
        <v>14</v>
      </c>
      <c r="G647" s="2">
        <v>1</v>
      </c>
      <c r="H647" s="2">
        <v>300</v>
      </c>
      <c r="I647" s="2">
        <f>Table13[[#This Row],[Quantity]]*Table13[[#This Row],[Price per Unit]]</f>
        <v>300</v>
      </c>
      <c r="J647" s="2">
        <v>300</v>
      </c>
    </row>
    <row r="648" spans="1:10" x14ac:dyDescent="0.35">
      <c r="A648" s="2">
        <v>64</v>
      </c>
      <c r="B648" s="3">
        <v>44950</v>
      </c>
      <c r="C648" s="2" t="s">
        <v>77</v>
      </c>
      <c r="D648" s="2" t="s">
        <v>10</v>
      </c>
      <c r="E648" s="2">
        <v>49</v>
      </c>
      <c r="F648" s="2" t="s">
        <v>14</v>
      </c>
      <c r="G648" s="2">
        <v>4</v>
      </c>
      <c r="H648" s="2">
        <v>25</v>
      </c>
      <c r="I648" s="2">
        <f>Table13[[#This Row],[Quantity]]*Table13[[#This Row],[Price per Unit]]</f>
        <v>100</v>
      </c>
      <c r="J648" s="2">
        <v>100</v>
      </c>
    </row>
    <row r="649" spans="1:10" x14ac:dyDescent="0.35">
      <c r="A649" s="2">
        <v>134</v>
      </c>
      <c r="B649" s="3">
        <v>44951</v>
      </c>
      <c r="C649" s="2" t="s">
        <v>147</v>
      </c>
      <c r="D649" s="2" t="s">
        <v>10</v>
      </c>
      <c r="E649" s="2">
        <v>49</v>
      </c>
      <c r="F649" s="2" t="s">
        <v>16</v>
      </c>
      <c r="G649" s="2">
        <v>1</v>
      </c>
      <c r="H649" s="2">
        <v>50</v>
      </c>
      <c r="I649" s="2">
        <f>Table13[[#This Row],[Quantity]]*Table13[[#This Row],[Price per Unit]]</f>
        <v>50</v>
      </c>
      <c r="J649" s="2">
        <v>50</v>
      </c>
    </row>
    <row r="650" spans="1:10" x14ac:dyDescent="0.35">
      <c r="A650" s="2">
        <v>138</v>
      </c>
      <c r="B650" s="3">
        <v>45008</v>
      </c>
      <c r="C650" s="2" t="s">
        <v>151</v>
      </c>
      <c r="D650" s="2" t="s">
        <v>10</v>
      </c>
      <c r="E650" s="2">
        <v>49</v>
      </c>
      <c r="F650" s="2" t="s">
        <v>14</v>
      </c>
      <c r="G650" s="2">
        <v>4</v>
      </c>
      <c r="H650" s="2">
        <v>50</v>
      </c>
      <c r="I650" s="2">
        <f>Table13[[#This Row],[Quantity]]*Table13[[#This Row],[Price per Unit]]</f>
        <v>200</v>
      </c>
      <c r="J650" s="2">
        <v>200</v>
      </c>
    </row>
    <row r="651" spans="1:10" x14ac:dyDescent="0.35">
      <c r="A651" s="2">
        <v>354</v>
      </c>
      <c r="B651" s="3">
        <v>45031</v>
      </c>
      <c r="C651" s="2" t="s">
        <v>367</v>
      </c>
      <c r="D651" s="2" t="s">
        <v>13</v>
      </c>
      <c r="E651" s="2">
        <v>49</v>
      </c>
      <c r="F651" s="2" t="s">
        <v>11</v>
      </c>
      <c r="G651" s="2">
        <v>4</v>
      </c>
      <c r="H651" s="2">
        <v>50</v>
      </c>
      <c r="I651" s="2">
        <f>Table13[[#This Row],[Quantity]]*Table13[[#This Row],[Price per Unit]]</f>
        <v>200</v>
      </c>
      <c r="J651" s="2">
        <v>200</v>
      </c>
    </row>
    <row r="652" spans="1:10" x14ac:dyDescent="0.35">
      <c r="A652" s="2">
        <v>515</v>
      </c>
      <c r="B652" s="3">
        <v>45124</v>
      </c>
      <c r="C652" s="2" t="s">
        <v>528</v>
      </c>
      <c r="D652" s="2" t="s">
        <v>13</v>
      </c>
      <c r="E652" s="2">
        <v>49</v>
      </c>
      <c r="F652" s="2" t="s">
        <v>14</v>
      </c>
      <c r="G652" s="2">
        <v>3</v>
      </c>
      <c r="H652" s="2">
        <v>300</v>
      </c>
      <c r="I652" s="2">
        <f>Table13[[#This Row],[Quantity]]*Table13[[#This Row],[Price per Unit]]</f>
        <v>900</v>
      </c>
      <c r="J652" s="2">
        <v>900</v>
      </c>
    </row>
    <row r="653" spans="1:10" x14ac:dyDescent="0.35">
      <c r="A653" s="2">
        <v>520</v>
      </c>
      <c r="B653" s="3">
        <v>45289</v>
      </c>
      <c r="C653" s="2" t="s">
        <v>533</v>
      </c>
      <c r="D653" s="2" t="s">
        <v>13</v>
      </c>
      <c r="E653" s="2">
        <v>49</v>
      </c>
      <c r="F653" s="2" t="s">
        <v>16</v>
      </c>
      <c r="G653" s="2">
        <v>4</v>
      </c>
      <c r="H653" s="2">
        <v>25</v>
      </c>
      <c r="I653" s="2">
        <f>Table13[[#This Row],[Quantity]]*Table13[[#This Row],[Price per Unit]]</f>
        <v>100</v>
      </c>
      <c r="J653" s="2">
        <v>100</v>
      </c>
    </row>
    <row r="654" spans="1:10" x14ac:dyDescent="0.35">
      <c r="A654" s="2">
        <v>543</v>
      </c>
      <c r="B654" s="3">
        <v>45133</v>
      </c>
      <c r="C654" s="2" t="s">
        <v>556</v>
      </c>
      <c r="D654" s="2" t="s">
        <v>10</v>
      </c>
      <c r="E654" s="2">
        <v>49</v>
      </c>
      <c r="F654" s="2" t="s">
        <v>11</v>
      </c>
      <c r="G654" s="2">
        <v>2</v>
      </c>
      <c r="H654" s="2">
        <v>300</v>
      </c>
      <c r="I654" s="2">
        <f>Table13[[#This Row],[Quantity]]*Table13[[#This Row],[Price per Unit]]</f>
        <v>600</v>
      </c>
      <c r="J654" s="2">
        <v>600</v>
      </c>
    </row>
    <row r="655" spans="1:10" x14ac:dyDescent="0.35">
      <c r="A655" s="2">
        <v>552</v>
      </c>
      <c r="B655" s="3">
        <v>45273</v>
      </c>
      <c r="C655" s="2" t="s">
        <v>565</v>
      </c>
      <c r="D655" s="2" t="s">
        <v>13</v>
      </c>
      <c r="E655" s="2">
        <v>49</v>
      </c>
      <c r="F655" s="2" t="s">
        <v>16</v>
      </c>
      <c r="G655" s="2">
        <v>3</v>
      </c>
      <c r="H655" s="2">
        <v>25</v>
      </c>
      <c r="I655" s="2">
        <f>Table13[[#This Row],[Quantity]]*Table13[[#This Row],[Price per Unit]]</f>
        <v>75</v>
      </c>
      <c r="J655" s="2">
        <v>75</v>
      </c>
    </row>
    <row r="656" spans="1:10" x14ac:dyDescent="0.35">
      <c r="A656" s="2">
        <v>570</v>
      </c>
      <c r="B656" s="3">
        <v>45153</v>
      </c>
      <c r="C656" s="2" t="s">
        <v>583</v>
      </c>
      <c r="D656" s="2" t="s">
        <v>10</v>
      </c>
      <c r="E656" s="2">
        <v>49</v>
      </c>
      <c r="F656" s="2" t="s">
        <v>14</v>
      </c>
      <c r="G656" s="2">
        <v>1</v>
      </c>
      <c r="H656" s="2">
        <v>500</v>
      </c>
      <c r="I656" s="2">
        <f>Table13[[#This Row],[Quantity]]*Table13[[#This Row],[Price per Unit]]</f>
        <v>500</v>
      </c>
      <c r="J656" s="2">
        <v>500</v>
      </c>
    </row>
    <row r="657" spans="1:10" x14ac:dyDescent="0.35">
      <c r="A657" s="2">
        <v>573</v>
      </c>
      <c r="B657" s="3">
        <v>45188</v>
      </c>
      <c r="C657" s="2" t="s">
        <v>586</v>
      </c>
      <c r="D657" s="2" t="s">
        <v>10</v>
      </c>
      <c r="E657" s="2">
        <v>49</v>
      </c>
      <c r="F657" s="2" t="s">
        <v>11</v>
      </c>
      <c r="G657" s="2">
        <v>2</v>
      </c>
      <c r="H657" s="2">
        <v>30</v>
      </c>
      <c r="I657" s="2">
        <f>Table13[[#This Row],[Quantity]]*Table13[[#This Row],[Price per Unit]]</f>
        <v>60</v>
      </c>
      <c r="J657" s="2">
        <v>60</v>
      </c>
    </row>
    <row r="658" spans="1:10" x14ac:dyDescent="0.35">
      <c r="A658" s="2">
        <v>622</v>
      </c>
      <c r="B658" s="3">
        <v>45160</v>
      </c>
      <c r="C658" s="2" t="s">
        <v>635</v>
      </c>
      <c r="D658" s="2" t="s">
        <v>13</v>
      </c>
      <c r="E658" s="2">
        <v>49</v>
      </c>
      <c r="F658" s="2" t="s">
        <v>11</v>
      </c>
      <c r="G658" s="2">
        <v>3</v>
      </c>
      <c r="H658" s="2">
        <v>25</v>
      </c>
      <c r="I658" s="2">
        <f>Table13[[#This Row],[Quantity]]*Table13[[#This Row],[Price per Unit]]</f>
        <v>75</v>
      </c>
      <c r="J658" s="2">
        <v>75</v>
      </c>
    </row>
    <row r="659" spans="1:10" x14ac:dyDescent="0.35">
      <c r="A659" s="2">
        <v>759</v>
      </c>
      <c r="B659" s="3">
        <v>45115</v>
      </c>
      <c r="C659" s="2" t="s">
        <v>772</v>
      </c>
      <c r="D659" s="2" t="s">
        <v>10</v>
      </c>
      <c r="E659" s="2">
        <v>49</v>
      </c>
      <c r="F659" s="2" t="s">
        <v>16</v>
      </c>
      <c r="G659" s="2">
        <v>2</v>
      </c>
      <c r="H659" s="2">
        <v>50</v>
      </c>
      <c r="I659" s="2">
        <f>Table13[[#This Row],[Quantity]]*Table13[[#This Row],[Price per Unit]]</f>
        <v>100</v>
      </c>
      <c r="J659" s="2">
        <v>100</v>
      </c>
    </row>
    <row r="660" spans="1:10" x14ac:dyDescent="0.35">
      <c r="A660" s="2">
        <v>820</v>
      </c>
      <c r="B660" s="3">
        <v>45052</v>
      </c>
      <c r="C660" s="2" t="s">
        <v>833</v>
      </c>
      <c r="D660" s="2" t="s">
        <v>10</v>
      </c>
      <c r="E660" s="2">
        <v>49</v>
      </c>
      <c r="F660" s="2" t="s">
        <v>16</v>
      </c>
      <c r="G660" s="2">
        <v>4</v>
      </c>
      <c r="H660" s="2">
        <v>50</v>
      </c>
      <c r="I660" s="2">
        <f>Table13[[#This Row],[Quantity]]*Table13[[#This Row],[Price per Unit]]</f>
        <v>200</v>
      </c>
      <c r="J660" s="2">
        <v>200</v>
      </c>
    </row>
    <row r="661" spans="1:10" x14ac:dyDescent="0.35">
      <c r="A661" s="2">
        <v>821</v>
      </c>
      <c r="B661" s="3">
        <v>44971</v>
      </c>
      <c r="C661" s="2" t="s">
        <v>834</v>
      </c>
      <c r="D661" s="2" t="s">
        <v>10</v>
      </c>
      <c r="E661" s="2">
        <v>49</v>
      </c>
      <c r="F661" s="2" t="s">
        <v>16</v>
      </c>
      <c r="G661" s="2">
        <v>1</v>
      </c>
      <c r="H661" s="2">
        <v>300</v>
      </c>
      <c r="I661" s="2">
        <f>Table13[[#This Row],[Quantity]]*Table13[[#This Row],[Price per Unit]]</f>
        <v>300</v>
      </c>
      <c r="J661" s="2">
        <v>300</v>
      </c>
    </row>
    <row r="662" spans="1:10" x14ac:dyDescent="0.35">
      <c r="A662" s="2">
        <v>893</v>
      </c>
      <c r="B662" s="3">
        <v>45037</v>
      </c>
      <c r="C662" s="2" t="s">
        <v>906</v>
      </c>
      <c r="D662" s="2" t="s">
        <v>10</v>
      </c>
      <c r="E662" s="2">
        <v>49</v>
      </c>
      <c r="F662" s="2" t="s">
        <v>16</v>
      </c>
      <c r="G662" s="2">
        <v>1</v>
      </c>
      <c r="H662" s="2">
        <v>50</v>
      </c>
      <c r="I662" s="2">
        <f>Table13[[#This Row],[Quantity]]*Table13[[#This Row],[Price per Unit]]</f>
        <v>50</v>
      </c>
      <c r="J662" s="2">
        <v>50</v>
      </c>
    </row>
    <row r="663" spans="1:10" x14ac:dyDescent="0.35">
      <c r="A663" s="2">
        <v>938</v>
      </c>
      <c r="B663" s="3">
        <v>45249</v>
      </c>
      <c r="C663" s="2" t="s">
        <v>951</v>
      </c>
      <c r="D663" s="2" t="s">
        <v>10</v>
      </c>
      <c r="E663" s="2">
        <v>49</v>
      </c>
      <c r="F663" s="2" t="s">
        <v>14</v>
      </c>
      <c r="G663" s="2">
        <v>4</v>
      </c>
      <c r="H663" s="2">
        <v>50</v>
      </c>
      <c r="I663" s="2">
        <f>Table13[[#This Row],[Quantity]]*Table13[[#This Row],[Price per Unit]]</f>
        <v>200</v>
      </c>
      <c r="J663" s="2">
        <v>200</v>
      </c>
    </row>
    <row r="664" spans="1:10" x14ac:dyDescent="0.35">
      <c r="A664" s="2">
        <v>972</v>
      </c>
      <c r="B664" s="3">
        <v>44968</v>
      </c>
      <c r="C664" s="2" t="s">
        <v>985</v>
      </c>
      <c r="D664" s="2" t="s">
        <v>10</v>
      </c>
      <c r="E664" s="2">
        <v>49</v>
      </c>
      <c r="F664" s="2" t="s">
        <v>11</v>
      </c>
      <c r="G664" s="2">
        <v>4</v>
      </c>
      <c r="H664" s="2">
        <v>25</v>
      </c>
      <c r="I664" s="2">
        <f>Table13[[#This Row],[Quantity]]*Table13[[#This Row],[Price per Unit]]</f>
        <v>100</v>
      </c>
      <c r="J664" s="2">
        <v>100</v>
      </c>
    </row>
    <row r="665" spans="1:10" x14ac:dyDescent="0.35">
      <c r="A665" s="2">
        <v>986</v>
      </c>
      <c r="B665" s="3">
        <v>44943</v>
      </c>
      <c r="C665" s="2" t="s">
        <v>999</v>
      </c>
      <c r="D665" s="2" t="s">
        <v>13</v>
      </c>
      <c r="E665" s="2">
        <v>49</v>
      </c>
      <c r="F665" s="2" t="s">
        <v>14</v>
      </c>
      <c r="G665" s="2">
        <v>2</v>
      </c>
      <c r="H665" s="2">
        <v>500</v>
      </c>
      <c r="I665" s="2">
        <f>Table13[[#This Row],[Quantity]]*Table13[[#This Row],[Price per Unit]]</f>
        <v>1000</v>
      </c>
      <c r="J665" s="2">
        <v>1000</v>
      </c>
    </row>
    <row r="666" spans="1:10" x14ac:dyDescent="0.35">
      <c r="A666" s="2">
        <v>3</v>
      </c>
      <c r="B666" s="3">
        <v>44939</v>
      </c>
      <c r="C666" s="2" t="s">
        <v>15</v>
      </c>
      <c r="D666" s="2" t="s">
        <v>10</v>
      </c>
      <c r="E666" s="2">
        <v>50</v>
      </c>
      <c r="F666" s="2" t="s">
        <v>16</v>
      </c>
      <c r="G666" s="2">
        <v>1</v>
      </c>
      <c r="H666" s="2">
        <v>30</v>
      </c>
      <c r="I666" s="2">
        <f>Table13[[#This Row],[Quantity]]*Table13[[#This Row],[Price per Unit]]</f>
        <v>30</v>
      </c>
      <c r="J666" s="2">
        <v>30</v>
      </c>
    </row>
    <row r="667" spans="1:10" x14ac:dyDescent="0.35">
      <c r="A667" s="2">
        <v>21</v>
      </c>
      <c r="B667" s="3">
        <v>44940</v>
      </c>
      <c r="C667" s="2" t="s">
        <v>34</v>
      </c>
      <c r="D667" s="2" t="s">
        <v>13</v>
      </c>
      <c r="E667" s="2">
        <v>50</v>
      </c>
      <c r="F667" s="2" t="s">
        <v>11</v>
      </c>
      <c r="G667" s="2">
        <v>1</v>
      </c>
      <c r="H667" s="2">
        <v>500</v>
      </c>
      <c r="I667" s="2">
        <f>Table13[[#This Row],[Quantity]]*Table13[[#This Row],[Price per Unit]]</f>
        <v>500</v>
      </c>
      <c r="J667" s="2">
        <v>500</v>
      </c>
    </row>
    <row r="668" spans="1:10" x14ac:dyDescent="0.35">
      <c r="A668" s="2">
        <v>33</v>
      </c>
      <c r="B668" s="3">
        <v>45008</v>
      </c>
      <c r="C668" s="2" t="s">
        <v>46</v>
      </c>
      <c r="D668" s="2" t="s">
        <v>13</v>
      </c>
      <c r="E668" s="2">
        <v>50</v>
      </c>
      <c r="F668" s="2" t="s">
        <v>16</v>
      </c>
      <c r="G668" s="2">
        <v>2</v>
      </c>
      <c r="H668" s="2">
        <v>50</v>
      </c>
      <c r="I668" s="2">
        <f>Table13[[#This Row],[Quantity]]*Table13[[#This Row],[Price per Unit]]</f>
        <v>100</v>
      </c>
      <c r="J668" s="2">
        <v>100</v>
      </c>
    </row>
    <row r="669" spans="1:10" x14ac:dyDescent="0.35">
      <c r="A669" s="2">
        <v>99</v>
      </c>
      <c r="B669" s="3">
        <v>45277</v>
      </c>
      <c r="C669" s="2" t="s">
        <v>112</v>
      </c>
      <c r="D669" s="2" t="s">
        <v>13</v>
      </c>
      <c r="E669" s="2">
        <v>50</v>
      </c>
      <c r="F669" s="2" t="s">
        <v>16</v>
      </c>
      <c r="G669" s="2">
        <v>4</v>
      </c>
      <c r="H669" s="2">
        <v>300</v>
      </c>
      <c r="I669" s="2">
        <f>Table13[[#This Row],[Quantity]]*Table13[[#This Row],[Price per Unit]]</f>
        <v>1200</v>
      </c>
      <c r="J669" s="2">
        <v>1200</v>
      </c>
    </row>
    <row r="670" spans="1:10" x14ac:dyDescent="0.35">
      <c r="A670" s="2">
        <v>237</v>
      </c>
      <c r="B670" s="3">
        <v>44961</v>
      </c>
      <c r="C670" s="2" t="s">
        <v>250</v>
      </c>
      <c r="D670" s="2" t="s">
        <v>13</v>
      </c>
      <c r="E670" s="2">
        <v>50</v>
      </c>
      <c r="F670" s="2" t="s">
        <v>11</v>
      </c>
      <c r="G670" s="2">
        <v>2</v>
      </c>
      <c r="H670" s="2">
        <v>500</v>
      </c>
      <c r="I670" s="2">
        <f>Table13[[#This Row],[Quantity]]*Table13[[#This Row],[Price per Unit]]</f>
        <v>1000</v>
      </c>
      <c r="J670" s="2">
        <v>1000</v>
      </c>
    </row>
    <row r="671" spans="1:10" x14ac:dyDescent="0.35">
      <c r="A671" s="2">
        <v>279</v>
      </c>
      <c r="B671" s="3">
        <v>45143</v>
      </c>
      <c r="C671" s="2" t="s">
        <v>292</v>
      </c>
      <c r="D671" s="2" t="s">
        <v>10</v>
      </c>
      <c r="E671" s="2">
        <v>50</v>
      </c>
      <c r="F671" s="2" t="s">
        <v>14</v>
      </c>
      <c r="G671" s="2">
        <v>1</v>
      </c>
      <c r="H671" s="2">
        <v>500</v>
      </c>
      <c r="I671" s="2">
        <f>Table13[[#This Row],[Quantity]]*Table13[[#This Row],[Price per Unit]]</f>
        <v>500</v>
      </c>
      <c r="J671" s="2">
        <v>500</v>
      </c>
    </row>
    <row r="672" spans="1:10" x14ac:dyDescent="0.35">
      <c r="A672" s="2">
        <v>293</v>
      </c>
      <c r="B672" s="3">
        <v>45048</v>
      </c>
      <c r="C672" s="2" t="s">
        <v>306</v>
      </c>
      <c r="D672" s="2" t="s">
        <v>10</v>
      </c>
      <c r="E672" s="2">
        <v>50</v>
      </c>
      <c r="F672" s="2" t="s">
        <v>16</v>
      </c>
      <c r="G672" s="2">
        <v>3</v>
      </c>
      <c r="H672" s="2">
        <v>30</v>
      </c>
      <c r="I672" s="2">
        <f>Table13[[#This Row],[Quantity]]*Table13[[#This Row],[Price per Unit]]</f>
        <v>90</v>
      </c>
      <c r="J672" s="2">
        <v>90</v>
      </c>
    </row>
    <row r="673" spans="1:10" x14ac:dyDescent="0.35">
      <c r="A673" s="2">
        <v>356</v>
      </c>
      <c r="B673" s="3">
        <v>45087</v>
      </c>
      <c r="C673" s="2" t="s">
        <v>369</v>
      </c>
      <c r="D673" s="2" t="s">
        <v>10</v>
      </c>
      <c r="E673" s="2">
        <v>50</v>
      </c>
      <c r="F673" s="2" t="s">
        <v>16</v>
      </c>
      <c r="G673" s="2">
        <v>3</v>
      </c>
      <c r="H673" s="2">
        <v>500</v>
      </c>
      <c r="I673" s="2">
        <f>Table13[[#This Row],[Quantity]]*Table13[[#This Row],[Price per Unit]]</f>
        <v>1500</v>
      </c>
      <c r="J673" s="2">
        <v>1500</v>
      </c>
    </row>
    <row r="674" spans="1:10" x14ac:dyDescent="0.35">
      <c r="A674" s="2">
        <v>359</v>
      </c>
      <c r="B674" s="3">
        <v>45129</v>
      </c>
      <c r="C674" s="2" t="s">
        <v>372</v>
      </c>
      <c r="D674" s="2" t="s">
        <v>10</v>
      </c>
      <c r="E674" s="2">
        <v>50</v>
      </c>
      <c r="F674" s="2" t="s">
        <v>14</v>
      </c>
      <c r="G674" s="2">
        <v>1</v>
      </c>
      <c r="H674" s="2">
        <v>50</v>
      </c>
      <c r="I674" s="2">
        <f>Table13[[#This Row],[Quantity]]*Table13[[#This Row],[Price per Unit]]</f>
        <v>50</v>
      </c>
      <c r="J674" s="2">
        <v>50</v>
      </c>
    </row>
    <row r="675" spans="1:10" x14ac:dyDescent="0.35">
      <c r="A675" s="2">
        <v>362</v>
      </c>
      <c r="B675" s="3">
        <v>45257</v>
      </c>
      <c r="C675" s="2" t="s">
        <v>375</v>
      </c>
      <c r="D675" s="2" t="s">
        <v>10</v>
      </c>
      <c r="E675" s="2">
        <v>50</v>
      </c>
      <c r="F675" s="2" t="s">
        <v>14</v>
      </c>
      <c r="G675" s="2">
        <v>1</v>
      </c>
      <c r="H675" s="2">
        <v>25</v>
      </c>
      <c r="I675" s="2">
        <f>Table13[[#This Row],[Quantity]]*Table13[[#This Row],[Price per Unit]]</f>
        <v>25</v>
      </c>
      <c r="J675" s="2">
        <v>25</v>
      </c>
    </row>
    <row r="676" spans="1:10" x14ac:dyDescent="0.35">
      <c r="A676" s="2">
        <v>378</v>
      </c>
      <c r="B676" s="3">
        <v>45105</v>
      </c>
      <c r="C676" s="2" t="s">
        <v>391</v>
      </c>
      <c r="D676" s="2" t="s">
        <v>10</v>
      </c>
      <c r="E676" s="2">
        <v>50</v>
      </c>
      <c r="F676" s="2" t="s">
        <v>11</v>
      </c>
      <c r="G676" s="2">
        <v>1</v>
      </c>
      <c r="H676" s="2">
        <v>300</v>
      </c>
      <c r="I676" s="2">
        <f>Table13[[#This Row],[Quantity]]*Table13[[#This Row],[Price per Unit]]</f>
        <v>300</v>
      </c>
      <c r="J676" s="2">
        <v>300</v>
      </c>
    </row>
    <row r="677" spans="1:10" x14ac:dyDescent="0.35">
      <c r="A677" s="2">
        <v>385</v>
      </c>
      <c r="B677" s="3">
        <v>45205</v>
      </c>
      <c r="C677" s="2" t="s">
        <v>398</v>
      </c>
      <c r="D677" s="2" t="s">
        <v>10</v>
      </c>
      <c r="E677" s="2">
        <v>50</v>
      </c>
      <c r="F677" s="2" t="s">
        <v>16</v>
      </c>
      <c r="G677" s="2">
        <v>3</v>
      </c>
      <c r="H677" s="2">
        <v>500</v>
      </c>
      <c r="I677" s="2">
        <f>Table13[[#This Row],[Quantity]]*Table13[[#This Row],[Price per Unit]]</f>
        <v>1500</v>
      </c>
      <c r="J677" s="2">
        <v>1500</v>
      </c>
    </row>
    <row r="678" spans="1:10" x14ac:dyDescent="0.35">
      <c r="A678" s="2">
        <v>388</v>
      </c>
      <c r="B678" s="3">
        <v>45240</v>
      </c>
      <c r="C678" s="2" t="s">
        <v>401</v>
      </c>
      <c r="D678" s="2" t="s">
        <v>10</v>
      </c>
      <c r="E678" s="2">
        <v>50</v>
      </c>
      <c r="F678" s="2" t="s">
        <v>16</v>
      </c>
      <c r="G678" s="2">
        <v>1</v>
      </c>
      <c r="H678" s="2">
        <v>25</v>
      </c>
      <c r="I678" s="2">
        <f>Table13[[#This Row],[Quantity]]*Table13[[#This Row],[Price per Unit]]</f>
        <v>25</v>
      </c>
      <c r="J678" s="2">
        <v>25</v>
      </c>
    </row>
    <row r="679" spans="1:10" x14ac:dyDescent="0.35">
      <c r="A679" s="2">
        <v>395</v>
      </c>
      <c r="B679" s="3">
        <v>45266</v>
      </c>
      <c r="C679" s="2" t="s">
        <v>408</v>
      </c>
      <c r="D679" s="2" t="s">
        <v>10</v>
      </c>
      <c r="E679" s="2">
        <v>50</v>
      </c>
      <c r="F679" s="2" t="s">
        <v>16</v>
      </c>
      <c r="G679" s="2">
        <v>2</v>
      </c>
      <c r="H679" s="2">
        <v>500</v>
      </c>
      <c r="I679" s="2">
        <f>Table13[[#This Row],[Quantity]]*Table13[[#This Row],[Price per Unit]]</f>
        <v>1000</v>
      </c>
      <c r="J679" s="2">
        <v>1000</v>
      </c>
    </row>
    <row r="680" spans="1:10" x14ac:dyDescent="0.35">
      <c r="A680" s="2">
        <v>439</v>
      </c>
      <c r="B680" s="3">
        <v>45116</v>
      </c>
      <c r="C680" s="2" t="s">
        <v>452</v>
      </c>
      <c r="D680" s="2" t="s">
        <v>10</v>
      </c>
      <c r="E680" s="2">
        <v>50</v>
      </c>
      <c r="F680" s="2" t="s">
        <v>14</v>
      </c>
      <c r="G680" s="2">
        <v>3</v>
      </c>
      <c r="H680" s="2">
        <v>25</v>
      </c>
      <c r="I680" s="2">
        <f>Table13[[#This Row],[Quantity]]*Table13[[#This Row],[Price per Unit]]</f>
        <v>75</v>
      </c>
      <c r="J680" s="2">
        <v>75</v>
      </c>
    </row>
    <row r="681" spans="1:10" x14ac:dyDescent="0.35">
      <c r="A681" s="2">
        <v>498</v>
      </c>
      <c r="B681" s="3">
        <v>45096</v>
      </c>
      <c r="C681" s="2" t="s">
        <v>511</v>
      </c>
      <c r="D681" s="2" t="s">
        <v>13</v>
      </c>
      <c r="E681" s="2">
        <v>50</v>
      </c>
      <c r="F681" s="2" t="s">
        <v>14</v>
      </c>
      <c r="G681" s="2">
        <v>4</v>
      </c>
      <c r="H681" s="2">
        <v>25</v>
      </c>
      <c r="I681" s="2">
        <f>Table13[[#This Row],[Quantity]]*Table13[[#This Row],[Price per Unit]]</f>
        <v>100</v>
      </c>
      <c r="J681" s="2">
        <v>100</v>
      </c>
    </row>
    <row r="682" spans="1:10" x14ac:dyDescent="0.35">
      <c r="A682" s="2">
        <v>549</v>
      </c>
      <c r="B682" s="3">
        <v>45142</v>
      </c>
      <c r="C682" s="2" t="s">
        <v>562</v>
      </c>
      <c r="D682" s="2" t="s">
        <v>13</v>
      </c>
      <c r="E682" s="2">
        <v>50</v>
      </c>
      <c r="F682" s="2" t="s">
        <v>11</v>
      </c>
      <c r="G682" s="2">
        <v>2</v>
      </c>
      <c r="H682" s="2">
        <v>50</v>
      </c>
      <c r="I682" s="2">
        <f>Table13[[#This Row],[Quantity]]*Table13[[#This Row],[Price per Unit]]</f>
        <v>100</v>
      </c>
      <c r="J682" s="2">
        <v>100</v>
      </c>
    </row>
    <row r="683" spans="1:10" x14ac:dyDescent="0.35">
      <c r="A683" s="2">
        <v>564</v>
      </c>
      <c r="B683" s="3">
        <v>45223</v>
      </c>
      <c r="C683" s="2" t="s">
        <v>577</v>
      </c>
      <c r="D683" s="2" t="s">
        <v>10</v>
      </c>
      <c r="E683" s="2">
        <v>50</v>
      </c>
      <c r="F683" s="2" t="s">
        <v>16</v>
      </c>
      <c r="G683" s="2">
        <v>2</v>
      </c>
      <c r="H683" s="2">
        <v>50</v>
      </c>
      <c r="I683" s="2">
        <f>Table13[[#This Row],[Quantity]]*Table13[[#This Row],[Price per Unit]]</f>
        <v>100</v>
      </c>
      <c r="J683" s="2">
        <v>100</v>
      </c>
    </row>
    <row r="684" spans="1:10" x14ac:dyDescent="0.35">
      <c r="A684" s="2">
        <v>586</v>
      </c>
      <c r="B684" s="3">
        <v>45271</v>
      </c>
      <c r="C684" s="2" t="s">
        <v>599</v>
      </c>
      <c r="D684" s="2" t="s">
        <v>10</v>
      </c>
      <c r="E684" s="2">
        <v>50</v>
      </c>
      <c r="F684" s="2" t="s">
        <v>16</v>
      </c>
      <c r="G684" s="2">
        <v>1</v>
      </c>
      <c r="H684" s="2">
        <v>50</v>
      </c>
      <c r="I684" s="2">
        <f>Table13[[#This Row],[Quantity]]*Table13[[#This Row],[Price per Unit]]</f>
        <v>50</v>
      </c>
      <c r="J684" s="2">
        <v>50</v>
      </c>
    </row>
    <row r="685" spans="1:10" x14ac:dyDescent="0.35">
      <c r="A685" s="2">
        <v>696</v>
      </c>
      <c r="B685" s="3">
        <v>45175</v>
      </c>
      <c r="C685" s="2" t="s">
        <v>709</v>
      </c>
      <c r="D685" s="2" t="s">
        <v>13</v>
      </c>
      <c r="E685" s="2">
        <v>50</v>
      </c>
      <c r="F685" s="2" t="s">
        <v>14</v>
      </c>
      <c r="G685" s="2">
        <v>4</v>
      </c>
      <c r="H685" s="2">
        <v>50</v>
      </c>
      <c r="I685" s="2">
        <f>Table13[[#This Row],[Quantity]]*Table13[[#This Row],[Price per Unit]]</f>
        <v>200</v>
      </c>
      <c r="J685" s="2">
        <v>200</v>
      </c>
    </row>
    <row r="686" spans="1:10" x14ac:dyDescent="0.35">
      <c r="A686" s="2">
        <v>807</v>
      </c>
      <c r="B686" s="3">
        <v>45149</v>
      </c>
      <c r="C686" s="2" t="s">
        <v>820</v>
      </c>
      <c r="D686" s="2" t="s">
        <v>13</v>
      </c>
      <c r="E686" s="2">
        <v>50</v>
      </c>
      <c r="F686" s="2" t="s">
        <v>16</v>
      </c>
      <c r="G686" s="2">
        <v>4</v>
      </c>
      <c r="H686" s="2">
        <v>50</v>
      </c>
      <c r="I686" s="2">
        <f>Table13[[#This Row],[Quantity]]*Table13[[#This Row],[Price per Unit]]</f>
        <v>200</v>
      </c>
      <c r="J686" s="2">
        <v>200</v>
      </c>
    </row>
    <row r="687" spans="1:10" x14ac:dyDescent="0.35">
      <c r="A687" s="2">
        <v>947</v>
      </c>
      <c r="B687" s="3">
        <v>44987</v>
      </c>
      <c r="C687" s="2" t="s">
        <v>960</v>
      </c>
      <c r="D687" s="2" t="s">
        <v>10</v>
      </c>
      <c r="E687" s="2">
        <v>50</v>
      </c>
      <c r="F687" s="2" t="s">
        <v>11</v>
      </c>
      <c r="G687" s="2">
        <v>1</v>
      </c>
      <c r="H687" s="2">
        <v>300</v>
      </c>
      <c r="I687" s="2">
        <f>Table13[[#This Row],[Quantity]]*Table13[[#This Row],[Price per Unit]]</f>
        <v>300</v>
      </c>
      <c r="J687" s="2">
        <v>300</v>
      </c>
    </row>
    <row r="688" spans="1:10" x14ac:dyDescent="0.35">
      <c r="A688" s="2">
        <v>954</v>
      </c>
      <c r="B688" s="3">
        <v>45194</v>
      </c>
      <c r="C688" s="2" t="s">
        <v>967</v>
      </c>
      <c r="D688" s="2" t="s">
        <v>13</v>
      </c>
      <c r="E688" s="2">
        <v>50</v>
      </c>
      <c r="F688" s="2" t="s">
        <v>16</v>
      </c>
      <c r="G688" s="2">
        <v>3</v>
      </c>
      <c r="H688" s="2">
        <v>300</v>
      </c>
      <c r="I688" s="2">
        <f>Table13[[#This Row],[Quantity]]*Table13[[#This Row],[Price per Unit]]</f>
        <v>900</v>
      </c>
      <c r="J688" s="2">
        <v>900</v>
      </c>
    </row>
    <row r="689" spans="1:10" x14ac:dyDescent="0.35">
      <c r="A689" s="2">
        <v>34</v>
      </c>
      <c r="B689" s="3">
        <v>45284</v>
      </c>
      <c r="C689" s="2" t="s">
        <v>47</v>
      </c>
      <c r="D689" s="2" t="s">
        <v>13</v>
      </c>
      <c r="E689" s="2">
        <v>51</v>
      </c>
      <c r="F689" s="2" t="s">
        <v>14</v>
      </c>
      <c r="G689" s="2">
        <v>3</v>
      </c>
      <c r="H689" s="2">
        <v>50</v>
      </c>
      <c r="I689" s="2">
        <f>Table13[[#This Row],[Quantity]]*Table13[[#This Row],[Price per Unit]]</f>
        <v>150</v>
      </c>
      <c r="J689" s="2">
        <v>150</v>
      </c>
    </row>
    <row r="690" spans="1:10" x14ac:dyDescent="0.35">
      <c r="A690" s="2">
        <v>65</v>
      </c>
      <c r="B690" s="3">
        <v>45265</v>
      </c>
      <c r="C690" s="2" t="s">
        <v>78</v>
      </c>
      <c r="D690" s="2" t="s">
        <v>10</v>
      </c>
      <c r="E690" s="2">
        <v>51</v>
      </c>
      <c r="F690" s="2" t="s">
        <v>16</v>
      </c>
      <c r="G690" s="2">
        <v>4</v>
      </c>
      <c r="H690" s="2">
        <v>500</v>
      </c>
      <c r="I690" s="2">
        <f>Table13[[#This Row],[Quantity]]*Table13[[#This Row],[Price per Unit]]</f>
        <v>2000</v>
      </c>
      <c r="J690" s="2">
        <v>2000</v>
      </c>
    </row>
    <row r="691" spans="1:10" x14ac:dyDescent="0.35">
      <c r="A691" s="2">
        <v>71</v>
      </c>
      <c r="B691" s="3">
        <v>45121</v>
      </c>
      <c r="C691" s="2" t="s">
        <v>84</v>
      </c>
      <c r="D691" s="2" t="s">
        <v>13</v>
      </c>
      <c r="E691" s="2">
        <v>51</v>
      </c>
      <c r="F691" s="2" t="s">
        <v>11</v>
      </c>
      <c r="G691" s="2">
        <v>4</v>
      </c>
      <c r="H691" s="2">
        <v>25</v>
      </c>
      <c r="I691" s="2">
        <f>Table13[[#This Row],[Quantity]]*Table13[[#This Row],[Price per Unit]]</f>
        <v>100</v>
      </c>
      <c r="J691" s="2">
        <v>100</v>
      </c>
    </row>
    <row r="692" spans="1:10" x14ac:dyDescent="0.35">
      <c r="A692" s="2">
        <v>90</v>
      </c>
      <c r="B692" s="3">
        <v>45052</v>
      </c>
      <c r="C692" s="2" t="s">
        <v>103</v>
      </c>
      <c r="D692" s="2" t="s">
        <v>13</v>
      </c>
      <c r="E692" s="2">
        <v>51</v>
      </c>
      <c r="F692" s="2" t="s">
        <v>16</v>
      </c>
      <c r="G692" s="2">
        <v>1</v>
      </c>
      <c r="H692" s="2">
        <v>30</v>
      </c>
      <c r="I692" s="2">
        <f>Table13[[#This Row],[Quantity]]*Table13[[#This Row],[Price per Unit]]</f>
        <v>30</v>
      </c>
      <c r="J692" s="2">
        <v>30</v>
      </c>
    </row>
    <row r="693" spans="1:10" x14ac:dyDescent="0.35">
      <c r="A693" s="2">
        <v>92</v>
      </c>
      <c r="B693" s="3">
        <v>45163</v>
      </c>
      <c r="C693" s="2" t="s">
        <v>105</v>
      </c>
      <c r="D693" s="2" t="s">
        <v>13</v>
      </c>
      <c r="E693" s="2">
        <v>51</v>
      </c>
      <c r="F693" s="2" t="s">
        <v>16</v>
      </c>
      <c r="G693" s="2">
        <v>4</v>
      </c>
      <c r="H693" s="2">
        <v>30</v>
      </c>
      <c r="I693" s="2">
        <f>Table13[[#This Row],[Quantity]]*Table13[[#This Row],[Price per Unit]]</f>
        <v>120</v>
      </c>
      <c r="J693" s="2">
        <v>120</v>
      </c>
    </row>
    <row r="694" spans="1:10" x14ac:dyDescent="0.35">
      <c r="A694" s="2">
        <v>97</v>
      </c>
      <c r="B694" s="3">
        <v>45212</v>
      </c>
      <c r="C694" s="2" t="s">
        <v>110</v>
      </c>
      <c r="D694" s="2" t="s">
        <v>13</v>
      </c>
      <c r="E694" s="2">
        <v>51</v>
      </c>
      <c r="F694" s="2" t="s">
        <v>11</v>
      </c>
      <c r="G694" s="2">
        <v>2</v>
      </c>
      <c r="H694" s="2">
        <v>500</v>
      </c>
      <c r="I694" s="2">
        <f>Table13[[#This Row],[Quantity]]*Table13[[#This Row],[Price per Unit]]</f>
        <v>1000</v>
      </c>
      <c r="J694" s="2">
        <v>1000</v>
      </c>
    </row>
    <row r="695" spans="1:10" x14ac:dyDescent="0.35">
      <c r="A695" s="2">
        <v>115</v>
      </c>
      <c r="B695" s="3">
        <v>45256</v>
      </c>
      <c r="C695" s="2" t="s">
        <v>128</v>
      </c>
      <c r="D695" s="2" t="s">
        <v>10</v>
      </c>
      <c r="E695" s="2">
        <v>51</v>
      </c>
      <c r="F695" s="2" t="s">
        <v>14</v>
      </c>
      <c r="G695" s="2">
        <v>3</v>
      </c>
      <c r="H695" s="2">
        <v>500</v>
      </c>
      <c r="I695" s="2">
        <f>Table13[[#This Row],[Quantity]]*Table13[[#This Row],[Price per Unit]]</f>
        <v>1500</v>
      </c>
      <c r="J695" s="2">
        <v>1500</v>
      </c>
    </row>
    <row r="696" spans="1:10" x14ac:dyDescent="0.35">
      <c r="A696" s="2">
        <v>154</v>
      </c>
      <c r="B696" s="3">
        <v>45201</v>
      </c>
      <c r="C696" s="2" t="s">
        <v>167</v>
      </c>
      <c r="D696" s="2" t="s">
        <v>10</v>
      </c>
      <c r="E696" s="2">
        <v>51</v>
      </c>
      <c r="F696" s="2" t="s">
        <v>16</v>
      </c>
      <c r="G696" s="2">
        <v>3</v>
      </c>
      <c r="H696" s="2">
        <v>300</v>
      </c>
      <c r="I696" s="2">
        <f>Table13[[#This Row],[Quantity]]*Table13[[#This Row],[Price per Unit]]</f>
        <v>900</v>
      </c>
      <c r="J696" s="2">
        <v>900</v>
      </c>
    </row>
    <row r="697" spans="1:10" x14ac:dyDescent="0.35">
      <c r="A697" s="2">
        <v>222</v>
      </c>
      <c r="B697" s="3">
        <v>45042</v>
      </c>
      <c r="C697" s="2" t="s">
        <v>235</v>
      </c>
      <c r="D697" s="2" t="s">
        <v>10</v>
      </c>
      <c r="E697" s="2">
        <v>51</v>
      </c>
      <c r="F697" s="2" t="s">
        <v>14</v>
      </c>
      <c r="G697" s="2">
        <v>4</v>
      </c>
      <c r="H697" s="2">
        <v>30</v>
      </c>
      <c r="I697" s="2">
        <f>Table13[[#This Row],[Quantity]]*Table13[[#This Row],[Price per Unit]]</f>
        <v>120</v>
      </c>
      <c r="J697" s="2">
        <v>120</v>
      </c>
    </row>
    <row r="698" spans="1:10" x14ac:dyDescent="0.35">
      <c r="A698" s="2">
        <v>233</v>
      </c>
      <c r="B698" s="3">
        <v>45289</v>
      </c>
      <c r="C698" s="2" t="s">
        <v>246</v>
      </c>
      <c r="D698" s="2" t="s">
        <v>13</v>
      </c>
      <c r="E698" s="2">
        <v>51</v>
      </c>
      <c r="F698" s="2" t="s">
        <v>11</v>
      </c>
      <c r="G698" s="2">
        <v>2</v>
      </c>
      <c r="H698" s="2">
        <v>300</v>
      </c>
      <c r="I698" s="2">
        <f>Table13[[#This Row],[Quantity]]*Table13[[#This Row],[Price per Unit]]</f>
        <v>600</v>
      </c>
      <c r="J698" s="2">
        <v>600</v>
      </c>
    </row>
    <row r="699" spans="1:10" x14ac:dyDescent="0.35">
      <c r="A699" s="2">
        <v>322</v>
      </c>
      <c r="B699" s="3">
        <v>44956</v>
      </c>
      <c r="C699" s="2" t="s">
        <v>335</v>
      </c>
      <c r="D699" s="2" t="s">
        <v>10</v>
      </c>
      <c r="E699" s="2">
        <v>51</v>
      </c>
      <c r="F699" s="2" t="s">
        <v>16</v>
      </c>
      <c r="G699" s="2">
        <v>1</v>
      </c>
      <c r="H699" s="2">
        <v>500</v>
      </c>
      <c r="I699" s="2">
        <f>Table13[[#This Row],[Quantity]]*Table13[[#This Row],[Price per Unit]]</f>
        <v>500</v>
      </c>
      <c r="J699" s="2">
        <v>500</v>
      </c>
    </row>
    <row r="700" spans="1:10" x14ac:dyDescent="0.35">
      <c r="A700" s="2">
        <v>488</v>
      </c>
      <c r="B700" s="3">
        <v>45095</v>
      </c>
      <c r="C700" s="2" t="s">
        <v>501</v>
      </c>
      <c r="D700" s="2" t="s">
        <v>13</v>
      </c>
      <c r="E700" s="2">
        <v>51</v>
      </c>
      <c r="F700" s="2" t="s">
        <v>16</v>
      </c>
      <c r="G700" s="2">
        <v>3</v>
      </c>
      <c r="H700" s="2">
        <v>300</v>
      </c>
      <c r="I700" s="2">
        <f>Table13[[#This Row],[Quantity]]*Table13[[#This Row],[Price per Unit]]</f>
        <v>900</v>
      </c>
      <c r="J700" s="2">
        <v>900</v>
      </c>
    </row>
    <row r="701" spans="1:10" x14ac:dyDescent="0.35">
      <c r="A701" s="2">
        <v>548</v>
      </c>
      <c r="B701" s="3">
        <v>45025</v>
      </c>
      <c r="C701" s="2" t="s">
        <v>561</v>
      </c>
      <c r="D701" s="2" t="s">
        <v>13</v>
      </c>
      <c r="E701" s="2">
        <v>51</v>
      </c>
      <c r="F701" s="2" t="s">
        <v>14</v>
      </c>
      <c r="G701" s="2">
        <v>2</v>
      </c>
      <c r="H701" s="2">
        <v>30</v>
      </c>
      <c r="I701" s="2">
        <f>Table13[[#This Row],[Quantity]]*Table13[[#This Row],[Price per Unit]]</f>
        <v>60</v>
      </c>
      <c r="J701" s="2">
        <v>60</v>
      </c>
    </row>
    <row r="702" spans="1:10" x14ac:dyDescent="0.35">
      <c r="A702" s="2">
        <v>568</v>
      </c>
      <c r="B702" s="3">
        <v>45165</v>
      </c>
      <c r="C702" s="2" t="s">
        <v>581</v>
      </c>
      <c r="D702" s="2" t="s">
        <v>13</v>
      </c>
      <c r="E702" s="2">
        <v>51</v>
      </c>
      <c r="F702" s="2" t="s">
        <v>16</v>
      </c>
      <c r="G702" s="2">
        <v>1</v>
      </c>
      <c r="H702" s="2">
        <v>300</v>
      </c>
      <c r="I702" s="2">
        <f>Table13[[#This Row],[Quantity]]*Table13[[#This Row],[Price per Unit]]</f>
        <v>300</v>
      </c>
      <c r="J702" s="2">
        <v>300</v>
      </c>
    </row>
    <row r="703" spans="1:10" x14ac:dyDescent="0.35">
      <c r="A703" s="2">
        <v>611</v>
      </c>
      <c r="B703" s="3">
        <v>44981</v>
      </c>
      <c r="C703" s="2" t="s">
        <v>624</v>
      </c>
      <c r="D703" s="2" t="s">
        <v>10</v>
      </c>
      <c r="E703" s="2">
        <v>51</v>
      </c>
      <c r="F703" s="2" t="s">
        <v>11</v>
      </c>
      <c r="G703" s="2">
        <v>3</v>
      </c>
      <c r="H703" s="2">
        <v>500</v>
      </c>
      <c r="I703" s="2">
        <f>Table13[[#This Row],[Quantity]]*Table13[[#This Row],[Price per Unit]]</f>
        <v>1500</v>
      </c>
      <c r="J703" s="2">
        <v>1500</v>
      </c>
    </row>
    <row r="704" spans="1:10" x14ac:dyDescent="0.35">
      <c r="A704" s="2">
        <v>640</v>
      </c>
      <c r="B704" s="3">
        <v>45053</v>
      </c>
      <c r="C704" s="2" t="s">
        <v>653</v>
      </c>
      <c r="D704" s="2" t="s">
        <v>13</v>
      </c>
      <c r="E704" s="2">
        <v>51</v>
      </c>
      <c r="F704" s="2" t="s">
        <v>16</v>
      </c>
      <c r="G704" s="2">
        <v>4</v>
      </c>
      <c r="H704" s="2">
        <v>30</v>
      </c>
      <c r="I704" s="2">
        <f>Table13[[#This Row],[Quantity]]*Table13[[#This Row],[Price per Unit]]</f>
        <v>120</v>
      </c>
      <c r="J704" s="2">
        <v>120</v>
      </c>
    </row>
    <row r="705" spans="1:10" x14ac:dyDescent="0.35">
      <c r="A705" s="2">
        <v>651</v>
      </c>
      <c r="B705" s="3">
        <v>45073</v>
      </c>
      <c r="C705" s="2" t="s">
        <v>664</v>
      </c>
      <c r="D705" s="2" t="s">
        <v>10</v>
      </c>
      <c r="E705" s="2">
        <v>51</v>
      </c>
      <c r="F705" s="2" t="s">
        <v>14</v>
      </c>
      <c r="G705" s="2">
        <v>3</v>
      </c>
      <c r="H705" s="2">
        <v>50</v>
      </c>
      <c r="I705" s="2">
        <f>Table13[[#This Row],[Quantity]]*Table13[[#This Row],[Price per Unit]]</f>
        <v>150</v>
      </c>
      <c r="J705" s="2">
        <v>150</v>
      </c>
    </row>
    <row r="706" spans="1:10" x14ac:dyDescent="0.35">
      <c r="A706" s="2">
        <v>666</v>
      </c>
      <c r="B706" s="3">
        <v>44959</v>
      </c>
      <c r="C706" s="2" t="s">
        <v>679</v>
      </c>
      <c r="D706" s="2" t="s">
        <v>10</v>
      </c>
      <c r="E706" s="2">
        <v>51</v>
      </c>
      <c r="F706" s="2" t="s">
        <v>16</v>
      </c>
      <c r="G706" s="2">
        <v>3</v>
      </c>
      <c r="H706" s="2">
        <v>50</v>
      </c>
      <c r="I706" s="2">
        <f>Table13[[#This Row],[Quantity]]*Table13[[#This Row],[Price per Unit]]</f>
        <v>150</v>
      </c>
      <c r="J706" s="2">
        <v>150</v>
      </c>
    </row>
    <row r="707" spans="1:10" x14ac:dyDescent="0.35">
      <c r="A707" s="2">
        <v>691</v>
      </c>
      <c r="B707" s="3">
        <v>45039</v>
      </c>
      <c r="C707" s="2" t="s">
        <v>704</v>
      </c>
      <c r="D707" s="2" t="s">
        <v>13</v>
      </c>
      <c r="E707" s="2">
        <v>51</v>
      </c>
      <c r="F707" s="2" t="s">
        <v>14</v>
      </c>
      <c r="G707" s="2">
        <v>3</v>
      </c>
      <c r="H707" s="2">
        <v>30</v>
      </c>
      <c r="I707" s="2">
        <f>Table13[[#This Row],[Quantity]]*Table13[[#This Row],[Price per Unit]]</f>
        <v>90</v>
      </c>
      <c r="J707" s="2">
        <v>90</v>
      </c>
    </row>
    <row r="708" spans="1:10" x14ac:dyDescent="0.35">
      <c r="A708" s="2">
        <v>706</v>
      </c>
      <c r="B708" s="3">
        <v>45245</v>
      </c>
      <c r="C708" s="2" t="s">
        <v>719</v>
      </c>
      <c r="D708" s="2" t="s">
        <v>10</v>
      </c>
      <c r="E708" s="2">
        <v>51</v>
      </c>
      <c r="F708" s="2" t="s">
        <v>16</v>
      </c>
      <c r="G708" s="2">
        <v>4</v>
      </c>
      <c r="H708" s="2">
        <v>25</v>
      </c>
      <c r="I708" s="2">
        <f>Table13[[#This Row],[Quantity]]*Table13[[#This Row],[Price per Unit]]</f>
        <v>100</v>
      </c>
      <c r="J708" s="2">
        <v>100</v>
      </c>
    </row>
    <row r="709" spans="1:10" x14ac:dyDescent="0.35">
      <c r="A709" s="2">
        <v>728</v>
      </c>
      <c r="B709" s="3">
        <v>45121</v>
      </c>
      <c r="C709" s="2" t="s">
        <v>741</v>
      </c>
      <c r="D709" s="2" t="s">
        <v>10</v>
      </c>
      <c r="E709" s="2">
        <v>51</v>
      </c>
      <c r="F709" s="2" t="s">
        <v>16</v>
      </c>
      <c r="G709" s="2">
        <v>3</v>
      </c>
      <c r="H709" s="2">
        <v>50</v>
      </c>
      <c r="I709" s="2">
        <f>Table13[[#This Row],[Quantity]]*Table13[[#This Row],[Price per Unit]]</f>
        <v>150</v>
      </c>
      <c r="J709" s="2">
        <v>150</v>
      </c>
    </row>
    <row r="710" spans="1:10" x14ac:dyDescent="0.35">
      <c r="A710" s="2">
        <v>791</v>
      </c>
      <c r="B710" s="3">
        <v>45265</v>
      </c>
      <c r="C710" s="2" t="s">
        <v>804</v>
      </c>
      <c r="D710" s="2" t="s">
        <v>13</v>
      </c>
      <c r="E710" s="2">
        <v>51</v>
      </c>
      <c r="F710" s="2" t="s">
        <v>11</v>
      </c>
      <c r="G710" s="2">
        <v>1</v>
      </c>
      <c r="H710" s="2">
        <v>25</v>
      </c>
      <c r="I710" s="2">
        <f>Table13[[#This Row],[Quantity]]*Table13[[#This Row],[Price per Unit]]</f>
        <v>25</v>
      </c>
      <c r="J710" s="2">
        <v>25</v>
      </c>
    </row>
    <row r="711" spans="1:10" x14ac:dyDescent="0.35">
      <c r="A711" s="2">
        <v>815</v>
      </c>
      <c r="B711" s="3">
        <v>45165</v>
      </c>
      <c r="C711" s="2" t="s">
        <v>828</v>
      </c>
      <c r="D711" s="2" t="s">
        <v>13</v>
      </c>
      <c r="E711" s="2">
        <v>51</v>
      </c>
      <c r="F711" s="2" t="s">
        <v>14</v>
      </c>
      <c r="G711" s="2">
        <v>3</v>
      </c>
      <c r="H711" s="2">
        <v>25</v>
      </c>
      <c r="I711" s="2">
        <f>Table13[[#This Row],[Quantity]]*Table13[[#This Row],[Price per Unit]]</f>
        <v>75</v>
      </c>
      <c r="J711" s="2">
        <v>75</v>
      </c>
    </row>
    <row r="712" spans="1:10" x14ac:dyDescent="0.35">
      <c r="A712" s="2">
        <v>864</v>
      </c>
      <c r="B712" s="3">
        <v>45134</v>
      </c>
      <c r="C712" s="2" t="s">
        <v>877</v>
      </c>
      <c r="D712" s="2" t="s">
        <v>13</v>
      </c>
      <c r="E712" s="2">
        <v>51</v>
      </c>
      <c r="F712" s="2" t="s">
        <v>16</v>
      </c>
      <c r="G712" s="2">
        <v>1</v>
      </c>
      <c r="H712" s="2">
        <v>500</v>
      </c>
      <c r="I712" s="2">
        <f>Table13[[#This Row],[Quantity]]*Table13[[#This Row],[Price per Unit]]</f>
        <v>500</v>
      </c>
      <c r="J712" s="2">
        <v>500</v>
      </c>
    </row>
    <row r="713" spans="1:10" x14ac:dyDescent="0.35">
      <c r="A713" s="2">
        <v>875</v>
      </c>
      <c r="B713" s="3">
        <v>45144</v>
      </c>
      <c r="C713" s="2" t="s">
        <v>888</v>
      </c>
      <c r="D713" s="2" t="s">
        <v>13</v>
      </c>
      <c r="E713" s="2">
        <v>51</v>
      </c>
      <c r="F713" s="2" t="s">
        <v>16</v>
      </c>
      <c r="G713" s="2">
        <v>4</v>
      </c>
      <c r="H713" s="2">
        <v>500</v>
      </c>
      <c r="I713" s="2">
        <f>Table13[[#This Row],[Quantity]]*Table13[[#This Row],[Price per Unit]]</f>
        <v>2000</v>
      </c>
      <c r="J713" s="2">
        <v>2000</v>
      </c>
    </row>
    <row r="714" spans="1:10" x14ac:dyDescent="0.35">
      <c r="A714" s="2">
        <v>903</v>
      </c>
      <c r="B714" s="3">
        <v>45043</v>
      </c>
      <c r="C714" s="2" t="s">
        <v>916</v>
      </c>
      <c r="D714" s="2" t="s">
        <v>13</v>
      </c>
      <c r="E714" s="2">
        <v>51</v>
      </c>
      <c r="F714" s="2" t="s">
        <v>11</v>
      </c>
      <c r="G714" s="2">
        <v>4</v>
      </c>
      <c r="H714" s="2">
        <v>50</v>
      </c>
      <c r="I714" s="2">
        <f>Table13[[#This Row],[Quantity]]*Table13[[#This Row],[Price per Unit]]</f>
        <v>200</v>
      </c>
      <c r="J714" s="2">
        <v>200</v>
      </c>
    </row>
    <row r="715" spans="1:10" x14ac:dyDescent="0.35">
      <c r="A715" s="2">
        <v>912</v>
      </c>
      <c r="B715" s="3">
        <v>44950</v>
      </c>
      <c r="C715" s="2" t="s">
        <v>925</v>
      </c>
      <c r="D715" s="2" t="s">
        <v>10</v>
      </c>
      <c r="E715" s="2">
        <v>51</v>
      </c>
      <c r="F715" s="2" t="s">
        <v>11</v>
      </c>
      <c r="G715" s="2">
        <v>3</v>
      </c>
      <c r="H715" s="2">
        <v>50</v>
      </c>
      <c r="I715" s="2">
        <f>Table13[[#This Row],[Quantity]]*Table13[[#This Row],[Price per Unit]]</f>
        <v>150</v>
      </c>
      <c r="J715" s="2">
        <v>150</v>
      </c>
    </row>
    <row r="716" spans="1:10" x14ac:dyDescent="0.35">
      <c r="A716" s="2">
        <v>921</v>
      </c>
      <c r="B716" s="3">
        <v>44933</v>
      </c>
      <c r="C716" s="2" t="s">
        <v>934</v>
      </c>
      <c r="D716" s="2" t="s">
        <v>10</v>
      </c>
      <c r="E716" s="2">
        <v>51</v>
      </c>
      <c r="F716" s="2" t="s">
        <v>16</v>
      </c>
      <c r="G716" s="2">
        <v>3</v>
      </c>
      <c r="H716" s="2">
        <v>25</v>
      </c>
      <c r="I716" s="2">
        <f>Table13[[#This Row],[Quantity]]*Table13[[#This Row],[Price per Unit]]</f>
        <v>75</v>
      </c>
      <c r="J716" s="2">
        <v>75</v>
      </c>
    </row>
    <row r="717" spans="1:10" x14ac:dyDescent="0.35">
      <c r="A717" s="2">
        <v>942</v>
      </c>
      <c r="B717" s="3">
        <v>45003</v>
      </c>
      <c r="C717" s="2" t="s">
        <v>955</v>
      </c>
      <c r="D717" s="2" t="s">
        <v>10</v>
      </c>
      <c r="E717" s="2">
        <v>51</v>
      </c>
      <c r="F717" s="2" t="s">
        <v>14</v>
      </c>
      <c r="G717" s="2">
        <v>3</v>
      </c>
      <c r="H717" s="2">
        <v>500</v>
      </c>
      <c r="I717" s="2">
        <f>Table13[[#This Row],[Quantity]]*Table13[[#This Row],[Price per Unit]]</f>
        <v>1500</v>
      </c>
      <c r="J717" s="2">
        <v>1500</v>
      </c>
    </row>
    <row r="718" spans="1:10" x14ac:dyDescent="0.35">
      <c r="A718" s="2">
        <v>994</v>
      </c>
      <c r="B718" s="3">
        <v>45278</v>
      </c>
      <c r="C718" s="2" t="s">
        <v>1007</v>
      </c>
      <c r="D718" s="2" t="s">
        <v>13</v>
      </c>
      <c r="E718" s="2">
        <v>51</v>
      </c>
      <c r="F718" s="2" t="s">
        <v>11</v>
      </c>
      <c r="G718" s="2">
        <v>2</v>
      </c>
      <c r="H718" s="2">
        <v>500</v>
      </c>
      <c r="I718" s="2">
        <f>Table13[[#This Row],[Quantity]]*Table13[[#This Row],[Price per Unit]]</f>
        <v>1000</v>
      </c>
      <c r="J718" s="2">
        <v>1000</v>
      </c>
    </row>
    <row r="719" spans="1:10" x14ac:dyDescent="0.35">
      <c r="A719" s="2">
        <v>10</v>
      </c>
      <c r="B719" s="3">
        <v>45206</v>
      </c>
      <c r="C719" s="2" t="s">
        <v>23</v>
      </c>
      <c r="D719" s="2" t="s">
        <v>13</v>
      </c>
      <c r="E719" s="2">
        <v>52</v>
      </c>
      <c r="F719" s="2" t="s">
        <v>14</v>
      </c>
      <c r="G719" s="2">
        <v>4</v>
      </c>
      <c r="H719" s="2">
        <v>50</v>
      </c>
      <c r="I719" s="2">
        <f>Table13[[#This Row],[Quantity]]*Table13[[#This Row],[Price per Unit]]</f>
        <v>200</v>
      </c>
      <c r="J719" s="2">
        <v>200</v>
      </c>
    </row>
    <row r="720" spans="1:10" x14ac:dyDescent="0.35">
      <c r="A720" s="2">
        <v>36</v>
      </c>
      <c r="B720" s="3">
        <v>45101</v>
      </c>
      <c r="C720" s="2" t="s">
        <v>49</v>
      </c>
      <c r="D720" s="2" t="s">
        <v>10</v>
      </c>
      <c r="E720" s="2">
        <v>52</v>
      </c>
      <c r="F720" s="2" t="s">
        <v>11</v>
      </c>
      <c r="G720" s="2">
        <v>3</v>
      </c>
      <c r="H720" s="2">
        <v>300</v>
      </c>
      <c r="I720" s="2">
        <f>Table13[[#This Row],[Quantity]]*Table13[[#This Row],[Price per Unit]]</f>
        <v>900</v>
      </c>
      <c r="J720" s="2">
        <v>900</v>
      </c>
    </row>
    <row r="721" spans="1:10" x14ac:dyDescent="0.35">
      <c r="A721" s="2">
        <v>171</v>
      </c>
      <c r="B721" s="3">
        <v>45254</v>
      </c>
      <c r="C721" s="2" t="s">
        <v>184</v>
      </c>
      <c r="D721" s="2" t="s">
        <v>13</v>
      </c>
      <c r="E721" s="2">
        <v>52</v>
      </c>
      <c r="F721" s="2" t="s">
        <v>14</v>
      </c>
      <c r="G721" s="2">
        <v>3</v>
      </c>
      <c r="H721" s="2">
        <v>300</v>
      </c>
      <c r="I721" s="2">
        <f>Table13[[#This Row],[Quantity]]*Table13[[#This Row],[Price per Unit]]</f>
        <v>900</v>
      </c>
      <c r="J721" s="2">
        <v>900</v>
      </c>
    </row>
    <row r="722" spans="1:10" x14ac:dyDescent="0.35">
      <c r="A722" s="2">
        <v>195</v>
      </c>
      <c r="B722" s="3">
        <v>44962</v>
      </c>
      <c r="C722" s="2" t="s">
        <v>208</v>
      </c>
      <c r="D722" s="2" t="s">
        <v>10</v>
      </c>
      <c r="E722" s="2">
        <v>52</v>
      </c>
      <c r="F722" s="2" t="s">
        <v>14</v>
      </c>
      <c r="G722" s="2">
        <v>1</v>
      </c>
      <c r="H722" s="2">
        <v>30</v>
      </c>
      <c r="I722" s="2">
        <f>Table13[[#This Row],[Quantity]]*Table13[[#This Row],[Price per Unit]]</f>
        <v>30</v>
      </c>
      <c r="J722" s="2">
        <v>30</v>
      </c>
    </row>
    <row r="723" spans="1:10" x14ac:dyDescent="0.35">
      <c r="A723" s="2">
        <v>314</v>
      </c>
      <c r="B723" s="3">
        <v>45024</v>
      </c>
      <c r="C723" s="2" t="s">
        <v>327</v>
      </c>
      <c r="D723" s="2" t="s">
        <v>10</v>
      </c>
      <c r="E723" s="2">
        <v>52</v>
      </c>
      <c r="F723" s="2" t="s">
        <v>14</v>
      </c>
      <c r="G723" s="2">
        <v>4</v>
      </c>
      <c r="H723" s="2">
        <v>30</v>
      </c>
      <c r="I723" s="2">
        <f>Table13[[#This Row],[Quantity]]*Table13[[#This Row],[Price per Unit]]</f>
        <v>120</v>
      </c>
      <c r="J723" s="2">
        <v>120</v>
      </c>
    </row>
    <row r="724" spans="1:10" x14ac:dyDescent="0.35">
      <c r="A724" s="2">
        <v>324</v>
      </c>
      <c r="B724" s="3">
        <v>45226</v>
      </c>
      <c r="C724" s="2" t="s">
        <v>337</v>
      </c>
      <c r="D724" s="2" t="s">
        <v>13</v>
      </c>
      <c r="E724" s="2">
        <v>52</v>
      </c>
      <c r="F724" s="2" t="s">
        <v>16</v>
      </c>
      <c r="G724" s="2">
        <v>3</v>
      </c>
      <c r="H724" s="2">
        <v>50</v>
      </c>
      <c r="I724" s="2">
        <f>Table13[[#This Row],[Quantity]]*Table13[[#This Row],[Price per Unit]]</f>
        <v>150</v>
      </c>
      <c r="J724" s="2">
        <v>150</v>
      </c>
    </row>
    <row r="725" spans="1:10" x14ac:dyDescent="0.35">
      <c r="A725" s="2">
        <v>325</v>
      </c>
      <c r="B725" s="3">
        <v>45171</v>
      </c>
      <c r="C725" s="2" t="s">
        <v>338</v>
      </c>
      <c r="D725" s="2" t="s">
        <v>13</v>
      </c>
      <c r="E725" s="2">
        <v>52</v>
      </c>
      <c r="F725" s="2" t="s">
        <v>16</v>
      </c>
      <c r="G725" s="2">
        <v>2</v>
      </c>
      <c r="H725" s="2">
        <v>25</v>
      </c>
      <c r="I725" s="2">
        <f>Table13[[#This Row],[Quantity]]*Table13[[#This Row],[Price per Unit]]</f>
        <v>50</v>
      </c>
      <c r="J725" s="2">
        <v>50</v>
      </c>
    </row>
    <row r="726" spans="1:10" x14ac:dyDescent="0.35">
      <c r="A726" s="2">
        <v>336</v>
      </c>
      <c r="B726" s="3">
        <v>45272</v>
      </c>
      <c r="C726" s="2" t="s">
        <v>349</v>
      </c>
      <c r="D726" s="2" t="s">
        <v>13</v>
      </c>
      <c r="E726" s="2">
        <v>52</v>
      </c>
      <c r="F726" s="2" t="s">
        <v>11</v>
      </c>
      <c r="G726" s="2">
        <v>3</v>
      </c>
      <c r="H726" s="2">
        <v>50</v>
      </c>
      <c r="I726" s="2">
        <f>Table13[[#This Row],[Quantity]]*Table13[[#This Row],[Price per Unit]]</f>
        <v>150</v>
      </c>
      <c r="J726" s="2">
        <v>150</v>
      </c>
    </row>
    <row r="727" spans="1:10" x14ac:dyDescent="0.35">
      <c r="A727" s="2">
        <v>479</v>
      </c>
      <c r="B727" s="3">
        <v>45162</v>
      </c>
      <c r="C727" s="2" t="s">
        <v>492</v>
      </c>
      <c r="D727" s="2" t="s">
        <v>10</v>
      </c>
      <c r="E727" s="2">
        <v>52</v>
      </c>
      <c r="F727" s="2" t="s">
        <v>16</v>
      </c>
      <c r="G727" s="2">
        <v>4</v>
      </c>
      <c r="H727" s="2">
        <v>300</v>
      </c>
      <c r="I727" s="2">
        <f>Table13[[#This Row],[Quantity]]*Table13[[#This Row],[Price per Unit]]</f>
        <v>1200</v>
      </c>
      <c r="J727" s="2">
        <v>1200</v>
      </c>
    </row>
    <row r="728" spans="1:10" x14ac:dyDescent="0.35">
      <c r="A728" s="2">
        <v>569</v>
      </c>
      <c r="B728" s="3">
        <v>45153</v>
      </c>
      <c r="C728" s="2" t="s">
        <v>582</v>
      </c>
      <c r="D728" s="2" t="s">
        <v>10</v>
      </c>
      <c r="E728" s="2">
        <v>52</v>
      </c>
      <c r="F728" s="2" t="s">
        <v>16</v>
      </c>
      <c r="G728" s="2">
        <v>4</v>
      </c>
      <c r="H728" s="2">
        <v>50</v>
      </c>
      <c r="I728" s="2">
        <f>Table13[[#This Row],[Quantity]]*Table13[[#This Row],[Price per Unit]]</f>
        <v>200</v>
      </c>
      <c r="J728" s="2">
        <v>200</v>
      </c>
    </row>
    <row r="729" spans="1:10" x14ac:dyDescent="0.35">
      <c r="A729" s="2">
        <v>613</v>
      </c>
      <c r="B729" s="3">
        <v>45039</v>
      </c>
      <c r="C729" s="2" t="s">
        <v>626</v>
      </c>
      <c r="D729" s="2" t="s">
        <v>13</v>
      </c>
      <c r="E729" s="2">
        <v>52</v>
      </c>
      <c r="F729" s="2" t="s">
        <v>14</v>
      </c>
      <c r="G729" s="2">
        <v>3</v>
      </c>
      <c r="H729" s="2">
        <v>30</v>
      </c>
      <c r="I729" s="2">
        <f>Table13[[#This Row],[Quantity]]*Table13[[#This Row],[Price per Unit]]</f>
        <v>90</v>
      </c>
      <c r="J729" s="2">
        <v>90</v>
      </c>
    </row>
    <row r="730" spans="1:10" x14ac:dyDescent="0.35">
      <c r="A730" s="2">
        <v>690</v>
      </c>
      <c r="B730" s="3">
        <v>45235</v>
      </c>
      <c r="C730" s="2" t="s">
        <v>703</v>
      </c>
      <c r="D730" s="2" t="s">
        <v>13</v>
      </c>
      <c r="E730" s="2">
        <v>52</v>
      </c>
      <c r="F730" s="2" t="s">
        <v>14</v>
      </c>
      <c r="G730" s="2">
        <v>3</v>
      </c>
      <c r="H730" s="2">
        <v>300</v>
      </c>
      <c r="I730" s="2">
        <f>Table13[[#This Row],[Quantity]]*Table13[[#This Row],[Price per Unit]]</f>
        <v>900</v>
      </c>
      <c r="J730" s="2">
        <v>900</v>
      </c>
    </row>
    <row r="731" spans="1:10" x14ac:dyDescent="0.35">
      <c r="A731" s="2">
        <v>701</v>
      </c>
      <c r="B731" s="3">
        <v>45274</v>
      </c>
      <c r="C731" s="2" t="s">
        <v>714</v>
      </c>
      <c r="D731" s="2" t="s">
        <v>13</v>
      </c>
      <c r="E731" s="2">
        <v>52</v>
      </c>
      <c r="F731" s="2" t="s">
        <v>11</v>
      </c>
      <c r="G731" s="2">
        <v>2</v>
      </c>
      <c r="H731" s="2">
        <v>30</v>
      </c>
      <c r="I731" s="2">
        <f>Table13[[#This Row],[Quantity]]*Table13[[#This Row],[Price per Unit]]</f>
        <v>60</v>
      </c>
      <c r="J731" s="2">
        <v>60</v>
      </c>
    </row>
    <row r="732" spans="1:10" x14ac:dyDescent="0.35">
      <c r="A732" s="2">
        <v>721</v>
      </c>
      <c r="B732" s="3">
        <v>45060</v>
      </c>
      <c r="C732" s="2" t="s">
        <v>734</v>
      </c>
      <c r="D732" s="2" t="s">
        <v>13</v>
      </c>
      <c r="E732" s="2">
        <v>52</v>
      </c>
      <c r="F732" s="2" t="s">
        <v>14</v>
      </c>
      <c r="G732" s="2">
        <v>1</v>
      </c>
      <c r="H732" s="2">
        <v>500</v>
      </c>
      <c r="I732" s="2">
        <f>Table13[[#This Row],[Quantity]]*Table13[[#This Row],[Price per Unit]]</f>
        <v>500</v>
      </c>
      <c r="J732" s="2">
        <v>500</v>
      </c>
    </row>
    <row r="733" spans="1:10" x14ac:dyDescent="0.35">
      <c r="A733" s="2">
        <v>780</v>
      </c>
      <c r="B733" s="3">
        <v>44979</v>
      </c>
      <c r="C733" s="2" t="s">
        <v>793</v>
      </c>
      <c r="D733" s="2" t="s">
        <v>10</v>
      </c>
      <c r="E733" s="2">
        <v>52</v>
      </c>
      <c r="F733" s="2" t="s">
        <v>16</v>
      </c>
      <c r="G733" s="2">
        <v>2</v>
      </c>
      <c r="H733" s="2">
        <v>25</v>
      </c>
      <c r="I733" s="2">
        <f>Table13[[#This Row],[Quantity]]*Table13[[#This Row],[Price per Unit]]</f>
        <v>50</v>
      </c>
      <c r="J733" s="2">
        <v>50</v>
      </c>
    </row>
    <row r="734" spans="1:10" x14ac:dyDescent="0.35">
      <c r="A734" s="2">
        <v>788</v>
      </c>
      <c r="B734" s="3">
        <v>45104</v>
      </c>
      <c r="C734" s="2" t="s">
        <v>801</v>
      </c>
      <c r="D734" s="2" t="s">
        <v>13</v>
      </c>
      <c r="E734" s="2">
        <v>52</v>
      </c>
      <c r="F734" s="2" t="s">
        <v>11</v>
      </c>
      <c r="G734" s="2">
        <v>3</v>
      </c>
      <c r="H734" s="2">
        <v>300</v>
      </c>
      <c r="I734" s="2">
        <f>Table13[[#This Row],[Quantity]]*Table13[[#This Row],[Price per Unit]]</f>
        <v>900</v>
      </c>
      <c r="J734" s="2">
        <v>900</v>
      </c>
    </row>
    <row r="735" spans="1:10" x14ac:dyDescent="0.35">
      <c r="A735" s="2">
        <v>813</v>
      </c>
      <c r="B735" s="3">
        <v>45202</v>
      </c>
      <c r="C735" s="2" t="s">
        <v>826</v>
      </c>
      <c r="D735" s="2" t="s">
        <v>10</v>
      </c>
      <c r="E735" s="2">
        <v>52</v>
      </c>
      <c r="F735" s="2" t="s">
        <v>16</v>
      </c>
      <c r="G735" s="2">
        <v>3</v>
      </c>
      <c r="H735" s="2">
        <v>50</v>
      </c>
      <c r="I735" s="2">
        <f>Table13[[#This Row],[Quantity]]*Table13[[#This Row],[Price per Unit]]</f>
        <v>150</v>
      </c>
      <c r="J735" s="2">
        <v>150</v>
      </c>
    </row>
    <row r="736" spans="1:10" x14ac:dyDescent="0.35">
      <c r="A736" s="2">
        <v>822</v>
      </c>
      <c r="B736" s="3">
        <v>45069</v>
      </c>
      <c r="C736" s="2" t="s">
        <v>835</v>
      </c>
      <c r="D736" s="2" t="s">
        <v>13</v>
      </c>
      <c r="E736" s="2">
        <v>52</v>
      </c>
      <c r="F736" s="2" t="s">
        <v>11</v>
      </c>
      <c r="G736" s="2">
        <v>3</v>
      </c>
      <c r="H736" s="2">
        <v>50</v>
      </c>
      <c r="I736" s="2">
        <f>Table13[[#This Row],[Quantity]]*Table13[[#This Row],[Price per Unit]]</f>
        <v>150</v>
      </c>
      <c r="J736" s="2">
        <v>150</v>
      </c>
    </row>
    <row r="737" spans="1:10" x14ac:dyDescent="0.35">
      <c r="A737" s="2">
        <v>885</v>
      </c>
      <c r="B737" s="3">
        <v>44988</v>
      </c>
      <c r="C737" s="2" t="s">
        <v>898</v>
      </c>
      <c r="D737" s="2" t="s">
        <v>13</v>
      </c>
      <c r="E737" s="2">
        <v>52</v>
      </c>
      <c r="F737" s="2" t="s">
        <v>14</v>
      </c>
      <c r="G737" s="2">
        <v>4</v>
      </c>
      <c r="H737" s="2">
        <v>30</v>
      </c>
      <c r="I737" s="2">
        <f>Table13[[#This Row],[Quantity]]*Table13[[#This Row],[Price per Unit]]</f>
        <v>120</v>
      </c>
      <c r="J737" s="2">
        <v>120</v>
      </c>
    </row>
    <row r="738" spans="1:10" x14ac:dyDescent="0.35">
      <c r="A738" s="2">
        <v>888</v>
      </c>
      <c r="B738" s="3">
        <v>44988</v>
      </c>
      <c r="C738" s="2" t="s">
        <v>901</v>
      </c>
      <c r="D738" s="2" t="s">
        <v>13</v>
      </c>
      <c r="E738" s="2">
        <v>52</v>
      </c>
      <c r="F738" s="2" t="s">
        <v>16</v>
      </c>
      <c r="G738" s="2">
        <v>4</v>
      </c>
      <c r="H738" s="2">
        <v>25</v>
      </c>
      <c r="I738" s="2">
        <f>Table13[[#This Row],[Quantity]]*Table13[[#This Row],[Price per Unit]]</f>
        <v>100</v>
      </c>
      <c r="J738" s="2">
        <v>100</v>
      </c>
    </row>
    <row r="739" spans="1:10" x14ac:dyDescent="0.35">
      <c r="A739" s="2">
        <v>894</v>
      </c>
      <c r="B739" s="3">
        <v>45174</v>
      </c>
      <c r="C739" s="2" t="s">
        <v>907</v>
      </c>
      <c r="D739" s="2" t="s">
        <v>10</v>
      </c>
      <c r="E739" s="2">
        <v>52</v>
      </c>
      <c r="F739" s="2" t="s">
        <v>16</v>
      </c>
      <c r="G739" s="2">
        <v>1</v>
      </c>
      <c r="H739" s="2">
        <v>30</v>
      </c>
      <c r="I739" s="2">
        <f>Table13[[#This Row],[Quantity]]*Table13[[#This Row],[Price per Unit]]</f>
        <v>30</v>
      </c>
      <c r="J739" s="2">
        <v>30</v>
      </c>
    </row>
    <row r="740" spans="1:10" x14ac:dyDescent="0.35">
      <c r="A740" s="2">
        <v>997</v>
      </c>
      <c r="B740" s="3">
        <v>45247</v>
      </c>
      <c r="C740" s="2" t="s">
        <v>1010</v>
      </c>
      <c r="D740" s="2" t="s">
        <v>10</v>
      </c>
      <c r="E740" s="2">
        <v>52</v>
      </c>
      <c r="F740" s="2" t="s">
        <v>11</v>
      </c>
      <c r="G740" s="2">
        <v>3</v>
      </c>
      <c r="H740" s="2">
        <v>30</v>
      </c>
      <c r="I740" s="2">
        <f>Table13[[#This Row],[Quantity]]*Table13[[#This Row],[Price per Unit]]</f>
        <v>90</v>
      </c>
      <c r="J740" s="2">
        <v>90</v>
      </c>
    </row>
    <row r="741" spans="1:10" x14ac:dyDescent="0.35">
      <c r="A741" s="2">
        <v>168</v>
      </c>
      <c r="B741" s="3">
        <v>44981</v>
      </c>
      <c r="C741" s="2" t="s">
        <v>181</v>
      </c>
      <c r="D741" s="2" t="s">
        <v>10</v>
      </c>
      <c r="E741" s="2">
        <v>53</v>
      </c>
      <c r="F741" s="2" t="s">
        <v>14</v>
      </c>
      <c r="G741" s="2">
        <v>1</v>
      </c>
      <c r="H741" s="2">
        <v>300</v>
      </c>
      <c r="I741" s="2">
        <f>Table13[[#This Row],[Quantity]]*Table13[[#This Row],[Price per Unit]]</f>
        <v>300</v>
      </c>
      <c r="J741" s="2">
        <v>300</v>
      </c>
    </row>
    <row r="742" spans="1:10" x14ac:dyDescent="0.35">
      <c r="A742" s="2">
        <v>219</v>
      </c>
      <c r="B742" s="3">
        <v>45158</v>
      </c>
      <c r="C742" s="2" t="s">
        <v>232</v>
      </c>
      <c r="D742" s="2" t="s">
        <v>13</v>
      </c>
      <c r="E742" s="2">
        <v>53</v>
      </c>
      <c r="F742" s="2" t="s">
        <v>16</v>
      </c>
      <c r="G742" s="2">
        <v>3</v>
      </c>
      <c r="H742" s="2">
        <v>30</v>
      </c>
      <c r="I742" s="2">
        <f>Table13[[#This Row],[Quantity]]*Table13[[#This Row],[Price per Unit]]</f>
        <v>90</v>
      </c>
      <c r="J742" s="2">
        <v>90</v>
      </c>
    </row>
    <row r="743" spans="1:10" x14ac:dyDescent="0.35">
      <c r="A743" s="2">
        <v>253</v>
      </c>
      <c r="B743" s="3">
        <v>45169</v>
      </c>
      <c r="C743" s="2" t="s">
        <v>266</v>
      </c>
      <c r="D743" s="2" t="s">
        <v>13</v>
      </c>
      <c r="E743" s="2">
        <v>53</v>
      </c>
      <c r="F743" s="2" t="s">
        <v>14</v>
      </c>
      <c r="G743" s="2">
        <v>4</v>
      </c>
      <c r="H743" s="2">
        <v>500</v>
      </c>
      <c r="I743" s="2">
        <f>Table13[[#This Row],[Quantity]]*Table13[[#This Row],[Price per Unit]]</f>
        <v>2000</v>
      </c>
      <c r="J743" s="2">
        <v>2000</v>
      </c>
    </row>
    <row r="744" spans="1:10" x14ac:dyDescent="0.35">
      <c r="A744" s="2">
        <v>289</v>
      </c>
      <c r="B744" s="3">
        <v>45260</v>
      </c>
      <c r="C744" s="2" t="s">
        <v>302</v>
      </c>
      <c r="D744" s="2" t="s">
        <v>10</v>
      </c>
      <c r="E744" s="2">
        <v>53</v>
      </c>
      <c r="F744" s="2" t="s">
        <v>16</v>
      </c>
      <c r="G744" s="2">
        <v>2</v>
      </c>
      <c r="H744" s="2">
        <v>30</v>
      </c>
      <c r="I744" s="2">
        <f>Table13[[#This Row],[Quantity]]*Table13[[#This Row],[Price per Unit]]</f>
        <v>60</v>
      </c>
      <c r="J744" s="2">
        <v>60</v>
      </c>
    </row>
    <row r="745" spans="1:10" x14ac:dyDescent="0.35">
      <c r="A745" s="2">
        <v>382</v>
      </c>
      <c r="B745" s="3">
        <v>45072</v>
      </c>
      <c r="C745" s="2" t="s">
        <v>395</v>
      </c>
      <c r="D745" s="2" t="s">
        <v>13</v>
      </c>
      <c r="E745" s="2">
        <v>53</v>
      </c>
      <c r="F745" s="2" t="s">
        <v>14</v>
      </c>
      <c r="G745" s="2">
        <v>2</v>
      </c>
      <c r="H745" s="2">
        <v>500</v>
      </c>
      <c r="I745" s="2">
        <f>Table13[[#This Row],[Quantity]]*Table13[[#This Row],[Price per Unit]]</f>
        <v>1000</v>
      </c>
      <c r="J745" s="2">
        <v>1000</v>
      </c>
    </row>
    <row r="746" spans="1:10" x14ac:dyDescent="0.35">
      <c r="A746" s="2">
        <v>400</v>
      </c>
      <c r="B746" s="3">
        <v>44981</v>
      </c>
      <c r="C746" s="2" t="s">
        <v>413</v>
      </c>
      <c r="D746" s="2" t="s">
        <v>10</v>
      </c>
      <c r="E746" s="2">
        <v>53</v>
      </c>
      <c r="F746" s="2" t="s">
        <v>14</v>
      </c>
      <c r="G746" s="2">
        <v>4</v>
      </c>
      <c r="H746" s="2">
        <v>50</v>
      </c>
      <c r="I746" s="2">
        <f>Table13[[#This Row],[Quantity]]*Table13[[#This Row],[Price per Unit]]</f>
        <v>200</v>
      </c>
      <c r="J746" s="2">
        <v>200</v>
      </c>
    </row>
    <row r="747" spans="1:10" x14ac:dyDescent="0.35">
      <c r="A747" s="2">
        <v>415</v>
      </c>
      <c r="B747" s="3">
        <v>44953</v>
      </c>
      <c r="C747" s="2" t="s">
        <v>428</v>
      </c>
      <c r="D747" s="2" t="s">
        <v>10</v>
      </c>
      <c r="E747" s="2">
        <v>53</v>
      </c>
      <c r="F747" s="2" t="s">
        <v>14</v>
      </c>
      <c r="G747" s="2">
        <v>2</v>
      </c>
      <c r="H747" s="2">
        <v>30</v>
      </c>
      <c r="I747" s="2">
        <f>Table13[[#This Row],[Quantity]]*Table13[[#This Row],[Price per Unit]]</f>
        <v>60</v>
      </c>
      <c r="J747" s="2">
        <v>60</v>
      </c>
    </row>
    <row r="748" spans="1:10" x14ac:dyDescent="0.35">
      <c r="A748" s="2">
        <v>416</v>
      </c>
      <c r="B748" s="3">
        <v>44974</v>
      </c>
      <c r="C748" s="2" t="s">
        <v>429</v>
      </c>
      <c r="D748" s="2" t="s">
        <v>10</v>
      </c>
      <c r="E748" s="2">
        <v>53</v>
      </c>
      <c r="F748" s="2" t="s">
        <v>16</v>
      </c>
      <c r="G748" s="2">
        <v>4</v>
      </c>
      <c r="H748" s="2">
        <v>500</v>
      </c>
      <c r="I748" s="2">
        <f>Table13[[#This Row],[Quantity]]*Table13[[#This Row],[Price per Unit]]</f>
        <v>2000</v>
      </c>
      <c r="J748" s="2">
        <v>2000</v>
      </c>
    </row>
    <row r="749" spans="1:10" x14ac:dyDescent="0.35">
      <c r="A749" s="2">
        <v>445</v>
      </c>
      <c r="B749" s="3">
        <v>44948</v>
      </c>
      <c r="C749" s="2" t="s">
        <v>458</v>
      </c>
      <c r="D749" s="2" t="s">
        <v>13</v>
      </c>
      <c r="E749" s="2">
        <v>53</v>
      </c>
      <c r="F749" s="2" t="s">
        <v>16</v>
      </c>
      <c r="G749" s="2">
        <v>1</v>
      </c>
      <c r="H749" s="2">
        <v>300</v>
      </c>
      <c r="I749" s="2">
        <f>Table13[[#This Row],[Quantity]]*Table13[[#This Row],[Price per Unit]]</f>
        <v>300</v>
      </c>
      <c r="J749" s="2">
        <v>300</v>
      </c>
    </row>
    <row r="750" spans="1:10" x14ac:dyDescent="0.35">
      <c r="A750" s="2">
        <v>467</v>
      </c>
      <c r="B750" s="3">
        <v>45137</v>
      </c>
      <c r="C750" s="2" t="s">
        <v>480</v>
      </c>
      <c r="D750" s="2" t="s">
        <v>13</v>
      </c>
      <c r="E750" s="2">
        <v>53</v>
      </c>
      <c r="F750" s="2" t="s">
        <v>16</v>
      </c>
      <c r="G750" s="2">
        <v>3</v>
      </c>
      <c r="H750" s="2">
        <v>50</v>
      </c>
      <c r="I750" s="2">
        <f>Table13[[#This Row],[Quantity]]*Table13[[#This Row],[Price per Unit]]</f>
        <v>150</v>
      </c>
      <c r="J750" s="2">
        <v>150</v>
      </c>
    </row>
    <row r="751" spans="1:10" x14ac:dyDescent="0.35">
      <c r="A751" s="2">
        <v>591</v>
      </c>
      <c r="B751" s="3">
        <v>44939</v>
      </c>
      <c r="C751" s="2" t="s">
        <v>604</v>
      </c>
      <c r="D751" s="2" t="s">
        <v>10</v>
      </c>
      <c r="E751" s="2">
        <v>53</v>
      </c>
      <c r="F751" s="2" t="s">
        <v>16</v>
      </c>
      <c r="G751" s="2">
        <v>4</v>
      </c>
      <c r="H751" s="2">
        <v>25</v>
      </c>
      <c r="I751" s="2">
        <f>Table13[[#This Row],[Quantity]]*Table13[[#This Row],[Price per Unit]]</f>
        <v>100</v>
      </c>
      <c r="J751" s="2">
        <v>100</v>
      </c>
    </row>
    <row r="752" spans="1:10" x14ac:dyDescent="0.35">
      <c r="A752" s="2">
        <v>648</v>
      </c>
      <c r="B752" s="3">
        <v>45152</v>
      </c>
      <c r="C752" s="2" t="s">
        <v>661</v>
      </c>
      <c r="D752" s="2" t="s">
        <v>10</v>
      </c>
      <c r="E752" s="2">
        <v>53</v>
      </c>
      <c r="F752" s="2" t="s">
        <v>11</v>
      </c>
      <c r="G752" s="2">
        <v>4</v>
      </c>
      <c r="H752" s="2">
        <v>300</v>
      </c>
      <c r="I752" s="2">
        <f>Table13[[#This Row],[Quantity]]*Table13[[#This Row],[Price per Unit]]</f>
        <v>1200</v>
      </c>
      <c r="J752" s="2">
        <v>1200</v>
      </c>
    </row>
    <row r="753" spans="1:10" x14ac:dyDescent="0.35">
      <c r="A753" s="2">
        <v>680</v>
      </c>
      <c r="B753" s="3">
        <v>45221</v>
      </c>
      <c r="C753" s="2" t="s">
        <v>693</v>
      </c>
      <c r="D753" s="2" t="s">
        <v>13</v>
      </c>
      <c r="E753" s="2">
        <v>53</v>
      </c>
      <c r="F753" s="2" t="s">
        <v>14</v>
      </c>
      <c r="G753" s="2">
        <v>3</v>
      </c>
      <c r="H753" s="2">
        <v>300</v>
      </c>
      <c r="I753" s="2">
        <f>Table13[[#This Row],[Quantity]]*Table13[[#This Row],[Price per Unit]]</f>
        <v>900</v>
      </c>
      <c r="J753" s="2">
        <v>900</v>
      </c>
    </row>
    <row r="754" spans="1:10" x14ac:dyDescent="0.35">
      <c r="A754" s="2">
        <v>687</v>
      </c>
      <c r="B754" s="3">
        <v>45141</v>
      </c>
      <c r="C754" s="2" t="s">
        <v>700</v>
      </c>
      <c r="D754" s="2" t="s">
        <v>13</v>
      </c>
      <c r="E754" s="2">
        <v>53</v>
      </c>
      <c r="F754" s="2" t="s">
        <v>16</v>
      </c>
      <c r="G754" s="2">
        <v>1</v>
      </c>
      <c r="H754" s="2">
        <v>300</v>
      </c>
      <c r="I754" s="2">
        <f>Table13[[#This Row],[Quantity]]*Table13[[#This Row],[Price per Unit]]</f>
        <v>300</v>
      </c>
      <c r="J754" s="2">
        <v>300</v>
      </c>
    </row>
    <row r="755" spans="1:10" x14ac:dyDescent="0.35">
      <c r="A755" s="2">
        <v>697</v>
      </c>
      <c r="B755" s="3">
        <v>44941</v>
      </c>
      <c r="C755" s="2" t="s">
        <v>710</v>
      </c>
      <c r="D755" s="2" t="s">
        <v>10</v>
      </c>
      <c r="E755" s="2">
        <v>53</v>
      </c>
      <c r="F755" s="2" t="s">
        <v>14</v>
      </c>
      <c r="G755" s="2">
        <v>1</v>
      </c>
      <c r="H755" s="2">
        <v>500</v>
      </c>
      <c r="I755" s="2">
        <f>Table13[[#This Row],[Quantity]]*Table13[[#This Row],[Price per Unit]]</f>
        <v>500</v>
      </c>
      <c r="J755" s="2">
        <v>500</v>
      </c>
    </row>
    <row r="756" spans="1:10" x14ac:dyDescent="0.35">
      <c r="A756" s="2">
        <v>961</v>
      </c>
      <c r="B756" s="3">
        <v>45083</v>
      </c>
      <c r="C756" s="2" t="s">
        <v>974</v>
      </c>
      <c r="D756" s="2" t="s">
        <v>10</v>
      </c>
      <c r="E756" s="2">
        <v>53</v>
      </c>
      <c r="F756" s="2" t="s">
        <v>11</v>
      </c>
      <c r="G756" s="2">
        <v>4</v>
      </c>
      <c r="H756" s="2">
        <v>50</v>
      </c>
      <c r="I756" s="2">
        <f>Table13[[#This Row],[Quantity]]*Table13[[#This Row],[Price per Unit]]</f>
        <v>200</v>
      </c>
      <c r="J756" s="2">
        <v>200</v>
      </c>
    </row>
    <row r="757" spans="1:10" x14ac:dyDescent="0.35">
      <c r="A757" s="2">
        <v>978</v>
      </c>
      <c r="B757" s="3">
        <v>45007</v>
      </c>
      <c r="C757" s="2" t="s">
        <v>991</v>
      </c>
      <c r="D757" s="2" t="s">
        <v>13</v>
      </c>
      <c r="E757" s="2">
        <v>53</v>
      </c>
      <c r="F757" s="2" t="s">
        <v>14</v>
      </c>
      <c r="G757" s="2">
        <v>3</v>
      </c>
      <c r="H757" s="2">
        <v>50</v>
      </c>
      <c r="I757" s="2">
        <f>Table13[[#This Row],[Quantity]]*Table13[[#This Row],[Price per Unit]]</f>
        <v>150</v>
      </c>
      <c r="J757" s="2">
        <v>150</v>
      </c>
    </row>
    <row r="758" spans="1:10" x14ac:dyDescent="0.35">
      <c r="A758" s="2">
        <v>48</v>
      </c>
      <c r="B758" s="3">
        <v>45062</v>
      </c>
      <c r="C758" s="2" t="s">
        <v>61</v>
      </c>
      <c r="D758" s="2" t="s">
        <v>10</v>
      </c>
      <c r="E758" s="2">
        <v>54</v>
      </c>
      <c r="F758" s="2" t="s">
        <v>16</v>
      </c>
      <c r="G758" s="2">
        <v>3</v>
      </c>
      <c r="H758" s="2">
        <v>300</v>
      </c>
      <c r="I758" s="2">
        <f>Table13[[#This Row],[Quantity]]*Table13[[#This Row],[Price per Unit]]</f>
        <v>900</v>
      </c>
      <c r="J758" s="2">
        <v>900</v>
      </c>
    </row>
    <row r="759" spans="1:10" x14ac:dyDescent="0.35">
      <c r="A759" s="2">
        <v>49</v>
      </c>
      <c r="B759" s="3">
        <v>44949</v>
      </c>
      <c r="C759" s="2" t="s">
        <v>62</v>
      </c>
      <c r="D759" s="2" t="s">
        <v>13</v>
      </c>
      <c r="E759" s="2">
        <v>54</v>
      </c>
      <c r="F759" s="2" t="s">
        <v>16</v>
      </c>
      <c r="G759" s="2">
        <v>2</v>
      </c>
      <c r="H759" s="2">
        <v>500</v>
      </c>
      <c r="I759" s="2">
        <f>Table13[[#This Row],[Quantity]]*Table13[[#This Row],[Price per Unit]]</f>
        <v>1000</v>
      </c>
      <c r="J759" s="2">
        <v>1000</v>
      </c>
    </row>
    <row r="760" spans="1:10" x14ac:dyDescent="0.35">
      <c r="A760" s="2">
        <v>83</v>
      </c>
      <c r="B760" s="3">
        <v>45276</v>
      </c>
      <c r="C760" s="2" t="s">
        <v>96</v>
      </c>
      <c r="D760" s="2" t="s">
        <v>10</v>
      </c>
      <c r="E760" s="2">
        <v>54</v>
      </c>
      <c r="F760" s="2" t="s">
        <v>16</v>
      </c>
      <c r="G760" s="2">
        <v>2</v>
      </c>
      <c r="H760" s="2">
        <v>50</v>
      </c>
      <c r="I760" s="2">
        <f>Table13[[#This Row],[Quantity]]*Table13[[#This Row],[Price per Unit]]</f>
        <v>100</v>
      </c>
      <c r="J760" s="2">
        <v>100</v>
      </c>
    </row>
    <row r="761" spans="1:10" x14ac:dyDescent="0.35">
      <c r="A761" s="2">
        <v>198</v>
      </c>
      <c r="B761" s="3">
        <v>44992</v>
      </c>
      <c r="C761" s="2" t="s">
        <v>211</v>
      </c>
      <c r="D761" s="2" t="s">
        <v>13</v>
      </c>
      <c r="E761" s="2">
        <v>54</v>
      </c>
      <c r="F761" s="2" t="s">
        <v>11</v>
      </c>
      <c r="G761" s="2">
        <v>3</v>
      </c>
      <c r="H761" s="2">
        <v>300</v>
      </c>
      <c r="I761" s="2">
        <f>Table13[[#This Row],[Quantity]]*Table13[[#This Row],[Price per Unit]]</f>
        <v>900</v>
      </c>
      <c r="J761" s="2">
        <v>900</v>
      </c>
    </row>
    <row r="762" spans="1:10" x14ac:dyDescent="0.35">
      <c r="A762" s="2">
        <v>230</v>
      </c>
      <c r="B762" s="3">
        <v>45039</v>
      </c>
      <c r="C762" s="2" t="s">
        <v>243</v>
      </c>
      <c r="D762" s="2" t="s">
        <v>10</v>
      </c>
      <c r="E762" s="2">
        <v>54</v>
      </c>
      <c r="F762" s="2" t="s">
        <v>11</v>
      </c>
      <c r="G762" s="2">
        <v>1</v>
      </c>
      <c r="H762" s="2">
        <v>25</v>
      </c>
      <c r="I762" s="2">
        <f>Table13[[#This Row],[Quantity]]*Table13[[#This Row],[Price per Unit]]</f>
        <v>25</v>
      </c>
      <c r="J762" s="2">
        <v>25</v>
      </c>
    </row>
    <row r="763" spans="1:10" x14ac:dyDescent="0.35">
      <c r="A763" s="2">
        <v>236</v>
      </c>
      <c r="B763" s="3">
        <v>45044</v>
      </c>
      <c r="C763" s="2" t="s">
        <v>249</v>
      </c>
      <c r="D763" s="2" t="s">
        <v>13</v>
      </c>
      <c r="E763" s="2">
        <v>54</v>
      </c>
      <c r="F763" s="2" t="s">
        <v>14</v>
      </c>
      <c r="G763" s="2">
        <v>1</v>
      </c>
      <c r="H763" s="2">
        <v>25</v>
      </c>
      <c r="I763" s="2">
        <f>Table13[[#This Row],[Quantity]]*Table13[[#This Row],[Price per Unit]]</f>
        <v>25</v>
      </c>
      <c r="J763" s="2">
        <v>25</v>
      </c>
    </row>
    <row r="764" spans="1:10" x14ac:dyDescent="0.35">
      <c r="A764" s="2">
        <v>252</v>
      </c>
      <c r="B764" s="3">
        <v>45051</v>
      </c>
      <c r="C764" s="2" t="s">
        <v>265</v>
      </c>
      <c r="D764" s="2" t="s">
        <v>10</v>
      </c>
      <c r="E764" s="2">
        <v>54</v>
      </c>
      <c r="F764" s="2" t="s">
        <v>16</v>
      </c>
      <c r="G764" s="2">
        <v>1</v>
      </c>
      <c r="H764" s="2">
        <v>300</v>
      </c>
      <c r="I764" s="2">
        <f>Table13[[#This Row],[Quantity]]*Table13[[#This Row],[Price per Unit]]</f>
        <v>300</v>
      </c>
      <c r="J764" s="2">
        <v>300</v>
      </c>
    </row>
    <row r="765" spans="1:10" x14ac:dyDescent="0.35">
      <c r="A765" s="2">
        <v>287</v>
      </c>
      <c r="B765" s="3">
        <v>44977</v>
      </c>
      <c r="C765" s="2" t="s">
        <v>300</v>
      </c>
      <c r="D765" s="2" t="s">
        <v>10</v>
      </c>
      <c r="E765" s="2">
        <v>54</v>
      </c>
      <c r="F765" s="2" t="s">
        <v>14</v>
      </c>
      <c r="G765" s="2">
        <v>4</v>
      </c>
      <c r="H765" s="2">
        <v>25</v>
      </c>
      <c r="I765" s="2">
        <f>Table13[[#This Row],[Quantity]]*Table13[[#This Row],[Price per Unit]]</f>
        <v>100</v>
      </c>
      <c r="J765" s="2">
        <v>100</v>
      </c>
    </row>
    <row r="766" spans="1:10" x14ac:dyDescent="0.35">
      <c r="A766" s="2">
        <v>306</v>
      </c>
      <c r="B766" s="3">
        <v>45159</v>
      </c>
      <c r="C766" s="2" t="s">
        <v>319</v>
      </c>
      <c r="D766" s="2" t="s">
        <v>10</v>
      </c>
      <c r="E766" s="2">
        <v>54</v>
      </c>
      <c r="F766" s="2" t="s">
        <v>16</v>
      </c>
      <c r="G766" s="2">
        <v>1</v>
      </c>
      <c r="H766" s="2">
        <v>50</v>
      </c>
      <c r="I766" s="2">
        <f>Table13[[#This Row],[Quantity]]*Table13[[#This Row],[Price per Unit]]</f>
        <v>50</v>
      </c>
      <c r="J766" s="2">
        <v>50</v>
      </c>
    </row>
    <row r="767" spans="1:10" x14ac:dyDescent="0.35">
      <c r="A767" s="2">
        <v>333</v>
      </c>
      <c r="B767" s="3">
        <v>44962</v>
      </c>
      <c r="C767" s="2" t="s">
        <v>346</v>
      </c>
      <c r="D767" s="2" t="s">
        <v>13</v>
      </c>
      <c r="E767" s="2">
        <v>54</v>
      </c>
      <c r="F767" s="2" t="s">
        <v>16</v>
      </c>
      <c r="G767" s="2">
        <v>4</v>
      </c>
      <c r="H767" s="2">
        <v>300</v>
      </c>
      <c r="I767" s="2">
        <f>Table13[[#This Row],[Quantity]]*Table13[[#This Row],[Price per Unit]]</f>
        <v>1200</v>
      </c>
      <c r="J767" s="2">
        <v>1200</v>
      </c>
    </row>
    <row r="768" spans="1:10" x14ac:dyDescent="0.35">
      <c r="A768" s="2">
        <v>338</v>
      </c>
      <c r="B768" s="3">
        <v>45133</v>
      </c>
      <c r="C768" s="2" t="s">
        <v>351</v>
      </c>
      <c r="D768" s="2" t="s">
        <v>10</v>
      </c>
      <c r="E768" s="2">
        <v>54</v>
      </c>
      <c r="F768" s="2" t="s">
        <v>11</v>
      </c>
      <c r="G768" s="2">
        <v>2</v>
      </c>
      <c r="H768" s="2">
        <v>50</v>
      </c>
      <c r="I768" s="2">
        <f>Table13[[#This Row],[Quantity]]*Table13[[#This Row],[Price per Unit]]</f>
        <v>100</v>
      </c>
      <c r="J768" s="2">
        <v>100</v>
      </c>
    </row>
    <row r="769" spans="1:10" x14ac:dyDescent="0.35">
      <c r="A769" s="2">
        <v>386</v>
      </c>
      <c r="B769" s="3">
        <v>45287</v>
      </c>
      <c r="C769" s="2" t="s">
        <v>399</v>
      </c>
      <c r="D769" s="2" t="s">
        <v>13</v>
      </c>
      <c r="E769" s="2">
        <v>54</v>
      </c>
      <c r="F769" s="2" t="s">
        <v>16</v>
      </c>
      <c r="G769" s="2">
        <v>2</v>
      </c>
      <c r="H769" s="2">
        <v>300</v>
      </c>
      <c r="I769" s="2">
        <f>Table13[[#This Row],[Quantity]]*Table13[[#This Row],[Price per Unit]]</f>
        <v>600</v>
      </c>
      <c r="J769" s="2">
        <v>600</v>
      </c>
    </row>
    <row r="770" spans="1:10" x14ac:dyDescent="0.35">
      <c r="A770" s="2">
        <v>448</v>
      </c>
      <c r="B770" s="3">
        <v>44947</v>
      </c>
      <c r="C770" s="2" t="s">
        <v>461</v>
      </c>
      <c r="D770" s="2" t="s">
        <v>13</v>
      </c>
      <c r="E770" s="2">
        <v>54</v>
      </c>
      <c r="F770" s="2" t="s">
        <v>11</v>
      </c>
      <c r="G770" s="2">
        <v>2</v>
      </c>
      <c r="H770" s="2">
        <v>30</v>
      </c>
      <c r="I770" s="2">
        <f>Table13[[#This Row],[Quantity]]*Table13[[#This Row],[Price per Unit]]</f>
        <v>60</v>
      </c>
      <c r="J770" s="2">
        <v>60</v>
      </c>
    </row>
    <row r="771" spans="1:10" x14ac:dyDescent="0.35">
      <c r="A771" s="2">
        <v>463</v>
      </c>
      <c r="B771" s="3">
        <v>45138</v>
      </c>
      <c r="C771" s="2" t="s">
        <v>476</v>
      </c>
      <c r="D771" s="2" t="s">
        <v>13</v>
      </c>
      <c r="E771" s="2">
        <v>54</v>
      </c>
      <c r="F771" s="2" t="s">
        <v>11</v>
      </c>
      <c r="G771" s="2">
        <v>3</v>
      </c>
      <c r="H771" s="2">
        <v>500</v>
      </c>
      <c r="I771" s="2">
        <f>Table13[[#This Row],[Quantity]]*Table13[[#This Row],[Price per Unit]]</f>
        <v>1500</v>
      </c>
      <c r="J771" s="2">
        <v>1500</v>
      </c>
    </row>
    <row r="772" spans="1:10" x14ac:dyDescent="0.35">
      <c r="A772" s="2">
        <v>562</v>
      </c>
      <c r="B772" s="3">
        <v>45034</v>
      </c>
      <c r="C772" s="2" t="s">
        <v>575</v>
      </c>
      <c r="D772" s="2" t="s">
        <v>10</v>
      </c>
      <c r="E772" s="2">
        <v>54</v>
      </c>
      <c r="F772" s="2" t="s">
        <v>16</v>
      </c>
      <c r="G772" s="2">
        <v>2</v>
      </c>
      <c r="H772" s="2">
        <v>25</v>
      </c>
      <c r="I772" s="2">
        <f>Table13[[#This Row],[Quantity]]*Table13[[#This Row],[Price per Unit]]</f>
        <v>50</v>
      </c>
      <c r="J772" s="2">
        <v>50</v>
      </c>
    </row>
    <row r="773" spans="1:10" x14ac:dyDescent="0.35">
      <c r="A773" s="2">
        <v>578</v>
      </c>
      <c r="B773" s="3">
        <v>45072</v>
      </c>
      <c r="C773" s="2" t="s">
        <v>591</v>
      </c>
      <c r="D773" s="2" t="s">
        <v>13</v>
      </c>
      <c r="E773" s="2">
        <v>54</v>
      </c>
      <c r="F773" s="2" t="s">
        <v>14</v>
      </c>
      <c r="G773" s="2">
        <v>4</v>
      </c>
      <c r="H773" s="2">
        <v>30</v>
      </c>
      <c r="I773" s="2">
        <f>Table13[[#This Row],[Quantity]]*Table13[[#This Row],[Price per Unit]]</f>
        <v>120</v>
      </c>
      <c r="J773" s="2">
        <v>120</v>
      </c>
    </row>
    <row r="774" spans="1:10" x14ac:dyDescent="0.35">
      <c r="A774" s="2">
        <v>607</v>
      </c>
      <c r="B774" s="3">
        <v>45002</v>
      </c>
      <c r="C774" s="2" t="s">
        <v>620</v>
      </c>
      <c r="D774" s="2" t="s">
        <v>10</v>
      </c>
      <c r="E774" s="2">
        <v>54</v>
      </c>
      <c r="F774" s="2" t="s">
        <v>14</v>
      </c>
      <c r="G774" s="2">
        <v>3</v>
      </c>
      <c r="H774" s="2">
        <v>25</v>
      </c>
      <c r="I774" s="2">
        <f>Table13[[#This Row],[Quantity]]*Table13[[#This Row],[Price per Unit]]</f>
        <v>75</v>
      </c>
      <c r="J774" s="2">
        <v>75</v>
      </c>
    </row>
    <row r="775" spans="1:10" x14ac:dyDescent="0.35">
      <c r="A775" s="2">
        <v>642</v>
      </c>
      <c r="B775" s="3">
        <v>45068</v>
      </c>
      <c r="C775" s="2" t="s">
        <v>655</v>
      </c>
      <c r="D775" s="2" t="s">
        <v>13</v>
      </c>
      <c r="E775" s="2">
        <v>54</v>
      </c>
      <c r="F775" s="2" t="s">
        <v>14</v>
      </c>
      <c r="G775" s="2">
        <v>4</v>
      </c>
      <c r="H775" s="2">
        <v>25</v>
      </c>
      <c r="I775" s="2">
        <f>Table13[[#This Row],[Quantity]]*Table13[[#This Row],[Price per Unit]]</f>
        <v>100</v>
      </c>
      <c r="J775" s="2">
        <v>100</v>
      </c>
    </row>
    <row r="776" spans="1:10" x14ac:dyDescent="0.35">
      <c r="A776" s="2">
        <v>653</v>
      </c>
      <c r="B776" s="3">
        <v>45066</v>
      </c>
      <c r="C776" s="2" t="s">
        <v>666</v>
      </c>
      <c r="D776" s="2" t="s">
        <v>10</v>
      </c>
      <c r="E776" s="2">
        <v>54</v>
      </c>
      <c r="F776" s="2" t="s">
        <v>14</v>
      </c>
      <c r="G776" s="2">
        <v>3</v>
      </c>
      <c r="H776" s="2">
        <v>25</v>
      </c>
      <c r="I776" s="2">
        <f>Table13[[#This Row],[Quantity]]*Table13[[#This Row],[Price per Unit]]</f>
        <v>75</v>
      </c>
      <c r="J776" s="2">
        <v>75</v>
      </c>
    </row>
    <row r="777" spans="1:10" x14ac:dyDescent="0.35">
      <c r="A777" s="2">
        <v>723</v>
      </c>
      <c r="B777" s="3">
        <v>45094</v>
      </c>
      <c r="C777" s="2" t="s">
        <v>736</v>
      </c>
      <c r="D777" s="2" t="s">
        <v>13</v>
      </c>
      <c r="E777" s="2">
        <v>54</v>
      </c>
      <c r="F777" s="2" t="s">
        <v>11</v>
      </c>
      <c r="G777" s="2">
        <v>4</v>
      </c>
      <c r="H777" s="2">
        <v>50</v>
      </c>
      <c r="I777" s="2">
        <f>Table13[[#This Row],[Quantity]]*Table13[[#This Row],[Price per Unit]]</f>
        <v>200</v>
      </c>
      <c r="J777" s="2">
        <v>200</v>
      </c>
    </row>
    <row r="778" spans="1:10" x14ac:dyDescent="0.35">
      <c r="A778" s="2">
        <v>731</v>
      </c>
      <c r="B778" s="3">
        <v>45056</v>
      </c>
      <c r="C778" s="2" t="s">
        <v>744</v>
      </c>
      <c r="D778" s="2" t="s">
        <v>10</v>
      </c>
      <c r="E778" s="2">
        <v>54</v>
      </c>
      <c r="F778" s="2" t="s">
        <v>14</v>
      </c>
      <c r="G778" s="2">
        <v>4</v>
      </c>
      <c r="H778" s="2">
        <v>500</v>
      </c>
      <c r="I778" s="2">
        <f>Table13[[#This Row],[Quantity]]*Table13[[#This Row],[Price per Unit]]</f>
        <v>2000</v>
      </c>
      <c r="J778" s="2">
        <v>2000</v>
      </c>
    </row>
    <row r="779" spans="1:10" x14ac:dyDescent="0.35">
      <c r="A779" s="2">
        <v>745</v>
      </c>
      <c r="B779" s="3">
        <v>45029</v>
      </c>
      <c r="C779" s="2" t="s">
        <v>758</v>
      </c>
      <c r="D779" s="2" t="s">
        <v>10</v>
      </c>
      <c r="E779" s="2">
        <v>54</v>
      </c>
      <c r="F779" s="2" t="s">
        <v>11</v>
      </c>
      <c r="G779" s="2">
        <v>2</v>
      </c>
      <c r="H779" s="2">
        <v>50</v>
      </c>
      <c r="I779" s="2">
        <f>Table13[[#This Row],[Quantity]]*Table13[[#This Row],[Price per Unit]]</f>
        <v>100</v>
      </c>
      <c r="J779" s="2">
        <v>100</v>
      </c>
    </row>
    <row r="780" spans="1:10" x14ac:dyDescent="0.35">
      <c r="A780" s="2">
        <v>793</v>
      </c>
      <c r="B780" s="3">
        <v>44962</v>
      </c>
      <c r="C780" s="2" t="s">
        <v>806</v>
      </c>
      <c r="D780" s="2" t="s">
        <v>10</v>
      </c>
      <c r="E780" s="2">
        <v>54</v>
      </c>
      <c r="F780" s="2" t="s">
        <v>11</v>
      </c>
      <c r="G780" s="2">
        <v>1</v>
      </c>
      <c r="H780" s="2">
        <v>30</v>
      </c>
      <c r="I780" s="2">
        <f>Table13[[#This Row],[Quantity]]*Table13[[#This Row],[Price per Unit]]</f>
        <v>30</v>
      </c>
      <c r="J780" s="2">
        <v>30</v>
      </c>
    </row>
    <row r="781" spans="1:10" x14ac:dyDescent="0.35">
      <c r="A781" s="2">
        <v>845</v>
      </c>
      <c r="B781" s="3">
        <v>44932</v>
      </c>
      <c r="C781" s="2" t="s">
        <v>858</v>
      </c>
      <c r="D781" s="2" t="s">
        <v>10</v>
      </c>
      <c r="E781" s="2">
        <v>54</v>
      </c>
      <c r="F781" s="2" t="s">
        <v>14</v>
      </c>
      <c r="G781" s="2">
        <v>1</v>
      </c>
      <c r="H781" s="2">
        <v>500</v>
      </c>
      <c r="I781" s="2">
        <f>Table13[[#This Row],[Quantity]]*Table13[[#This Row],[Price per Unit]]</f>
        <v>500</v>
      </c>
      <c r="J781" s="2">
        <v>500</v>
      </c>
    </row>
    <row r="782" spans="1:10" x14ac:dyDescent="0.35">
      <c r="A782" s="2">
        <v>855</v>
      </c>
      <c r="B782" s="3">
        <v>45170</v>
      </c>
      <c r="C782" s="2" t="s">
        <v>868</v>
      </c>
      <c r="D782" s="2" t="s">
        <v>10</v>
      </c>
      <c r="E782" s="2">
        <v>54</v>
      </c>
      <c r="F782" s="2" t="s">
        <v>11</v>
      </c>
      <c r="G782" s="2">
        <v>1</v>
      </c>
      <c r="H782" s="2">
        <v>25</v>
      </c>
      <c r="I782" s="2">
        <f>Table13[[#This Row],[Quantity]]*Table13[[#This Row],[Price per Unit]]</f>
        <v>25</v>
      </c>
      <c r="J782" s="2">
        <v>25</v>
      </c>
    </row>
    <row r="783" spans="1:10" x14ac:dyDescent="0.35">
      <c r="A783" s="2">
        <v>856</v>
      </c>
      <c r="B783" s="3">
        <v>45257</v>
      </c>
      <c r="C783" s="2" t="s">
        <v>869</v>
      </c>
      <c r="D783" s="2" t="s">
        <v>10</v>
      </c>
      <c r="E783" s="2">
        <v>54</v>
      </c>
      <c r="F783" s="2" t="s">
        <v>16</v>
      </c>
      <c r="G783" s="2">
        <v>4</v>
      </c>
      <c r="H783" s="2">
        <v>30</v>
      </c>
      <c r="I783" s="2">
        <f>Table13[[#This Row],[Quantity]]*Table13[[#This Row],[Price per Unit]]</f>
        <v>120</v>
      </c>
      <c r="J783" s="2">
        <v>120</v>
      </c>
    </row>
    <row r="784" spans="1:10" x14ac:dyDescent="0.35">
      <c r="A784" s="2">
        <v>902</v>
      </c>
      <c r="B784" s="3">
        <v>45078</v>
      </c>
      <c r="C784" s="2" t="s">
        <v>915</v>
      </c>
      <c r="D784" s="2" t="s">
        <v>13</v>
      </c>
      <c r="E784" s="2">
        <v>54</v>
      </c>
      <c r="F784" s="2" t="s">
        <v>11</v>
      </c>
      <c r="G784" s="2">
        <v>1</v>
      </c>
      <c r="H784" s="2">
        <v>50</v>
      </c>
      <c r="I784" s="2">
        <f>Table13[[#This Row],[Quantity]]*Table13[[#This Row],[Price per Unit]]</f>
        <v>50</v>
      </c>
      <c r="J784" s="2">
        <v>50</v>
      </c>
    </row>
    <row r="785" spans="1:10" x14ac:dyDescent="0.35">
      <c r="A785" s="2">
        <v>930</v>
      </c>
      <c r="B785" s="3">
        <v>45056</v>
      </c>
      <c r="C785" s="2" t="s">
        <v>943</v>
      </c>
      <c r="D785" s="2" t="s">
        <v>10</v>
      </c>
      <c r="E785" s="2">
        <v>54</v>
      </c>
      <c r="F785" s="2" t="s">
        <v>14</v>
      </c>
      <c r="G785" s="2">
        <v>4</v>
      </c>
      <c r="H785" s="2">
        <v>50</v>
      </c>
      <c r="I785" s="2">
        <f>Table13[[#This Row],[Quantity]]*Table13[[#This Row],[Price per Unit]]</f>
        <v>200</v>
      </c>
      <c r="J785" s="2">
        <v>200</v>
      </c>
    </row>
    <row r="786" spans="1:10" x14ac:dyDescent="0.35">
      <c r="A786" s="2">
        <v>45</v>
      </c>
      <c r="B786" s="3">
        <v>45110</v>
      </c>
      <c r="C786" s="2" t="s">
        <v>58</v>
      </c>
      <c r="D786" s="2" t="s">
        <v>13</v>
      </c>
      <c r="E786" s="2">
        <v>55</v>
      </c>
      <c r="F786" s="2" t="s">
        <v>16</v>
      </c>
      <c r="G786" s="2">
        <v>1</v>
      </c>
      <c r="H786" s="2">
        <v>30</v>
      </c>
      <c r="I786" s="2">
        <f>Table13[[#This Row],[Quantity]]*Table13[[#This Row],[Price per Unit]]</f>
        <v>30</v>
      </c>
      <c r="J786" s="2">
        <v>30</v>
      </c>
    </row>
    <row r="787" spans="1:10" x14ac:dyDescent="0.35">
      <c r="A787" s="2">
        <v>89</v>
      </c>
      <c r="B787" s="3">
        <v>45200</v>
      </c>
      <c r="C787" s="2" t="s">
        <v>102</v>
      </c>
      <c r="D787" s="2" t="s">
        <v>13</v>
      </c>
      <c r="E787" s="2">
        <v>55</v>
      </c>
      <c r="F787" s="2" t="s">
        <v>16</v>
      </c>
      <c r="G787" s="2">
        <v>4</v>
      </c>
      <c r="H787" s="2">
        <v>500</v>
      </c>
      <c r="I787" s="2">
        <f>Table13[[#This Row],[Quantity]]*Table13[[#This Row],[Price per Unit]]</f>
        <v>2000</v>
      </c>
      <c r="J787" s="2">
        <v>2000</v>
      </c>
    </row>
    <row r="788" spans="1:10" x14ac:dyDescent="0.35">
      <c r="A788" s="2">
        <v>91</v>
      </c>
      <c r="B788" s="3">
        <v>45010</v>
      </c>
      <c r="C788" s="2" t="s">
        <v>104</v>
      </c>
      <c r="D788" s="2" t="s">
        <v>13</v>
      </c>
      <c r="E788" s="2">
        <v>55</v>
      </c>
      <c r="F788" s="2" t="s">
        <v>16</v>
      </c>
      <c r="G788" s="2">
        <v>1</v>
      </c>
      <c r="H788" s="2">
        <v>500</v>
      </c>
      <c r="I788" s="2">
        <f>Table13[[#This Row],[Quantity]]*Table13[[#This Row],[Price per Unit]]</f>
        <v>500</v>
      </c>
      <c r="J788" s="2">
        <v>500</v>
      </c>
    </row>
    <row r="789" spans="1:10" x14ac:dyDescent="0.35">
      <c r="A789" s="2">
        <v>98</v>
      </c>
      <c r="B789" s="3">
        <v>45039</v>
      </c>
      <c r="C789" s="2" t="s">
        <v>111</v>
      </c>
      <c r="D789" s="2" t="s">
        <v>13</v>
      </c>
      <c r="E789" s="2">
        <v>55</v>
      </c>
      <c r="F789" s="2" t="s">
        <v>11</v>
      </c>
      <c r="G789" s="2">
        <v>2</v>
      </c>
      <c r="H789" s="2">
        <v>50</v>
      </c>
      <c r="I789" s="2">
        <f>Table13[[#This Row],[Quantity]]*Table13[[#This Row],[Price per Unit]]</f>
        <v>100</v>
      </c>
      <c r="J789" s="2">
        <v>100</v>
      </c>
    </row>
    <row r="790" spans="1:10" x14ac:dyDescent="0.35">
      <c r="A790" s="2">
        <v>194</v>
      </c>
      <c r="B790" s="3">
        <v>45175</v>
      </c>
      <c r="C790" s="2" t="s">
        <v>207</v>
      </c>
      <c r="D790" s="2" t="s">
        <v>10</v>
      </c>
      <c r="E790" s="2">
        <v>55</v>
      </c>
      <c r="F790" s="2" t="s">
        <v>14</v>
      </c>
      <c r="G790" s="2">
        <v>4</v>
      </c>
      <c r="H790" s="2">
        <v>50</v>
      </c>
      <c r="I790" s="2">
        <f>Table13[[#This Row],[Quantity]]*Table13[[#This Row],[Price per Unit]]</f>
        <v>200</v>
      </c>
      <c r="J790" s="2">
        <v>200</v>
      </c>
    </row>
    <row r="791" spans="1:10" x14ac:dyDescent="0.35">
      <c r="A791" s="2">
        <v>265</v>
      </c>
      <c r="B791" s="3">
        <v>45271</v>
      </c>
      <c r="C791" s="2" t="s">
        <v>278</v>
      </c>
      <c r="D791" s="2" t="s">
        <v>10</v>
      </c>
      <c r="E791" s="2">
        <v>55</v>
      </c>
      <c r="F791" s="2" t="s">
        <v>14</v>
      </c>
      <c r="G791" s="2">
        <v>3</v>
      </c>
      <c r="H791" s="2">
        <v>300</v>
      </c>
      <c r="I791" s="2">
        <f>Table13[[#This Row],[Quantity]]*Table13[[#This Row],[Price per Unit]]</f>
        <v>900</v>
      </c>
      <c r="J791" s="2">
        <v>900</v>
      </c>
    </row>
    <row r="792" spans="1:10" x14ac:dyDescent="0.35">
      <c r="A792" s="2">
        <v>286</v>
      </c>
      <c r="B792" s="3">
        <v>45208</v>
      </c>
      <c r="C792" s="2" t="s">
        <v>299</v>
      </c>
      <c r="D792" s="2" t="s">
        <v>10</v>
      </c>
      <c r="E792" s="2">
        <v>55</v>
      </c>
      <c r="F792" s="2" t="s">
        <v>16</v>
      </c>
      <c r="G792" s="2">
        <v>2</v>
      </c>
      <c r="H792" s="2">
        <v>25</v>
      </c>
      <c r="I792" s="2">
        <f>Table13[[#This Row],[Quantity]]*Table13[[#This Row],[Price per Unit]]</f>
        <v>50</v>
      </c>
      <c r="J792" s="2">
        <v>50</v>
      </c>
    </row>
    <row r="793" spans="1:10" x14ac:dyDescent="0.35">
      <c r="A793" s="2">
        <v>313</v>
      </c>
      <c r="B793" s="3">
        <v>45006</v>
      </c>
      <c r="C793" s="2" t="s">
        <v>326</v>
      </c>
      <c r="D793" s="2" t="s">
        <v>13</v>
      </c>
      <c r="E793" s="2">
        <v>55</v>
      </c>
      <c r="F793" s="2" t="s">
        <v>11</v>
      </c>
      <c r="G793" s="2">
        <v>3</v>
      </c>
      <c r="H793" s="2">
        <v>500</v>
      </c>
      <c r="I793" s="2">
        <f>Table13[[#This Row],[Quantity]]*Table13[[#This Row],[Price per Unit]]</f>
        <v>1500</v>
      </c>
      <c r="J793" s="2">
        <v>1500</v>
      </c>
    </row>
    <row r="794" spans="1:10" x14ac:dyDescent="0.35">
      <c r="A794" s="2">
        <v>355</v>
      </c>
      <c r="B794" s="3">
        <v>45269</v>
      </c>
      <c r="C794" s="2" t="s">
        <v>368</v>
      </c>
      <c r="D794" s="2" t="s">
        <v>13</v>
      </c>
      <c r="E794" s="2">
        <v>55</v>
      </c>
      <c r="F794" s="2" t="s">
        <v>16</v>
      </c>
      <c r="G794" s="2">
        <v>1</v>
      </c>
      <c r="H794" s="2">
        <v>500</v>
      </c>
      <c r="I794" s="2">
        <f>Table13[[#This Row],[Quantity]]*Table13[[#This Row],[Price per Unit]]</f>
        <v>500</v>
      </c>
      <c r="J794" s="2">
        <v>500</v>
      </c>
    </row>
    <row r="795" spans="1:10" x14ac:dyDescent="0.35">
      <c r="A795" s="2">
        <v>384</v>
      </c>
      <c r="B795" s="3">
        <v>45151</v>
      </c>
      <c r="C795" s="2" t="s">
        <v>397</v>
      </c>
      <c r="D795" s="2" t="s">
        <v>10</v>
      </c>
      <c r="E795" s="2">
        <v>55</v>
      </c>
      <c r="F795" s="2" t="s">
        <v>14</v>
      </c>
      <c r="G795" s="2">
        <v>1</v>
      </c>
      <c r="H795" s="2">
        <v>500</v>
      </c>
      <c r="I795" s="2">
        <f>Table13[[#This Row],[Quantity]]*Table13[[#This Row],[Price per Unit]]</f>
        <v>500</v>
      </c>
      <c r="J795" s="2">
        <v>500</v>
      </c>
    </row>
    <row r="796" spans="1:10" x14ac:dyDescent="0.35">
      <c r="A796" s="2">
        <v>396</v>
      </c>
      <c r="B796" s="3">
        <v>44980</v>
      </c>
      <c r="C796" s="2" t="s">
        <v>409</v>
      </c>
      <c r="D796" s="2" t="s">
        <v>13</v>
      </c>
      <c r="E796" s="2">
        <v>55</v>
      </c>
      <c r="F796" s="2" t="s">
        <v>11</v>
      </c>
      <c r="G796" s="2">
        <v>1</v>
      </c>
      <c r="H796" s="2">
        <v>30</v>
      </c>
      <c r="I796" s="2">
        <f>Table13[[#This Row],[Quantity]]*Table13[[#This Row],[Price per Unit]]</f>
        <v>30</v>
      </c>
      <c r="J796" s="2">
        <v>30</v>
      </c>
    </row>
    <row r="797" spans="1:10" x14ac:dyDescent="0.35">
      <c r="A797" s="2">
        <v>425</v>
      </c>
      <c r="B797" s="3">
        <v>45061</v>
      </c>
      <c r="C797" s="2" t="s">
        <v>438</v>
      </c>
      <c r="D797" s="2" t="s">
        <v>13</v>
      </c>
      <c r="E797" s="2">
        <v>55</v>
      </c>
      <c r="F797" s="2" t="s">
        <v>16</v>
      </c>
      <c r="G797" s="2">
        <v>4</v>
      </c>
      <c r="H797" s="2">
        <v>30</v>
      </c>
      <c r="I797" s="2">
        <f>Table13[[#This Row],[Quantity]]*Table13[[#This Row],[Price per Unit]]</f>
        <v>120</v>
      </c>
      <c r="J797" s="2">
        <v>120</v>
      </c>
    </row>
    <row r="798" spans="1:10" x14ac:dyDescent="0.35">
      <c r="A798" s="2">
        <v>483</v>
      </c>
      <c r="B798" s="3">
        <v>45041</v>
      </c>
      <c r="C798" s="2" t="s">
        <v>496</v>
      </c>
      <c r="D798" s="2" t="s">
        <v>10</v>
      </c>
      <c r="E798" s="2">
        <v>55</v>
      </c>
      <c r="F798" s="2" t="s">
        <v>14</v>
      </c>
      <c r="G798" s="2">
        <v>1</v>
      </c>
      <c r="H798" s="2">
        <v>30</v>
      </c>
      <c r="I798" s="2">
        <f>Table13[[#This Row],[Quantity]]*Table13[[#This Row],[Price per Unit]]</f>
        <v>30</v>
      </c>
      <c r="J798" s="2">
        <v>30</v>
      </c>
    </row>
    <row r="799" spans="1:10" x14ac:dyDescent="0.35">
      <c r="A799" s="2">
        <v>536</v>
      </c>
      <c r="B799" s="3">
        <v>44990</v>
      </c>
      <c r="C799" s="2" t="s">
        <v>549</v>
      </c>
      <c r="D799" s="2" t="s">
        <v>13</v>
      </c>
      <c r="E799" s="2">
        <v>55</v>
      </c>
      <c r="F799" s="2" t="s">
        <v>11</v>
      </c>
      <c r="G799" s="2">
        <v>4</v>
      </c>
      <c r="H799" s="2">
        <v>30</v>
      </c>
      <c r="I799" s="2">
        <f>Table13[[#This Row],[Quantity]]*Table13[[#This Row],[Price per Unit]]</f>
        <v>120</v>
      </c>
      <c r="J799" s="2">
        <v>120</v>
      </c>
    </row>
    <row r="800" spans="1:10" x14ac:dyDescent="0.35">
      <c r="A800" s="2">
        <v>608</v>
      </c>
      <c r="B800" s="3">
        <v>45262</v>
      </c>
      <c r="C800" s="2" t="s">
        <v>621</v>
      </c>
      <c r="D800" s="2" t="s">
        <v>13</v>
      </c>
      <c r="E800" s="2">
        <v>55</v>
      </c>
      <c r="F800" s="2" t="s">
        <v>16</v>
      </c>
      <c r="G800" s="2">
        <v>3</v>
      </c>
      <c r="H800" s="2">
        <v>500</v>
      </c>
      <c r="I800" s="2">
        <f>Table13[[#This Row],[Quantity]]*Table13[[#This Row],[Price per Unit]]</f>
        <v>1500</v>
      </c>
      <c r="J800" s="2">
        <v>1500</v>
      </c>
    </row>
    <row r="801" spans="1:10" x14ac:dyDescent="0.35">
      <c r="A801" s="2">
        <v>650</v>
      </c>
      <c r="B801" s="3">
        <v>45292</v>
      </c>
      <c r="C801" s="2" t="s">
        <v>663</v>
      </c>
      <c r="D801" s="2" t="s">
        <v>10</v>
      </c>
      <c r="E801" s="2">
        <v>55</v>
      </c>
      <c r="F801" s="2" t="s">
        <v>16</v>
      </c>
      <c r="G801" s="2">
        <v>1</v>
      </c>
      <c r="H801" s="2">
        <v>30</v>
      </c>
      <c r="I801" s="2">
        <f>Table13[[#This Row],[Quantity]]*Table13[[#This Row],[Price per Unit]]</f>
        <v>30</v>
      </c>
      <c r="J801" s="2">
        <v>30</v>
      </c>
    </row>
    <row r="802" spans="1:10" x14ac:dyDescent="0.35">
      <c r="A802" s="2">
        <v>655</v>
      </c>
      <c r="B802" s="3">
        <v>45090</v>
      </c>
      <c r="C802" s="2" t="s">
        <v>668</v>
      </c>
      <c r="D802" s="2" t="s">
        <v>13</v>
      </c>
      <c r="E802" s="2">
        <v>55</v>
      </c>
      <c r="F802" s="2" t="s">
        <v>14</v>
      </c>
      <c r="G802" s="2">
        <v>1</v>
      </c>
      <c r="H802" s="2">
        <v>500</v>
      </c>
      <c r="I802" s="2">
        <f>Table13[[#This Row],[Quantity]]*Table13[[#This Row],[Price per Unit]]</f>
        <v>500</v>
      </c>
      <c r="J802" s="2">
        <v>500</v>
      </c>
    </row>
    <row r="803" spans="1:10" x14ac:dyDescent="0.35">
      <c r="A803" s="2">
        <v>727</v>
      </c>
      <c r="B803" s="3">
        <v>45099</v>
      </c>
      <c r="C803" s="2" t="s">
        <v>740</v>
      </c>
      <c r="D803" s="2" t="s">
        <v>10</v>
      </c>
      <c r="E803" s="2">
        <v>55</v>
      </c>
      <c r="F803" s="2" t="s">
        <v>11</v>
      </c>
      <c r="G803" s="2">
        <v>3</v>
      </c>
      <c r="H803" s="2">
        <v>300</v>
      </c>
      <c r="I803" s="2">
        <f>Table13[[#This Row],[Quantity]]*Table13[[#This Row],[Price per Unit]]</f>
        <v>900</v>
      </c>
      <c r="J803" s="2">
        <v>900</v>
      </c>
    </row>
    <row r="804" spans="1:10" x14ac:dyDescent="0.35">
      <c r="A804" s="2">
        <v>895</v>
      </c>
      <c r="B804" s="3">
        <v>45068</v>
      </c>
      <c r="C804" s="2" t="s">
        <v>908</v>
      </c>
      <c r="D804" s="2" t="s">
        <v>13</v>
      </c>
      <c r="E804" s="2">
        <v>55</v>
      </c>
      <c r="F804" s="2" t="s">
        <v>14</v>
      </c>
      <c r="G804" s="2">
        <v>4</v>
      </c>
      <c r="H804" s="2">
        <v>30</v>
      </c>
      <c r="I804" s="2">
        <f>Table13[[#This Row],[Quantity]]*Table13[[#This Row],[Price per Unit]]</f>
        <v>120</v>
      </c>
      <c r="J804" s="2">
        <v>120</v>
      </c>
    </row>
    <row r="805" spans="1:10" x14ac:dyDescent="0.35">
      <c r="A805" s="2">
        <v>924</v>
      </c>
      <c r="B805" s="3">
        <v>45167</v>
      </c>
      <c r="C805" s="2" t="s">
        <v>937</v>
      </c>
      <c r="D805" s="2" t="s">
        <v>10</v>
      </c>
      <c r="E805" s="2">
        <v>55</v>
      </c>
      <c r="F805" s="2" t="s">
        <v>11</v>
      </c>
      <c r="G805" s="2">
        <v>2</v>
      </c>
      <c r="H805" s="2">
        <v>50</v>
      </c>
      <c r="I805" s="2">
        <f>Table13[[#This Row],[Quantity]]*Table13[[#This Row],[Price per Unit]]</f>
        <v>100</v>
      </c>
      <c r="J805" s="2">
        <v>100</v>
      </c>
    </row>
    <row r="806" spans="1:10" x14ac:dyDescent="0.35">
      <c r="A806" s="2">
        <v>963</v>
      </c>
      <c r="B806" s="3">
        <v>45244</v>
      </c>
      <c r="C806" s="2" t="s">
        <v>976</v>
      </c>
      <c r="D806" s="2" t="s">
        <v>13</v>
      </c>
      <c r="E806" s="2">
        <v>55</v>
      </c>
      <c r="F806" s="2" t="s">
        <v>11</v>
      </c>
      <c r="G806" s="2">
        <v>1</v>
      </c>
      <c r="H806" s="2">
        <v>50</v>
      </c>
      <c r="I806" s="2">
        <f>Table13[[#This Row],[Quantity]]*Table13[[#This Row],[Price per Unit]]</f>
        <v>50</v>
      </c>
      <c r="J806" s="2">
        <v>50</v>
      </c>
    </row>
    <row r="807" spans="1:10" x14ac:dyDescent="0.35">
      <c r="A807" s="2">
        <v>69</v>
      </c>
      <c r="B807" s="3">
        <v>45046</v>
      </c>
      <c r="C807" s="2" t="s">
        <v>82</v>
      </c>
      <c r="D807" s="2" t="s">
        <v>13</v>
      </c>
      <c r="E807" s="2">
        <v>56</v>
      </c>
      <c r="F807" s="2" t="s">
        <v>11</v>
      </c>
      <c r="G807" s="2">
        <v>3</v>
      </c>
      <c r="H807" s="2">
        <v>25</v>
      </c>
      <c r="I807" s="2">
        <f>Table13[[#This Row],[Quantity]]*Table13[[#This Row],[Price per Unit]]</f>
        <v>75</v>
      </c>
      <c r="J807" s="2">
        <v>75</v>
      </c>
    </row>
    <row r="808" spans="1:10" x14ac:dyDescent="0.35">
      <c r="A808" s="2">
        <v>88</v>
      </c>
      <c r="B808" s="3">
        <v>45014</v>
      </c>
      <c r="C808" s="2" t="s">
        <v>101</v>
      </c>
      <c r="D808" s="2" t="s">
        <v>10</v>
      </c>
      <c r="E808" s="2">
        <v>56</v>
      </c>
      <c r="F808" s="2" t="s">
        <v>14</v>
      </c>
      <c r="G808" s="2">
        <v>1</v>
      </c>
      <c r="H808" s="2">
        <v>500</v>
      </c>
      <c r="I808" s="2">
        <f>Table13[[#This Row],[Quantity]]*Table13[[#This Row],[Price per Unit]]</f>
        <v>500</v>
      </c>
      <c r="J808" s="2">
        <v>500</v>
      </c>
    </row>
    <row r="809" spans="1:10" x14ac:dyDescent="0.35">
      <c r="A809" s="2">
        <v>201</v>
      </c>
      <c r="B809" s="3">
        <v>45208</v>
      </c>
      <c r="C809" s="2" t="s">
        <v>214</v>
      </c>
      <c r="D809" s="2" t="s">
        <v>10</v>
      </c>
      <c r="E809" s="2">
        <v>56</v>
      </c>
      <c r="F809" s="2" t="s">
        <v>16</v>
      </c>
      <c r="G809" s="2">
        <v>1</v>
      </c>
      <c r="H809" s="2">
        <v>25</v>
      </c>
      <c r="I809" s="2">
        <f>Table13[[#This Row],[Quantity]]*Table13[[#This Row],[Price per Unit]]</f>
        <v>25</v>
      </c>
      <c r="J809" s="2">
        <v>25</v>
      </c>
    </row>
    <row r="810" spans="1:10" x14ac:dyDescent="0.35">
      <c r="A810" s="2">
        <v>203</v>
      </c>
      <c r="B810" s="3">
        <v>45062</v>
      </c>
      <c r="C810" s="2" t="s">
        <v>216</v>
      </c>
      <c r="D810" s="2" t="s">
        <v>10</v>
      </c>
      <c r="E810" s="2">
        <v>56</v>
      </c>
      <c r="F810" s="2" t="s">
        <v>14</v>
      </c>
      <c r="G810" s="2">
        <v>2</v>
      </c>
      <c r="H810" s="2">
        <v>500</v>
      </c>
      <c r="I810" s="2">
        <f>Table13[[#This Row],[Quantity]]*Table13[[#This Row],[Price per Unit]]</f>
        <v>1000</v>
      </c>
      <c r="J810" s="2">
        <v>1000</v>
      </c>
    </row>
    <row r="811" spans="1:10" x14ac:dyDescent="0.35">
      <c r="A811" s="2">
        <v>351</v>
      </c>
      <c r="B811" s="3">
        <v>45194</v>
      </c>
      <c r="C811" s="2" t="s">
        <v>364</v>
      </c>
      <c r="D811" s="2" t="s">
        <v>13</v>
      </c>
      <c r="E811" s="2">
        <v>56</v>
      </c>
      <c r="F811" s="2" t="s">
        <v>14</v>
      </c>
      <c r="G811" s="2">
        <v>3</v>
      </c>
      <c r="H811" s="2">
        <v>30</v>
      </c>
      <c r="I811" s="2">
        <f>Table13[[#This Row],[Quantity]]*Table13[[#This Row],[Price per Unit]]</f>
        <v>90</v>
      </c>
      <c r="J811" s="2">
        <v>90</v>
      </c>
    </row>
    <row r="812" spans="1:10" x14ac:dyDescent="0.35">
      <c r="A812" s="2">
        <v>368</v>
      </c>
      <c r="B812" s="3">
        <v>45161</v>
      </c>
      <c r="C812" s="2" t="s">
        <v>381</v>
      </c>
      <c r="D812" s="2" t="s">
        <v>13</v>
      </c>
      <c r="E812" s="2">
        <v>56</v>
      </c>
      <c r="F812" s="2" t="s">
        <v>14</v>
      </c>
      <c r="G812" s="2">
        <v>4</v>
      </c>
      <c r="H812" s="2">
        <v>300</v>
      </c>
      <c r="I812" s="2">
        <f>Table13[[#This Row],[Quantity]]*Table13[[#This Row],[Price per Unit]]</f>
        <v>1200</v>
      </c>
      <c r="J812" s="2">
        <v>1200</v>
      </c>
    </row>
    <row r="813" spans="1:10" x14ac:dyDescent="0.35">
      <c r="A813" s="2">
        <v>380</v>
      </c>
      <c r="B813" s="3">
        <v>45052</v>
      </c>
      <c r="C813" s="2" t="s">
        <v>393</v>
      </c>
      <c r="D813" s="2" t="s">
        <v>10</v>
      </c>
      <c r="E813" s="2">
        <v>56</v>
      </c>
      <c r="F813" s="2" t="s">
        <v>16</v>
      </c>
      <c r="G813" s="2">
        <v>2</v>
      </c>
      <c r="H813" s="2">
        <v>300</v>
      </c>
      <c r="I813" s="2">
        <f>Table13[[#This Row],[Quantity]]*Table13[[#This Row],[Price per Unit]]</f>
        <v>600</v>
      </c>
      <c r="J813" s="2">
        <v>600</v>
      </c>
    </row>
    <row r="814" spans="1:10" x14ac:dyDescent="0.35">
      <c r="A814" s="2">
        <v>541</v>
      </c>
      <c r="B814" s="3">
        <v>45136</v>
      </c>
      <c r="C814" s="2" t="s">
        <v>554</v>
      </c>
      <c r="D814" s="2" t="s">
        <v>10</v>
      </c>
      <c r="E814" s="2">
        <v>56</v>
      </c>
      <c r="F814" s="2" t="s">
        <v>11</v>
      </c>
      <c r="G814" s="2">
        <v>1</v>
      </c>
      <c r="H814" s="2">
        <v>500</v>
      </c>
      <c r="I814" s="2">
        <f>Table13[[#This Row],[Quantity]]*Table13[[#This Row],[Price per Unit]]</f>
        <v>500</v>
      </c>
      <c r="J814" s="2">
        <v>500</v>
      </c>
    </row>
    <row r="815" spans="1:10" x14ac:dyDescent="0.35">
      <c r="A815" s="2">
        <v>631</v>
      </c>
      <c r="B815" s="3">
        <v>45240</v>
      </c>
      <c r="C815" s="2" t="s">
        <v>644</v>
      </c>
      <c r="D815" s="2" t="s">
        <v>10</v>
      </c>
      <c r="E815" s="2">
        <v>56</v>
      </c>
      <c r="F815" s="2" t="s">
        <v>16</v>
      </c>
      <c r="G815" s="2">
        <v>3</v>
      </c>
      <c r="H815" s="2">
        <v>30</v>
      </c>
      <c r="I815" s="2">
        <f>Table13[[#This Row],[Quantity]]*Table13[[#This Row],[Price per Unit]]</f>
        <v>90</v>
      </c>
      <c r="J815" s="2">
        <v>90</v>
      </c>
    </row>
    <row r="816" spans="1:10" x14ac:dyDescent="0.35">
      <c r="A816" s="2">
        <v>688</v>
      </c>
      <c r="B816" s="3">
        <v>45202</v>
      </c>
      <c r="C816" s="2" t="s">
        <v>701</v>
      </c>
      <c r="D816" s="2" t="s">
        <v>10</v>
      </c>
      <c r="E816" s="2">
        <v>56</v>
      </c>
      <c r="F816" s="2" t="s">
        <v>14</v>
      </c>
      <c r="G816" s="2">
        <v>4</v>
      </c>
      <c r="H816" s="2">
        <v>25</v>
      </c>
      <c r="I816" s="2">
        <f>Table13[[#This Row],[Quantity]]*Table13[[#This Row],[Price per Unit]]</f>
        <v>100</v>
      </c>
      <c r="J816" s="2">
        <v>100</v>
      </c>
    </row>
    <row r="817" spans="1:10" x14ac:dyDescent="0.35">
      <c r="A817" s="2">
        <v>720</v>
      </c>
      <c r="B817" s="3">
        <v>44952</v>
      </c>
      <c r="C817" s="2" t="s">
        <v>733</v>
      </c>
      <c r="D817" s="2" t="s">
        <v>13</v>
      </c>
      <c r="E817" s="2">
        <v>56</v>
      </c>
      <c r="F817" s="2" t="s">
        <v>11</v>
      </c>
      <c r="G817" s="2">
        <v>3</v>
      </c>
      <c r="H817" s="2">
        <v>500</v>
      </c>
      <c r="I817" s="2">
        <f>Table13[[#This Row],[Quantity]]*Table13[[#This Row],[Price per Unit]]</f>
        <v>1500</v>
      </c>
      <c r="J817" s="2">
        <v>1500</v>
      </c>
    </row>
    <row r="818" spans="1:10" x14ac:dyDescent="0.35">
      <c r="A818" s="2">
        <v>779</v>
      </c>
      <c r="B818" s="3">
        <v>45051</v>
      </c>
      <c r="C818" s="2" t="s">
        <v>792</v>
      </c>
      <c r="D818" s="2" t="s">
        <v>13</v>
      </c>
      <c r="E818" s="2">
        <v>56</v>
      </c>
      <c r="F818" s="2" t="s">
        <v>16</v>
      </c>
      <c r="G818" s="2">
        <v>2</v>
      </c>
      <c r="H818" s="2">
        <v>500</v>
      </c>
      <c r="I818" s="2">
        <f>Table13[[#This Row],[Quantity]]*Table13[[#This Row],[Price per Unit]]</f>
        <v>1000</v>
      </c>
      <c r="J818" s="2">
        <v>1000</v>
      </c>
    </row>
    <row r="819" spans="1:10" x14ac:dyDescent="0.35">
      <c r="A819" s="2">
        <v>783</v>
      </c>
      <c r="B819" s="3">
        <v>45277</v>
      </c>
      <c r="C819" s="2" t="s">
        <v>796</v>
      </c>
      <c r="D819" s="2" t="s">
        <v>13</v>
      </c>
      <c r="E819" s="2">
        <v>56</v>
      </c>
      <c r="F819" s="2" t="s">
        <v>14</v>
      </c>
      <c r="G819" s="2">
        <v>1</v>
      </c>
      <c r="H819" s="2">
        <v>300</v>
      </c>
      <c r="I819" s="2">
        <f>Table13[[#This Row],[Quantity]]*Table13[[#This Row],[Price per Unit]]</f>
        <v>300</v>
      </c>
      <c r="J819" s="2">
        <v>300</v>
      </c>
    </row>
    <row r="820" spans="1:10" x14ac:dyDescent="0.35">
      <c r="A820" s="2">
        <v>799</v>
      </c>
      <c r="B820" s="3">
        <v>45177</v>
      </c>
      <c r="C820" s="2" t="s">
        <v>812</v>
      </c>
      <c r="D820" s="2" t="s">
        <v>10</v>
      </c>
      <c r="E820" s="2">
        <v>56</v>
      </c>
      <c r="F820" s="2" t="s">
        <v>16</v>
      </c>
      <c r="G820" s="2">
        <v>2</v>
      </c>
      <c r="H820" s="2">
        <v>50</v>
      </c>
      <c r="I820" s="2">
        <f>Table13[[#This Row],[Quantity]]*Table13[[#This Row],[Price per Unit]]</f>
        <v>100</v>
      </c>
      <c r="J820" s="2">
        <v>100</v>
      </c>
    </row>
    <row r="821" spans="1:10" x14ac:dyDescent="0.35">
      <c r="A821" s="2">
        <v>823</v>
      </c>
      <c r="B821" s="3">
        <v>45157</v>
      </c>
      <c r="C821" s="2" t="s">
        <v>836</v>
      </c>
      <c r="D821" s="2" t="s">
        <v>13</v>
      </c>
      <c r="E821" s="2">
        <v>56</v>
      </c>
      <c r="F821" s="2" t="s">
        <v>16</v>
      </c>
      <c r="G821" s="2">
        <v>2</v>
      </c>
      <c r="H821" s="2">
        <v>50</v>
      </c>
      <c r="I821" s="2">
        <f>Table13[[#This Row],[Quantity]]*Table13[[#This Row],[Price per Unit]]</f>
        <v>100</v>
      </c>
      <c r="J821" s="2">
        <v>100</v>
      </c>
    </row>
    <row r="822" spans="1:10" x14ac:dyDescent="0.35">
      <c r="A822" s="2">
        <v>834</v>
      </c>
      <c r="B822" s="3">
        <v>45020</v>
      </c>
      <c r="C822" s="2" t="s">
        <v>847</v>
      </c>
      <c r="D822" s="2" t="s">
        <v>13</v>
      </c>
      <c r="E822" s="2">
        <v>56</v>
      </c>
      <c r="F822" s="2" t="s">
        <v>11</v>
      </c>
      <c r="G822" s="2">
        <v>2</v>
      </c>
      <c r="H822" s="2">
        <v>30</v>
      </c>
      <c r="I822" s="2">
        <f>Table13[[#This Row],[Quantity]]*Table13[[#This Row],[Price per Unit]]</f>
        <v>60</v>
      </c>
      <c r="J822" s="2">
        <v>60</v>
      </c>
    </row>
    <row r="823" spans="1:10" x14ac:dyDescent="0.35">
      <c r="A823" s="2">
        <v>859</v>
      </c>
      <c r="B823" s="3">
        <v>45156</v>
      </c>
      <c r="C823" s="2" t="s">
        <v>872</v>
      </c>
      <c r="D823" s="2" t="s">
        <v>13</v>
      </c>
      <c r="E823" s="2">
        <v>56</v>
      </c>
      <c r="F823" s="2" t="s">
        <v>16</v>
      </c>
      <c r="G823" s="2">
        <v>3</v>
      </c>
      <c r="H823" s="2">
        <v>500</v>
      </c>
      <c r="I823" s="2">
        <f>Table13[[#This Row],[Quantity]]*Table13[[#This Row],[Price per Unit]]</f>
        <v>1500</v>
      </c>
      <c r="J823" s="2">
        <v>1500</v>
      </c>
    </row>
    <row r="824" spans="1:10" x14ac:dyDescent="0.35">
      <c r="A824" s="2">
        <v>975</v>
      </c>
      <c r="B824" s="3">
        <v>45015</v>
      </c>
      <c r="C824" s="2" t="s">
        <v>988</v>
      </c>
      <c r="D824" s="2" t="s">
        <v>13</v>
      </c>
      <c r="E824" s="2">
        <v>56</v>
      </c>
      <c r="F824" s="2" t="s">
        <v>14</v>
      </c>
      <c r="G824" s="2">
        <v>4</v>
      </c>
      <c r="H824" s="2">
        <v>50</v>
      </c>
      <c r="I824" s="2">
        <f>Table13[[#This Row],[Quantity]]*Table13[[#This Row],[Price per Unit]]</f>
        <v>200</v>
      </c>
      <c r="J824" s="2">
        <v>200</v>
      </c>
    </row>
    <row r="825" spans="1:10" x14ac:dyDescent="0.35">
      <c r="A825" s="2">
        <v>984</v>
      </c>
      <c r="B825" s="3">
        <v>45167</v>
      </c>
      <c r="C825" s="2" t="s">
        <v>997</v>
      </c>
      <c r="D825" s="2" t="s">
        <v>10</v>
      </c>
      <c r="E825" s="2">
        <v>56</v>
      </c>
      <c r="F825" s="2" t="s">
        <v>14</v>
      </c>
      <c r="G825" s="2">
        <v>1</v>
      </c>
      <c r="H825" s="2">
        <v>500</v>
      </c>
      <c r="I825" s="2">
        <f>Table13[[#This Row],[Quantity]]*Table13[[#This Row],[Price per Unit]]</f>
        <v>500</v>
      </c>
      <c r="J825" s="2">
        <v>500</v>
      </c>
    </row>
    <row r="826" spans="1:10" x14ac:dyDescent="0.35">
      <c r="A826" s="2">
        <v>63</v>
      </c>
      <c r="B826" s="3">
        <v>44962</v>
      </c>
      <c r="C826" s="2" t="s">
        <v>76</v>
      </c>
      <c r="D826" s="2" t="s">
        <v>10</v>
      </c>
      <c r="E826" s="2">
        <v>57</v>
      </c>
      <c r="F826" s="2" t="s">
        <v>16</v>
      </c>
      <c r="G826" s="2">
        <v>2</v>
      </c>
      <c r="H826" s="2">
        <v>25</v>
      </c>
      <c r="I826" s="2">
        <f>Table13[[#This Row],[Quantity]]*Table13[[#This Row],[Price per Unit]]</f>
        <v>50</v>
      </c>
      <c r="J826" s="2">
        <v>50</v>
      </c>
    </row>
    <row r="827" spans="1:10" x14ac:dyDescent="0.35">
      <c r="A827" s="2">
        <v>130</v>
      </c>
      <c r="B827" s="3">
        <v>44997</v>
      </c>
      <c r="C827" s="2" t="s">
        <v>143</v>
      </c>
      <c r="D827" s="2" t="s">
        <v>13</v>
      </c>
      <c r="E827" s="2">
        <v>57</v>
      </c>
      <c r="F827" s="2" t="s">
        <v>14</v>
      </c>
      <c r="G827" s="2">
        <v>1</v>
      </c>
      <c r="H827" s="2">
        <v>500</v>
      </c>
      <c r="I827" s="2">
        <f>Table13[[#This Row],[Quantity]]*Table13[[#This Row],[Price per Unit]]</f>
        <v>500</v>
      </c>
      <c r="J827" s="2">
        <v>500</v>
      </c>
    </row>
    <row r="828" spans="1:10" x14ac:dyDescent="0.35">
      <c r="A828" s="2">
        <v>225</v>
      </c>
      <c r="B828" s="3">
        <v>44937</v>
      </c>
      <c r="C828" s="2" t="s">
        <v>238</v>
      </c>
      <c r="D828" s="2" t="s">
        <v>13</v>
      </c>
      <c r="E828" s="2">
        <v>57</v>
      </c>
      <c r="F828" s="2" t="s">
        <v>11</v>
      </c>
      <c r="G828" s="2">
        <v>4</v>
      </c>
      <c r="H828" s="2">
        <v>25</v>
      </c>
      <c r="I828" s="2">
        <f>Table13[[#This Row],[Quantity]]*Table13[[#This Row],[Price per Unit]]</f>
        <v>100</v>
      </c>
      <c r="J828" s="2">
        <v>100</v>
      </c>
    </row>
    <row r="829" spans="1:10" x14ac:dyDescent="0.35">
      <c r="A829" s="2">
        <v>251</v>
      </c>
      <c r="B829" s="3">
        <v>45169</v>
      </c>
      <c r="C829" s="2" t="s">
        <v>264</v>
      </c>
      <c r="D829" s="2" t="s">
        <v>13</v>
      </c>
      <c r="E829" s="2">
        <v>57</v>
      </c>
      <c r="F829" s="2" t="s">
        <v>11</v>
      </c>
      <c r="G829" s="2">
        <v>4</v>
      </c>
      <c r="H829" s="2">
        <v>50</v>
      </c>
      <c r="I829" s="2">
        <f>Table13[[#This Row],[Quantity]]*Table13[[#This Row],[Price per Unit]]</f>
        <v>200</v>
      </c>
      <c r="J829" s="2">
        <v>200</v>
      </c>
    </row>
    <row r="830" spans="1:10" x14ac:dyDescent="0.35">
      <c r="A830" s="2">
        <v>302</v>
      </c>
      <c r="B830" s="3">
        <v>45121</v>
      </c>
      <c r="C830" s="2" t="s">
        <v>315</v>
      </c>
      <c r="D830" s="2" t="s">
        <v>10</v>
      </c>
      <c r="E830" s="2">
        <v>57</v>
      </c>
      <c r="F830" s="2" t="s">
        <v>11</v>
      </c>
      <c r="G830" s="2">
        <v>2</v>
      </c>
      <c r="H830" s="2">
        <v>300</v>
      </c>
      <c r="I830" s="2">
        <f>Table13[[#This Row],[Quantity]]*Table13[[#This Row],[Price per Unit]]</f>
        <v>600</v>
      </c>
      <c r="J830" s="2">
        <v>600</v>
      </c>
    </row>
    <row r="831" spans="1:10" x14ac:dyDescent="0.35">
      <c r="A831" s="2">
        <v>327</v>
      </c>
      <c r="B831" s="3">
        <v>45198</v>
      </c>
      <c r="C831" s="2" t="s">
        <v>340</v>
      </c>
      <c r="D831" s="2" t="s">
        <v>10</v>
      </c>
      <c r="E831" s="2">
        <v>57</v>
      </c>
      <c r="F831" s="2" t="s">
        <v>16</v>
      </c>
      <c r="G831" s="2">
        <v>3</v>
      </c>
      <c r="H831" s="2">
        <v>50</v>
      </c>
      <c r="I831" s="2">
        <f>Table13[[#This Row],[Quantity]]*Table13[[#This Row],[Price per Unit]]</f>
        <v>150</v>
      </c>
      <c r="J831" s="2">
        <v>150</v>
      </c>
    </row>
    <row r="832" spans="1:10" x14ac:dyDescent="0.35">
      <c r="A832" s="2">
        <v>349</v>
      </c>
      <c r="B832" s="3">
        <v>45225</v>
      </c>
      <c r="C832" s="2" t="s">
        <v>362</v>
      </c>
      <c r="D832" s="2" t="s">
        <v>13</v>
      </c>
      <c r="E832" s="2">
        <v>57</v>
      </c>
      <c r="F832" s="2" t="s">
        <v>11</v>
      </c>
      <c r="G832" s="2">
        <v>1</v>
      </c>
      <c r="H832" s="2">
        <v>50</v>
      </c>
      <c r="I832" s="2">
        <f>Table13[[#This Row],[Quantity]]*Table13[[#This Row],[Price per Unit]]</f>
        <v>50</v>
      </c>
      <c r="J832" s="2">
        <v>50</v>
      </c>
    </row>
    <row r="833" spans="1:10" x14ac:dyDescent="0.35">
      <c r="A833" s="2">
        <v>352</v>
      </c>
      <c r="B833" s="3">
        <v>45088</v>
      </c>
      <c r="C833" s="2" t="s">
        <v>365</v>
      </c>
      <c r="D833" s="2" t="s">
        <v>10</v>
      </c>
      <c r="E833" s="2">
        <v>57</v>
      </c>
      <c r="F833" s="2" t="s">
        <v>16</v>
      </c>
      <c r="G833" s="2">
        <v>2</v>
      </c>
      <c r="H833" s="2">
        <v>500</v>
      </c>
      <c r="I833" s="2">
        <f>Table13[[#This Row],[Quantity]]*Table13[[#This Row],[Price per Unit]]</f>
        <v>1000</v>
      </c>
      <c r="J833" s="2">
        <v>1000</v>
      </c>
    </row>
    <row r="834" spans="1:10" x14ac:dyDescent="0.35">
      <c r="A834" s="2">
        <v>366</v>
      </c>
      <c r="B834" s="3">
        <v>44964</v>
      </c>
      <c r="C834" s="2" t="s">
        <v>379</v>
      </c>
      <c r="D834" s="2" t="s">
        <v>10</v>
      </c>
      <c r="E834" s="2">
        <v>57</v>
      </c>
      <c r="F834" s="2" t="s">
        <v>14</v>
      </c>
      <c r="G834" s="2">
        <v>2</v>
      </c>
      <c r="H834" s="2">
        <v>50</v>
      </c>
      <c r="I834" s="2">
        <f>Table13[[#This Row],[Quantity]]*Table13[[#This Row],[Price per Unit]]</f>
        <v>100</v>
      </c>
      <c r="J834" s="2">
        <v>100</v>
      </c>
    </row>
    <row r="835" spans="1:10" x14ac:dyDescent="0.35">
      <c r="A835" s="2">
        <v>367</v>
      </c>
      <c r="B835" s="3">
        <v>44931</v>
      </c>
      <c r="C835" s="2" t="s">
        <v>380</v>
      </c>
      <c r="D835" s="2" t="s">
        <v>13</v>
      </c>
      <c r="E835" s="2">
        <v>57</v>
      </c>
      <c r="F835" s="2" t="s">
        <v>16</v>
      </c>
      <c r="G835" s="2">
        <v>1</v>
      </c>
      <c r="H835" s="2">
        <v>50</v>
      </c>
      <c r="I835" s="2">
        <f>Table13[[#This Row],[Quantity]]*Table13[[#This Row],[Price per Unit]]</f>
        <v>50</v>
      </c>
      <c r="J835" s="2">
        <v>50</v>
      </c>
    </row>
    <row r="836" spans="1:10" x14ac:dyDescent="0.35">
      <c r="A836" s="2">
        <v>424</v>
      </c>
      <c r="B836" s="3">
        <v>45253</v>
      </c>
      <c r="C836" s="2" t="s">
        <v>437</v>
      </c>
      <c r="D836" s="2" t="s">
        <v>10</v>
      </c>
      <c r="E836" s="2">
        <v>57</v>
      </c>
      <c r="F836" s="2" t="s">
        <v>11</v>
      </c>
      <c r="G836" s="2">
        <v>4</v>
      </c>
      <c r="H836" s="2">
        <v>300</v>
      </c>
      <c r="I836" s="2">
        <f>Table13[[#This Row],[Quantity]]*Table13[[#This Row],[Price per Unit]]</f>
        <v>1200</v>
      </c>
      <c r="J836" s="2">
        <v>1200</v>
      </c>
    </row>
    <row r="837" spans="1:10" x14ac:dyDescent="0.35">
      <c r="A837" s="2">
        <v>436</v>
      </c>
      <c r="B837" s="3">
        <v>45003</v>
      </c>
      <c r="C837" s="2" t="s">
        <v>449</v>
      </c>
      <c r="D837" s="2" t="s">
        <v>13</v>
      </c>
      <c r="E837" s="2">
        <v>57</v>
      </c>
      <c r="F837" s="2" t="s">
        <v>14</v>
      </c>
      <c r="G837" s="2">
        <v>4</v>
      </c>
      <c r="H837" s="2">
        <v>30</v>
      </c>
      <c r="I837" s="2">
        <f>Table13[[#This Row],[Quantity]]*Table13[[#This Row],[Price per Unit]]</f>
        <v>120</v>
      </c>
      <c r="J837" s="2">
        <v>120</v>
      </c>
    </row>
    <row r="838" spans="1:10" x14ac:dyDescent="0.35">
      <c r="A838" s="2">
        <v>441</v>
      </c>
      <c r="B838" s="3">
        <v>45209</v>
      </c>
      <c r="C838" s="2" t="s">
        <v>454</v>
      </c>
      <c r="D838" s="2" t="s">
        <v>10</v>
      </c>
      <c r="E838" s="2">
        <v>57</v>
      </c>
      <c r="F838" s="2" t="s">
        <v>11</v>
      </c>
      <c r="G838" s="2">
        <v>4</v>
      </c>
      <c r="H838" s="2">
        <v>300</v>
      </c>
      <c r="I838" s="2">
        <f>Table13[[#This Row],[Quantity]]*Table13[[#This Row],[Price per Unit]]</f>
        <v>1200</v>
      </c>
      <c r="J838" s="2">
        <v>1200</v>
      </c>
    </row>
    <row r="839" spans="1:10" x14ac:dyDescent="0.35">
      <c r="A839" s="2">
        <v>456</v>
      </c>
      <c r="B839" s="3">
        <v>45213</v>
      </c>
      <c r="C839" s="2" t="s">
        <v>469</v>
      </c>
      <c r="D839" s="2" t="s">
        <v>10</v>
      </c>
      <c r="E839" s="2">
        <v>57</v>
      </c>
      <c r="F839" s="2" t="s">
        <v>16</v>
      </c>
      <c r="G839" s="2">
        <v>2</v>
      </c>
      <c r="H839" s="2">
        <v>30</v>
      </c>
      <c r="I839" s="2">
        <f>Table13[[#This Row],[Quantity]]*Table13[[#This Row],[Price per Unit]]</f>
        <v>60</v>
      </c>
      <c r="J839" s="2">
        <v>60</v>
      </c>
    </row>
    <row r="840" spans="1:10" x14ac:dyDescent="0.35">
      <c r="A840" s="2">
        <v>470</v>
      </c>
      <c r="B840" s="3">
        <v>45063</v>
      </c>
      <c r="C840" s="2" t="s">
        <v>483</v>
      </c>
      <c r="D840" s="2" t="s">
        <v>13</v>
      </c>
      <c r="E840" s="2">
        <v>57</v>
      </c>
      <c r="F840" s="2" t="s">
        <v>14</v>
      </c>
      <c r="G840" s="2">
        <v>2</v>
      </c>
      <c r="H840" s="2">
        <v>500</v>
      </c>
      <c r="I840" s="2">
        <f>Table13[[#This Row],[Quantity]]*Table13[[#This Row],[Price per Unit]]</f>
        <v>1000</v>
      </c>
      <c r="J840" s="2">
        <v>1000</v>
      </c>
    </row>
    <row r="841" spans="1:10" x14ac:dyDescent="0.35">
      <c r="A841" s="2">
        <v>512</v>
      </c>
      <c r="B841" s="3">
        <v>45237</v>
      </c>
      <c r="C841" s="2" t="s">
        <v>525</v>
      </c>
      <c r="D841" s="2" t="s">
        <v>13</v>
      </c>
      <c r="E841" s="2">
        <v>57</v>
      </c>
      <c r="F841" s="2" t="s">
        <v>11</v>
      </c>
      <c r="G841" s="2">
        <v>1</v>
      </c>
      <c r="H841" s="2">
        <v>25</v>
      </c>
      <c r="I841" s="2">
        <f>Table13[[#This Row],[Quantity]]*Table13[[#This Row],[Price per Unit]]</f>
        <v>25</v>
      </c>
      <c r="J841" s="2">
        <v>25</v>
      </c>
    </row>
    <row r="842" spans="1:10" x14ac:dyDescent="0.35">
      <c r="A842" s="2">
        <v>527</v>
      </c>
      <c r="B842" s="3">
        <v>45027</v>
      </c>
      <c r="C842" s="2" t="s">
        <v>540</v>
      </c>
      <c r="D842" s="2" t="s">
        <v>10</v>
      </c>
      <c r="E842" s="2">
        <v>57</v>
      </c>
      <c r="F842" s="2" t="s">
        <v>14</v>
      </c>
      <c r="G842" s="2">
        <v>2</v>
      </c>
      <c r="H842" s="2">
        <v>25</v>
      </c>
      <c r="I842" s="2">
        <f>Table13[[#This Row],[Quantity]]*Table13[[#This Row],[Price per Unit]]</f>
        <v>50</v>
      </c>
      <c r="J842" s="2">
        <v>50</v>
      </c>
    </row>
    <row r="843" spans="1:10" x14ac:dyDescent="0.35">
      <c r="A843" s="2">
        <v>627</v>
      </c>
      <c r="B843" s="3">
        <v>45213</v>
      </c>
      <c r="C843" s="2" t="s">
        <v>640</v>
      </c>
      <c r="D843" s="2" t="s">
        <v>10</v>
      </c>
      <c r="E843" s="2">
        <v>57</v>
      </c>
      <c r="F843" s="2" t="s">
        <v>14</v>
      </c>
      <c r="G843" s="2">
        <v>1</v>
      </c>
      <c r="H843" s="2">
        <v>50</v>
      </c>
      <c r="I843" s="2">
        <f>Table13[[#This Row],[Quantity]]*Table13[[#This Row],[Price per Unit]]</f>
        <v>50</v>
      </c>
      <c r="J843" s="2">
        <v>50</v>
      </c>
    </row>
    <row r="844" spans="1:10" x14ac:dyDescent="0.35">
      <c r="A844" s="2">
        <v>665</v>
      </c>
      <c r="B844" s="3">
        <v>45036</v>
      </c>
      <c r="C844" s="2" t="s">
        <v>678</v>
      </c>
      <c r="D844" s="2" t="s">
        <v>10</v>
      </c>
      <c r="E844" s="2">
        <v>57</v>
      </c>
      <c r="F844" s="2" t="s">
        <v>14</v>
      </c>
      <c r="G844" s="2">
        <v>1</v>
      </c>
      <c r="H844" s="2">
        <v>50</v>
      </c>
      <c r="I844" s="2">
        <f>Table13[[#This Row],[Quantity]]*Table13[[#This Row],[Price per Unit]]</f>
        <v>50</v>
      </c>
      <c r="J844" s="2">
        <v>50</v>
      </c>
    </row>
    <row r="845" spans="1:10" x14ac:dyDescent="0.35">
      <c r="A845" s="2">
        <v>685</v>
      </c>
      <c r="B845" s="3">
        <v>45079</v>
      </c>
      <c r="C845" s="2" t="s">
        <v>698</v>
      </c>
      <c r="D845" s="2" t="s">
        <v>10</v>
      </c>
      <c r="E845" s="2">
        <v>57</v>
      </c>
      <c r="F845" s="2" t="s">
        <v>16</v>
      </c>
      <c r="G845" s="2">
        <v>2</v>
      </c>
      <c r="H845" s="2">
        <v>25</v>
      </c>
      <c r="I845" s="2">
        <f>Table13[[#This Row],[Quantity]]*Table13[[#This Row],[Price per Unit]]</f>
        <v>50</v>
      </c>
      <c r="J845" s="2">
        <v>50</v>
      </c>
    </row>
    <row r="846" spans="1:10" x14ac:dyDescent="0.35">
      <c r="A846" s="2">
        <v>689</v>
      </c>
      <c r="B846" s="3">
        <v>45206</v>
      </c>
      <c r="C846" s="2" t="s">
        <v>702</v>
      </c>
      <c r="D846" s="2" t="s">
        <v>10</v>
      </c>
      <c r="E846" s="2">
        <v>57</v>
      </c>
      <c r="F846" s="2" t="s">
        <v>16</v>
      </c>
      <c r="G846" s="2">
        <v>2</v>
      </c>
      <c r="H846" s="2">
        <v>50</v>
      </c>
      <c r="I846" s="2">
        <f>Table13[[#This Row],[Quantity]]*Table13[[#This Row],[Price per Unit]]</f>
        <v>100</v>
      </c>
      <c r="J846" s="2">
        <v>100</v>
      </c>
    </row>
    <row r="847" spans="1:10" x14ac:dyDescent="0.35">
      <c r="A847" s="2">
        <v>712</v>
      </c>
      <c r="B847" s="3">
        <v>45266</v>
      </c>
      <c r="C847" s="2" t="s">
        <v>725</v>
      </c>
      <c r="D847" s="2" t="s">
        <v>13</v>
      </c>
      <c r="E847" s="2">
        <v>57</v>
      </c>
      <c r="F847" s="2" t="s">
        <v>11</v>
      </c>
      <c r="G847" s="2">
        <v>2</v>
      </c>
      <c r="H847" s="2">
        <v>25</v>
      </c>
      <c r="I847" s="2">
        <f>Table13[[#This Row],[Quantity]]*Table13[[#This Row],[Price per Unit]]</f>
        <v>50</v>
      </c>
      <c r="J847" s="2">
        <v>50</v>
      </c>
    </row>
    <row r="848" spans="1:10" x14ac:dyDescent="0.35">
      <c r="A848" s="2">
        <v>717</v>
      </c>
      <c r="B848" s="3">
        <v>44996</v>
      </c>
      <c r="C848" s="2" t="s">
        <v>730</v>
      </c>
      <c r="D848" s="2" t="s">
        <v>10</v>
      </c>
      <c r="E848" s="2">
        <v>57</v>
      </c>
      <c r="F848" s="2" t="s">
        <v>14</v>
      </c>
      <c r="G848" s="2">
        <v>1</v>
      </c>
      <c r="H848" s="2">
        <v>500</v>
      </c>
      <c r="I848" s="2">
        <f>Table13[[#This Row],[Quantity]]*Table13[[#This Row],[Price per Unit]]</f>
        <v>500</v>
      </c>
      <c r="J848" s="2">
        <v>500</v>
      </c>
    </row>
    <row r="849" spans="1:10" x14ac:dyDescent="0.35">
      <c r="A849" s="2">
        <v>795</v>
      </c>
      <c r="B849" s="3">
        <v>45258</v>
      </c>
      <c r="C849" s="2" t="s">
        <v>808</v>
      </c>
      <c r="D849" s="2" t="s">
        <v>10</v>
      </c>
      <c r="E849" s="2">
        <v>57</v>
      </c>
      <c r="F849" s="2" t="s">
        <v>16</v>
      </c>
      <c r="G849" s="2">
        <v>1</v>
      </c>
      <c r="H849" s="2">
        <v>300</v>
      </c>
      <c r="I849" s="2">
        <f>Table13[[#This Row],[Quantity]]*Table13[[#This Row],[Price per Unit]]</f>
        <v>300</v>
      </c>
      <c r="J849" s="2">
        <v>300</v>
      </c>
    </row>
    <row r="850" spans="1:10" x14ac:dyDescent="0.35">
      <c r="A850" s="2">
        <v>917</v>
      </c>
      <c r="B850" s="3">
        <v>44991</v>
      </c>
      <c r="C850" s="2" t="s">
        <v>930</v>
      </c>
      <c r="D850" s="2" t="s">
        <v>13</v>
      </c>
      <c r="E850" s="2">
        <v>57</v>
      </c>
      <c r="F850" s="2" t="s">
        <v>16</v>
      </c>
      <c r="G850" s="2">
        <v>4</v>
      </c>
      <c r="H850" s="2">
        <v>50</v>
      </c>
      <c r="I850" s="2">
        <f>Table13[[#This Row],[Quantity]]*Table13[[#This Row],[Price per Unit]]</f>
        <v>200</v>
      </c>
      <c r="J850" s="2">
        <v>200</v>
      </c>
    </row>
    <row r="851" spans="1:10" x14ac:dyDescent="0.35">
      <c r="A851" s="2">
        <v>936</v>
      </c>
      <c r="B851" s="3">
        <v>44964</v>
      </c>
      <c r="C851" s="2" t="s">
        <v>949</v>
      </c>
      <c r="D851" s="2" t="s">
        <v>10</v>
      </c>
      <c r="E851" s="2">
        <v>57</v>
      </c>
      <c r="F851" s="2" t="s">
        <v>11</v>
      </c>
      <c r="G851" s="2">
        <v>4</v>
      </c>
      <c r="H851" s="2">
        <v>50</v>
      </c>
      <c r="I851" s="2">
        <f>Table13[[#This Row],[Quantity]]*Table13[[#This Row],[Price per Unit]]</f>
        <v>200</v>
      </c>
      <c r="J851" s="2">
        <v>200</v>
      </c>
    </row>
    <row r="852" spans="1:10" x14ac:dyDescent="0.35">
      <c r="A852" s="2">
        <v>941</v>
      </c>
      <c r="B852" s="3">
        <v>45004</v>
      </c>
      <c r="C852" s="2" t="s">
        <v>954</v>
      </c>
      <c r="D852" s="2" t="s">
        <v>13</v>
      </c>
      <c r="E852" s="2">
        <v>57</v>
      </c>
      <c r="F852" s="2" t="s">
        <v>14</v>
      </c>
      <c r="G852" s="2">
        <v>2</v>
      </c>
      <c r="H852" s="2">
        <v>25</v>
      </c>
      <c r="I852" s="2">
        <f>Table13[[#This Row],[Quantity]]*Table13[[#This Row],[Price per Unit]]</f>
        <v>50</v>
      </c>
      <c r="J852" s="2">
        <v>50</v>
      </c>
    </row>
    <row r="853" spans="1:10" x14ac:dyDescent="0.35">
      <c r="A853" s="2">
        <v>943</v>
      </c>
      <c r="B853" s="3">
        <v>45215</v>
      </c>
      <c r="C853" s="2" t="s">
        <v>956</v>
      </c>
      <c r="D853" s="2" t="s">
        <v>13</v>
      </c>
      <c r="E853" s="2">
        <v>57</v>
      </c>
      <c r="F853" s="2" t="s">
        <v>14</v>
      </c>
      <c r="G853" s="2">
        <v>4</v>
      </c>
      <c r="H853" s="2">
        <v>300</v>
      </c>
      <c r="I853" s="2">
        <f>Table13[[#This Row],[Quantity]]*Table13[[#This Row],[Price per Unit]]</f>
        <v>1200</v>
      </c>
      <c r="J853" s="2">
        <v>1200</v>
      </c>
    </row>
    <row r="854" spans="1:10" x14ac:dyDescent="0.35">
      <c r="A854" s="2">
        <v>952</v>
      </c>
      <c r="B854" s="3">
        <v>45243</v>
      </c>
      <c r="C854" s="2" t="s">
        <v>965</v>
      </c>
      <c r="D854" s="2" t="s">
        <v>13</v>
      </c>
      <c r="E854" s="2">
        <v>57</v>
      </c>
      <c r="F854" s="2" t="s">
        <v>14</v>
      </c>
      <c r="G854" s="2">
        <v>1</v>
      </c>
      <c r="H854" s="2">
        <v>25</v>
      </c>
      <c r="I854" s="2">
        <f>Table13[[#This Row],[Quantity]]*Table13[[#This Row],[Price per Unit]]</f>
        <v>25</v>
      </c>
      <c r="J854" s="2">
        <v>25</v>
      </c>
    </row>
    <row r="855" spans="1:10" x14ac:dyDescent="0.35">
      <c r="A855" s="2">
        <v>992</v>
      </c>
      <c r="B855" s="3">
        <v>45159</v>
      </c>
      <c r="C855" s="2" t="s">
        <v>1005</v>
      </c>
      <c r="D855" s="2" t="s">
        <v>13</v>
      </c>
      <c r="E855" s="2">
        <v>57</v>
      </c>
      <c r="F855" s="2" t="s">
        <v>16</v>
      </c>
      <c r="G855" s="2">
        <v>2</v>
      </c>
      <c r="H855" s="2">
        <v>30</v>
      </c>
      <c r="I855" s="2">
        <f>Table13[[#This Row],[Quantity]]*Table13[[#This Row],[Price per Unit]]</f>
        <v>60</v>
      </c>
      <c r="J855" s="2">
        <v>60</v>
      </c>
    </row>
    <row r="856" spans="1:10" x14ac:dyDescent="0.35">
      <c r="A856" s="2">
        <v>35</v>
      </c>
      <c r="B856" s="3">
        <v>45143</v>
      </c>
      <c r="C856" s="2" t="s">
        <v>48</v>
      </c>
      <c r="D856" s="2" t="s">
        <v>13</v>
      </c>
      <c r="E856" s="2">
        <v>58</v>
      </c>
      <c r="F856" s="2" t="s">
        <v>11</v>
      </c>
      <c r="G856" s="2">
        <v>3</v>
      </c>
      <c r="H856" s="2">
        <v>300</v>
      </c>
      <c r="I856" s="2">
        <f>Table13[[#This Row],[Quantity]]*Table13[[#This Row],[Price per Unit]]</f>
        <v>900</v>
      </c>
      <c r="J856" s="2">
        <v>900</v>
      </c>
    </row>
    <row r="857" spans="1:10" x14ac:dyDescent="0.35">
      <c r="A857" s="2">
        <v>150</v>
      </c>
      <c r="B857" s="3">
        <v>44932</v>
      </c>
      <c r="C857" s="2" t="s">
        <v>163</v>
      </c>
      <c r="D857" s="2" t="s">
        <v>13</v>
      </c>
      <c r="E857" s="2">
        <v>58</v>
      </c>
      <c r="F857" s="2" t="s">
        <v>16</v>
      </c>
      <c r="G857" s="2">
        <v>4</v>
      </c>
      <c r="H857" s="2">
        <v>30</v>
      </c>
      <c r="I857" s="2">
        <f>Table13[[#This Row],[Quantity]]*Table13[[#This Row],[Price per Unit]]</f>
        <v>120</v>
      </c>
      <c r="J857" s="2">
        <v>120</v>
      </c>
    </row>
    <row r="858" spans="1:10" x14ac:dyDescent="0.35">
      <c r="A858" s="2">
        <v>215</v>
      </c>
      <c r="B858" s="3">
        <v>45259</v>
      </c>
      <c r="C858" s="2" t="s">
        <v>228</v>
      </c>
      <c r="D858" s="2" t="s">
        <v>10</v>
      </c>
      <c r="E858" s="2">
        <v>58</v>
      </c>
      <c r="F858" s="2" t="s">
        <v>14</v>
      </c>
      <c r="G858" s="2">
        <v>3</v>
      </c>
      <c r="H858" s="2">
        <v>500</v>
      </c>
      <c r="I858" s="2">
        <f>Table13[[#This Row],[Quantity]]*Table13[[#This Row],[Price per Unit]]</f>
        <v>1500</v>
      </c>
      <c r="J858" s="2">
        <v>1500</v>
      </c>
    </row>
    <row r="859" spans="1:10" x14ac:dyDescent="0.35">
      <c r="A859" s="2">
        <v>229</v>
      </c>
      <c r="B859" s="3">
        <v>45228</v>
      </c>
      <c r="C859" s="2" t="s">
        <v>242</v>
      </c>
      <c r="D859" s="2" t="s">
        <v>10</v>
      </c>
      <c r="E859" s="2">
        <v>58</v>
      </c>
      <c r="F859" s="2" t="s">
        <v>11</v>
      </c>
      <c r="G859" s="2">
        <v>3</v>
      </c>
      <c r="H859" s="2">
        <v>30</v>
      </c>
      <c r="I859" s="2">
        <f>Table13[[#This Row],[Quantity]]*Table13[[#This Row],[Price per Unit]]</f>
        <v>90</v>
      </c>
      <c r="J859" s="2">
        <v>90</v>
      </c>
    </row>
    <row r="860" spans="1:10" x14ac:dyDescent="0.35">
      <c r="A860" s="2">
        <v>332</v>
      </c>
      <c r="B860" s="3">
        <v>45022</v>
      </c>
      <c r="C860" s="2" t="s">
        <v>345</v>
      </c>
      <c r="D860" s="2" t="s">
        <v>10</v>
      </c>
      <c r="E860" s="2">
        <v>58</v>
      </c>
      <c r="F860" s="2" t="s">
        <v>16</v>
      </c>
      <c r="G860" s="2">
        <v>4</v>
      </c>
      <c r="H860" s="2">
        <v>300</v>
      </c>
      <c r="I860" s="2">
        <f>Table13[[#This Row],[Quantity]]*Table13[[#This Row],[Price per Unit]]</f>
        <v>1200</v>
      </c>
      <c r="J860" s="2">
        <v>1200</v>
      </c>
    </row>
    <row r="861" spans="1:10" x14ac:dyDescent="0.35">
      <c r="A861" s="2">
        <v>457</v>
      </c>
      <c r="B861" s="3">
        <v>45135</v>
      </c>
      <c r="C861" s="2" t="s">
        <v>470</v>
      </c>
      <c r="D861" s="2" t="s">
        <v>13</v>
      </c>
      <c r="E861" s="2">
        <v>58</v>
      </c>
      <c r="F861" s="2" t="s">
        <v>11</v>
      </c>
      <c r="G861" s="2">
        <v>3</v>
      </c>
      <c r="H861" s="2">
        <v>300</v>
      </c>
      <c r="I861" s="2">
        <f>Table13[[#This Row],[Quantity]]*Table13[[#This Row],[Price per Unit]]</f>
        <v>900</v>
      </c>
      <c r="J861" s="2">
        <v>900</v>
      </c>
    </row>
    <row r="862" spans="1:10" x14ac:dyDescent="0.35">
      <c r="A862" s="2">
        <v>478</v>
      </c>
      <c r="B862" s="3">
        <v>45029</v>
      </c>
      <c r="C862" s="2" t="s">
        <v>491</v>
      </c>
      <c r="D862" s="2" t="s">
        <v>13</v>
      </c>
      <c r="E862" s="2">
        <v>58</v>
      </c>
      <c r="F862" s="2" t="s">
        <v>14</v>
      </c>
      <c r="G862" s="2">
        <v>2</v>
      </c>
      <c r="H862" s="2">
        <v>30</v>
      </c>
      <c r="I862" s="2">
        <f>Table13[[#This Row],[Quantity]]*Table13[[#This Row],[Price per Unit]]</f>
        <v>60</v>
      </c>
      <c r="J862" s="2">
        <v>60</v>
      </c>
    </row>
    <row r="863" spans="1:10" x14ac:dyDescent="0.35">
      <c r="A863" s="2">
        <v>508</v>
      </c>
      <c r="B863" s="3">
        <v>45149</v>
      </c>
      <c r="C863" s="2" t="s">
        <v>521</v>
      </c>
      <c r="D863" s="2" t="s">
        <v>10</v>
      </c>
      <c r="E863" s="2">
        <v>58</v>
      </c>
      <c r="F863" s="2" t="s">
        <v>11</v>
      </c>
      <c r="G863" s="2">
        <v>2</v>
      </c>
      <c r="H863" s="2">
        <v>300</v>
      </c>
      <c r="I863" s="2">
        <f>Table13[[#This Row],[Quantity]]*Table13[[#This Row],[Price per Unit]]</f>
        <v>600</v>
      </c>
      <c r="J863" s="2">
        <v>600</v>
      </c>
    </row>
    <row r="864" spans="1:10" x14ac:dyDescent="0.35">
      <c r="A864" s="2">
        <v>649</v>
      </c>
      <c r="B864" s="3">
        <v>44966</v>
      </c>
      <c r="C864" s="2" t="s">
        <v>662</v>
      </c>
      <c r="D864" s="2" t="s">
        <v>13</v>
      </c>
      <c r="E864" s="2">
        <v>58</v>
      </c>
      <c r="F864" s="2" t="s">
        <v>14</v>
      </c>
      <c r="G864" s="2">
        <v>2</v>
      </c>
      <c r="H864" s="2">
        <v>300</v>
      </c>
      <c r="I864" s="2">
        <f>Table13[[#This Row],[Quantity]]*Table13[[#This Row],[Price per Unit]]</f>
        <v>600</v>
      </c>
      <c r="J864" s="2">
        <v>600</v>
      </c>
    </row>
    <row r="865" spans="1:10" x14ac:dyDescent="0.35">
      <c r="A865" s="2">
        <v>755</v>
      </c>
      <c r="B865" s="3">
        <v>45038</v>
      </c>
      <c r="C865" s="2" t="s">
        <v>768</v>
      </c>
      <c r="D865" s="2" t="s">
        <v>13</v>
      </c>
      <c r="E865" s="2">
        <v>58</v>
      </c>
      <c r="F865" s="2" t="s">
        <v>14</v>
      </c>
      <c r="G865" s="2">
        <v>3</v>
      </c>
      <c r="H865" s="2">
        <v>25</v>
      </c>
      <c r="I865" s="2">
        <f>Table13[[#This Row],[Quantity]]*Table13[[#This Row],[Price per Unit]]</f>
        <v>75</v>
      </c>
      <c r="J865" s="2">
        <v>75</v>
      </c>
    </row>
    <row r="866" spans="1:10" x14ac:dyDescent="0.35">
      <c r="A866" s="2">
        <v>877</v>
      </c>
      <c r="B866" s="3">
        <v>45096</v>
      </c>
      <c r="C866" s="2" t="s">
        <v>890</v>
      </c>
      <c r="D866" s="2" t="s">
        <v>13</v>
      </c>
      <c r="E866" s="2">
        <v>58</v>
      </c>
      <c r="F866" s="2" t="s">
        <v>14</v>
      </c>
      <c r="G866" s="2">
        <v>1</v>
      </c>
      <c r="H866" s="2">
        <v>25</v>
      </c>
      <c r="I866" s="2">
        <f>Table13[[#This Row],[Quantity]]*Table13[[#This Row],[Price per Unit]]</f>
        <v>25</v>
      </c>
      <c r="J866" s="2">
        <v>25</v>
      </c>
    </row>
    <row r="867" spans="1:10" x14ac:dyDescent="0.35">
      <c r="A867" s="2">
        <v>905</v>
      </c>
      <c r="B867" s="3">
        <v>45018</v>
      </c>
      <c r="C867" s="2" t="s">
        <v>918</v>
      </c>
      <c r="D867" s="2" t="s">
        <v>10</v>
      </c>
      <c r="E867" s="2">
        <v>58</v>
      </c>
      <c r="F867" s="2" t="s">
        <v>11</v>
      </c>
      <c r="G867" s="2">
        <v>1</v>
      </c>
      <c r="H867" s="2">
        <v>300</v>
      </c>
      <c r="I867" s="2">
        <f>Table13[[#This Row],[Quantity]]*Table13[[#This Row],[Price per Unit]]</f>
        <v>300</v>
      </c>
      <c r="J867" s="2">
        <v>300</v>
      </c>
    </row>
    <row r="868" spans="1:10" x14ac:dyDescent="0.35">
      <c r="A868" s="2">
        <v>955</v>
      </c>
      <c r="B868" s="3">
        <v>45121</v>
      </c>
      <c r="C868" s="2" t="s">
        <v>968</v>
      </c>
      <c r="D868" s="2" t="s">
        <v>10</v>
      </c>
      <c r="E868" s="2">
        <v>58</v>
      </c>
      <c r="F868" s="2" t="s">
        <v>14</v>
      </c>
      <c r="G868" s="2">
        <v>1</v>
      </c>
      <c r="H868" s="2">
        <v>25</v>
      </c>
      <c r="I868" s="2">
        <f>Table13[[#This Row],[Quantity]]*Table13[[#This Row],[Price per Unit]]</f>
        <v>25</v>
      </c>
      <c r="J868" s="2">
        <v>25</v>
      </c>
    </row>
    <row r="869" spans="1:10" x14ac:dyDescent="0.35">
      <c r="A869" s="2">
        <v>990</v>
      </c>
      <c r="B869" s="3">
        <v>45071</v>
      </c>
      <c r="C869" s="2" t="s">
        <v>1003</v>
      </c>
      <c r="D869" s="2" t="s">
        <v>13</v>
      </c>
      <c r="E869" s="2">
        <v>58</v>
      </c>
      <c r="F869" s="2" t="s">
        <v>11</v>
      </c>
      <c r="G869" s="2">
        <v>2</v>
      </c>
      <c r="H869" s="2">
        <v>500</v>
      </c>
      <c r="I869" s="2">
        <f>Table13[[#This Row],[Quantity]]*Table13[[#This Row],[Price per Unit]]</f>
        <v>1000</v>
      </c>
      <c r="J869" s="2">
        <v>1000</v>
      </c>
    </row>
    <row r="870" spans="1:10" x14ac:dyDescent="0.35">
      <c r="A870" s="2">
        <v>103</v>
      </c>
      <c r="B870" s="3">
        <v>44943</v>
      </c>
      <c r="C870" s="2" t="s">
        <v>116</v>
      </c>
      <c r="D870" s="2" t="s">
        <v>13</v>
      </c>
      <c r="E870" s="2">
        <v>59</v>
      </c>
      <c r="F870" s="2" t="s">
        <v>14</v>
      </c>
      <c r="G870" s="2">
        <v>1</v>
      </c>
      <c r="H870" s="2">
        <v>25</v>
      </c>
      <c r="I870" s="2">
        <f>Table13[[#This Row],[Quantity]]*Table13[[#This Row],[Price per Unit]]</f>
        <v>25</v>
      </c>
      <c r="J870" s="2">
        <v>25</v>
      </c>
    </row>
    <row r="871" spans="1:10" x14ac:dyDescent="0.35">
      <c r="A871" s="2">
        <v>144</v>
      </c>
      <c r="B871" s="3">
        <v>45122</v>
      </c>
      <c r="C871" s="2" t="s">
        <v>157</v>
      </c>
      <c r="D871" s="2" t="s">
        <v>13</v>
      </c>
      <c r="E871" s="2">
        <v>59</v>
      </c>
      <c r="F871" s="2" t="s">
        <v>11</v>
      </c>
      <c r="G871" s="2">
        <v>3</v>
      </c>
      <c r="H871" s="2">
        <v>500</v>
      </c>
      <c r="I871" s="2">
        <f>Table13[[#This Row],[Quantity]]*Table13[[#This Row],[Price per Unit]]</f>
        <v>1500</v>
      </c>
      <c r="J871" s="2">
        <v>1500</v>
      </c>
    </row>
    <row r="872" spans="1:10" x14ac:dyDescent="0.35">
      <c r="A872" s="2">
        <v>228</v>
      </c>
      <c r="B872" s="3">
        <v>45044</v>
      </c>
      <c r="C872" s="2" t="s">
        <v>241</v>
      </c>
      <c r="D872" s="2" t="s">
        <v>13</v>
      </c>
      <c r="E872" s="2">
        <v>59</v>
      </c>
      <c r="F872" s="2" t="s">
        <v>16</v>
      </c>
      <c r="G872" s="2">
        <v>2</v>
      </c>
      <c r="H872" s="2">
        <v>30</v>
      </c>
      <c r="I872" s="2">
        <f>Table13[[#This Row],[Quantity]]*Table13[[#This Row],[Price per Unit]]</f>
        <v>60</v>
      </c>
      <c r="J872" s="2">
        <v>60</v>
      </c>
    </row>
    <row r="873" spans="1:10" x14ac:dyDescent="0.35">
      <c r="A873" s="2">
        <v>346</v>
      </c>
      <c r="B873" s="3">
        <v>44968</v>
      </c>
      <c r="C873" s="2" t="s">
        <v>359</v>
      </c>
      <c r="D873" s="2" t="s">
        <v>10</v>
      </c>
      <c r="E873" s="2">
        <v>59</v>
      </c>
      <c r="F873" s="2" t="s">
        <v>14</v>
      </c>
      <c r="G873" s="2">
        <v>2</v>
      </c>
      <c r="H873" s="2">
        <v>500</v>
      </c>
      <c r="I873" s="2">
        <f>Table13[[#This Row],[Quantity]]*Table13[[#This Row],[Price per Unit]]</f>
        <v>1000</v>
      </c>
      <c r="J873" s="2">
        <v>1000</v>
      </c>
    </row>
    <row r="874" spans="1:10" x14ac:dyDescent="0.35">
      <c r="A874" s="2">
        <v>374</v>
      </c>
      <c r="B874" s="3">
        <v>45036</v>
      </c>
      <c r="C874" s="2" t="s">
        <v>387</v>
      </c>
      <c r="D874" s="2" t="s">
        <v>13</v>
      </c>
      <c r="E874" s="2">
        <v>59</v>
      </c>
      <c r="F874" s="2" t="s">
        <v>11</v>
      </c>
      <c r="G874" s="2">
        <v>3</v>
      </c>
      <c r="H874" s="2">
        <v>25</v>
      </c>
      <c r="I874" s="2">
        <f>Table13[[#This Row],[Quantity]]*Table13[[#This Row],[Price per Unit]]</f>
        <v>75</v>
      </c>
      <c r="J874" s="2">
        <v>75</v>
      </c>
    </row>
    <row r="875" spans="1:10" x14ac:dyDescent="0.35">
      <c r="A875" s="2">
        <v>450</v>
      </c>
      <c r="B875" s="3">
        <v>45034</v>
      </c>
      <c r="C875" s="2" t="s">
        <v>463</v>
      </c>
      <c r="D875" s="2" t="s">
        <v>13</v>
      </c>
      <c r="E875" s="2">
        <v>59</v>
      </c>
      <c r="F875" s="2" t="s">
        <v>11</v>
      </c>
      <c r="G875" s="2">
        <v>2</v>
      </c>
      <c r="H875" s="2">
        <v>25</v>
      </c>
      <c r="I875" s="2">
        <f>Table13[[#This Row],[Quantity]]*Table13[[#This Row],[Price per Unit]]</f>
        <v>50</v>
      </c>
      <c r="J875" s="2">
        <v>50</v>
      </c>
    </row>
    <row r="876" spans="1:10" x14ac:dyDescent="0.35">
      <c r="A876" s="2">
        <v>600</v>
      </c>
      <c r="B876" s="3">
        <v>45221</v>
      </c>
      <c r="C876" s="2" t="s">
        <v>613</v>
      </c>
      <c r="D876" s="2" t="s">
        <v>13</v>
      </c>
      <c r="E876" s="2">
        <v>59</v>
      </c>
      <c r="F876" s="2" t="s">
        <v>11</v>
      </c>
      <c r="G876" s="2">
        <v>2</v>
      </c>
      <c r="H876" s="2">
        <v>500</v>
      </c>
      <c r="I876" s="2">
        <f>Table13[[#This Row],[Quantity]]*Table13[[#This Row],[Price per Unit]]</f>
        <v>1000</v>
      </c>
      <c r="J876" s="2">
        <v>1000</v>
      </c>
    </row>
    <row r="877" spans="1:10" x14ac:dyDescent="0.35">
      <c r="A877" s="2">
        <v>647</v>
      </c>
      <c r="B877" s="3">
        <v>45067</v>
      </c>
      <c r="C877" s="2" t="s">
        <v>660</v>
      </c>
      <c r="D877" s="2" t="s">
        <v>10</v>
      </c>
      <c r="E877" s="2">
        <v>59</v>
      </c>
      <c r="F877" s="2" t="s">
        <v>14</v>
      </c>
      <c r="G877" s="2">
        <v>3</v>
      </c>
      <c r="H877" s="2">
        <v>500</v>
      </c>
      <c r="I877" s="2">
        <f>Table13[[#This Row],[Quantity]]*Table13[[#This Row],[Price per Unit]]</f>
        <v>1500</v>
      </c>
      <c r="J877" s="2">
        <v>1500</v>
      </c>
    </row>
    <row r="878" spans="1:10" x14ac:dyDescent="0.35">
      <c r="A878" s="2">
        <v>658</v>
      </c>
      <c r="B878" s="3">
        <v>44997</v>
      </c>
      <c r="C878" s="2" t="s">
        <v>671</v>
      </c>
      <c r="D878" s="2" t="s">
        <v>10</v>
      </c>
      <c r="E878" s="2">
        <v>59</v>
      </c>
      <c r="F878" s="2" t="s">
        <v>14</v>
      </c>
      <c r="G878" s="2">
        <v>1</v>
      </c>
      <c r="H878" s="2">
        <v>25</v>
      </c>
      <c r="I878" s="2">
        <f>Table13[[#This Row],[Quantity]]*Table13[[#This Row],[Price per Unit]]</f>
        <v>25</v>
      </c>
      <c r="J878" s="2">
        <v>25</v>
      </c>
    </row>
    <row r="879" spans="1:10" x14ac:dyDescent="0.35">
      <c r="A879" s="2">
        <v>718</v>
      </c>
      <c r="B879" s="3">
        <v>45163</v>
      </c>
      <c r="C879" s="2" t="s">
        <v>731</v>
      </c>
      <c r="D879" s="2" t="s">
        <v>13</v>
      </c>
      <c r="E879" s="2">
        <v>59</v>
      </c>
      <c r="F879" s="2" t="s">
        <v>11</v>
      </c>
      <c r="G879" s="2">
        <v>3</v>
      </c>
      <c r="H879" s="2">
        <v>25</v>
      </c>
      <c r="I879" s="2">
        <f>Table13[[#This Row],[Quantity]]*Table13[[#This Row],[Price per Unit]]</f>
        <v>75</v>
      </c>
      <c r="J879" s="2">
        <v>75</v>
      </c>
    </row>
    <row r="880" spans="1:10" x14ac:dyDescent="0.35">
      <c r="A880" s="2">
        <v>782</v>
      </c>
      <c r="B880" s="3">
        <v>45081</v>
      </c>
      <c r="C880" s="2" t="s">
        <v>795</v>
      </c>
      <c r="D880" s="2" t="s">
        <v>10</v>
      </c>
      <c r="E880" s="2">
        <v>59</v>
      </c>
      <c r="F880" s="2" t="s">
        <v>14</v>
      </c>
      <c r="G880" s="2">
        <v>3</v>
      </c>
      <c r="H880" s="2">
        <v>300</v>
      </c>
      <c r="I880" s="2">
        <f>Table13[[#This Row],[Quantity]]*Table13[[#This Row],[Price per Unit]]</f>
        <v>900</v>
      </c>
      <c r="J880" s="2">
        <v>900</v>
      </c>
    </row>
    <row r="881" spans="1:10" x14ac:dyDescent="0.35">
      <c r="A881" s="2">
        <v>810</v>
      </c>
      <c r="B881" s="3">
        <v>45260</v>
      </c>
      <c r="C881" s="2" t="s">
        <v>823</v>
      </c>
      <c r="D881" s="2" t="s">
        <v>10</v>
      </c>
      <c r="E881" s="2">
        <v>59</v>
      </c>
      <c r="F881" s="2" t="s">
        <v>16</v>
      </c>
      <c r="G881" s="2">
        <v>4</v>
      </c>
      <c r="H881" s="2">
        <v>25</v>
      </c>
      <c r="I881" s="2">
        <f>Table13[[#This Row],[Quantity]]*Table13[[#This Row],[Price per Unit]]</f>
        <v>100</v>
      </c>
      <c r="J881" s="2">
        <v>100</v>
      </c>
    </row>
    <row r="882" spans="1:10" x14ac:dyDescent="0.35">
      <c r="A882" s="2">
        <v>814</v>
      </c>
      <c r="B882" s="3">
        <v>45174</v>
      </c>
      <c r="C882" s="2" t="s">
        <v>827</v>
      </c>
      <c r="D882" s="2" t="s">
        <v>13</v>
      </c>
      <c r="E882" s="2">
        <v>59</v>
      </c>
      <c r="F882" s="2" t="s">
        <v>14</v>
      </c>
      <c r="G882" s="2">
        <v>1</v>
      </c>
      <c r="H882" s="2">
        <v>500</v>
      </c>
      <c r="I882" s="2">
        <f>Table13[[#This Row],[Quantity]]*Table13[[#This Row],[Price per Unit]]</f>
        <v>500</v>
      </c>
      <c r="J882" s="2">
        <v>500</v>
      </c>
    </row>
    <row r="883" spans="1:10" x14ac:dyDescent="0.35">
      <c r="A883" s="2">
        <v>887</v>
      </c>
      <c r="B883" s="3">
        <v>45088</v>
      </c>
      <c r="C883" s="2" t="s">
        <v>900</v>
      </c>
      <c r="D883" s="2" t="s">
        <v>10</v>
      </c>
      <c r="E883" s="2">
        <v>59</v>
      </c>
      <c r="F883" s="2" t="s">
        <v>14</v>
      </c>
      <c r="G883" s="2">
        <v>4</v>
      </c>
      <c r="H883" s="2">
        <v>25</v>
      </c>
      <c r="I883" s="2">
        <f>Table13[[#This Row],[Quantity]]*Table13[[#This Row],[Price per Unit]]</f>
        <v>100</v>
      </c>
      <c r="J883" s="2">
        <v>100</v>
      </c>
    </row>
    <row r="884" spans="1:10" x14ac:dyDescent="0.35">
      <c r="A884" s="2">
        <v>914</v>
      </c>
      <c r="B884" s="3">
        <v>45210</v>
      </c>
      <c r="C884" s="2" t="s">
        <v>927</v>
      </c>
      <c r="D884" s="2" t="s">
        <v>13</v>
      </c>
      <c r="E884" s="2">
        <v>59</v>
      </c>
      <c r="F884" s="2" t="s">
        <v>16</v>
      </c>
      <c r="G884" s="2">
        <v>1</v>
      </c>
      <c r="H884" s="2">
        <v>500</v>
      </c>
      <c r="I884" s="2">
        <f>Table13[[#This Row],[Quantity]]*Table13[[#This Row],[Price per Unit]]</f>
        <v>500</v>
      </c>
      <c r="J884" s="2">
        <v>500</v>
      </c>
    </row>
    <row r="885" spans="1:10" x14ac:dyDescent="0.35">
      <c r="A885" s="2">
        <v>960</v>
      </c>
      <c r="B885" s="3">
        <v>45146</v>
      </c>
      <c r="C885" s="2" t="s">
        <v>973</v>
      </c>
      <c r="D885" s="2" t="s">
        <v>10</v>
      </c>
      <c r="E885" s="2">
        <v>59</v>
      </c>
      <c r="F885" s="2" t="s">
        <v>14</v>
      </c>
      <c r="G885" s="2">
        <v>2</v>
      </c>
      <c r="H885" s="2">
        <v>30</v>
      </c>
      <c r="I885" s="2">
        <f>Table13[[#This Row],[Quantity]]*Table13[[#This Row],[Price per Unit]]</f>
        <v>60</v>
      </c>
      <c r="J885" s="2">
        <v>60</v>
      </c>
    </row>
    <row r="886" spans="1:10" x14ac:dyDescent="0.35">
      <c r="A886" s="2">
        <v>970</v>
      </c>
      <c r="B886" s="3">
        <v>45062</v>
      </c>
      <c r="C886" s="2" t="s">
        <v>983</v>
      </c>
      <c r="D886" s="2" t="s">
        <v>10</v>
      </c>
      <c r="E886" s="2">
        <v>59</v>
      </c>
      <c r="F886" s="2" t="s">
        <v>16</v>
      </c>
      <c r="G886" s="2">
        <v>4</v>
      </c>
      <c r="H886" s="2">
        <v>500</v>
      </c>
      <c r="I886" s="2">
        <f>Table13[[#This Row],[Quantity]]*Table13[[#This Row],[Price per Unit]]</f>
        <v>2000</v>
      </c>
      <c r="J886" s="2">
        <v>2000</v>
      </c>
    </row>
    <row r="887" spans="1:10" x14ac:dyDescent="0.35">
      <c r="A887" s="2">
        <v>119</v>
      </c>
      <c r="B887" s="3">
        <v>44998</v>
      </c>
      <c r="C887" s="2" t="s">
        <v>132</v>
      </c>
      <c r="D887" s="2" t="s">
        <v>13</v>
      </c>
      <c r="E887" s="2">
        <v>60</v>
      </c>
      <c r="F887" s="2" t="s">
        <v>14</v>
      </c>
      <c r="G887" s="2">
        <v>3</v>
      </c>
      <c r="H887" s="2">
        <v>50</v>
      </c>
      <c r="I887" s="2">
        <f>Table13[[#This Row],[Quantity]]*Table13[[#This Row],[Price per Unit]]</f>
        <v>150</v>
      </c>
      <c r="J887" s="2">
        <v>150</v>
      </c>
    </row>
    <row r="888" spans="1:10" x14ac:dyDescent="0.35">
      <c r="A888" s="2">
        <v>120</v>
      </c>
      <c r="B888" s="3">
        <v>45053</v>
      </c>
      <c r="C888" s="2" t="s">
        <v>133</v>
      </c>
      <c r="D888" s="2" t="s">
        <v>10</v>
      </c>
      <c r="E888" s="2">
        <v>60</v>
      </c>
      <c r="F888" s="2" t="s">
        <v>11</v>
      </c>
      <c r="G888" s="2">
        <v>1</v>
      </c>
      <c r="H888" s="2">
        <v>50</v>
      </c>
      <c r="I888" s="2">
        <f>Table13[[#This Row],[Quantity]]*Table13[[#This Row],[Price per Unit]]</f>
        <v>50</v>
      </c>
      <c r="J888" s="2">
        <v>50</v>
      </c>
    </row>
    <row r="889" spans="1:10" x14ac:dyDescent="0.35">
      <c r="A889" s="2">
        <v>165</v>
      </c>
      <c r="B889" s="3">
        <v>45183</v>
      </c>
      <c r="C889" s="2" t="s">
        <v>178</v>
      </c>
      <c r="D889" s="2" t="s">
        <v>13</v>
      </c>
      <c r="E889" s="2">
        <v>60</v>
      </c>
      <c r="F889" s="2" t="s">
        <v>14</v>
      </c>
      <c r="G889" s="2">
        <v>4</v>
      </c>
      <c r="H889" s="2">
        <v>300</v>
      </c>
      <c r="I889" s="2">
        <f>Table13[[#This Row],[Quantity]]*Table13[[#This Row],[Price per Unit]]</f>
        <v>1200</v>
      </c>
      <c r="J889" s="2">
        <v>1200</v>
      </c>
    </row>
    <row r="890" spans="1:10" x14ac:dyDescent="0.35">
      <c r="A890" s="2">
        <v>190</v>
      </c>
      <c r="B890" s="3">
        <v>45050</v>
      </c>
      <c r="C890" s="2" t="s">
        <v>203</v>
      </c>
      <c r="D890" s="2" t="s">
        <v>13</v>
      </c>
      <c r="E890" s="2">
        <v>60</v>
      </c>
      <c r="F890" s="2" t="s">
        <v>11</v>
      </c>
      <c r="G890" s="2">
        <v>3</v>
      </c>
      <c r="H890" s="2">
        <v>30</v>
      </c>
      <c r="I890" s="2">
        <f>Table13[[#This Row],[Quantity]]*Table13[[#This Row],[Price per Unit]]</f>
        <v>90</v>
      </c>
      <c r="J890" s="2">
        <v>90</v>
      </c>
    </row>
    <row r="891" spans="1:10" x14ac:dyDescent="0.35">
      <c r="A891" s="2">
        <v>291</v>
      </c>
      <c r="B891" s="3">
        <v>44934</v>
      </c>
      <c r="C891" s="2" t="s">
        <v>304</v>
      </c>
      <c r="D891" s="2" t="s">
        <v>10</v>
      </c>
      <c r="E891" s="2">
        <v>60</v>
      </c>
      <c r="F891" s="2" t="s">
        <v>14</v>
      </c>
      <c r="G891" s="2">
        <v>2</v>
      </c>
      <c r="H891" s="2">
        <v>300</v>
      </c>
      <c r="I891" s="2">
        <f>Table13[[#This Row],[Quantity]]*Table13[[#This Row],[Price per Unit]]</f>
        <v>600</v>
      </c>
      <c r="J891" s="2">
        <v>600</v>
      </c>
    </row>
    <row r="892" spans="1:10" x14ac:dyDescent="0.35">
      <c r="A892" s="2">
        <v>418</v>
      </c>
      <c r="B892" s="3">
        <v>45143</v>
      </c>
      <c r="C892" s="2" t="s">
        <v>431</v>
      </c>
      <c r="D892" s="2" t="s">
        <v>13</v>
      </c>
      <c r="E892" s="2">
        <v>60</v>
      </c>
      <c r="F892" s="2" t="s">
        <v>16</v>
      </c>
      <c r="G892" s="2">
        <v>2</v>
      </c>
      <c r="H892" s="2">
        <v>500</v>
      </c>
      <c r="I892" s="2">
        <f>Table13[[#This Row],[Quantity]]*Table13[[#This Row],[Price per Unit]]</f>
        <v>1000</v>
      </c>
      <c r="J892" s="2">
        <v>1000</v>
      </c>
    </row>
    <row r="893" spans="1:10" x14ac:dyDescent="0.35">
      <c r="A893" s="2">
        <v>432</v>
      </c>
      <c r="B893" s="3">
        <v>44931</v>
      </c>
      <c r="C893" s="2" t="s">
        <v>445</v>
      </c>
      <c r="D893" s="2" t="s">
        <v>13</v>
      </c>
      <c r="E893" s="2">
        <v>60</v>
      </c>
      <c r="F893" s="2" t="s">
        <v>16</v>
      </c>
      <c r="G893" s="2">
        <v>2</v>
      </c>
      <c r="H893" s="2">
        <v>500</v>
      </c>
      <c r="I893" s="2">
        <f>Table13[[#This Row],[Quantity]]*Table13[[#This Row],[Price per Unit]]</f>
        <v>1000</v>
      </c>
      <c r="J893" s="2">
        <v>1000</v>
      </c>
    </row>
    <row r="894" spans="1:10" x14ac:dyDescent="0.35">
      <c r="A894" s="2">
        <v>442</v>
      </c>
      <c r="B894" s="3">
        <v>45002</v>
      </c>
      <c r="C894" s="2" t="s">
        <v>455</v>
      </c>
      <c r="D894" s="2" t="s">
        <v>13</v>
      </c>
      <c r="E894" s="2">
        <v>60</v>
      </c>
      <c r="F894" s="2" t="s">
        <v>14</v>
      </c>
      <c r="G894" s="2">
        <v>4</v>
      </c>
      <c r="H894" s="2">
        <v>25</v>
      </c>
      <c r="I894" s="2">
        <f>Table13[[#This Row],[Quantity]]*Table13[[#This Row],[Price per Unit]]</f>
        <v>100</v>
      </c>
      <c r="J894" s="2">
        <v>100</v>
      </c>
    </row>
    <row r="895" spans="1:10" x14ac:dyDescent="0.35">
      <c r="A895" s="2">
        <v>491</v>
      </c>
      <c r="B895" s="3">
        <v>45069</v>
      </c>
      <c r="C895" s="2" t="s">
        <v>504</v>
      </c>
      <c r="D895" s="2" t="s">
        <v>13</v>
      </c>
      <c r="E895" s="2">
        <v>60</v>
      </c>
      <c r="F895" s="2" t="s">
        <v>16</v>
      </c>
      <c r="G895" s="2">
        <v>3</v>
      </c>
      <c r="H895" s="2">
        <v>300</v>
      </c>
      <c r="I895" s="2">
        <f>Table13[[#This Row],[Quantity]]*Table13[[#This Row],[Price per Unit]]</f>
        <v>900</v>
      </c>
      <c r="J895" s="2">
        <v>900</v>
      </c>
    </row>
    <row r="896" spans="1:10" x14ac:dyDescent="0.35">
      <c r="A896" s="2">
        <v>500</v>
      </c>
      <c r="B896" s="3">
        <v>44986</v>
      </c>
      <c r="C896" s="2" t="s">
        <v>513</v>
      </c>
      <c r="D896" s="2" t="s">
        <v>13</v>
      </c>
      <c r="E896" s="2">
        <v>60</v>
      </c>
      <c r="F896" s="2" t="s">
        <v>11</v>
      </c>
      <c r="G896" s="2">
        <v>4</v>
      </c>
      <c r="H896" s="2">
        <v>25</v>
      </c>
      <c r="I896" s="2">
        <f>Table13[[#This Row],[Quantity]]*Table13[[#This Row],[Price per Unit]]</f>
        <v>100</v>
      </c>
      <c r="J896" s="2">
        <v>100</v>
      </c>
    </row>
    <row r="897" spans="1:10" x14ac:dyDescent="0.35">
      <c r="A897" s="2">
        <v>575</v>
      </c>
      <c r="B897" s="3">
        <v>45013</v>
      </c>
      <c r="C897" s="2" t="s">
        <v>588</v>
      </c>
      <c r="D897" s="2" t="s">
        <v>10</v>
      </c>
      <c r="E897" s="2">
        <v>60</v>
      </c>
      <c r="F897" s="2" t="s">
        <v>14</v>
      </c>
      <c r="G897" s="2">
        <v>2</v>
      </c>
      <c r="H897" s="2">
        <v>50</v>
      </c>
      <c r="I897" s="2">
        <f>Table13[[#This Row],[Quantity]]*Table13[[#This Row],[Price per Unit]]</f>
        <v>100</v>
      </c>
      <c r="J897" s="2">
        <v>100</v>
      </c>
    </row>
    <row r="898" spans="1:10" x14ac:dyDescent="0.35">
      <c r="A898" s="2">
        <v>634</v>
      </c>
      <c r="B898" s="3">
        <v>45207</v>
      </c>
      <c r="C898" s="2" t="s">
        <v>647</v>
      </c>
      <c r="D898" s="2" t="s">
        <v>10</v>
      </c>
      <c r="E898" s="2">
        <v>60</v>
      </c>
      <c r="F898" s="2" t="s">
        <v>16</v>
      </c>
      <c r="G898" s="2">
        <v>4</v>
      </c>
      <c r="H898" s="2">
        <v>500</v>
      </c>
      <c r="I898" s="2">
        <f>Table13[[#This Row],[Quantity]]*Table13[[#This Row],[Price per Unit]]</f>
        <v>2000</v>
      </c>
      <c r="J898" s="2">
        <v>2000</v>
      </c>
    </row>
    <row r="899" spans="1:10" x14ac:dyDescent="0.35">
      <c r="A899" s="2">
        <v>678</v>
      </c>
      <c r="B899" s="3">
        <v>45283</v>
      </c>
      <c r="C899" s="2" t="s">
        <v>691</v>
      </c>
      <c r="D899" s="2" t="s">
        <v>13</v>
      </c>
      <c r="E899" s="2">
        <v>60</v>
      </c>
      <c r="F899" s="2" t="s">
        <v>16</v>
      </c>
      <c r="G899" s="2">
        <v>3</v>
      </c>
      <c r="H899" s="2">
        <v>300</v>
      </c>
      <c r="I899" s="2">
        <f>Table13[[#This Row],[Quantity]]*Table13[[#This Row],[Price per Unit]]</f>
        <v>900</v>
      </c>
      <c r="J899" s="2">
        <v>900</v>
      </c>
    </row>
    <row r="900" spans="1:10" x14ac:dyDescent="0.35">
      <c r="A900" s="2">
        <v>702</v>
      </c>
      <c r="B900" s="3">
        <v>45134</v>
      </c>
      <c r="C900" s="2" t="s">
        <v>715</v>
      </c>
      <c r="D900" s="2" t="s">
        <v>13</v>
      </c>
      <c r="E900" s="2">
        <v>60</v>
      </c>
      <c r="F900" s="2" t="s">
        <v>14</v>
      </c>
      <c r="G900" s="2">
        <v>2</v>
      </c>
      <c r="H900" s="2">
        <v>300</v>
      </c>
      <c r="I900" s="2">
        <f>Table13[[#This Row],[Quantity]]*Table13[[#This Row],[Price per Unit]]</f>
        <v>600</v>
      </c>
      <c r="J900" s="2">
        <v>600</v>
      </c>
    </row>
    <row r="901" spans="1:10" x14ac:dyDescent="0.35">
      <c r="A901" s="2">
        <v>705</v>
      </c>
      <c r="B901" s="3">
        <v>44992</v>
      </c>
      <c r="C901" s="2" t="s">
        <v>718</v>
      </c>
      <c r="D901" s="2" t="s">
        <v>10</v>
      </c>
      <c r="E901" s="2">
        <v>60</v>
      </c>
      <c r="F901" s="2" t="s">
        <v>16</v>
      </c>
      <c r="G901" s="2">
        <v>2</v>
      </c>
      <c r="H901" s="2">
        <v>25</v>
      </c>
      <c r="I901" s="2">
        <f>Table13[[#This Row],[Quantity]]*Table13[[#This Row],[Price per Unit]]</f>
        <v>50</v>
      </c>
      <c r="J901" s="2">
        <v>50</v>
      </c>
    </row>
    <row r="902" spans="1:10" x14ac:dyDescent="0.35">
      <c r="A902" s="2">
        <v>716</v>
      </c>
      <c r="B902" s="3">
        <v>45146</v>
      </c>
      <c r="C902" s="2" t="s">
        <v>729</v>
      </c>
      <c r="D902" s="2" t="s">
        <v>13</v>
      </c>
      <c r="E902" s="2">
        <v>60</v>
      </c>
      <c r="F902" s="2" t="s">
        <v>14</v>
      </c>
      <c r="G902" s="2">
        <v>4</v>
      </c>
      <c r="H902" s="2">
        <v>300</v>
      </c>
      <c r="I902" s="2">
        <f>Table13[[#This Row],[Quantity]]*Table13[[#This Row],[Price per Unit]]</f>
        <v>1200</v>
      </c>
      <c r="J902" s="2">
        <v>1200</v>
      </c>
    </row>
    <row r="903" spans="1:10" x14ac:dyDescent="0.35">
      <c r="A903" s="2">
        <v>794</v>
      </c>
      <c r="B903" s="3">
        <v>45186</v>
      </c>
      <c r="C903" s="2" t="s">
        <v>807</v>
      </c>
      <c r="D903" s="2" t="s">
        <v>13</v>
      </c>
      <c r="E903" s="2">
        <v>60</v>
      </c>
      <c r="F903" s="2" t="s">
        <v>11</v>
      </c>
      <c r="G903" s="2">
        <v>1</v>
      </c>
      <c r="H903" s="2">
        <v>300</v>
      </c>
      <c r="I903" s="2">
        <f>Table13[[#This Row],[Quantity]]*Table13[[#This Row],[Price per Unit]]</f>
        <v>300</v>
      </c>
      <c r="J903" s="2">
        <v>300</v>
      </c>
    </row>
    <row r="904" spans="1:10" x14ac:dyDescent="0.35">
      <c r="A904" s="2">
        <v>857</v>
      </c>
      <c r="B904" s="3">
        <v>45291</v>
      </c>
      <c r="C904" s="2" t="s">
        <v>870</v>
      </c>
      <c r="D904" s="2" t="s">
        <v>10</v>
      </c>
      <c r="E904" s="2">
        <v>60</v>
      </c>
      <c r="F904" s="2" t="s">
        <v>16</v>
      </c>
      <c r="G904" s="2">
        <v>2</v>
      </c>
      <c r="H904" s="2">
        <v>25</v>
      </c>
      <c r="I904" s="2">
        <f>Table13[[#This Row],[Quantity]]*Table13[[#This Row],[Price per Unit]]</f>
        <v>50</v>
      </c>
      <c r="J904" s="2">
        <v>50</v>
      </c>
    </row>
    <row r="905" spans="1:10" x14ac:dyDescent="0.35">
      <c r="A905" s="2">
        <v>874</v>
      </c>
      <c r="B905" s="3">
        <v>45103</v>
      </c>
      <c r="C905" s="2" t="s">
        <v>887</v>
      </c>
      <c r="D905" s="2" t="s">
        <v>10</v>
      </c>
      <c r="E905" s="2">
        <v>60</v>
      </c>
      <c r="F905" s="2" t="s">
        <v>11</v>
      </c>
      <c r="G905" s="2">
        <v>1</v>
      </c>
      <c r="H905" s="2">
        <v>30</v>
      </c>
      <c r="I905" s="2">
        <f>Table13[[#This Row],[Quantity]]*Table13[[#This Row],[Price per Unit]]</f>
        <v>30</v>
      </c>
      <c r="J905" s="2">
        <v>30</v>
      </c>
    </row>
    <row r="906" spans="1:10" x14ac:dyDescent="0.35">
      <c r="A906" s="2">
        <v>957</v>
      </c>
      <c r="B906" s="3">
        <v>45153</v>
      </c>
      <c r="C906" s="2" t="s">
        <v>970</v>
      </c>
      <c r="D906" s="2" t="s">
        <v>13</v>
      </c>
      <c r="E906" s="2">
        <v>60</v>
      </c>
      <c r="F906" s="2" t="s">
        <v>16</v>
      </c>
      <c r="G906" s="2">
        <v>4</v>
      </c>
      <c r="H906" s="2">
        <v>30</v>
      </c>
      <c r="I906" s="2">
        <f>Table13[[#This Row],[Quantity]]*Table13[[#This Row],[Price per Unit]]</f>
        <v>120</v>
      </c>
      <c r="J906" s="2">
        <v>120</v>
      </c>
    </row>
    <row r="907" spans="1:10" x14ac:dyDescent="0.35">
      <c r="A907" s="2">
        <v>966</v>
      </c>
      <c r="B907" s="3">
        <v>44977</v>
      </c>
      <c r="C907" s="2" t="s">
        <v>979</v>
      </c>
      <c r="D907" s="2" t="s">
        <v>10</v>
      </c>
      <c r="E907" s="2">
        <v>60</v>
      </c>
      <c r="F907" s="2" t="s">
        <v>16</v>
      </c>
      <c r="G907" s="2">
        <v>2</v>
      </c>
      <c r="H907" s="2">
        <v>500</v>
      </c>
      <c r="I907" s="2">
        <f>Table13[[#This Row],[Quantity]]*Table13[[#This Row],[Price per Unit]]</f>
        <v>1000</v>
      </c>
      <c r="J907" s="2">
        <v>1000</v>
      </c>
    </row>
    <row r="908" spans="1:10" x14ac:dyDescent="0.35">
      <c r="A908" s="2">
        <v>973</v>
      </c>
      <c r="B908" s="3">
        <v>45007</v>
      </c>
      <c r="C908" s="2" t="s">
        <v>986</v>
      </c>
      <c r="D908" s="2" t="s">
        <v>10</v>
      </c>
      <c r="E908" s="2">
        <v>60</v>
      </c>
      <c r="F908" s="2" t="s">
        <v>14</v>
      </c>
      <c r="G908" s="2">
        <v>1</v>
      </c>
      <c r="H908" s="2">
        <v>50</v>
      </c>
      <c r="I908" s="2">
        <f>Table13[[#This Row],[Quantity]]*Table13[[#This Row],[Price per Unit]]</f>
        <v>50</v>
      </c>
      <c r="J908" s="2">
        <v>50</v>
      </c>
    </row>
    <row r="909" spans="1:10" x14ac:dyDescent="0.35">
      <c r="A909" s="2">
        <v>75</v>
      </c>
      <c r="B909" s="3">
        <v>45113</v>
      </c>
      <c r="C909" s="2" t="s">
        <v>88</v>
      </c>
      <c r="D909" s="2" t="s">
        <v>10</v>
      </c>
      <c r="E909" s="2">
        <v>61</v>
      </c>
      <c r="F909" s="2" t="s">
        <v>11</v>
      </c>
      <c r="G909" s="2">
        <v>4</v>
      </c>
      <c r="H909" s="2">
        <v>50</v>
      </c>
      <c r="I909" s="2">
        <f>Table13[[#This Row],[Quantity]]*Table13[[#This Row],[Price per Unit]]</f>
        <v>200</v>
      </c>
      <c r="J909" s="2">
        <v>200</v>
      </c>
    </row>
    <row r="910" spans="1:10" x14ac:dyDescent="0.35">
      <c r="A910" s="2">
        <v>206</v>
      </c>
      <c r="B910" s="3">
        <v>45143</v>
      </c>
      <c r="C910" s="2" t="s">
        <v>219</v>
      </c>
      <c r="D910" s="2" t="s">
        <v>10</v>
      </c>
      <c r="E910" s="2">
        <v>61</v>
      </c>
      <c r="F910" s="2" t="s">
        <v>14</v>
      </c>
      <c r="G910" s="2">
        <v>1</v>
      </c>
      <c r="H910" s="2">
        <v>25</v>
      </c>
      <c r="I910" s="2">
        <f>Table13[[#This Row],[Quantity]]*Table13[[#This Row],[Price per Unit]]</f>
        <v>25</v>
      </c>
      <c r="J910" s="2">
        <v>25</v>
      </c>
    </row>
    <row r="911" spans="1:10" x14ac:dyDescent="0.35">
      <c r="A911" s="2">
        <v>226</v>
      </c>
      <c r="B911" s="3">
        <v>45228</v>
      </c>
      <c r="C911" s="2" t="s">
        <v>239</v>
      </c>
      <c r="D911" s="2" t="s">
        <v>13</v>
      </c>
      <c r="E911" s="2">
        <v>61</v>
      </c>
      <c r="F911" s="2" t="s">
        <v>14</v>
      </c>
      <c r="G911" s="2">
        <v>1</v>
      </c>
      <c r="H911" s="2">
        <v>50</v>
      </c>
      <c r="I911" s="2">
        <f>Table13[[#This Row],[Quantity]]*Table13[[#This Row],[Price per Unit]]</f>
        <v>50</v>
      </c>
      <c r="J911" s="2">
        <v>50</v>
      </c>
    </row>
    <row r="912" spans="1:10" x14ac:dyDescent="0.35">
      <c r="A912" s="2">
        <v>272</v>
      </c>
      <c r="B912" s="3">
        <v>44982</v>
      </c>
      <c r="C912" s="2" t="s">
        <v>285</v>
      </c>
      <c r="D912" s="2" t="s">
        <v>13</v>
      </c>
      <c r="E912" s="2">
        <v>61</v>
      </c>
      <c r="F912" s="2" t="s">
        <v>16</v>
      </c>
      <c r="G912" s="2">
        <v>2</v>
      </c>
      <c r="H912" s="2">
        <v>50</v>
      </c>
      <c r="I912" s="2">
        <f>Table13[[#This Row],[Quantity]]*Table13[[#This Row],[Price per Unit]]</f>
        <v>100</v>
      </c>
      <c r="J912" s="2">
        <v>100</v>
      </c>
    </row>
    <row r="913" spans="1:10" x14ac:dyDescent="0.35">
      <c r="A913" s="2">
        <v>299</v>
      </c>
      <c r="B913" s="3">
        <v>45132</v>
      </c>
      <c r="C913" s="2" t="s">
        <v>312</v>
      </c>
      <c r="D913" s="2" t="s">
        <v>10</v>
      </c>
      <c r="E913" s="2">
        <v>61</v>
      </c>
      <c r="F913" s="2" t="s">
        <v>16</v>
      </c>
      <c r="G913" s="2">
        <v>2</v>
      </c>
      <c r="H913" s="2">
        <v>500</v>
      </c>
      <c r="I913" s="2">
        <f>Table13[[#This Row],[Quantity]]*Table13[[#This Row],[Price per Unit]]</f>
        <v>1000</v>
      </c>
      <c r="J913" s="2">
        <v>1000</v>
      </c>
    </row>
    <row r="914" spans="1:10" x14ac:dyDescent="0.35">
      <c r="A914" s="2">
        <v>318</v>
      </c>
      <c r="B914" s="3">
        <v>45223</v>
      </c>
      <c r="C914" s="2" t="s">
        <v>331</v>
      </c>
      <c r="D914" s="2" t="s">
        <v>10</v>
      </c>
      <c r="E914" s="2">
        <v>61</v>
      </c>
      <c r="F914" s="2" t="s">
        <v>14</v>
      </c>
      <c r="G914" s="2">
        <v>1</v>
      </c>
      <c r="H914" s="2">
        <v>25</v>
      </c>
      <c r="I914" s="2">
        <f>Table13[[#This Row],[Quantity]]*Table13[[#This Row],[Price per Unit]]</f>
        <v>25</v>
      </c>
      <c r="J914" s="2">
        <v>25</v>
      </c>
    </row>
    <row r="915" spans="1:10" x14ac:dyDescent="0.35">
      <c r="A915" s="2">
        <v>444</v>
      </c>
      <c r="B915" s="3">
        <v>44992</v>
      </c>
      <c r="C915" s="2" t="s">
        <v>457</v>
      </c>
      <c r="D915" s="2" t="s">
        <v>13</v>
      </c>
      <c r="E915" s="2">
        <v>61</v>
      </c>
      <c r="F915" s="2" t="s">
        <v>14</v>
      </c>
      <c r="G915" s="2">
        <v>3</v>
      </c>
      <c r="H915" s="2">
        <v>30</v>
      </c>
      <c r="I915" s="2">
        <f>Table13[[#This Row],[Quantity]]*Table13[[#This Row],[Price per Unit]]</f>
        <v>90</v>
      </c>
      <c r="J915" s="2">
        <v>90</v>
      </c>
    </row>
    <row r="916" spans="1:10" x14ac:dyDescent="0.35">
      <c r="A916" s="2">
        <v>492</v>
      </c>
      <c r="B916" s="3">
        <v>45106</v>
      </c>
      <c r="C916" s="2" t="s">
        <v>505</v>
      </c>
      <c r="D916" s="2" t="s">
        <v>10</v>
      </c>
      <c r="E916" s="2">
        <v>61</v>
      </c>
      <c r="F916" s="2" t="s">
        <v>11</v>
      </c>
      <c r="G916" s="2">
        <v>4</v>
      </c>
      <c r="H916" s="2">
        <v>25</v>
      </c>
      <c r="I916" s="2">
        <f>Table13[[#This Row],[Quantity]]*Table13[[#This Row],[Price per Unit]]</f>
        <v>100</v>
      </c>
      <c r="J916" s="2">
        <v>100</v>
      </c>
    </row>
    <row r="917" spans="1:10" x14ac:dyDescent="0.35">
      <c r="A917" s="2">
        <v>612</v>
      </c>
      <c r="B917" s="3">
        <v>45144</v>
      </c>
      <c r="C917" s="2" t="s">
        <v>625</v>
      </c>
      <c r="D917" s="2" t="s">
        <v>13</v>
      </c>
      <c r="E917" s="2">
        <v>61</v>
      </c>
      <c r="F917" s="2" t="s">
        <v>16</v>
      </c>
      <c r="G917" s="2">
        <v>1</v>
      </c>
      <c r="H917" s="2">
        <v>500</v>
      </c>
      <c r="I917" s="2">
        <f>Table13[[#This Row],[Quantity]]*Table13[[#This Row],[Price per Unit]]</f>
        <v>500</v>
      </c>
      <c r="J917" s="2">
        <v>500</v>
      </c>
    </row>
    <row r="918" spans="1:10" x14ac:dyDescent="0.35">
      <c r="A918" s="2">
        <v>615</v>
      </c>
      <c r="B918" s="3">
        <v>45283</v>
      </c>
      <c r="C918" s="2" t="s">
        <v>628</v>
      </c>
      <c r="D918" s="2" t="s">
        <v>13</v>
      </c>
      <c r="E918" s="2">
        <v>61</v>
      </c>
      <c r="F918" s="2" t="s">
        <v>14</v>
      </c>
      <c r="G918" s="2">
        <v>4</v>
      </c>
      <c r="H918" s="2">
        <v>25</v>
      </c>
      <c r="I918" s="2">
        <f>Table13[[#This Row],[Quantity]]*Table13[[#This Row],[Price per Unit]]</f>
        <v>100</v>
      </c>
      <c r="J918" s="2">
        <v>100</v>
      </c>
    </row>
    <row r="919" spans="1:10" x14ac:dyDescent="0.35">
      <c r="A919" s="2">
        <v>724</v>
      </c>
      <c r="B919" s="3">
        <v>45035</v>
      </c>
      <c r="C919" s="2" t="s">
        <v>737</v>
      </c>
      <c r="D919" s="2" t="s">
        <v>10</v>
      </c>
      <c r="E919" s="2">
        <v>61</v>
      </c>
      <c r="F919" s="2" t="s">
        <v>14</v>
      </c>
      <c r="G919" s="2">
        <v>3</v>
      </c>
      <c r="H919" s="2">
        <v>50</v>
      </c>
      <c r="I919" s="2">
        <f>Table13[[#This Row],[Quantity]]*Table13[[#This Row],[Price per Unit]]</f>
        <v>150</v>
      </c>
      <c r="J919" s="2">
        <v>150</v>
      </c>
    </row>
    <row r="920" spans="1:10" x14ac:dyDescent="0.35">
      <c r="A920" s="2">
        <v>725</v>
      </c>
      <c r="B920" s="3">
        <v>45159</v>
      </c>
      <c r="C920" s="2" t="s">
        <v>738</v>
      </c>
      <c r="D920" s="2" t="s">
        <v>10</v>
      </c>
      <c r="E920" s="2">
        <v>61</v>
      </c>
      <c r="F920" s="2" t="s">
        <v>16</v>
      </c>
      <c r="G920" s="2">
        <v>1</v>
      </c>
      <c r="H920" s="2">
        <v>300</v>
      </c>
      <c r="I920" s="2">
        <f>Table13[[#This Row],[Quantity]]*Table13[[#This Row],[Price per Unit]]</f>
        <v>300</v>
      </c>
      <c r="J920" s="2">
        <v>300</v>
      </c>
    </row>
    <row r="921" spans="1:10" x14ac:dyDescent="0.35">
      <c r="A921" s="2">
        <v>732</v>
      </c>
      <c r="B921" s="3">
        <v>44968</v>
      </c>
      <c r="C921" s="2" t="s">
        <v>745</v>
      </c>
      <c r="D921" s="2" t="s">
        <v>10</v>
      </c>
      <c r="E921" s="2">
        <v>61</v>
      </c>
      <c r="F921" s="2" t="s">
        <v>16</v>
      </c>
      <c r="G921" s="2">
        <v>2</v>
      </c>
      <c r="H921" s="2">
        <v>500</v>
      </c>
      <c r="I921" s="2">
        <f>Table13[[#This Row],[Quantity]]*Table13[[#This Row],[Price per Unit]]</f>
        <v>1000</v>
      </c>
      <c r="J921" s="2">
        <v>1000</v>
      </c>
    </row>
    <row r="922" spans="1:10" x14ac:dyDescent="0.35">
      <c r="A922" s="2">
        <v>789</v>
      </c>
      <c r="B922" s="3">
        <v>45199</v>
      </c>
      <c r="C922" s="2" t="s">
        <v>802</v>
      </c>
      <c r="D922" s="2" t="s">
        <v>13</v>
      </c>
      <c r="E922" s="2">
        <v>61</v>
      </c>
      <c r="F922" s="2" t="s">
        <v>14</v>
      </c>
      <c r="G922" s="2">
        <v>4</v>
      </c>
      <c r="H922" s="2">
        <v>500</v>
      </c>
      <c r="I922" s="2">
        <f>Table13[[#This Row],[Quantity]]*Table13[[#This Row],[Price per Unit]]</f>
        <v>2000</v>
      </c>
      <c r="J922" s="2">
        <v>2000</v>
      </c>
    </row>
    <row r="923" spans="1:10" x14ac:dyDescent="0.35">
      <c r="A923" s="2">
        <v>798</v>
      </c>
      <c r="B923" s="3">
        <v>45142</v>
      </c>
      <c r="C923" s="2" t="s">
        <v>811</v>
      </c>
      <c r="D923" s="2" t="s">
        <v>10</v>
      </c>
      <c r="E923" s="2">
        <v>61</v>
      </c>
      <c r="F923" s="2" t="s">
        <v>14</v>
      </c>
      <c r="G923" s="2">
        <v>1</v>
      </c>
      <c r="H923" s="2">
        <v>50</v>
      </c>
      <c r="I923" s="2">
        <f>Table13[[#This Row],[Quantity]]*Table13[[#This Row],[Price per Unit]]</f>
        <v>50</v>
      </c>
      <c r="J923" s="2">
        <v>50</v>
      </c>
    </row>
    <row r="924" spans="1:10" x14ac:dyDescent="0.35">
      <c r="A924" s="2">
        <v>811</v>
      </c>
      <c r="B924" s="3">
        <v>45065</v>
      </c>
      <c r="C924" s="2" t="s">
        <v>824</v>
      </c>
      <c r="D924" s="2" t="s">
        <v>10</v>
      </c>
      <c r="E924" s="2">
        <v>61</v>
      </c>
      <c r="F924" s="2" t="s">
        <v>11</v>
      </c>
      <c r="G924" s="2">
        <v>2</v>
      </c>
      <c r="H924" s="2">
        <v>25</v>
      </c>
      <c r="I924" s="2">
        <f>Table13[[#This Row],[Quantity]]*Table13[[#This Row],[Price per Unit]]</f>
        <v>50</v>
      </c>
      <c r="J924" s="2">
        <v>50</v>
      </c>
    </row>
    <row r="925" spans="1:10" x14ac:dyDescent="0.35">
      <c r="A925" s="2">
        <v>827</v>
      </c>
      <c r="B925" s="3">
        <v>45239</v>
      </c>
      <c r="C925" s="2" t="s">
        <v>840</v>
      </c>
      <c r="D925" s="2" t="s">
        <v>10</v>
      </c>
      <c r="E925" s="2">
        <v>61</v>
      </c>
      <c r="F925" s="2" t="s">
        <v>11</v>
      </c>
      <c r="G925" s="2">
        <v>3</v>
      </c>
      <c r="H925" s="2">
        <v>300</v>
      </c>
      <c r="I925" s="2">
        <f>Table13[[#This Row],[Quantity]]*Table13[[#This Row],[Price per Unit]]</f>
        <v>900</v>
      </c>
      <c r="J925" s="2">
        <v>900</v>
      </c>
    </row>
    <row r="926" spans="1:10" x14ac:dyDescent="0.35">
      <c r="A926" s="2">
        <v>829</v>
      </c>
      <c r="B926" s="3">
        <v>45121</v>
      </c>
      <c r="C926" s="2" t="s">
        <v>842</v>
      </c>
      <c r="D926" s="2" t="s">
        <v>10</v>
      </c>
      <c r="E926" s="2">
        <v>61</v>
      </c>
      <c r="F926" s="2" t="s">
        <v>11</v>
      </c>
      <c r="G926" s="2">
        <v>3</v>
      </c>
      <c r="H926" s="2">
        <v>30</v>
      </c>
      <c r="I926" s="2">
        <f>Table13[[#This Row],[Quantity]]*Table13[[#This Row],[Price per Unit]]</f>
        <v>90</v>
      </c>
      <c r="J926" s="2">
        <v>90</v>
      </c>
    </row>
    <row r="927" spans="1:10" x14ac:dyDescent="0.35">
      <c r="A927" s="2">
        <v>19</v>
      </c>
      <c r="B927" s="3">
        <v>45185</v>
      </c>
      <c r="C927" s="2" t="s">
        <v>32</v>
      </c>
      <c r="D927" s="2" t="s">
        <v>13</v>
      </c>
      <c r="E927" s="2">
        <v>62</v>
      </c>
      <c r="F927" s="2" t="s">
        <v>14</v>
      </c>
      <c r="G927" s="2">
        <v>2</v>
      </c>
      <c r="H927" s="2">
        <v>25</v>
      </c>
      <c r="I927" s="2">
        <f>Table13[[#This Row],[Quantity]]*Table13[[#This Row],[Price per Unit]]</f>
        <v>50</v>
      </c>
      <c r="J927" s="2">
        <v>50</v>
      </c>
    </row>
    <row r="928" spans="1:10" x14ac:dyDescent="0.35">
      <c r="A928" s="2">
        <v>59</v>
      </c>
      <c r="B928" s="3">
        <v>45112</v>
      </c>
      <c r="C928" s="2" t="s">
        <v>72</v>
      </c>
      <c r="D928" s="2" t="s">
        <v>10</v>
      </c>
      <c r="E928" s="2">
        <v>62</v>
      </c>
      <c r="F928" s="2" t="s">
        <v>14</v>
      </c>
      <c r="G928" s="2">
        <v>1</v>
      </c>
      <c r="H928" s="2">
        <v>50</v>
      </c>
      <c r="I928" s="2">
        <f>Table13[[#This Row],[Quantity]]*Table13[[#This Row],[Price per Unit]]</f>
        <v>50</v>
      </c>
      <c r="J928" s="2">
        <v>50</v>
      </c>
    </row>
    <row r="929" spans="1:10" x14ac:dyDescent="0.35">
      <c r="A929" s="2">
        <v>157</v>
      </c>
      <c r="B929" s="3">
        <v>45101</v>
      </c>
      <c r="C929" s="2" t="s">
        <v>170</v>
      </c>
      <c r="D929" s="2" t="s">
        <v>10</v>
      </c>
      <c r="E929" s="2">
        <v>62</v>
      </c>
      <c r="F929" s="2" t="s">
        <v>16</v>
      </c>
      <c r="G929" s="2">
        <v>4</v>
      </c>
      <c r="H929" s="2">
        <v>500</v>
      </c>
      <c r="I929" s="2">
        <f>Table13[[#This Row],[Quantity]]*Table13[[#This Row],[Price per Unit]]</f>
        <v>2000</v>
      </c>
      <c r="J929" s="2">
        <v>2000</v>
      </c>
    </row>
    <row r="930" spans="1:10" x14ac:dyDescent="0.35">
      <c r="A930" s="2">
        <v>182</v>
      </c>
      <c r="B930" s="3">
        <v>45092</v>
      </c>
      <c r="C930" s="2" t="s">
        <v>195</v>
      </c>
      <c r="D930" s="2" t="s">
        <v>10</v>
      </c>
      <c r="E930" s="2">
        <v>62</v>
      </c>
      <c r="F930" s="2" t="s">
        <v>11</v>
      </c>
      <c r="G930" s="2">
        <v>4</v>
      </c>
      <c r="H930" s="2">
        <v>30</v>
      </c>
      <c r="I930" s="2">
        <f>Table13[[#This Row],[Quantity]]*Table13[[#This Row],[Price per Unit]]</f>
        <v>120</v>
      </c>
      <c r="J930" s="2">
        <v>120</v>
      </c>
    </row>
    <row r="931" spans="1:10" x14ac:dyDescent="0.35">
      <c r="A931" s="2">
        <v>192</v>
      </c>
      <c r="B931" s="3">
        <v>44967</v>
      </c>
      <c r="C931" s="2" t="s">
        <v>205</v>
      </c>
      <c r="D931" s="2" t="s">
        <v>10</v>
      </c>
      <c r="E931" s="2">
        <v>62</v>
      </c>
      <c r="F931" s="2" t="s">
        <v>11</v>
      </c>
      <c r="G931" s="2">
        <v>2</v>
      </c>
      <c r="H931" s="2">
        <v>50</v>
      </c>
      <c r="I931" s="2">
        <f>Table13[[#This Row],[Quantity]]*Table13[[#This Row],[Price per Unit]]</f>
        <v>100</v>
      </c>
      <c r="J931" s="2">
        <v>100</v>
      </c>
    </row>
    <row r="932" spans="1:10" x14ac:dyDescent="0.35">
      <c r="A932" s="2">
        <v>216</v>
      </c>
      <c r="B932" s="3">
        <v>45118</v>
      </c>
      <c r="C932" s="2" t="s">
        <v>229</v>
      </c>
      <c r="D932" s="2" t="s">
        <v>10</v>
      </c>
      <c r="E932" s="2">
        <v>62</v>
      </c>
      <c r="F932" s="2" t="s">
        <v>16</v>
      </c>
      <c r="G932" s="2">
        <v>2</v>
      </c>
      <c r="H932" s="2">
        <v>50</v>
      </c>
      <c r="I932" s="2">
        <f>Table13[[#This Row],[Quantity]]*Table13[[#This Row],[Price per Unit]]</f>
        <v>100</v>
      </c>
      <c r="J932" s="2">
        <v>100</v>
      </c>
    </row>
    <row r="933" spans="1:10" x14ac:dyDescent="0.35">
      <c r="A933" s="2">
        <v>234</v>
      </c>
      <c r="B933" s="3">
        <v>45250</v>
      </c>
      <c r="C933" s="2" t="s">
        <v>247</v>
      </c>
      <c r="D933" s="2" t="s">
        <v>13</v>
      </c>
      <c r="E933" s="2">
        <v>62</v>
      </c>
      <c r="F933" s="2" t="s">
        <v>16</v>
      </c>
      <c r="G933" s="2">
        <v>2</v>
      </c>
      <c r="H933" s="2">
        <v>25</v>
      </c>
      <c r="I933" s="2">
        <f>Table13[[#This Row],[Quantity]]*Table13[[#This Row],[Price per Unit]]</f>
        <v>50</v>
      </c>
      <c r="J933" s="2">
        <v>50</v>
      </c>
    </row>
    <row r="934" spans="1:10" x14ac:dyDescent="0.35">
      <c r="A934" s="2">
        <v>271</v>
      </c>
      <c r="B934" s="3">
        <v>45100</v>
      </c>
      <c r="C934" s="2" t="s">
        <v>284</v>
      </c>
      <c r="D934" s="2" t="s">
        <v>13</v>
      </c>
      <c r="E934" s="2">
        <v>62</v>
      </c>
      <c r="F934" s="2" t="s">
        <v>11</v>
      </c>
      <c r="G934" s="2">
        <v>4</v>
      </c>
      <c r="H934" s="2">
        <v>30</v>
      </c>
      <c r="I934" s="2">
        <f>Table13[[#This Row],[Quantity]]*Table13[[#This Row],[Price per Unit]]</f>
        <v>120</v>
      </c>
      <c r="J934" s="2">
        <v>120</v>
      </c>
    </row>
    <row r="935" spans="1:10" x14ac:dyDescent="0.35">
      <c r="A935" s="2">
        <v>345</v>
      </c>
      <c r="B935" s="3">
        <v>45244</v>
      </c>
      <c r="C935" s="2" t="s">
        <v>358</v>
      </c>
      <c r="D935" s="2" t="s">
        <v>10</v>
      </c>
      <c r="E935" s="2">
        <v>62</v>
      </c>
      <c r="F935" s="2" t="s">
        <v>16</v>
      </c>
      <c r="G935" s="2">
        <v>1</v>
      </c>
      <c r="H935" s="2">
        <v>30</v>
      </c>
      <c r="I935" s="2">
        <f>Table13[[#This Row],[Quantity]]*Table13[[#This Row],[Price per Unit]]</f>
        <v>30</v>
      </c>
      <c r="J935" s="2">
        <v>30</v>
      </c>
    </row>
    <row r="936" spans="1:10" x14ac:dyDescent="0.35">
      <c r="A936" s="2">
        <v>401</v>
      </c>
      <c r="B936" s="3">
        <v>45210</v>
      </c>
      <c r="C936" s="2" t="s">
        <v>414</v>
      </c>
      <c r="D936" s="2" t="s">
        <v>13</v>
      </c>
      <c r="E936" s="2">
        <v>62</v>
      </c>
      <c r="F936" s="2" t="s">
        <v>14</v>
      </c>
      <c r="G936" s="2">
        <v>1</v>
      </c>
      <c r="H936" s="2">
        <v>300</v>
      </c>
      <c r="I936" s="2">
        <f>Table13[[#This Row],[Quantity]]*Table13[[#This Row],[Price per Unit]]</f>
        <v>300</v>
      </c>
      <c r="J936" s="2">
        <v>300</v>
      </c>
    </row>
    <row r="937" spans="1:10" x14ac:dyDescent="0.35">
      <c r="A937" s="2">
        <v>411</v>
      </c>
      <c r="B937" s="3">
        <v>45062</v>
      </c>
      <c r="C937" s="2" t="s">
        <v>424</v>
      </c>
      <c r="D937" s="2" t="s">
        <v>10</v>
      </c>
      <c r="E937" s="2">
        <v>62</v>
      </c>
      <c r="F937" s="2" t="s">
        <v>16</v>
      </c>
      <c r="G937" s="2">
        <v>4</v>
      </c>
      <c r="H937" s="2">
        <v>50</v>
      </c>
      <c r="I937" s="2">
        <f>Table13[[#This Row],[Quantity]]*Table13[[#This Row],[Price per Unit]]</f>
        <v>200</v>
      </c>
      <c r="J937" s="2">
        <v>200</v>
      </c>
    </row>
    <row r="938" spans="1:10" x14ac:dyDescent="0.35">
      <c r="A938" s="2">
        <v>523</v>
      </c>
      <c r="B938" s="3">
        <v>45193</v>
      </c>
      <c r="C938" s="2" t="s">
        <v>536</v>
      </c>
      <c r="D938" s="2" t="s">
        <v>13</v>
      </c>
      <c r="E938" s="2">
        <v>62</v>
      </c>
      <c r="F938" s="2" t="s">
        <v>16</v>
      </c>
      <c r="G938" s="2">
        <v>1</v>
      </c>
      <c r="H938" s="2">
        <v>300</v>
      </c>
      <c r="I938" s="2">
        <f>Table13[[#This Row],[Quantity]]*Table13[[#This Row],[Price per Unit]]</f>
        <v>300</v>
      </c>
      <c r="J938" s="2">
        <v>300</v>
      </c>
    </row>
    <row r="939" spans="1:10" x14ac:dyDescent="0.35">
      <c r="A939" s="2">
        <v>629</v>
      </c>
      <c r="B939" s="3">
        <v>45089</v>
      </c>
      <c r="C939" s="2" t="s">
        <v>642</v>
      </c>
      <c r="D939" s="2" t="s">
        <v>10</v>
      </c>
      <c r="E939" s="2">
        <v>62</v>
      </c>
      <c r="F939" s="2" t="s">
        <v>16</v>
      </c>
      <c r="G939" s="2">
        <v>2</v>
      </c>
      <c r="H939" s="2">
        <v>25</v>
      </c>
      <c r="I939" s="2">
        <f>Table13[[#This Row],[Quantity]]*Table13[[#This Row],[Price per Unit]]</f>
        <v>50</v>
      </c>
      <c r="J939" s="2">
        <v>50</v>
      </c>
    </row>
    <row r="940" spans="1:10" x14ac:dyDescent="0.35">
      <c r="A940" s="2">
        <v>639</v>
      </c>
      <c r="B940" s="3">
        <v>45059</v>
      </c>
      <c r="C940" s="2" t="s">
        <v>652</v>
      </c>
      <c r="D940" s="2" t="s">
        <v>13</v>
      </c>
      <c r="E940" s="2">
        <v>62</v>
      </c>
      <c r="F940" s="2" t="s">
        <v>11</v>
      </c>
      <c r="G940" s="2">
        <v>4</v>
      </c>
      <c r="H940" s="2">
        <v>50</v>
      </c>
      <c r="I940" s="2">
        <f>Table13[[#This Row],[Quantity]]*Table13[[#This Row],[Price per Unit]]</f>
        <v>200</v>
      </c>
      <c r="J940" s="2">
        <v>200</v>
      </c>
    </row>
    <row r="941" spans="1:10" x14ac:dyDescent="0.35">
      <c r="A941" s="2">
        <v>668</v>
      </c>
      <c r="B941" s="3">
        <v>45135</v>
      </c>
      <c r="C941" s="2" t="s">
        <v>681</v>
      </c>
      <c r="D941" s="2" t="s">
        <v>13</v>
      </c>
      <c r="E941" s="2">
        <v>62</v>
      </c>
      <c r="F941" s="2" t="s">
        <v>16</v>
      </c>
      <c r="G941" s="2">
        <v>3</v>
      </c>
      <c r="H941" s="2">
        <v>50</v>
      </c>
      <c r="I941" s="2">
        <f>Table13[[#This Row],[Quantity]]*Table13[[#This Row],[Price per Unit]]</f>
        <v>150</v>
      </c>
      <c r="J941" s="2">
        <v>150</v>
      </c>
    </row>
    <row r="942" spans="1:10" x14ac:dyDescent="0.35">
      <c r="A942" s="2">
        <v>671</v>
      </c>
      <c r="B942" s="3">
        <v>45165</v>
      </c>
      <c r="C942" s="2" t="s">
        <v>684</v>
      </c>
      <c r="D942" s="2" t="s">
        <v>10</v>
      </c>
      <c r="E942" s="2">
        <v>62</v>
      </c>
      <c r="F942" s="2" t="s">
        <v>16</v>
      </c>
      <c r="G942" s="2">
        <v>3</v>
      </c>
      <c r="H942" s="2">
        <v>50</v>
      </c>
      <c r="I942" s="2">
        <f>Table13[[#This Row],[Quantity]]*Table13[[#This Row],[Price per Unit]]</f>
        <v>150</v>
      </c>
      <c r="J942" s="2">
        <v>150</v>
      </c>
    </row>
    <row r="943" spans="1:10" x14ac:dyDescent="0.35">
      <c r="A943" s="2">
        <v>704</v>
      </c>
      <c r="B943" s="3">
        <v>45166</v>
      </c>
      <c r="C943" s="2" t="s">
        <v>717</v>
      </c>
      <c r="D943" s="2" t="s">
        <v>13</v>
      </c>
      <c r="E943" s="2">
        <v>62</v>
      </c>
      <c r="F943" s="2" t="s">
        <v>14</v>
      </c>
      <c r="G943" s="2">
        <v>3</v>
      </c>
      <c r="H943" s="2">
        <v>30</v>
      </c>
      <c r="I943" s="2">
        <f>Table13[[#This Row],[Quantity]]*Table13[[#This Row],[Price per Unit]]</f>
        <v>90</v>
      </c>
      <c r="J943" s="2">
        <v>90</v>
      </c>
    </row>
    <row r="944" spans="1:10" x14ac:dyDescent="0.35">
      <c r="A944" s="2">
        <v>756</v>
      </c>
      <c r="B944" s="3">
        <v>45165</v>
      </c>
      <c r="C944" s="2" t="s">
        <v>769</v>
      </c>
      <c r="D944" s="2" t="s">
        <v>13</v>
      </c>
      <c r="E944" s="2">
        <v>62</v>
      </c>
      <c r="F944" s="2" t="s">
        <v>16</v>
      </c>
      <c r="G944" s="2">
        <v>4</v>
      </c>
      <c r="H944" s="2">
        <v>300</v>
      </c>
      <c r="I944" s="2">
        <f>Table13[[#This Row],[Quantity]]*Table13[[#This Row],[Price per Unit]]</f>
        <v>1200</v>
      </c>
      <c r="J944" s="2">
        <v>1200</v>
      </c>
    </row>
    <row r="945" spans="1:10" x14ac:dyDescent="0.35">
      <c r="A945" s="2">
        <v>790</v>
      </c>
      <c r="B945" s="3">
        <v>45146</v>
      </c>
      <c r="C945" s="2" t="s">
        <v>803</v>
      </c>
      <c r="D945" s="2" t="s">
        <v>10</v>
      </c>
      <c r="E945" s="2">
        <v>62</v>
      </c>
      <c r="F945" s="2" t="s">
        <v>14</v>
      </c>
      <c r="G945" s="2">
        <v>1</v>
      </c>
      <c r="H945" s="2">
        <v>25</v>
      </c>
      <c r="I945" s="2">
        <f>Table13[[#This Row],[Quantity]]*Table13[[#This Row],[Price per Unit]]</f>
        <v>25</v>
      </c>
      <c r="J945" s="2">
        <v>25</v>
      </c>
    </row>
    <row r="946" spans="1:10" x14ac:dyDescent="0.35">
      <c r="A946" s="2">
        <v>809</v>
      </c>
      <c r="B946" s="3">
        <v>45194</v>
      </c>
      <c r="C946" s="2" t="s">
        <v>822</v>
      </c>
      <c r="D946" s="2" t="s">
        <v>13</v>
      </c>
      <c r="E946" s="2">
        <v>62</v>
      </c>
      <c r="F946" s="2" t="s">
        <v>11</v>
      </c>
      <c r="G946" s="2">
        <v>2</v>
      </c>
      <c r="H946" s="2">
        <v>50</v>
      </c>
      <c r="I946" s="2">
        <f>Table13[[#This Row],[Quantity]]*Table13[[#This Row],[Price per Unit]]</f>
        <v>100</v>
      </c>
      <c r="J946" s="2">
        <v>100</v>
      </c>
    </row>
    <row r="947" spans="1:10" x14ac:dyDescent="0.35">
      <c r="A947" s="2">
        <v>840</v>
      </c>
      <c r="B947" s="3">
        <v>45070</v>
      </c>
      <c r="C947" s="2" t="s">
        <v>853</v>
      </c>
      <c r="D947" s="2" t="s">
        <v>10</v>
      </c>
      <c r="E947" s="2">
        <v>62</v>
      </c>
      <c r="F947" s="2" t="s">
        <v>14</v>
      </c>
      <c r="G947" s="2">
        <v>2</v>
      </c>
      <c r="H947" s="2">
        <v>25</v>
      </c>
      <c r="I947" s="2">
        <f>Table13[[#This Row],[Quantity]]*Table13[[#This Row],[Price per Unit]]</f>
        <v>50</v>
      </c>
      <c r="J947" s="2">
        <v>50</v>
      </c>
    </row>
    <row r="948" spans="1:10" x14ac:dyDescent="0.35">
      <c r="A948" s="2">
        <v>871</v>
      </c>
      <c r="B948" s="3">
        <v>45169</v>
      </c>
      <c r="C948" s="2" t="s">
        <v>884</v>
      </c>
      <c r="D948" s="2" t="s">
        <v>10</v>
      </c>
      <c r="E948" s="2">
        <v>62</v>
      </c>
      <c r="F948" s="2" t="s">
        <v>11</v>
      </c>
      <c r="G948" s="2">
        <v>2</v>
      </c>
      <c r="H948" s="2">
        <v>30</v>
      </c>
      <c r="I948" s="2">
        <f>Table13[[#This Row],[Quantity]]*Table13[[#This Row],[Price per Unit]]</f>
        <v>60</v>
      </c>
      <c r="J948" s="2">
        <v>60</v>
      </c>
    </row>
    <row r="949" spans="1:10" x14ac:dyDescent="0.35">
      <c r="A949" s="2">
        <v>937</v>
      </c>
      <c r="B949" s="3">
        <v>45222</v>
      </c>
      <c r="C949" s="2" t="s">
        <v>950</v>
      </c>
      <c r="D949" s="2" t="s">
        <v>13</v>
      </c>
      <c r="E949" s="2">
        <v>62</v>
      </c>
      <c r="F949" s="2" t="s">
        <v>11</v>
      </c>
      <c r="G949" s="2">
        <v>1</v>
      </c>
      <c r="H949" s="2">
        <v>500</v>
      </c>
      <c r="I949" s="2">
        <f>Table13[[#This Row],[Quantity]]*Table13[[#This Row],[Price per Unit]]</f>
        <v>500</v>
      </c>
      <c r="J949" s="2">
        <v>500</v>
      </c>
    </row>
    <row r="950" spans="1:10" x14ac:dyDescent="0.35">
      <c r="A950" s="2">
        <v>946</v>
      </c>
      <c r="B950" s="3">
        <v>45054</v>
      </c>
      <c r="C950" s="2" t="s">
        <v>959</v>
      </c>
      <c r="D950" s="2" t="s">
        <v>10</v>
      </c>
      <c r="E950" s="2">
        <v>62</v>
      </c>
      <c r="F950" s="2" t="s">
        <v>16</v>
      </c>
      <c r="G950" s="2">
        <v>4</v>
      </c>
      <c r="H950" s="2">
        <v>500</v>
      </c>
      <c r="I950" s="2">
        <f>Table13[[#This Row],[Quantity]]*Table13[[#This Row],[Price per Unit]]</f>
        <v>2000</v>
      </c>
      <c r="J950" s="2">
        <v>2000</v>
      </c>
    </row>
    <row r="951" spans="1:10" x14ac:dyDescent="0.35">
      <c r="A951" s="2">
        <v>958</v>
      </c>
      <c r="B951" s="3">
        <v>45079</v>
      </c>
      <c r="C951" s="2" t="s">
        <v>971</v>
      </c>
      <c r="D951" s="2" t="s">
        <v>10</v>
      </c>
      <c r="E951" s="2">
        <v>62</v>
      </c>
      <c r="F951" s="2" t="s">
        <v>16</v>
      </c>
      <c r="G951" s="2">
        <v>2</v>
      </c>
      <c r="H951" s="2">
        <v>25</v>
      </c>
      <c r="I951" s="2">
        <f>Table13[[#This Row],[Quantity]]*Table13[[#This Row],[Price per Unit]]</f>
        <v>50</v>
      </c>
      <c r="J951" s="2">
        <v>50</v>
      </c>
    </row>
    <row r="952" spans="1:10" x14ac:dyDescent="0.35">
      <c r="A952" s="2">
        <v>967</v>
      </c>
      <c r="B952" s="3">
        <v>45033</v>
      </c>
      <c r="C952" s="2" t="s">
        <v>980</v>
      </c>
      <c r="D952" s="2" t="s">
        <v>10</v>
      </c>
      <c r="E952" s="2">
        <v>62</v>
      </c>
      <c r="F952" s="2" t="s">
        <v>11</v>
      </c>
      <c r="G952" s="2">
        <v>1</v>
      </c>
      <c r="H952" s="2">
        <v>25</v>
      </c>
      <c r="I952" s="2">
        <f>Table13[[#This Row],[Quantity]]*Table13[[#This Row],[Price per Unit]]</f>
        <v>25</v>
      </c>
      <c r="J952" s="2">
        <v>25</v>
      </c>
    </row>
    <row r="953" spans="1:10" x14ac:dyDescent="0.35">
      <c r="A953" s="2">
        <v>996</v>
      </c>
      <c r="B953" s="3">
        <v>45062</v>
      </c>
      <c r="C953" s="2" t="s">
        <v>1009</v>
      </c>
      <c r="D953" s="2" t="s">
        <v>10</v>
      </c>
      <c r="E953" s="2">
        <v>62</v>
      </c>
      <c r="F953" s="2" t="s">
        <v>14</v>
      </c>
      <c r="G953" s="2">
        <v>1</v>
      </c>
      <c r="H953" s="2">
        <v>50</v>
      </c>
      <c r="I953" s="2">
        <f>Table13[[#This Row],[Quantity]]*Table13[[#This Row],[Price per Unit]]</f>
        <v>50</v>
      </c>
      <c r="J953" s="2">
        <v>50</v>
      </c>
    </row>
    <row r="954" spans="1:10" x14ac:dyDescent="0.35">
      <c r="A954" s="2">
        <v>9</v>
      </c>
      <c r="B954" s="3">
        <v>45273</v>
      </c>
      <c r="C954" s="2" t="s">
        <v>22</v>
      </c>
      <c r="D954" s="2" t="s">
        <v>10</v>
      </c>
      <c r="E954" s="2">
        <v>63</v>
      </c>
      <c r="F954" s="2" t="s">
        <v>16</v>
      </c>
      <c r="G954" s="2">
        <v>2</v>
      </c>
      <c r="H954" s="2">
        <v>300</v>
      </c>
      <c r="I954" s="2">
        <f>Table13[[#This Row],[Quantity]]*Table13[[#This Row],[Price per Unit]]</f>
        <v>600</v>
      </c>
      <c r="J954" s="2">
        <v>600</v>
      </c>
    </row>
    <row r="955" spans="1:10" x14ac:dyDescent="0.35">
      <c r="A955" s="2">
        <v>57</v>
      </c>
      <c r="B955" s="3">
        <v>45248</v>
      </c>
      <c r="C955" s="2" t="s">
        <v>70</v>
      </c>
      <c r="D955" s="2" t="s">
        <v>13</v>
      </c>
      <c r="E955" s="2">
        <v>63</v>
      </c>
      <c r="F955" s="2" t="s">
        <v>11</v>
      </c>
      <c r="G955" s="2">
        <v>1</v>
      </c>
      <c r="H955" s="2">
        <v>30</v>
      </c>
      <c r="I955" s="2">
        <f>Table13[[#This Row],[Quantity]]*Table13[[#This Row],[Price per Unit]]</f>
        <v>30</v>
      </c>
      <c r="J955" s="2">
        <v>30</v>
      </c>
    </row>
    <row r="956" spans="1:10" x14ac:dyDescent="0.35">
      <c r="A956" s="2">
        <v>153</v>
      </c>
      <c r="B956" s="3">
        <v>45276</v>
      </c>
      <c r="C956" s="2" t="s">
        <v>166</v>
      </c>
      <c r="D956" s="2" t="s">
        <v>10</v>
      </c>
      <c r="E956" s="2">
        <v>63</v>
      </c>
      <c r="F956" s="2" t="s">
        <v>16</v>
      </c>
      <c r="G956" s="2">
        <v>2</v>
      </c>
      <c r="H956" s="2">
        <v>500</v>
      </c>
      <c r="I956" s="2">
        <f>Table13[[#This Row],[Quantity]]*Table13[[#This Row],[Price per Unit]]</f>
        <v>1000</v>
      </c>
      <c r="J956" s="2">
        <v>1000</v>
      </c>
    </row>
    <row r="957" spans="1:10" x14ac:dyDescent="0.35">
      <c r="A957" s="2">
        <v>189</v>
      </c>
      <c r="B957" s="3">
        <v>44956</v>
      </c>
      <c r="C957" s="2" t="s">
        <v>202</v>
      </c>
      <c r="D957" s="2" t="s">
        <v>10</v>
      </c>
      <c r="E957" s="2">
        <v>63</v>
      </c>
      <c r="F957" s="2" t="s">
        <v>11</v>
      </c>
      <c r="G957" s="2">
        <v>1</v>
      </c>
      <c r="H957" s="2">
        <v>50</v>
      </c>
      <c r="I957" s="2">
        <f>Table13[[#This Row],[Quantity]]*Table13[[#This Row],[Price per Unit]]</f>
        <v>50</v>
      </c>
      <c r="J957" s="2">
        <v>50</v>
      </c>
    </row>
    <row r="958" spans="1:10" x14ac:dyDescent="0.35">
      <c r="A958" s="2">
        <v>431</v>
      </c>
      <c r="B958" s="3">
        <v>45214</v>
      </c>
      <c r="C958" s="2" t="s">
        <v>444</v>
      </c>
      <c r="D958" s="2" t="s">
        <v>10</v>
      </c>
      <c r="E958" s="2">
        <v>63</v>
      </c>
      <c r="F958" s="2" t="s">
        <v>16</v>
      </c>
      <c r="G958" s="2">
        <v>4</v>
      </c>
      <c r="H958" s="2">
        <v>300</v>
      </c>
      <c r="I958" s="2">
        <f>Table13[[#This Row],[Quantity]]*Table13[[#This Row],[Price per Unit]]</f>
        <v>1200</v>
      </c>
      <c r="J958" s="2">
        <v>1200</v>
      </c>
    </row>
    <row r="959" spans="1:10" x14ac:dyDescent="0.35">
      <c r="A959" s="2">
        <v>462</v>
      </c>
      <c r="B959" s="3">
        <v>45017</v>
      </c>
      <c r="C959" s="2" t="s">
        <v>475</v>
      </c>
      <c r="D959" s="2" t="s">
        <v>10</v>
      </c>
      <c r="E959" s="2">
        <v>63</v>
      </c>
      <c r="F959" s="2" t="s">
        <v>16</v>
      </c>
      <c r="G959" s="2">
        <v>4</v>
      </c>
      <c r="H959" s="2">
        <v>300</v>
      </c>
      <c r="I959" s="2">
        <f>Table13[[#This Row],[Quantity]]*Table13[[#This Row],[Price per Unit]]</f>
        <v>1200</v>
      </c>
      <c r="J959" s="2">
        <v>1200</v>
      </c>
    </row>
    <row r="960" spans="1:10" x14ac:dyDescent="0.35">
      <c r="A960" s="2">
        <v>466</v>
      </c>
      <c r="B960" s="3">
        <v>45097</v>
      </c>
      <c r="C960" s="2" t="s">
        <v>479</v>
      </c>
      <c r="D960" s="2" t="s">
        <v>10</v>
      </c>
      <c r="E960" s="2">
        <v>63</v>
      </c>
      <c r="F960" s="2" t="s">
        <v>16</v>
      </c>
      <c r="G960" s="2">
        <v>4</v>
      </c>
      <c r="H960" s="2">
        <v>25</v>
      </c>
      <c r="I960" s="2">
        <f>Table13[[#This Row],[Quantity]]*Table13[[#This Row],[Price per Unit]]</f>
        <v>100</v>
      </c>
      <c r="J960" s="2">
        <v>100</v>
      </c>
    </row>
    <row r="961" spans="1:10" x14ac:dyDescent="0.35">
      <c r="A961" s="2">
        <v>547</v>
      </c>
      <c r="B961" s="3">
        <v>44992</v>
      </c>
      <c r="C961" s="2" t="s">
        <v>560</v>
      </c>
      <c r="D961" s="2" t="s">
        <v>10</v>
      </c>
      <c r="E961" s="2">
        <v>63</v>
      </c>
      <c r="F961" s="2" t="s">
        <v>14</v>
      </c>
      <c r="G961" s="2">
        <v>4</v>
      </c>
      <c r="H961" s="2">
        <v>500</v>
      </c>
      <c r="I961" s="2">
        <f>Table13[[#This Row],[Quantity]]*Table13[[#This Row],[Price per Unit]]</f>
        <v>2000</v>
      </c>
      <c r="J961" s="2">
        <v>2000</v>
      </c>
    </row>
    <row r="962" spans="1:10" x14ac:dyDescent="0.35">
      <c r="A962" s="2">
        <v>574</v>
      </c>
      <c r="B962" s="3">
        <v>45169</v>
      </c>
      <c r="C962" s="2" t="s">
        <v>587</v>
      </c>
      <c r="D962" s="2" t="s">
        <v>13</v>
      </c>
      <c r="E962" s="2">
        <v>63</v>
      </c>
      <c r="F962" s="2" t="s">
        <v>16</v>
      </c>
      <c r="G962" s="2">
        <v>2</v>
      </c>
      <c r="H962" s="2">
        <v>25</v>
      </c>
      <c r="I962" s="2">
        <f>Table13[[#This Row],[Quantity]]*Table13[[#This Row],[Price per Unit]]</f>
        <v>50</v>
      </c>
      <c r="J962" s="2">
        <v>50</v>
      </c>
    </row>
    <row r="963" spans="1:10" x14ac:dyDescent="0.35">
      <c r="A963" s="2">
        <v>620</v>
      </c>
      <c r="B963" s="3">
        <v>45054</v>
      </c>
      <c r="C963" s="2" t="s">
        <v>633</v>
      </c>
      <c r="D963" s="2" t="s">
        <v>10</v>
      </c>
      <c r="E963" s="2">
        <v>63</v>
      </c>
      <c r="F963" s="2" t="s">
        <v>16</v>
      </c>
      <c r="G963" s="2">
        <v>3</v>
      </c>
      <c r="H963" s="2">
        <v>25</v>
      </c>
      <c r="I963" s="2">
        <f>Table13[[#This Row],[Quantity]]*Table13[[#This Row],[Price per Unit]]</f>
        <v>75</v>
      </c>
      <c r="J963" s="2">
        <v>75</v>
      </c>
    </row>
    <row r="964" spans="1:10" x14ac:dyDescent="0.35">
      <c r="A964" s="2">
        <v>635</v>
      </c>
      <c r="B964" s="3">
        <v>45155</v>
      </c>
      <c r="C964" s="2" t="s">
        <v>648</v>
      </c>
      <c r="D964" s="2" t="s">
        <v>13</v>
      </c>
      <c r="E964" s="2">
        <v>63</v>
      </c>
      <c r="F964" s="2" t="s">
        <v>16</v>
      </c>
      <c r="G964" s="2">
        <v>3</v>
      </c>
      <c r="H964" s="2">
        <v>300</v>
      </c>
      <c r="I964" s="2">
        <f>Table13[[#This Row],[Quantity]]*Table13[[#This Row],[Price per Unit]]</f>
        <v>900</v>
      </c>
      <c r="J964" s="2">
        <v>900</v>
      </c>
    </row>
    <row r="965" spans="1:10" x14ac:dyDescent="0.35">
      <c r="A965" s="2">
        <v>676</v>
      </c>
      <c r="B965" s="3">
        <v>45126</v>
      </c>
      <c r="C965" s="2" t="s">
        <v>689</v>
      </c>
      <c r="D965" s="2" t="s">
        <v>10</v>
      </c>
      <c r="E965" s="2">
        <v>63</v>
      </c>
      <c r="F965" s="2" t="s">
        <v>16</v>
      </c>
      <c r="G965" s="2">
        <v>3</v>
      </c>
      <c r="H965" s="2">
        <v>500</v>
      </c>
      <c r="I965" s="2">
        <f>Table13[[#This Row],[Quantity]]*Table13[[#This Row],[Price per Unit]]</f>
        <v>1500</v>
      </c>
      <c r="J965" s="2">
        <v>1500</v>
      </c>
    </row>
    <row r="966" spans="1:10" x14ac:dyDescent="0.35">
      <c r="A966" s="2">
        <v>824</v>
      </c>
      <c r="B966" s="3">
        <v>45051</v>
      </c>
      <c r="C966" s="2" t="s">
        <v>837</v>
      </c>
      <c r="D966" s="2" t="s">
        <v>10</v>
      </c>
      <c r="E966" s="2">
        <v>63</v>
      </c>
      <c r="F966" s="2" t="s">
        <v>14</v>
      </c>
      <c r="G966" s="2">
        <v>4</v>
      </c>
      <c r="H966" s="2">
        <v>30</v>
      </c>
      <c r="I966" s="2">
        <f>Table13[[#This Row],[Quantity]]*Table13[[#This Row],[Price per Unit]]</f>
        <v>120</v>
      </c>
      <c r="J966" s="2">
        <v>120</v>
      </c>
    </row>
    <row r="967" spans="1:10" x14ac:dyDescent="0.35">
      <c r="A967" s="2">
        <v>848</v>
      </c>
      <c r="B967" s="3">
        <v>44970</v>
      </c>
      <c r="C967" s="2" t="s">
        <v>861</v>
      </c>
      <c r="D967" s="2" t="s">
        <v>13</v>
      </c>
      <c r="E967" s="2">
        <v>63</v>
      </c>
      <c r="F967" s="2" t="s">
        <v>14</v>
      </c>
      <c r="G967" s="2">
        <v>3</v>
      </c>
      <c r="H967" s="2">
        <v>25</v>
      </c>
      <c r="I967" s="2">
        <f>Table13[[#This Row],[Quantity]]*Table13[[#This Row],[Price per Unit]]</f>
        <v>75</v>
      </c>
      <c r="J967" s="2">
        <v>75</v>
      </c>
    </row>
    <row r="968" spans="1:10" x14ac:dyDescent="0.35">
      <c r="A968" s="2">
        <v>860</v>
      </c>
      <c r="B968" s="3">
        <v>44935</v>
      </c>
      <c r="C968" s="2" t="s">
        <v>873</v>
      </c>
      <c r="D968" s="2" t="s">
        <v>10</v>
      </c>
      <c r="E968" s="2">
        <v>63</v>
      </c>
      <c r="F968" s="2" t="s">
        <v>14</v>
      </c>
      <c r="G968" s="2">
        <v>4</v>
      </c>
      <c r="H968" s="2">
        <v>50</v>
      </c>
      <c r="I968" s="2">
        <f>Table13[[#This Row],[Quantity]]*Table13[[#This Row],[Price per Unit]]</f>
        <v>200</v>
      </c>
      <c r="J968" s="2">
        <v>200</v>
      </c>
    </row>
    <row r="969" spans="1:10" x14ac:dyDescent="0.35">
      <c r="A969" s="2">
        <v>872</v>
      </c>
      <c r="B969" s="3">
        <v>45210</v>
      </c>
      <c r="C969" s="2" t="s">
        <v>885</v>
      </c>
      <c r="D969" s="2" t="s">
        <v>13</v>
      </c>
      <c r="E969" s="2">
        <v>63</v>
      </c>
      <c r="F969" s="2" t="s">
        <v>11</v>
      </c>
      <c r="G969" s="2">
        <v>3</v>
      </c>
      <c r="H969" s="2">
        <v>25</v>
      </c>
      <c r="I969" s="2">
        <f>Table13[[#This Row],[Quantity]]*Table13[[#This Row],[Price per Unit]]</f>
        <v>75</v>
      </c>
      <c r="J969" s="2">
        <v>75</v>
      </c>
    </row>
    <row r="970" spans="1:10" x14ac:dyDescent="0.35">
      <c r="A970" s="2">
        <v>988</v>
      </c>
      <c r="B970" s="3">
        <v>45074</v>
      </c>
      <c r="C970" s="2" t="s">
        <v>1001</v>
      </c>
      <c r="D970" s="2" t="s">
        <v>13</v>
      </c>
      <c r="E970" s="2">
        <v>63</v>
      </c>
      <c r="F970" s="2" t="s">
        <v>14</v>
      </c>
      <c r="G970" s="2">
        <v>3</v>
      </c>
      <c r="H970" s="2">
        <v>25</v>
      </c>
      <c r="I970" s="2">
        <f>Table13[[#This Row],[Quantity]]*Table13[[#This Row],[Price per Unit]]</f>
        <v>75</v>
      </c>
      <c r="J970" s="2">
        <v>75</v>
      </c>
    </row>
    <row r="971" spans="1:10" x14ac:dyDescent="0.35">
      <c r="A971" s="2">
        <v>14</v>
      </c>
      <c r="B971" s="3">
        <v>44943</v>
      </c>
      <c r="C971" s="2" t="s">
        <v>27</v>
      </c>
      <c r="D971" s="2" t="s">
        <v>10</v>
      </c>
      <c r="E971" s="2">
        <v>64</v>
      </c>
      <c r="F971" s="2" t="s">
        <v>14</v>
      </c>
      <c r="G971" s="2">
        <v>4</v>
      </c>
      <c r="H971" s="2">
        <v>30</v>
      </c>
      <c r="I971" s="2">
        <f>Table13[[#This Row],[Quantity]]*Table13[[#This Row],[Price per Unit]]</f>
        <v>120</v>
      </c>
      <c r="J971" s="2">
        <v>120</v>
      </c>
    </row>
    <row r="972" spans="1:10" x14ac:dyDescent="0.35">
      <c r="A972" s="2">
        <v>25</v>
      </c>
      <c r="B972" s="3">
        <v>45286</v>
      </c>
      <c r="C972" s="2" t="s">
        <v>38</v>
      </c>
      <c r="D972" s="2" t="s">
        <v>13</v>
      </c>
      <c r="E972" s="2">
        <v>64</v>
      </c>
      <c r="F972" s="2" t="s">
        <v>11</v>
      </c>
      <c r="G972" s="2">
        <v>1</v>
      </c>
      <c r="H972" s="2">
        <v>50</v>
      </c>
      <c r="I972" s="2">
        <f>Table13[[#This Row],[Quantity]]*Table13[[#This Row],[Price per Unit]]</f>
        <v>50</v>
      </c>
      <c r="J972" s="2">
        <v>50</v>
      </c>
    </row>
    <row r="973" spans="1:10" x14ac:dyDescent="0.35">
      <c r="A973" s="2">
        <v>80</v>
      </c>
      <c r="B973" s="3">
        <v>45270</v>
      </c>
      <c r="C973" s="2" t="s">
        <v>93</v>
      </c>
      <c r="D973" s="2" t="s">
        <v>13</v>
      </c>
      <c r="E973" s="2">
        <v>64</v>
      </c>
      <c r="F973" s="2" t="s">
        <v>14</v>
      </c>
      <c r="G973" s="2">
        <v>2</v>
      </c>
      <c r="H973" s="2">
        <v>30</v>
      </c>
      <c r="I973" s="2">
        <f>Table13[[#This Row],[Quantity]]*Table13[[#This Row],[Price per Unit]]</f>
        <v>60</v>
      </c>
      <c r="J973" s="2">
        <v>60</v>
      </c>
    </row>
    <row r="974" spans="1:10" x14ac:dyDescent="0.35">
      <c r="A974" s="2">
        <v>122</v>
      </c>
      <c r="B974" s="3">
        <v>45202</v>
      </c>
      <c r="C974" s="2" t="s">
        <v>135</v>
      </c>
      <c r="D974" s="2" t="s">
        <v>10</v>
      </c>
      <c r="E974" s="2">
        <v>64</v>
      </c>
      <c r="F974" s="2" t="s">
        <v>16</v>
      </c>
      <c r="G974" s="2">
        <v>4</v>
      </c>
      <c r="H974" s="2">
        <v>30</v>
      </c>
      <c r="I974" s="2">
        <f>Table13[[#This Row],[Quantity]]*Table13[[#This Row],[Price per Unit]]</f>
        <v>120</v>
      </c>
      <c r="J974" s="2">
        <v>120</v>
      </c>
    </row>
    <row r="975" spans="1:10" x14ac:dyDescent="0.35">
      <c r="A975" s="2">
        <v>161</v>
      </c>
      <c r="B975" s="3">
        <v>45007</v>
      </c>
      <c r="C975" s="2" t="s">
        <v>174</v>
      </c>
      <c r="D975" s="2" t="s">
        <v>10</v>
      </c>
      <c r="E975" s="2">
        <v>64</v>
      </c>
      <c r="F975" s="2" t="s">
        <v>11</v>
      </c>
      <c r="G975" s="2">
        <v>2</v>
      </c>
      <c r="H975" s="2">
        <v>500</v>
      </c>
      <c r="I975" s="2">
        <f>Table13[[#This Row],[Quantity]]*Table13[[#This Row],[Price per Unit]]</f>
        <v>1000</v>
      </c>
      <c r="J975" s="2">
        <v>1000</v>
      </c>
    </row>
    <row r="976" spans="1:10" x14ac:dyDescent="0.35">
      <c r="A976" s="2">
        <v>163</v>
      </c>
      <c r="B976" s="3">
        <v>44928</v>
      </c>
      <c r="C976" s="2" t="s">
        <v>176</v>
      </c>
      <c r="D976" s="2" t="s">
        <v>13</v>
      </c>
      <c r="E976" s="2">
        <v>64</v>
      </c>
      <c r="F976" s="2" t="s">
        <v>14</v>
      </c>
      <c r="G976" s="2">
        <v>3</v>
      </c>
      <c r="H976" s="2">
        <v>50</v>
      </c>
      <c r="I976" s="2">
        <f>Table13[[#This Row],[Quantity]]*Table13[[#This Row],[Price per Unit]]</f>
        <v>150</v>
      </c>
      <c r="J976" s="2">
        <v>150</v>
      </c>
    </row>
    <row r="977" spans="1:10" x14ac:dyDescent="0.35">
      <c r="A977" s="2">
        <v>173</v>
      </c>
      <c r="B977" s="3">
        <v>45238</v>
      </c>
      <c r="C977" s="2" t="s">
        <v>186</v>
      </c>
      <c r="D977" s="2" t="s">
        <v>10</v>
      </c>
      <c r="E977" s="2">
        <v>64</v>
      </c>
      <c r="F977" s="2" t="s">
        <v>16</v>
      </c>
      <c r="G977" s="2">
        <v>4</v>
      </c>
      <c r="H977" s="2">
        <v>30</v>
      </c>
      <c r="I977" s="2">
        <f>Table13[[#This Row],[Quantity]]*Table13[[#This Row],[Price per Unit]]</f>
        <v>120</v>
      </c>
      <c r="J977" s="2">
        <v>120</v>
      </c>
    </row>
    <row r="978" spans="1:10" x14ac:dyDescent="0.35">
      <c r="A978" s="2">
        <v>187</v>
      </c>
      <c r="B978" s="3">
        <v>45084</v>
      </c>
      <c r="C978" s="2" t="s">
        <v>200</v>
      </c>
      <c r="D978" s="2" t="s">
        <v>13</v>
      </c>
      <c r="E978" s="2">
        <v>64</v>
      </c>
      <c r="F978" s="2" t="s">
        <v>14</v>
      </c>
      <c r="G978" s="2">
        <v>2</v>
      </c>
      <c r="H978" s="2">
        <v>50</v>
      </c>
      <c r="I978" s="2">
        <f>Table13[[#This Row],[Quantity]]*Table13[[#This Row],[Price per Unit]]</f>
        <v>100</v>
      </c>
      <c r="J978" s="2">
        <v>100</v>
      </c>
    </row>
    <row r="979" spans="1:10" x14ac:dyDescent="0.35">
      <c r="A979" s="2">
        <v>191</v>
      </c>
      <c r="B979" s="3">
        <v>45217</v>
      </c>
      <c r="C979" s="2" t="s">
        <v>204</v>
      </c>
      <c r="D979" s="2" t="s">
        <v>10</v>
      </c>
      <c r="E979" s="2">
        <v>64</v>
      </c>
      <c r="F979" s="2" t="s">
        <v>11</v>
      </c>
      <c r="G979" s="2">
        <v>1</v>
      </c>
      <c r="H979" s="2">
        <v>25</v>
      </c>
      <c r="I979" s="2">
        <f>Table13[[#This Row],[Quantity]]*Table13[[#This Row],[Price per Unit]]</f>
        <v>25</v>
      </c>
      <c r="J979" s="2">
        <v>25</v>
      </c>
    </row>
    <row r="980" spans="1:10" x14ac:dyDescent="0.35">
      <c r="A980" s="2">
        <v>218</v>
      </c>
      <c r="B980" s="3">
        <v>45191</v>
      </c>
      <c r="C980" s="2" t="s">
        <v>231</v>
      </c>
      <c r="D980" s="2" t="s">
        <v>10</v>
      </c>
      <c r="E980" s="2">
        <v>64</v>
      </c>
      <c r="F980" s="2" t="s">
        <v>11</v>
      </c>
      <c r="G980" s="2">
        <v>3</v>
      </c>
      <c r="H980" s="2">
        <v>30</v>
      </c>
      <c r="I980" s="2">
        <f>Table13[[#This Row],[Quantity]]*Table13[[#This Row],[Price per Unit]]</f>
        <v>90</v>
      </c>
      <c r="J980" s="2">
        <v>90</v>
      </c>
    </row>
    <row r="981" spans="1:10" x14ac:dyDescent="0.35">
      <c r="A981" s="2">
        <v>220</v>
      </c>
      <c r="B981" s="3">
        <v>44988</v>
      </c>
      <c r="C981" s="2" t="s">
        <v>233</v>
      </c>
      <c r="D981" s="2" t="s">
        <v>10</v>
      </c>
      <c r="E981" s="2">
        <v>64</v>
      </c>
      <c r="F981" s="2" t="s">
        <v>11</v>
      </c>
      <c r="G981" s="2">
        <v>1</v>
      </c>
      <c r="H981" s="2">
        <v>500</v>
      </c>
      <c r="I981" s="2">
        <f>Table13[[#This Row],[Quantity]]*Table13[[#This Row],[Price per Unit]]</f>
        <v>500</v>
      </c>
      <c r="J981" s="2">
        <v>500</v>
      </c>
    </row>
    <row r="982" spans="1:10" x14ac:dyDescent="0.35">
      <c r="A982" s="2">
        <v>223</v>
      </c>
      <c r="B982" s="3">
        <v>44959</v>
      </c>
      <c r="C982" s="2" t="s">
        <v>236</v>
      </c>
      <c r="D982" s="2" t="s">
        <v>13</v>
      </c>
      <c r="E982" s="2">
        <v>64</v>
      </c>
      <c r="F982" s="2" t="s">
        <v>14</v>
      </c>
      <c r="G982" s="2">
        <v>1</v>
      </c>
      <c r="H982" s="2">
        <v>25</v>
      </c>
      <c r="I982" s="2">
        <f>Table13[[#This Row],[Quantity]]*Table13[[#This Row],[Price per Unit]]</f>
        <v>25</v>
      </c>
      <c r="J982" s="2">
        <v>25</v>
      </c>
    </row>
    <row r="983" spans="1:10" x14ac:dyDescent="0.35">
      <c r="A983" s="2">
        <v>282</v>
      </c>
      <c r="B983" s="3">
        <v>45163</v>
      </c>
      <c r="C983" s="2" t="s">
        <v>295</v>
      </c>
      <c r="D983" s="2" t="s">
        <v>13</v>
      </c>
      <c r="E983" s="2">
        <v>64</v>
      </c>
      <c r="F983" s="2" t="s">
        <v>16</v>
      </c>
      <c r="G983" s="2">
        <v>4</v>
      </c>
      <c r="H983" s="2">
        <v>50</v>
      </c>
      <c r="I983" s="2">
        <f>Table13[[#This Row],[Quantity]]*Table13[[#This Row],[Price per Unit]]</f>
        <v>200</v>
      </c>
      <c r="J983" s="2">
        <v>200</v>
      </c>
    </row>
    <row r="984" spans="1:10" x14ac:dyDescent="0.35">
      <c r="A984" s="2">
        <v>363</v>
      </c>
      <c r="B984" s="3">
        <v>45080</v>
      </c>
      <c r="C984" s="2" t="s">
        <v>376</v>
      </c>
      <c r="D984" s="2" t="s">
        <v>10</v>
      </c>
      <c r="E984" s="2">
        <v>64</v>
      </c>
      <c r="F984" s="2" t="s">
        <v>11</v>
      </c>
      <c r="G984" s="2">
        <v>1</v>
      </c>
      <c r="H984" s="2">
        <v>25</v>
      </c>
      <c r="I984" s="2">
        <f>Table13[[#This Row],[Quantity]]*Table13[[#This Row],[Price per Unit]]</f>
        <v>25</v>
      </c>
      <c r="J984" s="2">
        <v>25</v>
      </c>
    </row>
    <row r="985" spans="1:10" x14ac:dyDescent="0.35">
      <c r="A985" s="2">
        <v>376</v>
      </c>
      <c r="B985" s="3">
        <v>45062</v>
      </c>
      <c r="C985" s="2" t="s">
        <v>389</v>
      </c>
      <c r="D985" s="2" t="s">
        <v>13</v>
      </c>
      <c r="E985" s="2">
        <v>64</v>
      </c>
      <c r="F985" s="2" t="s">
        <v>11</v>
      </c>
      <c r="G985" s="2">
        <v>1</v>
      </c>
      <c r="H985" s="2">
        <v>30</v>
      </c>
      <c r="I985" s="2">
        <f>Table13[[#This Row],[Quantity]]*Table13[[#This Row],[Price per Unit]]</f>
        <v>30</v>
      </c>
      <c r="J985" s="2">
        <v>30</v>
      </c>
    </row>
    <row r="986" spans="1:10" x14ac:dyDescent="0.35">
      <c r="A986" s="2">
        <v>399</v>
      </c>
      <c r="B986" s="3">
        <v>44986</v>
      </c>
      <c r="C986" s="2" t="s">
        <v>412</v>
      </c>
      <c r="D986" s="2" t="s">
        <v>13</v>
      </c>
      <c r="E986" s="2">
        <v>64</v>
      </c>
      <c r="F986" s="2" t="s">
        <v>11</v>
      </c>
      <c r="G986" s="2">
        <v>2</v>
      </c>
      <c r="H986" s="2">
        <v>30</v>
      </c>
      <c r="I986" s="2">
        <f>Table13[[#This Row],[Quantity]]*Table13[[#This Row],[Price per Unit]]</f>
        <v>60</v>
      </c>
      <c r="J986" s="2">
        <v>60</v>
      </c>
    </row>
    <row r="987" spans="1:10" x14ac:dyDescent="0.35">
      <c r="A987" s="2">
        <v>408</v>
      </c>
      <c r="B987" s="3">
        <v>45031</v>
      </c>
      <c r="C987" s="2" t="s">
        <v>421</v>
      </c>
      <c r="D987" s="2" t="s">
        <v>13</v>
      </c>
      <c r="E987" s="2">
        <v>64</v>
      </c>
      <c r="F987" s="2" t="s">
        <v>11</v>
      </c>
      <c r="G987" s="2">
        <v>1</v>
      </c>
      <c r="H987" s="2">
        <v>500</v>
      </c>
      <c r="I987" s="2">
        <f>Table13[[#This Row],[Quantity]]*Table13[[#This Row],[Price per Unit]]</f>
        <v>500</v>
      </c>
      <c r="J987" s="2">
        <v>500</v>
      </c>
    </row>
    <row r="988" spans="1:10" x14ac:dyDescent="0.35">
      <c r="A988" s="2">
        <v>429</v>
      </c>
      <c r="B988" s="3">
        <v>45288</v>
      </c>
      <c r="C988" s="2" t="s">
        <v>442</v>
      </c>
      <c r="D988" s="2" t="s">
        <v>10</v>
      </c>
      <c r="E988" s="2">
        <v>64</v>
      </c>
      <c r="F988" s="2" t="s">
        <v>16</v>
      </c>
      <c r="G988" s="2">
        <v>2</v>
      </c>
      <c r="H988" s="2">
        <v>25</v>
      </c>
      <c r="I988" s="2">
        <f>Table13[[#This Row],[Quantity]]*Table13[[#This Row],[Price per Unit]]</f>
        <v>50</v>
      </c>
      <c r="J988" s="2">
        <v>50</v>
      </c>
    </row>
    <row r="989" spans="1:10" x14ac:dyDescent="0.35">
      <c r="A989" s="2">
        <v>440</v>
      </c>
      <c r="B989" s="3">
        <v>45225</v>
      </c>
      <c r="C989" s="2" t="s">
        <v>453</v>
      </c>
      <c r="D989" s="2" t="s">
        <v>10</v>
      </c>
      <c r="E989" s="2">
        <v>64</v>
      </c>
      <c r="F989" s="2" t="s">
        <v>14</v>
      </c>
      <c r="G989" s="2">
        <v>2</v>
      </c>
      <c r="H989" s="2">
        <v>300</v>
      </c>
      <c r="I989" s="2">
        <f>Table13[[#This Row],[Quantity]]*Table13[[#This Row],[Price per Unit]]</f>
        <v>600</v>
      </c>
      <c r="J989" s="2">
        <v>600</v>
      </c>
    </row>
    <row r="990" spans="1:10" x14ac:dyDescent="0.35">
      <c r="A990" s="2">
        <v>473</v>
      </c>
      <c r="B990" s="3">
        <v>44982</v>
      </c>
      <c r="C990" s="2" t="s">
        <v>486</v>
      </c>
      <c r="D990" s="2" t="s">
        <v>10</v>
      </c>
      <c r="E990" s="2">
        <v>64</v>
      </c>
      <c r="F990" s="2" t="s">
        <v>11</v>
      </c>
      <c r="G990" s="2">
        <v>1</v>
      </c>
      <c r="H990" s="2">
        <v>50</v>
      </c>
      <c r="I990" s="2">
        <f>Table13[[#This Row],[Quantity]]*Table13[[#This Row],[Price per Unit]]</f>
        <v>50</v>
      </c>
      <c r="J990" s="2">
        <v>50</v>
      </c>
    </row>
    <row r="991" spans="1:10" x14ac:dyDescent="0.35">
      <c r="A991" s="2">
        <v>532</v>
      </c>
      <c r="B991" s="3">
        <v>45096</v>
      </c>
      <c r="C991" s="2" t="s">
        <v>545</v>
      </c>
      <c r="D991" s="2" t="s">
        <v>13</v>
      </c>
      <c r="E991" s="2">
        <v>64</v>
      </c>
      <c r="F991" s="2" t="s">
        <v>14</v>
      </c>
      <c r="G991" s="2">
        <v>4</v>
      </c>
      <c r="H991" s="2">
        <v>30</v>
      </c>
      <c r="I991" s="2">
        <f>Table13[[#This Row],[Quantity]]*Table13[[#This Row],[Price per Unit]]</f>
        <v>120</v>
      </c>
      <c r="J991" s="2">
        <v>120</v>
      </c>
    </row>
    <row r="992" spans="1:10" x14ac:dyDescent="0.35">
      <c r="A992" s="2">
        <v>561</v>
      </c>
      <c r="B992" s="3">
        <v>45073</v>
      </c>
      <c r="C992" s="2" t="s">
        <v>574</v>
      </c>
      <c r="D992" s="2" t="s">
        <v>13</v>
      </c>
      <c r="E992" s="2">
        <v>64</v>
      </c>
      <c r="F992" s="2" t="s">
        <v>14</v>
      </c>
      <c r="G992" s="2">
        <v>4</v>
      </c>
      <c r="H992" s="2">
        <v>500</v>
      </c>
      <c r="I992" s="2">
        <f>Table13[[#This Row],[Quantity]]*Table13[[#This Row],[Price per Unit]]</f>
        <v>2000</v>
      </c>
      <c r="J992" s="2">
        <v>2000</v>
      </c>
    </row>
    <row r="993" spans="1:10" x14ac:dyDescent="0.35">
      <c r="A993" s="2">
        <v>566</v>
      </c>
      <c r="B993" s="3">
        <v>45262</v>
      </c>
      <c r="C993" s="2" t="s">
        <v>579</v>
      </c>
      <c r="D993" s="2" t="s">
        <v>13</v>
      </c>
      <c r="E993" s="2">
        <v>64</v>
      </c>
      <c r="F993" s="2" t="s">
        <v>14</v>
      </c>
      <c r="G993" s="2">
        <v>1</v>
      </c>
      <c r="H993" s="2">
        <v>30</v>
      </c>
      <c r="I993" s="2">
        <f>Table13[[#This Row],[Quantity]]*Table13[[#This Row],[Price per Unit]]</f>
        <v>30</v>
      </c>
      <c r="J993" s="2">
        <v>30</v>
      </c>
    </row>
    <row r="994" spans="1:10" x14ac:dyDescent="0.35">
      <c r="A994" s="2">
        <v>596</v>
      </c>
      <c r="B994" s="3">
        <v>44964</v>
      </c>
      <c r="C994" s="2" t="s">
        <v>609</v>
      </c>
      <c r="D994" s="2" t="s">
        <v>13</v>
      </c>
      <c r="E994" s="2">
        <v>64</v>
      </c>
      <c r="F994" s="2" t="s">
        <v>16</v>
      </c>
      <c r="G994" s="2">
        <v>1</v>
      </c>
      <c r="H994" s="2">
        <v>300</v>
      </c>
      <c r="I994" s="2">
        <f>Table13[[#This Row],[Quantity]]*Table13[[#This Row],[Price per Unit]]</f>
        <v>300</v>
      </c>
      <c r="J994" s="2">
        <v>300</v>
      </c>
    </row>
    <row r="995" spans="1:10" x14ac:dyDescent="0.35">
      <c r="A995" s="2">
        <v>692</v>
      </c>
      <c r="B995" s="3">
        <v>45176</v>
      </c>
      <c r="C995" s="2" t="s">
        <v>705</v>
      </c>
      <c r="D995" s="2" t="s">
        <v>13</v>
      </c>
      <c r="E995" s="2">
        <v>64</v>
      </c>
      <c r="F995" s="2" t="s">
        <v>14</v>
      </c>
      <c r="G995" s="2">
        <v>2</v>
      </c>
      <c r="H995" s="2">
        <v>50</v>
      </c>
      <c r="I995" s="2">
        <f>Table13[[#This Row],[Quantity]]*Table13[[#This Row],[Price per Unit]]</f>
        <v>100</v>
      </c>
      <c r="J995" s="2">
        <v>100</v>
      </c>
    </row>
    <row r="996" spans="1:10" x14ac:dyDescent="0.35">
      <c r="A996" s="2">
        <v>698</v>
      </c>
      <c r="B996" s="3">
        <v>45126</v>
      </c>
      <c r="C996" s="2" t="s">
        <v>711</v>
      </c>
      <c r="D996" s="2" t="s">
        <v>13</v>
      </c>
      <c r="E996" s="2">
        <v>64</v>
      </c>
      <c r="F996" s="2" t="s">
        <v>16</v>
      </c>
      <c r="G996" s="2">
        <v>1</v>
      </c>
      <c r="H996" s="2">
        <v>300</v>
      </c>
      <c r="I996" s="2">
        <f>Table13[[#This Row],[Quantity]]*Table13[[#This Row],[Price per Unit]]</f>
        <v>300</v>
      </c>
      <c r="J996" s="2">
        <v>300</v>
      </c>
    </row>
    <row r="997" spans="1:10" x14ac:dyDescent="0.35">
      <c r="A997" s="2">
        <v>735</v>
      </c>
      <c r="B997" s="3">
        <v>45203</v>
      </c>
      <c r="C997" s="2" t="s">
        <v>748</v>
      </c>
      <c r="D997" s="2" t="s">
        <v>13</v>
      </c>
      <c r="E997" s="2">
        <v>64</v>
      </c>
      <c r="F997" s="2" t="s">
        <v>14</v>
      </c>
      <c r="G997" s="2">
        <v>4</v>
      </c>
      <c r="H997" s="2">
        <v>500</v>
      </c>
      <c r="I997" s="2">
        <f>Table13[[#This Row],[Quantity]]*Table13[[#This Row],[Price per Unit]]</f>
        <v>2000</v>
      </c>
      <c r="J997" s="2">
        <v>2000</v>
      </c>
    </row>
    <row r="998" spans="1:10" x14ac:dyDescent="0.35">
      <c r="A998" s="2">
        <v>758</v>
      </c>
      <c r="B998" s="3">
        <v>45058</v>
      </c>
      <c r="C998" s="2" t="s">
        <v>771</v>
      </c>
      <c r="D998" s="2" t="s">
        <v>10</v>
      </c>
      <c r="E998" s="2">
        <v>64</v>
      </c>
      <c r="F998" s="2" t="s">
        <v>14</v>
      </c>
      <c r="G998" s="2">
        <v>4</v>
      </c>
      <c r="H998" s="2">
        <v>25</v>
      </c>
      <c r="I998" s="2">
        <f>Table13[[#This Row],[Quantity]]*Table13[[#This Row],[Price per Unit]]</f>
        <v>100</v>
      </c>
      <c r="J998" s="2">
        <v>100</v>
      </c>
    </row>
    <row r="999" spans="1:10" x14ac:dyDescent="0.35">
      <c r="A999" s="2">
        <v>830</v>
      </c>
      <c r="B999" s="3">
        <v>45099</v>
      </c>
      <c r="C999" s="2" t="s">
        <v>843</v>
      </c>
      <c r="D999" s="2" t="s">
        <v>13</v>
      </c>
      <c r="E999" s="2">
        <v>64</v>
      </c>
      <c r="F999" s="2" t="s">
        <v>14</v>
      </c>
      <c r="G999" s="2">
        <v>3</v>
      </c>
      <c r="H999" s="2">
        <v>50</v>
      </c>
      <c r="I999" s="2">
        <f>Table13[[#This Row],[Quantity]]*Table13[[#This Row],[Price per Unit]]</f>
        <v>150</v>
      </c>
      <c r="J999" s="2">
        <v>150</v>
      </c>
    </row>
    <row r="1000" spans="1:10" x14ac:dyDescent="0.35">
      <c r="A1000" s="2">
        <v>882</v>
      </c>
      <c r="B1000" s="3">
        <v>45083</v>
      </c>
      <c r="C1000" s="2" t="s">
        <v>895</v>
      </c>
      <c r="D1000" s="2" t="s">
        <v>13</v>
      </c>
      <c r="E1000" s="2">
        <v>64</v>
      </c>
      <c r="F1000" s="2" t="s">
        <v>16</v>
      </c>
      <c r="G1000" s="2">
        <v>2</v>
      </c>
      <c r="H1000" s="2">
        <v>25</v>
      </c>
      <c r="I1000" s="2">
        <f>Table13[[#This Row],[Quantity]]*Table13[[#This Row],[Price per Unit]]</f>
        <v>50</v>
      </c>
      <c r="J1000" s="2">
        <v>50</v>
      </c>
    </row>
    <row r="1001" spans="1:10" x14ac:dyDescent="0.35">
      <c r="A1001" s="2">
        <v>897</v>
      </c>
      <c r="B1001" s="3">
        <v>45195</v>
      </c>
      <c r="C1001" s="2" t="s">
        <v>910</v>
      </c>
      <c r="D1001" s="2" t="s">
        <v>13</v>
      </c>
      <c r="E1001" s="2">
        <v>64</v>
      </c>
      <c r="F1001" s="2" t="s">
        <v>16</v>
      </c>
      <c r="G1001" s="2">
        <v>2</v>
      </c>
      <c r="H1001" s="2">
        <v>50</v>
      </c>
      <c r="I1001" s="2">
        <f>Table13[[#This Row],[Quantity]]*Table13[[#This Row],[Price per Unit]]</f>
        <v>100</v>
      </c>
      <c r="J1001" s="2">
        <v>100</v>
      </c>
    </row>
    <row r="1002" spans="1:10" x14ac:dyDescent="0.35">
      <c r="B1002" s="1"/>
      <c r="H1002" t="s">
        <v>1016</v>
      </c>
      <c r="I1002">
        <f>SUBTOTAL(109,Table13[Sales])</f>
        <v>456000</v>
      </c>
    </row>
    <row r="1003" spans="1:10" x14ac:dyDescent="0.35">
      <c r="H1003" t="s">
        <v>1015</v>
      </c>
      <c r="I1003">
        <f>AVERAGE(Table13[Sales])</f>
        <v>456</v>
      </c>
    </row>
    <row r="1004" spans="1:10" x14ac:dyDescent="0.35">
      <c r="H1004" t="s">
        <v>1018</v>
      </c>
      <c r="I1004">
        <f>MAX(Table13[Sales])</f>
        <v>2000</v>
      </c>
    </row>
    <row r="1005" spans="1:10" x14ac:dyDescent="0.35">
      <c r="H1005" t="s">
        <v>1017</v>
      </c>
      <c r="I1005">
        <f>MIN(Table13[Sales])</f>
        <v>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1D782-3890-4B56-A17F-5DE4CFEF3DFF}">
  <dimension ref="A1:K1006"/>
  <sheetViews>
    <sheetView workbookViewId="0">
      <pane ySplit="1" topLeftCell="A2" activePane="bottomLeft" state="frozen"/>
      <selection pane="bottomLeft" activeCell="L4" sqref="L4"/>
    </sheetView>
  </sheetViews>
  <sheetFormatPr defaultRowHeight="14.5" x14ac:dyDescent="0.35"/>
  <cols>
    <col min="1" max="1" width="14.81640625" customWidth="1"/>
    <col min="2" max="2" width="12.453125" customWidth="1"/>
    <col min="3" max="3" width="13.1796875" customWidth="1"/>
    <col min="4" max="4" width="8.90625" customWidth="1"/>
    <col min="6" max="6" width="17.08984375" customWidth="1"/>
    <col min="7" max="7" width="10" customWidth="1"/>
    <col min="8" max="8" width="14.08984375" customWidth="1"/>
    <col min="9" max="9" width="13.81640625" customWidth="1"/>
    <col min="10" max="10" width="17.453125" bestFit="1" customWidth="1"/>
    <col min="11" max="11" width="16.26953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1019</v>
      </c>
      <c r="K1" t="s">
        <v>1020</v>
      </c>
    </row>
    <row r="2" spans="1:11" x14ac:dyDescent="0.35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  <c r="J2">
        <v>10</v>
      </c>
      <c r="K2">
        <f>Table14[[#This Row],[Total Amount]]-Table14[[#This Row],[Discounted Price]]</f>
        <v>140</v>
      </c>
    </row>
    <row r="3" spans="1:11" x14ac:dyDescent="0.35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  <c r="J3">
        <v>10</v>
      </c>
      <c r="K3">
        <f>Table14[[#This Row],[Total Amount]]-Table14[[#This Row],[Discounted Price]]</f>
        <v>990</v>
      </c>
    </row>
    <row r="4" spans="1:11" x14ac:dyDescent="0.35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  <c r="J4">
        <v>10</v>
      </c>
      <c r="K4">
        <f>Table14[[#This Row],[Total Amount]]-Table14[[#This Row],[Discounted Price]]</f>
        <v>20</v>
      </c>
    </row>
    <row r="5" spans="1:11" x14ac:dyDescent="0.35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  <c r="J5">
        <v>10</v>
      </c>
      <c r="K5">
        <f>Table14[[#This Row],[Total Amount]]-Table14[[#This Row],[Discounted Price]]</f>
        <v>490</v>
      </c>
    </row>
    <row r="6" spans="1:11" x14ac:dyDescent="0.35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  <c r="J6">
        <v>10</v>
      </c>
      <c r="K6">
        <f>Table14[[#This Row],[Total Amount]]-Table14[[#This Row],[Discounted Price]]</f>
        <v>90</v>
      </c>
    </row>
    <row r="7" spans="1:11" x14ac:dyDescent="0.35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  <c r="J7">
        <v>10</v>
      </c>
      <c r="K7">
        <f>Table14[[#This Row],[Total Amount]]-Table14[[#This Row],[Discounted Price]]</f>
        <v>20</v>
      </c>
    </row>
    <row r="8" spans="1:11" x14ac:dyDescent="0.35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  <c r="J8">
        <v>10</v>
      </c>
      <c r="K8">
        <f>Table14[[#This Row],[Total Amount]]-Table14[[#This Row],[Discounted Price]]</f>
        <v>40</v>
      </c>
    </row>
    <row r="9" spans="1:11" x14ac:dyDescent="0.35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  <c r="J9">
        <v>10</v>
      </c>
      <c r="K9">
        <f>Table14[[#This Row],[Total Amount]]-Table14[[#This Row],[Discounted Price]]</f>
        <v>90</v>
      </c>
    </row>
    <row r="10" spans="1:11" x14ac:dyDescent="0.35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  <c r="J10">
        <v>10</v>
      </c>
      <c r="K10">
        <f>Table14[[#This Row],[Total Amount]]-Table14[[#This Row],[Discounted Price]]</f>
        <v>590</v>
      </c>
    </row>
    <row r="11" spans="1:11" x14ac:dyDescent="0.35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  <c r="J11">
        <v>10</v>
      </c>
      <c r="K11">
        <f>Table14[[#This Row],[Total Amount]]-Table14[[#This Row],[Discounted Price]]</f>
        <v>190</v>
      </c>
    </row>
    <row r="12" spans="1:11" x14ac:dyDescent="0.35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  <c r="J12">
        <v>10</v>
      </c>
      <c r="K12">
        <f>Table14[[#This Row],[Total Amount]]-Table14[[#This Row],[Discounted Price]]</f>
        <v>90</v>
      </c>
    </row>
    <row r="13" spans="1:11" x14ac:dyDescent="0.35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  <c r="J13">
        <v>10</v>
      </c>
      <c r="K13">
        <f>Table14[[#This Row],[Total Amount]]-Table14[[#This Row],[Discounted Price]]</f>
        <v>65</v>
      </c>
    </row>
    <row r="14" spans="1:11" x14ac:dyDescent="0.35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  <c r="J14">
        <v>10</v>
      </c>
      <c r="K14">
        <f>Table14[[#This Row],[Total Amount]]-Table14[[#This Row],[Discounted Price]]</f>
        <v>1490</v>
      </c>
    </row>
    <row r="15" spans="1:11" x14ac:dyDescent="0.35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  <c r="J15">
        <v>10</v>
      </c>
      <c r="K15">
        <f>Table14[[#This Row],[Total Amount]]-Table14[[#This Row],[Discounted Price]]</f>
        <v>110</v>
      </c>
    </row>
    <row r="16" spans="1:11" x14ac:dyDescent="0.35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  <c r="J16">
        <v>10</v>
      </c>
      <c r="K16">
        <f>Table14[[#This Row],[Total Amount]]-Table14[[#This Row],[Discounted Price]]</f>
        <v>1990</v>
      </c>
    </row>
    <row r="17" spans="1:11" x14ac:dyDescent="0.35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  <c r="J17">
        <v>10</v>
      </c>
      <c r="K17">
        <f>Table14[[#This Row],[Total Amount]]-Table14[[#This Row],[Discounted Price]]</f>
        <v>1490</v>
      </c>
    </row>
    <row r="18" spans="1:11" x14ac:dyDescent="0.35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  <c r="J18">
        <v>10</v>
      </c>
      <c r="K18">
        <f>Table14[[#This Row],[Total Amount]]-Table14[[#This Row],[Discounted Price]]</f>
        <v>90</v>
      </c>
    </row>
    <row r="19" spans="1:11" x14ac:dyDescent="0.35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  <c r="J19">
        <v>10</v>
      </c>
      <c r="K19">
        <f>Table14[[#This Row],[Total Amount]]-Table14[[#This Row],[Discounted Price]]</f>
        <v>40</v>
      </c>
    </row>
    <row r="20" spans="1:11" x14ac:dyDescent="0.35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  <c r="J20">
        <v>10</v>
      </c>
      <c r="K20">
        <f>Table14[[#This Row],[Total Amount]]-Table14[[#This Row],[Discounted Price]]</f>
        <v>40</v>
      </c>
    </row>
    <row r="21" spans="1:11" x14ac:dyDescent="0.35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  <c r="J21">
        <v>10</v>
      </c>
      <c r="K21">
        <f>Table14[[#This Row],[Total Amount]]-Table14[[#This Row],[Discounted Price]]</f>
        <v>890</v>
      </c>
    </row>
    <row r="22" spans="1:11" x14ac:dyDescent="0.35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  <c r="J22">
        <v>10</v>
      </c>
      <c r="K22">
        <f>Table14[[#This Row],[Total Amount]]-Table14[[#This Row],[Discounted Price]]</f>
        <v>490</v>
      </c>
    </row>
    <row r="23" spans="1:11" x14ac:dyDescent="0.35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  <c r="J23">
        <v>10</v>
      </c>
      <c r="K23">
        <f>Table14[[#This Row],[Total Amount]]-Table14[[#This Row],[Discounted Price]]</f>
        <v>90</v>
      </c>
    </row>
    <row r="24" spans="1:11" x14ac:dyDescent="0.35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  <c r="J24">
        <v>10</v>
      </c>
      <c r="K24">
        <f>Table14[[#This Row],[Total Amount]]-Table14[[#This Row],[Discounted Price]]</f>
        <v>110</v>
      </c>
    </row>
    <row r="25" spans="1:11" x14ac:dyDescent="0.35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  <c r="J25">
        <v>10</v>
      </c>
      <c r="K25">
        <f>Table14[[#This Row],[Total Amount]]-Table14[[#This Row],[Discounted Price]]</f>
        <v>290</v>
      </c>
    </row>
    <row r="26" spans="1:11" x14ac:dyDescent="0.35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  <c r="J26">
        <v>10</v>
      </c>
      <c r="K26">
        <f>Table14[[#This Row],[Total Amount]]-Table14[[#This Row],[Discounted Price]]</f>
        <v>40</v>
      </c>
    </row>
    <row r="27" spans="1:11" x14ac:dyDescent="0.35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  <c r="J27">
        <v>10</v>
      </c>
      <c r="K27">
        <f>Table14[[#This Row],[Total Amount]]-Table14[[#This Row],[Discounted Price]]</f>
        <v>990</v>
      </c>
    </row>
    <row r="28" spans="1:11" x14ac:dyDescent="0.35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  <c r="J28">
        <v>10</v>
      </c>
      <c r="K28">
        <f>Table14[[#This Row],[Total Amount]]-Table14[[#This Row],[Discounted Price]]</f>
        <v>40</v>
      </c>
    </row>
    <row r="29" spans="1:11" x14ac:dyDescent="0.35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  <c r="J29">
        <v>10</v>
      </c>
      <c r="K29">
        <f>Table14[[#This Row],[Total Amount]]-Table14[[#This Row],[Discounted Price]]</f>
        <v>490</v>
      </c>
    </row>
    <row r="30" spans="1:11" x14ac:dyDescent="0.35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  <c r="J30">
        <v>10</v>
      </c>
      <c r="K30">
        <f>Table14[[#This Row],[Total Amount]]-Table14[[#This Row],[Discounted Price]]</f>
        <v>20</v>
      </c>
    </row>
    <row r="31" spans="1:11" x14ac:dyDescent="0.35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  <c r="J31">
        <v>10</v>
      </c>
      <c r="K31">
        <f>Table14[[#This Row],[Total Amount]]-Table14[[#This Row],[Discounted Price]]</f>
        <v>890</v>
      </c>
    </row>
    <row r="32" spans="1:11" x14ac:dyDescent="0.35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  <c r="J32">
        <v>10</v>
      </c>
      <c r="K32">
        <f>Table14[[#This Row],[Total Amount]]-Table14[[#This Row],[Discounted Price]]</f>
        <v>1190</v>
      </c>
    </row>
    <row r="33" spans="1:11" x14ac:dyDescent="0.35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  <c r="J33">
        <v>10</v>
      </c>
      <c r="K33">
        <f>Table14[[#This Row],[Total Amount]]-Table14[[#This Row],[Discounted Price]]</f>
        <v>80</v>
      </c>
    </row>
    <row r="34" spans="1:11" x14ac:dyDescent="0.35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  <c r="J34">
        <v>10</v>
      </c>
      <c r="K34">
        <f>Table14[[#This Row],[Total Amount]]-Table14[[#This Row],[Discounted Price]]</f>
        <v>90</v>
      </c>
    </row>
    <row r="35" spans="1:11" x14ac:dyDescent="0.35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  <c r="J35">
        <v>10</v>
      </c>
      <c r="K35">
        <f>Table14[[#This Row],[Total Amount]]-Table14[[#This Row],[Discounted Price]]</f>
        <v>140</v>
      </c>
    </row>
    <row r="36" spans="1:11" x14ac:dyDescent="0.35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  <c r="J36">
        <v>10</v>
      </c>
      <c r="K36">
        <f>Table14[[#This Row],[Total Amount]]-Table14[[#This Row],[Discounted Price]]</f>
        <v>890</v>
      </c>
    </row>
    <row r="37" spans="1:11" x14ac:dyDescent="0.35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  <c r="J37">
        <v>10</v>
      </c>
      <c r="K37">
        <f>Table14[[#This Row],[Total Amount]]-Table14[[#This Row],[Discounted Price]]</f>
        <v>890</v>
      </c>
    </row>
    <row r="38" spans="1:11" x14ac:dyDescent="0.35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  <c r="J38">
        <v>10</v>
      </c>
      <c r="K38">
        <f>Table14[[#This Row],[Total Amount]]-Table14[[#This Row],[Discounted Price]]</f>
        <v>65</v>
      </c>
    </row>
    <row r="39" spans="1:11" x14ac:dyDescent="0.35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  <c r="J39">
        <v>10</v>
      </c>
      <c r="K39">
        <f>Table14[[#This Row],[Total Amount]]-Table14[[#This Row],[Discounted Price]]</f>
        <v>190</v>
      </c>
    </row>
    <row r="40" spans="1:11" x14ac:dyDescent="0.35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  <c r="J40">
        <v>10</v>
      </c>
      <c r="K40">
        <f>Table14[[#This Row],[Total Amount]]-Table14[[#This Row],[Discounted Price]]</f>
        <v>110</v>
      </c>
    </row>
    <row r="41" spans="1:11" x14ac:dyDescent="0.35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  <c r="J41">
        <v>10</v>
      </c>
      <c r="K41">
        <f>Table14[[#This Row],[Total Amount]]-Table14[[#This Row],[Discounted Price]]</f>
        <v>40</v>
      </c>
    </row>
    <row r="42" spans="1:11" x14ac:dyDescent="0.35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  <c r="J42">
        <v>10</v>
      </c>
      <c r="K42">
        <f>Table14[[#This Row],[Total Amount]]-Table14[[#This Row],[Discounted Price]]</f>
        <v>40</v>
      </c>
    </row>
    <row r="43" spans="1:11" x14ac:dyDescent="0.35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  <c r="J43">
        <v>10</v>
      </c>
      <c r="K43">
        <f>Table14[[#This Row],[Total Amount]]-Table14[[#This Row],[Discounted Price]]</f>
        <v>890</v>
      </c>
    </row>
    <row r="44" spans="1:11" x14ac:dyDescent="0.35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  <c r="J44">
        <v>10</v>
      </c>
      <c r="K44">
        <f>Table14[[#This Row],[Total Amount]]-Table14[[#This Row],[Discounted Price]]</f>
        <v>290</v>
      </c>
    </row>
    <row r="45" spans="1:11" x14ac:dyDescent="0.35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  <c r="J45">
        <v>10</v>
      </c>
      <c r="K45">
        <f>Table14[[#This Row],[Total Amount]]-Table14[[#This Row],[Discounted Price]]</f>
        <v>15</v>
      </c>
    </row>
    <row r="46" spans="1:11" x14ac:dyDescent="0.35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  <c r="J46">
        <v>10</v>
      </c>
      <c r="K46">
        <f>Table14[[#This Row],[Total Amount]]-Table14[[#This Row],[Discounted Price]]</f>
        <v>20</v>
      </c>
    </row>
    <row r="47" spans="1:11" x14ac:dyDescent="0.35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  <c r="J47">
        <v>10</v>
      </c>
      <c r="K47">
        <f>Table14[[#This Row],[Total Amount]]-Table14[[#This Row],[Discounted Price]]</f>
        <v>1190</v>
      </c>
    </row>
    <row r="48" spans="1:11" x14ac:dyDescent="0.35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  <c r="J48">
        <v>10</v>
      </c>
      <c r="K48">
        <f>Table14[[#This Row],[Total Amount]]-Table14[[#This Row],[Discounted Price]]</f>
        <v>1490</v>
      </c>
    </row>
    <row r="49" spans="1:11" x14ac:dyDescent="0.35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  <c r="J49">
        <v>10</v>
      </c>
      <c r="K49">
        <f>Table14[[#This Row],[Total Amount]]-Table14[[#This Row],[Discounted Price]]</f>
        <v>890</v>
      </c>
    </row>
    <row r="50" spans="1:11" x14ac:dyDescent="0.35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  <c r="J50">
        <v>10</v>
      </c>
      <c r="K50">
        <f>Table14[[#This Row],[Total Amount]]-Table14[[#This Row],[Discounted Price]]</f>
        <v>990</v>
      </c>
    </row>
    <row r="51" spans="1:11" x14ac:dyDescent="0.35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  <c r="J51">
        <v>10</v>
      </c>
      <c r="K51">
        <f>Table14[[#This Row],[Total Amount]]-Table14[[#This Row],[Discounted Price]]</f>
        <v>65</v>
      </c>
    </row>
    <row r="52" spans="1:11" x14ac:dyDescent="0.35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  <c r="J52">
        <v>10</v>
      </c>
      <c r="K52">
        <f>Table14[[#This Row],[Total Amount]]-Table14[[#This Row],[Discounted Price]]</f>
        <v>65</v>
      </c>
    </row>
    <row r="53" spans="1:11" x14ac:dyDescent="0.35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  <c r="J53">
        <v>10</v>
      </c>
      <c r="K53">
        <f>Table14[[#This Row],[Total Amount]]-Table14[[#This Row],[Discounted Price]]</f>
        <v>290</v>
      </c>
    </row>
    <row r="54" spans="1:11" x14ac:dyDescent="0.35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  <c r="J54">
        <v>10</v>
      </c>
      <c r="K54">
        <f>Table14[[#This Row],[Total Amount]]-Table14[[#This Row],[Discounted Price]]</f>
        <v>90</v>
      </c>
    </row>
    <row r="55" spans="1:11" x14ac:dyDescent="0.35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  <c r="J55">
        <v>10</v>
      </c>
      <c r="K55">
        <f>Table14[[#This Row],[Total Amount]]-Table14[[#This Row],[Discounted Price]]</f>
        <v>1490</v>
      </c>
    </row>
    <row r="56" spans="1:11" x14ac:dyDescent="0.35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  <c r="J56">
        <v>10</v>
      </c>
      <c r="K56">
        <f>Table14[[#This Row],[Total Amount]]-Table14[[#This Row],[Discounted Price]]</f>
        <v>110</v>
      </c>
    </row>
    <row r="57" spans="1:11" x14ac:dyDescent="0.35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  <c r="J57">
        <v>10</v>
      </c>
      <c r="K57">
        <f>Table14[[#This Row],[Total Amount]]-Table14[[#This Row],[Discounted Price]]</f>
        <v>890</v>
      </c>
    </row>
    <row r="58" spans="1:11" x14ac:dyDescent="0.35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  <c r="J58">
        <v>10</v>
      </c>
      <c r="K58">
        <f>Table14[[#This Row],[Total Amount]]-Table14[[#This Row],[Discounted Price]]</f>
        <v>20</v>
      </c>
    </row>
    <row r="59" spans="1:11" x14ac:dyDescent="0.35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  <c r="J59">
        <v>10</v>
      </c>
      <c r="K59">
        <f>Table14[[#This Row],[Total Amount]]-Table14[[#This Row],[Discounted Price]]</f>
        <v>1190</v>
      </c>
    </row>
    <row r="60" spans="1:11" x14ac:dyDescent="0.35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  <c r="J60">
        <v>10</v>
      </c>
      <c r="K60">
        <f>Table14[[#This Row],[Total Amount]]-Table14[[#This Row],[Discounted Price]]</f>
        <v>40</v>
      </c>
    </row>
    <row r="61" spans="1:11" x14ac:dyDescent="0.35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  <c r="J61">
        <v>10</v>
      </c>
      <c r="K61">
        <f>Table14[[#This Row],[Total Amount]]-Table14[[#This Row],[Discounted Price]]</f>
        <v>140</v>
      </c>
    </row>
    <row r="62" spans="1:11" x14ac:dyDescent="0.35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  <c r="J62">
        <v>10</v>
      </c>
      <c r="K62">
        <f>Table14[[#This Row],[Total Amount]]-Table14[[#This Row],[Discounted Price]]</f>
        <v>190</v>
      </c>
    </row>
    <row r="63" spans="1:11" x14ac:dyDescent="0.35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  <c r="J63">
        <v>10</v>
      </c>
      <c r="K63">
        <f>Table14[[#This Row],[Total Amount]]-Table14[[#This Row],[Discounted Price]]</f>
        <v>90</v>
      </c>
    </row>
    <row r="64" spans="1:11" x14ac:dyDescent="0.35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  <c r="J64">
        <v>10</v>
      </c>
      <c r="K64">
        <f>Table14[[#This Row],[Total Amount]]-Table14[[#This Row],[Discounted Price]]</f>
        <v>40</v>
      </c>
    </row>
    <row r="65" spans="1:11" x14ac:dyDescent="0.35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  <c r="J65">
        <v>10</v>
      </c>
      <c r="K65">
        <f>Table14[[#This Row],[Total Amount]]-Table14[[#This Row],[Discounted Price]]</f>
        <v>90</v>
      </c>
    </row>
    <row r="66" spans="1:11" x14ac:dyDescent="0.35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  <c r="J66">
        <v>10</v>
      </c>
      <c r="K66">
        <f>Table14[[#This Row],[Total Amount]]-Table14[[#This Row],[Discounted Price]]</f>
        <v>1990</v>
      </c>
    </row>
    <row r="67" spans="1:11" x14ac:dyDescent="0.35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  <c r="J67">
        <v>10</v>
      </c>
      <c r="K67">
        <f>Table14[[#This Row],[Total Amount]]-Table14[[#This Row],[Discounted Price]]</f>
        <v>20</v>
      </c>
    </row>
    <row r="68" spans="1:11" x14ac:dyDescent="0.35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  <c r="J68">
        <v>10</v>
      </c>
      <c r="K68">
        <f>Table14[[#This Row],[Total Amount]]-Table14[[#This Row],[Discounted Price]]</f>
        <v>1190</v>
      </c>
    </row>
    <row r="69" spans="1:11" x14ac:dyDescent="0.35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  <c r="J69">
        <v>10</v>
      </c>
      <c r="K69">
        <f>Table14[[#This Row],[Total Amount]]-Table14[[#This Row],[Discounted Price]]</f>
        <v>290</v>
      </c>
    </row>
    <row r="70" spans="1:11" x14ac:dyDescent="0.35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  <c r="J70">
        <v>10</v>
      </c>
      <c r="K70">
        <f>Table14[[#This Row],[Total Amount]]-Table14[[#This Row],[Discounted Price]]</f>
        <v>65</v>
      </c>
    </row>
    <row r="71" spans="1:11" x14ac:dyDescent="0.35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  <c r="J71">
        <v>10</v>
      </c>
      <c r="K71">
        <f>Table14[[#This Row],[Total Amount]]-Table14[[#This Row],[Discounted Price]]</f>
        <v>290</v>
      </c>
    </row>
    <row r="72" spans="1:11" x14ac:dyDescent="0.35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  <c r="J72">
        <v>10</v>
      </c>
      <c r="K72">
        <f>Table14[[#This Row],[Total Amount]]-Table14[[#This Row],[Discounted Price]]</f>
        <v>90</v>
      </c>
    </row>
    <row r="73" spans="1:11" x14ac:dyDescent="0.35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  <c r="J73">
        <v>10</v>
      </c>
      <c r="K73">
        <f>Table14[[#This Row],[Total Amount]]-Table14[[#This Row],[Discounted Price]]</f>
        <v>1990</v>
      </c>
    </row>
    <row r="74" spans="1:11" x14ac:dyDescent="0.35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  <c r="J74">
        <v>10</v>
      </c>
      <c r="K74">
        <f>Table14[[#This Row],[Total Amount]]-Table14[[#This Row],[Discounted Price]]</f>
        <v>80</v>
      </c>
    </row>
    <row r="75" spans="1:11" x14ac:dyDescent="0.35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  <c r="J75">
        <v>10</v>
      </c>
      <c r="K75">
        <f>Table14[[#This Row],[Total Amount]]-Table14[[#This Row],[Discounted Price]]</f>
        <v>1990</v>
      </c>
    </row>
    <row r="76" spans="1:11" x14ac:dyDescent="0.35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  <c r="J76">
        <v>10</v>
      </c>
      <c r="K76">
        <f>Table14[[#This Row],[Total Amount]]-Table14[[#This Row],[Discounted Price]]</f>
        <v>190</v>
      </c>
    </row>
    <row r="77" spans="1:11" x14ac:dyDescent="0.35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  <c r="J77">
        <v>10</v>
      </c>
      <c r="K77">
        <f>Table14[[#This Row],[Total Amount]]-Table14[[#This Row],[Discounted Price]]</f>
        <v>90</v>
      </c>
    </row>
    <row r="78" spans="1:11" x14ac:dyDescent="0.35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  <c r="J78">
        <v>10</v>
      </c>
      <c r="K78">
        <f>Table14[[#This Row],[Total Amount]]-Table14[[#This Row],[Discounted Price]]</f>
        <v>90</v>
      </c>
    </row>
    <row r="79" spans="1:11" x14ac:dyDescent="0.35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  <c r="J79">
        <v>10</v>
      </c>
      <c r="K79">
        <f>Table14[[#This Row],[Total Amount]]-Table14[[#This Row],[Discounted Price]]</f>
        <v>1490</v>
      </c>
    </row>
    <row r="80" spans="1:11" x14ac:dyDescent="0.35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  <c r="J80">
        <v>10</v>
      </c>
      <c r="K80">
        <f>Table14[[#This Row],[Total Amount]]-Table14[[#This Row],[Discounted Price]]</f>
        <v>290</v>
      </c>
    </row>
    <row r="81" spans="1:11" x14ac:dyDescent="0.35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  <c r="J81">
        <v>10</v>
      </c>
      <c r="K81">
        <f>Table14[[#This Row],[Total Amount]]-Table14[[#This Row],[Discounted Price]]</f>
        <v>50</v>
      </c>
    </row>
    <row r="82" spans="1:11" x14ac:dyDescent="0.35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  <c r="J82">
        <v>10</v>
      </c>
      <c r="K82">
        <f>Table14[[#This Row],[Total Amount]]-Table14[[#This Row],[Discounted Price]]</f>
        <v>40</v>
      </c>
    </row>
    <row r="83" spans="1:11" x14ac:dyDescent="0.35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  <c r="J83">
        <v>10</v>
      </c>
      <c r="K83">
        <f>Table14[[#This Row],[Total Amount]]-Table14[[#This Row],[Discounted Price]]</f>
        <v>190</v>
      </c>
    </row>
    <row r="84" spans="1:11" x14ac:dyDescent="0.35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  <c r="J84">
        <v>10</v>
      </c>
      <c r="K84">
        <f>Table14[[#This Row],[Total Amount]]-Table14[[#This Row],[Discounted Price]]</f>
        <v>90</v>
      </c>
    </row>
    <row r="85" spans="1:11" x14ac:dyDescent="0.35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  <c r="J85">
        <v>10</v>
      </c>
      <c r="K85">
        <f>Table14[[#This Row],[Total Amount]]-Table14[[#This Row],[Discounted Price]]</f>
        <v>80</v>
      </c>
    </row>
    <row r="86" spans="1:11" x14ac:dyDescent="0.35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  <c r="J86">
        <v>10</v>
      </c>
      <c r="K86">
        <f>Table14[[#This Row],[Total Amount]]-Table14[[#This Row],[Discounted Price]]</f>
        <v>140</v>
      </c>
    </row>
    <row r="87" spans="1:11" x14ac:dyDescent="0.35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  <c r="J87">
        <v>10</v>
      </c>
      <c r="K87">
        <f>Table14[[#This Row],[Total Amount]]-Table14[[#This Row],[Discounted Price]]</f>
        <v>80</v>
      </c>
    </row>
    <row r="88" spans="1:11" x14ac:dyDescent="0.35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  <c r="J88">
        <v>10</v>
      </c>
      <c r="K88">
        <f>Table14[[#This Row],[Total Amount]]-Table14[[#This Row],[Discounted Price]]</f>
        <v>90</v>
      </c>
    </row>
    <row r="89" spans="1:11" x14ac:dyDescent="0.35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  <c r="J89">
        <v>10</v>
      </c>
      <c r="K89">
        <f>Table14[[#This Row],[Total Amount]]-Table14[[#This Row],[Discounted Price]]</f>
        <v>490</v>
      </c>
    </row>
    <row r="90" spans="1:11" x14ac:dyDescent="0.35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  <c r="J90">
        <v>10</v>
      </c>
      <c r="K90">
        <f>Table14[[#This Row],[Total Amount]]-Table14[[#This Row],[Discounted Price]]</f>
        <v>1990</v>
      </c>
    </row>
    <row r="91" spans="1:11" x14ac:dyDescent="0.35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  <c r="J91">
        <v>10</v>
      </c>
      <c r="K91">
        <f>Table14[[#This Row],[Total Amount]]-Table14[[#This Row],[Discounted Price]]</f>
        <v>20</v>
      </c>
    </row>
    <row r="92" spans="1:11" x14ac:dyDescent="0.35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  <c r="J92">
        <v>10</v>
      </c>
      <c r="K92">
        <f>Table14[[#This Row],[Total Amount]]-Table14[[#This Row],[Discounted Price]]</f>
        <v>490</v>
      </c>
    </row>
    <row r="93" spans="1:11" x14ac:dyDescent="0.35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  <c r="J93">
        <v>10</v>
      </c>
      <c r="K93">
        <f>Table14[[#This Row],[Total Amount]]-Table14[[#This Row],[Discounted Price]]</f>
        <v>110</v>
      </c>
    </row>
    <row r="94" spans="1:11" x14ac:dyDescent="0.35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  <c r="J94">
        <v>10</v>
      </c>
      <c r="K94">
        <f>Table14[[#This Row],[Total Amount]]-Table14[[#This Row],[Discounted Price]]</f>
        <v>1990</v>
      </c>
    </row>
    <row r="95" spans="1:11" x14ac:dyDescent="0.35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  <c r="J95">
        <v>10</v>
      </c>
      <c r="K95">
        <f>Table14[[#This Row],[Total Amount]]-Table14[[#This Row],[Discounted Price]]</f>
        <v>990</v>
      </c>
    </row>
    <row r="96" spans="1:11" x14ac:dyDescent="0.35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  <c r="J96">
        <v>10</v>
      </c>
      <c r="K96">
        <f>Table14[[#This Row],[Total Amount]]-Table14[[#This Row],[Discounted Price]]</f>
        <v>50</v>
      </c>
    </row>
    <row r="97" spans="1:11" x14ac:dyDescent="0.35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  <c r="J97">
        <v>10</v>
      </c>
      <c r="K97">
        <f>Table14[[#This Row],[Total Amount]]-Table14[[#This Row],[Discounted Price]]</f>
        <v>590</v>
      </c>
    </row>
    <row r="98" spans="1:11" x14ac:dyDescent="0.35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  <c r="J98">
        <v>10</v>
      </c>
      <c r="K98">
        <f>Table14[[#This Row],[Total Amount]]-Table14[[#This Row],[Discounted Price]]</f>
        <v>990</v>
      </c>
    </row>
    <row r="99" spans="1:11" x14ac:dyDescent="0.35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  <c r="J99">
        <v>10</v>
      </c>
      <c r="K99">
        <f>Table14[[#This Row],[Total Amount]]-Table14[[#This Row],[Discounted Price]]</f>
        <v>90</v>
      </c>
    </row>
    <row r="100" spans="1:11" x14ac:dyDescent="0.35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  <c r="J100">
        <v>10</v>
      </c>
      <c r="K100">
        <f>Table14[[#This Row],[Total Amount]]-Table14[[#This Row],[Discounted Price]]</f>
        <v>1190</v>
      </c>
    </row>
    <row r="101" spans="1:11" x14ac:dyDescent="0.35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  <c r="J101">
        <v>10</v>
      </c>
      <c r="K101">
        <f>Table14[[#This Row],[Total Amount]]-Table14[[#This Row],[Discounted Price]]</f>
        <v>20</v>
      </c>
    </row>
    <row r="102" spans="1:11" x14ac:dyDescent="0.35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  <c r="J102">
        <v>10</v>
      </c>
      <c r="K102">
        <f>Table14[[#This Row],[Total Amount]]-Table14[[#This Row],[Discounted Price]]</f>
        <v>590</v>
      </c>
    </row>
    <row r="103" spans="1:11" x14ac:dyDescent="0.35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  <c r="J103">
        <v>10</v>
      </c>
      <c r="K103">
        <f>Table14[[#This Row],[Total Amount]]-Table14[[#This Row],[Discounted Price]]</f>
        <v>40</v>
      </c>
    </row>
    <row r="104" spans="1:11" x14ac:dyDescent="0.35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  <c r="J104">
        <v>10</v>
      </c>
      <c r="K104">
        <f>Table14[[#This Row],[Total Amount]]-Table14[[#This Row],[Discounted Price]]</f>
        <v>15</v>
      </c>
    </row>
    <row r="105" spans="1:11" x14ac:dyDescent="0.35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  <c r="J105">
        <v>10</v>
      </c>
      <c r="K105">
        <f>Table14[[#This Row],[Total Amount]]-Table14[[#This Row],[Discounted Price]]</f>
        <v>990</v>
      </c>
    </row>
    <row r="106" spans="1:11" x14ac:dyDescent="0.35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  <c r="J106">
        <v>10</v>
      </c>
      <c r="K106">
        <f>Table14[[#This Row],[Total Amount]]-Table14[[#This Row],[Discounted Price]]</f>
        <v>490</v>
      </c>
    </row>
    <row r="107" spans="1:11" x14ac:dyDescent="0.35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  <c r="J107">
        <v>10</v>
      </c>
      <c r="K107">
        <f>Table14[[#This Row],[Total Amount]]-Table14[[#This Row],[Discounted Price]]</f>
        <v>40</v>
      </c>
    </row>
    <row r="108" spans="1:11" x14ac:dyDescent="0.35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  <c r="J108">
        <v>10</v>
      </c>
      <c r="K108">
        <f>Table14[[#This Row],[Total Amount]]-Table14[[#This Row],[Discounted Price]]</f>
        <v>1190</v>
      </c>
    </row>
    <row r="109" spans="1:11" x14ac:dyDescent="0.35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  <c r="J109">
        <v>10</v>
      </c>
      <c r="K109">
        <f>Table14[[#This Row],[Total Amount]]-Table14[[#This Row],[Discounted Price]]</f>
        <v>65</v>
      </c>
    </row>
    <row r="110" spans="1:11" x14ac:dyDescent="0.35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  <c r="J110">
        <v>10</v>
      </c>
      <c r="K110">
        <f>Table14[[#This Row],[Total Amount]]-Table14[[#This Row],[Discounted Price]]</f>
        <v>1990</v>
      </c>
    </row>
    <row r="111" spans="1:11" x14ac:dyDescent="0.35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  <c r="J111">
        <v>10</v>
      </c>
      <c r="K111">
        <f>Table14[[#This Row],[Total Amount]]-Table14[[#This Row],[Discounted Price]]</f>
        <v>890</v>
      </c>
    </row>
    <row r="112" spans="1:11" x14ac:dyDescent="0.35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  <c r="J112">
        <v>10</v>
      </c>
      <c r="K112">
        <f>Table14[[#This Row],[Total Amount]]-Table14[[#This Row],[Discounted Price]]</f>
        <v>1490</v>
      </c>
    </row>
    <row r="113" spans="1:11" x14ac:dyDescent="0.35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  <c r="J113">
        <v>10</v>
      </c>
      <c r="K113">
        <f>Table14[[#This Row],[Total Amount]]-Table14[[#This Row],[Discounted Price]]</f>
        <v>1490</v>
      </c>
    </row>
    <row r="114" spans="1:11" x14ac:dyDescent="0.35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  <c r="J114">
        <v>10</v>
      </c>
      <c r="K114">
        <f>Table14[[#This Row],[Total Amount]]-Table14[[#This Row],[Discounted Price]]</f>
        <v>40</v>
      </c>
    </row>
    <row r="115" spans="1:11" x14ac:dyDescent="0.35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  <c r="J115">
        <v>10</v>
      </c>
      <c r="K115">
        <f>Table14[[#This Row],[Total Amount]]-Table14[[#This Row],[Discounted Price]]</f>
        <v>90</v>
      </c>
    </row>
    <row r="116" spans="1:11" x14ac:dyDescent="0.35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  <c r="J116">
        <v>10</v>
      </c>
      <c r="K116">
        <f>Table14[[#This Row],[Total Amount]]-Table14[[#This Row],[Discounted Price]]</f>
        <v>1490</v>
      </c>
    </row>
    <row r="117" spans="1:11" x14ac:dyDescent="0.35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  <c r="J117">
        <v>10</v>
      </c>
      <c r="K117">
        <f>Table14[[#This Row],[Total Amount]]-Table14[[#This Row],[Discounted Price]]</f>
        <v>20</v>
      </c>
    </row>
    <row r="118" spans="1:11" x14ac:dyDescent="0.35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  <c r="J118">
        <v>10</v>
      </c>
      <c r="K118">
        <f>Table14[[#This Row],[Total Amount]]-Table14[[#This Row],[Discounted Price]]</f>
        <v>990</v>
      </c>
    </row>
    <row r="119" spans="1:11" x14ac:dyDescent="0.35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  <c r="J119">
        <v>10</v>
      </c>
      <c r="K119">
        <f>Table14[[#This Row],[Total Amount]]-Table14[[#This Row],[Discounted Price]]</f>
        <v>1990</v>
      </c>
    </row>
    <row r="120" spans="1:11" x14ac:dyDescent="0.35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  <c r="J120">
        <v>10</v>
      </c>
      <c r="K120">
        <f>Table14[[#This Row],[Total Amount]]-Table14[[#This Row],[Discounted Price]]</f>
        <v>140</v>
      </c>
    </row>
    <row r="121" spans="1:11" x14ac:dyDescent="0.35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  <c r="J121">
        <v>10</v>
      </c>
      <c r="K121">
        <f>Table14[[#This Row],[Total Amount]]-Table14[[#This Row],[Discounted Price]]</f>
        <v>40</v>
      </c>
    </row>
    <row r="122" spans="1:11" x14ac:dyDescent="0.35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  <c r="J122">
        <v>10</v>
      </c>
      <c r="K122">
        <f>Table14[[#This Row],[Total Amount]]-Table14[[#This Row],[Discounted Price]]</f>
        <v>190</v>
      </c>
    </row>
    <row r="123" spans="1:11" x14ac:dyDescent="0.35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  <c r="J123">
        <v>10</v>
      </c>
      <c r="K123">
        <f>Table14[[#This Row],[Total Amount]]-Table14[[#This Row],[Discounted Price]]</f>
        <v>110</v>
      </c>
    </row>
    <row r="124" spans="1:11" x14ac:dyDescent="0.35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  <c r="J124">
        <v>10</v>
      </c>
      <c r="K124">
        <f>Table14[[#This Row],[Total Amount]]-Table14[[#This Row],[Discounted Price]]</f>
        <v>50</v>
      </c>
    </row>
    <row r="125" spans="1:11" x14ac:dyDescent="0.35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  <c r="J125">
        <v>10</v>
      </c>
      <c r="K125">
        <f>Table14[[#This Row],[Total Amount]]-Table14[[#This Row],[Discounted Price]]</f>
        <v>1990</v>
      </c>
    </row>
    <row r="126" spans="1:11" x14ac:dyDescent="0.35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  <c r="J126">
        <v>10</v>
      </c>
      <c r="K126">
        <f>Table14[[#This Row],[Total Amount]]-Table14[[#This Row],[Discounted Price]]</f>
        <v>90</v>
      </c>
    </row>
    <row r="127" spans="1:11" x14ac:dyDescent="0.35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  <c r="J127">
        <v>10</v>
      </c>
      <c r="K127">
        <f>Table14[[#This Row],[Total Amount]]-Table14[[#This Row],[Discounted Price]]</f>
        <v>80</v>
      </c>
    </row>
    <row r="128" spans="1:11" x14ac:dyDescent="0.35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  <c r="J128">
        <v>10</v>
      </c>
      <c r="K128">
        <f>Table14[[#This Row],[Total Amount]]-Table14[[#This Row],[Discounted Price]]</f>
        <v>40</v>
      </c>
    </row>
    <row r="129" spans="1:11" x14ac:dyDescent="0.35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  <c r="J129">
        <v>10</v>
      </c>
      <c r="K129">
        <f>Table14[[#This Row],[Total Amount]]-Table14[[#This Row],[Discounted Price]]</f>
        <v>490</v>
      </c>
    </row>
    <row r="130" spans="1:11" x14ac:dyDescent="0.35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  <c r="J130">
        <v>10</v>
      </c>
      <c r="K130">
        <f>Table14[[#This Row],[Total Amount]]-Table14[[#This Row],[Discounted Price]]</f>
        <v>590</v>
      </c>
    </row>
    <row r="131" spans="1:11" x14ac:dyDescent="0.35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  <c r="J131">
        <v>10</v>
      </c>
      <c r="K131">
        <f>Table14[[#This Row],[Total Amount]]-Table14[[#This Row],[Discounted Price]]</f>
        <v>490</v>
      </c>
    </row>
    <row r="132" spans="1:11" x14ac:dyDescent="0.35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  <c r="J132">
        <v>10</v>
      </c>
      <c r="K132">
        <f>Table14[[#This Row],[Total Amount]]-Table14[[#This Row],[Discounted Price]]</f>
        <v>590</v>
      </c>
    </row>
    <row r="133" spans="1:11" x14ac:dyDescent="0.35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  <c r="J133">
        <v>10</v>
      </c>
      <c r="K133">
        <f>Table14[[#This Row],[Total Amount]]-Table14[[#This Row],[Discounted Price]]</f>
        <v>190</v>
      </c>
    </row>
    <row r="134" spans="1:11" x14ac:dyDescent="0.35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  <c r="J134">
        <v>10</v>
      </c>
      <c r="K134">
        <f>Table14[[#This Row],[Total Amount]]-Table14[[#This Row],[Discounted Price]]</f>
        <v>890</v>
      </c>
    </row>
    <row r="135" spans="1:11" x14ac:dyDescent="0.35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  <c r="J135">
        <v>10</v>
      </c>
      <c r="K135">
        <f>Table14[[#This Row],[Total Amount]]-Table14[[#This Row],[Discounted Price]]</f>
        <v>40</v>
      </c>
    </row>
    <row r="136" spans="1:11" x14ac:dyDescent="0.35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  <c r="J136">
        <v>10</v>
      </c>
      <c r="K136">
        <f>Table14[[#This Row],[Total Amount]]-Table14[[#This Row],[Discounted Price]]</f>
        <v>40</v>
      </c>
    </row>
    <row r="137" spans="1:11" x14ac:dyDescent="0.35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  <c r="J137">
        <v>10</v>
      </c>
      <c r="K137">
        <f>Table14[[#This Row],[Total Amount]]-Table14[[#This Row],[Discounted Price]]</f>
        <v>590</v>
      </c>
    </row>
    <row r="138" spans="1:11" x14ac:dyDescent="0.35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  <c r="J138">
        <v>10</v>
      </c>
      <c r="K138">
        <f>Table14[[#This Row],[Total Amount]]-Table14[[#This Row],[Discounted Price]]</f>
        <v>990</v>
      </c>
    </row>
    <row r="139" spans="1:11" x14ac:dyDescent="0.35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  <c r="J139">
        <v>10</v>
      </c>
      <c r="K139">
        <f>Table14[[#This Row],[Total Amount]]-Table14[[#This Row],[Discounted Price]]</f>
        <v>190</v>
      </c>
    </row>
    <row r="140" spans="1:11" x14ac:dyDescent="0.35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  <c r="J140">
        <v>10</v>
      </c>
      <c r="K140">
        <f>Table14[[#This Row],[Total Amount]]-Table14[[#This Row],[Discounted Price]]</f>
        <v>1990</v>
      </c>
    </row>
    <row r="141" spans="1:11" x14ac:dyDescent="0.35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  <c r="J141">
        <v>10</v>
      </c>
      <c r="K141">
        <f>Table14[[#This Row],[Total Amount]]-Table14[[#This Row],[Discounted Price]]</f>
        <v>20</v>
      </c>
    </row>
    <row r="142" spans="1:11" x14ac:dyDescent="0.35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  <c r="J142">
        <v>10</v>
      </c>
      <c r="K142">
        <f>Table14[[#This Row],[Total Amount]]-Table14[[#This Row],[Discounted Price]]</f>
        <v>40</v>
      </c>
    </row>
    <row r="143" spans="1:11" x14ac:dyDescent="0.35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  <c r="J143">
        <v>10</v>
      </c>
      <c r="K143">
        <f>Table14[[#This Row],[Total Amount]]-Table14[[#This Row],[Discounted Price]]</f>
        <v>1190</v>
      </c>
    </row>
    <row r="144" spans="1:11" x14ac:dyDescent="0.35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  <c r="J144">
        <v>10</v>
      </c>
      <c r="K144">
        <f>Table14[[#This Row],[Total Amount]]-Table14[[#This Row],[Discounted Price]]</f>
        <v>40</v>
      </c>
    </row>
    <row r="145" spans="1:11" x14ac:dyDescent="0.35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  <c r="J145">
        <v>10</v>
      </c>
      <c r="K145">
        <f>Table14[[#This Row],[Total Amount]]-Table14[[#This Row],[Discounted Price]]</f>
        <v>1490</v>
      </c>
    </row>
    <row r="146" spans="1:11" x14ac:dyDescent="0.35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  <c r="J146">
        <v>10</v>
      </c>
      <c r="K146">
        <f>Table14[[#This Row],[Total Amount]]-Table14[[#This Row],[Discounted Price]]</f>
        <v>65</v>
      </c>
    </row>
    <row r="147" spans="1:11" x14ac:dyDescent="0.35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  <c r="J147">
        <v>10</v>
      </c>
      <c r="K147">
        <f>Table14[[#This Row],[Total Amount]]-Table14[[#This Row],[Discounted Price]]</f>
        <v>190</v>
      </c>
    </row>
    <row r="148" spans="1:11" x14ac:dyDescent="0.35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  <c r="J148">
        <v>10</v>
      </c>
      <c r="K148">
        <f>Table14[[#This Row],[Total Amount]]-Table14[[#This Row],[Discounted Price]]</f>
        <v>290</v>
      </c>
    </row>
    <row r="149" spans="1:11" x14ac:dyDescent="0.35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  <c r="J149">
        <v>10</v>
      </c>
      <c r="K149">
        <f>Table14[[#This Row],[Total Amount]]-Table14[[#This Row],[Discounted Price]]</f>
        <v>50</v>
      </c>
    </row>
    <row r="150" spans="1:11" x14ac:dyDescent="0.35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  <c r="J150">
        <v>10</v>
      </c>
      <c r="K150">
        <f>Table14[[#This Row],[Total Amount]]-Table14[[#This Row],[Discounted Price]]</f>
        <v>65</v>
      </c>
    </row>
    <row r="151" spans="1:11" x14ac:dyDescent="0.35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  <c r="J151">
        <v>10</v>
      </c>
      <c r="K151">
        <f>Table14[[#This Row],[Total Amount]]-Table14[[#This Row],[Discounted Price]]</f>
        <v>110</v>
      </c>
    </row>
    <row r="152" spans="1:11" x14ac:dyDescent="0.35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  <c r="J152">
        <v>10</v>
      </c>
      <c r="K152">
        <f>Table14[[#This Row],[Total Amount]]-Table14[[#This Row],[Discounted Price]]</f>
        <v>40</v>
      </c>
    </row>
    <row r="153" spans="1:11" x14ac:dyDescent="0.35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  <c r="J153">
        <v>10</v>
      </c>
      <c r="K153">
        <f>Table14[[#This Row],[Total Amount]]-Table14[[#This Row],[Discounted Price]]</f>
        <v>1990</v>
      </c>
    </row>
    <row r="154" spans="1:11" x14ac:dyDescent="0.35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  <c r="J154">
        <v>10</v>
      </c>
      <c r="K154">
        <f>Table14[[#This Row],[Total Amount]]-Table14[[#This Row],[Discounted Price]]</f>
        <v>990</v>
      </c>
    </row>
    <row r="155" spans="1:11" x14ac:dyDescent="0.35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  <c r="J155">
        <v>10</v>
      </c>
      <c r="K155">
        <f>Table14[[#This Row],[Total Amount]]-Table14[[#This Row],[Discounted Price]]</f>
        <v>890</v>
      </c>
    </row>
    <row r="156" spans="1:11" x14ac:dyDescent="0.35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  <c r="J156">
        <v>10</v>
      </c>
      <c r="K156">
        <f>Table14[[#This Row],[Total Amount]]-Table14[[#This Row],[Discounted Price]]</f>
        <v>1990</v>
      </c>
    </row>
    <row r="157" spans="1:11" x14ac:dyDescent="0.35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  <c r="J157">
        <v>10</v>
      </c>
      <c r="K157">
        <f>Table14[[#This Row],[Total Amount]]-Table14[[#This Row],[Discounted Price]]</f>
        <v>90</v>
      </c>
    </row>
    <row r="158" spans="1:11" x14ac:dyDescent="0.35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  <c r="J158">
        <v>10</v>
      </c>
      <c r="K158">
        <f>Table14[[#This Row],[Total Amount]]-Table14[[#This Row],[Discounted Price]]</f>
        <v>1990</v>
      </c>
    </row>
    <row r="159" spans="1:11" x14ac:dyDescent="0.35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  <c r="J159">
        <v>10</v>
      </c>
      <c r="K159">
        <f>Table14[[#This Row],[Total Amount]]-Table14[[#This Row],[Discounted Price]]</f>
        <v>590</v>
      </c>
    </row>
    <row r="160" spans="1:11" x14ac:dyDescent="0.35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  <c r="J160">
        <v>10</v>
      </c>
      <c r="K160">
        <f>Table14[[#This Row],[Total Amount]]-Table14[[#This Row],[Discounted Price]]</f>
        <v>190</v>
      </c>
    </row>
    <row r="161" spans="1:11" x14ac:dyDescent="0.35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  <c r="J161">
        <v>10</v>
      </c>
      <c r="K161">
        <f>Table14[[#This Row],[Total Amount]]-Table14[[#This Row],[Discounted Price]]</f>
        <v>90</v>
      </c>
    </row>
    <row r="162" spans="1:11" x14ac:dyDescent="0.35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  <c r="J162">
        <v>10</v>
      </c>
      <c r="K162">
        <f>Table14[[#This Row],[Total Amount]]-Table14[[#This Row],[Discounted Price]]</f>
        <v>990</v>
      </c>
    </row>
    <row r="163" spans="1:11" x14ac:dyDescent="0.35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  <c r="J163">
        <v>10</v>
      </c>
      <c r="K163">
        <f>Table14[[#This Row],[Total Amount]]-Table14[[#This Row],[Discounted Price]]</f>
        <v>50</v>
      </c>
    </row>
    <row r="164" spans="1:11" x14ac:dyDescent="0.35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  <c r="J164">
        <v>10</v>
      </c>
      <c r="K164">
        <f>Table14[[#This Row],[Total Amount]]-Table14[[#This Row],[Discounted Price]]</f>
        <v>140</v>
      </c>
    </row>
    <row r="165" spans="1:11" x14ac:dyDescent="0.35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  <c r="J165">
        <v>10</v>
      </c>
      <c r="K165">
        <f>Table14[[#This Row],[Total Amount]]-Table14[[#This Row],[Discounted Price]]</f>
        <v>1490</v>
      </c>
    </row>
    <row r="166" spans="1:11" x14ac:dyDescent="0.35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  <c r="J166">
        <v>10</v>
      </c>
      <c r="K166">
        <f>Table14[[#This Row],[Total Amount]]-Table14[[#This Row],[Discounted Price]]</f>
        <v>1190</v>
      </c>
    </row>
    <row r="167" spans="1:11" x14ac:dyDescent="0.35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  <c r="J167">
        <v>10</v>
      </c>
      <c r="K167">
        <f>Table14[[#This Row],[Total Amount]]-Table14[[#This Row],[Discounted Price]]</f>
        <v>1990</v>
      </c>
    </row>
    <row r="168" spans="1:11" x14ac:dyDescent="0.35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  <c r="J168">
        <v>10</v>
      </c>
      <c r="K168">
        <f>Table14[[#This Row],[Total Amount]]-Table14[[#This Row],[Discounted Price]]</f>
        <v>140</v>
      </c>
    </row>
    <row r="169" spans="1:11" x14ac:dyDescent="0.35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  <c r="J169">
        <v>10</v>
      </c>
      <c r="K169">
        <f>Table14[[#This Row],[Total Amount]]-Table14[[#This Row],[Discounted Price]]</f>
        <v>290</v>
      </c>
    </row>
    <row r="170" spans="1:11" x14ac:dyDescent="0.35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  <c r="J170">
        <v>10</v>
      </c>
      <c r="K170">
        <f>Table14[[#This Row],[Total Amount]]-Table14[[#This Row],[Discounted Price]]</f>
        <v>1490</v>
      </c>
    </row>
    <row r="171" spans="1:11" x14ac:dyDescent="0.35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  <c r="J171">
        <v>10</v>
      </c>
      <c r="K171">
        <f>Table14[[#This Row],[Total Amount]]-Table14[[#This Row],[Discounted Price]]</f>
        <v>40</v>
      </c>
    </row>
    <row r="172" spans="1:11" x14ac:dyDescent="0.35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  <c r="J172">
        <v>10</v>
      </c>
      <c r="K172">
        <f>Table14[[#This Row],[Total Amount]]-Table14[[#This Row],[Discounted Price]]</f>
        <v>890</v>
      </c>
    </row>
    <row r="173" spans="1:11" x14ac:dyDescent="0.35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  <c r="J173">
        <v>10</v>
      </c>
      <c r="K173">
        <f>Table14[[#This Row],[Total Amount]]-Table14[[#This Row],[Discounted Price]]</f>
        <v>40</v>
      </c>
    </row>
    <row r="174" spans="1:11" x14ac:dyDescent="0.35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  <c r="J174">
        <v>10</v>
      </c>
      <c r="K174">
        <f>Table14[[#This Row],[Total Amount]]-Table14[[#This Row],[Discounted Price]]</f>
        <v>110</v>
      </c>
    </row>
    <row r="175" spans="1:11" x14ac:dyDescent="0.35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  <c r="J175">
        <v>10</v>
      </c>
      <c r="K175">
        <f>Table14[[#This Row],[Total Amount]]-Table14[[#This Row],[Discounted Price]]</f>
        <v>290</v>
      </c>
    </row>
    <row r="176" spans="1:11" x14ac:dyDescent="0.35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  <c r="J176">
        <v>10</v>
      </c>
      <c r="K176">
        <f>Table14[[#This Row],[Total Amount]]-Table14[[#This Row],[Discounted Price]]</f>
        <v>90</v>
      </c>
    </row>
    <row r="177" spans="1:11" x14ac:dyDescent="0.35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  <c r="J177">
        <v>10</v>
      </c>
      <c r="K177">
        <f>Table14[[#This Row],[Total Amount]]-Table14[[#This Row],[Discounted Price]]</f>
        <v>90</v>
      </c>
    </row>
    <row r="178" spans="1:11" x14ac:dyDescent="0.35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  <c r="J178">
        <v>10</v>
      </c>
      <c r="K178">
        <f>Table14[[#This Row],[Total Amount]]-Table14[[#This Row],[Discounted Price]]</f>
        <v>90</v>
      </c>
    </row>
    <row r="179" spans="1:11" x14ac:dyDescent="0.35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  <c r="J179">
        <v>10</v>
      </c>
      <c r="K179">
        <f>Table14[[#This Row],[Total Amount]]-Table14[[#This Row],[Discounted Price]]</f>
        <v>50</v>
      </c>
    </row>
    <row r="180" spans="1:11" x14ac:dyDescent="0.35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  <c r="J180">
        <v>10</v>
      </c>
      <c r="K180">
        <f>Table14[[#This Row],[Total Amount]]-Table14[[#This Row],[Discounted Price]]</f>
        <v>290</v>
      </c>
    </row>
    <row r="181" spans="1:11" x14ac:dyDescent="0.35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  <c r="J181">
        <v>10</v>
      </c>
      <c r="K181">
        <f>Table14[[#This Row],[Total Amount]]-Table14[[#This Row],[Discounted Price]]</f>
        <v>890</v>
      </c>
    </row>
    <row r="182" spans="1:11" x14ac:dyDescent="0.35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  <c r="J182">
        <v>10</v>
      </c>
      <c r="K182">
        <f>Table14[[#This Row],[Total Amount]]-Table14[[#This Row],[Discounted Price]]</f>
        <v>1190</v>
      </c>
    </row>
    <row r="183" spans="1:11" x14ac:dyDescent="0.35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  <c r="J183">
        <v>10</v>
      </c>
      <c r="K183">
        <f>Table14[[#This Row],[Total Amount]]-Table14[[#This Row],[Discounted Price]]</f>
        <v>110</v>
      </c>
    </row>
    <row r="184" spans="1:11" x14ac:dyDescent="0.35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  <c r="J184">
        <v>10</v>
      </c>
      <c r="K184">
        <f>Table14[[#This Row],[Total Amount]]-Table14[[#This Row],[Discounted Price]]</f>
        <v>890</v>
      </c>
    </row>
    <row r="185" spans="1:11" x14ac:dyDescent="0.35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  <c r="J185">
        <v>10</v>
      </c>
      <c r="K185">
        <f>Table14[[#This Row],[Total Amount]]-Table14[[#This Row],[Discounted Price]]</f>
        <v>190</v>
      </c>
    </row>
    <row r="186" spans="1:11" x14ac:dyDescent="0.35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  <c r="J186">
        <v>10</v>
      </c>
      <c r="K186">
        <f>Table14[[#This Row],[Total Amount]]-Table14[[#This Row],[Discounted Price]]</f>
        <v>15</v>
      </c>
    </row>
    <row r="187" spans="1:11" x14ac:dyDescent="0.35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  <c r="J187">
        <v>10</v>
      </c>
      <c r="K187">
        <f>Table14[[#This Row],[Total Amount]]-Table14[[#This Row],[Discounted Price]]</f>
        <v>190</v>
      </c>
    </row>
    <row r="188" spans="1:11" x14ac:dyDescent="0.35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  <c r="J188">
        <v>10</v>
      </c>
      <c r="K188">
        <f>Table14[[#This Row],[Total Amount]]-Table14[[#This Row],[Discounted Price]]</f>
        <v>90</v>
      </c>
    </row>
    <row r="189" spans="1:11" x14ac:dyDescent="0.35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  <c r="J189">
        <v>10</v>
      </c>
      <c r="K189">
        <f>Table14[[#This Row],[Total Amount]]-Table14[[#This Row],[Discounted Price]]</f>
        <v>65</v>
      </c>
    </row>
    <row r="190" spans="1:11" x14ac:dyDescent="0.35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  <c r="J190">
        <v>10</v>
      </c>
      <c r="K190">
        <f>Table14[[#This Row],[Total Amount]]-Table14[[#This Row],[Discounted Price]]</f>
        <v>40</v>
      </c>
    </row>
    <row r="191" spans="1:11" x14ac:dyDescent="0.35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  <c r="J191">
        <v>10</v>
      </c>
      <c r="K191">
        <f>Table14[[#This Row],[Total Amount]]-Table14[[#This Row],[Discounted Price]]</f>
        <v>80</v>
      </c>
    </row>
    <row r="192" spans="1:11" x14ac:dyDescent="0.35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  <c r="J192">
        <v>10</v>
      </c>
      <c r="K192">
        <f>Table14[[#This Row],[Total Amount]]-Table14[[#This Row],[Discounted Price]]</f>
        <v>15</v>
      </c>
    </row>
    <row r="193" spans="1:11" x14ac:dyDescent="0.35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  <c r="J193">
        <v>10</v>
      </c>
      <c r="K193">
        <f>Table14[[#This Row],[Total Amount]]-Table14[[#This Row],[Discounted Price]]</f>
        <v>90</v>
      </c>
    </row>
    <row r="194" spans="1:11" x14ac:dyDescent="0.35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  <c r="J194">
        <v>10</v>
      </c>
      <c r="K194">
        <f>Table14[[#This Row],[Total Amount]]-Table14[[#This Row],[Discounted Price]]</f>
        <v>1490</v>
      </c>
    </row>
    <row r="195" spans="1:11" x14ac:dyDescent="0.35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  <c r="J195">
        <v>10</v>
      </c>
      <c r="K195">
        <f>Table14[[#This Row],[Total Amount]]-Table14[[#This Row],[Discounted Price]]</f>
        <v>190</v>
      </c>
    </row>
    <row r="196" spans="1:11" x14ac:dyDescent="0.35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  <c r="J196">
        <v>10</v>
      </c>
      <c r="K196">
        <f>Table14[[#This Row],[Total Amount]]-Table14[[#This Row],[Discounted Price]]</f>
        <v>20</v>
      </c>
    </row>
    <row r="197" spans="1:11" x14ac:dyDescent="0.35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  <c r="J197">
        <v>10</v>
      </c>
      <c r="K197">
        <f>Table14[[#This Row],[Total Amount]]-Table14[[#This Row],[Discounted Price]]</f>
        <v>890</v>
      </c>
    </row>
    <row r="198" spans="1:11" x14ac:dyDescent="0.35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  <c r="J198">
        <v>10</v>
      </c>
      <c r="K198">
        <f>Table14[[#This Row],[Total Amount]]-Table14[[#This Row],[Discounted Price]]</f>
        <v>190</v>
      </c>
    </row>
    <row r="199" spans="1:11" x14ac:dyDescent="0.35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  <c r="J199">
        <v>10</v>
      </c>
      <c r="K199">
        <f>Table14[[#This Row],[Total Amount]]-Table14[[#This Row],[Discounted Price]]</f>
        <v>890</v>
      </c>
    </row>
    <row r="200" spans="1:11" x14ac:dyDescent="0.35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  <c r="J200">
        <v>10</v>
      </c>
      <c r="K200">
        <f>Table14[[#This Row],[Total Amount]]-Table14[[#This Row],[Discounted Price]]</f>
        <v>1490</v>
      </c>
    </row>
    <row r="201" spans="1:11" x14ac:dyDescent="0.35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  <c r="J201">
        <v>10</v>
      </c>
      <c r="K201">
        <f>Table14[[#This Row],[Total Amount]]-Table14[[#This Row],[Discounted Price]]</f>
        <v>140</v>
      </c>
    </row>
    <row r="202" spans="1:11" x14ac:dyDescent="0.35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  <c r="J202">
        <v>10</v>
      </c>
      <c r="K202">
        <f>Table14[[#This Row],[Total Amount]]-Table14[[#This Row],[Discounted Price]]</f>
        <v>15</v>
      </c>
    </row>
    <row r="203" spans="1:11" x14ac:dyDescent="0.35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  <c r="J203">
        <v>10</v>
      </c>
      <c r="K203">
        <f>Table14[[#This Row],[Total Amount]]-Table14[[#This Row],[Discounted Price]]</f>
        <v>1190</v>
      </c>
    </row>
    <row r="204" spans="1:11" x14ac:dyDescent="0.35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  <c r="J204">
        <v>10</v>
      </c>
      <c r="K204">
        <f>Table14[[#This Row],[Total Amount]]-Table14[[#This Row],[Discounted Price]]</f>
        <v>990</v>
      </c>
    </row>
    <row r="205" spans="1:11" x14ac:dyDescent="0.35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  <c r="J205">
        <v>10</v>
      </c>
      <c r="K205">
        <f>Table14[[#This Row],[Total Amount]]-Table14[[#This Row],[Discounted Price]]</f>
        <v>15</v>
      </c>
    </row>
    <row r="206" spans="1:11" x14ac:dyDescent="0.35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  <c r="J206">
        <v>10</v>
      </c>
      <c r="K206">
        <f>Table14[[#This Row],[Total Amount]]-Table14[[#This Row],[Discounted Price]]</f>
        <v>15</v>
      </c>
    </row>
    <row r="207" spans="1:11" x14ac:dyDescent="0.35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  <c r="J207">
        <v>10</v>
      </c>
      <c r="K207">
        <f>Table14[[#This Row],[Total Amount]]-Table14[[#This Row],[Discounted Price]]</f>
        <v>15</v>
      </c>
    </row>
    <row r="208" spans="1:11" x14ac:dyDescent="0.35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  <c r="J208">
        <v>10</v>
      </c>
      <c r="K208">
        <f>Table14[[#This Row],[Total Amount]]-Table14[[#This Row],[Discounted Price]]</f>
        <v>40</v>
      </c>
    </row>
    <row r="209" spans="1:11" x14ac:dyDescent="0.35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  <c r="J209">
        <v>10</v>
      </c>
      <c r="K209">
        <f>Table14[[#This Row],[Total Amount]]-Table14[[#This Row],[Discounted Price]]</f>
        <v>190</v>
      </c>
    </row>
    <row r="210" spans="1:11" x14ac:dyDescent="0.35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  <c r="J210">
        <v>10</v>
      </c>
      <c r="K210">
        <f>Table14[[#This Row],[Total Amount]]-Table14[[#This Row],[Discounted Price]]</f>
        <v>190</v>
      </c>
    </row>
    <row r="211" spans="1:11" x14ac:dyDescent="0.35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  <c r="J211">
        <v>10</v>
      </c>
      <c r="K211">
        <f>Table14[[#This Row],[Total Amount]]-Table14[[#This Row],[Discounted Price]]</f>
        <v>190</v>
      </c>
    </row>
    <row r="212" spans="1:11" x14ac:dyDescent="0.35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  <c r="J212">
        <v>10</v>
      </c>
      <c r="K212">
        <f>Table14[[#This Row],[Total Amount]]-Table14[[#This Row],[Discounted Price]]</f>
        <v>1490</v>
      </c>
    </row>
    <row r="213" spans="1:11" x14ac:dyDescent="0.35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  <c r="J213">
        <v>10</v>
      </c>
      <c r="K213">
        <f>Table14[[#This Row],[Total Amount]]-Table14[[#This Row],[Discounted Price]]</f>
        <v>1490</v>
      </c>
    </row>
    <row r="214" spans="1:11" x14ac:dyDescent="0.35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  <c r="J214">
        <v>10</v>
      </c>
      <c r="K214">
        <f>Table14[[#This Row],[Total Amount]]-Table14[[#This Row],[Discounted Price]]</f>
        <v>1490</v>
      </c>
    </row>
    <row r="215" spans="1:11" x14ac:dyDescent="0.35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  <c r="J215">
        <v>10</v>
      </c>
      <c r="K215">
        <f>Table14[[#This Row],[Total Amount]]-Table14[[#This Row],[Discounted Price]]</f>
        <v>50</v>
      </c>
    </row>
    <row r="216" spans="1:11" x14ac:dyDescent="0.35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  <c r="J216">
        <v>10</v>
      </c>
      <c r="K216">
        <f>Table14[[#This Row],[Total Amount]]-Table14[[#This Row],[Discounted Price]]</f>
        <v>1490</v>
      </c>
    </row>
    <row r="217" spans="1:11" x14ac:dyDescent="0.35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  <c r="J217">
        <v>10</v>
      </c>
      <c r="K217">
        <f>Table14[[#This Row],[Total Amount]]-Table14[[#This Row],[Discounted Price]]</f>
        <v>90</v>
      </c>
    </row>
    <row r="218" spans="1:11" x14ac:dyDescent="0.35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  <c r="J218">
        <v>10</v>
      </c>
      <c r="K218">
        <f>Table14[[#This Row],[Total Amount]]-Table14[[#This Row],[Discounted Price]]</f>
        <v>190</v>
      </c>
    </row>
    <row r="219" spans="1:11" x14ac:dyDescent="0.35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  <c r="J219">
        <v>10</v>
      </c>
      <c r="K219">
        <f>Table14[[#This Row],[Total Amount]]-Table14[[#This Row],[Discounted Price]]</f>
        <v>80</v>
      </c>
    </row>
    <row r="220" spans="1:11" x14ac:dyDescent="0.35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  <c r="J220">
        <v>10</v>
      </c>
      <c r="K220">
        <f>Table14[[#This Row],[Total Amount]]-Table14[[#This Row],[Discounted Price]]</f>
        <v>80</v>
      </c>
    </row>
    <row r="221" spans="1:11" x14ac:dyDescent="0.35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  <c r="J221">
        <v>10</v>
      </c>
      <c r="K221">
        <f>Table14[[#This Row],[Total Amount]]-Table14[[#This Row],[Discounted Price]]</f>
        <v>490</v>
      </c>
    </row>
    <row r="222" spans="1:11" x14ac:dyDescent="0.35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  <c r="J222">
        <v>10</v>
      </c>
      <c r="K222">
        <f>Table14[[#This Row],[Total Amount]]-Table14[[#This Row],[Discounted Price]]</f>
        <v>590</v>
      </c>
    </row>
    <row r="223" spans="1:11" x14ac:dyDescent="0.35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  <c r="J223">
        <v>10</v>
      </c>
      <c r="K223">
        <f>Table14[[#This Row],[Total Amount]]-Table14[[#This Row],[Discounted Price]]</f>
        <v>110</v>
      </c>
    </row>
    <row r="224" spans="1:11" x14ac:dyDescent="0.35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  <c r="J224">
        <v>10</v>
      </c>
      <c r="K224">
        <f>Table14[[#This Row],[Total Amount]]-Table14[[#This Row],[Discounted Price]]</f>
        <v>15</v>
      </c>
    </row>
    <row r="225" spans="1:11" x14ac:dyDescent="0.35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  <c r="J225">
        <v>10</v>
      </c>
      <c r="K225">
        <f>Table14[[#This Row],[Total Amount]]-Table14[[#This Row],[Discounted Price]]</f>
        <v>40</v>
      </c>
    </row>
    <row r="226" spans="1:11" x14ac:dyDescent="0.35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  <c r="J226">
        <v>10</v>
      </c>
      <c r="K226">
        <f>Table14[[#This Row],[Total Amount]]-Table14[[#This Row],[Discounted Price]]</f>
        <v>90</v>
      </c>
    </row>
    <row r="227" spans="1:11" x14ac:dyDescent="0.35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  <c r="J227">
        <v>10</v>
      </c>
      <c r="K227">
        <f>Table14[[#This Row],[Total Amount]]-Table14[[#This Row],[Discounted Price]]</f>
        <v>40</v>
      </c>
    </row>
    <row r="228" spans="1:11" x14ac:dyDescent="0.35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  <c r="J228">
        <v>10</v>
      </c>
      <c r="K228">
        <f>Table14[[#This Row],[Total Amount]]-Table14[[#This Row],[Discounted Price]]</f>
        <v>90</v>
      </c>
    </row>
    <row r="229" spans="1:11" x14ac:dyDescent="0.35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  <c r="J229">
        <v>10</v>
      </c>
      <c r="K229">
        <f>Table14[[#This Row],[Total Amount]]-Table14[[#This Row],[Discounted Price]]</f>
        <v>50</v>
      </c>
    </row>
    <row r="230" spans="1:11" x14ac:dyDescent="0.35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  <c r="J230">
        <v>10</v>
      </c>
      <c r="K230">
        <f>Table14[[#This Row],[Total Amount]]-Table14[[#This Row],[Discounted Price]]</f>
        <v>80</v>
      </c>
    </row>
    <row r="231" spans="1:11" x14ac:dyDescent="0.35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  <c r="J231">
        <v>10</v>
      </c>
      <c r="K231">
        <f>Table14[[#This Row],[Total Amount]]-Table14[[#This Row],[Discounted Price]]</f>
        <v>15</v>
      </c>
    </row>
    <row r="232" spans="1:11" x14ac:dyDescent="0.35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  <c r="J232">
        <v>10</v>
      </c>
      <c r="K232">
        <f>Table14[[#This Row],[Total Amount]]-Table14[[#This Row],[Discounted Price]]</f>
        <v>140</v>
      </c>
    </row>
    <row r="233" spans="1:11" x14ac:dyDescent="0.35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  <c r="J233">
        <v>10</v>
      </c>
      <c r="K233">
        <f>Table14[[#This Row],[Total Amount]]-Table14[[#This Row],[Discounted Price]]</f>
        <v>15</v>
      </c>
    </row>
    <row r="234" spans="1:11" x14ac:dyDescent="0.35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  <c r="J234">
        <v>10</v>
      </c>
      <c r="K234">
        <f>Table14[[#This Row],[Total Amount]]-Table14[[#This Row],[Discounted Price]]</f>
        <v>590</v>
      </c>
    </row>
    <row r="235" spans="1:11" x14ac:dyDescent="0.35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  <c r="J235">
        <v>10</v>
      </c>
      <c r="K235">
        <f>Table14[[#This Row],[Total Amount]]-Table14[[#This Row],[Discounted Price]]</f>
        <v>40</v>
      </c>
    </row>
    <row r="236" spans="1:11" x14ac:dyDescent="0.35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  <c r="J236">
        <v>10</v>
      </c>
      <c r="K236">
        <f>Table14[[#This Row],[Total Amount]]-Table14[[#This Row],[Discounted Price]]</f>
        <v>990</v>
      </c>
    </row>
    <row r="237" spans="1:11" x14ac:dyDescent="0.35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  <c r="J237">
        <v>10</v>
      </c>
      <c r="K237">
        <f>Table14[[#This Row],[Total Amount]]-Table14[[#This Row],[Discounted Price]]</f>
        <v>15</v>
      </c>
    </row>
    <row r="238" spans="1:11" x14ac:dyDescent="0.35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  <c r="J238">
        <v>10</v>
      </c>
      <c r="K238">
        <f>Table14[[#This Row],[Total Amount]]-Table14[[#This Row],[Discounted Price]]</f>
        <v>990</v>
      </c>
    </row>
    <row r="239" spans="1:11" x14ac:dyDescent="0.35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  <c r="J239">
        <v>10</v>
      </c>
      <c r="K239">
        <f>Table14[[#This Row],[Total Amount]]-Table14[[#This Row],[Discounted Price]]</f>
        <v>490</v>
      </c>
    </row>
    <row r="240" spans="1:11" x14ac:dyDescent="0.35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  <c r="J240">
        <v>10</v>
      </c>
      <c r="K240">
        <f>Table14[[#This Row],[Total Amount]]-Table14[[#This Row],[Discounted Price]]</f>
        <v>1490</v>
      </c>
    </row>
    <row r="241" spans="1:11" x14ac:dyDescent="0.35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  <c r="J241">
        <v>10</v>
      </c>
      <c r="K241">
        <f>Table14[[#This Row],[Total Amount]]-Table14[[#This Row],[Discounted Price]]</f>
        <v>290</v>
      </c>
    </row>
    <row r="242" spans="1:11" x14ac:dyDescent="0.35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  <c r="J242">
        <v>10</v>
      </c>
      <c r="K242">
        <f>Table14[[#This Row],[Total Amount]]-Table14[[#This Row],[Discounted Price]]</f>
        <v>65</v>
      </c>
    </row>
    <row r="243" spans="1:11" x14ac:dyDescent="0.35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  <c r="J243">
        <v>10</v>
      </c>
      <c r="K243">
        <f>Table14[[#This Row],[Total Amount]]-Table14[[#This Row],[Discounted Price]]</f>
        <v>15</v>
      </c>
    </row>
    <row r="244" spans="1:11" x14ac:dyDescent="0.35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  <c r="J244">
        <v>10</v>
      </c>
      <c r="K244">
        <f>Table14[[#This Row],[Total Amount]]-Table14[[#This Row],[Discounted Price]]</f>
        <v>890</v>
      </c>
    </row>
    <row r="245" spans="1:11" x14ac:dyDescent="0.35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  <c r="J245">
        <v>10</v>
      </c>
      <c r="K245">
        <f>Table14[[#This Row],[Total Amount]]-Table14[[#This Row],[Discounted Price]]</f>
        <v>90</v>
      </c>
    </row>
    <row r="246" spans="1:11" x14ac:dyDescent="0.35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  <c r="J246">
        <v>10</v>
      </c>
      <c r="K246">
        <f>Table14[[#This Row],[Total Amount]]-Table14[[#This Row],[Discounted Price]]</f>
        <v>80</v>
      </c>
    </row>
    <row r="247" spans="1:11" x14ac:dyDescent="0.35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  <c r="J247">
        <v>10</v>
      </c>
      <c r="K247">
        <f>Table14[[#This Row],[Total Amount]]-Table14[[#This Row],[Discounted Price]]</f>
        <v>40</v>
      </c>
    </row>
    <row r="248" spans="1:11" x14ac:dyDescent="0.35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  <c r="J248">
        <v>10</v>
      </c>
      <c r="K248">
        <f>Table14[[#This Row],[Total Amount]]-Table14[[#This Row],[Discounted Price]]</f>
        <v>50</v>
      </c>
    </row>
    <row r="249" spans="1:11" x14ac:dyDescent="0.35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  <c r="J249">
        <v>10</v>
      </c>
      <c r="K249">
        <f>Table14[[#This Row],[Total Amount]]-Table14[[#This Row],[Discounted Price]]</f>
        <v>890</v>
      </c>
    </row>
    <row r="250" spans="1:11" x14ac:dyDescent="0.35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  <c r="J250">
        <v>10</v>
      </c>
      <c r="K250">
        <f>Table14[[#This Row],[Total Amount]]-Table14[[#This Row],[Discounted Price]]</f>
        <v>40</v>
      </c>
    </row>
    <row r="251" spans="1:11" x14ac:dyDescent="0.35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  <c r="J251">
        <v>10</v>
      </c>
      <c r="K251">
        <f>Table14[[#This Row],[Total Amount]]-Table14[[#This Row],[Discounted Price]]</f>
        <v>40</v>
      </c>
    </row>
    <row r="252" spans="1:11" x14ac:dyDescent="0.35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  <c r="J252">
        <v>10</v>
      </c>
      <c r="K252">
        <f>Table14[[#This Row],[Total Amount]]-Table14[[#This Row],[Discounted Price]]</f>
        <v>190</v>
      </c>
    </row>
    <row r="253" spans="1:11" x14ac:dyDescent="0.35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  <c r="J253">
        <v>10</v>
      </c>
      <c r="K253">
        <f>Table14[[#This Row],[Total Amount]]-Table14[[#This Row],[Discounted Price]]</f>
        <v>290</v>
      </c>
    </row>
    <row r="254" spans="1:11" x14ac:dyDescent="0.35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  <c r="J254">
        <v>10</v>
      </c>
      <c r="K254">
        <f>Table14[[#This Row],[Total Amount]]-Table14[[#This Row],[Discounted Price]]</f>
        <v>1990</v>
      </c>
    </row>
    <row r="255" spans="1:11" x14ac:dyDescent="0.35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  <c r="J255">
        <v>10</v>
      </c>
      <c r="K255">
        <f>Table14[[#This Row],[Total Amount]]-Table14[[#This Row],[Discounted Price]]</f>
        <v>490</v>
      </c>
    </row>
    <row r="256" spans="1:11" x14ac:dyDescent="0.35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  <c r="J256">
        <v>10</v>
      </c>
      <c r="K256">
        <f>Table14[[#This Row],[Total Amount]]-Table14[[#This Row],[Discounted Price]]</f>
        <v>20</v>
      </c>
    </row>
    <row r="257" spans="1:11" x14ac:dyDescent="0.35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  <c r="J257">
        <v>10</v>
      </c>
      <c r="K257">
        <f>Table14[[#This Row],[Total Amount]]-Table14[[#This Row],[Discounted Price]]</f>
        <v>990</v>
      </c>
    </row>
    <row r="258" spans="1:11" x14ac:dyDescent="0.35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  <c r="J258">
        <v>10</v>
      </c>
      <c r="K258">
        <f>Table14[[#This Row],[Total Amount]]-Table14[[#This Row],[Discounted Price]]</f>
        <v>1990</v>
      </c>
    </row>
    <row r="259" spans="1:11" x14ac:dyDescent="0.35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  <c r="J259">
        <v>10</v>
      </c>
      <c r="K259">
        <f>Table14[[#This Row],[Total Amount]]-Table14[[#This Row],[Discounted Price]]</f>
        <v>40</v>
      </c>
    </row>
    <row r="260" spans="1:11" x14ac:dyDescent="0.35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  <c r="J260">
        <v>10</v>
      </c>
      <c r="K260">
        <f>Table14[[#This Row],[Total Amount]]-Table14[[#This Row],[Discounted Price]]</f>
        <v>190</v>
      </c>
    </row>
    <row r="261" spans="1:11" x14ac:dyDescent="0.35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  <c r="J261">
        <v>10</v>
      </c>
      <c r="K261">
        <f>Table14[[#This Row],[Total Amount]]-Table14[[#This Row],[Discounted Price]]</f>
        <v>50</v>
      </c>
    </row>
    <row r="262" spans="1:11" x14ac:dyDescent="0.35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  <c r="J262">
        <v>10</v>
      </c>
      <c r="K262">
        <f>Table14[[#This Row],[Total Amount]]-Table14[[#This Row],[Discounted Price]]</f>
        <v>40</v>
      </c>
    </row>
    <row r="263" spans="1:11" x14ac:dyDescent="0.35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  <c r="J263">
        <v>10</v>
      </c>
      <c r="K263">
        <f>Table14[[#This Row],[Total Amount]]-Table14[[#This Row],[Discounted Price]]</f>
        <v>110</v>
      </c>
    </row>
    <row r="264" spans="1:11" x14ac:dyDescent="0.35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  <c r="J264">
        <v>10</v>
      </c>
      <c r="K264">
        <f>Table14[[#This Row],[Total Amount]]-Table14[[#This Row],[Discounted Price]]</f>
        <v>50</v>
      </c>
    </row>
    <row r="265" spans="1:11" x14ac:dyDescent="0.35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  <c r="J265">
        <v>10</v>
      </c>
      <c r="K265">
        <f>Table14[[#This Row],[Total Amount]]-Table14[[#This Row],[Discounted Price]]</f>
        <v>890</v>
      </c>
    </row>
    <row r="266" spans="1:11" x14ac:dyDescent="0.35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  <c r="J266">
        <v>10</v>
      </c>
      <c r="K266">
        <f>Table14[[#This Row],[Total Amount]]-Table14[[#This Row],[Discounted Price]]</f>
        <v>890</v>
      </c>
    </row>
    <row r="267" spans="1:11" x14ac:dyDescent="0.35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  <c r="J267">
        <v>10</v>
      </c>
      <c r="K267">
        <f>Table14[[#This Row],[Total Amount]]-Table14[[#This Row],[Discounted Price]]</f>
        <v>50</v>
      </c>
    </row>
    <row r="268" spans="1:11" x14ac:dyDescent="0.35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  <c r="J268">
        <v>10</v>
      </c>
      <c r="K268">
        <f>Table14[[#This Row],[Total Amount]]-Table14[[#This Row],[Discounted Price]]</f>
        <v>80</v>
      </c>
    </row>
    <row r="269" spans="1:11" x14ac:dyDescent="0.35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  <c r="J269">
        <v>10</v>
      </c>
      <c r="K269">
        <f>Table14[[#This Row],[Total Amount]]-Table14[[#This Row],[Discounted Price]]</f>
        <v>20</v>
      </c>
    </row>
    <row r="270" spans="1:11" x14ac:dyDescent="0.35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  <c r="J270">
        <v>10</v>
      </c>
      <c r="K270">
        <f>Table14[[#This Row],[Total Amount]]-Table14[[#This Row],[Discounted Price]]</f>
        <v>1990</v>
      </c>
    </row>
    <row r="271" spans="1:11" x14ac:dyDescent="0.35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  <c r="J271">
        <v>10</v>
      </c>
      <c r="K271">
        <f>Table14[[#This Row],[Total Amount]]-Table14[[#This Row],[Discounted Price]]</f>
        <v>290</v>
      </c>
    </row>
    <row r="272" spans="1:11" x14ac:dyDescent="0.35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  <c r="J272">
        <v>10</v>
      </c>
      <c r="K272">
        <f>Table14[[#This Row],[Total Amount]]-Table14[[#This Row],[Discounted Price]]</f>
        <v>110</v>
      </c>
    </row>
    <row r="273" spans="1:11" x14ac:dyDescent="0.35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  <c r="J273">
        <v>10</v>
      </c>
      <c r="K273">
        <f>Table14[[#This Row],[Total Amount]]-Table14[[#This Row],[Discounted Price]]</f>
        <v>90</v>
      </c>
    </row>
    <row r="274" spans="1:11" x14ac:dyDescent="0.35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  <c r="J274">
        <v>10</v>
      </c>
      <c r="K274">
        <f>Table14[[#This Row],[Total Amount]]-Table14[[#This Row],[Discounted Price]]</f>
        <v>40</v>
      </c>
    </row>
    <row r="275" spans="1:11" x14ac:dyDescent="0.35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  <c r="J275">
        <v>10</v>
      </c>
      <c r="K275">
        <f>Table14[[#This Row],[Total Amount]]-Table14[[#This Row],[Discounted Price]]</f>
        <v>990</v>
      </c>
    </row>
    <row r="276" spans="1:11" x14ac:dyDescent="0.35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  <c r="J276">
        <v>10</v>
      </c>
      <c r="K276">
        <f>Table14[[#This Row],[Total Amount]]-Table14[[#This Row],[Discounted Price]]</f>
        <v>990</v>
      </c>
    </row>
    <row r="277" spans="1:11" x14ac:dyDescent="0.35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  <c r="J277">
        <v>10</v>
      </c>
      <c r="K277">
        <f>Table14[[#This Row],[Total Amount]]-Table14[[#This Row],[Discounted Price]]</f>
        <v>90</v>
      </c>
    </row>
    <row r="278" spans="1:11" x14ac:dyDescent="0.35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  <c r="J278">
        <v>10</v>
      </c>
      <c r="K278">
        <f>Table14[[#This Row],[Total Amount]]-Table14[[#This Row],[Discounted Price]]</f>
        <v>90</v>
      </c>
    </row>
    <row r="279" spans="1:11" x14ac:dyDescent="0.35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  <c r="J279">
        <v>10</v>
      </c>
      <c r="K279">
        <f>Table14[[#This Row],[Total Amount]]-Table14[[#This Row],[Discounted Price]]</f>
        <v>90</v>
      </c>
    </row>
    <row r="280" spans="1:11" x14ac:dyDescent="0.35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  <c r="J280">
        <v>10</v>
      </c>
      <c r="K280">
        <f>Table14[[#This Row],[Total Amount]]-Table14[[#This Row],[Discounted Price]]</f>
        <v>490</v>
      </c>
    </row>
    <row r="281" spans="1:11" x14ac:dyDescent="0.35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  <c r="J281">
        <v>10</v>
      </c>
      <c r="K281">
        <f>Table14[[#This Row],[Total Amount]]-Table14[[#This Row],[Discounted Price]]</f>
        <v>1490</v>
      </c>
    </row>
    <row r="282" spans="1:11" x14ac:dyDescent="0.35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  <c r="J282">
        <v>10</v>
      </c>
      <c r="K282">
        <f>Table14[[#This Row],[Total Amount]]-Table14[[#This Row],[Discounted Price]]</f>
        <v>1990</v>
      </c>
    </row>
    <row r="283" spans="1:11" x14ac:dyDescent="0.35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  <c r="J283">
        <v>10</v>
      </c>
      <c r="K283">
        <f>Table14[[#This Row],[Total Amount]]-Table14[[#This Row],[Discounted Price]]</f>
        <v>190</v>
      </c>
    </row>
    <row r="284" spans="1:11" x14ac:dyDescent="0.35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  <c r="J284">
        <v>10</v>
      </c>
      <c r="K284">
        <f>Table14[[#This Row],[Total Amount]]-Table14[[#This Row],[Discounted Price]]</f>
        <v>490</v>
      </c>
    </row>
    <row r="285" spans="1:11" x14ac:dyDescent="0.35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  <c r="J285">
        <v>10</v>
      </c>
      <c r="K285">
        <f>Table14[[#This Row],[Total Amount]]-Table14[[#This Row],[Discounted Price]]</f>
        <v>190</v>
      </c>
    </row>
    <row r="286" spans="1:11" x14ac:dyDescent="0.35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  <c r="J286">
        <v>10</v>
      </c>
      <c r="K286">
        <f>Table14[[#This Row],[Total Amount]]-Table14[[#This Row],[Discounted Price]]</f>
        <v>15</v>
      </c>
    </row>
    <row r="287" spans="1:11" x14ac:dyDescent="0.35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  <c r="J287">
        <v>10</v>
      </c>
      <c r="K287">
        <f>Table14[[#This Row],[Total Amount]]-Table14[[#This Row],[Discounted Price]]</f>
        <v>40</v>
      </c>
    </row>
    <row r="288" spans="1:11" x14ac:dyDescent="0.35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  <c r="J288">
        <v>10</v>
      </c>
      <c r="K288">
        <f>Table14[[#This Row],[Total Amount]]-Table14[[#This Row],[Discounted Price]]</f>
        <v>90</v>
      </c>
    </row>
    <row r="289" spans="1:11" x14ac:dyDescent="0.35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  <c r="J289">
        <v>10</v>
      </c>
      <c r="K289">
        <f>Table14[[#This Row],[Total Amount]]-Table14[[#This Row],[Discounted Price]]</f>
        <v>110</v>
      </c>
    </row>
    <row r="290" spans="1:11" x14ac:dyDescent="0.35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  <c r="J290">
        <v>10</v>
      </c>
      <c r="K290">
        <f>Table14[[#This Row],[Total Amount]]-Table14[[#This Row],[Discounted Price]]</f>
        <v>50</v>
      </c>
    </row>
    <row r="291" spans="1:11" x14ac:dyDescent="0.35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  <c r="J291">
        <v>10</v>
      </c>
      <c r="K291">
        <f>Table14[[#This Row],[Total Amount]]-Table14[[#This Row],[Discounted Price]]</f>
        <v>590</v>
      </c>
    </row>
    <row r="292" spans="1:11" x14ac:dyDescent="0.35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  <c r="J292">
        <v>10</v>
      </c>
      <c r="K292">
        <f>Table14[[#This Row],[Total Amount]]-Table14[[#This Row],[Discounted Price]]</f>
        <v>590</v>
      </c>
    </row>
    <row r="293" spans="1:11" x14ac:dyDescent="0.35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  <c r="J293">
        <v>10</v>
      </c>
      <c r="K293">
        <f>Table14[[#This Row],[Total Amount]]-Table14[[#This Row],[Discounted Price]]</f>
        <v>1190</v>
      </c>
    </row>
    <row r="294" spans="1:11" x14ac:dyDescent="0.35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  <c r="J294">
        <v>10</v>
      </c>
      <c r="K294">
        <f>Table14[[#This Row],[Total Amount]]-Table14[[#This Row],[Discounted Price]]</f>
        <v>80</v>
      </c>
    </row>
    <row r="295" spans="1:11" x14ac:dyDescent="0.35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  <c r="J295">
        <v>10</v>
      </c>
      <c r="K295">
        <f>Table14[[#This Row],[Total Amount]]-Table14[[#This Row],[Discounted Price]]</f>
        <v>80</v>
      </c>
    </row>
    <row r="296" spans="1:11" x14ac:dyDescent="0.35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  <c r="J296">
        <v>10</v>
      </c>
      <c r="K296">
        <f>Table14[[#This Row],[Total Amount]]-Table14[[#This Row],[Discounted Price]]</f>
        <v>890</v>
      </c>
    </row>
    <row r="297" spans="1:11" x14ac:dyDescent="0.35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  <c r="J297">
        <v>10</v>
      </c>
      <c r="K297">
        <f>Table14[[#This Row],[Total Amount]]-Table14[[#This Row],[Discounted Price]]</f>
        <v>1190</v>
      </c>
    </row>
    <row r="298" spans="1:11" x14ac:dyDescent="0.35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  <c r="J298">
        <v>10</v>
      </c>
      <c r="K298">
        <f>Table14[[#This Row],[Total Amount]]-Table14[[#This Row],[Discounted Price]]</f>
        <v>990</v>
      </c>
    </row>
    <row r="299" spans="1:11" x14ac:dyDescent="0.35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  <c r="J299">
        <v>10</v>
      </c>
      <c r="K299">
        <f>Table14[[#This Row],[Total Amount]]-Table14[[#This Row],[Discounted Price]]</f>
        <v>1190</v>
      </c>
    </row>
    <row r="300" spans="1:11" x14ac:dyDescent="0.35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  <c r="J300">
        <v>10</v>
      </c>
      <c r="K300">
        <f>Table14[[#This Row],[Total Amount]]-Table14[[#This Row],[Discounted Price]]</f>
        <v>990</v>
      </c>
    </row>
    <row r="301" spans="1:11" x14ac:dyDescent="0.35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  <c r="J301">
        <v>10</v>
      </c>
      <c r="K301">
        <f>Table14[[#This Row],[Total Amount]]-Table14[[#This Row],[Discounted Price]]</f>
        <v>190</v>
      </c>
    </row>
    <row r="302" spans="1:11" x14ac:dyDescent="0.35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  <c r="J302">
        <v>10</v>
      </c>
      <c r="K302">
        <f>Table14[[#This Row],[Total Amount]]-Table14[[#This Row],[Discounted Price]]</f>
        <v>110</v>
      </c>
    </row>
    <row r="303" spans="1:11" x14ac:dyDescent="0.35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  <c r="J303">
        <v>10</v>
      </c>
      <c r="K303">
        <f>Table14[[#This Row],[Total Amount]]-Table14[[#This Row],[Discounted Price]]</f>
        <v>590</v>
      </c>
    </row>
    <row r="304" spans="1:11" x14ac:dyDescent="0.35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  <c r="J304">
        <v>10</v>
      </c>
      <c r="K304">
        <f>Table14[[#This Row],[Total Amount]]-Table14[[#This Row],[Discounted Price]]</f>
        <v>80</v>
      </c>
    </row>
    <row r="305" spans="1:11" x14ac:dyDescent="0.35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  <c r="J305">
        <v>10</v>
      </c>
      <c r="K305">
        <f>Table14[[#This Row],[Total Amount]]-Table14[[#This Row],[Discounted Price]]</f>
        <v>50</v>
      </c>
    </row>
    <row r="306" spans="1:11" x14ac:dyDescent="0.35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  <c r="J306">
        <v>10</v>
      </c>
      <c r="K306">
        <f>Table14[[#This Row],[Total Amount]]-Table14[[#This Row],[Discounted Price]]</f>
        <v>20</v>
      </c>
    </row>
    <row r="307" spans="1:11" x14ac:dyDescent="0.35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  <c r="J307">
        <v>10</v>
      </c>
      <c r="K307">
        <f>Table14[[#This Row],[Total Amount]]-Table14[[#This Row],[Discounted Price]]</f>
        <v>40</v>
      </c>
    </row>
    <row r="308" spans="1:11" x14ac:dyDescent="0.35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  <c r="J308">
        <v>10</v>
      </c>
      <c r="K308">
        <f>Table14[[#This Row],[Total Amount]]-Table14[[#This Row],[Discounted Price]]</f>
        <v>40</v>
      </c>
    </row>
    <row r="309" spans="1:11" x14ac:dyDescent="0.35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  <c r="J309">
        <v>10</v>
      </c>
      <c r="K309">
        <f>Table14[[#This Row],[Total Amount]]-Table14[[#This Row],[Discounted Price]]</f>
        <v>1190</v>
      </c>
    </row>
    <row r="310" spans="1:11" x14ac:dyDescent="0.35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  <c r="J310">
        <v>10</v>
      </c>
      <c r="K310">
        <f>Table14[[#This Row],[Total Amount]]-Table14[[#This Row],[Discounted Price]]</f>
        <v>15</v>
      </c>
    </row>
    <row r="311" spans="1:11" x14ac:dyDescent="0.35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  <c r="J311">
        <v>10</v>
      </c>
      <c r="K311">
        <f>Table14[[#This Row],[Total Amount]]-Table14[[#This Row],[Discounted Price]]</f>
        <v>15</v>
      </c>
    </row>
    <row r="312" spans="1:11" x14ac:dyDescent="0.35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  <c r="J312">
        <v>10</v>
      </c>
      <c r="K312">
        <f>Table14[[#This Row],[Total Amount]]-Table14[[#This Row],[Discounted Price]]</f>
        <v>90</v>
      </c>
    </row>
    <row r="313" spans="1:11" x14ac:dyDescent="0.35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  <c r="J313">
        <v>10</v>
      </c>
      <c r="K313">
        <f>Table14[[#This Row],[Total Amount]]-Table14[[#This Row],[Discounted Price]]</f>
        <v>110</v>
      </c>
    </row>
    <row r="314" spans="1:11" x14ac:dyDescent="0.35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  <c r="J314">
        <v>10</v>
      </c>
      <c r="K314">
        <f>Table14[[#This Row],[Total Amount]]-Table14[[#This Row],[Discounted Price]]</f>
        <v>1490</v>
      </c>
    </row>
    <row r="315" spans="1:11" x14ac:dyDescent="0.35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  <c r="J315">
        <v>10</v>
      </c>
      <c r="K315">
        <f>Table14[[#This Row],[Total Amount]]-Table14[[#This Row],[Discounted Price]]</f>
        <v>110</v>
      </c>
    </row>
    <row r="316" spans="1:11" x14ac:dyDescent="0.35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  <c r="J316">
        <v>10</v>
      </c>
      <c r="K316">
        <f>Table14[[#This Row],[Total Amount]]-Table14[[#This Row],[Discounted Price]]</f>
        <v>50</v>
      </c>
    </row>
    <row r="317" spans="1:11" x14ac:dyDescent="0.35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  <c r="J317">
        <v>10</v>
      </c>
      <c r="K317">
        <f>Table14[[#This Row],[Total Amount]]-Table14[[#This Row],[Discounted Price]]</f>
        <v>40</v>
      </c>
    </row>
    <row r="318" spans="1:11" x14ac:dyDescent="0.35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  <c r="J318">
        <v>10</v>
      </c>
      <c r="K318">
        <f>Table14[[#This Row],[Total Amount]]-Table14[[#This Row],[Discounted Price]]</f>
        <v>80</v>
      </c>
    </row>
    <row r="319" spans="1:11" x14ac:dyDescent="0.35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  <c r="J319">
        <v>10</v>
      </c>
      <c r="K319">
        <f>Table14[[#This Row],[Total Amount]]-Table14[[#This Row],[Discounted Price]]</f>
        <v>15</v>
      </c>
    </row>
    <row r="320" spans="1:11" x14ac:dyDescent="0.35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  <c r="J320">
        <v>10</v>
      </c>
      <c r="K320">
        <f>Table14[[#This Row],[Total Amount]]-Table14[[#This Row],[Discounted Price]]</f>
        <v>490</v>
      </c>
    </row>
    <row r="321" spans="1:11" x14ac:dyDescent="0.35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  <c r="J321">
        <v>10</v>
      </c>
      <c r="K321">
        <f>Table14[[#This Row],[Total Amount]]-Table14[[#This Row],[Discounted Price]]</f>
        <v>1190</v>
      </c>
    </row>
    <row r="322" spans="1:11" x14ac:dyDescent="0.35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  <c r="J322">
        <v>10</v>
      </c>
      <c r="K322">
        <f>Table14[[#This Row],[Total Amount]]-Table14[[#This Row],[Discounted Price]]</f>
        <v>40</v>
      </c>
    </row>
    <row r="323" spans="1:11" x14ac:dyDescent="0.35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  <c r="J323">
        <v>10</v>
      </c>
      <c r="K323">
        <f>Table14[[#This Row],[Total Amount]]-Table14[[#This Row],[Discounted Price]]</f>
        <v>490</v>
      </c>
    </row>
    <row r="324" spans="1:11" x14ac:dyDescent="0.35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  <c r="J324">
        <v>10</v>
      </c>
      <c r="K324">
        <f>Table14[[#This Row],[Total Amount]]-Table14[[#This Row],[Discounted Price]]</f>
        <v>890</v>
      </c>
    </row>
    <row r="325" spans="1:11" x14ac:dyDescent="0.35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  <c r="J325">
        <v>10</v>
      </c>
      <c r="K325">
        <f>Table14[[#This Row],[Total Amount]]-Table14[[#This Row],[Discounted Price]]</f>
        <v>140</v>
      </c>
    </row>
    <row r="326" spans="1:11" x14ac:dyDescent="0.35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  <c r="J326">
        <v>10</v>
      </c>
      <c r="K326">
        <f>Table14[[#This Row],[Total Amount]]-Table14[[#This Row],[Discounted Price]]</f>
        <v>40</v>
      </c>
    </row>
    <row r="327" spans="1:11" x14ac:dyDescent="0.35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  <c r="J327">
        <v>10</v>
      </c>
      <c r="K327">
        <f>Table14[[#This Row],[Total Amount]]-Table14[[#This Row],[Discounted Price]]</f>
        <v>65</v>
      </c>
    </row>
    <row r="328" spans="1:11" x14ac:dyDescent="0.35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  <c r="J328">
        <v>10</v>
      </c>
      <c r="K328">
        <f>Table14[[#This Row],[Total Amount]]-Table14[[#This Row],[Discounted Price]]</f>
        <v>140</v>
      </c>
    </row>
    <row r="329" spans="1:11" x14ac:dyDescent="0.35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  <c r="J329">
        <v>10</v>
      </c>
      <c r="K329">
        <f>Table14[[#This Row],[Total Amount]]-Table14[[#This Row],[Discounted Price]]</f>
        <v>90</v>
      </c>
    </row>
    <row r="330" spans="1:11" x14ac:dyDescent="0.35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  <c r="J330">
        <v>10</v>
      </c>
      <c r="K330">
        <f>Table14[[#This Row],[Total Amount]]-Table14[[#This Row],[Discounted Price]]</f>
        <v>90</v>
      </c>
    </row>
    <row r="331" spans="1:11" x14ac:dyDescent="0.35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  <c r="J331">
        <v>10</v>
      </c>
      <c r="K331">
        <f>Table14[[#This Row],[Total Amount]]-Table14[[#This Row],[Discounted Price]]</f>
        <v>190</v>
      </c>
    </row>
    <row r="332" spans="1:11" x14ac:dyDescent="0.35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  <c r="J332">
        <v>10</v>
      </c>
      <c r="K332">
        <f>Table14[[#This Row],[Total Amount]]-Table14[[#This Row],[Discounted Price]]</f>
        <v>80</v>
      </c>
    </row>
    <row r="333" spans="1:11" x14ac:dyDescent="0.35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  <c r="J333">
        <v>10</v>
      </c>
      <c r="K333">
        <f>Table14[[#This Row],[Total Amount]]-Table14[[#This Row],[Discounted Price]]</f>
        <v>1190</v>
      </c>
    </row>
    <row r="334" spans="1:11" x14ac:dyDescent="0.35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  <c r="J334">
        <v>10</v>
      </c>
      <c r="K334">
        <f>Table14[[#This Row],[Total Amount]]-Table14[[#This Row],[Discounted Price]]</f>
        <v>1190</v>
      </c>
    </row>
    <row r="335" spans="1:11" x14ac:dyDescent="0.35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  <c r="J335">
        <v>10</v>
      </c>
      <c r="K335">
        <f>Table14[[#This Row],[Total Amount]]-Table14[[#This Row],[Discounted Price]]</f>
        <v>890</v>
      </c>
    </row>
    <row r="336" spans="1:11" x14ac:dyDescent="0.35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  <c r="J336">
        <v>10</v>
      </c>
      <c r="K336">
        <f>Table14[[#This Row],[Total Amount]]-Table14[[#This Row],[Discounted Price]]</f>
        <v>110</v>
      </c>
    </row>
    <row r="337" spans="1:11" x14ac:dyDescent="0.35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  <c r="J337">
        <v>10</v>
      </c>
      <c r="K337">
        <f>Table14[[#This Row],[Total Amount]]-Table14[[#This Row],[Discounted Price]]</f>
        <v>140</v>
      </c>
    </row>
    <row r="338" spans="1:11" x14ac:dyDescent="0.35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  <c r="J338">
        <v>10</v>
      </c>
      <c r="K338">
        <f>Table14[[#This Row],[Total Amount]]-Table14[[#This Row],[Discounted Price]]</f>
        <v>490</v>
      </c>
    </row>
    <row r="339" spans="1:11" x14ac:dyDescent="0.35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  <c r="J339">
        <v>10</v>
      </c>
      <c r="K339">
        <f>Table14[[#This Row],[Total Amount]]-Table14[[#This Row],[Discounted Price]]</f>
        <v>90</v>
      </c>
    </row>
    <row r="340" spans="1:11" x14ac:dyDescent="0.35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  <c r="J340">
        <v>10</v>
      </c>
      <c r="K340">
        <f>Table14[[#This Row],[Total Amount]]-Table14[[#This Row],[Discounted Price]]</f>
        <v>40</v>
      </c>
    </row>
    <row r="341" spans="1:11" x14ac:dyDescent="0.35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  <c r="J341">
        <v>10</v>
      </c>
      <c r="K341">
        <f>Table14[[#This Row],[Total Amount]]-Table14[[#This Row],[Discounted Price]]</f>
        <v>1190</v>
      </c>
    </row>
    <row r="342" spans="1:11" x14ac:dyDescent="0.35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  <c r="J342">
        <v>10</v>
      </c>
      <c r="K342">
        <f>Table14[[#This Row],[Total Amount]]-Table14[[#This Row],[Discounted Price]]</f>
        <v>190</v>
      </c>
    </row>
    <row r="343" spans="1:11" x14ac:dyDescent="0.35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  <c r="J343">
        <v>10</v>
      </c>
      <c r="K343">
        <f>Table14[[#This Row],[Total Amount]]-Table14[[#This Row],[Discounted Price]]</f>
        <v>1990</v>
      </c>
    </row>
    <row r="344" spans="1:11" x14ac:dyDescent="0.35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  <c r="J344">
        <v>10</v>
      </c>
      <c r="K344">
        <f>Table14[[#This Row],[Total Amount]]-Table14[[#This Row],[Discounted Price]]</f>
        <v>40</v>
      </c>
    </row>
    <row r="345" spans="1:11" x14ac:dyDescent="0.35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  <c r="J345">
        <v>10</v>
      </c>
      <c r="K345">
        <f>Table14[[#This Row],[Total Amount]]-Table14[[#This Row],[Discounted Price]]</f>
        <v>20</v>
      </c>
    </row>
    <row r="346" spans="1:11" x14ac:dyDescent="0.35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  <c r="J346">
        <v>10</v>
      </c>
      <c r="K346">
        <f>Table14[[#This Row],[Total Amount]]-Table14[[#This Row],[Discounted Price]]</f>
        <v>20</v>
      </c>
    </row>
    <row r="347" spans="1:11" x14ac:dyDescent="0.35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  <c r="J347">
        <v>10</v>
      </c>
      <c r="K347">
        <f>Table14[[#This Row],[Total Amount]]-Table14[[#This Row],[Discounted Price]]</f>
        <v>990</v>
      </c>
    </row>
    <row r="348" spans="1:11" x14ac:dyDescent="0.35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  <c r="J348">
        <v>10</v>
      </c>
      <c r="K348">
        <f>Table14[[#This Row],[Total Amount]]-Table14[[#This Row],[Discounted Price]]</f>
        <v>15</v>
      </c>
    </row>
    <row r="349" spans="1:11" x14ac:dyDescent="0.35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  <c r="J349">
        <v>10</v>
      </c>
      <c r="K349">
        <f>Table14[[#This Row],[Total Amount]]-Table14[[#This Row],[Discounted Price]]</f>
        <v>590</v>
      </c>
    </row>
    <row r="350" spans="1:11" x14ac:dyDescent="0.35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  <c r="J350">
        <v>10</v>
      </c>
      <c r="K350">
        <f>Table14[[#This Row],[Total Amount]]-Table14[[#This Row],[Discounted Price]]</f>
        <v>40</v>
      </c>
    </row>
    <row r="351" spans="1:11" x14ac:dyDescent="0.35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  <c r="J351">
        <v>10</v>
      </c>
      <c r="K351">
        <f>Table14[[#This Row],[Total Amount]]-Table14[[#This Row],[Discounted Price]]</f>
        <v>65</v>
      </c>
    </row>
    <row r="352" spans="1:11" x14ac:dyDescent="0.35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  <c r="J352">
        <v>10</v>
      </c>
      <c r="K352">
        <f>Table14[[#This Row],[Total Amount]]-Table14[[#This Row],[Discounted Price]]</f>
        <v>80</v>
      </c>
    </row>
    <row r="353" spans="1:11" x14ac:dyDescent="0.35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  <c r="J353">
        <v>10</v>
      </c>
      <c r="K353">
        <f>Table14[[#This Row],[Total Amount]]-Table14[[#This Row],[Discounted Price]]</f>
        <v>990</v>
      </c>
    </row>
    <row r="354" spans="1:11" x14ac:dyDescent="0.35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  <c r="J354">
        <v>10</v>
      </c>
      <c r="K354">
        <f>Table14[[#This Row],[Total Amount]]-Table14[[#This Row],[Discounted Price]]</f>
        <v>490</v>
      </c>
    </row>
    <row r="355" spans="1:11" x14ac:dyDescent="0.35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  <c r="J355">
        <v>10</v>
      </c>
      <c r="K355">
        <f>Table14[[#This Row],[Total Amount]]-Table14[[#This Row],[Discounted Price]]</f>
        <v>190</v>
      </c>
    </row>
    <row r="356" spans="1:11" x14ac:dyDescent="0.35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  <c r="J356">
        <v>10</v>
      </c>
      <c r="K356">
        <f>Table14[[#This Row],[Total Amount]]-Table14[[#This Row],[Discounted Price]]</f>
        <v>490</v>
      </c>
    </row>
    <row r="357" spans="1:11" x14ac:dyDescent="0.35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  <c r="J357">
        <v>10</v>
      </c>
      <c r="K357">
        <f>Table14[[#This Row],[Total Amount]]-Table14[[#This Row],[Discounted Price]]</f>
        <v>1490</v>
      </c>
    </row>
    <row r="358" spans="1:11" x14ac:dyDescent="0.35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  <c r="J358">
        <v>10</v>
      </c>
      <c r="K358">
        <f>Table14[[#This Row],[Total Amount]]-Table14[[#This Row],[Discounted Price]]</f>
        <v>65</v>
      </c>
    </row>
    <row r="359" spans="1:11" x14ac:dyDescent="0.35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  <c r="J359">
        <v>10</v>
      </c>
      <c r="K359">
        <f>Table14[[#This Row],[Total Amount]]-Table14[[#This Row],[Discounted Price]]</f>
        <v>290</v>
      </c>
    </row>
    <row r="360" spans="1:11" x14ac:dyDescent="0.35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  <c r="J360">
        <v>10</v>
      </c>
      <c r="K360">
        <f>Table14[[#This Row],[Total Amount]]-Table14[[#This Row],[Discounted Price]]</f>
        <v>40</v>
      </c>
    </row>
    <row r="361" spans="1:11" x14ac:dyDescent="0.35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  <c r="J361">
        <v>10</v>
      </c>
      <c r="K361">
        <f>Table14[[#This Row],[Total Amount]]-Table14[[#This Row],[Discounted Price]]</f>
        <v>90</v>
      </c>
    </row>
    <row r="362" spans="1:11" x14ac:dyDescent="0.35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  <c r="J362">
        <v>10</v>
      </c>
      <c r="K362">
        <f>Table14[[#This Row],[Total Amount]]-Table14[[#This Row],[Discounted Price]]</f>
        <v>1190</v>
      </c>
    </row>
    <row r="363" spans="1:11" x14ac:dyDescent="0.35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  <c r="J363">
        <v>10</v>
      </c>
      <c r="K363">
        <f>Table14[[#This Row],[Total Amount]]-Table14[[#This Row],[Discounted Price]]</f>
        <v>15</v>
      </c>
    </row>
    <row r="364" spans="1:11" x14ac:dyDescent="0.35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  <c r="J364">
        <v>10</v>
      </c>
      <c r="K364">
        <f>Table14[[#This Row],[Total Amount]]-Table14[[#This Row],[Discounted Price]]</f>
        <v>15</v>
      </c>
    </row>
    <row r="365" spans="1:11" x14ac:dyDescent="0.35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  <c r="J365">
        <v>10</v>
      </c>
      <c r="K365">
        <f>Table14[[#This Row],[Total Amount]]-Table14[[#This Row],[Discounted Price]]</f>
        <v>490</v>
      </c>
    </row>
    <row r="366" spans="1:11" x14ac:dyDescent="0.35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  <c r="J366">
        <v>10</v>
      </c>
      <c r="K366">
        <f>Table14[[#This Row],[Total Amount]]-Table14[[#This Row],[Discounted Price]]</f>
        <v>290</v>
      </c>
    </row>
    <row r="367" spans="1:11" x14ac:dyDescent="0.35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  <c r="J367">
        <v>10</v>
      </c>
      <c r="K367">
        <f>Table14[[#This Row],[Total Amount]]-Table14[[#This Row],[Discounted Price]]</f>
        <v>90</v>
      </c>
    </row>
    <row r="368" spans="1:11" x14ac:dyDescent="0.35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  <c r="J368">
        <v>10</v>
      </c>
      <c r="K368">
        <f>Table14[[#This Row],[Total Amount]]-Table14[[#This Row],[Discounted Price]]</f>
        <v>40</v>
      </c>
    </row>
    <row r="369" spans="1:11" x14ac:dyDescent="0.35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  <c r="J369">
        <v>10</v>
      </c>
      <c r="K369">
        <f>Table14[[#This Row],[Total Amount]]-Table14[[#This Row],[Discounted Price]]</f>
        <v>1190</v>
      </c>
    </row>
    <row r="370" spans="1:11" x14ac:dyDescent="0.35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  <c r="J370">
        <v>10</v>
      </c>
      <c r="K370">
        <f>Table14[[#This Row],[Total Amount]]-Table14[[#This Row],[Discounted Price]]</f>
        <v>1490</v>
      </c>
    </row>
    <row r="371" spans="1:11" x14ac:dyDescent="0.35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  <c r="J371">
        <v>10</v>
      </c>
      <c r="K371">
        <f>Table14[[#This Row],[Total Amount]]-Table14[[#This Row],[Discounted Price]]</f>
        <v>50</v>
      </c>
    </row>
    <row r="372" spans="1:11" x14ac:dyDescent="0.35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  <c r="J372">
        <v>10</v>
      </c>
      <c r="K372">
        <f>Table14[[#This Row],[Total Amount]]-Table14[[#This Row],[Discounted Price]]</f>
        <v>15</v>
      </c>
    </row>
    <row r="373" spans="1:11" x14ac:dyDescent="0.35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  <c r="J373">
        <v>10</v>
      </c>
      <c r="K373">
        <f>Table14[[#This Row],[Total Amount]]-Table14[[#This Row],[Discounted Price]]</f>
        <v>1490</v>
      </c>
    </row>
    <row r="374" spans="1:11" x14ac:dyDescent="0.35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  <c r="J374">
        <v>10</v>
      </c>
      <c r="K374">
        <f>Table14[[#This Row],[Total Amount]]-Table14[[#This Row],[Discounted Price]]</f>
        <v>590</v>
      </c>
    </row>
    <row r="375" spans="1:11" x14ac:dyDescent="0.35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  <c r="J375">
        <v>10</v>
      </c>
      <c r="K375">
        <f>Table14[[#This Row],[Total Amount]]-Table14[[#This Row],[Discounted Price]]</f>
        <v>65</v>
      </c>
    </row>
    <row r="376" spans="1:11" x14ac:dyDescent="0.35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  <c r="J376">
        <v>10</v>
      </c>
      <c r="K376">
        <f>Table14[[#This Row],[Total Amount]]-Table14[[#This Row],[Discounted Price]]</f>
        <v>40</v>
      </c>
    </row>
    <row r="377" spans="1:11" x14ac:dyDescent="0.35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  <c r="J377">
        <v>10</v>
      </c>
      <c r="K377">
        <f>Table14[[#This Row],[Total Amount]]-Table14[[#This Row],[Discounted Price]]</f>
        <v>20</v>
      </c>
    </row>
    <row r="378" spans="1:11" x14ac:dyDescent="0.35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  <c r="J378">
        <v>10</v>
      </c>
      <c r="K378">
        <f>Table14[[#This Row],[Total Amount]]-Table14[[#This Row],[Discounted Price]]</f>
        <v>190</v>
      </c>
    </row>
    <row r="379" spans="1:11" x14ac:dyDescent="0.35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  <c r="J379">
        <v>10</v>
      </c>
      <c r="K379">
        <f>Table14[[#This Row],[Total Amount]]-Table14[[#This Row],[Discounted Price]]</f>
        <v>290</v>
      </c>
    </row>
    <row r="380" spans="1:11" x14ac:dyDescent="0.35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  <c r="J380">
        <v>10</v>
      </c>
      <c r="K380">
        <f>Table14[[#This Row],[Total Amount]]-Table14[[#This Row],[Discounted Price]]</f>
        <v>15</v>
      </c>
    </row>
    <row r="381" spans="1:11" x14ac:dyDescent="0.35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  <c r="J381">
        <v>10</v>
      </c>
      <c r="K381">
        <f>Table14[[#This Row],[Total Amount]]-Table14[[#This Row],[Discounted Price]]</f>
        <v>590</v>
      </c>
    </row>
    <row r="382" spans="1:11" x14ac:dyDescent="0.35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  <c r="J382">
        <v>10</v>
      </c>
      <c r="K382">
        <f>Table14[[#This Row],[Total Amount]]-Table14[[#This Row],[Discounted Price]]</f>
        <v>90</v>
      </c>
    </row>
    <row r="383" spans="1:11" x14ac:dyDescent="0.35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  <c r="J383">
        <v>10</v>
      </c>
      <c r="K383">
        <f>Table14[[#This Row],[Total Amount]]-Table14[[#This Row],[Discounted Price]]</f>
        <v>990</v>
      </c>
    </row>
    <row r="384" spans="1:11" x14ac:dyDescent="0.35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  <c r="J384">
        <v>10</v>
      </c>
      <c r="K384">
        <f>Table14[[#This Row],[Total Amount]]-Table14[[#This Row],[Discounted Price]]</f>
        <v>80</v>
      </c>
    </row>
    <row r="385" spans="1:11" x14ac:dyDescent="0.35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  <c r="J385">
        <v>10</v>
      </c>
      <c r="K385">
        <f>Table14[[#This Row],[Total Amount]]-Table14[[#This Row],[Discounted Price]]</f>
        <v>490</v>
      </c>
    </row>
    <row r="386" spans="1:11" x14ac:dyDescent="0.35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  <c r="J386">
        <v>10</v>
      </c>
      <c r="K386">
        <f>Table14[[#This Row],[Total Amount]]-Table14[[#This Row],[Discounted Price]]</f>
        <v>1490</v>
      </c>
    </row>
    <row r="387" spans="1:11" x14ac:dyDescent="0.35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  <c r="J387">
        <v>10</v>
      </c>
      <c r="K387">
        <f>Table14[[#This Row],[Total Amount]]-Table14[[#This Row],[Discounted Price]]</f>
        <v>590</v>
      </c>
    </row>
    <row r="388" spans="1:11" x14ac:dyDescent="0.35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  <c r="J388">
        <v>10</v>
      </c>
      <c r="K388">
        <f>Table14[[#This Row],[Total Amount]]-Table14[[#This Row],[Discounted Price]]</f>
        <v>20</v>
      </c>
    </row>
    <row r="389" spans="1:11" x14ac:dyDescent="0.35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  <c r="J389">
        <v>10</v>
      </c>
      <c r="K389">
        <f>Table14[[#This Row],[Total Amount]]-Table14[[#This Row],[Discounted Price]]</f>
        <v>15</v>
      </c>
    </row>
    <row r="390" spans="1:11" x14ac:dyDescent="0.35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  <c r="J390">
        <v>10</v>
      </c>
      <c r="K390">
        <f>Table14[[#This Row],[Total Amount]]-Table14[[#This Row],[Discounted Price]]</f>
        <v>40</v>
      </c>
    </row>
    <row r="391" spans="1:11" x14ac:dyDescent="0.35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  <c r="J391">
        <v>10</v>
      </c>
      <c r="K391">
        <f>Table14[[#This Row],[Total Amount]]-Table14[[#This Row],[Discounted Price]]</f>
        <v>90</v>
      </c>
    </row>
    <row r="392" spans="1:11" x14ac:dyDescent="0.35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  <c r="J392">
        <v>10</v>
      </c>
      <c r="K392">
        <f>Table14[[#This Row],[Total Amount]]-Table14[[#This Row],[Discounted Price]]</f>
        <v>40</v>
      </c>
    </row>
    <row r="393" spans="1:11" x14ac:dyDescent="0.35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  <c r="J393">
        <v>10</v>
      </c>
      <c r="K393">
        <f>Table14[[#This Row],[Total Amount]]-Table14[[#This Row],[Discounted Price]]</f>
        <v>590</v>
      </c>
    </row>
    <row r="394" spans="1:11" x14ac:dyDescent="0.35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  <c r="J394">
        <v>10</v>
      </c>
      <c r="K394">
        <f>Table14[[#This Row],[Total Amount]]-Table14[[#This Row],[Discounted Price]]</f>
        <v>990</v>
      </c>
    </row>
    <row r="395" spans="1:11" x14ac:dyDescent="0.35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  <c r="J395">
        <v>10</v>
      </c>
      <c r="K395">
        <f>Table14[[#This Row],[Total Amount]]-Table14[[#This Row],[Discounted Price]]</f>
        <v>490</v>
      </c>
    </row>
    <row r="396" spans="1:11" x14ac:dyDescent="0.35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  <c r="J396">
        <v>10</v>
      </c>
      <c r="K396">
        <f>Table14[[#This Row],[Total Amount]]-Table14[[#This Row],[Discounted Price]]</f>
        <v>990</v>
      </c>
    </row>
    <row r="397" spans="1:11" x14ac:dyDescent="0.35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  <c r="J397">
        <v>10</v>
      </c>
      <c r="K397">
        <f>Table14[[#This Row],[Total Amount]]-Table14[[#This Row],[Discounted Price]]</f>
        <v>20</v>
      </c>
    </row>
    <row r="398" spans="1:11" x14ac:dyDescent="0.35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  <c r="J398">
        <v>10</v>
      </c>
      <c r="K398">
        <f>Table14[[#This Row],[Total Amount]]-Table14[[#This Row],[Discounted Price]]</f>
        <v>15</v>
      </c>
    </row>
    <row r="399" spans="1:11" x14ac:dyDescent="0.35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  <c r="J399">
        <v>10</v>
      </c>
      <c r="K399">
        <f>Table14[[#This Row],[Total Amount]]-Table14[[#This Row],[Discounted Price]]</f>
        <v>590</v>
      </c>
    </row>
    <row r="400" spans="1:11" x14ac:dyDescent="0.35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  <c r="J400">
        <v>10</v>
      </c>
      <c r="K400">
        <f>Table14[[#This Row],[Total Amount]]-Table14[[#This Row],[Discounted Price]]</f>
        <v>50</v>
      </c>
    </row>
    <row r="401" spans="1:11" x14ac:dyDescent="0.35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  <c r="J401">
        <v>10</v>
      </c>
      <c r="K401">
        <f>Table14[[#This Row],[Total Amount]]-Table14[[#This Row],[Discounted Price]]</f>
        <v>190</v>
      </c>
    </row>
    <row r="402" spans="1:11" x14ac:dyDescent="0.35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  <c r="J402">
        <v>10</v>
      </c>
      <c r="K402">
        <f>Table14[[#This Row],[Total Amount]]-Table14[[#This Row],[Discounted Price]]</f>
        <v>290</v>
      </c>
    </row>
    <row r="403" spans="1:11" x14ac:dyDescent="0.35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  <c r="J403">
        <v>10</v>
      </c>
      <c r="K403">
        <f>Table14[[#This Row],[Total Amount]]-Table14[[#This Row],[Discounted Price]]</f>
        <v>590</v>
      </c>
    </row>
    <row r="404" spans="1:11" x14ac:dyDescent="0.35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  <c r="J404">
        <v>10</v>
      </c>
      <c r="K404">
        <f>Table14[[#This Row],[Total Amount]]-Table14[[#This Row],[Discounted Price]]</f>
        <v>590</v>
      </c>
    </row>
    <row r="405" spans="1:11" x14ac:dyDescent="0.35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  <c r="J405">
        <v>10</v>
      </c>
      <c r="K405">
        <f>Table14[[#This Row],[Total Amount]]-Table14[[#This Row],[Discounted Price]]</f>
        <v>990</v>
      </c>
    </row>
    <row r="406" spans="1:11" x14ac:dyDescent="0.35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  <c r="J406">
        <v>10</v>
      </c>
      <c r="K406">
        <f>Table14[[#This Row],[Total Amount]]-Table14[[#This Row],[Discounted Price]]</f>
        <v>1190</v>
      </c>
    </row>
    <row r="407" spans="1:11" x14ac:dyDescent="0.35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  <c r="J407">
        <v>10</v>
      </c>
      <c r="K407">
        <f>Table14[[#This Row],[Total Amount]]-Table14[[#This Row],[Discounted Price]]</f>
        <v>90</v>
      </c>
    </row>
    <row r="408" spans="1:11" x14ac:dyDescent="0.35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  <c r="J408">
        <v>10</v>
      </c>
      <c r="K408">
        <f>Table14[[#This Row],[Total Amount]]-Table14[[#This Row],[Discounted Price]]</f>
        <v>890</v>
      </c>
    </row>
    <row r="409" spans="1:11" x14ac:dyDescent="0.35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  <c r="J409">
        <v>10</v>
      </c>
      <c r="K409">
        <f>Table14[[#This Row],[Total Amount]]-Table14[[#This Row],[Discounted Price]]</f>
        <v>490</v>
      </c>
    </row>
    <row r="410" spans="1:11" x14ac:dyDescent="0.35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  <c r="J410">
        <v>10</v>
      </c>
      <c r="K410">
        <f>Table14[[#This Row],[Total Amount]]-Table14[[#This Row],[Discounted Price]]</f>
        <v>890</v>
      </c>
    </row>
    <row r="411" spans="1:11" x14ac:dyDescent="0.35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  <c r="J411">
        <v>10</v>
      </c>
      <c r="K411">
        <f>Table14[[#This Row],[Total Amount]]-Table14[[#This Row],[Discounted Price]]</f>
        <v>90</v>
      </c>
    </row>
    <row r="412" spans="1:11" x14ac:dyDescent="0.35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  <c r="J412">
        <v>10</v>
      </c>
      <c r="K412">
        <f>Table14[[#This Row],[Total Amount]]-Table14[[#This Row],[Discounted Price]]</f>
        <v>190</v>
      </c>
    </row>
    <row r="413" spans="1:11" x14ac:dyDescent="0.35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  <c r="J413">
        <v>10</v>
      </c>
      <c r="K413">
        <f>Table14[[#This Row],[Total Amount]]-Table14[[#This Row],[Discounted Price]]</f>
        <v>1990</v>
      </c>
    </row>
    <row r="414" spans="1:11" x14ac:dyDescent="0.35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  <c r="J414">
        <v>10</v>
      </c>
      <c r="K414">
        <f>Table14[[#This Row],[Total Amount]]-Table14[[#This Row],[Discounted Price]]</f>
        <v>65</v>
      </c>
    </row>
    <row r="415" spans="1:11" x14ac:dyDescent="0.35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  <c r="J415">
        <v>10</v>
      </c>
      <c r="K415">
        <f>Table14[[#This Row],[Total Amount]]-Table14[[#This Row],[Discounted Price]]</f>
        <v>90</v>
      </c>
    </row>
    <row r="416" spans="1:11" x14ac:dyDescent="0.35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  <c r="J416">
        <v>10</v>
      </c>
      <c r="K416">
        <f>Table14[[#This Row],[Total Amount]]-Table14[[#This Row],[Discounted Price]]</f>
        <v>50</v>
      </c>
    </row>
    <row r="417" spans="1:11" x14ac:dyDescent="0.35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  <c r="J417">
        <v>10</v>
      </c>
      <c r="K417">
        <f>Table14[[#This Row],[Total Amount]]-Table14[[#This Row],[Discounted Price]]</f>
        <v>1990</v>
      </c>
    </row>
    <row r="418" spans="1:11" x14ac:dyDescent="0.35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  <c r="J418">
        <v>10</v>
      </c>
      <c r="K418">
        <f>Table14[[#This Row],[Total Amount]]-Table14[[#This Row],[Discounted Price]]</f>
        <v>890</v>
      </c>
    </row>
    <row r="419" spans="1:11" x14ac:dyDescent="0.35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  <c r="J419">
        <v>10</v>
      </c>
      <c r="K419">
        <f>Table14[[#This Row],[Total Amount]]-Table14[[#This Row],[Discounted Price]]</f>
        <v>990</v>
      </c>
    </row>
    <row r="420" spans="1:11" x14ac:dyDescent="0.35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  <c r="J420">
        <v>10</v>
      </c>
      <c r="K420">
        <f>Table14[[#This Row],[Total Amount]]-Table14[[#This Row],[Discounted Price]]</f>
        <v>80</v>
      </c>
    </row>
    <row r="421" spans="1:11" x14ac:dyDescent="0.35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  <c r="J421">
        <v>10</v>
      </c>
      <c r="K421">
        <f>Table14[[#This Row],[Total Amount]]-Table14[[#This Row],[Discounted Price]]</f>
        <v>1990</v>
      </c>
    </row>
    <row r="422" spans="1:11" x14ac:dyDescent="0.35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  <c r="J422">
        <v>10</v>
      </c>
      <c r="K422">
        <f>Table14[[#This Row],[Total Amount]]-Table14[[#This Row],[Discounted Price]]</f>
        <v>1490</v>
      </c>
    </row>
    <row r="423" spans="1:11" x14ac:dyDescent="0.35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  <c r="J423">
        <v>10</v>
      </c>
      <c r="K423">
        <f>Table14[[#This Row],[Total Amount]]-Table14[[#This Row],[Discounted Price]]</f>
        <v>80</v>
      </c>
    </row>
    <row r="424" spans="1:11" x14ac:dyDescent="0.35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  <c r="J424">
        <v>10</v>
      </c>
      <c r="K424">
        <f>Table14[[#This Row],[Total Amount]]-Table14[[#This Row],[Discounted Price]]</f>
        <v>15</v>
      </c>
    </row>
    <row r="425" spans="1:11" x14ac:dyDescent="0.35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  <c r="J425">
        <v>10</v>
      </c>
      <c r="K425">
        <f>Table14[[#This Row],[Total Amount]]-Table14[[#This Row],[Discounted Price]]</f>
        <v>1190</v>
      </c>
    </row>
    <row r="426" spans="1:11" x14ac:dyDescent="0.35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  <c r="J426">
        <v>10</v>
      </c>
      <c r="K426">
        <f>Table14[[#This Row],[Total Amount]]-Table14[[#This Row],[Discounted Price]]</f>
        <v>110</v>
      </c>
    </row>
    <row r="427" spans="1:11" x14ac:dyDescent="0.35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  <c r="J427">
        <v>10</v>
      </c>
      <c r="K427">
        <f>Table14[[#This Row],[Total Amount]]-Table14[[#This Row],[Discounted Price]]</f>
        <v>140</v>
      </c>
    </row>
    <row r="428" spans="1:11" x14ac:dyDescent="0.35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  <c r="J428">
        <v>10</v>
      </c>
      <c r="K428">
        <f>Table14[[#This Row],[Total Amount]]-Table14[[#This Row],[Discounted Price]]</f>
        <v>15</v>
      </c>
    </row>
    <row r="429" spans="1:11" x14ac:dyDescent="0.35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  <c r="J429">
        <v>10</v>
      </c>
      <c r="K429">
        <f>Table14[[#This Row],[Total Amount]]-Table14[[#This Row],[Discounted Price]]</f>
        <v>190</v>
      </c>
    </row>
    <row r="430" spans="1:11" x14ac:dyDescent="0.35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  <c r="J430">
        <v>10</v>
      </c>
      <c r="K430">
        <f>Table14[[#This Row],[Total Amount]]-Table14[[#This Row],[Discounted Price]]</f>
        <v>40</v>
      </c>
    </row>
    <row r="431" spans="1:11" x14ac:dyDescent="0.35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  <c r="J431">
        <v>10</v>
      </c>
      <c r="K431">
        <f>Table14[[#This Row],[Total Amount]]-Table14[[#This Row],[Discounted Price]]</f>
        <v>890</v>
      </c>
    </row>
    <row r="432" spans="1:11" x14ac:dyDescent="0.35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  <c r="J432">
        <v>10</v>
      </c>
      <c r="K432">
        <f>Table14[[#This Row],[Total Amount]]-Table14[[#This Row],[Discounted Price]]</f>
        <v>1190</v>
      </c>
    </row>
    <row r="433" spans="1:11" x14ac:dyDescent="0.35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  <c r="J433">
        <v>10</v>
      </c>
      <c r="K433">
        <f>Table14[[#This Row],[Total Amount]]-Table14[[#This Row],[Discounted Price]]</f>
        <v>990</v>
      </c>
    </row>
    <row r="434" spans="1:11" x14ac:dyDescent="0.35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  <c r="J434">
        <v>10</v>
      </c>
      <c r="K434">
        <f>Table14[[#This Row],[Total Amount]]-Table14[[#This Row],[Discounted Price]]</f>
        <v>190</v>
      </c>
    </row>
    <row r="435" spans="1:11" x14ac:dyDescent="0.35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  <c r="J435">
        <v>10</v>
      </c>
      <c r="K435">
        <f>Table14[[#This Row],[Total Amount]]-Table14[[#This Row],[Discounted Price]]</f>
        <v>40</v>
      </c>
    </row>
    <row r="436" spans="1:11" x14ac:dyDescent="0.35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  <c r="J436">
        <v>10</v>
      </c>
      <c r="K436">
        <f>Table14[[#This Row],[Total Amount]]-Table14[[#This Row],[Discounted Price]]</f>
        <v>890</v>
      </c>
    </row>
    <row r="437" spans="1:11" x14ac:dyDescent="0.35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  <c r="J437">
        <v>10</v>
      </c>
      <c r="K437">
        <f>Table14[[#This Row],[Total Amount]]-Table14[[#This Row],[Discounted Price]]</f>
        <v>110</v>
      </c>
    </row>
    <row r="438" spans="1:11" x14ac:dyDescent="0.35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  <c r="J438">
        <v>10</v>
      </c>
      <c r="K438">
        <f>Table14[[#This Row],[Total Amount]]-Table14[[#This Row],[Discounted Price]]</f>
        <v>1190</v>
      </c>
    </row>
    <row r="439" spans="1:11" x14ac:dyDescent="0.35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  <c r="J439">
        <v>10</v>
      </c>
      <c r="K439">
        <f>Table14[[#This Row],[Total Amount]]-Table14[[#This Row],[Discounted Price]]</f>
        <v>20</v>
      </c>
    </row>
    <row r="440" spans="1:11" x14ac:dyDescent="0.35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  <c r="J440">
        <v>10</v>
      </c>
      <c r="K440">
        <f>Table14[[#This Row],[Total Amount]]-Table14[[#This Row],[Discounted Price]]</f>
        <v>65</v>
      </c>
    </row>
    <row r="441" spans="1:11" x14ac:dyDescent="0.35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  <c r="J441">
        <v>10</v>
      </c>
      <c r="K441">
        <f>Table14[[#This Row],[Total Amount]]-Table14[[#This Row],[Discounted Price]]</f>
        <v>590</v>
      </c>
    </row>
    <row r="442" spans="1:11" x14ac:dyDescent="0.35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  <c r="J442">
        <v>10</v>
      </c>
      <c r="K442">
        <f>Table14[[#This Row],[Total Amount]]-Table14[[#This Row],[Discounted Price]]</f>
        <v>1190</v>
      </c>
    </row>
    <row r="443" spans="1:11" x14ac:dyDescent="0.35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  <c r="J443">
        <v>10</v>
      </c>
      <c r="K443">
        <f>Table14[[#This Row],[Total Amount]]-Table14[[#This Row],[Discounted Price]]</f>
        <v>90</v>
      </c>
    </row>
    <row r="444" spans="1:11" x14ac:dyDescent="0.35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  <c r="J444">
        <v>10</v>
      </c>
      <c r="K444">
        <f>Table14[[#This Row],[Total Amount]]-Table14[[#This Row],[Discounted Price]]</f>
        <v>590</v>
      </c>
    </row>
    <row r="445" spans="1:11" x14ac:dyDescent="0.35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  <c r="J445">
        <v>10</v>
      </c>
      <c r="K445">
        <f>Table14[[#This Row],[Total Amount]]-Table14[[#This Row],[Discounted Price]]</f>
        <v>80</v>
      </c>
    </row>
    <row r="446" spans="1:11" x14ac:dyDescent="0.35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  <c r="J446">
        <v>10</v>
      </c>
      <c r="K446">
        <f>Table14[[#This Row],[Total Amount]]-Table14[[#This Row],[Discounted Price]]</f>
        <v>290</v>
      </c>
    </row>
    <row r="447" spans="1:11" x14ac:dyDescent="0.35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  <c r="J447">
        <v>10</v>
      </c>
      <c r="K447">
        <f>Table14[[#This Row],[Total Amount]]-Table14[[#This Row],[Discounted Price]]</f>
        <v>40</v>
      </c>
    </row>
    <row r="448" spans="1:11" x14ac:dyDescent="0.35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  <c r="J448">
        <v>10</v>
      </c>
      <c r="K448">
        <f>Table14[[#This Row],[Total Amount]]-Table14[[#This Row],[Discounted Price]]</f>
        <v>1990</v>
      </c>
    </row>
    <row r="449" spans="1:11" x14ac:dyDescent="0.35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  <c r="J449">
        <v>10</v>
      </c>
      <c r="K449">
        <f>Table14[[#This Row],[Total Amount]]-Table14[[#This Row],[Discounted Price]]</f>
        <v>50</v>
      </c>
    </row>
    <row r="450" spans="1:11" x14ac:dyDescent="0.35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  <c r="J450">
        <v>10</v>
      </c>
      <c r="K450">
        <f>Table14[[#This Row],[Total Amount]]-Table14[[#This Row],[Discounted Price]]</f>
        <v>190</v>
      </c>
    </row>
    <row r="451" spans="1:11" x14ac:dyDescent="0.35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  <c r="J451">
        <v>10</v>
      </c>
      <c r="K451">
        <f>Table14[[#This Row],[Total Amount]]-Table14[[#This Row],[Discounted Price]]</f>
        <v>40</v>
      </c>
    </row>
    <row r="452" spans="1:11" x14ac:dyDescent="0.35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  <c r="J452">
        <v>10</v>
      </c>
      <c r="K452">
        <f>Table14[[#This Row],[Total Amount]]-Table14[[#This Row],[Discounted Price]]</f>
        <v>20</v>
      </c>
    </row>
    <row r="453" spans="1:11" x14ac:dyDescent="0.35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  <c r="J453">
        <v>10</v>
      </c>
      <c r="K453">
        <f>Table14[[#This Row],[Total Amount]]-Table14[[#This Row],[Discounted Price]]</f>
        <v>1490</v>
      </c>
    </row>
    <row r="454" spans="1:11" x14ac:dyDescent="0.35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  <c r="J454">
        <v>10</v>
      </c>
      <c r="K454">
        <f>Table14[[#This Row],[Total Amount]]-Table14[[#This Row],[Discounted Price]]</f>
        <v>990</v>
      </c>
    </row>
    <row r="455" spans="1:11" x14ac:dyDescent="0.35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  <c r="J455">
        <v>10</v>
      </c>
      <c r="K455">
        <f>Table14[[#This Row],[Total Amount]]-Table14[[#This Row],[Discounted Price]]</f>
        <v>15</v>
      </c>
    </row>
    <row r="456" spans="1:11" x14ac:dyDescent="0.35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  <c r="J456">
        <v>10</v>
      </c>
      <c r="K456">
        <f>Table14[[#This Row],[Total Amount]]-Table14[[#This Row],[Discounted Price]]</f>
        <v>90</v>
      </c>
    </row>
    <row r="457" spans="1:11" x14ac:dyDescent="0.35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  <c r="J457">
        <v>10</v>
      </c>
      <c r="K457">
        <f>Table14[[#This Row],[Total Amount]]-Table14[[#This Row],[Discounted Price]]</f>
        <v>50</v>
      </c>
    </row>
    <row r="458" spans="1:11" x14ac:dyDescent="0.35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  <c r="J458">
        <v>10</v>
      </c>
      <c r="K458">
        <f>Table14[[#This Row],[Total Amount]]-Table14[[#This Row],[Discounted Price]]</f>
        <v>890</v>
      </c>
    </row>
    <row r="459" spans="1:11" x14ac:dyDescent="0.35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  <c r="J459">
        <v>10</v>
      </c>
      <c r="K459">
        <f>Table14[[#This Row],[Total Amount]]-Table14[[#This Row],[Discounted Price]]</f>
        <v>90</v>
      </c>
    </row>
    <row r="460" spans="1:11" x14ac:dyDescent="0.35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  <c r="J460">
        <v>10</v>
      </c>
      <c r="K460">
        <f>Table14[[#This Row],[Total Amount]]-Table14[[#This Row],[Discounted Price]]</f>
        <v>1190</v>
      </c>
    </row>
    <row r="461" spans="1:11" x14ac:dyDescent="0.35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  <c r="J461">
        <v>10</v>
      </c>
      <c r="K461">
        <f>Table14[[#This Row],[Total Amount]]-Table14[[#This Row],[Discounted Price]]</f>
        <v>40</v>
      </c>
    </row>
    <row r="462" spans="1:11" x14ac:dyDescent="0.35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  <c r="J462">
        <v>10</v>
      </c>
      <c r="K462">
        <f>Table14[[#This Row],[Total Amount]]-Table14[[#This Row],[Discounted Price]]</f>
        <v>990</v>
      </c>
    </row>
    <row r="463" spans="1:11" x14ac:dyDescent="0.35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  <c r="J463">
        <v>10</v>
      </c>
      <c r="K463">
        <f>Table14[[#This Row],[Total Amount]]-Table14[[#This Row],[Discounted Price]]</f>
        <v>1190</v>
      </c>
    </row>
    <row r="464" spans="1:11" x14ac:dyDescent="0.35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  <c r="J464">
        <v>10</v>
      </c>
      <c r="K464">
        <f>Table14[[#This Row],[Total Amount]]-Table14[[#This Row],[Discounted Price]]</f>
        <v>1490</v>
      </c>
    </row>
    <row r="465" spans="1:11" x14ac:dyDescent="0.35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  <c r="J465">
        <v>10</v>
      </c>
      <c r="K465">
        <f>Table14[[#This Row],[Total Amount]]-Table14[[#This Row],[Discounted Price]]</f>
        <v>590</v>
      </c>
    </row>
    <row r="466" spans="1:11" x14ac:dyDescent="0.35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  <c r="J466">
        <v>10</v>
      </c>
      <c r="K466">
        <f>Table14[[#This Row],[Total Amount]]-Table14[[#This Row],[Discounted Price]]</f>
        <v>140</v>
      </c>
    </row>
    <row r="467" spans="1:11" x14ac:dyDescent="0.35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  <c r="J467">
        <v>10</v>
      </c>
      <c r="K467">
        <f>Table14[[#This Row],[Total Amount]]-Table14[[#This Row],[Discounted Price]]</f>
        <v>90</v>
      </c>
    </row>
    <row r="468" spans="1:11" x14ac:dyDescent="0.35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  <c r="J468">
        <v>10</v>
      </c>
      <c r="K468">
        <f>Table14[[#This Row],[Total Amount]]-Table14[[#This Row],[Discounted Price]]</f>
        <v>140</v>
      </c>
    </row>
    <row r="469" spans="1:11" x14ac:dyDescent="0.35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  <c r="J469">
        <v>10</v>
      </c>
      <c r="K469">
        <f>Table14[[#This Row],[Total Amount]]-Table14[[#This Row],[Discounted Price]]</f>
        <v>15</v>
      </c>
    </row>
    <row r="470" spans="1:11" x14ac:dyDescent="0.35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  <c r="J470">
        <v>10</v>
      </c>
      <c r="K470">
        <f>Table14[[#This Row],[Total Amount]]-Table14[[#This Row],[Discounted Price]]</f>
        <v>65</v>
      </c>
    </row>
    <row r="471" spans="1:11" x14ac:dyDescent="0.35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  <c r="J471">
        <v>10</v>
      </c>
      <c r="K471">
        <f>Table14[[#This Row],[Total Amount]]-Table14[[#This Row],[Discounted Price]]</f>
        <v>990</v>
      </c>
    </row>
    <row r="472" spans="1:11" x14ac:dyDescent="0.35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  <c r="J472">
        <v>10</v>
      </c>
      <c r="K472">
        <f>Table14[[#This Row],[Total Amount]]-Table14[[#This Row],[Discounted Price]]</f>
        <v>140</v>
      </c>
    </row>
    <row r="473" spans="1:11" x14ac:dyDescent="0.35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  <c r="J473">
        <v>10</v>
      </c>
      <c r="K473">
        <f>Table14[[#This Row],[Total Amount]]-Table14[[#This Row],[Discounted Price]]</f>
        <v>890</v>
      </c>
    </row>
    <row r="474" spans="1:11" x14ac:dyDescent="0.35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  <c r="J474">
        <v>10</v>
      </c>
      <c r="K474">
        <f>Table14[[#This Row],[Total Amount]]-Table14[[#This Row],[Discounted Price]]</f>
        <v>40</v>
      </c>
    </row>
    <row r="475" spans="1:11" x14ac:dyDescent="0.35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  <c r="J475">
        <v>10</v>
      </c>
      <c r="K475">
        <f>Table14[[#This Row],[Total Amount]]-Table14[[#This Row],[Discounted Price]]</f>
        <v>1490</v>
      </c>
    </row>
    <row r="476" spans="1:11" x14ac:dyDescent="0.35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  <c r="J476">
        <v>10</v>
      </c>
      <c r="K476">
        <f>Table14[[#This Row],[Total Amount]]-Table14[[#This Row],[Discounted Price]]</f>
        <v>65</v>
      </c>
    </row>
    <row r="477" spans="1:11" x14ac:dyDescent="0.35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  <c r="J477">
        <v>10</v>
      </c>
      <c r="K477">
        <f>Table14[[#This Row],[Total Amount]]-Table14[[#This Row],[Discounted Price]]</f>
        <v>1990</v>
      </c>
    </row>
    <row r="478" spans="1:11" x14ac:dyDescent="0.35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  <c r="J478">
        <v>10</v>
      </c>
      <c r="K478">
        <f>Table14[[#This Row],[Total Amount]]-Table14[[#This Row],[Discounted Price]]</f>
        <v>110</v>
      </c>
    </row>
    <row r="479" spans="1:11" x14ac:dyDescent="0.35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  <c r="J479">
        <v>10</v>
      </c>
      <c r="K479">
        <f>Table14[[#This Row],[Total Amount]]-Table14[[#This Row],[Discounted Price]]</f>
        <v>50</v>
      </c>
    </row>
    <row r="480" spans="1:11" x14ac:dyDescent="0.35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  <c r="J480">
        <v>10</v>
      </c>
      <c r="K480">
        <f>Table14[[#This Row],[Total Amount]]-Table14[[#This Row],[Discounted Price]]</f>
        <v>1190</v>
      </c>
    </row>
    <row r="481" spans="1:11" x14ac:dyDescent="0.35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  <c r="J481">
        <v>10</v>
      </c>
      <c r="K481">
        <f>Table14[[#This Row],[Total Amount]]-Table14[[#This Row],[Discounted Price]]</f>
        <v>1990</v>
      </c>
    </row>
    <row r="482" spans="1:11" x14ac:dyDescent="0.35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  <c r="J482">
        <v>10</v>
      </c>
      <c r="K482">
        <f>Table14[[#This Row],[Total Amount]]-Table14[[#This Row],[Discounted Price]]</f>
        <v>1190</v>
      </c>
    </row>
    <row r="483" spans="1:11" x14ac:dyDescent="0.35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  <c r="J483">
        <v>10</v>
      </c>
      <c r="K483">
        <f>Table14[[#This Row],[Total Amount]]-Table14[[#This Row],[Discounted Price]]</f>
        <v>1190</v>
      </c>
    </row>
    <row r="484" spans="1:11" x14ac:dyDescent="0.35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  <c r="J484">
        <v>10</v>
      </c>
      <c r="K484">
        <f>Table14[[#This Row],[Total Amount]]-Table14[[#This Row],[Discounted Price]]</f>
        <v>20</v>
      </c>
    </row>
    <row r="485" spans="1:11" x14ac:dyDescent="0.35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  <c r="J485">
        <v>10</v>
      </c>
      <c r="K485">
        <f>Table14[[#This Row],[Total Amount]]-Table14[[#This Row],[Discounted Price]]</f>
        <v>1190</v>
      </c>
    </row>
    <row r="486" spans="1:11" x14ac:dyDescent="0.35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  <c r="J486">
        <v>10</v>
      </c>
      <c r="K486">
        <f>Table14[[#This Row],[Total Amount]]-Table14[[#This Row],[Discounted Price]]</f>
        <v>20</v>
      </c>
    </row>
    <row r="487" spans="1:11" x14ac:dyDescent="0.35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  <c r="J487">
        <v>10</v>
      </c>
      <c r="K487">
        <f>Table14[[#This Row],[Total Amount]]-Table14[[#This Row],[Discounted Price]]</f>
        <v>15</v>
      </c>
    </row>
    <row r="488" spans="1:11" x14ac:dyDescent="0.35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  <c r="J488">
        <v>10</v>
      </c>
      <c r="K488">
        <f>Table14[[#This Row],[Total Amount]]-Table14[[#This Row],[Discounted Price]]</f>
        <v>1990</v>
      </c>
    </row>
    <row r="489" spans="1:11" x14ac:dyDescent="0.35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  <c r="J489">
        <v>10</v>
      </c>
      <c r="K489">
        <f>Table14[[#This Row],[Total Amount]]-Table14[[#This Row],[Discounted Price]]</f>
        <v>890</v>
      </c>
    </row>
    <row r="490" spans="1:11" x14ac:dyDescent="0.35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  <c r="J490">
        <v>10</v>
      </c>
      <c r="K490">
        <f>Table14[[#This Row],[Total Amount]]-Table14[[#This Row],[Discounted Price]]</f>
        <v>20</v>
      </c>
    </row>
    <row r="491" spans="1:11" x14ac:dyDescent="0.35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  <c r="J491">
        <v>10</v>
      </c>
      <c r="K491">
        <f>Table14[[#This Row],[Total Amount]]-Table14[[#This Row],[Discounted Price]]</f>
        <v>140</v>
      </c>
    </row>
    <row r="492" spans="1:11" x14ac:dyDescent="0.35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  <c r="J492">
        <v>10</v>
      </c>
      <c r="K492">
        <f>Table14[[#This Row],[Total Amount]]-Table14[[#This Row],[Discounted Price]]</f>
        <v>890</v>
      </c>
    </row>
    <row r="493" spans="1:11" x14ac:dyDescent="0.35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  <c r="J493">
        <v>10</v>
      </c>
      <c r="K493">
        <f>Table14[[#This Row],[Total Amount]]-Table14[[#This Row],[Discounted Price]]</f>
        <v>90</v>
      </c>
    </row>
    <row r="494" spans="1:11" x14ac:dyDescent="0.35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  <c r="J494">
        <v>10</v>
      </c>
      <c r="K494">
        <f>Table14[[#This Row],[Total Amount]]-Table14[[#This Row],[Discounted Price]]</f>
        <v>40</v>
      </c>
    </row>
    <row r="495" spans="1:11" x14ac:dyDescent="0.35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  <c r="J495">
        <v>10</v>
      </c>
      <c r="K495">
        <f>Table14[[#This Row],[Total Amount]]-Table14[[#This Row],[Discounted Price]]</f>
        <v>190</v>
      </c>
    </row>
    <row r="496" spans="1:11" x14ac:dyDescent="0.35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  <c r="J496">
        <v>10</v>
      </c>
      <c r="K496">
        <f>Table14[[#This Row],[Total Amount]]-Table14[[#This Row],[Discounted Price]]</f>
        <v>50</v>
      </c>
    </row>
    <row r="497" spans="1:11" x14ac:dyDescent="0.35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  <c r="J497">
        <v>10</v>
      </c>
      <c r="K497">
        <f>Table14[[#This Row],[Total Amount]]-Table14[[#This Row],[Discounted Price]]</f>
        <v>590</v>
      </c>
    </row>
    <row r="498" spans="1:11" x14ac:dyDescent="0.35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  <c r="J498">
        <v>10</v>
      </c>
      <c r="K498">
        <f>Table14[[#This Row],[Total Amount]]-Table14[[#This Row],[Discounted Price]]</f>
        <v>110</v>
      </c>
    </row>
    <row r="499" spans="1:11" x14ac:dyDescent="0.35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  <c r="J499">
        <v>10</v>
      </c>
      <c r="K499">
        <f>Table14[[#This Row],[Total Amount]]-Table14[[#This Row],[Discounted Price]]</f>
        <v>90</v>
      </c>
    </row>
    <row r="500" spans="1:11" x14ac:dyDescent="0.35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  <c r="J500">
        <v>10</v>
      </c>
      <c r="K500">
        <f>Table14[[#This Row],[Total Amount]]-Table14[[#This Row],[Discounted Price]]</f>
        <v>50</v>
      </c>
    </row>
    <row r="501" spans="1:11" x14ac:dyDescent="0.35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  <c r="J501">
        <v>10</v>
      </c>
      <c r="K501">
        <f>Table14[[#This Row],[Total Amount]]-Table14[[#This Row],[Discounted Price]]</f>
        <v>90</v>
      </c>
    </row>
    <row r="502" spans="1:11" x14ac:dyDescent="0.35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  <c r="J502">
        <v>10</v>
      </c>
      <c r="K502">
        <f>Table14[[#This Row],[Total Amount]]-Table14[[#This Row],[Discounted Price]]</f>
        <v>50</v>
      </c>
    </row>
    <row r="503" spans="1:11" x14ac:dyDescent="0.35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  <c r="J503">
        <v>10</v>
      </c>
      <c r="K503">
        <f>Table14[[#This Row],[Total Amount]]-Table14[[#This Row],[Discounted Price]]</f>
        <v>140</v>
      </c>
    </row>
    <row r="504" spans="1:11" x14ac:dyDescent="0.35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  <c r="J504">
        <v>10</v>
      </c>
      <c r="K504">
        <f>Table14[[#This Row],[Total Amount]]-Table14[[#This Row],[Discounted Price]]</f>
        <v>1990</v>
      </c>
    </row>
    <row r="505" spans="1:11" x14ac:dyDescent="0.35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  <c r="J505">
        <v>10</v>
      </c>
      <c r="K505">
        <f>Table14[[#This Row],[Total Amount]]-Table14[[#This Row],[Discounted Price]]</f>
        <v>140</v>
      </c>
    </row>
    <row r="506" spans="1:11" x14ac:dyDescent="0.35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  <c r="J506">
        <v>10</v>
      </c>
      <c r="K506">
        <f>Table14[[#This Row],[Total Amount]]-Table14[[#This Row],[Discounted Price]]</f>
        <v>40</v>
      </c>
    </row>
    <row r="507" spans="1:11" x14ac:dyDescent="0.35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  <c r="J507">
        <v>10</v>
      </c>
      <c r="K507">
        <f>Table14[[#This Row],[Total Amount]]-Table14[[#This Row],[Discounted Price]]</f>
        <v>1490</v>
      </c>
    </row>
    <row r="508" spans="1:11" x14ac:dyDescent="0.35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  <c r="J508">
        <v>10</v>
      </c>
      <c r="K508">
        <f>Table14[[#This Row],[Total Amount]]-Table14[[#This Row],[Discounted Price]]</f>
        <v>1490</v>
      </c>
    </row>
    <row r="509" spans="1:11" x14ac:dyDescent="0.35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  <c r="J509">
        <v>10</v>
      </c>
      <c r="K509">
        <f>Table14[[#This Row],[Total Amount]]-Table14[[#This Row],[Discounted Price]]</f>
        <v>590</v>
      </c>
    </row>
    <row r="510" spans="1:11" x14ac:dyDescent="0.35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  <c r="J510">
        <v>10</v>
      </c>
      <c r="K510">
        <f>Table14[[#This Row],[Total Amount]]-Table14[[#This Row],[Discounted Price]]</f>
        <v>890</v>
      </c>
    </row>
    <row r="511" spans="1:11" x14ac:dyDescent="0.35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  <c r="J511">
        <v>10</v>
      </c>
      <c r="K511">
        <f>Table14[[#This Row],[Total Amount]]-Table14[[#This Row],[Discounted Price]]</f>
        <v>190</v>
      </c>
    </row>
    <row r="512" spans="1:11" x14ac:dyDescent="0.35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  <c r="J512">
        <v>10</v>
      </c>
      <c r="K512">
        <f>Table14[[#This Row],[Total Amount]]-Table14[[#This Row],[Discounted Price]]</f>
        <v>90</v>
      </c>
    </row>
    <row r="513" spans="1:11" x14ac:dyDescent="0.35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  <c r="J513">
        <v>10</v>
      </c>
      <c r="K513">
        <f>Table14[[#This Row],[Total Amount]]-Table14[[#This Row],[Discounted Price]]</f>
        <v>15</v>
      </c>
    </row>
    <row r="514" spans="1:11" x14ac:dyDescent="0.35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  <c r="J514">
        <v>10</v>
      </c>
      <c r="K514">
        <f>Table14[[#This Row],[Total Amount]]-Table14[[#This Row],[Discounted Price]]</f>
        <v>90</v>
      </c>
    </row>
    <row r="515" spans="1:11" x14ac:dyDescent="0.35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  <c r="J515">
        <v>10</v>
      </c>
      <c r="K515">
        <f>Table14[[#This Row],[Total Amount]]-Table14[[#This Row],[Discounted Price]]</f>
        <v>290</v>
      </c>
    </row>
    <row r="516" spans="1:11" x14ac:dyDescent="0.35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  <c r="J516">
        <v>10</v>
      </c>
      <c r="K516">
        <f>Table14[[#This Row],[Total Amount]]-Table14[[#This Row],[Discounted Price]]</f>
        <v>890</v>
      </c>
    </row>
    <row r="517" spans="1:11" x14ac:dyDescent="0.35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  <c r="J517">
        <v>10</v>
      </c>
      <c r="K517">
        <f>Table14[[#This Row],[Total Amount]]-Table14[[#This Row],[Discounted Price]]</f>
        <v>90</v>
      </c>
    </row>
    <row r="518" spans="1:11" x14ac:dyDescent="0.35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  <c r="J518">
        <v>10</v>
      </c>
      <c r="K518">
        <f>Table14[[#This Row],[Total Amount]]-Table14[[#This Row],[Discounted Price]]</f>
        <v>90</v>
      </c>
    </row>
    <row r="519" spans="1:11" x14ac:dyDescent="0.35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  <c r="J519">
        <v>10</v>
      </c>
      <c r="K519">
        <f>Table14[[#This Row],[Total Amount]]-Table14[[#This Row],[Discounted Price]]</f>
        <v>20</v>
      </c>
    </row>
    <row r="520" spans="1:11" x14ac:dyDescent="0.35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  <c r="J520">
        <v>10</v>
      </c>
      <c r="K520">
        <f>Table14[[#This Row],[Total Amount]]-Table14[[#This Row],[Discounted Price]]</f>
        <v>110</v>
      </c>
    </row>
    <row r="521" spans="1:11" x14ac:dyDescent="0.35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  <c r="J521">
        <v>10</v>
      </c>
      <c r="K521">
        <f>Table14[[#This Row],[Total Amount]]-Table14[[#This Row],[Discounted Price]]</f>
        <v>90</v>
      </c>
    </row>
    <row r="522" spans="1:11" x14ac:dyDescent="0.35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  <c r="J522">
        <v>10</v>
      </c>
      <c r="K522">
        <f>Table14[[#This Row],[Total Amount]]-Table14[[#This Row],[Discounted Price]]</f>
        <v>110</v>
      </c>
    </row>
    <row r="523" spans="1:11" x14ac:dyDescent="0.35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  <c r="J523">
        <v>10</v>
      </c>
      <c r="K523">
        <f>Table14[[#This Row],[Total Amount]]-Table14[[#This Row],[Discounted Price]]</f>
        <v>1490</v>
      </c>
    </row>
    <row r="524" spans="1:11" x14ac:dyDescent="0.35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  <c r="J524">
        <v>10</v>
      </c>
      <c r="K524">
        <f>Table14[[#This Row],[Total Amount]]-Table14[[#This Row],[Discounted Price]]</f>
        <v>290</v>
      </c>
    </row>
    <row r="525" spans="1:11" x14ac:dyDescent="0.35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  <c r="J525">
        <v>10</v>
      </c>
      <c r="K525">
        <f>Table14[[#This Row],[Total Amount]]-Table14[[#This Row],[Discounted Price]]</f>
        <v>1190</v>
      </c>
    </row>
    <row r="526" spans="1:11" x14ac:dyDescent="0.35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  <c r="J526">
        <v>10</v>
      </c>
      <c r="K526">
        <f>Table14[[#This Row],[Total Amount]]-Table14[[#This Row],[Discounted Price]]</f>
        <v>40</v>
      </c>
    </row>
    <row r="527" spans="1:11" x14ac:dyDescent="0.35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  <c r="J527">
        <v>10</v>
      </c>
      <c r="K527">
        <f>Table14[[#This Row],[Total Amount]]-Table14[[#This Row],[Discounted Price]]</f>
        <v>90</v>
      </c>
    </row>
    <row r="528" spans="1:11" x14ac:dyDescent="0.35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  <c r="J528">
        <v>10</v>
      </c>
      <c r="K528">
        <f>Table14[[#This Row],[Total Amount]]-Table14[[#This Row],[Discounted Price]]</f>
        <v>40</v>
      </c>
    </row>
    <row r="529" spans="1:11" x14ac:dyDescent="0.35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  <c r="J529">
        <v>10</v>
      </c>
      <c r="K529">
        <f>Table14[[#This Row],[Total Amount]]-Table14[[#This Row],[Discounted Price]]</f>
        <v>50</v>
      </c>
    </row>
    <row r="530" spans="1:11" x14ac:dyDescent="0.35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  <c r="J530">
        <v>10</v>
      </c>
      <c r="K530">
        <f>Table14[[#This Row],[Total Amount]]-Table14[[#This Row],[Discounted Price]]</f>
        <v>140</v>
      </c>
    </row>
    <row r="531" spans="1:11" x14ac:dyDescent="0.35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  <c r="J531">
        <v>10</v>
      </c>
      <c r="K531">
        <f>Table14[[#This Row],[Total Amount]]-Table14[[#This Row],[Discounted Price]]</f>
        <v>110</v>
      </c>
    </row>
    <row r="532" spans="1:11" x14ac:dyDescent="0.35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  <c r="J532">
        <v>10</v>
      </c>
      <c r="K532">
        <f>Table14[[#This Row],[Total Amount]]-Table14[[#This Row],[Discounted Price]]</f>
        <v>490</v>
      </c>
    </row>
    <row r="533" spans="1:11" x14ac:dyDescent="0.35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  <c r="J533">
        <v>10</v>
      </c>
      <c r="K533">
        <f>Table14[[#This Row],[Total Amount]]-Table14[[#This Row],[Discounted Price]]</f>
        <v>110</v>
      </c>
    </row>
    <row r="534" spans="1:11" x14ac:dyDescent="0.35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  <c r="J534">
        <v>10</v>
      </c>
      <c r="K534">
        <f>Table14[[#This Row],[Total Amount]]-Table14[[#This Row],[Discounted Price]]</f>
        <v>1490</v>
      </c>
    </row>
    <row r="535" spans="1:11" x14ac:dyDescent="0.35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  <c r="J535">
        <v>10</v>
      </c>
      <c r="K535">
        <f>Table14[[#This Row],[Total Amount]]-Table14[[#This Row],[Discounted Price]]</f>
        <v>990</v>
      </c>
    </row>
    <row r="536" spans="1:11" x14ac:dyDescent="0.35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  <c r="J536">
        <v>10</v>
      </c>
      <c r="K536">
        <f>Table14[[#This Row],[Total Amount]]-Table14[[#This Row],[Discounted Price]]</f>
        <v>80</v>
      </c>
    </row>
    <row r="537" spans="1:11" x14ac:dyDescent="0.35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  <c r="J537">
        <v>10</v>
      </c>
      <c r="K537">
        <f>Table14[[#This Row],[Total Amount]]-Table14[[#This Row],[Discounted Price]]</f>
        <v>110</v>
      </c>
    </row>
    <row r="538" spans="1:11" x14ac:dyDescent="0.35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  <c r="J538">
        <v>10</v>
      </c>
      <c r="K538">
        <f>Table14[[#This Row],[Total Amount]]-Table14[[#This Row],[Discounted Price]]</f>
        <v>490</v>
      </c>
    </row>
    <row r="539" spans="1:11" x14ac:dyDescent="0.35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  <c r="J539">
        <v>10</v>
      </c>
      <c r="K539">
        <f>Table14[[#This Row],[Total Amount]]-Table14[[#This Row],[Discounted Price]]</f>
        <v>140</v>
      </c>
    </row>
    <row r="540" spans="1:11" x14ac:dyDescent="0.35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  <c r="J540">
        <v>10</v>
      </c>
      <c r="K540">
        <f>Table14[[#This Row],[Total Amount]]-Table14[[#This Row],[Discounted Price]]</f>
        <v>490</v>
      </c>
    </row>
    <row r="541" spans="1:11" x14ac:dyDescent="0.35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  <c r="J541">
        <v>10</v>
      </c>
      <c r="K541">
        <f>Table14[[#This Row],[Total Amount]]-Table14[[#This Row],[Discounted Price]]</f>
        <v>890</v>
      </c>
    </row>
    <row r="542" spans="1:11" x14ac:dyDescent="0.35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  <c r="J542">
        <v>10</v>
      </c>
      <c r="K542">
        <f>Table14[[#This Row],[Total Amount]]-Table14[[#This Row],[Discounted Price]]</f>
        <v>490</v>
      </c>
    </row>
    <row r="543" spans="1:11" x14ac:dyDescent="0.35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  <c r="J543">
        <v>10</v>
      </c>
      <c r="K543">
        <f>Table14[[#This Row],[Total Amount]]-Table14[[#This Row],[Discounted Price]]</f>
        <v>40</v>
      </c>
    </row>
    <row r="544" spans="1:11" x14ac:dyDescent="0.35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  <c r="J544">
        <v>10</v>
      </c>
      <c r="K544">
        <f>Table14[[#This Row],[Total Amount]]-Table14[[#This Row],[Discounted Price]]</f>
        <v>590</v>
      </c>
    </row>
    <row r="545" spans="1:11" x14ac:dyDescent="0.35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  <c r="J545">
        <v>10</v>
      </c>
      <c r="K545">
        <f>Table14[[#This Row],[Total Amount]]-Table14[[#This Row],[Discounted Price]]</f>
        <v>15</v>
      </c>
    </row>
    <row r="546" spans="1:11" x14ac:dyDescent="0.35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  <c r="J546">
        <v>10</v>
      </c>
      <c r="K546">
        <f>Table14[[#This Row],[Total Amount]]-Table14[[#This Row],[Discounted Price]]</f>
        <v>40</v>
      </c>
    </row>
    <row r="547" spans="1:11" x14ac:dyDescent="0.35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  <c r="J547">
        <v>10</v>
      </c>
      <c r="K547">
        <f>Table14[[#This Row],[Total Amount]]-Table14[[#This Row],[Discounted Price]]</f>
        <v>190</v>
      </c>
    </row>
    <row r="548" spans="1:11" x14ac:dyDescent="0.35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  <c r="J548">
        <v>10</v>
      </c>
      <c r="K548">
        <f>Table14[[#This Row],[Total Amount]]-Table14[[#This Row],[Discounted Price]]</f>
        <v>1990</v>
      </c>
    </row>
    <row r="549" spans="1:11" x14ac:dyDescent="0.35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  <c r="J549">
        <v>10</v>
      </c>
      <c r="K549">
        <f>Table14[[#This Row],[Total Amount]]-Table14[[#This Row],[Discounted Price]]</f>
        <v>50</v>
      </c>
    </row>
    <row r="550" spans="1:11" x14ac:dyDescent="0.35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  <c r="J550">
        <v>10</v>
      </c>
      <c r="K550">
        <f>Table14[[#This Row],[Total Amount]]-Table14[[#This Row],[Discounted Price]]</f>
        <v>90</v>
      </c>
    </row>
    <row r="551" spans="1:11" x14ac:dyDescent="0.35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  <c r="J551">
        <v>10</v>
      </c>
      <c r="K551">
        <f>Table14[[#This Row],[Total Amount]]-Table14[[#This Row],[Discounted Price]]</f>
        <v>890</v>
      </c>
    </row>
    <row r="552" spans="1:11" x14ac:dyDescent="0.35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  <c r="J552">
        <v>10</v>
      </c>
      <c r="K552">
        <f>Table14[[#This Row],[Total Amount]]-Table14[[#This Row],[Discounted Price]]</f>
        <v>890</v>
      </c>
    </row>
    <row r="553" spans="1:11" x14ac:dyDescent="0.35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  <c r="J553">
        <v>10</v>
      </c>
      <c r="K553">
        <f>Table14[[#This Row],[Total Amount]]-Table14[[#This Row],[Discounted Price]]</f>
        <v>65</v>
      </c>
    </row>
    <row r="554" spans="1:11" x14ac:dyDescent="0.35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  <c r="J554">
        <v>10</v>
      </c>
      <c r="K554">
        <f>Table14[[#This Row],[Total Amount]]-Table14[[#This Row],[Discounted Price]]</f>
        <v>1190</v>
      </c>
    </row>
    <row r="555" spans="1:11" x14ac:dyDescent="0.35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  <c r="J555">
        <v>10</v>
      </c>
      <c r="K555">
        <f>Table14[[#This Row],[Total Amount]]-Table14[[#This Row],[Discounted Price]]</f>
        <v>140</v>
      </c>
    </row>
    <row r="556" spans="1:11" x14ac:dyDescent="0.35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  <c r="J556">
        <v>10</v>
      </c>
      <c r="K556">
        <f>Table14[[#This Row],[Total Amount]]-Table14[[#This Row],[Discounted Price]]</f>
        <v>290</v>
      </c>
    </row>
    <row r="557" spans="1:11" x14ac:dyDescent="0.35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  <c r="J557">
        <v>10</v>
      </c>
      <c r="K557">
        <f>Table14[[#This Row],[Total Amount]]-Table14[[#This Row],[Discounted Price]]</f>
        <v>40</v>
      </c>
    </row>
    <row r="558" spans="1:11" x14ac:dyDescent="0.35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  <c r="J558">
        <v>10</v>
      </c>
      <c r="K558">
        <f>Table14[[#This Row],[Total Amount]]-Table14[[#This Row],[Discounted Price]]</f>
        <v>80</v>
      </c>
    </row>
    <row r="559" spans="1:11" x14ac:dyDescent="0.35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  <c r="J559">
        <v>10</v>
      </c>
      <c r="K559">
        <f>Table14[[#This Row],[Total Amount]]-Table14[[#This Row],[Discounted Price]]</f>
        <v>15</v>
      </c>
    </row>
    <row r="560" spans="1:11" x14ac:dyDescent="0.35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  <c r="J560">
        <v>10</v>
      </c>
      <c r="K560">
        <f>Table14[[#This Row],[Total Amount]]-Table14[[#This Row],[Discounted Price]]</f>
        <v>1190</v>
      </c>
    </row>
    <row r="561" spans="1:11" x14ac:dyDescent="0.35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  <c r="J561">
        <v>10</v>
      </c>
      <c r="K561">
        <f>Table14[[#This Row],[Total Amount]]-Table14[[#This Row],[Discounted Price]]</f>
        <v>40</v>
      </c>
    </row>
    <row r="562" spans="1:11" x14ac:dyDescent="0.35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  <c r="J562">
        <v>10</v>
      </c>
      <c r="K562">
        <f>Table14[[#This Row],[Total Amount]]-Table14[[#This Row],[Discounted Price]]</f>
        <v>1990</v>
      </c>
    </row>
    <row r="563" spans="1:11" x14ac:dyDescent="0.35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  <c r="J563">
        <v>10</v>
      </c>
      <c r="K563">
        <f>Table14[[#This Row],[Total Amount]]-Table14[[#This Row],[Discounted Price]]</f>
        <v>40</v>
      </c>
    </row>
    <row r="564" spans="1:11" x14ac:dyDescent="0.35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  <c r="J564">
        <v>10</v>
      </c>
      <c r="K564">
        <f>Table14[[#This Row],[Total Amount]]-Table14[[#This Row],[Discounted Price]]</f>
        <v>50</v>
      </c>
    </row>
    <row r="565" spans="1:11" x14ac:dyDescent="0.35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  <c r="J565">
        <v>10</v>
      </c>
      <c r="K565">
        <f>Table14[[#This Row],[Total Amount]]-Table14[[#This Row],[Discounted Price]]</f>
        <v>90</v>
      </c>
    </row>
    <row r="566" spans="1:11" x14ac:dyDescent="0.35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  <c r="J566">
        <v>10</v>
      </c>
      <c r="K566">
        <f>Table14[[#This Row],[Total Amount]]-Table14[[#This Row],[Discounted Price]]</f>
        <v>50</v>
      </c>
    </row>
    <row r="567" spans="1:11" x14ac:dyDescent="0.35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  <c r="J567">
        <v>10</v>
      </c>
      <c r="K567">
        <f>Table14[[#This Row],[Total Amount]]-Table14[[#This Row],[Discounted Price]]</f>
        <v>20</v>
      </c>
    </row>
    <row r="568" spans="1:11" x14ac:dyDescent="0.35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  <c r="J568">
        <v>10</v>
      </c>
      <c r="K568">
        <f>Table14[[#This Row],[Total Amount]]-Table14[[#This Row],[Discounted Price]]</f>
        <v>890</v>
      </c>
    </row>
    <row r="569" spans="1:11" x14ac:dyDescent="0.35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  <c r="J569">
        <v>10</v>
      </c>
      <c r="K569">
        <f>Table14[[#This Row],[Total Amount]]-Table14[[#This Row],[Discounted Price]]</f>
        <v>290</v>
      </c>
    </row>
    <row r="570" spans="1:11" x14ac:dyDescent="0.35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  <c r="J570">
        <v>10</v>
      </c>
      <c r="K570">
        <f>Table14[[#This Row],[Total Amount]]-Table14[[#This Row],[Discounted Price]]</f>
        <v>190</v>
      </c>
    </row>
    <row r="571" spans="1:11" x14ac:dyDescent="0.35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  <c r="J571">
        <v>10</v>
      </c>
      <c r="K571">
        <f>Table14[[#This Row],[Total Amount]]-Table14[[#This Row],[Discounted Price]]</f>
        <v>490</v>
      </c>
    </row>
    <row r="572" spans="1:11" x14ac:dyDescent="0.35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  <c r="J572">
        <v>10</v>
      </c>
      <c r="K572">
        <f>Table14[[#This Row],[Total Amount]]-Table14[[#This Row],[Discounted Price]]</f>
        <v>40</v>
      </c>
    </row>
    <row r="573" spans="1:11" x14ac:dyDescent="0.35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  <c r="J573">
        <v>10</v>
      </c>
      <c r="K573">
        <f>Table14[[#This Row],[Total Amount]]-Table14[[#This Row],[Discounted Price]]</f>
        <v>1990</v>
      </c>
    </row>
    <row r="574" spans="1:11" x14ac:dyDescent="0.35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  <c r="J574">
        <v>10</v>
      </c>
      <c r="K574">
        <f>Table14[[#This Row],[Total Amount]]-Table14[[#This Row],[Discounted Price]]</f>
        <v>50</v>
      </c>
    </row>
    <row r="575" spans="1:11" x14ac:dyDescent="0.35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  <c r="J575">
        <v>10</v>
      </c>
      <c r="K575">
        <f>Table14[[#This Row],[Total Amount]]-Table14[[#This Row],[Discounted Price]]</f>
        <v>40</v>
      </c>
    </row>
    <row r="576" spans="1:11" x14ac:dyDescent="0.35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  <c r="J576">
        <v>10</v>
      </c>
      <c r="K576">
        <f>Table14[[#This Row],[Total Amount]]-Table14[[#This Row],[Discounted Price]]</f>
        <v>90</v>
      </c>
    </row>
    <row r="577" spans="1:11" x14ac:dyDescent="0.35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  <c r="J577">
        <v>10</v>
      </c>
      <c r="K577">
        <f>Table14[[#This Row],[Total Amount]]-Table14[[#This Row],[Discounted Price]]</f>
        <v>140</v>
      </c>
    </row>
    <row r="578" spans="1:11" x14ac:dyDescent="0.35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  <c r="J578">
        <v>10</v>
      </c>
      <c r="K578">
        <f>Table14[[#This Row],[Total Amount]]-Table14[[#This Row],[Discounted Price]]</f>
        <v>1990</v>
      </c>
    </row>
    <row r="579" spans="1:11" x14ac:dyDescent="0.35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  <c r="J579">
        <v>10</v>
      </c>
      <c r="K579">
        <f>Table14[[#This Row],[Total Amount]]-Table14[[#This Row],[Discounted Price]]</f>
        <v>110</v>
      </c>
    </row>
    <row r="580" spans="1:11" x14ac:dyDescent="0.35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  <c r="J580">
        <v>10</v>
      </c>
      <c r="K580">
        <f>Table14[[#This Row],[Total Amount]]-Table14[[#This Row],[Discounted Price]]</f>
        <v>20</v>
      </c>
    </row>
    <row r="581" spans="1:11" x14ac:dyDescent="0.35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  <c r="J581">
        <v>10</v>
      </c>
      <c r="K581">
        <f>Table14[[#This Row],[Total Amount]]-Table14[[#This Row],[Discounted Price]]</f>
        <v>1490</v>
      </c>
    </row>
    <row r="582" spans="1:11" x14ac:dyDescent="0.35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  <c r="J582">
        <v>10</v>
      </c>
      <c r="K582">
        <f>Table14[[#This Row],[Total Amount]]-Table14[[#This Row],[Discounted Price]]</f>
        <v>50</v>
      </c>
    </row>
    <row r="583" spans="1:11" x14ac:dyDescent="0.35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  <c r="J583">
        <v>10</v>
      </c>
      <c r="K583">
        <f>Table14[[#This Row],[Total Amount]]-Table14[[#This Row],[Discounted Price]]</f>
        <v>890</v>
      </c>
    </row>
    <row r="584" spans="1:11" x14ac:dyDescent="0.35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  <c r="J584">
        <v>10</v>
      </c>
      <c r="K584">
        <f>Table14[[#This Row],[Total Amount]]-Table14[[#This Row],[Discounted Price]]</f>
        <v>90</v>
      </c>
    </row>
    <row r="585" spans="1:11" x14ac:dyDescent="0.35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  <c r="J585">
        <v>10</v>
      </c>
      <c r="K585">
        <f>Table14[[#This Row],[Total Amount]]-Table14[[#This Row],[Discounted Price]]</f>
        <v>190</v>
      </c>
    </row>
    <row r="586" spans="1:11" x14ac:dyDescent="0.35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  <c r="J586">
        <v>10</v>
      </c>
      <c r="K586">
        <f>Table14[[#This Row],[Total Amount]]-Table14[[#This Row],[Discounted Price]]</f>
        <v>15</v>
      </c>
    </row>
    <row r="587" spans="1:11" x14ac:dyDescent="0.35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  <c r="J587">
        <v>10</v>
      </c>
      <c r="K587">
        <f>Table14[[#This Row],[Total Amount]]-Table14[[#This Row],[Discounted Price]]</f>
        <v>40</v>
      </c>
    </row>
    <row r="588" spans="1:11" x14ac:dyDescent="0.35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  <c r="J588">
        <v>10</v>
      </c>
      <c r="K588">
        <f>Table14[[#This Row],[Total Amount]]-Table14[[#This Row],[Discounted Price]]</f>
        <v>1190</v>
      </c>
    </row>
    <row r="589" spans="1:11" x14ac:dyDescent="0.35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  <c r="J589">
        <v>10</v>
      </c>
      <c r="K589">
        <f>Table14[[#This Row],[Total Amount]]-Table14[[#This Row],[Discounted Price]]</f>
        <v>50</v>
      </c>
    </row>
    <row r="590" spans="1:11" x14ac:dyDescent="0.35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  <c r="J590">
        <v>10</v>
      </c>
      <c r="K590">
        <f>Table14[[#This Row],[Total Amount]]-Table14[[#This Row],[Discounted Price]]</f>
        <v>990</v>
      </c>
    </row>
    <row r="591" spans="1:11" x14ac:dyDescent="0.35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  <c r="J591">
        <v>10</v>
      </c>
      <c r="K591">
        <f>Table14[[#This Row],[Total Amount]]-Table14[[#This Row],[Discounted Price]]</f>
        <v>890</v>
      </c>
    </row>
    <row r="592" spans="1:11" x14ac:dyDescent="0.35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  <c r="J592">
        <v>10</v>
      </c>
      <c r="K592">
        <f>Table14[[#This Row],[Total Amount]]-Table14[[#This Row],[Discounted Price]]</f>
        <v>90</v>
      </c>
    </row>
    <row r="593" spans="1:11" x14ac:dyDescent="0.35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  <c r="J593">
        <v>10</v>
      </c>
      <c r="K593">
        <f>Table14[[#This Row],[Total Amount]]-Table14[[#This Row],[Discounted Price]]</f>
        <v>1990</v>
      </c>
    </row>
    <row r="594" spans="1:11" x14ac:dyDescent="0.35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  <c r="J594">
        <v>10</v>
      </c>
      <c r="K594">
        <f>Table14[[#This Row],[Total Amount]]-Table14[[#This Row],[Discounted Price]]</f>
        <v>50</v>
      </c>
    </row>
    <row r="595" spans="1:11" x14ac:dyDescent="0.35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  <c r="J595">
        <v>10</v>
      </c>
      <c r="K595">
        <f>Table14[[#This Row],[Total Amount]]-Table14[[#This Row],[Discounted Price]]</f>
        <v>590</v>
      </c>
    </row>
    <row r="596" spans="1:11" x14ac:dyDescent="0.35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  <c r="J596">
        <v>10</v>
      </c>
      <c r="K596">
        <f>Table14[[#This Row],[Total Amount]]-Table14[[#This Row],[Discounted Price]]</f>
        <v>1990</v>
      </c>
    </row>
    <row r="597" spans="1:11" x14ac:dyDescent="0.35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  <c r="J597">
        <v>10</v>
      </c>
      <c r="K597">
        <f>Table14[[#This Row],[Total Amount]]-Table14[[#This Row],[Discounted Price]]</f>
        <v>290</v>
      </c>
    </row>
    <row r="598" spans="1:11" x14ac:dyDescent="0.35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  <c r="J598">
        <v>10</v>
      </c>
      <c r="K598">
        <f>Table14[[#This Row],[Total Amount]]-Table14[[#This Row],[Discounted Price]]</f>
        <v>1190</v>
      </c>
    </row>
    <row r="599" spans="1:11" x14ac:dyDescent="0.35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  <c r="J599">
        <v>10</v>
      </c>
      <c r="K599">
        <f>Table14[[#This Row],[Total Amount]]-Table14[[#This Row],[Discounted Price]]</f>
        <v>110</v>
      </c>
    </row>
    <row r="600" spans="1:11" x14ac:dyDescent="0.35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  <c r="J600">
        <v>10</v>
      </c>
      <c r="K600">
        <f>Table14[[#This Row],[Total Amount]]-Table14[[#This Row],[Discounted Price]]</f>
        <v>90</v>
      </c>
    </row>
    <row r="601" spans="1:11" x14ac:dyDescent="0.35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  <c r="J601">
        <v>10</v>
      </c>
      <c r="K601">
        <f>Table14[[#This Row],[Total Amount]]-Table14[[#This Row],[Discounted Price]]</f>
        <v>990</v>
      </c>
    </row>
    <row r="602" spans="1:11" x14ac:dyDescent="0.35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  <c r="J602">
        <v>10</v>
      </c>
      <c r="K602">
        <f>Table14[[#This Row],[Total Amount]]-Table14[[#This Row],[Discounted Price]]</f>
        <v>20</v>
      </c>
    </row>
    <row r="603" spans="1:11" x14ac:dyDescent="0.35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  <c r="J603">
        <v>10</v>
      </c>
      <c r="K603">
        <f>Table14[[#This Row],[Total Amount]]-Table14[[#This Row],[Discounted Price]]</f>
        <v>290</v>
      </c>
    </row>
    <row r="604" spans="1:11" x14ac:dyDescent="0.35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  <c r="J604">
        <v>10</v>
      </c>
      <c r="K604">
        <f>Table14[[#This Row],[Total Amount]]-Table14[[#This Row],[Discounted Price]]</f>
        <v>80</v>
      </c>
    </row>
    <row r="605" spans="1:11" x14ac:dyDescent="0.35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  <c r="J605">
        <v>10</v>
      </c>
      <c r="K605">
        <f>Table14[[#This Row],[Total Amount]]-Table14[[#This Row],[Discounted Price]]</f>
        <v>190</v>
      </c>
    </row>
    <row r="606" spans="1:11" x14ac:dyDescent="0.35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  <c r="J606">
        <v>10</v>
      </c>
      <c r="K606">
        <f>Table14[[#This Row],[Total Amount]]-Table14[[#This Row],[Discounted Price]]</f>
        <v>990</v>
      </c>
    </row>
    <row r="607" spans="1:11" x14ac:dyDescent="0.35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  <c r="J607">
        <v>10</v>
      </c>
      <c r="K607">
        <f>Table14[[#This Row],[Total Amount]]-Table14[[#This Row],[Discounted Price]]</f>
        <v>40</v>
      </c>
    </row>
    <row r="608" spans="1:11" x14ac:dyDescent="0.35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  <c r="J608">
        <v>10</v>
      </c>
      <c r="K608">
        <f>Table14[[#This Row],[Total Amount]]-Table14[[#This Row],[Discounted Price]]</f>
        <v>65</v>
      </c>
    </row>
    <row r="609" spans="1:11" x14ac:dyDescent="0.35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  <c r="J609">
        <v>10</v>
      </c>
      <c r="K609">
        <f>Table14[[#This Row],[Total Amount]]-Table14[[#This Row],[Discounted Price]]</f>
        <v>1490</v>
      </c>
    </row>
    <row r="610" spans="1:11" x14ac:dyDescent="0.35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  <c r="J610">
        <v>10</v>
      </c>
      <c r="K610">
        <f>Table14[[#This Row],[Total Amount]]-Table14[[#This Row],[Discounted Price]]</f>
        <v>90</v>
      </c>
    </row>
    <row r="611" spans="1:11" x14ac:dyDescent="0.35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  <c r="J611">
        <v>10</v>
      </c>
      <c r="K611">
        <f>Table14[[#This Row],[Total Amount]]-Table14[[#This Row],[Discounted Price]]</f>
        <v>590</v>
      </c>
    </row>
    <row r="612" spans="1:11" x14ac:dyDescent="0.35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  <c r="J612">
        <v>10</v>
      </c>
      <c r="K612">
        <f>Table14[[#This Row],[Total Amount]]-Table14[[#This Row],[Discounted Price]]</f>
        <v>1490</v>
      </c>
    </row>
    <row r="613" spans="1:11" x14ac:dyDescent="0.35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  <c r="J613">
        <v>10</v>
      </c>
      <c r="K613">
        <f>Table14[[#This Row],[Total Amount]]-Table14[[#This Row],[Discounted Price]]</f>
        <v>490</v>
      </c>
    </row>
    <row r="614" spans="1:11" x14ac:dyDescent="0.35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  <c r="J614">
        <v>10</v>
      </c>
      <c r="K614">
        <f>Table14[[#This Row],[Total Amount]]-Table14[[#This Row],[Discounted Price]]</f>
        <v>80</v>
      </c>
    </row>
    <row r="615" spans="1:11" x14ac:dyDescent="0.35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  <c r="J615">
        <v>10</v>
      </c>
      <c r="K615">
        <f>Table14[[#This Row],[Total Amount]]-Table14[[#This Row],[Discounted Price]]</f>
        <v>1190</v>
      </c>
    </row>
    <row r="616" spans="1:11" x14ac:dyDescent="0.35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  <c r="J616">
        <v>10</v>
      </c>
      <c r="K616">
        <f>Table14[[#This Row],[Total Amount]]-Table14[[#This Row],[Discounted Price]]</f>
        <v>90</v>
      </c>
    </row>
    <row r="617" spans="1:11" x14ac:dyDescent="0.35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  <c r="J617">
        <v>10</v>
      </c>
      <c r="K617">
        <f>Table14[[#This Row],[Total Amount]]-Table14[[#This Row],[Discounted Price]]</f>
        <v>90</v>
      </c>
    </row>
    <row r="618" spans="1:11" x14ac:dyDescent="0.35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  <c r="J618">
        <v>10</v>
      </c>
      <c r="K618">
        <f>Table14[[#This Row],[Total Amount]]-Table14[[#This Row],[Discounted Price]]</f>
        <v>20</v>
      </c>
    </row>
    <row r="619" spans="1:11" x14ac:dyDescent="0.35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  <c r="J619">
        <v>10</v>
      </c>
      <c r="K619">
        <f>Table14[[#This Row],[Total Amount]]-Table14[[#This Row],[Discounted Price]]</f>
        <v>40</v>
      </c>
    </row>
    <row r="620" spans="1:11" x14ac:dyDescent="0.35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  <c r="J620">
        <v>10</v>
      </c>
      <c r="K620">
        <f>Table14[[#This Row],[Total Amount]]-Table14[[#This Row],[Discounted Price]]</f>
        <v>90</v>
      </c>
    </row>
    <row r="621" spans="1:11" x14ac:dyDescent="0.35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  <c r="J621">
        <v>10</v>
      </c>
      <c r="K621">
        <f>Table14[[#This Row],[Total Amount]]-Table14[[#This Row],[Discounted Price]]</f>
        <v>65</v>
      </c>
    </row>
    <row r="622" spans="1:11" x14ac:dyDescent="0.35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  <c r="J622">
        <v>10</v>
      </c>
      <c r="K622">
        <f>Table14[[#This Row],[Total Amount]]-Table14[[#This Row],[Discounted Price]]</f>
        <v>990</v>
      </c>
    </row>
    <row r="623" spans="1:11" x14ac:dyDescent="0.35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  <c r="J623">
        <v>10</v>
      </c>
      <c r="K623">
        <f>Table14[[#This Row],[Total Amount]]-Table14[[#This Row],[Discounted Price]]</f>
        <v>65</v>
      </c>
    </row>
    <row r="624" spans="1:11" x14ac:dyDescent="0.35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  <c r="J624">
        <v>10</v>
      </c>
      <c r="K624">
        <f>Table14[[#This Row],[Total Amount]]-Table14[[#This Row],[Discounted Price]]</f>
        <v>140</v>
      </c>
    </row>
    <row r="625" spans="1:11" x14ac:dyDescent="0.35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  <c r="J625">
        <v>10</v>
      </c>
      <c r="K625">
        <f>Table14[[#This Row],[Total Amount]]-Table14[[#This Row],[Discounted Price]]</f>
        <v>890</v>
      </c>
    </row>
    <row r="626" spans="1:11" x14ac:dyDescent="0.35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  <c r="J626">
        <v>10</v>
      </c>
      <c r="K626">
        <f>Table14[[#This Row],[Total Amount]]-Table14[[#This Row],[Discounted Price]]</f>
        <v>290</v>
      </c>
    </row>
    <row r="627" spans="1:11" x14ac:dyDescent="0.35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  <c r="J627">
        <v>10</v>
      </c>
      <c r="K627">
        <f>Table14[[#This Row],[Total Amount]]-Table14[[#This Row],[Discounted Price]]</f>
        <v>1990</v>
      </c>
    </row>
    <row r="628" spans="1:11" x14ac:dyDescent="0.35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  <c r="J628">
        <v>10</v>
      </c>
      <c r="K628">
        <f>Table14[[#This Row],[Total Amount]]-Table14[[#This Row],[Discounted Price]]</f>
        <v>40</v>
      </c>
    </row>
    <row r="629" spans="1:11" x14ac:dyDescent="0.35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  <c r="J629">
        <v>10</v>
      </c>
      <c r="K629">
        <f>Table14[[#This Row],[Total Amount]]-Table14[[#This Row],[Discounted Price]]</f>
        <v>190</v>
      </c>
    </row>
    <row r="630" spans="1:11" x14ac:dyDescent="0.35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  <c r="J630">
        <v>10</v>
      </c>
      <c r="K630">
        <f>Table14[[#This Row],[Total Amount]]-Table14[[#This Row],[Discounted Price]]</f>
        <v>40</v>
      </c>
    </row>
    <row r="631" spans="1:11" x14ac:dyDescent="0.35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  <c r="J631">
        <v>10</v>
      </c>
      <c r="K631">
        <f>Table14[[#This Row],[Total Amount]]-Table14[[#This Row],[Discounted Price]]</f>
        <v>90</v>
      </c>
    </row>
    <row r="632" spans="1:11" x14ac:dyDescent="0.35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  <c r="J632">
        <v>10</v>
      </c>
      <c r="K632">
        <f>Table14[[#This Row],[Total Amount]]-Table14[[#This Row],[Discounted Price]]</f>
        <v>80</v>
      </c>
    </row>
    <row r="633" spans="1:11" x14ac:dyDescent="0.35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  <c r="J633">
        <v>10</v>
      </c>
      <c r="K633">
        <f>Table14[[#This Row],[Total Amount]]-Table14[[#This Row],[Discounted Price]]</f>
        <v>90</v>
      </c>
    </row>
    <row r="634" spans="1:11" x14ac:dyDescent="0.35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  <c r="J634">
        <v>10</v>
      </c>
      <c r="K634">
        <f>Table14[[#This Row],[Total Amount]]-Table14[[#This Row],[Discounted Price]]</f>
        <v>110</v>
      </c>
    </row>
    <row r="635" spans="1:11" x14ac:dyDescent="0.35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  <c r="J635">
        <v>10</v>
      </c>
      <c r="K635">
        <f>Table14[[#This Row],[Total Amount]]-Table14[[#This Row],[Discounted Price]]</f>
        <v>1990</v>
      </c>
    </row>
    <row r="636" spans="1:11" x14ac:dyDescent="0.35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  <c r="J636">
        <v>10</v>
      </c>
      <c r="K636">
        <f>Table14[[#This Row],[Total Amount]]-Table14[[#This Row],[Discounted Price]]</f>
        <v>890</v>
      </c>
    </row>
    <row r="637" spans="1:11" x14ac:dyDescent="0.35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  <c r="J637">
        <v>10</v>
      </c>
      <c r="K637">
        <f>Table14[[#This Row],[Total Amount]]-Table14[[#This Row],[Discounted Price]]</f>
        <v>1490</v>
      </c>
    </row>
    <row r="638" spans="1:11" x14ac:dyDescent="0.35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  <c r="J638">
        <v>10</v>
      </c>
      <c r="K638">
        <f>Table14[[#This Row],[Total Amount]]-Table14[[#This Row],[Discounted Price]]</f>
        <v>590</v>
      </c>
    </row>
    <row r="639" spans="1:11" x14ac:dyDescent="0.35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  <c r="J639">
        <v>10</v>
      </c>
      <c r="K639">
        <f>Table14[[#This Row],[Total Amount]]-Table14[[#This Row],[Discounted Price]]</f>
        <v>490</v>
      </c>
    </row>
    <row r="640" spans="1:11" x14ac:dyDescent="0.35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  <c r="J640">
        <v>10</v>
      </c>
      <c r="K640">
        <f>Table14[[#This Row],[Total Amount]]-Table14[[#This Row],[Discounted Price]]</f>
        <v>190</v>
      </c>
    </row>
    <row r="641" spans="1:11" x14ac:dyDescent="0.35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  <c r="J641">
        <v>10</v>
      </c>
      <c r="K641">
        <f>Table14[[#This Row],[Total Amount]]-Table14[[#This Row],[Discounted Price]]</f>
        <v>110</v>
      </c>
    </row>
    <row r="642" spans="1:11" x14ac:dyDescent="0.35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  <c r="J642">
        <v>10</v>
      </c>
      <c r="K642">
        <f>Table14[[#This Row],[Total Amount]]-Table14[[#This Row],[Discounted Price]]</f>
        <v>290</v>
      </c>
    </row>
    <row r="643" spans="1:11" x14ac:dyDescent="0.35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  <c r="J643">
        <v>10</v>
      </c>
      <c r="K643">
        <f>Table14[[#This Row],[Total Amount]]-Table14[[#This Row],[Discounted Price]]</f>
        <v>90</v>
      </c>
    </row>
    <row r="644" spans="1:11" x14ac:dyDescent="0.35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  <c r="J644">
        <v>10</v>
      </c>
      <c r="K644">
        <f>Table14[[#This Row],[Total Amount]]-Table14[[#This Row],[Discounted Price]]</f>
        <v>80</v>
      </c>
    </row>
    <row r="645" spans="1:11" x14ac:dyDescent="0.35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  <c r="J645">
        <v>10</v>
      </c>
      <c r="K645">
        <f>Table14[[#This Row],[Total Amount]]-Table14[[#This Row],[Discounted Price]]</f>
        <v>65</v>
      </c>
    </row>
    <row r="646" spans="1:11" x14ac:dyDescent="0.35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  <c r="J646">
        <v>10</v>
      </c>
      <c r="K646">
        <f>Table14[[#This Row],[Total Amount]]-Table14[[#This Row],[Discounted Price]]</f>
        <v>110</v>
      </c>
    </row>
    <row r="647" spans="1:11" x14ac:dyDescent="0.35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  <c r="J647">
        <v>10</v>
      </c>
      <c r="K647">
        <f>Table14[[#This Row],[Total Amount]]-Table14[[#This Row],[Discounted Price]]</f>
        <v>80</v>
      </c>
    </row>
    <row r="648" spans="1:11" x14ac:dyDescent="0.35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  <c r="J648">
        <v>10</v>
      </c>
      <c r="K648">
        <f>Table14[[#This Row],[Total Amount]]-Table14[[#This Row],[Discounted Price]]</f>
        <v>1490</v>
      </c>
    </row>
    <row r="649" spans="1:11" x14ac:dyDescent="0.35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  <c r="J649">
        <v>10</v>
      </c>
      <c r="K649">
        <f>Table14[[#This Row],[Total Amount]]-Table14[[#This Row],[Discounted Price]]</f>
        <v>1190</v>
      </c>
    </row>
    <row r="650" spans="1:11" x14ac:dyDescent="0.35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  <c r="J650">
        <v>10</v>
      </c>
      <c r="K650">
        <f>Table14[[#This Row],[Total Amount]]-Table14[[#This Row],[Discounted Price]]</f>
        <v>590</v>
      </c>
    </row>
    <row r="651" spans="1:11" x14ac:dyDescent="0.35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  <c r="J651">
        <v>10</v>
      </c>
      <c r="K651">
        <f>Table14[[#This Row],[Total Amount]]-Table14[[#This Row],[Discounted Price]]</f>
        <v>20</v>
      </c>
    </row>
    <row r="652" spans="1:11" x14ac:dyDescent="0.35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  <c r="J652">
        <v>10</v>
      </c>
      <c r="K652">
        <f>Table14[[#This Row],[Total Amount]]-Table14[[#This Row],[Discounted Price]]</f>
        <v>140</v>
      </c>
    </row>
    <row r="653" spans="1:11" x14ac:dyDescent="0.35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  <c r="J653">
        <v>10</v>
      </c>
      <c r="K653">
        <f>Table14[[#This Row],[Total Amount]]-Table14[[#This Row],[Discounted Price]]</f>
        <v>90</v>
      </c>
    </row>
    <row r="654" spans="1:11" x14ac:dyDescent="0.35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  <c r="J654">
        <v>10</v>
      </c>
      <c r="K654">
        <f>Table14[[#This Row],[Total Amount]]-Table14[[#This Row],[Discounted Price]]</f>
        <v>65</v>
      </c>
    </row>
    <row r="655" spans="1:11" x14ac:dyDescent="0.35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  <c r="J655">
        <v>10</v>
      </c>
      <c r="K655">
        <f>Table14[[#This Row],[Total Amount]]-Table14[[#This Row],[Discounted Price]]</f>
        <v>65</v>
      </c>
    </row>
    <row r="656" spans="1:11" x14ac:dyDescent="0.35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  <c r="J656">
        <v>10</v>
      </c>
      <c r="K656">
        <f>Table14[[#This Row],[Total Amount]]-Table14[[#This Row],[Discounted Price]]</f>
        <v>490</v>
      </c>
    </row>
    <row r="657" spans="1:11" x14ac:dyDescent="0.35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  <c r="J657">
        <v>10</v>
      </c>
      <c r="K657">
        <f>Table14[[#This Row],[Total Amount]]-Table14[[#This Row],[Discounted Price]]</f>
        <v>80</v>
      </c>
    </row>
    <row r="658" spans="1:11" x14ac:dyDescent="0.35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  <c r="J658">
        <v>10</v>
      </c>
      <c r="K658">
        <f>Table14[[#This Row],[Total Amount]]-Table14[[#This Row],[Discounted Price]]</f>
        <v>15</v>
      </c>
    </row>
    <row r="659" spans="1:11" x14ac:dyDescent="0.35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  <c r="J659">
        <v>10</v>
      </c>
      <c r="K659">
        <f>Table14[[#This Row],[Total Amount]]-Table14[[#This Row],[Discounted Price]]</f>
        <v>15</v>
      </c>
    </row>
    <row r="660" spans="1:11" x14ac:dyDescent="0.35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  <c r="J660">
        <v>10</v>
      </c>
      <c r="K660">
        <f>Table14[[#This Row],[Total Amount]]-Table14[[#This Row],[Discounted Price]]</f>
        <v>20</v>
      </c>
    </row>
    <row r="661" spans="1:11" x14ac:dyDescent="0.35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  <c r="J661">
        <v>10</v>
      </c>
      <c r="K661">
        <f>Table14[[#This Row],[Total Amount]]-Table14[[#This Row],[Discounted Price]]</f>
        <v>990</v>
      </c>
    </row>
    <row r="662" spans="1:11" x14ac:dyDescent="0.35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  <c r="J662">
        <v>10</v>
      </c>
      <c r="K662">
        <f>Table14[[#This Row],[Total Amount]]-Table14[[#This Row],[Discounted Price]]</f>
        <v>90</v>
      </c>
    </row>
    <row r="663" spans="1:11" x14ac:dyDescent="0.35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  <c r="J663">
        <v>10</v>
      </c>
      <c r="K663">
        <f>Table14[[#This Row],[Total Amount]]-Table14[[#This Row],[Discounted Price]]</f>
        <v>990</v>
      </c>
    </row>
    <row r="664" spans="1:11" x14ac:dyDescent="0.35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  <c r="J664">
        <v>10</v>
      </c>
      <c r="K664">
        <f>Table14[[#This Row],[Total Amount]]-Table14[[#This Row],[Discounted Price]]</f>
        <v>1190</v>
      </c>
    </row>
    <row r="665" spans="1:11" x14ac:dyDescent="0.35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  <c r="J665">
        <v>10</v>
      </c>
      <c r="K665">
        <f>Table14[[#This Row],[Total Amount]]-Table14[[#This Row],[Discounted Price]]</f>
        <v>1990</v>
      </c>
    </row>
    <row r="666" spans="1:11" x14ac:dyDescent="0.35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  <c r="J666">
        <v>10</v>
      </c>
      <c r="K666">
        <f>Table14[[#This Row],[Total Amount]]-Table14[[#This Row],[Discounted Price]]</f>
        <v>40</v>
      </c>
    </row>
    <row r="667" spans="1:11" x14ac:dyDescent="0.35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  <c r="J667">
        <v>10</v>
      </c>
      <c r="K667">
        <f>Table14[[#This Row],[Total Amount]]-Table14[[#This Row],[Discounted Price]]</f>
        <v>140</v>
      </c>
    </row>
    <row r="668" spans="1:11" x14ac:dyDescent="0.35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  <c r="J668">
        <v>10</v>
      </c>
      <c r="K668">
        <f>Table14[[#This Row],[Total Amount]]-Table14[[#This Row],[Discounted Price]]</f>
        <v>490</v>
      </c>
    </row>
    <row r="669" spans="1:11" x14ac:dyDescent="0.35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  <c r="J669">
        <v>10</v>
      </c>
      <c r="K669">
        <f>Table14[[#This Row],[Total Amount]]-Table14[[#This Row],[Discounted Price]]</f>
        <v>140</v>
      </c>
    </row>
    <row r="670" spans="1:11" x14ac:dyDescent="0.35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  <c r="J670">
        <v>10</v>
      </c>
      <c r="K670">
        <f>Table14[[#This Row],[Total Amount]]-Table14[[#This Row],[Discounted Price]]</f>
        <v>1190</v>
      </c>
    </row>
    <row r="671" spans="1:11" x14ac:dyDescent="0.35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  <c r="J671">
        <v>10</v>
      </c>
      <c r="K671">
        <f>Table14[[#This Row],[Total Amount]]-Table14[[#This Row],[Discounted Price]]</f>
        <v>20</v>
      </c>
    </row>
    <row r="672" spans="1:11" x14ac:dyDescent="0.35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  <c r="J672">
        <v>10</v>
      </c>
      <c r="K672">
        <f>Table14[[#This Row],[Total Amount]]-Table14[[#This Row],[Discounted Price]]</f>
        <v>140</v>
      </c>
    </row>
    <row r="673" spans="1:11" x14ac:dyDescent="0.35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  <c r="J673">
        <v>10</v>
      </c>
      <c r="K673">
        <f>Table14[[#This Row],[Total Amount]]-Table14[[#This Row],[Discounted Price]]</f>
        <v>90</v>
      </c>
    </row>
    <row r="674" spans="1:11" x14ac:dyDescent="0.35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  <c r="J674">
        <v>10</v>
      </c>
      <c r="K674">
        <f>Table14[[#This Row],[Total Amount]]-Table14[[#This Row],[Discounted Price]]</f>
        <v>1490</v>
      </c>
    </row>
    <row r="675" spans="1:11" x14ac:dyDescent="0.35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  <c r="J675">
        <v>10</v>
      </c>
      <c r="K675">
        <f>Table14[[#This Row],[Total Amount]]-Table14[[#This Row],[Discounted Price]]</f>
        <v>290</v>
      </c>
    </row>
    <row r="676" spans="1:11" x14ac:dyDescent="0.35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  <c r="J676">
        <v>10</v>
      </c>
      <c r="K676">
        <f>Table14[[#This Row],[Total Amount]]-Table14[[#This Row],[Discounted Price]]</f>
        <v>50</v>
      </c>
    </row>
    <row r="677" spans="1:11" x14ac:dyDescent="0.35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  <c r="J677">
        <v>10</v>
      </c>
      <c r="K677">
        <f>Table14[[#This Row],[Total Amount]]-Table14[[#This Row],[Discounted Price]]</f>
        <v>1490</v>
      </c>
    </row>
    <row r="678" spans="1:11" x14ac:dyDescent="0.35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  <c r="J678">
        <v>10</v>
      </c>
      <c r="K678">
        <f>Table14[[#This Row],[Total Amount]]-Table14[[#This Row],[Discounted Price]]</f>
        <v>1490</v>
      </c>
    </row>
    <row r="679" spans="1:11" x14ac:dyDescent="0.35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  <c r="J679">
        <v>10</v>
      </c>
      <c r="K679">
        <f>Table14[[#This Row],[Total Amount]]-Table14[[#This Row],[Discounted Price]]</f>
        <v>890</v>
      </c>
    </row>
    <row r="680" spans="1:11" x14ac:dyDescent="0.35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  <c r="J680">
        <v>10</v>
      </c>
      <c r="K680">
        <f>Table14[[#This Row],[Total Amount]]-Table14[[#This Row],[Discounted Price]]</f>
        <v>80</v>
      </c>
    </row>
    <row r="681" spans="1:11" x14ac:dyDescent="0.35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  <c r="J681">
        <v>10</v>
      </c>
      <c r="K681">
        <f>Table14[[#This Row],[Total Amount]]-Table14[[#This Row],[Discounted Price]]</f>
        <v>890</v>
      </c>
    </row>
    <row r="682" spans="1:11" x14ac:dyDescent="0.35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  <c r="J682">
        <v>10</v>
      </c>
      <c r="K682">
        <f>Table14[[#This Row],[Total Amount]]-Table14[[#This Row],[Discounted Price]]</f>
        <v>50</v>
      </c>
    </row>
    <row r="683" spans="1:11" x14ac:dyDescent="0.35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  <c r="J683">
        <v>10</v>
      </c>
      <c r="K683">
        <f>Table14[[#This Row],[Total Amount]]-Table14[[#This Row],[Discounted Price]]</f>
        <v>1190</v>
      </c>
    </row>
    <row r="684" spans="1:11" x14ac:dyDescent="0.35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  <c r="J684">
        <v>10</v>
      </c>
      <c r="K684">
        <f>Table14[[#This Row],[Total Amount]]-Table14[[#This Row],[Discounted Price]]</f>
        <v>990</v>
      </c>
    </row>
    <row r="685" spans="1:11" x14ac:dyDescent="0.35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  <c r="J685">
        <v>10</v>
      </c>
      <c r="K685">
        <f>Table14[[#This Row],[Total Amount]]-Table14[[#This Row],[Discounted Price]]</f>
        <v>990</v>
      </c>
    </row>
    <row r="686" spans="1:11" x14ac:dyDescent="0.35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  <c r="J686">
        <v>10</v>
      </c>
      <c r="K686">
        <f>Table14[[#This Row],[Total Amount]]-Table14[[#This Row],[Discounted Price]]</f>
        <v>40</v>
      </c>
    </row>
    <row r="687" spans="1:11" x14ac:dyDescent="0.35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  <c r="J687">
        <v>10</v>
      </c>
      <c r="K687">
        <f>Table14[[#This Row],[Total Amount]]-Table14[[#This Row],[Discounted Price]]</f>
        <v>190</v>
      </c>
    </row>
    <row r="688" spans="1:11" x14ac:dyDescent="0.35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  <c r="J688">
        <v>10</v>
      </c>
      <c r="K688">
        <f>Table14[[#This Row],[Total Amount]]-Table14[[#This Row],[Discounted Price]]</f>
        <v>290</v>
      </c>
    </row>
    <row r="689" spans="1:11" x14ac:dyDescent="0.35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  <c r="J689">
        <v>10</v>
      </c>
      <c r="K689">
        <f>Table14[[#This Row],[Total Amount]]-Table14[[#This Row],[Discounted Price]]</f>
        <v>90</v>
      </c>
    </row>
    <row r="690" spans="1:11" x14ac:dyDescent="0.35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  <c r="J690">
        <v>10</v>
      </c>
      <c r="K690">
        <f>Table14[[#This Row],[Total Amount]]-Table14[[#This Row],[Discounted Price]]</f>
        <v>90</v>
      </c>
    </row>
    <row r="691" spans="1:11" x14ac:dyDescent="0.35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  <c r="J691">
        <v>10</v>
      </c>
      <c r="K691">
        <f>Table14[[#This Row],[Total Amount]]-Table14[[#This Row],[Discounted Price]]</f>
        <v>890</v>
      </c>
    </row>
    <row r="692" spans="1:11" x14ac:dyDescent="0.35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  <c r="J692">
        <v>10</v>
      </c>
      <c r="K692">
        <f>Table14[[#This Row],[Total Amount]]-Table14[[#This Row],[Discounted Price]]</f>
        <v>80</v>
      </c>
    </row>
    <row r="693" spans="1:11" x14ac:dyDescent="0.35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  <c r="J693">
        <v>10</v>
      </c>
      <c r="K693">
        <f>Table14[[#This Row],[Total Amount]]-Table14[[#This Row],[Discounted Price]]</f>
        <v>90</v>
      </c>
    </row>
    <row r="694" spans="1:11" x14ac:dyDescent="0.35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  <c r="J694">
        <v>10</v>
      </c>
      <c r="K694">
        <f>Table14[[#This Row],[Total Amount]]-Table14[[#This Row],[Discounted Price]]</f>
        <v>1490</v>
      </c>
    </row>
    <row r="695" spans="1:11" x14ac:dyDescent="0.35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  <c r="J695">
        <v>10</v>
      </c>
      <c r="K695">
        <f>Table14[[#This Row],[Total Amount]]-Table14[[#This Row],[Discounted Price]]</f>
        <v>40</v>
      </c>
    </row>
    <row r="696" spans="1:11" x14ac:dyDescent="0.35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  <c r="J696">
        <v>10</v>
      </c>
      <c r="K696">
        <f>Table14[[#This Row],[Total Amount]]-Table14[[#This Row],[Discounted Price]]</f>
        <v>140</v>
      </c>
    </row>
    <row r="697" spans="1:11" x14ac:dyDescent="0.35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  <c r="J697">
        <v>10</v>
      </c>
      <c r="K697">
        <f>Table14[[#This Row],[Total Amount]]-Table14[[#This Row],[Discounted Price]]</f>
        <v>190</v>
      </c>
    </row>
    <row r="698" spans="1:11" x14ac:dyDescent="0.35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  <c r="J698">
        <v>10</v>
      </c>
      <c r="K698">
        <f>Table14[[#This Row],[Total Amount]]-Table14[[#This Row],[Discounted Price]]</f>
        <v>490</v>
      </c>
    </row>
    <row r="699" spans="1:11" x14ac:dyDescent="0.35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  <c r="J699">
        <v>10</v>
      </c>
      <c r="K699">
        <f>Table14[[#This Row],[Total Amount]]-Table14[[#This Row],[Discounted Price]]</f>
        <v>290</v>
      </c>
    </row>
    <row r="700" spans="1:11" x14ac:dyDescent="0.35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  <c r="J700">
        <v>10</v>
      </c>
      <c r="K700">
        <f>Table14[[#This Row],[Total Amount]]-Table14[[#This Row],[Discounted Price]]</f>
        <v>110</v>
      </c>
    </row>
    <row r="701" spans="1:11" x14ac:dyDescent="0.35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  <c r="J701">
        <v>10</v>
      </c>
      <c r="K701">
        <f>Table14[[#This Row],[Total Amount]]-Table14[[#This Row],[Discounted Price]]</f>
        <v>1990</v>
      </c>
    </row>
    <row r="702" spans="1:11" x14ac:dyDescent="0.35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  <c r="J702">
        <v>10</v>
      </c>
      <c r="K702">
        <f>Table14[[#This Row],[Total Amount]]-Table14[[#This Row],[Discounted Price]]</f>
        <v>50</v>
      </c>
    </row>
    <row r="703" spans="1:11" x14ac:dyDescent="0.35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  <c r="J703">
        <v>10</v>
      </c>
      <c r="K703">
        <f>Table14[[#This Row],[Total Amount]]-Table14[[#This Row],[Discounted Price]]</f>
        <v>590</v>
      </c>
    </row>
    <row r="704" spans="1:11" x14ac:dyDescent="0.35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  <c r="J704">
        <v>10</v>
      </c>
      <c r="K704">
        <f>Table14[[#This Row],[Total Amount]]-Table14[[#This Row],[Discounted Price]]</f>
        <v>90</v>
      </c>
    </row>
    <row r="705" spans="1:11" x14ac:dyDescent="0.35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  <c r="J705">
        <v>10</v>
      </c>
      <c r="K705">
        <f>Table14[[#This Row],[Total Amount]]-Table14[[#This Row],[Discounted Price]]</f>
        <v>80</v>
      </c>
    </row>
    <row r="706" spans="1:11" x14ac:dyDescent="0.35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  <c r="J706">
        <v>10</v>
      </c>
      <c r="K706">
        <f>Table14[[#This Row],[Total Amount]]-Table14[[#This Row],[Discounted Price]]</f>
        <v>40</v>
      </c>
    </row>
    <row r="707" spans="1:11" x14ac:dyDescent="0.35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  <c r="J707">
        <v>10</v>
      </c>
      <c r="K707">
        <f>Table14[[#This Row],[Total Amount]]-Table14[[#This Row],[Discounted Price]]</f>
        <v>90</v>
      </c>
    </row>
    <row r="708" spans="1:11" x14ac:dyDescent="0.35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  <c r="J708">
        <v>10</v>
      </c>
      <c r="K708">
        <f>Table14[[#This Row],[Total Amount]]-Table14[[#This Row],[Discounted Price]]</f>
        <v>490</v>
      </c>
    </row>
    <row r="709" spans="1:11" x14ac:dyDescent="0.35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  <c r="J709">
        <v>10</v>
      </c>
      <c r="K709">
        <f>Table14[[#This Row],[Total Amount]]-Table14[[#This Row],[Discounted Price]]</f>
        <v>890</v>
      </c>
    </row>
    <row r="710" spans="1:11" x14ac:dyDescent="0.35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  <c r="J710">
        <v>10</v>
      </c>
      <c r="K710">
        <f>Table14[[#This Row],[Total Amount]]-Table14[[#This Row],[Discounted Price]]</f>
        <v>990</v>
      </c>
    </row>
    <row r="711" spans="1:11" x14ac:dyDescent="0.35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  <c r="J711">
        <v>10</v>
      </c>
      <c r="K711">
        <f>Table14[[#This Row],[Total Amount]]-Table14[[#This Row],[Discounted Price]]</f>
        <v>1490</v>
      </c>
    </row>
    <row r="712" spans="1:11" x14ac:dyDescent="0.35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  <c r="J712">
        <v>10</v>
      </c>
      <c r="K712">
        <f>Table14[[#This Row],[Total Amount]]-Table14[[#This Row],[Discounted Price]]</f>
        <v>1490</v>
      </c>
    </row>
    <row r="713" spans="1:11" x14ac:dyDescent="0.35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  <c r="J713">
        <v>10</v>
      </c>
      <c r="K713">
        <f>Table14[[#This Row],[Total Amount]]-Table14[[#This Row],[Discounted Price]]</f>
        <v>40</v>
      </c>
    </row>
    <row r="714" spans="1:11" x14ac:dyDescent="0.35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  <c r="J714">
        <v>10</v>
      </c>
      <c r="K714">
        <f>Table14[[#This Row],[Total Amount]]-Table14[[#This Row],[Discounted Price]]</f>
        <v>65</v>
      </c>
    </row>
    <row r="715" spans="1:11" x14ac:dyDescent="0.35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  <c r="J715">
        <v>10</v>
      </c>
      <c r="K715">
        <f>Table14[[#This Row],[Total Amount]]-Table14[[#This Row],[Discounted Price]]</f>
        <v>490</v>
      </c>
    </row>
    <row r="716" spans="1:11" x14ac:dyDescent="0.35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  <c r="J716">
        <v>10</v>
      </c>
      <c r="K716">
        <f>Table14[[#This Row],[Total Amount]]-Table14[[#This Row],[Discounted Price]]</f>
        <v>90</v>
      </c>
    </row>
    <row r="717" spans="1:11" x14ac:dyDescent="0.35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  <c r="J717">
        <v>10</v>
      </c>
      <c r="K717">
        <f>Table14[[#This Row],[Total Amount]]-Table14[[#This Row],[Discounted Price]]</f>
        <v>1190</v>
      </c>
    </row>
    <row r="718" spans="1:11" x14ac:dyDescent="0.35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  <c r="J718">
        <v>10</v>
      </c>
      <c r="K718">
        <f>Table14[[#This Row],[Total Amount]]-Table14[[#This Row],[Discounted Price]]</f>
        <v>490</v>
      </c>
    </row>
    <row r="719" spans="1:11" x14ac:dyDescent="0.35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  <c r="J719">
        <v>10</v>
      </c>
      <c r="K719">
        <f>Table14[[#This Row],[Total Amount]]-Table14[[#This Row],[Discounted Price]]</f>
        <v>65</v>
      </c>
    </row>
    <row r="720" spans="1:11" x14ac:dyDescent="0.35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  <c r="J720">
        <v>10</v>
      </c>
      <c r="K720">
        <f>Table14[[#This Row],[Total Amount]]-Table14[[#This Row],[Discounted Price]]</f>
        <v>50</v>
      </c>
    </row>
    <row r="721" spans="1:11" x14ac:dyDescent="0.35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  <c r="J721">
        <v>10</v>
      </c>
      <c r="K721">
        <f>Table14[[#This Row],[Total Amount]]-Table14[[#This Row],[Discounted Price]]</f>
        <v>1490</v>
      </c>
    </row>
    <row r="722" spans="1:11" x14ac:dyDescent="0.35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  <c r="J722">
        <v>10</v>
      </c>
      <c r="K722">
        <f>Table14[[#This Row],[Total Amount]]-Table14[[#This Row],[Discounted Price]]</f>
        <v>490</v>
      </c>
    </row>
    <row r="723" spans="1:11" x14ac:dyDescent="0.35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  <c r="J723">
        <v>10</v>
      </c>
      <c r="K723">
        <f>Table14[[#This Row],[Total Amount]]-Table14[[#This Row],[Discounted Price]]</f>
        <v>890</v>
      </c>
    </row>
    <row r="724" spans="1:11" x14ac:dyDescent="0.35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  <c r="J724">
        <v>10</v>
      </c>
      <c r="K724">
        <f>Table14[[#This Row],[Total Amount]]-Table14[[#This Row],[Discounted Price]]</f>
        <v>190</v>
      </c>
    </row>
    <row r="725" spans="1:11" x14ac:dyDescent="0.35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  <c r="J725">
        <v>10</v>
      </c>
      <c r="K725">
        <f>Table14[[#This Row],[Total Amount]]-Table14[[#This Row],[Discounted Price]]</f>
        <v>140</v>
      </c>
    </row>
    <row r="726" spans="1:11" x14ac:dyDescent="0.35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  <c r="J726">
        <v>10</v>
      </c>
      <c r="K726">
        <f>Table14[[#This Row],[Total Amount]]-Table14[[#This Row],[Discounted Price]]</f>
        <v>290</v>
      </c>
    </row>
    <row r="727" spans="1:11" x14ac:dyDescent="0.35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  <c r="J727">
        <v>10</v>
      </c>
      <c r="K727">
        <f>Table14[[#This Row],[Total Amount]]-Table14[[#This Row],[Discounted Price]]</f>
        <v>1190</v>
      </c>
    </row>
    <row r="728" spans="1:11" x14ac:dyDescent="0.35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  <c r="J728">
        <v>10</v>
      </c>
      <c r="K728">
        <f>Table14[[#This Row],[Total Amount]]-Table14[[#This Row],[Discounted Price]]</f>
        <v>890</v>
      </c>
    </row>
    <row r="729" spans="1:11" x14ac:dyDescent="0.35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  <c r="J729">
        <v>10</v>
      </c>
      <c r="K729">
        <f>Table14[[#This Row],[Total Amount]]-Table14[[#This Row],[Discounted Price]]</f>
        <v>140</v>
      </c>
    </row>
    <row r="730" spans="1:11" x14ac:dyDescent="0.35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  <c r="J730">
        <v>10</v>
      </c>
      <c r="K730">
        <f>Table14[[#This Row],[Total Amount]]-Table14[[#This Row],[Discounted Price]]</f>
        <v>1190</v>
      </c>
    </row>
    <row r="731" spans="1:11" x14ac:dyDescent="0.35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  <c r="J731">
        <v>10</v>
      </c>
      <c r="K731">
        <f>Table14[[#This Row],[Total Amount]]-Table14[[#This Row],[Discounted Price]]</f>
        <v>40</v>
      </c>
    </row>
    <row r="732" spans="1:11" x14ac:dyDescent="0.35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  <c r="J732">
        <v>10</v>
      </c>
      <c r="K732">
        <f>Table14[[#This Row],[Total Amount]]-Table14[[#This Row],[Discounted Price]]</f>
        <v>1990</v>
      </c>
    </row>
    <row r="733" spans="1:11" x14ac:dyDescent="0.35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  <c r="J733">
        <v>10</v>
      </c>
      <c r="K733">
        <f>Table14[[#This Row],[Total Amount]]-Table14[[#This Row],[Discounted Price]]</f>
        <v>990</v>
      </c>
    </row>
    <row r="734" spans="1:11" x14ac:dyDescent="0.35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  <c r="J734">
        <v>10</v>
      </c>
      <c r="K734">
        <f>Table14[[#This Row],[Total Amount]]-Table14[[#This Row],[Discounted Price]]</f>
        <v>20</v>
      </c>
    </row>
    <row r="735" spans="1:11" x14ac:dyDescent="0.35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  <c r="J735">
        <v>10</v>
      </c>
      <c r="K735">
        <f>Table14[[#This Row],[Total Amount]]-Table14[[#This Row],[Discounted Price]]</f>
        <v>20</v>
      </c>
    </row>
    <row r="736" spans="1:11" x14ac:dyDescent="0.35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  <c r="J736">
        <v>10</v>
      </c>
      <c r="K736">
        <f>Table14[[#This Row],[Total Amount]]-Table14[[#This Row],[Discounted Price]]</f>
        <v>1990</v>
      </c>
    </row>
    <row r="737" spans="1:11" x14ac:dyDescent="0.35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  <c r="J737">
        <v>10</v>
      </c>
      <c r="K737">
        <f>Table14[[#This Row],[Total Amount]]-Table14[[#This Row],[Discounted Price]]</f>
        <v>90</v>
      </c>
    </row>
    <row r="738" spans="1:11" x14ac:dyDescent="0.35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  <c r="J738">
        <v>10</v>
      </c>
      <c r="K738">
        <f>Table14[[#This Row],[Total Amount]]-Table14[[#This Row],[Discounted Price]]</f>
        <v>40</v>
      </c>
    </row>
    <row r="739" spans="1:11" x14ac:dyDescent="0.35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  <c r="J739">
        <v>10</v>
      </c>
      <c r="K739">
        <f>Table14[[#This Row],[Total Amount]]-Table14[[#This Row],[Discounted Price]]</f>
        <v>90</v>
      </c>
    </row>
    <row r="740" spans="1:11" x14ac:dyDescent="0.35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  <c r="J740">
        <v>10</v>
      </c>
      <c r="K740">
        <f>Table14[[#This Row],[Total Amount]]-Table14[[#This Row],[Discounted Price]]</f>
        <v>15</v>
      </c>
    </row>
    <row r="741" spans="1:11" x14ac:dyDescent="0.35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  <c r="J741">
        <v>10</v>
      </c>
      <c r="K741">
        <f>Table14[[#This Row],[Total Amount]]-Table14[[#This Row],[Discounted Price]]</f>
        <v>190</v>
      </c>
    </row>
    <row r="742" spans="1:11" x14ac:dyDescent="0.35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  <c r="J742">
        <v>10</v>
      </c>
      <c r="K742">
        <f>Table14[[#This Row],[Total Amount]]-Table14[[#This Row],[Discounted Price]]</f>
        <v>290</v>
      </c>
    </row>
    <row r="743" spans="1:11" x14ac:dyDescent="0.35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  <c r="J743">
        <v>10</v>
      </c>
      <c r="K743">
        <f>Table14[[#This Row],[Total Amount]]-Table14[[#This Row],[Discounted Price]]</f>
        <v>1990</v>
      </c>
    </row>
    <row r="744" spans="1:11" x14ac:dyDescent="0.35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  <c r="J744">
        <v>10</v>
      </c>
      <c r="K744">
        <f>Table14[[#This Row],[Total Amount]]-Table14[[#This Row],[Discounted Price]]</f>
        <v>1990</v>
      </c>
    </row>
    <row r="745" spans="1:11" x14ac:dyDescent="0.35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  <c r="J745">
        <v>10</v>
      </c>
      <c r="K745">
        <f>Table14[[#This Row],[Total Amount]]-Table14[[#This Row],[Discounted Price]]</f>
        <v>15</v>
      </c>
    </row>
    <row r="746" spans="1:11" x14ac:dyDescent="0.35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  <c r="J746">
        <v>10</v>
      </c>
      <c r="K746">
        <f>Table14[[#This Row],[Total Amount]]-Table14[[#This Row],[Discounted Price]]</f>
        <v>90</v>
      </c>
    </row>
    <row r="747" spans="1:11" x14ac:dyDescent="0.35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  <c r="J747">
        <v>10</v>
      </c>
      <c r="K747">
        <f>Table14[[#This Row],[Total Amount]]-Table14[[#This Row],[Discounted Price]]</f>
        <v>80</v>
      </c>
    </row>
    <row r="748" spans="1:11" x14ac:dyDescent="0.35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  <c r="J748">
        <v>10</v>
      </c>
      <c r="K748">
        <f>Table14[[#This Row],[Total Amount]]-Table14[[#This Row],[Discounted Price]]</f>
        <v>20</v>
      </c>
    </row>
    <row r="749" spans="1:11" x14ac:dyDescent="0.35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  <c r="J749">
        <v>10</v>
      </c>
      <c r="K749">
        <f>Table14[[#This Row],[Total Amount]]-Table14[[#This Row],[Discounted Price]]</f>
        <v>140</v>
      </c>
    </row>
    <row r="750" spans="1:11" x14ac:dyDescent="0.35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  <c r="J750">
        <v>10</v>
      </c>
      <c r="K750">
        <f>Table14[[#This Row],[Total Amount]]-Table14[[#This Row],[Discounted Price]]</f>
        <v>20</v>
      </c>
    </row>
    <row r="751" spans="1:11" x14ac:dyDescent="0.35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  <c r="J751">
        <v>10</v>
      </c>
      <c r="K751">
        <f>Table14[[#This Row],[Total Amount]]-Table14[[#This Row],[Discounted Price]]</f>
        <v>65</v>
      </c>
    </row>
    <row r="752" spans="1:11" x14ac:dyDescent="0.35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  <c r="J752">
        <v>10</v>
      </c>
      <c r="K752">
        <f>Table14[[#This Row],[Total Amount]]-Table14[[#This Row],[Discounted Price]]</f>
        <v>40</v>
      </c>
    </row>
    <row r="753" spans="1:11" x14ac:dyDescent="0.35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  <c r="J753">
        <v>10</v>
      </c>
      <c r="K753">
        <f>Table14[[#This Row],[Total Amount]]-Table14[[#This Row],[Discounted Price]]</f>
        <v>90</v>
      </c>
    </row>
    <row r="754" spans="1:11" x14ac:dyDescent="0.35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  <c r="J754">
        <v>10</v>
      </c>
      <c r="K754">
        <f>Table14[[#This Row],[Total Amount]]-Table14[[#This Row],[Discounted Price]]</f>
        <v>20</v>
      </c>
    </row>
    <row r="755" spans="1:11" x14ac:dyDescent="0.35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  <c r="J755">
        <v>10</v>
      </c>
      <c r="K755">
        <f>Table14[[#This Row],[Total Amount]]-Table14[[#This Row],[Discounted Price]]</f>
        <v>90</v>
      </c>
    </row>
    <row r="756" spans="1:11" x14ac:dyDescent="0.35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  <c r="J756">
        <v>10</v>
      </c>
      <c r="K756">
        <f>Table14[[#This Row],[Total Amount]]-Table14[[#This Row],[Discounted Price]]</f>
        <v>65</v>
      </c>
    </row>
    <row r="757" spans="1:11" x14ac:dyDescent="0.35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  <c r="J757">
        <v>10</v>
      </c>
      <c r="K757">
        <f>Table14[[#This Row],[Total Amount]]-Table14[[#This Row],[Discounted Price]]</f>
        <v>1190</v>
      </c>
    </row>
    <row r="758" spans="1:11" x14ac:dyDescent="0.35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  <c r="J758">
        <v>10</v>
      </c>
      <c r="K758">
        <f>Table14[[#This Row],[Total Amount]]-Table14[[#This Row],[Discounted Price]]</f>
        <v>1190</v>
      </c>
    </row>
    <row r="759" spans="1:11" x14ac:dyDescent="0.35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  <c r="J759">
        <v>10</v>
      </c>
      <c r="K759">
        <f>Table14[[#This Row],[Total Amount]]-Table14[[#This Row],[Discounted Price]]</f>
        <v>90</v>
      </c>
    </row>
    <row r="760" spans="1:11" x14ac:dyDescent="0.35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  <c r="J760">
        <v>10</v>
      </c>
      <c r="K760">
        <f>Table14[[#This Row],[Total Amount]]-Table14[[#This Row],[Discounted Price]]</f>
        <v>90</v>
      </c>
    </row>
    <row r="761" spans="1:11" x14ac:dyDescent="0.35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  <c r="J761">
        <v>10</v>
      </c>
      <c r="K761">
        <f>Table14[[#This Row],[Total Amount]]-Table14[[#This Row],[Discounted Price]]</f>
        <v>490</v>
      </c>
    </row>
    <row r="762" spans="1:11" x14ac:dyDescent="0.35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  <c r="J762">
        <v>10</v>
      </c>
      <c r="K762">
        <f>Table14[[#This Row],[Total Amount]]-Table14[[#This Row],[Discounted Price]]</f>
        <v>490</v>
      </c>
    </row>
    <row r="763" spans="1:11" x14ac:dyDescent="0.35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  <c r="J763">
        <v>10</v>
      </c>
      <c r="K763">
        <f>Table14[[#This Row],[Total Amount]]-Table14[[#This Row],[Discounted Price]]</f>
        <v>40</v>
      </c>
    </row>
    <row r="764" spans="1:11" x14ac:dyDescent="0.35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  <c r="J764">
        <v>10</v>
      </c>
      <c r="K764">
        <f>Table14[[#This Row],[Total Amount]]-Table14[[#This Row],[Discounted Price]]</f>
        <v>40</v>
      </c>
    </row>
    <row r="765" spans="1:11" x14ac:dyDescent="0.35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  <c r="J765">
        <v>10</v>
      </c>
      <c r="K765">
        <f>Table14[[#This Row],[Total Amount]]-Table14[[#This Row],[Discounted Price]]</f>
        <v>15</v>
      </c>
    </row>
    <row r="766" spans="1:11" x14ac:dyDescent="0.35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  <c r="J766">
        <v>10</v>
      </c>
      <c r="K766">
        <f>Table14[[#This Row],[Total Amount]]-Table14[[#This Row],[Discounted Price]]</f>
        <v>190</v>
      </c>
    </row>
    <row r="767" spans="1:11" x14ac:dyDescent="0.35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  <c r="J767">
        <v>10</v>
      </c>
      <c r="K767">
        <f>Table14[[#This Row],[Total Amount]]-Table14[[#This Row],[Discounted Price]]</f>
        <v>890</v>
      </c>
    </row>
    <row r="768" spans="1:11" x14ac:dyDescent="0.35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  <c r="J768">
        <v>10</v>
      </c>
      <c r="K768">
        <f>Table14[[#This Row],[Total Amount]]-Table14[[#This Row],[Discounted Price]]</f>
        <v>65</v>
      </c>
    </row>
    <row r="769" spans="1:11" x14ac:dyDescent="0.35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  <c r="J769">
        <v>10</v>
      </c>
      <c r="K769">
        <f>Table14[[#This Row],[Total Amount]]-Table14[[#This Row],[Discounted Price]]</f>
        <v>65</v>
      </c>
    </row>
    <row r="770" spans="1:11" x14ac:dyDescent="0.35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  <c r="J770">
        <v>10</v>
      </c>
      <c r="K770">
        <f>Table14[[#This Row],[Total Amount]]-Table14[[#This Row],[Discounted Price]]</f>
        <v>110</v>
      </c>
    </row>
    <row r="771" spans="1:11" x14ac:dyDescent="0.35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  <c r="J771">
        <v>10</v>
      </c>
      <c r="K771">
        <f>Table14[[#This Row],[Total Amount]]-Table14[[#This Row],[Discounted Price]]</f>
        <v>40</v>
      </c>
    </row>
    <row r="772" spans="1:11" x14ac:dyDescent="0.35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  <c r="J772">
        <v>10</v>
      </c>
      <c r="K772">
        <f>Table14[[#This Row],[Total Amount]]-Table14[[#This Row],[Discounted Price]]</f>
        <v>40</v>
      </c>
    </row>
    <row r="773" spans="1:11" x14ac:dyDescent="0.35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  <c r="J773">
        <v>10</v>
      </c>
      <c r="K773">
        <f>Table14[[#This Row],[Total Amount]]-Table14[[#This Row],[Discounted Price]]</f>
        <v>20</v>
      </c>
    </row>
    <row r="774" spans="1:11" x14ac:dyDescent="0.35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  <c r="J774">
        <v>10</v>
      </c>
      <c r="K774">
        <f>Table14[[#This Row],[Total Amount]]-Table14[[#This Row],[Discounted Price]]</f>
        <v>1990</v>
      </c>
    </row>
    <row r="775" spans="1:11" x14ac:dyDescent="0.35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  <c r="J775">
        <v>10</v>
      </c>
      <c r="K775">
        <f>Table14[[#This Row],[Total Amount]]-Table14[[#This Row],[Discounted Price]]</f>
        <v>40</v>
      </c>
    </row>
    <row r="776" spans="1:11" x14ac:dyDescent="0.35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  <c r="J776">
        <v>10</v>
      </c>
      <c r="K776">
        <f>Table14[[#This Row],[Total Amount]]-Table14[[#This Row],[Discounted Price]]</f>
        <v>90</v>
      </c>
    </row>
    <row r="777" spans="1:11" x14ac:dyDescent="0.35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  <c r="J777">
        <v>10</v>
      </c>
      <c r="K777">
        <f>Table14[[#This Row],[Total Amount]]-Table14[[#This Row],[Discounted Price]]</f>
        <v>80</v>
      </c>
    </row>
    <row r="778" spans="1:11" x14ac:dyDescent="0.35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  <c r="J778">
        <v>10</v>
      </c>
      <c r="K778">
        <f>Table14[[#This Row],[Total Amount]]-Table14[[#This Row],[Discounted Price]]</f>
        <v>140</v>
      </c>
    </row>
    <row r="779" spans="1:11" x14ac:dyDescent="0.35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  <c r="J779">
        <v>10</v>
      </c>
      <c r="K779">
        <f>Table14[[#This Row],[Total Amount]]-Table14[[#This Row],[Discounted Price]]</f>
        <v>90</v>
      </c>
    </row>
    <row r="780" spans="1:11" x14ac:dyDescent="0.35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  <c r="J780">
        <v>10</v>
      </c>
      <c r="K780">
        <f>Table14[[#This Row],[Total Amount]]-Table14[[#This Row],[Discounted Price]]</f>
        <v>990</v>
      </c>
    </row>
    <row r="781" spans="1:11" x14ac:dyDescent="0.35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  <c r="J781">
        <v>10</v>
      </c>
      <c r="K781">
        <f>Table14[[#This Row],[Total Amount]]-Table14[[#This Row],[Discounted Price]]</f>
        <v>40</v>
      </c>
    </row>
    <row r="782" spans="1:11" x14ac:dyDescent="0.35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  <c r="J782">
        <v>10</v>
      </c>
      <c r="K782">
        <f>Table14[[#This Row],[Total Amount]]-Table14[[#This Row],[Discounted Price]]</f>
        <v>490</v>
      </c>
    </row>
    <row r="783" spans="1:11" x14ac:dyDescent="0.35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  <c r="J783">
        <v>10</v>
      </c>
      <c r="K783">
        <f>Table14[[#This Row],[Total Amount]]-Table14[[#This Row],[Discounted Price]]</f>
        <v>890</v>
      </c>
    </row>
    <row r="784" spans="1:11" x14ac:dyDescent="0.35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  <c r="J784">
        <v>10</v>
      </c>
      <c r="K784">
        <f>Table14[[#This Row],[Total Amount]]-Table14[[#This Row],[Discounted Price]]</f>
        <v>290</v>
      </c>
    </row>
    <row r="785" spans="1:11" x14ac:dyDescent="0.35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  <c r="J785">
        <v>10</v>
      </c>
      <c r="K785">
        <f>Table14[[#This Row],[Total Amount]]-Table14[[#This Row],[Discounted Price]]</f>
        <v>490</v>
      </c>
    </row>
    <row r="786" spans="1:11" x14ac:dyDescent="0.35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  <c r="J786">
        <v>10</v>
      </c>
      <c r="K786">
        <f>Table14[[#This Row],[Total Amount]]-Table14[[#This Row],[Discounted Price]]</f>
        <v>190</v>
      </c>
    </row>
    <row r="787" spans="1:11" x14ac:dyDescent="0.35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  <c r="J787">
        <v>10</v>
      </c>
      <c r="K787">
        <f>Table14[[#This Row],[Total Amount]]-Table14[[#This Row],[Discounted Price]]</f>
        <v>90</v>
      </c>
    </row>
    <row r="788" spans="1:11" x14ac:dyDescent="0.35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  <c r="J788">
        <v>10</v>
      </c>
      <c r="K788">
        <f>Table14[[#This Row],[Total Amount]]-Table14[[#This Row],[Discounted Price]]</f>
        <v>15</v>
      </c>
    </row>
    <row r="789" spans="1:11" x14ac:dyDescent="0.35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  <c r="J789">
        <v>10</v>
      </c>
      <c r="K789">
        <f>Table14[[#This Row],[Total Amount]]-Table14[[#This Row],[Discounted Price]]</f>
        <v>890</v>
      </c>
    </row>
    <row r="790" spans="1:11" x14ac:dyDescent="0.35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  <c r="J790">
        <v>10</v>
      </c>
      <c r="K790">
        <f>Table14[[#This Row],[Total Amount]]-Table14[[#This Row],[Discounted Price]]</f>
        <v>1990</v>
      </c>
    </row>
    <row r="791" spans="1:11" x14ac:dyDescent="0.35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  <c r="J791">
        <v>10</v>
      </c>
      <c r="K791">
        <f>Table14[[#This Row],[Total Amount]]-Table14[[#This Row],[Discounted Price]]</f>
        <v>15</v>
      </c>
    </row>
    <row r="792" spans="1:11" x14ac:dyDescent="0.35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  <c r="J792">
        <v>10</v>
      </c>
      <c r="K792">
        <f>Table14[[#This Row],[Total Amount]]-Table14[[#This Row],[Discounted Price]]</f>
        <v>15</v>
      </c>
    </row>
    <row r="793" spans="1:11" x14ac:dyDescent="0.35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  <c r="J793">
        <v>10</v>
      </c>
      <c r="K793">
        <f>Table14[[#This Row],[Total Amount]]-Table14[[#This Row],[Discounted Price]]</f>
        <v>40</v>
      </c>
    </row>
    <row r="794" spans="1:11" x14ac:dyDescent="0.35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  <c r="J794">
        <v>10</v>
      </c>
      <c r="K794">
        <f>Table14[[#This Row],[Total Amount]]-Table14[[#This Row],[Discounted Price]]</f>
        <v>20</v>
      </c>
    </row>
    <row r="795" spans="1:11" x14ac:dyDescent="0.35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  <c r="J795">
        <v>10</v>
      </c>
      <c r="K795">
        <f>Table14[[#This Row],[Total Amount]]-Table14[[#This Row],[Discounted Price]]</f>
        <v>290</v>
      </c>
    </row>
    <row r="796" spans="1:11" x14ac:dyDescent="0.35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  <c r="J796">
        <v>10</v>
      </c>
      <c r="K796">
        <f>Table14[[#This Row],[Total Amount]]-Table14[[#This Row],[Discounted Price]]</f>
        <v>290</v>
      </c>
    </row>
    <row r="797" spans="1:11" x14ac:dyDescent="0.35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  <c r="J797">
        <v>10</v>
      </c>
      <c r="K797">
        <f>Table14[[#This Row],[Total Amount]]-Table14[[#This Row],[Discounted Price]]</f>
        <v>110</v>
      </c>
    </row>
    <row r="798" spans="1:11" x14ac:dyDescent="0.35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  <c r="J798">
        <v>10</v>
      </c>
      <c r="K798">
        <f>Table14[[#This Row],[Total Amount]]-Table14[[#This Row],[Discounted Price]]</f>
        <v>65</v>
      </c>
    </row>
    <row r="799" spans="1:11" x14ac:dyDescent="0.35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  <c r="J799">
        <v>10</v>
      </c>
      <c r="K799">
        <f>Table14[[#This Row],[Total Amount]]-Table14[[#This Row],[Discounted Price]]</f>
        <v>40</v>
      </c>
    </row>
    <row r="800" spans="1:11" x14ac:dyDescent="0.35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  <c r="J800">
        <v>10</v>
      </c>
      <c r="K800">
        <f>Table14[[#This Row],[Total Amount]]-Table14[[#This Row],[Discounted Price]]</f>
        <v>90</v>
      </c>
    </row>
    <row r="801" spans="1:11" x14ac:dyDescent="0.35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  <c r="J801">
        <v>10</v>
      </c>
      <c r="K801">
        <f>Table14[[#This Row],[Total Amount]]-Table14[[#This Row],[Discounted Price]]</f>
        <v>1190</v>
      </c>
    </row>
    <row r="802" spans="1:11" x14ac:dyDescent="0.35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  <c r="J802">
        <v>10</v>
      </c>
      <c r="K802">
        <f>Table14[[#This Row],[Total Amount]]-Table14[[#This Row],[Discounted Price]]</f>
        <v>190</v>
      </c>
    </row>
    <row r="803" spans="1:11" x14ac:dyDescent="0.35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  <c r="J803">
        <v>10</v>
      </c>
      <c r="K803">
        <f>Table14[[#This Row],[Total Amount]]-Table14[[#This Row],[Discounted Price]]</f>
        <v>20</v>
      </c>
    </row>
    <row r="804" spans="1:11" x14ac:dyDescent="0.35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  <c r="J804">
        <v>10</v>
      </c>
      <c r="K804">
        <f>Table14[[#This Row],[Total Amount]]-Table14[[#This Row],[Discounted Price]]</f>
        <v>90</v>
      </c>
    </row>
    <row r="805" spans="1:11" x14ac:dyDescent="0.35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  <c r="J805">
        <v>10</v>
      </c>
      <c r="K805">
        <f>Table14[[#This Row],[Total Amount]]-Table14[[#This Row],[Discounted Price]]</f>
        <v>20</v>
      </c>
    </row>
    <row r="806" spans="1:11" x14ac:dyDescent="0.35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  <c r="J806">
        <v>10</v>
      </c>
      <c r="K806">
        <f>Table14[[#This Row],[Total Amount]]-Table14[[#This Row],[Discounted Price]]</f>
        <v>1490</v>
      </c>
    </row>
    <row r="807" spans="1:11" x14ac:dyDescent="0.35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  <c r="J807">
        <v>10</v>
      </c>
      <c r="K807">
        <f>Table14[[#This Row],[Total Amount]]-Table14[[#This Row],[Discounted Price]]</f>
        <v>890</v>
      </c>
    </row>
    <row r="808" spans="1:11" x14ac:dyDescent="0.35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  <c r="J808">
        <v>10</v>
      </c>
      <c r="K808">
        <f>Table14[[#This Row],[Total Amount]]-Table14[[#This Row],[Discounted Price]]</f>
        <v>190</v>
      </c>
    </row>
    <row r="809" spans="1:11" x14ac:dyDescent="0.35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  <c r="J809">
        <v>10</v>
      </c>
      <c r="K809">
        <f>Table14[[#This Row],[Total Amount]]-Table14[[#This Row],[Discounted Price]]</f>
        <v>1990</v>
      </c>
    </row>
    <row r="810" spans="1:11" x14ac:dyDescent="0.35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  <c r="J810">
        <v>10</v>
      </c>
      <c r="K810">
        <f>Table14[[#This Row],[Total Amount]]-Table14[[#This Row],[Discounted Price]]</f>
        <v>90</v>
      </c>
    </row>
    <row r="811" spans="1:11" x14ac:dyDescent="0.35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  <c r="J811">
        <v>10</v>
      </c>
      <c r="K811">
        <f>Table14[[#This Row],[Total Amount]]-Table14[[#This Row],[Discounted Price]]</f>
        <v>90</v>
      </c>
    </row>
    <row r="812" spans="1:11" x14ac:dyDescent="0.35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  <c r="J812">
        <v>10</v>
      </c>
      <c r="K812">
        <f>Table14[[#This Row],[Total Amount]]-Table14[[#This Row],[Discounted Price]]</f>
        <v>40</v>
      </c>
    </row>
    <row r="813" spans="1:11" x14ac:dyDescent="0.35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  <c r="J813">
        <v>10</v>
      </c>
      <c r="K813">
        <f>Table14[[#This Row],[Total Amount]]-Table14[[#This Row],[Discounted Price]]</f>
        <v>65</v>
      </c>
    </row>
    <row r="814" spans="1:11" x14ac:dyDescent="0.35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  <c r="J814">
        <v>10</v>
      </c>
      <c r="K814">
        <f>Table14[[#This Row],[Total Amount]]-Table14[[#This Row],[Discounted Price]]</f>
        <v>140</v>
      </c>
    </row>
    <row r="815" spans="1:11" x14ac:dyDescent="0.35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  <c r="J815">
        <v>10</v>
      </c>
      <c r="K815">
        <f>Table14[[#This Row],[Total Amount]]-Table14[[#This Row],[Discounted Price]]</f>
        <v>490</v>
      </c>
    </row>
    <row r="816" spans="1:11" x14ac:dyDescent="0.35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  <c r="J816">
        <v>10</v>
      </c>
      <c r="K816">
        <f>Table14[[#This Row],[Total Amount]]-Table14[[#This Row],[Discounted Price]]</f>
        <v>65</v>
      </c>
    </row>
    <row r="817" spans="1:11" x14ac:dyDescent="0.35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  <c r="J817">
        <v>10</v>
      </c>
      <c r="K817">
        <f>Table14[[#This Row],[Total Amount]]-Table14[[#This Row],[Discounted Price]]</f>
        <v>990</v>
      </c>
    </row>
    <row r="818" spans="1:11" x14ac:dyDescent="0.35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  <c r="J818">
        <v>10</v>
      </c>
      <c r="K818">
        <f>Table14[[#This Row],[Total Amount]]-Table14[[#This Row],[Discounted Price]]</f>
        <v>190</v>
      </c>
    </row>
    <row r="819" spans="1:11" x14ac:dyDescent="0.35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  <c r="J819">
        <v>10</v>
      </c>
      <c r="K819">
        <f>Table14[[#This Row],[Total Amount]]-Table14[[#This Row],[Discounted Price]]</f>
        <v>490</v>
      </c>
    </row>
    <row r="820" spans="1:11" x14ac:dyDescent="0.35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  <c r="J820">
        <v>10</v>
      </c>
      <c r="K820">
        <f>Table14[[#This Row],[Total Amount]]-Table14[[#This Row],[Discounted Price]]</f>
        <v>90</v>
      </c>
    </row>
    <row r="821" spans="1:11" x14ac:dyDescent="0.35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  <c r="J821">
        <v>10</v>
      </c>
      <c r="K821">
        <f>Table14[[#This Row],[Total Amount]]-Table14[[#This Row],[Discounted Price]]</f>
        <v>190</v>
      </c>
    </row>
    <row r="822" spans="1:11" x14ac:dyDescent="0.35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  <c r="J822">
        <v>10</v>
      </c>
      <c r="K822">
        <f>Table14[[#This Row],[Total Amount]]-Table14[[#This Row],[Discounted Price]]</f>
        <v>290</v>
      </c>
    </row>
    <row r="823" spans="1:11" x14ac:dyDescent="0.35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  <c r="J823">
        <v>10</v>
      </c>
      <c r="K823">
        <f>Table14[[#This Row],[Total Amount]]-Table14[[#This Row],[Discounted Price]]</f>
        <v>140</v>
      </c>
    </row>
    <row r="824" spans="1:11" x14ac:dyDescent="0.35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  <c r="J824">
        <v>10</v>
      </c>
      <c r="K824">
        <f>Table14[[#This Row],[Total Amount]]-Table14[[#This Row],[Discounted Price]]</f>
        <v>90</v>
      </c>
    </row>
    <row r="825" spans="1:11" x14ac:dyDescent="0.35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  <c r="J825">
        <v>10</v>
      </c>
      <c r="K825">
        <f>Table14[[#This Row],[Total Amount]]-Table14[[#This Row],[Discounted Price]]</f>
        <v>110</v>
      </c>
    </row>
    <row r="826" spans="1:11" x14ac:dyDescent="0.35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  <c r="J826">
        <v>10</v>
      </c>
      <c r="K826">
        <f>Table14[[#This Row],[Total Amount]]-Table14[[#This Row],[Discounted Price]]</f>
        <v>15</v>
      </c>
    </row>
    <row r="827" spans="1:11" x14ac:dyDescent="0.35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  <c r="J827">
        <v>10</v>
      </c>
      <c r="K827">
        <f>Table14[[#This Row],[Total Amount]]-Table14[[#This Row],[Discounted Price]]</f>
        <v>290</v>
      </c>
    </row>
    <row r="828" spans="1:11" x14ac:dyDescent="0.35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  <c r="J828">
        <v>10</v>
      </c>
      <c r="K828">
        <f>Table14[[#This Row],[Total Amount]]-Table14[[#This Row],[Discounted Price]]</f>
        <v>890</v>
      </c>
    </row>
    <row r="829" spans="1:11" x14ac:dyDescent="0.35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  <c r="J829">
        <v>10</v>
      </c>
      <c r="K829">
        <f>Table14[[#This Row],[Total Amount]]-Table14[[#This Row],[Discounted Price]]</f>
        <v>1190</v>
      </c>
    </row>
    <row r="830" spans="1:11" x14ac:dyDescent="0.35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  <c r="J830">
        <v>10</v>
      </c>
      <c r="K830">
        <f>Table14[[#This Row],[Total Amount]]-Table14[[#This Row],[Discounted Price]]</f>
        <v>80</v>
      </c>
    </row>
    <row r="831" spans="1:11" x14ac:dyDescent="0.35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  <c r="J831">
        <v>10</v>
      </c>
      <c r="K831">
        <f>Table14[[#This Row],[Total Amount]]-Table14[[#This Row],[Discounted Price]]</f>
        <v>140</v>
      </c>
    </row>
    <row r="832" spans="1:11" x14ac:dyDescent="0.35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  <c r="J832">
        <v>10</v>
      </c>
      <c r="K832">
        <f>Table14[[#This Row],[Total Amount]]-Table14[[#This Row],[Discounted Price]]</f>
        <v>90</v>
      </c>
    </row>
    <row r="833" spans="1:11" x14ac:dyDescent="0.35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  <c r="J833">
        <v>10</v>
      </c>
      <c r="K833">
        <f>Table14[[#This Row],[Total Amount]]-Table14[[#This Row],[Discounted Price]]</f>
        <v>1990</v>
      </c>
    </row>
    <row r="834" spans="1:11" x14ac:dyDescent="0.35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  <c r="J834">
        <v>10</v>
      </c>
      <c r="K834">
        <f>Table14[[#This Row],[Total Amount]]-Table14[[#This Row],[Discounted Price]]</f>
        <v>190</v>
      </c>
    </row>
    <row r="835" spans="1:11" x14ac:dyDescent="0.35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  <c r="J835">
        <v>10</v>
      </c>
      <c r="K835">
        <f>Table14[[#This Row],[Total Amount]]-Table14[[#This Row],[Discounted Price]]</f>
        <v>50</v>
      </c>
    </row>
    <row r="836" spans="1:11" x14ac:dyDescent="0.35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  <c r="J836">
        <v>10</v>
      </c>
      <c r="K836">
        <f>Table14[[#This Row],[Total Amount]]-Table14[[#This Row],[Discounted Price]]</f>
        <v>190</v>
      </c>
    </row>
    <row r="837" spans="1:11" x14ac:dyDescent="0.35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  <c r="J837">
        <v>10</v>
      </c>
      <c r="K837">
        <f>Table14[[#This Row],[Total Amount]]-Table14[[#This Row],[Discounted Price]]</f>
        <v>40</v>
      </c>
    </row>
    <row r="838" spans="1:11" x14ac:dyDescent="0.35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  <c r="J838">
        <v>10</v>
      </c>
      <c r="K838">
        <f>Table14[[#This Row],[Total Amount]]-Table14[[#This Row],[Discounted Price]]</f>
        <v>80</v>
      </c>
    </row>
    <row r="839" spans="1:11" x14ac:dyDescent="0.35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  <c r="J839">
        <v>10</v>
      </c>
      <c r="K839">
        <f>Table14[[#This Row],[Total Amount]]-Table14[[#This Row],[Discounted Price]]</f>
        <v>590</v>
      </c>
    </row>
    <row r="840" spans="1:11" x14ac:dyDescent="0.35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  <c r="J840">
        <v>10</v>
      </c>
      <c r="K840">
        <f>Table14[[#This Row],[Total Amount]]-Table14[[#This Row],[Discounted Price]]</f>
        <v>1190</v>
      </c>
    </row>
    <row r="841" spans="1:11" x14ac:dyDescent="0.35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  <c r="J841">
        <v>10</v>
      </c>
      <c r="K841">
        <f>Table14[[#This Row],[Total Amount]]-Table14[[#This Row],[Discounted Price]]</f>
        <v>40</v>
      </c>
    </row>
    <row r="842" spans="1:11" x14ac:dyDescent="0.35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  <c r="J842">
        <v>10</v>
      </c>
      <c r="K842">
        <f>Table14[[#This Row],[Total Amount]]-Table14[[#This Row],[Discounted Price]]</f>
        <v>90</v>
      </c>
    </row>
    <row r="843" spans="1:11" x14ac:dyDescent="0.35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  <c r="J843">
        <v>10</v>
      </c>
      <c r="K843">
        <f>Table14[[#This Row],[Total Amount]]-Table14[[#This Row],[Discounted Price]]</f>
        <v>590</v>
      </c>
    </row>
    <row r="844" spans="1:11" x14ac:dyDescent="0.35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  <c r="J844">
        <v>10</v>
      </c>
      <c r="K844">
        <f>Table14[[#This Row],[Total Amount]]-Table14[[#This Row],[Discounted Price]]</f>
        <v>1490</v>
      </c>
    </row>
    <row r="845" spans="1:11" x14ac:dyDescent="0.35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  <c r="J845">
        <v>10</v>
      </c>
      <c r="K845">
        <f>Table14[[#This Row],[Total Amount]]-Table14[[#This Row],[Discounted Price]]</f>
        <v>140</v>
      </c>
    </row>
    <row r="846" spans="1:11" x14ac:dyDescent="0.35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  <c r="J846">
        <v>10</v>
      </c>
      <c r="K846">
        <f>Table14[[#This Row],[Total Amount]]-Table14[[#This Row],[Discounted Price]]</f>
        <v>490</v>
      </c>
    </row>
    <row r="847" spans="1:11" x14ac:dyDescent="0.35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  <c r="J847">
        <v>10</v>
      </c>
      <c r="K847">
        <f>Table14[[#This Row],[Total Amount]]-Table14[[#This Row],[Discounted Price]]</f>
        <v>40</v>
      </c>
    </row>
    <row r="848" spans="1:11" x14ac:dyDescent="0.35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  <c r="J848">
        <v>10</v>
      </c>
      <c r="K848">
        <f>Table14[[#This Row],[Total Amount]]-Table14[[#This Row],[Discounted Price]]</f>
        <v>1190</v>
      </c>
    </row>
    <row r="849" spans="1:11" x14ac:dyDescent="0.35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  <c r="J849">
        <v>10</v>
      </c>
      <c r="K849">
        <f>Table14[[#This Row],[Total Amount]]-Table14[[#This Row],[Discounted Price]]</f>
        <v>65</v>
      </c>
    </row>
    <row r="850" spans="1:11" x14ac:dyDescent="0.35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  <c r="J850">
        <v>10</v>
      </c>
      <c r="K850">
        <f>Table14[[#This Row],[Total Amount]]-Table14[[#This Row],[Discounted Price]]</f>
        <v>40</v>
      </c>
    </row>
    <row r="851" spans="1:11" x14ac:dyDescent="0.35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  <c r="J851">
        <v>10</v>
      </c>
      <c r="K851">
        <f>Table14[[#This Row],[Total Amount]]-Table14[[#This Row],[Discounted Price]]</f>
        <v>990</v>
      </c>
    </row>
    <row r="852" spans="1:11" x14ac:dyDescent="0.35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  <c r="J852">
        <v>10</v>
      </c>
      <c r="K852">
        <f>Table14[[#This Row],[Total Amount]]-Table14[[#This Row],[Discounted Price]]</f>
        <v>40</v>
      </c>
    </row>
    <row r="853" spans="1:11" x14ac:dyDescent="0.35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  <c r="J853">
        <v>10</v>
      </c>
      <c r="K853">
        <f>Table14[[#This Row],[Total Amount]]-Table14[[#This Row],[Discounted Price]]</f>
        <v>290</v>
      </c>
    </row>
    <row r="854" spans="1:11" x14ac:dyDescent="0.35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  <c r="J854">
        <v>10</v>
      </c>
      <c r="K854">
        <f>Table14[[#This Row],[Total Amount]]-Table14[[#This Row],[Discounted Price]]</f>
        <v>990</v>
      </c>
    </row>
    <row r="855" spans="1:11" x14ac:dyDescent="0.35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  <c r="J855">
        <v>10</v>
      </c>
      <c r="K855">
        <f>Table14[[#This Row],[Total Amount]]-Table14[[#This Row],[Discounted Price]]</f>
        <v>40</v>
      </c>
    </row>
    <row r="856" spans="1:11" x14ac:dyDescent="0.35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  <c r="J856">
        <v>10</v>
      </c>
      <c r="K856">
        <f>Table14[[#This Row],[Total Amount]]-Table14[[#This Row],[Discounted Price]]</f>
        <v>15</v>
      </c>
    </row>
    <row r="857" spans="1:11" x14ac:dyDescent="0.35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  <c r="J857">
        <v>10</v>
      </c>
      <c r="K857">
        <f>Table14[[#This Row],[Total Amount]]-Table14[[#This Row],[Discounted Price]]</f>
        <v>110</v>
      </c>
    </row>
    <row r="858" spans="1:11" x14ac:dyDescent="0.35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  <c r="J858">
        <v>10</v>
      </c>
      <c r="K858">
        <f>Table14[[#This Row],[Total Amount]]-Table14[[#This Row],[Discounted Price]]</f>
        <v>40</v>
      </c>
    </row>
    <row r="859" spans="1:11" x14ac:dyDescent="0.35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  <c r="J859">
        <v>10</v>
      </c>
      <c r="K859">
        <f>Table14[[#This Row],[Total Amount]]-Table14[[#This Row],[Discounted Price]]</f>
        <v>90</v>
      </c>
    </row>
    <row r="860" spans="1:11" x14ac:dyDescent="0.35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  <c r="J860">
        <v>10</v>
      </c>
      <c r="K860">
        <f>Table14[[#This Row],[Total Amount]]-Table14[[#This Row],[Discounted Price]]</f>
        <v>1490</v>
      </c>
    </row>
    <row r="861" spans="1:11" x14ac:dyDescent="0.35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  <c r="J861">
        <v>10</v>
      </c>
      <c r="K861">
        <f>Table14[[#This Row],[Total Amount]]-Table14[[#This Row],[Discounted Price]]</f>
        <v>190</v>
      </c>
    </row>
    <row r="862" spans="1:11" x14ac:dyDescent="0.35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  <c r="J862">
        <v>10</v>
      </c>
      <c r="K862">
        <f>Table14[[#This Row],[Total Amount]]-Table14[[#This Row],[Discounted Price]]</f>
        <v>80</v>
      </c>
    </row>
    <row r="863" spans="1:11" x14ac:dyDescent="0.35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  <c r="J863">
        <v>10</v>
      </c>
      <c r="K863">
        <f>Table14[[#This Row],[Total Amount]]-Table14[[#This Row],[Discounted Price]]</f>
        <v>1190</v>
      </c>
    </row>
    <row r="864" spans="1:11" x14ac:dyDescent="0.35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  <c r="J864">
        <v>10</v>
      </c>
      <c r="K864">
        <f>Table14[[#This Row],[Total Amount]]-Table14[[#This Row],[Discounted Price]]</f>
        <v>40</v>
      </c>
    </row>
    <row r="865" spans="1:11" x14ac:dyDescent="0.35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  <c r="J865">
        <v>10</v>
      </c>
      <c r="K865">
        <f>Table14[[#This Row],[Total Amount]]-Table14[[#This Row],[Discounted Price]]</f>
        <v>490</v>
      </c>
    </row>
    <row r="866" spans="1:11" x14ac:dyDescent="0.35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  <c r="J866">
        <v>10</v>
      </c>
      <c r="K866">
        <f>Table14[[#This Row],[Total Amount]]-Table14[[#This Row],[Discounted Price]]</f>
        <v>290</v>
      </c>
    </row>
    <row r="867" spans="1:11" x14ac:dyDescent="0.35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  <c r="J867">
        <v>10</v>
      </c>
      <c r="K867">
        <f>Table14[[#This Row],[Total Amount]]-Table14[[#This Row],[Discounted Price]]</f>
        <v>40</v>
      </c>
    </row>
    <row r="868" spans="1:11" x14ac:dyDescent="0.35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  <c r="J868">
        <v>10</v>
      </c>
      <c r="K868">
        <f>Table14[[#This Row],[Total Amount]]-Table14[[#This Row],[Discounted Price]]</f>
        <v>490</v>
      </c>
    </row>
    <row r="869" spans="1:11" x14ac:dyDescent="0.35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  <c r="J869">
        <v>10</v>
      </c>
      <c r="K869">
        <f>Table14[[#This Row],[Total Amount]]-Table14[[#This Row],[Discounted Price]]</f>
        <v>290</v>
      </c>
    </row>
    <row r="870" spans="1:11" x14ac:dyDescent="0.35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  <c r="J870">
        <v>10</v>
      </c>
      <c r="K870">
        <f>Table14[[#This Row],[Total Amount]]-Table14[[#This Row],[Discounted Price]]</f>
        <v>1490</v>
      </c>
    </row>
    <row r="871" spans="1:11" x14ac:dyDescent="0.35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  <c r="J871">
        <v>10</v>
      </c>
      <c r="K871">
        <f>Table14[[#This Row],[Total Amount]]-Table14[[#This Row],[Discounted Price]]</f>
        <v>110</v>
      </c>
    </row>
    <row r="872" spans="1:11" x14ac:dyDescent="0.35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  <c r="J872">
        <v>10</v>
      </c>
      <c r="K872">
        <f>Table14[[#This Row],[Total Amount]]-Table14[[#This Row],[Discounted Price]]</f>
        <v>50</v>
      </c>
    </row>
    <row r="873" spans="1:11" x14ac:dyDescent="0.35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  <c r="J873">
        <v>10</v>
      </c>
      <c r="K873">
        <f>Table14[[#This Row],[Total Amount]]-Table14[[#This Row],[Discounted Price]]</f>
        <v>65</v>
      </c>
    </row>
    <row r="874" spans="1:11" x14ac:dyDescent="0.35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  <c r="J874">
        <v>10</v>
      </c>
      <c r="K874">
        <f>Table14[[#This Row],[Total Amount]]-Table14[[#This Row],[Discounted Price]]</f>
        <v>90</v>
      </c>
    </row>
    <row r="875" spans="1:11" x14ac:dyDescent="0.35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  <c r="J875">
        <v>10</v>
      </c>
      <c r="K875">
        <f>Table14[[#This Row],[Total Amount]]-Table14[[#This Row],[Discounted Price]]</f>
        <v>20</v>
      </c>
    </row>
    <row r="876" spans="1:11" x14ac:dyDescent="0.35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  <c r="J876">
        <v>10</v>
      </c>
      <c r="K876">
        <f>Table14[[#This Row],[Total Amount]]-Table14[[#This Row],[Discounted Price]]</f>
        <v>1990</v>
      </c>
    </row>
    <row r="877" spans="1:11" x14ac:dyDescent="0.35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  <c r="J877">
        <v>10</v>
      </c>
      <c r="K877">
        <f>Table14[[#This Row],[Total Amount]]-Table14[[#This Row],[Discounted Price]]</f>
        <v>110</v>
      </c>
    </row>
    <row r="878" spans="1:11" x14ac:dyDescent="0.35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  <c r="J878">
        <v>10</v>
      </c>
      <c r="K878">
        <f>Table14[[#This Row],[Total Amount]]-Table14[[#This Row],[Discounted Price]]</f>
        <v>15</v>
      </c>
    </row>
    <row r="879" spans="1:11" x14ac:dyDescent="0.35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  <c r="J879">
        <v>10</v>
      </c>
      <c r="K879">
        <f>Table14[[#This Row],[Total Amount]]-Table14[[#This Row],[Discounted Price]]</f>
        <v>20</v>
      </c>
    </row>
    <row r="880" spans="1:11" x14ac:dyDescent="0.35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  <c r="J880">
        <v>10</v>
      </c>
      <c r="K880">
        <f>Table14[[#This Row],[Total Amount]]-Table14[[#This Row],[Discounted Price]]</f>
        <v>20</v>
      </c>
    </row>
    <row r="881" spans="1:11" x14ac:dyDescent="0.35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  <c r="J881">
        <v>10</v>
      </c>
      <c r="K881">
        <f>Table14[[#This Row],[Total Amount]]-Table14[[#This Row],[Discounted Price]]</f>
        <v>990</v>
      </c>
    </row>
    <row r="882" spans="1:11" x14ac:dyDescent="0.35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  <c r="J882">
        <v>10</v>
      </c>
      <c r="K882">
        <f>Table14[[#This Row],[Total Amount]]-Table14[[#This Row],[Discounted Price]]</f>
        <v>290</v>
      </c>
    </row>
    <row r="883" spans="1:11" x14ac:dyDescent="0.35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  <c r="J883">
        <v>10</v>
      </c>
      <c r="K883">
        <f>Table14[[#This Row],[Total Amount]]-Table14[[#This Row],[Discounted Price]]</f>
        <v>40</v>
      </c>
    </row>
    <row r="884" spans="1:11" x14ac:dyDescent="0.35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  <c r="J884">
        <v>10</v>
      </c>
      <c r="K884">
        <f>Table14[[#This Row],[Total Amount]]-Table14[[#This Row],[Discounted Price]]</f>
        <v>490</v>
      </c>
    </row>
    <row r="885" spans="1:11" x14ac:dyDescent="0.35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  <c r="J885">
        <v>10</v>
      </c>
      <c r="K885">
        <f>Table14[[#This Row],[Total Amount]]-Table14[[#This Row],[Discounted Price]]</f>
        <v>50</v>
      </c>
    </row>
    <row r="886" spans="1:11" x14ac:dyDescent="0.35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  <c r="J886">
        <v>10</v>
      </c>
      <c r="K886">
        <f>Table14[[#This Row],[Total Amount]]-Table14[[#This Row],[Discounted Price]]</f>
        <v>110</v>
      </c>
    </row>
    <row r="887" spans="1:11" x14ac:dyDescent="0.35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  <c r="J887">
        <v>10</v>
      </c>
      <c r="K887">
        <f>Table14[[#This Row],[Total Amount]]-Table14[[#This Row],[Discounted Price]]</f>
        <v>890</v>
      </c>
    </row>
    <row r="888" spans="1:11" x14ac:dyDescent="0.35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  <c r="J888">
        <v>10</v>
      </c>
      <c r="K888">
        <f>Table14[[#This Row],[Total Amount]]-Table14[[#This Row],[Discounted Price]]</f>
        <v>90</v>
      </c>
    </row>
    <row r="889" spans="1:11" x14ac:dyDescent="0.35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  <c r="J889">
        <v>10</v>
      </c>
      <c r="K889">
        <f>Table14[[#This Row],[Total Amount]]-Table14[[#This Row],[Discounted Price]]</f>
        <v>90</v>
      </c>
    </row>
    <row r="890" spans="1:11" x14ac:dyDescent="0.35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  <c r="J890">
        <v>10</v>
      </c>
      <c r="K890">
        <f>Table14[[#This Row],[Total Amount]]-Table14[[#This Row],[Discounted Price]]</f>
        <v>40</v>
      </c>
    </row>
    <row r="891" spans="1:11" x14ac:dyDescent="0.35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  <c r="J891">
        <v>10</v>
      </c>
      <c r="K891">
        <f>Table14[[#This Row],[Total Amount]]-Table14[[#This Row],[Discounted Price]]</f>
        <v>40</v>
      </c>
    </row>
    <row r="892" spans="1:11" x14ac:dyDescent="0.35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  <c r="J892">
        <v>10</v>
      </c>
      <c r="K892">
        <f>Table14[[#This Row],[Total Amount]]-Table14[[#This Row],[Discounted Price]]</f>
        <v>890</v>
      </c>
    </row>
    <row r="893" spans="1:11" x14ac:dyDescent="0.35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  <c r="J893">
        <v>10</v>
      </c>
      <c r="K893">
        <f>Table14[[#This Row],[Total Amount]]-Table14[[#This Row],[Discounted Price]]</f>
        <v>40</v>
      </c>
    </row>
    <row r="894" spans="1:11" x14ac:dyDescent="0.35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  <c r="J894">
        <v>10</v>
      </c>
      <c r="K894">
        <f>Table14[[#This Row],[Total Amount]]-Table14[[#This Row],[Discounted Price]]</f>
        <v>40</v>
      </c>
    </row>
    <row r="895" spans="1:11" x14ac:dyDescent="0.35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  <c r="J895">
        <v>10</v>
      </c>
      <c r="K895">
        <f>Table14[[#This Row],[Total Amount]]-Table14[[#This Row],[Discounted Price]]</f>
        <v>20</v>
      </c>
    </row>
    <row r="896" spans="1:11" x14ac:dyDescent="0.35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  <c r="J896">
        <v>10</v>
      </c>
      <c r="K896">
        <f>Table14[[#This Row],[Total Amount]]-Table14[[#This Row],[Discounted Price]]</f>
        <v>110</v>
      </c>
    </row>
    <row r="897" spans="1:11" x14ac:dyDescent="0.35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  <c r="J897">
        <v>10</v>
      </c>
      <c r="K897">
        <f>Table14[[#This Row],[Total Amount]]-Table14[[#This Row],[Discounted Price]]</f>
        <v>40</v>
      </c>
    </row>
    <row r="898" spans="1:11" x14ac:dyDescent="0.35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  <c r="J898">
        <v>10</v>
      </c>
      <c r="K898">
        <f>Table14[[#This Row],[Total Amount]]-Table14[[#This Row],[Discounted Price]]</f>
        <v>90</v>
      </c>
    </row>
    <row r="899" spans="1:11" x14ac:dyDescent="0.35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  <c r="J899">
        <v>10</v>
      </c>
      <c r="K899">
        <f>Table14[[#This Row],[Total Amount]]-Table14[[#This Row],[Discounted Price]]</f>
        <v>80</v>
      </c>
    </row>
    <row r="900" spans="1:11" x14ac:dyDescent="0.35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  <c r="J900">
        <v>10</v>
      </c>
      <c r="K900">
        <f>Table14[[#This Row],[Total Amount]]-Table14[[#This Row],[Discounted Price]]</f>
        <v>590</v>
      </c>
    </row>
    <row r="901" spans="1:11" x14ac:dyDescent="0.35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  <c r="J901">
        <v>10</v>
      </c>
      <c r="K901">
        <f>Table14[[#This Row],[Total Amount]]-Table14[[#This Row],[Discounted Price]]</f>
        <v>50</v>
      </c>
    </row>
    <row r="902" spans="1:11" x14ac:dyDescent="0.35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  <c r="J902">
        <v>10</v>
      </c>
      <c r="K902">
        <f>Table14[[#This Row],[Total Amount]]-Table14[[#This Row],[Discounted Price]]</f>
        <v>20</v>
      </c>
    </row>
    <row r="903" spans="1:11" x14ac:dyDescent="0.35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  <c r="J903">
        <v>10</v>
      </c>
      <c r="K903">
        <f>Table14[[#This Row],[Total Amount]]-Table14[[#This Row],[Discounted Price]]</f>
        <v>40</v>
      </c>
    </row>
    <row r="904" spans="1:11" x14ac:dyDescent="0.35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  <c r="J904">
        <v>10</v>
      </c>
      <c r="K904">
        <f>Table14[[#This Row],[Total Amount]]-Table14[[#This Row],[Discounted Price]]</f>
        <v>190</v>
      </c>
    </row>
    <row r="905" spans="1:11" x14ac:dyDescent="0.35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  <c r="J905">
        <v>10</v>
      </c>
      <c r="K905">
        <f>Table14[[#This Row],[Total Amount]]-Table14[[#This Row],[Discounted Price]]</f>
        <v>490</v>
      </c>
    </row>
    <row r="906" spans="1:11" x14ac:dyDescent="0.35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  <c r="J906">
        <v>10</v>
      </c>
      <c r="K906">
        <f>Table14[[#This Row],[Total Amount]]-Table14[[#This Row],[Discounted Price]]</f>
        <v>290</v>
      </c>
    </row>
    <row r="907" spans="1:11" x14ac:dyDescent="0.35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  <c r="J907">
        <v>10</v>
      </c>
      <c r="K907">
        <f>Table14[[#This Row],[Total Amount]]-Table14[[#This Row],[Discounted Price]]</f>
        <v>40</v>
      </c>
    </row>
    <row r="908" spans="1:11" x14ac:dyDescent="0.35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  <c r="J908">
        <v>10</v>
      </c>
      <c r="K908">
        <f>Table14[[#This Row],[Total Amount]]-Table14[[#This Row],[Discounted Price]]</f>
        <v>15</v>
      </c>
    </row>
    <row r="909" spans="1:11" x14ac:dyDescent="0.35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  <c r="J909">
        <v>10</v>
      </c>
      <c r="K909">
        <f>Table14[[#This Row],[Total Amount]]-Table14[[#This Row],[Discounted Price]]</f>
        <v>1190</v>
      </c>
    </row>
    <row r="910" spans="1:11" x14ac:dyDescent="0.35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  <c r="J910">
        <v>10</v>
      </c>
      <c r="K910">
        <f>Table14[[#This Row],[Total Amount]]-Table14[[#This Row],[Discounted Price]]</f>
        <v>290</v>
      </c>
    </row>
    <row r="911" spans="1:11" x14ac:dyDescent="0.35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  <c r="J911">
        <v>10</v>
      </c>
      <c r="K911">
        <f>Table14[[#This Row],[Total Amount]]-Table14[[#This Row],[Discounted Price]]</f>
        <v>140</v>
      </c>
    </row>
    <row r="912" spans="1:11" x14ac:dyDescent="0.35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  <c r="J912">
        <v>10</v>
      </c>
      <c r="K912">
        <f>Table14[[#This Row],[Total Amount]]-Table14[[#This Row],[Discounted Price]]</f>
        <v>890</v>
      </c>
    </row>
    <row r="913" spans="1:11" x14ac:dyDescent="0.35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  <c r="J913">
        <v>10</v>
      </c>
      <c r="K913">
        <f>Table14[[#This Row],[Total Amount]]-Table14[[#This Row],[Discounted Price]]</f>
        <v>140</v>
      </c>
    </row>
    <row r="914" spans="1:11" x14ac:dyDescent="0.35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  <c r="J914">
        <v>10</v>
      </c>
      <c r="K914">
        <f>Table14[[#This Row],[Total Amount]]-Table14[[#This Row],[Discounted Price]]</f>
        <v>80</v>
      </c>
    </row>
    <row r="915" spans="1:11" x14ac:dyDescent="0.35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  <c r="J915">
        <v>10</v>
      </c>
      <c r="K915">
        <f>Table14[[#This Row],[Total Amount]]-Table14[[#This Row],[Discounted Price]]</f>
        <v>490</v>
      </c>
    </row>
    <row r="916" spans="1:11" x14ac:dyDescent="0.35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  <c r="J916">
        <v>10</v>
      </c>
      <c r="K916">
        <f>Table14[[#This Row],[Total Amount]]-Table14[[#This Row],[Discounted Price]]</f>
        <v>80</v>
      </c>
    </row>
    <row r="917" spans="1:11" x14ac:dyDescent="0.35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  <c r="J917">
        <v>10</v>
      </c>
      <c r="K917">
        <f>Table14[[#This Row],[Total Amount]]-Table14[[#This Row],[Discounted Price]]</f>
        <v>40</v>
      </c>
    </row>
    <row r="918" spans="1:11" x14ac:dyDescent="0.35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  <c r="J918">
        <v>10</v>
      </c>
      <c r="K918">
        <f>Table14[[#This Row],[Total Amount]]-Table14[[#This Row],[Discounted Price]]</f>
        <v>190</v>
      </c>
    </row>
    <row r="919" spans="1:11" x14ac:dyDescent="0.35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  <c r="J919">
        <v>10</v>
      </c>
      <c r="K919">
        <f>Table14[[#This Row],[Total Amount]]-Table14[[#This Row],[Discounted Price]]</f>
        <v>80</v>
      </c>
    </row>
    <row r="920" spans="1:11" x14ac:dyDescent="0.35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  <c r="J920">
        <v>10</v>
      </c>
      <c r="K920">
        <f>Table14[[#This Row],[Total Amount]]-Table14[[#This Row],[Discounted Price]]</f>
        <v>40</v>
      </c>
    </row>
    <row r="921" spans="1:11" x14ac:dyDescent="0.35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  <c r="J921">
        <v>10</v>
      </c>
      <c r="K921">
        <f>Table14[[#This Row],[Total Amount]]-Table14[[#This Row],[Discounted Price]]</f>
        <v>65</v>
      </c>
    </row>
    <row r="922" spans="1:11" x14ac:dyDescent="0.35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  <c r="J922">
        <v>10</v>
      </c>
      <c r="K922">
        <f>Table14[[#This Row],[Total Amount]]-Table14[[#This Row],[Discounted Price]]</f>
        <v>65</v>
      </c>
    </row>
    <row r="923" spans="1:11" x14ac:dyDescent="0.35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  <c r="J923">
        <v>10</v>
      </c>
      <c r="K923">
        <f>Table14[[#This Row],[Total Amount]]-Table14[[#This Row],[Discounted Price]]</f>
        <v>40</v>
      </c>
    </row>
    <row r="924" spans="1:11" x14ac:dyDescent="0.35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  <c r="J924">
        <v>10</v>
      </c>
      <c r="K924">
        <f>Table14[[#This Row],[Total Amount]]-Table14[[#This Row],[Discounted Price]]</f>
        <v>890</v>
      </c>
    </row>
    <row r="925" spans="1:11" x14ac:dyDescent="0.35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  <c r="J925">
        <v>10</v>
      </c>
      <c r="K925">
        <f>Table14[[#This Row],[Total Amount]]-Table14[[#This Row],[Discounted Price]]</f>
        <v>90</v>
      </c>
    </row>
    <row r="926" spans="1:11" x14ac:dyDescent="0.35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  <c r="J926">
        <v>10</v>
      </c>
      <c r="K926">
        <f>Table14[[#This Row],[Total Amount]]-Table14[[#This Row],[Discounted Price]]</f>
        <v>290</v>
      </c>
    </row>
    <row r="927" spans="1:11" x14ac:dyDescent="0.35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  <c r="J927">
        <v>10</v>
      </c>
      <c r="K927">
        <f>Table14[[#This Row],[Total Amount]]-Table14[[#This Row],[Discounted Price]]</f>
        <v>20</v>
      </c>
    </row>
    <row r="928" spans="1:11" x14ac:dyDescent="0.35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  <c r="J928">
        <v>10</v>
      </c>
      <c r="K928">
        <f>Table14[[#This Row],[Total Amount]]-Table14[[#This Row],[Discounted Price]]</f>
        <v>1990</v>
      </c>
    </row>
    <row r="929" spans="1:11" x14ac:dyDescent="0.35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  <c r="J929">
        <v>10</v>
      </c>
      <c r="K929">
        <f>Table14[[#This Row],[Total Amount]]-Table14[[#This Row],[Discounted Price]]</f>
        <v>1190</v>
      </c>
    </row>
    <row r="930" spans="1:11" x14ac:dyDescent="0.35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  <c r="J930">
        <v>10</v>
      </c>
      <c r="K930">
        <f>Table14[[#This Row],[Total Amount]]-Table14[[#This Row],[Discounted Price]]</f>
        <v>65</v>
      </c>
    </row>
    <row r="931" spans="1:11" x14ac:dyDescent="0.35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  <c r="J931">
        <v>10</v>
      </c>
      <c r="K931">
        <f>Table14[[#This Row],[Total Amount]]-Table14[[#This Row],[Discounted Price]]</f>
        <v>190</v>
      </c>
    </row>
    <row r="932" spans="1:11" x14ac:dyDescent="0.35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  <c r="J932">
        <v>10</v>
      </c>
      <c r="K932">
        <f>Table14[[#This Row],[Total Amount]]-Table14[[#This Row],[Discounted Price]]</f>
        <v>110</v>
      </c>
    </row>
    <row r="933" spans="1:11" x14ac:dyDescent="0.35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  <c r="J933">
        <v>10</v>
      </c>
      <c r="K933">
        <f>Table14[[#This Row],[Total Amount]]-Table14[[#This Row],[Discounted Price]]</f>
        <v>90</v>
      </c>
    </row>
    <row r="934" spans="1:11" x14ac:dyDescent="0.35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  <c r="J934">
        <v>10</v>
      </c>
      <c r="K934">
        <f>Table14[[#This Row],[Total Amount]]-Table14[[#This Row],[Discounted Price]]</f>
        <v>20</v>
      </c>
    </row>
    <row r="935" spans="1:11" x14ac:dyDescent="0.35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  <c r="J935">
        <v>10</v>
      </c>
      <c r="K935">
        <f>Table14[[#This Row],[Total Amount]]-Table14[[#This Row],[Discounted Price]]</f>
        <v>490</v>
      </c>
    </row>
    <row r="936" spans="1:11" x14ac:dyDescent="0.35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  <c r="J936">
        <v>10</v>
      </c>
      <c r="K936">
        <f>Table14[[#This Row],[Total Amount]]-Table14[[#This Row],[Discounted Price]]</f>
        <v>40</v>
      </c>
    </row>
    <row r="937" spans="1:11" x14ac:dyDescent="0.35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  <c r="J937">
        <v>10</v>
      </c>
      <c r="K937">
        <f>Table14[[#This Row],[Total Amount]]-Table14[[#This Row],[Discounted Price]]</f>
        <v>190</v>
      </c>
    </row>
    <row r="938" spans="1:11" x14ac:dyDescent="0.35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  <c r="J938">
        <v>10</v>
      </c>
      <c r="K938">
        <f>Table14[[#This Row],[Total Amount]]-Table14[[#This Row],[Discounted Price]]</f>
        <v>490</v>
      </c>
    </row>
    <row r="939" spans="1:11" x14ac:dyDescent="0.35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  <c r="J939">
        <v>10</v>
      </c>
      <c r="K939">
        <f>Table14[[#This Row],[Total Amount]]-Table14[[#This Row],[Discounted Price]]</f>
        <v>190</v>
      </c>
    </row>
    <row r="940" spans="1:11" x14ac:dyDescent="0.35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  <c r="J940">
        <v>10</v>
      </c>
      <c r="K940">
        <f>Table14[[#This Row],[Total Amount]]-Table14[[#This Row],[Discounted Price]]</f>
        <v>290</v>
      </c>
    </row>
    <row r="941" spans="1:11" x14ac:dyDescent="0.35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  <c r="J941">
        <v>10</v>
      </c>
      <c r="K941">
        <f>Table14[[#This Row],[Total Amount]]-Table14[[#This Row],[Discounted Price]]</f>
        <v>20</v>
      </c>
    </row>
    <row r="942" spans="1:11" x14ac:dyDescent="0.35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  <c r="J942">
        <v>10</v>
      </c>
      <c r="K942">
        <f>Table14[[#This Row],[Total Amount]]-Table14[[#This Row],[Discounted Price]]</f>
        <v>40</v>
      </c>
    </row>
    <row r="943" spans="1:11" x14ac:dyDescent="0.35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  <c r="J943">
        <v>10</v>
      </c>
      <c r="K943">
        <f>Table14[[#This Row],[Total Amount]]-Table14[[#This Row],[Discounted Price]]</f>
        <v>1490</v>
      </c>
    </row>
    <row r="944" spans="1:11" x14ac:dyDescent="0.35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  <c r="J944">
        <v>10</v>
      </c>
      <c r="K944">
        <f>Table14[[#This Row],[Total Amount]]-Table14[[#This Row],[Discounted Price]]</f>
        <v>1190</v>
      </c>
    </row>
    <row r="945" spans="1:11" x14ac:dyDescent="0.35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  <c r="J945">
        <v>10</v>
      </c>
      <c r="K945">
        <f>Table14[[#This Row],[Total Amount]]-Table14[[#This Row],[Discounted Price]]</f>
        <v>40</v>
      </c>
    </row>
    <row r="946" spans="1:11" x14ac:dyDescent="0.35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  <c r="J946">
        <v>10</v>
      </c>
      <c r="K946">
        <f>Table14[[#This Row],[Total Amount]]-Table14[[#This Row],[Discounted Price]]</f>
        <v>15</v>
      </c>
    </row>
    <row r="947" spans="1:11" x14ac:dyDescent="0.35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  <c r="J947">
        <v>10</v>
      </c>
      <c r="K947">
        <f>Table14[[#This Row],[Total Amount]]-Table14[[#This Row],[Discounted Price]]</f>
        <v>1990</v>
      </c>
    </row>
    <row r="948" spans="1:11" x14ac:dyDescent="0.35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  <c r="J948">
        <v>10</v>
      </c>
      <c r="K948">
        <f>Table14[[#This Row],[Total Amount]]-Table14[[#This Row],[Discounted Price]]</f>
        <v>290</v>
      </c>
    </row>
    <row r="949" spans="1:11" x14ac:dyDescent="0.35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  <c r="J949">
        <v>10</v>
      </c>
      <c r="K949">
        <f>Table14[[#This Row],[Total Amount]]-Table14[[#This Row],[Discounted Price]]</f>
        <v>65</v>
      </c>
    </row>
    <row r="950" spans="1:11" x14ac:dyDescent="0.35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  <c r="J950">
        <v>10</v>
      </c>
      <c r="K950">
        <f>Table14[[#This Row],[Total Amount]]-Table14[[#This Row],[Discounted Price]]</f>
        <v>40</v>
      </c>
    </row>
    <row r="951" spans="1:11" x14ac:dyDescent="0.35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  <c r="J951">
        <v>10</v>
      </c>
      <c r="K951">
        <f>Table14[[#This Row],[Total Amount]]-Table14[[#This Row],[Discounted Price]]</f>
        <v>890</v>
      </c>
    </row>
    <row r="952" spans="1:11" x14ac:dyDescent="0.35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  <c r="J952">
        <v>10</v>
      </c>
      <c r="K952">
        <f>Table14[[#This Row],[Total Amount]]-Table14[[#This Row],[Discounted Price]]</f>
        <v>90</v>
      </c>
    </row>
    <row r="953" spans="1:11" x14ac:dyDescent="0.35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  <c r="J953">
        <v>10</v>
      </c>
      <c r="K953">
        <f>Table14[[#This Row],[Total Amount]]-Table14[[#This Row],[Discounted Price]]</f>
        <v>15</v>
      </c>
    </row>
    <row r="954" spans="1:11" x14ac:dyDescent="0.35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  <c r="J954">
        <v>10</v>
      </c>
      <c r="K954">
        <f>Table14[[#This Row],[Total Amount]]-Table14[[#This Row],[Discounted Price]]</f>
        <v>80</v>
      </c>
    </row>
    <row r="955" spans="1:11" x14ac:dyDescent="0.35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  <c r="J955">
        <v>10</v>
      </c>
      <c r="K955">
        <f>Table14[[#This Row],[Total Amount]]-Table14[[#This Row],[Discounted Price]]</f>
        <v>890</v>
      </c>
    </row>
    <row r="956" spans="1:11" x14ac:dyDescent="0.35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  <c r="J956">
        <v>10</v>
      </c>
      <c r="K956">
        <f>Table14[[#This Row],[Total Amount]]-Table14[[#This Row],[Discounted Price]]</f>
        <v>15</v>
      </c>
    </row>
    <row r="957" spans="1:11" x14ac:dyDescent="0.35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  <c r="J957">
        <v>10</v>
      </c>
      <c r="K957">
        <f>Table14[[#This Row],[Total Amount]]-Table14[[#This Row],[Discounted Price]]</f>
        <v>1490</v>
      </c>
    </row>
    <row r="958" spans="1:11" x14ac:dyDescent="0.35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  <c r="J958">
        <v>10</v>
      </c>
      <c r="K958">
        <f>Table14[[#This Row],[Total Amount]]-Table14[[#This Row],[Discounted Price]]</f>
        <v>110</v>
      </c>
    </row>
    <row r="959" spans="1:11" x14ac:dyDescent="0.35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  <c r="J959">
        <v>10</v>
      </c>
      <c r="K959">
        <f>Table14[[#This Row],[Total Amount]]-Table14[[#This Row],[Discounted Price]]</f>
        <v>40</v>
      </c>
    </row>
    <row r="960" spans="1:11" x14ac:dyDescent="0.35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  <c r="J960">
        <v>10</v>
      </c>
      <c r="K960">
        <f>Table14[[#This Row],[Total Amount]]-Table14[[#This Row],[Discounted Price]]</f>
        <v>50</v>
      </c>
    </row>
    <row r="961" spans="1:11" x14ac:dyDescent="0.35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  <c r="J961">
        <v>10</v>
      </c>
      <c r="K961">
        <f>Table14[[#This Row],[Total Amount]]-Table14[[#This Row],[Discounted Price]]</f>
        <v>50</v>
      </c>
    </row>
    <row r="962" spans="1:11" x14ac:dyDescent="0.35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  <c r="J962">
        <v>10</v>
      </c>
      <c r="K962">
        <f>Table14[[#This Row],[Total Amount]]-Table14[[#This Row],[Discounted Price]]</f>
        <v>190</v>
      </c>
    </row>
    <row r="963" spans="1:11" x14ac:dyDescent="0.35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  <c r="J963">
        <v>10</v>
      </c>
      <c r="K963">
        <f>Table14[[#This Row],[Total Amount]]-Table14[[#This Row],[Discounted Price]]</f>
        <v>50</v>
      </c>
    </row>
    <row r="964" spans="1:11" x14ac:dyDescent="0.35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  <c r="J964">
        <v>10</v>
      </c>
      <c r="K964">
        <f>Table14[[#This Row],[Total Amount]]-Table14[[#This Row],[Discounted Price]]</f>
        <v>40</v>
      </c>
    </row>
    <row r="965" spans="1:11" x14ac:dyDescent="0.35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  <c r="J965">
        <v>10</v>
      </c>
      <c r="K965">
        <f>Table14[[#This Row],[Total Amount]]-Table14[[#This Row],[Discounted Price]]</f>
        <v>890</v>
      </c>
    </row>
    <row r="966" spans="1:11" x14ac:dyDescent="0.35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  <c r="J966">
        <v>10</v>
      </c>
      <c r="K966">
        <f>Table14[[#This Row],[Total Amount]]-Table14[[#This Row],[Discounted Price]]</f>
        <v>190</v>
      </c>
    </row>
    <row r="967" spans="1:11" x14ac:dyDescent="0.35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  <c r="J967">
        <v>10</v>
      </c>
      <c r="K967">
        <f>Table14[[#This Row],[Total Amount]]-Table14[[#This Row],[Discounted Price]]</f>
        <v>990</v>
      </c>
    </row>
    <row r="968" spans="1:11" x14ac:dyDescent="0.35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  <c r="J968">
        <v>10</v>
      </c>
      <c r="K968">
        <f>Table14[[#This Row],[Total Amount]]-Table14[[#This Row],[Discounted Price]]</f>
        <v>15</v>
      </c>
    </row>
    <row r="969" spans="1:11" x14ac:dyDescent="0.35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  <c r="J969">
        <v>10</v>
      </c>
      <c r="K969">
        <f>Table14[[#This Row],[Total Amount]]-Table14[[#This Row],[Discounted Price]]</f>
        <v>890</v>
      </c>
    </row>
    <row r="970" spans="1:11" x14ac:dyDescent="0.35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  <c r="J970">
        <v>10</v>
      </c>
      <c r="K970">
        <f>Table14[[#This Row],[Total Amount]]-Table14[[#This Row],[Discounted Price]]</f>
        <v>890</v>
      </c>
    </row>
    <row r="971" spans="1:11" x14ac:dyDescent="0.35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  <c r="J971">
        <v>10</v>
      </c>
      <c r="K971">
        <f>Table14[[#This Row],[Total Amount]]-Table14[[#This Row],[Discounted Price]]</f>
        <v>1990</v>
      </c>
    </row>
    <row r="972" spans="1:11" x14ac:dyDescent="0.35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  <c r="J972">
        <v>10</v>
      </c>
      <c r="K972">
        <f>Table14[[#This Row],[Total Amount]]-Table14[[#This Row],[Discounted Price]]</f>
        <v>190</v>
      </c>
    </row>
    <row r="973" spans="1:11" x14ac:dyDescent="0.35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  <c r="J973">
        <v>10</v>
      </c>
      <c r="K973">
        <f>Table14[[#This Row],[Total Amount]]-Table14[[#This Row],[Discounted Price]]</f>
        <v>90</v>
      </c>
    </row>
    <row r="974" spans="1:11" x14ac:dyDescent="0.35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  <c r="J974">
        <v>10</v>
      </c>
      <c r="K974">
        <f>Table14[[#This Row],[Total Amount]]-Table14[[#This Row],[Discounted Price]]</f>
        <v>40</v>
      </c>
    </row>
    <row r="975" spans="1:11" x14ac:dyDescent="0.35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  <c r="J975">
        <v>10</v>
      </c>
      <c r="K975">
        <f>Table14[[#This Row],[Total Amount]]-Table14[[#This Row],[Discounted Price]]</f>
        <v>20</v>
      </c>
    </row>
    <row r="976" spans="1:11" x14ac:dyDescent="0.35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  <c r="J976">
        <v>10</v>
      </c>
      <c r="K976">
        <f>Table14[[#This Row],[Total Amount]]-Table14[[#This Row],[Discounted Price]]</f>
        <v>190</v>
      </c>
    </row>
    <row r="977" spans="1:11" x14ac:dyDescent="0.35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  <c r="J977">
        <v>10</v>
      </c>
      <c r="K977">
        <f>Table14[[#This Row],[Total Amount]]-Table14[[#This Row],[Discounted Price]]</f>
        <v>590</v>
      </c>
    </row>
    <row r="978" spans="1:11" x14ac:dyDescent="0.35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  <c r="J978">
        <v>10</v>
      </c>
      <c r="K978">
        <f>Table14[[#This Row],[Total Amount]]-Table14[[#This Row],[Discounted Price]]</f>
        <v>65</v>
      </c>
    </row>
    <row r="979" spans="1:11" x14ac:dyDescent="0.35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  <c r="J979">
        <v>10</v>
      </c>
      <c r="K979">
        <f>Table14[[#This Row],[Total Amount]]-Table14[[#This Row],[Discounted Price]]</f>
        <v>140</v>
      </c>
    </row>
    <row r="980" spans="1:11" x14ac:dyDescent="0.35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  <c r="J980">
        <v>10</v>
      </c>
      <c r="K980">
        <f>Table14[[#This Row],[Total Amount]]-Table14[[#This Row],[Discounted Price]]</f>
        <v>15</v>
      </c>
    </row>
    <row r="981" spans="1:11" x14ac:dyDescent="0.35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  <c r="J981">
        <v>10</v>
      </c>
      <c r="K981">
        <f>Table14[[#This Row],[Total Amount]]-Table14[[#This Row],[Discounted Price]]</f>
        <v>65</v>
      </c>
    </row>
    <row r="982" spans="1:11" x14ac:dyDescent="0.35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  <c r="J982">
        <v>10</v>
      </c>
      <c r="K982">
        <f>Table14[[#This Row],[Total Amount]]-Table14[[#This Row],[Discounted Price]]</f>
        <v>50</v>
      </c>
    </row>
    <row r="983" spans="1:11" x14ac:dyDescent="0.35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  <c r="J983">
        <v>10</v>
      </c>
      <c r="K983">
        <f>Table14[[#This Row],[Total Amount]]-Table14[[#This Row],[Discounted Price]]</f>
        <v>80</v>
      </c>
    </row>
    <row r="984" spans="1:11" x14ac:dyDescent="0.35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  <c r="J984">
        <v>10</v>
      </c>
      <c r="K984">
        <f>Table14[[#This Row],[Total Amount]]-Table14[[#This Row],[Discounted Price]]</f>
        <v>290</v>
      </c>
    </row>
    <row r="985" spans="1:11" x14ac:dyDescent="0.35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  <c r="J985">
        <v>10</v>
      </c>
      <c r="K985">
        <f>Table14[[#This Row],[Total Amount]]-Table14[[#This Row],[Discounted Price]]</f>
        <v>490</v>
      </c>
    </row>
    <row r="986" spans="1:11" x14ac:dyDescent="0.35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  <c r="J986">
        <v>10</v>
      </c>
      <c r="K986">
        <f>Table14[[#This Row],[Total Amount]]-Table14[[#This Row],[Discounted Price]]</f>
        <v>40</v>
      </c>
    </row>
    <row r="987" spans="1:11" x14ac:dyDescent="0.35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  <c r="J987">
        <v>10</v>
      </c>
      <c r="K987">
        <f>Table14[[#This Row],[Total Amount]]-Table14[[#This Row],[Discounted Price]]</f>
        <v>990</v>
      </c>
    </row>
    <row r="988" spans="1:11" x14ac:dyDescent="0.35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  <c r="J988">
        <v>10</v>
      </c>
      <c r="K988">
        <f>Table14[[#This Row],[Total Amount]]-Table14[[#This Row],[Discounted Price]]</f>
        <v>890</v>
      </c>
    </row>
    <row r="989" spans="1:11" x14ac:dyDescent="0.35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  <c r="J989">
        <v>10</v>
      </c>
      <c r="K989">
        <f>Table14[[#This Row],[Total Amount]]-Table14[[#This Row],[Discounted Price]]</f>
        <v>65</v>
      </c>
    </row>
    <row r="990" spans="1:11" x14ac:dyDescent="0.35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  <c r="J990">
        <v>10</v>
      </c>
      <c r="K990">
        <f>Table14[[#This Row],[Total Amount]]-Table14[[#This Row],[Discounted Price]]</f>
        <v>15</v>
      </c>
    </row>
    <row r="991" spans="1:11" x14ac:dyDescent="0.35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  <c r="J991">
        <v>10</v>
      </c>
      <c r="K991">
        <f>Table14[[#This Row],[Total Amount]]-Table14[[#This Row],[Discounted Price]]</f>
        <v>990</v>
      </c>
    </row>
    <row r="992" spans="1:11" x14ac:dyDescent="0.35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  <c r="J992">
        <v>10</v>
      </c>
      <c r="K992">
        <f>Table14[[#This Row],[Total Amount]]-Table14[[#This Row],[Discounted Price]]</f>
        <v>90</v>
      </c>
    </row>
    <row r="993" spans="1:11" x14ac:dyDescent="0.35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  <c r="J993">
        <v>10</v>
      </c>
      <c r="K993">
        <f>Table14[[#This Row],[Total Amount]]-Table14[[#This Row],[Discounted Price]]</f>
        <v>50</v>
      </c>
    </row>
    <row r="994" spans="1:11" x14ac:dyDescent="0.35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  <c r="J994">
        <v>10</v>
      </c>
      <c r="K994">
        <f>Table14[[#This Row],[Total Amount]]-Table14[[#This Row],[Discounted Price]]</f>
        <v>140</v>
      </c>
    </row>
    <row r="995" spans="1:11" x14ac:dyDescent="0.35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  <c r="J995">
        <v>10</v>
      </c>
      <c r="K995">
        <f>Table14[[#This Row],[Total Amount]]-Table14[[#This Row],[Discounted Price]]</f>
        <v>990</v>
      </c>
    </row>
    <row r="996" spans="1:11" x14ac:dyDescent="0.35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  <c r="J996">
        <v>10</v>
      </c>
      <c r="K996">
        <f>Table14[[#This Row],[Total Amount]]-Table14[[#This Row],[Discounted Price]]</f>
        <v>20</v>
      </c>
    </row>
    <row r="997" spans="1:11" x14ac:dyDescent="0.35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  <c r="J997">
        <v>10</v>
      </c>
      <c r="K997">
        <f>Table14[[#This Row],[Total Amount]]-Table14[[#This Row],[Discounted Price]]</f>
        <v>40</v>
      </c>
    </row>
    <row r="998" spans="1:11" x14ac:dyDescent="0.35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  <c r="J998">
        <v>10</v>
      </c>
      <c r="K998">
        <f>Table14[[#This Row],[Total Amount]]-Table14[[#This Row],[Discounted Price]]</f>
        <v>80</v>
      </c>
    </row>
    <row r="999" spans="1:11" x14ac:dyDescent="0.35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  <c r="J999">
        <v>10</v>
      </c>
      <c r="K999">
        <f>Table14[[#This Row],[Total Amount]]-Table14[[#This Row],[Discounted Price]]</f>
        <v>90</v>
      </c>
    </row>
    <row r="1000" spans="1:11" x14ac:dyDescent="0.35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  <c r="J1000">
        <v>10</v>
      </c>
      <c r="K1000">
        <f>Table14[[#This Row],[Total Amount]]-Table14[[#This Row],[Discounted Price]]</f>
        <v>140</v>
      </c>
    </row>
    <row r="1001" spans="1:11" x14ac:dyDescent="0.35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  <c r="J1001">
        <v>10</v>
      </c>
      <c r="K1001">
        <f>Table14[[#This Row],[Total Amount]]-Table14[[#This Row],[Discounted Price]]</f>
        <v>110</v>
      </c>
    </row>
    <row r="1002" spans="1:11" x14ac:dyDescent="0.35">
      <c r="B1002" s="1"/>
      <c r="H1002" t="s">
        <v>1016</v>
      </c>
      <c r="I1002">
        <f>SUBTOTAL(109,Table13[Sales])</f>
        <v>456000</v>
      </c>
      <c r="J1002">
        <v>10</v>
      </c>
      <c r="K1002">
        <f>Table14[[#This Row],[Total Amount]]-Table14[[#This Row],[Discounted Price]]</f>
        <v>455990</v>
      </c>
    </row>
    <row r="1003" spans="1:11" x14ac:dyDescent="0.35">
      <c r="B1003" s="1"/>
      <c r="H1003" t="s">
        <v>1015</v>
      </c>
      <c r="I1003">
        <f>AVERAGE(Table13[Sales])</f>
        <v>456</v>
      </c>
      <c r="J1003">
        <v>10</v>
      </c>
      <c r="K1003">
        <f>Table14[[#This Row],[Total Amount]]-Table14[[#This Row],[Discounted Price]]</f>
        <v>446</v>
      </c>
    </row>
    <row r="1004" spans="1:11" x14ac:dyDescent="0.35">
      <c r="B1004" s="1"/>
      <c r="H1004" t="s">
        <v>1018</v>
      </c>
      <c r="I1004">
        <f>MAX(Table13[Sales])</f>
        <v>2000</v>
      </c>
      <c r="J1004">
        <v>10</v>
      </c>
      <c r="K1004">
        <f>Table14[[#This Row],[Total Amount]]-Table14[[#This Row],[Discounted Price]]</f>
        <v>1990</v>
      </c>
    </row>
    <row r="1005" spans="1:11" x14ac:dyDescent="0.35">
      <c r="B1005" s="1"/>
      <c r="H1005" t="s">
        <v>1017</v>
      </c>
      <c r="I1005">
        <f>MIN(Table13[Sales])</f>
        <v>25</v>
      </c>
      <c r="J1005">
        <v>10</v>
      </c>
      <c r="K1005">
        <f>Table14[[#This Row],[Total Amount]]-Table14[[#This Row],[Discounted Price]]</f>
        <v>15</v>
      </c>
    </row>
    <row r="1006" spans="1:11" x14ac:dyDescent="0.35">
      <c r="B1006" s="1"/>
      <c r="I1006">
        <f>SUBTOTAL(109,Table14[Total Amount])</f>
        <v>458481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5B07F-79FA-40A0-B071-BE694FCBD200}">
  <dimension ref="A1:O1001"/>
  <sheetViews>
    <sheetView topLeftCell="C1" workbookViewId="0">
      <selection activeCell="C1" sqref="A1:XFD1048576"/>
    </sheetView>
  </sheetViews>
  <sheetFormatPr defaultRowHeight="14.5" x14ac:dyDescent="0.35"/>
  <cols>
    <col min="1" max="1" width="14.81640625" customWidth="1"/>
    <col min="2" max="2" width="12.453125" customWidth="1"/>
    <col min="3" max="3" width="13.1796875" customWidth="1"/>
    <col min="4" max="4" width="8.90625" customWidth="1"/>
    <col min="6" max="6" width="10.08984375" customWidth="1"/>
    <col min="7" max="7" width="17.08984375" customWidth="1"/>
    <col min="8" max="8" width="10" customWidth="1"/>
    <col min="9" max="9" width="14.08984375" customWidth="1"/>
    <col min="10" max="10" width="13.81640625" customWidth="1"/>
    <col min="11" max="11" width="15.54296875" customWidth="1"/>
    <col min="12" max="12" width="15.453125" customWidth="1"/>
    <col min="13" max="13" width="10.81640625" customWidth="1"/>
    <col min="14" max="14" width="11.6328125" customWidth="1"/>
  </cols>
  <sheetData>
    <row r="1" spans="1:15" ht="43.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1025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1026</v>
      </c>
      <c r="L1" s="4" t="s">
        <v>1021</v>
      </c>
      <c r="M1" s="4" t="s">
        <v>1022</v>
      </c>
      <c r="N1" s="4" t="s">
        <v>1023</v>
      </c>
      <c r="O1" s="4" t="s">
        <v>1024</v>
      </c>
    </row>
    <row r="2" spans="1:15" x14ac:dyDescent="0.35">
      <c r="A2" s="4">
        <v>1</v>
      </c>
      <c r="B2" s="5">
        <v>45254</v>
      </c>
      <c r="C2" s="4" t="s">
        <v>9</v>
      </c>
      <c r="D2" s="4" t="s">
        <v>10</v>
      </c>
      <c r="E2" s="4">
        <v>34</v>
      </c>
      <c r="F2" s="4" t="str">
        <f>IF(Table15[[#This Row],[Age]]&lt;=19,"Teenager",IF(Table15[[#This Row],[Age]]&lt;=40,"Median","Old"))</f>
        <v>Median</v>
      </c>
      <c r="G2" s="4" t="s">
        <v>11</v>
      </c>
      <c r="H2" s="4">
        <v>3</v>
      </c>
      <c r="I2" s="4">
        <v>50</v>
      </c>
      <c r="J2" s="4">
        <v>150</v>
      </c>
      <c r="K2" s="4" t="str" cm="1">
        <f t="array" ref="K2">_xlfn.IFS(AND(Table15[[#This Row],[Total Amount]]&gt;=1500),"Critical",AND(Table15[[#This Row],[Total Amount]]&gt;=1000),"High",TRUE,"Normal")</f>
        <v>Normal</v>
      </c>
      <c r="L2" s="4" t="str">
        <f>IF(Table15[[#This Row],[Total Amount]]&gt;=1000,"High",(IF(Table15[[#This Row],[Total Amount]]&gt;=500,"Medium","Low")))</f>
        <v>Low</v>
      </c>
      <c r="M2" s="4" t="str" cm="1">
        <f t="array" ref="M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" s="4" cm="1">
        <f t="array" ref="N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22.5</v>
      </c>
      <c r="O2" s="4">
        <f>Table15[[#This Row],[Total Amount]]-Table15[[#This Row],[Discount Amount]]</f>
        <v>127.5</v>
      </c>
    </row>
    <row r="3" spans="1:15" x14ac:dyDescent="0.35">
      <c r="A3" s="4">
        <v>2</v>
      </c>
      <c r="B3" s="5">
        <v>44984</v>
      </c>
      <c r="C3" s="4" t="s">
        <v>12</v>
      </c>
      <c r="D3" s="4" t="s">
        <v>13</v>
      </c>
      <c r="E3" s="4">
        <v>26</v>
      </c>
      <c r="F3" s="4" t="str">
        <f>IF(Table15[[#This Row],[Age]]&lt;=19,"Teenager",IF(Table15[[#This Row],[Age]]&lt;=40,"Median","Old"))</f>
        <v>Median</v>
      </c>
      <c r="G3" s="4" t="s">
        <v>14</v>
      </c>
      <c r="H3" s="4">
        <v>2</v>
      </c>
      <c r="I3" s="4">
        <v>500</v>
      </c>
      <c r="J3" s="4">
        <v>1000</v>
      </c>
      <c r="K3" s="4" t="str" cm="1">
        <f t="array" ref="K3">_xlfn.IFS(AND(Table15[[#This Row],[Total Amount]]&gt;=1500),"Critical",AND(Table15[[#This Row],[Total Amount]]&gt;=1000),"High",TRUE,"Normal")</f>
        <v>High</v>
      </c>
      <c r="L3" s="4" t="str">
        <f>IF(Table15[[#This Row],[Total Amount]]&gt;=1000,"High",(IF(Table15[[#This Row],[Total Amount]]&gt;=500,"Medium","Low")))</f>
        <v>High</v>
      </c>
      <c r="M3" s="4" t="str" cm="1">
        <f t="array" ref="M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" s="4" cm="1">
        <f t="array" ref="N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3" s="4">
        <f>Table15[[#This Row],[Total Amount]]-Table15[[#This Row],[Discount Amount]]</f>
        <v>850</v>
      </c>
    </row>
    <row r="4" spans="1:15" x14ac:dyDescent="0.35">
      <c r="A4" s="4">
        <v>3</v>
      </c>
      <c r="B4" s="5">
        <v>44939</v>
      </c>
      <c r="C4" s="4" t="s">
        <v>15</v>
      </c>
      <c r="D4" s="4" t="s">
        <v>10</v>
      </c>
      <c r="E4" s="4">
        <v>50</v>
      </c>
      <c r="F4" s="4" t="str">
        <f>IF(Table15[[#This Row],[Age]]&lt;=19,"Teenager",IF(Table15[[#This Row],[Age]]&lt;=40,"Median","Old"))</f>
        <v>Old</v>
      </c>
      <c r="G4" s="4" t="s">
        <v>16</v>
      </c>
      <c r="H4" s="4">
        <v>1</v>
      </c>
      <c r="I4" s="4">
        <v>30</v>
      </c>
      <c r="J4" s="4">
        <v>30</v>
      </c>
      <c r="K4" s="4" t="str" cm="1">
        <f t="array" ref="K4">_xlfn.IFS(AND(Table15[[#This Row],[Total Amount]]&gt;=1500),"Critical",AND(Table15[[#This Row],[Total Amount]]&gt;=1000),"High",TRUE,"Normal")</f>
        <v>Normal</v>
      </c>
      <c r="L4" s="4" t="str">
        <f>IF(Table15[[#This Row],[Total Amount]]&gt;=1000,"High",(IF(Table15[[#This Row],[Total Amount]]&gt;=500,"Medium","Low")))</f>
        <v>Low</v>
      </c>
      <c r="M4" s="4" t="str" cm="1">
        <f t="array" ref="M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" s="4" cm="1">
        <f t="array" ref="N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4" s="4">
        <f>Table15[[#This Row],[Total Amount]]-Table15[[#This Row],[Discount Amount]]</f>
        <v>27</v>
      </c>
    </row>
    <row r="5" spans="1:15" x14ac:dyDescent="0.35">
      <c r="A5" s="4">
        <v>4</v>
      </c>
      <c r="B5" s="5">
        <v>45067</v>
      </c>
      <c r="C5" s="4" t="s">
        <v>17</v>
      </c>
      <c r="D5" s="4" t="s">
        <v>10</v>
      </c>
      <c r="E5" s="4">
        <v>37</v>
      </c>
      <c r="F5" s="4" t="str">
        <f>IF(Table15[[#This Row],[Age]]&lt;=19,"Teenager",IF(Table15[[#This Row],[Age]]&lt;=40,"Median","Old"))</f>
        <v>Median</v>
      </c>
      <c r="G5" s="4" t="s">
        <v>14</v>
      </c>
      <c r="H5" s="4">
        <v>1</v>
      </c>
      <c r="I5" s="4">
        <v>500</v>
      </c>
      <c r="J5" s="4">
        <v>500</v>
      </c>
      <c r="K5" s="4" t="str" cm="1">
        <f t="array" ref="K5">_xlfn.IFS(AND(Table15[[#This Row],[Total Amount]]&gt;=1500),"Critical",AND(Table15[[#This Row],[Total Amount]]&gt;=1000),"High",TRUE,"Normal")</f>
        <v>Normal</v>
      </c>
      <c r="L5" s="4" t="str">
        <f>IF(Table15[[#This Row],[Total Amount]]&gt;=1000,"High",(IF(Table15[[#This Row],[Total Amount]]&gt;=500,"Medium","Low")))</f>
        <v>Medium</v>
      </c>
      <c r="M5" s="4" t="str" cm="1">
        <f t="array" ref="M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" s="4" cm="1">
        <f t="array" ref="N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5" s="4">
        <f>Table15[[#This Row],[Total Amount]]-Table15[[#This Row],[Discount Amount]]</f>
        <v>450</v>
      </c>
    </row>
    <row r="6" spans="1:15" x14ac:dyDescent="0.35">
      <c r="A6" s="4">
        <v>5</v>
      </c>
      <c r="B6" s="5">
        <v>45052</v>
      </c>
      <c r="C6" s="4" t="s">
        <v>18</v>
      </c>
      <c r="D6" s="4" t="s">
        <v>10</v>
      </c>
      <c r="E6" s="4">
        <v>30</v>
      </c>
      <c r="F6" s="4" t="str">
        <f>IF(Table15[[#This Row],[Age]]&lt;=19,"Teenager",IF(Table15[[#This Row],[Age]]&lt;=40,"Median","Old"))</f>
        <v>Median</v>
      </c>
      <c r="G6" s="4" t="s">
        <v>11</v>
      </c>
      <c r="H6" s="4">
        <v>2</v>
      </c>
      <c r="I6" s="4">
        <v>50</v>
      </c>
      <c r="J6" s="4">
        <v>100</v>
      </c>
      <c r="K6" s="4" t="str" cm="1">
        <f t="array" ref="K6">_xlfn.IFS(AND(Table15[[#This Row],[Total Amount]]&gt;=1500),"Critical",AND(Table15[[#This Row],[Total Amount]]&gt;=1000),"High",TRUE,"Normal")</f>
        <v>Normal</v>
      </c>
      <c r="L6" s="4" t="str">
        <f>IF(Table15[[#This Row],[Total Amount]]&gt;=1000,"High",(IF(Table15[[#This Row],[Total Amount]]&gt;=500,"Medium","Low")))</f>
        <v>Low</v>
      </c>
      <c r="M6" s="4" t="str" cm="1">
        <f t="array" ref="M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" s="4" cm="1">
        <f t="array" ref="N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6" s="4">
        <f>Table15[[#This Row],[Total Amount]]-Table15[[#This Row],[Discount Amount]]</f>
        <v>85</v>
      </c>
    </row>
    <row r="7" spans="1:15" x14ac:dyDescent="0.35">
      <c r="A7" s="4">
        <v>6</v>
      </c>
      <c r="B7" s="5">
        <v>45041</v>
      </c>
      <c r="C7" s="4" t="s">
        <v>19</v>
      </c>
      <c r="D7" s="4" t="s">
        <v>13</v>
      </c>
      <c r="E7" s="4">
        <v>45</v>
      </c>
      <c r="F7" s="4" t="str">
        <f>IF(Table15[[#This Row],[Age]]&lt;=19,"Teenager",IF(Table15[[#This Row],[Age]]&lt;=40,"Median","Old"))</f>
        <v>Old</v>
      </c>
      <c r="G7" s="4" t="s">
        <v>11</v>
      </c>
      <c r="H7" s="4">
        <v>1</v>
      </c>
      <c r="I7" s="4">
        <v>30</v>
      </c>
      <c r="J7" s="4">
        <v>30</v>
      </c>
      <c r="K7" s="4" t="str" cm="1">
        <f t="array" ref="K7">_xlfn.IFS(AND(Table15[[#This Row],[Total Amount]]&gt;=1500),"Critical",AND(Table15[[#This Row],[Total Amount]]&gt;=1000),"High",TRUE,"Normal")</f>
        <v>Normal</v>
      </c>
      <c r="L7" s="4" t="str">
        <f>IF(Table15[[#This Row],[Total Amount]]&gt;=1000,"High",(IF(Table15[[#This Row],[Total Amount]]&gt;=500,"Medium","Low")))</f>
        <v>Low</v>
      </c>
      <c r="M7" s="4" t="str" cm="1">
        <f t="array" ref="M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" s="4" cm="1">
        <f t="array" ref="N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7" s="4">
        <f>Table15[[#This Row],[Total Amount]]-Table15[[#This Row],[Discount Amount]]</f>
        <v>24</v>
      </c>
    </row>
    <row r="8" spans="1:15" x14ac:dyDescent="0.35">
      <c r="A8" s="4">
        <v>7</v>
      </c>
      <c r="B8" s="5">
        <v>44998</v>
      </c>
      <c r="C8" s="4" t="s">
        <v>20</v>
      </c>
      <c r="D8" s="4" t="s">
        <v>10</v>
      </c>
      <c r="E8" s="4">
        <v>46</v>
      </c>
      <c r="F8" s="4" t="str">
        <f>IF(Table15[[#This Row],[Age]]&lt;=19,"Teenager",IF(Table15[[#This Row],[Age]]&lt;=40,"Median","Old"))</f>
        <v>Old</v>
      </c>
      <c r="G8" s="4" t="s">
        <v>14</v>
      </c>
      <c r="H8" s="4">
        <v>2</v>
      </c>
      <c r="I8" s="4">
        <v>25</v>
      </c>
      <c r="J8" s="4">
        <v>50</v>
      </c>
      <c r="K8" s="4" t="str" cm="1">
        <f t="array" ref="K8">_xlfn.IFS(AND(Table15[[#This Row],[Total Amount]]&gt;=1500),"Critical",AND(Table15[[#This Row],[Total Amount]]&gt;=1000),"High",TRUE,"Normal")</f>
        <v>Normal</v>
      </c>
      <c r="L8" s="4" t="str">
        <f>IF(Table15[[#This Row],[Total Amount]]&gt;=1000,"High",(IF(Table15[[#This Row],[Total Amount]]&gt;=500,"Medium","Low")))</f>
        <v>Low</v>
      </c>
      <c r="M8" s="4" t="str" cm="1">
        <f t="array" ref="M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" s="4" cm="1">
        <f t="array" ref="N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8" s="4">
        <f>Table15[[#This Row],[Total Amount]]-Table15[[#This Row],[Discount Amount]]</f>
        <v>45</v>
      </c>
    </row>
    <row r="9" spans="1:15" x14ac:dyDescent="0.35">
      <c r="A9" s="4">
        <v>8</v>
      </c>
      <c r="B9" s="5">
        <v>44979</v>
      </c>
      <c r="C9" s="4" t="s">
        <v>21</v>
      </c>
      <c r="D9" s="4" t="s">
        <v>10</v>
      </c>
      <c r="E9" s="4">
        <v>30</v>
      </c>
      <c r="F9" s="4" t="str">
        <f>IF(Table15[[#This Row],[Age]]&lt;=19,"Teenager",IF(Table15[[#This Row],[Age]]&lt;=40,"Median","Old"))</f>
        <v>Median</v>
      </c>
      <c r="G9" s="4" t="s">
        <v>16</v>
      </c>
      <c r="H9" s="4">
        <v>4</v>
      </c>
      <c r="I9" s="4">
        <v>25</v>
      </c>
      <c r="J9" s="4">
        <v>100</v>
      </c>
      <c r="K9" s="4" t="str" cm="1">
        <f t="array" ref="K9">_xlfn.IFS(AND(Table15[[#This Row],[Total Amount]]&gt;=1500),"Critical",AND(Table15[[#This Row],[Total Amount]]&gt;=1000),"High",TRUE,"Normal")</f>
        <v>Normal</v>
      </c>
      <c r="L9" s="4" t="str">
        <f>IF(Table15[[#This Row],[Total Amount]]&gt;=1000,"High",(IF(Table15[[#This Row],[Total Amount]]&gt;=500,"Medium","Low")))</f>
        <v>Low</v>
      </c>
      <c r="M9" s="4" t="str" cm="1">
        <f t="array" ref="M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" s="4" cm="1">
        <f t="array" ref="N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9" s="4">
        <f>Table15[[#This Row],[Total Amount]]-Table15[[#This Row],[Discount Amount]]</f>
        <v>85</v>
      </c>
    </row>
    <row r="10" spans="1:15" x14ac:dyDescent="0.35">
      <c r="A10" s="4">
        <v>9</v>
      </c>
      <c r="B10" s="5">
        <v>45273</v>
      </c>
      <c r="C10" s="4" t="s">
        <v>22</v>
      </c>
      <c r="D10" s="4" t="s">
        <v>10</v>
      </c>
      <c r="E10" s="4">
        <v>63</v>
      </c>
      <c r="F10" s="4" t="str">
        <f>IF(Table15[[#This Row],[Age]]&lt;=19,"Teenager",IF(Table15[[#This Row],[Age]]&lt;=40,"Median","Old"))</f>
        <v>Old</v>
      </c>
      <c r="G10" s="4" t="s">
        <v>16</v>
      </c>
      <c r="H10" s="4">
        <v>2</v>
      </c>
      <c r="I10" s="4">
        <v>300</v>
      </c>
      <c r="J10" s="4">
        <v>600</v>
      </c>
      <c r="K10" s="4" t="str" cm="1">
        <f t="array" ref="K10">_xlfn.IFS(AND(Table15[[#This Row],[Total Amount]]&gt;=1500),"Critical",AND(Table15[[#This Row],[Total Amount]]&gt;=1000),"High",TRUE,"Normal")</f>
        <v>Normal</v>
      </c>
      <c r="L10" s="4" t="str">
        <f>IF(Table15[[#This Row],[Total Amount]]&gt;=1000,"High",(IF(Table15[[#This Row],[Total Amount]]&gt;=500,"Medium","Low")))</f>
        <v>Medium</v>
      </c>
      <c r="M10" s="4" t="str" cm="1">
        <f t="array" ref="M1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0" s="4" cm="1">
        <f t="array" ref="N1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10" s="4">
        <f>Table15[[#This Row],[Total Amount]]-Table15[[#This Row],[Discount Amount]]</f>
        <v>540</v>
      </c>
    </row>
    <row r="11" spans="1:15" x14ac:dyDescent="0.35">
      <c r="A11" s="4">
        <v>10</v>
      </c>
      <c r="B11" s="5">
        <v>45206</v>
      </c>
      <c r="C11" s="4" t="s">
        <v>23</v>
      </c>
      <c r="D11" s="4" t="s">
        <v>13</v>
      </c>
      <c r="E11" s="4">
        <v>52</v>
      </c>
      <c r="F11" s="4" t="str">
        <f>IF(Table15[[#This Row],[Age]]&lt;=19,"Teenager",IF(Table15[[#This Row],[Age]]&lt;=40,"Median","Old"))</f>
        <v>Old</v>
      </c>
      <c r="G11" s="4" t="s">
        <v>14</v>
      </c>
      <c r="H11" s="4">
        <v>4</v>
      </c>
      <c r="I11" s="4">
        <v>50</v>
      </c>
      <c r="J11" s="4">
        <v>200</v>
      </c>
      <c r="K11" s="4" t="str" cm="1">
        <f t="array" ref="K11">_xlfn.IFS(AND(Table15[[#This Row],[Total Amount]]&gt;=1500),"Critical",AND(Table15[[#This Row],[Total Amount]]&gt;=1000),"High",TRUE,"Normal")</f>
        <v>Normal</v>
      </c>
      <c r="L11" s="4" t="str">
        <f>IF(Table15[[#This Row],[Total Amount]]&gt;=1000,"High",(IF(Table15[[#This Row],[Total Amount]]&gt;=500,"Medium","Low")))</f>
        <v>Low</v>
      </c>
      <c r="M11" s="4" t="str" cm="1">
        <f t="array" ref="M1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1" s="4" cm="1">
        <f t="array" ref="N1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11" s="4">
        <f>Table15[[#This Row],[Total Amount]]-Table15[[#This Row],[Discount Amount]]</f>
        <v>160</v>
      </c>
    </row>
    <row r="12" spans="1:15" x14ac:dyDescent="0.35">
      <c r="A12" s="4">
        <v>11</v>
      </c>
      <c r="B12" s="5">
        <v>44971</v>
      </c>
      <c r="C12" s="4" t="s">
        <v>24</v>
      </c>
      <c r="D12" s="4" t="s">
        <v>10</v>
      </c>
      <c r="E12" s="4">
        <v>23</v>
      </c>
      <c r="F12" s="4" t="str">
        <f>IF(Table15[[#This Row],[Age]]&lt;=19,"Teenager",IF(Table15[[#This Row],[Age]]&lt;=40,"Median","Old"))</f>
        <v>Median</v>
      </c>
      <c r="G12" s="4" t="s">
        <v>14</v>
      </c>
      <c r="H12" s="4">
        <v>2</v>
      </c>
      <c r="I12" s="4">
        <v>50</v>
      </c>
      <c r="J12" s="4">
        <v>100</v>
      </c>
      <c r="K12" s="4" t="str" cm="1">
        <f t="array" ref="K12">_xlfn.IFS(AND(Table15[[#This Row],[Total Amount]]&gt;=1500),"Critical",AND(Table15[[#This Row],[Total Amount]]&gt;=1000),"High",TRUE,"Normal")</f>
        <v>Normal</v>
      </c>
      <c r="L12" s="4" t="str">
        <f>IF(Table15[[#This Row],[Total Amount]]&gt;=1000,"High",(IF(Table15[[#This Row],[Total Amount]]&gt;=500,"Medium","Low")))</f>
        <v>Low</v>
      </c>
      <c r="M12" s="4" t="str" cm="1">
        <f t="array" ref="M1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2" s="4" cm="1">
        <f t="array" ref="N1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2" s="4">
        <f>Table15[[#This Row],[Total Amount]]-Table15[[#This Row],[Discount Amount]]</f>
        <v>100</v>
      </c>
    </row>
    <row r="13" spans="1:15" x14ac:dyDescent="0.35">
      <c r="A13" s="4">
        <v>12</v>
      </c>
      <c r="B13" s="5">
        <v>45229</v>
      </c>
      <c r="C13" s="4" t="s">
        <v>25</v>
      </c>
      <c r="D13" s="4" t="s">
        <v>10</v>
      </c>
      <c r="E13" s="4">
        <v>35</v>
      </c>
      <c r="F13" s="4" t="str">
        <f>IF(Table15[[#This Row],[Age]]&lt;=19,"Teenager",IF(Table15[[#This Row],[Age]]&lt;=40,"Median","Old"))</f>
        <v>Median</v>
      </c>
      <c r="G13" s="4" t="s">
        <v>11</v>
      </c>
      <c r="H13" s="4">
        <v>3</v>
      </c>
      <c r="I13" s="4">
        <v>25</v>
      </c>
      <c r="J13" s="4">
        <v>75</v>
      </c>
      <c r="K13" s="4" t="str" cm="1">
        <f t="array" ref="K13">_xlfn.IFS(AND(Table15[[#This Row],[Total Amount]]&gt;=1500),"Critical",AND(Table15[[#This Row],[Total Amount]]&gt;=1000),"High",TRUE,"Normal")</f>
        <v>Normal</v>
      </c>
      <c r="L13" s="4" t="str">
        <f>IF(Table15[[#This Row],[Total Amount]]&gt;=1000,"High",(IF(Table15[[#This Row],[Total Amount]]&gt;=500,"Medium","Low")))</f>
        <v>Low</v>
      </c>
      <c r="M13" s="4" t="str" cm="1">
        <f t="array" ref="M1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3" s="4" cm="1">
        <f t="array" ref="N1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13" s="4">
        <f>Table15[[#This Row],[Total Amount]]-Table15[[#This Row],[Discount Amount]]</f>
        <v>67.5</v>
      </c>
    </row>
    <row r="14" spans="1:15" x14ac:dyDescent="0.35">
      <c r="A14" s="4">
        <v>13</v>
      </c>
      <c r="B14" s="5">
        <v>45143</v>
      </c>
      <c r="C14" s="4" t="s">
        <v>26</v>
      </c>
      <c r="D14" s="4" t="s">
        <v>10</v>
      </c>
      <c r="E14" s="4">
        <v>22</v>
      </c>
      <c r="F14" s="4" t="str">
        <f>IF(Table15[[#This Row],[Age]]&lt;=19,"Teenager",IF(Table15[[#This Row],[Age]]&lt;=40,"Median","Old"))</f>
        <v>Median</v>
      </c>
      <c r="G14" s="4" t="s">
        <v>16</v>
      </c>
      <c r="H14" s="4">
        <v>3</v>
      </c>
      <c r="I14" s="4">
        <v>500</v>
      </c>
      <c r="J14" s="4">
        <v>1500</v>
      </c>
      <c r="K14" s="4" t="str" cm="1">
        <f t="array" ref="K14">_xlfn.IFS(AND(Table15[[#This Row],[Total Amount]]&gt;=1500),"Critical",AND(Table15[[#This Row],[Total Amount]]&gt;=1000),"High",TRUE,"Normal")</f>
        <v>Critical</v>
      </c>
      <c r="L14" s="4" t="str">
        <f>IF(Table15[[#This Row],[Total Amount]]&gt;=1000,"High",(IF(Table15[[#This Row],[Total Amount]]&gt;=500,"Medium","Low")))</f>
        <v>High</v>
      </c>
      <c r="M14" s="4" t="str" cm="1">
        <f t="array" ref="M1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4" s="4" cm="1">
        <f t="array" ref="N1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4" s="4">
        <f>Table15[[#This Row],[Total Amount]]-Table15[[#This Row],[Discount Amount]]</f>
        <v>1500</v>
      </c>
    </row>
    <row r="15" spans="1:15" x14ac:dyDescent="0.35">
      <c r="A15" s="4">
        <v>14</v>
      </c>
      <c r="B15" s="5">
        <v>44943</v>
      </c>
      <c r="C15" s="4" t="s">
        <v>27</v>
      </c>
      <c r="D15" s="4" t="s">
        <v>10</v>
      </c>
      <c r="E15" s="4">
        <v>64</v>
      </c>
      <c r="F15" s="4" t="str">
        <f>IF(Table15[[#This Row],[Age]]&lt;=19,"Teenager",IF(Table15[[#This Row],[Age]]&lt;=40,"Median","Old"))</f>
        <v>Old</v>
      </c>
      <c r="G15" s="4" t="s">
        <v>14</v>
      </c>
      <c r="H15" s="4">
        <v>4</v>
      </c>
      <c r="I15" s="4">
        <v>30</v>
      </c>
      <c r="J15" s="4">
        <v>120</v>
      </c>
      <c r="K15" s="4" t="str" cm="1">
        <f t="array" ref="K15">_xlfn.IFS(AND(Table15[[#This Row],[Total Amount]]&gt;=1500),"Critical",AND(Table15[[#This Row],[Total Amount]]&gt;=1000),"High",TRUE,"Normal")</f>
        <v>Normal</v>
      </c>
      <c r="L15" s="4" t="str">
        <f>IF(Table15[[#This Row],[Total Amount]]&gt;=1000,"High",(IF(Table15[[#This Row],[Total Amount]]&gt;=500,"Medium","Low")))</f>
        <v>Low</v>
      </c>
      <c r="M15" s="4" t="str" cm="1">
        <f t="array" ref="M1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5" s="4" cm="1">
        <f t="array" ref="N1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15" s="4">
        <f>Table15[[#This Row],[Total Amount]]-Table15[[#This Row],[Discount Amount]]</f>
        <v>108</v>
      </c>
    </row>
    <row r="16" spans="1:15" x14ac:dyDescent="0.35">
      <c r="A16" s="4">
        <v>15</v>
      </c>
      <c r="B16" s="5">
        <v>44942</v>
      </c>
      <c r="C16" s="4" t="s">
        <v>28</v>
      </c>
      <c r="D16" s="4" t="s">
        <v>13</v>
      </c>
      <c r="E16" s="4">
        <v>42</v>
      </c>
      <c r="F16" s="4" t="str">
        <f>IF(Table15[[#This Row],[Age]]&lt;=19,"Teenager",IF(Table15[[#This Row],[Age]]&lt;=40,"Median","Old"))</f>
        <v>Old</v>
      </c>
      <c r="G16" s="4" t="s">
        <v>16</v>
      </c>
      <c r="H16" s="4">
        <v>4</v>
      </c>
      <c r="I16" s="4">
        <v>500</v>
      </c>
      <c r="J16" s="4">
        <v>2000</v>
      </c>
      <c r="K16" s="4" t="str" cm="1">
        <f t="array" ref="K16">_xlfn.IFS(AND(Table15[[#This Row],[Total Amount]]&gt;=1500),"Critical",AND(Table15[[#This Row],[Total Amount]]&gt;=1000),"High",TRUE,"Normal")</f>
        <v>Critical</v>
      </c>
      <c r="L16" s="4" t="str">
        <f>IF(Table15[[#This Row],[Total Amount]]&gt;=1000,"High",(IF(Table15[[#This Row],[Total Amount]]&gt;=500,"Medium","Low")))</f>
        <v>High</v>
      </c>
      <c r="M16" s="4" t="str" cm="1">
        <f t="array" ref="M1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6" s="4" cm="1">
        <f t="array" ref="N1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16" s="4">
        <f>Table15[[#This Row],[Total Amount]]-Table15[[#This Row],[Discount Amount]]</f>
        <v>1600</v>
      </c>
    </row>
    <row r="17" spans="1:15" x14ac:dyDescent="0.35">
      <c r="A17" s="4">
        <v>16</v>
      </c>
      <c r="B17" s="5">
        <v>44974</v>
      </c>
      <c r="C17" s="4" t="s">
        <v>29</v>
      </c>
      <c r="D17" s="4" t="s">
        <v>10</v>
      </c>
      <c r="E17" s="4">
        <v>19</v>
      </c>
      <c r="F17" s="4" t="str">
        <f>IF(Table15[[#This Row],[Age]]&lt;=19,"Teenager",IF(Table15[[#This Row],[Age]]&lt;=40,"Median","Old"))</f>
        <v>Teenager</v>
      </c>
      <c r="G17" s="4" t="s">
        <v>14</v>
      </c>
      <c r="H17" s="4">
        <v>3</v>
      </c>
      <c r="I17" s="4">
        <v>500</v>
      </c>
      <c r="J17" s="4">
        <v>1500</v>
      </c>
      <c r="K17" s="4" t="str" cm="1">
        <f t="array" ref="K17">_xlfn.IFS(AND(Table15[[#This Row],[Total Amount]]&gt;=1500),"Critical",AND(Table15[[#This Row],[Total Amount]]&gt;=1000),"High",TRUE,"Normal")</f>
        <v>Critical</v>
      </c>
      <c r="L17" s="4" t="str">
        <f>IF(Table15[[#This Row],[Total Amount]]&gt;=1000,"High",(IF(Table15[[#This Row],[Total Amount]]&gt;=500,"Medium","Low")))</f>
        <v>High</v>
      </c>
      <c r="M17" s="4" t="str" cm="1">
        <f t="array" ref="M1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7" s="4" cm="1">
        <f t="array" ref="N1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7" s="4">
        <f>Table15[[#This Row],[Total Amount]]-Table15[[#This Row],[Discount Amount]]</f>
        <v>1500</v>
      </c>
    </row>
    <row r="18" spans="1:15" x14ac:dyDescent="0.35">
      <c r="A18" s="4">
        <v>17</v>
      </c>
      <c r="B18" s="5">
        <v>45038</v>
      </c>
      <c r="C18" s="4" t="s">
        <v>30</v>
      </c>
      <c r="D18" s="4" t="s">
        <v>13</v>
      </c>
      <c r="E18" s="4">
        <v>27</v>
      </c>
      <c r="F18" s="4" t="str">
        <f>IF(Table15[[#This Row],[Age]]&lt;=19,"Teenager",IF(Table15[[#This Row],[Age]]&lt;=40,"Median","Old"))</f>
        <v>Median</v>
      </c>
      <c r="G18" s="4" t="s">
        <v>14</v>
      </c>
      <c r="H18" s="4">
        <v>4</v>
      </c>
      <c r="I18" s="4">
        <v>25</v>
      </c>
      <c r="J18" s="4">
        <v>100</v>
      </c>
      <c r="K18" s="4" t="str" cm="1">
        <f t="array" ref="K18">_xlfn.IFS(AND(Table15[[#This Row],[Total Amount]]&gt;=1500),"Critical",AND(Table15[[#This Row],[Total Amount]]&gt;=1000),"High",TRUE,"Normal")</f>
        <v>Normal</v>
      </c>
      <c r="L18" s="4" t="str">
        <f>IF(Table15[[#This Row],[Total Amount]]&gt;=1000,"High",(IF(Table15[[#This Row],[Total Amount]]&gt;=500,"Medium","Low")))</f>
        <v>Low</v>
      </c>
      <c r="M18" s="4" t="str" cm="1">
        <f t="array" ref="M1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8" s="4" cm="1">
        <f t="array" ref="N1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18" s="4">
        <f>Table15[[#This Row],[Total Amount]]-Table15[[#This Row],[Discount Amount]]</f>
        <v>85</v>
      </c>
    </row>
    <row r="19" spans="1:15" x14ac:dyDescent="0.35">
      <c r="A19" s="4">
        <v>18</v>
      </c>
      <c r="B19" s="5">
        <v>45046</v>
      </c>
      <c r="C19" s="4" t="s">
        <v>31</v>
      </c>
      <c r="D19" s="4" t="s">
        <v>13</v>
      </c>
      <c r="E19" s="4">
        <v>47</v>
      </c>
      <c r="F19" s="4" t="str">
        <f>IF(Table15[[#This Row],[Age]]&lt;=19,"Teenager",IF(Table15[[#This Row],[Age]]&lt;=40,"Median","Old"))</f>
        <v>Old</v>
      </c>
      <c r="G19" s="4" t="s">
        <v>16</v>
      </c>
      <c r="H19" s="4">
        <v>2</v>
      </c>
      <c r="I19" s="4">
        <v>25</v>
      </c>
      <c r="J19" s="4">
        <v>50</v>
      </c>
      <c r="K19" s="4" t="str" cm="1">
        <f t="array" ref="K19">_xlfn.IFS(AND(Table15[[#This Row],[Total Amount]]&gt;=1500),"Critical",AND(Table15[[#This Row],[Total Amount]]&gt;=1000),"High",TRUE,"Normal")</f>
        <v>Normal</v>
      </c>
      <c r="L19" s="4" t="str">
        <f>IF(Table15[[#This Row],[Total Amount]]&gt;=1000,"High",(IF(Table15[[#This Row],[Total Amount]]&gt;=500,"Medium","Low")))</f>
        <v>Low</v>
      </c>
      <c r="M19" s="4" t="str" cm="1">
        <f t="array" ref="M1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9" s="4" cm="1">
        <f t="array" ref="N1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19" s="4">
        <f>Table15[[#This Row],[Total Amount]]-Table15[[#This Row],[Discount Amount]]</f>
        <v>40</v>
      </c>
    </row>
    <row r="20" spans="1:15" x14ac:dyDescent="0.35">
      <c r="A20" s="4">
        <v>19</v>
      </c>
      <c r="B20" s="5">
        <v>45185</v>
      </c>
      <c r="C20" s="4" t="s">
        <v>32</v>
      </c>
      <c r="D20" s="4" t="s">
        <v>13</v>
      </c>
      <c r="E20" s="4">
        <v>62</v>
      </c>
      <c r="F20" s="4" t="str">
        <f>IF(Table15[[#This Row],[Age]]&lt;=19,"Teenager",IF(Table15[[#This Row],[Age]]&lt;=40,"Median","Old"))</f>
        <v>Old</v>
      </c>
      <c r="G20" s="4" t="s">
        <v>14</v>
      </c>
      <c r="H20" s="4">
        <v>2</v>
      </c>
      <c r="I20" s="4">
        <v>25</v>
      </c>
      <c r="J20" s="4">
        <v>50</v>
      </c>
      <c r="K20" s="4" t="str" cm="1">
        <f t="array" ref="K20">_xlfn.IFS(AND(Table15[[#This Row],[Total Amount]]&gt;=1500),"Critical",AND(Table15[[#This Row],[Total Amount]]&gt;=1000),"High",TRUE,"Normal")</f>
        <v>Normal</v>
      </c>
      <c r="L20" s="4" t="str">
        <f>IF(Table15[[#This Row],[Total Amount]]&gt;=1000,"High",(IF(Table15[[#This Row],[Total Amount]]&gt;=500,"Medium","Low")))</f>
        <v>Low</v>
      </c>
      <c r="M20" s="4" t="str" cm="1">
        <f t="array" ref="M2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0" s="4" cm="1">
        <f t="array" ref="N2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20" s="4">
        <f>Table15[[#This Row],[Total Amount]]-Table15[[#This Row],[Discount Amount]]</f>
        <v>40</v>
      </c>
    </row>
    <row r="21" spans="1:15" x14ac:dyDescent="0.35">
      <c r="A21" s="4">
        <v>20</v>
      </c>
      <c r="B21" s="5">
        <v>45235</v>
      </c>
      <c r="C21" s="4" t="s">
        <v>33</v>
      </c>
      <c r="D21" s="4" t="s">
        <v>10</v>
      </c>
      <c r="E21" s="4">
        <v>22</v>
      </c>
      <c r="F21" s="4" t="str">
        <f>IF(Table15[[#This Row],[Age]]&lt;=19,"Teenager",IF(Table15[[#This Row],[Age]]&lt;=40,"Median","Old"))</f>
        <v>Median</v>
      </c>
      <c r="G21" s="4" t="s">
        <v>14</v>
      </c>
      <c r="H21" s="4">
        <v>3</v>
      </c>
      <c r="I21" s="4">
        <v>300</v>
      </c>
      <c r="J21" s="4">
        <v>900</v>
      </c>
      <c r="K21" s="4" t="str" cm="1">
        <f t="array" ref="K21">_xlfn.IFS(AND(Table15[[#This Row],[Total Amount]]&gt;=1500),"Critical",AND(Table15[[#This Row],[Total Amount]]&gt;=1000),"High",TRUE,"Normal")</f>
        <v>Normal</v>
      </c>
      <c r="L21" s="4" t="str">
        <f>IF(Table15[[#This Row],[Total Amount]]&gt;=1000,"High",(IF(Table15[[#This Row],[Total Amount]]&gt;=500,"Medium","Low")))</f>
        <v>Medium</v>
      </c>
      <c r="M21" s="4" t="str" cm="1">
        <f t="array" ref="M2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1" s="4" cm="1">
        <f t="array" ref="N2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1" s="4">
        <f>Table15[[#This Row],[Total Amount]]-Table15[[#This Row],[Discount Amount]]</f>
        <v>900</v>
      </c>
    </row>
    <row r="22" spans="1:15" x14ac:dyDescent="0.35">
      <c r="A22" s="4">
        <v>21</v>
      </c>
      <c r="B22" s="5">
        <v>44940</v>
      </c>
      <c r="C22" s="4" t="s">
        <v>34</v>
      </c>
      <c r="D22" s="4" t="s">
        <v>13</v>
      </c>
      <c r="E22" s="4">
        <v>50</v>
      </c>
      <c r="F22" s="4" t="str">
        <f>IF(Table15[[#This Row],[Age]]&lt;=19,"Teenager",IF(Table15[[#This Row],[Age]]&lt;=40,"Median","Old"))</f>
        <v>Old</v>
      </c>
      <c r="G22" s="4" t="s">
        <v>11</v>
      </c>
      <c r="H22" s="4">
        <v>1</v>
      </c>
      <c r="I22" s="4">
        <v>500</v>
      </c>
      <c r="J22" s="4">
        <v>500</v>
      </c>
      <c r="K22" s="4" t="str" cm="1">
        <f t="array" ref="K22">_xlfn.IFS(AND(Table15[[#This Row],[Total Amount]]&gt;=1500),"Critical",AND(Table15[[#This Row],[Total Amount]]&gt;=1000),"High",TRUE,"Normal")</f>
        <v>Normal</v>
      </c>
      <c r="L22" s="4" t="str">
        <f>IF(Table15[[#This Row],[Total Amount]]&gt;=1000,"High",(IF(Table15[[#This Row],[Total Amount]]&gt;=500,"Medium","Low")))</f>
        <v>Medium</v>
      </c>
      <c r="M22" s="4" t="str" cm="1">
        <f t="array" ref="M2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2" s="4" cm="1">
        <f t="array" ref="N2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22" s="4">
        <f>Table15[[#This Row],[Total Amount]]-Table15[[#This Row],[Discount Amount]]</f>
        <v>400</v>
      </c>
    </row>
    <row r="23" spans="1:15" x14ac:dyDescent="0.35">
      <c r="A23" s="4">
        <v>22</v>
      </c>
      <c r="B23" s="5">
        <v>45214</v>
      </c>
      <c r="C23" s="4" t="s">
        <v>35</v>
      </c>
      <c r="D23" s="4" t="s">
        <v>10</v>
      </c>
      <c r="E23" s="4">
        <v>18</v>
      </c>
      <c r="F23" s="4" t="str">
        <f>IF(Table15[[#This Row],[Age]]&lt;=19,"Teenager",IF(Table15[[#This Row],[Age]]&lt;=40,"Median","Old"))</f>
        <v>Teenager</v>
      </c>
      <c r="G23" s="4" t="s">
        <v>14</v>
      </c>
      <c r="H23" s="4">
        <v>2</v>
      </c>
      <c r="I23" s="4">
        <v>50</v>
      </c>
      <c r="J23" s="4">
        <v>100</v>
      </c>
      <c r="K23" s="4" t="str" cm="1">
        <f t="array" ref="K23">_xlfn.IFS(AND(Table15[[#This Row],[Total Amount]]&gt;=1500),"Critical",AND(Table15[[#This Row],[Total Amount]]&gt;=1000),"High",TRUE,"Normal")</f>
        <v>Normal</v>
      </c>
      <c r="L23" s="4" t="str">
        <f>IF(Table15[[#This Row],[Total Amount]]&gt;=1000,"High",(IF(Table15[[#This Row],[Total Amount]]&gt;=500,"Medium","Low")))</f>
        <v>Low</v>
      </c>
      <c r="M23" s="4" t="str" cm="1">
        <f t="array" ref="M2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3" s="4" cm="1">
        <f t="array" ref="N2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3" s="4">
        <f>Table15[[#This Row],[Total Amount]]-Table15[[#This Row],[Discount Amount]]</f>
        <v>100</v>
      </c>
    </row>
    <row r="24" spans="1:15" x14ac:dyDescent="0.35">
      <c r="A24" s="4">
        <v>23</v>
      </c>
      <c r="B24" s="5">
        <v>45028</v>
      </c>
      <c r="C24" s="4" t="s">
        <v>36</v>
      </c>
      <c r="D24" s="4" t="s">
        <v>13</v>
      </c>
      <c r="E24" s="4">
        <v>35</v>
      </c>
      <c r="F24" s="4" t="str">
        <f>IF(Table15[[#This Row],[Age]]&lt;=19,"Teenager",IF(Table15[[#This Row],[Age]]&lt;=40,"Median","Old"))</f>
        <v>Median</v>
      </c>
      <c r="G24" s="4" t="s">
        <v>14</v>
      </c>
      <c r="H24" s="4">
        <v>4</v>
      </c>
      <c r="I24" s="4">
        <v>30</v>
      </c>
      <c r="J24" s="4">
        <v>120</v>
      </c>
      <c r="K24" s="4" t="str" cm="1">
        <f t="array" ref="K24">_xlfn.IFS(AND(Table15[[#This Row],[Total Amount]]&gt;=1500),"Critical",AND(Table15[[#This Row],[Total Amount]]&gt;=1000),"High",TRUE,"Normal")</f>
        <v>Normal</v>
      </c>
      <c r="L24" s="4" t="str">
        <f>IF(Table15[[#This Row],[Total Amount]]&gt;=1000,"High",(IF(Table15[[#This Row],[Total Amount]]&gt;=500,"Medium","Low")))</f>
        <v>Low</v>
      </c>
      <c r="M24" s="4" t="str" cm="1">
        <f t="array" ref="M2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4" s="4" cm="1">
        <f t="array" ref="N2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24" s="4">
        <f>Table15[[#This Row],[Total Amount]]-Table15[[#This Row],[Discount Amount]]</f>
        <v>96</v>
      </c>
    </row>
    <row r="25" spans="1:15" x14ac:dyDescent="0.35">
      <c r="A25" s="4">
        <v>24</v>
      </c>
      <c r="B25" s="5">
        <v>45259</v>
      </c>
      <c r="C25" s="4" t="s">
        <v>37</v>
      </c>
      <c r="D25" s="4" t="s">
        <v>13</v>
      </c>
      <c r="E25" s="4">
        <v>49</v>
      </c>
      <c r="F25" s="4" t="str">
        <f>IF(Table15[[#This Row],[Age]]&lt;=19,"Teenager",IF(Table15[[#This Row],[Age]]&lt;=40,"Median","Old"))</f>
        <v>Old</v>
      </c>
      <c r="G25" s="4" t="s">
        <v>14</v>
      </c>
      <c r="H25" s="4">
        <v>1</v>
      </c>
      <c r="I25" s="4">
        <v>300</v>
      </c>
      <c r="J25" s="4">
        <v>300</v>
      </c>
      <c r="K25" s="4" t="str" cm="1">
        <f t="array" ref="K25">_xlfn.IFS(AND(Table15[[#This Row],[Total Amount]]&gt;=1500),"Critical",AND(Table15[[#This Row],[Total Amount]]&gt;=1000),"High",TRUE,"Normal")</f>
        <v>Normal</v>
      </c>
      <c r="L25" s="4" t="str">
        <f>IF(Table15[[#This Row],[Total Amount]]&gt;=1000,"High",(IF(Table15[[#This Row],[Total Amount]]&gt;=500,"Medium","Low")))</f>
        <v>Low</v>
      </c>
      <c r="M25" s="4" t="str" cm="1">
        <f t="array" ref="M2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5" s="4" cm="1">
        <f t="array" ref="N2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25" s="4">
        <f>Table15[[#This Row],[Total Amount]]-Table15[[#This Row],[Discount Amount]]</f>
        <v>240</v>
      </c>
    </row>
    <row r="26" spans="1:15" x14ac:dyDescent="0.35">
      <c r="A26" s="4">
        <v>25</v>
      </c>
      <c r="B26" s="5">
        <v>45286</v>
      </c>
      <c r="C26" s="4" t="s">
        <v>38</v>
      </c>
      <c r="D26" s="4" t="s">
        <v>13</v>
      </c>
      <c r="E26" s="4">
        <v>64</v>
      </c>
      <c r="F26" s="4" t="str">
        <f>IF(Table15[[#This Row],[Age]]&lt;=19,"Teenager",IF(Table15[[#This Row],[Age]]&lt;=40,"Median","Old"))</f>
        <v>Old</v>
      </c>
      <c r="G26" s="4" t="s">
        <v>11</v>
      </c>
      <c r="H26" s="4">
        <v>1</v>
      </c>
      <c r="I26" s="4">
        <v>50</v>
      </c>
      <c r="J26" s="4">
        <v>50</v>
      </c>
      <c r="K26" s="4" t="str" cm="1">
        <f t="array" ref="K26">_xlfn.IFS(AND(Table15[[#This Row],[Total Amount]]&gt;=1500),"Critical",AND(Table15[[#This Row],[Total Amount]]&gt;=1000),"High",TRUE,"Normal")</f>
        <v>Normal</v>
      </c>
      <c r="L26" s="4" t="str">
        <f>IF(Table15[[#This Row],[Total Amount]]&gt;=1000,"High",(IF(Table15[[#This Row],[Total Amount]]&gt;=500,"Medium","Low")))</f>
        <v>Low</v>
      </c>
      <c r="M26" s="4" t="str" cm="1">
        <f t="array" ref="M2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6" s="4" cm="1">
        <f t="array" ref="N2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26" s="4">
        <f>Table15[[#This Row],[Total Amount]]-Table15[[#This Row],[Discount Amount]]</f>
        <v>40</v>
      </c>
    </row>
    <row r="27" spans="1:15" x14ac:dyDescent="0.35">
      <c r="A27" s="4">
        <v>26</v>
      </c>
      <c r="B27" s="5">
        <v>45206</v>
      </c>
      <c r="C27" s="4" t="s">
        <v>39</v>
      </c>
      <c r="D27" s="4" t="s">
        <v>13</v>
      </c>
      <c r="E27" s="4">
        <v>28</v>
      </c>
      <c r="F27" s="4" t="str">
        <f>IF(Table15[[#This Row],[Age]]&lt;=19,"Teenager",IF(Table15[[#This Row],[Age]]&lt;=40,"Median","Old"))</f>
        <v>Median</v>
      </c>
      <c r="G27" s="4" t="s">
        <v>16</v>
      </c>
      <c r="H27" s="4">
        <v>2</v>
      </c>
      <c r="I27" s="4">
        <v>500</v>
      </c>
      <c r="J27" s="4">
        <v>1000</v>
      </c>
      <c r="K27" s="4" t="str" cm="1">
        <f t="array" ref="K27">_xlfn.IFS(AND(Table15[[#This Row],[Total Amount]]&gt;=1500),"Critical",AND(Table15[[#This Row],[Total Amount]]&gt;=1000),"High",TRUE,"Normal")</f>
        <v>High</v>
      </c>
      <c r="L27" s="4" t="str">
        <f>IF(Table15[[#This Row],[Total Amount]]&gt;=1000,"High",(IF(Table15[[#This Row],[Total Amount]]&gt;=500,"Medium","Low")))</f>
        <v>High</v>
      </c>
      <c r="M27" s="4" t="str" cm="1">
        <f t="array" ref="M2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7" s="4" cm="1">
        <f t="array" ref="N2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27" s="4">
        <f>Table15[[#This Row],[Total Amount]]-Table15[[#This Row],[Discount Amount]]</f>
        <v>850</v>
      </c>
    </row>
    <row r="28" spans="1:15" x14ac:dyDescent="0.35">
      <c r="A28" s="4">
        <v>27</v>
      </c>
      <c r="B28" s="5">
        <v>45141</v>
      </c>
      <c r="C28" s="4" t="s">
        <v>40</v>
      </c>
      <c r="D28" s="4" t="s">
        <v>13</v>
      </c>
      <c r="E28" s="4">
        <v>38</v>
      </c>
      <c r="F28" s="4" t="str">
        <f>IF(Table15[[#This Row],[Age]]&lt;=19,"Teenager",IF(Table15[[#This Row],[Age]]&lt;=40,"Median","Old"))</f>
        <v>Median</v>
      </c>
      <c r="G28" s="4" t="s">
        <v>11</v>
      </c>
      <c r="H28" s="4">
        <v>2</v>
      </c>
      <c r="I28" s="4">
        <v>25</v>
      </c>
      <c r="J28" s="4">
        <v>50</v>
      </c>
      <c r="K28" s="4" t="str" cm="1">
        <f t="array" ref="K28">_xlfn.IFS(AND(Table15[[#This Row],[Total Amount]]&gt;=1500),"Critical",AND(Table15[[#This Row],[Total Amount]]&gt;=1000),"High",TRUE,"Normal")</f>
        <v>Normal</v>
      </c>
      <c r="L28" s="4" t="str">
        <f>IF(Table15[[#This Row],[Total Amount]]&gt;=1000,"High",(IF(Table15[[#This Row],[Total Amount]]&gt;=500,"Medium","Low")))</f>
        <v>Low</v>
      </c>
      <c r="M28" s="4" t="str" cm="1">
        <f t="array" ref="M2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8" s="4" cm="1">
        <f t="array" ref="N2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28" s="4">
        <f>Table15[[#This Row],[Total Amount]]-Table15[[#This Row],[Discount Amount]]</f>
        <v>40</v>
      </c>
    </row>
    <row r="29" spans="1:15" x14ac:dyDescent="0.35">
      <c r="A29" s="4">
        <v>28</v>
      </c>
      <c r="B29" s="5">
        <v>45039</v>
      </c>
      <c r="C29" s="4" t="s">
        <v>41</v>
      </c>
      <c r="D29" s="4" t="s">
        <v>13</v>
      </c>
      <c r="E29" s="4">
        <v>43</v>
      </c>
      <c r="F29" s="4" t="str">
        <f>IF(Table15[[#This Row],[Age]]&lt;=19,"Teenager",IF(Table15[[#This Row],[Age]]&lt;=40,"Median","Old"))</f>
        <v>Old</v>
      </c>
      <c r="G29" s="4" t="s">
        <v>11</v>
      </c>
      <c r="H29" s="4">
        <v>1</v>
      </c>
      <c r="I29" s="4">
        <v>500</v>
      </c>
      <c r="J29" s="4">
        <v>500</v>
      </c>
      <c r="K29" s="4" t="str" cm="1">
        <f t="array" ref="K29">_xlfn.IFS(AND(Table15[[#This Row],[Total Amount]]&gt;=1500),"Critical",AND(Table15[[#This Row],[Total Amount]]&gt;=1000),"High",TRUE,"Normal")</f>
        <v>Normal</v>
      </c>
      <c r="L29" s="4" t="str">
        <f>IF(Table15[[#This Row],[Total Amount]]&gt;=1000,"High",(IF(Table15[[#This Row],[Total Amount]]&gt;=500,"Medium","Low")))</f>
        <v>Medium</v>
      </c>
      <c r="M29" s="4" t="str" cm="1">
        <f t="array" ref="M2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9" s="4" cm="1">
        <f t="array" ref="N2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29" s="4">
        <f>Table15[[#This Row],[Total Amount]]-Table15[[#This Row],[Discount Amount]]</f>
        <v>400</v>
      </c>
    </row>
    <row r="30" spans="1:15" x14ac:dyDescent="0.35">
      <c r="A30" s="4">
        <v>29</v>
      </c>
      <c r="B30" s="5">
        <v>45156</v>
      </c>
      <c r="C30" s="4" t="s">
        <v>42</v>
      </c>
      <c r="D30" s="4" t="s">
        <v>13</v>
      </c>
      <c r="E30" s="4">
        <v>42</v>
      </c>
      <c r="F30" s="4" t="str">
        <f>IF(Table15[[#This Row],[Age]]&lt;=19,"Teenager",IF(Table15[[#This Row],[Age]]&lt;=40,"Median","Old"))</f>
        <v>Old</v>
      </c>
      <c r="G30" s="4" t="s">
        <v>16</v>
      </c>
      <c r="H30" s="4">
        <v>1</v>
      </c>
      <c r="I30" s="4">
        <v>30</v>
      </c>
      <c r="J30" s="4">
        <v>30</v>
      </c>
      <c r="K30" s="4" t="str" cm="1">
        <f t="array" ref="K30">_xlfn.IFS(AND(Table15[[#This Row],[Total Amount]]&gt;=1500),"Critical",AND(Table15[[#This Row],[Total Amount]]&gt;=1000),"High",TRUE,"Normal")</f>
        <v>Normal</v>
      </c>
      <c r="L30" s="4" t="str">
        <f>IF(Table15[[#This Row],[Total Amount]]&gt;=1000,"High",(IF(Table15[[#This Row],[Total Amount]]&gt;=500,"Medium","Low")))</f>
        <v>Low</v>
      </c>
      <c r="M30" s="4" t="str" cm="1">
        <f t="array" ref="M3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0" s="4" cm="1">
        <f t="array" ref="N3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30" s="4">
        <f>Table15[[#This Row],[Total Amount]]-Table15[[#This Row],[Discount Amount]]</f>
        <v>24</v>
      </c>
    </row>
    <row r="31" spans="1:15" x14ac:dyDescent="0.35">
      <c r="A31" s="4">
        <v>30</v>
      </c>
      <c r="B31" s="5">
        <v>45228</v>
      </c>
      <c r="C31" s="4" t="s">
        <v>43</v>
      </c>
      <c r="D31" s="4" t="s">
        <v>13</v>
      </c>
      <c r="E31" s="4">
        <v>39</v>
      </c>
      <c r="F31" s="4" t="str">
        <f>IF(Table15[[#This Row],[Age]]&lt;=19,"Teenager",IF(Table15[[#This Row],[Age]]&lt;=40,"Median","Old"))</f>
        <v>Median</v>
      </c>
      <c r="G31" s="4" t="s">
        <v>11</v>
      </c>
      <c r="H31" s="4">
        <v>3</v>
      </c>
      <c r="I31" s="4">
        <v>300</v>
      </c>
      <c r="J31" s="4">
        <v>900</v>
      </c>
      <c r="K31" s="4" t="str" cm="1">
        <f t="array" ref="K31">_xlfn.IFS(AND(Table15[[#This Row],[Total Amount]]&gt;=1500),"Critical",AND(Table15[[#This Row],[Total Amount]]&gt;=1000),"High",TRUE,"Normal")</f>
        <v>Normal</v>
      </c>
      <c r="L31" s="4" t="str">
        <f>IF(Table15[[#This Row],[Total Amount]]&gt;=1000,"High",(IF(Table15[[#This Row],[Total Amount]]&gt;=500,"Medium","Low")))</f>
        <v>Medium</v>
      </c>
      <c r="M31" s="4" t="str" cm="1">
        <f t="array" ref="M3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1" s="4" cm="1">
        <f t="array" ref="N3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31" s="4">
        <f>Table15[[#This Row],[Total Amount]]-Table15[[#This Row],[Discount Amount]]</f>
        <v>720</v>
      </c>
    </row>
    <row r="32" spans="1:15" x14ac:dyDescent="0.35">
      <c r="A32" s="4">
        <v>31</v>
      </c>
      <c r="B32" s="5">
        <v>45069</v>
      </c>
      <c r="C32" s="4" t="s">
        <v>44</v>
      </c>
      <c r="D32" s="4" t="s">
        <v>10</v>
      </c>
      <c r="E32" s="4">
        <v>44</v>
      </c>
      <c r="F32" s="4" t="str">
        <f>IF(Table15[[#This Row],[Age]]&lt;=19,"Teenager",IF(Table15[[#This Row],[Age]]&lt;=40,"Median","Old"))</f>
        <v>Old</v>
      </c>
      <c r="G32" s="4" t="s">
        <v>16</v>
      </c>
      <c r="H32" s="4">
        <v>4</v>
      </c>
      <c r="I32" s="4">
        <v>300</v>
      </c>
      <c r="J32" s="4">
        <v>1200</v>
      </c>
      <c r="K32" s="4" t="str" cm="1">
        <f t="array" ref="K32">_xlfn.IFS(AND(Table15[[#This Row],[Total Amount]]&gt;=1500),"Critical",AND(Table15[[#This Row],[Total Amount]]&gt;=1000),"High",TRUE,"Normal")</f>
        <v>High</v>
      </c>
      <c r="L32" s="4" t="str">
        <f>IF(Table15[[#This Row],[Total Amount]]&gt;=1000,"High",(IF(Table15[[#This Row],[Total Amount]]&gt;=500,"Medium","Low")))</f>
        <v>High</v>
      </c>
      <c r="M32" s="4" t="str" cm="1">
        <f t="array" ref="M3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2" s="4" cm="1">
        <f t="array" ref="N3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32" s="4">
        <f>Table15[[#This Row],[Total Amount]]-Table15[[#This Row],[Discount Amount]]</f>
        <v>1080</v>
      </c>
    </row>
    <row r="33" spans="1:15" x14ac:dyDescent="0.35">
      <c r="A33" s="4">
        <v>32</v>
      </c>
      <c r="B33" s="5">
        <v>44930</v>
      </c>
      <c r="C33" s="4" t="s">
        <v>45</v>
      </c>
      <c r="D33" s="4" t="s">
        <v>10</v>
      </c>
      <c r="E33" s="4">
        <v>30</v>
      </c>
      <c r="F33" s="4" t="str">
        <f>IF(Table15[[#This Row],[Age]]&lt;=19,"Teenager",IF(Table15[[#This Row],[Age]]&lt;=40,"Median","Old"))</f>
        <v>Median</v>
      </c>
      <c r="G33" s="4" t="s">
        <v>11</v>
      </c>
      <c r="H33" s="4">
        <v>3</v>
      </c>
      <c r="I33" s="4">
        <v>30</v>
      </c>
      <c r="J33" s="4">
        <v>90</v>
      </c>
      <c r="K33" s="4" t="str" cm="1">
        <f t="array" ref="K33">_xlfn.IFS(AND(Table15[[#This Row],[Total Amount]]&gt;=1500),"Critical",AND(Table15[[#This Row],[Total Amount]]&gt;=1000),"High",TRUE,"Normal")</f>
        <v>Normal</v>
      </c>
      <c r="L33" s="4" t="str">
        <f>IF(Table15[[#This Row],[Total Amount]]&gt;=1000,"High",(IF(Table15[[#This Row],[Total Amount]]&gt;=500,"Medium","Low")))</f>
        <v>Low</v>
      </c>
      <c r="M33" s="4" t="str" cm="1">
        <f t="array" ref="M3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3" s="4" cm="1">
        <f t="array" ref="N3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13.5</v>
      </c>
      <c r="O33" s="4">
        <f>Table15[[#This Row],[Total Amount]]-Table15[[#This Row],[Discount Amount]]</f>
        <v>76.5</v>
      </c>
    </row>
    <row r="34" spans="1:15" x14ac:dyDescent="0.35">
      <c r="A34" s="4">
        <v>33</v>
      </c>
      <c r="B34" s="5">
        <v>45008</v>
      </c>
      <c r="C34" s="4" t="s">
        <v>46</v>
      </c>
      <c r="D34" s="4" t="s">
        <v>13</v>
      </c>
      <c r="E34" s="4">
        <v>50</v>
      </c>
      <c r="F34" s="4" t="str">
        <f>IF(Table15[[#This Row],[Age]]&lt;=19,"Teenager",IF(Table15[[#This Row],[Age]]&lt;=40,"Median","Old"))</f>
        <v>Old</v>
      </c>
      <c r="G34" s="4" t="s">
        <v>16</v>
      </c>
      <c r="H34" s="4">
        <v>2</v>
      </c>
      <c r="I34" s="4">
        <v>50</v>
      </c>
      <c r="J34" s="4">
        <v>100</v>
      </c>
      <c r="K34" s="4" t="str" cm="1">
        <f t="array" ref="K34">_xlfn.IFS(AND(Table15[[#This Row],[Total Amount]]&gt;=1500),"Critical",AND(Table15[[#This Row],[Total Amount]]&gt;=1000),"High",TRUE,"Normal")</f>
        <v>Normal</v>
      </c>
      <c r="L34" s="4" t="str">
        <f>IF(Table15[[#This Row],[Total Amount]]&gt;=1000,"High",(IF(Table15[[#This Row],[Total Amount]]&gt;=500,"Medium","Low")))</f>
        <v>Low</v>
      </c>
      <c r="M34" s="4" t="str" cm="1">
        <f t="array" ref="M3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4" s="4" cm="1">
        <f t="array" ref="N3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34" s="4">
        <f>Table15[[#This Row],[Total Amount]]-Table15[[#This Row],[Discount Amount]]</f>
        <v>80</v>
      </c>
    </row>
    <row r="35" spans="1:15" x14ac:dyDescent="0.35">
      <c r="A35" s="4">
        <v>34</v>
      </c>
      <c r="B35" s="5">
        <v>45284</v>
      </c>
      <c r="C35" s="4" t="s">
        <v>47</v>
      </c>
      <c r="D35" s="4" t="s">
        <v>13</v>
      </c>
      <c r="E35" s="4">
        <v>51</v>
      </c>
      <c r="F35" s="4" t="str">
        <f>IF(Table15[[#This Row],[Age]]&lt;=19,"Teenager",IF(Table15[[#This Row],[Age]]&lt;=40,"Median","Old"))</f>
        <v>Old</v>
      </c>
      <c r="G35" s="4" t="s">
        <v>14</v>
      </c>
      <c r="H35" s="4">
        <v>3</v>
      </c>
      <c r="I35" s="4">
        <v>50</v>
      </c>
      <c r="J35" s="4">
        <v>150</v>
      </c>
      <c r="K35" s="4" t="str" cm="1">
        <f t="array" ref="K35">_xlfn.IFS(AND(Table15[[#This Row],[Total Amount]]&gt;=1500),"Critical",AND(Table15[[#This Row],[Total Amount]]&gt;=1000),"High",TRUE,"Normal")</f>
        <v>Normal</v>
      </c>
      <c r="L35" s="4" t="str">
        <f>IF(Table15[[#This Row],[Total Amount]]&gt;=1000,"High",(IF(Table15[[#This Row],[Total Amount]]&gt;=500,"Medium","Low")))</f>
        <v>Low</v>
      </c>
      <c r="M35" s="4" t="str" cm="1">
        <f t="array" ref="M3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5" s="4" cm="1">
        <f t="array" ref="N3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35" s="4">
        <f>Table15[[#This Row],[Total Amount]]-Table15[[#This Row],[Discount Amount]]</f>
        <v>120</v>
      </c>
    </row>
    <row r="36" spans="1:15" x14ac:dyDescent="0.35">
      <c r="A36" s="4">
        <v>35</v>
      </c>
      <c r="B36" s="5">
        <v>45143</v>
      </c>
      <c r="C36" s="4" t="s">
        <v>48</v>
      </c>
      <c r="D36" s="4" t="s">
        <v>13</v>
      </c>
      <c r="E36" s="4">
        <v>58</v>
      </c>
      <c r="F36" s="4" t="str">
        <f>IF(Table15[[#This Row],[Age]]&lt;=19,"Teenager",IF(Table15[[#This Row],[Age]]&lt;=40,"Median","Old"))</f>
        <v>Old</v>
      </c>
      <c r="G36" s="4" t="s">
        <v>11</v>
      </c>
      <c r="H36" s="4">
        <v>3</v>
      </c>
      <c r="I36" s="4">
        <v>300</v>
      </c>
      <c r="J36" s="4">
        <v>900</v>
      </c>
      <c r="K36" s="4" t="str" cm="1">
        <f t="array" ref="K36">_xlfn.IFS(AND(Table15[[#This Row],[Total Amount]]&gt;=1500),"Critical",AND(Table15[[#This Row],[Total Amount]]&gt;=1000),"High",TRUE,"Normal")</f>
        <v>Normal</v>
      </c>
      <c r="L36" s="4" t="str">
        <f>IF(Table15[[#This Row],[Total Amount]]&gt;=1000,"High",(IF(Table15[[#This Row],[Total Amount]]&gt;=500,"Medium","Low")))</f>
        <v>Medium</v>
      </c>
      <c r="M36" s="4" t="str" cm="1">
        <f t="array" ref="M3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6" s="4" cm="1">
        <f t="array" ref="N3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36" s="4">
        <f>Table15[[#This Row],[Total Amount]]-Table15[[#This Row],[Discount Amount]]</f>
        <v>720</v>
      </c>
    </row>
    <row r="37" spans="1:15" x14ac:dyDescent="0.35">
      <c r="A37" s="4">
        <v>36</v>
      </c>
      <c r="B37" s="5">
        <v>45101</v>
      </c>
      <c r="C37" s="4" t="s">
        <v>49</v>
      </c>
      <c r="D37" s="4" t="s">
        <v>10</v>
      </c>
      <c r="E37" s="4">
        <v>52</v>
      </c>
      <c r="F37" s="4" t="str">
        <f>IF(Table15[[#This Row],[Age]]&lt;=19,"Teenager",IF(Table15[[#This Row],[Age]]&lt;=40,"Median","Old"))</f>
        <v>Old</v>
      </c>
      <c r="G37" s="4" t="s">
        <v>11</v>
      </c>
      <c r="H37" s="4">
        <v>3</v>
      </c>
      <c r="I37" s="4">
        <v>300</v>
      </c>
      <c r="J37" s="4">
        <v>900</v>
      </c>
      <c r="K37" s="4" t="str" cm="1">
        <f t="array" ref="K37">_xlfn.IFS(AND(Table15[[#This Row],[Total Amount]]&gt;=1500),"Critical",AND(Table15[[#This Row],[Total Amount]]&gt;=1000),"High",TRUE,"Normal")</f>
        <v>Normal</v>
      </c>
      <c r="L37" s="4" t="str">
        <f>IF(Table15[[#This Row],[Total Amount]]&gt;=1000,"High",(IF(Table15[[#This Row],[Total Amount]]&gt;=500,"Medium","Low")))</f>
        <v>Medium</v>
      </c>
      <c r="M37" s="4" t="str" cm="1">
        <f t="array" ref="M3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7" s="4" cm="1">
        <f t="array" ref="N3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37" s="4">
        <f>Table15[[#This Row],[Total Amount]]-Table15[[#This Row],[Discount Amount]]</f>
        <v>810</v>
      </c>
    </row>
    <row r="38" spans="1:15" x14ac:dyDescent="0.35">
      <c r="A38" s="4">
        <v>37</v>
      </c>
      <c r="B38" s="5">
        <v>45069</v>
      </c>
      <c r="C38" s="4" t="s">
        <v>50</v>
      </c>
      <c r="D38" s="4" t="s">
        <v>13</v>
      </c>
      <c r="E38" s="4">
        <v>18</v>
      </c>
      <c r="F38" s="4" t="str">
        <f>IF(Table15[[#This Row],[Age]]&lt;=19,"Teenager",IF(Table15[[#This Row],[Age]]&lt;=40,"Median","Old"))</f>
        <v>Teenager</v>
      </c>
      <c r="G38" s="4" t="s">
        <v>11</v>
      </c>
      <c r="H38" s="4">
        <v>3</v>
      </c>
      <c r="I38" s="4">
        <v>25</v>
      </c>
      <c r="J38" s="4">
        <v>75</v>
      </c>
      <c r="K38" s="4" t="str" cm="1">
        <f t="array" ref="K38">_xlfn.IFS(AND(Table15[[#This Row],[Total Amount]]&gt;=1500),"Critical",AND(Table15[[#This Row],[Total Amount]]&gt;=1000),"High",TRUE,"Normal")</f>
        <v>Normal</v>
      </c>
      <c r="L38" s="4" t="str">
        <f>IF(Table15[[#This Row],[Total Amount]]&gt;=1000,"High",(IF(Table15[[#This Row],[Total Amount]]&gt;=500,"Medium","Low")))</f>
        <v>Low</v>
      </c>
      <c r="M38" s="4" t="str" cm="1">
        <f t="array" ref="M3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8" s="4" cm="1">
        <f t="array" ref="N3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8" s="4">
        <f>Table15[[#This Row],[Total Amount]]-Table15[[#This Row],[Discount Amount]]</f>
        <v>75</v>
      </c>
    </row>
    <row r="39" spans="1:15" x14ac:dyDescent="0.35">
      <c r="A39" s="4">
        <v>38</v>
      </c>
      <c r="B39" s="5">
        <v>45006</v>
      </c>
      <c r="C39" s="4" t="s">
        <v>51</v>
      </c>
      <c r="D39" s="4" t="s">
        <v>10</v>
      </c>
      <c r="E39" s="4">
        <v>38</v>
      </c>
      <c r="F39" s="4" t="str">
        <f>IF(Table15[[#This Row],[Age]]&lt;=19,"Teenager",IF(Table15[[#This Row],[Age]]&lt;=40,"Median","Old"))</f>
        <v>Median</v>
      </c>
      <c r="G39" s="4" t="s">
        <v>11</v>
      </c>
      <c r="H39" s="4">
        <v>4</v>
      </c>
      <c r="I39" s="4">
        <v>50</v>
      </c>
      <c r="J39" s="4">
        <v>200</v>
      </c>
      <c r="K39" s="4" t="str" cm="1">
        <f t="array" ref="K39">_xlfn.IFS(AND(Table15[[#This Row],[Total Amount]]&gt;=1500),"Critical",AND(Table15[[#This Row],[Total Amount]]&gt;=1000),"High",TRUE,"Normal")</f>
        <v>Normal</v>
      </c>
      <c r="L39" s="4" t="str">
        <f>IF(Table15[[#This Row],[Total Amount]]&gt;=1000,"High",(IF(Table15[[#This Row],[Total Amount]]&gt;=500,"Medium","Low")))</f>
        <v>Low</v>
      </c>
      <c r="M39" s="4" t="str" cm="1">
        <f t="array" ref="M3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9" s="4" cm="1">
        <f t="array" ref="N3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39" s="4">
        <f>Table15[[#This Row],[Total Amount]]-Table15[[#This Row],[Discount Amount]]</f>
        <v>180</v>
      </c>
    </row>
    <row r="40" spans="1:15" x14ac:dyDescent="0.35">
      <c r="A40" s="4">
        <v>39</v>
      </c>
      <c r="B40" s="5">
        <v>45037</v>
      </c>
      <c r="C40" s="4" t="s">
        <v>52</v>
      </c>
      <c r="D40" s="4" t="s">
        <v>10</v>
      </c>
      <c r="E40" s="4">
        <v>23</v>
      </c>
      <c r="F40" s="4" t="str">
        <f>IF(Table15[[#This Row],[Age]]&lt;=19,"Teenager",IF(Table15[[#This Row],[Age]]&lt;=40,"Median","Old"))</f>
        <v>Median</v>
      </c>
      <c r="G40" s="4" t="s">
        <v>14</v>
      </c>
      <c r="H40" s="4">
        <v>4</v>
      </c>
      <c r="I40" s="4">
        <v>30</v>
      </c>
      <c r="J40" s="4">
        <v>120</v>
      </c>
      <c r="K40" s="4" t="str" cm="1">
        <f t="array" ref="K40">_xlfn.IFS(AND(Table15[[#This Row],[Total Amount]]&gt;=1500),"Critical",AND(Table15[[#This Row],[Total Amount]]&gt;=1000),"High",TRUE,"Normal")</f>
        <v>Normal</v>
      </c>
      <c r="L40" s="4" t="str">
        <f>IF(Table15[[#This Row],[Total Amount]]&gt;=1000,"High",(IF(Table15[[#This Row],[Total Amount]]&gt;=500,"Medium","Low")))</f>
        <v>Low</v>
      </c>
      <c r="M40" s="4" t="str" cm="1">
        <f t="array" ref="M4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0" s="4" cm="1">
        <f t="array" ref="N4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0" s="4">
        <f>Table15[[#This Row],[Total Amount]]-Table15[[#This Row],[Discount Amount]]</f>
        <v>120</v>
      </c>
    </row>
    <row r="41" spans="1:15" x14ac:dyDescent="0.35">
      <c r="A41" s="4">
        <v>40</v>
      </c>
      <c r="B41" s="5">
        <v>45099</v>
      </c>
      <c r="C41" s="4" t="s">
        <v>53</v>
      </c>
      <c r="D41" s="4" t="s">
        <v>10</v>
      </c>
      <c r="E41" s="4">
        <v>45</v>
      </c>
      <c r="F41" s="4" t="str">
        <f>IF(Table15[[#This Row],[Age]]&lt;=19,"Teenager",IF(Table15[[#This Row],[Age]]&lt;=40,"Median","Old"))</f>
        <v>Old</v>
      </c>
      <c r="G41" s="4" t="s">
        <v>11</v>
      </c>
      <c r="H41" s="4">
        <v>1</v>
      </c>
      <c r="I41" s="4">
        <v>50</v>
      </c>
      <c r="J41" s="4">
        <v>50</v>
      </c>
      <c r="K41" s="4" t="str" cm="1">
        <f t="array" ref="K41">_xlfn.IFS(AND(Table15[[#This Row],[Total Amount]]&gt;=1500),"Critical",AND(Table15[[#This Row],[Total Amount]]&gt;=1000),"High",TRUE,"Normal")</f>
        <v>Normal</v>
      </c>
      <c r="L41" s="4" t="str">
        <f>IF(Table15[[#This Row],[Total Amount]]&gt;=1000,"High",(IF(Table15[[#This Row],[Total Amount]]&gt;=500,"Medium","Low")))</f>
        <v>Low</v>
      </c>
      <c r="M41" s="4" t="str" cm="1">
        <f t="array" ref="M4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1" s="4" cm="1">
        <f t="array" ref="N4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41" s="4">
        <f>Table15[[#This Row],[Total Amount]]-Table15[[#This Row],[Discount Amount]]</f>
        <v>45</v>
      </c>
    </row>
    <row r="42" spans="1:15" x14ac:dyDescent="0.35">
      <c r="A42" s="4">
        <v>41</v>
      </c>
      <c r="B42" s="5">
        <v>44979</v>
      </c>
      <c r="C42" s="4" t="s">
        <v>54</v>
      </c>
      <c r="D42" s="4" t="s">
        <v>10</v>
      </c>
      <c r="E42" s="4">
        <v>34</v>
      </c>
      <c r="F42" s="4" t="str">
        <f>IF(Table15[[#This Row],[Age]]&lt;=19,"Teenager",IF(Table15[[#This Row],[Age]]&lt;=40,"Median","Old"))</f>
        <v>Median</v>
      </c>
      <c r="G42" s="4" t="s">
        <v>14</v>
      </c>
      <c r="H42" s="4">
        <v>2</v>
      </c>
      <c r="I42" s="4">
        <v>25</v>
      </c>
      <c r="J42" s="4">
        <v>50</v>
      </c>
      <c r="K42" s="4" t="str" cm="1">
        <f t="array" ref="K42">_xlfn.IFS(AND(Table15[[#This Row],[Total Amount]]&gt;=1500),"Critical",AND(Table15[[#This Row],[Total Amount]]&gt;=1000),"High",TRUE,"Normal")</f>
        <v>Normal</v>
      </c>
      <c r="L42" s="4" t="str">
        <f>IF(Table15[[#This Row],[Total Amount]]&gt;=1000,"High",(IF(Table15[[#This Row],[Total Amount]]&gt;=500,"Medium","Low")))</f>
        <v>Low</v>
      </c>
      <c r="M42" s="4" t="str" cm="1">
        <f t="array" ref="M4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2" s="4" cm="1">
        <f t="array" ref="N4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42" s="4">
        <f>Table15[[#This Row],[Total Amount]]-Table15[[#This Row],[Discount Amount]]</f>
        <v>42.5</v>
      </c>
    </row>
    <row r="43" spans="1:15" x14ac:dyDescent="0.35">
      <c r="A43" s="4">
        <v>42</v>
      </c>
      <c r="B43" s="5">
        <v>44974</v>
      </c>
      <c r="C43" s="4" t="s">
        <v>55</v>
      </c>
      <c r="D43" s="4" t="s">
        <v>10</v>
      </c>
      <c r="E43" s="4">
        <v>22</v>
      </c>
      <c r="F43" s="4" t="str">
        <f>IF(Table15[[#This Row],[Age]]&lt;=19,"Teenager",IF(Table15[[#This Row],[Age]]&lt;=40,"Median","Old"))</f>
        <v>Median</v>
      </c>
      <c r="G43" s="4" t="s">
        <v>14</v>
      </c>
      <c r="H43" s="4">
        <v>3</v>
      </c>
      <c r="I43" s="4">
        <v>300</v>
      </c>
      <c r="J43" s="4">
        <v>900</v>
      </c>
      <c r="K43" s="4" t="str" cm="1">
        <f t="array" ref="K43">_xlfn.IFS(AND(Table15[[#This Row],[Total Amount]]&gt;=1500),"Critical",AND(Table15[[#This Row],[Total Amount]]&gt;=1000),"High",TRUE,"Normal")</f>
        <v>Normal</v>
      </c>
      <c r="L43" s="4" t="str">
        <f>IF(Table15[[#This Row],[Total Amount]]&gt;=1000,"High",(IF(Table15[[#This Row],[Total Amount]]&gt;=500,"Medium","Low")))</f>
        <v>Medium</v>
      </c>
      <c r="M43" s="4" t="str" cm="1">
        <f t="array" ref="M4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3" s="4" cm="1">
        <f t="array" ref="N4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3" s="4">
        <f>Table15[[#This Row],[Total Amount]]-Table15[[#This Row],[Discount Amount]]</f>
        <v>900</v>
      </c>
    </row>
    <row r="44" spans="1:15" x14ac:dyDescent="0.35">
      <c r="A44" s="4">
        <v>43</v>
      </c>
      <c r="B44" s="5">
        <v>45121</v>
      </c>
      <c r="C44" s="4" t="s">
        <v>56</v>
      </c>
      <c r="D44" s="4" t="s">
        <v>13</v>
      </c>
      <c r="E44" s="4">
        <v>48</v>
      </c>
      <c r="F44" s="4" t="str">
        <f>IF(Table15[[#This Row],[Age]]&lt;=19,"Teenager",IF(Table15[[#This Row],[Age]]&lt;=40,"Median","Old"))</f>
        <v>Old</v>
      </c>
      <c r="G44" s="4" t="s">
        <v>14</v>
      </c>
      <c r="H44" s="4">
        <v>1</v>
      </c>
      <c r="I44" s="4">
        <v>300</v>
      </c>
      <c r="J44" s="4">
        <v>300</v>
      </c>
      <c r="K44" s="4" t="str" cm="1">
        <f t="array" ref="K44">_xlfn.IFS(AND(Table15[[#This Row],[Total Amount]]&gt;=1500),"Critical",AND(Table15[[#This Row],[Total Amount]]&gt;=1000),"High",TRUE,"Normal")</f>
        <v>Normal</v>
      </c>
      <c r="L44" s="4" t="str">
        <f>IF(Table15[[#This Row],[Total Amount]]&gt;=1000,"High",(IF(Table15[[#This Row],[Total Amount]]&gt;=500,"Medium","Low")))</f>
        <v>Low</v>
      </c>
      <c r="M44" s="4" t="str" cm="1">
        <f t="array" ref="M4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4" s="4" cm="1">
        <f t="array" ref="N4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44" s="4">
        <f>Table15[[#This Row],[Total Amount]]-Table15[[#This Row],[Discount Amount]]</f>
        <v>240</v>
      </c>
    </row>
    <row r="45" spans="1:15" x14ac:dyDescent="0.35">
      <c r="A45" s="4">
        <v>44</v>
      </c>
      <c r="B45" s="5">
        <v>44976</v>
      </c>
      <c r="C45" s="4" t="s">
        <v>57</v>
      </c>
      <c r="D45" s="4" t="s">
        <v>13</v>
      </c>
      <c r="E45" s="4">
        <v>22</v>
      </c>
      <c r="F45" s="4" t="str">
        <f>IF(Table15[[#This Row],[Age]]&lt;=19,"Teenager",IF(Table15[[#This Row],[Age]]&lt;=40,"Median","Old"))</f>
        <v>Median</v>
      </c>
      <c r="G45" s="4" t="s">
        <v>14</v>
      </c>
      <c r="H45" s="4">
        <v>1</v>
      </c>
      <c r="I45" s="4">
        <v>25</v>
      </c>
      <c r="J45" s="4">
        <v>25</v>
      </c>
      <c r="K45" s="4" t="str" cm="1">
        <f t="array" ref="K45">_xlfn.IFS(AND(Table15[[#This Row],[Total Amount]]&gt;=1500),"Critical",AND(Table15[[#This Row],[Total Amount]]&gt;=1000),"High",TRUE,"Normal")</f>
        <v>Normal</v>
      </c>
      <c r="L45" s="4" t="str">
        <f>IF(Table15[[#This Row],[Total Amount]]&gt;=1000,"High",(IF(Table15[[#This Row],[Total Amount]]&gt;=500,"Medium","Low")))</f>
        <v>Low</v>
      </c>
      <c r="M45" s="4" t="str" cm="1">
        <f t="array" ref="M4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5" s="4" cm="1">
        <f t="array" ref="N4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5" s="4">
        <f>Table15[[#This Row],[Total Amount]]-Table15[[#This Row],[Discount Amount]]</f>
        <v>25</v>
      </c>
    </row>
    <row r="46" spans="1:15" x14ac:dyDescent="0.35">
      <c r="A46" s="4">
        <v>45</v>
      </c>
      <c r="B46" s="5">
        <v>45110</v>
      </c>
      <c r="C46" s="4" t="s">
        <v>58</v>
      </c>
      <c r="D46" s="4" t="s">
        <v>13</v>
      </c>
      <c r="E46" s="4">
        <v>55</v>
      </c>
      <c r="F46" s="4" t="str">
        <f>IF(Table15[[#This Row],[Age]]&lt;=19,"Teenager",IF(Table15[[#This Row],[Age]]&lt;=40,"Median","Old"))</f>
        <v>Old</v>
      </c>
      <c r="G46" s="4" t="s">
        <v>16</v>
      </c>
      <c r="H46" s="4">
        <v>1</v>
      </c>
      <c r="I46" s="4">
        <v>30</v>
      </c>
      <c r="J46" s="4">
        <v>30</v>
      </c>
      <c r="K46" s="4" t="str" cm="1">
        <f t="array" ref="K46">_xlfn.IFS(AND(Table15[[#This Row],[Total Amount]]&gt;=1500),"Critical",AND(Table15[[#This Row],[Total Amount]]&gt;=1000),"High",TRUE,"Normal")</f>
        <v>Normal</v>
      </c>
      <c r="L46" s="4" t="str">
        <f>IF(Table15[[#This Row],[Total Amount]]&gt;=1000,"High",(IF(Table15[[#This Row],[Total Amount]]&gt;=500,"Medium","Low")))</f>
        <v>Low</v>
      </c>
      <c r="M46" s="4" t="str" cm="1">
        <f t="array" ref="M4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6" s="4" cm="1">
        <f t="array" ref="N4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46" s="4">
        <f>Table15[[#This Row],[Total Amount]]-Table15[[#This Row],[Discount Amount]]</f>
        <v>24</v>
      </c>
    </row>
    <row r="47" spans="1:15" x14ac:dyDescent="0.35">
      <c r="A47" s="4">
        <v>46</v>
      </c>
      <c r="B47" s="5">
        <v>45103</v>
      </c>
      <c r="C47" s="4" t="s">
        <v>59</v>
      </c>
      <c r="D47" s="4" t="s">
        <v>13</v>
      </c>
      <c r="E47" s="4">
        <v>20</v>
      </c>
      <c r="F47" s="4" t="str">
        <f>IF(Table15[[#This Row],[Age]]&lt;=19,"Teenager",IF(Table15[[#This Row],[Age]]&lt;=40,"Median","Old"))</f>
        <v>Median</v>
      </c>
      <c r="G47" s="4" t="s">
        <v>16</v>
      </c>
      <c r="H47" s="4">
        <v>4</v>
      </c>
      <c r="I47" s="4">
        <v>300</v>
      </c>
      <c r="J47" s="4">
        <v>1200</v>
      </c>
      <c r="K47" s="4" t="str" cm="1">
        <f t="array" ref="K47">_xlfn.IFS(AND(Table15[[#This Row],[Total Amount]]&gt;=1500),"Critical",AND(Table15[[#This Row],[Total Amount]]&gt;=1000),"High",TRUE,"Normal")</f>
        <v>High</v>
      </c>
      <c r="L47" s="4" t="str">
        <f>IF(Table15[[#This Row],[Total Amount]]&gt;=1000,"High",(IF(Table15[[#This Row],[Total Amount]]&gt;=500,"Medium","Low")))</f>
        <v>High</v>
      </c>
      <c r="M47" s="4" t="str" cm="1">
        <f t="array" ref="M4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7" s="4" cm="1">
        <f t="array" ref="N4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7" s="4">
        <f>Table15[[#This Row],[Total Amount]]-Table15[[#This Row],[Discount Amount]]</f>
        <v>1200</v>
      </c>
    </row>
    <row r="48" spans="1:15" x14ac:dyDescent="0.35">
      <c r="A48" s="4">
        <v>47</v>
      </c>
      <c r="B48" s="5">
        <v>45236</v>
      </c>
      <c r="C48" s="4" t="s">
        <v>60</v>
      </c>
      <c r="D48" s="4" t="s">
        <v>13</v>
      </c>
      <c r="E48" s="4">
        <v>40</v>
      </c>
      <c r="F48" s="4" t="str">
        <f>IF(Table15[[#This Row],[Age]]&lt;=19,"Teenager",IF(Table15[[#This Row],[Age]]&lt;=40,"Median","Old"))</f>
        <v>Median</v>
      </c>
      <c r="G48" s="4" t="s">
        <v>11</v>
      </c>
      <c r="H48" s="4">
        <v>3</v>
      </c>
      <c r="I48" s="4">
        <v>500</v>
      </c>
      <c r="J48" s="4">
        <v>1500</v>
      </c>
      <c r="K48" s="4" t="str" cm="1">
        <f t="array" ref="K48">_xlfn.IFS(AND(Table15[[#This Row],[Total Amount]]&gt;=1500),"Critical",AND(Table15[[#This Row],[Total Amount]]&gt;=1000),"High",TRUE,"Normal")</f>
        <v>Critical</v>
      </c>
      <c r="L48" s="4" t="str">
        <f>IF(Table15[[#This Row],[Total Amount]]&gt;=1000,"High",(IF(Table15[[#This Row],[Total Amount]]&gt;=500,"Medium","Low")))</f>
        <v>High</v>
      </c>
      <c r="M48" s="4" t="str" cm="1">
        <f t="array" ref="M4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8" s="4" cm="1">
        <f t="array" ref="N4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48" s="4">
        <f>Table15[[#This Row],[Total Amount]]-Table15[[#This Row],[Discount Amount]]</f>
        <v>1200</v>
      </c>
    </row>
    <row r="49" spans="1:15" x14ac:dyDescent="0.35">
      <c r="A49" s="4">
        <v>48</v>
      </c>
      <c r="B49" s="5">
        <v>45062</v>
      </c>
      <c r="C49" s="4" t="s">
        <v>61</v>
      </c>
      <c r="D49" s="4" t="s">
        <v>10</v>
      </c>
      <c r="E49" s="4">
        <v>54</v>
      </c>
      <c r="F49" s="4" t="str">
        <f>IF(Table15[[#This Row],[Age]]&lt;=19,"Teenager",IF(Table15[[#This Row],[Age]]&lt;=40,"Median","Old"))</f>
        <v>Old</v>
      </c>
      <c r="G49" s="4" t="s">
        <v>16</v>
      </c>
      <c r="H49" s="4">
        <v>3</v>
      </c>
      <c r="I49" s="4">
        <v>300</v>
      </c>
      <c r="J49" s="4">
        <v>900</v>
      </c>
      <c r="K49" s="4" t="str" cm="1">
        <f t="array" ref="K49">_xlfn.IFS(AND(Table15[[#This Row],[Total Amount]]&gt;=1500),"Critical",AND(Table15[[#This Row],[Total Amount]]&gt;=1000),"High",TRUE,"Normal")</f>
        <v>Normal</v>
      </c>
      <c r="L49" s="4" t="str">
        <f>IF(Table15[[#This Row],[Total Amount]]&gt;=1000,"High",(IF(Table15[[#This Row],[Total Amount]]&gt;=500,"Medium","Low")))</f>
        <v>Medium</v>
      </c>
      <c r="M49" s="4" t="str" cm="1">
        <f t="array" ref="M4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9" s="4" cm="1">
        <f t="array" ref="N4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49" s="4">
        <f>Table15[[#This Row],[Total Amount]]-Table15[[#This Row],[Discount Amount]]</f>
        <v>810</v>
      </c>
    </row>
    <row r="50" spans="1:15" x14ac:dyDescent="0.35">
      <c r="A50" s="4">
        <v>49</v>
      </c>
      <c r="B50" s="5">
        <v>44949</v>
      </c>
      <c r="C50" s="4" t="s">
        <v>62</v>
      </c>
      <c r="D50" s="4" t="s">
        <v>13</v>
      </c>
      <c r="E50" s="4">
        <v>54</v>
      </c>
      <c r="F50" s="4" t="str">
        <f>IF(Table15[[#This Row],[Age]]&lt;=19,"Teenager",IF(Table15[[#This Row],[Age]]&lt;=40,"Median","Old"))</f>
        <v>Old</v>
      </c>
      <c r="G50" s="4" t="s">
        <v>16</v>
      </c>
      <c r="H50" s="4">
        <v>2</v>
      </c>
      <c r="I50" s="4">
        <v>500</v>
      </c>
      <c r="J50" s="4">
        <v>1000</v>
      </c>
      <c r="K50" s="4" t="str" cm="1">
        <f t="array" ref="K50">_xlfn.IFS(AND(Table15[[#This Row],[Total Amount]]&gt;=1500),"Critical",AND(Table15[[#This Row],[Total Amount]]&gt;=1000),"High",TRUE,"Normal")</f>
        <v>High</v>
      </c>
      <c r="L50" s="4" t="str">
        <f>IF(Table15[[#This Row],[Total Amount]]&gt;=1000,"High",(IF(Table15[[#This Row],[Total Amount]]&gt;=500,"Medium","Low")))</f>
        <v>High</v>
      </c>
      <c r="M50" s="4" t="str" cm="1">
        <f t="array" ref="M5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0" s="4" cm="1">
        <f t="array" ref="N5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50" s="4">
        <f>Table15[[#This Row],[Total Amount]]-Table15[[#This Row],[Discount Amount]]</f>
        <v>800</v>
      </c>
    </row>
    <row r="51" spans="1:15" x14ac:dyDescent="0.35">
      <c r="A51" s="4">
        <v>50</v>
      </c>
      <c r="B51" s="5">
        <v>45162</v>
      </c>
      <c r="C51" s="4" t="s">
        <v>63</v>
      </c>
      <c r="D51" s="4" t="s">
        <v>13</v>
      </c>
      <c r="E51" s="4">
        <v>27</v>
      </c>
      <c r="F51" s="4" t="str">
        <f>IF(Table15[[#This Row],[Age]]&lt;=19,"Teenager",IF(Table15[[#This Row],[Age]]&lt;=40,"Median","Old"))</f>
        <v>Median</v>
      </c>
      <c r="G51" s="4" t="s">
        <v>11</v>
      </c>
      <c r="H51" s="4">
        <v>3</v>
      </c>
      <c r="I51" s="4">
        <v>25</v>
      </c>
      <c r="J51" s="4">
        <v>75</v>
      </c>
      <c r="K51" s="4" t="str" cm="1">
        <f t="array" ref="K51">_xlfn.IFS(AND(Table15[[#This Row],[Total Amount]]&gt;=1500),"Critical",AND(Table15[[#This Row],[Total Amount]]&gt;=1000),"High",TRUE,"Normal")</f>
        <v>Normal</v>
      </c>
      <c r="L51" s="4" t="str">
        <f>IF(Table15[[#This Row],[Total Amount]]&gt;=1000,"High",(IF(Table15[[#This Row],[Total Amount]]&gt;=500,"Medium","Low")))</f>
        <v>Low</v>
      </c>
      <c r="M51" s="4" t="str" cm="1">
        <f t="array" ref="M5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1" s="4" cm="1">
        <f t="array" ref="N5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11.25</v>
      </c>
      <c r="O51" s="4">
        <f>Table15[[#This Row],[Total Amount]]-Table15[[#This Row],[Discount Amount]]</f>
        <v>63.75</v>
      </c>
    </row>
    <row r="52" spans="1:15" x14ac:dyDescent="0.35">
      <c r="A52" s="4">
        <v>51</v>
      </c>
      <c r="B52" s="5">
        <v>45201</v>
      </c>
      <c r="C52" s="4" t="s">
        <v>64</v>
      </c>
      <c r="D52" s="4" t="s">
        <v>10</v>
      </c>
      <c r="E52" s="4">
        <v>27</v>
      </c>
      <c r="F52" s="4" t="str">
        <f>IF(Table15[[#This Row],[Age]]&lt;=19,"Teenager",IF(Table15[[#This Row],[Age]]&lt;=40,"Median","Old"))</f>
        <v>Median</v>
      </c>
      <c r="G52" s="4" t="s">
        <v>11</v>
      </c>
      <c r="H52" s="4">
        <v>3</v>
      </c>
      <c r="I52" s="4">
        <v>25</v>
      </c>
      <c r="J52" s="4">
        <v>75</v>
      </c>
      <c r="K52" s="4" t="str" cm="1">
        <f t="array" ref="K52">_xlfn.IFS(AND(Table15[[#This Row],[Total Amount]]&gt;=1500),"Critical",AND(Table15[[#This Row],[Total Amount]]&gt;=1000),"High",TRUE,"Normal")</f>
        <v>Normal</v>
      </c>
      <c r="L52" s="4" t="str">
        <f>IF(Table15[[#This Row],[Total Amount]]&gt;=1000,"High",(IF(Table15[[#This Row],[Total Amount]]&gt;=500,"Medium","Low")))</f>
        <v>Low</v>
      </c>
      <c r="M52" s="4" t="str" cm="1">
        <f t="array" ref="M5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2" s="4" cm="1">
        <f t="array" ref="N5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11.25</v>
      </c>
      <c r="O52" s="4">
        <f>Table15[[#This Row],[Total Amount]]-Table15[[#This Row],[Discount Amount]]</f>
        <v>63.75</v>
      </c>
    </row>
    <row r="53" spans="1:15" x14ac:dyDescent="0.35">
      <c r="A53" s="4">
        <v>52</v>
      </c>
      <c r="B53" s="5">
        <v>44990</v>
      </c>
      <c r="C53" s="4" t="s">
        <v>65</v>
      </c>
      <c r="D53" s="4" t="s">
        <v>13</v>
      </c>
      <c r="E53" s="4">
        <v>36</v>
      </c>
      <c r="F53" s="4" t="str">
        <f>IF(Table15[[#This Row],[Age]]&lt;=19,"Teenager",IF(Table15[[#This Row],[Age]]&lt;=40,"Median","Old"))</f>
        <v>Median</v>
      </c>
      <c r="G53" s="4" t="s">
        <v>11</v>
      </c>
      <c r="H53" s="4">
        <v>1</v>
      </c>
      <c r="I53" s="4">
        <v>300</v>
      </c>
      <c r="J53" s="4">
        <v>300</v>
      </c>
      <c r="K53" s="4" t="str" cm="1">
        <f t="array" ref="K53">_xlfn.IFS(AND(Table15[[#This Row],[Total Amount]]&gt;=1500),"Critical",AND(Table15[[#This Row],[Total Amount]]&gt;=1000),"High",TRUE,"Normal")</f>
        <v>Normal</v>
      </c>
      <c r="L53" s="4" t="str">
        <f>IF(Table15[[#This Row],[Total Amount]]&gt;=1000,"High",(IF(Table15[[#This Row],[Total Amount]]&gt;=500,"Medium","Low")))</f>
        <v>Low</v>
      </c>
      <c r="M53" s="4" t="str" cm="1">
        <f t="array" ref="M5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3" s="4" cm="1">
        <f t="array" ref="N5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53" s="4">
        <f>Table15[[#This Row],[Total Amount]]-Table15[[#This Row],[Discount Amount]]</f>
        <v>240</v>
      </c>
    </row>
    <row r="54" spans="1:15" x14ac:dyDescent="0.35">
      <c r="A54" s="4">
        <v>53</v>
      </c>
      <c r="B54" s="5">
        <v>45120</v>
      </c>
      <c r="C54" s="4" t="s">
        <v>66</v>
      </c>
      <c r="D54" s="4" t="s">
        <v>10</v>
      </c>
      <c r="E54" s="4">
        <v>34</v>
      </c>
      <c r="F54" s="4" t="str">
        <f>IF(Table15[[#This Row],[Age]]&lt;=19,"Teenager",IF(Table15[[#This Row],[Age]]&lt;=40,"Median","Old"))</f>
        <v>Median</v>
      </c>
      <c r="G54" s="4" t="s">
        <v>16</v>
      </c>
      <c r="H54" s="4">
        <v>2</v>
      </c>
      <c r="I54" s="4">
        <v>50</v>
      </c>
      <c r="J54" s="4">
        <v>100</v>
      </c>
      <c r="K54" s="4" t="str" cm="1">
        <f t="array" ref="K54">_xlfn.IFS(AND(Table15[[#This Row],[Total Amount]]&gt;=1500),"Critical",AND(Table15[[#This Row],[Total Amount]]&gt;=1000),"High",TRUE,"Normal")</f>
        <v>Normal</v>
      </c>
      <c r="L54" s="4" t="str">
        <f>IF(Table15[[#This Row],[Total Amount]]&gt;=1000,"High",(IF(Table15[[#This Row],[Total Amount]]&gt;=500,"Medium","Low")))</f>
        <v>Low</v>
      </c>
      <c r="M54" s="4" t="str" cm="1">
        <f t="array" ref="M5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4" s="4" cm="1">
        <f t="array" ref="N5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54" s="4">
        <f>Table15[[#This Row],[Total Amount]]-Table15[[#This Row],[Discount Amount]]</f>
        <v>85</v>
      </c>
    </row>
    <row r="55" spans="1:15" x14ac:dyDescent="0.35">
      <c r="A55" s="4">
        <v>54</v>
      </c>
      <c r="B55" s="5">
        <v>44967</v>
      </c>
      <c r="C55" s="4" t="s">
        <v>67</v>
      </c>
      <c r="D55" s="4" t="s">
        <v>13</v>
      </c>
      <c r="E55" s="4">
        <v>38</v>
      </c>
      <c r="F55" s="4" t="str">
        <f>IF(Table15[[#This Row],[Age]]&lt;=19,"Teenager",IF(Table15[[#This Row],[Age]]&lt;=40,"Median","Old"))</f>
        <v>Median</v>
      </c>
      <c r="G55" s="4" t="s">
        <v>16</v>
      </c>
      <c r="H55" s="4">
        <v>3</v>
      </c>
      <c r="I55" s="4">
        <v>500</v>
      </c>
      <c r="J55" s="4">
        <v>1500</v>
      </c>
      <c r="K55" s="4" t="str" cm="1">
        <f t="array" ref="K55">_xlfn.IFS(AND(Table15[[#This Row],[Total Amount]]&gt;=1500),"Critical",AND(Table15[[#This Row],[Total Amount]]&gt;=1000),"High",TRUE,"Normal")</f>
        <v>Critical</v>
      </c>
      <c r="L55" s="4" t="str">
        <f>IF(Table15[[#This Row],[Total Amount]]&gt;=1000,"High",(IF(Table15[[#This Row],[Total Amount]]&gt;=500,"Medium","Low")))</f>
        <v>High</v>
      </c>
      <c r="M55" s="4" t="str" cm="1">
        <f t="array" ref="M5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5" s="4" cm="1">
        <f t="array" ref="N5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55" s="4">
        <f>Table15[[#This Row],[Total Amount]]-Table15[[#This Row],[Discount Amount]]</f>
        <v>1200</v>
      </c>
    </row>
    <row r="56" spans="1:15" x14ac:dyDescent="0.35">
      <c r="A56" s="4">
        <v>55</v>
      </c>
      <c r="B56" s="5">
        <v>45209</v>
      </c>
      <c r="C56" s="4" t="s">
        <v>68</v>
      </c>
      <c r="D56" s="4" t="s">
        <v>10</v>
      </c>
      <c r="E56" s="4">
        <v>31</v>
      </c>
      <c r="F56" s="4" t="str">
        <f>IF(Table15[[#This Row],[Age]]&lt;=19,"Teenager",IF(Table15[[#This Row],[Age]]&lt;=40,"Median","Old"))</f>
        <v>Median</v>
      </c>
      <c r="G56" s="4" t="s">
        <v>11</v>
      </c>
      <c r="H56" s="4">
        <v>4</v>
      </c>
      <c r="I56" s="4">
        <v>30</v>
      </c>
      <c r="J56" s="4">
        <v>120</v>
      </c>
      <c r="K56" s="4" t="str" cm="1">
        <f t="array" ref="K56">_xlfn.IFS(AND(Table15[[#This Row],[Total Amount]]&gt;=1500),"Critical",AND(Table15[[#This Row],[Total Amount]]&gt;=1000),"High",TRUE,"Normal")</f>
        <v>Normal</v>
      </c>
      <c r="L56" s="4" t="str">
        <f>IF(Table15[[#This Row],[Total Amount]]&gt;=1000,"High",(IF(Table15[[#This Row],[Total Amount]]&gt;=500,"Medium","Low")))</f>
        <v>Low</v>
      </c>
      <c r="M56" s="4" t="str" cm="1">
        <f t="array" ref="M5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6" s="4" cm="1">
        <f t="array" ref="N5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56" s="4">
        <f>Table15[[#This Row],[Total Amount]]-Table15[[#This Row],[Discount Amount]]</f>
        <v>102</v>
      </c>
    </row>
    <row r="57" spans="1:15" x14ac:dyDescent="0.35">
      <c r="A57" s="4">
        <v>56</v>
      </c>
      <c r="B57" s="5">
        <v>45077</v>
      </c>
      <c r="C57" s="4" t="s">
        <v>69</v>
      </c>
      <c r="D57" s="4" t="s">
        <v>13</v>
      </c>
      <c r="E57" s="4">
        <v>26</v>
      </c>
      <c r="F57" s="4" t="str">
        <f>IF(Table15[[#This Row],[Age]]&lt;=19,"Teenager",IF(Table15[[#This Row],[Age]]&lt;=40,"Median","Old"))</f>
        <v>Median</v>
      </c>
      <c r="G57" s="4" t="s">
        <v>14</v>
      </c>
      <c r="H57" s="4">
        <v>3</v>
      </c>
      <c r="I57" s="4">
        <v>300</v>
      </c>
      <c r="J57" s="4">
        <v>900</v>
      </c>
      <c r="K57" s="4" t="str" cm="1">
        <f t="array" ref="K57">_xlfn.IFS(AND(Table15[[#This Row],[Total Amount]]&gt;=1500),"Critical",AND(Table15[[#This Row],[Total Amount]]&gt;=1000),"High",TRUE,"Normal")</f>
        <v>Normal</v>
      </c>
      <c r="L57" s="4" t="str">
        <f>IF(Table15[[#This Row],[Total Amount]]&gt;=1000,"High",(IF(Table15[[#This Row],[Total Amount]]&gt;=500,"Medium","Low")))</f>
        <v>Medium</v>
      </c>
      <c r="M57" s="4" t="str" cm="1">
        <f t="array" ref="M5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7" s="4" cm="1">
        <f t="array" ref="N5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135</v>
      </c>
      <c r="O57" s="4">
        <f>Table15[[#This Row],[Total Amount]]-Table15[[#This Row],[Discount Amount]]</f>
        <v>765</v>
      </c>
    </row>
    <row r="58" spans="1:15" x14ac:dyDescent="0.35">
      <c r="A58" s="4">
        <v>57</v>
      </c>
      <c r="B58" s="5">
        <v>45248</v>
      </c>
      <c r="C58" s="4" t="s">
        <v>70</v>
      </c>
      <c r="D58" s="4" t="s">
        <v>13</v>
      </c>
      <c r="E58" s="4">
        <v>63</v>
      </c>
      <c r="F58" s="4" t="str">
        <f>IF(Table15[[#This Row],[Age]]&lt;=19,"Teenager",IF(Table15[[#This Row],[Age]]&lt;=40,"Median","Old"))</f>
        <v>Old</v>
      </c>
      <c r="G58" s="4" t="s">
        <v>11</v>
      </c>
      <c r="H58" s="4">
        <v>1</v>
      </c>
      <c r="I58" s="4">
        <v>30</v>
      </c>
      <c r="J58" s="4">
        <v>30</v>
      </c>
      <c r="K58" s="4" t="str" cm="1">
        <f t="array" ref="K58">_xlfn.IFS(AND(Table15[[#This Row],[Total Amount]]&gt;=1500),"Critical",AND(Table15[[#This Row],[Total Amount]]&gt;=1000),"High",TRUE,"Normal")</f>
        <v>Normal</v>
      </c>
      <c r="L58" s="4" t="str">
        <f>IF(Table15[[#This Row],[Total Amount]]&gt;=1000,"High",(IF(Table15[[#This Row],[Total Amount]]&gt;=500,"Medium","Low")))</f>
        <v>Low</v>
      </c>
      <c r="M58" s="4" t="str" cm="1">
        <f t="array" ref="M5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8" s="4" cm="1">
        <f t="array" ref="N5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58" s="4">
        <f>Table15[[#This Row],[Total Amount]]-Table15[[#This Row],[Discount Amount]]</f>
        <v>24</v>
      </c>
    </row>
    <row r="59" spans="1:15" x14ac:dyDescent="0.35">
      <c r="A59" s="4">
        <v>58</v>
      </c>
      <c r="B59" s="5">
        <v>45243</v>
      </c>
      <c r="C59" s="4" t="s">
        <v>71</v>
      </c>
      <c r="D59" s="4" t="s">
        <v>10</v>
      </c>
      <c r="E59" s="4">
        <v>18</v>
      </c>
      <c r="F59" s="4" t="str">
        <f>IF(Table15[[#This Row],[Age]]&lt;=19,"Teenager",IF(Table15[[#This Row],[Age]]&lt;=40,"Median","Old"))</f>
        <v>Teenager</v>
      </c>
      <c r="G59" s="4" t="s">
        <v>14</v>
      </c>
      <c r="H59" s="4">
        <v>4</v>
      </c>
      <c r="I59" s="4">
        <v>300</v>
      </c>
      <c r="J59" s="4">
        <v>1200</v>
      </c>
      <c r="K59" s="4" t="str" cm="1">
        <f t="array" ref="K59">_xlfn.IFS(AND(Table15[[#This Row],[Total Amount]]&gt;=1500),"Critical",AND(Table15[[#This Row],[Total Amount]]&gt;=1000),"High",TRUE,"Normal")</f>
        <v>High</v>
      </c>
      <c r="L59" s="4" t="str">
        <f>IF(Table15[[#This Row],[Total Amount]]&gt;=1000,"High",(IF(Table15[[#This Row],[Total Amount]]&gt;=500,"Medium","Low")))</f>
        <v>High</v>
      </c>
      <c r="M59" s="4" t="str" cm="1">
        <f t="array" ref="M5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9" s="4" cm="1">
        <f t="array" ref="N5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9" s="4">
        <f>Table15[[#This Row],[Total Amount]]-Table15[[#This Row],[Discount Amount]]</f>
        <v>1200</v>
      </c>
    </row>
    <row r="60" spans="1:15" x14ac:dyDescent="0.35">
      <c r="A60" s="4">
        <v>59</v>
      </c>
      <c r="B60" s="5">
        <v>45112</v>
      </c>
      <c r="C60" s="4" t="s">
        <v>72</v>
      </c>
      <c r="D60" s="4" t="s">
        <v>10</v>
      </c>
      <c r="E60" s="4">
        <v>62</v>
      </c>
      <c r="F60" s="4" t="str">
        <f>IF(Table15[[#This Row],[Age]]&lt;=19,"Teenager",IF(Table15[[#This Row],[Age]]&lt;=40,"Median","Old"))</f>
        <v>Old</v>
      </c>
      <c r="G60" s="4" t="s">
        <v>14</v>
      </c>
      <c r="H60" s="4">
        <v>1</v>
      </c>
      <c r="I60" s="4">
        <v>50</v>
      </c>
      <c r="J60" s="4">
        <v>50</v>
      </c>
      <c r="K60" s="4" t="str" cm="1">
        <f t="array" ref="K60">_xlfn.IFS(AND(Table15[[#This Row],[Total Amount]]&gt;=1500),"Critical",AND(Table15[[#This Row],[Total Amount]]&gt;=1000),"High",TRUE,"Normal")</f>
        <v>Normal</v>
      </c>
      <c r="L60" s="4" t="str">
        <f>IF(Table15[[#This Row],[Total Amount]]&gt;=1000,"High",(IF(Table15[[#This Row],[Total Amount]]&gt;=500,"Medium","Low")))</f>
        <v>Low</v>
      </c>
      <c r="M60" s="4" t="str" cm="1">
        <f t="array" ref="M6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0" s="4" cm="1">
        <f t="array" ref="N6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60" s="4">
        <f>Table15[[#This Row],[Total Amount]]-Table15[[#This Row],[Discount Amount]]</f>
        <v>45</v>
      </c>
    </row>
    <row r="61" spans="1:15" x14ac:dyDescent="0.35">
      <c r="A61" s="4">
        <v>60</v>
      </c>
      <c r="B61" s="5">
        <v>45222</v>
      </c>
      <c r="C61" s="4" t="s">
        <v>73</v>
      </c>
      <c r="D61" s="4" t="s">
        <v>10</v>
      </c>
      <c r="E61" s="4">
        <v>30</v>
      </c>
      <c r="F61" s="4" t="str">
        <f>IF(Table15[[#This Row],[Age]]&lt;=19,"Teenager",IF(Table15[[#This Row],[Age]]&lt;=40,"Median","Old"))</f>
        <v>Median</v>
      </c>
      <c r="G61" s="4" t="s">
        <v>11</v>
      </c>
      <c r="H61" s="4">
        <v>3</v>
      </c>
      <c r="I61" s="4">
        <v>50</v>
      </c>
      <c r="J61" s="4">
        <v>150</v>
      </c>
      <c r="K61" s="4" t="str" cm="1">
        <f t="array" ref="K61">_xlfn.IFS(AND(Table15[[#This Row],[Total Amount]]&gt;=1500),"Critical",AND(Table15[[#This Row],[Total Amount]]&gt;=1000),"High",TRUE,"Normal")</f>
        <v>Normal</v>
      </c>
      <c r="L61" s="4" t="str">
        <f>IF(Table15[[#This Row],[Total Amount]]&gt;=1000,"High",(IF(Table15[[#This Row],[Total Amount]]&gt;=500,"Medium","Low")))</f>
        <v>Low</v>
      </c>
      <c r="M61" s="4" t="str" cm="1">
        <f t="array" ref="M6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1" s="4" cm="1">
        <f t="array" ref="N6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22.5</v>
      </c>
      <c r="O61" s="4">
        <f>Table15[[#This Row],[Total Amount]]-Table15[[#This Row],[Discount Amount]]</f>
        <v>127.5</v>
      </c>
    </row>
    <row r="62" spans="1:15" x14ac:dyDescent="0.35">
      <c r="A62" s="4">
        <v>61</v>
      </c>
      <c r="B62" s="5">
        <v>45025</v>
      </c>
      <c r="C62" s="4" t="s">
        <v>74</v>
      </c>
      <c r="D62" s="4" t="s">
        <v>10</v>
      </c>
      <c r="E62" s="4">
        <v>21</v>
      </c>
      <c r="F62" s="4" t="str">
        <f>IF(Table15[[#This Row],[Age]]&lt;=19,"Teenager",IF(Table15[[#This Row],[Age]]&lt;=40,"Median","Old"))</f>
        <v>Median</v>
      </c>
      <c r="G62" s="4" t="s">
        <v>11</v>
      </c>
      <c r="H62" s="4">
        <v>4</v>
      </c>
      <c r="I62" s="4">
        <v>50</v>
      </c>
      <c r="J62" s="4">
        <v>200</v>
      </c>
      <c r="K62" s="4" t="str" cm="1">
        <f t="array" ref="K62">_xlfn.IFS(AND(Table15[[#This Row],[Total Amount]]&gt;=1500),"Critical",AND(Table15[[#This Row],[Total Amount]]&gt;=1000),"High",TRUE,"Normal")</f>
        <v>Normal</v>
      </c>
      <c r="L62" s="4" t="str">
        <f>IF(Table15[[#This Row],[Total Amount]]&gt;=1000,"High",(IF(Table15[[#This Row],[Total Amount]]&gt;=500,"Medium","Low")))</f>
        <v>Low</v>
      </c>
      <c r="M62" s="4" t="str" cm="1">
        <f t="array" ref="M6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2" s="4" cm="1">
        <f t="array" ref="N6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2" s="4">
        <f>Table15[[#This Row],[Total Amount]]-Table15[[#This Row],[Discount Amount]]</f>
        <v>200</v>
      </c>
    </row>
    <row r="63" spans="1:15" x14ac:dyDescent="0.35">
      <c r="A63" s="4">
        <v>62</v>
      </c>
      <c r="B63" s="5">
        <v>45287</v>
      </c>
      <c r="C63" s="4" t="s">
        <v>75</v>
      </c>
      <c r="D63" s="4" t="s">
        <v>10</v>
      </c>
      <c r="E63" s="4">
        <v>18</v>
      </c>
      <c r="F63" s="4" t="str">
        <f>IF(Table15[[#This Row],[Age]]&lt;=19,"Teenager",IF(Table15[[#This Row],[Age]]&lt;=40,"Median","Old"))</f>
        <v>Teenager</v>
      </c>
      <c r="G63" s="4" t="s">
        <v>11</v>
      </c>
      <c r="H63" s="4">
        <v>2</v>
      </c>
      <c r="I63" s="4">
        <v>50</v>
      </c>
      <c r="J63" s="4">
        <v>100</v>
      </c>
      <c r="K63" s="4" t="str" cm="1">
        <f t="array" ref="K63">_xlfn.IFS(AND(Table15[[#This Row],[Total Amount]]&gt;=1500),"Critical",AND(Table15[[#This Row],[Total Amount]]&gt;=1000),"High",TRUE,"Normal")</f>
        <v>Normal</v>
      </c>
      <c r="L63" s="4" t="str">
        <f>IF(Table15[[#This Row],[Total Amount]]&gt;=1000,"High",(IF(Table15[[#This Row],[Total Amount]]&gt;=500,"Medium","Low")))</f>
        <v>Low</v>
      </c>
      <c r="M63" s="4" t="str" cm="1">
        <f t="array" ref="M6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3" s="4" cm="1">
        <f t="array" ref="N6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3" s="4">
        <f>Table15[[#This Row],[Total Amount]]-Table15[[#This Row],[Discount Amount]]</f>
        <v>100</v>
      </c>
    </row>
    <row r="64" spans="1:15" x14ac:dyDescent="0.35">
      <c r="A64" s="4">
        <v>63</v>
      </c>
      <c r="B64" s="5">
        <v>44962</v>
      </c>
      <c r="C64" s="4" t="s">
        <v>76</v>
      </c>
      <c r="D64" s="4" t="s">
        <v>10</v>
      </c>
      <c r="E64" s="4">
        <v>57</v>
      </c>
      <c r="F64" s="4" t="str">
        <f>IF(Table15[[#This Row],[Age]]&lt;=19,"Teenager",IF(Table15[[#This Row],[Age]]&lt;=40,"Median","Old"))</f>
        <v>Old</v>
      </c>
      <c r="G64" s="4" t="s">
        <v>16</v>
      </c>
      <c r="H64" s="4">
        <v>2</v>
      </c>
      <c r="I64" s="4">
        <v>25</v>
      </c>
      <c r="J64" s="4">
        <v>50</v>
      </c>
      <c r="K64" s="4" t="str" cm="1">
        <f t="array" ref="K64">_xlfn.IFS(AND(Table15[[#This Row],[Total Amount]]&gt;=1500),"Critical",AND(Table15[[#This Row],[Total Amount]]&gt;=1000),"High",TRUE,"Normal")</f>
        <v>Normal</v>
      </c>
      <c r="L64" s="4" t="str">
        <f>IF(Table15[[#This Row],[Total Amount]]&gt;=1000,"High",(IF(Table15[[#This Row],[Total Amount]]&gt;=500,"Medium","Low")))</f>
        <v>Low</v>
      </c>
      <c r="M64" s="4" t="str" cm="1">
        <f t="array" ref="M6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4" s="4" cm="1">
        <f t="array" ref="N6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64" s="4">
        <f>Table15[[#This Row],[Total Amount]]-Table15[[#This Row],[Discount Amount]]</f>
        <v>45</v>
      </c>
    </row>
    <row r="65" spans="1:15" x14ac:dyDescent="0.35">
      <c r="A65" s="4">
        <v>64</v>
      </c>
      <c r="B65" s="5">
        <v>44950</v>
      </c>
      <c r="C65" s="4" t="s">
        <v>77</v>
      </c>
      <c r="D65" s="4" t="s">
        <v>10</v>
      </c>
      <c r="E65" s="4">
        <v>49</v>
      </c>
      <c r="F65" s="4" t="str">
        <f>IF(Table15[[#This Row],[Age]]&lt;=19,"Teenager",IF(Table15[[#This Row],[Age]]&lt;=40,"Median","Old"))</f>
        <v>Old</v>
      </c>
      <c r="G65" s="4" t="s">
        <v>14</v>
      </c>
      <c r="H65" s="4">
        <v>4</v>
      </c>
      <c r="I65" s="4">
        <v>25</v>
      </c>
      <c r="J65" s="4">
        <v>100</v>
      </c>
      <c r="K65" s="4" t="str" cm="1">
        <f t="array" ref="K65">_xlfn.IFS(AND(Table15[[#This Row],[Total Amount]]&gt;=1500),"Critical",AND(Table15[[#This Row],[Total Amount]]&gt;=1000),"High",TRUE,"Normal")</f>
        <v>Normal</v>
      </c>
      <c r="L65" s="4" t="str">
        <f>IF(Table15[[#This Row],[Total Amount]]&gt;=1000,"High",(IF(Table15[[#This Row],[Total Amount]]&gt;=500,"Medium","Low")))</f>
        <v>Low</v>
      </c>
      <c r="M65" s="4" t="str" cm="1">
        <f t="array" ref="M6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5" s="4" cm="1">
        <f t="array" ref="N6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65" s="4">
        <f>Table15[[#This Row],[Total Amount]]-Table15[[#This Row],[Discount Amount]]</f>
        <v>90</v>
      </c>
    </row>
    <row r="66" spans="1:15" x14ac:dyDescent="0.35">
      <c r="A66" s="4">
        <v>65</v>
      </c>
      <c r="B66" s="5">
        <v>45265</v>
      </c>
      <c r="C66" s="4" t="s">
        <v>78</v>
      </c>
      <c r="D66" s="4" t="s">
        <v>10</v>
      </c>
      <c r="E66" s="4">
        <v>51</v>
      </c>
      <c r="F66" s="4" t="str">
        <f>IF(Table15[[#This Row],[Age]]&lt;=19,"Teenager",IF(Table15[[#This Row],[Age]]&lt;=40,"Median","Old"))</f>
        <v>Old</v>
      </c>
      <c r="G66" s="4" t="s">
        <v>16</v>
      </c>
      <c r="H66" s="4">
        <v>4</v>
      </c>
      <c r="I66" s="4">
        <v>500</v>
      </c>
      <c r="J66" s="4">
        <v>2000</v>
      </c>
      <c r="K66" s="4" t="str" cm="1">
        <f t="array" ref="K66">_xlfn.IFS(AND(Table15[[#This Row],[Total Amount]]&gt;=1500),"Critical",AND(Table15[[#This Row],[Total Amount]]&gt;=1000),"High",TRUE,"Normal")</f>
        <v>Critical</v>
      </c>
      <c r="L66" s="4" t="str">
        <f>IF(Table15[[#This Row],[Total Amount]]&gt;=1000,"High",(IF(Table15[[#This Row],[Total Amount]]&gt;=500,"Medium","Low")))</f>
        <v>High</v>
      </c>
      <c r="M66" s="4" t="str" cm="1">
        <f t="array" ref="M6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6" s="4" cm="1">
        <f t="array" ref="N6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66" s="4">
        <f>Table15[[#This Row],[Total Amount]]-Table15[[#This Row],[Discount Amount]]</f>
        <v>1800</v>
      </c>
    </row>
    <row r="67" spans="1:15" x14ac:dyDescent="0.35">
      <c r="A67" s="4">
        <v>66</v>
      </c>
      <c r="B67" s="5">
        <v>45043</v>
      </c>
      <c r="C67" s="4" t="s">
        <v>79</v>
      </c>
      <c r="D67" s="4" t="s">
        <v>13</v>
      </c>
      <c r="E67" s="4">
        <v>45</v>
      </c>
      <c r="F67" s="4" t="str">
        <f>IF(Table15[[#This Row],[Age]]&lt;=19,"Teenager",IF(Table15[[#This Row],[Age]]&lt;=40,"Median","Old"))</f>
        <v>Old</v>
      </c>
      <c r="G67" s="4" t="s">
        <v>16</v>
      </c>
      <c r="H67" s="4">
        <v>1</v>
      </c>
      <c r="I67" s="4">
        <v>30</v>
      </c>
      <c r="J67" s="4">
        <v>30</v>
      </c>
      <c r="K67" s="4" t="str" cm="1">
        <f t="array" ref="K67">_xlfn.IFS(AND(Table15[[#This Row],[Total Amount]]&gt;=1500),"Critical",AND(Table15[[#This Row],[Total Amount]]&gt;=1000),"High",TRUE,"Normal")</f>
        <v>Normal</v>
      </c>
      <c r="L67" s="4" t="str">
        <f>IF(Table15[[#This Row],[Total Amount]]&gt;=1000,"High",(IF(Table15[[#This Row],[Total Amount]]&gt;=500,"Medium","Low")))</f>
        <v>Low</v>
      </c>
      <c r="M67" s="4" t="str" cm="1">
        <f t="array" ref="M6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7" s="4" cm="1">
        <f t="array" ref="N6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67" s="4">
        <f>Table15[[#This Row],[Total Amount]]-Table15[[#This Row],[Discount Amount]]</f>
        <v>24</v>
      </c>
    </row>
    <row r="68" spans="1:15" x14ac:dyDescent="0.35">
      <c r="A68" s="4">
        <v>67</v>
      </c>
      <c r="B68" s="5">
        <v>45075</v>
      </c>
      <c r="C68" s="4" t="s">
        <v>80</v>
      </c>
      <c r="D68" s="4" t="s">
        <v>13</v>
      </c>
      <c r="E68" s="4">
        <v>48</v>
      </c>
      <c r="F68" s="4" t="str">
        <f>IF(Table15[[#This Row],[Age]]&lt;=19,"Teenager",IF(Table15[[#This Row],[Age]]&lt;=40,"Median","Old"))</f>
        <v>Old</v>
      </c>
      <c r="G68" s="4" t="s">
        <v>11</v>
      </c>
      <c r="H68" s="4">
        <v>4</v>
      </c>
      <c r="I68" s="4">
        <v>300</v>
      </c>
      <c r="J68" s="4">
        <v>1200</v>
      </c>
      <c r="K68" s="4" t="str" cm="1">
        <f t="array" ref="K68">_xlfn.IFS(AND(Table15[[#This Row],[Total Amount]]&gt;=1500),"Critical",AND(Table15[[#This Row],[Total Amount]]&gt;=1000),"High",TRUE,"Normal")</f>
        <v>High</v>
      </c>
      <c r="L68" s="4" t="str">
        <f>IF(Table15[[#This Row],[Total Amount]]&gt;=1000,"High",(IF(Table15[[#This Row],[Total Amount]]&gt;=500,"Medium","Low")))</f>
        <v>High</v>
      </c>
      <c r="M68" s="4" t="str" cm="1">
        <f t="array" ref="M6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8" s="4" cm="1">
        <f t="array" ref="N6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68" s="4">
        <f>Table15[[#This Row],[Total Amount]]-Table15[[#This Row],[Discount Amount]]</f>
        <v>960</v>
      </c>
    </row>
    <row r="69" spans="1:15" x14ac:dyDescent="0.35">
      <c r="A69" s="4">
        <v>68</v>
      </c>
      <c r="B69" s="5">
        <v>44967</v>
      </c>
      <c r="C69" s="4" t="s">
        <v>81</v>
      </c>
      <c r="D69" s="4" t="s">
        <v>10</v>
      </c>
      <c r="E69" s="4">
        <v>25</v>
      </c>
      <c r="F69" s="4" t="str">
        <f>IF(Table15[[#This Row],[Age]]&lt;=19,"Teenager",IF(Table15[[#This Row],[Age]]&lt;=40,"Median","Old"))</f>
        <v>Median</v>
      </c>
      <c r="G69" s="4" t="s">
        <v>16</v>
      </c>
      <c r="H69" s="4">
        <v>1</v>
      </c>
      <c r="I69" s="4">
        <v>300</v>
      </c>
      <c r="J69" s="4">
        <v>300</v>
      </c>
      <c r="K69" s="4" t="str" cm="1">
        <f t="array" ref="K69">_xlfn.IFS(AND(Table15[[#This Row],[Total Amount]]&gt;=1500),"Critical",AND(Table15[[#This Row],[Total Amount]]&gt;=1000),"High",TRUE,"Normal")</f>
        <v>Normal</v>
      </c>
      <c r="L69" s="4" t="str">
        <f>IF(Table15[[#This Row],[Total Amount]]&gt;=1000,"High",(IF(Table15[[#This Row],[Total Amount]]&gt;=500,"Medium","Low")))</f>
        <v>Low</v>
      </c>
      <c r="M69" s="4" t="str" cm="1">
        <f t="array" ref="M6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9" s="4" cm="1">
        <f t="array" ref="N6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45</v>
      </c>
      <c r="O69" s="4">
        <f>Table15[[#This Row],[Total Amount]]-Table15[[#This Row],[Discount Amount]]</f>
        <v>255</v>
      </c>
    </row>
    <row r="70" spans="1:15" x14ac:dyDescent="0.35">
      <c r="A70" s="4">
        <v>69</v>
      </c>
      <c r="B70" s="5">
        <v>45046</v>
      </c>
      <c r="C70" s="4" t="s">
        <v>82</v>
      </c>
      <c r="D70" s="4" t="s">
        <v>13</v>
      </c>
      <c r="E70" s="4">
        <v>56</v>
      </c>
      <c r="F70" s="4" t="str">
        <f>IF(Table15[[#This Row],[Age]]&lt;=19,"Teenager",IF(Table15[[#This Row],[Age]]&lt;=40,"Median","Old"))</f>
        <v>Old</v>
      </c>
      <c r="G70" s="4" t="s">
        <v>11</v>
      </c>
      <c r="H70" s="4">
        <v>3</v>
      </c>
      <c r="I70" s="4">
        <v>25</v>
      </c>
      <c r="J70" s="4">
        <v>75</v>
      </c>
      <c r="K70" s="4" t="str" cm="1">
        <f t="array" ref="K70">_xlfn.IFS(AND(Table15[[#This Row],[Total Amount]]&gt;=1500),"Critical",AND(Table15[[#This Row],[Total Amount]]&gt;=1000),"High",TRUE,"Normal")</f>
        <v>Normal</v>
      </c>
      <c r="L70" s="4" t="str">
        <f>IF(Table15[[#This Row],[Total Amount]]&gt;=1000,"High",(IF(Table15[[#This Row],[Total Amount]]&gt;=500,"Medium","Low")))</f>
        <v>Low</v>
      </c>
      <c r="M70" s="4" t="str" cm="1">
        <f t="array" ref="M7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0" s="4" cm="1">
        <f t="array" ref="N7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70" s="4">
        <f>Table15[[#This Row],[Total Amount]]-Table15[[#This Row],[Discount Amount]]</f>
        <v>60</v>
      </c>
    </row>
    <row r="71" spans="1:15" x14ac:dyDescent="0.35">
      <c r="A71" s="4">
        <v>70</v>
      </c>
      <c r="B71" s="5">
        <v>44978</v>
      </c>
      <c r="C71" s="4" t="s">
        <v>83</v>
      </c>
      <c r="D71" s="4" t="s">
        <v>13</v>
      </c>
      <c r="E71" s="4">
        <v>43</v>
      </c>
      <c r="F71" s="4" t="str">
        <f>IF(Table15[[#This Row],[Age]]&lt;=19,"Teenager",IF(Table15[[#This Row],[Age]]&lt;=40,"Median","Old"))</f>
        <v>Old</v>
      </c>
      <c r="G71" s="4" t="s">
        <v>14</v>
      </c>
      <c r="H71" s="4">
        <v>1</v>
      </c>
      <c r="I71" s="4">
        <v>300</v>
      </c>
      <c r="J71" s="4">
        <v>300</v>
      </c>
      <c r="K71" s="4" t="str" cm="1">
        <f t="array" ref="K71">_xlfn.IFS(AND(Table15[[#This Row],[Total Amount]]&gt;=1500),"Critical",AND(Table15[[#This Row],[Total Amount]]&gt;=1000),"High",TRUE,"Normal")</f>
        <v>Normal</v>
      </c>
      <c r="L71" s="4" t="str">
        <f>IF(Table15[[#This Row],[Total Amount]]&gt;=1000,"High",(IF(Table15[[#This Row],[Total Amount]]&gt;=500,"Medium","Low")))</f>
        <v>Low</v>
      </c>
      <c r="M71" s="4" t="str" cm="1">
        <f t="array" ref="M7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1" s="4" cm="1">
        <f t="array" ref="N7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71" s="4">
        <f>Table15[[#This Row],[Total Amount]]-Table15[[#This Row],[Discount Amount]]</f>
        <v>240</v>
      </c>
    </row>
    <row r="72" spans="1:15" x14ac:dyDescent="0.35">
      <c r="A72" s="4">
        <v>71</v>
      </c>
      <c r="B72" s="5">
        <v>45121</v>
      </c>
      <c r="C72" s="4" t="s">
        <v>84</v>
      </c>
      <c r="D72" s="4" t="s">
        <v>13</v>
      </c>
      <c r="E72" s="4">
        <v>51</v>
      </c>
      <c r="F72" s="4" t="str">
        <f>IF(Table15[[#This Row],[Age]]&lt;=19,"Teenager",IF(Table15[[#This Row],[Age]]&lt;=40,"Median","Old"))</f>
        <v>Old</v>
      </c>
      <c r="G72" s="4" t="s">
        <v>11</v>
      </c>
      <c r="H72" s="4">
        <v>4</v>
      </c>
      <c r="I72" s="4">
        <v>25</v>
      </c>
      <c r="J72" s="4">
        <v>100</v>
      </c>
      <c r="K72" s="4" t="str" cm="1">
        <f t="array" ref="K72">_xlfn.IFS(AND(Table15[[#This Row],[Total Amount]]&gt;=1500),"Critical",AND(Table15[[#This Row],[Total Amount]]&gt;=1000),"High",TRUE,"Normal")</f>
        <v>Normal</v>
      </c>
      <c r="L72" s="4" t="str">
        <f>IF(Table15[[#This Row],[Total Amount]]&gt;=1000,"High",(IF(Table15[[#This Row],[Total Amount]]&gt;=500,"Medium","Low")))</f>
        <v>Low</v>
      </c>
      <c r="M72" s="4" t="str" cm="1">
        <f t="array" ref="M7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2" s="4" cm="1">
        <f t="array" ref="N7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72" s="4">
        <f>Table15[[#This Row],[Total Amount]]-Table15[[#This Row],[Discount Amount]]</f>
        <v>80</v>
      </c>
    </row>
    <row r="73" spans="1:15" x14ac:dyDescent="0.35">
      <c r="A73" s="4">
        <v>72</v>
      </c>
      <c r="B73" s="5">
        <v>45069</v>
      </c>
      <c r="C73" s="4" t="s">
        <v>85</v>
      </c>
      <c r="D73" s="4" t="s">
        <v>13</v>
      </c>
      <c r="E73" s="4">
        <v>20</v>
      </c>
      <c r="F73" s="4" t="str">
        <f>IF(Table15[[#This Row],[Age]]&lt;=19,"Teenager",IF(Table15[[#This Row],[Age]]&lt;=40,"Median","Old"))</f>
        <v>Median</v>
      </c>
      <c r="G73" s="4" t="s">
        <v>16</v>
      </c>
      <c r="H73" s="4">
        <v>4</v>
      </c>
      <c r="I73" s="4">
        <v>500</v>
      </c>
      <c r="J73" s="4">
        <v>2000</v>
      </c>
      <c r="K73" s="4" t="str" cm="1">
        <f t="array" ref="K73">_xlfn.IFS(AND(Table15[[#This Row],[Total Amount]]&gt;=1500),"Critical",AND(Table15[[#This Row],[Total Amount]]&gt;=1000),"High",TRUE,"Normal")</f>
        <v>Critical</v>
      </c>
      <c r="L73" s="4" t="str">
        <f>IF(Table15[[#This Row],[Total Amount]]&gt;=1000,"High",(IF(Table15[[#This Row],[Total Amount]]&gt;=500,"Medium","Low")))</f>
        <v>High</v>
      </c>
      <c r="M73" s="4" t="str" cm="1">
        <f t="array" ref="M7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73" s="4" cm="1">
        <f t="array" ref="N7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73" s="4">
        <f>Table15[[#This Row],[Total Amount]]-Table15[[#This Row],[Discount Amount]]</f>
        <v>2000</v>
      </c>
    </row>
    <row r="74" spans="1:15" x14ac:dyDescent="0.35">
      <c r="A74" s="4">
        <v>73</v>
      </c>
      <c r="B74" s="5">
        <v>45159</v>
      </c>
      <c r="C74" s="4" t="s">
        <v>86</v>
      </c>
      <c r="D74" s="4" t="s">
        <v>10</v>
      </c>
      <c r="E74" s="4">
        <v>29</v>
      </c>
      <c r="F74" s="4" t="str">
        <f>IF(Table15[[#This Row],[Age]]&lt;=19,"Teenager",IF(Table15[[#This Row],[Age]]&lt;=40,"Median","Old"))</f>
        <v>Median</v>
      </c>
      <c r="G74" s="4" t="s">
        <v>16</v>
      </c>
      <c r="H74" s="4">
        <v>3</v>
      </c>
      <c r="I74" s="4">
        <v>30</v>
      </c>
      <c r="J74" s="4">
        <v>90</v>
      </c>
      <c r="K74" s="4" t="str" cm="1">
        <f t="array" ref="K74">_xlfn.IFS(AND(Table15[[#This Row],[Total Amount]]&gt;=1500),"Critical",AND(Table15[[#This Row],[Total Amount]]&gt;=1000),"High",TRUE,"Normal")</f>
        <v>Normal</v>
      </c>
      <c r="L74" s="4" t="str">
        <f>IF(Table15[[#This Row],[Total Amount]]&gt;=1000,"High",(IF(Table15[[#This Row],[Total Amount]]&gt;=500,"Medium","Low")))</f>
        <v>Low</v>
      </c>
      <c r="M74" s="4" t="str" cm="1">
        <f t="array" ref="M7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4" s="4" cm="1">
        <f t="array" ref="N7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13.5</v>
      </c>
      <c r="O74" s="4">
        <f>Table15[[#This Row],[Total Amount]]-Table15[[#This Row],[Discount Amount]]</f>
        <v>76.5</v>
      </c>
    </row>
    <row r="75" spans="1:15" x14ac:dyDescent="0.35">
      <c r="A75" s="4">
        <v>74</v>
      </c>
      <c r="B75" s="5">
        <v>45252</v>
      </c>
      <c r="C75" s="4" t="s">
        <v>87</v>
      </c>
      <c r="D75" s="4" t="s">
        <v>13</v>
      </c>
      <c r="E75" s="4">
        <v>18</v>
      </c>
      <c r="F75" s="4" t="str">
        <f>IF(Table15[[#This Row],[Age]]&lt;=19,"Teenager",IF(Table15[[#This Row],[Age]]&lt;=40,"Median","Old"))</f>
        <v>Teenager</v>
      </c>
      <c r="G75" s="4" t="s">
        <v>11</v>
      </c>
      <c r="H75" s="4">
        <v>4</v>
      </c>
      <c r="I75" s="4">
        <v>500</v>
      </c>
      <c r="J75" s="4">
        <v>2000</v>
      </c>
      <c r="K75" s="4" t="str" cm="1">
        <f t="array" ref="K75">_xlfn.IFS(AND(Table15[[#This Row],[Total Amount]]&gt;=1500),"Critical",AND(Table15[[#This Row],[Total Amount]]&gt;=1000),"High",TRUE,"Normal")</f>
        <v>Critical</v>
      </c>
      <c r="L75" s="4" t="str">
        <f>IF(Table15[[#This Row],[Total Amount]]&gt;=1000,"High",(IF(Table15[[#This Row],[Total Amount]]&gt;=500,"Medium","Low")))</f>
        <v>High</v>
      </c>
      <c r="M75" s="4" t="str" cm="1">
        <f t="array" ref="M7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75" s="4" cm="1">
        <f t="array" ref="N7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75" s="4">
        <f>Table15[[#This Row],[Total Amount]]-Table15[[#This Row],[Discount Amount]]</f>
        <v>2000</v>
      </c>
    </row>
    <row r="76" spans="1:15" x14ac:dyDescent="0.35">
      <c r="A76" s="4">
        <v>75</v>
      </c>
      <c r="B76" s="5">
        <v>45113</v>
      </c>
      <c r="C76" s="4" t="s">
        <v>88</v>
      </c>
      <c r="D76" s="4" t="s">
        <v>10</v>
      </c>
      <c r="E76" s="4">
        <v>61</v>
      </c>
      <c r="F76" s="4" t="str">
        <f>IF(Table15[[#This Row],[Age]]&lt;=19,"Teenager",IF(Table15[[#This Row],[Age]]&lt;=40,"Median","Old"))</f>
        <v>Old</v>
      </c>
      <c r="G76" s="4" t="s">
        <v>11</v>
      </c>
      <c r="H76" s="4">
        <v>4</v>
      </c>
      <c r="I76" s="4">
        <v>50</v>
      </c>
      <c r="J76" s="4">
        <v>200</v>
      </c>
      <c r="K76" s="4" t="str" cm="1">
        <f t="array" ref="K76">_xlfn.IFS(AND(Table15[[#This Row],[Total Amount]]&gt;=1500),"Critical",AND(Table15[[#This Row],[Total Amount]]&gt;=1000),"High",TRUE,"Normal")</f>
        <v>Normal</v>
      </c>
      <c r="L76" s="4" t="str">
        <f>IF(Table15[[#This Row],[Total Amount]]&gt;=1000,"High",(IF(Table15[[#This Row],[Total Amount]]&gt;=500,"Medium","Low")))</f>
        <v>Low</v>
      </c>
      <c r="M76" s="4" t="str" cm="1">
        <f t="array" ref="M7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6" s="4" cm="1">
        <f t="array" ref="N7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76" s="4">
        <f>Table15[[#This Row],[Total Amount]]-Table15[[#This Row],[Discount Amount]]</f>
        <v>180</v>
      </c>
    </row>
    <row r="77" spans="1:15" x14ac:dyDescent="0.35">
      <c r="A77" s="4">
        <v>76</v>
      </c>
      <c r="B77" s="5">
        <v>45010</v>
      </c>
      <c r="C77" s="4" t="s">
        <v>89</v>
      </c>
      <c r="D77" s="4" t="s">
        <v>13</v>
      </c>
      <c r="E77" s="4">
        <v>22</v>
      </c>
      <c r="F77" s="4" t="str">
        <f>IF(Table15[[#This Row],[Age]]&lt;=19,"Teenager",IF(Table15[[#This Row],[Age]]&lt;=40,"Median","Old"))</f>
        <v>Median</v>
      </c>
      <c r="G77" s="4" t="s">
        <v>16</v>
      </c>
      <c r="H77" s="4">
        <v>2</v>
      </c>
      <c r="I77" s="4">
        <v>50</v>
      </c>
      <c r="J77" s="4">
        <v>100</v>
      </c>
      <c r="K77" s="4" t="str" cm="1">
        <f t="array" ref="K77">_xlfn.IFS(AND(Table15[[#This Row],[Total Amount]]&gt;=1500),"Critical",AND(Table15[[#This Row],[Total Amount]]&gt;=1000),"High",TRUE,"Normal")</f>
        <v>Normal</v>
      </c>
      <c r="L77" s="4" t="str">
        <f>IF(Table15[[#This Row],[Total Amount]]&gt;=1000,"High",(IF(Table15[[#This Row],[Total Amount]]&gt;=500,"Medium","Low")))</f>
        <v>Low</v>
      </c>
      <c r="M77" s="4" t="str" cm="1">
        <f t="array" ref="M7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77" s="4" cm="1">
        <f t="array" ref="N7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77" s="4">
        <f>Table15[[#This Row],[Total Amount]]-Table15[[#This Row],[Discount Amount]]</f>
        <v>100</v>
      </c>
    </row>
    <row r="78" spans="1:15" x14ac:dyDescent="0.35">
      <c r="A78" s="4">
        <v>77</v>
      </c>
      <c r="B78" s="5">
        <v>45116</v>
      </c>
      <c r="C78" s="4" t="s">
        <v>90</v>
      </c>
      <c r="D78" s="4" t="s">
        <v>13</v>
      </c>
      <c r="E78" s="4">
        <v>47</v>
      </c>
      <c r="F78" s="4" t="str">
        <f>IF(Table15[[#This Row],[Age]]&lt;=19,"Teenager",IF(Table15[[#This Row],[Age]]&lt;=40,"Median","Old"))</f>
        <v>Old</v>
      </c>
      <c r="G78" s="4" t="s">
        <v>14</v>
      </c>
      <c r="H78" s="4">
        <v>2</v>
      </c>
      <c r="I78" s="4">
        <v>50</v>
      </c>
      <c r="J78" s="4">
        <v>100</v>
      </c>
      <c r="K78" s="4" t="str" cm="1">
        <f t="array" ref="K78">_xlfn.IFS(AND(Table15[[#This Row],[Total Amount]]&gt;=1500),"Critical",AND(Table15[[#This Row],[Total Amount]]&gt;=1000),"High",TRUE,"Normal")</f>
        <v>Normal</v>
      </c>
      <c r="L78" s="4" t="str">
        <f>IF(Table15[[#This Row],[Total Amount]]&gt;=1000,"High",(IF(Table15[[#This Row],[Total Amount]]&gt;=500,"Medium","Low")))</f>
        <v>Low</v>
      </c>
      <c r="M78" s="4" t="str" cm="1">
        <f t="array" ref="M7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8" s="4" cm="1">
        <f t="array" ref="N7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78" s="4">
        <f>Table15[[#This Row],[Total Amount]]-Table15[[#This Row],[Discount Amount]]</f>
        <v>80</v>
      </c>
    </row>
    <row r="79" spans="1:15" x14ac:dyDescent="0.35">
      <c r="A79" s="4">
        <v>78</v>
      </c>
      <c r="B79" s="5">
        <v>45108</v>
      </c>
      <c r="C79" s="4" t="s">
        <v>91</v>
      </c>
      <c r="D79" s="4" t="s">
        <v>13</v>
      </c>
      <c r="E79" s="4">
        <v>47</v>
      </c>
      <c r="F79" s="4" t="str">
        <f>IF(Table15[[#This Row],[Age]]&lt;=19,"Teenager",IF(Table15[[#This Row],[Age]]&lt;=40,"Median","Old"))</f>
        <v>Old</v>
      </c>
      <c r="G79" s="4" t="s">
        <v>14</v>
      </c>
      <c r="H79" s="4">
        <v>3</v>
      </c>
      <c r="I79" s="4">
        <v>500</v>
      </c>
      <c r="J79" s="4">
        <v>1500</v>
      </c>
      <c r="K79" s="4" t="str" cm="1">
        <f t="array" ref="K79">_xlfn.IFS(AND(Table15[[#This Row],[Total Amount]]&gt;=1500),"Critical",AND(Table15[[#This Row],[Total Amount]]&gt;=1000),"High",TRUE,"Normal")</f>
        <v>Critical</v>
      </c>
      <c r="L79" s="4" t="str">
        <f>IF(Table15[[#This Row],[Total Amount]]&gt;=1000,"High",(IF(Table15[[#This Row],[Total Amount]]&gt;=500,"Medium","Low")))</f>
        <v>High</v>
      </c>
      <c r="M79" s="4" t="str" cm="1">
        <f t="array" ref="M7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9" s="4" cm="1">
        <f t="array" ref="N7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79" s="4">
        <f>Table15[[#This Row],[Total Amount]]-Table15[[#This Row],[Discount Amount]]</f>
        <v>1200</v>
      </c>
    </row>
    <row r="80" spans="1:15" x14ac:dyDescent="0.35">
      <c r="A80" s="4">
        <v>79</v>
      </c>
      <c r="B80" s="5">
        <v>45034</v>
      </c>
      <c r="C80" s="4" t="s">
        <v>92</v>
      </c>
      <c r="D80" s="4" t="s">
        <v>10</v>
      </c>
      <c r="E80" s="4">
        <v>34</v>
      </c>
      <c r="F80" s="4" t="str">
        <f>IF(Table15[[#This Row],[Age]]&lt;=19,"Teenager",IF(Table15[[#This Row],[Age]]&lt;=40,"Median","Old"))</f>
        <v>Median</v>
      </c>
      <c r="G80" s="4" t="s">
        <v>11</v>
      </c>
      <c r="H80" s="4">
        <v>1</v>
      </c>
      <c r="I80" s="4">
        <v>300</v>
      </c>
      <c r="J80" s="4">
        <v>300</v>
      </c>
      <c r="K80" s="4" t="str" cm="1">
        <f t="array" ref="K80">_xlfn.IFS(AND(Table15[[#This Row],[Total Amount]]&gt;=1500),"Critical",AND(Table15[[#This Row],[Total Amount]]&gt;=1000),"High",TRUE,"Normal")</f>
        <v>Normal</v>
      </c>
      <c r="L80" s="4" t="str">
        <f>IF(Table15[[#This Row],[Total Amount]]&gt;=1000,"High",(IF(Table15[[#This Row],[Total Amount]]&gt;=500,"Medium","Low")))</f>
        <v>Low</v>
      </c>
      <c r="M80" s="4" t="str" cm="1">
        <f t="array" ref="M8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0" s="4" cm="1">
        <f t="array" ref="N8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45</v>
      </c>
      <c r="O80" s="4">
        <f>Table15[[#This Row],[Total Amount]]-Table15[[#This Row],[Discount Amount]]</f>
        <v>255</v>
      </c>
    </row>
    <row r="81" spans="1:15" x14ac:dyDescent="0.35">
      <c r="A81" s="4">
        <v>80</v>
      </c>
      <c r="B81" s="5">
        <v>45270</v>
      </c>
      <c r="C81" s="4" t="s">
        <v>93</v>
      </c>
      <c r="D81" s="4" t="s">
        <v>13</v>
      </c>
      <c r="E81" s="4">
        <v>64</v>
      </c>
      <c r="F81" s="4" t="str">
        <f>IF(Table15[[#This Row],[Age]]&lt;=19,"Teenager",IF(Table15[[#This Row],[Age]]&lt;=40,"Median","Old"))</f>
        <v>Old</v>
      </c>
      <c r="G81" s="4" t="s">
        <v>14</v>
      </c>
      <c r="H81" s="4">
        <v>2</v>
      </c>
      <c r="I81" s="4">
        <v>30</v>
      </c>
      <c r="J81" s="4">
        <v>60</v>
      </c>
      <c r="K81" s="4" t="str" cm="1">
        <f t="array" ref="K81">_xlfn.IFS(AND(Table15[[#This Row],[Total Amount]]&gt;=1500),"Critical",AND(Table15[[#This Row],[Total Amount]]&gt;=1000),"High",TRUE,"Normal")</f>
        <v>Normal</v>
      </c>
      <c r="L81" s="4" t="str">
        <f>IF(Table15[[#This Row],[Total Amount]]&gt;=1000,"High",(IF(Table15[[#This Row],[Total Amount]]&gt;=500,"Medium","Low")))</f>
        <v>Low</v>
      </c>
      <c r="M81" s="4" t="str" cm="1">
        <f t="array" ref="M8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1" s="4" cm="1">
        <f t="array" ref="N8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81" s="4">
        <f>Table15[[#This Row],[Total Amount]]-Table15[[#This Row],[Discount Amount]]</f>
        <v>48</v>
      </c>
    </row>
    <row r="82" spans="1:15" x14ac:dyDescent="0.35">
      <c r="A82" s="4">
        <v>81</v>
      </c>
      <c r="B82" s="5">
        <v>45063</v>
      </c>
      <c r="C82" s="4" t="s">
        <v>94</v>
      </c>
      <c r="D82" s="4" t="s">
        <v>10</v>
      </c>
      <c r="E82" s="4">
        <v>40</v>
      </c>
      <c r="F82" s="4" t="str">
        <f>IF(Table15[[#This Row],[Age]]&lt;=19,"Teenager",IF(Table15[[#This Row],[Age]]&lt;=40,"Median","Old"))</f>
        <v>Median</v>
      </c>
      <c r="G82" s="4" t="s">
        <v>16</v>
      </c>
      <c r="H82" s="4">
        <v>1</v>
      </c>
      <c r="I82" s="4">
        <v>50</v>
      </c>
      <c r="J82" s="4">
        <v>50</v>
      </c>
      <c r="K82" s="4" t="str" cm="1">
        <f t="array" ref="K82">_xlfn.IFS(AND(Table15[[#This Row],[Total Amount]]&gt;=1500),"Critical",AND(Table15[[#This Row],[Total Amount]]&gt;=1000),"High",TRUE,"Normal")</f>
        <v>Normal</v>
      </c>
      <c r="L82" s="4" t="str">
        <f>IF(Table15[[#This Row],[Total Amount]]&gt;=1000,"High",(IF(Table15[[#This Row],[Total Amount]]&gt;=500,"Medium","Low")))</f>
        <v>Low</v>
      </c>
      <c r="M82" s="4" t="str" cm="1">
        <f t="array" ref="M8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2" s="4" cm="1">
        <f t="array" ref="N8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82" s="4">
        <f>Table15[[#This Row],[Total Amount]]-Table15[[#This Row],[Discount Amount]]</f>
        <v>45</v>
      </c>
    </row>
    <row r="83" spans="1:15" x14ac:dyDescent="0.35">
      <c r="A83" s="4">
        <v>82</v>
      </c>
      <c r="B83" s="5">
        <v>45286</v>
      </c>
      <c r="C83" s="4" t="s">
        <v>95</v>
      </c>
      <c r="D83" s="4" t="s">
        <v>13</v>
      </c>
      <c r="E83" s="4">
        <v>32</v>
      </c>
      <c r="F83" s="4" t="str">
        <f>IF(Table15[[#This Row],[Age]]&lt;=19,"Teenager",IF(Table15[[#This Row],[Age]]&lt;=40,"Median","Old"))</f>
        <v>Median</v>
      </c>
      <c r="G83" s="4" t="s">
        <v>11</v>
      </c>
      <c r="H83" s="4">
        <v>4</v>
      </c>
      <c r="I83" s="4">
        <v>50</v>
      </c>
      <c r="J83" s="4">
        <v>200</v>
      </c>
      <c r="K83" s="4" t="str" cm="1">
        <f t="array" ref="K83">_xlfn.IFS(AND(Table15[[#This Row],[Total Amount]]&gt;=1500),"Critical",AND(Table15[[#This Row],[Total Amount]]&gt;=1000),"High",TRUE,"Normal")</f>
        <v>Normal</v>
      </c>
      <c r="L83" s="4" t="str">
        <f>IF(Table15[[#This Row],[Total Amount]]&gt;=1000,"High",(IF(Table15[[#This Row],[Total Amount]]&gt;=500,"Medium","Low")))</f>
        <v>Low</v>
      </c>
      <c r="M83" s="4" t="str" cm="1">
        <f t="array" ref="M8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3" s="4" cm="1">
        <f t="array" ref="N8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83" s="4">
        <f>Table15[[#This Row],[Total Amount]]-Table15[[#This Row],[Discount Amount]]</f>
        <v>170</v>
      </c>
    </row>
    <row r="84" spans="1:15" x14ac:dyDescent="0.35">
      <c r="A84" s="4">
        <v>83</v>
      </c>
      <c r="B84" s="5">
        <v>45276</v>
      </c>
      <c r="C84" s="4" t="s">
        <v>96</v>
      </c>
      <c r="D84" s="4" t="s">
        <v>10</v>
      </c>
      <c r="E84" s="4">
        <v>54</v>
      </c>
      <c r="F84" s="4" t="str">
        <f>IF(Table15[[#This Row],[Age]]&lt;=19,"Teenager",IF(Table15[[#This Row],[Age]]&lt;=40,"Median","Old"))</f>
        <v>Old</v>
      </c>
      <c r="G84" s="4" t="s">
        <v>16</v>
      </c>
      <c r="H84" s="4">
        <v>2</v>
      </c>
      <c r="I84" s="4">
        <v>50</v>
      </c>
      <c r="J84" s="4">
        <v>100</v>
      </c>
      <c r="K84" s="4" t="str" cm="1">
        <f t="array" ref="K84">_xlfn.IFS(AND(Table15[[#This Row],[Total Amount]]&gt;=1500),"Critical",AND(Table15[[#This Row],[Total Amount]]&gt;=1000),"High",TRUE,"Normal")</f>
        <v>Normal</v>
      </c>
      <c r="L84" s="4" t="str">
        <f>IF(Table15[[#This Row],[Total Amount]]&gt;=1000,"High",(IF(Table15[[#This Row],[Total Amount]]&gt;=500,"Medium","Low")))</f>
        <v>Low</v>
      </c>
      <c r="M84" s="4" t="str" cm="1">
        <f t="array" ref="M8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4" s="4" cm="1">
        <f t="array" ref="N8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84" s="4">
        <f>Table15[[#This Row],[Total Amount]]-Table15[[#This Row],[Discount Amount]]</f>
        <v>90</v>
      </c>
    </row>
    <row r="85" spans="1:15" x14ac:dyDescent="0.35">
      <c r="A85" s="4">
        <v>84</v>
      </c>
      <c r="B85" s="5">
        <v>45258</v>
      </c>
      <c r="C85" s="4" t="s">
        <v>97</v>
      </c>
      <c r="D85" s="4" t="s">
        <v>13</v>
      </c>
      <c r="E85" s="4">
        <v>38</v>
      </c>
      <c r="F85" s="4" t="str">
        <f>IF(Table15[[#This Row],[Age]]&lt;=19,"Teenager",IF(Table15[[#This Row],[Age]]&lt;=40,"Median","Old"))</f>
        <v>Median</v>
      </c>
      <c r="G85" s="4" t="s">
        <v>16</v>
      </c>
      <c r="H85" s="4">
        <v>3</v>
      </c>
      <c r="I85" s="4">
        <v>30</v>
      </c>
      <c r="J85" s="4">
        <v>90</v>
      </c>
      <c r="K85" s="4" t="str" cm="1">
        <f t="array" ref="K85">_xlfn.IFS(AND(Table15[[#This Row],[Total Amount]]&gt;=1500),"Critical",AND(Table15[[#This Row],[Total Amount]]&gt;=1000),"High",TRUE,"Normal")</f>
        <v>Normal</v>
      </c>
      <c r="L85" s="4" t="str">
        <f>IF(Table15[[#This Row],[Total Amount]]&gt;=1000,"High",(IF(Table15[[#This Row],[Total Amount]]&gt;=500,"Medium","Low")))</f>
        <v>Low</v>
      </c>
      <c r="M85" s="4" t="str" cm="1">
        <f t="array" ref="M8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5" s="4" cm="1">
        <f t="array" ref="N8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85" s="4">
        <f>Table15[[#This Row],[Total Amount]]-Table15[[#This Row],[Discount Amount]]</f>
        <v>72</v>
      </c>
    </row>
    <row r="86" spans="1:15" x14ac:dyDescent="0.35">
      <c r="A86" s="4">
        <v>85</v>
      </c>
      <c r="B86" s="5">
        <v>44963</v>
      </c>
      <c r="C86" s="4" t="s">
        <v>98</v>
      </c>
      <c r="D86" s="4" t="s">
        <v>10</v>
      </c>
      <c r="E86" s="4">
        <v>31</v>
      </c>
      <c r="F86" s="4" t="str">
        <f>IF(Table15[[#This Row],[Age]]&lt;=19,"Teenager",IF(Table15[[#This Row],[Age]]&lt;=40,"Median","Old"))</f>
        <v>Median</v>
      </c>
      <c r="G86" s="4" t="s">
        <v>14</v>
      </c>
      <c r="H86" s="4">
        <v>3</v>
      </c>
      <c r="I86" s="4">
        <v>50</v>
      </c>
      <c r="J86" s="4">
        <v>150</v>
      </c>
      <c r="K86" s="4" t="str" cm="1">
        <f t="array" ref="K86">_xlfn.IFS(AND(Table15[[#This Row],[Total Amount]]&gt;=1500),"Critical",AND(Table15[[#This Row],[Total Amount]]&gt;=1000),"High",TRUE,"Normal")</f>
        <v>Normal</v>
      </c>
      <c r="L86" s="4" t="str">
        <f>IF(Table15[[#This Row],[Total Amount]]&gt;=1000,"High",(IF(Table15[[#This Row],[Total Amount]]&gt;=500,"Medium","Low")))</f>
        <v>Low</v>
      </c>
      <c r="M86" s="4" t="str" cm="1">
        <f t="array" ref="M8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6" s="4" cm="1">
        <f t="array" ref="N8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22.5</v>
      </c>
      <c r="O86" s="4">
        <f>Table15[[#This Row],[Total Amount]]-Table15[[#This Row],[Discount Amount]]</f>
        <v>127.5</v>
      </c>
    </row>
    <row r="87" spans="1:15" x14ac:dyDescent="0.35">
      <c r="A87" s="4">
        <v>86</v>
      </c>
      <c r="B87" s="5">
        <v>45238</v>
      </c>
      <c r="C87" s="4" t="s">
        <v>99</v>
      </c>
      <c r="D87" s="4" t="s">
        <v>10</v>
      </c>
      <c r="E87" s="4">
        <v>19</v>
      </c>
      <c r="F87" s="4" t="str">
        <f>IF(Table15[[#This Row],[Age]]&lt;=19,"Teenager",IF(Table15[[#This Row],[Age]]&lt;=40,"Median","Old"))</f>
        <v>Teenager</v>
      </c>
      <c r="G87" s="4" t="s">
        <v>11</v>
      </c>
      <c r="H87" s="4">
        <v>3</v>
      </c>
      <c r="I87" s="4">
        <v>30</v>
      </c>
      <c r="J87" s="4">
        <v>90</v>
      </c>
      <c r="K87" s="4" t="str" cm="1">
        <f t="array" ref="K87">_xlfn.IFS(AND(Table15[[#This Row],[Total Amount]]&gt;=1500),"Critical",AND(Table15[[#This Row],[Total Amount]]&gt;=1000),"High",TRUE,"Normal")</f>
        <v>Normal</v>
      </c>
      <c r="L87" s="4" t="str">
        <f>IF(Table15[[#This Row],[Total Amount]]&gt;=1000,"High",(IF(Table15[[#This Row],[Total Amount]]&gt;=500,"Medium","Low")))</f>
        <v>Low</v>
      </c>
      <c r="M87" s="4" t="str" cm="1">
        <f t="array" ref="M8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7" s="4" cm="1">
        <f t="array" ref="N8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7" s="4">
        <f>Table15[[#This Row],[Total Amount]]-Table15[[#This Row],[Discount Amount]]</f>
        <v>90</v>
      </c>
    </row>
    <row r="88" spans="1:15" x14ac:dyDescent="0.35">
      <c r="A88" s="4">
        <v>87</v>
      </c>
      <c r="B88" s="5">
        <v>45252</v>
      </c>
      <c r="C88" s="4" t="s">
        <v>100</v>
      </c>
      <c r="D88" s="4" t="s">
        <v>13</v>
      </c>
      <c r="E88" s="4">
        <v>28</v>
      </c>
      <c r="F88" s="4" t="str">
        <f>IF(Table15[[#This Row],[Age]]&lt;=19,"Teenager",IF(Table15[[#This Row],[Age]]&lt;=40,"Median","Old"))</f>
        <v>Median</v>
      </c>
      <c r="G88" s="4" t="s">
        <v>11</v>
      </c>
      <c r="H88" s="4">
        <v>2</v>
      </c>
      <c r="I88" s="4">
        <v>50</v>
      </c>
      <c r="J88" s="4">
        <v>100</v>
      </c>
      <c r="K88" s="4" t="str" cm="1">
        <f t="array" ref="K88">_xlfn.IFS(AND(Table15[[#This Row],[Total Amount]]&gt;=1500),"Critical",AND(Table15[[#This Row],[Total Amount]]&gt;=1000),"High",TRUE,"Normal")</f>
        <v>Normal</v>
      </c>
      <c r="L88" s="4" t="str">
        <f>IF(Table15[[#This Row],[Total Amount]]&gt;=1000,"High",(IF(Table15[[#This Row],[Total Amount]]&gt;=500,"Medium","Low")))</f>
        <v>Low</v>
      </c>
      <c r="M88" s="4" t="str" cm="1">
        <f t="array" ref="M8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8" s="4" cm="1">
        <f t="array" ref="N8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88" s="4">
        <f>Table15[[#This Row],[Total Amount]]-Table15[[#This Row],[Discount Amount]]</f>
        <v>85</v>
      </c>
    </row>
    <row r="89" spans="1:15" x14ac:dyDescent="0.35">
      <c r="A89" s="4">
        <v>88</v>
      </c>
      <c r="B89" s="5">
        <v>45014</v>
      </c>
      <c r="C89" s="4" t="s">
        <v>101</v>
      </c>
      <c r="D89" s="4" t="s">
        <v>10</v>
      </c>
      <c r="E89" s="4">
        <v>56</v>
      </c>
      <c r="F89" s="4" t="str">
        <f>IF(Table15[[#This Row],[Age]]&lt;=19,"Teenager",IF(Table15[[#This Row],[Age]]&lt;=40,"Median","Old"))</f>
        <v>Old</v>
      </c>
      <c r="G89" s="4" t="s">
        <v>14</v>
      </c>
      <c r="H89" s="4">
        <v>1</v>
      </c>
      <c r="I89" s="4">
        <v>500</v>
      </c>
      <c r="J89" s="4">
        <v>500</v>
      </c>
      <c r="K89" s="4" t="str" cm="1">
        <f t="array" ref="K89">_xlfn.IFS(AND(Table15[[#This Row],[Total Amount]]&gt;=1500),"Critical",AND(Table15[[#This Row],[Total Amount]]&gt;=1000),"High",TRUE,"Normal")</f>
        <v>Normal</v>
      </c>
      <c r="L89" s="4" t="str">
        <f>IF(Table15[[#This Row],[Total Amount]]&gt;=1000,"High",(IF(Table15[[#This Row],[Total Amount]]&gt;=500,"Medium","Low")))</f>
        <v>Medium</v>
      </c>
      <c r="M89" s="4" t="str" cm="1">
        <f t="array" ref="M8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9" s="4" cm="1">
        <f t="array" ref="N8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89" s="4">
        <f>Table15[[#This Row],[Total Amount]]-Table15[[#This Row],[Discount Amount]]</f>
        <v>450</v>
      </c>
    </row>
    <row r="90" spans="1:15" x14ac:dyDescent="0.35">
      <c r="A90" s="4">
        <v>89</v>
      </c>
      <c r="B90" s="5">
        <v>45200</v>
      </c>
      <c r="C90" s="4" t="s">
        <v>102</v>
      </c>
      <c r="D90" s="4" t="s">
        <v>13</v>
      </c>
      <c r="E90" s="4">
        <v>55</v>
      </c>
      <c r="F90" s="4" t="str">
        <f>IF(Table15[[#This Row],[Age]]&lt;=19,"Teenager",IF(Table15[[#This Row],[Age]]&lt;=40,"Median","Old"))</f>
        <v>Old</v>
      </c>
      <c r="G90" s="4" t="s">
        <v>16</v>
      </c>
      <c r="H90" s="4">
        <v>4</v>
      </c>
      <c r="I90" s="4">
        <v>500</v>
      </c>
      <c r="J90" s="4">
        <v>2000</v>
      </c>
      <c r="K90" s="4" t="str" cm="1">
        <f t="array" ref="K90">_xlfn.IFS(AND(Table15[[#This Row],[Total Amount]]&gt;=1500),"Critical",AND(Table15[[#This Row],[Total Amount]]&gt;=1000),"High",TRUE,"Normal")</f>
        <v>Critical</v>
      </c>
      <c r="L90" s="4" t="str">
        <f>IF(Table15[[#This Row],[Total Amount]]&gt;=1000,"High",(IF(Table15[[#This Row],[Total Amount]]&gt;=500,"Medium","Low")))</f>
        <v>High</v>
      </c>
      <c r="M90" s="4" t="str" cm="1">
        <f t="array" ref="M9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0" s="4" cm="1">
        <f t="array" ref="N9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90" s="4">
        <f>Table15[[#This Row],[Total Amount]]-Table15[[#This Row],[Discount Amount]]</f>
        <v>1600</v>
      </c>
    </row>
    <row r="91" spans="1:15" x14ac:dyDescent="0.35">
      <c r="A91" s="4">
        <v>90</v>
      </c>
      <c r="B91" s="5">
        <v>45052</v>
      </c>
      <c r="C91" s="4" t="s">
        <v>103</v>
      </c>
      <c r="D91" s="4" t="s">
        <v>13</v>
      </c>
      <c r="E91" s="4">
        <v>51</v>
      </c>
      <c r="F91" s="4" t="str">
        <f>IF(Table15[[#This Row],[Age]]&lt;=19,"Teenager",IF(Table15[[#This Row],[Age]]&lt;=40,"Median","Old"))</f>
        <v>Old</v>
      </c>
      <c r="G91" s="4" t="s">
        <v>16</v>
      </c>
      <c r="H91" s="4">
        <v>1</v>
      </c>
      <c r="I91" s="4">
        <v>30</v>
      </c>
      <c r="J91" s="4">
        <v>30</v>
      </c>
      <c r="K91" s="4" t="str" cm="1">
        <f t="array" ref="K91">_xlfn.IFS(AND(Table15[[#This Row],[Total Amount]]&gt;=1500),"Critical",AND(Table15[[#This Row],[Total Amount]]&gt;=1000),"High",TRUE,"Normal")</f>
        <v>Normal</v>
      </c>
      <c r="L91" s="4" t="str">
        <f>IF(Table15[[#This Row],[Total Amount]]&gt;=1000,"High",(IF(Table15[[#This Row],[Total Amount]]&gt;=500,"Medium","Low")))</f>
        <v>Low</v>
      </c>
      <c r="M91" s="4" t="str" cm="1">
        <f t="array" ref="M9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1" s="4" cm="1">
        <f t="array" ref="N9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91" s="4">
        <f>Table15[[#This Row],[Total Amount]]-Table15[[#This Row],[Discount Amount]]</f>
        <v>24</v>
      </c>
    </row>
    <row r="92" spans="1:15" x14ac:dyDescent="0.35">
      <c r="A92" s="4">
        <v>91</v>
      </c>
      <c r="B92" s="5">
        <v>45010</v>
      </c>
      <c r="C92" s="4" t="s">
        <v>104</v>
      </c>
      <c r="D92" s="4" t="s">
        <v>13</v>
      </c>
      <c r="E92" s="4">
        <v>55</v>
      </c>
      <c r="F92" s="4" t="str">
        <f>IF(Table15[[#This Row],[Age]]&lt;=19,"Teenager",IF(Table15[[#This Row],[Age]]&lt;=40,"Median","Old"))</f>
        <v>Old</v>
      </c>
      <c r="G92" s="4" t="s">
        <v>16</v>
      </c>
      <c r="H92" s="4">
        <v>1</v>
      </c>
      <c r="I92" s="4">
        <v>500</v>
      </c>
      <c r="J92" s="4">
        <v>500</v>
      </c>
      <c r="K92" s="4" t="str" cm="1">
        <f t="array" ref="K92">_xlfn.IFS(AND(Table15[[#This Row],[Total Amount]]&gt;=1500),"Critical",AND(Table15[[#This Row],[Total Amount]]&gt;=1000),"High",TRUE,"Normal")</f>
        <v>Normal</v>
      </c>
      <c r="L92" s="4" t="str">
        <f>IF(Table15[[#This Row],[Total Amount]]&gt;=1000,"High",(IF(Table15[[#This Row],[Total Amount]]&gt;=500,"Medium","Low")))</f>
        <v>Medium</v>
      </c>
      <c r="M92" s="4" t="str" cm="1">
        <f t="array" ref="M9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2" s="4" cm="1">
        <f t="array" ref="N9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92" s="4">
        <f>Table15[[#This Row],[Total Amount]]-Table15[[#This Row],[Discount Amount]]</f>
        <v>400</v>
      </c>
    </row>
    <row r="93" spans="1:15" x14ac:dyDescent="0.35">
      <c r="A93" s="4">
        <v>92</v>
      </c>
      <c r="B93" s="5">
        <v>45163</v>
      </c>
      <c r="C93" s="4" t="s">
        <v>105</v>
      </c>
      <c r="D93" s="4" t="s">
        <v>13</v>
      </c>
      <c r="E93" s="4">
        <v>51</v>
      </c>
      <c r="F93" s="4" t="str">
        <f>IF(Table15[[#This Row],[Age]]&lt;=19,"Teenager",IF(Table15[[#This Row],[Age]]&lt;=40,"Median","Old"))</f>
        <v>Old</v>
      </c>
      <c r="G93" s="4" t="s">
        <v>16</v>
      </c>
      <c r="H93" s="4">
        <v>4</v>
      </c>
      <c r="I93" s="4">
        <v>30</v>
      </c>
      <c r="J93" s="4">
        <v>120</v>
      </c>
      <c r="K93" s="4" t="str" cm="1">
        <f t="array" ref="K93">_xlfn.IFS(AND(Table15[[#This Row],[Total Amount]]&gt;=1500),"Critical",AND(Table15[[#This Row],[Total Amount]]&gt;=1000),"High",TRUE,"Normal")</f>
        <v>Normal</v>
      </c>
      <c r="L93" s="4" t="str">
        <f>IF(Table15[[#This Row],[Total Amount]]&gt;=1000,"High",(IF(Table15[[#This Row],[Total Amount]]&gt;=500,"Medium","Low")))</f>
        <v>Low</v>
      </c>
      <c r="M93" s="4" t="str" cm="1">
        <f t="array" ref="M9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3" s="4" cm="1">
        <f t="array" ref="N9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93" s="4">
        <f>Table15[[#This Row],[Total Amount]]-Table15[[#This Row],[Discount Amount]]</f>
        <v>96</v>
      </c>
    </row>
    <row r="94" spans="1:15" x14ac:dyDescent="0.35">
      <c r="A94" s="4">
        <v>93</v>
      </c>
      <c r="B94" s="5">
        <v>45121</v>
      </c>
      <c r="C94" s="4" t="s">
        <v>106</v>
      </c>
      <c r="D94" s="4" t="s">
        <v>13</v>
      </c>
      <c r="E94" s="4">
        <v>35</v>
      </c>
      <c r="F94" s="4" t="str">
        <f>IF(Table15[[#This Row],[Age]]&lt;=19,"Teenager",IF(Table15[[#This Row],[Age]]&lt;=40,"Median","Old"))</f>
        <v>Median</v>
      </c>
      <c r="G94" s="4" t="s">
        <v>11</v>
      </c>
      <c r="H94" s="4">
        <v>4</v>
      </c>
      <c r="I94" s="4">
        <v>500</v>
      </c>
      <c r="J94" s="4">
        <v>2000</v>
      </c>
      <c r="K94" s="4" t="str" cm="1">
        <f t="array" ref="K94">_xlfn.IFS(AND(Table15[[#This Row],[Total Amount]]&gt;=1500),"Critical",AND(Table15[[#This Row],[Total Amount]]&gt;=1000),"High",TRUE,"Normal")</f>
        <v>Critical</v>
      </c>
      <c r="L94" s="4" t="str">
        <f>IF(Table15[[#This Row],[Total Amount]]&gt;=1000,"High",(IF(Table15[[#This Row],[Total Amount]]&gt;=500,"Medium","Low")))</f>
        <v>High</v>
      </c>
      <c r="M94" s="4" t="str" cm="1">
        <f t="array" ref="M9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4" s="4" cm="1">
        <f t="array" ref="N9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94" s="4">
        <f>Table15[[#This Row],[Total Amount]]-Table15[[#This Row],[Discount Amount]]</f>
        <v>1600</v>
      </c>
    </row>
    <row r="95" spans="1:15" x14ac:dyDescent="0.35">
      <c r="A95" s="4">
        <v>94</v>
      </c>
      <c r="B95" s="5">
        <v>45065</v>
      </c>
      <c r="C95" s="4" t="s">
        <v>107</v>
      </c>
      <c r="D95" s="4" t="s">
        <v>13</v>
      </c>
      <c r="E95" s="4">
        <v>47</v>
      </c>
      <c r="F95" s="4" t="str">
        <f>IF(Table15[[#This Row],[Age]]&lt;=19,"Teenager",IF(Table15[[#This Row],[Age]]&lt;=40,"Median","Old"))</f>
        <v>Old</v>
      </c>
      <c r="G95" s="4" t="s">
        <v>11</v>
      </c>
      <c r="H95" s="4">
        <v>2</v>
      </c>
      <c r="I95" s="4">
        <v>500</v>
      </c>
      <c r="J95" s="4">
        <v>1000</v>
      </c>
      <c r="K95" s="4" t="str" cm="1">
        <f t="array" ref="K95">_xlfn.IFS(AND(Table15[[#This Row],[Total Amount]]&gt;=1500),"Critical",AND(Table15[[#This Row],[Total Amount]]&gt;=1000),"High",TRUE,"Normal")</f>
        <v>High</v>
      </c>
      <c r="L95" s="4" t="str">
        <f>IF(Table15[[#This Row],[Total Amount]]&gt;=1000,"High",(IF(Table15[[#This Row],[Total Amount]]&gt;=500,"Medium","Low")))</f>
        <v>High</v>
      </c>
      <c r="M95" s="4" t="str" cm="1">
        <f t="array" ref="M9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5" s="4" cm="1">
        <f t="array" ref="N9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95" s="4">
        <f>Table15[[#This Row],[Total Amount]]-Table15[[#This Row],[Discount Amount]]</f>
        <v>800</v>
      </c>
    </row>
    <row r="96" spans="1:15" x14ac:dyDescent="0.35">
      <c r="A96" s="4">
        <v>95</v>
      </c>
      <c r="B96" s="5">
        <v>45254</v>
      </c>
      <c r="C96" s="4" t="s">
        <v>108</v>
      </c>
      <c r="D96" s="4" t="s">
        <v>13</v>
      </c>
      <c r="E96" s="4">
        <v>32</v>
      </c>
      <c r="F96" s="4" t="str">
        <f>IF(Table15[[#This Row],[Age]]&lt;=19,"Teenager",IF(Table15[[#This Row],[Age]]&lt;=40,"Median","Old"))</f>
        <v>Median</v>
      </c>
      <c r="G96" s="4" t="s">
        <v>14</v>
      </c>
      <c r="H96" s="4">
        <v>2</v>
      </c>
      <c r="I96" s="4">
        <v>30</v>
      </c>
      <c r="J96" s="4">
        <v>60</v>
      </c>
      <c r="K96" s="4" t="str" cm="1">
        <f t="array" ref="K96">_xlfn.IFS(AND(Table15[[#This Row],[Total Amount]]&gt;=1500),"Critical",AND(Table15[[#This Row],[Total Amount]]&gt;=1000),"High",TRUE,"Normal")</f>
        <v>Normal</v>
      </c>
      <c r="L96" s="4" t="str">
        <f>IF(Table15[[#This Row],[Total Amount]]&gt;=1000,"High",(IF(Table15[[#This Row],[Total Amount]]&gt;=500,"Medium","Low")))</f>
        <v>Low</v>
      </c>
      <c r="M96" s="4" t="str" cm="1">
        <f t="array" ref="M9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6" s="4" cm="1">
        <f t="array" ref="N9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96" s="4">
        <f>Table15[[#This Row],[Total Amount]]-Table15[[#This Row],[Discount Amount]]</f>
        <v>51</v>
      </c>
    </row>
    <row r="97" spans="1:15" x14ac:dyDescent="0.35">
      <c r="A97" s="4">
        <v>96</v>
      </c>
      <c r="B97" s="5">
        <v>45279</v>
      </c>
      <c r="C97" s="4" t="s">
        <v>109</v>
      </c>
      <c r="D97" s="4" t="s">
        <v>13</v>
      </c>
      <c r="E97" s="4">
        <v>44</v>
      </c>
      <c r="F97" s="4" t="str">
        <f>IF(Table15[[#This Row],[Age]]&lt;=19,"Teenager",IF(Table15[[#This Row],[Age]]&lt;=40,"Median","Old"))</f>
        <v>Old</v>
      </c>
      <c r="G97" s="4" t="s">
        <v>14</v>
      </c>
      <c r="H97" s="4">
        <v>2</v>
      </c>
      <c r="I97" s="4">
        <v>300</v>
      </c>
      <c r="J97" s="4">
        <v>600</v>
      </c>
      <c r="K97" s="4" t="str" cm="1">
        <f t="array" ref="K97">_xlfn.IFS(AND(Table15[[#This Row],[Total Amount]]&gt;=1500),"Critical",AND(Table15[[#This Row],[Total Amount]]&gt;=1000),"High",TRUE,"Normal")</f>
        <v>Normal</v>
      </c>
      <c r="L97" s="4" t="str">
        <f>IF(Table15[[#This Row],[Total Amount]]&gt;=1000,"High",(IF(Table15[[#This Row],[Total Amount]]&gt;=500,"Medium","Low")))</f>
        <v>Medium</v>
      </c>
      <c r="M97" s="4" t="str" cm="1">
        <f t="array" ref="M9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7" s="4" cm="1">
        <f t="array" ref="N9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97" s="4">
        <f>Table15[[#This Row],[Total Amount]]-Table15[[#This Row],[Discount Amount]]</f>
        <v>480</v>
      </c>
    </row>
    <row r="98" spans="1:15" x14ac:dyDescent="0.35">
      <c r="A98" s="4">
        <v>97</v>
      </c>
      <c r="B98" s="5">
        <v>45212</v>
      </c>
      <c r="C98" s="4" t="s">
        <v>110</v>
      </c>
      <c r="D98" s="4" t="s">
        <v>13</v>
      </c>
      <c r="E98" s="4">
        <v>51</v>
      </c>
      <c r="F98" s="4" t="str">
        <f>IF(Table15[[#This Row],[Age]]&lt;=19,"Teenager",IF(Table15[[#This Row],[Age]]&lt;=40,"Median","Old"))</f>
        <v>Old</v>
      </c>
      <c r="G98" s="4" t="s">
        <v>11</v>
      </c>
      <c r="H98" s="4">
        <v>2</v>
      </c>
      <c r="I98" s="4">
        <v>500</v>
      </c>
      <c r="J98" s="4">
        <v>1000</v>
      </c>
      <c r="K98" s="4" t="str" cm="1">
        <f t="array" ref="K98">_xlfn.IFS(AND(Table15[[#This Row],[Total Amount]]&gt;=1500),"Critical",AND(Table15[[#This Row],[Total Amount]]&gt;=1000),"High",TRUE,"Normal")</f>
        <v>High</v>
      </c>
      <c r="L98" s="4" t="str">
        <f>IF(Table15[[#This Row],[Total Amount]]&gt;=1000,"High",(IF(Table15[[#This Row],[Total Amount]]&gt;=500,"Medium","Low")))</f>
        <v>High</v>
      </c>
      <c r="M98" s="4" t="str" cm="1">
        <f t="array" ref="M9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8" s="4" cm="1">
        <f t="array" ref="N9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98" s="4">
        <f>Table15[[#This Row],[Total Amount]]-Table15[[#This Row],[Discount Amount]]</f>
        <v>800</v>
      </c>
    </row>
    <row r="99" spans="1:15" x14ac:dyDescent="0.35">
      <c r="A99" s="4">
        <v>98</v>
      </c>
      <c r="B99" s="5">
        <v>45039</v>
      </c>
      <c r="C99" s="4" t="s">
        <v>111</v>
      </c>
      <c r="D99" s="4" t="s">
        <v>13</v>
      </c>
      <c r="E99" s="4">
        <v>55</v>
      </c>
      <c r="F99" s="4" t="str">
        <f>IF(Table15[[#This Row],[Age]]&lt;=19,"Teenager",IF(Table15[[#This Row],[Age]]&lt;=40,"Median","Old"))</f>
        <v>Old</v>
      </c>
      <c r="G99" s="4" t="s">
        <v>11</v>
      </c>
      <c r="H99" s="4">
        <v>2</v>
      </c>
      <c r="I99" s="4">
        <v>50</v>
      </c>
      <c r="J99" s="4">
        <v>100</v>
      </c>
      <c r="K99" s="4" t="str" cm="1">
        <f t="array" ref="K99">_xlfn.IFS(AND(Table15[[#This Row],[Total Amount]]&gt;=1500),"Critical",AND(Table15[[#This Row],[Total Amount]]&gt;=1000),"High",TRUE,"Normal")</f>
        <v>Normal</v>
      </c>
      <c r="L99" s="4" t="str">
        <f>IF(Table15[[#This Row],[Total Amount]]&gt;=1000,"High",(IF(Table15[[#This Row],[Total Amount]]&gt;=500,"Medium","Low")))</f>
        <v>Low</v>
      </c>
      <c r="M99" s="4" t="str" cm="1">
        <f t="array" ref="M9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9" s="4" cm="1">
        <f t="array" ref="N9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99" s="4">
        <f>Table15[[#This Row],[Total Amount]]-Table15[[#This Row],[Discount Amount]]</f>
        <v>80</v>
      </c>
    </row>
    <row r="100" spans="1:15" x14ac:dyDescent="0.35">
      <c r="A100" s="4">
        <v>99</v>
      </c>
      <c r="B100" s="5">
        <v>45277</v>
      </c>
      <c r="C100" s="4" t="s">
        <v>112</v>
      </c>
      <c r="D100" s="4" t="s">
        <v>13</v>
      </c>
      <c r="E100" s="4">
        <v>50</v>
      </c>
      <c r="F100" s="4" t="str">
        <f>IF(Table15[[#This Row],[Age]]&lt;=19,"Teenager",IF(Table15[[#This Row],[Age]]&lt;=40,"Median","Old"))</f>
        <v>Old</v>
      </c>
      <c r="G100" s="4" t="s">
        <v>16</v>
      </c>
      <c r="H100" s="4">
        <v>4</v>
      </c>
      <c r="I100" s="4">
        <v>300</v>
      </c>
      <c r="J100" s="4">
        <v>1200</v>
      </c>
      <c r="K100" s="4" t="str" cm="1">
        <f t="array" ref="K100">_xlfn.IFS(AND(Table15[[#This Row],[Total Amount]]&gt;=1500),"Critical",AND(Table15[[#This Row],[Total Amount]]&gt;=1000),"High",TRUE,"Normal")</f>
        <v>High</v>
      </c>
      <c r="L100" s="4" t="str">
        <f>IF(Table15[[#This Row],[Total Amount]]&gt;=1000,"High",(IF(Table15[[#This Row],[Total Amount]]&gt;=500,"Medium","Low")))</f>
        <v>High</v>
      </c>
      <c r="M100" s="4" t="str" cm="1">
        <f t="array" ref="M10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00" s="4" cm="1">
        <f t="array" ref="N10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100" s="4">
        <f>Table15[[#This Row],[Total Amount]]-Table15[[#This Row],[Discount Amount]]</f>
        <v>960</v>
      </c>
    </row>
    <row r="101" spans="1:15" x14ac:dyDescent="0.35">
      <c r="A101" s="4">
        <v>100</v>
      </c>
      <c r="B101" s="5">
        <v>45093</v>
      </c>
      <c r="C101" s="4" t="s">
        <v>113</v>
      </c>
      <c r="D101" s="4" t="s">
        <v>10</v>
      </c>
      <c r="E101" s="4">
        <v>41</v>
      </c>
      <c r="F101" s="4" t="str">
        <f>IF(Table15[[#This Row],[Age]]&lt;=19,"Teenager",IF(Table15[[#This Row],[Age]]&lt;=40,"Median","Old"))</f>
        <v>Old</v>
      </c>
      <c r="G101" s="4" t="s">
        <v>16</v>
      </c>
      <c r="H101" s="4">
        <v>1</v>
      </c>
      <c r="I101" s="4">
        <v>30</v>
      </c>
      <c r="J101" s="4">
        <v>30</v>
      </c>
      <c r="K101" s="4" t="str" cm="1">
        <f t="array" ref="K101">_xlfn.IFS(AND(Table15[[#This Row],[Total Amount]]&gt;=1500),"Critical",AND(Table15[[#This Row],[Total Amount]]&gt;=1000),"High",TRUE,"Normal")</f>
        <v>Normal</v>
      </c>
      <c r="L101" s="4" t="str">
        <f>IF(Table15[[#This Row],[Total Amount]]&gt;=1000,"High",(IF(Table15[[#This Row],[Total Amount]]&gt;=500,"Medium","Low")))</f>
        <v>Low</v>
      </c>
      <c r="M101" s="4" t="str" cm="1">
        <f t="array" ref="M10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01" s="4" cm="1">
        <f t="array" ref="N10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101" s="4">
        <f>Table15[[#This Row],[Total Amount]]-Table15[[#This Row],[Discount Amount]]</f>
        <v>27</v>
      </c>
    </row>
    <row r="102" spans="1:15" x14ac:dyDescent="0.35">
      <c r="A102" s="4">
        <v>101</v>
      </c>
      <c r="B102" s="5">
        <v>44955</v>
      </c>
      <c r="C102" s="4" t="s">
        <v>114</v>
      </c>
      <c r="D102" s="4" t="s">
        <v>10</v>
      </c>
      <c r="E102" s="4">
        <v>32</v>
      </c>
      <c r="F102" s="4" t="str">
        <f>IF(Table15[[#This Row],[Age]]&lt;=19,"Teenager",IF(Table15[[#This Row],[Age]]&lt;=40,"Median","Old"))</f>
        <v>Median</v>
      </c>
      <c r="G102" s="4" t="s">
        <v>14</v>
      </c>
      <c r="H102" s="4">
        <v>2</v>
      </c>
      <c r="I102" s="4">
        <v>300</v>
      </c>
      <c r="J102" s="4">
        <v>600</v>
      </c>
      <c r="K102" s="4" t="str" cm="1">
        <f t="array" ref="K102">_xlfn.IFS(AND(Table15[[#This Row],[Total Amount]]&gt;=1500),"Critical",AND(Table15[[#This Row],[Total Amount]]&gt;=1000),"High",TRUE,"Normal")</f>
        <v>Normal</v>
      </c>
      <c r="L102" s="4" t="str">
        <f>IF(Table15[[#This Row],[Total Amount]]&gt;=1000,"High",(IF(Table15[[#This Row],[Total Amount]]&gt;=500,"Medium","Low")))</f>
        <v>Medium</v>
      </c>
      <c r="M102" s="4" t="str" cm="1">
        <f t="array" ref="M10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02" s="4" cm="1">
        <f t="array" ref="N10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102" s="4">
        <f>Table15[[#This Row],[Total Amount]]-Table15[[#This Row],[Discount Amount]]</f>
        <v>510</v>
      </c>
    </row>
    <row r="103" spans="1:15" x14ac:dyDescent="0.35">
      <c r="A103" s="4">
        <v>102</v>
      </c>
      <c r="B103" s="5">
        <v>45044</v>
      </c>
      <c r="C103" s="4" t="s">
        <v>115</v>
      </c>
      <c r="D103" s="4" t="s">
        <v>13</v>
      </c>
      <c r="E103" s="4">
        <v>47</v>
      </c>
      <c r="F103" s="4" t="str">
        <f>IF(Table15[[#This Row],[Age]]&lt;=19,"Teenager",IF(Table15[[#This Row],[Age]]&lt;=40,"Median","Old"))</f>
        <v>Old</v>
      </c>
      <c r="G103" s="4" t="s">
        <v>11</v>
      </c>
      <c r="H103" s="4">
        <v>2</v>
      </c>
      <c r="I103" s="4">
        <v>25</v>
      </c>
      <c r="J103" s="4">
        <v>50</v>
      </c>
      <c r="K103" s="4" t="str" cm="1">
        <f t="array" ref="K103">_xlfn.IFS(AND(Table15[[#This Row],[Total Amount]]&gt;=1500),"Critical",AND(Table15[[#This Row],[Total Amount]]&gt;=1000),"High",TRUE,"Normal")</f>
        <v>Normal</v>
      </c>
      <c r="L103" s="4" t="str">
        <f>IF(Table15[[#This Row],[Total Amount]]&gt;=1000,"High",(IF(Table15[[#This Row],[Total Amount]]&gt;=500,"Medium","Low")))</f>
        <v>Low</v>
      </c>
      <c r="M103" s="4" t="str" cm="1">
        <f t="array" ref="M10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03" s="4" cm="1">
        <f t="array" ref="N10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103" s="4">
        <f>Table15[[#This Row],[Total Amount]]-Table15[[#This Row],[Discount Amount]]</f>
        <v>40</v>
      </c>
    </row>
    <row r="104" spans="1:15" x14ac:dyDescent="0.35">
      <c r="A104" s="4">
        <v>103</v>
      </c>
      <c r="B104" s="5">
        <v>44943</v>
      </c>
      <c r="C104" s="4" t="s">
        <v>116</v>
      </c>
      <c r="D104" s="4" t="s">
        <v>13</v>
      </c>
      <c r="E104" s="4">
        <v>59</v>
      </c>
      <c r="F104" s="4" t="str">
        <f>IF(Table15[[#This Row],[Age]]&lt;=19,"Teenager",IF(Table15[[#This Row],[Age]]&lt;=40,"Median","Old"))</f>
        <v>Old</v>
      </c>
      <c r="G104" s="4" t="s">
        <v>14</v>
      </c>
      <c r="H104" s="4">
        <v>1</v>
      </c>
      <c r="I104" s="4">
        <v>25</v>
      </c>
      <c r="J104" s="4">
        <v>25</v>
      </c>
      <c r="K104" s="4" t="str" cm="1">
        <f t="array" ref="K104">_xlfn.IFS(AND(Table15[[#This Row],[Total Amount]]&gt;=1500),"Critical",AND(Table15[[#This Row],[Total Amount]]&gt;=1000),"High",TRUE,"Normal")</f>
        <v>Normal</v>
      </c>
      <c r="L104" s="4" t="str">
        <f>IF(Table15[[#This Row],[Total Amount]]&gt;=1000,"High",(IF(Table15[[#This Row],[Total Amount]]&gt;=500,"Medium","Low")))</f>
        <v>Low</v>
      </c>
      <c r="M104" s="4" t="str" cm="1">
        <f t="array" ref="M10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04" s="4" cm="1">
        <f t="array" ref="N10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104" s="4">
        <f>Table15[[#This Row],[Total Amount]]-Table15[[#This Row],[Discount Amount]]</f>
        <v>20</v>
      </c>
    </row>
    <row r="105" spans="1:15" x14ac:dyDescent="0.35">
      <c r="A105" s="4">
        <v>104</v>
      </c>
      <c r="B105" s="5">
        <v>45088</v>
      </c>
      <c r="C105" s="4" t="s">
        <v>117</v>
      </c>
      <c r="D105" s="4" t="s">
        <v>13</v>
      </c>
      <c r="E105" s="4">
        <v>34</v>
      </c>
      <c r="F105" s="4" t="str">
        <f>IF(Table15[[#This Row],[Age]]&lt;=19,"Teenager",IF(Table15[[#This Row],[Age]]&lt;=40,"Median","Old"))</f>
        <v>Median</v>
      </c>
      <c r="G105" s="4" t="s">
        <v>11</v>
      </c>
      <c r="H105" s="4">
        <v>2</v>
      </c>
      <c r="I105" s="4">
        <v>500</v>
      </c>
      <c r="J105" s="4">
        <v>1000</v>
      </c>
      <c r="K105" s="4" t="str" cm="1">
        <f t="array" ref="K105">_xlfn.IFS(AND(Table15[[#This Row],[Total Amount]]&gt;=1500),"Critical",AND(Table15[[#This Row],[Total Amount]]&gt;=1000),"High",TRUE,"Normal")</f>
        <v>High</v>
      </c>
      <c r="L105" s="4" t="str">
        <f>IF(Table15[[#This Row],[Total Amount]]&gt;=1000,"High",(IF(Table15[[#This Row],[Total Amount]]&gt;=500,"Medium","Low")))</f>
        <v>High</v>
      </c>
      <c r="M105" s="4" t="str" cm="1">
        <f t="array" ref="M10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05" s="4" cm="1">
        <f t="array" ref="N10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105" s="4">
        <f>Table15[[#This Row],[Total Amount]]-Table15[[#This Row],[Discount Amount]]</f>
        <v>850</v>
      </c>
    </row>
    <row r="106" spans="1:15" x14ac:dyDescent="0.35">
      <c r="A106" s="4">
        <v>105</v>
      </c>
      <c r="B106" s="5">
        <v>45132</v>
      </c>
      <c r="C106" s="4" t="s">
        <v>118</v>
      </c>
      <c r="D106" s="4" t="s">
        <v>13</v>
      </c>
      <c r="E106" s="4">
        <v>22</v>
      </c>
      <c r="F106" s="4" t="str">
        <f>IF(Table15[[#This Row],[Age]]&lt;=19,"Teenager",IF(Table15[[#This Row],[Age]]&lt;=40,"Median","Old"))</f>
        <v>Median</v>
      </c>
      <c r="G106" s="4" t="s">
        <v>16</v>
      </c>
      <c r="H106" s="4">
        <v>1</v>
      </c>
      <c r="I106" s="4">
        <v>500</v>
      </c>
      <c r="J106" s="4">
        <v>500</v>
      </c>
      <c r="K106" s="4" t="str" cm="1">
        <f t="array" ref="K106">_xlfn.IFS(AND(Table15[[#This Row],[Total Amount]]&gt;=1500),"Critical",AND(Table15[[#This Row],[Total Amount]]&gt;=1000),"High",TRUE,"Normal")</f>
        <v>Normal</v>
      </c>
      <c r="L106" s="4" t="str">
        <f>IF(Table15[[#This Row],[Total Amount]]&gt;=1000,"High",(IF(Table15[[#This Row],[Total Amount]]&gt;=500,"Medium","Low")))</f>
        <v>Medium</v>
      </c>
      <c r="M106" s="4" t="str" cm="1">
        <f t="array" ref="M10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06" s="4" cm="1">
        <f t="array" ref="N10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06" s="4">
        <f>Table15[[#This Row],[Total Amount]]-Table15[[#This Row],[Discount Amount]]</f>
        <v>500</v>
      </c>
    </row>
    <row r="107" spans="1:15" x14ac:dyDescent="0.35">
      <c r="A107" s="4">
        <v>106</v>
      </c>
      <c r="B107" s="5">
        <v>45064</v>
      </c>
      <c r="C107" s="4" t="s">
        <v>119</v>
      </c>
      <c r="D107" s="4" t="s">
        <v>13</v>
      </c>
      <c r="E107" s="4">
        <v>46</v>
      </c>
      <c r="F107" s="4" t="str">
        <f>IF(Table15[[#This Row],[Age]]&lt;=19,"Teenager",IF(Table15[[#This Row],[Age]]&lt;=40,"Median","Old"))</f>
        <v>Old</v>
      </c>
      <c r="G107" s="4" t="s">
        <v>14</v>
      </c>
      <c r="H107" s="4">
        <v>1</v>
      </c>
      <c r="I107" s="4">
        <v>50</v>
      </c>
      <c r="J107" s="4">
        <v>50</v>
      </c>
      <c r="K107" s="4" t="str" cm="1">
        <f t="array" ref="K107">_xlfn.IFS(AND(Table15[[#This Row],[Total Amount]]&gt;=1500),"Critical",AND(Table15[[#This Row],[Total Amount]]&gt;=1000),"High",TRUE,"Normal")</f>
        <v>Normal</v>
      </c>
      <c r="L107" s="4" t="str">
        <f>IF(Table15[[#This Row],[Total Amount]]&gt;=1000,"High",(IF(Table15[[#This Row],[Total Amount]]&gt;=500,"Medium","Low")))</f>
        <v>Low</v>
      </c>
      <c r="M107" s="4" t="str" cm="1">
        <f t="array" ref="M10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07" s="4" cm="1">
        <f t="array" ref="N10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107" s="4">
        <f>Table15[[#This Row],[Total Amount]]-Table15[[#This Row],[Discount Amount]]</f>
        <v>40</v>
      </c>
    </row>
    <row r="108" spans="1:15" x14ac:dyDescent="0.35">
      <c r="A108" s="4">
        <v>107</v>
      </c>
      <c r="B108" s="5">
        <v>44960</v>
      </c>
      <c r="C108" s="4" t="s">
        <v>120</v>
      </c>
      <c r="D108" s="4" t="s">
        <v>13</v>
      </c>
      <c r="E108" s="4">
        <v>21</v>
      </c>
      <c r="F108" s="4" t="str">
        <f>IF(Table15[[#This Row],[Age]]&lt;=19,"Teenager",IF(Table15[[#This Row],[Age]]&lt;=40,"Median","Old"))</f>
        <v>Median</v>
      </c>
      <c r="G108" s="4" t="s">
        <v>14</v>
      </c>
      <c r="H108" s="4">
        <v>4</v>
      </c>
      <c r="I108" s="4">
        <v>300</v>
      </c>
      <c r="J108" s="4">
        <v>1200</v>
      </c>
      <c r="K108" s="4" t="str" cm="1">
        <f t="array" ref="K108">_xlfn.IFS(AND(Table15[[#This Row],[Total Amount]]&gt;=1500),"Critical",AND(Table15[[#This Row],[Total Amount]]&gt;=1000),"High",TRUE,"Normal")</f>
        <v>High</v>
      </c>
      <c r="L108" s="4" t="str">
        <f>IF(Table15[[#This Row],[Total Amount]]&gt;=1000,"High",(IF(Table15[[#This Row],[Total Amount]]&gt;=500,"Medium","Low")))</f>
        <v>High</v>
      </c>
      <c r="M108" s="4" t="str" cm="1">
        <f t="array" ref="M10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08" s="4" cm="1">
        <f t="array" ref="N10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08" s="4">
        <f>Table15[[#This Row],[Total Amount]]-Table15[[#This Row],[Discount Amount]]</f>
        <v>1200</v>
      </c>
    </row>
    <row r="109" spans="1:15" x14ac:dyDescent="0.35">
      <c r="A109" s="4">
        <v>108</v>
      </c>
      <c r="B109" s="5">
        <v>45035</v>
      </c>
      <c r="C109" s="4" t="s">
        <v>121</v>
      </c>
      <c r="D109" s="4" t="s">
        <v>13</v>
      </c>
      <c r="E109" s="4">
        <v>27</v>
      </c>
      <c r="F109" s="4" t="str">
        <f>IF(Table15[[#This Row],[Age]]&lt;=19,"Teenager",IF(Table15[[#This Row],[Age]]&lt;=40,"Median","Old"))</f>
        <v>Median</v>
      </c>
      <c r="G109" s="4" t="s">
        <v>11</v>
      </c>
      <c r="H109" s="4">
        <v>3</v>
      </c>
      <c r="I109" s="4">
        <v>25</v>
      </c>
      <c r="J109" s="4">
        <v>75</v>
      </c>
      <c r="K109" s="4" t="str" cm="1">
        <f t="array" ref="K109">_xlfn.IFS(AND(Table15[[#This Row],[Total Amount]]&gt;=1500),"Critical",AND(Table15[[#This Row],[Total Amount]]&gt;=1000),"High",TRUE,"Normal")</f>
        <v>Normal</v>
      </c>
      <c r="L109" s="4" t="str">
        <f>IF(Table15[[#This Row],[Total Amount]]&gt;=1000,"High",(IF(Table15[[#This Row],[Total Amount]]&gt;=500,"Medium","Low")))</f>
        <v>Low</v>
      </c>
      <c r="M109" s="4" t="str" cm="1">
        <f t="array" ref="M10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09" s="4" cm="1">
        <f t="array" ref="N10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11.25</v>
      </c>
      <c r="O109" s="4">
        <f>Table15[[#This Row],[Total Amount]]-Table15[[#This Row],[Discount Amount]]</f>
        <v>63.75</v>
      </c>
    </row>
    <row r="110" spans="1:15" x14ac:dyDescent="0.35">
      <c r="A110" s="4">
        <v>109</v>
      </c>
      <c r="B110" s="5">
        <v>45217</v>
      </c>
      <c r="C110" s="4" t="s">
        <v>122</v>
      </c>
      <c r="D110" s="4" t="s">
        <v>13</v>
      </c>
      <c r="E110" s="4">
        <v>34</v>
      </c>
      <c r="F110" s="4" t="str">
        <f>IF(Table15[[#This Row],[Age]]&lt;=19,"Teenager",IF(Table15[[#This Row],[Age]]&lt;=40,"Median","Old"))</f>
        <v>Median</v>
      </c>
      <c r="G110" s="4" t="s">
        <v>16</v>
      </c>
      <c r="H110" s="4">
        <v>4</v>
      </c>
      <c r="I110" s="4">
        <v>500</v>
      </c>
      <c r="J110" s="4">
        <v>2000</v>
      </c>
      <c r="K110" s="4" t="str" cm="1">
        <f t="array" ref="K110">_xlfn.IFS(AND(Table15[[#This Row],[Total Amount]]&gt;=1500),"Critical",AND(Table15[[#This Row],[Total Amount]]&gt;=1000),"High",TRUE,"Normal")</f>
        <v>Critical</v>
      </c>
      <c r="L110" s="4" t="str">
        <f>IF(Table15[[#This Row],[Total Amount]]&gt;=1000,"High",(IF(Table15[[#This Row],[Total Amount]]&gt;=500,"Medium","Low")))</f>
        <v>High</v>
      </c>
      <c r="M110" s="4" t="str" cm="1">
        <f t="array" ref="M11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10" s="4" cm="1">
        <f t="array" ref="N11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110" s="4">
        <f>Table15[[#This Row],[Total Amount]]-Table15[[#This Row],[Discount Amount]]</f>
        <v>1700</v>
      </c>
    </row>
    <row r="111" spans="1:15" x14ac:dyDescent="0.35">
      <c r="A111" s="4">
        <v>110</v>
      </c>
      <c r="B111" s="5">
        <v>45088</v>
      </c>
      <c r="C111" s="4" t="s">
        <v>123</v>
      </c>
      <c r="D111" s="4" t="s">
        <v>10</v>
      </c>
      <c r="E111" s="4">
        <v>27</v>
      </c>
      <c r="F111" s="4" t="str">
        <f>IF(Table15[[#This Row],[Age]]&lt;=19,"Teenager",IF(Table15[[#This Row],[Age]]&lt;=40,"Median","Old"))</f>
        <v>Median</v>
      </c>
      <c r="G111" s="4" t="s">
        <v>14</v>
      </c>
      <c r="H111" s="4">
        <v>3</v>
      </c>
      <c r="I111" s="4">
        <v>300</v>
      </c>
      <c r="J111" s="4">
        <v>900</v>
      </c>
      <c r="K111" s="4" t="str" cm="1">
        <f t="array" ref="K111">_xlfn.IFS(AND(Table15[[#This Row],[Total Amount]]&gt;=1500),"Critical",AND(Table15[[#This Row],[Total Amount]]&gt;=1000),"High",TRUE,"Normal")</f>
        <v>Normal</v>
      </c>
      <c r="L111" s="4" t="str">
        <f>IF(Table15[[#This Row],[Total Amount]]&gt;=1000,"High",(IF(Table15[[#This Row],[Total Amount]]&gt;=500,"Medium","Low")))</f>
        <v>Medium</v>
      </c>
      <c r="M111" s="4" t="str" cm="1">
        <f t="array" ref="M11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11" s="4" cm="1">
        <f t="array" ref="N11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135</v>
      </c>
      <c r="O111" s="4">
        <f>Table15[[#This Row],[Total Amount]]-Table15[[#This Row],[Discount Amount]]</f>
        <v>765</v>
      </c>
    </row>
    <row r="112" spans="1:15" x14ac:dyDescent="0.35">
      <c r="A112" s="4">
        <v>111</v>
      </c>
      <c r="B112" s="5">
        <v>45035</v>
      </c>
      <c r="C112" s="4" t="s">
        <v>124</v>
      </c>
      <c r="D112" s="4" t="s">
        <v>13</v>
      </c>
      <c r="E112" s="4">
        <v>34</v>
      </c>
      <c r="F112" s="4" t="str">
        <f>IF(Table15[[#This Row],[Age]]&lt;=19,"Teenager",IF(Table15[[#This Row],[Age]]&lt;=40,"Median","Old"))</f>
        <v>Median</v>
      </c>
      <c r="G112" s="4" t="s">
        <v>16</v>
      </c>
      <c r="H112" s="4">
        <v>3</v>
      </c>
      <c r="I112" s="4">
        <v>500</v>
      </c>
      <c r="J112" s="4">
        <v>1500</v>
      </c>
      <c r="K112" s="4" t="str" cm="1">
        <f t="array" ref="K112">_xlfn.IFS(AND(Table15[[#This Row],[Total Amount]]&gt;=1500),"Critical",AND(Table15[[#This Row],[Total Amount]]&gt;=1000),"High",TRUE,"Normal")</f>
        <v>Critical</v>
      </c>
      <c r="L112" s="4" t="str">
        <f>IF(Table15[[#This Row],[Total Amount]]&gt;=1000,"High",(IF(Table15[[#This Row],[Total Amount]]&gt;=500,"Medium","Low")))</f>
        <v>High</v>
      </c>
      <c r="M112" s="4" t="str" cm="1">
        <f t="array" ref="M11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12" s="4" cm="1">
        <f t="array" ref="N11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225</v>
      </c>
      <c r="O112" s="4">
        <f>Table15[[#This Row],[Total Amount]]-Table15[[#This Row],[Discount Amount]]</f>
        <v>1275</v>
      </c>
    </row>
    <row r="113" spans="1:15" x14ac:dyDescent="0.35">
      <c r="A113" s="4">
        <v>112</v>
      </c>
      <c r="B113" s="5">
        <v>45262</v>
      </c>
      <c r="C113" s="4" t="s">
        <v>125</v>
      </c>
      <c r="D113" s="4" t="s">
        <v>10</v>
      </c>
      <c r="E113" s="4">
        <v>37</v>
      </c>
      <c r="F113" s="4" t="str">
        <f>IF(Table15[[#This Row],[Age]]&lt;=19,"Teenager",IF(Table15[[#This Row],[Age]]&lt;=40,"Median","Old"))</f>
        <v>Median</v>
      </c>
      <c r="G113" s="4" t="s">
        <v>14</v>
      </c>
      <c r="H113" s="4">
        <v>3</v>
      </c>
      <c r="I113" s="4">
        <v>500</v>
      </c>
      <c r="J113" s="4">
        <v>1500</v>
      </c>
      <c r="K113" s="4" t="str" cm="1">
        <f t="array" ref="K113">_xlfn.IFS(AND(Table15[[#This Row],[Total Amount]]&gt;=1500),"Critical",AND(Table15[[#This Row],[Total Amount]]&gt;=1000),"High",TRUE,"Normal")</f>
        <v>Critical</v>
      </c>
      <c r="L113" s="4" t="str">
        <f>IF(Table15[[#This Row],[Total Amount]]&gt;=1000,"High",(IF(Table15[[#This Row],[Total Amount]]&gt;=500,"Medium","Low")))</f>
        <v>High</v>
      </c>
      <c r="M113" s="4" t="str" cm="1">
        <f t="array" ref="M11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13" s="4" cm="1">
        <f t="array" ref="N11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113" s="4">
        <f>Table15[[#This Row],[Total Amount]]-Table15[[#This Row],[Discount Amount]]</f>
        <v>1350</v>
      </c>
    </row>
    <row r="114" spans="1:15" x14ac:dyDescent="0.35">
      <c r="A114" s="4">
        <v>113</v>
      </c>
      <c r="B114" s="5">
        <v>45182</v>
      </c>
      <c r="C114" s="4" t="s">
        <v>126</v>
      </c>
      <c r="D114" s="4" t="s">
        <v>13</v>
      </c>
      <c r="E114" s="4">
        <v>41</v>
      </c>
      <c r="F114" s="4" t="str">
        <f>IF(Table15[[#This Row],[Age]]&lt;=19,"Teenager",IF(Table15[[#This Row],[Age]]&lt;=40,"Median","Old"))</f>
        <v>Old</v>
      </c>
      <c r="G114" s="4" t="s">
        <v>16</v>
      </c>
      <c r="H114" s="4">
        <v>2</v>
      </c>
      <c r="I114" s="4">
        <v>25</v>
      </c>
      <c r="J114" s="4">
        <v>50</v>
      </c>
      <c r="K114" s="4" t="str" cm="1">
        <f t="array" ref="K114">_xlfn.IFS(AND(Table15[[#This Row],[Total Amount]]&gt;=1500),"Critical",AND(Table15[[#This Row],[Total Amount]]&gt;=1000),"High",TRUE,"Normal")</f>
        <v>Normal</v>
      </c>
      <c r="L114" s="4" t="str">
        <f>IF(Table15[[#This Row],[Total Amount]]&gt;=1000,"High",(IF(Table15[[#This Row],[Total Amount]]&gt;=500,"Medium","Low")))</f>
        <v>Low</v>
      </c>
      <c r="M114" s="4" t="str" cm="1">
        <f t="array" ref="M11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14" s="4" cm="1">
        <f t="array" ref="N11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114" s="4">
        <f>Table15[[#This Row],[Total Amount]]-Table15[[#This Row],[Discount Amount]]</f>
        <v>40</v>
      </c>
    </row>
    <row r="115" spans="1:15" x14ac:dyDescent="0.35">
      <c r="A115" s="4">
        <v>114</v>
      </c>
      <c r="B115" s="5">
        <v>45129</v>
      </c>
      <c r="C115" s="4" t="s">
        <v>127</v>
      </c>
      <c r="D115" s="4" t="s">
        <v>13</v>
      </c>
      <c r="E115" s="4">
        <v>22</v>
      </c>
      <c r="F115" s="4" t="str">
        <f>IF(Table15[[#This Row],[Age]]&lt;=19,"Teenager",IF(Table15[[#This Row],[Age]]&lt;=40,"Median","Old"))</f>
        <v>Median</v>
      </c>
      <c r="G115" s="4" t="s">
        <v>11</v>
      </c>
      <c r="H115" s="4">
        <v>4</v>
      </c>
      <c r="I115" s="4">
        <v>25</v>
      </c>
      <c r="J115" s="4">
        <v>100</v>
      </c>
      <c r="K115" s="4" t="str" cm="1">
        <f t="array" ref="K115">_xlfn.IFS(AND(Table15[[#This Row],[Total Amount]]&gt;=1500),"Critical",AND(Table15[[#This Row],[Total Amount]]&gt;=1000),"High",TRUE,"Normal")</f>
        <v>Normal</v>
      </c>
      <c r="L115" s="4" t="str">
        <f>IF(Table15[[#This Row],[Total Amount]]&gt;=1000,"High",(IF(Table15[[#This Row],[Total Amount]]&gt;=500,"Medium","Low")))</f>
        <v>Low</v>
      </c>
      <c r="M115" s="4" t="str" cm="1">
        <f t="array" ref="M11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15" s="4" cm="1">
        <f t="array" ref="N11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15" s="4">
        <f>Table15[[#This Row],[Total Amount]]-Table15[[#This Row],[Discount Amount]]</f>
        <v>100</v>
      </c>
    </row>
    <row r="116" spans="1:15" x14ac:dyDescent="0.35">
      <c r="A116" s="4">
        <v>115</v>
      </c>
      <c r="B116" s="5">
        <v>45256</v>
      </c>
      <c r="C116" s="4" t="s">
        <v>128</v>
      </c>
      <c r="D116" s="4" t="s">
        <v>10</v>
      </c>
      <c r="E116" s="4">
        <v>51</v>
      </c>
      <c r="F116" s="4" t="str">
        <f>IF(Table15[[#This Row],[Age]]&lt;=19,"Teenager",IF(Table15[[#This Row],[Age]]&lt;=40,"Median","Old"))</f>
        <v>Old</v>
      </c>
      <c r="G116" s="4" t="s">
        <v>14</v>
      </c>
      <c r="H116" s="4">
        <v>3</v>
      </c>
      <c r="I116" s="4">
        <v>500</v>
      </c>
      <c r="J116" s="4">
        <v>1500</v>
      </c>
      <c r="K116" s="4" t="str" cm="1">
        <f t="array" ref="K116">_xlfn.IFS(AND(Table15[[#This Row],[Total Amount]]&gt;=1500),"Critical",AND(Table15[[#This Row],[Total Amount]]&gt;=1000),"High",TRUE,"Normal")</f>
        <v>Critical</v>
      </c>
      <c r="L116" s="4" t="str">
        <f>IF(Table15[[#This Row],[Total Amount]]&gt;=1000,"High",(IF(Table15[[#This Row],[Total Amount]]&gt;=500,"Medium","Low")))</f>
        <v>High</v>
      </c>
      <c r="M116" s="4" t="str" cm="1">
        <f t="array" ref="M11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16" s="4" cm="1">
        <f t="array" ref="N11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116" s="4">
        <f>Table15[[#This Row],[Total Amount]]-Table15[[#This Row],[Discount Amount]]</f>
        <v>1350</v>
      </c>
    </row>
    <row r="117" spans="1:15" x14ac:dyDescent="0.35">
      <c r="A117" s="4">
        <v>116</v>
      </c>
      <c r="B117" s="5">
        <v>45161</v>
      </c>
      <c r="C117" s="4" t="s">
        <v>129</v>
      </c>
      <c r="D117" s="4" t="s">
        <v>13</v>
      </c>
      <c r="E117" s="4">
        <v>23</v>
      </c>
      <c r="F117" s="4" t="str">
        <f>IF(Table15[[#This Row],[Age]]&lt;=19,"Teenager",IF(Table15[[#This Row],[Age]]&lt;=40,"Median","Old"))</f>
        <v>Median</v>
      </c>
      <c r="G117" s="4" t="s">
        <v>14</v>
      </c>
      <c r="H117" s="4">
        <v>1</v>
      </c>
      <c r="I117" s="4">
        <v>30</v>
      </c>
      <c r="J117" s="4">
        <v>30</v>
      </c>
      <c r="K117" s="4" t="str" cm="1">
        <f t="array" ref="K117">_xlfn.IFS(AND(Table15[[#This Row],[Total Amount]]&gt;=1500),"Critical",AND(Table15[[#This Row],[Total Amount]]&gt;=1000),"High",TRUE,"Normal")</f>
        <v>Normal</v>
      </c>
      <c r="L117" s="4" t="str">
        <f>IF(Table15[[#This Row],[Total Amount]]&gt;=1000,"High",(IF(Table15[[#This Row],[Total Amount]]&gt;=500,"Medium","Low")))</f>
        <v>Low</v>
      </c>
      <c r="M117" s="4" t="str" cm="1">
        <f t="array" ref="M11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17" s="4" cm="1">
        <f t="array" ref="N11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17" s="4">
        <f>Table15[[#This Row],[Total Amount]]-Table15[[#This Row],[Discount Amount]]</f>
        <v>30</v>
      </c>
    </row>
    <row r="118" spans="1:15" x14ac:dyDescent="0.35">
      <c r="A118" s="4">
        <v>117</v>
      </c>
      <c r="B118" s="5">
        <v>45000</v>
      </c>
      <c r="C118" s="4" t="s">
        <v>130</v>
      </c>
      <c r="D118" s="4" t="s">
        <v>10</v>
      </c>
      <c r="E118" s="4">
        <v>19</v>
      </c>
      <c r="F118" s="4" t="str">
        <f>IF(Table15[[#This Row],[Age]]&lt;=19,"Teenager",IF(Table15[[#This Row],[Age]]&lt;=40,"Median","Old"))</f>
        <v>Teenager</v>
      </c>
      <c r="G118" s="4" t="s">
        <v>16</v>
      </c>
      <c r="H118" s="4">
        <v>2</v>
      </c>
      <c r="I118" s="4">
        <v>500</v>
      </c>
      <c r="J118" s="4">
        <v>1000</v>
      </c>
      <c r="K118" s="4" t="str" cm="1">
        <f t="array" ref="K118">_xlfn.IFS(AND(Table15[[#This Row],[Total Amount]]&gt;=1500),"Critical",AND(Table15[[#This Row],[Total Amount]]&gt;=1000),"High",TRUE,"Normal")</f>
        <v>High</v>
      </c>
      <c r="L118" s="4" t="str">
        <f>IF(Table15[[#This Row],[Total Amount]]&gt;=1000,"High",(IF(Table15[[#This Row],[Total Amount]]&gt;=500,"Medium","Low")))</f>
        <v>High</v>
      </c>
      <c r="M118" s="4" t="str" cm="1">
        <f t="array" ref="M11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18" s="4" cm="1">
        <f t="array" ref="N11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18" s="4">
        <f>Table15[[#This Row],[Total Amount]]-Table15[[#This Row],[Discount Amount]]</f>
        <v>1000</v>
      </c>
    </row>
    <row r="119" spans="1:15" x14ac:dyDescent="0.35">
      <c r="A119" s="4">
        <v>118</v>
      </c>
      <c r="B119" s="5">
        <v>45062</v>
      </c>
      <c r="C119" s="4" t="s">
        <v>131</v>
      </c>
      <c r="D119" s="4" t="s">
        <v>13</v>
      </c>
      <c r="E119" s="4">
        <v>30</v>
      </c>
      <c r="F119" s="4" t="str">
        <f>IF(Table15[[#This Row],[Age]]&lt;=19,"Teenager",IF(Table15[[#This Row],[Age]]&lt;=40,"Median","Old"))</f>
        <v>Median</v>
      </c>
      <c r="G119" s="4" t="s">
        <v>16</v>
      </c>
      <c r="H119" s="4">
        <v>4</v>
      </c>
      <c r="I119" s="4">
        <v>500</v>
      </c>
      <c r="J119" s="4">
        <v>2000</v>
      </c>
      <c r="K119" s="4" t="str" cm="1">
        <f t="array" ref="K119">_xlfn.IFS(AND(Table15[[#This Row],[Total Amount]]&gt;=1500),"Critical",AND(Table15[[#This Row],[Total Amount]]&gt;=1000),"High",TRUE,"Normal")</f>
        <v>Critical</v>
      </c>
      <c r="L119" s="4" t="str">
        <f>IF(Table15[[#This Row],[Total Amount]]&gt;=1000,"High",(IF(Table15[[#This Row],[Total Amount]]&gt;=500,"Medium","Low")))</f>
        <v>High</v>
      </c>
      <c r="M119" s="4" t="str" cm="1">
        <f t="array" ref="M11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19" s="4" cm="1">
        <f t="array" ref="N11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119" s="4">
        <f>Table15[[#This Row],[Total Amount]]-Table15[[#This Row],[Discount Amount]]</f>
        <v>1700</v>
      </c>
    </row>
    <row r="120" spans="1:15" x14ac:dyDescent="0.35">
      <c r="A120" s="4">
        <v>119</v>
      </c>
      <c r="B120" s="5">
        <v>44998</v>
      </c>
      <c r="C120" s="4" t="s">
        <v>132</v>
      </c>
      <c r="D120" s="4" t="s">
        <v>13</v>
      </c>
      <c r="E120" s="4">
        <v>60</v>
      </c>
      <c r="F120" s="4" t="str">
        <f>IF(Table15[[#This Row],[Age]]&lt;=19,"Teenager",IF(Table15[[#This Row],[Age]]&lt;=40,"Median","Old"))</f>
        <v>Old</v>
      </c>
      <c r="G120" s="4" t="s">
        <v>14</v>
      </c>
      <c r="H120" s="4">
        <v>3</v>
      </c>
      <c r="I120" s="4">
        <v>50</v>
      </c>
      <c r="J120" s="4">
        <v>150</v>
      </c>
      <c r="K120" s="4" t="str" cm="1">
        <f t="array" ref="K120">_xlfn.IFS(AND(Table15[[#This Row],[Total Amount]]&gt;=1500),"Critical",AND(Table15[[#This Row],[Total Amount]]&gt;=1000),"High",TRUE,"Normal")</f>
        <v>Normal</v>
      </c>
      <c r="L120" s="4" t="str">
        <f>IF(Table15[[#This Row],[Total Amount]]&gt;=1000,"High",(IF(Table15[[#This Row],[Total Amount]]&gt;=500,"Medium","Low")))</f>
        <v>Low</v>
      </c>
      <c r="M120" s="4" t="str" cm="1">
        <f t="array" ref="M12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20" s="4" cm="1">
        <f t="array" ref="N12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120" s="4">
        <f>Table15[[#This Row],[Total Amount]]-Table15[[#This Row],[Discount Amount]]</f>
        <v>120</v>
      </c>
    </row>
    <row r="121" spans="1:15" x14ac:dyDescent="0.35">
      <c r="A121" s="4">
        <v>120</v>
      </c>
      <c r="B121" s="5">
        <v>45053</v>
      </c>
      <c r="C121" s="4" t="s">
        <v>133</v>
      </c>
      <c r="D121" s="4" t="s">
        <v>10</v>
      </c>
      <c r="E121" s="4">
        <v>60</v>
      </c>
      <c r="F121" s="4" t="str">
        <f>IF(Table15[[#This Row],[Age]]&lt;=19,"Teenager",IF(Table15[[#This Row],[Age]]&lt;=40,"Median","Old"))</f>
        <v>Old</v>
      </c>
      <c r="G121" s="4" t="s">
        <v>11</v>
      </c>
      <c r="H121" s="4">
        <v>1</v>
      </c>
      <c r="I121" s="4">
        <v>50</v>
      </c>
      <c r="J121" s="4">
        <v>50</v>
      </c>
      <c r="K121" s="4" t="str" cm="1">
        <f t="array" ref="K121">_xlfn.IFS(AND(Table15[[#This Row],[Total Amount]]&gt;=1500),"Critical",AND(Table15[[#This Row],[Total Amount]]&gt;=1000),"High",TRUE,"Normal")</f>
        <v>Normal</v>
      </c>
      <c r="L121" s="4" t="str">
        <f>IF(Table15[[#This Row],[Total Amount]]&gt;=1000,"High",(IF(Table15[[#This Row],[Total Amount]]&gt;=500,"Medium","Low")))</f>
        <v>Low</v>
      </c>
      <c r="M121" s="4" t="str" cm="1">
        <f t="array" ref="M12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21" s="4" cm="1">
        <f t="array" ref="N12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121" s="4">
        <f>Table15[[#This Row],[Total Amount]]-Table15[[#This Row],[Discount Amount]]</f>
        <v>45</v>
      </c>
    </row>
    <row r="122" spans="1:15" x14ac:dyDescent="0.35">
      <c r="A122" s="4">
        <v>121</v>
      </c>
      <c r="B122" s="5">
        <v>45214</v>
      </c>
      <c r="C122" s="4" t="s">
        <v>134</v>
      </c>
      <c r="D122" s="4" t="s">
        <v>13</v>
      </c>
      <c r="E122" s="4">
        <v>28</v>
      </c>
      <c r="F122" s="4" t="str">
        <f>IF(Table15[[#This Row],[Age]]&lt;=19,"Teenager",IF(Table15[[#This Row],[Age]]&lt;=40,"Median","Old"))</f>
        <v>Median</v>
      </c>
      <c r="G122" s="4" t="s">
        <v>16</v>
      </c>
      <c r="H122" s="4">
        <v>4</v>
      </c>
      <c r="I122" s="4">
        <v>50</v>
      </c>
      <c r="J122" s="4">
        <v>200</v>
      </c>
      <c r="K122" s="4" t="str" cm="1">
        <f t="array" ref="K122">_xlfn.IFS(AND(Table15[[#This Row],[Total Amount]]&gt;=1500),"Critical",AND(Table15[[#This Row],[Total Amount]]&gt;=1000),"High",TRUE,"Normal")</f>
        <v>Normal</v>
      </c>
      <c r="L122" s="4" t="str">
        <f>IF(Table15[[#This Row],[Total Amount]]&gt;=1000,"High",(IF(Table15[[#This Row],[Total Amount]]&gt;=500,"Medium","Low")))</f>
        <v>Low</v>
      </c>
      <c r="M122" s="4" t="str" cm="1">
        <f t="array" ref="M12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22" s="4" cm="1">
        <f t="array" ref="N12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122" s="4">
        <f>Table15[[#This Row],[Total Amount]]-Table15[[#This Row],[Discount Amount]]</f>
        <v>170</v>
      </c>
    </row>
    <row r="123" spans="1:15" x14ac:dyDescent="0.35">
      <c r="A123" s="4">
        <v>122</v>
      </c>
      <c r="B123" s="5">
        <v>45202</v>
      </c>
      <c r="C123" s="4" t="s">
        <v>135</v>
      </c>
      <c r="D123" s="4" t="s">
        <v>10</v>
      </c>
      <c r="E123" s="4">
        <v>64</v>
      </c>
      <c r="F123" s="4" t="str">
        <f>IF(Table15[[#This Row],[Age]]&lt;=19,"Teenager",IF(Table15[[#This Row],[Age]]&lt;=40,"Median","Old"))</f>
        <v>Old</v>
      </c>
      <c r="G123" s="4" t="s">
        <v>16</v>
      </c>
      <c r="H123" s="4">
        <v>4</v>
      </c>
      <c r="I123" s="4">
        <v>30</v>
      </c>
      <c r="J123" s="4">
        <v>120</v>
      </c>
      <c r="K123" s="4" t="str" cm="1">
        <f t="array" ref="K123">_xlfn.IFS(AND(Table15[[#This Row],[Total Amount]]&gt;=1500),"Critical",AND(Table15[[#This Row],[Total Amount]]&gt;=1000),"High",TRUE,"Normal")</f>
        <v>Normal</v>
      </c>
      <c r="L123" s="4" t="str">
        <f>IF(Table15[[#This Row],[Total Amount]]&gt;=1000,"High",(IF(Table15[[#This Row],[Total Amount]]&gt;=500,"Medium","Low")))</f>
        <v>Low</v>
      </c>
      <c r="M123" s="4" t="str" cm="1">
        <f t="array" ref="M12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23" s="4" cm="1">
        <f t="array" ref="N12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123" s="4">
        <f>Table15[[#This Row],[Total Amount]]-Table15[[#This Row],[Discount Amount]]</f>
        <v>108</v>
      </c>
    </row>
    <row r="124" spans="1:15" x14ac:dyDescent="0.35">
      <c r="A124" s="4">
        <v>123</v>
      </c>
      <c r="B124" s="5">
        <v>45061</v>
      </c>
      <c r="C124" s="4" t="s">
        <v>136</v>
      </c>
      <c r="D124" s="4" t="s">
        <v>13</v>
      </c>
      <c r="E124" s="4">
        <v>40</v>
      </c>
      <c r="F124" s="4" t="str">
        <f>IF(Table15[[#This Row],[Age]]&lt;=19,"Teenager",IF(Table15[[#This Row],[Age]]&lt;=40,"Median","Old"))</f>
        <v>Median</v>
      </c>
      <c r="G124" s="4" t="s">
        <v>16</v>
      </c>
      <c r="H124" s="4">
        <v>2</v>
      </c>
      <c r="I124" s="4">
        <v>30</v>
      </c>
      <c r="J124" s="4">
        <v>60</v>
      </c>
      <c r="K124" s="4" t="str" cm="1">
        <f t="array" ref="K124">_xlfn.IFS(AND(Table15[[#This Row],[Total Amount]]&gt;=1500),"Critical",AND(Table15[[#This Row],[Total Amount]]&gt;=1000),"High",TRUE,"Normal")</f>
        <v>Normal</v>
      </c>
      <c r="L124" s="4" t="str">
        <f>IF(Table15[[#This Row],[Total Amount]]&gt;=1000,"High",(IF(Table15[[#This Row],[Total Amount]]&gt;=500,"Medium","Low")))</f>
        <v>Low</v>
      </c>
      <c r="M124" s="4" t="str" cm="1">
        <f t="array" ref="M12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24" s="4" cm="1">
        <f t="array" ref="N12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124" s="4">
        <f>Table15[[#This Row],[Total Amount]]-Table15[[#This Row],[Discount Amount]]</f>
        <v>48</v>
      </c>
    </row>
    <row r="125" spans="1:15" x14ac:dyDescent="0.35">
      <c r="A125" s="4">
        <v>124</v>
      </c>
      <c r="B125" s="5">
        <v>45226</v>
      </c>
      <c r="C125" s="4" t="s">
        <v>137</v>
      </c>
      <c r="D125" s="4" t="s">
        <v>10</v>
      </c>
      <c r="E125" s="4">
        <v>33</v>
      </c>
      <c r="F125" s="4" t="str">
        <f>IF(Table15[[#This Row],[Age]]&lt;=19,"Teenager",IF(Table15[[#This Row],[Age]]&lt;=40,"Median","Old"))</f>
        <v>Median</v>
      </c>
      <c r="G125" s="4" t="s">
        <v>14</v>
      </c>
      <c r="H125" s="4">
        <v>4</v>
      </c>
      <c r="I125" s="4">
        <v>500</v>
      </c>
      <c r="J125" s="4">
        <v>2000</v>
      </c>
      <c r="K125" s="4" t="str" cm="1">
        <f t="array" ref="K125">_xlfn.IFS(AND(Table15[[#This Row],[Total Amount]]&gt;=1500),"Critical",AND(Table15[[#This Row],[Total Amount]]&gt;=1000),"High",TRUE,"Normal")</f>
        <v>Critical</v>
      </c>
      <c r="L125" s="4" t="str">
        <f>IF(Table15[[#This Row],[Total Amount]]&gt;=1000,"High",(IF(Table15[[#This Row],[Total Amount]]&gt;=500,"Medium","Low")))</f>
        <v>High</v>
      </c>
      <c r="M125" s="4" t="str" cm="1">
        <f t="array" ref="M12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25" s="4" cm="1">
        <f t="array" ref="N12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125" s="4">
        <f>Table15[[#This Row],[Total Amount]]-Table15[[#This Row],[Discount Amount]]</f>
        <v>1700</v>
      </c>
    </row>
    <row r="126" spans="1:15" x14ac:dyDescent="0.35">
      <c r="A126" s="4">
        <v>125</v>
      </c>
      <c r="B126" s="5">
        <v>45146</v>
      </c>
      <c r="C126" s="4" t="s">
        <v>138</v>
      </c>
      <c r="D126" s="4" t="s">
        <v>10</v>
      </c>
      <c r="E126" s="4">
        <v>48</v>
      </c>
      <c r="F126" s="4" t="str">
        <f>IF(Table15[[#This Row],[Age]]&lt;=19,"Teenager",IF(Table15[[#This Row],[Age]]&lt;=40,"Median","Old"))</f>
        <v>Old</v>
      </c>
      <c r="G126" s="4" t="s">
        <v>14</v>
      </c>
      <c r="H126" s="4">
        <v>2</v>
      </c>
      <c r="I126" s="4">
        <v>50</v>
      </c>
      <c r="J126" s="4">
        <v>100</v>
      </c>
      <c r="K126" s="4" t="str" cm="1">
        <f t="array" ref="K126">_xlfn.IFS(AND(Table15[[#This Row],[Total Amount]]&gt;=1500),"Critical",AND(Table15[[#This Row],[Total Amount]]&gt;=1000),"High",TRUE,"Normal")</f>
        <v>Normal</v>
      </c>
      <c r="L126" s="4" t="str">
        <f>IF(Table15[[#This Row],[Total Amount]]&gt;=1000,"High",(IF(Table15[[#This Row],[Total Amount]]&gt;=500,"Medium","Low")))</f>
        <v>Low</v>
      </c>
      <c r="M126" s="4" t="str" cm="1">
        <f t="array" ref="M12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26" s="4" cm="1">
        <f t="array" ref="N12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126" s="4">
        <f>Table15[[#This Row],[Total Amount]]-Table15[[#This Row],[Discount Amount]]</f>
        <v>90</v>
      </c>
    </row>
    <row r="127" spans="1:15" x14ac:dyDescent="0.35">
      <c r="A127" s="4">
        <v>126</v>
      </c>
      <c r="B127" s="5">
        <v>45225</v>
      </c>
      <c r="C127" s="4" t="s">
        <v>139</v>
      </c>
      <c r="D127" s="4" t="s">
        <v>13</v>
      </c>
      <c r="E127" s="4">
        <v>28</v>
      </c>
      <c r="F127" s="4" t="str">
        <f>IF(Table15[[#This Row],[Age]]&lt;=19,"Teenager",IF(Table15[[#This Row],[Age]]&lt;=40,"Median","Old"))</f>
        <v>Median</v>
      </c>
      <c r="G127" s="4" t="s">
        <v>14</v>
      </c>
      <c r="H127" s="4">
        <v>3</v>
      </c>
      <c r="I127" s="4">
        <v>30</v>
      </c>
      <c r="J127" s="4">
        <v>90</v>
      </c>
      <c r="K127" s="4" t="str" cm="1">
        <f t="array" ref="K127">_xlfn.IFS(AND(Table15[[#This Row],[Total Amount]]&gt;=1500),"Critical",AND(Table15[[#This Row],[Total Amount]]&gt;=1000),"High",TRUE,"Normal")</f>
        <v>Normal</v>
      </c>
      <c r="L127" s="4" t="str">
        <f>IF(Table15[[#This Row],[Total Amount]]&gt;=1000,"High",(IF(Table15[[#This Row],[Total Amount]]&gt;=500,"Medium","Low")))</f>
        <v>Low</v>
      </c>
      <c r="M127" s="4" t="str" cm="1">
        <f t="array" ref="M12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27" s="4" cm="1">
        <f t="array" ref="N12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13.5</v>
      </c>
      <c r="O127" s="4">
        <f>Table15[[#This Row],[Total Amount]]-Table15[[#This Row],[Discount Amount]]</f>
        <v>76.5</v>
      </c>
    </row>
    <row r="128" spans="1:15" x14ac:dyDescent="0.35">
      <c r="A128" s="4">
        <v>127</v>
      </c>
      <c r="B128" s="5">
        <v>45131</v>
      </c>
      <c r="C128" s="4" t="s">
        <v>140</v>
      </c>
      <c r="D128" s="4" t="s">
        <v>13</v>
      </c>
      <c r="E128" s="4">
        <v>33</v>
      </c>
      <c r="F128" s="4" t="str">
        <f>IF(Table15[[#This Row],[Age]]&lt;=19,"Teenager",IF(Table15[[#This Row],[Age]]&lt;=40,"Median","Old"))</f>
        <v>Median</v>
      </c>
      <c r="G128" s="4" t="s">
        <v>14</v>
      </c>
      <c r="H128" s="4">
        <v>2</v>
      </c>
      <c r="I128" s="4">
        <v>25</v>
      </c>
      <c r="J128" s="4">
        <v>50</v>
      </c>
      <c r="K128" s="4" t="str" cm="1">
        <f t="array" ref="K128">_xlfn.IFS(AND(Table15[[#This Row],[Total Amount]]&gt;=1500),"Critical",AND(Table15[[#This Row],[Total Amount]]&gt;=1000),"High",TRUE,"Normal")</f>
        <v>Normal</v>
      </c>
      <c r="L128" s="4" t="str">
        <f>IF(Table15[[#This Row],[Total Amount]]&gt;=1000,"High",(IF(Table15[[#This Row],[Total Amount]]&gt;=500,"Medium","Low")))</f>
        <v>Low</v>
      </c>
      <c r="M128" s="4" t="str" cm="1">
        <f t="array" ref="M12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28" s="4" cm="1">
        <f t="array" ref="N12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128" s="4">
        <f>Table15[[#This Row],[Total Amount]]-Table15[[#This Row],[Discount Amount]]</f>
        <v>42.5</v>
      </c>
    </row>
    <row r="129" spans="1:15" x14ac:dyDescent="0.35">
      <c r="A129" s="4">
        <v>128</v>
      </c>
      <c r="B129" s="5">
        <v>45112</v>
      </c>
      <c r="C129" s="4" t="s">
        <v>141</v>
      </c>
      <c r="D129" s="4" t="s">
        <v>10</v>
      </c>
      <c r="E129" s="4">
        <v>25</v>
      </c>
      <c r="F129" s="4" t="str">
        <f>IF(Table15[[#This Row],[Age]]&lt;=19,"Teenager",IF(Table15[[#This Row],[Age]]&lt;=40,"Median","Old"))</f>
        <v>Median</v>
      </c>
      <c r="G129" s="4" t="s">
        <v>11</v>
      </c>
      <c r="H129" s="4">
        <v>1</v>
      </c>
      <c r="I129" s="4">
        <v>500</v>
      </c>
      <c r="J129" s="4">
        <v>500</v>
      </c>
      <c r="K129" s="4" t="str" cm="1">
        <f t="array" ref="K129">_xlfn.IFS(AND(Table15[[#This Row],[Total Amount]]&gt;=1500),"Critical",AND(Table15[[#This Row],[Total Amount]]&gt;=1000),"High",TRUE,"Normal")</f>
        <v>Normal</v>
      </c>
      <c r="L129" s="4" t="str">
        <f>IF(Table15[[#This Row],[Total Amount]]&gt;=1000,"High",(IF(Table15[[#This Row],[Total Amount]]&gt;=500,"Medium","Low")))</f>
        <v>Medium</v>
      </c>
      <c r="M129" s="4" t="str" cm="1">
        <f t="array" ref="M12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29" s="4" cm="1">
        <f t="array" ref="N12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129" s="4">
        <f>Table15[[#This Row],[Total Amount]]-Table15[[#This Row],[Discount Amount]]</f>
        <v>425</v>
      </c>
    </row>
    <row r="130" spans="1:15" x14ac:dyDescent="0.35">
      <c r="A130" s="4">
        <v>129</v>
      </c>
      <c r="B130" s="5">
        <v>45039</v>
      </c>
      <c r="C130" s="4" t="s">
        <v>142</v>
      </c>
      <c r="D130" s="4" t="s">
        <v>13</v>
      </c>
      <c r="E130" s="4">
        <v>21</v>
      </c>
      <c r="F130" s="4" t="str">
        <f>IF(Table15[[#This Row],[Age]]&lt;=19,"Teenager",IF(Table15[[#This Row],[Age]]&lt;=40,"Median","Old"))</f>
        <v>Median</v>
      </c>
      <c r="G130" s="4" t="s">
        <v>11</v>
      </c>
      <c r="H130" s="4">
        <v>2</v>
      </c>
      <c r="I130" s="4">
        <v>300</v>
      </c>
      <c r="J130" s="4">
        <v>600</v>
      </c>
      <c r="K130" s="4" t="str" cm="1">
        <f t="array" ref="K130">_xlfn.IFS(AND(Table15[[#This Row],[Total Amount]]&gt;=1500),"Critical",AND(Table15[[#This Row],[Total Amount]]&gt;=1000),"High",TRUE,"Normal")</f>
        <v>Normal</v>
      </c>
      <c r="L130" s="4" t="str">
        <f>IF(Table15[[#This Row],[Total Amount]]&gt;=1000,"High",(IF(Table15[[#This Row],[Total Amount]]&gt;=500,"Medium","Low")))</f>
        <v>Medium</v>
      </c>
      <c r="M130" s="4" t="str" cm="1">
        <f t="array" ref="M13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30" s="4" cm="1">
        <f t="array" ref="N13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30" s="4">
        <f>Table15[[#This Row],[Total Amount]]-Table15[[#This Row],[Discount Amount]]</f>
        <v>600</v>
      </c>
    </row>
    <row r="131" spans="1:15" x14ac:dyDescent="0.35">
      <c r="A131" s="4">
        <v>130</v>
      </c>
      <c r="B131" s="5">
        <v>44997</v>
      </c>
      <c r="C131" s="4" t="s">
        <v>143</v>
      </c>
      <c r="D131" s="4" t="s">
        <v>13</v>
      </c>
      <c r="E131" s="4">
        <v>57</v>
      </c>
      <c r="F131" s="4" t="str">
        <f>IF(Table15[[#This Row],[Age]]&lt;=19,"Teenager",IF(Table15[[#This Row],[Age]]&lt;=40,"Median","Old"))</f>
        <v>Old</v>
      </c>
      <c r="G131" s="4" t="s">
        <v>14</v>
      </c>
      <c r="H131" s="4">
        <v>1</v>
      </c>
      <c r="I131" s="4">
        <v>500</v>
      </c>
      <c r="J131" s="4">
        <v>500</v>
      </c>
      <c r="K131" s="4" t="str" cm="1">
        <f t="array" ref="K131">_xlfn.IFS(AND(Table15[[#This Row],[Total Amount]]&gt;=1500),"Critical",AND(Table15[[#This Row],[Total Amount]]&gt;=1000),"High",TRUE,"Normal")</f>
        <v>Normal</v>
      </c>
      <c r="L131" s="4" t="str">
        <f>IF(Table15[[#This Row],[Total Amount]]&gt;=1000,"High",(IF(Table15[[#This Row],[Total Amount]]&gt;=500,"Medium","Low")))</f>
        <v>Medium</v>
      </c>
      <c r="M131" s="4" t="str" cm="1">
        <f t="array" ref="M13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31" s="4" cm="1">
        <f t="array" ref="N13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131" s="4">
        <f>Table15[[#This Row],[Total Amount]]-Table15[[#This Row],[Discount Amount]]</f>
        <v>400</v>
      </c>
    </row>
    <row r="132" spans="1:15" x14ac:dyDescent="0.35">
      <c r="A132" s="4">
        <v>131</v>
      </c>
      <c r="B132" s="5">
        <v>45187</v>
      </c>
      <c r="C132" s="4" t="s">
        <v>144</v>
      </c>
      <c r="D132" s="4" t="s">
        <v>13</v>
      </c>
      <c r="E132" s="4">
        <v>21</v>
      </c>
      <c r="F132" s="4" t="str">
        <f>IF(Table15[[#This Row],[Age]]&lt;=19,"Teenager",IF(Table15[[#This Row],[Age]]&lt;=40,"Median","Old"))</f>
        <v>Median</v>
      </c>
      <c r="G132" s="4" t="s">
        <v>11</v>
      </c>
      <c r="H132" s="4">
        <v>2</v>
      </c>
      <c r="I132" s="4">
        <v>300</v>
      </c>
      <c r="J132" s="4">
        <v>600</v>
      </c>
      <c r="K132" s="4" t="str" cm="1">
        <f t="array" ref="K132">_xlfn.IFS(AND(Table15[[#This Row],[Total Amount]]&gt;=1500),"Critical",AND(Table15[[#This Row],[Total Amount]]&gt;=1000),"High",TRUE,"Normal")</f>
        <v>Normal</v>
      </c>
      <c r="L132" s="4" t="str">
        <f>IF(Table15[[#This Row],[Total Amount]]&gt;=1000,"High",(IF(Table15[[#This Row],[Total Amount]]&gt;=500,"Medium","Low")))</f>
        <v>Medium</v>
      </c>
      <c r="M132" s="4" t="str" cm="1">
        <f t="array" ref="M13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32" s="4" cm="1">
        <f t="array" ref="N13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32" s="4">
        <f>Table15[[#This Row],[Total Amount]]-Table15[[#This Row],[Discount Amount]]</f>
        <v>600</v>
      </c>
    </row>
    <row r="133" spans="1:15" x14ac:dyDescent="0.35">
      <c r="A133" s="4">
        <v>132</v>
      </c>
      <c r="B133" s="5">
        <v>45179</v>
      </c>
      <c r="C133" s="4" t="s">
        <v>145</v>
      </c>
      <c r="D133" s="4" t="s">
        <v>10</v>
      </c>
      <c r="E133" s="4">
        <v>42</v>
      </c>
      <c r="F133" s="4" t="str">
        <f>IF(Table15[[#This Row],[Age]]&lt;=19,"Teenager",IF(Table15[[#This Row],[Age]]&lt;=40,"Median","Old"))</f>
        <v>Old</v>
      </c>
      <c r="G133" s="4" t="s">
        <v>16</v>
      </c>
      <c r="H133" s="4">
        <v>4</v>
      </c>
      <c r="I133" s="4">
        <v>50</v>
      </c>
      <c r="J133" s="4">
        <v>200</v>
      </c>
      <c r="K133" s="4" t="str" cm="1">
        <f t="array" ref="K133">_xlfn.IFS(AND(Table15[[#This Row],[Total Amount]]&gt;=1500),"Critical",AND(Table15[[#This Row],[Total Amount]]&gt;=1000),"High",TRUE,"Normal")</f>
        <v>Normal</v>
      </c>
      <c r="L133" s="4" t="str">
        <f>IF(Table15[[#This Row],[Total Amount]]&gt;=1000,"High",(IF(Table15[[#This Row],[Total Amount]]&gt;=500,"Medium","Low")))</f>
        <v>Low</v>
      </c>
      <c r="M133" s="4" t="str" cm="1">
        <f t="array" ref="M13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33" s="4" cm="1">
        <f t="array" ref="N13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133" s="4">
        <f>Table15[[#This Row],[Total Amount]]-Table15[[#This Row],[Discount Amount]]</f>
        <v>180</v>
      </c>
    </row>
    <row r="134" spans="1:15" x14ac:dyDescent="0.35">
      <c r="A134" s="4">
        <v>133</v>
      </c>
      <c r="B134" s="5">
        <v>44973</v>
      </c>
      <c r="C134" s="4" t="s">
        <v>146</v>
      </c>
      <c r="D134" s="4" t="s">
        <v>10</v>
      </c>
      <c r="E134" s="4">
        <v>20</v>
      </c>
      <c r="F134" s="4" t="str">
        <f>IF(Table15[[#This Row],[Age]]&lt;=19,"Teenager",IF(Table15[[#This Row],[Age]]&lt;=40,"Median","Old"))</f>
        <v>Median</v>
      </c>
      <c r="G134" s="4" t="s">
        <v>16</v>
      </c>
      <c r="H134" s="4">
        <v>3</v>
      </c>
      <c r="I134" s="4">
        <v>300</v>
      </c>
      <c r="J134" s="4">
        <v>900</v>
      </c>
      <c r="K134" s="4" t="str" cm="1">
        <f t="array" ref="K134">_xlfn.IFS(AND(Table15[[#This Row],[Total Amount]]&gt;=1500),"Critical",AND(Table15[[#This Row],[Total Amount]]&gt;=1000),"High",TRUE,"Normal")</f>
        <v>Normal</v>
      </c>
      <c r="L134" s="4" t="str">
        <f>IF(Table15[[#This Row],[Total Amount]]&gt;=1000,"High",(IF(Table15[[#This Row],[Total Amount]]&gt;=500,"Medium","Low")))</f>
        <v>Medium</v>
      </c>
      <c r="M134" s="4" t="str" cm="1">
        <f t="array" ref="M13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34" s="4" cm="1">
        <f t="array" ref="N13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34" s="4">
        <f>Table15[[#This Row],[Total Amount]]-Table15[[#This Row],[Discount Amount]]</f>
        <v>900</v>
      </c>
    </row>
    <row r="135" spans="1:15" x14ac:dyDescent="0.35">
      <c r="A135" s="4">
        <v>134</v>
      </c>
      <c r="B135" s="5">
        <v>44951</v>
      </c>
      <c r="C135" s="4" t="s">
        <v>147</v>
      </c>
      <c r="D135" s="4" t="s">
        <v>10</v>
      </c>
      <c r="E135" s="4">
        <v>49</v>
      </c>
      <c r="F135" s="4" t="str">
        <f>IF(Table15[[#This Row],[Age]]&lt;=19,"Teenager",IF(Table15[[#This Row],[Age]]&lt;=40,"Median","Old"))</f>
        <v>Old</v>
      </c>
      <c r="G135" s="4" t="s">
        <v>16</v>
      </c>
      <c r="H135" s="4">
        <v>1</v>
      </c>
      <c r="I135" s="4">
        <v>50</v>
      </c>
      <c r="J135" s="4">
        <v>50</v>
      </c>
      <c r="K135" s="4" t="str" cm="1">
        <f t="array" ref="K135">_xlfn.IFS(AND(Table15[[#This Row],[Total Amount]]&gt;=1500),"Critical",AND(Table15[[#This Row],[Total Amount]]&gt;=1000),"High",TRUE,"Normal")</f>
        <v>Normal</v>
      </c>
      <c r="L135" s="4" t="str">
        <f>IF(Table15[[#This Row],[Total Amount]]&gt;=1000,"High",(IF(Table15[[#This Row],[Total Amount]]&gt;=500,"Medium","Low")))</f>
        <v>Low</v>
      </c>
      <c r="M135" s="4" t="str" cm="1">
        <f t="array" ref="M13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35" s="4" cm="1">
        <f t="array" ref="N13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135" s="4">
        <f>Table15[[#This Row],[Total Amount]]-Table15[[#This Row],[Discount Amount]]</f>
        <v>45</v>
      </c>
    </row>
    <row r="136" spans="1:15" x14ac:dyDescent="0.35">
      <c r="A136" s="4">
        <v>135</v>
      </c>
      <c r="B136" s="5">
        <v>44983</v>
      </c>
      <c r="C136" s="4" t="s">
        <v>148</v>
      </c>
      <c r="D136" s="4" t="s">
        <v>10</v>
      </c>
      <c r="E136" s="4">
        <v>20</v>
      </c>
      <c r="F136" s="4" t="str">
        <f>IF(Table15[[#This Row],[Age]]&lt;=19,"Teenager",IF(Table15[[#This Row],[Age]]&lt;=40,"Median","Old"))</f>
        <v>Median</v>
      </c>
      <c r="G136" s="4" t="s">
        <v>14</v>
      </c>
      <c r="H136" s="4">
        <v>2</v>
      </c>
      <c r="I136" s="4">
        <v>25</v>
      </c>
      <c r="J136" s="4">
        <v>50</v>
      </c>
      <c r="K136" s="4" t="str" cm="1">
        <f t="array" ref="K136">_xlfn.IFS(AND(Table15[[#This Row],[Total Amount]]&gt;=1500),"Critical",AND(Table15[[#This Row],[Total Amount]]&gt;=1000),"High",TRUE,"Normal")</f>
        <v>Normal</v>
      </c>
      <c r="L136" s="4" t="str">
        <f>IF(Table15[[#This Row],[Total Amount]]&gt;=1000,"High",(IF(Table15[[#This Row],[Total Amount]]&gt;=500,"Medium","Low")))</f>
        <v>Low</v>
      </c>
      <c r="M136" s="4" t="str" cm="1">
        <f t="array" ref="M13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36" s="4" cm="1">
        <f t="array" ref="N13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36" s="4">
        <f>Table15[[#This Row],[Total Amount]]-Table15[[#This Row],[Discount Amount]]</f>
        <v>50</v>
      </c>
    </row>
    <row r="137" spans="1:15" x14ac:dyDescent="0.35">
      <c r="A137" s="4">
        <v>136</v>
      </c>
      <c r="B137" s="5">
        <v>45005</v>
      </c>
      <c r="C137" s="4" t="s">
        <v>149</v>
      </c>
      <c r="D137" s="4" t="s">
        <v>10</v>
      </c>
      <c r="E137" s="4">
        <v>44</v>
      </c>
      <c r="F137" s="4" t="str">
        <f>IF(Table15[[#This Row],[Age]]&lt;=19,"Teenager",IF(Table15[[#This Row],[Age]]&lt;=40,"Median","Old"))</f>
        <v>Old</v>
      </c>
      <c r="G137" s="4" t="s">
        <v>16</v>
      </c>
      <c r="H137" s="4">
        <v>2</v>
      </c>
      <c r="I137" s="4">
        <v>300</v>
      </c>
      <c r="J137" s="4">
        <v>600</v>
      </c>
      <c r="K137" s="4" t="str" cm="1">
        <f t="array" ref="K137">_xlfn.IFS(AND(Table15[[#This Row],[Total Amount]]&gt;=1500),"Critical",AND(Table15[[#This Row],[Total Amount]]&gt;=1000),"High",TRUE,"Normal")</f>
        <v>Normal</v>
      </c>
      <c r="L137" s="4" t="str">
        <f>IF(Table15[[#This Row],[Total Amount]]&gt;=1000,"High",(IF(Table15[[#This Row],[Total Amount]]&gt;=500,"Medium","Low")))</f>
        <v>Medium</v>
      </c>
      <c r="M137" s="4" t="str" cm="1">
        <f t="array" ref="M13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37" s="4" cm="1">
        <f t="array" ref="N13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137" s="4">
        <f>Table15[[#This Row],[Total Amount]]-Table15[[#This Row],[Discount Amount]]</f>
        <v>540</v>
      </c>
    </row>
    <row r="138" spans="1:15" x14ac:dyDescent="0.35">
      <c r="A138" s="4">
        <v>137</v>
      </c>
      <c r="B138" s="5">
        <v>45248</v>
      </c>
      <c r="C138" s="4" t="s">
        <v>150</v>
      </c>
      <c r="D138" s="4" t="s">
        <v>10</v>
      </c>
      <c r="E138" s="4">
        <v>46</v>
      </c>
      <c r="F138" s="4" t="str">
        <f>IF(Table15[[#This Row],[Age]]&lt;=19,"Teenager",IF(Table15[[#This Row],[Age]]&lt;=40,"Median","Old"))</f>
        <v>Old</v>
      </c>
      <c r="G138" s="4" t="s">
        <v>11</v>
      </c>
      <c r="H138" s="4">
        <v>2</v>
      </c>
      <c r="I138" s="4">
        <v>500</v>
      </c>
      <c r="J138" s="4">
        <v>1000</v>
      </c>
      <c r="K138" s="4" t="str" cm="1">
        <f t="array" ref="K138">_xlfn.IFS(AND(Table15[[#This Row],[Total Amount]]&gt;=1500),"Critical",AND(Table15[[#This Row],[Total Amount]]&gt;=1000),"High",TRUE,"Normal")</f>
        <v>High</v>
      </c>
      <c r="L138" s="4" t="str">
        <f>IF(Table15[[#This Row],[Total Amount]]&gt;=1000,"High",(IF(Table15[[#This Row],[Total Amount]]&gt;=500,"Medium","Low")))</f>
        <v>High</v>
      </c>
      <c r="M138" s="4" t="str" cm="1">
        <f t="array" ref="M13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38" s="4" cm="1">
        <f t="array" ref="N13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138" s="4">
        <f>Table15[[#This Row],[Total Amount]]-Table15[[#This Row],[Discount Amount]]</f>
        <v>900</v>
      </c>
    </row>
    <row r="139" spans="1:15" x14ac:dyDescent="0.35">
      <c r="A139" s="4">
        <v>138</v>
      </c>
      <c r="B139" s="5">
        <v>45008</v>
      </c>
      <c r="C139" s="4" t="s">
        <v>151</v>
      </c>
      <c r="D139" s="4" t="s">
        <v>10</v>
      </c>
      <c r="E139" s="4">
        <v>49</v>
      </c>
      <c r="F139" s="4" t="str">
        <f>IF(Table15[[#This Row],[Age]]&lt;=19,"Teenager",IF(Table15[[#This Row],[Age]]&lt;=40,"Median","Old"))</f>
        <v>Old</v>
      </c>
      <c r="G139" s="4" t="s">
        <v>14</v>
      </c>
      <c r="H139" s="4">
        <v>4</v>
      </c>
      <c r="I139" s="4">
        <v>50</v>
      </c>
      <c r="J139" s="4">
        <v>200</v>
      </c>
      <c r="K139" s="4" t="str" cm="1">
        <f t="array" ref="K139">_xlfn.IFS(AND(Table15[[#This Row],[Total Amount]]&gt;=1500),"Critical",AND(Table15[[#This Row],[Total Amount]]&gt;=1000),"High",TRUE,"Normal")</f>
        <v>Normal</v>
      </c>
      <c r="L139" s="4" t="str">
        <f>IF(Table15[[#This Row],[Total Amount]]&gt;=1000,"High",(IF(Table15[[#This Row],[Total Amount]]&gt;=500,"Medium","Low")))</f>
        <v>Low</v>
      </c>
      <c r="M139" s="4" t="str" cm="1">
        <f t="array" ref="M13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39" s="4" cm="1">
        <f t="array" ref="N13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139" s="4">
        <f>Table15[[#This Row],[Total Amount]]-Table15[[#This Row],[Discount Amount]]</f>
        <v>180</v>
      </c>
    </row>
    <row r="140" spans="1:15" x14ac:dyDescent="0.35">
      <c r="A140" s="4">
        <v>139</v>
      </c>
      <c r="B140" s="5">
        <v>45275</v>
      </c>
      <c r="C140" s="4" t="s">
        <v>152</v>
      </c>
      <c r="D140" s="4" t="s">
        <v>10</v>
      </c>
      <c r="E140" s="4">
        <v>36</v>
      </c>
      <c r="F140" s="4" t="str">
        <f>IF(Table15[[#This Row],[Age]]&lt;=19,"Teenager",IF(Table15[[#This Row],[Age]]&lt;=40,"Median","Old"))</f>
        <v>Median</v>
      </c>
      <c r="G140" s="4" t="s">
        <v>11</v>
      </c>
      <c r="H140" s="4">
        <v>4</v>
      </c>
      <c r="I140" s="4">
        <v>500</v>
      </c>
      <c r="J140" s="4">
        <v>2000</v>
      </c>
      <c r="K140" s="4" t="str" cm="1">
        <f t="array" ref="K140">_xlfn.IFS(AND(Table15[[#This Row],[Total Amount]]&gt;=1500),"Critical",AND(Table15[[#This Row],[Total Amount]]&gt;=1000),"High",TRUE,"Normal")</f>
        <v>Critical</v>
      </c>
      <c r="L140" s="4" t="str">
        <f>IF(Table15[[#This Row],[Total Amount]]&gt;=1000,"High",(IF(Table15[[#This Row],[Total Amount]]&gt;=500,"Medium","Low")))</f>
        <v>High</v>
      </c>
      <c r="M140" s="4" t="str" cm="1">
        <f t="array" ref="M14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40" s="4" cm="1">
        <f t="array" ref="N14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140" s="4">
        <f>Table15[[#This Row],[Total Amount]]-Table15[[#This Row],[Discount Amount]]</f>
        <v>1800</v>
      </c>
    </row>
    <row r="141" spans="1:15" x14ac:dyDescent="0.35">
      <c r="A141" s="4">
        <v>140</v>
      </c>
      <c r="B141" s="5">
        <v>45143</v>
      </c>
      <c r="C141" s="4" t="s">
        <v>153</v>
      </c>
      <c r="D141" s="4" t="s">
        <v>10</v>
      </c>
      <c r="E141" s="4">
        <v>38</v>
      </c>
      <c r="F141" s="4" t="str">
        <f>IF(Table15[[#This Row],[Age]]&lt;=19,"Teenager",IF(Table15[[#This Row],[Age]]&lt;=40,"Median","Old"))</f>
        <v>Median</v>
      </c>
      <c r="G141" s="4" t="s">
        <v>16</v>
      </c>
      <c r="H141" s="4">
        <v>1</v>
      </c>
      <c r="I141" s="4">
        <v>30</v>
      </c>
      <c r="J141" s="4">
        <v>30</v>
      </c>
      <c r="K141" s="4" t="str" cm="1">
        <f t="array" ref="K141">_xlfn.IFS(AND(Table15[[#This Row],[Total Amount]]&gt;=1500),"Critical",AND(Table15[[#This Row],[Total Amount]]&gt;=1000),"High",TRUE,"Normal")</f>
        <v>Normal</v>
      </c>
      <c r="L141" s="4" t="str">
        <f>IF(Table15[[#This Row],[Total Amount]]&gt;=1000,"High",(IF(Table15[[#This Row],[Total Amount]]&gt;=500,"Medium","Low")))</f>
        <v>Low</v>
      </c>
      <c r="M141" s="4" t="str" cm="1">
        <f t="array" ref="M14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41" s="4" cm="1">
        <f t="array" ref="N14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141" s="4">
        <f>Table15[[#This Row],[Total Amount]]-Table15[[#This Row],[Discount Amount]]</f>
        <v>27</v>
      </c>
    </row>
    <row r="142" spans="1:15" x14ac:dyDescent="0.35">
      <c r="A142" s="4">
        <v>141</v>
      </c>
      <c r="B142" s="5">
        <v>45232</v>
      </c>
      <c r="C142" s="4" t="s">
        <v>154</v>
      </c>
      <c r="D142" s="4" t="s">
        <v>13</v>
      </c>
      <c r="E142" s="4">
        <v>22</v>
      </c>
      <c r="F142" s="4" t="str">
        <f>IF(Table15[[#This Row],[Age]]&lt;=19,"Teenager",IF(Table15[[#This Row],[Age]]&lt;=40,"Median","Old"))</f>
        <v>Median</v>
      </c>
      <c r="G142" s="4" t="s">
        <v>16</v>
      </c>
      <c r="H142" s="4">
        <v>1</v>
      </c>
      <c r="I142" s="4">
        <v>50</v>
      </c>
      <c r="J142" s="4">
        <v>50</v>
      </c>
      <c r="K142" s="4" t="str" cm="1">
        <f t="array" ref="K142">_xlfn.IFS(AND(Table15[[#This Row],[Total Amount]]&gt;=1500),"Critical",AND(Table15[[#This Row],[Total Amount]]&gt;=1000),"High",TRUE,"Normal")</f>
        <v>Normal</v>
      </c>
      <c r="L142" s="4" t="str">
        <f>IF(Table15[[#This Row],[Total Amount]]&gt;=1000,"High",(IF(Table15[[#This Row],[Total Amount]]&gt;=500,"Medium","Low")))</f>
        <v>Low</v>
      </c>
      <c r="M142" s="4" t="str" cm="1">
        <f t="array" ref="M14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42" s="4" cm="1">
        <f t="array" ref="N14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42" s="4">
        <f>Table15[[#This Row],[Total Amount]]-Table15[[#This Row],[Discount Amount]]</f>
        <v>50</v>
      </c>
    </row>
    <row r="143" spans="1:15" x14ac:dyDescent="0.35">
      <c r="A143" s="4">
        <v>142</v>
      </c>
      <c r="B143" s="5">
        <v>44959</v>
      </c>
      <c r="C143" s="4" t="s">
        <v>155</v>
      </c>
      <c r="D143" s="4" t="s">
        <v>10</v>
      </c>
      <c r="E143" s="4">
        <v>35</v>
      </c>
      <c r="F143" s="4" t="str">
        <f>IF(Table15[[#This Row],[Age]]&lt;=19,"Teenager",IF(Table15[[#This Row],[Age]]&lt;=40,"Median","Old"))</f>
        <v>Median</v>
      </c>
      <c r="G143" s="4" t="s">
        <v>16</v>
      </c>
      <c r="H143" s="4">
        <v>4</v>
      </c>
      <c r="I143" s="4">
        <v>300</v>
      </c>
      <c r="J143" s="4">
        <v>1200</v>
      </c>
      <c r="K143" s="4" t="str" cm="1">
        <f t="array" ref="K143">_xlfn.IFS(AND(Table15[[#This Row],[Total Amount]]&gt;=1500),"Critical",AND(Table15[[#This Row],[Total Amount]]&gt;=1000),"High",TRUE,"Normal")</f>
        <v>High</v>
      </c>
      <c r="L143" s="4" t="str">
        <f>IF(Table15[[#This Row],[Total Amount]]&gt;=1000,"High",(IF(Table15[[#This Row],[Total Amount]]&gt;=500,"Medium","Low")))</f>
        <v>High</v>
      </c>
      <c r="M143" s="4" t="str" cm="1">
        <f t="array" ref="M14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43" s="4" cm="1">
        <f t="array" ref="N14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143" s="4">
        <f>Table15[[#This Row],[Total Amount]]-Table15[[#This Row],[Discount Amount]]</f>
        <v>1080</v>
      </c>
    </row>
    <row r="144" spans="1:15" x14ac:dyDescent="0.35">
      <c r="A144" s="4">
        <v>143</v>
      </c>
      <c r="B144" s="5">
        <v>45124</v>
      </c>
      <c r="C144" s="4" t="s">
        <v>156</v>
      </c>
      <c r="D144" s="4" t="s">
        <v>13</v>
      </c>
      <c r="E144" s="4">
        <v>45</v>
      </c>
      <c r="F144" s="4" t="str">
        <f>IF(Table15[[#This Row],[Age]]&lt;=19,"Teenager",IF(Table15[[#This Row],[Age]]&lt;=40,"Median","Old"))</f>
        <v>Old</v>
      </c>
      <c r="G144" s="4" t="s">
        <v>14</v>
      </c>
      <c r="H144" s="4">
        <v>1</v>
      </c>
      <c r="I144" s="4">
        <v>50</v>
      </c>
      <c r="J144" s="4">
        <v>50</v>
      </c>
      <c r="K144" s="4" t="str" cm="1">
        <f t="array" ref="K144">_xlfn.IFS(AND(Table15[[#This Row],[Total Amount]]&gt;=1500),"Critical",AND(Table15[[#This Row],[Total Amount]]&gt;=1000),"High",TRUE,"Normal")</f>
        <v>Normal</v>
      </c>
      <c r="L144" s="4" t="str">
        <f>IF(Table15[[#This Row],[Total Amount]]&gt;=1000,"High",(IF(Table15[[#This Row],[Total Amount]]&gt;=500,"Medium","Low")))</f>
        <v>Low</v>
      </c>
      <c r="M144" s="4" t="str" cm="1">
        <f t="array" ref="M14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44" s="4" cm="1">
        <f t="array" ref="N14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144" s="4">
        <f>Table15[[#This Row],[Total Amount]]-Table15[[#This Row],[Discount Amount]]</f>
        <v>40</v>
      </c>
    </row>
    <row r="145" spans="1:15" x14ac:dyDescent="0.35">
      <c r="A145" s="4">
        <v>144</v>
      </c>
      <c r="B145" s="5">
        <v>45122</v>
      </c>
      <c r="C145" s="4" t="s">
        <v>157</v>
      </c>
      <c r="D145" s="4" t="s">
        <v>13</v>
      </c>
      <c r="E145" s="4">
        <v>59</v>
      </c>
      <c r="F145" s="4" t="str">
        <f>IF(Table15[[#This Row],[Age]]&lt;=19,"Teenager",IF(Table15[[#This Row],[Age]]&lt;=40,"Median","Old"))</f>
        <v>Old</v>
      </c>
      <c r="G145" s="4" t="s">
        <v>11</v>
      </c>
      <c r="H145" s="4">
        <v>3</v>
      </c>
      <c r="I145" s="4">
        <v>500</v>
      </c>
      <c r="J145" s="4">
        <v>1500</v>
      </c>
      <c r="K145" s="4" t="str" cm="1">
        <f t="array" ref="K145">_xlfn.IFS(AND(Table15[[#This Row],[Total Amount]]&gt;=1500),"Critical",AND(Table15[[#This Row],[Total Amount]]&gt;=1000),"High",TRUE,"Normal")</f>
        <v>Critical</v>
      </c>
      <c r="L145" s="4" t="str">
        <f>IF(Table15[[#This Row],[Total Amount]]&gt;=1000,"High",(IF(Table15[[#This Row],[Total Amount]]&gt;=500,"Medium","Low")))</f>
        <v>High</v>
      </c>
      <c r="M145" s="4" t="str" cm="1">
        <f t="array" ref="M14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45" s="4" cm="1">
        <f t="array" ref="N14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145" s="4">
        <f>Table15[[#This Row],[Total Amount]]-Table15[[#This Row],[Discount Amount]]</f>
        <v>1200</v>
      </c>
    </row>
    <row r="146" spans="1:15" x14ac:dyDescent="0.35">
      <c r="A146" s="4">
        <v>145</v>
      </c>
      <c r="B146" s="5">
        <v>45232</v>
      </c>
      <c r="C146" s="4" t="s">
        <v>158</v>
      </c>
      <c r="D146" s="4" t="s">
        <v>13</v>
      </c>
      <c r="E146" s="4">
        <v>39</v>
      </c>
      <c r="F146" s="4" t="str">
        <f>IF(Table15[[#This Row],[Age]]&lt;=19,"Teenager",IF(Table15[[#This Row],[Age]]&lt;=40,"Median","Old"))</f>
        <v>Median</v>
      </c>
      <c r="G146" s="4" t="s">
        <v>14</v>
      </c>
      <c r="H146" s="4">
        <v>3</v>
      </c>
      <c r="I146" s="4">
        <v>25</v>
      </c>
      <c r="J146" s="4">
        <v>75</v>
      </c>
      <c r="K146" s="4" t="str" cm="1">
        <f t="array" ref="K146">_xlfn.IFS(AND(Table15[[#This Row],[Total Amount]]&gt;=1500),"Critical",AND(Table15[[#This Row],[Total Amount]]&gt;=1000),"High",TRUE,"Normal")</f>
        <v>Normal</v>
      </c>
      <c r="L146" s="4" t="str">
        <f>IF(Table15[[#This Row],[Total Amount]]&gt;=1000,"High",(IF(Table15[[#This Row],[Total Amount]]&gt;=500,"Medium","Low")))</f>
        <v>Low</v>
      </c>
      <c r="M146" s="4" t="str" cm="1">
        <f t="array" ref="M14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46" s="4" cm="1">
        <f t="array" ref="N14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146" s="4">
        <f>Table15[[#This Row],[Total Amount]]-Table15[[#This Row],[Discount Amount]]</f>
        <v>60</v>
      </c>
    </row>
    <row r="147" spans="1:15" x14ac:dyDescent="0.35">
      <c r="A147" s="4">
        <v>146</v>
      </c>
      <c r="B147" s="5">
        <v>45166</v>
      </c>
      <c r="C147" s="4" t="s">
        <v>159</v>
      </c>
      <c r="D147" s="4" t="s">
        <v>10</v>
      </c>
      <c r="E147" s="4">
        <v>38</v>
      </c>
      <c r="F147" s="4" t="str">
        <f>IF(Table15[[#This Row],[Age]]&lt;=19,"Teenager",IF(Table15[[#This Row],[Age]]&lt;=40,"Median","Old"))</f>
        <v>Median</v>
      </c>
      <c r="G147" s="4" t="s">
        <v>14</v>
      </c>
      <c r="H147" s="4">
        <v>4</v>
      </c>
      <c r="I147" s="4">
        <v>50</v>
      </c>
      <c r="J147" s="4">
        <v>200</v>
      </c>
      <c r="K147" s="4" t="str" cm="1">
        <f t="array" ref="K147">_xlfn.IFS(AND(Table15[[#This Row],[Total Amount]]&gt;=1500),"Critical",AND(Table15[[#This Row],[Total Amount]]&gt;=1000),"High",TRUE,"Normal")</f>
        <v>Normal</v>
      </c>
      <c r="L147" s="4" t="str">
        <f>IF(Table15[[#This Row],[Total Amount]]&gt;=1000,"High",(IF(Table15[[#This Row],[Total Amount]]&gt;=500,"Medium","Low")))</f>
        <v>Low</v>
      </c>
      <c r="M147" s="4" t="str" cm="1">
        <f t="array" ref="M14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47" s="4" cm="1">
        <f t="array" ref="N14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147" s="4">
        <f>Table15[[#This Row],[Total Amount]]-Table15[[#This Row],[Discount Amount]]</f>
        <v>180</v>
      </c>
    </row>
    <row r="148" spans="1:15" x14ac:dyDescent="0.35">
      <c r="A148" s="4">
        <v>147</v>
      </c>
      <c r="B148" s="5">
        <v>45197</v>
      </c>
      <c r="C148" s="4" t="s">
        <v>160</v>
      </c>
      <c r="D148" s="4" t="s">
        <v>10</v>
      </c>
      <c r="E148" s="4">
        <v>23</v>
      </c>
      <c r="F148" s="4" t="str">
        <f>IF(Table15[[#This Row],[Age]]&lt;=19,"Teenager",IF(Table15[[#This Row],[Age]]&lt;=40,"Median","Old"))</f>
        <v>Median</v>
      </c>
      <c r="G148" s="4" t="s">
        <v>16</v>
      </c>
      <c r="H148" s="4">
        <v>1</v>
      </c>
      <c r="I148" s="4">
        <v>300</v>
      </c>
      <c r="J148" s="4">
        <v>300</v>
      </c>
      <c r="K148" s="4" t="str" cm="1">
        <f t="array" ref="K148">_xlfn.IFS(AND(Table15[[#This Row],[Total Amount]]&gt;=1500),"Critical",AND(Table15[[#This Row],[Total Amount]]&gt;=1000),"High",TRUE,"Normal")</f>
        <v>Normal</v>
      </c>
      <c r="L148" s="4" t="str">
        <f>IF(Table15[[#This Row],[Total Amount]]&gt;=1000,"High",(IF(Table15[[#This Row],[Total Amount]]&gt;=500,"Medium","Low")))</f>
        <v>Low</v>
      </c>
      <c r="M148" s="4" t="str" cm="1">
        <f t="array" ref="M14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48" s="4" cm="1">
        <f t="array" ref="N14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48" s="4">
        <f>Table15[[#This Row],[Total Amount]]-Table15[[#This Row],[Discount Amount]]</f>
        <v>300</v>
      </c>
    </row>
    <row r="149" spans="1:15" x14ac:dyDescent="0.35">
      <c r="A149" s="4">
        <v>148</v>
      </c>
      <c r="B149" s="5">
        <v>45055</v>
      </c>
      <c r="C149" s="4" t="s">
        <v>161</v>
      </c>
      <c r="D149" s="4" t="s">
        <v>10</v>
      </c>
      <c r="E149" s="4">
        <v>18</v>
      </c>
      <c r="F149" s="4" t="str">
        <f>IF(Table15[[#This Row],[Age]]&lt;=19,"Teenager",IF(Table15[[#This Row],[Age]]&lt;=40,"Median","Old"))</f>
        <v>Teenager</v>
      </c>
      <c r="G149" s="4" t="s">
        <v>14</v>
      </c>
      <c r="H149" s="4">
        <v>2</v>
      </c>
      <c r="I149" s="4">
        <v>30</v>
      </c>
      <c r="J149" s="4">
        <v>60</v>
      </c>
      <c r="K149" s="4" t="str" cm="1">
        <f t="array" ref="K149">_xlfn.IFS(AND(Table15[[#This Row],[Total Amount]]&gt;=1500),"Critical",AND(Table15[[#This Row],[Total Amount]]&gt;=1000),"High",TRUE,"Normal")</f>
        <v>Normal</v>
      </c>
      <c r="L149" s="4" t="str">
        <f>IF(Table15[[#This Row],[Total Amount]]&gt;=1000,"High",(IF(Table15[[#This Row],[Total Amount]]&gt;=500,"Medium","Low")))</f>
        <v>Low</v>
      </c>
      <c r="M149" s="4" t="str" cm="1">
        <f t="array" ref="M14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49" s="4" cm="1">
        <f t="array" ref="N14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49" s="4">
        <f>Table15[[#This Row],[Total Amount]]-Table15[[#This Row],[Discount Amount]]</f>
        <v>60</v>
      </c>
    </row>
    <row r="150" spans="1:15" x14ac:dyDescent="0.35">
      <c r="A150" s="4">
        <v>149</v>
      </c>
      <c r="B150" s="5">
        <v>45210</v>
      </c>
      <c r="C150" s="4" t="s">
        <v>162</v>
      </c>
      <c r="D150" s="4" t="s">
        <v>10</v>
      </c>
      <c r="E150" s="4">
        <v>22</v>
      </c>
      <c r="F150" s="4" t="str">
        <f>IF(Table15[[#This Row],[Age]]&lt;=19,"Teenager",IF(Table15[[#This Row],[Age]]&lt;=40,"Median","Old"))</f>
        <v>Median</v>
      </c>
      <c r="G150" s="4" t="s">
        <v>14</v>
      </c>
      <c r="H150" s="4">
        <v>3</v>
      </c>
      <c r="I150" s="4">
        <v>25</v>
      </c>
      <c r="J150" s="4">
        <v>75</v>
      </c>
      <c r="K150" s="4" t="str" cm="1">
        <f t="array" ref="K150">_xlfn.IFS(AND(Table15[[#This Row],[Total Amount]]&gt;=1500),"Critical",AND(Table15[[#This Row],[Total Amount]]&gt;=1000),"High",TRUE,"Normal")</f>
        <v>Normal</v>
      </c>
      <c r="L150" s="4" t="str">
        <f>IF(Table15[[#This Row],[Total Amount]]&gt;=1000,"High",(IF(Table15[[#This Row],[Total Amount]]&gt;=500,"Medium","Low")))</f>
        <v>Low</v>
      </c>
      <c r="M150" s="4" t="str" cm="1">
        <f t="array" ref="M15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50" s="4" cm="1">
        <f t="array" ref="N15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50" s="4">
        <f>Table15[[#This Row],[Total Amount]]-Table15[[#This Row],[Discount Amount]]</f>
        <v>75</v>
      </c>
    </row>
    <row r="151" spans="1:15" x14ac:dyDescent="0.35">
      <c r="A151" s="4">
        <v>150</v>
      </c>
      <c r="B151" s="5">
        <v>44932</v>
      </c>
      <c r="C151" s="4" t="s">
        <v>163</v>
      </c>
      <c r="D151" s="4" t="s">
        <v>13</v>
      </c>
      <c r="E151" s="4">
        <v>58</v>
      </c>
      <c r="F151" s="4" t="str">
        <f>IF(Table15[[#This Row],[Age]]&lt;=19,"Teenager",IF(Table15[[#This Row],[Age]]&lt;=40,"Median","Old"))</f>
        <v>Old</v>
      </c>
      <c r="G151" s="4" t="s">
        <v>16</v>
      </c>
      <c r="H151" s="4">
        <v>4</v>
      </c>
      <c r="I151" s="4">
        <v>30</v>
      </c>
      <c r="J151" s="4">
        <v>120</v>
      </c>
      <c r="K151" s="4" t="str" cm="1">
        <f t="array" ref="K151">_xlfn.IFS(AND(Table15[[#This Row],[Total Amount]]&gt;=1500),"Critical",AND(Table15[[#This Row],[Total Amount]]&gt;=1000),"High",TRUE,"Normal")</f>
        <v>Normal</v>
      </c>
      <c r="L151" s="4" t="str">
        <f>IF(Table15[[#This Row],[Total Amount]]&gt;=1000,"High",(IF(Table15[[#This Row],[Total Amount]]&gt;=500,"Medium","Low")))</f>
        <v>Low</v>
      </c>
      <c r="M151" s="4" t="str" cm="1">
        <f t="array" ref="M15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51" s="4" cm="1">
        <f t="array" ref="N15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151" s="4">
        <f>Table15[[#This Row],[Total Amount]]-Table15[[#This Row],[Discount Amount]]</f>
        <v>96</v>
      </c>
    </row>
    <row r="152" spans="1:15" x14ac:dyDescent="0.35">
      <c r="A152" s="4">
        <v>151</v>
      </c>
      <c r="B152" s="5">
        <v>45275</v>
      </c>
      <c r="C152" s="4" t="s">
        <v>164</v>
      </c>
      <c r="D152" s="4" t="s">
        <v>10</v>
      </c>
      <c r="E152" s="4">
        <v>29</v>
      </c>
      <c r="F152" s="4" t="str">
        <f>IF(Table15[[#This Row],[Age]]&lt;=19,"Teenager",IF(Table15[[#This Row],[Age]]&lt;=40,"Median","Old"))</f>
        <v>Median</v>
      </c>
      <c r="G152" s="4" t="s">
        <v>14</v>
      </c>
      <c r="H152" s="4">
        <v>1</v>
      </c>
      <c r="I152" s="4">
        <v>50</v>
      </c>
      <c r="J152" s="4">
        <v>50</v>
      </c>
      <c r="K152" s="4" t="str" cm="1">
        <f t="array" ref="K152">_xlfn.IFS(AND(Table15[[#This Row],[Total Amount]]&gt;=1500),"Critical",AND(Table15[[#This Row],[Total Amount]]&gt;=1000),"High",TRUE,"Normal")</f>
        <v>Normal</v>
      </c>
      <c r="L152" s="4" t="str">
        <f>IF(Table15[[#This Row],[Total Amount]]&gt;=1000,"High",(IF(Table15[[#This Row],[Total Amount]]&gt;=500,"Medium","Low")))</f>
        <v>Low</v>
      </c>
      <c r="M152" s="4" t="str" cm="1">
        <f t="array" ref="M15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52" s="4" cm="1">
        <f t="array" ref="N15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152" s="4">
        <f>Table15[[#This Row],[Total Amount]]-Table15[[#This Row],[Discount Amount]]</f>
        <v>42.5</v>
      </c>
    </row>
    <row r="153" spans="1:15" x14ac:dyDescent="0.35">
      <c r="A153" s="4">
        <v>152</v>
      </c>
      <c r="B153" s="5">
        <v>44985</v>
      </c>
      <c r="C153" s="4" t="s">
        <v>165</v>
      </c>
      <c r="D153" s="4" t="s">
        <v>10</v>
      </c>
      <c r="E153" s="4">
        <v>43</v>
      </c>
      <c r="F153" s="4" t="str">
        <f>IF(Table15[[#This Row],[Age]]&lt;=19,"Teenager",IF(Table15[[#This Row],[Age]]&lt;=40,"Median","Old"))</f>
        <v>Old</v>
      </c>
      <c r="G153" s="4" t="s">
        <v>16</v>
      </c>
      <c r="H153" s="4">
        <v>4</v>
      </c>
      <c r="I153" s="4">
        <v>500</v>
      </c>
      <c r="J153" s="4">
        <v>2000</v>
      </c>
      <c r="K153" s="4" t="str" cm="1">
        <f t="array" ref="K153">_xlfn.IFS(AND(Table15[[#This Row],[Total Amount]]&gt;=1500),"Critical",AND(Table15[[#This Row],[Total Amount]]&gt;=1000),"High",TRUE,"Normal")</f>
        <v>Critical</v>
      </c>
      <c r="L153" s="4" t="str">
        <f>IF(Table15[[#This Row],[Total Amount]]&gt;=1000,"High",(IF(Table15[[#This Row],[Total Amount]]&gt;=500,"Medium","Low")))</f>
        <v>High</v>
      </c>
      <c r="M153" s="4" t="str" cm="1">
        <f t="array" ref="M15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53" s="4" cm="1">
        <f t="array" ref="N15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153" s="4">
        <f>Table15[[#This Row],[Total Amount]]-Table15[[#This Row],[Discount Amount]]</f>
        <v>1800</v>
      </c>
    </row>
    <row r="154" spans="1:15" x14ac:dyDescent="0.35">
      <c r="A154" s="4">
        <v>153</v>
      </c>
      <c r="B154" s="5">
        <v>45276</v>
      </c>
      <c r="C154" s="4" t="s">
        <v>166</v>
      </c>
      <c r="D154" s="4" t="s">
        <v>10</v>
      </c>
      <c r="E154" s="4">
        <v>63</v>
      </c>
      <c r="F154" s="4" t="str">
        <f>IF(Table15[[#This Row],[Age]]&lt;=19,"Teenager",IF(Table15[[#This Row],[Age]]&lt;=40,"Median","Old"))</f>
        <v>Old</v>
      </c>
      <c r="G154" s="4" t="s">
        <v>16</v>
      </c>
      <c r="H154" s="4">
        <v>2</v>
      </c>
      <c r="I154" s="4">
        <v>500</v>
      </c>
      <c r="J154" s="4">
        <v>1000</v>
      </c>
      <c r="K154" s="4" t="str" cm="1">
        <f t="array" ref="K154">_xlfn.IFS(AND(Table15[[#This Row],[Total Amount]]&gt;=1500),"Critical",AND(Table15[[#This Row],[Total Amount]]&gt;=1000),"High",TRUE,"Normal")</f>
        <v>High</v>
      </c>
      <c r="L154" s="4" t="str">
        <f>IF(Table15[[#This Row],[Total Amount]]&gt;=1000,"High",(IF(Table15[[#This Row],[Total Amount]]&gt;=500,"Medium","Low")))</f>
        <v>High</v>
      </c>
      <c r="M154" s="4" t="str" cm="1">
        <f t="array" ref="M15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54" s="4" cm="1">
        <f t="array" ref="N15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154" s="4">
        <f>Table15[[#This Row],[Total Amount]]-Table15[[#This Row],[Discount Amount]]</f>
        <v>900</v>
      </c>
    </row>
    <row r="155" spans="1:15" x14ac:dyDescent="0.35">
      <c r="A155" s="4">
        <v>154</v>
      </c>
      <c r="B155" s="5">
        <v>45201</v>
      </c>
      <c r="C155" s="4" t="s">
        <v>167</v>
      </c>
      <c r="D155" s="4" t="s">
        <v>10</v>
      </c>
      <c r="E155" s="4">
        <v>51</v>
      </c>
      <c r="F155" s="4" t="str">
        <f>IF(Table15[[#This Row],[Age]]&lt;=19,"Teenager",IF(Table15[[#This Row],[Age]]&lt;=40,"Median","Old"))</f>
        <v>Old</v>
      </c>
      <c r="G155" s="4" t="s">
        <v>16</v>
      </c>
      <c r="H155" s="4">
        <v>3</v>
      </c>
      <c r="I155" s="4">
        <v>300</v>
      </c>
      <c r="J155" s="4">
        <v>900</v>
      </c>
      <c r="K155" s="4" t="str" cm="1">
        <f t="array" ref="K155">_xlfn.IFS(AND(Table15[[#This Row],[Total Amount]]&gt;=1500),"Critical",AND(Table15[[#This Row],[Total Amount]]&gt;=1000),"High",TRUE,"Normal")</f>
        <v>Normal</v>
      </c>
      <c r="L155" s="4" t="str">
        <f>IF(Table15[[#This Row],[Total Amount]]&gt;=1000,"High",(IF(Table15[[#This Row],[Total Amount]]&gt;=500,"Medium","Low")))</f>
        <v>Medium</v>
      </c>
      <c r="M155" s="4" t="str" cm="1">
        <f t="array" ref="M15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55" s="4" cm="1">
        <f t="array" ref="N15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155" s="4">
        <f>Table15[[#This Row],[Total Amount]]-Table15[[#This Row],[Discount Amount]]</f>
        <v>810</v>
      </c>
    </row>
    <row r="156" spans="1:15" x14ac:dyDescent="0.35">
      <c r="A156" s="4">
        <v>155</v>
      </c>
      <c r="B156" s="5">
        <v>45063</v>
      </c>
      <c r="C156" s="4" t="s">
        <v>168</v>
      </c>
      <c r="D156" s="4" t="s">
        <v>10</v>
      </c>
      <c r="E156" s="4">
        <v>31</v>
      </c>
      <c r="F156" s="4" t="str">
        <f>IF(Table15[[#This Row],[Age]]&lt;=19,"Teenager",IF(Table15[[#This Row],[Age]]&lt;=40,"Median","Old"))</f>
        <v>Median</v>
      </c>
      <c r="G156" s="4" t="s">
        <v>16</v>
      </c>
      <c r="H156" s="4">
        <v>4</v>
      </c>
      <c r="I156" s="4">
        <v>500</v>
      </c>
      <c r="J156" s="4">
        <v>2000</v>
      </c>
      <c r="K156" s="4" t="str" cm="1">
        <f t="array" ref="K156">_xlfn.IFS(AND(Table15[[#This Row],[Total Amount]]&gt;=1500),"Critical",AND(Table15[[#This Row],[Total Amount]]&gt;=1000),"High",TRUE,"Normal")</f>
        <v>Critical</v>
      </c>
      <c r="L156" s="4" t="str">
        <f>IF(Table15[[#This Row],[Total Amount]]&gt;=1000,"High",(IF(Table15[[#This Row],[Total Amount]]&gt;=500,"Medium","Low")))</f>
        <v>High</v>
      </c>
      <c r="M156" s="4" t="str" cm="1">
        <f t="array" ref="M15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56" s="4" cm="1">
        <f t="array" ref="N15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156" s="4">
        <f>Table15[[#This Row],[Total Amount]]-Table15[[#This Row],[Discount Amount]]</f>
        <v>1700</v>
      </c>
    </row>
    <row r="157" spans="1:15" x14ac:dyDescent="0.35">
      <c r="A157" s="4">
        <v>156</v>
      </c>
      <c r="B157" s="5">
        <v>45255</v>
      </c>
      <c r="C157" s="4" t="s">
        <v>169</v>
      </c>
      <c r="D157" s="4" t="s">
        <v>13</v>
      </c>
      <c r="E157" s="4">
        <v>43</v>
      </c>
      <c r="F157" s="4" t="str">
        <f>IF(Table15[[#This Row],[Age]]&lt;=19,"Teenager",IF(Table15[[#This Row],[Age]]&lt;=40,"Median","Old"))</f>
        <v>Old</v>
      </c>
      <c r="G157" s="4" t="s">
        <v>14</v>
      </c>
      <c r="H157" s="4">
        <v>4</v>
      </c>
      <c r="I157" s="4">
        <v>25</v>
      </c>
      <c r="J157" s="4">
        <v>100</v>
      </c>
      <c r="K157" s="4" t="str" cm="1">
        <f t="array" ref="K157">_xlfn.IFS(AND(Table15[[#This Row],[Total Amount]]&gt;=1500),"Critical",AND(Table15[[#This Row],[Total Amount]]&gt;=1000),"High",TRUE,"Normal")</f>
        <v>Normal</v>
      </c>
      <c r="L157" s="4" t="str">
        <f>IF(Table15[[#This Row],[Total Amount]]&gt;=1000,"High",(IF(Table15[[#This Row],[Total Amount]]&gt;=500,"Medium","Low")))</f>
        <v>Low</v>
      </c>
      <c r="M157" s="4" t="str" cm="1">
        <f t="array" ref="M15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57" s="4" cm="1">
        <f t="array" ref="N15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157" s="4">
        <f>Table15[[#This Row],[Total Amount]]-Table15[[#This Row],[Discount Amount]]</f>
        <v>80</v>
      </c>
    </row>
    <row r="158" spans="1:15" x14ac:dyDescent="0.35">
      <c r="A158" s="4">
        <v>157</v>
      </c>
      <c r="B158" s="5">
        <v>45101</v>
      </c>
      <c r="C158" s="4" t="s">
        <v>170</v>
      </c>
      <c r="D158" s="4" t="s">
        <v>10</v>
      </c>
      <c r="E158" s="4">
        <v>62</v>
      </c>
      <c r="F158" s="4" t="str">
        <f>IF(Table15[[#This Row],[Age]]&lt;=19,"Teenager",IF(Table15[[#This Row],[Age]]&lt;=40,"Median","Old"))</f>
        <v>Old</v>
      </c>
      <c r="G158" s="4" t="s">
        <v>16</v>
      </c>
      <c r="H158" s="4">
        <v>4</v>
      </c>
      <c r="I158" s="4">
        <v>500</v>
      </c>
      <c r="J158" s="4">
        <v>2000</v>
      </c>
      <c r="K158" s="4" t="str" cm="1">
        <f t="array" ref="K158">_xlfn.IFS(AND(Table15[[#This Row],[Total Amount]]&gt;=1500),"Critical",AND(Table15[[#This Row],[Total Amount]]&gt;=1000),"High",TRUE,"Normal")</f>
        <v>Critical</v>
      </c>
      <c r="L158" s="4" t="str">
        <f>IF(Table15[[#This Row],[Total Amount]]&gt;=1000,"High",(IF(Table15[[#This Row],[Total Amount]]&gt;=500,"Medium","Low")))</f>
        <v>High</v>
      </c>
      <c r="M158" s="4" t="str" cm="1">
        <f t="array" ref="M15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58" s="4" cm="1">
        <f t="array" ref="N15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158" s="4">
        <f>Table15[[#This Row],[Total Amount]]-Table15[[#This Row],[Discount Amount]]</f>
        <v>1800</v>
      </c>
    </row>
    <row r="159" spans="1:15" x14ac:dyDescent="0.35">
      <c r="A159" s="4">
        <v>158</v>
      </c>
      <c r="B159" s="5">
        <v>44984</v>
      </c>
      <c r="C159" s="4" t="s">
        <v>171</v>
      </c>
      <c r="D159" s="4" t="s">
        <v>13</v>
      </c>
      <c r="E159" s="4">
        <v>44</v>
      </c>
      <c r="F159" s="4" t="str">
        <f>IF(Table15[[#This Row],[Age]]&lt;=19,"Teenager",IF(Table15[[#This Row],[Age]]&lt;=40,"Median","Old"))</f>
        <v>Old</v>
      </c>
      <c r="G159" s="4" t="s">
        <v>16</v>
      </c>
      <c r="H159" s="4">
        <v>2</v>
      </c>
      <c r="I159" s="4">
        <v>300</v>
      </c>
      <c r="J159" s="4">
        <v>600</v>
      </c>
      <c r="K159" s="4" t="str" cm="1">
        <f t="array" ref="K159">_xlfn.IFS(AND(Table15[[#This Row],[Total Amount]]&gt;=1500),"Critical",AND(Table15[[#This Row],[Total Amount]]&gt;=1000),"High",TRUE,"Normal")</f>
        <v>Normal</v>
      </c>
      <c r="L159" s="4" t="str">
        <f>IF(Table15[[#This Row],[Total Amount]]&gt;=1000,"High",(IF(Table15[[#This Row],[Total Amount]]&gt;=500,"Medium","Low")))</f>
        <v>Medium</v>
      </c>
      <c r="M159" s="4" t="str" cm="1">
        <f t="array" ref="M15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59" s="4" cm="1">
        <f t="array" ref="N15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159" s="4">
        <f>Table15[[#This Row],[Total Amount]]-Table15[[#This Row],[Discount Amount]]</f>
        <v>480</v>
      </c>
    </row>
    <row r="160" spans="1:15" x14ac:dyDescent="0.35">
      <c r="A160" s="4">
        <v>159</v>
      </c>
      <c r="B160" s="5">
        <v>45077</v>
      </c>
      <c r="C160" s="4" t="s">
        <v>172</v>
      </c>
      <c r="D160" s="4" t="s">
        <v>10</v>
      </c>
      <c r="E160" s="4">
        <v>26</v>
      </c>
      <c r="F160" s="4" t="str">
        <f>IF(Table15[[#This Row],[Age]]&lt;=19,"Teenager",IF(Table15[[#This Row],[Age]]&lt;=40,"Median","Old"))</f>
        <v>Median</v>
      </c>
      <c r="G160" s="4" t="s">
        <v>14</v>
      </c>
      <c r="H160" s="4">
        <v>4</v>
      </c>
      <c r="I160" s="4">
        <v>50</v>
      </c>
      <c r="J160" s="4">
        <v>200</v>
      </c>
      <c r="K160" s="4" t="str" cm="1">
        <f t="array" ref="K160">_xlfn.IFS(AND(Table15[[#This Row],[Total Amount]]&gt;=1500),"Critical",AND(Table15[[#This Row],[Total Amount]]&gt;=1000),"High",TRUE,"Normal")</f>
        <v>Normal</v>
      </c>
      <c r="L160" s="4" t="str">
        <f>IF(Table15[[#This Row],[Total Amount]]&gt;=1000,"High",(IF(Table15[[#This Row],[Total Amount]]&gt;=500,"Medium","Low")))</f>
        <v>Low</v>
      </c>
      <c r="M160" s="4" t="str" cm="1">
        <f t="array" ref="M16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60" s="4" cm="1">
        <f t="array" ref="N16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160" s="4">
        <f>Table15[[#This Row],[Total Amount]]-Table15[[#This Row],[Discount Amount]]</f>
        <v>170</v>
      </c>
    </row>
    <row r="161" spans="1:15" x14ac:dyDescent="0.35">
      <c r="A161" s="4">
        <v>160</v>
      </c>
      <c r="B161" s="5">
        <v>45149</v>
      </c>
      <c r="C161" s="4" t="s">
        <v>173</v>
      </c>
      <c r="D161" s="4" t="s">
        <v>13</v>
      </c>
      <c r="E161" s="4">
        <v>43</v>
      </c>
      <c r="F161" s="4" t="str">
        <f>IF(Table15[[#This Row],[Age]]&lt;=19,"Teenager",IF(Table15[[#This Row],[Age]]&lt;=40,"Median","Old"))</f>
        <v>Old</v>
      </c>
      <c r="G161" s="4" t="s">
        <v>14</v>
      </c>
      <c r="H161" s="4">
        <v>2</v>
      </c>
      <c r="I161" s="4">
        <v>50</v>
      </c>
      <c r="J161" s="4">
        <v>100</v>
      </c>
      <c r="K161" s="4" t="str" cm="1">
        <f t="array" ref="K161">_xlfn.IFS(AND(Table15[[#This Row],[Total Amount]]&gt;=1500),"Critical",AND(Table15[[#This Row],[Total Amount]]&gt;=1000),"High",TRUE,"Normal")</f>
        <v>Normal</v>
      </c>
      <c r="L161" s="4" t="str">
        <f>IF(Table15[[#This Row],[Total Amount]]&gt;=1000,"High",(IF(Table15[[#This Row],[Total Amount]]&gt;=500,"Medium","Low")))</f>
        <v>Low</v>
      </c>
      <c r="M161" s="4" t="str" cm="1">
        <f t="array" ref="M16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61" s="4" cm="1">
        <f t="array" ref="N16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161" s="4">
        <f>Table15[[#This Row],[Total Amount]]-Table15[[#This Row],[Discount Amount]]</f>
        <v>80</v>
      </c>
    </row>
    <row r="162" spans="1:15" x14ac:dyDescent="0.35">
      <c r="A162" s="4">
        <v>161</v>
      </c>
      <c r="B162" s="5">
        <v>45007</v>
      </c>
      <c r="C162" s="4" t="s">
        <v>174</v>
      </c>
      <c r="D162" s="4" t="s">
        <v>10</v>
      </c>
      <c r="E162" s="4">
        <v>64</v>
      </c>
      <c r="F162" s="4" t="str">
        <f>IF(Table15[[#This Row],[Age]]&lt;=19,"Teenager",IF(Table15[[#This Row],[Age]]&lt;=40,"Median","Old"))</f>
        <v>Old</v>
      </c>
      <c r="G162" s="4" t="s">
        <v>11</v>
      </c>
      <c r="H162" s="4">
        <v>2</v>
      </c>
      <c r="I162" s="4">
        <v>500</v>
      </c>
      <c r="J162" s="4">
        <v>1000</v>
      </c>
      <c r="K162" s="4" t="str" cm="1">
        <f t="array" ref="K162">_xlfn.IFS(AND(Table15[[#This Row],[Total Amount]]&gt;=1500),"Critical",AND(Table15[[#This Row],[Total Amount]]&gt;=1000),"High",TRUE,"Normal")</f>
        <v>High</v>
      </c>
      <c r="L162" s="4" t="str">
        <f>IF(Table15[[#This Row],[Total Amount]]&gt;=1000,"High",(IF(Table15[[#This Row],[Total Amount]]&gt;=500,"Medium","Low")))</f>
        <v>High</v>
      </c>
      <c r="M162" s="4" t="str" cm="1">
        <f t="array" ref="M16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62" s="4" cm="1">
        <f t="array" ref="N16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162" s="4">
        <f>Table15[[#This Row],[Total Amount]]-Table15[[#This Row],[Discount Amount]]</f>
        <v>900</v>
      </c>
    </row>
    <row r="163" spans="1:15" x14ac:dyDescent="0.35">
      <c r="A163" s="4">
        <v>162</v>
      </c>
      <c r="B163" s="5">
        <v>45159</v>
      </c>
      <c r="C163" s="4" t="s">
        <v>175</v>
      </c>
      <c r="D163" s="4" t="s">
        <v>10</v>
      </c>
      <c r="E163" s="4">
        <v>39</v>
      </c>
      <c r="F163" s="4" t="str">
        <f>IF(Table15[[#This Row],[Age]]&lt;=19,"Teenager",IF(Table15[[#This Row],[Age]]&lt;=40,"Median","Old"))</f>
        <v>Median</v>
      </c>
      <c r="G163" s="4" t="s">
        <v>14</v>
      </c>
      <c r="H163" s="4">
        <v>2</v>
      </c>
      <c r="I163" s="4">
        <v>30</v>
      </c>
      <c r="J163" s="4">
        <v>60</v>
      </c>
      <c r="K163" s="4" t="str" cm="1">
        <f t="array" ref="K163">_xlfn.IFS(AND(Table15[[#This Row],[Total Amount]]&gt;=1500),"Critical",AND(Table15[[#This Row],[Total Amount]]&gt;=1000),"High",TRUE,"Normal")</f>
        <v>Normal</v>
      </c>
      <c r="L163" s="4" t="str">
        <f>IF(Table15[[#This Row],[Total Amount]]&gt;=1000,"High",(IF(Table15[[#This Row],[Total Amount]]&gt;=500,"Medium","Low")))</f>
        <v>Low</v>
      </c>
      <c r="M163" s="4" t="str" cm="1">
        <f t="array" ref="M16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63" s="4" cm="1">
        <f t="array" ref="N16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163" s="4">
        <f>Table15[[#This Row],[Total Amount]]-Table15[[#This Row],[Discount Amount]]</f>
        <v>54</v>
      </c>
    </row>
    <row r="164" spans="1:15" x14ac:dyDescent="0.35">
      <c r="A164" s="4">
        <v>163</v>
      </c>
      <c r="B164" s="5">
        <v>44928</v>
      </c>
      <c r="C164" s="4" t="s">
        <v>176</v>
      </c>
      <c r="D164" s="4" t="s">
        <v>13</v>
      </c>
      <c r="E164" s="4">
        <v>64</v>
      </c>
      <c r="F164" s="4" t="str">
        <f>IF(Table15[[#This Row],[Age]]&lt;=19,"Teenager",IF(Table15[[#This Row],[Age]]&lt;=40,"Median","Old"))</f>
        <v>Old</v>
      </c>
      <c r="G164" s="4" t="s">
        <v>14</v>
      </c>
      <c r="H164" s="4">
        <v>3</v>
      </c>
      <c r="I164" s="4">
        <v>50</v>
      </c>
      <c r="J164" s="4">
        <v>150</v>
      </c>
      <c r="K164" s="4" t="str" cm="1">
        <f t="array" ref="K164">_xlfn.IFS(AND(Table15[[#This Row],[Total Amount]]&gt;=1500),"Critical",AND(Table15[[#This Row],[Total Amount]]&gt;=1000),"High",TRUE,"Normal")</f>
        <v>Normal</v>
      </c>
      <c r="L164" s="4" t="str">
        <f>IF(Table15[[#This Row],[Total Amount]]&gt;=1000,"High",(IF(Table15[[#This Row],[Total Amount]]&gt;=500,"Medium","Low")))</f>
        <v>Low</v>
      </c>
      <c r="M164" s="4" t="str" cm="1">
        <f t="array" ref="M16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64" s="4" cm="1">
        <f t="array" ref="N16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164" s="4">
        <f>Table15[[#This Row],[Total Amount]]-Table15[[#This Row],[Discount Amount]]</f>
        <v>120</v>
      </c>
    </row>
    <row r="165" spans="1:15" x14ac:dyDescent="0.35">
      <c r="A165" s="4">
        <v>164</v>
      </c>
      <c r="B165" s="5">
        <v>45061</v>
      </c>
      <c r="C165" s="4" t="s">
        <v>177</v>
      </c>
      <c r="D165" s="4" t="s">
        <v>13</v>
      </c>
      <c r="E165" s="4">
        <v>47</v>
      </c>
      <c r="F165" s="4" t="str">
        <f>IF(Table15[[#This Row],[Age]]&lt;=19,"Teenager",IF(Table15[[#This Row],[Age]]&lt;=40,"Median","Old"))</f>
        <v>Old</v>
      </c>
      <c r="G165" s="4" t="s">
        <v>11</v>
      </c>
      <c r="H165" s="4">
        <v>3</v>
      </c>
      <c r="I165" s="4">
        <v>500</v>
      </c>
      <c r="J165" s="4">
        <v>1500</v>
      </c>
      <c r="K165" s="4" t="str" cm="1">
        <f t="array" ref="K165">_xlfn.IFS(AND(Table15[[#This Row],[Total Amount]]&gt;=1500),"Critical",AND(Table15[[#This Row],[Total Amount]]&gt;=1000),"High",TRUE,"Normal")</f>
        <v>Critical</v>
      </c>
      <c r="L165" s="4" t="str">
        <f>IF(Table15[[#This Row],[Total Amount]]&gt;=1000,"High",(IF(Table15[[#This Row],[Total Amount]]&gt;=500,"Medium","Low")))</f>
        <v>High</v>
      </c>
      <c r="M165" s="4" t="str" cm="1">
        <f t="array" ref="M16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65" s="4" cm="1">
        <f t="array" ref="N16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165" s="4">
        <f>Table15[[#This Row],[Total Amount]]-Table15[[#This Row],[Discount Amount]]</f>
        <v>1200</v>
      </c>
    </row>
    <row r="166" spans="1:15" x14ac:dyDescent="0.35">
      <c r="A166" s="4">
        <v>165</v>
      </c>
      <c r="B166" s="5">
        <v>45183</v>
      </c>
      <c r="C166" s="4" t="s">
        <v>178</v>
      </c>
      <c r="D166" s="4" t="s">
        <v>13</v>
      </c>
      <c r="E166" s="4">
        <v>60</v>
      </c>
      <c r="F166" s="4" t="str">
        <f>IF(Table15[[#This Row],[Age]]&lt;=19,"Teenager",IF(Table15[[#This Row],[Age]]&lt;=40,"Median","Old"))</f>
        <v>Old</v>
      </c>
      <c r="G166" s="4" t="s">
        <v>14</v>
      </c>
      <c r="H166" s="4">
        <v>4</v>
      </c>
      <c r="I166" s="4">
        <v>300</v>
      </c>
      <c r="J166" s="4">
        <v>1200</v>
      </c>
      <c r="K166" s="4" t="str" cm="1">
        <f t="array" ref="K166">_xlfn.IFS(AND(Table15[[#This Row],[Total Amount]]&gt;=1500),"Critical",AND(Table15[[#This Row],[Total Amount]]&gt;=1000),"High",TRUE,"Normal")</f>
        <v>High</v>
      </c>
      <c r="L166" s="4" t="str">
        <f>IF(Table15[[#This Row],[Total Amount]]&gt;=1000,"High",(IF(Table15[[#This Row],[Total Amount]]&gt;=500,"Medium","Low")))</f>
        <v>High</v>
      </c>
      <c r="M166" s="4" t="str" cm="1">
        <f t="array" ref="M16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66" s="4" cm="1">
        <f t="array" ref="N16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166" s="4">
        <f>Table15[[#This Row],[Total Amount]]-Table15[[#This Row],[Discount Amount]]</f>
        <v>960</v>
      </c>
    </row>
    <row r="167" spans="1:15" x14ac:dyDescent="0.35">
      <c r="A167" s="4">
        <v>166</v>
      </c>
      <c r="B167" s="5">
        <v>45018</v>
      </c>
      <c r="C167" s="4" t="s">
        <v>179</v>
      </c>
      <c r="D167" s="4" t="s">
        <v>10</v>
      </c>
      <c r="E167" s="4">
        <v>34</v>
      </c>
      <c r="F167" s="4" t="str">
        <f>IF(Table15[[#This Row],[Age]]&lt;=19,"Teenager",IF(Table15[[#This Row],[Age]]&lt;=40,"Median","Old"))</f>
        <v>Median</v>
      </c>
      <c r="G167" s="4" t="s">
        <v>14</v>
      </c>
      <c r="H167" s="4">
        <v>4</v>
      </c>
      <c r="I167" s="4">
        <v>500</v>
      </c>
      <c r="J167" s="4">
        <v>2000</v>
      </c>
      <c r="K167" s="4" t="str" cm="1">
        <f t="array" ref="K167">_xlfn.IFS(AND(Table15[[#This Row],[Total Amount]]&gt;=1500),"Critical",AND(Table15[[#This Row],[Total Amount]]&gt;=1000),"High",TRUE,"Normal")</f>
        <v>Critical</v>
      </c>
      <c r="L167" s="4" t="str">
        <f>IF(Table15[[#This Row],[Total Amount]]&gt;=1000,"High",(IF(Table15[[#This Row],[Total Amount]]&gt;=500,"Medium","Low")))</f>
        <v>High</v>
      </c>
      <c r="M167" s="4" t="str" cm="1">
        <f t="array" ref="M16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67" s="4" cm="1">
        <f t="array" ref="N16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167" s="4">
        <f>Table15[[#This Row],[Total Amount]]-Table15[[#This Row],[Discount Amount]]</f>
        <v>1700</v>
      </c>
    </row>
    <row r="168" spans="1:15" x14ac:dyDescent="0.35">
      <c r="A168" s="4">
        <v>167</v>
      </c>
      <c r="B168" s="5">
        <v>45186</v>
      </c>
      <c r="C168" s="4" t="s">
        <v>180</v>
      </c>
      <c r="D168" s="4" t="s">
        <v>13</v>
      </c>
      <c r="E168" s="4">
        <v>43</v>
      </c>
      <c r="F168" s="4" t="str">
        <f>IF(Table15[[#This Row],[Age]]&lt;=19,"Teenager",IF(Table15[[#This Row],[Age]]&lt;=40,"Median","Old"))</f>
        <v>Old</v>
      </c>
      <c r="G168" s="4" t="s">
        <v>14</v>
      </c>
      <c r="H168" s="4">
        <v>3</v>
      </c>
      <c r="I168" s="4">
        <v>50</v>
      </c>
      <c r="J168" s="4">
        <v>150</v>
      </c>
      <c r="K168" s="4" t="str" cm="1">
        <f t="array" ref="K168">_xlfn.IFS(AND(Table15[[#This Row],[Total Amount]]&gt;=1500),"Critical",AND(Table15[[#This Row],[Total Amount]]&gt;=1000),"High",TRUE,"Normal")</f>
        <v>Normal</v>
      </c>
      <c r="L168" s="4" t="str">
        <f>IF(Table15[[#This Row],[Total Amount]]&gt;=1000,"High",(IF(Table15[[#This Row],[Total Amount]]&gt;=500,"Medium","Low")))</f>
        <v>Low</v>
      </c>
      <c r="M168" s="4" t="str" cm="1">
        <f t="array" ref="M16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68" s="4" cm="1">
        <f t="array" ref="N16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168" s="4">
        <f>Table15[[#This Row],[Total Amount]]-Table15[[#This Row],[Discount Amount]]</f>
        <v>120</v>
      </c>
    </row>
    <row r="169" spans="1:15" x14ac:dyDescent="0.35">
      <c r="A169" s="4">
        <v>168</v>
      </c>
      <c r="B169" s="5">
        <v>44981</v>
      </c>
      <c r="C169" s="4" t="s">
        <v>181</v>
      </c>
      <c r="D169" s="4" t="s">
        <v>10</v>
      </c>
      <c r="E169" s="4">
        <v>53</v>
      </c>
      <c r="F169" s="4" t="str">
        <f>IF(Table15[[#This Row],[Age]]&lt;=19,"Teenager",IF(Table15[[#This Row],[Age]]&lt;=40,"Median","Old"))</f>
        <v>Old</v>
      </c>
      <c r="G169" s="4" t="s">
        <v>14</v>
      </c>
      <c r="H169" s="4">
        <v>1</v>
      </c>
      <c r="I169" s="4">
        <v>300</v>
      </c>
      <c r="J169" s="4">
        <v>300</v>
      </c>
      <c r="K169" s="4" t="str" cm="1">
        <f t="array" ref="K169">_xlfn.IFS(AND(Table15[[#This Row],[Total Amount]]&gt;=1500),"Critical",AND(Table15[[#This Row],[Total Amount]]&gt;=1000),"High",TRUE,"Normal")</f>
        <v>Normal</v>
      </c>
      <c r="L169" s="4" t="str">
        <f>IF(Table15[[#This Row],[Total Amount]]&gt;=1000,"High",(IF(Table15[[#This Row],[Total Amount]]&gt;=500,"Medium","Low")))</f>
        <v>Low</v>
      </c>
      <c r="M169" s="4" t="str" cm="1">
        <f t="array" ref="M16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69" s="4" cm="1">
        <f t="array" ref="N16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169" s="4">
        <f>Table15[[#This Row],[Total Amount]]-Table15[[#This Row],[Discount Amount]]</f>
        <v>270</v>
      </c>
    </row>
    <row r="170" spans="1:15" x14ac:dyDescent="0.35">
      <c r="A170" s="4">
        <v>169</v>
      </c>
      <c r="B170" s="5">
        <v>45247</v>
      </c>
      <c r="C170" s="4" t="s">
        <v>182</v>
      </c>
      <c r="D170" s="4" t="s">
        <v>10</v>
      </c>
      <c r="E170" s="4">
        <v>18</v>
      </c>
      <c r="F170" s="4" t="str">
        <f>IF(Table15[[#This Row],[Age]]&lt;=19,"Teenager",IF(Table15[[#This Row],[Age]]&lt;=40,"Median","Old"))</f>
        <v>Teenager</v>
      </c>
      <c r="G170" s="4" t="s">
        <v>11</v>
      </c>
      <c r="H170" s="4">
        <v>3</v>
      </c>
      <c r="I170" s="4">
        <v>500</v>
      </c>
      <c r="J170" s="4">
        <v>1500</v>
      </c>
      <c r="K170" s="4" t="str" cm="1">
        <f t="array" ref="K170">_xlfn.IFS(AND(Table15[[#This Row],[Total Amount]]&gt;=1500),"Critical",AND(Table15[[#This Row],[Total Amount]]&gt;=1000),"High",TRUE,"Normal")</f>
        <v>Critical</v>
      </c>
      <c r="L170" s="4" t="str">
        <f>IF(Table15[[#This Row],[Total Amount]]&gt;=1000,"High",(IF(Table15[[#This Row],[Total Amount]]&gt;=500,"Medium","Low")))</f>
        <v>High</v>
      </c>
      <c r="M170" s="4" t="str" cm="1">
        <f t="array" ref="M17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70" s="4" cm="1">
        <f t="array" ref="N17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70" s="4">
        <f>Table15[[#This Row],[Total Amount]]-Table15[[#This Row],[Discount Amount]]</f>
        <v>1500</v>
      </c>
    </row>
    <row r="171" spans="1:15" x14ac:dyDescent="0.35">
      <c r="A171" s="4">
        <v>170</v>
      </c>
      <c r="B171" s="5">
        <v>45079</v>
      </c>
      <c r="C171" s="4" t="s">
        <v>183</v>
      </c>
      <c r="D171" s="4" t="s">
        <v>13</v>
      </c>
      <c r="E171" s="4">
        <v>25</v>
      </c>
      <c r="F171" s="4" t="str">
        <f>IF(Table15[[#This Row],[Age]]&lt;=19,"Teenager",IF(Table15[[#This Row],[Age]]&lt;=40,"Median","Old"))</f>
        <v>Median</v>
      </c>
      <c r="G171" s="4" t="s">
        <v>14</v>
      </c>
      <c r="H171" s="4">
        <v>2</v>
      </c>
      <c r="I171" s="4">
        <v>25</v>
      </c>
      <c r="J171" s="4">
        <v>50</v>
      </c>
      <c r="K171" s="4" t="str" cm="1">
        <f t="array" ref="K171">_xlfn.IFS(AND(Table15[[#This Row],[Total Amount]]&gt;=1500),"Critical",AND(Table15[[#This Row],[Total Amount]]&gt;=1000),"High",TRUE,"Normal")</f>
        <v>Normal</v>
      </c>
      <c r="L171" s="4" t="str">
        <f>IF(Table15[[#This Row],[Total Amount]]&gt;=1000,"High",(IF(Table15[[#This Row],[Total Amount]]&gt;=500,"Medium","Low")))</f>
        <v>Low</v>
      </c>
      <c r="M171" s="4" t="str" cm="1">
        <f t="array" ref="M17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71" s="4" cm="1">
        <f t="array" ref="N17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171" s="4">
        <f>Table15[[#This Row],[Total Amount]]-Table15[[#This Row],[Discount Amount]]</f>
        <v>42.5</v>
      </c>
    </row>
    <row r="172" spans="1:15" x14ac:dyDescent="0.35">
      <c r="A172" s="4">
        <v>171</v>
      </c>
      <c r="B172" s="5">
        <v>45254</v>
      </c>
      <c r="C172" s="4" t="s">
        <v>184</v>
      </c>
      <c r="D172" s="4" t="s">
        <v>13</v>
      </c>
      <c r="E172" s="4">
        <v>52</v>
      </c>
      <c r="F172" s="4" t="str">
        <f>IF(Table15[[#This Row],[Age]]&lt;=19,"Teenager",IF(Table15[[#This Row],[Age]]&lt;=40,"Median","Old"))</f>
        <v>Old</v>
      </c>
      <c r="G172" s="4" t="s">
        <v>14</v>
      </c>
      <c r="H172" s="4">
        <v>3</v>
      </c>
      <c r="I172" s="4">
        <v>300</v>
      </c>
      <c r="J172" s="4">
        <v>900</v>
      </c>
      <c r="K172" s="4" t="str" cm="1">
        <f t="array" ref="K172">_xlfn.IFS(AND(Table15[[#This Row],[Total Amount]]&gt;=1500),"Critical",AND(Table15[[#This Row],[Total Amount]]&gt;=1000),"High",TRUE,"Normal")</f>
        <v>Normal</v>
      </c>
      <c r="L172" s="4" t="str">
        <f>IF(Table15[[#This Row],[Total Amount]]&gt;=1000,"High",(IF(Table15[[#This Row],[Total Amount]]&gt;=500,"Medium","Low")))</f>
        <v>Medium</v>
      </c>
      <c r="M172" s="4" t="str" cm="1">
        <f t="array" ref="M17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72" s="4" cm="1">
        <f t="array" ref="N17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172" s="4">
        <f>Table15[[#This Row],[Total Amount]]-Table15[[#This Row],[Discount Amount]]</f>
        <v>720</v>
      </c>
    </row>
    <row r="173" spans="1:15" x14ac:dyDescent="0.35">
      <c r="A173" s="4">
        <v>172</v>
      </c>
      <c r="B173" s="5">
        <v>45186</v>
      </c>
      <c r="C173" s="4" t="s">
        <v>185</v>
      </c>
      <c r="D173" s="4" t="s">
        <v>10</v>
      </c>
      <c r="E173" s="4">
        <v>32</v>
      </c>
      <c r="F173" s="4" t="str">
        <f>IF(Table15[[#This Row],[Age]]&lt;=19,"Teenager",IF(Table15[[#This Row],[Age]]&lt;=40,"Median","Old"))</f>
        <v>Median</v>
      </c>
      <c r="G173" s="4" t="s">
        <v>11</v>
      </c>
      <c r="H173" s="4">
        <v>2</v>
      </c>
      <c r="I173" s="4">
        <v>25</v>
      </c>
      <c r="J173" s="4">
        <v>50</v>
      </c>
      <c r="K173" s="4" t="str" cm="1">
        <f t="array" ref="K173">_xlfn.IFS(AND(Table15[[#This Row],[Total Amount]]&gt;=1500),"Critical",AND(Table15[[#This Row],[Total Amount]]&gt;=1000),"High",TRUE,"Normal")</f>
        <v>Normal</v>
      </c>
      <c r="L173" s="4" t="str">
        <f>IF(Table15[[#This Row],[Total Amount]]&gt;=1000,"High",(IF(Table15[[#This Row],[Total Amount]]&gt;=500,"Medium","Low")))</f>
        <v>Low</v>
      </c>
      <c r="M173" s="4" t="str" cm="1">
        <f t="array" ref="M17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73" s="4" cm="1">
        <f t="array" ref="N17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173" s="4">
        <f>Table15[[#This Row],[Total Amount]]-Table15[[#This Row],[Discount Amount]]</f>
        <v>42.5</v>
      </c>
    </row>
    <row r="174" spans="1:15" x14ac:dyDescent="0.35">
      <c r="A174" s="4">
        <v>173</v>
      </c>
      <c r="B174" s="5">
        <v>45238</v>
      </c>
      <c r="C174" s="4" t="s">
        <v>186</v>
      </c>
      <c r="D174" s="4" t="s">
        <v>10</v>
      </c>
      <c r="E174" s="4">
        <v>64</v>
      </c>
      <c r="F174" s="4" t="str">
        <f>IF(Table15[[#This Row],[Age]]&lt;=19,"Teenager",IF(Table15[[#This Row],[Age]]&lt;=40,"Median","Old"))</f>
        <v>Old</v>
      </c>
      <c r="G174" s="4" t="s">
        <v>16</v>
      </c>
      <c r="H174" s="4">
        <v>4</v>
      </c>
      <c r="I174" s="4">
        <v>30</v>
      </c>
      <c r="J174" s="4">
        <v>120</v>
      </c>
      <c r="K174" s="4" t="str" cm="1">
        <f t="array" ref="K174">_xlfn.IFS(AND(Table15[[#This Row],[Total Amount]]&gt;=1500),"Critical",AND(Table15[[#This Row],[Total Amount]]&gt;=1000),"High",TRUE,"Normal")</f>
        <v>Normal</v>
      </c>
      <c r="L174" s="4" t="str">
        <f>IF(Table15[[#This Row],[Total Amount]]&gt;=1000,"High",(IF(Table15[[#This Row],[Total Amount]]&gt;=500,"Medium","Low")))</f>
        <v>Low</v>
      </c>
      <c r="M174" s="4" t="str" cm="1">
        <f t="array" ref="M17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74" s="4" cm="1">
        <f t="array" ref="N17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174" s="4">
        <f>Table15[[#This Row],[Total Amount]]-Table15[[#This Row],[Discount Amount]]</f>
        <v>108</v>
      </c>
    </row>
    <row r="175" spans="1:15" x14ac:dyDescent="0.35">
      <c r="A175" s="4">
        <v>174</v>
      </c>
      <c r="B175" s="5">
        <v>45028</v>
      </c>
      <c r="C175" s="4" t="s">
        <v>187</v>
      </c>
      <c r="D175" s="4" t="s">
        <v>13</v>
      </c>
      <c r="E175" s="4">
        <v>39</v>
      </c>
      <c r="F175" s="4" t="str">
        <f>IF(Table15[[#This Row],[Age]]&lt;=19,"Teenager",IF(Table15[[#This Row],[Age]]&lt;=40,"Median","Old"))</f>
        <v>Median</v>
      </c>
      <c r="G175" s="4" t="s">
        <v>11</v>
      </c>
      <c r="H175" s="4">
        <v>1</v>
      </c>
      <c r="I175" s="4">
        <v>300</v>
      </c>
      <c r="J175" s="4">
        <v>300</v>
      </c>
      <c r="K175" s="4" t="str" cm="1">
        <f t="array" ref="K175">_xlfn.IFS(AND(Table15[[#This Row],[Total Amount]]&gt;=1500),"Critical",AND(Table15[[#This Row],[Total Amount]]&gt;=1000),"High",TRUE,"Normal")</f>
        <v>Normal</v>
      </c>
      <c r="L175" s="4" t="str">
        <f>IF(Table15[[#This Row],[Total Amount]]&gt;=1000,"High",(IF(Table15[[#This Row],[Total Amount]]&gt;=500,"Medium","Low")))</f>
        <v>Low</v>
      </c>
      <c r="M175" s="4" t="str" cm="1">
        <f t="array" ref="M17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75" s="4" cm="1">
        <f t="array" ref="N17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175" s="4">
        <f>Table15[[#This Row],[Total Amount]]-Table15[[#This Row],[Discount Amount]]</f>
        <v>240</v>
      </c>
    </row>
    <row r="176" spans="1:15" x14ac:dyDescent="0.35">
      <c r="A176" s="4">
        <v>175</v>
      </c>
      <c r="B176" s="5">
        <v>45005</v>
      </c>
      <c r="C176" s="4" t="s">
        <v>188</v>
      </c>
      <c r="D176" s="4" t="s">
        <v>13</v>
      </c>
      <c r="E176" s="4">
        <v>31</v>
      </c>
      <c r="F176" s="4" t="str">
        <f>IF(Table15[[#This Row],[Age]]&lt;=19,"Teenager",IF(Table15[[#This Row],[Age]]&lt;=40,"Median","Old"))</f>
        <v>Median</v>
      </c>
      <c r="G176" s="4" t="s">
        <v>16</v>
      </c>
      <c r="H176" s="4">
        <v>4</v>
      </c>
      <c r="I176" s="4">
        <v>25</v>
      </c>
      <c r="J176" s="4">
        <v>100</v>
      </c>
      <c r="K176" s="4" t="str" cm="1">
        <f t="array" ref="K176">_xlfn.IFS(AND(Table15[[#This Row],[Total Amount]]&gt;=1500),"Critical",AND(Table15[[#This Row],[Total Amount]]&gt;=1000),"High",TRUE,"Normal")</f>
        <v>Normal</v>
      </c>
      <c r="L176" s="4" t="str">
        <f>IF(Table15[[#This Row],[Total Amount]]&gt;=1000,"High",(IF(Table15[[#This Row],[Total Amount]]&gt;=500,"Medium","Low")))</f>
        <v>Low</v>
      </c>
      <c r="M176" s="4" t="str" cm="1">
        <f t="array" ref="M17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76" s="4" cm="1">
        <f t="array" ref="N17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176" s="4">
        <f>Table15[[#This Row],[Total Amount]]-Table15[[#This Row],[Discount Amount]]</f>
        <v>85</v>
      </c>
    </row>
    <row r="177" spans="1:15" x14ac:dyDescent="0.35">
      <c r="A177" s="4">
        <v>176</v>
      </c>
      <c r="B177" s="5">
        <v>45118</v>
      </c>
      <c r="C177" s="4" t="s">
        <v>189</v>
      </c>
      <c r="D177" s="4" t="s">
        <v>13</v>
      </c>
      <c r="E177" s="4">
        <v>43</v>
      </c>
      <c r="F177" s="4" t="str">
        <f>IF(Table15[[#This Row],[Age]]&lt;=19,"Teenager",IF(Table15[[#This Row],[Age]]&lt;=40,"Median","Old"))</f>
        <v>Old</v>
      </c>
      <c r="G177" s="4" t="s">
        <v>11</v>
      </c>
      <c r="H177" s="4">
        <v>2</v>
      </c>
      <c r="I177" s="4">
        <v>50</v>
      </c>
      <c r="J177" s="4">
        <v>100</v>
      </c>
      <c r="K177" s="4" t="str" cm="1">
        <f t="array" ref="K177">_xlfn.IFS(AND(Table15[[#This Row],[Total Amount]]&gt;=1500),"Critical",AND(Table15[[#This Row],[Total Amount]]&gt;=1000),"High",TRUE,"Normal")</f>
        <v>Normal</v>
      </c>
      <c r="L177" s="4" t="str">
        <f>IF(Table15[[#This Row],[Total Amount]]&gt;=1000,"High",(IF(Table15[[#This Row],[Total Amount]]&gt;=500,"Medium","Low")))</f>
        <v>Low</v>
      </c>
      <c r="M177" s="4" t="str" cm="1">
        <f t="array" ref="M17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77" s="4" cm="1">
        <f t="array" ref="N17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177" s="4">
        <f>Table15[[#This Row],[Total Amount]]-Table15[[#This Row],[Discount Amount]]</f>
        <v>80</v>
      </c>
    </row>
    <row r="178" spans="1:15" x14ac:dyDescent="0.35">
      <c r="A178" s="4">
        <v>177</v>
      </c>
      <c r="B178" s="5">
        <v>45009</v>
      </c>
      <c r="C178" s="4" t="s">
        <v>190</v>
      </c>
      <c r="D178" s="4" t="s">
        <v>10</v>
      </c>
      <c r="E178" s="4">
        <v>45</v>
      </c>
      <c r="F178" s="4" t="str">
        <f>IF(Table15[[#This Row],[Age]]&lt;=19,"Teenager",IF(Table15[[#This Row],[Age]]&lt;=40,"Median","Old"))</f>
        <v>Old</v>
      </c>
      <c r="G178" s="4" t="s">
        <v>11</v>
      </c>
      <c r="H178" s="4">
        <v>2</v>
      </c>
      <c r="I178" s="4">
        <v>50</v>
      </c>
      <c r="J178" s="4">
        <v>100</v>
      </c>
      <c r="K178" s="4" t="str" cm="1">
        <f t="array" ref="K178">_xlfn.IFS(AND(Table15[[#This Row],[Total Amount]]&gt;=1500),"Critical",AND(Table15[[#This Row],[Total Amount]]&gt;=1000),"High",TRUE,"Normal")</f>
        <v>Normal</v>
      </c>
      <c r="L178" s="4" t="str">
        <f>IF(Table15[[#This Row],[Total Amount]]&gt;=1000,"High",(IF(Table15[[#This Row],[Total Amount]]&gt;=500,"Medium","Low")))</f>
        <v>Low</v>
      </c>
      <c r="M178" s="4" t="str" cm="1">
        <f t="array" ref="M17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78" s="4" cm="1">
        <f t="array" ref="N17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178" s="4">
        <f>Table15[[#This Row],[Total Amount]]-Table15[[#This Row],[Discount Amount]]</f>
        <v>90</v>
      </c>
    </row>
    <row r="179" spans="1:15" x14ac:dyDescent="0.35">
      <c r="A179" s="4">
        <v>178</v>
      </c>
      <c r="B179" s="5">
        <v>45203</v>
      </c>
      <c r="C179" s="4" t="s">
        <v>191</v>
      </c>
      <c r="D179" s="4" t="s">
        <v>10</v>
      </c>
      <c r="E179" s="4">
        <v>40</v>
      </c>
      <c r="F179" s="4" t="str">
        <f>IF(Table15[[#This Row],[Age]]&lt;=19,"Teenager",IF(Table15[[#This Row],[Age]]&lt;=40,"Median","Old"))</f>
        <v>Median</v>
      </c>
      <c r="G179" s="4" t="s">
        <v>14</v>
      </c>
      <c r="H179" s="4">
        <v>2</v>
      </c>
      <c r="I179" s="4">
        <v>30</v>
      </c>
      <c r="J179" s="4">
        <v>60</v>
      </c>
      <c r="K179" s="4" t="str" cm="1">
        <f t="array" ref="K179">_xlfn.IFS(AND(Table15[[#This Row],[Total Amount]]&gt;=1500),"Critical",AND(Table15[[#This Row],[Total Amount]]&gt;=1000),"High",TRUE,"Normal")</f>
        <v>Normal</v>
      </c>
      <c r="L179" s="4" t="str">
        <f>IF(Table15[[#This Row],[Total Amount]]&gt;=1000,"High",(IF(Table15[[#This Row],[Total Amount]]&gt;=500,"Medium","Low")))</f>
        <v>Low</v>
      </c>
      <c r="M179" s="4" t="str" cm="1">
        <f t="array" ref="M17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79" s="4" cm="1">
        <f t="array" ref="N17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179" s="4">
        <f>Table15[[#This Row],[Total Amount]]-Table15[[#This Row],[Discount Amount]]</f>
        <v>54</v>
      </c>
    </row>
    <row r="180" spans="1:15" x14ac:dyDescent="0.35">
      <c r="A180" s="4">
        <v>179</v>
      </c>
      <c r="B180" s="5">
        <v>45198</v>
      </c>
      <c r="C180" s="4" t="s">
        <v>192</v>
      </c>
      <c r="D180" s="4" t="s">
        <v>10</v>
      </c>
      <c r="E180" s="4">
        <v>31</v>
      </c>
      <c r="F180" s="4" t="str">
        <f>IF(Table15[[#This Row],[Age]]&lt;=19,"Teenager",IF(Table15[[#This Row],[Age]]&lt;=40,"Median","Old"))</f>
        <v>Median</v>
      </c>
      <c r="G180" s="4" t="s">
        <v>16</v>
      </c>
      <c r="H180" s="4">
        <v>1</v>
      </c>
      <c r="I180" s="4">
        <v>300</v>
      </c>
      <c r="J180" s="4">
        <v>300</v>
      </c>
      <c r="K180" s="4" t="str" cm="1">
        <f t="array" ref="K180">_xlfn.IFS(AND(Table15[[#This Row],[Total Amount]]&gt;=1500),"Critical",AND(Table15[[#This Row],[Total Amount]]&gt;=1000),"High",TRUE,"Normal")</f>
        <v>Normal</v>
      </c>
      <c r="L180" s="4" t="str">
        <f>IF(Table15[[#This Row],[Total Amount]]&gt;=1000,"High",(IF(Table15[[#This Row],[Total Amount]]&gt;=500,"Medium","Low")))</f>
        <v>Low</v>
      </c>
      <c r="M180" s="4" t="str" cm="1">
        <f t="array" ref="M18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80" s="4" cm="1">
        <f t="array" ref="N18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45</v>
      </c>
      <c r="O180" s="4">
        <f>Table15[[#This Row],[Total Amount]]-Table15[[#This Row],[Discount Amount]]</f>
        <v>255</v>
      </c>
    </row>
    <row r="181" spans="1:15" x14ac:dyDescent="0.35">
      <c r="A181" s="4">
        <v>180</v>
      </c>
      <c r="B181" s="5">
        <v>44927</v>
      </c>
      <c r="C181" s="4" t="s">
        <v>193</v>
      </c>
      <c r="D181" s="4" t="s">
        <v>10</v>
      </c>
      <c r="E181" s="4">
        <v>41</v>
      </c>
      <c r="F181" s="4" t="str">
        <f>IF(Table15[[#This Row],[Age]]&lt;=19,"Teenager",IF(Table15[[#This Row],[Age]]&lt;=40,"Median","Old"))</f>
        <v>Old</v>
      </c>
      <c r="G181" s="4" t="s">
        <v>14</v>
      </c>
      <c r="H181" s="4">
        <v>3</v>
      </c>
      <c r="I181" s="4">
        <v>300</v>
      </c>
      <c r="J181" s="4">
        <v>900</v>
      </c>
      <c r="K181" s="4" t="str" cm="1">
        <f t="array" ref="K181">_xlfn.IFS(AND(Table15[[#This Row],[Total Amount]]&gt;=1500),"Critical",AND(Table15[[#This Row],[Total Amount]]&gt;=1000),"High",TRUE,"Normal")</f>
        <v>Normal</v>
      </c>
      <c r="L181" s="4" t="str">
        <f>IF(Table15[[#This Row],[Total Amount]]&gt;=1000,"High",(IF(Table15[[#This Row],[Total Amount]]&gt;=500,"Medium","Low")))</f>
        <v>Medium</v>
      </c>
      <c r="M181" s="4" t="str" cm="1">
        <f t="array" ref="M18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81" s="4" cm="1">
        <f t="array" ref="N18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181" s="4">
        <f>Table15[[#This Row],[Total Amount]]-Table15[[#This Row],[Discount Amount]]</f>
        <v>810</v>
      </c>
    </row>
    <row r="182" spans="1:15" x14ac:dyDescent="0.35">
      <c r="A182" s="4">
        <v>181</v>
      </c>
      <c r="B182" s="5">
        <v>45233</v>
      </c>
      <c r="C182" s="4" t="s">
        <v>194</v>
      </c>
      <c r="D182" s="4" t="s">
        <v>10</v>
      </c>
      <c r="E182" s="4">
        <v>19</v>
      </c>
      <c r="F182" s="4" t="str">
        <f>IF(Table15[[#This Row],[Age]]&lt;=19,"Teenager",IF(Table15[[#This Row],[Age]]&lt;=40,"Median","Old"))</f>
        <v>Teenager</v>
      </c>
      <c r="G182" s="4" t="s">
        <v>16</v>
      </c>
      <c r="H182" s="4">
        <v>4</v>
      </c>
      <c r="I182" s="4">
        <v>300</v>
      </c>
      <c r="J182" s="4">
        <v>1200</v>
      </c>
      <c r="K182" s="4" t="str" cm="1">
        <f t="array" ref="K182">_xlfn.IFS(AND(Table15[[#This Row],[Total Amount]]&gt;=1500),"Critical",AND(Table15[[#This Row],[Total Amount]]&gt;=1000),"High",TRUE,"Normal")</f>
        <v>High</v>
      </c>
      <c r="L182" s="4" t="str">
        <f>IF(Table15[[#This Row],[Total Amount]]&gt;=1000,"High",(IF(Table15[[#This Row],[Total Amount]]&gt;=500,"Medium","Low")))</f>
        <v>High</v>
      </c>
      <c r="M182" s="4" t="str" cm="1">
        <f t="array" ref="M18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82" s="4" cm="1">
        <f t="array" ref="N18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82" s="4">
        <f>Table15[[#This Row],[Total Amount]]-Table15[[#This Row],[Discount Amount]]</f>
        <v>1200</v>
      </c>
    </row>
    <row r="183" spans="1:15" x14ac:dyDescent="0.35">
      <c r="A183" s="4">
        <v>182</v>
      </c>
      <c r="B183" s="5">
        <v>45092</v>
      </c>
      <c r="C183" s="4" t="s">
        <v>195</v>
      </c>
      <c r="D183" s="4" t="s">
        <v>10</v>
      </c>
      <c r="E183" s="4">
        <v>62</v>
      </c>
      <c r="F183" s="4" t="str">
        <f>IF(Table15[[#This Row],[Age]]&lt;=19,"Teenager",IF(Table15[[#This Row],[Age]]&lt;=40,"Median","Old"))</f>
        <v>Old</v>
      </c>
      <c r="G183" s="4" t="s">
        <v>11</v>
      </c>
      <c r="H183" s="4">
        <v>4</v>
      </c>
      <c r="I183" s="4">
        <v>30</v>
      </c>
      <c r="J183" s="4">
        <v>120</v>
      </c>
      <c r="K183" s="4" t="str" cm="1">
        <f t="array" ref="K183">_xlfn.IFS(AND(Table15[[#This Row],[Total Amount]]&gt;=1500),"Critical",AND(Table15[[#This Row],[Total Amount]]&gt;=1000),"High",TRUE,"Normal")</f>
        <v>Normal</v>
      </c>
      <c r="L183" s="4" t="str">
        <f>IF(Table15[[#This Row],[Total Amount]]&gt;=1000,"High",(IF(Table15[[#This Row],[Total Amount]]&gt;=500,"Medium","Low")))</f>
        <v>Low</v>
      </c>
      <c r="M183" s="4" t="str" cm="1">
        <f t="array" ref="M18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83" s="4" cm="1">
        <f t="array" ref="N18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183" s="4">
        <f>Table15[[#This Row],[Total Amount]]-Table15[[#This Row],[Discount Amount]]</f>
        <v>108</v>
      </c>
    </row>
    <row r="184" spans="1:15" x14ac:dyDescent="0.35">
      <c r="A184" s="4">
        <v>183</v>
      </c>
      <c r="B184" s="5">
        <v>45177</v>
      </c>
      <c r="C184" s="4" t="s">
        <v>196</v>
      </c>
      <c r="D184" s="4" t="s">
        <v>13</v>
      </c>
      <c r="E184" s="4">
        <v>43</v>
      </c>
      <c r="F184" s="4" t="str">
        <f>IF(Table15[[#This Row],[Age]]&lt;=19,"Teenager",IF(Table15[[#This Row],[Age]]&lt;=40,"Median","Old"))</f>
        <v>Old</v>
      </c>
      <c r="G184" s="4" t="s">
        <v>11</v>
      </c>
      <c r="H184" s="4">
        <v>3</v>
      </c>
      <c r="I184" s="4">
        <v>300</v>
      </c>
      <c r="J184" s="4">
        <v>900</v>
      </c>
      <c r="K184" s="4" t="str" cm="1">
        <f t="array" ref="K184">_xlfn.IFS(AND(Table15[[#This Row],[Total Amount]]&gt;=1500),"Critical",AND(Table15[[#This Row],[Total Amount]]&gt;=1000),"High",TRUE,"Normal")</f>
        <v>Normal</v>
      </c>
      <c r="L184" s="4" t="str">
        <f>IF(Table15[[#This Row],[Total Amount]]&gt;=1000,"High",(IF(Table15[[#This Row],[Total Amount]]&gt;=500,"Medium","Low")))</f>
        <v>Medium</v>
      </c>
      <c r="M184" s="4" t="str" cm="1">
        <f t="array" ref="M18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84" s="4" cm="1">
        <f t="array" ref="N18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184" s="4">
        <f>Table15[[#This Row],[Total Amount]]-Table15[[#This Row],[Discount Amount]]</f>
        <v>720</v>
      </c>
    </row>
    <row r="185" spans="1:15" x14ac:dyDescent="0.35">
      <c r="A185" s="4">
        <v>184</v>
      </c>
      <c r="B185" s="5">
        <v>44936</v>
      </c>
      <c r="C185" s="4" t="s">
        <v>197</v>
      </c>
      <c r="D185" s="4" t="s">
        <v>10</v>
      </c>
      <c r="E185" s="4">
        <v>31</v>
      </c>
      <c r="F185" s="4" t="str">
        <f>IF(Table15[[#This Row],[Age]]&lt;=19,"Teenager",IF(Table15[[#This Row],[Age]]&lt;=40,"Median","Old"))</f>
        <v>Median</v>
      </c>
      <c r="G185" s="4" t="s">
        <v>16</v>
      </c>
      <c r="H185" s="4">
        <v>4</v>
      </c>
      <c r="I185" s="4">
        <v>50</v>
      </c>
      <c r="J185" s="4">
        <v>200</v>
      </c>
      <c r="K185" s="4" t="str" cm="1">
        <f t="array" ref="K185">_xlfn.IFS(AND(Table15[[#This Row],[Total Amount]]&gt;=1500),"Critical",AND(Table15[[#This Row],[Total Amount]]&gt;=1000),"High",TRUE,"Normal")</f>
        <v>Normal</v>
      </c>
      <c r="L185" s="4" t="str">
        <f>IF(Table15[[#This Row],[Total Amount]]&gt;=1000,"High",(IF(Table15[[#This Row],[Total Amount]]&gt;=500,"Medium","Low")))</f>
        <v>Low</v>
      </c>
      <c r="M185" s="4" t="str" cm="1">
        <f t="array" ref="M18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85" s="4" cm="1">
        <f t="array" ref="N18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185" s="4">
        <f>Table15[[#This Row],[Total Amount]]-Table15[[#This Row],[Discount Amount]]</f>
        <v>170</v>
      </c>
    </row>
    <row r="186" spans="1:15" x14ac:dyDescent="0.35">
      <c r="A186" s="4">
        <v>185</v>
      </c>
      <c r="B186" s="5">
        <v>44984</v>
      </c>
      <c r="C186" s="4" t="s">
        <v>198</v>
      </c>
      <c r="D186" s="4" t="s">
        <v>10</v>
      </c>
      <c r="E186" s="4">
        <v>24</v>
      </c>
      <c r="F186" s="4" t="str">
        <f>IF(Table15[[#This Row],[Age]]&lt;=19,"Teenager",IF(Table15[[#This Row],[Age]]&lt;=40,"Median","Old"))</f>
        <v>Median</v>
      </c>
      <c r="G186" s="4" t="s">
        <v>14</v>
      </c>
      <c r="H186" s="4">
        <v>1</v>
      </c>
      <c r="I186" s="4">
        <v>25</v>
      </c>
      <c r="J186" s="4">
        <v>25</v>
      </c>
      <c r="K186" s="4" t="str" cm="1">
        <f t="array" ref="K186">_xlfn.IFS(AND(Table15[[#This Row],[Total Amount]]&gt;=1500),"Critical",AND(Table15[[#This Row],[Total Amount]]&gt;=1000),"High",TRUE,"Normal")</f>
        <v>Normal</v>
      </c>
      <c r="L186" s="4" t="str">
        <f>IF(Table15[[#This Row],[Total Amount]]&gt;=1000,"High",(IF(Table15[[#This Row],[Total Amount]]&gt;=500,"Medium","Low")))</f>
        <v>Low</v>
      </c>
      <c r="M186" s="4" t="str" cm="1">
        <f t="array" ref="M18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86" s="4" cm="1">
        <f t="array" ref="N18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86" s="4">
        <f>Table15[[#This Row],[Total Amount]]-Table15[[#This Row],[Discount Amount]]</f>
        <v>25</v>
      </c>
    </row>
    <row r="187" spans="1:15" x14ac:dyDescent="0.35">
      <c r="A187" s="4">
        <v>186</v>
      </c>
      <c r="B187" s="5">
        <v>45112</v>
      </c>
      <c r="C187" s="4" t="s">
        <v>199</v>
      </c>
      <c r="D187" s="4" t="s">
        <v>10</v>
      </c>
      <c r="E187" s="4">
        <v>20</v>
      </c>
      <c r="F187" s="4" t="str">
        <f>IF(Table15[[#This Row],[Age]]&lt;=19,"Teenager",IF(Table15[[#This Row],[Age]]&lt;=40,"Median","Old"))</f>
        <v>Median</v>
      </c>
      <c r="G187" s="4" t="s">
        <v>14</v>
      </c>
      <c r="H187" s="4">
        <v>4</v>
      </c>
      <c r="I187" s="4">
        <v>50</v>
      </c>
      <c r="J187" s="4">
        <v>200</v>
      </c>
      <c r="K187" s="4" t="str" cm="1">
        <f t="array" ref="K187">_xlfn.IFS(AND(Table15[[#This Row],[Total Amount]]&gt;=1500),"Critical",AND(Table15[[#This Row],[Total Amount]]&gt;=1000),"High",TRUE,"Normal")</f>
        <v>Normal</v>
      </c>
      <c r="L187" s="4" t="str">
        <f>IF(Table15[[#This Row],[Total Amount]]&gt;=1000,"High",(IF(Table15[[#This Row],[Total Amount]]&gt;=500,"Medium","Low")))</f>
        <v>Low</v>
      </c>
      <c r="M187" s="4" t="str" cm="1">
        <f t="array" ref="M18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87" s="4" cm="1">
        <f t="array" ref="N18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87" s="4">
        <f>Table15[[#This Row],[Total Amount]]-Table15[[#This Row],[Discount Amount]]</f>
        <v>200</v>
      </c>
    </row>
    <row r="188" spans="1:15" x14ac:dyDescent="0.35">
      <c r="A188" s="4">
        <v>187</v>
      </c>
      <c r="B188" s="5">
        <v>45084</v>
      </c>
      <c r="C188" s="4" t="s">
        <v>200</v>
      </c>
      <c r="D188" s="4" t="s">
        <v>13</v>
      </c>
      <c r="E188" s="4">
        <v>64</v>
      </c>
      <c r="F188" s="4" t="str">
        <f>IF(Table15[[#This Row],[Age]]&lt;=19,"Teenager",IF(Table15[[#This Row],[Age]]&lt;=40,"Median","Old"))</f>
        <v>Old</v>
      </c>
      <c r="G188" s="4" t="s">
        <v>14</v>
      </c>
      <c r="H188" s="4">
        <v>2</v>
      </c>
      <c r="I188" s="4">
        <v>50</v>
      </c>
      <c r="J188" s="4">
        <v>100</v>
      </c>
      <c r="K188" s="4" t="str" cm="1">
        <f t="array" ref="K188">_xlfn.IFS(AND(Table15[[#This Row],[Total Amount]]&gt;=1500),"Critical",AND(Table15[[#This Row],[Total Amount]]&gt;=1000),"High",TRUE,"Normal")</f>
        <v>Normal</v>
      </c>
      <c r="L188" s="4" t="str">
        <f>IF(Table15[[#This Row],[Total Amount]]&gt;=1000,"High",(IF(Table15[[#This Row],[Total Amount]]&gt;=500,"Medium","Low")))</f>
        <v>Low</v>
      </c>
      <c r="M188" s="4" t="str" cm="1">
        <f t="array" ref="M18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88" s="4" cm="1">
        <f t="array" ref="N18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188" s="4">
        <f>Table15[[#This Row],[Total Amount]]-Table15[[#This Row],[Discount Amount]]</f>
        <v>80</v>
      </c>
    </row>
    <row r="189" spans="1:15" x14ac:dyDescent="0.35">
      <c r="A189" s="4">
        <v>188</v>
      </c>
      <c r="B189" s="5">
        <v>45049</v>
      </c>
      <c r="C189" s="4" t="s">
        <v>201</v>
      </c>
      <c r="D189" s="4" t="s">
        <v>10</v>
      </c>
      <c r="E189" s="4">
        <v>40</v>
      </c>
      <c r="F189" s="4" t="str">
        <f>IF(Table15[[#This Row],[Age]]&lt;=19,"Teenager",IF(Table15[[#This Row],[Age]]&lt;=40,"Median","Old"))</f>
        <v>Median</v>
      </c>
      <c r="G189" s="4" t="s">
        <v>14</v>
      </c>
      <c r="H189" s="4">
        <v>3</v>
      </c>
      <c r="I189" s="4">
        <v>25</v>
      </c>
      <c r="J189" s="4">
        <v>75</v>
      </c>
      <c r="K189" s="4" t="str" cm="1">
        <f t="array" ref="K189">_xlfn.IFS(AND(Table15[[#This Row],[Total Amount]]&gt;=1500),"Critical",AND(Table15[[#This Row],[Total Amount]]&gt;=1000),"High",TRUE,"Normal")</f>
        <v>Normal</v>
      </c>
      <c r="L189" s="4" t="str">
        <f>IF(Table15[[#This Row],[Total Amount]]&gt;=1000,"High",(IF(Table15[[#This Row],[Total Amount]]&gt;=500,"Medium","Low")))</f>
        <v>Low</v>
      </c>
      <c r="M189" s="4" t="str" cm="1">
        <f t="array" ref="M18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89" s="4" cm="1">
        <f t="array" ref="N18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189" s="4">
        <f>Table15[[#This Row],[Total Amount]]-Table15[[#This Row],[Discount Amount]]</f>
        <v>67.5</v>
      </c>
    </row>
    <row r="190" spans="1:15" x14ac:dyDescent="0.35">
      <c r="A190" s="4">
        <v>189</v>
      </c>
      <c r="B190" s="5">
        <v>44956</v>
      </c>
      <c r="C190" s="4" t="s">
        <v>202</v>
      </c>
      <c r="D190" s="4" t="s">
        <v>10</v>
      </c>
      <c r="E190" s="4">
        <v>63</v>
      </c>
      <c r="F190" s="4" t="str">
        <f>IF(Table15[[#This Row],[Age]]&lt;=19,"Teenager",IF(Table15[[#This Row],[Age]]&lt;=40,"Median","Old"))</f>
        <v>Old</v>
      </c>
      <c r="G190" s="4" t="s">
        <v>11</v>
      </c>
      <c r="H190" s="4">
        <v>1</v>
      </c>
      <c r="I190" s="4">
        <v>50</v>
      </c>
      <c r="J190" s="4">
        <v>50</v>
      </c>
      <c r="K190" s="4" t="str" cm="1">
        <f t="array" ref="K190">_xlfn.IFS(AND(Table15[[#This Row],[Total Amount]]&gt;=1500),"Critical",AND(Table15[[#This Row],[Total Amount]]&gt;=1000),"High",TRUE,"Normal")</f>
        <v>Normal</v>
      </c>
      <c r="L190" s="4" t="str">
        <f>IF(Table15[[#This Row],[Total Amount]]&gt;=1000,"High",(IF(Table15[[#This Row],[Total Amount]]&gt;=500,"Medium","Low")))</f>
        <v>Low</v>
      </c>
      <c r="M190" s="4" t="str" cm="1">
        <f t="array" ref="M19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90" s="4" cm="1">
        <f t="array" ref="N19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190" s="4">
        <f>Table15[[#This Row],[Total Amount]]-Table15[[#This Row],[Discount Amount]]</f>
        <v>45</v>
      </c>
    </row>
    <row r="191" spans="1:15" x14ac:dyDescent="0.35">
      <c r="A191" s="4">
        <v>190</v>
      </c>
      <c r="B191" s="5">
        <v>45050</v>
      </c>
      <c r="C191" s="4" t="s">
        <v>203</v>
      </c>
      <c r="D191" s="4" t="s">
        <v>13</v>
      </c>
      <c r="E191" s="4">
        <v>60</v>
      </c>
      <c r="F191" s="4" t="str">
        <f>IF(Table15[[#This Row],[Age]]&lt;=19,"Teenager",IF(Table15[[#This Row],[Age]]&lt;=40,"Median","Old"))</f>
        <v>Old</v>
      </c>
      <c r="G191" s="4" t="s">
        <v>11</v>
      </c>
      <c r="H191" s="4">
        <v>3</v>
      </c>
      <c r="I191" s="4">
        <v>30</v>
      </c>
      <c r="J191" s="4">
        <v>90</v>
      </c>
      <c r="K191" s="4" t="str" cm="1">
        <f t="array" ref="K191">_xlfn.IFS(AND(Table15[[#This Row],[Total Amount]]&gt;=1500),"Critical",AND(Table15[[#This Row],[Total Amount]]&gt;=1000),"High",TRUE,"Normal")</f>
        <v>Normal</v>
      </c>
      <c r="L191" s="4" t="str">
        <f>IF(Table15[[#This Row],[Total Amount]]&gt;=1000,"High",(IF(Table15[[#This Row],[Total Amount]]&gt;=500,"Medium","Low")))</f>
        <v>Low</v>
      </c>
      <c r="M191" s="4" t="str" cm="1">
        <f t="array" ref="M19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91" s="4" cm="1">
        <f t="array" ref="N19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191" s="4">
        <f>Table15[[#This Row],[Total Amount]]-Table15[[#This Row],[Discount Amount]]</f>
        <v>72</v>
      </c>
    </row>
    <row r="192" spans="1:15" x14ac:dyDescent="0.35">
      <c r="A192" s="4">
        <v>191</v>
      </c>
      <c r="B192" s="5">
        <v>45217</v>
      </c>
      <c r="C192" s="4" t="s">
        <v>204</v>
      </c>
      <c r="D192" s="4" t="s">
        <v>10</v>
      </c>
      <c r="E192" s="4">
        <v>64</v>
      </c>
      <c r="F192" s="4" t="str">
        <f>IF(Table15[[#This Row],[Age]]&lt;=19,"Teenager",IF(Table15[[#This Row],[Age]]&lt;=40,"Median","Old"))</f>
        <v>Old</v>
      </c>
      <c r="G192" s="4" t="s">
        <v>11</v>
      </c>
      <c r="H192" s="4">
        <v>1</v>
      </c>
      <c r="I192" s="4">
        <v>25</v>
      </c>
      <c r="J192" s="4">
        <v>25</v>
      </c>
      <c r="K192" s="4" t="str" cm="1">
        <f t="array" ref="K192">_xlfn.IFS(AND(Table15[[#This Row],[Total Amount]]&gt;=1500),"Critical",AND(Table15[[#This Row],[Total Amount]]&gt;=1000),"High",TRUE,"Normal")</f>
        <v>Normal</v>
      </c>
      <c r="L192" s="4" t="str">
        <f>IF(Table15[[#This Row],[Total Amount]]&gt;=1000,"High",(IF(Table15[[#This Row],[Total Amount]]&gt;=500,"Medium","Low")))</f>
        <v>Low</v>
      </c>
      <c r="M192" s="4" t="str" cm="1">
        <f t="array" ref="M19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92" s="4" cm="1">
        <f t="array" ref="N19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192" s="4">
        <f>Table15[[#This Row],[Total Amount]]-Table15[[#This Row],[Discount Amount]]</f>
        <v>22.5</v>
      </c>
    </row>
    <row r="193" spans="1:15" x14ac:dyDescent="0.35">
      <c r="A193" s="4">
        <v>192</v>
      </c>
      <c r="B193" s="5">
        <v>44967</v>
      </c>
      <c r="C193" s="4" t="s">
        <v>205</v>
      </c>
      <c r="D193" s="4" t="s">
        <v>10</v>
      </c>
      <c r="E193" s="4">
        <v>62</v>
      </c>
      <c r="F193" s="4" t="str">
        <f>IF(Table15[[#This Row],[Age]]&lt;=19,"Teenager",IF(Table15[[#This Row],[Age]]&lt;=40,"Median","Old"))</f>
        <v>Old</v>
      </c>
      <c r="G193" s="4" t="s">
        <v>11</v>
      </c>
      <c r="H193" s="4">
        <v>2</v>
      </c>
      <c r="I193" s="4">
        <v>50</v>
      </c>
      <c r="J193" s="4">
        <v>100</v>
      </c>
      <c r="K193" s="4" t="str" cm="1">
        <f t="array" ref="K193">_xlfn.IFS(AND(Table15[[#This Row],[Total Amount]]&gt;=1500),"Critical",AND(Table15[[#This Row],[Total Amount]]&gt;=1000),"High",TRUE,"Normal")</f>
        <v>Normal</v>
      </c>
      <c r="L193" s="4" t="str">
        <f>IF(Table15[[#This Row],[Total Amount]]&gt;=1000,"High",(IF(Table15[[#This Row],[Total Amount]]&gt;=500,"Medium","Low")))</f>
        <v>Low</v>
      </c>
      <c r="M193" s="4" t="str" cm="1">
        <f t="array" ref="M19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93" s="4" cm="1">
        <f t="array" ref="N19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193" s="4">
        <f>Table15[[#This Row],[Total Amount]]-Table15[[#This Row],[Discount Amount]]</f>
        <v>90</v>
      </c>
    </row>
    <row r="194" spans="1:15" x14ac:dyDescent="0.35">
      <c r="A194" s="4">
        <v>193</v>
      </c>
      <c r="B194" s="5">
        <v>44970</v>
      </c>
      <c r="C194" s="4" t="s">
        <v>206</v>
      </c>
      <c r="D194" s="4" t="s">
        <v>10</v>
      </c>
      <c r="E194" s="4">
        <v>35</v>
      </c>
      <c r="F194" s="4" t="str">
        <f>IF(Table15[[#This Row],[Age]]&lt;=19,"Teenager",IF(Table15[[#This Row],[Age]]&lt;=40,"Median","Old"))</f>
        <v>Median</v>
      </c>
      <c r="G194" s="4" t="s">
        <v>11</v>
      </c>
      <c r="H194" s="4">
        <v>3</v>
      </c>
      <c r="I194" s="4">
        <v>500</v>
      </c>
      <c r="J194" s="4">
        <v>1500</v>
      </c>
      <c r="K194" s="4" t="str" cm="1">
        <f t="array" ref="K194">_xlfn.IFS(AND(Table15[[#This Row],[Total Amount]]&gt;=1500),"Critical",AND(Table15[[#This Row],[Total Amount]]&gt;=1000),"High",TRUE,"Normal")</f>
        <v>Critical</v>
      </c>
      <c r="L194" s="4" t="str">
        <f>IF(Table15[[#This Row],[Total Amount]]&gt;=1000,"High",(IF(Table15[[#This Row],[Total Amount]]&gt;=500,"Medium","Low")))</f>
        <v>High</v>
      </c>
      <c r="M194" s="4" t="str" cm="1">
        <f t="array" ref="M19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94" s="4" cm="1">
        <f t="array" ref="N19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194" s="4">
        <f>Table15[[#This Row],[Total Amount]]-Table15[[#This Row],[Discount Amount]]</f>
        <v>1350</v>
      </c>
    </row>
    <row r="195" spans="1:15" x14ac:dyDescent="0.35">
      <c r="A195" s="4">
        <v>194</v>
      </c>
      <c r="B195" s="5">
        <v>45175</v>
      </c>
      <c r="C195" s="4" t="s">
        <v>207</v>
      </c>
      <c r="D195" s="4" t="s">
        <v>10</v>
      </c>
      <c r="E195" s="4">
        <v>55</v>
      </c>
      <c r="F195" s="4" t="str">
        <f>IF(Table15[[#This Row],[Age]]&lt;=19,"Teenager",IF(Table15[[#This Row],[Age]]&lt;=40,"Median","Old"))</f>
        <v>Old</v>
      </c>
      <c r="G195" s="4" t="s">
        <v>14</v>
      </c>
      <c r="H195" s="4">
        <v>4</v>
      </c>
      <c r="I195" s="4">
        <v>50</v>
      </c>
      <c r="J195" s="4">
        <v>200</v>
      </c>
      <c r="K195" s="4" t="str" cm="1">
        <f t="array" ref="K195">_xlfn.IFS(AND(Table15[[#This Row],[Total Amount]]&gt;=1500),"Critical",AND(Table15[[#This Row],[Total Amount]]&gt;=1000),"High",TRUE,"Normal")</f>
        <v>Normal</v>
      </c>
      <c r="L195" s="4" t="str">
        <f>IF(Table15[[#This Row],[Total Amount]]&gt;=1000,"High",(IF(Table15[[#This Row],[Total Amount]]&gt;=500,"Medium","Low")))</f>
        <v>Low</v>
      </c>
      <c r="M195" s="4" t="str" cm="1">
        <f t="array" ref="M19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95" s="4" cm="1">
        <f t="array" ref="N19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195" s="4">
        <f>Table15[[#This Row],[Total Amount]]-Table15[[#This Row],[Discount Amount]]</f>
        <v>180</v>
      </c>
    </row>
    <row r="196" spans="1:15" x14ac:dyDescent="0.35">
      <c r="A196" s="4">
        <v>195</v>
      </c>
      <c r="B196" s="5">
        <v>44962</v>
      </c>
      <c r="C196" s="4" t="s">
        <v>208</v>
      </c>
      <c r="D196" s="4" t="s">
        <v>10</v>
      </c>
      <c r="E196" s="4">
        <v>52</v>
      </c>
      <c r="F196" s="4" t="str">
        <f>IF(Table15[[#This Row],[Age]]&lt;=19,"Teenager",IF(Table15[[#This Row],[Age]]&lt;=40,"Median","Old"))</f>
        <v>Old</v>
      </c>
      <c r="G196" s="4" t="s">
        <v>14</v>
      </c>
      <c r="H196" s="4">
        <v>1</v>
      </c>
      <c r="I196" s="4">
        <v>30</v>
      </c>
      <c r="J196" s="4">
        <v>30</v>
      </c>
      <c r="K196" s="4" t="str" cm="1">
        <f t="array" ref="K196">_xlfn.IFS(AND(Table15[[#This Row],[Total Amount]]&gt;=1500),"Critical",AND(Table15[[#This Row],[Total Amount]]&gt;=1000),"High",TRUE,"Normal")</f>
        <v>Normal</v>
      </c>
      <c r="L196" s="4" t="str">
        <f>IF(Table15[[#This Row],[Total Amount]]&gt;=1000,"High",(IF(Table15[[#This Row],[Total Amount]]&gt;=500,"Medium","Low")))</f>
        <v>Low</v>
      </c>
      <c r="M196" s="4" t="str" cm="1">
        <f t="array" ref="M19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96" s="4" cm="1">
        <f t="array" ref="N19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196" s="4">
        <f>Table15[[#This Row],[Total Amount]]-Table15[[#This Row],[Discount Amount]]</f>
        <v>27</v>
      </c>
    </row>
    <row r="197" spans="1:15" x14ac:dyDescent="0.35">
      <c r="A197" s="4">
        <v>196</v>
      </c>
      <c r="B197" s="5">
        <v>45199</v>
      </c>
      <c r="C197" s="4" t="s">
        <v>209</v>
      </c>
      <c r="D197" s="4" t="s">
        <v>13</v>
      </c>
      <c r="E197" s="4">
        <v>32</v>
      </c>
      <c r="F197" s="4" t="str">
        <f>IF(Table15[[#This Row],[Age]]&lt;=19,"Teenager",IF(Table15[[#This Row],[Age]]&lt;=40,"Median","Old"))</f>
        <v>Median</v>
      </c>
      <c r="G197" s="4" t="s">
        <v>14</v>
      </c>
      <c r="H197" s="4">
        <v>3</v>
      </c>
      <c r="I197" s="4">
        <v>300</v>
      </c>
      <c r="J197" s="4">
        <v>900</v>
      </c>
      <c r="K197" s="4" t="str" cm="1">
        <f t="array" ref="K197">_xlfn.IFS(AND(Table15[[#This Row],[Total Amount]]&gt;=1500),"Critical",AND(Table15[[#This Row],[Total Amount]]&gt;=1000),"High",TRUE,"Normal")</f>
        <v>Normal</v>
      </c>
      <c r="L197" s="4" t="str">
        <f>IF(Table15[[#This Row],[Total Amount]]&gt;=1000,"High",(IF(Table15[[#This Row],[Total Amount]]&gt;=500,"Medium","Low")))</f>
        <v>Medium</v>
      </c>
      <c r="M197" s="4" t="str" cm="1">
        <f t="array" ref="M19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97" s="4" cm="1">
        <f t="array" ref="N19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135</v>
      </c>
      <c r="O197" s="4">
        <f>Table15[[#This Row],[Total Amount]]-Table15[[#This Row],[Discount Amount]]</f>
        <v>765</v>
      </c>
    </row>
    <row r="198" spans="1:15" x14ac:dyDescent="0.35">
      <c r="A198" s="4">
        <v>197</v>
      </c>
      <c r="B198" s="5">
        <v>44991</v>
      </c>
      <c r="C198" s="4" t="s">
        <v>210</v>
      </c>
      <c r="D198" s="4" t="s">
        <v>13</v>
      </c>
      <c r="E198" s="4">
        <v>42</v>
      </c>
      <c r="F198" s="4" t="str">
        <f>IF(Table15[[#This Row],[Age]]&lt;=19,"Teenager",IF(Table15[[#This Row],[Age]]&lt;=40,"Median","Old"))</f>
        <v>Old</v>
      </c>
      <c r="G198" s="4" t="s">
        <v>14</v>
      </c>
      <c r="H198" s="4">
        <v>4</v>
      </c>
      <c r="I198" s="4">
        <v>50</v>
      </c>
      <c r="J198" s="4">
        <v>200</v>
      </c>
      <c r="K198" s="4" t="str" cm="1">
        <f t="array" ref="K198">_xlfn.IFS(AND(Table15[[#This Row],[Total Amount]]&gt;=1500),"Critical",AND(Table15[[#This Row],[Total Amount]]&gt;=1000),"High",TRUE,"Normal")</f>
        <v>Normal</v>
      </c>
      <c r="L198" s="4" t="str">
        <f>IF(Table15[[#This Row],[Total Amount]]&gt;=1000,"High",(IF(Table15[[#This Row],[Total Amount]]&gt;=500,"Medium","Low")))</f>
        <v>Low</v>
      </c>
      <c r="M198" s="4" t="str" cm="1">
        <f t="array" ref="M19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98" s="4" cm="1">
        <f t="array" ref="N19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198" s="4">
        <f>Table15[[#This Row],[Total Amount]]-Table15[[#This Row],[Discount Amount]]</f>
        <v>160</v>
      </c>
    </row>
    <row r="199" spans="1:15" x14ac:dyDescent="0.35">
      <c r="A199" s="4">
        <v>198</v>
      </c>
      <c r="B199" s="5">
        <v>44992</v>
      </c>
      <c r="C199" s="4" t="s">
        <v>211</v>
      </c>
      <c r="D199" s="4" t="s">
        <v>13</v>
      </c>
      <c r="E199" s="4">
        <v>54</v>
      </c>
      <c r="F199" s="4" t="str">
        <f>IF(Table15[[#This Row],[Age]]&lt;=19,"Teenager",IF(Table15[[#This Row],[Age]]&lt;=40,"Median","Old"))</f>
        <v>Old</v>
      </c>
      <c r="G199" s="4" t="s">
        <v>11</v>
      </c>
      <c r="H199" s="4">
        <v>3</v>
      </c>
      <c r="I199" s="4">
        <v>300</v>
      </c>
      <c r="J199" s="4">
        <v>900</v>
      </c>
      <c r="K199" s="4" t="str" cm="1">
        <f t="array" ref="K199">_xlfn.IFS(AND(Table15[[#This Row],[Total Amount]]&gt;=1500),"Critical",AND(Table15[[#This Row],[Total Amount]]&gt;=1000),"High",TRUE,"Normal")</f>
        <v>Normal</v>
      </c>
      <c r="L199" s="4" t="str">
        <f>IF(Table15[[#This Row],[Total Amount]]&gt;=1000,"High",(IF(Table15[[#This Row],[Total Amount]]&gt;=500,"Medium","Low")))</f>
        <v>Medium</v>
      </c>
      <c r="M199" s="4" t="str" cm="1">
        <f t="array" ref="M19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99" s="4" cm="1">
        <f t="array" ref="N19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199" s="4">
        <f>Table15[[#This Row],[Total Amount]]-Table15[[#This Row],[Discount Amount]]</f>
        <v>720</v>
      </c>
    </row>
    <row r="200" spans="1:15" x14ac:dyDescent="0.35">
      <c r="A200" s="4">
        <v>199</v>
      </c>
      <c r="B200" s="5">
        <v>45264</v>
      </c>
      <c r="C200" s="4" t="s">
        <v>212</v>
      </c>
      <c r="D200" s="4" t="s">
        <v>10</v>
      </c>
      <c r="E200" s="4">
        <v>45</v>
      </c>
      <c r="F200" s="4" t="str">
        <f>IF(Table15[[#This Row],[Age]]&lt;=19,"Teenager",IF(Table15[[#This Row],[Age]]&lt;=40,"Median","Old"))</f>
        <v>Old</v>
      </c>
      <c r="G200" s="4" t="s">
        <v>11</v>
      </c>
      <c r="H200" s="4">
        <v>3</v>
      </c>
      <c r="I200" s="4">
        <v>500</v>
      </c>
      <c r="J200" s="4">
        <v>1500</v>
      </c>
      <c r="K200" s="4" t="str" cm="1">
        <f t="array" ref="K200">_xlfn.IFS(AND(Table15[[#This Row],[Total Amount]]&gt;=1500),"Critical",AND(Table15[[#This Row],[Total Amount]]&gt;=1000),"High",TRUE,"Normal")</f>
        <v>Critical</v>
      </c>
      <c r="L200" s="4" t="str">
        <f>IF(Table15[[#This Row],[Total Amount]]&gt;=1000,"High",(IF(Table15[[#This Row],[Total Amount]]&gt;=500,"Medium","Low")))</f>
        <v>High</v>
      </c>
      <c r="M200" s="4" t="str" cm="1">
        <f t="array" ref="M20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00" s="4" cm="1">
        <f t="array" ref="N20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200" s="4">
        <f>Table15[[#This Row],[Total Amount]]-Table15[[#This Row],[Discount Amount]]</f>
        <v>1350</v>
      </c>
    </row>
    <row r="201" spans="1:15" x14ac:dyDescent="0.35">
      <c r="A201" s="4">
        <v>200</v>
      </c>
      <c r="B201" s="5">
        <v>45170</v>
      </c>
      <c r="C201" s="4" t="s">
        <v>213</v>
      </c>
      <c r="D201" s="4" t="s">
        <v>10</v>
      </c>
      <c r="E201" s="4">
        <v>27</v>
      </c>
      <c r="F201" s="4" t="str">
        <f>IF(Table15[[#This Row],[Age]]&lt;=19,"Teenager",IF(Table15[[#This Row],[Age]]&lt;=40,"Median","Old"))</f>
        <v>Median</v>
      </c>
      <c r="G201" s="4" t="s">
        <v>11</v>
      </c>
      <c r="H201" s="4">
        <v>3</v>
      </c>
      <c r="I201" s="4">
        <v>50</v>
      </c>
      <c r="J201" s="4">
        <v>150</v>
      </c>
      <c r="K201" s="4" t="str" cm="1">
        <f t="array" ref="K201">_xlfn.IFS(AND(Table15[[#This Row],[Total Amount]]&gt;=1500),"Critical",AND(Table15[[#This Row],[Total Amount]]&gt;=1000),"High",TRUE,"Normal")</f>
        <v>Normal</v>
      </c>
      <c r="L201" s="4" t="str">
        <f>IF(Table15[[#This Row],[Total Amount]]&gt;=1000,"High",(IF(Table15[[#This Row],[Total Amount]]&gt;=500,"Medium","Low")))</f>
        <v>Low</v>
      </c>
      <c r="M201" s="4" t="str" cm="1">
        <f t="array" ref="M20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01" s="4" cm="1">
        <f t="array" ref="N20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22.5</v>
      </c>
      <c r="O201" s="4">
        <f>Table15[[#This Row],[Total Amount]]-Table15[[#This Row],[Discount Amount]]</f>
        <v>127.5</v>
      </c>
    </row>
    <row r="202" spans="1:15" x14ac:dyDescent="0.35">
      <c r="A202" s="4">
        <v>201</v>
      </c>
      <c r="B202" s="5">
        <v>45208</v>
      </c>
      <c r="C202" s="4" t="s">
        <v>214</v>
      </c>
      <c r="D202" s="4" t="s">
        <v>10</v>
      </c>
      <c r="E202" s="4">
        <v>56</v>
      </c>
      <c r="F202" s="4" t="str">
        <f>IF(Table15[[#This Row],[Age]]&lt;=19,"Teenager",IF(Table15[[#This Row],[Age]]&lt;=40,"Median","Old"))</f>
        <v>Old</v>
      </c>
      <c r="G202" s="4" t="s">
        <v>16</v>
      </c>
      <c r="H202" s="4">
        <v>1</v>
      </c>
      <c r="I202" s="4">
        <v>25</v>
      </c>
      <c r="J202" s="4">
        <v>25</v>
      </c>
      <c r="K202" s="4" t="str" cm="1">
        <f t="array" ref="K202">_xlfn.IFS(AND(Table15[[#This Row],[Total Amount]]&gt;=1500),"Critical",AND(Table15[[#This Row],[Total Amount]]&gt;=1000),"High",TRUE,"Normal")</f>
        <v>Normal</v>
      </c>
      <c r="L202" s="4" t="str">
        <f>IF(Table15[[#This Row],[Total Amount]]&gt;=1000,"High",(IF(Table15[[#This Row],[Total Amount]]&gt;=500,"Medium","Low")))</f>
        <v>Low</v>
      </c>
      <c r="M202" s="4" t="str" cm="1">
        <f t="array" ref="M20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02" s="4" cm="1">
        <f t="array" ref="N20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202" s="4">
        <f>Table15[[#This Row],[Total Amount]]-Table15[[#This Row],[Discount Amount]]</f>
        <v>22.5</v>
      </c>
    </row>
    <row r="203" spans="1:15" x14ac:dyDescent="0.35">
      <c r="A203" s="4">
        <v>202</v>
      </c>
      <c r="B203" s="5">
        <v>45011</v>
      </c>
      <c r="C203" s="4" t="s">
        <v>215</v>
      </c>
      <c r="D203" s="4" t="s">
        <v>13</v>
      </c>
      <c r="E203" s="4">
        <v>34</v>
      </c>
      <c r="F203" s="4" t="str">
        <f>IF(Table15[[#This Row],[Age]]&lt;=19,"Teenager",IF(Table15[[#This Row],[Age]]&lt;=40,"Median","Old"))</f>
        <v>Median</v>
      </c>
      <c r="G203" s="4" t="s">
        <v>14</v>
      </c>
      <c r="H203" s="4">
        <v>4</v>
      </c>
      <c r="I203" s="4">
        <v>300</v>
      </c>
      <c r="J203" s="4">
        <v>1200</v>
      </c>
      <c r="K203" s="4" t="str" cm="1">
        <f t="array" ref="K203">_xlfn.IFS(AND(Table15[[#This Row],[Total Amount]]&gt;=1500),"Critical",AND(Table15[[#This Row],[Total Amount]]&gt;=1000),"High",TRUE,"Normal")</f>
        <v>High</v>
      </c>
      <c r="L203" s="4" t="str">
        <f>IF(Table15[[#This Row],[Total Amount]]&gt;=1000,"High",(IF(Table15[[#This Row],[Total Amount]]&gt;=500,"Medium","Low")))</f>
        <v>High</v>
      </c>
      <c r="M203" s="4" t="str" cm="1">
        <f t="array" ref="M20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03" s="4" cm="1">
        <f t="array" ref="N20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203" s="4">
        <f>Table15[[#This Row],[Total Amount]]-Table15[[#This Row],[Discount Amount]]</f>
        <v>1020</v>
      </c>
    </row>
    <row r="204" spans="1:15" x14ac:dyDescent="0.35">
      <c r="A204" s="4">
        <v>203</v>
      </c>
      <c r="B204" s="5">
        <v>45062</v>
      </c>
      <c r="C204" s="4" t="s">
        <v>216</v>
      </c>
      <c r="D204" s="4" t="s">
        <v>10</v>
      </c>
      <c r="E204" s="4">
        <v>56</v>
      </c>
      <c r="F204" s="4" t="str">
        <f>IF(Table15[[#This Row],[Age]]&lt;=19,"Teenager",IF(Table15[[#This Row],[Age]]&lt;=40,"Median","Old"))</f>
        <v>Old</v>
      </c>
      <c r="G204" s="4" t="s">
        <v>14</v>
      </c>
      <c r="H204" s="4">
        <v>2</v>
      </c>
      <c r="I204" s="4">
        <v>500</v>
      </c>
      <c r="J204" s="4">
        <v>1000</v>
      </c>
      <c r="K204" s="4" t="str" cm="1">
        <f t="array" ref="K204">_xlfn.IFS(AND(Table15[[#This Row],[Total Amount]]&gt;=1500),"Critical",AND(Table15[[#This Row],[Total Amount]]&gt;=1000),"High",TRUE,"Normal")</f>
        <v>High</v>
      </c>
      <c r="L204" s="4" t="str">
        <f>IF(Table15[[#This Row],[Total Amount]]&gt;=1000,"High",(IF(Table15[[#This Row],[Total Amount]]&gt;=500,"Medium","Low")))</f>
        <v>High</v>
      </c>
      <c r="M204" s="4" t="str" cm="1">
        <f t="array" ref="M20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04" s="4" cm="1">
        <f t="array" ref="N20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204" s="4">
        <f>Table15[[#This Row],[Total Amount]]-Table15[[#This Row],[Discount Amount]]</f>
        <v>900</v>
      </c>
    </row>
    <row r="205" spans="1:15" x14ac:dyDescent="0.35">
      <c r="A205" s="4">
        <v>204</v>
      </c>
      <c r="B205" s="5">
        <v>45197</v>
      </c>
      <c r="C205" s="4" t="s">
        <v>217</v>
      </c>
      <c r="D205" s="4" t="s">
        <v>10</v>
      </c>
      <c r="E205" s="4">
        <v>39</v>
      </c>
      <c r="F205" s="4" t="str">
        <f>IF(Table15[[#This Row],[Age]]&lt;=19,"Teenager",IF(Table15[[#This Row],[Age]]&lt;=40,"Median","Old"))</f>
        <v>Median</v>
      </c>
      <c r="G205" s="4" t="s">
        <v>11</v>
      </c>
      <c r="H205" s="4">
        <v>1</v>
      </c>
      <c r="I205" s="4">
        <v>25</v>
      </c>
      <c r="J205" s="4">
        <v>25</v>
      </c>
      <c r="K205" s="4" t="str" cm="1">
        <f t="array" ref="K205">_xlfn.IFS(AND(Table15[[#This Row],[Total Amount]]&gt;=1500),"Critical",AND(Table15[[#This Row],[Total Amount]]&gt;=1000),"High",TRUE,"Normal")</f>
        <v>Normal</v>
      </c>
      <c r="L205" s="4" t="str">
        <f>IF(Table15[[#This Row],[Total Amount]]&gt;=1000,"High",(IF(Table15[[#This Row],[Total Amount]]&gt;=500,"Medium","Low")))</f>
        <v>Low</v>
      </c>
      <c r="M205" s="4" t="str" cm="1">
        <f t="array" ref="M20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05" s="4" cm="1">
        <f t="array" ref="N20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205" s="4">
        <f>Table15[[#This Row],[Total Amount]]-Table15[[#This Row],[Discount Amount]]</f>
        <v>22.5</v>
      </c>
    </row>
    <row r="206" spans="1:15" x14ac:dyDescent="0.35">
      <c r="A206" s="4">
        <v>205</v>
      </c>
      <c r="B206" s="5">
        <v>45237</v>
      </c>
      <c r="C206" s="4" t="s">
        <v>218</v>
      </c>
      <c r="D206" s="4" t="s">
        <v>13</v>
      </c>
      <c r="E206" s="4">
        <v>43</v>
      </c>
      <c r="F206" s="4" t="str">
        <f>IF(Table15[[#This Row],[Age]]&lt;=19,"Teenager",IF(Table15[[#This Row],[Age]]&lt;=40,"Median","Old"))</f>
        <v>Old</v>
      </c>
      <c r="G206" s="4" t="s">
        <v>14</v>
      </c>
      <c r="H206" s="4">
        <v>1</v>
      </c>
      <c r="I206" s="4">
        <v>25</v>
      </c>
      <c r="J206" s="4">
        <v>25</v>
      </c>
      <c r="K206" s="4" t="str" cm="1">
        <f t="array" ref="K206">_xlfn.IFS(AND(Table15[[#This Row],[Total Amount]]&gt;=1500),"Critical",AND(Table15[[#This Row],[Total Amount]]&gt;=1000),"High",TRUE,"Normal")</f>
        <v>Normal</v>
      </c>
      <c r="L206" s="4" t="str">
        <f>IF(Table15[[#This Row],[Total Amount]]&gt;=1000,"High",(IF(Table15[[#This Row],[Total Amount]]&gt;=500,"Medium","Low")))</f>
        <v>Low</v>
      </c>
      <c r="M206" s="4" t="str" cm="1">
        <f t="array" ref="M20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06" s="4" cm="1">
        <f t="array" ref="N20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206" s="4">
        <f>Table15[[#This Row],[Total Amount]]-Table15[[#This Row],[Discount Amount]]</f>
        <v>20</v>
      </c>
    </row>
    <row r="207" spans="1:15" x14ac:dyDescent="0.35">
      <c r="A207" s="4">
        <v>206</v>
      </c>
      <c r="B207" s="5">
        <v>45143</v>
      </c>
      <c r="C207" s="4" t="s">
        <v>219</v>
      </c>
      <c r="D207" s="4" t="s">
        <v>10</v>
      </c>
      <c r="E207" s="4">
        <v>61</v>
      </c>
      <c r="F207" s="4" t="str">
        <f>IF(Table15[[#This Row],[Age]]&lt;=19,"Teenager",IF(Table15[[#This Row],[Age]]&lt;=40,"Median","Old"))</f>
        <v>Old</v>
      </c>
      <c r="G207" s="4" t="s">
        <v>14</v>
      </c>
      <c r="H207" s="4">
        <v>1</v>
      </c>
      <c r="I207" s="4">
        <v>25</v>
      </c>
      <c r="J207" s="4">
        <v>25</v>
      </c>
      <c r="K207" s="4" t="str" cm="1">
        <f t="array" ref="K207">_xlfn.IFS(AND(Table15[[#This Row],[Total Amount]]&gt;=1500),"Critical",AND(Table15[[#This Row],[Total Amount]]&gt;=1000),"High",TRUE,"Normal")</f>
        <v>Normal</v>
      </c>
      <c r="L207" s="4" t="str">
        <f>IF(Table15[[#This Row],[Total Amount]]&gt;=1000,"High",(IF(Table15[[#This Row],[Total Amount]]&gt;=500,"Medium","Low")))</f>
        <v>Low</v>
      </c>
      <c r="M207" s="4" t="str" cm="1">
        <f t="array" ref="M20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07" s="4" cm="1">
        <f t="array" ref="N20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207" s="4">
        <f>Table15[[#This Row],[Total Amount]]-Table15[[#This Row],[Discount Amount]]</f>
        <v>22.5</v>
      </c>
    </row>
    <row r="208" spans="1:15" x14ac:dyDescent="0.35">
      <c r="A208" s="4">
        <v>207</v>
      </c>
      <c r="B208" s="5">
        <v>45035</v>
      </c>
      <c r="C208" s="4" t="s">
        <v>220</v>
      </c>
      <c r="D208" s="4" t="s">
        <v>13</v>
      </c>
      <c r="E208" s="4">
        <v>42</v>
      </c>
      <c r="F208" s="4" t="str">
        <f>IF(Table15[[#This Row],[Age]]&lt;=19,"Teenager",IF(Table15[[#This Row],[Age]]&lt;=40,"Median","Old"))</f>
        <v>Old</v>
      </c>
      <c r="G208" s="4" t="s">
        <v>11</v>
      </c>
      <c r="H208" s="4">
        <v>2</v>
      </c>
      <c r="I208" s="4">
        <v>25</v>
      </c>
      <c r="J208" s="4">
        <v>50</v>
      </c>
      <c r="K208" s="4" t="str" cm="1">
        <f t="array" ref="K208">_xlfn.IFS(AND(Table15[[#This Row],[Total Amount]]&gt;=1500),"Critical",AND(Table15[[#This Row],[Total Amount]]&gt;=1000),"High",TRUE,"Normal")</f>
        <v>Normal</v>
      </c>
      <c r="L208" s="4" t="str">
        <f>IF(Table15[[#This Row],[Total Amount]]&gt;=1000,"High",(IF(Table15[[#This Row],[Total Amount]]&gt;=500,"Medium","Low")))</f>
        <v>Low</v>
      </c>
      <c r="M208" s="4" t="str" cm="1">
        <f t="array" ref="M20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08" s="4" cm="1">
        <f t="array" ref="N20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208" s="4">
        <f>Table15[[#This Row],[Total Amount]]-Table15[[#This Row],[Discount Amount]]</f>
        <v>40</v>
      </c>
    </row>
    <row r="209" spans="1:15" x14ac:dyDescent="0.35">
      <c r="A209" s="4">
        <v>208</v>
      </c>
      <c r="B209" s="5">
        <v>45203</v>
      </c>
      <c r="C209" s="4" t="s">
        <v>221</v>
      </c>
      <c r="D209" s="4" t="s">
        <v>13</v>
      </c>
      <c r="E209" s="4">
        <v>34</v>
      </c>
      <c r="F209" s="4" t="str">
        <f>IF(Table15[[#This Row],[Age]]&lt;=19,"Teenager",IF(Table15[[#This Row],[Age]]&lt;=40,"Median","Old"))</f>
        <v>Median</v>
      </c>
      <c r="G209" s="4" t="s">
        <v>16</v>
      </c>
      <c r="H209" s="4">
        <v>4</v>
      </c>
      <c r="I209" s="4">
        <v>50</v>
      </c>
      <c r="J209" s="4">
        <v>200</v>
      </c>
      <c r="K209" s="4" t="str" cm="1">
        <f t="array" ref="K209">_xlfn.IFS(AND(Table15[[#This Row],[Total Amount]]&gt;=1500),"Critical",AND(Table15[[#This Row],[Total Amount]]&gt;=1000),"High",TRUE,"Normal")</f>
        <v>Normal</v>
      </c>
      <c r="L209" s="4" t="str">
        <f>IF(Table15[[#This Row],[Total Amount]]&gt;=1000,"High",(IF(Table15[[#This Row],[Total Amount]]&gt;=500,"Medium","Low")))</f>
        <v>Low</v>
      </c>
      <c r="M209" s="4" t="str" cm="1">
        <f t="array" ref="M20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09" s="4" cm="1">
        <f t="array" ref="N20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209" s="4">
        <f>Table15[[#This Row],[Total Amount]]-Table15[[#This Row],[Discount Amount]]</f>
        <v>170</v>
      </c>
    </row>
    <row r="210" spans="1:15" x14ac:dyDescent="0.35">
      <c r="A210" s="4">
        <v>209</v>
      </c>
      <c r="B210" s="5">
        <v>45280</v>
      </c>
      <c r="C210" s="4" t="s">
        <v>222</v>
      </c>
      <c r="D210" s="4" t="s">
        <v>13</v>
      </c>
      <c r="E210" s="4">
        <v>30</v>
      </c>
      <c r="F210" s="4" t="str">
        <f>IF(Table15[[#This Row],[Age]]&lt;=19,"Teenager",IF(Table15[[#This Row],[Age]]&lt;=40,"Median","Old"))</f>
        <v>Median</v>
      </c>
      <c r="G210" s="4" t="s">
        <v>16</v>
      </c>
      <c r="H210" s="4">
        <v>4</v>
      </c>
      <c r="I210" s="4">
        <v>50</v>
      </c>
      <c r="J210" s="4">
        <v>200</v>
      </c>
      <c r="K210" s="4" t="str" cm="1">
        <f t="array" ref="K210">_xlfn.IFS(AND(Table15[[#This Row],[Total Amount]]&gt;=1500),"Critical",AND(Table15[[#This Row],[Total Amount]]&gt;=1000),"High",TRUE,"Normal")</f>
        <v>Normal</v>
      </c>
      <c r="L210" s="4" t="str">
        <f>IF(Table15[[#This Row],[Total Amount]]&gt;=1000,"High",(IF(Table15[[#This Row],[Total Amount]]&gt;=500,"Medium","Low")))</f>
        <v>Low</v>
      </c>
      <c r="M210" s="4" t="str" cm="1">
        <f t="array" ref="M21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10" s="4" cm="1">
        <f t="array" ref="N21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210" s="4">
        <f>Table15[[#This Row],[Total Amount]]-Table15[[#This Row],[Discount Amount]]</f>
        <v>170</v>
      </c>
    </row>
    <row r="211" spans="1:15" x14ac:dyDescent="0.35">
      <c r="A211" s="4">
        <v>210</v>
      </c>
      <c r="B211" s="5">
        <v>45029</v>
      </c>
      <c r="C211" s="4" t="s">
        <v>223</v>
      </c>
      <c r="D211" s="4" t="s">
        <v>10</v>
      </c>
      <c r="E211" s="4">
        <v>37</v>
      </c>
      <c r="F211" s="4" t="str">
        <f>IF(Table15[[#This Row],[Age]]&lt;=19,"Teenager",IF(Table15[[#This Row],[Age]]&lt;=40,"Median","Old"))</f>
        <v>Median</v>
      </c>
      <c r="G211" s="4" t="s">
        <v>16</v>
      </c>
      <c r="H211" s="4">
        <v>4</v>
      </c>
      <c r="I211" s="4">
        <v>50</v>
      </c>
      <c r="J211" s="4">
        <v>200</v>
      </c>
      <c r="K211" s="4" t="str" cm="1">
        <f t="array" ref="K211">_xlfn.IFS(AND(Table15[[#This Row],[Total Amount]]&gt;=1500),"Critical",AND(Table15[[#This Row],[Total Amount]]&gt;=1000),"High",TRUE,"Normal")</f>
        <v>Normal</v>
      </c>
      <c r="L211" s="4" t="str">
        <f>IF(Table15[[#This Row],[Total Amount]]&gt;=1000,"High",(IF(Table15[[#This Row],[Total Amount]]&gt;=500,"Medium","Low")))</f>
        <v>Low</v>
      </c>
      <c r="M211" s="4" t="str" cm="1">
        <f t="array" ref="M21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11" s="4" cm="1">
        <f t="array" ref="N21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211" s="4">
        <f>Table15[[#This Row],[Total Amount]]-Table15[[#This Row],[Discount Amount]]</f>
        <v>180</v>
      </c>
    </row>
    <row r="212" spans="1:15" x14ac:dyDescent="0.35">
      <c r="A212" s="4">
        <v>211</v>
      </c>
      <c r="B212" s="5">
        <v>45292</v>
      </c>
      <c r="C212" s="4" t="s">
        <v>224</v>
      </c>
      <c r="D212" s="4" t="s">
        <v>10</v>
      </c>
      <c r="E212" s="4">
        <v>42</v>
      </c>
      <c r="F212" s="4" t="str">
        <f>IF(Table15[[#This Row],[Age]]&lt;=19,"Teenager",IF(Table15[[#This Row],[Age]]&lt;=40,"Median","Old"))</f>
        <v>Old</v>
      </c>
      <c r="G212" s="4" t="s">
        <v>11</v>
      </c>
      <c r="H212" s="4">
        <v>3</v>
      </c>
      <c r="I212" s="4">
        <v>500</v>
      </c>
      <c r="J212" s="4">
        <v>1500</v>
      </c>
      <c r="K212" s="4" t="str" cm="1">
        <f t="array" ref="K212">_xlfn.IFS(AND(Table15[[#This Row],[Total Amount]]&gt;=1500),"Critical",AND(Table15[[#This Row],[Total Amount]]&gt;=1000),"High",TRUE,"Normal")</f>
        <v>Critical</v>
      </c>
      <c r="L212" s="4" t="str">
        <f>IF(Table15[[#This Row],[Total Amount]]&gt;=1000,"High",(IF(Table15[[#This Row],[Total Amount]]&gt;=500,"Medium","Low")))</f>
        <v>High</v>
      </c>
      <c r="M212" s="4" t="str" cm="1">
        <f t="array" ref="M21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12" s="4" cm="1">
        <f t="array" ref="N21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212" s="4">
        <f>Table15[[#This Row],[Total Amount]]-Table15[[#This Row],[Discount Amount]]</f>
        <v>1350</v>
      </c>
    </row>
    <row r="213" spans="1:15" x14ac:dyDescent="0.35">
      <c r="A213" s="4">
        <v>212</v>
      </c>
      <c r="B213" s="5">
        <v>45086</v>
      </c>
      <c r="C213" s="4" t="s">
        <v>225</v>
      </c>
      <c r="D213" s="4" t="s">
        <v>10</v>
      </c>
      <c r="E213" s="4">
        <v>21</v>
      </c>
      <c r="F213" s="4" t="str">
        <f>IF(Table15[[#This Row],[Age]]&lt;=19,"Teenager",IF(Table15[[#This Row],[Age]]&lt;=40,"Median","Old"))</f>
        <v>Median</v>
      </c>
      <c r="G213" s="4" t="s">
        <v>14</v>
      </c>
      <c r="H213" s="4">
        <v>3</v>
      </c>
      <c r="I213" s="4">
        <v>500</v>
      </c>
      <c r="J213" s="4">
        <v>1500</v>
      </c>
      <c r="K213" s="4" t="str" cm="1">
        <f t="array" ref="K213">_xlfn.IFS(AND(Table15[[#This Row],[Total Amount]]&gt;=1500),"Critical",AND(Table15[[#This Row],[Total Amount]]&gt;=1000),"High",TRUE,"Normal")</f>
        <v>Critical</v>
      </c>
      <c r="L213" s="4" t="str">
        <f>IF(Table15[[#This Row],[Total Amount]]&gt;=1000,"High",(IF(Table15[[#This Row],[Total Amount]]&gt;=500,"Medium","Low")))</f>
        <v>High</v>
      </c>
      <c r="M213" s="4" t="str" cm="1">
        <f t="array" ref="M21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13" s="4" cm="1">
        <f t="array" ref="N21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13" s="4">
        <f>Table15[[#This Row],[Total Amount]]-Table15[[#This Row],[Discount Amount]]</f>
        <v>1500</v>
      </c>
    </row>
    <row r="214" spans="1:15" x14ac:dyDescent="0.35">
      <c r="A214" s="4">
        <v>213</v>
      </c>
      <c r="B214" s="5">
        <v>45131</v>
      </c>
      <c r="C214" s="4" t="s">
        <v>226</v>
      </c>
      <c r="D214" s="4" t="s">
        <v>10</v>
      </c>
      <c r="E214" s="4">
        <v>27</v>
      </c>
      <c r="F214" s="4" t="str">
        <f>IF(Table15[[#This Row],[Age]]&lt;=19,"Teenager",IF(Table15[[#This Row],[Age]]&lt;=40,"Median","Old"))</f>
        <v>Median</v>
      </c>
      <c r="G214" s="4" t="s">
        <v>11</v>
      </c>
      <c r="H214" s="4">
        <v>3</v>
      </c>
      <c r="I214" s="4">
        <v>500</v>
      </c>
      <c r="J214" s="4">
        <v>1500</v>
      </c>
      <c r="K214" s="4" t="str" cm="1">
        <f t="array" ref="K214">_xlfn.IFS(AND(Table15[[#This Row],[Total Amount]]&gt;=1500),"Critical",AND(Table15[[#This Row],[Total Amount]]&gt;=1000),"High",TRUE,"Normal")</f>
        <v>Critical</v>
      </c>
      <c r="L214" s="4" t="str">
        <f>IF(Table15[[#This Row],[Total Amount]]&gt;=1000,"High",(IF(Table15[[#This Row],[Total Amount]]&gt;=500,"Medium","Low")))</f>
        <v>High</v>
      </c>
      <c r="M214" s="4" t="str" cm="1">
        <f t="array" ref="M21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14" s="4" cm="1">
        <f t="array" ref="N21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225</v>
      </c>
      <c r="O214" s="4">
        <f>Table15[[#This Row],[Total Amount]]-Table15[[#This Row],[Discount Amount]]</f>
        <v>1275</v>
      </c>
    </row>
    <row r="215" spans="1:15" x14ac:dyDescent="0.35">
      <c r="A215" s="4">
        <v>214</v>
      </c>
      <c r="B215" s="5">
        <v>45270</v>
      </c>
      <c r="C215" s="4" t="s">
        <v>227</v>
      </c>
      <c r="D215" s="4" t="s">
        <v>10</v>
      </c>
      <c r="E215" s="4">
        <v>20</v>
      </c>
      <c r="F215" s="4" t="str">
        <f>IF(Table15[[#This Row],[Age]]&lt;=19,"Teenager",IF(Table15[[#This Row],[Age]]&lt;=40,"Median","Old"))</f>
        <v>Median</v>
      </c>
      <c r="G215" s="4" t="s">
        <v>11</v>
      </c>
      <c r="H215" s="4">
        <v>2</v>
      </c>
      <c r="I215" s="4">
        <v>30</v>
      </c>
      <c r="J215" s="4">
        <v>60</v>
      </c>
      <c r="K215" s="4" t="str" cm="1">
        <f t="array" ref="K215">_xlfn.IFS(AND(Table15[[#This Row],[Total Amount]]&gt;=1500),"Critical",AND(Table15[[#This Row],[Total Amount]]&gt;=1000),"High",TRUE,"Normal")</f>
        <v>Normal</v>
      </c>
      <c r="L215" s="4" t="str">
        <f>IF(Table15[[#This Row],[Total Amount]]&gt;=1000,"High",(IF(Table15[[#This Row],[Total Amount]]&gt;=500,"Medium","Low")))</f>
        <v>Low</v>
      </c>
      <c r="M215" s="4" t="str" cm="1">
        <f t="array" ref="M21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15" s="4" cm="1">
        <f t="array" ref="N21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15" s="4">
        <f>Table15[[#This Row],[Total Amount]]-Table15[[#This Row],[Discount Amount]]</f>
        <v>60</v>
      </c>
    </row>
    <row r="216" spans="1:15" x14ac:dyDescent="0.35">
      <c r="A216" s="4">
        <v>215</v>
      </c>
      <c r="B216" s="5">
        <v>45259</v>
      </c>
      <c r="C216" s="4" t="s">
        <v>228</v>
      </c>
      <c r="D216" s="4" t="s">
        <v>10</v>
      </c>
      <c r="E216" s="4">
        <v>58</v>
      </c>
      <c r="F216" s="4" t="str">
        <f>IF(Table15[[#This Row],[Age]]&lt;=19,"Teenager",IF(Table15[[#This Row],[Age]]&lt;=40,"Median","Old"))</f>
        <v>Old</v>
      </c>
      <c r="G216" s="4" t="s">
        <v>14</v>
      </c>
      <c r="H216" s="4">
        <v>3</v>
      </c>
      <c r="I216" s="4">
        <v>500</v>
      </c>
      <c r="J216" s="4">
        <v>1500</v>
      </c>
      <c r="K216" s="4" t="str" cm="1">
        <f t="array" ref="K216">_xlfn.IFS(AND(Table15[[#This Row],[Total Amount]]&gt;=1500),"Critical",AND(Table15[[#This Row],[Total Amount]]&gt;=1000),"High",TRUE,"Normal")</f>
        <v>Critical</v>
      </c>
      <c r="L216" s="4" t="str">
        <f>IF(Table15[[#This Row],[Total Amount]]&gt;=1000,"High",(IF(Table15[[#This Row],[Total Amount]]&gt;=500,"Medium","Low")))</f>
        <v>High</v>
      </c>
      <c r="M216" s="4" t="str" cm="1">
        <f t="array" ref="M21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16" s="4" cm="1">
        <f t="array" ref="N21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216" s="4">
        <f>Table15[[#This Row],[Total Amount]]-Table15[[#This Row],[Discount Amount]]</f>
        <v>1350</v>
      </c>
    </row>
    <row r="217" spans="1:15" x14ac:dyDescent="0.35">
      <c r="A217" s="4">
        <v>216</v>
      </c>
      <c r="B217" s="5">
        <v>45118</v>
      </c>
      <c r="C217" s="4" t="s">
        <v>229</v>
      </c>
      <c r="D217" s="4" t="s">
        <v>10</v>
      </c>
      <c r="E217" s="4">
        <v>62</v>
      </c>
      <c r="F217" s="4" t="str">
        <f>IF(Table15[[#This Row],[Age]]&lt;=19,"Teenager",IF(Table15[[#This Row],[Age]]&lt;=40,"Median","Old"))</f>
        <v>Old</v>
      </c>
      <c r="G217" s="4" t="s">
        <v>16</v>
      </c>
      <c r="H217" s="4">
        <v>2</v>
      </c>
      <c r="I217" s="4">
        <v>50</v>
      </c>
      <c r="J217" s="4">
        <v>100</v>
      </c>
      <c r="K217" s="4" t="str" cm="1">
        <f t="array" ref="K217">_xlfn.IFS(AND(Table15[[#This Row],[Total Amount]]&gt;=1500),"Critical",AND(Table15[[#This Row],[Total Amount]]&gt;=1000),"High",TRUE,"Normal")</f>
        <v>Normal</v>
      </c>
      <c r="L217" s="4" t="str">
        <f>IF(Table15[[#This Row],[Total Amount]]&gt;=1000,"High",(IF(Table15[[#This Row],[Total Amount]]&gt;=500,"Medium","Low")))</f>
        <v>Low</v>
      </c>
      <c r="M217" s="4" t="str" cm="1">
        <f t="array" ref="M21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17" s="4" cm="1">
        <f t="array" ref="N21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217" s="4">
        <f>Table15[[#This Row],[Total Amount]]-Table15[[#This Row],[Discount Amount]]</f>
        <v>90</v>
      </c>
    </row>
    <row r="218" spans="1:15" x14ac:dyDescent="0.35">
      <c r="A218" s="4">
        <v>217</v>
      </c>
      <c r="B218" s="5">
        <v>45151</v>
      </c>
      <c r="C218" s="4" t="s">
        <v>230</v>
      </c>
      <c r="D218" s="4" t="s">
        <v>13</v>
      </c>
      <c r="E218" s="4">
        <v>35</v>
      </c>
      <c r="F218" s="4" t="str">
        <f>IF(Table15[[#This Row],[Age]]&lt;=19,"Teenager",IF(Table15[[#This Row],[Age]]&lt;=40,"Median","Old"))</f>
        <v>Median</v>
      </c>
      <c r="G218" s="4" t="s">
        <v>16</v>
      </c>
      <c r="H218" s="4">
        <v>4</v>
      </c>
      <c r="I218" s="4">
        <v>50</v>
      </c>
      <c r="J218" s="4">
        <v>200</v>
      </c>
      <c r="K218" s="4" t="str" cm="1">
        <f t="array" ref="K218">_xlfn.IFS(AND(Table15[[#This Row],[Total Amount]]&gt;=1500),"Critical",AND(Table15[[#This Row],[Total Amount]]&gt;=1000),"High",TRUE,"Normal")</f>
        <v>Normal</v>
      </c>
      <c r="L218" s="4" t="str">
        <f>IF(Table15[[#This Row],[Total Amount]]&gt;=1000,"High",(IF(Table15[[#This Row],[Total Amount]]&gt;=500,"Medium","Low")))</f>
        <v>Low</v>
      </c>
      <c r="M218" s="4" t="str" cm="1">
        <f t="array" ref="M21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18" s="4" cm="1">
        <f t="array" ref="N21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218" s="4">
        <f>Table15[[#This Row],[Total Amount]]-Table15[[#This Row],[Discount Amount]]</f>
        <v>160</v>
      </c>
    </row>
    <row r="219" spans="1:15" x14ac:dyDescent="0.35">
      <c r="A219" s="4">
        <v>218</v>
      </c>
      <c r="B219" s="5">
        <v>45191</v>
      </c>
      <c r="C219" s="4" t="s">
        <v>231</v>
      </c>
      <c r="D219" s="4" t="s">
        <v>10</v>
      </c>
      <c r="E219" s="4">
        <v>64</v>
      </c>
      <c r="F219" s="4" t="str">
        <f>IF(Table15[[#This Row],[Age]]&lt;=19,"Teenager",IF(Table15[[#This Row],[Age]]&lt;=40,"Median","Old"))</f>
        <v>Old</v>
      </c>
      <c r="G219" s="4" t="s">
        <v>11</v>
      </c>
      <c r="H219" s="4">
        <v>3</v>
      </c>
      <c r="I219" s="4">
        <v>30</v>
      </c>
      <c r="J219" s="4">
        <v>90</v>
      </c>
      <c r="K219" s="4" t="str" cm="1">
        <f t="array" ref="K219">_xlfn.IFS(AND(Table15[[#This Row],[Total Amount]]&gt;=1500),"Critical",AND(Table15[[#This Row],[Total Amount]]&gt;=1000),"High",TRUE,"Normal")</f>
        <v>Normal</v>
      </c>
      <c r="L219" s="4" t="str">
        <f>IF(Table15[[#This Row],[Total Amount]]&gt;=1000,"High",(IF(Table15[[#This Row],[Total Amount]]&gt;=500,"Medium","Low")))</f>
        <v>Low</v>
      </c>
      <c r="M219" s="4" t="str" cm="1">
        <f t="array" ref="M21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19" s="4" cm="1">
        <f t="array" ref="N21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219" s="4">
        <f>Table15[[#This Row],[Total Amount]]-Table15[[#This Row],[Discount Amount]]</f>
        <v>81</v>
      </c>
    </row>
    <row r="220" spans="1:15" x14ac:dyDescent="0.35">
      <c r="A220" s="4">
        <v>219</v>
      </c>
      <c r="B220" s="5">
        <v>45158</v>
      </c>
      <c r="C220" s="4" t="s">
        <v>232</v>
      </c>
      <c r="D220" s="4" t="s">
        <v>13</v>
      </c>
      <c r="E220" s="4">
        <v>53</v>
      </c>
      <c r="F220" s="4" t="str">
        <f>IF(Table15[[#This Row],[Age]]&lt;=19,"Teenager",IF(Table15[[#This Row],[Age]]&lt;=40,"Median","Old"))</f>
        <v>Old</v>
      </c>
      <c r="G220" s="4" t="s">
        <v>16</v>
      </c>
      <c r="H220" s="4">
        <v>3</v>
      </c>
      <c r="I220" s="4">
        <v>30</v>
      </c>
      <c r="J220" s="4">
        <v>90</v>
      </c>
      <c r="K220" s="4" t="str" cm="1">
        <f t="array" ref="K220">_xlfn.IFS(AND(Table15[[#This Row],[Total Amount]]&gt;=1500),"Critical",AND(Table15[[#This Row],[Total Amount]]&gt;=1000),"High",TRUE,"Normal")</f>
        <v>Normal</v>
      </c>
      <c r="L220" s="4" t="str">
        <f>IF(Table15[[#This Row],[Total Amount]]&gt;=1000,"High",(IF(Table15[[#This Row],[Total Amount]]&gt;=500,"Medium","Low")))</f>
        <v>Low</v>
      </c>
      <c r="M220" s="4" t="str" cm="1">
        <f t="array" ref="M22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20" s="4" cm="1">
        <f t="array" ref="N22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220" s="4">
        <f>Table15[[#This Row],[Total Amount]]-Table15[[#This Row],[Discount Amount]]</f>
        <v>72</v>
      </c>
    </row>
    <row r="221" spans="1:15" x14ac:dyDescent="0.35">
      <c r="A221" s="4">
        <v>220</v>
      </c>
      <c r="B221" s="5">
        <v>44988</v>
      </c>
      <c r="C221" s="4" t="s">
        <v>233</v>
      </c>
      <c r="D221" s="4" t="s">
        <v>10</v>
      </c>
      <c r="E221" s="4">
        <v>64</v>
      </c>
      <c r="F221" s="4" t="str">
        <f>IF(Table15[[#This Row],[Age]]&lt;=19,"Teenager",IF(Table15[[#This Row],[Age]]&lt;=40,"Median","Old"))</f>
        <v>Old</v>
      </c>
      <c r="G221" s="4" t="s">
        <v>11</v>
      </c>
      <c r="H221" s="4">
        <v>1</v>
      </c>
      <c r="I221" s="4">
        <v>500</v>
      </c>
      <c r="J221" s="4">
        <v>500</v>
      </c>
      <c r="K221" s="4" t="str" cm="1">
        <f t="array" ref="K221">_xlfn.IFS(AND(Table15[[#This Row],[Total Amount]]&gt;=1500),"Critical",AND(Table15[[#This Row],[Total Amount]]&gt;=1000),"High",TRUE,"Normal")</f>
        <v>Normal</v>
      </c>
      <c r="L221" s="4" t="str">
        <f>IF(Table15[[#This Row],[Total Amount]]&gt;=1000,"High",(IF(Table15[[#This Row],[Total Amount]]&gt;=500,"Medium","Low")))</f>
        <v>Medium</v>
      </c>
      <c r="M221" s="4" t="str" cm="1">
        <f t="array" ref="M22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21" s="4" cm="1">
        <f t="array" ref="N22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221" s="4">
        <f>Table15[[#This Row],[Total Amount]]-Table15[[#This Row],[Discount Amount]]</f>
        <v>450</v>
      </c>
    </row>
    <row r="222" spans="1:15" x14ac:dyDescent="0.35">
      <c r="A222" s="4">
        <v>221</v>
      </c>
      <c r="B222" s="5">
        <v>45053</v>
      </c>
      <c r="C222" s="4" t="s">
        <v>234</v>
      </c>
      <c r="D222" s="4" t="s">
        <v>10</v>
      </c>
      <c r="E222" s="4">
        <v>39</v>
      </c>
      <c r="F222" s="4" t="str">
        <f>IF(Table15[[#This Row],[Age]]&lt;=19,"Teenager",IF(Table15[[#This Row],[Age]]&lt;=40,"Median","Old"))</f>
        <v>Median</v>
      </c>
      <c r="G222" s="4" t="s">
        <v>11</v>
      </c>
      <c r="H222" s="4">
        <v>2</v>
      </c>
      <c r="I222" s="4">
        <v>300</v>
      </c>
      <c r="J222" s="4">
        <v>600</v>
      </c>
      <c r="K222" s="4" t="str" cm="1">
        <f t="array" ref="K222">_xlfn.IFS(AND(Table15[[#This Row],[Total Amount]]&gt;=1500),"Critical",AND(Table15[[#This Row],[Total Amount]]&gt;=1000),"High",TRUE,"Normal")</f>
        <v>Normal</v>
      </c>
      <c r="L222" s="4" t="str">
        <f>IF(Table15[[#This Row],[Total Amount]]&gt;=1000,"High",(IF(Table15[[#This Row],[Total Amount]]&gt;=500,"Medium","Low")))</f>
        <v>Medium</v>
      </c>
      <c r="M222" s="4" t="str" cm="1">
        <f t="array" ref="M22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22" s="4" cm="1">
        <f t="array" ref="N22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222" s="4">
        <f>Table15[[#This Row],[Total Amount]]-Table15[[#This Row],[Discount Amount]]</f>
        <v>540</v>
      </c>
    </row>
    <row r="223" spans="1:15" x14ac:dyDescent="0.35">
      <c r="A223" s="4">
        <v>222</v>
      </c>
      <c r="B223" s="5">
        <v>45042</v>
      </c>
      <c r="C223" s="4" t="s">
        <v>235</v>
      </c>
      <c r="D223" s="4" t="s">
        <v>10</v>
      </c>
      <c r="E223" s="4">
        <v>51</v>
      </c>
      <c r="F223" s="4" t="str">
        <f>IF(Table15[[#This Row],[Age]]&lt;=19,"Teenager",IF(Table15[[#This Row],[Age]]&lt;=40,"Median","Old"))</f>
        <v>Old</v>
      </c>
      <c r="G223" s="4" t="s">
        <v>14</v>
      </c>
      <c r="H223" s="4">
        <v>4</v>
      </c>
      <c r="I223" s="4">
        <v>30</v>
      </c>
      <c r="J223" s="4">
        <v>120</v>
      </c>
      <c r="K223" s="4" t="str" cm="1">
        <f t="array" ref="K223">_xlfn.IFS(AND(Table15[[#This Row],[Total Amount]]&gt;=1500),"Critical",AND(Table15[[#This Row],[Total Amount]]&gt;=1000),"High",TRUE,"Normal")</f>
        <v>Normal</v>
      </c>
      <c r="L223" s="4" t="str">
        <f>IF(Table15[[#This Row],[Total Amount]]&gt;=1000,"High",(IF(Table15[[#This Row],[Total Amount]]&gt;=500,"Medium","Low")))</f>
        <v>Low</v>
      </c>
      <c r="M223" s="4" t="str" cm="1">
        <f t="array" ref="M22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23" s="4" cm="1">
        <f t="array" ref="N22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223" s="4">
        <f>Table15[[#This Row],[Total Amount]]-Table15[[#This Row],[Discount Amount]]</f>
        <v>108</v>
      </c>
    </row>
    <row r="224" spans="1:15" x14ac:dyDescent="0.35">
      <c r="A224" s="4">
        <v>223</v>
      </c>
      <c r="B224" s="5">
        <v>44959</v>
      </c>
      <c r="C224" s="4" t="s">
        <v>236</v>
      </c>
      <c r="D224" s="4" t="s">
        <v>13</v>
      </c>
      <c r="E224" s="4">
        <v>64</v>
      </c>
      <c r="F224" s="4" t="str">
        <f>IF(Table15[[#This Row],[Age]]&lt;=19,"Teenager",IF(Table15[[#This Row],[Age]]&lt;=40,"Median","Old"))</f>
        <v>Old</v>
      </c>
      <c r="G224" s="4" t="s">
        <v>14</v>
      </c>
      <c r="H224" s="4">
        <v>1</v>
      </c>
      <c r="I224" s="4">
        <v>25</v>
      </c>
      <c r="J224" s="4">
        <v>25</v>
      </c>
      <c r="K224" s="4" t="str" cm="1">
        <f t="array" ref="K224">_xlfn.IFS(AND(Table15[[#This Row],[Total Amount]]&gt;=1500),"Critical",AND(Table15[[#This Row],[Total Amount]]&gt;=1000),"High",TRUE,"Normal")</f>
        <v>Normal</v>
      </c>
      <c r="L224" s="4" t="str">
        <f>IF(Table15[[#This Row],[Total Amount]]&gt;=1000,"High",(IF(Table15[[#This Row],[Total Amount]]&gt;=500,"Medium","Low")))</f>
        <v>Low</v>
      </c>
      <c r="M224" s="4" t="str" cm="1">
        <f t="array" ref="M22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24" s="4" cm="1">
        <f t="array" ref="N22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224" s="4">
        <f>Table15[[#This Row],[Total Amount]]-Table15[[#This Row],[Discount Amount]]</f>
        <v>20</v>
      </c>
    </row>
    <row r="225" spans="1:15" x14ac:dyDescent="0.35">
      <c r="A225" s="4">
        <v>224</v>
      </c>
      <c r="B225" s="5">
        <v>45100</v>
      </c>
      <c r="C225" s="4" t="s">
        <v>237</v>
      </c>
      <c r="D225" s="4" t="s">
        <v>13</v>
      </c>
      <c r="E225" s="4">
        <v>25</v>
      </c>
      <c r="F225" s="4" t="str">
        <f>IF(Table15[[#This Row],[Age]]&lt;=19,"Teenager",IF(Table15[[#This Row],[Age]]&lt;=40,"Median","Old"))</f>
        <v>Median</v>
      </c>
      <c r="G225" s="4" t="s">
        <v>14</v>
      </c>
      <c r="H225" s="4">
        <v>1</v>
      </c>
      <c r="I225" s="4">
        <v>50</v>
      </c>
      <c r="J225" s="4">
        <v>50</v>
      </c>
      <c r="K225" s="4" t="str" cm="1">
        <f t="array" ref="K225">_xlfn.IFS(AND(Table15[[#This Row],[Total Amount]]&gt;=1500),"Critical",AND(Table15[[#This Row],[Total Amount]]&gt;=1000),"High",TRUE,"Normal")</f>
        <v>Normal</v>
      </c>
      <c r="L225" s="4" t="str">
        <f>IF(Table15[[#This Row],[Total Amount]]&gt;=1000,"High",(IF(Table15[[#This Row],[Total Amount]]&gt;=500,"Medium","Low")))</f>
        <v>Low</v>
      </c>
      <c r="M225" s="4" t="str" cm="1">
        <f t="array" ref="M22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25" s="4" cm="1">
        <f t="array" ref="N22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225" s="4">
        <f>Table15[[#This Row],[Total Amount]]-Table15[[#This Row],[Discount Amount]]</f>
        <v>42.5</v>
      </c>
    </row>
    <row r="226" spans="1:15" x14ac:dyDescent="0.35">
      <c r="A226" s="4">
        <v>225</v>
      </c>
      <c r="B226" s="5">
        <v>44937</v>
      </c>
      <c r="C226" s="4" t="s">
        <v>238</v>
      </c>
      <c r="D226" s="4" t="s">
        <v>13</v>
      </c>
      <c r="E226" s="4">
        <v>57</v>
      </c>
      <c r="F226" s="4" t="str">
        <f>IF(Table15[[#This Row],[Age]]&lt;=19,"Teenager",IF(Table15[[#This Row],[Age]]&lt;=40,"Median","Old"))</f>
        <v>Old</v>
      </c>
      <c r="G226" s="4" t="s">
        <v>11</v>
      </c>
      <c r="H226" s="4">
        <v>4</v>
      </c>
      <c r="I226" s="4">
        <v>25</v>
      </c>
      <c r="J226" s="4">
        <v>100</v>
      </c>
      <c r="K226" s="4" t="str" cm="1">
        <f t="array" ref="K226">_xlfn.IFS(AND(Table15[[#This Row],[Total Amount]]&gt;=1500),"Critical",AND(Table15[[#This Row],[Total Amount]]&gt;=1000),"High",TRUE,"Normal")</f>
        <v>Normal</v>
      </c>
      <c r="L226" s="4" t="str">
        <f>IF(Table15[[#This Row],[Total Amount]]&gt;=1000,"High",(IF(Table15[[#This Row],[Total Amount]]&gt;=500,"Medium","Low")))</f>
        <v>Low</v>
      </c>
      <c r="M226" s="4" t="str" cm="1">
        <f t="array" ref="M22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26" s="4" cm="1">
        <f t="array" ref="N22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226" s="4">
        <f>Table15[[#This Row],[Total Amount]]-Table15[[#This Row],[Discount Amount]]</f>
        <v>80</v>
      </c>
    </row>
    <row r="227" spans="1:15" x14ac:dyDescent="0.35">
      <c r="A227" s="4">
        <v>226</v>
      </c>
      <c r="B227" s="5">
        <v>45228</v>
      </c>
      <c r="C227" s="4" t="s">
        <v>239</v>
      </c>
      <c r="D227" s="4" t="s">
        <v>13</v>
      </c>
      <c r="E227" s="4">
        <v>61</v>
      </c>
      <c r="F227" s="4" t="str">
        <f>IF(Table15[[#This Row],[Age]]&lt;=19,"Teenager",IF(Table15[[#This Row],[Age]]&lt;=40,"Median","Old"))</f>
        <v>Old</v>
      </c>
      <c r="G227" s="4" t="s">
        <v>14</v>
      </c>
      <c r="H227" s="4">
        <v>1</v>
      </c>
      <c r="I227" s="4">
        <v>50</v>
      </c>
      <c r="J227" s="4">
        <v>50</v>
      </c>
      <c r="K227" s="4" t="str" cm="1">
        <f t="array" ref="K227">_xlfn.IFS(AND(Table15[[#This Row],[Total Amount]]&gt;=1500),"Critical",AND(Table15[[#This Row],[Total Amount]]&gt;=1000),"High",TRUE,"Normal")</f>
        <v>Normal</v>
      </c>
      <c r="L227" s="4" t="str">
        <f>IF(Table15[[#This Row],[Total Amount]]&gt;=1000,"High",(IF(Table15[[#This Row],[Total Amount]]&gt;=500,"Medium","Low")))</f>
        <v>Low</v>
      </c>
      <c r="M227" s="4" t="str" cm="1">
        <f t="array" ref="M22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27" s="4" cm="1">
        <f t="array" ref="N22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227" s="4">
        <f>Table15[[#This Row],[Total Amount]]-Table15[[#This Row],[Discount Amount]]</f>
        <v>40</v>
      </c>
    </row>
    <row r="228" spans="1:15" x14ac:dyDescent="0.35">
      <c r="A228" s="4">
        <v>227</v>
      </c>
      <c r="B228" s="5">
        <v>45210</v>
      </c>
      <c r="C228" s="4" t="s">
        <v>240</v>
      </c>
      <c r="D228" s="4" t="s">
        <v>10</v>
      </c>
      <c r="E228" s="4">
        <v>36</v>
      </c>
      <c r="F228" s="4" t="str">
        <f>IF(Table15[[#This Row],[Age]]&lt;=19,"Teenager",IF(Table15[[#This Row],[Age]]&lt;=40,"Median","Old"))</f>
        <v>Median</v>
      </c>
      <c r="G228" s="4" t="s">
        <v>16</v>
      </c>
      <c r="H228" s="4">
        <v>2</v>
      </c>
      <c r="I228" s="4">
        <v>50</v>
      </c>
      <c r="J228" s="4">
        <v>100</v>
      </c>
      <c r="K228" s="4" t="str" cm="1">
        <f t="array" ref="K228">_xlfn.IFS(AND(Table15[[#This Row],[Total Amount]]&gt;=1500),"Critical",AND(Table15[[#This Row],[Total Amount]]&gt;=1000),"High",TRUE,"Normal")</f>
        <v>Normal</v>
      </c>
      <c r="L228" s="4" t="str">
        <f>IF(Table15[[#This Row],[Total Amount]]&gt;=1000,"High",(IF(Table15[[#This Row],[Total Amount]]&gt;=500,"Medium","Low")))</f>
        <v>Low</v>
      </c>
      <c r="M228" s="4" t="str" cm="1">
        <f t="array" ref="M22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28" s="4" cm="1">
        <f t="array" ref="N22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228" s="4">
        <f>Table15[[#This Row],[Total Amount]]-Table15[[#This Row],[Discount Amount]]</f>
        <v>90</v>
      </c>
    </row>
    <row r="229" spans="1:15" x14ac:dyDescent="0.35">
      <c r="A229" s="4">
        <v>228</v>
      </c>
      <c r="B229" s="5">
        <v>45044</v>
      </c>
      <c r="C229" s="4" t="s">
        <v>241</v>
      </c>
      <c r="D229" s="4" t="s">
        <v>13</v>
      </c>
      <c r="E229" s="4">
        <v>59</v>
      </c>
      <c r="F229" s="4" t="str">
        <f>IF(Table15[[#This Row],[Age]]&lt;=19,"Teenager",IF(Table15[[#This Row],[Age]]&lt;=40,"Median","Old"))</f>
        <v>Old</v>
      </c>
      <c r="G229" s="4" t="s">
        <v>16</v>
      </c>
      <c r="H229" s="4">
        <v>2</v>
      </c>
      <c r="I229" s="4">
        <v>30</v>
      </c>
      <c r="J229" s="4">
        <v>60</v>
      </c>
      <c r="K229" s="4" t="str" cm="1">
        <f t="array" ref="K229">_xlfn.IFS(AND(Table15[[#This Row],[Total Amount]]&gt;=1500),"Critical",AND(Table15[[#This Row],[Total Amount]]&gt;=1000),"High",TRUE,"Normal")</f>
        <v>Normal</v>
      </c>
      <c r="L229" s="4" t="str">
        <f>IF(Table15[[#This Row],[Total Amount]]&gt;=1000,"High",(IF(Table15[[#This Row],[Total Amount]]&gt;=500,"Medium","Low")))</f>
        <v>Low</v>
      </c>
      <c r="M229" s="4" t="str" cm="1">
        <f t="array" ref="M22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29" s="4" cm="1">
        <f t="array" ref="N22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229" s="4">
        <f>Table15[[#This Row],[Total Amount]]-Table15[[#This Row],[Discount Amount]]</f>
        <v>48</v>
      </c>
    </row>
    <row r="230" spans="1:15" x14ac:dyDescent="0.35">
      <c r="A230" s="4">
        <v>229</v>
      </c>
      <c r="B230" s="5">
        <v>45228</v>
      </c>
      <c r="C230" s="4" t="s">
        <v>242</v>
      </c>
      <c r="D230" s="4" t="s">
        <v>10</v>
      </c>
      <c r="E230" s="4">
        <v>58</v>
      </c>
      <c r="F230" s="4" t="str">
        <f>IF(Table15[[#This Row],[Age]]&lt;=19,"Teenager",IF(Table15[[#This Row],[Age]]&lt;=40,"Median","Old"))</f>
        <v>Old</v>
      </c>
      <c r="G230" s="4" t="s">
        <v>11</v>
      </c>
      <c r="H230" s="4">
        <v>3</v>
      </c>
      <c r="I230" s="4">
        <v>30</v>
      </c>
      <c r="J230" s="4">
        <v>90</v>
      </c>
      <c r="K230" s="4" t="str" cm="1">
        <f t="array" ref="K230">_xlfn.IFS(AND(Table15[[#This Row],[Total Amount]]&gt;=1500),"Critical",AND(Table15[[#This Row],[Total Amount]]&gt;=1000),"High",TRUE,"Normal")</f>
        <v>Normal</v>
      </c>
      <c r="L230" s="4" t="str">
        <f>IF(Table15[[#This Row],[Total Amount]]&gt;=1000,"High",(IF(Table15[[#This Row],[Total Amount]]&gt;=500,"Medium","Low")))</f>
        <v>Low</v>
      </c>
      <c r="M230" s="4" t="str" cm="1">
        <f t="array" ref="M23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30" s="4" cm="1">
        <f t="array" ref="N23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230" s="4">
        <f>Table15[[#This Row],[Total Amount]]-Table15[[#This Row],[Discount Amount]]</f>
        <v>81</v>
      </c>
    </row>
    <row r="231" spans="1:15" x14ac:dyDescent="0.35">
      <c r="A231" s="4">
        <v>230</v>
      </c>
      <c r="B231" s="5">
        <v>45039</v>
      </c>
      <c r="C231" s="4" t="s">
        <v>243</v>
      </c>
      <c r="D231" s="4" t="s">
        <v>10</v>
      </c>
      <c r="E231" s="4">
        <v>54</v>
      </c>
      <c r="F231" s="4" t="str">
        <f>IF(Table15[[#This Row],[Age]]&lt;=19,"Teenager",IF(Table15[[#This Row],[Age]]&lt;=40,"Median","Old"))</f>
        <v>Old</v>
      </c>
      <c r="G231" s="4" t="s">
        <v>11</v>
      </c>
      <c r="H231" s="4">
        <v>1</v>
      </c>
      <c r="I231" s="4">
        <v>25</v>
      </c>
      <c r="J231" s="4">
        <v>25</v>
      </c>
      <c r="K231" s="4" t="str" cm="1">
        <f t="array" ref="K231">_xlfn.IFS(AND(Table15[[#This Row],[Total Amount]]&gt;=1500),"Critical",AND(Table15[[#This Row],[Total Amount]]&gt;=1000),"High",TRUE,"Normal")</f>
        <v>Normal</v>
      </c>
      <c r="L231" s="4" t="str">
        <f>IF(Table15[[#This Row],[Total Amount]]&gt;=1000,"High",(IF(Table15[[#This Row],[Total Amount]]&gt;=500,"Medium","Low")))</f>
        <v>Low</v>
      </c>
      <c r="M231" s="4" t="str" cm="1">
        <f t="array" ref="M23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31" s="4" cm="1">
        <f t="array" ref="N23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231" s="4">
        <f>Table15[[#This Row],[Total Amount]]-Table15[[#This Row],[Discount Amount]]</f>
        <v>22.5</v>
      </c>
    </row>
    <row r="232" spans="1:15" x14ac:dyDescent="0.35">
      <c r="A232" s="4">
        <v>231</v>
      </c>
      <c r="B232" s="5">
        <v>44930</v>
      </c>
      <c r="C232" s="4" t="s">
        <v>244</v>
      </c>
      <c r="D232" s="4" t="s">
        <v>13</v>
      </c>
      <c r="E232" s="4">
        <v>23</v>
      </c>
      <c r="F232" s="4" t="str">
        <f>IF(Table15[[#This Row],[Age]]&lt;=19,"Teenager",IF(Table15[[#This Row],[Age]]&lt;=40,"Median","Old"))</f>
        <v>Median</v>
      </c>
      <c r="G232" s="4" t="s">
        <v>14</v>
      </c>
      <c r="H232" s="4">
        <v>3</v>
      </c>
      <c r="I232" s="4">
        <v>50</v>
      </c>
      <c r="J232" s="4">
        <v>150</v>
      </c>
      <c r="K232" s="4" t="str" cm="1">
        <f t="array" ref="K232">_xlfn.IFS(AND(Table15[[#This Row],[Total Amount]]&gt;=1500),"Critical",AND(Table15[[#This Row],[Total Amount]]&gt;=1000),"High",TRUE,"Normal")</f>
        <v>Normal</v>
      </c>
      <c r="L232" s="4" t="str">
        <f>IF(Table15[[#This Row],[Total Amount]]&gt;=1000,"High",(IF(Table15[[#This Row],[Total Amount]]&gt;=500,"Medium","Low")))</f>
        <v>Low</v>
      </c>
      <c r="M232" s="4" t="str" cm="1">
        <f t="array" ref="M23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32" s="4" cm="1">
        <f t="array" ref="N23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32" s="4">
        <f>Table15[[#This Row],[Total Amount]]-Table15[[#This Row],[Discount Amount]]</f>
        <v>150</v>
      </c>
    </row>
    <row r="233" spans="1:15" x14ac:dyDescent="0.35">
      <c r="A233" s="4">
        <v>232</v>
      </c>
      <c r="B233" s="5">
        <v>44963</v>
      </c>
      <c r="C233" s="4" t="s">
        <v>245</v>
      </c>
      <c r="D233" s="4" t="s">
        <v>13</v>
      </c>
      <c r="E233" s="4">
        <v>43</v>
      </c>
      <c r="F233" s="4" t="str">
        <f>IF(Table15[[#This Row],[Age]]&lt;=19,"Teenager",IF(Table15[[#This Row],[Age]]&lt;=40,"Median","Old"))</f>
        <v>Old</v>
      </c>
      <c r="G233" s="4" t="s">
        <v>11</v>
      </c>
      <c r="H233" s="4">
        <v>1</v>
      </c>
      <c r="I233" s="4">
        <v>25</v>
      </c>
      <c r="J233" s="4">
        <v>25</v>
      </c>
      <c r="K233" s="4" t="str" cm="1">
        <f t="array" ref="K233">_xlfn.IFS(AND(Table15[[#This Row],[Total Amount]]&gt;=1500),"Critical",AND(Table15[[#This Row],[Total Amount]]&gt;=1000),"High",TRUE,"Normal")</f>
        <v>Normal</v>
      </c>
      <c r="L233" s="4" t="str">
        <f>IF(Table15[[#This Row],[Total Amount]]&gt;=1000,"High",(IF(Table15[[#This Row],[Total Amount]]&gt;=500,"Medium","Low")))</f>
        <v>Low</v>
      </c>
      <c r="M233" s="4" t="str" cm="1">
        <f t="array" ref="M23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33" s="4" cm="1">
        <f t="array" ref="N23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233" s="4">
        <f>Table15[[#This Row],[Total Amount]]-Table15[[#This Row],[Discount Amount]]</f>
        <v>20</v>
      </c>
    </row>
    <row r="234" spans="1:15" x14ac:dyDescent="0.35">
      <c r="A234" s="4">
        <v>233</v>
      </c>
      <c r="B234" s="5">
        <v>45289</v>
      </c>
      <c r="C234" s="4" t="s">
        <v>246</v>
      </c>
      <c r="D234" s="4" t="s">
        <v>13</v>
      </c>
      <c r="E234" s="4">
        <v>51</v>
      </c>
      <c r="F234" s="4" t="str">
        <f>IF(Table15[[#This Row],[Age]]&lt;=19,"Teenager",IF(Table15[[#This Row],[Age]]&lt;=40,"Median","Old"))</f>
        <v>Old</v>
      </c>
      <c r="G234" s="4" t="s">
        <v>11</v>
      </c>
      <c r="H234" s="4">
        <v>2</v>
      </c>
      <c r="I234" s="4">
        <v>300</v>
      </c>
      <c r="J234" s="4">
        <v>600</v>
      </c>
      <c r="K234" s="4" t="str" cm="1">
        <f t="array" ref="K234">_xlfn.IFS(AND(Table15[[#This Row],[Total Amount]]&gt;=1500),"Critical",AND(Table15[[#This Row],[Total Amount]]&gt;=1000),"High",TRUE,"Normal")</f>
        <v>Normal</v>
      </c>
      <c r="L234" s="4" t="str">
        <f>IF(Table15[[#This Row],[Total Amount]]&gt;=1000,"High",(IF(Table15[[#This Row],[Total Amount]]&gt;=500,"Medium","Low")))</f>
        <v>Medium</v>
      </c>
      <c r="M234" s="4" t="str" cm="1">
        <f t="array" ref="M23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34" s="4" cm="1">
        <f t="array" ref="N23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234" s="4">
        <f>Table15[[#This Row],[Total Amount]]-Table15[[#This Row],[Discount Amount]]</f>
        <v>480</v>
      </c>
    </row>
    <row r="235" spans="1:15" x14ac:dyDescent="0.35">
      <c r="A235" s="4">
        <v>234</v>
      </c>
      <c r="B235" s="5">
        <v>45250</v>
      </c>
      <c r="C235" s="4" t="s">
        <v>247</v>
      </c>
      <c r="D235" s="4" t="s">
        <v>13</v>
      </c>
      <c r="E235" s="4">
        <v>62</v>
      </c>
      <c r="F235" s="4" t="str">
        <f>IF(Table15[[#This Row],[Age]]&lt;=19,"Teenager",IF(Table15[[#This Row],[Age]]&lt;=40,"Median","Old"))</f>
        <v>Old</v>
      </c>
      <c r="G235" s="4" t="s">
        <v>16</v>
      </c>
      <c r="H235" s="4">
        <v>2</v>
      </c>
      <c r="I235" s="4">
        <v>25</v>
      </c>
      <c r="J235" s="4">
        <v>50</v>
      </c>
      <c r="K235" s="4" t="str" cm="1">
        <f t="array" ref="K235">_xlfn.IFS(AND(Table15[[#This Row],[Total Amount]]&gt;=1500),"Critical",AND(Table15[[#This Row],[Total Amount]]&gt;=1000),"High",TRUE,"Normal")</f>
        <v>Normal</v>
      </c>
      <c r="L235" s="4" t="str">
        <f>IF(Table15[[#This Row],[Total Amount]]&gt;=1000,"High",(IF(Table15[[#This Row],[Total Amount]]&gt;=500,"Medium","Low")))</f>
        <v>Low</v>
      </c>
      <c r="M235" s="4" t="str" cm="1">
        <f t="array" ref="M23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35" s="4" cm="1">
        <f t="array" ref="N23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235" s="4">
        <f>Table15[[#This Row],[Total Amount]]-Table15[[#This Row],[Discount Amount]]</f>
        <v>40</v>
      </c>
    </row>
    <row r="236" spans="1:15" x14ac:dyDescent="0.35">
      <c r="A236" s="4">
        <v>235</v>
      </c>
      <c r="B236" s="5">
        <v>44957</v>
      </c>
      <c r="C236" s="4" t="s">
        <v>248</v>
      </c>
      <c r="D236" s="4" t="s">
        <v>13</v>
      </c>
      <c r="E236" s="4">
        <v>23</v>
      </c>
      <c r="F236" s="4" t="str">
        <f>IF(Table15[[#This Row],[Age]]&lt;=19,"Teenager",IF(Table15[[#This Row],[Age]]&lt;=40,"Median","Old"))</f>
        <v>Median</v>
      </c>
      <c r="G236" s="4" t="s">
        <v>16</v>
      </c>
      <c r="H236" s="4">
        <v>2</v>
      </c>
      <c r="I236" s="4">
        <v>500</v>
      </c>
      <c r="J236" s="4">
        <v>1000</v>
      </c>
      <c r="K236" s="4" t="str" cm="1">
        <f t="array" ref="K236">_xlfn.IFS(AND(Table15[[#This Row],[Total Amount]]&gt;=1500),"Critical",AND(Table15[[#This Row],[Total Amount]]&gt;=1000),"High",TRUE,"Normal")</f>
        <v>High</v>
      </c>
      <c r="L236" s="4" t="str">
        <f>IF(Table15[[#This Row],[Total Amount]]&gt;=1000,"High",(IF(Table15[[#This Row],[Total Amount]]&gt;=500,"Medium","Low")))</f>
        <v>High</v>
      </c>
      <c r="M236" s="4" t="str" cm="1">
        <f t="array" ref="M23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36" s="4" cm="1">
        <f t="array" ref="N23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36" s="4">
        <f>Table15[[#This Row],[Total Amount]]-Table15[[#This Row],[Discount Amount]]</f>
        <v>1000</v>
      </c>
    </row>
    <row r="237" spans="1:15" x14ac:dyDescent="0.35">
      <c r="A237" s="4">
        <v>236</v>
      </c>
      <c r="B237" s="5">
        <v>45044</v>
      </c>
      <c r="C237" s="4" t="s">
        <v>249</v>
      </c>
      <c r="D237" s="4" t="s">
        <v>13</v>
      </c>
      <c r="E237" s="4">
        <v>54</v>
      </c>
      <c r="F237" s="4" t="str">
        <f>IF(Table15[[#This Row],[Age]]&lt;=19,"Teenager",IF(Table15[[#This Row],[Age]]&lt;=40,"Median","Old"))</f>
        <v>Old</v>
      </c>
      <c r="G237" s="4" t="s">
        <v>14</v>
      </c>
      <c r="H237" s="4">
        <v>1</v>
      </c>
      <c r="I237" s="4">
        <v>25</v>
      </c>
      <c r="J237" s="4">
        <v>25</v>
      </c>
      <c r="K237" s="4" t="str" cm="1">
        <f t="array" ref="K237">_xlfn.IFS(AND(Table15[[#This Row],[Total Amount]]&gt;=1500),"Critical",AND(Table15[[#This Row],[Total Amount]]&gt;=1000),"High",TRUE,"Normal")</f>
        <v>Normal</v>
      </c>
      <c r="L237" s="4" t="str">
        <f>IF(Table15[[#This Row],[Total Amount]]&gt;=1000,"High",(IF(Table15[[#This Row],[Total Amount]]&gt;=500,"Medium","Low")))</f>
        <v>Low</v>
      </c>
      <c r="M237" s="4" t="str" cm="1">
        <f t="array" ref="M23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37" s="4" cm="1">
        <f t="array" ref="N23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237" s="4">
        <f>Table15[[#This Row],[Total Amount]]-Table15[[#This Row],[Discount Amount]]</f>
        <v>20</v>
      </c>
    </row>
    <row r="238" spans="1:15" x14ac:dyDescent="0.35">
      <c r="A238" s="4">
        <v>237</v>
      </c>
      <c r="B238" s="5">
        <v>44961</v>
      </c>
      <c r="C238" s="4" t="s">
        <v>250</v>
      </c>
      <c r="D238" s="4" t="s">
        <v>13</v>
      </c>
      <c r="E238" s="4">
        <v>50</v>
      </c>
      <c r="F238" s="4" t="str">
        <f>IF(Table15[[#This Row],[Age]]&lt;=19,"Teenager",IF(Table15[[#This Row],[Age]]&lt;=40,"Median","Old"))</f>
        <v>Old</v>
      </c>
      <c r="G238" s="4" t="s">
        <v>11</v>
      </c>
      <c r="H238" s="4">
        <v>2</v>
      </c>
      <c r="I238" s="4">
        <v>500</v>
      </c>
      <c r="J238" s="4">
        <v>1000</v>
      </c>
      <c r="K238" s="4" t="str" cm="1">
        <f t="array" ref="K238">_xlfn.IFS(AND(Table15[[#This Row],[Total Amount]]&gt;=1500),"Critical",AND(Table15[[#This Row],[Total Amount]]&gt;=1000),"High",TRUE,"Normal")</f>
        <v>High</v>
      </c>
      <c r="L238" s="4" t="str">
        <f>IF(Table15[[#This Row],[Total Amount]]&gt;=1000,"High",(IF(Table15[[#This Row],[Total Amount]]&gt;=500,"Medium","Low")))</f>
        <v>High</v>
      </c>
      <c r="M238" s="4" t="str" cm="1">
        <f t="array" ref="M23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38" s="4" cm="1">
        <f t="array" ref="N23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238" s="4">
        <f>Table15[[#This Row],[Total Amount]]-Table15[[#This Row],[Discount Amount]]</f>
        <v>800</v>
      </c>
    </row>
    <row r="239" spans="1:15" x14ac:dyDescent="0.35">
      <c r="A239" s="4">
        <v>238</v>
      </c>
      <c r="B239" s="5">
        <v>44943</v>
      </c>
      <c r="C239" s="4" t="s">
        <v>251</v>
      </c>
      <c r="D239" s="4" t="s">
        <v>13</v>
      </c>
      <c r="E239" s="4">
        <v>39</v>
      </c>
      <c r="F239" s="4" t="str">
        <f>IF(Table15[[#This Row],[Age]]&lt;=19,"Teenager",IF(Table15[[#This Row],[Age]]&lt;=40,"Median","Old"))</f>
        <v>Median</v>
      </c>
      <c r="G239" s="4" t="s">
        <v>11</v>
      </c>
      <c r="H239" s="4">
        <v>1</v>
      </c>
      <c r="I239" s="4">
        <v>500</v>
      </c>
      <c r="J239" s="4">
        <v>500</v>
      </c>
      <c r="K239" s="4" t="str" cm="1">
        <f t="array" ref="K239">_xlfn.IFS(AND(Table15[[#This Row],[Total Amount]]&gt;=1500),"Critical",AND(Table15[[#This Row],[Total Amount]]&gt;=1000),"High",TRUE,"Normal")</f>
        <v>Normal</v>
      </c>
      <c r="L239" s="4" t="str">
        <f>IF(Table15[[#This Row],[Total Amount]]&gt;=1000,"High",(IF(Table15[[#This Row],[Total Amount]]&gt;=500,"Medium","Low")))</f>
        <v>Medium</v>
      </c>
      <c r="M239" s="4" t="str" cm="1">
        <f t="array" ref="M23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39" s="4" cm="1">
        <f t="array" ref="N23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239" s="4">
        <f>Table15[[#This Row],[Total Amount]]-Table15[[#This Row],[Discount Amount]]</f>
        <v>400</v>
      </c>
    </row>
    <row r="240" spans="1:15" x14ac:dyDescent="0.35">
      <c r="A240" s="4">
        <v>239</v>
      </c>
      <c r="B240" s="5">
        <v>45096</v>
      </c>
      <c r="C240" s="4" t="s">
        <v>252</v>
      </c>
      <c r="D240" s="4" t="s">
        <v>10</v>
      </c>
      <c r="E240" s="4">
        <v>38</v>
      </c>
      <c r="F240" s="4" t="str">
        <f>IF(Table15[[#This Row],[Age]]&lt;=19,"Teenager",IF(Table15[[#This Row],[Age]]&lt;=40,"Median","Old"))</f>
        <v>Median</v>
      </c>
      <c r="G240" s="4" t="s">
        <v>16</v>
      </c>
      <c r="H240" s="4">
        <v>3</v>
      </c>
      <c r="I240" s="4">
        <v>500</v>
      </c>
      <c r="J240" s="4">
        <v>1500</v>
      </c>
      <c r="K240" s="4" t="str" cm="1">
        <f t="array" ref="K240">_xlfn.IFS(AND(Table15[[#This Row],[Total Amount]]&gt;=1500),"Critical",AND(Table15[[#This Row],[Total Amount]]&gt;=1000),"High",TRUE,"Normal")</f>
        <v>Critical</v>
      </c>
      <c r="L240" s="4" t="str">
        <f>IF(Table15[[#This Row],[Total Amount]]&gt;=1000,"High",(IF(Table15[[#This Row],[Total Amount]]&gt;=500,"Medium","Low")))</f>
        <v>High</v>
      </c>
      <c r="M240" s="4" t="str" cm="1">
        <f t="array" ref="M24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40" s="4" cm="1">
        <f t="array" ref="N24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240" s="4">
        <f>Table15[[#This Row],[Total Amount]]-Table15[[#This Row],[Discount Amount]]</f>
        <v>1350</v>
      </c>
    </row>
    <row r="241" spans="1:15" x14ac:dyDescent="0.35">
      <c r="A241" s="4">
        <v>240</v>
      </c>
      <c r="B241" s="5">
        <v>44963</v>
      </c>
      <c r="C241" s="4" t="s">
        <v>253</v>
      </c>
      <c r="D241" s="4" t="s">
        <v>13</v>
      </c>
      <c r="E241" s="4">
        <v>23</v>
      </c>
      <c r="F241" s="4" t="str">
        <f>IF(Table15[[#This Row],[Age]]&lt;=19,"Teenager",IF(Table15[[#This Row],[Age]]&lt;=40,"Median","Old"))</f>
        <v>Median</v>
      </c>
      <c r="G241" s="4" t="s">
        <v>11</v>
      </c>
      <c r="H241" s="4">
        <v>1</v>
      </c>
      <c r="I241" s="4">
        <v>300</v>
      </c>
      <c r="J241" s="4">
        <v>300</v>
      </c>
      <c r="K241" s="4" t="str" cm="1">
        <f t="array" ref="K241">_xlfn.IFS(AND(Table15[[#This Row],[Total Amount]]&gt;=1500),"Critical",AND(Table15[[#This Row],[Total Amount]]&gt;=1000),"High",TRUE,"Normal")</f>
        <v>Normal</v>
      </c>
      <c r="L241" s="4" t="str">
        <f>IF(Table15[[#This Row],[Total Amount]]&gt;=1000,"High",(IF(Table15[[#This Row],[Total Amount]]&gt;=500,"Medium","Low")))</f>
        <v>Low</v>
      </c>
      <c r="M241" s="4" t="str" cm="1">
        <f t="array" ref="M24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41" s="4" cm="1">
        <f t="array" ref="N24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41" s="4">
        <f>Table15[[#This Row],[Total Amount]]-Table15[[#This Row],[Discount Amount]]</f>
        <v>300</v>
      </c>
    </row>
    <row r="242" spans="1:15" x14ac:dyDescent="0.35">
      <c r="A242" s="4">
        <v>241</v>
      </c>
      <c r="B242" s="5">
        <v>45190</v>
      </c>
      <c r="C242" s="4" t="s">
        <v>254</v>
      </c>
      <c r="D242" s="4" t="s">
        <v>13</v>
      </c>
      <c r="E242" s="4">
        <v>23</v>
      </c>
      <c r="F242" s="4" t="str">
        <f>IF(Table15[[#This Row],[Age]]&lt;=19,"Teenager",IF(Table15[[#This Row],[Age]]&lt;=40,"Median","Old"))</f>
        <v>Median</v>
      </c>
      <c r="G242" s="4" t="s">
        <v>16</v>
      </c>
      <c r="H242" s="4">
        <v>3</v>
      </c>
      <c r="I242" s="4">
        <v>25</v>
      </c>
      <c r="J242" s="4">
        <v>75</v>
      </c>
      <c r="K242" s="4" t="str" cm="1">
        <f t="array" ref="K242">_xlfn.IFS(AND(Table15[[#This Row],[Total Amount]]&gt;=1500),"Critical",AND(Table15[[#This Row],[Total Amount]]&gt;=1000),"High",TRUE,"Normal")</f>
        <v>Normal</v>
      </c>
      <c r="L242" s="4" t="str">
        <f>IF(Table15[[#This Row],[Total Amount]]&gt;=1000,"High",(IF(Table15[[#This Row],[Total Amount]]&gt;=500,"Medium","Low")))</f>
        <v>Low</v>
      </c>
      <c r="M242" s="4" t="str" cm="1">
        <f t="array" ref="M24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42" s="4" cm="1">
        <f t="array" ref="N24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42" s="4">
        <f>Table15[[#This Row],[Total Amount]]-Table15[[#This Row],[Discount Amount]]</f>
        <v>75</v>
      </c>
    </row>
    <row r="243" spans="1:15" x14ac:dyDescent="0.35">
      <c r="A243" s="4">
        <v>242</v>
      </c>
      <c r="B243" s="5">
        <v>45048</v>
      </c>
      <c r="C243" s="4" t="s">
        <v>255</v>
      </c>
      <c r="D243" s="4" t="s">
        <v>10</v>
      </c>
      <c r="E243" s="4">
        <v>21</v>
      </c>
      <c r="F243" s="4" t="str">
        <f>IF(Table15[[#This Row],[Age]]&lt;=19,"Teenager",IF(Table15[[#This Row],[Age]]&lt;=40,"Median","Old"))</f>
        <v>Median</v>
      </c>
      <c r="G243" s="4" t="s">
        <v>14</v>
      </c>
      <c r="H243" s="4">
        <v>1</v>
      </c>
      <c r="I243" s="4">
        <v>25</v>
      </c>
      <c r="J243" s="4">
        <v>25</v>
      </c>
      <c r="K243" s="4" t="str" cm="1">
        <f t="array" ref="K243">_xlfn.IFS(AND(Table15[[#This Row],[Total Amount]]&gt;=1500),"Critical",AND(Table15[[#This Row],[Total Amount]]&gt;=1000),"High",TRUE,"Normal")</f>
        <v>Normal</v>
      </c>
      <c r="L243" s="4" t="str">
        <f>IF(Table15[[#This Row],[Total Amount]]&gt;=1000,"High",(IF(Table15[[#This Row],[Total Amount]]&gt;=500,"Medium","Low")))</f>
        <v>Low</v>
      </c>
      <c r="M243" s="4" t="str" cm="1">
        <f t="array" ref="M24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43" s="4" cm="1">
        <f t="array" ref="N24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43" s="4">
        <f>Table15[[#This Row],[Total Amount]]-Table15[[#This Row],[Discount Amount]]</f>
        <v>25</v>
      </c>
    </row>
    <row r="244" spans="1:15" x14ac:dyDescent="0.35">
      <c r="A244" s="4">
        <v>243</v>
      </c>
      <c r="B244" s="5">
        <v>45069</v>
      </c>
      <c r="C244" s="4" t="s">
        <v>256</v>
      </c>
      <c r="D244" s="4" t="s">
        <v>13</v>
      </c>
      <c r="E244" s="4">
        <v>47</v>
      </c>
      <c r="F244" s="4" t="str">
        <f>IF(Table15[[#This Row],[Age]]&lt;=19,"Teenager",IF(Table15[[#This Row],[Age]]&lt;=40,"Median","Old"))</f>
        <v>Old</v>
      </c>
      <c r="G244" s="4" t="s">
        <v>16</v>
      </c>
      <c r="H244" s="4">
        <v>3</v>
      </c>
      <c r="I244" s="4">
        <v>300</v>
      </c>
      <c r="J244" s="4">
        <v>900</v>
      </c>
      <c r="K244" s="4" t="str" cm="1">
        <f t="array" ref="K244">_xlfn.IFS(AND(Table15[[#This Row],[Total Amount]]&gt;=1500),"Critical",AND(Table15[[#This Row],[Total Amount]]&gt;=1000),"High",TRUE,"Normal")</f>
        <v>Normal</v>
      </c>
      <c r="L244" s="4" t="str">
        <f>IF(Table15[[#This Row],[Total Amount]]&gt;=1000,"High",(IF(Table15[[#This Row],[Total Amount]]&gt;=500,"Medium","Low")))</f>
        <v>Medium</v>
      </c>
      <c r="M244" s="4" t="str" cm="1">
        <f t="array" ref="M24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44" s="4" cm="1">
        <f t="array" ref="N24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244" s="4">
        <f>Table15[[#This Row],[Total Amount]]-Table15[[#This Row],[Discount Amount]]</f>
        <v>720</v>
      </c>
    </row>
    <row r="245" spans="1:15" x14ac:dyDescent="0.35">
      <c r="A245" s="4">
        <v>244</v>
      </c>
      <c r="B245" s="5">
        <v>45269</v>
      </c>
      <c r="C245" s="4" t="s">
        <v>257</v>
      </c>
      <c r="D245" s="4" t="s">
        <v>10</v>
      </c>
      <c r="E245" s="4">
        <v>28</v>
      </c>
      <c r="F245" s="4" t="str">
        <f>IF(Table15[[#This Row],[Age]]&lt;=19,"Teenager",IF(Table15[[#This Row],[Age]]&lt;=40,"Median","Old"))</f>
        <v>Median</v>
      </c>
      <c r="G245" s="4" t="s">
        <v>11</v>
      </c>
      <c r="H245" s="4">
        <v>2</v>
      </c>
      <c r="I245" s="4">
        <v>50</v>
      </c>
      <c r="J245" s="4">
        <v>100</v>
      </c>
      <c r="K245" s="4" t="str" cm="1">
        <f t="array" ref="K245">_xlfn.IFS(AND(Table15[[#This Row],[Total Amount]]&gt;=1500),"Critical",AND(Table15[[#This Row],[Total Amount]]&gt;=1000),"High",TRUE,"Normal")</f>
        <v>Normal</v>
      </c>
      <c r="L245" s="4" t="str">
        <f>IF(Table15[[#This Row],[Total Amount]]&gt;=1000,"High",(IF(Table15[[#This Row],[Total Amount]]&gt;=500,"Medium","Low")))</f>
        <v>Low</v>
      </c>
      <c r="M245" s="4" t="str" cm="1">
        <f t="array" ref="M24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45" s="4" cm="1">
        <f t="array" ref="N24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245" s="4">
        <f>Table15[[#This Row],[Total Amount]]-Table15[[#This Row],[Discount Amount]]</f>
        <v>85</v>
      </c>
    </row>
    <row r="246" spans="1:15" x14ac:dyDescent="0.35">
      <c r="A246" s="4">
        <v>245</v>
      </c>
      <c r="B246" s="5">
        <v>45175</v>
      </c>
      <c r="C246" s="4" t="s">
        <v>258</v>
      </c>
      <c r="D246" s="4" t="s">
        <v>10</v>
      </c>
      <c r="E246" s="4">
        <v>47</v>
      </c>
      <c r="F246" s="4" t="str">
        <f>IF(Table15[[#This Row],[Age]]&lt;=19,"Teenager",IF(Table15[[#This Row],[Age]]&lt;=40,"Median","Old"))</f>
        <v>Old</v>
      </c>
      <c r="G246" s="4" t="s">
        <v>14</v>
      </c>
      <c r="H246" s="4">
        <v>3</v>
      </c>
      <c r="I246" s="4">
        <v>30</v>
      </c>
      <c r="J246" s="4">
        <v>90</v>
      </c>
      <c r="K246" s="4" t="str" cm="1">
        <f t="array" ref="K246">_xlfn.IFS(AND(Table15[[#This Row],[Total Amount]]&gt;=1500),"Critical",AND(Table15[[#This Row],[Total Amount]]&gt;=1000),"High",TRUE,"Normal")</f>
        <v>Normal</v>
      </c>
      <c r="L246" s="4" t="str">
        <f>IF(Table15[[#This Row],[Total Amount]]&gt;=1000,"High",(IF(Table15[[#This Row],[Total Amount]]&gt;=500,"Medium","Low")))</f>
        <v>Low</v>
      </c>
      <c r="M246" s="4" t="str" cm="1">
        <f t="array" ref="M24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46" s="4" cm="1">
        <f t="array" ref="N24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246" s="4">
        <f>Table15[[#This Row],[Total Amount]]-Table15[[#This Row],[Discount Amount]]</f>
        <v>81</v>
      </c>
    </row>
    <row r="247" spans="1:15" x14ac:dyDescent="0.35">
      <c r="A247" s="4">
        <v>246</v>
      </c>
      <c r="B247" s="5">
        <v>45036</v>
      </c>
      <c r="C247" s="4" t="s">
        <v>259</v>
      </c>
      <c r="D247" s="4" t="s">
        <v>13</v>
      </c>
      <c r="E247" s="4">
        <v>48</v>
      </c>
      <c r="F247" s="4" t="str">
        <f>IF(Table15[[#This Row],[Age]]&lt;=19,"Teenager",IF(Table15[[#This Row],[Age]]&lt;=40,"Median","Old"))</f>
        <v>Old</v>
      </c>
      <c r="G247" s="4" t="s">
        <v>16</v>
      </c>
      <c r="H247" s="4">
        <v>2</v>
      </c>
      <c r="I247" s="4">
        <v>25</v>
      </c>
      <c r="J247" s="4">
        <v>50</v>
      </c>
      <c r="K247" s="4" t="str" cm="1">
        <f t="array" ref="K247">_xlfn.IFS(AND(Table15[[#This Row],[Total Amount]]&gt;=1500),"Critical",AND(Table15[[#This Row],[Total Amount]]&gt;=1000),"High",TRUE,"Normal")</f>
        <v>Normal</v>
      </c>
      <c r="L247" s="4" t="str">
        <f>IF(Table15[[#This Row],[Total Amount]]&gt;=1000,"High",(IF(Table15[[#This Row],[Total Amount]]&gt;=500,"Medium","Low")))</f>
        <v>Low</v>
      </c>
      <c r="M247" s="4" t="str" cm="1">
        <f t="array" ref="M24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47" s="4" cm="1">
        <f t="array" ref="N24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247" s="4">
        <f>Table15[[#This Row],[Total Amount]]-Table15[[#This Row],[Discount Amount]]</f>
        <v>40</v>
      </c>
    </row>
    <row r="248" spans="1:15" x14ac:dyDescent="0.35">
      <c r="A248" s="4">
        <v>247</v>
      </c>
      <c r="B248" s="5">
        <v>45203</v>
      </c>
      <c r="C248" s="4" t="s">
        <v>260</v>
      </c>
      <c r="D248" s="4" t="s">
        <v>10</v>
      </c>
      <c r="E248" s="4">
        <v>41</v>
      </c>
      <c r="F248" s="4" t="str">
        <f>IF(Table15[[#This Row],[Age]]&lt;=19,"Teenager",IF(Table15[[#This Row],[Age]]&lt;=40,"Median","Old"))</f>
        <v>Old</v>
      </c>
      <c r="G248" s="4" t="s">
        <v>16</v>
      </c>
      <c r="H248" s="4">
        <v>2</v>
      </c>
      <c r="I248" s="4">
        <v>30</v>
      </c>
      <c r="J248" s="4">
        <v>60</v>
      </c>
      <c r="K248" s="4" t="str" cm="1">
        <f t="array" ref="K248">_xlfn.IFS(AND(Table15[[#This Row],[Total Amount]]&gt;=1500),"Critical",AND(Table15[[#This Row],[Total Amount]]&gt;=1000),"High",TRUE,"Normal")</f>
        <v>Normal</v>
      </c>
      <c r="L248" s="4" t="str">
        <f>IF(Table15[[#This Row],[Total Amount]]&gt;=1000,"High",(IF(Table15[[#This Row],[Total Amount]]&gt;=500,"Medium","Low")))</f>
        <v>Low</v>
      </c>
      <c r="M248" s="4" t="str" cm="1">
        <f t="array" ref="M24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48" s="4" cm="1">
        <f t="array" ref="N24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248" s="4">
        <f>Table15[[#This Row],[Total Amount]]-Table15[[#This Row],[Discount Amount]]</f>
        <v>54</v>
      </c>
    </row>
    <row r="249" spans="1:15" x14ac:dyDescent="0.35">
      <c r="A249" s="4">
        <v>248</v>
      </c>
      <c r="B249" s="5">
        <v>44994</v>
      </c>
      <c r="C249" s="4" t="s">
        <v>261</v>
      </c>
      <c r="D249" s="4" t="s">
        <v>10</v>
      </c>
      <c r="E249" s="4">
        <v>26</v>
      </c>
      <c r="F249" s="4" t="str">
        <f>IF(Table15[[#This Row],[Age]]&lt;=19,"Teenager",IF(Table15[[#This Row],[Age]]&lt;=40,"Median","Old"))</f>
        <v>Median</v>
      </c>
      <c r="G249" s="4" t="s">
        <v>14</v>
      </c>
      <c r="H249" s="4">
        <v>3</v>
      </c>
      <c r="I249" s="4">
        <v>300</v>
      </c>
      <c r="J249" s="4">
        <v>900</v>
      </c>
      <c r="K249" s="4" t="str" cm="1">
        <f t="array" ref="K249">_xlfn.IFS(AND(Table15[[#This Row],[Total Amount]]&gt;=1500),"Critical",AND(Table15[[#This Row],[Total Amount]]&gt;=1000),"High",TRUE,"Normal")</f>
        <v>Normal</v>
      </c>
      <c r="L249" s="4" t="str">
        <f>IF(Table15[[#This Row],[Total Amount]]&gt;=1000,"High",(IF(Table15[[#This Row],[Total Amount]]&gt;=500,"Medium","Low")))</f>
        <v>Medium</v>
      </c>
      <c r="M249" s="4" t="str" cm="1">
        <f t="array" ref="M24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49" s="4" cm="1">
        <f t="array" ref="N24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135</v>
      </c>
      <c r="O249" s="4">
        <f>Table15[[#This Row],[Total Amount]]-Table15[[#This Row],[Discount Amount]]</f>
        <v>765</v>
      </c>
    </row>
    <row r="250" spans="1:15" x14ac:dyDescent="0.35">
      <c r="A250" s="4">
        <v>249</v>
      </c>
      <c r="B250" s="5">
        <v>45219</v>
      </c>
      <c r="C250" s="4" t="s">
        <v>262</v>
      </c>
      <c r="D250" s="4" t="s">
        <v>10</v>
      </c>
      <c r="E250" s="4">
        <v>20</v>
      </c>
      <c r="F250" s="4" t="str">
        <f>IF(Table15[[#This Row],[Age]]&lt;=19,"Teenager",IF(Table15[[#This Row],[Age]]&lt;=40,"Median","Old"))</f>
        <v>Median</v>
      </c>
      <c r="G250" s="4" t="s">
        <v>14</v>
      </c>
      <c r="H250" s="4">
        <v>1</v>
      </c>
      <c r="I250" s="4">
        <v>50</v>
      </c>
      <c r="J250" s="4">
        <v>50</v>
      </c>
      <c r="K250" s="4" t="str" cm="1">
        <f t="array" ref="K250">_xlfn.IFS(AND(Table15[[#This Row],[Total Amount]]&gt;=1500),"Critical",AND(Table15[[#This Row],[Total Amount]]&gt;=1000),"High",TRUE,"Normal")</f>
        <v>Normal</v>
      </c>
      <c r="L250" s="4" t="str">
        <f>IF(Table15[[#This Row],[Total Amount]]&gt;=1000,"High",(IF(Table15[[#This Row],[Total Amount]]&gt;=500,"Medium","Low")))</f>
        <v>Low</v>
      </c>
      <c r="M250" s="4" t="str" cm="1">
        <f t="array" ref="M25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50" s="4" cm="1">
        <f t="array" ref="N25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50" s="4">
        <f>Table15[[#This Row],[Total Amount]]-Table15[[#This Row],[Discount Amount]]</f>
        <v>50</v>
      </c>
    </row>
    <row r="251" spans="1:15" x14ac:dyDescent="0.35">
      <c r="A251" s="4">
        <v>250</v>
      </c>
      <c r="B251" s="5">
        <v>45222</v>
      </c>
      <c r="C251" s="4" t="s">
        <v>263</v>
      </c>
      <c r="D251" s="4" t="s">
        <v>10</v>
      </c>
      <c r="E251" s="4">
        <v>48</v>
      </c>
      <c r="F251" s="4" t="str">
        <f>IF(Table15[[#This Row],[Age]]&lt;=19,"Teenager",IF(Table15[[#This Row],[Age]]&lt;=40,"Median","Old"))</f>
        <v>Old</v>
      </c>
      <c r="G251" s="4" t="s">
        <v>16</v>
      </c>
      <c r="H251" s="4">
        <v>1</v>
      </c>
      <c r="I251" s="4">
        <v>50</v>
      </c>
      <c r="J251" s="4">
        <v>50</v>
      </c>
      <c r="K251" s="4" t="str" cm="1">
        <f t="array" ref="K251">_xlfn.IFS(AND(Table15[[#This Row],[Total Amount]]&gt;=1500),"Critical",AND(Table15[[#This Row],[Total Amount]]&gt;=1000),"High",TRUE,"Normal")</f>
        <v>Normal</v>
      </c>
      <c r="L251" s="4" t="str">
        <f>IF(Table15[[#This Row],[Total Amount]]&gt;=1000,"High",(IF(Table15[[#This Row],[Total Amount]]&gt;=500,"Medium","Low")))</f>
        <v>Low</v>
      </c>
      <c r="M251" s="4" t="str" cm="1">
        <f t="array" ref="M25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51" s="4" cm="1">
        <f t="array" ref="N25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251" s="4">
        <f>Table15[[#This Row],[Total Amount]]-Table15[[#This Row],[Discount Amount]]</f>
        <v>45</v>
      </c>
    </row>
    <row r="252" spans="1:15" x14ac:dyDescent="0.35">
      <c r="A252" s="4">
        <v>251</v>
      </c>
      <c r="B252" s="5">
        <v>45169</v>
      </c>
      <c r="C252" s="4" t="s">
        <v>264</v>
      </c>
      <c r="D252" s="4" t="s">
        <v>13</v>
      </c>
      <c r="E252" s="4">
        <v>57</v>
      </c>
      <c r="F252" s="4" t="str">
        <f>IF(Table15[[#This Row],[Age]]&lt;=19,"Teenager",IF(Table15[[#This Row],[Age]]&lt;=40,"Median","Old"))</f>
        <v>Old</v>
      </c>
      <c r="G252" s="4" t="s">
        <v>11</v>
      </c>
      <c r="H252" s="4">
        <v>4</v>
      </c>
      <c r="I252" s="4">
        <v>50</v>
      </c>
      <c r="J252" s="4">
        <v>200</v>
      </c>
      <c r="K252" s="4" t="str" cm="1">
        <f t="array" ref="K252">_xlfn.IFS(AND(Table15[[#This Row],[Total Amount]]&gt;=1500),"Critical",AND(Table15[[#This Row],[Total Amount]]&gt;=1000),"High",TRUE,"Normal")</f>
        <v>Normal</v>
      </c>
      <c r="L252" s="4" t="str">
        <f>IF(Table15[[#This Row],[Total Amount]]&gt;=1000,"High",(IF(Table15[[#This Row],[Total Amount]]&gt;=500,"Medium","Low")))</f>
        <v>Low</v>
      </c>
      <c r="M252" s="4" t="str" cm="1">
        <f t="array" ref="M25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52" s="4" cm="1">
        <f t="array" ref="N25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252" s="4">
        <f>Table15[[#This Row],[Total Amount]]-Table15[[#This Row],[Discount Amount]]</f>
        <v>160</v>
      </c>
    </row>
    <row r="253" spans="1:15" x14ac:dyDescent="0.35">
      <c r="A253" s="4">
        <v>252</v>
      </c>
      <c r="B253" s="5">
        <v>45051</v>
      </c>
      <c r="C253" s="4" t="s">
        <v>265</v>
      </c>
      <c r="D253" s="4" t="s">
        <v>10</v>
      </c>
      <c r="E253" s="4">
        <v>54</v>
      </c>
      <c r="F253" s="4" t="str">
        <f>IF(Table15[[#This Row],[Age]]&lt;=19,"Teenager",IF(Table15[[#This Row],[Age]]&lt;=40,"Median","Old"))</f>
        <v>Old</v>
      </c>
      <c r="G253" s="4" t="s">
        <v>16</v>
      </c>
      <c r="H253" s="4">
        <v>1</v>
      </c>
      <c r="I253" s="4">
        <v>300</v>
      </c>
      <c r="J253" s="4">
        <v>300</v>
      </c>
      <c r="K253" s="4" t="str" cm="1">
        <f t="array" ref="K253">_xlfn.IFS(AND(Table15[[#This Row],[Total Amount]]&gt;=1500),"Critical",AND(Table15[[#This Row],[Total Amount]]&gt;=1000),"High",TRUE,"Normal")</f>
        <v>Normal</v>
      </c>
      <c r="L253" s="4" t="str">
        <f>IF(Table15[[#This Row],[Total Amount]]&gt;=1000,"High",(IF(Table15[[#This Row],[Total Amount]]&gt;=500,"Medium","Low")))</f>
        <v>Low</v>
      </c>
      <c r="M253" s="4" t="str" cm="1">
        <f t="array" ref="M25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53" s="4" cm="1">
        <f t="array" ref="N25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253" s="4">
        <f>Table15[[#This Row],[Total Amount]]-Table15[[#This Row],[Discount Amount]]</f>
        <v>270</v>
      </c>
    </row>
    <row r="254" spans="1:15" x14ac:dyDescent="0.35">
      <c r="A254" s="4">
        <v>253</v>
      </c>
      <c r="B254" s="5">
        <v>45169</v>
      </c>
      <c r="C254" s="4" t="s">
        <v>266</v>
      </c>
      <c r="D254" s="4" t="s">
        <v>13</v>
      </c>
      <c r="E254" s="4">
        <v>53</v>
      </c>
      <c r="F254" s="4" t="str">
        <f>IF(Table15[[#This Row],[Age]]&lt;=19,"Teenager",IF(Table15[[#This Row],[Age]]&lt;=40,"Median","Old"))</f>
        <v>Old</v>
      </c>
      <c r="G254" s="4" t="s">
        <v>14</v>
      </c>
      <c r="H254" s="4">
        <v>4</v>
      </c>
      <c r="I254" s="4">
        <v>500</v>
      </c>
      <c r="J254" s="4">
        <v>2000</v>
      </c>
      <c r="K254" s="4" t="str" cm="1">
        <f t="array" ref="K254">_xlfn.IFS(AND(Table15[[#This Row],[Total Amount]]&gt;=1500),"Critical",AND(Table15[[#This Row],[Total Amount]]&gt;=1000),"High",TRUE,"Normal")</f>
        <v>Critical</v>
      </c>
      <c r="L254" s="4" t="str">
        <f>IF(Table15[[#This Row],[Total Amount]]&gt;=1000,"High",(IF(Table15[[#This Row],[Total Amount]]&gt;=500,"Medium","Low")))</f>
        <v>High</v>
      </c>
      <c r="M254" s="4" t="str" cm="1">
        <f t="array" ref="M25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54" s="4" cm="1">
        <f t="array" ref="N25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254" s="4">
        <f>Table15[[#This Row],[Total Amount]]-Table15[[#This Row],[Discount Amount]]</f>
        <v>1600</v>
      </c>
    </row>
    <row r="255" spans="1:15" x14ac:dyDescent="0.35">
      <c r="A255" s="4">
        <v>254</v>
      </c>
      <c r="B255" s="5">
        <v>45135</v>
      </c>
      <c r="C255" s="4" t="s">
        <v>267</v>
      </c>
      <c r="D255" s="4" t="s">
        <v>10</v>
      </c>
      <c r="E255" s="4">
        <v>41</v>
      </c>
      <c r="F255" s="4" t="str">
        <f>IF(Table15[[#This Row],[Age]]&lt;=19,"Teenager",IF(Table15[[#This Row],[Age]]&lt;=40,"Median","Old"))</f>
        <v>Old</v>
      </c>
      <c r="G255" s="4" t="s">
        <v>16</v>
      </c>
      <c r="H255" s="4">
        <v>1</v>
      </c>
      <c r="I255" s="4">
        <v>500</v>
      </c>
      <c r="J255" s="4">
        <v>500</v>
      </c>
      <c r="K255" s="4" t="str" cm="1">
        <f t="array" ref="K255">_xlfn.IFS(AND(Table15[[#This Row],[Total Amount]]&gt;=1500),"Critical",AND(Table15[[#This Row],[Total Amount]]&gt;=1000),"High",TRUE,"Normal")</f>
        <v>Normal</v>
      </c>
      <c r="L255" s="4" t="str">
        <f>IF(Table15[[#This Row],[Total Amount]]&gt;=1000,"High",(IF(Table15[[#This Row],[Total Amount]]&gt;=500,"Medium","Low")))</f>
        <v>Medium</v>
      </c>
      <c r="M255" s="4" t="str" cm="1">
        <f t="array" ref="M25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55" s="4" cm="1">
        <f t="array" ref="N25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255" s="4">
        <f>Table15[[#This Row],[Total Amount]]-Table15[[#This Row],[Discount Amount]]</f>
        <v>450</v>
      </c>
    </row>
    <row r="256" spans="1:15" x14ac:dyDescent="0.35">
      <c r="A256" s="4">
        <v>255</v>
      </c>
      <c r="B256" s="5">
        <v>45024</v>
      </c>
      <c r="C256" s="4" t="s">
        <v>268</v>
      </c>
      <c r="D256" s="4" t="s">
        <v>10</v>
      </c>
      <c r="E256" s="4">
        <v>48</v>
      </c>
      <c r="F256" s="4" t="str">
        <f>IF(Table15[[#This Row],[Age]]&lt;=19,"Teenager",IF(Table15[[#This Row],[Age]]&lt;=40,"Median","Old"))</f>
        <v>Old</v>
      </c>
      <c r="G256" s="4" t="s">
        <v>14</v>
      </c>
      <c r="H256" s="4">
        <v>1</v>
      </c>
      <c r="I256" s="4">
        <v>30</v>
      </c>
      <c r="J256" s="4">
        <v>30</v>
      </c>
      <c r="K256" s="4" t="str" cm="1">
        <f t="array" ref="K256">_xlfn.IFS(AND(Table15[[#This Row],[Total Amount]]&gt;=1500),"Critical",AND(Table15[[#This Row],[Total Amount]]&gt;=1000),"High",TRUE,"Normal")</f>
        <v>Normal</v>
      </c>
      <c r="L256" s="4" t="str">
        <f>IF(Table15[[#This Row],[Total Amount]]&gt;=1000,"High",(IF(Table15[[#This Row],[Total Amount]]&gt;=500,"Medium","Low")))</f>
        <v>Low</v>
      </c>
      <c r="M256" s="4" t="str" cm="1">
        <f t="array" ref="M25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56" s="4" cm="1">
        <f t="array" ref="N25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256" s="4">
        <f>Table15[[#This Row],[Total Amount]]-Table15[[#This Row],[Discount Amount]]</f>
        <v>27</v>
      </c>
    </row>
    <row r="257" spans="1:15" x14ac:dyDescent="0.35">
      <c r="A257" s="4">
        <v>256</v>
      </c>
      <c r="B257" s="5">
        <v>44975</v>
      </c>
      <c r="C257" s="4" t="s">
        <v>269</v>
      </c>
      <c r="D257" s="4" t="s">
        <v>10</v>
      </c>
      <c r="E257" s="4">
        <v>23</v>
      </c>
      <c r="F257" s="4" t="str">
        <f>IF(Table15[[#This Row],[Age]]&lt;=19,"Teenager",IF(Table15[[#This Row],[Age]]&lt;=40,"Median","Old"))</f>
        <v>Median</v>
      </c>
      <c r="G257" s="4" t="s">
        <v>14</v>
      </c>
      <c r="H257" s="4">
        <v>2</v>
      </c>
      <c r="I257" s="4">
        <v>500</v>
      </c>
      <c r="J257" s="4">
        <v>1000</v>
      </c>
      <c r="K257" s="4" t="str" cm="1">
        <f t="array" ref="K257">_xlfn.IFS(AND(Table15[[#This Row],[Total Amount]]&gt;=1500),"Critical",AND(Table15[[#This Row],[Total Amount]]&gt;=1000),"High",TRUE,"Normal")</f>
        <v>High</v>
      </c>
      <c r="L257" s="4" t="str">
        <f>IF(Table15[[#This Row],[Total Amount]]&gt;=1000,"High",(IF(Table15[[#This Row],[Total Amount]]&gt;=500,"Medium","Low")))</f>
        <v>High</v>
      </c>
      <c r="M257" s="4" t="str" cm="1">
        <f t="array" ref="M25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57" s="4" cm="1">
        <f t="array" ref="N25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57" s="4">
        <f>Table15[[#This Row],[Total Amount]]-Table15[[#This Row],[Discount Amount]]</f>
        <v>1000</v>
      </c>
    </row>
    <row r="258" spans="1:15" x14ac:dyDescent="0.35">
      <c r="A258" s="4">
        <v>257</v>
      </c>
      <c r="B258" s="5">
        <v>44976</v>
      </c>
      <c r="C258" s="4" t="s">
        <v>270</v>
      </c>
      <c r="D258" s="4" t="s">
        <v>10</v>
      </c>
      <c r="E258" s="4">
        <v>19</v>
      </c>
      <c r="F258" s="4" t="str">
        <f>IF(Table15[[#This Row],[Age]]&lt;=19,"Teenager",IF(Table15[[#This Row],[Age]]&lt;=40,"Median","Old"))</f>
        <v>Teenager</v>
      </c>
      <c r="G258" s="4" t="s">
        <v>11</v>
      </c>
      <c r="H258" s="4">
        <v>4</v>
      </c>
      <c r="I258" s="4">
        <v>500</v>
      </c>
      <c r="J258" s="4">
        <v>2000</v>
      </c>
      <c r="K258" s="4" t="str" cm="1">
        <f t="array" ref="K258">_xlfn.IFS(AND(Table15[[#This Row],[Total Amount]]&gt;=1500),"Critical",AND(Table15[[#This Row],[Total Amount]]&gt;=1000),"High",TRUE,"Normal")</f>
        <v>Critical</v>
      </c>
      <c r="L258" s="4" t="str">
        <f>IF(Table15[[#This Row],[Total Amount]]&gt;=1000,"High",(IF(Table15[[#This Row],[Total Amount]]&gt;=500,"Medium","Low")))</f>
        <v>High</v>
      </c>
      <c r="M258" s="4" t="str" cm="1">
        <f t="array" ref="M25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58" s="4" cm="1">
        <f t="array" ref="N25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58" s="4">
        <f>Table15[[#This Row],[Total Amount]]-Table15[[#This Row],[Discount Amount]]</f>
        <v>2000</v>
      </c>
    </row>
    <row r="259" spans="1:15" x14ac:dyDescent="0.35">
      <c r="A259" s="4">
        <v>258</v>
      </c>
      <c r="B259" s="5">
        <v>45264</v>
      </c>
      <c r="C259" s="4" t="s">
        <v>271</v>
      </c>
      <c r="D259" s="4" t="s">
        <v>13</v>
      </c>
      <c r="E259" s="4">
        <v>37</v>
      </c>
      <c r="F259" s="4" t="str">
        <f>IF(Table15[[#This Row],[Age]]&lt;=19,"Teenager",IF(Table15[[#This Row],[Age]]&lt;=40,"Median","Old"))</f>
        <v>Median</v>
      </c>
      <c r="G259" s="4" t="s">
        <v>14</v>
      </c>
      <c r="H259" s="4">
        <v>1</v>
      </c>
      <c r="I259" s="4">
        <v>50</v>
      </c>
      <c r="J259" s="4">
        <v>50</v>
      </c>
      <c r="K259" s="4" t="str" cm="1">
        <f t="array" ref="K259">_xlfn.IFS(AND(Table15[[#This Row],[Total Amount]]&gt;=1500),"Critical",AND(Table15[[#This Row],[Total Amount]]&gt;=1000),"High",TRUE,"Normal")</f>
        <v>Normal</v>
      </c>
      <c r="L259" s="4" t="str">
        <f>IF(Table15[[#This Row],[Total Amount]]&gt;=1000,"High",(IF(Table15[[#This Row],[Total Amount]]&gt;=500,"Medium","Low")))</f>
        <v>Low</v>
      </c>
      <c r="M259" s="4" t="str" cm="1">
        <f t="array" ref="M25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59" s="4" cm="1">
        <f t="array" ref="N25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259" s="4">
        <f>Table15[[#This Row],[Total Amount]]-Table15[[#This Row],[Discount Amount]]</f>
        <v>40</v>
      </c>
    </row>
    <row r="260" spans="1:15" x14ac:dyDescent="0.35">
      <c r="A260" s="4">
        <v>259</v>
      </c>
      <c r="B260" s="5">
        <v>45147</v>
      </c>
      <c r="C260" s="4" t="s">
        <v>272</v>
      </c>
      <c r="D260" s="4" t="s">
        <v>13</v>
      </c>
      <c r="E260" s="4">
        <v>45</v>
      </c>
      <c r="F260" s="4" t="str">
        <f>IF(Table15[[#This Row],[Age]]&lt;=19,"Teenager",IF(Table15[[#This Row],[Age]]&lt;=40,"Median","Old"))</f>
        <v>Old</v>
      </c>
      <c r="G260" s="4" t="s">
        <v>14</v>
      </c>
      <c r="H260" s="4">
        <v>4</v>
      </c>
      <c r="I260" s="4">
        <v>50</v>
      </c>
      <c r="J260" s="4">
        <v>200</v>
      </c>
      <c r="K260" s="4" t="str" cm="1">
        <f t="array" ref="K260">_xlfn.IFS(AND(Table15[[#This Row],[Total Amount]]&gt;=1500),"Critical",AND(Table15[[#This Row],[Total Amount]]&gt;=1000),"High",TRUE,"Normal")</f>
        <v>Normal</v>
      </c>
      <c r="L260" s="4" t="str">
        <f>IF(Table15[[#This Row],[Total Amount]]&gt;=1000,"High",(IF(Table15[[#This Row],[Total Amount]]&gt;=500,"Medium","Low")))</f>
        <v>Low</v>
      </c>
      <c r="M260" s="4" t="str" cm="1">
        <f t="array" ref="M26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60" s="4" cm="1">
        <f t="array" ref="N26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260" s="4">
        <f>Table15[[#This Row],[Total Amount]]-Table15[[#This Row],[Discount Amount]]</f>
        <v>160</v>
      </c>
    </row>
    <row r="261" spans="1:15" x14ac:dyDescent="0.35">
      <c r="A261" s="4">
        <v>260</v>
      </c>
      <c r="B261" s="5">
        <v>45108</v>
      </c>
      <c r="C261" s="4" t="s">
        <v>273</v>
      </c>
      <c r="D261" s="4" t="s">
        <v>10</v>
      </c>
      <c r="E261" s="4">
        <v>28</v>
      </c>
      <c r="F261" s="4" t="str">
        <f>IF(Table15[[#This Row],[Age]]&lt;=19,"Teenager",IF(Table15[[#This Row],[Age]]&lt;=40,"Median","Old"))</f>
        <v>Median</v>
      </c>
      <c r="G261" s="4" t="s">
        <v>11</v>
      </c>
      <c r="H261" s="4">
        <v>2</v>
      </c>
      <c r="I261" s="4">
        <v>30</v>
      </c>
      <c r="J261" s="4">
        <v>60</v>
      </c>
      <c r="K261" s="4" t="str" cm="1">
        <f t="array" ref="K261">_xlfn.IFS(AND(Table15[[#This Row],[Total Amount]]&gt;=1500),"Critical",AND(Table15[[#This Row],[Total Amount]]&gt;=1000),"High",TRUE,"Normal")</f>
        <v>Normal</v>
      </c>
      <c r="L261" s="4" t="str">
        <f>IF(Table15[[#This Row],[Total Amount]]&gt;=1000,"High",(IF(Table15[[#This Row],[Total Amount]]&gt;=500,"Medium","Low")))</f>
        <v>Low</v>
      </c>
      <c r="M261" s="4" t="str" cm="1">
        <f t="array" ref="M26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61" s="4" cm="1">
        <f t="array" ref="N26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261" s="4">
        <f>Table15[[#This Row],[Total Amount]]-Table15[[#This Row],[Discount Amount]]</f>
        <v>51</v>
      </c>
    </row>
    <row r="262" spans="1:15" x14ac:dyDescent="0.35">
      <c r="A262" s="4">
        <v>261</v>
      </c>
      <c r="B262" s="5">
        <v>45143</v>
      </c>
      <c r="C262" s="4" t="s">
        <v>274</v>
      </c>
      <c r="D262" s="4" t="s">
        <v>10</v>
      </c>
      <c r="E262" s="4">
        <v>21</v>
      </c>
      <c r="F262" s="4" t="str">
        <f>IF(Table15[[#This Row],[Age]]&lt;=19,"Teenager",IF(Table15[[#This Row],[Age]]&lt;=40,"Median","Old"))</f>
        <v>Median</v>
      </c>
      <c r="G262" s="4" t="s">
        <v>14</v>
      </c>
      <c r="H262" s="4">
        <v>2</v>
      </c>
      <c r="I262" s="4">
        <v>25</v>
      </c>
      <c r="J262" s="4">
        <v>50</v>
      </c>
      <c r="K262" s="4" t="str" cm="1">
        <f t="array" ref="K262">_xlfn.IFS(AND(Table15[[#This Row],[Total Amount]]&gt;=1500),"Critical",AND(Table15[[#This Row],[Total Amount]]&gt;=1000),"High",TRUE,"Normal")</f>
        <v>Normal</v>
      </c>
      <c r="L262" s="4" t="str">
        <f>IF(Table15[[#This Row],[Total Amount]]&gt;=1000,"High",(IF(Table15[[#This Row],[Total Amount]]&gt;=500,"Medium","Low")))</f>
        <v>Low</v>
      </c>
      <c r="M262" s="4" t="str" cm="1">
        <f t="array" ref="M26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62" s="4" cm="1">
        <f t="array" ref="N26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62" s="4">
        <f>Table15[[#This Row],[Total Amount]]-Table15[[#This Row],[Discount Amount]]</f>
        <v>50</v>
      </c>
    </row>
    <row r="263" spans="1:15" x14ac:dyDescent="0.35">
      <c r="A263" s="4">
        <v>262</v>
      </c>
      <c r="B263" s="5">
        <v>45137</v>
      </c>
      <c r="C263" s="4" t="s">
        <v>275</v>
      </c>
      <c r="D263" s="4" t="s">
        <v>13</v>
      </c>
      <c r="E263" s="4">
        <v>32</v>
      </c>
      <c r="F263" s="4" t="str">
        <f>IF(Table15[[#This Row],[Age]]&lt;=19,"Teenager",IF(Table15[[#This Row],[Age]]&lt;=40,"Median","Old"))</f>
        <v>Median</v>
      </c>
      <c r="G263" s="4" t="s">
        <v>11</v>
      </c>
      <c r="H263" s="4">
        <v>4</v>
      </c>
      <c r="I263" s="4">
        <v>30</v>
      </c>
      <c r="J263" s="4">
        <v>120</v>
      </c>
      <c r="K263" s="4" t="str" cm="1">
        <f t="array" ref="K263">_xlfn.IFS(AND(Table15[[#This Row],[Total Amount]]&gt;=1500),"Critical",AND(Table15[[#This Row],[Total Amount]]&gt;=1000),"High",TRUE,"Normal")</f>
        <v>Normal</v>
      </c>
      <c r="L263" s="4" t="str">
        <f>IF(Table15[[#This Row],[Total Amount]]&gt;=1000,"High",(IF(Table15[[#This Row],[Total Amount]]&gt;=500,"Medium","Low")))</f>
        <v>Low</v>
      </c>
      <c r="M263" s="4" t="str" cm="1">
        <f t="array" ref="M26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63" s="4" cm="1">
        <f t="array" ref="N26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263" s="4">
        <f>Table15[[#This Row],[Total Amount]]-Table15[[#This Row],[Discount Amount]]</f>
        <v>102</v>
      </c>
    </row>
    <row r="264" spans="1:15" x14ac:dyDescent="0.35">
      <c r="A264" s="4">
        <v>263</v>
      </c>
      <c r="B264" s="5">
        <v>45166</v>
      </c>
      <c r="C264" s="4" t="s">
        <v>276</v>
      </c>
      <c r="D264" s="4" t="s">
        <v>10</v>
      </c>
      <c r="E264" s="4">
        <v>23</v>
      </c>
      <c r="F264" s="4" t="str">
        <f>IF(Table15[[#This Row],[Age]]&lt;=19,"Teenager",IF(Table15[[#This Row],[Age]]&lt;=40,"Median","Old"))</f>
        <v>Median</v>
      </c>
      <c r="G264" s="4" t="s">
        <v>11</v>
      </c>
      <c r="H264" s="4">
        <v>2</v>
      </c>
      <c r="I264" s="4">
        <v>30</v>
      </c>
      <c r="J264" s="4">
        <v>60</v>
      </c>
      <c r="K264" s="4" t="str" cm="1">
        <f t="array" ref="K264">_xlfn.IFS(AND(Table15[[#This Row],[Total Amount]]&gt;=1500),"Critical",AND(Table15[[#This Row],[Total Amount]]&gt;=1000),"High",TRUE,"Normal")</f>
        <v>Normal</v>
      </c>
      <c r="L264" s="4" t="str">
        <f>IF(Table15[[#This Row],[Total Amount]]&gt;=1000,"High",(IF(Table15[[#This Row],[Total Amount]]&gt;=500,"Medium","Low")))</f>
        <v>Low</v>
      </c>
      <c r="M264" s="4" t="str" cm="1">
        <f t="array" ref="M26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64" s="4" cm="1">
        <f t="array" ref="N26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64" s="4">
        <f>Table15[[#This Row],[Total Amount]]-Table15[[#This Row],[Discount Amount]]</f>
        <v>60</v>
      </c>
    </row>
    <row r="265" spans="1:15" x14ac:dyDescent="0.35">
      <c r="A265" s="4">
        <v>264</v>
      </c>
      <c r="B265" s="5">
        <v>44954</v>
      </c>
      <c r="C265" s="4" t="s">
        <v>277</v>
      </c>
      <c r="D265" s="4" t="s">
        <v>10</v>
      </c>
      <c r="E265" s="4">
        <v>47</v>
      </c>
      <c r="F265" s="4" t="str">
        <f>IF(Table15[[#This Row],[Age]]&lt;=19,"Teenager",IF(Table15[[#This Row],[Age]]&lt;=40,"Median","Old"))</f>
        <v>Old</v>
      </c>
      <c r="G265" s="4" t="s">
        <v>14</v>
      </c>
      <c r="H265" s="4">
        <v>3</v>
      </c>
      <c r="I265" s="4">
        <v>300</v>
      </c>
      <c r="J265" s="4">
        <v>900</v>
      </c>
      <c r="K265" s="4" t="str" cm="1">
        <f t="array" ref="K265">_xlfn.IFS(AND(Table15[[#This Row],[Total Amount]]&gt;=1500),"Critical",AND(Table15[[#This Row],[Total Amount]]&gt;=1000),"High",TRUE,"Normal")</f>
        <v>Normal</v>
      </c>
      <c r="L265" s="4" t="str">
        <f>IF(Table15[[#This Row],[Total Amount]]&gt;=1000,"High",(IF(Table15[[#This Row],[Total Amount]]&gt;=500,"Medium","Low")))</f>
        <v>Medium</v>
      </c>
      <c r="M265" s="4" t="str" cm="1">
        <f t="array" ref="M26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65" s="4" cm="1">
        <f t="array" ref="N26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265" s="4">
        <f>Table15[[#This Row],[Total Amount]]-Table15[[#This Row],[Discount Amount]]</f>
        <v>810</v>
      </c>
    </row>
    <row r="266" spans="1:15" x14ac:dyDescent="0.35">
      <c r="A266" s="4">
        <v>265</v>
      </c>
      <c r="B266" s="5">
        <v>45271</v>
      </c>
      <c r="C266" s="4" t="s">
        <v>278</v>
      </c>
      <c r="D266" s="4" t="s">
        <v>10</v>
      </c>
      <c r="E266" s="4">
        <v>55</v>
      </c>
      <c r="F266" s="4" t="str">
        <f>IF(Table15[[#This Row],[Age]]&lt;=19,"Teenager",IF(Table15[[#This Row],[Age]]&lt;=40,"Median","Old"))</f>
        <v>Old</v>
      </c>
      <c r="G266" s="4" t="s">
        <v>14</v>
      </c>
      <c r="H266" s="4">
        <v>3</v>
      </c>
      <c r="I266" s="4">
        <v>300</v>
      </c>
      <c r="J266" s="4">
        <v>900</v>
      </c>
      <c r="K266" s="4" t="str" cm="1">
        <f t="array" ref="K266">_xlfn.IFS(AND(Table15[[#This Row],[Total Amount]]&gt;=1500),"Critical",AND(Table15[[#This Row],[Total Amount]]&gt;=1000),"High",TRUE,"Normal")</f>
        <v>Normal</v>
      </c>
      <c r="L266" s="4" t="str">
        <f>IF(Table15[[#This Row],[Total Amount]]&gt;=1000,"High",(IF(Table15[[#This Row],[Total Amount]]&gt;=500,"Medium","Low")))</f>
        <v>Medium</v>
      </c>
      <c r="M266" s="4" t="str" cm="1">
        <f t="array" ref="M26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66" s="4" cm="1">
        <f t="array" ref="N26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266" s="4">
        <f>Table15[[#This Row],[Total Amount]]-Table15[[#This Row],[Discount Amount]]</f>
        <v>810</v>
      </c>
    </row>
    <row r="267" spans="1:15" x14ac:dyDescent="0.35">
      <c r="A267" s="4">
        <v>266</v>
      </c>
      <c r="B267" s="5">
        <v>45261</v>
      </c>
      <c r="C267" s="4" t="s">
        <v>279</v>
      </c>
      <c r="D267" s="4" t="s">
        <v>13</v>
      </c>
      <c r="E267" s="4">
        <v>19</v>
      </c>
      <c r="F267" s="4" t="str">
        <f>IF(Table15[[#This Row],[Age]]&lt;=19,"Teenager",IF(Table15[[#This Row],[Age]]&lt;=40,"Median","Old"))</f>
        <v>Teenager</v>
      </c>
      <c r="G267" s="4" t="s">
        <v>16</v>
      </c>
      <c r="H267" s="4">
        <v>2</v>
      </c>
      <c r="I267" s="4">
        <v>30</v>
      </c>
      <c r="J267" s="4">
        <v>60</v>
      </c>
      <c r="K267" s="4" t="str" cm="1">
        <f t="array" ref="K267">_xlfn.IFS(AND(Table15[[#This Row],[Total Amount]]&gt;=1500),"Critical",AND(Table15[[#This Row],[Total Amount]]&gt;=1000),"High",TRUE,"Normal")</f>
        <v>Normal</v>
      </c>
      <c r="L267" s="4" t="str">
        <f>IF(Table15[[#This Row],[Total Amount]]&gt;=1000,"High",(IF(Table15[[#This Row],[Total Amount]]&gt;=500,"Medium","Low")))</f>
        <v>Low</v>
      </c>
      <c r="M267" s="4" t="str" cm="1">
        <f t="array" ref="M26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67" s="4" cm="1">
        <f t="array" ref="N26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67" s="4">
        <f>Table15[[#This Row],[Total Amount]]-Table15[[#This Row],[Discount Amount]]</f>
        <v>60</v>
      </c>
    </row>
    <row r="268" spans="1:15" x14ac:dyDescent="0.35">
      <c r="A268" s="4">
        <v>267</v>
      </c>
      <c r="B268" s="5">
        <v>45257</v>
      </c>
      <c r="C268" s="4" t="s">
        <v>280</v>
      </c>
      <c r="D268" s="4" t="s">
        <v>13</v>
      </c>
      <c r="E268" s="4">
        <v>32</v>
      </c>
      <c r="F268" s="4" t="str">
        <f>IF(Table15[[#This Row],[Age]]&lt;=19,"Teenager",IF(Table15[[#This Row],[Age]]&lt;=40,"Median","Old"))</f>
        <v>Median</v>
      </c>
      <c r="G268" s="4" t="s">
        <v>11</v>
      </c>
      <c r="H268" s="4">
        <v>3</v>
      </c>
      <c r="I268" s="4">
        <v>30</v>
      </c>
      <c r="J268" s="4">
        <v>90</v>
      </c>
      <c r="K268" s="4" t="str" cm="1">
        <f t="array" ref="K268">_xlfn.IFS(AND(Table15[[#This Row],[Total Amount]]&gt;=1500),"Critical",AND(Table15[[#This Row],[Total Amount]]&gt;=1000),"High",TRUE,"Normal")</f>
        <v>Normal</v>
      </c>
      <c r="L268" s="4" t="str">
        <f>IF(Table15[[#This Row],[Total Amount]]&gt;=1000,"High",(IF(Table15[[#This Row],[Total Amount]]&gt;=500,"Medium","Low")))</f>
        <v>Low</v>
      </c>
      <c r="M268" s="4" t="str" cm="1">
        <f t="array" ref="M26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68" s="4" cm="1">
        <f t="array" ref="N26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13.5</v>
      </c>
      <c r="O268" s="4">
        <f>Table15[[#This Row],[Total Amount]]-Table15[[#This Row],[Discount Amount]]</f>
        <v>76.5</v>
      </c>
    </row>
    <row r="269" spans="1:15" x14ac:dyDescent="0.35">
      <c r="A269" s="4">
        <v>268</v>
      </c>
      <c r="B269" s="5">
        <v>44977</v>
      </c>
      <c r="C269" s="4" t="s">
        <v>281</v>
      </c>
      <c r="D269" s="4" t="s">
        <v>13</v>
      </c>
      <c r="E269" s="4">
        <v>28</v>
      </c>
      <c r="F269" s="4" t="str">
        <f>IF(Table15[[#This Row],[Age]]&lt;=19,"Teenager",IF(Table15[[#This Row],[Age]]&lt;=40,"Median","Old"))</f>
        <v>Median</v>
      </c>
      <c r="G269" s="4" t="s">
        <v>16</v>
      </c>
      <c r="H269" s="4">
        <v>1</v>
      </c>
      <c r="I269" s="4">
        <v>30</v>
      </c>
      <c r="J269" s="4">
        <v>30</v>
      </c>
      <c r="K269" s="4" t="str" cm="1">
        <f t="array" ref="K269">_xlfn.IFS(AND(Table15[[#This Row],[Total Amount]]&gt;=1500),"Critical",AND(Table15[[#This Row],[Total Amount]]&gt;=1000),"High",TRUE,"Normal")</f>
        <v>Normal</v>
      </c>
      <c r="L269" s="4" t="str">
        <f>IF(Table15[[#This Row],[Total Amount]]&gt;=1000,"High",(IF(Table15[[#This Row],[Total Amount]]&gt;=500,"Medium","Low")))</f>
        <v>Low</v>
      </c>
      <c r="M269" s="4" t="str" cm="1">
        <f t="array" ref="M26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69" s="4" cm="1">
        <f t="array" ref="N26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4.5</v>
      </c>
      <c r="O269" s="4">
        <f>Table15[[#This Row],[Total Amount]]-Table15[[#This Row],[Discount Amount]]</f>
        <v>25.5</v>
      </c>
    </row>
    <row r="270" spans="1:15" x14ac:dyDescent="0.35">
      <c r="A270" s="4">
        <v>269</v>
      </c>
      <c r="B270" s="5">
        <v>44958</v>
      </c>
      <c r="C270" s="4" t="s">
        <v>282</v>
      </c>
      <c r="D270" s="4" t="s">
        <v>10</v>
      </c>
      <c r="E270" s="4">
        <v>25</v>
      </c>
      <c r="F270" s="4" t="str">
        <f>IF(Table15[[#This Row],[Age]]&lt;=19,"Teenager",IF(Table15[[#This Row],[Age]]&lt;=40,"Median","Old"))</f>
        <v>Median</v>
      </c>
      <c r="G270" s="4" t="s">
        <v>14</v>
      </c>
      <c r="H270" s="4">
        <v>4</v>
      </c>
      <c r="I270" s="4">
        <v>500</v>
      </c>
      <c r="J270" s="4">
        <v>2000</v>
      </c>
      <c r="K270" s="4" t="str" cm="1">
        <f t="array" ref="K270">_xlfn.IFS(AND(Table15[[#This Row],[Total Amount]]&gt;=1500),"Critical",AND(Table15[[#This Row],[Total Amount]]&gt;=1000),"High",TRUE,"Normal")</f>
        <v>Critical</v>
      </c>
      <c r="L270" s="4" t="str">
        <f>IF(Table15[[#This Row],[Total Amount]]&gt;=1000,"High",(IF(Table15[[#This Row],[Total Amount]]&gt;=500,"Medium","Low")))</f>
        <v>High</v>
      </c>
      <c r="M270" s="4" t="str" cm="1">
        <f t="array" ref="M27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70" s="4" cm="1">
        <f t="array" ref="N27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270" s="4">
        <f>Table15[[#This Row],[Total Amount]]-Table15[[#This Row],[Discount Amount]]</f>
        <v>1700</v>
      </c>
    </row>
    <row r="271" spans="1:15" x14ac:dyDescent="0.35">
      <c r="A271" s="4">
        <v>270</v>
      </c>
      <c r="B271" s="5">
        <v>45133</v>
      </c>
      <c r="C271" s="4" t="s">
        <v>283</v>
      </c>
      <c r="D271" s="4" t="s">
        <v>10</v>
      </c>
      <c r="E271" s="4">
        <v>43</v>
      </c>
      <c r="F271" s="4" t="str">
        <f>IF(Table15[[#This Row],[Age]]&lt;=19,"Teenager",IF(Table15[[#This Row],[Age]]&lt;=40,"Median","Old"))</f>
        <v>Old</v>
      </c>
      <c r="G271" s="4" t="s">
        <v>16</v>
      </c>
      <c r="H271" s="4">
        <v>1</v>
      </c>
      <c r="I271" s="4">
        <v>300</v>
      </c>
      <c r="J271" s="4">
        <v>300</v>
      </c>
      <c r="K271" s="4" t="str" cm="1">
        <f t="array" ref="K271">_xlfn.IFS(AND(Table15[[#This Row],[Total Amount]]&gt;=1500),"Critical",AND(Table15[[#This Row],[Total Amount]]&gt;=1000),"High",TRUE,"Normal")</f>
        <v>Normal</v>
      </c>
      <c r="L271" s="4" t="str">
        <f>IF(Table15[[#This Row],[Total Amount]]&gt;=1000,"High",(IF(Table15[[#This Row],[Total Amount]]&gt;=500,"Medium","Low")))</f>
        <v>Low</v>
      </c>
      <c r="M271" s="4" t="str" cm="1">
        <f t="array" ref="M27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71" s="4" cm="1">
        <f t="array" ref="N27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271" s="4">
        <f>Table15[[#This Row],[Total Amount]]-Table15[[#This Row],[Discount Amount]]</f>
        <v>270</v>
      </c>
    </row>
    <row r="272" spans="1:15" x14ac:dyDescent="0.35">
      <c r="A272" s="4">
        <v>271</v>
      </c>
      <c r="B272" s="5">
        <v>45100</v>
      </c>
      <c r="C272" s="4" t="s">
        <v>284</v>
      </c>
      <c r="D272" s="4" t="s">
        <v>13</v>
      </c>
      <c r="E272" s="4">
        <v>62</v>
      </c>
      <c r="F272" s="4" t="str">
        <f>IF(Table15[[#This Row],[Age]]&lt;=19,"Teenager",IF(Table15[[#This Row],[Age]]&lt;=40,"Median","Old"))</f>
        <v>Old</v>
      </c>
      <c r="G272" s="4" t="s">
        <v>11</v>
      </c>
      <c r="H272" s="4">
        <v>4</v>
      </c>
      <c r="I272" s="4">
        <v>30</v>
      </c>
      <c r="J272" s="4">
        <v>120</v>
      </c>
      <c r="K272" s="4" t="str" cm="1">
        <f t="array" ref="K272">_xlfn.IFS(AND(Table15[[#This Row],[Total Amount]]&gt;=1500),"Critical",AND(Table15[[#This Row],[Total Amount]]&gt;=1000),"High",TRUE,"Normal")</f>
        <v>Normal</v>
      </c>
      <c r="L272" s="4" t="str">
        <f>IF(Table15[[#This Row],[Total Amount]]&gt;=1000,"High",(IF(Table15[[#This Row],[Total Amount]]&gt;=500,"Medium","Low")))</f>
        <v>Low</v>
      </c>
      <c r="M272" s="4" t="str" cm="1">
        <f t="array" ref="M27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72" s="4" cm="1">
        <f t="array" ref="N27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272" s="4">
        <f>Table15[[#This Row],[Total Amount]]-Table15[[#This Row],[Discount Amount]]</f>
        <v>96</v>
      </c>
    </row>
    <row r="273" spans="1:15" x14ac:dyDescent="0.35">
      <c r="A273" s="4">
        <v>272</v>
      </c>
      <c r="B273" s="5">
        <v>44982</v>
      </c>
      <c r="C273" s="4" t="s">
        <v>285</v>
      </c>
      <c r="D273" s="4" t="s">
        <v>13</v>
      </c>
      <c r="E273" s="4">
        <v>61</v>
      </c>
      <c r="F273" s="4" t="str">
        <f>IF(Table15[[#This Row],[Age]]&lt;=19,"Teenager",IF(Table15[[#This Row],[Age]]&lt;=40,"Median","Old"))</f>
        <v>Old</v>
      </c>
      <c r="G273" s="4" t="s">
        <v>16</v>
      </c>
      <c r="H273" s="4">
        <v>2</v>
      </c>
      <c r="I273" s="4">
        <v>50</v>
      </c>
      <c r="J273" s="4">
        <v>100</v>
      </c>
      <c r="K273" s="4" t="str" cm="1">
        <f t="array" ref="K273">_xlfn.IFS(AND(Table15[[#This Row],[Total Amount]]&gt;=1500),"Critical",AND(Table15[[#This Row],[Total Amount]]&gt;=1000),"High",TRUE,"Normal")</f>
        <v>Normal</v>
      </c>
      <c r="L273" s="4" t="str">
        <f>IF(Table15[[#This Row],[Total Amount]]&gt;=1000,"High",(IF(Table15[[#This Row],[Total Amount]]&gt;=500,"Medium","Low")))</f>
        <v>Low</v>
      </c>
      <c r="M273" s="4" t="str" cm="1">
        <f t="array" ref="M27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73" s="4" cm="1">
        <f t="array" ref="N27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273" s="4">
        <f>Table15[[#This Row],[Total Amount]]-Table15[[#This Row],[Discount Amount]]</f>
        <v>80</v>
      </c>
    </row>
    <row r="274" spans="1:15" x14ac:dyDescent="0.35">
      <c r="A274" s="4">
        <v>273</v>
      </c>
      <c r="B274" s="5">
        <v>45054</v>
      </c>
      <c r="C274" s="4" t="s">
        <v>286</v>
      </c>
      <c r="D274" s="4" t="s">
        <v>13</v>
      </c>
      <c r="E274" s="4">
        <v>22</v>
      </c>
      <c r="F274" s="4" t="str">
        <f>IF(Table15[[#This Row],[Age]]&lt;=19,"Teenager",IF(Table15[[#This Row],[Age]]&lt;=40,"Median","Old"))</f>
        <v>Median</v>
      </c>
      <c r="G274" s="4" t="s">
        <v>11</v>
      </c>
      <c r="H274" s="4">
        <v>1</v>
      </c>
      <c r="I274" s="4">
        <v>50</v>
      </c>
      <c r="J274" s="4">
        <v>50</v>
      </c>
      <c r="K274" s="4" t="str" cm="1">
        <f t="array" ref="K274">_xlfn.IFS(AND(Table15[[#This Row],[Total Amount]]&gt;=1500),"Critical",AND(Table15[[#This Row],[Total Amount]]&gt;=1000),"High",TRUE,"Normal")</f>
        <v>Normal</v>
      </c>
      <c r="L274" s="4" t="str">
        <f>IF(Table15[[#This Row],[Total Amount]]&gt;=1000,"High",(IF(Table15[[#This Row],[Total Amount]]&gt;=500,"Medium","Low")))</f>
        <v>Low</v>
      </c>
      <c r="M274" s="4" t="str" cm="1">
        <f t="array" ref="M27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74" s="4" cm="1">
        <f t="array" ref="N27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74" s="4">
        <f>Table15[[#This Row],[Total Amount]]-Table15[[#This Row],[Discount Amount]]</f>
        <v>50</v>
      </c>
    </row>
    <row r="275" spans="1:15" x14ac:dyDescent="0.35">
      <c r="A275" s="4">
        <v>274</v>
      </c>
      <c r="B275" s="5">
        <v>45025</v>
      </c>
      <c r="C275" s="4" t="s">
        <v>287</v>
      </c>
      <c r="D275" s="4" t="s">
        <v>13</v>
      </c>
      <c r="E275" s="4">
        <v>23</v>
      </c>
      <c r="F275" s="4" t="str">
        <f>IF(Table15[[#This Row],[Age]]&lt;=19,"Teenager",IF(Table15[[#This Row],[Age]]&lt;=40,"Median","Old"))</f>
        <v>Median</v>
      </c>
      <c r="G275" s="4" t="s">
        <v>14</v>
      </c>
      <c r="H275" s="4">
        <v>2</v>
      </c>
      <c r="I275" s="4">
        <v>500</v>
      </c>
      <c r="J275" s="4">
        <v>1000</v>
      </c>
      <c r="K275" s="4" t="str" cm="1">
        <f t="array" ref="K275">_xlfn.IFS(AND(Table15[[#This Row],[Total Amount]]&gt;=1500),"Critical",AND(Table15[[#This Row],[Total Amount]]&gt;=1000),"High",TRUE,"Normal")</f>
        <v>High</v>
      </c>
      <c r="L275" s="4" t="str">
        <f>IF(Table15[[#This Row],[Total Amount]]&gt;=1000,"High",(IF(Table15[[#This Row],[Total Amount]]&gt;=500,"Medium","Low")))</f>
        <v>High</v>
      </c>
      <c r="M275" s="4" t="str" cm="1">
        <f t="array" ref="M27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75" s="4" cm="1">
        <f t="array" ref="N27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75" s="4">
        <f>Table15[[#This Row],[Total Amount]]-Table15[[#This Row],[Discount Amount]]</f>
        <v>1000</v>
      </c>
    </row>
    <row r="276" spans="1:15" x14ac:dyDescent="0.35">
      <c r="A276" s="4">
        <v>275</v>
      </c>
      <c r="B276" s="5">
        <v>45024</v>
      </c>
      <c r="C276" s="4" t="s">
        <v>288</v>
      </c>
      <c r="D276" s="4" t="s">
        <v>10</v>
      </c>
      <c r="E276" s="4">
        <v>43</v>
      </c>
      <c r="F276" s="4" t="str">
        <f>IF(Table15[[#This Row],[Age]]&lt;=19,"Teenager",IF(Table15[[#This Row],[Age]]&lt;=40,"Median","Old"))</f>
        <v>Old</v>
      </c>
      <c r="G276" s="4" t="s">
        <v>14</v>
      </c>
      <c r="H276" s="4">
        <v>2</v>
      </c>
      <c r="I276" s="4">
        <v>500</v>
      </c>
      <c r="J276" s="4">
        <v>1000</v>
      </c>
      <c r="K276" s="4" t="str" cm="1">
        <f t="array" ref="K276">_xlfn.IFS(AND(Table15[[#This Row],[Total Amount]]&gt;=1500),"Critical",AND(Table15[[#This Row],[Total Amount]]&gt;=1000),"High",TRUE,"Normal")</f>
        <v>High</v>
      </c>
      <c r="L276" s="4" t="str">
        <f>IF(Table15[[#This Row],[Total Amount]]&gt;=1000,"High",(IF(Table15[[#This Row],[Total Amount]]&gt;=500,"Medium","Low")))</f>
        <v>High</v>
      </c>
      <c r="M276" s="4" t="str" cm="1">
        <f t="array" ref="M27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76" s="4" cm="1">
        <f t="array" ref="N27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276" s="4">
        <f>Table15[[#This Row],[Total Amount]]-Table15[[#This Row],[Discount Amount]]</f>
        <v>900</v>
      </c>
    </row>
    <row r="277" spans="1:15" x14ac:dyDescent="0.35">
      <c r="A277" s="4">
        <v>276</v>
      </c>
      <c r="B277" s="5">
        <v>45201</v>
      </c>
      <c r="C277" s="4" t="s">
        <v>289</v>
      </c>
      <c r="D277" s="4" t="s">
        <v>13</v>
      </c>
      <c r="E277" s="4">
        <v>21</v>
      </c>
      <c r="F277" s="4" t="str">
        <f>IF(Table15[[#This Row],[Age]]&lt;=19,"Teenager",IF(Table15[[#This Row],[Age]]&lt;=40,"Median","Old"))</f>
        <v>Median</v>
      </c>
      <c r="G277" s="4" t="s">
        <v>11</v>
      </c>
      <c r="H277" s="4">
        <v>4</v>
      </c>
      <c r="I277" s="4">
        <v>25</v>
      </c>
      <c r="J277" s="4">
        <v>100</v>
      </c>
      <c r="K277" s="4" t="str" cm="1">
        <f t="array" ref="K277">_xlfn.IFS(AND(Table15[[#This Row],[Total Amount]]&gt;=1500),"Critical",AND(Table15[[#This Row],[Total Amount]]&gt;=1000),"High",TRUE,"Normal")</f>
        <v>Normal</v>
      </c>
      <c r="L277" s="4" t="str">
        <f>IF(Table15[[#This Row],[Total Amount]]&gt;=1000,"High",(IF(Table15[[#This Row],[Total Amount]]&gt;=500,"Medium","Low")))</f>
        <v>Low</v>
      </c>
      <c r="M277" s="4" t="str" cm="1">
        <f t="array" ref="M27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77" s="4" cm="1">
        <f t="array" ref="N27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77" s="4">
        <f>Table15[[#This Row],[Total Amount]]-Table15[[#This Row],[Discount Amount]]</f>
        <v>100</v>
      </c>
    </row>
    <row r="278" spans="1:15" x14ac:dyDescent="0.35">
      <c r="A278" s="4">
        <v>277</v>
      </c>
      <c r="B278" s="5">
        <v>45156</v>
      </c>
      <c r="C278" s="4" t="s">
        <v>290</v>
      </c>
      <c r="D278" s="4" t="s">
        <v>10</v>
      </c>
      <c r="E278" s="4">
        <v>36</v>
      </c>
      <c r="F278" s="4" t="str">
        <f>IF(Table15[[#This Row],[Age]]&lt;=19,"Teenager",IF(Table15[[#This Row],[Age]]&lt;=40,"Median","Old"))</f>
        <v>Median</v>
      </c>
      <c r="G278" s="4" t="s">
        <v>14</v>
      </c>
      <c r="H278" s="4">
        <v>4</v>
      </c>
      <c r="I278" s="4">
        <v>25</v>
      </c>
      <c r="J278" s="4">
        <v>100</v>
      </c>
      <c r="K278" s="4" t="str" cm="1">
        <f t="array" ref="K278">_xlfn.IFS(AND(Table15[[#This Row],[Total Amount]]&gt;=1500),"Critical",AND(Table15[[#This Row],[Total Amount]]&gt;=1000),"High",TRUE,"Normal")</f>
        <v>Normal</v>
      </c>
      <c r="L278" s="4" t="str">
        <f>IF(Table15[[#This Row],[Total Amount]]&gt;=1000,"High",(IF(Table15[[#This Row],[Total Amount]]&gt;=500,"Medium","Low")))</f>
        <v>Low</v>
      </c>
      <c r="M278" s="4" t="str" cm="1">
        <f t="array" ref="M27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78" s="4" cm="1">
        <f t="array" ref="N27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278" s="4">
        <f>Table15[[#This Row],[Total Amount]]-Table15[[#This Row],[Discount Amount]]</f>
        <v>90</v>
      </c>
    </row>
    <row r="279" spans="1:15" x14ac:dyDescent="0.35">
      <c r="A279" s="4">
        <v>278</v>
      </c>
      <c r="B279" s="5">
        <v>44998</v>
      </c>
      <c r="C279" s="4" t="s">
        <v>291</v>
      </c>
      <c r="D279" s="4" t="s">
        <v>13</v>
      </c>
      <c r="E279" s="4">
        <v>37</v>
      </c>
      <c r="F279" s="4" t="str">
        <f>IF(Table15[[#This Row],[Age]]&lt;=19,"Teenager",IF(Table15[[#This Row],[Age]]&lt;=40,"Median","Old"))</f>
        <v>Median</v>
      </c>
      <c r="G279" s="4" t="s">
        <v>14</v>
      </c>
      <c r="H279" s="4">
        <v>4</v>
      </c>
      <c r="I279" s="4">
        <v>25</v>
      </c>
      <c r="J279" s="4">
        <v>100</v>
      </c>
      <c r="K279" s="4" t="str" cm="1">
        <f t="array" ref="K279">_xlfn.IFS(AND(Table15[[#This Row],[Total Amount]]&gt;=1500),"Critical",AND(Table15[[#This Row],[Total Amount]]&gt;=1000),"High",TRUE,"Normal")</f>
        <v>Normal</v>
      </c>
      <c r="L279" s="4" t="str">
        <f>IF(Table15[[#This Row],[Total Amount]]&gt;=1000,"High",(IF(Table15[[#This Row],[Total Amount]]&gt;=500,"Medium","Low")))</f>
        <v>Low</v>
      </c>
      <c r="M279" s="4" t="str" cm="1">
        <f t="array" ref="M27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79" s="4" cm="1">
        <f t="array" ref="N27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279" s="4">
        <f>Table15[[#This Row],[Total Amount]]-Table15[[#This Row],[Discount Amount]]</f>
        <v>80</v>
      </c>
    </row>
    <row r="280" spans="1:15" x14ac:dyDescent="0.35">
      <c r="A280" s="4">
        <v>279</v>
      </c>
      <c r="B280" s="5">
        <v>45143</v>
      </c>
      <c r="C280" s="4" t="s">
        <v>292</v>
      </c>
      <c r="D280" s="4" t="s">
        <v>10</v>
      </c>
      <c r="E280" s="4">
        <v>50</v>
      </c>
      <c r="F280" s="4" t="str">
        <f>IF(Table15[[#This Row],[Age]]&lt;=19,"Teenager",IF(Table15[[#This Row],[Age]]&lt;=40,"Median","Old"))</f>
        <v>Old</v>
      </c>
      <c r="G280" s="4" t="s">
        <v>14</v>
      </c>
      <c r="H280" s="4">
        <v>1</v>
      </c>
      <c r="I280" s="4">
        <v>500</v>
      </c>
      <c r="J280" s="4">
        <v>500</v>
      </c>
      <c r="K280" s="4" t="str" cm="1">
        <f t="array" ref="K280">_xlfn.IFS(AND(Table15[[#This Row],[Total Amount]]&gt;=1500),"Critical",AND(Table15[[#This Row],[Total Amount]]&gt;=1000),"High",TRUE,"Normal")</f>
        <v>Normal</v>
      </c>
      <c r="L280" s="4" t="str">
        <f>IF(Table15[[#This Row],[Total Amount]]&gt;=1000,"High",(IF(Table15[[#This Row],[Total Amount]]&gt;=500,"Medium","Low")))</f>
        <v>Medium</v>
      </c>
      <c r="M280" s="4" t="str" cm="1">
        <f t="array" ref="M28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80" s="4" cm="1">
        <f t="array" ref="N28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280" s="4">
        <f>Table15[[#This Row],[Total Amount]]-Table15[[#This Row],[Discount Amount]]</f>
        <v>450</v>
      </c>
    </row>
    <row r="281" spans="1:15" x14ac:dyDescent="0.35">
      <c r="A281" s="4">
        <v>280</v>
      </c>
      <c r="B281" s="5">
        <v>45020</v>
      </c>
      <c r="C281" s="4" t="s">
        <v>293</v>
      </c>
      <c r="D281" s="4" t="s">
        <v>13</v>
      </c>
      <c r="E281" s="4">
        <v>37</v>
      </c>
      <c r="F281" s="4" t="str">
        <f>IF(Table15[[#This Row],[Age]]&lt;=19,"Teenager",IF(Table15[[#This Row],[Age]]&lt;=40,"Median","Old"))</f>
        <v>Median</v>
      </c>
      <c r="G281" s="4" t="s">
        <v>14</v>
      </c>
      <c r="H281" s="4">
        <v>3</v>
      </c>
      <c r="I281" s="4">
        <v>500</v>
      </c>
      <c r="J281" s="4">
        <v>1500</v>
      </c>
      <c r="K281" s="4" t="str" cm="1">
        <f t="array" ref="K281">_xlfn.IFS(AND(Table15[[#This Row],[Total Amount]]&gt;=1500),"Critical",AND(Table15[[#This Row],[Total Amount]]&gt;=1000),"High",TRUE,"Normal")</f>
        <v>Critical</v>
      </c>
      <c r="L281" s="4" t="str">
        <f>IF(Table15[[#This Row],[Total Amount]]&gt;=1000,"High",(IF(Table15[[#This Row],[Total Amount]]&gt;=500,"Medium","Low")))</f>
        <v>High</v>
      </c>
      <c r="M281" s="4" t="str" cm="1">
        <f t="array" ref="M28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81" s="4" cm="1">
        <f t="array" ref="N28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281" s="4">
        <f>Table15[[#This Row],[Total Amount]]-Table15[[#This Row],[Discount Amount]]</f>
        <v>1200</v>
      </c>
    </row>
    <row r="282" spans="1:15" x14ac:dyDescent="0.35">
      <c r="A282" s="4">
        <v>281</v>
      </c>
      <c r="B282" s="5">
        <v>45069</v>
      </c>
      <c r="C282" s="4" t="s">
        <v>294</v>
      </c>
      <c r="D282" s="4" t="s">
        <v>13</v>
      </c>
      <c r="E282" s="4">
        <v>29</v>
      </c>
      <c r="F282" s="4" t="str">
        <f>IF(Table15[[#This Row],[Age]]&lt;=19,"Teenager",IF(Table15[[#This Row],[Age]]&lt;=40,"Median","Old"))</f>
        <v>Median</v>
      </c>
      <c r="G282" s="4" t="s">
        <v>11</v>
      </c>
      <c r="H282" s="4">
        <v>4</v>
      </c>
      <c r="I282" s="4">
        <v>500</v>
      </c>
      <c r="J282" s="4">
        <v>2000</v>
      </c>
      <c r="K282" s="4" t="str" cm="1">
        <f t="array" ref="K282">_xlfn.IFS(AND(Table15[[#This Row],[Total Amount]]&gt;=1500),"Critical",AND(Table15[[#This Row],[Total Amount]]&gt;=1000),"High",TRUE,"Normal")</f>
        <v>Critical</v>
      </c>
      <c r="L282" s="4" t="str">
        <f>IF(Table15[[#This Row],[Total Amount]]&gt;=1000,"High",(IF(Table15[[#This Row],[Total Amount]]&gt;=500,"Medium","Low")))</f>
        <v>High</v>
      </c>
      <c r="M282" s="4" t="str" cm="1">
        <f t="array" ref="M28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82" s="4" cm="1">
        <f t="array" ref="N28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282" s="4">
        <f>Table15[[#This Row],[Total Amount]]-Table15[[#This Row],[Discount Amount]]</f>
        <v>1700</v>
      </c>
    </row>
    <row r="283" spans="1:15" x14ac:dyDescent="0.35">
      <c r="A283" s="4">
        <v>282</v>
      </c>
      <c r="B283" s="5">
        <v>45163</v>
      </c>
      <c r="C283" s="4" t="s">
        <v>295</v>
      </c>
      <c r="D283" s="4" t="s">
        <v>13</v>
      </c>
      <c r="E283" s="4">
        <v>64</v>
      </c>
      <c r="F283" s="4" t="str">
        <f>IF(Table15[[#This Row],[Age]]&lt;=19,"Teenager",IF(Table15[[#This Row],[Age]]&lt;=40,"Median","Old"))</f>
        <v>Old</v>
      </c>
      <c r="G283" s="4" t="s">
        <v>16</v>
      </c>
      <c r="H283" s="4">
        <v>4</v>
      </c>
      <c r="I283" s="4">
        <v>50</v>
      </c>
      <c r="J283" s="4">
        <v>200</v>
      </c>
      <c r="K283" s="4" t="str" cm="1">
        <f t="array" ref="K283">_xlfn.IFS(AND(Table15[[#This Row],[Total Amount]]&gt;=1500),"Critical",AND(Table15[[#This Row],[Total Amount]]&gt;=1000),"High",TRUE,"Normal")</f>
        <v>Normal</v>
      </c>
      <c r="L283" s="4" t="str">
        <f>IF(Table15[[#This Row],[Total Amount]]&gt;=1000,"High",(IF(Table15[[#This Row],[Total Amount]]&gt;=500,"Medium","Low")))</f>
        <v>Low</v>
      </c>
      <c r="M283" s="4" t="str" cm="1">
        <f t="array" ref="M28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83" s="4" cm="1">
        <f t="array" ref="N28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283" s="4">
        <f>Table15[[#This Row],[Total Amount]]-Table15[[#This Row],[Discount Amount]]</f>
        <v>160</v>
      </c>
    </row>
    <row r="284" spans="1:15" x14ac:dyDescent="0.35">
      <c r="A284" s="4">
        <v>283</v>
      </c>
      <c r="B284" s="5">
        <v>45054</v>
      </c>
      <c r="C284" s="4" t="s">
        <v>296</v>
      </c>
      <c r="D284" s="4" t="s">
        <v>13</v>
      </c>
      <c r="E284" s="4">
        <v>18</v>
      </c>
      <c r="F284" s="4" t="str">
        <f>IF(Table15[[#This Row],[Age]]&lt;=19,"Teenager",IF(Table15[[#This Row],[Age]]&lt;=40,"Median","Old"))</f>
        <v>Teenager</v>
      </c>
      <c r="G284" s="4" t="s">
        <v>16</v>
      </c>
      <c r="H284" s="4">
        <v>1</v>
      </c>
      <c r="I284" s="4">
        <v>500</v>
      </c>
      <c r="J284" s="4">
        <v>500</v>
      </c>
      <c r="K284" s="4" t="str" cm="1">
        <f t="array" ref="K284">_xlfn.IFS(AND(Table15[[#This Row],[Total Amount]]&gt;=1500),"Critical",AND(Table15[[#This Row],[Total Amount]]&gt;=1000),"High",TRUE,"Normal")</f>
        <v>Normal</v>
      </c>
      <c r="L284" s="4" t="str">
        <f>IF(Table15[[#This Row],[Total Amount]]&gt;=1000,"High",(IF(Table15[[#This Row],[Total Amount]]&gt;=500,"Medium","Low")))</f>
        <v>Medium</v>
      </c>
      <c r="M284" s="4" t="str" cm="1">
        <f t="array" ref="M28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84" s="4" cm="1">
        <f t="array" ref="N28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84" s="4">
        <f>Table15[[#This Row],[Total Amount]]-Table15[[#This Row],[Discount Amount]]</f>
        <v>500</v>
      </c>
    </row>
    <row r="285" spans="1:15" x14ac:dyDescent="0.35">
      <c r="A285" s="4">
        <v>284</v>
      </c>
      <c r="B285" s="5">
        <v>44965</v>
      </c>
      <c r="C285" s="4" t="s">
        <v>297</v>
      </c>
      <c r="D285" s="4" t="s">
        <v>10</v>
      </c>
      <c r="E285" s="4">
        <v>43</v>
      </c>
      <c r="F285" s="4" t="str">
        <f>IF(Table15[[#This Row],[Age]]&lt;=19,"Teenager",IF(Table15[[#This Row],[Age]]&lt;=40,"Median","Old"))</f>
        <v>Old</v>
      </c>
      <c r="G285" s="4" t="s">
        <v>14</v>
      </c>
      <c r="H285" s="4">
        <v>4</v>
      </c>
      <c r="I285" s="4">
        <v>50</v>
      </c>
      <c r="J285" s="4">
        <v>200</v>
      </c>
      <c r="K285" s="4" t="str" cm="1">
        <f t="array" ref="K285">_xlfn.IFS(AND(Table15[[#This Row],[Total Amount]]&gt;=1500),"Critical",AND(Table15[[#This Row],[Total Amount]]&gt;=1000),"High",TRUE,"Normal")</f>
        <v>Normal</v>
      </c>
      <c r="L285" s="4" t="str">
        <f>IF(Table15[[#This Row],[Total Amount]]&gt;=1000,"High",(IF(Table15[[#This Row],[Total Amount]]&gt;=500,"Medium","Low")))</f>
        <v>Low</v>
      </c>
      <c r="M285" s="4" t="str" cm="1">
        <f t="array" ref="M28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85" s="4" cm="1">
        <f t="array" ref="N28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285" s="4">
        <f>Table15[[#This Row],[Total Amount]]-Table15[[#This Row],[Discount Amount]]</f>
        <v>180</v>
      </c>
    </row>
    <row r="286" spans="1:15" x14ac:dyDescent="0.35">
      <c r="A286" s="4">
        <v>285</v>
      </c>
      <c r="B286" s="5">
        <v>45153</v>
      </c>
      <c r="C286" s="4" t="s">
        <v>298</v>
      </c>
      <c r="D286" s="4" t="s">
        <v>13</v>
      </c>
      <c r="E286" s="4">
        <v>31</v>
      </c>
      <c r="F286" s="4" t="str">
        <f>IF(Table15[[#This Row],[Age]]&lt;=19,"Teenager",IF(Table15[[#This Row],[Age]]&lt;=40,"Median","Old"))</f>
        <v>Median</v>
      </c>
      <c r="G286" s="4" t="s">
        <v>16</v>
      </c>
      <c r="H286" s="4">
        <v>1</v>
      </c>
      <c r="I286" s="4">
        <v>25</v>
      </c>
      <c r="J286" s="4">
        <v>25</v>
      </c>
      <c r="K286" s="4" t="str" cm="1">
        <f t="array" ref="K286">_xlfn.IFS(AND(Table15[[#This Row],[Total Amount]]&gt;=1500),"Critical",AND(Table15[[#This Row],[Total Amount]]&gt;=1000),"High",TRUE,"Normal")</f>
        <v>Normal</v>
      </c>
      <c r="L286" s="4" t="str">
        <f>IF(Table15[[#This Row],[Total Amount]]&gt;=1000,"High",(IF(Table15[[#This Row],[Total Amount]]&gt;=500,"Medium","Low")))</f>
        <v>Low</v>
      </c>
      <c r="M286" s="4" t="str" cm="1">
        <f t="array" ref="M28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86" s="4" cm="1">
        <f t="array" ref="N28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3.75</v>
      </c>
      <c r="O286" s="4">
        <f>Table15[[#This Row],[Total Amount]]-Table15[[#This Row],[Discount Amount]]</f>
        <v>21.25</v>
      </c>
    </row>
    <row r="287" spans="1:15" x14ac:dyDescent="0.35">
      <c r="A287" s="4">
        <v>286</v>
      </c>
      <c r="B287" s="5">
        <v>45208</v>
      </c>
      <c r="C287" s="4" t="s">
        <v>299</v>
      </c>
      <c r="D287" s="4" t="s">
        <v>10</v>
      </c>
      <c r="E287" s="4">
        <v>55</v>
      </c>
      <c r="F287" s="4" t="str">
        <f>IF(Table15[[#This Row],[Age]]&lt;=19,"Teenager",IF(Table15[[#This Row],[Age]]&lt;=40,"Median","Old"))</f>
        <v>Old</v>
      </c>
      <c r="G287" s="4" t="s">
        <v>16</v>
      </c>
      <c r="H287" s="4">
        <v>2</v>
      </c>
      <c r="I287" s="4">
        <v>25</v>
      </c>
      <c r="J287" s="4">
        <v>50</v>
      </c>
      <c r="K287" s="4" t="str" cm="1">
        <f t="array" ref="K287">_xlfn.IFS(AND(Table15[[#This Row],[Total Amount]]&gt;=1500),"Critical",AND(Table15[[#This Row],[Total Amount]]&gt;=1000),"High",TRUE,"Normal")</f>
        <v>Normal</v>
      </c>
      <c r="L287" s="4" t="str">
        <f>IF(Table15[[#This Row],[Total Amount]]&gt;=1000,"High",(IF(Table15[[#This Row],[Total Amount]]&gt;=500,"Medium","Low")))</f>
        <v>Low</v>
      </c>
      <c r="M287" s="4" t="str" cm="1">
        <f t="array" ref="M28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87" s="4" cm="1">
        <f t="array" ref="N28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287" s="4">
        <f>Table15[[#This Row],[Total Amount]]-Table15[[#This Row],[Discount Amount]]</f>
        <v>45</v>
      </c>
    </row>
    <row r="288" spans="1:15" x14ac:dyDescent="0.35">
      <c r="A288" s="4">
        <v>287</v>
      </c>
      <c r="B288" s="5">
        <v>44977</v>
      </c>
      <c r="C288" s="4" t="s">
        <v>300</v>
      </c>
      <c r="D288" s="4" t="s">
        <v>10</v>
      </c>
      <c r="E288" s="4">
        <v>54</v>
      </c>
      <c r="F288" s="4" t="str">
        <f>IF(Table15[[#This Row],[Age]]&lt;=19,"Teenager",IF(Table15[[#This Row],[Age]]&lt;=40,"Median","Old"))</f>
        <v>Old</v>
      </c>
      <c r="G288" s="4" t="s">
        <v>14</v>
      </c>
      <c r="H288" s="4">
        <v>4</v>
      </c>
      <c r="I288" s="4">
        <v>25</v>
      </c>
      <c r="J288" s="4">
        <v>100</v>
      </c>
      <c r="K288" s="4" t="str" cm="1">
        <f t="array" ref="K288">_xlfn.IFS(AND(Table15[[#This Row],[Total Amount]]&gt;=1500),"Critical",AND(Table15[[#This Row],[Total Amount]]&gt;=1000),"High",TRUE,"Normal")</f>
        <v>Normal</v>
      </c>
      <c r="L288" s="4" t="str">
        <f>IF(Table15[[#This Row],[Total Amount]]&gt;=1000,"High",(IF(Table15[[#This Row],[Total Amount]]&gt;=500,"Medium","Low")))</f>
        <v>Low</v>
      </c>
      <c r="M288" s="4" t="str" cm="1">
        <f t="array" ref="M28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88" s="4" cm="1">
        <f t="array" ref="N28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288" s="4">
        <f>Table15[[#This Row],[Total Amount]]-Table15[[#This Row],[Discount Amount]]</f>
        <v>90</v>
      </c>
    </row>
    <row r="289" spans="1:15" x14ac:dyDescent="0.35">
      <c r="A289" s="4">
        <v>288</v>
      </c>
      <c r="B289" s="5">
        <v>44952</v>
      </c>
      <c r="C289" s="4" t="s">
        <v>301</v>
      </c>
      <c r="D289" s="4" t="s">
        <v>10</v>
      </c>
      <c r="E289" s="4">
        <v>28</v>
      </c>
      <c r="F289" s="4" t="str">
        <f>IF(Table15[[#This Row],[Age]]&lt;=19,"Teenager",IF(Table15[[#This Row],[Age]]&lt;=40,"Median","Old"))</f>
        <v>Median</v>
      </c>
      <c r="G289" s="4" t="s">
        <v>14</v>
      </c>
      <c r="H289" s="4">
        <v>4</v>
      </c>
      <c r="I289" s="4">
        <v>30</v>
      </c>
      <c r="J289" s="4">
        <v>120</v>
      </c>
      <c r="K289" s="4" t="str" cm="1">
        <f t="array" ref="K289">_xlfn.IFS(AND(Table15[[#This Row],[Total Amount]]&gt;=1500),"Critical",AND(Table15[[#This Row],[Total Amount]]&gt;=1000),"High",TRUE,"Normal")</f>
        <v>Normal</v>
      </c>
      <c r="L289" s="4" t="str">
        <f>IF(Table15[[#This Row],[Total Amount]]&gt;=1000,"High",(IF(Table15[[#This Row],[Total Amount]]&gt;=500,"Medium","Low")))</f>
        <v>Low</v>
      </c>
      <c r="M289" s="4" t="str" cm="1">
        <f t="array" ref="M28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89" s="4" cm="1">
        <f t="array" ref="N28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289" s="4">
        <f>Table15[[#This Row],[Total Amount]]-Table15[[#This Row],[Discount Amount]]</f>
        <v>102</v>
      </c>
    </row>
    <row r="290" spans="1:15" x14ac:dyDescent="0.35">
      <c r="A290" s="4">
        <v>289</v>
      </c>
      <c r="B290" s="5">
        <v>45260</v>
      </c>
      <c r="C290" s="4" t="s">
        <v>302</v>
      </c>
      <c r="D290" s="4" t="s">
        <v>10</v>
      </c>
      <c r="E290" s="4">
        <v>53</v>
      </c>
      <c r="F290" s="4" t="str">
        <f>IF(Table15[[#This Row],[Age]]&lt;=19,"Teenager",IF(Table15[[#This Row],[Age]]&lt;=40,"Median","Old"))</f>
        <v>Old</v>
      </c>
      <c r="G290" s="4" t="s">
        <v>16</v>
      </c>
      <c r="H290" s="4">
        <v>2</v>
      </c>
      <c r="I290" s="4">
        <v>30</v>
      </c>
      <c r="J290" s="4">
        <v>60</v>
      </c>
      <c r="K290" s="4" t="str" cm="1">
        <f t="array" ref="K290">_xlfn.IFS(AND(Table15[[#This Row],[Total Amount]]&gt;=1500),"Critical",AND(Table15[[#This Row],[Total Amount]]&gt;=1000),"High",TRUE,"Normal")</f>
        <v>Normal</v>
      </c>
      <c r="L290" s="4" t="str">
        <f>IF(Table15[[#This Row],[Total Amount]]&gt;=1000,"High",(IF(Table15[[#This Row],[Total Amount]]&gt;=500,"Medium","Low")))</f>
        <v>Low</v>
      </c>
      <c r="M290" s="4" t="str" cm="1">
        <f t="array" ref="M29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90" s="4" cm="1">
        <f t="array" ref="N29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290" s="4">
        <f>Table15[[#This Row],[Total Amount]]-Table15[[#This Row],[Discount Amount]]</f>
        <v>54</v>
      </c>
    </row>
    <row r="291" spans="1:15" x14ac:dyDescent="0.35">
      <c r="A291" s="4">
        <v>290</v>
      </c>
      <c r="B291" s="5">
        <v>45203</v>
      </c>
      <c r="C291" s="4" t="s">
        <v>303</v>
      </c>
      <c r="D291" s="4" t="s">
        <v>13</v>
      </c>
      <c r="E291" s="4">
        <v>30</v>
      </c>
      <c r="F291" s="4" t="str">
        <f>IF(Table15[[#This Row],[Age]]&lt;=19,"Teenager",IF(Table15[[#This Row],[Age]]&lt;=40,"Median","Old"))</f>
        <v>Median</v>
      </c>
      <c r="G291" s="4" t="s">
        <v>11</v>
      </c>
      <c r="H291" s="4">
        <v>2</v>
      </c>
      <c r="I291" s="4">
        <v>300</v>
      </c>
      <c r="J291" s="4">
        <v>600</v>
      </c>
      <c r="K291" s="4" t="str" cm="1">
        <f t="array" ref="K291">_xlfn.IFS(AND(Table15[[#This Row],[Total Amount]]&gt;=1500),"Critical",AND(Table15[[#This Row],[Total Amount]]&gt;=1000),"High",TRUE,"Normal")</f>
        <v>Normal</v>
      </c>
      <c r="L291" s="4" t="str">
        <f>IF(Table15[[#This Row],[Total Amount]]&gt;=1000,"High",(IF(Table15[[#This Row],[Total Amount]]&gt;=500,"Medium","Low")))</f>
        <v>Medium</v>
      </c>
      <c r="M291" s="4" t="str" cm="1">
        <f t="array" ref="M29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91" s="4" cm="1">
        <f t="array" ref="N29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291" s="4">
        <f>Table15[[#This Row],[Total Amount]]-Table15[[#This Row],[Discount Amount]]</f>
        <v>510</v>
      </c>
    </row>
    <row r="292" spans="1:15" x14ac:dyDescent="0.35">
      <c r="A292" s="4">
        <v>291</v>
      </c>
      <c r="B292" s="5">
        <v>44934</v>
      </c>
      <c r="C292" s="4" t="s">
        <v>304</v>
      </c>
      <c r="D292" s="4" t="s">
        <v>10</v>
      </c>
      <c r="E292" s="4">
        <v>60</v>
      </c>
      <c r="F292" s="4" t="str">
        <f>IF(Table15[[#This Row],[Age]]&lt;=19,"Teenager",IF(Table15[[#This Row],[Age]]&lt;=40,"Median","Old"))</f>
        <v>Old</v>
      </c>
      <c r="G292" s="4" t="s">
        <v>14</v>
      </c>
      <c r="H292" s="4">
        <v>2</v>
      </c>
      <c r="I292" s="4">
        <v>300</v>
      </c>
      <c r="J292" s="4">
        <v>600</v>
      </c>
      <c r="K292" s="4" t="str" cm="1">
        <f t="array" ref="K292">_xlfn.IFS(AND(Table15[[#This Row],[Total Amount]]&gt;=1500),"Critical",AND(Table15[[#This Row],[Total Amount]]&gt;=1000),"High",TRUE,"Normal")</f>
        <v>Normal</v>
      </c>
      <c r="L292" s="4" t="str">
        <f>IF(Table15[[#This Row],[Total Amount]]&gt;=1000,"High",(IF(Table15[[#This Row],[Total Amount]]&gt;=500,"Medium","Low")))</f>
        <v>Medium</v>
      </c>
      <c r="M292" s="4" t="str" cm="1">
        <f t="array" ref="M29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92" s="4" cm="1">
        <f t="array" ref="N29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292" s="4">
        <f>Table15[[#This Row],[Total Amount]]-Table15[[#This Row],[Discount Amount]]</f>
        <v>540</v>
      </c>
    </row>
    <row r="293" spans="1:15" x14ac:dyDescent="0.35">
      <c r="A293" s="4">
        <v>292</v>
      </c>
      <c r="B293" s="5">
        <v>44974</v>
      </c>
      <c r="C293" s="4" t="s">
        <v>305</v>
      </c>
      <c r="D293" s="4" t="s">
        <v>10</v>
      </c>
      <c r="E293" s="4">
        <v>20</v>
      </c>
      <c r="F293" s="4" t="str">
        <f>IF(Table15[[#This Row],[Age]]&lt;=19,"Teenager",IF(Table15[[#This Row],[Age]]&lt;=40,"Median","Old"))</f>
        <v>Median</v>
      </c>
      <c r="G293" s="4" t="s">
        <v>11</v>
      </c>
      <c r="H293" s="4">
        <v>4</v>
      </c>
      <c r="I293" s="4">
        <v>300</v>
      </c>
      <c r="J293" s="4">
        <v>1200</v>
      </c>
      <c r="K293" s="4" t="str" cm="1">
        <f t="array" ref="K293">_xlfn.IFS(AND(Table15[[#This Row],[Total Amount]]&gt;=1500),"Critical",AND(Table15[[#This Row],[Total Amount]]&gt;=1000),"High",TRUE,"Normal")</f>
        <v>High</v>
      </c>
      <c r="L293" s="4" t="str">
        <f>IF(Table15[[#This Row],[Total Amount]]&gt;=1000,"High",(IF(Table15[[#This Row],[Total Amount]]&gt;=500,"Medium","Low")))</f>
        <v>High</v>
      </c>
      <c r="M293" s="4" t="str" cm="1">
        <f t="array" ref="M29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93" s="4" cm="1">
        <f t="array" ref="N29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93" s="4">
        <f>Table15[[#This Row],[Total Amount]]-Table15[[#This Row],[Discount Amount]]</f>
        <v>1200</v>
      </c>
    </row>
    <row r="294" spans="1:15" x14ac:dyDescent="0.35">
      <c r="A294" s="4">
        <v>293</v>
      </c>
      <c r="B294" s="5">
        <v>45048</v>
      </c>
      <c r="C294" s="4" t="s">
        <v>306</v>
      </c>
      <c r="D294" s="4" t="s">
        <v>10</v>
      </c>
      <c r="E294" s="4">
        <v>50</v>
      </c>
      <c r="F294" s="4" t="str">
        <f>IF(Table15[[#This Row],[Age]]&lt;=19,"Teenager",IF(Table15[[#This Row],[Age]]&lt;=40,"Median","Old"))</f>
        <v>Old</v>
      </c>
      <c r="G294" s="4" t="s">
        <v>16</v>
      </c>
      <c r="H294" s="4">
        <v>3</v>
      </c>
      <c r="I294" s="4">
        <v>30</v>
      </c>
      <c r="J294" s="4">
        <v>90</v>
      </c>
      <c r="K294" s="4" t="str" cm="1">
        <f t="array" ref="K294">_xlfn.IFS(AND(Table15[[#This Row],[Total Amount]]&gt;=1500),"Critical",AND(Table15[[#This Row],[Total Amount]]&gt;=1000),"High",TRUE,"Normal")</f>
        <v>Normal</v>
      </c>
      <c r="L294" s="4" t="str">
        <f>IF(Table15[[#This Row],[Total Amount]]&gt;=1000,"High",(IF(Table15[[#This Row],[Total Amount]]&gt;=500,"Medium","Low")))</f>
        <v>Low</v>
      </c>
      <c r="M294" s="4" t="str" cm="1">
        <f t="array" ref="M29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94" s="4" cm="1">
        <f t="array" ref="N29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294" s="4">
        <f>Table15[[#This Row],[Total Amount]]-Table15[[#This Row],[Discount Amount]]</f>
        <v>81</v>
      </c>
    </row>
    <row r="295" spans="1:15" x14ac:dyDescent="0.35">
      <c r="A295" s="4">
        <v>294</v>
      </c>
      <c r="B295" s="5">
        <v>45012</v>
      </c>
      <c r="C295" s="4" t="s">
        <v>307</v>
      </c>
      <c r="D295" s="4" t="s">
        <v>13</v>
      </c>
      <c r="E295" s="4">
        <v>23</v>
      </c>
      <c r="F295" s="4" t="str">
        <f>IF(Table15[[#This Row],[Age]]&lt;=19,"Teenager",IF(Table15[[#This Row],[Age]]&lt;=40,"Median","Old"))</f>
        <v>Median</v>
      </c>
      <c r="G295" s="4" t="s">
        <v>14</v>
      </c>
      <c r="H295" s="4">
        <v>3</v>
      </c>
      <c r="I295" s="4">
        <v>30</v>
      </c>
      <c r="J295" s="4">
        <v>90</v>
      </c>
      <c r="K295" s="4" t="str" cm="1">
        <f t="array" ref="K295">_xlfn.IFS(AND(Table15[[#This Row],[Total Amount]]&gt;=1500),"Critical",AND(Table15[[#This Row],[Total Amount]]&gt;=1000),"High",TRUE,"Normal")</f>
        <v>Normal</v>
      </c>
      <c r="L295" s="4" t="str">
        <f>IF(Table15[[#This Row],[Total Amount]]&gt;=1000,"High",(IF(Table15[[#This Row],[Total Amount]]&gt;=500,"Medium","Low")))</f>
        <v>Low</v>
      </c>
      <c r="M295" s="4" t="str" cm="1">
        <f t="array" ref="M29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95" s="4" cm="1">
        <f t="array" ref="N29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95" s="4">
        <f>Table15[[#This Row],[Total Amount]]-Table15[[#This Row],[Discount Amount]]</f>
        <v>90</v>
      </c>
    </row>
    <row r="296" spans="1:15" x14ac:dyDescent="0.35">
      <c r="A296" s="4">
        <v>295</v>
      </c>
      <c r="B296" s="5">
        <v>45135</v>
      </c>
      <c r="C296" s="4" t="s">
        <v>308</v>
      </c>
      <c r="D296" s="4" t="s">
        <v>13</v>
      </c>
      <c r="E296" s="4">
        <v>27</v>
      </c>
      <c r="F296" s="4" t="str">
        <f>IF(Table15[[#This Row],[Age]]&lt;=19,"Teenager",IF(Table15[[#This Row],[Age]]&lt;=40,"Median","Old"))</f>
        <v>Median</v>
      </c>
      <c r="G296" s="4" t="s">
        <v>11</v>
      </c>
      <c r="H296" s="4">
        <v>3</v>
      </c>
      <c r="I296" s="4">
        <v>300</v>
      </c>
      <c r="J296" s="4">
        <v>900</v>
      </c>
      <c r="K296" s="4" t="str" cm="1">
        <f t="array" ref="K296">_xlfn.IFS(AND(Table15[[#This Row],[Total Amount]]&gt;=1500),"Critical",AND(Table15[[#This Row],[Total Amount]]&gt;=1000),"High",TRUE,"Normal")</f>
        <v>Normal</v>
      </c>
      <c r="L296" s="4" t="str">
        <f>IF(Table15[[#This Row],[Total Amount]]&gt;=1000,"High",(IF(Table15[[#This Row],[Total Amount]]&gt;=500,"Medium","Low")))</f>
        <v>Medium</v>
      </c>
      <c r="M296" s="4" t="str" cm="1">
        <f t="array" ref="M29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96" s="4" cm="1">
        <f t="array" ref="N29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135</v>
      </c>
      <c r="O296" s="4">
        <f>Table15[[#This Row],[Total Amount]]-Table15[[#This Row],[Discount Amount]]</f>
        <v>765</v>
      </c>
    </row>
    <row r="297" spans="1:15" x14ac:dyDescent="0.35">
      <c r="A297" s="4">
        <v>296</v>
      </c>
      <c r="B297" s="5">
        <v>45175</v>
      </c>
      <c r="C297" s="4" t="s">
        <v>309</v>
      </c>
      <c r="D297" s="4" t="s">
        <v>13</v>
      </c>
      <c r="E297" s="4">
        <v>22</v>
      </c>
      <c r="F297" s="4" t="str">
        <f>IF(Table15[[#This Row],[Age]]&lt;=19,"Teenager",IF(Table15[[#This Row],[Age]]&lt;=40,"Median","Old"))</f>
        <v>Median</v>
      </c>
      <c r="G297" s="4" t="s">
        <v>14</v>
      </c>
      <c r="H297" s="4">
        <v>4</v>
      </c>
      <c r="I297" s="4">
        <v>300</v>
      </c>
      <c r="J297" s="4">
        <v>1200</v>
      </c>
      <c r="K297" s="4" t="str" cm="1">
        <f t="array" ref="K297">_xlfn.IFS(AND(Table15[[#This Row],[Total Amount]]&gt;=1500),"Critical",AND(Table15[[#This Row],[Total Amount]]&gt;=1000),"High",TRUE,"Normal")</f>
        <v>High</v>
      </c>
      <c r="L297" s="4" t="str">
        <f>IF(Table15[[#This Row],[Total Amount]]&gt;=1000,"High",(IF(Table15[[#This Row],[Total Amount]]&gt;=500,"Medium","Low")))</f>
        <v>High</v>
      </c>
      <c r="M297" s="4" t="str" cm="1">
        <f t="array" ref="M29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97" s="4" cm="1">
        <f t="array" ref="N29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97" s="4">
        <f>Table15[[#This Row],[Total Amount]]-Table15[[#This Row],[Discount Amount]]</f>
        <v>1200</v>
      </c>
    </row>
    <row r="298" spans="1:15" x14ac:dyDescent="0.35">
      <c r="A298" s="4">
        <v>297</v>
      </c>
      <c r="B298" s="5">
        <v>45173</v>
      </c>
      <c r="C298" s="4" t="s">
        <v>310</v>
      </c>
      <c r="D298" s="4" t="s">
        <v>13</v>
      </c>
      <c r="E298" s="4">
        <v>40</v>
      </c>
      <c r="F298" s="4" t="str">
        <f>IF(Table15[[#This Row],[Age]]&lt;=19,"Teenager",IF(Table15[[#This Row],[Age]]&lt;=40,"Median","Old"))</f>
        <v>Median</v>
      </c>
      <c r="G298" s="4" t="s">
        <v>16</v>
      </c>
      <c r="H298" s="4">
        <v>2</v>
      </c>
      <c r="I298" s="4">
        <v>500</v>
      </c>
      <c r="J298" s="4">
        <v>1000</v>
      </c>
      <c r="K298" s="4" t="str" cm="1">
        <f t="array" ref="K298">_xlfn.IFS(AND(Table15[[#This Row],[Total Amount]]&gt;=1500),"Critical",AND(Table15[[#This Row],[Total Amount]]&gt;=1000),"High",TRUE,"Normal")</f>
        <v>High</v>
      </c>
      <c r="L298" s="4" t="str">
        <f>IF(Table15[[#This Row],[Total Amount]]&gt;=1000,"High",(IF(Table15[[#This Row],[Total Amount]]&gt;=500,"Medium","Low")))</f>
        <v>High</v>
      </c>
      <c r="M298" s="4" t="str" cm="1">
        <f t="array" ref="M29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98" s="4" cm="1">
        <f t="array" ref="N29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298" s="4">
        <f>Table15[[#This Row],[Total Amount]]-Table15[[#This Row],[Discount Amount]]</f>
        <v>800</v>
      </c>
    </row>
    <row r="299" spans="1:15" x14ac:dyDescent="0.35">
      <c r="A299" s="4">
        <v>298</v>
      </c>
      <c r="B299" s="5">
        <v>45036</v>
      </c>
      <c r="C299" s="4" t="s">
        <v>311</v>
      </c>
      <c r="D299" s="4" t="s">
        <v>10</v>
      </c>
      <c r="E299" s="4">
        <v>27</v>
      </c>
      <c r="F299" s="4" t="str">
        <f>IF(Table15[[#This Row],[Age]]&lt;=19,"Teenager",IF(Table15[[#This Row],[Age]]&lt;=40,"Median","Old"))</f>
        <v>Median</v>
      </c>
      <c r="G299" s="4" t="s">
        <v>11</v>
      </c>
      <c r="H299" s="4">
        <v>4</v>
      </c>
      <c r="I299" s="4">
        <v>300</v>
      </c>
      <c r="J299" s="4">
        <v>1200</v>
      </c>
      <c r="K299" s="4" t="str" cm="1">
        <f t="array" ref="K299">_xlfn.IFS(AND(Table15[[#This Row],[Total Amount]]&gt;=1500),"Critical",AND(Table15[[#This Row],[Total Amount]]&gt;=1000),"High",TRUE,"Normal")</f>
        <v>High</v>
      </c>
      <c r="L299" s="4" t="str">
        <f>IF(Table15[[#This Row],[Total Amount]]&gt;=1000,"High",(IF(Table15[[#This Row],[Total Amount]]&gt;=500,"Medium","Low")))</f>
        <v>High</v>
      </c>
      <c r="M299" s="4" t="str" cm="1">
        <f t="array" ref="M29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99" s="4" cm="1">
        <f t="array" ref="N29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299" s="4">
        <f>Table15[[#This Row],[Total Amount]]-Table15[[#This Row],[Discount Amount]]</f>
        <v>1020</v>
      </c>
    </row>
    <row r="300" spans="1:15" x14ac:dyDescent="0.35">
      <c r="A300" s="4">
        <v>299</v>
      </c>
      <c r="B300" s="5">
        <v>45132</v>
      </c>
      <c r="C300" s="4" t="s">
        <v>312</v>
      </c>
      <c r="D300" s="4" t="s">
        <v>10</v>
      </c>
      <c r="E300" s="4">
        <v>61</v>
      </c>
      <c r="F300" s="4" t="str">
        <f>IF(Table15[[#This Row],[Age]]&lt;=19,"Teenager",IF(Table15[[#This Row],[Age]]&lt;=40,"Median","Old"))</f>
        <v>Old</v>
      </c>
      <c r="G300" s="4" t="s">
        <v>16</v>
      </c>
      <c r="H300" s="4">
        <v>2</v>
      </c>
      <c r="I300" s="4">
        <v>500</v>
      </c>
      <c r="J300" s="4">
        <v>1000</v>
      </c>
      <c r="K300" s="4" t="str" cm="1">
        <f t="array" ref="K300">_xlfn.IFS(AND(Table15[[#This Row],[Total Amount]]&gt;=1500),"Critical",AND(Table15[[#This Row],[Total Amount]]&gt;=1000),"High",TRUE,"Normal")</f>
        <v>High</v>
      </c>
      <c r="L300" s="4" t="str">
        <f>IF(Table15[[#This Row],[Total Amount]]&gt;=1000,"High",(IF(Table15[[#This Row],[Total Amount]]&gt;=500,"Medium","Low")))</f>
        <v>High</v>
      </c>
      <c r="M300" s="4" t="str" cm="1">
        <f t="array" ref="M30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00" s="4" cm="1">
        <f t="array" ref="N30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300" s="4">
        <f>Table15[[#This Row],[Total Amount]]-Table15[[#This Row],[Discount Amount]]</f>
        <v>900</v>
      </c>
    </row>
    <row r="301" spans="1:15" x14ac:dyDescent="0.35">
      <c r="A301" s="4">
        <v>300</v>
      </c>
      <c r="B301" s="5">
        <v>44957</v>
      </c>
      <c r="C301" s="4" t="s">
        <v>313</v>
      </c>
      <c r="D301" s="4" t="s">
        <v>13</v>
      </c>
      <c r="E301" s="4">
        <v>19</v>
      </c>
      <c r="F301" s="4" t="str">
        <f>IF(Table15[[#This Row],[Age]]&lt;=19,"Teenager",IF(Table15[[#This Row],[Age]]&lt;=40,"Median","Old"))</f>
        <v>Teenager</v>
      </c>
      <c r="G301" s="4" t="s">
        <v>16</v>
      </c>
      <c r="H301" s="4">
        <v>4</v>
      </c>
      <c r="I301" s="4">
        <v>50</v>
      </c>
      <c r="J301" s="4">
        <v>200</v>
      </c>
      <c r="K301" s="4" t="str" cm="1">
        <f t="array" ref="K301">_xlfn.IFS(AND(Table15[[#This Row],[Total Amount]]&gt;=1500),"Critical",AND(Table15[[#This Row],[Total Amount]]&gt;=1000),"High",TRUE,"Normal")</f>
        <v>Normal</v>
      </c>
      <c r="L301" s="4" t="str">
        <f>IF(Table15[[#This Row],[Total Amount]]&gt;=1000,"High",(IF(Table15[[#This Row],[Total Amount]]&gt;=500,"Medium","Low")))</f>
        <v>Low</v>
      </c>
      <c r="M301" s="4" t="str" cm="1">
        <f t="array" ref="M30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01" s="4" cm="1">
        <f t="array" ref="N30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01" s="4">
        <f>Table15[[#This Row],[Total Amount]]-Table15[[#This Row],[Discount Amount]]</f>
        <v>200</v>
      </c>
    </row>
    <row r="302" spans="1:15" x14ac:dyDescent="0.35">
      <c r="A302" s="4">
        <v>301</v>
      </c>
      <c r="B302" s="5">
        <v>45011</v>
      </c>
      <c r="C302" s="4" t="s">
        <v>314</v>
      </c>
      <c r="D302" s="4" t="s">
        <v>10</v>
      </c>
      <c r="E302" s="4">
        <v>30</v>
      </c>
      <c r="F302" s="4" t="str">
        <f>IF(Table15[[#This Row],[Age]]&lt;=19,"Teenager",IF(Table15[[#This Row],[Age]]&lt;=40,"Median","Old"))</f>
        <v>Median</v>
      </c>
      <c r="G302" s="4" t="s">
        <v>14</v>
      </c>
      <c r="H302" s="4">
        <v>4</v>
      </c>
      <c r="I302" s="4">
        <v>30</v>
      </c>
      <c r="J302" s="4">
        <v>120</v>
      </c>
      <c r="K302" s="4" t="str" cm="1">
        <f t="array" ref="K302">_xlfn.IFS(AND(Table15[[#This Row],[Total Amount]]&gt;=1500),"Critical",AND(Table15[[#This Row],[Total Amount]]&gt;=1000),"High",TRUE,"Normal")</f>
        <v>Normal</v>
      </c>
      <c r="L302" s="4" t="str">
        <f>IF(Table15[[#This Row],[Total Amount]]&gt;=1000,"High",(IF(Table15[[#This Row],[Total Amount]]&gt;=500,"Medium","Low")))</f>
        <v>Low</v>
      </c>
      <c r="M302" s="4" t="str" cm="1">
        <f t="array" ref="M30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02" s="4" cm="1">
        <f t="array" ref="N30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302" s="4">
        <f>Table15[[#This Row],[Total Amount]]-Table15[[#This Row],[Discount Amount]]</f>
        <v>102</v>
      </c>
    </row>
    <row r="303" spans="1:15" x14ac:dyDescent="0.35">
      <c r="A303" s="4">
        <v>302</v>
      </c>
      <c r="B303" s="5">
        <v>45121</v>
      </c>
      <c r="C303" s="4" t="s">
        <v>315</v>
      </c>
      <c r="D303" s="4" t="s">
        <v>10</v>
      </c>
      <c r="E303" s="4">
        <v>57</v>
      </c>
      <c r="F303" s="4" t="str">
        <f>IF(Table15[[#This Row],[Age]]&lt;=19,"Teenager",IF(Table15[[#This Row],[Age]]&lt;=40,"Median","Old"))</f>
        <v>Old</v>
      </c>
      <c r="G303" s="4" t="s">
        <v>11</v>
      </c>
      <c r="H303" s="4">
        <v>2</v>
      </c>
      <c r="I303" s="4">
        <v>300</v>
      </c>
      <c r="J303" s="4">
        <v>600</v>
      </c>
      <c r="K303" s="4" t="str" cm="1">
        <f t="array" ref="K303">_xlfn.IFS(AND(Table15[[#This Row],[Total Amount]]&gt;=1500),"Critical",AND(Table15[[#This Row],[Total Amount]]&gt;=1000),"High",TRUE,"Normal")</f>
        <v>Normal</v>
      </c>
      <c r="L303" s="4" t="str">
        <f>IF(Table15[[#This Row],[Total Amount]]&gt;=1000,"High",(IF(Table15[[#This Row],[Total Amount]]&gt;=500,"Medium","Low")))</f>
        <v>Medium</v>
      </c>
      <c r="M303" s="4" t="str" cm="1">
        <f t="array" ref="M30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03" s="4" cm="1">
        <f t="array" ref="N30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303" s="4">
        <f>Table15[[#This Row],[Total Amount]]-Table15[[#This Row],[Discount Amount]]</f>
        <v>540</v>
      </c>
    </row>
    <row r="304" spans="1:15" x14ac:dyDescent="0.35">
      <c r="A304" s="4">
        <v>303</v>
      </c>
      <c r="B304" s="5">
        <v>44928</v>
      </c>
      <c r="C304" s="4" t="s">
        <v>316</v>
      </c>
      <c r="D304" s="4" t="s">
        <v>10</v>
      </c>
      <c r="E304" s="4">
        <v>19</v>
      </c>
      <c r="F304" s="4" t="str">
        <f>IF(Table15[[#This Row],[Age]]&lt;=19,"Teenager",IF(Table15[[#This Row],[Age]]&lt;=40,"Median","Old"))</f>
        <v>Teenager</v>
      </c>
      <c r="G304" s="4" t="s">
        <v>16</v>
      </c>
      <c r="H304" s="4">
        <v>3</v>
      </c>
      <c r="I304" s="4">
        <v>30</v>
      </c>
      <c r="J304" s="4">
        <v>90</v>
      </c>
      <c r="K304" s="4" t="str" cm="1">
        <f t="array" ref="K304">_xlfn.IFS(AND(Table15[[#This Row],[Total Amount]]&gt;=1500),"Critical",AND(Table15[[#This Row],[Total Amount]]&gt;=1000),"High",TRUE,"Normal")</f>
        <v>Normal</v>
      </c>
      <c r="L304" s="4" t="str">
        <f>IF(Table15[[#This Row],[Total Amount]]&gt;=1000,"High",(IF(Table15[[#This Row],[Total Amount]]&gt;=500,"Medium","Low")))</f>
        <v>Low</v>
      </c>
      <c r="M304" s="4" t="str" cm="1">
        <f t="array" ref="M30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04" s="4" cm="1">
        <f t="array" ref="N30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04" s="4">
        <f>Table15[[#This Row],[Total Amount]]-Table15[[#This Row],[Discount Amount]]</f>
        <v>90</v>
      </c>
    </row>
    <row r="305" spans="1:15" x14ac:dyDescent="0.35">
      <c r="A305" s="4">
        <v>304</v>
      </c>
      <c r="B305" s="5">
        <v>45126</v>
      </c>
      <c r="C305" s="4" t="s">
        <v>317</v>
      </c>
      <c r="D305" s="4" t="s">
        <v>13</v>
      </c>
      <c r="E305" s="4">
        <v>37</v>
      </c>
      <c r="F305" s="4" t="str">
        <f>IF(Table15[[#This Row],[Age]]&lt;=19,"Teenager",IF(Table15[[#This Row],[Age]]&lt;=40,"Median","Old"))</f>
        <v>Median</v>
      </c>
      <c r="G305" s="4" t="s">
        <v>16</v>
      </c>
      <c r="H305" s="4">
        <v>2</v>
      </c>
      <c r="I305" s="4">
        <v>30</v>
      </c>
      <c r="J305" s="4">
        <v>60</v>
      </c>
      <c r="K305" s="4" t="str" cm="1">
        <f t="array" ref="K305">_xlfn.IFS(AND(Table15[[#This Row],[Total Amount]]&gt;=1500),"Critical",AND(Table15[[#This Row],[Total Amount]]&gt;=1000),"High",TRUE,"Normal")</f>
        <v>Normal</v>
      </c>
      <c r="L305" s="4" t="str">
        <f>IF(Table15[[#This Row],[Total Amount]]&gt;=1000,"High",(IF(Table15[[#This Row],[Total Amount]]&gt;=500,"Medium","Low")))</f>
        <v>Low</v>
      </c>
      <c r="M305" s="4" t="str" cm="1">
        <f t="array" ref="M30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05" s="4" cm="1">
        <f t="array" ref="N30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305" s="4">
        <f>Table15[[#This Row],[Total Amount]]-Table15[[#This Row],[Discount Amount]]</f>
        <v>48</v>
      </c>
    </row>
    <row r="306" spans="1:15" x14ac:dyDescent="0.35">
      <c r="A306" s="4">
        <v>305</v>
      </c>
      <c r="B306" s="5">
        <v>45062</v>
      </c>
      <c r="C306" s="4" t="s">
        <v>318</v>
      </c>
      <c r="D306" s="4" t="s">
        <v>13</v>
      </c>
      <c r="E306" s="4">
        <v>18</v>
      </c>
      <c r="F306" s="4" t="str">
        <f>IF(Table15[[#This Row],[Age]]&lt;=19,"Teenager",IF(Table15[[#This Row],[Age]]&lt;=40,"Median","Old"))</f>
        <v>Teenager</v>
      </c>
      <c r="G306" s="4" t="s">
        <v>11</v>
      </c>
      <c r="H306" s="4">
        <v>1</v>
      </c>
      <c r="I306" s="4">
        <v>30</v>
      </c>
      <c r="J306" s="4">
        <v>30</v>
      </c>
      <c r="K306" s="4" t="str" cm="1">
        <f t="array" ref="K306">_xlfn.IFS(AND(Table15[[#This Row],[Total Amount]]&gt;=1500),"Critical",AND(Table15[[#This Row],[Total Amount]]&gt;=1000),"High",TRUE,"Normal")</f>
        <v>Normal</v>
      </c>
      <c r="L306" s="4" t="str">
        <f>IF(Table15[[#This Row],[Total Amount]]&gt;=1000,"High",(IF(Table15[[#This Row],[Total Amount]]&gt;=500,"Medium","Low")))</f>
        <v>Low</v>
      </c>
      <c r="M306" s="4" t="str" cm="1">
        <f t="array" ref="M30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06" s="4" cm="1">
        <f t="array" ref="N30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06" s="4">
        <f>Table15[[#This Row],[Total Amount]]-Table15[[#This Row],[Discount Amount]]</f>
        <v>30</v>
      </c>
    </row>
    <row r="307" spans="1:15" x14ac:dyDescent="0.35">
      <c r="A307" s="4">
        <v>306</v>
      </c>
      <c r="B307" s="5">
        <v>45159</v>
      </c>
      <c r="C307" s="4" t="s">
        <v>319</v>
      </c>
      <c r="D307" s="4" t="s">
        <v>10</v>
      </c>
      <c r="E307" s="4">
        <v>54</v>
      </c>
      <c r="F307" s="4" t="str">
        <f>IF(Table15[[#This Row],[Age]]&lt;=19,"Teenager",IF(Table15[[#This Row],[Age]]&lt;=40,"Median","Old"))</f>
        <v>Old</v>
      </c>
      <c r="G307" s="4" t="s">
        <v>16</v>
      </c>
      <c r="H307" s="4">
        <v>1</v>
      </c>
      <c r="I307" s="4">
        <v>50</v>
      </c>
      <c r="J307" s="4">
        <v>50</v>
      </c>
      <c r="K307" s="4" t="str" cm="1">
        <f t="array" ref="K307">_xlfn.IFS(AND(Table15[[#This Row],[Total Amount]]&gt;=1500),"Critical",AND(Table15[[#This Row],[Total Amount]]&gt;=1000),"High",TRUE,"Normal")</f>
        <v>Normal</v>
      </c>
      <c r="L307" s="4" t="str">
        <f>IF(Table15[[#This Row],[Total Amount]]&gt;=1000,"High",(IF(Table15[[#This Row],[Total Amount]]&gt;=500,"Medium","Low")))</f>
        <v>Low</v>
      </c>
      <c r="M307" s="4" t="str" cm="1">
        <f t="array" ref="M30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07" s="4" cm="1">
        <f t="array" ref="N30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307" s="4">
        <f>Table15[[#This Row],[Total Amount]]-Table15[[#This Row],[Discount Amount]]</f>
        <v>45</v>
      </c>
    </row>
    <row r="308" spans="1:15" x14ac:dyDescent="0.35">
      <c r="A308" s="4">
        <v>307</v>
      </c>
      <c r="B308" s="5">
        <v>45073</v>
      </c>
      <c r="C308" s="4" t="s">
        <v>320</v>
      </c>
      <c r="D308" s="4" t="s">
        <v>13</v>
      </c>
      <c r="E308" s="4">
        <v>26</v>
      </c>
      <c r="F308" s="4" t="str">
        <f>IF(Table15[[#This Row],[Age]]&lt;=19,"Teenager",IF(Table15[[#This Row],[Age]]&lt;=40,"Median","Old"))</f>
        <v>Median</v>
      </c>
      <c r="G308" s="4" t="s">
        <v>16</v>
      </c>
      <c r="H308" s="4">
        <v>2</v>
      </c>
      <c r="I308" s="4">
        <v>25</v>
      </c>
      <c r="J308" s="4">
        <v>50</v>
      </c>
      <c r="K308" s="4" t="str" cm="1">
        <f t="array" ref="K308">_xlfn.IFS(AND(Table15[[#This Row],[Total Amount]]&gt;=1500),"Critical",AND(Table15[[#This Row],[Total Amount]]&gt;=1000),"High",TRUE,"Normal")</f>
        <v>Normal</v>
      </c>
      <c r="L308" s="4" t="str">
        <f>IF(Table15[[#This Row],[Total Amount]]&gt;=1000,"High",(IF(Table15[[#This Row],[Total Amount]]&gt;=500,"Medium","Low")))</f>
        <v>Low</v>
      </c>
      <c r="M308" s="4" t="str" cm="1">
        <f t="array" ref="M30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08" s="4" cm="1">
        <f t="array" ref="N30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308" s="4">
        <f>Table15[[#This Row],[Total Amount]]-Table15[[#This Row],[Discount Amount]]</f>
        <v>42.5</v>
      </c>
    </row>
    <row r="309" spans="1:15" x14ac:dyDescent="0.35">
      <c r="A309" s="4">
        <v>308</v>
      </c>
      <c r="B309" s="5">
        <v>45143</v>
      </c>
      <c r="C309" s="4" t="s">
        <v>321</v>
      </c>
      <c r="D309" s="4" t="s">
        <v>13</v>
      </c>
      <c r="E309" s="4">
        <v>34</v>
      </c>
      <c r="F309" s="4" t="str">
        <f>IF(Table15[[#This Row],[Age]]&lt;=19,"Teenager",IF(Table15[[#This Row],[Age]]&lt;=40,"Median","Old"))</f>
        <v>Median</v>
      </c>
      <c r="G309" s="4" t="s">
        <v>11</v>
      </c>
      <c r="H309" s="4">
        <v>4</v>
      </c>
      <c r="I309" s="4">
        <v>300</v>
      </c>
      <c r="J309" s="4">
        <v>1200</v>
      </c>
      <c r="K309" s="4" t="str" cm="1">
        <f t="array" ref="K309">_xlfn.IFS(AND(Table15[[#This Row],[Total Amount]]&gt;=1500),"Critical",AND(Table15[[#This Row],[Total Amount]]&gt;=1000),"High",TRUE,"Normal")</f>
        <v>High</v>
      </c>
      <c r="L309" s="4" t="str">
        <f>IF(Table15[[#This Row],[Total Amount]]&gt;=1000,"High",(IF(Table15[[#This Row],[Total Amount]]&gt;=500,"Medium","Low")))</f>
        <v>High</v>
      </c>
      <c r="M309" s="4" t="str" cm="1">
        <f t="array" ref="M30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09" s="4" cm="1">
        <f t="array" ref="N30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309" s="4">
        <f>Table15[[#This Row],[Total Amount]]-Table15[[#This Row],[Discount Amount]]</f>
        <v>1020</v>
      </c>
    </row>
    <row r="310" spans="1:15" x14ac:dyDescent="0.35">
      <c r="A310" s="4">
        <v>309</v>
      </c>
      <c r="B310" s="5">
        <v>45283</v>
      </c>
      <c r="C310" s="4" t="s">
        <v>322</v>
      </c>
      <c r="D310" s="4" t="s">
        <v>13</v>
      </c>
      <c r="E310" s="4">
        <v>26</v>
      </c>
      <c r="F310" s="4" t="str">
        <f>IF(Table15[[#This Row],[Age]]&lt;=19,"Teenager",IF(Table15[[#This Row],[Age]]&lt;=40,"Median","Old"))</f>
        <v>Median</v>
      </c>
      <c r="G310" s="4" t="s">
        <v>11</v>
      </c>
      <c r="H310" s="4">
        <v>1</v>
      </c>
      <c r="I310" s="4">
        <v>25</v>
      </c>
      <c r="J310" s="4">
        <v>25</v>
      </c>
      <c r="K310" s="4" t="str" cm="1">
        <f t="array" ref="K310">_xlfn.IFS(AND(Table15[[#This Row],[Total Amount]]&gt;=1500),"Critical",AND(Table15[[#This Row],[Total Amount]]&gt;=1000),"High",TRUE,"Normal")</f>
        <v>Normal</v>
      </c>
      <c r="L310" s="4" t="str">
        <f>IF(Table15[[#This Row],[Total Amount]]&gt;=1000,"High",(IF(Table15[[#This Row],[Total Amount]]&gt;=500,"Medium","Low")))</f>
        <v>Low</v>
      </c>
      <c r="M310" s="4" t="str" cm="1">
        <f t="array" ref="M31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10" s="4" cm="1">
        <f t="array" ref="N31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3.75</v>
      </c>
      <c r="O310" s="4">
        <f>Table15[[#This Row],[Total Amount]]-Table15[[#This Row],[Discount Amount]]</f>
        <v>21.25</v>
      </c>
    </row>
    <row r="311" spans="1:15" x14ac:dyDescent="0.35">
      <c r="A311" s="4">
        <v>310</v>
      </c>
      <c r="B311" s="5">
        <v>45211</v>
      </c>
      <c r="C311" s="4" t="s">
        <v>323</v>
      </c>
      <c r="D311" s="4" t="s">
        <v>13</v>
      </c>
      <c r="E311" s="4">
        <v>28</v>
      </c>
      <c r="F311" s="4" t="str">
        <f>IF(Table15[[#This Row],[Age]]&lt;=19,"Teenager",IF(Table15[[#This Row],[Age]]&lt;=40,"Median","Old"))</f>
        <v>Median</v>
      </c>
      <c r="G311" s="4" t="s">
        <v>11</v>
      </c>
      <c r="H311" s="4">
        <v>1</v>
      </c>
      <c r="I311" s="4">
        <v>25</v>
      </c>
      <c r="J311" s="4">
        <v>25</v>
      </c>
      <c r="K311" s="4" t="str" cm="1">
        <f t="array" ref="K311">_xlfn.IFS(AND(Table15[[#This Row],[Total Amount]]&gt;=1500),"Critical",AND(Table15[[#This Row],[Total Amount]]&gt;=1000),"High",TRUE,"Normal")</f>
        <v>Normal</v>
      </c>
      <c r="L311" s="4" t="str">
        <f>IF(Table15[[#This Row],[Total Amount]]&gt;=1000,"High",(IF(Table15[[#This Row],[Total Amount]]&gt;=500,"Medium","Low")))</f>
        <v>Low</v>
      </c>
      <c r="M311" s="4" t="str" cm="1">
        <f t="array" ref="M31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11" s="4" cm="1">
        <f t="array" ref="N31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3.75</v>
      </c>
      <c r="O311" s="4">
        <f>Table15[[#This Row],[Total Amount]]-Table15[[#This Row],[Discount Amount]]</f>
        <v>21.25</v>
      </c>
    </row>
    <row r="312" spans="1:15" x14ac:dyDescent="0.35">
      <c r="A312" s="4">
        <v>311</v>
      </c>
      <c r="B312" s="5">
        <v>45265</v>
      </c>
      <c r="C312" s="4" t="s">
        <v>324</v>
      </c>
      <c r="D312" s="4" t="s">
        <v>13</v>
      </c>
      <c r="E312" s="4">
        <v>32</v>
      </c>
      <c r="F312" s="4" t="str">
        <f>IF(Table15[[#This Row],[Age]]&lt;=19,"Teenager",IF(Table15[[#This Row],[Age]]&lt;=40,"Median","Old"))</f>
        <v>Median</v>
      </c>
      <c r="G312" s="4" t="s">
        <v>11</v>
      </c>
      <c r="H312" s="4">
        <v>4</v>
      </c>
      <c r="I312" s="4">
        <v>25</v>
      </c>
      <c r="J312" s="4">
        <v>100</v>
      </c>
      <c r="K312" s="4" t="str" cm="1">
        <f t="array" ref="K312">_xlfn.IFS(AND(Table15[[#This Row],[Total Amount]]&gt;=1500),"Critical",AND(Table15[[#This Row],[Total Amount]]&gt;=1000),"High",TRUE,"Normal")</f>
        <v>Normal</v>
      </c>
      <c r="L312" s="4" t="str">
        <f>IF(Table15[[#This Row],[Total Amount]]&gt;=1000,"High",(IF(Table15[[#This Row],[Total Amount]]&gt;=500,"Medium","Low")))</f>
        <v>Low</v>
      </c>
      <c r="M312" s="4" t="str" cm="1">
        <f t="array" ref="M31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12" s="4" cm="1">
        <f t="array" ref="N31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312" s="4">
        <f>Table15[[#This Row],[Total Amount]]-Table15[[#This Row],[Discount Amount]]</f>
        <v>85</v>
      </c>
    </row>
    <row r="313" spans="1:15" x14ac:dyDescent="0.35">
      <c r="A313" s="4">
        <v>312</v>
      </c>
      <c r="B313" s="5">
        <v>45176</v>
      </c>
      <c r="C313" s="4" t="s">
        <v>325</v>
      </c>
      <c r="D313" s="4" t="s">
        <v>10</v>
      </c>
      <c r="E313" s="4">
        <v>41</v>
      </c>
      <c r="F313" s="4" t="str">
        <f>IF(Table15[[#This Row],[Age]]&lt;=19,"Teenager",IF(Table15[[#This Row],[Age]]&lt;=40,"Median","Old"))</f>
        <v>Old</v>
      </c>
      <c r="G313" s="4" t="s">
        <v>14</v>
      </c>
      <c r="H313" s="4">
        <v>4</v>
      </c>
      <c r="I313" s="4">
        <v>30</v>
      </c>
      <c r="J313" s="4">
        <v>120</v>
      </c>
      <c r="K313" s="4" t="str" cm="1">
        <f t="array" ref="K313">_xlfn.IFS(AND(Table15[[#This Row],[Total Amount]]&gt;=1500),"Critical",AND(Table15[[#This Row],[Total Amount]]&gt;=1000),"High",TRUE,"Normal")</f>
        <v>Normal</v>
      </c>
      <c r="L313" s="4" t="str">
        <f>IF(Table15[[#This Row],[Total Amount]]&gt;=1000,"High",(IF(Table15[[#This Row],[Total Amount]]&gt;=500,"Medium","Low")))</f>
        <v>Low</v>
      </c>
      <c r="M313" s="4" t="str" cm="1">
        <f t="array" ref="M31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13" s="4" cm="1">
        <f t="array" ref="N31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313" s="4">
        <f>Table15[[#This Row],[Total Amount]]-Table15[[#This Row],[Discount Amount]]</f>
        <v>108</v>
      </c>
    </row>
    <row r="314" spans="1:15" x14ac:dyDescent="0.35">
      <c r="A314" s="4">
        <v>313</v>
      </c>
      <c r="B314" s="5">
        <v>45006</v>
      </c>
      <c r="C314" s="4" t="s">
        <v>326</v>
      </c>
      <c r="D314" s="4" t="s">
        <v>13</v>
      </c>
      <c r="E314" s="4">
        <v>55</v>
      </c>
      <c r="F314" s="4" t="str">
        <f>IF(Table15[[#This Row],[Age]]&lt;=19,"Teenager",IF(Table15[[#This Row],[Age]]&lt;=40,"Median","Old"))</f>
        <v>Old</v>
      </c>
      <c r="G314" s="4" t="s">
        <v>11</v>
      </c>
      <c r="H314" s="4">
        <v>3</v>
      </c>
      <c r="I314" s="4">
        <v>500</v>
      </c>
      <c r="J314" s="4">
        <v>1500</v>
      </c>
      <c r="K314" s="4" t="str" cm="1">
        <f t="array" ref="K314">_xlfn.IFS(AND(Table15[[#This Row],[Total Amount]]&gt;=1500),"Critical",AND(Table15[[#This Row],[Total Amount]]&gt;=1000),"High",TRUE,"Normal")</f>
        <v>Critical</v>
      </c>
      <c r="L314" s="4" t="str">
        <f>IF(Table15[[#This Row],[Total Amount]]&gt;=1000,"High",(IF(Table15[[#This Row],[Total Amount]]&gt;=500,"Medium","Low")))</f>
        <v>High</v>
      </c>
      <c r="M314" s="4" t="str" cm="1">
        <f t="array" ref="M31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14" s="4" cm="1">
        <f t="array" ref="N31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314" s="4">
        <f>Table15[[#This Row],[Total Amount]]-Table15[[#This Row],[Discount Amount]]</f>
        <v>1200</v>
      </c>
    </row>
    <row r="315" spans="1:15" x14ac:dyDescent="0.35">
      <c r="A315" s="4">
        <v>314</v>
      </c>
      <c r="B315" s="5">
        <v>45024</v>
      </c>
      <c r="C315" s="4" t="s">
        <v>327</v>
      </c>
      <c r="D315" s="4" t="s">
        <v>10</v>
      </c>
      <c r="E315" s="4">
        <v>52</v>
      </c>
      <c r="F315" s="4" t="str">
        <f>IF(Table15[[#This Row],[Age]]&lt;=19,"Teenager",IF(Table15[[#This Row],[Age]]&lt;=40,"Median","Old"))</f>
        <v>Old</v>
      </c>
      <c r="G315" s="4" t="s">
        <v>14</v>
      </c>
      <c r="H315" s="4">
        <v>4</v>
      </c>
      <c r="I315" s="4">
        <v>30</v>
      </c>
      <c r="J315" s="4">
        <v>120</v>
      </c>
      <c r="K315" s="4" t="str" cm="1">
        <f t="array" ref="K315">_xlfn.IFS(AND(Table15[[#This Row],[Total Amount]]&gt;=1500),"Critical",AND(Table15[[#This Row],[Total Amount]]&gt;=1000),"High",TRUE,"Normal")</f>
        <v>Normal</v>
      </c>
      <c r="L315" s="4" t="str">
        <f>IF(Table15[[#This Row],[Total Amount]]&gt;=1000,"High",(IF(Table15[[#This Row],[Total Amount]]&gt;=500,"Medium","Low")))</f>
        <v>Low</v>
      </c>
      <c r="M315" s="4" t="str" cm="1">
        <f t="array" ref="M31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15" s="4" cm="1">
        <f t="array" ref="N31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315" s="4">
        <f>Table15[[#This Row],[Total Amount]]-Table15[[#This Row],[Discount Amount]]</f>
        <v>108</v>
      </c>
    </row>
    <row r="316" spans="1:15" x14ac:dyDescent="0.35">
      <c r="A316" s="4">
        <v>315</v>
      </c>
      <c r="B316" s="5">
        <v>45078</v>
      </c>
      <c r="C316" s="4" t="s">
        <v>328</v>
      </c>
      <c r="D316" s="4" t="s">
        <v>10</v>
      </c>
      <c r="E316" s="4">
        <v>47</v>
      </c>
      <c r="F316" s="4" t="str">
        <f>IF(Table15[[#This Row],[Age]]&lt;=19,"Teenager",IF(Table15[[#This Row],[Age]]&lt;=40,"Median","Old"))</f>
        <v>Old</v>
      </c>
      <c r="G316" s="4" t="s">
        <v>14</v>
      </c>
      <c r="H316" s="4">
        <v>2</v>
      </c>
      <c r="I316" s="4">
        <v>30</v>
      </c>
      <c r="J316" s="4">
        <v>60</v>
      </c>
      <c r="K316" s="4" t="str" cm="1">
        <f t="array" ref="K316">_xlfn.IFS(AND(Table15[[#This Row],[Total Amount]]&gt;=1500),"Critical",AND(Table15[[#This Row],[Total Amount]]&gt;=1000),"High",TRUE,"Normal")</f>
        <v>Normal</v>
      </c>
      <c r="L316" s="4" t="str">
        <f>IF(Table15[[#This Row],[Total Amount]]&gt;=1000,"High",(IF(Table15[[#This Row],[Total Amount]]&gt;=500,"Medium","Low")))</f>
        <v>Low</v>
      </c>
      <c r="M316" s="4" t="str" cm="1">
        <f t="array" ref="M31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16" s="4" cm="1">
        <f t="array" ref="N31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316" s="4">
        <f>Table15[[#This Row],[Total Amount]]-Table15[[#This Row],[Discount Amount]]</f>
        <v>54</v>
      </c>
    </row>
    <row r="317" spans="1:15" x14ac:dyDescent="0.35">
      <c r="A317" s="4">
        <v>316</v>
      </c>
      <c r="B317" s="5">
        <v>45038</v>
      </c>
      <c r="C317" s="4" t="s">
        <v>329</v>
      </c>
      <c r="D317" s="4" t="s">
        <v>13</v>
      </c>
      <c r="E317" s="4">
        <v>48</v>
      </c>
      <c r="F317" s="4" t="str">
        <f>IF(Table15[[#This Row],[Age]]&lt;=19,"Teenager",IF(Table15[[#This Row],[Age]]&lt;=40,"Median","Old"))</f>
        <v>Old</v>
      </c>
      <c r="G317" s="4" t="s">
        <v>14</v>
      </c>
      <c r="H317" s="4">
        <v>2</v>
      </c>
      <c r="I317" s="4">
        <v>25</v>
      </c>
      <c r="J317" s="4">
        <v>50</v>
      </c>
      <c r="K317" s="4" t="str" cm="1">
        <f t="array" ref="K317">_xlfn.IFS(AND(Table15[[#This Row],[Total Amount]]&gt;=1500),"Critical",AND(Table15[[#This Row],[Total Amount]]&gt;=1000),"High",TRUE,"Normal")</f>
        <v>Normal</v>
      </c>
      <c r="L317" s="4" t="str">
        <f>IF(Table15[[#This Row],[Total Amount]]&gt;=1000,"High",(IF(Table15[[#This Row],[Total Amount]]&gt;=500,"Medium","Low")))</f>
        <v>Low</v>
      </c>
      <c r="M317" s="4" t="str" cm="1">
        <f t="array" ref="M31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17" s="4" cm="1">
        <f t="array" ref="N31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317" s="4">
        <f>Table15[[#This Row],[Total Amount]]-Table15[[#This Row],[Discount Amount]]</f>
        <v>40</v>
      </c>
    </row>
    <row r="318" spans="1:15" x14ac:dyDescent="0.35">
      <c r="A318" s="4">
        <v>317</v>
      </c>
      <c r="B318" s="5">
        <v>44956</v>
      </c>
      <c r="C318" s="4" t="s">
        <v>330</v>
      </c>
      <c r="D318" s="4" t="s">
        <v>10</v>
      </c>
      <c r="E318" s="4">
        <v>22</v>
      </c>
      <c r="F318" s="4" t="str">
        <f>IF(Table15[[#This Row],[Age]]&lt;=19,"Teenager",IF(Table15[[#This Row],[Age]]&lt;=40,"Median","Old"))</f>
        <v>Median</v>
      </c>
      <c r="G318" s="4" t="s">
        <v>16</v>
      </c>
      <c r="H318" s="4">
        <v>3</v>
      </c>
      <c r="I318" s="4">
        <v>30</v>
      </c>
      <c r="J318" s="4">
        <v>90</v>
      </c>
      <c r="K318" s="4" t="str" cm="1">
        <f t="array" ref="K318">_xlfn.IFS(AND(Table15[[#This Row],[Total Amount]]&gt;=1500),"Critical",AND(Table15[[#This Row],[Total Amount]]&gt;=1000),"High",TRUE,"Normal")</f>
        <v>Normal</v>
      </c>
      <c r="L318" s="4" t="str">
        <f>IF(Table15[[#This Row],[Total Amount]]&gt;=1000,"High",(IF(Table15[[#This Row],[Total Amount]]&gt;=500,"Medium","Low")))</f>
        <v>Low</v>
      </c>
      <c r="M318" s="4" t="str" cm="1">
        <f t="array" ref="M31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18" s="4" cm="1">
        <f t="array" ref="N31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18" s="4">
        <f>Table15[[#This Row],[Total Amount]]-Table15[[#This Row],[Discount Amount]]</f>
        <v>90</v>
      </c>
    </row>
    <row r="319" spans="1:15" x14ac:dyDescent="0.35">
      <c r="A319" s="4">
        <v>318</v>
      </c>
      <c r="B319" s="5">
        <v>45223</v>
      </c>
      <c r="C319" s="4" t="s">
        <v>331</v>
      </c>
      <c r="D319" s="4" t="s">
        <v>10</v>
      </c>
      <c r="E319" s="4">
        <v>61</v>
      </c>
      <c r="F319" s="4" t="str">
        <f>IF(Table15[[#This Row],[Age]]&lt;=19,"Teenager",IF(Table15[[#This Row],[Age]]&lt;=40,"Median","Old"))</f>
        <v>Old</v>
      </c>
      <c r="G319" s="4" t="s">
        <v>14</v>
      </c>
      <c r="H319" s="4">
        <v>1</v>
      </c>
      <c r="I319" s="4">
        <v>25</v>
      </c>
      <c r="J319" s="4">
        <v>25</v>
      </c>
      <c r="K319" s="4" t="str" cm="1">
        <f t="array" ref="K319">_xlfn.IFS(AND(Table15[[#This Row],[Total Amount]]&gt;=1500),"Critical",AND(Table15[[#This Row],[Total Amount]]&gt;=1000),"High",TRUE,"Normal")</f>
        <v>Normal</v>
      </c>
      <c r="L319" s="4" t="str">
        <f>IF(Table15[[#This Row],[Total Amount]]&gt;=1000,"High",(IF(Table15[[#This Row],[Total Amount]]&gt;=500,"Medium","Low")))</f>
        <v>Low</v>
      </c>
      <c r="M319" s="4" t="str" cm="1">
        <f t="array" ref="M31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19" s="4" cm="1">
        <f t="array" ref="N31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319" s="4">
        <f>Table15[[#This Row],[Total Amount]]-Table15[[#This Row],[Discount Amount]]</f>
        <v>22.5</v>
      </c>
    </row>
    <row r="320" spans="1:15" x14ac:dyDescent="0.35">
      <c r="A320" s="4">
        <v>319</v>
      </c>
      <c r="B320" s="5">
        <v>45204</v>
      </c>
      <c r="C320" s="4" t="s">
        <v>332</v>
      </c>
      <c r="D320" s="4" t="s">
        <v>10</v>
      </c>
      <c r="E320" s="4">
        <v>31</v>
      </c>
      <c r="F320" s="4" t="str">
        <f>IF(Table15[[#This Row],[Age]]&lt;=19,"Teenager",IF(Table15[[#This Row],[Age]]&lt;=40,"Median","Old"))</f>
        <v>Median</v>
      </c>
      <c r="G320" s="4" t="s">
        <v>14</v>
      </c>
      <c r="H320" s="4">
        <v>1</v>
      </c>
      <c r="I320" s="4">
        <v>500</v>
      </c>
      <c r="J320" s="4">
        <v>500</v>
      </c>
      <c r="K320" s="4" t="str" cm="1">
        <f t="array" ref="K320">_xlfn.IFS(AND(Table15[[#This Row],[Total Amount]]&gt;=1500),"Critical",AND(Table15[[#This Row],[Total Amount]]&gt;=1000),"High",TRUE,"Normal")</f>
        <v>Normal</v>
      </c>
      <c r="L320" s="4" t="str">
        <f>IF(Table15[[#This Row],[Total Amount]]&gt;=1000,"High",(IF(Table15[[#This Row],[Total Amount]]&gt;=500,"Medium","Low")))</f>
        <v>Medium</v>
      </c>
      <c r="M320" s="4" t="str" cm="1">
        <f t="array" ref="M32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20" s="4" cm="1">
        <f t="array" ref="N32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320" s="4">
        <f>Table15[[#This Row],[Total Amount]]-Table15[[#This Row],[Discount Amount]]</f>
        <v>425</v>
      </c>
    </row>
    <row r="321" spans="1:15" x14ac:dyDescent="0.35">
      <c r="A321" s="4">
        <v>320</v>
      </c>
      <c r="B321" s="5">
        <v>44958</v>
      </c>
      <c r="C321" s="4" t="s">
        <v>333</v>
      </c>
      <c r="D321" s="4" t="s">
        <v>13</v>
      </c>
      <c r="E321" s="4">
        <v>28</v>
      </c>
      <c r="F321" s="4" t="str">
        <f>IF(Table15[[#This Row],[Age]]&lt;=19,"Teenager",IF(Table15[[#This Row],[Age]]&lt;=40,"Median","Old"))</f>
        <v>Median</v>
      </c>
      <c r="G321" s="4" t="s">
        <v>16</v>
      </c>
      <c r="H321" s="4">
        <v>4</v>
      </c>
      <c r="I321" s="4">
        <v>300</v>
      </c>
      <c r="J321" s="4">
        <v>1200</v>
      </c>
      <c r="K321" s="4" t="str" cm="1">
        <f t="array" ref="K321">_xlfn.IFS(AND(Table15[[#This Row],[Total Amount]]&gt;=1500),"Critical",AND(Table15[[#This Row],[Total Amount]]&gt;=1000),"High",TRUE,"Normal")</f>
        <v>High</v>
      </c>
      <c r="L321" s="4" t="str">
        <f>IF(Table15[[#This Row],[Total Amount]]&gt;=1000,"High",(IF(Table15[[#This Row],[Total Amount]]&gt;=500,"Medium","Low")))</f>
        <v>High</v>
      </c>
      <c r="M321" s="4" t="str" cm="1">
        <f t="array" ref="M32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21" s="4" cm="1">
        <f t="array" ref="N32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321" s="4">
        <f>Table15[[#This Row],[Total Amount]]-Table15[[#This Row],[Discount Amount]]</f>
        <v>1020</v>
      </c>
    </row>
    <row r="322" spans="1:15" x14ac:dyDescent="0.35">
      <c r="A322" s="4">
        <v>321</v>
      </c>
      <c r="B322" s="5">
        <v>45087</v>
      </c>
      <c r="C322" s="4" t="s">
        <v>334</v>
      </c>
      <c r="D322" s="4" t="s">
        <v>13</v>
      </c>
      <c r="E322" s="4">
        <v>26</v>
      </c>
      <c r="F322" s="4" t="str">
        <f>IF(Table15[[#This Row],[Age]]&lt;=19,"Teenager",IF(Table15[[#This Row],[Age]]&lt;=40,"Median","Old"))</f>
        <v>Median</v>
      </c>
      <c r="G322" s="4" t="s">
        <v>16</v>
      </c>
      <c r="H322" s="4">
        <v>2</v>
      </c>
      <c r="I322" s="4">
        <v>25</v>
      </c>
      <c r="J322" s="4">
        <v>50</v>
      </c>
      <c r="K322" s="4" t="str" cm="1">
        <f t="array" ref="K322">_xlfn.IFS(AND(Table15[[#This Row],[Total Amount]]&gt;=1500),"Critical",AND(Table15[[#This Row],[Total Amount]]&gt;=1000),"High",TRUE,"Normal")</f>
        <v>Normal</v>
      </c>
      <c r="L322" s="4" t="str">
        <f>IF(Table15[[#This Row],[Total Amount]]&gt;=1000,"High",(IF(Table15[[#This Row],[Total Amount]]&gt;=500,"Medium","Low")))</f>
        <v>Low</v>
      </c>
      <c r="M322" s="4" t="str" cm="1">
        <f t="array" ref="M32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22" s="4" cm="1">
        <f t="array" ref="N32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322" s="4">
        <f>Table15[[#This Row],[Total Amount]]-Table15[[#This Row],[Discount Amount]]</f>
        <v>42.5</v>
      </c>
    </row>
    <row r="323" spans="1:15" x14ac:dyDescent="0.35">
      <c r="A323" s="4">
        <v>322</v>
      </c>
      <c r="B323" s="5">
        <v>44956</v>
      </c>
      <c r="C323" s="4" t="s">
        <v>335</v>
      </c>
      <c r="D323" s="4" t="s">
        <v>10</v>
      </c>
      <c r="E323" s="4">
        <v>51</v>
      </c>
      <c r="F323" s="4" t="str">
        <f>IF(Table15[[#This Row],[Age]]&lt;=19,"Teenager",IF(Table15[[#This Row],[Age]]&lt;=40,"Median","Old"))</f>
        <v>Old</v>
      </c>
      <c r="G323" s="4" t="s">
        <v>16</v>
      </c>
      <c r="H323" s="4">
        <v>1</v>
      </c>
      <c r="I323" s="4">
        <v>500</v>
      </c>
      <c r="J323" s="4">
        <v>500</v>
      </c>
      <c r="K323" s="4" t="str" cm="1">
        <f t="array" ref="K323">_xlfn.IFS(AND(Table15[[#This Row],[Total Amount]]&gt;=1500),"Critical",AND(Table15[[#This Row],[Total Amount]]&gt;=1000),"High",TRUE,"Normal")</f>
        <v>Normal</v>
      </c>
      <c r="L323" s="4" t="str">
        <f>IF(Table15[[#This Row],[Total Amount]]&gt;=1000,"High",(IF(Table15[[#This Row],[Total Amount]]&gt;=500,"Medium","Low")))</f>
        <v>Medium</v>
      </c>
      <c r="M323" s="4" t="str" cm="1">
        <f t="array" ref="M32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23" s="4" cm="1">
        <f t="array" ref="N32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323" s="4">
        <f>Table15[[#This Row],[Total Amount]]-Table15[[#This Row],[Discount Amount]]</f>
        <v>450</v>
      </c>
    </row>
    <row r="324" spans="1:15" x14ac:dyDescent="0.35">
      <c r="A324" s="4">
        <v>323</v>
      </c>
      <c r="B324" s="5">
        <v>44952</v>
      </c>
      <c r="C324" s="4" t="s">
        <v>336</v>
      </c>
      <c r="D324" s="4" t="s">
        <v>13</v>
      </c>
      <c r="E324" s="4">
        <v>29</v>
      </c>
      <c r="F324" s="4" t="str">
        <f>IF(Table15[[#This Row],[Age]]&lt;=19,"Teenager",IF(Table15[[#This Row],[Age]]&lt;=40,"Median","Old"))</f>
        <v>Median</v>
      </c>
      <c r="G324" s="4" t="s">
        <v>11</v>
      </c>
      <c r="H324" s="4">
        <v>3</v>
      </c>
      <c r="I324" s="4">
        <v>300</v>
      </c>
      <c r="J324" s="4">
        <v>900</v>
      </c>
      <c r="K324" s="4" t="str" cm="1">
        <f t="array" ref="K324">_xlfn.IFS(AND(Table15[[#This Row],[Total Amount]]&gt;=1500),"Critical",AND(Table15[[#This Row],[Total Amount]]&gt;=1000),"High",TRUE,"Normal")</f>
        <v>Normal</v>
      </c>
      <c r="L324" s="4" t="str">
        <f>IF(Table15[[#This Row],[Total Amount]]&gt;=1000,"High",(IF(Table15[[#This Row],[Total Amount]]&gt;=500,"Medium","Low")))</f>
        <v>Medium</v>
      </c>
      <c r="M324" s="4" t="str" cm="1">
        <f t="array" ref="M32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24" s="4" cm="1">
        <f t="array" ref="N32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135</v>
      </c>
      <c r="O324" s="4">
        <f>Table15[[#This Row],[Total Amount]]-Table15[[#This Row],[Discount Amount]]</f>
        <v>765</v>
      </c>
    </row>
    <row r="325" spans="1:15" x14ac:dyDescent="0.35">
      <c r="A325" s="4">
        <v>324</v>
      </c>
      <c r="B325" s="5">
        <v>45226</v>
      </c>
      <c r="C325" s="4" t="s">
        <v>337</v>
      </c>
      <c r="D325" s="4" t="s">
        <v>13</v>
      </c>
      <c r="E325" s="4">
        <v>52</v>
      </c>
      <c r="F325" s="4" t="str">
        <f>IF(Table15[[#This Row],[Age]]&lt;=19,"Teenager",IF(Table15[[#This Row],[Age]]&lt;=40,"Median","Old"))</f>
        <v>Old</v>
      </c>
      <c r="G325" s="4" t="s">
        <v>16</v>
      </c>
      <c r="H325" s="4">
        <v>3</v>
      </c>
      <c r="I325" s="4">
        <v>50</v>
      </c>
      <c r="J325" s="4">
        <v>150</v>
      </c>
      <c r="K325" s="4" t="str" cm="1">
        <f t="array" ref="K325">_xlfn.IFS(AND(Table15[[#This Row],[Total Amount]]&gt;=1500),"Critical",AND(Table15[[#This Row],[Total Amount]]&gt;=1000),"High",TRUE,"Normal")</f>
        <v>Normal</v>
      </c>
      <c r="L325" s="4" t="str">
        <f>IF(Table15[[#This Row],[Total Amount]]&gt;=1000,"High",(IF(Table15[[#This Row],[Total Amount]]&gt;=500,"Medium","Low")))</f>
        <v>Low</v>
      </c>
      <c r="M325" s="4" t="str" cm="1">
        <f t="array" ref="M32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25" s="4" cm="1">
        <f t="array" ref="N32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325" s="4">
        <f>Table15[[#This Row],[Total Amount]]-Table15[[#This Row],[Discount Amount]]</f>
        <v>120</v>
      </c>
    </row>
    <row r="326" spans="1:15" x14ac:dyDescent="0.35">
      <c r="A326" s="4">
        <v>325</v>
      </c>
      <c r="B326" s="5">
        <v>45171</v>
      </c>
      <c r="C326" s="4" t="s">
        <v>338</v>
      </c>
      <c r="D326" s="4" t="s">
        <v>13</v>
      </c>
      <c r="E326" s="4">
        <v>52</v>
      </c>
      <c r="F326" s="4" t="str">
        <f>IF(Table15[[#This Row],[Age]]&lt;=19,"Teenager",IF(Table15[[#This Row],[Age]]&lt;=40,"Median","Old"))</f>
        <v>Old</v>
      </c>
      <c r="G326" s="4" t="s">
        <v>16</v>
      </c>
      <c r="H326" s="4">
        <v>2</v>
      </c>
      <c r="I326" s="4">
        <v>25</v>
      </c>
      <c r="J326" s="4">
        <v>50</v>
      </c>
      <c r="K326" s="4" t="str" cm="1">
        <f t="array" ref="K326">_xlfn.IFS(AND(Table15[[#This Row],[Total Amount]]&gt;=1500),"Critical",AND(Table15[[#This Row],[Total Amount]]&gt;=1000),"High",TRUE,"Normal")</f>
        <v>Normal</v>
      </c>
      <c r="L326" s="4" t="str">
        <f>IF(Table15[[#This Row],[Total Amount]]&gt;=1000,"High",(IF(Table15[[#This Row],[Total Amount]]&gt;=500,"Medium","Low")))</f>
        <v>Low</v>
      </c>
      <c r="M326" s="4" t="str" cm="1">
        <f t="array" ref="M32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26" s="4" cm="1">
        <f t="array" ref="N32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326" s="4">
        <f>Table15[[#This Row],[Total Amount]]-Table15[[#This Row],[Discount Amount]]</f>
        <v>40</v>
      </c>
    </row>
    <row r="327" spans="1:15" x14ac:dyDescent="0.35">
      <c r="A327" s="4">
        <v>326</v>
      </c>
      <c r="B327" s="5">
        <v>45184</v>
      </c>
      <c r="C327" s="4" t="s">
        <v>339</v>
      </c>
      <c r="D327" s="4" t="s">
        <v>13</v>
      </c>
      <c r="E327" s="4">
        <v>18</v>
      </c>
      <c r="F327" s="4" t="str">
        <f>IF(Table15[[#This Row],[Age]]&lt;=19,"Teenager",IF(Table15[[#This Row],[Age]]&lt;=40,"Median","Old"))</f>
        <v>Teenager</v>
      </c>
      <c r="G327" s="4" t="s">
        <v>14</v>
      </c>
      <c r="H327" s="4">
        <v>3</v>
      </c>
      <c r="I327" s="4">
        <v>25</v>
      </c>
      <c r="J327" s="4">
        <v>75</v>
      </c>
      <c r="K327" s="4" t="str" cm="1">
        <f t="array" ref="K327">_xlfn.IFS(AND(Table15[[#This Row],[Total Amount]]&gt;=1500),"Critical",AND(Table15[[#This Row],[Total Amount]]&gt;=1000),"High",TRUE,"Normal")</f>
        <v>Normal</v>
      </c>
      <c r="L327" s="4" t="str">
        <f>IF(Table15[[#This Row],[Total Amount]]&gt;=1000,"High",(IF(Table15[[#This Row],[Total Amount]]&gt;=500,"Medium","Low")))</f>
        <v>Low</v>
      </c>
      <c r="M327" s="4" t="str" cm="1">
        <f t="array" ref="M32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27" s="4" cm="1">
        <f t="array" ref="N32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27" s="4">
        <f>Table15[[#This Row],[Total Amount]]-Table15[[#This Row],[Discount Amount]]</f>
        <v>75</v>
      </c>
    </row>
    <row r="328" spans="1:15" x14ac:dyDescent="0.35">
      <c r="A328" s="4">
        <v>327</v>
      </c>
      <c r="B328" s="5">
        <v>45198</v>
      </c>
      <c r="C328" s="4" t="s">
        <v>340</v>
      </c>
      <c r="D328" s="4" t="s">
        <v>10</v>
      </c>
      <c r="E328" s="4">
        <v>57</v>
      </c>
      <c r="F328" s="4" t="str">
        <f>IF(Table15[[#This Row],[Age]]&lt;=19,"Teenager",IF(Table15[[#This Row],[Age]]&lt;=40,"Median","Old"))</f>
        <v>Old</v>
      </c>
      <c r="G328" s="4" t="s">
        <v>16</v>
      </c>
      <c r="H328" s="4">
        <v>3</v>
      </c>
      <c r="I328" s="4">
        <v>50</v>
      </c>
      <c r="J328" s="4">
        <v>150</v>
      </c>
      <c r="K328" s="4" t="str" cm="1">
        <f t="array" ref="K328">_xlfn.IFS(AND(Table15[[#This Row],[Total Amount]]&gt;=1500),"Critical",AND(Table15[[#This Row],[Total Amount]]&gt;=1000),"High",TRUE,"Normal")</f>
        <v>Normal</v>
      </c>
      <c r="L328" s="4" t="str">
        <f>IF(Table15[[#This Row],[Total Amount]]&gt;=1000,"High",(IF(Table15[[#This Row],[Total Amount]]&gt;=500,"Medium","Low")))</f>
        <v>Low</v>
      </c>
      <c r="M328" s="4" t="str" cm="1">
        <f t="array" ref="M32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28" s="4" cm="1">
        <f t="array" ref="N32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328" s="4">
        <f>Table15[[#This Row],[Total Amount]]-Table15[[#This Row],[Discount Amount]]</f>
        <v>135</v>
      </c>
    </row>
    <row r="329" spans="1:15" x14ac:dyDescent="0.35">
      <c r="A329" s="4">
        <v>328</v>
      </c>
      <c r="B329" s="5">
        <v>45007</v>
      </c>
      <c r="C329" s="4" t="s">
        <v>341</v>
      </c>
      <c r="D329" s="4" t="s">
        <v>10</v>
      </c>
      <c r="E329" s="4">
        <v>39</v>
      </c>
      <c r="F329" s="4" t="str">
        <f>IF(Table15[[#This Row],[Age]]&lt;=19,"Teenager",IF(Table15[[#This Row],[Age]]&lt;=40,"Median","Old"))</f>
        <v>Median</v>
      </c>
      <c r="G329" s="4" t="s">
        <v>11</v>
      </c>
      <c r="H329" s="4">
        <v>2</v>
      </c>
      <c r="I329" s="4">
        <v>50</v>
      </c>
      <c r="J329" s="4">
        <v>100</v>
      </c>
      <c r="K329" s="4" t="str" cm="1">
        <f t="array" ref="K329">_xlfn.IFS(AND(Table15[[#This Row],[Total Amount]]&gt;=1500),"Critical",AND(Table15[[#This Row],[Total Amount]]&gt;=1000),"High",TRUE,"Normal")</f>
        <v>Normal</v>
      </c>
      <c r="L329" s="4" t="str">
        <f>IF(Table15[[#This Row],[Total Amount]]&gt;=1000,"High",(IF(Table15[[#This Row],[Total Amount]]&gt;=500,"Medium","Low")))</f>
        <v>Low</v>
      </c>
      <c r="M329" s="4" t="str" cm="1">
        <f t="array" ref="M32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29" s="4" cm="1">
        <f t="array" ref="N32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329" s="4">
        <f>Table15[[#This Row],[Total Amount]]-Table15[[#This Row],[Discount Amount]]</f>
        <v>90</v>
      </c>
    </row>
    <row r="330" spans="1:15" x14ac:dyDescent="0.35">
      <c r="A330" s="4">
        <v>329</v>
      </c>
      <c r="B330" s="5">
        <v>44956</v>
      </c>
      <c r="C330" s="4" t="s">
        <v>342</v>
      </c>
      <c r="D330" s="4" t="s">
        <v>13</v>
      </c>
      <c r="E330" s="4">
        <v>46</v>
      </c>
      <c r="F330" s="4" t="str">
        <f>IF(Table15[[#This Row],[Age]]&lt;=19,"Teenager",IF(Table15[[#This Row],[Age]]&lt;=40,"Median","Old"))</f>
        <v>Old</v>
      </c>
      <c r="G330" s="4" t="s">
        <v>16</v>
      </c>
      <c r="H330" s="4">
        <v>4</v>
      </c>
      <c r="I330" s="4">
        <v>25</v>
      </c>
      <c r="J330" s="4">
        <v>100</v>
      </c>
      <c r="K330" s="4" t="str" cm="1">
        <f t="array" ref="K330">_xlfn.IFS(AND(Table15[[#This Row],[Total Amount]]&gt;=1500),"Critical",AND(Table15[[#This Row],[Total Amount]]&gt;=1000),"High",TRUE,"Normal")</f>
        <v>Normal</v>
      </c>
      <c r="L330" s="4" t="str">
        <f>IF(Table15[[#This Row],[Total Amount]]&gt;=1000,"High",(IF(Table15[[#This Row],[Total Amount]]&gt;=500,"Medium","Low")))</f>
        <v>Low</v>
      </c>
      <c r="M330" s="4" t="str" cm="1">
        <f t="array" ref="M33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30" s="4" cm="1">
        <f t="array" ref="N33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330" s="4">
        <f>Table15[[#This Row],[Total Amount]]-Table15[[#This Row],[Discount Amount]]</f>
        <v>80</v>
      </c>
    </row>
    <row r="331" spans="1:15" x14ac:dyDescent="0.35">
      <c r="A331" s="4">
        <v>330</v>
      </c>
      <c r="B331" s="5">
        <v>45187</v>
      </c>
      <c r="C331" s="4" t="s">
        <v>343</v>
      </c>
      <c r="D331" s="4" t="s">
        <v>13</v>
      </c>
      <c r="E331" s="4">
        <v>25</v>
      </c>
      <c r="F331" s="4" t="str">
        <f>IF(Table15[[#This Row],[Age]]&lt;=19,"Teenager",IF(Table15[[#This Row],[Age]]&lt;=40,"Median","Old"))</f>
        <v>Median</v>
      </c>
      <c r="G331" s="4" t="s">
        <v>11</v>
      </c>
      <c r="H331" s="4">
        <v>4</v>
      </c>
      <c r="I331" s="4">
        <v>50</v>
      </c>
      <c r="J331" s="4">
        <v>200</v>
      </c>
      <c r="K331" s="4" t="str" cm="1">
        <f t="array" ref="K331">_xlfn.IFS(AND(Table15[[#This Row],[Total Amount]]&gt;=1500),"Critical",AND(Table15[[#This Row],[Total Amount]]&gt;=1000),"High",TRUE,"Normal")</f>
        <v>Normal</v>
      </c>
      <c r="L331" s="4" t="str">
        <f>IF(Table15[[#This Row],[Total Amount]]&gt;=1000,"High",(IF(Table15[[#This Row],[Total Amount]]&gt;=500,"Medium","Low")))</f>
        <v>Low</v>
      </c>
      <c r="M331" s="4" t="str" cm="1">
        <f t="array" ref="M33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31" s="4" cm="1">
        <f t="array" ref="N33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331" s="4">
        <f>Table15[[#This Row],[Total Amount]]-Table15[[#This Row],[Discount Amount]]</f>
        <v>170</v>
      </c>
    </row>
    <row r="332" spans="1:15" x14ac:dyDescent="0.35">
      <c r="A332" s="4">
        <v>331</v>
      </c>
      <c r="B332" s="5">
        <v>44968</v>
      </c>
      <c r="C332" s="4" t="s">
        <v>344</v>
      </c>
      <c r="D332" s="4" t="s">
        <v>10</v>
      </c>
      <c r="E332" s="4">
        <v>28</v>
      </c>
      <c r="F332" s="4" t="str">
        <f>IF(Table15[[#This Row],[Age]]&lt;=19,"Teenager",IF(Table15[[#This Row],[Age]]&lt;=40,"Median","Old"))</f>
        <v>Median</v>
      </c>
      <c r="G332" s="4" t="s">
        <v>16</v>
      </c>
      <c r="H332" s="4">
        <v>3</v>
      </c>
      <c r="I332" s="4">
        <v>30</v>
      </c>
      <c r="J332" s="4">
        <v>90</v>
      </c>
      <c r="K332" s="4" t="str" cm="1">
        <f t="array" ref="K332">_xlfn.IFS(AND(Table15[[#This Row],[Total Amount]]&gt;=1500),"Critical",AND(Table15[[#This Row],[Total Amount]]&gt;=1000),"High",TRUE,"Normal")</f>
        <v>Normal</v>
      </c>
      <c r="L332" s="4" t="str">
        <f>IF(Table15[[#This Row],[Total Amount]]&gt;=1000,"High",(IF(Table15[[#This Row],[Total Amount]]&gt;=500,"Medium","Low")))</f>
        <v>Low</v>
      </c>
      <c r="M332" s="4" t="str" cm="1">
        <f t="array" ref="M33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32" s="4" cm="1">
        <f t="array" ref="N33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13.5</v>
      </c>
      <c r="O332" s="4">
        <f>Table15[[#This Row],[Total Amount]]-Table15[[#This Row],[Discount Amount]]</f>
        <v>76.5</v>
      </c>
    </row>
    <row r="333" spans="1:15" x14ac:dyDescent="0.35">
      <c r="A333" s="4">
        <v>332</v>
      </c>
      <c r="B333" s="5">
        <v>45022</v>
      </c>
      <c r="C333" s="4" t="s">
        <v>345</v>
      </c>
      <c r="D333" s="4" t="s">
        <v>10</v>
      </c>
      <c r="E333" s="4">
        <v>58</v>
      </c>
      <c r="F333" s="4" t="str">
        <f>IF(Table15[[#This Row],[Age]]&lt;=19,"Teenager",IF(Table15[[#This Row],[Age]]&lt;=40,"Median","Old"))</f>
        <v>Old</v>
      </c>
      <c r="G333" s="4" t="s">
        <v>16</v>
      </c>
      <c r="H333" s="4">
        <v>4</v>
      </c>
      <c r="I333" s="4">
        <v>300</v>
      </c>
      <c r="J333" s="4">
        <v>1200</v>
      </c>
      <c r="K333" s="4" t="str" cm="1">
        <f t="array" ref="K333">_xlfn.IFS(AND(Table15[[#This Row],[Total Amount]]&gt;=1500),"Critical",AND(Table15[[#This Row],[Total Amount]]&gt;=1000),"High",TRUE,"Normal")</f>
        <v>High</v>
      </c>
      <c r="L333" s="4" t="str">
        <f>IF(Table15[[#This Row],[Total Amount]]&gt;=1000,"High",(IF(Table15[[#This Row],[Total Amount]]&gt;=500,"Medium","Low")))</f>
        <v>High</v>
      </c>
      <c r="M333" s="4" t="str" cm="1">
        <f t="array" ref="M33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33" s="4" cm="1">
        <f t="array" ref="N33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333" s="4">
        <f>Table15[[#This Row],[Total Amount]]-Table15[[#This Row],[Discount Amount]]</f>
        <v>1080</v>
      </c>
    </row>
    <row r="334" spans="1:15" x14ac:dyDescent="0.35">
      <c r="A334" s="4">
        <v>333</v>
      </c>
      <c r="B334" s="5">
        <v>44962</v>
      </c>
      <c r="C334" s="4" t="s">
        <v>346</v>
      </c>
      <c r="D334" s="4" t="s">
        <v>13</v>
      </c>
      <c r="E334" s="4">
        <v>54</v>
      </c>
      <c r="F334" s="4" t="str">
        <f>IF(Table15[[#This Row],[Age]]&lt;=19,"Teenager",IF(Table15[[#This Row],[Age]]&lt;=40,"Median","Old"))</f>
        <v>Old</v>
      </c>
      <c r="G334" s="4" t="s">
        <v>16</v>
      </c>
      <c r="H334" s="4">
        <v>4</v>
      </c>
      <c r="I334" s="4">
        <v>300</v>
      </c>
      <c r="J334" s="4">
        <v>1200</v>
      </c>
      <c r="K334" s="4" t="str" cm="1">
        <f t="array" ref="K334">_xlfn.IFS(AND(Table15[[#This Row],[Total Amount]]&gt;=1500),"Critical",AND(Table15[[#This Row],[Total Amount]]&gt;=1000),"High",TRUE,"Normal")</f>
        <v>High</v>
      </c>
      <c r="L334" s="4" t="str">
        <f>IF(Table15[[#This Row],[Total Amount]]&gt;=1000,"High",(IF(Table15[[#This Row],[Total Amount]]&gt;=500,"Medium","Low")))</f>
        <v>High</v>
      </c>
      <c r="M334" s="4" t="str" cm="1">
        <f t="array" ref="M33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34" s="4" cm="1">
        <f t="array" ref="N33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334" s="4">
        <f>Table15[[#This Row],[Total Amount]]-Table15[[#This Row],[Discount Amount]]</f>
        <v>960</v>
      </c>
    </row>
    <row r="335" spans="1:15" x14ac:dyDescent="0.35">
      <c r="A335" s="4">
        <v>334</v>
      </c>
      <c r="B335" s="5">
        <v>45231</v>
      </c>
      <c r="C335" s="4" t="s">
        <v>347</v>
      </c>
      <c r="D335" s="4" t="s">
        <v>10</v>
      </c>
      <c r="E335" s="4">
        <v>31</v>
      </c>
      <c r="F335" s="4" t="str">
        <f>IF(Table15[[#This Row],[Age]]&lt;=19,"Teenager",IF(Table15[[#This Row],[Age]]&lt;=40,"Median","Old"))</f>
        <v>Median</v>
      </c>
      <c r="G335" s="4" t="s">
        <v>16</v>
      </c>
      <c r="H335" s="4">
        <v>3</v>
      </c>
      <c r="I335" s="4">
        <v>300</v>
      </c>
      <c r="J335" s="4">
        <v>900</v>
      </c>
      <c r="K335" s="4" t="str" cm="1">
        <f t="array" ref="K335">_xlfn.IFS(AND(Table15[[#This Row],[Total Amount]]&gt;=1500),"Critical",AND(Table15[[#This Row],[Total Amount]]&gt;=1000),"High",TRUE,"Normal")</f>
        <v>Normal</v>
      </c>
      <c r="L335" s="4" t="str">
        <f>IF(Table15[[#This Row],[Total Amount]]&gt;=1000,"High",(IF(Table15[[#This Row],[Total Amount]]&gt;=500,"Medium","Low")))</f>
        <v>Medium</v>
      </c>
      <c r="M335" s="4" t="str" cm="1">
        <f t="array" ref="M33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35" s="4" cm="1">
        <f t="array" ref="N33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135</v>
      </c>
      <c r="O335" s="4">
        <f>Table15[[#This Row],[Total Amount]]-Table15[[#This Row],[Discount Amount]]</f>
        <v>765</v>
      </c>
    </row>
    <row r="336" spans="1:15" x14ac:dyDescent="0.35">
      <c r="A336" s="4">
        <v>335</v>
      </c>
      <c r="B336" s="5">
        <v>44961</v>
      </c>
      <c r="C336" s="4" t="s">
        <v>348</v>
      </c>
      <c r="D336" s="4" t="s">
        <v>13</v>
      </c>
      <c r="E336" s="4">
        <v>47</v>
      </c>
      <c r="F336" s="4" t="str">
        <f>IF(Table15[[#This Row],[Age]]&lt;=19,"Teenager",IF(Table15[[#This Row],[Age]]&lt;=40,"Median","Old"))</f>
        <v>Old</v>
      </c>
      <c r="G336" s="4" t="s">
        <v>11</v>
      </c>
      <c r="H336" s="4">
        <v>4</v>
      </c>
      <c r="I336" s="4">
        <v>30</v>
      </c>
      <c r="J336" s="4">
        <v>120</v>
      </c>
      <c r="K336" s="4" t="str" cm="1">
        <f t="array" ref="K336">_xlfn.IFS(AND(Table15[[#This Row],[Total Amount]]&gt;=1500),"Critical",AND(Table15[[#This Row],[Total Amount]]&gt;=1000),"High",TRUE,"Normal")</f>
        <v>Normal</v>
      </c>
      <c r="L336" s="4" t="str">
        <f>IF(Table15[[#This Row],[Total Amount]]&gt;=1000,"High",(IF(Table15[[#This Row],[Total Amount]]&gt;=500,"Medium","Low")))</f>
        <v>Low</v>
      </c>
      <c r="M336" s="4" t="str" cm="1">
        <f t="array" ref="M33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36" s="4" cm="1">
        <f t="array" ref="N33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336" s="4">
        <f>Table15[[#This Row],[Total Amount]]-Table15[[#This Row],[Discount Amount]]</f>
        <v>96</v>
      </c>
    </row>
    <row r="337" spans="1:15" x14ac:dyDescent="0.35">
      <c r="A337" s="4">
        <v>336</v>
      </c>
      <c r="B337" s="5">
        <v>45272</v>
      </c>
      <c r="C337" s="4" t="s">
        <v>349</v>
      </c>
      <c r="D337" s="4" t="s">
        <v>13</v>
      </c>
      <c r="E337" s="4">
        <v>52</v>
      </c>
      <c r="F337" s="4" t="str">
        <f>IF(Table15[[#This Row],[Age]]&lt;=19,"Teenager",IF(Table15[[#This Row],[Age]]&lt;=40,"Median","Old"))</f>
        <v>Old</v>
      </c>
      <c r="G337" s="4" t="s">
        <v>11</v>
      </c>
      <c r="H337" s="4">
        <v>3</v>
      </c>
      <c r="I337" s="4">
        <v>50</v>
      </c>
      <c r="J337" s="4">
        <v>150</v>
      </c>
      <c r="K337" s="4" t="str" cm="1">
        <f t="array" ref="K337">_xlfn.IFS(AND(Table15[[#This Row],[Total Amount]]&gt;=1500),"Critical",AND(Table15[[#This Row],[Total Amount]]&gt;=1000),"High",TRUE,"Normal")</f>
        <v>Normal</v>
      </c>
      <c r="L337" s="4" t="str">
        <f>IF(Table15[[#This Row],[Total Amount]]&gt;=1000,"High",(IF(Table15[[#This Row],[Total Amount]]&gt;=500,"Medium","Low")))</f>
        <v>Low</v>
      </c>
      <c r="M337" s="4" t="str" cm="1">
        <f t="array" ref="M33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37" s="4" cm="1">
        <f t="array" ref="N33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337" s="4">
        <f>Table15[[#This Row],[Total Amount]]-Table15[[#This Row],[Discount Amount]]</f>
        <v>120</v>
      </c>
    </row>
    <row r="338" spans="1:15" x14ac:dyDescent="0.35">
      <c r="A338" s="4">
        <v>337</v>
      </c>
      <c r="B338" s="5">
        <v>45047</v>
      </c>
      <c r="C338" s="4" t="s">
        <v>350</v>
      </c>
      <c r="D338" s="4" t="s">
        <v>10</v>
      </c>
      <c r="E338" s="4">
        <v>38</v>
      </c>
      <c r="F338" s="4" t="str">
        <f>IF(Table15[[#This Row],[Age]]&lt;=19,"Teenager",IF(Table15[[#This Row],[Age]]&lt;=40,"Median","Old"))</f>
        <v>Median</v>
      </c>
      <c r="G338" s="4" t="s">
        <v>14</v>
      </c>
      <c r="H338" s="4">
        <v>1</v>
      </c>
      <c r="I338" s="4">
        <v>500</v>
      </c>
      <c r="J338" s="4">
        <v>500</v>
      </c>
      <c r="K338" s="4" t="str" cm="1">
        <f t="array" ref="K338">_xlfn.IFS(AND(Table15[[#This Row],[Total Amount]]&gt;=1500),"Critical",AND(Table15[[#This Row],[Total Amount]]&gt;=1000),"High",TRUE,"Normal")</f>
        <v>Normal</v>
      </c>
      <c r="L338" s="4" t="str">
        <f>IF(Table15[[#This Row],[Total Amount]]&gt;=1000,"High",(IF(Table15[[#This Row],[Total Amount]]&gt;=500,"Medium","Low")))</f>
        <v>Medium</v>
      </c>
      <c r="M338" s="4" t="str" cm="1">
        <f t="array" ref="M33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38" s="4" cm="1">
        <f t="array" ref="N33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338" s="4">
        <f>Table15[[#This Row],[Total Amount]]-Table15[[#This Row],[Discount Amount]]</f>
        <v>450</v>
      </c>
    </row>
    <row r="339" spans="1:15" x14ac:dyDescent="0.35">
      <c r="A339" s="4">
        <v>338</v>
      </c>
      <c r="B339" s="5">
        <v>45133</v>
      </c>
      <c r="C339" s="4" t="s">
        <v>351</v>
      </c>
      <c r="D339" s="4" t="s">
        <v>10</v>
      </c>
      <c r="E339" s="4">
        <v>54</v>
      </c>
      <c r="F339" s="4" t="str">
        <f>IF(Table15[[#This Row],[Age]]&lt;=19,"Teenager",IF(Table15[[#This Row],[Age]]&lt;=40,"Median","Old"))</f>
        <v>Old</v>
      </c>
      <c r="G339" s="4" t="s">
        <v>11</v>
      </c>
      <c r="H339" s="4">
        <v>2</v>
      </c>
      <c r="I339" s="4">
        <v>50</v>
      </c>
      <c r="J339" s="4">
        <v>100</v>
      </c>
      <c r="K339" s="4" t="str" cm="1">
        <f t="array" ref="K339">_xlfn.IFS(AND(Table15[[#This Row],[Total Amount]]&gt;=1500),"Critical",AND(Table15[[#This Row],[Total Amount]]&gt;=1000),"High",TRUE,"Normal")</f>
        <v>Normal</v>
      </c>
      <c r="L339" s="4" t="str">
        <f>IF(Table15[[#This Row],[Total Amount]]&gt;=1000,"High",(IF(Table15[[#This Row],[Total Amount]]&gt;=500,"Medium","Low")))</f>
        <v>Low</v>
      </c>
      <c r="M339" s="4" t="str" cm="1">
        <f t="array" ref="M33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39" s="4" cm="1">
        <f t="array" ref="N33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339" s="4">
        <f>Table15[[#This Row],[Total Amount]]-Table15[[#This Row],[Discount Amount]]</f>
        <v>90</v>
      </c>
    </row>
    <row r="340" spans="1:15" x14ac:dyDescent="0.35">
      <c r="A340" s="4">
        <v>339</v>
      </c>
      <c r="B340" s="5">
        <v>44988</v>
      </c>
      <c r="C340" s="4" t="s">
        <v>352</v>
      </c>
      <c r="D340" s="4" t="s">
        <v>13</v>
      </c>
      <c r="E340" s="4">
        <v>22</v>
      </c>
      <c r="F340" s="4" t="str">
        <f>IF(Table15[[#This Row],[Age]]&lt;=19,"Teenager",IF(Table15[[#This Row],[Age]]&lt;=40,"Median","Old"))</f>
        <v>Median</v>
      </c>
      <c r="G340" s="4" t="s">
        <v>16</v>
      </c>
      <c r="H340" s="4">
        <v>2</v>
      </c>
      <c r="I340" s="4">
        <v>25</v>
      </c>
      <c r="J340" s="4">
        <v>50</v>
      </c>
      <c r="K340" s="4" t="str" cm="1">
        <f t="array" ref="K340">_xlfn.IFS(AND(Table15[[#This Row],[Total Amount]]&gt;=1500),"Critical",AND(Table15[[#This Row],[Total Amount]]&gt;=1000),"High",TRUE,"Normal")</f>
        <v>Normal</v>
      </c>
      <c r="L340" s="4" t="str">
        <f>IF(Table15[[#This Row],[Total Amount]]&gt;=1000,"High",(IF(Table15[[#This Row],[Total Amount]]&gt;=500,"Medium","Low")))</f>
        <v>Low</v>
      </c>
      <c r="M340" s="4" t="str" cm="1">
        <f t="array" ref="M34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40" s="4" cm="1">
        <f t="array" ref="N34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40" s="4">
        <f>Table15[[#This Row],[Total Amount]]-Table15[[#This Row],[Discount Amount]]</f>
        <v>50</v>
      </c>
    </row>
    <row r="341" spans="1:15" x14ac:dyDescent="0.35">
      <c r="A341" s="4">
        <v>340</v>
      </c>
      <c r="B341" s="5">
        <v>45218</v>
      </c>
      <c r="C341" s="4" t="s">
        <v>353</v>
      </c>
      <c r="D341" s="4" t="s">
        <v>13</v>
      </c>
      <c r="E341" s="4">
        <v>36</v>
      </c>
      <c r="F341" s="4" t="str">
        <f>IF(Table15[[#This Row],[Age]]&lt;=19,"Teenager",IF(Table15[[#This Row],[Age]]&lt;=40,"Median","Old"))</f>
        <v>Median</v>
      </c>
      <c r="G341" s="4" t="s">
        <v>14</v>
      </c>
      <c r="H341" s="4">
        <v>4</v>
      </c>
      <c r="I341" s="4">
        <v>300</v>
      </c>
      <c r="J341" s="4">
        <v>1200</v>
      </c>
      <c r="K341" s="4" t="str" cm="1">
        <f t="array" ref="K341">_xlfn.IFS(AND(Table15[[#This Row],[Total Amount]]&gt;=1500),"Critical",AND(Table15[[#This Row],[Total Amount]]&gt;=1000),"High",TRUE,"Normal")</f>
        <v>High</v>
      </c>
      <c r="L341" s="4" t="str">
        <f>IF(Table15[[#This Row],[Total Amount]]&gt;=1000,"High",(IF(Table15[[#This Row],[Total Amount]]&gt;=500,"Medium","Low")))</f>
        <v>High</v>
      </c>
      <c r="M341" s="4" t="str" cm="1">
        <f t="array" ref="M34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41" s="4" cm="1">
        <f t="array" ref="N34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341" s="4">
        <f>Table15[[#This Row],[Total Amount]]-Table15[[#This Row],[Discount Amount]]</f>
        <v>960</v>
      </c>
    </row>
    <row r="342" spans="1:15" x14ac:dyDescent="0.35">
      <c r="A342" s="4">
        <v>341</v>
      </c>
      <c r="B342" s="5">
        <v>45053</v>
      </c>
      <c r="C342" s="4" t="s">
        <v>354</v>
      </c>
      <c r="D342" s="4" t="s">
        <v>10</v>
      </c>
      <c r="E342" s="4">
        <v>31</v>
      </c>
      <c r="F342" s="4" t="str">
        <f>IF(Table15[[#This Row],[Age]]&lt;=19,"Teenager",IF(Table15[[#This Row],[Age]]&lt;=40,"Median","Old"))</f>
        <v>Median</v>
      </c>
      <c r="G342" s="4" t="s">
        <v>14</v>
      </c>
      <c r="H342" s="4">
        <v>4</v>
      </c>
      <c r="I342" s="4">
        <v>50</v>
      </c>
      <c r="J342" s="4">
        <v>200</v>
      </c>
      <c r="K342" s="4" t="str" cm="1">
        <f t="array" ref="K342">_xlfn.IFS(AND(Table15[[#This Row],[Total Amount]]&gt;=1500),"Critical",AND(Table15[[#This Row],[Total Amount]]&gt;=1000),"High",TRUE,"Normal")</f>
        <v>Normal</v>
      </c>
      <c r="L342" s="4" t="str">
        <f>IF(Table15[[#This Row],[Total Amount]]&gt;=1000,"High",(IF(Table15[[#This Row],[Total Amount]]&gt;=500,"Medium","Low")))</f>
        <v>Low</v>
      </c>
      <c r="M342" s="4" t="str" cm="1">
        <f t="array" ref="M34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42" s="4" cm="1">
        <f t="array" ref="N34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342" s="4">
        <f>Table15[[#This Row],[Total Amount]]-Table15[[#This Row],[Discount Amount]]</f>
        <v>170</v>
      </c>
    </row>
    <row r="343" spans="1:15" x14ac:dyDescent="0.35">
      <c r="A343" s="4">
        <v>342</v>
      </c>
      <c r="B343" s="5">
        <v>45223</v>
      </c>
      <c r="C343" s="4" t="s">
        <v>355</v>
      </c>
      <c r="D343" s="4" t="s">
        <v>13</v>
      </c>
      <c r="E343" s="4">
        <v>43</v>
      </c>
      <c r="F343" s="4" t="str">
        <f>IF(Table15[[#This Row],[Age]]&lt;=19,"Teenager",IF(Table15[[#This Row],[Age]]&lt;=40,"Median","Old"))</f>
        <v>Old</v>
      </c>
      <c r="G343" s="4" t="s">
        <v>14</v>
      </c>
      <c r="H343" s="4">
        <v>4</v>
      </c>
      <c r="I343" s="4">
        <v>500</v>
      </c>
      <c r="J343" s="4">
        <v>2000</v>
      </c>
      <c r="K343" s="4" t="str" cm="1">
        <f t="array" ref="K343">_xlfn.IFS(AND(Table15[[#This Row],[Total Amount]]&gt;=1500),"Critical",AND(Table15[[#This Row],[Total Amount]]&gt;=1000),"High",TRUE,"Normal")</f>
        <v>Critical</v>
      </c>
      <c r="L343" s="4" t="str">
        <f>IF(Table15[[#This Row],[Total Amount]]&gt;=1000,"High",(IF(Table15[[#This Row],[Total Amount]]&gt;=500,"Medium","Low")))</f>
        <v>High</v>
      </c>
      <c r="M343" s="4" t="str" cm="1">
        <f t="array" ref="M34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43" s="4" cm="1">
        <f t="array" ref="N34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343" s="4">
        <f>Table15[[#This Row],[Total Amount]]-Table15[[#This Row],[Discount Amount]]</f>
        <v>1600</v>
      </c>
    </row>
    <row r="344" spans="1:15" x14ac:dyDescent="0.35">
      <c r="A344" s="4">
        <v>343</v>
      </c>
      <c r="B344" s="5">
        <v>45231</v>
      </c>
      <c r="C344" s="4" t="s">
        <v>356</v>
      </c>
      <c r="D344" s="4" t="s">
        <v>10</v>
      </c>
      <c r="E344" s="4">
        <v>21</v>
      </c>
      <c r="F344" s="4" t="str">
        <f>IF(Table15[[#This Row],[Age]]&lt;=19,"Teenager",IF(Table15[[#This Row],[Age]]&lt;=40,"Median","Old"))</f>
        <v>Median</v>
      </c>
      <c r="G344" s="4" t="s">
        <v>16</v>
      </c>
      <c r="H344" s="4">
        <v>2</v>
      </c>
      <c r="I344" s="4">
        <v>25</v>
      </c>
      <c r="J344" s="4">
        <v>50</v>
      </c>
      <c r="K344" s="4" t="str" cm="1">
        <f t="array" ref="K344">_xlfn.IFS(AND(Table15[[#This Row],[Total Amount]]&gt;=1500),"Critical",AND(Table15[[#This Row],[Total Amount]]&gt;=1000),"High",TRUE,"Normal")</f>
        <v>Normal</v>
      </c>
      <c r="L344" s="4" t="str">
        <f>IF(Table15[[#This Row],[Total Amount]]&gt;=1000,"High",(IF(Table15[[#This Row],[Total Amount]]&gt;=500,"Medium","Low")))</f>
        <v>Low</v>
      </c>
      <c r="M344" s="4" t="str" cm="1">
        <f t="array" ref="M34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44" s="4" cm="1">
        <f t="array" ref="N34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44" s="4">
        <f>Table15[[#This Row],[Total Amount]]-Table15[[#This Row],[Discount Amount]]</f>
        <v>50</v>
      </c>
    </row>
    <row r="345" spans="1:15" x14ac:dyDescent="0.35">
      <c r="A345" s="4">
        <v>344</v>
      </c>
      <c r="B345" s="5">
        <v>44947</v>
      </c>
      <c r="C345" s="4" t="s">
        <v>357</v>
      </c>
      <c r="D345" s="4" t="s">
        <v>13</v>
      </c>
      <c r="E345" s="4">
        <v>42</v>
      </c>
      <c r="F345" s="4" t="str">
        <f>IF(Table15[[#This Row],[Age]]&lt;=19,"Teenager",IF(Table15[[#This Row],[Age]]&lt;=40,"Median","Old"))</f>
        <v>Old</v>
      </c>
      <c r="G345" s="4" t="s">
        <v>11</v>
      </c>
      <c r="H345" s="4">
        <v>1</v>
      </c>
      <c r="I345" s="4">
        <v>30</v>
      </c>
      <c r="J345" s="4">
        <v>30</v>
      </c>
      <c r="K345" s="4" t="str" cm="1">
        <f t="array" ref="K345">_xlfn.IFS(AND(Table15[[#This Row],[Total Amount]]&gt;=1500),"Critical",AND(Table15[[#This Row],[Total Amount]]&gt;=1000),"High",TRUE,"Normal")</f>
        <v>Normal</v>
      </c>
      <c r="L345" s="4" t="str">
        <f>IF(Table15[[#This Row],[Total Amount]]&gt;=1000,"High",(IF(Table15[[#This Row],[Total Amount]]&gt;=500,"Medium","Low")))</f>
        <v>Low</v>
      </c>
      <c r="M345" s="4" t="str" cm="1">
        <f t="array" ref="M34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45" s="4" cm="1">
        <f t="array" ref="N34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345" s="4">
        <f>Table15[[#This Row],[Total Amount]]-Table15[[#This Row],[Discount Amount]]</f>
        <v>24</v>
      </c>
    </row>
    <row r="346" spans="1:15" x14ac:dyDescent="0.35">
      <c r="A346" s="4">
        <v>345</v>
      </c>
      <c r="B346" s="5">
        <v>45244</v>
      </c>
      <c r="C346" s="4" t="s">
        <v>358</v>
      </c>
      <c r="D346" s="4" t="s">
        <v>10</v>
      </c>
      <c r="E346" s="4">
        <v>62</v>
      </c>
      <c r="F346" s="4" t="str">
        <f>IF(Table15[[#This Row],[Age]]&lt;=19,"Teenager",IF(Table15[[#This Row],[Age]]&lt;=40,"Median","Old"))</f>
        <v>Old</v>
      </c>
      <c r="G346" s="4" t="s">
        <v>16</v>
      </c>
      <c r="H346" s="4">
        <v>1</v>
      </c>
      <c r="I346" s="4">
        <v>30</v>
      </c>
      <c r="J346" s="4">
        <v>30</v>
      </c>
      <c r="K346" s="4" t="str" cm="1">
        <f t="array" ref="K346">_xlfn.IFS(AND(Table15[[#This Row],[Total Amount]]&gt;=1500),"Critical",AND(Table15[[#This Row],[Total Amount]]&gt;=1000),"High",TRUE,"Normal")</f>
        <v>Normal</v>
      </c>
      <c r="L346" s="4" t="str">
        <f>IF(Table15[[#This Row],[Total Amount]]&gt;=1000,"High",(IF(Table15[[#This Row],[Total Amount]]&gt;=500,"Medium","Low")))</f>
        <v>Low</v>
      </c>
      <c r="M346" s="4" t="str" cm="1">
        <f t="array" ref="M34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46" s="4" cm="1">
        <f t="array" ref="N34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346" s="4">
        <f>Table15[[#This Row],[Total Amount]]-Table15[[#This Row],[Discount Amount]]</f>
        <v>27</v>
      </c>
    </row>
    <row r="347" spans="1:15" x14ac:dyDescent="0.35">
      <c r="A347" s="4">
        <v>346</v>
      </c>
      <c r="B347" s="5">
        <v>44968</v>
      </c>
      <c r="C347" s="4" t="s">
        <v>359</v>
      </c>
      <c r="D347" s="4" t="s">
        <v>10</v>
      </c>
      <c r="E347" s="4">
        <v>59</v>
      </c>
      <c r="F347" s="4" t="str">
        <f>IF(Table15[[#This Row],[Age]]&lt;=19,"Teenager",IF(Table15[[#This Row],[Age]]&lt;=40,"Median","Old"))</f>
        <v>Old</v>
      </c>
      <c r="G347" s="4" t="s">
        <v>14</v>
      </c>
      <c r="H347" s="4">
        <v>2</v>
      </c>
      <c r="I347" s="4">
        <v>500</v>
      </c>
      <c r="J347" s="4">
        <v>1000</v>
      </c>
      <c r="K347" s="4" t="str" cm="1">
        <f t="array" ref="K347">_xlfn.IFS(AND(Table15[[#This Row],[Total Amount]]&gt;=1500),"Critical",AND(Table15[[#This Row],[Total Amount]]&gt;=1000),"High",TRUE,"Normal")</f>
        <v>High</v>
      </c>
      <c r="L347" s="4" t="str">
        <f>IF(Table15[[#This Row],[Total Amount]]&gt;=1000,"High",(IF(Table15[[#This Row],[Total Amount]]&gt;=500,"Medium","Low")))</f>
        <v>High</v>
      </c>
      <c r="M347" s="4" t="str" cm="1">
        <f t="array" ref="M34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47" s="4" cm="1">
        <f t="array" ref="N34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347" s="4">
        <f>Table15[[#This Row],[Total Amount]]-Table15[[#This Row],[Discount Amount]]</f>
        <v>900</v>
      </c>
    </row>
    <row r="348" spans="1:15" x14ac:dyDescent="0.35">
      <c r="A348" s="4">
        <v>347</v>
      </c>
      <c r="B348" s="5">
        <v>45141</v>
      </c>
      <c r="C348" s="4" t="s">
        <v>360</v>
      </c>
      <c r="D348" s="4" t="s">
        <v>10</v>
      </c>
      <c r="E348" s="4">
        <v>42</v>
      </c>
      <c r="F348" s="4" t="str">
        <f>IF(Table15[[#This Row],[Age]]&lt;=19,"Teenager",IF(Table15[[#This Row],[Age]]&lt;=40,"Median","Old"))</f>
        <v>Old</v>
      </c>
      <c r="G348" s="4" t="s">
        <v>16</v>
      </c>
      <c r="H348" s="4">
        <v>1</v>
      </c>
      <c r="I348" s="4">
        <v>25</v>
      </c>
      <c r="J348" s="4">
        <v>25</v>
      </c>
      <c r="K348" s="4" t="str" cm="1">
        <f t="array" ref="K348">_xlfn.IFS(AND(Table15[[#This Row],[Total Amount]]&gt;=1500),"Critical",AND(Table15[[#This Row],[Total Amount]]&gt;=1000),"High",TRUE,"Normal")</f>
        <v>Normal</v>
      </c>
      <c r="L348" s="4" t="str">
        <f>IF(Table15[[#This Row],[Total Amount]]&gt;=1000,"High",(IF(Table15[[#This Row],[Total Amount]]&gt;=500,"Medium","Low")))</f>
        <v>Low</v>
      </c>
      <c r="M348" s="4" t="str" cm="1">
        <f t="array" ref="M34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48" s="4" cm="1">
        <f t="array" ref="N34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348" s="4">
        <f>Table15[[#This Row],[Total Amount]]-Table15[[#This Row],[Discount Amount]]</f>
        <v>22.5</v>
      </c>
    </row>
    <row r="349" spans="1:15" x14ac:dyDescent="0.35">
      <c r="A349" s="4">
        <v>348</v>
      </c>
      <c r="B349" s="5">
        <v>45263</v>
      </c>
      <c r="C349" s="4" t="s">
        <v>361</v>
      </c>
      <c r="D349" s="4" t="s">
        <v>13</v>
      </c>
      <c r="E349" s="4">
        <v>35</v>
      </c>
      <c r="F349" s="4" t="str">
        <f>IF(Table15[[#This Row],[Age]]&lt;=19,"Teenager",IF(Table15[[#This Row],[Age]]&lt;=40,"Median","Old"))</f>
        <v>Median</v>
      </c>
      <c r="G349" s="4" t="s">
        <v>16</v>
      </c>
      <c r="H349" s="4">
        <v>2</v>
      </c>
      <c r="I349" s="4">
        <v>300</v>
      </c>
      <c r="J349" s="4">
        <v>600</v>
      </c>
      <c r="K349" s="4" t="str" cm="1">
        <f t="array" ref="K349">_xlfn.IFS(AND(Table15[[#This Row],[Total Amount]]&gt;=1500),"Critical",AND(Table15[[#This Row],[Total Amount]]&gt;=1000),"High",TRUE,"Normal")</f>
        <v>Normal</v>
      </c>
      <c r="L349" s="4" t="str">
        <f>IF(Table15[[#This Row],[Total Amount]]&gt;=1000,"High",(IF(Table15[[#This Row],[Total Amount]]&gt;=500,"Medium","Low")))</f>
        <v>Medium</v>
      </c>
      <c r="M349" s="4" t="str" cm="1">
        <f t="array" ref="M34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49" s="4" cm="1">
        <f t="array" ref="N34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349" s="4">
        <f>Table15[[#This Row],[Total Amount]]-Table15[[#This Row],[Discount Amount]]</f>
        <v>480</v>
      </c>
    </row>
    <row r="350" spans="1:15" x14ac:dyDescent="0.35">
      <c r="A350" s="4">
        <v>349</v>
      </c>
      <c r="B350" s="5">
        <v>45225</v>
      </c>
      <c r="C350" s="4" t="s">
        <v>362</v>
      </c>
      <c r="D350" s="4" t="s">
        <v>13</v>
      </c>
      <c r="E350" s="4">
        <v>57</v>
      </c>
      <c r="F350" s="4" t="str">
        <f>IF(Table15[[#This Row],[Age]]&lt;=19,"Teenager",IF(Table15[[#This Row],[Age]]&lt;=40,"Median","Old"))</f>
        <v>Old</v>
      </c>
      <c r="G350" s="4" t="s">
        <v>11</v>
      </c>
      <c r="H350" s="4">
        <v>1</v>
      </c>
      <c r="I350" s="4">
        <v>50</v>
      </c>
      <c r="J350" s="4">
        <v>50</v>
      </c>
      <c r="K350" s="4" t="str" cm="1">
        <f t="array" ref="K350">_xlfn.IFS(AND(Table15[[#This Row],[Total Amount]]&gt;=1500),"Critical",AND(Table15[[#This Row],[Total Amount]]&gt;=1000),"High",TRUE,"Normal")</f>
        <v>Normal</v>
      </c>
      <c r="L350" s="4" t="str">
        <f>IF(Table15[[#This Row],[Total Amount]]&gt;=1000,"High",(IF(Table15[[#This Row],[Total Amount]]&gt;=500,"Medium","Low")))</f>
        <v>Low</v>
      </c>
      <c r="M350" s="4" t="str" cm="1">
        <f t="array" ref="M35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50" s="4" cm="1">
        <f t="array" ref="N35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350" s="4">
        <f>Table15[[#This Row],[Total Amount]]-Table15[[#This Row],[Discount Amount]]</f>
        <v>40</v>
      </c>
    </row>
    <row r="351" spans="1:15" x14ac:dyDescent="0.35">
      <c r="A351" s="4">
        <v>350</v>
      </c>
      <c r="B351" s="5">
        <v>45216</v>
      </c>
      <c r="C351" s="4" t="s">
        <v>363</v>
      </c>
      <c r="D351" s="4" t="s">
        <v>10</v>
      </c>
      <c r="E351" s="4">
        <v>25</v>
      </c>
      <c r="F351" s="4" t="str">
        <f>IF(Table15[[#This Row],[Age]]&lt;=19,"Teenager",IF(Table15[[#This Row],[Age]]&lt;=40,"Median","Old"))</f>
        <v>Median</v>
      </c>
      <c r="G351" s="4" t="s">
        <v>11</v>
      </c>
      <c r="H351" s="4">
        <v>3</v>
      </c>
      <c r="I351" s="4">
        <v>25</v>
      </c>
      <c r="J351" s="4">
        <v>75</v>
      </c>
      <c r="K351" s="4" t="str" cm="1">
        <f t="array" ref="K351">_xlfn.IFS(AND(Table15[[#This Row],[Total Amount]]&gt;=1500),"Critical",AND(Table15[[#This Row],[Total Amount]]&gt;=1000),"High",TRUE,"Normal")</f>
        <v>Normal</v>
      </c>
      <c r="L351" s="4" t="str">
        <f>IF(Table15[[#This Row],[Total Amount]]&gt;=1000,"High",(IF(Table15[[#This Row],[Total Amount]]&gt;=500,"Medium","Low")))</f>
        <v>Low</v>
      </c>
      <c r="M351" s="4" t="str" cm="1">
        <f t="array" ref="M35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51" s="4" cm="1">
        <f t="array" ref="N35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11.25</v>
      </c>
      <c r="O351" s="4">
        <f>Table15[[#This Row],[Total Amount]]-Table15[[#This Row],[Discount Amount]]</f>
        <v>63.75</v>
      </c>
    </row>
    <row r="352" spans="1:15" x14ac:dyDescent="0.35">
      <c r="A352" s="4">
        <v>351</v>
      </c>
      <c r="B352" s="5">
        <v>45194</v>
      </c>
      <c r="C352" s="4" t="s">
        <v>364</v>
      </c>
      <c r="D352" s="4" t="s">
        <v>13</v>
      </c>
      <c r="E352" s="4">
        <v>56</v>
      </c>
      <c r="F352" s="4" t="str">
        <f>IF(Table15[[#This Row],[Age]]&lt;=19,"Teenager",IF(Table15[[#This Row],[Age]]&lt;=40,"Median","Old"))</f>
        <v>Old</v>
      </c>
      <c r="G352" s="4" t="s">
        <v>14</v>
      </c>
      <c r="H352" s="4">
        <v>3</v>
      </c>
      <c r="I352" s="4">
        <v>30</v>
      </c>
      <c r="J352" s="4">
        <v>90</v>
      </c>
      <c r="K352" s="4" t="str" cm="1">
        <f t="array" ref="K352">_xlfn.IFS(AND(Table15[[#This Row],[Total Amount]]&gt;=1500),"Critical",AND(Table15[[#This Row],[Total Amount]]&gt;=1000),"High",TRUE,"Normal")</f>
        <v>Normal</v>
      </c>
      <c r="L352" s="4" t="str">
        <f>IF(Table15[[#This Row],[Total Amount]]&gt;=1000,"High",(IF(Table15[[#This Row],[Total Amount]]&gt;=500,"Medium","Low")))</f>
        <v>Low</v>
      </c>
      <c r="M352" s="4" t="str" cm="1">
        <f t="array" ref="M35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52" s="4" cm="1">
        <f t="array" ref="N35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352" s="4">
        <f>Table15[[#This Row],[Total Amount]]-Table15[[#This Row],[Discount Amount]]</f>
        <v>72</v>
      </c>
    </row>
    <row r="353" spans="1:15" x14ac:dyDescent="0.35">
      <c r="A353" s="4">
        <v>352</v>
      </c>
      <c r="B353" s="5">
        <v>45088</v>
      </c>
      <c r="C353" s="4" t="s">
        <v>365</v>
      </c>
      <c r="D353" s="4" t="s">
        <v>10</v>
      </c>
      <c r="E353" s="4">
        <v>57</v>
      </c>
      <c r="F353" s="4" t="str">
        <f>IF(Table15[[#This Row],[Age]]&lt;=19,"Teenager",IF(Table15[[#This Row],[Age]]&lt;=40,"Median","Old"))</f>
        <v>Old</v>
      </c>
      <c r="G353" s="4" t="s">
        <v>16</v>
      </c>
      <c r="H353" s="4">
        <v>2</v>
      </c>
      <c r="I353" s="4">
        <v>500</v>
      </c>
      <c r="J353" s="4">
        <v>1000</v>
      </c>
      <c r="K353" s="4" t="str" cm="1">
        <f t="array" ref="K353">_xlfn.IFS(AND(Table15[[#This Row],[Total Amount]]&gt;=1500),"Critical",AND(Table15[[#This Row],[Total Amount]]&gt;=1000),"High",TRUE,"Normal")</f>
        <v>High</v>
      </c>
      <c r="L353" s="4" t="str">
        <f>IF(Table15[[#This Row],[Total Amount]]&gt;=1000,"High",(IF(Table15[[#This Row],[Total Amount]]&gt;=500,"Medium","Low")))</f>
        <v>High</v>
      </c>
      <c r="M353" s="4" t="str" cm="1">
        <f t="array" ref="M35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53" s="4" cm="1">
        <f t="array" ref="N35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353" s="4">
        <f>Table15[[#This Row],[Total Amount]]-Table15[[#This Row],[Discount Amount]]</f>
        <v>900</v>
      </c>
    </row>
    <row r="354" spans="1:15" x14ac:dyDescent="0.35">
      <c r="A354" s="4">
        <v>353</v>
      </c>
      <c r="B354" s="5">
        <v>45060</v>
      </c>
      <c r="C354" s="4" t="s">
        <v>366</v>
      </c>
      <c r="D354" s="4" t="s">
        <v>10</v>
      </c>
      <c r="E354" s="4">
        <v>31</v>
      </c>
      <c r="F354" s="4" t="str">
        <f>IF(Table15[[#This Row],[Age]]&lt;=19,"Teenager",IF(Table15[[#This Row],[Age]]&lt;=40,"Median","Old"))</f>
        <v>Median</v>
      </c>
      <c r="G354" s="4" t="s">
        <v>16</v>
      </c>
      <c r="H354" s="4">
        <v>1</v>
      </c>
      <c r="I354" s="4">
        <v>500</v>
      </c>
      <c r="J354" s="4">
        <v>500</v>
      </c>
      <c r="K354" s="4" t="str" cm="1">
        <f t="array" ref="K354">_xlfn.IFS(AND(Table15[[#This Row],[Total Amount]]&gt;=1500),"Critical",AND(Table15[[#This Row],[Total Amount]]&gt;=1000),"High",TRUE,"Normal")</f>
        <v>Normal</v>
      </c>
      <c r="L354" s="4" t="str">
        <f>IF(Table15[[#This Row],[Total Amount]]&gt;=1000,"High",(IF(Table15[[#This Row],[Total Amount]]&gt;=500,"Medium","Low")))</f>
        <v>Medium</v>
      </c>
      <c r="M354" s="4" t="str" cm="1">
        <f t="array" ref="M35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54" s="4" cm="1">
        <f t="array" ref="N35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354" s="4">
        <f>Table15[[#This Row],[Total Amount]]-Table15[[#This Row],[Discount Amount]]</f>
        <v>425</v>
      </c>
    </row>
    <row r="355" spans="1:15" x14ac:dyDescent="0.35">
      <c r="A355" s="4">
        <v>354</v>
      </c>
      <c r="B355" s="5">
        <v>45031</v>
      </c>
      <c r="C355" s="4" t="s">
        <v>367</v>
      </c>
      <c r="D355" s="4" t="s">
        <v>13</v>
      </c>
      <c r="E355" s="4">
        <v>49</v>
      </c>
      <c r="F355" s="4" t="str">
        <f>IF(Table15[[#This Row],[Age]]&lt;=19,"Teenager",IF(Table15[[#This Row],[Age]]&lt;=40,"Median","Old"))</f>
        <v>Old</v>
      </c>
      <c r="G355" s="4" t="s">
        <v>11</v>
      </c>
      <c r="H355" s="4">
        <v>4</v>
      </c>
      <c r="I355" s="4">
        <v>50</v>
      </c>
      <c r="J355" s="4">
        <v>200</v>
      </c>
      <c r="K355" s="4" t="str" cm="1">
        <f t="array" ref="K355">_xlfn.IFS(AND(Table15[[#This Row],[Total Amount]]&gt;=1500),"Critical",AND(Table15[[#This Row],[Total Amount]]&gt;=1000),"High",TRUE,"Normal")</f>
        <v>Normal</v>
      </c>
      <c r="L355" s="4" t="str">
        <f>IF(Table15[[#This Row],[Total Amount]]&gt;=1000,"High",(IF(Table15[[#This Row],[Total Amount]]&gt;=500,"Medium","Low")))</f>
        <v>Low</v>
      </c>
      <c r="M355" s="4" t="str" cm="1">
        <f t="array" ref="M35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55" s="4" cm="1">
        <f t="array" ref="N35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355" s="4">
        <f>Table15[[#This Row],[Total Amount]]-Table15[[#This Row],[Discount Amount]]</f>
        <v>160</v>
      </c>
    </row>
    <row r="356" spans="1:15" x14ac:dyDescent="0.35">
      <c r="A356" s="4">
        <v>355</v>
      </c>
      <c r="B356" s="5">
        <v>45269</v>
      </c>
      <c r="C356" s="4" t="s">
        <v>368</v>
      </c>
      <c r="D356" s="4" t="s">
        <v>13</v>
      </c>
      <c r="E356" s="4">
        <v>55</v>
      </c>
      <c r="F356" s="4" t="str">
        <f>IF(Table15[[#This Row],[Age]]&lt;=19,"Teenager",IF(Table15[[#This Row],[Age]]&lt;=40,"Median","Old"))</f>
        <v>Old</v>
      </c>
      <c r="G356" s="4" t="s">
        <v>16</v>
      </c>
      <c r="H356" s="4">
        <v>1</v>
      </c>
      <c r="I356" s="4">
        <v>500</v>
      </c>
      <c r="J356" s="4">
        <v>500</v>
      </c>
      <c r="K356" s="4" t="str" cm="1">
        <f t="array" ref="K356">_xlfn.IFS(AND(Table15[[#This Row],[Total Amount]]&gt;=1500),"Critical",AND(Table15[[#This Row],[Total Amount]]&gt;=1000),"High",TRUE,"Normal")</f>
        <v>Normal</v>
      </c>
      <c r="L356" s="4" t="str">
        <f>IF(Table15[[#This Row],[Total Amount]]&gt;=1000,"High",(IF(Table15[[#This Row],[Total Amount]]&gt;=500,"Medium","Low")))</f>
        <v>Medium</v>
      </c>
      <c r="M356" s="4" t="str" cm="1">
        <f t="array" ref="M35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56" s="4" cm="1">
        <f t="array" ref="N35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356" s="4">
        <f>Table15[[#This Row],[Total Amount]]-Table15[[#This Row],[Discount Amount]]</f>
        <v>400</v>
      </c>
    </row>
    <row r="357" spans="1:15" x14ac:dyDescent="0.35">
      <c r="A357" s="4">
        <v>356</v>
      </c>
      <c r="B357" s="5">
        <v>45087</v>
      </c>
      <c r="C357" s="4" t="s">
        <v>369</v>
      </c>
      <c r="D357" s="4" t="s">
        <v>10</v>
      </c>
      <c r="E357" s="4">
        <v>50</v>
      </c>
      <c r="F357" s="4" t="str">
        <f>IF(Table15[[#This Row],[Age]]&lt;=19,"Teenager",IF(Table15[[#This Row],[Age]]&lt;=40,"Median","Old"))</f>
        <v>Old</v>
      </c>
      <c r="G357" s="4" t="s">
        <v>16</v>
      </c>
      <c r="H357" s="4">
        <v>3</v>
      </c>
      <c r="I357" s="4">
        <v>500</v>
      </c>
      <c r="J357" s="4">
        <v>1500</v>
      </c>
      <c r="K357" s="4" t="str" cm="1">
        <f t="array" ref="K357">_xlfn.IFS(AND(Table15[[#This Row],[Total Amount]]&gt;=1500),"Critical",AND(Table15[[#This Row],[Total Amount]]&gt;=1000),"High",TRUE,"Normal")</f>
        <v>Critical</v>
      </c>
      <c r="L357" s="4" t="str">
        <f>IF(Table15[[#This Row],[Total Amount]]&gt;=1000,"High",(IF(Table15[[#This Row],[Total Amount]]&gt;=500,"Medium","Low")))</f>
        <v>High</v>
      </c>
      <c r="M357" s="4" t="str" cm="1">
        <f t="array" ref="M35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57" s="4" cm="1">
        <f t="array" ref="N35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357" s="4">
        <f>Table15[[#This Row],[Total Amount]]-Table15[[#This Row],[Discount Amount]]</f>
        <v>1350</v>
      </c>
    </row>
    <row r="358" spans="1:15" x14ac:dyDescent="0.35">
      <c r="A358" s="4">
        <v>357</v>
      </c>
      <c r="B358" s="5">
        <v>45049</v>
      </c>
      <c r="C358" s="4" t="s">
        <v>370</v>
      </c>
      <c r="D358" s="4" t="s">
        <v>13</v>
      </c>
      <c r="E358" s="4">
        <v>40</v>
      </c>
      <c r="F358" s="4" t="str">
        <f>IF(Table15[[#This Row],[Age]]&lt;=19,"Teenager",IF(Table15[[#This Row],[Age]]&lt;=40,"Median","Old"))</f>
        <v>Median</v>
      </c>
      <c r="G358" s="4" t="s">
        <v>16</v>
      </c>
      <c r="H358" s="4">
        <v>3</v>
      </c>
      <c r="I358" s="4">
        <v>25</v>
      </c>
      <c r="J358" s="4">
        <v>75</v>
      </c>
      <c r="K358" s="4" t="str" cm="1">
        <f t="array" ref="K358">_xlfn.IFS(AND(Table15[[#This Row],[Total Amount]]&gt;=1500),"Critical",AND(Table15[[#This Row],[Total Amount]]&gt;=1000),"High",TRUE,"Normal")</f>
        <v>Normal</v>
      </c>
      <c r="L358" s="4" t="str">
        <f>IF(Table15[[#This Row],[Total Amount]]&gt;=1000,"High",(IF(Table15[[#This Row],[Total Amount]]&gt;=500,"Medium","Low")))</f>
        <v>Low</v>
      </c>
      <c r="M358" s="4" t="str" cm="1">
        <f t="array" ref="M35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58" s="4" cm="1">
        <f t="array" ref="N35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358" s="4">
        <f>Table15[[#This Row],[Total Amount]]-Table15[[#This Row],[Discount Amount]]</f>
        <v>60</v>
      </c>
    </row>
    <row r="359" spans="1:15" x14ac:dyDescent="0.35">
      <c r="A359" s="4">
        <v>358</v>
      </c>
      <c r="B359" s="5">
        <v>45062</v>
      </c>
      <c r="C359" s="4" t="s">
        <v>371</v>
      </c>
      <c r="D359" s="4" t="s">
        <v>13</v>
      </c>
      <c r="E359" s="4">
        <v>32</v>
      </c>
      <c r="F359" s="4" t="str">
        <f>IF(Table15[[#This Row],[Age]]&lt;=19,"Teenager",IF(Table15[[#This Row],[Age]]&lt;=40,"Median","Old"))</f>
        <v>Median</v>
      </c>
      <c r="G359" s="4" t="s">
        <v>11</v>
      </c>
      <c r="H359" s="4">
        <v>1</v>
      </c>
      <c r="I359" s="4">
        <v>300</v>
      </c>
      <c r="J359" s="4">
        <v>300</v>
      </c>
      <c r="K359" s="4" t="str" cm="1">
        <f t="array" ref="K359">_xlfn.IFS(AND(Table15[[#This Row],[Total Amount]]&gt;=1500),"Critical",AND(Table15[[#This Row],[Total Amount]]&gt;=1000),"High",TRUE,"Normal")</f>
        <v>Normal</v>
      </c>
      <c r="L359" s="4" t="str">
        <f>IF(Table15[[#This Row],[Total Amount]]&gt;=1000,"High",(IF(Table15[[#This Row],[Total Amount]]&gt;=500,"Medium","Low")))</f>
        <v>Low</v>
      </c>
      <c r="M359" s="4" t="str" cm="1">
        <f t="array" ref="M35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59" s="4" cm="1">
        <f t="array" ref="N35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45</v>
      </c>
      <c r="O359" s="4">
        <f>Table15[[#This Row],[Total Amount]]-Table15[[#This Row],[Discount Amount]]</f>
        <v>255</v>
      </c>
    </row>
    <row r="360" spans="1:15" x14ac:dyDescent="0.35">
      <c r="A360" s="4">
        <v>359</v>
      </c>
      <c r="B360" s="5">
        <v>45129</v>
      </c>
      <c r="C360" s="4" t="s">
        <v>372</v>
      </c>
      <c r="D360" s="4" t="s">
        <v>10</v>
      </c>
      <c r="E360" s="4">
        <v>50</v>
      </c>
      <c r="F360" s="4" t="str">
        <f>IF(Table15[[#This Row],[Age]]&lt;=19,"Teenager",IF(Table15[[#This Row],[Age]]&lt;=40,"Median","Old"))</f>
        <v>Old</v>
      </c>
      <c r="G360" s="4" t="s">
        <v>14</v>
      </c>
      <c r="H360" s="4">
        <v>1</v>
      </c>
      <c r="I360" s="4">
        <v>50</v>
      </c>
      <c r="J360" s="4">
        <v>50</v>
      </c>
      <c r="K360" s="4" t="str" cm="1">
        <f t="array" ref="K360">_xlfn.IFS(AND(Table15[[#This Row],[Total Amount]]&gt;=1500),"Critical",AND(Table15[[#This Row],[Total Amount]]&gt;=1000),"High",TRUE,"Normal")</f>
        <v>Normal</v>
      </c>
      <c r="L360" s="4" t="str">
        <f>IF(Table15[[#This Row],[Total Amount]]&gt;=1000,"High",(IF(Table15[[#This Row],[Total Amount]]&gt;=500,"Medium","Low")))</f>
        <v>Low</v>
      </c>
      <c r="M360" s="4" t="str" cm="1">
        <f t="array" ref="M36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60" s="4" cm="1">
        <f t="array" ref="N36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360" s="4">
        <f>Table15[[#This Row],[Total Amount]]-Table15[[#This Row],[Discount Amount]]</f>
        <v>45</v>
      </c>
    </row>
    <row r="361" spans="1:15" x14ac:dyDescent="0.35">
      <c r="A361" s="4">
        <v>360</v>
      </c>
      <c r="B361" s="5">
        <v>44994</v>
      </c>
      <c r="C361" s="4" t="s">
        <v>373</v>
      </c>
      <c r="D361" s="4" t="s">
        <v>10</v>
      </c>
      <c r="E361" s="4">
        <v>42</v>
      </c>
      <c r="F361" s="4" t="str">
        <f>IF(Table15[[#This Row],[Age]]&lt;=19,"Teenager",IF(Table15[[#This Row],[Age]]&lt;=40,"Median","Old"))</f>
        <v>Old</v>
      </c>
      <c r="G361" s="4" t="s">
        <v>14</v>
      </c>
      <c r="H361" s="4">
        <v>4</v>
      </c>
      <c r="I361" s="4">
        <v>25</v>
      </c>
      <c r="J361" s="4">
        <v>100</v>
      </c>
      <c r="K361" s="4" t="str" cm="1">
        <f t="array" ref="K361">_xlfn.IFS(AND(Table15[[#This Row],[Total Amount]]&gt;=1500),"Critical",AND(Table15[[#This Row],[Total Amount]]&gt;=1000),"High",TRUE,"Normal")</f>
        <v>Normal</v>
      </c>
      <c r="L361" s="4" t="str">
        <f>IF(Table15[[#This Row],[Total Amount]]&gt;=1000,"High",(IF(Table15[[#This Row],[Total Amount]]&gt;=500,"Medium","Low")))</f>
        <v>Low</v>
      </c>
      <c r="M361" s="4" t="str" cm="1">
        <f t="array" ref="M36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61" s="4" cm="1">
        <f t="array" ref="N36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361" s="4">
        <f>Table15[[#This Row],[Total Amount]]-Table15[[#This Row],[Discount Amount]]</f>
        <v>90</v>
      </c>
    </row>
    <row r="362" spans="1:15" x14ac:dyDescent="0.35">
      <c r="A362" s="4">
        <v>361</v>
      </c>
      <c r="B362" s="5">
        <v>45270</v>
      </c>
      <c r="C362" s="4" t="s">
        <v>374</v>
      </c>
      <c r="D362" s="4" t="s">
        <v>13</v>
      </c>
      <c r="E362" s="4">
        <v>34</v>
      </c>
      <c r="F362" s="4" t="str">
        <f>IF(Table15[[#This Row],[Age]]&lt;=19,"Teenager",IF(Table15[[#This Row],[Age]]&lt;=40,"Median","Old"))</f>
        <v>Median</v>
      </c>
      <c r="G362" s="4" t="s">
        <v>16</v>
      </c>
      <c r="H362" s="4">
        <v>4</v>
      </c>
      <c r="I362" s="4">
        <v>300</v>
      </c>
      <c r="J362" s="4">
        <v>1200</v>
      </c>
      <c r="K362" s="4" t="str" cm="1">
        <f t="array" ref="K362">_xlfn.IFS(AND(Table15[[#This Row],[Total Amount]]&gt;=1500),"Critical",AND(Table15[[#This Row],[Total Amount]]&gt;=1000),"High",TRUE,"Normal")</f>
        <v>High</v>
      </c>
      <c r="L362" s="4" t="str">
        <f>IF(Table15[[#This Row],[Total Amount]]&gt;=1000,"High",(IF(Table15[[#This Row],[Total Amount]]&gt;=500,"Medium","Low")))</f>
        <v>High</v>
      </c>
      <c r="M362" s="4" t="str" cm="1">
        <f t="array" ref="M36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62" s="4" cm="1">
        <f t="array" ref="N36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362" s="4">
        <f>Table15[[#This Row],[Total Amount]]-Table15[[#This Row],[Discount Amount]]</f>
        <v>1020</v>
      </c>
    </row>
    <row r="363" spans="1:15" x14ac:dyDescent="0.35">
      <c r="A363" s="4">
        <v>362</v>
      </c>
      <c r="B363" s="5">
        <v>45257</v>
      </c>
      <c r="C363" s="4" t="s">
        <v>375</v>
      </c>
      <c r="D363" s="4" t="s">
        <v>10</v>
      </c>
      <c r="E363" s="4">
        <v>50</v>
      </c>
      <c r="F363" s="4" t="str">
        <f>IF(Table15[[#This Row],[Age]]&lt;=19,"Teenager",IF(Table15[[#This Row],[Age]]&lt;=40,"Median","Old"))</f>
        <v>Old</v>
      </c>
      <c r="G363" s="4" t="s">
        <v>14</v>
      </c>
      <c r="H363" s="4">
        <v>1</v>
      </c>
      <c r="I363" s="4">
        <v>25</v>
      </c>
      <c r="J363" s="4">
        <v>25</v>
      </c>
      <c r="K363" s="4" t="str" cm="1">
        <f t="array" ref="K363">_xlfn.IFS(AND(Table15[[#This Row],[Total Amount]]&gt;=1500),"Critical",AND(Table15[[#This Row],[Total Amount]]&gt;=1000),"High",TRUE,"Normal")</f>
        <v>Normal</v>
      </c>
      <c r="L363" s="4" t="str">
        <f>IF(Table15[[#This Row],[Total Amount]]&gt;=1000,"High",(IF(Table15[[#This Row],[Total Amount]]&gt;=500,"Medium","Low")))</f>
        <v>Low</v>
      </c>
      <c r="M363" s="4" t="str" cm="1">
        <f t="array" ref="M36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63" s="4" cm="1">
        <f t="array" ref="N36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363" s="4">
        <f>Table15[[#This Row],[Total Amount]]-Table15[[#This Row],[Discount Amount]]</f>
        <v>22.5</v>
      </c>
    </row>
    <row r="364" spans="1:15" x14ac:dyDescent="0.35">
      <c r="A364" s="4">
        <v>363</v>
      </c>
      <c r="B364" s="5">
        <v>45080</v>
      </c>
      <c r="C364" s="4" t="s">
        <v>376</v>
      </c>
      <c r="D364" s="4" t="s">
        <v>10</v>
      </c>
      <c r="E364" s="4">
        <v>64</v>
      </c>
      <c r="F364" s="4" t="str">
        <f>IF(Table15[[#This Row],[Age]]&lt;=19,"Teenager",IF(Table15[[#This Row],[Age]]&lt;=40,"Median","Old"))</f>
        <v>Old</v>
      </c>
      <c r="G364" s="4" t="s">
        <v>11</v>
      </c>
      <c r="H364" s="4">
        <v>1</v>
      </c>
      <c r="I364" s="4">
        <v>25</v>
      </c>
      <c r="J364" s="4">
        <v>25</v>
      </c>
      <c r="K364" s="4" t="str" cm="1">
        <f t="array" ref="K364">_xlfn.IFS(AND(Table15[[#This Row],[Total Amount]]&gt;=1500),"Critical",AND(Table15[[#This Row],[Total Amount]]&gt;=1000),"High",TRUE,"Normal")</f>
        <v>Normal</v>
      </c>
      <c r="L364" s="4" t="str">
        <f>IF(Table15[[#This Row],[Total Amount]]&gt;=1000,"High",(IF(Table15[[#This Row],[Total Amount]]&gt;=500,"Medium","Low")))</f>
        <v>Low</v>
      </c>
      <c r="M364" s="4" t="str" cm="1">
        <f t="array" ref="M36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64" s="4" cm="1">
        <f t="array" ref="N36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364" s="4">
        <f>Table15[[#This Row],[Total Amount]]-Table15[[#This Row],[Discount Amount]]</f>
        <v>22.5</v>
      </c>
    </row>
    <row r="365" spans="1:15" x14ac:dyDescent="0.35">
      <c r="A365" s="4">
        <v>364</v>
      </c>
      <c r="B365" s="5">
        <v>45161</v>
      </c>
      <c r="C365" s="4" t="s">
        <v>377</v>
      </c>
      <c r="D365" s="4" t="s">
        <v>13</v>
      </c>
      <c r="E365" s="4">
        <v>19</v>
      </c>
      <c r="F365" s="4" t="str">
        <f>IF(Table15[[#This Row],[Age]]&lt;=19,"Teenager",IF(Table15[[#This Row],[Age]]&lt;=40,"Median","Old"))</f>
        <v>Teenager</v>
      </c>
      <c r="G365" s="4" t="s">
        <v>11</v>
      </c>
      <c r="H365" s="4">
        <v>1</v>
      </c>
      <c r="I365" s="4">
        <v>500</v>
      </c>
      <c r="J365" s="4">
        <v>500</v>
      </c>
      <c r="K365" s="4" t="str" cm="1">
        <f t="array" ref="K365">_xlfn.IFS(AND(Table15[[#This Row],[Total Amount]]&gt;=1500),"Critical",AND(Table15[[#This Row],[Total Amount]]&gt;=1000),"High",TRUE,"Normal")</f>
        <v>Normal</v>
      </c>
      <c r="L365" s="4" t="str">
        <f>IF(Table15[[#This Row],[Total Amount]]&gt;=1000,"High",(IF(Table15[[#This Row],[Total Amount]]&gt;=500,"Medium","Low")))</f>
        <v>Medium</v>
      </c>
      <c r="M365" s="4" t="str" cm="1">
        <f t="array" ref="M36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65" s="4" cm="1">
        <f t="array" ref="N36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65" s="4">
        <f>Table15[[#This Row],[Total Amount]]-Table15[[#This Row],[Discount Amount]]</f>
        <v>500</v>
      </c>
    </row>
    <row r="366" spans="1:15" x14ac:dyDescent="0.35">
      <c r="A366" s="4">
        <v>365</v>
      </c>
      <c r="B366" s="5">
        <v>45088</v>
      </c>
      <c r="C366" s="4" t="s">
        <v>378</v>
      </c>
      <c r="D366" s="4" t="s">
        <v>10</v>
      </c>
      <c r="E366" s="4">
        <v>31</v>
      </c>
      <c r="F366" s="4" t="str">
        <f>IF(Table15[[#This Row],[Age]]&lt;=19,"Teenager",IF(Table15[[#This Row],[Age]]&lt;=40,"Median","Old"))</f>
        <v>Median</v>
      </c>
      <c r="G366" s="4" t="s">
        <v>14</v>
      </c>
      <c r="H366" s="4">
        <v>1</v>
      </c>
      <c r="I366" s="4">
        <v>300</v>
      </c>
      <c r="J366" s="4">
        <v>300</v>
      </c>
      <c r="K366" s="4" t="str" cm="1">
        <f t="array" ref="K366">_xlfn.IFS(AND(Table15[[#This Row],[Total Amount]]&gt;=1500),"Critical",AND(Table15[[#This Row],[Total Amount]]&gt;=1000),"High",TRUE,"Normal")</f>
        <v>Normal</v>
      </c>
      <c r="L366" s="4" t="str">
        <f>IF(Table15[[#This Row],[Total Amount]]&gt;=1000,"High",(IF(Table15[[#This Row],[Total Amount]]&gt;=500,"Medium","Low")))</f>
        <v>Low</v>
      </c>
      <c r="M366" s="4" t="str" cm="1">
        <f t="array" ref="M36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66" s="4" cm="1">
        <f t="array" ref="N36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45</v>
      </c>
      <c r="O366" s="4">
        <f>Table15[[#This Row],[Total Amount]]-Table15[[#This Row],[Discount Amount]]</f>
        <v>255</v>
      </c>
    </row>
    <row r="367" spans="1:15" x14ac:dyDescent="0.35">
      <c r="A367" s="4">
        <v>366</v>
      </c>
      <c r="B367" s="5">
        <v>44964</v>
      </c>
      <c r="C367" s="4" t="s">
        <v>379</v>
      </c>
      <c r="D367" s="4" t="s">
        <v>10</v>
      </c>
      <c r="E367" s="4">
        <v>57</v>
      </c>
      <c r="F367" s="4" t="str">
        <f>IF(Table15[[#This Row],[Age]]&lt;=19,"Teenager",IF(Table15[[#This Row],[Age]]&lt;=40,"Median","Old"))</f>
        <v>Old</v>
      </c>
      <c r="G367" s="4" t="s">
        <v>14</v>
      </c>
      <c r="H367" s="4">
        <v>2</v>
      </c>
      <c r="I367" s="4">
        <v>50</v>
      </c>
      <c r="J367" s="4">
        <v>100</v>
      </c>
      <c r="K367" s="4" t="str" cm="1">
        <f t="array" ref="K367">_xlfn.IFS(AND(Table15[[#This Row],[Total Amount]]&gt;=1500),"Critical",AND(Table15[[#This Row],[Total Amount]]&gt;=1000),"High",TRUE,"Normal")</f>
        <v>Normal</v>
      </c>
      <c r="L367" s="4" t="str">
        <f>IF(Table15[[#This Row],[Total Amount]]&gt;=1000,"High",(IF(Table15[[#This Row],[Total Amount]]&gt;=500,"Medium","Low")))</f>
        <v>Low</v>
      </c>
      <c r="M367" s="4" t="str" cm="1">
        <f t="array" ref="M36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67" s="4" cm="1">
        <f t="array" ref="N36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367" s="4">
        <f>Table15[[#This Row],[Total Amount]]-Table15[[#This Row],[Discount Amount]]</f>
        <v>90</v>
      </c>
    </row>
    <row r="368" spans="1:15" x14ac:dyDescent="0.35">
      <c r="A368" s="4">
        <v>367</v>
      </c>
      <c r="B368" s="5">
        <v>44931</v>
      </c>
      <c r="C368" s="4" t="s">
        <v>380</v>
      </c>
      <c r="D368" s="4" t="s">
        <v>13</v>
      </c>
      <c r="E368" s="4">
        <v>57</v>
      </c>
      <c r="F368" s="4" t="str">
        <f>IF(Table15[[#This Row],[Age]]&lt;=19,"Teenager",IF(Table15[[#This Row],[Age]]&lt;=40,"Median","Old"))</f>
        <v>Old</v>
      </c>
      <c r="G368" s="4" t="s">
        <v>16</v>
      </c>
      <c r="H368" s="4">
        <v>1</v>
      </c>
      <c r="I368" s="4">
        <v>50</v>
      </c>
      <c r="J368" s="4">
        <v>50</v>
      </c>
      <c r="K368" s="4" t="str" cm="1">
        <f t="array" ref="K368">_xlfn.IFS(AND(Table15[[#This Row],[Total Amount]]&gt;=1500),"Critical",AND(Table15[[#This Row],[Total Amount]]&gt;=1000),"High",TRUE,"Normal")</f>
        <v>Normal</v>
      </c>
      <c r="L368" s="4" t="str">
        <f>IF(Table15[[#This Row],[Total Amount]]&gt;=1000,"High",(IF(Table15[[#This Row],[Total Amount]]&gt;=500,"Medium","Low")))</f>
        <v>Low</v>
      </c>
      <c r="M368" s="4" t="str" cm="1">
        <f t="array" ref="M36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68" s="4" cm="1">
        <f t="array" ref="N36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368" s="4">
        <f>Table15[[#This Row],[Total Amount]]-Table15[[#This Row],[Discount Amount]]</f>
        <v>40</v>
      </c>
    </row>
    <row r="369" spans="1:15" x14ac:dyDescent="0.35">
      <c r="A369" s="4">
        <v>368</v>
      </c>
      <c r="B369" s="5">
        <v>45161</v>
      </c>
      <c r="C369" s="4" t="s">
        <v>381</v>
      </c>
      <c r="D369" s="4" t="s">
        <v>13</v>
      </c>
      <c r="E369" s="4">
        <v>56</v>
      </c>
      <c r="F369" s="4" t="str">
        <f>IF(Table15[[#This Row],[Age]]&lt;=19,"Teenager",IF(Table15[[#This Row],[Age]]&lt;=40,"Median","Old"))</f>
        <v>Old</v>
      </c>
      <c r="G369" s="4" t="s">
        <v>14</v>
      </c>
      <c r="H369" s="4">
        <v>4</v>
      </c>
      <c r="I369" s="4">
        <v>300</v>
      </c>
      <c r="J369" s="4">
        <v>1200</v>
      </c>
      <c r="K369" s="4" t="str" cm="1">
        <f t="array" ref="K369">_xlfn.IFS(AND(Table15[[#This Row],[Total Amount]]&gt;=1500),"Critical",AND(Table15[[#This Row],[Total Amount]]&gt;=1000),"High",TRUE,"Normal")</f>
        <v>High</v>
      </c>
      <c r="L369" s="4" t="str">
        <f>IF(Table15[[#This Row],[Total Amount]]&gt;=1000,"High",(IF(Table15[[#This Row],[Total Amount]]&gt;=500,"Medium","Low")))</f>
        <v>High</v>
      </c>
      <c r="M369" s="4" t="str" cm="1">
        <f t="array" ref="M36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69" s="4" cm="1">
        <f t="array" ref="N36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369" s="4">
        <f>Table15[[#This Row],[Total Amount]]-Table15[[#This Row],[Discount Amount]]</f>
        <v>960</v>
      </c>
    </row>
    <row r="370" spans="1:15" x14ac:dyDescent="0.35">
      <c r="A370" s="4">
        <v>369</v>
      </c>
      <c r="B370" s="5">
        <v>45245</v>
      </c>
      <c r="C370" s="4" t="s">
        <v>382</v>
      </c>
      <c r="D370" s="4" t="s">
        <v>10</v>
      </c>
      <c r="E370" s="4">
        <v>23</v>
      </c>
      <c r="F370" s="4" t="str">
        <f>IF(Table15[[#This Row],[Age]]&lt;=19,"Teenager",IF(Table15[[#This Row],[Age]]&lt;=40,"Median","Old"))</f>
        <v>Median</v>
      </c>
      <c r="G370" s="4" t="s">
        <v>16</v>
      </c>
      <c r="H370" s="4">
        <v>3</v>
      </c>
      <c r="I370" s="4">
        <v>500</v>
      </c>
      <c r="J370" s="4">
        <v>1500</v>
      </c>
      <c r="K370" s="4" t="str" cm="1">
        <f t="array" ref="K370">_xlfn.IFS(AND(Table15[[#This Row],[Total Amount]]&gt;=1500),"Critical",AND(Table15[[#This Row],[Total Amount]]&gt;=1000),"High",TRUE,"Normal")</f>
        <v>Critical</v>
      </c>
      <c r="L370" s="4" t="str">
        <f>IF(Table15[[#This Row],[Total Amount]]&gt;=1000,"High",(IF(Table15[[#This Row],[Total Amount]]&gt;=500,"Medium","Low")))</f>
        <v>High</v>
      </c>
      <c r="M370" s="4" t="str" cm="1">
        <f t="array" ref="M37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70" s="4" cm="1">
        <f t="array" ref="N37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70" s="4">
        <f>Table15[[#This Row],[Total Amount]]-Table15[[#This Row],[Discount Amount]]</f>
        <v>1500</v>
      </c>
    </row>
    <row r="371" spans="1:15" x14ac:dyDescent="0.35">
      <c r="A371" s="4">
        <v>370</v>
      </c>
      <c r="B371" s="5">
        <v>45215</v>
      </c>
      <c r="C371" s="4" t="s">
        <v>383</v>
      </c>
      <c r="D371" s="4" t="s">
        <v>10</v>
      </c>
      <c r="E371" s="4">
        <v>23</v>
      </c>
      <c r="F371" s="4" t="str">
        <f>IF(Table15[[#This Row],[Age]]&lt;=19,"Teenager",IF(Table15[[#This Row],[Age]]&lt;=40,"Median","Old"))</f>
        <v>Median</v>
      </c>
      <c r="G371" s="4" t="s">
        <v>16</v>
      </c>
      <c r="H371" s="4">
        <v>2</v>
      </c>
      <c r="I371" s="4">
        <v>30</v>
      </c>
      <c r="J371" s="4">
        <v>60</v>
      </c>
      <c r="K371" s="4" t="str" cm="1">
        <f t="array" ref="K371">_xlfn.IFS(AND(Table15[[#This Row],[Total Amount]]&gt;=1500),"Critical",AND(Table15[[#This Row],[Total Amount]]&gt;=1000),"High",TRUE,"Normal")</f>
        <v>Normal</v>
      </c>
      <c r="L371" s="4" t="str">
        <f>IF(Table15[[#This Row],[Total Amount]]&gt;=1000,"High",(IF(Table15[[#This Row],[Total Amount]]&gt;=500,"Medium","Low")))</f>
        <v>Low</v>
      </c>
      <c r="M371" s="4" t="str" cm="1">
        <f t="array" ref="M37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71" s="4" cm="1">
        <f t="array" ref="N37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71" s="4">
        <f>Table15[[#This Row],[Total Amount]]-Table15[[#This Row],[Discount Amount]]</f>
        <v>60</v>
      </c>
    </row>
    <row r="372" spans="1:15" x14ac:dyDescent="0.35">
      <c r="A372" s="4">
        <v>371</v>
      </c>
      <c r="B372" s="5">
        <v>44978</v>
      </c>
      <c r="C372" s="4" t="s">
        <v>384</v>
      </c>
      <c r="D372" s="4" t="s">
        <v>13</v>
      </c>
      <c r="E372" s="4">
        <v>20</v>
      </c>
      <c r="F372" s="4" t="str">
        <f>IF(Table15[[#This Row],[Age]]&lt;=19,"Teenager",IF(Table15[[#This Row],[Age]]&lt;=40,"Median","Old"))</f>
        <v>Median</v>
      </c>
      <c r="G372" s="4" t="s">
        <v>11</v>
      </c>
      <c r="H372" s="4">
        <v>1</v>
      </c>
      <c r="I372" s="4">
        <v>25</v>
      </c>
      <c r="J372" s="4">
        <v>25</v>
      </c>
      <c r="K372" s="4" t="str" cm="1">
        <f t="array" ref="K372">_xlfn.IFS(AND(Table15[[#This Row],[Total Amount]]&gt;=1500),"Critical",AND(Table15[[#This Row],[Total Amount]]&gt;=1000),"High",TRUE,"Normal")</f>
        <v>Normal</v>
      </c>
      <c r="L372" s="4" t="str">
        <f>IF(Table15[[#This Row],[Total Amount]]&gt;=1000,"High",(IF(Table15[[#This Row],[Total Amount]]&gt;=500,"Medium","Low")))</f>
        <v>Low</v>
      </c>
      <c r="M372" s="4" t="str" cm="1">
        <f t="array" ref="M37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72" s="4" cm="1">
        <f t="array" ref="N37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72" s="4">
        <f>Table15[[#This Row],[Total Amount]]-Table15[[#This Row],[Discount Amount]]</f>
        <v>25</v>
      </c>
    </row>
    <row r="373" spans="1:15" x14ac:dyDescent="0.35">
      <c r="A373" s="4">
        <v>372</v>
      </c>
      <c r="B373" s="5">
        <v>44964</v>
      </c>
      <c r="C373" s="4" t="s">
        <v>385</v>
      </c>
      <c r="D373" s="4" t="s">
        <v>13</v>
      </c>
      <c r="E373" s="4">
        <v>24</v>
      </c>
      <c r="F373" s="4" t="str">
        <f>IF(Table15[[#This Row],[Age]]&lt;=19,"Teenager",IF(Table15[[#This Row],[Age]]&lt;=40,"Median","Old"))</f>
        <v>Median</v>
      </c>
      <c r="G373" s="4" t="s">
        <v>11</v>
      </c>
      <c r="H373" s="4">
        <v>3</v>
      </c>
      <c r="I373" s="4">
        <v>500</v>
      </c>
      <c r="J373" s="4">
        <v>1500</v>
      </c>
      <c r="K373" s="4" t="str" cm="1">
        <f t="array" ref="K373">_xlfn.IFS(AND(Table15[[#This Row],[Total Amount]]&gt;=1500),"Critical",AND(Table15[[#This Row],[Total Amount]]&gt;=1000),"High",TRUE,"Normal")</f>
        <v>Critical</v>
      </c>
      <c r="L373" s="4" t="str">
        <f>IF(Table15[[#This Row],[Total Amount]]&gt;=1000,"High",(IF(Table15[[#This Row],[Total Amount]]&gt;=500,"Medium","Low")))</f>
        <v>High</v>
      </c>
      <c r="M373" s="4" t="str" cm="1">
        <f t="array" ref="M37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73" s="4" cm="1">
        <f t="array" ref="N37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73" s="4">
        <f>Table15[[#This Row],[Total Amount]]-Table15[[#This Row],[Discount Amount]]</f>
        <v>1500</v>
      </c>
    </row>
    <row r="374" spans="1:15" x14ac:dyDescent="0.35">
      <c r="A374" s="4">
        <v>373</v>
      </c>
      <c r="B374" s="5">
        <v>45202</v>
      </c>
      <c r="C374" s="4" t="s">
        <v>386</v>
      </c>
      <c r="D374" s="4" t="s">
        <v>13</v>
      </c>
      <c r="E374" s="4">
        <v>25</v>
      </c>
      <c r="F374" s="4" t="str">
        <f>IF(Table15[[#This Row],[Age]]&lt;=19,"Teenager",IF(Table15[[#This Row],[Age]]&lt;=40,"Median","Old"))</f>
        <v>Median</v>
      </c>
      <c r="G374" s="4" t="s">
        <v>11</v>
      </c>
      <c r="H374" s="4">
        <v>2</v>
      </c>
      <c r="I374" s="4">
        <v>300</v>
      </c>
      <c r="J374" s="4">
        <v>600</v>
      </c>
      <c r="K374" s="4" t="str" cm="1">
        <f t="array" ref="K374">_xlfn.IFS(AND(Table15[[#This Row],[Total Amount]]&gt;=1500),"Critical",AND(Table15[[#This Row],[Total Amount]]&gt;=1000),"High",TRUE,"Normal")</f>
        <v>Normal</v>
      </c>
      <c r="L374" s="4" t="str">
        <f>IF(Table15[[#This Row],[Total Amount]]&gt;=1000,"High",(IF(Table15[[#This Row],[Total Amount]]&gt;=500,"Medium","Low")))</f>
        <v>Medium</v>
      </c>
      <c r="M374" s="4" t="str" cm="1">
        <f t="array" ref="M37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74" s="4" cm="1">
        <f t="array" ref="N37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374" s="4">
        <f>Table15[[#This Row],[Total Amount]]-Table15[[#This Row],[Discount Amount]]</f>
        <v>510</v>
      </c>
    </row>
    <row r="375" spans="1:15" x14ac:dyDescent="0.35">
      <c r="A375" s="4">
        <v>374</v>
      </c>
      <c r="B375" s="5">
        <v>45036</v>
      </c>
      <c r="C375" s="4" t="s">
        <v>387</v>
      </c>
      <c r="D375" s="4" t="s">
        <v>13</v>
      </c>
      <c r="E375" s="4">
        <v>59</v>
      </c>
      <c r="F375" s="4" t="str">
        <f>IF(Table15[[#This Row],[Age]]&lt;=19,"Teenager",IF(Table15[[#This Row],[Age]]&lt;=40,"Median","Old"))</f>
        <v>Old</v>
      </c>
      <c r="G375" s="4" t="s">
        <v>11</v>
      </c>
      <c r="H375" s="4">
        <v>3</v>
      </c>
      <c r="I375" s="4">
        <v>25</v>
      </c>
      <c r="J375" s="4">
        <v>75</v>
      </c>
      <c r="K375" s="4" t="str" cm="1">
        <f t="array" ref="K375">_xlfn.IFS(AND(Table15[[#This Row],[Total Amount]]&gt;=1500),"Critical",AND(Table15[[#This Row],[Total Amount]]&gt;=1000),"High",TRUE,"Normal")</f>
        <v>Normal</v>
      </c>
      <c r="L375" s="4" t="str">
        <f>IF(Table15[[#This Row],[Total Amount]]&gt;=1000,"High",(IF(Table15[[#This Row],[Total Amount]]&gt;=500,"Medium","Low")))</f>
        <v>Low</v>
      </c>
      <c r="M375" s="4" t="str" cm="1">
        <f t="array" ref="M37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75" s="4" cm="1">
        <f t="array" ref="N37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375" s="4">
        <f>Table15[[#This Row],[Total Amount]]-Table15[[#This Row],[Discount Amount]]</f>
        <v>60</v>
      </c>
    </row>
    <row r="376" spans="1:15" x14ac:dyDescent="0.35">
      <c r="A376" s="4">
        <v>375</v>
      </c>
      <c r="B376" s="5">
        <v>45186</v>
      </c>
      <c r="C376" s="4" t="s">
        <v>388</v>
      </c>
      <c r="D376" s="4" t="s">
        <v>10</v>
      </c>
      <c r="E376" s="4">
        <v>32</v>
      </c>
      <c r="F376" s="4" t="str">
        <f>IF(Table15[[#This Row],[Age]]&lt;=19,"Teenager",IF(Table15[[#This Row],[Age]]&lt;=40,"Median","Old"))</f>
        <v>Median</v>
      </c>
      <c r="G376" s="4" t="s">
        <v>14</v>
      </c>
      <c r="H376" s="4">
        <v>1</v>
      </c>
      <c r="I376" s="4">
        <v>50</v>
      </c>
      <c r="J376" s="4">
        <v>50</v>
      </c>
      <c r="K376" s="4" t="str" cm="1">
        <f t="array" ref="K376">_xlfn.IFS(AND(Table15[[#This Row],[Total Amount]]&gt;=1500),"Critical",AND(Table15[[#This Row],[Total Amount]]&gt;=1000),"High",TRUE,"Normal")</f>
        <v>Normal</v>
      </c>
      <c r="L376" s="4" t="str">
        <f>IF(Table15[[#This Row],[Total Amount]]&gt;=1000,"High",(IF(Table15[[#This Row],[Total Amount]]&gt;=500,"Medium","Low")))</f>
        <v>Low</v>
      </c>
      <c r="M376" s="4" t="str" cm="1">
        <f t="array" ref="M37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76" s="4" cm="1">
        <f t="array" ref="N37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376" s="4">
        <f>Table15[[#This Row],[Total Amount]]-Table15[[#This Row],[Discount Amount]]</f>
        <v>42.5</v>
      </c>
    </row>
    <row r="377" spans="1:15" x14ac:dyDescent="0.35">
      <c r="A377" s="4">
        <v>376</v>
      </c>
      <c r="B377" s="5">
        <v>45062</v>
      </c>
      <c r="C377" s="4" t="s">
        <v>389</v>
      </c>
      <c r="D377" s="4" t="s">
        <v>13</v>
      </c>
      <c r="E377" s="4">
        <v>64</v>
      </c>
      <c r="F377" s="4" t="str">
        <f>IF(Table15[[#This Row],[Age]]&lt;=19,"Teenager",IF(Table15[[#This Row],[Age]]&lt;=40,"Median","Old"))</f>
        <v>Old</v>
      </c>
      <c r="G377" s="4" t="s">
        <v>11</v>
      </c>
      <c r="H377" s="4">
        <v>1</v>
      </c>
      <c r="I377" s="4">
        <v>30</v>
      </c>
      <c r="J377" s="4">
        <v>30</v>
      </c>
      <c r="K377" s="4" t="str" cm="1">
        <f t="array" ref="K377">_xlfn.IFS(AND(Table15[[#This Row],[Total Amount]]&gt;=1500),"Critical",AND(Table15[[#This Row],[Total Amount]]&gt;=1000),"High",TRUE,"Normal")</f>
        <v>Normal</v>
      </c>
      <c r="L377" s="4" t="str">
        <f>IF(Table15[[#This Row],[Total Amount]]&gt;=1000,"High",(IF(Table15[[#This Row],[Total Amount]]&gt;=500,"Medium","Low")))</f>
        <v>Low</v>
      </c>
      <c r="M377" s="4" t="str" cm="1">
        <f t="array" ref="M37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77" s="4" cm="1">
        <f t="array" ref="N37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377" s="4">
        <f>Table15[[#This Row],[Total Amount]]-Table15[[#This Row],[Discount Amount]]</f>
        <v>24</v>
      </c>
    </row>
    <row r="378" spans="1:15" x14ac:dyDescent="0.35">
      <c r="A378" s="4">
        <v>377</v>
      </c>
      <c r="B378" s="5">
        <v>44994</v>
      </c>
      <c r="C378" s="4" t="s">
        <v>390</v>
      </c>
      <c r="D378" s="4" t="s">
        <v>13</v>
      </c>
      <c r="E378" s="4">
        <v>46</v>
      </c>
      <c r="F378" s="4" t="str">
        <f>IF(Table15[[#This Row],[Age]]&lt;=19,"Teenager",IF(Table15[[#This Row],[Age]]&lt;=40,"Median","Old"))</f>
        <v>Old</v>
      </c>
      <c r="G378" s="4" t="s">
        <v>14</v>
      </c>
      <c r="H378" s="4">
        <v>4</v>
      </c>
      <c r="I378" s="4">
        <v>50</v>
      </c>
      <c r="J378" s="4">
        <v>200</v>
      </c>
      <c r="K378" s="4" t="str" cm="1">
        <f t="array" ref="K378">_xlfn.IFS(AND(Table15[[#This Row],[Total Amount]]&gt;=1500),"Critical",AND(Table15[[#This Row],[Total Amount]]&gt;=1000),"High",TRUE,"Normal")</f>
        <v>Normal</v>
      </c>
      <c r="L378" s="4" t="str">
        <f>IF(Table15[[#This Row],[Total Amount]]&gt;=1000,"High",(IF(Table15[[#This Row],[Total Amount]]&gt;=500,"Medium","Low")))</f>
        <v>Low</v>
      </c>
      <c r="M378" s="4" t="str" cm="1">
        <f t="array" ref="M37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78" s="4" cm="1">
        <f t="array" ref="N37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378" s="4">
        <f>Table15[[#This Row],[Total Amount]]-Table15[[#This Row],[Discount Amount]]</f>
        <v>160</v>
      </c>
    </row>
    <row r="379" spans="1:15" x14ac:dyDescent="0.35">
      <c r="A379" s="4">
        <v>378</v>
      </c>
      <c r="B379" s="5">
        <v>45105</v>
      </c>
      <c r="C379" s="4" t="s">
        <v>391</v>
      </c>
      <c r="D379" s="4" t="s">
        <v>10</v>
      </c>
      <c r="E379" s="4">
        <v>50</v>
      </c>
      <c r="F379" s="4" t="str">
        <f>IF(Table15[[#This Row],[Age]]&lt;=19,"Teenager",IF(Table15[[#This Row],[Age]]&lt;=40,"Median","Old"))</f>
        <v>Old</v>
      </c>
      <c r="G379" s="4" t="s">
        <v>11</v>
      </c>
      <c r="H379" s="4">
        <v>1</v>
      </c>
      <c r="I379" s="4">
        <v>300</v>
      </c>
      <c r="J379" s="4">
        <v>300</v>
      </c>
      <c r="K379" s="4" t="str" cm="1">
        <f t="array" ref="K379">_xlfn.IFS(AND(Table15[[#This Row],[Total Amount]]&gt;=1500),"Critical",AND(Table15[[#This Row],[Total Amount]]&gt;=1000),"High",TRUE,"Normal")</f>
        <v>Normal</v>
      </c>
      <c r="L379" s="4" t="str">
        <f>IF(Table15[[#This Row],[Total Amount]]&gt;=1000,"High",(IF(Table15[[#This Row],[Total Amount]]&gt;=500,"Medium","Low")))</f>
        <v>Low</v>
      </c>
      <c r="M379" s="4" t="str" cm="1">
        <f t="array" ref="M37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79" s="4" cm="1">
        <f t="array" ref="N37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379" s="4">
        <f>Table15[[#This Row],[Total Amount]]-Table15[[#This Row],[Discount Amount]]</f>
        <v>270</v>
      </c>
    </row>
    <row r="380" spans="1:15" x14ac:dyDescent="0.35">
      <c r="A380" s="4">
        <v>379</v>
      </c>
      <c r="B380" s="5">
        <v>44962</v>
      </c>
      <c r="C380" s="4" t="s">
        <v>392</v>
      </c>
      <c r="D380" s="4" t="s">
        <v>13</v>
      </c>
      <c r="E380" s="4">
        <v>47</v>
      </c>
      <c r="F380" s="4" t="str">
        <f>IF(Table15[[#This Row],[Age]]&lt;=19,"Teenager",IF(Table15[[#This Row],[Age]]&lt;=40,"Median","Old"))</f>
        <v>Old</v>
      </c>
      <c r="G380" s="4" t="s">
        <v>14</v>
      </c>
      <c r="H380" s="4">
        <v>1</v>
      </c>
      <c r="I380" s="4">
        <v>25</v>
      </c>
      <c r="J380" s="4">
        <v>25</v>
      </c>
      <c r="K380" s="4" t="str" cm="1">
        <f t="array" ref="K380">_xlfn.IFS(AND(Table15[[#This Row],[Total Amount]]&gt;=1500),"Critical",AND(Table15[[#This Row],[Total Amount]]&gt;=1000),"High",TRUE,"Normal")</f>
        <v>Normal</v>
      </c>
      <c r="L380" s="4" t="str">
        <f>IF(Table15[[#This Row],[Total Amount]]&gt;=1000,"High",(IF(Table15[[#This Row],[Total Amount]]&gt;=500,"Medium","Low")))</f>
        <v>Low</v>
      </c>
      <c r="M380" s="4" t="str" cm="1">
        <f t="array" ref="M38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80" s="4" cm="1">
        <f t="array" ref="N38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380" s="4">
        <f>Table15[[#This Row],[Total Amount]]-Table15[[#This Row],[Discount Amount]]</f>
        <v>20</v>
      </c>
    </row>
    <row r="381" spans="1:15" x14ac:dyDescent="0.35">
      <c r="A381" s="4">
        <v>380</v>
      </c>
      <c r="B381" s="5">
        <v>45052</v>
      </c>
      <c r="C381" s="4" t="s">
        <v>393</v>
      </c>
      <c r="D381" s="4" t="s">
        <v>10</v>
      </c>
      <c r="E381" s="4">
        <v>56</v>
      </c>
      <c r="F381" s="4" t="str">
        <f>IF(Table15[[#This Row],[Age]]&lt;=19,"Teenager",IF(Table15[[#This Row],[Age]]&lt;=40,"Median","Old"))</f>
        <v>Old</v>
      </c>
      <c r="G381" s="4" t="s">
        <v>16</v>
      </c>
      <c r="H381" s="4">
        <v>2</v>
      </c>
      <c r="I381" s="4">
        <v>300</v>
      </c>
      <c r="J381" s="4">
        <v>600</v>
      </c>
      <c r="K381" s="4" t="str" cm="1">
        <f t="array" ref="K381">_xlfn.IFS(AND(Table15[[#This Row],[Total Amount]]&gt;=1500),"Critical",AND(Table15[[#This Row],[Total Amount]]&gt;=1000),"High",TRUE,"Normal")</f>
        <v>Normal</v>
      </c>
      <c r="L381" s="4" t="str">
        <f>IF(Table15[[#This Row],[Total Amount]]&gt;=1000,"High",(IF(Table15[[#This Row],[Total Amount]]&gt;=500,"Medium","Low")))</f>
        <v>Medium</v>
      </c>
      <c r="M381" s="4" t="str" cm="1">
        <f t="array" ref="M38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81" s="4" cm="1">
        <f t="array" ref="N38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381" s="4">
        <f>Table15[[#This Row],[Total Amount]]-Table15[[#This Row],[Discount Amount]]</f>
        <v>540</v>
      </c>
    </row>
    <row r="382" spans="1:15" x14ac:dyDescent="0.35">
      <c r="A382" s="4">
        <v>381</v>
      </c>
      <c r="B382" s="5">
        <v>45116</v>
      </c>
      <c r="C382" s="4" t="s">
        <v>394</v>
      </c>
      <c r="D382" s="4" t="s">
        <v>13</v>
      </c>
      <c r="E382" s="4">
        <v>44</v>
      </c>
      <c r="F382" s="4" t="str">
        <f>IF(Table15[[#This Row],[Age]]&lt;=19,"Teenager",IF(Table15[[#This Row],[Age]]&lt;=40,"Median","Old"))</f>
        <v>Old</v>
      </c>
      <c r="G382" s="4" t="s">
        <v>14</v>
      </c>
      <c r="H382" s="4">
        <v>4</v>
      </c>
      <c r="I382" s="4">
        <v>25</v>
      </c>
      <c r="J382" s="4">
        <v>100</v>
      </c>
      <c r="K382" s="4" t="str" cm="1">
        <f t="array" ref="K382">_xlfn.IFS(AND(Table15[[#This Row],[Total Amount]]&gt;=1500),"Critical",AND(Table15[[#This Row],[Total Amount]]&gt;=1000),"High",TRUE,"Normal")</f>
        <v>Normal</v>
      </c>
      <c r="L382" s="4" t="str">
        <f>IF(Table15[[#This Row],[Total Amount]]&gt;=1000,"High",(IF(Table15[[#This Row],[Total Amount]]&gt;=500,"Medium","Low")))</f>
        <v>Low</v>
      </c>
      <c r="M382" s="4" t="str" cm="1">
        <f t="array" ref="M38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82" s="4" cm="1">
        <f t="array" ref="N38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382" s="4">
        <f>Table15[[#This Row],[Total Amount]]-Table15[[#This Row],[Discount Amount]]</f>
        <v>80</v>
      </c>
    </row>
    <row r="383" spans="1:15" x14ac:dyDescent="0.35">
      <c r="A383" s="4">
        <v>382</v>
      </c>
      <c r="B383" s="5">
        <v>45072</v>
      </c>
      <c r="C383" s="4" t="s">
        <v>395</v>
      </c>
      <c r="D383" s="4" t="s">
        <v>13</v>
      </c>
      <c r="E383" s="4">
        <v>53</v>
      </c>
      <c r="F383" s="4" t="str">
        <f>IF(Table15[[#This Row],[Age]]&lt;=19,"Teenager",IF(Table15[[#This Row],[Age]]&lt;=40,"Median","Old"))</f>
        <v>Old</v>
      </c>
      <c r="G383" s="4" t="s">
        <v>14</v>
      </c>
      <c r="H383" s="4">
        <v>2</v>
      </c>
      <c r="I383" s="4">
        <v>500</v>
      </c>
      <c r="J383" s="4">
        <v>1000</v>
      </c>
      <c r="K383" s="4" t="str" cm="1">
        <f t="array" ref="K383">_xlfn.IFS(AND(Table15[[#This Row],[Total Amount]]&gt;=1500),"Critical",AND(Table15[[#This Row],[Total Amount]]&gt;=1000),"High",TRUE,"Normal")</f>
        <v>High</v>
      </c>
      <c r="L383" s="4" t="str">
        <f>IF(Table15[[#This Row],[Total Amount]]&gt;=1000,"High",(IF(Table15[[#This Row],[Total Amount]]&gt;=500,"Medium","Low")))</f>
        <v>High</v>
      </c>
      <c r="M383" s="4" t="str" cm="1">
        <f t="array" ref="M38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83" s="4" cm="1">
        <f t="array" ref="N38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383" s="4">
        <f>Table15[[#This Row],[Total Amount]]-Table15[[#This Row],[Discount Amount]]</f>
        <v>800</v>
      </c>
    </row>
    <row r="384" spans="1:15" x14ac:dyDescent="0.35">
      <c r="A384" s="4">
        <v>383</v>
      </c>
      <c r="B384" s="5">
        <v>45007</v>
      </c>
      <c r="C384" s="4" t="s">
        <v>396</v>
      </c>
      <c r="D384" s="4" t="s">
        <v>13</v>
      </c>
      <c r="E384" s="4">
        <v>46</v>
      </c>
      <c r="F384" s="4" t="str">
        <f>IF(Table15[[#This Row],[Age]]&lt;=19,"Teenager",IF(Table15[[#This Row],[Age]]&lt;=40,"Median","Old"))</f>
        <v>Old</v>
      </c>
      <c r="G384" s="4" t="s">
        <v>11</v>
      </c>
      <c r="H384" s="4">
        <v>3</v>
      </c>
      <c r="I384" s="4">
        <v>30</v>
      </c>
      <c r="J384" s="4">
        <v>90</v>
      </c>
      <c r="K384" s="4" t="str" cm="1">
        <f t="array" ref="K384">_xlfn.IFS(AND(Table15[[#This Row],[Total Amount]]&gt;=1500),"Critical",AND(Table15[[#This Row],[Total Amount]]&gt;=1000),"High",TRUE,"Normal")</f>
        <v>Normal</v>
      </c>
      <c r="L384" s="4" t="str">
        <f>IF(Table15[[#This Row],[Total Amount]]&gt;=1000,"High",(IF(Table15[[#This Row],[Total Amount]]&gt;=500,"Medium","Low")))</f>
        <v>Low</v>
      </c>
      <c r="M384" s="4" t="str" cm="1">
        <f t="array" ref="M38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84" s="4" cm="1">
        <f t="array" ref="N38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384" s="4">
        <f>Table15[[#This Row],[Total Amount]]-Table15[[#This Row],[Discount Amount]]</f>
        <v>72</v>
      </c>
    </row>
    <row r="385" spans="1:15" x14ac:dyDescent="0.35">
      <c r="A385" s="4">
        <v>384</v>
      </c>
      <c r="B385" s="5">
        <v>45151</v>
      </c>
      <c r="C385" s="4" t="s">
        <v>397</v>
      </c>
      <c r="D385" s="4" t="s">
        <v>10</v>
      </c>
      <c r="E385" s="4">
        <v>55</v>
      </c>
      <c r="F385" s="4" t="str">
        <f>IF(Table15[[#This Row],[Age]]&lt;=19,"Teenager",IF(Table15[[#This Row],[Age]]&lt;=40,"Median","Old"))</f>
        <v>Old</v>
      </c>
      <c r="G385" s="4" t="s">
        <v>14</v>
      </c>
      <c r="H385" s="4">
        <v>1</v>
      </c>
      <c r="I385" s="4">
        <v>500</v>
      </c>
      <c r="J385" s="4">
        <v>500</v>
      </c>
      <c r="K385" s="4" t="str" cm="1">
        <f t="array" ref="K385">_xlfn.IFS(AND(Table15[[#This Row],[Total Amount]]&gt;=1500),"Critical",AND(Table15[[#This Row],[Total Amount]]&gt;=1000),"High",TRUE,"Normal")</f>
        <v>Normal</v>
      </c>
      <c r="L385" s="4" t="str">
        <f>IF(Table15[[#This Row],[Total Amount]]&gt;=1000,"High",(IF(Table15[[#This Row],[Total Amount]]&gt;=500,"Medium","Low")))</f>
        <v>Medium</v>
      </c>
      <c r="M385" s="4" t="str" cm="1">
        <f t="array" ref="M38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85" s="4" cm="1">
        <f t="array" ref="N38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385" s="4">
        <f>Table15[[#This Row],[Total Amount]]-Table15[[#This Row],[Discount Amount]]</f>
        <v>450</v>
      </c>
    </row>
    <row r="386" spans="1:15" x14ac:dyDescent="0.35">
      <c r="A386" s="4">
        <v>385</v>
      </c>
      <c r="B386" s="5">
        <v>45205</v>
      </c>
      <c r="C386" s="4" t="s">
        <v>398</v>
      </c>
      <c r="D386" s="4" t="s">
        <v>10</v>
      </c>
      <c r="E386" s="4">
        <v>50</v>
      </c>
      <c r="F386" s="4" t="str">
        <f>IF(Table15[[#This Row],[Age]]&lt;=19,"Teenager",IF(Table15[[#This Row],[Age]]&lt;=40,"Median","Old"))</f>
        <v>Old</v>
      </c>
      <c r="G386" s="4" t="s">
        <v>16</v>
      </c>
      <c r="H386" s="4">
        <v>3</v>
      </c>
      <c r="I386" s="4">
        <v>500</v>
      </c>
      <c r="J386" s="4">
        <v>1500</v>
      </c>
      <c r="K386" s="4" t="str" cm="1">
        <f t="array" ref="K386">_xlfn.IFS(AND(Table15[[#This Row],[Total Amount]]&gt;=1500),"Critical",AND(Table15[[#This Row],[Total Amount]]&gt;=1000),"High",TRUE,"Normal")</f>
        <v>Critical</v>
      </c>
      <c r="L386" s="4" t="str">
        <f>IF(Table15[[#This Row],[Total Amount]]&gt;=1000,"High",(IF(Table15[[#This Row],[Total Amount]]&gt;=500,"Medium","Low")))</f>
        <v>High</v>
      </c>
      <c r="M386" s="4" t="str" cm="1">
        <f t="array" ref="M38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86" s="4" cm="1">
        <f t="array" ref="N38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386" s="4">
        <f>Table15[[#This Row],[Total Amount]]-Table15[[#This Row],[Discount Amount]]</f>
        <v>1350</v>
      </c>
    </row>
    <row r="387" spans="1:15" x14ac:dyDescent="0.35">
      <c r="A387" s="4">
        <v>386</v>
      </c>
      <c r="B387" s="5">
        <v>45287</v>
      </c>
      <c r="C387" s="4" t="s">
        <v>399</v>
      </c>
      <c r="D387" s="4" t="s">
        <v>13</v>
      </c>
      <c r="E387" s="4">
        <v>54</v>
      </c>
      <c r="F387" s="4" t="str">
        <f>IF(Table15[[#This Row],[Age]]&lt;=19,"Teenager",IF(Table15[[#This Row],[Age]]&lt;=40,"Median","Old"))</f>
        <v>Old</v>
      </c>
      <c r="G387" s="4" t="s">
        <v>16</v>
      </c>
      <c r="H387" s="4">
        <v>2</v>
      </c>
      <c r="I387" s="4">
        <v>300</v>
      </c>
      <c r="J387" s="4">
        <v>600</v>
      </c>
      <c r="K387" s="4" t="str" cm="1">
        <f t="array" ref="K387">_xlfn.IFS(AND(Table15[[#This Row],[Total Amount]]&gt;=1500),"Critical",AND(Table15[[#This Row],[Total Amount]]&gt;=1000),"High",TRUE,"Normal")</f>
        <v>Normal</v>
      </c>
      <c r="L387" s="4" t="str">
        <f>IF(Table15[[#This Row],[Total Amount]]&gt;=1000,"High",(IF(Table15[[#This Row],[Total Amount]]&gt;=500,"Medium","Low")))</f>
        <v>Medium</v>
      </c>
      <c r="M387" s="4" t="str" cm="1">
        <f t="array" ref="M38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87" s="4" cm="1">
        <f t="array" ref="N38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387" s="4">
        <f>Table15[[#This Row],[Total Amount]]-Table15[[#This Row],[Discount Amount]]</f>
        <v>480</v>
      </c>
    </row>
    <row r="388" spans="1:15" x14ac:dyDescent="0.35">
      <c r="A388" s="4">
        <v>387</v>
      </c>
      <c r="B388" s="5">
        <v>45081</v>
      </c>
      <c r="C388" s="4" t="s">
        <v>400</v>
      </c>
      <c r="D388" s="4" t="s">
        <v>10</v>
      </c>
      <c r="E388" s="4">
        <v>44</v>
      </c>
      <c r="F388" s="4" t="str">
        <f>IF(Table15[[#This Row],[Age]]&lt;=19,"Teenager",IF(Table15[[#This Row],[Age]]&lt;=40,"Median","Old"))</f>
        <v>Old</v>
      </c>
      <c r="G388" s="4" t="s">
        <v>11</v>
      </c>
      <c r="H388" s="4">
        <v>1</v>
      </c>
      <c r="I388" s="4">
        <v>30</v>
      </c>
      <c r="J388" s="4">
        <v>30</v>
      </c>
      <c r="K388" s="4" t="str" cm="1">
        <f t="array" ref="K388">_xlfn.IFS(AND(Table15[[#This Row],[Total Amount]]&gt;=1500),"Critical",AND(Table15[[#This Row],[Total Amount]]&gt;=1000),"High",TRUE,"Normal")</f>
        <v>Normal</v>
      </c>
      <c r="L388" s="4" t="str">
        <f>IF(Table15[[#This Row],[Total Amount]]&gt;=1000,"High",(IF(Table15[[#This Row],[Total Amount]]&gt;=500,"Medium","Low")))</f>
        <v>Low</v>
      </c>
      <c r="M388" s="4" t="str" cm="1">
        <f t="array" ref="M38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88" s="4" cm="1">
        <f t="array" ref="N38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388" s="4">
        <f>Table15[[#This Row],[Total Amount]]-Table15[[#This Row],[Discount Amount]]</f>
        <v>27</v>
      </c>
    </row>
    <row r="389" spans="1:15" x14ac:dyDescent="0.35">
      <c r="A389" s="4">
        <v>388</v>
      </c>
      <c r="B389" s="5">
        <v>45240</v>
      </c>
      <c r="C389" s="4" t="s">
        <v>401</v>
      </c>
      <c r="D389" s="4" t="s">
        <v>10</v>
      </c>
      <c r="E389" s="4">
        <v>50</v>
      </c>
      <c r="F389" s="4" t="str">
        <f>IF(Table15[[#This Row],[Age]]&lt;=19,"Teenager",IF(Table15[[#This Row],[Age]]&lt;=40,"Median","Old"))</f>
        <v>Old</v>
      </c>
      <c r="G389" s="4" t="s">
        <v>16</v>
      </c>
      <c r="H389" s="4">
        <v>1</v>
      </c>
      <c r="I389" s="4">
        <v>25</v>
      </c>
      <c r="J389" s="4">
        <v>25</v>
      </c>
      <c r="K389" s="4" t="str" cm="1">
        <f t="array" ref="K389">_xlfn.IFS(AND(Table15[[#This Row],[Total Amount]]&gt;=1500),"Critical",AND(Table15[[#This Row],[Total Amount]]&gt;=1000),"High",TRUE,"Normal")</f>
        <v>Normal</v>
      </c>
      <c r="L389" s="4" t="str">
        <f>IF(Table15[[#This Row],[Total Amount]]&gt;=1000,"High",(IF(Table15[[#This Row],[Total Amount]]&gt;=500,"Medium","Low")))</f>
        <v>Low</v>
      </c>
      <c r="M389" s="4" t="str" cm="1">
        <f t="array" ref="M38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89" s="4" cm="1">
        <f t="array" ref="N38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389" s="4">
        <f>Table15[[#This Row],[Total Amount]]-Table15[[#This Row],[Discount Amount]]</f>
        <v>22.5</v>
      </c>
    </row>
    <row r="390" spans="1:15" x14ac:dyDescent="0.35">
      <c r="A390" s="4">
        <v>389</v>
      </c>
      <c r="B390" s="5">
        <v>45261</v>
      </c>
      <c r="C390" s="4" t="s">
        <v>402</v>
      </c>
      <c r="D390" s="4" t="s">
        <v>10</v>
      </c>
      <c r="E390" s="4">
        <v>21</v>
      </c>
      <c r="F390" s="4" t="str">
        <f>IF(Table15[[#This Row],[Age]]&lt;=19,"Teenager",IF(Table15[[#This Row],[Age]]&lt;=40,"Median","Old"))</f>
        <v>Median</v>
      </c>
      <c r="G390" s="4" t="s">
        <v>14</v>
      </c>
      <c r="H390" s="4">
        <v>2</v>
      </c>
      <c r="I390" s="4">
        <v>25</v>
      </c>
      <c r="J390" s="4">
        <v>50</v>
      </c>
      <c r="K390" s="4" t="str" cm="1">
        <f t="array" ref="K390">_xlfn.IFS(AND(Table15[[#This Row],[Total Amount]]&gt;=1500),"Critical",AND(Table15[[#This Row],[Total Amount]]&gt;=1000),"High",TRUE,"Normal")</f>
        <v>Normal</v>
      </c>
      <c r="L390" s="4" t="str">
        <f>IF(Table15[[#This Row],[Total Amount]]&gt;=1000,"High",(IF(Table15[[#This Row],[Total Amount]]&gt;=500,"Medium","Low")))</f>
        <v>Low</v>
      </c>
      <c r="M390" s="4" t="str" cm="1">
        <f t="array" ref="M39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90" s="4" cm="1">
        <f t="array" ref="N39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90" s="4">
        <f>Table15[[#This Row],[Total Amount]]-Table15[[#This Row],[Discount Amount]]</f>
        <v>50</v>
      </c>
    </row>
    <row r="391" spans="1:15" x14ac:dyDescent="0.35">
      <c r="A391" s="4">
        <v>390</v>
      </c>
      <c r="B391" s="5">
        <v>45197</v>
      </c>
      <c r="C391" s="4" t="s">
        <v>403</v>
      </c>
      <c r="D391" s="4" t="s">
        <v>10</v>
      </c>
      <c r="E391" s="4">
        <v>39</v>
      </c>
      <c r="F391" s="4" t="str">
        <f>IF(Table15[[#This Row],[Age]]&lt;=19,"Teenager",IF(Table15[[#This Row],[Age]]&lt;=40,"Median","Old"))</f>
        <v>Median</v>
      </c>
      <c r="G391" s="4" t="s">
        <v>16</v>
      </c>
      <c r="H391" s="4">
        <v>2</v>
      </c>
      <c r="I391" s="4">
        <v>50</v>
      </c>
      <c r="J391" s="4">
        <v>100</v>
      </c>
      <c r="K391" s="4" t="str" cm="1">
        <f t="array" ref="K391">_xlfn.IFS(AND(Table15[[#This Row],[Total Amount]]&gt;=1500),"Critical",AND(Table15[[#This Row],[Total Amount]]&gt;=1000),"High",TRUE,"Normal")</f>
        <v>Normal</v>
      </c>
      <c r="L391" s="4" t="str">
        <f>IF(Table15[[#This Row],[Total Amount]]&gt;=1000,"High",(IF(Table15[[#This Row],[Total Amount]]&gt;=500,"Medium","Low")))</f>
        <v>Low</v>
      </c>
      <c r="M391" s="4" t="str" cm="1">
        <f t="array" ref="M39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91" s="4" cm="1">
        <f t="array" ref="N39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391" s="4">
        <f>Table15[[#This Row],[Total Amount]]-Table15[[#This Row],[Discount Amount]]</f>
        <v>90</v>
      </c>
    </row>
    <row r="392" spans="1:15" x14ac:dyDescent="0.35">
      <c r="A392" s="4">
        <v>391</v>
      </c>
      <c r="B392" s="5">
        <v>44931</v>
      </c>
      <c r="C392" s="4" t="s">
        <v>404</v>
      </c>
      <c r="D392" s="4" t="s">
        <v>10</v>
      </c>
      <c r="E392" s="4">
        <v>19</v>
      </c>
      <c r="F392" s="4" t="str">
        <f>IF(Table15[[#This Row],[Age]]&lt;=19,"Teenager",IF(Table15[[#This Row],[Age]]&lt;=40,"Median","Old"))</f>
        <v>Teenager</v>
      </c>
      <c r="G392" s="4" t="s">
        <v>11</v>
      </c>
      <c r="H392" s="4">
        <v>2</v>
      </c>
      <c r="I392" s="4">
        <v>25</v>
      </c>
      <c r="J392" s="4">
        <v>50</v>
      </c>
      <c r="K392" s="4" t="str" cm="1">
        <f t="array" ref="K392">_xlfn.IFS(AND(Table15[[#This Row],[Total Amount]]&gt;=1500),"Critical",AND(Table15[[#This Row],[Total Amount]]&gt;=1000),"High",TRUE,"Normal")</f>
        <v>Normal</v>
      </c>
      <c r="L392" s="4" t="str">
        <f>IF(Table15[[#This Row],[Total Amount]]&gt;=1000,"High",(IF(Table15[[#This Row],[Total Amount]]&gt;=500,"Medium","Low")))</f>
        <v>Low</v>
      </c>
      <c r="M392" s="4" t="str" cm="1">
        <f t="array" ref="M39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92" s="4" cm="1">
        <f t="array" ref="N39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92" s="4">
        <f>Table15[[#This Row],[Total Amount]]-Table15[[#This Row],[Discount Amount]]</f>
        <v>50</v>
      </c>
    </row>
    <row r="393" spans="1:15" x14ac:dyDescent="0.35">
      <c r="A393" s="4">
        <v>392</v>
      </c>
      <c r="B393" s="5">
        <v>45268</v>
      </c>
      <c r="C393" s="4" t="s">
        <v>405</v>
      </c>
      <c r="D393" s="4" t="s">
        <v>10</v>
      </c>
      <c r="E393" s="4">
        <v>27</v>
      </c>
      <c r="F393" s="4" t="str">
        <f>IF(Table15[[#This Row],[Age]]&lt;=19,"Teenager",IF(Table15[[#This Row],[Age]]&lt;=40,"Median","Old"))</f>
        <v>Median</v>
      </c>
      <c r="G393" s="4" t="s">
        <v>14</v>
      </c>
      <c r="H393" s="4">
        <v>2</v>
      </c>
      <c r="I393" s="4">
        <v>300</v>
      </c>
      <c r="J393" s="4">
        <v>600</v>
      </c>
      <c r="K393" s="4" t="str" cm="1">
        <f t="array" ref="K393">_xlfn.IFS(AND(Table15[[#This Row],[Total Amount]]&gt;=1500),"Critical",AND(Table15[[#This Row],[Total Amount]]&gt;=1000),"High",TRUE,"Normal")</f>
        <v>Normal</v>
      </c>
      <c r="L393" s="4" t="str">
        <f>IF(Table15[[#This Row],[Total Amount]]&gt;=1000,"High",(IF(Table15[[#This Row],[Total Amount]]&gt;=500,"Medium","Low")))</f>
        <v>Medium</v>
      </c>
      <c r="M393" s="4" t="str" cm="1">
        <f t="array" ref="M39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93" s="4" cm="1">
        <f t="array" ref="N39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393" s="4">
        <f>Table15[[#This Row],[Total Amount]]-Table15[[#This Row],[Discount Amount]]</f>
        <v>510</v>
      </c>
    </row>
    <row r="394" spans="1:15" x14ac:dyDescent="0.35">
      <c r="A394" s="4">
        <v>393</v>
      </c>
      <c r="B394" s="5">
        <v>45210</v>
      </c>
      <c r="C394" s="4" t="s">
        <v>406</v>
      </c>
      <c r="D394" s="4" t="s">
        <v>13</v>
      </c>
      <c r="E394" s="4">
        <v>22</v>
      </c>
      <c r="F394" s="4" t="str">
        <f>IF(Table15[[#This Row],[Age]]&lt;=19,"Teenager",IF(Table15[[#This Row],[Age]]&lt;=40,"Median","Old"))</f>
        <v>Median</v>
      </c>
      <c r="G394" s="4" t="s">
        <v>11</v>
      </c>
      <c r="H394" s="4">
        <v>2</v>
      </c>
      <c r="I394" s="4">
        <v>500</v>
      </c>
      <c r="J394" s="4">
        <v>1000</v>
      </c>
      <c r="K394" s="4" t="str" cm="1">
        <f t="array" ref="K394">_xlfn.IFS(AND(Table15[[#This Row],[Total Amount]]&gt;=1500),"Critical",AND(Table15[[#This Row],[Total Amount]]&gt;=1000),"High",TRUE,"Normal")</f>
        <v>High</v>
      </c>
      <c r="L394" s="4" t="str">
        <f>IF(Table15[[#This Row],[Total Amount]]&gt;=1000,"High",(IF(Table15[[#This Row],[Total Amount]]&gt;=500,"Medium","Low")))</f>
        <v>High</v>
      </c>
      <c r="M394" s="4" t="str" cm="1">
        <f t="array" ref="M39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94" s="4" cm="1">
        <f t="array" ref="N39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94" s="4">
        <f>Table15[[#This Row],[Total Amount]]-Table15[[#This Row],[Discount Amount]]</f>
        <v>1000</v>
      </c>
    </row>
    <row r="395" spans="1:15" x14ac:dyDescent="0.35">
      <c r="A395" s="4">
        <v>394</v>
      </c>
      <c r="B395" s="5">
        <v>45080</v>
      </c>
      <c r="C395" s="4" t="s">
        <v>407</v>
      </c>
      <c r="D395" s="4" t="s">
        <v>13</v>
      </c>
      <c r="E395" s="4">
        <v>27</v>
      </c>
      <c r="F395" s="4" t="str">
        <f>IF(Table15[[#This Row],[Age]]&lt;=19,"Teenager",IF(Table15[[#This Row],[Age]]&lt;=40,"Median","Old"))</f>
        <v>Median</v>
      </c>
      <c r="G395" s="4" t="s">
        <v>14</v>
      </c>
      <c r="H395" s="4">
        <v>1</v>
      </c>
      <c r="I395" s="4">
        <v>500</v>
      </c>
      <c r="J395" s="4">
        <v>500</v>
      </c>
      <c r="K395" s="4" t="str" cm="1">
        <f t="array" ref="K395">_xlfn.IFS(AND(Table15[[#This Row],[Total Amount]]&gt;=1500),"Critical",AND(Table15[[#This Row],[Total Amount]]&gt;=1000),"High",TRUE,"Normal")</f>
        <v>Normal</v>
      </c>
      <c r="L395" s="4" t="str">
        <f>IF(Table15[[#This Row],[Total Amount]]&gt;=1000,"High",(IF(Table15[[#This Row],[Total Amount]]&gt;=500,"Medium","Low")))</f>
        <v>Medium</v>
      </c>
      <c r="M395" s="4" t="str" cm="1">
        <f t="array" ref="M39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95" s="4" cm="1">
        <f t="array" ref="N39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395" s="4">
        <f>Table15[[#This Row],[Total Amount]]-Table15[[#This Row],[Discount Amount]]</f>
        <v>425</v>
      </c>
    </row>
    <row r="396" spans="1:15" x14ac:dyDescent="0.35">
      <c r="A396" s="4">
        <v>395</v>
      </c>
      <c r="B396" s="5">
        <v>45266</v>
      </c>
      <c r="C396" s="4" t="s">
        <v>408</v>
      </c>
      <c r="D396" s="4" t="s">
        <v>10</v>
      </c>
      <c r="E396" s="4">
        <v>50</v>
      </c>
      <c r="F396" s="4" t="str">
        <f>IF(Table15[[#This Row],[Age]]&lt;=19,"Teenager",IF(Table15[[#This Row],[Age]]&lt;=40,"Median","Old"))</f>
        <v>Old</v>
      </c>
      <c r="G396" s="4" t="s">
        <v>16</v>
      </c>
      <c r="H396" s="4">
        <v>2</v>
      </c>
      <c r="I396" s="4">
        <v>500</v>
      </c>
      <c r="J396" s="4">
        <v>1000</v>
      </c>
      <c r="K396" s="4" t="str" cm="1">
        <f t="array" ref="K396">_xlfn.IFS(AND(Table15[[#This Row],[Total Amount]]&gt;=1500),"Critical",AND(Table15[[#This Row],[Total Amount]]&gt;=1000),"High",TRUE,"Normal")</f>
        <v>High</v>
      </c>
      <c r="L396" s="4" t="str">
        <f>IF(Table15[[#This Row],[Total Amount]]&gt;=1000,"High",(IF(Table15[[#This Row],[Total Amount]]&gt;=500,"Medium","Low")))</f>
        <v>High</v>
      </c>
      <c r="M396" s="4" t="str" cm="1">
        <f t="array" ref="M39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96" s="4" cm="1">
        <f t="array" ref="N39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396" s="4">
        <f>Table15[[#This Row],[Total Amount]]-Table15[[#This Row],[Discount Amount]]</f>
        <v>900</v>
      </c>
    </row>
    <row r="397" spans="1:15" x14ac:dyDescent="0.35">
      <c r="A397" s="4">
        <v>396</v>
      </c>
      <c r="B397" s="5">
        <v>44980</v>
      </c>
      <c r="C397" s="4" t="s">
        <v>409</v>
      </c>
      <c r="D397" s="4" t="s">
        <v>13</v>
      </c>
      <c r="E397" s="4">
        <v>55</v>
      </c>
      <c r="F397" s="4" t="str">
        <f>IF(Table15[[#This Row],[Age]]&lt;=19,"Teenager",IF(Table15[[#This Row],[Age]]&lt;=40,"Median","Old"))</f>
        <v>Old</v>
      </c>
      <c r="G397" s="4" t="s">
        <v>11</v>
      </c>
      <c r="H397" s="4">
        <v>1</v>
      </c>
      <c r="I397" s="4">
        <v>30</v>
      </c>
      <c r="J397" s="4">
        <v>30</v>
      </c>
      <c r="K397" s="4" t="str" cm="1">
        <f t="array" ref="K397">_xlfn.IFS(AND(Table15[[#This Row],[Total Amount]]&gt;=1500),"Critical",AND(Table15[[#This Row],[Total Amount]]&gt;=1000),"High",TRUE,"Normal")</f>
        <v>Normal</v>
      </c>
      <c r="L397" s="4" t="str">
        <f>IF(Table15[[#This Row],[Total Amount]]&gt;=1000,"High",(IF(Table15[[#This Row],[Total Amount]]&gt;=500,"Medium","Low")))</f>
        <v>Low</v>
      </c>
      <c r="M397" s="4" t="str" cm="1">
        <f t="array" ref="M39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97" s="4" cm="1">
        <f t="array" ref="N39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397" s="4">
        <f>Table15[[#This Row],[Total Amount]]-Table15[[#This Row],[Discount Amount]]</f>
        <v>24</v>
      </c>
    </row>
    <row r="398" spans="1:15" x14ac:dyDescent="0.35">
      <c r="A398" s="4">
        <v>397</v>
      </c>
      <c r="B398" s="5">
        <v>44995</v>
      </c>
      <c r="C398" s="4" t="s">
        <v>410</v>
      </c>
      <c r="D398" s="4" t="s">
        <v>13</v>
      </c>
      <c r="E398" s="4">
        <v>30</v>
      </c>
      <c r="F398" s="4" t="str">
        <f>IF(Table15[[#This Row],[Age]]&lt;=19,"Teenager",IF(Table15[[#This Row],[Age]]&lt;=40,"Median","Old"))</f>
        <v>Median</v>
      </c>
      <c r="G398" s="4" t="s">
        <v>11</v>
      </c>
      <c r="H398" s="4">
        <v>1</v>
      </c>
      <c r="I398" s="4">
        <v>25</v>
      </c>
      <c r="J398" s="4">
        <v>25</v>
      </c>
      <c r="K398" s="4" t="str" cm="1">
        <f t="array" ref="K398">_xlfn.IFS(AND(Table15[[#This Row],[Total Amount]]&gt;=1500),"Critical",AND(Table15[[#This Row],[Total Amount]]&gt;=1000),"High",TRUE,"Normal")</f>
        <v>Normal</v>
      </c>
      <c r="L398" s="4" t="str">
        <f>IF(Table15[[#This Row],[Total Amount]]&gt;=1000,"High",(IF(Table15[[#This Row],[Total Amount]]&gt;=500,"Medium","Low")))</f>
        <v>Low</v>
      </c>
      <c r="M398" s="4" t="str" cm="1">
        <f t="array" ref="M39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98" s="4" cm="1">
        <f t="array" ref="N39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3.75</v>
      </c>
      <c r="O398" s="4">
        <f>Table15[[#This Row],[Total Amount]]-Table15[[#This Row],[Discount Amount]]</f>
        <v>21.25</v>
      </c>
    </row>
    <row r="399" spans="1:15" x14ac:dyDescent="0.35">
      <c r="A399" s="4">
        <v>398</v>
      </c>
      <c r="B399" s="5">
        <v>45062</v>
      </c>
      <c r="C399" s="4" t="s">
        <v>411</v>
      </c>
      <c r="D399" s="4" t="s">
        <v>13</v>
      </c>
      <c r="E399" s="4">
        <v>48</v>
      </c>
      <c r="F399" s="4" t="str">
        <f>IF(Table15[[#This Row],[Age]]&lt;=19,"Teenager",IF(Table15[[#This Row],[Age]]&lt;=40,"Median","Old"))</f>
        <v>Old</v>
      </c>
      <c r="G399" s="4" t="s">
        <v>14</v>
      </c>
      <c r="H399" s="4">
        <v>2</v>
      </c>
      <c r="I399" s="4">
        <v>300</v>
      </c>
      <c r="J399" s="4">
        <v>600</v>
      </c>
      <c r="K399" s="4" t="str" cm="1">
        <f t="array" ref="K399">_xlfn.IFS(AND(Table15[[#This Row],[Total Amount]]&gt;=1500),"Critical",AND(Table15[[#This Row],[Total Amount]]&gt;=1000),"High",TRUE,"Normal")</f>
        <v>Normal</v>
      </c>
      <c r="L399" s="4" t="str">
        <f>IF(Table15[[#This Row],[Total Amount]]&gt;=1000,"High",(IF(Table15[[#This Row],[Total Amount]]&gt;=500,"Medium","Low")))</f>
        <v>Medium</v>
      </c>
      <c r="M399" s="4" t="str" cm="1">
        <f t="array" ref="M39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99" s="4" cm="1">
        <f t="array" ref="N39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399" s="4">
        <f>Table15[[#This Row],[Total Amount]]-Table15[[#This Row],[Discount Amount]]</f>
        <v>480</v>
      </c>
    </row>
    <row r="400" spans="1:15" x14ac:dyDescent="0.35">
      <c r="A400" s="4">
        <v>399</v>
      </c>
      <c r="B400" s="5">
        <v>44986</v>
      </c>
      <c r="C400" s="4" t="s">
        <v>412</v>
      </c>
      <c r="D400" s="4" t="s">
        <v>13</v>
      </c>
      <c r="E400" s="4">
        <v>64</v>
      </c>
      <c r="F400" s="4" t="str">
        <f>IF(Table15[[#This Row],[Age]]&lt;=19,"Teenager",IF(Table15[[#This Row],[Age]]&lt;=40,"Median","Old"))</f>
        <v>Old</v>
      </c>
      <c r="G400" s="4" t="s">
        <v>11</v>
      </c>
      <c r="H400" s="4">
        <v>2</v>
      </c>
      <c r="I400" s="4">
        <v>30</v>
      </c>
      <c r="J400" s="4">
        <v>60</v>
      </c>
      <c r="K400" s="4" t="str" cm="1">
        <f t="array" ref="K400">_xlfn.IFS(AND(Table15[[#This Row],[Total Amount]]&gt;=1500),"Critical",AND(Table15[[#This Row],[Total Amount]]&gt;=1000),"High",TRUE,"Normal")</f>
        <v>Normal</v>
      </c>
      <c r="L400" s="4" t="str">
        <f>IF(Table15[[#This Row],[Total Amount]]&gt;=1000,"High",(IF(Table15[[#This Row],[Total Amount]]&gt;=500,"Medium","Low")))</f>
        <v>Low</v>
      </c>
      <c r="M400" s="4" t="str" cm="1">
        <f t="array" ref="M40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00" s="4" cm="1">
        <f t="array" ref="N40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400" s="4">
        <f>Table15[[#This Row],[Total Amount]]-Table15[[#This Row],[Discount Amount]]</f>
        <v>48</v>
      </c>
    </row>
    <row r="401" spans="1:15" x14ac:dyDescent="0.35">
      <c r="A401" s="4">
        <v>400</v>
      </c>
      <c r="B401" s="5">
        <v>44981</v>
      </c>
      <c r="C401" s="4" t="s">
        <v>413</v>
      </c>
      <c r="D401" s="4" t="s">
        <v>10</v>
      </c>
      <c r="E401" s="4">
        <v>53</v>
      </c>
      <c r="F401" s="4" t="str">
        <f>IF(Table15[[#This Row],[Age]]&lt;=19,"Teenager",IF(Table15[[#This Row],[Age]]&lt;=40,"Median","Old"))</f>
        <v>Old</v>
      </c>
      <c r="G401" s="4" t="s">
        <v>14</v>
      </c>
      <c r="H401" s="4">
        <v>4</v>
      </c>
      <c r="I401" s="4">
        <v>50</v>
      </c>
      <c r="J401" s="4">
        <v>200</v>
      </c>
      <c r="K401" s="4" t="str" cm="1">
        <f t="array" ref="K401">_xlfn.IFS(AND(Table15[[#This Row],[Total Amount]]&gt;=1500),"Critical",AND(Table15[[#This Row],[Total Amount]]&gt;=1000),"High",TRUE,"Normal")</f>
        <v>Normal</v>
      </c>
      <c r="L401" s="4" t="str">
        <f>IF(Table15[[#This Row],[Total Amount]]&gt;=1000,"High",(IF(Table15[[#This Row],[Total Amount]]&gt;=500,"Medium","Low")))</f>
        <v>Low</v>
      </c>
      <c r="M401" s="4" t="str" cm="1">
        <f t="array" ref="M40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01" s="4" cm="1">
        <f t="array" ref="N40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401" s="4">
        <f>Table15[[#This Row],[Total Amount]]-Table15[[#This Row],[Discount Amount]]</f>
        <v>180</v>
      </c>
    </row>
    <row r="402" spans="1:15" x14ac:dyDescent="0.35">
      <c r="A402" s="4">
        <v>401</v>
      </c>
      <c r="B402" s="5">
        <v>45210</v>
      </c>
      <c r="C402" s="4" t="s">
        <v>414</v>
      </c>
      <c r="D402" s="4" t="s">
        <v>13</v>
      </c>
      <c r="E402" s="4">
        <v>62</v>
      </c>
      <c r="F402" s="4" t="str">
        <f>IF(Table15[[#This Row],[Age]]&lt;=19,"Teenager",IF(Table15[[#This Row],[Age]]&lt;=40,"Median","Old"))</f>
        <v>Old</v>
      </c>
      <c r="G402" s="4" t="s">
        <v>14</v>
      </c>
      <c r="H402" s="4">
        <v>1</v>
      </c>
      <c r="I402" s="4">
        <v>300</v>
      </c>
      <c r="J402" s="4">
        <v>300</v>
      </c>
      <c r="K402" s="4" t="str" cm="1">
        <f t="array" ref="K402">_xlfn.IFS(AND(Table15[[#This Row],[Total Amount]]&gt;=1500),"Critical",AND(Table15[[#This Row],[Total Amount]]&gt;=1000),"High",TRUE,"Normal")</f>
        <v>Normal</v>
      </c>
      <c r="L402" s="4" t="str">
        <f>IF(Table15[[#This Row],[Total Amount]]&gt;=1000,"High",(IF(Table15[[#This Row],[Total Amount]]&gt;=500,"Medium","Low")))</f>
        <v>Low</v>
      </c>
      <c r="M402" s="4" t="str" cm="1">
        <f t="array" ref="M40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02" s="4" cm="1">
        <f t="array" ref="N40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402" s="4">
        <f>Table15[[#This Row],[Total Amount]]-Table15[[#This Row],[Discount Amount]]</f>
        <v>240</v>
      </c>
    </row>
    <row r="403" spans="1:15" x14ac:dyDescent="0.35">
      <c r="A403" s="4">
        <v>402</v>
      </c>
      <c r="B403" s="5">
        <v>45006</v>
      </c>
      <c r="C403" s="4" t="s">
        <v>415</v>
      </c>
      <c r="D403" s="4" t="s">
        <v>13</v>
      </c>
      <c r="E403" s="4">
        <v>41</v>
      </c>
      <c r="F403" s="4" t="str">
        <f>IF(Table15[[#This Row],[Age]]&lt;=19,"Teenager",IF(Table15[[#This Row],[Age]]&lt;=40,"Median","Old"))</f>
        <v>Old</v>
      </c>
      <c r="G403" s="4" t="s">
        <v>14</v>
      </c>
      <c r="H403" s="4">
        <v>2</v>
      </c>
      <c r="I403" s="4">
        <v>300</v>
      </c>
      <c r="J403" s="4">
        <v>600</v>
      </c>
      <c r="K403" s="4" t="str" cm="1">
        <f t="array" ref="K403">_xlfn.IFS(AND(Table15[[#This Row],[Total Amount]]&gt;=1500),"Critical",AND(Table15[[#This Row],[Total Amount]]&gt;=1000),"High",TRUE,"Normal")</f>
        <v>Normal</v>
      </c>
      <c r="L403" s="4" t="str">
        <f>IF(Table15[[#This Row],[Total Amount]]&gt;=1000,"High",(IF(Table15[[#This Row],[Total Amount]]&gt;=500,"Medium","Low")))</f>
        <v>Medium</v>
      </c>
      <c r="M403" s="4" t="str" cm="1">
        <f t="array" ref="M40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03" s="4" cm="1">
        <f t="array" ref="N40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403" s="4">
        <f>Table15[[#This Row],[Total Amount]]-Table15[[#This Row],[Discount Amount]]</f>
        <v>480</v>
      </c>
    </row>
    <row r="404" spans="1:15" x14ac:dyDescent="0.35">
      <c r="A404" s="4">
        <v>403</v>
      </c>
      <c r="B404" s="5">
        <v>45066</v>
      </c>
      <c r="C404" s="4" t="s">
        <v>416</v>
      </c>
      <c r="D404" s="4" t="s">
        <v>10</v>
      </c>
      <c r="E404" s="4">
        <v>32</v>
      </c>
      <c r="F404" s="4" t="str">
        <f>IF(Table15[[#This Row],[Age]]&lt;=19,"Teenager",IF(Table15[[#This Row],[Age]]&lt;=40,"Median","Old"))</f>
        <v>Median</v>
      </c>
      <c r="G404" s="4" t="s">
        <v>14</v>
      </c>
      <c r="H404" s="4">
        <v>2</v>
      </c>
      <c r="I404" s="4">
        <v>300</v>
      </c>
      <c r="J404" s="4">
        <v>600</v>
      </c>
      <c r="K404" s="4" t="str" cm="1">
        <f t="array" ref="K404">_xlfn.IFS(AND(Table15[[#This Row],[Total Amount]]&gt;=1500),"Critical",AND(Table15[[#This Row],[Total Amount]]&gt;=1000),"High",TRUE,"Normal")</f>
        <v>Normal</v>
      </c>
      <c r="L404" s="4" t="str">
        <f>IF(Table15[[#This Row],[Total Amount]]&gt;=1000,"High",(IF(Table15[[#This Row],[Total Amount]]&gt;=500,"Medium","Low")))</f>
        <v>Medium</v>
      </c>
      <c r="M404" s="4" t="str" cm="1">
        <f t="array" ref="M40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04" s="4" cm="1">
        <f t="array" ref="N40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404" s="4">
        <f>Table15[[#This Row],[Total Amount]]-Table15[[#This Row],[Discount Amount]]</f>
        <v>510</v>
      </c>
    </row>
    <row r="405" spans="1:15" x14ac:dyDescent="0.35">
      <c r="A405" s="4">
        <v>404</v>
      </c>
      <c r="B405" s="5">
        <v>45071</v>
      </c>
      <c r="C405" s="4" t="s">
        <v>417</v>
      </c>
      <c r="D405" s="4" t="s">
        <v>10</v>
      </c>
      <c r="E405" s="4">
        <v>46</v>
      </c>
      <c r="F405" s="4" t="str">
        <f>IF(Table15[[#This Row],[Age]]&lt;=19,"Teenager",IF(Table15[[#This Row],[Age]]&lt;=40,"Median","Old"))</f>
        <v>Old</v>
      </c>
      <c r="G405" s="4" t="s">
        <v>16</v>
      </c>
      <c r="H405" s="4">
        <v>2</v>
      </c>
      <c r="I405" s="4">
        <v>500</v>
      </c>
      <c r="J405" s="4">
        <v>1000</v>
      </c>
      <c r="K405" s="4" t="str" cm="1">
        <f t="array" ref="K405">_xlfn.IFS(AND(Table15[[#This Row],[Total Amount]]&gt;=1500),"Critical",AND(Table15[[#This Row],[Total Amount]]&gt;=1000),"High",TRUE,"Normal")</f>
        <v>High</v>
      </c>
      <c r="L405" s="4" t="str">
        <f>IF(Table15[[#This Row],[Total Amount]]&gt;=1000,"High",(IF(Table15[[#This Row],[Total Amount]]&gt;=500,"Medium","Low")))</f>
        <v>High</v>
      </c>
      <c r="M405" s="4" t="str" cm="1">
        <f t="array" ref="M40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05" s="4" cm="1">
        <f t="array" ref="N40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405" s="4">
        <f>Table15[[#This Row],[Total Amount]]-Table15[[#This Row],[Discount Amount]]</f>
        <v>900</v>
      </c>
    </row>
    <row r="406" spans="1:15" x14ac:dyDescent="0.35">
      <c r="A406" s="4">
        <v>405</v>
      </c>
      <c r="B406" s="5">
        <v>45236</v>
      </c>
      <c r="C406" s="4" t="s">
        <v>418</v>
      </c>
      <c r="D406" s="4" t="s">
        <v>13</v>
      </c>
      <c r="E406" s="4">
        <v>25</v>
      </c>
      <c r="F406" s="4" t="str">
        <f>IF(Table15[[#This Row],[Age]]&lt;=19,"Teenager",IF(Table15[[#This Row],[Age]]&lt;=40,"Median","Old"))</f>
        <v>Median</v>
      </c>
      <c r="G406" s="4" t="s">
        <v>14</v>
      </c>
      <c r="H406" s="4">
        <v>4</v>
      </c>
      <c r="I406" s="4">
        <v>300</v>
      </c>
      <c r="J406" s="4">
        <v>1200</v>
      </c>
      <c r="K406" s="4" t="str" cm="1">
        <f t="array" ref="K406">_xlfn.IFS(AND(Table15[[#This Row],[Total Amount]]&gt;=1500),"Critical",AND(Table15[[#This Row],[Total Amount]]&gt;=1000),"High",TRUE,"Normal")</f>
        <v>High</v>
      </c>
      <c r="L406" s="4" t="str">
        <f>IF(Table15[[#This Row],[Total Amount]]&gt;=1000,"High",(IF(Table15[[#This Row],[Total Amount]]&gt;=500,"Medium","Low")))</f>
        <v>High</v>
      </c>
      <c r="M406" s="4" t="str" cm="1">
        <f t="array" ref="M40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06" s="4" cm="1">
        <f t="array" ref="N40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406" s="4">
        <f>Table15[[#This Row],[Total Amount]]-Table15[[#This Row],[Discount Amount]]</f>
        <v>1020</v>
      </c>
    </row>
    <row r="407" spans="1:15" x14ac:dyDescent="0.35">
      <c r="A407" s="4">
        <v>406</v>
      </c>
      <c r="B407" s="5">
        <v>45034</v>
      </c>
      <c r="C407" s="4" t="s">
        <v>419</v>
      </c>
      <c r="D407" s="4" t="s">
        <v>13</v>
      </c>
      <c r="E407" s="4">
        <v>22</v>
      </c>
      <c r="F407" s="4" t="str">
        <f>IF(Table15[[#This Row],[Age]]&lt;=19,"Teenager",IF(Table15[[#This Row],[Age]]&lt;=40,"Median","Old"))</f>
        <v>Median</v>
      </c>
      <c r="G407" s="4" t="s">
        <v>11</v>
      </c>
      <c r="H407" s="4">
        <v>4</v>
      </c>
      <c r="I407" s="4">
        <v>25</v>
      </c>
      <c r="J407" s="4">
        <v>100</v>
      </c>
      <c r="K407" s="4" t="str" cm="1">
        <f t="array" ref="K407">_xlfn.IFS(AND(Table15[[#This Row],[Total Amount]]&gt;=1500),"Critical",AND(Table15[[#This Row],[Total Amount]]&gt;=1000),"High",TRUE,"Normal")</f>
        <v>Normal</v>
      </c>
      <c r="L407" s="4" t="str">
        <f>IF(Table15[[#This Row],[Total Amount]]&gt;=1000,"High",(IF(Table15[[#This Row],[Total Amount]]&gt;=500,"Medium","Low")))</f>
        <v>Low</v>
      </c>
      <c r="M407" s="4" t="str" cm="1">
        <f t="array" ref="M40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07" s="4" cm="1">
        <f t="array" ref="N40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07" s="4">
        <f>Table15[[#This Row],[Total Amount]]-Table15[[#This Row],[Discount Amount]]</f>
        <v>100</v>
      </c>
    </row>
    <row r="408" spans="1:15" x14ac:dyDescent="0.35">
      <c r="A408" s="4">
        <v>407</v>
      </c>
      <c r="B408" s="5">
        <v>45102</v>
      </c>
      <c r="C408" s="4" t="s">
        <v>420</v>
      </c>
      <c r="D408" s="4" t="s">
        <v>13</v>
      </c>
      <c r="E408" s="4">
        <v>46</v>
      </c>
      <c r="F408" s="4" t="str">
        <f>IF(Table15[[#This Row],[Age]]&lt;=19,"Teenager",IF(Table15[[#This Row],[Age]]&lt;=40,"Median","Old"))</f>
        <v>Old</v>
      </c>
      <c r="G408" s="4" t="s">
        <v>16</v>
      </c>
      <c r="H408" s="4">
        <v>3</v>
      </c>
      <c r="I408" s="4">
        <v>300</v>
      </c>
      <c r="J408" s="4">
        <v>900</v>
      </c>
      <c r="K408" s="4" t="str" cm="1">
        <f t="array" ref="K408">_xlfn.IFS(AND(Table15[[#This Row],[Total Amount]]&gt;=1500),"Critical",AND(Table15[[#This Row],[Total Amount]]&gt;=1000),"High",TRUE,"Normal")</f>
        <v>Normal</v>
      </c>
      <c r="L408" s="4" t="str">
        <f>IF(Table15[[#This Row],[Total Amount]]&gt;=1000,"High",(IF(Table15[[#This Row],[Total Amount]]&gt;=500,"Medium","Low")))</f>
        <v>Medium</v>
      </c>
      <c r="M408" s="4" t="str" cm="1">
        <f t="array" ref="M40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08" s="4" cm="1">
        <f t="array" ref="N40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408" s="4">
        <f>Table15[[#This Row],[Total Amount]]-Table15[[#This Row],[Discount Amount]]</f>
        <v>720</v>
      </c>
    </row>
    <row r="409" spans="1:15" x14ac:dyDescent="0.35">
      <c r="A409" s="4">
        <v>408</v>
      </c>
      <c r="B409" s="5">
        <v>45031</v>
      </c>
      <c r="C409" s="4" t="s">
        <v>421</v>
      </c>
      <c r="D409" s="4" t="s">
        <v>13</v>
      </c>
      <c r="E409" s="4">
        <v>64</v>
      </c>
      <c r="F409" s="4" t="str">
        <f>IF(Table15[[#This Row],[Age]]&lt;=19,"Teenager",IF(Table15[[#This Row],[Age]]&lt;=40,"Median","Old"))</f>
        <v>Old</v>
      </c>
      <c r="G409" s="4" t="s">
        <v>11</v>
      </c>
      <c r="H409" s="4">
        <v>1</v>
      </c>
      <c r="I409" s="4">
        <v>500</v>
      </c>
      <c r="J409" s="4">
        <v>500</v>
      </c>
      <c r="K409" s="4" t="str" cm="1">
        <f t="array" ref="K409">_xlfn.IFS(AND(Table15[[#This Row],[Total Amount]]&gt;=1500),"Critical",AND(Table15[[#This Row],[Total Amount]]&gt;=1000),"High",TRUE,"Normal")</f>
        <v>Normal</v>
      </c>
      <c r="L409" s="4" t="str">
        <f>IF(Table15[[#This Row],[Total Amount]]&gt;=1000,"High",(IF(Table15[[#This Row],[Total Amount]]&gt;=500,"Medium","Low")))</f>
        <v>Medium</v>
      </c>
      <c r="M409" s="4" t="str" cm="1">
        <f t="array" ref="M40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09" s="4" cm="1">
        <f t="array" ref="N40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409" s="4">
        <f>Table15[[#This Row],[Total Amount]]-Table15[[#This Row],[Discount Amount]]</f>
        <v>400</v>
      </c>
    </row>
    <row r="410" spans="1:15" x14ac:dyDescent="0.35">
      <c r="A410" s="4">
        <v>409</v>
      </c>
      <c r="B410" s="5">
        <v>45278</v>
      </c>
      <c r="C410" s="4" t="s">
        <v>422</v>
      </c>
      <c r="D410" s="4" t="s">
        <v>13</v>
      </c>
      <c r="E410" s="4">
        <v>21</v>
      </c>
      <c r="F410" s="4" t="str">
        <f>IF(Table15[[#This Row],[Age]]&lt;=19,"Teenager",IF(Table15[[#This Row],[Age]]&lt;=40,"Median","Old"))</f>
        <v>Median</v>
      </c>
      <c r="G410" s="4" t="s">
        <v>16</v>
      </c>
      <c r="H410" s="4">
        <v>3</v>
      </c>
      <c r="I410" s="4">
        <v>300</v>
      </c>
      <c r="J410" s="4">
        <v>900</v>
      </c>
      <c r="K410" s="4" t="str" cm="1">
        <f t="array" ref="K410">_xlfn.IFS(AND(Table15[[#This Row],[Total Amount]]&gt;=1500),"Critical",AND(Table15[[#This Row],[Total Amount]]&gt;=1000),"High",TRUE,"Normal")</f>
        <v>Normal</v>
      </c>
      <c r="L410" s="4" t="str">
        <f>IF(Table15[[#This Row],[Total Amount]]&gt;=1000,"High",(IF(Table15[[#This Row],[Total Amount]]&gt;=500,"Medium","Low")))</f>
        <v>Medium</v>
      </c>
      <c r="M410" s="4" t="str" cm="1">
        <f t="array" ref="M41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10" s="4" cm="1">
        <f t="array" ref="N41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10" s="4">
        <f>Table15[[#This Row],[Total Amount]]-Table15[[#This Row],[Discount Amount]]</f>
        <v>900</v>
      </c>
    </row>
    <row r="411" spans="1:15" x14ac:dyDescent="0.35">
      <c r="A411" s="4">
        <v>410</v>
      </c>
      <c r="B411" s="5">
        <v>45251</v>
      </c>
      <c r="C411" s="4" t="s">
        <v>423</v>
      </c>
      <c r="D411" s="4" t="s">
        <v>13</v>
      </c>
      <c r="E411" s="4">
        <v>29</v>
      </c>
      <c r="F411" s="4" t="str">
        <f>IF(Table15[[#This Row],[Age]]&lt;=19,"Teenager",IF(Table15[[#This Row],[Age]]&lt;=40,"Median","Old"))</f>
        <v>Median</v>
      </c>
      <c r="G411" s="4" t="s">
        <v>14</v>
      </c>
      <c r="H411" s="4">
        <v>2</v>
      </c>
      <c r="I411" s="4">
        <v>50</v>
      </c>
      <c r="J411" s="4">
        <v>100</v>
      </c>
      <c r="K411" s="4" t="str" cm="1">
        <f t="array" ref="K411">_xlfn.IFS(AND(Table15[[#This Row],[Total Amount]]&gt;=1500),"Critical",AND(Table15[[#This Row],[Total Amount]]&gt;=1000),"High",TRUE,"Normal")</f>
        <v>Normal</v>
      </c>
      <c r="L411" s="4" t="str">
        <f>IF(Table15[[#This Row],[Total Amount]]&gt;=1000,"High",(IF(Table15[[#This Row],[Total Amount]]&gt;=500,"Medium","Low")))</f>
        <v>Low</v>
      </c>
      <c r="M411" s="4" t="str" cm="1">
        <f t="array" ref="M41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11" s="4" cm="1">
        <f t="array" ref="N41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411" s="4">
        <f>Table15[[#This Row],[Total Amount]]-Table15[[#This Row],[Discount Amount]]</f>
        <v>85</v>
      </c>
    </row>
    <row r="412" spans="1:15" x14ac:dyDescent="0.35">
      <c r="A412" s="4">
        <v>411</v>
      </c>
      <c r="B412" s="5">
        <v>45062</v>
      </c>
      <c r="C412" s="4" t="s">
        <v>424</v>
      </c>
      <c r="D412" s="4" t="s">
        <v>10</v>
      </c>
      <c r="E412" s="4">
        <v>62</v>
      </c>
      <c r="F412" s="4" t="str">
        <f>IF(Table15[[#This Row],[Age]]&lt;=19,"Teenager",IF(Table15[[#This Row],[Age]]&lt;=40,"Median","Old"))</f>
        <v>Old</v>
      </c>
      <c r="G412" s="4" t="s">
        <v>16</v>
      </c>
      <c r="H412" s="4">
        <v>4</v>
      </c>
      <c r="I412" s="4">
        <v>50</v>
      </c>
      <c r="J412" s="4">
        <v>200</v>
      </c>
      <c r="K412" s="4" t="str" cm="1">
        <f t="array" ref="K412">_xlfn.IFS(AND(Table15[[#This Row],[Total Amount]]&gt;=1500),"Critical",AND(Table15[[#This Row],[Total Amount]]&gt;=1000),"High",TRUE,"Normal")</f>
        <v>Normal</v>
      </c>
      <c r="L412" s="4" t="str">
        <f>IF(Table15[[#This Row],[Total Amount]]&gt;=1000,"High",(IF(Table15[[#This Row],[Total Amount]]&gt;=500,"Medium","Low")))</f>
        <v>Low</v>
      </c>
      <c r="M412" s="4" t="str" cm="1">
        <f t="array" ref="M41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12" s="4" cm="1">
        <f t="array" ref="N41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412" s="4">
        <f>Table15[[#This Row],[Total Amount]]-Table15[[#This Row],[Discount Amount]]</f>
        <v>180</v>
      </c>
    </row>
    <row r="413" spans="1:15" x14ac:dyDescent="0.35">
      <c r="A413" s="4">
        <v>412</v>
      </c>
      <c r="B413" s="5">
        <v>45185</v>
      </c>
      <c r="C413" s="4" t="s">
        <v>425</v>
      </c>
      <c r="D413" s="4" t="s">
        <v>13</v>
      </c>
      <c r="E413" s="4">
        <v>19</v>
      </c>
      <c r="F413" s="4" t="str">
        <f>IF(Table15[[#This Row],[Age]]&lt;=19,"Teenager",IF(Table15[[#This Row],[Age]]&lt;=40,"Median","Old"))</f>
        <v>Teenager</v>
      </c>
      <c r="G413" s="4" t="s">
        <v>16</v>
      </c>
      <c r="H413" s="4">
        <v>4</v>
      </c>
      <c r="I413" s="4">
        <v>500</v>
      </c>
      <c r="J413" s="4">
        <v>2000</v>
      </c>
      <c r="K413" s="4" t="str" cm="1">
        <f t="array" ref="K413">_xlfn.IFS(AND(Table15[[#This Row],[Total Amount]]&gt;=1500),"Critical",AND(Table15[[#This Row],[Total Amount]]&gt;=1000),"High",TRUE,"Normal")</f>
        <v>Critical</v>
      </c>
      <c r="L413" s="4" t="str">
        <f>IF(Table15[[#This Row],[Total Amount]]&gt;=1000,"High",(IF(Table15[[#This Row],[Total Amount]]&gt;=500,"Medium","Low")))</f>
        <v>High</v>
      </c>
      <c r="M413" s="4" t="str" cm="1">
        <f t="array" ref="M41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13" s="4" cm="1">
        <f t="array" ref="N41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13" s="4">
        <f>Table15[[#This Row],[Total Amount]]-Table15[[#This Row],[Discount Amount]]</f>
        <v>2000</v>
      </c>
    </row>
    <row r="414" spans="1:15" x14ac:dyDescent="0.35">
      <c r="A414" s="4">
        <v>413</v>
      </c>
      <c r="B414" s="5">
        <v>45177</v>
      </c>
      <c r="C414" s="4" t="s">
        <v>426</v>
      </c>
      <c r="D414" s="4" t="s">
        <v>13</v>
      </c>
      <c r="E414" s="4">
        <v>44</v>
      </c>
      <c r="F414" s="4" t="str">
        <f>IF(Table15[[#This Row],[Age]]&lt;=19,"Teenager",IF(Table15[[#This Row],[Age]]&lt;=40,"Median","Old"))</f>
        <v>Old</v>
      </c>
      <c r="G414" s="4" t="s">
        <v>11</v>
      </c>
      <c r="H414" s="4">
        <v>3</v>
      </c>
      <c r="I414" s="4">
        <v>25</v>
      </c>
      <c r="J414" s="4">
        <v>75</v>
      </c>
      <c r="K414" s="4" t="str" cm="1">
        <f t="array" ref="K414">_xlfn.IFS(AND(Table15[[#This Row],[Total Amount]]&gt;=1500),"Critical",AND(Table15[[#This Row],[Total Amount]]&gt;=1000),"High",TRUE,"Normal")</f>
        <v>Normal</v>
      </c>
      <c r="L414" s="4" t="str">
        <f>IF(Table15[[#This Row],[Total Amount]]&gt;=1000,"High",(IF(Table15[[#This Row],[Total Amount]]&gt;=500,"Medium","Low")))</f>
        <v>Low</v>
      </c>
      <c r="M414" s="4" t="str" cm="1">
        <f t="array" ref="M41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14" s="4" cm="1">
        <f t="array" ref="N41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414" s="4">
        <f>Table15[[#This Row],[Total Amount]]-Table15[[#This Row],[Discount Amount]]</f>
        <v>60</v>
      </c>
    </row>
    <row r="415" spans="1:15" x14ac:dyDescent="0.35">
      <c r="A415" s="4">
        <v>414</v>
      </c>
      <c r="B415" s="5">
        <v>45055</v>
      </c>
      <c r="C415" s="4" t="s">
        <v>427</v>
      </c>
      <c r="D415" s="4" t="s">
        <v>10</v>
      </c>
      <c r="E415" s="4">
        <v>48</v>
      </c>
      <c r="F415" s="4" t="str">
        <f>IF(Table15[[#This Row],[Age]]&lt;=19,"Teenager",IF(Table15[[#This Row],[Age]]&lt;=40,"Median","Old"))</f>
        <v>Old</v>
      </c>
      <c r="G415" s="4" t="s">
        <v>11</v>
      </c>
      <c r="H415" s="4">
        <v>4</v>
      </c>
      <c r="I415" s="4">
        <v>25</v>
      </c>
      <c r="J415" s="4">
        <v>100</v>
      </c>
      <c r="K415" s="4" t="str" cm="1">
        <f t="array" ref="K415">_xlfn.IFS(AND(Table15[[#This Row],[Total Amount]]&gt;=1500),"Critical",AND(Table15[[#This Row],[Total Amount]]&gt;=1000),"High",TRUE,"Normal")</f>
        <v>Normal</v>
      </c>
      <c r="L415" s="4" t="str">
        <f>IF(Table15[[#This Row],[Total Amount]]&gt;=1000,"High",(IF(Table15[[#This Row],[Total Amount]]&gt;=500,"Medium","Low")))</f>
        <v>Low</v>
      </c>
      <c r="M415" s="4" t="str" cm="1">
        <f t="array" ref="M41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15" s="4" cm="1">
        <f t="array" ref="N41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415" s="4">
        <f>Table15[[#This Row],[Total Amount]]-Table15[[#This Row],[Discount Amount]]</f>
        <v>90</v>
      </c>
    </row>
    <row r="416" spans="1:15" x14ac:dyDescent="0.35">
      <c r="A416" s="4">
        <v>415</v>
      </c>
      <c r="B416" s="5">
        <v>44953</v>
      </c>
      <c r="C416" s="4" t="s">
        <v>428</v>
      </c>
      <c r="D416" s="4" t="s">
        <v>10</v>
      </c>
      <c r="E416" s="4">
        <v>53</v>
      </c>
      <c r="F416" s="4" t="str">
        <f>IF(Table15[[#This Row],[Age]]&lt;=19,"Teenager",IF(Table15[[#This Row],[Age]]&lt;=40,"Median","Old"))</f>
        <v>Old</v>
      </c>
      <c r="G416" s="4" t="s">
        <v>14</v>
      </c>
      <c r="H416" s="4">
        <v>2</v>
      </c>
      <c r="I416" s="4">
        <v>30</v>
      </c>
      <c r="J416" s="4">
        <v>60</v>
      </c>
      <c r="K416" s="4" t="str" cm="1">
        <f t="array" ref="K416">_xlfn.IFS(AND(Table15[[#This Row],[Total Amount]]&gt;=1500),"Critical",AND(Table15[[#This Row],[Total Amount]]&gt;=1000),"High",TRUE,"Normal")</f>
        <v>Normal</v>
      </c>
      <c r="L416" s="4" t="str">
        <f>IF(Table15[[#This Row],[Total Amount]]&gt;=1000,"High",(IF(Table15[[#This Row],[Total Amount]]&gt;=500,"Medium","Low")))</f>
        <v>Low</v>
      </c>
      <c r="M416" s="4" t="str" cm="1">
        <f t="array" ref="M41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16" s="4" cm="1">
        <f t="array" ref="N41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416" s="4">
        <f>Table15[[#This Row],[Total Amount]]-Table15[[#This Row],[Discount Amount]]</f>
        <v>54</v>
      </c>
    </row>
    <row r="417" spans="1:15" x14ac:dyDescent="0.35">
      <c r="A417" s="4">
        <v>416</v>
      </c>
      <c r="B417" s="5">
        <v>44974</v>
      </c>
      <c r="C417" s="4" t="s">
        <v>429</v>
      </c>
      <c r="D417" s="4" t="s">
        <v>10</v>
      </c>
      <c r="E417" s="4">
        <v>53</v>
      </c>
      <c r="F417" s="4" t="str">
        <f>IF(Table15[[#This Row],[Age]]&lt;=19,"Teenager",IF(Table15[[#This Row],[Age]]&lt;=40,"Median","Old"))</f>
        <v>Old</v>
      </c>
      <c r="G417" s="4" t="s">
        <v>16</v>
      </c>
      <c r="H417" s="4">
        <v>4</v>
      </c>
      <c r="I417" s="4">
        <v>500</v>
      </c>
      <c r="J417" s="4">
        <v>2000</v>
      </c>
      <c r="K417" s="4" t="str" cm="1">
        <f t="array" ref="K417">_xlfn.IFS(AND(Table15[[#This Row],[Total Amount]]&gt;=1500),"Critical",AND(Table15[[#This Row],[Total Amount]]&gt;=1000),"High",TRUE,"Normal")</f>
        <v>Critical</v>
      </c>
      <c r="L417" s="4" t="str">
        <f>IF(Table15[[#This Row],[Total Amount]]&gt;=1000,"High",(IF(Table15[[#This Row],[Total Amount]]&gt;=500,"Medium","Low")))</f>
        <v>High</v>
      </c>
      <c r="M417" s="4" t="str" cm="1">
        <f t="array" ref="M41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17" s="4" cm="1">
        <f t="array" ref="N41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417" s="4">
        <f>Table15[[#This Row],[Total Amount]]-Table15[[#This Row],[Discount Amount]]</f>
        <v>1800</v>
      </c>
    </row>
    <row r="418" spans="1:15" x14ac:dyDescent="0.35">
      <c r="A418" s="4">
        <v>417</v>
      </c>
      <c r="B418" s="5">
        <v>45251</v>
      </c>
      <c r="C418" s="4" t="s">
        <v>430</v>
      </c>
      <c r="D418" s="4" t="s">
        <v>10</v>
      </c>
      <c r="E418" s="4">
        <v>43</v>
      </c>
      <c r="F418" s="4" t="str">
        <f>IF(Table15[[#This Row],[Age]]&lt;=19,"Teenager",IF(Table15[[#This Row],[Age]]&lt;=40,"Median","Old"))</f>
        <v>Old</v>
      </c>
      <c r="G418" s="4" t="s">
        <v>16</v>
      </c>
      <c r="H418" s="4">
        <v>3</v>
      </c>
      <c r="I418" s="4">
        <v>300</v>
      </c>
      <c r="J418" s="4">
        <v>900</v>
      </c>
      <c r="K418" s="4" t="str" cm="1">
        <f t="array" ref="K418">_xlfn.IFS(AND(Table15[[#This Row],[Total Amount]]&gt;=1500),"Critical",AND(Table15[[#This Row],[Total Amount]]&gt;=1000),"High",TRUE,"Normal")</f>
        <v>Normal</v>
      </c>
      <c r="L418" s="4" t="str">
        <f>IF(Table15[[#This Row],[Total Amount]]&gt;=1000,"High",(IF(Table15[[#This Row],[Total Amount]]&gt;=500,"Medium","Low")))</f>
        <v>Medium</v>
      </c>
      <c r="M418" s="4" t="str" cm="1">
        <f t="array" ref="M41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18" s="4" cm="1">
        <f t="array" ref="N41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418" s="4">
        <f>Table15[[#This Row],[Total Amount]]-Table15[[#This Row],[Discount Amount]]</f>
        <v>810</v>
      </c>
    </row>
    <row r="419" spans="1:15" x14ac:dyDescent="0.35">
      <c r="A419" s="4">
        <v>418</v>
      </c>
      <c r="B419" s="5">
        <v>45143</v>
      </c>
      <c r="C419" s="4" t="s">
        <v>431</v>
      </c>
      <c r="D419" s="4" t="s">
        <v>13</v>
      </c>
      <c r="E419" s="4">
        <v>60</v>
      </c>
      <c r="F419" s="4" t="str">
        <f>IF(Table15[[#This Row],[Age]]&lt;=19,"Teenager",IF(Table15[[#This Row],[Age]]&lt;=40,"Median","Old"))</f>
        <v>Old</v>
      </c>
      <c r="G419" s="4" t="s">
        <v>16</v>
      </c>
      <c r="H419" s="4">
        <v>2</v>
      </c>
      <c r="I419" s="4">
        <v>500</v>
      </c>
      <c r="J419" s="4">
        <v>1000</v>
      </c>
      <c r="K419" s="4" t="str" cm="1">
        <f t="array" ref="K419">_xlfn.IFS(AND(Table15[[#This Row],[Total Amount]]&gt;=1500),"Critical",AND(Table15[[#This Row],[Total Amount]]&gt;=1000),"High",TRUE,"Normal")</f>
        <v>High</v>
      </c>
      <c r="L419" s="4" t="str">
        <f>IF(Table15[[#This Row],[Total Amount]]&gt;=1000,"High",(IF(Table15[[#This Row],[Total Amount]]&gt;=500,"Medium","Low")))</f>
        <v>High</v>
      </c>
      <c r="M419" s="4" t="str" cm="1">
        <f t="array" ref="M41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19" s="4" cm="1">
        <f t="array" ref="N41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419" s="4">
        <f>Table15[[#This Row],[Total Amount]]-Table15[[#This Row],[Discount Amount]]</f>
        <v>800</v>
      </c>
    </row>
    <row r="420" spans="1:15" x14ac:dyDescent="0.35">
      <c r="A420" s="4">
        <v>419</v>
      </c>
      <c r="B420" s="5">
        <v>45068</v>
      </c>
      <c r="C420" s="4" t="s">
        <v>432</v>
      </c>
      <c r="D420" s="4" t="s">
        <v>13</v>
      </c>
      <c r="E420" s="4">
        <v>44</v>
      </c>
      <c r="F420" s="4" t="str">
        <f>IF(Table15[[#This Row],[Age]]&lt;=19,"Teenager",IF(Table15[[#This Row],[Age]]&lt;=40,"Median","Old"))</f>
        <v>Old</v>
      </c>
      <c r="G420" s="4" t="s">
        <v>14</v>
      </c>
      <c r="H420" s="4">
        <v>3</v>
      </c>
      <c r="I420" s="4">
        <v>30</v>
      </c>
      <c r="J420" s="4">
        <v>90</v>
      </c>
      <c r="K420" s="4" t="str" cm="1">
        <f t="array" ref="K420">_xlfn.IFS(AND(Table15[[#This Row],[Total Amount]]&gt;=1500),"Critical",AND(Table15[[#This Row],[Total Amount]]&gt;=1000),"High",TRUE,"Normal")</f>
        <v>Normal</v>
      </c>
      <c r="L420" s="4" t="str">
        <f>IF(Table15[[#This Row],[Total Amount]]&gt;=1000,"High",(IF(Table15[[#This Row],[Total Amount]]&gt;=500,"Medium","Low")))</f>
        <v>Low</v>
      </c>
      <c r="M420" s="4" t="str" cm="1">
        <f t="array" ref="M42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20" s="4" cm="1">
        <f t="array" ref="N42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420" s="4">
        <f>Table15[[#This Row],[Total Amount]]-Table15[[#This Row],[Discount Amount]]</f>
        <v>72</v>
      </c>
    </row>
    <row r="421" spans="1:15" x14ac:dyDescent="0.35">
      <c r="A421" s="4">
        <v>420</v>
      </c>
      <c r="B421" s="5">
        <v>44949</v>
      </c>
      <c r="C421" s="4" t="s">
        <v>433</v>
      </c>
      <c r="D421" s="4" t="s">
        <v>13</v>
      </c>
      <c r="E421" s="4">
        <v>22</v>
      </c>
      <c r="F421" s="4" t="str">
        <f>IF(Table15[[#This Row],[Age]]&lt;=19,"Teenager",IF(Table15[[#This Row],[Age]]&lt;=40,"Median","Old"))</f>
        <v>Median</v>
      </c>
      <c r="G421" s="4" t="s">
        <v>14</v>
      </c>
      <c r="H421" s="4">
        <v>4</v>
      </c>
      <c r="I421" s="4">
        <v>500</v>
      </c>
      <c r="J421" s="4">
        <v>2000</v>
      </c>
      <c r="K421" s="4" t="str" cm="1">
        <f t="array" ref="K421">_xlfn.IFS(AND(Table15[[#This Row],[Total Amount]]&gt;=1500),"Critical",AND(Table15[[#This Row],[Total Amount]]&gt;=1000),"High",TRUE,"Normal")</f>
        <v>Critical</v>
      </c>
      <c r="L421" s="4" t="str">
        <f>IF(Table15[[#This Row],[Total Amount]]&gt;=1000,"High",(IF(Table15[[#This Row],[Total Amount]]&gt;=500,"Medium","Low")))</f>
        <v>High</v>
      </c>
      <c r="M421" s="4" t="str" cm="1">
        <f t="array" ref="M42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21" s="4" cm="1">
        <f t="array" ref="N42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21" s="4">
        <f>Table15[[#This Row],[Total Amount]]-Table15[[#This Row],[Discount Amount]]</f>
        <v>2000</v>
      </c>
    </row>
    <row r="422" spans="1:15" x14ac:dyDescent="0.35">
      <c r="A422" s="4">
        <v>421</v>
      </c>
      <c r="B422" s="5">
        <v>44928</v>
      </c>
      <c r="C422" s="4" t="s">
        <v>434</v>
      </c>
      <c r="D422" s="4" t="s">
        <v>13</v>
      </c>
      <c r="E422" s="4">
        <v>37</v>
      </c>
      <c r="F422" s="4" t="str">
        <f>IF(Table15[[#This Row],[Age]]&lt;=19,"Teenager",IF(Table15[[#This Row],[Age]]&lt;=40,"Median","Old"))</f>
        <v>Median</v>
      </c>
      <c r="G422" s="4" t="s">
        <v>14</v>
      </c>
      <c r="H422" s="4">
        <v>3</v>
      </c>
      <c r="I422" s="4">
        <v>500</v>
      </c>
      <c r="J422" s="4">
        <v>1500</v>
      </c>
      <c r="K422" s="4" t="str" cm="1">
        <f t="array" ref="K422">_xlfn.IFS(AND(Table15[[#This Row],[Total Amount]]&gt;=1500),"Critical",AND(Table15[[#This Row],[Total Amount]]&gt;=1000),"High",TRUE,"Normal")</f>
        <v>Critical</v>
      </c>
      <c r="L422" s="4" t="str">
        <f>IF(Table15[[#This Row],[Total Amount]]&gt;=1000,"High",(IF(Table15[[#This Row],[Total Amount]]&gt;=500,"Medium","Low")))</f>
        <v>High</v>
      </c>
      <c r="M422" s="4" t="str" cm="1">
        <f t="array" ref="M42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22" s="4" cm="1">
        <f t="array" ref="N42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422" s="4">
        <f>Table15[[#This Row],[Total Amount]]-Table15[[#This Row],[Discount Amount]]</f>
        <v>1200</v>
      </c>
    </row>
    <row r="423" spans="1:15" x14ac:dyDescent="0.35">
      <c r="A423" s="4">
        <v>422</v>
      </c>
      <c r="B423" s="5">
        <v>45097</v>
      </c>
      <c r="C423" s="4" t="s">
        <v>435</v>
      </c>
      <c r="D423" s="4" t="s">
        <v>13</v>
      </c>
      <c r="E423" s="4">
        <v>28</v>
      </c>
      <c r="F423" s="4" t="str">
        <f>IF(Table15[[#This Row],[Age]]&lt;=19,"Teenager",IF(Table15[[#This Row],[Age]]&lt;=40,"Median","Old"))</f>
        <v>Median</v>
      </c>
      <c r="G423" s="4" t="s">
        <v>14</v>
      </c>
      <c r="H423" s="4">
        <v>3</v>
      </c>
      <c r="I423" s="4">
        <v>30</v>
      </c>
      <c r="J423" s="4">
        <v>90</v>
      </c>
      <c r="K423" s="4" t="str" cm="1">
        <f t="array" ref="K423">_xlfn.IFS(AND(Table15[[#This Row],[Total Amount]]&gt;=1500),"Critical",AND(Table15[[#This Row],[Total Amount]]&gt;=1000),"High",TRUE,"Normal")</f>
        <v>Normal</v>
      </c>
      <c r="L423" s="4" t="str">
        <f>IF(Table15[[#This Row],[Total Amount]]&gt;=1000,"High",(IF(Table15[[#This Row],[Total Amount]]&gt;=500,"Medium","Low")))</f>
        <v>Low</v>
      </c>
      <c r="M423" s="4" t="str" cm="1">
        <f t="array" ref="M42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23" s="4" cm="1">
        <f t="array" ref="N42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13.5</v>
      </c>
      <c r="O423" s="4">
        <f>Table15[[#This Row],[Total Amount]]-Table15[[#This Row],[Discount Amount]]</f>
        <v>76.5</v>
      </c>
    </row>
    <row r="424" spans="1:15" x14ac:dyDescent="0.35">
      <c r="A424" s="4">
        <v>423</v>
      </c>
      <c r="B424" s="5">
        <v>44993</v>
      </c>
      <c r="C424" s="4" t="s">
        <v>436</v>
      </c>
      <c r="D424" s="4" t="s">
        <v>13</v>
      </c>
      <c r="E424" s="4">
        <v>27</v>
      </c>
      <c r="F424" s="4" t="str">
        <f>IF(Table15[[#This Row],[Age]]&lt;=19,"Teenager",IF(Table15[[#This Row],[Age]]&lt;=40,"Median","Old"))</f>
        <v>Median</v>
      </c>
      <c r="G424" s="4" t="s">
        <v>14</v>
      </c>
      <c r="H424" s="4">
        <v>1</v>
      </c>
      <c r="I424" s="4">
        <v>25</v>
      </c>
      <c r="J424" s="4">
        <v>25</v>
      </c>
      <c r="K424" s="4" t="str" cm="1">
        <f t="array" ref="K424">_xlfn.IFS(AND(Table15[[#This Row],[Total Amount]]&gt;=1500),"Critical",AND(Table15[[#This Row],[Total Amount]]&gt;=1000),"High",TRUE,"Normal")</f>
        <v>Normal</v>
      </c>
      <c r="L424" s="4" t="str">
        <f>IF(Table15[[#This Row],[Total Amount]]&gt;=1000,"High",(IF(Table15[[#This Row],[Total Amount]]&gt;=500,"Medium","Low")))</f>
        <v>Low</v>
      </c>
      <c r="M424" s="4" t="str" cm="1">
        <f t="array" ref="M42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24" s="4" cm="1">
        <f t="array" ref="N42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3.75</v>
      </c>
      <c r="O424" s="4">
        <f>Table15[[#This Row],[Total Amount]]-Table15[[#This Row],[Discount Amount]]</f>
        <v>21.25</v>
      </c>
    </row>
    <row r="425" spans="1:15" x14ac:dyDescent="0.35">
      <c r="A425" s="4">
        <v>424</v>
      </c>
      <c r="B425" s="5">
        <v>45253</v>
      </c>
      <c r="C425" s="4" t="s">
        <v>437</v>
      </c>
      <c r="D425" s="4" t="s">
        <v>10</v>
      </c>
      <c r="E425" s="4">
        <v>57</v>
      </c>
      <c r="F425" s="4" t="str">
        <f>IF(Table15[[#This Row],[Age]]&lt;=19,"Teenager",IF(Table15[[#This Row],[Age]]&lt;=40,"Median","Old"))</f>
        <v>Old</v>
      </c>
      <c r="G425" s="4" t="s">
        <v>11</v>
      </c>
      <c r="H425" s="4">
        <v>4</v>
      </c>
      <c r="I425" s="4">
        <v>300</v>
      </c>
      <c r="J425" s="4">
        <v>1200</v>
      </c>
      <c r="K425" s="4" t="str" cm="1">
        <f t="array" ref="K425">_xlfn.IFS(AND(Table15[[#This Row],[Total Amount]]&gt;=1500),"Critical",AND(Table15[[#This Row],[Total Amount]]&gt;=1000),"High",TRUE,"Normal")</f>
        <v>High</v>
      </c>
      <c r="L425" s="4" t="str">
        <f>IF(Table15[[#This Row],[Total Amount]]&gt;=1000,"High",(IF(Table15[[#This Row],[Total Amount]]&gt;=500,"Medium","Low")))</f>
        <v>High</v>
      </c>
      <c r="M425" s="4" t="str" cm="1">
        <f t="array" ref="M42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25" s="4" cm="1">
        <f t="array" ref="N42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425" s="4">
        <f>Table15[[#This Row],[Total Amount]]-Table15[[#This Row],[Discount Amount]]</f>
        <v>1080</v>
      </c>
    </row>
    <row r="426" spans="1:15" x14ac:dyDescent="0.35">
      <c r="A426" s="4">
        <v>425</v>
      </c>
      <c r="B426" s="5">
        <v>45061</v>
      </c>
      <c r="C426" s="4" t="s">
        <v>438</v>
      </c>
      <c r="D426" s="4" t="s">
        <v>13</v>
      </c>
      <c r="E426" s="4">
        <v>55</v>
      </c>
      <c r="F426" s="4" t="str">
        <f>IF(Table15[[#This Row],[Age]]&lt;=19,"Teenager",IF(Table15[[#This Row],[Age]]&lt;=40,"Median","Old"))</f>
        <v>Old</v>
      </c>
      <c r="G426" s="4" t="s">
        <v>16</v>
      </c>
      <c r="H426" s="4">
        <v>4</v>
      </c>
      <c r="I426" s="4">
        <v>30</v>
      </c>
      <c r="J426" s="4">
        <v>120</v>
      </c>
      <c r="K426" s="4" t="str" cm="1">
        <f t="array" ref="K426">_xlfn.IFS(AND(Table15[[#This Row],[Total Amount]]&gt;=1500),"Critical",AND(Table15[[#This Row],[Total Amount]]&gt;=1000),"High",TRUE,"Normal")</f>
        <v>Normal</v>
      </c>
      <c r="L426" s="4" t="str">
        <f>IF(Table15[[#This Row],[Total Amount]]&gt;=1000,"High",(IF(Table15[[#This Row],[Total Amount]]&gt;=500,"Medium","Low")))</f>
        <v>Low</v>
      </c>
      <c r="M426" s="4" t="str" cm="1">
        <f t="array" ref="M42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26" s="4" cm="1">
        <f t="array" ref="N42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426" s="4">
        <f>Table15[[#This Row],[Total Amount]]-Table15[[#This Row],[Discount Amount]]</f>
        <v>96</v>
      </c>
    </row>
    <row r="427" spans="1:15" x14ac:dyDescent="0.35">
      <c r="A427" s="4">
        <v>426</v>
      </c>
      <c r="B427" s="5">
        <v>45009</v>
      </c>
      <c r="C427" s="4" t="s">
        <v>439</v>
      </c>
      <c r="D427" s="4" t="s">
        <v>10</v>
      </c>
      <c r="E427" s="4">
        <v>23</v>
      </c>
      <c r="F427" s="4" t="str">
        <f>IF(Table15[[#This Row],[Age]]&lt;=19,"Teenager",IF(Table15[[#This Row],[Age]]&lt;=40,"Median","Old"))</f>
        <v>Median</v>
      </c>
      <c r="G427" s="4" t="s">
        <v>16</v>
      </c>
      <c r="H427" s="4">
        <v>3</v>
      </c>
      <c r="I427" s="4">
        <v>50</v>
      </c>
      <c r="J427" s="4">
        <v>150</v>
      </c>
      <c r="K427" s="4" t="str" cm="1">
        <f t="array" ref="K427">_xlfn.IFS(AND(Table15[[#This Row],[Total Amount]]&gt;=1500),"Critical",AND(Table15[[#This Row],[Total Amount]]&gt;=1000),"High",TRUE,"Normal")</f>
        <v>Normal</v>
      </c>
      <c r="L427" s="4" t="str">
        <f>IF(Table15[[#This Row],[Total Amount]]&gt;=1000,"High",(IF(Table15[[#This Row],[Total Amount]]&gt;=500,"Medium","Low")))</f>
        <v>Low</v>
      </c>
      <c r="M427" s="4" t="str" cm="1">
        <f t="array" ref="M42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27" s="4" cm="1">
        <f t="array" ref="N42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27" s="4">
        <f>Table15[[#This Row],[Total Amount]]-Table15[[#This Row],[Discount Amount]]</f>
        <v>150</v>
      </c>
    </row>
    <row r="428" spans="1:15" x14ac:dyDescent="0.35">
      <c r="A428" s="4">
        <v>427</v>
      </c>
      <c r="B428" s="5">
        <v>45153</v>
      </c>
      <c r="C428" s="4" t="s">
        <v>440</v>
      </c>
      <c r="D428" s="4" t="s">
        <v>10</v>
      </c>
      <c r="E428" s="4">
        <v>25</v>
      </c>
      <c r="F428" s="4" t="str">
        <f>IF(Table15[[#This Row],[Age]]&lt;=19,"Teenager",IF(Table15[[#This Row],[Age]]&lt;=40,"Median","Old"))</f>
        <v>Median</v>
      </c>
      <c r="G428" s="4" t="s">
        <v>16</v>
      </c>
      <c r="H428" s="4">
        <v>1</v>
      </c>
      <c r="I428" s="4">
        <v>25</v>
      </c>
      <c r="J428" s="4">
        <v>25</v>
      </c>
      <c r="K428" s="4" t="str" cm="1">
        <f t="array" ref="K428">_xlfn.IFS(AND(Table15[[#This Row],[Total Amount]]&gt;=1500),"Critical",AND(Table15[[#This Row],[Total Amount]]&gt;=1000),"High",TRUE,"Normal")</f>
        <v>Normal</v>
      </c>
      <c r="L428" s="4" t="str">
        <f>IF(Table15[[#This Row],[Total Amount]]&gt;=1000,"High",(IF(Table15[[#This Row],[Total Amount]]&gt;=500,"Medium","Low")))</f>
        <v>Low</v>
      </c>
      <c r="M428" s="4" t="str" cm="1">
        <f t="array" ref="M42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28" s="4" cm="1">
        <f t="array" ref="N42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3.75</v>
      </c>
      <c r="O428" s="4">
        <f>Table15[[#This Row],[Total Amount]]-Table15[[#This Row],[Discount Amount]]</f>
        <v>21.25</v>
      </c>
    </row>
    <row r="429" spans="1:15" x14ac:dyDescent="0.35">
      <c r="A429" s="4">
        <v>428</v>
      </c>
      <c r="B429" s="5">
        <v>45209</v>
      </c>
      <c r="C429" s="4" t="s">
        <v>441</v>
      </c>
      <c r="D429" s="4" t="s">
        <v>13</v>
      </c>
      <c r="E429" s="4">
        <v>40</v>
      </c>
      <c r="F429" s="4" t="str">
        <f>IF(Table15[[#This Row],[Age]]&lt;=19,"Teenager",IF(Table15[[#This Row],[Age]]&lt;=40,"Median","Old"))</f>
        <v>Median</v>
      </c>
      <c r="G429" s="4" t="s">
        <v>16</v>
      </c>
      <c r="H429" s="4">
        <v>4</v>
      </c>
      <c r="I429" s="4">
        <v>50</v>
      </c>
      <c r="J429" s="4">
        <v>200</v>
      </c>
      <c r="K429" s="4" t="str" cm="1">
        <f t="array" ref="K429">_xlfn.IFS(AND(Table15[[#This Row],[Total Amount]]&gt;=1500),"Critical",AND(Table15[[#This Row],[Total Amount]]&gt;=1000),"High",TRUE,"Normal")</f>
        <v>Normal</v>
      </c>
      <c r="L429" s="4" t="str">
        <f>IF(Table15[[#This Row],[Total Amount]]&gt;=1000,"High",(IF(Table15[[#This Row],[Total Amount]]&gt;=500,"Medium","Low")))</f>
        <v>Low</v>
      </c>
      <c r="M429" s="4" t="str" cm="1">
        <f t="array" ref="M42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29" s="4" cm="1">
        <f t="array" ref="N42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429" s="4">
        <f>Table15[[#This Row],[Total Amount]]-Table15[[#This Row],[Discount Amount]]</f>
        <v>160</v>
      </c>
    </row>
    <row r="430" spans="1:15" x14ac:dyDescent="0.35">
      <c r="A430" s="4">
        <v>429</v>
      </c>
      <c r="B430" s="5">
        <v>45288</v>
      </c>
      <c r="C430" s="4" t="s">
        <v>442</v>
      </c>
      <c r="D430" s="4" t="s">
        <v>10</v>
      </c>
      <c r="E430" s="4">
        <v>64</v>
      </c>
      <c r="F430" s="4" t="str">
        <f>IF(Table15[[#This Row],[Age]]&lt;=19,"Teenager",IF(Table15[[#This Row],[Age]]&lt;=40,"Median","Old"))</f>
        <v>Old</v>
      </c>
      <c r="G430" s="4" t="s">
        <v>16</v>
      </c>
      <c r="H430" s="4">
        <v>2</v>
      </c>
      <c r="I430" s="4">
        <v>25</v>
      </c>
      <c r="J430" s="4">
        <v>50</v>
      </c>
      <c r="K430" s="4" t="str" cm="1">
        <f t="array" ref="K430">_xlfn.IFS(AND(Table15[[#This Row],[Total Amount]]&gt;=1500),"Critical",AND(Table15[[#This Row],[Total Amount]]&gt;=1000),"High",TRUE,"Normal")</f>
        <v>Normal</v>
      </c>
      <c r="L430" s="4" t="str">
        <f>IF(Table15[[#This Row],[Total Amount]]&gt;=1000,"High",(IF(Table15[[#This Row],[Total Amount]]&gt;=500,"Medium","Low")))</f>
        <v>Low</v>
      </c>
      <c r="M430" s="4" t="str" cm="1">
        <f t="array" ref="M43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30" s="4" cm="1">
        <f t="array" ref="N43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430" s="4">
        <f>Table15[[#This Row],[Total Amount]]-Table15[[#This Row],[Discount Amount]]</f>
        <v>45</v>
      </c>
    </row>
    <row r="431" spans="1:15" x14ac:dyDescent="0.35">
      <c r="A431" s="4">
        <v>430</v>
      </c>
      <c r="B431" s="5">
        <v>45145</v>
      </c>
      <c r="C431" s="4" t="s">
        <v>443</v>
      </c>
      <c r="D431" s="4" t="s">
        <v>13</v>
      </c>
      <c r="E431" s="4">
        <v>43</v>
      </c>
      <c r="F431" s="4" t="str">
        <f>IF(Table15[[#This Row],[Age]]&lt;=19,"Teenager",IF(Table15[[#This Row],[Age]]&lt;=40,"Median","Old"))</f>
        <v>Old</v>
      </c>
      <c r="G431" s="4" t="s">
        <v>16</v>
      </c>
      <c r="H431" s="4">
        <v>3</v>
      </c>
      <c r="I431" s="4">
        <v>300</v>
      </c>
      <c r="J431" s="4">
        <v>900</v>
      </c>
      <c r="K431" s="4" t="str" cm="1">
        <f t="array" ref="K431">_xlfn.IFS(AND(Table15[[#This Row],[Total Amount]]&gt;=1500),"Critical",AND(Table15[[#This Row],[Total Amount]]&gt;=1000),"High",TRUE,"Normal")</f>
        <v>Normal</v>
      </c>
      <c r="L431" s="4" t="str">
        <f>IF(Table15[[#This Row],[Total Amount]]&gt;=1000,"High",(IF(Table15[[#This Row],[Total Amount]]&gt;=500,"Medium","Low")))</f>
        <v>Medium</v>
      </c>
      <c r="M431" s="4" t="str" cm="1">
        <f t="array" ref="M43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31" s="4" cm="1">
        <f t="array" ref="N43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431" s="4">
        <f>Table15[[#This Row],[Total Amount]]-Table15[[#This Row],[Discount Amount]]</f>
        <v>720</v>
      </c>
    </row>
    <row r="432" spans="1:15" x14ac:dyDescent="0.35">
      <c r="A432" s="4">
        <v>431</v>
      </c>
      <c r="B432" s="5">
        <v>45214</v>
      </c>
      <c r="C432" s="4" t="s">
        <v>444</v>
      </c>
      <c r="D432" s="4" t="s">
        <v>10</v>
      </c>
      <c r="E432" s="4">
        <v>63</v>
      </c>
      <c r="F432" s="4" t="str">
        <f>IF(Table15[[#This Row],[Age]]&lt;=19,"Teenager",IF(Table15[[#This Row],[Age]]&lt;=40,"Median","Old"))</f>
        <v>Old</v>
      </c>
      <c r="G432" s="4" t="s">
        <v>16</v>
      </c>
      <c r="H432" s="4">
        <v>4</v>
      </c>
      <c r="I432" s="4">
        <v>300</v>
      </c>
      <c r="J432" s="4">
        <v>1200</v>
      </c>
      <c r="K432" s="4" t="str" cm="1">
        <f t="array" ref="K432">_xlfn.IFS(AND(Table15[[#This Row],[Total Amount]]&gt;=1500),"Critical",AND(Table15[[#This Row],[Total Amount]]&gt;=1000),"High",TRUE,"Normal")</f>
        <v>High</v>
      </c>
      <c r="L432" s="4" t="str">
        <f>IF(Table15[[#This Row],[Total Amount]]&gt;=1000,"High",(IF(Table15[[#This Row],[Total Amount]]&gt;=500,"Medium","Low")))</f>
        <v>High</v>
      </c>
      <c r="M432" s="4" t="str" cm="1">
        <f t="array" ref="M43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32" s="4" cm="1">
        <f t="array" ref="N43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432" s="4">
        <f>Table15[[#This Row],[Total Amount]]-Table15[[#This Row],[Discount Amount]]</f>
        <v>1080</v>
      </c>
    </row>
    <row r="433" spans="1:15" x14ac:dyDescent="0.35">
      <c r="A433" s="4">
        <v>432</v>
      </c>
      <c r="B433" s="5">
        <v>44931</v>
      </c>
      <c r="C433" s="4" t="s">
        <v>445</v>
      </c>
      <c r="D433" s="4" t="s">
        <v>13</v>
      </c>
      <c r="E433" s="4">
        <v>60</v>
      </c>
      <c r="F433" s="4" t="str">
        <f>IF(Table15[[#This Row],[Age]]&lt;=19,"Teenager",IF(Table15[[#This Row],[Age]]&lt;=40,"Median","Old"))</f>
        <v>Old</v>
      </c>
      <c r="G433" s="4" t="s">
        <v>16</v>
      </c>
      <c r="H433" s="4">
        <v>2</v>
      </c>
      <c r="I433" s="4">
        <v>500</v>
      </c>
      <c r="J433" s="4">
        <v>1000</v>
      </c>
      <c r="K433" s="4" t="str" cm="1">
        <f t="array" ref="K433">_xlfn.IFS(AND(Table15[[#This Row],[Total Amount]]&gt;=1500),"Critical",AND(Table15[[#This Row],[Total Amount]]&gt;=1000),"High",TRUE,"Normal")</f>
        <v>High</v>
      </c>
      <c r="L433" s="4" t="str">
        <f>IF(Table15[[#This Row],[Total Amount]]&gt;=1000,"High",(IF(Table15[[#This Row],[Total Amount]]&gt;=500,"Medium","Low")))</f>
        <v>High</v>
      </c>
      <c r="M433" s="4" t="str" cm="1">
        <f t="array" ref="M43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33" s="4" cm="1">
        <f t="array" ref="N43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433" s="4">
        <f>Table15[[#This Row],[Total Amount]]-Table15[[#This Row],[Discount Amount]]</f>
        <v>800</v>
      </c>
    </row>
    <row r="434" spans="1:15" x14ac:dyDescent="0.35">
      <c r="A434" s="4">
        <v>433</v>
      </c>
      <c r="B434" s="5">
        <v>44984</v>
      </c>
      <c r="C434" s="4" t="s">
        <v>446</v>
      </c>
      <c r="D434" s="4" t="s">
        <v>10</v>
      </c>
      <c r="E434" s="4">
        <v>29</v>
      </c>
      <c r="F434" s="4" t="str">
        <f>IF(Table15[[#This Row],[Age]]&lt;=19,"Teenager",IF(Table15[[#This Row],[Age]]&lt;=40,"Median","Old"))</f>
        <v>Median</v>
      </c>
      <c r="G434" s="4" t="s">
        <v>11</v>
      </c>
      <c r="H434" s="4">
        <v>4</v>
      </c>
      <c r="I434" s="4">
        <v>50</v>
      </c>
      <c r="J434" s="4">
        <v>200</v>
      </c>
      <c r="K434" s="4" t="str" cm="1">
        <f t="array" ref="K434">_xlfn.IFS(AND(Table15[[#This Row],[Total Amount]]&gt;=1500),"Critical",AND(Table15[[#This Row],[Total Amount]]&gt;=1000),"High",TRUE,"Normal")</f>
        <v>Normal</v>
      </c>
      <c r="L434" s="4" t="str">
        <f>IF(Table15[[#This Row],[Total Amount]]&gt;=1000,"High",(IF(Table15[[#This Row],[Total Amount]]&gt;=500,"Medium","Low")))</f>
        <v>Low</v>
      </c>
      <c r="M434" s="4" t="str" cm="1">
        <f t="array" ref="M43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34" s="4" cm="1">
        <f t="array" ref="N43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434" s="4">
        <f>Table15[[#This Row],[Total Amount]]-Table15[[#This Row],[Discount Amount]]</f>
        <v>170</v>
      </c>
    </row>
    <row r="435" spans="1:15" x14ac:dyDescent="0.35">
      <c r="A435" s="4">
        <v>434</v>
      </c>
      <c r="B435" s="5">
        <v>44965</v>
      </c>
      <c r="C435" s="4" t="s">
        <v>447</v>
      </c>
      <c r="D435" s="4" t="s">
        <v>13</v>
      </c>
      <c r="E435" s="4">
        <v>43</v>
      </c>
      <c r="F435" s="4" t="str">
        <f>IF(Table15[[#This Row],[Age]]&lt;=19,"Teenager",IF(Table15[[#This Row],[Age]]&lt;=40,"Median","Old"))</f>
        <v>Old</v>
      </c>
      <c r="G435" s="4" t="s">
        <v>16</v>
      </c>
      <c r="H435" s="4">
        <v>2</v>
      </c>
      <c r="I435" s="4">
        <v>25</v>
      </c>
      <c r="J435" s="4">
        <v>50</v>
      </c>
      <c r="K435" s="4" t="str" cm="1">
        <f t="array" ref="K435">_xlfn.IFS(AND(Table15[[#This Row],[Total Amount]]&gt;=1500),"Critical",AND(Table15[[#This Row],[Total Amount]]&gt;=1000),"High",TRUE,"Normal")</f>
        <v>Normal</v>
      </c>
      <c r="L435" s="4" t="str">
        <f>IF(Table15[[#This Row],[Total Amount]]&gt;=1000,"High",(IF(Table15[[#This Row],[Total Amount]]&gt;=500,"Medium","Low")))</f>
        <v>Low</v>
      </c>
      <c r="M435" s="4" t="str" cm="1">
        <f t="array" ref="M43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35" s="4" cm="1">
        <f t="array" ref="N43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435" s="4">
        <f>Table15[[#This Row],[Total Amount]]-Table15[[#This Row],[Discount Amount]]</f>
        <v>40</v>
      </c>
    </row>
    <row r="436" spans="1:15" x14ac:dyDescent="0.35">
      <c r="A436" s="4">
        <v>435</v>
      </c>
      <c r="B436" s="5">
        <v>45280</v>
      </c>
      <c r="C436" s="4" t="s">
        <v>448</v>
      </c>
      <c r="D436" s="4" t="s">
        <v>13</v>
      </c>
      <c r="E436" s="4">
        <v>30</v>
      </c>
      <c r="F436" s="4" t="str">
        <f>IF(Table15[[#This Row],[Age]]&lt;=19,"Teenager",IF(Table15[[#This Row],[Age]]&lt;=40,"Median","Old"))</f>
        <v>Median</v>
      </c>
      <c r="G436" s="4" t="s">
        <v>11</v>
      </c>
      <c r="H436" s="4">
        <v>3</v>
      </c>
      <c r="I436" s="4">
        <v>300</v>
      </c>
      <c r="J436" s="4">
        <v>900</v>
      </c>
      <c r="K436" s="4" t="str" cm="1">
        <f t="array" ref="K436">_xlfn.IFS(AND(Table15[[#This Row],[Total Amount]]&gt;=1500),"Critical",AND(Table15[[#This Row],[Total Amount]]&gt;=1000),"High",TRUE,"Normal")</f>
        <v>Normal</v>
      </c>
      <c r="L436" s="4" t="str">
        <f>IF(Table15[[#This Row],[Total Amount]]&gt;=1000,"High",(IF(Table15[[#This Row],[Total Amount]]&gt;=500,"Medium","Low")))</f>
        <v>Medium</v>
      </c>
      <c r="M436" s="4" t="str" cm="1">
        <f t="array" ref="M43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36" s="4" cm="1">
        <f t="array" ref="N43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135</v>
      </c>
      <c r="O436" s="4">
        <f>Table15[[#This Row],[Total Amount]]-Table15[[#This Row],[Discount Amount]]</f>
        <v>765</v>
      </c>
    </row>
    <row r="437" spans="1:15" x14ac:dyDescent="0.35">
      <c r="A437" s="4">
        <v>436</v>
      </c>
      <c r="B437" s="5">
        <v>45003</v>
      </c>
      <c r="C437" s="4" t="s">
        <v>449</v>
      </c>
      <c r="D437" s="4" t="s">
        <v>13</v>
      </c>
      <c r="E437" s="4">
        <v>57</v>
      </c>
      <c r="F437" s="4" t="str">
        <f>IF(Table15[[#This Row],[Age]]&lt;=19,"Teenager",IF(Table15[[#This Row],[Age]]&lt;=40,"Median","Old"))</f>
        <v>Old</v>
      </c>
      <c r="G437" s="4" t="s">
        <v>14</v>
      </c>
      <c r="H437" s="4">
        <v>4</v>
      </c>
      <c r="I437" s="4">
        <v>30</v>
      </c>
      <c r="J437" s="4">
        <v>120</v>
      </c>
      <c r="K437" s="4" t="str" cm="1">
        <f t="array" ref="K437">_xlfn.IFS(AND(Table15[[#This Row],[Total Amount]]&gt;=1500),"Critical",AND(Table15[[#This Row],[Total Amount]]&gt;=1000),"High",TRUE,"Normal")</f>
        <v>Normal</v>
      </c>
      <c r="L437" s="4" t="str">
        <f>IF(Table15[[#This Row],[Total Amount]]&gt;=1000,"High",(IF(Table15[[#This Row],[Total Amount]]&gt;=500,"Medium","Low")))</f>
        <v>Low</v>
      </c>
      <c r="M437" s="4" t="str" cm="1">
        <f t="array" ref="M43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37" s="4" cm="1">
        <f t="array" ref="N43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437" s="4">
        <f>Table15[[#This Row],[Total Amount]]-Table15[[#This Row],[Discount Amount]]</f>
        <v>96</v>
      </c>
    </row>
    <row r="438" spans="1:15" x14ac:dyDescent="0.35">
      <c r="A438" s="4">
        <v>437</v>
      </c>
      <c r="B438" s="5">
        <v>45206</v>
      </c>
      <c r="C438" s="4" t="s">
        <v>450</v>
      </c>
      <c r="D438" s="4" t="s">
        <v>13</v>
      </c>
      <c r="E438" s="4">
        <v>35</v>
      </c>
      <c r="F438" s="4" t="str">
        <f>IF(Table15[[#This Row],[Age]]&lt;=19,"Teenager",IF(Table15[[#This Row],[Age]]&lt;=40,"Median","Old"))</f>
        <v>Median</v>
      </c>
      <c r="G438" s="4" t="s">
        <v>16</v>
      </c>
      <c r="H438" s="4">
        <v>4</v>
      </c>
      <c r="I438" s="4">
        <v>300</v>
      </c>
      <c r="J438" s="4">
        <v>1200</v>
      </c>
      <c r="K438" s="4" t="str" cm="1">
        <f t="array" ref="K438">_xlfn.IFS(AND(Table15[[#This Row],[Total Amount]]&gt;=1500),"Critical",AND(Table15[[#This Row],[Total Amount]]&gt;=1000),"High",TRUE,"Normal")</f>
        <v>High</v>
      </c>
      <c r="L438" s="4" t="str">
        <f>IF(Table15[[#This Row],[Total Amount]]&gt;=1000,"High",(IF(Table15[[#This Row],[Total Amount]]&gt;=500,"Medium","Low")))</f>
        <v>High</v>
      </c>
      <c r="M438" s="4" t="str" cm="1">
        <f t="array" ref="M43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38" s="4" cm="1">
        <f t="array" ref="N43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438" s="4">
        <f>Table15[[#This Row],[Total Amount]]-Table15[[#This Row],[Discount Amount]]</f>
        <v>960</v>
      </c>
    </row>
    <row r="439" spans="1:15" x14ac:dyDescent="0.35">
      <c r="A439" s="4">
        <v>438</v>
      </c>
      <c r="B439" s="5">
        <v>44945</v>
      </c>
      <c r="C439" s="4" t="s">
        <v>451</v>
      </c>
      <c r="D439" s="4" t="s">
        <v>13</v>
      </c>
      <c r="E439" s="4">
        <v>42</v>
      </c>
      <c r="F439" s="4" t="str">
        <f>IF(Table15[[#This Row],[Age]]&lt;=19,"Teenager",IF(Table15[[#This Row],[Age]]&lt;=40,"Median","Old"))</f>
        <v>Old</v>
      </c>
      <c r="G439" s="4" t="s">
        <v>14</v>
      </c>
      <c r="H439" s="4">
        <v>1</v>
      </c>
      <c r="I439" s="4">
        <v>30</v>
      </c>
      <c r="J439" s="4">
        <v>30</v>
      </c>
      <c r="K439" s="4" t="str" cm="1">
        <f t="array" ref="K439">_xlfn.IFS(AND(Table15[[#This Row],[Total Amount]]&gt;=1500),"Critical",AND(Table15[[#This Row],[Total Amount]]&gt;=1000),"High",TRUE,"Normal")</f>
        <v>Normal</v>
      </c>
      <c r="L439" s="4" t="str">
        <f>IF(Table15[[#This Row],[Total Amount]]&gt;=1000,"High",(IF(Table15[[#This Row],[Total Amount]]&gt;=500,"Medium","Low")))</f>
        <v>Low</v>
      </c>
      <c r="M439" s="4" t="str" cm="1">
        <f t="array" ref="M43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39" s="4" cm="1">
        <f t="array" ref="N43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439" s="4">
        <f>Table15[[#This Row],[Total Amount]]-Table15[[#This Row],[Discount Amount]]</f>
        <v>24</v>
      </c>
    </row>
    <row r="440" spans="1:15" x14ac:dyDescent="0.35">
      <c r="A440" s="4">
        <v>439</v>
      </c>
      <c r="B440" s="5">
        <v>45116</v>
      </c>
      <c r="C440" s="4" t="s">
        <v>452</v>
      </c>
      <c r="D440" s="4" t="s">
        <v>10</v>
      </c>
      <c r="E440" s="4">
        <v>50</v>
      </c>
      <c r="F440" s="4" t="str">
        <f>IF(Table15[[#This Row],[Age]]&lt;=19,"Teenager",IF(Table15[[#This Row],[Age]]&lt;=40,"Median","Old"))</f>
        <v>Old</v>
      </c>
      <c r="G440" s="4" t="s">
        <v>14</v>
      </c>
      <c r="H440" s="4">
        <v>3</v>
      </c>
      <c r="I440" s="4">
        <v>25</v>
      </c>
      <c r="J440" s="4">
        <v>75</v>
      </c>
      <c r="K440" s="4" t="str" cm="1">
        <f t="array" ref="K440">_xlfn.IFS(AND(Table15[[#This Row],[Total Amount]]&gt;=1500),"Critical",AND(Table15[[#This Row],[Total Amount]]&gt;=1000),"High",TRUE,"Normal")</f>
        <v>Normal</v>
      </c>
      <c r="L440" s="4" t="str">
        <f>IF(Table15[[#This Row],[Total Amount]]&gt;=1000,"High",(IF(Table15[[#This Row],[Total Amount]]&gt;=500,"Medium","Low")))</f>
        <v>Low</v>
      </c>
      <c r="M440" s="4" t="str" cm="1">
        <f t="array" ref="M44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40" s="4" cm="1">
        <f t="array" ref="N44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440" s="4">
        <f>Table15[[#This Row],[Total Amount]]-Table15[[#This Row],[Discount Amount]]</f>
        <v>67.5</v>
      </c>
    </row>
    <row r="441" spans="1:15" x14ac:dyDescent="0.35">
      <c r="A441" s="4">
        <v>440</v>
      </c>
      <c r="B441" s="5">
        <v>45225</v>
      </c>
      <c r="C441" s="4" t="s">
        <v>453</v>
      </c>
      <c r="D441" s="4" t="s">
        <v>10</v>
      </c>
      <c r="E441" s="4">
        <v>64</v>
      </c>
      <c r="F441" s="4" t="str">
        <f>IF(Table15[[#This Row],[Age]]&lt;=19,"Teenager",IF(Table15[[#This Row],[Age]]&lt;=40,"Median","Old"))</f>
        <v>Old</v>
      </c>
      <c r="G441" s="4" t="s">
        <v>14</v>
      </c>
      <c r="H441" s="4">
        <v>2</v>
      </c>
      <c r="I441" s="4">
        <v>300</v>
      </c>
      <c r="J441" s="4">
        <v>600</v>
      </c>
      <c r="K441" s="4" t="str" cm="1">
        <f t="array" ref="K441">_xlfn.IFS(AND(Table15[[#This Row],[Total Amount]]&gt;=1500),"Critical",AND(Table15[[#This Row],[Total Amount]]&gt;=1000),"High",TRUE,"Normal")</f>
        <v>Normal</v>
      </c>
      <c r="L441" s="4" t="str">
        <f>IF(Table15[[#This Row],[Total Amount]]&gt;=1000,"High",(IF(Table15[[#This Row],[Total Amount]]&gt;=500,"Medium","Low")))</f>
        <v>Medium</v>
      </c>
      <c r="M441" s="4" t="str" cm="1">
        <f t="array" ref="M44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41" s="4" cm="1">
        <f t="array" ref="N44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441" s="4">
        <f>Table15[[#This Row],[Total Amount]]-Table15[[#This Row],[Discount Amount]]</f>
        <v>540</v>
      </c>
    </row>
    <row r="442" spans="1:15" x14ac:dyDescent="0.35">
      <c r="A442" s="4">
        <v>441</v>
      </c>
      <c r="B442" s="5">
        <v>45209</v>
      </c>
      <c r="C442" s="4" t="s">
        <v>454</v>
      </c>
      <c r="D442" s="4" t="s">
        <v>10</v>
      </c>
      <c r="E442" s="4">
        <v>57</v>
      </c>
      <c r="F442" s="4" t="str">
        <f>IF(Table15[[#This Row],[Age]]&lt;=19,"Teenager",IF(Table15[[#This Row],[Age]]&lt;=40,"Median","Old"))</f>
        <v>Old</v>
      </c>
      <c r="G442" s="4" t="s">
        <v>11</v>
      </c>
      <c r="H442" s="4">
        <v>4</v>
      </c>
      <c r="I442" s="4">
        <v>300</v>
      </c>
      <c r="J442" s="4">
        <v>1200</v>
      </c>
      <c r="K442" s="4" t="str" cm="1">
        <f t="array" ref="K442">_xlfn.IFS(AND(Table15[[#This Row],[Total Amount]]&gt;=1500),"Critical",AND(Table15[[#This Row],[Total Amount]]&gt;=1000),"High",TRUE,"Normal")</f>
        <v>High</v>
      </c>
      <c r="L442" s="4" t="str">
        <f>IF(Table15[[#This Row],[Total Amount]]&gt;=1000,"High",(IF(Table15[[#This Row],[Total Amount]]&gt;=500,"Medium","Low")))</f>
        <v>High</v>
      </c>
      <c r="M442" s="4" t="str" cm="1">
        <f t="array" ref="M44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42" s="4" cm="1">
        <f t="array" ref="N44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442" s="4">
        <f>Table15[[#This Row],[Total Amount]]-Table15[[#This Row],[Discount Amount]]</f>
        <v>1080</v>
      </c>
    </row>
    <row r="443" spans="1:15" x14ac:dyDescent="0.35">
      <c r="A443" s="4">
        <v>442</v>
      </c>
      <c r="B443" s="5">
        <v>45002</v>
      </c>
      <c r="C443" s="4" t="s">
        <v>455</v>
      </c>
      <c r="D443" s="4" t="s">
        <v>13</v>
      </c>
      <c r="E443" s="4">
        <v>60</v>
      </c>
      <c r="F443" s="4" t="str">
        <f>IF(Table15[[#This Row],[Age]]&lt;=19,"Teenager",IF(Table15[[#This Row],[Age]]&lt;=40,"Median","Old"))</f>
        <v>Old</v>
      </c>
      <c r="G443" s="4" t="s">
        <v>14</v>
      </c>
      <c r="H443" s="4">
        <v>4</v>
      </c>
      <c r="I443" s="4">
        <v>25</v>
      </c>
      <c r="J443" s="4">
        <v>100</v>
      </c>
      <c r="K443" s="4" t="str" cm="1">
        <f t="array" ref="K443">_xlfn.IFS(AND(Table15[[#This Row],[Total Amount]]&gt;=1500),"Critical",AND(Table15[[#This Row],[Total Amount]]&gt;=1000),"High",TRUE,"Normal")</f>
        <v>Normal</v>
      </c>
      <c r="L443" s="4" t="str">
        <f>IF(Table15[[#This Row],[Total Amount]]&gt;=1000,"High",(IF(Table15[[#This Row],[Total Amount]]&gt;=500,"Medium","Low")))</f>
        <v>Low</v>
      </c>
      <c r="M443" s="4" t="str" cm="1">
        <f t="array" ref="M44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43" s="4" cm="1">
        <f t="array" ref="N44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443" s="4">
        <f>Table15[[#This Row],[Total Amount]]-Table15[[#This Row],[Discount Amount]]</f>
        <v>80</v>
      </c>
    </row>
    <row r="444" spans="1:15" x14ac:dyDescent="0.35">
      <c r="A444" s="4">
        <v>443</v>
      </c>
      <c r="B444" s="5">
        <v>45147</v>
      </c>
      <c r="C444" s="4" t="s">
        <v>456</v>
      </c>
      <c r="D444" s="4" t="s">
        <v>10</v>
      </c>
      <c r="E444" s="4">
        <v>29</v>
      </c>
      <c r="F444" s="4" t="str">
        <f>IF(Table15[[#This Row],[Age]]&lt;=19,"Teenager",IF(Table15[[#This Row],[Age]]&lt;=40,"Median","Old"))</f>
        <v>Median</v>
      </c>
      <c r="G444" s="4" t="s">
        <v>14</v>
      </c>
      <c r="H444" s="4">
        <v>2</v>
      </c>
      <c r="I444" s="4">
        <v>300</v>
      </c>
      <c r="J444" s="4">
        <v>600</v>
      </c>
      <c r="K444" s="4" t="str" cm="1">
        <f t="array" ref="K444">_xlfn.IFS(AND(Table15[[#This Row],[Total Amount]]&gt;=1500),"Critical",AND(Table15[[#This Row],[Total Amount]]&gt;=1000),"High",TRUE,"Normal")</f>
        <v>Normal</v>
      </c>
      <c r="L444" s="4" t="str">
        <f>IF(Table15[[#This Row],[Total Amount]]&gt;=1000,"High",(IF(Table15[[#This Row],[Total Amount]]&gt;=500,"Medium","Low")))</f>
        <v>Medium</v>
      </c>
      <c r="M444" s="4" t="str" cm="1">
        <f t="array" ref="M44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44" s="4" cm="1">
        <f t="array" ref="N44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444" s="4">
        <f>Table15[[#This Row],[Total Amount]]-Table15[[#This Row],[Discount Amount]]</f>
        <v>510</v>
      </c>
    </row>
    <row r="445" spans="1:15" x14ac:dyDescent="0.35">
      <c r="A445" s="4">
        <v>444</v>
      </c>
      <c r="B445" s="5">
        <v>44992</v>
      </c>
      <c r="C445" s="4" t="s">
        <v>457</v>
      </c>
      <c r="D445" s="4" t="s">
        <v>13</v>
      </c>
      <c r="E445" s="4">
        <v>61</v>
      </c>
      <c r="F445" s="4" t="str">
        <f>IF(Table15[[#This Row],[Age]]&lt;=19,"Teenager",IF(Table15[[#This Row],[Age]]&lt;=40,"Median","Old"))</f>
        <v>Old</v>
      </c>
      <c r="G445" s="4" t="s">
        <v>14</v>
      </c>
      <c r="H445" s="4">
        <v>3</v>
      </c>
      <c r="I445" s="4">
        <v>30</v>
      </c>
      <c r="J445" s="4">
        <v>90</v>
      </c>
      <c r="K445" s="4" t="str" cm="1">
        <f t="array" ref="K445">_xlfn.IFS(AND(Table15[[#This Row],[Total Amount]]&gt;=1500),"Critical",AND(Table15[[#This Row],[Total Amount]]&gt;=1000),"High",TRUE,"Normal")</f>
        <v>Normal</v>
      </c>
      <c r="L445" s="4" t="str">
        <f>IF(Table15[[#This Row],[Total Amount]]&gt;=1000,"High",(IF(Table15[[#This Row],[Total Amount]]&gt;=500,"Medium","Low")))</f>
        <v>Low</v>
      </c>
      <c r="M445" s="4" t="str" cm="1">
        <f t="array" ref="M44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45" s="4" cm="1">
        <f t="array" ref="N44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445" s="4">
        <f>Table15[[#This Row],[Total Amount]]-Table15[[#This Row],[Discount Amount]]</f>
        <v>72</v>
      </c>
    </row>
    <row r="446" spans="1:15" x14ac:dyDescent="0.35">
      <c r="A446" s="4">
        <v>445</v>
      </c>
      <c r="B446" s="5">
        <v>44948</v>
      </c>
      <c r="C446" s="4" t="s">
        <v>458</v>
      </c>
      <c r="D446" s="4" t="s">
        <v>13</v>
      </c>
      <c r="E446" s="4">
        <v>53</v>
      </c>
      <c r="F446" s="4" t="str">
        <f>IF(Table15[[#This Row],[Age]]&lt;=19,"Teenager",IF(Table15[[#This Row],[Age]]&lt;=40,"Median","Old"))</f>
        <v>Old</v>
      </c>
      <c r="G446" s="4" t="s">
        <v>16</v>
      </c>
      <c r="H446" s="4">
        <v>1</v>
      </c>
      <c r="I446" s="4">
        <v>300</v>
      </c>
      <c r="J446" s="4">
        <v>300</v>
      </c>
      <c r="K446" s="4" t="str" cm="1">
        <f t="array" ref="K446">_xlfn.IFS(AND(Table15[[#This Row],[Total Amount]]&gt;=1500),"Critical",AND(Table15[[#This Row],[Total Amount]]&gt;=1000),"High",TRUE,"Normal")</f>
        <v>Normal</v>
      </c>
      <c r="L446" s="4" t="str">
        <f>IF(Table15[[#This Row],[Total Amount]]&gt;=1000,"High",(IF(Table15[[#This Row],[Total Amount]]&gt;=500,"Medium","Low")))</f>
        <v>Low</v>
      </c>
      <c r="M446" s="4" t="str" cm="1">
        <f t="array" ref="M44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46" s="4" cm="1">
        <f t="array" ref="N44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446" s="4">
        <f>Table15[[#This Row],[Total Amount]]-Table15[[#This Row],[Discount Amount]]</f>
        <v>240</v>
      </c>
    </row>
    <row r="447" spans="1:15" x14ac:dyDescent="0.35">
      <c r="A447" s="4">
        <v>446</v>
      </c>
      <c r="B447" s="5">
        <v>45084</v>
      </c>
      <c r="C447" s="4" t="s">
        <v>459</v>
      </c>
      <c r="D447" s="4" t="s">
        <v>10</v>
      </c>
      <c r="E447" s="4">
        <v>21</v>
      </c>
      <c r="F447" s="4" t="str">
        <f>IF(Table15[[#This Row],[Age]]&lt;=19,"Teenager",IF(Table15[[#This Row],[Age]]&lt;=40,"Median","Old"))</f>
        <v>Median</v>
      </c>
      <c r="G447" s="4" t="s">
        <v>16</v>
      </c>
      <c r="H447" s="4">
        <v>1</v>
      </c>
      <c r="I447" s="4">
        <v>50</v>
      </c>
      <c r="J447" s="4">
        <v>50</v>
      </c>
      <c r="K447" s="4" t="str" cm="1">
        <f t="array" ref="K447">_xlfn.IFS(AND(Table15[[#This Row],[Total Amount]]&gt;=1500),"Critical",AND(Table15[[#This Row],[Total Amount]]&gt;=1000),"High",TRUE,"Normal")</f>
        <v>Normal</v>
      </c>
      <c r="L447" s="4" t="str">
        <f>IF(Table15[[#This Row],[Total Amount]]&gt;=1000,"High",(IF(Table15[[#This Row],[Total Amount]]&gt;=500,"Medium","Low")))</f>
        <v>Low</v>
      </c>
      <c r="M447" s="4" t="str" cm="1">
        <f t="array" ref="M44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47" s="4" cm="1">
        <f t="array" ref="N44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47" s="4">
        <f>Table15[[#This Row],[Total Amount]]-Table15[[#This Row],[Discount Amount]]</f>
        <v>50</v>
      </c>
    </row>
    <row r="448" spans="1:15" x14ac:dyDescent="0.35">
      <c r="A448" s="4">
        <v>447</v>
      </c>
      <c r="B448" s="5">
        <v>45113</v>
      </c>
      <c r="C448" s="4" t="s">
        <v>460</v>
      </c>
      <c r="D448" s="4" t="s">
        <v>10</v>
      </c>
      <c r="E448" s="4">
        <v>22</v>
      </c>
      <c r="F448" s="4" t="str">
        <f>IF(Table15[[#This Row],[Age]]&lt;=19,"Teenager",IF(Table15[[#This Row],[Age]]&lt;=40,"Median","Old"))</f>
        <v>Median</v>
      </c>
      <c r="G448" s="4" t="s">
        <v>11</v>
      </c>
      <c r="H448" s="4">
        <v>4</v>
      </c>
      <c r="I448" s="4">
        <v>500</v>
      </c>
      <c r="J448" s="4">
        <v>2000</v>
      </c>
      <c r="K448" s="4" t="str" cm="1">
        <f t="array" ref="K448">_xlfn.IFS(AND(Table15[[#This Row],[Total Amount]]&gt;=1500),"Critical",AND(Table15[[#This Row],[Total Amount]]&gt;=1000),"High",TRUE,"Normal")</f>
        <v>Critical</v>
      </c>
      <c r="L448" s="4" t="str">
        <f>IF(Table15[[#This Row],[Total Amount]]&gt;=1000,"High",(IF(Table15[[#This Row],[Total Amount]]&gt;=500,"Medium","Low")))</f>
        <v>High</v>
      </c>
      <c r="M448" s="4" t="str" cm="1">
        <f t="array" ref="M44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48" s="4" cm="1">
        <f t="array" ref="N44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48" s="4">
        <f>Table15[[#This Row],[Total Amount]]-Table15[[#This Row],[Discount Amount]]</f>
        <v>2000</v>
      </c>
    </row>
    <row r="449" spans="1:15" x14ac:dyDescent="0.35">
      <c r="A449" s="4">
        <v>448</v>
      </c>
      <c r="B449" s="5">
        <v>44947</v>
      </c>
      <c r="C449" s="4" t="s">
        <v>461</v>
      </c>
      <c r="D449" s="4" t="s">
        <v>13</v>
      </c>
      <c r="E449" s="4">
        <v>54</v>
      </c>
      <c r="F449" s="4" t="str">
        <f>IF(Table15[[#This Row],[Age]]&lt;=19,"Teenager",IF(Table15[[#This Row],[Age]]&lt;=40,"Median","Old"))</f>
        <v>Old</v>
      </c>
      <c r="G449" s="4" t="s">
        <v>11</v>
      </c>
      <c r="H449" s="4">
        <v>2</v>
      </c>
      <c r="I449" s="4">
        <v>30</v>
      </c>
      <c r="J449" s="4">
        <v>60</v>
      </c>
      <c r="K449" s="4" t="str" cm="1">
        <f t="array" ref="K449">_xlfn.IFS(AND(Table15[[#This Row],[Total Amount]]&gt;=1500),"Critical",AND(Table15[[#This Row],[Total Amount]]&gt;=1000),"High",TRUE,"Normal")</f>
        <v>Normal</v>
      </c>
      <c r="L449" s="4" t="str">
        <f>IF(Table15[[#This Row],[Total Amount]]&gt;=1000,"High",(IF(Table15[[#This Row],[Total Amount]]&gt;=500,"Medium","Low")))</f>
        <v>Low</v>
      </c>
      <c r="M449" s="4" t="str" cm="1">
        <f t="array" ref="M44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49" s="4" cm="1">
        <f t="array" ref="N44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449" s="4">
        <f>Table15[[#This Row],[Total Amount]]-Table15[[#This Row],[Discount Amount]]</f>
        <v>48</v>
      </c>
    </row>
    <row r="450" spans="1:15" x14ac:dyDescent="0.35">
      <c r="A450" s="4">
        <v>449</v>
      </c>
      <c r="B450" s="5">
        <v>45110</v>
      </c>
      <c r="C450" s="4" t="s">
        <v>462</v>
      </c>
      <c r="D450" s="4" t="s">
        <v>10</v>
      </c>
      <c r="E450" s="4">
        <v>25</v>
      </c>
      <c r="F450" s="4" t="str">
        <f>IF(Table15[[#This Row],[Age]]&lt;=19,"Teenager",IF(Table15[[#This Row],[Age]]&lt;=40,"Median","Old"))</f>
        <v>Median</v>
      </c>
      <c r="G450" s="4" t="s">
        <v>16</v>
      </c>
      <c r="H450" s="4">
        <v>4</v>
      </c>
      <c r="I450" s="4">
        <v>50</v>
      </c>
      <c r="J450" s="4">
        <v>200</v>
      </c>
      <c r="K450" s="4" t="str" cm="1">
        <f t="array" ref="K450">_xlfn.IFS(AND(Table15[[#This Row],[Total Amount]]&gt;=1500),"Critical",AND(Table15[[#This Row],[Total Amount]]&gt;=1000),"High",TRUE,"Normal")</f>
        <v>Normal</v>
      </c>
      <c r="L450" s="4" t="str">
        <f>IF(Table15[[#This Row],[Total Amount]]&gt;=1000,"High",(IF(Table15[[#This Row],[Total Amount]]&gt;=500,"Medium","Low")))</f>
        <v>Low</v>
      </c>
      <c r="M450" s="4" t="str" cm="1">
        <f t="array" ref="M45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50" s="4" cm="1">
        <f t="array" ref="N45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450" s="4">
        <f>Table15[[#This Row],[Total Amount]]-Table15[[#This Row],[Discount Amount]]</f>
        <v>170</v>
      </c>
    </row>
    <row r="451" spans="1:15" x14ac:dyDescent="0.35">
      <c r="A451" s="4">
        <v>450</v>
      </c>
      <c r="B451" s="5">
        <v>45034</v>
      </c>
      <c r="C451" s="4" t="s">
        <v>463</v>
      </c>
      <c r="D451" s="4" t="s">
        <v>13</v>
      </c>
      <c r="E451" s="4">
        <v>59</v>
      </c>
      <c r="F451" s="4" t="str">
        <f>IF(Table15[[#This Row],[Age]]&lt;=19,"Teenager",IF(Table15[[#This Row],[Age]]&lt;=40,"Median","Old"))</f>
        <v>Old</v>
      </c>
      <c r="G451" s="4" t="s">
        <v>11</v>
      </c>
      <c r="H451" s="4">
        <v>2</v>
      </c>
      <c r="I451" s="4">
        <v>25</v>
      </c>
      <c r="J451" s="4">
        <v>50</v>
      </c>
      <c r="K451" s="4" t="str" cm="1">
        <f t="array" ref="K451">_xlfn.IFS(AND(Table15[[#This Row],[Total Amount]]&gt;=1500),"Critical",AND(Table15[[#This Row],[Total Amount]]&gt;=1000),"High",TRUE,"Normal")</f>
        <v>Normal</v>
      </c>
      <c r="L451" s="4" t="str">
        <f>IF(Table15[[#This Row],[Total Amount]]&gt;=1000,"High",(IF(Table15[[#This Row],[Total Amount]]&gt;=500,"Medium","Low")))</f>
        <v>Low</v>
      </c>
      <c r="M451" s="4" t="str" cm="1">
        <f t="array" ref="M45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51" s="4" cm="1">
        <f t="array" ref="N45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451" s="4">
        <f>Table15[[#This Row],[Total Amount]]-Table15[[#This Row],[Discount Amount]]</f>
        <v>40</v>
      </c>
    </row>
    <row r="452" spans="1:15" x14ac:dyDescent="0.35">
      <c r="A452" s="4">
        <v>451</v>
      </c>
      <c r="B452" s="5">
        <v>45276</v>
      </c>
      <c r="C452" s="4" t="s">
        <v>464</v>
      </c>
      <c r="D452" s="4" t="s">
        <v>13</v>
      </c>
      <c r="E452" s="4">
        <v>45</v>
      </c>
      <c r="F452" s="4" t="str">
        <f>IF(Table15[[#This Row],[Age]]&lt;=19,"Teenager",IF(Table15[[#This Row],[Age]]&lt;=40,"Median","Old"))</f>
        <v>Old</v>
      </c>
      <c r="G452" s="4" t="s">
        <v>16</v>
      </c>
      <c r="H452" s="4">
        <v>1</v>
      </c>
      <c r="I452" s="4">
        <v>30</v>
      </c>
      <c r="J452" s="4">
        <v>30</v>
      </c>
      <c r="K452" s="4" t="str" cm="1">
        <f t="array" ref="K452">_xlfn.IFS(AND(Table15[[#This Row],[Total Amount]]&gt;=1500),"Critical",AND(Table15[[#This Row],[Total Amount]]&gt;=1000),"High",TRUE,"Normal")</f>
        <v>Normal</v>
      </c>
      <c r="L452" s="4" t="str">
        <f>IF(Table15[[#This Row],[Total Amount]]&gt;=1000,"High",(IF(Table15[[#This Row],[Total Amount]]&gt;=500,"Medium","Low")))</f>
        <v>Low</v>
      </c>
      <c r="M452" s="4" t="str" cm="1">
        <f t="array" ref="M45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52" s="4" cm="1">
        <f t="array" ref="N45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452" s="4">
        <f>Table15[[#This Row],[Total Amount]]-Table15[[#This Row],[Discount Amount]]</f>
        <v>24</v>
      </c>
    </row>
    <row r="453" spans="1:15" x14ac:dyDescent="0.35">
      <c r="A453" s="4">
        <v>452</v>
      </c>
      <c r="B453" s="5">
        <v>45054</v>
      </c>
      <c r="C453" s="4" t="s">
        <v>465</v>
      </c>
      <c r="D453" s="4" t="s">
        <v>13</v>
      </c>
      <c r="E453" s="4">
        <v>48</v>
      </c>
      <c r="F453" s="4" t="str">
        <f>IF(Table15[[#This Row],[Age]]&lt;=19,"Teenager",IF(Table15[[#This Row],[Age]]&lt;=40,"Median","Old"))</f>
        <v>Old</v>
      </c>
      <c r="G453" s="4" t="s">
        <v>14</v>
      </c>
      <c r="H453" s="4">
        <v>3</v>
      </c>
      <c r="I453" s="4">
        <v>500</v>
      </c>
      <c r="J453" s="4">
        <v>1500</v>
      </c>
      <c r="K453" s="4" t="str" cm="1">
        <f t="array" ref="K453">_xlfn.IFS(AND(Table15[[#This Row],[Total Amount]]&gt;=1500),"Critical",AND(Table15[[#This Row],[Total Amount]]&gt;=1000),"High",TRUE,"Normal")</f>
        <v>Critical</v>
      </c>
      <c r="L453" s="4" t="str">
        <f>IF(Table15[[#This Row],[Total Amount]]&gt;=1000,"High",(IF(Table15[[#This Row],[Total Amount]]&gt;=500,"Medium","Low")))</f>
        <v>High</v>
      </c>
      <c r="M453" s="4" t="str" cm="1">
        <f t="array" ref="M45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53" s="4" cm="1">
        <f t="array" ref="N45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453" s="4">
        <f>Table15[[#This Row],[Total Amount]]-Table15[[#This Row],[Discount Amount]]</f>
        <v>1200</v>
      </c>
    </row>
    <row r="454" spans="1:15" x14ac:dyDescent="0.35">
      <c r="A454" s="4">
        <v>453</v>
      </c>
      <c r="B454" s="5">
        <v>45268</v>
      </c>
      <c r="C454" s="4" t="s">
        <v>466</v>
      </c>
      <c r="D454" s="4" t="s">
        <v>13</v>
      </c>
      <c r="E454" s="4">
        <v>26</v>
      </c>
      <c r="F454" s="4" t="str">
        <f>IF(Table15[[#This Row],[Age]]&lt;=19,"Teenager",IF(Table15[[#This Row],[Age]]&lt;=40,"Median","Old"))</f>
        <v>Median</v>
      </c>
      <c r="G454" s="4" t="s">
        <v>14</v>
      </c>
      <c r="H454" s="4">
        <v>2</v>
      </c>
      <c r="I454" s="4">
        <v>500</v>
      </c>
      <c r="J454" s="4">
        <v>1000</v>
      </c>
      <c r="K454" s="4" t="str" cm="1">
        <f t="array" ref="K454">_xlfn.IFS(AND(Table15[[#This Row],[Total Amount]]&gt;=1500),"Critical",AND(Table15[[#This Row],[Total Amount]]&gt;=1000),"High",TRUE,"Normal")</f>
        <v>High</v>
      </c>
      <c r="L454" s="4" t="str">
        <f>IF(Table15[[#This Row],[Total Amount]]&gt;=1000,"High",(IF(Table15[[#This Row],[Total Amount]]&gt;=500,"Medium","Low")))</f>
        <v>High</v>
      </c>
      <c r="M454" s="4" t="str" cm="1">
        <f t="array" ref="M45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54" s="4" cm="1">
        <f t="array" ref="N45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454" s="4">
        <f>Table15[[#This Row],[Total Amount]]-Table15[[#This Row],[Discount Amount]]</f>
        <v>850</v>
      </c>
    </row>
    <row r="455" spans="1:15" x14ac:dyDescent="0.35">
      <c r="A455" s="4">
        <v>454</v>
      </c>
      <c r="B455" s="5">
        <v>44979</v>
      </c>
      <c r="C455" s="4" t="s">
        <v>467</v>
      </c>
      <c r="D455" s="4" t="s">
        <v>13</v>
      </c>
      <c r="E455" s="4">
        <v>46</v>
      </c>
      <c r="F455" s="4" t="str">
        <f>IF(Table15[[#This Row],[Age]]&lt;=19,"Teenager",IF(Table15[[#This Row],[Age]]&lt;=40,"Median","Old"))</f>
        <v>Old</v>
      </c>
      <c r="G455" s="4" t="s">
        <v>11</v>
      </c>
      <c r="H455" s="4">
        <v>1</v>
      </c>
      <c r="I455" s="4">
        <v>25</v>
      </c>
      <c r="J455" s="4">
        <v>25</v>
      </c>
      <c r="K455" s="4" t="str" cm="1">
        <f t="array" ref="K455">_xlfn.IFS(AND(Table15[[#This Row],[Total Amount]]&gt;=1500),"Critical",AND(Table15[[#This Row],[Total Amount]]&gt;=1000),"High",TRUE,"Normal")</f>
        <v>Normal</v>
      </c>
      <c r="L455" s="4" t="str">
        <f>IF(Table15[[#This Row],[Total Amount]]&gt;=1000,"High",(IF(Table15[[#This Row],[Total Amount]]&gt;=500,"Medium","Low")))</f>
        <v>Low</v>
      </c>
      <c r="M455" s="4" t="str" cm="1">
        <f t="array" ref="M45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55" s="4" cm="1">
        <f t="array" ref="N45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455" s="4">
        <f>Table15[[#This Row],[Total Amount]]-Table15[[#This Row],[Discount Amount]]</f>
        <v>20</v>
      </c>
    </row>
    <row r="456" spans="1:15" x14ac:dyDescent="0.35">
      <c r="A456" s="4">
        <v>455</v>
      </c>
      <c r="B456" s="5">
        <v>45108</v>
      </c>
      <c r="C456" s="4" t="s">
        <v>468</v>
      </c>
      <c r="D456" s="4" t="s">
        <v>10</v>
      </c>
      <c r="E456" s="4">
        <v>31</v>
      </c>
      <c r="F456" s="4" t="str">
        <f>IF(Table15[[#This Row],[Age]]&lt;=19,"Teenager",IF(Table15[[#This Row],[Age]]&lt;=40,"Median","Old"))</f>
        <v>Median</v>
      </c>
      <c r="G456" s="4" t="s">
        <v>16</v>
      </c>
      <c r="H456" s="4">
        <v>4</v>
      </c>
      <c r="I456" s="4">
        <v>25</v>
      </c>
      <c r="J456" s="4">
        <v>100</v>
      </c>
      <c r="K456" s="4" t="str" cm="1">
        <f t="array" ref="K456">_xlfn.IFS(AND(Table15[[#This Row],[Total Amount]]&gt;=1500),"Critical",AND(Table15[[#This Row],[Total Amount]]&gt;=1000),"High",TRUE,"Normal")</f>
        <v>Normal</v>
      </c>
      <c r="L456" s="4" t="str">
        <f>IF(Table15[[#This Row],[Total Amount]]&gt;=1000,"High",(IF(Table15[[#This Row],[Total Amount]]&gt;=500,"Medium","Low")))</f>
        <v>Low</v>
      </c>
      <c r="M456" s="4" t="str" cm="1">
        <f t="array" ref="M45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56" s="4" cm="1">
        <f t="array" ref="N45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456" s="4">
        <f>Table15[[#This Row],[Total Amount]]-Table15[[#This Row],[Discount Amount]]</f>
        <v>85</v>
      </c>
    </row>
    <row r="457" spans="1:15" x14ac:dyDescent="0.35">
      <c r="A457" s="4">
        <v>456</v>
      </c>
      <c r="B457" s="5">
        <v>45213</v>
      </c>
      <c r="C457" s="4" t="s">
        <v>469</v>
      </c>
      <c r="D457" s="4" t="s">
        <v>10</v>
      </c>
      <c r="E457" s="4">
        <v>57</v>
      </c>
      <c r="F457" s="4" t="str">
        <f>IF(Table15[[#This Row],[Age]]&lt;=19,"Teenager",IF(Table15[[#This Row],[Age]]&lt;=40,"Median","Old"))</f>
        <v>Old</v>
      </c>
      <c r="G457" s="4" t="s">
        <v>16</v>
      </c>
      <c r="H457" s="4">
        <v>2</v>
      </c>
      <c r="I457" s="4">
        <v>30</v>
      </c>
      <c r="J457" s="4">
        <v>60</v>
      </c>
      <c r="K457" s="4" t="str" cm="1">
        <f t="array" ref="K457">_xlfn.IFS(AND(Table15[[#This Row],[Total Amount]]&gt;=1500),"Critical",AND(Table15[[#This Row],[Total Amount]]&gt;=1000),"High",TRUE,"Normal")</f>
        <v>Normal</v>
      </c>
      <c r="L457" s="4" t="str">
        <f>IF(Table15[[#This Row],[Total Amount]]&gt;=1000,"High",(IF(Table15[[#This Row],[Total Amount]]&gt;=500,"Medium","Low")))</f>
        <v>Low</v>
      </c>
      <c r="M457" s="4" t="str" cm="1">
        <f t="array" ref="M45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57" s="4" cm="1">
        <f t="array" ref="N45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457" s="4">
        <f>Table15[[#This Row],[Total Amount]]-Table15[[#This Row],[Discount Amount]]</f>
        <v>54</v>
      </c>
    </row>
    <row r="458" spans="1:15" x14ac:dyDescent="0.35">
      <c r="A458" s="4">
        <v>457</v>
      </c>
      <c r="B458" s="5">
        <v>45135</v>
      </c>
      <c r="C458" s="4" t="s">
        <v>470</v>
      </c>
      <c r="D458" s="4" t="s">
        <v>13</v>
      </c>
      <c r="E458" s="4">
        <v>58</v>
      </c>
      <c r="F458" s="4" t="str">
        <f>IF(Table15[[#This Row],[Age]]&lt;=19,"Teenager",IF(Table15[[#This Row],[Age]]&lt;=40,"Median","Old"))</f>
        <v>Old</v>
      </c>
      <c r="G458" s="4" t="s">
        <v>11</v>
      </c>
      <c r="H458" s="4">
        <v>3</v>
      </c>
      <c r="I458" s="4">
        <v>300</v>
      </c>
      <c r="J458" s="4">
        <v>900</v>
      </c>
      <c r="K458" s="4" t="str" cm="1">
        <f t="array" ref="K458">_xlfn.IFS(AND(Table15[[#This Row],[Total Amount]]&gt;=1500),"Critical",AND(Table15[[#This Row],[Total Amount]]&gt;=1000),"High",TRUE,"Normal")</f>
        <v>Normal</v>
      </c>
      <c r="L458" s="4" t="str">
        <f>IF(Table15[[#This Row],[Total Amount]]&gt;=1000,"High",(IF(Table15[[#This Row],[Total Amount]]&gt;=500,"Medium","Low")))</f>
        <v>Medium</v>
      </c>
      <c r="M458" s="4" t="str" cm="1">
        <f t="array" ref="M45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58" s="4" cm="1">
        <f t="array" ref="N45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458" s="4">
        <f>Table15[[#This Row],[Total Amount]]-Table15[[#This Row],[Discount Amount]]</f>
        <v>720</v>
      </c>
    </row>
    <row r="459" spans="1:15" x14ac:dyDescent="0.35">
      <c r="A459" s="4">
        <v>458</v>
      </c>
      <c r="B459" s="5">
        <v>45244</v>
      </c>
      <c r="C459" s="4" t="s">
        <v>471</v>
      </c>
      <c r="D459" s="4" t="s">
        <v>13</v>
      </c>
      <c r="E459" s="4">
        <v>39</v>
      </c>
      <c r="F459" s="4" t="str">
        <f>IF(Table15[[#This Row],[Age]]&lt;=19,"Teenager",IF(Table15[[#This Row],[Age]]&lt;=40,"Median","Old"))</f>
        <v>Median</v>
      </c>
      <c r="G459" s="4" t="s">
        <v>16</v>
      </c>
      <c r="H459" s="4">
        <v>4</v>
      </c>
      <c r="I459" s="4">
        <v>25</v>
      </c>
      <c r="J459" s="4">
        <v>100</v>
      </c>
      <c r="K459" s="4" t="str" cm="1">
        <f t="array" ref="K459">_xlfn.IFS(AND(Table15[[#This Row],[Total Amount]]&gt;=1500),"Critical",AND(Table15[[#This Row],[Total Amount]]&gt;=1000),"High",TRUE,"Normal")</f>
        <v>Normal</v>
      </c>
      <c r="L459" s="4" t="str">
        <f>IF(Table15[[#This Row],[Total Amount]]&gt;=1000,"High",(IF(Table15[[#This Row],[Total Amount]]&gt;=500,"Medium","Low")))</f>
        <v>Low</v>
      </c>
      <c r="M459" s="4" t="str" cm="1">
        <f t="array" ref="M45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59" s="4" cm="1">
        <f t="array" ref="N45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459" s="4">
        <f>Table15[[#This Row],[Total Amount]]-Table15[[#This Row],[Discount Amount]]</f>
        <v>80</v>
      </c>
    </row>
    <row r="460" spans="1:15" x14ac:dyDescent="0.35">
      <c r="A460" s="4">
        <v>459</v>
      </c>
      <c r="B460" s="5">
        <v>45006</v>
      </c>
      <c r="C460" s="4" t="s">
        <v>472</v>
      </c>
      <c r="D460" s="4" t="s">
        <v>10</v>
      </c>
      <c r="E460" s="4">
        <v>28</v>
      </c>
      <c r="F460" s="4" t="str">
        <f>IF(Table15[[#This Row],[Age]]&lt;=19,"Teenager",IF(Table15[[#This Row],[Age]]&lt;=40,"Median","Old"))</f>
        <v>Median</v>
      </c>
      <c r="G460" s="4" t="s">
        <v>14</v>
      </c>
      <c r="H460" s="4">
        <v>4</v>
      </c>
      <c r="I460" s="4">
        <v>300</v>
      </c>
      <c r="J460" s="4">
        <v>1200</v>
      </c>
      <c r="K460" s="4" t="str" cm="1">
        <f t="array" ref="K460">_xlfn.IFS(AND(Table15[[#This Row],[Total Amount]]&gt;=1500),"Critical",AND(Table15[[#This Row],[Total Amount]]&gt;=1000),"High",TRUE,"Normal")</f>
        <v>High</v>
      </c>
      <c r="L460" s="4" t="str">
        <f>IF(Table15[[#This Row],[Total Amount]]&gt;=1000,"High",(IF(Table15[[#This Row],[Total Amount]]&gt;=500,"Medium","Low")))</f>
        <v>High</v>
      </c>
      <c r="M460" s="4" t="str" cm="1">
        <f t="array" ref="M46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60" s="4" cm="1">
        <f t="array" ref="N46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460" s="4">
        <f>Table15[[#This Row],[Total Amount]]-Table15[[#This Row],[Discount Amount]]</f>
        <v>1020</v>
      </c>
    </row>
    <row r="461" spans="1:15" x14ac:dyDescent="0.35">
      <c r="A461" s="4">
        <v>460</v>
      </c>
      <c r="B461" s="5">
        <v>45048</v>
      </c>
      <c r="C461" s="4" t="s">
        <v>473</v>
      </c>
      <c r="D461" s="4" t="s">
        <v>10</v>
      </c>
      <c r="E461" s="4">
        <v>40</v>
      </c>
      <c r="F461" s="4" t="str">
        <f>IF(Table15[[#This Row],[Age]]&lt;=19,"Teenager",IF(Table15[[#This Row],[Age]]&lt;=40,"Median","Old"))</f>
        <v>Median</v>
      </c>
      <c r="G461" s="4" t="s">
        <v>11</v>
      </c>
      <c r="H461" s="4">
        <v>1</v>
      </c>
      <c r="I461" s="4">
        <v>50</v>
      </c>
      <c r="J461" s="4">
        <v>50</v>
      </c>
      <c r="K461" s="4" t="str" cm="1">
        <f t="array" ref="K461">_xlfn.IFS(AND(Table15[[#This Row],[Total Amount]]&gt;=1500),"Critical",AND(Table15[[#This Row],[Total Amount]]&gt;=1000),"High",TRUE,"Normal")</f>
        <v>Normal</v>
      </c>
      <c r="L461" s="4" t="str">
        <f>IF(Table15[[#This Row],[Total Amount]]&gt;=1000,"High",(IF(Table15[[#This Row],[Total Amount]]&gt;=500,"Medium","Low")))</f>
        <v>Low</v>
      </c>
      <c r="M461" s="4" t="str" cm="1">
        <f t="array" ref="M46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61" s="4" cm="1">
        <f t="array" ref="N46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461" s="4">
        <f>Table15[[#This Row],[Total Amount]]-Table15[[#This Row],[Discount Amount]]</f>
        <v>45</v>
      </c>
    </row>
    <row r="462" spans="1:15" x14ac:dyDescent="0.35">
      <c r="A462" s="4">
        <v>461</v>
      </c>
      <c r="B462" s="5">
        <v>45010</v>
      </c>
      <c r="C462" s="4" t="s">
        <v>474</v>
      </c>
      <c r="D462" s="4" t="s">
        <v>13</v>
      </c>
      <c r="E462" s="4">
        <v>18</v>
      </c>
      <c r="F462" s="4" t="str">
        <f>IF(Table15[[#This Row],[Age]]&lt;=19,"Teenager",IF(Table15[[#This Row],[Age]]&lt;=40,"Median","Old"))</f>
        <v>Teenager</v>
      </c>
      <c r="G462" s="4" t="s">
        <v>11</v>
      </c>
      <c r="H462" s="4">
        <v>2</v>
      </c>
      <c r="I462" s="4">
        <v>500</v>
      </c>
      <c r="J462" s="4">
        <v>1000</v>
      </c>
      <c r="K462" s="4" t="str" cm="1">
        <f t="array" ref="K462">_xlfn.IFS(AND(Table15[[#This Row],[Total Amount]]&gt;=1500),"Critical",AND(Table15[[#This Row],[Total Amount]]&gt;=1000),"High",TRUE,"Normal")</f>
        <v>High</v>
      </c>
      <c r="L462" s="4" t="str">
        <f>IF(Table15[[#This Row],[Total Amount]]&gt;=1000,"High",(IF(Table15[[#This Row],[Total Amount]]&gt;=500,"Medium","Low")))</f>
        <v>High</v>
      </c>
      <c r="M462" s="4" t="str" cm="1">
        <f t="array" ref="M46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62" s="4" cm="1">
        <f t="array" ref="N46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62" s="4">
        <f>Table15[[#This Row],[Total Amount]]-Table15[[#This Row],[Discount Amount]]</f>
        <v>1000</v>
      </c>
    </row>
    <row r="463" spans="1:15" x14ac:dyDescent="0.35">
      <c r="A463" s="4">
        <v>462</v>
      </c>
      <c r="B463" s="5">
        <v>45017</v>
      </c>
      <c r="C463" s="4" t="s">
        <v>475</v>
      </c>
      <c r="D463" s="4" t="s">
        <v>10</v>
      </c>
      <c r="E463" s="4">
        <v>63</v>
      </c>
      <c r="F463" s="4" t="str">
        <f>IF(Table15[[#This Row],[Age]]&lt;=19,"Teenager",IF(Table15[[#This Row],[Age]]&lt;=40,"Median","Old"))</f>
        <v>Old</v>
      </c>
      <c r="G463" s="4" t="s">
        <v>16</v>
      </c>
      <c r="H463" s="4">
        <v>4</v>
      </c>
      <c r="I463" s="4">
        <v>300</v>
      </c>
      <c r="J463" s="4">
        <v>1200</v>
      </c>
      <c r="K463" s="4" t="str" cm="1">
        <f t="array" ref="K463">_xlfn.IFS(AND(Table15[[#This Row],[Total Amount]]&gt;=1500),"Critical",AND(Table15[[#This Row],[Total Amount]]&gt;=1000),"High",TRUE,"Normal")</f>
        <v>High</v>
      </c>
      <c r="L463" s="4" t="str">
        <f>IF(Table15[[#This Row],[Total Amount]]&gt;=1000,"High",(IF(Table15[[#This Row],[Total Amount]]&gt;=500,"Medium","Low")))</f>
        <v>High</v>
      </c>
      <c r="M463" s="4" t="str" cm="1">
        <f t="array" ref="M46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63" s="4" cm="1">
        <f t="array" ref="N46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463" s="4">
        <f>Table15[[#This Row],[Total Amount]]-Table15[[#This Row],[Discount Amount]]</f>
        <v>1080</v>
      </c>
    </row>
    <row r="464" spans="1:15" x14ac:dyDescent="0.35">
      <c r="A464" s="4">
        <v>463</v>
      </c>
      <c r="B464" s="5">
        <v>45138</v>
      </c>
      <c r="C464" s="4" t="s">
        <v>476</v>
      </c>
      <c r="D464" s="4" t="s">
        <v>13</v>
      </c>
      <c r="E464" s="4">
        <v>54</v>
      </c>
      <c r="F464" s="4" t="str">
        <f>IF(Table15[[#This Row],[Age]]&lt;=19,"Teenager",IF(Table15[[#This Row],[Age]]&lt;=40,"Median","Old"))</f>
        <v>Old</v>
      </c>
      <c r="G464" s="4" t="s">
        <v>11</v>
      </c>
      <c r="H464" s="4">
        <v>3</v>
      </c>
      <c r="I464" s="4">
        <v>500</v>
      </c>
      <c r="J464" s="4">
        <v>1500</v>
      </c>
      <c r="K464" s="4" t="str" cm="1">
        <f t="array" ref="K464">_xlfn.IFS(AND(Table15[[#This Row],[Total Amount]]&gt;=1500),"Critical",AND(Table15[[#This Row],[Total Amount]]&gt;=1000),"High",TRUE,"Normal")</f>
        <v>Critical</v>
      </c>
      <c r="L464" s="4" t="str">
        <f>IF(Table15[[#This Row],[Total Amount]]&gt;=1000,"High",(IF(Table15[[#This Row],[Total Amount]]&gt;=500,"Medium","Low")))</f>
        <v>High</v>
      </c>
      <c r="M464" s="4" t="str" cm="1">
        <f t="array" ref="M46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64" s="4" cm="1">
        <f t="array" ref="N46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464" s="4">
        <f>Table15[[#This Row],[Total Amount]]-Table15[[#This Row],[Discount Amount]]</f>
        <v>1200</v>
      </c>
    </row>
    <row r="465" spans="1:15" x14ac:dyDescent="0.35">
      <c r="A465" s="4">
        <v>464</v>
      </c>
      <c r="B465" s="5">
        <v>44939</v>
      </c>
      <c r="C465" s="4" t="s">
        <v>477</v>
      </c>
      <c r="D465" s="4" t="s">
        <v>10</v>
      </c>
      <c r="E465" s="4">
        <v>38</v>
      </c>
      <c r="F465" s="4" t="str">
        <f>IF(Table15[[#This Row],[Age]]&lt;=19,"Teenager",IF(Table15[[#This Row],[Age]]&lt;=40,"Median","Old"))</f>
        <v>Median</v>
      </c>
      <c r="G465" s="4" t="s">
        <v>16</v>
      </c>
      <c r="H465" s="4">
        <v>2</v>
      </c>
      <c r="I465" s="4">
        <v>300</v>
      </c>
      <c r="J465" s="4">
        <v>600</v>
      </c>
      <c r="K465" s="4" t="str" cm="1">
        <f t="array" ref="K465">_xlfn.IFS(AND(Table15[[#This Row],[Total Amount]]&gt;=1500),"Critical",AND(Table15[[#This Row],[Total Amount]]&gt;=1000),"High",TRUE,"Normal")</f>
        <v>Normal</v>
      </c>
      <c r="L465" s="4" t="str">
        <f>IF(Table15[[#This Row],[Total Amount]]&gt;=1000,"High",(IF(Table15[[#This Row],[Total Amount]]&gt;=500,"Medium","Low")))</f>
        <v>Medium</v>
      </c>
      <c r="M465" s="4" t="str" cm="1">
        <f t="array" ref="M46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65" s="4" cm="1">
        <f t="array" ref="N46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465" s="4">
        <f>Table15[[#This Row],[Total Amount]]-Table15[[#This Row],[Discount Amount]]</f>
        <v>540</v>
      </c>
    </row>
    <row r="466" spans="1:15" x14ac:dyDescent="0.35">
      <c r="A466" s="4">
        <v>465</v>
      </c>
      <c r="B466" s="5">
        <v>45018</v>
      </c>
      <c r="C466" s="4" t="s">
        <v>478</v>
      </c>
      <c r="D466" s="4" t="s">
        <v>13</v>
      </c>
      <c r="E466" s="4">
        <v>43</v>
      </c>
      <c r="F466" s="4" t="str">
        <f>IF(Table15[[#This Row],[Age]]&lt;=19,"Teenager",IF(Table15[[#This Row],[Age]]&lt;=40,"Median","Old"))</f>
        <v>Old</v>
      </c>
      <c r="G466" s="4" t="s">
        <v>16</v>
      </c>
      <c r="H466" s="4">
        <v>3</v>
      </c>
      <c r="I466" s="4">
        <v>50</v>
      </c>
      <c r="J466" s="4">
        <v>150</v>
      </c>
      <c r="K466" s="4" t="str" cm="1">
        <f t="array" ref="K466">_xlfn.IFS(AND(Table15[[#This Row],[Total Amount]]&gt;=1500),"Critical",AND(Table15[[#This Row],[Total Amount]]&gt;=1000),"High",TRUE,"Normal")</f>
        <v>Normal</v>
      </c>
      <c r="L466" s="4" t="str">
        <f>IF(Table15[[#This Row],[Total Amount]]&gt;=1000,"High",(IF(Table15[[#This Row],[Total Amount]]&gt;=500,"Medium","Low")))</f>
        <v>Low</v>
      </c>
      <c r="M466" s="4" t="str" cm="1">
        <f t="array" ref="M46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66" s="4" cm="1">
        <f t="array" ref="N46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466" s="4">
        <f>Table15[[#This Row],[Total Amount]]-Table15[[#This Row],[Discount Amount]]</f>
        <v>120</v>
      </c>
    </row>
    <row r="467" spans="1:15" x14ac:dyDescent="0.35">
      <c r="A467" s="4">
        <v>466</v>
      </c>
      <c r="B467" s="5">
        <v>45097</v>
      </c>
      <c r="C467" s="4" t="s">
        <v>479</v>
      </c>
      <c r="D467" s="4" t="s">
        <v>10</v>
      </c>
      <c r="E467" s="4">
        <v>63</v>
      </c>
      <c r="F467" s="4" t="str">
        <f>IF(Table15[[#This Row],[Age]]&lt;=19,"Teenager",IF(Table15[[#This Row],[Age]]&lt;=40,"Median","Old"))</f>
        <v>Old</v>
      </c>
      <c r="G467" s="4" t="s">
        <v>16</v>
      </c>
      <c r="H467" s="4">
        <v>4</v>
      </c>
      <c r="I467" s="4">
        <v>25</v>
      </c>
      <c r="J467" s="4">
        <v>100</v>
      </c>
      <c r="K467" s="4" t="str" cm="1">
        <f t="array" ref="K467">_xlfn.IFS(AND(Table15[[#This Row],[Total Amount]]&gt;=1500),"Critical",AND(Table15[[#This Row],[Total Amount]]&gt;=1000),"High",TRUE,"Normal")</f>
        <v>Normal</v>
      </c>
      <c r="L467" s="4" t="str">
        <f>IF(Table15[[#This Row],[Total Amount]]&gt;=1000,"High",(IF(Table15[[#This Row],[Total Amount]]&gt;=500,"Medium","Low")))</f>
        <v>Low</v>
      </c>
      <c r="M467" s="4" t="str" cm="1">
        <f t="array" ref="M46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67" s="4" cm="1">
        <f t="array" ref="N46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467" s="4">
        <f>Table15[[#This Row],[Total Amount]]-Table15[[#This Row],[Discount Amount]]</f>
        <v>90</v>
      </c>
    </row>
    <row r="468" spans="1:15" x14ac:dyDescent="0.35">
      <c r="A468" s="4">
        <v>467</v>
      </c>
      <c r="B468" s="5">
        <v>45137</v>
      </c>
      <c r="C468" s="4" t="s">
        <v>480</v>
      </c>
      <c r="D468" s="4" t="s">
        <v>13</v>
      </c>
      <c r="E468" s="4">
        <v>53</v>
      </c>
      <c r="F468" s="4" t="str">
        <f>IF(Table15[[#This Row],[Age]]&lt;=19,"Teenager",IF(Table15[[#This Row],[Age]]&lt;=40,"Median","Old"))</f>
        <v>Old</v>
      </c>
      <c r="G468" s="4" t="s">
        <v>16</v>
      </c>
      <c r="H468" s="4">
        <v>3</v>
      </c>
      <c r="I468" s="4">
        <v>50</v>
      </c>
      <c r="J468" s="4">
        <v>150</v>
      </c>
      <c r="K468" s="4" t="str" cm="1">
        <f t="array" ref="K468">_xlfn.IFS(AND(Table15[[#This Row],[Total Amount]]&gt;=1500),"Critical",AND(Table15[[#This Row],[Total Amount]]&gt;=1000),"High",TRUE,"Normal")</f>
        <v>Normal</v>
      </c>
      <c r="L468" s="4" t="str">
        <f>IF(Table15[[#This Row],[Total Amount]]&gt;=1000,"High",(IF(Table15[[#This Row],[Total Amount]]&gt;=500,"Medium","Low")))</f>
        <v>Low</v>
      </c>
      <c r="M468" s="4" t="str" cm="1">
        <f t="array" ref="M46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68" s="4" cm="1">
        <f t="array" ref="N46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468" s="4">
        <f>Table15[[#This Row],[Total Amount]]-Table15[[#This Row],[Discount Amount]]</f>
        <v>120</v>
      </c>
    </row>
    <row r="469" spans="1:15" x14ac:dyDescent="0.35">
      <c r="A469" s="4">
        <v>468</v>
      </c>
      <c r="B469" s="5">
        <v>45269</v>
      </c>
      <c r="C469" s="4" t="s">
        <v>481</v>
      </c>
      <c r="D469" s="4" t="s">
        <v>10</v>
      </c>
      <c r="E469" s="4">
        <v>40</v>
      </c>
      <c r="F469" s="4" t="str">
        <f>IF(Table15[[#This Row],[Age]]&lt;=19,"Teenager",IF(Table15[[#This Row],[Age]]&lt;=40,"Median","Old"))</f>
        <v>Median</v>
      </c>
      <c r="G469" s="4" t="s">
        <v>16</v>
      </c>
      <c r="H469" s="4">
        <v>1</v>
      </c>
      <c r="I469" s="4">
        <v>25</v>
      </c>
      <c r="J469" s="4">
        <v>25</v>
      </c>
      <c r="K469" s="4" t="str" cm="1">
        <f t="array" ref="K469">_xlfn.IFS(AND(Table15[[#This Row],[Total Amount]]&gt;=1500),"Critical",AND(Table15[[#This Row],[Total Amount]]&gt;=1000),"High",TRUE,"Normal")</f>
        <v>Normal</v>
      </c>
      <c r="L469" s="4" t="str">
        <f>IF(Table15[[#This Row],[Total Amount]]&gt;=1000,"High",(IF(Table15[[#This Row],[Total Amount]]&gt;=500,"Medium","Low")))</f>
        <v>Low</v>
      </c>
      <c r="M469" s="4" t="str" cm="1">
        <f t="array" ref="M46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69" s="4" cm="1">
        <f t="array" ref="N46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469" s="4">
        <f>Table15[[#This Row],[Total Amount]]-Table15[[#This Row],[Discount Amount]]</f>
        <v>22.5</v>
      </c>
    </row>
    <row r="470" spans="1:15" x14ac:dyDescent="0.35">
      <c r="A470" s="4">
        <v>469</v>
      </c>
      <c r="B470" s="5">
        <v>45054</v>
      </c>
      <c r="C470" s="4" t="s">
        <v>482</v>
      </c>
      <c r="D470" s="4" t="s">
        <v>10</v>
      </c>
      <c r="E470" s="4">
        <v>18</v>
      </c>
      <c r="F470" s="4" t="str">
        <f>IF(Table15[[#This Row],[Age]]&lt;=19,"Teenager",IF(Table15[[#This Row],[Age]]&lt;=40,"Median","Old"))</f>
        <v>Teenager</v>
      </c>
      <c r="G470" s="4" t="s">
        <v>11</v>
      </c>
      <c r="H470" s="4">
        <v>3</v>
      </c>
      <c r="I470" s="4">
        <v>25</v>
      </c>
      <c r="J470" s="4">
        <v>75</v>
      </c>
      <c r="K470" s="4" t="str" cm="1">
        <f t="array" ref="K470">_xlfn.IFS(AND(Table15[[#This Row],[Total Amount]]&gt;=1500),"Critical",AND(Table15[[#This Row],[Total Amount]]&gt;=1000),"High",TRUE,"Normal")</f>
        <v>Normal</v>
      </c>
      <c r="L470" s="4" t="str">
        <f>IF(Table15[[#This Row],[Total Amount]]&gt;=1000,"High",(IF(Table15[[#This Row],[Total Amount]]&gt;=500,"Medium","Low")))</f>
        <v>Low</v>
      </c>
      <c r="M470" s="4" t="str" cm="1">
        <f t="array" ref="M47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70" s="4" cm="1">
        <f t="array" ref="N47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70" s="4">
        <f>Table15[[#This Row],[Total Amount]]-Table15[[#This Row],[Discount Amount]]</f>
        <v>75</v>
      </c>
    </row>
    <row r="471" spans="1:15" x14ac:dyDescent="0.35">
      <c r="A471" s="4">
        <v>470</v>
      </c>
      <c r="B471" s="5">
        <v>45063</v>
      </c>
      <c r="C471" s="4" t="s">
        <v>483</v>
      </c>
      <c r="D471" s="4" t="s">
        <v>13</v>
      </c>
      <c r="E471" s="4">
        <v>57</v>
      </c>
      <c r="F471" s="4" t="str">
        <f>IF(Table15[[#This Row],[Age]]&lt;=19,"Teenager",IF(Table15[[#This Row],[Age]]&lt;=40,"Median","Old"))</f>
        <v>Old</v>
      </c>
      <c r="G471" s="4" t="s">
        <v>14</v>
      </c>
      <c r="H471" s="4">
        <v>2</v>
      </c>
      <c r="I471" s="4">
        <v>500</v>
      </c>
      <c r="J471" s="4">
        <v>1000</v>
      </c>
      <c r="K471" s="4" t="str" cm="1">
        <f t="array" ref="K471">_xlfn.IFS(AND(Table15[[#This Row],[Total Amount]]&gt;=1500),"Critical",AND(Table15[[#This Row],[Total Amount]]&gt;=1000),"High",TRUE,"Normal")</f>
        <v>High</v>
      </c>
      <c r="L471" s="4" t="str">
        <f>IF(Table15[[#This Row],[Total Amount]]&gt;=1000,"High",(IF(Table15[[#This Row],[Total Amount]]&gt;=500,"Medium","Low")))</f>
        <v>High</v>
      </c>
      <c r="M471" s="4" t="str" cm="1">
        <f t="array" ref="M47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71" s="4" cm="1">
        <f t="array" ref="N47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471" s="4">
        <f>Table15[[#This Row],[Total Amount]]-Table15[[#This Row],[Discount Amount]]</f>
        <v>800</v>
      </c>
    </row>
    <row r="472" spans="1:15" x14ac:dyDescent="0.35">
      <c r="A472" s="4">
        <v>471</v>
      </c>
      <c r="B472" s="5">
        <v>45008</v>
      </c>
      <c r="C472" s="4" t="s">
        <v>484</v>
      </c>
      <c r="D472" s="4" t="s">
        <v>10</v>
      </c>
      <c r="E472" s="4">
        <v>32</v>
      </c>
      <c r="F472" s="4" t="str">
        <f>IF(Table15[[#This Row],[Age]]&lt;=19,"Teenager",IF(Table15[[#This Row],[Age]]&lt;=40,"Median","Old"))</f>
        <v>Median</v>
      </c>
      <c r="G472" s="4" t="s">
        <v>14</v>
      </c>
      <c r="H472" s="4">
        <v>3</v>
      </c>
      <c r="I472" s="4">
        <v>50</v>
      </c>
      <c r="J472" s="4">
        <v>150</v>
      </c>
      <c r="K472" s="4" t="str" cm="1">
        <f t="array" ref="K472">_xlfn.IFS(AND(Table15[[#This Row],[Total Amount]]&gt;=1500),"Critical",AND(Table15[[#This Row],[Total Amount]]&gt;=1000),"High",TRUE,"Normal")</f>
        <v>Normal</v>
      </c>
      <c r="L472" s="4" t="str">
        <f>IF(Table15[[#This Row],[Total Amount]]&gt;=1000,"High",(IF(Table15[[#This Row],[Total Amount]]&gt;=500,"Medium","Low")))</f>
        <v>Low</v>
      </c>
      <c r="M472" s="4" t="str" cm="1">
        <f t="array" ref="M47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72" s="4" cm="1">
        <f t="array" ref="N47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22.5</v>
      </c>
      <c r="O472" s="4">
        <f>Table15[[#This Row],[Total Amount]]-Table15[[#This Row],[Discount Amount]]</f>
        <v>127.5</v>
      </c>
    </row>
    <row r="473" spans="1:15" x14ac:dyDescent="0.35">
      <c r="A473" s="4">
        <v>472</v>
      </c>
      <c r="B473" s="5">
        <v>45286</v>
      </c>
      <c r="C473" s="4" t="s">
        <v>485</v>
      </c>
      <c r="D473" s="4" t="s">
        <v>13</v>
      </c>
      <c r="E473" s="4">
        <v>38</v>
      </c>
      <c r="F473" s="4" t="str">
        <f>IF(Table15[[#This Row],[Age]]&lt;=19,"Teenager",IF(Table15[[#This Row],[Age]]&lt;=40,"Median","Old"))</f>
        <v>Median</v>
      </c>
      <c r="G473" s="4" t="s">
        <v>11</v>
      </c>
      <c r="H473" s="4">
        <v>3</v>
      </c>
      <c r="I473" s="4">
        <v>300</v>
      </c>
      <c r="J473" s="4">
        <v>900</v>
      </c>
      <c r="K473" s="4" t="str" cm="1">
        <f t="array" ref="K473">_xlfn.IFS(AND(Table15[[#This Row],[Total Amount]]&gt;=1500),"Critical",AND(Table15[[#This Row],[Total Amount]]&gt;=1000),"High",TRUE,"Normal")</f>
        <v>Normal</v>
      </c>
      <c r="L473" s="4" t="str">
        <f>IF(Table15[[#This Row],[Total Amount]]&gt;=1000,"High",(IF(Table15[[#This Row],[Total Amount]]&gt;=500,"Medium","Low")))</f>
        <v>Medium</v>
      </c>
      <c r="M473" s="4" t="str" cm="1">
        <f t="array" ref="M47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73" s="4" cm="1">
        <f t="array" ref="N47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473" s="4">
        <f>Table15[[#This Row],[Total Amount]]-Table15[[#This Row],[Discount Amount]]</f>
        <v>720</v>
      </c>
    </row>
    <row r="474" spans="1:15" x14ac:dyDescent="0.35">
      <c r="A474" s="4">
        <v>473</v>
      </c>
      <c r="B474" s="5">
        <v>44982</v>
      </c>
      <c r="C474" s="4" t="s">
        <v>486</v>
      </c>
      <c r="D474" s="4" t="s">
        <v>10</v>
      </c>
      <c r="E474" s="4">
        <v>64</v>
      </c>
      <c r="F474" s="4" t="str">
        <f>IF(Table15[[#This Row],[Age]]&lt;=19,"Teenager",IF(Table15[[#This Row],[Age]]&lt;=40,"Median","Old"))</f>
        <v>Old</v>
      </c>
      <c r="G474" s="4" t="s">
        <v>11</v>
      </c>
      <c r="H474" s="4">
        <v>1</v>
      </c>
      <c r="I474" s="4">
        <v>50</v>
      </c>
      <c r="J474" s="4">
        <v>50</v>
      </c>
      <c r="K474" s="4" t="str" cm="1">
        <f t="array" ref="K474">_xlfn.IFS(AND(Table15[[#This Row],[Total Amount]]&gt;=1500),"Critical",AND(Table15[[#This Row],[Total Amount]]&gt;=1000),"High",TRUE,"Normal")</f>
        <v>Normal</v>
      </c>
      <c r="L474" s="4" t="str">
        <f>IF(Table15[[#This Row],[Total Amount]]&gt;=1000,"High",(IF(Table15[[#This Row],[Total Amount]]&gt;=500,"Medium","Low")))</f>
        <v>Low</v>
      </c>
      <c r="M474" s="4" t="str" cm="1">
        <f t="array" ref="M47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74" s="4" cm="1">
        <f t="array" ref="N47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474" s="4">
        <f>Table15[[#This Row],[Total Amount]]-Table15[[#This Row],[Discount Amount]]</f>
        <v>45</v>
      </c>
    </row>
    <row r="475" spans="1:15" x14ac:dyDescent="0.35">
      <c r="A475" s="4">
        <v>474</v>
      </c>
      <c r="B475" s="5">
        <v>45122</v>
      </c>
      <c r="C475" s="4" t="s">
        <v>487</v>
      </c>
      <c r="D475" s="4" t="s">
        <v>13</v>
      </c>
      <c r="E475" s="4">
        <v>26</v>
      </c>
      <c r="F475" s="4" t="str">
        <f>IF(Table15[[#This Row],[Age]]&lt;=19,"Teenager",IF(Table15[[#This Row],[Age]]&lt;=40,"Median","Old"))</f>
        <v>Median</v>
      </c>
      <c r="G475" s="4" t="s">
        <v>14</v>
      </c>
      <c r="H475" s="4">
        <v>3</v>
      </c>
      <c r="I475" s="4">
        <v>500</v>
      </c>
      <c r="J475" s="4">
        <v>1500</v>
      </c>
      <c r="K475" s="4" t="str" cm="1">
        <f t="array" ref="K475">_xlfn.IFS(AND(Table15[[#This Row],[Total Amount]]&gt;=1500),"Critical",AND(Table15[[#This Row],[Total Amount]]&gt;=1000),"High",TRUE,"Normal")</f>
        <v>Critical</v>
      </c>
      <c r="L475" s="4" t="str">
        <f>IF(Table15[[#This Row],[Total Amount]]&gt;=1000,"High",(IF(Table15[[#This Row],[Total Amount]]&gt;=500,"Medium","Low")))</f>
        <v>High</v>
      </c>
      <c r="M475" s="4" t="str" cm="1">
        <f t="array" ref="M47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75" s="4" cm="1">
        <f t="array" ref="N47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225</v>
      </c>
      <c r="O475" s="4">
        <f>Table15[[#This Row],[Total Amount]]-Table15[[#This Row],[Discount Amount]]</f>
        <v>1275</v>
      </c>
    </row>
    <row r="476" spans="1:15" x14ac:dyDescent="0.35">
      <c r="A476" s="4">
        <v>475</v>
      </c>
      <c r="B476" s="5">
        <v>44946</v>
      </c>
      <c r="C476" s="4" t="s">
        <v>488</v>
      </c>
      <c r="D476" s="4" t="s">
        <v>10</v>
      </c>
      <c r="E476" s="4">
        <v>26</v>
      </c>
      <c r="F476" s="4" t="str">
        <f>IF(Table15[[#This Row],[Age]]&lt;=19,"Teenager",IF(Table15[[#This Row],[Age]]&lt;=40,"Median","Old"))</f>
        <v>Median</v>
      </c>
      <c r="G476" s="4" t="s">
        <v>14</v>
      </c>
      <c r="H476" s="4">
        <v>3</v>
      </c>
      <c r="I476" s="4">
        <v>25</v>
      </c>
      <c r="J476" s="4">
        <v>75</v>
      </c>
      <c r="K476" s="4" t="str" cm="1">
        <f t="array" ref="K476">_xlfn.IFS(AND(Table15[[#This Row],[Total Amount]]&gt;=1500),"Critical",AND(Table15[[#This Row],[Total Amount]]&gt;=1000),"High",TRUE,"Normal")</f>
        <v>Normal</v>
      </c>
      <c r="L476" s="4" t="str">
        <f>IF(Table15[[#This Row],[Total Amount]]&gt;=1000,"High",(IF(Table15[[#This Row],[Total Amount]]&gt;=500,"Medium","Low")))</f>
        <v>Low</v>
      </c>
      <c r="M476" s="4" t="str" cm="1">
        <f t="array" ref="M47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76" s="4" cm="1">
        <f t="array" ref="N47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11.25</v>
      </c>
      <c r="O476" s="4">
        <f>Table15[[#This Row],[Total Amount]]-Table15[[#This Row],[Discount Amount]]</f>
        <v>63.75</v>
      </c>
    </row>
    <row r="477" spans="1:15" x14ac:dyDescent="0.35">
      <c r="A477" s="4">
        <v>476</v>
      </c>
      <c r="B477" s="5">
        <v>45167</v>
      </c>
      <c r="C477" s="4" t="s">
        <v>489</v>
      </c>
      <c r="D477" s="4" t="s">
        <v>13</v>
      </c>
      <c r="E477" s="4">
        <v>27</v>
      </c>
      <c r="F477" s="4" t="str">
        <f>IF(Table15[[#This Row],[Age]]&lt;=19,"Teenager",IF(Table15[[#This Row],[Age]]&lt;=40,"Median","Old"))</f>
        <v>Median</v>
      </c>
      <c r="G477" s="4" t="s">
        <v>14</v>
      </c>
      <c r="H477" s="4">
        <v>4</v>
      </c>
      <c r="I477" s="4">
        <v>500</v>
      </c>
      <c r="J477" s="4">
        <v>2000</v>
      </c>
      <c r="K477" s="4" t="str" cm="1">
        <f t="array" ref="K477">_xlfn.IFS(AND(Table15[[#This Row],[Total Amount]]&gt;=1500),"Critical",AND(Table15[[#This Row],[Total Amount]]&gt;=1000),"High",TRUE,"Normal")</f>
        <v>Critical</v>
      </c>
      <c r="L477" s="4" t="str">
        <f>IF(Table15[[#This Row],[Total Amount]]&gt;=1000,"High",(IF(Table15[[#This Row],[Total Amount]]&gt;=500,"Medium","Low")))</f>
        <v>High</v>
      </c>
      <c r="M477" s="4" t="str" cm="1">
        <f t="array" ref="M47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77" s="4" cm="1">
        <f t="array" ref="N47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477" s="4">
        <f>Table15[[#This Row],[Total Amount]]-Table15[[#This Row],[Discount Amount]]</f>
        <v>1700</v>
      </c>
    </row>
    <row r="478" spans="1:15" x14ac:dyDescent="0.35">
      <c r="A478" s="4">
        <v>477</v>
      </c>
      <c r="B478" s="5">
        <v>45040</v>
      </c>
      <c r="C478" s="4" t="s">
        <v>490</v>
      </c>
      <c r="D478" s="4" t="s">
        <v>10</v>
      </c>
      <c r="E478" s="4">
        <v>43</v>
      </c>
      <c r="F478" s="4" t="str">
        <f>IF(Table15[[#This Row],[Age]]&lt;=19,"Teenager",IF(Table15[[#This Row],[Age]]&lt;=40,"Median","Old"))</f>
        <v>Old</v>
      </c>
      <c r="G478" s="4" t="s">
        <v>14</v>
      </c>
      <c r="H478" s="4">
        <v>4</v>
      </c>
      <c r="I478" s="4">
        <v>30</v>
      </c>
      <c r="J478" s="4">
        <v>120</v>
      </c>
      <c r="K478" s="4" t="str" cm="1">
        <f t="array" ref="K478">_xlfn.IFS(AND(Table15[[#This Row],[Total Amount]]&gt;=1500),"Critical",AND(Table15[[#This Row],[Total Amount]]&gt;=1000),"High",TRUE,"Normal")</f>
        <v>Normal</v>
      </c>
      <c r="L478" s="4" t="str">
        <f>IF(Table15[[#This Row],[Total Amount]]&gt;=1000,"High",(IF(Table15[[#This Row],[Total Amount]]&gt;=500,"Medium","Low")))</f>
        <v>Low</v>
      </c>
      <c r="M478" s="4" t="str" cm="1">
        <f t="array" ref="M47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78" s="4" cm="1">
        <f t="array" ref="N47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478" s="4">
        <f>Table15[[#This Row],[Total Amount]]-Table15[[#This Row],[Discount Amount]]</f>
        <v>108</v>
      </c>
    </row>
    <row r="479" spans="1:15" x14ac:dyDescent="0.35">
      <c r="A479" s="4">
        <v>478</v>
      </c>
      <c r="B479" s="5">
        <v>45029</v>
      </c>
      <c r="C479" s="4" t="s">
        <v>491</v>
      </c>
      <c r="D479" s="4" t="s">
        <v>13</v>
      </c>
      <c r="E479" s="4">
        <v>58</v>
      </c>
      <c r="F479" s="4" t="str">
        <f>IF(Table15[[#This Row],[Age]]&lt;=19,"Teenager",IF(Table15[[#This Row],[Age]]&lt;=40,"Median","Old"))</f>
        <v>Old</v>
      </c>
      <c r="G479" s="4" t="s">
        <v>14</v>
      </c>
      <c r="H479" s="4">
        <v>2</v>
      </c>
      <c r="I479" s="4">
        <v>30</v>
      </c>
      <c r="J479" s="4">
        <v>60</v>
      </c>
      <c r="K479" s="4" t="str" cm="1">
        <f t="array" ref="K479">_xlfn.IFS(AND(Table15[[#This Row],[Total Amount]]&gt;=1500),"Critical",AND(Table15[[#This Row],[Total Amount]]&gt;=1000),"High",TRUE,"Normal")</f>
        <v>Normal</v>
      </c>
      <c r="L479" s="4" t="str">
        <f>IF(Table15[[#This Row],[Total Amount]]&gt;=1000,"High",(IF(Table15[[#This Row],[Total Amount]]&gt;=500,"Medium","Low")))</f>
        <v>Low</v>
      </c>
      <c r="M479" s="4" t="str" cm="1">
        <f t="array" ref="M47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79" s="4" cm="1">
        <f t="array" ref="N47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479" s="4">
        <f>Table15[[#This Row],[Total Amount]]-Table15[[#This Row],[Discount Amount]]</f>
        <v>48</v>
      </c>
    </row>
    <row r="480" spans="1:15" x14ac:dyDescent="0.35">
      <c r="A480" s="4">
        <v>479</v>
      </c>
      <c r="B480" s="5">
        <v>45162</v>
      </c>
      <c r="C480" s="4" t="s">
        <v>492</v>
      </c>
      <c r="D480" s="4" t="s">
        <v>10</v>
      </c>
      <c r="E480" s="4">
        <v>52</v>
      </c>
      <c r="F480" s="4" t="str">
        <f>IF(Table15[[#This Row],[Age]]&lt;=19,"Teenager",IF(Table15[[#This Row],[Age]]&lt;=40,"Median","Old"))</f>
        <v>Old</v>
      </c>
      <c r="G480" s="4" t="s">
        <v>16</v>
      </c>
      <c r="H480" s="4">
        <v>4</v>
      </c>
      <c r="I480" s="4">
        <v>300</v>
      </c>
      <c r="J480" s="4">
        <v>1200</v>
      </c>
      <c r="K480" s="4" t="str" cm="1">
        <f t="array" ref="K480">_xlfn.IFS(AND(Table15[[#This Row],[Total Amount]]&gt;=1500),"Critical",AND(Table15[[#This Row],[Total Amount]]&gt;=1000),"High",TRUE,"Normal")</f>
        <v>High</v>
      </c>
      <c r="L480" s="4" t="str">
        <f>IF(Table15[[#This Row],[Total Amount]]&gt;=1000,"High",(IF(Table15[[#This Row],[Total Amount]]&gt;=500,"Medium","Low")))</f>
        <v>High</v>
      </c>
      <c r="M480" s="4" t="str" cm="1">
        <f t="array" ref="M48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80" s="4" cm="1">
        <f t="array" ref="N48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480" s="4">
        <f>Table15[[#This Row],[Total Amount]]-Table15[[#This Row],[Discount Amount]]</f>
        <v>1080</v>
      </c>
    </row>
    <row r="481" spans="1:15" x14ac:dyDescent="0.35">
      <c r="A481" s="4">
        <v>480</v>
      </c>
      <c r="B481" s="5">
        <v>45106</v>
      </c>
      <c r="C481" s="4" t="s">
        <v>493</v>
      </c>
      <c r="D481" s="4" t="s">
        <v>13</v>
      </c>
      <c r="E481" s="4">
        <v>42</v>
      </c>
      <c r="F481" s="4" t="str">
        <f>IF(Table15[[#This Row],[Age]]&lt;=19,"Teenager",IF(Table15[[#This Row],[Age]]&lt;=40,"Median","Old"))</f>
        <v>Old</v>
      </c>
      <c r="G481" s="4" t="s">
        <v>11</v>
      </c>
      <c r="H481" s="4">
        <v>4</v>
      </c>
      <c r="I481" s="4">
        <v>500</v>
      </c>
      <c r="J481" s="4">
        <v>2000</v>
      </c>
      <c r="K481" s="4" t="str" cm="1">
        <f t="array" ref="K481">_xlfn.IFS(AND(Table15[[#This Row],[Total Amount]]&gt;=1500),"Critical",AND(Table15[[#This Row],[Total Amount]]&gt;=1000),"High",TRUE,"Normal")</f>
        <v>Critical</v>
      </c>
      <c r="L481" s="4" t="str">
        <f>IF(Table15[[#This Row],[Total Amount]]&gt;=1000,"High",(IF(Table15[[#This Row],[Total Amount]]&gt;=500,"Medium","Low")))</f>
        <v>High</v>
      </c>
      <c r="M481" s="4" t="str" cm="1">
        <f t="array" ref="M48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81" s="4" cm="1">
        <f t="array" ref="N48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481" s="4">
        <f>Table15[[#This Row],[Total Amount]]-Table15[[#This Row],[Discount Amount]]</f>
        <v>1600</v>
      </c>
    </row>
    <row r="482" spans="1:15" x14ac:dyDescent="0.35">
      <c r="A482" s="4">
        <v>481</v>
      </c>
      <c r="B482" s="5">
        <v>45083</v>
      </c>
      <c r="C482" s="4" t="s">
        <v>494</v>
      </c>
      <c r="D482" s="4" t="s">
        <v>13</v>
      </c>
      <c r="E482" s="4">
        <v>43</v>
      </c>
      <c r="F482" s="4" t="str">
        <f>IF(Table15[[#This Row],[Age]]&lt;=19,"Teenager",IF(Table15[[#This Row],[Age]]&lt;=40,"Median","Old"))</f>
        <v>Old</v>
      </c>
      <c r="G482" s="4" t="s">
        <v>16</v>
      </c>
      <c r="H482" s="4">
        <v>4</v>
      </c>
      <c r="I482" s="4">
        <v>300</v>
      </c>
      <c r="J482" s="4">
        <v>1200</v>
      </c>
      <c r="K482" s="4" t="str" cm="1">
        <f t="array" ref="K482">_xlfn.IFS(AND(Table15[[#This Row],[Total Amount]]&gt;=1500),"Critical",AND(Table15[[#This Row],[Total Amount]]&gt;=1000),"High",TRUE,"Normal")</f>
        <v>High</v>
      </c>
      <c r="L482" s="4" t="str">
        <f>IF(Table15[[#This Row],[Total Amount]]&gt;=1000,"High",(IF(Table15[[#This Row],[Total Amount]]&gt;=500,"Medium","Low")))</f>
        <v>High</v>
      </c>
      <c r="M482" s="4" t="str" cm="1">
        <f t="array" ref="M48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82" s="4" cm="1">
        <f t="array" ref="N48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482" s="4">
        <f>Table15[[#This Row],[Total Amount]]-Table15[[#This Row],[Discount Amount]]</f>
        <v>960</v>
      </c>
    </row>
    <row r="483" spans="1:15" x14ac:dyDescent="0.35">
      <c r="A483" s="4">
        <v>482</v>
      </c>
      <c r="B483" s="5">
        <v>45043</v>
      </c>
      <c r="C483" s="4" t="s">
        <v>495</v>
      </c>
      <c r="D483" s="4" t="s">
        <v>13</v>
      </c>
      <c r="E483" s="4">
        <v>28</v>
      </c>
      <c r="F483" s="4" t="str">
        <f>IF(Table15[[#This Row],[Age]]&lt;=19,"Teenager",IF(Table15[[#This Row],[Age]]&lt;=40,"Median","Old"))</f>
        <v>Median</v>
      </c>
      <c r="G483" s="4" t="s">
        <v>14</v>
      </c>
      <c r="H483" s="4">
        <v>4</v>
      </c>
      <c r="I483" s="4">
        <v>300</v>
      </c>
      <c r="J483" s="4">
        <v>1200</v>
      </c>
      <c r="K483" s="4" t="str" cm="1">
        <f t="array" ref="K483">_xlfn.IFS(AND(Table15[[#This Row],[Total Amount]]&gt;=1500),"Critical",AND(Table15[[#This Row],[Total Amount]]&gt;=1000),"High",TRUE,"Normal")</f>
        <v>High</v>
      </c>
      <c r="L483" s="4" t="str">
        <f>IF(Table15[[#This Row],[Total Amount]]&gt;=1000,"High",(IF(Table15[[#This Row],[Total Amount]]&gt;=500,"Medium","Low")))</f>
        <v>High</v>
      </c>
      <c r="M483" s="4" t="str" cm="1">
        <f t="array" ref="M48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83" s="4" cm="1">
        <f t="array" ref="N48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483" s="4">
        <f>Table15[[#This Row],[Total Amount]]-Table15[[#This Row],[Discount Amount]]</f>
        <v>1020</v>
      </c>
    </row>
    <row r="484" spans="1:15" x14ac:dyDescent="0.35">
      <c r="A484" s="4">
        <v>483</v>
      </c>
      <c r="B484" s="5">
        <v>45041</v>
      </c>
      <c r="C484" s="4" t="s">
        <v>496</v>
      </c>
      <c r="D484" s="4" t="s">
        <v>10</v>
      </c>
      <c r="E484" s="4">
        <v>55</v>
      </c>
      <c r="F484" s="4" t="str">
        <f>IF(Table15[[#This Row],[Age]]&lt;=19,"Teenager",IF(Table15[[#This Row],[Age]]&lt;=40,"Median","Old"))</f>
        <v>Old</v>
      </c>
      <c r="G484" s="4" t="s">
        <v>14</v>
      </c>
      <c r="H484" s="4">
        <v>1</v>
      </c>
      <c r="I484" s="4">
        <v>30</v>
      </c>
      <c r="J484" s="4">
        <v>30</v>
      </c>
      <c r="K484" s="4" t="str" cm="1">
        <f t="array" ref="K484">_xlfn.IFS(AND(Table15[[#This Row],[Total Amount]]&gt;=1500),"Critical",AND(Table15[[#This Row],[Total Amount]]&gt;=1000),"High",TRUE,"Normal")</f>
        <v>Normal</v>
      </c>
      <c r="L484" s="4" t="str">
        <f>IF(Table15[[#This Row],[Total Amount]]&gt;=1000,"High",(IF(Table15[[#This Row],[Total Amount]]&gt;=500,"Medium","Low")))</f>
        <v>Low</v>
      </c>
      <c r="M484" s="4" t="str" cm="1">
        <f t="array" ref="M48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84" s="4" cm="1">
        <f t="array" ref="N48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484" s="4">
        <f>Table15[[#This Row],[Total Amount]]-Table15[[#This Row],[Discount Amount]]</f>
        <v>27</v>
      </c>
    </row>
    <row r="485" spans="1:15" x14ac:dyDescent="0.35">
      <c r="A485" s="4">
        <v>484</v>
      </c>
      <c r="B485" s="5">
        <v>44939</v>
      </c>
      <c r="C485" s="4" t="s">
        <v>497</v>
      </c>
      <c r="D485" s="4" t="s">
        <v>13</v>
      </c>
      <c r="E485" s="4">
        <v>19</v>
      </c>
      <c r="F485" s="4" t="str">
        <f>IF(Table15[[#This Row],[Age]]&lt;=19,"Teenager",IF(Table15[[#This Row],[Age]]&lt;=40,"Median","Old"))</f>
        <v>Teenager</v>
      </c>
      <c r="G485" s="4" t="s">
        <v>14</v>
      </c>
      <c r="H485" s="4">
        <v>4</v>
      </c>
      <c r="I485" s="4">
        <v>300</v>
      </c>
      <c r="J485" s="4">
        <v>1200</v>
      </c>
      <c r="K485" s="4" t="str" cm="1">
        <f t="array" ref="K485">_xlfn.IFS(AND(Table15[[#This Row],[Total Amount]]&gt;=1500),"Critical",AND(Table15[[#This Row],[Total Amount]]&gt;=1000),"High",TRUE,"Normal")</f>
        <v>High</v>
      </c>
      <c r="L485" s="4" t="str">
        <f>IF(Table15[[#This Row],[Total Amount]]&gt;=1000,"High",(IF(Table15[[#This Row],[Total Amount]]&gt;=500,"Medium","Low")))</f>
        <v>High</v>
      </c>
      <c r="M485" s="4" t="str" cm="1">
        <f t="array" ref="M48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85" s="4" cm="1">
        <f t="array" ref="N48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85" s="4">
        <f>Table15[[#This Row],[Total Amount]]-Table15[[#This Row],[Discount Amount]]</f>
        <v>1200</v>
      </c>
    </row>
    <row r="486" spans="1:15" x14ac:dyDescent="0.35">
      <c r="A486" s="4">
        <v>485</v>
      </c>
      <c r="B486" s="5">
        <v>45264</v>
      </c>
      <c r="C486" s="4" t="s">
        <v>498</v>
      </c>
      <c r="D486" s="4" t="s">
        <v>10</v>
      </c>
      <c r="E486" s="4">
        <v>24</v>
      </c>
      <c r="F486" s="4" t="str">
        <f>IF(Table15[[#This Row],[Age]]&lt;=19,"Teenager",IF(Table15[[#This Row],[Age]]&lt;=40,"Median","Old"))</f>
        <v>Median</v>
      </c>
      <c r="G486" s="4" t="s">
        <v>16</v>
      </c>
      <c r="H486" s="4">
        <v>1</v>
      </c>
      <c r="I486" s="4">
        <v>30</v>
      </c>
      <c r="J486" s="4">
        <v>30</v>
      </c>
      <c r="K486" s="4" t="str" cm="1">
        <f t="array" ref="K486">_xlfn.IFS(AND(Table15[[#This Row],[Total Amount]]&gt;=1500),"Critical",AND(Table15[[#This Row],[Total Amount]]&gt;=1000),"High",TRUE,"Normal")</f>
        <v>Normal</v>
      </c>
      <c r="L486" s="4" t="str">
        <f>IF(Table15[[#This Row],[Total Amount]]&gt;=1000,"High",(IF(Table15[[#This Row],[Total Amount]]&gt;=500,"Medium","Low")))</f>
        <v>Low</v>
      </c>
      <c r="M486" s="4" t="str" cm="1">
        <f t="array" ref="M48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86" s="4" cm="1">
        <f t="array" ref="N48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86" s="4">
        <f>Table15[[#This Row],[Total Amount]]-Table15[[#This Row],[Discount Amount]]</f>
        <v>30</v>
      </c>
    </row>
    <row r="487" spans="1:15" x14ac:dyDescent="0.35">
      <c r="A487" s="4">
        <v>486</v>
      </c>
      <c r="B487" s="5">
        <v>45025</v>
      </c>
      <c r="C487" s="4" t="s">
        <v>499</v>
      </c>
      <c r="D487" s="4" t="s">
        <v>13</v>
      </c>
      <c r="E487" s="4">
        <v>35</v>
      </c>
      <c r="F487" s="4" t="str">
        <f>IF(Table15[[#This Row],[Age]]&lt;=19,"Teenager",IF(Table15[[#This Row],[Age]]&lt;=40,"Median","Old"))</f>
        <v>Median</v>
      </c>
      <c r="G487" s="4" t="s">
        <v>16</v>
      </c>
      <c r="H487" s="4">
        <v>1</v>
      </c>
      <c r="I487" s="4">
        <v>25</v>
      </c>
      <c r="J487" s="4">
        <v>25</v>
      </c>
      <c r="K487" s="4" t="str" cm="1">
        <f t="array" ref="K487">_xlfn.IFS(AND(Table15[[#This Row],[Total Amount]]&gt;=1500),"Critical",AND(Table15[[#This Row],[Total Amount]]&gt;=1000),"High",TRUE,"Normal")</f>
        <v>Normal</v>
      </c>
      <c r="L487" s="4" t="str">
        <f>IF(Table15[[#This Row],[Total Amount]]&gt;=1000,"High",(IF(Table15[[#This Row],[Total Amount]]&gt;=500,"Medium","Low")))</f>
        <v>Low</v>
      </c>
      <c r="M487" s="4" t="str" cm="1">
        <f t="array" ref="M48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87" s="4" cm="1">
        <f t="array" ref="N48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487" s="4">
        <f>Table15[[#This Row],[Total Amount]]-Table15[[#This Row],[Discount Amount]]</f>
        <v>20</v>
      </c>
    </row>
    <row r="488" spans="1:15" x14ac:dyDescent="0.35">
      <c r="A488" s="4">
        <v>487</v>
      </c>
      <c r="B488" s="5">
        <v>45131</v>
      </c>
      <c r="C488" s="4" t="s">
        <v>500</v>
      </c>
      <c r="D488" s="4" t="s">
        <v>10</v>
      </c>
      <c r="E488" s="4">
        <v>44</v>
      </c>
      <c r="F488" s="4" t="str">
        <f>IF(Table15[[#This Row],[Age]]&lt;=19,"Teenager",IF(Table15[[#This Row],[Age]]&lt;=40,"Median","Old"))</f>
        <v>Old</v>
      </c>
      <c r="G488" s="4" t="s">
        <v>14</v>
      </c>
      <c r="H488" s="4">
        <v>4</v>
      </c>
      <c r="I488" s="4">
        <v>500</v>
      </c>
      <c r="J488" s="4">
        <v>2000</v>
      </c>
      <c r="K488" s="4" t="str" cm="1">
        <f t="array" ref="K488">_xlfn.IFS(AND(Table15[[#This Row],[Total Amount]]&gt;=1500),"Critical",AND(Table15[[#This Row],[Total Amount]]&gt;=1000),"High",TRUE,"Normal")</f>
        <v>Critical</v>
      </c>
      <c r="L488" s="4" t="str">
        <f>IF(Table15[[#This Row],[Total Amount]]&gt;=1000,"High",(IF(Table15[[#This Row],[Total Amount]]&gt;=500,"Medium","Low")))</f>
        <v>High</v>
      </c>
      <c r="M488" s="4" t="str" cm="1">
        <f t="array" ref="M48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88" s="4" cm="1">
        <f t="array" ref="N48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488" s="4">
        <f>Table15[[#This Row],[Total Amount]]-Table15[[#This Row],[Discount Amount]]</f>
        <v>1800</v>
      </c>
    </row>
    <row r="489" spans="1:15" x14ac:dyDescent="0.35">
      <c r="A489" s="4">
        <v>488</v>
      </c>
      <c r="B489" s="5">
        <v>45095</v>
      </c>
      <c r="C489" s="4" t="s">
        <v>501</v>
      </c>
      <c r="D489" s="4" t="s">
        <v>13</v>
      </c>
      <c r="E489" s="4">
        <v>51</v>
      </c>
      <c r="F489" s="4" t="str">
        <f>IF(Table15[[#This Row],[Age]]&lt;=19,"Teenager",IF(Table15[[#This Row],[Age]]&lt;=40,"Median","Old"))</f>
        <v>Old</v>
      </c>
      <c r="G489" s="4" t="s">
        <v>16</v>
      </c>
      <c r="H489" s="4">
        <v>3</v>
      </c>
      <c r="I489" s="4">
        <v>300</v>
      </c>
      <c r="J489" s="4">
        <v>900</v>
      </c>
      <c r="K489" s="4" t="str" cm="1">
        <f t="array" ref="K489">_xlfn.IFS(AND(Table15[[#This Row],[Total Amount]]&gt;=1500),"Critical",AND(Table15[[#This Row],[Total Amount]]&gt;=1000),"High",TRUE,"Normal")</f>
        <v>Normal</v>
      </c>
      <c r="L489" s="4" t="str">
        <f>IF(Table15[[#This Row],[Total Amount]]&gt;=1000,"High",(IF(Table15[[#This Row],[Total Amount]]&gt;=500,"Medium","Low")))</f>
        <v>Medium</v>
      </c>
      <c r="M489" s="4" t="str" cm="1">
        <f t="array" ref="M48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89" s="4" cm="1">
        <f t="array" ref="N48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489" s="4">
        <f>Table15[[#This Row],[Total Amount]]-Table15[[#This Row],[Discount Amount]]</f>
        <v>720</v>
      </c>
    </row>
    <row r="490" spans="1:15" x14ac:dyDescent="0.35">
      <c r="A490" s="4">
        <v>489</v>
      </c>
      <c r="B490" s="5">
        <v>45069</v>
      </c>
      <c r="C490" s="4" t="s">
        <v>502</v>
      </c>
      <c r="D490" s="4" t="s">
        <v>10</v>
      </c>
      <c r="E490" s="4">
        <v>44</v>
      </c>
      <c r="F490" s="4" t="str">
        <f>IF(Table15[[#This Row],[Age]]&lt;=19,"Teenager",IF(Table15[[#This Row],[Age]]&lt;=40,"Median","Old"))</f>
        <v>Old</v>
      </c>
      <c r="G490" s="4" t="s">
        <v>16</v>
      </c>
      <c r="H490" s="4">
        <v>1</v>
      </c>
      <c r="I490" s="4">
        <v>30</v>
      </c>
      <c r="J490" s="4">
        <v>30</v>
      </c>
      <c r="K490" s="4" t="str" cm="1">
        <f t="array" ref="K490">_xlfn.IFS(AND(Table15[[#This Row],[Total Amount]]&gt;=1500),"Critical",AND(Table15[[#This Row],[Total Amount]]&gt;=1000),"High",TRUE,"Normal")</f>
        <v>Normal</v>
      </c>
      <c r="L490" s="4" t="str">
        <f>IF(Table15[[#This Row],[Total Amount]]&gt;=1000,"High",(IF(Table15[[#This Row],[Total Amount]]&gt;=500,"Medium","Low")))</f>
        <v>Low</v>
      </c>
      <c r="M490" s="4" t="str" cm="1">
        <f t="array" ref="M49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90" s="4" cm="1">
        <f t="array" ref="N49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490" s="4">
        <f>Table15[[#This Row],[Total Amount]]-Table15[[#This Row],[Discount Amount]]</f>
        <v>27</v>
      </c>
    </row>
    <row r="491" spans="1:15" x14ac:dyDescent="0.35">
      <c r="A491" s="4">
        <v>490</v>
      </c>
      <c r="B491" s="5">
        <v>44962</v>
      </c>
      <c r="C491" s="4" t="s">
        <v>503</v>
      </c>
      <c r="D491" s="4" t="s">
        <v>10</v>
      </c>
      <c r="E491" s="4">
        <v>34</v>
      </c>
      <c r="F491" s="4" t="str">
        <f>IF(Table15[[#This Row],[Age]]&lt;=19,"Teenager",IF(Table15[[#This Row],[Age]]&lt;=40,"Median","Old"))</f>
        <v>Median</v>
      </c>
      <c r="G491" s="4" t="s">
        <v>14</v>
      </c>
      <c r="H491" s="4">
        <v>3</v>
      </c>
      <c r="I491" s="4">
        <v>50</v>
      </c>
      <c r="J491" s="4">
        <v>150</v>
      </c>
      <c r="K491" s="4" t="str" cm="1">
        <f t="array" ref="K491">_xlfn.IFS(AND(Table15[[#This Row],[Total Amount]]&gt;=1500),"Critical",AND(Table15[[#This Row],[Total Amount]]&gt;=1000),"High",TRUE,"Normal")</f>
        <v>Normal</v>
      </c>
      <c r="L491" s="4" t="str">
        <f>IF(Table15[[#This Row],[Total Amount]]&gt;=1000,"High",(IF(Table15[[#This Row],[Total Amount]]&gt;=500,"Medium","Low")))</f>
        <v>Low</v>
      </c>
      <c r="M491" s="4" t="str" cm="1">
        <f t="array" ref="M49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91" s="4" cm="1">
        <f t="array" ref="N49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22.5</v>
      </c>
      <c r="O491" s="4">
        <f>Table15[[#This Row],[Total Amount]]-Table15[[#This Row],[Discount Amount]]</f>
        <v>127.5</v>
      </c>
    </row>
    <row r="492" spans="1:15" x14ac:dyDescent="0.35">
      <c r="A492" s="4">
        <v>491</v>
      </c>
      <c r="B492" s="5">
        <v>45069</v>
      </c>
      <c r="C492" s="4" t="s">
        <v>504</v>
      </c>
      <c r="D492" s="4" t="s">
        <v>13</v>
      </c>
      <c r="E492" s="4">
        <v>60</v>
      </c>
      <c r="F492" s="4" t="str">
        <f>IF(Table15[[#This Row],[Age]]&lt;=19,"Teenager",IF(Table15[[#This Row],[Age]]&lt;=40,"Median","Old"))</f>
        <v>Old</v>
      </c>
      <c r="G492" s="4" t="s">
        <v>16</v>
      </c>
      <c r="H492" s="4">
        <v>3</v>
      </c>
      <c r="I492" s="4">
        <v>300</v>
      </c>
      <c r="J492" s="4">
        <v>900</v>
      </c>
      <c r="K492" s="4" t="str" cm="1">
        <f t="array" ref="K492">_xlfn.IFS(AND(Table15[[#This Row],[Total Amount]]&gt;=1500),"Critical",AND(Table15[[#This Row],[Total Amount]]&gt;=1000),"High",TRUE,"Normal")</f>
        <v>Normal</v>
      </c>
      <c r="L492" s="4" t="str">
        <f>IF(Table15[[#This Row],[Total Amount]]&gt;=1000,"High",(IF(Table15[[#This Row],[Total Amount]]&gt;=500,"Medium","Low")))</f>
        <v>Medium</v>
      </c>
      <c r="M492" s="4" t="str" cm="1">
        <f t="array" ref="M49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92" s="4" cm="1">
        <f t="array" ref="N49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492" s="4">
        <f>Table15[[#This Row],[Total Amount]]-Table15[[#This Row],[Discount Amount]]</f>
        <v>720</v>
      </c>
    </row>
    <row r="493" spans="1:15" x14ac:dyDescent="0.35">
      <c r="A493" s="4">
        <v>492</v>
      </c>
      <c r="B493" s="5">
        <v>45106</v>
      </c>
      <c r="C493" s="4" t="s">
        <v>505</v>
      </c>
      <c r="D493" s="4" t="s">
        <v>10</v>
      </c>
      <c r="E493" s="4">
        <v>61</v>
      </c>
      <c r="F493" s="4" t="str">
        <f>IF(Table15[[#This Row],[Age]]&lt;=19,"Teenager",IF(Table15[[#This Row],[Age]]&lt;=40,"Median","Old"))</f>
        <v>Old</v>
      </c>
      <c r="G493" s="4" t="s">
        <v>11</v>
      </c>
      <c r="H493" s="4">
        <v>4</v>
      </c>
      <c r="I493" s="4">
        <v>25</v>
      </c>
      <c r="J493" s="4">
        <v>100</v>
      </c>
      <c r="K493" s="4" t="str" cm="1">
        <f t="array" ref="K493">_xlfn.IFS(AND(Table15[[#This Row],[Total Amount]]&gt;=1500),"Critical",AND(Table15[[#This Row],[Total Amount]]&gt;=1000),"High",TRUE,"Normal")</f>
        <v>Normal</v>
      </c>
      <c r="L493" s="4" t="str">
        <f>IF(Table15[[#This Row],[Total Amount]]&gt;=1000,"High",(IF(Table15[[#This Row],[Total Amount]]&gt;=500,"Medium","Low")))</f>
        <v>Low</v>
      </c>
      <c r="M493" s="4" t="str" cm="1">
        <f t="array" ref="M49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93" s="4" cm="1">
        <f t="array" ref="N49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493" s="4">
        <f>Table15[[#This Row],[Total Amount]]-Table15[[#This Row],[Discount Amount]]</f>
        <v>90</v>
      </c>
    </row>
    <row r="494" spans="1:15" x14ac:dyDescent="0.35">
      <c r="A494" s="4">
        <v>493</v>
      </c>
      <c r="B494" s="5">
        <v>45255</v>
      </c>
      <c r="C494" s="4" t="s">
        <v>506</v>
      </c>
      <c r="D494" s="4" t="s">
        <v>10</v>
      </c>
      <c r="E494" s="4">
        <v>41</v>
      </c>
      <c r="F494" s="4" t="str">
        <f>IF(Table15[[#This Row],[Age]]&lt;=19,"Teenager",IF(Table15[[#This Row],[Age]]&lt;=40,"Median","Old"))</f>
        <v>Old</v>
      </c>
      <c r="G494" s="4" t="s">
        <v>11</v>
      </c>
      <c r="H494" s="4">
        <v>2</v>
      </c>
      <c r="I494" s="4">
        <v>25</v>
      </c>
      <c r="J494" s="4">
        <v>50</v>
      </c>
      <c r="K494" s="4" t="str" cm="1">
        <f t="array" ref="K494">_xlfn.IFS(AND(Table15[[#This Row],[Total Amount]]&gt;=1500),"Critical",AND(Table15[[#This Row],[Total Amount]]&gt;=1000),"High",TRUE,"Normal")</f>
        <v>Normal</v>
      </c>
      <c r="L494" s="4" t="str">
        <f>IF(Table15[[#This Row],[Total Amount]]&gt;=1000,"High",(IF(Table15[[#This Row],[Total Amount]]&gt;=500,"Medium","Low")))</f>
        <v>Low</v>
      </c>
      <c r="M494" s="4" t="str" cm="1">
        <f t="array" ref="M49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94" s="4" cm="1">
        <f t="array" ref="N49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494" s="4">
        <f>Table15[[#This Row],[Total Amount]]-Table15[[#This Row],[Discount Amount]]</f>
        <v>45</v>
      </c>
    </row>
    <row r="495" spans="1:15" x14ac:dyDescent="0.35">
      <c r="A495" s="4">
        <v>494</v>
      </c>
      <c r="B495" s="5">
        <v>45187</v>
      </c>
      <c r="C495" s="4" t="s">
        <v>507</v>
      </c>
      <c r="D495" s="4" t="s">
        <v>13</v>
      </c>
      <c r="E495" s="4">
        <v>42</v>
      </c>
      <c r="F495" s="4" t="str">
        <f>IF(Table15[[#This Row],[Age]]&lt;=19,"Teenager",IF(Table15[[#This Row],[Age]]&lt;=40,"Median","Old"))</f>
        <v>Old</v>
      </c>
      <c r="G495" s="4" t="s">
        <v>11</v>
      </c>
      <c r="H495" s="4">
        <v>4</v>
      </c>
      <c r="I495" s="4">
        <v>50</v>
      </c>
      <c r="J495" s="4">
        <v>200</v>
      </c>
      <c r="K495" s="4" t="str" cm="1">
        <f t="array" ref="K495">_xlfn.IFS(AND(Table15[[#This Row],[Total Amount]]&gt;=1500),"Critical",AND(Table15[[#This Row],[Total Amount]]&gt;=1000),"High",TRUE,"Normal")</f>
        <v>Normal</v>
      </c>
      <c r="L495" s="4" t="str">
        <f>IF(Table15[[#This Row],[Total Amount]]&gt;=1000,"High",(IF(Table15[[#This Row],[Total Amount]]&gt;=500,"Medium","Low")))</f>
        <v>Low</v>
      </c>
      <c r="M495" s="4" t="str" cm="1">
        <f t="array" ref="M49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95" s="4" cm="1">
        <f t="array" ref="N49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495" s="4">
        <f>Table15[[#This Row],[Total Amount]]-Table15[[#This Row],[Discount Amount]]</f>
        <v>160</v>
      </c>
    </row>
    <row r="496" spans="1:15" x14ac:dyDescent="0.35">
      <c r="A496" s="4">
        <v>495</v>
      </c>
      <c r="B496" s="5">
        <v>45131</v>
      </c>
      <c r="C496" s="4" t="s">
        <v>508</v>
      </c>
      <c r="D496" s="4" t="s">
        <v>10</v>
      </c>
      <c r="E496" s="4">
        <v>24</v>
      </c>
      <c r="F496" s="4" t="str">
        <f>IF(Table15[[#This Row],[Age]]&lt;=19,"Teenager",IF(Table15[[#This Row],[Age]]&lt;=40,"Median","Old"))</f>
        <v>Median</v>
      </c>
      <c r="G496" s="4" t="s">
        <v>11</v>
      </c>
      <c r="H496" s="4">
        <v>2</v>
      </c>
      <c r="I496" s="4">
        <v>30</v>
      </c>
      <c r="J496" s="4">
        <v>60</v>
      </c>
      <c r="K496" s="4" t="str" cm="1">
        <f t="array" ref="K496">_xlfn.IFS(AND(Table15[[#This Row],[Total Amount]]&gt;=1500),"Critical",AND(Table15[[#This Row],[Total Amount]]&gt;=1000),"High",TRUE,"Normal")</f>
        <v>Normal</v>
      </c>
      <c r="L496" s="4" t="str">
        <f>IF(Table15[[#This Row],[Total Amount]]&gt;=1000,"High",(IF(Table15[[#This Row],[Total Amount]]&gt;=500,"Medium","Low")))</f>
        <v>Low</v>
      </c>
      <c r="M496" s="4" t="str" cm="1">
        <f t="array" ref="M49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96" s="4" cm="1">
        <f t="array" ref="N49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96" s="4">
        <f>Table15[[#This Row],[Total Amount]]-Table15[[#This Row],[Discount Amount]]</f>
        <v>60</v>
      </c>
    </row>
    <row r="497" spans="1:15" x14ac:dyDescent="0.35">
      <c r="A497" s="4">
        <v>496</v>
      </c>
      <c r="B497" s="5">
        <v>45274</v>
      </c>
      <c r="C497" s="4" t="s">
        <v>509</v>
      </c>
      <c r="D497" s="4" t="s">
        <v>10</v>
      </c>
      <c r="E497" s="4">
        <v>23</v>
      </c>
      <c r="F497" s="4" t="str">
        <f>IF(Table15[[#This Row],[Age]]&lt;=19,"Teenager",IF(Table15[[#This Row],[Age]]&lt;=40,"Median","Old"))</f>
        <v>Median</v>
      </c>
      <c r="G497" s="4" t="s">
        <v>14</v>
      </c>
      <c r="H497" s="4">
        <v>2</v>
      </c>
      <c r="I497" s="4">
        <v>300</v>
      </c>
      <c r="J497" s="4">
        <v>600</v>
      </c>
      <c r="K497" s="4" t="str" cm="1">
        <f t="array" ref="K497">_xlfn.IFS(AND(Table15[[#This Row],[Total Amount]]&gt;=1500),"Critical",AND(Table15[[#This Row],[Total Amount]]&gt;=1000),"High",TRUE,"Normal")</f>
        <v>Normal</v>
      </c>
      <c r="L497" s="4" t="str">
        <f>IF(Table15[[#This Row],[Total Amount]]&gt;=1000,"High",(IF(Table15[[#This Row],[Total Amount]]&gt;=500,"Medium","Low")))</f>
        <v>Medium</v>
      </c>
      <c r="M497" s="4" t="str" cm="1">
        <f t="array" ref="M49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97" s="4" cm="1">
        <f t="array" ref="N49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97" s="4">
        <f>Table15[[#This Row],[Total Amount]]-Table15[[#This Row],[Discount Amount]]</f>
        <v>600</v>
      </c>
    </row>
    <row r="498" spans="1:15" x14ac:dyDescent="0.35">
      <c r="A498" s="4">
        <v>497</v>
      </c>
      <c r="B498" s="5">
        <v>45201</v>
      </c>
      <c r="C498" s="4" t="s">
        <v>510</v>
      </c>
      <c r="D498" s="4" t="s">
        <v>10</v>
      </c>
      <c r="E498" s="4">
        <v>41</v>
      </c>
      <c r="F498" s="4" t="str">
        <f>IF(Table15[[#This Row],[Age]]&lt;=19,"Teenager",IF(Table15[[#This Row],[Age]]&lt;=40,"Median","Old"))</f>
        <v>Old</v>
      </c>
      <c r="G498" s="4" t="s">
        <v>14</v>
      </c>
      <c r="H498" s="4">
        <v>4</v>
      </c>
      <c r="I498" s="4">
        <v>30</v>
      </c>
      <c r="J498" s="4">
        <v>120</v>
      </c>
      <c r="K498" s="4" t="str" cm="1">
        <f t="array" ref="K498">_xlfn.IFS(AND(Table15[[#This Row],[Total Amount]]&gt;=1500),"Critical",AND(Table15[[#This Row],[Total Amount]]&gt;=1000),"High",TRUE,"Normal")</f>
        <v>Normal</v>
      </c>
      <c r="L498" s="4" t="str">
        <f>IF(Table15[[#This Row],[Total Amount]]&gt;=1000,"High",(IF(Table15[[#This Row],[Total Amount]]&gt;=500,"Medium","Low")))</f>
        <v>Low</v>
      </c>
      <c r="M498" s="4" t="str" cm="1">
        <f t="array" ref="M49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98" s="4" cm="1">
        <f t="array" ref="N49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498" s="4">
        <f>Table15[[#This Row],[Total Amount]]-Table15[[#This Row],[Discount Amount]]</f>
        <v>108</v>
      </c>
    </row>
    <row r="499" spans="1:15" x14ac:dyDescent="0.35">
      <c r="A499" s="4">
        <v>498</v>
      </c>
      <c r="B499" s="5">
        <v>45096</v>
      </c>
      <c r="C499" s="4" t="s">
        <v>511</v>
      </c>
      <c r="D499" s="4" t="s">
        <v>13</v>
      </c>
      <c r="E499" s="4">
        <v>50</v>
      </c>
      <c r="F499" s="4" t="str">
        <f>IF(Table15[[#This Row],[Age]]&lt;=19,"Teenager",IF(Table15[[#This Row],[Age]]&lt;=40,"Median","Old"))</f>
        <v>Old</v>
      </c>
      <c r="G499" s="4" t="s">
        <v>14</v>
      </c>
      <c r="H499" s="4">
        <v>4</v>
      </c>
      <c r="I499" s="4">
        <v>25</v>
      </c>
      <c r="J499" s="4">
        <v>100</v>
      </c>
      <c r="K499" s="4" t="str" cm="1">
        <f t="array" ref="K499">_xlfn.IFS(AND(Table15[[#This Row],[Total Amount]]&gt;=1500),"Critical",AND(Table15[[#This Row],[Total Amount]]&gt;=1000),"High",TRUE,"Normal")</f>
        <v>Normal</v>
      </c>
      <c r="L499" s="4" t="str">
        <f>IF(Table15[[#This Row],[Total Amount]]&gt;=1000,"High",(IF(Table15[[#This Row],[Total Amount]]&gt;=500,"Medium","Low")))</f>
        <v>Low</v>
      </c>
      <c r="M499" s="4" t="str" cm="1">
        <f t="array" ref="M49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99" s="4" cm="1">
        <f t="array" ref="N49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499" s="4">
        <f>Table15[[#This Row],[Total Amount]]-Table15[[#This Row],[Discount Amount]]</f>
        <v>80</v>
      </c>
    </row>
    <row r="500" spans="1:15" x14ac:dyDescent="0.35">
      <c r="A500" s="4">
        <v>499</v>
      </c>
      <c r="B500" s="5">
        <v>44941</v>
      </c>
      <c r="C500" s="4" t="s">
        <v>512</v>
      </c>
      <c r="D500" s="4" t="s">
        <v>10</v>
      </c>
      <c r="E500" s="4">
        <v>46</v>
      </c>
      <c r="F500" s="4" t="str">
        <f>IF(Table15[[#This Row],[Age]]&lt;=19,"Teenager",IF(Table15[[#This Row],[Age]]&lt;=40,"Median","Old"))</f>
        <v>Old</v>
      </c>
      <c r="G500" s="4" t="s">
        <v>11</v>
      </c>
      <c r="H500" s="4">
        <v>2</v>
      </c>
      <c r="I500" s="4">
        <v>30</v>
      </c>
      <c r="J500" s="4">
        <v>60</v>
      </c>
      <c r="K500" s="4" t="str" cm="1">
        <f t="array" ref="K500">_xlfn.IFS(AND(Table15[[#This Row],[Total Amount]]&gt;=1500),"Critical",AND(Table15[[#This Row],[Total Amount]]&gt;=1000),"High",TRUE,"Normal")</f>
        <v>Normal</v>
      </c>
      <c r="L500" s="4" t="str">
        <f>IF(Table15[[#This Row],[Total Amount]]&gt;=1000,"High",(IF(Table15[[#This Row],[Total Amount]]&gt;=500,"Medium","Low")))</f>
        <v>Low</v>
      </c>
      <c r="M500" s="4" t="str" cm="1">
        <f t="array" ref="M50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00" s="4" cm="1">
        <f t="array" ref="N50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500" s="4">
        <f>Table15[[#This Row],[Total Amount]]-Table15[[#This Row],[Discount Amount]]</f>
        <v>54</v>
      </c>
    </row>
    <row r="501" spans="1:15" x14ac:dyDescent="0.35">
      <c r="A501" s="4">
        <v>500</v>
      </c>
      <c r="B501" s="5">
        <v>44986</v>
      </c>
      <c r="C501" s="4" t="s">
        <v>513</v>
      </c>
      <c r="D501" s="4" t="s">
        <v>13</v>
      </c>
      <c r="E501" s="4">
        <v>60</v>
      </c>
      <c r="F501" s="4" t="str">
        <f>IF(Table15[[#This Row],[Age]]&lt;=19,"Teenager",IF(Table15[[#This Row],[Age]]&lt;=40,"Median","Old"))</f>
        <v>Old</v>
      </c>
      <c r="G501" s="4" t="s">
        <v>11</v>
      </c>
      <c r="H501" s="4">
        <v>4</v>
      </c>
      <c r="I501" s="4">
        <v>25</v>
      </c>
      <c r="J501" s="4">
        <v>100</v>
      </c>
      <c r="K501" s="4" t="str" cm="1">
        <f t="array" ref="K501">_xlfn.IFS(AND(Table15[[#This Row],[Total Amount]]&gt;=1500),"Critical",AND(Table15[[#This Row],[Total Amount]]&gt;=1000),"High",TRUE,"Normal")</f>
        <v>Normal</v>
      </c>
      <c r="L501" s="4" t="str">
        <f>IF(Table15[[#This Row],[Total Amount]]&gt;=1000,"High",(IF(Table15[[#This Row],[Total Amount]]&gt;=500,"Medium","Low")))</f>
        <v>Low</v>
      </c>
      <c r="M501" s="4" t="str" cm="1">
        <f t="array" ref="M50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01" s="4" cm="1">
        <f t="array" ref="N50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501" s="4">
        <f>Table15[[#This Row],[Total Amount]]-Table15[[#This Row],[Discount Amount]]</f>
        <v>80</v>
      </c>
    </row>
    <row r="502" spans="1:15" x14ac:dyDescent="0.35">
      <c r="A502" s="4">
        <v>501</v>
      </c>
      <c r="B502" s="5">
        <v>45060</v>
      </c>
      <c r="C502" s="4" t="s">
        <v>514</v>
      </c>
      <c r="D502" s="4" t="s">
        <v>10</v>
      </c>
      <c r="E502" s="4">
        <v>39</v>
      </c>
      <c r="F502" s="4" t="str">
        <f>IF(Table15[[#This Row],[Age]]&lt;=19,"Teenager",IF(Table15[[#This Row],[Age]]&lt;=40,"Median","Old"))</f>
        <v>Median</v>
      </c>
      <c r="G502" s="4" t="s">
        <v>16</v>
      </c>
      <c r="H502" s="4">
        <v>2</v>
      </c>
      <c r="I502" s="4">
        <v>30</v>
      </c>
      <c r="J502" s="4">
        <v>60</v>
      </c>
      <c r="K502" s="4" t="str" cm="1">
        <f t="array" ref="K502">_xlfn.IFS(AND(Table15[[#This Row],[Total Amount]]&gt;=1500),"Critical",AND(Table15[[#This Row],[Total Amount]]&gt;=1000),"High",TRUE,"Normal")</f>
        <v>Normal</v>
      </c>
      <c r="L502" s="4" t="str">
        <f>IF(Table15[[#This Row],[Total Amount]]&gt;=1000,"High",(IF(Table15[[#This Row],[Total Amount]]&gt;=500,"Medium","Low")))</f>
        <v>Low</v>
      </c>
      <c r="M502" s="4" t="str" cm="1">
        <f t="array" ref="M50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02" s="4" cm="1">
        <f t="array" ref="N50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502" s="4">
        <f>Table15[[#This Row],[Total Amount]]-Table15[[#This Row],[Discount Amount]]</f>
        <v>54</v>
      </c>
    </row>
    <row r="503" spans="1:15" x14ac:dyDescent="0.35">
      <c r="A503" s="4">
        <v>502</v>
      </c>
      <c r="B503" s="5">
        <v>45018</v>
      </c>
      <c r="C503" s="4" t="s">
        <v>515</v>
      </c>
      <c r="D503" s="4" t="s">
        <v>10</v>
      </c>
      <c r="E503" s="4">
        <v>43</v>
      </c>
      <c r="F503" s="4" t="str">
        <f>IF(Table15[[#This Row],[Age]]&lt;=19,"Teenager",IF(Table15[[#This Row],[Age]]&lt;=40,"Median","Old"))</f>
        <v>Old</v>
      </c>
      <c r="G503" s="4" t="s">
        <v>16</v>
      </c>
      <c r="H503" s="4">
        <v>3</v>
      </c>
      <c r="I503" s="4">
        <v>50</v>
      </c>
      <c r="J503" s="4">
        <v>150</v>
      </c>
      <c r="K503" s="4" t="str" cm="1">
        <f t="array" ref="K503">_xlfn.IFS(AND(Table15[[#This Row],[Total Amount]]&gt;=1500),"Critical",AND(Table15[[#This Row],[Total Amount]]&gt;=1000),"High",TRUE,"Normal")</f>
        <v>Normal</v>
      </c>
      <c r="L503" s="4" t="str">
        <f>IF(Table15[[#This Row],[Total Amount]]&gt;=1000,"High",(IF(Table15[[#This Row],[Total Amount]]&gt;=500,"Medium","Low")))</f>
        <v>Low</v>
      </c>
      <c r="M503" s="4" t="str" cm="1">
        <f t="array" ref="M50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03" s="4" cm="1">
        <f t="array" ref="N50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503" s="4">
        <f>Table15[[#This Row],[Total Amount]]-Table15[[#This Row],[Discount Amount]]</f>
        <v>135</v>
      </c>
    </row>
    <row r="504" spans="1:15" x14ac:dyDescent="0.35">
      <c r="A504" s="4">
        <v>503</v>
      </c>
      <c r="B504" s="5">
        <v>45224</v>
      </c>
      <c r="C504" s="4" t="s">
        <v>516</v>
      </c>
      <c r="D504" s="4" t="s">
        <v>10</v>
      </c>
      <c r="E504" s="4">
        <v>45</v>
      </c>
      <c r="F504" s="4" t="str">
        <f>IF(Table15[[#This Row],[Age]]&lt;=19,"Teenager",IF(Table15[[#This Row],[Age]]&lt;=40,"Median","Old"))</f>
        <v>Old</v>
      </c>
      <c r="G504" s="4" t="s">
        <v>11</v>
      </c>
      <c r="H504" s="4">
        <v>4</v>
      </c>
      <c r="I504" s="4">
        <v>500</v>
      </c>
      <c r="J504" s="4">
        <v>2000</v>
      </c>
      <c r="K504" s="4" t="str" cm="1">
        <f t="array" ref="K504">_xlfn.IFS(AND(Table15[[#This Row],[Total Amount]]&gt;=1500),"Critical",AND(Table15[[#This Row],[Total Amount]]&gt;=1000),"High",TRUE,"Normal")</f>
        <v>Critical</v>
      </c>
      <c r="L504" s="4" t="str">
        <f>IF(Table15[[#This Row],[Total Amount]]&gt;=1000,"High",(IF(Table15[[#This Row],[Total Amount]]&gt;=500,"Medium","Low")))</f>
        <v>High</v>
      </c>
      <c r="M504" s="4" t="str" cm="1">
        <f t="array" ref="M50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04" s="4" cm="1">
        <f t="array" ref="N50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504" s="4">
        <f>Table15[[#This Row],[Total Amount]]-Table15[[#This Row],[Discount Amount]]</f>
        <v>1800</v>
      </c>
    </row>
    <row r="505" spans="1:15" x14ac:dyDescent="0.35">
      <c r="A505" s="4">
        <v>504</v>
      </c>
      <c r="B505" s="5">
        <v>45062</v>
      </c>
      <c r="C505" s="4" t="s">
        <v>517</v>
      </c>
      <c r="D505" s="4" t="s">
        <v>13</v>
      </c>
      <c r="E505" s="4">
        <v>38</v>
      </c>
      <c r="F505" s="4" t="str">
        <f>IF(Table15[[#This Row],[Age]]&lt;=19,"Teenager",IF(Table15[[#This Row],[Age]]&lt;=40,"Median","Old"))</f>
        <v>Median</v>
      </c>
      <c r="G505" s="4" t="s">
        <v>11</v>
      </c>
      <c r="H505" s="4">
        <v>3</v>
      </c>
      <c r="I505" s="4">
        <v>50</v>
      </c>
      <c r="J505" s="4">
        <v>150</v>
      </c>
      <c r="K505" s="4" t="str" cm="1">
        <f t="array" ref="K505">_xlfn.IFS(AND(Table15[[#This Row],[Total Amount]]&gt;=1500),"Critical",AND(Table15[[#This Row],[Total Amount]]&gt;=1000),"High",TRUE,"Normal")</f>
        <v>Normal</v>
      </c>
      <c r="L505" s="4" t="str">
        <f>IF(Table15[[#This Row],[Total Amount]]&gt;=1000,"High",(IF(Table15[[#This Row],[Total Amount]]&gt;=500,"Medium","Low")))</f>
        <v>Low</v>
      </c>
      <c r="M505" s="4" t="str" cm="1">
        <f t="array" ref="M50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05" s="4" cm="1">
        <f t="array" ref="N50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505" s="4">
        <f>Table15[[#This Row],[Total Amount]]-Table15[[#This Row],[Discount Amount]]</f>
        <v>120</v>
      </c>
    </row>
    <row r="506" spans="1:15" x14ac:dyDescent="0.35">
      <c r="A506" s="4">
        <v>505</v>
      </c>
      <c r="B506" s="5">
        <v>44946</v>
      </c>
      <c r="C506" s="4" t="s">
        <v>518</v>
      </c>
      <c r="D506" s="4" t="s">
        <v>10</v>
      </c>
      <c r="E506" s="4">
        <v>24</v>
      </c>
      <c r="F506" s="4" t="str">
        <f>IF(Table15[[#This Row],[Age]]&lt;=19,"Teenager",IF(Table15[[#This Row],[Age]]&lt;=40,"Median","Old"))</f>
        <v>Median</v>
      </c>
      <c r="G506" s="4" t="s">
        <v>11</v>
      </c>
      <c r="H506" s="4">
        <v>1</v>
      </c>
      <c r="I506" s="4">
        <v>50</v>
      </c>
      <c r="J506" s="4">
        <v>50</v>
      </c>
      <c r="K506" s="4" t="str" cm="1">
        <f t="array" ref="K506">_xlfn.IFS(AND(Table15[[#This Row],[Total Amount]]&gt;=1500),"Critical",AND(Table15[[#This Row],[Total Amount]]&gt;=1000),"High",TRUE,"Normal")</f>
        <v>Normal</v>
      </c>
      <c r="L506" s="4" t="str">
        <f>IF(Table15[[#This Row],[Total Amount]]&gt;=1000,"High",(IF(Table15[[#This Row],[Total Amount]]&gt;=500,"Medium","Low")))</f>
        <v>Low</v>
      </c>
      <c r="M506" s="4" t="str" cm="1">
        <f t="array" ref="M50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06" s="4" cm="1">
        <f t="array" ref="N50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06" s="4">
        <f>Table15[[#This Row],[Total Amount]]-Table15[[#This Row],[Discount Amount]]</f>
        <v>50</v>
      </c>
    </row>
    <row r="507" spans="1:15" x14ac:dyDescent="0.35">
      <c r="A507" s="4">
        <v>506</v>
      </c>
      <c r="B507" s="5">
        <v>44982</v>
      </c>
      <c r="C507" s="4" t="s">
        <v>519</v>
      </c>
      <c r="D507" s="4" t="s">
        <v>10</v>
      </c>
      <c r="E507" s="4">
        <v>34</v>
      </c>
      <c r="F507" s="4" t="str">
        <f>IF(Table15[[#This Row],[Age]]&lt;=19,"Teenager",IF(Table15[[#This Row],[Age]]&lt;=40,"Median","Old"))</f>
        <v>Median</v>
      </c>
      <c r="G507" s="4" t="s">
        <v>11</v>
      </c>
      <c r="H507" s="4">
        <v>3</v>
      </c>
      <c r="I507" s="4">
        <v>500</v>
      </c>
      <c r="J507" s="4">
        <v>1500</v>
      </c>
      <c r="K507" s="4" t="str" cm="1">
        <f t="array" ref="K507">_xlfn.IFS(AND(Table15[[#This Row],[Total Amount]]&gt;=1500),"Critical",AND(Table15[[#This Row],[Total Amount]]&gt;=1000),"High",TRUE,"Normal")</f>
        <v>Critical</v>
      </c>
      <c r="L507" s="4" t="str">
        <f>IF(Table15[[#This Row],[Total Amount]]&gt;=1000,"High",(IF(Table15[[#This Row],[Total Amount]]&gt;=500,"Medium","Low")))</f>
        <v>High</v>
      </c>
      <c r="M507" s="4" t="str" cm="1">
        <f t="array" ref="M50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07" s="4" cm="1">
        <f t="array" ref="N50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225</v>
      </c>
      <c r="O507" s="4">
        <f>Table15[[#This Row],[Total Amount]]-Table15[[#This Row],[Discount Amount]]</f>
        <v>1275</v>
      </c>
    </row>
    <row r="508" spans="1:15" x14ac:dyDescent="0.35">
      <c r="A508" s="4">
        <v>507</v>
      </c>
      <c r="B508" s="5">
        <v>45232</v>
      </c>
      <c r="C508" s="4" t="s">
        <v>520</v>
      </c>
      <c r="D508" s="4" t="s">
        <v>13</v>
      </c>
      <c r="E508" s="4">
        <v>37</v>
      </c>
      <c r="F508" s="4" t="str">
        <f>IF(Table15[[#This Row],[Age]]&lt;=19,"Teenager",IF(Table15[[#This Row],[Age]]&lt;=40,"Median","Old"))</f>
        <v>Median</v>
      </c>
      <c r="G508" s="4" t="s">
        <v>16</v>
      </c>
      <c r="H508" s="4">
        <v>3</v>
      </c>
      <c r="I508" s="4">
        <v>500</v>
      </c>
      <c r="J508" s="4">
        <v>1500</v>
      </c>
      <c r="K508" s="4" t="str" cm="1">
        <f t="array" ref="K508">_xlfn.IFS(AND(Table15[[#This Row],[Total Amount]]&gt;=1500),"Critical",AND(Table15[[#This Row],[Total Amount]]&gt;=1000),"High",TRUE,"Normal")</f>
        <v>Critical</v>
      </c>
      <c r="L508" s="4" t="str">
        <f>IF(Table15[[#This Row],[Total Amount]]&gt;=1000,"High",(IF(Table15[[#This Row],[Total Amount]]&gt;=500,"Medium","Low")))</f>
        <v>High</v>
      </c>
      <c r="M508" s="4" t="str" cm="1">
        <f t="array" ref="M50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08" s="4" cm="1">
        <f t="array" ref="N50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508" s="4">
        <f>Table15[[#This Row],[Total Amount]]-Table15[[#This Row],[Discount Amount]]</f>
        <v>1200</v>
      </c>
    </row>
    <row r="509" spans="1:15" x14ac:dyDescent="0.35">
      <c r="A509" s="4">
        <v>508</v>
      </c>
      <c r="B509" s="5">
        <v>45149</v>
      </c>
      <c r="C509" s="4" t="s">
        <v>521</v>
      </c>
      <c r="D509" s="4" t="s">
        <v>10</v>
      </c>
      <c r="E509" s="4">
        <v>58</v>
      </c>
      <c r="F509" s="4" t="str">
        <f>IF(Table15[[#This Row],[Age]]&lt;=19,"Teenager",IF(Table15[[#This Row],[Age]]&lt;=40,"Median","Old"))</f>
        <v>Old</v>
      </c>
      <c r="G509" s="4" t="s">
        <v>11</v>
      </c>
      <c r="H509" s="4">
        <v>2</v>
      </c>
      <c r="I509" s="4">
        <v>300</v>
      </c>
      <c r="J509" s="4">
        <v>600</v>
      </c>
      <c r="K509" s="4" t="str" cm="1">
        <f t="array" ref="K509">_xlfn.IFS(AND(Table15[[#This Row],[Total Amount]]&gt;=1500),"Critical",AND(Table15[[#This Row],[Total Amount]]&gt;=1000),"High",TRUE,"Normal")</f>
        <v>Normal</v>
      </c>
      <c r="L509" s="4" t="str">
        <f>IF(Table15[[#This Row],[Total Amount]]&gt;=1000,"High",(IF(Table15[[#This Row],[Total Amount]]&gt;=500,"Medium","Low")))</f>
        <v>Medium</v>
      </c>
      <c r="M509" s="4" t="str" cm="1">
        <f t="array" ref="M50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09" s="4" cm="1">
        <f t="array" ref="N50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509" s="4">
        <f>Table15[[#This Row],[Total Amount]]-Table15[[#This Row],[Discount Amount]]</f>
        <v>540</v>
      </c>
    </row>
    <row r="510" spans="1:15" x14ac:dyDescent="0.35">
      <c r="A510" s="4">
        <v>509</v>
      </c>
      <c r="B510" s="5">
        <v>45103</v>
      </c>
      <c r="C510" s="4" t="s">
        <v>522</v>
      </c>
      <c r="D510" s="4" t="s">
        <v>13</v>
      </c>
      <c r="E510" s="4">
        <v>37</v>
      </c>
      <c r="F510" s="4" t="str">
        <f>IF(Table15[[#This Row],[Age]]&lt;=19,"Teenager",IF(Table15[[#This Row],[Age]]&lt;=40,"Median","Old"))</f>
        <v>Median</v>
      </c>
      <c r="G510" s="4" t="s">
        <v>16</v>
      </c>
      <c r="H510" s="4">
        <v>3</v>
      </c>
      <c r="I510" s="4">
        <v>300</v>
      </c>
      <c r="J510" s="4">
        <v>900</v>
      </c>
      <c r="K510" s="4" t="str" cm="1">
        <f t="array" ref="K510">_xlfn.IFS(AND(Table15[[#This Row],[Total Amount]]&gt;=1500),"Critical",AND(Table15[[#This Row],[Total Amount]]&gt;=1000),"High",TRUE,"Normal")</f>
        <v>Normal</v>
      </c>
      <c r="L510" s="4" t="str">
        <f>IF(Table15[[#This Row],[Total Amount]]&gt;=1000,"High",(IF(Table15[[#This Row],[Total Amount]]&gt;=500,"Medium","Low")))</f>
        <v>Medium</v>
      </c>
      <c r="M510" s="4" t="str" cm="1">
        <f t="array" ref="M51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10" s="4" cm="1">
        <f t="array" ref="N51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510" s="4">
        <f>Table15[[#This Row],[Total Amount]]-Table15[[#This Row],[Discount Amount]]</f>
        <v>720</v>
      </c>
    </row>
    <row r="511" spans="1:15" x14ac:dyDescent="0.35">
      <c r="A511" s="4">
        <v>510</v>
      </c>
      <c r="B511" s="5">
        <v>45087</v>
      </c>
      <c r="C511" s="4" t="s">
        <v>523</v>
      </c>
      <c r="D511" s="4" t="s">
        <v>13</v>
      </c>
      <c r="E511" s="4">
        <v>39</v>
      </c>
      <c r="F511" s="4" t="str">
        <f>IF(Table15[[#This Row],[Age]]&lt;=19,"Teenager",IF(Table15[[#This Row],[Age]]&lt;=40,"Median","Old"))</f>
        <v>Median</v>
      </c>
      <c r="G511" s="4" t="s">
        <v>11</v>
      </c>
      <c r="H511" s="4">
        <v>4</v>
      </c>
      <c r="I511" s="4">
        <v>50</v>
      </c>
      <c r="J511" s="4">
        <v>200</v>
      </c>
      <c r="K511" s="4" t="str" cm="1">
        <f t="array" ref="K511">_xlfn.IFS(AND(Table15[[#This Row],[Total Amount]]&gt;=1500),"Critical",AND(Table15[[#This Row],[Total Amount]]&gt;=1000),"High",TRUE,"Normal")</f>
        <v>Normal</v>
      </c>
      <c r="L511" s="4" t="str">
        <f>IF(Table15[[#This Row],[Total Amount]]&gt;=1000,"High",(IF(Table15[[#This Row],[Total Amount]]&gt;=500,"Medium","Low")))</f>
        <v>Low</v>
      </c>
      <c r="M511" s="4" t="str" cm="1">
        <f t="array" ref="M51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11" s="4" cm="1">
        <f t="array" ref="N51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511" s="4">
        <f>Table15[[#This Row],[Total Amount]]-Table15[[#This Row],[Discount Amount]]</f>
        <v>160</v>
      </c>
    </row>
    <row r="512" spans="1:15" x14ac:dyDescent="0.35">
      <c r="A512" s="4">
        <v>511</v>
      </c>
      <c r="B512" s="5">
        <v>45150</v>
      </c>
      <c r="C512" s="4" t="s">
        <v>524</v>
      </c>
      <c r="D512" s="4" t="s">
        <v>10</v>
      </c>
      <c r="E512" s="4">
        <v>45</v>
      </c>
      <c r="F512" s="4" t="str">
        <f>IF(Table15[[#This Row],[Age]]&lt;=19,"Teenager",IF(Table15[[#This Row],[Age]]&lt;=40,"Median","Old"))</f>
        <v>Old</v>
      </c>
      <c r="G512" s="4" t="s">
        <v>11</v>
      </c>
      <c r="H512" s="4">
        <v>2</v>
      </c>
      <c r="I512" s="4">
        <v>50</v>
      </c>
      <c r="J512" s="4">
        <v>100</v>
      </c>
      <c r="K512" s="4" t="str" cm="1">
        <f t="array" ref="K512">_xlfn.IFS(AND(Table15[[#This Row],[Total Amount]]&gt;=1500),"Critical",AND(Table15[[#This Row],[Total Amount]]&gt;=1000),"High",TRUE,"Normal")</f>
        <v>Normal</v>
      </c>
      <c r="L512" s="4" t="str">
        <f>IF(Table15[[#This Row],[Total Amount]]&gt;=1000,"High",(IF(Table15[[#This Row],[Total Amount]]&gt;=500,"Medium","Low")))</f>
        <v>Low</v>
      </c>
      <c r="M512" s="4" t="str" cm="1">
        <f t="array" ref="M51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12" s="4" cm="1">
        <f t="array" ref="N51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512" s="4">
        <f>Table15[[#This Row],[Total Amount]]-Table15[[#This Row],[Discount Amount]]</f>
        <v>90</v>
      </c>
    </row>
    <row r="513" spans="1:15" x14ac:dyDescent="0.35">
      <c r="A513" s="4">
        <v>512</v>
      </c>
      <c r="B513" s="5">
        <v>45237</v>
      </c>
      <c r="C513" s="4" t="s">
        <v>525</v>
      </c>
      <c r="D513" s="4" t="s">
        <v>13</v>
      </c>
      <c r="E513" s="4">
        <v>57</v>
      </c>
      <c r="F513" s="4" t="str">
        <f>IF(Table15[[#This Row],[Age]]&lt;=19,"Teenager",IF(Table15[[#This Row],[Age]]&lt;=40,"Median","Old"))</f>
        <v>Old</v>
      </c>
      <c r="G513" s="4" t="s">
        <v>11</v>
      </c>
      <c r="H513" s="4">
        <v>1</v>
      </c>
      <c r="I513" s="4">
        <v>25</v>
      </c>
      <c r="J513" s="4">
        <v>25</v>
      </c>
      <c r="K513" s="4" t="str" cm="1">
        <f t="array" ref="K513">_xlfn.IFS(AND(Table15[[#This Row],[Total Amount]]&gt;=1500),"Critical",AND(Table15[[#This Row],[Total Amount]]&gt;=1000),"High",TRUE,"Normal")</f>
        <v>Normal</v>
      </c>
      <c r="L513" s="4" t="str">
        <f>IF(Table15[[#This Row],[Total Amount]]&gt;=1000,"High",(IF(Table15[[#This Row],[Total Amount]]&gt;=500,"Medium","Low")))</f>
        <v>Low</v>
      </c>
      <c r="M513" s="4" t="str" cm="1">
        <f t="array" ref="M51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13" s="4" cm="1">
        <f t="array" ref="N51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513" s="4">
        <f>Table15[[#This Row],[Total Amount]]-Table15[[#This Row],[Discount Amount]]</f>
        <v>20</v>
      </c>
    </row>
    <row r="514" spans="1:15" x14ac:dyDescent="0.35">
      <c r="A514" s="4">
        <v>513</v>
      </c>
      <c r="B514" s="5">
        <v>45188</v>
      </c>
      <c r="C514" s="4" t="s">
        <v>526</v>
      </c>
      <c r="D514" s="4" t="s">
        <v>10</v>
      </c>
      <c r="E514" s="4">
        <v>24</v>
      </c>
      <c r="F514" s="4" t="str">
        <f>IF(Table15[[#This Row],[Age]]&lt;=19,"Teenager",IF(Table15[[#This Row],[Age]]&lt;=40,"Median","Old"))</f>
        <v>Median</v>
      </c>
      <c r="G514" s="4" t="s">
        <v>16</v>
      </c>
      <c r="H514" s="4">
        <v>4</v>
      </c>
      <c r="I514" s="4">
        <v>25</v>
      </c>
      <c r="J514" s="4">
        <v>100</v>
      </c>
      <c r="K514" s="4" t="str" cm="1">
        <f t="array" ref="K514">_xlfn.IFS(AND(Table15[[#This Row],[Total Amount]]&gt;=1500),"Critical",AND(Table15[[#This Row],[Total Amount]]&gt;=1000),"High",TRUE,"Normal")</f>
        <v>Normal</v>
      </c>
      <c r="L514" s="4" t="str">
        <f>IF(Table15[[#This Row],[Total Amount]]&gt;=1000,"High",(IF(Table15[[#This Row],[Total Amount]]&gt;=500,"Medium","Low")))</f>
        <v>Low</v>
      </c>
      <c r="M514" s="4" t="str" cm="1">
        <f t="array" ref="M51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14" s="4" cm="1">
        <f t="array" ref="N51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14" s="4">
        <f>Table15[[#This Row],[Total Amount]]-Table15[[#This Row],[Discount Amount]]</f>
        <v>100</v>
      </c>
    </row>
    <row r="515" spans="1:15" x14ac:dyDescent="0.35">
      <c r="A515" s="4">
        <v>514</v>
      </c>
      <c r="B515" s="5">
        <v>44986</v>
      </c>
      <c r="C515" s="4" t="s">
        <v>527</v>
      </c>
      <c r="D515" s="4" t="s">
        <v>13</v>
      </c>
      <c r="E515" s="4">
        <v>18</v>
      </c>
      <c r="F515" s="4" t="str">
        <f>IF(Table15[[#This Row],[Age]]&lt;=19,"Teenager",IF(Table15[[#This Row],[Age]]&lt;=40,"Median","Old"))</f>
        <v>Teenager</v>
      </c>
      <c r="G515" s="4" t="s">
        <v>16</v>
      </c>
      <c r="H515" s="4">
        <v>1</v>
      </c>
      <c r="I515" s="4">
        <v>300</v>
      </c>
      <c r="J515" s="4">
        <v>300</v>
      </c>
      <c r="K515" s="4" t="str" cm="1">
        <f t="array" ref="K515">_xlfn.IFS(AND(Table15[[#This Row],[Total Amount]]&gt;=1500),"Critical",AND(Table15[[#This Row],[Total Amount]]&gt;=1000),"High",TRUE,"Normal")</f>
        <v>Normal</v>
      </c>
      <c r="L515" s="4" t="str">
        <f>IF(Table15[[#This Row],[Total Amount]]&gt;=1000,"High",(IF(Table15[[#This Row],[Total Amount]]&gt;=500,"Medium","Low")))</f>
        <v>Low</v>
      </c>
      <c r="M515" s="4" t="str" cm="1">
        <f t="array" ref="M51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15" s="4" cm="1">
        <f t="array" ref="N51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15" s="4">
        <f>Table15[[#This Row],[Total Amount]]-Table15[[#This Row],[Discount Amount]]</f>
        <v>300</v>
      </c>
    </row>
    <row r="516" spans="1:15" x14ac:dyDescent="0.35">
      <c r="A516" s="4">
        <v>515</v>
      </c>
      <c r="B516" s="5">
        <v>45124</v>
      </c>
      <c r="C516" s="4" t="s">
        <v>528</v>
      </c>
      <c r="D516" s="4" t="s">
        <v>13</v>
      </c>
      <c r="E516" s="4">
        <v>49</v>
      </c>
      <c r="F516" s="4" t="str">
        <f>IF(Table15[[#This Row],[Age]]&lt;=19,"Teenager",IF(Table15[[#This Row],[Age]]&lt;=40,"Median","Old"))</f>
        <v>Old</v>
      </c>
      <c r="G516" s="4" t="s">
        <v>14</v>
      </c>
      <c r="H516" s="4">
        <v>3</v>
      </c>
      <c r="I516" s="4">
        <v>300</v>
      </c>
      <c r="J516" s="4">
        <v>900</v>
      </c>
      <c r="K516" s="4" t="str" cm="1">
        <f t="array" ref="K516">_xlfn.IFS(AND(Table15[[#This Row],[Total Amount]]&gt;=1500),"Critical",AND(Table15[[#This Row],[Total Amount]]&gt;=1000),"High",TRUE,"Normal")</f>
        <v>Normal</v>
      </c>
      <c r="L516" s="4" t="str">
        <f>IF(Table15[[#This Row],[Total Amount]]&gt;=1000,"High",(IF(Table15[[#This Row],[Total Amount]]&gt;=500,"Medium","Low")))</f>
        <v>Medium</v>
      </c>
      <c r="M516" s="4" t="str" cm="1">
        <f t="array" ref="M51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16" s="4" cm="1">
        <f t="array" ref="N51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516" s="4">
        <f>Table15[[#This Row],[Total Amount]]-Table15[[#This Row],[Discount Amount]]</f>
        <v>720</v>
      </c>
    </row>
    <row r="517" spans="1:15" x14ac:dyDescent="0.35">
      <c r="A517" s="4">
        <v>516</v>
      </c>
      <c r="B517" s="5">
        <v>45222</v>
      </c>
      <c r="C517" s="4" t="s">
        <v>529</v>
      </c>
      <c r="D517" s="4" t="s">
        <v>10</v>
      </c>
      <c r="E517" s="4">
        <v>30</v>
      </c>
      <c r="F517" s="4" t="str">
        <f>IF(Table15[[#This Row],[Age]]&lt;=19,"Teenager",IF(Table15[[#This Row],[Age]]&lt;=40,"Median","Old"))</f>
        <v>Median</v>
      </c>
      <c r="G517" s="4" t="s">
        <v>11</v>
      </c>
      <c r="H517" s="4">
        <v>4</v>
      </c>
      <c r="I517" s="4">
        <v>25</v>
      </c>
      <c r="J517" s="4">
        <v>100</v>
      </c>
      <c r="K517" s="4" t="str" cm="1">
        <f t="array" ref="K517">_xlfn.IFS(AND(Table15[[#This Row],[Total Amount]]&gt;=1500),"Critical",AND(Table15[[#This Row],[Total Amount]]&gt;=1000),"High",TRUE,"Normal")</f>
        <v>Normal</v>
      </c>
      <c r="L517" s="4" t="str">
        <f>IF(Table15[[#This Row],[Total Amount]]&gt;=1000,"High",(IF(Table15[[#This Row],[Total Amount]]&gt;=500,"Medium","Low")))</f>
        <v>Low</v>
      </c>
      <c r="M517" s="4" t="str" cm="1">
        <f t="array" ref="M51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17" s="4" cm="1">
        <f t="array" ref="N51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517" s="4">
        <f>Table15[[#This Row],[Total Amount]]-Table15[[#This Row],[Discount Amount]]</f>
        <v>85</v>
      </c>
    </row>
    <row r="518" spans="1:15" x14ac:dyDescent="0.35">
      <c r="A518" s="4">
        <v>517</v>
      </c>
      <c r="B518" s="5">
        <v>45024</v>
      </c>
      <c r="C518" s="4" t="s">
        <v>530</v>
      </c>
      <c r="D518" s="4" t="s">
        <v>13</v>
      </c>
      <c r="E518" s="4">
        <v>47</v>
      </c>
      <c r="F518" s="4" t="str">
        <f>IF(Table15[[#This Row],[Age]]&lt;=19,"Teenager",IF(Table15[[#This Row],[Age]]&lt;=40,"Median","Old"))</f>
        <v>Old</v>
      </c>
      <c r="G518" s="4" t="s">
        <v>14</v>
      </c>
      <c r="H518" s="4">
        <v>4</v>
      </c>
      <c r="I518" s="4">
        <v>25</v>
      </c>
      <c r="J518" s="4">
        <v>100</v>
      </c>
      <c r="K518" s="4" t="str" cm="1">
        <f t="array" ref="K518">_xlfn.IFS(AND(Table15[[#This Row],[Total Amount]]&gt;=1500),"Critical",AND(Table15[[#This Row],[Total Amount]]&gt;=1000),"High",TRUE,"Normal")</f>
        <v>Normal</v>
      </c>
      <c r="L518" s="4" t="str">
        <f>IF(Table15[[#This Row],[Total Amount]]&gt;=1000,"High",(IF(Table15[[#This Row],[Total Amount]]&gt;=500,"Medium","Low")))</f>
        <v>Low</v>
      </c>
      <c r="M518" s="4" t="str" cm="1">
        <f t="array" ref="M51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18" s="4" cm="1">
        <f t="array" ref="N51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518" s="4">
        <f>Table15[[#This Row],[Total Amount]]-Table15[[#This Row],[Discount Amount]]</f>
        <v>80</v>
      </c>
    </row>
    <row r="519" spans="1:15" x14ac:dyDescent="0.35">
      <c r="A519" s="4">
        <v>518</v>
      </c>
      <c r="B519" s="5">
        <v>45057</v>
      </c>
      <c r="C519" s="4" t="s">
        <v>531</v>
      </c>
      <c r="D519" s="4" t="s">
        <v>13</v>
      </c>
      <c r="E519" s="4">
        <v>40</v>
      </c>
      <c r="F519" s="4" t="str">
        <f>IF(Table15[[#This Row],[Age]]&lt;=19,"Teenager",IF(Table15[[#This Row],[Age]]&lt;=40,"Median","Old"))</f>
        <v>Median</v>
      </c>
      <c r="G519" s="4" t="s">
        <v>14</v>
      </c>
      <c r="H519" s="4">
        <v>1</v>
      </c>
      <c r="I519" s="4">
        <v>30</v>
      </c>
      <c r="J519" s="4">
        <v>30</v>
      </c>
      <c r="K519" s="4" t="str" cm="1">
        <f t="array" ref="K519">_xlfn.IFS(AND(Table15[[#This Row],[Total Amount]]&gt;=1500),"Critical",AND(Table15[[#This Row],[Total Amount]]&gt;=1000),"High",TRUE,"Normal")</f>
        <v>Normal</v>
      </c>
      <c r="L519" s="4" t="str">
        <f>IF(Table15[[#This Row],[Total Amount]]&gt;=1000,"High",(IF(Table15[[#This Row],[Total Amount]]&gt;=500,"Medium","Low")))</f>
        <v>Low</v>
      </c>
      <c r="M519" s="4" t="str" cm="1">
        <f t="array" ref="M51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19" s="4" cm="1">
        <f t="array" ref="N51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519" s="4">
        <f>Table15[[#This Row],[Total Amount]]-Table15[[#This Row],[Discount Amount]]</f>
        <v>24</v>
      </c>
    </row>
    <row r="520" spans="1:15" x14ac:dyDescent="0.35">
      <c r="A520" s="4">
        <v>519</v>
      </c>
      <c r="B520" s="5">
        <v>44949</v>
      </c>
      <c r="C520" s="4" t="s">
        <v>532</v>
      </c>
      <c r="D520" s="4" t="s">
        <v>13</v>
      </c>
      <c r="E520" s="4">
        <v>36</v>
      </c>
      <c r="F520" s="4" t="str">
        <f>IF(Table15[[#This Row],[Age]]&lt;=19,"Teenager",IF(Table15[[#This Row],[Age]]&lt;=40,"Median","Old"))</f>
        <v>Median</v>
      </c>
      <c r="G520" s="4" t="s">
        <v>16</v>
      </c>
      <c r="H520" s="4">
        <v>4</v>
      </c>
      <c r="I520" s="4">
        <v>30</v>
      </c>
      <c r="J520" s="4">
        <v>120</v>
      </c>
      <c r="K520" s="4" t="str" cm="1">
        <f t="array" ref="K520">_xlfn.IFS(AND(Table15[[#This Row],[Total Amount]]&gt;=1500),"Critical",AND(Table15[[#This Row],[Total Amount]]&gt;=1000),"High",TRUE,"Normal")</f>
        <v>Normal</v>
      </c>
      <c r="L520" s="4" t="str">
        <f>IF(Table15[[#This Row],[Total Amount]]&gt;=1000,"High",(IF(Table15[[#This Row],[Total Amount]]&gt;=500,"Medium","Low")))</f>
        <v>Low</v>
      </c>
      <c r="M520" s="4" t="str" cm="1">
        <f t="array" ref="M52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20" s="4" cm="1">
        <f t="array" ref="N52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520" s="4">
        <f>Table15[[#This Row],[Total Amount]]-Table15[[#This Row],[Discount Amount]]</f>
        <v>96</v>
      </c>
    </row>
    <row r="521" spans="1:15" x14ac:dyDescent="0.35">
      <c r="A521" s="4">
        <v>520</v>
      </c>
      <c r="B521" s="5">
        <v>45289</v>
      </c>
      <c r="C521" s="4" t="s">
        <v>533</v>
      </c>
      <c r="D521" s="4" t="s">
        <v>13</v>
      </c>
      <c r="E521" s="4">
        <v>49</v>
      </c>
      <c r="F521" s="4" t="str">
        <f>IF(Table15[[#This Row],[Age]]&lt;=19,"Teenager",IF(Table15[[#This Row],[Age]]&lt;=40,"Median","Old"))</f>
        <v>Old</v>
      </c>
      <c r="G521" s="4" t="s">
        <v>16</v>
      </c>
      <c r="H521" s="4">
        <v>4</v>
      </c>
      <c r="I521" s="4">
        <v>25</v>
      </c>
      <c r="J521" s="4">
        <v>100</v>
      </c>
      <c r="K521" s="4" t="str" cm="1">
        <f t="array" ref="K521">_xlfn.IFS(AND(Table15[[#This Row],[Total Amount]]&gt;=1500),"Critical",AND(Table15[[#This Row],[Total Amount]]&gt;=1000),"High",TRUE,"Normal")</f>
        <v>Normal</v>
      </c>
      <c r="L521" s="4" t="str">
        <f>IF(Table15[[#This Row],[Total Amount]]&gt;=1000,"High",(IF(Table15[[#This Row],[Total Amount]]&gt;=500,"Medium","Low")))</f>
        <v>Low</v>
      </c>
      <c r="M521" s="4" t="str" cm="1">
        <f t="array" ref="M52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21" s="4" cm="1">
        <f t="array" ref="N52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521" s="4">
        <f>Table15[[#This Row],[Total Amount]]-Table15[[#This Row],[Discount Amount]]</f>
        <v>80</v>
      </c>
    </row>
    <row r="522" spans="1:15" x14ac:dyDescent="0.35">
      <c r="A522" s="4">
        <v>521</v>
      </c>
      <c r="B522" s="5">
        <v>45150</v>
      </c>
      <c r="C522" s="4" t="s">
        <v>534</v>
      </c>
      <c r="D522" s="4" t="s">
        <v>13</v>
      </c>
      <c r="E522" s="4">
        <v>47</v>
      </c>
      <c r="F522" s="4" t="str">
        <f>IF(Table15[[#This Row],[Age]]&lt;=19,"Teenager",IF(Table15[[#This Row],[Age]]&lt;=40,"Median","Old"))</f>
        <v>Old</v>
      </c>
      <c r="G522" s="4" t="s">
        <v>14</v>
      </c>
      <c r="H522" s="4">
        <v>4</v>
      </c>
      <c r="I522" s="4">
        <v>30</v>
      </c>
      <c r="J522" s="4">
        <v>120</v>
      </c>
      <c r="K522" s="4" t="str" cm="1">
        <f t="array" ref="K522">_xlfn.IFS(AND(Table15[[#This Row],[Total Amount]]&gt;=1500),"Critical",AND(Table15[[#This Row],[Total Amount]]&gt;=1000),"High",TRUE,"Normal")</f>
        <v>Normal</v>
      </c>
      <c r="L522" s="4" t="str">
        <f>IF(Table15[[#This Row],[Total Amount]]&gt;=1000,"High",(IF(Table15[[#This Row],[Total Amount]]&gt;=500,"Medium","Low")))</f>
        <v>Low</v>
      </c>
      <c r="M522" s="4" t="str" cm="1">
        <f t="array" ref="M52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22" s="4" cm="1">
        <f t="array" ref="N52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522" s="4">
        <f>Table15[[#This Row],[Total Amount]]-Table15[[#This Row],[Discount Amount]]</f>
        <v>96</v>
      </c>
    </row>
    <row r="523" spans="1:15" x14ac:dyDescent="0.35">
      <c r="A523" s="4">
        <v>522</v>
      </c>
      <c r="B523" s="5">
        <v>44927</v>
      </c>
      <c r="C523" s="4" t="s">
        <v>535</v>
      </c>
      <c r="D523" s="4" t="s">
        <v>10</v>
      </c>
      <c r="E523" s="4">
        <v>46</v>
      </c>
      <c r="F523" s="4" t="str">
        <f>IF(Table15[[#This Row],[Age]]&lt;=19,"Teenager",IF(Table15[[#This Row],[Age]]&lt;=40,"Median","Old"))</f>
        <v>Old</v>
      </c>
      <c r="G523" s="4" t="s">
        <v>11</v>
      </c>
      <c r="H523" s="4">
        <v>3</v>
      </c>
      <c r="I523" s="4">
        <v>500</v>
      </c>
      <c r="J523" s="4">
        <v>1500</v>
      </c>
      <c r="K523" s="4" t="str" cm="1">
        <f t="array" ref="K523">_xlfn.IFS(AND(Table15[[#This Row],[Total Amount]]&gt;=1500),"Critical",AND(Table15[[#This Row],[Total Amount]]&gt;=1000),"High",TRUE,"Normal")</f>
        <v>Critical</v>
      </c>
      <c r="L523" s="4" t="str">
        <f>IF(Table15[[#This Row],[Total Amount]]&gt;=1000,"High",(IF(Table15[[#This Row],[Total Amount]]&gt;=500,"Medium","Low")))</f>
        <v>High</v>
      </c>
      <c r="M523" s="4" t="str" cm="1">
        <f t="array" ref="M52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23" s="4" cm="1">
        <f t="array" ref="N52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523" s="4">
        <f>Table15[[#This Row],[Total Amount]]-Table15[[#This Row],[Discount Amount]]</f>
        <v>1350</v>
      </c>
    </row>
    <row r="524" spans="1:15" x14ac:dyDescent="0.35">
      <c r="A524" s="4">
        <v>523</v>
      </c>
      <c r="B524" s="5">
        <v>45193</v>
      </c>
      <c r="C524" s="4" t="s">
        <v>536</v>
      </c>
      <c r="D524" s="4" t="s">
        <v>13</v>
      </c>
      <c r="E524" s="4">
        <v>62</v>
      </c>
      <c r="F524" s="4" t="str">
        <f>IF(Table15[[#This Row],[Age]]&lt;=19,"Teenager",IF(Table15[[#This Row],[Age]]&lt;=40,"Median","Old"))</f>
        <v>Old</v>
      </c>
      <c r="G524" s="4" t="s">
        <v>16</v>
      </c>
      <c r="H524" s="4">
        <v>1</v>
      </c>
      <c r="I524" s="4">
        <v>300</v>
      </c>
      <c r="J524" s="4">
        <v>300</v>
      </c>
      <c r="K524" s="4" t="str" cm="1">
        <f t="array" ref="K524">_xlfn.IFS(AND(Table15[[#This Row],[Total Amount]]&gt;=1500),"Critical",AND(Table15[[#This Row],[Total Amount]]&gt;=1000),"High",TRUE,"Normal")</f>
        <v>Normal</v>
      </c>
      <c r="L524" s="4" t="str">
        <f>IF(Table15[[#This Row],[Total Amount]]&gt;=1000,"High",(IF(Table15[[#This Row],[Total Amount]]&gt;=500,"Medium","Low")))</f>
        <v>Low</v>
      </c>
      <c r="M524" s="4" t="str" cm="1">
        <f t="array" ref="M52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24" s="4" cm="1">
        <f t="array" ref="N52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524" s="4">
        <f>Table15[[#This Row],[Total Amount]]-Table15[[#This Row],[Discount Amount]]</f>
        <v>240</v>
      </c>
    </row>
    <row r="525" spans="1:15" x14ac:dyDescent="0.35">
      <c r="A525" s="4">
        <v>524</v>
      </c>
      <c r="B525" s="5">
        <v>45202</v>
      </c>
      <c r="C525" s="4" t="s">
        <v>537</v>
      </c>
      <c r="D525" s="4" t="s">
        <v>10</v>
      </c>
      <c r="E525" s="4">
        <v>46</v>
      </c>
      <c r="F525" s="4" t="str">
        <f>IF(Table15[[#This Row],[Age]]&lt;=19,"Teenager",IF(Table15[[#This Row],[Age]]&lt;=40,"Median","Old"))</f>
        <v>Old</v>
      </c>
      <c r="G525" s="4" t="s">
        <v>11</v>
      </c>
      <c r="H525" s="4">
        <v>4</v>
      </c>
      <c r="I525" s="4">
        <v>300</v>
      </c>
      <c r="J525" s="4">
        <v>1200</v>
      </c>
      <c r="K525" s="4" t="str" cm="1">
        <f t="array" ref="K525">_xlfn.IFS(AND(Table15[[#This Row],[Total Amount]]&gt;=1500),"Critical",AND(Table15[[#This Row],[Total Amount]]&gt;=1000),"High",TRUE,"Normal")</f>
        <v>High</v>
      </c>
      <c r="L525" s="4" t="str">
        <f>IF(Table15[[#This Row],[Total Amount]]&gt;=1000,"High",(IF(Table15[[#This Row],[Total Amount]]&gt;=500,"Medium","Low")))</f>
        <v>High</v>
      </c>
      <c r="M525" s="4" t="str" cm="1">
        <f t="array" ref="M52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25" s="4" cm="1">
        <f t="array" ref="N52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525" s="4">
        <f>Table15[[#This Row],[Total Amount]]-Table15[[#This Row],[Discount Amount]]</f>
        <v>1080</v>
      </c>
    </row>
    <row r="526" spans="1:15" x14ac:dyDescent="0.35">
      <c r="A526" s="4">
        <v>525</v>
      </c>
      <c r="B526" s="5">
        <v>45278</v>
      </c>
      <c r="C526" s="4" t="s">
        <v>538</v>
      </c>
      <c r="D526" s="4" t="s">
        <v>13</v>
      </c>
      <c r="E526" s="4">
        <v>47</v>
      </c>
      <c r="F526" s="4" t="str">
        <f>IF(Table15[[#This Row],[Age]]&lt;=19,"Teenager",IF(Table15[[#This Row],[Age]]&lt;=40,"Median","Old"))</f>
        <v>Old</v>
      </c>
      <c r="G526" s="4" t="s">
        <v>11</v>
      </c>
      <c r="H526" s="4">
        <v>2</v>
      </c>
      <c r="I526" s="4">
        <v>25</v>
      </c>
      <c r="J526" s="4">
        <v>50</v>
      </c>
      <c r="K526" s="4" t="str" cm="1">
        <f t="array" ref="K526">_xlfn.IFS(AND(Table15[[#This Row],[Total Amount]]&gt;=1500),"Critical",AND(Table15[[#This Row],[Total Amount]]&gt;=1000),"High",TRUE,"Normal")</f>
        <v>Normal</v>
      </c>
      <c r="L526" s="4" t="str">
        <f>IF(Table15[[#This Row],[Total Amount]]&gt;=1000,"High",(IF(Table15[[#This Row],[Total Amount]]&gt;=500,"Medium","Low")))</f>
        <v>Low</v>
      </c>
      <c r="M526" s="4" t="str" cm="1">
        <f t="array" ref="M52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26" s="4" cm="1">
        <f t="array" ref="N52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526" s="4">
        <f>Table15[[#This Row],[Total Amount]]-Table15[[#This Row],[Discount Amount]]</f>
        <v>40</v>
      </c>
    </row>
    <row r="527" spans="1:15" x14ac:dyDescent="0.35">
      <c r="A527" s="4">
        <v>526</v>
      </c>
      <c r="B527" s="5">
        <v>45270</v>
      </c>
      <c r="C527" s="4" t="s">
        <v>539</v>
      </c>
      <c r="D527" s="4" t="s">
        <v>10</v>
      </c>
      <c r="E527" s="4">
        <v>33</v>
      </c>
      <c r="F527" s="4" t="str">
        <f>IF(Table15[[#This Row],[Age]]&lt;=19,"Teenager",IF(Table15[[#This Row],[Age]]&lt;=40,"Median","Old"))</f>
        <v>Median</v>
      </c>
      <c r="G527" s="4" t="s">
        <v>14</v>
      </c>
      <c r="H527" s="4">
        <v>2</v>
      </c>
      <c r="I527" s="4">
        <v>50</v>
      </c>
      <c r="J527" s="4">
        <v>100</v>
      </c>
      <c r="K527" s="4" t="str" cm="1">
        <f t="array" ref="K527">_xlfn.IFS(AND(Table15[[#This Row],[Total Amount]]&gt;=1500),"Critical",AND(Table15[[#This Row],[Total Amount]]&gt;=1000),"High",TRUE,"Normal")</f>
        <v>Normal</v>
      </c>
      <c r="L527" s="4" t="str">
        <f>IF(Table15[[#This Row],[Total Amount]]&gt;=1000,"High",(IF(Table15[[#This Row],[Total Amount]]&gt;=500,"Medium","Low")))</f>
        <v>Low</v>
      </c>
      <c r="M527" s="4" t="str" cm="1">
        <f t="array" ref="M52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27" s="4" cm="1">
        <f t="array" ref="N52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527" s="4">
        <f>Table15[[#This Row],[Total Amount]]-Table15[[#This Row],[Discount Amount]]</f>
        <v>85</v>
      </c>
    </row>
    <row r="528" spans="1:15" x14ac:dyDescent="0.35">
      <c r="A528" s="4">
        <v>527</v>
      </c>
      <c r="B528" s="5">
        <v>45027</v>
      </c>
      <c r="C528" s="4" t="s">
        <v>540</v>
      </c>
      <c r="D528" s="4" t="s">
        <v>10</v>
      </c>
      <c r="E528" s="4">
        <v>57</v>
      </c>
      <c r="F528" s="4" t="str">
        <f>IF(Table15[[#This Row],[Age]]&lt;=19,"Teenager",IF(Table15[[#This Row],[Age]]&lt;=40,"Median","Old"))</f>
        <v>Old</v>
      </c>
      <c r="G528" s="4" t="s">
        <v>14</v>
      </c>
      <c r="H528" s="4">
        <v>2</v>
      </c>
      <c r="I528" s="4">
        <v>25</v>
      </c>
      <c r="J528" s="4">
        <v>50</v>
      </c>
      <c r="K528" s="4" t="str" cm="1">
        <f t="array" ref="K528">_xlfn.IFS(AND(Table15[[#This Row],[Total Amount]]&gt;=1500),"Critical",AND(Table15[[#This Row],[Total Amount]]&gt;=1000),"High",TRUE,"Normal")</f>
        <v>Normal</v>
      </c>
      <c r="L528" s="4" t="str">
        <f>IF(Table15[[#This Row],[Total Amount]]&gt;=1000,"High",(IF(Table15[[#This Row],[Total Amount]]&gt;=500,"Medium","Low")))</f>
        <v>Low</v>
      </c>
      <c r="M528" s="4" t="str" cm="1">
        <f t="array" ref="M52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28" s="4" cm="1">
        <f t="array" ref="N52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528" s="4">
        <f>Table15[[#This Row],[Total Amount]]-Table15[[#This Row],[Discount Amount]]</f>
        <v>45</v>
      </c>
    </row>
    <row r="529" spans="1:15" x14ac:dyDescent="0.35">
      <c r="A529" s="4">
        <v>528</v>
      </c>
      <c r="B529" s="5">
        <v>45113</v>
      </c>
      <c r="C529" s="4" t="s">
        <v>541</v>
      </c>
      <c r="D529" s="4" t="s">
        <v>13</v>
      </c>
      <c r="E529" s="4">
        <v>36</v>
      </c>
      <c r="F529" s="4" t="str">
        <f>IF(Table15[[#This Row],[Age]]&lt;=19,"Teenager",IF(Table15[[#This Row],[Age]]&lt;=40,"Median","Old"))</f>
        <v>Median</v>
      </c>
      <c r="G529" s="4" t="s">
        <v>14</v>
      </c>
      <c r="H529" s="4">
        <v>2</v>
      </c>
      <c r="I529" s="4">
        <v>30</v>
      </c>
      <c r="J529" s="4">
        <v>60</v>
      </c>
      <c r="K529" s="4" t="str" cm="1">
        <f t="array" ref="K529">_xlfn.IFS(AND(Table15[[#This Row],[Total Amount]]&gt;=1500),"Critical",AND(Table15[[#This Row],[Total Amount]]&gt;=1000),"High",TRUE,"Normal")</f>
        <v>Normal</v>
      </c>
      <c r="L529" s="4" t="str">
        <f>IF(Table15[[#This Row],[Total Amount]]&gt;=1000,"High",(IF(Table15[[#This Row],[Total Amount]]&gt;=500,"Medium","Low")))</f>
        <v>Low</v>
      </c>
      <c r="M529" s="4" t="str" cm="1">
        <f t="array" ref="M52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29" s="4" cm="1">
        <f t="array" ref="N52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529" s="4">
        <f>Table15[[#This Row],[Total Amount]]-Table15[[#This Row],[Discount Amount]]</f>
        <v>48</v>
      </c>
    </row>
    <row r="530" spans="1:15" x14ac:dyDescent="0.35">
      <c r="A530" s="4">
        <v>529</v>
      </c>
      <c r="B530" s="5">
        <v>45147</v>
      </c>
      <c r="C530" s="4" t="s">
        <v>542</v>
      </c>
      <c r="D530" s="4" t="s">
        <v>13</v>
      </c>
      <c r="E530" s="4">
        <v>35</v>
      </c>
      <c r="F530" s="4" t="str">
        <f>IF(Table15[[#This Row],[Age]]&lt;=19,"Teenager",IF(Table15[[#This Row],[Age]]&lt;=40,"Median","Old"))</f>
        <v>Median</v>
      </c>
      <c r="G530" s="4" t="s">
        <v>14</v>
      </c>
      <c r="H530" s="4">
        <v>3</v>
      </c>
      <c r="I530" s="4">
        <v>50</v>
      </c>
      <c r="J530" s="4">
        <v>150</v>
      </c>
      <c r="K530" s="4" t="str" cm="1">
        <f t="array" ref="K530">_xlfn.IFS(AND(Table15[[#This Row],[Total Amount]]&gt;=1500),"Critical",AND(Table15[[#This Row],[Total Amount]]&gt;=1000),"High",TRUE,"Normal")</f>
        <v>Normal</v>
      </c>
      <c r="L530" s="4" t="str">
        <f>IF(Table15[[#This Row],[Total Amount]]&gt;=1000,"High",(IF(Table15[[#This Row],[Total Amount]]&gt;=500,"Medium","Low")))</f>
        <v>Low</v>
      </c>
      <c r="M530" s="4" t="str" cm="1">
        <f t="array" ref="M53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30" s="4" cm="1">
        <f t="array" ref="N53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530" s="4">
        <f>Table15[[#This Row],[Total Amount]]-Table15[[#This Row],[Discount Amount]]</f>
        <v>120</v>
      </c>
    </row>
    <row r="531" spans="1:15" x14ac:dyDescent="0.35">
      <c r="A531" s="4">
        <v>530</v>
      </c>
      <c r="B531" s="5">
        <v>44962</v>
      </c>
      <c r="C531" s="4" t="s">
        <v>543</v>
      </c>
      <c r="D531" s="4" t="s">
        <v>13</v>
      </c>
      <c r="E531" s="4">
        <v>18</v>
      </c>
      <c r="F531" s="4" t="str">
        <f>IF(Table15[[#This Row],[Age]]&lt;=19,"Teenager",IF(Table15[[#This Row],[Age]]&lt;=40,"Median","Old"))</f>
        <v>Teenager</v>
      </c>
      <c r="G531" s="4" t="s">
        <v>16</v>
      </c>
      <c r="H531" s="4">
        <v>4</v>
      </c>
      <c r="I531" s="4">
        <v>30</v>
      </c>
      <c r="J531" s="4">
        <v>120</v>
      </c>
      <c r="K531" s="4" t="str" cm="1">
        <f t="array" ref="K531">_xlfn.IFS(AND(Table15[[#This Row],[Total Amount]]&gt;=1500),"Critical",AND(Table15[[#This Row],[Total Amount]]&gt;=1000),"High",TRUE,"Normal")</f>
        <v>Normal</v>
      </c>
      <c r="L531" s="4" t="str">
        <f>IF(Table15[[#This Row],[Total Amount]]&gt;=1000,"High",(IF(Table15[[#This Row],[Total Amount]]&gt;=500,"Medium","Low")))</f>
        <v>Low</v>
      </c>
      <c r="M531" s="4" t="str" cm="1">
        <f t="array" ref="M53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31" s="4" cm="1">
        <f t="array" ref="N53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31" s="4">
        <f>Table15[[#This Row],[Total Amount]]-Table15[[#This Row],[Discount Amount]]</f>
        <v>120</v>
      </c>
    </row>
    <row r="532" spans="1:15" x14ac:dyDescent="0.35">
      <c r="A532" s="4">
        <v>531</v>
      </c>
      <c r="B532" s="5">
        <v>45267</v>
      </c>
      <c r="C532" s="4" t="s">
        <v>544</v>
      </c>
      <c r="D532" s="4" t="s">
        <v>10</v>
      </c>
      <c r="E532" s="4">
        <v>31</v>
      </c>
      <c r="F532" s="4" t="str">
        <f>IF(Table15[[#This Row],[Age]]&lt;=19,"Teenager",IF(Table15[[#This Row],[Age]]&lt;=40,"Median","Old"))</f>
        <v>Median</v>
      </c>
      <c r="G532" s="4" t="s">
        <v>16</v>
      </c>
      <c r="H532" s="4">
        <v>1</v>
      </c>
      <c r="I532" s="4">
        <v>500</v>
      </c>
      <c r="J532" s="4">
        <v>500</v>
      </c>
      <c r="K532" s="4" t="str" cm="1">
        <f t="array" ref="K532">_xlfn.IFS(AND(Table15[[#This Row],[Total Amount]]&gt;=1500),"Critical",AND(Table15[[#This Row],[Total Amount]]&gt;=1000),"High",TRUE,"Normal")</f>
        <v>Normal</v>
      </c>
      <c r="L532" s="4" t="str">
        <f>IF(Table15[[#This Row],[Total Amount]]&gt;=1000,"High",(IF(Table15[[#This Row],[Total Amount]]&gt;=500,"Medium","Low")))</f>
        <v>Medium</v>
      </c>
      <c r="M532" s="4" t="str" cm="1">
        <f t="array" ref="M53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32" s="4" cm="1">
        <f t="array" ref="N53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532" s="4">
        <f>Table15[[#This Row],[Total Amount]]-Table15[[#This Row],[Discount Amount]]</f>
        <v>425</v>
      </c>
    </row>
    <row r="533" spans="1:15" x14ac:dyDescent="0.35">
      <c r="A533" s="4">
        <v>532</v>
      </c>
      <c r="B533" s="5">
        <v>45096</v>
      </c>
      <c r="C533" s="4" t="s">
        <v>545</v>
      </c>
      <c r="D533" s="4" t="s">
        <v>13</v>
      </c>
      <c r="E533" s="4">
        <v>64</v>
      </c>
      <c r="F533" s="4" t="str">
        <f>IF(Table15[[#This Row],[Age]]&lt;=19,"Teenager",IF(Table15[[#This Row],[Age]]&lt;=40,"Median","Old"))</f>
        <v>Old</v>
      </c>
      <c r="G533" s="4" t="s">
        <v>14</v>
      </c>
      <c r="H533" s="4">
        <v>4</v>
      </c>
      <c r="I533" s="4">
        <v>30</v>
      </c>
      <c r="J533" s="4">
        <v>120</v>
      </c>
      <c r="K533" s="4" t="str" cm="1">
        <f t="array" ref="K533">_xlfn.IFS(AND(Table15[[#This Row],[Total Amount]]&gt;=1500),"Critical",AND(Table15[[#This Row],[Total Amount]]&gt;=1000),"High",TRUE,"Normal")</f>
        <v>Normal</v>
      </c>
      <c r="L533" s="4" t="str">
        <f>IF(Table15[[#This Row],[Total Amount]]&gt;=1000,"High",(IF(Table15[[#This Row],[Total Amount]]&gt;=500,"Medium","Low")))</f>
        <v>Low</v>
      </c>
      <c r="M533" s="4" t="str" cm="1">
        <f t="array" ref="M53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33" s="4" cm="1">
        <f t="array" ref="N53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533" s="4">
        <f>Table15[[#This Row],[Total Amount]]-Table15[[#This Row],[Discount Amount]]</f>
        <v>96</v>
      </c>
    </row>
    <row r="534" spans="1:15" x14ac:dyDescent="0.35">
      <c r="A534" s="4">
        <v>533</v>
      </c>
      <c r="B534" s="5">
        <v>45246</v>
      </c>
      <c r="C534" s="4" t="s">
        <v>546</v>
      </c>
      <c r="D534" s="4" t="s">
        <v>10</v>
      </c>
      <c r="E534" s="4">
        <v>19</v>
      </c>
      <c r="F534" s="4" t="str">
        <f>IF(Table15[[#This Row],[Age]]&lt;=19,"Teenager",IF(Table15[[#This Row],[Age]]&lt;=40,"Median","Old"))</f>
        <v>Teenager</v>
      </c>
      <c r="G534" s="4" t="s">
        <v>16</v>
      </c>
      <c r="H534" s="4">
        <v>3</v>
      </c>
      <c r="I534" s="4">
        <v>500</v>
      </c>
      <c r="J534" s="4">
        <v>1500</v>
      </c>
      <c r="K534" s="4" t="str" cm="1">
        <f t="array" ref="K534">_xlfn.IFS(AND(Table15[[#This Row],[Total Amount]]&gt;=1500),"Critical",AND(Table15[[#This Row],[Total Amount]]&gt;=1000),"High",TRUE,"Normal")</f>
        <v>Critical</v>
      </c>
      <c r="L534" s="4" t="str">
        <f>IF(Table15[[#This Row],[Total Amount]]&gt;=1000,"High",(IF(Table15[[#This Row],[Total Amount]]&gt;=500,"Medium","Low")))</f>
        <v>High</v>
      </c>
      <c r="M534" s="4" t="str" cm="1">
        <f t="array" ref="M53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34" s="4" cm="1">
        <f t="array" ref="N53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34" s="4">
        <f>Table15[[#This Row],[Total Amount]]-Table15[[#This Row],[Discount Amount]]</f>
        <v>1500</v>
      </c>
    </row>
    <row r="535" spans="1:15" x14ac:dyDescent="0.35">
      <c r="A535" s="4">
        <v>534</v>
      </c>
      <c r="B535" s="5">
        <v>45087</v>
      </c>
      <c r="C535" s="4" t="s">
        <v>547</v>
      </c>
      <c r="D535" s="4" t="s">
        <v>10</v>
      </c>
      <c r="E535" s="4">
        <v>45</v>
      </c>
      <c r="F535" s="4" t="str">
        <f>IF(Table15[[#This Row],[Age]]&lt;=19,"Teenager",IF(Table15[[#This Row],[Age]]&lt;=40,"Median","Old"))</f>
        <v>Old</v>
      </c>
      <c r="G535" s="4" t="s">
        <v>14</v>
      </c>
      <c r="H535" s="4">
        <v>2</v>
      </c>
      <c r="I535" s="4">
        <v>500</v>
      </c>
      <c r="J535" s="4">
        <v>1000</v>
      </c>
      <c r="K535" s="4" t="str" cm="1">
        <f t="array" ref="K535">_xlfn.IFS(AND(Table15[[#This Row],[Total Amount]]&gt;=1500),"Critical",AND(Table15[[#This Row],[Total Amount]]&gt;=1000),"High",TRUE,"Normal")</f>
        <v>High</v>
      </c>
      <c r="L535" s="4" t="str">
        <f>IF(Table15[[#This Row],[Total Amount]]&gt;=1000,"High",(IF(Table15[[#This Row],[Total Amount]]&gt;=500,"Medium","Low")))</f>
        <v>High</v>
      </c>
      <c r="M535" s="4" t="str" cm="1">
        <f t="array" ref="M53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35" s="4" cm="1">
        <f t="array" ref="N53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535" s="4">
        <f>Table15[[#This Row],[Total Amount]]-Table15[[#This Row],[Discount Amount]]</f>
        <v>900</v>
      </c>
    </row>
    <row r="536" spans="1:15" x14ac:dyDescent="0.35">
      <c r="A536" s="4">
        <v>535</v>
      </c>
      <c r="B536" s="5">
        <v>45266</v>
      </c>
      <c r="C536" s="4" t="s">
        <v>548</v>
      </c>
      <c r="D536" s="4" t="s">
        <v>10</v>
      </c>
      <c r="E536" s="4">
        <v>47</v>
      </c>
      <c r="F536" s="4" t="str">
        <f>IF(Table15[[#This Row],[Age]]&lt;=19,"Teenager",IF(Table15[[#This Row],[Age]]&lt;=40,"Median","Old"))</f>
        <v>Old</v>
      </c>
      <c r="G536" s="4" t="s">
        <v>11</v>
      </c>
      <c r="H536" s="4">
        <v>3</v>
      </c>
      <c r="I536" s="4">
        <v>30</v>
      </c>
      <c r="J536" s="4">
        <v>90</v>
      </c>
      <c r="K536" s="4" t="str" cm="1">
        <f t="array" ref="K536">_xlfn.IFS(AND(Table15[[#This Row],[Total Amount]]&gt;=1500),"Critical",AND(Table15[[#This Row],[Total Amount]]&gt;=1000),"High",TRUE,"Normal")</f>
        <v>Normal</v>
      </c>
      <c r="L536" s="4" t="str">
        <f>IF(Table15[[#This Row],[Total Amount]]&gt;=1000,"High",(IF(Table15[[#This Row],[Total Amount]]&gt;=500,"Medium","Low")))</f>
        <v>Low</v>
      </c>
      <c r="M536" s="4" t="str" cm="1">
        <f t="array" ref="M53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36" s="4" cm="1">
        <f t="array" ref="N53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536" s="4">
        <f>Table15[[#This Row],[Total Amount]]-Table15[[#This Row],[Discount Amount]]</f>
        <v>81</v>
      </c>
    </row>
    <row r="537" spans="1:15" x14ac:dyDescent="0.35">
      <c r="A537" s="4">
        <v>536</v>
      </c>
      <c r="B537" s="5">
        <v>44990</v>
      </c>
      <c r="C537" s="4" t="s">
        <v>549</v>
      </c>
      <c r="D537" s="4" t="s">
        <v>13</v>
      </c>
      <c r="E537" s="4">
        <v>55</v>
      </c>
      <c r="F537" s="4" t="str">
        <f>IF(Table15[[#This Row],[Age]]&lt;=19,"Teenager",IF(Table15[[#This Row],[Age]]&lt;=40,"Median","Old"))</f>
        <v>Old</v>
      </c>
      <c r="G537" s="4" t="s">
        <v>11</v>
      </c>
      <c r="H537" s="4">
        <v>4</v>
      </c>
      <c r="I537" s="4">
        <v>30</v>
      </c>
      <c r="J537" s="4">
        <v>120</v>
      </c>
      <c r="K537" s="4" t="str" cm="1">
        <f t="array" ref="K537">_xlfn.IFS(AND(Table15[[#This Row],[Total Amount]]&gt;=1500),"Critical",AND(Table15[[#This Row],[Total Amount]]&gt;=1000),"High",TRUE,"Normal")</f>
        <v>Normal</v>
      </c>
      <c r="L537" s="4" t="str">
        <f>IF(Table15[[#This Row],[Total Amount]]&gt;=1000,"High",(IF(Table15[[#This Row],[Total Amount]]&gt;=500,"Medium","Low")))</f>
        <v>Low</v>
      </c>
      <c r="M537" s="4" t="str" cm="1">
        <f t="array" ref="M53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37" s="4" cm="1">
        <f t="array" ref="N53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537" s="4">
        <f>Table15[[#This Row],[Total Amount]]-Table15[[#This Row],[Discount Amount]]</f>
        <v>96</v>
      </c>
    </row>
    <row r="538" spans="1:15" x14ac:dyDescent="0.35">
      <c r="A538" s="4">
        <v>537</v>
      </c>
      <c r="B538" s="5">
        <v>45080</v>
      </c>
      <c r="C538" s="4" t="s">
        <v>550</v>
      </c>
      <c r="D538" s="4" t="s">
        <v>13</v>
      </c>
      <c r="E538" s="4">
        <v>21</v>
      </c>
      <c r="F538" s="4" t="str">
        <f>IF(Table15[[#This Row],[Age]]&lt;=19,"Teenager",IF(Table15[[#This Row],[Age]]&lt;=40,"Median","Old"))</f>
        <v>Median</v>
      </c>
      <c r="G538" s="4" t="s">
        <v>11</v>
      </c>
      <c r="H538" s="4">
        <v>1</v>
      </c>
      <c r="I538" s="4">
        <v>500</v>
      </c>
      <c r="J538" s="4">
        <v>500</v>
      </c>
      <c r="K538" s="4" t="str" cm="1">
        <f t="array" ref="K538">_xlfn.IFS(AND(Table15[[#This Row],[Total Amount]]&gt;=1500),"Critical",AND(Table15[[#This Row],[Total Amount]]&gt;=1000),"High",TRUE,"Normal")</f>
        <v>Normal</v>
      </c>
      <c r="L538" s="4" t="str">
        <f>IF(Table15[[#This Row],[Total Amount]]&gt;=1000,"High",(IF(Table15[[#This Row],[Total Amount]]&gt;=500,"Medium","Low")))</f>
        <v>Medium</v>
      </c>
      <c r="M538" s="4" t="str" cm="1">
        <f t="array" ref="M53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38" s="4" cm="1">
        <f t="array" ref="N53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38" s="4">
        <f>Table15[[#This Row],[Total Amount]]-Table15[[#This Row],[Discount Amount]]</f>
        <v>500</v>
      </c>
    </row>
    <row r="539" spans="1:15" x14ac:dyDescent="0.35">
      <c r="A539" s="4">
        <v>538</v>
      </c>
      <c r="B539" s="5">
        <v>45186</v>
      </c>
      <c r="C539" s="4" t="s">
        <v>551</v>
      </c>
      <c r="D539" s="4" t="s">
        <v>10</v>
      </c>
      <c r="E539" s="4">
        <v>18</v>
      </c>
      <c r="F539" s="4" t="str">
        <f>IF(Table15[[#This Row],[Age]]&lt;=19,"Teenager",IF(Table15[[#This Row],[Age]]&lt;=40,"Median","Old"))</f>
        <v>Teenager</v>
      </c>
      <c r="G539" s="4" t="s">
        <v>14</v>
      </c>
      <c r="H539" s="4">
        <v>3</v>
      </c>
      <c r="I539" s="4">
        <v>50</v>
      </c>
      <c r="J539" s="4">
        <v>150</v>
      </c>
      <c r="K539" s="4" t="str" cm="1">
        <f t="array" ref="K539">_xlfn.IFS(AND(Table15[[#This Row],[Total Amount]]&gt;=1500),"Critical",AND(Table15[[#This Row],[Total Amount]]&gt;=1000),"High",TRUE,"Normal")</f>
        <v>Normal</v>
      </c>
      <c r="L539" s="4" t="str">
        <f>IF(Table15[[#This Row],[Total Amount]]&gt;=1000,"High",(IF(Table15[[#This Row],[Total Amount]]&gt;=500,"Medium","Low")))</f>
        <v>Low</v>
      </c>
      <c r="M539" s="4" t="str" cm="1">
        <f t="array" ref="M53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39" s="4" cm="1">
        <f t="array" ref="N53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39" s="4">
        <f>Table15[[#This Row],[Total Amount]]-Table15[[#This Row],[Discount Amount]]</f>
        <v>150</v>
      </c>
    </row>
    <row r="540" spans="1:15" x14ac:dyDescent="0.35">
      <c r="A540" s="4">
        <v>539</v>
      </c>
      <c r="B540" s="5">
        <v>45085</v>
      </c>
      <c r="C540" s="4" t="s">
        <v>552</v>
      </c>
      <c r="D540" s="4" t="s">
        <v>10</v>
      </c>
      <c r="E540" s="4">
        <v>25</v>
      </c>
      <c r="F540" s="4" t="str">
        <f>IF(Table15[[#This Row],[Age]]&lt;=19,"Teenager",IF(Table15[[#This Row],[Age]]&lt;=40,"Median","Old"))</f>
        <v>Median</v>
      </c>
      <c r="G540" s="4" t="s">
        <v>11</v>
      </c>
      <c r="H540" s="4">
        <v>1</v>
      </c>
      <c r="I540" s="4">
        <v>500</v>
      </c>
      <c r="J540" s="4">
        <v>500</v>
      </c>
      <c r="K540" s="4" t="str" cm="1">
        <f t="array" ref="K540">_xlfn.IFS(AND(Table15[[#This Row],[Total Amount]]&gt;=1500),"Critical",AND(Table15[[#This Row],[Total Amount]]&gt;=1000),"High",TRUE,"Normal")</f>
        <v>Normal</v>
      </c>
      <c r="L540" s="4" t="str">
        <f>IF(Table15[[#This Row],[Total Amount]]&gt;=1000,"High",(IF(Table15[[#This Row],[Total Amount]]&gt;=500,"Medium","Low")))</f>
        <v>Medium</v>
      </c>
      <c r="M540" s="4" t="str" cm="1">
        <f t="array" ref="M54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40" s="4" cm="1">
        <f t="array" ref="N54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540" s="4">
        <f>Table15[[#This Row],[Total Amount]]-Table15[[#This Row],[Discount Amount]]</f>
        <v>425</v>
      </c>
    </row>
    <row r="541" spans="1:15" x14ac:dyDescent="0.35">
      <c r="A541" s="4">
        <v>540</v>
      </c>
      <c r="B541" s="5">
        <v>45268</v>
      </c>
      <c r="C541" s="4" t="s">
        <v>553</v>
      </c>
      <c r="D541" s="4" t="s">
        <v>13</v>
      </c>
      <c r="E541" s="4">
        <v>46</v>
      </c>
      <c r="F541" s="4" t="str">
        <f>IF(Table15[[#This Row],[Age]]&lt;=19,"Teenager",IF(Table15[[#This Row],[Age]]&lt;=40,"Median","Old"))</f>
        <v>Old</v>
      </c>
      <c r="G541" s="4" t="s">
        <v>16</v>
      </c>
      <c r="H541" s="4">
        <v>3</v>
      </c>
      <c r="I541" s="4">
        <v>300</v>
      </c>
      <c r="J541" s="4">
        <v>900</v>
      </c>
      <c r="K541" s="4" t="str" cm="1">
        <f t="array" ref="K541">_xlfn.IFS(AND(Table15[[#This Row],[Total Amount]]&gt;=1500),"Critical",AND(Table15[[#This Row],[Total Amount]]&gt;=1000),"High",TRUE,"Normal")</f>
        <v>Normal</v>
      </c>
      <c r="L541" s="4" t="str">
        <f>IF(Table15[[#This Row],[Total Amount]]&gt;=1000,"High",(IF(Table15[[#This Row],[Total Amount]]&gt;=500,"Medium","Low")))</f>
        <v>Medium</v>
      </c>
      <c r="M541" s="4" t="str" cm="1">
        <f t="array" ref="M54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41" s="4" cm="1">
        <f t="array" ref="N54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541" s="4">
        <f>Table15[[#This Row],[Total Amount]]-Table15[[#This Row],[Discount Amount]]</f>
        <v>720</v>
      </c>
    </row>
    <row r="542" spans="1:15" x14ac:dyDescent="0.35">
      <c r="A542" s="4">
        <v>541</v>
      </c>
      <c r="B542" s="5">
        <v>45136</v>
      </c>
      <c r="C542" s="4" t="s">
        <v>554</v>
      </c>
      <c r="D542" s="4" t="s">
        <v>10</v>
      </c>
      <c r="E542" s="4">
        <v>56</v>
      </c>
      <c r="F542" s="4" t="str">
        <f>IF(Table15[[#This Row],[Age]]&lt;=19,"Teenager",IF(Table15[[#This Row],[Age]]&lt;=40,"Median","Old"))</f>
        <v>Old</v>
      </c>
      <c r="G542" s="4" t="s">
        <v>11</v>
      </c>
      <c r="H542" s="4">
        <v>1</v>
      </c>
      <c r="I542" s="4">
        <v>500</v>
      </c>
      <c r="J542" s="4">
        <v>500</v>
      </c>
      <c r="K542" s="4" t="str" cm="1">
        <f t="array" ref="K542">_xlfn.IFS(AND(Table15[[#This Row],[Total Amount]]&gt;=1500),"Critical",AND(Table15[[#This Row],[Total Amount]]&gt;=1000),"High",TRUE,"Normal")</f>
        <v>Normal</v>
      </c>
      <c r="L542" s="4" t="str">
        <f>IF(Table15[[#This Row],[Total Amount]]&gt;=1000,"High",(IF(Table15[[#This Row],[Total Amount]]&gt;=500,"Medium","Low")))</f>
        <v>Medium</v>
      </c>
      <c r="M542" s="4" t="str" cm="1">
        <f t="array" ref="M54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42" s="4" cm="1">
        <f t="array" ref="N54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542" s="4">
        <f>Table15[[#This Row],[Total Amount]]-Table15[[#This Row],[Discount Amount]]</f>
        <v>450</v>
      </c>
    </row>
    <row r="543" spans="1:15" x14ac:dyDescent="0.35">
      <c r="A543" s="4">
        <v>542</v>
      </c>
      <c r="B543" s="5">
        <v>45094</v>
      </c>
      <c r="C543" s="4" t="s">
        <v>555</v>
      </c>
      <c r="D543" s="4" t="s">
        <v>13</v>
      </c>
      <c r="E543" s="4">
        <v>20</v>
      </c>
      <c r="F543" s="4" t="str">
        <f>IF(Table15[[#This Row],[Age]]&lt;=19,"Teenager",IF(Table15[[#This Row],[Age]]&lt;=40,"Median","Old"))</f>
        <v>Median</v>
      </c>
      <c r="G543" s="4" t="s">
        <v>11</v>
      </c>
      <c r="H543" s="4">
        <v>1</v>
      </c>
      <c r="I543" s="4">
        <v>50</v>
      </c>
      <c r="J543" s="4">
        <v>50</v>
      </c>
      <c r="K543" s="4" t="str" cm="1">
        <f t="array" ref="K543">_xlfn.IFS(AND(Table15[[#This Row],[Total Amount]]&gt;=1500),"Critical",AND(Table15[[#This Row],[Total Amount]]&gt;=1000),"High",TRUE,"Normal")</f>
        <v>Normal</v>
      </c>
      <c r="L543" s="4" t="str">
        <f>IF(Table15[[#This Row],[Total Amount]]&gt;=1000,"High",(IF(Table15[[#This Row],[Total Amount]]&gt;=500,"Medium","Low")))</f>
        <v>Low</v>
      </c>
      <c r="M543" s="4" t="str" cm="1">
        <f t="array" ref="M54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43" s="4" cm="1">
        <f t="array" ref="N54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43" s="4">
        <f>Table15[[#This Row],[Total Amount]]-Table15[[#This Row],[Discount Amount]]</f>
        <v>50</v>
      </c>
    </row>
    <row r="544" spans="1:15" x14ac:dyDescent="0.35">
      <c r="A544" s="4">
        <v>543</v>
      </c>
      <c r="B544" s="5">
        <v>45133</v>
      </c>
      <c r="C544" s="4" t="s">
        <v>556</v>
      </c>
      <c r="D544" s="4" t="s">
        <v>10</v>
      </c>
      <c r="E544" s="4">
        <v>49</v>
      </c>
      <c r="F544" s="4" t="str">
        <f>IF(Table15[[#This Row],[Age]]&lt;=19,"Teenager",IF(Table15[[#This Row],[Age]]&lt;=40,"Median","Old"))</f>
        <v>Old</v>
      </c>
      <c r="G544" s="4" t="s">
        <v>11</v>
      </c>
      <c r="H544" s="4">
        <v>2</v>
      </c>
      <c r="I544" s="4">
        <v>300</v>
      </c>
      <c r="J544" s="4">
        <v>600</v>
      </c>
      <c r="K544" s="4" t="str" cm="1">
        <f t="array" ref="K544">_xlfn.IFS(AND(Table15[[#This Row],[Total Amount]]&gt;=1500),"Critical",AND(Table15[[#This Row],[Total Amount]]&gt;=1000),"High",TRUE,"Normal")</f>
        <v>Normal</v>
      </c>
      <c r="L544" s="4" t="str">
        <f>IF(Table15[[#This Row],[Total Amount]]&gt;=1000,"High",(IF(Table15[[#This Row],[Total Amount]]&gt;=500,"Medium","Low")))</f>
        <v>Medium</v>
      </c>
      <c r="M544" s="4" t="str" cm="1">
        <f t="array" ref="M54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44" s="4" cm="1">
        <f t="array" ref="N54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544" s="4">
        <f>Table15[[#This Row],[Total Amount]]-Table15[[#This Row],[Discount Amount]]</f>
        <v>540</v>
      </c>
    </row>
    <row r="545" spans="1:15" x14ac:dyDescent="0.35">
      <c r="A545" s="4">
        <v>544</v>
      </c>
      <c r="B545" s="5">
        <v>45283</v>
      </c>
      <c r="C545" s="4" t="s">
        <v>557</v>
      </c>
      <c r="D545" s="4" t="s">
        <v>13</v>
      </c>
      <c r="E545" s="4">
        <v>27</v>
      </c>
      <c r="F545" s="4" t="str">
        <f>IF(Table15[[#This Row],[Age]]&lt;=19,"Teenager",IF(Table15[[#This Row],[Age]]&lt;=40,"Median","Old"))</f>
        <v>Median</v>
      </c>
      <c r="G545" s="4" t="s">
        <v>16</v>
      </c>
      <c r="H545" s="4">
        <v>1</v>
      </c>
      <c r="I545" s="4">
        <v>25</v>
      </c>
      <c r="J545" s="4">
        <v>25</v>
      </c>
      <c r="K545" s="4" t="str" cm="1">
        <f t="array" ref="K545">_xlfn.IFS(AND(Table15[[#This Row],[Total Amount]]&gt;=1500),"Critical",AND(Table15[[#This Row],[Total Amount]]&gt;=1000),"High",TRUE,"Normal")</f>
        <v>Normal</v>
      </c>
      <c r="L545" s="4" t="str">
        <f>IF(Table15[[#This Row],[Total Amount]]&gt;=1000,"High",(IF(Table15[[#This Row],[Total Amount]]&gt;=500,"Medium","Low")))</f>
        <v>Low</v>
      </c>
      <c r="M545" s="4" t="str" cm="1">
        <f t="array" ref="M54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45" s="4" cm="1">
        <f t="array" ref="N54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3.75</v>
      </c>
      <c r="O545" s="4">
        <f>Table15[[#This Row],[Total Amount]]-Table15[[#This Row],[Discount Amount]]</f>
        <v>21.25</v>
      </c>
    </row>
    <row r="546" spans="1:15" x14ac:dyDescent="0.35">
      <c r="A546" s="4">
        <v>545</v>
      </c>
      <c r="B546" s="5">
        <v>45078</v>
      </c>
      <c r="C546" s="4" t="s">
        <v>558</v>
      </c>
      <c r="D546" s="4" t="s">
        <v>10</v>
      </c>
      <c r="E546" s="4">
        <v>27</v>
      </c>
      <c r="F546" s="4" t="str">
        <f>IF(Table15[[#This Row],[Age]]&lt;=19,"Teenager",IF(Table15[[#This Row],[Age]]&lt;=40,"Median","Old"))</f>
        <v>Median</v>
      </c>
      <c r="G546" s="4" t="s">
        <v>14</v>
      </c>
      <c r="H546" s="4">
        <v>2</v>
      </c>
      <c r="I546" s="4">
        <v>25</v>
      </c>
      <c r="J546" s="4">
        <v>50</v>
      </c>
      <c r="K546" s="4" t="str" cm="1">
        <f t="array" ref="K546">_xlfn.IFS(AND(Table15[[#This Row],[Total Amount]]&gt;=1500),"Critical",AND(Table15[[#This Row],[Total Amount]]&gt;=1000),"High",TRUE,"Normal")</f>
        <v>Normal</v>
      </c>
      <c r="L546" s="4" t="str">
        <f>IF(Table15[[#This Row],[Total Amount]]&gt;=1000,"High",(IF(Table15[[#This Row],[Total Amount]]&gt;=500,"Medium","Low")))</f>
        <v>Low</v>
      </c>
      <c r="M546" s="4" t="str" cm="1">
        <f t="array" ref="M54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46" s="4" cm="1">
        <f t="array" ref="N54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546" s="4">
        <f>Table15[[#This Row],[Total Amount]]-Table15[[#This Row],[Discount Amount]]</f>
        <v>42.5</v>
      </c>
    </row>
    <row r="547" spans="1:15" x14ac:dyDescent="0.35">
      <c r="A547" s="4">
        <v>546</v>
      </c>
      <c r="B547" s="5">
        <v>45210</v>
      </c>
      <c r="C547" s="4" t="s">
        <v>559</v>
      </c>
      <c r="D547" s="4" t="s">
        <v>13</v>
      </c>
      <c r="E547" s="4">
        <v>36</v>
      </c>
      <c r="F547" s="4" t="str">
        <f>IF(Table15[[#This Row],[Age]]&lt;=19,"Teenager",IF(Table15[[#This Row],[Age]]&lt;=40,"Median","Old"))</f>
        <v>Median</v>
      </c>
      <c r="G547" s="4" t="s">
        <v>16</v>
      </c>
      <c r="H547" s="4">
        <v>4</v>
      </c>
      <c r="I547" s="4">
        <v>50</v>
      </c>
      <c r="J547" s="4">
        <v>200</v>
      </c>
      <c r="K547" s="4" t="str" cm="1">
        <f t="array" ref="K547">_xlfn.IFS(AND(Table15[[#This Row],[Total Amount]]&gt;=1500),"Critical",AND(Table15[[#This Row],[Total Amount]]&gt;=1000),"High",TRUE,"Normal")</f>
        <v>Normal</v>
      </c>
      <c r="L547" s="4" t="str">
        <f>IF(Table15[[#This Row],[Total Amount]]&gt;=1000,"High",(IF(Table15[[#This Row],[Total Amount]]&gt;=500,"Medium","Low")))</f>
        <v>Low</v>
      </c>
      <c r="M547" s="4" t="str" cm="1">
        <f t="array" ref="M54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47" s="4" cm="1">
        <f t="array" ref="N54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547" s="4">
        <f>Table15[[#This Row],[Total Amount]]-Table15[[#This Row],[Discount Amount]]</f>
        <v>160</v>
      </c>
    </row>
    <row r="548" spans="1:15" x14ac:dyDescent="0.35">
      <c r="A548" s="4">
        <v>547</v>
      </c>
      <c r="B548" s="5">
        <v>44992</v>
      </c>
      <c r="C548" s="4" t="s">
        <v>560</v>
      </c>
      <c r="D548" s="4" t="s">
        <v>10</v>
      </c>
      <c r="E548" s="4">
        <v>63</v>
      </c>
      <c r="F548" s="4" t="str">
        <f>IF(Table15[[#This Row],[Age]]&lt;=19,"Teenager",IF(Table15[[#This Row],[Age]]&lt;=40,"Median","Old"))</f>
        <v>Old</v>
      </c>
      <c r="G548" s="4" t="s">
        <v>14</v>
      </c>
      <c r="H548" s="4">
        <v>4</v>
      </c>
      <c r="I548" s="4">
        <v>500</v>
      </c>
      <c r="J548" s="4">
        <v>2000</v>
      </c>
      <c r="K548" s="4" t="str" cm="1">
        <f t="array" ref="K548">_xlfn.IFS(AND(Table15[[#This Row],[Total Amount]]&gt;=1500),"Critical",AND(Table15[[#This Row],[Total Amount]]&gt;=1000),"High",TRUE,"Normal")</f>
        <v>Critical</v>
      </c>
      <c r="L548" s="4" t="str">
        <f>IF(Table15[[#This Row],[Total Amount]]&gt;=1000,"High",(IF(Table15[[#This Row],[Total Amount]]&gt;=500,"Medium","Low")))</f>
        <v>High</v>
      </c>
      <c r="M548" s="4" t="str" cm="1">
        <f t="array" ref="M54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48" s="4" cm="1">
        <f t="array" ref="N54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548" s="4">
        <f>Table15[[#This Row],[Total Amount]]-Table15[[#This Row],[Discount Amount]]</f>
        <v>1800</v>
      </c>
    </row>
    <row r="549" spans="1:15" x14ac:dyDescent="0.35">
      <c r="A549" s="4">
        <v>548</v>
      </c>
      <c r="B549" s="5">
        <v>45025</v>
      </c>
      <c r="C549" s="4" t="s">
        <v>561</v>
      </c>
      <c r="D549" s="4" t="s">
        <v>13</v>
      </c>
      <c r="E549" s="4">
        <v>51</v>
      </c>
      <c r="F549" s="4" t="str">
        <f>IF(Table15[[#This Row],[Age]]&lt;=19,"Teenager",IF(Table15[[#This Row],[Age]]&lt;=40,"Median","Old"))</f>
        <v>Old</v>
      </c>
      <c r="G549" s="4" t="s">
        <v>14</v>
      </c>
      <c r="H549" s="4">
        <v>2</v>
      </c>
      <c r="I549" s="4">
        <v>30</v>
      </c>
      <c r="J549" s="4">
        <v>60</v>
      </c>
      <c r="K549" s="4" t="str" cm="1">
        <f t="array" ref="K549">_xlfn.IFS(AND(Table15[[#This Row],[Total Amount]]&gt;=1500),"Critical",AND(Table15[[#This Row],[Total Amount]]&gt;=1000),"High",TRUE,"Normal")</f>
        <v>Normal</v>
      </c>
      <c r="L549" s="4" t="str">
        <f>IF(Table15[[#This Row],[Total Amount]]&gt;=1000,"High",(IF(Table15[[#This Row],[Total Amount]]&gt;=500,"Medium","Low")))</f>
        <v>Low</v>
      </c>
      <c r="M549" s="4" t="str" cm="1">
        <f t="array" ref="M54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49" s="4" cm="1">
        <f t="array" ref="N54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549" s="4">
        <f>Table15[[#This Row],[Total Amount]]-Table15[[#This Row],[Discount Amount]]</f>
        <v>48</v>
      </c>
    </row>
    <row r="550" spans="1:15" x14ac:dyDescent="0.35">
      <c r="A550" s="4">
        <v>549</v>
      </c>
      <c r="B550" s="5">
        <v>45142</v>
      </c>
      <c r="C550" s="4" t="s">
        <v>562</v>
      </c>
      <c r="D550" s="4" t="s">
        <v>13</v>
      </c>
      <c r="E550" s="4">
        <v>50</v>
      </c>
      <c r="F550" s="4" t="str">
        <f>IF(Table15[[#This Row],[Age]]&lt;=19,"Teenager",IF(Table15[[#This Row],[Age]]&lt;=40,"Median","Old"))</f>
        <v>Old</v>
      </c>
      <c r="G550" s="4" t="s">
        <v>11</v>
      </c>
      <c r="H550" s="4">
        <v>2</v>
      </c>
      <c r="I550" s="4">
        <v>50</v>
      </c>
      <c r="J550" s="4">
        <v>100</v>
      </c>
      <c r="K550" s="4" t="str" cm="1">
        <f t="array" ref="K550">_xlfn.IFS(AND(Table15[[#This Row],[Total Amount]]&gt;=1500),"Critical",AND(Table15[[#This Row],[Total Amount]]&gt;=1000),"High",TRUE,"Normal")</f>
        <v>Normal</v>
      </c>
      <c r="L550" s="4" t="str">
        <f>IF(Table15[[#This Row],[Total Amount]]&gt;=1000,"High",(IF(Table15[[#This Row],[Total Amount]]&gt;=500,"Medium","Low")))</f>
        <v>Low</v>
      </c>
      <c r="M550" s="4" t="str" cm="1">
        <f t="array" ref="M55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50" s="4" cm="1">
        <f t="array" ref="N55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550" s="4">
        <f>Table15[[#This Row],[Total Amount]]-Table15[[#This Row],[Discount Amount]]</f>
        <v>80</v>
      </c>
    </row>
    <row r="551" spans="1:15" x14ac:dyDescent="0.35">
      <c r="A551" s="4">
        <v>550</v>
      </c>
      <c r="B551" s="5">
        <v>45267</v>
      </c>
      <c r="C551" s="4" t="s">
        <v>563</v>
      </c>
      <c r="D551" s="4" t="s">
        <v>10</v>
      </c>
      <c r="E551" s="4">
        <v>40</v>
      </c>
      <c r="F551" s="4" t="str">
        <f>IF(Table15[[#This Row],[Age]]&lt;=19,"Teenager",IF(Table15[[#This Row],[Age]]&lt;=40,"Median","Old"))</f>
        <v>Median</v>
      </c>
      <c r="G551" s="4" t="s">
        <v>14</v>
      </c>
      <c r="H551" s="4">
        <v>3</v>
      </c>
      <c r="I551" s="4">
        <v>300</v>
      </c>
      <c r="J551" s="4">
        <v>900</v>
      </c>
      <c r="K551" s="4" t="str" cm="1">
        <f t="array" ref="K551">_xlfn.IFS(AND(Table15[[#This Row],[Total Amount]]&gt;=1500),"Critical",AND(Table15[[#This Row],[Total Amount]]&gt;=1000),"High",TRUE,"Normal")</f>
        <v>Normal</v>
      </c>
      <c r="L551" s="4" t="str">
        <f>IF(Table15[[#This Row],[Total Amount]]&gt;=1000,"High",(IF(Table15[[#This Row],[Total Amount]]&gt;=500,"Medium","Low")))</f>
        <v>Medium</v>
      </c>
      <c r="M551" s="4" t="str" cm="1">
        <f t="array" ref="M55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51" s="4" cm="1">
        <f t="array" ref="N55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551" s="4">
        <f>Table15[[#This Row],[Total Amount]]-Table15[[#This Row],[Discount Amount]]</f>
        <v>810</v>
      </c>
    </row>
    <row r="552" spans="1:15" x14ac:dyDescent="0.35">
      <c r="A552" s="4">
        <v>551</v>
      </c>
      <c r="B552" s="5">
        <v>45121</v>
      </c>
      <c r="C552" s="4" t="s">
        <v>564</v>
      </c>
      <c r="D552" s="4" t="s">
        <v>10</v>
      </c>
      <c r="E552" s="4">
        <v>45</v>
      </c>
      <c r="F552" s="4" t="str">
        <f>IF(Table15[[#This Row],[Age]]&lt;=19,"Teenager",IF(Table15[[#This Row],[Age]]&lt;=40,"Median","Old"))</f>
        <v>Old</v>
      </c>
      <c r="G552" s="4" t="s">
        <v>16</v>
      </c>
      <c r="H552" s="4">
        <v>3</v>
      </c>
      <c r="I552" s="4">
        <v>300</v>
      </c>
      <c r="J552" s="4">
        <v>900</v>
      </c>
      <c r="K552" s="4" t="str" cm="1">
        <f t="array" ref="K552">_xlfn.IFS(AND(Table15[[#This Row],[Total Amount]]&gt;=1500),"Critical",AND(Table15[[#This Row],[Total Amount]]&gt;=1000),"High",TRUE,"Normal")</f>
        <v>Normal</v>
      </c>
      <c r="L552" s="4" t="str">
        <f>IF(Table15[[#This Row],[Total Amount]]&gt;=1000,"High",(IF(Table15[[#This Row],[Total Amount]]&gt;=500,"Medium","Low")))</f>
        <v>Medium</v>
      </c>
      <c r="M552" s="4" t="str" cm="1">
        <f t="array" ref="M55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52" s="4" cm="1">
        <f t="array" ref="N55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552" s="4">
        <f>Table15[[#This Row],[Total Amount]]-Table15[[#This Row],[Discount Amount]]</f>
        <v>810</v>
      </c>
    </row>
    <row r="553" spans="1:15" x14ac:dyDescent="0.35">
      <c r="A553" s="4">
        <v>552</v>
      </c>
      <c r="B553" s="5">
        <v>45273</v>
      </c>
      <c r="C553" s="4" t="s">
        <v>565</v>
      </c>
      <c r="D553" s="4" t="s">
        <v>13</v>
      </c>
      <c r="E553" s="4">
        <v>49</v>
      </c>
      <c r="F553" s="4" t="str">
        <f>IF(Table15[[#This Row],[Age]]&lt;=19,"Teenager",IF(Table15[[#This Row],[Age]]&lt;=40,"Median","Old"))</f>
        <v>Old</v>
      </c>
      <c r="G553" s="4" t="s">
        <v>16</v>
      </c>
      <c r="H553" s="4">
        <v>3</v>
      </c>
      <c r="I553" s="4">
        <v>25</v>
      </c>
      <c r="J553" s="4">
        <v>75</v>
      </c>
      <c r="K553" s="4" t="str" cm="1">
        <f t="array" ref="K553">_xlfn.IFS(AND(Table15[[#This Row],[Total Amount]]&gt;=1500),"Critical",AND(Table15[[#This Row],[Total Amount]]&gt;=1000),"High",TRUE,"Normal")</f>
        <v>Normal</v>
      </c>
      <c r="L553" s="4" t="str">
        <f>IF(Table15[[#This Row],[Total Amount]]&gt;=1000,"High",(IF(Table15[[#This Row],[Total Amount]]&gt;=500,"Medium","Low")))</f>
        <v>Low</v>
      </c>
      <c r="M553" s="4" t="str" cm="1">
        <f t="array" ref="M55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53" s="4" cm="1">
        <f t="array" ref="N55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553" s="4">
        <f>Table15[[#This Row],[Total Amount]]-Table15[[#This Row],[Discount Amount]]</f>
        <v>60</v>
      </c>
    </row>
    <row r="554" spans="1:15" x14ac:dyDescent="0.35">
      <c r="A554" s="4">
        <v>553</v>
      </c>
      <c r="B554" s="5">
        <v>45016</v>
      </c>
      <c r="C554" s="4" t="s">
        <v>566</v>
      </c>
      <c r="D554" s="4" t="s">
        <v>10</v>
      </c>
      <c r="E554" s="4">
        <v>24</v>
      </c>
      <c r="F554" s="4" t="str">
        <f>IF(Table15[[#This Row],[Age]]&lt;=19,"Teenager",IF(Table15[[#This Row],[Age]]&lt;=40,"Median","Old"))</f>
        <v>Median</v>
      </c>
      <c r="G554" s="4" t="s">
        <v>14</v>
      </c>
      <c r="H554" s="4">
        <v>4</v>
      </c>
      <c r="I554" s="4">
        <v>300</v>
      </c>
      <c r="J554" s="4">
        <v>1200</v>
      </c>
      <c r="K554" s="4" t="str" cm="1">
        <f t="array" ref="K554">_xlfn.IFS(AND(Table15[[#This Row],[Total Amount]]&gt;=1500),"Critical",AND(Table15[[#This Row],[Total Amount]]&gt;=1000),"High",TRUE,"Normal")</f>
        <v>High</v>
      </c>
      <c r="L554" s="4" t="str">
        <f>IF(Table15[[#This Row],[Total Amount]]&gt;=1000,"High",(IF(Table15[[#This Row],[Total Amount]]&gt;=500,"Medium","Low")))</f>
        <v>High</v>
      </c>
      <c r="M554" s="4" t="str" cm="1">
        <f t="array" ref="M55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54" s="4" cm="1">
        <f t="array" ref="N55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54" s="4">
        <f>Table15[[#This Row],[Total Amount]]-Table15[[#This Row],[Discount Amount]]</f>
        <v>1200</v>
      </c>
    </row>
    <row r="555" spans="1:15" x14ac:dyDescent="0.35">
      <c r="A555" s="4">
        <v>554</v>
      </c>
      <c r="B555" s="5">
        <v>45242</v>
      </c>
      <c r="C555" s="4" t="s">
        <v>567</v>
      </c>
      <c r="D555" s="4" t="s">
        <v>13</v>
      </c>
      <c r="E555" s="4">
        <v>46</v>
      </c>
      <c r="F555" s="4" t="str">
        <f>IF(Table15[[#This Row],[Age]]&lt;=19,"Teenager",IF(Table15[[#This Row],[Age]]&lt;=40,"Median","Old"))</f>
        <v>Old</v>
      </c>
      <c r="G555" s="4" t="s">
        <v>11</v>
      </c>
      <c r="H555" s="4">
        <v>3</v>
      </c>
      <c r="I555" s="4">
        <v>50</v>
      </c>
      <c r="J555" s="4">
        <v>150</v>
      </c>
      <c r="K555" s="4" t="str" cm="1">
        <f t="array" ref="K555">_xlfn.IFS(AND(Table15[[#This Row],[Total Amount]]&gt;=1500),"Critical",AND(Table15[[#This Row],[Total Amount]]&gt;=1000),"High",TRUE,"Normal")</f>
        <v>Normal</v>
      </c>
      <c r="L555" s="4" t="str">
        <f>IF(Table15[[#This Row],[Total Amount]]&gt;=1000,"High",(IF(Table15[[#This Row],[Total Amount]]&gt;=500,"Medium","Low")))</f>
        <v>Low</v>
      </c>
      <c r="M555" s="4" t="str" cm="1">
        <f t="array" ref="M55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55" s="4" cm="1">
        <f t="array" ref="N55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555" s="4">
        <f>Table15[[#This Row],[Total Amount]]-Table15[[#This Row],[Discount Amount]]</f>
        <v>120</v>
      </c>
    </row>
    <row r="556" spans="1:15" x14ac:dyDescent="0.35">
      <c r="A556" s="4">
        <v>555</v>
      </c>
      <c r="B556" s="5">
        <v>45218</v>
      </c>
      <c r="C556" s="4" t="s">
        <v>568</v>
      </c>
      <c r="D556" s="4" t="s">
        <v>10</v>
      </c>
      <c r="E556" s="4">
        <v>25</v>
      </c>
      <c r="F556" s="4" t="str">
        <f>IF(Table15[[#This Row],[Age]]&lt;=19,"Teenager",IF(Table15[[#This Row],[Age]]&lt;=40,"Median","Old"))</f>
        <v>Median</v>
      </c>
      <c r="G556" s="4" t="s">
        <v>11</v>
      </c>
      <c r="H556" s="4">
        <v>1</v>
      </c>
      <c r="I556" s="4">
        <v>300</v>
      </c>
      <c r="J556" s="4">
        <v>300</v>
      </c>
      <c r="K556" s="4" t="str" cm="1">
        <f t="array" ref="K556">_xlfn.IFS(AND(Table15[[#This Row],[Total Amount]]&gt;=1500),"Critical",AND(Table15[[#This Row],[Total Amount]]&gt;=1000),"High",TRUE,"Normal")</f>
        <v>Normal</v>
      </c>
      <c r="L556" s="4" t="str">
        <f>IF(Table15[[#This Row],[Total Amount]]&gt;=1000,"High",(IF(Table15[[#This Row],[Total Amount]]&gt;=500,"Medium","Low")))</f>
        <v>Low</v>
      </c>
      <c r="M556" s="4" t="str" cm="1">
        <f t="array" ref="M55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56" s="4" cm="1">
        <f t="array" ref="N55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45</v>
      </c>
      <c r="O556" s="4">
        <f>Table15[[#This Row],[Total Amount]]-Table15[[#This Row],[Discount Amount]]</f>
        <v>255</v>
      </c>
    </row>
    <row r="557" spans="1:15" x14ac:dyDescent="0.35">
      <c r="A557" s="4">
        <v>556</v>
      </c>
      <c r="B557" s="5">
        <v>45081</v>
      </c>
      <c r="C557" s="4" t="s">
        <v>569</v>
      </c>
      <c r="D557" s="4" t="s">
        <v>13</v>
      </c>
      <c r="E557" s="4">
        <v>18</v>
      </c>
      <c r="F557" s="4" t="str">
        <f>IF(Table15[[#This Row],[Age]]&lt;=19,"Teenager",IF(Table15[[#This Row],[Age]]&lt;=40,"Median","Old"))</f>
        <v>Teenager</v>
      </c>
      <c r="G557" s="4" t="s">
        <v>16</v>
      </c>
      <c r="H557" s="4">
        <v>1</v>
      </c>
      <c r="I557" s="4">
        <v>50</v>
      </c>
      <c r="J557" s="4">
        <v>50</v>
      </c>
      <c r="K557" s="4" t="str" cm="1">
        <f t="array" ref="K557">_xlfn.IFS(AND(Table15[[#This Row],[Total Amount]]&gt;=1500),"Critical",AND(Table15[[#This Row],[Total Amount]]&gt;=1000),"High",TRUE,"Normal")</f>
        <v>Normal</v>
      </c>
      <c r="L557" s="4" t="str">
        <f>IF(Table15[[#This Row],[Total Amount]]&gt;=1000,"High",(IF(Table15[[#This Row],[Total Amount]]&gt;=500,"Medium","Low")))</f>
        <v>Low</v>
      </c>
      <c r="M557" s="4" t="str" cm="1">
        <f t="array" ref="M55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57" s="4" cm="1">
        <f t="array" ref="N55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57" s="4">
        <f>Table15[[#This Row],[Total Amount]]-Table15[[#This Row],[Discount Amount]]</f>
        <v>50</v>
      </c>
    </row>
    <row r="558" spans="1:15" x14ac:dyDescent="0.35">
      <c r="A558" s="4">
        <v>557</v>
      </c>
      <c r="B558" s="5">
        <v>45134</v>
      </c>
      <c r="C558" s="4" t="s">
        <v>570</v>
      </c>
      <c r="D558" s="4" t="s">
        <v>13</v>
      </c>
      <c r="E558" s="4">
        <v>20</v>
      </c>
      <c r="F558" s="4" t="str">
        <f>IF(Table15[[#This Row],[Age]]&lt;=19,"Teenager",IF(Table15[[#This Row],[Age]]&lt;=40,"Median","Old"))</f>
        <v>Median</v>
      </c>
      <c r="G558" s="4" t="s">
        <v>11</v>
      </c>
      <c r="H558" s="4">
        <v>3</v>
      </c>
      <c r="I558" s="4">
        <v>30</v>
      </c>
      <c r="J558" s="4">
        <v>90</v>
      </c>
      <c r="K558" s="4" t="str" cm="1">
        <f t="array" ref="K558">_xlfn.IFS(AND(Table15[[#This Row],[Total Amount]]&gt;=1500),"Critical",AND(Table15[[#This Row],[Total Amount]]&gt;=1000),"High",TRUE,"Normal")</f>
        <v>Normal</v>
      </c>
      <c r="L558" s="4" t="str">
        <f>IF(Table15[[#This Row],[Total Amount]]&gt;=1000,"High",(IF(Table15[[#This Row],[Total Amount]]&gt;=500,"Medium","Low")))</f>
        <v>Low</v>
      </c>
      <c r="M558" s="4" t="str" cm="1">
        <f t="array" ref="M55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58" s="4" cm="1">
        <f t="array" ref="N55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58" s="4">
        <f>Table15[[#This Row],[Total Amount]]-Table15[[#This Row],[Discount Amount]]</f>
        <v>90</v>
      </c>
    </row>
    <row r="559" spans="1:15" x14ac:dyDescent="0.35">
      <c r="A559" s="4">
        <v>558</v>
      </c>
      <c r="B559" s="5">
        <v>45207</v>
      </c>
      <c r="C559" s="4" t="s">
        <v>571</v>
      </c>
      <c r="D559" s="4" t="s">
        <v>13</v>
      </c>
      <c r="E559" s="4">
        <v>41</v>
      </c>
      <c r="F559" s="4" t="str">
        <f>IF(Table15[[#This Row],[Age]]&lt;=19,"Teenager",IF(Table15[[#This Row],[Age]]&lt;=40,"Median","Old"))</f>
        <v>Old</v>
      </c>
      <c r="G559" s="4" t="s">
        <v>14</v>
      </c>
      <c r="H559" s="4">
        <v>1</v>
      </c>
      <c r="I559" s="4">
        <v>25</v>
      </c>
      <c r="J559" s="4">
        <v>25</v>
      </c>
      <c r="K559" s="4" t="str" cm="1">
        <f t="array" ref="K559">_xlfn.IFS(AND(Table15[[#This Row],[Total Amount]]&gt;=1500),"Critical",AND(Table15[[#This Row],[Total Amount]]&gt;=1000),"High",TRUE,"Normal")</f>
        <v>Normal</v>
      </c>
      <c r="L559" s="4" t="str">
        <f>IF(Table15[[#This Row],[Total Amount]]&gt;=1000,"High",(IF(Table15[[#This Row],[Total Amount]]&gt;=500,"Medium","Low")))</f>
        <v>Low</v>
      </c>
      <c r="M559" s="4" t="str" cm="1">
        <f t="array" ref="M55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59" s="4" cm="1">
        <f t="array" ref="N55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559" s="4">
        <f>Table15[[#This Row],[Total Amount]]-Table15[[#This Row],[Discount Amount]]</f>
        <v>20</v>
      </c>
    </row>
    <row r="560" spans="1:15" x14ac:dyDescent="0.35">
      <c r="A560" s="4">
        <v>559</v>
      </c>
      <c r="B560" s="5">
        <v>44927</v>
      </c>
      <c r="C560" s="4" t="s">
        <v>572</v>
      </c>
      <c r="D560" s="4" t="s">
        <v>13</v>
      </c>
      <c r="E560" s="4">
        <v>40</v>
      </c>
      <c r="F560" s="4" t="str">
        <f>IF(Table15[[#This Row],[Age]]&lt;=19,"Teenager",IF(Table15[[#This Row],[Age]]&lt;=40,"Median","Old"))</f>
        <v>Median</v>
      </c>
      <c r="G560" s="4" t="s">
        <v>14</v>
      </c>
      <c r="H560" s="4">
        <v>4</v>
      </c>
      <c r="I560" s="4">
        <v>300</v>
      </c>
      <c r="J560" s="4">
        <v>1200</v>
      </c>
      <c r="K560" s="4" t="str" cm="1">
        <f t="array" ref="K560">_xlfn.IFS(AND(Table15[[#This Row],[Total Amount]]&gt;=1500),"Critical",AND(Table15[[#This Row],[Total Amount]]&gt;=1000),"High",TRUE,"Normal")</f>
        <v>High</v>
      </c>
      <c r="L560" s="4" t="str">
        <f>IF(Table15[[#This Row],[Total Amount]]&gt;=1000,"High",(IF(Table15[[#This Row],[Total Amount]]&gt;=500,"Medium","Low")))</f>
        <v>High</v>
      </c>
      <c r="M560" s="4" t="str" cm="1">
        <f t="array" ref="M56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60" s="4" cm="1">
        <f t="array" ref="N56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560" s="4">
        <f>Table15[[#This Row],[Total Amount]]-Table15[[#This Row],[Discount Amount]]</f>
        <v>960</v>
      </c>
    </row>
    <row r="561" spans="1:15" x14ac:dyDescent="0.35">
      <c r="A561" s="4">
        <v>560</v>
      </c>
      <c r="B561" s="5">
        <v>45082</v>
      </c>
      <c r="C561" s="4" t="s">
        <v>573</v>
      </c>
      <c r="D561" s="4" t="s">
        <v>13</v>
      </c>
      <c r="E561" s="4">
        <v>25</v>
      </c>
      <c r="F561" s="4" t="str">
        <f>IF(Table15[[#This Row],[Age]]&lt;=19,"Teenager",IF(Table15[[#This Row],[Age]]&lt;=40,"Median","Old"))</f>
        <v>Median</v>
      </c>
      <c r="G561" s="4" t="s">
        <v>16</v>
      </c>
      <c r="H561" s="4">
        <v>1</v>
      </c>
      <c r="I561" s="4">
        <v>50</v>
      </c>
      <c r="J561" s="4">
        <v>50</v>
      </c>
      <c r="K561" s="4" t="str" cm="1">
        <f t="array" ref="K561">_xlfn.IFS(AND(Table15[[#This Row],[Total Amount]]&gt;=1500),"Critical",AND(Table15[[#This Row],[Total Amount]]&gt;=1000),"High",TRUE,"Normal")</f>
        <v>Normal</v>
      </c>
      <c r="L561" s="4" t="str">
        <f>IF(Table15[[#This Row],[Total Amount]]&gt;=1000,"High",(IF(Table15[[#This Row],[Total Amount]]&gt;=500,"Medium","Low")))</f>
        <v>Low</v>
      </c>
      <c r="M561" s="4" t="str" cm="1">
        <f t="array" ref="M56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61" s="4" cm="1">
        <f t="array" ref="N56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561" s="4">
        <f>Table15[[#This Row],[Total Amount]]-Table15[[#This Row],[Discount Amount]]</f>
        <v>42.5</v>
      </c>
    </row>
    <row r="562" spans="1:15" x14ac:dyDescent="0.35">
      <c r="A562" s="4">
        <v>561</v>
      </c>
      <c r="B562" s="5">
        <v>45073</v>
      </c>
      <c r="C562" s="4" t="s">
        <v>574</v>
      </c>
      <c r="D562" s="4" t="s">
        <v>13</v>
      </c>
      <c r="E562" s="4">
        <v>64</v>
      </c>
      <c r="F562" s="4" t="str">
        <f>IF(Table15[[#This Row],[Age]]&lt;=19,"Teenager",IF(Table15[[#This Row],[Age]]&lt;=40,"Median","Old"))</f>
        <v>Old</v>
      </c>
      <c r="G562" s="4" t="s">
        <v>14</v>
      </c>
      <c r="H562" s="4">
        <v>4</v>
      </c>
      <c r="I562" s="4">
        <v>500</v>
      </c>
      <c r="J562" s="4">
        <v>2000</v>
      </c>
      <c r="K562" s="4" t="str" cm="1">
        <f t="array" ref="K562">_xlfn.IFS(AND(Table15[[#This Row],[Total Amount]]&gt;=1500),"Critical",AND(Table15[[#This Row],[Total Amount]]&gt;=1000),"High",TRUE,"Normal")</f>
        <v>Critical</v>
      </c>
      <c r="L562" s="4" t="str">
        <f>IF(Table15[[#This Row],[Total Amount]]&gt;=1000,"High",(IF(Table15[[#This Row],[Total Amount]]&gt;=500,"Medium","Low")))</f>
        <v>High</v>
      </c>
      <c r="M562" s="4" t="str" cm="1">
        <f t="array" ref="M56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62" s="4" cm="1">
        <f t="array" ref="N56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562" s="4">
        <f>Table15[[#This Row],[Total Amount]]-Table15[[#This Row],[Discount Amount]]</f>
        <v>1600</v>
      </c>
    </row>
    <row r="563" spans="1:15" x14ac:dyDescent="0.35">
      <c r="A563" s="4">
        <v>562</v>
      </c>
      <c r="B563" s="5">
        <v>45034</v>
      </c>
      <c r="C563" s="4" t="s">
        <v>575</v>
      </c>
      <c r="D563" s="4" t="s">
        <v>10</v>
      </c>
      <c r="E563" s="4">
        <v>54</v>
      </c>
      <c r="F563" s="4" t="str">
        <f>IF(Table15[[#This Row],[Age]]&lt;=19,"Teenager",IF(Table15[[#This Row],[Age]]&lt;=40,"Median","Old"))</f>
        <v>Old</v>
      </c>
      <c r="G563" s="4" t="s">
        <v>16</v>
      </c>
      <c r="H563" s="4">
        <v>2</v>
      </c>
      <c r="I563" s="4">
        <v>25</v>
      </c>
      <c r="J563" s="4">
        <v>50</v>
      </c>
      <c r="K563" s="4" t="str" cm="1">
        <f t="array" ref="K563">_xlfn.IFS(AND(Table15[[#This Row],[Total Amount]]&gt;=1500),"Critical",AND(Table15[[#This Row],[Total Amount]]&gt;=1000),"High",TRUE,"Normal")</f>
        <v>Normal</v>
      </c>
      <c r="L563" s="4" t="str">
        <f>IF(Table15[[#This Row],[Total Amount]]&gt;=1000,"High",(IF(Table15[[#This Row],[Total Amount]]&gt;=500,"Medium","Low")))</f>
        <v>Low</v>
      </c>
      <c r="M563" s="4" t="str" cm="1">
        <f t="array" ref="M56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63" s="4" cm="1">
        <f t="array" ref="N56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563" s="4">
        <f>Table15[[#This Row],[Total Amount]]-Table15[[#This Row],[Discount Amount]]</f>
        <v>45</v>
      </c>
    </row>
    <row r="564" spans="1:15" x14ac:dyDescent="0.35">
      <c r="A564" s="4">
        <v>563</v>
      </c>
      <c r="B564" s="5">
        <v>45147</v>
      </c>
      <c r="C564" s="4" t="s">
        <v>576</v>
      </c>
      <c r="D564" s="4" t="s">
        <v>10</v>
      </c>
      <c r="E564" s="4">
        <v>20</v>
      </c>
      <c r="F564" s="4" t="str">
        <f>IF(Table15[[#This Row],[Age]]&lt;=19,"Teenager",IF(Table15[[#This Row],[Age]]&lt;=40,"Median","Old"))</f>
        <v>Median</v>
      </c>
      <c r="G564" s="4" t="s">
        <v>14</v>
      </c>
      <c r="H564" s="4">
        <v>2</v>
      </c>
      <c r="I564" s="4">
        <v>30</v>
      </c>
      <c r="J564" s="4">
        <v>60</v>
      </c>
      <c r="K564" s="4" t="str" cm="1">
        <f t="array" ref="K564">_xlfn.IFS(AND(Table15[[#This Row],[Total Amount]]&gt;=1500),"Critical",AND(Table15[[#This Row],[Total Amount]]&gt;=1000),"High",TRUE,"Normal")</f>
        <v>Normal</v>
      </c>
      <c r="L564" s="4" t="str">
        <f>IF(Table15[[#This Row],[Total Amount]]&gt;=1000,"High",(IF(Table15[[#This Row],[Total Amount]]&gt;=500,"Medium","Low")))</f>
        <v>Low</v>
      </c>
      <c r="M564" s="4" t="str" cm="1">
        <f t="array" ref="M56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64" s="4" cm="1">
        <f t="array" ref="N56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64" s="4">
        <f>Table15[[#This Row],[Total Amount]]-Table15[[#This Row],[Discount Amount]]</f>
        <v>60</v>
      </c>
    </row>
    <row r="565" spans="1:15" x14ac:dyDescent="0.35">
      <c r="A565" s="4">
        <v>564</v>
      </c>
      <c r="B565" s="5">
        <v>45223</v>
      </c>
      <c r="C565" s="4" t="s">
        <v>577</v>
      </c>
      <c r="D565" s="4" t="s">
        <v>10</v>
      </c>
      <c r="E565" s="4">
        <v>50</v>
      </c>
      <c r="F565" s="4" t="str">
        <f>IF(Table15[[#This Row],[Age]]&lt;=19,"Teenager",IF(Table15[[#This Row],[Age]]&lt;=40,"Median","Old"))</f>
        <v>Old</v>
      </c>
      <c r="G565" s="4" t="s">
        <v>16</v>
      </c>
      <c r="H565" s="4">
        <v>2</v>
      </c>
      <c r="I565" s="4">
        <v>50</v>
      </c>
      <c r="J565" s="4">
        <v>100</v>
      </c>
      <c r="K565" s="4" t="str" cm="1">
        <f t="array" ref="K565">_xlfn.IFS(AND(Table15[[#This Row],[Total Amount]]&gt;=1500),"Critical",AND(Table15[[#This Row],[Total Amount]]&gt;=1000),"High",TRUE,"Normal")</f>
        <v>Normal</v>
      </c>
      <c r="L565" s="4" t="str">
        <f>IF(Table15[[#This Row],[Total Amount]]&gt;=1000,"High",(IF(Table15[[#This Row],[Total Amount]]&gt;=500,"Medium","Low")))</f>
        <v>Low</v>
      </c>
      <c r="M565" s="4" t="str" cm="1">
        <f t="array" ref="M56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65" s="4" cm="1">
        <f t="array" ref="N56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565" s="4">
        <f>Table15[[#This Row],[Total Amount]]-Table15[[#This Row],[Discount Amount]]</f>
        <v>90</v>
      </c>
    </row>
    <row r="566" spans="1:15" x14ac:dyDescent="0.35">
      <c r="A566" s="4">
        <v>565</v>
      </c>
      <c r="B566" s="5">
        <v>45237</v>
      </c>
      <c r="C566" s="4" t="s">
        <v>578</v>
      </c>
      <c r="D566" s="4" t="s">
        <v>13</v>
      </c>
      <c r="E566" s="4">
        <v>45</v>
      </c>
      <c r="F566" s="4" t="str">
        <f>IF(Table15[[#This Row],[Age]]&lt;=19,"Teenager",IF(Table15[[#This Row],[Age]]&lt;=40,"Median","Old"))</f>
        <v>Old</v>
      </c>
      <c r="G566" s="4" t="s">
        <v>11</v>
      </c>
      <c r="H566" s="4">
        <v>2</v>
      </c>
      <c r="I566" s="4">
        <v>30</v>
      </c>
      <c r="J566" s="4">
        <v>60</v>
      </c>
      <c r="K566" s="4" t="str" cm="1">
        <f t="array" ref="K566">_xlfn.IFS(AND(Table15[[#This Row],[Total Amount]]&gt;=1500),"Critical",AND(Table15[[#This Row],[Total Amount]]&gt;=1000),"High",TRUE,"Normal")</f>
        <v>Normal</v>
      </c>
      <c r="L566" s="4" t="str">
        <f>IF(Table15[[#This Row],[Total Amount]]&gt;=1000,"High",(IF(Table15[[#This Row],[Total Amount]]&gt;=500,"Medium","Low")))</f>
        <v>Low</v>
      </c>
      <c r="M566" s="4" t="str" cm="1">
        <f t="array" ref="M56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66" s="4" cm="1">
        <f t="array" ref="N56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566" s="4">
        <f>Table15[[#This Row],[Total Amount]]-Table15[[#This Row],[Discount Amount]]</f>
        <v>48</v>
      </c>
    </row>
    <row r="567" spans="1:15" x14ac:dyDescent="0.35">
      <c r="A567" s="4">
        <v>566</v>
      </c>
      <c r="B567" s="5">
        <v>45262</v>
      </c>
      <c r="C567" s="4" t="s">
        <v>579</v>
      </c>
      <c r="D567" s="4" t="s">
        <v>13</v>
      </c>
      <c r="E567" s="4">
        <v>64</v>
      </c>
      <c r="F567" s="4" t="str">
        <f>IF(Table15[[#This Row],[Age]]&lt;=19,"Teenager",IF(Table15[[#This Row],[Age]]&lt;=40,"Median","Old"))</f>
        <v>Old</v>
      </c>
      <c r="G567" s="4" t="s">
        <v>14</v>
      </c>
      <c r="H567" s="4">
        <v>1</v>
      </c>
      <c r="I567" s="4">
        <v>30</v>
      </c>
      <c r="J567" s="4">
        <v>30</v>
      </c>
      <c r="K567" s="4" t="str" cm="1">
        <f t="array" ref="K567">_xlfn.IFS(AND(Table15[[#This Row],[Total Amount]]&gt;=1500),"Critical",AND(Table15[[#This Row],[Total Amount]]&gt;=1000),"High",TRUE,"Normal")</f>
        <v>Normal</v>
      </c>
      <c r="L567" s="4" t="str">
        <f>IF(Table15[[#This Row],[Total Amount]]&gt;=1000,"High",(IF(Table15[[#This Row],[Total Amount]]&gt;=500,"Medium","Low")))</f>
        <v>Low</v>
      </c>
      <c r="M567" s="4" t="str" cm="1">
        <f t="array" ref="M56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67" s="4" cm="1">
        <f t="array" ref="N56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567" s="4">
        <f>Table15[[#This Row],[Total Amount]]-Table15[[#This Row],[Discount Amount]]</f>
        <v>24</v>
      </c>
    </row>
    <row r="568" spans="1:15" x14ac:dyDescent="0.35">
      <c r="A568" s="4">
        <v>567</v>
      </c>
      <c r="B568" s="5">
        <v>45091</v>
      </c>
      <c r="C568" s="4" t="s">
        <v>580</v>
      </c>
      <c r="D568" s="4" t="s">
        <v>13</v>
      </c>
      <c r="E568" s="4">
        <v>25</v>
      </c>
      <c r="F568" s="4" t="str">
        <f>IF(Table15[[#This Row],[Age]]&lt;=19,"Teenager",IF(Table15[[#This Row],[Age]]&lt;=40,"Median","Old"))</f>
        <v>Median</v>
      </c>
      <c r="G568" s="4" t="s">
        <v>14</v>
      </c>
      <c r="H568" s="4">
        <v>3</v>
      </c>
      <c r="I568" s="4">
        <v>300</v>
      </c>
      <c r="J568" s="4">
        <v>900</v>
      </c>
      <c r="K568" s="4" t="str" cm="1">
        <f t="array" ref="K568">_xlfn.IFS(AND(Table15[[#This Row],[Total Amount]]&gt;=1500),"Critical",AND(Table15[[#This Row],[Total Amount]]&gt;=1000),"High",TRUE,"Normal")</f>
        <v>Normal</v>
      </c>
      <c r="L568" s="4" t="str">
        <f>IF(Table15[[#This Row],[Total Amount]]&gt;=1000,"High",(IF(Table15[[#This Row],[Total Amount]]&gt;=500,"Medium","Low")))</f>
        <v>Medium</v>
      </c>
      <c r="M568" s="4" t="str" cm="1">
        <f t="array" ref="M56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68" s="4" cm="1">
        <f t="array" ref="N56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135</v>
      </c>
      <c r="O568" s="4">
        <f>Table15[[#This Row],[Total Amount]]-Table15[[#This Row],[Discount Amount]]</f>
        <v>765</v>
      </c>
    </row>
    <row r="569" spans="1:15" x14ac:dyDescent="0.35">
      <c r="A569" s="4">
        <v>568</v>
      </c>
      <c r="B569" s="5">
        <v>45165</v>
      </c>
      <c r="C569" s="4" t="s">
        <v>581</v>
      </c>
      <c r="D569" s="4" t="s">
        <v>13</v>
      </c>
      <c r="E569" s="4">
        <v>51</v>
      </c>
      <c r="F569" s="4" t="str">
        <f>IF(Table15[[#This Row],[Age]]&lt;=19,"Teenager",IF(Table15[[#This Row],[Age]]&lt;=40,"Median","Old"))</f>
        <v>Old</v>
      </c>
      <c r="G569" s="4" t="s">
        <v>16</v>
      </c>
      <c r="H569" s="4">
        <v>1</v>
      </c>
      <c r="I569" s="4">
        <v>300</v>
      </c>
      <c r="J569" s="4">
        <v>300</v>
      </c>
      <c r="K569" s="4" t="str" cm="1">
        <f t="array" ref="K569">_xlfn.IFS(AND(Table15[[#This Row],[Total Amount]]&gt;=1500),"Critical",AND(Table15[[#This Row],[Total Amount]]&gt;=1000),"High",TRUE,"Normal")</f>
        <v>Normal</v>
      </c>
      <c r="L569" s="4" t="str">
        <f>IF(Table15[[#This Row],[Total Amount]]&gt;=1000,"High",(IF(Table15[[#This Row],[Total Amount]]&gt;=500,"Medium","Low")))</f>
        <v>Low</v>
      </c>
      <c r="M569" s="4" t="str" cm="1">
        <f t="array" ref="M56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69" s="4" cm="1">
        <f t="array" ref="N56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569" s="4">
        <f>Table15[[#This Row],[Total Amount]]-Table15[[#This Row],[Discount Amount]]</f>
        <v>240</v>
      </c>
    </row>
    <row r="570" spans="1:15" x14ac:dyDescent="0.35">
      <c r="A570" s="4">
        <v>569</v>
      </c>
      <c r="B570" s="5">
        <v>45153</v>
      </c>
      <c r="C570" s="4" t="s">
        <v>582</v>
      </c>
      <c r="D570" s="4" t="s">
        <v>10</v>
      </c>
      <c r="E570" s="4">
        <v>52</v>
      </c>
      <c r="F570" s="4" t="str">
        <f>IF(Table15[[#This Row],[Age]]&lt;=19,"Teenager",IF(Table15[[#This Row],[Age]]&lt;=40,"Median","Old"))</f>
        <v>Old</v>
      </c>
      <c r="G570" s="4" t="s">
        <v>16</v>
      </c>
      <c r="H570" s="4">
        <v>4</v>
      </c>
      <c r="I570" s="4">
        <v>50</v>
      </c>
      <c r="J570" s="4">
        <v>200</v>
      </c>
      <c r="K570" s="4" t="str" cm="1">
        <f t="array" ref="K570">_xlfn.IFS(AND(Table15[[#This Row],[Total Amount]]&gt;=1500),"Critical",AND(Table15[[#This Row],[Total Amount]]&gt;=1000),"High",TRUE,"Normal")</f>
        <v>Normal</v>
      </c>
      <c r="L570" s="4" t="str">
        <f>IF(Table15[[#This Row],[Total Amount]]&gt;=1000,"High",(IF(Table15[[#This Row],[Total Amount]]&gt;=500,"Medium","Low")))</f>
        <v>Low</v>
      </c>
      <c r="M570" s="4" t="str" cm="1">
        <f t="array" ref="M57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70" s="4" cm="1">
        <f t="array" ref="N57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570" s="4">
        <f>Table15[[#This Row],[Total Amount]]-Table15[[#This Row],[Discount Amount]]</f>
        <v>180</v>
      </c>
    </row>
    <row r="571" spans="1:15" x14ac:dyDescent="0.35">
      <c r="A571" s="4">
        <v>570</v>
      </c>
      <c r="B571" s="5">
        <v>45153</v>
      </c>
      <c r="C571" s="4" t="s">
        <v>583</v>
      </c>
      <c r="D571" s="4" t="s">
        <v>10</v>
      </c>
      <c r="E571" s="4">
        <v>49</v>
      </c>
      <c r="F571" s="4" t="str">
        <f>IF(Table15[[#This Row],[Age]]&lt;=19,"Teenager",IF(Table15[[#This Row],[Age]]&lt;=40,"Median","Old"))</f>
        <v>Old</v>
      </c>
      <c r="G571" s="4" t="s">
        <v>14</v>
      </c>
      <c r="H571" s="4">
        <v>1</v>
      </c>
      <c r="I571" s="4">
        <v>500</v>
      </c>
      <c r="J571" s="4">
        <v>500</v>
      </c>
      <c r="K571" s="4" t="str" cm="1">
        <f t="array" ref="K571">_xlfn.IFS(AND(Table15[[#This Row],[Total Amount]]&gt;=1500),"Critical",AND(Table15[[#This Row],[Total Amount]]&gt;=1000),"High",TRUE,"Normal")</f>
        <v>Normal</v>
      </c>
      <c r="L571" s="4" t="str">
        <f>IF(Table15[[#This Row],[Total Amount]]&gt;=1000,"High",(IF(Table15[[#This Row],[Total Amount]]&gt;=500,"Medium","Low")))</f>
        <v>Medium</v>
      </c>
      <c r="M571" s="4" t="str" cm="1">
        <f t="array" ref="M57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71" s="4" cm="1">
        <f t="array" ref="N57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571" s="4">
        <f>Table15[[#This Row],[Total Amount]]-Table15[[#This Row],[Discount Amount]]</f>
        <v>450</v>
      </c>
    </row>
    <row r="572" spans="1:15" x14ac:dyDescent="0.35">
      <c r="A572" s="4">
        <v>571</v>
      </c>
      <c r="B572" s="5">
        <v>45272</v>
      </c>
      <c r="C572" s="4" t="s">
        <v>584</v>
      </c>
      <c r="D572" s="4" t="s">
        <v>13</v>
      </c>
      <c r="E572" s="4">
        <v>41</v>
      </c>
      <c r="F572" s="4" t="str">
        <f>IF(Table15[[#This Row],[Age]]&lt;=19,"Teenager",IF(Table15[[#This Row],[Age]]&lt;=40,"Median","Old"))</f>
        <v>Old</v>
      </c>
      <c r="G572" s="4" t="s">
        <v>16</v>
      </c>
      <c r="H572" s="4">
        <v>1</v>
      </c>
      <c r="I572" s="4">
        <v>50</v>
      </c>
      <c r="J572" s="4">
        <v>50</v>
      </c>
      <c r="K572" s="4" t="str" cm="1">
        <f t="array" ref="K572">_xlfn.IFS(AND(Table15[[#This Row],[Total Amount]]&gt;=1500),"Critical",AND(Table15[[#This Row],[Total Amount]]&gt;=1000),"High",TRUE,"Normal")</f>
        <v>Normal</v>
      </c>
      <c r="L572" s="4" t="str">
        <f>IF(Table15[[#This Row],[Total Amount]]&gt;=1000,"High",(IF(Table15[[#This Row],[Total Amount]]&gt;=500,"Medium","Low")))</f>
        <v>Low</v>
      </c>
      <c r="M572" s="4" t="str" cm="1">
        <f t="array" ref="M57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72" s="4" cm="1">
        <f t="array" ref="N57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572" s="4">
        <f>Table15[[#This Row],[Total Amount]]-Table15[[#This Row],[Discount Amount]]</f>
        <v>40</v>
      </c>
    </row>
    <row r="573" spans="1:15" x14ac:dyDescent="0.35">
      <c r="A573" s="4">
        <v>572</v>
      </c>
      <c r="B573" s="5">
        <v>45036</v>
      </c>
      <c r="C573" s="4" t="s">
        <v>585</v>
      </c>
      <c r="D573" s="4" t="s">
        <v>10</v>
      </c>
      <c r="E573" s="4">
        <v>31</v>
      </c>
      <c r="F573" s="4" t="str">
        <f>IF(Table15[[#This Row],[Age]]&lt;=19,"Teenager",IF(Table15[[#This Row],[Age]]&lt;=40,"Median","Old"))</f>
        <v>Median</v>
      </c>
      <c r="G573" s="4" t="s">
        <v>14</v>
      </c>
      <c r="H573" s="4">
        <v>4</v>
      </c>
      <c r="I573" s="4">
        <v>500</v>
      </c>
      <c r="J573" s="4">
        <v>2000</v>
      </c>
      <c r="K573" s="4" t="str" cm="1">
        <f t="array" ref="K573">_xlfn.IFS(AND(Table15[[#This Row],[Total Amount]]&gt;=1500),"Critical",AND(Table15[[#This Row],[Total Amount]]&gt;=1000),"High",TRUE,"Normal")</f>
        <v>Critical</v>
      </c>
      <c r="L573" s="4" t="str">
        <f>IF(Table15[[#This Row],[Total Amount]]&gt;=1000,"High",(IF(Table15[[#This Row],[Total Amount]]&gt;=500,"Medium","Low")))</f>
        <v>High</v>
      </c>
      <c r="M573" s="4" t="str" cm="1">
        <f t="array" ref="M57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73" s="4" cm="1">
        <f t="array" ref="N57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573" s="4">
        <f>Table15[[#This Row],[Total Amount]]-Table15[[#This Row],[Discount Amount]]</f>
        <v>1700</v>
      </c>
    </row>
    <row r="574" spans="1:15" x14ac:dyDescent="0.35">
      <c r="A574" s="4">
        <v>573</v>
      </c>
      <c r="B574" s="5">
        <v>45188</v>
      </c>
      <c r="C574" s="4" t="s">
        <v>586</v>
      </c>
      <c r="D574" s="4" t="s">
        <v>10</v>
      </c>
      <c r="E574" s="4">
        <v>49</v>
      </c>
      <c r="F574" s="4" t="str">
        <f>IF(Table15[[#This Row],[Age]]&lt;=19,"Teenager",IF(Table15[[#This Row],[Age]]&lt;=40,"Median","Old"))</f>
        <v>Old</v>
      </c>
      <c r="G574" s="4" t="s">
        <v>11</v>
      </c>
      <c r="H574" s="4">
        <v>2</v>
      </c>
      <c r="I574" s="4">
        <v>30</v>
      </c>
      <c r="J574" s="4">
        <v>60</v>
      </c>
      <c r="K574" s="4" t="str" cm="1">
        <f t="array" ref="K574">_xlfn.IFS(AND(Table15[[#This Row],[Total Amount]]&gt;=1500),"Critical",AND(Table15[[#This Row],[Total Amount]]&gt;=1000),"High",TRUE,"Normal")</f>
        <v>Normal</v>
      </c>
      <c r="L574" s="4" t="str">
        <f>IF(Table15[[#This Row],[Total Amount]]&gt;=1000,"High",(IF(Table15[[#This Row],[Total Amount]]&gt;=500,"Medium","Low")))</f>
        <v>Low</v>
      </c>
      <c r="M574" s="4" t="str" cm="1">
        <f t="array" ref="M57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74" s="4" cm="1">
        <f t="array" ref="N57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574" s="4">
        <f>Table15[[#This Row],[Total Amount]]-Table15[[#This Row],[Discount Amount]]</f>
        <v>54</v>
      </c>
    </row>
    <row r="575" spans="1:15" x14ac:dyDescent="0.35">
      <c r="A575" s="4">
        <v>574</v>
      </c>
      <c r="B575" s="5">
        <v>45169</v>
      </c>
      <c r="C575" s="4" t="s">
        <v>587</v>
      </c>
      <c r="D575" s="4" t="s">
        <v>13</v>
      </c>
      <c r="E575" s="4">
        <v>63</v>
      </c>
      <c r="F575" s="4" t="str">
        <f>IF(Table15[[#This Row],[Age]]&lt;=19,"Teenager",IF(Table15[[#This Row],[Age]]&lt;=40,"Median","Old"))</f>
        <v>Old</v>
      </c>
      <c r="G575" s="4" t="s">
        <v>16</v>
      </c>
      <c r="H575" s="4">
        <v>2</v>
      </c>
      <c r="I575" s="4">
        <v>25</v>
      </c>
      <c r="J575" s="4">
        <v>50</v>
      </c>
      <c r="K575" s="4" t="str" cm="1">
        <f t="array" ref="K575">_xlfn.IFS(AND(Table15[[#This Row],[Total Amount]]&gt;=1500),"Critical",AND(Table15[[#This Row],[Total Amount]]&gt;=1000),"High",TRUE,"Normal")</f>
        <v>Normal</v>
      </c>
      <c r="L575" s="4" t="str">
        <f>IF(Table15[[#This Row],[Total Amount]]&gt;=1000,"High",(IF(Table15[[#This Row],[Total Amount]]&gt;=500,"Medium","Low")))</f>
        <v>Low</v>
      </c>
      <c r="M575" s="4" t="str" cm="1">
        <f t="array" ref="M57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75" s="4" cm="1">
        <f t="array" ref="N57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575" s="4">
        <f>Table15[[#This Row],[Total Amount]]-Table15[[#This Row],[Discount Amount]]</f>
        <v>40</v>
      </c>
    </row>
    <row r="576" spans="1:15" x14ac:dyDescent="0.35">
      <c r="A576" s="4">
        <v>575</v>
      </c>
      <c r="B576" s="5">
        <v>45013</v>
      </c>
      <c r="C576" s="4" t="s">
        <v>588</v>
      </c>
      <c r="D576" s="4" t="s">
        <v>10</v>
      </c>
      <c r="E576" s="4">
        <v>60</v>
      </c>
      <c r="F576" s="4" t="str">
        <f>IF(Table15[[#This Row],[Age]]&lt;=19,"Teenager",IF(Table15[[#This Row],[Age]]&lt;=40,"Median","Old"))</f>
        <v>Old</v>
      </c>
      <c r="G576" s="4" t="s">
        <v>14</v>
      </c>
      <c r="H576" s="4">
        <v>2</v>
      </c>
      <c r="I576" s="4">
        <v>50</v>
      </c>
      <c r="J576" s="4">
        <v>100</v>
      </c>
      <c r="K576" s="4" t="str" cm="1">
        <f t="array" ref="K576">_xlfn.IFS(AND(Table15[[#This Row],[Total Amount]]&gt;=1500),"Critical",AND(Table15[[#This Row],[Total Amount]]&gt;=1000),"High",TRUE,"Normal")</f>
        <v>Normal</v>
      </c>
      <c r="L576" s="4" t="str">
        <f>IF(Table15[[#This Row],[Total Amount]]&gt;=1000,"High",(IF(Table15[[#This Row],[Total Amount]]&gt;=500,"Medium","Low")))</f>
        <v>Low</v>
      </c>
      <c r="M576" s="4" t="str" cm="1">
        <f t="array" ref="M57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76" s="4" cm="1">
        <f t="array" ref="N57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576" s="4">
        <f>Table15[[#This Row],[Total Amount]]-Table15[[#This Row],[Discount Amount]]</f>
        <v>90</v>
      </c>
    </row>
    <row r="577" spans="1:15" x14ac:dyDescent="0.35">
      <c r="A577" s="4">
        <v>576</v>
      </c>
      <c r="B577" s="5">
        <v>45264</v>
      </c>
      <c r="C577" s="4" t="s">
        <v>589</v>
      </c>
      <c r="D577" s="4" t="s">
        <v>13</v>
      </c>
      <c r="E577" s="4">
        <v>33</v>
      </c>
      <c r="F577" s="4" t="str">
        <f>IF(Table15[[#This Row],[Age]]&lt;=19,"Teenager",IF(Table15[[#This Row],[Age]]&lt;=40,"Median","Old"))</f>
        <v>Median</v>
      </c>
      <c r="G577" s="4" t="s">
        <v>11</v>
      </c>
      <c r="H577" s="4">
        <v>3</v>
      </c>
      <c r="I577" s="4">
        <v>50</v>
      </c>
      <c r="J577" s="4">
        <v>150</v>
      </c>
      <c r="K577" s="4" t="str" cm="1">
        <f t="array" ref="K577">_xlfn.IFS(AND(Table15[[#This Row],[Total Amount]]&gt;=1500),"Critical",AND(Table15[[#This Row],[Total Amount]]&gt;=1000),"High",TRUE,"Normal")</f>
        <v>Normal</v>
      </c>
      <c r="L577" s="4" t="str">
        <f>IF(Table15[[#This Row],[Total Amount]]&gt;=1000,"High",(IF(Table15[[#This Row],[Total Amount]]&gt;=500,"Medium","Low")))</f>
        <v>Low</v>
      </c>
      <c r="M577" s="4" t="str" cm="1">
        <f t="array" ref="M57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77" s="4" cm="1">
        <f t="array" ref="N57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22.5</v>
      </c>
      <c r="O577" s="4">
        <f>Table15[[#This Row],[Total Amount]]-Table15[[#This Row],[Discount Amount]]</f>
        <v>127.5</v>
      </c>
    </row>
    <row r="578" spans="1:15" x14ac:dyDescent="0.35">
      <c r="A578" s="4">
        <v>577</v>
      </c>
      <c r="B578" s="5">
        <v>44970</v>
      </c>
      <c r="C578" s="4" t="s">
        <v>590</v>
      </c>
      <c r="D578" s="4" t="s">
        <v>10</v>
      </c>
      <c r="E578" s="4">
        <v>21</v>
      </c>
      <c r="F578" s="4" t="str">
        <f>IF(Table15[[#This Row],[Age]]&lt;=19,"Teenager",IF(Table15[[#This Row],[Age]]&lt;=40,"Median","Old"))</f>
        <v>Median</v>
      </c>
      <c r="G578" s="4" t="s">
        <v>11</v>
      </c>
      <c r="H578" s="4">
        <v>4</v>
      </c>
      <c r="I578" s="4">
        <v>500</v>
      </c>
      <c r="J578" s="4">
        <v>2000</v>
      </c>
      <c r="K578" s="4" t="str" cm="1">
        <f t="array" ref="K578">_xlfn.IFS(AND(Table15[[#This Row],[Total Amount]]&gt;=1500),"Critical",AND(Table15[[#This Row],[Total Amount]]&gt;=1000),"High",TRUE,"Normal")</f>
        <v>Critical</v>
      </c>
      <c r="L578" s="4" t="str">
        <f>IF(Table15[[#This Row],[Total Amount]]&gt;=1000,"High",(IF(Table15[[#This Row],[Total Amount]]&gt;=500,"Medium","Low")))</f>
        <v>High</v>
      </c>
      <c r="M578" s="4" t="str" cm="1">
        <f t="array" ref="M57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78" s="4" cm="1">
        <f t="array" ref="N57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78" s="4">
        <f>Table15[[#This Row],[Total Amount]]-Table15[[#This Row],[Discount Amount]]</f>
        <v>2000</v>
      </c>
    </row>
    <row r="579" spans="1:15" x14ac:dyDescent="0.35">
      <c r="A579" s="4">
        <v>578</v>
      </c>
      <c r="B579" s="5">
        <v>45072</v>
      </c>
      <c r="C579" s="4" t="s">
        <v>591</v>
      </c>
      <c r="D579" s="4" t="s">
        <v>13</v>
      </c>
      <c r="E579" s="4">
        <v>54</v>
      </c>
      <c r="F579" s="4" t="str">
        <f>IF(Table15[[#This Row],[Age]]&lt;=19,"Teenager",IF(Table15[[#This Row],[Age]]&lt;=40,"Median","Old"))</f>
        <v>Old</v>
      </c>
      <c r="G579" s="4" t="s">
        <v>14</v>
      </c>
      <c r="H579" s="4">
        <v>4</v>
      </c>
      <c r="I579" s="4">
        <v>30</v>
      </c>
      <c r="J579" s="4">
        <v>120</v>
      </c>
      <c r="K579" s="4" t="str" cm="1">
        <f t="array" ref="K579">_xlfn.IFS(AND(Table15[[#This Row],[Total Amount]]&gt;=1500),"Critical",AND(Table15[[#This Row],[Total Amount]]&gt;=1000),"High",TRUE,"Normal")</f>
        <v>Normal</v>
      </c>
      <c r="L579" s="4" t="str">
        <f>IF(Table15[[#This Row],[Total Amount]]&gt;=1000,"High",(IF(Table15[[#This Row],[Total Amount]]&gt;=500,"Medium","Low")))</f>
        <v>Low</v>
      </c>
      <c r="M579" s="4" t="str" cm="1">
        <f t="array" ref="M57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79" s="4" cm="1">
        <f t="array" ref="N57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579" s="4">
        <f>Table15[[#This Row],[Total Amount]]-Table15[[#This Row],[Discount Amount]]</f>
        <v>96</v>
      </c>
    </row>
    <row r="580" spans="1:15" x14ac:dyDescent="0.35">
      <c r="A580" s="4">
        <v>579</v>
      </c>
      <c r="B580" s="5">
        <v>45190</v>
      </c>
      <c r="C580" s="4" t="s">
        <v>592</v>
      </c>
      <c r="D580" s="4" t="s">
        <v>13</v>
      </c>
      <c r="E580" s="4">
        <v>38</v>
      </c>
      <c r="F580" s="4" t="str">
        <f>IF(Table15[[#This Row],[Age]]&lt;=19,"Teenager",IF(Table15[[#This Row],[Age]]&lt;=40,"Median","Old"))</f>
        <v>Median</v>
      </c>
      <c r="G580" s="4" t="s">
        <v>16</v>
      </c>
      <c r="H580" s="4">
        <v>1</v>
      </c>
      <c r="I580" s="4">
        <v>30</v>
      </c>
      <c r="J580" s="4">
        <v>30</v>
      </c>
      <c r="K580" s="4" t="str" cm="1">
        <f t="array" ref="K580">_xlfn.IFS(AND(Table15[[#This Row],[Total Amount]]&gt;=1500),"Critical",AND(Table15[[#This Row],[Total Amount]]&gt;=1000),"High",TRUE,"Normal")</f>
        <v>Normal</v>
      </c>
      <c r="L580" s="4" t="str">
        <f>IF(Table15[[#This Row],[Total Amount]]&gt;=1000,"High",(IF(Table15[[#This Row],[Total Amount]]&gt;=500,"Medium","Low")))</f>
        <v>Low</v>
      </c>
      <c r="M580" s="4" t="str" cm="1">
        <f t="array" ref="M58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80" s="4" cm="1">
        <f t="array" ref="N58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580" s="4">
        <f>Table15[[#This Row],[Total Amount]]-Table15[[#This Row],[Discount Amount]]</f>
        <v>24</v>
      </c>
    </row>
    <row r="581" spans="1:15" x14ac:dyDescent="0.35">
      <c r="A581" s="4">
        <v>580</v>
      </c>
      <c r="B581" s="5">
        <v>45266</v>
      </c>
      <c r="C581" s="4" t="s">
        <v>593</v>
      </c>
      <c r="D581" s="4" t="s">
        <v>13</v>
      </c>
      <c r="E581" s="4">
        <v>31</v>
      </c>
      <c r="F581" s="4" t="str">
        <f>IF(Table15[[#This Row],[Age]]&lt;=19,"Teenager",IF(Table15[[#This Row],[Age]]&lt;=40,"Median","Old"))</f>
        <v>Median</v>
      </c>
      <c r="G581" s="4" t="s">
        <v>14</v>
      </c>
      <c r="H581" s="4">
        <v>3</v>
      </c>
      <c r="I581" s="4">
        <v>500</v>
      </c>
      <c r="J581" s="4">
        <v>1500</v>
      </c>
      <c r="K581" s="4" t="str" cm="1">
        <f t="array" ref="K581">_xlfn.IFS(AND(Table15[[#This Row],[Total Amount]]&gt;=1500),"Critical",AND(Table15[[#This Row],[Total Amount]]&gt;=1000),"High",TRUE,"Normal")</f>
        <v>Critical</v>
      </c>
      <c r="L581" s="4" t="str">
        <f>IF(Table15[[#This Row],[Total Amount]]&gt;=1000,"High",(IF(Table15[[#This Row],[Total Amount]]&gt;=500,"Medium","Low")))</f>
        <v>High</v>
      </c>
      <c r="M581" s="4" t="str" cm="1">
        <f t="array" ref="M58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81" s="4" cm="1">
        <f t="array" ref="N58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225</v>
      </c>
      <c r="O581" s="4">
        <f>Table15[[#This Row],[Total Amount]]-Table15[[#This Row],[Discount Amount]]</f>
        <v>1275</v>
      </c>
    </row>
    <row r="582" spans="1:15" x14ac:dyDescent="0.35">
      <c r="A582" s="4">
        <v>581</v>
      </c>
      <c r="B582" s="5">
        <v>45251</v>
      </c>
      <c r="C582" s="4" t="s">
        <v>594</v>
      </c>
      <c r="D582" s="4" t="s">
        <v>13</v>
      </c>
      <c r="E582" s="4">
        <v>48</v>
      </c>
      <c r="F582" s="4" t="str">
        <f>IF(Table15[[#This Row],[Age]]&lt;=19,"Teenager",IF(Table15[[#This Row],[Age]]&lt;=40,"Median","Old"))</f>
        <v>Old</v>
      </c>
      <c r="G582" s="4" t="s">
        <v>11</v>
      </c>
      <c r="H582" s="4">
        <v>2</v>
      </c>
      <c r="I582" s="4">
        <v>30</v>
      </c>
      <c r="J582" s="4">
        <v>60</v>
      </c>
      <c r="K582" s="4" t="str" cm="1">
        <f t="array" ref="K582">_xlfn.IFS(AND(Table15[[#This Row],[Total Amount]]&gt;=1500),"Critical",AND(Table15[[#This Row],[Total Amount]]&gt;=1000),"High",TRUE,"Normal")</f>
        <v>Normal</v>
      </c>
      <c r="L582" s="4" t="str">
        <f>IF(Table15[[#This Row],[Total Amount]]&gt;=1000,"High",(IF(Table15[[#This Row],[Total Amount]]&gt;=500,"Medium","Low")))</f>
        <v>Low</v>
      </c>
      <c r="M582" s="4" t="str" cm="1">
        <f t="array" ref="M58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82" s="4" cm="1">
        <f t="array" ref="N58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582" s="4">
        <f>Table15[[#This Row],[Total Amount]]-Table15[[#This Row],[Discount Amount]]</f>
        <v>48</v>
      </c>
    </row>
    <row r="583" spans="1:15" x14ac:dyDescent="0.35">
      <c r="A583" s="4">
        <v>582</v>
      </c>
      <c r="B583" s="5">
        <v>45244</v>
      </c>
      <c r="C583" s="4" t="s">
        <v>595</v>
      </c>
      <c r="D583" s="4" t="s">
        <v>10</v>
      </c>
      <c r="E583" s="4">
        <v>35</v>
      </c>
      <c r="F583" s="4" t="str">
        <f>IF(Table15[[#This Row],[Age]]&lt;=19,"Teenager",IF(Table15[[#This Row],[Age]]&lt;=40,"Median","Old"))</f>
        <v>Median</v>
      </c>
      <c r="G583" s="4" t="s">
        <v>14</v>
      </c>
      <c r="H583" s="4">
        <v>3</v>
      </c>
      <c r="I583" s="4">
        <v>300</v>
      </c>
      <c r="J583" s="4">
        <v>900</v>
      </c>
      <c r="K583" s="4" t="str" cm="1">
        <f t="array" ref="K583">_xlfn.IFS(AND(Table15[[#This Row],[Total Amount]]&gt;=1500),"Critical",AND(Table15[[#This Row],[Total Amount]]&gt;=1000),"High",TRUE,"Normal")</f>
        <v>Normal</v>
      </c>
      <c r="L583" s="4" t="str">
        <f>IF(Table15[[#This Row],[Total Amount]]&gt;=1000,"High",(IF(Table15[[#This Row],[Total Amount]]&gt;=500,"Medium","Low")))</f>
        <v>Medium</v>
      </c>
      <c r="M583" s="4" t="str" cm="1">
        <f t="array" ref="M58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83" s="4" cm="1">
        <f t="array" ref="N58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583" s="4">
        <f>Table15[[#This Row],[Total Amount]]-Table15[[#This Row],[Discount Amount]]</f>
        <v>810</v>
      </c>
    </row>
    <row r="584" spans="1:15" x14ac:dyDescent="0.35">
      <c r="A584" s="4">
        <v>583</v>
      </c>
      <c r="B584" s="5">
        <v>45098</v>
      </c>
      <c r="C584" s="4" t="s">
        <v>596</v>
      </c>
      <c r="D584" s="4" t="s">
        <v>13</v>
      </c>
      <c r="E584" s="4">
        <v>24</v>
      </c>
      <c r="F584" s="4" t="str">
        <f>IF(Table15[[#This Row],[Age]]&lt;=19,"Teenager",IF(Table15[[#This Row],[Age]]&lt;=40,"Median","Old"))</f>
        <v>Median</v>
      </c>
      <c r="G584" s="4" t="s">
        <v>16</v>
      </c>
      <c r="H584" s="4">
        <v>4</v>
      </c>
      <c r="I584" s="4">
        <v>25</v>
      </c>
      <c r="J584" s="4">
        <v>100</v>
      </c>
      <c r="K584" s="4" t="str" cm="1">
        <f t="array" ref="K584">_xlfn.IFS(AND(Table15[[#This Row],[Total Amount]]&gt;=1500),"Critical",AND(Table15[[#This Row],[Total Amount]]&gt;=1000),"High",TRUE,"Normal")</f>
        <v>Normal</v>
      </c>
      <c r="L584" s="4" t="str">
        <f>IF(Table15[[#This Row],[Total Amount]]&gt;=1000,"High",(IF(Table15[[#This Row],[Total Amount]]&gt;=500,"Medium","Low")))</f>
        <v>Low</v>
      </c>
      <c r="M584" s="4" t="str" cm="1">
        <f t="array" ref="M58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84" s="4" cm="1">
        <f t="array" ref="N58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84" s="4">
        <f>Table15[[#This Row],[Total Amount]]-Table15[[#This Row],[Discount Amount]]</f>
        <v>100</v>
      </c>
    </row>
    <row r="585" spans="1:15" x14ac:dyDescent="0.35">
      <c r="A585" s="4">
        <v>584</v>
      </c>
      <c r="B585" s="5">
        <v>44974</v>
      </c>
      <c r="C585" s="4" t="s">
        <v>597</v>
      </c>
      <c r="D585" s="4" t="s">
        <v>13</v>
      </c>
      <c r="E585" s="4">
        <v>27</v>
      </c>
      <c r="F585" s="4" t="str">
        <f>IF(Table15[[#This Row],[Age]]&lt;=19,"Teenager",IF(Table15[[#This Row],[Age]]&lt;=40,"Median","Old"))</f>
        <v>Median</v>
      </c>
      <c r="G585" s="4" t="s">
        <v>11</v>
      </c>
      <c r="H585" s="4">
        <v>4</v>
      </c>
      <c r="I585" s="4">
        <v>50</v>
      </c>
      <c r="J585" s="4">
        <v>200</v>
      </c>
      <c r="K585" s="4" t="str" cm="1">
        <f t="array" ref="K585">_xlfn.IFS(AND(Table15[[#This Row],[Total Amount]]&gt;=1500),"Critical",AND(Table15[[#This Row],[Total Amount]]&gt;=1000),"High",TRUE,"Normal")</f>
        <v>Normal</v>
      </c>
      <c r="L585" s="4" t="str">
        <f>IF(Table15[[#This Row],[Total Amount]]&gt;=1000,"High",(IF(Table15[[#This Row],[Total Amount]]&gt;=500,"Medium","Low")))</f>
        <v>Low</v>
      </c>
      <c r="M585" s="4" t="str" cm="1">
        <f t="array" ref="M58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85" s="4" cm="1">
        <f t="array" ref="N58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585" s="4">
        <f>Table15[[#This Row],[Total Amount]]-Table15[[#This Row],[Discount Amount]]</f>
        <v>170</v>
      </c>
    </row>
    <row r="586" spans="1:15" x14ac:dyDescent="0.35">
      <c r="A586" s="4">
        <v>585</v>
      </c>
      <c r="B586" s="5">
        <v>45047</v>
      </c>
      <c r="C586" s="4" t="s">
        <v>598</v>
      </c>
      <c r="D586" s="4" t="s">
        <v>13</v>
      </c>
      <c r="E586" s="4">
        <v>24</v>
      </c>
      <c r="F586" s="4" t="str">
        <f>IF(Table15[[#This Row],[Age]]&lt;=19,"Teenager",IF(Table15[[#This Row],[Age]]&lt;=40,"Median","Old"))</f>
        <v>Median</v>
      </c>
      <c r="G586" s="4" t="s">
        <v>14</v>
      </c>
      <c r="H586" s="4">
        <v>1</v>
      </c>
      <c r="I586" s="4">
        <v>25</v>
      </c>
      <c r="J586" s="4">
        <v>25</v>
      </c>
      <c r="K586" s="4" t="str" cm="1">
        <f t="array" ref="K586">_xlfn.IFS(AND(Table15[[#This Row],[Total Amount]]&gt;=1500),"Critical",AND(Table15[[#This Row],[Total Amount]]&gt;=1000),"High",TRUE,"Normal")</f>
        <v>Normal</v>
      </c>
      <c r="L586" s="4" t="str">
        <f>IF(Table15[[#This Row],[Total Amount]]&gt;=1000,"High",(IF(Table15[[#This Row],[Total Amount]]&gt;=500,"Medium","Low")))</f>
        <v>Low</v>
      </c>
      <c r="M586" s="4" t="str" cm="1">
        <f t="array" ref="M58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86" s="4" cm="1">
        <f t="array" ref="N58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86" s="4">
        <f>Table15[[#This Row],[Total Amount]]-Table15[[#This Row],[Discount Amount]]</f>
        <v>25</v>
      </c>
    </row>
    <row r="587" spans="1:15" x14ac:dyDescent="0.35">
      <c r="A587" s="4">
        <v>586</v>
      </c>
      <c r="B587" s="5">
        <v>45271</v>
      </c>
      <c r="C587" s="4" t="s">
        <v>599</v>
      </c>
      <c r="D587" s="4" t="s">
        <v>10</v>
      </c>
      <c r="E587" s="4">
        <v>50</v>
      </c>
      <c r="F587" s="4" t="str">
        <f>IF(Table15[[#This Row],[Age]]&lt;=19,"Teenager",IF(Table15[[#This Row],[Age]]&lt;=40,"Median","Old"))</f>
        <v>Old</v>
      </c>
      <c r="G587" s="4" t="s">
        <v>16</v>
      </c>
      <c r="H587" s="4">
        <v>1</v>
      </c>
      <c r="I587" s="4">
        <v>50</v>
      </c>
      <c r="J587" s="4">
        <v>50</v>
      </c>
      <c r="K587" s="4" t="str" cm="1">
        <f t="array" ref="K587">_xlfn.IFS(AND(Table15[[#This Row],[Total Amount]]&gt;=1500),"Critical",AND(Table15[[#This Row],[Total Amount]]&gt;=1000),"High",TRUE,"Normal")</f>
        <v>Normal</v>
      </c>
      <c r="L587" s="4" t="str">
        <f>IF(Table15[[#This Row],[Total Amount]]&gt;=1000,"High",(IF(Table15[[#This Row],[Total Amount]]&gt;=500,"Medium","Low")))</f>
        <v>Low</v>
      </c>
      <c r="M587" s="4" t="str" cm="1">
        <f t="array" ref="M58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87" s="4" cm="1">
        <f t="array" ref="N58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587" s="4">
        <f>Table15[[#This Row],[Total Amount]]-Table15[[#This Row],[Discount Amount]]</f>
        <v>45</v>
      </c>
    </row>
    <row r="588" spans="1:15" x14ac:dyDescent="0.35">
      <c r="A588" s="4">
        <v>587</v>
      </c>
      <c r="B588" s="5">
        <v>45085</v>
      </c>
      <c r="C588" s="4" t="s">
        <v>600</v>
      </c>
      <c r="D588" s="4" t="s">
        <v>13</v>
      </c>
      <c r="E588" s="4">
        <v>40</v>
      </c>
      <c r="F588" s="4" t="str">
        <f>IF(Table15[[#This Row],[Age]]&lt;=19,"Teenager",IF(Table15[[#This Row],[Age]]&lt;=40,"Median","Old"))</f>
        <v>Median</v>
      </c>
      <c r="G588" s="4" t="s">
        <v>11</v>
      </c>
      <c r="H588" s="4">
        <v>4</v>
      </c>
      <c r="I588" s="4">
        <v>300</v>
      </c>
      <c r="J588" s="4">
        <v>1200</v>
      </c>
      <c r="K588" s="4" t="str" cm="1">
        <f t="array" ref="K588">_xlfn.IFS(AND(Table15[[#This Row],[Total Amount]]&gt;=1500),"Critical",AND(Table15[[#This Row],[Total Amount]]&gt;=1000),"High",TRUE,"Normal")</f>
        <v>High</v>
      </c>
      <c r="L588" s="4" t="str">
        <f>IF(Table15[[#This Row],[Total Amount]]&gt;=1000,"High",(IF(Table15[[#This Row],[Total Amount]]&gt;=500,"Medium","Low")))</f>
        <v>High</v>
      </c>
      <c r="M588" s="4" t="str" cm="1">
        <f t="array" ref="M58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88" s="4" cm="1">
        <f t="array" ref="N58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588" s="4">
        <f>Table15[[#This Row],[Total Amount]]-Table15[[#This Row],[Discount Amount]]</f>
        <v>960</v>
      </c>
    </row>
    <row r="589" spans="1:15" x14ac:dyDescent="0.35">
      <c r="A589" s="4">
        <v>588</v>
      </c>
      <c r="B589" s="5">
        <v>45042</v>
      </c>
      <c r="C589" s="4" t="s">
        <v>601</v>
      </c>
      <c r="D589" s="4" t="s">
        <v>10</v>
      </c>
      <c r="E589" s="4">
        <v>38</v>
      </c>
      <c r="F589" s="4" t="str">
        <f>IF(Table15[[#This Row],[Age]]&lt;=19,"Teenager",IF(Table15[[#This Row],[Age]]&lt;=40,"Median","Old"))</f>
        <v>Median</v>
      </c>
      <c r="G589" s="4" t="s">
        <v>16</v>
      </c>
      <c r="H589" s="4">
        <v>2</v>
      </c>
      <c r="I589" s="4">
        <v>30</v>
      </c>
      <c r="J589" s="4">
        <v>60</v>
      </c>
      <c r="K589" s="4" t="str" cm="1">
        <f t="array" ref="K589">_xlfn.IFS(AND(Table15[[#This Row],[Total Amount]]&gt;=1500),"Critical",AND(Table15[[#This Row],[Total Amount]]&gt;=1000),"High",TRUE,"Normal")</f>
        <v>Normal</v>
      </c>
      <c r="L589" s="4" t="str">
        <f>IF(Table15[[#This Row],[Total Amount]]&gt;=1000,"High",(IF(Table15[[#This Row],[Total Amount]]&gt;=500,"Medium","Low")))</f>
        <v>Low</v>
      </c>
      <c r="M589" s="4" t="str" cm="1">
        <f t="array" ref="M58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89" s="4" cm="1">
        <f t="array" ref="N58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589" s="4">
        <f>Table15[[#This Row],[Total Amount]]-Table15[[#This Row],[Discount Amount]]</f>
        <v>54</v>
      </c>
    </row>
    <row r="590" spans="1:15" x14ac:dyDescent="0.35">
      <c r="A590" s="4">
        <v>589</v>
      </c>
      <c r="B590" s="5">
        <v>45028</v>
      </c>
      <c r="C590" s="4" t="s">
        <v>602</v>
      </c>
      <c r="D590" s="4" t="s">
        <v>13</v>
      </c>
      <c r="E590" s="4">
        <v>36</v>
      </c>
      <c r="F590" s="4" t="str">
        <f>IF(Table15[[#This Row],[Age]]&lt;=19,"Teenager",IF(Table15[[#This Row],[Age]]&lt;=40,"Median","Old"))</f>
        <v>Median</v>
      </c>
      <c r="G590" s="4" t="s">
        <v>11</v>
      </c>
      <c r="H590" s="4">
        <v>2</v>
      </c>
      <c r="I590" s="4">
        <v>500</v>
      </c>
      <c r="J590" s="4">
        <v>1000</v>
      </c>
      <c r="K590" s="4" t="str" cm="1">
        <f t="array" ref="K590">_xlfn.IFS(AND(Table15[[#This Row],[Total Amount]]&gt;=1500),"Critical",AND(Table15[[#This Row],[Total Amount]]&gt;=1000),"High",TRUE,"Normal")</f>
        <v>High</v>
      </c>
      <c r="L590" s="4" t="str">
        <f>IF(Table15[[#This Row],[Total Amount]]&gt;=1000,"High",(IF(Table15[[#This Row],[Total Amount]]&gt;=500,"Medium","Low")))</f>
        <v>High</v>
      </c>
      <c r="M590" s="4" t="str" cm="1">
        <f t="array" ref="M59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90" s="4" cm="1">
        <f t="array" ref="N59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590" s="4">
        <f>Table15[[#This Row],[Total Amount]]-Table15[[#This Row],[Discount Amount]]</f>
        <v>800</v>
      </c>
    </row>
    <row r="591" spans="1:15" x14ac:dyDescent="0.35">
      <c r="A591" s="4">
        <v>590</v>
      </c>
      <c r="B591" s="5">
        <v>45002</v>
      </c>
      <c r="C591" s="4" t="s">
        <v>603</v>
      </c>
      <c r="D591" s="4" t="s">
        <v>10</v>
      </c>
      <c r="E591" s="4">
        <v>36</v>
      </c>
      <c r="F591" s="4" t="str">
        <f>IF(Table15[[#This Row],[Age]]&lt;=19,"Teenager",IF(Table15[[#This Row],[Age]]&lt;=40,"Median","Old"))</f>
        <v>Median</v>
      </c>
      <c r="G591" s="4" t="s">
        <v>14</v>
      </c>
      <c r="H591" s="4">
        <v>3</v>
      </c>
      <c r="I591" s="4">
        <v>300</v>
      </c>
      <c r="J591" s="4">
        <v>900</v>
      </c>
      <c r="K591" s="4" t="str" cm="1">
        <f t="array" ref="K591">_xlfn.IFS(AND(Table15[[#This Row],[Total Amount]]&gt;=1500),"Critical",AND(Table15[[#This Row],[Total Amount]]&gt;=1000),"High",TRUE,"Normal")</f>
        <v>Normal</v>
      </c>
      <c r="L591" s="4" t="str">
        <f>IF(Table15[[#This Row],[Total Amount]]&gt;=1000,"High",(IF(Table15[[#This Row],[Total Amount]]&gt;=500,"Medium","Low")))</f>
        <v>Medium</v>
      </c>
      <c r="M591" s="4" t="str" cm="1">
        <f t="array" ref="M59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91" s="4" cm="1">
        <f t="array" ref="N59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591" s="4">
        <f>Table15[[#This Row],[Total Amount]]-Table15[[#This Row],[Discount Amount]]</f>
        <v>810</v>
      </c>
    </row>
    <row r="592" spans="1:15" x14ac:dyDescent="0.35">
      <c r="A592" s="4">
        <v>591</v>
      </c>
      <c r="B592" s="5">
        <v>44939</v>
      </c>
      <c r="C592" s="4" t="s">
        <v>604</v>
      </c>
      <c r="D592" s="4" t="s">
        <v>10</v>
      </c>
      <c r="E592" s="4">
        <v>53</v>
      </c>
      <c r="F592" s="4" t="str">
        <f>IF(Table15[[#This Row],[Age]]&lt;=19,"Teenager",IF(Table15[[#This Row],[Age]]&lt;=40,"Median","Old"))</f>
        <v>Old</v>
      </c>
      <c r="G592" s="4" t="s">
        <v>16</v>
      </c>
      <c r="H592" s="4">
        <v>4</v>
      </c>
      <c r="I592" s="4">
        <v>25</v>
      </c>
      <c r="J592" s="4">
        <v>100</v>
      </c>
      <c r="K592" s="4" t="str" cm="1">
        <f t="array" ref="K592">_xlfn.IFS(AND(Table15[[#This Row],[Total Amount]]&gt;=1500),"Critical",AND(Table15[[#This Row],[Total Amount]]&gt;=1000),"High",TRUE,"Normal")</f>
        <v>Normal</v>
      </c>
      <c r="L592" s="4" t="str">
        <f>IF(Table15[[#This Row],[Total Amount]]&gt;=1000,"High",(IF(Table15[[#This Row],[Total Amount]]&gt;=500,"Medium","Low")))</f>
        <v>Low</v>
      </c>
      <c r="M592" s="4" t="str" cm="1">
        <f t="array" ref="M59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92" s="4" cm="1">
        <f t="array" ref="N59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592" s="4">
        <f>Table15[[#This Row],[Total Amount]]-Table15[[#This Row],[Discount Amount]]</f>
        <v>90</v>
      </c>
    </row>
    <row r="593" spans="1:15" x14ac:dyDescent="0.35">
      <c r="A593" s="4">
        <v>592</v>
      </c>
      <c r="B593" s="5">
        <v>44950</v>
      </c>
      <c r="C593" s="4" t="s">
        <v>605</v>
      </c>
      <c r="D593" s="4" t="s">
        <v>13</v>
      </c>
      <c r="E593" s="4">
        <v>46</v>
      </c>
      <c r="F593" s="4" t="str">
        <f>IF(Table15[[#This Row],[Age]]&lt;=19,"Teenager",IF(Table15[[#This Row],[Age]]&lt;=40,"Median","Old"))</f>
        <v>Old</v>
      </c>
      <c r="G593" s="4" t="s">
        <v>11</v>
      </c>
      <c r="H593" s="4">
        <v>4</v>
      </c>
      <c r="I593" s="4">
        <v>500</v>
      </c>
      <c r="J593" s="4">
        <v>2000</v>
      </c>
      <c r="K593" s="4" t="str" cm="1">
        <f t="array" ref="K593">_xlfn.IFS(AND(Table15[[#This Row],[Total Amount]]&gt;=1500),"Critical",AND(Table15[[#This Row],[Total Amount]]&gt;=1000),"High",TRUE,"Normal")</f>
        <v>Critical</v>
      </c>
      <c r="L593" s="4" t="str">
        <f>IF(Table15[[#This Row],[Total Amount]]&gt;=1000,"High",(IF(Table15[[#This Row],[Total Amount]]&gt;=500,"Medium","Low")))</f>
        <v>High</v>
      </c>
      <c r="M593" s="4" t="str" cm="1">
        <f t="array" ref="M59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93" s="4" cm="1">
        <f t="array" ref="N59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593" s="4">
        <f>Table15[[#This Row],[Total Amount]]-Table15[[#This Row],[Discount Amount]]</f>
        <v>1600</v>
      </c>
    </row>
    <row r="594" spans="1:15" x14ac:dyDescent="0.35">
      <c r="A594" s="4">
        <v>593</v>
      </c>
      <c r="B594" s="5">
        <v>45052</v>
      </c>
      <c r="C594" s="4" t="s">
        <v>606</v>
      </c>
      <c r="D594" s="4" t="s">
        <v>10</v>
      </c>
      <c r="E594" s="4">
        <v>35</v>
      </c>
      <c r="F594" s="4" t="str">
        <f>IF(Table15[[#This Row],[Age]]&lt;=19,"Teenager",IF(Table15[[#This Row],[Age]]&lt;=40,"Median","Old"))</f>
        <v>Median</v>
      </c>
      <c r="G594" s="4" t="s">
        <v>16</v>
      </c>
      <c r="H594" s="4">
        <v>2</v>
      </c>
      <c r="I594" s="4">
        <v>30</v>
      </c>
      <c r="J594" s="4">
        <v>60</v>
      </c>
      <c r="K594" s="4" t="str" cm="1">
        <f t="array" ref="K594">_xlfn.IFS(AND(Table15[[#This Row],[Total Amount]]&gt;=1500),"Critical",AND(Table15[[#This Row],[Total Amount]]&gt;=1000),"High",TRUE,"Normal")</f>
        <v>Normal</v>
      </c>
      <c r="L594" s="4" t="str">
        <f>IF(Table15[[#This Row],[Total Amount]]&gt;=1000,"High",(IF(Table15[[#This Row],[Total Amount]]&gt;=500,"Medium","Low")))</f>
        <v>Low</v>
      </c>
      <c r="M594" s="4" t="str" cm="1">
        <f t="array" ref="M59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94" s="4" cm="1">
        <f t="array" ref="N59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594" s="4">
        <f>Table15[[#This Row],[Total Amount]]-Table15[[#This Row],[Discount Amount]]</f>
        <v>54</v>
      </c>
    </row>
    <row r="595" spans="1:15" x14ac:dyDescent="0.35">
      <c r="A595" s="4">
        <v>594</v>
      </c>
      <c r="B595" s="5">
        <v>45170</v>
      </c>
      <c r="C595" s="4" t="s">
        <v>607</v>
      </c>
      <c r="D595" s="4" t="s">
        <v>13</v>
      </c>
      <c r="E595" s="4">
        <v>19</v>
      </c>
      <c r="F595" s="4" t="str">
        <f>IF(Table15[[#This Row],[Age]]&lt;=19,"Teenager",IF(Table15[[#This Row],[Age]]&lt;=40,"Median","Old"))</f>
        <v>Teenager</v>
      </c>
      <c r="G595" s="4" t="s">
        <v>16</v>
      </c>
      <c r="H595" s="4">
        <v>2</v>
      </c>
      <c r="I595" s="4">
        <v>300</v>
      </c>
      <c r="J595" s="4">
        <v>600</v>
      </c>
      <c r="K595" s="4" t="str" cm="1">
        <f t="array" ref="K595">_xlfn.IFS(AND(Table15[[#This Row],[Total Amount]]&gt;=1500),"Critical",AND(Table15[[#This Row],[Total Amount]]&gt;=1000),"High",TRUE,"Normal")</f>
        <v>Normal</v>
      </c>
      <c r="L595" s="4" t="str">
        <f>IF(Table15[[#This Row],[Total Amount]]&gt;=1000,"High",(IF(Table15[[#This Row],[Total Amount]]&gt;=500,"Medium","Low")))</f>
        <v>Medium</v>
      </c>
      <c r="M595" s="4" t="str" cm="1">
        <f t="array" ref="M59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95" s="4" cm="1">
        <f t="array" ref="N59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95" s="4">
        <f>Table15[[#This Row],[Total Amount]]-Table15[[#This Row],[Discount Amount]]</f>
        <v>600</v>
      </c>
    </row>
    <row r="596" spans="1:15" x14ac:dyDescent="0.35">
      <c r="A596" s="4">
        <v>595</v>
      </c>
      <c r="B596" s="5">
        <v>45239</v>
      </c>
      <c r="C596" s="4" t="s">
        <v>608</v>
      </c>
      <c r="D596" s="4" t="s">
        <v>13</v>
      </c>
      <c r="E596" s="4">
        <v>18</v>
      </c>
      <c r="F596" s="4" t="str">
        <f>IF(Table15[[#This Row],[Age]]&lt;=19,"Teenager",IF(Table15[[#This Row],[Age]]&lt;=40,"Median","Old"))</f>
        <v>Teenager</v>
      </c>
      <c r="G596" s="4" t="s">
        <v>14</v>
      </c>
      <c r="H596" s="4">
        <v>4</v>
      </c>
      <c r="I596" s="4">
        <v>500</v>
      </c>
      <c r="J596" s="4">
        <v>2000</v>
      </c>
      <c r="K596" s="4" t="str" cm="1">
        <f t="array" ref="K596">_xlfn.IFS(AND(Table15[[#This Row],[Total Amount]]&gt;=1500),"Critical",AND(Table15[[#This Row],[Total Amount]]&gt;=1000),"High",TRUE,"Normal")</f>
        <v>Critical</v>
      </c>
      <c r="L596" s="4" t="str">
        <f>IF(Table15[[#This Row],[Total Amount]]&gt;=1000,"High",(IF(Table15[[#This Row],[Total Amount]]&gt;=500,"Medium","Low")))</f>
        <v>High</v>
      </c>
      <c r="M596" s="4" t="str" cm="1">
        <f t="array" ref="M59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96" s="4" cm="1">
        <f t="array" ref="N59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96" s="4">
        <f>Table15[[#This Row],[Total Amount]]-Table15[[#This Row],[Discount Amount]]</f>
        <v>2000</v>
      </c>
    </row>
    <row r="597" spans="1:15" x14ac:dyDescent="0.35">
      <c r="A597" s="4">
        <v>596</v>
      </c>
      <c r="B597" s="5">
        <v>44964</v>
      </c>
      <c r="C597" s="4" t="s">
        <v>609</v>
      </c>
      <c r="D597" s="4" t="s">
        <v>13</v>
      </c>
      <c r="E597" s="4">
        <v>64</v>
      </c>
      <c r="F597" s="4" t="str">
        <f>IF(Table15[[#This Row],[Age]]&lt;=19,"Teenager",IF(Table15[[#This Row],[Age]]&lt;=40,"Median","Old"))</f>
        <v>Old</v>
      </c>
      <c r="G597" s="4" t="s">
        <v>16</v>
      </c>
      <c r="H597" s="4">
        <v>1</v>
      </c>
      <c r="I597" s="4">
        <v>300</v>
      </c>
      <c r="J597" s="4">
        <v>300</v>
      </c>
      <c r="K597" s="4" t="str" cm="1">
        <f t="array" ref="K597">_xlfn.IFS(AND(Table15[[#This Row],[Total Amount]]&gt;=1500),"Critical",AND(Table15[[#This Row],[Total Amount]]&gt;=1000),"High",TRUE,"Normal")</f>
        <v>Normal</v>
      </c>
      <c r="L597" s="4" t="str">
        <f>IF(Table15[[#This Row],[Total Amount]]&gt;=1000,"High",(IF(Table15[[#This Row],[Total Amount]]&gt;=500,"Medium","Low")))</f>
        <v>Low</v>
      </c>
      <c r="M597" s="4" t="str" cm="1">
        <f t="array" ref="M59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97" s="4" cm="1">
        <f t="array" ref="N59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597" s="4">
        <f>Table15[[#This Row],[Total Amount]]-Table15[[#This Row],[Discount Amount]]</f>
        <v>240</v>
      </c>
    </row>
    <row r="598" spans="1:15" x14ac:dyDescent="0.35">
      <c r="A598" s="4">
        <v>597</v>
      </c>
      <c r="B598" s="5">
        <v>45160</v>
      </c>
      <c r="C598" s="4" t="s">
        <v>610</v>
      </c>
      <c r="D598" s="4" t="s">
        <v>10</v>
      </c>
      <c r="E598" s="4">
        <v>22</v>
      </c>
      <c r="F598" s="4" t="str">
        <f>IF(Table15[[#This Row],[Age]]&lt;=19,"Teenager",IF(Table15[[#This Row],[Age]]&lt;=40,"Median","Old"))</f>
        <v>Median</v>
      </c>
      <c r="G598" s="4" t="s">
        <v>11</v>
      </c>
      <c r="H598" s="4">
        <v>4</v>
      </c>
      <c r="I598" s="4">
        <v>300</v>
      </c>
      <c r="J598" s="4">
        <v>1200</v>
      </c>
      <c r="K598" s="4" t="str" cm="1">
        <f t="array" ref="K598">_xlfn.IFS(AND(Table15[[#This Row],[Total Amount]]&gt;=1500),"Critical",AND(Table15[[#This Row],[Total Amount]]&gt;=1000),"High",TRUE,"Normal")</f>
        <v>High</v>
      </c>
      <c r="L598" s="4" t="str">
        <f>IF(Table15[[#This Row],[Total Amount]]&gt;=1000,"High",(IF(Table15[[#This Row],[Total Amount]]&gt;=500,"Medium","Low")))</f>
        <v>High</v>
      </c>
      <c r="M598" s="4" t="str" cm="1">
        <f t="array" ref="M59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98" s="4" cm="1">
        <f t="array" ref="N59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98" s="4">
        <f>Table15[[#This Row],[Total Amount]]-Table15[[#This Row],[Discount Amount]]</f>
        <v>1200</v>
      </c>
    </row>
    <row r="599" spans="1:15" x14ac:dyDescent="0.35">
      <c r="A599" s="4">
        <v>598</v>
      </c>
      <c r="B599" s="5">
        <v>45139</v>
      </c>
      <c r="C599" s="4" t="s">
        <v>611</v>
      </c>
      <c r="D599" s="4" t="s">
        <v>10</v>
      </c>
      <c r="E599" s="4">
        <v>37</v>
      </c>
      <c r="F599" s="4" t="str">
        <f>IF(Table15[[#This Row],[Age]]&lt;=19,"Teenager",IF(Table15[[#This Row],[Age]]&lt;=40,"Median","Old"))</f>
        <v>Median</v>
      </c>
      <c r="G599" s="4" t="s">
        <v>11</v>
      </c>
      <c r="H599" s="4">
        <v>4</v>
      </c>
      <c r="I599" s="4">
        <v>30</v>
      </c>
      <c r="J599" s="4">
        <v>120</v>
      </c>
      <c r="K599" s="4" t="str" cm="1">
        <f t="array" ref="K599">_xlfn.IFS(AND(Table15[[#This Row],[Total Amount]]&gt;=1500),"Critical",AND(Table15[[#This Row],[Total Amount]]&gt;=1000),"High",TRUE,"Normal")</f>
        <v>Normal</v>
      </c>
      <c r="L599" s="4" t="str">
        <f>IF(Table15[[#This Row],[Total Amount]]&gt;=1000,"High",(IF(Table15[[#This Row],[Total Amount]]&gt;=500,"Medium","Low")))</f>
        <v>Low</v>
      </c>
      <c r="M599" s="4" t="str" cm="1">
        <f t="array" ref="M59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99" s="4" cm="1">
        <f t="array" ref="N59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599" s="4">
        <f>Table15[[#This Row],[Total Amount]]-Table15[[#This Row],[Discount Amount]]</f>
        <v>108</v>
      </c>
    </row>
    <row r="600" spans="1:15" x14ac:dyDescent="0.35">
      <c r="A600" s="4">
        <v>599</v>
      </c>
      <c r="B600" s="5">
        <v>45249</v>
      </c>
      <c r="C600" s="4" t="s">
        <v>612</v>
      </c>
      <c r="D600" s="4" t="s">
        <v>13</v>
      </c>
      <c r="E600" s="4">
        <v>28</v>
      </c>
      <c r="F600" s="4" t="str">
        <f>IF(Table15[[#This Row],[Age]]&lt;=19,"Teenager",IF(Table15[[#This Row],[Age]]&lt;=40,"Median","Old"))</f>
        <v>Median</v>
      </c>
      <c r="G600" s="4" t="s">
        <v>11</v>
      </c>
      <c r="H600" s="4">
        <v>2</v>
      </c>
      <c r="I600" s="4">
        <v>50</v>
      </c>
      <c r="J600" s="4">
        <v>100</v>
      </c>
      <c r="K600" s="4" t="str" cm="1">
        <f t="array" ref="K600">_xlfn.IFS(AND(Table15[[#This Row],[Total Amount]]&gt;=1500),"Critical",AND(Table15[[#This Row],[Total Amount]]&gt;=1000),"High",TRUE,"Normal")</f>
        <v>Normal</v>
      </c>
      <c r="L600" s="4" t="str">
        <f>IF(Table15[[#This Row],[Total Amount]]&gt;=1000,"High",(IF(Table15[[#This Row],[Total Amount]]&gt;=500,"Medium","Low")))</f>
        <v>Low</v>
      </c>
      <c r="M600" s="4" t="str" cm="1">
        <f t="array" ref="M60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00" s="4" cm="1">
        <f t="array" ref="N60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600" s="4">
        <f>Table15[[#This Row],[Total Amount]]-Table15[[#This Row],[Discount Amount]]</f>
        <v>85</v>
      </c>
    </row>
    <row r="601" spans="1:15" x14ac:dyDescent="0.35">
      <c r="A601" s="4">
        <v>600</v>
      </c>
      <c r="B601" s="5">
        <v>45221</v>
      </c>
      <c r="C601" s="4" t="s">
        <v>613</v>
      </c>
      <c r="D601" s="4" t="s">
        <v>13</v>
      </c>
      <c r="E601" s="4">
        <v>59</v>
      </c>
      <c r="F601" s="4" t="str">
        <f>IF(Table15[[#This Row],[Age]]&lt;=19,"Teenager",IF(Table15[[#This Row],[Age]]&lt;=40,"Median","Old"))</f>
        <v>Old</v>
      </c>
      <c r="G601" s="4" t="s">
        <v>11</v>
      </c>
      <c r="H601" s="4">
        <v>2</v>
      </c>
      <c r="I601" s="4">
        <v>500</v>
      </c>
      <c r="J601" s="4">
        <v>1000</v>
      </c>
      <c r="K601" s="4" t="str" cm="1">
        <f t="array" ref="K601">_xlfn.IFS(AND(Table15[[#This Row],[Total Amount]]&gt;=1500),"Critical",AND(Table15[[#This Row],[Total Amount]]&gt;=1000),"High",TRUE,"Normal")</f>
        <v>High</v>
      </c>
      <c r="L601" s="4" t="str">
        <f>IF(Table15[[#This Row],[Total Amount]]&gt;=1000,"High",(IF(Table15[[#This Row],[Total Amount]]&gt;=500,"Medium","Low")))</f>
        <v>High</v>
      </c>
      <c r="M601" s="4" t="str" cm="1">
        <f t="array" ref="M60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01" s="4" cm="1">
        <f t="array" ref="N60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601" s="4">
        <f>Table15[[#This Row],[Total Amount]]-Table15[[#This Row],[Discount Amount]]</f>
        <v>800</v>
      </c>
    </row>
    <row r="602" spans="1:15" x14ac:dyDescent="0.35">
      <c r="A602" s="4">
        <v>601</v>
      </c>
      <c r="B602" s="5">
        <v>45026</v>
      </c>
      <c r="C602" s="4" t="s">
        <v>614</v>
      </c>
      <c r="D602" s="4" t="s">
        <v>10</v>
      </c>
      <c r="E602" s="4">
        <v>19</v>
      </c>
      <c r="F602" s="4" t="str">
        <f>IF(Table15[[#This Row],[Age]]&lt;=19,"Teenager",IF(Table15[[#This Row],[Age]]&lt;=40,"Median","Old"))</f>
        <v>Teenager</v>
      </c>
      <c r="G602" s="4" t="s">
        <v>14</v>
      </c>
      <c r="H602" s="4">
        <v>1</v>
      </c>
      <c r="I602" s="4">
        <v>30</v>
      </c>
      <c r="J602" s="4">
        <v>30</v>
      </c>
      <c r="K602" s="4" t="str" cm="1">
        <f t="array" ref="K602">_xlfn.IFS(AND(Table15[[#This Row],[Total Amount]]&gt;=1500),"Critical",AND(Table15[[#This Row],[Total Amount]]&gt;=1000),"High",TRUE,"Normal")</f>
        <v>Normal</v>
      </c>
      <c r="L602" s="4" t="str">
        <f>IF(Table15[[#This Row],[Total Amount]]&gt;=1000,"High",(IF(Table15[[#This Row],[Total Amount]]&gt;=500,"Medium","Low")))</f>
        <v>Low</v>
      </c>
      <c r="M602" s="4" t="str" cm="1">
        <f t="array" ref="M60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02" s="4" cm="1">
        <f t="array" ref="N60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02" s="4">
        <f>Table15[[#This Row],[Total Amount]]-Table15[[#This Row],[Discount Amount]]</f>
        <v>30</v>
      </c>
    </row>
    <row r="603" spans="1:15" x14ac:dyDescent="0.35">
      <c r="A603" s="4">
        <v>602</v>
      </c>
      <c r="B603" s="5">
        <v>45283</v>
      </c>
      <c r="C603" s="4" t="s">
        <v>615</v>
      </c>
      <c r="D603" s="4" t="s">
        <v>13</v>
      </c>
      <c r="E603" s="4">
        <v>20</v>
      </c>
      <c r="F603" s="4" t="str">
        <f>IF(Table15[[#This Row],[Age]]&lt;=19,"Teenager",IF(Table15[[#This Row],[Age]]&lt;=40,"Median","Old"))</f>
        <v>Median</v>
      </c>
      <c r="G603" s="4" t="s">
        <v>16</v>
      </c>
      <c r="H603" s="4">
        <v>1</v>
      </c>
      <c r="I603" s="4">
        <v>300</v>
      </c>
      <c r="J603" s="4">
        <v>300</v>
      </c>
      <c r="K603" s="4" t="str" cm="1">
        <f t="array" ref="K603">_xlfn.IFS(AND(Table15[[#This Row],[Total Amount]]&gt;=1500),"Critical",AND(Table15[[#This Row],[Total Amount]]&gt;=1000),"High",TRUE,"Normal")</f>
        <v>Normal</v>
      </c>
      <c r="L603" s="4" t="str">
        <f>IF(Table15[[#This Row],[Total Amount]]&gt;=1000,"High",(IF(Table15[[#This Row],[Total Amount]]&gt;=500,"Medium","Low")))</f>
        <v>Low</v>
      </c>
      <c r="M603" s="4" t="str" cm="1">
        <f t="array" ref="M60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03" s="4" cm="1">
        <f t="array" ref="N60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03" s="4">
        <f>Table15[[#This Row],[Total Amount]]-Table15[[#This Row],[Discount Amount]]</f>
        <v>300</v>
      </c>
    </row>
    <row r="604" spans="1:15" x14ac:dyDescent="0.35">
      <c r="A604" s="4">
        <v>603</v>
      </c>
      <c r="B604" s="5">
        <v>45123</v>
      </c>
      <c r="C604" s="4" t="s">
        <v>616</v>
      </c>
      <c r="D604" s="4" t="s">
        <v>13</v>
      </c>
      <c r="E604" s="4">
        <v>40</v>
      </c>
      <c r="F604" s="4" t="str">
        <f>IF(Table15[[#This Row],[Age]]&lt;=19,"Teenager",IF(Table15[[#This Row],[Age]]&lt;=40,"Median","Old"))</f>
        <v>Median</v>
      </c>
      <c r="G604" s="4" t="s">
        <v>14</v>
      </c>
      <c r="H604" s="4">
        <v>3</v>
      </c>
      <c r="I604" s="4">
        <v>30</v>
      </c>
      <c r="J604" s="4">
        <v>90</v>
      </c>
      <c r="K604" s="4" t="str" cm="1">
        <f t="array" ref="K604">_xlfn.IFS(AND(Table15[[#This Row],[Total Amount]]&gt;=1500),"Critical",AND(Table15[[#This Row],[Total Amount]]&gt;=1000),"High",TRUE,"Normal")</f>
        <v>Normal</v>
      </c>
      <c r="L604" s="4" t="str">
        <f>IF(Table15[[#This Row],[Total Amount]]&gt;=1000,"High",(IF(Table15[[#This Row],[Total Amount]]&gt;=500,"Medium","Low")))</f>
        <v>Low</v>
      </c>
      <c r="M604" s="4" t="str" cm="1">
        <f t="array" ref="M60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04" s="4" cm="1">
        <f t="array" ref="N60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604" s="4">
        <f>Table15[[#This Row],[Total Amount]]-Table15[[#This Row],[Discount Amount]]</f>
        <v>72</v>
      </c>
    </row>
    <row r="605" spans="1:15" x14ac:dyDescent="0.35">
      <c r="A605" s="4">
        <v>604</v>
      </c>
      <c r="B605" s="5">
        <v>45180</v>
      </c>
      <c r="C605" s="4" t="s">
        <v>617</v>
      </c>
      <c r="D605" s="4" t="s">
        <v>13</v>
      </c>
      <c r="E605" s="4">
        <v>29</v>
      </c>
      <c r="F605" s="4" t="str">
        <f>IF(Table15[[#This Row],[Age]]&lt;=19,"Teenager",IF(Table15[[#This Row],[Age]]&lt;=40,"Median","Old"))</f>
        <v>Median</v>
      </c>
      <c r="G605" s="4" t="s">
        <v>16</v>
      </c>
      <c r="H605" s="4">
        <v>4</v>
      </c>
      <c r="I605" s="4">
        <v>50</v>
      </c>
      <c r="J605" s="4">
        <v>200</v>
      </c>
      <c r="K605" s="4" t="str" cm="1">
        <f t="array" ref="K605">_xlfn.IFS(AND(Table15[[#This Row],[Total Amount]]&gt;=1500),"Critical",AND(Table15[[#This Row],[Total Amount]]&gt;=1000),"High",TRUE,"Normal")</f>
        <v>Normal</v>
      </c>
      <c r="L605" s="4" t="str">
        <f>IF(Table15[[#This Row],[Total Amount]]&gt;=1000,"High",(IF(Table15[[#This Row],[Total Amount]]&gt;=500,"Medium","Low")))</f>
        <v>Low</v>
      </c>
      <c r="M605" s="4" t="str" cm="1">
        <f t="array" ref="M60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05" s="4" cm="1">
        <f t="array" ref="N60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605" s="4">
        <f>Table15[[#This Row],[Total Amount]]-Table15[[#This Row],[Discount Amount]]</f>
        <v>170</v>
      </c>
    </row>
    <row r="606" spans="1:15" x14ac:dyDescent="0.35">
      <c r="A606" s="4">
        <v>605</v>
      </c>
      <c r="B606" s="5">
        <v>45131</v>
      </c>
      <c r="C606" s="4" t="s">
        <v>618</v>
      </c>
      <c r="D606" s="4" t="s">
        <v>10</v>
      </c>
      <c r="E606" s="4">
        <v>37</v>
      </c>
      <c r="F606" s="4" t="str">
        <f>IF(Table15[[#This Row],[Age]]&lt;=19,"Teenager",IF(Table15[[#This Row],[Age]]&lt;=40,"Median","Old"))</f>
        <v>Median</v>
      </c>
      <c r="G606" s="4" t="s">
        <v>16</v>
      </c>
      <c r="H606" s="4">
        <v>2</v>
      </c>
      <c r="I606" s="4">
        <v>500</v>
      </c>
      <c r="J606" s="4">
        <v>1000</v>
      </c>
      <c r="K606" s="4" t="str" cm="1">
        <f t="array" ref="K606">_xlfn.IFS(AND(Table15[[#This Row],[Total Amount]]&gt;=1500),"Critical",AND(Table15[[#This Row],[Total Amount]]&gt;=1000),"High",TRUE,"Normal")</f>
        <v>High</v>
      </c>
      <c r="L606" s="4" t="str">
        <f>IF(Table15[[#This Row],[Total Amount]]&gt;=1000,"High",(IF(Table15[[#This Row],[Total Amount]]&gt;=500,"Medium","Low")))</f>
        <v>High</v>
      </c>
      <c r="M606" s="4" t="str" cm="1">
        <f t="array" ref="M60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06" s="4" cm="1">
        <f t="array" ref="N60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606" s="4">
        <f>Table15[[#This Row],[Total Amount]]-Table15[[#This Row],[Discount Amount]]</f>
        <v>900</v>
      </c>
    </row>
    <row r="607" spans="1:15" x14ac:dyDescent="0.35">
      <c r="A607" s="4">
        <v>606</v>
      </c>
      <c r="B607" s="5">
        <v>45051</v>
      </c>
      <c r="C607" s="4" t="s">
        <v>619</v>
      </c>
      <c r="D607" s="4" t="s">
        <v>10</v>
      </c>
      <c r="E607" s="4">
        <v>22</v>
      </c>
      <c r="F607" s="4" t="str">
        <f>IF(Table15[[#This Row],[Age]]&lt;=19,"Teenager",IF(Table15[[#This Row],[Age]]&lt;=40,"Median","Old"))</f>
        <v>Median</v>
      </c>
      <c r="G607" s="4" t="s">
        <v>16</v>
      </c>
      <c r="H607" s="4">
        <v>1</v>
      </c>
      <c r="I607" s="4">
        <v>50</v>
      </c>
      <c r="J607" s="4">
        <v>50</v>
      </c>
      <c r="K607" s="4" t="str" cm="1">
        <f t="array" ref="K607">_xlfn.IFS(AND(Table15[[#This Row],[Total Amount]]&gt;=1500),"Critical",AND(Table15[[#This Row],[Total Amount]]&gt;=1000),"High",TRUE,"Normal")</f>
        <v>Normal</v>
      </c>
      <c r="L607" s="4" t="str">
        <f>IF(Table15[[#This Row],[Total Amount]]&gt;=1000,"High",(IF(Table15[[#This Row],[Total Amount]]&gt;=500,"Medium","Low")))</f>
        <v>Low</v>
      </c>
      <c r="M607" s="4" t="str" cm="1">
        <f t="array" ref="M60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07" s="4" cm="1">
        <f t="array" ref="N60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07" s="4">
        <f>Table15[[#This Row],[Total Amount]]-Table15[[#This Row],[Discount Amount]]</f>
        <v>50</v>
      </c>
    </row>
    <row r="608" spans="1:15" x14ac:dyDescent="0.35">
      <c r="A608" s="4">
        <v>607</v>
      </c>
      <c r="B608" s="5">
        <v>45002</v>
      </c>
      <c r="C608" s="4" t="s">
        <v>620</v>
      </c>
      <c r="D608" s="4" t="s">
        <v>10</v>
      </c>
      <c r="E608" s="4">
        <v>54</v>
      </c>
      <c r="F608" s="4" t="str">
        <f>IF(Table15[[#This Row],[Age]]&lt;=19,"Teenager",IF(Table15[[#This Row],[Age]]&lt;=40,"Median","Old"))</f>
        <v>Old</v>
      </c>
      <c r="G608" s="4" t="s">
        <v>14</v>
      </c>
      <c r="H608" s="4">
        <v>3</v>
      </c>
      <c r="I608" s="4">
        <v>25</v>
      </c>
      <c r="J608" s="4">
        <v>75</v>
      </c>
      <c r="K608" s="4" t="str" cm="1">
        <f t="array" ref="K608">_xlfn.IFS(AND(Table15[[#This Row],[Total Amount]]&gt;=1500),"Critical",AND(Table15[[#This Row],[Total Amount]]&gt;=1000),"High",TRUE,"Normal")</f>
        <v>Normal</v>
      </c>
      <c r="L608" s="4" t="str">
        <f>IF(Table15[[#This Row],[Total Amount]]&gt;=1000,"High",(IF(Table15[[#This Row],[Total Amount]]&gt;=500,"Medium","Low")))</f>
        <v>Low</v>
      </c>
      <c r="M608" s="4" t="str" cm="1">
        <f t="array" ref="M60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08" s="4" cm="1">
        <f t="array" ref="N60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608" s="4">
        <f>Table15[[#This Row],[Total Amount]]-Table15[[#This Row],[Discount Amount]]</f>
        <v>67.5</v>
      </c>
    </row>
    <row r="609" spans="1:15" x14ac:dyDescent="0.35">
      <c r="A609" s="4">
        <v>608</v>
      </c>
      <c r="B609" s="5">
        <v>45262</v>
      </c>
      <c r="C609" s="4" t="s">
        <v>621</v>
      </c>
      <c r="D609" s="4" t="s">
        <v>13</v>
      </c>
      <c r="E609" s="4">
        <v>55</v>
      </c>
      <c r="F609" s="4" t="str">
        <f>IF(Table15[[#This Row],[Age]]&lt;=19,"Teenager",IF(Table15[[#This Row],[Age]]&lt;=40,"Median","Old"))</f>
        <v>Old</v>
      </c>
      <c r="G609" s="4" t="s">
        <v>16</v>
      </c>
      <c r="H609" s="4">
        <v>3</v>
      </c>
      <c r="I609" s="4">
        <v>500</v>
      </c>
      <c r="J609" s="4">
        <v>1500</v>
      </c>
      <c r="K609" s="4" t="str" cm="1">
        <f t="array" ref="K609">_xlfn.IFS(AND(Table15[[#This Row],[Total Amount]]&gt;=1500),"Critical",AND(Table15[[#This Row],[Total Amount]]&gt;=1000),"High",TRUE,"Normal")</f>
        <v>Critical</v>
      </c>
      <c r="L609" s="4" t="str">
        <f>IF(Table15[[#This Row],[Total Amount]]&gt;=1000,"High",(IF(Table15[[#This Row],[Total Amount]]&gt;=500,"Medium","Low")))</f>
        <v>High</v>
      </c>
      <c r="M609" s="4" t="str" cm="1">
        <f t="array" ref="M60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09" s="4" cm="1">
        <f t="array" ref="N60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609" s="4">
        <f>Table15[[#This Row],[Total Amount]]-Table15[[#This Row],[Discount Amount]]</f>
        <v>1200</v>
      </c>
    </row>
    <row r="610" spans="1:15" x14ac:dyDescent="0.35">
      <c r="A610" s="4">
        <v>609</v>
      </c>
      <c r="B610" s="5">
        <v>45279</v>
      </c>
      <c r="C610" s="4" t="s">
        <v>622</v>
      </c>
      <c r="D610" s="4" t="s">
        <v>13</v>
      </c>
      <c r="E610" s="4">
        <v>47</v>
      </c>
      <c r="F610" s="4" t="str">
        <f>IF(Table15[[#This Row],[Age]]&lt;=19,"Teenager",IF(Table15[[#This Row],[Age]]&lt;=40,"Median","Old"))</f>
        <v>Old</v>
      </c>
      <c r="G610" s="4" t="s">
        <v>14</v>
      </c>
      <c r="H610" s="4">
        <v>2</v>
      </c>
      <c r="I610" s="4">
        <v>50</v>
      </c>
      <c r="J610" s="4">
        <v>100</v>
      </c>
      <c r="K610" s="4" t="str" cm="1">
        <f t="array" ref="K610">_xlfn.IFS(AND(Table15[[#This Row],[Total Amount]]&gt;=1500),"Critical",AND(Table15[[#This Row],[Total Amount]]&gt;=1000),"High",TRUE,"Normal")</f>
        <v>Normal</v>
      </c>
      <c r="L610" s="4" t="str">
        <f>IF(Table15[[#This Row],[Total Amount]]&gt;=1000,"High",(IF(Table15[[#This Row],[Total Amount]]&gt;=500,"Medium","Low")))</f>
        <v>Low</v>
      </c>
      <c r="M610" s="4" t="str" cm="1">
        <f t="array" ref="M61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10" s="4" cm="1">
        <f t="array" ref="N61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610" s="4">
        <f>Table15[[#This Row],[Total Amount]]-Table15[[#This Row],[Discount Amount]]</f>
        <v>80</v>
      </c>
    </row>
    <row r="611" spans="1:15" x14ac:dyDescent="0.35">
      <c r="A611" s="4">
        <v>610</v>
      </c>
      <c r="B611" s="5">
        <v>44929</v>
      </c>
      <c r="C611" s="4" t="s">
        <v>623</v>
      </c>
      <c r="D611" s="4" t="s">
        <v>13</v>
      </c>
      <c r="E611" s="4">
        <v>26</v>
      </c>
      <c r="F611" s="4" t="str">
        <f>IF(Table15[[#This Row],[Age]]&lt;=19,"Teenager",IF(Table15[[#This Row],[Age]]&lt;=40,"Median","Old"))</f>
        <v>Median</v>
      </c>
      <c r="G611" s="4" t="s">
        <v>11</v>
      </c>
      <c r="H611" s="4">
        <v>2</v>
      </c>
      <c r="I611" s="4">
        <v>300</v>
      </c>
      <c r="J611" s="4">
        <v>600</v>
      </c>
      <c r="K611" s="4" t="str" cm="1">
        <f t="array" ref="K611">_xlfn.IFS(AND(Table15[[#This Row],[Total Amount]]&gt;=1500),"Critical",AND(Table15[[#This Row],[Total Amount]]&gt;=1000),"High",TRUE,"Normal")</f>
        <v>Normal</v>
      </c>
      <c r="L611" s="4" t="str">
        <f>IF(Table15[[#This Row],[Total Amount]]&gt;=1000,"High",(IF(Table15[[#This Row],[Total Amount]]&gt;=500,"Medium","Low")))</f>
        <v>Medium</v>
      </c>
      <c r="M611" s="4" t="str" cm="1">
        <f t="array" ref="M61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11" s="4" cm="1">
        <f t="array" ref="N61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611" s="4">
        <f>Table15[[#This Row],[Total Amount]]-Table15[[#This Row],[Discount Amount]]</f>
        <v>510</v>
      </c>
    </row>
    <row r="612" spans="1:15" x14ac:dyDescent="0.35">
      <c r="A612" s="4">
        <v>611</v>
      </c>
      <c r="B612" s="5">
        <v>44981</v>
      </c>
      <c r="C612" s="4" t="s">
        <v>624</v>
      </c>
      <c r="D612" s="4" t="s">
        <v>10</v>
      </c>
      <c r="E612" s="4">
        <v>51</v>
      </c>
      <c r="F612" s="4" t="str">
        <f>IF(Table15[[#This Row],[Age]]&lt;=19,"Teenager",IF(Table15[[#This Row],[Age]]&lt;=40,"Median","Old"))</f>
        <v>Old</v>
      </c>
      <c r="G612" s="4" t="s">
        <v>11</v>
      </c>
      <c r="H612" s="4">
        <v>3</v>
      </c>
      <c r="I612" s="4">
        <v>500</v>
      </c>
      <c r="J612" s="4">
        <v>1500</v>
      </c>
      <c r="K612" s="4" t="str" cm="1">
        <f t="array" ref="K612">_xlfn.IFS(AND(Table15[[#This Row],[Total Amount]]&gt;=1500),"Critical",AND(Table15[[#This Row],[Total Amount]]&gt;=1000),"High",TRUE,"Normal")</f>
        <v>Critical</v>
      </c>
      <c r="L612" s="4" t="str">
        <f>IF(Table15[[#This Row],[Total Amount]]&gt;=1000,"High",(IF(Table15[[#This Row],[Total Amount]]&gt;=500,"Medium","Low")))</f>
        <v>High</v>
      </c>
      <c r="M612" s="4" t="str" cm="1">
        <f t="array" ref="M61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12" s="4" cm="1">
        <f t="array" ref="N61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612" s="4">
        <f>Table15[[#This Row],[Total Amount]]-Table15[[#This Row],[Discount Amount]]</f>
        <v>1350</v>
      </c>
    </row>
    <row r="613" spans="1:15" x14ac:dyDescent="0.35">
      <c r="A613" s="4">
        <v>612</v>
      </c>
      <c r="B613" s="5">
        <v>45144</v>
      </c>
      <c r="C613" s="4" t="s">
        <v>625</v>
      </c>
      <c r="D613" s="4" t="s">
        <v>13</v>
      </c>
      <c r="E613" s="4">
        <v>61</v>
      </c>
      <c r="F613" s="4" t="str">
        <f>IF(Table15[[#This Row],[Age]]&lt;=19,"Teenager",IF(Table15[[#This Row],[Age]]&lt;=40,"Median","Old"))</f>
        <v>Old</v>
      </c>
      <c r="G613" s="4" t="s">
        <v>16</v>
      </c>
      <c r="H613" s="4">
        <v>1</v>
      </c>
      <c r="I613" s="4">
        <v>500</v>
      </c>
      <c r="J613" s="4">
        <v>500</v>
      </c>
      <c r="K613" s="4" t="str" cm="1">
        <f t="array" ref="K613">_xlfn.IFS(AND(Table15[[#This Row],[Total Amount]]&gt;=1500),"Critical",AND(Table15[[#This Row],[Total Amount]]&gt;=1000),"High",TRUE,"Normal")</f>
        <v>Normal</v>
      </c>
      <c r="L613" s="4" t="str">
        <f>IF(Table15[[#This Row],[Total Amount]]&gt;=1000,"High",(IF(Table15[[#This Row],[Total Amount]]&gt;=500,"Medium","Low")))</f>
        <v>Medium</v>
      </c>
      <c r="M613" s="4" t="str" cm="1">
        <f t="array" ref="M61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13" s="4" cm="1">
        <f t="array" ref="N61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613" s="4">
        <f>Table15[[#This Row],[Total Amount]]-Table15[[#This Row],[Discount Amount]]</f>
        <v>400</v>
      </c>
    </row>
    <row r="614" spans="1:15" x14ac:dyDescent="0.35">
      <c r="A614" s="4">
        <v>613</v>
      </c>
      <c r="B614" s="5">
        <v>45039</v>
      </c>
      <c r="C614" s="4" t="s">
        <v>626</v>
      </c>
      <c r="D614" s="4" t="s">
        <v>13</v>
      </c>
      <c r="E614" s="4">
        <v>52</v>
      </c>
      <c r="F614" s="4" t="str">
        <f>IF(Table15[[#This Row],[Age]]&lt;=19,"Teenager",IF(Table15[[#This Row],[Age]]&lt;=40,"Median","Old"))</f>
        <v>Old</v>
      </c>
      <c r="G614" s="4" t="s">
        <v>14</v>
      </c>
      <c r="H614" s="4">
        <v>3</v>
      </c>
      <c r="I614" s="4">
        <v>30</v>
      </c>
      <c r="J614" s="4">
        <v>90</v>
      </c>
      <c r="K614" s="4" t="str" cm="1">
        <f t="array" ref="K614">_xlfn.IFS(AND(Table15[[#This Row],[Total Amount]]&gt;=1500),"Critical",AND(Table15[[#This Row],[Total Amount]]&gt;=1000),"High",TRUE,"Normal")</f>
        <v>Normal</v>
      </c>
      <c r="L614" s="4" t="str">
        <f>IF(Table15[[#This Row],[Total Amount]]&gt;=1000,"High",(IF(Table15[[#This Row],[Total Amount]]&gt;=500,"Medium","Low")))</f>
        <v>Low</v>
      </c>
      <c r="M614" s="4" t="str" cm="1">
        <f t="array" ref="M61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14" s="4" cm="1">
        <f t="array" ref="N61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614" s="4">
        <f>Table15[[#This Row],[Total Amount]]-Table15[[#This Row],[Discount Amount]]</f>
        <v>72</v>
      </c>
    </row>
    <row r="615" spans="1:15" x14ac:dyDescent="0.35">
      <c r="A615" s="4">
        <v>614</v>
      </c>
      <c r="B615" s="5">
        <v>45017</v>
      </c>
      <c r="C615" s="4" t="s">
        <v>627</v>
      </c>
      <c r="D615" s="4" t="s">
        <v>13</v>
      </c>
      <c r="E615" s="4">
        <v>39</v>
      </c>
      <c r="F615" s="4" t="str">
        <f>IF(Table15[[#This Row],[Age]]&lt;=19,"Teenager",IF(Table15[[#This Row],[Age]]&lt;=40,"Median","Old"))</f>
        <v>Median</v>
      </c>
      <c r="G615" s="4" t="s">
        <v>11</v>
      </c>
      <c r="H615" s="4">
        <v>4</v>
      </c>
      <c r="I615" s="4">
        <v>300</v>
      </c>
      <c r="J615" s="4">
        <v>1200</v>
      </c>
      <c r="K615" s="4" t="str" cm="1">
        <f t="array" ref="K615">_xlfn.IFS(AND(Table15[[#This Row],[Total Amount]]&gt;=1500),"Critical",AND(Table15[[#This Row],[Total Amount]]&gt;=1000),"High",TRUE,"Normal")</f>
        <v>High</v>
      </c>
      <c r="L615" s="4" t="str">
        <f>IF(Table15[[#This Row],[Total Amount]]&gt;=1000,"High",(IF(Table15[[#This Row],[Total Amount]]&gt;=500,"Medium","Low")))</f>
        <v>High</v>
      </c>
      <c r="M615" s="4" t="str" cm="1">
        <f t="array" ref="M61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15" s="4" cm="1">
        <f t="array" ref="N61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615" s="4">
        <f>Table15[[#This Row],[Total Amount]]-Table15[[#This Row],[Discount Amount]]</f>
        <v>960</v>
      </c>
    </row>
    <row r="616" spans="1:15" x14ac:dyDescent="0.35">
      <c r="A616" s="4">
        <v>615</v>
      </c>
      <c r="B616" s="5">
        <v>45283</v>
      </c>
      <c r="C616" s="4" t="s">
        <v>628</v>
      </c>
      <c r="D616" s="4" t="s">
        <v>13</v>
      </c>
      <c r="E616" s="4">
        <v>61</v>
      </c>
      <c r="F616" s="4" t="str">
        <f>IF(Table15[[#This Row],[Age]]&lt;=19,"Teenager",IF(Table15[[#This Row],[Age]]&lt;=40,"Median","Old"))</f>
        <v>Old</v>
      </c>
      <c r="G616" s="4" t="s">
        <v>14</v>
      </c>
      <c r="H616" s="4">
        <v>4</v>
      </c>
      <c r="I616" s="4">
        <v>25</v>
      </c>
      <c r="J616" s="4">
        <v>100</v>
      </c>
      <c r="K616" s="4" t="str" cm="1">
        <f t="array" ref="K616">_xlfn.IFS(AND(Table15[[#This Row],[Total Amount]]&gt;=1500),"Critical",AND(Table15[[#This Row],[Total Amount]]&gt;=1000),"High",TRUE,"Normal")</f>
        <v>Normal</v>
      </c>
      <c r="L616" s="4" t="str">
        <f>IF(Table15[[#This Row],[Total Amount]]&gt;=1000,"High",(IF(Table15[[#This Row],[Total Amount]]&gt;=500,"Medium","Low")))</f>
        <v>Low</v>
      </c>
      <c r="M616" s="4" t="str" cm="1">
        <f t="array" ref="M61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16" s="4" cm="1">
        <f t="array" ref="N61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616" s="4">
        <f>Table15[[#This Row],[Total Amount]]-Table15[[#This Row],[Discount Amount]]</f>
        <v>80</v>
      </c>
    </row>
    <row r="617" spans="1:15" x14ac:dyDescent="0.35">
      <c r="A617" s="4">
        <v>616</v>
      </c>
      <c r="B617" s="5">
        <v>45192</v>
      </c>
      <c r="C617" s="4" t="s">
        <v>629</v>
      </c>
      <c r="D617" s="4" t="s">
        <v>10</v>
      </c>
      <c r="E617" s="4">
        <v>41</v>
      </c>
      <c r="F617" s="4" t="str">
        <f>IF(Table15[[#This Row],[Age]]&lt;=19,"Teenager",IF(Table15[[#This Row],[Age]]&lt;=40,"Median","Old"))</f>
        <v>Old</v>
      </c>
      <c r="G617" s="4" t="s">
        <v>14</v>
      </c>
      <c r="H617" s="4">
        <v>2</v>
      </c>
      <c r="I617" s="4">
        <v>50</v>
      </c>
      <c r="J617" s="4">
        <v>100</v>
      </c>
      <c r="K617" s="4" t="str" cm="1">
        <f t="array" ref="K617">_xlfn.IFS(AND(Table15[[#This Row],[Total Amount]]&gt;=1500),"Critical",AND(Table15[[#This Row],[Total Amount]]&gt;=1000),"High",TRUE,"Normal")</f>
        <v>Normal</v>
      </c>
      <c r="L617" s="4" t="str">
        <f>IF(Table15[[#This Row],[Total Amount]]&gt;=1000,"High",(IF(Table15[[#This Row],[Total Amount]]&gt;=500,"Medium","Low")))</f>
        <v>Low</v>
      </c>
      <c r="M617" s="4" t="str" cm="1">
        <f t="array" ref="M61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17" s="4" cm="1">
        <f t="array" ref="N61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617" s="4">
        <f>Table15[[#This Row],[Total Amount]]-Table15[[#This Row],[Discount Amount]]</f>
        <v>90</v>
      </c>
    </row>
    <row r="618" spans="1:15" x14ac:dyDescent="0.35">
      <c r="A618" s="4">
        <v>617</v>
      </c>
      <c r="B618" s="5">
        <v>45164</v>
      </c>
      <c r="C618" s="4" t="s">
        <v>630</v>
      </c>
      <c r="D618" s="4" t="s">
        <v>10</v>
      </c>
      <c r="E618" s="4">
        <v>34</v>
      </c>
      <c r="F618" s="4" t="str">
        <f>IF(Table15[[#This Row],[Age]]&lt;=19,"Teenager",IF(Table15[[#This Row],[Age]]&lt;=40,"Median","Old"))</f>
        <v>Median</v>
      </c>
      <c r="G618" s="4" t="s">
        <v>16</v>
      </c>
      <c r="H618" s="4">
        <v>1</v>
      </c>
      <c r="I618" s="4">
        <v>30</v>
      </c>
      <c r="J618" s="4">
        <v>30</v>
      </c>
      <c r="K618" s="4" t="str" cm="1">
        <f t="array" ref="K618">_xlfn.IFS(AND(Table15[[#This Row],[Total Amount]]&gt;=1500),"Critical",AND(Table15[[#This Row],[Total Amount]]&gt;=1000),"High",TRUE,"Normal")</f>
        <v>Normal</v>
      </c>
      <c r="L618" s="4" t="str">
        <f>IF(Table15[[#This Row],[Total Amount]]&gt;=1000,"High",(IF(Table15[[#This Row],[Total Amount]]&gt;=500,"Medium","Low")))</f>
        <v>Low</v>
      </c>
      <c r="M618" s="4" t="str" cm="1">
        <f t="array" ref="M61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18" s="4" cm="1">
        <f t="array" ref="N61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4.5</v>
      </c>
      <c r="O618" s="4">
        <f>Table15[[#This Row],[Total Amount]]-Table15[[#This Row],[Discount Amount]]</f>
        <v>25.5</v>
      </c>
    </row>
    <row r="619" spans="1:15" x14ac:dyDescent="0.35">
      <c r="A619" s="4">
        <v>618</v>
      </c>
      <c r="B619" s="5">
        <v>44952</v>
      </c>
      <c r="C619" s="4" t="s">
        <v>631</v>
      </c>
      <c r="D619" s="4" t="s">
        <v>13</v>
      </c>
      <c r="E619" s="4">
        <v>27</v>
      </c>
      <c r="F619" s="4" t="str">
        <f>IF(Table15[[#This Row],[Age]]&lt;=19,"Teenager",IF(Table15[[#This Row],[Age]]&lt;=40,"Median","Old"))</f>
        <v>Median</v>
      </c>
      <c r="G619" s="4" t="s">
        <v>11</v>
      </c>
      <c r="H619" s="4">
        <v>1</v>
      </c>
      <c r="I619" s="4">
        <v>50</v>
      </c>
      <c r="J619" s="4">
        <v>50</v>
      </c>
      <c r="K619" s="4" t="str" cm="1">
        <f t="array" ref="K619">_xlfn.IFS(AND(Table15[[#This Row],[Total Amount]]&gt;=1500),"Critical",AND(Table15[[#This Row],[Total Amount]]&gt;=1000),"High",TRUE,"Normal")</f>
        <v>Normal</v>
      </c>
      <c r="L619" s="4" t="str">
        <f>IF(Table15[[#This Row],[Total Amount]]&gt;=1000,"High",(IF(Table15[[#This Row],[Total Amount]]&gt;=500,"Medium","Low")))</f>
        <v>Low</v>
      </c>
      <c r="M619" s="4" t="str" cm="1">
        <f t="array" ref="M61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19" s="4" cm="1">
        <f t="array" ref="N61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619" s="4">
        <f>Table15[[#This Row],[Total Amount]]-Table15[[#This Row],[Discount Amount]]</f>
        <v>42.5</v>
      </c>
    </row>
    <row r="620" spans="1:15" x14ac:dyDescent="0.35">
      <c r="A620" s="4">
        <v>619</v>
      </c>
      <c r="B620" s="5">
        <v>45212</v>
      </c>
      <c r="C620" s="4" t="s">
        <v>632</v>
      </c>
      <c r="D620" s="4" t="s">
        <v>10</v>
      </c>
      <c r="E620" s="4">
        <v>47</v>
      </c>
      <c r="F620" s="4" t="str">
        <f>IF(Table15[[#This Row],[Age]]&lt;=19,"Teenager",IF(Table15[[#This Row],[Age]]&lt;=40,"Median","Old"))</f>
        <v>Old</v>
      </c>
      <c r="G620" s="4" t="s">
        <v>16</v>
      </c>
      <c r="H620" s="4">
        <v>4</v>
      </c>
      <c r="I620" s="4">
        <v>25</v>
      </c>
      <c r="J620" s="4">
        <v>100</v>
      </c>
      <c r="K620" s="4" t="str" cm="1">
        <f t="array" ref="K620">_xlfn.IFS(AND(Table15[[#This Row],[Total Amount]]&gt;=1500),"Critical",AND(Table15[[#This Row],[Total Amount]]&gt;=1000),"High",TRUE,"Normal")</f>
        <v>Normal</v>
      </c>
      <c r="L620" s="4" t="str">
        <f>IF(Table15[[#This Row],[Total Amount]]&gt;=1000,"High",(IF(Table15[[#This Row],[Total Amount]]&gt;=500,"Medium","Low")))</f>
        <v>Low</v>
      </c>
      <c r="M620" s="4" t="str" cm="1">
        <f t="array" ref="M62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20" s="4" cm="1">
        <f t="array" ref="N62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620" s="4">
        <f>Table15[[#This Row],[Total Amount]]-Table15[[#This Row],[Discount Amount]]</f>
        <v>90</v>
      </c>
    </row>
    <row r="621" spans="1:15" x14ac:dyDescent="0.35">
      <c r="A621" s="4">
        <v>620</v>
      </c>
      <c r="B621" s="5">
        <v>45054</v>
      </c>
      <c r="C621" s="4" t="s">
        <v>633</v>
      </c>
      <c r="D621" s="4" t="s">
        <v>10</v>
      </c>
      <c r="E621" s="4">
        <v>63</v>
      </c>
      <c r="F621" s="4" t="str">
        <f>IF(Table15[[#This Row],[Age]]&lt;=19,"Teenager",IF(Table15[[#This Row],[Age]]&lt;=40,"Median","Old"))</f>
        <v>Old</v>
      </c>
      <c r="G621" s="4" t="s">
        <v>16</v>
      </c>
      <c r="H621" s="4">
        <v>3</v>
      </c>
      <c r="I621" s="4">
        <v>25</v>
      </c>
      <c r="J621" s="4">
        <v>75</v>
      </c>
      <c r="K621" s="4" t="str" cm="1">
        <f t="array" ref="K621">_xlfn.IFS(AND(Table15[[#This Row],[Total Amount]]&gt;=1500),"Critical",AND(Table15[[#This Row],[Total Amount]]&gt;=1000),"High",TRUE,"Normal")</f>
        <v>Normal</v>
      </c>
      <c r="L621" s="4" t="str">
        <f>IF(Table15[[#This Row],[Total Amount]]&gt;=1000,"High",(IF(Table15[[#This Row],[Total Amount]]&gt;=500,"Medium","Low")))</f>
        <v>Low</v>
      </c>
      <c r="M621" s="4" t="str" cm="1">
        <f t="array" ref="M62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21" s="4" cm="1">
        <f t="array" ref="N62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621" s="4">
        <f>Table15[[#This Row],[Total Amount]]-Table15[[#This Row],[Discount Amount]]</f>
        <v>67.5</v>
      </c>
    </row>
    <row r="622" spans="1:15" x14ac:dyDescent="0.35">
      <c r="A622" s="4">
        <v>621</v>
      </c>
      <c r="B622" s="5">
        <v>44989</v>
      </c>
      <c r="C622" s="4" t="s">
        <v>634</v>
      </c>
      <c r="D622" s="4" t="s">
        <v>13</v>
      </c>
      <c r="E622" s="4">
        <v>40</v>
      </c>
      <c r="F622" s="4" t="str">
        <f>IF(Table15[[#This Row],[Age]]&lt;=19,"Teenager",IF(Table15[[#This Row],[Age]]&lt;=40,"Median","Old"))</f>
        <v>Median</v>
      </c>
      <c r="G622" s="4" t="s">
        <v>11</v>
      </c>
      <c r="H622" s="4">
        <v>2</v>
      </c>
      <c r="I622" s="4">
        <v>500</v>
      </c>
      <c r="J622" s="4">
        <v>1000</v>
      </c>
      <c r="K622" s="4" t="str" cm="1">
        <f t="array" ref="K622">_xlfn.IFS(AND(Table15[[#This Row],[Total Amount]]&gt;=1500),"Critical",AND(Table15[[#This Row],[Total Amount]]&gt;=1000),"High",TRUE,"Normal")</f>
        <v>High</v>
      </c>
      <c r="L622" s="4" t="str">
        <f>IF(Table15[[#This Row],[Total Amount]]&gt;=1000,"High",(IF(Table15[[#This Row],[Total Amount]]&gt;=500,"Medium","Low")))</f>
        <v>High</v>
      </c>
      <c r="M622" s="4" t="str" cm="1">
        <f t="array" ref="M62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22" s="4" cm="1">
        <f t="array" ref="N62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622" s="4">
        <f>Table15[[#This Row],[Total Amount]]-Table15[[#This Row],[Discount Amount]]</f>
        <v>800</v>
      </c>
    </row>
    <row r="623" spans="1:15" x14ac:dyDescent="0.35">
      <c r="A623" s="4">
        <v>622</v>
      </c>
      <c r="B623" s="5">
        <v>45160</v>
      </c>
      <c r="C623" s="4" t="s">
        <v>635</v>
      </c>
      <c r="D623" s="4" t="s">
        <v>13</v>
      </c>
      <c r="E623" s="4">
        <v>49</v>
      </c>
      <c r="F623" s="4" t="str">
        <f>IF(Table15[[#This Row],[Age]]&lt;=19,"Teenager",IF(Table15[[#This Row],[Age]]&lt;=40,"Median","Old"))</f>
        <v>Old</v>
      </c>
      <c r="G623" s="4" t="s">
        <v>11</v>
      </c>
      <c r="H623" s="4">
        <v>3</v>
      </c>
      <c r="I623" s="4">
        <v>25</v>
      </c>
      <c r="J623" s="4">
        <v>75</v>
      </c>
      <c r="K623" s="4" t="str" cm="1">
        <f t="array" ref="K623">_xlfn.IFS(AND(Table15[[#This Row],[Total Amount]]&gt;=1500),"Critical",AND(Table15[[#This Row],[Total Amount]]&gt;=1000),"High",TRUE,"Normal")</f>
        <v>Normal</v>
      </c>
      <c r="L623" s="4" t="str">
        <f>IF(Table15[[#This Row],[Total Amount]]&gt;=1000,"High",(IF(Table15[[#This Row],[Total Amount]]&gt;=500,"Medium","Low")))</f>
        <v>Low</v>
      </c>
      <c r="M623" s="4" t="str" cm="1">
        <f t="array" ref="M62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23" s="4" cm="1">
        <f t="array" ref="N62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623" s="4">
        <f>Table15[[#This Row],[Total Amount]]-Table15[[#This Row],[Discount Amount]]</f>
        <v>60</v>
      </c>
    </row>
    <row r="624" spans="1:15" x14ac:dyDescent="0.35">
      <c r="A624" s="4">
        <v>623</v>
      </c>
      <c r="B624" s="5">
        <v>44995</v>
      </c>
      <c r="C624" s="4" t="s">
        <v>636</v>
      </c>
      <c r="D624" s="4" t="s">
        <v>10</v>
      </c>
      <c r="E624" s="4">
        <v>34</v>
      </c>
      <c r="F624" s="4" t="str">
        <f>IF(Table15[[#This Row],[Age]]&lt;=19,"Teenager",IF(Table15[[#This Row],[Age]]&lt;=40,"Median","Old"))</f>
        <v>Median</v>
      </c>
      <c r="G624" s="4" t="s">
        <v>14</v>
      </c>
      <c r="H624" s="4">
        <v>3</v>
      </c>
      <c r="I624" s="4">
        <v>50</v>
      </c>
      <c r="J624" s="4">
        <v>150</v>
      </c>
      <c r="K624" s="4" t="str" cm="1">
        <f t="array" ref="K624">_xlfn.IFS(AND(Table15[[#This Row],[Total Amount]]&gt;=1500),"Critical",AND(Table15[[#This Row],[Total Amount]]&gt;=1000),"High",TRUE,"Normal")</f>
        <v>Normal</v>
      </c>
      <c r="L624" s="4" t="str">
        <f>IF(Table15[[#This Row],[Total Amount]]&gt;=1000,"High",(IF(Table15[[#This Row],[Total Amount]]&gt;=500,"Medium","Low")))</f>
        <v>Low</v>
      </c>
      <c r="M624" s="4" t="str" cm="1">
        <f t="array" ref="M62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24" s="4" cm="1">
        <f t="array" ref="N62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22.5</v>
      </c>
      <c r="O624" s="4">
        <f>Table15[[#This Row],[Total Amount]]-Table15[[#This Row],[Discount Amount]]</f>
        <v>127.5</v>
      </c>
    </row>
    <row r="625" spans="1:15" x14ac:dyDescent="0.35">
      <c r="A625" s="4">
        <v>624</v>
      </c>
      <c r="B625" s="5">
        <v>45164</v>
      </c>
      <c r="C625" s="4" t="s">
        <v>637</v>
      </c>
      <c r="D625" s="4" t="s">
        <v>13</v>
      </c>
      <c r="E625" s="4">
        <v>34</v>
      </c>
      <c r="F625" s="4" t="str">
        <f>IF(Table15[[#This Row],[Age]]&lt;=19,"Teenager",IF(Table15[[#This Row],[Age]]&lt;=40,"Median","Old"))</f>
        <v>Median</v>
      </c>
      <c r="G625" s="4" t="s">
        <v>11</v>
      </c>
      <c r="H625" s="4">
        <v>3</v>
      </c>
      <c r="I625" s="4">
        <v>300</v>
      </c>
      <c r="J625" s="4">
        <v>900</v>
      </c>
      <c r="K625" s="4" t="str" cm="1">
        <f t="array" ref="K625">_xlfn.IFS(AND(Table15[[#This Row],[Total Amount]]&gt;=1500),"Critical",AND(Table15[[#This Row],[Total Amount]]&gt;=1000),"High",TRUE,"Normal")</f>
        <v>Normal</v>
      </c>
      <c r="L625" s="4" t="str">
        <f>IF(Table15[[#This Row],[Total Amount]]&gt;=1000,"High",(IF(Table15[[#This Row],[Total Amount]]&gt;=500,"Medium","Low")))</f>
        <v>Medium</v>
      </c>
      <c r="M625" s="4" t="str" cm="1">
        <f t="array" ref="M62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25" s="4" cm="1">
        <f t="array" ref="N62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135</v>
      </c>
      <c r="O625" s="4">
        <f>Table15[[#This Row],[Total Amount]]-Table15[[#This Row],[Discount Amount]]</f>
        <v>765</v>
      </c>
    </row>
    <row r="626" spans="1:15" x14ac:dyDescent="0.35">
      <c r="A626" s="4">
        <v>625</v>
      </c>
      <c r="B626" s="5">
        <v>45268</v>
      </c>
      <c r="C626" s="4" t="s">
        <v>638</v>
      </c>
      <c r="D626" s="4" t="s">
        <v>10</v>
      </c>
      <c r="E626" s="4">
        <v>31</v>
      </c>
      <c r="F626" s="4" t="str">
        <f>IF(Table15[[#This Row],[Age]]&lt;=19,"Teenager",IF(Table15[[#This Row],[Age]]&lt;=40,"Median","Old"))</f>
        <v>Median</v>
      </c>
      <c r="G626" s="4" t="s">
        <v>14</v>
      </c>
      <c r="H626" s="4">
        <v>1</v>
      </c>
      <c r="I626" s="4">
        <v>300</v>
      </c>
      <c r="J626" s="4">
        <v>300</v>
      </c>
      <c r="K626" s="4" t="str" cm="1">
        <f t="array" ref="K626">_xlfn.IFS(AND(Table15[[#This Row],[Total Amount]]&gt;=1500),"Critical",AND(Table15[[#This Row],[Total Amount]]&gt;=1000),"High",TRUE,"Normal")</f>
        <v>Normal</v>
      </c>
      <c r="L626" s="4" t="str">
        <f>IF(Table15[[#This Row],[Total Amount]]&gt;=1000,"High",(IF(Table15[[#This Row],[Total Amount]]&gt;=500,"Medium","Low")))</f>
        <v>Low</v>
      </c>
      <c r="M626" s="4" t="str" cm="1">
        <f t="array" ref="M62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26" s="4" cm="1">
        <f t="array" ref="N62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45</v>
      </c>
      <c r="O626" s="4">
        <f>Table15[[#This Row],[Total Amount]]-Table15[[#This Row],[Discount Amount]]</f>
        <v>255</v>
      </c>
    </row>
    <row r="627" spans="1:15" x14ac:dyDescent="0.35">
      <c r="A627" s="4">
        <v>626</v>
      </c>
      <c r="B627" s="5">
        <v>45198</v>
      </c>
      <c r="C627" s="4" t="s">
        <v>639</v>
      </c>
      <c r="D627" s="4" t="s">
        <v>13</v>
      </c>
      <c r="E627" s="4">
        <v>26</v>
      </c>
      <c r="F627" s="4" t="str">
        <f>IF(Table15[[#This Row],[Age]]&lt;=19,"Teenager",IF(Table15[[#This Row],[Age]]&lt;=40,"Median","Old"))</f>
        <v>Median</v>
      </c>
      <c r="G627" s="4" t="s">
        <v>14</v>
      </c>
      <c r="H627" s="4">
        <v>4</v>
      </c>
      <c r="I627" s="4">
        <v>500</v>
      </c>
      <c r="J627" s="4">
        <v>2000</v>
      </c>
      <c r="K627" s="4" t="str" cm="1">
        <f t="array" ref="K627">_xlfn.IFS(AND(Table15[[#This Row],[Total Amount]]&gt;=1500),"Critical",AND(Table15[[#This Row],[Total Amount]]&gt;=1000),"High",TRUE,"Normal")</f>
        <v>Critical</v>
      </c>
      <c r="L627" s="4" t="str">
        <f>IF(Table15[[#This Row],[Total Amount]]&gt;=1000,"High",(IF(Table15[[#This Row],[Total Amount]]&gt;=500,"Medium","Low")))</f>
        <v>High</v>
      </c>
      <c r="M627" s="4" t="str" cm="1">
        <f t="array" ref="M62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27" s="4" cm="1">
        <f t="array" ref="N62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627" s="4">
        <f>Table15[[#This Row],[Total Amount]]-Table15[[#This Row],[Discount Amount]]</f>
        <v>1700</v>
      </c>
    </row>
    <row r="628" spans="1:15" x14ac:dyDescent="0.35">
      <c r="A628" s="4">
        <v>627</v>
      </c>
      <c r="B628" s="5">
        <v>45213</v>
      </c>
      <c r="C628" s="4" t="s">
        <v>640</v>
      </c>
      <c r="D628" s="4" t="s">
        <v>10</v>
      </c>
      <c r="E628" s="4">
        <v>57</v>
      </c>
      <c r="F628" s="4" t="str">
        <f>IF(Table15[[#This Row],[Age]]&lt;=19,"Teenager",IF(Table15[[#This Row],[Age]]&lt;=40,"Median","Old"))</f>
        <v>Old</v>
      </c>
      <c r="G628" s="4" t="s">
        <v>14</v>
      </c>
      <c r="H628" s="4">
        <v>1</v>
      </c>
      <c r="I628" s="4">
        <v>50</v>
      </c>
      <c r="J628" s="4">
        <v>50</v>
      </c>
      <c r="K628" s="4" t="str" cm="1">
        <f t="array" ref="K628">_xlfn.IFS(AND(Table15[[#This Row],[Total Amount]]&gt;=1500),"Critical",AND(Table15[[#This Row],[Total Amount]]&gt;=1000),"High",TRUE,"Normal")</f>
        <v>Normal</v>
      </c>
      <c r="L628" s="4" t="str">
        <f>IF(Table15[[#This Row],[Total Amount]]&gt;=1000,"High",(IF(Table15[[#This Row],[Total Amount]]&gt;=500,"Medium","Low")))</f>
        <v>Low</v>
      </c>
      <c r="M628" s="4" t="str" cm="1">
        <f t="array" ref="M62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28" s="4" cm="1">
        <f t="array" ref="N62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628" s="4">
        <f>Table15[[#This Row],[Total Amount]]-Table15[[#This Row],[Discount Amount]]</f>
        <v>45</v>
      </c>
    </row>
    <row r="629" spans="1:15" x14ac:dyDescent="0.35">
      <c r="A629" s="4">
        <v>628</v>
      </c>
      <c r="B629" s="5">
        <v>45231</v>
      </c>
      <c r="C629" s="4" t="s">
        <v>641</v>
      </c>
      <c r="D629" s="4" t="s">
        <v>13</v>
      </c>
      <c r="E629" s="4">
        <v>19</v>
      </c>
      <c r="F629" s="4" t="str">
        <f>IF(Table15[[#This Row],[Age]]&lt;=19,"Teenager",IF(Table15[[#This Row],[Age]]&lt;=40,"Median","Old"))</f>
        <v>Teenager</v>
      </c>
      <c r="G629" s="4" t="s">
        <v>11</v>
      </c>
      <c r="H629" s="4">
        <v>4</v>
      </c>
      <c r="I629" s="4">
        <v>50</v>
      </c>
      <c r="J629" s="4">
        <v>200</v>
      </c>
      <c r="K629" s="4" t="str" cm="1">
        <f t="array" ref="K629">_xlfn.IFS(AND(Table15[[#This Row],[Total Amount]]&gt;=1500),"Critical",AND(Table15[[#This Row],[Total Amount]]&gt;=1000),"High",TRUE,"Normal")</f>
        <v>Normal</v>
      </c>
      <c r="L629" s="4" t="str">
        <f>IF(Table15[[#This Row],[Total Amount]]&gt;=1000,"High",(IF(Table15[[#This Row],[Total Amount]]&gt;=500,"Medium","Low")))</f>
        <v>Low</v>
      </c>
      <c r="M629" s="4" t="str" cm="1">
        <f t="array" ref="M62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29" s="4" cm="1">
        <f t="array" ref="N62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29" s="4">
        <f>Table15[[#This Row],[Total Amount]]-Table15[[#This Row],[Discount Amount]]</f>
        <v>200</v>
      </c>
    </row>
    <row r="630" spans="1:15" x14ac:dyDescent="0.35">
      <c r="A630" s="4">
        <v>629</v>
      </c>
      <c r="B630" s="5">
        <v>45089</v>
      </c>
      <c r="C630" s="4" t="s">
        <v>642</v>
      </c>
      <c r="D630" s="4" t="s">
        <v>10</v>
      </c>
      <c r="E630" s="4">
        <v>62</v>
      </c>
      <c r="F630" s="4" t="str">
        <f>IF(Table15[[#This Row],[Age]]&lt;=19,"Teenager",IF(Table15[[#This Row],[Age]]&lt;=40,"Median","Old"))</f>
        <v>Old</v>
      </c>
      <c r="G630" s="4" t="s">
        <v>16</v>
      </c>
      <c r="H630" s="4">
        <v>2</v>
      </c>
      <c r="I630" s="4">
        <v>25</v>
      </c>
      <c r="J630" s="4">
        <v>50</v>
      </c>
      <c r="K630" s="4" t="str" cm="1">
        <f t="array" ref="K630">_xlfn.IFS(AND(Table15[[#This Row],[Total Amount]]&gt;=1500),"Critical",AND(Table15[[#This Row],[Total Amount]]&gt;=1000),"High",TRUE,"Normal")</f>
        <v>Normal</v>
      </c>
      <c r="L630" s="4" t="str">
        <f>IF(Table15[[#This Row],[Total Amount]]&gt;=1000,"High",(IF(Table15[[#This Row],[Total Amount]]&gt;=500,"Medium","Low")))</f>
        <v>Low</v>
      </c>
      <c r="M630" s="4" t="str" cm="1">
        <f t="array" ref="M63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30" s="4" cm="1">
        <f t="array" ref="N63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630" s="4">
        <f>Table15[[#This Row],[Total Amount]]-Table15[[#This Row],[Discount Amount]]</f>
        <v>45</v>
      </c>
    </row>
    <row r="631" spans="1:15" x14ac:dyDescent="0.35">
      <c r="A631" s="4">
        <v>630</v>
      </c>
      <c r="B631" s="5">
        <v>45153</v>
      </c>
      <c r="C631" s="4" t="s">
        <v>643</v>
      </c>
      <c r="D631" s="4" t="s">
        <v>10</v>
      </c>
      <c r="E631" s="4">
        <v>42</v>
      </c>
      <c r="F631" s="4" t="str">
        <f>IF(Table15[[#This Row],[Age]]&lt;=19,"Teenager",IF(Table15[[#This Row],[Age]]&lt;=40,"Median","Old"))</f>
        <v>Old</v>
      </c>
      <c r="G631" s="4" t="s">
        <v>14</v>
      </c>
      <c r="H631" s="4">
        <v>2</v>
      </c>
      <c r="I631" s="4">
        <v>50</v>
      </c>
      <c r="J631" s="4">
        <v>100</v>
      </c>
      <c r="K631" s="4" t="str" cm="1">
        <f t="array" ref="K631">_xlfn.IFS(AND(Table15[[#This Row],[Total Amount]]&gt;=1500),"Critical",AND(Table15[[#This Row],[Total Amount]]&gt;=1000),"High",TRUE,"Normal")</f>
        <v>Normal</v>
      </c>
      <c r="L631" s="4" t="str">
        <f>IF(Table15[[#This Row],[Total Amount]]&gt;=1000,"High",(IF(Table15[[#This Row],[Total Amount]]&gt;=500,"Medium","Low")))</f>
        <v>Low</v>
      </c>
      <c r="M631" s="4" t="str" cm="1">
        <f t="array" ref="M63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31" s="4" cm="1">
        <f t="array" ref="N63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631" s="4">
        <f>Table15[[#This Row],[Total Amount]]-Table15[[#This Row],[Discount Amount]]</f>
        <v>90</v>
      </c>
    </row>
    <row r="632" spans="1:15" x14ac:dyDescent="0.35">
      <c r="A632" s="4">
        <v>631</v>
      </c>
      <c r="B632" s="5">
        <v>45240</v>
      </c>
      <c r="C632" s="4" t="s">
        <v>644</v>
      </c>
      <c r="D632" s="4" t="s">
        <v>10</v>
      </c>
      <c r="E632" s="4">
        <v>56</v>
      </c>
      <c r="F632" s="4" t="str">
        <f>IF(Table15[[#This Row],[Age]]&lt;=19,"Teenager",IF(Table15[[#This Row],[Age]]&lt;=40,"Median","Old"))</f>
        <v>Old</v>
      </c>
      <c r="G632" s="4" t="s">
        <v>16</v>
      </c>
      <c r="H632" s="4">
        <v>3</v>
      </c>
      <c r="I632" s="4">
        <v>30</v>
      </c>
      <c r="J632" s="4">
        <v>90</v>
      </c>
      <c r="K632" s="4" t="str" cm="1">
        <f t="array" ref="K632">_xlfn.IFS(AND(Table15[[#This Row],[Total Amount]]&gt;=1500),"Critical",AND(Table15[[#This Row],[Total Amount]]&gt;=1000),"High",TRUE,"Normal")</f>
        <v>Normal</v>
      </c>
      <c r="L632" s="4" t="str">
        <f>IF(Table15[[#This Row],[Total Amount]]&gt;=1000,"High",(IF(Table15[[#This Row],[Total Amount]]&gt;=500,"Medium","Low")))</f>
        <v>Low</v>
      </c>
      <c r="M632" s="4" t="str" cm="1">
        <f t="array" ref="M63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32" s="4" cm="1">
        <f t="array" ref="N63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632" s="4">
        <f>Table15[[#This Row],[Total Amount]]-Table15[[#This Row],[Discount Amount]]</f>
        <v>81</v>
      </c>
    </row>
    <row r="633" spans="1:15" x14ac:dyDescent="0.35">
      <c r="A633" s="4">
        <v>632</v>
      </c>
      <c r="B633" s="5">
        <v>45185</v>
      </c>
      <c r="C633" s="4" t="s">
        <v>645</v>
      </c>
      <c r="D633" s="4" t="s">
        <v>13</v>
      </c>
      <c r="E633" s="4">
        <v>26</v>
      </c>
      <c r="F633" s="4" t="str">
        <f>IF(Table15[[#This Row],[Age]]&lt;=19,"Teenager",IF(Table15[[#This Row],[Age]]&lt;=40,"Median","Old"))</f>
        <v>Median</v>
      </c>
      <c r="G633" s="4" t="s">
        <v>16</v>
      </c>
      <c r="H633" s="4">
        <v>4</v>
      </c>
      <c r="I633" s="4">
        <v>25</v>
      </c>
      <c r="J633" s="4">
        <v>100</v>
      </c>
      <c r="K633" s="4" t="str" cm="1">
        <f t="array" ref="K633">_xlfn.IFS(AND(Table15[[#This Row],[Total Amount]]&gt;=1500),"Critical",AND(Table15[[#This Row],[Total Amount]]&gt;=1000),"High",TRUE,"Normal")</f>
        <v>Normal</v>
      </c>
      <c r="L633" s="4" t="str">
        <f>IF(Table15[[#This Row],[Total Amount]]&gt;=1000,"High",(IF(Table15[[#This Row],[Total Amount]]&gt;=500,"Medium","Low")))</f>
        <v>Low</v>
      </c>
      <c r="M633" s="4" t="str" cm="1">
        <f t="array" ref="M63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33" s="4" cm="1">
        <f t="array" ref="N63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633" s="4">
        <f>Table15[[#This Row],[Total Amount]]-Table15[[#This Row],[Discount Amount]]</f>
        <v>85</v>
      </c>
    </row>
    <row r="634" spans="1:15" x14ac:dyDescent="0.35">
      <c r="A634" s="4">
        <v>633</v>
      </c>
      <c r="B634" s="5">
        <v>45145</v>
      </c>
      <c r="C634" s="4" t="s">
        <v>646</v>
      </c>
      <c r="D634" s="4" t="s">
        <v>10</v>
      </c>
      <c r="E634" s="4">
        <v>39</v>
      </c>
      <c r="F634" s="4" t="str">
        <f>IF(Table15[[#This Row],[Age]]&lt;=19,"Teenager",IF(Table15[[#This Row],[Age]]&lt;=40,"Median","Old"))</f>
        <v>Median</v>
      </c>
      <c r="G634" s="4" t="s">
        <v>11</v>
      </c>
      <c r="H634" s="4">
        <v>4</v>
      </c>
      <c r="I634" s="4">
        <v>30</v>
      </c>
      <c r="J634" s="4">
        <v>120</v>
      </c>
      <c r="K634" s="4" t="str" cm="1">
        <f t="array" ref="K634">_xlfn.IFS(AND(Table15[[#This Row],[Total Amount]]&gt;=1500),"Critical",AND(Table15[[#This Row],[Total Amount]]&gt;=1000),"High",TRUE,"Normal")</f>
        <v>Normal</v>
      </c>
      <c r="L634" s="4" t="str">
        <f>IF(Table15[[#This Row],[Total Amount]]&gt;=1000,"High",(IF(Table15[[#This Row],[Total Amount]]&gt;=500,"Medium","Low")))</f>
        <v>Low</v>
      </c>
      <c r="M634" s="4" t="str" cm="1">
        <f t="array" ref="M63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34" s="4" cm="1">
        <f t="array" ref="N63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634" s="4">
        <f>Table15[[#This Row],[Total Amount]]-Table15[[#This Row],[Discount Amount]]</f>
        <v>108</v>
      </c>
    </row>
    <row r="635" spans="1:15" x14ac:dyDescent="0.35">
      <c r="A635" s="4">
        <v>634</v>
      </c>
      <c r="B635" s="5">
        <v>45207</v>
      </c>
      <c r="C635" s="4" t="s">
        <v>647</v>
      </c>
      <c r="D635" s="4" t="s">
        <v>10</v>
      </c>
      <c r="E635" s="4">
        <v>60</v>
      </c>
      <c r="F635" s="4" t="str">
        <f>IF(Table15[[#This Row],[Age]]&lt;=19,"Teenager",IF(Table15[[#This Row],[Age]]&lt;=40,"Median","Old"))</f>
        <v>Old</v>
      </c>
      <c r="G635" s="4" t="s">
        <v>16</v>
      </c>
      <c r="H635" s="4">
        <v>4</v>
      </c>
      <c r="I635" s="4">
        <v>500</v>
      </c>
      <c r="J635" s="4">
        <v>2000</v>
      </c>
      <c r="K635" s="4" t="str" cm="1">
        <f t="array" ref="K635">_xlfn.IFS(AND(Table15[[#This Row],[Total Amount]]&gt;=1500),"Critical",AND(Table15[[#This Row],[Total Amount]]&gt;=1000),"High",TRUE,"Normal")</f>
        <v>Critical</v>
      </c>
      <c r="L635" s="4" t="str">
        <f>IF(Table15[[#This Row],[Total Amount]]&gt;=1000,"High",(IF(Table15[[#This Row],[Total Amount]]&gt;=500,"Medium","Low")))</f>
        <v>High</v>
      </c>
      <c r="M635" s="4" t="str" cm="1">
        <f t="array" ref="M63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35" s="4" cm="1">
        <f t="array" ref="N63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635" s="4">
        <f>Table15[[#This Row],[Total Amount]]-Table15[[#This Row],[Discount Amount]]</f>
        <v>1800</v>
      </c>
    </row>
    <row r="636" spans="1:15" x14ac:dyDescent="0.35">
      <c r="A636" s="4">
        <v>635</v>
      </c>
      <c r="B636" s="5">
        <v>45155</v>
      </c>
      <c r="C636" s="4" t="s">
        <v>648</v>
      </c>
      <c r="D636" s="4" t="s">
        <v>13</v>
      </c>
      <c r="E636" s="4">
        <v>63</v>
      </c>
      <c r="F636" s="4" t="str">
        <f>IF(Table15[[#This Row],[Age]]&lt;=19,"Teenager",IF(Table15[[#This Row],[Age]]&lt;=40,"Median","Old"))</f>
        <v>Old</v>
      </c>
      <c r="G636" s="4" t="s">
        <v>16</v>
      </c>
      <c r="H636" s="4">
        <v>3</v>
      </c>
      <c r="I636" s="4">
        <v>300</v>
      </c>
      <c r="J636" s="4">
        <v>900</v>
      </c>
      <c r="K636" s="4" t="str" cm="1">
        <f t="array" ref="K636">_xlfn.IFS(AND(Table15[[#This Row],[Total Amount]]&gt;=1500),"Critical",AND(Table15[[#This Row],[Total Amount]]&gt;=1000),"High",TRUE,"Normal")</f>
        <v>Normal</v>
      </c>
      <c r="L636" s="4" t="str">
        <f>IF(Table15[[#This Row],[Total Amount]]&gt;=1000,"High",(IF(Table15[[#This Row],[Total Amount]]&gt;=500,"Medium","Low")))</f>
        <v>Medium</v>
      </c>
      <c r="M636" s="4" t="str" cm="1">
        <f t="array" ref="M63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36" s="4" cm="1">
        <f t="array" ref="N63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636" s="4">
        <f>Table15[[#This Row],[Total Amount]]-Table15[[#This Row],[Discount Amount]]</f>
        <v>720</v>
      </c>
    </row>
    <row r="637" spans="1:15" x14ac:dyDescent="0.35">
      <c r="A637" s="4">
        <v>636</v>
      </c>
      <c r="B637" s="5">
        <v>45008</v>
      </c>
      <c r="C637" s="4" t="s">
        <v>649</v>
      </c>
      <c r="D637" s="4" t="s">
        <v>13</v>
      </c>
      <c r="E637" s="4">
        <v>21</v>
      </c>
      <c r="F637" s="4" t="str">
        <f>IF(Table15[[#This Row],[Age]]&lt;=19,"Teenager",IF(Table15[[#This Row],[Age]]&lt;=40,"Median","Old"))</f>
        <v>Median</v>
      </c>
      <c r="G637" s="4" t="s">
        <v>11</v>
      </c>
      <c r="H637" s="4">
        <v>3</v>
      </c>
      <c r="I637" s="4">
        <v>500</v>
      </c>
      <c r="J637" s="4">
        <v>1500</v>
      </c>
      <c r="K637" s="4" t="str" cm="1">
        <f t="array" ref="K637">_xlfn.IFS(AND(Table15[[#This Row],[Total Amount]]&gt;=1500),"Critical",AND(Table15[[#This Row],[Total Amount]]&gt;=1000),"High",TRUE,"Normal")</f>
        <v>Critical</v>
      </c>
      <c r="L637" s="4" t="str">
        <f>IF(Table15[[#This Row],[Total Amount]]&gt;=1000,"High",(IF(Table15[[#This Row],[Total Amount]]&gt;=500,"Medium","Low")))</f>
        <v>High</v>
      </c>
      <c r="M637" s="4" t="str" cm="1">
        <f t="array" ref="M63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37" s="4" cm="1">
        <f t="array" ref="N63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37" s="4">
        <f>Table15[[#This Row],[Total Amount]]-Table15[[#This Row],[Discount Amount]]</f>
        <v>1500</v>
      </c>
    </row>
    <row r="638" spans="1:15" x14ac:dyDescent="0.35">
      <c r="A638" s="4">
        <v>637</v>
      </c>
      <c r="B638" s="5">
        <v>45170</v>
      </c>
      <c r="C638" s="4" t="s">
        <v>650</v>
      </c>
      <c r="D638" s="4" t="s">
        <v>10</v>
      </c>
      <c r="E638" s="4">
        <v>43</v>
      </c>
      <c r="F638" s="4" t="str">
        <f>IF(Table15[[#This Row],[Age]]&lt;=19,"Teenager",IF(Table15[[#This Row],[Age]]&lt;=40,"Median","Old"))</f>
        <v>Old</v>
      </c>
      <c r="G638" s="4" t="s">
        <v>14</v>
      </c>
      <c r="H638" s="4">
        <v>2</v>
      </c>
      <c r="I638" s="4">
        <v>300</v>
      </c>
      <c r="J638" s="4">
        <v>600</v>
      </c>
      <c r="K638" s="4" t="str" cm="1">
        <f t="array" ref="K638">_xlfn.IFS(AND(Table15[[#This Row],[Total Amount]]&gt;=1500),"Critical",AND(Table15[[#This Row],[Total Amount]]&gt;=1000),"High",TRUE,"Normal")</f>
        <v>Normal</v>
      </c>
      <c r="L638" s="4" t="str">
        <f>IF(Table15[[#This Row],[Total Amount]]&gt;=1000,"High",(IF(Table15[[#This Row],[Total Amount]]&gt;=500,"Medium","Low")))</f>
        <v>Medium</v>
      </c>
      <c r="M638" s="4" t="str" cm="1">
        <f t="array" ref="M63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38" s="4" cm="1">
        <f t="array" ref="N63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638" s="4">
        <f>Table15[[#This Row],[Total Amount]]-Table15[[#This Row],[Discount Amount]]</f>
        <v>540</v>
      </c>
    </row>
    <row r="639" spans="1:15" x14ac:dyDescent="0.35">
      <c r="A639" s="4">
        <v>638</v>
      </c>
      <c r="B639" s="5">
        <v>45157</v>
      </c>
      <c r="C639" s="4" t="s">
        <v>651</v>
      </c>
      <c r="D639" s="4" t="s">
        <v>10</v>
      </c>
      <c r="E639" s="4">
        <v>46</v>
      </c>
      <c r="F639" s="4" t="str">
        <f>IF(Table15[[#This Row],[Age]]&lt;=19,"Teenager",IF(Table15[[#This Row],[Age]]&lt;=40,"Median","Old"))</f>
        <v>Old</v>
      </c>
      <c r="G639" s="4" t="s">
        <v>16</v>
      </c>
      <c r="H639" s="4">
        <v>1</v>
      </c>
      <c r="I639" s="4">
        <v>500</v>
      </c>
      <c r="J639" s="4">
        <v>500</v>
      </c>
      <c r="K639" s="4" t="str" cm="1">
        <f t="array" ref="K639">_xlfn.IFS(AND(Table15[[#This Row],[Total Amount]]&gt;=1500),"Critical",AND(Table15[[#This Row],[Total Amount]]&gt;=1000),"High",TRUE,"Normal")</f>
        <v>Normal</v>
      </c>
      <c r="L639" s="4" t="str">
        <f>IF(Table15[[#This Row],[Total Amount]]&gt;=1000,"High",(IF(Table15[[#This Row],[Total Amount]]&gt;=500,"Medium","Low")))</f>
        <v>Medium</v>
      </c>
      <c r="M639" s="4" t="str" cm="1">
        <f t="array" ref="M63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39" s="4" cm="1">
        <f t="array" ref="N63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639" s="4">
        <f>Table15[[#This Row],[Total Amount]]-Table15[[#This Row],[Discount Amount]]</f>
        <v>450</v>
      </c>
    </row>
    <row r="640" spans="1:15" x14ac:dyDescent="0.35">
      <c r="A640" s="4">
        <v>639</v>
      </c>
      <c r="B640" s="5">
        <v>45059</v>
      </c>
      <c r="C640" s="4" t="s">
        <v>652</v>
      </c>
      <c r="D640" s="4" t="s">
        <v>13</v>
      </c>
      <c r="E640" s="4">
        <v>62</v>
      </c>
      <c r="F640" s="4" t="str">
        <f>IF(Table15[[#This Row],[Age]]&lt;=19,"Teenager",IF(Table15[[#This Row],[Age]]&lt;=40,"Median","Old"))</f>
        <v>Old</v>
      </c>
      <c r="G640" s="4" t="s">
        <v>11</v>
      </c>
      <c r="H640" s="4">
        <v>4</v>
      </c>
      <c r="I640" s="4">
        <v>50</v>
      </c>
      <c r="J640" s="4">
        <v>200</v>
      </c>
      <c r="K640" s="4" t="str" cm="1">
        <f t="array" ref="K640">_xlfn.IFS(AND(Table15[[#This Row],[Total Amount]]&gt;=1500),"Critical",AND(Table15[[#This Row],[Total Amount]]&gt;=1000),"High",TRUE,"Normal")</f>
        <v>Normal</v>
      </c>
      <c r="L640" s="4" t="str">
        <f>IF(Table15[[#This Row],[Total Amount]]&gt;=1000,"High",(IF(Table15[[#This Row],[Total Amount]]&gt;=500,"Medium","Low")))</f>
        <v>Low</v>
      </c>
      <c r="M640" s="4" t="str" cm="1">
        <f t="array" ref="M64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40" s="4" cm="1">
        <f t="array" ref="N64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640" s="4">
        <f>Table15[[#This Row],[Total Amount]]-Table15[[#This Row],[Discount Amount]]</f>
        <v>160</v>
      </c>
    </row>
    <row r="641" spans="1:15" x14ac:dyDescent="0.35">
      <c r="A641" s="4">
        <v>640</v>
      </c>
      <c r="B641" s="5">
        <v>45053</v>
      </c>
      <c r="C641" s="4" t="s">
        <v>653</v>
      </c>
      <c r="D641" s="4" t="s">
        <v>13</v>
      </c>
      <c r="E641" s="4">
        <v>51</v>
      </c>
      <c r="F641" s="4" t="str">
        <f>IF(Table15[[#This Row],[Age]]&lt;=19,"Teenager",IF(Table15[[#This Row],[Age]]&lt;=40,"Median","Old"))</f>
        <v>Old</v>
      </c>
      <c r="G641" s="4" t="s">
        <v>16</v>
      </c>
      <c r="H641" s="4">
        <v>4</v>
      </c>
      <c r="I641" s="4">
        <v>30</v>
      </c>
      <c r="J641" s="4">
        <v>120</v>
      </c>
      <c r="K641" s="4" t="str" cm="1">
        <f t="array" ref="K641">_xlfn.IFS(AND(Table15[[#This Row],[Total Amount]]&gt;=1500),"Critical",AND(Table15[[#This Row],[Total Amount]]&gt;=1000),"High",TRUE,"Normal")</f>
        <v>Normal</v>
      </c>
      <c r="L641" s="4" t="str">
        <f>IF(Table15[[#This Row],[Total Amount]]&gt;=1000,"High",(IF(Table15[[#This Row],[Total Amount]]&gt;=500,"Medium","Low")))</f>
        <v>Low</v>
      </c>
      <c r="M641" s="4" t="str" cm="1">
        <f t="array" ref="M64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41" s="4" cm="1">
        <f t="array" ref="N64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641" s="4">
        <f>Table15[[#This Row],[Total Amount]]-Table15[[#This Row],[Discount Amount]]</f>
        <v>96</v>
      </c>
    </row>
    <row r="642" spans="1:15" x14ac:dyDescent="0.35">
      <c r="A642" s="4">
        <v>641</v>
      </c>
      <c r="B642" s="5">
        <v>45253</v>
      </c>
      <c r="C642" s="4" t="s">
        <v>654</v>
      </c>
      <c r="D642" s="4" t="s">
        <v>13</v>
      </c>
      <c r="E642" s="4">
        <v>40</v>
      </c>
      <c r="F642" s="4" t="str">
        <f>IF(Table15[[#This Row],[Age]]&lt;=19,"Teenager",IF(Table15[[#This Row],[Age]]&lt;=40,"Median","Old"))</f>
        <v>Median</v>
      </c>
      <c r="G642" s="4" t="s">
        <v>16</v>
      </c>
      <c r="H642" s="4">
        <v>1</v>
      </c>
      <c r="I642" s="4">
        <v>300</v>
      </c>
      <c r="J642" s="4">
        <v>300</v>
      </c>
      <c r="K642" s="4" t="str" cm="1">
        <f t="array" ref="K642">_xlfn.IFS(AND(Table15[[#This Row],[Total Amount]]&gt;=1500),"Critical",AND(Table15[[#This Row],[Total Amount]]&gt;=1000),"High",TRUE,"Normal")</f>
        <v>Normal</v>
      </c>
      <c r="L642" s="4" t="str">
        <f>IF(Table15[[#This Row],[Total Amount]]&gt;=1000,"High",(IF(Table15[[#This Row],[Total Amount]]&gt;=500,"Medium","Low")))</f>
        <v>Low</v>
      </c>
      <c r="M642" s="4" t="str" cm="1">
        <f t="array" ref="M64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42" s="4" cm="1">
        <f t="array" ref="N64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642" s="4">
        <f>Table15[[#This Row],[Total Amount]]-Table15[[#This Row],[Discount Amount]]</f>
        <v>240</v>
      </c>
    </row>
    <row r="643" spans="1:15" x14ac:dyDescent="0.35">
      <c r="A643" s="4">
        <v>642</v>
      </c>
      <c r="B643" s="5">
        <v>45068</v>
      </c>
      <c r="C643" s="4" t="s">
        <v>655</v>
      </c>
      <c r="D643" s="4" t="s">
        <v>13</v>
      </c>
      <c r="E643" s="4">
        <v>54</v>
      </c>
      <c r="F643" s="4" t="str">
        <f>IF(Table15[[#This Row],[Age]]&lt;=19,"Teenager",IF(Table15[[#This Row],[Age]]&lt;=40,"Median","Old"))</f>
        <v>Old</v>
      </c>
      <c r="G643" s="4" t="s">
        <v>14</v>
      </c>
      <c r="H643" s="4">
        <v>4</v>
      </c>
      <c r="I643" s="4">
        <v>25</v>
      </c>
      <c r="J643" s="4">
        <v>100</v>
      </c>
      <c r="K643" s="4" t="str" cm="1">
        <f t="array" ref="K643">_xlfn.IFS(AND(Table15[[#This Row],[Total Amount]]&gt;=1500),"Critical",AND(Table15[[#This Row],[Total Amount]]&gt;=1000),"High",TRUE,"Normal")</f>
        <v>Normal</v>
      </c>
      <c r="L643" s="4" t="str">
        <f>IF(Table15[[#This Row],[Total Amount]]&gt;=1000,"High",(IF(Table15[[#This Row],[Total Amount]]&gt;=500,"Medium","Low")))</f>
        <v>Low</v>
      </c>
      <c r="M643" s="4" t="str" cm="1">
        <f t="array" ref="M64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43" s="4" cm="1">
        <f t="array" ref="N64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643" s="4">
        <f>Table15[[#This Row],[Total Amount]]-Table15[[#This Row],[Discount Amount]]</f>
        <v>80</v>
      </c>
    </row>
    <row r="644" spans="1:15" x14ac:dyDescent="0.35">
      <c r="A644" s="4">
        <v>643</v>
      </c>
      <c r="B644" s="5">
        <v>45193</v>
      </c>
      <c r="C644" s="4" t="s">
        <v>656</v>
      </c>
      <c r="D644" s="4" t="s">
        <v>13</v>
      </c>
      <c r="E644" s="4">
        <v>28</v>
      </c>
      <c r="F644" s="4" t="str">
        <f>IF(Table15[[#This Row],[Age]]&lt;=19,"Teenager",IF(Table15[[#This Row],[Age]]&lt;=40,"Median","Old"))</f>
        <v>Median</v>
      </c>
      <c r="G644" s="4" t="s">
        <v>16</v>
      </c>
      <c r="H644" s="4">
        <v>3</v>
      </c>
      <c r="I644" s="4">
        <v>30</v>
      </c>
      <c r="J644" s="4">
        <v>90</v>
      </c>
      <c r="K644" s="4" t="str" cm="1">
        <f t="array" ref="K644">_xlfn.IFS(AND(Table15[[#This Row],[Total Amount]]&gt;=1500),"Critical",AND(Table15[[#This Row],[Total Amount]]&gt;=1000),"High",TRUE,"Normal")</f>
        <v>Normal</v>
      </c>
      <c r="L644" s="4" t="str">
        <f>IF(Table15[[#This Row],[Total Amount]]&gt;=1000,"High",(IF(Table15[[#This Row],[Total Amount]]&gt;=500,"Medium","Low")))</f>
        <v>Low</v>
      </c>
      <c r="M644" s="4" t="str" cm="1">
        <f t="array" ref="M64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44" s="4" cm="1">
        <f t="array" ref="N64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13.5</v>
      </c>
      <c r="O644" s="4">
        <f>Table15[[#This Row],[Total Amount]]-Table15[[#This Row],[Discount Amount]]</f>
        <v>76.5</v>
      </c>
    </row>
    <row r="645" spans="1:15" x14ac:dyDescent="0.35">
      <c r="A645" s="4">
        <v>644</v>
      </c>
      <c r="B645" s="5">
        <v>45175</v>
      </c>
      <c r="C645" s="4" t="s">
        <v>657</v>
      </c>
      <c r="D645" s="4" t="s">
        <v>10</v>
      </c>
      <c r="E645" s="4">
        <v>23</v>
      </c>
      <c r="F645" s="4" t="str">
        <f>IF(Table15[[#This Row],[Age]]&lt;=19,"Teenager",IF(Table15[[#This Row],[Age]]&lt;=40,"Median","Old"))</f>
        <v>Median</v>
      </c>
      <c r="G645" s="4" t="s">
        <v>11</v>
      </c>
      <c r="H645" s="4">
        <v>3</v>
      </c>
      <c r="I645" s="4">
        <v>25</v>
      </c>
      <c r="J645" s="4">
        <v>75</v>
      </c>
      <c r="K645" s="4" t="str" cm="1">
        <f t="array" ref="K645">_xlfn.IFS(AND(Table15[[#This Row],[Total Amount]]&gt;=1500),"Critical",AND(Table15[[#This Row],[Total Amount]]&gt;=1000),"High",TRUE,"Normal")</f>
        <v>Normal</v>
      </c>
      <c r="L645" s="4" t="str">
        <f>IF(Table15[[#This Row],[Total Amount]]&gt;=1000,"High",(IF(Table15[[#This Row],[Total Amount]]&gt;=500,"Medium","Low")))</f>
        <v>Low</v>
      </c>
      <c r="M645" s="4" t="str" cm="1">
        <f t="array" ref="M64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45" s="4" cm="1">
        <f t="array" ref="N64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45" s="4">
        <f>Table15[[#This Row],[Total Amount]]-Table15[[#This Row],[Discount Amount]]</f>
        <v>75</v>
      </c>
    </row>
    <row r="646" spans="1:15" x14ac:dyDescent="0.35">
      <c r="A646" s="4">
        <v>645</v>
      </c>
      <c r="B646" s="5">
        <v>45247</v>
      </c>
      <c r="C646" s="4" t="s">
        <v>658</v>
      </c>
      <c r="D646" s="4" t="s">
        <v>13</v>
      </c>
      <c r="E646" s="4">
        <v>35</v>
      </c>
      <c r="F646" s="4" t="str">
        <f>IF(Table15[[#This Row],[Age]]&lt;=19,"Teenager",IF(Table15[[#This Row],[Age]]&lt;=40,"Median","Old"))</f>
        <v>Median</v>
      </c>
      <c r="G646" s="4" t="s">
        <v>16</v>
      </c>
      <c r="H646" s="4">
        <v>4</v>
      </c>
      <c r="I646" s="4">
        <v>30</v>
      </c>
      <c r="J646" s="4">
        <v>120</v>
      </c>
      <c r="K646" s="4" t="str" cm="1">
        <f t="array" ref="K646">_xlfn.IFS(AND(Table15[[#This Row],[Total Amount]]&gt;=1500),"Critical",AND(Table15[[#This Row],[Total Amount]]&gt;=1000),"High",TRUE,"Normal")</f>
        <v>Normal</v>
      </c>
      <c r="L646" s="4" t="str">
        <f>IF(Table15[[#This Row],[Total Amount]]&gt;=1000,"High",(IF(Table15[[#This Row],[Total Amount]]&gt;=500,"Medium","Low")))</f>
        <v>Low</v>
      </c>
      <c r="M646" s="4" t="str" cm="1">
        <f t="array" ref="M64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46" s="4" cm="1">
        <f t="array" ref="N64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646" s="4">
        <f>Table15[[#This Row],[Total Amount]]-Table15[[#This Row],[Discount Amount]]</f>
        <v>96</v>
      </c>
    </row>
    <row r="647" spans="1:15" x14ac:dyDescent="0.35">
      <c r="A647" s="4">
        <v>646</v>
      </c>
      <c r="B647" s="5">
        <v>45049</v>
      </c>
      <c r="C647" s="4" t="s">
        <v>659</v>
      </c>
      <c r="D647" s="4" t="s">
        <v>10</v>
      </c>
      <c r="E647" s="4">
        <v>38</v>
      </c>
      <c r="F647" s="4" t="str">
        <f>IF(Table15[[#This Row],[Age]]&lt;=19,"Teenager",IF(Table15[[#This Row],[Age]]&lt;=40,"Median","Old"))</f>
        <v>Median</v>
      </c>
      <c r="G647" s="4" t="s">
        <v>14</v>
      </c>
      <c r="H647" s="4">
        <v>3</v>
      </c>
      <c r="I647" s="4">
        <v>30</v>
      </c>
      <c r="J647" s="4">
        <v>90</v>
      </c>
      <c r="K647" s="4" t="str" cm="1">
        <f t="array" ref="K647">_xlfn.IFS(AND(Table15[[#This Row],[Total Amount]]&gt;=1500),"Critical",AND(Table15[[#This Row],[Total Amount]]&gt;=1000),"High",TRUE,"Normal")</f>
        <v>Normal</v>
      </c>
      <c r="L647" s="4" t="str">
        <f>IF(Table15[[#This Row],[Total Amount]]&gt;=1000,"High",(IF(Table15[[#This Row],[Total Amount]]&gt;=500,"Medium","Low")))</f>
        <v>Low</v>
      </c>
      <c r="M647" s="4" t="str" cm="1">
        <f t="array" ref="M64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47" s="4" cm="1">
        <f t="array" ref="N64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647" s="4">
        <f>Table15[[#This Row],[Total Amount]]-Table15[[#This Row],[Discount Amount]]</f>
        <v>81</v>
      </c>
    </row>
    <row r="648" spans="1:15" x14ac:dyDescent="0.35">
      <c r="A648" s="4">
        <v>647</v>
      </c>
      <c r="B648" s="5">
        <v>45067</v>
      </c>
      <c r="C648" s="4" t="s">
        <v>660</v>
      </c>
      <c r="D648" s="4" t="s">
        <v>10</v>
      </c>
      <c r="E648" s="4">
        <v>59</v>
      </c>
      <c r="F648" s="4" t="str">
        <f>IF(Table15[[#This Row],[Age]]&lt;=19,"Teenager",IF(Table15[[#This Row],[Age]]&lt;=40,"Median","Old"))</f>
        <v>Old</v>
      </c>
      <c r="G648" s="4" t="s">
        <v>14</v>
      </c>
      <c r="H648" s="4">
        <v>3</v>
      </c>
      <c r="I648" s="4">
        <v>500</v>
      </c>
      <c r="J648" s="4">
        <v>1500</v>
      </c>
      <c r="K648" s="4" t="str" cm="1">
        <f t="array" ref="K648">_xlfn.IFS(AND(Table15[[#This Row],[Total Amount]]&gt;=1500),"Critical",AND(Table15[[#This Row],[Total Amount]]&gt;=1000),"High",TRUE,"Normal")</f>
        <v>Critical</v>
      </c>
      <c r="L648" s="4" t="str">
        <f>IF(Table15[[#This Row],[Total Amount]]&gt;=1000,"High",(IF(Table15[[#This Row],[Total Amount]]&gt;=500,"Medium","Low")))</f>
        <v>High</v>
      </c>
      <c r="M648" s="4" t="str" cm="1">
        <f t="array" ref="M64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48" s="4" cm="1">
        <f t="array" ref="N64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648" s="4">
        <f>Table15[[#This Row],[Total Amount]]-Table15[[#This Row],[Discount Amount]]</f>
        <v>1350</v>
      </c>
    </row>
    <row r="649" spans="1:15" x14ac:dyDescent="0.35">
      <c r="A649" s="4">
        <v>648</v>
      </c>
      <c r="B649" s="5">
        <v>45152</v>
      </c>
      <c r="C649" s="4" t="s">
        <v>661</v>
      </c>
      <c r="D649" s="4" t="s">
        <v>10</v>
      </c>
      <c r="E649" s="4">
        <v>53</v>
      </c>
      <c r="F649" s="4" t="str">
        <f>IF(Table15[[#This Row],[Age]]&lt;=19,"Teenager",IF(Table15[[#This Row],[Age]]&lt;=40,"Median","Old"))</f>
        <v>Old</v>
      </c>
      <c r="G649" s="4" t="s">
        <v>11</v>
      </c>
      <c r="H649" s="4">
        <v>4</v>
      </c>
      <c r="I649" s="4">
        <v>300</v>
      </c>
      <c r="J649" s="4">
        <v>1200</v>
      </c>
      <c r="K649" s="4" t="str" cm="1">
        <f t="array" ref="K649">_xlfn.IFS(AND(Table15[[#This Row],[Total Amount]]&gt;=1500),"Critical",AND(Table15[[#This Row],[Total Amount]]&gt;=1000),"High",TRUE,"Normal")</f>
        <v>High</v>
      </c>
      <c r="L649" s="4" t="str">
        <f>IF(Table15[[#This Row],[Total Amount]]&gt;=1000,"High",(IF(Table15[[#This Row],[Total Amount]]&gt;=500,"Medium","Low")))</f>
        <v>High</v>
      </c>
      <c r="M649" s="4" t="str" cm="1">
        <f t="array" ref="M64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49" s="4" cm="1">
        <f t="array" ref="N64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649" s="4">
        <f>Table15[[#This Row],[Total Amount]]-Table15[[#This Row],[Discount Amount]]</f>
        <v>1080</v>
      </c>
    </row>
    <row r="650" spans="1:15" x14ac:dyDescent="0.35">
      <c r="A650" s="4">
        <v>649</v>
      </c>
      <c r="B650" s="5">
        <v>44966</v>
      </c>
      <c r="C650" s="4" t="s">
        <v>662</v>
      </c>
      <c r="D650" s="4" t="s">
        <v>13</v>
      </c>
      <c r="E650" s="4">
        <v>58</v>
      </c>
      <c r="F650" s="4" t="str">
        <f>IF(Table15[[#This Row],[Age]]&lt;=19,"Teenager",IF(Table15[[#This Row],[Age]]&lt;=40,"Median","Old"))</f>
        <v>Old</v>
      </c>
      <c r="G650" s="4" t="s">
        <v>14</v>
      </c>
      <c r="H650" s="4">
        <v>2</v>
      </c>
      <c r="I650" s="4">
        <v>300</v>
      </c>
      <c r="J650" s="4">
        <v>600</v>
      </c>
      <c r="K650" s="4" t="str" cm="1">
        <f t="array" ref="K650">_xlfn.IFS(AND(Table15[[#This Row],[Total Amount]]&gt;=1500),"Critical",AND(Table15[[#This Row],[Total Amount]]&gt;=1000),"High",TRUE,"Normal")</f>
        <v>Normal</v>
      </c>
      <c r="L650" s="4" t="str">
        <f>IF(Table15[[#This Row],[Total Amount]]&gt;=1000,"High",(IF(Table15[[#This Row],[Total Amount]]&gt;=500,"Medium","Low")))</f>
        <v>Medium</v>
      </c>
      <c r="M650" s="4" t="str" cm="1">
        <f t="array" ref="M65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50" s="4" cm="1">
        <f t="array" ref="N65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650" s="4">
        <f>Table15[[#This Row],[Total Amount]]-Table15[[#This Row],[Discount Amount]]</f>
        <v>480</v>
      </c>
    </row>
    <row r="651" spans="1:15" x14ac:dyDescent="0.35">
      <c r="A651" s="4">
        <v>650</v>
      </c>
      <c r="B651" s="5">
        <v>45292</v>
      </c>
      <c r="C651" s="4" t="s">
        <v>663</v>
      </c>
      <c r="D651" s="4" t="s">
        <v>10</v>
      </c>
      <c r="E651" s="4">
        <v>55</v>
      </c>
      <c r="F651" s="4" t="str">
        <f>IF(Table15[[#This Row],[Age]]&lt;=19,"Teenager",IF(Table15[[#This Row],[Age]]&lt;=40,"Median","Old"))</f>
        <v>Old</v>
      </c>
      <c r="G651" s="4" t="s">
        <v>16</v>
      </c>
      <c r="H651" s="4">
        <v>1</v>
      </c>
      <c r="I651" s="4">
        <v>30</v>
      </c>
      <c r="J651" s="4">
        <v>30</v>
      </c>
      <c r="K651" s="4" t="str" cm="1">
        <f t="array" ref="K651">_xlfn.IFS(AND(Table15[[#This Row],[Total Amount]]&gt;=1500),"Critical",AND(Table15[[#This Row],[Total Amount]]&gt;=1000),"High",TRUE,"Normal")</f>
        <v>Normal</v>
      </c>
      <c r="L651" s="4" t="str">
        <f>IF(Table15[[#This Row],[Total Amount]]&gt;=1000,"High",(IF(Table15[[#This Row],[Total Amount]]&gt;=500,"Medium","Low")))</f>
        <v>Low</v>
      </c>
      <c r="M651" s="4" t="str" cm="1">
        <f t="array" ref="M65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51" s="4" cm="1">
        <f t="array" ref="N65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651" s="4">
        <f>Table15[[#This Row],[Total Amount]]-Table15[[#This Row],[Discount Amount]]</f>
        <v>27</v>
      </c>
    </row>
    <row r="652" spans="1:15" x14ac:dyDescent="0.35">
      <c r="A652" s="4">
        <v>651</v>
      </c>
      <c r="B652" s="5">
        <v>45073</v>
      </c>
      <c r="C652" s="4" t="s">
        <v>664</v>
      </c>
      <c r="D652" s="4" t="s">
        <v>10</v>
      </c>
      <c r="E652" s="4">
        <v>51</v>
      </c>
      <c r="F652" s="4" t="str">
        <f>IF(Table15[[#This Row],[Age]]&lt;=19,"Teenager",IF(Table15[[#This Row],[Age]]&lt;=40,"Median","Old"))</f>
        <v>Old</v>
      </c>
      <c r="G652" s="4" t="s">
        <v>14</v>
      </c>
      <c r="H652" s="4">
        <v>3</v>
      </c>
      <c r="I652" s="4">
        <v>50</v>
      </c>
      <c r="J652" s="4">
        <v>150</v>
      </c>
      <c r="K652" s="4" t="str" cm="1">
        <f t="array" ref="K652">_xlfn.IFS(AND(Table15[[#This Row],[Total Amount]]&gt;=1500),"Critical",AND(Table15[[#This Row],[Total Amount]]&gt;=1000),"High",TRUE,"Normal")</f>
        <v>Normal</v>
      </c>
      <c r="L652" s="4" t="str">
        <f>IF(Table15[[#This Row],[Total Amount]]&gt;=1000,"High",(IF(Table15[[#This Row],[Total Amount]]&gt;=500,"Medium","Low")))</f>
        <v>Low</v>
      </c>
      <c r="M652" s="4" t="str" cm="1">
        <f t="array" ref="M65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52" s="4" cm="1">
        <f t="array" ref="N65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652" s="4">
        <f>Table15[[#This Row],[Total Amount]]-Table15[[#This Row],[Discount Amount]]</f>
        <v>135</v>
      </c>
    </row>
    <row r="653" spans="1:15" x14ac:dyDescent="0.35">
      <c r="A653" s="4">
        <v>652</v>
      </c>
      <c r="B653" s="5">
        <v>45047</v>
      </c>
      <c r="C653" s="4" t="s">
        <v>665</v>
      </c>
      <c r="D653" s="4" t="s">
        <v>13</v>
      </c>
      <c r="E653" s="4">
        <v>34</v>
      </c>
      <c r="F653" s="4" t="str">
        <f>IF(Table15[[#This Row],[Age]]&lt;=19,"Teenager",IF(Table15[[#This Row],[Age]]&lt;=40,"Median","Old"))</f>
        <v>Median</v>
      </c>
      <c r="G653" s="4" t="s">
        <v>11</v>
      </c>
      <c r="H653" s="4">
        <v>2</v>
      </c>
      <c r="I653" s="4">
        <v>50</v>
      </c>
      <c r="J653" s="4">
        <v>100</v>
      </c>
      <c r="K653" s="4" t="str" cm="1">
        <f t="array" ref="K653">_xlfn.IFS(AND(Table15[[#This Row],[Total Amount]]&gt;=1500),"Critical",AND(Table15[[#This Row],[Total Amount]]&gt;=1000),"High",TRUE,"Normal")</f>
        <v>Normal</v>
      </c>
      <c r="L653" s="4" t="str">
        <f>IF(Table15[[#This Row],[Total Amount]]&gt;=1000,"High",(IF(Table15[[#This Row],[Total Amount]]&gt;=500,"Medium","Low")))</f>
        <v>Low</v>
      </c>
      <c r="M653" s="4" t="str" cm="1">
        <f t="array" ref="M65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53" s="4" cm="1">
        <f t="array" ref="N65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653" s="4">
        <f>Table15[[#This Row],[Total Amount]]-Table15[[#This Row],[Discount Amount]]</f>
        <v>85</v>
      </c>
    </row>
    <row r="654" spans="1:15" x14ac:dyDescent="0.35">
      <c r="A654" s="4">
        <v>653</v>
      </c>
      <c r="B654" s="5">
        <v>45066</v>
      </c>
      <c r="C654" s="4" t="s">
        <v>666</v>
      </c>
      <c r="D654" s="4" t="s">
        <v>10</v>
      </c>
      <c r="E654" s="4">
        <v>54</v>
      </c>
      <c r="F654" s="4" t="str">
        <f>IF(Table15[[#This Row],[Age]]&lt;=19,"Teenager",IF(Table15[[#This Row],[Age]]&lt;=40,"Median","Old"))</f>
        <v>Old</v>
      </c>
      <c r="G654" s="4" t="s">
        <v>14</v>
      </c>
      <c r="H654" s="4">
        <v>3</v>
      </c>
      <c r="I654" s="4">
        <v>25</v>
      </c>
      <c r="J654" s="4">
        <v>75</v>
      </c>
      <c r="K654" s="4" t="str" cm="1">
        <f t="array" ref="K654">_xlfn.IFS(AND(Table15[[#This Row],[Total Amount]]&gt;=1500),"Critical",AND(Table15[[#This Row],[Total Amount]]&gt;=1000),"High",TRUE,"Normal")</f>
        <v>Normal</v>
      </c>
      <c r="L654" s="4" t="str">
        <f>IF(Table15[[#This Row],[Total Amount]]&gt;=1000,"High",(IF(Table15[[#This Row],[Total Amount]]&gt;=500,"Medium","Low")))</f>
        <v>Low</v>
      </c>
      <c r="M654" s="4" t="str" cm="1">
        <f t="array" ref="M65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54" s="4" cm="1">
        <f t="array" ref="N65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654" s="4">
        <f>Table15[[#This Row],[Total Amount]]-Table15[[#This Row],[Discount Amount]]</f>
        <v>67.5</v>
      </c>
    </row>
    <row r="655" spans="1:15" x14ac:dyDescent="0.35">
      <c r="A655" s="4">
        <v>654</v>
      </c>
      <c r="B655" s="5">
        <v>45098</v>
      </c>
      <c r="C655" s="4" t="s">
        <v>667</v>
      </c>
      <c r="D655" s="4" t="s">
        <v>10</v>
      </c>
      <c r="E655" s="4">
        <v>42</v>
      </c>
      <c r="F655" s="4" t="str">
        <f>IF(Table15[[#This Row],[Age]]&lt;=19,"Teenager",IF(Table15[[#This Row],[Age]]&lt;=40,"Median","Old"))</f>
        <v>Old</v>
      </c>
      <c r="G655" s="4" t="s">
        <v>14</v>
      </c>
      <c r="H655" s="4">
        <v>3</v>
      </c>
      <c r="I655" s="4">
        <v>25</v>
      </c>
      <c r="J655" s="4">
        <v>75</v>
      </c>
      <c r="K655" s="4" t="str" cm="1">
        <f t="array" ref="K655">_xlfn.IFS(AND(Table15[[#This Row],[Total Amount]]&gt;=1500),"Critical",AND(Table15[[#This Row],[Total Amount]]&gt;=1000),"High",TRUE,"Normal")</f>
        <v>Normal</v>
      </c>
      <c r="L655" s="4" t="str">
        <f>IF(Table15[[#This Row],[Total Amount]]&gt;=1000,"High",(IF(Table15[[#This Row],[Total Amount]]&gt;=500,"Medium","Low")))</f>
        <v>Low</v>
      </c>
      <c r="M655" s="4" t="str" cm="1">
        <f t="array" ref="M65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55" s="4" cm="1">
        <f t="array" ref="N65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655" s="4">
        <f>Table15[[#This Row],[Total Amount]]-Table15[[#This Row],[Discount Amount]]</f>
        <v>67.5</v>
      </c>
    </row>
    <row r="656" spans="1:15" x14ac:dyDescent="0.35">
      <c r="A656" s="4">
        <v>655</v>
      </c>
      <c r="B656" s="5">
        <v>45090</v>
      </c>
      <c r="C656" s="4" t="s">
        <v>668</v>
      </c>
      <c r="D656" s="4" t="s">
        <v>13</v>
      </c>
      <c r="E656" s="4">
        <v>55</v>
      </c>
      <c r="F656" s="4" t="str">
        <f>IF(Table15[[#This Row],[Age]]&lt;=19,"Teenager",IF(Table15[[#This Row],[Age]]&lt;=40,"Median","Old"))</f>
        <v>Old</v>
      </c>
      <c r="G656" s="4" t="s">
        <v>14</v>
      </c>
      <c r="H656" s="4">
        <v>1</v>
      </c>
      <c r="I656" s="4">
        <v>500</v>
      </c>
      <c r="J656" s="4">
        <v>500</v>
      </c>
      <c r="K656" s="4" t="str" cm="1">
        <f t="array" ref="K656">_xlfn.IFS(AND(Table15[[#This Row],[Total Amount]]&gt;=1500),"Critical",AND(Table15[[#This Row],[Total Amount]]&gt;=1000),"High",TRUE,"Normal")</f>
        <v>Normal</v>
      </c>
      <c r="L656" s="4" t="str">
        <f>IF(Table15[[#This Row],[Total Amount]]&gt;=1000,"High",(IF(Table15[[#This Row],[Total Amount]]&gt;=500,"Medium","Low")))</f>
        <v>Medium</v>
      </c>
      <c r="M656" s="4" t="str" cm="1">
        <f t="array" ref="M65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56" s="4" cm="1">
        <f t="array" ref="N65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656" s="4">
        <f>Table15[[#This Row],[Total Amount]]-Table15[[#This Row],[Discount Amount]]</f>
        <v>400</v>
      </c>
    </row>
    <row r="657" spans="1:15" x14ac:dyDescent="0.35">
      <c r="A657" s="4">
        <v>656</v>
      </c>
      <c r="B657" s="5">
        <v>45203</v>
      </c>
      <c r="C657" s="4" t="s">
        <v>669</v>
      </c>
      <c r="D657" s="4" t="s">
        <v>10</v>
      </c>
      <c r="E657" s="4">
        <v>29</v>
      </c>
      <c r="F657" s="4" t="str">
        <f>IF(Table15[[#This Row],[Age]]&lt;=19,"Teenager",IF(Table15[[#This Row],[Age]]&lt;=40,"Median","Old"))</f>
        <v>Median</v>
      </c>
      <c r="G657" s="4" t="s">
        <v>11</v>
      </c>
      <c r="H657" s="4">
        <v>3</v>
      </c>
      <c r="I657" s="4">
        <v>30</v>
      </c>
      <c r="J657" s="4">
        <v>90</v>
      </c>
      <c r="K657" s="4" t="str" cm="1">
        <f t="array" ref="K657">_xlfn.IFS(AND(Table15[[#This Row],[Total Amount]]&gt;=1500),"Critical",AND(Table15[[#This Row],[Total Amount]]&gt;=1000),"High",TRUE,"Normal")</f>
        <v>Normal</v>
      </c>
      <c r="L657" s="4" t="str">
        <f>IF(Table15[[#This Row],[Total Amount]]&gt;=1000,"High",(IF(Table15[[#This Row],[Total Amount]]&gt;=500,"Medium","Low")))</f>
        <v>Low</v>
      </c>
      <c r="M657" s="4" t="str" cm="1">
        <f t="array" ref="M65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57" s="4" cm="1">
        <f t="array" ref="N65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13.5</v>
      </c>
      <c r="O657" s="4">
        <f>Table15[[#This Row],[Total Amount]]-Table15[[#This Row],[Discount Amount]]</f>
        <v>76.5</v>
      </c>
    </row>
    <row r="658" spans="1:15" x14ac:dyDescent="0.35">
      <c r="A658" s="4">
        <v>657</v>
      </c>
      <c r="B658" s="5">
        <v>44968</v>
      </c>
      <c r="C658" s="4" t="s">
        <v>670</v>
      </c>
      <c r="D658" s="4" t="s">
        <v>10</v>
      </c>
      <c r="E658" s="4">
        <v>40</v>
      </c>
      <c r="F658" s="4" t="str">
        <f>IF(Table15[[#This Row],[Age]]&lt;=19,"Teenager",IF(Table15[[#This Row],[Age]]&lt;=40,"Median","Old"))</f>
        <v>Median</v>
      </c>
      <c r="G658" s="4" t="s">
        <v>14</v>
      </c>
      <c r="H658" s="4">
        <v>1</v>
      </c>
      <c r="I658" s="4">
        <v>25</v>
      </c>
      <c r="J658" s="4">
        <v>25</v>
      </c>
      <c r="K658" s="4" t="str" cm="1">
        <f t="array" ref="K658">_xlfn.IFS(AND(Table15[[#This Row],[Total Amount]]&gt;=1500),"Critical",AND(Table15[[#This Row],[Total Amount]]&gt;=1000),"High",TRUE,"Normal")</f>
        <v>Normal</v>
      </c>
      <c r="L658" s="4" t="str">
        <f>IF(Table15[[#This Row],[Total Amount]]&gt;=1000,"High",(IF(Table15[[#This Row],[Total Amount]]&gt;=500,"Medium","Low")))</f>
        <v>Low</v>
      </c>
      <c r="M658" s="4" t="str" cm="1">
        <f t="array" ref="M65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58" s="4" cm="1">
        <f t="array" ref="N65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658" s="4">
        <f>Table15[[#This Row],[Total Amount]]-Table15[[#This Row],[Discount Amount]]</f>
        <v>22.5</v>
      </c>
    </row>
    <row r="659" spans="1:15" x14ac:dyDescent="0.35">
      <c r="A659" s="4">
        <v>658</v>
      </c>
      <c r="B659" s="5">
        <v>44997</v>
      </c>
      <c r="C659" s="4" t="s">
        <v>671</v>
      </c>
      <c r="D659" s="4" t="s">
        <v>10</v>
      </c>
      <c r="E659" s="4">
        <v>59</v>
      </c>
      <c r="F659" s="4" t="str">
        <f>IF(Table15[[#This Row],[Age]]&lt;=19,"Teenager",IF(Table15[[#This Row],[Age]]&lt;=40,"Median","Old"))</f>
        <v>Old</v>
      </c>
      <c r="G659" s="4" t="s">
        <v>14</v>
      </c>
      <c r="H659" s="4">
        <v>1</v>
      </c>
      <c r="I659" s="4">
        <v>25</v>
      </c>
      <c r="J659" s="4">
        <v>25</v>
      </c>
      <c r="K659" s="4" t="str" cm="1">
        <f t="array" ref="K659">_xlfn.IFS(AND(Table15[[#This Row],[Total Amount]]&gt;=1500),"Critical",AND(Table15[[#This Row],[Total Amount]]&gt;=1000),"High",TRUE,"Normal")</f>
        <v>Normal</v>
      </c>
      <c r="L659" s="4" t="str">
        <f>IF(Table15[[#This Row],[Total Amount]]&gt;=1000,"High",(IF(Table15[[#This Row],[Total Amount]]&gt;=500,"Medium","Low")))</f>
        <v>Low</v>
      </c>
      <c r="M659" s="4" t="str" cm="1">
        <f t="array" ref="M65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59" s="4" cm="1">
        <f t="array" ref="N65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659" s="4">
        <f>Table15[[#This Row],[Total Amount]]-Table15[[#This Row],[Discount Amount]]</f>
        <v>22.5</v>
      </c>
    </row>
    <row r="660" spans="1:15" x14ac:dyDescent="0.35">
      <c r="A660" s="4">
        <v>659</v>
      </c>
      <c r="B660" s="5">
        <v>45004</v>
      </c>
      <c r="C660" s="4" t="s">
        <v>672</v>
      </c>
      <c r="D660" s="4" t="s">
        <v>13</v>
      </c>
      <c r="E660" s="4">
        <v>39</v>
      </c>
      <c r="F660" s="4" t="str">
        <f>IF(Table15[[#This Row],[Age]]&lt;=19,"Teenager",IF(Table15[[#This Row],[Age]]&lt;=40,"Median","Old"))</f>
        <v>Median</v>
      </c>
      <c r="G660" s="4" t="s">
        <v>16</v>
      </c>
      <c r="H660" s="4">
        <v>1</v>
      </c>
      <c r="I660" s="4">
        <v>30</v>
      </c>
      <c r="J660" s="4">
        <v>30</v>
      </c>
      <c r="K660" s="4" t="str" cm="1">
        <f t="array" ref="K660">_xlfn.IFS(AND(Table15[[#This Row],[Total Amount]]&gt;=1500),"Critical",AND(Table15[[#This Row],[Total Amount]]&gt;=1000),"High",TRUE,"Normal")</f>
        <v>Normal</v>
      </c>
      <c r="L660" s="4" t="str">
        <f>IF(Table15[[#This Row],[Total Amount]]&gt;=1000,"High",(IF(Table15[[#This Row],[Total Amount]]&gt;=500,"Medium","Low")))</f>
        <v>Low</v>
      </c>
      <c r="M660" s="4" t="str" cm="1">
        <f t="array" ref="M66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60" s="4" cm="1">
        <f t="array" ref="N66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660" s="4">
        <f>Table15[[#This Row],[Total Amount]]-Table15[[#This Row],[Discount Amount]]</f>
        <v>24</v>
      </c>
    </row>
    <row r="661" spans="1:15" x14ac:dyDescent="0.35">
      <c r="A661" s="4">
        <v>660</v>
      </c>
      <c r="B661" s="5">
        <v>45045</v>
      </c>
      <c r="C661" s="4" t="s">
        <v>673</v>
      </c>
      <c r="D661" s="4" t="s">
        <v>13</v>
      </c>
      <c r="E661" s="4">
        <v>38</v>
      </c>
      <c r="F661" s="4" t="str">
        <f>IF(Table15[[#This Row],[Age]]&lt;=19,"Teenager",IF(Table15[[#This Row],[Age]]&lt;=40,"Median","Old"))</f>
        <v>Median</v>
      </c>
      <c r="G661" s="4" t="s">
        <v>11</v>
      </c>
      <c r="H661" s="4">
        <v>2</v>
      </c>
      <c r="I661" s="4">
        <v>500</v>
      </c>
      <c r="J661" s="4">
        <v>1000</v>
      </c>
      <c r="K661" s="4" t="str" cm="1">
        <f t="array" ref="K661">_xlfn.IFS(AND(Table15[[#This Row],[Total Amount]]&gt;=1500),"Critical",AND(Table15[[#This Row],[Total Amount]]&gt;=1000),"High",TRUE,"Normal")</f>
        <v>High</v>
      </c>
      <c r="L661" s="4" t="str">
        <f>IF(Table15[[#This Row],[Total Amount]]&gt;=1000,"High",(IF(Table15[[#This Row],[Total Amount]]&gt;=500,"Medium","Low")))</f>
        <v>High</v>
      </c>
      <c r="M661" s="4" t="str" cm="1">
        <f t="array" ref="M66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61" s="4" cm="1">
        <f t="array" ref="N66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661" s="4">
        <f>Table15[[#This Row],[Total Amount]]-Table15[[#This Row],[Discount Amount]]</f>
        <v>800</v>
      </c>
    </row>
    <row r="662" spans="1:15" x14ac:dyDescent="0.35">
      <c r="A662" s="4">
        <v>661</v>
      </c>
      <c r="B662" s="5">
        <v>45123</v>
      </c>
      <c r="C662" s="4" t="s">
        <v>674</v>
      </c>
      <c r="D662" s="4" t="s">
        <v>13</v>
      </c>
      <c r="E662" s="4">
        <v>44</v>
      </c>
      <c r="F662" s="4" t="str">
        <f>IF(Table15[[#This Row],[Age]]&lt;=19,"Teenager",IF(Table15[[#This Row],[Age]]&lt;=40,"Median","Old"))</f>
        <v>Old</v>
      </c>
      <c r="G662" s="4" t="s">
        <v>14</v>
      </c>
      <c r="H662" s="4">
        <v>4</v>
      </c>
      <c r="I662" s="4">
        <v>25</v>
      </c>
      <c r="J662" s="4">
        <v>100</v>
      </c>
      <c r="K662" s="4" t="str" cm="1">
        <f t="array" ref="K662">_xlfn.IFS(AND(Table15[[#This Row],[Total Amount]]&gt;=1500),"Critical",AND(Table15[[#This Row],[Total Amount]]&gt;=1000),"High",TRUE,"Normal")</f>
        <v>Normal</v>
      </c>
      <c r="L662" s="4" t="str">
        <f>IF(Table15[[#This Row],[Total Amount]]&gt;=1000,"High",(IF(Table15[[#This Row],[Total Amount]]&gt;=500,"Medium","Low")))</f>
        <v>Low</v>
      </c>
      <c r="M662" s="4" t="str" cm="1">
        <f t="array" ref="M66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62" s="4" cm="1">
        <f t="array" ref="N66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662" s="4">
        <f>Table15[[#This Row],[Total Amount]]-Table15[[#This Row],[Discount Amount]]</f>
        <v>80</v>
      </c>
    </row>
    <row r="663" spans="1:15" x14ac:dyDescent="0.35">
      <c r="A663" s="4">
        <v>662</v>
      </c>
      <c r="B663" s="5">
        <v>45282</v>
      </c>
      <c r="C663" s="4" t="s">
        <v>675</v>
      </c>
      <c r="D663" s="4" t="s">
        <v>10</v>
      </c>
      <c r="E663" s="4">
        <v>48</v>
      </c>
      <c r="F663" s="4" t="str">
        <f>IF(Table15[[#This Row],[Age]]&lt;=19,"Teenager",IF(Table15[[#This Row],[Age]]&lt;=40,"Median","Old"))</f>
        <v>Old</v>
      </c>
      <c r="G663" s="4" t="s">
        <v>11</v>
      </c>
      <c r="H663" s="4">
        <v>2</v>
      </c>
      <c r="I663" s="4">
        <v>500</v>
      </c>
      <c r="J663" s="4">
        <v>1000</v>
      </c>
      <c r="K663" s="4" t="str" cm="1">
        <f t="array" ref="K663">_xlfn.IFS(AND(Table15[[#This Row],[Total Amount]]&gt;=1500),"Critical",AND(Table15[[#This Row],[Total Amount]]&gt;=1000),"High",TRUE,"Normal")</f>
        <v>High</v>
      </c>
      <c r="L663" s="4" t="str">
        <f>IF(Table15[[#This Row],[Total Amount]]&gt;=1000,"High",(IF(Table15[[#This Row],[Total Amount]]&gt;=500,"Medium","Low")))</f>
        <v>High</v>
      </c>
      <c r="M663" s="4" t="str" cm="1">
        <f t="array" ref="M66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63" s="4" cm="1">
        <f t="array" ref="N66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663" s="4">
        <f>Table15[[#This Row],[Total Amount]]-Table15[[#This Row],[Discount Amount]]</f>
        <v>900</v>
      </c>
    </row>
    <row r="664" spans="1:15" x14ac:dyDescent="0.35">
      <c r="A664" s="4">
        <v>663</v>
      </c>
      <c r="B664" s="5">
        <v>45005</v>
      </c>
      <c r="C664" s="4" t="s">
        <v>676</v>
      </c>
      <c r="D664" s="4" t="s">
        <v>10</v>
      </c>
      <c r="E664" s="4">
        <v>23</v>
      </c>
      <c r="F664" s="4" t="str">
        <f>IF(Table15[[#This Row],[Age]]&lt;=19,"Teenager",IF(Table15[[#This Row],[Age]]&lt;=40,"Median","Old"))</f>
        <v>Median</v>
      </c>
      <c r="G664" s="4" t="s">
        <v>14</v>
      </c>
      <c r="H664" s="4">
        <v>4</v>
      </c>
      <c r="I664" s="4">
        <v>300</v>
      </c>
      <c r="J664" s="4">
        <v>1200</v>
      </c>
      <c r="K664" s="4" t="str" cm="1">
        <f t="array" ref="K664">_xlfn.IFS(AND(Table15[[#This Row],[Total Amount]]&gt;=1500),"Critical",AND(Table15[[#This Row],[Total Amount]]&gt;=1000),"High",TRUE,"Normal")</f>
        <v>High</v>
      </c>
      <c r="L664" s="4" t="str">
        <f>IF(Table15[[#This Row],[Total Amount]]&gt;=1000,"High",(IF(Table15[[#This Row],[Total Amount]]&gt;=500,"Medium","Low")))</f>
        <v>High</v>
      </c>
      <c r="M664" s="4" t="str" cm="1">
        <f t="array" ref="M66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64" s="4" cm="1">
        <f t="array" ref="N66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64" s="4">
        <f>Table15[[#This Row],[Total Amount]]-Table15[[#This Row],[Discount Amount]]</f>
        <v>1200</v>
      </c>
    </row>
    <row r="665" spans="1:15" x14ac:dyDescent="0.35">
      <c r="A665" s="4">
        <v>664</v>
      </c>
      <c r="B665" s="5">
        <v>45288</v>
      </c>
      <c r="C665" s="4" t="s">
        <v>677</v>
      </c>
      <c r="D665" s="4" t="s">
        <v>13</v>
      </c>
      <c r="E665" s="4">
        <v>44</v>
      </c>
      <c r="F665" s="4" t="str">
        <f>IF(Table15[[#This Row],[Age]]&lt;=19,"Teenager",IF(Table15[[#This Row],[Age]]&lt;=40,"Median","Old"))</f>
        <v>Old</v>
      </c>
      <c r="G665" s="4" t="s">
        <v>14</v>
      </c>
      <c r="H665" s="4">
        <v>4</v>
      </c>
      <c r="I665" s="4">
        <v>500</v>
      </c>
      <c r="J665" s="4">
        <v>2000</v>
      </c>
      <c r="K665" s="4" t="str" cm="1">
        <f t="array" ref="K665">_xlfn.IFS(AND(Table15[[#This Row],[Total Amount]]&gt;=1500),"Critical",AND(Table15[[#This Row],[Total Amount]]&gt;=1000),"High",TRUE,"Normal")</f>
        <v>Critical</v>
      </c>
      <c r="L665" s="4" t="str">
        <f>IF(Table15[[#This Row],[Total Amount]]&gt;=1000,"High",(IF(Table15[[#This Row],[Total Amount]]&gt;=500,"Medium","Low")))</f>
        <v>High</v>
      </c>
      <c r="M665" s="4" t="str" cm="1">
        <f t="array" ref="M66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65" s="4" cm="1">
        <f t="array" ref="N66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665" s="4">
        <f>Table15[[#This Row],[Total Amount]]-Table15[[#This Row],[Discount Amount]]</f>
        <v>1600</v>
      </c>
    </row>
    <row r="666" spans="1:15" x14ac:dyDescent="0.35">
      <c r="A666" s="4">
        <v>665</v>
      </c>
      <c r="B666" s="5">
        <v>45036</v>
      </c>
      <c r="C666" s="4" t="s">
        <v>678</v>
      </c>
      <c r="D666" s="4" t="s">
        <v>10</v>
      </c>
      <c r="E666" s="4">
        <v>57</v>
      </c>
      <c r="F666" s="4" t="str">
        <f>IF(Table15[[#This Row],[Age]]&lt;=19,"Teenager",IF(Table15[[#This Row],[Age]]&lt;=40,"Median","Old"))</f>
        <v>Old</v>
      </c>
      <c r="G666" s="4" t="s">
        <v>14</v>
      </c>
      <c r="H666" s="4">
        <v>1</v>
      </c>
      <c r="I666" s="4">
        <v>50</v>
      </c>
      <c r="J666" s="4">
        <v>50</v>
      </c>
      <c r="K666" s="4" t="str" cm="1">
        <f t="array" ref="K666">_xlfn.IFS(AND(Table15[[#This Row],[Total Amount]]&gt;=1500),"Critical",AND(Table15[[#This Row],[Total Amount]]&gt;=1000),"High",TRUE,"Normal")</f>
        <v>Normal</v>
      </c>
      <c r="L666" s="4" t="str">
        <f>IF(Table15[[#This Row],[Total Amount]]&gt;=1000,"High",(IF(Table15[[#This Row],[Total Amount]]&gt;=500,"Medium","Low")))</f>
        <v>Low</v>
      </c>
      <c r="M666" s="4" t="str" cm="1">
        <f t="array" ref="M66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66" s="4" cm="1">
        <f t="array" ref="N66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666" s="4">
        <f>Table15[[#This Row],[Total Amount]]-Table15[[#This Row],[Discount Amount]]</f>
        <v>45</v>
      </c>
    </row>
    <row r="667" spans="1:15" x14ac:dyDescent="0.35">
      <c r="A667" s="4">
        <v>666</v>
      </c>
      <c r="B667" s="5">
        <v>44959</v>
      </c>
      <c r="C667" s="4" t="s">
        <v>679</v>
      </c>
      <c r="D667" s="4" t="s">
        <v>10</v>
      </c>
      <c r="E667" s="4">
        <v>51</v>
      </c>
      <c r="F667" s="4" t="str">
        <f>IF(Table15[[#This Row],[Age]]&lt;=19,"Teenager",IF(Table15[[#This Row],[Age]]&lt;=40,"Median","Old"))</f>
        <v>Old</v>
      </c>
      <c r="G667" s="4" t="s">
        <v>16</v>
      </c>
      <c r="H667" s="4">
        <v>3</v>
      </c>
      <c r="I667" s="4">
        <v>50</v>
      </c>
      <c r="J667" s="4">
        <v>150</v>
      </c>
      <c r="K667" s="4" t="str" cm="1">
        <f t="array" ref="K667">_xlfn.IFS(AND(Table15[[#This Row],[Total Amount]]&gt;=1500),"Critical",AND(Table15[[#This Row],[Total Amount]]&gt;=1000),"High",TRUE,"Normal")</f>
        <v>Normal</v>
      </c>
      <c r="L667" s="4" t="str">
        <f>IF(Table15[[#This Row],[Total Amount]]&gt;=1000,"High",(IF(Table15[[#This Row],[Total Amount]]&gt;=500,"Medium","Low")))</f>
        <v>Low</v>
      </c>
      <c r="M667" s="4" t="str" cm="1">
        <f t="array" ref="M66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67" s="4" cm="1">
        <f t="array" ref="N66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667" s="4">
        <f>Table15[[#This Row],[Total Amount]]-Table15[[#This Row],[Discount Amount]]</f>
        <v>135</v>
      </c>
    </row>
    <row r="668" spans="1:15" x14ac:dyDescent="0.35">
      <c r="A668" s="4">
        <v>667</v>
      </c>
      <c r="B668" s="5">
        <v>45139</v>
      </c>
      <c r="C668" s="4" t="s">
        <v>680</v>
      </c>
      <c r="D668" s="4" t="s">
        <v>13</v>
      </c>
      <c r="E668" s="4">
        <v>29</v>
      </c>
      <c r="F668" s="4" t="str">
        <f>IF(Table15[[#This Row],[Age]]&lt;=19,"Teenager",IF(Table15[[#This Row],[Age]]&lt;=40,"Median","Old"))</f>
        <v>Median</v>
      </c>
      <c r="G668" s="4" t="s">
        <v>16</v>
      </c>
      <c r="H668" s="4">
        <v>1</v>
      </c>
      <c r="I668" s="4">
        <v>500</v>
      </c>
      <c r="J668" s="4">
        <v>500</v>
      </c>
      <c r="K668" s="4" t="str" cm="1">
        <f t="array" ref="K668">_xlfn.IFS(AND(Table15[[#This Row],[Total Amount]]&gt;=1500),"Critical",AND(Table15[[#This Row],[Total Amount]]&gt;=1000),"High",TRUE,"Normal")</f>
        <v>Normal</v>
      </c>
      <c r="L668" s="4" t="str">
        <f>IF(Table15[[#This Row],[Total Amount]]&gt;=1000,"High",(IF(Table15[[#This Row],[Total Amount]]&gt;=500,"Medium","Low")))</f>
        <v>Medium</v>
      </c>
      <c r="M668" s="4" t="str" cm="1">
        <f t="array" ref="M66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68" s="4" cm="1">
        <f t="array" ref="N66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668" s="4">
        <f>Table15[[#This Row],[Total Amount]]-Table15[[#This Row],[Discount Amount]]</f>
        <v>425</v>
      </c>
    </row>
    <row r="669" spans="1:15" x14ac:dyDescent="0.35">
      <c r="A669" s="4">
        <v>668</v>
      </c>
      <c r="B669" s="5">
        <v>45135</v>
      </c>
      <c r="C669" s="4" t="s">
        <v>681</v>
      </c>
      <c r="D669" s="4" t="s">
        <v>13</v>
      </c>
      <c r="E669" s="4">
        <v>62</v>
      </c>
      <c r="F669" s="4" t="str">
        <f>IF(Table15[[#This Row],[Age]]&lt;=19,"Teenager",IF(Table15[[#This Row],[Age]]&lt;=40,"Median","Old"))</f>
        <v>Old</v>
      </c>
      <c r="G669" s="4" t="s">
        <v>16</v>
      </c>
      <c r="H669" s="4">
        <v>3</v>
      </c>
      <c r="I669" s="4">
        <v>50</v>
      </c>
      <c r="J669" s="4">
        <v>150</v>
      </c>
      <c r="K669" s="4" t="str" cm="1">
        <f t="array" ref="K669">_xlfn.IFS(AND(Table15[[#This Row],[Total Amount]]&gt;=1500),"Critical",AND(Table15[[#This Row],[Total Amount]]&gt;=1000),"High",TRUE,"Normal")</f>
        <v>Normal</v>
      </c>
      <c r="L669" s="4" t="str">
        <f>IF(Table15[[#This Row],[Total Amount]]&gt;=1000,"High",(IF(Table15[[#This Row],[Total Amount]]&gt;=500,"Medium","Low")))</f>
        <v>Low</v>
      </c>
      <c r="M669" s="4" t="str" cm="1">
        <f t="array" ref="M66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69" s="4" cm="1">
        <f t="array" ref="N66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669" s="4">
        <f>Table15[[#This Row],[Total Amount]]-Table15[[#This Row],[Discount Amount]]</f>
        <v>120</v>
      </c>
    </row>
    <row r="670" spans="1:15" x14ac:dyDescent="0.35">
      <c r="A670" s="4">
        <v>669</v>
      </c>
      <c r="B670" s="5">
        <v>45096</v>
      </c>
      <c r="C670" s="4" t="s">
        <v>682</v>
      </c>
      <c r="D670" s="4" t="s">
        <v>10</v>
      </c>
      <c r="E670" s="4">
        <v>24</v>
      </c>
      <c r="F670" s="4" t="str">
        <f>IF(Table15[[#This Row],[Age]]&lt;=19,"Teenager",IF(Table15[[#This Row],[Age]]&lt;=40,"Median","Old"))</f>
        <v>Median</v>
      </c>
      <c r="G670" s="4" t="s">
        <v>11</v>
      </c>
      <c r="H670" s="4">
        <v>4</v>
      </c>
      <c r="I670" s="4">
        <v>300</v>
      </c>
      <c r="J670" s="4">
        <v>1200</v>
      </c>
      <c r="K670" s="4" t="str" cm="1">
        <f t="array" ref="K670">_xlfn.IFS(AND(Table15[[#This Row],[Total Amount]]&gt;=1500),"Critical",AND(Table15[[#This Row],[Total Amount]]&gt;=1000),"High",TRUE,"Normal")</f>
        <v>High</v>
      </c>
      <c r="L670" s="4" t="str">
        <f>IF(Table15[[#This Row],[Total Amount]]&gt;=1000,"High",(IF(Table15[[#This Row],[Total Amount]]&gt;=500,"Medium","Low")))</f>
        <v>High</v>
      </c>
      <c r="M670" s="4" t="str" cm="1">
        <f t="array" ref="M67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70" s="4" cm="1">
        <f t="array" ref="N67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70" s="4">
        <f>Table15[[#This Row],[Total Amount]]-Table15[[#This Row],[Discount Amount]]</f>
        <v>1200</v>
      </c>
    </row>
    <row r="671" spans="1:15" x14ac:dyDescent="0.35">
      <c r="A671" s="4">
        <v>670</v>
      </c>
      <c r="B671" s="5">
        <v>45204</v>
      </c>
      <c r="C671" s="4" t="s">
        <v>683</v>
      </c>
      <c r="D671" s="4" t="s">
        <v>10</v>
      </c>
      <c r="E671" s="4">
        <v>27</v>
      </c>
      <c r="F671" s="4" t="str">
        <f>IF(Table15[[#This Row],[Age]]&lt;=19,"Teenager",IF(Table15[[#This Row],[Age]]&lt;=40,"Median","Old"))</f>
        <v>Median</v>
      </c>
      <c r="G671" s="4" t="s">
        <v>11</v>
      </c>
      <c r="H671" s="4">
        <v>1</v>
      </c>
      <c r="I671" s="4">
        <v>30</v>
      </c>
      <c r="J671" s="4">
        <v>30</v>
      </c>
      <c r="K671" s="4" t="str" cm="1">
        <f t="array" ref="K671">_xlfn.IFS(AND(Table15[[#This Row],[Total Amount]]&gt;=1500),"Critical",AND(Table15[[#This Row],[Total Amount]]&gt;=1000),"High",TRUE,"Normal")</f>
        <v>Normal</v>
      </c>
      <c r="L671" s="4" t="str">
        <f>IF(Table15[[#This Row],[Total Amount]]&gt;=1000,"High",(IF(Table15[[#This Row],[Total Amount]]&gt;=500,"Medium","Low")))</f>
        <v>Low</v>
      </c>
      <c r="M671" s="4" t="str" cm="1">
        <f t="array" ref="M67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71" s="4" cm="1">
        <f t="array" ref="N67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4.5</v>
      </c>
      <c r="O671" s="4">
        <f>Table15[[#This Row],[Total Amount]]-Table15[[#This Row],[Discount Amount]]</f>
        <v>25.5</v>
      </c>
    </row>
    <row r="672" spans="1:15" x14ac:dyDescent="0.35">
      <c r="A672" s="4">
        <v>671</v>
      </c>
      <c r="B672" s="5">
        <v>45165</v>
      </c>
      <c r="C672" s="4" t="s">
        <v>684</v>
      </c>
      <c r="D672" s="4" t="s">
        <v>10</v>
      </c>
      <c r="E672" s="4">
        <v>62</v>
      </c>
      <c r="F672" s="4" t="str">
        <f>IF(Table15[[#This Row],[Age]]&lt;=19,"Teenager",IF(Table15[[#This Row],[Age]]&lt;=40,"Median","Old"))</f>
        <v>Old</v>
      </c>
      <c r="G672" s="4" t="s">
        <v>16</v>
      </c>
      <c r="H672" s="4">
        <v>3</v>
      </c>
      <c r="I672" s="4">
        <v>50</v>
      </c>
      <c r="J672" s="4">
        <v>150</v>
      </c>
      <c r="K672" s="4" t="str" cm="1">
        <f t="array" ref="K672">_xlfn.IFS(AND(Table15[[#This Row],[Total Amount]]&gt;=1500),"Critical",AND(Table15[[#This Row],[Total Amount]]&gt;=1000),"High",TRUE,"Normal")</f>
        <v>Normal</v>
      </c>
      <c r="L672" s="4" t="str">
        <f>IF(Table15[[#This Row],[Total Amount]]&gt;=1000,"High",(IF(Table15[[#This Row],[Total Amount]]&gt;=500,"Medium","Low")))</f>
        <v>Low</v>
      </c>
      <c r="M672" s="4" t="str" cm="1">
        <f t="array" ref="M67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72" s="4" cm="1">
        <f t="array" ref="N67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672" s="4">
        <f>Table15[[#This Row],[Total Amount]]-Table15[[#This Row],[Discount Amount]]</f>
        <v>135</v>
      </c>
    </row>
    <row r="673" spans="1:15" x14ac:dyDescent="0.35">
      <c r="A673" s="4">
        <v>672</v>
      </c>
      <c r="B673" s="5">
        <v>45139</v>
      </c>
      <c r="C673" s="4" t="s">
        <v>685</v>
      </c>
      <c r="D673" s="4" t="s">
        <v>13</v>
      </c>
      <c r="E673" s="4">
        <v>34</v>
      </c>
      <c r="F673" s="4" t="str">
        <f>IF(Table15[[#This Row],[Age]]&lt;=19,"Teenager",IF(Table15[[#This Row],[Age]]&lt;=40,"Median","Old"))</f>
        <v>Median</v>
      </c>
      <c r="G673" s="4" t="s">
        <v>11</v>
      </c>
      <c r="H673" s="4">
        <v>2</v>
      </c>
      <c r="I673" s="4">
        <v>50</v>
      </c>
      <c r="J673" s="4">
        <v>100</v>
      </c>
      <c r="K673" s="4" t="str" cm="1">
        <f t="array" ref="K673">_xlfn.IFS(AND(Table15[[#This Row],[Total Amount]]&gt;=1500),"Critical",AND(Table15[[#This Row],[Total Amount]]&gt;=1000),"High",TRUE,"Normal")</f>
        <v>Normal</v>
      </c>
      <c r="L673" s="4" t="str">
        <f>IF(Table15[[#This Row],[Total Amount]]&gt;=1000,"High",(IF(Table15[[#This Row],[Total Amount]]&gt;=500,"Medium","Low")))</f>
        <v>Low</v>
      </c>
      <c r="M673" s="4" t="str" cm="1">
        <f t="array" ref="M67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73" s="4" cm="1">
        <f t="array" ref="N67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673" s="4">
        <f>Table15[[#This Row],[Total Amount]]-Table15[[#This Row],[Discount Amount]]</f>
        <v>85</v>
      </c>
    </row>
    <row r="674" spans="1:15" x14ac:dyDescent="0.35">
      <c r="A674" s="4">
        <v>673</v>
      </c>
      <c r="B674" s="5">
        <v>44958</v>
      </c>
      <c r="C674" s="4" t="s">
        <v>686</v>
      </c>
      <c r="D674" s="4" t="s">
        <v>13</v>
      </c>
      <c r="E674" s="4">
        <v>43</v>
      </c>
      <c r="F674" s="4" t="str">
        <f>IF(Table15[[#This Row],[Age]]&lt;=19,"Teenager",IF(Table15[[#This Row],[Age]]&lt;=40,"Median","Old"))</f>
        <v>Old</v>
      </c>
      <c r="G674" s="4" t="s">
        <v>14</v>
      </c>
      <c r="H674" s="4">
        <v>3</v>
      </c>
      <c r="I674" s="4">
        <v>500</v>
      </c>
      <c r="J674" s="4">
        <v>1500</v>
      </c>
      <c r="K674" s="4" t="str" cm="1">
        <f t="array" ref="K674">_xlfn.IFS(AND(Table15[[#This Row],[Total Amount]]&gt;=1500),"Critical",AND(Table15[[#This Row],[Total Amount]]&gt;=1000),"High",TRUE,"Normal")</f>
        <v>Critical</v>
      </c>
      <c r="L674" s="4" t="str">
        <f>IF(Table15[[#This Row],[Total Amount]]&gt;=1000,"High",(IF(Table15[[#This Row],[Total Amount]]&gt;=500,"Medium","Low")))</f>
        <v>High</v>
      </c>
      <c r="M674" s="4" t="str" cm="1">
        <f t="array" ref="M67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74" s="4" cm="1">
        <f t="array" ref="N67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674" s="4">
        <f>Table15[[#This Row],[Total Amount]]-Table15[[#This Row],[Discount Amount]]</f>
        <v>1200</v>
      </c>
    </row>
    <row r="675" spans="1:15" x14ac:dyDescent="0.35">
      <c r="A675" s="4">
        <v>674</v>
      </c>
      <c r="B675" s="5">
        <v>45032</v>
      </c>
      <c r="C675" s="4" t="s">
        <v>687</v>
      </c>
      <c r="D675" s="4" t="s">
        <v>13</v>
      </c>
      <c r="E675" s="4">
        <v>38</v>
      </c>
      <c r="F675" s="4" t="str">
        <f>IF(Table15[[#This Row],[Age]]&lt;=19,"Teenager",IF(Table15[[#This Row],[Age]]&lt;=40,"Median","Old"))</f>
        <v>Median</v>
      </c>
      <c r="G675" s="4" t="s">
        <v>14</v>
      </c>
      <c r="H675" s="4">
        <v>1</v>
      </c>
      <c r="I675" s="4">
        <v>300</v>
      </c>
      <c r="J675" s="4">
        <v>300</v>
      </c>
      <c r="K675" s="4" t="str" cm="1">
        <f t="array" ref="K675">_xlfn.IFS(AND(Table15[[#This Row],[Total Amount]]&gt;=1500),"Critical",AND(Table15[[#This Row],[Total Amount]]&gt;=1000),"High",TRUE,"Normal")</f>
        <v>Normal</v>
      </c>
      <c r="L675" s="4" t="str">
        <f>IF(Table15[[#This Row],[Total Amount]]&gt;=1000,"High",(IF(Table15[[#This Row],[Total Amount]]&gt;=500,"Medium","Low")))</f>
        <v>Low</v>
      </c>
      <c r="M675" s="4" t="str" cm="1">
        <f t="array" ref="M67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75" s="4" cm="1">
        <f t="array" ref="N67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675" s="4">
        <f>Table15[[#This Row],[Total Amount]]-Table15[[#This Row],[Discount Amount]]</f>
        <v>240</v>
      </c>
    </row>
    <row r="676" spans="1:15" x14ac:dyDescent="0.35">
      <c r="A676" s="4">
        <v>675</v>
      </c>
      <c r="B676" s="5">
        <v>45142</v>
      </c>
      <c r="C676" s="4" t="s">
        <v>688</v>
      </c>
      <c r="D676" s="4" t="s">
        <v>13</v>
      </c>
      <c r="E676" s="4">
        <v>45</v>
      </c>
      <c r="F676" s="4" t="str">
        <f>IF(Table15[[#This Row],[Age]]&lt;=19,"Teenager",IF(Table15[[#This Row],[Age]]&lt;=40,"Median","Old"))</f>
        <v>Old</v>
      </c>
      <c r="G676" s="4" t="s">
        <v>14</v>
      </c>
      <c r="H676" s="4">
        <v>2</v>
      </c>
      <c r="I676" s="4">
        <v>30</v>
      </c>
      <c r="J676" s="4">
        <v>60</v>
      </c>
      <c r="K676" s="4" t="str" cm="1">
        <f t="array" ref="K676">_xlfn.IFS(AND(Table15[[#This Row],[Total Amount]]&gt;=1500),"Critical",AND(Table15[[#This Row],[Total Amount]]&gt;=1000),"High",TRUE,"Normal")</f>
        <v>Normal</v>
      </c>
      <c r="L676" s="4" t="str">
        <f>IF(Table15[[#This Row],[Total Amount]]&gt;=1000,"High",(IF(Table15[[#This Row],[Total Amount]]&gt;=500,"Medium","Low")))</f>
        <v>Low</v>
      </c>
      <c r="M676" s="4" t="str" cm="1">
        <f t="array" ref="M67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76" s="4" cm="1">
        <f t="array" ref="N67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676" s="4">
        <f>Table15[[#This Row],[Total Amount]]-Table15[[#This Row],[Discount Amount]]</f>
        <v>48</v>
      </c>
    </row>
    <row r="677" spans="1:15" x14ac:dyDescent="0.35">
      <c r="A677" s="4">
        <v>676</v>
      </c>
      <c r="B677" s="5">
        <v>45126</v>
      </c>
      <c r="C677" s="4" t="s">
        <v>689</v>
      </c>
      <c r="D677" s="4" t="s">
        <v>10</v>
      </c>
      <c r="E677" s="4">
        <v>63</v>
      </c>
      <c r="F677" s="4" t="str">
        <f>IF(Table15[[#This Row],[Age]]&lt;=19,"Teenager",IF(Table15[[#This Row],[Age]]&lt;=40,"Median","Old"))</f>
        <v>Old</v>
      </c>
      <c r="G677" s="4" t="s">
        <v>16</v>
      </c>
      <c r="H677" s="4">
        <v>3</v>
      </c>
      <c r="I677" s="4">
        <v>500</v>
      </c>
      <c r="J677" s="4">
        <v>1500</v>
      </c>
      <c r="K677" s="4" t="str" cm="1">
        <f t="array" ref="K677">_xlfn.IFS(AND(Table15[[#This Row],[Total Amount]]&gt;=1500),"Critical",AND(Table15[[#This Row],[Total Amount]]&gt;=1000),"High",TRUE,"Normal")</f>
        <v>Critical</v>
      </c>
      <c r="L677" s="4" t="str">
        <f>IF(Table15[[#This Row],[Total Amount]]&gt;=1000,"High",(IF(Table15[[#This Row],[Total Amount]]&gt;=500,"Medium","Low")))</f>
        <v>High</v>
      </c>
      <c r="M677" s="4" t="str" cm="1">
        <f t="array" ref="M67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77" s="4" cm="1">
        <f t="array" ref="N67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677" s="4">
        <f>Table15[[#This Row],[Total Amount]]-Table15[[#This Row],[Discount Amount]]</f>
        <v>1350</v>
      </c>
    </row>
    <row r="678" spans="1:15" x14ac:dyDescent="0.35">
      <c r="A678" s="4">
        <v>677</v>
      </c>
      <c r="B678" s="5">
        <v>45226</v>
      </c>
      <c r="C678" s="4" t="s">
        <v>690</v>
      </c>
      <c r="D678" s="4" t="s">
        <v>13</v>
      </c>
      <c r="E678" s="4">
        <v>19</v>
      </c>
      <c r="F678" s="4" t="str">
        <f>IF(Table15[[#This Row],[Age]]&lt;=19,"Teenager",IF(Table15[[#This Row],[Age]]&lt;=40,"Median","Old"))</f>
        <v>Teenager</v>
      </c>
      <c r="G678" s="4" t="s">
        <v>11</v>
      </c>
      <c r="H678" s="4">
        <v>3</v>
      </c>
      <c r="I678" s="4">
        <v>500</v>
      </c>
      <c r="J678" s="4">
        <v>1500</v>
      </c>
      <c r="K678" s="4" t="str" cm="1">
        <f t="array" ref="K678">_xlfn.IFS(AND(Table15[[#This Row],[Total Amount]]&gt;=1500),"Critical",AND(Table15[[#This Row],[Total Amount]]&gt;=1000),"High",TRUE,"Normal")</f>
        <v>Critical</v>
      </c>
      <c r="L678" s="4" t="str">
        <f>IF(Table15[[#This Row],[Total Amount]]&gt;=1000,"High",(IF(Table15[[#This Row],[Total Amount]]&gt;=500,"Medium","Low")))</f>
        <v>High</v>
      </c>
      <c r="M678" s="4" t="str" cm="1">
        <f t="array" ref="M67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78" s="4" cm="1">
        <f t="array" ref="N67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78" s="4">
        <f>Table15[[#This Row],[Total Amount]]-Table15[[#This Row],[Discount Amount]]</f>
        <v>1500</v>
      </c>
    </row>
    <row r="679" spans="1:15" x14ac:dyDescent="0.35">
      <c r="A679" s="4">
        <v>678</v>
      </c>
      <c r="B679" s="5">
        <v>45283</v>
      </c>
      <c r="C679" s="4" t="s">
        <v>691</v>
      </c>
      <c r="D679" s="4" t="s">
        <v>13</v>
      </c>
      <c r="E679" s="4">
        <v>60</v>
      </c>
      <c r="F679" s="4" t="str">
        <f>IF(Table15[[#This Row],[Age]]&lt;=19,"Teenager",IF(Table15[[#This Row],[Age]]&lt;=40,"Median","Old"))</f>
        <v>Old</v>
      </c>
      <c r="G679" s="4" t="s">
        <v>16</v>
      </c>
      <c r="H679" s="4">
        <v>3</v>
      </c>
      <c r="I679" s="4">
        <v>300</v>
      </c>
      <c r="J679" s="4">
        <v>900</v>
      </c>
      <c r="K679" s="4" t="str" cm="1">
        <f t="array" ref="K679">_xlfn.IFS(AND(Table15[[#This Row],[Total Amount]]&gt;=1500),"Critical",AND(Table15[[#This Row],[Total Amount]]&gt;=1000),"High",TRUE,"Normal")</f>
        <v>Normal</v>
      </c>
      <c r="L679" s="4" t="str">
        <f>IF(Table15[[#This Row],[Total Amount]]&gt;=1000,"High",(IF(Table15[[#This Row],[Total Amount]]&gt;=500,"Medium","Low")))</f>
        <v>Medium</v>
      </c>
      <c r="M679" s="4" t="str" cm="1">
        <f t="array" ref="M67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79" s="4" cm="1">
        <f t="array" ref="N67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679" s="4">
        <f>Table15[[#This Row],[Total Amount]]-Table15[[#This Row],[Discount Amount]]</f>
        <v>720</v>
      </c>
    </row>
    <row r="680" spans="1:15" x14ac:dyDescent="0.35">
      <c r="A680" s="4">
        <v>679</v>
      </c>
      <c r="B680" s="5">
        <v>44937</v>
      </c>
      <c r="C680" s="4" t="s">
        <v>692</v>
      </c>
      <c r="D680" s="4" t="s">
        <v>13</v>
      </c>
      <c r="E680" s="4">
        <v>18</v>
      </c>
      <c r="F680" s="4" t="str">
        <f>IF(Table15[[#This Row],[Age]]&lt;=19,"Teenager",IF(Table15[[#This Row],[Age]]&lt;=40,"Median","Old"))</f>
        <v>Teenager</v>
      </c>
      <c r="G680" s="4" t="s">
        <v>11</v>
      </c>
      <c r="H680" s="4">
        <v>3</v>
      </c>
      <c r="I680" s="4">
        <v>30</v>
      </c>
      <c r="J680" s="4">
        <v>90</v>
      </c>
      <c r="K680" s="4" t="str" cm="1">
        <f t="array" ref="K680">_xlfn.IFS(AND(Table15[[#This Row],[Total Amount]]&gt;=1500),"Critical",AND(Table15[[#This Row],[Total Amount]]&gt;=1000),"High",TRUE,"Normal")</f>
        <v>Normal</v>
      </c>
      <c r="L680" s="4" t="str">
        <f>IF(Table15[[#This Row],[Total Amount]]&gt;=1000,"High",(IF(Table15[[#This Row],[Total Amount]]&gt;=500,"Medium","Low")))</f>
        <v>Low</v>
      </c>
      <c r="M680" s="4" t="str" cm="1">
        <f t="array" ref="M68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80" s="4" cm="1">
        <f t="array" ref="N68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80" s="4">
        <f>Table15[[#This Row],[Total Amount]]-Table15[[#This Row],[Discount Amount]]</f>
        <v>90</v>
      </c>
    </row>
    <row r="681" spans="1:15" x14ac:dyDescent="0.35">
      <c r="A681" s="4">
        <v>680</v>
      </c>
      <c r="B681" s="5">
        <v>45221</v>
      </c>
      <c r="C681" s="4" t="s">
        <v>693</v>
      </c>
      <c r="D681" s="4" t="s">
        <v>13</v>
      </c>
      <c r="E681" s="4">
        <v>53</v>
      </c>
      <c r="F681" s="4" t="str">
        <f>IF(Table15[[#This Row],[Age]]&lt;=19,"Teenager",IF(Table15[[#This Row],[Age]]&lt;=40,"Median","Old"))</f>
        <v>Old</v>
      </c>
      <c r="G681" s="4" t="s">
        <v>14</v>
      </c>
      <c r="H681" s="4">
        <v>3</v>
      </c>
      <c r="I681" s="4">
        <v>300</v>
      </c>
      <c r="J681" s="4">
        <v>900</v>
      </c>
      <c r="K681" s="4" t="str" cm="1">
        <f t="array" ref="K681">_xlfn.IFS(AND(Table15[[#This Row],[Total Amount]]&gt;=1500),"Critical",AND(Table15[[#This Row],[Total Amount]]&gt;=1000),"High",TRUE,"Normal")</f>
        <v>Normal</v>
      </c>
      <c r="L681" s="4" t="str">
        <f>IF(Table15[[#This Row],[Total Amount]]&gt;=1000,"High",(IF(Table15[[#This Row],[Total Amount]]&gt;=500,"Medium","Low")))</f>
        <v>Medium</v>
      </c>
      <c r="M681" s="4" t="str" cm="1">
        <f t="array" ref="M68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81" s="4" cm="1">
        <f t="array" ref="N68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681" s="4">
        <f>Table15[[#This Row],[Total Amount]]-Table15[[#This Row],[Discount Amount]]</f>
        <v>720</v>
      </c>
    </row>
    <row r="682" spans="1:15" x14ac:dyDescent="0.35">
      <c r="A682" s="4">
        <v>681</v>
      </c>
      <c r="B682" s="5">
        <v>45121</v>
      </c>
      <c r="C682" s="4" t="s">
        <v>694</v>
      </c>
      <c r="D682" s="4" t="s">
        <v>13</v>
      </c>
      <c r="E682" s="4">
        <v>43</v>
      </c>
      <c r="F682" s="4" t="str">
        <f>IF(Table15[[#This Row],[Age]]&lt;=19,"Teenager",IF(Table15[[#This Row],[Age]]&lt;=40,"Median","Old"))</f>
        <v>Old</v>
      </c>
      <c r="G682" s="4" t="s">
        <v>16</v>
      </c>
      <c r="H682" s="4">
        <v>2</v>
      </c>
      <c r="I682" s="4">
        <v>30</v>
      </c>
      <c r="J682" s="4">
        <v>60</v>
      </c>
      <c r="K682" s="4" t="str" cm="1">
        <f t="array" ref="K682">_xlfn.IFS(AND(Table15[[#This Row],[Total Amount]]&gt;=1500),"Critical",AND(Table15[[#This Row],[Total Amount]]&gt;=1000),"High",TRUE,"Normal")</f>
        <v>Normal</v>
      </c>
      <c r="L682" s="4" t="str">
        <f>IF(Table15[[#This Row],[Total Amount]]&gt;=1000,"High",(IF(Table15[[#This Row],[Total Amount]]&gt;=500,"Medium","Low")))</f>
        <v>Low</v>
      </c>
      <c r="M682" s="4" t="str" cm="1">
        <f t="array" ref="M68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82" s="4" cm="1">
        <f t="array" ref="N68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682" s="4">
        <f>Table15[[#This Row],[Total Amount]]-Table15[[#This Row],[Discount Amount]]</f>
        <v>48</v>
      </c>
    </row>
    <row r="683" spans="1:15" x14ac:dyDescent="0.35">
      <c r="A683" s="4">
        <v>682</v>
      </c>
      <c r="B683" s="5">
        <v>45171</v>
      </c>
      <c r="C683" s="4" t="s">
        <v>695</v>
      </c>
      <c r="D683" s="4" t="s">
        <v>10</v>
      </c>
      <c r="E683" s="4">
        <v>46</v>
      </c>
      <c r="F683" s="4" t="str">
        <f>IF(Table15[[#This Row],[Age]]&lt;=19,"Teenager",IF(Table15[[#This Row],[Age]]&lt;=40,"Median","Old"))</f>
        <v>Old</v>
      </c>
      <c r="G683" s="4" t="s">
        <v>11</v>
      </c>
      <c r="H683" s="4">
        <v>4</v>
      </c>
      <c r="I683" s="4">
        <v>300</v>
      </c>
      <c r="J683" s="4">
        <v>1200</v>
      </c>
      <c r="K683" s="4" t="str" cm="1">
        <f t="array" ref="K683">_xlfn.IFS(AND(Table15[[#This Row],[Total Amount]]&gt;=1500),"Critical",AND(Table15[[#This Row],[Total Amount]]&gt;=1000),"High",TRUE,"Normal")</f>
        <v>High</v>
      </c>
      <c r="L683" s="4" t="str">
        <f>IF(Table15[[#This Row],[Total Amount]]&gt;=1000,"High",(IF(Table15[[#This Row],[Total Amount]]&gt;=500,"Medium","Low")))</f>
        <v>High</v>
      </c>
      <c r="M683" s="4" t="str" cm="1">
        <f t="array" ref="M68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83" s="4" cm="1">
        <f t="array" ref="N68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683" s="4">
        <f>Table15[[#This Row],[Total Amount]]-Table15[[#This Row],[Discount Amount]]</f>
        <v>1080</v>
      </c>
    </row>
    <row r="684" spans="1:15" x14ac:dyDescent="0.35">
      <c r="A684" s="4">
        <v>683</v>
      </c>
      <c r="B684" s="5">
        <v>44930</v>
      </c>
      <c r="C684" s="4" t="s">
        <v>696</v>
      </c>
      <c r="D684" s="4" t="s">
        <v>10</v>
      </c>
      <c r="E684" s="4">
        <v>38</v>
      </c>
      <c r="F684" s="4" t="str">
        <f>IF(Table15[[#This Row],[Age]]&lt;=19,"Teenager",IF(Table15[[#This Row],[Age]]&lt;=40,"Median","Old"))</f>
        <v>Median</v>
      </c>
      <c r="G684" s="4" t="s">
        <v>11</v>
      </c>
      <c r="H684" s="4">
        <v>2</v>
      </c>
      <c r="I684" s="4">
        <v>500</v>
      </c>
      <c r="J684" s="4">
        <v>1000</v>
      </c>
      <c r="K684" s="4" t="str" cm="1">
        <f t="array" ref="K684">_xlfn.IFS(AND(Table15[[#This Row],[Total Amount]]&gt;=1500),"Critical",AND(Table15[[#This Row],[Total Amount]]&gt;=1000),"High",TRUE,"Normal")</f>
        <v>High</v>
      </c>
      <c r="L684" s="4" t="str">
        <f>IF(Table15[[#This Row],[Total Amount]]&gt;=1000,"High",(IF(Table15[[#This Row],[Total Amount]]&gt;=500,"Medium","Low")))</f>
        <v>High</v>
      </c>
      <c r="M684" s="4" t="str" cm="1">
        <f t="array" ref="M68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84" s="4" cm="1">
        <f t="array" ref="N68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684" s="4">
        <f>Table15[[#This Row],[Total Amount]]-Table15[[#This Row],[Discount Amount]]</f>
        <v>900</v>
      </c>
    </row>
    <row r="685" spans="1:15" x14ac:dyDescent="0.35">
      <c r="A685" s="4">
        <v>684</v>
      </c>
      <c r="B685" s="5">
        <v>45107</v>
      </c>
      <c r="C685" s="4" t="s">
        <v>697</v>
      </c>
      <c r="D685" s="4" t="s">
        <v>13</v>
      </c>
      <c r="E685" s="4">
        <v>28</v>
      </c>
      <c r="F685" s="4" t="str">
        <f>IF(Table15[[#This Row],[Age]]&lt;=19,"Teenager",IF(Table15[[#This Row],[Age]]&lt;=40,"Median","Old"))</f>
        <v>Median</v>
      </c>
      <c r="G685" s="4" t="s">
        <v>14</v>
      </c>
      <c r="H685" s="4">
        <v>2</v>
      </c>
      <c r="I685" s="4">
        <v>500</v>
      </c>
      <c r="J685" s="4">
        <v>1000</v>
      </c>
      <c r="K685" s="4" t="str" cm="1">
        <f t="array" ref="K685">_xlfn.IFS(AND(Table15[[#This Row],[Total Amount]]&gt;=1500),"Critical",AND(Table15[[#This Row],[Total Amount]]&gt;=1000),"High",TRUE,"Normal")</f>
        <v>High</v>
      </c>
      <c r="L685" s="4" t="str">
        <f>IF(Table15[[#This Row],[Total Amount]]&gt;=1000,"High",(IF(Table15[[#This Row],[Total Amount]]&gt;=500,"Medium","Low")))</f>
        <v>High</v>
      </c>
      <c r="M685" s="4" t="str" cm="1">
        <f t="array" ref="M68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85" s="4" cm="1">
        <f t="array" ref="N68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685" s="4">
        <f>Table15[[#This Row],[Total Amount]]-Table15[[#This Row],[Discount Amount]]</f>
        <v>850</v>
      </c>
    </row>
    <row r="686" spans="1:15" x14ac:dyDescent="0.35">
      <c r="A686" s="4">
        <v>685</v>
      </c>
      <c r="B686" s="5">
        <v>45079</v>
      </c>
      <c r="C686" s="4" t="s">
        <v>698</v>
      </c>
      <c r="D686" s="4" t="s">
        <v>10</v>
      </c>
      <c r="E686" s="4">
        <v>57</v>
      </c>
      <c r="F686" s="4" t="str">
        <f>IF(Table15[[#This Row],[Age]]&lt;=19,"Teenager",IF(Table15[[#This Row],[Age]]&lt;=40,"Median","Old"))</f>
        <v>Old</v>
      </c>
      <c r="G686" s="4" t="s">
        <v>16</v>
      </c>
      <c r="H686" s="4">
        <v>2</v>
      </c>
      <c r="I686" s="4">
        <v>25</v>
      </c>
      <c r="J686" s="4">
        <v>50</v>
      </c>
      <c r="K686" s="4" t="str" cm="1">
        <f t="array" ref="K686">_xlfn.IFS(AND(Table15[[#This Row],[Total Amount]]&gt;=1500),"Critical",AND(Table15[[#This Row],[Total Amount]]&gt;=1000),"High",TRUE,"Normal")</f>
        <v>Normal</v>
      </c>
      <c r="L686" s="4" t="str">
        <f>IF(Table15[[#This Row],[Total Amount]]&gt;=1000,"High",(IF(Table15[[#This Row],[Total Amount]]&gt;=500,"Medium","Low")))</f>
        <v>Low</v>
      </c>
      <c r="M686" s="4" t="str" cm="1">
        <f t="array" ref="M68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86" s="4" cm="1">
        <f t="array" ref="N68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686" s="4">
        <f>Table15[[#This Row],[Total Amount]]-Table15[[#This Row],[Discount Amount]]</f>
        <v>45</v>
      </c>
    </row>
    <row r="687" spans="1:15" x14ac:dyDescent="0.35">
      <c r="A687" s="4">
        <v>686</v>
      </c>
      <c r="B687" s="5">
        <v>45126</v>
      </c>
      <c r="C687" s="4" t="s">
        <v>699</v>
      </c>
      <c r="D687" s="4" t="s">
        <v>13</v>
      </c>
      <c r="E687" s="4">
        <v>28</v>
      </c>
      <c r="F687" s="4" t="str">
        <f>IF(Table15[[#This Row],[Age]]&lt;=19,"Teenager",IF(Table15[[#This Row],[Age]]&lt;=40,"Median","Old"))</f>
        <v>Median</v>
      </c>
      <c r="G687" s="4" t="s">
        <v>16</v>
      </c>
      <c r="H687" s="4">
        <v>4</v>
      </c>
      <c r="I687" s="4">
        <v>50</v>
      </c>
      <c r="J687" s="4">
        <v>200</v>
      </c>
      <c r="K687" s="4" t="str" cm="1">
        <f t="array" ref="K687">_xlfn.IFS(AND(Table15[[#This Row],[Total Amount]]&gt;=1500),"Critical",AND(Table15[[#This Row],[Total Amount]]&gt;=1000),"High",TRUE,"Normal")</f>
        <v>Normal</v>
      </c>
      <c r="L687" s="4" t="str">
        <f>IF(Table15[[#This Row],[Total Amount]]&gt;=1000,"High",(IF(Table15[[#This Row],[Total Amount]]&gt;=500,"Medium","Low")))</f>
        <v>Low</v>
      </c>
      <c r="M687" s="4" t="str" cm="1">
        <f t="array" ref="M68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87" s="4" cm="1">
        <f t="array" ref="N68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687" s="4">
        <f>Table15[[#This Row],[Total Amount]]-Table15[[#This Row],[Discount Amount]]</f>
        <v>170</v>
      </c>
    </row>
    <row r="688" spans="1:15" x14ac:dyDescent="0.35">
      <c r="A688" s="4">
        <v>687</v>
      </c>
      <c r="B688" s="5">
        <v>45141</v>
      </c>
      <c r="C688" s="4" t="s">
        <v>700</v>
      </c>
      <c r="D688" s="4" t="s">
        <v>13</v>
      </c>
      <c r="E688" s="4">
        <v>53</v>
      </c>
      <c r="F688" s="4" t="str">
        <f>IF(Table15[[#This Row],[Age]]&lt;=19,"Teenager",IF(Table15[[#This Row],[Age]]&lt;=40,"Median","Old"))</f>
        <v>Old</v>
      </c>
      <c r="G688" s="4" t="s">
        <v>16</v>
      </c>
      <c r="H688" s="4">
        <v>1</v>
      </c>
      <c r="I688" s="4">
        <v>300</v>
      </c>
      <c r="J688" s="4">
        <v>300</v>
      </c>
      <c r="K688" s="4" t="str" cm="1">
        <f t="array" ref="K688">_xlfn.IFS(AND(Table15[[#This Row],[Total Amount]]&gt;=1500),"Critical",AND(Table15[[#This Row],[Total Amount]]&gt;=1000),"High",TRUE,"Normal")</f>
        <v>Normal</v>
      </c>
      <c r="L688" s="4" t="str">
        <f>IF(Table15[[#This Row],[Total Amount]]&gt;=1000,"High",(IF(Table15[[#This Row],[Total Amount]]&gt;=500,"Medium","Low")))</f>
        <v>Low</v>
      </c>
      <c r="M688" s="4" t="str" cm="1">
        <f t="array" ref="M68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88" s="4" cm="1">
        <f t="array" ref="N68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688" s="4">
        <f>Table15[[#This Row],[Total Amount]]-Table15[[#This Row],[Discount Amount]]</f>
        <v>240</v>
      </c>
    </row>
    <row r="689" spans="1:15" x14ac:dyDescent="0.35">
      <c r="A689" s="4">
        <v>688</v>
      </c>
      <c r="B689" s="5">
        <v>45202</v>
      </c>
      <c r="C689" s="4" t="s">
        <v>701</v>
      </c>
      <c r="D689" s="4" t="s">
        <v>10</v>
      </c>
      <c r="E689" s="4">
        <v>56</v>
      </c>
      <c r="F689" s="4" t="str">
        <f>IF(Table15[[#This Row],[Age]]&lt;=19,"Teenager",IF(Table15[[#This Row],[Age]]&lt;=40,"Median","Old"))</f>
        <v>Old</v>
      </c>
      <c r="G689" s="4" t="s">
        <v>14</v>
      </c>
      <c r="H689" s="4">
        <v>4</v>
      </c>
      <c r="I689" s="4">
        <v>25</v>
      </c>
      <c r="J689" s="4">
        <v>100</v>
      </c>
      <c r="K689" s="4" t="str" cm="1">
        <f t="array" ref="K689">_xlfn.IFS(AND(Table15[[#This Row],[Total Amount]]&gt;=1500),"Critical",AND(Table15[[#This Row],[Total Amount]]&gt;=1000),"High",TRUE,"Normal")</f>
        <v>Normal</v>
      </c>
      <c r="L689" s="4" t="str">
        <f>IF(Table15[[#This Row],[Total Amount]]&gt;=1000,"High",(IF(Table15[[#This Row],[Total Amount]]&gt;=500,"Medium","Low")))</f>
        <v>Low</v>
      </c>
      <c r="M689" s="4" t="str" cm="1">
        <f t="array" ref="M68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89" s="4" cm="1">
        <f t="array" ref="N68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689" s="4">
        <f>Table15[[#This Row],[Total Amount]]-Table15[[#This Row],[Discount Amount]]</f>
        <v>90</v>
      </c>
    </row>
    <row r="690" spans="1:15" x14ac:dyDescent="0.35">
      <c r="A690" s="4">
        <v>689</v>
      </c>
      <c r="B690" s="5">
        <v>45206</v>
      </c>
      <c r="C690" s="4" t="s">
        <v>702</v>
      </c>
      <c r="D690" s="4" t="s">
        <v>10</v>
      </c>
      <c r="E690" s="4">
        <v>57</v>
      </c>
      <c r="F690" s="4" t="str">
        <f>IF(Table15[[#This Row],[Age]]&lt;=19,"Teenager",IF(Table15[[#This Row],[Age]]&lt;=40,"Median","Old"))</f>
        <v>Old</v>
      </c>
      <c r="G690" s="4" t="s">
        <v>16</v>
      </c>
      <c r="H690" s="4">
        <v>2</v>
      </c>
      <c r="I690" s="4">
        <v>50</v>
      </c>
      <c r="J690" s="4">
        <v>100</v>
      </c>
      <c r="K690" s="4" t="str" cm="1">
        <f t="array" ref="K690">_xlfn.IFS(AND(Table15[[#This Row],[Total Amount]]&gt;=1500),"Critical",AND(Table15[[#This Row],[Total Amount]]&gt;=1000),"High",TRUE,"Normal")</f>
        <v>Normal</v>
      </c>
      <c r="L690" s="4" t="str">
        <f>IF(Table15[[#This Row],[Total Amount]]&gt;=1000,"High",(IF(Table15[[#This Row],[Total Amount]]&gt;=500,"Medium","Low")))</f>
        <v>Low</v>
      </c>
      <c r="M690" s="4" t="str" cm="1">
        <f t="array" ref="M69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90" s="4" cm="1">
        <f t="array" ref="N69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690" s="4">
        <f>Table15[[#This Row],[Total Amount]]-Table15[[#This Row],[Discount Amount]]</f>
        <v>90</v>
      </c>
    </row>
    <row r="691" spans="1:15" x14ac:dyDescent="0.35">
      <c r="A691" s="4">
        <v>690</v>
      </c>
      <c r="B691" s="5">
        <v>45235</v>
      </c>
      <c r="C691" s="4" t="s">
        <v>703</v>
      </c>
      <c r="D691" s="4" t="s">
        <v>13</v>
      </c>
      <c r="E691" s="4">
        <v>52</v>
      </c>
      <c r="F691" s="4" t="str">
        <f>IF(Table15[[#This Row],[Age]]&lt;=19,"Teenager",IF(Table15[[#This Row],[Age]]&lt;=40,"Median","Old"))</f>
        <v>Old</v>
      </c>
      <c r="G691" s="4" t="s">
        <v>14</v>
      </c>
      <c r="H691" s="4">
        <v>3</v>
      </c>
      <c r="I691" s="4">
        <v>300</v>
      </c>
      <c r="J691" s="4">
        <v>900</v>
      </c>
      <c r="K691" s="4" t="str" cm="1">
        <f t="array" ref="K691">_xlfn.IFS(AND(Table15[[#This Row],[Total Amount]]&gt;=1500),"Critical",AND(Table15[[#This Row],[Total Amount]]&gt;=1000),"High",TRUE,"Normal")</f>
        <v>Normal</v>
      </c>
      <c r="L691" s="4" t="str">
        <f>IF(Table15[[#This Row],[Total Amount]]&gt;=1000,"High",(IF(Table15[[#This Row],[Total Amount]]&gt;=500,"Medium","Low")))</f>
        <v>Medium</v>
      </c>
      <c r="M691" s="4" t="str" cm="1">
        <f t="array" ref="M69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91" s="4" cm="1">
        <f t="array" ref="N69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691" s="4">
        <f>Table15[[#This Row],[Total Amount]]-Table15[[#This Row],[Discount Amount]]</f>
        <v>720</v>
      </c>
    </row>
    <row r="692" spans="1:15" x14ac:dyDescent="0.35">
      <c r="A692" s="4">
        <v>691</v>
      </c>
      <c r="B692" s="5">
        <v>45039</v>
      </c>
      <c r="C692" s="4" t="s">
        <v>704</v>
      </c>
      <c r="D692" s="4" t="s">
        <v>13</v>
      </c>
      <c r="E692" s="4">
        <v>51</v>
      </c>
      <c r="F692" s="4" t="str">
        <f>IF(Table15[[#This Row],[Age]]&lt;=19,"Teenager",IF(Table15[[#This Row],[Age]]&lt;=40,"Median","Old"))</f>
        <v>Old</v>
      </c>
      <c r="G692" s="4" t="s">
        <v>14</v>
      </c>
      <c r="H692" s="4">
        <v>3</v>
      </c>
      <c r="I692" s="4">
        <v>30</v>
      </c>
      <c r="J692" s="4">
        <v>90</v>
      </c>
      <c r="K692" s="4" t="str" cm="1">
        <f t="array" ref="K692">_xlfn.IFS(AND(Table15[[#This Row],[Total Amount]]&gt;=1500),"Critical",AND(Table15[[#This Row],[Total Amount]]&gt;=1000),"High",TRUE,"Normal")</f>
        <v>Normal</v>
      </c>
      <c r="L692" s="4" t="str">
        <f>IF(Table15[[#This Row],[Total Amount]]&gt;=1000,"High",(IF(Table15[[#This Row],[Total Amount]]&gt;=500,"Medium","Low")))</f>
        <v>Low</v>
      </c>
      <c r="M692" s="4" t="str" cm="1">
        <f t="array" ref="M69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92" s="4" cm="1">
        <f t="array" ref="N69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692" s="4">
        <f>Table15[[#This Row],[Total Amount]]-Table15[[#This Row],[Discount Amount]]</f>
        <v>72</v>
      </c>
    </row>
    <row r="693" spans="1:15" x14ac:dyDescent="0.35">
      <c r="A693" s="4">
        <v>692</v>
      </c>
      <c r="B693" s="5">
        <v>45176</v>
      </c>
      <c r="C693" s="4" t="s">
        <v>705</v>
      </c>
      <c r="D693" s="4" t="s">
        <v>13</v>
      </c>
      <c r="E693" s="4">
        <v>64</v>
      </c>
      <c r="F693" s="4" t="str">
        <f>IF(Table15[[#This Row],[Age]]&lt;=19,"Teenager",IF(Table15[[#This Row],[Age]]&lt;=40,"Median","Old"))</f>
        <v>Old</v>
      </c>
      <c r="G693" s="4" t="s">
        <v>14</v>
      </c>
      <c r="H693" s="4">
        <v>2</v>
      </c>
      <c r="I693" s="4">
        <v>50</v>
      </c>
      <c r="J693" s="4">
        <v>100</v>
      </c>
      <c r="K693" s="4" t="str" cm="1">
        <f t="array" ref="K693">_xlfn.IFS(AND(Table15[[#This Row],[Total Amount]]&gt;=1500),"Critical",AND(Table15[[#This Row],[Total Amount]]&gt;=1000),"High",TRUE,"Normal")</f>
        <v>Normal</v>
      </c>
      <c r="L693" s="4" t="str">
        <f>IF(Table15[[#This Row],[Total Amount]]&gt;=1000,"High",(IF(Table15[[#This Row],[Total Amount]]&gt;=500,"Medium","Low")))</f>
        <v>Low</v>
      </c>
      <c r="M693" s="4" t="str" cm="1">
        <f t="array" ref="M69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93" s="4" cm="1">
        <f t="array" ref="N69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693" s="4">
        <f>Table15[[#This Row],[Total Amount]]-Table15[[#This Row],[Discount Amount]]</f>
        <v>80</v>
      </c>
    </row>
    <row r="694" spans="1:15" x14ac:dyDescent="0.35">
      <c r="A694" s="4">
        <v>693</v>
      </c>
      <c r="B694" s="5">
        <v>45039</v>
      </c>
      <c r="C694" s="4" t="s">
        <v>706</v>
      </c>
      <c r="D694" s="4" t="s">
        <v>10</v>
      </c>
      <c r="E694" s="4">
        <v>41</v>
      </c>
      <c r="F694" s="4" t="str">
        <f>IF(Table15[[#This Row],[Age]]&lt;=19,"Teenager",IF(Table15[[#This Row],[Age]]&lt;=40,"Median","Old"))</f>
        <v>Old</v>
      </c>
      <c r="G694" s="4" t="s">
        <v>11</v>
      </c>
      <c r="H694" s="4">
        <v>3</v>
      </c>
      <c r="I694" s="4">
        <v>500</v>
      </c>
      <c r="J694" s="4">
        <v>1500</v>
      </c>
      <c r="K694" s="4" t="str" cm="1">
        <f t="array" ref="K694">_xlfn.IFS(AND(Table15[[#This Row],[Total Amount]]&gt;=1500),"Critical",AND(Table15[[#This Row],[Total Amount]]&gt;=1000),"High",TRUE,"Normal")</f>
        <v>Critical</v>
      </c>
      <c r="L694" s="4" t="str">
        <f>IF(Table15[[#This Row],[Total Amount]]&gt;=1000,"High",(IF(Table15[[#This Row],[Total Amount]]&gt;=500,"Medium","Low")))</f>
        <v>High</v>
      </c>
      <c r="M694" s="4" t="str" cm="1">
        <f t="array" ref="M69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94" s="4" cm="1">
        <f t="array" ref="N69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694" s="4">
        <f>Table15[[#This Row],[Total Amount]]-Table15[[#This Row],[Discount Amount]]</f>
        <v>1350</v>
      </c>
    </row>
    <row r="695" spans="1:15" x14ac:dyDescent="0.35">
      <c r="A695" s="4">
        <v>694</v>
      </c>
      <c r="B695" s="5">
        <v>45066</v>
      </c>
      <c r="C695" s="4" t="s">
        <v>707</v>
      </c>
      <c r="D695" s="4" t="s">
        <v>13</v>
      </c>
      <c r="E695" s="4">
        <v>39</v>
      </c>
      <c r="F695" s="4" t="str">
        <f>IF(Table15[[#This Row],[Age]]&lt;=19,"Teenager",IF(Table15[[#This Row],[Age]]&lt;=40,"Median","Old"))</f>
        <v>Median</v>
      </c>
      <c r="G695" s="4" t="s">
        <v>16</v>
      </c>
      <c r="H695" s="4">
        <v>2</v>
      </c>
      <c r="I695" s="4">
        <v>25</v>
      </c>
      <c r="J695" s="4">
        <v>50</v>
      </c>
      <c r="K695" s="4" t="str" cm="1">
        <f t="array" ref="K695">_xlfn.IFS(AND(Table15[[#This Row],[Total Amount]]&gt;=1500),"Critical",AND(Table15[[#This Row],[Total Amount]]&gt;=1000),"High",TRUE,"Normal")</f>
        <v>Normal</v>
      </c>
      <c r="L695" s="4" t="str">
        <f>IF(Table15[[#This Row],[Total Amount]]&gt;=1000,"High",(IF(Table15[[#This Row],[Total Amount]]&gt;=500,"Medium","Low")))</f>
        <v>Low</v>
      </c>
      <c r="M695" s="4" t="str" cm="1">
        <f t="array" ref="M69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95" s="4" cm="1">
        <f t="array" ref="N69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695" s="4">
        <f>Table15[[#This Row],[Total Amount]]-Table15[[#This Row],[Discount Amount]]</f>
        <v>40</v>
      </c>
    </row>
    <row r="696" spans="1:15" x14ac:dyDescent="0.35">
      <c r="A696" s="4">
        <v>695</v>
      </c>
      <c r="B696" s="5">
        <v>45150</v>
      </c>
      <c r="C696" s="4" t="s">
        <v>708</v>
      </c>
      <c r="D696" s="4" t="s">
        <v>13</v>
      </c>
      <c r="E696" s="4">
        <v>22</v>
      </c>
      <c r="F696" s="4" t="str">
        <f>IF(Table15[[#This Row],[Age]]&lt;=19,"Teenager",IF(Table15[[#This Row],[Age]]&lt;=40,"Median","Old"))</f>
        <v>Median</v>
      </c>
      <c r="G696" s="4" t="s">
        <v>16</v>
      </c>
      <c r="H696" s="4">
        <v>3</v>
      </c>
      <c r="I696" s="4">
        <v>50</v>
      </c>
      <c r="J696" s="4">
        <v>150</v>
      </c>
      <c r="K696" s="4" t="str" cm="1">
        <f t="array" ref="K696">_xlfn.IFS(AND(Table15[[#This Row],[Total Amount]]&gt;=1500),"Critical",AND(Table15[[#This Row],[Total Amount]]&gt;=1000),"High",TRUE,"Normal")</f>
        <v>Normal</v>
      </c>
      <c r="L696" s="4" t="str">
        <f>IF(Table15[[#This Row],[Total Amount]]&gt;=1000,"High",(IF(Table15[[#This Row],[Total Amount]]&gt;=500,"Medium","Low")))</f>
        <v>Low</v>
      </c>
      <c r="M696" s="4" t="str" cm="1">
        <f t="array" ref="M69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96" s="4" cm="1">
        <f t="array" ref="N69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96" s="4">
        <f>Table15[[#This Row],[Total Amount]]-Table15[[#This Row],[Discount Amount]]</f>
        <v>150</v>
      </c>
    </row>
    <row r="697" spans="1:15" x14ac:dyDescent="0.35">
      <c r="A697" s="4">
        <v>696</v>
      </c>
      <c r="B697" s="5">
        <v>45175</v>
      </c>
      <c r="C697" s="4" t="s">
        <v>709</v>
      </c>
      <c r="D697" s="4" t="s">
        <v>13</v>
      </c>
      <c r="E697" s="4">
        <v>50</v>
      </c>
      <c r="F697" s="4" t="str">
        <f>IF(Table15[[#This Row],[Age]]&lt;=19,"Teenager",IF(Table15[[#This Row],[Age]]&lt;=40,"Median","Old"))</f>
        <v>Old</v>
      </c>
      <c r="G697" s="4" t="s">
        <v>14</v>
      </c>
      <c r="H697" s="4">
        <v>4</v>
      </c>
      <c r="I697" s="4">
        <v>50</v>
      </c>
      <c r="J697" s="4">
        <v>200</v>
      </c>
      <c r="K697" s="4" t="str" cm="1">
        <f t="array" ref="K697">_xlfn.IFS(AND(Table15[[#This Row],[Total Amount]]&gt;=1500),"Critical",AND(Table15[[#This Row],[Total Amount]]&gt;=1000),"High",TRUE,"Normal")</f>
        <v>Normal</v>
      </c>
      <c r="L697" s="4" t="str">
        <f>IF(Table15[[#This Row],[Total Amount]]&gt;=1000,"High",(IF(Table15[[#This Row],[Total Amount]]&gt;=500,"Medium","Low")))</f>
        <v>Low</v>
      </c>
      <c r="M697" s="4" t="str" cm="1">
        <f t="array" ref="M69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97" s="4" cm="1">
        <f t="array" ref="N69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697" s="4">
        <f>Table15[[#This Row],[Total Amount]]-Table15[[#This Row],[Discount Amount]]</f>
        <v>160</v>
      </c>
    </row>
    <row r="698" spans="1:15" x14ac:dyDescent="0.35">
      <c r="A698" s="4">
        <v>697</v>
      </c>
      <c r="B698" s="5">
        <v>44941</v>
      </c>
      <c r="C698" s="4" t="s">
        <v>710</v>
      </c>
      <c r="D698" s="4" t="s">
        <v>10</v>
      </c>
      <c r="E698" s="4">
        <v>53</v>
      </c>
      <c r="F698" s="4" t="str">
        <f>IF(Table15[[#This Row],[Age]]&lt;=19,"Teenager",IF(Table15[[#This Row],[Age]]&lt;=40,"Median","Old"))</f>
        <v>Old</v>
      </c>
      <c r="G698" s="4" t="s">
        <v>14</v>
      </c>
      <c r="H698" s="4">
        <v>1</v>
      </c>
      <c r="I698" s="4">
        <v>500</v>
      </c>
      <c r="J698" s="4">
        <v>500</v>
      </c>
      <c r="K698" s="4" t="str" cm="1">
        <f t="array" ref="K698">_xlfn.IFS(AND(Table15[[#This Row],[Total Amount]]&gt;=1500),"Critical",AND(Table15[[#This Row],[Total Amount]]&gt;=1000),"High",TRUE,"Normal")</f>
        <v>Normal</v>
      </c>
      <c r="L698" s="4" t="str">
        <f>IF(Table15[[#This Row],[Total Amount]]&gt;=1000,"High",(IF(Table15[[#This Row],[Total Amount]]&gt;=500,"Medium","Low")))</f>
        <v>Medium</v>
      </c>
      <c r="M698" s="4" t="str" cm="1">
        <f t="array" ref="M69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98" s="4" cm="1">
        <f t="array" ref="N69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698" s="4">
        <f>Table15[[#This Row],[Total Amount]]-Table15[[#This Row],[Discount Amount]]</f>
        <v>450</v>
      </c>
    </row>
    <row r="699" spans="1:15" x14ac:dyDescent="0.35">
      <c r="A699" s="4">
        <v>698</v>
      </c>
      <c r="B699" s="5">
        <v>45126</v>
      </c>
      <c r="C699" s="4" t="s">
        <v>711</v>
      </c>
      <c r="D699" s="4" t="s">
        <v>13</v>
      </c>
      <c r="E699" s="4">
        <v>64</v>
      </c>
      <c r="F699" s="4" t="str">
        <f>IF(Table15[[#This Row],[Age]]&lt;=19,"Teenager",IF(Table15[[#This Row],[Age]]&lt;=40,"Median","Old"))</f>
        <v>Old</v>
      </c>
      <c r="G699" s="4" t="s">
        <v>16</v>
      </c>
      <c r="H699" s="4">
        <v>1</v>
      </c>
      <c r="I699" s="4">
        <v>300</v>
      </c>
      <c r="J699" s="4">
        <v>300</v>
      </c>
      <c r="K699" s="4" t="str" cm="1">
        <f t="array" ref="K699">_xlfn.IFS(AND(Table15[[#This Row],[Total Amount]]&gt;=1500),"Critical",AND(Table15[[#This Row],[Total Amount]]&gt;=1000),"High",TRUE,"Normal")</f>
        <v>Normal</v>
      </c>
      <c r="L699" s="4" t="str">
        <f>IF(Table15[[#This Row],[Total Amount]]&gt;=1000,"High",(IF(Table15[[#This Row],[Total Amount]]&gt;=500,"Medium","Low")))</f>
        <v>Low</v>
      </c>
      <c r="M699" s="4" t="str" cm="1">
        <f t="array" ref="M69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99" s="4" cm="1">
        <f t="array" ref="N69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699" s="4">
        <f>Table15[[#This Row],[Total Amount]]-Table15[[#This Row],[Discount Amount]]</f>
        <v>240</v>
      </c>
    </row>
    <row r="700" spans="1:15" x14ac:dyDescent="0.35">
      <c r="A700" s="4">
        <v>699</v>
      </c>
      <c r="B700" s="5">
        <v>45099</v>
      </c>
      <c r="C700" s="4" t="s">
        <v>712</v>
      </c>
      <c r="D700" s="4" t="s">
        <v>13</v>
      </c>
      <c r="E700" s="4">
        <v>37</v>
      </c>
      <c r="F700" s="4" t="str">
        <f>IF(Table15[[#This Row],[Age]]&lt;=19,"Teenager",IF(Table15[[#This Row],[Age]]&lt;=40,"Median","Old"))</f>
        <v>Median</v>
      </c>
      <c r="G700" s="4" t="s">
        <v>14</v>
      </c>
      <c r="H700" s="4">
        <v>4</v>
      </c>
      <c r="I700" s="4">
        <v>30</v>
      </c>
      <c r="J700" s="4">
        <v>120</v>
      </c>
      <c r="K700" s="4" t="str" cm="1">
        <f t="array" ref="K700">_xlfn.IFS(AND(Table15[[#This Row],[Total Amount]]&gt;=1500),"Critical",AND(Table15[[#This Row],[Total Amount]]&gt;=1000),"High",TRUE,"Normal")</f>
        <v>Normal</v>
      </c>
      <c r="L700" s="4" t="str">
        <f>IF(Table15[[#This Row],[Total Amount]]&gt;=1000,"High",(IF(Table15[[#This Row],[Total Amount]]&gt;=500,"Medium","Low")))</f>
        <v>Low</v>
      </c>
      <c r="M700" s="4" t="str" cm="1">
        <f t="array" ref="M70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00" s="4" cm="1">
        <f t="array" ref="N70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700" s="4">
        <f>Table15[[#This Row],[Total Amount]]-Table15[[#This Row],[Discount Amount]]</f>
        <v>96</v>
      </c>
    </row>
    <row r="701" spans="1:15" x14ac:dyDescent="0.35">
      <c r="A701" s="4">
        <v>700</v>
      </c>
      <c r="B701" s="5">
        <v>45269</v>
      </c>
      <c r="C701" s="4" t="s">
        <v>713</v>
      </c>
      <c r="D701" s="4" t="s">
        <v>10</v>
      </c>
      <c r="E701" s="4">
        <v>36</v>
      </c>
      <c r="F701" s="4" t="str">
        <f>IF(Table15[[#This Row],[Age]]&lt;=19,"Teenager",IF(Table15[[#This Row],[Age]]&lt;=40,"Median","Old"))</f>
        <v>Median</v>
      </c>
      <c r="G701" s="4" t="s">
        <v>16</v>
      </c>
      <c r="H701" s="4">
        <v>4</v>
      </c>
      <c r="I701" s="4">
        <v>500</v>
      </c>
      <c r="J701" s="4">
        <v>2000</v>
      </c>
      <c r="K701" s="4" t="str" cm="1">
        <f t="array" ref="K701">_xlfn.IFS(AND(Table15[[#This Row],[Total Amount]]&gt;=1500),"Critical",AND(Table15[[#This Row],[Total Amount]]&gt;=1000),"High",TRUE,"Normal")</f>
        <v>Critical</v>
      </c>
      <c r="L701" s="4" t="str">
        <f>IF(Table15[[#This Row],[Total Amount]]&gt;=1000,"High",(IF(Table15[[#This Row],[Total Amount]]&gt;=500,"Medium","Low")))</f>
        <v>High</v>
      </c>
      <c r="M701" s="4" t="str" cm="1">
        <f t="array" ref="M70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01" s="4" cm="1">
        <f t="array" ref="N70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701" s="4">
        <f>Table15[[#This Row],[Total Amount]]-Table15[[#This Row],[Discount Amount]]</f>
        <v>1800</v>
      </c>
    </row>
    <row r="702" spans="1:15" x14ac:dyDescent="0.35">
      <c r="A702" s="4">
        <v>701</v>
      </c>
      <c r="B702" s="5">
        <v>45274</v>
      </c>
      <c r="C702" s="4" t="s">
        <v>714</v>
      </c>
      <c r="D702" s="4" t="s">
        <v>13</v>
      </c>
      <c r="E702" s="4">
        <v>52</v>
      </c>
      <c r="F702" s="4" t="str">
        <f>IF(Table15[[#This Row],[Age]]&lt;=19,"Teenager",IF(Table15[[#This Row],[Age]]&lt;=40,"Median","Old"))</f>
        <v>Old</v>
      </c>
      <c r="G702" s="4" t="s">
        <v>11</v>
      </c>
      <c r="H702" s="4">
        <v>2</v>
      </c>
      <c r="I702" s="4">
        <v>30</v>
      </c>
      <c r="J702" s="4">
        <v>60</v>
      </c>
      <c r="K702" s="4" t="str" cm="1">
        <f t="array" ref="K702">_xlfn.IFS(AND(Table15[[#This Row],[Total Amount]]&gt;=1500),"Critical",AND(Table15[[#This Row],[Total Amount]]&gt;=1000),"High",TRUE,"Normal")</f>
        <v>Normal</v>
      </c>
      <c r="L702" s="4" t="str">
        <f>IF(Table15[[#This Row],[Total Amount]]&gt;=1000,"High",(IF(Table15[[#This Row],[Total Amount]]&gt;=500,"Medium","Low")))</f>
        <v>Low</v>
      </c>
      <c r="M702" s="4" t="str" cm="1">
        <f t="array" ref="M70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02" s="4" cm="1">
        <f t="array" ref="N70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702" s="4">
        <f>Table15[[#This Row],[Total Amount]]-Table15[[#This Row],[Discount Amount]]</f>
        <v>48</v>
      </c>
    </row>
    <row r="703" spans="1:15" x14ac:dyDescent="0.35">
      <c r="A703" s="4">
        <v>702</v>
      </c>
      <c r="B703" s="5">
        <v>45134</v>
      </c>
      <c r="C703" s="4" t="s">
        <v>715</v>
      </c>
      <c r="D703" s="4" t="s">
        <v>13</v>
      </c>
      <c r="E703" s="4">
        <v>60</v>
      </c>
      <c r="F703" s="4" t="str">
        <f>IF(Table15[[#This Row],[Age]]&lt;=19,"Teenager",IF(Table15[[#This Row],[Age]]&lt;=40,"Median","Old"))</f>
        <v>Old</v>
      </c>
      <c r="G703" s="4" t="s">
        <v>14</v>
      </c>
      <c r="H703" s="4">
        <v>2</v>
      </c>
      <c r="I703" s="4">
        <v>300</v>
      </c>
      <c r="J703" s="4">
        <v>600</v>
      </c>
      <c r="K703" s="4" t="str" cm="1">
        <f t="array" ref="K703">_xlfn.IFS(AND(Table15[[#This Row],[Total Amount]]&gt;=1500),"Critical",AND(Table15[[#This Row],[Total Amount]]&gt;=1000),"High",TRUE,"Normal")</f>
        <v>Normal</v>
      </c>
      <c r="L703" s="4" t="str">
        <f>IF(Table15[[#This Row],[Total Amount]]&gt;=1000,"High",(IF(Table15[[#This Row],[Total Amount]]&gt;=500,"Medium","Low")))</f>
        <v>Medium</v>
      </c>
      <c r="M703" s="4" t="str" cm="1">
        <f t="array" ref="M70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03" s="4" cm="1">
        <f t="array" ref="N70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703" s="4">
        <f>Table15[[#This Row],[Total Amount]]-Table15[[#This Row],[Discount Amount]]</f>
        <v>480</v>
      </c>
    </row>
    <row r="704" spans="1:15" x14ac:dyDescent="0.35">
      <c r="A704" s="4">
        <v>703</v>
      </c>
      <c r="B704" s="5">
        <v>45011</v>
      </c>
      <c r="C704" s="4" t="s">
        <v>716</v>
      </c>
      <c r="D704" s="4" t="s">
        <v>10</v>
      </c>
      <c r="E704" s="4">
        <v>34</v>
      </c>
      <c r="F704" s="4" t="str">
        <f>IF(Table15[[#This Row],[Age]]&lt;=19,"Teenager",IF(Table15[[#This Row],[Age]]&lt;=40,"Median","Old"))</f>
        <v>Median</v>
      </c>
      <c r="G704" s="4" t="s">
        <v>16</v>
      </c>
      <c r="H704" s="4">
        <v>2</v>
      </c>
      <c r="I704" s="4">
        <v>50</v>
      </c>
      <c r="J704" s="4">
        <v>100</v>
      </c>
      <c r="K704" s="4" t="str" cm="1">
        <f t="array" ref="K704">_xlfn.IFS(AND(Table15[[#This Row],[Total Amount]]&gt;=1500),"Critical",AND(Table15[[#This Row],[Total Amount]]&gt;=1000),"High",TRUE,"Normal")</f>
        <v>Normal</v>
      </c>
      <c r="L704" s="4" t="str">
        <f>IF(Table15[[#This Row],[Total Amount]]&gt;=1000,"High",(IF(Table15[[#This Row],[Total Amount]]&gt;=500,"Medium","Low")))</f>
        <v>Low</v>
      </c>
      <c r="M704" s="4" t="str" cm="1">
        <f t="array" ref="M70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04" s="4" cm="1">
        <f t="array" ref="N70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704" s="4">
        <f>Table15[[#This Row],[Total Amount]]-Table15[[#This Row],[Discount Amount]]</f>
        <v>85</v>
      </c>
    </row>
    <row r="705" spans="1:15" x14ac:dyDescent="0.35">
      <c r="A705" s="4">
        <v>704</v>
      </c>
      <c r="B705" s="5">
        <v>45166</v>
      </c>
      <c r="C705" s="4" t="s">
        <v>717</v>
      </c>
      <c r="D705" s="4" t="s">
        <v>13</v>
      </c>
      <c r="E705" s="4">
        <v>62</v>
      </c>
      <c r="F705" s="4" t="str">
        <f>IF(Table15[[#This Row],[Age]]&lt;=19,"Teenager",IF(Table15[[#This Row],[Age]]&lt;=40,"Median","Old"))</f>
        <v>Old</v>
      </c>
      <c r="G705" s="4" t="s">
        <v>14</v>
      </c>
      <c r="H705" s="4">
        <v>3</v>
      </c>
      <c r="I705" s="4">
        <v>30</v>
      </c>
      <c r="J705" s="4">
        <v>90</v>
      </c>
      <c r="K705" s="4" t="str" cm="1">
        <f t="array" ref="K705">_xlfn.IFS(AND(Table15[[#This Row],[Total Amount]]&gt;=1500),"Critical",AND(Table15[[#This Row],[Total Amount]]&gt;=1000),"High",TRUE,"Normal")</f>
        <v>Normal</v>
      </c>
      <c r="L705" s="4" t="str">
        <f>IF(Table15[[#This Row],[Total Amount]]&gt;=1000,"High",(IF(Table15[[#This Row],[Total Amount]]&gt;=500,"Medium","Low")))</f>
        <v>Low</v>
      </c>
      <c r="M705" s="4" t="str" cm="1">
        <f t="array" ref="M70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05" s="4" cm="1">
        <f t="array" ref="N70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705" s="4">
        <f>Table15[[#This Row],[Total Amount]]-Table15[[#This Row],[Discount Amount]]</f>
        <v>72</v>
      </c>
    </row>
    <row r="706" spans="1:15" x14ac:dyDescent="0.35">
      <c r="A706" s="4">
        <v>705</v>
      </c>
      <c r="B706" s="5">
        <v>44992</v>
      </c>
      <c r="C706" s="4" t="s">
        <v>718</v>
      </c>
      <c r="D706" s="4" t="s">
        <v>10</v>
      </c>
      <c r="E706" s="4">
        <v>60</v>
      </c>
      <c r="F706" s="4" t="str">
        <f>IF(Table15[[#This Row],[Age]]&lt;=19,"Teenager",IF(Table15[[#This Row],[Age]]&lt;=40,"Median","Old"))</f>
        <v>Old</v>
      </c>
      <c r="G706" s="4" t="s">
        <v>16</v>
      </c>
      <c r="H706" s="4">
        <v>2</v>
      </c>
      <c r="I706" s="4">
        <v>25</v>
      </c>
      <c r="J706" s="4">
        <v>50</v>
      </c>
      <c r="K706" s="4" t="str" cm="1">
        <f t="array" ref="K706">_xlfn.IFS(AND(Table15[[#This Row],[Total Amount]]&gt;=1500),"Critical",AND(Table15[[#This Row],[Total Amount]]&gt;=1000),"High",TRUE,"Normal")</f>
        <v>Normal</v>
      </c>
      <c r="L706" s="4" t="str">
        <f>IF(Table15[[#This Row],[Total Amount]]&gt;=1000,"High",(IF(Table15[[#This Row],[Total Amount]]&gt;=500,"Medium","Low")))</f>
        <v>Low</v>
      </c>
      <c r="M706" s="4" t="str" cm="1">
        <f t="array" ref="M70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06" s="4" cm="1">
        <f t="array" ref="N70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706" s="4">
        <f>Table15[[#This Row],[Total Amount]]-Table15[[#This Row],[Discount Amount]]</f>
        <v>45</v>
      </c>
    </row>
    <row r="707" spans="1:15" x14ac:dyDescent="0.35">
      <c r="A707" s="4">
        <v>706</v>
      </c>
      <c r="B707" s="5">
        <v>45245</v>
      </c>
      <c r="C707" s="4" t="s">
        <v>719</v>
      </c>
      <c r="D707" s="4" t="s">
        <v>10</v>
      </c>
      <c r="E707" s="4">
        <v>51</v>
      </c>
      <c r="F707" s="4" t="str">
        <f>IF(Table15[[#This Row],[Age]]&lt;=19,"Teenager",IF(Table15[[#This Row],[Age]]&lt;=40,"Median","Old"))</f>
        <v>Old</v>
      </c>
      <c r="G707" s="4" t="s">
        <v>16</v>
      </c>
      <c r="H707" s="4">
        <v>4</v>
      </c>
      <c r="I707" s="4">
        <v>25</v>
      </c>
      <c r="J707" s="4">
        <v>100</v>
      </c>
      <c r="K707" s="4" t="str" cm="1">
        <f t="array" ref="K707">_xlfn.IFS(AND(Table15[[#This Row],[Total Amount]]&gt;=1500),"Critical",AND(Table15[[#This Row],[Total Amount]]&gt;=1000),"High",TRUE,"Normal")</f>
        <v>Normal</v>
      </c>
      <c r="L707" s="4" t="str">
        <f>IF(Table15[[#This Row],[Total Amount]]&gt;=1000,"High",(IF(Table15[[#This Row],[Total Amount]]&gt;=500,"Medium","Low")))</f>
        <v>Low</v>
      </c>
      <c r="M707" s="4" t="str" cm="1">
        <f t="array" ref="M70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07" s="4" cm="1">
        <f t="array" ref="N70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707" s="4">
        <f>Table15[[#This Row],[Total Amount]]-Table15[[#This Row],[Discount Amount]]</f>
        <v>90</v>
      </c>
    </row>
    <row r="708" spans="1:15" x14ac:dyDescent="0.35">
      <c r="A708" s="4">
        <v>707</v>
      </c>
      <c r="B708" s="5">
        <v>45200</v>
      </c>
      <c r="C708" s="4" t="s">
        <v>720</v>
      </c>
      <c r="D708" s="4" t="s">
        <v>13</v>
      </c>
      <c r="E708" s="4">
        <v>26</v>
      </c>
      <c r="F708" s="4" t="str">
        <f>IF(Table15[[#This Row],[Age]]&lt;=19,"Teenager",IF(Table15[[#This Row],[Age]]&lt;=40,"Median","Old"))</f>
        <v>Median</v>
      </c>
      <c r="G708" s="4" t="s">
        <v>14</v>
      </c>
      <c r="H708" s="4">
        <v>1</v>
      </c>
      <c r="I708" s="4">
        <v>500</v>
      </c>
      <c r="J708" s="4">
        <v>500</v>
      </c>
      <c r="K708" s="4" t="str" cm="1">
        <f t="array" ref="K708">_xlfn.IFS(AND(Table15[[#This Row],[Total Amount]]&gt;=1500),"Critical",AND(Table15[[#This Row],[Total Amount]]&gt;=1000),"High",TRUE,"Normal")</f>
        <v>Normal</v>
      </c>
      <c r="L708" s="4" t="str">
        <f>IF(Table15[[#This Row],[Total Amount]]&gt;=1000,"High",(IF(Table15[[#This Row],[Total Amount]]&gt;=500,"Medium","Low")))</f>
        <v>Medium</v>
      </c>
      <c r="M708" s="4" t="str" cm="1">
        <f t="array" ref="M70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08" s="4" cm="1">
        <f t="array" ref="N70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708" s="4">
        <f>Table15[[#This Row],[Total Amount]]-Table15[[#This Row],[Discount Amount]]</f>
        <v>425</v>
      </c>
    </row>
    <row r="709" spans="1:15" x14ac:dyDescent="0.35">
      <c r="A709" s="4">
        <v>708</v>
      </c>
      <c r="B709" s="5">
        <v>44940</v>
      </c>
      <c r="C709" s="4" t="s">
        <v>721</v>
      </c>
      <c r="D709" s="4" t="s">
        <v>13</v>
      </c>
      <c r="E709" s="4">
        <v>43</v>
      </c>
      <c r="F709" s="4" t="str">
        <f>IF(Table15[[#This Row],[Age]]&lt;=19,"Teenager",IF(Table15[[#This Row],[Age]]&lt;=40,"Median","Old"))</f>
        <v>Old</v>
      </c>
      <c r="G709" s="4" t="s">
        <v>11</v>
      </c>
      <c r="H709" s="4">
        <v>3</v>
      </c>
      <c r="I709" s="4">
        <v>300</v>
      </c>
      <c r="J709" s="4">
        <v>900</v>
      </c>
      <c r="K709" s="4" t="str" cm="1">
        <f t="array" ref="K709">_xlfn.IFS(AND(Table15[[#This Row],[Total Amount]]&gt;=1500),"Critical",AND(Table15[[#This Row],[Total Amount]]&gt;=1000),"High",TRUE,"Normal")</f>
        <v>Normal</v>
      </c>
      <c r="L709" s="4" t="str">
        <f>IF(Table15[[#This Row],[Total Amount]]&gt;=1000,"High",(IF(Table15[[#This Row],[Total Amount]]&gt;=500,"Medium","Low")))</f>
        <v>Medium</v>
      </c>
      <c r="M709" s="4" t="str" cm="1">
        <f t="array" ref="M70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09" s="4" cm="1">
        <f t="array" ref="N70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709" s="4">
        <f>Table15[[#This Row],[Total Amount]]-Table15[[#This Row],[Discount Amount]]</f>
        <v>720</v>
      </c>
    </row>
    <row r="710" spans="1:15" x14ac:dyDescent="0.35">
      <c r="A710" s="4">
        <v>709</v>
      </c>
      <c r="B710" s="5">
        <v>45128</v>
      </c>
      <c r="C710" s="4" t="s">
        <v>722</v>
      </c>
      <c r="D710" s="4" t="s">
        <v>13</v>
      </c>
      <c r="E710" s="4">
        <v>19</v>
      </c>
      <c r="F710" s="4" t="str">
        <f>IF(Table15[[#This Row],[Age]]&lt;=19,"Teenager",IF(Table15[[#This Row],[Age]]&lt;=40,"Median","Old"))</f>
        <v>Teenager</v>
      </c>
      <c r="G710" s="4" t="s">
        <v>16</v>
      </c>
      <c r="H710" s="4">
        <v>2</v>
      </c>
      <c r="I710" s="4">
        <v>500</v>
      </c>
      <c r="J710" s="4">
        <v>1000</v>
      </c>
      <c r="K710" s="4" t="str" cm="1">
        <f t="array" ref="K710">_xlfn.IFS(AND(Table15[[#This Row],[Total Amount]]&gt;=1500),"Critical",AND(Table15[[#This Row],[Total Amount]]&gt;=1000),"High",TRUE,"Normal")</f>
        <v>High</v>
      </c>
      <c r="L710" s="4" t="str">
        <f>IF(Table15[[#This Row],[Total Amount]]&gt;=1000,"High",(IF(Table15[[#This Row],[Total Amount]]&gt;=500,"Medium","Low")))</f>
        <v>High</v>
      </c>
      <c r="M710" s="4" t="str" cm="1">
        <f t="array" ref="M71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710" s="4" cm="1">
        <f t="array" ref="N71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710" s="4">
        <f>Table15[[#This Row],[Total Amount]]-Table15[[#This Row],[Discount Amount]]</f>
        <v>1000</v>
      </c>
    </row>
    <row r="711" spans="1:15" x14ac:dyDescent="0.35">
      <c r="A711" s="4">
        <v>710</v>
      </c>
      <c r="B711" s="5">
        <v>45230</v>
      </c>
      <c r="C711" s="4" t="s">
        <v>723</v>
      </c>
      <c r="D711" s="4" t="s">
        <v>13</v>
      </c>
      <c r="E711" s="4">
        <v>26</v>
      </c>
      <c r="F711" s="4" t="str">
        <f>IF(Table15[[#This Row],[Age]]&lt;=19,"Teenager",IF(Table15[[#This Row],[Age]]&lt;=40,"Median","Old"))</f>
        <v>Median</v>
      </c>
      <c r="G711" s="4" t="s">
        <v>16</v>
      </c>
      <c r="H711" s="4">
        <v>3</v>
      </c>
      <c r="I711" s="4">
        <v>500</v>
      </c>
      <c r="J711" s="4">
        <v>1500</v>
      </c>
      <c r="K711" s="4" t="str" cm="1">
        <f t="array" ref="K711">_xlfn.IFS(AND(Table15[[#This Row],[Total Amount]]&gt;=1500),"Critical",AND(Table15[[#This Row],[Total Amount]]&gt;=1000),"High",TRUE,"Normal")</f>
        <v>Critical</v>
      </c>
      <c r="L711" s="4" t="str">
        <f>IF(Table15[[#This Row],[Total Amount]]&gt;=1000,"High",(IF(Table15[[#This Row],[Total Amount]]&gt;=500,"Medium","Low")))</f>
        <v>High</v>
      </c>
      <c r="M711" s="4" t="str" cm="1">
        <f t="array" ref="M71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11" s="4" cm="1">
        <f t="array" ref="N71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225</v>
      </c>
      <c r="O711" s="4">
        <f>Table15[[#This Row],[Total Amount]]-Table15[[#This Row],[Discount Amount]]</f>
        <v>1275</v>
      </c>
    </row>
    <row r="712" spans="1:15" x14ac:dyDescent="0.35">
      <c r="A712" s="4">
        <v>711</v>
      </c>
      <c r="B712" s="5">
        <v>45215</v>
      </c>
      <c r="C712" s="4" t="s">
        <v>724</v>
      </c>
      <c r="D712" s="4" t="s">
        <v>10</v>
      </c>
      <c r="E712" s="4">
        <v>26</v>
      </c>
      <c r="F712" s="4" t="str">
        <f>IF(Table15[[#This Row],[Age]]&lt;=19,"Teenager",IF(Table15[[#This Row],[Age]]&lt;=40,"Median","Old"))</f>
        <v>Median</v>
      </c>
      <c r="G712" s="4" t="s">
        <v>16</v>
      </c>
      <c r="H712" s="4">
        <v>3</v>
      </c>
      <c r="I712" s="4">
        <v>500</v>
      </c>
      <c r="J712" s="4">
        <v>1500</v>
      </c>
      <c r="K712" s="4" t="str" cm="1">
        <f t="array" ref="K712">_xlfn.IFS(AND(Table15[[#This Row],[Total Amount]]&gt;=1500),"Critical",AND(Table15[[#This Row],[Total Amount]]&gt;=1000),"High",TRUE,"Normal")</f>
        <v>Critical</v>
      </c>
      <c r="L712" s="4" t="str">
        <f>IF(Table15[[#This Row],[Total Amount]]&gt;=1000,"High",(IF(Table15[[#This Row],[Total Amount]]&gt;=500,"Medium","Low")))</f>
        <v>High</v>
      </c>
      <c r="M712" s="4" t="str" cm="1">
        <f t="array" ref="M71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12" s="4" cm="1">
        <f t="array" ref="N71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225</v>
      </c>
      <c r="O712" s="4">
        <f>Table15[[#This Row],[Total Amount]]-Table15[[#This Row],[Discount Amount]]</f>
        <v>1275</v>
      </c>
    </row>
    <row r="713" spans="1:15" x14ac:dyDescent="0.35">
      <c r="A713" s="4">
        <v>712</v>
      </c>
      <c r="B713" s="5">
        <v>45266</v>
      </c>
      <c r="C713" s="4" t="s">
        <v>725</v>
      </c>
      <c r="D713" s="4" t="s">
        <v>13</v>
      </c>
      <c r="E713" s="4">
        <v>57</v>
      </c>
      <c r="F713" s="4" t="str">
        <f>IF(Table15[[#This Row],[Age]]&lt;=19,"Teenager",IF(Table15[[#This Row],[Age]]&lt;=40,"Median","Old"))</f>
        <v>Old</v>
      </c>
      <c r="G713" s="4" t="s">
        <v>11</v>
      </c>
      <c r="H713" s="4">
        <v>2</v>
      </c>
      <c r="I713" s="4">
        <v>25</v>
      </c>
      <c r="J713" s="4">
        <v>50</v>
      </c>
      <c r="K713" s="4" t="str" cm="1">
        <f t="array" ref="K713">_xlfn.IFS(AND(Table15[[#This Row],[Total Amount]]&gt;=1500),"Critical",AND(Table15[[#This Row],[Total Amount]]&gt;=1000),"High",TRUE,"Normal")</f>
        <v>Normal</v>
      </c>
      <c r="L713" s="4" t="str">
        <f>IF(Table15[[#This Row],[Total Amount]]&gt;=1000,"High",(IF(Table15[[#This Row],[Total Amount]]&gt;=500,"Medium","Low")))</f>
        <v>Low</v>
      </c>
      <c r="M713" s="4" t="str" cm="1">
        <f t="array" ref="M71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13" s="4" cm="1">
        <f t="array" ref="N71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713" s="4">
        <f>Table15[[#This Row],[Total Amount]]-Table15[[#This Row],[Discount Amount]]</f>
        <v>40</v>
      </c>
    </row>
    <row r="714" spans="1:15" x14ac:dyDescent="0.35">
      <c r="A714" s="4">
        <v>713</v>
      </c>
      <c r="B714" s="5">
        <v>44940</v>
      </c>
      <c r="C714" s="4" t="s">
        <v>726</v>
      </c>
      <c r="D714" s="4" t="s">
        <v>10</v>
      </c>
      <c r="E714" s="4">
        <v>34</v>
      </c>
      <c r="F714" s="4" t="str">
        <f>IF(Table15[[#This Row],[Age]]&lt;=19,"Teenager",IF(Table15[[#This Row],[Age]]&lt;=40,"Median","Old"))</f>
        <v>Median</v>
      </c>
      <c r="G714" s="4" t="s">
        <v>11</v>
      </c>
      <c r="H714" s="4">
        <v>3</v>
      </c>
      <c r="I714" s="4">
        <v>25</v>
      </c>
      <c r="J714" s="4">
        <v>75</v>
      </c>
      <c r="K714" s="4" t="str" cm="1">
        <f t="array" ref="K714">_xlfn.IFS(AND(Table15[[#This Row],[Total Amount]]&gt;=1500),"Critical",AND(Table15[[#This Row],[Total Amount]]&gt;=1000),"High",TRUE,"Normal")</f>
        <v>Normal</v>
      </c>
      <c r="L714" s="4" t="str">
        <f>IF(Table15[[#This Row],[Total Amount]]&gt;=1000,"High",(IF(Table15[[#This Row],[Total Amount]]&gt;=500,"Medium","Low")))</f>
        <v>Low</v>
      </c>
      <c r="M714" s="4" t="str" cm="1">
        <f t="array" ref="M71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14" s="4" cm="1">
        <f t="array" ref="N71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11.25</v>
      </c>
      <c r="O714" s="4">
        <f>Table15[[#This Row],[Total Amount]]-Table15[[#This Row],[Discount Amount]]</f>
        <v>63.75</v>
      </c>
    </row>
    <row r="715" spans="1:15" x14ac:dyDescent="0.35">
      <c r="A715" s="4">
        <v>714</v>
      </c>
      <c r="B715" s="5">
        <v>44969</v>
      </c>
      <c r="C715" s="4" t="s">
        <v>727</v>
      </c>
      <c r="D715" s="4" t="s">
        <v>13</v>
      </c>
      <c r="E715" s="4">
        <v>18</v>
      </c>
      <c r="F715" s="4" t="str">
        <f>IF(Table15[[#This Row],[Age]]&lt;=19,"Teenager",IF(Table15[[#This Row],[Age]]&lt;=40,"Median","Old"))</f>
        <v>Teenager</v>
      </c>
      <c r="G715" s="4" t="s">
        <v>14</v>
      </c>
      <c r="H715" s="4">
        <v>1</v>
      </c>
      <c r="I715" s="4">
        <v>500</v>
      </c>
      <c r="J715" s="4">
        <v>500</v>
      </c>
      <c r="K715" s="4" t="str" cm="1">
        <f t="array" ref="K715">_xlfn.IFS(AND(Table15[[#This Row],[Total Amount]]&gt;=1500),"Critical",AND(Table15[[#This Row],[Total Amount]]&gt;=1000),"High",TRUE,"Normal")</f>
        <v>Normal</v>
      </c>
      <c r="L715" s="4" t="str">
        <f>IF(Table15[[#This Row],[Total Amount]]&gt;=1000,"High",(IF(Table15[[#This Row],[Total Amount]]&gt;=500,"Medium","Low")))</f>
        <v>Medium</v>
      </c>
      <c r="M715" s="4" t="str" cm="1">
        <f t="array" ref="M71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715" s="4" cm="1">
        <f t="array" ref="N71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715" s="4">
        <f>Table15[[#This Row],[Total Amount]]-Table15[[#This Row],[Discount Amount]]</f>
        <v>500</v>
      </c>
    </row>
    <row r="716" spans="1:15" x14ac:dyDescent="0.35">
      <c r="A716" s="4">
        <v>715</v>
      </c>
      <c r="B716" s="5">
        <v>45256</v>
      </c>
      <c r="C716" s="4" t="s">
        <v>728</v>
      </c>
      <c r="D716" s="4" t="s">
        <v>13</v>
      </c>
      <c r="E716" s="4">
        <v>42</v>
      </c>
      <c r="F716" s="4" t="str">
        <f>IF(Table15[[#This Row],[Age]]&lt;=19,"Teenager",IF(Table15[[#This Row],[Age]]&lt;=40,"Median","Old"))</f>
        <v>Old</v>
      </c>
      <c r="G716" s="4" t="s">
        <v>11</v>
      </c>
      <c r="H716" s="4">
        <v>4</v>
      </c>
      <c r="I716" s="4">
        <v>25</v>
      </c>
      <c r="J716" s="4">
        <v>100</v>
      </c>
      <c r="K716" s="4" t="str" cm="1">
        <f t="array" ref="K716">_xlfn.IFS(AND(Table15[[#This Row],[Total Amount]]&gt;=1500),"Critical",AND(Table15[[#This Row],[Total Amount]]&gt;=1000),"High",TRUE,"Normal")</f>
        <v>Normal</v>
      </c>
      <c r="L716" s="4" t="str">
        <f>IF(Table15[[#This Row],[Total Amount]]&gt;=1000,"High",(IF(Table15[[#This Row],[Total Amount]]&gt;=500,"Medium","Low")))</f>
        <v>Low</v>
      </c>
      <c r="M716" s="4" t="str" cm="1">
        <f t="array" ref="M71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16" s="4" cm="1">
        <f t="array" ref="N71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716" s="4">
        <f>Table15[[#This Row],[Total Amount]]-Table15[[#This Row],[Discount Amount]]</f>
        <v>80</v>
      </c>
    </row>
    <row r="717" spans="1:15" x14ac:dyDescent="0.35">
      <c r="A717" s="4">
        <v>716</v>
      </c>
      <c r="B717" s="5">
        <v>45146</v>
      </c>
      <c r="C717" s="4" t="s">
        <v>729</v>
      </c>
      <c r="D717" s="4" t="s">
        <v>13</v>
      </c>
      <c r="E717" s="4">
        <v>60</v>
      </c>
      <c r="F717" s="4" t="str">
        <f>IF(Table15[[#This Row],[Age]]&lt;=19,"Teenager",IF(Table15[[#This Row],[Age]]&lt;=40,"Median","Old"))</f>
        <v>Old</v>
      </c>
      <c r="G717" s="4" t="s">
        <v>14</v>
      </c>
      <c r="H717" s="4">
        <v>4</v>
      </c>
      <c r="I717" s="4">
        <v>300</v>
      </c>
      <c r="J717" s="4">
        <v>1200</v>
      </c>
      <c r="K717" s="4" t="str" cm="1">
        <f t="array" ref="K717">_xlfn.IFS(AND(Table15[[#This Row],[Total Amount]]&gt;=1500),"Critical",AND(Table15[[#This Row],[Total Amount]]&gt;=1000),"High",TRUE,"Normal")</f>
        <v>High</v>
      </c>
      <c r="L717" s="4" t="str">
        <f>IF(Table15[[#This Row],[Total Amount]]&gt;=1000,"High",(IF(Table15[[#This Row],[Total Amount]]&gt;=500,"Medium","Low")))</f>
        <v>High</v>
      </c>
      <c r="M717" s="4" t="str" cm="1">
        <f t="array" ref="M71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17" s="4" cm="1">
        <f t="array" ref="N71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717" s="4">
        <f>Table15[[#This Row],[Total Amount]]-Table15[[#This Row],[Discount Amount]]</f>
        <v>960</v>
      </c>
    </row>
    <row r="718" spans="1:15" x14ac:dyDescent="0.35">
      <c r="A718" s="4">
        <v>717</v>
      </c>
      <c r="B718" s="5">
        <v>44996</v>
      </c>
      <c r="C718" s="4" t="s">
        <v>730</v>
      </c>
      <c r="D718" s="4" t="s">
        <v>10</v>
      </c>
      <c r="E718" s="4">
        <v>57</v>
      </c>
      <c r="F718" s="4" t="str">
        <f>IF(Table15[[#This Row],[Age]]&lt;=19,"Teenager",IF(Table15[[#This Row],[Age]]&lt;=40,"Median","Old"))</f>
        <v>Old</v>
      </c>
      <c r="G718" s="4" t="s">
        <v>14</v>
      </c>
      <c r="H718" s="4">
        <v>1</v>
      </c>
      <c r="I718" s="4">
        <v>500</v>
      </c>
      <c r="J718" s="4">
        <v>500</v>
      </c>
      <c r="K718" s="4" t="str" cm="1">
        <f t="array" ref="K718">_xlfn.IFS(AND(Table15[[#This Row],[Total Amount]]&gt;=1500),"Critical",AND(Table15[[#This Row],[Total Amount]]&gt;=1000),"High",TRUE,"Normal")</f>
        <v>Normal</v>
      </c>
      <c r="L718" s="4" t="str">
        <f>IF(Table15[[#This Row],[Total Amount]]&gt;=1000,"High",(IF(Table15[[#This Row],[Total Amount]]&gt;=500,"Medium","Low")))</f>
        <v>Medium</v>
      </c>
      <c r="M718" s="4" t="str" cm="1">
        <f t="array" ref="M71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18" s="4" cm="1">
        <f t="array" ref="N71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718" s="4">
        <f>Table15[[#This Row],[Total Amount]]-Table15[[#This Row],[Discount Amount]]</f>
        <v>450</v>
      </c>
    </row>
    <row r="719" spans="1:15" x14ac:dyDescent="0.35">
      <c r="A719" s="4">
        <v>718</v>
      </c>
      <c r="B719" s="5">
        <v>45163</v>
      </c>
      <c r="C719" s="4" t="s">
        <v>731</v>
      </c>
      <c r="D719" s="4" t="s">
        <v>13</v>
      </c>
      <c r="E719" s="4">
        <v>59</v>
      </c>
      <c r="F719" s="4" t="str">
        <f>IF(Table15[[#This Row],[Age]]&lt;=19,"Teenager",IF(Table15[[#This Row],[Age]]&lt;=40,"Median","Old"))</f>
        <v>Old</v>
      </c>
      <c r="G719" s="4" t="s">
        <v>11</v>
      </c>
      <c r="H719" s="4">
        <v>3</v>
      </c>
      <c r="I719" s="4">
        <v>25</v>
      </c>
      <c r="J719" s="4">
        <v>75</v>
      </c>
      <c r="K719" s="4" t="str" cm="1">
        <f t="array" ref="K719">_xlfn.IFS(AND(Table15[[#This Row],[Total Amount]]&gt;=1500),"Critical",AND(Table15[[#This Row],[Total Amount]]&gt;=1000),"High",TRUE,"Normal")</f>
        <v>Normal</v>
      </c>
      <c r="L719" s="4" t="str">
        <f>IF(Table15[[#This Row],[Total Amount]]&gt;=1000,"High",(IF(Table15[[#This Row],[Total Amount]]&gt;=500,"Medium","Low")))</f>
        <v>Low</v>
      </c>
      <c r="M719" s="4" t="str" cm="1">
        <f t="array" ref="M71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19" s="4" cm="1">
        <f t="array" ref="N71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719" s="4">
        <f>Table15[[#This Row],[Total Amount]]-Table15[[#This Row],[Discount Amount]]</f>
        <v>60</v>
      </c>
    </row>
    <row r="720" spans="1:15" x14ac:dyDescent="0.35">
      <c r="A720" s="4">
        <v>719</v>
      </c>
      <c r="B720" s="5">
        <v>45020</v>
      </c>
      <c r="C720" s="4" t="s">
        <v>732</v>
      </c>
      <c r="D720" s="4" t="s">
        <v>13</v>
      </c>
      <c r="E720" s="4">
        <v>42</v>
      </c>
      <c r="F720" s="4" t="str">
        <f>IF(Table15[[#This Row],[Age]]&lt;=19,"Teenager",IF(Table15[[#This Row],[Age]]&lt;=40,"Median","Old"))</f>
        <v>Old</v>
      </c>
      <c r="G720" s="4" t="s">
        <v>14</v>
      </c>
      <c r="H720" s="4">
        <v>2</v>
      </c>
      <c r="I720" s="4">
        <v>30</v>
      </c>
      <c r="J720" s="4">
        <v>60</v>
      </c>
      <c r="K720" s="4" t="str" cm="1">
        <f t="array" ref="K720">_xlfn.IFS(AND(Table15[[#This Row],[Total Amount]]&gt;=1500),"Critical",AND(Table15[[#This Row],[Total Amount]]&gt;=1000),"High",TRUE,"Normal")</f>
        <v>Normal</v>
      </c>
      <c r="L720" s="4" t="str">
        <f>IF(Table15[[#This Row],[Total Amount]]&gt;=1000,"High",(IF(Table15[[#This Row],[Total Amount]]&gt;=500,"Medium","Low")))</f>
        <v>Low</v>
      </c>
      <c r="M720" s="4" t="str" cm="1">
        <f t="array" ref="M72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20" s="4" cm="1">
        <f t="array" ref="N72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720" s="4">
        <f>Table15[[#This Row],[Total Amount]]-Table15[[#This Row],[Discount Amount]]</f>
        <v>48</v>
      </c>
    </row>
    <row r="721" spans="1:15" x14ac:dyDescent="0.35">
      <c r="A721" s="4">
        <v>720</v>
      </c>
      <c r="B721" s="5">
        <v>44952</v>
      </c>
      <c r="C721" s="4" t="s">
        <v>733</v>
      </c>
      <c r="D721" s="4" t="s">
        <v>13</v>
      </c>
      <c r="E721" s="4">
        <v>56</v>
      </c>
      <c r="F721" s="4" t="str">
        <f>IF(Table15[[#This Row],[Age]]&lt;=19,"Teenager",IF(Table15[[#This Row],[Age]]&lt;=40,"Median","Old"))</f>
        <v>Old</v>
      </c>
      <c r="G721" s="4" t="s">
        <v>11</v>
      </c>
      <c r="H721" s="4">
        <v>3</v>
      </c>
      <c r="I721" s="4">
        <v>500</v>
      </c>
      <c r="J721" s="4">
        <v>1500</v>
      </c>
      <c r="K721" s="4" t="str" cm="1">
        <f t="array" ref="K721">_xlfn.IFS(AND(Table15[[#This Row],[Total Amount]]&gt;=1500),"Critical",AND(Table15[[#This Row],[Total Amount]]&gt;=1000),"High",TRUE,"Normal")</f>
        <v>Critical</v>
      </c>
      <c r="L721" s="4" t="str">
        <f>IF(Table15[[#This Row],[Total Amount]]&gt;=1000,"High",(IF(Table15[[#This Row],[Total Amount]]&gt;=500,"Medium","Low")))</f>
        <v>High</v>
      </c>
      <c r="M721" s="4" t="str" cm="1">
        <f t="array" ref="M72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21" s="4" cm="1">
        <f t="array" ref="N72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721" s="4">
        <f>Table15[[#This Row],[Total Amount]]-Table15[[#This Row],[Discount Amount]]</f>
        <v>1200</v>
      </c>
    </row>
    <row r="722" spans="1:15" x14ac:dyDescent="0.35">
      <c r="A722" s="4">
        <v>721</v>
      </c>
      <c r="B722" s="5">
        <v>45060</v>
      </c>
      <c r="C722" s="4" t="s">
        <v>734</v>
      </c>
      <c r="D722" s="4" t="s">
        <v>13</v>
      </c>
      <c r="E722" s="4">
        <v>52</v>
      </c>
      <c r="F722" s="4" t="str">
        <f>IF(Table15[[#This Row],[Age]]&lt;=19,"Teenager",IF(Table15[[#This Row],[Age]]&lt;=40,"Median","Old"))</f>
        <v>Old</v>
      </c>
      <c r="G722" s="4" t="s">
        <v>14</v>
      </c>
      <c r="H722" s="4">
        <v>1</v>
      </c>
      <c r="I722" s="4">
        <v>500</v>
      </c>
      <c r="J722" s="4">
        <v>500</v>
      </c>
      <c r="K722" s="4" t="str" cm="1">
        <f t="array" ref="K722">_xlfn.IFS(AND(Table15[[#This Row],[Total Amount]]&gt;=1500),"Critical",AND(Table15[[#This Row],[Total Amount]]&gt;=1000),"High",TRUE,"Normal")</f>
        <v>Normal</v>
      </c>
      <c r="L722" s="4" t="str">
        <f>IF(Table15[[#This Row],[Total Amount]]&gt;=1000,"High",(IF(Table15[[#This Row],[Total Amount]]&gt;=500,"Medium","Low")))</f>
        <v>Medium</v>
      </c>
      <c r="M722" s="4" t="str" cm="1">
        <f t="array" ref="M72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22" s="4" cm="1">
        <f t="array" ref="N72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722" s="4">
        <f>Table15[[#This Row],[Total Amount]]-Table15[[#This Row],[Discount Amount]]</f>
        <v>400</v>
      </c>
    </row>
    <row r="723" spans="1:15" x14ac:dyDescent="0.35">
      <c r="A723" s="4">
        <v>722</v>
      </c>
      <c r="B723" s="5">
        <v>45121</v>
      </c>
      <c r="C723" s="4" t="s">
        <v>735</v>
      </c>
      <c r="D723" s="4" t="s">
        <v>10</v>
      </c>
      <c r="E723" s="4">
        <v>20</v>
      </c>
      <c r="F723" s="4" t="str">
        <f>IF(Table15[[#This Row],[Age]]&lt;=19,"Teenager",IF(Table15[[#This Row],[Age]]&lt;=40,"Median","Old"))</f>
        <v>Median</v>
      </c>
      <c r="G723" s="4" t="s">
        <v>11</v>
      </c>
      <c r="H723" s="4">
        <v>3</v>
      </c>
      <c r="I723" s="4">
        <v>300</v>
      </c>
      <c r="J723" s="4">
        <v>900</v>
      </c>
      <c r="K723" s="4" t="str" cm="1">
        <f t="array" ref="K723">_xlfn.IFS(AND(Table15[[#This Row],[Total Amount]]&gt;=1500),"Critical",AND(Table15[[#This Row],[Total Amount]]&gt;=1000),"High",TRUE,"Normal")</f>
        <v>Normal</v>
      </c>
      <c r="L723" s="4" t="str">
        <f>IF(Table15[[#This Row],[Total Amount]]&gt;=1000,"High",(IF(Table15[[#This Row],[Total Amount]]&gt;=500,"Medium","Low")))</f>
        <v>Medium</v>
      </c>
      <c r="M723" s="4" t="str" cm="1">
        <f t="array" ref="M72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723" s="4" cm="1">
        <f t="array" ref="N72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723" s="4">
        <f>Table15[[#This Row],[Total Amount]]-Table15[[#This Row],[Discount Amount]]</f>
        <v>900</v>
      </c>
    </row>
    <row r="724" spans="1:15" x14ac:dyDescent="0.35">
      <c r="A724" s="4">
        <v>723</v>
      </c>
      <c r="B724" s="5">
        <v>45094</v>
      </c>
      <c r="C724" s="4" t="s">
        <v>736</v>
      </c>
      <c r="D724" s="4" t="s">
        <v>13</v>
      </c>
      <c r="E724" s="4">
        <v>54</v>
      </c>
      <c r="F724" s="4" t="str">
        <f>IF(Table15[[#This Row],[Age]]&lt;=19,"Teenager",IF(Table15[[#This Row],[Age]]&lt;=40,"Median","Old"))</f>
        <v>Old</v>
      </c>
      <c r="G724" s="4" t="s">
        <v>11</v>
      </c>
      <c r="H724" s="4">
        <v>4</v>
      </c>
      <c r="I724" s="4">
        <v>50</v>
      </c>
      <c r="J724" s="4">
        <v>200</v>
      </c>
      <c r="K724" s="4" t="str" cm="1">
        <f t="array" ref="K724">_xlfn.IFS(AND(Table15[[#This Row],[Total Amount]]&gt;=1500),"Critical",AND(Table15[[#This Row],[Total Amount]]&gt;=1000),"High",TRUE,"Normal")</f>
        <v>Normal</v>
      </c>
      <c r="L724" s="4" t="str">
        <f>IF(Table15[[#This Row],[Total Amount]]&gt;=1000,"High",(IF(Table15[[#This Row],[Total Amount]]&gt;=500,"Medium","Low")))</f>
        <v>Low</v>
      </c>
      <c r="M724" s="4" t="str" cm="1">
        <f t="array" ref="M72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24" s="4" cm="1">
        <f t="array" ref="N72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724" s="4">
        <f>Table15[[#This Row],[Total Amount]]-Table15[[#This Row],[Discount Amount]]</f>
        <v>160</v>
      </c>
    </row>
    <row r="725" spans="1:15" x14ac:dyDescent="0.35">
      <c r="A725" s="4">
        <v>724</v>
      </c>
      <c r="B725" s="5">
        <v>45035</v>
      </c>
      <c r="C725" s="4" t="s">
        <v>737</v>
      </c>
      <c r="D725" s="4" t="s">
        <v>10</v>
      </c>
      <c r="E725" s="4">
        <v>61</v>
      </c>
      <c r="F725" s="4" t="str">
        <f>IF(Table15[[#This Row],[Age]]&lt;=19,"Teenager",IF(Table15[[#This Row],[Age]]&lt;=40,"Median","Old"))</f>
        <v>Old</v>
      </c>
      <c r="G725" s="4" t="s">
        <v>14</v>
      </c>
      <c r="H725" s="4">
        <v>3</v>
      </c>
      <c r="I725" s="4">
        <v>50</v>
      </c>
      <c r="J725" s="4">
        <v>150</v>
      </c>
      <c r="K725" s="4" t="str" cm="1">
        <f t="array" ref="K725">_xlfn.IFS(AND(Table15[[#This Row],[Total Amount]]&gt;=1500),"Critical",AND(Table15[[#This Row],[Total Amount]]&gt;=1000),"High",TRUE,"Normal")</f>
        <v>Normal</v>
      </c>
      <c r="L725" s="4" t="str">
        <f>IF(Table15[[#This Row],[Total Amount]]&gt;=1000,"High",(IF(Table15[[#This Row],[Total Amount]]&gt;=500,"Medium","Low")))</f>
        <v>Low</v>
      </c>
      <c r="M725" s="4" t="str" cm="1">
        <f t="array" ref="M72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25" s="4" cm="1">
        <f t="array" ref="N72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725" s="4">
        <f>Table15[[#This Row],[Total Amount]]-Table15[[#This Row],[Discount Amount]]</f>
        <v>135</v>
      </c>
    </row>
    <row r="726" spans="1:15" x14ac:dyDescent="0.35">
      <c r="A726" s="4">
        <v>725</v>
      </c>
      <c r="B726" s="5">
        <v>45159</v>
      </c>
      <c r="C726" s="4" t="s">
        <v>738</v>
      </c>
      <c r="D726" s="4" t="s">
        <v>10</v>
      </c>
      <c r="E726" s="4">
        <v>61</v>
      </c>
      <c r="F726" s="4" t="str">
        <f>IF(Table15[[#This Row],[Age]]&lt;=19,"Teenager",IF(Table15[[#This Row],[Age]]&lt;=40,"Median","Old"))</f>
        <v>Old</v>
      </c>
      <c r="G726" s="4" t="s">
        <v>16</v>
      </c>
      <c r="H726" s="4">
        <v>1</v>
      </c>
      <c r="I726" s="4">
        <v>300</v>
      </c>
      <c r="J726" s="4">
        <v>300</v>
      </c>
      <c r="K726" s="4" t="str" cm="1">
        <f t="array" ref="K726">_xlfn.IFS(AND(Table15[[#This Row],[Total Amount]]&gt;=1500),"Critical",AND(Table15[[#This Row],[Total Amount]]&gt;=1000),"High",TRUE,"Normal")</f>
        <v>Normal</v>
      </c>
      <c r="L726" s="4" t="str">
        <f>IF(Table15[[#This Row],[Total Amount]]&gt;=1000,"High",(IF(Table15[[#This Row],[Total Amount]]&gt;=500,"Medium","Low")))</f>
        <v>Low</v>
      </c>
      <c r="M726" s="4" t="str" cm="1">
        <f t="array" ref="M72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26" s="4" cm="1">
        <f t="array" ref="N72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726" s="4">
        <f>Table15[[#This Row],[Total Amount]]-Table15[[#This Row],[Discount Amount]]</f>
        <v>270</v>
      </c>
    </row>
    <row r="727" spans="1:15" x14ac:dyDescent="0.35">
      <c r="A727" s="4">
        <v>726</v>
      </c>
      <c r="B727" s="5">
        <v>45094</v>
      </c>
      <c r="C727" s="4" t="s">
        <v>739</v>
      </c>
      <c r="D727" s="4" t="s">
        <v>10</v>
      </c>
      <c r="E727" s="4">
        <v>47</v>
      </c>
      <c r="F727" s="4" t="str">
        <f>IF(Table15[[#This Row],[Age]]&lt;=19,"Teenager",IF(Table15[[#This Row],[Age]]&lt;=40,"Median","Old"))</f>
        <v>Old</v>
      </c>
      <c r="G727" s="4" t="s">
        <v>14</v>
      </c>
      <c r="H727" s="4">
        <v>4</v>
      </c>
      <c r="I727" s="4">
        <v>300</v>
      </c>
      <c r="J727" s="4">
        <v>1200</v>
      </c>
      <c r="K727" s="4" t="str" cm="1">
        <f t="array" ref="K727">_xlfn.IFS(AND(Table15[[#This Row],[Total Amount]]&gt;=1500),"Critical",AND(Table15[[#This Row],[Total Amount]]&gt;=1000),"High",TRUE,"Normal")</f>
        <v>High</v>
      </c>
      <c r="L727" s="4" t="str">
        <f>IF(Table15[[#This Row],[Total Amount]]&gt;=1000,"High",(IF(Table15[[#This Row],[Total Amount]]&gt;=500,"Medium","Low")))</f>
        <v>High</v>
      </c>
      <c r="M727" s="4" t="str" cm="1">
        <f t="array" ref="M72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27" s="4" cm="1">
        <f t="array" ref="N72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727" s="4">
        <f>Table15[[#This Row],[Total Amount]]-Table15[[#This Row],[Discount Amount]]</f>
        <v>1080</v>
      </c>
    </row>
    <row r="728" spans="1:15" x14ac:dyDescent="0.35">
      <c r="A728" s="4">
        <v>727</v>
      </c>
      <c r="B728" s="5">
        <v>45099</v>
      </c>
      <c r="C728" s="4" t="s">
        <v>740</v>
      </c>
      <c r="D728" s="4" t="s">
        <v>10</v>
      </c>
      <c r="E728" s="4">
        <v>55</v>
      </c>
      <c r="F728" s="4" t="str">
        <f>IF(Table15[[#This Row],[Age]]&lt;=19,"Teenager",IF(Table15[[#This Row],[Age]]&lt;=40,"Median","Old"))</f>
        <v>Old</v>
      </c>
      <c r="G728" s="4" t="s">
        <v>11</v>
      </c>
      <c r="H728" s="4">
        <v>3</v>
      </c>
      <c r="I728" s="4">
        <v>300</v>
      </c>
      <c r="J728" s="4">
        <v>900</v>
      </c>
      <c r="K728" s="4" t="str" cm="1">
        <f t="array" ref="K728">_xlfn.IFS(AND(Table15[[#This Row],[Total Amount]]&gt;=1500),"Critical",AND(Table15[[#This Row],[Total Amount]]&gt;=1000),"High",TRUE,"Normal")</f>
        <v>Normal</v>
      </c>
      <c r="L728" s="4" t="str">
        <f>IF(Table15[[#This Row],[Total Amount]]&gt;=1000,"High",(IF(Table15[[#This Row],[Total Amount]]&gt;=500,"Medium","Low")))</f>
        <v>Medium</v>
      </c>
      <c r="M728" s="4" t="str" cm="1">
        <f t="array" ref="M72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28" s="4" cm="1">
        <f t="array" ref="N72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728" s="4">
        <f>Table15[[#This Row],[Total Amount]]-Table15[[#This Row],[Discount Amount]]</f>
        <v>810</v>
      </c>
    </row>
    <row r="729" spans="1:15" x14ac:dyDescent="0.35">
      <c r="A729" s="4">
        <v>728</v>
      </c>
      <c r="B729" s="5">
        <v>45121</v>
      </c>
      <c r="C729" s="4" t="s">
        <v>741</v>
      </c>
      <c r="D729" s="4" t="s">
        <v>10</v>
      </c>
      <c r="E729" s="4">
        <v>51</v>
      </c>
      <c r="F729" s="4" t="str">
        <f>IF(Table15[[#This Row],[Age]]&lt;=19,"Teenager",IF(Table15[[#This Row],[Age]]&lt;=40,"Median","Old"))</f>
        <v>Old</v>
      </c>
      <c r="G729" s="4" t="s">
        <v>16</v>
      </c>
      <c r="H729" s="4">
        <v>3</v>
      </c>
      <c r="I729" s="4">
        <v>50</v>
      </c>
      <c r="J729" s="4">
        <v>150</v>
      </c>
      <c r="K729" s="4" t="str" cm="1">
        <f t="array" ref="K729">_xlfn.IFS(AND(Table15[[#This Row],[Total Amount]]&gt;=1500),"Critical",AND(Table15[[#This Row],[Total Amount]]&gt;=1000),"High",TRUE,"Normal")</f>
        <v>Normal</v>
      </c>
      <c r="L729" s="4" t="str">
        <f>IF(Table15[[#This Row],[Total Amount]]&gt;=1000,"High",(IF(Table15[[#This Row],[Total Amount]]&gt;=500,"Medium","Low")))</f>
        <v>Low</v>
      </c>
      <c r="M729" s="4" t="str" cm="1">
        <f t="array" ref="M72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29" s="4" cm="1">
        <f t="array" ref="N72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729" s="4">
        <f>Table15[[#This Row],[Total Amount]]-Table15[[#This Row],[Discount Amount]]</f>
        <v>135</v>
      </c>
    </row>
    <row r="730" spans="1:15" x14ac:dyDescent="0.35">
      <c r="A730" s="4">
        <v>729</v>
      </c>
      <c r="B730" s="5">
        <v>45069</v>
      </c>
      <c r="C730" s="4" t="s">
        <v>742</v>
      </c>
      <c r="D730" s="4" t="s">
        <v>10</v>
      </c>
      <c r="E730" s="4">
        <v>29</v>
      </c>
      <c r="F730" s="4" t="str">
        <f>IF(Table15[[#This Row],[Age]]&lt;=19,"Teenager",IF(Table15[[#This Row],[Age]]&lt;=40,"Median","Old"))</f>
        <v>Median</v>
      </c>
      <c r="G730" s="4" t="s">
        <v>14</v>
      </c>
      <c r="H730" s="4">
        <v>4</v>
      </c>
      <c r="I730" s="4">
        <v>300</v>
      </c>
      <c r="J730" s="4">
        <v>1200</v>
      </c>
      <c r="K730" s="4" t="str" cm="1">
        <f t="array" ref="K730">_xlfn.IFS(AND(Table15[[#This Row],[Total Amount]]&gt;=1500),"Critical",AND(Table15[[#This Row],[Total Amount]]&gt;=1000),"High",TRUE,"Normal")</f>
        <v>High</v>
      </c>
      <c r="L730" s="4" t="str">
        <f>IF(Table15[[#This Row],[Total Amount]]&gt;=1000,"High",(IF(Table15[[#This Row],[Total Amount]]&gt;=500,"Medium","Low")))</f>
        <v>High</v>
      </c>
      <c r="M730" s="4" t="str" cm="1">
        <f t="array" ref="M73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30" s="4" cm="1">
        <f t="array" ref="N73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730" s="4">
        <f>Table15[[#This Row],[Total Amount]]-Table15[[#This Row],[Discount Amount]]</f>
        <v>1020</v>
      </c>
    </row>
    <row r="731" spans="1:15" x14ac:dyDescent="0.35">
      <c r="A731" s="4">
        <v>730</v>
      </c>
      <c r="B731" s="5">
        <v>45142</v>
      </c>
      <c r="C731" s="4" t="s">
        <v>743</v>
      </c>
      <c r="D731" s="4" t="s">
        <v>13</v>
      </c>
      <c r="E731" s="4">
        <v>36</v>
      </c>
      <c r="F731" s="4" t="str">
        <f>IF(Table15[[#This Row],[Age]]&lt;=19,"Teenager",IF(Table15[[#This Row],[Age]]&lt;=40,"Median","Old"))</f>
        <v>Median</v>
      </c>
      <c r="G731" s="4" t="s">
        <v>14</v>
      </c>
      <c r="H731" s="4">
        <v>2</v>
      </c>
      <c r="I731" s="4">
        <v>25</v>
      </c>
      <c r="J731" s="4">
        <v>50</v>
      </c>
      <c r="K731" s="4" t="str" cm="1">
        <f t="array" ref="K731">_xlfn.IFS(AND(Table15[[#This Row],[Total Amount]]&gt;=1500),"Critical",AND(Table15[[#This Row],[Total Amount]]&gt;=1000),"High",TRUE,"Normal")</f>
        <v>Normal</v>
      </c>
      <c r="L731" s="4" t="str">
        <f>IF(Table15[[#This Row],[Total Amount]]&gt;=1000,"High",(IF(Table15[[#This Row],[Total Amount]]&gt;=500,"Medium","Low")))</f>
        <v>Low</v>
      </c>
      <c r="M731" s="4" t="str" cm="1">
        <f t="array" ref="M73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31" s="4" cm="1">
        <f t="array" ref="N73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731" s="4">
        <f>Table15[[#This Row],[Total Amount]]-Table15[[#This Row],[Discount Amount]]</f>
        <v>40</v>
      </c>
    </row>
    <row r="732" spans="1:15" x14ac:dyDescent="0.35">
      <c r="A732" s="4">
        <v>731</v>
      </c>
      <c r="B732" s="5">
        <v>45056</v>
      </c>
      <c r="C732" s="4" t="s">
        <v>744</v>
      </c>
      <c r="D732" s="4" t="s">
        <v>10</v>
      </c>
      <c r="E732" s="4">
        <v>54</v>
      </c>
      <c r="F732" s="4" t="str">
        <f>IF(Table15[[#This Row],[Age]]&lt;=19,"Teenager",IF(Table15[[#This Row],[Age]]&lt;=40,"Median","Old"))</f>
        <v>Old</v>
      </c>
      <c r="G732" s="4" t="s">
        <v>14</v>
      </c>
      <c r="H732" s="4">
        <v>4</v>
      </c>
      <c r="I732" s="4">
        <v>500</v>
      </c>
      <c r="J732" s="4">
        <v>2000</v>
      </c>
      <c r="K732" s="4" t="str" cm="1">
        <f t="array" ref="K732">_xlfn.IFS(AND(Table15[[#This Row],[Total Amount]]&gt;=1500),"Critical",AND(Table15[[#This Row],[Total Amount]]&gt;=1000),"High",TRUE,"Normal")</f>
        <v>Critical</v>
      </c>
      <c r="L732" s="4" t="str">
        <f>IF(Table15[[#This Row],[Total Amount]]&gt;=1000,"High",(IF(Table15[[#This Row],[Total Amount]]&gt;=500,"Medium","Low")))</f>
        <v>High</v>
      </c>
      <c r="M732" s="4" t="str" cm="1">
        <f t="array" ref="M73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32" s="4" cm="1">
        <f t="array" ref="N73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732" s="4">
        <f>Table15[[#This Row],[Total Amount]]-Table15[[#This Row],[Discount Amount]]</f>
        <v>1800</v>
      </c>
    </row>
    <row r="733" spans="1:15" x14ac:dyDescent="0.35">
      <c r="A733" s="4">
        <v>732</v>
      </c>
      <c r="B733" s="5">
        <v>44968</v>
      </c>
      <c r="C733" s="4" t="s">
        <v>745</v>
      </c>
      <c r="D733" s="4" t="s">
        <v>10</v>
      </c>
      <c r="E733" s="4">
        <v>61</v>
      </c>
      <c r="F733" s="4" t="str">
        <f>IF(Table15[[#This Row],[Age]]&lt;=19,"Teenager",IF(Table15[[#This Row],[Age]]&lt;=40,"Median","Old"))</f>
        <v>Old</v>
      </c>
      <c r="G733" s="4" t="s">
        <v>16</v>
      </c>
      <c r="H733" s="4">
        <v>2</v>
      </c>
      <c r="I733" s="4">
        <v>500</v>
      </c>
      <c r="J733" s="4">
        <v>1000</v>
      </c>
      <c r="K733" s="4" t="str" cm="1">
        <f t="array" ref="K733">_xlfn.IFS(AND(Table15[[#This Row],[Total Amount]]&gt;=1500),"Critical",AND(Table15[[#This Row],[Total Amount]]&gt;=1000),"High",TRUE,"Normal")</f>
        <v>High</v>
      </c>
      <c r="L733" s="4" t="str">
        <f>IF(Table15[[#This Row],[Total Amount]]&gt;=1000,"High",(IF(Table15[[#This Row],[Total Amount]]&gt;=500,"Medium","Low")))</f>
        <v>High</v>
      </c>
      <c r="M733" s="4" t="str" cm="1">
        <f t="array" ref="M73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33" s="4" cm="1">
        <f t="array" ref="N73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733" s="4">
        <f>Table15[[#This Row],[Total Amount]]-Table15[[#This Row],[Discount Amount]]</f>
        <v>900</v>
      </c>
    </row>
    <row r="734" spans="1:15" x14ac:dyDescent="0.35">
      <c r="A734" s="4">
        <v>733</v>
      </c>
      <c r="B734" s="5">
        <v>45167</v>
      </c>
      <c r="C734" s="4" t="s">
        <v>746</v>
      </c>
      <c r="D734" s="4" t="s">
        <v>10</v>
      </c>
      <c r="E734" s="4">
        <v>34</v>
      </c>
      <c r="F734" s="4" t="str">
        <f>IF(Table15[[#This Row],[Age]]&lt;=19,"Teenager",IF(Table15[[#This Row],[Age]]&lt;=40,"Median","Old"))</f>
        <v>Median</v>
      </c>
      <c r="G734" s="4" t="s">
        <v>11</v>
      </c>
      <c r="H734" s="4">
        <v>1</v>
      </c>
      <c r="I734" s="4">
        <v>30</v>
      </c>
      <c r="J734" s="4">
        <v>30</v>
      </c>
      <c r="K734" s="4" t="str" cm="1">
        <f t="array" ref="K734">_xlfn.IFS(AND(Table15[[#This Row],[Total Amount]]&gt;=1500),"Critical",AND(Table15[[#This Row],[Total Amount]]&gt;=1000),"High",TRUE,"Normal")</f>
        <v>Normal</v>
      </c>
      <c r="L734" s="4" t="str">
        <f>IF(Table15[[#This Row],[Total Amount]]&gt;=1000,"High",(IF(Table15[[#This Row],[Total Amount]]&gt;=500,"Medium","Low")))</f>
        <v>Low</v>
      </c>
      <c r="M734" s="4" t="str" cm="1">
        <f t="array" ref="M73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34" s="4" cm="1">
        <f t="array" ref="N73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4.5</v>
      </c>
      <c r="O734" s="4">
        <f>Table15[[#This Row],[Total Amount]]-Table15[[#This Row],[Discount Amount]]</f>
        <v>25.5</v>
      </c>
    </row>
    <row r="735" spans="1:15" x14ac:dyDescent="0.35">
      <c r="A735" s="4">
        <v>734</v>
      </c>
      <c r="B735" s="5">
        <v>44936</v>
      </c>
      <c r="C735" s="4" t="s">
        <v>747</v>
      </c>
      <c r="D735" s="4" t="s">
        <v>13</v>
      </c>
      <c r="E735" s="4">
        <v>27</v>
      </c>
      <c r="F735" s="4" t="str">
        <f>IF(Table15[[#This Row],[Age]]&lt;=19,"Teenager",IF(Table15[[#This Row],[Age]]&lt;=40,"Median","Old"))</f>
        <v>Median</v>
      </c>
      <c r="G735" s="4" t="s">
        <v>14</v>
      </c>
      <c r="H735" s="4">
        <v>1</v>
      </c>
      <c r="I735" s="4">
        <v>30</v>
      </c>
      <c r="J735" s="4">
        <v>30</v>
      </c>
      <c r="K735" s="4" t="str" cm="1">
        <f t="array" ref="K735">_xlfn.IFS(AND(Table15[[#This Row],[Total Amount]]&gt;=1500),"Critical",AND(Table15[[#This Row],[Total Amount]]&gt;=1000),"High",TRUE,"Normal")</f>
        <v>Normal</v>
      </c>
      <c r="L735" s="4" t="str">
        <f>IF(Table15[[#This Row],[Total Amount]]&gt;=1000,"High",(IF(Table15[[#This Row],[Total Amount]]&gt;=500,"Medium","Low")))</f>
        <v>Low</v>
      </c>
      <c r="M735" s="4" t="str" cm="1">
        <f t="array" ref="M73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35" s="4" cm="1">
        <f t="array" ref="N73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4.5</v>
      </c>
      <c r="O735" s="4">
        <f>Table15[[#This Row],[Total Amount]]-Table15[[#This Row],[Discount Amount]]</f>
        <v>25.5</v>
      </c>
    </row>
    <row r="736" spans="1:15" x14ac:dyDescent="0.35">
      <c r="A736" s="4">
        <v>735</v>
      </c>
      <c r="B736" s="5">
        <v>45203</v>
      </c>
      <c r="C736" s="4" t="s">
        <v>748</v>
      </c>
      <c r="D736" s="4" t="s">
        <v>13</v>
      </c>
      <c r="E736" s="4">
        <v>64</v>
      </c>
      <c r="F736" s="4" t="str">
        <f>IF(Table15[[#This Row],[Age]]&lt;=19,"Teenager",IF(Table15[[#This Row],[Age]]&lt;=40,"Median","Old"))</f>
        <v>Old</v>
      </c>
      <c r="G736" s="4" t="s">
        <v>14</v>
      </c>
      <c r="H736" s="4">
        <v>4</v>
      </c>
      <c r="I736" s="4">
        <v>500</v>
      </c>
      <c r="J736" s="4">
        <v>2000</v>
      </c>
      <c r="K736" s="4" t="str" cm="1">
        <f t="array" ref="K736">_xlfn.IFS(AND(Table15[[#This Row],[Total Amount]]&gt;=1500),"Critical",AND(Table15[[#This Row],[Total Amount]]&gt;=1000),"High",TRUE,"Normal")</f>
        <v>Critical</v>
      </c>
      <c r="L736" s="4" t="str">
        <f>IF(Table15[[#This Row],[Total Amount]]&gt;=1000,"High",(IF(Table15[[#This Row],[Total Amount]]&gt;=500,"Medium","Low")))</f>
        <v>High</v>
      </c>
      <c r="M736" s="4" t="str" cm="1">
        <f t="array" ref="M73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36" s="4" cm="1">
        <f t="array" ref="N73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736" s="4">
        <f>Table15[[#This Row],[Total Amount]]-Table15[[#This Row],[Discount Amount]]</f>
        <v>1600</v>
      </c>
    </row>
    <row r="737" spans="1:15" x14ac:dyDescent="0.35">
      <c r="A737" s="4">
        <v>736</v>
      </c>
      <c r="B737" s="5">
        <v>44953</v>
      </c>
      <c r="C737" s="4" t="s">
        <v>749</v>
      </c>
      <c r="D737" s="4" t="s">
        <v>10</v>
      </c>
      <c r="E737" s="4">
        <v>29</v>
      </c>
      <c r="F737" s="4" t="str">
        <f>IF(Table15[[#This Row],[Age]]&lt;=19,"Teenager",IF(Table15[[#This Row],[Age]]&lt;=40,"Median","Old"))</f>
        <v>Median</v>
      </c>
      <c r="G737" s="4" t="s">
        <v>14</v>
      </c>
      <c r="H737" s="4">
        <v>4</v>
      </c>
      <c r="I737" s="4">
        <v>25</v>
      </c>
      <c r="J737" s="4">
        <v>100</v>
      </c>
      <c r="K737" s="4" t="str" cm="1">
        <f t="array" ref="K737">_xlfn.IFS(AND(Table15[[#This Row],[Total Amount]]&gt;=1500),"Critical",AND(Table15[[#This Row],[Total Amount]]&gt;=1000),"High",TRUE,"Normal")</f>
        <v>Normal</v>
      </c>
      <c r="L737" s="4" t="str">
        <f>IF(Table15[[#This Row],[Total Amount]]&gt;=1000,"High",(IF(Table15[[#This Row],[Total Amount]]&gt;=500,"Medium","Low")))</f>
        <v>Low</v>
      </c>
      <c r="M737" s="4" t="str" cm="1">
        <f t="array" ref="M73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37" s="4" cm="1">
        <f t="array" ref="N73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737" s="4">
        <f>Table15[[#This Row],[Total Amount]]-Table15[[#This Row],[Discount Amount]]</f>
        <v>85</v>
      </c>
    </row>
    <row r="738" spans="1:15" x14ac:dyDescent="0.35">
      <c r="A738" s="4">
        <v>737</v>
      </c>
      <c r="B738" s="5">
        <v>45106</v>
      </c>
      <c r="C738" s="4" t="s">
        <v>750</v>
      </c>
      <c r="D738" s="4" t="s">
        <v>13</v>
      </c>
      <c r="E738" s="4">
        <v>33</v>
      </c>
      <c r="F738" s="4" t="str">
        <f>IF(Table15[[#This Row],[Age]]&lt;=19,"Teenager",IF(Table15[[#This Row],[Age]]&lt;=40,"Median","Old"))</f>
        <v>Median</v>
      </c>
      <c r="G738" s="4" t="s">
        <v>14</v>
      </c>
      <c r="H738" s="4">
        <v>1</v>
      </c>
      <c r="I738" s="4">
        <v>50</v>
      </c>
      <c r="J738" s="4">
        <v>50</v>
      </c>
      <c r="K738" s="4" t="str" cm="1">
        <f t="array" ref="K738">_xlfn.IFS(AND(Table15[[#This Row],[Total Amount]]&gt;=1500),"Critical",AND(Table15[[#This Row],[Total Amount]]&gt;=1000),"High",TRUE,"Normal")</f>
        <v>Normal</v>
      </c>
      <c r="L738" s="4" t="str">
        <f>IF(Table15[[#This Row],[Total Amount]]&gt;=1000,"High",(IF(Table15[[#This Row],[Total Amount]]&gt;=500,"Medium","Low")))</f>
        <v>Low</v>
      </c>
      <c r="M738" s="4" t="str" cm="1">
        <f t="array" ref="M73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38" s="4" cm="1">
        <f t="array" ref="N73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738" s="4">
        <f>Table15[[#This Row],[Total Amount]]-Table15[[#This Row],[Discount Amount]]</f>
        <v>42.5</v>
      </c>
    </row>
    <row r="739" spans="1:15" x14ac:dyDescent="0.35">
      <c r="A739" s="4">
        <v>738</v>
      </c>
      <c r="B739" s="5">
        <v>45041</v>
      </c>
      <c r="C739" s="4" t="s">
        <v>751</v>
      </c>
      <c r="D739" s="4" t="s">
        <v>10</v>
      </c>
      <c r="E739" s="4">
        <v>41</v>
      </c>
      <c r="F739" s="4" t="str">
        <f>IF(Table15[[#This Row],[Age]]&lt;=19,"Teenager",IF(Table15[[#This Row],[Age]]&lt;=40,"Median","Old"))</f>
        <v>Old</v>
      </c>
      <c r="G739" s="4" t="s">
        <v>14</v>
      </c>
      <c r="H739" s="4">
        <v>2</v>
      </c>
      <c r="I739" s="4">
        <v>50</v>
      </c>
      <c r="J739" s="4">
        <v>100</v>
      </c>
      <c r="K739" s="4" t="str" cm="1">
        <f t="array" ref="K739">_xlfn.IFS(AND(Table15[[#This Row],[Total Amount]]&gt;=1500),"Critical",AND(Table15[[#This Row],[Total Amount]]&gt;=1000),"High",TRUE,"Normal")</f>
        <v>Normal</v>
      </c>
      <c r="L739" s="4" t="str">
        <f>IF(Table15[[#This Row],[Total Amount]]&gt;=1000,"High",(IF(Table15[[#This Row],[Total Amount]]&gt;=500,"Medium","Low")))</f>
        <v>Low</v>
      </c>
      <c r="M739" s="4" t="str" cm="1">
        <f t="array" ref="M73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39" s="4" cm="1">
        <f t="array" ref="N73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739" s="4">
        <f>Table15[[#This Row],[Total Amount]]-Table15[[#This Row],[Discount Amount]]</f>
        <v>90</v>
      </c>
    </row>
    <row r="740" spans="1:15" x14ac:dyDescent="0.35">
      <c r="A740" s="4">
        <v>739</v>
      </c>
      <c r="B740" s="5">
        <v>45259</v>
      </c>
      <c r="C740" s="4" t="s">
        <v>752</v>
      </c>
      <c r="D740" s="4" t="s">
        <v>10</v>
      </c>
      <c r="E740" s="4">
        <v>36</v>
      </c>
      <c r="F740" s="4" t="str">
        <f>IF(Table15[[#This Row],[Age]]&lt;=19,"Teenager",IF(Table15[[#This Row],[Age]]&lt;=40,"Median","Old"))</f>
        <v>Median</v>
      </c>
      <c r="G740" s="4" t="s">
        <v>11</v>
      </c>
      <c r="H740" s="4">
        <v>1</v>
      </c>
      <c r="I740" s="4">
        <v>25</v>
      </c>
      <c r="J740" s="4">
        <v>25</v>
      </c>
      <c r="K740" s="4" t="str" cm="1">
        <f t="array" ref="K740">_xlfn.IFS(AND(Table15[[#This Row],[Total Amount]]&gt;=1500),"Critical",AND(Table15[[#This Row],[Total Amount]]&gt;=1000),"High",TRUE,"Normal")</f>
        <v>Normal</v>
      </c>
      <c r="L740" s="4" t="str">
        <f>IF(Table15[[#This Row],[Total Amount]]&gt;=1000,"High",(IF(Table15[[#This Row],[Total Amount]]&gt;=500,"Medium","Low")))</f>
        <v>Low</v>
      </c>
      <c r="M740" s="4" t="str" cm="1">
        <f t="array" ref="M74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40" s="4" cm="1">
        <f t="array" ref="N74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740" s="4">
        <f>Table15[[#This Row],[Total Amount]]-Table15[[#This Row],[Discount Amount]]</f>
        <v>22.5</v>
      </c>
    </row>
    <row r="741" spans="1:15" x14ac:dyDescent="0.35">
      <c r="A741" s="4">
        <v>740</v>
      </c>
      <c r="B741" s="5">
        <v>44962</v>
      </c>
      <c r="C741" s="4" t="s">
        <v>753</v>
      </c>
      <c r="D741" s="4" t="s">
        <v>13</v>
      </c>
      <c r="E741" s="4">
        <v>25</v>
      </c>
      <c r="F741" s="4" t="str">
        <f>IF(Table15[[#This Row],[Age]]&lt;=19,"Teenager",IF(Table15[[#This Row],[Age]]&lt;=40,"Median","Old"))</f>
        <v>Median</v>
      </c>
      <c r="G741" s="4" t="s">
        <v>11</v>
      </c>
      <c r="H741" s="4">
        <v>4</v>
      </c>
      <c r="I741" s="4">
        <v>50</v>
      </c>
      <c r="J741" s="4">
        <v>200</v>
      </c>
      <c r="K741" s="4" t="str" cm="1">
        <f t="array" ref="K741">_xlfn.IFS(AND(Table15[[#This Row],[Total Amount]]&gt;=1500),"Critical",AND(Table15[[#This Row],[Total Amount]]&gt;=1000),"High",TRUE,"Normal")</f>
        <v>Normal</v>
      </c>
      <c r="L741" s="4" t="str">
        <f>IF(Table15[[#This Row],[Total Amount]]&gt;=1000,"High",(IF(Table15[[#This Row],[Total Amount]]&gt;=500,"Medium","Low")))</f>
        <v>Low</v>
      </c>
      <c r="M741" s="4" t="str" cm="1">
        <f t="array" ref="M74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41" s="4" cm="1">
        <f t="array" ref="N74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741" s="4">
        <f>Table15[[#This Row],[Total Amount]]-Table15[[#This Row],[Discount Amount]]</f>
        <v>170</v>
      </c>
    </row>
    <row r="742" spans="1:15" x14ac:dyDescent="0.35">
      <c r="A742" s="4">
        <v>741</v>
      </c>
      <c r="B742" s="5">
        <v>45260</v>
      </c>
      <c r="C742" s="4" t="s">
        <v>754</v>
      </c>
      <c r="D742" s="4" t="s">
        <v>10</v>
      </c>
      <c r="E742" s="4">
        <v>48</v>
      </c>
      <c r="F742" s="4" t="str">
        <f>IF(Table15[[#This Row],[Age]]&lt;=19,"Teenager",IF(Table15[[#This Row],[Age]]&lt;=40,"Median","Old"))</f>
        <v>Old</v>
      </c>
      <c r="G742" s="4" t="s">
        <v>14</v>
      </c>
      <c r="H742" s="4">
        <v>1</v>
      </c>
      <c r="I742" s="4">
        <v>300</v>
      </c>
      <c r="J742" s="4">
        <v>300</v>
      </c>
      <c r="K742" s="4" t="str" cm="1">
        <f t="array" ref="K742">_xlfn.IFS(AND(Table15[[#This Row],[Total Amount]]&gt;=1500),"Critical",AND(Table15[[#This Row],[Total Amount]]&gt;=1000),"High",TRUE,"Normal")</f>
        <v>Normal</v>
      </c>
      <c r="L742" s="4" t="str">
        <f>IF(Table15[[#This Row],[Total Amount]]&gt;=1000,"High",(IF(Table15[[#This Row],[Total Amount]]&gt;=500,"Medium","Low")))</f>
        <v>Low</v>
      </c>
      <c r="M742" s="4" t="str" cm="1">
        <f t="array" ref="M74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42" s="4" cm="1">
        <f t="array" ref="N74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742" s="4">
        <f>Table15[[#This Row],[Total Amount]]-Table15[[#This Row],[Discount Amount]]</f>
        <v>270</v>
      </c>
    </row>
    <row r="743" spans="1:15" x14ac:dyDescent="0.35">
      <c r="A743" s="4">
        <v>742</v>
      </c>
      <c r="B743" s="5">
        <v>44947</v>
      </c>
      <c r="C743" s="4" t="s">
        <v>755</v>
      </c>
      <c r="D743" s="4" t="s">
        <v>13</v>
      </c>
      <c r="E743" s="4">
        <v>38</v>
      </c>
      <c r="F743" s="4" t="str">
        <f>IF(Table15[[#This Row],[Age]]&lt;=19,"Teenager",IF(Table15[[#This Row],[Age]]&lt;=40,"Median","Old"))</f>
        <v>Median</v>
      </c>
      <c r="G743" s="4" t="s">
        <v>16</v>
      </c>
      <c r="H743" s="4">
        <v>4</v>
      </c>
      <c r="I743" s="4">
        <v>500</v>
      </c>
      <c r="J743" s="4">
        <v>2000</v>
      </c>
      <c r="K743" s="4" t="str" cm="1">
        <f t="array" ref="K743">_xlfn.IFS(AND(Table15[[#This Row],[Total Amount]]&gt;=1500),"Critical",AND(Table15[[#This Row],[Total Amount]]&gt;=1000),"High",TRUE,"Normal")</f>
        <v>Critical</v>
      </c>
      <c r="L743" s="4" t="str">
        <f>IF(Table15[[#This Row],[Total Amount]]&gt;=1000,"High",(IF(Table15[[#This Row],[Total Amount]]&gt;=500,"Medium","Low")))</f>
        <v>High</v>
      </c>
      <c r="M743" s="4" t="str" cm="1">
        <f t="array" ref="M74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43" s="4" cm="1">
        <f t="array" ref="N74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743" s="4">
        <f>Table15[[#This Row],[Total Amount]]-Table15[[#This Row],[Discount Amount]]</f>
        <v>1600</v>
      </c>
    </row>
    <row r="744" spans="1:15" x14ac:dyDescent="0.35">
      <c r="A744" s="4">
        <v>743</v>
      </c>
      <c r="B744" s="5">
        <v>44942</v>
      </c>
      <c r="C744" s="4" t="s">
        <v>756</v>
      </c>
      <c r="D744" s="4" t="s">
        <v>13</v>
      </c>
      <c r="E744" s="4">
        <v>34</v>
      </c>
      <c r="F744" s="4" t="str">
        <f>IF(Table15[[#This Row],[Age]]&lt;=19,"Teenager",IF(Table15[[#This Row],[Age]]&lt;=40,"Median","Old"))</f>
        <v>Median</v>
      </c>
      <c r="G744" s="4" t="s">
        <v>11</v>
      </c>
      <c r="H744" s="4">
        <v>4</v>
      </c>
      <c r="I744" s="4">
        <v>500</v>
      </c>
      <c r="J744" s="4">
        <v>2000</v>
      </c>
      <c r="K744" s="4" t="str" cm="1">
        <f t="array" ref="K744">_xlfn.IFS(AND(Table15[[#This Row],[Total Amount]]&gt;=1500),"Critical",AND(Table15[[#This Row],[Total Amount]]&gt;=1000),"High",TRUE,"Normal")</f>
        <v>Critical</v>
      </c>
      <c r="L744" s="4" t="str">
        <f>IF(Table15[[#This Row],[Total Amount]]&gt;=1000,"High",(IF(Table15[[#This Row],[Total Amount]]&gt;=500,"Medium","Low")))</f>
        <v>High</v>
      </c>
      <c r="M744" s="4" t="str" cm="1">
        <f t="array" ref="M74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44" s="4" cm="1">
        <f t="array" ref="N74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744" s="4">
        <f>Table15[[#This Row],[Total Amount]]-Table15[[#This Row],[Discount Amount]]</f>
        <v>1700</v>
      </c>
    </row>
    <row r="745" spans="1:15" x14ac:dyDescent="0.35">
      <c r="A745" s="4">
        <v>744</v>
      </c>
      <c r="B745" s="5">
        <v>45053</v>
      </c>
      <c r="C745" s="4" t="s">
        <v>757</v>
      </c>
      <c r="D745" s="4" t="s">
        <v>10</v>
      </c>
      <c r="E745" s="4">
        <v>40</v>
      </c>
      <c r="F745" s="4" t="str">
        <f>IF(Table15[[#This Row],[Age]]&lt;=19,"Teenager",IF(Table15[[#This Row],[Age]]&lt;=40,"Median","Old"))</f>
        <v>Median</v>
      </c>
      <c r="G745" s="4" t="s">
        <v>16</v>
      </c>
      <c r="H745" s="4">
        <v>1</v>
      </c>
      <c r="I745" s="4">
        <v>25</v>
      </c>
      <c r="J745" s="4">
        <v>25</v>
      </c>
      <c r="K745" s="4" t="str" cm="1">
        <f t="array" ref="K745">_xlfn.IFS(AND(Table15[[#This Row],[Total Amount]]&gt;=1500),"Critical",AND(Table15[[#This Row],[Total Amount]]&gt;=1000),"High",TRUE,"Normal")</f>
        <v>Normal</v>
      </c>
      <c r="L745" s="4" t="str">
        <f>IF(Table15[[#This Row],[Total Amount]]&gt;=1000,"High",(IF(Table15[[#This Row],[Total Amount]]&gt;=500,"Medium","Low")))</f>
        <v>Low</v>
      </c>
      <c r="M745" s="4" t="str" cm="1">
        <f t="array" ref="M74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45" s="4" cm="1">
        <f t="array" ref="N74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745" s="4">
        <f>Table15[[#This Row],[Total Amount]]-Table15[[#This Row],[Discount Amount]]</f>
        <v>22.5</v>
      </c>
    </row>
    <row r="746" spans="1:15" x14ac:dyDescent="0.35">
      <c r="A746" s="4">
        <v>745</v>
      </c>
      <c r="B746" s="5">
        <v>45029</v>
      </c>
      <c r="C746" s="4" t="s">
        <v>758</v>
      </c>
      <c r="D746" s="4" t="s">
        <v>10</v>
      </c>
      <c r="E746" s="4">
        <v>54</v>
      </c>
      <c r="F746" s="4" t="str">
        <f>IF(Table15[[#This Row],[Age]]&lt;=19,"Teenager",IF(Table15[[#This Row],[Age]]&lt;=40,"Median","Old"))</f>
        <v>Old</v>
      </c>
      <c r="G746" s="4" t="s">
        <v>11</v>
      </c>
      <c r="H746" s="4">
        <v>2</v>
      </c>
      <c r="I746" s="4">
        <v>50</v>
      </c>
      <c r="J746" s="4">
        <v>100</v>
      </c>
      <c r="K746" s="4" t="str" cm="1">
        <f t="array" ref="K746">_xlfn.IFS(AND(Table15[[#This Row],[Total Amount]]&gt;=1500),"Critical",AND(Table15[[#This Row],[Total Amount]]&gt;=1000),"High",TRUE,"Normal")</f>
        <v>Normal</v>
      </c>
      <c r="L746" s="4" t="str">
        <f>IF(Table15[[#This Row],[Total Amount]]&gt;=1000,"High",(IF(Table15[[#This Row],[Total Amount]]&gt;=500,"Medium","Low")))</f>
        <v>Low</v>
      </c>
      <c r="M746" s="4" t="str" cm="1">
        <f t="array" ref="M74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46" s="4" cm="1">
        <f t="array" ref="N74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746" s="4">
        <f>Table15[[#This Row],[Total Amount]]-Table15[[#This Row],[Discount Amount]]</f>
        <v>90</v>
      </c>
    </row>
    <row r="747" spans="1:15" x14ac:dyDescent="0.35">
      <c r="A747" s="4">
        <v>746</v>
      </c>
      <c r="B747" s="5">
        <v>44937</v>
      </c>
      <c r="C747" s="4" t="s">
        <v>759</v>
      </c>
      <c r="D747" s="4" t="s">
        <v>13</v>
      </c>
      <c r="E747" s="4">
        <v>33</v>
      </c>
      <c r="F747" s="4" t="str">
        <f>IF(Table15[[#This Row],[Age]]&lt;=19,"Teenager",IF(Table15[[#This Row],[Age]]&lt;=40,"Median","Old"))</f>
        <v>Median</v>
      </c>
      <c r="G747" s="4" t="s">
        <v>14</v>
      </c>
      <c r="H747" s="4">
        <v>3</v>
      </c>
      <c r="I747" s="4">
        <v>30</v>
      </c>
      <c r="J747" s="4">
        <v>90</v>
      </c>
      <c r="K747" s="4" t="str" cm="1">
        <f t="array" ref="K747">_xlfn.IFS(AND(Table15[[#This Row],[Total Amount]]&gt;=1500),"Critical",AND(Table15[[#This Row],[Total Amount]]&gt;=1000),"High",TRUE,"Normal")</f>
        <v>Normal</v>
      </c>
      <c r="L747" s="4" t="str">
        <f>IF(Table15[[#This Row],[Total Amount]]&gt;=1000,"High",(IF(Table15[[#This Row],[Total Amount]]&gt;=500,"Medium","Low")))</f>
        <v>Low</v>
      </c>
      <c r="M747" s="4" t="str" cm="1">
        <f t="array" ref="M74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47" s="4" cm="1">
        <f t="array" ref="N74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13.5</v>
      </c>
      <c r="O747" s="4">
        <f>Table15[[#This Row],[Total Amount]]-Table15[[#This Row],[Discount Amount]]</f>
        <v>76.5</v>
      </c>
    </row>
    <row r="748" spans="1:15" x14ac:dyDescent="0.35">
      <c r="A748" s="4">
        <v>747</v>
      </c>
      <c r="B748" s="5">
        <v>45245</v>
      </c>
      <c r="C748" s="4" t="s">
        <v>760</v>
      </c>
      <c r="D748" s="4" t="s">
        <v>10</v>
      </c>
      <c r="E748" s="4">
        <v>23</v>
      </c>
      <c r="F748" s="4" t="str">
        <f>IF(Table15[[#This Row],[Age]]&lt;=19,"Teenager",IF(Table15[[#This Row],[Age]]&lt;=40,"Median","Old"))</f>
        <v>Median</v>
      </c>
      <c r="G748" s="4" t="s">
        <v>11</v>
      </c>
      <c r="H748" s="4">
        <v>1</v>
      </c>
      <c r="I748" s="4">
        <v>30</v>
      </c>
      <c r="J748" s="4">
        <v>30</v>
      </c>
      <c r="K748" s="4" t="str" cm="1">
        <f t="array" ref="K748">_xlfn.IFS(AND(Table15[[#This Row],[Total Amount]]&gt;=1500),"Critical",AND(Table15[[#This Row],[Total Amount]]&gt;=1000),"High",TRUE,"Normal")</f>
        <v>Normal</v>
      </c>
      <c r="L748" s="4" t="str">
        <f>IF(Table15[[#This Row],[Total Amount]]&gt;=1000,"High",(IF(Table15[[#This Row],[Total Amount]]&gt;=500,"Medium","Low")))</f>
        <v>Low</v>
      </c>
      <c r="M748" s="4" t="str" cm="1">
        <f t="array" ref="M74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748" s="4" cm="1">
        <f t="array" ref="N74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748" s="4">
        <f>Table15[[#This Row],[Total Amount]]-Table15[[#This Row],[Discount Amount]]</f>
        <v>30</v>
      </c>
    </row>
    <row r="749" spans="1:15" x14ac:dyDescent="0.35">
      <c r="A749" s="4">
        <v>748</v>
      </c>
      <c r="B749" s="5">
        <v>45005</v>
      </c>
      <c r="C749" s="4" t="s">
        <v>761</v>
      </c>
      <c r="D749" s="4" t="s">
        <v>10</v>
      </c>
      <c r="E749" s="4">
        <v>25</v>
      </c>
      <c r="F749" s="4" t="str">
        <f>IF(Table15[[#This Row],[Age]]&lt;=19,"Teenager",IF(Table15[[#This Row],[Age]]&lt;=40,"Median","Old"))</f>
        <v>Median</v>
      </c>
      <c r="G749" s="4" t="s">
        <v>14</v>
      </c>
      <c r="H749" s="4">
        <v>3</v>
      </c>
      <c r="I749" s="4">
        <v>50</v>
      </c>
      <c r="J749" s="4">
        <v>150</v>
      </c>
      <c r="K749" s="4" t="str" cm="1">
        <f t="array" ref="K749">_xlfn.IFS(AND(Table15[[#This Row],[Total Amount]]&gt;=1500),"Critical",AND(Table15[[#This Row],[Total Amount]]&gt;=1000),"High",TRUE,"Normal")</f>
        <v>Normal</v>
      </c>
      <c r="L749" s="4" t="str">
        <f>IF(Table15[[#This Row],[Total Amount]]&gt;=1000,"High",(IF(Table15[[#This Row],[Total Amount]]&gt;=500,"Medium","Low")))</f>
        <v>Low</v>
      </c>
      <c r="M749" s="4" t="str" cm="1">
        <f t="array" ref="M74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49" s="4" cm="1">
        <f t="array" ref="N74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22.5</v>
      </c>
      <c r="O749" s="4">
        <f>Table15[[#This Row],[Total Amount]]-Table15[[#This Row],[Discount Amount]]</f>
        <v>127.5</v>
      </c>
    </row>
    <row r="750" spans="1:15" x14ac:dyDescent="0.35">
      <c r="A750" s="4">
        <v>749</v>
      </c>
      <c r="B750" s="5">
        <v>45049</v>
      </c>
      <c r="C750" s="4" t="s">
        <v>762</v>
      </c>
      <c r="D750" s="4" t="s">
        <v>10</v>
      </c>
      <c r="E750" s="4">
        <v>42</v>
      </c>
      <c r="F750" s="4" t="str">
        <f>IF(Table15[[#This Row],[Age]]&lt;=19,"Teenager",IF(Table15[[#This Row],[Age]]&lt;=40,"Median","Old"))</f>
        <v>Old</v>
      </c>
      <c r="G750" s="4" t="s">
        <v>11</v>
      </c>
      <c r="H750" s="4">
        <v>1</v>
      </c>
      <c r="I750" s="4">
        <v>30</v>
      </c>
      <c r="J750" s="4">
        <v>30</v>
      </c>
      <c r="K750" s="4" t="str" cm="1">
        <f t="array" ref="K750">_xlfn.IFS(AND(Table15[[#This Row],[Total Amount]]&gt;=1500),"Critical",AND(Table15[[#This Row],[Total Amount]]&gt;=1000),"High",TRUE,"Normal")</f>
        <v>Normal</v>
      </c>
      <c r="L750" s="4" t="str">
        <f>IF(Table15[[#This Row],[Total Amount]]&gt;=1000,"High",(IF(Table15[[#This Row],[Total Amount]]&gt;=500,"Medium","Low")))</f>
        <v>Low</v>
      </c>
      <c r="M750" s="4" t="str" cm="1">
        <f t="array" ref="M75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50" s="4" cm="1">
        <f t="array" ref="N75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750" s="4">
        <f>Table15[[#This Row],[Total Amount]]-Table15[[#This Row],[Discount Amount]]</f>
        <v>27</v>
      </c>
    </row>
    <row r="751" spans="1:15" x14ac:dyDescent="0.35">
      <c r="A751" s="4">
        <v>750</v>
      </c>
      <c r="B751" s="5">
        <v>44991</v>
      </c>
      <c r="C751" s="4" t="s">
        <v>763</v>
      </c>
      <c r="D751" s="4" t="s">
        <v>13</v>
      </c>
      <c r="E751" s="4">
        <v>35</v>
      </c>
      <c r="F751" s="4" t="str">
        <f>IF(Table15[[#This Row],[Age]]&lt;=19,"Teenager",IF(Table15[[#This Row],[Age]]&lt;=40,"Median","Old"))</f>
        <v>Median</v>
      </c>
      <c r="G751" s="4" t="s">
        <v>14</v>
      </c>
      <c r="H751" s="4">
        <v>3</v>
      </c>
      <c r="I751" s="4">
        <v>25</v>
      </c>
      <c r="J751" s="4">
        <v>75</v>
      </c>
      <c r="K751" s="4" t="str" cm="1">
        <f t="array" ref="K751">_xlfn.IFS(AND(Table15[[#This Row],[Total Amount]]&gt;=1500),"Critical",AND(Table15[[#This Row],[Total Amount]]&gt;=1000),"High",TRUE,"Normal")</f>
        <v>Normal</v>
      </c>
      <c r="L751" s="4" t="str">
        <f>IF(Table15[[#This Row],[Total Amount]]&gt;=1000,"High",(IF(Table15[[#This Row],[Total Amount]]&gt;=500,"Medium","Low")))</f>
        <v>Low</v>
      </c>
      <c r="M751" s="4" t="str" cm="1">
        <f t="array" ref="M75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51" s="4" cm="1">
        <f t="array" ref="N75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751" s="4">
        <f>Table15[[#This Row],[Total Amount]]-Table15[[#This Row],[Discount Amount]]</f>
        <v>60</v>
      </c>
    </row>
    <row r="752" spans="1:15" x14ac:dyDescent="0.35">
      <c r="A752" s="4">
        <v>751</v>
      </c>
      <c r="B752" s="5">
        <v>45169</v>
      </c>
      <c r="C752" s="4" t="s">
        <v>764</v>
      </c>
      <c r="D752" s="4" t="s">
        <v>13</v>
      </c>
      <c r="E752" s="4">
        <v>42</v>
      </c>
      <c r="F752" s="4" t="str">
        <f>IF(Table15[[#This Row],[Age]]&lt;=19,"Teenager",IF(Table15[[#This Row],[Age]]&lt;=40,"Median","Old"))</f>
        <v>Old</v>
      </c>
      <c r="G752" s="4" t="s">
        <v>14</v>
      </c>
      <c r="H752" s="4">
        <v>2</v>
      </c>
      <c r="I752" s="4">
        <v>25</v>
      </c>
      <c r="J752" s="4">
        <v>50</v>
      </c>
      <c r="K752" s="4" t="str" cm="1">
        <f t="array" ref="K752">_xlfn.IFS(AND(Table15[[#This Row],[Total Amount]]&gt;=1500),"Critical",AND(Table15[[#This Row],[Total Amount]]&gt;=1000),"High",TRUE,"Normal")</f>
        <v>Normal</v>
      </c>
      <c r="L752" s="4" t="str">
        <f>IF(Table15[[#This Row],[Total Amount]]&gt;=1000,"High",(IF(Table15[[#This Row],[Total Amount]]&gt;=500,"Medium","Low")))</f>
        <v>Low</v>
      </c>
      <c r="M752" s="4" t="str" cm="1">
        <f t="array" ref="M75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52" s="4" cm="1">
        <f t="array" ref="N75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752" s="4">
        <f>Table15[[#This Row],[Total Amount]]-Table15[[#This Row],[Discount Amount]]</f>
        <v>40</v>
      </c>
    </row>
    <row r="753" spans="1:15" x14ac:dyDescent="0.35">
      <c r="A753" s="4">
        <v>752</v>
      </c>
      <c r="B753" s="5">
        <v>45269</v>
      </c>
      <c r="C753" s="4" t="s">
        <v>765</v>
      </c>
      <c r="D753" s="4" t="s">
        <v>10</v>
      </c>
      <c r="E753" s="4">
        <v>29</v>
      </c>
      <c r="F753" s="4" t="str">
        <f>IF(Table15[[#This Row],[Age]]&lt;=19,"Teenager",IF(Table15[[#This Row],[Age]]&lt;=40,"Median","Old"))</f>
        <v>Median</v>
      </c>
      <c r="G753" s="4" t="s">
        <v>14</v>
      </c>
      <c r="H753" s="4">
        <v>2</v>
      </c>
      <c r="I753" s="4">
        <v>50</v>
      </c>
      <c r="J753" s="4">
        <v>100</v>
      </c>
      <c r="K753" s="4" t="str" cm="1">
        <f t="array" ref="K753">_xlfn.IFS(AND(Table15[[#This Row],[Total Amount]]&gt;=1500),"Critical",AND(Table15[[#This Row],[Total Amount]]&gt;=1000),"High",TRUE,"Normal")</f>
        <v>Normal</v>
      </c>
      <c r="L753" s="4" t="str">
        <f>IF(Table15[[#This Row],[Total Amount]]&gt;=1000,"High",(IF(Table15[[#This Row],[Total Amount]]&gt;=500,"Medium","Low")))</f>
        <v>Low</v>
      </c>
      <c r="M753" s="4" t="str" cm="1">
        <f t="array" ref="M75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53" s="4" cm="1">
        <f t="array" ref="N75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753" s="4">
        <f>Table15[[#This Row],[Total Amount]]-Table15[[#This Row],[Discount Amount]]</f>
        <v>85</v>
      </c>
    </row>
    <row r="754" spans="1:15" x14ac:dyDescent="0.35">
      <c r="A754" s="4">
        <v>753</v>
      </c>
      <c r="B754" s="5">
        <v>44985</v>
      </c>
      <c r="C754" s="4" t="s">
        <v>766</v>
      </c>
      <c r="D754" s="4" t="s">
        <v>13</v>
      </c>
      <c r="E754" s="4">
        <v>32</v>
      </c>
      <c r="F754" s="4" t="str">
        <f>IF(Table15[[#This Row],[Age]]&lt;=19,"Teenager",IF(Table15[[#This Row],[Age]]&lt;=40,"Median","Old"))</f>
        <v>Median</v>
      </c>
      <c r="G754" s="4" t="s">
        <v>14</v>
      </c>
      <c r="H754" s="4">
        <v>1</v>
      </c>
      <c r="I754" s="4">
        <v>30</v>
      </c>
      <c r="J754" s="4">
        <v>30</v>
      </c>
      <c r="K754" s="4" t="str" cm="1">
        <f t="array" ref="K754">_xlfn.IFS(AND(Table15[[#This Row],[Total Amount]]&gt;=1500),"Critical",AND(Table15[[#This Row],[Total Amount]]&gt;=1000),"High",TRUE,"Normal")</f>
        <v>Normal</v>
      </c>
      <c r="L754" s="4" t="str">
        <f>IF(Table15[[#This Row],[Total Amount]]&gt;=1000,"High",(IF(Table15[[#This Row],[Total Amount]]&gt;=500,"Medium","Low")))</f>
        <v>Low</v>
      </c>
      <c r="M754" s="4" t="str" cm="1">
        <f t="array" ref="M75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54" s="4" cm="1">
        <f t="array" ref="N75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4.5</v>
      </c>
      <c r="O754" s="4">
        <f>Table15[[#This Row],[Total Amount]]-Table15[[#This Row],[Discount Amount]]</f>
        <v>25.5</v>
      </c>
    </row>
    <row r="755" spans="1:15" x14ac:dyDescent="0.35">
      <c r="A755" s="4">
        <v>754</v>
      </c>
      <c r="B755" s="5">
        <v>45215</v>
      </c>
      <c r="C755" s="4" t="s">
        <v>767</v>
      </c>
      <c r="D755" s="4" t="s">
        <v>13</v>
      </c>
      <c r="E755" s="4">
        <v>43</v>
      </c>
      <c r="F755" s="4" t="str">
        <f>IF(Table15[[#This Row],[Age]]&lt;=19,"Teenager",IF(Table15[[#This Row],[Age]]&lt;=40,"Median","Old"))</f>
        <v>Old</v>
      </c>
      <c r="G755" s="4" t="s">
        <v>16</v>
      </c>
      <c r="H755" s="4">
        <v>4</v>
      </c>
      <c r="I755" s="4">
        <v>25</v>
      </c>
      <c r="J755" s="4">
        <v>100</v>
      </c>
      <c r="K755" s="4" t="str" cm="1">
        <f t="array" ref="K755">_xlfn.IFS(AND(Table15[[#This Row],[Total Amount]]&gt;=1500),"Critical",AND(Table15[[#This Row],[Total Amount]]&gt;=1000),"High",TRUE,"Normal")</f>
        <v>Normal</v>
      </c>
      <c r="L755" s="4" t="str">
        <f>IF(Table15[[#This Row],[Total Amount]]&gt;=1000,"High",(IF(Table15[[#This Row],[Total Amount]]&gt;=500,"Medium","Low")))</f>
        <v>Low</v>
      </c>
      <c r="M755" s="4" t="str" cm="1">
        <f t="array" ref="M75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55" s="4" cm="1">
        <f t="array" ref="N75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755" s="4">
        <f>Table15[[#This Row],[Total Amount]]-Table15[[#This Row],[Discount Amount]]</f>
        <v>80</v>
      </c>
    </row>
    <row r="756" spans="1:15" x14ac:dyDescent="0.35">
      <c r="A756" s="4">
        <v>755</v>
      </c>
      <c r="B756" s="5">
        <v>45038</v>
      </c>
      <c r="C756" s="4" t="s">
        <v>768</v>
      </c>
      <c r="D756" s="4" t="s">
        <v>13</v>
      </c>
      <c r="E756" s="4">
        <v>58</v>
      </c>
      <c r="F756" s="4" t="str">
        <f>IF(Table15[[#This Row],[Age]]&lt;=19,"Teenager",IF(Table15[[#This Row],[Age]]&lt;=40,"Median","Old"))</f>
        <v>Old</v>
      </c>
      <c r="G756" s="4" t="s">
        <v>14</v>
      </c>
      <c r="H756" s="4">
        <v>3</v>
      </c>
      <c r="I756" s="4">
        <v>25</v>
      </c>
      <c r="J756" s="4">
        <v>75</v>
      </c>
      <c r="K756" s="4" t="str" cm="1">
        <f t="array" ref="K756">_xlfn.IFS(AND(Table15[[#This Row],[Total Amount]]&gt;=1500),"Critical",AND(Table15[[#This Row],[Total Amount]]&gt;=1000),"High",TRUE,"Normal")</f>
        <v>Normal</v>
      </c>
      <c r="L756" s="4" t="str">
        <f>IF(Table15[[#This Row],[Total Amount]]&gt;=1000,"High",(IF(Table15[[#This Row],[Total Amount]]&gt;=500,"Medium","Low")))</f>
        <v>Low</v>
      </c>
      <c r="M756" s="4" t="str" cm="1">
        <f t="array" ref="M75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56" s="4" cm="1">
        <f t="array" ref="N75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756" s="4">
        <f>Table15[[#This Row],[Total Amount]]-Table15[[#This Row],[Discount Amount]]</f>
        <v>60</v>
      </c>
    </row>
    <row r="757" spans="1:15" x14ac:dyDescent="0.35">
      <c r="A757" s="4">
        <v>756</v>
      </c>
      <c r="B757" s="5">
        <v>45165</v>
      </c>
      <c r="C757" s="4" t="s">
        <v>769</v>
      </c>
      <c r="D757" s="4" t="s">
        <v>13</v>
      </c>
      <c r="E757" s="4">
        <v>62</v>
      </c>
      <c r="F757" s="4" t="str">
        <f>IF(Table15[[#This Row],[Age]]&lt;=19,"Teenager",IF(Table15[[#This Row],[Age]]&lt;=40,"Median","Old"))</f>
        <v>Old</v>
      </c>
      <c r="G757" s="4" t="s">
        <v>16</v>
      </c>
      <c r="H757" s="4">
        <v>4</v>
      </c>
      <c r="I757" s="4">
        <v>300</v>
      </c>
      <c r="J757" s="4">
        <v>1200</v>
      </c>
      <c r="K757" s="4" t="str" cm="1">
        <f t="array" ref="K757">_xlfn.IFS(AND(Table15[[#This Row],[Total Amount]]&gt;=1500),"Critical",AND(Table15[[#This Row],[Total Amount]]&gt;=1000),"High",TRUE,"Normal")</f>
        <v>High</v>
      </c>
      <c r="L757" s="4" t="str">
        <f>IF(Table15[[#This Row],[Total Amount]]&gt;=1000,"High",(IF(Table15[[#This Row],[Total Amount]]&gt;=500,"Medium","Low")))</f>
        <v>High</v>
      </c>
      <c r="M757" s="4" t="str" cm="1">
        <f t="array" ref="M75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57" s="4" cm="1">
        <f t="array" ref="N75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757" s="4">
        <f>Table15[[#This Row],[Total Amount]]-Table15[[#This Row],[Discount Amount]]</f>
        <v>960</v>
      </c>
    </row>
    <row r="758" spans="1:15" x14ac:dyDescent="0.35">
      <c r="A758" s="4">
        <v>757</v>
      </c>
      <c r="B758" s="5">
        <v>45285</v>
      </c>
      <c r="C758" s="4" t="s">
        <v>770</v>
      </c>
      <c r="D758" s="4" t="s">
        <v>13</v>
      </c>
      <c r="E758" s="4">
        <v>43</v>
      </c>
      <c r="F758" s="4" t="str">
        <f>IF(Table15[[#This Row],[Age]]&lt;=19,"Teenager",IF(Table15[[#This Row],[Age]]&lt;=40,"Median","Old"))</f>
        <v>Old</v>
      </c>
      <c r="G758" s="4" t="s">
        <v>16</v>
      </c>
      <c r="H758" s="4">
        <v>4</v>
      </c>
      <c r="I758" s="4">
        <v>300</v>
      </c>
      <c r="J758" s="4">
        <v>1200</v>
      </c>
      <c r="K758" s="4" t="str" cm="1">
        <f t="array" ref="K758">_xlfn.IFS(AND(Table15[[#This Row],[Total Amount]]&gt;=1500),"Critical",AND(Table15[[#This Row],[Total Amount]]&gt;=1000),"High",TRUE,"Normal")</f>
        <v>High</v>
      </c>
      <c r="L758" s="4" t="str">
        <f>IF(Table15[[#This Row],[Total Amount]]&gt;=1000,"High",(IF(Table15[[#This Row],[Total Amount]]&gt;=500,"Medium","Low")))</f>
        <v>High</v>
      </c>
      <c r="M758" s="4" t="str" cm="1">
        <f t="array" ref="M75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58" s="4" cm="1">
        <f t="array" ref="N75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758" s="4">
        <f>Table15[[#This Row],[Total Amount]]-Table15[[#This Row],[Discount Amount]]</f>
        <v>960</v>
      </c>
    </row>
    <row r="759" spans="1:15" x14ac:dyDescent="0.35">
      <c r="A759" s="4">
        <v>758</v>
      </c>
      <c r="B759" s="5">
        <v>45058</v>
      </c>
      <c r="C759" s="4" t="s">
        <v>771</v>
      </c>
      <c r="D759" s="4" t="s">
        <v>10</v>
      </c>
      <c r="E759" s="4">
        <v>64</v>
      </c>
      <c r="F759" s="4" t="str">
        <f>IF(Table15[[#This Row],[Age]]&lt;=19,"Teenager",IF(Table15[[#This Row],[Age]]&lt;=40,"Median","Old"))</f>
        <v>Old</v>
      </c>
      <c r="G759" s="4" t="s">
        <v>14</v>
      </c>
      <c r="H759" s="4">
        <v>4</v>
      </c>
      <c r="I759" s="4">
        <v>25</v>
      </c>
      <c r="J759" s="4">
        <v>100</v>
      </c>
      <c r="K759" s="4" t="str" cm="1">
        <f t="array" ref="K759">_xlfn.IFS(AND(Table15[[#This Row],[Total Amount]]&gt;=1500),"Critical",AND(Table15[[#This Row],[Total Amount]]&gt;=1000),"High",TRUE,"Normal")</f>
        <v>Normal</v>
      </c>
      <c r="L759" s="4" t="str">
        <f>IF(Table15[[#This Row],[Total Amount]]&gt;=1000,"High",(IF(Table15[[#This Row],[Total Amount]]&gt;=500,"Medium","Low")))</f>
        <v>Low</v>
      </c>
      <c r="M759" s="4" t="str" cm="1">
        <f t="array" ref="M75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59" s="4" cm="1">
        <f t="array" ref="N75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759" s="4">
        <f>Table15[[#This Row],[Total Amount]]-Table15[[#This Row],[Discount Amount]]</f>
        <v>90</v>
      </c>
    </row>
    <row r="760" spans="1:15" x14ac:dyDescent="0.35">
      <c r="A760" s="4">
        <v>759</v>
      </c>
      <c r="B760" s="5">
        <v>45115</v>
      </c>
      <c r="C760" s="4" t="s">
        <v>772</v>
      </c>
      <c r="D760" s="4" t="s">
        <v>10</v>
      </c>
      <c r="E760" s="4">
        <v>49</v>
      </c>
      <c r="F760" s="4" t="str">
        <f>IF(Table15[[#This Row],[Age]]&lt;=19,"Teenager",IF(Table15[[#This Row],[Age]]&lt;=40,"Median","Old"))</f>
        <v>Old</v>
      </c>
      <c r="G760" s="4" t="s">
        <v>16</v>
      </c>
      <c r="H760" s="4">
        <v>2</v>
      </c>
      <c r="I760" s="4">
        <v>50</v>
      </c>
      <c r="J760" s="4">
        <v>100</v>
      </c>
      <c r="K760" s="4" t="str" cm="1">
        <f t="array" ref="K760">_xlfn.IFS(AND(Table15[[#This Row],[Total Amount]]&gt;=1500),"Critical",AND(Table15[[#This Row],[Total Amount]]&gt;=1000),"High",TRUE,"Normal")</f>
        <v>Normal</v>
      </c>
      <c r="L760" s="4" t="str">
        <f>IF(Table15[[#This Row],[Total Amount]]&gt;=1000,"High",(IF(Table15[[#This Row],[Total Amount]]&gt;=500,"Medium","Low")))</f>
        <v>Low</v>
      </c>
      <c r="M760" s="4" t="str" cm="1">
        <f t="array" ref="M76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60" s="4" cm="1">
        <f t="array" ref="N76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760" s="4">
        <f>Table15[[#This Row],[Total Amount]]-Table15[[#This Row],[Discount Amount]]</f>
        <v>90</v>
      </c>
    </row>
    <row r="761" spans="1:15" x14ac:dyDescent="0.35">
      <c r="A761" s="4">
        <v>760</v>
      </c>
      <c r="B761" s="5">
        <v>45012</v>
      </c>
      <c r="C761" s="4" t="s">
        <v>773</v>
      </c>
      <c r="D761" s="4" t="s">
        <v>10</v>
      </c>
      <c r="E761" s="4">
        <v>27</v>
      </c>
      <c r="F761" s="4" t="str">
        <f>IF(Table15[[#This Row],[Age]]&lt;=19,"Teenager",IF(Table15[[#This Row],[Age]]&lt;=40,"Median","Old"))</f>
        <v>Median</v>
      </c>
      <c r="G761" s="4" t="s">
        <v>11</v>
      </c>
      <c r="H761" s="4">
        <v>1</v>
      </c>
      <c r="I761" s="4">
        <v>500</v>
      </c>
      <c r="J761" s="4">
        <v>500</v>
      </c>
      <c r="K761" s="4" t="str" cm="1">
        <f t="array" ref="K761">_xlfn.IFS(AND(Table15[[#This Row],[Total Amount]]&gt;=1500),"Critical",AND(Table15[[#This Row],[Total Amount]]&gt;=1000),"High",TRUE,"Normal")</f>
        <v>Normal</v>
      </c>
      <c r="L761" s="4" t="str">
        <f>IF(Table15[[#This Row],[Total Amount]]&gt;=1000,"High",(IF(Table15[[#This Row],[Total Amount]]&gt;=500,"Medium","Low")))</f>
        <v>Medium</v>
      </c>
      <c r="M761" s="4" t="str" cm="1">
        <f t="array" ref="M76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61" s="4" cm="1">
        <f t="array" ref="N76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761" s="4">
        <f>Table15[[#This Row],[Total Amount]]-Table15[[#This Row],[Discount Amount]]</f>
        <v>425</v>
      </c>
    </row>
    <row r="762" spans="1:15" x14ac:dyDescent="0.35">
      <c r="A762" s="4">
        <v>761</v>
      </c>
      <c r="B762" s="5">
        <v>45237</v>
      </c>
      <c r="C762" s="4" t="s">
        <v>774</v>
      </c>
      <c r="D762" s="4" t="s">
        <v>13</v>
      </c>
      <c r="E762" s="4">
        <v>33</v>
      </c>
      <c r="F762" s="4" t="str">
        <f>IF(Table15[[#This Row],[Age]]&lt;=19,"Teenager",IF(Table15[[#This Row],[Age]]&lt;=40,"Median","Old"))</f>
        <v>Median</v>
      </c>
      <c r="G762" s="4" t="s">
        <v>14</v>
      </c>
      <c r="H762" s="4">
        <v>1</v>
      </c>
      <c r="I762" s="4">
        <v>500</v>
      </c>
      <c r="J762" s="4">
        <v>500</v>
      </c>
      <c r="K762" s="4" t="str" cm="1">
        <f t="array" ref="K762">_xlfn.IFS(AND(Table15[[#This Row],[Total Amount]]&gt;=1500),"Critical",AND(Table15[[#This Row],[Total Amount]]&gt;=1000),"High",TRUE,"Normal")</f>
        <v>Normal</v>
      </c>
      <c r="L762" s="4" t="str">
        <f>IF(Table15[[#This Row],[Total Amount]]&gt;=1000,"High",(IF(Table15[[#This Row],[Total Amount]]&gt;=500,"Medium","Low")))</f>
        <v>Medium</v>
      </c>
      <c r="M762" s="4" t="str" cm="1">
        <f t="array" ref="M76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62" s="4" cm="1">
        <f t="array" ref="N76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762" s="4">
        <f>Table15[[#This Row],[Total Amount]]-Table15[[#This Row],[Discount Amount]]</f>
        <v>425</v>
      </c>
    </row>
    <row r="763" spans="1:15" x14ac:dyDescent="0.35">
      <c r="A763" s="4">
        <v>762</v>
      </c>
      <c r="B763" s="5">
        <v>45237</v>
      </c>
      <c r="C763" s="4" t="s">
        <v>775</v>
      </c>
      <c r="D763" s="4" t="s">
        <v>13</v>
      </c>
      <c r="E763" s="4">
        <v>24</v>
      </c>
      <c r="F763" s="4" t="str">
        <f>IF(Table15[[#This Row],[Age]]&lt;=19,"Teenager",IF(Table15[[#This Row],[Age]]&lt;=40,"Median","Old"))</f>
        <v>Median</v>
      </c>
      <c r="G763" s="4" t="s">
        <v>16</v>
      </c>
      <c r="H763" s="4">
        <v>2</v>
      </c>
      <c r="I763" s="4">
        <v>25</v>
      </c>
      <c r="J763" s="4">
        <v>50</v>
      </c>
      <c r="K763" s="4" t="str" cm="1">
        <f t="array" ref="K763">_xlfn.IFS(AND(Table15[[#This Row],[Total Amount]]&gt;=1500),"Critical",AND(Table15[[#This Row],[Total Amount]]&gt;=1000),"High",TRUE,"Normal")</f>
        <v>Normal</v>
      </c>
      <c r="L763" s="4" t="str">
        <f>IF(Table15[[#This Row],[Total Amount]]&gt;=1000,"High",(IF(Table15[[#This Row],[Total Amount]]&gt;=500,"Medium","Low")))</f>
        <v>Low</v>
      </c>
      <c r="M763" s="4" t="str" cm="1">
        <f t="array" ref="M76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763" s="4" cm="1">
        <f t="array" ref="N76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763" s="4">
        <f>Table15[[#This Row],[Total Amount]]-Table15[[#This Row],[Discount Amount]]</f>
        <v>50</v>
      </c>
    </row>
    <row r="764" spans="1:15" x14ac:dyDescent="0.35">
      <c r="A764" s="4">
        <v>763</v>
      </c>
      <c r="B764" s="5">
        <v>44985</v>
      </c>
      <c r="C764" s="4" t="s">
        <v>776</v>
      </c>
      <c r="D764" s="4" t="s">
        <v>10</v>
      </c>
      <c r="E764" s="4">
        <v>34</v>
      </c>
      <c r="F764" s="4" t="str">
        <f>IF(Table15[[#This Row],[Age]]&lt;=19,"Teenager",IF(Table15[[#This Row],[Age]]&lt;=40,"Median","Old"))</f>
        <v>Median</v>
      </c>
      <c r="G764" s="4" t="s">
        <v>14</v>
      </c>
      <c r="H764" s="4">
        <v>2</v>
      </c>
      <c r="I764" s="4">
        <v>25</v>
      </c>
      <c r="J764" s="4">
        <v>50</v>
      </c>
      <c r="K764" s="4" t="str" cm="1">
        <f t="array" ref="K764">_xlfn.IFS(AND(Table15[[#This Row],[Total Amount]]&gt;=1500),"Critical",AND(Table15[[#This Row],[Total Amount]]&gt;=1000),"High",TRUE,"Normal")</f>
        <v>Normal</v>
      </c>
      <c r="L764" s="4" t="str">
        <f>IF(Table15[[#This Row],[Total Amount]]&gt;=1000,"High",(IF(Table15[[#This Row],[Total Amount]]&gt;=500,"Medium","Low")))</f>
        <v>Low</v>
      </c>
      <c r="M764" s="4" t="str" cm="1">
        <f t="array" ref="M76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64" s="4" cm="1">
        <f t="array" ref="N76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764" s="4">
        <f>Table15[[#This Row],[Total Amount]]-Table15[[#This Row],[Discount Amount]]</f>
        <v>42.5</v>
      </c>
    </row>
    <row r="765" spans="1:15" x14ac:dyDescent="0.35">
      <c r="A765" s="4">
        <v>764</v>
      </c>
      <c r="B765" s="5">
        <v>45010</v>
      </c>
      <c r="C765" s="4" t="s">
        <v>777</v>
      </c>
      <c r="D765" s="4" t="s">
        <v>13</v>
      </c>
      <c r="E765" s="4">
        <v>40</v>
      </c>
      <c r="F765" s="4" t="str">
        <f>IF(Table15[[#This Row],[Age]]&lt;=19,"Teenager",IF(Table15[[#This Row],[Age]]&lt;=40,"Median","Old"))</f>
        <v>Median</v>
      </c>
      <c r="G765" s="4" t="s">
        <v>14</v>
      </c>
      <c r="H765" s="4">
        <v>1</v>
      </c>
      <c r="I765" s="4">
        <v>25</v>
      </c>
      <c r="J765" s="4">
        <v>25</v>
      </c>
      <c r="K765" s="4" t="str" cm="1">
        <f t="array" ref="K765">_xlfn.IFS(AND(Table15[[#This Row],[Total Amount]]&gt;=1500),"Critical",AND(Table15[[#This Row],[Total Amount]]&gt;=1000),"High",TRUE,"Normal")</f>
        <v>Normal</v>
      </c>
      <c r="L765" s="4" t="str">
        <f>IF(Table15[[#This Row],[Total Amount]]&gt;=1000,"High",(IF(Table15[[#This Row],[Total Amount]]&gt;=500,"Medium","Low")))</f>
        <v>Low</v>
      </c>
      <c r="M765" s="4" t="str" cm="1">
        <f t="array" ref="M76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65" s="4" cm="1">
        <f t="array" ref="N76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765" s="4">
        <f>Table15[[#This Row],[Total Amount]]-Table15[[#This Row],[Discount Amount]]</f>
        <v>20</v>
      </c>
    </row>
    <row r="766" spans="1:15" x14ac:dyDescent="0.35">
      <c r="A766" s="4">
        <v>765</v>
      </c>
      <c r="B766" s="5">
        <v>45086</v>
      </c>
      <c r="C766" s="4" t="s">
        <v>778</v>
      </c>
      <c r="D766" s="4" t="s">
        <v>10</v>
      </c>
      <c r="E766" s="4">
        <v>43</v>
      </c>
      <c r="F766" s="4" t="str">
        <f>IF(Table15[[#This Row],[Age]]&lt;=19,"Teenager",IF(Table15[[#This Row],[Age]]&lt;=40,"Median","Old"))</f>
        <v>Old</v>
      </c>
      <c r="G766" s="4" t="s">
        <v>14</v>
      </c>
      <c r="H766" s="4">
        <v>4</v>
      </c>
      <c r="I766" s="4">
        <v>50</v>
      </c>
      <c r="J766" s="4">
        <v>200</v>
      </c>
      <c r="K766" s="4" t="str" cm="1">
        <f t="array" ref="K766">_xlfn.IFS(AND(Table15[[#This Row],[Total Amount]]&gt;=1500),"Critical",AND(Table15[[#This Row],[Total Amount]]&gt;=1000),"High",TRUE,"Normal")</f>
        <v>Normal</v>
      </c>
      <c r="L766" s="4" t="str">
        <f>IF(Table15[[#This Row],[Total Amount]]&gt;=1000,"High",(IF(Table15[[#This Row],[Total Amount]]&gt;=500,"Medium","Low")))</f>
        <v>Low</v>
      </c>
      <c r="M766" s="4" t="str" cm="1">
        <f t="array" ref="M76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66" s="4" cm="1">
        <f t="array" ref="N76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766" s="4">
        <f>Table15[[#This Row],[Total Amount]]-Table15[[#This Row],[Discount Amount]]</f>
        <v>180</v>
      </c>
    </row>
    <row r="767" spans="1:15" x14ac:dyDescent="0.35">
      <c r="A767" s="4">
        <v>766</v>
      </c>
      <c r="B767" s="5">
        <v>44982</v>
      </c>
      <c r="C767" s="4" t="s">
        <v>779</v>
      </c>
      <c r="D767" s="4" t="s">
        <v>10</v>
      </c>
      <c r="E767" s="4">
        <v>38</v>
      </c>
      <c r="F767" s="4" t="str">
        <f>IF(Table15[[#This Row],[Age]]&lt;=19,"Teenager",IF(Table15[[#This Row],[Age]]&lt;=40,"Median","Old"))</f>
        <v>Median</v>
      </c>
      <c r="G767" s="4" t="s">
        <v>16</v>
      </c>
      <c r="H767" s="4">
        <v>3</v>
      </c>
      <c r="I767" s="4">
        <v>300</v>
      </c>
      <c r="J767" s="4">
        <v>900</v>
      </c>
      <c r="K767" s="4" t="str" cm="1">
        <f t="array" ref="K767">_xlfn.IFS(AND(Table15[[#This Row],[Total Amount]]&gt;=1500),"Critical",AND(Table15[[#This Row],[Total Amount]]&gt;=1000),"High",TRUE,"Normal")</f>
        <v>Normal</v>
      </c>
      <c r="L767" s="4" t="str">
        <f>IF(Table15[[#This Row],[Total Amount]]&gt;=1000,"High",(IF(Table15[[#This Row],[Total Amount]]&gt;=500,"Medium","Low")))</f>
        <v>Medium</v>
      </c>
      <c r="M767" s="4" t="str" cm="1">
        <f t="array" ref="M76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67" s="4" cm="1">
        <f t="array" ref="N76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767" s="4">
        <f>Table15[[#This Row],[Total Amount]]-Table15[[#This Row],[Discount Amount]]</f>
        <v>810</v>
      </c>
    </row>
    <row r="768" spans="1:15" x14ac:dyDescent="0.35">
      <c r="A768" s="4">
        <v>767</v>
      </c>
      <c r="B768" s="5">
        <v>45223</v>
      </c>
      <c r="C768" s="4" t="s">
        <v>780</v>
      </c>
      <c r="D768" s="4" t="s">
        <v>10</v>
      </c>
      <c r="E768" s="4">
        <v>39</v>
      </c>
      <c r="F768" s="4" t="str">
        <f>IF(Table15[[#This Row],[Age]]&lt;=19,"Teenager",IF(Table15[[#This Row],[Age]]&lt;=40,"Median","Old"))</f>
        <v>Median</v>
      </c>
      <c r="G768" s="4" t="s">
        <v>11</v>
      </c>
      <c r="H768" s="4">
        <v>3</v>
      </c>
      <c r="I768" s="4">
        <v>25</v>
      </c>
      <c r="J768" s="4">
        <v>75</v>
      </c>
      <c r="K768" s="4" t="str" cm="1">
        <f t="array" ref="K768">_xlfn.IFS(AND(Table15[[#This Row],[Total Amount]]&gt;=1500),"Critical",AND(Table15[[#This Row],[Total Amount]]&gt;=1000),"High",TRUE,"Normal")</f>
        <v>Normal</v>
      </c>
      <c r="L768" s="4" t="str">
        <f>IF(Table15[[#This Row],[Total Amount]]&gt;=1000,"High",(IF(Table15[[#This Row],[Total Amount]]&gt;=500,"Medium","Low")))</f>
        <v>Low</v>
      </c>
      <c r="M768" s="4" t="str" cm="1">
        <f t="array" ref="M76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68" s="4" cm="1">
        <f t="array" ref="N76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768" s="4">
        <f>Table15[[#This Row],[Total Amount]]-Table15[[#This Row],[Discount Amount]]</f>
        <v>67.5</v>
      </c>
    </row>
    <row r="769" spans="1:15" x14ac:dyDescent="0.35">
      <c r="A769" s="4">
        <v>768</v>
      </c>
      <c r="B769" s="5">
        <v>44940</v>
      </c>
      <c r="C769" s="4" t="s">
        <v>781</v>
      </c>
      <c r="D769" s="4" t="s">
        <v>13</v>
      </c>
      <c r="E769" s="4">
        <v>24</v>
      </c>
      <c r="F769" s="4" t="str">
        <f>IF(Table15[[#This Row],[Age]]&lt;=19,"Teenager",IF(Table15[[#This Row],[Age]]&lt;=40,"Median","Old"))</f>
        <v>Median</v>
      </c>
      <c r="G769" s="4" t="s">
        <v>11</v>
      </c>
      <c r="H769" s="4">
        <v>3</v>
      </c>
      <c r="I769" s="4">
        <v>25</v>
      </c>
      <c r="J769" s="4">
        <v>75</v>
      </c>
      <c r="K769" s="4" t="str" cm="1">
        <f t="array" ref="K769">_xlfn.IFS(AND(Table15[[#This Row],[Total Amount]]&gt;=1500),"Critical",AND(Table15[[#This Row],[Total Amount]]&gt;=1000),"High",TRUE,"Normal")</f>
        <v>Normal</v>
      </c>
      <c r="L769" s="4" t="str">
        <f>IF(Table15[[#This Row],[Total Amount]]&gt;=1000,"High",(IF(Table15[[#This Row],[Total Amount]]&gt;=500,"Medium","Low")))</f>
        <v>Low</v>
      </c>
      <c r="M769" s="4" t="str" cm="1">
        <f t="array" ref="M76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769" s="4" cm="1">
        <f t="array" ref="N76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769" s="4">
        <f>Table15[[#This Row],[Total Amount]]-Table15[[#This Row],[Discount Amount]]</f>
        <v>75</v>
      </c>
    </row>
    <row r="770" spans="1:15" x14ac:dyDescent="0.35">
      <c r="A770" s="4">
        <v>769</v>
      </c>
      <c r="B770" s="5">
        <v>45086</v>
      </c>
      <c r="C770" s="4" t="s">
        <v>782</v>
      </c>
      <c r="D770" s="4" t="s">
        <v>13</v>
      </c>
      <c r="E770" s="4">
        <v>31</v>
      </c>
      <c r="F770" s="4" t="str">
        <f>IF(Table15[[#This Row],[Age]]&lt;=19,"Teenager",IF(Table15[[#This Row],[Age]]&lt;=40,"Median","Old"))</f>
        <v>Median</v>
      </c>
      <c r="G770" s="4" t="s">
        <v>16</v>
      </c>
      <c r="H770" s="4">
        <v>4</v>
      </c>
      <c r="I770" s="4">
        <v>30</v>
      </c>
      <c r="J770" s="4">
        <v>120</v>
      </c>
      <c r="K770" s="4" t="str" cm="1">
        <f t="array" ref="K770">_xlfn.IFS(AND(Table15[[#This Row],[Total Amount]]&gt;=1500),"Critical",AND(Table15[[#This Row],[Total Amount]]&gt;=1000),"High",TRUE,"Normal")</f>
        <v>Normal</v>
      </c>
      <c r="L770" s="4" t="str">
        <f>IF(Table15[[#This Row],[Total Amount]]&gt;=1000,"High",(IF(Table15[[#This Row],[Total Amount]]&gt;=500,"Medium","Low")))</f>
        <v>Low</v>
      </c>
      <c r="M770" s="4" t="str" cm="1">
        <f t="array" ref="M77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70" s="4" cm="1">
        <f t="array" ref="N77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770" s="4">
        <f>Table15[[#This Row],[Total Amount]]-Table15[[#This Row],[Discount Amount]]</f>
        <v>102</v>
      </c>
    </row>
    <row r="771" spans="1:15" x14ac:dyDescent="0.35">
      <c r="A771" s="4">
        <v>770</v>
      </c>
      <c r="B771" s="5">
        <v>45221</v>
      </c>
      <c r="C771" s="4" t="s">
        <v>783</v>
      </c>
      <c r="D771" s="4" t="s">
        <v>10</v>
      </c>
      <c r="E771" s="4">
        <v>32</v>
      </c>
      <c r="F771" s="4" t="str">
        <f>IF(Table15[[#This Row],[Age]]&lt;=19,"Teenager",IF(Table15[[#This Row],[Age]]&lt;=40,"Median","Old"))</f>
        <v>Median</v>
      </c>
      <c r="G771" s="4" t="s">
        <v>14</v>
      </c>
      <c r="H771" s="4">
        <v>1</v>
      </c>
      <c r="I771" s="4">
        <v>50</v>
      </c>
      <c r="J771" s="4">
        <v>50</v>
      </c>
      <c r="K771" s="4" t="str" cm="1">
        <f t="array" ref="K771">_xlfn.IFS(AND(Table15[[#This Row],[Total Amount]]&gt;=1500),"Critical",AND(Table15[[#This Row],[Total Amount]]&gt;=1000),"High",TRUE,"Normal")</f>
        <v>Normal</v>
      </c>
      <c r="L771" s="4" t="str">
        <f>IF(Table15[[#This Row],[Total Amount]]&gt;=1000,"High",(IF(Table15[[#This Row],[Total Amount]]&gt;=500,"Medium","Low")))</f>
        <v>Low</v>
      </c>
      <c r="M771" s="4" t="str" cm="1">
        <f t="array" ref="M77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71" s="4" cm="1">
        <f t="array" ref="N77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771" s="4">
        <f>Table15[[#This Row],[Total Amount]]-Table15[[#This Row],[Discount Amount]]</f>
        <v>42.5</v>
      </c>
    </row>
    <row r="772" spans="1:15" x14ac:dyDescent="0.35">
      <c r="A772" s="4">
        <v>771</v>
      </c>
      <c r="B772" s="5">
        <v>45273</v>
      </c>
      <c r="C772" s="4" t="s">
        <v>784</v>
      </c>
      <c r="D772" s="4" t="s">
        <v>10</v>
      </c>
      <c r="E772" s="4">
        <v>24</v>
      </c>
      <c r="F772" s="4" t="str">
        <f>IF(Table15[[#This Row],[Age]]&lt;=19,"Teenager",IF(Table15[[#This Row],[Age]]&lt;=40,"Median","Old"))</f>
        <v>Median</v>
      </c>
      <c r="G772" s="4" t="s">
        <v>16</v>
      </c>
      <c r="H772" s="4">
        <v>2</v>
      </c>
      <c r="I772" s="4">
        <v>25</v>
      </c>
      <c r="J772" s="4">
        <v>50</v>
      </c>
      <c r="K772" s="4" t="str" cm="1">
        <f t="array" ref="K772">_xlfn.IFS(AND(Table15[[#This Row],[Total Amount]]&gt;=1500),"Critical",AND(Table15[[#This Row],[Total Amount]]&gt;=1000),"High",TRUE,"Normal")</f>
        <v>Normal</v>
      </c>
      <c r="L772" s="4" t="str">
        <f>IF(Table15[[#This Row],[Total Amount]]&gt;=1000,"High",(IF(Table15[[#This Row],[Total Amount]]&gt;=500,"Medium","Low")))</f>
        <v>Low</v>
      </c>
      <c r="M772" s="4" t="str" cm="1">
        <f t="array" ref="M77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772" s="4" cm="1">
        <f t="array" ref="N77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772" s="4">
        <f>Table15[[#This Row],[Total Amount]]-Table15[[#This Row],[Discount Amount]]</f>
        <v>50</v>
      </c>
    </row>
    <row r="773" spans="1:15" x14ac:dyDescent="0.35">
      <c r="A773" s="4">
        <v>772</v>
      </c>
      <c r="B773" s="5">
        <v>45119</v>
      </c>
      <c r="C773" s="4" t="s">
        <v>785</v>
      </c>
      <c r="D773" s="4" t="s">
        <v>10</v>
      </c>
      <c r="E773" s="4">
        <v>26</v>
      </c>
      <c r="F773" s="4" t="str">
        <f>IF(Table15[[#This Row],[Age]]&lt;=19,"Teenager",IF(Table15[[#This Row],[Age]]&lt;=40,"Median","Old"))</f>
        <v>Median</v>
      </c>
      <c r="G773" s="4" t="s">
        <v>16</v>
      </c>
      <c r="H773" s="4">
        <v>1</v>
      </c>
      <c r="I773" s="4">
        <v>30</v>
      </c>
      <c r="J773" s="4">
        <v>30</v>
      </c>
      <c r="K773" s="4" t="str" cm="1">
        <f t="array" ref="K773">_xlfn.IFS(AND(Table15[[#This Row],[Total Amount]]&gt;=1500),"Critical",AND(Table15[[#This Row],[Total Amount]]&gt;=1000),"High",TRUE,"Normal")</f>
        <v>Normal</v>
      </c>
      <c r="L773" s="4" t="str">
        <f>IF(Table15[[#This Row],[Total Amount]]&gt;=1000,"High",(IF(Table15[[#This Row],[Total Amount]]&gt;=500,"Medium","Low")))</f>
        <v>Low</v>
      </c>
      <c r="M773" s="4" t="str" cm="1">
        <f t="array" ref="M77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73" s="4" cm="1">
        <f t="array" ref="N77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4.5</v>
      </c>
      <c r="O773" s="4">
        <f>Table15[[#This Row],[Total Amount]]-Table15[[#This Row],[Discount Amount]]</f>
        <v>25.5</v>
      </c>
    </row>
    <row r="774" spans="1:15" x14ac:dyDescent="0.35">
      <c r="A774" s="4">
        <v>773</v>
      </c>
      <c r="B774" s="5">
        <v>45130</v>
      </c>
      <c r="C774" s="4" t="s">
        <v>786</v>
      </c>
      <c r="D774" s="4" t="s">
        <v>10</v>
      </c>
      <c r="E774" s="4">
        <v>25</v>
      </c>
      <c r="F774" s="4" t="str">
        <f>IF(Table15[[#This Row],[Age]]&lt;=19,"Teenager",IF(Table15[[#This Row],[Age]]&lt;=40,"Median","Old"))</f>
        <v>Median</v>
      </c>
      <c r="G774" s="4" t="s">
        <v>16</v>
      </c>
      <c r="H774" s="4">
        <v>4</v>
      </c>
      <c r="I774" s="4">
        <v>500</v>
      </c>
      <c r="J774" s="4">
        <v>2000</v>
      </c>
      <c r="K774" s="4" t="str" cm="1">
        <f t="array" ref="K774">_xlfn.IFS(AND(Table15[[#This Row],[Total Amount]]&gt;=1500),"Critical",AND(Table15[[#This Row],[Total Amount]]&gt;=1000),"High",TRUE,"Normal")</f>
        <v>Critical</v>
      </c>
      <c r="L774" s="4" t="str">
        <f>IF(Table15[[#This Row],[Total Amount]]&gt;=1000,"High",(IF(Table15[[#This Row],[Total Amount]]&gt;=500,"Medium","Low")))</f>
        <v>High</v>
      </c>
      <c r="M774" s="4" t="str" cm="1">
        <f t="array" ref="M77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74" s="4" cm="1">
        <f t="array" ref="N77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774" s="4">
        <f>Table15[[#This Row],[Total Amount]]-Table15[[#This Row],[Discount Amount]]</f>
        <v>1700</v>
      </c>
    </row>
    <row r="775" spans="1:15" x14ac:dyDescent="0.35">
      <c r="A775" s="4">
        <v>774</v>
      </c>
      <c r="B775" s="5">
        <v>45028</v>
      </c>
      <c r="C775" s="4" t="s">
        <v>787</v>
      </c>
      <c r="D775" s="4" t="s">
        <v>13</v>
      </c>
      <c r="E775" s="4">
        <v>40</v>
      </c>
      <c r="F775" s="4" t="str">
        <f>IF(Table15[[#This Row],[Age]]&lt;=19,"Teenager",IF(Table15[[#This Row],[Age]]&lt;=40,"Median","Old"))</f>
        <v>Median</v>
      </c>
      <c r="G775" s="4" t="s">
        <v>14</v>
      </c>
      <c r="H775" s="4">
        <v>2</v>
      </c>
      <c r="I775" s="4">
        <v>25</v>
      </c>
      <c r="J775" s="4">
        <v>50</v>
      </c>
      <c r="K775" s="4" t="str" cm="1">
        <f t="array" ref="K775">_xlfn.IFS(AND(Table15[[#This Row],[Total Amount]]&gt;=1500),"Critical",AND(Table15[[#This Row],[Total Amount]]&gt;=1000),"High",TRUE,"Normal")</f>
        <v>Normal</v>
      </c>
      <c r="L775" s="4" t="str">
        <f>IF(Table15[[#This Row],[Total Amount]]&gt;=1000,"High",(IF(Table15[[#This Row],[Total Amount]]&gt;=500,"Medium","Low")))</f>
        <v>Low</v>
      </c>
      <c r="M775" s="4" t="str" cm="1">
        <f t="array" ref="M77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75" s="4" cm="1">
        <f t="array" ref="N77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775" s="4">
        <f>Table15[[#This Row],[Total Amount]]-Table15[[#This Row],[Discount Amount]]</f>
        <v>40</v>
      </c>
    </row>
    <row r="776" spans="1:15" x14ac:dyDescent="0.35">
      <c r="A776" s="4">
        <v>775</v>
      </c>
      <c r="B776" s="5">
        <v>44965</v>
      </c>
      <c r="C776" s="4" t="s">
        <v>788</v>
      </c>
      <c r="D776" s="4" t="s">
        <v>13</v>
      </c>
      <c r="E776" s="4">
        <v>46</v>
      </c>
      <c r="F776" s="4" t="str">
        <f>IF(Table15[[#This Row],[Age]]&lt;=19,"Teenager",IF(Table15[[#This Row],[Age]]&lt;=40,"Median","Old"))</f>
        <v>Old</v>
      </c>
      <c r="G776" s="4" t="s">
        <v>16</v>
      </c>
      <c r="H776" s="4">
        <v>4</v>
      </c>
      <c r="I776" s="4">
        <v>25</v>
      </c>
      <c r="J776" s="4">
        <v>100</v>
      </c>
      <c r="K776" s="4" t="str" cm="1">
        <f t="array" ref="K776">_xlfn.IFS(AND(Table15[[#This Row],[Total Amount]]&gt;=1500),"Critical",AND(Table15[[#This Row],[Total Amount]]&gt;=1000),"High",TRUE,"Normal")</f>
        <v>Normal</v>
      </c>
      <c r="L776" s="4" t="str">
        <f>IF(Table15[[#This Row],[Total Amount]]&gt;=1000,"High",(IF(Table15[[#This Row],[Total Amount]]&gt;=500,"Medium","Low")))</f>
        <v>Low</v>
      </c>
      <c r="M776" s="4" t="str" cm="1">
        <f t="array" ref="M77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76" s="4" cm="1">
        <f t="array" ref="N77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776" s="4">
        <f>Table15[[#This Row],[Total Amount]]-Table15[[#This Row],[Discount Amount]]</f>
        <v>80</v>
      </c>
    </row>
    <row r="777" spans="1:15" x14ac:dyDescent="0.35">
      <c r="A777" s="4">
        <v>776</v>
      </c>
      <c r="B777" s="5">
        <v>45230</v>
      </c>
      <c r="C777" s="4" t="s">
        <v>789</v>
      </c>
      <c r="D777" s="4" t="s">
        <v>10</v>
      </c>
      <c r="E777" s="4">
        <v>35</v>
      </c>
      <c r="F777" s="4" t="str">
        <f>IF(Table15[[#This Row],[Age]]&lt;=19,"Teenager",IF(Table15[[#This Row],[Age]]&lt;=40,"Median","Old"))</f>
        <v>Median</v>
      </c>
      <c r="G777" s="4" t="s">
        <v>14</v>
      </c>
      <c r="H777" s="4">
        <v>3</v>
      </c>
      <c r="I777" s="4">
        <v>30</v>
      </c>
      <c r="J777" s="4">
        <v>90</v>
      </c>
      <c r="K777" s="4" t="str" cm="1">
        <f t="array" ref="K777">_xlfn.IFS(AND(Table15[[#This Row],[Total Amount]]&gt;=1500),"Critical",AND(Table15[[#This Row],[Total Amount]]&gt;=1000),"High",TRUE,"Normal")</f>
        <v>Normal</v>
      </c>
      <c r="L777" s="4" t="str">
        <f>IF(Table15[[#This Row],[Total Amount]]&gt;=1000,"High",(IF(Table15[[#This Row],[Total Amount]]&gt;=500,"Medium","Low")))</f>
        <v>Low</v>
      </c>
      <c r="M777" s="4" t="str" cm="1">
        <f t="array" ref="M77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77" s="4" cm="1">
        <f t="array" ref="N77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777" s="4">
        <f>Table15[[#This Row],[Total Amount]]-Table15[[#This Row],[Discount Amount]]</f>
        <v>81</v>
      </c>
    </row>
    <row r="778" spans="1:15" x14ac:dyDescent="0.35">
      <c r="A778" s="4">
        <v>777</v>
      </c>
      <c r="B778" s="5">
        <v>45280</v>
      </c>
      <c r="C778" s="4" t="s">
        <v>790</v>
      </c>
      <c r="D778" s="4" t="s">
        <v>10</v>
      </c>
      <c r="E778" s="4">
        <v>48</v>
      </c>
      <c r="F778" s="4" t="str">
        <f>IF(Table15[[#This Row],[Age]]&lt;=19,"Teenager",IF(Table15[[#This Row],[Age]]&lt;=40,"Median","Old"))</f>
        <v>Old</v>
      </c>
      <c r="G778" s="4" t="s">
        <v>16</v>
      </c>
      <c r="H778" s="4">
        <v>3</v>
      </c>
      <c r="I778" s="4">
        <v>50</v>
      </c>
      <c r="J778" s="4">
        <v>150</v>
      </c>
      <c r="K778" s="4" t="str" cm="1">
        <f t="array" ref="K778">_xlfn.IFS(AND(Table15[[#This Row],[Total Amount]]&gt;=1500),"Critical",AND(Table15[[#This Row],[Total Amount]]&gt;=1000),"High",TRUE,"Normal")</f>
        <v>Normal</v>
      </c>
      <c r="L778" s="4" t="str">
        <f>IF(Table15[[#This Row],[Total Amount]]&gt;=1000,"High",(IF(Table15[[#This Row],[Total Amount]]&gt;=500,"Medium","Low")))</f>
        <v>Low</v>
      </c>
      <c r="M778" s="4" t="str" cm="1">
        <f t="array" ref="M77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78" s="4" cm="1">
        <f t="array" ref="N77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778" s="4">
        <f>Table15[[#This Row],[Total Amount]]-Table15[[#This Row],[Discount Amount]]</f>
        <v>135</v>
      </c>
    </row>
    <row r="779" spans="1:15" x14ac:dyDescent="0.35">
      <c r="A779" s="4">
        <v>778</v>
      </c>
      <c r="B779" s="5">
        <v>45248</v>
      </c>
      <c r="C779" s="4" t="s">
        <v>791</v>
      </c>
      <c r="D779" s="4" t="s">
        <v>13</v>
      </c>
      <c r="E779" s="4">
        <v>47</v>
      </c>
      <c r="F779" s="4" t="str">
        <f>IF(Table15[[#This Row],[Age]]&lt;=19,"Teenager",IF(Table15[[#This Row],[Age]]&lt;=40,"Median","Old"))</f>
        <v>Old</v>
      </c>
      <c r="G779" s="4" t="s">
        <v>11</v>
      </c>
      <c r="H779" s="4">
        <v>4</v>
      </c>
      <c r="I779" s="4">
        <v>25</v>
      </c>
      <c r="J779" s="4">
        <v>100</v>
      </c>
      <c r="K779" s="4" t="str" cm="1">
        <f t="array" ref="K779">_xlfn.IFS(AND(Table15[[#This Row],[Total Amount]]&gt;=1500),"Critical",AND(Table15[[#This Row],[Total Amount]]&gt;=1000),"High",TRUE,"Normal")</f>
        <v>Normal</v>
      </c>
      <c r="L779" s="4" t="str">
        <f>IF(Table15[[#This Row],[Total Amount]]&gt;=1000,"High",(IF(Table15[[#This Row],[Total Amount]]&gt;=500,"Medium","Low")))</f>
        <v>Low</v>
      </c>
      <c r="M779" s="4" t="str" cm="1">
        <f t="array" ref="M77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79" s="4" cm="1">
        <f t="array" ref="N77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779" s="4">
        <f>Table15[[#This Row],[Total Amount]]-Table15[[#This Row],[Discount Amount]]</f>
        <v>80</v>
      </c>
    </row>
    <row r="780" spans="1:15" x14ac:dyDescent="0.35">
      <c r="A780" s="4">
        <v>779</v>
      </c>
      <c r="B780" s="5">
        <v>45051</v>
      </c>
      <c r="C780" s="4" t="s">
        <v>792</v>
      </c>
      <c r="D780" s="4" t="s">
        <v>13</v>
      </c>
      <c r="E780" s="4">
        <v>56</v>
      </c>
      <c r="F780" s="4" t="str">
        <f>IF(Table15[[#This Row],[Age]]&lt;=19,"Teenager",IF(Table15[[#This Row],[Age]]&lt;=40,"Median","Old"))</f>
        <v>Old</v>
      </c>
      <c r="G780" s="4" t="s">
        <v>16</v>
      </c>
      <c r="H780" s="4">
        <v>2</v>
      </c>
      <c r="I780" s="4">
        <v>500</v>
      </c>
      <c r="J780" s="4">
        <v>1000</v>
      </c>
      <c r="K780" s="4" t="str" cm="1">
        <f t="array" ref="K780">_xlfn.IFS(AND(Table15[[#This Row],[Total Amount]]&gt;=1500),"Critical",AND(Table15[[#This Row],[Total Amount]]&gt;=1000),"High",TRUE,"Normal")</f>
        <v>High</v>
      </c>
      <c r="L780" s="4" t="str">
        <f>IF(Table15[[#This Row],[Total Amount]]&gt;=1000,"High",(IF(Table15[[#This Row],[Total Amount]]&gt;=500,"Medium","Low")))</f>
        <v>High</v>
      </c>
      <c r="M780" s="4" t="str" cm="1">
        <f t="array" ref="M78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80" s="4" cm="1">
        <f t="array" ref="N78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780" s="4">
        <f>Table15[[#This Row],[Total Amount]]-Table15[[#This Row],[Discount Amount]]</f>
        <v>800</v>
      </c>
    </row>
    <row r="781" spans="1:15" x14ac:dyDescent="0.35">
      <c r="A781" s="4">
        <v>780</v>
      </c>
      <c r="B781" s="5">
        <v>44979</v>
      </c>
      <c r="C781" s="4" t="s">
        <v>793</v>
      </c>
      <c r="D781" s="4" t="s">
        <v>10</v>
      </c>
      <c r="E781" s="4">
        <v>52</v>
      </c>
      <c r="F781" s="4" t="str">
        <f>IF(Table15[[#This Row],[Age]]&lt;=19,"Teenager",IF(Table15[[#This Row],[Age]]&lt;=40,"Median","Old"))</f>
        <v>Old</v>
      </c>
      <c r="G781" s="4" t="s">
        <v>16</v>
      </c>
      <c r="H781" s="4">
        <v>2</v>
      </c>
      <c r="I781" s="4">
        <v>25</v>
      </c>
      <c r="J781" s="4">
        <v>50</v>
      </c>
      <c r="K781" s="4" t="str" cm="1">
        <f t="array" ref="K781">_xlfn.IFS(AND(Table15[[#This Row],[Total Amount]]&gt;=1500),"Critical",AND(Table15[[#This Row],[Total Amount]]&gt;=1000),"High",TRUE,"Normal")</f>
        <v>Normal</v>
      </c>
      <c r="L781" s="4" t="str">
        <f>IF(Table15[[#This Row],[Total Amount]]&gt;=1000,"High",(IF(Table15[[#This Row],[Total Amount]]&gt;=500,"Medium","Low")))</f>
        <v>Low</v>
      </c>
      <c r="M781" s="4" t="str" cm="1">
        <f t="array" ref="M78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81" s="4" cm="1">
        <f t="array" ref="N78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781" s="4">
        <f>Table15[[#This Row],[Total Amount]]-Table15[[#This Row],[Discount Amount]]</f>
        <v>45</v>
      </c>
    </row>
    <row r="782" spans="1:15" x14ac:dyDescent="0.35">
      <c r="A782" s="4">
        <v>781</v>
      </c>
      <c r="B782" s="5">
        <v>45283</v>
      </c>
      <c r="C782" s="4" t="s">
        <v>794</v>
      </c>
      <c r="D782" s="4" t="s">
        <v>10</v>
      </c>
      <c r="E782" s="4">
        <v>35</v>
      </c>
      <c r="F782" s="4" t="str">
        <f>IF(Table15[[#This Row],[Age]]&lt;=19,"Teenager",IF(Table15[[#This Row],[Age]]&lt;=40,"Median","Old"))</f>
        <v>Median</v>
      </c>
      <c r="G782" s="4" t="s">
        <v>11</v>
      </c>
      <c r="H782" s="4">
        <v>1</v>
      </c>
      <c r="I782" s="4">
        <v>500</v>
      </c>
      <c r="J782" s="4">
        <v>500</v>
      </c>
      <c r="K782" s="4" t="str" cm="1">
        <f t="array" ref="K782">_xlfn.IFS(AND(Table15[[#This Row],[Total Amount]]&gt;=1500),"Critical",AND(Table15[[#This Row],[Total Amount]]&gt;=1000),"High",TRUE,"Normal")</f>
        <v>Normal</v>
      </c>
      <c r="L782" s="4" t="str">
        <f>IF(Table15[[#This Row],[Total Amount]]&gt;=1000,"High",(IF(Table15[[#This Row],[Total Amount]]&gt;=500,"Medium","Low")))</f>
        <v>Medium</v>
      </c>
      <c r="M782" s="4" t="str" cm="1">
        <f t="array" ref="M78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82" s="4" cm="1">
        <f t="array" ref="N78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782" s="4">
        <f>Table15[[#This Row],[Total Amount]]-Table15[[#This Row],[Discount Amount]]</f>
        <v>450</v>
      </c>
    </row>
    <row r="783" spans="1:15" x14ac:dyDescent="0.35">
      <c r="A783" s="4">
        <v>782</v>
      </c>
      <c r="B783" s="5">
        <v>45081</v>
      </c>
      <c r="C783" s="4" t="s">
        <v>795</v>
      </c>
      <c r="D783" s="4" t="s">
        <v>10</v>
      </c>
      <c r="E783" s="4">
        <v>59</v>
      </c>
      <c r="F783" s="4" t="str">
        <f>IF(Table15[[#This Row],[Age]]&lt;=19,"Teenager",IF(Table15[[#This Row],[Age]]&lt;=40,"Median","Old"))</f>
        <v>Old</v>
      </c>
      <c r="G783" s="4" t="s">
        <v>14</v>
      </c>
      <c r="H783" s="4">
        <v>3</v>
      </c>
      <c r="I783" s="4">
        <v>300</v>
      </c>
      <c r="J783" s="4">
        <v>900</v>
      </c>
      <c r="K783" s="4" t="str" cm="1">
        <f t="array" ref="K783">_xlfn.IFS(AND(Table15[[#This Row],[Total Amount]]&gt;=1500),"Critical",AND(Table15[[#This Row],[Total Amount]]&gt;=1000),"High",TRUE,"Normal")</f>
        <v>Normal</v>
      </c>
      <c r="L783" s="4" t="str">
        <f>IF(Table15[[#This Row],[Total Amount]]&gt;=1000,"High",(IF(Table15[[#This Row],[Total Amount]]&gt;=500,"Medium","Low")))</f>
        <v>Medium</v>
      </c>
      <c r="M783" s="4" t="str" cm="1">
        <f t="array" ref="M78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83" s="4" cm="1">
        <f t="array" ref="N78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783" s="4">
        <f>Table15[[#This Row],[Total Amount]]-Table15[[#This Row],[Discount Amount]]</f>
        <v>810</v>
      </c>
    </row>
    <row r="784" spans="1:15" x14ac:dyDescent="0.35">
      <c r="A784" s="4">
        <v>783</v>
      </c>
      <c r="B784" s="5">
        <v>45277</v>
      </c>
      <c r="C784" s="4" t="s">
        <v>796</v>
      </c>
      <c r="D784" s="4" t="s">
        <v>13</v>
      </c>
      <c r="E784" s="4">
        <v>56</v>
      </c>
      <c r="F784" s="4" t="str">
        <f>IF(Table15[[#This Row],[Age]]&lt;=19,"Teenager",IF(Table15[[#This Row],[Age]]&lt;=40,"Median","Old"))</f>
        <v>Old</v>
      </c>
      <c r="G784" s="4" t="s">
        <v>14</v>
      </c>
      <c r="H784" s="4">
        <v>1</v>
      </c>
      <c r="I784" s="4">
        <v>300</v>
      </c>
      <c r="J784" s="4">
        <v>300</v>
      </c>
      <c r="K784" s="4" t="str" cm="1">
        <f t="array" ref="K784">_xlfn.IFS(AND(Table15[[#This Row],[Total Amount]]&gt;=1500),"Critical",AND(Table15[[#This Row],[Total Amount]]&gt;=1000),"High",TRUE,"Normal")</f>
        <v>Normal</v>
      </c>
      <c r="L784" s="4" t="str">
        <f>IF(Table15[[#This Row],[Total Amount]]&gt;=1000,"High",(IF(Table15[[#This Row],[Total Amount]]&gt;=500,"Medium","Low")))</f>
        <v>Low</v>
      </c>
      <c r="M784" s="4" t="str" cm="1">
        <f t="array" ref="M78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84" s="4" cm="1">
        <f t="array" ref="N78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784" s="4">
        <f>Table15[[#This Row],[Total Amount]]-Table15[[#This Row],[Discount Amount]]</f>
        <v>240</v>
      </c>
    </row>
    <row r="785" spans="1:15" x14ac:dyDescent="0.35">
      <c r="A785" s="4">
        <v>784</v>
      </c>
      <c r="B785" s="5">
        <v>45234</v>
      </c>
      <c r="C785" s="4" t="s">
        <v>797</v>
      </c>
      <c r="D785" s="4" t="s">
        <v>13</v>
      </c>
      <c r="E785" s="4">
        <v>34</v>
      </c>
      <c r="F785" s="4" t="str">
        <f>IF(Table15[[#This Row],[Age]]&lt;=19,"Teenager",IF(Table15[[#This Row],[Age]]&lt;=40,"Median","Old"))</f>
        <v>Median</v>
      </c>
      <c r="G785" s="4" t="s">
        <v>16</v>
      </c>
      <c r="H785" s="4">
        <v>1</v>
      </c>
      <c r="I785" s="4">
        <v>500</v>
      </c>
      <c r="J785" s="4">
        <v>500</v>
      </c>
      <c r="K785" s="4" t="str" cm="1">
        <f t="array" ref="K785">_xlfn.IFS(AND(Table15[[#This Row],[Total Amount]]&gt;=1500),"Critical",AND(Table15[[#This Row],[Total Amount]]&gt;=1000),"High",TRUE,"Normal")</f>
        <v>Normal</v>
      </c>
      <c r="L785" s="4" t="str">
        <f>IF(Table15[[#This Row],[Total Amount]]&gt;=1000,"High",(IF(Table15[[#This Row],[Total Amount]]&gt;=500,"Medium","Low")))</f>
        <v>Medium</v>
      </c>
      <c r="M785" s="4" t="str" cm="1">
        <f t="array" ref="M78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85" s="4" cm="1">
        <f t="array" ref="N78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785" s="4">
        <f>Table15[[#This Row],[Total Amount]]-Table15[[#This Row],[Discount Amount]]</f>
        <v>425</v>
      </c>
    </row>
    <row r="786" spans="1:15" x14ac:dyDescent="0.35">
      <c r="A786" s="4">
        <v>785</v>
      </c>
      <c r="B786" s="5">
        <v>44988</v>
      </c>
      <c r="C786" s="4" t="s">
        <v>798</v>
      </c>
      <c r="D786" s="4" t="s">
        <v>13</v>
      </c>
      <c r="E786" s="4">
        <v>31</v>
      </c>
      <c r="F786" s="4" t="str">
        <f>IF(Table15[[#This Row],[Age]]&lt;=19,"Teenager",IF(Table15[[#This Row],[Age]]&lt;=40,"Median","Old"))</f>
        <v>Median</v>
      </c>
      <c r="G786" s="4" t="s">
        <v>11</v>
      </c>
      <c r="H786" s="4">
        <v>4</v>
      </c>
      <c r="I786" s="4">
        <v>50</v>
      </c>
      <c r="J786" s="4">
        <v>200</v>
      </c>
      <c r="K786" s="4" t="str" cm="1">
        <f t="array" ref="K786">_xlfn.IFS(AND(Table15[[#This Row],[Total Amount]]&gt;=1500),"Critical",AND(Table15[[#This Row],[Total Amount]]&gt;=1000),"High",TRUE,"Normal")</f>
        <v>Normal</v>
      </c>
      <c r="L786" s="4" t="str">
        <f>IF(Table15[[#This Row],[Total Amount]]&gt;=1000,"High",(IF(Table15[[#This Row],[Total Amount]]&gt;=500,"Medium","Low")))</f>
        <v>Low</v>
      </c>
      <c r="M786" s="4" t="str" cm="1">
        <f t="array" ref="M78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86" s="4" cm="1">
        <f t="array" ref="N78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786" s="4">
        <f>Table15[[#This Row],[Total Amount]]-Table15[[#This Row],[Discount Amount]]</f>
        <v>170</v>
      </c>
    </row>
    <row r="787" spans="1:15" x14ac:dyDescent="0.35">
      <c r="A787" s="4">
        <v>786</v>
      </c>
      <c r="B787" s="5">
        <v>45216</v>
      </c>
      <c r="C787" s="4" t="s">
        <v>799</v>
      </c>
      <c r="D787" s="4" t="s">
        <v>10</v>
      </c>
      <c r="E787" s="4">
        <v>48</v>
      </c>
      <c r="F787" s="4" t="str">
        <f>IF(Table15[[#This Row],[Age]]&lt;=19,"Teenager",IF(Table15[[#This Row],[Age]]&lt;=40,"Median","Old"))</f>
        <v>Old</v>
      </c>
      <c r="G787" s="4" t="s">
        <v>14</v>
      </c>
      <c r="H787" s="4">
        <v>4</v>
      </c>
      <c r="I787" s="4">
        <v>25</v>
      </c>
      <c r="J787" s="4">
        <v>100</v>
      </c>
      <c r="K787" s="4" t="str" cm="1">
        <f t="array" ref="K787">_xlfn.IFS(AND(Table15[[#This Row],[Total Amount]]&gt;=1500),"Critical",AND(Table15[[#This Row],[Total Amount]]&gt;=1000),"High",TRUE,"Normal")</f>
        <v>Normal</v>
      </c>
      <c r="L787" s="4" t="str">
        <f>IF(Table15[[#This Row],[Total Amount]]&gt;=1000,"High",(IF(Table15[[#This Row],[Total Amount]]&gt;=500,"Medium","Low")))</f>
        <v>Low</v>
      </c>
      <c r="M787" s="4" t="str" cm="1">
        <f t="array" ref="M78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87" s="4" cm="1">
        <f t="array" ref="N78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787" s="4">
        <f>Table15[[#This Row],[Total Amount]]-Table15[[#This Row],[Discount Amount]]</f>
        <v>90</v>
      </c>
    </row>
    <row r="788" spans="1:15" x14ac:dyDescent="0.35">
      <c r="A788" s="4">
        <v>787</v>
      </c>
      <c r="B788" s="5">
        <v>44948</v>
      </c>
      <c r="C788" s="4" t="s">
        <v>800</v>
      </c>
      <c r="D788" s="4" t="s">
        <v>10</v>
      </c>
      <c r="E788" s="4">
        <v>41</v>
      </c>
      <c r="F788" s="4" t="str">
        <f>IF(Table15[[#This Row],[Age]]&lt;=19,"Teenager",IF(Table15[[#This Row],[Age]]&lt;=40,"Median","Old"))</f>
        <v>Old</v>
      </c>
      <c r="G788" s="4" t="s">
        <v>16</v>
      </c>
      <c r="H788" s="4">
        <v>1</v>
      </c>
      <c r="I788" s="4">
        <v>25</v>
      </c>
      <c r="J788" s="4">
        <v>25</v>
      </c>
      <c r="K788" s="4" t="str" cm="1">
        <f t="array" ref="K788">_xlfn.IFS(AND(Table15[[#This Row],[Total Amount]]&gt;=1500),"Critical",AND(Table15[[#This Row],[Total Amount]]&gt;=1000),"High",TRUE,"Normal")</f>
        <v>Normal</v>
      </c>
      <c r="L788" s="4" t="str">
        <f>IF(Table15[[#This Row],[Total Amount]]&gt;=1000,"High",(IF(Table15[[#This Row],[Total Amount]]&gt;=500,"Medium","Low")))</f>
        <v>Low</v>
      </c>
      <c r="M788" s="4" t="str" cm="1">
        <f t="array" ref="M78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88" s="4" cm="1">
        <f t="array" ref="N78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788" s="4">
        <f>Table15[[#This Row],[Total Amount]]-Table15[[#This Row],[Discount Amount]]</f>
        <v>22.5</v>
      </c>
    </row>
    <row r="789" spans="1:15" x14ac:dyDescent="0.35">
      <c r="A789" s="4">
        <v>788</v>
      </c>
      <c r="B789" s="5">
        <v>45104</v>
      </c>
      <c r="C789" s="4" t="s">
        <v>801</v>
      </c>
      <c r="D789" s="4" t="s">
        <v>13</v>
      </c>
      <c r="E789" s="4">
        <v>52</v>
      </c>
      <c r="F789" s="4" t="str">
        <f>IF(Table15[[#This Row],[Age]]&lt;=19,"Teenager",IF(Table15[[#This Row],[Age]]&lt;=40,"Median","Old"))</f>
        <v>Old</v>
      </c>
      <c r="G789" s="4" t="s">
        <v>11</v>
      </c>
      <c r="H789" s="4">
        <v>3</v>
      </c>
      <c r="I789" s="4">
        <v>300</v>
      </c>
      <c r="J789" s="4">
        <v>900</v>
      </c>
      <c r="K789" s="4" t="str" cm="1">
        <f t="array" ref="K789">_xlfn.IFS(AND(Table15[[#This Row],[Total Amount]]&gt;=1500),"Critical",AND(Table15[[#This Row],[Total Amount]]&gt;=1000),"High",TRUE,"Normal")</f>
        <v>Normal</v>
      </c>
      <c r="L789" s="4" t="str">
        <f>IF(Table15[[#This Row],[Total Amount]]&gt;=1000,"High",(IF(Table15[[#This Row],[Total Amount]]&gt;=500,"Medium","Low")))</f>
        <v>Medium</v>
      </c>
      <c r="M789" s="4" t="str" cm="1">
        <f t="array" ref="M78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89" s="4" cm="1">
        <f t="array" ref="N78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789" s="4">
        <f>Table15[[#This Row],[Total Amount]]-Table15[[#This Row],[Discount Amount]]</f>
        <v>720</v>
      </c>
    </row>
    <row r="790" spans="1:15" x14ac:dyDescent="0.35">
      <c r="A790" s="4">
        <v>789</v>
      </c>
      <c r="B790" s="5">
        <v>45199</v>
      </c>
      <c r="C790" s="4" t="s">
        <v>802</v>
      </c>
      <c r="D790" s="4" t="s">
        <v>13</v>
      </c>
      <c r="E790" s="4">
        <v>61</v>
      </c>
      <c r="F790" s="4" t="str">
        <f>IF(Table15[[#This Row],[Age]]&lt;=19,"Teenager",IF(Table15[[#This Row],[Age]]&lt;=40,"Median","Old"))</f>
        <v>Old</v>
      </c>
      <c r="G790" s="4" t="s">
        <v>14</v>
      </c>
      <c r="H790" s="4">
        <v>4</v>
      </c>
      <c r="I790" s="4">
        <v>500</v>
      </c>
      <c r="J790" s="4">
        <v>2000</v>
      </c>
      <c r="K790" s="4" t="str" cm="1">
        <f t="array" ref="K790">_xlfn.IFS(AND(Table15[[#This Row],[Total Amount]]&gt;=1500),"Critical",AND(Table15[[#This Row],[Total Amount]]&gt;=1000),"High",TRUE,"Normal")</f>
        <v>Critical</v>
      </c>
      <c r="L790" s="4" t="str">
        <f>IF(Table15[[#This Row],[Total Amount]]&gt;=1000,"High",(IF(Table15[[#This Row],[Total Amount]]&gt;=500,"Medium","Low")))</f>
        <v>High</v>
      </c>
      <c r="M790" s="4" t="str" cm="1">
        <f t="array" ref="M79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90" s="4" cm="1">
        <f t="array" ref="N79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790" s="4">
        <f>Table15[[#This Row],[Total Amount]]-Table15[[#This Row],[Discount Amount]]</f>
        <v>1600</v>
      </c>
    </row>
    <row r="791" spans="1:15" x14ac:dyDescent="0.35">
      <c r="A791" s="4">
        <v>790</v>
      </c>
      <c r="B791" s="5">
        <v>45146</v>
      </c>
      <c r="C791" s="4" t="s">
        <v>803</v>
      </c>
      <c r="D791" s="4" t="s">
        <v>10</v>
      </c>
      <c r="E791" s="4">
        <v>62</v>
      </c>
      <c r="F791" s="4" t="str">
        <f>IF(Table15[[#This Row],[Age]]&lt;=19,"Teenager",IF(Table15[[#This Row],[Age]]&lt;=40,"Median","Old"))</f>
        <v>Old</v>
      </c>
      <c r="G791" s="4" t="s">
        <v>14</v>
      </c>
      <c r="H791" s="4">
        <v>1</v>
      </c>
      <c r="I791" s="4">
        <v>25</v>
      </c>
      <c r="J791" s="4">
        <v>25</v>
      </c>
      <c r="K791" s="4" t="str" cm="1">
        <f t="array" ref="K791">_xlfn.IFS(AND(Table15[[#This Row],[Total Amount]]&gt;=1500),"Critical",AND(Table15[[#This Row],[Total Amount]]&gt;=1000),"High",TRUE,"Normal")</f>
        <v>Normal</v>
      </c>
      <c r="L791" s="4" t="str">
        <f>IF(Table15[[#This Row],[Total Amount]]&gt;=1000,"High",(IF(Table15[[#This Row],[Total Amount]]&gt;=500,"Medium","Low")))</f>
        <v>Low</v>
      </c>
      <c r="M791" s="4" t="str" cm="1">
        <f t="array" ref="M79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91" s="4" cm="1">
        <f t="array" ref="N79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791" s="4">
        <f>Table15[[#This Row],[Total Amount]]-Table15[[#This Row],[Discount Amount]]</f>
        <v>22.5</v>
      </c>
    </row>
    <row r="792" spans="1:15" x14ac:dyDescent="0.35">
      <c r="A792" s="4">
        <v>791</v>
      </c>
      <c r="B792" s="5">
        <v>45265</v>
      </c>
      <c r="C792" s="4" t="s">
        <v>804</v>
      </c>
      <c r="D792" s="4" t="s">
        <v>13</v>
      </c>
      <c r="E792" s="4">
        <v>51</v>
      </c>
      <c r="F792" s="4" t="str">
        <f>IF(Table15[[#This Row],[Age]]&lt;=19,"Teenager",IF(Table15[[#This Row],[Age]]&lt;=40,"Median","Old"))</f>
        <v>Old</v>
      </c>
      <c r="G792" s="4" t="s">
        <v>11</v>
      </c>
      <c r="H792" s="4">
        <v>1</v>
      </c>
      <c r="I792" s="4">
        <v>25</v>
      </c>
      <c r="J792" s="4">
        <v>25</v>
      </c>
      <c r="K792" s="4" t="str" cm="1">
        <f t="array" ref="K792">_xlfn.IFS(AND(Table15[[#This Row],[Total Amount]]&gt;=1500),"Critical",AND(Table15[[#This Row],[Total Amount]]&gt;=1000),"High",TRUE,"Normal")</f>
        <v>Normal</v>
      </c>
      <c r="L792" s="4" t="str">
        <f>IF(Table15[[#This Row],[Total Amount]]&gt;=1000,"High",(IF(Table15[[#This Row],[Total Amount]]&gt;=500,"Medium","Low")))</f>
        <v>Low</v>
      </c>
      <c r="M792" s="4" t="str" cm="1">
        <f t="array" ref="M79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92" s="4" cm="1">
        <f t="array" ref="N79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792" s="4">
        <f>Table15[[#This Row],[Total Amount]]-Table15[[#This Row],[Discount Amount]]</f>
        <v>20</v>
      </c>
    </row>
    <row r="793" spans="1:15" x14ac:dyDescent="0.35">
      <c r="A793" s="4">
        <v>792</v>
      </c>
      <c r="B793" s="5">
        <v>45116</v>
      </c>
      <c r="C793" s="4" t="s">
        <v>805</v>
      </c>
      <c r="D793" s="4" t="s">
        <v>13</v>
      </c>
      <c r="E793" s="4">
        <v>20</v>
      </c>
      <c r="F793" s="4" t="str">
        <f>IF(Table15[[#This Row],[Age]]&lt;=19,"Teenager",IF(Table15[[#This Row],[Age]]&lt;=40,"Median","Old"))</f>
        <v>Median</v>
      </c>
      <c r="G793" s="4" t="s">
        <v>11</v>
      </c>
      <c r="H793" s="4">
        <v>1</v>
      </c>
      <c r="I793" s="4">
        <v>50</v>
      </c>
      <c r="J793" s="4">
        <v>50</v>
      </c>
      <c r="K793" s="4" t="str" cm="1">
        <f t="array" ref="K793">_xlfn.IFS(AND(Table15[[#This Row],[Total Amount]]&gt;=1500),"Critical",AND(Table15[[#This Row],[Total Amount]]&gt;=1000),"High",TRUE,"Normal")</f>
        <v>Normal</v>
      </c>
      <c r="L793" s="4" t="str">
        <f>IF(Table15[[#This Row],[Total Amount]]&gt;=1000,"High",(IF(Table15[[#This Row],[Total Amount]]&gt;=500,"Medium","Low")))</f>
        <v>Low</v>
      </c>
      <c r="M793" s="4" t="str" cm="1">
        <f t="array" ref="M79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793" s="4" cm="1">
        <f t="array" ref="N79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793" s="4">
        <f>Table15[[#This Row],[Total Amount]]-Table15[[#This Row],[Discount Amount]]</f>
        <v>50</v>
      </c>
    </row>
    <row r="794" spans="1:15" x14ac:dyDescent="0.35">
      <c r="A794" s="4">
        <v>793</v>
      </c>
      <c r="B794" s="5">
        <v>44962</v>
      </c>
      <c r="C794" s="4" t="s">
        <v>806</v>
      </c>
      <c r="D794" s="4" t="s">
        <v>10</v>
      </c>
      <c r="E794" s="4">
        <v>54</v>
      </c>
      <c r="F794" s="4" t="str">
        <f>IF(Table15[[#This Row],[Age]]&lt;=19,"Teenager",IF(Table15[[#This Row],[Age]]&lt;=40,"Median","Old"))</f>
        <v>Old</v>
      </c>
      <c r="G794" s="4" t="s">
        <v>11</v>
      </c>
      <c r="H794" s="4">
        <v>1</v>
      </c>
      <c r="I794" s="4">
        <v>30</v>
      </c>
      <c r="J794" s="4">
        <v>30</v>
      </c>
      <c r="K794" s="4" t="str" cm="1">
        <f t="array" ref="K794">_xlfn.IFS(AND(Table15[[#This Row],[Total Amount]]&gt;=1500),"Critical",AND(Table15[[#This Row],[Total Amount]]&gt;=1000),"High",TRUE,"Normal")</f>
        <v>Normal</v>
      </c>
      <c r="L794" s="4" t="str">
        <f>IF(Table15[[#This Row],[Total Amount]]&gt;=1000,"High",(IF(Table15[[#This Row],[Total Amount]]&gt;=500,"Medium","Low")))</f>
        <v>Low</v>
      </c>
      <c r="M794" s="4" t="str" cm="1">
        <f t="array" ref="M79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94" s="4" cm="1">
        <f t="array" ref="N79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794" s="4">
        <f>Table15[[#This Row],[Total Amount]]-Table15[[#This Row],[Discount Amount]]</f>
        <v>27</v>
      </c>
    </row>
    <row r="795" spans="1:15" x14ac:dyDescent="0.35">
      <c r="A795" s="4">
        <v>794</v>
      </c>
      <c r="B795" s="5">
        <v>45186</v>
      </c>
      <c r="C795" s="4" t="s">
        <v>807</v>
      </c>
      <c r="D795" s="4" t="s">
        <v>13</v>
      </c>
      <c r="E795" s="4">
        <v>60</v>
      </c>
      <c r="F795" s="4" t="str">
        <f>IF(Table15[[#This Row],[Age]]&lt;=19,"Teenager",IF(Table15[[#This Row],[Age]]&lt;=40,"Median","Old"))</f>
        <v>Old</v>
      </c>
      <c r="G795" s="4" t="s">
        <v>11</v>
      </c>
      <c r="H795" s="4">
        <v>1</v>
      </c>
      <c r="I795" s="4">
        <v>300</v>
      </c>
      <c r="J795" s="4">
        <v>300</v>
      </c>
      <c r="K795" s="4" t="str" cm="1">
        <f t="array" ref="K795">_xlfn.IFS(AND(Table15[[#This Row],[Total Amount]]&gt;=1500),"Critical",AND(Table15[[#This Row],[Total Amount]]&gt;=1000),"High",TRUE,"Normal")</f>
        <v>Normal</v>
      </c>
      <c r="L795" s="4" t="str">
        <f>IF(Table15[[#This Row],[Total Amount]]&gt;=1000,"High",(IF(Table15[[#This Row],[Total Amount]]&gt;=500,"Medium","Low")))</f>
        <v>Low</v>
      </c>
      <c r="M795" s="4" t="str" cm="1">
        <f t="array" ref="M79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95" s="4" cm="1">
        <f t="array" ref="N79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795" s="4">
        <f>Table15[[#This Row],[Total Amount]]-Table15[[#This Row],[Discount Amount]]</f>
        <v>240</v>
      </c>
    </row>
    <row r="796" spans="1:15" x14ac:dyDescent="0.35">
      <c r="A796" s="4">
        <v>795</v>
      </c>
      <c r="B796" s="5">
        <v>45258</v>
      </c>
      <c r="C796" s="4" t="s">
        <v>808</v>
      </c>
      <c r="D796" s="4" t="s">
        <v>10</v>
      </c>
      <c r="E796" s="4">
        <v>57</v>
      </c>
      <c r="F796" s="4" t="str">
        <f>IF(Table15[[#This Row],[Age]]&lt;=19,"Teenager",IF(Table15[[#This Row],[Age]]&lt;=40,"Median","Old"))</f>
        <v>Old</v>
      </c>
      <c r="G796" s="4" t="s">
        <v>16</v>
      </c>
      <c r="H796" s="4">
        <v>1</v>
      </c>
      <c r="I796" s="4">
        <v>300</v>
      </c>
      <c r="J796" s="4">
        <v>300</v>
      </c>
      <c r="K796" s="4" t="str" cm="1">
        <f t="array" ref="K796">_xlfn.IFS(AND(Table15[[#This Row],[Total Amount]]&gt;=1500),"Critical",AND(Table15[[#This Row],[Total Amount]]&gt;=1000),"High",TRUE,"Normal")</f>
        <v>Normal</v>
      </c>
      <c r="L796" s="4" t="str">
        <f>IF(Table15[[#This Row],[Total Amount]]&gt;=1000,"High",(IF(Table15[[#This Row],[Total Amount]]&gt;=500,"Medium","Low")))</f>
        <v>Low</v>
      </c>
      <c r="M796" s="4" t="str" cm="1">
        <f t="array" ref="M79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96" s="4" cm="1">
        <f t="array" ref="N79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796" s="4">
        <f>Table15[[#This Row],[Total Amount]]-Table15[[#This Row],[Discount Amount]]</f>
        <v>270</v>
      </c>
    </row>
    <row r="797" spans="1:15" x14ac:dyDescent="0.35">
      <c r="A797" s="4">
        <v>796</v>
      </c>
      <c r="B797" s="5">
        <v>45101</v>
      </c>
      <c r="C797" s="4" t="s">
        <v>809</v>
      </c>
      <c r="D797" s="4" t="s">
        <v>10</v>
      </c>
      <c r="E797" s="4">
        <v>43</v>
      </c>
      <c r="F797" s="4" t="str">
        <f>IF(Table15[[#This Row],[Age]]&lt;=19,"Teenager",IF(Table15[[#This Row],[Age]]&lt;=40,"Median","Old"))</f>
        <v>Old</v>
      </c>
      <c r="G797" s="4" t="s">
        <v>11</v>
      </c>
      <c r="H797" s="4">
        <v>4</v>
      </c>
      <c r="I797" s="4">
        <v>30</v>
      </c>
      <c r="J797" s="4">
        <v>120</v>
      </c>
      <c r="K797" s="4" t="str" cm="1">
        <f t="array" ref="K797">_xlfn.IFS(AND(Table15[[#This Row],[Total Amount]]&gt;=1500),"Critical",AND(Table15[[#This Row],[Total Amount]]&gt;=1000),"High",TRUE,"Normal")</f>
        <v>Normal</v>
      </c>
      <c r="L797" s="4" t="str">
        <f>IF(Table15[[#This Row],[Total Amount]]&gt;=1000,"High",(IF(Table15[[#This Row],[Total Amount]]&gt;=500,"Medium","Low")))</f>
        <v>Low</v>
      </c>
      <c r="M797" s="4" t="str" cm="1">
        <f t="array" ref="M79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97" s="4" cm="1">
        <f t="array" ref="N79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797" s="4">
        <f>Table15[[#This Row],[Total Amount]]-Table15[[#This Row],[Discount Amount]]</f>
        <v>108</v>
      </c>
    </row>
    <row r="798" spans="1:15" x14ac:dyDescent="0.35">
      <c r="A798" s="4">
        <v>797</v>
      </c>
      <c r="B798" s="5">
        <v>44933</v>
      </c>
      <c r="C798" s="4" t="s">
        <v>810</v>
      </c>
      <c r="D798" s="4" t="s">
        <v>10</v>
      </c>
      <c r="E798" s="4">
        <v>40</v>
      </c>
      <c r="F798" s="4" t="str">
        <f>IF(Table15[[#This Row],[Age]]&lt;=19,"Teenager",IF(Table15[[#This Row],[Age]]&lt;=40,"Median","Old"))</f>
        <v>Median</v>
      </c>
      <c r="G798" s="4" t="s">
        <v>14</v>
      </c>
      <c r="H798" s="4">
        <v>3</v>
      </c>
      <c r="I798" s="4">
        <v>25</v>
      </c>
      <c r="J798" s="4">
        <v>75</v>
      </c>
      <c r="K798" s="4" t="str" cm="1">
        <f t="array" ref="K798">_xlfn.IFS(AND(Table15[[#This Row],[Total Amount]]&gt;=1500),"Critical",AND(Table15[[#This Row],[Total Amount]]&gt;=1000),"High",TRUE,"Normal")</f>
        <v>Normal</v>
      </c>
      <c r="L798" s="4" t="str">
        <f>IF(Table15[[#This Row],[Total Amount]]&gt;=1000,"High",(IF(Table15[[#This Row],[Total Amount]]&gt;=500,"Medium","Low")))</f>
        <v>Low</v>
      </c>
      <c r="M798" s="4" t="str" cm="1">
        <f t="array" ref="M79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98" s="4" cm="1">
        <f t="array" ref="N79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798" s="4">
        <f>Table15[[#This Row],[Total Amount]]-Table15[[#This Row],[Discount Amount]]</f>
        <v>67.5</v>
      </c>
    </row>
    <row r="799" spans="1:15" x14ac:dyDescent="0.35">
      <c r="A799" s="4">
        <v>798</v>
      </c>
      <c r="B799" s="5">
        <v>45142</v>
      </c>
      <c r="C799" s="4" t="s">
        <v>811</v>
      </c>
      <c r="D799" s="4" t="s">
        <v>10</v>
      </c>
      <c r="E799" s="4">
        <v>61</v>
      </c>
      <c r="F799" s="4" t="str">
        <f>IF(Table15[[#This Row],[Age]]&lt;=19,"Teenager",IF(Table15[[#This Row],[Age]]&lt;=40,"Median","Old"))</f>
        <v>Old</v>
      </c>
      <c r="G799" s="4" t="s">
        <v>14</v>
      </c>
      <c r="H799" s="4">
        <v>1</v>
      </c>
      <c r="I799" s="4">
        <v>50</v>
      </c>
      <c r="J799" s="4">
        <v>50</v>
      </c>
      <c r="K799" s="4" t="str" cm="1">
        <f t="array" ref="K799">_xlfn.IFS(AND(Table15[[#This Row],[Total Amount]]&gt;=1500),"Critical",AND(Table15[[#This Row],[Total Amount]]&gt;=1000),"High",TRUE,"Normal")</f>
        <v>Normal</v>
      </c>
      <c r="L799" s="4" t="str">
        <f>IF(Table15[[#This Row],[Total Amount]]&gt;=1000,"High",(IF(Table15[[#This Row],[Total Amount]]&gt;=500,"Medium","Low")))</f>
        <v>Low</v>
      </c>
      <c r="M799" s="4" t="str" cm="1">
        <f t="array" ref="M79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99" s="4" cm="1">
        <f t="array" ref="N79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799" s="4">
        <f>Table15[[#This Row],[Total Amount]]-Table15[[#This Row],[Discount Amount]]</f>
        <v>45</v>
      </c>
    </row>
    <row r="800" spans="1:15" x14ac:dyDescent="0.35">
      <c r="A800" s="4">
        <v>799</v>
      </c>
      <c r="B800" s="5">
        <v>45177</v>
      </c>
      <c r="C800" s="4" t="s">
        <v>812</v>
      </c>
      <c r="D800" s="4" t="s">
        <v>10</v>
      </c>
      <c r="E800" s="4">
        <v>56</v>
      </c>
      <c r="F800" s="4" t="str">
        <f>IF(Table15[[#This Row],[Age]]&lt;=19,"Teenager",IF(Table15[[#This Row],[Age]]&lt;=40,"Median","Old"))</f>
        <v>Old</v>
      </c>
      <c r="G800" s="4" t="s">
        <v>16</v>
      </c>
      <c r="H800" s="4">
        <v>2</v>
      </c>
      <c r="I800" s="4">
        <v>50</v>
      </c>
      <c r="J800" s="4">
        <v>100</v>
      </c>
      <c r="K800" s="4" t="str" cm="1">
        <f t="array" ref="K800">_xlfn.IFS(AND(Table15[[#This Row],[Total Amount]]&gt;=1500),"Critical",AND(Table15[[#This Row],[Total Amount]]&gt;=1000),"High",TRUE,"Normal")</f>
        <v>Normal</v>
      </c>
      <c r="L800" s="4" t="str">
        <f>IF(Table15[[#This Row],[Total Amount]]&gt;=1000,"High",(IF(Table15[[#This Row],[Total Amount]]&gt;=500,"Medium","Low")))</f>
        <v>Low</v>
      </c>
      <c r="M800" s="4" t="str" cm="1">
        <f t="array" ref="M80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00" s="4" cm="1">
        <f t="array" ref="N80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800" s="4">
        <f>Table15[[#This Row],[Total Amount]]-Table15[[#This Row],[Discount Amount]]</f>
        <v>90</v>
      </c>
    </row>
    <row r="801" spans="1:15" x14ac:dyDescent="0.35">
      <c r="A801" s="4">
        <v>800</v>
      </c>
      <c r="B801" s="5">
        <v>44981</v>
      </c>
      <c r="C801" s="4" t="s">
        <v>813</v>
      </c>
      <c r="D801" s="4" t="s">
        <v>10</v>
      </c>
      <c r="E801" s="4">
        <v>32</v>
      </c>
      <c r="F801" s="4" t="str">
        <f>IF(Table15[[#This Row],[Age]]&lt;=19,"Teenager",IF(Table15[[#This Row],[Age]]&lt;=40,"Median","Old"))</f>
        <v>Median</v>
      </c>
      <c r="G801" s="4" t="s">
        <v>14</v>
      </c>
      <c r="H801" s="4">
        <v>4</v>
      </c>
      <c r="I801" s="4">
        <v>300</v>
      </c>
      <c r="J801" s="4">
        <v>1200</v>
      </c>
      <c r="K801" s="4" t="str" cm="1">
        <f t="array" ref="K801">_xlfn.IFS(AND(Table15[[#This Row],[Total Amount]]&gt;=1500),"Critical",AND(Table15[[#This Row],[Total Amount]]&gt;=1000),"High",TRUE,"Normal")</f>
        <v>High</v>
      </c>
      <c r="L801" s="4" t="str">
        <f>IF(Table15[[#This Row],[Total Amount]]&gt;=1000,"High",(IF(Table15[[#This Row],[Total Amount]]&gt;=500,"Medium","Low")))</f>
        <v>High</v>
      </c>
      <c r="M801" s="4" t="str" cm="1">
        <f t="array" ref="M80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01" s="4" cm="1">
        <f t="array" ref="N80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801" s="4">
        <f>Table15[[#This Row],[Total Amount]]-Table15[[#This Row],[Discount Amount]]</f>
        <v>1020</v>
      </c>
    </row>
    <row r="802" spans="1:15" x14ac:dyDescent="0.35">
      <c r="A802" s="4">
        <v>801</v>
      </c>
      <c r="B802" s="5">
        <v>45148</v>
      </c>
      <c r="C802" s="4" t="s">
        <v>814</v>
      </c>
      <c r="D802" s="4" t="s">
        <v>10</v>
      </c>
      <c r="E802" s="4">
        <v>21</v>
      </c>
      <c r="F802" s="4" t="str">
        <f>IF(Table15[[#This Row],[Age]]&lt;=19,"Teenager",IF(Table15[[#This Row],[Age]]&lt;=40,"Median","Old"))</f>
        <v>Median</v>
      </c>
      <c r="G802" s="4" t="s">
        <v>14</v>
      </c>
      <c r="H802" s="4">
        <v>4</v>
      </c>
      <c r="I802" s="4">
        <v>50</v>
      </c>
      <c r="J802" s="4">
        <v>200</v>
      </c>
      <c r="K802" s="4" t="str" cm="1">
        <f t="array" ref="K802">_xlfn.IFS(AND(Table15[[#This Row],[Total Amount]]&gt;=1500),"Critical",AND(Table15[[#This Row],[Total Amount]]&gt;=1000),"High",TRUE,"Normal")</f>
        <v>Normal</v>
      </c>
      <c r="L802" s="4" t="str">
        <f>IF(Table15[[#This Row],[Total Amount]]&gt;=1000,"High",(IF(Table15[[#This Row],[Total Amount]]&gt;=500,"Medium","Low")))</f>
        <v>Low</v>
      </c>
      <c r="M802" s="4" t="str" cm="1">
        <f t="array" ref="M80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02" s="4" cm="1">
        <f t="array" ref="N80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02" s="4">
        <f>Table15[[#This Row],[Total Amount]]-Table15[[#This Row],[Discount Amount]]</f>
        <v>200</v>
      </c>
    </row>
    <row r="803" spans="1:15" x14ac:dyDescent="0.35">
      <c r="A803" s="4">
        <v>802</v>
      </c>
      <c r="B803" s="5">
        <v>45112</v>
      </c>
      <c r="C803" s="4" t="s">
        <v>815</v>
      </c>
      <c r="D803" s="4" t="s">
        <v>13</v>
      </c>
      <c r="E803" s="4">
        <v>46</v>
      </c>
      <c r="F803" s="4" t="str">
        <f>IF(Table15[[#This Row],[Age]]&lt;=19,"Teenager",IF(Table15[[#This Row],[Age]]&lt;=40,"Median","Old"))</f>
        <v>Old</v>
      </c>
      <c r="G803" s="4" t="s">
        <v>11</v>
      </c>
      <c r="H803" s="4">
        <v>1</v>
      </c>
      <c r="I803" s="4">
        <v>30</v>
      </c>
      <c r="J803" s="4">
        <v>30</v>
      </c>
      <c r="K803" s="4" t="str" cm="1">
        <f t="array" ref="K803">_xlfn.IFS(AND(Table15[[#This Row],[Total Amount]]&gt;=1500),"Critical",AND(Table15[[#This Row],[Total Amount]]&gt;=1000),"High",TRUE,"Normal")</f>
        <v>Normal</v>
      </c>
      <c r="L803" s="4" t="str">
        <f>IF(Table15[[#This Row],[Total Amount]]&gt;=1000,"High",(IF(Table15[[#This Row],[Total Amount]]&gt;=500,"Medium","Low")))</f>
        <v>Low</v>
      </c>
      <c r="M803" s="4" t="str" cm="1">
        <f t="array" ref="M80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03" s="4" cm="1">
        <f t="array" ref="N80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803" s="4">
        <f>Table15[[#This Row],[Total Amount]]-Table15[[#This Row],[Discount Amount]]</f>
        <v>24</v>
      </c>
    </row>
    <row r="804" spans="1:15" x14ac:dyDescent="0.35">
      <c r="A804" s="4">
        <v>803</v>
      </c>
      <c r="B804" s="5">
        <v>45252</v>
      </c>
      <c r="C804" s="4" t="s">
        <v>816</v>
      </c>
      <c r="D804" s="4" t="s">
        <v>10</v>
      </c>
      <c r="E804" s="4">
        <v>39</v>
      </c>
      <c r="F804" s="4" t="str">
        <f>IF(Table15[[#This Row],[Age]]&lt;=19,"Teenager",IF(Table15[[#This Row],[Age]]&lt;=40,"Median","Old"))</f>
        <v>Median</v>
      </c>
      <c r="G804" s="4" t="s">
        <v>14</v>
      </c>
      <c r="H804" s="4">
        <v>4</v>
      </c>
      <c r="I804" s="4">
        <v>25</v>
      </c>
      <c r="J804" s="4">
        <v>100</v>
      </c>
      <c r="K804" s="4" t="str" cm="1">
        <f t="array" ref="K804">_xlfn.IFS(AND(Table15[[#This Row],[Total Amount]]&gt;=1500),"Critical",AND(Table15[[#This Row],[Total Amount]]&gt;=1000),"High",TRUE,"Normal")</f>
        <v>Normal</v>
      </c>
      <c r="L804" s="4" t="str">
        <f>IF(Table15[[#This Row],[Total Amount]]&gt;=1000,"High",(IF(Table15[[#This Row],[Total Amount]]&gt;=500,"Medium","Low")))</f>
        <v>Low</v>
      </c>
      <c r="M804" s="4" t="str" cm="1">
        <f t="array" ref="M80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04" s="4" cm="1">
        <f t="array" ref="N80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804" s="4">
        <f>Table15[[#This Row],[Total Amount]]-Table15[[#This Row],[Discount Amount]]</f>
        <v>90</v>
      </c>
    </row>
    <row r="805" spans="1:15" x14ac:dyDescent="0.35">
      <c r="A805" s="4">
        <v>804</v>
      </c>
      <c r="B805" s="5">
        <v>45162</v>
      </c>
      <c r="C805" s="4" t="s">
        <v>817</v>
      </c>
      <c r="D805" s="4" t="s">
        <v>10</v>
      </c>
      <c r="E805" s="4">
        <v>42</v>
      </c>
      <c r="F805" s="4" t="str">
        <f>IF(Table15[[#This Row],[Age]]&lt;=19,"Teenager",IF(Table15[[#This Row],[Age]]&lt;=40,"Median","Old"))</f>
        <v>Old</v>
      </c>
      <c r="G805" s="4" t="s">
        <v>16</v>
      </c>
      <c r="H805" s="4">
        <v>1</v>
      </c>
      <c r="I805" s="4">
        <v>30</v>
      </c>
      <c r="J805" s="4">
        <v>30</v>
      </c>
      <c r="K805" s="4" t="str" cm="1">
        <f t="array" ref="K805">_xlfn.IFS(AND(Table15[[#This Row],[Total Amount]]&gt;=1500),"Critical",AND(Table15[[#This Row],[Total Amount]]&gt;=1000),"High",TRUE,"Normal")</f>
        <v>Normal</v>
      </c>
      <c r="L805" s="4" t="str">
        <f>IF(Table15[[#This Row],[Total Amount]]&gt;=1000,"High",(IF(Table15[[#This Row],[Total Amount]]&gt;=500,"Medium","Low")))</f>
        <v>Low</v>
      </c>
      <c r="M805" s="4" t="str" cm="1">
        <f t="array" ref="M80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05" s="4" cm="1">
        <f t="array" ref="N80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805" s="4">
        <f>Table15[[#This Row],[Total Amount]]-Table15[[#This Row],[Discount Amount]]</f>
        <v>27</v>
      </c>
    </row>
    <row r="806" spans="1:15" x14ac:dyDescent="0.35">
      <c r="A806" s="4">
        <v>805</v>
      </c>
      <c r="B806" s="5">
        <v>45289</v>
      </c>
      <c r="C806" s="4" t="s">
        <v>818</v>
      </c>
      <c r="D806" s="4" t="s">
        <v>13</v>
      </c>
      <c r="E806" s="4">
        <v>30</v>
      </c>
      <c r="F806" s="4" t="str">
        <f>IF(Table15[[#This Row],[Age]]&lt;=19,"Teenager",IF(Table15[[#This Row],[Age]]&lt;=40,"Median","Old"))</f>
        <v>Median</v>
      </c>
      <c r="G806" s="4" t="s">
        <v>11</v>
      </c>
      <c r="H806" s="4">
        <v>3</v>
      </c>
      <c r="I806" s="4">
        <v>500</v>
      </c>
      <c r="J806" s="4">
        <v>1500</v>
      </c>
      <c r="K806" s="4" t="str" cm="1">
        <f t="array" ref="K806">_xlfn.IFS(AND(Table15[[#This Row],[Total Amount]]&gt;=1500),"Critical",AND(Table15[[#This Row],[Total Amount]]&gt;=1000),"High",TRUE,"Normal")</f>
        <v>Critical</v>
      </c>
      <c r="L806" s="4" t="str">
        <f>IF(Table15[[#This Row],[Total Amount]]&gt;=1000,"High",(IF(Table15[[#This Row],[Total Amount]]&gt;=500,"Medium","Low")))</f>
        <v>High</v>
      </c>
      <c r="M806" s="4" t="str" cm="1">
        <f t="array" ref="M80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06" s="4" cm="1">
        <f t="array" ref="N80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225</v>
      </c>
      <c r="O806" s="4">
        <f>Table15[[#This Row],[Total Amount]]-Table15[[#This Row],[Discount Amount]]</f>
        <v>1275</v>
      </c>
    </row>
    <row r="807" spans="1:15" x14ac:dyDescent="0.35">
      <c r="A807" s="4">
        <v>806</v>
      </c>
      <c r="B807" s="5">
        <v>45005</v>
      </c>
      <c r="C807" s="4" t="s">
        <v>819</v>
      </c>
      <c r="D807" s="4" t="s">
        <v>13</v>
      </c>
      <c r="E807" s="4">
        <v>35</v>
      </c>
      <c r="F807" s="4" t="str">
        <f>IF(Table15[[#This Row],[Age]]&lt;=19,"Teenager",IF(Table15[[#This Row],[Age]]&lt;=40,"Median","Old"))</f>
        <v>Median</v>
      </c>
      <c r="G807" s="4" t="s">
        <v>11</v>
      </c>
      <c r="H807" s="4">
        <v>3</v>
      </c>
      <c r="I807" s="4">
        <v>300</v>
      </c>
      <c r="J807" s="4">
        <v>900</v>
      </c>
      <c r="K807" s="4" t="str" cm="1">
        <f t="array" ref="K807">_xlfn.IFS(AND(Table15[[#This Row],[Total Amount]]&gt;=1500),"Critical",AND(Table15[[#This Row],[Total Amount]]&gt;=1000),"High",TRUE,"Normal")</f>
        <v>Normal</v>
      </c>
      <c r="L807" s="4" t="str">
        <f>IF(Table15[[#This Row],[Total Amount]]&gt;=1000,"High",(IF(Table15[[#This Row],[Total Amount]]&gt;=500,"Medium","Low")))</f>
        <v>Medium</v>
      </c>
      <c r="M807" s="4" t="str" cm="1">
        <f t="array" ref="M80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07" s="4" cm="1">
        <f t="array" ref="N80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807" s="4">
        <f>Table15[[#This Row],[Total Amount]]-Table15[[#This Row],[Discount Amount]]</f>
        <v>720</v>
      </c>
    </row>
    <row r="808" spans="1:15" x14ac:dyDescent="0.35">
      <c r="A808" s="4">
        <v>807</v>
      </c>
      <c r="B808" s="5">
        <v>45149</v>
      </c>
      <c r="C808" s="4" t="s">
        <v>820</v>
      </c>
      <c r="D808" s="4" t="s">
        <v>13</v>
      </c>
      <c r="E808" s="4">
        <v>50</v>
      </c>
      <c r="F808" s="4" t="str">
        <f>IF(Table15[[#This Row],[Age]]&lt;=19,"Teenager",IF(Table15[[#This Row],[Age]]&lt;=40,"Median","Old"))</f>
        <v>Old</v>
      </c>
      <c r="G808" s="4" t="s">
        <v>16</v>
      </c>
      <c r="H808" s="4">
        <v>4</v>
      </c>
      <c r="I808" s="4">
        <v>50</v>
      </c>
      <c r="J808" s="4">
        <v>200</v>
      </c>
      <c r="K808" s="4" t="str" cm="1">
        <f t="array" ref="K808">_xlfn.IFS(AND(Table15[[#This Row],[Total Amount]]&gt;=1500),"Critical",AND(Table15[[#This Row],[Total Amount]]&gt;=1000),"High",TRUE,"Normal")</f>
        <v>Normal</v>
      </c>
      <c r="L808" s="4" t="str">
        <f>IF(Table15[[#This Row],[Total Amount]]&gt;=1000,"High",(IF(Table15[[#This Row],[Total Amount]]&gt;=500,"Medium","Low")))</f>
        <v>Low</v>
      </c>
      <c r="M808" s="4" t="str" cm="1">
        <f t="array" ref="M80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08" s="4" cm="1">
        <f t="array" ref="N80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808" s="4">
        <f>Table15[[#This Row],[Total Amount]]-Table15[[#This Row],[Discount Amount]]</f>
        <v>160</v>
      </c>
    </row>
    <row r="809" spans="1:15" x14ac:dyDescent="0.35">
      <c r="A809" s="4">
        <v>808</v>
      </c>
      <c r="B809" s="5">
        <v>45017</v>
      </c>
      <c r="C809" s="4" t="s">
        <v>821</v>
      </c>
      <c r="D809" s="4" t="s">
        <v>10</v>
      </c>
      <c r="E809" s="4">
        <v>33</v>
      </c>
      <c r="F809" s="4" t="str">
        <f>IF(Table15[[#This Row],[Age]]&lt;=19,"Teenager",IF(Table15[[#This Row],[Age]]&lt;=40,"Median","Old"))</f>
        <v>Median</v>
      </c>
      <c r="G809" s="4" t="s">
        <v>11</v>
      </c>
      <c r="H809" s="4">
        <v>4</v>
      </c>
      <c r="I809" s="4">
        <v>500</v>
      </c>
      <c r="J809" s="4">
        <v>2000</v>
      </c>
      <c r="K809" s="4" t="str" cm="1">
        <f t="array" ref="K809">_xlfn.IFS(AND(Table15[[#This Row],[Total Amount]]&gt;=1500),"Critical",AND(Table15[[#This Row],[Total Amount]]&gt;=1000),"High",TRUE,"Normal")</f>
        <v>Critical</v>
      </c>
      <c r="L809" s="4" t="str">
        <f>IF(Table15[[#This Row],[Total Amount]]&gt;=1000,"High",(IF(Table15[[#This Row],[Total Amount]]&gt;=500,"Medium","Low")))</f>
        <v>High</v>
      </c>
      <c r="M809" s="4" t="str" cm="1">
        <f t="array" ref="M80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09" s="4" cm="1">
        <f t="array" ref="N80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809" s="4">
        <f>Table15[[#This Row],[Total Amount]]-Table15[[#This Row],[Discount Amount]]</f>
        <v>1700</v>
      </c>
    </row>
    <row r="810" spans="1:15" x14ac:dyDescent="0.35">
      <c r="A810" s="4">
        <v>809</v>
      </c>
      <c r="B810" s="5">
        <v>45194</v>
      </c>
      <c r="C810" s="4" t="s">
        <v>822</v>
      </c>
      <c r="D810" s="4" t="s">
        <v>13</v>
      </c>
      <c r="E810" s="4">
        <v>62</v>
      </c>
      <c r="F810" s="4" t="str">
        <f>IF(Table15[[#This Row],[Age]]&lt;=19,"Teenager",IF(Table15[[#This Row],[Age]]&lt;=40,"Median","Old"))</f>
        <v>Old</v>
      </c>
      <c r="G810" s="4" t="s">
        <v>11</v>
      </c>
      <c r="H810" s="4">
        <v>2</v>
      </c>
      <c r="I810" s="4">
        <v>50</v>
      </c>
      <c r="J810" s="4">
        <v>100</v>
      </c>
      <c r="K810" s="4" t="str" cm="1">
        <f t="array" ref="K810">_xlfn.IFS(AND(Table15[[#This Row],[Total Amount]]&gt;=1500),"Critical",AND(Table15[[#This Row],[Total Amount]]&gt;=1000),"High",TRUE,"Normal")</f>
        <v>Normal</v>
      </c>
      <c r="L810" s="4" t="str">
        <f>IF(Table15[[#This Row],[Total Amount]]&gt;=1000,"High",(IF(Table15[[#This Row],[Total Amount]]&gt;=500,"Medium","Low")))</f>
        <v>Low</v>
      </c>
      <c r="M810" s="4" t="str" cm="1">
        <f t="array" ref="M81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10" s="4" cm="1">
        <f t="array" ref="N81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810" s="4">
        <f>Table15[[#This Row],[Total Amount]]-Table15[[#This Row],[Discount Amount]]</f>
        <v>80</v>
      </c>
    </row>
    <row r="811" spans="1:15" x14ac:dyDescent="0.35">
      <c r="A811" s="4">
        <v>810</v>
      </c>
      <c r="B811" s="5">
        <v>45260</v>
      </c>
      <c r="C811" s="4" t="s">
        <v>823</v>
      </c>
      <c r="D811" s="4" t="s">
        <v>10</v>
      </c>
      <c r="E811" s="4">
        <v>59</v>
      </c>
      <c r="F811" s="4" t="str">
        <f>IF(Table15[[#This Row],[Age]]&lt;=19,"Teenager",IF(Table15[[#This Row],[Age]]&lt;=40,"Median","Old"))</f>
        <v>Old</v>
      </c>
      <c r="G811" s="4" t="s">
        <v>16</v>
      </c>
      <c r="H811" s="4">
        <v>4</v>
      </c>
      <c r="I811" s="4">
        <v>25</v>
      </c>
      <c r="J811" s="4">
        <v>100</v>
      </c>
      <c r="K811" s="4" t="str" cm="1">
        <f t="array" ref="K811">_xlfn.IFS(AND(Table15[[#This Row],[Total Amount]]&gt;=1500),"Critical",AND(Table15[[#This Row],[Total Amount]]&gt;=1000),"High",TRUE,"Normal")</f>
        <v>Normal</v>
      </c>
      <c r="L811" s="4" t="str">
        <f>IF(Table15[[#This Row],[Total Amount]]&gt;=1000,"High",(IF(Table15[[#This Row],[Total Amount]]&gt;=500,"Medium","Low")))</f>
        <v>Low</v>
      </c>
      <c r="M811" s="4" t="str" cm="1">
        <f t="array" ref="M81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11" s="4" cm="1">
        <f t="array" ref="N81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811" s="4">
        <f>Table15[[#This Row],[Total Amount]]-Table15[[#This Row],[Discount Amount]]</f>
        <v>90</v>
      </c>
    </row>
    <row r="812" spans="1:15" x14ac:dyDescent="0.35">
      <c r="A812" s="4">
        <v>811</v>
      </c>
      <c r="B812" s="5">
        <v>45065</v>
      </c>
      <c r="C812" s="4" t="s">
        <v>824</v>
      </c>
      <c r="D812" s="4" t="s">
        <v>10</v>
      </c>
      <c r="E812" s="4">
        <v>61</v>
      </c>
      <c r="F812" s="4" t="str">
        <f>IF(Table15[[#This Row],[Age]]&lt;=19,"Teenager",IF(Table15[[#This Row],[Age]]&lt;=40,"Median","Old"))</f>
        <v>Old</v>
      </c>
      <c r="G812" s="4" t="s">
        <v>11</v>
      </c>
      <c r="H812" s="4">
        <v>2</v>
      </c>
      <c r="I812" s="4">
        <v>25</v>
      </c>
      <c r="J812" s="4">
        <v>50</v>
      </c>
      <c r="K812" s="4" t="str" cm="1">
        <f t="array" ref="K812">_xlfn.IFS(AND(Table15[[#This Row],[Total Amount]]&gt;=1500),"Critical",AND(Table15[[#This Row],[Total Amount]]&gt;=1000),"High",TRUE,"Normal")</f>
        <v>Normal</v>
      </c>
      <c r="L812" s="4" t="str">
        <f>IF(Table15[[#This Row],[Total Amount]]&gt;=1000,"High",(IF(Table15[[#This Row],[Total Amount]]&gt;=500,"Medium","Low")))</f>
        <v>Low</v>
      </c>
      <c r="M812" s="4" t="str" cm="1">
        <f t="array" ref="M81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12" s="4" cm="1">
        <f t="array" ref="N81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812" s="4">
        <f>Table15[[#This Row],[Total Amount]]-Table15[[#This Row],[Discount Amount]]</f>
        <v>45</v>
      </c>
    </row>
    <row r="813" spans="1:15" x14ac:dyDescent="0.35">
      <c r="A813" s="4">
        <v>812</v>
      </c>
      <c r="B813" s="5">
        <v>45242</v>
      </c>
      <c r="C813" s="4" t="s">
        <v>825</v>
      </c>
      <c r="D813" s="4" t="s">
        <v>10</v>
      </c>
      <c r="E813" s="4">
        <v>19</v>
      </c>
      <c r="F813" s="4" t="str">
        <f>IF(Table15[[#This Row],[Age]]&lt;=19,"Teenager",IF(Table15[[#This Row],[Age]]&lt;=40,"Median","Old"))</f>
        <v>Teenager</v>
      </c>
      <c r="G813" s="4" t="s">
        <v>16</v>
      </c>
      <c r="H813" s="4">
        <v>3</v>
      </c>
      <c r="I813" s="4">
        <v>25</v>
      </c>
      <c r="J813" s="4">
        <v>75</v>
      </c>
      <c r="K813" s="4" t="str" cm="1">
        <f t="array" ref="K813">_xlfn.IFS(AND(Table15[[#This Row],[Total Amount]]&gt;=1500),"Critical",AND(Table15[[#This Row],[Total Amount]]&gt;=1000),"High",TRUE,"Normal")</f>
        <v>Normal</v>
      </c>
      <c r="L813" s="4" t="str">
        <f>IF(Table15[[#This Row],[Total Amount]]&gt;=1000,"High",(IF(Table15[[#This Row],[Total Amount]]&gt;=500,"Medium","Low")))</f>
        <v>Low</v>
      </c>
      <c r="M813" s="4" t="str" cm="1">
        <f t="array" ref="M81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13" s="4" cm="1">
        <f t="array" ref="N81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13" s="4">
        <f>Table15[[#This Row],[Total Amount]]-Table15[[#This Row],[Discount Amount]]</f>
        <v>75</v>
      </c>
    </row>
    <row r="814" spans="1:15" x14ac:dyDescent="0.35">
      <c r="A814" s="4">
        <v>813</v>
      </c>
      <c r="B814" s="5">
        <v>45202</v>
      </c>
      <c r="C814" s="4" t="s">
        <v>826</v>
      </c>
      <c r="D814" s="4" t="s">
        <v>10</v>
      </c>
      <c r="E814" s="4">
        <v>52</v>
      </c>
      <c r="F814" s="4" t="str">
        <f>IF(Table15[[#This Row],[Age]]&lt;=19,"Teenager",IF(Table15[[#This Row],[Age]]&lt;=40,"Median","Old"))</f>
        <v>Old</v>
      </c>
      <c r="G814" s="4" t="s">
        <v>16</v>
      </c>
      <c r="H814" s="4">
        <v>3</v>
      </c>
      <c r="I814" s="4">
        <v>50</v>
      </c>
      <c r="J814" s="4">
        <v>150</v>
      </c>
      <c r="K814" s="4" t="str" cm="1">
        <f t="array" ref="K814">_xlfn.IFS(AND(Table15[[#This Row],[Total Amount]]&gt;=1500),"Critical",AND(Table15[[#This Row],[Total Amount]]&gt;=1000),"High",TRUE,"Normal")</f>
        <v>Normal</v>
      </c>
      <c r="L814" s="4" t="str">
        <f>IF(Table15[[#This Row],[Total Amount]]&gt;=1000,"High",(IF(Table15[[#This Row],[Total Amount]]&gt;=500,"Medium","Low")))</f>
        <v>Low</v>
      </c>
      <c r="M814" s="4" t="str" cm="1">
        <f t="array" ref="M81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14" s="4" cm="1">
        <f t="array" ref="N81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814" s="4">
        <f>Table15[[#This Row],[Total Amount]]-Table15[[#This Row],[Discount Amount]]</f>
        <v>135</v>
      </c>
    </row>
    <row r="815" spans="1:15" x14ac:dyDescent="0.35">
      <c r="A815" s="4">
        <v>814</v>
      </c>
      <c r="B815" s="5">
        <v>45174</v>
      </c>
      <c r="C815" s="4" t="s">
        <v>827</v>
      </c>
      <c r="D815" s="4" t="s">
        <v>13</v>
      </c>
      <c r="E815" s="4">
        <v>59</v>
      </c>
      <c r="F815" s="4" t="str">
        <f>IF(Table15[[#This Row],[Age]]&lt;=19,"Teenager",IF(Table15[[#This Row],[Age]]&lt;=40,"Median","Old"))</f>
        <v>Old</v>
      </c>
      <c r="G815" s="4" t="s">
        <v>14</v>
      </c>
      <c r="H815" s="4">
        <v>1</v>
      </c>
      <c r="I815" s="4">
        <v>500</v>
      </c>
      <c r="J815" s="4">
        <v>500</v>
      </c>
      <c r="K815" s="4" t="str" cm="1">
        <f t="array" ref="K815">_xlfn.IFS(AND(Table15[[#This Row],[Total Amount]]&gt;=1500),"Critical",AND(Table15[[#This Row],[Total Amount]]&gt;=1000),"High",TRUE,"Normal")</f>
        <v>Normal</v>
      </c>
      <c r="L815" s="4" t="str">
        <f>IF(Table15[[#This Row],[Total Amount]]&gt;=1000,"High",(IF(Table15[[#This Row],[Total Amount]]&gt;=500,"Medium","Low")))</f>
        <v>Medium</v>
      </c>
      <c r="M815" s="4" t="str" cm="1">
        <f t="array" ref="M81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15" s="4" cm="1">
        <f t="array" ref="N81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815" s="4">
        <f>Table15[[#This Row],[Total Amount]]-Table15[[#This Row],[Discount Amount]]</f>
        <v>400</v>
      </c>
    </row>
    <row r="816" spans="1:15" x14ac:dyDescent="0.35">
      <c r="A816" s="4">
        <v>815</v>
      </c>
      <c r="B816" s="5">
        <v>45165</v>
      </c>
      <c r="C816" s="4" t="s">
        <v>828</v>
      </c>
      <c r="D816" s="4" t="s">
        <v>13</v>
      </c>
      <c r="E816" s="4">
        <v>51</v>
      </c>
      <c r="F816" s="4" t="str">
        <f>IF(Table15[[#This Row],[Age]]&lt;=19,"Teenager",IF(Table15[[#This Row],[Age]]&lt;=40,"Median","Old"))</f>
        <v>Old</v>
      </c>
      <c r="G816" s="4" t="s">
        <v>14</v>
      </c>
      <c r="H816" s="4">
        <v>3</v>
      </c>
      <c r="I816" s="4">
        <v>25</v>
      </c>
      <c r="J816" s="4">
        <v>75</v>
      </c>
      <c r="K816" s="4" t="str" cm="1">
        <f t="array" ref="K816">_xlfn.IFS(AND(Table15[[#This Row],[Total Amount]]&gt;=1500),"Critical",AND(Table15[[#This Row],[Total Amount]]&gt;=1000),"High",TRUE,"Normal")</f>
        <v>Normal</v>
      </c>
      <c r="L816" s="4" t="str">
        <f>IF(Table15[[#This Row],[Total Amount]]&gt;=1000,"High",(IF(Table15[[#This Row],[Total Amount]]&gt;=500,"Medium","Low")))</f>
        <v>Low</v>
      </c>
      <c r="M816" s="4" t="str" cm="1">
        <f t="array" ref="M81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16" s="4" cm="1">
        <f t="array" ref="N81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816" s="4">
        <f>Table15[[#This Row],[Total Amount]]-Table15[[#This Row],[Discount Amount]]</f>
        <v>60</v>
      </c>
    </row>
    <row r="817" spans="1:15" x14ac:dyDescent="0.35">
      <c r="A817" s="4">
        <v>816</v>
      </c>
      <c r="B817" s="5">
        <v>45150</v>
      </c>
      <c r="C817" s="4" t="s">
        <v>829</v>
      </c>
      <c r="D817" s="4" t="s">
        <v>10</v>
      </c>
      <c r="E817" s="4">
        <v>47</v>
      </c>
      <c r="F817" s="4" t="str">
        <f>IF(Table15[[#This Row],[Age]]&lt;=19,"Teenager",IF(Table15[[#This Row],[Age]]&lt;=40,"Median","Old"))</f>
        <v>Old</v>
      </c>
      <c r="G817" s="4" t="s">
        <v>11</v>
      </c>
      <c r="H817" s="4">
        <v>2</v>
      </c>
      <c r="I817" s="4">
        <v>500</v>
      </c>
      <c r="J817" s="4">
        <v>1000</v>
      </c>
      <c r="K817" s="4" t="str" cm="1">
        <f t="array" ref="K817">_xlfn.IFS(AND(Table15[[#This Row],[Total Amount]]&gt;=1500),"Critical",AND(Table15[[#This Row],[Total Amount]]&gt;=1000),"High",TRUE,"Normal")</f>
        <v>High</v>
      </c>
      <c r="L817" s="4" t="str">
        <f>IF(Table15[[#This Row],[Total Amount]]&gt;=1000,"High",(IF(Table15[[#This Row],[Total Amount]]&gt;=500,"Medium","Low")))</f>
        <v>High</v>
      </c>
      <c r="M817" s="4" t="str" cm="1">
        <f t="array" ref="M81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17" s="4" cm="1">
        <f t="array" ref="N81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817" s="4">
        <f>Table15[[#This Row],[Total Amount]]-Table15[[#This Row],[Discount Amount]]</f>
        <v>900</v>
      </c>
    </row>
    <row r="818" spans="1:15" x14ac:dyDescent="0.35">
      <c r="A818" s="4">
        <v>817</v>
      </c>
      <c r="B818" s="5">
        <v>45230</v>
      </c>
      <c r="C818" s="4" t="s">
        <v>830</v>
      </c>
      <c r="D818" s="4" t="s">
        <v>10</v>
      </c>
      <c r="E818" s="4">
        <v>30</v>
      </c>
      <c r="F818" s="4" t="str">
        <f>IF(Table15[[#This Row],[Age]]&lt;=19,"Teenager",IF(Table15[[#This Row],[Age]]&lt;=40,"Median","Old"))</f>
        <v>Median</v>
      </c>
      <c r="G818" s="4" t="s">
        <v>11</v>
      </c>
      <c r="H818" s="4">
        <v>4</v>
      </c>
      <c r="I818" s="4">
        <v>50</v>
      </c>
      <c r="J818" s="4">
        <v>200</v>
      </c>
      <c r="K818" s="4" t="str" cm="1">
        <f t="array" ref="K818">_xlfn.IFS(AND(Table15[[#This Row],[Total Amount]]&gt;=1500),"Critical",AND(Table15[[#This Row],[Total Amount]]&gt;=1000),"High",TRUE,"Normal")</f>
        <v>Normal</v>
      </c>
      <c r="L818" s="4" t="str">
        <f>IF(Table15[[#This Row],[Total Amount]]&gt;=1000,"High",(IF(Table15[[#This Row],[Total Amount]]&gt;=500,"Medium","Low")))</f>
        <v>Low</v>
      </c>
      <c r="M818" s="4" t="str" cm="1">
        <f t="array" ref="M81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18" s="4" cm="1">
        <f t="array" ref="N81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818" s="4">
        <f>Table15[[#This Row],[Total Amount]]-Table15[[#This Row],[Discount Amount]]</f>
        <v>170</v>
      </c>
    </row>
    <row r="819" spans="1:15" x14ac:dyDescent="0.35">
      <c r="A819" s="4">
        <v>818</v>
      </c>
      <c r="B819" s="5">
        <v>45064</v>
      </c>
      <c r="C819" s="4" t="s">
        <v>831</v>
      </c>
      <c r="D819" s="4" t="s">
        <v>10</v>
      </c>
      <c r="E819" s="4">
        <v>30</v>
      </c>
      <c r="F819" s="4" t="str">
        <f>IF(Table15[[#This Row],[Age]]&lt;=19,"Teenager",IF(Table15[[#This Row],[Age]]&lt;=40,"Median","Old"))</f>
        <v>Median</v>
      </c>
      <c r="G819" s="4" t="s">
        <v>16</v>
      </c>
      <c r="H819" s="4">
        <v>1</v>
      </c>
      <c r="I819" s="4">
        <v>500</v>
      </c>
      <c r="J819" s="4">
        <v>500</v>
      </c>
      <c r="K819" s="4" t="str" cm="1">
        <f t="array" ref="K819">_xlfn.IFS(AND(Table15[[#This Row],[Total Amount]]&gt;=1500),"Critical",AND(Table15[[#This Row],[Total Amount]]&gt;=1000),"High",TRUE,"Normal")</f>
        <v>Normal</v>
      </c>
      <c r="L819" s="4" t="str">
        <f>IF(Table15[[#This Row],[Total Amount]]&gt;=1000,"High",(IF(Table15[[#This Row],[Total Amount]]&gt;=500,"Medium","Low")))</f>
        <v>Medium</v>
      </c>
      <c r="M819" s="4" t="str" cm="1">
        <f t="array" ref="M81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19" s="4" cm="1">
        <f t="array" ref="N81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819" s="4">
        <f>Table15[[#This Row],[Total Amount]]-Table15[[#This Row],[Discount Amount]]</f>
        <v>425</v>
      </c>
    </row>
    <row r="820" spans="1:15" x14ac:dyDescent="0.35">
      <c r="A820" s="4">
        <v>819</v>
      </c>
      <c r="B820" s="5">
        <v>45092</v>
      </c>
      <c r="C820" s="4" t="s">
        <v>832</v>
      </c>
      <c r="D820" s="4" t="s">
        <v>13</v>
      </c>
      <c r="E820" s="4">
        <v>35</v>
      </c>
      <c r="F820" s="4" t="str">
        <f>IF(Table15[[#This Row],[Age]]&lt;=19,"Teenager",IF(Table15[[#This Row],[Age]]&lt;=40,"Median","Old"))</f>
        <v>Median</v>
      </c>
      <c r="G820" s="4" t="s">
        <v>11</v>
      </c>
      <c r="H820" s="4">
        <v>2</v>
      </c>
      <c r="I820" s="4">
        <v>50</v>
      </c>
      <c r="J820" s="4">
        <v>100</v>
      </c>
      <c r="K820" s="4" t="str" cm="1">
        <f t="array" ref="K820">_xlfn.IFS(AND(Table15[[#This Row],[Total Amount]]&gt;=1500),"Critical",AND(Table15[[#This Row],[Total Amount]]&gt;=1000),"High",TRUE,"Normal")</f>
        <v>Normal</v>
      </c>
      <c r="L820" s="4" t="str">
        <f>IF(Table15[[#This Row],[Total Amount]]&gt;=1000,"High",(IF(Table15[[#This Row],[Total Amount]]&gt;=500,"Medium","Low")))</f>
        <v>Low</v>
      </c>
      <c r="M820" s="4" t="str" cm="1">
        <f t="array" ref="M82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20" s="4" cm="1">
        <f t="array" ref="N82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820" s="4">
        <f>Table15[[#This Row],[Total Amount]]-Table15[[#This Row],[Discount Amount]]</f>
        <v>80</v>
      </c>
    </row>
    <row r="821" spans="1:15" x14ac:dyDescent="0.35">
      <c r="A821" s="4">
        <v>820</v>
      </c>
      <c r="B821" s="5">
        <v>45052</v>
      </c>
      <c r="C821" s="4" t="s">
        <v>833</v>
      </c>
      <c r="D821" s="4" t="s">
        <v>10</v>
      </c>
      <c r="E821" s="4">
        <v>49</v>
      </c>
      <c r="F821" s="4" t="str">
        <f>IF(Table15[[#This Row],[Age]]&lt;=19,"Teenager",IF(Table15[[#This Row],[Age]]&lt;=40,"Median","Old"))</f>
        <v>Old</v>
      </c>
      <c r="G821" s="4" t="s">
        <v>16</v>
      </c>
      <c r="H821" s="4">
        <v>4</v>
      </c>
      <c r="I821" s="4">
        <v>50</v>
      </c>
      <c r="J821" s="4">
        <v>200</v>
      </c>
      <c r="K821" s="4" t="str" cm="1">
        <f t="array" ref="K821">_xlfn.IFS(AND(Table15[[#This Row],[Total Amount]]&gt;=1500),"Critical",AND(Table15[[#This Row],[Total Amount]]&gt;=1000),"High",TRUE,"Normal")</f>
        <v>Normal</v>
      </c>
      <c r="L821" s="4" t="str">
        <f>IF(Table15[[#This Row],[Total Amount]]&gt;=1000,"High",(IF(Table15[[#This Row],[Total Amount]]&gt;=500,"Medium","Low")))</f>
        <v>Low</v>
      </c>
      <c r="M821" s="4" t="str" cm="1">
        <f t="array" ref="M82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21" s="4" cm="1">
        <f t="array" ref="N82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821" s="4">
        <f>Table15[[#This Row],[Total Amount]]-Table15[[#This Row],[Discount Amount]]</f>
        <v>180</v>
      </c>
    </row>
    <row r="822" spans="1:15" x14ac:dyDescent="0.35">
      <c r="A822" s="4">
        <v>821</v>
      </c>
      <c r="B822" s="5">
        <v>44971</v>
      </c>
      <c r="C822" s="4" t="s">
        <v>834</v>
      </c>
      <c r="D822" s="4" t="s">
        <v>10</v>
      </c>
      <c r="E822" s="4">
        <v>49</v>
      </c>
      <c r="F822" s="4" t="str">
        <f>IF(Table15[[#This Row],[Age]]&lt;=19,"Teenager",IF(Table15[[#This Row],[Age]]&lt;=40,"Median","Old"))</f>
        <v>Old</v>
      </c>
      <c r="G822" s="4" t="s">
        <v>16</v>
      </c>
      <c r="H822" s="4">
        <v>1</v>
      </c>
      <c r="I822" s="4">
        <v>300</v>
      </c>
      <c r="J822" s="4">
        <v>300</v>
      </c>
      <c r="K822" s="4" t="str" cm="1">
        <f t="array" ref="K822">_xlfn.IFS(AND(Table15[[#This Row],[Total Amount]]&gt;=1500),"Critical",AND(Table15[[#This Row],[Total Amount]]&gt;=1000),"High",TRUE,"Normal")</f>
        <v>Normal</v>
      </c>
      <c r="L822" s="4" t="str">
        <f>IF(Table15[[#This Row],[Total Amount]]&gt;=1000,"High",(IF(Table15[[#This Row],[Total Amount]]&gt;=500,"Medium","Low")))</f>
        <v>Low</v>
      </c>
      <c r="M822" s="4" t="str" cm="1">
        <f t="array" ref="M82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22" s="4" cm="1">
        <f t="array" ref="N82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822" s="4">
        <f>Table15[[#This Row],[Total Amount]]-Table15[[#This Row],[Discount Amount]]</f>
        <v>270</v>
      </c>
    </row>
    <row r="823" spans="1:15" x14ac:dyDescent="0.35">
      <c r="A823" s="4">
        <v>822</v>
      </c>
      <c r="B823" s="5">
        <v>45069</v>
      </c>
      <c r="C823" s="4" t="s">
        <v>835</v>
      </c>
      <c r="D823" s="4" t="s">
        <v>13</v>
      </c>
      <c r="E823" s="4">
        <v>52</v>
      </c>
      <c r="F823" s="4" t="str">
        <f>IF(Table15[[#This Row],[Age]]&lt;=19,"Teenager",IF(Table15[[#This Row],[Age]]&lt;=40,"Median","Old"))</f>
        <v>Old</v>
      </c>
      <c r="G823" s="4" t="s">
        <v>11</v>
      </c>
      <c r="H823" s="4">
        <v>3</v>
      </c>
      <c r="I823" s="4">
        <v>50</v>
      </c>
      <c r="J823" s="4">
        <v>150</v>
      </c>
      <c r="K823" s="4" t="str" cm="1">
        <f t="array" ref="K823">_xlfn.IFS(AND(Table15[[#This Row],[Total Amount]]&gt;=1500),"Critical",AND(Table15[[#This Row],[Total Amount]]&gt;=1000),"High",TRUE,"Normal")</f>
        <v>Normal</v>
      </c>
      <c r="L823" s="4" t="str">
        <f>IF(Table15[[#This Row],[Total Amount]]&gt;=1000,"High",(IF(Table15[[#This Row],[Total Amount]]&gt;=500,"Medium","Low")))</f>
        <v>Low</v>
      </c>
      <c r="M823" s="4" t="str" cm="1">
        <f t="array" ref="M82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23" s="4" cm="1">
        <f t="array" ref="N82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823" s="4">
        <f>Table15[[#This Row],[Total Amount]]-Table15[[#This Row],[Discount Amount]]</f>
        <v>120</v>
      </c>
    </row>
    <row r="824" spans="1:15" x14ac:dyDescent="0.35">
      <c r="A824" s="4">
        <v>823</v>
      </c>
      <c r="B824" s="5">
        <v>45157</v>
      </c>
      <c r="C824" s="4" t="s">
        <v>836</v>
      </c>
      <c r="D824" s="4" t="s">
        <v>13</v>
      </c>
      <c r="E824" s="4">
        <v>56</v>
      </c>
      <c r="F824" s="4" t="str">
        <f>IF(Table15[[#This Row],[Age]]&lt;=19,"Teenager",IF(Table15[[#This Row],[Age]]&lt;=40,"Median","Old"))</f>
        <v>Old</v>
      </c>
      <c r="G824" s="4" t="s">
        <v>16</v>
      </c>
      <c r="H824" s="4">
        <v>2</v>
      </c>
      <c r="I824" s="4">
        <v>50</v>
      </c>
      <c r="J824" s="4">
        <v>100</v>
      </c>
      <c r="K824" s="4" t="str" cm="1">
        <f t="array" ref="K824">_xlfn.IFS(AND(Table15[[#This Row],[Total Amount]]&gt;=1500),"Critical",AND(Table15[[#This Row],[Total Amount]]&gt;=1000),"High",TRUE,"Normal")</f>
        <v>Normal</v>
      </c>
      <c r="L824" s="4" t="str">
        <f>IF(Table15[[#This Row],[Total Amount]]&gt;=1000,"High",(IF(Table15[[#This Row],[Total Amount]]&gt;=500,"Medium","Low")))</f>
        <v>Low</v>
      </c>
      <c r="M824" s="4" t="str" cm="1">
        <f t="array" ref="M82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24" s="4" cm="1">
        <f t="array" ref="N82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824" s="4">
        <f>Table15[[#This Row],[Total Amount]]-Table15[[#This Row],[Discount Amount]]</f>
        <v>80</v>
      </c>
    </row>
    <row r="825" spans="1:15" x14ac:dyDescent="0.35">
      <c r="A825" s="4">
        <v>824</v>
      </c>
      <c r="B825" s="5">
        <v>45051</v>
      </c>
      <c r="C825" s="4" t="s">
        <v>837</v>
      </c>
      <c r="D825" s="4" t="s">
        <v>10</v>
      </c>
      <c r="E825" s="4">
        <v>63</v>
      </c>
      <c r="F825" s="4" t="str">
        <f>IF(Table15[[#This Row],[Age]]&lt;=19,"Teenager",IF(Table15[[#This Row],[Age]]&lt;=40,"Median","Old"))</f>
        <v>Old</v>
      </c>
      <c r="G825" s="4" t="s">
        <v>14</v>
      </c>
      <c r="H825" s="4">
        <v>4</v>
      </c>
      <c r="I825" s="4">
        <v>30</v>
      </c>
      <c r="J825" s="4">
        <v>120</v>
      </c>
      <c r="K825" s="4" t="str" cm="1">
        <f t="array" ref="K825">_xlfn.IFS(AND(Table15[[#This Row],[Total Amount]]&gt;=1500),"Critical",AND(Table15[[#This Row],[Total Amount]]&gt;=1000),"High",TRUE,"Normal")</f>
        <v>Normal</v>
      </c>
      <c r="L825" s="4" t="str">
        <f>IF(Table15[[#This Row],[Total Amount]]&gt;=1000,"High",(IF(Table15[[#This Row],[Total Amount]]&gt;=500,"Medium","Low")))</f>
        <v>Low</v>
      </c>
      <c r="M825" s="4" t="str" cm="1">
        <f t="array" ref="M82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25" s="4" cm="1">
        <f t="array" ref="N82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825" s="4">
        <f>Table15[[#This Row],[Total Amount]]-Table15[[#This Row],[Discount Amount]]</f>
        <v>108</v>
      </c>
    </row>
    <row r="826" spans="1:15" x14ac:dyDescent="0.35">
      <c r="A826" s="4">
        <v>825</v>
      </c>
      <c r="B826" s="5">
        <v>45164</v>
      </c>
      <c r="C826" s="4" t="s">
        <v>838</v>
      </c>
      <c r="D826" s="4" t="s">
        <v>13</v>
      </c>
      <c r="E826" s="4">
        <v>46</v>
      </c>
      <c r="F826" s="4" t="str">
        <f>IF(Table15[[#This Row],[Age]]&lt;=19,"Teenager",IF(Table15[[#This Row],[Age]]&lt;=40,"Median","Old"))</f>
        <v>Old</v>
      </c>
      <c r="G826" s="4" t="s">
        <v>11</v>
      </c>
      <c r="H826" s="4">
        <v>1</v>
      </c>
      <c r="I826" s="4">
        <v>25</v>
      </c>
      <c r="J826" s="4">
        <v>25</v>
      </c>
      <c r="K826" s="4" t="str" cm="1">
        <f t="array" ref="K826">_xlfn.IFS(AND(Table15[[#This Row],[Total Amount]]&gt;=1500),"Critical",AND(Table15[[#This Row],[Total Amount]]&gt;=1000),"High",TRUE,"Normal")</f>
        <v>Normal</v>
      </c>
      <c r="L826" s="4" t="str">
        <f>IF(Table15[[#This Row],[Total Amount]]&gt;=1000,"High",(IF(Table15[[#This Row],[Total Amount]]&gt;=500,"Medium","Low")))</f>
        <v>Low</v>
      </c>
      <c r="M826" s="4" t="str" cm="1">
        <f t="array" ref="M82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26" s="4" cm="1">
        <f t="array" ref="N82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826" s="4">
        <f>Table15[[#This Row],[Total Amount]]-Table15[[#This Row],[Discount Amount]]</f>
        <v>20</v>
      </c>
    </row>
    <row r="827" spans="1:15" x14ac:dyDescent="0.35">
      <c r="A827" s="4">
        <v>826</v>
      </c>
      <c r="B827" s="5">
        <v>45218</v>
      </c>
      <c r="C827" s="4" t="s">
        <v>839</v>
      </c>
      <c r="D827" s="4" t="s">
        <v>13</v>
      </c>
      <c r="E827" s="4">
        <v>46</v>
      </c>
      <c r="F827" s="4" t="str">
        <f>IF(Table15[[#This Row],[Age]]&lt;=19,"Teenager",IF(Table15[[#This Row],[Age]]&lt;=40,"Median","Old"))</f>
        <v>Old</v>
      </c>
      <c r="G827" s="4" t="s">
        <v>14</v>
      </c>
      <c r="H827" s="4">
        <v>1</v>
      </c>
      <c r="I827" s="4">
        <v>300</v>
      </c>
      <c r="J827" s="4">
        <v>300</v>
      </c>
      <c r="K827" s="4" t="str" cm="1">
        <f t="array" ref="K827">_xlfn.IFS(AND(Table15[[#This Row],[Total Amount]]&gt;=1500),"Critical",AND(Table15[[#This Row],[Total Amount]]&gt;=1000),"High",TRUE,"Normal")</f>
        <v>Normal</v>
      </c>
      <c r="L827" s="4" t="str">
        <f>IF(Table15[[#This Row],[Total Amount]]&gt;=1000,"High",(IF(Table15[[#This Row],[Total Amount]]&gt;=500,"Medium","Low")))</f>
        <v>Low</v>
      </c>
      <c r="M827" s="4" t="str" cm="1">
        <f t="array" ref="M82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27" s="4" cm="1">
        <f t="array" ref="N82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827" s="4">
        <f>Table15[[#This Row],[Total Amount]]-Table15[[#This Row],[Discount Amount]]</f>
        <v>240</v>
      </c>
    </row>
    <row r="828" spans="1:15" x14ac:dyDescent="0.35">
      <c r="A828" s="4">
        <v>827</v>
      </c>
      <c r="B828" s="5">
        <v>45239</v>
      </c>
      <c r="C828" s="4" t="s">
        <v>840</v>
      </c>
      <c r="D828" s="4" t="s">
        <v>10</v>
      </c>
      <c r="E828" s="4">
        <v>61</v>
      </c>
      <c r="F828" s="4" t="str">
        <f>IF(Table15[[#This Row],[Age]]&lt;=19,"Teenager",IF(Table15[[#This Row],[Age]]&lt;=40,"Median","Old"))</f>
        <v>Old</v>
      </c>
      <c r="G828" s="4" t="s">
        <v>11</v>
      </c>
      <c r="H828" s="4">
        <v>3</v>
      </c>
      <c r="I828" s="4">
        <v>300</v>
      </c>
      <c r="J828" s="4">
        <v>900</v>
      </c>
      <c r="K828" s="4" t="str" cm="1">
        <f t="array" ref="K828">_xlfn.IFS(AND(Table15[[#This Row],[Total Amount]]&gt;=1500),"Critical",AND(Table15[[#This Row],[Total Amount]]&gt;=1000),"High",TRUE,"Normal")</f>
        <v>Normal</v>
      </c>
      <c r="L828" s="4" t="str">
        <f>IF(Table15[[#This Row],[Total Amount]]&gt;=1000,"High",(IF(Table15[[#This Row],[Total Amount]]&gt;=500,"Medium","Low")))</f>
        <v>Medium</v>
      </c>
      <c r="M828" s="4" t="str" cm="1">
        <f t="array" ref="M82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28" s="4" cm="1">
        <f t="array" ref="N82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828" s="4">
        <f>Table15[[#This Row],[Total Amount]]-Table15[[#This Row],[Discount Amount]]</f>
        <v>810</v>
      </c>
    </row>
    <row r="829" spans="1:15" x14ac:dyDescent="0.35">
      <c r="A829" s="4">
        <v>828</v>
      </c>
      <c r="B829" s="5">
        <v>45269</v>
      </c>
      <c r="C829" s="4" t="s">
        <v>841</v>
      </c>
      <c r="D829" s="4" t="s">
        <v>13</v>
      </c>
      <c r="E829" s="4">
        <v>33</v>
      </c>
      <c r="F829" s="4" t="str">
        <f>IF(Table15[[#This Row],[Age]]&lt;=19,"Teenager",IF(Table15[[#This Row],[Age]]&lt;=40,"Median","Old"))</f>
        <v>Median</v>
      </c>
      <c r="G829" s="4" t="s">
        <v>16</v>
      </c>
      <c r="H829" s="4">
        <v>4</v>
      </c>
      <c r="I829" s="4">
        <v>300</v>
      </c>
      <c r="J829" s="4">
        <v>1200</v>
      </c>
      <c r="K829" s="4" t="str" cm="1">
        <f t="array" ref="K829">_xlfn.IFS(AND(Table15[[#This Row],[Total Amount]]&gt;=1500),"Critical",AND(Table15[[#This Row],[Total Amount]]&gt;=1000),"High",TRUE,"Normal")</f>
        <v>High</v>
      </c>
      <c r="L829" s="4" t="str">
        <f>IF(Table15[[#This Row],[Total Amount]]&gt;=1000,"High",(IF(Table15[[#This Row],[Total Amount]]&gt;=500,"Medium","Low")))</f>
        <v>High</v>
      </c>
      <c r="M829" s="4" t="str" cm="1">
        <f t="array" ref="M82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29" s="4" cm="1">
        <f t="array" ref="N82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829" s="4">
        <f>Table15[[#This Row],[Total Amount]]-Table15[[#This Row],[Discount Amount]]</f>
        <v>1020</v>
      </c>
    </row>
    <row r="830" spans="1:15" x14ac:dyDescent="0.35">
      <c r="A830" s="4">
        <v>829</v>
      </c>
      <c r="B830" s="5">
        <v>45121</v>
      </c>
      <c r="C830" s="4" t="s">
        <v>842</v>
      </c>
      <c r="D830" s="4" t="s">
        <v>10</v>
      </c>
      <c r="E830" s="4">
        <v>61</v>
      </c>
      <c r="F830" s="4" t="str">
        <f>IF(Table15[[#This Row],[Age]]&lt;=19,"Teenager",IF(Table15[[#This Row],[Age]]&lt;=40,"Median","Old"))</f>
        <v>Old</v>
      </c>
      <c r="G830" s="4" t="s">
        <v>11</v>
      </c>
      <c r="H830" s="4">
        <v>3</v>
      </c>
      <c r="I830" s="4">
        <v>30</v>
      </c>
      <c r="J830" s="4">
        <v>90</v>
      </c>
      <c r="K830" s="4" t="str" cm="1">
        <f t="array" ref="K830">_xlfn.IFS(AND(Table15[[#This Row],[Total Amount]]&gt;=1500),"Critical",AND(Table15[[#This Row],[Total Amount]]&gt;=1000),"High",TRUE,"Normal")</f>
        <v>Normal</v>
      </c>
      <c r="L830" s="4" t="str">
        <f>IF(Table15[[#This Row],[Total Amount]]&gt;=1000,"High",(IF(Table15[[#This Row],[Total Amount]]&gt;=500,"Medium","Low")))</f>
        <v>Low</v>
      </c>
      <c r="M830" s="4" t="str" cm="1">
        <f t="array" ref="M83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30" s="4" cm="1">
        <f t="array" ref="N83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830" s="4">
        <f>Table15[[#This Row],[Total Amount]]-Table15[[#This Row],[Discount Amount]]</f>
        <v>81</v>
      </c>
    </row>
    <row r="831" spans="1:15" x14ac:dyDescent="0.35">
      <c r="A831" s="4">
        <v>830</v>
      </c>
      <c r="B831" s="5">
        <v>45099</v>
      </c>
      <c r="C831" s="4" t="s">
        <v>843</v>
      </c>
      <c r="D831" s="4" t="s">
        <v>13</v>
      </c>
      <c r="E831" s="4">
        <v>64</v>
      </c>
      <c r="F831" s="4" t="str">
        <f>IF(Table15[[#This Row],[Age]]&lt;=19,"Teenager",IF(Table15[[#This Row],[Age]]&lt;=40,"Median","Old"))</f>
        <v>Old</v>
      </c>
      <c r="G831" s="4" t="s">
        <v>14</v>
      </c>
      <c r="H831" s="4">
        <v>3</v>
      </c>
      <c r="I831" s="4">
        <v>50</v>
      </c>
      <c r="J831" s="4">
        <v>150</v>
      </c>
      <c r="K831" s="4" t="str" cm="1">
        <f t="array" ref="K831">_xlfn.IFS(AND(Table15[[#This Row],[Total Amount]]&gt;=1500),"Critical",AND(Table15[[#This Row],[Total Amount]]&gt;=1000),"High",TRUE,"Normal")</f>
        <v>Normal</v>
      </c>
      <c r="L831" s="4" t="str">
        <f>IF(Table15[[#This Row],[Total Amount]]&gt;=1000,"High",(IF(Table15[[#This Row],[Total Amount]]&gt;=500,"Medium","Low")))</f>
        <v>Low</v>
      </c>
      <c r="M831" s="4" t="str" cm="1">
        <f t="array" ref="M83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31" s="4" cm="1">
        <f t="array" ref="N83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831" s="4">
        <f>Table15[[#This Row],[Total Amount]]-Table15[[#This Row],[Discount Amount]]</f>
        <v>120</v>
      </c>
    </row>
    <row r="832" spans="1:15" x14ac:dyDescent="0.35">
      <c r="A832" s="4">
        <v>831</v>
      </c>
      <c r="B832" s="5">
        <v>44941</v>
      </c>
      <c r="C832" s="4" t="s">
        <v>844</v>
      </c>
      <c r="D832" s="4" t="s">
        <v>10</v>
      </c>
      <c r="E832" s="4">
        <v>27</v>
      </c>
      <c r="F832" s="4" t="str">
        <f>IF(Table15[[#This Row],[Age]]&lt;=19,"Teenager",IF(Table15[[#This Row],[Age]]&lt;=40,"Median","Old"))</f>
        <v>Median</v>
      </c>
      <c r="G832" s="4" t="s">
        <v>16</v>
      </c>
      <c r="H832" s="4">
        <v>4</v>
      </c>
      <c r="I832" s="4">
        <v>25</v>
      </c>
      <c r="J832" s="4">
        <v>100</v>
      </c>
      <c r="K832" s="4" t="str" cm="1">
        <f t="array" ref="K832">_xlfn.IFS(AND(Table15[[#This Row],[Total Amount]]&gt;=1500),"Critical",AND(Table15[[#This Row],[Total Amount]]&gt;=1000),"High",TRUE,"Normal")</f>
        <v>Normal</v>
      </c>
      <c r="L832" s="4" t="str">
        <f>IF(Table15[[#This Row],[Total Amount]]&gt;=1000,"High",(IF(Table15[[#This Row],[Total Amount]]&gt;=500,"Medium","Low")))</f>
        <v>Low</v>
      </c>
      <c r="M832" s="4" t="str" cm="1">
        <f t="array" ref="M83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32" s="4" cm="1">
        <f t="array" ref="N83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832" s="4">
        <f>Table15[[#This Row],[Total Amount]]-Table15[[#This Row],[Discount Amount]]</f>
        <v>85</v>
      </c>
    </row>
    <row r="833" spans="1:15" x14ac:dyDescent="0.35">
      <c r="A833" s="4">
        <v>832</v>
      </c>
      <c r="B833" s="5">
        <v>45180</v>
      </c>
      <c r="C833" s="4" t="s">
        <v>845</v>
      </c>
      <c r="D833" s="4" t="s">
        <v>10</v>
      </c>
      <c r="E833" s="4">
        <v>47</v>
      </c>
      <c r="F833" s="4" t="str">
        <f>IF(Table15[[#This Row],[Age]]&lt;=19,"Teenager",IF(Table15[[#This Row],[Age]]&lt;=40,"Median","Old"))</f>
        <v>Old</v>
      </c>
      <c r="G833" s="4" t="s">
        <v>11</v>
      </c>
      <c r="H833" s="4">
        <v>4</v>
      </c>
      <c r="I833" s="4">
        <v>500</v>
      </c>
      <c r="J833" s="4">
        <v>2000</v>
      </c>
      <c r="K833" s="4" t="str" cm="1">
        <f t="array" ref="K833">_xlfn.IFS(AND(Table15[[#This Row],[Total Amount]]&gt;=1500),"Critical",AND(Table15[[#This Row],[Total Amount]]&gt;=1000),"High",TRUE,"Normal")</f>
        <v>Critical</v>
      </c>
      <c r="L833" s="4" t="str">
        <f>IF(Table15[[#This Row],[Total Amount]]&gt;=1000,"High",(IF(Table15[[#This Row],[Total Amount]]&gt;=500,"Medium","Low")))</f>
        <v>High</v>
      </c>
      <c r="M833" s="4" t="str" cm="1">
        <f t="array" ref="M83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33" s="4" cm="1">
        <f t="array" ref="N83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833" s="4">
        <f>Table15[[#This Row],[Total Amount]]-Table15[[#This Row],[Discount Amount]]</f>
        <v>1800</v>
      </c>
    </row>
    <row r="834" spans="1:15" x14ac:dyDescent="0.35">
      <c r="A834" s="4">
        <v>833</v>
      </c>
      <c r="B834" s="5">
        <v>45093</v>
      </c>
      <c r="C834" s="4" t="s">
        <v>846</v>
      </c>
      <c r="D834" s="4" t="s">
        <v>10</v>
      </c>
      <c r="E834" s="4">
        <v>42</v>
      </c>
      <c r="F834" s="4" t="str">
        <f>IF(Table15[[#This Row],[Age]]&lt;=19,"Teenager",IF(Table15[[#This Row],[Age]]&lt;=40,"Median","Old"))</f>
        <v>Old</v>
      </c>
      <c r="G834" s="4" t="s">
        <v>11</v>
      </c>
      <c r="H834" s="4">
        <v>4</v>
      </c>
      <c r="I834" s="4">
        <v>50</v>
      </c>
      <c r="J834" s="4">
        <v>200</v>
      </c>
      <c r="K834" s="4" t="str" cm="1">
        <f t="array" ref="K834">_xlfn.IFS(AND(Table15[[#This Row],[Total Amount]]&gt;=1500),"Critical",AND(Table15[[#This Row],[Total Amount]]&gt;=1000),"High",TRUE,"Normal")</f>
        <v>Normal</v>
      </c>
      <c r="L834" s="4" t="str">
        <f>IF(Table15[[#This Row],[Total Amount]]&gt;=1000,"High",(IF(Table15[[#This Row],[Total Amount]]&gt;=500,"Medium","Low")))</f>
        <v>Low</v>
      </c>
      <c r="M834" s="4" t="str" cm="1">
        <f t="array" ref="M83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34" s="4" cm="1">
        <f t="array" ref="N83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834" s="4">
        <f>Table15[[#This Row],[Total Amount]]-Table15[[#This Row],[Discount Amount]]</f>
        <v>180</v>
      </c>
    </row>
    <row r="835" spans="1:15" x14ac:dyDescent="0.35">
      <c r="A835" s="4">
        <v>834</v>
      </c>
      <c r="B835" s="5">
        <v>45020</v>
      </c>
      <c r="C835" s="4" t="s">
        <v>847</v>
      </c>
      <c r="D835" s="4" t="s">
        <v>13</v>
      </c>
      <c r="E835" s="4">
        <v>56</v>
      </c>
      <c r="F835" s="4" t="str">
        <f>IF(Table15[[#This Row],[Age]]&lt;=19,"Teenager",IF(Table15[[#This Row],[Age]]&lt;=40,"Median","Old"))</f>
        <v>Old</v>
      </c>
      <c r="G835" s="4" t="s">
        <v>11</v>
      </c>
      <c r="H835" s="4">
        <v>2</v>
      </c>
      <c r="I835" s="4">
        <v>30</v>
      </c>
      <c r="J835" s="4">
        <v>60</v>
      </c>
      <c r="K835" s="4" t="str" cm="1">
        <f t="array" ref="K835">_xlfn.IFS(AND(Table15[[#This Row],[Total Amount]]&gt;=1500),"Critical",AND(Table15[[#This Row],[Total Amount]]&gt;=1000),"High",TRUE,"Normal")</f>
        <v>Normal</v>
      </c>
      <c r="L835" s="4" t="str">
        <f>IF(Table15[[#This Row],[Total Amount]]&gt;=1000,"High",(IF(Table15[[#This Row],[Total Amount]]&gt;=500,"Medium","Low")))</f>
        <v>Low</v>
      </c>
      <c r="M835" s="4" t="str" cm="1">
        <f t="array" ref="M83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35" s="4" cm="1">
        <f t="array" ref="N83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835" s="4">
        <f>Table15[[#This Row],[Total Amount]]-Table15[[#This Row],[Discount Amount]]</f>
        <v>48</v>
      </c>
    </row>
    <row r="836" spans="1:15" x14ac:dyDescent="0.35">
      <c r="A836" s="4">
        <v>835</v>
      </c>
      <c r="B836" s="5">
        <v>45176</v>
      </c>
      <c r="C836" s="4" t="s">
        <v>848</v>
      </c>
      <c r="D836" s="4" t="s">
        <v>10</v>
      </c>
      <c r="E836" s="4">
        <v>37</v>
      </c>
      <c r="F836" s="4" t="str">
        <f>IF(Table15[[#This Row],[Age]]&lt;=19,"Teenager",IF(Table15[[#This Row],[Age]]&lt;=40,"Median","Old"))</f>
        <v>Median</v>
      </c>
      <c r="G836" s="4" t="s">
        <v>14</v>
      </c>
      <c r="H836" s="4">
        <v>4</v>
      </c>
      <c r="I836" s="4">
        <v>50</v>
      </c>
      <c r="J836" s="4">
        <v>200</v>
      </c>
      <c r="K836" s="4" t="str" cm="1">
        <f t="array" ref="K836">_xlfn.IFS(AND(Table15[[#This Row],[Total Amount]]&gt;=1500),"Critical",AND(Table15[[#This Row],[Total Amount]]&gt;=1000),"High",TRUE,"Normal")</f>
        <v>Normal</v>
      </c>
      <c r="L836" s="4" t="str">
        <f>IF(Table15[[#This Row],[Total Amount]]&gt;=1000,"High",(IF(Table15[[#This Row],[Total Amount]]&gt;=500,"Medium","Low")))</f>
        <v>Low</v>
      </c>
      <c r="M836" s="4" t="str" cm="1">
        <f t="array" ref="M83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36" s="4" cm="1">
        <f t="array" ref="N83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836" s="4">
        <f>Table15[[#This Row],[Total Amount]]-Table15[[#This Row],[Discount Amount]]</f>
        <v>180</v>
      </c>
    </row>
    <row r="837" spans="1:15" x14ac:dyDescent="0.35">
      <c r="A837" s="4">
        <v>836</v>
      </c>
      <c r="B837" s="5">
        <v>45035</v>
      </c>
      <c r="C837" s="4" t="s">
        <v>849</v>
      </c>
      <c r="D837" s="4" t="s">
        <v>13</v>
      </c>
      <c r="E837" s="4">
        <v>22</v>
      </c>
      <c r="F837" s="4" t="str">
        <f>IF(Table15[[#This Row],[Age]]&lt;=19,"Teenager",IF(Table15[[#This Row],[Age]]&lt;=40,"Median","Old"))</f>
        <v>Median</v>
      </c>
      <c r="G837" s="4" t="s">
        <v>14</v>
      </c>
      <c r="H837" s="4">
        <v>1</v>
      </c>
      <c r="I837" s="4">
        <v>50</v>
      </c>
      <c r="J837" s="4">
        <v>50</v>
      </c>
      <c r="K837" s="4" t="str" cm="1">
        <f t="array" ref="K837">_xlfn.IFS(AND(Table15[[#This Row],[Total Amount]]&gt;=1500),"Critical",AND(Table15[[#This Row],[Total Amount]]&gt;=1000),"High",TRUE,"Normal")</f>
        <v>Normal</v>
      </c>
      <c r="L837" s="4" t="str">
        <f>IF(Table15[[#This Row],[Total Amount]]&gt;=1000,"High",(IF(Table15[[#This Row],[Total Amount]]&gt;=500,"Medium","Low")))</f>
        <v>Low</v>
      </c>
      <c r="M837" s="4" t="str" cm="1">
        <f t="array" ref="M83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37" s="4" cm="1">
        <f t="array" ref="N83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37" s="4">
        <f>Table15[[#This Row],[Total Amount]]-Table15[[#This Row],[Discount Amount]]</f>
        <v>50</v>
      </c>
    </row>
    <row r="838" spans="1:15" x14ac:dyDescent="0.35">
      <c r="A838" s="4">
        <v>837</v>
      </c>
      <c r="B838" s="5">
        <v>45108</v>
      </c>
      <c r="C838" s="4" t="s">
        <v>850</v>
      </c>
      <c r="D838" s="4" t="s">
        <v>10</v>
      </c>
      <c r="E838" s="4">
        <v>18</v>
      </c>
      <c r="F838" s="4" t="str">
        <f>IF(Table15[[#This Row],[Age]]&lt;=19,"Teenager",IF(Table15[[#This Row],[Age]]&lt;=40,"Median","Old"))</f>
        <v>Teenager</v>
      </c>
      <c r="G838" s="4" t="s">
        <v>11</v>
      </c>
      <c r="H838" s="4">
        <v>3</v>
      </c>
      <c r="I838" s="4">
        <v>30</v>
      </c>
      <c r="J838" s="4">
        <v>90</v>
      </c>
      <c r="K838" s="4" t="str" cm="1">
        <f t="array" ref="K838">_xlfn.IFS(AND(Table15[[#This Row],[Total Amount]]&gt;=1500),"Critical",AND(Table15[[#This Row],[Total Amount]]&gt;=1000),"High",TRUE,"Normal")</f>
        <v>Normal</v>
      </c>
      <c r="L838" s="4" t="str">
        <f>IF(Table15[[#This Row],[Total Amount]]&gt;=1000,"High",(IF(Table15[[#This Row],[Total Amount]]&gt;=500,"Medium","Low")))</f>
        <v>Low</v>
      </c>
      <c r="M838" s="4" t="str" cm="1">
        <f t="array" ref="M83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38" s="4" cm="1">
        <f t="array" ref="N83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38" s="4">
        <f>Table15[[#This Row],[Total Amount]]-Table15[[#This Row],[Discount Amount]]</f>
        <v>90</v>
      </c>
    </row>
    <row r="839" spans="1:15" x14ac:dyDescent="0.35">
      <c r="A839" s="4">
        <v>838</v>
      </c>
      <c r="B839" s="5">
        <v>45059</v>
      </c>
      <c r="C839" s="4" t="s">
        <v>851</v>
      </c>
      <c r="D839" s="4" t="s">
        <v>10</v>
      </c>
      <c r="E839" s="4">
        <v>47</v>
      </c>
      <c r="F839" s="4" t="str">
        <f>IF(Table15[[#This Row],[Age]]&lt;=19,"Teenager",IF(Table15[[#This Row],[Age]]&lt;=40,"Median","Old"))</f>
        <v>Old</v>
      </c>
      <c r="G839" s="4" t="s">
        <v>16</v>
      </c>
      <c r="H839" s="4">
        <v>2</v>
      </c>
      <c r="I839" s="4">
        <v>300</v>
      </c>
      <c r="J839" s="4">
        <v>600</v>
      </c>
      <c r="K839" s="4" t="str" cm="1">
        <f t="array" ref="K839">_xlfn.IFS(AND(Table15[[#This Row],[Total Amount]]&gt;=1500),"Critical",AND(Table15[[#This Row],[Total Amount]]&gt;=1000),"High",TRUE,"Normal")</f>
        <v>Normal</v>
      </c>
      <c r="L839" s="4" t="str">
        <f>IF(Table15[[#This Row],[Total Amount]]&gt;=1000,"High",(IF(Table15[[#This Row],[Total Amount]]&gt;=500,"Medium","Low")))</f>
        <v>Medium</v>
      </c>
      <c r="M839" s="4" t="str" cm="1">
        <f t="array" ref="M83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39" s="4" cm="1">
        <f t="array" ref="N83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839" s="4">
        <f>Table15[[#This Row],[Total Amount]]-Table15[[#This Row],[Discount Amount]]</f>
        <v>540</v>
      </c>
    </row>
    <row r="840" spans="1:15" x14ac:dyDescent="0.35">
      <c r="A840" s="4">
        <v>839</v>
      </c>
      <c r="B840" s="5">
        <v>45101</v>
      </c>
      <c r="C840" s="4" t="s">
        <v>852</v>
      </c>
      <c r="D840" s="4" t="s">
        <v>13</v>
      </c>
      <c r="E840" s="4">
        <v>20</v>
      </c>
      <c r="F840" s="4" t="str">
        <f>IF(Table15[[#This Row],[Age]]&lt;=19,"Teenager",IF(Table15[[#This Row],[Age]]&lt;=40,"Median","Old"))</f>
        <v>Median</v>
      </c>
      <c r="G840" s="4" t="s">
        <v>16</v>
      </c>
      <c r="H840" s="4">
        <v>4</v>
      </c>
      <c r="I840" s="4">
        <v>300</v>
      </c>
      <c r="J840" s="4">
        <v>1200</v>
      </c>
      <c r="K840" s="4" t="str" cm="1">
        <f t="array" ref="K840">_xlfn.IFS(AND(Table15[[#This Row],[Total Amount]]&gt;=1500),"Critical",AND(Table15[[#This Row],[Total Amount]]&gt;=1000),"High",TRUE,"Normal")</f>
        <v>High</v>
      </c>
      <c r="L840" s="4" t="str">
        <f>IF(Table15[[#This Row],[Total Amount]]&gt;=1000,"High",(IF(Table15[[#This Row],[Total Amount]]&gt;=500,"Medium","Low")))</f>
        <v>High</v>
      </c>
      <c r="M840" s="4" t="str" cm="1">
        <f t="array" ref="M84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40" s="4" cm="1">
        <f t="array" ref="N84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40" s="4">
        <f>Table15[[#This Row],[Total Amount]]-Table15[[#This Row],[Discount Amount]]</f>
        <v>1200</v>
      </c>
    </row>
    <row r="841" spans="1:15" x14ac:dyDescent="0.35">
      <c r="A841" s="4">
        <v>840</v>
      </c>
      <c r="B841" s="5">
        <v>45070</v>
      </c>
      <c r="C841" s="4" t="s">
        <v>853</v>
      </c>
      <c r="D841" s="4" t="s">
        <v>10</v>
      </c>
      <c r="E841" s="4">
        <v>62</v>
      </c>
      <c r="F841" s="4" t="str">
        <f>IF(Table15[[#This Row],[Age]]&lt;=19,"Teenager",IF(Table15[[#This Row],[Age]]&lt;=40,"Median","Old"))</f>
        <v>Old</v>
      </c>
      <c r="G841" s="4" t="s">
        <v>14</v>
      </c>
      <c r="H841" s="4">
        <v>2</v>
      </c>
      <c r="I841" s="4">
        <v>25</v>
      </c>
      <c r="J841" s="4">
        <v>50</v>
      </c>
      <c r="K841" s="4" t="str" cm="1">
        <f t="array" ref="K841">_xlfn.IFS(AND(Table15[[#This Row],[Total Amount]]&gt;=1500),"Critical",AND(Table15[[#This Row],[Total Amount]]&gt;=1000),"High",TRUE,"Normal")</f>
        <v>Normal</v>
      </c>
      <c r="L841" s="4" t="str">
        <f>IF(Table15[[#This Row],[Total Amount]]&gt;=1000,"High",(IF(Table15[[#This Row],[Total Amount]]&gt;=500,"Medium","Low")))</f>
        <v>Low</v>
      </c>
      <c r="M841" s="4" t="str" cm="1">
        <f t="array" ref="M84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41" s="4" cm="1">
        <f t="array" ref="N84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841" s="4">
        <f>Table15[[#This Row],[Total Amount]]-Table15[[#This Row],[Discount Amount]]</f>
        <v>45</v>
      </c>
    </row>
    <row r="842" spans="1:15" x14ac:dyDescent="0.35">
      <c r="A842" s="4">
        <v>841</v>
      </c>
      <c r="B842" s="5">
        <v>45232</v>
      </c>
      <c r="C842" s="4" t="s">
        <v>854</v>
      </c>
      <c r="D842" s="4" t="s">
        <v>10</v>
      </c>
      <c r="E842" s="4">
        <v>31</v>
      </c>
      <c r="F842" s="4" t="str">
        <f>IF(Table15[[#This Row],[Age]]&lt;=19,"Teenager",IF(Table15[[#This Row],[Age]]&lt;=40,"Median","Old"))</f>
        <v>Median</v>
      </c>
      <c r="G842" s="4" t="s">
        <v>16</v>
      </c>
      <c r="H842" s="4">
        <v>4</v>
      </c>
      <c r="I842" s="4">
        <v>25</v>
      </c>
      <c r="J842" s="4">
        <v>100</v>
      </c>
      <c r="K842" s="4" t="str" cm="1">
        <f t="array" ref="K842">_xlfn.IFS(AND(Table15[[#This Row],[Total Amount]]&gt;=1500),"Critical",AND(Table15[[#This Row],[Total Amount]]&gt;=1000),"High",TRUE,"Normal")</f>
        <v>Normal</v>
      </c>
      <c r="L842" s="4" t="str">
        <f>IF(Table15[[#This Row],[Total Amount]]&gt;=1000,"High",(IF(Table15[[#This Row],[Total Amount]]&gt;=500,"Medium","Low")))</f>
        <v>Low</v>
      </c>
      <c r="M842" s="4" t="str" cm="1">
        <f t="array" ref="M84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42" s="4" cm="1">
        <f t="array" ref="N84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842" s="4">
        <f>Table15[[#This Row],[Total Amount]]-Table15[[#This Row],[Discount Amount]]</f>
        <v>85</v>
      </c>
    </row>
    <row r="843" spans="1:15" x14ac:dyDescent="0.35">
      <c r="A843" s="4">
        <v>842</v>
      </c>
      <c r="B843" s="5">
        <v>45286</v>
      </c>
      <c r="C843" s="4" t="s">
        <v>855</v>
      </c>
      <c r="D843" s="4" t="s">
        <v>13</v>
      </c>
      <c r="E843" s="4">
        <v>47</v>
      </c>
      <c r="F843" s="4" t="str">
        <f>IF(Table15[[#This Row],[Age]]&lt;=19,"Teenager",IF(Table15[[#This Row],[Age]]&lt;=40,"Median","Old"))</f>
        <v>Old</v>
      </c>
      <c r="G843" s="4" t="s">
        <v>14</v>
      </c>
      <c r="H843" s="4">
        <v>2</v>
      </c>
      <c r="I843" s="4">
        <v>300</v>
      </c>
      <c r="J843" s="4">
        <v>600</v>
      </c>
      <c r="K843" s="4" t="str" cm="1">
        <f t="array" ref="K843">_xlfn.IFS(AND(Table15[[#This Row],[Total Amount]]&gt;=1500),"Critical",AND(Table15[[#This Row],[Total Amount]]&gt;=1000),"High",TRUE,"Normal")</f>
        <v>Normal</v>
      </c>
      <c r="L843" s="4" t="str">
        <f>IF(Table15[[#This Row],[Total Amount]]&gt;=1000,"High",(IF(Table15[[#This Row],[Total Amount]]&gt;=500,"Medium","Low")))</f>
        <v>Medium</v>
      </c>
      <c r="M843" s="4" t="str" cm="1">
        <f t="array" ref="M84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43" s="4" cm="1">
        <f t="array" ref="N84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843" s="4">
        <f>Table15[[#This Row],[Total Amount]]-Table15[[#This Row],[Discount Amount]]</f>
        <v>480</v>
      </c>
    </row>
    <row r="844" spans="1:15" x14ac:dyDescent="0.35">
      <c r="A844" s="4">
        <v>843</v>
      </c>
      <c r="B844" s="5">
        <v>45068</v>
      </c>
      <c r="C844" s="4" t="s">
        <v>856</v>
      </c>
      <c r="D844" s="4" t="s">
        <v>10</v>
      </c>
      <c r="E844" s="4">
        <v>21</v>
      </c>
      <c r="F844" s="4" t="str">
        <f>IF(Table15[[#This Row],[Age]]&lt;=19,"Teenager",IF(Table15[[#This Row],[Age]]&lt;=40,"Median","Old"))</f>
        <v>Median</v>
      </c>
      <c r="G844" s="4" t="s">
        <v>11</v>
      </c>
      <c r="H844" s="4">
        <v>3</v>
      </c>
      <c r="I844" s="4">
        <v>500</v>
      </c>
      <c r="J844" s="4">
        <v>1500</v>
      </c>
      <c r="K844" s="4" t="str" cm="1">
        <f t="array" ref="K844">_xlfn.IFS(AND(Table15[[#This Row],[Total Amount]]&gt;=1500),"Critical",AND(Table15[[#This Row],[Total Amount]]&gt;=1000),"High",TRUE,"Normal")</f>
        <v>Critical</v>
      </c>
      <c r="L844" s="4" t="str">
        <f>IF(Table15[[#This Row],[Total Amount]]&gt;=1000,"High",(IF(Table15[[#This Row],[Total Amount]]&gt;=500,"Medium","Low")))</f>
        <v>High</v>
      </c>
      <c r="M844" s="4" t="str" cm="1">
        <f t="array" ref="M84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44" s="4" cm="1">
        <f t="array" ref="N84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44" s="4">
        <f>Table15[[#This Row],[Total Amount]]-Table15[[#This Row],[Discount Amount]]</f>
        <v>1500</v>
      </c>
    </row>
    <row r="845" spans="1:15" x14ac:dyDescent="0.35">
      <c r="A845" s="4">
        <v>844</v>
      </c>
      <c r="B845" s="5">
        <v>45211</v>
      </c>
      <c r="C845" s="4" t="s">
        <v>857</v>
      </c>
      <c r="D845" s="4" t="s">
        <v>10</v>
      </c>
      <c r="E845" s="4">
        <v>35</v>
      </c>
      <c r="F845" s="4" t="str">
        <f>IF(Table15[[#This Row],[Age]]&lt;=19,"Teenager",IF(Table15[[#This Row],[Age]]&lt;=40,"Median","Old"))</f>
        <v>Median</v>
      </c>
      <c r="G845" s="4" t="s">
        <v>14</v>
      </c>
      <c r="H845" s="4">
        <v>3</v>
      </c>
      <c r="I845" s="4">
        <v>50</v>
      </c>
      <c r="J845" s="4">
        <v>150</v>
      </c>
      <c r="K845" s="4" t="str" cm="1">
        <f t="array" ref="K845">_xlfn.IFS(AND(Table15[[#This Row],[Total Amount]]&gt;=1500),"Critical",AND(Table15[[#This Row],[Total Amount]]&gt;=1000),"High",TRUE,"Normal")</f>
        <v>Normal</v>
      </c>
      <c r="L845" s="4" t="str">
        <f>IF(Table15[[#This Row],[Total Amount]]&gt;=1000,"High",(IF(Table15[[#This Row],[Total Amount]]&gt;=500,"Medium","Low")))</f>
        <v>Low</v>
      </c>
      <c r="M845" s="4" t="str" cm="1">
        <f t="array" ref="M84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45" s="4" cm="1">
        <f t="array" ref="N84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845" s="4">
        <f>Table15[[#This Row],[Total Amount]]-Table15[[#This Row],[Discount Amount]]</f>
        <v>135</v>
      </c>
    </row>
    <row r="846" spans="1:15" x14ac:dyDescent="0.35">
      <c r="A846" s="4">
        <v>845</v>
      </c>
      <c r="B846" s="5">
        <v>44932</v>
      </c>
      <c r="C846" s="4" t="s">
        <v>858</v>
      </c>
      <c r="D846" s="4" t="s">
        <v>10</v>
      </c>
      <c r="E846" s="4">
        <v>54</v>
      </c>
      <c r="F846" s="4" t="str">
        <f>IF(Table15[[#This Row],[Age]]&lt;=19,"Teenager",IF(Table15[[#This Row],[Age]]&lt;=40,"Median","Old"))</f>
        <v>Old</v>
      </c>
      <c r="G846" s="4" t="s">
        <v>14</v>
      </c>
      <c r="H846" s="4">
        <v>1</v>
      </c>
      <c r="I846" s="4">
        <v>500</v>
      </c>
      <c r="J846" s="4">
        <v>500</v>
      </c>
      <c r="K846" s="4" t="str" cm="1">
        <f t="array" ref="K846">_xlfn.IFS(AND(Table15[[#This Row],[Total Amount]]&gt;=1500),"Critical",AND(Table15[[#This Row],[Total Amount]]&gt;=1000),"High",TRUE,"Normal")</f>
        <v>Normal</v>
      </c>
      <c r="L846" s="4" t="str">
        <f>IF(Table15[[#This Row],[Total Amount]]&gt;=1000,"High",(IF(Table15[[#This Row],[Total Amount]]&gt;=500,"Medium","Low")))</f>
        <v>Medium</v>
      </c>
      <c r="M846" s="4" t="str" cm="1">
        <f t="array" ref="M84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46" s="4" cm="1">
        <f t="array" ref="N84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846" s="4">
        <f>Table15[[#This Row],[Total Amount]]-Table15[[#This Row],[Discount Amount]]</f>
        <v>450</v>
      </c>
    </row>
    <row r="847" spans="1:15" x14ac:dyDescent="0.35">
      <c r="A847" s="4">
        <v>846</v>
      </c>
      <c r="B847" s="5">
        <v>45191</v>
      </c>
      <c r="C847" s="4" t="s">
        <v>859</v>
      </c>
      <c r="D847" s="4" t="s">
        <v>10</v>
      </c>
      <c r="E847" s="4">
        <v>42</v>
      </c>
      <c r="F847" s="4" t="str">
        <f>IF(Table15[[#This Row],[Age]]&lt;=19,"Teenager",IF(Table15[[#This Row],[Age]]&lt;=40,"Median","Old"))</f>
        <v>Old</v>
      </c>
      <c r="G847" s="4" t="s">
        <v>11</v>
      </c>
      <c r="H847" s="4">
        <v>1</v>
      </c>
      <c r="I847" s="4">
        <v>50</v>
      </c>
      <c r="J847" s="4">
        <v>50</v>
      </c>
      <c r="K847" s="4" t="str" cm="1">
        <f t="array" ref="K847">_xlfn.IFS(AND(Table15[[#This Row],[Total Amount]]&gt;=1500),"Critical",AND(Table15[[#This Row],[Total Amount]]&gt;=1000),"High",TRUE,"Normal")</f>
        <v>Normal</v>
      </c>
      <c r="L847" s="4" t="str">
        <f>IF(Table15[[#This Row],[Total Amount]]&gt;=1000,"High",(IF(Table15[[#This Row],[Total Amount]]&gt;=500,"Medium","Low")))</f>
        <v>Low</v>
      </c>
      <c r="M847" s="4" t="str" cm="1">
        <f t="array" ref="M84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47" s="4" cm="1">
        <f t="array" ref="N84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847" s="4">
        <f>Table15[[#This Row],[Total Amount]]-Table15[[#This Row],[Discount Amount]]</f>
        <v>45</v>
      </c>
    </row>
    <row r="848" spans="1:15" x14ac:dyDescent="0.35">
      <c r="A848" s="4">
        <v>847</v>
      </c>
      <c r="B848" s="5">
        <v>45024</v>
      </c>
      <c r="C848" s="4" t="s">
        <v>860</v>
      </c>
      <c r="D848" s="4" t="s">
        <v>13</v>
      </c>
      <c r="E848" s="4">
        <v>18</v>
      </c>
      <c r="F848" s="4" t="str">
        <f>IF(Table15[[#This Row],[Age]]&lt;=19,"Teenager",IF(Table15[[#This Row],[Age]]&lt;=40,"Median","Old"))</f>
        <v>Teenager</v>
      </c>
      <c r="G848" s="4" t="s">
        <v>16</v>
      </c>
      <c r="H848" s="4">
        <v>4</v>
      </c>
      <c r="I848" s="4">
        <v>300</v>
      </c>
      <c r="J848" s="4">
        <v>1200</v>
      </c>
      <c r="K848" s="4" t="str" cm="1">
        <f t="array" ref="K848">_xlfn.IFS(AND(Table15[[#This Row],[Total Amount]]&gt;=1500),"Critical",AND(Table15[[#This Row],[Total Amount]]&gt;=1000),"High",TRUE,"Normal")</f>
        <v>High</v>
      </c>
      <c r="L848" s="4" t="str">
        <f>IF(Table15[[#This Row],[Total Amount]]&gt;=1000,"High",(IF(Table15[[#This Row],[Total Amount]]&gt;=500,"Medium","Low")))</f>
        <v>High</v>
      </c>
      <c r="M848" s="4" t="str" cm="1">
        <f t="array" ref="M84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48" s="4" cm="1">
        <f t="array" ref="N84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48" s="4">
        <f>Table15[[#This Row],[Total Amount]]-Table15[[#This Row],[Discount Amount]]</f>
        <v>1200</v>
      </c>
    </row>
    <row r="849" spans="1:15" x14ac:dyDescent="0.35">
      <c r="A849" s="4">
        <v>848</v>
      </c>
      <c r="B849" s="5">
        <v>44970</v>
      </c>
      <c r="C849" s="4" t="s">
        <v>861</v>
      </c>
      <c r="D849" s="4" t="s">
        <v>13</v>
      </c>
      <c r="E849" s="4">
        <v>63</v>
      </c>
      <c r="F849" s="4" t="str">
        <f>IF(Table15[[#This Row],[Age]]&lt;=19,"Teenager",IF(Table15[[#This Row],[Age]]&lt;=40,"Median","Old"))</f>
        <v>Old</v>
      </c>
      <c r="G849" s="4" t="s">
        <v>14</v>
      </c>
      <c r="H849" s="4">
        <v>3</v>
      </c>
      <c r="I849" s="4">
        <v>25</v>
      </c>
      <c r="J849" s="4">
        <v>75</v>
      </c>
      <c r="K849" s="4" t="str" cm="1">
        <f t="array" ref="K849">_xlfn.IFS(AND(Table15[[#This Row],[Total Amount]]&gt;=1500),"Critical",AND(Table15[[#This Row],[Total Amount]]&gt;=1000),"High",TRUE,"Normal")</f>
        <v>Normal</v>
      </c>
      <c r="L849" s="4" t="str">
        <f>IF(Table15[[#This Row],[Total Amount]]&gt;=1000,"High",(IF(Table15[[#This Row],[Total Amount]]&gt;=500,"Medium","Low")))</f>
        <v>Low</v>
      </c>
      <c r="M849" s="4" t="str" cm="1">
        <f t="array" ref="M84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49" s="4" cm="1">
        <f t="array" ref="N84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849" s="4">
        <f>Table15[[#This Row],[Total Amount]]-Table15[[#This Row],[Discount Amount]]</f>
        <v>60</v>
      </c>
    </row>
    <row r="850" spans="1:15" x14ac:dyDescent="0.35">
      <c r="A850" s="4">
        <v>849</v>
      </c>
      <c r="B850" s="5">
        <v>45050</v>
      </c>
      <c r="C850" s="4" t="s">
        <v>862</v>
      </c>
      <c r="D850" s="4" t="s">
        <v>10</v>
      </c>
      <c r="E850" s="4">
        <v>32</v>
      </c>
      <c r="F850" s="4" t="str">
        <f>IF(Table15[[#This Row],[Age]]&lt;=19,"Teenager",IF(Table15[[#This Row],[Age]]&lt;=40,"Median","Old"))</f>
        <v>Median</v>
      </c>
      <c r="G850" s="4" t="s">
        <v>14</v>
      </c>
      <c r="H850" s="4">
        <v>2</v>
      </c>
      <c r="I850" s="4">
        <v>25</v>
      </c>
      <c r="J850" s="4">
        <v>50</v>
      </c>
      <c r="K850" s="4" t="str" cm="1">
        <f t="array" ref="K850">_xlfn.IFS(AND(Table15[[#This Row],[Total Amount]]&gt;=1500),"Critical",AND(Table15[[#This Row],[Total Amount]]&gt;=1000),"High",TRUE,"Normal")</f>
        <v>Normal</v>
      </c>
      <c r="L850" s="4" t="str">
        <f>IF(Table15[[#This Row],[Total Amount]]&gt;=1000,"High",(IF(Table15[[#This Row],[Total Amount]]&gt;=500,"Medium","Low")))</f>
        <v>Low</v>
      </c>
      <c r="M850" s="4" t="str" cm="1">
        <f t="array" ref="M85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50" s="4" cm="1">
        <f t="array" ref="N85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850" s="4">
        <f>Table15[[#This Row],[Total Amount]]-Table15[[#This Row],[Discount Amount]]</f>
        <v>42.5</v>
      </c>
    </row>
    <row r="851" spans="1:15" x14ac:dyDescent="0.35">
      <c r="A851" s="4">
        <v>850</v>
      </c>
      <c r="B851" s="5">
        <v>45135</v>
      </c>
      <c r="C851" s="4" t="s">
        <v>863</v>
      </c>
      <c r="D851" s="4" t="s">
        <v>13</v>
      </c>
      <c r="E851" s="4">
        <v>26</v>
      </c>
      <c r="F851" s="4" t="str">
        <f>IF(Table15[[#This Row],[Age]]&lt;=19,"Teenager",IF(Table15[[#This Row],[Age]]&lt;=40,"Median","Old"))</f>
        <v>Median</v>
      </c>
      <c r="G851" s="4" t="s">
        <v>11</v>
      </c>
      <c r="H851" s="4">
        <v>2</v>
      </c>
      <c r="I851" s="4">
        <v>500</v>
      </c>
      <c r="J851" s="4">
        <v>1000</v>
      </c>
      <c r="K851" s="4" t="str" cm="1">
        <f t="array" ref="K851">_xlfn.IFS(AND(Table15[[#This Row],[Total Amount]]&gt;=1500),"Critical",AND(Table15[[#This Row],[Total Amount]]&gt;=1000),"High",TRUE,"Normal")</f>
        <v>High</v>
      </c>
      <c r="L851" s="4" t="str">
        <f>IF(Table15[[#This Row],[Total Amount]]&gt;=1000,"High",(IF(Table15[[#This Row],[Total Amount]]&gt;=500,"Medium","Low")))</f>
        <v>High</v>
      </c>
      <c r="M851" s="4" t="str" cm="1">
        <f t="array" ref="M85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51" s="4" cm="1">
        <f t="array" ref="N85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851" s="4">
        <f>Table15[[#This Row],[Total Amount]]-Table15[[#This Row],[Discount Amount]]</f>
        <v>850</v>
      </c>
    </row>
    <row r="852" spans="1:15" x14ac:dyDescent="0.35">
      <c r="A852" s="4">
        <v>851</v>
      </c>
      <c r="B852" s="5">
        <v>45177</v>
      </c>
      <c r="C852" s="4" t="s">
        <v>864</v>
      </c>
      <c r="D852" s="4" t="s">
        <v>10</v>
      </c>
      <c r="E852" s="4">
        <v>32</v>
      </c>
      <c r="F852" s="4" t="str">
        <f>IF(Table15[[#This Row],[Age]]&lt;=19,"Teenager",IF(Table15[[#This Row],[Age]]&lt;=40,"Median","Old"))</f>
        <v>Median</v>
      </c>
      <c r="G852" s="4" t="s">
        <v>16</v>
      </c>
      <c r="H852" s="4">
        <v>2</v>
      </c>
      <c r="I852" s="4">
        <v>25</v>
      </c>
      <c r="J852" s="4">
        <v>50</v>
      </c>
      <c r="K852" s="4" t="str" cm="1">
        <f t="array" ref="K852">_xlfn.IFS(AND(Table15[[#This Row],[Total Amount]]&gt;=1500),"Critical",AND(Table15[[#This Row],[Total Amount]]&gt;=1000),"High",TRUE,"Normal")</f>
        <v>Normal</v>
      </c>
      <c r="L852" s="4" t="str">
        <f>IF(Table15[[#This Row],[Total Amount]]&gt;=1000,"High",(IF(Table15[[#This Row],[Total Amount]]&gt;=500,"Medium","Low")))</f>
        <v>Low</v>
      </c>
      <c r="M852" s="4" t="str" cm="1">
        <f t="array" ref="M85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52" s="4" cm="1">
        <f t="array" ref="N85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852" s="4">
        <f>Table15[[#This Row],[Total Amount]]-Table15[[#This Row],[Discount Amount]]</f>
        <v>42.5</v>
      </c>
    </row>
    <row r="853" spans="1:15" x14ac:dyDescent="0.35">
      <c r="A853" s="4">
        <v>852</v>
      </c>
      <c r="B853" s="5">
        <v>45211</v>
      </c>
      <c r="C853" s="4" t="s">
        <v>865</v>
      </c>
      <c r="D853" s="4" t="s">
        <v>13</v>
      </c>
      <c r="E853" s="4">
        <v>41</v>
      </c>
      <c r="F853" s="4" t="str">
        <f>IF(Table15[[#This Row],[Age]]&lt;=19,"Teenager",IF(Table15[[#This Row],[Age]]&lt;=40,"Median","Old"))</f>
        <v>Old</v>
      </c>
      <c r="G853" s="4" t="s">
        <v>14</v>
      </c>
      <c r="H853" s="4">
        <v>1</v>
      </c>
      <c r="I853" s="4">
        <v>300</v>
      </c>
      <c r="J853" s="4">
        <v>300</v>
      </c>
      <c r="K853" s="4" t="str" cm="1">
        <f t="array" ref="K853">_xlfn.IFS(AND(Table15[[#This Row],[Total Amount]]&gt;=1500),"Critical",AND(Table15[[#This Row],[Total Amount]]&gt;=1000),"High",TRUE,"Normal")</f>
        <v>Normal</v>
      </c>
      <c r="L853" s="4" t="str">
        <f>IF(Table15[[#This Row],[Total Amount]]&gt;=1000,"High",(IF(Table15[[#This Row],[Total Amount]]&gt;=500,"Medium","Low")))</f>
        <v>Low</v>
      </c>
      <c r="M853" s="4" t="str" cm="1">
        <f t="array" ref="M85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53" s="4" cm="1">
        <f t="array" ref="N85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853" s="4">
        <f>Table15[[#This Row],[Total Amount]]-Table15[[#This Row],[Discount Amount]]</f>
        <v>240</v>
      </c>
    </row>
    <row r="854" spans="1:15" x14ac:dyDescent="0.35">
      <c r="A854" s="4">
        <v>853</v>
      </c>
      <c r="B854" s="5">
        <v>45050</v>
      </c>
      <c r="C854" s="4" t="s">
        <v>866</v>
      </c>
      <c r="D854" s="4" t="s">
        <v>10</v>
      </c>
      <c r="E854" s="4">
        <v>21</v>
      </c>
      <c r="F854" s="4" t="str">
        <f>IF(Table15[[#This Row],[Age]]&lt;=19,"Teenager",IF(Table15[[#This Row],[Age]]&lt;=40,"Median","Old"))</f>
        <v>Median</v>
      </c>
      <c r="G854" s="4" t="s">
        <v>11</v>
      </c>
      <c r="H854" s="4">
        <v>2</v>
      </c>
      <c r="I854" s="4">
        <v>500</v>
      </c>
      <c r="J854" s="4">
        <v>1000</v>
      </c>
      <c r="K854" s="4" t="str" cm="1">
        <f t="array" ref="K854">_xlfn.IFS(AND(Table15[[#This Row],[Total Amount]]&gt;=1500),"Critical",AND(Table15[[#This Row],[Total Amount]]&gt;=1000),"High",TRUE,"Normal")</f>
        <v>High</v>
      </c>
      <c r="L854" s="4" t="str">
        <f>IF(Table15[[#This Row],[Total Amount]]&gt;=1000,"High",(IF(Table15[[#This Row],[Total Amount]]&gt;=500,"Medium","Low")))</f>
        <v>High</v>
      </c>
      <c r="M854" s="4" t="str" cm="1">
        <f t="array" ref="M85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54" s="4" cm="1">
        <f t="array" ref="N85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54" s="4">
        <f>Table15[[#This Row],[Total Amount]]-Table15[[#This Row],[Discount Amount]]</f>
        <v>1000</v>
      </c>
    </row>
    <row r="855" spans="1:15" x14ac:dyDescent="0.35">
      <c r="A855" s="4">
        <v>854</v>
      </c>
      <c r="B855" s="5">
        <v>45280</v>
      </c>
      <c r="C855" s="4" t="s">
        <v>867</v>
      </c>
      <c r="D855" s="4" t="s">
        <v>10</v>
      </c>
      <c r="E855" s="4">
        <v>29</v>
      </c>
      <c r="F855" s="4" t="str">
        <f>IF(Table15[[#This Row],[Age]]&lt;=19,"Teenager",IF(Table15[[#This Row],[Age]]&lt;=40,"Median","Old"))</f>
        <v>Median</v>
      </c>
      <c r="G855" s="4" t="s">
        <v>14</v>
      </c>
      <c r="H855" s="4">
        <v>1</v>
      </c>
      <c r="I855" s="4">
        <v>50</v>
      </c>
      <c r="J855" s="4">
        <v>50</v>
      </c>
      <c r="K855" s="4" t="str" cm="1">
        <f t="array" ref="K855">_xlfn.IFS(AND(Table15[[#This Row],[Total Amount]]&gt;=1500),"Critical",AND(Table15[[#This Row],[Total Amount]]&gt;=1000),"High",TRUE,"Normal")</f>
        <v>Normal</v>
      </c>
      <c r="L855" s="4" t="str">
        <f>IF(Table15[[#This Row],[Total Amount]]&gt;=1000,"High",(IF(Table15[[#This Row],[Total Amount]]&gt;=500,"Medium","Low")))</f>
        <v>Low</v>
      </c>
      <c r="M855" s="4" t="str" cm="1">
        <f t="array" ref="M85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55" s="4" cm="1">
        <f t="array" ref="N85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855" s="4">
        <f>Table15[[#This Row],[Total Amount]]-Table15[[#This Row],[Discount Amount]]</f>
        <v>42.5</v>
      </c>
    </row>
    <row r="856" spans="1:15" x14ac:dyDescent="0.35">
      <c r="A856" s="4">
        <v>855</v>
      </c>
      <c r="B856" s="5">
        <v>45170</v>
      </c>
      <c r="C856" s="4" t="s">
        <v>868</v>
      </c>
      <c r="D856" s="4" t="s">
        <v>10</v>
      </c>
      <c r="E856" s="4">
        <v>54</v>
      </c>
      <c r="F856" s="4" t="str">
        <f>IF(Table15[[#This Row],[Age]]&lt;=19,"Teenager",IF(Table15[[#This Row],[Age]]&lt;=40,"Median","Old"))</f>
        <v>Old</v>
      </c>
      <c r="G856" s="4" t="s">
        <v>11</v>
      </c>
      <c r="H856" s="4">
        <v>1</v>
      </c>
      <c r="I856" s="4">
        <v>25</v>
      </c>
      <c r="J856" s="4">
        <v>25</v>
      </c>
      <c r="K856" s="4" t="str" cm="1">
        <f t="array" ref="K856">_xlfn.IFS(AND(Table15[[#This Row],[Total Amount]]&gt;=1500),"Critical",AND(Table15[[#This Row],[Total Amount]]&gt;=1000),"High",TRUE,"Normal")</f>
        <v>Normal</v>
      </c>
      <c r="L856" s="4" t="str">
        <f>IF(Table15[[#This Row],[Total Amount]]&gt;=1000,"High",(IF(Table15[[#This Row],[Total Amount]]&gt;=500,"Medium","Low")))</f>
        <v>Low</v>
      </c>
      <c r="M856" s="4" t="str" cm="1">
        <f t="array" ref="M85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56" s="4" cm="1">
        <f t="array" ref="N85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856" s="4">
        <f>Table15[[#This Row],[Total Amount]]-Table15[[#This Row],[Discount Amount]]</f>
        <v>22.5</v>
      </c>
    </row>
    <row r="857" spans="1:15" x14ac:dyDescent="0.35">
      <c r="A857" s="4">
        <v>856</v>
      </c>
      <c r="B857" s="5">
        <v>45257</v>
      </c>
      <c r="C857" s="4" t="s">
        <v>869</v>
      </c>
      <c r="D857" s="4" t="s">
        <v>10</v>
      </c>
      <c r="E857" s="4">
        <v>54</v>
      </c>
      <c r="F857" s="4" t="str">
        <f>IF(Table15[[#This Row],[Age]]&lt;=19,"Teenager",IF(Table15[[#This Row],[Age]]&lt;=40,"Median","Old"))</f>
        <v>Old</v>
      </c>
      <c r="G857" s="4" t="s">
        <v>16</v>
      </c>
      <c r="H857" s="4">
        <v>4</v>
      </c>
      <c r="I857" s="4">
        <v>30</v>
      </c>
      <c r="J857" s="4">
        <v>120</v>
      </c>
      <c r="K857" s="4" t="str" cm="1">
        <f t="array" ref="K857">_xlfn.IFS(AND(Table15[[#This Row],[Total Amount]]&gt;=1500),"Critical",AND(Table15[[#This Row],[Total Amount]]&gt;=1000),"High",TRUE,"Normal")</f>
        <v>Normal</v>
      </c>
      <c r="L857" s="4" t="str">
        <f>IF(Table15[[#This Row],[Total Amount]]&gt;=1000,"High",(IF(Table15[[#This Row],[Total Amount]]&gt;=500,"Medium","Low")))</f>
        <v>Low</v>
      </c>
      <c r="M857" s="4" t="str" cm="1">
        <f t="array" ref="M85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57" s="4" cm="1">
        <f t="array" ref="N85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857" s="4">
        <f>Table15[[#This Row],[Total Amount]]-Table15[[#This Row],[Discount Amount]]</f>
        <v>108</v>
      </c>
    </row>
    <row r="858" spans="1:15" x14ac:dyDescent="0.35">
      <c r="A858" s="4">
        <v>857</v>
      </c>
      <c r="B858" s="5">
        <v>45291</v>
      </c>
      <c r="C858" s="4" t="s">
        <v>870</v>
      </c>
      <c r="D858" s="4" t="s">
        <v>10</v>
      </c>
      <c r="E858" s="4">
        <v>60</v>
      </c>
      <c r="F858" s="4" t="str">
        <f>IF(Table15[[#This Row],[Age]]&lt;=19,"Teenager",IF(Table15[[#This Row],[Age]]&lt;=40,"Median","Old"))</f>
        <v>Old</v>
      </c>
      <c r="G858" s="4" t="s">
        <v>16</v>
      </c>
      <c r="H858" s="4">
        <v>2</v>
      </c>
      <c r="I858" s="4">
        <v>25</v>
      </c>
      <c r="J858" s="4">
        <v>50</v>
      </c>
      <c r="K858" s="4" t="str" cm="1">
        <f t="array" ref="K858">_xlfn.IFS(AND(Table15[[#This Row],[Total Amount]]&gt;=1500),"Critical",AND(Table15[[#This Row],[Total Amount]]&gt;=1000),"High",TRUE,"Normal")</f>
        <v>Normal</v>
      </c>
      <c r="L858" s="4" t="str">
        <f>IF(Table15[[#This Row],[Total Amount]]&gt;=1000,"High",(IF(Table15[[#This Row],[Total Amount]]&gt;=500,"Medium","Low")))</f>
        <v>Low</v>
      </c>
      <c r="M858" s="4" t="str" cm="1">
        <f t="array" ref="M85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58" s="4" cm="1">
        <f t="array" ref="N85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858" s="4">
        <f>Table15[[#This Row],[Total Amount]]-Table15[[#This Row],[Discount Amount]]</f>
        <v>45</v>
      </c>
    </row>
    <row r="859" spans="1:15" x14ac:dyDescent="0.35">
      <c r="A859" s="4">
        <v>858</v>
      </c>
      <c r="B859" s="5">
        <v>45178</v>
      </c>
      <c r="C859" s="4" t="s">
        <v>871</v>
      </c>
      <c r="D859" s="4" t="s">
        <v>10</v>
      </c>
      <c r="E859" s="4">
        <v>23</v>
      </c>
      <c r="F859" s="4" t="str">
        <f>IF(Table15[[#This Row],[Age]]&lt;=19,"Teenager",IF(Table15[[#This Row],[Age]]&lt;=40,"Median","Old"))</f>
        <v>Median</v>
      </c>
      <c r="G859" s="4" t="s">
        <v>16</v>
      </c>
      <c r="H859" s="4">
        <v>2</v>
      </c>
      <c r="I859" s="4">
        <v>50</v>
      </c>
      <c r="J859" s="4">
        <v>100</v>
      </c>
      <c r="K859" s="4" t="str" cm="1">
        <f t="array" ref="K859">_xlfn.IFS(AND(Table15[[#This Row],[Total Amount]]&gt;=1500),"Critical",AND(Table15[[#This Row],[Total Amount]]&gt;=1000),"High",TRUE,"Normal")</f>
        <v>Normal</v>
      </c>
      <c r="L859" s="4" t="str">
        <f>IF(Table15[[#This Row],[Total Amount]]&gt;=1000,"High",(IF(Table15[[#This Row],[Total Amount]]&gt;=500,"Medium","Low")))</f>
        <v>Low</v>
      </c>
      <c r="M859" s="4" t="str" cm="1">
        <f t="array" ref="M85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59" s="4" cm="1">
        <f t="array" ref="N85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59" s="4">
        <f>Table15[[#This Row],[Total Amount]]-Table15[[#This Row],[Discount Amount]]</f>
        <v>100</v>
      </c>
    </row>
    <row r="860" spans="1:15" x14ac:dyDescent="0.35">
      <c r="A860" s="4">
        <v>859</v>
      </c>
      <c r="B860" s="5">
        <v>45156</v>
      </c>
      <c r="C860" s="4" t="s">
        <v>872</v>
      </c>
      <c r="D860" s="4" t="s">
        <v>13</v>
      </c>
      <c r="E860" s="4">
        <v>56</v>
      </c>
      <c r="F860" s="4" t="str">
        <f>IF(Table15[[#This Row],[Age]]&lt;=19,"Teenager",IF(Table15[[#This Row],[Age]]&lt;=40,"Median","Old"))</f>
        <v>Old</v>
      </c>
      <c r="G860" s="4" t="s">
        <v>16</v>
      </c>
      <c r="H860" s="4">
        <v>3</v>
      </c>
      <c r="I860" s="4">
        <v>500</v>
      </c>
      <c r="J860" s="4">
        <v>1500</v>
      </c>
      <c r="K860" s="4" t="str" cm="1">
        <f t="array" ref="K860">_xlfn.IFS(AND(Table15[[#This Row],[Total Amount]]&gt;=1500),"Critical",AND(Table15[[#This Row],[Total Amount]]&gt;=1000),"High",TRUE,"Normal")</f>
        <v>Critical</v>
      </c>
      <c r="L860" s="4" t="str">
        <f>IF(Table15[[#This Row],[Total Amount]]&gt;=1000,"High",(IF(Table15[[#This Row],[Total Amount]]&gt;=500,"Medium","Low")))</f>
        <v>High</v>
      </c>
      <c r="M860" s="4" t="str" cm="1">
        <f t="array" ref="M86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60" s="4" cm="1">
        <f t="array" ref="N86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860" s="4">
        <f>Table15[[#This Row],[Total Amount]]-Table15[[#This Row],[Discount Amount]]</f>
        <v>1200</v>
      </c>
    </row>
    <row r="861" spans="1:15" x14ac:dyDescent="0.35">
      <c r="A861" s="4">
        <v>860</v>
      </c>
      <c r="B861" s="5">
        <v>44935</v>
      </c>
      <c r="C861" s="4" t="s">
        <v>873</v>
      </c>
      <c r="D861" s="4" t="s">
        <v>10</v>
      </c>
      <c r="E861" s="4">
        <v>63</v>
      </c>
      <c r="F861" s="4" t="str">
        <f>IF(Table15[[#This Row],[Age]]&lt;=19,"Teenager",IF(Table15[[#This Row],[Age]]&lt;=40,"Median","Old"))</f>
        <v>Old</v>
      </c>
      <c r="G861" s="4" t="s">
        <v>14</v>
      </c>
      <c r="H861" s="4">
        <v>4</v>
      </c>
      <c r="I861" s="4">
        <v>50</v>
      </c>
      <c r="J861" s="4">
        <v>200</v>
      </c>
      <c r="K861" s="4" t="str" cm="1">
        <f t="array" ref="K861">_xlfn.IFS(AND(Table15[[#This Row],[Total Amount]]&gt;=1500),"Critical",AND(Table15[[#This Row],[Total Amount]]&gt;=1000),"High",TRUE,"Normal")</f>
        <v>Normal</v>
      </c>
      <c r="L861" s="4" t="str">
        <f>IF(Table15[[#This Row],[Total Amount]]&gt;=1000,"High",(IF(Table15[[#This Row],[Total Amount]]&gt;=500,"Medium","Low")))</f>
        <v>Low</v>
      </c>
      <c r="M861" s="4" t="str" cm="1">
        <f t="array" ref="M86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61" s="4" cm="1">
        <f t="array" ref="N86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861" s="4">
        <f>Table15[[#This Row],[Total Amount]]-Table15[[#This Row],[Discount Amount]]</f>
        <v>180</v>
      </c>
    </row>
    <row r="862" spans="1:15" x14ac:dyDescent="0.35">
      <c r="A862" s="4">
        <v>861</v>
      </c>
      <c r="B862" s="5">
        <v>44974</v>
      </c>
      <c r="C862" s="4" t="s">
        <v>874</v>
      </c>
      <c r="D862" s="4" t="s">
        <v>13</v>
      </c>
      <c r="E862" s="4">
        <v>41</v>
      </c>
      <c r="F862" s="4" t="str">
        <f>IF(Table15[[#This Row],[Age]]&lt;=19,"Teenager",IF(Table15[[#This Row],[Age]]&lt;=40,"Median","Old"))</f>
        <v>Old</v>
      </c>
      <c r="G862" s="4" t="s">
        <v>14</v>
      </c>
      <c r="H862" s="4">
        <v>3</v>
      </c>
      <c r="I862" s="4">
        <v>30</v>
      </c>
      <c r="J862" s="4">
        <v>90</v>
      </c>
      <c r="K862" s="4" t="str" cm="1">
        <f t="array" ref="K862">_xlfn.IFS(AND(Table15[[#This Row],[Total Amount]]&gt;=1500),"Critical",AND(Table15[[#This Row],[Total Amount]]&gt;=1000),"High",TRUE,"Normal")</f>
        <v>Normal</v>
      </c>
      <c r="L862" s="4" t="str">
        <f>IF(Table15[[#This Row],[Total Amount]]&gt;=1000,"High",(IF(Table15[[#This Row],[Total Amount]]&gt;=500,"Medium","Low")))</f>
        <v>Low</v>
      </c>
      <c r="M862" s="4" t="str" cm="1">
        <f t="array" ref="M86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62" s="4" cm="1">
        <f t="array" ref="N86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862" s="4">
        <f>Table15[[#This Row],[Total Amount]]-Table15[[#This Row],[Discount Amount]]</f>
        <v>72</v>
      </c>
    </row>
    <row r="863" spans="1:15" x14ac:dyDescent="0.35">
      <c r="A863" s="4">
        <v>862</v>
      </c>
      <c r="B863" s="5">
        <v>45077</v>
      </c>
      <c r="C863" s="4" t="s">
        <v>875</v>
      </c>
      <c r="D863" s="4" t="s">
        <v>10</v>
      </c>
      <c r="E863" s="4">
        <v>28</v>
      </c>
      <c r="F863" s="4" t="str">
        <f>IF(Table15[[#This Row],[Age]]&lt;=19,"Teenager",IF(Table15[[#This Row],[Age]]&lt;=40,"Median","Old"))</f>
        <v>Median</v>
      </c>
      <c r="G863" s="4" t="s">
        <v>16</v>
      </c>
      <c r="H863" s="4">
        <v>4</v>
      </c>
      <c r="I863" s="4">
        <v>300</v>
      </c>
      <c r="J863" s="4">
        <v>1200</v>
      </c>
      <c r="K863" s="4" t="str" cm="1">
        <f t="array" ref="K863">_xlfn.IFS(AND(Table15[[#This Row],[Total Amount]]&gt;=1500),"Critical",AND(Table15[[#This Row],[Total Amount]]&gt;=1000),"High",TRUE,"Normal")</f>
        <v>High</v>
      </c>
      <c r="L863" s="4" t="str">
        <f>IF(Table15[[#This Row],[Total Amount]]&gt;=1000,"High",(IF(Table15[[#This Row],[Total Amount]]&gt;=500,"Medium","Low")))</f>
        <v>High</v>
      </c>
      <c r="M863" s="4" t="str" cm="1">
        <f t="array" ref="M86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63" s="4" cm="1">
        <f t="array" ref="N86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863" s="4">
        <f>Table15[[#This Row],[Total Amount]]-Table15[[#This Row],[Discount Amount]]</f>
        <v>1020</v>
      </c>
    </row>
    <row r="864" spans="1:15" x14ac:dyDescent="0.35">
      <c r="A864" s="4">
        <v>863</v>
      </c>
      <c r="B864" s="5">
        <v>45040</v>
      </c>
      <c r="C864" s="4" t="s">
        <v>876</v>
      </c>
      <c r="D864" s="4" t="s">
        <v>13</v>
      </c>
      <c r="E864" s="4">
        <v>30</v>
      </c>
      <c r="F864" s="4" t="str">
        <f>IF(Table15[[#This Row],[Age]]&lt;=19,"Teenager",IF(Table15[[#This Row],[Age]]&lt;=40,"Median","Old"))</f>
        <v>Median</v>
      </c>
      <c r="G864" s="4" t="s">
        <v>16</v>
      </c>
      <c r="H864" s="4">
        <v>2</v>
      </c>
      <c r="I864" s="4">
        <v>25</v>
      </c>
      <c r="J864" s="4">
        <v>50</v>
      </c>
      <c r="K864" s="4" t="str" cm="1">
        <f t="array" ref="K864">_xlfn.IFS(AND(Table15[[#This Row],[Total Amount]]&gt;=1500),"Critical",AND(Table15[[#This Row],[Total Amount]]&gt;=1000),"High",TRUE,"Normal")</f>
        <v>Normal</v>
      </c>
      <c r="L864" s="4" t="str">
        <f>IF(Table15[[#This Row],[Total Amount]]&gt;=1000,"High",(IF(Table15[[#This Row],[Total Amount]]&gt;=500,"Medium","Low")))</f>
        <v>Low</v>
      </c>
      <c r="M864" s="4" t="str" cm="1">
        <f t="array" ref="M86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64" s="4" cm="1">
        <f t="array" ref="N86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864" s="4">
        <f>Table15[[#This Row],[Total Amount]]-Table15[[#This Row],[Discount Amount]]</f>
        <v>42.5</v>
      </c>
    </row>
    <row r="865" spans="1:15" x14ac:dyDescent="0.35">
      <c r="A865" s="4">
        <v>864</v>
      </c>
      <c r="B865" s="5">
        <v>45134</v>
      </c>
      <c r="C865" s="4" t="s">
        <v>877</v>
      </c>
      <c r="D865" s="4" t="s">
        <v>13</v>
      </c>
      <c r="E865" s="4">
        <v>51</v>
      </c>
      <c r="F865" s="4" t="str">
        <f>IF(Table15[[#This Row],[Age]]&lt;=19,"Teenager",IF(Table15[[#This Row],[Age]]&lt;=40,"Median","Old"))</f>
        <v>Old</v>
      </c>
      <c r="G865" s="4" t="s">
        <v>16</v>
      </c>
      <c r="H865" s="4">
        <v>1</v>
      </c>
      <c r="I865" s="4">
        <v>500</v>
      </c>
      <c r="J865" s="4">
        <v>500</v>
      </c>
      <c r="K865" s="4" t="str" cm="1">
        <f t="array" ref="K865">_xlfn.IFS(AND(Table15[[#This Row],[Total Amount]]&gt;=1500),"Critical",AND(Table15[[#This Row],[Total Amount]]&gt;=1000),"High",TRUE,"Normal")</f>
        <v>Normal</v>
      </c>
      <c r="L865" s="4" t="str">
        <f>IF(Table15[[#This Row],[Total Amount]]&gt;=1000,"High",(IF(Table15[[#This Row],[Total Amount]]&gt;=500,"Medium","Low")))</f>
        <v>Medium</v>
      </c>
      <c r="M865" s="4" t="str" cm="1">
        <f t="array" ref="M86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65" s="4" cm="1">
        <f t="array" ref="N86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865" s="4">
        <f>Table15[[#This Row],[Total Amount]]-Table15[[#This Row],[Discount Amount]]</f>
        <v>400</v>
      </c>
    </row>
    <row r="866" spans="1:15" x14ac:dyDescent="0.35">
      <c r="A866" s="4">
        <v>865</v>
      </c>
      <c r="B866" s="5">
        <v>45281</v>
      </c>
      <c r="C866" s="4" t="s">
        <v>878</v>
      </c>
      <c r="D866" s="4" t="s">
        <v>13</v>
      </c>
      <c r="E866" s="4">
        <v>42</v>
      </c>
      <c r="F866" s="4" t="str">
        <f>IF(Table15[[#This Row],[Age]]&lt;=19,"Teenager",IF(Table15[[#This Row],[Age]]&lt;=40,"Median","Old"))</f>
        <v>Old</v>
      </c>
      <c r="G866" s="4" t="s">
        <v>14</v>
      </c>
      <c r="H866" s="4">
        <v>1</v>
      </c>
      <c r="I866" s="4">
        <v>300</v>
      </c>
      <c r="J866" s="4">
        <v>300</v>
      </c>
      <c r="K866" s="4" t="str" cm="1">
        <f t="array" ref="K866">_xlfn.IFS(AND(Table15[[#This Row],[Total Amount]]&gt;=1500),"Critical",AND(Table15[[#This Row],[Total Amount]]&gt;=1000),"High",TRUE,"Normal")</f>
        <v>Normal</v>
      </c>
      <c r="L866" s="4" t="str">
        <f>IF(Table15[[#This Row],[Total Amount]]&gt;=1000,"High",(IF(Table15[[#This Row],[Total Amount]]&gt;=500,"Medium","Low")))</f>
        <v>Low</v>
      </c>
      <c r="M866" s="4" t="str" cm="1">
        <f t="array" ref="M86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66" s="4" cm="1">
        <f t="array" ref="N86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866" s="4">
        <f>Table15[[#This Row],[Total Amount]]-Table15[[#This Row],[Discount Amount]]</f>
        <v>240</v>
      </c>
    </row>
    <row r="867" spans="1:15" x14ac:dyDescent="0.35">
      <c r="A867" s="4">
        <v>866</v>
      </c>
      <c r="B867" s="5">
        <v>45051</v>
      </c>
      <c r="C867" s="4" t="s">
        <v>879</v>
      </c>
      <c r="D867" s="4" t="s">
        <v>10</v>
      </c>
      <c r="E867" s="4">
        <v>24</v>
      </c>
      <c r="F867" s="4" t="str">
        <f>IF(Table15[[#This Row],[Age]]&lt;=19,"Teenager",IF(Table15[[#This Row],[Age]]&lt;=40,"Median","Old"))</f>
        <v>Median</v>
      </c>
      <c r="G867" s="4" t="s">
        <v>16</v>
      </c>
      <c r="H867" s="4">
        <v>1</v>
      </c>
      <c r="I867" s="4">
        <v>50</v>
      </c>
      <c r="J867" s="4">
        <v>50</v>
      </c>
      <c r="K867" s="4" t="str" cm="1">
        <f t="array" ref="K867">_xlfn.IFS(AND(Table15[[#This Row],[Total Amount]]&gt;=1500),"Critical",AND(Table15[[#This Row],[Total Amount]]&gt;=1000),"High",TRUE,"Normal")</f>
        <v>Normal</v>
      </c>
      <c r="L867" s="4" t="str">
        <f>IF(Table15[[#This Row],[Total Amount]]&gt;=1000,"High",(IF(Table15[[#This Row],[Total Amount]]&gt;=500,"Medium","Low")))</f>
        <v>Low</v>
      </c>
      <c r="M867" s="4" t="str" cm="1">
        <f t="array" ref="M86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67" s="4" cm="1">
        <f t="array" ref="N86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67" s="4">
        <f>Table15[[#This Row],[Total Amount]]-Table15[[#This Row],[Discount Amount]]</f>
        <v>50</v>
      </c>
    </row>
    <row r="868" spans="1:15" x14ac:dyDescent="0.35">
      <c r="A868" s="4">
        <v>867</v>
      </c>
      <c r="B868" s="5">
        <v>45083</v>
      </c>
      <c r="C868" s="4" t="s">
        <v>880</v>
      </c>
      <c r="D868" s="4" t="s">
        <v>10</v>
      </c>
      <c r="E868" s="4">
        <v>21</v>
      </c>
      <c r="F868" s="4" t="str">
        <f>IF(Table15[[#This Row],[Age]]&lt;=19,"Teenager",IF(Table15[[#This Row],[Age]]&lt;=40,"Median","Old"))</f>
        <v>Median</v>
      </c>
      <c r="G868" s="4" t="s">
        <v>16</v>
      </c>
      <c r="H868" s="4">
        <v>1</v>
      </c>
      <c r="I868" s="4">
        <v>500</v>
      </c>
      <c r="J868" s="4">
        <v>500</v>
      </c>
      <c r="K868" s="4" t="str" cm="1">
        <f t="array" ref="K868">_xlfn.IFS(AND(Table15[[#This Row],[Total Amount]]&gt;=1500),"Critical",AND(Table15[[#This Row],[Total Amount]]&gt;=1000),"High",TRUE,"Normal")</f>
        <v>Normal</v>
      </c>
      <c r="L868" s="4" t="str">
        <f>IF(Table15[[#This Row],[Total Amount]]&gt;=1000,"High",(IF(Table15[[#This Row],[Total Amount]]&gt;=500,"Medium","Low")))</f>
        <v>Medium</v>
      </c>
      <c r="M868" s="4" t="str" cm="1">
        <f t="array" ref="M86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68" s="4" cm="1">
        <f t="array" ref="N86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68" s="4">
        <f>Table15[[#This Row],[Total Amount]]-Table15[[#This Row],[Discount Amount]]</f>
        <v>500</v>
      </c>
    </row>
    <row r="869" spans="1:15" x14ac:dyDescent="0.35">
      <c r="A869" s="4">
        <v>868</v>
      </c>
      <c r="B869" s="5">
        <v>45266</v>
      </c>
      <c r="C869" s="4" t="s">
        <v>881</v>
      </c>
      <c r="D869" s="4" t="s">
        <v>13</v>
      </c>
      <c r="E869" s="4">
        <v>25</v>
      </c>
      <c r="F869" s="4" t="str">
        <f>IF(Table15[[#This Row],[Age]]&lt;=19,"Teenager",IF(Table15[[#This Row],[Age]]&lt;=40,"Median","Old"))</f>
        <v>Median</v>
      </c>
      <c r="G869" s="4" t="s">
        <v>16</v>
      </c>
      <c r="H869" s="4">
        <v>1</v>
      </c>
      <c r="I869" s="4">
        <v>300</v>
      </c>
      <c r="J869" s="4">
        <v>300</v>
      </c>
      <c r="K869" s="4" t="str" cm="1">
        <f t="array" ref="K869">_xlfn.IFS(AND(Table15[[#This Row],[Total Amount]]&gt;=1500),"Critical",AND(Table15[[#This Row],[Total Amount]]&gt;=1000),"High",TRUE,"Normal")</f>
        <v>Normal</v>
      </c>
      <c r="L869" s="4" t="str">
        <f>IF(Table15[[#This Row],[Total Amount]]&gt;=1000,"High",(IF(Table15[[#This Row],[Total Amount]]&gt;=500,"Medium","Low")))</f>
        <v>Low</v>
      </c>
      <c r="M869" s="4" t="str" cm="1">
        <f t="array" ref="M86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69" s="4" cm="1">
        <f t="array" ref="N86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45</v>
      </c>
      <c r="O869" s="4">
        <f>Table15[[#This Row],[Total Amount]]-Table15[[#This Row],[Discount Amount]]</f>
        <v>255</v>
      </c>
    </row>
    <row r="870" spans="1:15" x14ac:dyDescent="0.35">
      <c r="A870" s="4">
        <v>869</v>
      </c>
      <c r="B870" s="5">
        <v>45224</v>
      </c>
      <c r="C870" s="4" t="s">
        <v>882</v>
      </c>
      <c r="D870" s="4" t="s">
        <v>10</v>
      </c>
      <c r="E870" s="4">
        <v>37</v>
      </c>
      <c r="F870" s="4" t="str">
        <f>IF(Table15[[#This Row],[Age]]&lt;=19,"Teenager",IF(Table15[[#This Row],[Age]]&lt;=40,"Median","Old"))</f>
        <v>Median</v>
      </c>
      <c r="G870" s="4" t="s">
        <v>11</v>
      </c>
      <c r="H870" s="4">
        <v>3</v>
      </c>
      <c r="I870" s="4">
        <v>500</v>
      </c>
      <c r="J870" s="4">
        <v>1500</v>
      </c>
      <c r="K870" s="4" t="str" cm="1">
        <f t="array" ref="K870">_xlfn.IFS(AND(Table15[[#This Row],[Total Amount]]&gt;=1500),"Critical",AND(Table15[[#This Row],[Total Amount]]&gt;=1000),"High",TRUE,"Normal")</f>
        <v>Critical</v>
      </c>
      <c r="L870" s="4" t="str">
        <f>IF(Table15[[#This Row],[Total Amount]]&gt;=1000,"High",(IF(Table15[[#This Row],[Total Amount]]&gt;=500,"Medium","Low")))</f>
        <v>High</v>
      </c>
      <c r="M870" s="4" t="str" cm="1">
        <f t="array" ref="M87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70" s="4" cm="1">
        <f t="array" ref="N87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870" s="4">
        <f>Table15[[#This Row],[Total Amount]]-Table15[[#This Row],[Discount Amount]]</f>
        <v>1350</v>
      </c>
    </row>
    <row r="871" spans="1:15" x14ac:dyDescent="0.35">
      <c r="A871" s="4">
        <v>870</v>
      </c>
      <c r="B871" s="5">
        <v>45115</v>
      </c>
      <c r="C871" s="4" t="s">
        <v>883</v>
      </c>
      <c r="D871" s="4" t="s">
        <v>13</v>
      </c>
      <c r="E871" s="4">
        <v>46</v>
      </c>
      <c r="F871" s="4" t="str">
        <f>IF(Table15[[#This Row],[Age]]&lt;=19,"Teenager",IF(Table15[[#This Row],[Age]]&lt;=40,"Median","Old"))</f>
        <v>Old</v>
      </c>
      <c r="G871" s="4" t="s">
        <v>16</v>
      </c>
      <c r="H871" s="4">
        <v>4</v>
      </c>
      <c r="I871" s="4">
        <v>30</v>
      </c>
      <c r="J871" s="4">
        <v>120</v>
      </c>
      <c r="K871" s="4" t="str" cm="1">
        <f t="array" ref="K871">_xlfn.IFS(AND(Table15[[#This Row],[Total Amount]]&gt;=1500),"Critical",AND(Table15[[#This Row],[Total Amount]]&gt;=1000),"High",TRUE,"Normal")</f>
        <v>Normal</v>
      </c>
      <c r="L871" s="4" t="str">
        <f>IF(Table15[[#This Row],[Total Amount]]&gt;=1000,"High",(IF(Table15[[#This Row],[Total Amount]]&gt;=500,"Medium","Low")))</f>
        <v>Low</v>
      </c>
      <c r="M871" s="4" t="str" cm="1">
        <f t="array" ref="M87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71" s="4" cm="1">
        <f t="array" ref="N87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871" s="4">
        <f>Table15[[#This Row],[Total Amount]]-Table15[[#This Row],[Discount Amount]]</f>
        <v>96</v>
      </c>
    </row>
    <row r="872" spans="1:15" x14ac:dyDescent="0.35">
      <c r="A872" s="4">
        <v>871</v>
      </c>
      <c r="B872" s="5">
        <v>45169</v>
      </c>
      <c r="C872" s="4" t="s">
        <v>884</v>
      </c>
      <c r="D872" s="4" t="s">
        <v>10</v>
      </c>
      <c r="E872" s="4">
        <v>62</v>
      </c>
      <c r="F872" s="4" t="str">
        <f>IF(Table15[[#This Row],[Age]]&lt;=19,"Teenager",IF(Table15[[#This Row],[Age]]&lt;=40,"Median","Old"))</f>
        <v>Old</v>
      </c>
      <c r="G872" s="4" t="s">
        <v>11</v>
      </c>
      <c r="H872" s="4">
        <v>2</v>
      </c>
      <c r="I872" s="4">
        <v>30</v>
      </c>
      <c r="J872" s="4">
        <v>60</v>
      </c>
      <c r="K872" s="4" t="str" cm="1">
        <f t="array" ref="K872">_xlfn.IFS(AND(Table15[[#This Row],[Total Amount]]&gt;=1500),"Critical",AND(Table15[[#This Row],[Total Amount]]&gt;=1000),"High",TRUE,"Normal")</f>
        <v>Normal</v>
      </c>
      <c r="L872" s="4" t="str">
        <f>IF(Table15[[#This Row],[Total Amount]]&gt;=1000,"High",(IF(Table15[[#This Row],[Total Amount]]&gt;=500,"Medium","Low")))</f>
        <v>Low</v>
      </c>
      <c r="M872" s="4" t="str" cm="1">
        <f t="array" ref="M87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72" s="4" cm="1">
        <f t="array" ref="N87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872" s="4">
        <f>Table15[[#This Row],[Total Amount]]-Table15[[#This Row],[Discount Amount]]</f>
        <v>54</v>
      </c>
    </row>
    <row r="873" spans="1:15" x14ac:dyDescent="0.35">
      <c r="A873" s="4">
        <v>872</v>
      </c>
      <c r="B873" s="5">
        <v>45210</v>
      </c>
      <c r="C873" s="4" t="s">
        <v>885</v>
      </c>
      <c r="D873" s="4" t="s">
        <v>13</v>
      </c>
      <c r="E873" s="4">
        <v>63</v>
      </c>
      <c r="F873" s="4" t="str">
        <f>IF(Table15[[#This Row],[Age]]&lt;=19,"Teenager",IF(Table15[[#This Row],[Age]]&lt;=40,"Median","Old"))</f>
        <v>Old</v>
      </c>
      <c r="G873" s="4" t="s">
        <v>11</v>
      </c>
      <c r="H873" s="4">
        <v>3</v>
      </c>
      <c r="I873" s="4">
        <v>25</v>
      </c>
      <c r="J873" s="4">
        <v>75</v>
      </c>
      <c r="K873" s="4" t="str" cm="1">
        <f t="array" ref="K873">_xlfn.IFS(AND(Table15[[#This Row],[Total Amount]]&gt;=1500),"Critical",AND(Table15[[#This Row],[Total Amount]]&gt;=1000),"High",TRUE,"Normal")</f>
        <v>Normal</v>
      </c>
      <c r="L873" s="4" t="str">
        <f>IF(Table15[[#This Row],[Total Amount]]&gt;=1000,"High",(IF(Table15[[#This Row],[Total Amount]]&gt;=500,"Medium","Low")))</f>
        <v>Low</v>
      </c>
      <c r="M873" s="4" t="str" cm="1">
        <f t="array" ref="M87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73" s="4" cm="1">
        <f t="array" ref="N87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873" s="4">
        <f>Table15[[#This Row],[Total Amount]]-Table15[[#This Row],[Discount Amount]]</f>
        <v>60</v>
      </c>
    </row>
    <row r="874" spans="1:15" x14ac:dyDescent="0.35">
      <c r="A874" s="4">
        <v>873</v>
      </c>
      <c r="B874" s="5">
        <v>45198</v>
      </c>
      <c r="C874" s="4" t="s">
        <v>886</v>
      </c>
      <c r="D874" s="4" t="s">
        <v>13</v>
      </c>
      <c r="E874" s="4">
        <v>27</v>
      </c>
      <c r="F874" s="4" t="str">
        <f>IF(Table15[[#This Row],[Age]]&lt;=19,"Teenager",IF(Table15[[#This Row],[Age]]&lt;=40,"Median","Old"))</f>
        <v>Median</v>
      </c>
      <c r="G874" s="4" t="s">
        <v>16</v>
      </c>
      <c r="H874" s="4">
        <v>4</v>
      </c>
      <c r="I874" s="4">
        <v>25</v>
      </c>
      <c r="J874" s="4">
        <v>100</v>
      </c>
      <c r="K874" s="4" t="str" cm="1">
        <f t="array" ref="K874">_xlfn.IFS(AND(Table15[[#This Row],[Total Amount]]&gt;=1500),"Critical",AND(Table15[[#This Row],[Total Amount]]&gt;=1000),"High",TRUE,"Normal")</f>
        <v>Normal</v>
      </c>
      <c r="L874" s="4" t="str">
        <f>IF(Table15[[#This Row],[Total Amount]]&gt;=1000,"High",(IF(Table15[[#This Row],[Total Amount]]&gt;=500,"Medium","Low")))</f>
        <v>Low</v>
      </c>
      <c r="M874" s="4" t="str" cm="1">
        <f t="array" ref="M87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74" s="4" cm="1">
        <f t="array" ref="N87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874" s="4">
        <f>Table15[[#This Row],[Total Amount]]-Table15[[#This Row],[Discount Amount]]</f>
        <v>85</v>
      </c>
    </row>
    <row r="875" spans="1:15" x14ac:dyDescent="0.35">
      <c r="A875" s="4">
        <v>874</v>
      </c>
      <c r="B875" s="5">
        <v>45103</v>
      </c>
      <c r="C875" s="4" t="s">
        <v>887</v>
      </c>
      <c r="D875" s="4" t="s">
        <v>10</v>
      </c>
      <c r="E875" s="4">
        <v>60</v>
      </c>
      <c r="F875" s="4" t="str">
        <f>IF(Table15[[#This Row],[Age]]&lt;=19,"Teenager",IF(Table15[[#This Row],[Age]]&lt;=40,"Median","Old"))</f>
        <v>Old</v>
      </c>
      <c r="G875" s="4" t="s">
        <v>11</v>
      </c>
      <c r="H875" s="4">
        <v>1</v>
      </c>
      <c r="I875" s="4">
        <v>30</v>
      </c>
      <c r="J875" s="4">
        <v>30</v>
      </c>
      <c r="K875" s="4" t="str" cm="1">
        <f t="array" ref="K875">_xlfn.IFS(AND(Table15[[#This Row],[Total Amount]]&gt;=1500),"Critical",AND(Table15[[#This Row],[Total Amount]]&gt;=1000),"High",TRUE,"Normal")</f>
        <v>Normal</v>
      </c>
      <c r="L875" s="4" t="str">
        <f>IF(Table15[[#This Row],[Total Amount]]&gt;=1000,"High",(IF(Table15[[#This Row],[Total Amount]]&gt;=500,"Medium","Low")))</f>
        <v>Low</v>
      </c>
      <c r="M875" s="4" t="str" cm="1">
        <f t="array" ref="M87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75" s="4" cm="1">
        <f t="array" ref="N87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875" s="4">
        <f>Table15[[#This Row],[Total Amount]]-Table15[[#This Row],[Discount Amount]]</f>
        <v>27</v>
      </c>
    </row>
    <row r="876" spans="1:15" x14ac:dyDescent="0.35">
      <c r="A876" s="4">
        <v>875</v>
      </c>
      <c r="B876" s="5">
        <v>45144</v>
      </c>
      <c r="C876" s="4" t="s">
        <v>888</v>
      </c>
      <c r="D876" s="4" t="s">
        <v>13</v>
      </c>
      <c r="E876" s="4">
        <v>51</v>
      </c>
      <c r="F876" s="4" t="str">
        <f>IF(Table15[[#This Row],[Age]]&lt;=19,"Teenager",IF(Table15[[#This Row],[Age]]&lt;=40,"Median","Old"))</f>
        <v>Old</v>
      </c>
      <c r="G876" s="4" t="s">
        <v>16</v>
      </c>
      <c r="H876" s="4">
        <v>4</v>
      </c>
      <c r="I876" s="4">
        <v>500</v>
      </c>
      <c r="J876" s="4">
        <v>2000</v>
      </c>
      <c r="K876" s="4" t="str" cm="1">
        <f t="array" ref="K876">_xlfn.IFS(AND(Table15[[#This Row],[Total Amount]]&gt;=1500),"Critical",AND(Table15[[#This Row],[Total Amount]]&gt;=1000),"High",TRUE,"Normal")</f>
        <v>Critical</v>
      </c>
      <c r="L876" s="4" t="str">
        <f>IF(Table15[[#This Row],[Total Amount]]&gt;=1000,"High",(IF(Table15[[#This Row],[Total Amount]]&gt;=500,"Medium","Low")))</f>
        <v>High</v>
      </c>
      <c r="M876" s="4" t="str" cm="1">
        <f t="array" ref="M87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76" s="4" cm="1">
        <f t="array" ref="N87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876" s="4">
        <f>Table15[[#This Row],[Total Amount]]-Table15[[#This Row],[Discount Amount]]</f>
        <v>1600</v>
      </c>
    </row>
    <row r="877" spans="1:15" x14ac:dyDescent="0.35">
      <c r="A877" s="4">
        <v>876</v>
      </c>
      <c r="B877" s="5">
        <v>45208</v>
      </c>
      <c r="C877" s="4" t="s">
        <v>889</v>
      </c>
      <c r="D877" s="4" t="s">
        <v>10</v>
      </c>
      <c r="E877" s="4">
        <v>43</v>
      </c>
      <c r="F877" s="4" t="str">
        <f>IF(Table15[[#This Row],[Age]]&lt;=19,"Teenager",IF(Table15[[#This Row],[Age]]&lt;=40,"Median","Old"))</f>
        <v>Old</v>
      </c>
      <c r="G877" s="4" t="s">
        <v>14</v>
      </c>
      <c r="H877" s="4">
        <v>4</v>
      </c>
      <c r="I877" s="4">
        <v>30</v>
      </c>
      <c r="J877" s="4">
        <v>120</v>
      </c>
      <c r="K877" s="4" t="str" cm="1">
        <f t="array" ref="K877">_xlfn.IFS(AND(Table15[[#This Row],[Total Amount]]&gt;=1500),"Critical",AND(Table15[[#This Row],[Total Amount]]&gt;=1000),"High",TRUE,"Normal")</f>
        <v>Normal</v>
      </c>
      <c r="L877" s="4" t="str">
        <f>IF(Table15[[#This Row],[Total Amount]]&gt;=1000,"High",(IF(Table15[[#This Row],[Total Amount]]&gt;=500,"Medium","Low")))</f>
        <v>Low</v>
      </c>
      <c r="M877" s="4" t="str" cm="1">
        <f t="array" ref="M87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77" s="4" cm="1">
        <f t="array" ref="N87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877" s="4">
        <f>Table15[[#This Row],[Total Amount]]-Table15[[#This Row],[Discount Amount]]</f>
        <v>108</v>
      </c>
    </row>
    <row r="878" spans="1:15" x14ac:dyDescent="0.35">
      <c r="A878" s="4">
        <v>877</v>
      </c>
      <c r="B878" s="5">
        <v>45096</v>
      </c>
      <c r="C878" s="4" t="s">
        <v>890</v>
      </c>
      <c r="D878" s="4" t="s">
        <v>13</v>
      </c>
      <c r="E878" s="4">
        <v>58</v>
      </c>
      <c r="F878" s="4" t="str">
        <f>IF(Table15[[#This Row],[Age]]&lt;=19,"Teenager",IF(Table15[[#This Row],[Age]]&lt;=40,"Median","Old"))</f>
        <v>Old</v>
      </c>
      <c r="G878" s="4" t="s">
        <v>14</v>
      </c>
      <c r="H878" s="4">
        <v>1</v>
      </c>
      <c r="I878" s="4">
        <v>25</v>
      </c>
      <c r="J878" s="4">
        <v>25</v>
      </c>
      <c r="K878" s="4" t="str" cm="1">
        <f t="array" ref="K878">_xlfn.IFS(AND(Table15[[#This Row],[Total Amount]]&gt;=1500),"Critical",AND(Table15[[#This Row],[Total Amount]]&gt;=1000),"High",TRUE,"Normal")</f>
        <v>Normal</v>
      </c>
      <c r="L878" s="4" t="str">
        <f>IF(Table15[[#This Row],[Total Amount]]&gt;=1000,"High",(IF(Table15[[#This Row],[Total Amount]]&gt;=500,"Medium","Low")))</f>
        <v>Low</v>
      </c>
      <c r="M878" s="4" t="str" cm="1">
        <f t="array" ref="M87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78" s="4" cm="1">
        <f t="array" ref="N87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878" s="4">
        <f>Table15[[#This Row],[Total Amount]]-Table15[[#This Row],[Discount Amount]]</f>
        <v>20</v>
      </c>
    </row>
    <row r="879" spans="1:15" x14ac:dyDescent="0.35">
      <c r="A879" s="4">
        <v>878</v>
      </c>
      <c r="B879" s="5">
        <v>45107</v>
      </c>
      <c r="C879" s="4" t="s">
        <v>891</v>
      </c>
      <c r="D879" s="4" t="s">
        <v>13</v>
      </c>
      <c r="E879" s="4">
        <v>20</v>
      </c>
      <c r="F879" s="4" t="str">
        <f>IF(Table15[[#This Row],[Age]]&lt;=19,"Teenager",IF(Table15[[#This Row],[Age]]&lt;=40,"Median","Old"))</f>
        <v>Median</v>
      </c>
      <c r="G879" s="4" t="s">
        <v>14</v>
      </c>
      <c r="H879" s="4">
        <v>1</v>
      </c>
      <c r="I879" s="4">
        <v>30</v>
      </c>
      <c r="J879" s="4">
        <v>30</v>
      </c>
      <c r="K879" s="4" t="str" cm="1">
        <f t="array" ref="K879">_xlfn.IFS(AND(Table15[[#This Row],[Total Amount]]&gt;=1500),"Critical",AND(Table15[[#This Row],[Total Amount]]&gt;=1000),"High",TRUE,"Normal")</f>
        <v>Normal</v>
      </c>
      <c r="L879" s="4" t="str">
        <f>IF(Table15[[#This Row],[Total Amount]]&gt;=1000,"High",(IF(Table15[[#This Row],[Total Amount]]&gt;=500,"Medium","Low")))</f>
        <v>Low</v>
      </c>
      <c r="M879" s="4" t="str" cm="1">
        <f t="array" ref="M87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79" s="4" cm="1">
        <f t="array" ref="N87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79" s="4">
        <f>Table15[[#This Row],[Total Amount]]-Table15[[#This Row],[Discount Amount]]</f>
        <v>30</v>
      </c>
    </row>
    <row r="880" spans="1:15" x14ac:dyDescent="0.35">
      <c r="A880" s="4">
        <v>879</v>
      </c>
      <c r="B880" s="5">
        <v>45286</v>
      </c>
      <c r="C880" s="4" t="s">
        <v>892</v>
      </c>
      <c r="D880" s="4" t="s">
        <v>10</v>
      </c>
      <c r="E880" s="4">
        <v>23</v>
      </c>
      <c r="F880" s="4" t="str">
        <f>IF(Table15[[#This Row],[Age]]&lt;=19,"Teenager",IF(Table15[[#This Row],[Age]]&lt;=40,"Median","Old"))</f>
        <v>Median</v>
      </c>
      <c r="G880" s="4" t="s">
        <v>14</v>
      </c>
      <c r="H880" s="4">
        <v>1</v>
      </c>
      <c r="I880" s="4">
        <v>30</v>
      </c>
      <c r="J880" s="4">
        <v>30</v>
      </c>
      <c r="K880" s="4" t="str" cm="1">
        <f t="array" ref="K880">_xlfn.IFS(AND(Table15[[#This Row],[Total Amount]]&gt;=1500),"Critical",AND(Table15[[#This Row],[Total Amount]]&gt;=1000),"High",TRUE,"Normal")</f>
        <v>Normal</v>
      </c>
      <c r="L880" s="4" t="str">
        <f>IF(Table15[[#This Row],[Total Amount]]&gt;=1000,"High",(IF(Table15[[#This Row],[Total Amount]]&gt;=500,"Medium","Low")))</f>
        <v>Low</v>
      </c>
      <c r="M880" s="4" t="str" cm="1">
        <f t="array" ref="M88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80" s="4" cm="1">
        <f t="array" ref="N88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80" s="4">
        <f>Table15[[#This Row],[Total Amount]]-Table15[[#This Row],[Discount Amount]]</f>
        <v>30</v>
      </c>
    </row>
    <row r="881" spans="1:15" x14ac:dyDescent="0.35">
      <c r="A881" s="4">
        <v>880</v>
      </c>
      <c r="B881" s="5">
        <v>45159</v>
      </c>
      <c r="C881" s="4" t="s">
        <v>893</v>
      </c>
      <c r="D881" s="4" t="s">
        <v>10</v>
      </c>
      <c r="E881" s="4">
        <v>22</v>
      </c>
      <c r="F881" s="4" t="str">
        <f>IF(Table15[[#This Row],[Age]]&lt;=19,"Teenager",IF(Table15[[#This Row],[Age]]&lt;=40,"Median","Old"))</f>
        <v>Median</v>
      </c>
      <c r="G881" s="4" t="s">
        <v>11</v>
      </c>
      <c r="H881" s="4">
        <v>2</v>
      </c>
      <c r="I881" s="4">
        <v>500</v>
      </c>
      <c r="J881" s="4">
        <v>1000</v>
      </c>
      <c r="K881" s="4" t="str" cm="1">
        <f t="array" ref="K881">_xlfn.IFS(AND(Table15[[#This Row],[Total Amount]]&gt;=1500),"Critical",AND(Table15[[#This Row],[Total Amount]]&gt;=1000),"High",TRUE,"Normal")</f>
        <v>High</v>
      </c>
      <c r="L881" s="4" t="str">
        <f>IF(Table15[[#This Row],[Total Amount]]&gt;=1000,"High",(IF(Table15[[#This Row],[Total Amount]]&gt;=500,"Medium","Low")))</f>
        <v>High</v>
      </c>
      <c r="M881" s="4" t="str" cm="1">
        <f t="array" ref="M88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81" s="4" cm="1">
        <f t="array" ref="N88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81" s="4">
        <f>Table15[[#This Row],[Total Amount]]-Table15[[#This Row],[Discount Amount]]</f>
        <v>1000</v>
      </c>
    </row>
    <row r="882" spans="1:15" x14ac:dyDescent="0.35">
      <c r="A882" s="4">
        <v>881</v>
      </c>
      <c r="B882" s="5">
        <v>45065</v>
      </c>
      <c r="C882" s="4" t="s">
        <v>894</v>
      </c>
      <c r="D882" s="4" t="s">
        <v>10</v>
      </c>
      <c r="E882" s="4">
        <v>22</v>
      </c>
      <c r="F882" s="4" t="str">
        <f>IF(Table15[[#This Row],[Age]]&lt;=19,"Teenager",IF(Table15[[#This Row],[Age]]&lt;=40,"Median","Old"))</f>
        <v>Median</v>
      </c>
      <c r="G882" s="4" t="s">
        <v>16</v>
      </c>
      <c r="H882" s="4">
        <v>1</v>
      </c>
      <c r="I882" s="4">
        <v>300</v>
      </c>
      <c r="J882" s="4">
        <v>300</v>
      </c>
      <c r="K882" s="4" t="str" cm="1">
        <f t="array" ref="K882">_xlfn.IFS(AND(Table15[[#This Row],[Total Amount]]&gt;=1500),"Critical",AND(Table15[[#This Row],[Total Amount]]&gt;=1000),"High",TRUE,"Normal")</f>
        <v>Normal</v>
      </c>
      <c r="L882" s="4" t="str">
        <f>IF(Table15[[#This Row],[Total Amount]]&gt;=1000,"High",(IF(Table15[[#This Row],[Total Amount]]&gt;=500,"Medium","Low")))</f>
        <v>Low</v>
      </c>
      <c r="M882" s="4" t="str" cm="1">
        <f t="array" ref="M88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82" s="4" cm="1">
        <f t="array" ref="N88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82" s="4">
        <f>Table15[[#This Row],[Total Amount]]-Table15[[#This Row],[Discount Amount]]</f>
        <v>300</v>
      </c>
    </row>
    <row r="883" spans="1:15" x14ac:dyDescent="0.35">
      <c r="A883" s="4">
        <v>882</v>
      </c>
      <c r="B883" s="5">
        <v>45083</v>
      </c>
      <c r="C883" s="4" t="s">
        <v>895</v>
      </c>
      <c r="D883" s="4" t="s">
        <v>13</v>
      </c>
      <c r="E883" s="4">
        <v>64</v>
      </c>
      <c r="F883" s="4" t="str">
        <f>IF(Table15[[#This Row],[Age]]&lt;=19,"Teenager",IF(Table15[[#This Row],[Age]]&lt;=40,"Median","Old"))</f>
        <v>Old</v>
      </c>
      <c r="G883" s="4" t="s">
        <v>16</v>
      </c>
      <c r="H883" s="4">
        <v>2</v>
      </c>
      <c r="I883" s="4">
        <v>25</v>
      </c>
      <c r="J883" s="4">
        <v>50</v>
      </c>
      <c r="K883" s="4" t="str" cm="1">
        <f t="array" ref="K883">_xlfn.IFS(AND(Table15[[#This Row],[Total Amount]]&gt;=1500),"Critical",AND(Table15[[#This Row],[Total Amount]]&gt;=1000),"High",TRUE,"Normal")</f>
        <v>Normal</v>
      </c>
      <c r="L883" s="4" t="str">
        <f>IF(Table15[[#This Row],[Total Amount]]&gt;=1000,"High",(IF(Table15[[#This Row],[Total Amount]]&gt;=500,"Medium","Low")))</f>
        <v>Low</v>
      </c>
      <c r="M883" s="4" t="str" cm="1">
        <f t="array" ref="M88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83" s="4" cm="1">
        <f t="array" ref="N88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883" s="4">
        <f>Table15[[#This Row],[Total Amount]]-Table15[[#This Row],[Discount Amount]]</f>
        <v>40</v>
      </c>
    </row>
    <row r="884" spans="1:15" x14ac:dyDescent="0.35">
      <c r="A884" s="4">
        <v>883</v>
      </c>
      <c r="B884" s="5">
        <v>45055</v>
      </c>
      <c r="C884" s="4" t="s">
        <v>896</v>
      </c>
      <c r="D884" s="4" t="s">
        <v>10</v>
      </c>
      <c r="E884" s="4">
        <v>40</v>
      </c>
      <c r="F884" s="4" t="str">
        <f>IF(Table15[[#This Row],[Age]]&lt;=19,"Teenager",IF(Table15[[#This Row],[Age]]&lt;=40,"Median","Old"))</f>
        <v>Median</v>
      </c>
      <c r="G884" s="4" t="s">
        <v>16</v>
      </c>
      <c r="H884" s="4">
        <v>1</v>
      </c>
      <c r="I884" s="4">
        <v>500</v>
      </c>
      <c r="J884" s="4">
        <v>500</v>
      </c>
      <c r="K884" s="4" t="str" cm="1">
        <f t="array" ref="K884">_xlfn.IFS(AND(Table15[[#This Row],[Total Amount]]&gt;=1500),"Critical",AND(Table15[[#This Row],[Total Amount]]&gt;=1000),"High",TRUE,"Normal")</f>
        <v>Normal</v>
      </c>
      <c r="L884" s="4" t="str">
        <f>IF(Table15[[#This Row],[Total Amount]]&gt;=1000,"High",(IF(Table15[[#This Row],[Total Amount]]&gt;=500,"Medium","Low")))</f>
        <v>Medium</v>
      </c>
      <c r="M884" s="4" t="str" cm="1">
        <f t="array" ref="M88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84" s="4" cm="1">
        <f t="array" ref="N88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884" s="4">
        <f>Table15[[#This Row],[Total Amount]]-Table15[[#This Row],[Discount Amount]]</f>
        <v>450</v>
      </c>
    </row>
    <row r="885" spans="1:15" x14ac:dyDescent="0.35">
      <c r="A885" s="4">
        <v>884</v>
      </c>
      <c r="B885" s="5">
        <v>45045</v>
      </c>
      <c r="C885" s="4" t="s">
        <v>897</v>
      </c>
      <c r="D885" s="4" t="s">
        <v>13</v>
      </c>
      <c r="E885" s="4">
        <v>26</v>
      </c>
      <c r="F885" s="4" t="str">
        <f>IF(Table15[[#This Row],[Age]]&lt;=19,"Teenager",IF(Table15[[#This Row],[Age]]&lt;=40,"Median","Old"))</f>
        <v>Median</v>
      </c>
      <c r="G885" s="4" t="s">
        <v>14</v>
      </c>
      <c r="H885" s="4">
        <v>2</v>
      </c>
      <c r="I885" s="4">
        <v>30</v>
      </c>
      <c r="J885" s="4">
        <v>60</v>
      </c>
      <c r="K885" s="4" t="str" cm="1">
        <f t="array" ref="K885">_xlfn.IFS(AND(Table15[[#This Row],[Total Amount]]&gt;=1500),"Critical",AND(Table15[[#This Row],[Total Amount]]&gt;=1000),"High",TRUE,"Normal")</f>
        <v>Normal</v>
      </c>
      <c r="L885" s="4" t="str">
        <f>IF(Table15[[#This Row],[Total Amount]]&gt;=1000,"High",(IF(Table15[[#This Row],[Total Amount]]&gt;=500,"Medium","Low")))</f>
        <v>Low</v>
      </c>
      <c r="M885" s="4" t="str" cm="1">
        <f t="array" ref="M88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85" s="4" cm="1">
        <f t="array" ref="N88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885" s="4">
        <f>Table15[[#This Row],[Total Amount]]-Table15[[#This Row],[Discount Amount]]</f>
        <v>51</v>
      </c>
    </row>
    <row r="886" spans="1:15" x14ac:dyDescent="0.35">
      <c r="A886" s="4">
        <v>885</v>
      </c>
      <c r="B886" s="5">
        <v>44988</v>
      </c>
      <c r="C886" s="4" t="s">
        <v>898</v>
      </c>
      <c r="D886" s="4" t="s">
        <v>13</v>
      </c>
      <c r="E886" s="4">
        <v>52</v>
      </c>
      <c r="F886" s="4" t="str">
        <f>IF(Table15[[#This Row],[Age]]&lt;=19,"Teenager",IF(Table15[[#This Row],[Age]]&lt;=40,"Median","Old"))</f>
        <v>Old</v>
      </c>
      <c r="G886" s="4" t="s">
        <v>14</v>
      </c>
      <c r="H886" s="4">
        <v>4</v>
      </c>
      <c r="I886" s="4">
        <v>30</v>
      </c>
      <c r="J886" s="4">
        <v>120</v>
      </c>
      <c r="K886" s="4" t="str" cm="1">
        <f t="array" ref="K886">_xlfn.IFS(AND(Table15[[#This Row],[Total Amount]]&gt;=1500),"Critical",AND(Table15[[#This Row],[Total Amount]]&gt;=1000),"High",TRUE,"Normal")</f>
        <v>Normal</v>
      </c>
      <c r="L886" s="4" t="str">
        <f>IF(Table15[[#This Row],[Total Amount]]&gt;=1000,"High",(IF(Table15[[#This Row],[Total Amount]]&gt;=500,"Medium","Low")))</f>
        <v>Low</v>
      </c>
      <c r="M886" s="4" t="str" cm="1">
        <f t="array" ref="M88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86" s="4" cm="1">
        <f t="array" ref="N88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886" s="4">
        <f>Table15[[#This Row],[Total Amount]]-Table15[[#This Row],[Discount Amount]]</f>
        <v>96</v>
      </c>
    </row>
    <row r="887" spans="1:15" x14ac:dyDescent="0.35">
      <c r="A887" s="4">
        <v>886</v>
      </c>
      <c r="B887" s="5">
        <v>45025</v>
      </c>
      <c r="C887" s="4" t="s">
        <v>899</v>
      </c>
      <c r="D887" s="4" t="s">
        <v>10</v>
      </c>
      <c r="E887" s="4">
        <v>37</v>
      </c>
      <c r="F887" s="4" t="str">
        <f>IF(Table15[[#This Row],[Age]]&lt;=19,"Teenager",IF(Table15[[#This Row],[Age]]&lt;=40,"Median","Old"))</f>
        <v>Median</v>
      </c>
      <c r="G887" s="4" t="s">
        <v>16</v>
      </c>
      <c r="H887" s="4">
        <v>3</v>
      </c>
      <c r="I887" s="4">
        <v>300</v>
      </c>
      <c r="J887" s="4">
        <v>900</v>
      </c>
      <c r="K887" s="4" t="str" cm="1">
        <f t="array" ref="K887">_xlfn.IFS(AND(Table15[[#This Row],[Total Amount]]&gt;=1500),"Critical",AND(Table15[[#This Row],[Total Amount]]&gt;=1000),"High",TRUE,"Normal")</f>
        <v>Normal</v>
      </c>
      <c r="L887" s="4" t="str">
        <f>IF(Table15[[#This Row],[Total Amount]]&gt;=1000,"High",(IF(Table15[[#This Row],[Total Amount]]&gt;=500,"Medium","Low")))</f>
        <v>Medium</v>
      </c>
      <c r="M887" s="4" t="str" cm="1">
        <f t="array" ref="M88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87" s="4" cm="1">
        <f t="array" ref="N88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887" s="4">
        <f>Table15[[#This Row],[Total Amount]]-Table15[[#This Row],[Discount Amount]]</f>
        <v>810</v>
      </c>
    </row>
    <row r="888" spans="1:15" x14ac:dyDescent="0.35">
      <c r="A888" s="4">
        <v>887</v>
      </c>
      <c r="B888" s="5">
        <v>45088</v>
      </c>
      <c r="C888" s="4" t="s">
        <v>900</v>
      </c>
      <c r="D888" s="4" t="s">
        <v>10</v>
      </c>
      <c r="E888" s="4">
        <v>59</v>
      </c>
      <c r="F888" s="4" t="str">
        <f>IF(Table15[[#This Row],[Age]]&lt;=19,"Teenager",IF(Table15[[#This Row],[Age]]&lt;=40,"Median","Old"))</f>
        <v>Old</v>
      </c>
      <c r="G888" s="4" t="s">
        <v>14</v>
      </c>
      <c r="H888" s="4">
        <v>4</v>
      </c>
      <c r="I888" s="4">
        <v>25</v>
      </c>
      <c r="J888" s="4">
        <v>100</v>
      </c>
      <c r="K888" s="4" t="str" cm="1">
        <f t="array" ref="K888">_xlfn.IFS(AND(Table15[[#This Row],[Total Amount]]&gt;=1500),"Critical",AND(Table15[[#This Row],[Total Amount]]&gt;=1000),"High",TRUE,"Normal")</f>
        <v>Normal</v>
      </c>
      <c r="L888" s="4" t="str">
        <f>IF(Table15[[#This Row],[Total Amount]]&gt;=1000,"High",(IF(Table15[[#This Row],[Total Amount]]&gt;=500,"Medium","Low")))</f>
        <v>Low</v>
      </c>
      <c r="M888" s="4" t="str" cm="1">
        <f t="array" ref="M88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88" s="4" cm="1">
        <f t="array" ref="N88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888" s="4">
        <f>Table15[[#This Row],[Total Amount]]-Table15[[#This Row],[Discount Amount]]</f>
        <v>90</v>
      </c>
    </row>
    <row r="889" spans="1:15" x14ac:dyDescent="0.35">
      <c r="A889" s="4">
        <v>888</v>
      </c>
      <c r="B889" s="5">
        <v>44988</v>
      </c>
      <c r="C889" s="4" t="s">
        <v>901</v>
      </c>
      <c r="D889" s="4" t="s">
        <v>13</v>
      </c>
      <c r="E889" s="4">
        <v>52</v>
      </c>
      <c r="F889" s="4" t="str">
        <f>IF(Table15[[#This Row],[Age]]&lt;=19,"Teenager",IF(Table15[[#This Row],[Age]]&lt;=40,"Median","Old"))</f>
        <v>Old</v>
      </c>
      <c r="G889" s="4" t="s">
        <v>16</v>
      </c>
      <c r="H889" s="4">
        <v>4</v>
      </c>
      <c r="I889" s="4">
        <v>25</v>
      </c>
      <c r="J889" s="4">
        <v>100</v>
      </c>
      <c r="K889" s="4" t="str" cm="1">
        <f t="array" ref="K889">_xlfn.IFS(AND(Table15[[#This Row],[Total Amount]]&gt;=1500),"Critical",AND(Table15[[#This Row],[Total Amount]]&gt;=1000),"High",TRUE,"Normal")</f>
        <v>Normal</v>
      </c>
      <c r="L889" s="4" t="str">
        <f>IF(Table15[[#This Row],[Total Amount]]&gt;=1000,"High",(IF(Table15[[#This Row],[Total Amount]]&gt;=500,"Medium","Low")))</f>
        <v>Low</v>
      </c>
      <c r="M889" s="4" t="str" cm="1">
        <f t="array" ref="M88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89" s="4" cm="1">
        <f t="array" ref="N88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889" s="4">
        <f>Table15[[#This Row],[Total Amount]]-Table15[[#This Row],[Discount Amount]]</f>
        <v>80</v>
      </c>
    </row>
    <row r="890" spans="1:15" x14ac:dyDescent="0.35">
      <c r="A890" s="4">
        <v>889</v>
      </c>
      <c r="B890" s="5">
        <v>45201</v>
      </c>
      <c r="C890" s="4" t="s">
        <v>902</v>
      </c>
      <c r="D890" s="4" t="s">
        <v>13</v>
      </c>
      <c r="E890" s="4">
        <v>35</v>
      </c>
      <c r="F890" s="4" t="str">
        <f>IF(Table15[[#This Row],[Age]]&lt;=19,"Teenager",IF(Table15[[#This Row],[Age]]&lt;=40,"Median","Old"))</f>
        <v>Median</v>
      </c>
      <c r="G890" s="4" t="s">
        <v>16</v>
      </c>
      <c r="H890" s="4">
        <v>1</v>
      </c>
      <c r="I890" s="4">
        <v>50</v>
      </c>
      <c r="J890" s="4">
        <v>50</v>
      </c>
      <c r="K890" s="4" t="str" cm="1">
        <f t="array" ref="K890">_xlfn.IFS(AND(Table15[[#This Row],[Total Amount]]&gt;=1500),"Critical",AND(Table15[[#This Row],[Total Amount]]&gt;=1000),"High",TRUE,"Normal")</f>
        <v>Normal</v>
      </c>
      <c r="L890" s="4" t="str">
        <f>IF(Table15[[#This Row],[Total Amount]]&gt;=1000,"High",(IF(Table15[[#This Row],[Total Amount]]&gt;=500,"Medium","Low")))</f>
        <v>Low</v>
      </c>
      <c r="M890" s="4" t="str" cm="1">
        <f t="array" ref="M89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90" s="4" cm="1">
        <f t="array" ref="N89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890" s="4">
        <f>Table15[[#This Row],[Total Amount]]-Table15[[#This Row],[Discount Amount]]</f>
        <v>40</v>
      </c>
    </row>
    <row r="891" spans="1:15" x14ac:dyDescent="0.35">
      <c r="A891" s="4">
        <v>890</v>
      </c>
      <c r="B891" s="5">
        <v>45280</v>
      </c>
      <c r="C891" s="4" t="s">
        <v>903</v>
      </c>
      <c r="D891" s="4" t="s">
        <v>10</v>
      </c>
      <c r="E891" s="4">
        <v>34</v>
      </c>
      <c r="F891" s="4" t="str">
        <f>IF(Table15[[#This Row],[Age]]&lt;=19,"Teenager",IF(Table15[[#This Row],[Age]]&lt;=40,"Median","Old"))</f>
        <v>Median</v>
      </c>
      <c r="G891" s="4" t="s">
        <v>16</v>
      </c>
      <c r="H891" s="4">
        <v>2</v>
      </c>
      <c r="I891" s="4">
        <v>25</v>
      </c>
      <c r="J891" s="4">
        <v>50</v>
      </c>
      <c r="K891" s="4" t="str" cm="1">
        <f t="array" ref="K891">_xlfn.IFS(AND(Table15[[#This Row],[Total Amount]]&gt;=1500),"Critical",AND(Table15[[#This Row],[Total Amount]]&gt;=1000),"High",TRUE,"Normal")</f>
        <v>Normal</v>
      </c>
      <c r="L891" s="4" t="str">
        <f>IF(Table15[[#This Row],[Total Amount]]&gt;=1000,"High",(IF(Table15[[#This Row],[Total Amount]]&gt;=500,"Medium","Low")))</f>
        <v>Low</v>
      </c>
      <c r="M891" s="4" t="str" cm="1">
        <f t="array" ref="M89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91" s="4" cm="1">
        <f t="array" ref="N89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891" s="4">
        <f>Table15[[#This Row],[Total Amount]]-Table15[[#This Row],[Discount Amount]]</f>
        <v>42.5</v>
      </c>
    </row>
    <row r="892" spans="1:15" x14ac:dyDescent="0.35">
      <c r="A892" s="4">
        <v>891</v>
      </c>
      <c r="B892" s="5">
        <v>45021</v>
      </c>
      <c r="C892" s="4" t="s">
        <v>904</v>
      </c>
      <c r="D892" s="4" t="s">
        <v>10</v>
      </c>
      <c r="E892" s="4">
        <v>41</v>
      </c>
      <c r="F892" s="4" t="str">
        <f>IF(Table15[[#This Row],[Age]]&lt;=19,"Teenager",IF(Table15[[#This Row],[Age]]&lt;=40,"Median","Old"))</f>
        <v>Old</v>
      </c>
      <c r="G892" s="4" t="s">
        <v>16</v>
      </c>
      <c r="H892" s="4">
        <v>3</v>
      </c>
      <c r="I892" s="4">
        <v>300</v>
      </c>
      <c r="J892" s="4">
        <v>900</v>
      </c>
      <c r="K892" s="4" t="str" cm="1">
        <f t="array" ref="K892">_xlfn.IFS(AND(Table15[[#This Row],[Total Amount]]&gt;=1500),"Critical",AND(Table15[[#This Row],[Total Amount]]&gt;=1000),"High",TRUE,"Normal")</f>
        <v>Normal</v>
      </c>
      <c r="L892" s="4" t="str">
        <f>IF(Table15[[#This Row],[Total Amount]]&gt;=1000,"High",(IF(Table15[[#This Row],[Total Amount]]&gt;=500,"Medium","Low")))</f>
        <v>Medium</v>
      </c>
      <c r="M892" s="4" t="str" cm="1">
        <f t="array" ref="M89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92" s="4" cm="1">
        <f t="array" ref="N89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892" s="4">
        <f>Table15[[#This Row],[Total Amount]]-Table15[[#This Row],[Discount Amount]]</f>
        <v>810</v>
      </c>
    </row>
    <row r="893" spans="1:15" x14ac:dyDescent="0.35">
      <c r="A893" s="4">
        <v>892</v>
      </c>
      <c r="B893" s="5">
        <v>45025</v>
      </c>
      <c r="C893" s="4" t="s">
        <v>905</v>
      </c>
      <c r="D893" s="4" t="s">
        <v>10</v>
      </c>
      <c r="E893" s="4">
        <v>20</v>
      </c>
      <c r="F893" s="4" t="str">
        <f>IF(Table15[[#This Row],[Age]]&lt;=19,"Teenager",IF(Table15[[#This Row],[Age]]&lt;=40,"Median","Old"))</f>
        <v>Median</v>
      </c>
      <c r="G893" s="4" t="s">
        <v>16</v>
      </c>
      <c r="H893" s="4">
        <v>1</v>
      </c>
      <c r="I893" s="4">
        <v>50</v>
      </c>
      <c r="J893" s="4">
        <v>50</v>
      </c>
      <c r="K893" s="4" t="str" cm="1">
        <f t="array" ref="K893">_xlfn.IFS(AND(Table15[[#This Row],[Total Amount]]&gt;=1500),"Critical",AND(Table15[[#This Row],[Total Amount]]&gt;=1000),"High",TRUE,"Normal")</f>
        <v>Normal</v>
      </c>
      <c r="L893" s="4" t="str">
        <f>IF(Table15[[#This Row],[Total Amount]]&gt;=1000,"High",(IF(Table15[[#This Row],[Total Amount]]&gt;=500,"Medium","Low")))</f>
        <v>Low</v>
      </c>
      <c r="M893" s="4" t="str" cm="1">
        <f t="array" ref="M89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93" s="4" cm="1">
        <f t="array" ref="N89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93" s="4">
        <f>Table15[[#This Row],[Total Amount]]-Table15[[#This Row],[Discount Amount]]</f>
        <v>50</v>
      </c>
    </row>
    <row r="894" spans="1:15" x14ac:dyDescent="0.35">
      <c r="A894" s="4">
        <v>893</v>
      </c>
      <c r="B894" s="5">
        <v>45037</v>
      </c>
      <c r="C894" s="4" t="s">
        <v>906</v>
      </c>
      <c r="D894" s="4" t="s">
        <v>10</v>
      </c>
      <c r="E894" s="4">
        <v>49</v>
      </c>
      <c r="F894" s="4" t="str">
        <f>IF(Table15[[#This Row],[Age]]&lt;=19,"Teenager",IF(Table15[[#This Row],[Age]]&lt;=40,"Median","Old"))</f>
        <v>Old</v>
      </c>
      <c r="G894" s="4" t="s">
        <v>16</v>
      </c>
      <c r="H894" s="4">
        <v>1</v>
      </c>
      <c r="I894" s="4">
        <v>50</v>
      </c>
      <c r="J894" s="4">
        <v>50</v>
      </c>
      <c r="K894" s="4" t="str" cm="1">
        <f t="array" ref="K894">_xlfn.IFS(AND(Table15[[#This Row],[Total Amount]]&gt;=1500),"Critical",AND(Table15[[#This Row],[Total Amount]]&gt;=1000),"High",TRUE,"Normal")</f>
        <v>Normal</v>
      </c>
      <c r="L894" s="4" t="str">
        <f>IF(Table15[[#This Row],[Total Amount]]&gt;=1000,"High",(IF(Table15[[#This Row],[Total Amount]]&gt;=500,"Medium","Low")))</f>
        <v>Low</v>
      </c>
      <c r="M894" s="4" t="str" cm="1">
        <f t="array" ref="M89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94" s="4" cm="1">
        <f t="array" ref="N89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894" s="4">
        <f>Table15[[#This Row],[Total Amount]]-Table15[[#This Row],[Discount Amount]]</f>
        <v>45</v>
      </c>
    </row>
    <row r="895" spans="1:15" x14ac:dyDescent="0.35">
      <c r="A895" s="4">
        <v>894</v>
      </c>
      <c r="B895" s="5">
        <v>45174</v>
      </c>
      <c r="C895" s="4" t="s">
        <v>907</v>
      </c>
      <c r="D895" s="4" t="s">
        <v>10</v>
      </c>
      <c r="E895" s="4">
        <v>52</v>
      </c>
      <c r="F895" s="4" t="str">
        <f>IF(Table15[[#This Row],[Age]]&lt;=19,"Teenager",IF(Table15[[#This Row],[Age]]&lt;=40,"Median","Old"))</f>
        <v>Old</v>
      </c>
      <c r="G895" s="4" t="s">
        <v>16</v>
      </c>
      <c r="H895" s="4">
        <v>1</v>
      </c>
      <c r="I895" s="4">
        <v>30</v>
      </c>
      <c r="J895" s="4">
        <v>30</v>
      </c>
      <c r="K895" s="4" t="str" cm="1">
        <f t="array" ref="K895">_xlfn.IFS(AND(Table15[[#This Row],[Total Amount]]&gt;=1500),"Critical",AND(Table15[[#This Row],[Total Amount]]&gt;=1000),"High",TRUE,"Normal")</f>
        <v>Normal</v>
      </c>
      <c r="L895" s="4" t="str">
        <f>IF(Table15[[#This Row],[Total Amount]]&gt;=1000,"High",(IF(Table15[[#This Row],[Total Amount]]&gt;=500,"Medium","Low")))</f>
        <v>Low</v>
      </c>
      <c r="M895" s="4" t="str" cm="1">
        <f t="array" ref="M89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95" s="4" cm="1">
        <f t="array" ref="N89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895" s="4">
        <f>Table15[[#This Row],[Total Amount]]-Table15[[#This Row],[Discount Amount]]</f>
        <v>27</v>
      </c>
    </row>
    <row r="896" spans="1:15" x14ac:dyDescent="0.35">
      <c r="A896" s="4">
        <v>895</v>
      </c>
      <c r="B896" s="5">
        <v>45068</v>
      </c>
      <c r="C896" s="4" t="s">
        <v>908</v>
      </c>
      <c r="D896" s="4" t="s">
        <v>13</v>
      </c>
      <c r="E896" s="4">
        <v>55</v>
      </c>
      <c r="F896" s="4" t="str">
        <f>IF(Table15[[#This Row],[Age]]&lt;=19,"Teenager",IF(Table15[[#This Row],[Age]]&lt;=40,"Median","Old"))</f>
        <v>Old</v>
      </c>
      <c r="G896" s="4" t="s">
        <v>14</v>
      </c>
      <c r="H896" s="4">
        <v>4</v>
      </c>
      <c r="I896" s="4">
        <v>30</v>
      </c>
      <c r="J896" s="4">
        <v>120</v>
      </c>
      <c r="K896" s="4" t="str" cm="1">
        <f t="array" ref="K896">_xlfn.IFS(AND(Table15[[#This Row],[Total Amount]]&gt;=1500),"Critical",AND(Table15[[#This Row],[Total Amount]]&gt;=1000),"High",TRUE,"Normal")</f>
        <v>Normal</v>
      </c>
      <c r="L896" s="4" t="str">
        <f>IF(Table15[[#This Row],[Total Amount]]&gt;=1000,"High",(IF(Table15[[#This Row],[Total Amount]]&gt;=500,"Medium","Low")))</f>
        <v>Low</v>
      </c>
      <c r="M896" s="4" t="str" cm="1">
        <f t="array" ref="M89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96" s="4" cm="1">
        <f t="array" ref="N89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896" s="4">
        <f>Table15[[#This Row],[Total Amount]]-Table15[[#This Row],[Discount Amount]]</f>
        <v>96</v>
      </c>
    </row>
    <row r="897" spans="1:15" x14ac:dyDescent="0.35">
      <c r="A897" s="4">
        <v>896</v>
      </c>
      <c r="B897" s="5">
        <v>45228</v>
      </c>
      <c r="C897" s="4" t="s">
        <v>909</v>
      </c>
      <c r="D897" s="4" t="s">
        <v>13</v>
      </c>
      <c r="E897" s="4">
        <v>30</v>
      </c>
      <c r="F897" s="4" t="str">
        <f>IF(Table15[[#This Row],[Age]]&lt;=19,"Teenager",IF(Table15[[#This Row],[Age]]&lt;=40,"Median","Old"))</f>
        <v>Median</v>
      </c>
      <c r="G897" s="4" t="s">
        <v>16</v>
      </c>
      <c r="H897" s="4">
        <v>2</v>
      </c>
      <c r="I897" s="4">
        <v>25</v>
      </c>
      <c r="J897" s="4">
        <v>50</v>
      </c>
      <c r="K897" s="4" t="str" cm="1">
        <f t="array" ref="K897">_xlfn.IFS(AND(Table15[[#This Row],[Total Amount]]&gt;=1500),"Critical",AND(Table15[[#This Row],[Total Amount]]&gt;=1000),"High",TRUE,"Normal")</f>
        <v>Normal</v>
      </c>
      <c r="L897" s="4" t="str">
        <f>IF(Table15[[#This Row],[Total Amount]]&gt;=1000,"High",(IF(Table15[[#This Row],[Total Amount]]&gt;=500,"Medium","Low")))</f>
        <v>Low</v>
      </c>
      <c r="M897" s="4" t="str" cm="1">
        <f t="array" ref="M89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97" s="4" cm="1">
        <f t="array" ref="N89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897" s="4">
        <f>Table15[[#This Row],[Total Amount]]-Table15[[#This Row],[Discount Amount]]</f>
        <v>42.5</v>
      </c>
    </row>
    <row r="898" spans="1:15" x14ac:dyDescent="0.35">
      <c r="A898" s="4">
        <v>897</v>
      </c>
      <c r="B898" s="5">
        <v>45195</v>
      </c>
      <c r="C898" s="4" t="s">
        <v>910</v>
      </c>
      <c r="D898" s="4" t="s">
        <v>13</v>
      </c>
      <c r="E898" s="4">
        <v>64</v>
      </c>
      <c r="F898" s="4" t="str">
        <f>IF(Table15[[#This Row],[Age]]&lt;=19,"Teenager",IF(Table15[[#This Row],[Age]]&lt;=40,"Median","Old"))</f>
        <v>Old</v>
      </c>
      <c r="G898" s="4" t="s">
        <v>16</v>
      </c>
      <c r="H898" s="4">
        <v>2</v>
      </c>
      <c r="I898" s="4">
        <v>50</v>
      </c>
      <c r="J898" s="4">
        <v>100</v>
      </c>
      <c r="K898" s="4" t="str" cm="1">
        <f t="array" ref="K898">_xlfn.IFS(AND(Table15[[#This Row],[Total Amount]]&gt;=1500),"Critical",AND(Table15[[#This Row],[Total Amount]]&gt;=1000),"High",TRUE,"Normal")</f>
        <v>Normal</v>
      </c>
      <c r="L898" s="4" t="str">
        <f>IF(Table15[[#This Row],[Total Amount]]&gt;=1000,"High",(IF(Table15[[#This Row],[Total Amount]]&gt;=500,"Medium","Low")))</f>
        <v>Low</v>
      </c>
      <c r="M898" s="4" t="str" cm="1">
        <f t="array" ref="M89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98" s="4" cm="1">
        <f t="array" ref="N89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898" s="4">
        <f>Table15[[#This Row],[Total Amount]]-Table15[[#This Row],[Discount Amount]]</f>
        <v>80</v>
      </c>
    </row>
    <row r="899" spans="1:15" x14ac:dyDescent="0.35">
      <c r="A899" s="4">
        <v>898</v>
      </c>
      <c r="B899" s="5">
        <v>45232</v>
      </c>
      <c r="C899" s="4" t="s">
        <v>911</v>
      </c>
      <c r="D899" s="4" t="s">
        <v>13</v>
      </c>
      <c r="E899" s="4">
        <v>42</v>
      </c>
      <c r="F899" s="4" t="str">
        <f>IF(Table15[[#This Row],[Age]]&lt;=19,"Teenager",IF(Table15[[#This Row],[Age]]&lt;=40,"Median","Old"))</f>
        <v>Old</v>
      </c>
      <c r="G899" s="4" t="s">
        <v>14</v>
      </c>
      <c r="H899" s="4">
        <v>3</v>
      </c>
      <c r="I899" s="4">
        <v>30</v>
      </c>
      <c r="J899" s="4">
        <v>90</v>
      </c>
      <c r="K899" s="4" t="str" cm="1">
        <f t="array" ref="K899">_xlfn.IFS(AND(Table15[[#This Row],[Total Amount]]&gt;=1500),"Critical",AND(Table15[[#This Row],[Total Amount]]&gt;=1000),"High",TRUE,"Normal")</f>
        <v>Normal</v>
      </c>
      <c r="L899" s="4" t="str">
        <f>IF(Table15[[#This Row],[Total Amount]]&gt;=1000,"High",(IF(Table15[[#This Row],[Total Amount]]&gt;=500,"Medium","Low")))</f>
        <v>Low</v>
      </c>
      <c r="M899" s="4" t="str" cm="1">
        <f t="array" ref="M89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99" s="4" cm="1">
        <f t="array" ref="N89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899" s="4">
        <f>Table15[[#This Row],[Total Amount]]-Table15[[#This Row],[Discount Amount]]</f>
        <v>72</v>
      </c>
    </row>
    <row r="900" spans="1:15" x14ac:dyDescent="0.35">
      <c r="A900" s="4">
        <v>899</v>
      </c>
      <c r="B900" s="5">
        <v>45071</v>
      </c>
      <c r="C900" s="4" t="s">
        <v>912</v>
      </c>
      <c r="D900" s="4" t="s">
        <v>10</v>
      </c>
      <c r="E900" s="4">
        <v>26</v>
      </c>
      <c r="F900" s="4" t="str">
        <f>IF(Table15[[#This Row],[Age]]&lt;=19,"Teenager",IF(Table15[[#This Row],[Age]]&lt;=40,"Median","Old"))</f>
        <v>Median</v>
      </c>
      <c r="G900" s="4" t="s">
        <v>14</v>
      </c>
      <c r="H900" s="4">
        <v>2</v>
      </c>
      <c r="I900" s="4">
        <v>300</v>
      </c>
      <c r="J900" s="4">
        <v>600</v>
      </c>
      <c r="K900" s="4" t="str" cm="1">
        <f t="array" ref="K900">_xlfn.IFS(AND(Table15[[#This Row],[Total Amount]]&gt;=1500),"Critical",AND(Table15[[#This Row],[Total Amount]]&gt;=1000),"High",TRUE,"Normal")</f>
        <v>Normal</v>
      </c>
      <c r="L900" s="4" t="str">
        <f>IF(Table15[[#This Row],[Total Amount]]&gt;=1000,"High",(IF(Table15[[#This Row],[Total Amount]]&gt;=500,"Medium","Low")))</f>
        <v>Medium</v>
      </c>
      <c r="M900" s="4" t="str" cm="1">
        <f t="array" ref="M90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00" s="4" cm="1">
        <f t="array" ref="N90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900" s="4">
        <f>Table15[[#This Row],[Total Amount]]-Table15[[#This Row],[Discount Amount]]</f>
        <v>510</v>
      </c>
    </row>
    <row r="901" spans="1:15" x14ac:dyDescent="0.35">
      <c r="A901" s="4">
        <v>900</v>
      </c>
      <c r="B901" s="5">
        <v>44978</v>
      </c>
      <c r="C901" s="4" t="s">
        <v>913</v>
      </c>
      <c r="D901" s="4" t="s">
        <v>10</v>
      </c>
      <c r="E901" s="4">
        <v>21</v>
      </c>
      <c r="F901" s="4" t="str">
        <f>IF(Table15[[#This Row],[Age]]&lt;=19,"Teenager",IF(Table15[[#This Row],[Age]]&lt;=40,"Median","Old"))</f>
        <v>Median</v>
      </c>
      <c r="G901" s="4" t="s">
        <v>14</v>
      </c>
      <c r="H901" s="4">
        <v>2</v>
      </c>
      <c r="I901" s="4">
        <v>30</v>
      </c>
      <c r="J901" s="4">
        <v>60</v>
      </c>
      <c r="K901" s="4" t="str" cm="1">
        <f t="array" ref="K901">_xlfn.IFS(AND(Table15[[#This Row],[Total Amount]]&gt;=1500),"Critical",AND(Table15[[#This Row],[Total Amount]]&gt;=1000),"High",TRUE,"Normal")</f>
        <v>Normal</v>
      </c>
      <c r="L901" s="4" t="str">
        <f>IF(Table15[[#This Row],[Total Amount]]&gt;=1000,"High",(IF(Table15[[#This Row],[Total Amount]]&gt;=500,"Medium","Low")))</f>
        <v>Low</v>
      </c>
      <c r="M901" s="4" t="str" cm="1">
        <f t="array" ref="M90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01" s="4" cm="1">
        <f t="array" ref="N90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01" s="4">
        <f>Table15[[#This Row],[Total Amount]]-Table15[[#This Row],[Discount Amount]]</f>
        <v>60</v>
      </c>
    </row>
    <row r="902" spans="1:15" x14ac:dyDescent="0.35">
      <c r="A902" s="4">
        <v>901</v>
      </c>
      <c r="B902" s="5">
        <v>45026</v>
      </c>
      <c r="C902" s="4" t="s">
        <v>914</v>
      </c>
      <c r="D902" s="4" t="s">
        <v>10</v>
      </c>
      <c r="E902" s="4">
        <v>31</v>
      </c>
      <c r="F902" s="4" t="str">
        <f>IF(Table15[[#This Row],[Age]]&lt;=19,"Teenager",IF(Table15[[#This Row],[Age]]&lt;=40,"Median","Old"))</f>
        <v>Median</v>
      </c>
      <c r="G902" s="4" t="s">
        <v>16</v>
      </c>
      <c r="H902" s="4">
        <v>1</v>
      </c>
      <c r="I902" s="4">
        <v>30</v>
      </c>
      <c r="J902" s="4">
        <v>30</v>
      </c>
      <c r="K902" s="4" t="str" cm="1">
        <f t="array" ref="K902">_xlfn.IFS(AND(Table15[[#This Row],[Total Amount]]&gt;=1500),"Critical",AND(Table15[[#This Row],[Total Amount]]&gt;=1000),"High",TRUE,"Normal")</f>
        <v>Normal</v>
      </c>
      <c r="L902" s="4" t="str">
        <f>IF(Table15[[#This Row],[Total Amount]]&gt;=1000,"High",(IF(Table15[[#This Row],[Total Amount]]&gt;=500,"Medium","Low")))</f>
        <v>Low</v>
      </c>
      <c r="M902" s="4" t="str" cm="1">
        <f t="array" ref="M90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02" s="4" cm="1">
        <f t="array" ref="N90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4.5</v>
      </c>
      <c r="O902" s="4">
        <f>Table15[[#This Row],[Total Amount]]-Table15[[#This Row],[Discount Amount]]</f>
        <v>25.5</v>
      </c>
    </row>
    <row r="903" spans="1:15" x14ac:dyDescent="0.35">
      <c r="A903" s="4">
        <v>902</v>
      </c>
      <c r="B903" s="5">
        <v>45078</v>
      </c>
      <c r="C903" s="4" t="s">
        <v>915</v>
      </c>
      <c r="D903" s="4" t="s">
        <v>13</v>
      </c>
      <c r="E903" s="4">
        <v>54</v>
      </c>
      <c r="F903" s="4" t="str">
        <f>IF(Table15[[#This Row],[Age]]&lt;=19,"Teenager",IF(Table15[[#This Row],[Age]]&lt;=40,"Median","Old"))</f>
        <v>Old</v>
      </c>
      <c r="G903" s="4" t="s">
        <v>11</v>
      </c>
      <c r="H903" s="4">
        <v>1</v>
      </c>
      <c r="I903" s="4">
        <v>50</v>
      </c>
      <c r="J903" s="4">
        <v>50</v>
      </c>
      <c r="K903" s="4" t="str" cm="1">
        <f t="array" ref="K903">_xlfn.IFS(AND(Table15[[#This Row],[Total Amount]]&gt;=1500),"Critical",AND(Table15[[#This Row],[Total Amount]]&gt;=1000),"High",TRUE,"Normal")</f>
        <v>Normal</v>
      </c>
      <c r="L903" s="4" t="str">
        <f>IF(Table15[[#This Row],[Total Amount]]&gt;=1000,"High",(IF(Table15[[#This Row],[Total Amount]]&gt;=500,"Medium","Low")))</f>
        <v>Low</v>
      </c>
      <c r="M903" s="4" t="str" cm="1">
        <f t="array" ref="M90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03" s="4" cm="1">
        <f t="array" ref="N90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903" s="4">
        <f>Table15[[#This Row],[Total Amount]]-Table15[[#This Row],[Discount Amount]]</f>
        <v>40</v>
      </c>
    </row>
    <row r="904" spans="1:15" x14ac:dyDescent="0.35">
      <c r="A904" s="4">
        <v>903</v>
      </c>
      <c r="B904" s="5">
        <v>45043</v>
      </c>
      <c r="C904" s="4" t="s">
        <v>916</v>
      </c>
      <c r="D904" s="4" t="s">
        <v>13</v>
      </c>
      <c r="E904" s="4">
        <v>51</v>
      </c>
      <c r="F904" s="4" t="str">
        <f>IF(Table15[[#This Row],[Age]]&lt;=19,"Teenager",IF(Table15[[#This Row],[Age]]&lt;=40,"Median","Old"))</f>
        <v>Old</v>
      </c>
      <c r="G904" s="4" t="s">
        <v>11</v>
      </c>
      <c r="H904" s="4">
        <v>4</v>
      </c>
      <c r="I904" s="4">
        <v>50</v>
      </c>
      <c r="J904" s="4">
        <v>200</v>
      </c>
      <c r="K904" s="4" t="str" cm="1">
        <f t="array" ref="K904">_xlfn.IFS(AND(Table15[[#This Row],[Total Amount]]&gt;=1500),"Critical",AND(Table15[[#This Row],[Total Amount]]&gt;=1000),"High",TRUE,"Normal")</f>
        <v>Normal</v>
      </c>
      <c r="L904" s="4" t="str">
        <f>IF(Table15[[#This Row],[Total Amount]]&gt;=1000,"High",(IF(Table15[[#This Row],[Total Amount]]&gt;=500,"Medium","Low")))</f>
        <v>Low</v>
      </c>
      <c r="M904" s="4" t="str" cm="1">
        <f t="array" ref="M90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04" s="4" cm="1">
        <f t="array" ref="N90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904" s="4">
        <f>Table15[[#This Row],[Total Amount]]-Table15[[#This Row],[Discount Amount]]</f>
        <v>160</v>
      </c>
    </row>
    <row r="905" spans="1:15" x14ac:dyDescent="0.35">
      <c r="A905" s="4">
        <v>904</v>
      </c>
      <c r="B905" s="5">
        <v>45111</v>
      </c>
      <c r="C905" s="4" t="s">
        <v>917</v>
      </c>
      <c r="D905" s="4" t="s">
        <v>10</v>
      </c>
      <c r="E905" s="4">
        <v>28</v>
      </c>
      <c r="F905" s="4" t="str">
        <f>IF(Table15[[#This Row],[Age]]&lt;=19,"Teenager",IF(Table15[[#This Row],[Age]]&lt;=40,"Median","Old"))</f>
        <v>Median</v>
      </c>
      <c r="G905" s="4" t="s">
        <v>14</v>
      </c>
      <c r="H905" s="4">
        <v>1</v>
      </c>
      <c r="I905" s="4">
        <v>500</v>
      </c>
      <c r="J905" s="4">
        <v>500</v>
      </c>
      <c r="K905" s="4" t="str" cm="1">
        <f t="array" ref="K905">_xlfn.IFS(AND(Table15[[#This Row],[Total Amount]]&gt;=1500),"Critical",AND(Table15[[#This Row],[Total Amount]]&gt;=1000),"High",TRUE,"Normal")</f>
        <v>Normal</v>
      </c>
      <c r="L905" s="4" t="str">
        <f>IF(Table15[[#This Row],[Total Amount]]&gt;=1000,"High",(IF(Table15[[#This Row],[Total Amount]]&gt;=500,"Medium","Low")))</f>
        <v>Medium</v>
      </c>
      <c r="M905" s="4" t="str" cm="1">
        <f t="array" ref="M90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05" s="4" cm="1">
        <f t="array" ref="N90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905" s="4">
        <f>Table15[[#This Row],[Total Amount]]-Table15[[#This Row],[Discount Amount]]</f>
        <v>425</v>
      </c>
    </row>
    <row r="906" spans="1:15" x14ac:dyDescent="0.35">
      <c r="A906" s="4">
        <v>905</v>
      </c>
      <c r="B906" s="5">
        <v>45018</v>
      </c>
      <c r="C906" s="4" t="s">
        <v>918</v>
      </c>
      <c r="D906" s="4" t="s">
        <v>10</v>
      </c>
      <c r="E906" s="4">
        <v>58</v>
      </c>
      <c r="F906" s="4" t="str">
        <f>IF(Table15[[#This Row],[Age]]&lt;=19,"Teenager",IF(Table15[[#This Row],[Age]]&lt;=40,"Median","Old"))</f>
        <v>Old</v>
      </c>
      <c r="G906" s="4" t="s">
        <v>11</v>
      </c>
      <c r="H906" s="4">
        <v>1</v>
      </c>
      <c r="I906" s="4">
        <v>300</v>
      </c>
      <c r="J906" s="4">
        <v>300</v>
      </c>
      <c r="K906" s="4" t="str" cm="1">
        <f t="array" ref="K906">_xlfn.IFS(AND(Table15[[#This Row],[Total Amount]]&gt;=1500),"Critical",AND(Table15[[#This Row],[Total Amount]]&gt;=1000),"High",TRUE,"Normal")</f>
        <v>Normal</v>
      </c>
      <c r="L906" s="4" t="str">
        <f>IF(Table15[[#This Row],[Total Amount]]&gt;=1000,"High",(IF(Table15[[#This Row],[Total Amount]]&gt;=500,"Medium","Low")))</f>
        <v>Low</v>
      </c>
      <c r="M906" s="4" t="str" cm="1">
        <f t="array" ref="M90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06" s="4" cm="1">
        <f t="array" ref="N90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906" s="4">
        <f>Table15[[#This Row],[Total Amount]]-Table15[[#This Row],[Discount Amount]]</f>
        <v>270</v>
      </c>
    </row>
    <row r="907" spans="1:15" x14ac:dyDescent="0.35">
      <c r="A907" s="4">
        <v>906</v>
      </c>
      <c r="B907" s="5">
        <v>45081</v>
      </c>
      <c r="C907" s="4" t="s">
        <v>919</v>
      </c>
      <c r="D907" s="4" t="s">
        <v>13</v>
      </c>
      <c r="E907" s="4">
        <v>20</v>
      </c>
      <c r="F907" s="4" t="str">
        <f>IF(Table15[[#This Row],[Age]]&lt;=19,"Teenager",IF(Table15[[#This Row],[Age]]&lt;=40,"Median","Old"))</f>
        <v>Median</v>
      </c>
      <c r="G907" s="4" t="s">
        <v>14</v>
      </c>
      <c r="H907" s="4">
        <v>1</v>
      </c>
      <c r="I907" s="4">
        <v>50</v>
      </c>
      <c r="J907" s="4">
        <v>50</v>
      </c>
      <c r="K907" s="4" t="str" cm="1">
        <f t="array" ref="K907">_xlfn.IFS(AND(Table15[[#This Row],[Total Amount]]&gt;=1500),"Critical",AND(Table15[[#This Row],[Total Amount]]&gt;=1000),"High",TRUE,"Normal")</f>
        <v>Normal</v>
      </c>
      <c r="L907" s="4" t="str">
        <f>IF(Table15[[#This Row],[Total Amount]]&gt;=1000,"High",(IF(Table15[[#This Row],[Total Amount]]&gt;=500,"Medium","Low")))</f>
        <v>Low</v>
      </c>
      <c r="M907" s="4" t="str" cm="1">
        <f t="array" ref="M90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07" s="4" cm="1">
        <f t="array" ref="N90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07" s="4">
        <f>Table15[[#This Row],[Total Amount]]-Table15[[#This Row],[Discount Amount]]</f>
        <v>50</v>
      </c>
    </row>
    <row r="908" spans="1:15" x14ac:dyDescent="0.35">
      <c r="A908" s="4">
        <v>907</v>
      </c>
      <c r="B908" s="5">
        <v>44934</v>
      </c>
      <c r="C908" s="4" t="s">
        <v>920</v>
      </c>
      <c r="D908" s="4" t="s">
        <v>13</v>
      </c>
      <c r="E908" s="4">
        <v>45</v>
      </c>
      <c r="F908" s="4" t="str">
        <f>IF(Table15[[#This Row],[Age]]&lt;=19,"Teenager",IF(Table15[[#This Row],[Age]]&lt;=40,"Median","Old"))</f>
        <v>Old</v>
      </c>
      <c r="G908" s="4" t="s">
        <v>16</v>
      </c>
      <c r="H908" s="4">
        <v>1</v>
      </c>
      <c r="I908" s="4">
        <v>25</v>
      </c>
      <c r="J908" s="4">
        <v>25</v>
      </c>
      <c r="K908" s="4" t="str" cm="1">
        <f t="array" ref="K908">_xlfn.IFS(AND(Table15[[#This Row],[Total Amount]]&gt;=1500),"Critical",AND(Table15[[#This Row],[Total Amount]]&gt;=1000),"High",TRUE,"Normal")</f>
        <v>Normal</v>
      </c>
      <c r="L908" s="4" t="str">
        <f>IF(Table15[[#This Row],[Total Amount]]&gt;=1000,"High",(IF(Table15[[#This Row],[Total Amount]]&gt;=500,"Medium","Low")))</f>
        <v>Low</v>
      </c>
      <c r="M908" s="4" t="str" cm="1">
        <f t="array" ref="M90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08" s="4" cm="1">
        <f t="array" ref="N90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908" s="4">
        <f>Table15[[#This Row],[Total Amount]]-Table15[[#This Row],[Discount Amount]]</f>
        <v>20</v>
      </c>
    </row>
    <row r="909" spans="1:15" x14ac:dyDescent="0.35">
      <c r="A909" s="4">
        <v>908</v>
      </c>
      <c r="B909" s="5">
        <v>45289</v>
      </c>
      <c r="C909" s="4" t="s">
        <v>921</v>
      </c>
      <c r="D909" s="4" t="s">
        <v>10</v>
      </c>
      <c r="E909" s="4">
        <v>46</v>
      </c>
      <c r="F909" s="4" t="str">
        <f>IF(Table15[[#This Row],[Age]]&lt;=19,"Teenager",IF(Table15[[#This Row],[Age]]&lt;=40,"Median","Old"))</f>
        <v>Old</v>
      </c>
      <c r="G909" s="4" t="s">
        <v>11</v>
      </c>
      <c r="H909" s="4">
        <v>4</v>
      </c>
      <c r="I909" s="4">
        <v>300</v>
      </c>
      <c r="J909" s="4">
        <v>1200</v>
      </c>
      <c r="K909" s="4" t="str" cm="1">
        <f t="array" ref="K909">_xlfn.IFS(AND(Table15[[#This Row],[Total Amount]]&gt;=1500),"Critical",AND(Table15[[#This Row],[Total Amount]]&gt;=1000),"High",TRUE,"Normal")</f>
        <v>High</v>
      </c>
      <c r="L909" s="4" t="str">
        <f>IF(Table15[[#This Row],[Total Amount]]&gt;=1000,"High",(IF(Table15[[#This Row],[Total Amount]]&gt;=500,"Medium","Low")))</f>
        <v>High</v>
      </c>
      <c r="M909" s="4" t="str" cm="1">
        <f t="array" ref="M90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09" s="4" cm="1">
        <f t="array" ref="N90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909" s="4">
        <f>Table15[[#This Row],[Total Amount]]-Table15[[#This Row],[Discount Amount]]</f>
        <v>1080</v>
      </c>
    </row>
    <row r="910" spans="1:15" x14ac:dyDescent="0.35">
      <c r="A910" s="4">
        <v>909</v>
      </c>
      <c r="B910" s="5">
        <v>45200</v>
      </c>
      <c r="C910" s="4" t="s">
        <v>922</v>
      </c>
      <c r="D910" s="4" t="s">
        <v>10</v>
      </c>
      <c r="E910" s="4">
        <v>26</v>
      </c>
      <c r="F910" s="4" t="str">
        <f>IF(Table15[[#This Row],[Age]]&lt;=19,"Teenager",IF(Table15[[#This Row],[Age]]&lt;=40,"Median","Old"))</f>
        <v>Median</v>
      </c>
      <c r="G910" s="4" t="s">
        <v>16</v>
      </c>
      <c r="H910" s="4">
        <v>1</v>
      </c>
      <c r="I910" s="4">
        <v>300</v>
      </c>
      <c r="J910" s="4">
        <v>300</v>
      </c>
      <c r="K910" s="4" t="str" cm="1">
        <f t="array" ref="K910">_xlfn.IFS(AND(Table15[[#This Row],[Total Amount]]&gt;=1500),"Critical",AND(Table15[[#This Row],[Total Amount]]&gt;=1000),"High",TRUE,"Normal")</f>
        <v>Normal</v>
      </c>
      <c r="L910" s="4" t="str">
        <f>IF(Table15[[#This Row],[Total Amount]]&gt;=1000,"High",(IF(Table15[[#This Row],[Total Amount]]&gt;=500,"Medium","Low")))</f>
        <v>Low</v>
      </c>
      <c r="M910" s="4" t="str" cm="1">
        <f t="array" ref="M91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10" s="4" cm="1">
        <f t="array" ref="N91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45</v>
      </c>
      <c r="O910" s="4">
        <f>Table15[[#This Row],[Total Amount]]-Table15[[#This Row],[Discount Amount]]</f>
        <v>255</v>
      </c>
    </row>
    <row r="911" spans="1:15" x14ac:dyDescent="0.35">
      <c r="A911" s="4">
        <v>910</v>
      </c>
      <c r="B911" s="5">
        <v>44991</v>
      </c>
      <c r="C911" s="4" t="s">
        <v>923</v>
      </c>
      <c r="D911" s="4" t="s">
        <v>13</v>
      </c>
      <c r="E911" s="4">
        <v>20</v>
      </c>
      <c r="F911" s="4" t="str">
        <f>IF(Table15[[#This Row],[Age]]&lt;=19,"Teenager",IF(Table15[[#This Row],[Age]]&lt;=40,"Median","Old"))</f>
        <v>Median</v>
      </c>
      <c r="G911" s="4" t="s">
        <v>11</v>
      </c>
      <c r="H911" s="4">
        <v>3</v>
      </c>
      <c r="I911" s="4">
        <v>50</v>
      </c>
      <c r="J911" s="4">
        <v>150</v>
      </c>
      <c r="K911" s="4" t="str" cm="1">
        <f t="array" ref="K911">_xlfn.IFS(AND(Table15[[#This Row],[Total Amount]]&gt;=1500),"Critical",AND(Table15[[#This Row],[Total Amount]]&gt;=1000),"High",TRUE,"Normal")</f>
        <v>Normal</v>
      </c>
      <c r="L911" s="4" t="str">
        <f>IF(Table15[[#This Row],[Total Amount]]&gt;=1000,"High",(IF(Table15[[#This Row],[Total Amount]]&gt;=500,"Medium","Low")))</f>
        <v>Low</v>
      </c>
      <c r="M911" s="4" t="str" cm="1">
        <f t="array" ref="M91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11" s="4" cm="1">
        <f t="array" ref="N91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11" s="4">
        <f>Table15[[#This Row],[Total Amount]]-Table15[[#This Row],[Discount Amount]]</f>
        <v>150</v>
      </c>
    </row>
    <row r="912" spans="1:15" x14ac:dyDescent="0.35">
      <c r="A912" s="4">
        <v>911</v>
      </c>
      <c r="B912" s="5">
        <v>45067</v>
      </c>
      <c r="C912" s="4" t="s">
        <v>924</v>
      </c>
      <c r="D912" s="4" t="s">
        <v>10</v>
      </c>
      <c r="E912" s="4">
        <v>42</v>
      </c>
      <c r="F912" s="4" t="str">
        <f>IF(Table15[[#This Row],[Age]]&lt;=19,"Teenager",IF(Table15[[#This Row],[Age]]&lt;=40,"Median","Old"))</f>
        <v>Old</v>
      </c>
      <c r="G912" s="4" t="s">
        <v>16</v>
      </c>
      <c r="H912" s="4">
        <v>3</v>
      </c>
      <c r="I912" s="4">
        <v>300</v>
      </c>
      <c r="J912" s="4">
        <v>900</v>
      </c>
      <c r="K912" s="4" t="str" cm="1">
        <f t="array" ref="K912">_xlfn.IFS(AND(Table15[[#This Row],[Total Amount]]&gt;=1500),"Critical",AND(Table15[[#This Row],[Total Amount]]&gt;=1000),"High",TRUE,"Normal")</f>
        <v>Normal</v>
      </c>
      <c r="L912" s="4" t="str">
        <f>IF(Table15[[#This Row],[Total Amount]]&gt;=1000,"High",(IF(Table15[[#This Row],[Total Amount]]&gt;=500,"Medium","Low")))</f>
        <v>Medium</v>
      </c>
      <c r="M912" s="4" t="str" cm="1">
        <f t="array" ref="M91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12" s="4" cm="1">
        <f t="array" ref="N91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912" s="4">
        <f>Table15[[#This Row],[Total Amount]]-Table15[[#This Row],[Discount Amount]]</f>
        <v>810</v>
      </c>
    </row>
    <row r="913" spans="1:15" x14ac:dyDescent="0.35">
      <c r="A913" s="4">
        <v>912</v>
      </c>
      <c r="B913" s="5">
        <v>44950</v>
      </c>
      <c r="C913" s="4" t="s">
        <v>925</v>
      </c>
      <c r="D913" s="4" t="s">
        <v>10</v>
      </c>
      <c r="E913" s="4">
        <v>51</v>
      </c>
      <c r="F913" s="4" t="str">
        <f>IF(Table15[[#This Row],[Age]]&lt;=19,"Teenager",IF(Table15[[#This Row],[Age]]&lt;=40,"Median","Old"))</f>
        <v>Old</v>
      </c>
      <c r="G913" s="4" t="s">
        <v>11</v>
      </c>
      <c r="H913" s="4">
        <v>3</v>
      </c>
      <c r="I913" s="4">
        <v>50</v>
      </c>
      <c r="J913" s="4">
        <v>150</v>
      </c>
      <c r="K913" s="4" t="str" cm="1">
        <f t="array" ref="K913">_xlfn.IFS(AND(Table15[[#This Row],[Total Amount]]&gt;=1500),"Critical",AND(Table15[[#This Row],[Total Amount]]&gt;=1000),"High",TRUE,"Normal")</f>
        <v>Normal</v>
      </c>
      <c r="L913" s="4" t="str">
        <f>IF(Table15[[#This Row],[Total Amount]]&gt;=1000,"High",(IF(Table15[[#This Row],[Total Amount]]&gt;=500,"Medium","Low")))</f>
        <v>Low</v>
      </c>
      <c r="M913" s="4" t="str" cm="1">
        <f t="array" ref="M91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13" s="4" cm="1">
        <f t="array" ref="N91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913" s="4">
        <f>Table15[[#This Row],[Total Amount]]-Table15[[#This Row],[Discount Amount]]</f>
        <v>135</v>
      </c>
    </row>
    <row r="914" spans="1:15" x14ac:dyDescent="0.35">
      <c r="A914" s="4">
        <v>913</v>
      </c>
      <c r="B914" s="5">
        <v>44954</v>
      </c>
      <c r="C914" s="4" t="s">
        <v>926</v>
      </c>
      <c r="D914" s="4" t="s">
        <v>10</v>
      </c>
      <c r="E914" s="4">
        <v>29</v>
      </c>
      <c r="F914" s="4" t="str">
        <f>IF(Table15[[#This Row],[Age]]&lt;=19,"Teenager",IF(Table15[[#This Row],[Age]]&lt;=40,"Median","Old"))</f>
        <v>Median</v>
      </c>
      <c r="G914" s="4" t="s">
        <v>16</v>
      </c>
      <c r="H914" s="4">
        <v>3</v>
      </c>
      <c r="I914" s="4">
        <v>30</v>
      </c>
      <c r="J914" s="4">
        <v>90</v>
      </c>
      <c r="K914" s="4" t="str" cm="1">
        <f t="array" ref="K914">_xlfn.IFS(AND(Table15[[#This Row],[Total Amount]]&gt;=1500),"Critical",AND(Table15[[#This Row],[Total Amount]]&gt;=1000),"High",TRUE,"Normal")</f>
        <v>Normal</v>
      </c>
      <c r="L914" s="4" t="str">
        <f>IF(Table15[[#This Row],[Total Amount]]&gt;=1000,"High",(IF(Table15[[#This Row],[Total Amount]]&gt;=500,"Medium","Low")))</f>
        <v>Low</v>
      </c>
      <c r="M914" s="4" t="str" cm="1">
        <f t="array" ref="M91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14" s="4" cm="1">
        <f t="array" ref="N91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13.5</v>
      </c>
      <c r="O914" s="4">
        <f>Table15[[#This Row],[Total Amount]]-Table15[[#This Row],[Discount Amount]]</f>
        <v>76.5</v>
      </c>
    </row>
    <row r="915" spans="1:15" x14ac:dyDescent="0.35">
      <c r="A915" s="4">
        <v>914</v>
      </c>
      <c r="B915" s="5">
        <v>45210</v>
      </c>
      <c r="C915" s="4" t="s">
        <v>927</v>
      </c>
      <c r="D915" s="4" t="s">
        <v>13</v>
      </c>
      <c r="E915" s="4">
        <v>59</v>
      </c>
      <c r="F915" s="4" t="str">
        <f>IF(Table15[[#This Row],[Age]]&lt;=19,"Teenager",IF(Table15[[#This Row],[Age]]&lt;=40,"Median","Old"))</f>
        <v>Old</v>
      </c>
      <c r="G915" s="4" t="s">
        <v>16</v>
      </c>
      <c r="H915" s="4">
        <v>1</v>
      </c>
      <c r="I915" s="4">
        <v>500</v>
      </c>
      <c r="J915" s="4">
        <v>500</v>
      </c>
      <c r="K915" s="4" t="str" cm="1">
        <f t="array" ref="K915">_xlfn.IFS(AND(Table15[[#This Row],[Total Amount]]&gt;=1500),"Critical",AND(Table15[[#This Row],[Total Amount]]&gt;=1000),"High",TRUE,"Normal")</f>
        <v>Normal</v>
      </c>
      <c r="L915" s="4" t="str">
        <f>IF(Table15[[#This Row],[Total Amount]]&gt;=1000,"High",(IF(Table15[[#This Row],[Total Amount]]&gt;=500,"Medium","Low")))</f>
        <v>Medium</v>
      </c>
      <c r="M915" s="4" t="str" cm="1">
        <f t="array" ref="M91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15" s="4" cm="1">
        <f t="array" ref="N91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915" s="4">
        <f>Table15[[#This Row],[Total Amount]]-Table15[[#This Row],[Discount Amount]]</f>
        <v>400</v>
      </c>
    </row>
    <row r="916" spans="1:15" x14ac:dyDescent="0.35">
      <c r="A916" s="4">
        <v>915</v>
      </c>
      <c r="B916" s="5">
        <v>45076</v>
      </c>
      <c r="C916" s="4" t="s">
        <v>928</v>
      </c>
      <c r="D916" s="4" t="s">
        <v>13</v>
      </c>
      <c r="E916" s="4">
        <v>26</v>
      </c>
      <c r="F916" s="4" t="str">
        <f>IF(Table15[[#This Row],[Age]]&lt;=19,"Teenager",IF(Table15[[#This Row],[Age]]&lt;=40,"Median","Old"))</f>
        <v>Median</v>
      </c>
      <c r="G916" s="4" t="s">
        <v>11</v>
      </c>
      <c r="H916" s="4">
        <v>3</v>
      </c>
      <c r="I916" s="4">
        <v>30</v>
      </c>
      <c r="J916" s="4">
        <v>90</v>
      </c>
      <c r="K916" s="4" t="str" cm="1">
        <f t="array" ref="K916">_xlfn.IFS(AND(Table15[[#This Row],[Total Amount]]&gt;=1500),"Critical",AND(Table15[[#This Row],[Total Amount]]&gt;=1000),"High",TRUE,"Normal")</f>
        <v>Normal</v>
      </c>
      <c r="L916" s="4" t="str">
        <f>IF(Table15[[#This Row],[Total Amount]]&gt;=1000,"High",(IF(Table15[[#This Row],[Total Amount]]&gt;=500,"Medium","Low")))</f>
        <v>Low</v>
      </c>
      <c r="M916" s="4" t="str" cm="1">
        <f t="array" ref="M91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16" s="4" cm="1">
        <f t="array" ref="N91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13.5</v>
      </c>
      <c r="O916" s="4">
        <f>Table15[[#This Row],[Total Amount]]-Table15[[#This Row],[Discount Amount]]</f>
        <v>76.5</v>
      </c>
    </row>
    <row r="917" spans="1:15" x14ac:dyDescent="0.35">
      <c r="A917" s="4">
        <v>916</v>
      </c>
      <c r="B917" s="5">
        <v>45284</v>
      </c>
      <c r="C917" s="4" t="s">
        <v>929</v>
      </c>
      <c r="D917" s="4" t="s">
        <v>13</v>
      </c>
      <c r="E917" s="4">
        <v>32</v>
      </c>
      <c r="F917" s="4" t="str">
        <f>IF(Table15[[#This Row],[Age]]&lt;=19,"Teenager",IF(Table15[[#This Row],[Age]]&lt;=40,"Median","Old"))</f>
        <v>Median</v>
      </c>
      <c r="G917" s="4" t="s">
        <v>16</v>
      </c>
      <c r="H917" s="4">
        <v>1</v>
      </c>
      <c r="I917" s="4">
        <v>50</v>
      </c>
      <c r="J917" s="4">
        <v>50</v>
      </c>
      <c r="K917" s="4" t="str" cm="1">
        <f t="array" ref="K917">_xlfn.IFS(AND(Table15[[#This Row],[Total Amount]]&gt;=1500),"Critical",AND(Table15[[#This Row],[Total Amount]]&gt;=1000),"High",TRUE,"Normal")</f>
        <v>Normal</v>
      </c>
      <c r="L917" s="4" t="str">
        <f>IF(Table15[[#This Row],[Total Amount]]&gt;=1000,"High",(IF(Table15[[#This Row],[Total Amount]]&gt;=500,"Medium","Low")))</f>
        <v>Low</v>
      </c>
      <c r="M917" s="4" t="str" cm="1">
        <f t="array" ref="M91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17" s="4" cm="1">
        <f t="array" ref="N91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917" s="4">
        <f>Table15[[#This Row],[Total Amount]]-Table15[[#This Row],[Discount Amount]]</f>
        <v>42.5</v>
      </c>
    </row>
    <row r="918" spans="1:15" x14ac:dyDescent="0.35">
      <c r="A918" s="4">
        <v>917</v>
      </c>
      <c r="B918" s="5">
        <v>44991</v>
      </c>
      <c r="C918" s="4" t="s">
        <v>930</v>
      </c>
      <c r="D918" s="4" t="s">
        <v>13</v>
      </c>
      <c r="E918" s="4">
        <v>57</v>
      </c>
      <c r="F918" s="4" t="str">
        <f>IF(Table15[[#This Row],[Age]]&lt;=19,"Teenager",IF(Table15[[#This Row],[Age]]&lt;=40,"Median","Old"))</f>
        <v>Old</v>
      </c>
      <c r="G918" s="4" t="s">
        <v>16</v>
      </c>
      <c r="H918" s="4">
        <v>4</v>
      </c>
      <c r="I918" s="4">
        <v>50</v>
      </c>
      <c r="J918" s="4">
        <v>200</v>
      </c>
      <c r="K918" s="4" t="str" cm="1">
        <f t="array" ref="K918">_xlfn.IFS(AND(Table15[[#This Row],[Total Amount]]&gt;=1500),"Critical",AND(Table15[[#This Row],[Total Amount]]&gt;=1000),"High",TRUE,"Normal")</f>
        <v>Normal</v>
      </c>
      <c r="L918" s="4" t="str">
        <f>IF(Table15[[#This Row],[Total Amount]]&gt;=1000,"High",(IF(Table15[[#This Row],[Total Amount]]&gt;=500,"Medium","Low")))</f>
        <v>Low</v>
      </c>
      <c r="M918" s="4" t="str" cm="1">
        <f t="array" ref="M91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18" s="4" cm="1">
        <f t="array" ref="N91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918" s="4">
        <f>Table15[[#This Row],[Total Amount]]-Table15[[#This Row],[Discount Amount]]</f>
        <v>160</v>
      </c>
    </row>
    <row r="919" spans="1:15" x14ac:dyDescent="0.35">
      <c r="A919" s="4">
        <v>918</v>
      </c>
      <c r="B919" s="5">
        <v>45253</v>
      </c>
      <c r="C919" s="4" t="s">
        <v>931</v>
      </c>
      <c r="D919" s="4" t="s">
        <v>13</v>
      </c>
      <c r="E919" s="4">
        <v>42</v>
      </c>
      <c r="F919" s="4" t="str">
        <f>IF(Table15[[#This Row],[Age]]&lt;=19,"Teenager",IF(Table15[[#This Row],[Age]]&lt;=40,"Median","Old"))</f>
        <v>Old</v>
      </c>
      <c r="G919" s="4" t="s">
        <v>16</v>
      </c>
      <c r="H919" s="4">
        <v>3</v>
      </c>
      <c r="I919" s="4">
        <v>30</v>
      </c>
      <c r="J919" s="4">
        <v>90</v>
      </c>
      <c r="K919" s="4" t="str" cm="1">
        <f t="array" ref="K919">_xlfn.IFS(AND(Table15[[#This Row],[Total Amount]]&gt;=1500),"Critical",AND(Table15[[#This Row],[Total Amount]]&gt;=1000),"High",TRUE,"Normal")</f>
        <v>Normal</v>
      </c>
      <c r="L919" s="4" t="str">
        <f>IF(Table15[[#This Row],[Total Amount]]&gt;=1000,"High",(IF(Table15[[#This Row],[Total Amount]]&gt;=500,"Medium","Low")))</f>
        <v>Low</v>
      </c>
      <c r="M919" s="4" t="str" cm="1">
        <f t="array" ref="M91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19" s="4" cm="1">
        <f t="array" ref="N91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919" s="4">
        <f>Table15[[#This Row],[Total Amount]]-Table15[[#This Row],[Discount Amount]]</f>
        <v>72</v>
      </c>
    </row>
    <row r="920" spans="1:15" x14ac:dyDescent="0.35">
      <c r="A920" s="4">
        <v>919</v>
      </c>
      <c r="B920" s="5">
        <v>45178</v>
      </c>
      <c r="C920" s="4" t="s">
        <v>932</v>
      </c>
      <c r="D920" s="4" t="s">
        <v>13</v>
      </c>
      <c r="E920" s="4">
        <v>22</v>
      </c>
      <c r="F920" s="4" t="str">
        <f>IF(Table15[[#This Row],[Age]]&lt;=19,"Teenager",IF(Table15[[#This Row],[Age]]&lt;=40,"Median","Old"))</f>
        <v>Median</v>
      </c>
      <c r="G920" s="4" t="s">
        <v>11</v>
      </c>
      <c r="H920" s="4">
        <v>2</v>
      </c>
      <c r="I920" s="4">
        <v>25</v>
      </c>
      <c r="J920" s="4">
        <v>50</v>
      </c>
      <c r="K920" s="4" t="str" cm="1">
        <f t="array" ref="K920">_xlfn.IFS(AND(Table15[[#This Row],[Total Amount]]&gt;=1500),"Critical",AND(Table15[[#This Row],[Total Amount]]&gt;=1000),"High",TRUE,"Normal")</f>
        <v>Normal</v>
      </c>
      <c r="L920" s="4" t="str">
        <f>IF(Table15[[#This Row],[Total Amount]]&gt;=1000,"High",(IF(Table15[[#This Row],[Total Amount]]&gt;=500,"Medium","Low")))</f>
        <v>Low</v>
      </c>
      <c r="M920" s="4" t="str" cm="1">
        <f t="array" ref="M92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20" s="4" cm="1">
        <f t="array" ref="N92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20" s="4">
        <f>Table15[[#This Row],[Total Amount]]-Table15[[#This Row],[Discount Amount]]</f>
        <v>50</v>
      </c>
    </row>
    <row r="921" spans="1:15" x14ac:dyDescent="0.35">
      <c r="A921" s="4">
        <v>920</v>
      </c>
      <c r="B921" s="5">
        <v>44979</v>
      </c>
      <c r="C921" s="4" t="s">
        <v>933</v>
      </c>
      <c r="D921" s="4" t="s">
        <v>13</v>
      </c>
      <c r="E921" s="4">
        <v>28</v>
      </c>
      <c r="F921" s="4" t="str">
        <f>IF(Table15[[#This Row],[Age]]&lt;=19,"Teenager",IF(Table15[[#This Row],[Age]]&lt;=40,"Median","Old"))</f>
        <v>Median</v>
      </c>
      <c r="G921" s="4" t="s">
        <v>11</v>
      </c>
      <c r="H921" s="4">
        <v>3</v>
      </c>
      <c r="I921" s="4">
        <v>25</v>
      </c>
      <c r="J921" s="4">
        <v>75</v>
      </c>
      <c r="K921" s="4" t="str" cm="1">
        <f t="array" ref="K921">_xlfn.IFS(AND(Table15[[#This Row],[Total Amount]]&gt;=1500),"Critical",AND(Table15[[#This Row],[Total Amount]]&gt;=1000),"High",TRUE,"Normal")</f>
        <v>Normal</v>
      </c>
      <c r="L921" s="4" t="str">
        <f>IF(Table15[[#This Row],[Total Amount]]&gt;=1000,"High",(IF(Table15[[#This Row],[Total Amount]]&gt;=500,"Medium","Low")))</f>
        <v>Low</v>
      </c>
      <c r="M921" s="4" t="str" cm="1">
        <f t="array" ref="M92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21" s="4" cm="1">
        <f t="array" ref="N92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11.25</v>
      </c>
      <c r="O921" s="4">
        <f>Table15[[#This Row],[Total Amount]]-Table15[[#This Row],[Discount Amount]]</f>
        <v>63.75</v>
      </c>
    </row>
    <row r="922" spans="1:15" x14ac:dyDescent="0.35">
      <c r="A922" s="4">
        <v>921</v>
      </c>
      <c r="B922" s="5">
        <v>44933</v>
      </c>
      <c r="C922" s="4" t="s">
        <v>934</v>
      </c>
      <c r="D922" s="4" t="s">
        <v>10</v>
      </c>
      <c r="E922" s="4">
        <v>51</v>
      </c>
      <c r="F922" s="4" t="str">
        <f>IF(Table15[[#This Row],[Age]]&lt;=19,"Teenager",IF(Table15[[#This Row],[Age]]&lt;=40,"Median","Old"))</f>
        <v>Old</v>
      </c>
      <c r="G922" s="4" t="s">
        <v>16</v>
      </c>
      <c r="H922" s="4">
        <v>3</v>
      </c>
      <c r="I922" s="4">
        <v>25</v>
      </c>
      <c r="J922" s="4">
        <v>75</v>
      </c>
      <c r="K922" s="4" t="str" cm="1">
        <f t="array" ref="K922">_xlfn.IFS(AND(Table15[[#This Row],[Total Amount]]&gt;=1500),"Critical",AND(Table15[[#This Row],[Total Amount]]&gt;=1000),"High",TRUE,"Normal")</f>
        <v>Normal</v>
      </c>
      <c r="L922" s="4" t="str">
        <f>IF(Table15[[#This Row],[Total Amount]]&gt;=1000,"High",(IF(Table15[[#This Row],[Total Amount]]&gt;=500,"Medium","Low")))</f>
        <v>Low</v>
      </c>
      <c r="M922" s="4" t="str" cm="1">
        <f t="array" ref="M92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22" s="4" cm="1">
        <f t="array" ref="N92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922" s="4">
        <f>Table15[[#This Row],[Total Amount]]-Table15[[#This Row],[Discount Amount]]</f>
        <v>67.5</v>
      </c>
    </row>
    <row r="923" spans="1:15" x14ac:dyDescent="0.35">
      <c r="A923" s="4">
        <v>922</v>
      </c>
      <c r="B923" s="5">
        <v>45220</v>
      </c>
      <c r="C923" s="4" t="s">
        <v>935</v>
      </c>
      <c r="D923" s="4" t="s">
        <v>10</v>
      </c>
      <c r="E923" s="4">
        <v>41</v>
      </c>
      <c r="F923" s="4" t="str">
        <f>IF(Table15[[#This Row],[Age]]&lt;=19,"Teenager",IF(Table15[[#This Row],[Age]]&lt;=40,"Median","Old"))</f>
        <v>Old</v>
      </c>
      <c r="G923" s="4" t="s">
        <v>16</v>
      </c>
      <c r="H923" s="4">
        <v>1</v>
      </c>
      <c r="I923" s="4">
        <v>50</v>
      </c>
      <c r="J923" s="4">
        <v>50</v>
      </c>
      <c r="K923" s="4" t="str" cm="1">
        <f t="array" ref="K923">_xlfn.IFS(AND(Table15[[#This Row],[Total Amount]]&gt;=1500),"Critical",AND(Table15[[#This Row],[Total Amount]]&gt;=1000),"High",TRUE,"Normal")</f>
        <v>Normal</v>
      </c>
      <c r="L923" s="4" t="str">
        <f>IF(Table15[[#This Row],[Total Amount]]&gt;=1000,"High",(IF(Table15[[#This Row],[Total Amount]]&gt;=500,"Medium","Low")))</f>
        <v>Low</v>
      </c>
      <c r="M923" s="4" t="str" cm="1">
        <f t="array" ref="M92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23" s="4" cm="1">
        <f t="array" ref="N92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923" s="4">
        <f>Table15[[#This Row],[Total Amount]]-Table15[[#This Row],[Discount Amount]]</f>
        <v>45</v>
      </c>
    </row>
    <row r="924" spans="1:15" x14ac:dyDescent="0.35">
      <c r="A924" s="4">
        <v>923</v>
      </c>
      <c r="B924" s="5">
        <v>45072</v>
      </c>
      <c r="C924" s="4" t="s">
        <v>936</v>
      </c>
      <c r="D924" s="4" t="s">
        <v>10</v>
      </c>
      <c r="E924" s="4">
        <v>32</v>
      </c>
      <c r="F924" s="4" t="str">
        <f>IF(Table15[[#This Row],[Age]]&lt;=19,"Teenager",IF(Table15[[#This Row],[Age]]&lt;=40,"Median","Old"))</f>
        <v>Median</v>
      </c>
      <c r="G924" s="4" t="s">
        <v>11</v>
      </c>
      <c r="H924" s="4">
        <v>3</v>
      </c>
      <c r="I924" s="4">
        <v>300</v>
      </c>
      <c r="J924" s="4">
        <v>900</v>
      </c>
      <c r="K924" s="4" t="str" cm="1">
        <f t="array" ref="K924">_xlfn.IFS(AND(Table15[[#This Row],[Total Amount]]&gt;=1500),"Critical",AND(Table15[[#This Row],[Total Amount]]&gt;=1000),"High",TRUE,"Normal")</f>
        <v>Normal</v>
      </c>
      <c r="L924" s="4" t="str">
        <f>IF(Table15[[#This Row],[Total Amount]]&gt;=1000,"High",(IF(Table15[[#This Row],[Total Amount]]&gt;=500,"Medium","Low")))</f>
        <v>Medium</v>
      </c>
      <c r="M924" s="4" t="str" cm="1">
        <f t="array" ref="M92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24" s="4" cm="1">
        <f t="array" ref="N92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135</v>
      </c>
      <c r="O924" s="4">
        <f>Table15[[#This Row],[Total Amount]]-Table15[[#This Row],[Discount Amount]]</f>
        <v>765</v>
      </c>
    </row>
    <row r="925" spans="1:15" x14ac:dyDescent="0.35">
      <c r="A925" s="4">
        <v>924</v>
      </c>
      <c r="B925" s="5">
        <v>45167</v>
      </c>
      <c r="C925" s="4" t="s">
        <v>937</v>
      </c>
      <c r="D925" s="4" t="s">
        <v>10</v>
      </c>
      <c r="E925" s="4">
        <v>55</v>
      </c>
      <c r="F925" s="4" t="str">
        <f>IF(Table15[[#This Row],[Age]]&lt;=19,"Teenager",IF(Table15[[#This Row],[Age]]&lt;=40,"Median","Old"))</f>
        <v>Old</v>
      </c>
      <c r="G925" s="4" t="s">
        <v>11</v>
      </c>
      <c r="H925" s="4">
        <v>2</v>
      </c>
      <c r="I925" s="4">
        <v>50</v>
      </c>
      <c r="J925" s="4">
        <v>100</v>
      </c>
      <c r="K925" s="4" t="str" cm="1">
        <f t="array" ref="K925">_xlfn.IFS(AND(Table15[[#This Row],[Total Amount]]&gt;=1500),"Critical",AND(Table15[[#This Row],[Total Amount]]&gt;=1000),"High",TRUE,"Normal")</f>
        <v>Normal</v>
      </c>
      <c r="L925" s="4" t="str">
        <f>IF(Table15[[#This Row],[Total Amount]]&gt;=1000,"High",(IF(Table15[[#This Row],[Total Amount]]&gt;=500,"Medium","Low")))</f>
        <v>Low</v>
      </c>
      <c r="M925" s="4" t="str" cm="1">
        <f t="array" ref="M92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25" s="4" cm="1">
        <f t="array" ref="N92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925" s="4">
        <f>Table15[[#This Row],[Total Amount]]-Table15[[#This Row],[Discount Amount]]</f>
        <v>90</v>
      </c>
    </row>
    <row r="926" spans="1:15" x14ac:dyDescent="0.35">
      <c r="A926" s="4">
        <v>925</v>
      </c>
      <c r="B926" s="5">
        <v>45172</v>
      </c>
      <c r="C926" s="4" t="s">
        <v>938</v>
      </c>
      <c r="D926" s="4" t="s">
        <v>10</v>
      </c>
      <c r="E926" s="4">
        <v>25</v>
      </c>
      <c r="F926" s="4" t="str">
        <f>IF(Table15[[#This Row],[Age]]&lt;=19,"Teenager",IF(Table15[[#This Row],[Age]]&lt;=40,"Median","Old"))</f>
        <v>Median</v>
      </c>
      <c r="G926" s="4" t="s">
        <v>16</v>
      </c>
      <c r="H926" s="4">
        <v>1</v>
      </c>
      <c r="I926" s="4">
        <v>300</v>
      </c>
      <c r="J926" s="4">
        <v>300</v>
      </c>
      <c r="K926" s="4" t="str" cm="1">
        <f t="array" ref="K926">_xlfn.IFS(AND(Table15[[#This Row],[Total Amount]]&gt;=1500),"Critical",AND(Table15[[#This Row],[Total Amount]]&gt;=1000),"High",TRUE,"Normal")</f>
        <v>Normal</v>
      </c>
      <c r="L926" s="4" t="str">
        <f>IF(Table15[[#This Row],[Total Amount]]&gt;=1000,"High",(IF(Table15[[#This Row],[Total Amount]]&gt;=500,"Medium","Low")))</f>
        <v>Low</v>
      </c>
      <c r="M926" s="4" t="str" cm="1">
        <f t="array" ref="M92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26" s="4" cm="1">
        <f t="array" ref="N92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45</v>
      </c>
      <c r="O926" s="4">
        <f>Table15[[#This Row],[Total Amount]]-Table15[[#This Row],[Discount Amount]]</f>
        <v>255</v>
      </c>
    </row>
    <row r="927" spans="1:15" x14ac:dyDescent="0.35">
      <c r="A927" s="4">
        <v>926</v>
      </c>
      <c r="B927" s="5">
        <v>45152</v>
      </c>
      <c r="C927" s="4" t="s">
        <v>939</v>
      </c>
      <c r="D927" s="4" t="s">
        <v>10</v>
      </c>
      <c r="E927" s="4">
        <v>22</v>
      </c>
      <c r="F927" s="4" t="str">
        <f>IF(Table15[[#This Row],[Age]]&lt;=19,"Teenager",IF(Table15[[#This Row],[Age]]&lt;=40,"Median","Old"))</f>
        <v>Median</v>
      </c>
      <c r="G927" s="4" t="s">
        <v>16</v>
      </c>
      <c r="H927" s="4">
        <v>1</v>
      </c>
      <c r="I927" s="4">
        <v>30</v>
      </c>
      <c r="J927" s="4">
        <v>30</v>
      </c>
      <c r="K927" s="4" t="str" cm="1">
        <f t="array" ref="K927">_xlfn.IFS(AND(Table15[[#This Row],[Total Amount]]&gt;=1500),"Critical",AND(Table15[[#This Row],[Total Amount]]&gt;=1000),"High",TRUE,"Normal")</f>
        <v>Normal</v>
      </c>
      <c r="L927" s="4" t="str">
        <f>IF(Table15[[#This Row],[Total Amount]]&gt;=1000,"High",(IF(Table15[[#This Row],[Total Amount]]&gt;=500,"Medium","Low")))</f>
        <v>Low</v>
      </c>
      <c r="M927" s="4" t="str" cm="1">
        <f t="array" ref="M92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27" s="4" cm="1">
        <f t="array" ref="N92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27" s="4">
        <f>Table15[[#This Row],[Total Amount]]-Table15[[#This Row],[Discount Amount]]</f>
        <v>30</v>
      </c>
    </row>
    <row r="928" spans="1:15" x14ac:dyDescent="0.35">
      <c r="A928" s="4">
        <v>927</v>
      </c>
      <c r="B928" s="5">
        <v>45101</v>
      </c>
      <c r="C928" s="4" t="s">
        <v>940</v>
      </c>
      <c r="D928" s="4" t="s">
        <v>10</v>
      </c>
      <c r="E928" s="4">
        <v>43</v>
      </c>
      <c r="F928" s="4" t="str">
        <f>IF(Table15[[#This Row],[Age]]&lt;=19,"Teenager",IF(Table15[[#This Row],[Age]]&lt;=40,"Median","Old"))</f>
        <v>Old</v>
      </c>
      <c r="G928" s="4" t="s">
        <v>16</v>
      </c>
      <c r="H928" s="4">
        <v>4</v>
      </c>
      <c r="I928" s="4">
        <v>500</v>
      </c>
      <c r="J928" s="4">
        <v>2000</v>
      </c>
      <c r="K928" s="4" t="str" cm="1">
        <f t="array" ref="K928">_xlfn.IFS(AND(Table15[[#This Row],[Total Amount]]&gt;=1500),"Critical",AND(Table15[[#This Row],[Total Amount]]&gt;=1000),"High",TRUE,"Normal")</f>
        <v>Critical</v>
      </c>
      <c r="L928" s="4" t="str">
        <f>IF(Table15[[#This Row],[Total Amount]]&gt;=1000,"High",(IF(Table15[[#This Row],[Total Amount]]&gt;=500,"Medium","Low")))</f>
        <v>High</v>
      </c>
      <c r="M928" s="4" t="str" cm="1">
        <f t="array" ref="M92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28" s="4" cm="1">
        <f t="array" ref="N92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928" s="4">
        <f>Table15[[#This Row],[Total Amount]]-Table15[[#This Row],[Discount Amount]]</f>
        <v>1800</v>
      </c>
    </row>
    <row r="929" spans="1:15" x14ac:dyDescent="0.35">
      <c r="A929" s="4">
        <v>928</v>
      </c>
      <c r="B929" s="5">
        <v>45021</v>
      </c>
      <c r="C929" s="4" t="s">
        <v>941</v>
      </c>
      <c r="D929" s="4" t="s">
        <v>13</v>
      </c>
      <c r="E929" s="4">
        <v>35</v>
      </c>
      <c r="F929" s="4" t="str">
        <f>IF(Table15[[#This Row],[Age]]&lt;=19,"Teenager",IF(Table15[[#This Row],[Age]]&lt;=40,"Median","Old"))</f>
        <v>Median</v>
      </c>
      <c r="G929" s="4" t="s">
        <v>14</v>
      </c>
      <c r="H929" s="4">
        <v>4</v>
      </c>
      <c r="I929" s="4">
        <v>300</v>
      </c>
      <c r="J929" s="4">
        <v>1200</v>
      </c>
      <c r="K929" s="4" t="str" cm="1">
        <f t="array" ref="K929">_xlfn.IFS(AND(Table15[[#This Row],[Total Amount]]&gt;=1500),"Critical",AND(Table15[[#This Row],[Total Amount]]&gt;=1000),"High",TRUE,"Normal")</f>
        <v>High</v>
      </c>
      <c r="L929" s="4" t="str">
        <f>IF(Table15[[#This Row],[Total Amount]]&gt;=1000,"High",(IF(Table15[[#This Row],[Total Amount]]&gt;=500,"Medium","Low")))</f>
        <v>High</v>
      </c>
      <c r="M929" s="4" t="str" cm="1">
        <f t="array" ref="M92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29" s="4" cm="1">
        <f t="array" ref="N92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929" s="4">
        <f>Table15[[#This Row],[Total Amount]]-Table15[[#This Row],[Discount Amount]]</f>
        <v>960</v>
      </c>
    </row>
    <row r="930" spans="1:15" x14ac:dyDescent="0.35">
      <c r="A930" s="4">
        <v>929</v>
      </c>
      <c r="B930" s="5">
        <v>44953</v>
      </c>
      <c r="C930" s="4" t="s">
        <v>942</v>
      </c>
      <c r="D930" s="4" t="s">
        <v>13</v>
      </c>
      <c r="E930" s="4">
        <v>23</v>
      </c>
      <c r="F930" s="4" t="str">
        <f>IF(Table15[[#This Row],[Age]]&lt;=19,"Teenager",IF(Table15[[#This Row],[Age]]&lt;=40,"Median","Old"))</f>
        <v>Median</v>
      </c>
      <c r="G930" s="4" t="s">
        <v>11</v>
      </c>
      <c r="H930" s="4">
        <v>3</v>
      </c>
      <c r="I930" s="4">
        <v>25</v>
      </c>
      <c r="J930" s="4">
        <v>75</v>
      </c>
      <c r="K930" s="4" t="str" cm="1">
        <f t="array" ref="K930">_xlfn.IFS(AND(Table15[[#This Row],[Total Amount]]&gt;=1500),"Critical",AND(Table15[[#This Row],[Total Amount]]&gt;=1000),"High",TRUE,"Normal")</f>
        <v>Normal</v>
      </c>
      <c r="L930" s="4" t="str">
        <f>IF(Table15[[#This Row],[Total Amount]]&gt;=1000,"High",(IF(Table15[[#This Row],[Total Amount]]&gt;=500,"Medium","Low")))</f>
        <v>Low</v>
      </c>
      <c r="M930" s="4" t="str" cm="1">
        <f t="array" ref="M93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30" s="4" cm="1">
        <f t="array" ref="N93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30" s="4">
        <f>Table15[[#This Row],[Total Amount]]-Table15[[#This Row],[Discount Amount]]</f>
        <v>75</v>
      </c>
    </row>
    <row r="931" spans="1:15" x14ac:dyDescent="0.35">
      <c r="A931" s="4">
        <v>930</v>
      </c>
      <c r="B931" s="5">
        <v>45056</v>
      </c>
      <c r="C931" s="4" t="s">
        <v>943</v>
      </c>
      <c r="D931" s="4" t="s">
        <v>10</v>
      </c>
      <c r="E931" s="4">
        <v>54</v>
      </c>
      <c r="F931" s="4" t="str">
        <f>IF(Table15[[#This Row],[Age]]&lt;=19,"Teenager",IF(Table15[[#This Row],[Age]]&lt;=40,"Median","Old"))</f>
        <v>Old</v>
      </c>
      <c r="G931" s="4" t="s">
        <v>14</v>
      </c>
      <c r="H931" s="4">
        <v>4</v>
      </c>
      <c r="I931" s="4">
        <v>50</v>
      </c>
      <c r="J931" s="4">
        <v>200</v>
      </c>
      <c r="K931" s="4" t="str" cm="1">
        <f t="array" ref="K931">_xlfn.IFS(AND(Table15[[#This Row],[Total Amount]]&gt;=1500),"Critical",AND(Table15[[#This Row],[Total Amount]]&gt;=1000),"High",TRUE,"Normal")</f>
        <v>Normal</v>
      </c>
      <c r="L931" s="4" t="str">
        <f>IF(Table15[[#This Row],[Total Amount]]&gt;=1000,"High",(IF(Table15[[#This Row],[Total Amount]]&gt;=500,"Medium","Low")))</f>
        <v>Low</v>
      </c>
      <c r="M931" s="4" t="str" cm="1">
        <f t="array" ref="M93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31" s="4" cm="1">
        <f t="array" ref="N93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931" s="4">
        <f>Table15[[#This Row],[Total Amount]]-Table15[[#This Row],[Discount Amount]]</f>
        <v>180</v>
      </c>
    </row>
    <row r="932" spans="1:15" x14ac:dyDescent="0.35">
      <c r="A932" s="4">
        <v>931</v>
      </c>
      <c r="B932" s="5">
        <v>45171</v>
      </c>
      <c r="C932" s="4" t="s">
        <v>944</v>
      </c>
      <c r="D932" s="4" t="s">
        <v>10</v>
      </c>
      <c r="E932" s="4">
        <v>30</v>
      </c>
      <c r="F932" s="4" t="str">
        <f>IF(Table15[[#This Row],[Age]]&lt;=19,"Teenager",IF(Table15[[#This Row],[Age]]&lt;=40,"Median","Old"))</f>
        <v>Median</v>
      </c>
      <c r="G932" s="4" t="s">
        <v>11</v>
      </c>
      <c r="H932" s="4">
        <v>4</v>
      </c>
      <c r="I932" s="4">
        <v>30</v>
      </c>
      <c r="J932" s="4">
        <v>120</v>
      </c>
      <c r="K932" s="4" t="str" cm="1">
        <f t="array" ref="K932">_xlfn.IFS(AND(Table15[[#This Row],[Total Amount]]&gt;=1500),"Critical",AND(Table15[[#This Row],[Total Amount]]&gt;=1000),"High",TRUE,"Normal")</f>
        <v>Normal</v>
      </c>
      <c r="L932" s="4" t="str">
        <f>IF(Table15[[#This Row],[Total Amount]]&gt;=1000,"High",(IF(Table15[[#This Row],[Total Amount]]&gt;=500,"Medium","Low")))</f>
        <v>Low</v>
      </c>
      <c r="M932" s="4" t="str" cm="1">
        <f t="array" ref="M93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32" s="4" cm="1">
        <f t="array" ref="N93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932" s="4">
        <f>Table15[[#This Row],[Total Amount]]-Table15[[#This Row],[Discount Amount]]</f>
        <v>102</v>
      </c>
    </row>
    <row r="933" spans="1:15" x14ac:dyDescent="0.35">
      <c r="A933" s="4">
        <v>932</v>
      </c>
      <c r="B933" s="5">
        <v>44985</v>
      </c>
      <c r="C933" s="4" t="s">
        <v>945</v>
      </c>
      <c r="D933" s="4" t="s">
        <v>13</v>
      </c>
      <c r="E933" s="4">
        <v>45</v>
      </c>
      <c r="F933" s="4" t="str">
        <f>IF(Table15[[#This Row],[Age]]&lt;=19,"Teenager",IF(Table15[[#This Row],[Age]]&lt;=40,"Median","Old"))</f>
        <v>Old</v>
      </c>
      <c r="G933" s="4" t="s">
        <v>11</v>
      </c>
      <c r="H933" s="4">
        <v>4</v>
      </c>
      <c r="I933" s="4">
        <v>25</v>
      </c>
      <c r="J933" s="4">
        <v>100</v>
      </c>
      <c r="K933" s="4" t="str" cm="1">
        <f t="array" ref="K933">_xlfn.IFS(AND(Table15[[#This Row],[Total Amount]]&gt;=1500),"Critical",AND(Table15[[#This Row],[Total Amount]]&gt;=1000),"High",TRUE,"Normal")</f>
        <v>Normal</v>
      </c>
      <c r="L933" s="4" t="str">
        <f>IF(Table15[[#This Row],[Total Amount]]&gt;=1000,"High",(IF(Table15[[#This Row],[Total Amount]]&gt;=500,"Medium","Low")))</f>
        <v>Low</v>
      </c>
      <c r="M933" s="4" t="str" cm="1">
        <f t="array" ref="M93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33" s="4" cm="1">
        <f t="array" ref="N93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933" s="4">
        <f>Table15[[#This Row],[Total Amount]]-Table15[[#This Row],[Discount Amount]]</f>
        <v>80</v>
      </c>
    </row>
    <row r="934" spans="1:15" x14ac:dyDescent="0.35">
      <c r="A934" s="4">
        <v>933</v>
      </c>
      <c r="B934" s="5">
        <v>44960</v>
      </c>
      <c r="C934" s="4" t="s">
        <v>946</v>
      </c>
      <c r="D934" s="4" t="s">
        <v>10</v>
      </c>
      <c r="E934" s="4">
        <v>22</v>
      </c>
      <c r="F934" s="4" t="str">
        <f>IF(Table15[[#This Row],[Age]]&lt;=19,"Teenager",IF(Table15[[#This Row],[Age]]&lt;=40,"Median","Old"))</f>
        <v>Median</v>
      </c>
      <c r="G934" s="4" t="s">
        <v>11</v>
      </c>
      <c r="H934" s="4">
        <v>1</v>
      </c>
      <c r="I934" s="4">
        <v>30</v>
      </c>
      <c r="J934" s="4">
        <v>30</v>
      </c>
      <c r="K934" s="4" t="str" cm="1">
        <f t="array" ref="K934">_xlfn.IFS(AND(Table15[[#This Row],[Total Amount]]&gt;=1500),"Critical",AND(Table15[[#This Row],[Total Amount]]&gt;=1000),"High",TRUE,"Normal")</f>
        <v>Normal</v>
      </c>
      <c r="L934" s="4" t="str">
        <f>IF(Table15[[#This Row],[Total Amount]]&gt;=1000,"High",(IF(Table15[[#This Row],[Total Amount]]&gt;=500,"Medium","Low")))</f>
        <v>Low</v>
      </c>
      <c r="M934" s="4" t="str" cm="1">
        <f t="array" ref="M93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34" s="4" cm="1">
        <f t="array" ref="N93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34" s="4">
        <f>Table15[[#This Row],[Total Amount]]-Table15[[#This Row],[Discount Amount]]</f>
        <v>30</v>
      </c>
    </row>
    <row r="935" spans="1:15" x14ac:dyDescent="0.35">
      <c r="A935" s="4">
        <v>934</v>
      </c>
      <c r="B935" s="5">
        <v>45132</v>
      </c>
      <c r="C935" s="4" t="s">
        <v>947</v>
      </c>
      <c r="D935" s="4" t="s">
        <v>10</v>
      </c>
      <c r="E935" s="4">
        <v>30</v>
      </c>
      <c r="F935" s="4" t="str">
        <f>IF(Table15[[#This Row],[Age]]&lt;=19,"Teenager",IF(Table15[[#This Row],[Age]]&lt;=40,"Median","Old"))</f>
        <v>Median</v>
      </c>
      <c r="G935" s="4" t="s">
        <v>11</v>
      </c>
      <c r="H935" s="4">
        <v>1</v>
      </c>
      <c r="I935" s="4">
        <v>500</v>
      </c>
      <c r="J935" s="4">
        <v>500</v>
      </c>
      <c r="K935" s="4" t="str" cm="1">
        <f t="array" ref="K935">_xlfn.IFS(AND(Table15[[#This Row],[Total Amount]]&gt;=1500),"Critical",AND(Table15[[#This Row],[Total Amount]]&gt;=1000),"High",TRUE,"Normal")</f>
        <v>Normal</v>
      </c>
      <c r="L935" s="4" t="str">
        <f>IF(Table15[[#This Row],[Total Amount]]&gt;=1000,"High",(IF(Table15[[#This Row],[Total Amount]]&gt;=500,"Medium","Low")))</f>
        <v>Medium</v>
      </c>
      <c r="M935" s="4" t="str" cm="1">
        <f t="array" ref="M93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35" s="4" cm="1">
        <f t="array" ref="N93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935" s="4">
        <f>Table15[[#This Row],[Total Amount]]-Table15[[#This Row],[Discount Amount]]</f>
        <v>425</v>
      </c>
    </row>
    <row r="936" spans="1:15" x14ac:dyDescent="0.35">
      <c r="A936" s="4">
        <v>935</v>
      </c>
      <c r="B936" s="5">
        <v>45178</v>
      </c>
      <c r="C936" s="4" t="s">
        <v>948</v>
      </c>
      <c r="D936" s="4" t="s">
        <v>13</v>
      </c>
      <c r="E936" s="4">
        <v>34</v>
      </c>
      <c r="F936" s="4" t="str">
        <f>IF(Table15[[#This Row],[Age]]&lt;=19,"Teenager",IF(Table15[[#This Row],[Age]]&lt;=40,"Median","Old"))</f>
        <v>Median</v>
      </c>
      <c r="G936" s="4" t="s">
        <v>11</v>
      </c>
      <c r="H936" s="4">
        <v>1</v>
      </c>
      <c r="I936" s="4">
        <v>50</v>
      </c>
      <c r="J936" s="4">
        <v>50</v>
      </c>
      <c r="K936" s="4" t="str" cm="1">
        <f t="array" ref="K936">_xlfn.IFS(AND(Table15[[#This Row],[Total Amount]]&gt;=1500),"Critical",AND(Table15[[#This Row],[Total Amount]]&gt;=1000),"High",TRUE,"Normal")</f>
        <v>Normal</v>
      </c>
      <c r="L936" s="4" t="str">
        <f>IF(Table15[[#This Row],[Total Amount]]&gt;=1000,"High",(IF(Table15[[#This Row],[Total Amount]]&gt;=500,"Medium","Low")))</f>
        <v>Low</v>
      </c>
      <c r="M936" s="4" t="str" cm="1">
        <f t="array" ref="M93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36" s="4" cm="1">
        <f t="array" ref="N93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936" s="4">
        <f>Table15[[#This Row],[Total Amount]]-Table15[[#This Row],[Discount Amount]]</f>
        <v>42.5</v>
      </c>
    </row>
    <row r="937" spans="1:15" x14ac:dyDescent="0.35">
      <c r="A937" s="4">
        <v>936</v>
      </c>
      <c r="B937" s="5">
        <v>44964</v>
      </c>
      <c r="C937" s="4" t="s">
        <v>949</v>
      </c>
      <c r="D937" s="4" t="s">
        <v>10</v>
      </c>
      <c r="E937" s="4">
        <v>57</v>
      </c>
      <c r="F937" s="4" t="str">
        <f>IF(Table15[[#This Row],[Age]]&lt;=19,"Teenager",IF(Table15[[#This Row],[Age]]&lt;=40,"Median","Old"))</f>
        <v>Old</v>
      </c>
      <c r="G937" s="4" t="s">
        <v>11</v>
      </c>
      <c r="H937" s="4">
        <v>4</v>
      </c>
      <c r="I937" s="4">
        <v>50</v>
      </c>
      <c r="J937" s="4">
        <v>200</v>
      </c>
      <c r="K937" s="4" t="str" cm="1">
        <f t="array" ref="K937">_xlfn.IFS(AND(Table15[[#This Row],[Total Amount]]&gt;=1500),"Critical",AND(Table15[[#This Row],[Total Amount]]&gt;=1000),"High",TRUE,"Normal")</f>
        <v>Normal</v>
      </c>
      <c r="L937" s="4" t="str">
        <f>IF(Table15[[#This Row],[Total Amount]]&gt;=1000,"High",(IF(Table15[[#This Row],[Total Amount]]&gt;=500,"Medium","Low")))</f>
        <v>Low</v>
      </c>
      <c r="M937" s="4" t="str" cm="1">
        <f t="array" ref="M93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37" s="4" cm="1">
        <f t="array" ref="N93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937" s="4">
        <f>Table15[[#This Row],[Total Amount]]-Table15[[#This Row],[Discount Amount]]</f>
        <v>180</v>
      </c>
    </row>
    <row r="938" spans="1:15" x14ac:dyDescent="0.35">
      <c r="A938" s="4">
        <v>937</v>
      </c>
      <c r="B938" s="5">
        <v>45222</v>
      </c>
      <c r="C938" s="4" t="s">
        <v>950</v>
      </c>
      <c r="D938" s="4" t="s">
        <v>13</v>
      </c>
      <c r="E938" s="4">
        <v>62</v>
      </c>
      <c r="F938" s="4" t="str">
        <f>IF(Table15[[#This Row],[Age]]&lt;=19,"Teenager",IF(Table15[[#This Row],[Age]]&lt;=40,"Median","Old"))</f>
        <v>Old</v>
      </c>
      <c r="G938" s="4" t="s">
        <v>11</v>
      </c>
      <c r="H938" s="4">
        <v>1</v>
      </c>
      <c r="I938" s="4">
        <v>500</v>
      </c>
      <c r="J938" s="4">
        <v>500</v>
      </c>
      <c r="K938" s="4" t="str" cm="1">
        <f t="array" ref="K938">_xlfn.IFS(AND(Table15[[#This Row],[Total Amount]]&gt;=1500),"Critical",AND(Table15[[#This Row],[Total Amount]]&gt;=1000),"High",TRUE,"Normal")</f>
        <v>Normal</v>
      </c>
      <c r="L938" s="4" t="str">
        <f>IF(Table15[[#This Row],[Total Amount]]&gt;=1000,"High",(IF(Table15[[#This Row],[Total Amount]]&gt;=500,"Medium","Low")))</f>
        <v>Medium</v>
      </c>
      <c r="M938" s="4" t="str" cm="1">
        <f t="array" ref="M93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38" s="4" cm="1">
        <f t="array" ref="N93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938" s="4">
        <f>Table15[[#This Row],[Total Amount]]-Table15[[#This Row],[Discount Amount]]</f>
        <v>400</v>
      </c>
    </row>
    <row r="939" spans="1:15" x14ac:dyDescent="0.35">
      <c r="A939" s="4">
        <v>938</v>
      </c>
      <c r="B939" s="5">
        <v>45249</v>
      </c>
      <c r="C939" s="4" t="s">
        <v>951</v>
      </c>
      <c r="D939" s="4" t="s">
        <v>10</v>
      </c>
      <c r="E939" s="4">
        <v>49</v>
      </c>
      <c r="F939" s="4" t="str">
        <f>IF(Table15[[#This Row],[Age]]&lt;=19,"Teenager",IF(Table15[[#This Row],[Age]]&lt;=40,"Median","Old"))</f>
        <v>Old</v>
      </c>
      <c r="G939" s="4" t="s">
        <v>14</v>
      </c>
      <c r="H939" s="4">
        <v>4</v>
      </c>
      <c r="I939" s="4">
        <v>50</v>
      </c>
      <c r="J939" s="4">
        <v>200</v>
      </c>
      <c r="K939" s="4" t="str" cm="1">
        <f t="array" ref="K939">_xlfn.IFS(AND(Table15[[#This Row],[Total Amount]]&gt;=1500),"Critical",AND(Table15[[#This Row],[Total Amount]]&gt;=1000),"High",TRUE,"Normal")</f>
        <v>Normal</v>
      </c>
      <c r="L939" s="4" t="str">
        <f>IF(Table15[[#This Row],[Total Amount]]&gt;=1000,"High",(IF(Table15[[#This Row],[Total Amount]]&gt;=500,"Medium","Low")))</f>
        <v>Low</v>
      </c>
      <c r="M939" s="4" t="str" cm="1">
        <f t="array" ref="M93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39" s="4" cm="1">
        <f t="array" ref="N93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939" s="4">
        <f>Table15[[#This Row],[Total Amount]]-Table15[[#This Row],[Discount Amount]]</f>
        <v>180</v>
      </c>
    </row>
    <row r="940" spans="1:15" x14ac:dyDescent="0.35">
      <c r="A940" s="4">
        <v>939</v>
      </c>
      <c r="B940" s="5">
        <v>45278</v>
      </c>
      <c r="C940" s="4" t="s">
        <v>952</v>
      </c>
      <c r="D940" s="4" t="s">
        <v>13</v>
      </c>
      <c r="E940" s="4">
        <v>46</v>
      </c>
      <c r="F940" s="4" t="str">
        <f>IF(Table15[[#This Row],[Age]]&lt;=19,"Teenager",IF(Table15[[#This Row],[Age]]&lt;=40,"Median","Old"))</f>
        <v>Old</v>
      </c>
      <c r="G940" s="4" t="s">
        <v>16</v>
      </c>
      <c r="H940" s="4">
        <v>1</v>
      </c>
      <c r="I940" s="4">
        <v>300</v>
      </c>
      <c r="J940" s="4">
        <v>300</v>
      </c>
      <c r="K940" s="4" t="str" cm="1">
        <f t="array" ref="K940">_xlfn.IFS(AND(Table15[[#This Row],[Total Amount]]&gt;=1500),"Critical",AND(Table15[[#This Row],[Total Amount]]&gt;=1000),"High",TRUE,"Normal")</f>
        <v>Normal</v>
      </c>
      <c r="L940" s="4" t="str">
        <f>IF(Table15[[#This Row],[Total Amount]]&gt;=1000,"High",(IF(Table15[[#This Row],[Total Amount]]&gt;=500,"Medium","Low")))</f>
        <v>Low</v>
      </c>
      <c r="M940" s="4" t="str" cm="1">
        <f t="array" ref="M94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40" s="4" cm="1">
        <f t="array" ref="N94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940" s="4">
        <f>Table15[[#This Row],[Total Amount]]-Table15[[#This Row],[Discount Amount]]</f>
        <v>240</v>
      </c>
    </row>
    <row r="941" spans="1:15" x14ac:dyDescent="0.35">
      <c r="A941" s="4">
        <v>940</v>
      </c>
      <c r="B941" s="5">
        <v>44954</v>
      </c>
      <c r="C941" s="4" t="s">
        <v>953</v>
      </c>
      <c r="D941" s="4" t="s">
        <v>13</v>
      </c>
      <c r="E941" s="4">
        <v>20</v>
      </c>
      <c r="F941" s="4" t="str">
        <f>IF(Table15[[#This Row],[Age]]&lt;=19,"Teenager",IF(Table15[[#This Row],[Age]]&lt;=40,"Median","Old"))</f>
        <v>Median</v>
      </c>
      <c r="G941" s="4" t="s">
        <v>16</v>
      </c>
      <c r="H941" s="4">
        <v>1</v>
      </c>
      <c r="I941" s="4">
        <v>30</v>
      </c>
      <c r="J941" s="4">
        <v>30</v>
      </c>
      <c r="K941" s="4" t="str" cm="1">
        <f t="array" ref="K941">_xlfn.IFS(AND(Table15[[#This Row],[Total Amount]]&gt;=1500),"Critical",AND(Table15[[#This Row],[Total Amount]]&gt;=1000),"High",TRUE,"Normal")</f>
        <v>Normal</v>
      </c>
      <c r="L941" s="4" t="str">
        <f>IF(Table15[[#This Row],[Total Amount]]&gt;=1000,"High",(IF(Table15[[#This Row],[Total Amount]]&gt;=500,"Medium","Low")))</f>
        <v>Low</v>
      </c>
      <c r="M941" s="4" t="str" cm="1">
        <f t="array" ref="M94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41" s="4" cm="1">
        <f t="array" ref="N94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41" s="4">
        <f>Table15[[#This Row],[Total Amount]]-Table15[[#This Row],[Discount Amount]]</f>
        <v>30</v>
      </c>
    </row>
    <row r="942" spans="1:15" x14ac:dyDescent="0.35">
      <c r="A942" s="4">
        <v>941</v>
      </c>
      <c r="B942" s="5">
        <v>45004</v>
      </c>
      <c r="C942" s="4" t="s">
        <v>954</v>
      </c>
      <c r="D942" s="4" t="s">
        <v>13</v>
      </c>
      <c r="E942" s="4">
        <v>57</v>
      </c>
      <c r="F942" s="4" t="str">
        <f>IF(Table15[[#This Row],[Age]]&lt;=19,"Teenager",IF(Table15[[#This Row],[Age]]&lt;=40,"Median","Old"))</f>
        <v>Old</v>
      </c>
      <c r="G942" s="4" t="s">
        <v>14</v>
      </c>
      <c r="H942" s="4">
        <v>2</v>
      </c>
      <c r="I942" s="4">
        <v>25</v>
      </c>
      <c r="J942" s="4">
        <v>50</v>
      </c>
      <c r="K942" s="4" t="str" cm="1">
        <f t="array" ref="K942">_xlfn.IFS(AND(Table15[[#This Row],[Total Amount]]&gt;=1500),"Critical",AND(Table15[[#This Row],[Total Amount]]&gt;=1000),"High",TRUE,"Normal")</f>
        <v>Normal</v>
      </c>
      <c r="L942" s="4" t="str">
        <f>IF(Table15[[#This Row],[Total Amount]]&gt;=1000,"High",(IF(Table15[[#This Row],[Total Amount]]&gt;=500,"Medium","Low")))</f>
        <v>Low</v>
      </c>
      <c r="M942" s="4" t="str" cm="1">
        <f t="array" ref="M94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42" s="4" cm="1">
        <f t="array" ref="N94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942" s="4">
        <f>Table15[[#This Row],[Total Amount]]-Table15[[#This Row],[Discount Amount]]</f>
        <v>40</v>
      </c>
    </row>
    <row r="943" spans="1:15" x14ac:dyDescent="0.35">
      <c r="A943" s="4">
        <v>942</v>
      </c>
      <c r="B943" s="5">
        <v>45003</v>
      </c>
      <c r="C943" s="4" t="s">
        <v>955</v>
      </c>
      <c r="D943" s="4" t="s">
        <v>10</v>
      </c>
      <c r="E943" s="4">
        <v>51</v>
      </c>
      <c r="F943" s="4" t="str">
        <f>IF(Table15[[#This Row],[Age]]&lt;=19,"Teenager",IF(Table15[[#This Row],[Age]]&lt;=40,"Median","Old"))</f>
        <v>Old</v>
      </c>
      <c r="G943" s="4" t="s">
        <v>14</v>
      </c>
      <c r="H943" s="4">
        <v>3</v>
      </c>
      <c r="I943" s="4">
        <v>500</v>
      </c>
      <c r="J943" s="4">
        <v>1500</v>
      </c>
      <c r="K943" s="4" t="str" cm="1">
        <f t="array" ref="K943">_xlfn.IFS(AND(Table15[[#This Row],[Total Amount]]&gt;=1500),"Critical",AND(Table15[[#This Row],[Total Amount]]&gt;=1000),"High",TRUE,"Normal")</f>
        <v>Critical</v>
      </c>
      <c r="L943" s="4" t="str">
        <f>IF(Table15[[#This Row],[Total Amount]]&gt;=1000,"High",(IF(Table15[[#This Row],[Total Amount]]&gt;=500,"Medium","Low")))</f>
        <v>High</v>
      </c>
      <c r="M943" s="4" t="str" cm="1">
        <f t="array" ref="M94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43" s="4" cm="1">
        <f t="array" ref="N94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943" s="4">
        <f>Table15[[#This Row],[Total Amount]]-Table15[[#This Row],[Discount Amount]]</f>
        <v>1350</v>
      </c>
    </row>
    <row r="944" spans="1:15" x14ac:dyDescent="0.35">
      <c r="A944" s="4">
        <v>943</v>
      </c>
      <c r="B944" s="5">
        <v>45215</v>
      </c>
      <c r="C944" s="4" t="s">
        <v>956</v>
      </c>
      <c r="D944" s="4" t="s">
        <v>13</v>
      </c>
      <c r="E944" s="4">
        <v>57</v>
      </c>
      <c r="F944" s="4" t="str">
        <f>IF(Table15[[#This Row],[Age]]&lt;=19,"Teenager",IF(Table15[[#This Row],[Age]]&lt;=40,"Median","Old"))</f>
        <v>Old</v>
      </c>
      <c r="G944" s="4" t="s">
        <v>14</v>
      </c>
      <c r="H944" s="4">
        <v>4</v>
      </c>
      <c r="I944" s="4">
        <v>300</v>
      </c>
      <c r="J944" s="4">
        <v>1200</v>
      </c>
      <c r="K944" s="4" t="str" cm="1">
        <f t="array" ref="K944">_xlfn.IFS(AND(Table15[[#This Row],[Total Amount]]&gt;=1500),"Critical",AND(Table15[[#This Row],[Total Amount]]&gt;=1000),"High",TRUE,"Normal")</f>
        <v>High</v>
      </c>
      <c r="L944" s="4" t="str">
        <f>IF(Table15[[#This Row],[Total Amount]]&gt;=1000,"High",(IF(Table15[[#This Row],[Total Amount]]&gt;=500,"Medium","Low")))</f>
        <v>High</v>
      </c>
      <c r="M944" s="4" t="str" cm="1">
        <f t="array" ref="M94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44" s="4" cm="1">
        <f t="array" ref="N94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944" s="4">
        <f>Table15[[#This Row],[Total Amount]]-Table15[[#This Row],[Discount Amount]]</f>
        <v>960</v>
      </c>
    </row>
    <row r="945" spans="1:15" x14ac:dyDescent="0.35">
      <c r="A945" s="4">
        <v>944</v>
      </c>
      <c r="B945" s="5">
        <v>45082</v>
      </c>
      <c r="C945" s="4" t="s">
        <v>957</v>
      </c>
      <c r="D945" s="4" t="s">
        <v>10</v>
      </c>
      <c r="E945" s="4">
        <v>44</v>
      </c>
      <c r="F945" s="4" t="str">
        <f>IF(Table15[[#This Row],[Age]]&lt;=19,"Teenager",IF(Table15[[#This Row],[Age]]&lt;=40,"Median","Old"))</f>
        <v>Old</v>
      </c>
      <c r="G945" s="4" t="s">
        <v>14</v>
      </c>
      <c r="H945" s="4">
        <v>2</v>
      </c>
      <c r="I945" s="4">
        <v>25</v>
      </c>
      <c r="J945" s="4">
        <v>50</v>
      </c>
      <c r="K945" s="4" t="str" cm="1">
        <f t="array" ref="K945">_xlfn.IFS(AND(Table15[[#This Row],[Total Amount]]&gt;=1500),"Critical",AND(Table15[[#This Row],[Total Amount]]&gt;=1000),"High",TRUE,"Normal")</f>
        <v>Normal</v>
      </c>
      <c r="L945" s="4" t="str">
        <f>IF(Table15[[#This Row],[Total Amount]]&gt;=1000,"High",(IF(Table15[[#This Row],[Total Amount]]&gt;=500,"Medium","Low")))</f>
        <v>Low</v>
      </c>
      <c r="M945" s="4" t="str" cm="1">
        <f t="array" ref="M94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45" s="4" cm="1">
        <f t="array" ref="N94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945" s="4">
        <f>Table15[[#This Row],[Total Amount]]-Table15[[#This Row],[Discount Amount]]</f>
        <v>45</v>
      </c>
    </row>
    <row r="946" spans="1:15" x14ac:dyDescent="0.35">
      <c r="A946" s="4">
        <v>945</v>
      </c>
      <c r="B946" s="5">
        <v>44970</v>
      </c>
      <c r="C946" s="4" t="s">
        <v>958</v>
      </c>
      <c r="D946" s="4" t="s">
        <v>10</v>
      </c>
      <c r="E946" s="4">
        <v>30</v>
      </c>
      <c r="F946" s="4" t="str">
        <f>IF(Table15[[#This Row],[Age]]&lt;=19,"Teenager",IF(Table15[[#This Row],[Age]]&lt;=40,"Median","Old"))</f>
        <v>Median</v>
      </c>
      <c r="G946" s="4" t="s">
        <v>11</v>
      </c>
      <c r="H946" s="4">
        <v>1</v>
      </c>
      <c r="I946" s="4">
        <v>25</v>
      </c>
      <c r="J946" s="4">
        <v>25</v>
      </c>
      <c r="K946" s="4" t="str" cm="1">
        <f t="array" ref="K946">_xlfn.IFS(AND(Table15[[#This Row],[Total Amount]]&gt;=1500),"Critical",AND(Table15[[#This Row],[Total Amount]]&gt;=1000),"High",TRUE,"Normal")</f>
        <v>Normal</v>
      </c>
      <c r="L946" s="4" t="str">
        <f>IF(Table15[[#This Row],[Total Amount]]&gt;=1000,"High",(IF(Table15[[#This Row],[Total Amount]]&gt;=500,"Medium","Low")))</f>
        <v>Low</v>
      </c>
      <c r="M946" s="4" t="str" cm="1">
        <f t="array" ref="M94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46" s="4" cm="1">
        <f t="array" ref="N94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3.75</v>
      </c>
      <c r="O946" s="4">
        <f>Table15[[#This Row],[Total Amount]]-Table15[[#This Row],[Discount Amount]]</f>
        <v>21.25</v>
      </c>
    </row>
    <row r="947" spans="1:15" x14ac:dyDescent="0.35">
      <c r="A947" s="4">
        <v>946</v>
      </c>
      <c r="B947" s="5">
        <v>45054</v>
      </c>
      <c r="C947" s="4" t="s">
        <v>959</v>
      </c>
      <c r="D947" s="4" t="s">
        <v>10</v>
      </c>
      <c r="E947" s="4">
        <v>62</v>
      </c>
      <c r="F947" s="4" t="str">
        <f>IF(Table15[[#This Row],[Age]]&lt;=19,"Teenager",IF(Table15[[#This Row],[Age]]&lt;=40,"Median","Old"))</f>
        <v>Old</v>
      </c>
      <c r="G947" s="4" t="s">
        <v>16</v>
      </c>
      <c r="H947" s="4">
        <v>4</v>
      </c>
      <c r="I947" s="4">
        <v>500</v>
      </c>
      <c r="J947" s="4">
        <v>2000</v>
      </c>
      <c r="K947" s="4" t="str" cm="1">
        <f t="array" ref="K947">_xlfn.IFS(AND(Table15[[#This Row],[Total Amount]]&gt;=1500),"Critical",AND(Table15[[#This Row],[Total Amount]]&gt;=1000),"High",TRUE,"Normal")</f>
        <v>Critical</v>
      </c>
      <c r="L947" s="4" t="str">
        <f>IF(Table15[[#This Row],[Total Amount]]&gt;=1000,"High",(IF(Table15[[#This Row],[Total Amount]]&gt;=500,"Medium","Low")))</f>
        <v>High</v>
      </c>
      <c r="M947" s="4" t="str" cm="1">
        <f t="array" ref="M94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47" s="4" cm="1">
        <f t="array" ref="N94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947" s="4">
        <f>Table15[[#This Row],[Total Amount]]-Table15[[#This Row],[Discount Amount]]</f>
        <v>1800</v>
      </c>
    </row>
    <row r="948" spans="1:15" x14ac:dyDescent="0.35">
      <c r="A948" s="4">
        <v>947</v>
      </c>
      <c r="B948" s="5">
        <v>44987</v>
      </c>
      <c r="C948" s="4" t="s">
        <v>960</v>
      </c>
      <c r="D948" s="4" t="s">
        <v>10</v>
      </c>
      <c r="E948" s="4">
        <v>50</v>
      </c>
      <c r="F948" s="4" t="str">
        <f>IF(Table15[[#This Row],[Age]]&lt;=19,"Teenager",IF(Table15[[#This Row],[Age]]&lt;=40,"Median","Old"))</f>
        <v>Old</v>
      </c>
      <c r="G948" s="4" t="s">
        <v>11</v>
      </c>
      <c r="H948" s="4">
        <v>1</v>
      </c>
      <c r="I948" s="4">
        <v>300</v>
      </c>
      <c r="J948" s="4">
        <v>300</v>
      </c>
      <c r="K948" s="4" t="str" cm="1">
        <f t="array" ref="K948">_xlfn.IFS(AND(Table15[[#This Row],[Total Amount]]&gt;=1500),"Critical",AND(Table15[[#This Row],[Total Amount]]&gt;=1000),"High",TRUE,"Normal")</f>
        <v>Normal</v>
      </c>
      <c r="L948" s="4" t="str">
        <f>IF(Table15[[#This Row],[Total Amount]]&gt;=1000,"High",(IF(Table15[[#This Row],[Total Amount]]&gt;=500,"Medium","Low")))</f>
        <v>Low</v>
      </c>
      <c r="M948" s="4" t="str" cm="1">
        <f t="array" ref="M94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48" s="4" cm="1">
        <f t="array" ref="N94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948" s="4">
        <f>Table15[[#This Row],[Total Amount]]-Table15[[#This Row],[Discount Amount]]</f>
        <v>270</v>
      </c>
    </row>
    <row r="949" spans="1:15" x14ac:dyDescent="0.35">
      <c r="A949" s="4">
        <v>948</v>
      </c>
      <c r="B949" s="5">
        <v>45212</v>
      </c>
      <c r="C949" s="4" t="s">
        <v>961</v>
      </c>
      <c r="D949" s="4" t="s">
        <v>13</v>
      </c>
      <c r="E949" s="4">
        <v>23</v>
      </c>
      <c r="F949" s="4" t="str">
        <f>IF(Table15[[#This Row],[Age]]&lt;=19,"Teenager",IF(Table15[[#This Row],[Age]]&lt;=40,"Median","Old"))</f>
        <v>Median</v>
      </c>
      <c r="G949" s="4" t="s">
        <v>16</v>
      </c>
      <c r="H949" s="4">
        <v>3</v>
      </c>
      <c r="I949" s="4">
        <v>25</v>
      </c>
      <c r="J949" s="4">
        <v>75</v>
      </c>
      <c r="K949" s="4" t="str" cm="1">
        <f t="array" ref="K949">_xlfn.IFS(AND(Table15[[#This Row],[Total Amount]]&gt;=1500),"Critical",AND(Table15[[#This Row],[Total Amount]]&gt;=1000),"High",TRUE,"Normal")</f>
        <v>Normal</v>
      </c>
      <c r="L949" s="4" t="str">
        <f>IF(Table15[[#This Row],[Total Amount]]&gt;=1000,"High",(IF(Table15[[#This Row],[Total Amount]]&gt;=500,"Medium","Low")))</f>
        <v>Low</v>
      </c>
      <c r="M949" s="4" t="str" cm="1">
        <f t="array" ref="M94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49" s="4" cm="1">
        <f t="array" ref="N94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49" s="4">
        <f>Table15[[#This Row],[Total Amount]]-Table15[[#This Row],[Discount Amount]]</f>
        <v>75</v>
      </c>
    </row>
    <row r="950" spans="1:15" x14ac:dyDescent="0.35">
      <c r="A950" s="4">
        <v>949</v>
      </c>
      <c r="B950" s="5">
        <v>45140</v>
      </c>
      <c r="C950" s="4" t="s">
        <v>962</v>
      </c>
      <c r="D950" s="4" t="s">
        <v>13</v>
      </c>
      <c r="E950" s="4">
        <v>41</v>
      </c>
      <c r="F950" s="4" t="str">
        <f>IF(Table15[[#This Row],[Age]]&lt;=19,"Teenager",IF(Table15[[#This Row],[Age]]&lt;=40,"Median","Old"))</f>
        <v>Old</v>
      </c>
      <c r="G950" s="4" t="s">
        <v>16</v>
      </c>
      <c r="H950" s="4">
        <v>2</v>
      </c>
      <c r="I950" s="4">
        <v>25</v>
      </c>
      <c r="J950" s="4">
        <v>50</v>
      </c>
      <c r="K950" s="4" t="str" cm="1">
        <f t="array" ref="K950">_xlfn.IFS(AND(Table15[[#This Row],[Total Amount]]&gt;=1500),"Critical",AND(Table15[[#This Row],[Total Amount]]&gt;=1000),"High",TRUE,"Normal")</f>
        <v>Normal</v>
      </c>
      <c r="L950" s="4" t="str">
        <f>IF(Table15[[#This Row],[Total Amount]]&gt;=1000,"High",(IF(Table15[[#This Row],[Total Amount]]&gt;=500,"Medium","Low")))</f>
        <v>Low</v>
      </c>
      <c r="M950" s="4" t="str" cm="1">
        <f t="array" ref="M95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50" s="4" cm="1">
        <f t="array" ref="N95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950" s="4">
        <f>Table15[[#This Row],[Total Amount]]-Table15[[#This Row],[Discount Amount]]</f>
        <v>40</v>
      </c>
    </row>
    <row r="951" spans="1:15" x14ac:dyDescent="0.35">
      <c r="A951" s="4">
        <v>950</v>
      </c>
      <c r="B951" s="5">
        <v>45237</v>
      </c>
      <c r="C951" s="4" t="s">
        <v>963</v>
      </c>
      <c r="D951" s="4" t="s">
        <v>10</v>
      </c>
      <c r="E951" s="4">
        <v>36</v>
      </c>
      <c r="F951" s="4" t="str">
        <f>IF(Table15[[#This Row],[Age]]&lt;=19,"Teenager",IF(Table15[[#This Row],[Age]]&lt;=40,"Median","Old"))</f>
        <v>Median</v>
      </c>
      <c r="G951" s="4" t="s">
        <v>14</v>
      </c>
      <c r="H951" s="4">
        <v>3</v>
      </c>
      <c r="I951" s="4">
        <v>300</v>
      </c>
      <c r="J951" s="4">
        <v>900</v>
      </c>
      <c r="K951" s="4" t="str" cm="1">
        <f t="array" ref="K951">_xlfn.IFS(AND(Table15[[#This Row],[Total Amount]]&gt;=1500),"Critical",AND(Table15[[#This Row],[Total Amount]]&gt;=1000),"High",TRUE,"Normal")</f>
        <v>Normal</v>
      </c>
      <c r="L951" s="4" t="str">
        <f>IF(Table15[[#This Row],[Total Amount]]&gt;=1000,"High",(IF(Table15[[#This Row],[Total Amount]]&gt;=500,"Medium","Low")))</f>
        <v>Medium</v>
      </c>
      <c r="M951" s="4" t="str" cm="1">
        <f t="array" ref="M95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51" s="4" cm="1">
        <f t="array" ref="N95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951" s="4">
        <f>Table15[[#This Row],[Total Amount]]-Table15[[#This Row],[Discount Amount]]</f>
        <v>810</v>
      </c>
    </row>
    <row r="952" spans="1:15" x14ac:dyDescent="0.35">
      <c r="A952" s="4">
        <v>951</v>
      </c>
      <c r="B952" s="5">
        <v>45232</v>
      </c>
      <c r="C952" s="4" t="s">
        <v>964</v>
      </c>
      <c r="D952" s="4" t="s">
        <v>10</v>
      </c>
      <c r="E952" s="4">
        <v>33</v>
      </c>
      <c r="F952" s="4" t="str">
        <f>IF(Table15[[#This Row],[Age]]&lt;=19,"Teenager",IF(Table15[[#This Row],[Age]]&lt;=40,"Median","Old"))</f>
        <v>Median</v>
      </c>
      <c r="G952" s="4" t="s">
        <v>11</v>
      </c>
      <c r="H952" s="4">
        <v>2</v>
      </c>
      <c r="I952" s="4">
        <v>50</v>
      </c>
      <c r="J952" s="4">
        <v>100</v>
      </c>
      <c r="K952" s="4" t="str" cm="1">
        <f t="array" ref="K952">_xlfn.IFS(AND(Table15[[#This Row],[Total Amount]]&gt;=1500),"Critical",AND(Table15[[#This Row],[Total Amount]]&gt;=1000),"High",TRUE,"Normal")</f>
        <v>Normal</v>
      </c>
      <c r="L952" s="4" t="str">
        <f>IF(Table15[[#This Row],[Total Amount]]&gt;=1000,"High",(IF(Table15[[#This Row],[Total Amount]]&gt;=500,"Medium","Low")))</f>
        <v>Low</v>
      </c>
      <c r="M952" s="4" t="str" cm="1">
        <f t="array" ref="M95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52" s="4" cm="1">
        <f t="array" ref="N95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952" s="4">
        <f>Table15[[#This Row],[Total Amount]]-Table15[[#This Row],[Discount Amount]]</f>
        <v>85</v>
      </c>
    </row>
    <row r="953" spans="1:15" x14ac:dyDescent="0.35">
      <c r="A953" s="4">
        <v>952</v>
      </c>
      <c r="B953" s="5">
        <v>45243</v>
      </c>
      <c r="C953" s="4" t="s">
        <v>965</v>
      </c>
      <c r="D953" s="4" t="s">
        <v>13</v>
      </c>
      <c r="E953" s="4">
        <v>57</v>
      </c>
      <c r="F953" s="4" t="str">
        <f>IF(Table15[[#This Row],[Age]]&lt;=19,"Teenager",IF(Table15[[#This Row],[Age]]&lt;=40,"Median","Old"))</f>
        <v>Old</v>
      </c>
      <c r="G953" s="4" t="s">
        <v>14</v>
      </c>
      <c r="H953" s="4">
        <v>1</v>
      </c>
      <c r="I953" s="4">
        <v>25</v>
      </c>
      <c r="J953" s="4">
        <v>25</v>
      </c>
      <c r="K953" s="4" t="str" cm="1">
        <f t="array" ref="K953">_xlfn.IFS(AND(Table15[[#This Row],[Total Amount]]&gt;=1500),"Critical",AND(Table15[[#This Row],[Total Amount]]&gt;=1000),"High",TRUE,"Normal")</f>
        <v>Normal</v>
      </c>
      <c r="L953" s="4" t="str">
        <f>IF(Table15[[#This Row],[Total Amount]]&gt;=1000,"High",(IF(Table15[[#This Row],[Total Amount]]&gt;=500,"Medium","Low")))</f>
        <v>Low</v>
      </c>
      <c r="M953" s="4" t="str" cm="1">
        <f t="array" ref="M95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53" s="4" cm="1">
        <f t="array" ref="N95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953" s="4">
        <f>Table15[[#This Row],[Total Amount]]-Table15[[#This Row],[Discount Amount]]</f>
        <v>20</v>
      </c>
    </row>
    <row r="954" spans="1:15" x14ac:dyDescent="0.35">
      <c r="A954" s="4">
        <v>953</v>
      </c>
      <c r="B954" s="5">
        <v>45042</v>
      </c>
      <c r="C954" s="4" t="s">
        <v>966</v>
      </c>
      <c r="D954" s="4" t="s">
        <v>10</v>
      </c>
      <c r="E954" s="4">
        <v>45</v>
      </c>
      <c r="F954" s="4" t="str">
        <f>IF(Table15[[#This Row],[Age]]&lt;=19,"Teenager",IF(Table15[[#This Row],[Age]]&lt;=40,"Median","Old"))</f>
        <v>Old</v>
      </c>
      <c r="G954" s="4" t="s">
        <v>11</v>
      </c>
      <c r="H954" s="4">
        <v>3</v>
      </c>
      <c r="I954" s="4">
        <v>30</v>
      </c>
      <c r="J954" s="4">
        <v>90</v>
      </c>
      <c r="K954" s="4" t="str" cm="1">
        <f t="array" ref="K954">_xlfn.IFS(AND(Table15[[#This Row],[Total Amount]]&gt;=1500),"Critical",AND(Table15[[#This Row],[Total Amount]]&gt;=1000),"High",TRUE,"Normal")</f>
        <v>Normal</v>
      </c>
      <c r="L954" s="4" t="str">
        <f>IF(Table15[[#This Row],[Total Amount]]&gt;=1000,"High",(IF(Table15[[#This Row],[Total Amount]]&gt;=500,"Medium","Low")))</f>
        <v>Low</v>
      </c>
      <c r="M954" s="4" t="str" cm="1">
        <f t="array" ref="M95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54" s="4" cm="1">
        <f t="array" ref="N95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954" s="4">
        <f>Table15[[#This Row],[Total Amount]]-Table15[[#This Row],[Discount Amount]]</f>
        <v>81</v>
      </c>
    </row>
    <row r="955" spans="1:15" x14ac:dyDescent="0.35">
      <c r="A955" s="4">
        <v>954</v>
      </c>
      <c r="B955" s="5">
        <v>45194</v>
      </c>
      <c r="C955" s="4" t="s">
        <v>967</v>
      </c>
      <c r="D955" s="4" t="s">
        <v>13</v>
      </c>
      <c r="E955" s="4">
        <v>50</v>
      </c>
      <c r="F955" s="4" t="str">
        <f>IF(Table15[[#This Row],[Age]]&lt;=19,"Teenager",IF(Table15[[#This Row],[Age]]&lt;=40,"Median","Old"))</f>
        <v>Old</v>
      </c>
      <c r="G955" s="4" t="s">
        <v>16</v>
      </c>
      <c r="H955" s="4">
        <v>3</v>
      </c>
      <c r="I955" s="4">
        <v>300</v>
      </c>
      <c r="J955" s="4">
        <v>900</v>
      </c>
      <c r="K955" s="4" t="str" cm="1">
        <f t="array" ref="K955">_xlfn.IFS(AND(Table15[[#This Row],[Total Amount]]&gt;=1500),"Critical",AND(Table15[[#This Row],[Total Amount]]&gt;=1000),"High",TRUE,"Normal")</f>
        <v>Normal</v>
      </c>
      <c r="L955" s="4" t="str">
        <f>IF(Table15[[#This Row],[Total Amount]]&gt;=1000,"High",(IF(Table15[[#This Row],[Total Amount]]&gt;=500,"Medium","Low")))</f>
        <v>Medium</v>
      </c>
      <c r="M955" s="4" t="str" cm="1">
        <f t="array" ref="M95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55" s="4" cm="1">
        <f t="array" ref="N95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955" s="4">
        <f>Table15[[#This Row],[Total Amount]]-Table15[[#This Row],[Discount Amount]]</f>
        <v>720</v>
      </c>
    </row>
    <row r="956" spans="1:15" x14ac:dyDescent="0.35">
      <c r="A956" s="4">
        <v>955</v>
      </c>
      <c r="B956" s="5">
        <v>45121</v>
      </c>
      <c r="C956" s="4" t="s">
        <v>968</v>
      </c>
      <c r="D956" s="4" t="s">
        <v>10</v>
      </c>
      <c r="E956" s="4">
        <v>58</v>
      </c>
      <c r="F956" s="4" t="str">
        <f>IF(Table15[[#This Row],[Age]]&lt;=19,"Teenager",IF(Table15[[#This Row],[Age]]&lt;=40,"Median","Old"))</f>
        <v>Old</v>
      </c>
      <c r="G956" s="4" t="s">
        <v>14</v>
      </c>
      <c r="H956" s="4">
        <v>1</v>
      </c>
      <c r="I956" s="4">
        <v>25</v>
      </c>
      <c r="J956" s="4">
        <v>25</v>
      </c>
      <c r="K956" s="4" t="str" cm="1">
        <f t="array" ref="K956">_xlfn.IFS(AND(Table15[[#This Row],[Total Amount]]&gt;=1500),"Critical",AND(Table15[[#This Row],[Total Amount]]&gt;=1000),"High",TRUE,"Normal")</f>
        <v>Normal</v>
      </c>
      <c r="L956" s="4" t="str">
        <f>IF(Table15[[#This Row],[Total Amount]]&gt;=1000,"High",(IF(Table15[[#This Row],[Total Amount]]&gt;=500,"Medium","Low")))</f>
        <v>Low</v>
      </c>
      <c r="M956" s="4" t="str" cm="1">
        <f t="array" ref="M95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56" s="4" cm="1">
        <f t="array" ref="N95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956" s="4">
        <f>Table15[[#This Row],[Total Amount]]-Table15[[#This Row],[Discount Amount]]</f>
        <v>22.5</v>
      </c>
    </row>
    <row r="957" spans="1:15" x14ac:dyDescent="0.35">
      <c r="A957" s="4">
        <v>956</v>
      </c>
      <c r="B957" s="5">
        <v>45157</v>
      </c>
      <c r="C957" s="4" t="s">
        <v>969</v>
      </c>
      <c r="D957" s="4" t="s">
        <v>10</v>
      </c>
      <c r="E957" s="4">
        <v>30</v>
      </c>
      <c r="F957" s="4" t="str">
        <f>IF(Table15[[#This Row],[Age]]&lt;=19,"Teenager",IF(Table15[[#This Row],[Age]]&lt;=40,"Median","Old"))</f>
        <v>Median</v>
      </c>
      <c r="G957" s="4" t="s">
        <v>14</v>
      </c>
      <c r="H957" s="4">
        <v>3</v>
      </c>
      <c r="I957" s="4">
        <v>500</v>
      </c>
      <c r="J957" s="4">
        <v>1500</v>
      </c>
      <c r="K957" s="4" t="str" cm="1">
        <f t="array" ref="K957">_xlfn.IFS(AND(Table15[[#This Row],[Total Amount]]&gt;=1500),"Critical",AND(Table15[[#This Row],[Total Amount]]&gt;=1000),"High",TRUE,"Normal")</f>
        <v>Critical</v>
      </c>
      <c r="L957" s="4" t="str">
        <f>IF(Table15[[#This Row],[Total Amount]]&gt;=1000,"High",(IF(Table15[[#This Row],[Total Amount]]&gt;=500,"Medium","Low")))</f>
        <v>High</v>
      </c>
      <c r="M957" s="4" t="str" cm="1">
        <f t="array" ref="M95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57" s="4" cm="1">
        <f t="array" ref="N95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225</v>
      </c>
      <c r="O957" s="4">
        <f>Table15[[#This Row],[Total Amount]]-Table15[[#This Row],[Discount Amount]]</f>
        <v>1275</v>
      </c>
    </row>
    <row r="958" spans="1:15" x14ac:dyDescent="0.35">
      <c r="A958" s="4">
        <v>957</v>
      </c>
      <c r="B958" s="5">
        <v>45153</v>
      </c>
      <c r="C958" s="4" t="s">
        <v>970</v>
      </c>
      <c r="D958" s="4" t="s">
        <v>13</v>
      </c>
      <c r="E958" s="4">
        <v>60</v>
      </c>
      <c r="F958" s="4" t="str">
        <f>IF(Table15[[#This Row],[Age]]&lt;=19,"Teenager",IF(Table15[[#This Row],[Age]]&lt;=40,"Median","Old"))</f>
        <v>Old</v>
      </c>
      <c r="G958" s="4" t="s">
        <v>16</v>
      </c>
      <c r="H958" s="4">
        <v>4</v>
      </c>
      <c r="I958" s="4">
        <v>30</v>
      </c>
      <c r="J958" s="4">
        <v>120</v>
      </c>
      <c r="K958" s="4" t="str" cm="1">
        <f t="array" ref="K958">_xlfn.IFS(AND(Table15[[#This Row],[Total Amount]]&gt;=1500),"Critical",AND(Table15[[#This Row],[Total Amount]]&gt;=1000),"High",TRUE,"Normal")</f>
        <v>Normal</v>
      </c>
      <c r="L958" s="4" t="str">
        <f>IF(Table15[[#This Row],[Total Amount]]&gt;=1000,"High",(IF(Table15[[#This Row],[Total Amount]]&gt;=500,"Medium","Low")))</f>
        <v>Low</v>
      </c>
      <c r="M958" s="4" t="str" cm="1">
        <f t="array" ref="M95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58" s="4" cm="1">
        <f t="array" ref="N95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958" s="4">
        <f>Table15[[#This Row],[Total Amount]]-Table15[[#This Row],[Discount Amount]]</f>
        <v>96</v>
      </c>
    </row>
    <row r="959" spans="1:15" x14ac:dyDescent="0.35">
      <c r="A959" s="4">
        <v>958</v>
      </c>
      <c r="B959" s="5">
        <v>45079</v>
      </c>
      <c r="C959" s="4" t="s">
        <v>971</v>
      </c>
      <c r="D959" s="4" t="s">
        <v>10</v>
      </c>
      <c r="E959" s="4">
        <v>62</v>
      </c>
      <c r="F959" s="4" t="str">
        <f>IF(Table15[[#This Row],[Age]]&lt;=19,"Teenager",IF(Table15[[#This Row],[Age]]&lt;=40,"Median","Old"))</f>
        <v>Old</v>
      </c>
      <c r="G959" s="4" t="s">
        <v>16</v>
      </c>
      <c r="H959" s="4">
        <v>2</v>
      </c>
      <c r="I959" s="4">
        <v>25</v>
      </c>
      <c r="J959" s="4">
        <v>50</v>
      </c>
      <c r="K959" s="4" t="str" cm="1">
        <f t="array" ref="K959">_xlfn.IFS(AND(Table15[[#This Row],[Total Amount]]&gt;=1500),"Critical",AND(Table15[[#This Row],[Total Amount]]&gt;=1000),"High",TRUE,"Normal")</f>
        <v>Normal</v>
      </c>
      <c r="L959" s="4" t="str">
        <f>IF(Table15[[#This Row],[Total Amount]]&gt;=1000,"High",(IF(Table15[[#This Row],[Total Amount]]&gt;=500,"Medium","Low")))</f>
        <v>Low</v>
      </c>
      <c r="M959" s="4" t="str" cm="1">
        <f t="array" ref="M95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59" s="4" cm="1">
        <f t="array" ref="N95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959" s="4">
        <f>Table15[[#This Row],[Total Amount]]-Table15[[#This Row],[Discount Amount]]</f>
        <v>45</v>
      </c>
    </row>
    <row r="960" spans="1:15" x14ac:dyDescent="0.35">
      <c r="A960" s="4">
        <v>959</v>
      </c>
      <c r="B960" s="5">
        <v>45228</v>
      </c>
      <c r="C960" s="4" t="s">
        <v>972</v>
      </c>
      <c r="D960" s="4" t="s">
        <v>13</v>
      </c>
      <c r="E960" s="4">
        <v>42</v>
      </c>
      <c r="F960" s="4" t="str">
        <f>IF(Table15[[#This Row],[Age]]&lt;=19,"Teenager",IF(Table15[[#This Row],[Age]]&lt;=40,"Median","Old"))</f>
        <v>Old</v>
      </c>
      <c r="G960" s="4" t="s">
        <v>16</v>
      </c>
      <c r="H960" s="4">
        <v>2</v>
      </c>
      <c r="I960" s="4">
        <v>30</v>
      </c>
      <c r="J960" s="4">
        <v>60</v>
      </c>
      <c r="K960" s="4" t="str" cm="1">
        <f t="array" ref="K960">_xlfn.IFS(AND(Table15[[#This Row],[Total Amount]]&gt;=1500),"Critical",AND(Table15[[#This Row],[Total Amount]]&gt;=1000),"High",TRUE,"Normal")</f>
        <v>Normal</v>
      </c>
      <c r="L960" s="4" t="str">
        <f>IF(Table15[[#This Row],[Total Amount]]&gt;=1000,"High",(IF(Table15[[#This Row],[Total Amount]]&gt;=500,"Medium","Low")))</f>
        <v>Low</v>
      </c>
      <c r="M960" s="4" t="str" cm="1">
        <f t="array" ref="M96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60" s="4" cm="1">
        <f t="array" ref="N96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960" s="4">
        <f>Table15[[#This Row],[Total Amount]]-Table15[[#This Row],[Discount Amount]]</f>
        <v>48</v>
      </c>
    </row>
    <row r="961" spans="1:15" x14ac:dyDescent="0.35">
      <c r="A961" s="4">
        <v>960</v>
      </c>
      <c r="B961" s="5">
        <v>45146</v>
      </c>
      <c r="C961" s="4" t="s">
        <v>973</v>
      </c>
      <c r="D961" s="4" t="s">
        <v>10</v>
      </c>
      <c r="E961" s="4">
        <v>59</v>
      </c>
      <c r="F961" s="4" t="str">
        <f>IF(Table15[[#This Row],[Age]]&lt;=19,"Teenager",IF(Table15[[#This Row],[Age]]&lt;=40,"Median","Old"))</f>
        <v>Old</v>
      </c>
      <c r="G961" s="4" t="s">
        <v>14</v>
      </c>
      <c r="H961" s="4">
        <v>2</v>
      </c>
      <c r="I961" s="4">
        <v>30</v>
      </c>
      <c r="J961" s="4">
        <v>60</v>
      </c>
      <c r="K961" s="4" t="str" cm="1">
        <f t="array" ref="K961">_xlfn.IFS(AND(Table15[[#This Row],[Total Amount]]&gt;=1500),"Critical",AND(Table15[[#This Row],[Total Amount]]&gt;=1000),"High",TRUE,"Normal")</f>
        <v>Normal</v>
      </c>
      <c r="L961" s="4" t="str">
        <f>IF(Table15[[#This Row],[Total Amount]]&gt;=1000,"High",(IF(Table15[[#This Row],[Total Amount]]&gt;=500,"Medium","Low")))</f>
        <v>Low</v>
      </c>
      <c r="M961" s="4" t="str" cm="1">
        <f t="array" ref="M96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61" s="4" cm="1">
        <f t="array" ref="N96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961" s="4">
        <f>Table15[[#This Row],[Total Amount]]-Table15[[#This Row],[Discount Amount]]</f>
        <v>54</v>
      </c>
    </row>
    <row r="962" spans="1:15" x14ac:dyDescent="0.35">
      <c r="A962" s="4">
        <v>961</v>
      </c>
      <c r="B962" s="5">
        <v>45083</v>
      </c>
      <c r="C962" s="4" t="s">
        <v>974</v>
      </c>
      <c r="D962" s="4" t="s">
        <v>10</v>
      </c>
      <c r="E962" s="4">
        <v>53</v>
      </c>
      <c r="F962" s="4" t="str">
        <f>IF(Table15[[#This Row],[Age]]&lt;=19,"Teenager",IF(Table15[[#This Row],[Age]]&lt;=40,"Median","Old"))</f>
        <v>Old</v>
      </c>
      <c r="G962" s="4" t="s">
        <v>11</v>
      </c>
      <c r="H962" s="4">
        <v>4</v>
      </c>
      <c r="I962" s="4">
        <v>50</v>
      </c>
      <c r="J962" s="4">
        <v>200</v>
      </c>
      <c r="K962" s="4" t="str" cm="1">
        <f t="array" ref="K962">_xlfn.IFS(AND(Table15[[#This Row],[Total Amount]]&gt;=1500),"Critical",AND(Table15[[#This Row],[Total Amount]]&gt;=1000),"High",TRUE,"Normal")</f>
        <v>Normal</v>
      </c>
      <c r="L962" s="4" t="str">
        <f>IF(Table15[[#This Row],[Total Amount]]&gt;=1000,"High",(IF(Table15[[#This Row],[Total Amount]]&gt;=500,"Medium","Low")))</f>
        <v>Low</v>
      </c>
      <c r="M962" s="4" t="str" cm="1">
        <f t="array" ref="M96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62" s="4" cm="1">
        <f t="array" ref="N96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962" s="4">
        <f>Table15[[#This Row],[Total Amount]]-Table15[[#This Row],[Discount Amount]]</f>
        <v>180</v>
      </c>
    </row>
    <row r="963" spans="1:15" x14ac:dyDescent="0.35">
      <c r="A963" s="4">
        <v>962</v>
      </c>
      <c r="B963" s="5">
        <v>45218</v>
      </c>
      <c r="C963" s="4" t="s">
        <v>975</v>
      </c>
      <c r="D963" s="4" t="s">
        <v>10</v>
      </c>
      <c r="E963" s="4">
        <v>44</v>
      </c>
      <c r="F963" s="4" t="str">
        <f>IF(Table15[[#This Row],[Age]]&lt;=19,"Teenager",IF(Table15[[#This Row],[Age]]&lt;=40,"Median","Old"))</f>
        <v>Old</v>
      </c>
      <c r="G963" s="4" t="s">
        <v>14</v>
      </c>
      <c r="H963" s="4">
        <v>2</v>
      </c>
      <c r="I963" s="4">
        <v>30</v>
      </c>
      <c r="J963" s="4">
        <v>60</v>
      </c>
      <c r="K963" s="4" t="str" cm="1">
        <f t="array" ref="K963">_xlfn.IFS(AND(Table15[[#This Row],[Total Amount]]&gt;=1500),"Critical",AND(Table15[[#This Row],[Total Amount]]&gt;=1000),"High",TRUE,"Normal")</f>
        <v>Normal</v>
      </c>
      <c r="L963" s="4" t="str">
        <f>IF(Table15[[#This Row],[Total Amount]]&gt;=1000,"High",(IF(Table15[[#This Row],[Total Amount]]&gt;=500,"Medium","Low")))</f>
        <v>Low</v>
      </c>
      <c r="M963" s="4" t="str" cm="1">
        <f t="array" ref="M96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63" s="4" cm="1">
        <f t="array" ref="N96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963" s="4">
        <f>Table15[[#This Row],[Total Amount]]-Table15[[#This Row],[Discount Amount]]</f>
        <v>54</v>
      </c>
    </row>
    <row r="964" spans="1:15" x14ac:dyDescent="0.35">
      <c r="A964" s="4">
        <v>963</v>
      </c>
      <c r="B964" s="5">
        <v>45244</v>
      </c>
      <c r="C964" s="4" t="s">
        <v>976</v>
      </c>
      <c r="D964" s="4" t="s">
        <v>13</v>
      </c>
      <c r="E964" s="4">
        <v>55</v>
      </c>
      <c r="F964" s="4" t="str">
        <f>IF(Table15[[#This Row],[Age]]&lt;=19,"Teenager",IF(Table15[[#This Row],[Age]]&lt;=40,"Median","Old"))</f>
        <v>Old</v>
      </c>
      <c r="G964" s="4" t="s">
        <v>11</v>
      </c>
      <c r="H964" s="4">
        <v>1</v>
      </c>
      <c r="I964" s="4">
        <v>50</v>
      </c>
      <c r="J964" s="4">
        <v>50</v>
      </c>
      <c r="K964" s="4" t="str" cm="1">
        <f t="array" ref="K964">_xlfn.IFS(AND(Table15[[#This Row],[Total Amount]]&gt;=1500),"Critical",AND(Table15[[#This Row],[Total Amount]]&gt;=1000),"High",TRUE,"Normal")</f>
        <v>Normal</v>
      </c>
      <c r="L964" s="4" t="str">
        <f>IF(Table15[[#This Row],[Total Amount]]&gt;=1000,"High",(IF(Table15[[#This Row],[Total Amount]]&gt;=500,"Medium","Low")))</f>
        <v>Low</v>
      </c>
      <c r="M964" s="4" t="str" cm="1">
        <f t="array" ref="M96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64" s="4" cm="1">
        <f t="array" ref="N96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964" s="4">
        <f>Table15[[#This Row],[Total Amount]]-Table15[[#This Row],[Discount Amount]]</f>
        <v>40</v>
      </c>
    </row>
    <row r="965" spans="1:15" x14ac:dyDescent="0.35">
      <c r="A965" s="4">
        <v>964</v>
      </c>
      <c r="B965" s="5">
        <v>44957</v>
      </c>
      <c r="C965" s="4" t="s">
        <v>977</v>
      </c>
      <c r="D965" s="4" t="s">
        <v>10</v>
      </c>
      <c r="E965" s="4">
        <v>24</v>
      </c>
      <c r="F965" s="4" t="str">
        <f>IF(Table15[[#This Row],[Age]]&lt;=19,"Teenager",IF(Table15[[#This Row],[Age]]&lt;=40,"Median","Old"))</f>
        <v>Median</v>
      </c>
      <c r="G965" s="4" t="s">
        <v>14</v>
      </c>
      <c r="H965" s="4">
        <v>3</v>
      </c>
      <c r="I965" s="4">
        <v>300</v>
      </c>
      <c r="J965" s="4">
        <v>900</v>
      </c>
      <c r="K965" s="4" t="str" cm="1">
        <f t="array" ref="K965">_xlfn.IFS(AND(Table15[[#This Row],[Total Amount]]&gt;=1500),"Critical",AND(Table15[[#This Row],[Total Amount]]&gt;=1000),"High",TRUE,"Normal")</f>
        <v>Normal</v>
      </c>
      <c r="L965" s="4" t="str">
        <f>IF(Table15[[#This Row],[Total Amount]]&gt;=1000,"High",(IF(Table15[[#This Row],[Total Amount]]&gt;=500,"Medium","Low")))</f>
        <v>Medium</v>
      </c>
      <c r="M965" s="4" t="str" cm="1">
        <f t="array" ref="M96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65" s="4" cm="1">
        <f t="array" ref="N96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65" s="4">
        <f>Table15[[#This Row],[Total Amount]]-Table15[[#This Row],[Discount Amount]]</f>
        <v>900</v>
      </c>
    </row>
    <row r="966" spans="1:15" x14ac:dyDescent="0.35">
      <c r="A966" s="4">
        <v>965</v>
      </c>
      <c r="B966" s="5">
        <v>45239</v>
      </c>
      <c r="C966" s="4" t="s">
        <v>978</v>
      </c>
      <c r="D966" s="4" t="s">
        <v>10</v>
      </c>
      <c r="E966" s="4">
        <v>22</v>
      </c>
      <c r="F966" s="4" t="str">
        <f>IF(Table15[[#This Row],[Age]]&lt;=19,"Teenager",IF(Table15[[#This Row],[Age]]&lt;=40,"Median","Old"))</f>
        <v>Median</v>
      </c>
      <c r="G966" s="4" t="s">
        <v>14</v>
      </c>
      <c r="H966" s="4">
        <v>4</v>
      </c>
      <c r="I966" s="4">
        <v>50</v>
      </c>
      <c r="J966" s="4">
        <v>200</v>
      </c>
      <c r="K966" s="4" t="str" cm="1">
        <f t="array" ref="K966">_xlfn.IFS(AND(Table15[[#This Row],[Total Amount]]&gt;=1500),"Critical",AND(Table15[[#This Row],[Total Amount]]&gt;=1000),"High",TRUE,"Normal")</f>
        <v>Normal</v>
      </c>
      <c r="L966" s="4" t="str">
        <f>IF(Table15[[#This Row],[Total Amount]]&gt;=1000,"High",(IF(Table15[[#This Row],[Total Amount]]&gt;=500,"Medium","Low")))</f>
        <v>Low</v>
      </c>
      <c r="M966" s="4" t="str" cm="1">
        <f t="array" ref="M96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66" s="4" cm="1">
        <f t="array" ref="N96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66" s="4">
        <f>Table15[[#This Row],[Total Amount]]-Table15[[#This Row],[Discount Amount]]</f>
        <v>200</v>
      </c>
    </row>
    <row r="967" spans="1:15" x14ac:dyDescent="0.35">
      <c r="A967" s="4">
        <v>966</v>
      </c>
      <c r="B967" s="5">
        <v>44977</v>
      </c>
      <c r="C967" s="4" t="s">
        <v>979</v>
      </c>
      <c r="D967" s="4" t="s">
        <v>10</v>
      </c>
      <c r="E967" s="4">
        <v>60</v>
      </c>
      <c r="F967" s="4" t="str">
        <f>IF(Table15[[#This Row],[Age]]&lt;=19,"Teenager",IF(Table15[[#This Row],[Age]]&lt;=40,"Median","Old"))</f>
        <v>Old</v>
      </c>
      <c r="G967" s="4" t="s">
        <v>16</v>
      </c>
      <c r="H967" s="4">
        <v>2</v>
      </c>
      <c r="I967" s="4">
        <v>500</v>
      </c>
      <c r="J967" s="4">
        <v>1000</v>
      </c>
      <c r="K967" s="4" t="str" cm="1">
        <f t="array" ref="K967">_xlfn.IFS(AND(Table15[[#This Row],[Total Amount]]&gt;=1500),"Critical",AND(Table15[[#This Row],[Total Amount]]&gt;=1000),"High",TRUE,"Normal")</f>
        <v>High</v>
      </c>
      <c r="L967" s="4" t="str">
        <f>IF(Table15[[#This Row],[Total Amount]]&gt;=1000,"High",(IF(Table15[[#This Row],[Total Amount]]&gt;=500,"Medium","Low")))</f>
        <v>High</v>
      </c>
      <c r="M967" s="4" t="str" cm="1">
        <f t="array" ref="M96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67" s="4" cm="1">
        <f t="array" ref="N96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967" s="4">
        <f>Table15[[#This Row],[Total Amount]]-Table15[[#This Row],[Discount Amount]]</f>
        <v>900</v>
      </c>
    </row>
    <row r="968" spans="1:15" x14ac:dyDescent="0.35">
      <c r="A968" s="4">
        <v>967</v>
      </c>
      <c r="B968" s="5">
        <v>45033</v>
      </c>
      <c r="C968" s="4" t="s">
        <v>980</v>
      </c>
      <c r="D968" s="4" t="s">
        <v>10</v>
      </c>
      <c r="E968" s="4">
        <v>62</v>
      </c>
      <c r="F968" s="4" t="str">
        <f>IF(Table15[[#This Row],[Age]]&lt;=19,"Teenager",IF(Table15[[#This Row],[Age]]&lt;=40,"Median","Old"))</f>
        <v>Old</v>
      </c>
      <c r="G968" s="4" t="s">
        <v>11</v>
      </c>
      <c r="H968" s="4">
        <v>1</v>
      </c>
      <c r="I968" s="4">
        <v>25</v>
      </c>
      <c r="J968" s="4">
        <v>25</v>
      </c>
      <c r="K968" s="4" t="str" cm="1">
        <f t="array" ref="K968">_xlfn.IFS(AND(Table15[[#This Row],[Total Amount]]&gt;=1500),"Critical",AND(Table15[[#This Row],[Total Amount]]&gt;=1000),"High",TRUE,"Normal")</f>
        <v>Normal</v>
      </c>
      <c r="L968" s="4" t="str">
        <f>IF(Table15[[#This Row],[Total Amount]]&gt;=1000,"High",(IF(Table15[[#This Row],[Total Amount]]&gt;=500,"Medium","Low")))</f>
        <v>Low</v>
      </c>
      <c r="M968" s="4" t="str" cm="1">
        <f t="array" ref="M96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68" s="4" cm="1">
        <f t="array" ref="N96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968" s="4">
        <f>Table15[[#This Row],[Total Amount]]-Table15[[#This Row],[Discount Amount]]</f>
        <v>22.5</v>
      </c>
    </row>
    <row r="969" spans="1:15" x14ac:dyDescent="0.35">
      <c r="A969" s="4">
        <v>968</v>
      </c>
      <c r="B969" s="5">
        <v>45247</v>
      </c>
      <c r="C969" s="4" t="s">
        <v>981</v>
      </c>
      <c r="D969" s="4" t="s">
        <v>13</v>
      </c>
      <c r="E969" s="4">
        <v>48</v>
      </c>
      <c r="F969" s="4" t="str">
        <f>IF(Table15[[#This Row],[Age]]&lt;=19,"Teenager",IF(Table15[[#This Row],[Age]]&lt;=40,"Median","Old"))</f>
        <v>Old</v>
      </c>
      <c r="G969" s="4" t="s">
        <v>14</v>
      </c>
      <c r="H969" s="4">
        <v>3</v>
      </c>
      <c r="I969" s="4">
        <v>300</v>
      </c>
      <c r="J969" s="4">
        <v>900</v>
      </c>
      <c r="K969" s="4" t="str" cm="1">
        <f t="array" ref="K969">_xlfn.IFS(AND(Table15[[#This Row],[Total Amount]]&gt;=1500),"Critical",AND(Table15[[#This Row],[Total Amount]]&gt;=1000),"High",TRUE,"Normal")</f>
        <v>Normal</v>
      </c>
      <c r="L969" s="4" t="str">
        <f>IF(Table15[[#This Row],[Total Amount]]&gt;=1000,"High",(IF(Table15[[#This Row],[Total Amount]]&gt;=500,"Medium","Low")))</f>
        <v>Medium</v>
      </c>
      <c r="M969" s="4" t="str" cm="1">
        <f t="array" ref="M96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69" s="4" cm="1">
        <f t="array" ref="N96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969" s="4">
        <f>Table15[[#This Row],[Total Amount]]-Table15[[#This Row],[Discount Amount]]</f>
        <v>720</v>
      </c>
    </row>
    <row r="970" spans="1:15" x14ac:dyDescent="0.35">
      <c r="A970" s="4">
        <v>969</v>
      </c>
      <c r="B970" s="5">
        <v>45035</v>
      </c>
      <c r="C970" s="4" t="s">
        <v>982</v>
      </c>
      <c r="D970" s="4" t="s">
        <v>13</v>
      </c>
      <c r="E970" s="4">
        <v>40</v>
      </c>
      <c r="F970" s="4" t="str">
        <f>IF(Table15[[#This Row],[Age]]&lt;=19,"Teenager",IF(Table15[[#This Row],[Age]]&lt;=40,"Median","Old"))</f>
        <v>Median</v>
      </c>
      <c r="G970" s="4" t="s">
        <v>14</v>
      </c>
      <c r="H970" s="4">
        <v>3</v>
      </c>
      <c r="I970" s="4">
        <v>300</v>
      </c>
      <c r="J970" s="4">
        <v>900</v>
      </c>
      <c r="K970" s="4" t="str" cm="1">
        <f t="array" ref="K970">_xlfn.IFS(AND(Table15[[#This Row],[Total Amount]]&gt;=1500),"Critical",AND(Table15[[#This Row],[Total Amount]]&gt;=1000),"High",TRUE,"Normal")</f>
        <v>Normal</v>
      </c>
      <c r="L970" s="4" t="str">
        <f>IF(Table15[[#This Row],[Total Amount]]&gt;=1000,"High",(IF(Table15[[#This Row],[Total Amount]]&gt;=500,"Medium","Low")))</f>
        <v>Medium</v>
      </c>
      <c r="M970" s="4" t="str" cm="1">
        <f t="array" ref="M97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70" s="4" cm="1">
        <f t="array" ref="N97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970" s="4">
        <f>Table15[[#This Row],[Total Amount]]-Table15[[#This Row],[Discount Amount]]</f>
        <v>720</v>
      </c>
    </row>
    <row r="971" spans="1:15" x14ac:dyDescent="0.35">
      <c r="A971" s="4">
        <v>970</v>
      </c>
      <c r="B971" s="5">
        <v>45062</v>
      </c>
      <c r="C971" s="4" t="s">
        <v>983</v>
      </c>
      <c r="D971" s="4" t="s">
        <v>10</v>
      </c>
      <c r="E971" s="4">
        <v>59</v>
      </c>
      <c r="F971" s="4" t="str">
        <f>IF(Table15[[#This Row],[Age]]&lt;=19,"Teenager",IF(Table15[[#This Row],[Age]]&lt;=40,"Median","Old"))</f>
        <v>Old</v>
      </c>
      <c r="G971" s="4" t="s">
        <v>16</v>
      </c>
      <c r="H971" s="4">
        <v>4</v>
      </c>
      <c r="I971" s="4">
        <v>500</v>
      </c>
      <c r="J971" s="4">
        <v>2000</v>
      </c>
      <c r="K971" s="4" t="str" cm="1">
        <f t="array" ref="K971">_xlfn.IFS(AND(Table15[[#This Row],[Total Amount]]&gt;=1500),"Critical",AND(Table15[[#This Row],[Total Amount]]&gt;=1000),"High",TRUE,"Normal")</f>
        <v>Critical</v>
      </c>
      <c r="L971" s="4" t="str">
        <f>IF(Table15[[#This Row],[Total Amount]]&gt;=1000,"High",(IF(Table15[[#This Row],[Total Amount]]&gt;=500,"Medium","Low")))</f>
        <v>High</v>
      </c>
      <c r="M971" s="4" t="str" cm="1">
        <f t="array" ref="M97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71" s="4" cm="1">
        <f t="array" ref="N97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971" s="4">
        <f>Table15[[#This Row],[Total Amount]]-Table15[[#This Row],[Discount Amount]]</f>
        <v>1800</v>
      </c>
    </row>
    <row r="972" spans="1:15" x14ac:dyDescent="0.35">
      <c r="A972" s="4">
        <v>971</v>
      </c>
      <c r="B972" s="5">
        <v>45265</v>
      </c>
      <c r="C972" s="4" t="s">
        <v>984</v>
      </c>
      <c r="D972" s="4" t="s">
        <v>13</v>
      </c>
      <c r="E972" s="4">
        <v>27</v>
      </c>
      <c r="F972" s="4" t="str">
        <f>IF(Table15[[#This Row],[Age]]&lt;=19,"Teenager",IF(Table15[[#This Row],[Age]]&lt;=40,"Median","Old"))</f>
        <v>Median</v>
      </c>
      <c r="G972" s="4" t="s">
        <v>16</v>
      </c>
      <c r="H972" s="4">
        <v>4</v>
      </c>
      <c r="I972" s="4">
        <v>50</v>
      </c>
      <c r="J972" s="4">
        <v>200</v>
      </c>
      <c r="K972" s="4" t="str" cm="1">
        <f t="array" ref="K972">_xlfn.IFS(AND(Table15[[#This Row],[Total Amount]]&gt;=1500),"Critical",AND(Table15[[#This Row],[Total Amount]]&gt;=1000),"High",TRUE,"Normal")</f>
        <v>Normal</v>
      </c>
      <c r="L972" s="4" t="str">
        <f>IF(Table15[[#This Row],[Total Amount]]&gt;=1000,"High",(IF(Table15[[#This Row],[Total Amount]]&gt;=500,"Medium","Low")))</f>
        <v>Low</v>
      </c>
      <c r="M972" s="4" t="str" cm="1">
        <f t="array" ref="M97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72" s="4" cm="1">
        <f t="array" ref="N97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972" s="4">
        <f>Table15[[#This Row],[Total Amount]]-Table15[[#This Row],[Discount Amount]]</f>
        <v>170</v>
      </c>
    </row>
    <row r="973" spans="1:15" x14ac:dyDescent="0.35">
      <c r="A973" s="4">
        <v>972</v>
      </c>
      <c r="B973" s="5">
        <v>44968</v>
      </c>
      <c r="C973" s="4" t="s">
        <v>985</v>
      </c>
      <c r="D973" s="4" t="s">
        <v>10</v>
      </c>
      <c r="E973" s="4">
        <v>49</v>
      </c>
      <c r="F973" s="4" t="str">
        <f>IF(Table15[[#This Row],[Age]]&lt;=19,"Teenager",IF(Table15[[#This Row],[Age]]&lt;=40,"Median","Old"))</f>
        <v>Old</v>
      </c>
      <c r="G973" s="4" t="s">
        <v>11</v>
      </c>
      <c r="H973" s="4">
        <v>4</v>
      </c>
      <c r="I973" s="4">
        <v>25</v>
      </c>
      <c r="J973" s="4">
        <v>100</v>
      </c>
      <c r="K973" s="4" t="str" cm="1">
        <f t="array" ref="K973">_xlfn.IFS(AND(Table15[[#This Row],[Total Amount]]&gt;=1500),"Critical",AND(Table15[[#This Row],[Total Amount]]&gt;=1000),"High",TRUE,"Normal")</f>
        <v>Normal</v>
      </c>
      <c r="L973" s="4" t="str">
        <f>IF(Table15[[#This Row],[Total Amount]]&gt;=1000,"High",(IF(Table15[[#This Row],[Total Amount]]&gt;=500,"Medium","Low")))</f>
        <v>Low</v>
      </c>
      <c r="M973" s="4" t="str" cm="1">
        <f t="array" ref="M97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73" s="4" cm="1">
        <f t="array" ref="N97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973" s="4">
        <f>Table15[[#This Row],[Total Amount]]-Table15[[#This Row],[Discount Amount]]</f>
        <v>90</v>
      </c>
    </row>
    <row r="974" spans="1:15" x14ac:dyDescent="0.35">
      <c r="A974" s="4">
        <v>973</v>
      </c>
      <c r="B974" s="5">
        <v>45007</v>
      </c>
      <c r="C974" s="4" t="s">
        <v>986</v>
      </c>
      <c r="D974" s="4" t="s">
        <v>10</v>
      </c>
      <c r="E974" s="4">
        <v>60</v>
      </c>
      <c r="F974" s="4" t="str">
        <f>IF(Table15[[#This Row],[Age]]&lt;=19,"Teenager",IF(Table15[[#This Row],[Age]]&lt;=40,"Median","Old"))</f>
        <v>Old</v>
      </c>
      <c r="G974" s="4" t="s">
        <v>14</v>
      </c>
      <c r="H974" s="4">
        <v>1</v>
      </c>
      <c r="I974" s="4">
        <v>50</v>
      </c>
      <c r="J974" s="4">
        <v>50</v>
      </c>
      <c r="K974" s="4" t="str" cm="1">
        <f t="array" ref="K974">_xlfn.IFS(AND(Table15[[#This Row],[Total Amount]]&gt;=1500),"Critical",AND(Table15[[#This Row],[Total Amount]]&gt;=1000),"High",TRUE,"Normal")</f>
        <v>Normal</v>
      </c>
      <c r="L974" s="4" t="str">
        <f>IF(Table15[[#This Row],[Total Amount]]&gt;=1000,"High",(IF(Table15[[#This Row],[Total Amount]]&gt;=500,"Medium","Low")))</f>
        <v>Low</v>
      </c>
      <c r="M974" s="4" t="str" cm="1">
        <f t="array" ref="M97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74" s="4" cm="1">
        <f t="array" ref="N97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974" s="4">
        <f>Table15[[#This Row],[Total Amount]]-Table15[[#This Row],[Discount Amount]]</f>
        <v>45</v>
      </c>
    </row>
    <row r="975" spans="1:15" x14ac:dyDescent="0.35">
      <c r="A975" s="4">
        <v>974</v>
      </c>
      <c r="B975" s="5">
        <v>45049</v>
      </c>
      <c r="C975" s="4" t="s">
        <v>987</v>
      </c>
      <c r="D975" s="4" t="s">
        <v>10</v>
      </c>
      <c r="E975" s="4">
        <v>47</v>
      </c>
      <c r="F975" s="4" t="str">
        <f>IF(Table15[[#This Row],[Age]]&lt;=19,"Teenager",IF(Table15[[#This Row],[Age]]&lt;=40,"Median","Old"))</f>
        <v>Old</v>
      </c>
      <c r="G975" s="4" t="s">
        <v>11</v>
      </c>
      <c r="H975" s="4">
        <v>1</v>
      </c>
      <c r="I975" s="4">
        <v>30</v>
      </c>
      <c r="J975" s="4">
        <v>30</v>
      </c>
      <c r="K975" s="4" t="str" cm="1">
        <f t="array" ref="K975">_xlfn.IFS(AND(Table15[[#This Row],[Total Amount]]&gt;=1500),"Critical",AND(Table15[[#This Row],[Total Amount]]&gt;=1000),"High",TRUE,"Normal")</f>
        <v>Normal</v>
      </c>
      <c r="L975" s="4" t="str">
        <f>IF(Table15[[#This Row],[Total Amount]]&gt;=1000,"High",(IF(Table15[[#This Row],[Total Amount]]&gt;=500,"Medium","Low")))</f>
        <v>Low</v>
      </c>
      <c r="M975" s="4" t="str" cm="1">
        <f t="array" ref="M97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75" s="4" cm="1">
        <f t="array" ref="N97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975" s="4">
        <f>Table15[[#This Row],[Total Amount]]-Table15[[#This Row],[Discount Amount]]</f>
        <v>27</v>
      </c>
    </row>
    <row r="976" spans="1:15" x14ac:dyDescent="0.35">
      <c r="A976" s="4">
        <v>975</v>
      </c>
      <c r="B976" s="5">
        <v>45015</v>
      </c>
      <c r="C976" s="4" t="s">
        <v>988</v>
      </c>
      <c r="D976" s="4" t="s">
        <v>13</v>
      </c>
      <c r="E976" s="4">
        <v>56</v>
      </c>
      <c r="F976" s="4" t="str">
        <f>IF(Table15[[#This Row],[Age]]&lt;=19,"Teenager",IF(Table15[[#This Row],[Age]]&lt;=40,"Median","Old"))</f>
        <v>Old</v>
      </c>
      <c r="G976" s="4" t="s">
        <v>14</v>
      </c>
      <c r="H976" s="4">
        <v>4</v>
      </c>
      <c r="I976" s="4">
        <v>50</v>
      </c>
      <c r="J976" s="4">
        <v>200</v>
      </c>
      <c r="K976" s="4" t="str" cm="1">
        <f t="array" ref="K976">_xlfn.IFS(AND(Table15[[#This Row],[Total Amount]]&gt;=1500),"Critical",AND(Table15[[#This Row],[Total Amount]]&gt;=1000),"High",TRUE,"Normal")</f>
        <v>Normal</v>
      </c>
      <c r="L976" s="4" t="str">
        <f>IF(Table15[[#This Row],[Total Amount]]&gt;=1000,"High",(IF(Table15[[#This Row],[Total Amount]]&gt;=500,"Medium","Low")))</f>
        <v>Low</v>
      </c>
      <c r="M976" s="4" t="str" cm="1">
        <f t="array" ref="M97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76" s="4" cm="1">
        <f t="array" ref="N97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976" s="4">
        <f>Table15[[#This Row],[Total Amount]]-Table15[[#This Row],[Discount Amount]]</f>
        <v>160</v>
      </c>
    </row>
    <row r="977" spans="1:15" x14ac:dyDescent="0.35">
      <c r="A977" s="4">
        <v>976</v>
      </c>
      <c r="B977" s="5">
        <v>45209</v>
      </c>
      <c r="C977" s="4" t="s">
        <v>989</v>
      </c>
      <c r="D977" s="4" t="s">
        <v>13</v>
      </c>
      <c r="E977" s="4">
        <v>48</v>
      </c>
      <c r="F977" s="4" t="str">
        <f>IF(Table15[[#This Row],[Age]]&lt;=19,"Teenager",IF(Table15[[#This Row],[Age]]&lt;=40,"Median","Old"))</f>
        <v>Old</v>
      </c>
      <c r="G977" s="4" t="s">
        <v>11</v>
      </c>
      <c r="H977" s="4">
        <v>2</v>
      </c>
      <c r="I977" s="4">
        <v>300</v>
      </c>
      <c r="J977" s="4">
        <v>600</v>
      </c>
      <c r="K977" s="4" t="str" cm="1">
        <f t="array" ref="K977">_xlfn.IFS(AND(Table15[[#This Row],[Total Amount]]&gt;=1500),"Critical",AND(Table15[[#This Row],[Total Amount]]&gt;=1000),"High",TRUE,"Normal")</f>
        <v>Normal</v>
      </c>
      <c r="L977" s="4" t="str">
        <f>IF(Table15[[#This Row],[Total Amount]]&gt;=1000,"High",(IF(Table15[[#This Row],[Total Amount]]&gt;=500,"Medium","Low")))</f>
        <v>Medium</v>
      </c>
      <c r="M977" s="4" t="str" cm="1">
        <f t="array" ref="M97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77" s="4" cm="1">
        <f t="array" ref="N97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977" s="4">
        <f>Table15[[#This Row],[Total Amount]]-Table15[[#This Row],[Discount Amount]]</f>
        <v>480</v>
      </c>
    </row>
    <row r="978" spans="1:15" x14ac:dyDescent="0.35">
      <c r="A978" s="4">
        <v>977</v>
      </c>
      <c r="B978" s="5">
        <v>44965</v>
      </c>
      <c r="C978" s="4" t="s">
        <v>990</v>
      </c>
      <c r="D978" s="4" t="s">
        <v>13</v>
      </c>
      <c r="E978" s="4">
        <v>35</v>
      </c>
      <c r="F978" s="4" t="str">
        <f>IF(Table15[[#This Row],[Age]]&lt;=19,"Teenager",IF(Table15[[#This Row],[Age]]&lt;=40,"Median","Old"))</f>
        <v>Median</v>
      </c>
      <c r="G978" s="4" t="s">
        <v>16</v>
      </c>
      <c r="H978" s="4">
        <v>3</v>
      </c>
      <c r="I978" s="4">
        <v>25</v>
      </c>
      <c r="J978" s="4">
        <v>75</v>
      </c>
      <c r="K978" s="4" t="str" cm="1">
        <f t="array" ref="K978">_xlfn.IFS(AND(Table15[[#This Row],[Total Amount]]&gt;=1500),"Critical",AND(Table15[[#This Row],[Total Amount]]&gt;=1000),"High",TRUE,"Normal")</f>
        <v>Normal</v>
      </c>
      <c r="L978" s="4" t="str">
        <f>IF(Table15[[#This Row],[Total Amount]]&gt;=1000,"High",(IF(Table15[[#This Row],[Total Amount]]&gt;=500,"Medium","Low")))</f>
        <v>Low</v>
      </c>
      <c r="M978" s="4" t="str" cm="1">
        <f t="array" ref="M97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78" s="4" cm="1">
        <f t="array" ref="N97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978" s="4">
        <f>Table15[[#This Row],[Total Amount]]-Table15[[#This Row],[Discount Amount]]</f>
        <v>60</v>
      </c>
    </row>
    <row r="979" spans="1:15" x14ac:dyDescent="0.35">
      <c r="A979" s="4">
        <v>978</v>
      </c>
      <c r="B979" s="5">
        <v>45007</v>
      </c>
      <c r="C979" s="4" t="s">
        <v>991</v>
      </c>
      <c r="D979" s="4" t="s">
        <v>13</v>
      </c>
      <c r="E979" s="4">
        <v>53</v>
      </c>
      <c r="F979" s="4" t="str">
        <f>IF(Table15[[#This Row],[Age]]&lt;=19,"Teenager",IF(Table15[[#This Row],[Age]]&lt;=40,"Median","Old"))</f>
        <v>Old</v>
      </c>
      <c r="G979" s="4" t="s">
        <v>14</v>
      </c>
      <c r="H979" s="4">
        <v>3</v>
      </c>
      <c r="I979" s="4">
        <v>50</v>
      </c>
      <c r="J979" s="4">
        <v>150</v>
      </c>
      <c r="K979" s="4" t="str" cm="1">
        <f t="array" ref="K979">_xlfn.IFS(AND(Table15[[#This Row],[Total Amount]]&gt;=1500),"Critical",AND(Table15[[#This Row],[Total Amount]]&gt;=1000),"High",TRUE,"Normal")</f>
        <v>Normal</v>
      </c>
      <c r="L979" s="4" t="str">
        <f>IF(Table15[[#This Row],[Total Amount]]&gt;=1000,"High",(IF(Table15[[#This Row],[Total Amount]]&gt;=500,"Medium","Low")))</f>
        <v>Low</v>
      </c>
      <c r="M979" s="4" t="str" cm="1">
        <f t="array" ref="M97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79" s="4" cm="1">
        <f t="array" ref="N97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979" s="4">
        <f>Table15[[#This Row],[Total Amount]]-Table15[[#This Row],[Discount Amount]]</f>
        <v>120</v>
      </c>
    </row>
    <row r="980" spans="1:15" x14ac:dyDescent="0.35">
      <c r="A980" s="4">
        <v>979</v>
      </c>
      <c r="B980" s="5">
        <v>44928</v>
      </c>
      <c r="C980" s="4" t="s">
        <v>992</v>
      </c>
      <c r="D980" s="4" t="s">
        <v>13</v>
      </c>
      <c r="E980" s="4">
        <v>19</v>
      </c>
      <c r="F980" s="4" t="str">
        <f>IF(Table15[[#This Row],[Age]]&lt;=19,"Teenager",IF(Table15[[#This Row],[Age]]&lt;=40,"Median","Old"))</f>
        <v>Teenager</v>
      </c>
      <c r="G980" s="4" t="s">
        <v>11</v>
      </c>
      <c r="H980" s="4">
        <v>1</v>
      </c>
      <c r="I980" s="4">
        <v>25</v>
      </c>
      <c r="J980" s="4">
        <v>25</v>
      </c>
      <c r="K980" s="4" t="str" cm="1">
        <f t="array" ref="K980">_xlfn.IFS(AND(Table15[[#This Row],[Total Amount]]&gt;=1500),"Critical",AND(Table15[[#This Row],[Total Amount]]&gt;=1000),"High",TRUE,"Normal")</f>
        <v>Normal</v>
      </c>
      <c r="L980" s="4" t="str">
        <f>IF(Table15[[#This Row],[Total Amount]]&gt;=1000,"High",(IF(Table15[[#This Row],[Total Amount]]&gt;=500,"Medium","Low")))</f>
        <v>Low</v>
      </c>
      <c r="M980" s="4" t="str" cm="1">
        <f t="array" ref="M98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80" s="4" cm="1">
        <f t="array" ref="N98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80" s="4">
        <f>Table15[[#This Row],[Total Amount]]-Table15[[#This Row],[Discount Amount]]</f>
        <v>25</v>
      </c>
    </row>
    <row r="981" spans="1:15" x14ac:dyDescent="0.35">
      <c r="A981" s="4">
        <v>980</v>
      </c>
      <c r="B981" s="5">
        <v>45136</v>
      </c>
      <c r="C981" s="4" t="s">
        <v>993</v>
      </c>
      <c r="D981" s="4" t="s">
        <v>13</v>
      </c>
      <c r="E981" s="4">
        <v>31</v>
      </c>
      <c r="F981" s="4" t="str">
        <f>IF(Table15[[#This Row],[Age]]&lt;=19,"Teenager",IF(Table15[[#This Row],[Age]]&lt;=40,"Median","Old"))</f>
        <v>Median</v>
      </c>
      <c r="G981" s="4" t="s">
        <v>16</v>
      </c>
      <c r="H981" s="4">
        <v>3</v>
      </c>
      <c r="I981" s="4">
        <v>25</v>
      </c>
      <c r="J981" s="4">
        <v>75</v>
      </c>
      <c r="K981" s="4" t="str" cm="1">
        <f t="array" ref="K981">_xlfn.IFS(AND(Table15[[#This Row],[Total Amount]]&gt;=1500),"Critical",AND(Table15[[#This Row],[Total Amount]]&gt;=1000),"High",TRUE,"Normal")</f>
        <v>Normal</v>
      </c>
      <c r="L981" s="4" t="str">
        <f>IF(Table15[[#This Row],[Total Amount]]&gt;=1000,"High",(IF(Table15[[#This Row],[Total Amount]]&gt;=500,"Medium","Low")))</f>
        <v>Low</v>
      </c>
      <c r="M981" s="4" t="str" cm="1">
        <f t="array" ref="M98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81" s="4" cm="1">
        <f t="array" ref="N98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11.25</v>
      </c>
      <c r="O981" s="4">
        <f>Table15[[#This Row],[Total Amount]]-Table15[[#This Row],[Discount Amount]]</f>
        <v>63.75</v>
      </c>
    </row>
    <row r="982" spans="1:15" x14ac:dyDescent="0.35">
      <c r="A982" s="4">
        <v>981</v>
      </c>
      <c r="B982" s="5">
        <v>45157</v>
      </c>
      <c r="C982" s="4" t="s">
        <v>994</v>
      </c>
      <c r="D982" s="4" t="s">
        <v>13</v>
      </c>
      <c r="E982" s="4">
        <v>30</v>
      </c>
      <c r="F982" s="4" t="str">
        <f>IF(Table15[[#This Row],[Age]]&lt;=19,"Teenager",IF(Table15[[#This Row],[Age]]&lt;=40,"Median","Old"))</f>
        <v>Median</v>
      </c>
      <c r="G982" s="4" t="s">
        <v>16</v>
      </c>
      <c r="H982" s="4">
        <v>2</v>
      </c>
      <c r="I982" s="4">
        <v>30</v>
      </c>
      <c r="J982" s="4">
        <v>60</v>
      </c>
      <c r="K982" s="4" t="str" cm="1">
        <f t="array" ref="K982">_xlfn.IFS(AND(Table15[[#This Row],[Total Amount]]&gt;=1500),"Critical",AND(Table15[[#This Row],[Total Amount]]&gt;=1000),"High",TRUE,"Normal")</f>
        <v>Normal</v>
      </c>
      <c r="L982" s="4" t="str">
        <f>IF(Table15[[#This Row],[Total Amount]]&gt;=1000,"High",(IF(Table15[[#This Row],[Total Amount]]&gt;=500,"Medium","Low")))</f>
        <v>Low</v>
      </c>
      <c r="M982" s="4" t="str" cm="1">
        <f t="array" ref="M98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82" s="4" cm="1">
        <f t="array" ref="N98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982" s="4">
        <f>Table15[[#This Row],[Total Amount]]-Table15[[#This Row],[Discount Amount]]</f>
        <v>51</v>
      </c>
    </row>
    <row r="983" spans="1:15" x14ac:dyDescent="0.35">
      <c r="A983" s="4">
        <v>982</v>
      </c>
      <c r="B983" s="5">
        <v>45279</v>
      </c>
      <c r="C983" s="4" t="s">
        <v>995</v>
      </c>
      <c r="D983" s="4" t="s">
        <v>13</v>
      </c>
      <c r="E983" s="4">
        <v>46</v>
      </c>
      <c r="F983" s="4" t="str">
        <f>IF(Table15[[#This Row],[Age]]&lt;=19,"Teenager",IF(Table15[[#This Row],[Age]]&lt;=40,"Median","Old"))</f>
        <v>Old</v>
      </c>
      <c r="G983" s="4" t="s">
        <v>11</v>
      </c>
      <c r="H983" s="4">
        <v>3</v>
      </c>
      <c r="I983" s="4">
        <v>30</v>
      </c>
      <c r="J983" s="4">
        <v>90</v>
      </c>
      <c r="K983" s="4" t="str" cm="1">
        <f t="array" ref="K983">_xlfn.IFS(AND(Table15[[#This Row],[Total Amount]]&gt;=1500),"Critical",AND(Table15[[#This Row],[Total Amount]]&gt;=1000),"High",TRUE,"Normal")</f>
        <v>Normal</v>
      </c>
      <c r="L983" s="4" t="str">
        <f>IF(Table15[[#This Row],[Total Amount]]&gt;=1000,"High",(IF(Table15[[#This Row],[Total Amount]]&gt;=500,"Medium","Low")))</f>
        <v>Low</v>
      </c>
      <c r="M983" s="4" t="str" cm="1">
        <f t="array" ref="M98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83" s="4" cm="1">
        <f t="array" ref="N98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983" s="4">
        <f>Table15[[#This Row],[Total Amount]]-Table15[[#This Row],[Discount Amount]]</f>
        <v>72</v>
      </c>
    </row>
    <row r="984" spans="1:15" x14ac:dyDescent="0.35">
      <c r="A984" s="4">
        <v>983</v>
      </c>
      <c r="B984" s="5">
        <v>45231</v>
      </c>
      <c r="C984" s="4" t="s">
        <v>996</v>
      </c>
      <c r="D984" s="4" t="s">
        <v>13</v>
      </c>
      <c r="E984" s="4">
        <v>29</v>
      </c>
      <c r="F984" s="4" t="str">
        <f>IF(Table15[[#This Row],[Age]]&lt;=19,"Teenager",IF(Table15[[#This Row],[Age]]&lt;=40,"Median","Old"))</f>
        <v>Median</v>
      </c>
      <c r="G984" s="4" t="s">
        <v>14</v>
      </c>
      <c r="H984" s="4">
        <v>1</v>
      </c>
      <c r="I984" s="4">
        <v>300</v>
      </c>
      <c r="J984" s="4">
        <v>300</v>
      </c>
      <c r="K984" s="4" t="str" cm="1">
        <f t="array" ref="K984">_xlfn.IFS(AND(Table15[[#This Row],[Total Amount]]&gt;=1500),"Critical",AND(Table15[[#This Row],[Total Amount]]&gt;=1000),"High",TRUE,"Normal")</f>
        <v>Normal</v>
      </c>
      <c r="L984" s="4" t="str">
        <f>IF(Table15[[#This Row],[Total Amount]]&gt;=1000,"High",(IF(Table15[[#This Row],[Total Amount]]&gt;=500,"Medium","Low")))</f>
        <v>Low</v>
      </c>
      <c r="M984" s="4" t="str" cm="1">
        <f t="array" ref="M98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84" s="4" cm="1">
        <f t="array" ref="N98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45</v>
      </c>
      <c r="O984" s="4">
        <f>Table15[[#This Row],[Total Amount]]-Table15[[#This Row],[Discount Amount]]</f>
        <v>255</v>
      </c>
    </row>
    <row r="985" spans="1:15" x14ac:dyDescent="0.35">
      <c r="A985" s="4">
        <v>984</v>
      </c>
      <c r="B985" s="5">
        <v>45167</v>
      </c>
      <c r="C985" s="4" t="s">
        <v>997</v>
      </c>
      <c r="D985" s="4" t="s">
        <v>10</v>
      </c>
      <c r="E985" s="4">
        <v>56</v>
      </c>
      <c r="F985" s="4" t="str">
        <f>IF(Table15[[#This Row],[Age]]&lt;=19,"Teenager",IF(Table15[[#This Row],[Age]]&lt;=40,"Median","Old"))</f>
        <v>Old</v>
      </c>
      <c r="G985" s="4" t="s">
        <v>14</v>
      </c>
      <c r="H985" s="4">
        <v>1</v>
      </c>
      <c r="I985" s="4">
        <v>500</v>
      </c>
      <c r="J985" s="4">
        <v>500</v>
      </c>
      <c r="K985" s="4" t="str" cm="1">
        <f t="array" ref="K985">_xlfn.IFS(AND(Table15[[#This Row],[Total Amount]]&gt;=1500),"Critical",AND(Table15[[#This Row],[Total Amount]]&gt;=1000),"High",TRUE,"Normal")</f>
        <v>Normal</v>
      </c>
      <c r="L985" s="4" t="str">
        <f>IF(Table15[[#This Row],[Total Amount]]&gt;=1000,"High",(IF(Table15[[#This Row],[Total Amount]]&gt;=500,"Medium","Low")))</f>
        <v>Medium</v>
      </c>
      <c r="M985" s="4" t="str" cm="1">
        <f t="array" ref="M98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85" s="4" cm="1">
        <f t="array" ref="N98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985" s="4">
        <f>Table15[[#This Row],[Total Amount]]-Table15[[#This Row],[Discount Amount]]</f>
        <v>450</v>
      </c>
    </row>
    <row r="986" spans="1:15" x14ac:dyDescent="0.35">
      <c r="A986" s="4">
        <v>985</v>
      </c>
      <c r="B986" s="5">
        <v>45076</v>
      </c>
      <c r="C986" s="4" t="s">
        <v>998</v>
      </c>
      <c r="D986" s="4" t="s">
        <v>13</v>
      </c>
      <c r="E986" s="4">
        <v>19</v>
      </c>
      <c r="F986" s="4" t="str">
        <f>IF(Table15[[#This Row],[Age]]&lt;=19,"Teenager",IF(Table15[[#This Row],[Age]]&lt;=40,"Median","Old"))</f>
        <v>Teenager</v>
      </c>
      <c r="G986" s="4" t="s">
        <v>16</v>
      </c>
      <c r="H986" s="4">
        <v>2</v>
      </c>
      <c r="I986" s="4">
        <v>25</v>
      </c>
      <c r="J986" s="4">
        <v>50</v>
      </c>
      <c r="K986" s="4" t="str" cm="1">
        <f t="array" ref="K986">_xlfn.IFS(AND(Table15[[#This Row],[Total Amount]]&gt;=1500),"Critical",AND(Table15[[#This Row],[Total Amount]]&gt;=1000),"High",TRUE,"Normal")</f>
        <v>Normal</v>
      </c>
      <c r="L986" s="4" t="str">
        <f>IF(Table15[[#This Row],[Total Amount]]&gt;=1000,"High",(IF(Table15[[#This Row],[Total Amount]]&gt;=500,"Medium","Low")))</f>
        <v>Low</v>
      </c>
      <c r="M986" s="4" t="str" cm="1">
        <f t="array" ref="M98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86" s="4" cm="1">
        <f t="array" ref="N98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86" s="4">
        <f>Table15[[#This Row],[Total Amount]]-Table15[[#This Row],[Discount Amount]]</f>
        <v>50</v>
      </c>
    </row>
    <row r="987" spans="1:15" x14ac:dyDescent="0.35">
      <c r="A987" s="4">
        <v>986</v>
      </c>
      <c r="B987" s="5">
        <v>44943</v>
      </c>
      <c r="C987" s="4" t="s">
        <v>999</v>
      </c>
      <c r="D987" s="4" t="s">
        <v>13</v>
      </c>
      <c r="E987" s="4">
        <v>49</v>
      </c>
      <c r="F987" s="4" t="str">
        <f>IF(Table15[[#This Row],[Age]]&lt;=19,"Teenager",IF(Table15[[#This Row],[Age]]&lt;=40,"Median","Old"))</f>
        <v>Old</v>
      </c>
      <c r="G987" s="4" t="s">
        <v>14</v>
      </c>
      <c r="H987" s="4">
        <v>2</v>
      </c>
      <c r="I987" s="4">
        <v>500</v>
      </c>
      <c r="J987" s="4">
        <v>1000</v>
      </c>
      <c r="K987" s="4" t="str" cm="1">
        <f t="array" ref="K987">_xlfn.IFS(AND(Table15[[#This Row],[Total Amount]]&gt;=1500),"Critical",AND(Table15[[#This Row],[Total Amount]]&gt;=1000),"High",TRUE,"Normal")</f>
        <v>High</v>
      </c>
      <c r="L987" s="4" t="str">
        <f>IF(Table15[[#This Row],[Total Amount]]&gt;=1000,"High",(IF(Table15[[#This Row],[Total Amount]]&gt;=500,"Medium","Low")))</f>
        <v>High</v>
      </c>
      <c r="M987" s="4" t="str" cm="1">
        <f t="array" ref="M98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87" s="4" cm="1">
        <f t="array" ref="N98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987" s="4">
        <f>Table15[[#This Row],[Total Amount]]-Table15[[#This Row],[Discount Amount]]</f>
        <v>800</v>
      </c>
    </row>
    <row r="988" spans="1:15" x14ac:dyDescent="0.35">
      <c r="A988" s="4">
        <v>987</v>
      </c>
      <c r="B988" s="5">
        <v>45045</v>
      </c>
      <c r="C988" s="4" t="s">
        <v>1000</v>
      </c>
      <c r="D988" s="4" t="s">
        <v>13</v>
      </c>
      <c r="E988" s="4">
        <v>30</v>
      </c>
      <c r="F988" s="4" t="str">
        <f>IF(Table15[[#This Row],[Age]]&lt;=19,"Teenager",IF(Table15[[#This Row],[Age]]&lt;=40,"Median","Old"))</f>
        <v>Median</v>
      </c>
      <c r="G988" s="4" t="s">
        <v>14</v>
      </c>
      <c r="H988" s="4">
        <v>3</v>
      </c>
      <c r="I988" s="4">
        <v>300</v>
      </c>
      <c r="J988" s="4">
        <v>900</v>
      </c>
      <c r="K988" s="4" t="str" cm="1">
        <f t="array" ref="K988">_xlfn.IFS(AND(Table15[[#This Row],[Total Amount]]&gt;=1500),"Critical",AND(Table15[[#This Row],[Total Amount]]&gt;=1000),"High",TRUE,"Normal")</f>
        <v>Normal</v>
      </c>
      <c r="L988" s="4" t="str">
        <f>IF(Table15[[#This Row],[Total Amount]]&gt;=1000,"High",(IF(Table15[[#This Row],[Total Amount]]&gt;=500,"Medium","Low")))</f>
        <v>Medium</v>
      </c>
      <c r="M988" s="4" t="str" cm="1">
        <f t="array" ref="M98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88" s="4" cm="1">
        <f t="array" ref="N98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135</v>
      </c>
      <c r="O988" s="4">
        <f>Table15[[#This Row],[Total Amount]]-Table15[[#This Row],[Discount Amount]]</f>
        <v>765</v>
      </c>
    </row>
    <row r="989" spans="1:15" x14ac:dyDescent="0.35">
      <c r="A989" s="4">
        <v>988</v>
      </c>
      <c r="B989" s="5">
        <v>45074</v>
      </c>
      <c r="C989" s="4" t="s">
        <v>1001</v>
      </c>
      <c r="D989" s="4" t="s">
        <v>13</v>
      </c>
      <c r="E989" s="4">
        <v>63</v>
      </c>
      <c r="F989" s="4" t="str">
        <f>IF(Table15[[#This Row],[Age]]&lt;=19,"Teenager",IF(Table15[[#This Row],[Age]]&lt;=40,"Median","Old"))</f>
        <v>Old</v>
      </c>
      <c r="G989" s="4" t="s">
        <v>14</v>
      </c>
      <c r="H989" s="4">
        <v>3</v>
      </c>
      <c r="I989" s="4">
        <v>25</v>
      </c>
      <c r="J989" s="4">
        <v>75</v>
      </c>
      <c r="K989" s="4" t="str" cm="1">
        <f t="array" ref="K989">_xlfn.IFS(AND(Table15[[#This Row],[Total Amount]]&gt;=1500),"Critical",AND(Table15[[#This Row],[Total Amount]]&gt;=1000),"High",TRUE,"Normal")</f>
        <v>Normal</v>
      </c>
      <c r="L989" s="4" t="str">
        <f>IF(Table15[[#This Row],[Total Amount]]&gt;=1000,"High",(IF(Table15[[#This Row],[Total Amount]]&gt;=500,"Medium","Low")))</f>
        <v>Low</v>
      </c>
      <c r="M989" s="4" t="str" cm="1">
        <f t="array" ref="M98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89" s="4" cm="1">
        <f t="array" ref="N98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989" s="4">
        <f>Table15[[#This Row],[Total Amount]]-Table15[[#This Row],[Discount Amount]]</f>
        <v>60</v>
      </c>
    </row>
    <row r="990" spans="1:15" x14ac:dyDescent="0.35">
      <c r="A990" s="4">
        <v>989</v>
      </c>
      <c r="B990" s="5">
        <v>45288</v>
      </c>
      <c r="C990" s="4" t="s">
        <v>1002</v>
      </c>
      <c r="D990" s="4" t="s">
        <v>13</v>
      </c>
      <c r="E990" s="4">
        <v>44</v>
      </c>
      <c r="F990" s="4" t="str">
        <f>IF(Table15[[#This Row],[Age]]&lt;=19,"Teenager",IF(Table15[[#This Row],[Age]]&lt;=40,"Median","Old"))</f>
        <v>Old</v>
      </c>
      <c r="G990" s="4" t="s">
        <v>16</v>
      </c>
      <c r="H990" s="4">
        <v>1</v>
      </c>
      <c r="I990" s="4">
        <v>25</v>
      </c>
      <c r="J990" s="4">
        <v>25</v>
      </c>
      <c r="K990" s="4" t="str" cm="1">
        <f t="array" ref="K990">_xlfn.IFS(AND(Table15[[#This Row],[Total Amount]]&gt;=1500),"Critical",AND(Table15[[#This Row],[Total Amount]]&gt;=1000),"High",TRUE,"Normal")</f>
        <v>Normal</v>
      </c>
      <c r="L990" s="4" t="str">
        <f>IF(Table15[[#This Row],[Total Amount]]&gt;=1000,"High",(IF(Table15[[#This Row],[Total Amount]]&gt;=500,"Medium","Low")))</f>
        <v>Low</v>
      </c>
      <c r="M990" s="4" t="str" cm="1">
        <f t="array" ref="M99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90" s="4" cm="1">
        <f t="array" ref="N99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990" s="4">
        <f>Table15[[#This Row],[Total Amount]]-Table15[[#This Row],[Discount Amount]]</f>
        <v>20</v>
      </c>
    </row>
    <row r="991" spans="1:15" x14ac:dyDescent="0.35">
      <c r="A991" s="4">
        <v>990</v>
      </c>
      <c r="B991" s="5">
        <v>45071</v>
      </c>
      <c r="C991" s="4" t="s">
        <v>1003</v>
      </c>
      <c r="D991" s="4" t="s">
        <v>13</v>
      </c>
      <c r="E991" s="4">
        <v>58</v>
      </c>
      <c r="F991" s="4" t="str">
        <f>IF(Table15[[#This Row],[Age]]&lt;=19,"Teenager",IF(Table15[[#This Row],[Age]]&lt;=40,"Median","Old"))</f>
        <v>Old</v>
      </c>
      <c r="G991" s="4" t="s">
        <v>11</v>
      </c>
      <c r="H991" s="4">
        <v>2</v>
      </c>
      <c r="I991" s="4">
        <v>500</v>
      </c>
      <c r="J991" s="4">
        <v>1000</v>
      </c>
      <c r="K991" s="4" t="str" cm="1">
        <f t="array" ref="K991">_xlfn.IFS(AND(Table15[[#This Row],[Total Amount]]&gt;=1500),"Critical",AND(Table15[[#This Row],[Total Amount]]&gt;=1000),"High",TRUE,"Normal")</f>
        <v>High</v>
      </c>
      <c r="L991" s="4" t="str">
        <f>IF(Table15[[#This Row],[Total Amount]]&gt;=1000,"High",(IF(Table15[[#This Row],[Total Amount]]&gt;=500,"Medium","Low")))</f>
        <v>High</v>
      </c>
      <c r="M991" s="4" t="str" cm="1">
        <f t="array" ref="M99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91" s="4" cm="1">
        <f t="array" ref="N99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991" s="4">
        <f>Table15[[#This Row],[Total Amount]]-Table15[[#This Row],[Discount Amount]]</f>
        <v>800</v>
      </c>
    </row>
    <row r="992" spans="1:15" x14ac:dyDescent="0.35">
      <c r="A992" s="4">
        <v>991</v>
      </c>
      <c r="B992" s="5">
        <v>45286</v>
      </c>
      <c r="C992" s="4" t="s">
        <v>1004</v>
      </c>
      <c r="D992" s="4" t="s">
        <v>13</v>
      </c>
      <c r="E992" s="4">
        <v>34</v>
      </c>
      <c r="F992" s="4" t="str">
        <f>IF(Table15[[#This Row],[Age]]&lt;=19,"Teenager",IF(Table15[[#This Row],[Age]]&lt;=40,"Median","Old"))</f>
        <v>Median</v>
      </c>
      <c r="G992" s="4" t="s">
        <v>14</v>
      </c>
      <c r="H992" s="4">
        <v>2</v>
      </c>
      <c r="I992" s="4">
        <v>50</v>
      </c>
      <c r="J992" s="4">
        <v>100</v>
      </c>
      <c r="K992" s="4" t="str" cm="1">
        <f t="array" ref="K992">_xlfn.IFS(AND(Table15[[#This Row],[Total Amount]]&gt;=1500),"Critical",AND(Table15[[#This Row],[Total Amount]]&gt;=1000),"High",TRUE,"Normal")</f>
        <v>Normal</v>
      </c>
      <c r="L992" s="4" t="str">
        <f>IF(Table15[[#This Row],[Total Amount]]&gt;=1000,"High",(IF(Table15[[#This Row],[Total Amount]]&gt;=500,"Medium","Low")))</f>
        <v>Low</v>
      </c>
      <c r="M992" s="4" t="str" cm="1">
        <f t="array" ref="M99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92" s="4" cm="1">
        <f t="array" ref="N99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992" s="4">
        <f>Table15[[#This Row],[Total Amount]]-Table15[[#This Row],[Discount Amount]]</f>
        <v>85</v>
      </c>
    </row>
    <row r="993" spans="1:15" x14ac:dyDescent="0.35">
      <c r="A993" s="4">
        <v>992</v>
      </c>
      <c r="B993" s="5">
        <v>45159</v>
      </c>
      <c r="C993" s="4" t="s">
        <v>1005</v>
      </c>
      <c r="D993" s="4" t="s">
        <v>13</v>
      </c>
      <c r="E993" s="4">
        <v>57</v>
      </c>
      <c r="F993" s="4" t="str">
        <f>IF(Table15[[#This Row],[Age]]&lt;=19,"Teenager",IF(Table15[[#This Row],[Age]]&lt;=40,"Median","Old"))</f>
        <v>Old</v>
      </c>
      <c r="G993" s="4" t="s">
        <v>16</v>
      </c>
      <c r="H993" s="4">
        <v>2</v>
      </c>
      <c r="I993" s="4">
        <v>30</v>
      </c>
      <c r="J993" s="4">
        <v>60</v>
      </c>
      <c r="K993" s="4" t="str" cm="1">
        <f t="array" ref="K993">_xlfn.IFS(AND(Table15[[#This Row],[Total Amount]]&gt;=1500),"Critical",AND(Table15[[#This Row],[Total Amount]]&gt;=1000),"High",TRUE,"Normal")</f>
        <v>Normal</v>
      </c>
      <c r="L993" s="4" t="str">
        <f>IF(Table15[[#This Row],[Total Amount]]&gt;=1000,"High",(IF(Table15[[#This Row],[Total Amount]]&gt;=500,"Medium","Low")))</f>
        <v>Low</v>
      </c>
      <c r="M993" s="4" t="str" cm="1">
        <f t="array" ref="M99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93" s="4" cm="1">
        <f t="array" ref="N99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993" s="4">
        <f>Table15[[#This Row],[Total Amount]]-Table15[[#This Row],[Discount Amount]]</f>
        <v>48</v>
      </c>
    </row>
    <row r="994" spans="1:15" x14ac:dyDescent="0.35">
      <c r="A994" s="4">
        <v>993</v>
      </c>
      <c r="B994" s="5">
        <v>44963</v>
      </c>
      <c r="C994" s="4" t="s">
        <v>1006</v>
      </c>
      <c r="D994" s="4" t="s">
        <v>13</v>
      </c>
      <c r="E994" s="4">
        <v>48</v>
      </c>
      <c r="F994" s="4" t="str">
        <f>IF(Table15[[#This Row],[Age]]&lt;=19,"Teenager",IF(Table15[[#This Row],[Age]]&lt;=40,"Median","Old"))</f>
        <v>Old</v>
      </c>
      <c r="G994" s="4" t="s">
        <v>16</v>
      </c>
      <c r="H994" s="4">
        <v>3</v>
      </c>
      <c r="I994" s="4">
        <v>50</v>
      </c>
      <c r="J994" s="4">
        <v>150</v>
      </c>
      <c r="K994" s="4" t="str" cm="1">
        <f t="array" ref="K994">_xlfn.IFS(AND(Table15[[#This Row],[Total Amount]]&gt;=1500),"Critical",AND(Table15[[#This Row],[Total Amount]]&gt;=1000),"High",TRUE,"Normal")</f>
        <v>Normal</v>
      </c>
      <c r="L994" s="4" t="str">
        <f>IF(Table15[[#This Row],[Total Amount]]&gt;=1000,"High",(IF(Table15[[#This Row],[Total Amount]]&gt;=500,"Medium","Low")))</f>
        <v>Low</v>
      </c>
      <c r="M994" s="4" t="str" cm="1">
        <f t="array" ref="M99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94" s="4" cm="1">
        <f t="array" ref="N99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994" s="4">
        <f>Table15[[#This Row],[Total Amount]]-Table15[[#This Row],[Discount Amount]]</f>
        <v>120</v>
      </c>
    </row>
    <row r="995" spans="1:15" x14ac:dyDescent="0.35">
      <c r="A995" s="4">
        <v>994</v>
      </c>
      <c r="B995" s="5">
        <v>45278</v>
      </c>
      <c r="C995" s="4" t="s">
        <v>1007</v>
      </c>
      <c r="D995" s="4" t="s">
        <v>13</v>
      </c>
      <c r="E995" s="4">
        <v>51</v>
      </c>
      <c r="F995" s="4" t="str">
        <f>IF(Table15[[#This Row],[Age]]&lt;=19,"Teenager",IF(Table15[[#This Row],[Age]]&lt;=40,"Median","Old"))</f>
        <v>Old</v>
      </c>
      <c r="G995" s="4" t="s">
        <v>11</v>
      </c>
      <c r="H995" s="4">
        <v>2</v>
      </c>
      <c r="I995" s="4">
        <v>500</v>
      </c>
      <c r="J995" s="4">
        <v>1000</v>
      </c>
      <c r="K995" s="4" t="str" cm="1">
        <f t="array" ref="K995">_xlfn.IFS(AND(Table15[[#This Row],[Total Amount]]&gt;=1500),"Critical",AND(Table15[[#This Row],[Total Amount]]&gt;=1000),"High",TRUE,"Normal")</f>
        <v>High</v>
      </c>
      <c r="L995" s="4" t="str">
        <f>IF(Table15[[#This Row],[Total Amount]]&gt;=1000,"High",(IF(Table15[[#This Row],[Total Amount]]&gt;=500,"Medium","Low")))</f>
        <v>High</v>
      </c>
      <c r="M995" s="4" t="str" cm="1">
        <f t="array" ref="M99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95" s="4" cm="1">
        <f t="array" ref="N99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995" s="4">
        <f>Table15[[#This Row],[Total Amount]]-Table15[[#This Row],[Discount Amount]]</f>
        <v>800</v>
      </c>
    </row>
    <row r="996" spans="1:15" x14ac:dyDescent="0.35">
      <c r="A996" s="4">
        <v>995</v>
      </c>
      <c r="B996" s="5">
        <v>45046</v>
      </c>
      <c r="C996" s="4" t="s">
        <v>1008</v>
      </c>
      <c r="D996" s="4" t="s">
        <v>13</v>
      </c>
      <c r="E996" s="4">
        <v>41</v>
      </c>
      <c r="F996" s="4" t="str">
        <f>IF(Table15[[#This Row],[Age]]&lt;=19,"Teenager",IF(Table15[[#This Row],[Age]]&lt;=40,"Median","Old"))</f>
        <v>Old</v>
      </c>
      <c r="G996" s="4" t="s">
        <v>14</v>
      </c>
      <c r="H996" s="4">
        <v>1</v>
      </c>
      <c r="I996" s="4">
        <v>30</v>
      </c>
      <c r="J996" s="4">
        <v>30</v>
      </c>
      <c r="K996" s="4" t="str" cm="1">
        <f t="array" ref="K996">_xlfn.IFS(AND(Table15[[#This Row],[Total Amount]]&gt;=1500),"Critical",AND(Table15[[#This Row],[Total Amount]]&gt;=1000),"High",TRUE,"Normal")</f>
        <v>Normal</v>
      </c>
      <c r="L996" s="4" t="str">
        <f>IF(Table15[[#This Row],[Total Amount]]&gt;=1000,"High",(IF(Table15[[#This Row],[Total Amount]]&gt;=500,"Medium","Low")))</f>
        <v>Low</v>
      </c>
      <c r="M996" s="4" t="str" cm="1">
        <f t="array" ref="M99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96" s="4" cm="1">
        <f t="array" ref="N99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996" s="4">
        <f>Table15[[#This Row],[Total Amount]]-Table15[[#This Row],[Discount Amount]]</f>
        <v>24</v>
      </c>
    </row>
    <row r="997" spans="1:15" x14ac:dyDescent="0.35">
      <c r="A997" s="4">
        <v>996</v>
      </c>
      <c r="B997" s="5">
        <v>45062</v>
      </c>
      <c r="C997" s="4" t="s">
        <v>1009</v>
      </c>
      <c r="D997" s="4" t="s">
        <v>10</v>
      </c>
      <c r="E997" s="4">
        <v>62</v>
      </c>
      <c r="F997" s="4" t="str">
        <f>IF(Table15[[#This Row],[Age]]&lt;=19,"Teenager",IF(Table15[[#This Row],[Age]]&lt;=40,"Median","Old"))</f>
        <v>Old</v>
      </c>
      <c r="G997" s="4" t="s">
        <v>14</v>
      </c>
      <c r="H997" s="4">
        <v>1</v>
      </c>
      <c r="I997" s="4">
        <v>50</v>
      </c>
      <c r="J997" s="4">
        <v>50</v>
      </c>
      <c r="K997" s="4" t="str" cm="1">
        <f t="array" ref="K997">_xlfn.IFS(AND(Table15[[#This Row],[Total Amount]]&gt;=1500),"Critical",AND(Table15[[#This Row],[Total Amount]]&gt;=1000),"High",TRUE,"Normal")</f>
        <v>Normal</v>
      </c>
      <c r="L997" s="4" t="str">
        <f>IF(Table15[[#This Row],[Total Amount]]&gt;=1000,"High",(IF(Table15[[#This Row],[Total Amount]]&gt;=500,"Medium","Low")))</f>
        <v>Low</v>
      </c>
      <c r="M997" s="4" t="str" cm="1">
        <f t="array" ref="M99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97" s="4" cm="1">
        <f t="array" ref="N99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997" s="4">
        <f>Table15[[#This Row],[Total Amount]]-Table15[[#This Row],[Discount Amount]]</f>
        <v>45</v>
      </c>
    </row>
    <row r="998" spans="1:15" x14ac:dyDescent="0.35">
      <c r="A998" s="4">
        <v>997</v>
      </c>
      <c r="B998" s="5">
        <v>45247</v>
      </c>
      <c r="C998" s="4" t="s">
        <v>1010</v>
      </c>
      <c r="D998" s="4" t="s">
        <v>10</v>
      </c>
      <c r="E998" s="4">
        <v>52</v>
      </c>
      <c r="F998" s="4" t="str">
        <f>IF(Table15[[#This Row],[Age]]&lt;=19,"Teenager",IF(Table15[[#This Row],[Age]]&lt;=40,"Median","Old"))</f>
        <v>Old</v>
      </c>
      <c r="G998" s="4" t="s">
        <v>11</v>
      </c>
      <c r="H998" s="4">
        <v>3</v>
      </c>
      <c r="I998" s="4">
        <v>30</v>
      </c>
      <c r="J998" s="4">
        <v>90</v>
      </c>
      <c r="K998" s="4" t="str" cm="1">
        <f t="array" ref="K998">_xlfn.IFS(AND(Table15[[#This Row],[Total Amount]]&gt;=1500),"Critical",AND(Table15[[#This Row],[Total Amount]]&gt;=1000),"High",TRUE,"Normal")</f>
        <v>Normal</v>
      </c>
      <c r="L998" s="4" t="str">
        <f>IF(Table15[[#This Row],[Total Amount]]&gt;=1000,"High",(IF(Table15[[#This Row],[Total Amount]]&gt;=500,"Medium","Low")))</f>
        <v>Low</v>
      </c>
      <c r="M998" s="4" t="str" cm="1">
        <f t="array" ref="M99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98" s="4" cm="1">
        <f t="array" ref="N99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998" s="4">
        <f>Table15[[#This Row],[Total Amount]]-Table15[[#This Row],[Discount Amount]]</f>
        <v>81</v>
      </c>
    </row>
    <row r="999" spans="1:15" x14ac:dyDescent="0.35">
      <c r="A999" s="4">
        <v>998</v>
      </c>
      <c r="B999" s="5">
        <v>45228</v>
      </c>
      <c r="C999" s="4" t="s">
        <v>1011</v>
      </c>
      <c r="D999" s="4" t="s">
        <v>13</v>
      </c>
      <c r="E999" s="4">
        <v>23</v>
      </c>
      <c r="F999" s="4" t="str">
        <f>IF(Table15[[#This Row],[Age]]&lt;=19,"Teenager",IF(Table15[[#This Row],[Age]]&lt;=40,"Median","Old"))</f>
        <v>Median</v>
      </c>
      <c r="G999" s="4" t="s">
        <v>11</v>
      </c>
      <c r="H999" s="4">
        <v>4</v>
      </c>
      <c r="I999" s="4">
        <v>25</v>
      </c>
      <c r="J999" s="4">
        <v>100</v>
      </c>
      <c r="K999" s="4" t="str" cm="1">
        <f t="array" ref="K999">_xlfn.IFS(AND(Table15[[#This Row],[Total Amount]]&gt;=1500),"Critical",AND(Table15[[#This Row],[Total Amount]]&gt;=1000),"High",TRUE,"Normal")</f>
        <v>Normal</v>
      </c>
      <c r="L999" s="4" t="str">
        <f>IF(Table15[[#This Row],[Total Amount]]&gt;=1000,"High",(IF(Table15[[#This Row],[Total Amount]]&gt;=500,"Medium","Low")))</f>
        <v>Low</v>
      </c>
      <c r="M999" s="4" t="str" cm="1">
        <f t="array" ref="M99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99" s="4" cm="1">
        <f t="array" ref="N99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99" s="4">
        <f>Table15[[#This Row],[Total Amount]]-Table15[[#This Row],[Discount Amount]]</f>
        <v>100</v>
      </c>
    </row>
    <row r="1000" spans="1:15" x14ac:dyDescent="0.35">
      <c r="A1000" s="4">
        <v>999</v>
      </c>
      <c r="B1000" s="5">
        <v>45265</v>
      </c>
      <c r="C1000" s="4" t="s">
        <v>1012</v>
      </c>
      <c r="D1000" s="4" t="s">
        <v>13</v>
      </c>
      <c r="E1000" s="4">
        <v>36</v>
      </c>
      <c r="F1000" s="4" t="str">
        <f>IF(Table15[[#This Row],[Age]]&lt;=19,"Teenager",IF(Table15[[#This Row],[Age]]&lt;=40,"Median","Old"))</f>
        <v>Median</v>
      </c>
      <c r="G1000" s="4" t="s">
        <v>16</v>
      </c>
      <c r="H1000" s="4">
        <v>3</v>
      </c>
      <c r="I1000" s="4">
        <v>50</v>
      </c>
      <c r="J1000" s="4">
        <v>150</v>
      </c>
      <c r="K1000" s="4" t="str" cm="1">
        <f t="array" ref="K1000">_xlfn.IFS(AND(Table15[[#This Row],[Total Amount]]&gt;=1500),"Critical",AND(Table15[[#This Row],[Total Amount]]&gt;=1000),"High",TRUE,"Normal")</f>
        <v>Normal</v>
      </c>
      <c r="L1000" s="4" t="str">
        <f>IF(Table15[[#This Row],[Total Amount]]&gt;=1000,"High",(IF(Table15[[#This Row],[Total Amount]]&gt;=500,"Medium","Low")))</f>
        <v>Low</v>
      </c>
      <c r="M1000" s="4" t="str" cm="1">
        <f t="array" ref="M100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000" s="4" cm="1">
        <f t="array" ref="N100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1000" s="4">
        <f>Table15[[#This Row],[Total Amount]]-Table15[[#This Row],[Discount Amount]]</f>
        <v>120</v>
      </c>
    </row>
    <row r="1001" spans="1:15" x14ac:dyDescent="0.35">
      <c r="A1001" s="4">
        <v>1000</v>
      </c>
      <c r="B1001" s="5">
        <v>45028</v>
      </c>
      <c r="C1001" s="4" t="s">
        <v>1013</v>
      </c>
      <c r="D1001" s="4" t="s">
        <v>10</v>
      </c>
      <c r="E1001" s="4">
        <v>47</v>
      </c>
      <c r="F1001" s="4" t="str">
        <f>IF(Table15[[#This Row],[Age]]&lt;=19,"Teenager",IF(Table15[[#This Row],[Age]]&lt;=40,"Median","Old"))</f>
        <v>Old</v>
      </c>
      <c r="G1001" s="4" t="s">
        <v>16</v>
      </c>
      <c r="H1001" s="4">
        <v>4</v>
      </c>
      <c r="I1001" s="4">
        <v>30</v>
      </c>
      <c r="J1001" s="4">
        <v>120</v>
      </c>
      <c r="K1001" s="4" t="str" cm="1">
        <f t="array" ref="K1001">_xlfn.IFS(AND(Table15[[#This Row],[Total Amount]]&gt;=1500),"Critical",AND(Table15[[#This Row],[Total Amount]]&gt;=1000),"High",TRUE,"Normal")</f>
        <v>Normal</v>
      </c>
      <c r="L1001" s="4" t="str">
        <f>IF(Table15[[#This Row],[Total Amount]]&gt;=1000,"High",(IF(Table15[[#This Row],[Total Amount]]&gt;=500,"Medium","Low")))</f>
        <v>Low</v>
      </c>
      <c r="M1001" s="4" t="str" cm="1">
        <f t="array" ref="M100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001" s="4" cm="1">
        <f t="array" ref="N100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1001" s="4">
        <f>Table15[[#This Row],[Total Amount]]-Table15[[#This Row],[Discount Amount]]</f>
        <v>108</v>
      </c>
    </row>
  </sheetData>
  <phoneticPr fontId="18" type="noConversion"/>
  <conditionalFormatting sqref="J2">
    <cfRule type="cellIs" dxfId="21" priority="11" operator="greaterThan">
      <formula>1000</formula>
    </cfRule>
  </conditionalFormatting>
  <conditionalFormatting sqref="L2:N1001">
    <cfRule type="containsText" dxfId="20" priority="1" operator="containsText" text="Low">
      <formula>NOT(ISERROR(SEARCH("Low",L2)))</formula>
    </cfRule>
    <cfRule type="containsText" dxfId="19" priority="2" operator="containsText" text="Medium">
      <formula>NOT(ISERROR(SEARCH("Medium",L2)))</formula>
    </cfRule>
    <cfRule type="containsText" dxfId="18" priority="4" operator="containsText" text="High">
      <formula>NOT(ISERROR(SEARCH("High",L2)))</formula>
    </cfRule>
  </conditionalFormatting>
  <conditionalFormatting sqref="L965:N965">
    <cfRule type="containsText" dxfId="17" priority="3" operator="containsText" text="Medium">
      <formula>NOT(ISERROR(SEARCH("Medium",L965)))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A8ACE-5D64-45EE-BB0E-BC6C066BA5F6}">
  <dimension ref="A1:R1007"/>
  <sheetViews>
    <sheetView workbookViewId="0">
      <pane ySplit="1" topLeftCell="A1005" activePane="bottomLeft" state="frozen"/>
      <selection pane="bottomLeft" sqref="A1:XFD1048576"/>
    </sheetView>
  </sheetViews>
  <sheetFormatPr defaultRowHeight="14.5" x14ac:dyDescent="0.35"/>
  <cols>
    <col min="1" max="1" width="7" customWidth="1"/>
    <col min="2" max="2" width="12.453125" customWidth="1"/>
    <col min="3" max="3" width="13.453125" customWidth="1"/>
    <col min="4" max="4" width="8.90625" customWidth="1"/>
    <col min="6" max="6" width="10.08984375" customWidth="1"/>
    <col min="7" max="7" width="17.08984375" customWidth="1"/>
    <col min="8" max="8" width="10" customWidth="1"/>
    <col min="9" max="9" width="14.08984375" customWidth="1"/>
    <col min="10" max="10" width="13.81640625" customWidth="1"/>
    <col min="11" max="11" width="15.54296875" customWidth="1"/>
    <col min="12" max="12" width="15.453125" customWidth="1"/>
    <col min="13" max="13" width="10.81640625" customWidth="1"/>
    <col min="14" max="14" width="11.6328125" customWidth="1"/>
    <col min="16" max="16" width="10.26953125" customWidth="1"/>
    <col min="17" max="17" width="10.08984375" customWidth="1"/>
  </cols>
  <sheetData>
    <row r="1" spans="1:18" ht="43.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1025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1026</v>
      </c>
      <c r="L1" s="4" t="s">
        <v>1021</v>
      </c>
      <c r="M1" s="4" t="s">
        <v>1022</v>
      </c>
      <c r="N1" s="4" t="s">
        <v>1023</v>
      </c>
      <c r="O1" s="4" t="s">
        <v>1024</v>
      </c>
      <c r="P1" s="4" t="s">
        <v>1027</v>
      </c>
      <c r="Q1" s="4" t="s">
        <v>1028</v>
      </c>
      <c r="R1" s="4" t="s">
        <v>1029</v>
      </c>
    </row>
    <row r="2" spans="1:18" x14ac:dyDescent="0.35">
      <c r="A2" s="4">
        <v>1</v>
      </c>
      <c r="B2" s="5">
        <v>45254</v>
      </c>
      <c r="C2" s="4" t="s">
        <v>9</v>
      </c>
      <c r="D2" s="4" t="s">
        <v>10</v>
      </c>
      <c r="E2" s="4">
        <v>34</v>
      </c>
      <c r="F2" s="4" t="str">
        <f>IF(Table156[[#This Row],[Age]]&lt;=19,"Teenager",IF(Table156[[#This Row],[Age]]&lt;=40,"Median","Old"))</f>
        <v>Median</v>
      </c>
      <c r="G2" s="4" t="s">
        <v>11</v>
      </c>
      <c r="H2" s="4">
        <v>3</v>
      </c>
      <c r="I2" s="4">
        <v>50</v>
      </c>
      <c r="J2" s="4">
        <v>150</v>
      </c>
      <c r="K2" s="4" t="str" cm="1">
        <f t="array" ref="K2">_xlfn.IFS(AND(Table156[[#This Row],[Total Amount]]&gt;=1500),"Critical",AND(Table156[[#This Row],[Total Amount]]&gt;=1000),"High",TRUE,"Normal")</f>
        <v>Normal</v>
      </c>
      <c r="L2" s="4" t="str">
        <f>IF(Table156[[#This Row],[Total Amount]]&gt;=1000,"High",(IF(Table156[[#This Row],[Total Amount]]&gt;=500,"Medium","Low")))</f>
        <v>Low</v>
      </c>
      <c r="M2" s="4" t="str" cm="1">
        <f t="array" ref="M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" s="4" cm="1">
        <f t="array" ref="N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22.5</v>
      </c>
      <c r="O2" s="4">
        <f>Table156[[#This Row],[Total Amount]]-Table156[[#This Row],[Discount Amount]]</f>
        <v>127.5</v>
      </c>
      <c r="P2" s="4" t="str">
        <f>IF(Table156[[#This Row],[Total Amount]]&gt;=1000,"High","Low")</f>
        <v>Low</v>
      </c>
      <c r="Q2" s="4" t="str" cm="1">
        <f t="array" ref="Q2">_xlfn.IFS(AND(Table156[[#This Row],[Total Amount]]&gt;=1500,"Critical"),AND(Table156[[#This Row],[Total Amount]]&gt;=1000,"High"),TRUE,"Normal")</f>
        <v>Normal</v>
      </c>
      <c r="R2" s="4">
        <f>COUNTIF(Table156[Gender],"Male")</f>
        <v>490</v>
      </c>
    </row>
    <row r="3" spans="1:18" x14ac:dyDescent="0.35">
      <c r="A3" s="4">
        <v>2</v>
      </c>
      <c r="B3" s="5">
        <v>44984</v>
      </c>
      <c r="C3" s="4" t="s">
        <v>12</v>
      </c>
      <c r="D3" s="4" t="s">
        <v>13</v>
      </c>
      <c r="E3" s="4">
        <v>26</v>
      </c>
      <c r="F3" s="4" t="str">
        <f>IF(Table156[[#This Row],[Age]]&lt;=19,"Teenager",IF(Table156[[#This Row],[Age]]&lt;=40,"Median","Old"))</f>
        <v>Median</v>
      </c>
      <c r="G3" s="4" t="s">
        <v>14</v>
      </c>
      <c r="H3" s="4">
        <v>2</v>
      </c>
      <c r="I3" s="4">
        <v>500</v>
      </c>
      <c r="J3" s="4">
        <v>1000</v>
      </c>
      <c r="K3" s="4" t="str" cm="1">
        <f t="array" ref="K3">_xlfn.IFS(AND(Table156[[#This Row],[Total Amount]]&gt;=1500),"Critical",AND(Table156[[#This Row],[Total Amount]]&gt;=1000),"High",TRUE,"Normal")</f>
        <v>High</v>
      </c>
      <c r="L3" s="4" t="str">
        <f>IF(Table156[[#This Row],[Total Amount]]&gt;=1000,"High",(IF(Table156[[#This Row],[Total Amount]]&gt;=500,"Medium","Low")))</f>
        <v>High</v>
      </c>
      <c r="M3" s="4" t="str" cm="1">
        <f t="array" ref="M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" s="4" cm="1">
        <f t="array" ref="N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3" s="4">
        <f>Table156[[#This Row],[Total Amount]]-Table156[[#This Row],[Discount Amount]]</f>
        <v>850</v>
      </c>
      <c r="P3" s="4" t="str">
        <f>IF(Table156[[#This Row],[Total Amount]]&gt;=1000,"High","Low")</f>
        <v>High</v>
      </c>
      <c r="Q3" s="4" t="str" cm="1">
        <f t="array" ref="Q3">_xlfn.IFS(AND(Table156[[#This Row],[Total Amount]]&gt;=1500,"Critical"),AND(Table156[[#This Row],[Total Amount]]&gt;=1000,"High"),TRUE,"Normal")</f>
        <v>Normal</v>
      </c>
      <c r="R3" s="4">
        <f>COUNTIF(Table156[Gender],"Male")</f>
        <v>490</v>
      </c>
    </row>
    <row r="4" spans="1:18" x14ac:dyDescent="0.35">
      <c r="A4" s="4">
        <v>3</v>
      </c>
      <c r="B4" s="5">
        <v>44939</v>
      </c>
      <c r="C4" s="4" t="s">
        <v>15</v>
      </c>
      <c r="D4" s="4" t="s">
        <v>10</v>
      </c>
      <c r="E4" s="4">
        <v>50</v>
      </c>
      <c r="F4" s="4" t="str">
        <f>IF(Table156[[#This Row],[Age]]&lt;=19,"Teenager",IF(Table156[[#This Row],[Age]]&lt;=40,"Median","Old"))</f>
        <v>Old</v>
      </c>
      <c r="G4" s="4" t="s">
        <v>16</v>
      </c>
      <c r="H4" s="4">
        <v>1</v>
      </c>
      <c r="I4" s="4">
        <v>30</v>
      </c>
      <c r="J4" s="4">
        <v>30</v>
      </c>
      <c r="K4" s="4" t="str" cm="1">
        <f t="array" ref="K4">_xlfn.IFS(AND(Table156[[#This Row],[Total Amount]]&gt;=1500),"Critical",AND(Table156[[#This Row],[Total Amount]]&gt;=1000),"High",TRUE,"Normal")</f>
        <v>Normal</v>
      </c>
      <c r="L4" s="4" t="str">
        <f>IF(Table156[[#This Row],[Total Amount]]&gt;=1000,"High",(IF(Table156[[#This Row],[Total Amount]]&gt;=500,"Medium","Low")))</f>
        <v>Low</v>
      </c>
      <c r="M4" s="4" t="str" cm="1">
        <f t="array" ref="M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" s="4" cm="1">
        <f t="array" ref="N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4" s="4">
        <f>Table156[[#This Row],[Total Amount]]-Table156[[#This Row],[Discount Amount]]</f>
        <v>27</v>
      </c>
      <c r="P4" s="4" t="str">
        <f>IF(Table156[[#This Row],[Total Amount]]&gt;=1000,"High","Low")</f>
        <v>Low</v>
      </c>
      <c r="Q4" s="4" t="str" cm="1">
        <f t="array" ref="Q4">_xlfn.IFS(AND(Table156[[#This Row],[Total Amount]]&gt;=1500,"Critical"),AND(Table156[[#This Row],[Total Amount]]&gt;=1000,"High"),TRUE,"Normal")</f>
        <v>Normal</v>
      </c>
      <c r="R4" s="4">
        <f>COUNTIF(Table156[Gender],"Male")</f>
        <v>490</v>
      </c>
    </row>
    <row r="5" spans="1:18" x14ac:dyDescent="0.35">
      <c r="A5" s="4">
        <v>4</v>
      </c>
      <c r="B5" s="5">
        <v>45067</v>
      </c>
      <c r="C5" s="4" t="s">
        <v>17</v>
      </c>
      <c r="D5" s="4" t="s">
        <v>10</v>
      </c>
      <c r="E5" s="4">
        <v>37</v>
      </c>
      <c r="F5" s="4" t="str">
        <f>IF(Table156[[#This Row],[Age]]&lt;=19,"Teenager",IF(Table156[[#This Row],[Age]]&lt;=40,"Median","Old"))</f>
        <v>Median</v>
      </c>
      <c r="G5" s="4" t="s">
        <v>14</v>
      </c>
      <c r="H5" s="4">
        <v>1</v>
      </c>
      <c r="I5" s="4">
        <v>500</v>
      </c>
      <c r="J5" s="4">
        <v>500</v>
      </c>
      <c r="K5" s="4" t="str" cm="1">
        <f t="array" ref="K5">_xlfn.IFS(AND(Table156[[#This Row],[Total Amount]]&gt;=1500),"Critical",AND(Table156[[#This Row],[Total Amount]]&gt;=1000),"High",TRUE,"Normal")</f>
        <v>Normal</v>
      </c>
      <c r="L5" s="4" t="str">
        <f>IF(Table156[[#This Row],[Total Amount]]&gt;=1000,"High",(IF(Table156[[#This Row],[Total Amount]]&gt;=500,"Medium","Low")))</f>
        <v>Medium</v>
      </c>
      <c r="M5" s="4" t="str" cm="1">
        <f t="array" ref="M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" s="4" cm="1">
        <f t="array" ref="N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5" s="4">
        <f>Table156[[#This Row],[Total Amount]]-Table156[[#This Row],[Discount Amount]]</f>
        <v>450</v>
      </c>
      <c r="P5" s="4" t="str">
        <f>IF(Table156[[#This Row],[Total Amount]]&gt;=1000,"High","Low")</f>
        <v>Low</v>
      </c>
      <c r="Q5" s="4" t="str" cm="1">
        <f t="array" ref="Q5">_xlfn.IFS(AND(Table156[[#This Row],[Total Amount]]&gt;=1500,"Critical"),AND(Table156[[#This Row],[Total Amount]]&gt;=1000,"High"),TRUE,"Normal")</f>
        <v>Normal</v>
      </c>
      <c r="R5" s="4">
        <f>COUNTIF(Table156[Gender],"Male")</f>
        <v>490</v>
      </c>
    </row>
    <row r="6" spans="1:18" x14ac:dyDescent="0.35">
      <c r="A6" s="4">
        <v>5</v>
      </c>
      <c r="B6" s="5">
        <v>45052</v>
      </c>
      <c r="C6" s="4" t="s">
        <v>18</v>
      </c>
      <c r="D6" s="4" t="s">
        <v>10</v>
      </c>
      <c r="E6" s="4">
        <v>30</v>
      </c>
      <c r="F6" s="4" t="str">
        <f>IF(Table156[[#This Row],[Age]]&lt;=19,"Teenager",IF(Table156[[#This Row],[Age]]&lt;=40,"Median","Old"))</f>
        <v>Median</v>
      </c>
      <c r="G6" s="4" t="s">
        <v>11</v>
      </c>
      <c r="H6" s="4">
        <v>2</v>
      </c>
      <c r="I6" s="4">
        <v>50</v>
      </c>
      <c r="J6" s="4">
        <v>100</v>
      </c>
      <c r="K6" s="4" t="str" cm="1">
        <f t="array" ref="K6">_xlfn.IFS(AND(Table156[[#This Row],[Total Amount]]&gt;=1500),"Critical",AND(Table156[[#This Row],[Total Amount]]&gt;=1000),"High",TRUE,"Normal")</f>
        <v>Normal</v>
      </c>
      <c r="L6" s="4" t="str">
        <f>IF(Table156[[#This Row],[Total Amount]]&gt;=1000,"High",(IF(Table156[[#This Row],[Total Amount]]&gt;=500,"Medium","Low")))</f>
        <v>Low</v>
      </c>
      <c r="M6" s="4" t="str" cm="1">
        <f t="array" ref="M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" s="4" cm="1">
        <f t="array" ref="N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6" s="4">
        <f>Table156[[#This Row],[Total Amount]]-Table156[[#This Row],[Discount Amount]]</f>
        <v>85</v>
      </c>
      <c r="P6" s="4" t="str">
        <f>IF(Table156[[#This Row],[Total Amount]]&gt;=1000,"High","Low")</f>
        <v>Low</v>
      </c>
      <c r="Q6" s="4" t="str" cm="1">
        <f t="array" ref="Q6">_xlfn.IFS(AND(Table156[[#This Row],[Total Amount]]&gt;=1500,"Critical"),AND(Table156[[#This Row],[Total Amount]]&gt;=1000,"High"),TRUE,"Normal")</f>
        <v>Normal</v>
      </c>
      <c r="R6" s="4">
        <f>COUNTIF(Table156[Gender],"Male")</f>
        <v>490</v>
      </c>
    </row>
    <row r="7" spans="1:18" x14ac:dyDescent="0.35">
      <c r="A7" s="4">
        <v>6</v>
      </c>
      <c r="B7" s="5">
        <v>45041</v>
      </c>
      <c r="C7" s="4" t="s">
        <v>19</v>
      </c>
      <c r="D7" s="4" t="s">
        <v>13</v>
      </c>
      <c r="E7" s="4">
        <v>45</v>
      </c>
      <c r="F7" s="4" t="str">
        <f>IF(Table156[[#This Row],[Age]]&lt;=19,"Teenager",IF(Table156[[#This Row],[Age]]&lt;=40,"Median","Old"))</f>
        <v>Old</v>
      </c>
      <c r="G7" s="4" t="s">
        <v>11</v>
      </c>
      <c r="H7" s="4">
        <v>1</v>
      </c>
      <c r="I7" s="4">
        <v>30</v>
      </c>
      <c r="J7" s="4">
        <v>30</v>
      </c>
      <c r="K7" s="4" t="str" cm="1">
        <f t="array" ref="K7">_xlfn.IFS(AND(Table156[[#This Row],[Total Amount]]&gt;=1500),"Critical",AND(Table156[[#This Row],[Total Amount]]&gt;=1000),"High",TRUE,"Normal")</f>
        <v>Normal</v>
      </c>
      <c r="L7" s="4" t="str">
        <f>IF(Table156[[#This Row],[Total Amount]]&gt;=1000,"High",(IF(Table156[[#This Row],[Total Amount]]&gt;=500,"Medium","Low")))</f>
        <v>Low</v>
      </c>
      <c r="M7" s="4" t="str" cm="1">
        <f t="array" ref="M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" s="4" cm="1">
        <f t="array" ref="N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7" s="4">
        <f>Table156[[#This Row],[Total Amount]]-Table156[[#This Row],[Discount Amount]]</f>
        <v>24</v>
      </c>
      <c r="P7" s="4" t="str">
        <f>IF(Table156[[#This Row],[Total Amount]]&gt;=1000,"High","Low")</f>
        <v>Low</v>
      </c>
      <c r="Q7" s="4" t="str" cm="1">
        <f t="array" ref="Q7">_xlfn.IFS(AND(Table156[[#This Row],[Total Amount]]&gt;=1500,"Critical"),AND(Table156[[#This Row],[Total Amount]]&gt;=1000,"High"),TRUE,"Normal")</f>
        <v>Normal</v>
      </c>
      <c r="R7" s="4">
        <f>COUNTIF(Table156[Gender],"Male")</f>
        <v>490</v>
      </c>
    </row>
    <row r="8" spans="1:18" x14ac:dyDescent="0.35">
      <c r="A8" s="4">
        <v>7</v>
      </c>
      <c r="B8" s="5">
        <v>44998</v>
      </c>
      <c r="C8" s="4" t="s">
        <v>20</v>
      </c>
      <c r="D8" s="4" t="s">
        <v>10</v>
      </c>
      <c r="E8" s="4">
        <v>46</v>
      </c>
      <c r="F8" s="4" t="str">
        <f>IF(Table156[[#This Row],[Age]]&lt;=19,"Teenager",IF(Table156[[#This Row],[Age]]&lt;=40,"Median","Old"))</f>
        <v>Old</v>
      </c>
      <c r="G8" s="4" t="s">
        <v>14</v>
      </c>
      <c r="H8" s="4">
        <v>2</v>
      </c>
      <c r="I8" s="4">
        <v>25</v>
      </c>
      <c r="J8" s="4">
        <v>50</v>
      </c>
      <c r="K8" s="4" t="str" cm="1">
        <f t="array" ref="K8">_xlfn.IFS(AND(Table156[[#This Row],[Total Amount]]&gt;=1500),"Critical",AND(Table156[[#This Row],[Total Amount]]&gt;=1000),"High",TRUE,"Normal")</f>
        <v>Normal</v>
      </c>
      <c r="L8" s="4" t="str">
        <f>IF(Table156[[#This Row],[Total Amount]]&gt;=1000,"High",(IF(Table156[[#This Row],[Total Amount]]&gt;=500,"Medium","Low")))</f>
        <v>Low</v>
      </c>
      <c r="M8" s="4" t="str" cm="1">
        <f t="array" ref="M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" s="4" cm="1">
        <f t="array" ref="N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8" s="4">
        <f>Table156[[#This Row],[Total Amount]]-Table156[[#This Row],[Discount Amount]]</f>
        <v>45</v>
      </c>
      <c r="P8" s="4" t="str">
        <f>IF(Table156[[#This Row],[Total Amount]]&gt;=1000,"High","Low")</f>
        <v>Low</v>
      </c>
      <c r="Q8" s="4" t="str" cm="1">
        <f t="array" ref="Q8">_xlfn.IFS(AND(Table156[[#This Row],[Total Amount]]&gt;=1500,"Critical"),AND(Table156[[#This Row],[Total Amount]]&gt;=1000,"High"),TRUE,"Normal")</f>
        <v>Normal</v>
      </c>
      <c r="R8" s="4">
        <f>COUNTIF(Table156[Gender],"Male")</f>
        <v>490</v>
      </c>
    </row>
    <row r="9" spans="1:18" x14ac:dyDescent="0.35">
      <c r="A9" s="4">
        <v>8</v>
      </c>
      <c r="B9" s="5">
        <v>44979</v>
      </c>
      <c r="C9" s="4" t="s">
        <v>21</v>
      </c>
      <c r="D9" s="4" t="s">
        <v>10</v>
      </c>
      <c r="E9" s="4">
        <v>30</v>
      </c>
      <c r="F9" s="4" t="str">
        <f>IF(Table156[[#This Row],[Age]]&lt;=19,"Teenager",IF(Table156[[#This Row],[Age]]&lt;=40,"Median","Old"))</f>
        <v>Median</v>
      </c>
      <c r="G9" s="4" t="s">
        <v>16</v>
      </c>
      <c r="H9" s="4">
        <v>4</v>
      </c>
      <c r="I9" s="4">
        <v>25</v>
      </c>
      <c r="J9" s="4">
        <v>100</v>
      </c>
      <c r="K9" s="4" t="str" cm="1">
        <f t="array" ref="K9">_xlfn.IFS(AND(Table156[[#This Row],[Total Amount]]&gt;=1500),"Critical",AND(Table156[[#This Row],[Total Amount]]&gt;=1000),"High",TRUE,"Normal")</f>
        <v>Normal</v>
      </c>
      <c r="L9" s="4" t="str">
        <f>IF(Table156[[#This Row],[Total Amount]]&gt;=1000,"High",(IF(Table156[[#This Row],[Total Amount]]&gt;=500,"Medium","Low")))</f>
        <v>Low</v>
      </c>
      <c r="M9" s="4" t="str" cm="1">
        <f t="array" ref="M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" s="4" cm="1">
        <f t="array" ref="N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9" s="4">
        <f>Table156[[#This Row],[Total Amount]]-Table156[[#This Row],[Discount Amount]]</f>
        <v>85</v>
      </c>
      <c r="P9" s="4" t="str">
        <f>IF(Table156[[#This Row],[Total Amount]]&gt;=1000,"High","Low")</f>
        <v>Low</v>
      </c>
      <c r="Q9" s="4" t="str" cm="1">
        <f t="array" ref="Q9">_xlfn.IFS(AND(Table156[[#This Row],[Total Amount]]&gt;=1500,"Critical"),AND(Table156[[#This Row],[Total Amount]]&gt;=1000,"High"),TRUE,"Normal")</f>
        <v>Normal</v>
      </c>
      <c r="R9" s="4">
        <f>COUNTIF(Table156[Gender],"Male")</f>
        <v>490</v>
      </c>
    </row>
    <row r="10" spans="1:18" x14ac:dyDescent="0.35">
      <c r="A10" s="4">
        <v>9</v>
      </c>
      <c r="B10" s="5">
        <v>45273</v>
      </c>
      <c r="C10" s="4" t="s">
        <v>22</v>
      </c>
      <c r="D10" s="4" t="s">
        <v>10</v>
      </c>
      <c r="E10" s="4">
        <v>63</v>
      </c>
      <c r="F10" s="4" t="str">
        <f>IF(Table156[[#This Row],[Age]]&lt;=19,"Teenager",IF(Table156[[#This Row],[Age]]&lt;=40,"Median","Old"))</f>
        <v>Old</v>
      </c>
      <c r="G10" s="4" t="s">
        <v>16</v>
      </c>
      <c r="H10" s="4">
        <v>2</v>
      </c>
      <c r="I10" s="4">
        <v>300</v>
      </c>
      <c r="J10" s="4">
        <v>600</v>
      </c>
      <c r="K10" s="4" t="str" cm="1">
        <f t="array" ref="K10">_xlfn.IFS(AND(Table156[[#This Row],[Total Amount]]&gt;=1500),"Critical",AND(Table156[[#This Row],[Total Amount]]&gt;=1000),"High",TRUE,"Normal")</f>
        <v>Normal</v>
      </c>
      <c r="L10" s="4" t="str">
        <f>IF(Table156[[#This Row],[Total Amount]]&gt;=1000,"High",(IF(Table156[[#This Row],[Total Amount]]&gt;=500,"Medium","Low")))</f>
        <v>Medium</v>
      </c>
      <c r="M10" s="4" t="str" cm="1">
        <f t="array" ref="M1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0" s="4" cm="1">
        <f t="array" ref="N1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10" s="4">
        <f>Table156[[#This Row],[Total Amount]]-Table156[[#This Row],[Discount Amount]]</f>
        <v>540</v>
      </c>
      <c r="P10" s="4" t="str">
        <f>IF(Table156[[#This Row],[Total Amount]]&gt;=1000,"High","Low")</f>
        <v>Low</v>
      </c>
      <c r="Q10" s="4" t="str" cm="1">
        <f t="array" ref="Q10">_xlfn.IFS(AND(Table156[[#This Row],[Total Amount]]&gt;=1500,"Critical"),AND(Table156[[#This Row],[Total Amount]]&gt;=1000,"High"),TRUE,"Normal")</f>
        <v>Normal</v>
      </c>
      <c r="R10" s="4">
        <f>COUNTIF(Table156[Gender],"Male")</f>
        <v>490</v>
      </c>
    </row>
    <row r="11" spans="1:18" x14ac:dyDescent="0.35">
      <c r="A11" s="4">
        <v>10</v>
      </c>
      <c r="B11" s="5">
        <v>45206</v>
      </c>
      <c r="C11" s="4" t="s">
        <v>23</v>
      </c>
      <c r="D11" s="4" t="s">
        <v>13</v>
      </c>
      <c r="E11" s="4">
        <v>52</v>
      </c>
      <c r="F11" s="4" t="str">
        <f>IF(Table156[[#This Row],[Age]]&lt;=19,"Teenager",IF(Table156[[#This Row],[Age]]&lt;=40,"Median","Old"))</f>
        <v>Old</v>
      </c>
      <c r="G11" s="4" t="s">
        <v>14</v>
      </c>
      <c r="H11" s="4">
        <v>4</v>
      </c>
      <c r="I11" s="4">
        <v>50</v>
      </c>
      <c r="J11" s="4">
        <v>200</v>
      </c>
      <c r="K11" s="4" t="str" cm="1">
        <f t="array" ref="K11">_xlfn.IFS(AND(Table156[[#This Row],[Total Amount]]&gt;=1500),"Critical",AND(Table156[[#This Row],[Total Amount]]&gt;=1000),"High",TRUE,"Normal")</f>
        <v>Normal</v>
      </c>
      <c r="L11" s="4" t="str">
        <f>IF(Table156[[#This Row],[Total Amount]]&gt;=1000,"High",(IF(Table156[[#This Row],[Total Amount]]&gt;=500,"Medium","Low")))</f>
        <v>Low</v>
      </c>
      <c r="M11" s="4" t="str" cm="1">
        <f t="array" ref="M1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1" s="4" cm="1">
        <f t="array" ref="N1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11" s="4">
        <f>Table156[[#This Row],[Total Amount]]-Table156[[#This Row],[Discount Amount]]</f>
        <v>160</v>
      </c>
      <c r="P11" s="4" t="str">
        <f>IF(Table156[[#This Row],[Total Amount]]&gt;=1000,"High","Low")</f>
        <v>Low</v>
      </c>
      <c r="Q11" s="4" t="str" cm="1">
        <f t="array" ref="Q11">_xlfn.IFS(AND(Table156[[#This Row],[Total Amount]]&gt;=1500,"Critical"),AND(Table156[[#This Row],[Total Amount]]&gt;=1000,"High"),TRUE,"Normal")</f>
        <v>Normal</v>
      </c>
      <c r="R11" s="4">
        <f>COUNTIF(Table156[Gender],"Male")</f>
        <v>490</v>
      </c>
    </row>
    <row r="12" spans="1:18" x14ac:dyDescent="0.35">
      <c r="A12" s="4">
        <v>11</v>
      </c>
      <c r="B12" s="5">
        <v>44971</v>
      </c>
      <c r="C12" s="4" t="s">
        <v>24</v>
      </c>
      <c r="D12" s="4" t="s">
        <v>10</v>
      </c>
      <c r="E12" s="4">
        <v>23</v>
      </c>
      <c r="F12" s="4" t="str">
        <f>IF(Table156[[#This Row],[Age]]&lt;=19,"Teenager",IF(Table156[[#This Row],[Age]]&lt;=40,"Median","Old"))</f>
        <v>Median</v>
      </c>
      <c r="G12" s="4" t="s">
        <v>14</v>
      </c>
      <c r="H12" s="4">
        <v>2</v>
      </c>
      <c r="I12" s="4">
        <v>50</v>
      </c>
      <c r="J12" s="4">
        <v>100</v>
      </c>
      <c r="K12" s="4" t="str" cm="1">
        <f t="array" ref="K12">_xlfn.IFS(AND(Table156[[#This Row],[Total Amount]]&gt;=1500),"Critical",AND(Table156[[#This Row],[Total Amount]]&gt;=1000),"High",TRUE,"Normal")</f>
        <v>Normal</v>
      </c>
      <c r="L12" s="4" t="str">
        <f>IF(Table156[[#This Row],[Total Amount]]&gt;=1000,"High",(IF(Table156[[#This Row],[Total Amount]]&gt;=500,"Medium","Low")))</f>
        <v>Low</v>
      </c>
      <c r="M12" s="4" t="str" cm="1">
        <f t="array" ref="M1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2" s="4" cm="1">
        <f t="array" ref="N1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2" s="4">
        <f>Table156[[#This Row],[Total Amount]]-Table156[[#This Row],[Discount Amount]]</f>
        <v>100</v>
      </c>
      <c r="P12" s="4" t="str">
        <f>IF(Table156[[#This Row],[Total Amount]]&gt;=1000,"High","Low")</f>
        <v>Low</v>
      </c>
      <c r="Q12" s="4" t="str" cm="1">
        <f t="array" ref="Q12">_xlfn.IFS(AND(Table156[[#This Row],[Total Amount]]&gt;=1500,"Critical"),AND(Table156[[#This Row],[Total Amount]]&gt;=1000,"High"),TRUE,"Normal")</f>
        <v>Normal</v>
      </c>
      <c r="R12" s="4">
        <f>COUNTIF(Table156[Gender],"Male")</f>
        <v>490</v>
      </c>
    </row>
    <row r="13" spans="1:18" x14ac:dyDescent="0.35">
      <c r="A13" s="4">
        <v>12</v>
      </c>
      <c r="B13" s="5">
        <v>45229</v>
      </c>
      <c r="C13" s="4" t="s">
        <v>25</v>
      </c>
      <c r="D13" s="4" t="s">
        <v>10</v>
      </c>
      <c r="E13" s="4">
        <v>35</v>
      </c>
      <c r="F13" s="4" t="str">
        <f>IF(Table156[[#This Row],[Age]]&lt;=19,"Teenager",IF(Table156[[#This Row],[Age]]&lt;=40,"Median","Old"))</f>
        <v>Median</v>
      </c>
      <c r="G13" s="4" t="s">
        <v>11</v>
      </c>
      <c r="H13" s="4">
        <v>3</v>
      </c>
      <c r="I13" s="4">
        <v>25</v>
      </c>
      <c r="J13" s="4">
        <v>75</v>
      </c>
      <c r="K13" s="4" t="str" cm="1">
        <f t="array" ref="K13">_xlfn.IFS(AND(Table156[[#This Row],[Total Amount]]&gt;=1500),"Critical",AND(Table156[[#This Row],[Total Amount]]&gt;=1000),"High",TRUE,"Normal")</f>
        <v>Normal</v>
      </c>
      <c r="L13" s="4" t="str">
        <f>IF(Table156[[#This Row],[Total Amount]]&gt;=1000,"High",(IF(Table156[[#This Row],[Total Amount]]&gt;=500,"Medium","Low")))</f>
        <v>Low</v>
      </c>
      <c r="M13" s="4" t="str" cm="1">
        <f t="array" ref="M1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3" s="4" cm="1">
        <f t="array" ref="N1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13" s="4">
        <f>Table156[[#This Row],[Total Amount]]-Table156[[#This Row],[Discount Amount]]</f>
        <v>67.5</v>
      </c>
      <c r="P13" s="4" t="str">
        <f>IF(Table156[[#This Row],[Total Amount]]&gt;=1000,"High","Low")</f>
        <v>Low</v>
      </c>
      <c r="Q13" s="4" t="str" cm="1">
        <f t="array" ref="Q13">_xlfn.IFS(AND(Table156[[#This Row],[Total Amount]]&gt;=1500,"Critical"),AND(Table156[[#This Row],[Total Amount]]&gt;=1000,"High"),TRUE,"Normal")</f>
        <v>Normal</v>
      </c>
      <c r="R13" s="4">
        <f>COUNTIF(Table156[Gender],"Male")</f>
        <v>490</v>
      </c>
    </row>
    <row r="14" spans="1:18" x14ac:dyDescent="0.35">
      <c r="A14" s="4">
        <v>13</v>
      </c>
      <c r="B14" s="5">
        <v>45143</v>
      </c>
      <c r="C14" s="4" t="s">
        <v>26</v>
      </c>
      <c r="D14" s="4" t="s">
        <v>10</v>
      </c>
      <c r="E14" s="4">
        <v>22</v>
      </c>
      <c r="F14" s="4" t="str">
        <f>IF(Table156[[#This Row],[Age]]&lt;=19,"Teenager",IF(Table156[[#This Row],[Age]]&lt;=40,"Median","Old"))</f>
        <v>Median</v>
      </c>
      <c r="G14" s="4" t="s">
        <v>16</v>
      </c>
      <c r="H14" s="4">
        <v>3</v>
      </c>
      <c r="I14" s="4">
        <v>500</v>
      </c>
      <c r="J14" s="4">
        <v>1500</v>
      </c>
      <c r="K14" s="4" t="str" cm="1">
        <f t="array" ref="K14">_xlfn.IFS(AND(Table156[[#This Row],[Total Amount]]&gt;=1500),"Critical",AND(Table156[[#This Row],[Total Amount]]&gt;=1000),"High",TRUE,"Normal")</f>
        <v>Critical</v>
      </c>
      <c r="L14" s="4" t="str">
        <f>IF(Table156[[#This Row],[Total Amount]]&gt;=1000,"High",(IF(Table156[[#This Row],[Total Amount]]&gt;=500,"Medium","Low")))</f>
        <v>High</v>
      </c>
      <c r="M14" s="4" t="str" cm="1">
        <f t="array" ref="M1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4" s="4" cm="1">
        <f t="array" ref="N1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4" s="4">
        <f>Table156[[#This Row],[Total Amount]]-Table156[[#This Row],[Discount Amount]]</f>
        <v>1500</v>
      </c>
      <c r="P14" s="4" t="str">
        <f>IF(Table156[[#This Row],[Total Amount]]&gt;=1000,"High","Low")</f>
        <v>High</v>
      </c>
      <c r="Q14" s="4" t="b" cm="1">
        <f t="array" ref="Q14">_xlfn.IFS(AND(Table156[[#This Row],[Total Amount]]&gt;=1500,"Critical"),AND(Table156[[#This Row],[Total Amount]]&gt;=1000,"High"),TRUE,"Normal")</f>
        <v>1</v>
      </c>
      <c r="R14" s="4">
        <f>COUNTIF(Table156[Gender],"Male")</f>
        <v>490</v>
      </c>
    </row>
    <row r="15" spans="1:18" x14ac:dyDescent="0.35">
      <c r="A15" s="4">
        <v>14</v>
      </c>
      <c r="B15" s="5">
        <v>44943</v>
      </c>
      <c r="C15" s="4" t="s">
        <v>27</v>
      </c>
      <c r="D15" s="4" t="s">
        <v>10</v>
      </c>
      <c r="E15" s="4">
        <v>64</v>
      </c>
      <c r="F15" s="4" t="str">
        <f>IF(Table156[[#This Row],[Age]]&lt;=19,"Teenager",IF(Table156[[#This Row],[Age]]&lt;=40,"Median","Old"))</f>
        <v>Old</v>
      </c>
      <c r="G15" s="4" t="s">
        <v>14</v>
      </c>
      <c r="H15" s="4">
        <v>4</v>
      </c>
      <c r="I15" s="4">
        <v>30</v>
      </c>
      <c r="J15" s="4">
        <v>120</v>
      </c>
      <c r="K15" s="4" t="str" cm="1">
        <f t="array" ref="K15">_xlfn.IFS(AND(Table156[[#This Row],[Total Amount]]&gt;=1500),"Critical",AND(Table156[[#This Row],[Total Amount]]&gt;=1000),"High",TRUE,"Normal")</f>
        <v>Normal</v>
      </c>
      <c r="L15" s="4" t="str">
        <f>IF(Table156[[#This Row],[Total Amount]]&gt;=1000,"High",(IF(Table156[[#This Row],[Total Amount]]&gt;=500,"Medium","Low")))</f>
        <v>Low</v>
      </c>
      <c r="M15" s="4" t="str" cm="1">
        <f t="array" ref="M1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5" s="4" cm="1">
        <f t="array" ref="N1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15" s="4">
        <f>Table156[[#This Row],[Total Amount]]-Table156[[#This Row],[Discount Amount]]</f>
        <v>108</v>
      </c>
      <c r="P15" s="4" t="str">
        <f>IF(Table156[[#This Row],[Total Amount]]&gt;=1000,"High","Low")</f>
        <v>Low</v>
      </c>
      <c r="Q15" s="4" t="str" cm="1">
        <f t="array" ref="Q15">_xlfn.IFS(AND(Table156[[#This Row],[Total Amount]]&gt;=1500,"Critical"),AND(Table156[[#This Row],[Total Amount]]&gt;=1000,"High"),TRUE,"Normal")</f>
        <v>Normal</v>
      </c>
      <c r="R15" s="4">
        <f>COUNTIF(Table156[Gender],"Male")</f>
        <v>490</v>
      </c>
    </row>
    <row r="16" spans="1:18" x14ac:dyDescent="0.35">
      <c r="A16" s="4">
        <v>15</v>
      </c>
      <c r="B16" s="5">
        <v>44942</v>
      </c>
      <c r="C16" s="4" t="s">
        <v>28</v>
      </c>
      <c r="D16" s="4" t="s">
        <v>13</v>
      </c>
      <c r="E16" s="4">
        <v>42</v>
      </c>
      <c r="F16" s="4" t="str">
        <f>IF(Table156[[#This Row],[Age]]&lt;=19,"Teenager",IF(Table156[[#This Row],[Age]]&lt;=40,"Median","Old"))</f>
        <v>Old</v>
      </c>
      <c r="G16" s="4" t="s">
        <v>16</v>
      </c>
      <c r="H16" s="4">
        <v>4</v>
      </c>
      <c r="I16" s="4">
        <v>500</v>
      </c>
      <c r="J16" s="4">
        <v>2000</v>
      </c>
      <c r="K16" s="4" t="str" cm="1">
        <f t="array" ref="K16">_xlfn.IFS(AND(Table156[[#This Row],[Total Amount]]&gt;=1500),"Critical",AND(Table156[[#This Row],[Total Amount]]&gt;=1000),"High",TRUE,"Normal")</f>
        <v>Critical</v>
      </c>
      <c r="L16" s="4" t="str">
        <f>IF(Table156[[#This Row],[Total Amount]]&gt;=1000,"High",(IF(Table156[[#This Row],[Total Amount]]&gt;=500,"Medium","Low")))</f>
        <v>High</v>
      </c>
      <c r="M16" s="4" t="str" cm="1">
        <f t="array" ref="M1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6" s="4" cm="1">
        <f t="array" ref="N1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400</v>
      </c>
      <c r="O16" s="4">
        <f>Table156[[#This Row],[Total Amount]]-Table156[[#This Row],[Discount Amount]]</f>
        <v>1600</v>
      </c>
      <c r="P16" s="4" t="str">
        <f>IF(Table156[[#This Row],[Total Amount]]&gt;=1000,"High","Low")</f>
        <v>High</v>
      </c>
      <c r="Q16" s="4" t="b" cm="1">
        <f t="array" ref="Q16">_xlfn.IFS(AND(Table156[[#This Row],[Total Amount]]&gt;=1500,"Critical"),AND(Table156[[#This Row],[Total Amount]]&gt;=1000,"High"),TRUE,"Normal")</f>
        <v>1</v>
      </c>
      <c r="R16" s="4">
        <f>COUNTIF(Table156[Gender],"Male")</f>
        <v>490</v>
      </c>
    </row>
    <row r="17" spans="1:18" x14ac:dyDescent="0.35">
      <c r="A17" s="4">
        <v>16</v>
      </c>
      <c r="B17" s="5">
        <v>44974</v>
      </c>
      <c r="C17" s="4" t="s">
        <v>29</v>
      </c>
      <c r="D17" s="4" t="s">
        <v>10</v>
      </c>
      <c r="E17" s="4">
        <v>19</v>
      </c>
      <c r="F17" s="4" t="str">
        <f>IF(Table156[[#This Row],[Age]]&lt;=19,"Teenager",IF(Table156[[#This Row],[Age]]&lt;=40,"Median","Old"))</f>
        <v>Teenager</v>
      </c>
      <c r="G17" s="4" t="s">
        <v>14</v>
      </c>
      <c r="H17" s="4">
        <v>3</v>
      </c>
      <c r="I17" s="4">
        <v>500</v>
      </c>
      <c r="J17" s="4">
        <v>1500</v>
      </c>
      <c r="K17" s="4" t="str" cm="1">
        <f t="array" ref="K17">_xlfn.IFS(AND(Table156[[#This Row],[Total Amount]]&gt;=1500),"Critical",AND(Table156[[#This Row],[Total Amount]]&gt;=1000),"High",TRUE,"Normal")</f>
        <v>Critical</v>
      </c>
      <c r="L17" s="4" t="str">
        <f>IF(Table156[[#This Row],[Total Amount]]&gt;=1000,"High",(IF(Table156[[#This Row],[Total Amount]]&gt;=500,"Medium","Low")))</f>
        <v>High</v>
      </c>
      <c r="M17" s="4" t="str" cm="1">
        <f t="array" ref="M1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7" s="4" cm="1">
        <f t="array" ref="N1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7" s="4">
        <f>Table156[[#This Row],[Total Amount]]-Table156[[#This Row],[Discount Amount]]</f>
        <v>1500</v>
      </c>
      <c r="P17" s="4" t="str">
        <f>IF(Table156[[#This Row],[Total Amount]]&gt;=1000,"High","Low")</f>
        <v>High</v>
      </c>
      <c r="Q17" s="4" t="b" cm="1">
        <f t="array" ref="Q17">_xlfn.IFS(AND(Table156[[#This Row],[Total Amount]]&gt;=1500,"Critical"),AND(Table156[[#This Row],[Total Amount]]&gt;=1000,"High"),TRUE,"Normal")</f>
        <v>1</v>
      </c>
      <c r="R17" s="4">
        <f>COUNTIF(Table156[Gender],"Male")</f>
        <v>490</v>
      </c>
    </row>
    <row r="18" spans="1:18" x14ac:dyDescent="0.35">
      <c r="A18" s="4">
        <v>17</v>
      </c>
      <c r="B18" s="5">
        <v>45038</v>
      </c>
      <c r="C18" s="4" t="s">
        <v>30</v>
      </c>
      <c r="D18" s="4" t="s">
        <v>13</v>
      </c>
      <c r="E18" s="4">
        <v>27</v>
      </c>
      <c r="F18" s="4" t="str">
        <f>IF(Table156[[#This Row],[Age]]&lt;=19,"Teenager",IF(Table156[[#This Row],[Age]]&lt;=40,"Median","Old"))</f>
        <v>Median</v>
      </c>
      <c r="G18" s="4" t="s">
        <v>14</v>
      </c>
      <c r="H18" s="4">
        <v>4</v>
      </c>
      <c r="I18" s="4">
        <v>25</v>
      </c>
      <c r="J18" s="4">
        <v>100</v>
      </c>
      <c r="K18" s="4" t="str" cm="1">
        <f t="array" ref="K18">_xlfn.IFS(AND(Table156[[#This Row],[Total Amount]]&gt;=1500),"Critical",AND(Table156[[#This Row],[Total Amount]]&gt;=1000),"High",TRUE,"Normal")</f>
        <v>Normal</v>
      </c>
      <c r="L18" s="4" t="str">
        <f>IF(Table156[[#This Row],[Total Amount]]&gt;=1000,"High",(IF(Table156[[#This Row],[Total Amount]]&gt;=500,"Medium","Low")))</f>
        <v>Low</v>
      </c>
      <c r="M18" s="4" t="str" cm="1">
        <f t="array" ref="M1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8" s="4" cm="1">
        <f t="array" ref="N1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18" s="4">
        <f>Table156[[#This Row],[Total Amount]]-Table156[[#This Row],[Discount Amount]]</f>
        <v>85</v>
      </c>
      <c r="P18" s="4" t="str">
        <f>IF(Table156[[#This Row],[Total Amount]]&gt;=1000,"High","Low")</f>
        <v>Low</v>
      </c>
      <c r="Q18" s="4" t="str" cm="1">
        <f t="array" ref="Q18">_xlfn.IFS(AND(Table156[[#This Row],[Total Amount]]&gt;=1500,"Critical"),AND(Table156[[#This Row],[Total Amount]]&gt;=1000,"High"),TRUE,"Normal")</f>
        <v>Normal</v>
      </c>
      <c r="R18" s="4">
        <f>COUNTIF(Table156[Gender],"Male")</f>
        <v>490</v>
      </c>
    </row>
    <row r="19" spans="1:18" x14ac:dyDescent="0.35">
      <c r="A19" s="4">
        <v>18</v>
      </c>
      <c r="B19" s="5">
        <v>45046</v>
      </c>
      <c r="C19" s="4" t="s">
        <v>31</v>
      </c>
      <c r="D19" s="4" t="s">
        <v>13</v>
      </c>
      <c r="E19" s="4">
        <v>47</v>
      </c>
      <c r="F19" s="4" t="str">
        <f>IF(Table156[[#This Row],[Age]]&lt;=19,"Teenager",IF(Table156[[#This Row],[Age]]&lt;=40,"Median","Old"))</f>
        <v>Old</v>
      </c>
      <c r="G19" s="4" t="s">
        <v>16</v>
      </c>
      <c r="H19" s="4">
        <v>2</v>
      </c>
      <c r="I19" s="4">
        <v>25</v>
      </c>
      <c r="J19" s="4">
        <v>50</v>
      </c>
      <c r="K19" s="4" t="str" cm="1">
        <f t="array" ref="K19">_xlfn.IFS(AND(Table156[[#This Row],[Total Amount]]&gt;=1500),"Critical",AND(Table156[[#This Row],[Total Amount]]&gt;=1000),"High",TRUE,"Normal")</f>
        <v>Normal</v>
      </c>
      <c r="L19" s="4" t="str">
        <f>IF(Table156[[#This Row],[Total Amount]]&gt;=1000,"High",(IF(Table156[[#This Row],[Total Amount]]&gt;=500,"Medium","Low")))</f>
        <v>Low</v>
      </c>
      <c r="M19" s="4" t="str" cm="1">
        <f t="array" ref="M1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9" s="4" cm="1">
        <f t="array" ref="N1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19" s="4">
        <f>Table156[[#This Row],[Total Amount]]-Table156[[#This Row],[Discount Amount]]</f>
        <v>40</v>
      </c>
      <c r="P19" s="4" t="str">
        <f>IF(Table156[[#This Row],[Total Amount]]&gt;=1000,"High","Low")</f>
        <v>Low</v>
      </c>
      <c r="Q19" s="4" t="str" cm="1">
        <f t="array" ref="Q19">_xlfn.IFS(AND(Table156[[#This Row],[Total Amount]]&gt;=1500,"Critical"),AND(Table156[[#This Row],[Total Amount]]&gt;=1000,"High"),TRUE,"Normal")</f>
        <v>Normal</v>
      </c>
      <c r="R19" s="4">
        <f>COUNTIF(Table156[Gender],"Male")</f>
        <v>490</v>
      </c>
    </row>
    <row r="20" spans="1:18" x14ac:dyDescent="0.35">
      <c r="A20" s="4">
        <v>19</v>
      </c>
      <c r="B20" s="5">
        <v>45185</v>
      </c>
      <c r="C20" s="4" t="s">
        <v>32</v>
      </c>
      <c r="D20" s="4" t="s">
        <v>13</v>
      </c>
      <c r="E20" s="4">
        <v>62</v>
      </c>
      <c r="F20" s="4" t="str">
        <f>IF(Table156[[#This Row],[Age]]&lt;=19,"Teenager",IF(Table156[[#This Row],[Age]]&lt;=40,"Median","Old"))</f>
        <v>Old</v>
      </c>
      <c r="G20" s="4" t="s">
        <v>14</v>
      </c>
      <c r="H20" s="4">
        <v>2</v>
      </c>
      <c r="I20" s="4">
        <v>25</v>
      </c>
      <c r="J20" s="4">
        <v>50</v>
      </c>
      <c r="K20" s="4" t="str" cm="1">
        <f t="array" ref="K20">_xlfn.IFS(AND(Table156[[#This Row],[Total Amount]]&gt;=1500),"Critical",AND(Table156[[#This Row],[Total Amount]]&gt;=1000),"High",TRUE,"Normal")</f>
        <v>Normal</v>
      </c>
      <c r="L20" s="4" t="str">
        <f>IF(Table156[[#This Row],[Total Amount]]&gt;=1000,"High",(IF(Table156[[#This Row],[Total Amount]]&gt;=500,"Medium","Low")))</f>
        <v>Low</v>
      </c>
      <c r="M20" s="4" t="str" cm="1">
        <f t="array" ref="M2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0" s="4" cm="1">
        <f t="array" ref="N2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20" s="4">
        <f>Table156[[#This Row],[Total Amount]]-Table156[[#This Row],[Discount Amount]]</f>
        <v>40</v>
      </c>
      <c r="P20" s="4" t="str">
        <f>IF(Table156[[#This Row],[Total Amount]]&gt;=1000,"High","Low")</f>
        <v>Low</v>
      </c>
      <c r="Q20" s="4" t="str" cm="1">
        <f t="array" ref="Q20">_xlfn.IFS(AND(Table156[[#This Row],[Total Amount]]&gt;=1500,"Critical"),AND(Table156[[#This Row],[Total Amount]]&gt;=1000,"High"),TRUE,"Normal")</f>
        <v>Normal</v>
      </c>
      <c r="R20" s="4">
        <f>COUNTIF(Table156[Gender],"Male")</f>
        <v>490</v>
      </c>
    </row>
    <row r="21" spans="1:18" x14ac:dyDescent="0.35">
      <c r="A21" s="4">
        <v>20</v>
      </c>
      <c r="B21" s="5">
        <v>45235</v>
      </c>
      <c r="C21" s="4" t="s">
        <v>33</v>
      </c>
      <c r="D21" s="4" t="s">
        <v>10</v>
      </c>
      <c r="E21" s="4">
        <v>22</v>
      </c>
      <c r="F21" s="4" t="str">
        <f>IF(Table156[[#This Row],[Age]]&lt;=19,"Teenager",IF(Table156[[#This Row],[Age]]&lt;=40,"Median","Old"))</f>
        <v>Median</v>
      </c>
      <c r="G21" s="4" t="s">
        <v>14</v>
      </c>
      <c r="H21" s="4">
        <v>3</v>
      </c>
      <c r="I21" s="4">
        <v>300</v>
      </c>
      <c r="J21" s="4">
        <v>900</v>
      </c>
      <c r="K21" s="4" t="str" cm="1">
        <f t="array" ref="K21">_xlfn.IFS(AND(Table156[[#This Row],[Total Amount]]&gt;=1500),"Critical",AND(Table156[[#This Row],[Total Amount]]&gt;=1000),"High",TRUE,"Normal")</f>
        <v>Normal</v>
      </c>
      <c r="L21" s="4" t="str">
        <f>IF(Table156[[#This Row],[Total Amount]]&gt;=1000,"High",(IF(Table156[[#This Row],[Total Amount]]&gt;=500,"Medium","Low")))</f>
        <v>Medium</v>
      </c>
      <c r="M21" s="4" t="str" cm="1">
        <f t="array" ref="M2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1" s="4" cm="1">
        <f t="array" ref="N2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1" s="4">
        <f>Table156[[#This Row],[Total Amount]]-Table156[[#This Row],[Discount Amount]]</f>
        <v>900</v>
      </c>
      <c r="P21" s="4" t="str">
        <f>IF(Table156[[#This Row],[Total Amount]]&gt;=1000,"High","Low")</f>
        <v>Low</v>
      </c>
      <c r="Q21" s="4" t="str" cm="1">
        <f t="array" ref="Q21">_xlfn.IFS(AND(Table156[[#This Row],[Total Amount]]&gt;=1500,"Critical"),AND(Table156[[#This Row],[Total Amount]]&gt;=1000,"High"),TRUE,"Normal")</f>
        <v>Normal</v>
      </c>
      <c r="R21" s="4">
        <f>COUNTIF(Table156[Gender],"Male")</f>
        <v>490</v>
      </c>
    </row>
    <row r="22" spans="1:18" x14ac:dyDescent="0.35">
      <c r="A22" s="4">
        <v>21</v>
      </c>
      <c r="B22" s="5">
        <v>44940</v>
      </c>
      <c r="C22" s="4" t="s">
        <v>34</v>
      </c>
      <c r="D22" s="4" t="s">
        <v>13</v>
      </c>
      <c r="E22" s="4">
        <v>50</v>
      </c>
      <c r="F22" s="4" t="str">
        <f>IF(Table156[[#This Row],[Age]]&lt;=19,"Teenager",IF(Table156[[#This Row],[Age]]&lt;=40,"Median","Old"))</f>
        <v>Old</v>
      </c>
      <c r="G22" s="4" t="s">
        <v>11</v>
      </c>
      <c r="H22" s="4">
        <v>1</v>
      </c>
      <c r="I22" s="4">
        <v>500</v>
      </c>
      <c r="J22" s="4">
        <v>500</v>
      </c>
      <c r="K22" s="4" t="str" cm="1">
        <f t="array" ref="K22">_xlfn.IFS(AND(Table156[[#This Row],[Total Amount]]&gt;=1500),"Critical",AND(Table156[[#This Row],[Total Amount]]&gt;=1000),"High",TRUE,"Normal")</f>
        <v>Normal</v>
      </c>
      <c r="L22" s="4" t="str">
        <f>IF(Table156[[#This Row],[Total Amount]]&gt;=1000,"High",(IF(Table156[[#This Row],[Total Amount]]&gt;=500,"Medium","Low")))</f>
        <v>Medium</v>
      </c>
      <c r="M22" s="4" t="str" cm="1">
        <f t="array" ref="M2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2" s="4" cm="1">
        <f t="array" ref="N2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22" s="4">
        <f>Table156[[#This Row],[Total Amount]]-Table156[[#This Row],[Discount Amount]]</f>
        <v>400</v>
      </c>
      <c r="P22" s="4" t="str">
        <f>IF(Table156[[#This Row],[Total Amount]]&gt;=1000,"High","Low")</f>
        <v>Low</v>
      </c>
      <c r="Q22" s="4" t="str" cm="1">
        <f t="array" ref="Q22">_xlfn.IFS(AND(Table156[[#This Row],[Total Amount]]&gt;=1500,"Critical"),AND(Table156[[#This Row],[Total Amount]]&gt;=1000,"High"),TRUE,"Normal")</f>
        <v>Normal</v>
      </c>
      <c r="R22" s="4">
        <f>COUNTIF(Table156[Gender],"Male")</f>
        <v>490</v>
      </c>
    </row>
    <row r="23" spans="1:18" x14ac:dyDescent="0.35">
      <c r="A23" s="4">
        <v>22</v>
      </c>
      <c r="B23" s="5">
        <v>45214</v>
      </c>
      <c r="C23" s="4" t="s">
        <v>35</v>
      </c>
      <c r="D23" s="4" t="s">
        <v>10</v>
      </c>
      <c r="E23" s="4">
        <v>18</v>
      </c>
      <c r="F23" s="4" t="str">
        <f>IF(Table156[[#This Row],[Age]]&lt;=19,"Teenager",IF(Table156[[#This Row],[Age]]&lt;=40,"Median","Old"))</f>
        <v>Teenager</v>
      </c>
      <c r="G23" s="4" t="s">
        <v>14</v>
      </c>
      <c r="H23" s="4">
        <v>2</v>
      </c>
      <c r="I23" s="4">
        <v>50</v>
      </c>
      <c r="J23" s="4">
        <v>100</v>
      </c>
      <c r="K23" s="4" t="str" cm="1">
        <f t="array" ref="K23">_xlfn.IFS(AND(Table156[[#This Row],[Total Amount]]&gt;=1500),"Critical",AND(Table156[[#This Row],[Total Amount]]&gt;=1000),"High",TRUE,"Normal")</f>
        <v>Normal</v>
      </c>
      <c r="L23" s="4" t="str">
        <f>IF(Table156[[#This Row],[Total Amount]]&gt;=1000,"High",(IF(Table156[[#This Row],[Total Amount]]&gt;=500,"Medium","Low")))</f>
        <v>Low</v>
      </c>
      <c r="M23" s="4" t="str" cm="1">
        <f t="array" ref="M2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3" s="4" cm="1">
        <f t="array" ref="N2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3" s="4">
        <f>Table156[[#This Row],[Total Amount]]-Table156[[#This Row],[Discount Amount]]</f>
        <v>100</v>
      </c>
      <c r="P23" s="4" t="str">
        <f>IF(Table156[[#This Row],[Total Amount]]&gt;=1000,"High","Low")</f>
        <v>Low</v>
      </c>
      <c r="Q23" s="4" t="str" cm="1">
        <f t="array" ref="Q23">_xlfn.IFS(AND(Table156[[#This Row],[Total Amount]]&gt;=1500,"Critical"),AND(Table156[[#This Row],[Total Amount]]&gt;=1000,"High"),TRUE,"Normal")</f>
        <v>Normal</v>
      </c>
      <c r="R23" s="4">
        <f>COUNTIF(Table156[Gender],"Male")</f>
        <v>490</v>
      </c>
    </row>
    <row r="24" spans="1:18" x14ac:dyDescent="0.35">
      <c r="A24" s="4">
        <v>23</v>
      </c>
      <c r="B24" s="5">
        <v>45028</v>
      </c>
      <c r="C24" s="4" t="s">
        <v>36</v>
      </c>
      <c r="D24" s="4" t="s">
        <v>13</v>
      </c>
      <c r="E24" s="4">
        <v>35</v>
      </c>
      <c r="F24" s="4" t="str">
        <f>IF(Table156[[#This Row],[Age]]&lt;=19,"Teenager",IF(Table156[[#This Row],[Age]]&lt;=40,"Median","Old"))</f>
        <v>Median</v>
      </c>
      <c r="G24" s="4" t="s">
        <v>14</v>
      </c>
      <c r="H24" s="4">
        <v>4</v>
      </c>
      <c r="I24" s="4">
        <v>30</v>
      </c>
      <c r="J24" s="4">
        <v>120</v>
      </c>
      <c r="K24" s="4" t="str" cm="1">
        <f t="array" ref="K24">_xlfn.IFS(AND(Table156[[#This Row],[Total Amount]]&gt;=1500),"Critical",AND(Table156[[#This Row],[Total Amount]]&gt;=1000),"High",TRUE,"Normal")</f>
        <v>Normal</v>
      </c>
      <c r="L24" s="4" t="str">
        <f>IF(Table156[[#This Row],[Total Amount]]&gt;=1000,"High",(IF(Table156[[#This Row],[Total Amount]]&gt;=500,"Medium","Low")))</f>
        <v>Low</v>
      </c>
      <c r="M24" s="4" t="str" cm="1">
        <f t="array" ref="M2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4" s="4" cm="1">
        <f t="array" ref="N2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24" s="4">
        <f>Table156[[#This Row],[Total Amount]]-Table156[[#This Row],[Discount Amount]]</f>
        <v>96</v>
      </c>
      <c r="P24" s="4" t="str">
        <f>IF(Table156[[#This Row],[Total Amount]]&gt;=1000,"High","Low")</f>
        <v>Low</v>
      </c>
      <c r="Q24" s="4" t="str" cm="1">
        <f t="array" ref="Q24">_xlfn.IFS(AND(Table156[[#This Row],[Total Amount]]&gt;=1500,"Critical"),AND(Table156[[#This Row],[Total Amount]]&gt;=1000,"High"),TRUE,"Normal")</f>
        <v>Normal</v>
      </c>
      <c r="R24" s="4">
        <f>COUNTIF(Table156[Gender],"Male")</f>
        <v>490</v>
      </c>
    </row>
    <row r="25" spans="1:18" x14ac:dyDescent="0.35">
      <c r="A25" s="4">
        <v>24</v>
      </c>
      <c r="B25" s="5">
        <v>45259</v>
      </c>
      <c r="C25" s="4" t="s">
        <v>37</v>
      </c>
      <c r="D25" s="4" t="s">
        <v>13</v>
      </c>
      <c r="E25" s="4">
        <v>49</v>
      </c>
      <c r="F25" s="4" t="str">
        <f>IF(Table156[[#This Row],[Age]]&lt;=19,"Teenager",IF(Table156[[#This Row],[Age]]&lt;=40,"Median","Old"))</f>
        <v>Old</v>
      </c>
      <c r="G25" s="4" t="s">
        <v>14</v>
      </c>
      <c r="H25" s="4">
        <v>1</v>
      </c>
      <c r="I25" s="4">
        <v>300</v>
      </c>
      <c r="J25" s="4">
        <v>300</v>
      </c>
      <c r="K25" s="4" t="str" cm="1">
        <f t="array" ref="K25">_xlfn.IFS(AND(Table156[[#This Row],[Total Amount]]&gt;=1500),"Critical",AND(Table156[[#This Row],[Total Amount]]&gt;=1000),"High",TRUE,"Normal")</f>
        <v>Normal</v>
      </c>
      <c r="L25" s="4" t="str">
        <f>IF(Table156[[#This Row],[Total Amount]]&gt;=1000,"High",(IF(Table156[[#This Row],[Total Amount]]&gt;=500,"Medium","Low")))</f>
        <v>Low</v>
      </c>
      <c r="M25" s="4" t="str" cm="1">
        <f t="array" ref="M2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5" s="4" cm="1">
        <f t="array" ref="N2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25" s="4">
        <f>Table156[[#This Row],[Total Amount]]-Table156[[#This Row],[Discount Amount]]</f>
        <v>240</v>
      </c>
      <c r="P25" s="4" t="str">
        <f>IF(Table156[[#This Row],[Total Amount]]&gt;=1000,"High","Low")</f>
        <v>Low</v>
      </c>
      <c r="Q25" s="4" t="str" cm="1">
        <f t="array" ref="Q25">_xlfn.IFS(AND(Table156[[#This Row],[Total Amount]]&gt;=1500,"Critical"),AND(Table156[[#This Row],[Total Amount]]&gt;=1000,"High"),TRUE,"Normal")</f>
        <v>Normal</v>
      </c>
      <c r="R25" s="4">
        <f>COUNTIF(Table156[Gender],"Male")</f>
        <v>490</v>
      </c>
    </row>
    <row r="26" spans="1:18" x14ac:dyDescent="0.35">
      <c r="A26" s="4">
        <v>25</v>
      </c>
      <c r="B26" s="5">
        <v>45286</v>
      </c>
      <c r="C26" s="4" t="s">
        <v>38</v>
      </c>
      <c r="D26" s="4" t="s">
        <v>13</v>
      </c>
      <c r="E26" s="4">
        <v>64</v>
      </c>
      <c r="F26" s="4" t="str">
        <f>IF(Table156[[#This Row],[Age]]&lt;=19,"Teenager",IF(Table156[[#This Row],[Age]]&lt;=40,"Median","Old"))</f>
        <v>Old</v>
      </c>
      <c r="G26" s="4" t="s">
        <v>11</v>
      </c>
      <c r="H26" s="4">
        <v>1</v>
      </c>
      <c r="I26" s="4">
        <v>50</v>
      </c>
      <c r="J26" s="4">
        <v>50</v>
      </c>
      <c r="K26" s="4" t="str" cm="1">
        <f t="array" ref="K26">_xlfn.IFS(AND(Table156[[#This Row],[Total Amount]]&gt;=1500),"Critical",AND(Table156[[#This Row],[Total Amount]]&gt;=1000),"High",TRUE,"Normal")</f>
        <v>Normal</v>
      </c>
      <c r="L26" s="4" t="str">
        <f>IF(Table156[[#This Row],[Total Amount]]&gt;=1000,"High",(IF(Table156[[#This Row],[Total Amount]]&gt;=500,"Medium","Low")))</f>
        <v>Low</v>
      </c>
      <c r="M26" s="4" t="str" cm="1">
        <f t="array" ref="M2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6" s="4" cm="1">
        <f t="array" ref="N2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26" s="4">
        <f>Table156[[#This Row],[Total Amount]]-Table156[[#This Row],[Discount Amount]]</f>
        <v>40</v>
      </c>
      <c r="P26" s="4" t="str">
        <f>IF(Table156[[#This Row],[Total Amount]]&gt;=1000,"High","Low")</f>
        <v>Low</v>
      </c>
      <c r="Q26" s="4" t="str" cm="1">
        <f t="array" ref="Q26">_xlfn.IFS(AND(Table156[[#This Row],[Total Amount]]&gt;=1500,"Critical"),AND(Table156[[#This Row],[Total Amount]]&gt;=1000,"High"),TRUE,"Normal")</f>
        <v>Normal</v>
      </c>
      <c r="R26" s="4">
        <f>COUNTIF(Table156[Gender],"Male")</f>
        <v>490</v>
      </c>
    </row>
    <row r="27" spans="1:18" x14ac:dyDescent="0.35">
      <c r="A27" s="4">
        <v>26</v>
      </c>
      <c r="B27" s="5">
        <v>45206</v>
      </c>
      <c r="C27" s="4" t="s">
        <v>39</v>
      </c>
      <c r="D27" s="4" t="s">
        <v>13</v>
      </c>
      <c r="E27" s="4">
        <v>28</v>
      </c>
      <c r="F27" s="4" t="str">
        <f>IF(Table156[[#This Row],[Age]]&lt;=19,"Teenager",IF(Table156[[#This Row],[Age]]&lt;=40,"Median","Old"))</f>
        <v>Median</v>
      </c>
      <c r="G27" s="4" t="s">
        <v>16</v>
      </c>
      <c r="H27" s="4">
        <v>2</v>
      </c>
      <c r="I27" s="4">
        <v>500</v>
      </c>
      <c r="J27" s="4">
        <v>1000</v>
      </c>
      <c r="K27" s="4" t="str" cm="1">
        <f t="array" ref="K27">_xlfn.IFS(AND(Table156[[#This Row],[Total Amount]]&gt;=1500),"Critical",AND(Table156[[#This Row],[Total Amount]]&gt;=1000),"High",TRUE,"Normal")</f>
        <v>High</v>
      </c>
      <c r="L27" s="4" t="str">
        <f>IF(Table156[[#This Row],[Total Amount]]&gt;=1000,"High",(IF(Table156[[#This Row],[Total Amount]]&gt;=500,"Medium","Low")))</f>
        <v>High</v>
      </c>
      <c r="M27" s="4" t="str" cm="1">
        <f t="array" ref="M2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7" s="4" cm="1">
        <f t="array" ref="N2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27" s="4">
        <f>Table156[[#This Row],[Total Amount]]-Table156[[#This Row],[Discount Amount]]</f>
        <v>850</v>
      </c>
      <c r="P27" s="4" t="str">
        <f>IF(Table156[[#This Row],[Total Amount]]&gt;=1000,"High","Low")</f>
        <v>High</v>
      </c>
      <c r="Q27" s="4" t="str" cm="1">
        <f t="array" ref="Q27">_xlfn.IFS(AND(Table156[[#This Row],[Total Amount]]&gt;=1500,"Critical"),AND(Table156[[#This Row],[Total Amount]]&gt;=1000,"High"),TRUE,"Normal")</f>
        <v>Normal</v>
      </c>
      <c r="R27" s="4">
        <f>COUNTIF(Table156[Gender],"Male")</f>
        <v>490</v>
      </c>
    </row>
    <row r="28" spans="1:18" x14ac:dyDescent="0.35">
      <c r="A28" s="4">
        <v>27</v>
      </c>
      <c r="B28" s="5">
        <v>45141</v>
      </c>
      <c r="C28" s="4" t="s">
        <v>40</v>
      </c>
      <c r="D28" s="4" t="s">
        <v>13</v>
      </c>
      <c r="E28" s="4">
        <v>38</v>
      </c>
      <c r="F28" s="4" t="str">
        <f>IF(Table156[[#This Row],[Age]]&lt;=19,"Teenager",IF(Table156[[#This Row],[Age]]&lt;=40,"Median","Old"))</f>
        <v>Median</v>
      </c>
      <c r="G28" s="4" t="s">
        <v>11</v>
      </c>
      <c r="H28" s="4">
        <v>2</v>
      </c>
      <c r="I28" s="4">
        <v>25</v>
      </c>
      <c r="J28" s="4">
        <v>50</v>
      </c>
      <c r="K28" s="4" t="str" cm="1">
        <f t="array" ref="K28">_xlfn.IFS(AND(Table156[[#This Row],[Total Amount]]&gt;=1500),"Critical",AND(Table156[[#This Row],[Total Amount]]&gt;=1000),"High",TRUE,"Normal")</f>
        <v>Normal</v>
      </c>
      <c r="L28" s="4" t="str">
        <f>IF(Table156[[#This Row],[Total Amount]]&gt;=1000,"High",(IF(Table156[[#This Row],[Total Amount]]&gt;=500,"Medium","Low")))</f>
        <v>Low</v>
      </c>
      <c r="M28" s="4" t="str" cm="1">
        <f t="array" ref="M2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8" s="4" cm="1">
        <f t="array" ref="N2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28" s="4">
        <f>Table156[[#This Row],[Total Amount]]-Table156[[#This Row],[Discount Amount]]</f>
        <v>40</v>
      </c>
      <c r="P28" s="4" t="str">
        <f>IF(Table156[[#This Row],[Total Amount]]&gt;=1000,"High","Low")</f>
        <v>Low</v>
      </c>
      <c r="Q28" s="4" t="str" cm="1">
        <f t="array" ref="Q28">_xlfn.IFS(AND(Table156[[#This Row],[Total Amount]]&gt;=1500,"Critical"),AND(Table156[[#This Row],[Total Amount]]&gt;=1000,"High"),TRUE,"Normal")</f>
        <v>Normal</v>
      </c>
      <c r="R28" s="4">
        <f>COUNTIF(Table156[Gender],"Male")</f>
        <v>490</v>
      </c>
    </row>
    <row r="29" spans="1:18" x14ac:dyDescent="0.35">
      <c r="A29" s="4">
        <v>28</v>
      </c>
      <c r="B29" s="5">
        <v>45039</v>
      </c>
      <c r="C29" s="4" t="s">
        <v>41</v>
      </c>
      <c r="D29" s="4" t="s">
        <v>13</v>
      </c>
      <c r="E29" s="4">
        <v>43</v>
      </c>
      <c r="F29" s="4" t="str">
        <f>IF(Table156[[#This Row],[Age]]&lt;=19,"Teenager",IF(Table156[[#This Row],[Age]]&lt;=40,"Median","Old"))</f>
        <v>Old</v>
      </c>
      <c r="G29" s="4" t="s">
        <v>11</v>
      </c>
      <c r="H29" s="4">
        <v>1</v>
      </c>
      <c r="I29" s="4">
        <v>500</v>
      </c>
      <c r="J29" s="4">
        <v>500</v>
      </c>
      <c r="K29" s="4" t="str" cm="1">
        <f t="array" ref="K29">_xlfn.IFS(AND(Table156[[#This Row],[Total Amount]]&gt;=1500),"Critical",AND(Table156[[#This Row],[Total Amount]]&gt;=1000),"High",TRUE,"Normal")</f>
        <v>Normal</v>
      </c>
      <c r="L29" s="4" t="str">
        <f>IF(Table156[[#This Row],[Total Amount]]&gt;=1000,"High",(IF(Table156[[#This Row],[Total Amount]]&gt;=500,"Medium","Low")))</f>
        <v>Medium</v>
      </c>
      <c r="M29" s="4" t="str" cm="1">
        <f t="array" ref="M2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9" s="4" cm="1">
        <f t="array" ref="N2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29" s="4">
        <f>Table156[[#This Row],[Total Amount]]-Table156[[#This Row],[Discount Amount]]</f>
        <v>400</v>
      </c>
      <c r="P29" s="4" t="str">
        <f>IF(Table156[[#This Row],[Total Amount]]&gt;=1000,"High","Low")</f>
        <v>Low</v>
      </c>
      <c r="Q29" s="4" t="str" cm="1">
        <f t="array" ref="Q29">_xlfn.IFS(AND(Table156[[#This Row],[Total Amount]]&gt;=1500,"Critical"),AND(Table156[[#This Row],[Total Amount]]&gt;=1000,"High"),TRUE,"Normal")</f>
        <v>Normal</v>
      </c>
      <c r="R29" s="4">
        <f>COUNTIF(Table156[Gender],"Male")</f>
        <v>490</v>
      </c>
    </row>
    <row r="30" spans="1:18" x14ac:dyDescent="0.35">
      <c r="A30" s="4">
        <v>29</v>
      </c>
      <c r="B30" s="5">
        <v>45156</v>
      </c>
      <c r="C30" s="4" t="s">
        <v>42</v>
      </c>
      <c r="D30" s="4" t="s">
        <v>13</v>
      </c>
      <c r="E30" s="4">
        <v>42</v>
      </c>
      <c r="F30" s="4" t="str">
        <f>IF(Table156[[#This Row],[Age]]&lt;=19,"Teenager",IF(Table156[[#This Row],[Age]]&lt;=40,"Median","Old"))</f>
        <v>Old</v>
      </c>
      <c r="G30" s="4" t="s">
        <v>16</v>
      </c>
      <c r="H30" s="4">
        <v>1</v>
      </c>
      <c r="I30" s="4">
        <v>30</v>
      </c>
      <c r="J30" s="4">
        <v>30</v>
      </c>
      <c r="K30" s="4" t="str" cm="1">
        <f t="array" ref="K30">_xlfn.IFS(AND(Table156[[#This Row],[Total Amount]]&gt;=1500),"Critical",AND(Table156[[#This Row],[Total Amount]]&gt;=1000),"High",TRUE,"Normal")</f>
        <v>Normal</v>
      </c>
      <c r="L30" s="4" t="str">
        <f>IF(Table156[[#This Row],[Total Amount]]&gt;=1000,"High",(IF(Table156[[#This Row],[Total Amount]]&gt;=500,"Medium","Low")))</f>
        <v>Low</v>
      </c>
      <c r="M30" s="4" t="str" cm="1">
        <f t="array" ref="M3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0" s="4" cm="1">
        <f t="array" ref="N3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30" s="4">
        <f>Table156[[#This Row],[Total Amount]]-Table156[[#This Row],[Discount Amount]]</f>
        <v>24</v>
      </c>
      <c r="P30" s="4" t="str">
        <f>IF(Table156[[#This Row],[Total Amount]]&gt;=1000,"High","Low")</f>
        <v>Low</v>
      </c>
      <c r="Q30" s="4" t="str" cm="1">
        <f t="array" ref="Q30">_xlfn.IFS(AND(Table156[[#This Row],[Total Amount]]&gt;=1500,"Critical"),AND(Table156[[#This Row],[Total Amount]]&gt;=1000,"High"),TRUE,"Normal")</f>
        <v>Normal</v>
      </c>
      <c r="R30" s="4">
        <f>COUNTIF(Table156[Gender],"Male")</f>
        <v>490</v>
      </c>
    </row>
    <row r="31" spans="1:18" x14ac:dyDescent="0.35">
      <c r="A31" s="4">
        <v>30</v>
      </c>
      <c r="B31" s="5">
        <v>45228</v>
      </c>
      <c r="C31" s="4" t="s">
        <v>43</v>
      </c>
      <c r="D31" s="4" t="s">
        <v>13</v>
      </c>
      <c r="E31" s="4">
        <v>39</v>
      </c>
      <c r="F31" s="4" t="str">
        <f>IF(Table156[[#This Row],[Age]]&lt;=19,"Teenager",IF(Table156[[#This Row],[Age]]&lt;=40,"Median","Old"))</f>
        <v>Median</v>
      </c>
      <c r="G31" s="4" t="s">
        <v>11</v>
      </c>
      <c r="H31" s="4">
        <v>3</v>
      </c>
      <c r="I31" s="4">
        <v>300</v>
      </c>
      <c r="J31" s="4">
        <v>900</v>
      </c>
      <c r="K31" s="4" t="str" cm="1">
        <f t="array" ref="K31">_xlfn.IFS(AND(Table156[[#This Row],[Total Amount]]&gt;=1500),"Critical",AND(Table156[[#This Row],[Total Amount]]&gt;=1000),"High",TRUE,"Normal")</f>
        <v>Normal</v>
      </c>
      <c r="L31" s="4" t="str">
        <f>IF(Table156[[#This Row],[Total Amount]]&gt;=1000,"High",(IF(Table156[[#This Row],[Total Amount]]&gt;=500,"Medium","Low")))</f>
        <v>Medium</v>
      </c>
      <c r="M31" s="4" t="str" cm="1">
        <f t="array" ref="M3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1" s="4" cm="1">
        <f t="array" ref="N3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31" s="4">
        <f>Table156[[#This Row],[Total Amount]]-Table156[[#This Row],[Discount Amount]]</f>
        <v>720</v>
      </c>
      <c r="P31" s="4" t="str">
        <f>IF(Table156[[#This Row],[Total Amount]]&gt;=1000,"High","Low")</f>
        <v>Low</v>
      </c>
      <c r="Q31" s="4" t="str" cm="1">
        <f t="array" ref="Q31">_xlfn.IFS(AND(Table156[[#This Row],[Total Amount]]&gt;=1500,"Critical"),AND(Table156[[#This Row],[Total Amount]]&gt;=1000,"High"),TRUE,"Normal")</f>
        <v>Normal</v>
      </c>
      <c r="R31" s="4">
        <f>COUNTIF(Table156[Gender],"Male")</f>
        <v>490</v>
      </c>
    </row>
    <row r="32" spans="1:18" x14ac:dyDescent="0.35">
      <c r="A32" s="4">
        <v>31</v>
      </c>
      <c r="B32" s="5">
        <v>45069</v>
      </c>
      <c r="C32" s="4" t="s">
        <v>44</v>
      </c>
      <c r="D32" s="4" t="s">
        <v>10</v>
      </c>
      <c r="E32" s="4">
        <v>44</v>
      </c>
      <c r="F32" s="4" t="str">
        <f>IF(Table156[[#This Row],[Age]]&lt;=19,"Teenager",IF(Table156[[#This Row],[Age]]&lt;=40,"Median","Old"))</f>
        <v>Old</v>
      </c>
      <c r="G32" s="4" t="s">
        <v>16</v>
      </c>
      <c r="H32" s="4">
        <v>4</v>
      </c>
      <c r="I32" s="4">
        <v>300</v>
      </c>
      <c r="J32" s="4">
        <v>1200</v>
      </c>
      <c r="K32" s="4" t="str" cm="1">
        <f t="array" ref="K32">_xlfn.IFS(AND(Table156[[#This Row],[Total Amount]]&gt;=1500),"Critical",AND(Table156[[#This Row],[Total Amount]]&gt;=1000),"High",TRUE,"Normal")</f>
        <v>High</v>
      </c>
      <c r="L32" s="4" t="str">
        <f>IF(Table156[[#This Row],[Total Amount]]&gt;=1000,"High",(IF(Table156[[#This Row],[Total Amount]]&gt;=500,"Medium","Low")))</f>
        <v>High</v>
      </c>
      <c r="M32" s="4" t="str" cm="1">
        <f t="array" ref="M3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2" s="4" cm="1">
        <f t="array" ref="N3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32" s="4">
        <f>Table156[[#This Row],[Total Amount]]-Table156[[#This Row],[Discount Amount]]</f>
        <v>1080</v>
      </c>
      <c r="P32" s="4" t="str">
        <f>IF(Table156[[#This Row],[Total Amount]]&gt;=1000,"High","Low")</f>
        <v>High</v>
      </c>
      <c r="Q32" s="4" t="str" cm="1">
        <f t="array" ref="Q32">_xlfn.IFS(AND(Table156[[#This Row],[Total Amount]]&gt;=1500,"Critical"),AND(Table156[[#This Row],[Total Amount]]&gt;=1000,"High"),TRUE,"Normal")</f>
        <v>Normal</v>
      </c>
      <c r="R32" s="4">
        <f>COUNTIF(Table156[Gender],"Male")</f>
        <v>490</v>
      </c>
    </row>
    <row r="33" spans="1:18" x14ac:dyDescent="0.35">
      <c r="A33" s="4">
        <v>32</v>
      </c>
      <c r="B33" s="5">
        <v>44930</v>
      </c>
      <c r="C33" s="4" t="s">
        <v>45</v>
      </c>
      <c r="D33" s="4" t="s">
        <v>10</v>
      </c>
      <c r="E33" s="4">
        <v>30</v>
      </c>
      <c r="F33" s="4" t="str">
        <f>IF(Table156[[#This Row],[Age]]&lt;=19,"Teenager",IF(Table156[[#This Row],[Age]]&lt;=40,"Median","Old"))</f>
        <v>Median</v>
      </c>
      <c r="G33" s="4" t="s">
        <v>11</v>
      </c>
      <c r="H33" s="4">
        <v>3</v>
      </c>
      <c r="I33" s="4">
        <v>30</v>
      </c>
      <c r="J33" s="4">
        <v>90</v>
      </c>
      <c r="K33" s="4" t="str" cm="1">
        <f t="array" ref="K33">_xlfn.IFS(AND(Table156[[#This Row],[Total Amount]]&gt;=1500),"Critical",AND(Table156[[#This Row],[Total Amount]]&gt;=1000),"High",TRUE,"Normal")</f>
        <v>Normal</v>
      </c>
      <c r="L33" s="4" t="str">
        <f>IF(Table156[[#This Row],[Total Amount]]&gt;=1000,"High",(IF(Table156[[#This Row],[Total Amount]]&gt;=500,"Medium","Low")))</f>
        <v>Low</v>
      </c>
      <c r="M33" s="4" t="str" cm="1">
        <f t="array" ref="M3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3" s="4" cm="1">
        <f t="array" ref="N3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13.5</v>
      </c>
      <c r="O33" s="4">
        <f>Table156[[#This Row],[Total Amount]]-Table156[[#This Row],[Discount Amount]]</f>
        <v>76.5</v>
      </c>
      <c r="P33" s="4" t="str">
        <f>IF(Table156[[#This Row],[Total Amount]]&gt;=1000,"High","Low")</f>
        <v>Low</v>
      </c>
      <c r="Q33" s="4" t="str" cm="1">
        <f t="array" ref="Q33">_xlfn.IFS(AND(Table156[[#This Row],[Total Amount]]&gt;=1500,"Critical"),AND(Table156[[#This Row],[Total Amount]]&gt;=1000,"High"),TRUE,"Normal")</f>
        <v>Normal</v>
      </c>
      <c r="R33" s="4">
        <f>COUNTIF(Table156[Gender],"Male")</f>
        <v>490</v>
      </c>
    </row>
    <row r="34" spans="1:18" x14ac:dyDescent="0.35">
      <c r="A34" s="4">
        <v>33</v>
      </c>
      <c r="B34" s="5">
        <v>45008</v>
      </c>
      <c r="C34" s="4" t="s">
        <v>46</v>
      </c>
      <c r="D34" s="4" t="s">
        <v>13</v>
      </c>
      <c r="E34" s="4">
        <v>50</v>
      </c>
      <c r="F34" s="4" t="str">
        <f>IF(Table156[[#This Row],[Age]]&lt;=19,"Teenager",IF(Table156[[#This Row],[Age]]&lt;=40,"Median","Old"))</f>
        <v>Old</v>
      </c>
      <c r="G34" s="4" t="s">
        <v>16</v>
      </c>
      <c r="H34" s="4">
        <v>2</v>
      </c>
      <c r="I34" s="4">
        <v>50</v>
      </c>
      <c r="J34" s="4">
        <v>100</v>
      </c>
      <c r="K34" s="4" t="str" cm="1">
        <f t="array" ref="K34">_xlfn.IFS(AND(Table156[[#This Row],[Total Amount]]&gt;=1500),"Critical",AND(Table156[[#This Row],[Total Amount]]&gt;=1000),"High",TRUE,"Normal")</f>
        <v>Normal</v>
      </c>
      <c r="L34" s="4" t="str">
        <f>IF(Table156[[#This Row],[Total Amount]]&gt;=1000,"High",(IF(Table156[[#This Row],[Total Amount]]&gt;=500,"Medium","Low")))</f>
        <v>Low</v>
      </c>
      <c r="M34" s="4" t="str" cm="1">
        <f t="array" ref="M3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4" s="4" cm="1">
        <f t="array" ref="N3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34" s="4">
        <f>Table156[[#This Row],[Total Amount]]-Table156[[#This Row],[Discount Amount]]</f>
        <v>80</v>
      </c>
      <c r="P34" s="4" t="str">
        <f>IF(Table156[[#This Row],[Total Amount]]&gt;=1000,"High","Low")</f>
        <v>Low</v>
      </c>
      <c r="Q34" s="4" t="str" cm="1">
        <f t="array" ref="Q34">_xlfn.IFS(AND(Table156[[#This Row],[Total Amount]]&gt;=1500,"Critical"),AND(Table156[[#This Row],[Total Amount]]&gt;=1000,"High"),TRUE,"Normal")</f>
        <v>Normal</v>
      </c>
      <c r="R34" s="4">
        <f>COUNTIF(Table156[Gender],"Male")</f>
        <v>490</v>
      </c>
    </row>
    <row r="35" spans="1:18" x14ac:dyDescent="0.35">
      <c r="A35" s="4">
        <v>34</v>
      </c>
      <c r="B35" s="5">
        <v>45284</v>
      </c>
      <c r="C35" s="4" t="s">
        <v>47</v>
      </c>
      <c r="D35" s="4" t="s">
        <v>13</v>
      </c>
      <c r="E35" s="4">
        <v>51</v>
      </c>
      <c r="F35" s="4" t="str">
        <f>IF(Table156[[#This Row],[Age]]&lt;=19,"Teenager",IF(Table156[[#This Row],[Age]]&lt;=40,"Median","Old"))</f>
        <v>Old</v>
      </c>
      <c r="G35" s="4" t="s">
        <v>14</v>
      </c>
      <c r="H35" s="4">
        <v>3</v>
      </c>
      <c r="I35" s="4">
        <v>50</v>
      </c>
      <c r="J35" s="4">
        <v>150</v>
      </c>
      <c r="K35" s="4" t="str" cm="1">
        <f t="array" ref="K35">_xlfn.IFS(AND(Table156[[#This Row],[Total Amount]]&gt;=1500),"Critical",AND(Table156[[#This Row],[Total Amount]]&gt;=1000),"High",TRUE,"Normal")</f>
        <v>Normal</v>
      </c>
      <c r="L35" s="4" t="str">
        <f>IF(Table156[[#This Row],[Total Amount]]&gt;=1000,"High",(IF(Table156[[#This Row],[Total Amount]]&gt;=500,"Medium","Low")))</f>
        <v>Low</v>
      </c>
      <c r="M35" s="4" t="str" cm="1">
        <f t="array" ref="M3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5" s="4" cm="1">
        <f t="array" ref="N3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35" s="4">
        <f>Table156[[#This Row],[Total Amount]]-Table156[[#This Row],[Discount Amount]]</f>
        <v>120</v>
      </c>
      <c r="P35" s="4" t="str">
        <f>IF(Table156[[#This Row],[Total Amount]]&gt;=1000,"High","Low")</f>
        <v>Low</v>
      </c>
      <c r="Q35" s="4" t="str" cm="1">
        <f t="array" ref="Q35">_xlfn.IFS(AND(Table156[[#This Row],[Total Amount]]&gt;=1500,"Critical"),AND(Table156[[#This Row],[Total Amount]]&gt;=1000,"High"),TRUE,"Normal")</f>
        <v>Normal</v>
      </c>
      <c r="R35" s="4">
        <f>COUNTIF(Table156[Gender],"Male")</f>
        <v>490</v>
      </c>
    </row>
    <row r="36" spans="1:18" x14ac:dyDescent="0.35">
      <c r="A36" s="4">
        <v>35</v>
      </c>
      <c r="B36" s="5">
        <v>45143</v>
      </c>
      <c r="C36" s="4" t="s">
        <v>48</v>
      </c>
      <c r="D36" s="4" t="s">
        <v>13</v>
      </c>
      <c r="E36" s="4">
        <v>58</v>
      </c>
      <c r="F36" s="4" t="str">
        <f>IF(Table156[[#This Row],[Age]]&lt;=19,"Teenager",IF(Table156[[#This Row],[Age]]&lt;=40,"Median","Old"))</f>
        <v>Old</v>
      </c>
      <c r="G36" s="4" t="s">
        <v>11</v>
      </c>
      <c r="H36" s="4">
        <v>3</v>
      </c>
      <c r="I36" s="4">
        <v>300</v>
      </c>
      <c r="J36" s="4">
        <v>900</v>
      </c>
      <c r="K36" s="4" t="str" cm="1">
        <f t="array" ref="K36">_xlfn.IFS(AND(Table156[[#This Row],[Total Amount]]&gt;=1500),"Critical",AND(Table156[[#This Row],[Total Amount]]&gt;=1000),"High",TRUE,"Normal")</f>
        <v>Normal</v>
      </c>
      <c r="L36" s="4" t="str">
        <f>IF(Table156[[#This Row],[Total Amount]]&gt;=1000,"High",(IF(Table156[[#This Row],[Total Amount]]&gt;=500,"Medium","Low")))</f>
        <v>Medium</v>
      </c>
      <c r="M36" s="4" t="str" cm="1">
        <f t="array" ref="M3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6" s="4" cm="1">
        <f t="array" ref="N3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36" s="4">
        <f>Table156[[#This Row],[Total Amount]]-Table156[[#This Row],[Discount Amount]]</f>
        <v>720</v>
      </c>
      <c r="P36" s="4" t="str">
        <f>IF(Table156[[#This Row],[Total Amount]]&gt;=1000,"High","Low")</f>
        <v>Low</v>
      </c>
      <c r="Q36" s="4" t="str" cm="1">
        <f t="array" ref="Q36">_xlfn.IFS(AND(Table156[[#This Row],[Total Amount]]&gt;=1500,"Critical"),AND(Table156[[#This Row],[Total Amount]]&gt;=1000,"High"),TRUE,"Normal")</f>
        <v>Normal</v>
      </c>
      <c r="R36" s="4">
        <f>COUNTIF(Table156[Gender],"Male")</f>
        <v>490</v>
      </c>
    </row>
    <row r="37" spans="1:18" x14ac:dyDescent="0.35">
      <c r="A37" s="4">
        <v>36</v>
      </c>
      <c r="B37" s="5">
        <v>45101</v>
      </c>
      <c r="C37" s="4" t="s">
        <v>49</v>
      </c>
      <c r="D37" s="4" t="s">
        <v>10</v>
      </c>
      <c r="E37" s="4">
        <v>52</v>
      </c>
      <c r="F37" s="4" t="str">
        <f>IF(Table156[[#This Row],[Age]]&lt;=19,"Teenager",IF(Table156[[#This Row],[Age]]&lt;=40,"Median","Old"))</f>
        <v>Old</v>
      </c>
      <c r="G37" s="4" t="s">
        <v>11</v>
      </c>
      <c r="H37" s="4">
        <v>3</v>
      </c>
      <c r="I37" s="4">
        <v>300</v>
      </c>
      <c r="J37" s="4">
        <v>900</v>
      </c>
      <c r="K37" s="4" t="str" cm="1">
        <f t="array" ref="K37">_xlfn.IFS(AND(Table156[[#This Row],[Total Amount]]&gt;=1500),"Critical",AND(Table156[[#This Row],[Total Amount]]&gt;=1000),"High",TRUE,"Normal")</f>
        <v>Normal</v>
      </c>
      <c r="L37" s="4" t="str">
        <f>IF(Table156[[#This Row],[Total Amount]]&gt;=1000,"High",(IF(Table156[[#This Row],[Total Amount]]&gt;=500,"Medium","Low")))</f>
        <v>Medium</v>
      </c>
      <c r="M37" s="4" t="str" cm="1">
        <f t="array" ref="M3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7" s="4" cm="1">
        <f t="array" ref="N3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37" s="4">
        <f>Table156[[#This Row],[Total Amount]]-Table156[[#This Row],[Discount Amount]]</f>
        <v>810</v>
      </c>
      <c r="P37" s="4" t="str">
        <f>IF(Table156[[#This Row],[Total Amount]]&gt;=1000,"High","Low")</f>
        <v>Low</v>
      </c>
      <c r="Q37" s="4" t="str" cm="1">
        <f t="array" ref="Q37">_xlfn.IFS(AND(Table156[[#This Row],[Total Amount]]&gt;=1500,"Critical"),AND(Table156[[#This Row],[Total Amount]]&gt;=1000,"High"),TRUE,"Normal")</f>
        <v>Normal</v>
      </c>
      <c r="R37" s="4">
        <f>COUNTIF(Table156[Gender],"Male")</f>
        <v>490</v>
      </c>
    </row>
    <row r="38" spans="1:18" x14ac:dyDescent="0.35">
      <c r="A38" s="4">
        <v>37</v>
      </c>
      <c r="B38" s="5">
        <v>45069</v>
      </c>
      <c r="C38" s="4" t="s">
        <v>50</v>
      </c>
      <c r="D38" s="4" t="s">
        <v>13</v>
      </c>
      <c r="E38" s="4">
        <v>18</v>
      </c>
      <c r="F38" s="4" t="str">
        <f>IF(Table156[[#This Row],[Age]]&lt;=19,"Teenager",IF(Table156[[#This Row],[Age]]&lt;=40,"Median","Old"))</f>
        <v>Teenager</v>
      </c>
      <c r="G38" s="4" t="s">
        <v>11</v>
      </c>
      <c r="H38" s="4">
        <v>3</v>
      </c>
      <c r="I38" s="4">
        <v>25</v>
      </c>
      <c r="J38" s="4">
        <v>75</v>
      </c>
      <c r="K38" s="4" t="str" cm="1">
        <f t="array" ref="K38">_xlfn.IFS(AND(Table156[[#This Row],[Total Amount]]&gt;=1500),"Critical",AND(Table156[[#This Row],[Total Amount]]&gt;=1000),"High",TRUE,"Normal")</f>
        <v>Normal</v>
      </c>
      <c r="L38" s="4" t="str">
        <f>IF(Table156[[#This Row],[Total Amount]]&gt;=1000,"High",(IF(Table156[[#This Row],[Total Amount]]&gt;=500,"Medium","Low")))</f>
        <v>Low</v>
      </c>
      <c r="M38" s="4" t="str" cm="1">
        <f t="array" ref="M3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8" s="4" cm="1">
        <f t="array" ref="N3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8" s="4">
        <f>Table156[[#This Row],[Total Amount]]-Table156[[#This Row],[Discount Amount]]</f>
        <v>75</v>
      </c>
      <c r="P38" s="4" t="str">
        <f>IF(Table156[[#This Row],[Total Amount]]&gt;=1000,"High","Low")</f>
        <v>Low</v>
      </c>
      <c r="Q38" s="4" t="str" cm="1">
        <f t="array" ref="Q38">_xlfn.IFS(AND(Table156[[#This Row],[Total Amount]]&gt;=1500,"Critical"),AND(Table156[[#This Row],[Total Amount]]&gt;=1000,"High"),TRUE,"Normal")</f>
        <v>Normal</v>
      </c>
      <c r="R38" s="4">
        <f>COUNTIF(Table156[Gender],"Male")</f>
        <v>490</v>
      </c>
    </row>
    <row r="39" spans="1:18" x14ac:dyDescent="0.35">
      <c r="A39" s="4">
        <v>38</v>
      </c>
      <c r="B39" s="5">
        <v>45006</v>
      </c>
      <c r="C39" s="4" t="s">
        <v>51</v>
      </c>
      <c r="D39" s="4" t="s">
        <v>10</v>
      </c>
      <c r="E39" s="4">
        <v>38</v>
      </c>
      <c r="F39" s="4" t="str">
        <f>IF(Table156[[#This Row],[Age]]&lt;=19,"Teenager",IF(Table156[[#This Row],[Age]]&lt;=40,"Median","Old"))</f>
        <v>Median</v>
      </c>
      <c r="G39" s="4" t="s">
        <v>11</v>
      </c>
      <c r="H39" s="4">
        <v>4</v>
      </c>
      <c r="I39" s="4">
        <v>50</v>
      </c>
      <c r="J39" s="4">
        <v>200</v>
      </c>
      <c r="K39" s="4" t="str" cm="1">
        <f t="array" ref="K39">_xlfn.IFS(AND(Table156[[#This Row],[Total Amount]]&gt;=1500),"Critical",AND(Table156[[#This Row],[Total Amount]]&gt;=1000),"High",TRUE,"Normal")</f>
        <v>Normal</v>
      </c>
      <c r="L39" s="4" t="str">
        <f>IF(Table156[[#This Row],[Total Amount]]&gt;=1000,"High",(IF(Table156[[#This Row],[Total Amount]]&gt;=500,"Medium","Low")))</f>
        <v>Low</v>
      </c>
      <c r="M39" s="4" t="str" cm="1">
        <f t="array" ref="M3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9" s="4" cm="1">
        <f t="array" ref="N3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39" s="4">
        <f>Table156[[#This Row],[Total Amount]]-Table156[[#This Row],[Discount Amount]]</f>
        <v>180</v>
      </c>
      <c r="P39" s="4" t="str">
        <f>IF(Table156[[#This Row],[Total Amount]]&gt;=1000,"High","Low")</f>
        <v>Low</v>
      </c>
      <c r="Q39" s="4" t="str" cm="1">
        <f t="array" ref="Q39">_xlfn.IFS(AND(Table156[[#This Row],[Total Amount]]&gt;=1500,"Critical"),AND(Table156[[#This Row],[Total Amount]]&gt;=1000,"High"),TRUE,"Normal")</f>
        <v>Normal</v>
      </c>
      <c r="R39" s="4">
        <f>COUNTIF(Table156[Gender],"Male")</f>
        <v>490</v>
      </c>
    </row>
    <row r="40" spans="1:18" x14ac:dyDescent="0.35">
      <c r="A40" s="4">
        <v>39</v>
      </c>
      <c r="B40" s="5">
        <v>45037</v>
      </c>
      <c r="C40" s="4" t="s">
        <v>52</v>
      </c>
      <c r="D40" s="4" t="s">
        <v>10</v>
      </c>
      <c r="E40" s="4">
        <v>23</v>
      </c>
      <c r="F40" s="4" t="str">
        <f>IF(Table156[[#This Row],[Age]]&lt;=19,"Teenager",IF(Table156[[#This Row],[Age]]&lt;=40,"Median","Old"))</f>
        <v>Median</v>
      </c>
      <c r="G40" s="4" t="s">
        <v>14</v>
      </c>
      <c r="H40" s="4">
        <v>4</v>
      </c>
      <c r="I40" s="4">
        <v>30</v>
      </c>
      <c r="J40" s="4">
        <v>120</v>
      </c>
      <c r="K40" s="4" t="str" cm="1">
        <f t="array" ref="K40">_xlfn.IFS(AND(Table156[[#This Row],[Total Amount]]&gt;=1500),"Critical",AND(Table156[[#This Row],[Total Amount]]&gt;=1000),"High",TRUE,"Normal")</f>
        <v>Normal</v>
      </c>
      <c r="L40" s="4" t="str">
        <f>IF(Table156[[#This Row],[Total Amount]]&gt;=1000,"High",(IF(Table156[[#This Row],[Total Amount]]&gt;=500,"Medium","Low")))</f>
        <v>Low</v>
      </c>
      <c r="M40" s="4" t="str" cm="1">
        <f t="array" ref="M4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0" s="4" cm="1">
        <f t="array" ref="N4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0" s="4">
        <f>Table156[[#This Row],[Total Amount]]-Table156[[#This Row],[Discount Amount]]</f>
        <v>120</v>
      </c>
      <c r="P40" s="4" t="str">
        <f>IF(Table156[[#This Row],[Total Amount]]&gt;=1000,"High","Low")</f>
        <v>Low</v>
      </c>
      <c r="Q40" s="4" t="str" cm="1">
        <f t="array" ref="Q40">_xlfn.IFS(AND(Table156[[#This Row],[Total Amount]]&gt;=1500,"Critical"),AND(Table156[[#This Row],[Total Amount]]&gt;=1000,"High"),TRUE,"Normal")</f>
        <v>Normal</v>
      </c>
      <c r="R40" s="4">
        <f>COUNTIF(Table156[Gender],"Male")</f>
        <v>490</v>
      </c>
    </row>
    <row r="41" spans="1:18" x14ac:dyDescent="0.35">
      <c r="A41" s="4">
        <v>40</v>
      </c>
      <c r="B41" s="5">
        <v>45099</v>
      </c>
      <c r="C41" s="4" t="s">
        <v>53</v>
      </c>
      <c r="D41" s="4" t="s">
        <v>10</v>
      </c>
      <c r="E41" s="4">
        <v>45</v>
      </c>
      <c r="F41" s="4" t="str">
        <f>IF(Table156[[#This Row],[Age]]&lt;=19,"Teenager",IF(Table156[[#This Row],[Age]]&lt;=40,"Median","Old"))</f>
        <v>Old</v>
      </c>
      <c r="G41" s="4" t="s">
        <v>11</v>
      </c>
      <c r="H41" s="4">
        <v>1</v>
      </c>
      <c r="I41" s="4">
        <v>50</v>
      </c>
      <c r="J41" s="4">
        <v>50</v>
      </c>
      <c r="K41" s="4" t="str" cm="1">
        <f t="array" ref="K41">_xlfn.IFS(AND(Table156[[#This Row],[Total Amount]]&gt;=1500),"Critical",AND(Table156[[#This Row],[Total Amount]]&gt;=1000),"High",TRUE,"Normal")</f>
        <v>Normal</v>
      </c>
      <c r="L41" s="4" t="str">
        <f>IF(Table156[[#This Row],[Total Amount]]&gt;=1000,"High",(IF(Table156[[#This Row],[Total Amount]]&gt;=500,"Medium","Low")))</f>
        <v>Low</v>
      </c>
      <c r="M41" s="4" t="str" cm="1">
        <f t="array" ref="M4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1" s="4" cm="1">
        <f t="array" ref="N4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41" s="4">
        <f>Table156[[#This Row],[Total Amount]]-Table156[[#This Row],[Discount Amount]]</f>
        <v>45</v>
      </c>
      <c r="P41" s="4" t="str">
        <f>IF(Table156[[#This Row],[Total Amount]]&gt;=1000,"High","Low")</f>
        <v>Low</v>
      </c>
      <c r="Q41" s="4" t="str" cm="1">
        <f t="array" ref="Q41">_xlfn.IFS(AND(Table156[[#This Row],[Total Amount]]&gt;=1500,"Critical"),AND(Table156[[#This Row],[Total Amount]]&gt;=1000,"High"),TRUE,"Normal")</f>
        <v>Normal</v>
      </c>
      <c r="R41" s="4">
        <f>COUNTIF(Table156[Gender],"Male")</f>
        <v>490</v>
      </c>
    </row>
    <row r="42" spans="1:18" x14ac:dyDescent="0.35">
      <c r="A42" s="4">
        <v>41</v>
      </c>
      <c r="B42" s="5">
        <v>44979</v>
      </c>
      <c r="C42" s="4" t="s">
        <v>54</v>
      </c>
      <c r="D42" s="4" t="s">
        <v>10</v>
      </c>
      <c r="E42" s="4">
        <v>34</v>
      </c>
      <c r="F42" s="4" t="str">
        <f>IF(Table156[[#This Row],[Age]]&lt;=19,"Teenager",IF(Table156[[#This Row],[Age]]&lt;=40,"Median","Old"))</f>
        <v>Median</v>
      </c>
      <c r="G42" s="4" t="s">
        <v>14</v>
      </c>
      <c r="H42" s="4">
        <v>2</v>
      </c>
      <c r="I42" s="4">
        <v>25</v>
      </c>
      <c r="J42" s="4">
        <v>50</v>
      </c>
      <c r="K42" s="4" t="str" cm="1">
        <f t="array" ref="K42">_xlfn.IFS(AND(Table156[[#This Row],[Total Amount]]&gt;=1500),"Critical",AND(Table156[[#This Row],[Total Amount]]&gt;=1000),"High",TRUE,"Normal")</f>
        <v>Normal</v>
      </c>
      <c r="L42" s="4" t="str">
        <f>IF(Table156[[#This Row],[Total Amount]]&gt;=1000,"High",(IF(Table156[[#This Row],[Total Amount]]&gt;=500,"Medium","Low")))</f>
        <v>Low</v>
      </c>
      <c r="M42" s="4" t="str" cm="1">
        <f t="array" ref="M4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2" s="4" cm="1">
        <f t="array" ref="N4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42" s="4">
        <f>Table156[[#This Row],[Total Amount]]-Table156[[#This Row],[Discount Amount]]</f>
        <v>42.5</v>
      </c>
      <c r="P42" s="4" t="str">
        <f>IF(Table156[[#This Row],[Total Amount]]&gt;=1000,"High","Low")</f>
        <v>Low</v>
      </c>
      <c r="Q42" s="4" t="str" cm="1">
        <f t="array" ref="Q42">_xlfn.IFS(AND(Table156[[#This Row],[Total Amount]]&gt;=1500,"Critical"),AND(Table156[[#This Row],[Total Amount]]&gt;=1000,"High"),TRUE,"Normal")</f>
        <v>Normal</v>
      </c>
      <c r="R42" s="4">
        <f>COUNTIF(Table156[Gender],"Male")</f>
        <v>490</v>
      </c>
    </row>
    <row r="43" spans="1:18" x14ac:dyDescent="0.35">
      <c r="A43" s="4">
        <v>42</v>
      </c>
      <c r="B43" s="5">
        <v>44974</v>
      </c>
      <c r="C43" s="4" t="s">
        <v>55</v>
      </c>
      <c r="D43" s="4" t="s">
        <v>10</v>
      </c>
      <c r="E43" s="4">
        <v>22</v>
      </c>
      <c r="F43" s="4" t="str">
        <f>IF(Table156[[#This Row],[Age]]&lt;=19,"Teenager",IF(Table156[[#This Row],[Age]]&lt;=40,"Median","Old"))</f>
        <v>Median</v>
      </c>
      <c r="G43" s="4" t="s">
        <v>14</v>
      </c>
      <c r="H43" s="4">
        <v>3</v>
      </c>
      <c r="I43" s="4">
        <v>300</v>
      </c>
      <c r="J43" s="4">
        <v>900</v>
      </c>
      <c r="K43" s="4" t="str" cm="1">
        <f t="array" ref="K43">_xlfn.IFS(AND(Table156[[#This Row],[Total Amount]]&gt;=1500),"Critical",AND(Table156[[#This Row],[Total Amount]]&gt;=1000),"High",TRUE,"Normal")</f>
        <v>Normal</v>
      </c>
      <c r="L43" s="4" t="str">
        <f>IF(Table156[[#This Row],[Total Amount]]&gt;=1000,"High",(IF(Table156[[#This Row],[Total Amount]]&gt;=500,"Medium","Low")))</f>
        <v>Medium</v>
      </c>
      <c r="M43" s="4" t="str" cm="1">
        <f t="array" ref="M4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3" s="4" cm="1">
        <f t="array" ref="N4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3" s="4">
        <f>Table156[[#This Row],[Total Amount]]-Table156[[#This Row],[Discount Amount]]</f>
        <v>900</v>
      </c>
      <c r="P43" s="4" t="str">
        <f>IF(Table156[[#This Row],[Total Amount]]&gt;=1000,"High","Low")</f>
        <v>Low</v>
      </c>
      <c r="Q43" s="4" t="str" cm="1">
        <f t="array" ref="Q43">_xlfn.IFS(AND(Table156[[#This Row],[Total Amount]]&gt;=1500,"Critical"),AND(Table156[[#This Row],[Total Amount]]&gt;=1000,"High"),TRUE,"Normal")</f>
        <v>Normal</v>
      </c>
      <c r="R43" s="4">
        <f>COUNTIF(Table156[Gender],"Male")</f>
        <v>490</v>
      </c>
    </row>
    <row r="44" spans="1:18" x14ac:dyDescent="0.35">
      <c r="A44" s="4">
        <v>43</v>
      </c>
      <c r="B44" s="5">
        <v>45121</v>
      </c>
      <c r="C44" s="4" t="s">
        <v>56</v>
      </c>
      <c r="D44" s="4" t="s">
        <v>13</v>
      </c>
      <c r="E44" s="4">
        <v>48</v>
      </c>
      <c r="F44" s="4" t="str">
        <f>IF(Table156[[#This Row],[Age]]&lt;=19,"Teenager",IF(Table156[[#This Row],[Age]]&lt;=40,"Median","Old"))</f>
        <v>Old</v>
      </c>
      <c r="G44" s="4" t="s">
        <v>14</v>
      </c>
      <c r="H44" s="4">
        <v>1</v>
      </c>
      <c r="I44" s="4">
        <v>300</v>
      </c>
      <c r="J44" s="4">
        <v>300</v>
      </c>
      <c r="K44" s="4" t="str" cm="1">
        <f t="array" ref="K44">_xlfn.IFS(AND(Table156[[#This Row],[Total Amount]]&gt;=1500),"Critical",AND(Table156[[#This Row],[Total Amount]]&gt;=1000),"High",TRUE,"Normal")</f>
        <v>Normal</v>
      </c>
      <c r="L44" s="4" t="str">
        <f>IF(Table156[[#This Row],[Total Amount]]&gt;=1000,"High",(IF(Table156[[#This Row],[Total Amount]]&gt;=500,"Medium","Low")))</f>
        <v>Low</v>
      </c>
      <c r="M44" s="4" t="str" cm="1">
        <f t="array" ref="M4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4" s="4" cm="1">
        <f t="array" ref="N4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44" s="4">
        <f>Table156[[#This Row],[Total Amount]]-Table156[[#This Row],[Discount Amount]]</f>
        <v>240</v>
      </c>
      <c r="P44" s="4" t="str">
        <f>IF(Table156[[#This Row],[Total Amount]]&gt;=1000,"High","Low")</f>
        <v>Low</v>
      </c>
      <c r="Q44" s="4" t="str" cm="1">
        <f t="array" ref="Q44">_xlfn.IFS(AND(Table156[[#This Row],[Total Amount]]&gt;=1500,"Critical"),AND(Table156[[#This Row],[Total Amount]]&gt;=1000,"High"),TRUE,"Normal")</f>
        <v>Normal</v>
      </c>
      <c r="R44" s="4">
        <f>COUNTIF(Table156[Gender],"Male")</f>
        <v>490</v>
      </c>
    </row>
    <row r="45" spans="1:18" x14ac:dyDescent="0.35">
      <c r="A45" s="4">
        <v>44</v>
      </c>
      <c r="B45" s="5">
        <v>44976</v>
      </c>
      <c r="C45" s="4" t="s">
        <v>57</v>
      </c>
      <c r="D45" s="4" t="s">
        <v>13</v>
      </c>
      <c r="E45" s="4">
        <v>22</v>
      </c>
      <c r="F45" s="4" t="str">
        <f>IF(Table156[[#This Row],[Age]]&lt;=19,"Teenager",IF(Table156[[#This Row],[Age]]&lt;=40,"Median","Old"))</f>
        <v>Median</v>
      </c>
      <c r="G45" s="4" t="s">
        <v>14</v>
      </c>
      <c r="H45" s="4">
        <v>1</v>
      </c>
      <c r="I45" s="4">
        <v>25</v>
      </c>
      <c r="J45" s="4">
        <v>25</v>
      </c>
      <c r="K45" s="4" t="str" cm="1">
        <f t="array" ref="K45">_xlfn.IFS(AND(Table156[[#This Row],[Total Amount]]&gt;=1500),"Critical",AND(Table156[[#This Row],[Total Amount]]&gt;=1000),"High",TRUE,"Normal")</f>
        <v>Normal</v>
      </c>
      <c r="L45" s="4" t="str">
        <f>IF(Table156[[#This Row],[Total Amount]]&gt;=1000,"High",(IF(Table156[[#This Row],[Total Amount]]&gt;=500,"Medium","Low")))</f>
        <v>Low</v>
      </c>
      <c r="M45" s="4" t="str" cm="1">
        <f t="array" ref="M4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5" s="4" cm="1">
        <f t="array" ref="N4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5" s="4">
        <f>Table156[[#This Row],[Total Amount]]-Table156[[#This Row],[Discount Amount]]</f>
        <v>25</v>
      </c>
      <c r="P45" s="4" t="str">
        <f>IF(Table156[[#This Row],[Total Amount]]&gt;=1000,"High","Low")</f>
        <v>Low</v>
      </c>
      <c r="Q45" s="4" t="str" cm="1">
        <f t="array" ref="Q45">_xlfn.IFS(AND(Table156[[#This Row],[Total Amount]]&gt;=1500,"Critical"),AND(Table156[[#This Row],[Total Amount]]&gt;=1000,"High"),TRUE,"Normal")</f>
        <v>Normal</v>
      </c>
      <c r="R45" s="4">
        <f>COUNTIF(Table156[Gender],"Male")</f>
        <v>490</v>
      </c>
    </row>
    <row r="46" spans="1:18" x14ac:dyDescent="0.35">
      <c r="A46" s="4">
        <v>45</v>
      </c>
      <c r="B46" s="5">
        <v>45110</v>
      </c>
      <c r="C46" s="4" t="s">
        <v>58</v>
      </c>
      <c r="D46" s="4" t="s">
        <v>13</v>
      </c>
      <c r="E46" s="4">
        <v>55</v>
      </c>
      <c r="F46" s="4" t="str">
        <f>IF(Table156[[#This Row],[Age]]&lt;=19,"Teenager",IF(Table156[[#This Row],[Age]]&lt;=40,"Median","Old"))</f>
        <v>Old</v>
      </c>
      <c r="G46" s="4" t="s">
        <v>16</v>
      </c>
      <c r="H46" s="4">
        <v>1</v>
      </c>
      <c r="I46" s="4">
        <v>30</v>
      </c>
      <c r="J46" s="4">
        <v>30</v>
      </c>
      <c r="K46" s="4" t="str" cm="1">
        <f t="array" ref="K46">_xlfn.IFS(AND(Table156[[#This Row],[Total Amount]]&gt;=1500),"Critical",AND(Table156[[#This Row],[Total Amount]]&gt;=1000),"High",TRUE,"Normal")</f>
        <v>Normal</v>
      </c>
      <c r="L46" s="4" t="str">
        <f>IF(Table156[[#This Row],[Total Amount]]&gt;=1000,"High",(IF(Table156[[#This Row],[Total Amount]]&gt;=500,"Medium","Low")))</f>
        <v>Low</v>
      </c>
      <c r="M46" s="4" t="str" cm="1">
        <f t="array" ref="M4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6" s="4" cm="1">
        <f t="array" ref="N4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46" s="4">
        <f>Table156[[#This Row],[Total Amount]]-Table156[[#This Row],[Discount Amount]]</f>
        <v>24</v>
      </c>
      <c r="P46" s="4" t="str">
        <f>IF(Table156[[#This Row],[Total Amount]]&gt;=1000,"High","Low")</f>
        <v>Low</v>
      </c>
      <c r="Q46" s="4" t="str" cm="1">
        <f t="array" ref="Q46">_xlfn.IFS(AND(Table156[[#This Row],[Total Amount]]&gt;=1500,"Critical"),AND(Table156[[#This Row],[Total Amount]]&gt;=1000,"High"),TRUE,"Normal")</f>
        <v>Normal</v>
      </c>
      <c r="R46" s="4">
        <f>COUNTIF(Table156[Gender],"Male")</f>
        <v>490</v>
      </c>
    </row>
    <row r="47" spans="1:18" x14ac:dyDescent="0.35">
      <c r="A47" s="4">
        <v>46</v>
      </c>
      <c r="B47" s="5">
        <v>45103</v>
      </c>
      <c r="C47" s="4" t="s">
        <v>59</v>
      </c>
      <c r="D47" s="4" t="s">
        <v>13</v>
      </c>
      <c r="E47" s="4">
        <v>20</v>
      </c>
      <c r="F47" s="4" t="str">
        <f>IF(Table156[[#This Row],[Age]]&lt;=19,"Teenager",IF(Table156[[#This Row],[Age]]&lt;=40,"Median","Old"))</f>
        <v>Median</v>
      </c>
      <c r="G47" s="4" t="s">
        <v>16</v>
      </c>
      <c r="H47" s="4">
        <v>4</v>
      </c>
      <c r="I47" s="4">
        <v>300</v>
      </c>
      <c r="J47" s="4">
        <v>1200</v>
      </c>
      <c r="K47" s="4" t="str" cm="1">
        <f t="array" ref="K47">_xlfn.IFS(AND(Table156[[#This Row],[Total Amount]]&gt;=1500),"Critical",AND(Table156[[#This Row],[Total Amount]]&gt;=1000),"High",TRUE,"Normal")</f>
        <v>High</v>
      </c>
      <c r="L47" s="4" t="str">
        <f>IF(Table156[[#This Row],[Total Amount]]&gt;=1000,"High",(IF(Table156[[#This Row],[Total Amount]]&gt;=500,"Medium","Low")))</f>
        <v>High</v>
      </c>
      <c r="M47" s="4" t="str" cm="1">
        <f t="array" ref="M4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7" s="4" cm="1">
        <f t="array" ref="N4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7" s="4">
        <f>Table156[[#This Row],[Total Amount]]-Table156[[#This Row],[Discount Amount]]</f>
        <v>1200</v>
      </c>
      <c r="P47" s="4" t="str">
        <f>IF(Table156[[#This Row],[Total Amount]]&gt;=1000,"High","Low")</f>
        <v>High</v>
      </c>
      <c r="Q47" s="4" t="str" cm="1">
        <f t="array" ref="Q47">_xlfn.IFS(AND(Table156[[#This Row],[Total Amount]]&gt;=1500,"Critical"),AND(Table156[[#This Row],[Total Amount]]&gt;=1000,"High"),TRUE,"Normal")</f>
        <v>Normal</v>
      </c>
      <c r="R47" s="4">
        <f>COUNTIF(Table156[Gender],"Male")</f>
        <v>490</v>
      </c>
    </row>
    <row r="48" spans="1:18" x14ac:dyDescent="0.35">
      <c r="A48" s="4">
        <v>47</v>
      </c>
      <c r="B48" s="5">
        <v>45236</v>
      </c>
      <c r="C48" s="4" t="s">
        <v>60</v>
      </c>
      <c r="D48" s="4" t="s">
        <v>13</v>
      </c>
      <c r="E48" s="4">
        <v>40</v>
      </c>
      <c r="F48" s="4" t="str">
        <f>IF(Table156[[#This Row],[Age]]&lt;=19,"Teenager",IF(Table156[[#This Row],[Age]]&lt;=40,"Median","Old"))</f>
        <v>Median</v>
      </c>
      <c r="G48" s="4" t="s">
        <v>11</v>
      </c>
      <c r="H48" s="4">
        <v>3</v>
      </c>
      <c r="I48" s="4">
        <v>500</v>
      </c>
      <c r="J48" s="4">
        <v>1500</v>
      </c>
      <c r="K48" s="4" t="str" cm="1">
        <f t="array" ref="K48">_xlfn.IFS(AND(Table156[[#This Row],[Total Amount]]&gt;=1500),"Critical",AND(Table156[[#This Row],[Total Amount]]&gt;=1000),"High",TRUE,"Normal")</f>
        <v>Critical</v>
      </c>
      <c r="L48" s="4" t="str">
        <f>IF(Table156[[#This Row],[Total Amount]]&gt;=1000,"High",(IF(Table156[[#This Row],[Total Amount]]&gt;=500,"Medium","Low")))</f>
        <v>High</v>
      </c>
      <c r="M48" s="4" t="str" cm="1">
        <f t="array" ref="M4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8" s="4" cm="1">
        <f t="array" ref="N4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48" s="4">
        <f>Table156[[#This Row],[Total Amount]]-Table156[[#This Row],[Discount Amount]]</f>
        <v>1200</v>
      </c>
      <c r="P48" s="4" t="str">
        <f>IF(Table156[[#This Row],[Total Amount]]&gt;=1000,"High","Low")</f>
        <v>High</v>
      </c>
      <c r="Q48" s="4" t="b" cm="1">
        <f t="array" ref="Q48">_xlfn.IFS(AND(Table156[[#This Row],[Total Amount]]&gt;=1500,"Critical"),AND(Table156[[#This Row],[Total Amount]]&gt;=1000,"High"),TRUE,"Normal")</f>
        <v>1</v>
      </c>
      <c r="R48" s="4">
        <f>COUNTIF(Table156[Gender],"Male")</f>
        <v>490</v>
      </c>
    </row>
    <row r="49" spans="1:18" x14ac:dyDescent="0.35">
      <c r="A49" s="4">
        <v>48</v>
      </c>
      <c r="B49" s="5">
        <v>45062</v>
      </c>
      <c r="C49" s="4" t="s">
        <v>61</v>
      </c>
      <c r="D49" s="4" t="s">
        <v>10</v>
      </c>
      <c r="E49" s="4">
        <v>54</v>
      </c>
      <c r="F49" s="4" t="str">
        <f>IF(Table156[[#This Row],[Age]]&lt;=19,"Teenager",IF(Table156[[#This Row],[Age]]&lt;=40,"Median","Old"))</f>
        <v>Old</v>
      </c>
      <c r="G49" s="4" t="s">
        <v>16</v>
      </c>
      <c r="H49" s="4">
        <v>3</v>
      </c>
      <c r="I49" s="4">
        <v>300</v>
      </c>
      <c r="J49" s="4">
        <v>900</v>
      </c>
      <c r="K49" s="4" t="str" cm="1">
        <f t="array" ref="K49">_xlfn.IFS(AND(Table156[[#This Row],[Total Amount]]&gt;=1500),"Critical",AND(Table156[[#This Row],[Total Amount]]&gt;=1000),"High",TRUE,"Normal")</f>
        <v>Normal</v>
      </c>
      <c r="L49" s="4" t="str">
        <f>IF(Table156[[#This Row],[Total Amount]]&gt;=1000,"High",(IF(Table156[[#This Row],[Total Amount]]&gt;=500,"Medium","Low")))</f>
        <v>Medium</v>
      </c>
      <c r="M49" s="4" t="str" cm="1">
        <f t="array" ref="M4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9" s="4" cm="1">
        <f t="array" ref="N4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49" s="4">
        <f>Table156[[#This Row],[Total Amount]]-Table156[[#This Row],[Discount Amount]]</f>
        <v>810</v>
      </c>
      <c r="P49" s="4" t="str">
        <f>IF(Table156[[#This Row],[Total Amount]]&gt;=1000,"High","Low")</f>
        <v>Low</v>
      </c>
      <c r="Q49" s="4" t="str" cm="1">
        <f t="array" ref="Q49">_xlfn.IFS(AND(Table156[[#This Row],[Total Amount]]&gt;=1500,"Critical"),AND(Table156[[#This Row],[Total Amount]]&gt;=1000,"High"),TRUE,"Normal")</f>
        <v>Normal</v>
      </c>
      <c r="R49" s="4">
        <f>COUNTIF(Table156[Gender],"Male")</f>
        <v>490</v>
      </c>
    </row>
    <row r="50" spans="1:18" x14ac:dyDescent="0.35">
      <c r="A50" s="4">
        <v>49</v>
      </c>
      <c r="B50" s="5">
        <v>44949</v>
      </c>
      <c r="C50" s="4" t="s">
        <v>62</v>
      </c>
      <c r="D50" s="4" t="s">
        <v>13</v>
      </c>
      <c r="E50" s="4">
        <v>54</v>
      </c>
      <c r="F50" s="4" t="str">
        <f>IF(Table156[[#This Row],[Age]]&lt;=19,"Teenager",IF(Table156[[#This Row],[Age]]&lt;=40,"Median","Old"))</f>
        <v>Old</v>
      </c>
      <c r="G50" s="4" t="s">
        <v>16</v>
      </c>
      <c r="H50" s="4">
        <v>2</v>
      </c>
      <c r="I50" s="4">
        <v>500</v>
      </c>
      <c r="J50" s="4">
        <v>1000</v>
      </c>
      <c r="K50" s="4" t="str" cm="1">
        <f t="array" ref="K50">_xlfn.IFS(AND(Table156[[#This Row],[Total Amount]]&gt;=1500),"Critical",AND(Table156[[#This Row],[Total Amount]]&gt;=1000),"High",TRUE,"Normal")</f>
        <v>High</v>
      </c>
      <c r="L50" s="4" t="str">
        <f>IF(Table156[[#This Row],[Total Amount]]&gt;=1000,"High",(IF(Table156[[#This Row],[Total Amount]]&gt;=500,"Medium","Low")))</f>
        <v>High</v>
      </c>
      <c r="M50" s="4" t="str" cm="1">
        <f t="array" ref="M5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0" s="4" cm="1">
        <f t="array" ref="N5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50" s="4">
        <f>Table156[[#This Row],[Total Amount]]-Table156[[#This Row],[Discount Amount]]</f>
        <v>800</v>
      </c>
      <c r="P50" s="4" t="str">
        <f>IF(Table156[[#This Row],[Total Amount]]&gt;=1000,"High","Low")</f>
        <v>High</v>
      </c>
      <c r="Q50" s="4" t="str" cm="1">
        <f t="array" ref="Q50">_xlfn.IFS(AND(Table156[[#This Row],[Total Amount]]&gt;=1500,"Critical"),AND(Table156[[#This Row],[Total Amount]]&gt;=1000,"High"),TRUE,"Normal")</f>
        <v>Normal</v>
      </c>
      <c r="R50" s="4">
        <f>COUNTIF(Table156[Gender],"Male")</f>
        <v>490</v>
      </c>
    </row>
    <row r="51" spans="1:18" x14ac:dyDescent="0.35">
      <c r="A51" s="4">
        <v>50</v>
      </c>
      <c r="B51" s="5">
        <v>45162</v>
      </c>
      <c r="C51" s="4" t="s">
        <v>63</v>
      </c>
      <c r="D51" s="4" t="s">
        <v>13</v>
      </c>
      <c r="E51" s="4">
        <v>27</v>
      </c>
      <c r="F51" s="4" t="str">
        <f>IF(Table156[[#This Row],[Age]]&lt;=19,"Teenager",IF(Table156[[#This Row],[Age]]&lt;=40,"Median","Old"))</f>
        <v>Median</v>
      </c>
      <c r="G51" s="4" t="s">
        <v>11</v>
      </c>
      <c r="H51" s="4">
        <v>3</v>
      </c>
      <c r="I51" s="4">
        <v>25</v>
      </c>
      <c r="J51" s="4">
        <v>75</v>
      </c>
      <c r="K51" s="4" t="str" cm="1">
        <f t="array" ref="K51">_xlfn.IFS(AND(Table156[[#This Row],[Total Amount]]&gt;=1500),"Critical",AND(Table156[[#This Row],[Total Amount]]&gt;=1000),"High",TRUE,"Normal")</f>
        <v>Normal</v>
      </c>
      <c r="L51" s="4" t="str">
        <f>IF(Table156[[#This Row],[Total Amount]]&gt;=1000,"High",(IF(Table156[[#This Row],[Total Amount]]&gt;=500,"Medium","Low")))</f>
        <v>Low</v>
      </c>
      <c r="M51" s="4" t="str" cm="1">
        <f t="array" ref="M5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1" s="4" cm="1">
        <f t="array" ref="N5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11.25</v>
      </c>
      <c r="O51" s="4">
        <f>Table156[[#This Row],[Total Amount]]-Table156[[#This Row],[Discount Amount]]</f>
        <v>63.75</v>
      </c>
      <c r="P51" s="4" t="str">
        <f>IF(Table156[[#This Row],[Total Amount]]&gt;=1000,"High","Low")</f>
        <v>Low</v>
      </c>
      <c r="Q51" s="4" t="str" cm="1">
        <f t="array" ref="Q51">_xlfn.IFS(AND(Table156[[#This Row],[Total Amount]]&gt;=1500,"Critical"),AND(Table156[[#This Row],[Total Amount]]&gt;=1000,"High"),TRUE,"Normal")</f>
        <v>Normal</v>
      </c>
      <c r="R51" s="4">
        <f>COUNTIF(Table156[Gender],"Male")</f>
        <v>490</v>
      </c>
    </row>
    <row r="52" spans="1:18" x14ac:dyDescent="0.35">
      <c r="A52" s="4">
        <v>51</v>
      </c>
      <c r="B52" s="5">
        <v>45201</v>
      </c>
      <c r="C52" s="4" t="s">
        <v>64</v>
      </c>
      <c r="D52" s="4" t="s">
        <v>10</v>
      </c>
      <c r="E52" s="4">
        <v>27</v>
      </c>
      <c r="F52" s="4" t="str">
        <f>IF(Table156[[#This Row],[Age]]&lt;=19,"Teenager",IF(Table156[[#This Row],[Age]]&lt;=40,"Median","Old"))</f>
        <v>Median</v>
      </c>
      <c r="G52" s="4" t="s">
        <v>11</v>
      </c>
      <c r="H52" s="4">
        <v>3</v>
      </c>
      <c r="I52" s="4">
        <v>25</v>
      </c>
      <c r="J52" s="4">
        <v>75</v>
      </c>
      <c r="K52" s="4" t="str" cm="1">
        <f t="array" ref="K52">_xlfn.IFS(AND(Table156[[#This Row],[Total Amount]]&gt;=1500),"Critical",AND(Table156[[#This Row],[Total Amount]]&gt;=1000),"High",TRUE,"Normal")</f>
        <v>Normal</v>
      </c>
      <c r="L52" s="4" t="str">
        <f>IF(Table156[[#This Row],[Total Amount]]&gt;=1000,"High",(IF(Table156[[#This Row],[Total Amount]]&gt;=500,"Medium","Low")))</f>
        <v>Low</v>
      </c>
      <c r="M52" s="4" t="str" cm="1">
        <f t="array" ref="M5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2" s="4" cm="1">
        <f t="array" ref="N5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11.25</v>
      </c>
      <c r="O52" s="4">
        <f>Table156[[#This Row],[Total Amount]]-Table156[[#This Row],[Discount Amount]]</f>
        <v>63.75</v>
      </c>
      <c r="P52" s="4" t="str">
        <f>IF(Table156[[#This Row],[Total Amount]]&gt;=1000,"High","Low")</f>
        <v>Low</v>
      </c>
      <c r="Q52" s="4" t="str" cm="1">
        <f t="array" ref="Q52">_xlfn.IFS(AND(Table156[[#This Row],[Total Amount]]&gt;=1500,"Critical"),AND(Table156[[#This Row],[Total Amount]]&gt;=1000,"High"),TRUE,"Normal")</f>
        <v>Normal</v>
      </c>
      <c r="R52" s="4">
        <f>COUNTIF(Table156[Gender],"Male")</f>
        <v>490</v>
      </c>
    </row>
    <row r="53" spans="1:18" x14ac:dyDescent="0.35">
      <c r="A53" s="4">
        <v>52</v>
      </c>
      <c r="B53" s="5">
        <v>44990</v>
      </c>
      <c r="C53" s="4" t="s">
        <v>65</v>
      </c>
      <c r="D53" s="4" t="s">
        <v>13</v>
      </c>
      <c r="E53" s="4">
        <v>36</v>
      </c>
      <c r="F53" s="4" t="str">
        <f>IF(Table156[[#This Row],[Age]]&lt;=19,"Teenager",IF(Table156[[#This Row],[Age]]&lt;=40,"Median","Old"))</f>
        <v>Median</v>
      </c>
      <c r="G53" s="4" t="s">
        <v>11</v>
      </c>
      <c r="H53" s="4">
        <v>1</v>
      </c>
      <c r="I53" s="4">
        <v>300</v>
      </c>
      <c r="J53" s="4">
        <v>300</v>
      </c>
      <c r="K53" s="4" t="str" cm="1">
        <f t="array" ref="K53">_xlfn.IFS(AND(Table156[[#This Row],[Total Amount]]&gt;=1500),"Critical",AND(Table156[[#This Row],[Total Amount]]&gt;=1000),"High",TRUE,"Normal")</f>
        <v>Normal</v>
      </c>
      <c r="L53" s="4" t="str">
        <f>IF(Table156[[#This Row],[Total Amount]]&gt;=1000,"High",(IF(Table156[[#This Row],[Total Amount]]&gt;=500,"Medium","Low")))</f>
        <v>Low</v>
      </c>
      <c r="M53" s="4" t="str" cm="1">
        <f t="array" ref="M5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3" s="4" cm="1">
        <f t="array" ref="N5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53" s="4">
        <f>Table156[[#This Row],[Total Amount]]-Table156[[#This Row],[Discount Amount]]</f>
        <v>240</v>
      </c>
      <c r="P53" s="4" t="str">
        <f>IF(Table156[[#This Row],[Total Amount]]&gt;=1000,"High","Low")</f>
        <v>Low</v>
      </c>
      <c r="Q53" s="4" t="str" cm="1">
        <f t="array" ref="Q53">_xlfn.IFS(AND(Table156[[#This Row],[Total Amount]]&gt;=1500,"Critical"),AND(Table156[[#This Row],[Total Amount]]&gt;=1000,"High"),TRUE,"Normal")</f>
        <v>Normal</v>
      </c>
      <c r="R53" s="4">
        <f>COUNTIF(Table156[Gender],"Male")</f>
        <v>490</v>
      </c>
    </row>
    <row r="54" spans="1:18" x14ac:dyDescent="0.35">
      <c r="A54" s="4">
        <v>53</v>
      </c>
      <c r="B54" s="5">
        <v>45120</v>
      </c>
      <c r="C54" s="4" t="s">
        <v>66</v>
      </c>
      <c r="D54" s="4" t="s">
        <v>10</v>
      </c>
      <c r="E54" s="4">
        <v>34</v>
      </c>
      <c r="F54" s="4" t="str">
        <f>IF(Table156[[#This Row],[Age]]&lt;=19,"Teenager",IF(Table156[[#This Row],[Age]]&lt;=40,"Median","Old"))</f>
        <v>Median</v>
      </c>
      <c r="G54" s="4" t="s">
        <v>16</v>
      </c>
      <c r="H54" s="4">
        <v>2</v>
      </c>
      <c r="I54" s="4">
        <v>50</v>
      </c>
      <c r="J54" s="4">
        <v>100</v>
      </c>
      <c r="K54" s="4" t="str" cm="1">
        <f t="array" ref="K54">_xlfn.IFS(AND(Table156[[#This Row],[Total Amount]]&gt;=1500),"Critical",AND(Table156[[#This Row],[Total Amount]]&gt;=1000),"High",TRUE,"Normal")</f>
        <v>Normal</v>
      </c>
      <c r="L54" s="4" t="str">
        <f>IF(Table156[[#This Row],[Total Amount]]&gt;=1000,"High",(IF(Table156[[#This Row],[Total Amount]]&gt;=500,"Medium","Low")))</f>
        <v>Low</v>
      </c>
      <c r="M54" s="4" t="str" cm="1">
        <f t="array" ref="M5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4" s="4" cm="1">
        <f t="array" ref="N5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54" s="4">
        <f>Table156[[#This Row],[Total Amount]]-Table156[[#This Row],[Discount Amount]]</f>
        <v>85</v>
      </c>
      <c r="P54" s="4" t="str">
        <f>IF(Table156[[#This Row],[Total Amount]]&gt;=1000,"High","Low")</f>
        <v>Low</v>
      </c>
      <c r="Q54" s="4" t="str" cm="1">
        <f t="array" ref="Q54">_xlfn.IFS(AND(Table156[[#This Row],[Total Amount]]&gt;=1500,"Critical"),AND(Table156[[#This Row],[Total Amount]]&gt;=1000,"High"),TRUE,"Normal")</f>
        <v>Normal</v>
      </c>
      <c r="R54" s="4">
        <f>COUNTIF(Table156[Gender],"Male")</f>
        <v>490</v>
      </c>
    </row>
    <row r="55" spans="1:18" x14ac:dyDescent="0.35">
      <c r="A55" s="4">
        <v>54</v>
      </c>
      <c r="B55" s="5">
        <v>44967</v>
      </c>
      <c r="C55" s="4" t="s">
        <v>67</v>
      </c>
      <c r="D55" s="4" t="s">
        <v>13</v>
      </c>
      <c r="E55" s="4">
        <v>38</v>
      </c>
      <c r="F55" s="4" t="str">
        <f>IF(Table156[[#This Row],[Age]]&lt;=19,"Teenager",IF(Table156[[#This Row],[Age]]&lt;=40,"Median","Old"))</f>
        <v>Median</v>
      </c>
      <c r="G55" s="4" t="s">
        <v>16</v>
      </c>
      <c r="H55" s="4">
        <v>3</v>
      </c>
      <c r="I55" s="4">
        <v>500</v>
      </c>
      <c r="J55" s="4">
        <v>1500</v>
      </c>
      <c r="K55" s="4" t="str" cm="1">
        <f t="array" ref="K55">_xlfn.IFS(AND(Table156[[#This Row],[Total Amount]]&gt;=1500),"Critical",AND(Table156[[#This Row],[Total Amount]]&gt;=1000),"High",TRUE,"Normal")</f>
        <v>Critical</v>
      </c>
      <c r="L55" s="4" t="str">
        <f>IF(Table156[[#This Row],[Total Amount]]&gt;=1000,"High",(IF(Table156[[#This Row],[Total Amount]]&gt;=500,"Medium","Low")))</f>
        <v>High</v>
      </c>
      <c r="M55" s="4" t="str" cm="1">
        <f t="array" ref="M5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5" s="4" cm="1">
        <f t="array" ref="N5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55" s="4">
        <f>Table156[[#This Row],[Total Amount]]-Table156[[#This Row],[Discount Amount]]</f>
        <v>1200</v>
      </c>
      <c r="P55" s="4" t="str">
        <f>IF(Table156[[#This Row],[Total Amount]]&gt;=1000,"High","Low")</f>
        <v>High</v>
      </c>
      <c r="Q55" s="4" t="b" cm="1">
        <f t="array" ref="Q55">_xlfn.IFS(AND(Table156[[#This Row],[Total Amount]]&gt;=1500,"Critical"),AND(Table156[[#This Row],[Total Amount]]&gt;=1000,"High"),TRUE,"Normal")</f>
        <v>1</v>
      </c>
      <c r="R55" s="4">
        <f>COUNTIF(Table156[Gender],"Male")</f>
        <v>490</v>
      </c>
    </row>
    <row r="56" spans="1:18" x14ac:dyDescent="0.35">
      <c r="A56" s="4">
        <v>55</v>
      </c>
      <c r="B56" s="5">
        <v>45209</v>
      </c>
      <c r="C56" s="4" t="s">
        <v>68</v>
      </c>
      <c r="D56" s="4" t="s">
        <v>10</v>
      </c>
      <c r="E56" s="4">
        <v>31</v>
      </c>
      <c r="F56" s="4" t="str">
        <f>IF(Table156[[#This Row],[Age]]&lt;=19,"Teenager",IF(Table156[[#This Row],[Age]]&lt;=40,"Median","Old"))</f>
        <v>Median</v>
      </c>
      <c r="G56" s="4" t="s">
        <v>11</v>
      </c>
      <c r="H56" s="4">
        <v>4</v>
      </c>
      <c r="I56" s="4">
        <v>30</v>
      </c>
      <c r="J56" s="4">
        <v>120</v>
      </c>
      <c r="K56" s="4" t="str" cm="1">
        <f t="array" ref="K56">_xlfn.IFS(AND(Table156[[#This Row],[Total Amount]]&gt;=1500),"Critical",AND(Table156[[#This Row],[Total Amount]]&gt;=1000),"High",TRUE,"Normal")</f>
        <v>Normal</v>
      </c>
      <c r="L56" s="4" t="str">
        <f>IF(Table156[[#This Row],[Total Amount]]&gt;=1000,"High",(IF(Table156[[#This Row],[Total Amount]]&gt;=500,"Medium","Low")))</f>
        <v>Low</v>
      </c>
      <c r="M56" s="4" t="str" cm="1">
        <f t="array" ref="M5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6" s="4" cm="1">
        <f t="array" ref="N5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56" s="4">
        <f>Table156[[#This Row],[Total Amount]]-Table156[[#This Row],[Discount Amount]]</f>
        <v>102</v>
      </c>
      <c r="P56" s="4" t="str">
        <f>IF(Table156[[#This Row],[Total Amount]]&gt;=1000,"High","Low")</f>
        <v>Low</v>
      </c>
      <c r="Q56" s="4" t="str" cm="1">
        <f t="array" ref="Q56">_xlfn.IFS(AND(Table156[[#This Row],[Total Amount]]&gt;=1500,"Critical"),AND(Table156[[#This Row],[Total Amount]]&gt;=1000,"High"),TRUE,"Normal")</f>
        <v>Normal</v>
      </c>
      <c r="R56" s="4">
        <f>COUNTIF(Table156[Gender],"Male")</f>
        <v>490</v>
      </c>
    </row>
    <row r="57" spans="1:18" x14ac:dyDescent="0.35">
      <c r="A57" s="4">
        <v>56</v>
      </c>
      <c r="B57" s="5">
        <v>45077</v>
      </c>
      <c r="C57" s="4" t="s">
        <v>69</v>
      </c>
      <c r="D57" s="4" t="s">
        <v>13</v>
      </c>
      <c r="E57" s="4">
        <v>26</v>
      </c>
      <c r="F57" s="4" t="str">
        <f>IF(Table156[[#This Row],[Age]]&lt;=19,"Teenager",IF(Table156[[#This Row],[Age]]&lt;=40,"Median","Old"))</f>
        <v>Median</v>
      </c>
      <c r="G57" s="4" t="s">
        <v>14</v>
      </c>
      <c r="H57" s="4">
        <v>3</v>
      </c>
      <c r="I57" s="4">
        <v>300</v>
      </c>
      <c r="J57" s="4">
        <v>900</v>
      </c>
      <c r="K57" s="4" t="str" cm="1">
        <f t="array" ref="K57">_xlfn.IFS(AND(Table156[[#This Row],[Total Amount]]&gt;=1500),"Critical",AND(Table156[[#This Row],[Total Amount]]&gt;=1000),"High",TRUE,"Normal")</f>
        <v>Normal</v>
      </c>
      <c r="L57" s="4" t="str">
        <f>IF(Table156[[#This Row],[Total Amount]]&gt;=1000,"High",(IF(Table156[[#This Row],[Total Amount]]&gt;=500,"Medium","Low")))</f>
        <v>Medium</v>
      </c>
      <c r="M57" s="4" t="str" cm="1">
        <f t="array" ref="M5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7" s="4" cm="1">
        <f t="array" ref="N5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135</v>
      </c>
      <c r="O57" s="4">
        <f>Table156[[#This Row],[Total Amount]]-Table156[[#This Row],[Discount Amount]]</f>
        <v>765</v>
      </c>
      <c r="P57" s="4" t="str">
        <f>IF(Table156[[#This Row],[Total Amount]]&gt;=1000,"High","Low")</f>
        <v>Low</v>
      </c>
      <c r="Q57" s="4" t="str" cm="1">
        <f t="array" ref="Q57">_xlfn.IFS(AND(Table156[[#This Row],[Total Amount]]&gt;=1500,"Critical"),AND(Table156[[#This Row],[Total Amount]]&gt;=1000,"High"),TRUE,"Normal")</f>
        <v>Normal</v>
      </c>
      <c r="R57" s="4">
        <f>COUNTIF(Table156[Gender],"Male")</f>
        <v>490</v>
      </c>
    </row>
    <row r="58" spans="1:18" x14ac:dyDescent="0.35">
      <c r="A58" s="4">
        <v>57</v>
      </c>
      <c r="B58" s="5">
        <v>45248</v>
      </c>
      <c r="C58" s="4" t="s">
        <v>70</v>
      </c>
      <c r="D58" s="4" t="s">
        <v>13</v>
      </c>
      <c r="E58" s="4">
        <v>63</v>
      </c>
      <c r="F58" s="4" t="str">
        <f>IF(Table156[[#This Row],[Age]]&lt;=19,"Teenager",IF(Table156[[#This Row],[Age]]&lt;=40,"Median","Old"))</f>
        <v>Old</v>
      </c>
      <c r="G58" s="4" t="s">
        <v>11</v>
      </c>
      <c r="H58" s="4">
        <v>1</v>
      </c>
      <c r="I58" s="4">
        <v>30</v>
      </c>
      <c r="J58" s="4">
        <v>30</v>
      </c>
      <c r="K58" s="4" t="str" cm="1">
        <f t="array" ref="K58">_xlfn.IFS(AND(Table156[[#This Row],[Total Amount]]&gt;=1500),"Critical",AND(Table156[[#This Row],[Total Amount]]&gt;=1000),"High",TRUE,"Normal")</f>
        <v>Normal</v>
      </c>
      <c r="L58" s="4" t="str">
        <f>IF(Table156[[#This Row],[Total Amount]]&gt;=1000,"High",(IF(Table156[[#This Row],[Total Amount]]&gt;=500,"Medium","Low")))</f>
        <v>Low</v>
      </c>
      <c r="M58" s="4" t="str" cm="1">
        <f t="array" ref="M5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8" s="4" cm="1">
        <f t="array" ref="N5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58" s="4">
        <f>Table156[[#This Row],[Total Amount]]-Table156[[#This Row],[Discount Amount]]</f>
        <v>24</v>
      </c>
      <c r="P58" s="4" t="str">
        <f>IF(Table156[[#This Row],[Total Amount]]&gt;=1000,"High","Low")</f>
        <v>Low</v>
      </c>
      <c r="Q58" s="4" t="str" cm="1">
        <f t="array" ref="Q58">_xlfn.IFS(AND(Table156[[#This Row],[Total Amount]]&gt;=1500,"Critical"),AND(Table156[[#This Row],[Total Amount]]&gt;=1000,"High"),TRUE,"Normal")</f>
        <v>Normal</v>
      </c>
      <c r="R58" s="4">
        <f>COUNTIF(Table156[Gender],"Male")</f>
        <v>490</v>
      </c>
    </row>
    <row r="59" spans="1:18" x14ac:dyDescent="0.35">
      <c r="A59" s="4">
        <v>58</v>
      </c>
      <c r="B59" s="5">
        <v>45243</v>
      </c>
      <c r="C59" s="4" t="s">
        <v>71</v>
      </c>
      <c r="D59" s="4" t="s">
        <v>10</v>
      </c>
      <c r="E59" s="4">
        <v>18</v>
      </c>
      <c r="F59" s="4" t="str">
        <f>IF(Table156[[#This Row],[Age]]&lt;=19,"Teenager",IF(Table156[[#This Row],[Age]]&lt;=40,"Median","Old"))</f>
        <v>Teenager</v>
      </c>
      <c r="G59" s="4" t="s">
        <v>14</v>
      </c>
      <c r="H59" s="4">
        <v>4</v>
      </c>
      <c r="I59" s="4">
        <v>300</v>
      </c>
      <c r="J59" s="4">
        <v>1200</v>
      </c>
      <c r="K59" s="4" t="str" cm="1">
        <f t="array" ref="K59">_xlfn.IFS(AND(Table156[[#This Row],[Total Amount]]&gt;=1500),"Critical",AND(Table156[[#This Row],[Total Amount]]&gt;=1000),"High",TRUE,"Normal")</f>
        <v>High</v>
      </c>
      <c r="L59" s="4" t="str">
        <f>IF(Table156[[#This Row],[Total Amount]]&gt;=1000,"High",(IF(Table156[[#This Row],[Total Amount]]&gt;=500,"Medium","Low")))</f>
        <v>High</v>
      </c>
      <c r="M59" s="4" t="str" cm="1">
        <f t="array" ref="M5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9" s="4" cm="1">
        <f t="array" ref="N5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9" s="4">
        <f>Table156[[#This Row],[Total Amount]]-Table156[[#This Row],[Discount Amount]]</f>
        <v>1200</v>
      </c>
      <c r="P59" s="4" t="str">
        <f>IF(Table156[[#This Row],[Total Amount]]&gt;=1000,"High","Low")</f>
        <v>High</v>
      </c>
      <c r="Q59" s="4" t="str" cm="1">
        <f t="array" ref="Q59">_xlfn.IFS(AND(Table156[[#This Row],[Total Amount]]&gt;=1500,"Critical"),AND(Table156[[#This Row],[Total Amount]]&gt;=1000,"High"),TRUE,"Normal")</f>
        <v>Normal</v>
      </c>
      <c r="R59" s="4">
        <f>COUNTIF(Table156[Gender],"Male")</f>
        <v>490</v>
      </c>
    </row>
    <row r="60" spans="1:18" x14ac:dyDescent="0.35">
      <c r="A60" s="4">
        <v>59</v>
      </c>
      <c r="B60" s="5">
        <v>45112</v>
      </c>
      <c r="C60" s="4" t="s">
        <v>72</v>
      </c>
      <c r="D60" s="4" t="s">
        <v>10</v>
      </c>
      <c r="E60" s="4">
        <v>62</v>
      </c>
      <c r="F60" s="4" t="str">
        <f>IF(Table156[[#This Row],[Age]]&lt;=19,"Teenager",IF(Table156[[#This Row],[Age]]&lt;=40,"Median","Old"))</f>
        <v>Old</v>
      </c>
      <c r="G60" s="4" t="s">
        <v>14</v>
      </c>
      <c r="H60" s="4">
        <v>1</v>
      </c>
      <c r="I60" s="4">
        <v>50</v>
      </c>
      <c r="J60" s="4">
        <v>50</v>
      </c>
      <c r="K60" s="4" t="str" cm="1">
        <f t="array" ref="K60">_xlfn.IFS(AND(Table156[[#This Row],[Total Amount]]&gt;=1500),"Critical",AND(Table156[[#This Row],[Total Amount]]&gt;=1000),"High",TRUE,"Normal")</f>
        <v>Normal</v>
      </c>
      <c r="L60" s="4" t="str">
        <f>IF(Table156[[#This Row],[Total Amount]]&gt;=1000,"High",(IF(Table156[[#This Row],[Total Amount]]&gt;=500,"Medium","Low")))</f>
        <v>Low</v>
      </c>
      <c r="M60" s="4" t="str" cm="1">
        <f t="array" ref="M6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0" s="4" cm="1">
        <f t="array" ref="N6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60" s="4">
        <f>Table156[[#This Row],[Total Amount]]-Table156[[#This Row],[Discount Amount]]</f>
        <v>45</v>
      </c>
      <c r="P60" s="4" t="str">
        <f>IF(Table156[[#This Row],[Total Amount]]&gt;=1000,"High","Low")</f>
        <v>Low</v>
      </c>
      <c r="Q60" s="4" t="str" cm="1">
        <f t="array" ref="Q60">_xlfn.IFS(AND(Table156[[#This Row],[Total Amount]]&gt;=1500,"Critical"),AND(Table156[[#This Row],[Total Amount]]&gt;=1000,"High"),TRUE,"Normal")</f>
        <v>Normal</v>
      </c>
      <c r="R60" s="4">
        <f>COUNTIF(Table156[Gender],"Male")</f>
        <v>490</v>
      </c>
    </row>
    <row r="61" spans="1:18" x14ac:dyDescent="0.35">
      <c r="A61" s="4">
        <v>60</v>
      </c>
      <c r="B61" s="5">
        <v>45222</v>
      </c>
      <c r="C61" s="4" t="s">
        <v>73</v>
      </c>
      <c r="D61" s="4" t="s">
        <v>10</v>
      </c>
      <c r="E61" s="4">
        <v>30</v>
      </c>
      <c r="F61" s="4" t="str">
        <f>IF(Table156[[#This Row],[Age]]&lt;=19,"Teenager",IF(Table156[[#This Row],[Age]]&lt;=40,"Median","Old"))</f>
        <v>Median</v>
      </c>
      <c r="G61" s="4" t="s">
        <v>11</v>
      </c>
      <c r="H61" s="4">
        <v>3</v>
      </c>
      <c r="I61" s="4">
        <v>50</v>
      </c>
      <c r="J61" s="4">
        <v>150</v>
      </c>
      <c r="K61" s="4" t="str" cm="1">
        <f t="array" ref="K61">_xlfn.IFS(AND(Table156[[#This Row],[Total Amount]]&gt;=1500),"Critical",AND(Table156[[#This Row],[Total Amount]]&gt;=1000),"High",TRUE,"Normal")</f>
        <v>Normal</v>
      </c>
      <c r="L61" s="4" t="str">
        <f>IF(Table156[[#This Row],[Total Amount]]&gt;=1000,"High",(IF(Table156[[#This Row],[Total Amount]]&gt;=500,"Medium","Low")))</f>
        <v>Low</v>
      </c>
      <c r="M61" s="4" t="str" cm="1">
        <f t="array" ref="M6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1" s="4" cm="1">
        <f t="array" ref="N6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22.5</v>
      </c>
      <c r="O61" s="4">
        <f>Table156[[#This Row],[Total Amount]]-Table156[[#This Row],[Discount Amount]]</f>
        <v>127.5</v>
      </c>
      <c r="P61" s="4" t="str">
        <f>IF(Table156[[#This Row],[Total Amount]]&gt;=1000,"High","Low")</f>
        <v>Low</v>
      </c>
      <c r="Q61" s="4" t="str" cm="1">
        <f t="array" ref="Q61">_xlfn.IFS(AND(Table156[[#This Row],[Total Amount]]&gt;=1500,"Critical"),AND(Table156[[#This Row],[Total Amount]]&gt;=1000,"High"),TRUE,"Normal")</f>
        <v>Normal</v>
      </c>
      <c r="R61" s="4">
        <f>COUNTIF(Table156[Gender],"Male")</f>
        <v>490</v>
      </c>
    </row>
    <row r="62" spans="1:18" x14ac:dyDescent="0.35">
      <c r="A62" s="4">
        <v>61</v>
      </c>
      <c r="B62" s="5">
        <v>45025</v>
      </c>
      <c r="C62" s="4" t="s">
        <v>74</v>
      </c>
      <c r="D62" s="4" t="s">
        <v>10</v>
      </c>
      <c r="E62" s="4">
        <v>21</v>
      </c>
      <c r="F62" s="4" t="str">
        <f>IF(Table156[[#This Row],[Age]]&lt;=19,"Teenager",IF(Table156[[#This Row],[Age]]&lt;=40,"Median","Old"))</f>
        <v>Median</v>
      </c>
      <c r="G62" s="4" t="s">
        <v>11</v>
      </c>
      <c r="H62" s="4">
        <v>4</v>
      </c>
      <c r="I62" s="4">
        <v>50</v>
      </c>
      <c r="J62" s="4">
        <v>200</v>
      </c>
      <c r="K62" s="4" t="str" cm="1">
        <f t="array" ref="K62">_xlfn.IFS(AND(Table156[[#This Row],[Total Amount]]&gt;=1500),"Critical",AND(Table156[[#This Row],[Total Amount]]&gt;=1000),"High",TRUE,"Normal")</f>
        <v>Normal</v>
      </c>
      <c r="L62" s="4" t="str">
        <f>IF(Table156[[#This Row],[Total Amount]]&gt;=1000,"High",(IF(Table156[[#This Row],[Total Amount]]&gt;=500,"Medium","Low")))</f>
        <v>Low</v>
      </c>
      <c r="M62" s="4" t="str" cm="1">
        <f t="array" ref="M6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62" s="4" cm="1">
        <f t="array" ref="N6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62" s="4">
        <f>Table156[[#This Row],[Total Amount]]-Table156[[#This Row],[Discount Amount]]</f>
        <v>200</v>
      </c>
      <c r="P62" s="4" t="str">
        <f>IF(Table156[[#This Row],[Total Amount]]&gt;=1000,"High","Low")</f>
        <v>Low</v>
      </c>
      <c r="Q62" s="4" t="str" cm="1">
        <f t="array" ref="Q62">_xlfn.IFS(AND(Table156[[#This Row],[Total Amount]]&gt;=1500,"Critical"),AND(Table156[[#This Row],[Total Amount]]&gt;=1000,"High"),TRUE,"Normal")</f>
        <v>Normal</v>
      </c>
      <c r="R62" s="4">
        <f>COUNTIF(Table156[Gender],"Male")</f>
        <v>490</v>
      </c>
    </row>
    <row r="63" spans="1:18" x14ac:dyDescent="0.35">
      <c r="A63" s="4">
        <v>62</v>
      </c>
      <c r="B63" s="5">
        <v>45287</v>
      </c>
      <c r="C63" s="4" t="s">
        <v>75</v>
      </c>
      <c r="D63" s="4" t="s">
        <v>10</v>
      </c>
      <c r="E63" s="4">
        <v>18</v>
      </c>
      <c r="F63" s="4" t="str">
        <f>IF(Table156[[#This Row],[Age]]&lt;=19,"Teenager",IF(Table156[[#This Row],[Age]]&lt;=40,"Median","Old"))</f>
        <v>Teenager</v>
      </c>
      <c r="G63" s="4" t="s">
        <v>11</v>
      </c>
      <c r="H63" s="4">
        <v>2</v>
      </c>
      <c r="I63" s="4">
        <v>50</v>
      </c>
      <c r="J63" s="4">
        <v>100</v>
      </c>
      <c r="K63" s="4" t="str" cm="1">
        <f t="array" ref="K63">_xlfn.IFS(AND(Table156[[#This Row],[Total Amount]]&gt;=1500),"Critical",AND(Table156[[#This Row],[Total Amount]]&gt;=1000),"High",TRUE,"Normal")</f>
        <v>Normal</v>
      </c>
      <c r="L63" s="4" t="str">
        <f>IF(Table156[[#This Row],[Total Amount]]&gt;=1000,"High",(IF(Table156[[#This Row],[Total Amount]]&gt;=500,"Medium","Low")))</f>
        <v>Low</v>
      </c>
      <c r="M63" s="4" t="str" cm="1">
        <f t="array" ref="M6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63" s="4" cm="1">
        <f t="array" ref="N6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63" s="4">
        <f>Table156[[#This Row],[Total Amount]]-Table156[[#This Row],[Discount Amount]]</f>
        <v>100</v>
      </c>
      <c r="P63" s="4" t="str">
        <f>IF(Table156[[#This Row],[Total Amount]]&gt;=1000,"High","Low")</f>
        <v>Low</v>
      </c>
      <c r="Q63" s="4" t="str" cm="1">
        <f t="array" ref="Q63">_xlfn.IFS(AND(Table156[[#This Row],[Total Amount]]&gt;=1500,"Critical"),AND(Table156[[#This Row],[Total Amount]]&gt;=1000,"High"),TRUE,"Normal")</f>
        <v>Normal</v>
      </c>
      <c r="R63" s="4">
        <f>COUNTIF(Table156[Gender],"Male")</f>
        <v>490</v>
      </c>
    </row>
    <row r="64" spans="1:18" x14ac:dyDescent="0.35">
      <c r="A64" s="4">
        <v>63</v>
      </c>
      <c r="B64" s="5">
        <v>44962</v>
      </c>
      <c r="C64" s="4" t="s">
        <v>76</v>
      </c>
      <c r="D64" s="4" t="s">
        <v>10</v>
      </c>
      <c r="E64" s="4">
        <v>57</v>
      </c>
      <c r="F64" s="4" t="str">
        <f>IF(Table156[[#This Row],[Age]]&lt;=19,"Teenager",IF(Table156[[#This Row],[Age]]&lt;=40,"Median","Old"))</f>
        <v>Old</v>
      </c>
      <c r="G64" s="4" t="s">
        <v>16</v>
      </c>
      <c r="H64" s="4">
        <v>2</v>
      </c>
      <c r="I64" s="4">
        <v>25</v>
      </c>
      <c r="J64" s="4">
        <v>50</v>
      </c>
      <c r="K64" s="4" t="str" cm="1">
        <f t="array" ref="K64">_xlfn.IFS(AND(Table156[[#This Row],[Total Amount]]&gt;=1500),"Critical",AND(Table156[[#This Row],[Total Amount]]&gt;=1000),"High",TRUE,"Normal")</f>
        <v>Normal</v>
      </c>
      <c r="L64" s="4" t="str">
        <f>IF(Table156[[#This Row],[Total Amount]]&gt;=1000,"High",(IF(Table156[[#This Row],[Total Amount]]&gt;=500,"Medium","Low")))</f>
        <v>Low</v>
      </c>
      <c r="M64" s="4" t="str" cm="1">
        <f t="array" ref="M6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4" s="4" cm="1">
        <f t="array" ref="N6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64" s="4">
        <f>Table156[[#This Row],[Total Amount]]-Table156[[#This Row],[Discount Amount]]</f>
        <v>45</v>
      </c>
      <c r="P64" s="4" t="str">
        <f>IF(Table156[[#This Row],[Total Amount]]&gt;=1000,"High","Low")</f>
        <v>Low</v>
      </c>
      <c r="Q64" s="4" t="str" cm="1">
        <f t="array" ref="Q64">_xlfn.IFS(AND(Table156[[#This Row],[Total Amount]]&gt;=1500,"Critical"),AND(Table156[[#This Row],[Total Amount]]&gt;=1000,"High"),TRUE,"Normal")</f>
        <v>Normal</v>
      </c>
      <c r="R64" s="4">
        <f>COUNTIF(Table156[Gender],"Male")</f>
        <v>490</v>
      </c>
    </row>
    <row r="65" spans="1:18" x14ac:dyDescent="0.35">
      <c r="A65" s="4">
        <v>64</v>
      </c>
      <c r="B65" s="5">
        <v>44950</v>
      </c>
      <c r="C65" s="4" t="s">
        <v>77</v>
      </c>
      <c r="D65" s="4" t="s">
        <v>10</v>
      </c>
      <c r="E65" s="4">
        <v>49</v>
      </c>
      <c r="F65" s="4" t="str">
        <f>IF(Table156[[#This Row],[Age]]&lt;=19,"Teenager",IF(Table156[[#This Row],[Age]]&lt;=40,"Median","Old"))</f>
        <v>Old</v>
      </c>
      <c r="G65" s="4" t="s">
        <v>14</v>
      </c>
      <c r="H65" s="4">
        <v>4</v>
      </c>
      <c r="I65" s="4">
        <v>25</v>
      </c>
      <c r="J65" s="4">
        <v>100</v>
      </c>
      <c r="K65" s="4" t="str" cm="1">
        <f t="array" ref="K65">_xlfn.IFS(AND(Table156[[#This Row],[Total Amount]]&gt;=1500),"Critical",AND(Table156[[#This Row],[Total Amount]]&gt;=1000),"High",TRUE,"Normal")</f>
        <v>Normal</v>
      </c>
      <c r="L65" s="4" t="str">
        <f>IF(Table156[[#This Row],[Total Amount]]&gt;=1000,"High",(IF(Table156[[#This Row],[Total Amount]]&gt;=500,"Medium","Low")))</f>
        <v>Low</v>
      </c>
      <c r="M65" s="4" t="str" cm="1">
        <f t="array" ref="M6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5" s="4" cm="1">
        <f t="array" ref="N6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65" s="4">
        <f>Table156[[#This Row],[Total Amount]]-Table156[[#This Row],[Discount Amount]]</f>
        <v>90</v>
      </c>
      <c r="P65" s="4" t="str">
        <f>IF(Table156[[#This Row],[Total Amount]]&gt;=1000,"High","Low")</f>
        <v>Low</v>
      </c>
      <c r="Q65" s="4" t="str" cm="1">
        <f t="array" ref="Q65">_xlfn.IFS(AND(Table156[[#This Row],[Total Amount]]&gt;=1500,"Critical"),AND(Table156[[#This Row],[Total Amount]]&gt;=1000,"High"),TRUE,"Normal")</f>
        <v>Normal</v>
      </c>
      <c r="R65" s="4">
        <f>COUNTIF(Table156[Gender],"Male")</f>
        <v>490</v>
      </c>
    </row>
    <row r="66" spans="1:18" x14ac:dyDescent="0.35">
      <c r="A66" s="4">
        <v>65</v>
      </c>
      <c r="B66" s="5">
        <v>45265</v>
      </c>
      <c r="C66" s="4" t="s">
        <v>78</v>
      </c>
      <c r="D66" s="4" t="s">
        <v>10</v>
      </c>
      <c r="E66" s="4">
        <v>51</v>
      </c>
      <c r="F66" s="4" t="str">
        <f>IF(Table156[[#This Row],[Age]]&lt;=19,"Teenager",IF(Table156[[#This Row],[Age]]&lt;=40,"Median","Old"))</f>
        <v>Old</v>
      </c>
      <c r="G66" s="4" t="s">
        <v>16</v>
      </c>
      <c r="H66" s="4">
        <v>4</v>
      </c>
      <c r="I66" s="4">
        <v>500</v>
      </c>
      <c r="J66" s="4">
        <v>2000</v>
      </c>
      <c r="K66" s="4" t="str" cm="1">
        <f t="array" ref="K66">_xlfn.IFS(AND(Table156[[#This Row],[Total Amount]]&gt;=1500),"Critical",AND(Table156[[#This Row],[Total Amount]]&gt;=1000),"High",TRUE,"Normal")</f>
        <v>Critical</v>
      </c>
      <c r="L66" s="4" t="str">
        <f>IF(Table156[[#This Row],[Total Amount]]&gt;=1000,"High",(IF(Table156[[#This Row],[Total Amount]]&gt;=500,"Medium","Low")))</f>
        <v>High</v>
      </c>
      <c r="M66" s="4" t="str" cm="1">
        <f t="array" ref="M6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6" s="4" cm="1">
        <f t="array" ref="N6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66" s="4">
        <f>Table156[[#This Row],[Total Amount]]-Table156[[#This Row],[Discount Amount]]</f>
        <v>1800</v>
      </c>
      <c r="P66" s="4" t="str">
        <f>IF(Table156[[#This Row],[Total Amount]]&gt;=1000,"High","Low")</f>
        <v>High</v>
      </c>
      <c r="Q66" s="4" t="b" cm="1">
        <f t="array" ref="Q66">_xlfn.IFS(AND(Table156[[#This Row],[Total Amount]]&gt;=1500,"Critical"),AND(Table156[[#This Row],[Total Amount]]&gt;=1000,"High"),TRUE,"Normal")</f>
        <v>1</v>
      </c>
      <c r="R66" s="4">
        <f>COUNTIF(Table156[Gender],"Male")</f>
        <v>490</v>
      </c>
    </row>
    <row r="67" spans="1:18" x14ac:dyDescent="0.35">
      <c r="A67" s="4">
        <v>66</v>
      </c>
      <c r="B67" s="5">
        <v>45043</v>
      </c>
      <c r="C67" s="4" t="s">
        <v>79</v>
      </c>
      <c r="D67" s="4" t="s">
        <v>13</v>
      </c>
      <c r="E67" s="4">
        <v>45</v>
      </c>
      <c r="F67" s="4" t="str">
        <f>IF(Table156[[#This Row],[Age]]&lt;=19,"Teenager",IF(Table156[[#This Row],[Age]]&lt;=40,"Median","Old"))</f>
        <v>Old</v>
      </c>
      <c r="G67" s="4" t="s">
        <v>16</v>
      </c>
      <c r="H67" s="4">
        <v>1</v>
      </c>
      <c r="I67" s="4">
        <v>30</v>
      </c>
      <c r="J67" s="4">
        <v>30</v>
      </c>
      <c r="K67" s="4" t="str" cm="1">
        <f t="array" ref="K67">_xlfn.IFS(AND(Table156[[#This Row],[Total Amount]]&gt;=1500),"Critical",AND(Table156[[#This Row],[Total Amount]]&gt;=1000),"High",TRUE,"Normal")</f>
        <v>Normal</v>
      </c>
      <c r="L67" s="4" t="str">
        <f>IF(Table156[[#This Row],[Total Amount]]&gt;=1000,"High",(IF(Table156[[#This Row],[Total Amount]]&gt;=500,"Medium","Low")))</f>
        <v>Low</v>
      </c>
      <c r="M67" s="4" t="str" cm="1">
        <f t="array" ref="M6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7" s="4" cm="1">
        <f t="array" ref="N6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67" s="4">
        <f>Table156[[#This Row],[Total Amount]]-Table156[[#This Row],[Discount Amount]]</f>
        <v>24</v>
      </c>
      <c r="P67" s="4" t="str">
        <f>IF(Table156[[#This Row],[Total Amount]]&gt;=1000,"High","Low")</f>
        <v>Low</v>
      </c>
      <c r="Q67" s="4" t="str" cm="1">
        <f t="array" ref="Q67">_xlfn.IFS(AND(Table156[[#This Row],[Total Amount]]&gt;=1500,"Critical"),AND(Table156[[#This Row],[Total Amount]]&gt;=1000,"High"),TRUE,"Normal")</f>
        <v>Normal</v>
      </c>
      <c r="R67" s="4">
        <f>COUNTIF(Table156[Gender],"Male")</f>
        <v>490</v>
      </c>
    </row>
    <row r="68" spans="1:18" x14ac:dyDescent="0.35">
      <c r="A68" s="4">
        <v>67</v>
      </c>
      <c r="B68" s="5">
        <v>45075</v>
      </c>
      <c r="C68" s="4" t="s">
        <v>80</v>
      </c>
      <c r="D68" s="4" t="s">
        <v>13</v>
      </c>
      <c r="E68" s="4">
        <v>48</v>
      </c>
      <c r="F68" s="4" t="str">
        <f>IF(Table156[[#This Row],[Age]]&lt;=19,"Teenager",IF(Table156[[#This Row],[Age]]&lt;=40,"Median","Old"))</f>
        <v>Old</v>
      </c>
      <c r="G68" s="4" t="s">
        <v>11</v>
      </c>
      <c r="H68" s="4">
        <v>4</v>
      </c>
      <c r="I68" s="4">
        <v>300</v>
      </c>
      <c r="J68" s="4">
        <v>1200</v>
      </c>
      <c r="K68" s="4" t="str" cm="1">
        <f t="array" ref="K68">_xlfn.IFS(AND(Table156[[#This Row],[Total Amount]]&gt;=1500),"Critical",AND(Table156[[#This Row],[Total Amount]]&gt;=1000),"High",TRUE,"Normal")</f>
        <v>High</v>
      </c>
      <c r="L68" s="4" t="str">
        <f>IF(Table156[[#This Row],[Total Amount]]&gt;=1000,"High",(IF(Table156[[#This Row],[Total Amount]]&gt;=500,"Medium","Low")))</f>
        <v>High</v>
      </c>
      <c r="M68" s="4" t="str" cm="1">
        <f t="array" ref="M6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8" s="4" cm="1">
        <f t="array" ref="N6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68" s="4">
        <f>Table156[[#This Row],[Total Amount]]-Table156[[#This Row],[Discount Amount]]</f>
        <v>960</v>
      </c>
      <c r="P68" s="4" t="str">
        <f>IF(Table156[[#This Row],[Total Amount]]&gt;=1000,"High","Low")</f>
        <v>High</v>
      </c>
      <c r="Q68" s="4" t="str" cm="1">
        <f t="array" ref="Q68">_xlfn.IFS(AND(Table156[[#This Row],[Total Amount]]&gt;=1500,"Critical"),AND(Table156[[#This Row],[Total Amount]]&gt;=1000,"High"),TRUE,"Normal")</f>
        <v>Normal</v>
      </c>
      <c r="R68" s="4">
        <f>COUNTIF(Table156[Gender],"Male")</f>
        <v>490</v>
      </c>
    </row>
    <row r="69" spans="1:18" x14ac:dyDescent="0.35">
      <c r="A69" s="4">
        <v>68</v>
      </c>
      <c r="B69" s="5">
        <v>44967</v>
      </c>
      <c r="C69" s="4" t="s">
        <v>81</v>
      </c>
      <c r="D69" s="4" t="s">
        <v>10</v>
      </c>
      <c r="E69" s="4">
        <v>25</v>
      </c>
      <c r="F69" s="4" t="str">
        <f>IF(Table156[[#This Row],[Age]]&lt;=19,"Teenager",IF(Table156[[#This Row],[Age]]&lt;=40,"Median","Old"))</f>
        <v>Median</v>
      </c>
      <c r="G69" s="4" t="s">
        <v>16</v>
      </c>
      <c r="H69" s="4">
        <v>1</v>
      </c>
      <c r="I69" s="4">
        <v>300</v>
      </c>
      <c r="J69" s="4">
        <v>300</v>
      </c>
      <c r="K69" s="4" t="str" cm="1">
        <f t="array" ref="K69">_xlfn.IFS(AND(Table156[[#This Row],[Total Amount]]&gt;=1500),"Critical",AND(Table156[[#This Row],[Total Amount]]&gt;=1000),"High",TRUE,"Normal")</f>
        <v>Normal</v>
      </c>
      <c r="L69" s="4" t="str">
        <f>IF(Table156[[#This Row],[Total Amount]]&gt;=1000,"High",(IF(Table156[[#This Row],[Total Amount]]&gt;=500,"Medium","Low")))</f>
        <v>Low</v>
      </c>
      <c r="M69" s="4" t="str" cm="1">
        <f t="array" ref="M6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9" s="4" cm="1">
        <f t="array" ref="N6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45</v>
      </c>
      <c r="O69" s="4">
        <f>Table156[[#This Row],[Total Amount]]-Table156[[#This Row],[Discount Amount]]</f>
        <v>255</v>
      </c>
      <c r="P69" s="4" t="str">
        <f>IF(Table156[[#This Row],[Total Amount]]&gt;=1000,"High","Low")</f>
        <v>Low</v>
      </c>
      <c r="Q69" s="4" t="str" cm="1">
        <f t="array" ref="Q69">_xlfn.IFS(AND(Table156[[#This Row],[Total Amount]]&gt;=1500,"Critical"),AND(Table156[[#This Row],[Total Amount]]&gt;=1000,"High"),TRUE,"Normal")</f>
        <v>Normal</v>
      </c>
      <c r="R69" s="4">
        <f>COUNTIF(Table156[Gender],"Male")</f>
        <v>490</v>
      </c>
    </row>
    <row r="70" spans="1:18" x14ac:dyDescent="0.35">
      <c r="A70" s="4">
        <v>69</v>
      </c>
      <c r="B70" s="5">
        <v>45046</v>
      </c>
      <c r="C70" s="4" t="s">
        <v>82</v>
      </c>
      <c r="D70" s="4" t="s">
        <v>13</v>
      </c>
      <c r="E70" s="4">
        <v>56</v>
      </c>
      <c r="F70" s="4" t="str">
        <f>IF(Table156[[#This Row],[Age]]&lt;=19,"Teenager",IF(Table156[[#This Row],[Age]]&lt;=40,"Median","Old"))</f>
        <v>Old</v>
      </c>
      <c r="G70" s="4" t="s">
        <v>11</v>
      </c>
      <c r="H70" s="4">
        <v>3</v>
      </c>
      <c r="I70" s="4">
        <v>25</v>
      </c>
      <c r="J70" s="4">
        <v>75</v>
      </c>
      <c r="K70" s="4" t="str" cm="1">
        <f t="array" ref="K70">_xlfn.IFS(AND(Table156[[#This Row],[Total Amount]]&gt;=1500),"Critical",AND(Table156[[#This Row],[Total Amount]]&gt;=1000),"High",TRUE,"Normal")</f>
        <v>Normal</v>
      </c>
      <c r="L70" s="4" t="str">
        <f>IF(Table156[[#This Row],[Total Amount]]&gt;=1000,"High",(IF(Table156[[#This Row],[Total Amount]]&gt;=500,"Medium","Low")))</f>
        <v>Low</v>
      </c>
      <c r="M70" s="4" t="str" cm="1">
        <f t="array" ref="M7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0" s="4" cm="1">
        <f t="array" ref="N7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70" s="4">
        <f>Table156[[#This Row],[Total Amount]]-Table156[[#This Row],[Discount Amount]]</f>
        <v>60</v>
      </c>
      <c r="P70" s="4" t="str">
        <f>IF(Table156[[#This Row],[Total Amount]]&gt;=1000,"High","Low")</f>
        <v>Low</v>
      </c>
      <c r="Q70" s="4" t="str" cm="1">
        <f t="array" ref="Q70">_xlfn.IFS(AND(Table156[[#This Row],[Total Amount]]&gt;=1500,"Critical"),AND(Table156[[#This Row],[Total Amount]]&gt;=1000,"High"),TRUE,"Normal")</f>
        <v>Normal</v>
      </c>
      <c r="R70" s="4">
        <f>COUNTIF(Table156[Gender],"Male")</f>
        <v>490</v>
      </c>
    </row>
    <row r="71" spans="1:18" x14ac:dyDescent="0.35">
      <c r="A71" s="4">
        <v>70</v>
      </c>
      <c r="B71" s="5">
        <v>44978</v>
      </c>
      <c r="C71" s="4" t="s">
        <v>83</v>
      </c>
      <c r="D71" s="4" t="s">
        <v>13</v>
      </c>
      <c r="E71" s="4">
        <v>43</v>
      </c>
      <c r="F71" s="4" t="str">
        <f>IF(Table156[[#This Row],[Age]]&lt;=19,"Teenager",IF(Table156[[#This Row],[Age]]&lt;=40,"Median","Old"))</f>
        <v>Old</v>
      </c>
      <c r="G71" s="4" t="s">
        <v>14</v>
      </c>
      <c r="H71" s="4">
        <v>1</v>
      </c>
      <c r="I71" s="4">
        <v>300</v>
      </c>
      <c r="J71" s="4">
        <v>300</v>
      </c>
      <c r="K71" s="4" t="str" cm="1">
        <f t="array" ref="K71">_xlfn.IFS(AND(Table156[[#This Row],[Total Amount]]&gt;=1500),"Critical",AND(Table156[[#This Row],[Total Amount]]&gt;=1000),"High",TRUE,"Normal")</f>
        <v>Normal</v>
      </c>
      <c r="L71" s="4" t="str">
        <f>IF(Table156[[#This Row],[Total Amount]]&gt;=1000,"High",(IF(Table156[[#This Row],[Total Amount]]&gt;=500,"Medium","Low")))</f>
        <v>Low</v>
      </c>
      <c r="M71" s="4" t="str" cm="1">
        <f t="array" ref="M7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1" s="4" cm="1">
        <f t="array" ref="N7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71" s="4">
        <f>Table156[[#This Row],[Total Amount]]-Table156[[#This Row],[Discount Amount]]</f>
        <v>240</v>
      </c>
      <c r="P71" s="4" t="str">
        <f>IF(Table156[[#This Row],[Total Amount]]&gt;=1000,"High","Low")</f>
        <v>Low</v>
      </c>
      <c r="Q71" s="4" t="str" cm="1">
        <f t="array" ref="Q71">_xlfn.IFS(AND(Table156[[#This Row],[Total Amount]]&gt;=1500,"Critical"),AND(Table156[[#This Row],[Total Amount]]&gt;=1000,"High"),TRUE,"Normal")</f>
        <v>Normal</v>
      </c>
      <c r="R71" s="4">
        <f>COUNTIF(Table156[Gender],"Male")</f>
        <v>490</v>
      </c>
    </row>
    <row r="72" spans="1:18" x14ac:dyDescent="0.35">
      <c r="A72" s="4">
        <v>71</v>
      </c>
      <c r="B72" s="5">
        <v>45121</v>
      </c>
      <c r="C72" s="4" t="s">
        <v>84</v>
      </c>
      <c r="D72" s="4" t="s">
        <v>13</v>
      </c>
      <c r="E72" s="4">
        <v>51</v>
      </c>
      <c r="F72" s="4" t="str">
        <f>IF(Table156[[#This Row],[Age]]&lt;=19,"Teenager",IF(Table156[[#This Row],[Age]]&lt;=40,"Median","Old"))</f>
        <v>Old</v>
      </c>
      <c r="G72" s="4" t="s">
        <v>11</v>
      </c>
      <c r="H72" s="4">
        <v>4</v>
      </c>
      <c r="I72" s="4">
        <v>25</v>
      </c>
      <c r="J72" s="4">
        <v>100</v>
      </c>
      <c r="K72" s="4" t="str" cm="1">
        <f t="array" ref="K72">_xlfn.IFS(AND(Table156[[#This Row],[Total Amount]]&gt;=1500),"Critical",AND(Table156[[#This Row],[Total Amount]]&gt;=1000),"High",TRUE,"Normal")</f>
        <v>Normal</v>
      </c>
      <c r="L72" s="4" t="str">
        <f>IF(Table156[[#This Row],[Total Amount]]&gt;=1000,"High",(IF(Table156[[#This Row],[Total Amount]]&gt;=500,"Medium","Low")))</f>
        <v>Low</v>
      </c>
      <c r="M72" s="4" t="str" cm="1">
        <f t="array" ref="M7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2" s="4" cm="1">
        <f t="array" ref="N7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72" s="4">
        <f>Table156[[#This Row],[Total Amount]]-Table156[[#This Row],[Discount Amount]]</f>
        <v>80</v>
      </c>
      <c r="P72" s="4" t="str">
        <f>IF(Table156[[#This Row],[Total Amount]]&gt;=1000,"High","Low")</f>
        <v>Low</v>
      </c>
      <c r="Q72" s="4" t="str" cm="1">
        <f t="array" ref="Q72">_xlfn.IFS(AND(Table156[[#This Row],[Total Amount]]&gt;=1500,"Critical"),AND(Table156[[#This Row],[Total Amount]]&gt;=1000,"High"),TRUE,"Normal")</f>
        <v>Normal</v>
      </c>
      <c r="R72" s="4">
        <f>COUNTIF(Table156[Gender],"Male")</f>
        <v>490</v>
      </c>
    </row>
    <row r="73" spans="1:18" x14ac:dyDescent="0.35">
      <c r="A73" s="4">
        <v>72</v>
      </c>
      <c r="B73" s="5">
        <v>45069</v>
      </c>
      <c r="C73" s="4" t="s">
        <v>85</v>
      </c>
      <c r="D73" s="4" t="s">
        <v>13</v>
      </c>
      <c r="E73" s="4">
        <v>20</v>
      </c>
      <c r="F73" s="4" t="str">
        <f>IF(Table156[[#This Row],[Age]]&lt;=19,"Teenager",IF(Table156[[#This Row],[Age]]&lt;=40,"Median","Old"))</f>
        <v>Median</v>
      </c>
      <c r="G73" s="4" t="s">
        <v>16</v>
      </c>
      <c r="H73" s="4">
        <v>4</v>
      </c>
      <c r="I73" s="4">
        <v>500</v>
      </c>
      <c r="J73" s="4">
        <v>2000</v>
      </c>
      <c r="K73" s="4" t="str" cm="1">
        <f t="array" ref="K73">_xlfn.IFS(AND(Table156[[#This Row],[Total Amount]]&gt;=1500),"Critical",AND(Table156[[#This Row],[Total Amount]]&gt;=1000),"High",TRUE,"Normal")</f>
        <v>Critical</v>
      </c>
      <c r="L73" s="4" t="str">
        <f>IF(Table156[[#This Row],[Total Amount]]&gt;=1000,"High",(IF(Table156[[#This Row],[Total Amount]]&gt;=500,"Medium","Low")))</f>
        <v>High</v>
      </c>
      <c r="M73" s="4" t="str" cm="1">
        <f t="array" ref="M7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73" s="4" cm="1">
        <f t="array" ref="N7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73" s="4">
        <f>Table156[[#This Row],[Total Amount]]-Table156[[#This Row],[Discount Amount]]</f>
        <v>2000</v>
      </c>
      <c r="P73" s="4" t="str">
        <f>IF(Table156[[#This Row],[Total Amount]]&gt;=1000,"High","Low")</f>
        <v>High</v>
      </c>
      <c r="Q73" s="4" t="b" cm="1">
        <f t="array" ref="Q73">_xlfn.IFS(AND(Table156[[#This Row],[Total Amount]]&gt;=1500,"Critical"),AND(Table156[[#This Row],[Total Amount]]&gt;=1000,"High"),TRUE,"Normal")</f>
        <v>1</v>
      </c>
      <c r="R73" s="4">
        <f>COUNTIF(Table156[Gender],"Male")</f>
        <v>490</v>
      </c>
    </row>
    <row r="74" spans="1:18" x14ac:dyDescent="0.35">
      <c r="A74" s="4">
        <v>73</v>
      </c>
      <c r="B74" s="5">
        <v>45159</v>
      </c>
      <c r="C74" s="4" t="s">
        <v>86</v>
      </c>
      <c r="D74" s="4" t="s">
        <v>10</v>
      </c>
      <c r="E74" s="4">
        <v>29</v>
      </c>
      <c r="F74" s="4" t="str">
        <f>IF(Table156[[#This Row],[Age]]&lt;=19,"Teenager",IF(Table156[[#This Row],[Age]]&lt;=40,"Median","Old"))</f>
        <v>Median</v>
      </c>
      <c r="G74" s="4" t="s">
        <v>16</v>
      </c>
      <c r="H74" s="4">
        <v>3</v>
      </c>
      <c r="I74" s="4">
        <v>30</v>
      </c>
      <c r="J74" s="4">
        <v>90</v>
      </c>
      <c r="K74" s="4" t="str" cm="1">
        <f t="array" ref="K74">_xlfn.IFS(AND(Table156[[#This Row],[Total Amount]]&gt;=1500),"Critical",AND(Table156[[#This Row],[Total Amount]]&gt;=1000),"High",TRUE,"Normal")</f>
        <v>Normal</v>
      </c>
      <c r="L74" s="4" t="str">
        <f>IF(Table156[[#This Row],[Total Amount]]&gt;=1000,"High",(IF(Table156[[#This Row],[Total Amount]]&gt;=500,"Medium","Low")))</f>
        <v>Low</v>
      </c>
      <c r="M74" s="4" t="str" cm="1">
        <f t="array" ref="M7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4" s="4" cm="1">
        <f t="array" ref="N7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13.5</v>
      </c>
      <c r="O74" s="4">
        <f>Table156[[#This Row],[Total Amount]]-Table156[[#This Row],[Discount Amount]]</f>
        <v>76.5</v>
      </c>
      <c r="P74" s="4" t="str">
        <f>IF(Table156[[#This Row],[Total Amount]]&gt;=1000,"High","Low")</f>
        <v>Low</v>
      </c>
      <c r="Q74" s="4" t="str" cm="1">
        <f t="array" ref="Q74">_xlfn.IFS(AND(Table156[[#This Row],[Total Amount]]&gt;=1500,"Critical"),AND(Table156[[#This Row],[Total Amount]]&gt;=1000,"High"),TRUE,"Normal")</f>
        <v>Normal</v>
      </c>
      <c r="R74" s="4">
        <f>COUNTIF(Table156[Gender],"Male")</f>
        <v>490</v>
      </c>
    </row>
    <row r="75" spans="1:18" x14ac:dyDescent="0.35">
      <c r="A75" s="4">
        <v>74</v>
      </c>
      <c r="B75" s="5">
        <v>45252</v>
      </c>
      <c r="C75" s="4" t="s">
        <v>87</v>
      </c>
      <c r="D75" s="4" t="s">
        <v>13</v>
      </c>
      <c r="E75" s="4">
        <v>18</v>
      </c>
      <c r="F75" s="4" t="str">
        <f>IF(Table156[[#This Row],[Age]]&lt;=19,"Teenager",IF(Table156[[#This Row],[Age]]&lt;=40,"Median","Old"))</f>
        <v>Teenager</v>
      </c>
      <c r="G75" s="4" t="s">
        <v>11</v>
      </c>
      <c r="H75" s="4">
        <v>4</v>
      </c>
      <c r="I75" s="4">
        <v>500</v>
      </c>
      <c r="J75" s="4">
        <v>2000</v>
      </c>
      <c r="K75" s="4" t="str" cm="1">
        <f t="array" ref="K75">_xlfn.IFS(AND(Table156[[#This Row],[Total Amount]]&gt;=1500),"Critical",AND(Table156[[#This Row],[Total Amount]]&gt;=1000),"High",TRUE,"Normal")</f>
        <v>Critical</v>
      </c>
      <c r="L75" s="4" t="str">
        <f>IF(Table156[[#This Row],[Total Amount]]&gt;=1000,"High",(IF(Table156[[#This Row],[Total Amount]]&gt;=500,"Medium","Low")))</f>
        <v>High</v>
      </c>
      <c r="M75" s="4" t="str" cm="1">
        <f t="array" ref="M7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75" s="4" cm="1">
        <f t="array" ref="N7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75" s="4">
        <f>Table156[[#This Row],[Total Amount]]-Table156[[#This Row],[Discount Amount]]</f>
        <v>2000</v>
      </c>
      <c r="P75" s="4" t="str">
        <f>IF(Table156[[#This Row],[Total Amount]]&gt;=1000,"High","Low")</f>
        <v>High</v>
      </c>
      <c r="Q75" s="4" t="b" cm="1">
        <f t="array" ref="Q75">_xlfn.IFS(AND(Table156[[#This Row],[Total Amount]]&gt;=1500,"Critical"),AND(Table156[[#This Row],[Total Amount]]&gt;=1000,"High"),TRUE,"Normal")</f>
        <v>1</v>
      </c>
      <c r="R75" s="4">
        <f>COUNTIF(Table156[Gender],"Male")</f>
        <v>490</v>
      </c>
    </row>
    <row r="76" spans="1:18" x14ac:dyDescent="0.35">
      <c r="A76" s="4">
        <v>75</v>
      </c>
      <c r="B76" s="5">
        <v>45113</v>
      </c>
      <c r="C76" s="4" t="s">
        <v>88</v>
      </c>
      <c r="D76" s="4" t="s">
        <v>10</v>
      </c>
      <c r="E76" s="4">
        <v>61</v>
      </c>
      <c r="F76" s="4" t="str">
        <f>IF(Table156[[#This Row],[Age]]&lt;=19,"Teenager",IF(Table156[[#This Row],[Age]]&lt;=40,"Median","Old"))</f>
        <v>Old</v>
      </c>
      <c r="G76" s="4" t="s">
        <v>11</v>
      </c>
      <c r="H76" s="4">
        <v>4</v>
      </c>
      <c r="I76" s="4">
        <v>50</v>
      </c>
      <c r="J76" s="4">
        <v>200</v>
      </c>
      <c r="K76" s="4" t="str" cm="1">
        <f t="array" ref="K76">_xlfn.IFS(AND(Table156[[#This Row],[Total Amount]]&gt;=1500),"Critical",AND(Table156[[#This Row],[Total Amount]]&gt;=1000),"High",TRUE,"Normal")</f>
        <v>Normal</v>
      </c>
      <c r="L76" s="4" t="str">
        <f>IF(Table156[[#This Row],[Total Amount]]&gt;=1000,"High",(IF(Table156[[#This Row],[Total Amount]]&gt;=500,"Medium","Low")))</f>
        <v>Low</v>
      </c>
      <c r="M76" s="4" t="str" cm="1">
        <f t="array" ref="M7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6" s="4" cm="1">
        <f t="array" ref="N7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76" s="4">
        <f>Table156[[#This Row],[Total Amount]]-Table156[[#This Row],[Discount Amount]]</f>
        <v>180</v>
      </c>
      <c r="P76" s="4" t="str">
        <f>IF(Table156[[#This Row],[Total Amount]]&gt;=1000,"High","Low")</f>
        <v>Low</v>
      </c>
      <c r="Q76" s="4" t="str" cm="1">
        <f t="array" ref="Q76">_xlfn.IFS(AND(Table156[[#This Row],[Total Amount]]&gt;=1500,"Critical"),AND(Table156[[#This Row],[Total Amount]]&gt;=1000,"High"),TRUE,"Normal")</f>
        <v>Normal</v>
      </c>
      <c r="R76" s="4">
        <f>COUNTIF(Table156[Gender],"Male")</f>
        <v>490</v>
      </c>
    </row>
    <row r="77" spans="1:18" x14ac:dyDescent="0.35">
      <c r="A77" s="4">
        <v>76</v>
      </c>
      <c r="B77" s="5">
        <v>45010</v>
      </c>
      <c r="C77" s="4" t="s">
        <v>89</v>
      </c>
      <c r="D77" s="4" t="s">
        <v>13</v>
      </c>
      <c r="E77" s="4">
        <v>22</v>
      </c>
      <c r="F77" s="4" t="str">
        <f>IF(Table156[[#This Row],[Age]]&lt;=19,"Teenager",IF(Table156[[#This Row],[Age]]&lt;=40,"Median","Old"))</f>
        <v>Median</v>
      </c>
      <c r="G77" s="4" t="s">
        <v>16</v>
      </c>
      <c r="H77" s="4">
        <v>2</v>
      </c>
      <c r="I77" s="4">
        <v>50</v>
      </c>
      <c r="J77" s="4">
        <v>100</v>
      </c>
      <c r="K77" s="4" t="str" cm="1">
        <f t="array" ref="K77">_xlfn.IFS(AND(Table156[[#This Row],[Total Amount]]&gt;=1500),"Critical",AND(Table156[[#This Row],[Total Amount]]&gt;=1000),"High",TRUE,"Normal")</f>
        <v>Normal</v>
      </c>
      <c r="L77" s="4" t="str">
        <f>IF(Table156[[#This Row],[Total Amount]]&gt;=1000,"High",(IF(Table156[[#This Row],[Total Amount]]&gt;=500,"Medium","Low")))</f>
        <v>Low</v>
      </c>
      <c r="M77" s="4" t="str" cm="1">
        <f t="array" ref="M7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77" s="4" cm="1">
        <f t="array" ref="N7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77" s="4">
        <f>Table156[[#This Row],[Total Amount]]-Table156[[#This Row],[Discount Amount]]</f>
        <v>100</v>
      </c>
      <c r="P77" s="4" t="str">
        <f>IF(Table156[[#This Row],[Total Amount]]&gt;=1000,"High","Low")</f>
        <v>Low</v>
      </c>
      <c r="Q77" s="4" t="str" cm="1">
        <f t="array" ref="Q77">_xlfn.IFS(AND(Table156[[#This Row],[Total Amount]]&gt;=1500,"Critical"),AND(Table156[[#This Row],[Total Amount]]&gt;=1000,"High"),TRUE,"Normal")</f>
        <v>Normal</v>
      </c>
      <c r="R77" s="4">
        <f>COUNTIF(Table156[Gender],"Male")</f>
        <v>490</v>
      </c>
    </row>
    <row r="78" spans="1:18" x14ac:dyDescent="0.35">
      <c r="A78" s="4">
        <v>77</v>
      </c>
      <c r="B78" s="5">
        <v>45116</v>
      </c>
      <c r="C78" s="4" t="s">
        <v>90</v>
      </c>
      <c r="D78" s="4" t="s">
        <v>13</v>
      </c>
      <c r="E78" s="4">
        <v>47</v>
      </c>
      <c r="F78" s="4" t="str">
        <f>IF(Table156[[#This Row],[Age]]&lt;=19,"Teenager",IF(Table156[[#This Row],[Age]]&lt;=40,"Median","Old"))</f>
        <v>Old</v>
      </c>
      <c r="G78" s="4" t="s">
        <v>14</v>
      </c>
      <c r="H78" s="4">
        <v>2</v>
      </c>
      <c r="I78" s="4">
        <v>50</v>
      </c>
      <c r="J78" s="4">
        <v>100</v>
      </c>
      <c r="K78" s="4" t="str" cm="1">
        <f t="array" ref="K78">_xlfn.IFS(AND(Table156[[#This Row],[Total Amount]]&gt;=1500),"Critical",AND(Table156[[#This Row],[Total Amount]]&gt;=1000),"High",TRUE,"Normal")</f>
        <v>Normal</v>
      </c>
      <c r="L78" s="4" t="str">
        <f>IF(Table156[[#This Row],[Total Amount]]&gt;=1000,"High",(IF(Table156[[#This Row],[Total Amount]]&gt;=500,"Medium","Low")))</f>
        <v>Low</v>
      </c>
      <c r="M78" s="4" t="str" cm="1">
        <f t="array" ref="M7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8" s="4" cm="1">
        <f t="array" ref="N7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78" s="4">
        <f>Table156[[#This Row],[Total Amount]]-Table156[[#This Row],[Discount Amount]]</f>
        <v>80</v>
      </c>
      <c r="P78" s="4" t="str">
        <f>IF(Table156[[#This Row],[Total Amount]]&gt;=1000,"High","Low")</f>
        <v>Low</v>
      </c>
      <c r="Q78" s="4" t="str" cm="1">
        <f t="array" ref="Q78">_xlfn.IFS(AND(Table156[[#This Row],[Total Amount]]&gt;=1500,"Critical"),AND(Table156[[#This Row],[Total Amount]]&gt;=1000,"High"),TRUE,"Normal")</f>
        <v>Normal</v>
      </c>
      <c r="R78" s="4">
        <f>COUNTIF(Table156[Gender],"Male")</f>
        <v>490</v>
      </c>
    </row>
    <row r="79" spans="1:18" x14ac:dyDescent="0.35">
      <c r="A79" s="4">
        <v>78</v>
      </c>
      <c r="B79" s="5">
        <v>45108</v>
      </c>
      <c r="C79" s="4" t="s">
        <v>91</v>
      </c>
      <c r="D79" s="4" t="s">
        <v>13</v>
      </c>
      <c r="E79" s="4">
        <v>47</v>
      </c>
      <c r="F79" s="4" t="str">
        <f>IF(Table156[[#This Row],[Age]]&lt;=19,"Teenager",IF(Table156[[#This Row],[Age]]&lt;=40,"Median","Old"))</f>
        <v>Old</v>
      </c>
      <c r="G79" s="4" t="s">
        <v>14</v>
      </c>
      <c r="H79" s="4">
        <v>3</v>
      </c>
      <c r="I79" s="4">
        <v>500</v>
      </c>
      <c r="J79" s="4">
        <v>1500</v>
      </c>
      <c r="K79" s="4" t="str" cm="1">
        <f t="array" ref="K79">_xlfn.IFS(AND(Table156[[#This Row],[Total Amount]]&gt;=1500),"Critical",AND(Table156[[#This Row],[Total Amount]]&gt;=1000),"High",TRUE,"Normal")</f>
        <v>Critical</v>
      </c>
      <c r="L79" s="4" t="str">
        <f>IF(Table156[[#This Row],[Total Amount]]&gt;=1000,"High",(IF(Table156[[#This Row],[Total Amount]]&gt;=500,"Medium","Low")))</f>
        <v>High</v>
      </c>
      <c r="M79" s="4" t="str" cm="1">
        <f t="array" ref="M7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9" s="4" cm="1">
        <f t="array" ref="N7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79" s="4">
        <f>Table156[[#This Row],[Total Amount]]-Table156[[#This Row],[Discount Amount]]</f>
        <v>1200</v>
      </c>
      <c r="P79" s="4" t="str">
        <f>IF(Table156[[#This Row],[Total Amount]]&gt;=1000,"High","Low")</f>
        <v>High</v>
      </c>
      <c r="Q79" s="4" t="b" cm="1">
        <f t="array" ref="Q79">_xlfn.IFS(AND(Table156[[#This Row],[Total Amount]]&gt;=1500,"Critical"),AND(Table156[[#This Row],[Total Amount]]&gt;=1000,"High"),TRUE,"Normal")</f>
        <v>1</v>
      </c>
      <c r="R79" s="4">
        <f>COUNTIF(Table156[Gender],"Male")</f>
        <v>490</v>
      </c>
    </row>
    <row r="80" spans="1:18" x14ac:dyDescent="0.35">
      <c r="A80" s="4">
        <v>79</v>
      </c>
      <c r="B80" s="5">
        <v>45034</v>
      </c>
      <c r="C80" s="4" t="s">
        <v>92</v>
      </c>
      <c r="D80" s="4" t="s">
        <v>10</v>
      </c>
      <c r="E80" s="4">
        <v>34</v>
      </c>
      <c r="F80" s="4" t="str">
        <f>IF(Table156[[#This Row],[Age]]&lt;=19,"Teenager",IF(Table156[[#This Row],[Age]]&lt;=40,"Median","Old"))</f>
        <v>Median</v>
      </c>
      <c r="G80" s="4" t="s">
        <v>11</v>
      </c>
      <c r="H80" s="4">
        <v>1</v>
      </c>
      <c r="I80" s="4">
        <v>300</v>
      </c>
      <c r="J80" s="4">
        <v>300</v>
      </c>
      <c r="K80" s="4" t="str" cm="1">
        <f t="array" ref="K80">_xlfn.IFS(AND(Table156[[#This Row],[Total Amount]]&gt;=1500),"Critical",AND(Table156[[#This Row],[Total Amount]]&gt;=1000),"High",TRUE,"Normal")</f>
        <v>Normal</v>
      </c>
      <c r="L80" s="4" t="str">
        <f>IF(Table156[[#This Row],[Total Amount]]&gt;=1000,"High",(IF(Table156[[#This Row],[Total Amount]]&gt;=500,"Medium","Low")))</f>
        <v>Low</v>
      </c>
      <c r="M80" s="4" t="str" cm="1">
        <f t="array" ref="M8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0" s="4" cm="1">
        <f t="array" ref="N8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45</v>
      </c>
      <c r="O80" s="4">
        <f>Table156[[#This Row],[Total Amount]]-Table156[[#This Row],[Discount Amount]]</f>
        <v>255</v>
      </c>
      <c r="P80" s="4" t="str">
        <f>IF(Table156[[#This Row],[Total Amount]]&gt;=1000,"High","Low")</f>
        <v>Low</v>
      </c>
      <c r="Q80" s="4" t="str" cm="1">
        <f t="array" ref="Q80">_xlfn.IFS(AND(Table156[[#This Row],[Total Amount]]&gt;=1500,"Critical"),AND(Table156[[#This Row],[Total Amount]]&gt;=1000,"High"),TRUE,"Normal")</f>
        <v>Normal</v>
      </c>
      <c r="R80" s="4">
        <f>COUNTIF(Table156[Gender],"Male")</f>
        <v>490</v>
      </c>
    </row>
    <row r="81" spans="1:18" x14ac:dyDescent="0.35">
      <c r="A81" s="4">
        <v>80</v>
      </c>
      <c r="B81" s="5">
        <v>45270</v>
      </c>
      <c r="C81" s="4" t="s">
        <v>93</v>
      </c>
      <c r="D81" s="4" t="s">
        <v>13</v>
      </c>
      <c r="E81" s="4">
        <v>64</v>
      </c>
      <c r="F81" s="4" t="str">
        <f>IF(Table156[[#This Row],[Age]]&lt;=19,"Teenager",IF(Table156[[#This Row],[Age]]&lt;=40,"Median","Old"))</f>
        <v>Old</v>
      </c>
      <c r="G81" s="4" t="s">
        <v>14</v>
      </c>
      <c r="H81" s="4">
        <v>2</v>
      </c>
      <c r="I81" s="4">
        <v>30</v>
      </c>
      <c r="J81" s="4">
        <v>60</v>
      </c>
      <c r="K81" s="4" t="str" cm="1">
        <f t="array" ref="K81">_xlfn.IFS(AND(Table156[[#This Row],[Total Amount]]&gt;=1500),"Critical",AND(Table156[[#This Row],[Total Amount]]&gt;=1000),"High",TRUE,"Normal")</f>
        <v>Normal</v>
      </c>
      <c r="L81" s="4" t="str">
        <f>IF(Table156[[#This Row],[Total Amount]]&gt;=1000,"High",(IF(Table156[[#This Row],[Total Amount]]&gt;=500,"Medium","Low")))</f>
        <v>Low</v>
      </c>
      <c r="M81" s="4" t="str" cm="1">
        <f t="array" ref="M8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1" s="4" cm="1">
        <f t="array" ref="N8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81" s="4">
        <f>Table156[[#This Row],[Total Amount]]-Table156[[#This Row],[Discount Amount]]</f>
        <v>48</v>
      </c>
      <c r="P81" s="4" t="str">
        <f>IF(Table156[[#This Row],[Total Amount]]&gt;=1000,"High","Low")</f>
        <v>Low</v>
      </c>
      <c r="Q81" s="4" t="str" cm="1">
        <f t="array" ref="Q81">_xlfn.IFS(AND(Table156[[#This Row],[Total Amount]]&gt;=1500,"Critical"),AND(Table156[[#This Row],[Total Amount]]&gt;=1000,"High"),TRUE,"Normal")</f>
        <v>Normal</v>
      </c>
      <c r="R81" s="4">
        <f>COUNTIF(Table156[Gender],"Male")</f>
        <v>490</v>
      </c>
    </row>
    <row r="82" spans="1:18" x14ac:dyDescent="0.35">
      <c r="A82" s="4">
        <v>81</v>
      </c>
      <c r="B82" s="5">
        <v>45063</v>
      </c>
      <c r="C82" s="4" t="s">
        <v>94</v>
      </c>
      <c r="D82" s="4" t="s">
        <v>10</v>
      </c>
      <c r="E82" s="4">
        <v>40</v>
      </c>
      <c r="F82" s="4" t="str">
        <f>IF(Table156[[#This Row],[Age]]&lt;=19,"Teenager",IF(Table156[[#This Row],[Age]]&lt;=40,"Median","Old"))</f>
        <v>Median</v>
      </c>
      <c r="G82" s="4" t="s">
        <v>16</v>
      </c>
      <c r="H82" s="4">
        <v>1</v>
      </c>
      <c r="I82" s="4">
        <v>50</v>
      </c>
      <c r="J82" s="4">
        <v>50</v>
      </c>
      <c r="K82" s="4" t="str" cm="1">
        <f t="array" ref="K82">_xlfn.IFS(AND(Table156[[#This Row],[Total Amount]]&gt;=1500),"Critical",AND(Table156[[#This Row],[Total Amount]]&gt;=1000),"High",TRUE,"Normal")</f>
        <v>Normal</v>
      </c>
      <c r="L82" s="4" t="str">
        <f>IF(Table156[[#This Row],[Total Amount]]&gt;=1000,"High",(IF(Table156[[#This Row],[Total Amount]]&gt;=500,"Medium","Low")))</f>
        <v>Low</v>
      </c>
      <c r="M82" s="4" t="str" cm="1">
        <f t="array" ref="M8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2" s="4" cm="1">
        <f t="array" ref="N8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82" s="4">
        <f>Table156[[#This Row],[Total Amount]]-Table156[[#This Row],[Discount Amount]]</f>
        <v>45</v>
      </c>
      <c r="P82" s="4" t="str">
        <f>IF(Table156[[#This Row],[Total Amount]]&gt;=1000,"High","Low")</f>
        <v>Low</v>
      </c>
      <c r="Q82" s="4" t="str" cm="1">
        <f t="array" ref="Q82">_xlfn.IFS(AND(Table156[[#This Row],[Total Amount]]&gt;=1500,"Critical"),AND(Table156[[#This Row],[Total Amount]]&gt;=1000,"High"),TRUE,"Normal")</f>
        <v>Normal</v>
      </c>
      <c r="R82" s="4">
        <f>COUNTIF(Table156[Gender],"Male")</f>
        <v>490</v>
      </c>
    </row>
    <row r="83" spans="1:18" x14ac:dyDescent="0.35">
      <c r="A83" s="4">
        <v>82</v>
      </c>
      <c r="B83" s="5">
        <v>45286</v>
      </c>
      <c r="C83" s="4" t="s">
        <v>95</v>
      </c>
      <c r="D83" s="4" t="s">
        <v>13</v>
      </c>
      <c r="E83" s="4">
        <v>32</v>
      </c>
      <c r="F83" s="4" t="str">
        <f>IF(Table156[[#This Row],[Age]]&lt;=19,"Teenager",IF(Table156[[#This Row],[Age]]&lt;=40,"Median","Old"))</f>
        <v>Median</v>
      </c>
      <c r="G83" s="4" t="s">
        <v>11</v>
      </c>
      <c r="H83" s="4">
        <v>4</v>
      </c>
      <c r="I83" s="4">
        <v>50</v>
      </c>
      <c r="J83" s="4">
        <v>200</v>
      </c>
      <c r="K83" s="4" t="str" cm="1">
        <f t="array" ref="K83">_xlfn.IFS(AND(Table156[[#This Row],[Total Amount]]&gt;=1500),"Critical",AND(Table156[[#This Row],[Total Amount]]&gt;=1000),"High",TRUE,"Normal")</f>
        <v>Normal</v>
      </c>
      <c r="L83" s="4" t="str">
        <f>IF(Table156[[#This Row],[Total Amount]]&gt;=1000,"High",(IF(Table156[[#This Row],[Total Amount]]&gt;=500,"Medium","Low")))</f>
        <v>Low</v>
      </c>
      <c r="M83" s="4" t="str" cm="1">
        <f t="array" ref="M8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3" s="4" cm="1">
        <f t="array" ref="N8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83" s="4">
        <f>Table156[[#This Row],[Total Amount]]-Table156[[#This Row],[Discount Amount]]</f>
        <v>170</v>
      </c>
      <c r="P83" s="4" t="str">
        <f>IF(Table156[[#This Row],[Total Amount]]&gt;=1000,"High","Low")</f>
        <v>Low</v>
      </c>
      <c r="Q83" s="4" t="str" cm="1">
        <f t="array" ref="Q83">_xlfn.IFS(AND(Table156[[#This Row],[Total Amount]]&gt;=1500,"Critical"),AND(Table156[[#This Row],[Total Amount]]&gt;=1000,"High"),TRUE,"Normal")</f>
        <v>Normal</v>
      </c>
      <c r="R83" s="4">
        <f>COUNTIF(Table156[Gender],"Male")</f>
        <v>490</v>
      </c>
    </row>
    <row r="84" spans="1:18" x14ac:dyDescent="0.35">
      <c r="A84" s="4">
        <v>83</v>
      </c>
      <c r="B84" s="5">
        <v>45276</v>
      </c>
      <c r="C84" s="4" t="s">
        <v>96</v>
      </c>
      <c r="D84" s="4" t="s">
        <v>10</v>
      </c>
      <c r="E84" s="4">
        <v>54</v>
      </c>
      <c r="F84" s="4" t="str">
        <f>IF(Table156[[#This Row],[Age]]&lt;=19,"Teenager",IF(Table156[[#This Row],[Age]]&lt;=40,"Median","Old"))</f>
        <v>Old</v>
      </c>
      <c r="G84" s="4" t="s">
        <v>16</v>
      </c>
      <c r="H84" s="4">
        <v>2</v>
      </c>
      <c r="I84" s="4">
        <v>50</v>
      </c>
      <c r="J84" s="4">
        <v>100</v>
      </c>
      <c r="K84" s="4" t="str" cm="1">
        <f t="array" ref="K84">_xlfn.IFS(AND(Table156[[#This Row],[Total Amount]]&gt;=1500),"Critical",AND(Table156[[#This Row],[Total Amount]]&gt;=1000),"High",TRUE,"Normal")</f>
        <v>Normal</v>
      </c>
      <c r="L84" s="4" t="str">
        <f>IF(Table156[[#This Row],[Total Amount]]&gt;=1000,"High",(IF(Table156[[#This Row],[Total Amount]]&gt;=500,"Medium","Low")))</f>
        <v>Low</v>
      </c>
      <c r="M84" s="4" t="str" cm="1">
        <f t="array" ref="M8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4" s="4" cm="1">
        <f t="array" ref="N8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84" s="4">
        <f>Table156[[#This Row],[Total Amount]]-Table156[[#This Row],[Discount Amount]]</f>
        <v>90</v>
      </c>
      <c r="P84" s="4" t="str">
        <f>IF(Table156[[#This Row],[Total Amount]]&gt;=1000,"High","Low")</f>
        <v>Low</v>
      </c>
      <c r="Q84" s="4" t="str" cm="1">
        <f t="array" ref="Q84">_xlfn.IFS(AND(Table156[[#This Row],[Total Amount]]&gt;=1500,"Critical"),AND(Table156[[#This Row],[Total Amount]]&gt;=1000,"High"),TRUE,"Normal")</f>
        <v>Normal</v>
      </c>
      <c r="R84" s="4">
        <f>COUNTIF(Table156[Gender],"Male")</f>
        <v>490</v>
      </c>
    </row>
    <row r="85" spans="1:18" x14ac:dyDescent="0.35">
      <c r="A85" s="4">
        <v>84</v>
      </c>
      <c r="B85" s="5">
        <v>45258</v>
      </c>
      <c r="C85" s="4" t="s">
        <v>97</v>
      </c>
      <c r="D85" s="4" t="s">
        <v>13</v>
      </c>
      <c r="E85" s="4">
        <v>38</v>
      </c>
      <c r="F85" s="4" t="str">
        <f>IF(Table156[[#This Row],[Age]]&lt;=19,"Teenager",IF(Table156[[#This Row],[Age]]&lt;=40,"Median","Old"))</f>
        <v>Median</v>
      </c>
      <c r="G85" s="4" t="s">
        <v>16</v>
      </c>
      <c r="H85" s="4">
        <v>3</v>
      </c>
      <c r="I85" s="4">
        <v>30</v>
      </c>
      <c r="J85" s="4">
        <v>90</v>
      </c>
      <c r="K85" s="4" t="str" cm="1">
        <f t="array" ref="K85">_xlfn.IFS(AND(Table156[[#This Row],[Total Amount]]&gt;=1500),"Critical",AND(Table156[[#This Row],[Total Amount]]&gt;=1000),"High",TRUE,"Normal")</f>
        <v>Normal</v>
      </c>
      <c r="L85" s="4" t="str">
        <f>IF(Table156[[#This Row],[Total Amount]]&gt;=1000,"High",(IF(Table156[[#This Row],[Total Amount]]&gt;=500,"Medium","Low")))</f>
        <v>Low</v>
      </c>
      <c r="M85" s="4" t="str" cm="1">
        <f t="array" ref="M8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5" s="4" cm="1">
        <f t="array" ref="N8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85" s="4">
        <f>Table156[[#This Row],[Total Amount]]-Table156[[#This Row],[Discount Amount]]</f>
        <v>72</v>
      </c>
      <c r="P85" s="4" t="str">
        <f>IF(Table156[[#This Row],[Total Amount]]&gt;=1000,"High","Low")</f>
        <v>Low</v>
      </c>
      <c r="Q85" s="4" t="str" cm="1">
        <f t="array" ref="Q85">_xlfn.IFS(AND(Table156[[#This Row],[Total Amount]]&gt;=1500,"Critical"),AND(Table156[[#This Row],[Total Amount]]&gt;=1000,"High"),TRUE,"Normal")</f>
        <v>Normal</v>
      </c>
      <c r="R85" s="4">
        <f>COUNTIF(Table156[Gender],"Male")</f>
        <v>490</v>
      </c>
    </row>
    <row r="86" spans="1:18" x14ac:dyDescent="0.35">
      <c r="A86" s="4">
        <v>85</v>
      </c>
      <c r="B86" s="5">
        <v>44963</v>
      </c>
      <c r="C86" s="4" t="s">
        <v>98</v>
      </c>
      <c r="D86" s="4" t="s">
        <v>10</v>
      </c>
      <c r="E86" s="4">
        <v>31</v>
      </c>
      <c r="F86" s="4" t="str">
        <f>IF(Table156[[#This Row],[Age]]&lt;=19,"Teenager",IF(Table156[[#This Row],[Age]]&lt;=40,"Median","Old"))</f>
        <v>Median</v>
      </c>
      <c r="G86" s="4" t="s">
        <v>14</v>
      </c>
      <c r="H86" s="4">
        <v>3</v>
      </c>
      <c r="I86" s="4">
        <v>50</v>
      </c>
      <c r="J86" s="4">
        <v>150</v>
      </c>
      <c r="K86" s="4" t="str" cm="1">
        <f t="array" ref="K86">_xlfn.IFS(AND(Table156[[#This Row],[Total Amount]]&gt;=1500),"Critical",AND(Table156[[#This Row],[Total Amount]]&gt;=1000),"High",TRUE,"Normal")</f>
        <v>Normal</v>
      </c>
      <c r="L86" s="4" t="str">
        <f>IF(Table156[[#This Row],[Total Amount]]&gt;=1000,"High",(IF(Table156[[#This Row],[Total Amount]]&gt;=500,"Medium","Low")))</f>
        <v>Low</v>
      </c>
      <c r="M86" s="4" t="str" cm="1">
        <f t="array" ref="M8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6" s="4" cm="1">
        <f t="array" ref="N8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22.5</v>
      </c>
      <c r="O86" s="4">
        <f>Table156[[#This Row],[Total Amount]]-Table156[[#This Row],[Discount Amount]]</f>
        <v>127.5</v>
      </c>
      <c r="P86" s="4" t="str">
        <f>IF(Table156[[#This Row],[Total Amount]]&gt;=1000,"High","Low")</f>
        <v>Low</v>
      </c>
      <c r="Q86" s="4" t="str" cm="1">
        <f t="array" ref="Q86">_xlfn.IFS(AND(Table156[[#This Row],[Total Amount]]&gt;=1500,"Critical"),AND(Table156[[#This Row],[Total Amount]]&gt;=1000,"High"),TRUE,"Normal")</f>
        <v>Normal</v>
      </c>
      <c r="R86" s="4">
        <f>COUNTIF(Table156[Gender],"Male")</f>
        <v>490</v>
      </c>
    </row>
    <row r="87" spans="1:18" x14ac:dyDescent="0.35">
      <c r="A87" s="4">
        <v>86</v>
      </c>
      <c r="B87" s="5">
        <v>45238</v>
      </c>
      <c r="C87" s="4" t="s">
        <v>99</v>
      </c>
      <c r="D87" s="4" t="s">
        <v>10</v>
      </c>
      <c r="E87" s="4">
        <v>19</v>
      </c>
      <c r="F87" s="4" t="str">
        <f>IF(Table156[[#This Row],[Age]]&lt;=19,"Teenager",IF(Table156[[#This Row],[Age]]&lt;=40,"Median","Old"))</f>
        <v>Teenager</v>
      </c>
      <c r="G87" s="4" t="s">
        <v>11</v>
      </c>
      <c r="H87" s="4">
        <v>3</v>
      </c>
      <c r="I87" s="4">
        <v>30</v>
      </c>
      <c r="J87" s="4">
        <v>90</v>
      </c>
      <c r="K87" s="4" t="str" cm="1">
        <f t="array" ref="K87">_xlfn.IFS(AND(Table156[[#This Row],[Total Amount]]&gt;=1500),"Critical",AND(Table156[[#This Row],[Total Amount]]&gt;=1000),"High",TRUE,"Normal")</f>
        <v>Normal</v>
      </c>
      <c r="L87" s="4" t="str">
        <f>IF(Table156[[#This Row],[Total Amount]]&gt;=1000,"High",(IF(Table156[[#This Row],[Total Amount]]&gt;=500,"Medium","Low")))</f>
        <v>Low</v>
      </c>
      <c r="M87" s="4" t="str" cm="1">
        <f t="array" ref="M8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7" s="4" cm="1">
        <f t="array" ref="N8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7" s="4">
        <f>Table156[[#This Row],[Total Amount]]-Table156[[#This Row],[Discount Amount]]</f>
        <v>90</v>
      </c>
      <c r="P87" s="4" t="str">
        <f>IF(Table156[[#This Row],[Total Amount]]&gt;=1000,"High","Low")</f>
        <v>Low</v>
      </c>
      <c r="Q87" s="4" t="str" cm="1">
        <f t="array" ref="Q87">_xlfn.IFS(AND(Table156[[#This Row],[Total Amount]]&gt;=1500,"Critical"),AND(Table156[[#This Row],[Total Amount]]&gt;=1000,"High"),TRUE,"Normal")</f>
        <v>Normal</v>
      </c>
      <c r="R87" s="4">
        <f>COUNTIF(Table156[Gender],"Male")</f>
        <v>490</v>
      </c>
    </row>
    <row r="88" spans="1:18" x14ac:dyDescent="0.35">
      <c r="A88" s="4">
        <v>87</v>
      </c>
      <c r="B88" s="5">
        <v>45252</v>
      </c>
      <c r="C88" s="4" t="s">
        <v>100</v>
      </c>
      <c r="D88" s="4" t="s">
        <v>13</v>
      </c>
      <c r="E88" s="4">
        <v>28</v>
      </c>
      <c r="F88" s="4" t="str">
        <f>IF(Table156[[#This Row],[Age]]&lt;=19,"Teenager",IF(Table156[[#This Row],[Age]]&lt;=40,"Median","Old"))</f>
        <v>Median</v>
      </c>
      <c r="G88" s="4" t="s">
        <v>11</v>
      </c>
      <c r="H88" s="4">
        <v>2</v>
      </c>
      <c r="I88" s="4">
        <v>50</v>
      </c>
      <c r="J88" s="4">
        <v>100</v>
      </c>
      <c r="K88" s="4" t="str" cm="1">
        <f t="array" ref="K88">_xlfn.IFS(AND(Table156[[#This Row],[Total Amount]]&gt;=1500),"Critical",AND(Table156[[#This Row],[Total Amount]]&gt;=1000),"High",TRUE,"Normal")</f>
        <v>Normal</v>
      </c>
      <c r="L88" s="4" t="str">
        <f>IF(Table156[[#This Row],[Total Amount]]&gt;=1000,"High",(IF(Table156[[#This Row],[Total Amount]]&gt;=500,"Medium","Low")))</f>
        <v>Low</v>
      </c>
      <c r="M88" s="4" t="str" cm="1">
        <f t="array" ref="M8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8" s="4" cm="1">
        <f t="array" ref="N8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88" s="4">
        <f>Table156[[#This Row],[Total Amount]]-Table156[[#This Row],[Discount Amount]]</f>
        <v>85</v>
      </c>
      <c r="P88" s="4" t="str">
        <f>IF(Table156[[#This Row],[Total Amount]]&gt;=1000,"High","Low")</f>
        <v>Low</v>
      </c>
      <c r="Q88" s="4" t="str" cm="1">
        <f t="array" ref="Q88">_xlfn.IFS(AND(Table156[[#This Row],[Total Amount]]&gt;=1500,"Critical"),AND(Table156[[#This Row],[Total Amount]]&gt;=1000,"High"),TRUE,"Normal")</f>
        <v>Normal</v>
      </c>
      <c r="R88" s="4">
        <f>COUNTIF(Table156[Gender],"Male")</f>
        <v>490</v>
      </c>
    </row>
    <row r="89" spans="1:18" x14ac:dyDescent="0.35">
      <c r="A89" s="4">
        <v>88</v>
      </c>
      <c r="B89" s="5">
        <v>45014</v>
      </c>
      <c r="C89" s="4" t="s">
        <v>101</v>
      </c>
      <c r="D89" s="4" t="s">
        <v>10</v>
      </c>
      <c r="E89" s="4">
        <v>56</v>
      </c>
      <c r="F89" s="4" t="str">
        <f>IF(Table156[[#This Row],[Age]]&lt;=19,"Teenager",IF(Table156[[#This Row],[Age]]&lt;=40,"Median","Old"))</f>
        <v>Old</v>
      </c>
      <c r="G89" s="4" t="s">
        <v>14</v>
      </c>
      <c r="H89" s="4">
        <v>1</v>
      </c>
      <c r="I89" s="4">
        <v>500</v>
      </c>
      <c r="J89" s="4">
        <v>500</v>
      </c>
      <c r="K89" s="4" t="str" cm="1">
        <f t="array" ref="K89">_xlfn.IFS(AND(Table156[[#This Row],[Total Amount]]&gt;=1500),"Critical",AND(Table156[[#This Row],[Total Amount]]&gt;=1000),"High",TRUE,"Normal")</f>
        <v>Normal</v>
      </c>
      <c r="L89" s="4" t="str">
        <f>IF(Table156[[#This Row],[Total Amount]]&gt;=1000,"High",(IF(Table156[[#This Row],[Total Amount]]&gt;=500,"Medium","Low")))</f>
        <v>Medium</v>
      </c>
      <c r="M89" s="4" t="str" cm="1">
        <f t="array" ref="M8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9" s="4" cm="1">
        <f t="array" ref="N8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89" s="4">
        <f>Table156[[#This Row],[Total Amount]]-Table156[[#This Row],[Discount Amount]]</f>
        <v>450</v>
      </c>
      <c r="P89" s="4" t="str">
        <f>IF(Table156[[#This Row],[Total Amount]]&gt;=1000,"High","Low")</f>
        <v>Low</v>
      </c>
      <c r="Q89" s="4" t="str" cm="1">
        <f t="array" ref="Q89">_xlfn.IFS(AND(Table156[[#This Row],[Total Amount]]&gt;=1500,"Critical"),AND(Table156[[#This Row],[Total Amount]]&gt;=1000,"High"),TRUE,"Normal")</f>
        <v>Normal</v>
      </c>
      <c r="R89" s="4">
        <f>COUNTIF(Table156[Gender],"Male")</f>
        <v>490</v>
      </c>
    </row>
    <row r="90" spans="1:18" x14ac:dyDescent="0.35">
      <c r="A90" s="4">
        <v>89</v>
      </c>
      <c r="B90" s="5">
        <v>45200</v>
      </c>
      <c r="C90" s="4" t="s">
        <v>102</v>
      </c>
      <c r="D90" s="4" t="s">
        <v>13</v>
      </c>
      <c r="E90" s="4">
        <v>55</v>
      </c>
      <c r="F90" s="4" t="str">
        <f>IF(Table156[[#This Row],[Age]]&lt;=19,"Teenager",IF(Table156[[#This Row],[Age]]&lt;=40,"Median","Old"))</f>
        <v>Old</v>
      </c>
      <c r="G90" s="4" t="s">
        <v>16</v>
      </c>
      <c r="H90" s="4">
        <v>4</v>
      </c>
      <c r="I90" s="4">
        <v>500</v>
      </c>
      <c r="J90" s="4">
        <v>2000</v>
      </c>
      <c r="K90" s="4" t="str" cm="1">
        <f t="array" ref="K90">_xlfn.IFS(AND(Table156[[#This Row],[Total Amount]]&gt;=1500),"Critical",AND(Table156[[#This Row],[Total Amount]]&gt;=1000),"High",TRUE,"Normal")</f>
        <v>Critical</v>
      </c>
      <c r="L90" s="4" t="str">
        <f>IF(Table156[[#This Row],[Total Amount]]&gt;=1000,"High",(IF(Table156[[#This Row],[Total Amount]]&gt;=500,"Medium","Low")))</f>
        <v>High</v>
      </c>
      <c r="M90" s="4" t="str" cm="1">
        <f t="array" ref="M9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0" s="4" cm="1">
        <f t="array" ref="N9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400</v>
      </c>
      <c r="O90" s="4">
        <f>Table156[[#This Row],[Total Amount]]-Table156[[#This Row],[Discount Amount]]</f>
        <v>1600</v>
      </c>
      <c r="P90" s="4" t="str">
        <f>IF(Table156[[#This Row],[Total Amount]]&gt;=1000,"High","Low")</f>
        <v>High</v>
      </c>
      <c r="Q90" s="4" t="b" cm="1">
        <f t="array" ref="Q90">_xlfn.IFS(AND(Table156[[#This Row],[Total Amount]]&gt;=1500,"Critical"),AND(Table156[[#This Row],[Total Amount]]&gt;=1000,"High"),TRUE,"Normal")</f>
        <v>1</v>
      </c>
      <c r="R90" s="4">
        <f>COUNTIF(Table156[Gender],"Male")</f>
        <v>490</v>
      </c>
    </row>
    <row r="91" spans="1:18" x14ac:dyDescent="0.35">
      <c r="A91" s="4">
        <v>90</v>
      </c>
      <c r="B91" s="5">
        <v>45052</v>
      </c>
      <c r="C91" s="4" t="s">
        <v>103</v>
      </c>
      <c r="D91" s="4" t="s">
        <v>13</v>
      </c>
      <c r="E91" s="4">
        <v>51</v>
      </c>
      <c r="F91" s="4" t="str">
        <f>IF(Table156[[#This Row],[Age]]&lt;=19,"Teenager",IF(Table156[[#This Row],[Age]]&lt;=40,"Median","Old"))</f>
        <v>Old</v>
      </c>
      <c r="G91" s="4" t="s">
        <v>16</v>
      </c>
      <c r="H91" s="4">
        <v>1</v>
      </c>
      <c r="I91" s="4">
        <v>30</v>
      </c>
      <c r="J91" s="4">
        <v>30</v>
      </c>
      <c r="K91" s="4" t="str" cm="1">
        <f t="array" ref="K91">_xlfn.IFS(AND(Table156[[#This Row],[Total Amount]]&gt;=1500),"Critical",AND(Table156[[#This Row],[Total Amount]]&gt;=1000),"High",TRUE,"Normal")</f>
        <v>Normal</v>
      </c>
      <c r="L91" s="4" t="str">
        <f>IF(Table156[[#This Row],[Total Amount]]&gt;=1000,"High",(IF(Table156[[#This Row],[Total Amount]]&gt;=500,"Medium","Low")))</f>
        <v>Low</v>
      </c>
      <c r="M91" s="4" t="str" cm="1">
        <f t="array" ref="M9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1" s="4" cm="1">
        <f t="array" ref="N9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91" s="4">
        <f>Table156[[#This Row],[Total Amount]]-Table156[[#This Row],[Discount Amount]]</f>
        <v>24</v>
      </c>
      <c r="P91" s="4" t="str">
        <f>IF(Table156[[#This Row],[Total Amount]]&gt;=1000,"High","Low")</f>
        <v>Low</v>
      </c>
      <c r="Q91" s="4" t="str" cm="1">
        <f t="array" ref="Q91">_xlfn.IFS(AND(Table156[[#This Row],[Total Amount]]&gt;=1500,"Critical"),AND(Table156[[#This Row],[Total Amount]]&gt;=1000,"High"),TRUE,"Normal")</f>
        <v>Normal</v>
      </c>
      <c r="R91" s="4">
        <f>COUNTIF(Table156[Gender],"Male")</f>
        <v>490</v>
      </c>
    </row>
    <row r="92" spans="1:18" x14ac:dyDescent="0.35">
      <c r="A92" s="4">
        <v>91</v>
      </c>
      <c r="B92" s="5">
        <v>45010</v>
      </c>
      <c r="C92" s="4" t="s">
        <v>104</v>
      </c>
      <c r="D92" s="4" t="s">
        <v>13</v>
      </c>
      <c r="E92" s="4">
        <v>55</v>
      </c>
      <c r="F92" s="4" t="str">
        <f>IF(Table156[[#This Row],[Age]]&lt;=19,"Teenager",IF(Table156[[#This Row],[Age]]&lt;=40,"Median","Old"))</f>
        <v>Old</v>
      </c>
      <c r="G92" s="4" t="s">
        <v>16</v>
      </c>
      <c r="H92" s="4">
        <v>1</v>
      </c>
      <c r="I92" s="4">
        <v>500</v>
      </c>
      <c r="J92" s="4">
        <v>500</v>
      </c>
      <c r="K92" s="4" t="str" cm="1">
        <f t="array" ref="K92">_xlfn.IFS(AND(Table156[[#This Row],[Total Amount]]&gt;=1500),"Critical",AND(Table156[[#This Row],[Total Amount]]&gt;=1000),"High",TRUE,"Normal")</f>
        <v>Normal</v>
      </c>
      <c r="L92" s="4" t="str">
        <f>IF(Table156[[#This Row],[Total Amount]]&gt;=1000,"High",(IF(Table156[[#This Row],[Total Amount]]&gt;=500,"Medium","Low")))</f>
        <v>Medium</v>
      </c>
      <c r="M92" s="4" t="str" cm="1">
        <f t="array" ref="M9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2" s="4" cm="1">
        <f t="array" ref="N9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92" s="4">
        <f>Table156[[#This Row],[Total Amount]]-Table156[[#This Row],[Discount Amount]]</f>
        <v>400</v>
      </c>
      <c r="P92" s="4" t="str">
        <f>IF(Table156[[#This Row],[Total Amount]]&gt;=1000,"High","Low")</f>
        <v>Low</v>
      </c>
      <c r="Q92" s="4" t="str" cm="1">
        <f t="array" ref="Q92">_xlfn.IFS(AND(Table156[[#This Row],[Total Amount]]&gt;=1500,"Critical"),AND(Table156[[#This Row],[Total Amount]]&gt;=1000,"High"),TRUE,"Normal")</f>
        <v>Normal</v>
      </c>
      <c r="R92" s="4">
        <f>COUNTIF(Table156[Gender],"Male")</f>
        <v>490</v>
      </c>
    </row>
    <row r="93" spans="1:18" x14ac:dyDescent="0.35">
      <c r="A93" s="4">
        <v>92</v>
      </c>
      <c r="B93" s="5">
        <v>45163</v>
      </c>
      <c r="C93" s="4" t="s">
        <v>105</v>
      </c>
      <c r="D93" s="4" t="s">
        <v>13</v>
      </c>
      <c r="E93" s="4">
        <v>51</v>
      </c>
      <c r="F93" s="4" t="str">
        <f>IF(Table156[[#This Row],[Age]]&lt;=19,"Teenager",IF(Table156[[#This Row],[Age]]&lt;=40,"Median","Old"))</f>
        <v>Old</v>
      </c>
      <c r="G93" s="4" t="s">
        <v>16</v>
      </c>
      <c r="H93" s="4">
        <v>4</v>
      </c>
      <c r="I93" s="4">
        <v>30</v>
      </c>
      <c r="J93" s="4">
        <v>120</v>
      </c>
      <c r="K93" s="4" t="str" cm="1">
        <f t="array" ref="K93">_xlfn.IFS(AND(Table156[[#This Row],[Total Amount]]&gt;=1500),"Critical",AND(Table156[[#This Row],[Total Amount]]&gt;=1000),"High",TRUE,"Normal")</f>
        <v>Normal</v>
      </c>
      <c r="L93" s="4" t="str">
        <f>IF(Table156[[#This Row],[Total Amount]]&gt;=1000,"High",(IF(Table156[[#This Row],[Total Amount]]&gt;=500,"Medium","Low")))</f>
        <v>Low</v>
      </c>
      <c r="M93" s="4" t="str" cm="1">
        <f t="array" ref="M9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3" s="4" cm="1">
        <f t="array" ref="N9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93" s="4">
        <f>Table156[[#This Row],[Total Amount]]-Table156[[#This Row],[Discount Amount]]</f>
        <v>96</v>
      </c>
      <c r="P93" s="4" t="str">
        <f>IF(Table156[[#This Row],[Total Amount]]&gt;=1000,"High","Low")</f>
        <v>Low</v>
      </c>
      <c r="Q93" s="4" t="str" cm="1">
        <f t="array" ref="Q93">_xlfn.IFS(AND(Table156[[#This Row],[Total Amount]]&gt;=1500,"Critical"),AND(Table156[[#This Row],[Total Amount]]&gt;=1000,"High"),TRUE,"Normal")</f>
        <v>Normal</v>
      </c>
      <c r="R93" s="4">
        <f>COUNTIF(Table156[Gender],"Male")</f>
        <v>490</v>
      </c>
    </row>
    <row r="94" spans="1:18" x14ac:dyDescent="0.35">
      <c r="A94" s="4">
        <v>93</v>
      </c>
      <c r="B94" s="5">
        <v>45121</v>
      </c>
      <c r="C94" s="4" t="s">
        <v>106</v>
      </c>
      <c r="D94" s="4" t="s">
        <v>13</v>
      </c>
      <c r="E94" s="4">
        <v>35</v>
      </c>
      <c r="F94" s="4" t="str">
        <f>IF(Table156[[#This Row],[Age]]&lt;=19,"Teenager",IF(Table156[[#This Row],[Age]]&lt;=40,"Median","Old"))</f>
        <v>Median</v>
      </c>
      <c r="G94" s="4" t="s">
        <v>11</v>
      </c>
      <c r="H94" s="4">
        <v>4</v>
      </c>
      <c r="I94" s="4">
        <v>500</v>
      </c>
      <c r="J94" s="4">
        <v>2000</v>
      </c>
      <c r="K94" s="4" t="str" cm="1">
        <f t="array" ref="K94">_xlfn.IFS(AND(Table156[[#This Row],[Total Amount]]&gt;=1500),"Critical",AND(Table156[[#This Row],[Total Amount]]&gt;=1000),"High",TRUE,"Normal")</f>
        <v>Critical</v>
      </c>
      <c r="L94" s="4" t="str">
        <f>IF(Table156[[#This Row],[Total Amount]]&gt;=1000,"High",(IF(Table156[[#This Row],[Total Amount]]&gt;=500,"Medium","Low")))</f>
        <v>High</v>
      </c>
      <c r="M94" s="4" t="str" cm="1">
        <f t="array" ref="M9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4" s="4" cm="1">
        <f t="array" ref="N9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400</v>
      </c>
      <c r="O94" s="4">
        <f>Table156[[#This Row],[Total Amount]]-Table156[[#This Row],[Discount Amount]]</f>
        <v>1600</v>
      </c>
      <c r="P94" s="4" t="str">
        <f>IF(Table156[[#This Row],[Total Amount]]&gt;=1000,"High","Low")</f>
        <v>High</v>
      </c>
      <c r="Q94" s="4" t="b" cm="1">
        <f t="array" ref="Q94">_xlfn.IFS(AND(Table156[[#This Row],[Total Amount]]&gt;=1500,"Critical"),AND(Table156[[#This Row],[Total Amount]]&gt;=1000,"High"),TRUE,"Normal")</f>
        <v>1</v>
      </c>
      <c r="R94" s="4">
        <f>COUNTIF(Table156[Gender],"Male")</f>
        <v>490</v>
      </c>
    </row>
    <row r="95" spans="1:18" x14ac:dyDescent="0.35">
      <c r="A95" s="4">
        <v>94</v>
      </c>
      <c r="B95" s="5">
        <v>45065</v>
      </c>
      <c r="C95" s="4" t="s">
        <v>107</v>
      </c>
      <c r="D95" s="4" t="s">
        <v>13</v>
      </c>
      <c r="E95" s="4">
        <v>47</v>
      </c>
      <c r="F95" s="4" t="str">
        <f>IF(Table156[[#This Row],[Age]]&lt;=19,"Teenager",IF(Table156[[#This Row],[Age]]&lt;=40,"Median","Old"))</f>
        <v>Old</v>
      </c>
      <c r="G95" s="4" t="s">
        <v>11</v>
      </c>
      <c r="H95" s="4">
        <v>2</v>
      </c>
      <c r="I95" s="4">
        <v>500</v>
      </c>
      <c r="J95" s="4">
        <v>1000</v>
      </c>
      <c r="K95" s="4" t="str" cm="1">
        <f t="array" ref="K95">_xlfn.IFS(AND(Table156[[#This Row],[Total Amount]]&gt;=1500),"Critical",AND(Table156[[#This Row],[Total Amount]]&gt;=1000),"High",TRUE,"Normal")</f>
        <v>High</v>
      </c>
      <c r="L95" s="4" t="str">
        <f>IF(Table156[[#This Row],[Total Amount]]&gt;=1000,"High",(IF(Table156[[#This Row],[Total Amount]]&gt;=500,"Medium","Low")))</f>
        <v>High</v>
      </c>
      <c r="M95" s="4" t="str" cm="1">
        <f t="array" ref="M9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5" s="4" cm="1">
        <f t="array" ref="N9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95" s="4">
        <f>Table156[[#This Row],[Total Amount]]-Table156[[#This Row],[Discount Amount]]</f>
        <v>800</v>
      </c>
      <c r="P95" s="4" t="str">
        <f>IF(Table156[[#This Row],[Total Amount]]&gt;=1000,"High","Low")</f>
        <v>High</v>
      </c>
      <c r="Q95" s="4" t="str" cm="1">
        <f t="array" ref="Q95">_xlfn.IFS(AND(Table156[[#This Row],[Total Amount]]&gt;=1500,"Critical"),AND(Table156[[#This Row],[Total Amount]]&gt;=1000,"High"),TRUE,"Normal")</f>
        <v>Normal</v>
      </c>
      <c r="R95" s="4">
        <f>COUNTIF(Table156[Gender],"Male")</f>
        <v>490</v>
      </c>
    </row>
    <row r="96" spans="1:18" x14ac:dyDescent="0.35">
      <c r="A96" s="4">
        <v>95</v>
      </c>
      <c r="B96" s="5">
        <v>45254</v>
      </c>
      <c r="C96" s="4" t="s">
        <v>108</v>
      </c>
      <c r="D96" s="4" t="s">
        <v>13</v>
      </c>
      <c r="E96" s="4">
        <v>32</v>
      </c>
      <c r="F96" s="4" t="str">
        <f>IF(Table156[[#This Row],[Age]]&lt;=19,"Teenager",IF(Table156[[#This Row],[Age]]&lt;=40,"Median","Old"))</f>
        <v>Median</v>
      </c>
      <c r="G96" s="4" t="s">
        <v>14</v>
      </c>
      <c r="H96" s="4">
        <v>2</v>
      </c>
      <c r="I96" s="4">
        <v>30</v>
      </c>
      <c r="J96" s="4">
        <v>60</v>
      </c>
      <c r="K96" s="4" t="str" cm="1">
        <f t="array" ref="K96">_xlfn.IFS(AND(Table156[[#This Row],[Total Amount]]&gt;=1500),"Critical",AND(Table156[[#This Row],[Total Amount]]&gt;=1000),"High",TRUE,"Normal")</f>
        <v>Normal</v>
      </c>
      <c r="L96" s="4" t="str">
        <f>IF(Table156[[#This Row],[Total Amount]]&gt;=1000,"High",(IF(Table156[[#This Row],[Total Amount]]&gt;=500,"Medium","Low")))</f>
        <v>Low</v>
      </c>
      <c r="M96" s="4" t="str" cm="1">
        <f t="array" ref="M9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6" s="4" cm="1">
        <f t="array" ref="N9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</v>
      </c>
      <c r="O96" s="4">
        <f>Table156[[#This Row],[Total Amount]]-Table156[[#This Row],[Discount Amount]]</f>
        <v>51</v>
      </c>
      <c r="P96" s="4" t="str">
        <f>IF(Table156[[#This Row],[Total Amount]]&gt;=1000,"High","Low")</f>
        <v>Low</v>
      </c>
      <c r="Q96" s="4" t="str" cm="1">
        <f t="array" ref="Q96">_xlfn.IFS(AND(Table156[[#This Row],[Total Amount]]&gt;=1500,"Critical"),AND(Table156[[#This Row],[Total Amount]]&gt;=1000,"High"),TRUE,"Normal")</f>
        <v>Normal</v>
      </c>
      <c r="R96" s="4">
        <f>COUNTIF(Table156[Gender],"Male")</f>
        <v>490</v>
      </c>
    </row>
    <row r="97" spans="1:18" x14ac:dyDescent="0.35">
      <c r="A97" s="4">
        <v>96</v>
      </c>
      <c r="B97" s="5">
        <v>45279</v>
      </c>
      <c r="C97" s="4" t="s">
        <v>109</v>
      </c>
      <c r="D97" s="4" t="s">
        <v>13</v>
      </c>
      <c r="E97" s="4">
        <v>44</v>
      </c>
      <c r="F97" s="4" t="str">
        <f>IF(Table156[[#This Row],[Age]]&lt;=19,"Teenager",IF(Table156[[#This Row],[Age]]&lt;=40,"Median","Old"))</f>
        <v>Old</v>
      </c>
      <c r="G97" s="4" t="s">
        <v>14</v>
      </c>
      <c r="H97" s="4">
        <v>2</v>
      </c>
      <c r="I97" s="4">
        <v>300</v>
      </c>
      <c r="J97" s="4">
        <v>600</v>
      </c>
      <c r="K97" s="4" t="str" cm="1">
        <f t="array" ref="K97">_xlfn.IFS(AND(Table156[[#This Row],[Total Amount]]&gt;=1500),"Critical",AND(Table156[[#This Row],[Total Amount]]&gt;=1000),"High",TRUE,"Normal")</f>
        <v>Normal</v>
      </c>
      <c r="L97" s="4" t="str">
        <f>IF(Table156[[#This Row],[Total Amount]]&gt;=1000,"High",(IF(Table156[[#This Row],[Total Amount]]&gt;=500,"Medium","Low")))</f>
        <v>Medium</v>
      </c>
      <c r="M97" s="4" t="str" cm="1">
        <f t="array" ref="M9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7" s="4" cm="1">
        <f t="array" ref="N9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97" s="4">
        <f>Table156[[#This Row],[Total Amount]]-Table156[[#This Row],[Discount Amount]]</f>
        <v>480</v>
      </c>
      <c r="P97" s="4" t="str">
        <f>IF(Table156[[#This Row],[Total Amount]]&gt;=1000,"High","Low")</f>
        <v>Low</v>
      </c>
      <c r="Q97" s="4" t="str" cm="1">
        <f t="array" ref="Q97">_xlfn.IFS(AND(Table156[[#This Row],[Total Amount]]&gt;=1500,"Critical"),AND(Table156[[#This Row],[Total Amount]]&gt;=1000,"High"),TRUE,"Normal")</f>
        <v>Normal</v>
      </c>
      <c r="R97" s="4">
        <f>COUNTIF(Table156[Gender],"Male")</f>
        <v>490</v>
      </c>
    </row>
    <row r="98" spans="1:18" x14ac:dyDescent="0.35">
      <c r="A98" s="4">
        <v>97</v>
      </c>
      <c r="B98" s="5">
        <v>45212</v>
      </c>
      <c r="C98" s="4" t="s">
        <v>110</v>
      </c>
      <c r="D98" s="4" t="s">
        <v>13</v>
      </c>
      <c r="E98" s="4">
        <v>51</v>
      </c>
      <c r="F98" s="4" t="str">
        <f>IF(Table156[[#This Row],[Age]]&lt;=19,"Teenager",IF(Table156[[#This Row],[Age]]&lt;=40,"Median","Old"))</f>
        <v>Old</v>
      </c>
      <c r="G98" s="4" t="s">
        <v>11</v>
      </c>
      <c r="H98" s="4">
        <v>2</v>
      </c>
      <c r="I98" s="4">
        <v>500</v>
      </c>
      <c r="J98" s="4">
        <v>1000</v>
      </c>
      <c r="K98" s="4" t="str" cm="1">
        <f t="array" ref="K98">_xlfn.IFS(AND(Table156[[#This Row],[Total Amount]]&gt;=1500),"Critical",AND(Table156[[#This Row],[Total Amount]]&gt;=1000),"High",TRUE,"Normal")</f>
        <v>High</v>
      </c>
      <c r="L98" s="4" t="str">
        <f>IF(Table156[[#This Row],[Total Amount]]&gt;=1000,"High",(IF(Table156[[#This Row],[Total Amount]]&gt;=500,"Medium","Low")))</f>
        <v>High</v>
      </c>
      <c r="M98" s="4" t="str" cm="1">
        <f t="array" ref="M9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8" s="4" cm="1">
        <f t="array" ref="N9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98" s="4">
        <f>Table156[[#This Row],[Total Amount]]-Table156[[#This Row],[Discount Amount]]</f>
        <v>800</v>
      </c>
      <c r="P98" s="4" t="str">
        <f>IF(Table156[[#This Row],[Total Amount]]&gt;=1000,"High","Low")</f>
        <v>High</v>
      </c>
      <c r="Q98" s="4" t="str" cm="1">
        <f t="array" ref="Q98">_xlfn.IFS(AND(Table156[[#This Row],[Total Amount]]&gt;=1500,"Critical"),AND(Table156[[#This Row],[Total Amount]]&gt;=1000,"High"),TRUE,"Normal")</f>
        <v>Normal</v>
      </c>
      <c r="R98" s="4">
        <f>COUNTIF(Table156[Gender],"Male")</f>
        <v>490</v>
      </c>
    </row>
    <row r="99" spans="1:18" x14ac:dyDescent="0.35">
      <c r="A99" s="4">
        <v>98</v>
      </c>
      <c r="B99" s="5">
        <v>45039</v>
      </c>
      <c r="C99" s="4" t="s">
        <v>111</v>
      </c>
      <c r="D99" s="4" t="s">
        <v>13</v>
      </c>
      <c r="E99" s="4">
        <v>55</v>
      </c>
      <c r="F99" s="4" t="str">
        <f>IF(Table156[[#This Row],[Age]]&lt;=19,"Teenager",IF(Table156[[#This Row],[Age]]&lt;=40,"Median","Old"))</f>
        <v>Old</v>
      </c>
      <c r="G99" s="4" t="s">
        <v>11</v>
      </c>
      <c r="H99" s="4">
        <v>2</v>
      </c>
      <c r="I99" s="4">
        <v>50</v>
      </c>
      <c r="J99" s="4">
        <v>100</v>
      </c>
      <c r="K99" s="4" t="str" cm="1">
        <f t="array" ref="K99">_xlfn.IFS(AND(Table156[[#This Row],[Total Amount]]&gt;=1500),"Critical",AND(Table156[[#This Row],[Total Amount]]&gt;=1000),"High",TRUE,"Normal")</f>
        <v>Normal</v>
      </c>
      <c r="L99" s="4" t="str">
        <f>IF(Table156[[#This Row],[Total Amount]]&gt;=1000,"High",(IF(Table156[[#This Row],[Total Amount]]&gt;=500,"Medium","Low")))</f>
        <v>Low</v>
      </c>
      <c r="M99" s="4" t="str" cm="1">
        <f t="array" ref="M9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9" s="4" cm="1">
        <f t="array" ref="N9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99" s="4">
        <f>Table156[[#This Row],[Total Amount]]-Table156[[#This Row],[Discount Amount]]</f>
        <v>80</v>
      </c>
      <c r="P99" s="4" t="str">
        <f>IF(Table156[[#This Row],[Total Amount]]&gt;=1000,"High","Low")</f>
        <v>Low</v>
      </c>
      <c r="Q99" s="4" t="str" cm="1">
        <f t="array" ref="Q99">_xlfn.IFS(AND(Table156[[#This Row],[Total Amount]]&gt;=1500,"Critical"),AND(Table156[[#This Row],[Total Amount]]&gt;=1000,"High"),TRUE,"Normal")</f>
        <v>Normal</v>
      </c>
      <c r="R99" s="4">
        <f>COUNTIF(Table156[Gender],"Male")</f>
        <v>490</v>
      </c>
    </row>
    <row r="100" spans="1:18" x14ac:dyDescent="0.35">
      <c r="A100" s="4">
        <v>99</v>
      </c>
      <c r="B100" s="5">
        <v>45277</v>
      </c>
      <c r="C100" s="4" t="s">
        <v>112</v>
      </c>
      <c r="D100" s="4" t="s">
        <v>13</v>
      </c>
      <c r="E100" s="4">
        <v>50</v>
      </c>
      <c r="F100" s="4" t="str">
        <f>IF(Table156[[#This Row],[Age]]&lt;=19,"Teenager",IF(Table156[[#This Row],[Age]]&lt;=40,"Median","Old"))</f>
        <v>Old</v>
      </c>
      <c r="G100" s="4" t="s">
        <v>16</v>
      </c>
      <c r="H100" s="4">
        <v>4</v>
      </c>
      <c r="I100" s="4">
        <v>300</v>
      </c>
      <c r="J100" s="4">
        <v>1200</v>
      </c>
      <c r="K100" s="4" t="str" cm="1">
        <f t="array" ref="K100">_xlfn.IFS(AND(Table156[[#This Row],[Total Amount]]&gt;=1500),"Critical",AND(Table156[[#This Row],[Total Amount]]&gt;=1000),"High",TRUE,"Normal")</f>
        <v>High</v>
      </c>
      <c r="L100" s="4" t="str">
        <f>IF(Table156[[#This Row],[Total Amount]]&gt;=1000,"High",(IF(Table156[[#This Row],[Total Amount]]&gt;=500,"Medium","Low")))</f>
        <v>High</v>
      </c>
      <c r="M100" s="4" t="str" cm="1">
        <f t="array" ref="M10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00" s="4" cm="1">
        <f t="array" ref="N10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100" s="4">
        <f>Table156[[#This Row],[Total Amount]]-Table156[[#This Row],[Discount Amount]]</f>
        <v>960</v>
      </c>
      <c r="P100" s="4" t="str">
        <f>IF(Table156[[#This Row],[Total Amount]]&gt;=1000,"High","Low")</f>
        <v>High</v>
      </c>
      <c r="Q100" s="4" t="str" cm="1">
        <f t="array" ref="Q100">_xlfn.IFS(AND(Table156[[#This Row],[Total Amount]]&gt;=1500,"Critical"),AND(Table156[[#This Row],[Total Amount]]&gt;=1000,"High"),TRUE,"Normal")</f>
        <v>Normal</v>
      </c>
      <c r="R100" s="4">
        <f>COUNTIF(Table156[Gender],"Male")</f>
        <v>490</v>
      </c>
    </row>
    <row r="101" spans="1:18" x14ac:dyDescent="0.35">
      <c r="A101" s="4">
        <v>100</v>
      </c>
      <c r="B101" s="5">
        <v>45093</v>
      </c>
      <c r="C101" s="4" t="s">
        <v>113</v>
      </c>
      <c r="D101" s="4" t="s">
        <v>10</v>
      </c>
      <c r="E101" s="4">
        <v>41</v>
      </c>
      <c r="F101" s="4" t="str">
        <f>IF(Table156[[#This Row],[Age]]&lt;=19,"Teenager",IF(Table156[[#This Row],[Age]]&lt;=40,"Median","Old"))</f>
        <v>Old</v>
      </c>
      <c r="G101" s="4" t="s">
        <v>16</v>
      </c>
      <c r="H101" s="4">
        <v>1</v>
      </c>
      <c r="I101" s="4">
        <v>30</v>
      </c>
      <c r="J101" s="4">
        <v>30</v>
      </c>
      <c r="K101" s="4" t="str" cm="1">
        <f t="array" ref="K101">_xlfn.IFS(AND(Table156[[#This Row],[Total Amount]]&gt;=1500),"Critical",AND(Table156[[#This Row],[Total Amount]]&gt;=1000),"High",TRUE,"Normal")</f>
        <v>Normal</v>
      </c>
      <c r="L101" s="4" t="str">
        <f>IF(Table156[[#This Row],[Total Amount]]&gt;=1000,"High",(IF(Table156[[#This Row],[Total Amount]]&gt;=500,"Medium","Low")))</f>
        <v>Low</v>
      </c>
      <c r="M101" s="4" t="str" cm="1">
        <f t="array" ref="M10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01" s="4" cm="1">
        <f t="array" ref="N10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101" s="4">
        <f>Table156[[#This Row],[Total Amount]]-Table156[[#This Row],[Discount Amount]]</f>
        <v>27</v>
      </c>
      <c r="P101" s="4" t="str">
        <f>IF(Table156[[#This Row],[Total Amount]]&gt;=1000,"High","Low")</f>
        <v>Low</v>
      </c>
      <c r="Q101" s="4" t="str" cm="1">
        <f t="array" ref="Q101">_xlfn.IFS(AND(Table156[[#This Row],[Total Amount]]&gt;=1500,"Critical"),AND(Table156[[#This Row],[Total Amount]]&gt;=1000,"High"),TRUE,"Normal")</f>
        <v>Normal</v>
      </c>
      <c r="R101" s="4">
        <f>COUNTIF(Table156[Gender],"Male")</f>
        <v>490</v>
      </c>
    </row>
    <row r="102" spans="1:18" x14ac:dyDescent="0.35">
      <c r="A102" s="4">
        <v>101</v>
      </c>
      <c r="B102" s="5">
        <v>44955</v>
      </c>
      <c r="C102" s="4" t="s">
        <v>114</v>
      </c>
      <c r="D102" s="4" t="s">
        <v>10</v>
      </c>
      <c r="E102" s="4">
        <v>32</v>
      </c>
      <c r="F102" s="4" t="str">
        <f>IF(Table156[[#This Row],[Age]]&lt;=19,"Teenager",IF(Table156[[#This Row],[Age]]&lt;=40,"Median","Old"))</f>
        <v>Median</v>
      </c>
      <c r="G102" s="4" t="s">
        <v>14</v>
      </c>
      <c r="H102" s="4">
        <v>2</v>
      </c>
      <c r="I102" s="4">
        <v>300</v>
      </c>
      <c r="J102" s="4">
        <v>600</v>
      </c>
      <c r="K102" s="4" t="str" cm="1">
        <f t="array" ref="K102">_xlfn.IFS(AND(Table156[[#This Row],[Total Amount]]&gt;=1500),"Critical",AND(Table156[[#This Row],[Total Amount]]&gt;=1000),"High",TRUE,"Normal")</f>
        <v>Normal</v>
      </c>
      <c r="L102" s="4" t="str">
        <f>IF(Table156[[#This Row],[Total Amount]]&gt;=1000,"High",(IF(Table156[[#This Row],[Total Amount]]&gt;=500,"Medium","Low")))</f>
        <v>Medium</v>
      </c>
      <c r="M102" s="4" t="str" cm="1">
        <f t="array" ref="M10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02" s="4" cm="1">
        <f t="array" ref="N10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102" s="4">
        <f>Table156[[#This Row],[Total Amount]]-Table156[[#This Row],[Discount Amount]]</f>
        <v>510</v>
      </c>
      <c r="P102" s="4" t="str">
        <f>IF(Table156[[#This Row],[Total Amount]]&gt;=1000,"High","Low")</f>
        <v>Low</v>
      </c>
      <c r="Q102" s="4" t="str" cm="1">
        <f t="array" ref="Q102">_xlfn.IFS(AND(Table156[[#This Row],[Total Amount]]&gt;=1500,"Critical"),AND(Table156[[#This Row],[Total Amount]]&gt;=1000,"High"),TRUE,"Normal")</f>
        <v>Normal</v>
      </c>
      <c r="R102" s="4">
        <f>COUNTIF(Table156[Gender],"Male")</f>
        <v>490</v>
      </c>
    </row>
    <row r="103" spans="1:18" x14ac:dyDescent="0.35">
      <c r="A103" s="4">
        <v>102</v>
      </c>
      <c r="B103" s="5">
        <v>45044</v>
      </c>
      <c r="C103" s="4" t="s">
        <v>115</v>
      </c>
      <c r="D103" s="4" t="s">
        <v>13</v>
      </c>
      <c r="E103" s="4">
        <v>47</v>
      </c>
      <c r="F103" s="4" t="str">
        <f>IF(Table156[[#This Row],[Age]]&lt;=19,"Teenager",IF(Table156[[#This Row],[Age]]&lt;=40,"Median","Old"))</f>
        <v>Old</v>
      </c>
      <c r="G103" s="4" t="s">
        <v>11</v>
      </c>
      <c r="H103" s="4">
        <v>2</v>
      </c>
      <c r="I103" s="4">
        <v>25</v>
      </c>
      <c r="J103" s="4">
        <v>50</v>
      </c>
      <c r="K103" s="4" t="str" cm="1">
        <f t="array" ref="K103">_xlfn.IFS(AND(Table156[[#This Row],[Total Amount]]&gt;=1500),"Critical",AND(Table156[[#This Row],[Total Amount]]&gt;=1000),"High",TRUE,"Normal")</f>
        <v>Normal</v>
      </c>
      <c r="L103" s="4" t="str">
        <f>IF(Table156[[#This Row],[Total Amount]]&gt;=1000,"High",(IF(Table156[[#This Row],[Total Amount]]&gt;=500,"Medium","Low")))</f>
        <v>Low</v>
      </c>
      <c r="M103" s="4" t="str" cm="1">
        <f t="array" ref="M10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03" s="4" cm="1">
        <f t="array" ref="N10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103" s="4">
        <f>Table156[[#This Row],[Total Amount]]-Table156[[#This Row],[Discount Amount]]</f>
        <v>40</v>
      </c>
      <c r="P103" s="4" t="str">
        <f>IF(Table156[[#This Row],[Total Amount]]&gt;=1000,"High","Low")</f>
        <v>Low</v>
      </c>
      <c r="Q103" s="4" t="str" cm="1">
        <f t="array" ref="Q103">_xlfn.IFS(AND(Table156[[#This Row],[Total Amount]]&gt;=1500,"Critical"),AND(Table156[[#This Row],[Total Amount]]&gt;=1000,"High"),TRUE,"Normal")</f>
        <v>Normal</v>
      </c>
      <c r="R103" s="4">
        <f>COUNTIF(Table156[Gender],"Male")</f>
        <v>490</v>
      </c>
    </row>
    <row r="104" spans="1:18" x14ac:dyDescent="0.35">
      <c r="A104" s="4">
        <v>103</v>
      </c>
      <c r="B104" s="5">
        <v>44943</v>
      </c>
      <c r="C104" s="4" t="s">
        <v>116</v>
      </c>
      <c r="D104" s="4" t="s">
        <v>13</v>
      </c>
      <c r="E104" s="4">
        <v>59</v>
      </c>
      <c r="F104" s="4" t="str">
        <f>IF(Table156[[#This Row],[Age]]&lt;=19,"Teenager",IF(Table156[[#This Row],[Age]]&lt;=40,"Median","Old"))</f>
        <v>Old</v>
      </c>
      <c r="G104" s="4" t="s">
        <v>14</v>
      </c>
      <c r="H104" s="4">
        <v>1</v>
      </c>
      <c r="I104" s="4">
        <v>25</v>
      </c>
      <c r="J104" s="4">
        <v>25</v>
      </c>
      <c r="K104" s="4" t="str" cm="1">
        <f t="array" ref="K104">_xlfn.IFS(AND(Table156[[#This Row],[Total Amount]]&gt;=1500),"Critical",AND(Table156[[#This Row],[Total Amount]]&gt;=1000),"High",TRUE,"Normal")</f>
        <v>Normal</v>
      </c>
      <c r="L104" s="4" t="str">
        <f>IF(Table156[[#This Row],[Total Amount]]&gt;=1000,"High",(IF(Table156[[#This Row],[Total Amount]]&gt;=500,"Medium","Low")))</f>
        <v>Low</v>
      </c>
      <c r="M104" s="4" t="str" cm="1">
        <f t="array" ref="M10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04" s="4" cm="1">
        <f t="array" ref="N10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104" s="4">
        <f>Table156[[#This Row],[Total Amount]]-Table156[[#This Row],[Discount Amount]]</f>
        <v>20</v>
      </c>
      <c r="P104" s="4" t="str">
        <f>IF(Table156[[#This Row],[Total Amount]]&gt;=1000,"High","Low")</f>
        <v>Low</v>
      </c>
      <c r="Q104" s="4" t="str" cm="1">
        <f t="array" ref="Q104">_xlfn.IFS(AND(Table156[[#This Row],[Total Amount]]&gt;=1500,"Critical"),AND(Table156[[#This Row],[Total Amount]]&gt;=1000,"High"),TRUE,"Normal")</f>
        <v>Normal</v>
      </c>
      <c r="R104" s="4">
        <f>COUNTIF(Table156[Gender],"Male")</f>
        <v>490</v>
      </c>
    </row>
    <row r="105" spans="1:18" x14ac:dyDescent="0.35">
      <c r="A105" s="4">
        <v>104</v>
      </c>
      <c r="B105" s="5">
        <v>45088</v>
      </c>
      <c r="C105" s="4" t="s">
        <v>117</v>
      </c>
      <c r="D105" s="4" t="s">
        <v>13</v>
      </c>
      <c r="E105" s="4">
        <v>34</v>
      </c>
      <c r="F105" s="4" t="str">
        <f>IF(Table156[[#This Row],[Age]]&lt;=19,"Teenager",IF(Table156[[#This Row],[Age]]&lt;=40,"Median","Old"))</f>
        <v>Median</v>
      </c>
      <c r="G105" s="4" t="s">
        <v>11</v>
      </c>
      <c r="H105" s="4">
        <v>2</v>
      </c>
      <c r="I105" s="4">
        <v>500</v>
      </c>
      <c r="J105" s="4">
        <v>1000</v>
      </c>
      <c r="K105" s="4" t="str" cm="1">
        <f t="array" ref="K105">_xlfn.IFS(AND(Table156[[#This Row],[Total Amount]]&gt;=1500),"Critical",AND(Table156[[#This Row],[Total Amount]]&gt;=1000),"High",TRUE,"Normal")</f>
        <v>High</v>
      </c>
      <c r="L105" s="4" t="str">
        <f>IF(Table156[[#This Row],[Total Amount]]&gt;=1000,"High",(IF(Table156[[#This Row],[Total Amount]]&gt;=500,"Medium","Low")))</f>
        <v>High</v>
      </c>
      <c r="M105" s="4" t="str" cm="1">
        <f t="array" ref="M10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05" s="4" cm="1">
        <f t="array" ref="N10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105" s="4">
        <f>Table156[[#This Row],[Total Amount]]-Table156[[#This Row],[Discount Amount]]</f>
        <v>850</v>
      </c>
      <c r="P105" s="4" t="str">
        <f>IF(Table156[[#This Row],[Total Amount]]&gt;=1000,"High","Low")</f>
        <v>High</v>
      </c>
      <c r="Q105" s="4" t="str" cm="1">
        <f t="array" ref="Q105">_xlfn.IFS(AND(Table156[[#This Row],[Total Amount]]&gt;=1500,"Critical"),AND(Table156[[#This Row],[Total Amount]]&gt;=1000,"High"),TRUE,"Normal")</f>
        <v>Normal</v>
      </c>
      <c r="R105" s="4">
        <f>COUNTIF(Table156[Gender],"Male")</f>
        <v>490</v>
      </c>
    </row>
    <row r="106" spans="1:18" x14ac:dyDescent="0.35">
      <c r="A106" s="4">
        <v>105</v>
      </c>
      <c r="B106" s="5">
        <v>45132</v>
      </c>
      <c r="C106" s="4" t="s">
        <v>118</v>
      </c>
      <c r="D106" s="4" t="s">
        <v>13</v>
      </c>
      <c r="E106" s="4">
        <v>22</v>
      </c>
      <c r="F106" s="4" t="str">
        <f>IF(Table156[[#This Row],[Age]]&lt;=19,"Teenager",IF(Table156[[#This Row],[Age]]&lt;=40,"Median","Old"))</f>
        <v>Median</v>
      </c>
      <c r="G106" s="4" t="s">
        <v>16</v>
      </c>
      <c r="H106" s="4">
        <v>1</v>
      </c>
      <c r="I106" s="4">
        <v>500</v>
      </c>
      <c r="J106" s="4">
        <v>500</v>
      </c>
      <c r="K106" s="4" t="str" cm="1">
        <f t="array" ref="K106">_xlfn.IFS(AND(Table156[[#This Row],[Total Amount]]&gt;=1500),"Critical",AND(Table156[[#This Row],[Total Amount]]&gt;=1000),"High",TRUE,"Normal")</f>
        <v>Normal</v>
      </c>
      <c r="L106" s="4" t="str">
        <f>IF(Table156[[#This Row],[Total Amount]]&gt;=1000,"High",(IF(Table156[[#This Row],[Total Amount]]&gt;=500,"Medium","Low")))</f>
        <v>Medium</v>
      </c>
      <c r="M106" s="4" t="str" cm="1">
        <f t="array" ref="M10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06" s="4" cm="1">
        <f t="array" ref="N10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06" s="4">
        <f>Table156[[#This Row],[Total Amount]]-Table156[[#This Row],[Discount Amount]]</f>
        <v>500</v>
      </c>
      <c r="P106" s="4" t="str">
        <f>IF(Table156[[#This Row],[Total Amount]]&gt;=1000,"High","Low")</f>
        <v>Low</v>
      </c>
      <c r="Q106" s="4" t="str" cm="1">
        <f t="array" ref="Q106">_xlfn.IFS(AND(Table156[[#This Row],[Total Amount]]&gt;=1500,"Critical"),AND(Table156[[#This Row],[Total Amount]]&gt;=1000,"High"),TRUE,"Normal")</f>
        <v>Normal</v>
      </c>
      <c r="R106" s="4">
        <f>COUNTIF(Table156[Gender],"Male")</f>
        <v>490</v>
      </c>
    </row>
    <row r="107" spans="1:18" x14ac:dyDescent="0.35">
      <c r="A107" s="4">
        <v>106</v>
      </c>
      <c r="B107" s="5">
        <v>45064</v>
      </c>
      <c r="C107" s="4" t="s">
        <v>119</v>
      </c>
      <c r="D107" s="4" t="s">
        <v>13</v>
      </c>
      <c r="E107" s="4">
        <v>46</v>
      </c>
      <c r="F107" s="4" t="str">
        <f>IF(Table156[[#This Row],[Age]]&lt;=19,"Teenager",IF(Table156[[#This Row],[Age]]&lt;=40,"Median","Old"))</f>
        <v>Old</v>
      </c>
      <c r="G107" s="4" t="s">
        <v>14</v>
      </c>
      <c r="H107" s="4">
        <v>1</v>
      </c>
      <c r="I107" s="4">
        <v>50</v>
      </c>
      <c r="J107" s="4">
        <v>50</v>
      </c>
      <c r="K107" s="4" t="str" cm="1">
        <f t="array" ref="K107">_xlfn.IFS(AND(Table156[[#This Row],[Total Amount]]&gt;=1500),"Critical",AND(Table156[[#This Row],[Total Amount]]&gt;=1000),"High",TRUE,"Normal")</f>
        <v>Normal</v>
      </c>
      <c r="L107" s="4" t="str">
        <f>IF(Table156[[#This Row],[Total Amount]]&gt;=1000,"High",(IF(Table156[[#This Row],[Total Amount]]&gt;=500,"Medium","Low")))</f>
        <v>Low</v>
      </c>
      <c r="M107" s="4" t="str" cm="1">
        <f t="array" ref="M10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07" s="4" cm="1">
        <f t="array" ref="N10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107" s="4">
        <f>Table156[[#This Row],[Total Amount]]-Table156[[#This Row],[Discount Amount]]</f>
        <v>40</v>
      </c>
      <c r="P107" s="4" t="str">
        <f>IF(Table156[[#This Row],[Total Amount]]&gt;=1000,"High","Low")</f>
        <v>Low</v>
      </c>
      <c r="Q107" s="4" t="str" cm="1">
        <f t="array" ref="Q107">_xlfn.IFS(AND(Table156[[#This Row],[Total Amount]]&gt;=1500,"Critical"),AND(Table156[[#This Row],[Total Amount]]&gt;=1000,"High"),TRUE,"Normal")</f>
        <v>Normal</v>
      </c>
      <c r="R107" s="4">
        <f>COUNTIF(Table156[Gender],"Male")</f>
        <v>490</v>
      </c>
    </row>
    <row r="108" spans="1:18" x14ac:dyDescent="0.35">
      <c r="A108" s="4">
        <v>107</v>
      </c>
      <c r="B108" s="5">
        <v>44960</v>
      </c>
      <c r="C108" s="4" t="s">
        <v>120</v>
      </c>
      <c r="D108" s="4" t="s">
        <v>13</v>
      </c>
      <c r="E108" s="4">
        <v>21</v>
      </c>
      <c r="F108" s="4" t="str">
        <f>IF(Table156[[#This Row],[Age]]&lt;=19,"Teenager",IF(Table156[[#This Row],[Age]]&lt;=40,"Median","Old"))</f>
        <v>Median</v>
      </c>
      <c r="G108" s="4" t="s">
        <v>14</v>
      </c>
      <c r="H108" s="4">
        <v>4</v>
      </c>
      <c r="I108" s="4">
        <v>300</v>
      </c>
      <c r="J108" s="4">
        <v>1200</v>
      </c>
      <c r="K108" s="4" t="str" cm="1">
        <f t="array" ref="K108">_xlfn.IFS(AND(Table156[[#This Row],[Total Amount]]&gt;=1500),"Critical",AND(Table156[[#This Row],[Total Amount]]&gt;=1000),"High",TRUE,"Normal")</f>
        <v>High</v>
      </c>
      <c r="L108" s="4" t="str">
        <f>IF(Table156[[#This Row],[Total Amount]]&gt;=1000,"High",(IF(Table156[[#This Row],[Total Amount]]&gt;=500,"Medium","Low")))</f>
        <v>High</v>
      </c>
      <c r="M108" s="4" t="str" cm="1">
        <f t="array" ref="M10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08" s="4" cm="1">
        <f t="array" ref="N10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08" s="4">
        <f>Table156[[#This Row],[Total Amount]]-Table156[[#This Row],[Discount Amount]]</f>
        <v>1200</v>
      </c>
      <c r="P108" s="4" t="str">
        <f>IF(Table156[[#This Row],[Total Amount]]&gt;=1000,"High","Low")</f>
        <v>High</v>
      </c>
      <c r="Q108" s="4" t="str" cm="1">
        <f t="array" ref="Q108">_xlfn.IFS(AND(Table156[[#This Row],[Total Amount]]&gt;=1500,"Critical"),AND(Table156[[#This Row],[Total Amount]]&gt;=1000,"High"),TRUE,"Normal")</f>
        <v>Normal</v>
      </c>
      <c r="R108" s="4">
        <f>COUNTIF(Table156[Gender],"Male")</f>
        <v>490</v>
      </c>
    </row>
    <row r="109" spans="1:18" x14ac:dyDescent="0.35">
      <c r="A109" s="4">
        <v>108</v>
      </c>
      <c r="B109" s="5">
        <v>45035</v>
      </c>
      <c r="C109" s="4" t="s">
        <v>121</v>
      </c>
      <c r="D109" s="4" t="s">
        <v>13</v>
      </c>
      <c r="E109" s="4">
        <v>27</v>
      </c>
      <c r="F109" s="4" t="str">
        <f>IF(Table156[[#This Row],[Age]]&lt;=19,"Teenager",IF(Table156[[#This Row],[Age]]&lt;=40,"Median","Old"))</f>
        <v>Median</v>
      </c>
      <c r="G109" s="4" t="s">
        <v>11</v>
      </c>
      <c r="H109" s="4">
        <v>3</v>
      </c>
      <c r="I109" s="4">
        <v>25</v>
      </c>
      <c r="J109" s="4">
        <v>75</v>
      </c>
      <c r="K109" s="4" t="str" cm="1">
        <f t="array" ref="K109">_xlfn.IFS(AND(Table156[[#This Row],[Total Amount]]&gt;=1500),"Critical",AND(Table156[[#This Row],[Total Amount]]&gt;=1000),"High",TRUE,"Normal")</f>
        <v>Normal</v>
      </c>
      <c r="L109" s="4" t="str">
        <f>IF(Table156[[#This Row],[Total Amount]]&gt;=1000,"High",(IF(Table156[[#This Row],[Total Amount]]&gt;=500,"Medium","Low")))</f>
        <v>Low</v>
      </c>
      <c r="M109" s="4" t="str" cm="1">
        <f t="array" ref="M10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09" s="4" cm="1">
        <f t="array" ref="N10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11.25</v>
      </c>
      <c r="O109" s="4">
        <f>Table156[[#This Row],[Total Amount]]-Table156[[#This Row],[Discount Amount]]</f>
        <v>63.75</v>
      </c>
      <c r="P109" s="4" t="str">
        <f>IF(Table156[[#This Row],[Total Amount]]&gt;=1000,"High","Low")</f>
        <v>Low</v>
      </c>
      <c r="Q109" s="4" t="str" cm="1">
        <f t="array" ref="Q109">_xlfn.IFS(AND(Table156[[#This Row],[Total Amount]]&gt;=1500,"Critical"),AND(Table156[[#This Row],[Total Amount]]&gt;=1000,"High"),TRUE,"Normal")</f>
        <v>Normal</v>
      </c>
      <c r="R109" s="4">
        <f>COUNTIF(Table156[Gender],"Male")</f>
        <v>490</v>
      </c>
    </row>
    <row r="110" spans="1:18" x14ac:dyDescent="0.35">
      <c r="A110" s="4">
        <v>109</v>
      </c>
      <c r="B110" s="5">
        <v>45217</v>
      </c>
      <c r="C110" s="4" t="s">
        <v>122</v>
      </c>
      <c r="D110" s="4" t="s">
        <v>13</v>
      </c>
      <c r="E110" s="4">
        <v>34</v>
      </c>
      <c r="F110" s="4" t="str">
        <f>IF(Table156[[#This Row],[Age]]&lt;=19,"Teenager",IF(Table156[[#This Row],[Age]]&lt;=40,"Median","Old"))</f>
        <v>Median</v>
      </c>
      <c r="G110" s="4" t="s">
        <v>16</v>
      </c>
      <c r="H110" s="4">
        <v>4</v>
      </c>
      <c r="I110" s="4">
        <v>500</v>
      </c>
      <c r="J110" s="4">
        <v>2000</v>
      </c>
      <c r="K110" s="4" t="str" cm="1">
        <f t="array" ref="K110">_xlfn.IFS(AND(Table156[[#This Row],[Total Amount]]&gt;=1500),"Critical",AND(Table156[[#This Row],[Total Amount]]&gt;=1000),"High",TRUE,"Normal")</f>
        <v>Critical</v>
      </c>
      <c r="L110" s="4" t="str">
        <f>IF(Table156[[#This Row],[Total Amount]]&gt;=1000,"High",(IF(Table156[[#This Row],[Total Amount]]&gt;=500,"Medium","Low")))</f>
        <v>High</v>
      </c>
      <c r="M110" s="4" t="str" cm="1">
        <f t="array" ref="M11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10" s="4" cm="1">
        <f t="array" ref="N11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110" s="4">
        <f>Table156[[#This Row],[Total Amount]]-Table156[[#This Row],[Discount Amount]]</f>
        <v>1700</v>
      </c>
      <c r="P110" s="4" t="str">
        <f>IF(Table156[[#This Row],[Total Amount]]&gt;=1000,"High","Low")</f>
        <v>High</v>
      </c>
      <c r="Q110" s="4" t="b" cm="1">
        <f t="array" ref="Q110">_xlfn.IFS(AND(Table156[[#This Row],[Total Amount]]&gt;=1500,"Critical"),AND(Table156[[#This Row],[Total Amount]]&gt;=1000,"High"),TRUE,"Normal")</f>
        <v>1</v>
      </c>
      <c r="R110" s="4">
        <f>COUNTIF(Table156[Gender],"Male")</f>
        <v>490</v>
      </c>
    </row>
    <row r="111" spans="1:18" x14ac:dyDescent="0.35">
      <c r="A111" s="4">
        <v>110</v>
      </c>
      <c r="B111" s="5">
        <v>45088</v>
      </c>
      <c r="C111" s="4" t="s">
        <v>123</v>
      </c>
      <c r="D111" s="4" t="s">
        <v>10</v>
      </c>
      <c r="E111" s="4">
        <v>27</v>
      </c>
      <c r="F111" s="4" t="str">
        <f>IF(Table156[[#This Row],[Age]]&lt;=19,"Teenager",IF(Table156[[#This Row],[Age]]&lt;=40,"Median","Old"))</f>
        <v>Median</v>
      </c>
      <c r="G111" s="4" t="s">
        <v>14</v>
      </c>
      <c r="H111" s="4">
        <v>3</v>
      </c>
      <c r="I111" s="4">
        <v>300</v>
      </c>
      <c r="J111" s="4">
        <v>900</v>
      </c>
      <c r="K111" s="4" t="str" cm="1">
        <f t="array" ref="K111">_xlfn.IFS(AND(Table156[[#This Row],[Total Amount]]&gt;=1500),"Critical",AND(Table156[[#This Row],[Total Amount]]&gt;=1000),"High",TRUE,"Normal")</f>
        <v>Normal</v>
      </c>
      <c r="L111" s="4" t="str">
        <f>IF(Table156[[#This Row],[Total Amount]]&gt;=1000,"High",(IF(Table156[[#This Row],[Total Amount]]&gt;=500,"Medium","Low")))</f>
        <v>Medium</v>
      </c>
      <c r="M111" s="4" t="str" cm="1">
        <f t="array" ref="M11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11" s="4" cm="1">
        <f t="array" ref="N11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135</v>
      </c>
      <c r="O111" s="4">
        <f>Table156[[#This Row],[Total Amount]]-Table156[[#This Row],[Discount Amount]]</f>
        <v>765</v>
      </c>
      <c r="P111" s="4" t="str">
        <f>IF(Table156[[#This Row],[Total Amount]]&gt;=1000,"High","Low")</f>
        <v>Low</v>
      </c>
      <c r="Q111" s="4" t="str" cm="1">
        <f t="array" ref="Q111">_xlfn.IFS(AND(Table156[[#This Row],[Total Amount]]&gt;=1500,"Critical"),AND(Table156[[#This Row],[Total Amount]]&gt;=1000,"High"),TRUE,"Normal")</f>
        <v>Normal</v>
      </c>
      <c r="R111" s="4">
        <f>COUNTIF(Table156[Gender],"Male")</f>
        <v>490</v>
      </c>
    </row>
    <row r="112" spans="1:18" x14ac:dyDescent="0.35">
      <c r="A112" s="4">
        <v>111</v>
      </c>
      <c r="B112" s="5">
        <v>45035</v>
      </c>
      <c r="C112" s="4" t="s">
        <v>124</v>
      </c>
      <c r="D112" s="4" t="s">
        <v>13</v>
      </c>
      <c r="E112" s="4">
        <v>34</v>
      </c>
      <c r="F112" s="4" t="str">
        <f>IF(Table156[[#This Row],[Age]]&lt;=19,"Teenager",IF(Table156[[#This Row],[Age]]&lt;=40,"Median","Old"))</f>
        <v>Median</v>
      </c>
      <c r="G112" s="4" t="s">
        <v>16</v>
      </c>
      <c r="H112" s="4">
        <v>3</v>
      </c>
      <c r="I112" s="4">
        <v>500</v>
      </c>
      <c r="J112" s="4">
        <v>1500</v>
      </c>
      <c r="K112" s="4" t="str" cm="1">
        <f t="array" ref="K112">_xlfn.IFS(AND(Table156[[#This Row],[Total Amount]]&gt;=1500),"Critical",AND(Table156[[#This Row],[Total Amount]]&gt;=1000),"High",TRUE,"Normal")</f>
        <v>Critical</v>
      </c>
      <c r="L112" s="4" t="str">
        <f>IF(Table156[[#This Row],[Total Amount]]&gt;=1000,"High",(IF(Table156[[#This Row],[Total Amount]]&gt;=500,"Medium","Low")))</f>
        <v>High</v>
      </c>
      <c r="M112" s="4" t="str" cm="1">
        <f t="array" ref="M11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12" s="4" cm="1">
        <f t="array" ref="N11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225</v>
      </c>
      <c r="O112" s="4">
        <f>Table156[[#This Row],[Total Amount]]-Table156[[#This Row],[Discount Amount]]</f>
        <v>1275</v>
      </c>
      <c r="P112" s="4" t="str">
        <f>IF(Table156[[#This Row],[Total Amount]]&gt;=1000,"High","Low")</f>
        <v>High</v>
      </c>
      <c r="Q112" s="4" t="b" cm="1">
        <f t="array" ref="Q112">_xlfn.IFS(AND(Table156[[#This Row],[Total Amount]]&gt;=1500,"Critical"),AND(Table156[[#This Row],[Total Amount]]&gt;=1000,"High"),TRUE,"Normal")</f>
        <v>1</v>
      </c>
      <c r="R112" s="4">
        <f>COUNTIF(Table156[Gender],"Male")</f>
        <v>490</v>
      </c>
    </row>
    <row r="113" spans="1:18" x14ac:dyDescent="0.35">
      <c r="A113" s="4">
        <v>112</v>
      </c>
      <c r="B113" s="5">
        <v>45262</v>
      </c>
      <c r="C113" s="4" t="s">
        <v>125</v>
      </c>
      <c r="D113" s="4" t="s">
        <v>10</v>
      </c>
      <c r="E113" s="4">
        <v>37</v>
      </c>
      <c r="F113" s="4" t="str">
        <f>IF(Table156[[#This Row],[Age]]&lt;=19,"Teenager",IF(Table156[[#This Row],[Age]]&lt;=40,"Median","Old"))</f>
        <v>Median</v>
      </c>
      <c r="G113" s="4" t="s">
        <v>14</v>
      </c>
      <c r="H113" s="4">
        <v>3</v>
      </c>
      <c r="I113" s="4">
        <v>500</v>
      </c>
      <c r="J113" s="4">
        <v>1500</v>
      </c>
      <c r="K113" s="4" t="str" cm="1">
        <f t="array" ref="K113">_xlfn.IFS(AND(Table156[[#This Row],[Total Amount]]&gt;=1500),"Critical",AND(Table156[[#This Row],[Total Amount]]&gt;=1000),"High",TRUE,"Normal")</f>
        <v>Critical</v>
      </c>
      <c r="L113" s="4" t="str">
        <f>IF(Table156[[#This Row],[Total Amount]]&gt;=1000,"High",(IF(Table156[[#This Row],[Total Amount]]&gt;=500,"Medium","Low")))</f>
        <v>High</v>
      </c>
      <c r="M113" s="4" t="str" cm="1">
        <f t="array" ref="M11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13" s="4" cm="1">
        <f t="array" ref="N11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113" s="4">
        <f>Table156[[#This Row],[Total Amount]]-Table156[[#This Row],[Discount Amount]]</f>
        <v>1350</v>
      </c>
      <c r="P113" s="4" t="str">
        <f>IF(Table156[[#This Row],[Total Amount]]&gt;=1000,"High","Low")</f>
        <v>High</v>
      </c>
      <c r="Q113" s="4" t="b" cm="1">
        <f t="array" ref="Q113">_xlfn.IFS(AND(Table156[[#This Row],[Total Amount]]&gt;=1500,"Critical"),AND(Table156[[#This Row],[Total Amount]]&gt;=1000,"High"),TRUE,"Normal")</f>
        <v>1</v>
      </c>
      <c r="R113" s="4">
        <f>COUNTIF(Table156[Gender],"Male")</f>
        <v>490</v>
      </c>
    </row>
    <row r="114" spans="1:18" x14ac:dyDescent="0.35">
      <c r="A114" s="4">
        <v>113</v>
      </c>
      <c r="B114" s="5">
        <v>45182</v>
      </c>
      <c r="C114" s="4" t="s">
        <v>126</v>
      </c>
      <c r="D114" s="4" t="s">
        <v>13</v>
      </c>
      <c r="E114" s="4">
        <v>41</v>
      </c>
      <c r="F114" s="4" t="str">
        <f>IF(Table156[[#This Row],[Age]]&lt;=19,"Teenager",IF(Table156[[#This Row],[Age]]&lt;=40,"Median","Old"))</f>
        <v>Old</v>
      </c>
      <c r="G114" s="4" t="s">
        <v>16</v>
      </c>
      <c r="H114" s="4">
        <v>2</v>
      </c>
      <c r="I114" s="4">
        <v>25</v>
      </c>
      <c r="J114" s="4">
        <v>50</v>
      </c>
      <c r="K114" s="4" t="str" cm="1">
        <f t="array" ref="K114">_xlfn.IFS(AND(Table156[[#This Row],[Total Amount]]&gt;=1500),"Critical",AND(Table156[[#This Row],[Total Amount]]&gt;=1000),"High",TRUE,"Normal")</f>
        <v>Normal</v>
      </c>
      <c r="L114" s="4" t="str">
        <f>IF(Table156[[#This Row],[Total Amount]]&gt;=1000,"High",(IF(Table156[[#This Row],[Total Amount]]&gt;=500,"Medium","Low")))</f>
        <v>Low</v>
      </c>
      <c r="M114" s="4" t="str" cm="1">
        <f t="array" ref="M11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14" s="4" cm="1">
        <f t="array" ref="N11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114" s="4">
        <f>Table156[[#This Row],[Total Amount]]-Table156[[#This Row],[Discount Amount]]</f>
        <v>40</v>
      </c>
      <c r="P114" s="4" t="str">
        <f>IF(Table156[[#This Row],[Total Amount]]&gt;=1000,"High","Low")</f>
        <v>Low</v>
      </c>
      <c r="Q114" s="4" t="str" cm="1">
        <f t="array" ref="Q114">_xlfn.IFS(AND(Table156[[#This Row],[Total Amount]]&gt;=1500,"Critical"),AND(Table156[[#This Row],[Total Amount]]&gt;=1000,"High"),TRUE,"Normal")</f>
        <v>Normal</v>
      </c>
      <c r="R114" s="4">
        <f>COUNTIF(Table156[Gender],"Male")</f>
        <v>490</v>
      </c>
    </row>
    <row r="115" spans="1:18" x14ac:dyDescent="0.35">
      <c r="A115" s="4">
        <v>114</v>
      </c>
      <c r="B115" s="5">
        <v>45129</v>
      </c>
      <c r="C115" s="4" t="s">
        <v>127</v>
      </c>
      <c r="D115" s="4" t="s">
        <v>13</v>
      </c>
      <c r="E115" s="4">
        <v>22</v>
      </c>
      <c r="F115" s="4" t="str">
        <f>IF(Table156[[#This Row],[Age]]&lt;=19,"Teenager",IF(Table156[[#This Row],[Age]]&lt;=40,"Median","Old"))</f>
        <v>Median</v>
      </c>
      <c r="G115" s="4" t="s">
        <v>11</v>
      </c>
      <c r="H115" s="4">
        <v>4</v>
      </c>
      <c r="I115" s="4">
        <v>25</v>
      </c>
      <c r="J115" s="4">
        <v>100</v>
      </c>
      <c r="K115" s="4" t="str" cm="1">
        <f t="array" ref="K115">_xlfn.IFS(AND(Table156[[#This Row],[Total Amount]]&gt;=1500),"Critical",AND(Table156[[#This Row],[Total Amount]]&gt;=1000),"High",TRUE,"Normal")</f>
        <v>Normal</v>
      </c>
      <c r="L115" s="4" t="str">
        <f>IF(Table156[[#This Row],[Total Amount]]&gt;=1000,"High",(IF(Table156[[#This Row],[Total Amount]]&gt;=500,"Medium","Low")))</f>
        <v>Low</v>
      </c>
      <c r="M115" s="4" t="str" cm="1">
        <f t="array" ref="M11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15" s="4" cm="1">
        <f t="array" ref="N11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15" s="4">
        <f>Table156[[#This Row],[Total Amount]]-Table156[[#This Row],[Discount Amount]]</f>
        <v>100</v>
      </c>
      <c r="P115" s="4" t="str">
        <f>IF(Table156[[#This Row],[Total Amount]]&gt;=1000,"High","Low")</f>
        <v>Low</v>
      </c>
      <c r="Q115" s="4" t="str" cm="1">
        <f t="array" ref="Q115">_xlfn.IFS(AND(Table156[[#This Row],[Total Amount]]&gt;=1500,"Critical"),AND(Table156[[#This Row],[Total Amount]]&gt;=1000,"High"),TRUE,"Normal")</f>
        <v>Normal</v>
      </c>
      <c r="R115" s="4">
        <f>COUNTIF(Table156[Gender],"Male")</f>
        <v>490</v>
      </c>
    </row>
    <row r="116" spans="1:18" x14ac:dyDescent="0.35">
      <c r="A116" s="4">
        <v>115</v>
      </c>
      <c r="B116" s="5">
        <v>45256</v>
      </c>
      <c r="C116" s="4" t="s">
        <v>128</v>
      </c>
      <c r="D116" s="4" t="s">
        <v>10</v>
      </c>
      <c r="E116" s="4">
        <v>51</v>
      </c>
      <c r="F116" s="4" t="str">
        <f>IF(Table156[[#This Row],[Age]]&lt;=19,"Teenager",IF(Table156[[#This Row],[Age]]&lt;=40,"Median","Old"))</f>
        <v>Old</v>
      </c>
      <c r="G116" s="4" t="s">
        <v>14</v>
      </c>
      <c r="H116" s="4">
        <v>3</v>
      </c>
      <c r="I116" s="4">
        <v>500</v>
      </c>
      <c r="J116" s="4">
        <v>1500</v>
      </c>
      <c r="K116" s="4" t="str" cm="1">
        <f t="array" ref="K116">_xlfn.IFS(AND(Table156[[#This Row],[Total Amount]]&gt;=1500),"Critical",AND(Table156[[#This Row],[Total Amount]]&gt;=1000),"High",TRUE,"Normal")</f>
        <v>Critical</v>
      </c>
      <c r="L116" s="4" t="str">
        <f>IF(Table156[[#This Row],[Total Amount]]&gt;=1000,"High",(IF(Table156[[#This Row],[Total Amount]]&gt;=500,"Medium","Low")))</f>
        <v>High</v>
      </c>
      <c r="M116" s="4" t="str" cm="1">
        <f t="array" ref="M11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16" s="4" cm="1">
        <f t="array" ref="N11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116" s="4">
        <f>Table156[[#This Row],[Total Amount]]-Table156[[#This Row],[Discount Amount]]</f>
        <v>1350</v>
      </c>
      <c r="P116" s="4" t="str">
        <f>IF(Table156[[#This Row],[Total Amount]]&gt;=1000,"High","Low")</f>
        <v>High</v>
      </c>
      <c r="Q116" s="4" t="b" cm="1">
        <f t="array" ref="Q116">_xlfn.IFS(AND(Table156[[#This Row],[Total Amount]]&gt;=1500,"Critical"),AND(Table156[[#This Row],[Total Amount]]&gt;=1000,"High"),TRUE,"Normal")</f>
        <v>1</v>
      </c>
      <c r="R116" s="4">
        <f>COUNTIF(Table156[Gender],"Male")</f>
        <v>490</v>
      </c>
    </row>
    <row r="117" spans="1:18" x14ac:dyDescent="0.35">
      <c r="A117" s="4">
        <v>116</v>
      </c>
      <c r="B117" s="5">
        <v>45161</v>
      </c>
      <c r="C117" s="4" t="s">
        <v>129</v>
      </c>
      <c r="D117" s="4" t="s">
        <v>13</v>
      </c>
      <c r="E117" s="4">
        <v>23</v>
      </c>
      <c r="F117" s="4" t="str">
        <f>IF(Table156[[#This Row],[Age]]&lt;=19,"Teenager",IF(Table156[[#This Row],[Age]]&lt;=40,"Median","Old"))</f>
        <v>Median</v>
      </c>
      <c r="G117" s="4" t="s">
        <v>14</v>
      </c>
      <c r="H117" s="4">
        <v>1</v>
      </c>
      <c r="I117" s="4">
        <v>30</v>
      </c>
      <c r="J117" s="4">
        <v>30</v>
      </c>
      <c r="K117" s="4" t="str" cm="1">
        <f t="array" ref="K117">_xlfn.IFS(AND(Table156[[#This Row],[Total Amount]]&gt;=1500),"Critical",AND(Table156[[#This Row],[Total Amount]]&gt;=1000),"High",TRUE,"Normal")</f>
        <v>Normal</v>
      </c>
      <c r="L117" s="4" t="str">
        <f>IF(Table156[[#This Row],[Total Amount]]&gt;=1000,"High",(IF(Table156[[#This Row],[Total Amount]]&gt;=500,"Medium","Low")))</f>
        <v>Low</v>
      </c>
      <c r="M117" s="4" t="str" cm="1">
        <f t="array" ref="M11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17" s="4" cm="1">
        <f t="array" ref="N11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17" s="4">
        <f>Table156[[#This Row],[Total Amount]]-Table156[[#This Row],[Discount Amount]]</f>
        <v>30</v>
      </c>
      <c r="P117" s="4" t="str">
        <f>IF(Table156[[#This Row],[Total Amount]]&gt;=1000,"High","Low")</f>
        <v>Low</v>
      </c>
      <c r="Q117" s="4" t="str" cm="1">
        <f t="array" ref="Q117">_xlfn.IFS(AND(Table156[[#This Row],[Total Amount]]&gt;=1500,"Critical"),AND(Table156[[#This Row],[Total Amount]]&gt;=1000,"High"),TRUE,"Normal")</f>
        <v>Normal</v>
      </c>
      <c r="R117" s="4">
        <f>COUNTIF(Table156[Gender],"Male")</f>
        <v>490</v>
      </c>
    </row>
    <row r="118" spans="1:18" x14ac:dyDescent="0.35">
      <c r="A118" s="4">
        <v>117</v>
      </c>
      <c r="B118" s="5">
        <v>45000</v>
      </c>
      <c r="C118" s="4" t="s">
        <v>130</v>
      </c>
      <c r="D118" s="4" t="s">
        <v>10</v>
      </c>
      <c r="E118" s="4">
        <v>19</v>
      </c>
      <c r="F118" s="4" t="str">
        <f>IF(Table156[[#This Row],[Age]]&lt;=19,"Teenager",IF(Table156[[#This Row],[Age]]&lt;=40,"Median","Old"))</f>
        <v>Teenager</v>
      </c>
      <c r="G118" s="4" t="s">
        <v>16</v>
      </c>
      <c r="H118" s="4">
        <v>2</v>
      </c>
      <c r="I118" s="4">
        <v>500</v>
      </c>
      <c r="J118" s="4">
        <v>1000</v>
      </c>
      <c r="K118" s="4" t="str" cm="1">
        <f t="array" ref="K118">_xlfn.IFS(AND(Table156[[#This Row],[Total Amount]]&gt;=1500),"Critical",AND(Table156[[#This Row],[Total Amount]]&gt;=1000),"High",TRUE,"Normal")</f>
        <v>High</v>
      </c>
      <c r="L118" s="4" t="str">
        <f>IF(Table156[[#This Row],[Total Amount]]&gt;=1000,"High",(IF(Table156[[#This Row],[Total Amount]]&gt;=500,"Medium","Low")))</f>
        <v>High</v>
      </c>
      <c r="M118" s="4" t="str" cm="1">
        <f t="array" ref="M11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18" s="4" cm="1">
        <f t="array" ref="N11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18" s="4">
        <f>Table156[[#This Row],[Total Amount]]-Table156[[#This Row],[Discount Amount]]</f>
        <v>1000</v>
      </c>
      <c r="P118" s="4" t="str">
        <f>IF(Table156[[#This Row],[Total Amount]]&gt;=1000,"High","Low")</f>
        <v>High</v>
      </c>
      <c r="Q118" s="4" t="str" cm="1">
        <f t="array" ref="Q118">_xlfn.IFS(AND(Table156[[#This Row],[Total Amount]]&gt;=1500,"Critical"),AND(Table156[[#This Row],[Total Amount]]&gt;=1000,"High"),TRUE,"Normal")</f>
        <v>Normal</v>
      </c>
      <c r="R118" s="4">
        <f>COUNTIF(Table156[Gender],"Male")</f>
        <v>490</v>
      </c>
    </row>
    <row r="119" spans="1:18" x14ac:dyDescent="0.35">
      <c r="A119" s="4">
        <v>118</v>
      </c>
      <c r="B119" s="5">
        <v>45062</v>
      </c>
      <c r="C119" s="4" t="s">
        <v>131</v>
      </c>
      <c r="D119" s="4" t="s">
        <v>13</v>
      </c>
      <c r="E119" s="4">
        <v>30</v>
      </c>
      <c r="F119" s="4" t="str">
        <f>IF(Table156[[#This Row],[Age]]&lt;=19,"Teenager",IF(Table156[[#This Row],[Age]]&lt;=40,"Median","Old"))</f>
        <v>Median</v>
      </c>
      <c r="G119" s="4" t="s">
        <v>16</v>
      </c>
      <c r="H119" s="4">
        <v>4</v>
      </c>
      <c r="I119" s="4">
        <v>500</v>
      </c>
      <c r="J119" s="4">
        <v>2000</v>
      </c>
      <c r="K119" s="4" t="str" cm="1">
        <f t="array" ref="K119">_xlfn.IFS(AND(Table156[[#This Row],[Total Amount]]&gt;=1500),"Critical",AND(Table156[[#This Row],[Total Amount]]&gt;=1000),"High",TRUE,"Normal")</f>
        <v>Critical</v>
      </c>
      <c r="L119" s="4" t="str">
        <f>IF(Table156[[#This Row],[Total Amount]]&gt;=1000,"High",(IF(Table156[[#This Row],[Total Amount]]&gt;=500,"Medium","Low")))</f>
        <v>High</v>
      </c>
      <c r="M119" s="4" t="str" cm="1">
        <f t="array" ref="M11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19" s="4" cm="1">
        <f t="array" ref="N11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119" s="4">
        <f>Table156[[#This Row],[Total Amount]]-Table156[[#This Row],[Discount Amount]]</f>
        <v>1700</v>
      </c>
      <c r="P119" s="4" t="str">
        <f>IF(Table156[[#This Row],[Total Amount]]&gt;=1000,"High","Low")</f>
        <v>High</v>
      </c>
      <c r="Q119" s="4" t="b" cm="1">
        <f t="array" ref="Q119">_xlfn.IFS(AND(Table156[[#This Row],[Total Amount]]&gt;=1500,"Critical"),AND(Table156[[#This Row],[Total Amount]]&gt;=1000,"High"),TRUE,"Normal")</f>
        <v>1</v>
      </c>
      <c r="R119" s="4">
        <f>COUNTIF(Table156[Gender],"Male")</f>
        <v>490</v>
      </c>
    </row>
    <row r="120" spans="1:18" x14ac:dyDescent="0.35">
      <c r="A120" s="4">
        <v>119</v>
      </c>
      <c r="B120" s="5">
        <v>44998</v>
      </c>
      <c r="C120" s="4" t="s">
        <v>132</v>
      </c>
      <c r="D120" s="4" t="s">
        <v>13</v>
      </c>
      <c r="E120" s="4">
        <v>60</v>
      </c>
      <c r="F120" s="4" t="str">
        <f>IF(Table156[[#This Row],[Age]]&lt;=19,"Teenager",IF(Table156[[#This Row],[Age]]&lt;=40,"Median","Old"))</f>
        <v>Old</v>
      </c>
      <c r="G120" s="4" t="s">
        <v>14</v>
      </c>
      <c r="H120" s="4">
        <v>3</v>
      </c>
      <c r="I120" s="4">
        <v>50</v>
      </c>
      <c r="J120" s="4">
        <v>150</v>
      </c>
      <c r="K120" s="4" t="str" cm="1">
        <f t="array" ref="K120">_xlfn.IFS(AND(Table156[[#This Row],[Total Amount]]&gt;=1500),"Critical",AND(Table156[[#This Row],[Total Amount]]&gt;=1000),"High",TRUE,"Normal")</f>
        <v>Normal</v>
      </c>
      <c r="L120" s="4" t="str">
        <f>IF(Table156[[#This Row],[Total Amount]]&gt;=1000,"High",(IF(Table156[[#This Row],[Total Amount]]&gt;=500,"Medium","Low")))</f>
        <v>Low</v>
      </c>
      <c r="M120" s="4" t="str" cm="1">
        <f t="array" ref="M12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20" s="4" cm="1">
        <f t="array" ref="N12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120" s="4">
        <f>Table156[[#This Row],[Total Amount]]-Table156[[#This Row],[Discount Amount]]</f>
        <v>120</v>
      </c>
      <c r="P120" s="4" t="str">
        <f>IF(Table156[[#This Row],[Total Amount]]&gt;=1000,"High","Low")</f>
        <v>Low</v>
      </c>
      <c r="Q120" s="4" t="str" cm="1">
        <f t="array" ref="Q120">_xlfn.IFS(AND(Table156[[#This Row],[Total Amount]]&gt;=1500,"Critical"),AND(Table156[[#This Row],[Total Amount]]&gt;=1000,"High"),TRUE,"Normal")</f>
        <v>Normal</v>
      </c>
      <c r="R120" s="4">
        <f>COUNTIF(Table156[Gender],"Male")</f>
        <v>490</v>
      </c>
    </row>
    <row r="121" spans="1:18" x14ac:dyDescent="0.35">
      <c r="A121" s="4">
        <v>120</v>
      </c>
      <c r="B121" s="5">
        <v>45053</v>
      </c>
      <c r="C121" s="4" t="s">
        <v>133</v>
      </c>
      <c r="D121" s="4" t="s">
        <v>10</v>
      </c>
      <c r="E121" s="4">
        <v>60</v>
      </c>
      <c r="F121" s="4" t="str">
        <f>IF(Table156[[#This Row],[Age]]&lt;=19,"Teenager",IF(Table156[[#This Row],[Age]]&lt;=40,"Median","Old"))</f>
        <v>Old</v>
      </c>
      <c r="G121" s="4" t="s">
        <v>11</v>
      </c>
      <c r="H121" s="4">
        <v>1</v>
      </c>
      <c r="I121" s="4">
        <v>50</v>
      </c>
      <c r="J121" s="4">
        <v>50</v>
      </c>
      <c r="K121" s="4" t="str" cm="1">
        <f t="array" ref="K121">_xlfn.IFS(AND(Table156[[#This Row],[Total Amount]]&gt;=1500),"Critical",AND(Table156[[#This Row],[Total Amount]]&gt;=1000),"High",TRUE,"Normal")</f>
        <v>Normal</v>
      </c>
      <c r="L121" s="4" t="str">
        <f>IF(Table156[[#This Row],[Total Amount]]&gt;=1000,"High",(IF(Table156[[#This Row],[Total Amount]]&gt;=500,"Medium","Low")))</f>
        <v>Low</v>
      </c>
      <c r="M121" s="4" t="str" cm="1">
        <f t="array" ref="M12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21" s="4" cm="1">
        <f t="array" ref="N12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121" s="4">
        <f>Table156[[#This Row],[Total Amount]]-Table156[[#This Row],[Discount Amount]]</f>
        <v>45</v>
      </c>
      <c r="P121" s="4" t="str">
        <f>IF(Table156[[#This Row],[Total Amount]]&gt;=1000,"High","Low")</f>
        <v>Low</v>
      </c>
      <c r="Q121" s="4" t="str" cm="1">
        <f t="array" ref="Q121">_xlfn.IFS(AND(Table156[[#This Row],[Total Amount]]&gt;=1500,"Critical"),AND(Table156[[#This Row],[Total Amount]]&gt;=1000,"High"),TRUE,"Normal")</f>
        <v>Normal</v>
      </c>
      <c r="R121" s="4">
        <f>COUNTIF(Table156[Gender],"Male")</f>
        <v>490</v>
      </c>
    </row>
    <row r="122" spans="1:18" x14ac:dyDescent="0.35">
      <c r="A122" s="4">
        <v>121</v>
      </c>
      <c r="B122" s="5">
        <v>45214</v>
      </c>
      <c r="C122" s="4" t="s">
        <v>134</v>
      </c>
      <c r="D122" s="4" t="s">
        <v>13</v>
      </c>
      <c r="E122" s="4">
        <v>28</v>
      </c>
      <c r="F122" s="4" t="str">
        <f>IF(Table156[[#This Row],[Age]]&lt;=19,"Teenager",IF(Table156[[#This Row],[Age]]&lt;=40,"Median","Old"))</f>
        <v>Median</v>
      </c>
      <c r="G122" s="4" t="s">
        <v>16</v>
      </c>
      <c r="H122" s="4">
        <v>4</v>
      </c>
      <c r="I122" s="4">
        <v>50</v>
      </c>
      <c r="J122" s="4">
        <v>200</v>
      </c>
      <c r="K122" s="4" t="str" cm="1">
        <f t="array" ref="K122">_xlfn.IFS(AND(Table156[[#This Row],[Total Amount]]&gt;=1500),"Critical",AND(Table156[[#This Row],[Total Amount]]&gt;=1000),"High",TRUE,"Normal")</f>
        <v>Normal</v>
      </c>
      <c r="L122" s="4" t="str">
        <f>IF(Table156[[#This Row],[Total Amount]]&gt;=1000,"High",(IF(Table156[[#This Row],[Total Amount]]&gt;=500,"Medium","Low")))</f>
        <v>Low</v>
      </c>
      <c r="M122" s="4" t="str" cm="1">
        <f t="array" ref="M12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22" s="4" cm="1">
        <f t="array" ref="N12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122" s="4">
        <f>Table156[[#This Row],[Total Amount]]-Table156[[#This Row],[Discount Amount]]</f>
        <v>170</v>
      </c>
      <c r="P122" s="4" t="str">
        <f>IF(Table156[[#This Row],[Total Amount]]&gt;=1000,"High","Low")</f>
        <v>Low</v>
      </c>
      <c r="Q122" s="4" t="str" cm="1">
        <f t="array" ref="Q122">_xlfn.IFS(AND(Table156[[#This Row],[Total Amount]]&gt;=1500,"Critical"),AND(Table156[[#This Row],[Total Amount]]&gt;=1000,"High"),TRUE,"Normal")</f>
        <v>Normal</v>
      </c>
      <c r="R122" s="4">
        <f>COUNTIF(Table156[Gender],"Male")</f>
        <v>490</v>
      </c>
    </row>
    <row r="123" spans="1:18" x14ac:dyDescent="0.35">
      <c r="A123" s="4">
        <v>122</v>
      </c>
      <c r="B123" s="5">
        <v>45202</v>
      </c>
      <c r="C123" s="4" t="s">
        <v>135</v>
      </c>
      <c r="D123" s="4" t="s">
        <v>10</v>
      </c>
      <c r="E123" s="4">
        <v>64</v>
      </c>
      <c r="F123" s="4" t="str">
        <f>IF(Table156[[#This Row],[Age]]&lt;=19,"Teenager",IF(Table156[[#This Row],[Age]]&lt;=40,"Median","Old"))</f>
        <v>Old</v>
      </c>
      <c r="G123" s="4" t="s">
        <v>16</v>
      </c>
      <c r="H123" s="4">
        <v>4</v>
      </c>
      <c r="I123" s="4">
        <v>30</v>
      </c>
      <c r="J123" s="4">
        <v>120</v>
      </c>
      <c r="K123" s="4" t="str" cm="1">
        <f t="array" ref="K123">_xlfn.IFS(AND(Table156[[#This Row],[Total Amount]]&gt;=1500),"Critical",AND(Table156[[#This Row],[Total Amount]]&gt;=1000),"High",TRUE,"Normal")</f>
        <v>Normal</v>
      </c>
      <c r="L123" s="4" t="str">
        <f>IF(Table156[[#This Row],[Total Amount]]&gt;=1000,"High",(IF(Table156[[#This Row],[Total Amount]]&gt;=500,"Medium","Low")))</f>
        <v>Low</v>
      </c>
      <c r="M123" s="4" t="str" cm="1">
        <f t="array" ref="M12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23" s="4" cm="1">
        <f t="array" ref="N12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123" s="4">
        <f>Table156[[#This Row],[Total Amount]]-Table156[[#This Row],[Discount Amount]]</f>
        <v>108</v>
      </c>
      <c r="P123" s="4" t="str">
        <f>IF(Table156[[#This Row],[Total Amount]]&gt;=1000,"High","Low")</f>
        <v>Low</v>
      </c>
      <c r="Q123" s="4" t="str" cm="1">
        <f t="array" ref="Q123">_xlfn.IFS(AND(Table156[[#This Row],[Total Amount]]&gt;=1500,"Critical"),AND(Table156[[#This Row],[Total Amount]]&gt;=1000,"High"),TRUE,"Normal")</f>
        <v>Normal</v>
      </c>
      <c r="R123" s="4">
        <f>COUNTIF(Table156[Gender],"Male")</f>
        <v>490</v>
      </c>
    </row>
    <row r="124" spans="1:18" x14ac:dyDescent="0.35">
      <c r="A124" s="4">
        <v>123</v>
      </c>
      <c r="B124" s="5">
        <v>45061</v>
      </c>
      <c r="C124" s="4" t="s">
        <v>136</v>
      </c>
      <c r="D124" s="4" t="s">
        <v>13</v>
      </c>
      <c r="E124" s="4">
        <v>40</v>
      </c>
      <c r="F124" s="4" t="str">
        <f>IF(Table156[[#This Row],[Age]]&lt;=19,"Teenager",IF(Table156[[#This Row],[Age]]&lt;=40,"Median","Old"))</f>
        <v>Median</v>
      </c>
      <c r="G124" s="4" t="s">
        <v>16</v>
      </c>
      <c r="H124" s="4">
        <v>2</v>
      </c>
      <c r="I124" s="4">
        <v>30</v>
      </c>
      <c r="J124" s="4">
        <v>60</v>
      </c>
      <c r="K124" s="4" t="str" cm="1">
        <f t="array" ref="K124">_xlfn.IFS(AND(Table156[[#This Row],[Total Amount]]&gt;=1500),"Critical",AND(Table156[[#This Row],[Total Amount]]&gt;=1000),"High",TRUE,"Normal")</f>
        <v>Normal</v>
      </c>
      <c r="L124" s="4" t="str">
        <f>IF(Table156[[#This Row],[Total Amount]]&gt;=1000,"High",(IF(Table156[[#This Row],[Total Amount]]&gt;=500,"Medium","Low")))</f>
        <v>Low</v>
      </c>
      <c r="M124" s="4" t="str" cm="1">
        <f t="array" ref="M12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24" s="4" cm="1">
        <f t="array" ref="N12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124" s="4">
        <f>Table156[[#This Row],[Total Amount]]-Table156[[#This Row],[Discount Amount]]</f>
        <v>48</v>
      </c>
      <c r="P124" s="4" t="str">
        <f>IF(Table156[[#This Row],[Total Amount]]&gt;=1000,"High","Low")</f>
        <v>Low</v>
      </c>
      <c r="Q124" s="4" t="str" cm="1">
        <f t="array" ref="Q124">_xlfn.IFS(AND(Table156[[#This Row],[Total Amount]]&gt;=1500,"Critical"),AND(Table156[[#This Row],[Total Amount]]&gt;=1000,"High"),TRUE,"Normal")</f>
        <v>Normal</v>
      </c>
      <c r="R124" s="4">
        <f>COUNTIF(Table156[Gender],"Male")</f>
        <v>490</v>
      </c>
    </row>
    <row r="125" spans="1:18" x14ac:dyDescent="0.35">
      <c r="A125" s="4">
        <v>124</v>
      </c>
      <c r="B125" s="5">
        <v>45226</v>
      </c>
      <c r="C125" s="4" t="s">
        <v>137</v>
      </c>
      <c r="D125" s="4" t="s">
        <v>10</v>
      </c>
      <c r="E125" s="4">
        <v>33</v>
      </c>
      <c r="F125" s="4" t="str">
        <f>IF(Table156[[#This Row],[Age]]&lt;=19,"Teenager",IF(Table156[[#This Row],[Age]]&lt;=40,"Median","Old"))</f>
        <v>Median</v>
      </c>
      <c r="G125" s="4" t="s">
        <v>14</v>
      </c>
      <c r="H125" s="4">
        <v>4</v>
      </c>
      <c r="I125" s="4">
        <v>500</v>
      </c>
      <c r="J125" s="4">
        <v>2000</v>
      </c>
      <c r="K125" s="4" t="str" cm="1">
        <f t="array" ref="K125">_xlfn.IFS(AND(Table156[[#This Row],[Total Amount]]&gt;=1500),"Critical",AND(Table156[[#This Row],[Total Amount]]&gt;=1000),"High",TRUE,"Normal")</f>
        <v>Critical</v>
      </c>
      <c r="L125" s="4" t="str">
        <f>IF(Table156[[#This Row],[Total Amount]]&gt;=1000,"High",(IF(Table156[[#This Row],[Total Amount]]&gt;=500,"Medium","Low")))</f>
        <v>High</v>
      </c>
      <c r="M125" s="4" t="str" cm="1">
        <f t="array" ref="M12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25" s="4" cm="1">
        <f t="array" ref="N12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125" s="4">
        <f>Table156[[#This Row],[Total Amount]]-Table156[[#This Row],[Discount Amount]]</f>
        <v>1700</v>
      </c>
      <c r="P125" s="4" t="str">
        <f>IF(Table156[[#This Row],[Total Amount]]&gt;=1000,"High","Low")</f>
        <v>High</v>
      </c>
      <c r="Q125" s="4" t="b" cm="1">
        <f t="array" ref="Q125">_xlfn.IFS(AND(Table156[[#This Row],[Total Amount]]&gt;=1500,"Critical"),AND(Table156[[#This Row],[Total Amount]]&gt;=1000,"High"),TRUE,"Normal")</f>
        <v>1</v>
      </c>
      <c r="R125" s="4">
        <f>COUNTIF(Table156[Gender],"Male")</f>
        <v>490</v>
      </c>
    </row>
    <row r="126" spans="1:18" x14ac:dyDescent="0.35">
      <c r="A126" s="4">
        <v>125</v>
      </c>
      <c r="B126" s="5">
        <v>45146</v>
      </c>
      <c r="C126" s="4" t="s">
        <v>138</v>
      </c>
      <c r="D126" s="4" t="s">
        <v>10</v>
      </c>
      <c r="E126" s="4">
        <v>48</v>
      </c>
      <c r="F126" s="4" t="str">
        <f>IF(Table156[[#This Row],[Age]]&lt;=19,"Teenager",IF(Table156[[#This Row],[Age]]&lt;=40,"Median","Old"))</f>
        <v>Old</v>
      </c>
      <c r="G126" s="4" t="s">
        <v>14</v>
      </c>
      <c r="H126" s="4">
        <v>2</v>
      </c>
      <c r="I126" s="4">
        <v>50</v>
      </c>
      <c r="J126" s="4">
        <v>100</v>
      </c>
      <c r="K126" s="4" t="str" cm="1">
        <f t="array" ref="K126">_xlfn.IFS(AND(Table156[[#This Row],[Total Amount]]&gt;=1500),"Critical",AND(Table156[[#This Row],[Total Amount]]&gt;=1000),"High",TRUE,"Normal")</f>
        <v>Normal</v>
      </c>
      <c r="L126" s="4" t="str">
        <f>IF(Table156[[#This Row],[Total Amount]]&gt;=1000,"High",(IF(Table156[[#This Row],[Total Amount]]&gt;=500,"Medium","Low")))</f>
        <v>Low</v>
      </c>
      <c r="M126" s="4" t="str" cm="1">
        <f t="array" ref="M12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26" s="4" cm="1">
        <f t="array" ref="N12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126" s="4">
        <f>Table156[[#This Row],[Total Amount]]-Table156[[#This Row],[Discount Amount]]</f>
        <v>90</v>
      </c>
      <c r="P126" s="4" t="str">
        <f>IF(Table156[[#This Row],[Total Amount]]&gt;=1000,"High","Low")</f>
        <v>Low</v>
      </c>
      <c r="Q126" s="4" t="str" cm="1">
        <f t="array" ref="Q126">_xlfn.IFS(AND(Table156[[#This Row],[Total Amount]]&gt;=1500,"Critical"),AND(Table156[[#This Row],[Total Amount]]&gt;=1000,"High"),TRUE,"Normal")</f>
        <v>Normal</v>
      </c>
      <c r="R126" s="4">
        <f>COUNTIF(Table156[Gender],"Male")</f>
        <v>490</v>
      </c>
    </row>
    <row r="127" spans="1:18" x14ac:dyDescent="0.35">
      <c r="A127" s="4">
        <v>126</v>
      </c>
      <c r="B127" s="5">
        <v>45225</v>
      </c>
      <c r="C127" s="4" t="s">
        <v>139</v>
      </c>
      <c r="D127" s="4" t="s">
        <v>13</v>
      </c>
      <c r="E127" s="4">
        <v>28</v>
      </c>
      <c r="F127" s="4" t="str">
        <f>IF(Table156[[#This Row],[Age]]&lt;=19,"Teenager",IF(Table156[[#This Row],[Age]]&lt;=40,"Median","Old"))</f>
        <v>Median</v>
      </c>
      <c r="G127" s="4" t="s">
        <v>14</v>
      </c>
      <c r="H127" s="4">
        <v>3</v>
      </c>
      <c r="I127" s="4">
        <v>30</v>
      </c>
      <c r="J127" s="4">
        <v>90</v>
      </c>
      <c r="K127" s="4" t="str" cm="1">
        <f t="array" ref="K127">_xlfn.IFS(AND(Table156[[#This Row],[Total Amount]]&gt;=1500),"Critical",AND(Table156[[#This Row],[Total Amount]]&gt;=1000),"High",TRUE,"Normal")</f>
        <v>Normal</v>
      </c>
      <c r="L127" s="4" t="str">
        <f>IF(Table156[[#This Row],[Total Amount]]&gt;=1000,"High",(IF(Table156[[#This Row],[Total Amount]]&gt;=500,"Medium","Low")))</f>
        <v>Low</v>
      </c>
      <c r="M127" s="4" t="str" cm="1">
        <f t="array" ref="M12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27" s="4" cm="1">
        <f t="array" ref="N12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13.5</v>
      </c>
      <c r="O127" s="4">
        <f>Table156[[#This Row],[Total Amount]]-Table156[[#This Row],[Discount Amount]]</f>
        <v>76.5</v>
      </c>
      <c r="P127" s="4" t="str">
        <f>IF(Table156[[#This Row],[Total Amount]]&gt;=1000,"High","Low")</f>
        <v>Low</v>
      </c>
      <c r="Q127" s="4" t="str" cm="1">
        <f t="array" ref="Q127">_xlfn.IFS(AND(Table156[[#This Row],[Total Amount]]&gt;=1500,"Critical"),AND(Table156[[#This Row],[Total Amount]]&gt;=1000,"High"),TRUE,"Normal")</f>
        <v>Normal</v>
      </c>
      <c r="R127" s="4">
        <f>COUNTIF(Table156[Gender],"Male")</f>
        <v>490</v>
      </c>
    </row>
    <row r="128" spans="1:18" x14ac:dyDescent="0.35">
      <c r="A128" s="4">
        <v>127</v>
      </c>
      <c r="B128" s="5">
        <v>45131</v>
      </c>
      <c r="C128" s="4" t="s">
        <v>140</v>
      </c>
      <c r="D128" s="4" t="s">
        <v>13</v>
      </c>
      <c r="E128" s="4">
        <v>33</v>
      </c>
      <c r="F128" s="4" t="str">
        <f>IF(Table156[[#This Row],[Age]]&lt;=19,"Teenager",IF(Table156[[#This Row],[Age]]&lt;=40,"Median","Old"))</f>
        <v>Median</v>
      </c>
      <c r="G128" s="4" t="s">
        <v>14</v>
      </c>
      <c r="H128" s="4">
        <v>2</v>
      </c>
      <c r="I128" s="4">
        <v>25</v>
      </c>
      <c r="J128" s="4">
        <v>50</v>
      </c>
      <c r="K128" s="4" t="str" cm="1">
        <f t="array" ref="K128">_xlfn.IFS(AND(Table156[[#This Row],[Total Amount]]&gt;=1500),"Critical",AND(Table156[[#This Row],[Total Amount]]&gt;=1000),"High",TRUE,"Normal")</f>
        <v>Normal</v>
      </c>
      <c r="L128" s="4" t="str">
        <f>IF(Table156[[#This Row],[Total Amount]]&gt;=1000,"High",(IF(Table156[[#This Row],[Total Amount]]&gt;=500,"Medium","Low")))</f>
        <v>Low</v>
      </c>
      <c r="M128" s="4" t="str" cm="1">
        <f t="array" ref="M12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28" s="4" cm="1">
        <f t="array" ref="N12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128" s="4">
        <f>Table156[[#This Row],[Total Amount]]-Table156[[#This Row],[Discount Amount]]</f>
        <v>42.5</v>
      </c>
      <c r="P128" s="4" t="str">
        <f>IF(Table156[[#This Row],[Total Amount]]&gt;=1000,"High","Low")</f>
        <v>Low</v>
      </c>
      <c r="Q128" s="4" t="str" cm="1">
        <f t="array" ref="Q128">_xlfn.IFS(AND(Table156[[#This Row],[Total Amount]]&gt;=1500,"Critical"),AND(Table156[[#This Row],[Total Amount]]&gt;=1000,"High"),TRUE,"Normal")</f>
        <v>Normal</v>
      </c>
      <c r="R128" s="4">
        <f>COUNTIF(Table156[Gender],"Male")</f>
        <v>490</v>
      </c>
    </row>
    <row r="129" spans="1:18" x14ac:dyDescent="0.35">
      <c r="A129" s="4">
        <v>128</v>
      </c>
      <c r="B129" s="5">
        <v>45112</v>
      </c>
      <c r="C129" s="4" t="s">
        <v>141</v>
      </c>
      <c r="D129" s="4" t="s">
        <v>10</v>
      </c>
      <c r="E129" s="4">
        <v>25</v>
      </c>
      <c r="F129" s="4" t="str">
        <f>IF(Table156[[#This Row],[Age]]&lt;=19,"Teenager",IF(Table156[[#This Row],[Age]]&lt;=40,"Median","Old"))</f>
        <v>Median</v>
      </c>
      <c r="G129" s="4" t="s">
        <v>11</v>
      </c>
      <c r="H129" s="4">
        <v>1</v>
      </c>
      <c r="I129" s="4">
        <v>500</v>
      </c>
      <c r="J129" s="4">
        <v>500</v>
      </c>
      <c r="K129" s="4" t="str" cm="1">
        <f t="array" ref="K129">_xlfn.IFS(AND(Table156[[#This Row],[Total Amount]]&gt;=1500),"Critical",AND(Table156[[#This Row],[Total Amount]]&gt;=1000),"High",TRUE,"Normal")</f>
        <v>Normal</v>
      </c>
      <c r="L129" s="4" t="str">
        <f>IF(Table156[[#This Row],[Total Amount]]&gt;=1000,"High",(IF(Table156[[#This Row],[Total Amount]]&gt;=500,"Medium","Low")))</f>
        <v>Medium</v>
      </c>
      <c r="M129" s="4" t="str" cm="1">
        <f t="array" ref="M12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29" s="4" cm="1">
        <f t="array" ref="N12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75</v>
      </c>
      <c r="O129" s="4">
        <f>Table156[[#This Row],[Total Amount]]-Table156[[#This Row],[Discount Amount]]</f>
        <v>425</v>
      </c>
      <c r="P129" s="4" t="str">
        <f>IF(Table156[[#This Row],[Total Amount]]&gt;=1000,"High","Low")</f>
        <v>Low</v>
      </c>
      <c r="Q129" s="4" t="str" cm="1">
        <f t="array" ref="Q129">_xlfn.IFS(AND(Table156[[#This Row],[Total Amount]]&gt;=1500,"Critical"),AND(Table156[[#This Row],[Total Amount]]&gt;=1000,"High"),TRUE,"Normal")</f>
        <v>Normal</v>
      </c>
      <c r="R129" s="4">
        <f>COUNTIF(Table156[Gender],"Male")</f>
        <v>490</v>
      </c>
    </row>
    <row r="130" spans="1:18" x14ac:dyDescent="0.35">
      <c r="A130" s="4">
        <v>129</v>
      </c>
      <c r="B130" s="5">
        <v>45039</v>
      </c>
      <c r="C130" s="4" t="s">
        <v>142</v>
      </c>
      <c r="D130" s="4" t="s">
        <v>13</v>
      </c>
      <c r="E130" s="4">
        <v>21</v>
      </c>
      <c r="F130" s="4" t="str">
        <f>IF(Table156[[#This Row],[Age]]&lt;=19,"Teenager",IF(Table156[[#This Row],[Age]]&lt;=40,"Median","Old"))</f>
        <v>Median</v>
      </c>
      <c r="G130" s="4" t="s">
        <v>11</v>
      </c>
      <c r="H130" s="4">
        <v>2</v>
      </c>
      <c r="I130" s="4">
        <v>300</v>
      </c>
      <c r="J130" s="4">
        <v>600</v>
      </c>
      <c r="K130" s="4" t="str" cm="1">
        <f t="array" ref="K130">_xlfn.IFS(AND(Table156[[#This Row],[Total Amount]]&gt;=1500),"Critical",AND(Table156[[#This Row],[Total Amount]]&gt;=1000),"High",TRUE,"Normal")</f>
        <v>Normal</v>
      </c>
      <c r="L130" s="4" t="str">
        <f>IF(Table156[[#This Row],[Total Amount]]&gt;=1000,"High",(IF(Table156[[#This Row],[Total Amount]]&gt;=500,"Medium","Low")))</f>
        <v>Medium</v>
      </c>
      <c r="M130" s="4" t="str" cm="1">
        <f t="array" ref="M13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30" s="4" cm="1">
        <f t="array" ref="N13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30" s="4">
        <f>Table156[[#This Row],[Total Amount]]-Table156[[#This Row],[Discount Amount]]</f>
        <v>600</v>
      </c>
      <c r="P130" s="4" t="str">
        <f>IF(Table156[[#This Row],[Total Amount]]&gt;=1000,"High","Low")</f>
        <v>Low</v>
      </c>
      <c r="Q130" s="4" t="str" cm="1">
        <f t="array" ref="Q130">_xlfn.IFS(AND(Table156[[#This Row],[Total Amount]]&gt;=1500,"Critical"),AND(Table156[[#This Row],[Total Amount]]&gt;=1000,"High"),TRUE,"Normal")</f>
        <v>Normal</v>
      </c>
      <c r="R130" s="4">
        <f>COUNTIF(Table156[Gender],"Male")</f>
        <v>490</v>
      </c>
    </row>
    <row r="131" spans="1:18" x14ac:dyDescent="0.35">
      <c r="A131" s="4">
        <v>130</v>
      </c>
      <c r="B131" s="5">
        <v>44997</v>
      </c>
      <c r="C131" s="4" t="s">
        <v>143</v>
      </c>
      <c r="D131" s="4" t="s">
        <v>13</v>
      </c>
      <c r="E131" s="4">
        <v>57</v>
      </c>
      <c r="F131" s="4" t="str">
        <f>IF(Table156[[#This Row],[Age]]&lt;=19,"Teenager",IF(Table156[[#This Row],[Age]]&lt;=40,"Median","Old"))</f>
        <v>Old</v>
      </c>
      <c r="G131" s="4" t="s">
        <v>14</v>
      </c>
      <c r="H131" s="4">
        <v>1</v>
      </c>
      <c r="I131" s="4">
        <v>500</v>
      </c>
      <c r="J131" s="4">
        <v>500</v>
      </c>
      <c r="K131" s="4" t="str" cm="1">
        <f t="array" ref="K131">_xlfn.IFS(AND(Table156[[#This Row],[Total Amount]]&gt;=1500),"Critical",AND(Table156[[#This Row],[Total Amount]]&gt;=1000),"High",TRUE,"Normal")</f>
        <v>Normal</v>
      </c>
      <c r="L131" s="4" t="str">
        <f>IF(Table156[[#This Row],[Total Amount]]&gt;=1000,"High",(IF(Table156[[#This Row],[Total Amount]]&gt;=500,"Medium","Low")))</f>
        <v>Medium</v>
      </c>
      <c r="M131" s="4" t="str" cm="1">
        <f t="array" ref="M13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31" s="4" cm="1">
        <f t="array" ref="N13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131" s="4">
        <f>Table156[[#This Row],[Total Amount]]-Table156[[#This Row],[Discount Amount]]</f>
        <v>400</v>
      </c>
      <c r="P131" s="4" t="str">
        <f>IF(Table156[[#This Row],[Total Amount]]&gt;=1000,"High","Low")</f>
        <v>Low</v>
      </c>
      <c r="Q131" s="4" t="str" cm="1">
        <f t="array" ref="Q131">_xlfn.IFS(AND(Table156[[#This Row],[Total Amount]]&gt;=1500,"Critical"),AND(Table156[[#This Row],[Total Amount]]&gt;=1000,"High"),TRUE,"Normal")</f>
        <v>Normal</v>
      </c>
      <c r="R131" s="4">
        <f>COUNTIF(Table156[Gender],"Male")</f>
        <v>490</v>
      </c>
    </row>
    <row r="132" spans="1:18" x14ac:dyDescent="0.35">
      <c r="A132" s="4">
        <v>131</v>
      </c>
      <c r="B132" s="5">
        <v>45187</v>
      </c>
      <c r="C132" s="4" t="s">
        <v>144</v>
      </c>
      <c r="D132" s="4" t="s">
        <v>13</v>
      </c>
      <c r="E132" s="4">
        <v>21</v>
      </c>
      <c r="F132" s="4" t="str">
        <f>IF(Table156[[#This Row],[Age]]&lt;=19,"Teenager",IF(Table156[[#This Row],[Age]]&lt;=40,"Median","Old"))</f>
        <v>Median</v>
      </c>
      <c r="G132" s="4" t="s">
        <v>11</v>
      </c>
      <c r="H132" s="4">
        <v>2</v>
      </c>
      <c r="I132" s="4">
        <v>300</v>
      </c>
      <c r="J132" s="4">
        <v>600</v>
      </c>
      <c r="K132" s="4" t="str" cm="1">
        <f t="array" ref="K132">_xlfn.IFS(AND(Table156[[#This Row],[Total Amount]]&gt;=1500),"Critical",AND(Table156[[#This Row],[Total Amount]]&gt;=1000),"High",TRUE,"Normal")</f>
        <v>Normal</v>
      </c>
      <c r="L132" s="4" t="str">
        <f>IF(Table156[[#This Row],[Total Amount]]&gt;=1000,"High",(IF(Table156[[#This Row],[Total Amount]]&gt;=500,"Medium","Low")))</f>
        <v>Medium</v>
      </c>
      <c r="M132" s="4" t="str" cm="1">
        <f t="array" ref="M13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32" s="4" cm="1">
        <f t="array" ref="N13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32" s="4">
        <f>Table156[[#This Row],[Total Amount]]-Table156[[#This Row],[Discount Amount]]</f>
        <v>600</v>
      </c>
      <c r="P132" s="4" t="str">
        <f>IF(Table156[[#This Row],[Total Amount]]&gt;=1000,"High","Low")</f>
        <v>Low</v>
      </c>
      <c r="Q132" s="4" t="str" cm="1">
        <f t="array" ref="Q132">_xlfn.IFS(AND(Table156[[#This Row],[Total Amount]]&gt;=1500,"Critical"),AND(Table156[[#This Row],[Total Amount]]&gt;=1000,"High"),TRUE,"Normal")</f>
        <v>Normal</v>
      </c>
      <c r="R132" s="4">
        <f>COUNTIF(Table156[Gender],"Male")</f>
        <v>490</v>
      </c>
    </row>
    <row r="133" spans="1:18" x14ac:dyDescent="0.35">
      <c r="A133" s="4">
        <v>132</v>
      </c>
      <c r="B133" s="5">
        <v>45179</v>
      </c>
      <c r="C133" s="4" t="s">
        <v>145</v>
      </c>
      <c r="D133" s="4" t="s">
        <v>10</v>
      </c>
      <c r="E133" s="4">
        <v>42</v>
      </c>
      <c r="F133" s="4" t="str">
        <f>IF(Table156[[#This Row],[Age]]&lt;=19,"Teenager",IF(Table156[[#This Row],[Age]]&lt;=40,"Median","Old"))</f>
        <v>Old</v>
      </c>
      <c r="G133" s="4" t="s">
        <v>16</v>
      </c>
      <c r="H133" s="4">
        <v>4</v>
      </c>
      <c r="I133" s="4">
        <v>50</v>
      </c>
      <c r="J133" s="4">
        <v>200</v>
      </c>
      <c r="K133" s="4" t="str" cm="1">
        <f t="array" ref="K133">_xlfn.IFS(AND(Table156[[#This Row],[Total Amount]]&gt;=1500),"Critical",AND(Table156[[#This Row],[Total Amount]]&gt;=1000),"High",TRUE,"Normal")</f>
        <v>Normal</v>
      </c>
      <c r="L133" s="4" t="str">
        <f>IF(Table156[[#This Row],[Total Amount]]&gt;=1000,"High",(IF(Table156[[#This Row],[Total Amount]]&gt;=500,"Medium","Low")))</f>
        <v>Low</v>
      </c>
      <c r="M133" s="4" t="str" cm="1">
        <f t="array" ref="M13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33" s="4" cm="1">
        <f t="array" ref="N13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133" s="4">
        <f>Table156[[#This Row],[Total Amount]]-Table156[[#This Row],[Discount Amount]]</f>
        <v>180</v>
      </c>
      <c r="P133" s="4" t="str">
        <f>IF(Table156[[#This Row],[Total Amount]]&gt;=1000,"High","Low")</f>
        <v>Low</v>
      </c>
      <c r="Q133" s="4" t="str" cm="1">
        <f t="array" ref="Q133">_xlfn.IFS(AND(Table156[[#This Row],[Total Amount]]&gt;=1500,"Critical"),AND(Table156[[#This Row],[Total Amount]]&gt;=1000,"High"),TRUE,"Normal")</f>
        <v>Normal</v>
      </c>
      <c r="R133" s="4">
        <f>COUNTIF(Table156[Gender],"Male")</f>
        <v>490</v>
      </c>
    </row>
    <row r="134" spans="1:18" x14ac:dyDescent="0.35">
      <c r="A134" s="4">
        <v>133</v>
      </c>
      <c r="B134" s="5">
        <v>44973</v>
      </c>
      <c r="C134" s="4" t="s">
        <v>146</v>
      </c>
      <c r="D134" s="4" t="s">
        <v>10</v>
      </c>
      <c r="E134" s="4">
        <v>20</v>
      </c>
      <c r="F134" s="4" t="str">
        <f>IF(Table156[[#This Row],[Age]]&lt;=19,"Teenager",IF(Table156[[#This Row],[Age]]&lt;=40,"Median","Old"))</f>
        <v>Median</v>
      </c>
      <c r="G134" s="4" t="s">
        <v>16</v>
      </c>
      <c r="H134" s="4">
        <v>3</v>
      </c>
      <c r="I134" s="4">
        <v>300</v>
      </c>
      <c r="J134" s="4">
        <v>900</v>
      </c>
      <c r="K134" s="4" t="str" cm="1">
        <f t="array" ref="K134">_xlfn.IFS(AND(Table156[[#This Row],[Total Amount]]&gt;=1500),"Critical",AND(Table156[[#This Row],[Total Amount]]&gt;=1000),"High",TRUE,"Normal")</f>
        <v>Normal</v>
      </c>
      <c r="L134" s="4" t="str">
        <f>IF(Table156[[#This Row],[Total Amount]]&gt;=1000,"High",(IF(Table156[[#This Row],[Total Amount]]&gt;=500,"Medium","Low")))</f>
        <v>Medium</v>
      </c>
      <c r="M134" s="4" t="str" cm="1">
        <f t="array" ref="M13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34" s="4" cm="1">
        <f t="array" ref="N13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34" s="4">
        <f>Table156[[#This Row],[Total Amount]]-Table156[[#This Row],[Discount Amount]]</f>
        <v>900</v>
      </c>
      <c r="P134" s="4" t="str">
        <f>IF(Table156[[#This Row],[Total Amount]]&gt;=1000,"High","Low")</f>
        <v>Low</v>
      </c>
      <c r="Q134" s="4" t="str" cm="1">
        <f t="array" ref="Q134">_xlfn.IFS(AND(Table156[[#This Row],[Total Amount]]&gt;=1500,"Critical"),AND(Table156[[#This Row],[Total Amount]]&gt;=1000,"High"),TRUE,"Normal")</f>
        <v>Normal</v>
      </c>
      <c r="R134" s="4">
        <f>COUNTIF(Table156[Gender],"Male")</f>
        <v>490</v>
      </c>
    </row>
    <row r="135" spans="1:18" x14ac:dyDescent="0.35">
      <c r="A135" s="4">
        <v>134</v>
      </c>
      <c r="B135" s="5">
        <v>44951</v>
      </c>
      <c r="C135" s="4" t="s">
        <v>147</v>
      </c>
      <c r="D135" s="4" t="s">
        <v>10</v>
      </c>
      <c r="E135" s="4">
        <v>49</v>
      </c>
      <c r="F135" s="4" t="str">
        <f>IF(Table156[[#This Row],[Age]]&lt;=19,"Teenager",IF(Table156[[#This Row],[Age]]&lt;=40,"Median","Old"))</f>
        <v>Old</v>
      </c>
      <c r="G135" s="4" t="s">
        <v>16</v>
      </c>
      <c r="H135" s="4">
        <v>1</v>
      </c>
      <c r="I135" s="4">
        <v>50</v>
      </c>
      <c r="J135" s="4">
        <v>50</v>
      </c>
      <c r="K135" s="4" t="str" cm="1">
        <f t="array" ref="K135">_xlfn.IFS(AND(Table156[[#This Row],[Total Amount]]&gt;=1500),"Critical",AND(Table156[[#This Row],[Total Amount]]&gt;=1000),"High",TRUE,"Normal")</f>
        <v>Normal</v>
      </c>
      <c r="L135" s="4" t="str">
        <f>IF(Table156[[#This Row],[Total Amount]]&gt;=1000,"High",(IF(Table156[[#This Row],[Total Amount]]&gt;=500,"Medium","Low")))</f>
        <v>Low</v>
      </c>
      <c r="M135" s="4" t="str" cm="1">
        <f t="array" ref="M13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35" s="4" cm="1">
        <f t="array" ref="N13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135" s="4">
        <f>Table156[[#This Row],[Total Amount]]-Table156[[#This Row],[Discount Amount]]</f>
        <v>45</v>
      </c>
      <c r="P135" s="4" t="str">
        <f>IF(Table156[[#This Row],[Total Amount]]&gt;=1000,"High","Low")</f>
        <v>Low</v>
      </c>
      <c r="Q135" s="4" t="str" cm="1">
        <f t="array" ref="Q135">_xlfn.IFS(AND(Table156[[#This Row],[Total Amount]]&gt;=1500,"Critical"),AND(Table156[[#This Row],[Total Amount]]&gt;=1000,"High"),TRUE,"Normal")</f>
        <v>Normal</v>
      </c>
      <c r="R135" s="4">
        <f>COUNTIF(Table156[Gender],"Male")</f>
        <v>490</v>
      </c>
    </row>
    <row r="136" spans="1:18" x14ac:dyDescent="0.35">
      <c r="A136" s="4">
        <v>135</v>
      </c>
      <c r="B136" s="5">
        <v>44983</v>
      </c>
      <c r="C136" s="4" t="s">
        <v>148</v>
      </c>
      <c r="D136" s="4" t="s">
        <v>10</v>
      </c>
      <c r="E136" s="4">
        <v>20</v>
      </c>
      <c r="F136" s="4" t="str">
        <f>IF(Table156[[#This Row],[Age]]&lt;=19,"Teenager",IF(Table156[[#This Row],[Age]]&lt;=40,"Median","Old"))</f>
        <v>Median</v>
      </c>
      <c r="G136" s="4" t="s">
        <v>14</v>
      </c>
      <c r="H136" s="4">
        <v>2</v>
      </c>
      <c r="I136" s="4">
        <v>25</v>
      </c>
      <c r="J136" s="4">
        <v>50</v>
      </c>
      <c r="K136" s="4" t="str" cm="1">
        <f t="array" ref="K136">_xlfn.IFS(AND(Table156[[#This Row],[Total Amount]]&gt;=1500),"Critical",AND(Table156[[#This Row],[Total Amount]]&gt;=1000),"High",TRUE,"Normal")</f>
        <v>Normal</v>
      </c>
      <c r="L136" s="4" t="str">
        <f>IF(Table156[[#This Row],[Total Amount]]&gt;=1000,"High",(IF(Table156[[#This Row],[Total Amount]]&gt;=500,"Medium","Low")))</f>
        <v>Low</v>
      </c>
      <c r="M136" s="4" t="str" cm="1">
        <f t="array" ref="M13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36" s="4" cm="1">
        <f t="array" ref="N13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36" s="4">
        <f>Table156[[#This Row],[Total Amount]]-Table156[[#This Row],[Discount Amount]]</f>
        <v>50</v>
      </c>
      <c r="P136" s="4" t="str">
        <f>IF(Table156[[#This Row],[Total Amount]]&gt;=1000,"High","Low")</f>
        <v>Low</v>
      </c>
      <c r="Q136" s="4" t="str" cm="1">
        <f t="array" ref="Q136">_xlfn.IFS(AND(Table156[[#This Row],[Total Amount]]&gt;=1500,"Critical"),AND(Table156[[#This Row],[Total Amount]]&gt;=1000,"High"),TRUE,"Normal")</f>
        <v>Normal</v>
      </c>
      <c r="R136" s="4">
        <f>COUNTIF(Table156[Gender],"Male")</f>
        <v>490</v>
      </c>
    </row>
    <row r="137" spans="1:18" x14ac:dyDescent="0.35">
      <c r="A137" s="4">
        <v>136</v>
      </c>
      <c r="B137" s="5">
        <v>45005</v>
      </c>
      <c r="C137" s="4" t="s">
        <v>149</v>
      </c>
      <c r="D137" s="4" t="s">
        <v>10</v>
      </c>
      <c r="E137" s="4">
        <v>44</v>
      </c>
      <c r="F137" s="4" t="str">
        <f>IF(Table156[[#This Row],[Age]]&lt;=19,"Teenager",IF(Table156[[#This Row],[Age]]&lt;=40,"Median","Old"))</f>
        <v>Old</v>
      </c>
      <c r="G137" s="4" t="s">
        <v>16</v>
      </c>
      <c r="H137" s="4">
        <v>2</v>
      </c>
      <c r="I137" s="4">
        <v>300</v>
      </c>
      <c r="J137" s="4">
        <v>600</v>
      </c>
      <c r="K137" s="4" t="str" cm="1">
        <f t="array" ref="K137">_xlfn.IFS(AND(Table156[[#This Row],[Total Amount]]&gt;=1500),"Critical",AND(Table156[[#This Row],[Total Amount]]&gt;=1000),"High",TRUE,"Normal")</f>
        <v>Normal</v>
      </c>
      <c r="L137" s="4" t="str">
        <f>IF(Table156[[#This Row],[Total Amount]]&gt;=1000,"High",(IF(Table156[[#This Row],[Total Amount]]&gt;=500,"Medium","Low")))</f>
        <v>Medium</v>
      </c>
      <c r="M137" s="4" t="str" cm="1">
        <f t="array" ref="M13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37" s="4" cm="1">
        <f t="array" ref="N13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137" s="4">
        <f>Table156[[#This Row],[Total Amount]]-Table156[[#This Row],[Discount Amount]]</f>
        <v>540</v>
      </c>
      <c r="P137" s="4" t="str">
        <f>IF(Table156[[#This Row],[Total Amount]]&gt;=1000,"High","Low")</f>
        <v>Low</v>
      </c>
      <c r="Q137" s="4" t="str" cm="1">
        <f t="array" ref="Q137">_xlfn.IFS(AND(Table156[[#This Row],[Total Amount]]&gt;=1500,"Critical"),AND(Table156[[#This Row],[Total Amount]]&gt;=1000,"High"),TRUE,"Normal")</f>
        <v>Normal</v>
      </c>
      <c r="R137" s="4">
        <f>COUNTIF(Table156[Gender],"Male")</f>
        <v>490</v>
      </c>
    </row>
    <row r="138" spans="1:18" x14ac:dyDescent="0.35">
      <c r="A138" s="4">
        <v>137</v>
      </c>
      <c r="B138" s="5">
        <v>45248</v>
      </c>
      <c r="C138" s="4" t="s">
        <v>150</v>
      </c>
      <c r="D138" s="4" t="s">
        <v>10</v>
      </c>
      <c r="E138" s="4">
        <v>46</v>
      </c>
      <c r="F138" s="4" t="str">
        <f>IF(Table156[[#This Row],[Age]]&lt;=19,"Teenager",IF(Table156[[#This Row],[Age]]&lt;=40,"Median","Old"))</f>
        <v>Old</v>
      </c>
      <c r="G138" s="4" t="s">
        <v>11</v>
      </c>
      <c r="H138" s="4">
        <v>2</v>
      </c>
      <c r="I138" s="4">
        <v>500</v>
      </c>
      <c r="J138" s="4">
        <v>1000</v>
      </c>
      <c r="K138" s="4" t="str" cm="1">
        <f t="array" ref="K138">_xlfn.IFS(AND(Table156[[#This Row],[Total Amount]]&gt;=1500),"Critical",AND(Table156[[#This Row],[Total Amount]]&gt;=1000),"High",TRUE,"Normal")</f>
        <v>High</v>
      </c>
      <c r="L138" s="4" t="str">
        <f>IF(Table156[[#This Row],[Total Amount]]&gt;=1000,"High",(IF(Table156[[#This Row],[Total Amount]]&gt;=500,"Medium","Low")))</f>
        <v>High</v>
      </c>
      <c r="M138" s="4" t="str" cm="1">
        <f t="array" ref="M13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38" s="4" cm="1">
        <f t="array" ref="N13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138" s="4">
        <f>Table156[[#This Row],[Total Amount]]-Table156[[#This Row],[Discount Amount]]</f>
        <v>900</v>
      </c>
      <c r="P138" s="4" t="str">
        <f>IF(Table156[[#This Row],[Total Amount]]&gt;=1000,"High","Low")</f>
        <v>High</v>
      </c>
      <c r="Q138" s="4" t="str" cm="1">
        <f t="array" ref="Q138">_xlfn.IFS(AND(Table156[[#This Row],[Total Amount]]&gt;=1500,"Critical"),AND(Table156[[#This Row],[Total Amount]]&gt;=1000,"High"),TRUE,"Normal")</f>
        <v>Normal</v>
      </c>
      <c r="R138" s="4">
        <f>COUNTIF(Table156[Gender],"Male")</f>
        <v>490</v>
      </c>
    </row>
    <row r="139" spans="1:18" x14ac:dyDescent="0.35">
      <c r="A139" s="4">
        <v>138</v>
      </c>
      <c r="B139" s="5">
        <v>45008</v>
      </c>
      <c r="C139" s="4" t="s">
        <v>151</v>
      </c>
      <c r="D139" s="4" t="s">
        <v>10</v>
      </c>
      <c r="E139" s="4">
        <v>49</v>
      </c>
      <c r="F139" s="4" t="str">
        <f>IF(Table156[[#This Row],[Age]]&lt;=19,"Teenager",IF(Table156[[#This Row],[Age]]&lt;=40,"Median","Old"))</f>
        <v>Old</v>
      </c>
      <c r="G139" s="4" t="s">
        <v>14</v>
      </c>
      <c r="H139" s="4">
        <v>4</v>
      </c>
      <c r="I139" s="4">
        <v>50</v>
      </c>
      <c r="J139" s="4">
        <v>200</v>
      </c>
      <c r="K139" s="4" t="str" cm="1">
        <f t="array" ref="K139">_xlfn.IFS(AND(Table156[[#This Row],[Total Amount]]&gt;=1500),"Critical",AND(Table156[[#This Row],[Total Amount]]&gt;=1000),"High",TRUE,"Normal")</f>
        <v>Normal</v>
      </c>
      <c r="L139" s="4" t="str">
        <f>IF(Table156[[#This Row],[Total Amount]]&gt;=1000,"High",(IF(Table156[[#This Row],[Total Amount]]&gt;=500,"Medium","Low")))</f>
        <v>Low</v>
      </c>
      <c r="M139" s="4" t="str" cm="1">
        <f t="array" ref="M13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39" s="4" cm="1">
        <f t="array" ref="N13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139" s="4">
        <f>Table156[[#This Row],[Total Amount]]-Table156[[#This Row],[Discount Amount]]</f>
        <v>180</v>
      </c>
      <c r="P139" s="4" t="str">
        <f>IF(Table156[[#This Row],[Total Amount]]&gt;=1000,"High","Low")</f>
        <v>Low</v>
      </c>
      <c r="Q139" s="4" t="str" cm="1">
        <f t="array" ref="Q139">_xlfn.IFS(AND(Table156[[#This Row],[Total Amount]]&gt;=1500,"Critical"),AND(Table156[[#This Row],[Total Amount]]&gt;=1000,"High"),TRUE,"Normal")</f>
        <v>Normal</v>
      </c>
      <c r="R139" s="4">
        <f>COUNTIF(Table156[Gender],"Male")</f>
        <v>490</v>
      </c>
    </row>
    <row r="140" spans="1:18" x14ac:dyDescent="0.35">
      <c r="A140" s="4">
        <v>139</v>
      </c>
      <c r="B140" s="5">
        <v>45275</v>
      </c>
      <c r="C140" s="4" t="s">
        <v>152</v>
      </c>
      <c r="D140" s="4" t="s">
        <v>10</v>
      </c>
      <c r="E140" s="4">
        <v>36</v>
      </c>
      <c r="F140" s="4" t="str">
        <f>IF(Table156[[#This Row],[Age]]&lt;=19,"Teenager",IF(Table156[[#This Row],[Age]]&lt;=40,"Median","Old"))</f>
        <v>Median</v>
      </c>
      <c r="G140" s="4" t="s">
        <v>11</v>
      </c>
      <c r="H140" s="4">
        <v>4</v>
      </c>
      <c r="I140" s="4">
        <v>500</v>
      </c>
      <c r="J140" s="4">
        <v>2000</v>
      </c>
      <c r="K140" s="4" t="str" cm="1">
        <f t="array" ref="K140">_xlfn.IFS(AND(Table156[[#This Row],[Total Amount]]&gt;=1500),"Critical",AND(Table156[[#This Row],[Total Amount]]&gt;=1000),"High",TRUE,"Normal")</f>
        <v>Critical</v>
      </c>
      <c r="L140" s="4" t="str">
        <f>IF(Table156[[#This Row],[Total Amount]]&gt;=1000,"High",(IF(Table156[[#This Row],[Total Amount]]&gt;=500,"Medium","Low")))</f>
        <v>High</v>
      </c>
      <c r="M140" s="4" t="str" cm="1">
        <f t="array" ref="M14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40" s="4" cm="1">
        <f t="array" ref="N14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140" s="4">
        <f>Table156[[#This Row],[Total Amount]]-Table156[[#This Row],[Discount Amount]]</f>
        <v>1800</v>
      </c>
      <c r="P140" s="4" t="str">
        <f>IF(Table156[[#This Row],[Total Amount]]&gt;=1000,"High","Low")</f>
        <v>High</v>
      </c>
      <c r="Q140" s="4" t="b" cm="1">
        <f t="array" ref="Q140">_xlfn.IFS(AND(Table156[[#This Row],[Total Amount]]&gt;=1500,"Critical"),AND(Table156[[#This Row],[Total Amount]]&gt;=1000,"High"),TRUE,"Normal")</f>
        <v>1</v>
      </c>
      <c r="R140" s="4">
        <f>COUNTIF(Table156[Gender],"Male")</f>
        <v>490</v>
      </c>
    </row>
    <row r="141" spans="1:18" x14ac:dyDescent="0.35">
      <c r="A141" s="4">
        <v>140</v>
      </c>
      <c r="B141" s="5">
        <v>45143</v>
      </c>
      <c r="C141" s="4" t="s">
        <v>153</v>
      </c>
      <c r="D141" s="4" t="s">
        <v>10</v>
      </c>
      <c r="E141" s="4">
        <v>38</v>
      </c>
      <c r="F141" s="4" t="str">
        <f>IF(Table156[[#This Row],[Age]]&lt;=19,"Teenager",IF(Table156[[#This Row],[Age]]&lt;=40,"Median","Old"))</f>
        <v>Median</v>
      </c>
      <c r="G141" s="4" t="s">
        <v>16</v>
      </c>
      <c r="H141" s="4">
        <v>1</v>
      </c>
      <c r="I141" s="4">
        <v>30</v>
      </c>
      <c r="J141" s="4">
        <v>30</v>
      </c>
      <c r="K141" s="4" t="str" cm="1">
        <f t="array" ref="K141">_xlfn.IFS(AND(Table156[[#This Row],[Total Amount]]&gt;=1500),"Critical",AND(Table156[[#This Row],[Total Amount]]&gt;=1000),"High",TRUE,"Normal")</f>
        <v>Normal</v>
      </c>
      <c r="L141" s="4" t="str">
        <f>IF(Table156[[#This Row],[Total Amount]]&gt;=1000,"High",(IF(Table156[[#This Row],[Total Amount]]&gt;=500,"Medium","Low")))</f>
        <v>Low</v>
      </c>
      <c r="M141" s="4" t="str" cm="1">
        <f t="array" ref="M14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41" s="4" cm="1">
        <f t="array" ref="N14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141" s="4">
        <f>Table156[[#This Row],[Total Amount]]-Table156[[#This Row],[Discount Amount]]</f>
        <v>27</v>
      </c>
      <c r="P141" s="4" t="str">
        <f>IF(Table156[[#This Row],[Total Amount]]&gt;=1000,"High","Low")</f>
        <v>Low</v>
      </c>
      <c r="Q141" s="4" t="str" cm="1">
        <f t="array" ref="Q141">_xlfn.IFS(AND(Table156[[#This Row],[Total Amount]]&gt;=1500,"Critical"),AND(Table156[[#This Row],[Total Amount]]&gt;=1000,"High"),TRUE,"Normal")</f>
        <v>Normal</v>
      </c>
      <c r="R141" s="4">
        <f>COUNTIF(Table156[Gender],"Male")</f>
        <v>490</v>
      </c>
    </row>
    <row r="142" spans="1:18" x14ac:dyDescent="0.35">
      <c r="A142" s="4">
        <v>141</v>
      </c>
      <c r="B142" s="5">
        <v>45232</v>
      </c>
      <c r="C142" s="4" t="s">
        <v>154</v>
      </c>
      <c r="D142" s="4" t="s">
        <v>13</v>
      </c>
      <c r="E142" s="4">
        <v>22</v>
      </c>
      <c r="F142" s="4" t="str">
        <f>IF(Table156[[#This Row],[Age]]&lt;=19,"Teenager",IF(Table156[[#This Row],[Age]]&lt;=40,"Median","Old"))</f>
        <v>Median</v>
      </c>
      <c r="G142" s="4" t="s">
        <v>16</v>
      </c>
      <c r="H142" s="4">
        <v>1</v>
      </c>
      <c r="I142" s="4">
        <v>50</v>
      </c>
      <c r="J142" s="4">
        <v>50</v>
      </c>
      <c r="K142" s="4" t="str" cm="1">
        <f t="array" ref="K142">_xlfn.IFS(AND(Table156[[#This Row],[Total Amount]]&gt;=1500),"Critical",AND(Table156[[#This Row],[Total Amount]]&gt;=1000),"High",TRUE,"Normal")</f>
        <v>Normal</v>
      </c>
      <c r="L142" s="4" t="str">
        <f>IF(Table156[[#This Row],[Total Amount]]&gt;=1000,"High",(IF(Table156[[#This Row],[Total Amount]]&gt;=500,"Medium","Low")))</f>
        <v>Low</v>
      </c>
      <c r="M142" s="4" t="str" cm="1">
        <f t="array" ref="M14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42" s="4" cm="1">
        <f t="array" ref="N14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42" s="4">
        <f>Table156[[#This Row],[Total Amount]]-Table156[[#This Row],[Discount Amount]]</f>
        <v>50</v>
      </c>
      <c r="P142" s="4" t="str">
        <f>IF(Table156[[#This Row],[Total Amount]]&gt;=1000,"High","Low")</f>
        <v>Low</v>
      </c>
      <c r="Q142" s="4" t="str" cm="1">
        <f t="array" ref="Q142">_xlfn.IFS(AND(Table156[[#This Row],[Total Amount]]&gt;=1500,"Critical"),AND(Table156[[#This Row],[Total Amount]]&gt;=1000,"High"),TRUE,"Normal")</f>
        <v>Normal</v>
      </c>
      <c r="R142" s="4">
        <f>COUNTIF(Table156[Gender],"Male")</f>
        <v>490</v>
      </c>
    </row>
    <row r="143" spans="1:18" x14ac:dyDescent="0.35">
      <c r="A143" s="4">
        <v>142</v>
      </c>
      <c r="B143" s="5">
        <v>44959</v>
      </c>
      <c r="C143" s="4" t="s">
        <v>155</v>
      </c>
      <c r="D143" s="4" t="s">
        <v>10</v>
      </c>
      <c r="E143" s="4">
        <v>35</v>
      </c>
      <c r="F143" s="4" t="str">
        <f>IF(Table156[[#This Row],[Age]]&lt;=19,"Teenager",IF(Table156[[#This Row],[Age]]&lt;=40,"Median","Old"))</f>
        <v>Median</v>
      </c>
      <c r="G143" s="4" t="s">
        <v>16</v>
      </c>
      <c r="H143" s="4">
        <v>4</v>
      </c>
      <c r="I143" s="4">
        <v>300</v>
      </c>
      <c r="J143" s="4">
        <v>1200</v>
      </c>
      <c r="K143" s="4" t="str" cm="1">
        <f t="array" ref="K143">_xlfn.IFS(AND(Table156[[#This Row],[Total Amount]]&gt;=1500),"Critical",AND(Table156[[#This Row],[Total Amount]]&gt;=1000),"High",TRUE,"Normal")</f>
        <v>High</v>
      </c>
      <c r="L143" s="4" t="str">
        <f>IF(Table156[[#This Row],[Total Amount]]&gt;=1000,"High",(IF(Table156[[#This Row],[Total Amount]]&gt;=500,"Medium","Low")))</f>
        <v>High</v>
      </c>
      <c r="M143" s="4" t="str" cm="1">
        <f t="array" ref="M14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43" s="4" cm="1">
        <f t="array" ref="N14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143" s="4">
        <f>Table156[[#This Row],[Total Amount]]-Table156[[#This Row],[Discount Amount]]</f>
        <v>1080</v>
      </c>
      <c r="P143" s="4" t="str">
        <f>IF(Table156[[#This Row],[Total Amount]]&gt;=1000,"High","Low")</f>
        <v>High</v>
      </c>
      <c r="Q143" s="4" t="str" cm="1">
        <f t="array" ref="Q143">_xlfn.IFS(AND(Table156[[#This Row],[Total Amount]]&gt;=1500,"Critical"),AND(Table156[[#This Row],[Total Amount]]&gt;=1000,"High"),TRUE,"Normal")</f>
        <v>Normal</v>
      </c>
      <c r="R143" s="4">
        <f>COUNTIF(Table156[Gender],"Male")</f>
        <v>490</v>
      </c>
    </row>
    <row r="144" spans="1:18" x14ac:dyDescent="0.35">
      <c r="A144" s="4">
        <v>143</v>
      </c>
      <c r="B144" s="5">
        <v>45124</v>
      </c>
      <c r="C144" s="4" t="s">
        <v>156</v>
      </c>
      <c r="D144" s="4" t="s">
        <v>13</v>
      </c>
      <c r="E144" s="4">
        <v>45</v>
      </c>
      <c r="F144" s="4" t="str">
        <f>IF(Table156[[#This Row],[Age]]&lt;=19,"Teenager",IF(Table156[[#This Row],[Age]]&lt;=40,"Median","Old"))</f>
        <v>Old</v>
      </c>
      <c r="G144" s="4" t="s">
        <v>14</v>
      </c>
      <c r="H144" s="4">
        <v>1</v>
      </c>
      <c r="I144" s="4">
        <v>50</v>
      </c>
      <c r="J144" s="4">
        <v>50</v>
      </c>
      <c r="K144" s="4" t="str" cm="1">
        <f t="array" ref="K144">_xlfn.IFS(AND(Table156[[#This Row],[Total Amount]]&gt;=1500),"Critical",AND(Table156[[#This Row],[Total Amount]]&gt;=1000),"High",TRUE,"Normal")</f>
        <v>Normal</v>
      </c>
      <c r="L144" s="4" t="str">
        <f>IF(Table156[[#This Row],[Total Amount]]&gt;=1000,"High",(IF(Table156[[#This Row],[Total Amount]]&gt;=500,"Medium","Low")))</f>
        <v>Low</v>
      </c>
      <c r="M144" s="4" t="str" cm="1">
        <f t="array" ref="M14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44" s="4" cm="1">
        <f t="array" ref="N14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144" s="4">
        <f>Table156[[#This Row],[Total Amount]]-Table156[[#This Row],[Discount Amount]]</f>
        <v>40</v>
      </c>
      <c r="P144" s="4" t="str">
        <f>IF(Table156[[#This Row],[Total Amount]]&gt;=1000,"High","Low")</f>
        <v>Low</v>
      </c>
      <c r="Q144" s="4" t="str" cm="1">
        <f t="array" ref="Q144">_xlfn.IFS(AND(Table156[[#This Row],[Total Amount]]&gt;=1500,"Critical"),AND(Table156[[#This Row],[Total Amount]]&gt;=1000,"High"),TRUE,"Normal")</f>
        <v>Normal</v>
      </c>
      <c r="R144" s="4">
        <f>COUNTIF(Table156[Gender],"Male")</f>
        <v>490</v>
      </c>
    </row>
    <row r="145" spans="1:18" x14ac:dyDescent="0.35">
      <c r="A145" s="4">
        <v>144</v>
      </c>
      <c r="B145" s="5">
        <v>45122</v>
      </c>
      <c r="C145" s="4" t="s">
        <v>157</v>
      </c>
      <c r="D145" s="4" t="s">
        <v>13</v>
      </c>
      <c r="E145" s="4">
        <v>59</v>
      </c>
      <c r="F145" s="4" t="str">
        <f>IF(Table156[[#This Row],[Age]]&lt;=19,"Teenager",IF(Table156[[#This Row],[Age]]&lt;=40,"Median","Old"))</f>
        <v>Old</v>
      </c>
      <c r="G145" s="4" t="s">
        <v>11</v>
      </c>
      <c r="H145" s="4">
        <v>3</v>
      </c>
      <c r="I145" s="4">
        <v>500</v>
      </c>
      <c r="J145" s="4">
        <v>1500</v>
      </c>
      <c r="K145" s="4" t="str" cm="1">
        <f t="array" ref="K145">_xlfn.IFS(AND(Table156[[#This Row],[Total Amount]]&gt;=1500),"Critical",AND(Table156[[#This Row],[Total Amount]]&gt;=1000),"High",TRUE,"Normal")</f>
        <v>Critical</v>
      </c>
      <c r="L145" s="4" t="str">
        <f>IF(Table156[[#This Row],[Total Amount]]&gt;=1000,"High",(IF(Table156[[#This Row],[Total Amount]]&gt;=500,"Medium","Low")))</f>
        <v>High</v>
      </c>
      <c r="M145" s="4" t="str" cm="1">
        <f t="array" ref="M14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45" s="4" cm="1">
        <f t="array" ref="N14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145" s="4">
        <f>Table156[[#This Row],[Total Amount]]-Table156[[#This Row],[Discount Amount]]</f>
        <v>1200</v>
      </c>
      <c r="P145" s="4" t="str">
        <f>IF(Table156[[#This Row],[Total Amount]]&gt;=1000,"High","Low")</f>
        <v>High</v>
      </c>
      <c r="Q145" s="4" t="b" cm="1">
        <f t="array" ref="Q145">_xlfn.IFS(AND(Table156[[#This Row],[Total Amount]]&gt;=1500,"Critical"),AND(Table156[[#This Row],[Total Amount]]&gt;=1000,"High"),TRUE,"Normal")</f>
        <v>1</v>
      </c>
      <c r="R145" s="4">
        <f>COUNTIF(Table156[Gender],"Male")</f>
        <v>490</v>
      </c>
    </row>
    <row r="146" spans="1:18" x14ac:dyDescent="0.35">
      <c r="A146" s="4">
        <v>145</v>
      </c>
      <c r="B146" s="5">
        <v>45232</v>
      </c>
      <c r="C146" s="4" t="s">
        <v>158</v>
      </c>
      <c r="D146" s="4" t="s">
        <v>13</v>
      </c>
      <c r="E146" s="4">
        <v>39</v>
      </c>
      <c r="F146" s="4" t="str">
        <f>IF(Table156[[#This Row],[Age]]&lt;=19,"Teenager",IF(Table156[[#This Row],[Age]]&lt;=40,"Median","Old"))</f>
        <v>Median</v>
      </c>
      <c r="G146" s="4" t="s">
        <v>14</v>
      </c>
      <c r="H146" s="4">
        <v>3</v>
      </c>
      <c r="I146" s="4">
        <v>25</v>
      </c>
      <c r="J146" s="4">
        <v>75</v>
      </c>
      <c r="K146" s="4" t="str" cm="1">
        <f t="array" ref="K146">_xlfn.IFS(AND(Table156[[#This Row],[Total Amount]]&gt;=1500),"Critical",AND(Table156[[#This Row],[Total Amount]]&gt;=1000),"High",TRUE,"Normal")</f>
        <v>Normal</v>
      </c>
      <c r="L146" s="4" t="str">
        <f>IF(Table156[[#This Row],[Total Amount]]&gt;=1000,"High",(IF(Table156[[#This Row],[Total Amount]]&gt;=500,"Medium","Low")))</f>
        <v>Low</v>
      </c>
      <c r="M146" s="4" t="str" cm="1">
        <f t="array" ref="M14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46" s="4" cm="1">
        <f t="array" ref="N14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146" s="4">
        <f>Table156[[#This Row],[Total Amount]]-Table156[[#This Row],[Discount Amount]]</f>
        <v>60</v>
      </c>
      <c r="P146" s="4" t="str">
        <f>IF(Table156[[#This Row],[Total Amount]]&gt;=1000,"High","Low")</f>
        <v>Low</v>
      </c>
      <c r="Q146" s="4" t="str" cm="1">
        <f t="array" ref="Q146">_xlfn.IFS(AND(Table156[[#This Row],[Total Amount]]&gt;=1500,"Critical"),AND(Table156[[#This Row],[Total Amount]]&gt;=1000,"High"),TRUE,"Normal")</f>
        <v>Normal</v>
      </c>
      <c r="R146" s="4">
        <f>COUNTIF(Table156[Gender],"Male")</f>
        <v>490</v>
      </c>
    </row>
    <row r="147" spans="1:18" x14ac:dyDescent="0.35">
      <c r="A147" s="4">
        <v>146</v>
      </c>
      <c r="B147" s="5">
        <v>45166</v>
      </c>
      <c r="C147" s="4" t="s">
        <v>159</v>
      </c>
      <c r="D147" s="4" t="s">
        <v>10</v>
      </c>
      <c r="E147" s="4">
        <v>38</v>
      </c>
      <c r="F147" s="4" t="str">
        <f>IF(Table156[[#This Row],[Age]]&lt;=19,"Teenager",IF(Table156[[#This Row],[Age]]&lt;=40,"Median","Old"))</f>
        <v>Median</v>
      </c>
      <c r="G147" s="4" t="s">
        <v>14</v>
      </c>
      <c r="H147" s="4">
        <v>4</v>
      </c>
      <c r="I147" s="4">
        <v>50</v>
      </c>
      <c r="J147" s="4">
        <v>200</v>
      </c>
      <c r="K147" s="4" t="str" cm="1">
        <f t="array" ref="K147">_xlfn.IFS(AND(Table156[[#This Row],[Total Amount]]&gt;=1500),"Critical",AND(Table156[[#This Row],[Total Amount]]&gt;=1000),"High",TRUE,"Normal")</f>
        <v>Normal</v>
      </c>
      <c r="L147" s="4" t="str">
        <f>IF(Table156[[#This Row],[Total Amount]]&gt;=1000,"High",(IF(Table156[[#This Row],[Total Amount]]&gt;=500,"Medium","Low")))</f>
        <v>Low</v>
      </c>
      <c r="M147" s="4" t="str" cm="1">
        <f t="array" ref="M14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47" s="4" cm="1">
        <f t="array" ref="N14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147" s="4">
        <f>Table156[[#This Row],[Total Amount]]-Table156[[#This Row],[Discount Amount]]</f>
        <v>180</v>
      </c>
      <c r="P147" s="4" t="str">
        <f>IF(Table156[[#This Row],[Total Amount]]&gt;=1000,"High","Low")</f>
        <v>Low</v>
      </c>
      <c r="Q147" s="4" t="str" cm="1">
        <f t="array" ref="Q147">_xlfn.IFS(AND(Table156[[#This Row],[Total Amount]]&gt;=1500,"Critical"),AND(Table156[[#This Row],[Total Amount]]&gt;=1000,"High"),TRUE,"Normal")</f>
        <v>Normal</v>
      </c>
      <c r="R147" s="4">
        <f>COUNTIF(Table156[Gender],"Male")</f>
        <v>490</v>
      </c>
    </row>
    <row r="148" spans="1:18" x14ac:dyDescent="0.35">
      <c r="A148" s="4">
        <v>147</v>
      </c>
      <c r="B148" s="5">
        <v>45197</v>
      </c>
      <c r="C148" s="4" t="s">
        <v>160</v>
      </c>
      <c r="D148" s="4" t="s">
        <v>10</v>
      </c>
      <c r="E148" s="4">
        <v>23</v>
      </c>
      <c r="F148" s="4" t="str">
        <f>IF(Table156[[#This Row],[Age]]&lt;=19,"Teenager",IF(Table156[[#This Row],[Age]]&lt;=40,"Median","Old"))</f>
        <v>Median</v>
      </c>
      <c r="G148" s="4" t="s">
        <v>16</v>
      </c>
      <c r="H148" s="4">
        <v>1</v>
      </c>
      <c r="I148" s="4">
        <v>300</v>
      </c>
      <c r="J148" s="4">
        <v>300</v>
      </c>
      <c r="K148" s="4" t="str" cm="1">
        <f t="array" ref="K148">_xlfn.IFS(AND(Table156[[#This Row],[Total Amount]]&gt;=1500),"Critical",AND(Table156[[#This Row],[Total Amount]]&gt;=1000),"High",TRUE,"Normal")</f>
        <v>Normal</v>
      </c>
      <c r="L148" s="4" t="str">
        <f>IF(Table156[[#This Row],[Total Amount]]&gt;=1000,"High",(IF(Table156[[#This Row],[Total Amount]]&gt;=500,"Medium","Low")))</f>
        <v>Low</v>
      </c>
      <c r="M148" s="4" t="str" cm="1">
        <f t="array" ref="M14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48" s="4" cm="1">
        <f t="array" ref="N14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48" s="4">
        <f>Table156[[#This Row],[Total Amount]]-Table156[[#This Row],[Discount Amount]]</f>
        <v>300</v>
      </c>
      <c r="P148" s="4" t="str">
        <f>IF(Table156[[#This Row],[Total Amount]]&gt;=1000,"High","Low")</f>
        <v>Low</v>
      </c>
      <c r="Q148" s="4" t="str" cm="1">
        <f t="array" ref="Q148">_xlfn.IFS(AND(Table156[[#This Row],[Total Amount]]&gt;=1500,"Critical"),AND(Table156[[#This Row],[Total Amount]]&gt;=1000,"High"),TRUE,"Normal")</f>
        <v>Normal</v>
      </c>
      <c r="R148" s="4">
        <f>COUNTIF(Table156[Gender],"Male")</f>
        <v>490</v>
      </c>
    </row>
    <row r="149" spans="1:18" x14ac:dyDescent="0.35">
      <c r="A149" s="4">
        <v>148</v>
      </c>
      <c r="B149" s="5">
        <v>45055</v>
      </c>
      <c r="C149" s="4" t="s">
        <v>161</v>
      </c>
      <c r="D149" s="4" t="s">
        <v>10</v>
      </c>
      <c r="E149" s="4">
        <v>18</v>
      </c>
      <c r="F149" s="4" t="str">
        <f>IF(Table156[[#This Row],[Age]]&lt;=19,"Teenager",IF(Table156[[#This Row],[Age]]&lt;=40,"Median","Old"))</f>
        <v>Teenager</v>
      </c>
      <c r="G149" s="4" t="s">
        <v>14</v>
      </c>
      <c r="H149" s="4">
        <v>2</v>
      </c>
      <c r="I149" s="4">
        <v>30</v>
      </c>
      <c r="J149" s="4">
        <v>60</v>
      </c>
      <c r="K149" s="4" t="str" cm="1">
        <f t="array" ref="K149">_xlfn.IFS(AND(Table156[[#This Row],[Total Amount]]&gt;=1500),"Critical",AND(Table156[[#This Row],[Total Amount]]&gt;=1000),"High",TRUE,"Normal")</f>
        <v>Normal</v>
      </c>
      <c r="L149" s="4" t="str">
        <f>IF(Table156[[#This Row],[Total Amount]]&gt;=1000,"High",(IF(Table156[[#This Row],[Total Amount]]&gt;=500,"Medium","Low")))</f>
        <v>Low</v>
      </c>
      <c r="M149" s="4" t="str" cm="1">
        <f t="array" ref="M14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49" s="4" cm="1">
        <f t="array" ref="N14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49" s="4">
        <f>Table156[[#This Row],[Total Amount]]-Table156[[#This Row],[Discount Amount]]</f>
        <v>60</v>
      </c>
      <c r="P149" s="4" t="str">
        <f>IF(Table156[[#This Row],[Total Amount]]&gt;=1000,"High","Low")</f>
        <v>Low</v>
      </c>
      <c r="Q149" s="4" t="str" cm="1">
        <f t="array" ref="Q149">_xlfn.IFS(AND(Table156[[#This Row],[Total Amount]]&gt;=1500,"Critical"),AND(Table156[[#This Row],[Total Amount]]&gt;=1000,"High"),TRUE,"Normal")</f>
        <v>Normal</v>
      </c>
      <c r="R149" s="4">
        <f>COUNTIF(Table156[Gender],"Male")</f>
        <v>490</v>
      </c>
    </row>
    <row r="150" spans="1:18" x14ac:dyDescent="0.35">
      <c r="A150" s="4">
        <v>149</v>
      </c>
      <c r="B150" s="5">
        <v>45210</v>
      </c>
      <c r="C150" s="4" t="s">
        <v>162</v>
      </c>
      <c r="D150" s="4" t="s">
        <v>10</v>
      </c>
      <c r="E150" s="4">
        <v>22</v>
      </c>
      <c r="F150" s="4" t="str">
        <f>IF(Table156[[#This Row],[Age]]&lt;=19,"Teenager",IF(Table156[[#This Row],[Age]]&lt;=40,"Median","Old"))</f>
        <v>Median</v>
      </c>
      <c r="G150" s="4" t="s">
        <v>14</v>
      </c>
      <c r="H150" s="4">
        <v>3</v>
      </c>
      <c r="I150" s="4">
        <v>25</v>
      </c>
      <c r="J150" s="4">
        <v>75</v>
      </c>
      <c r="K150" s="4" t="str" cm="1">
        <f t="array" ref="K150">_xlfn.IFS(AND(Table156[[#This Row],[Total Amount]]&gt;=1500),"Critical",AND(Table156[[#This Row],[Total Amount]]&gt;=1000),"High",TRUE,"Normal")</f>
        <v>Normal</v>
      </c>
      <c r="L150" s="4" t="str">
        <f>IF(Table156[[#This Row],[Total Amount]]&gt;=1000,"High",(IF(Table156[[#This Row],[Total Amount]]&gt;=500,"Medium","Low")))</f>
        <v>Low</v>
      </c>
      <c r="M150" s="4" t="str" cm="1">
        <f t="array" ref="M15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50" s="4" cm="1">
        <f t="array" ref="N15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50" s="4">
        <f>Table156[[#This Row],[Total Amount]]-Table156[[#This Row],[Discount Amount]]</f>
        <v>75</v>
      </c>
      <c r="P150" s="4" t="str">
        <f>IF(Table156[[#This Row],[Total Amount]]&gt;=1000,"High","Low")</f>
        <v>Low</v>
      </c>
      <c r="Q150" s="4" t="str" cm="1">
        <f t="array" ref="Q150">_xlfn.IFS(AND(Table156[[#This Row],[Total Amount]]&gt;=1500,"Critical"),AND(Table156[[#This Row],[Total Amount]]&gt;=1000,"High"),TRUE,"Normal")</f>
        <v>Normal</v>
      </c>
      <c r="R150" s="4">
        <f>COUNTIF(Table156[Gender],"Male")</f>
        <v>490</v>
      </c>
    </row>
    <row r="151" spans="1:18" x14ac:dyDescent="0.35">
      <c r="A151" s="4">
        <v>150</v>
      </c>
      <c r="B151" s="5">
        <v>44932</v>
      </c>
      <c r="C151" s="4" t="s">
        <v>163</v>
      </c>
      <c r="D151" s="4" t="s">
        <v>13</v>
      </c>
      <c r="E151" s="4">
        <v>58</v>
      </c>
      <c r="F151" s="4" t="str">
        <f>IF(Table156[[#This Row],[Age]]&lt;=19,"Teenager",IF(Table156[[#This Row],[Age]]&lt;=40,"Median","Old"))</f>
        <v>Old</v>
      </c>
      <c r="G151" s="4" t="s">
        <v>16</v>
      </c>
      <c r="H151" s="4">
        <v>4</v>
      </c>
      <c r="I151" s="4">
        <v>30</v>
      </c>
      <c r="J151" s="4">
        <v>120</v>
      </c>
      <c r="K151" s="4" t="str" cm="1">
        <f t="array" ref="K151">_xlfn.IFS(AND(Table156[[#This Row],[Total Amount]]&gt;=1500),"Critical",AND(Table156[[#This Row],[Total Amount]]&gt;=1000),"High",TRUE,"Normal")</f>
        <v>Normal</v>
      </c>
      <c r="L151" s="4" t="str">
        <f>IF(Table156[[#This Row],[Total Amount]]&gt;=1000,"High",(IF(Table156[[#This Row],[Total Amount]]&gt;=500,"Medium","Low")))</f>
        <v>Low</v>
      </c>
      <c r="M151" s="4" t="str" cm="1">
        <f t="array" ref="M15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51" s="4" cm="1">
        <f t="array" ref="N15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151" s="4">
        <f>Table156[[#This Row],[Total Amount]]-Table156[[#This Row],[Discount Amount]]</f>
        <v>96</v>
      </c>
      <c r="P151" s="4" t="str">
        <f>IF(Table156[[#This Row],[Total Amount]]&gt;=1000,"High","Low")</f>
        <v>Low</v>
      </c>
      <c r="Q151" s="4" t="str" cm="1">
        <f t="array" ref="Q151">_xlfn.IFS(AND(Table156[[#This Row],[Total Amount]]&gt;=1500,"Critical"),AND(Table156[[#This Row],[Total Amount]]&gt;=1000,"High"),TRUE,"Normal")</f>
        <v>Normal</v>
      </c>
      <c r="R151" s="4">
        <f>COUNTIF(Table156[Gender],"Male")</f>
        <v>490</v>
      </c>
    </row>
    <row r="152" spans="1:18" x14ac:dyDescent="0.35">
      <c r="A152" s="4">
        <v>151</v>
      </c>
      <c r="B152" s="5">
        <v>45275</v>
      </c>
      <c r="C152" s="4" t="s">
        <v>164</v>
      </c>
      <c r="D152" s="4" t="s">
        <v>10</v>
      </c>
      <c r="E152" s="4">
        <v>29</v>
      </c>
      <c r="F152" s="4" t="str">
        <f>IF(Table156[[#This Row],[Age]]&lt;=19,"Teenager",IF(Table156[[#This Row],[Age]]&lt;=40,"Median","Old"))</f>
        <v>Median</v>
      </c>
      <c r="G152" s="4" t="s">
        <v>14</v>
      </c>
      <c r="H152" s="4">
        <v>1</v>
      </c>
      <c r="I152" s="4">
        <v>50</v>
      </c>
      <c r="J152" s="4">
        <v>50</v>
      </c>
      <c r="K152" s="4" t="str" cm="1">
        <f t="array" ref="K152">_xlfn.IFS(AND(Table156[[#This Row],[Total Amount]]&gt;=1500),"Critical",AND(Table156[[#This Row],[Total Amount]]&gt;=1000),"High",TRUE,"Normal")</f>
        <v>Normal</v>
      </c>
      <c r="L152" s="4" t="str">
        <f>IF(Table156[[#This Row],[Total Amount]]&gt;=1000,"High",(IF(Table156[[#This Row],[Total Amount]]&gt;=500,"Medium","Low")))</f>
        <v>Low</v>
      </c>
      <c r="M152" s="4" t="str" cm="1">
        <f t="array" ref="M15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52" s="4" cm="1">
        <f t="array" ref="N15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152" s="4">
        <f>Table156[[#This Row],[Total Amount]]-Table156[[#This Row],[Discount Amount]]</f>
        <v>42.5</v>
      </c>
      <c r="P152" s="4" t="str">
        <f>IF(Table156[[#This Row],[Total Amount]]&gt;=1000,"High","Low")</f>
        <v>Low</v>
      </c>
      <c r="Q152" s="4" t="str" cm="1">
        <f t="array" ref="Q152">_xlfn.IFS(AND(Table156[[#This Row],[Total Amount]]&gt;=1500,"Critical"),AND(Table156[[#This Row],[Total Amount]]&gt;=1000,"High"),TRUE,"Normal")</f>
        <v>Normal</v>
      </c>
      <c r="R152" s="4">
        <f>COUNTIF(Table156[Gender],"Male")</f>
        <v>490</v>
      </c>
    </row>
    <row r="153" spans="1:18" x14ac:dyDescent="0.35">
      <c r="A153" s="4">
        <v>152</v>
      </c>
      <c r="B153" s="5">
        <v>44985</v>
      </c>
      <c r="C153" s="4" t="s">
        <v>165</v>
      </c>
      <c r="D153" s="4" t="s">
        <v>10</v>
      </c>
      <c r="E153" s="4">
        <v>43</v>
      </c>
      <c r="F153" s="4" t="str">
        <f>IF(Table156[[#This Row],[Age]]&lt;=19,"Teenager",IF(Table156[[#This Row],[Age]]&lt;=40,"Median","Old"))</f>
        <v>Old</v>
      </c>
      <c r="G153" s="4" t="s">
        <v>16</v>
      </c>
      <c r="H153" s="4">
        <v>4</v>
      </c>
      <c r="I153" s="4">
        <v>500</v>
      </c>
      <c r="J153" s="4">
        <v>2000</v>
      </c>
      <c r="K153" s="4" t="str" cm="1">
        <f t="array" ref="K153">_xlfn.IFS(AND(Table156[[#This Row],[Total Amount]]&gt;=1500),"Critical",AND(Table156[[#This Row],[Total Amount]]&gt;=1000),"High",TRUE,"Normal")</f>
        <v>Critical</v>
      </c>
      <c r="L153" s="4" t="str">
        <f>IF(Table156[[#This Row],[Total Amount]]&gt;=1000,"High",(IF(Table156[[#This Row],[Total Amount]]&gt;=500,"Medium","Low")))</f>
        <v>High</v>
      </c>
      <c r="M153" s="4" t="str" cm="1">
        <f t="array" ref="M15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53" s="4" cm="1">
        <f t="array" ref="N15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153" s="4">
        <f>Table156[[#This Row],[Total Amount]]-Table156[[#This Row],[Discount Amount]]</f>
        <v>1800</v>
      </c>
      <c r="P153" s="4" t="str">
        <f>IF(Table156[[#This Row],[Total Amount]]&gt;=1000,"High","Low")</f>
        <v>High</v>
      </c>
      <c r="Q153" s="4" t="b" cm="1">
        <f t="array" ref="Q153">_xlfn.IFS(AND(Table156[[#This Row],[Total Amount]]&gt;=1500,"Critical"),AND(Table156[[#This Row],[Total Amount]]&gt;=1000,"High"),TRUE,"Normal")</f>
        <v>1</v>
      </c>
      <c r="R153" s="4">
        <f>COUNTIF(Table156[Gender],"Male")</f>
        <v>490</v>
      </c>
    </row>
    <row r="154" spans="1:18" x14ac:dyDescent="0.35">
      <c r="A154" s="4">
        <v>153</v>
      </c>
      <c r="B154" s="5">
        <v>45276</v>
      </c>
      <c r="C154" s="4" t="s">
        <v>166</v>
      </c>
      <c r="D154" s="4" t="s">
        <v>10</v>
      </c>
      <c r="E154" s="4">
        <v>63</v>
      </c>
      <c r="F154" s="4" t="str">
        <f>IF(Table156[[#This Row],[Age]]&lt;=19,"Teenager",IF(Table156[[#This Row],[Age]]&lt;=40,"Median","Old"))</f>
        <v>Old</v>
      </c>
      <c r="G154" s="4" t="s">
        <v>16</v>
      </c>
      <c r="H154" s="4">
        <v>2</v>
      </c>
      <c r="I154" s="4">
        <v>500</v>
      </c>
      <c r="J154" s="4">
        <v>1000</v>
      </c>
      <c r="K154" s="4" t="str" cm="1">
        <f t="array" ref="K154">_xlfn.IFS(AND(Table156[[#This Row],[Total Amount]]&gt;=1500),"Critical",AND(Table156[[#This Row],[Total Amount]]&gt;=1000),"High",TRUE,"Normal")</f>
        <v>High</v>
      </c>
      <c r="L154" s="4" t="str">
        <f>IF(Table156[[#This Row],[Total Amount]]&gt;=1000,"High",(IF(Table156[[#This Row],[Total Amount]]&gt;=500,"Medium","Low")))</f>
        <v>High</v>
      </c>
      <c r="M154" s="4" t="str" cm="1">
        <f t="array" ref="M15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54" s="4" cm="1">
        <f t="array" ref="N15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154" s="4">
        <f>Table156[[#This Row],[Total Amount]]-Table156[[#This Row],[Discount Amount]]</f>
        <v>900</v>
      </c>
      <c r="P154" s="4" t="str">
        <f>IF(Table156[[#This Row],[Total Amount]]&gt;=1000,"High","Low")</f>
        <v>High</v>
      </c>
      <c r="Q154" s="4" t="str" cm="1">
        <f t="array" ref="Q154">_xlfn.IFS(AND(Table156[[#This Row],[Total Amount]]&gt;=1500,"Critical"),AND(Table156[[#This Row],[Total Amount]]&gt;=1000,"High"),TRUE,"Normal")</f>
        <v>Normal</v>
      </c>
      <c r="R154" s="4">
        <f>COUNTIF(Table156[Gender],"Male")</f>
        <v>490</v>
      </c>
    </row>
    <row r="155" spans="1:18" x14ac:dyDescent="0.35">
      <c r="A155" s="4">
        <v>154</v>
      </c>
      <c r="B155" s="5">
        <v>45201</v>
      </c>
      <c r="C155" s="4" t="s">
        <v>167</v>
      </c>
      <c r="D155" s="4" t="s">
        <v>10</v>
      </c>
      <c r="E155" s="4">
        <v>51</v>
      </c>
      <c r="F155" s="4" t="str">
        <f>IF(Table156[[#This Row],[Age]]&lt;=19,"Teenager",IF(Table156[[#This Row],[Age]]&lt;=40,"Median","Old"))</f>
        <v>Old</v>
      </c>
      <c r="G155" s="4" t="s">
        <v>16</v>
      </c>
      <c r="H155" s="4">
        <v>3</v>
      </c>
      <c r="I155" s="4">
        <v>300</v>
      </c>
      <c r="J155" s="4">
        <v>900</v>
      </c>
      <c r="K155" s="4" t="str" cm="1">
        <f t="array" ref="K155">_xlfn.IFS(AND(Table156[[#This Row],[Total Amount]]&gt;=1500),"Critical",AND(Table156[[#This Row],[Total Amount]]&gt;=1000),"High",TRUE,"Normal")</f>
        <v>Normal</v>
      </c>
      <c r="L155" s="4" t="str">
        <f>IF(Table156[[#This Row],[Total Amount]]&gt;=1000,"High",(IF(Table156[[#This Row],[Total Amount]]&gt;=500,"Medium","Low")))</f>
        <v>Medium</v>
      </c>
      <c r="M155" s="4" t="str" cm="1">
        <f t="array" ref="M15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55" s="4" cm="1">
        <f t="array" ref="N15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155" s="4">
        <f>Table156[[#This Row],[Total Amount]]-Table156[[#This Row],[Discount Amount]]</f>
        <v>810</v>
      </c>
      <c r="P155" s="4" t="str">
        <f>IF(Table156[[#This Row],[Total Amount]]&gt;=1000,"High","Low")</f>
        <v>Low</v>
      </c>
      <c r="Q155" s="4" t="str" cm="1">
        <f t="array" ref="Q155">_xlfn.IFS(AND(Table156[[#This Row],[Total Amount]]&gt;=1500,"Critical"),AND(Table156[[#This Row],[Total Amount]]&gt;=1000,"High"),TRUE,"Normal")</f>
        <v>Normal</v>
      </c>
      <c r="R155" s="4">
        <f>COUNTIF(Table156[Gender],"Male")</f>
        <v>490</v>
      </c>
    </row>
    <row r="156" spans="1:18" x14ac:dyDescent="0.35">
      <c r="A156" s="4">
        <v>155</v>
      </c>
      <c r="B156" s="5">
        <v>45063</v>
      </c>
      <c r="C156" s="4" t="s">
        <v>168</v>
      </c>
      <c r="D156" s="4" t="s">
        <v>10</v>
      </c>
      <c r="E156" s="4">
        <v>31</v>
      </c>
      <c r="F156" s="4" t="str">
        <f>IF(Table156[[#This Row],[Age]]&lt;=19,"Teenager",IF(Table156[[#This Row],[Age]]&lt;=40,"Median","Old"))</f>
        <v>Median</v>
      </c>
      <c r="G156" s="4" t="s">
        <v>16</v>
      </c>
      <c r="H156" s="4">
        <v>4</v>
      </c>
      <c r="I156" s="4">
        <v>500</v>
      </c>
      <c r="J156" s="4">
        <v>2000</v>
      </c>
      <c r="K156" s="4" t="str" cm="1">
        <f t="array" ref="K156">_xlfn.IFS(AND(Table156[[#This Row],[Total Amount]]&gt;=1500),"Critical",AND(Table156[[#This Row],[Total Amount]]&gt;=1000),"High",TRUE,"Normal")</f>
        <v>Critical</v>
      </c>
      <c r="L156" s="4" t="str">
        <f>IF(Table156[[#This Row],[Total Amount]]&gt;=1000,"High",(IF(Table156[[#This Row],[Total Amount]]&gt;=500,"Medium","Low")))</f>
        <v>High</v>
      </c>
      <c r="M156" s="4" t="str" cm="1">
        <f t="array" ref="M15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56" s="4" cm="1">
        <f t="array" ref="N15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156" s="4">
        <f>Table156[[#This Row],[Total Amount]]-Table156[[#This Row],[Discount Amount]]</f>
        <v>1700</v>
      </c>
      <c r="P156" s="4" t="str">
        <f>IF(Table156[[#This Row],[Total Amount]]&gt;=1000,"High","Low")</f>
        <v>High</v>
      </c>
      <c r="Q156" s="4" t="b" cm="1">
        <f t="array" ref="Q156">_xlfn.IFS(AND(Table156[[#This Row],[Total Amount]]&gt;=1500,"Critical"),AND(Table156[[#This Row],[Total Amount]]&gt;=1000,"High"),TRUE,"Normal")</f>
        <v>1</v>
      </c>
      <c r="R156" s="4">
        <f>COUNTIF(Table156[Gender],"Male")</f>
        <v>490</v>
      </c>
    </row>
    <row r="157" spans="1:18" x14ac:dyDescent="0.35">
      <c r="A157" s="4">
        <v>156</v>
      </c>
      <c r="B157" s="5">
        <v>45255</v>
      </c>
      <c r="C157" s="4" t="s">
        <v>169</v>
      </c>
      <c r="D157" s="4" t="s">
        <v>13</v>
      </c>
      <c r="E157" s="4">
        <v>43</v>
      </c>
      <c r="F157" s="4" t="str">
        <f>IF(Table156[[#This Row],[Age]]&lt;=19,"Teenager",IF(Table156[[#This Row],[Age]]&lt;=40,"Median","Old"))</f>
        <v>Old</v>
      </c>
      <c r="G157" s="4" t="s">
        <v>14</v>
      </c>
      <c r="H157" s="4">
        <v>4</v>
      </c>
      <c r="I157" s="4">
        <v>25</v>
      </c>
      <c r="J157" s="4">
        <v>100</v>
      </c>
      <c r="K157" s="4" t="str" cm="1">
        <f t="array" ref="K157">_xlfn.IFS(AND(Table156[[#This Row],[Total Amount]]&gt;=1500),"Critical",AND(Table156[[#This Row],[Total Amount]]&gt;=1000),"High",TRUE,"Normal")</f>
        <v>Normal</v>
      </c>
      <c r="L157" s="4" t="str">
        <f>IF(Table156[[#This Row],[Total Amount]]&gt;=1000,"High",(IF(Table156[[#This Row],[Total Amount]]&gt;=500,"Medium","Low")))</f>
        <v>Low</v>
      </c>
      <c r="M157" s="4" t="str" cm="1">
        <f t="array" ref="M15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57" s="4" cm="1">
        <f t="array" ref="N15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157" s="4">
        <f>Table156[[#This Row],[Total Amount]]-Table156[[#This Row],[Discount Amount]]</f>
        <v>80</v>
      </c>
      <c r="P157" s="4" t="str">
        <f>IF(Table156[[#This Row],[Total Amount]]&gt;=1000,"High","Low")</f>
        <v>Low</v>
      </c>
      <c r="Q157" s="4" t="str" cm="1">
        <f t="array" ref="Q157">_xlfn.IFS(AND(Table156[[#This Row],[Total Amount]]&gt;=1500,"Critical"),AND(Table156[[#This Row],[Total Amount]]&gt;=1000,"High"),TRUE,"Normal")</f>
        <v>Normal</v>
      </c>
      <c r="R157" s="4">
        <f>COUNTIF(Table156[Gender],"Male")</f>
        <v>490</v>
      </c>
    </row>
    <row r="158" spans="1:18" x14ac:dyDescent="0.35">
      <c r="A158" s="4">
        <v>157</v>
      </c>
      <c r="B158" s="5">
        <v>45101</v>
      </c>
      <c r="C158" s="4" t="s">
        <v>170</v>
      </c>
      <c r="D158" s="4" t="s">
        <v>10</v>
      </c>
      <c r="E158" s="4">
        <v>62</v>
      </c>
      <c r="F158" s="4" t="str">
        <f>IF(Table156[[#This Row],[Age]]&lt;=19,"Teenager",IF(Table156[[#This Row],[Age]]&lt;=40,"Median","Old"))</f>
        <v>Old</v>
      </c>
      <c r="G158" s="4" t="s">
        <v>16</v>
      </c>
      <c r="H158" s="4">
        <v>4</v>
      </c>
      <c r="I158" s="4">
        <v>500</v>
      </c>
      <c r="J158" s="4">
        <v>2000</v>
      </c>
      <c r="K158" s="4" t="str" cm="1">
        <f t="array" ref="K158">_xlfn.IFS(AND(Table156[[#This Row],[Total Amount]]&gt;=1500),"Critical",AND(Table156[[#This Row],[Total Amount]]&gt;=1000),"High",TRUE,"Normal")</f>
        <v>Critical</v>
      </c>
      <c r="L158" s="4" t="str">
        <f>IF(Table156[[#This Row],[Total Amount]]&gt;=1000,"High",(IF(Table156[[#This Row],[Total Amount]]&gt;=500,"Medium","Low")))</f>
        <v>High</v>
      </c>
      <c r="M158" s="4" t="str" cm="1">
        <f t="array" ref="M15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58" s="4" cm="1">
        <f t="array" ref="N15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158" s="4">
        <f>Table156[[#This Row],[Total Amount]]-Table156[[#This Row],[Discount Amount]]</f>
        <v>1800</v>
      </c>
      <c r="P158" s="4" t="str">
        <f>IF(Table156[[#This Row],[Total Amount]]&gt;=1000,"High","Low")</f>
        <v>High</v>
      </c>
      <c r="Q158" s="4" t="b" cm="1">
        <f t="array" ref="Q158">_xlfn.IFS(AND(Table156[[#This Row],[Total Amount]]&gt;=1500,"Critical"),AND(Table156[[#This Row],[Total Amount]]&gt;=1000,"High"),TRUE,"Normal")</f>
        <v>1</v>
      </c>
      <c r="R158" s="4">
        <f>COUNTIF(Table156[Gender],"Male")</f>
        <v>490</v>
      </c>
    </row>
    <row r="159" spans="1:18" x14ac:dyDescent="0.35">
      <c r="A159" s="4">
        <v>158</v>
      </c>
      <c r="B159" s="5">
        <v>44984</v>
      </c>
      <c r="C159" s="4" t="s">
        <v>171</v>
      </c>
      <c r="D159" s="4" t="s">
        <v>13</v>
      </c>
      <c r="E159" s="4">
        <v>44</v>
      </c>
      <c r="F159" s="4" t="str">
        <f>IF(Table156[[#This Row],[Age]]&lt;=19,"Teenager",IF(Table156[[#This Row],[Age]]&lt;=40,"Median","Old"))</f>
        <v>Old</v>
      </c>
      <c r="G159" s="4" t="s">
        <v>16</v>
      </c>
      <c r="H159" s="4">
        <v>2</v>
      </c>
      <c r="I159" s="4">
        <v>300</v>
      </c>
      <c r="J159" s="4">
        <v>600</v>
      </c>
      <c r="K159" s="4" t="str" cm="1">
        <f t="array" ref="K159">_xlfn.IFS(AND(Table156[[#This Row],[Total Amount]]&gt;=1500),"Critical",AND(Table156[[#This Row],[Total Amount]]&gt;=1000),"High",TRUE,"Normal")</f>
        <v>Normal</v>
      </c>
      <c r="L159" s="4" t="str">
        <f>IF(Table156[[#This Row],[Total Amount]]&gt;=1000,"High",(IF(Table156[[#This Row],[Total Amount]]&gt;=500,"Medium","Low")))</f>
        <v>Medium</v>
      </c>
      <c r="M159" s="4" t="str" cm="1">
        <f t="array" ref="M15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59" s="4" cm="1">
        <f t="array" ref="N15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159" s="4">
        <f>Table156[[#This Row],[Total Amount]]-Table156[[#This Row],[Discount Amount]]</f>
        <v>480</v>
      </c>
      <c r="P159" s="4" t="str">
        <f>IF(Table156[[#This Row],[Total Amount]]&gt;=1000,"High","Low")</f>
        <v>Low</v>
      </c>
      <c r="Q159" s="4" t="str" cm="1">
        <f t="array" ref="Q159">_xlfn.IFS(AND(Table156[[#This Row],[Total Amount]]&gt;=1500,"Critical"),AND(Table156[[#This Row],[Total Amount]]&gt;=1000,"High"),TRUE,"Normal")</f>
        <v>Normal</v>
      </c>
      <c r="R159" s="4">
        <f>COUNTIF(Table156[Gender],"Male")</f>
        <v>490</v>
      </c>
    </row>
    <row r="160" spans="1:18" x14ac:dyDescent="0.35">
      <c r="A160" s="4">
        <v>159</v>
      </c>
      <c r="B160" s="5">
        <v>45077</v>
      </c>
      <c r="C160" s="4" t="s">
        <v>172</v>
      </c>
      <c r="D160" s="4" t="s">
        <v>10</v>
      </c>
      <c r="E160" s="4">
        <v>26</v>
      </c>
      <c r="F160" s="4" t="str">
        <f>IF(Table156[[#This Row],[Age]]&lt;=19,"Teenager",IF(Table156[[#This Row],[Age]]&lt;=40,"Median","Old"))</f>
        <v>Median</v>
      </c>
      <c r="G160" s="4" t="s">
        <v>14</v>
      </c>
      <c r="H160" s="4">
        <v>4</v>
      </c>
      <c r="I160" s="4">
        <v>50</v>
      </c>
      <c r="J160" s="4">
        <v>200</v>
      </c>
      <c r="K160" s="4" t="str" cm="1">
        <f t="array" ref="K160">_xlfn.IFS(AND(Table156[[#This Row],[Total Amount]]&gt;=1500),"Critical",AND(Table156[[#This Row],[Total Amount]]&gt;=1000),"High",TRUE,"Normal")</f>
        <v>Normal</v>
      </c>
      <c r="L160" s="4" t="str">
        <f>IF(Table156[[#This Row],[Total Amount]]&gt;=1000,"High",(IF(Table156[[#This Row],[Total Amount]]&gt;=500,"Medium","Low")))</f>
        <v>Low</v>
      </c>
      <c r="M160" s="4" t="str" cm="1">
        <f t="array" ref="M16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60" s="4" cm="1">
        <f t="array" ref="N16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160" s="4">
        <f>Table156[[#This Row],[Total Amount]]-Table156[[#This Row],[Discount Amount]]</f>
        <v>170</v>
      </c>
      <c r="P160" s="4" t="str">
        <f>IF(Table156[[#This Row],[Total Amount]]&gt;=1000,"High","Low")</f>
        <v>Low</v>
      </c>
      <c r="Q160" s="4" t="str" cm="1">
        <f t="array" ref="Q160">_xlfn.IFS(AND(Table156[[#This Row],[Total Amount]]&gt;=1500,"Critical"),AND(Table156[[#This Row],[Total Amount]]&gt;=1000,"High"),TRUE,"Normal")</f>
        <v>Normal</v>
      </c>
      <c r="R160" s="4">
        <f>COUNTIF(Table156[Gender],"Male")</f>
        <v>490</v>
      </c>
    </row>
    <row r="161" spans="1:18" x14ac:dyDescent="0.35">
      <c r="A161" s="4">
        <v>160</v>
      </c>
      <c r="B161" s="5">
        <v>45149</v>
      </c>
      <c r="C161" s="4" t="s">
        <v>173</v>
      </c>
      <c r="D161" s="4" t="s">
        <v>13</v>
      </c>
      <c r="E161" s="4">
        <v>43</v>
      </c>
      <c r="F161" s="4" t="str">
        <f>IF(Table156[[#This Row],[Age]]&lt;=19,"Teenager",IF(Table156[[#This Row],[Age]]&lt;=40,"Median","Old"))</f>
        <v>Old</v>
      </c>
      <c r="G161" s="4" t="s">
        <v>14</v>
      </c>
      <c r="H161" s="4">
        <v>2</v>
      </c>
      <c r="I161" s="4">
        <v>50</v>
      </c>
      <c r="J161" s="4">
        <v>100</v>
      </c>
      <c r="K161" s="4" t="str" cm="1">
        <f t="array" ref="K161">_xlfn.IFS(AND(Table156[[#This Row],[Total Amount]]&gt;=1500),"Critical",AND(Table156[[#This Row],[Total Amount]]&gt;=1000),"High",TRUE,"Normal")</f>
        <v>Normal</v>
      </c>
      <c r="L161" s="4" t="str">
        <f>IF(Table156[[#This Row],[Total Amount]]&gt;=1000,"High",(IF(Table156[[#This Row],[Total Amount]]&gt;=500,"Medium","Low")))</f>
        <v>Low</v>
      </c>
      <c r="M161" s="4" t="str" cm="1">
        <f t="array" ref="M16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61" s="4" cm="1">
        <f t="array" ref="N16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161" s="4">
        <f>Table156[[#This Row],[Total Amount]]-Table156[[#This Row],[Discount Amount]]</f>
        <v>80</v>
      </c>
      <c r="P161" s="4" t="str">
        <f>IF(Table156[[#This Row],[Total Amount]]&gt;=1000,"High","Low")</f>
        <v>Low</v>
      </c>
      <c r="Q161" s="4" t="str" cm="1">
        <f t="array" ref="Q161">_xlfn.IFS(AND(Table156[[#This Row],[Total Amount]]&gt;=1500,"Critical"),AND(Table156[[#This Row],[Total Amount]]&gt;=1000,"High"),TRUE,"Normal")</f>
        <v>Normal</v>
      </c>
      <c r="R161" s="4">
        <f>COUNTIF(Table156[Gender],"Male")</f>
        <v>490</v>
      </c>
    </row>
    <row r="162" spans="1:18" x14ac:dyDescent="0.35">
      <c r="A162" s="4">
        <v>161</v>
      </c>
      <c r="B162" s="5">
        <v>45007</v>
      </c>
      <c r="C162" s="4" t="s">
        <v>174</v>
      </c>
      <c r="D162" s="4" t="s">
        <v>10</v>
      </c>
      <c r="E162" s="4">
        <v>64</v>
      </c>
      <c r="F162" s="4" t="str">
        <f>IF(Table156[[#This Row],[Age]]&lt;=19,"Teenager",IF(Table156[[#This Row],[Age]]&lt;=40,"Median","Old"))</f>
        <v>Old</v>
      </c>
      <c r="G162" s="4" t="s">
        <v>11</v>
      </c>
      <c r="H162" s="4">
        <v>2</v>
      </c>
      <c r="I162" s="4">
        <v>500</v>
      </c>
      <c r="J162" s="4">
        <v>1000</v>
      </c>
      <c r="K162" s="4" t="str" cm="1">
        <f t="array" ref="K162">_xlfn.IFS(AND(Table156[[#This Row],[Total Amount]]&gt;=1500),"Critical",AND(Table156[[#This Row],[Total Amount]]&gt;=1000),"High",TRUE,"Normal")</f>
        <v>High</v>
      </c>
      <c r="L162" s="4" t="str">
        <f>IF(Table156[[#This Row],[Total Amount]]&gt;=1000,"High",(IF(Table156[[#This Row],[Total Amount]]&gt;=500,"Medium","Low")))</f>
        <v>High</v>
      </c>
      <c r="M162" s="4" t="str" cm="1">
        <f t="array" ref="M16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62" s="4" cm="1">
        <f t="array" ref="N16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162" s="4">
        <f>Table156[[#This Row],[Total Amount]]-Table156[[#This Row],[Discount Amount]]</f>
        <v>900</v>
      </c>
      <c r="P162" s="4" t="str">
        <f>IF(Table156[[#This Row],[Total Amount]]&gt;=1000,"High","Low")</f>
        <v>High</v>
      </c>
      <c r="Q162" s="4" t="str" cm="1">
        <f t="array" ref="Q162">_xlfn.IFS(AND(Table156[[#This Row],[Total Amount]]&gt;=1500,"Critical"),AND(Table156[[#This Row],[Total Amount]]&gt;=1000,"High"),TRUE,"Normal")</f>
        <v>Normal</v>
      </c>
      <c r="R162" s="4">
        <f>COUNTIF(Table156[Gender],"Male")</f>
        <v>490</v>
      </c>
    </row>
    <row r="163" spans="1:18" x14ac:dyDescent="0.35">
      <c r="A163" s="4">
        <v>162</v>
      </c>
      <c r="B163" s="5">
        <v>45159</v>
      </c>
      <c r="C163" s="4" t="s">
        <v>175</v>
      </c>
      <c r="D163" s="4" t="s">
        <v>10</v>
      </c>
      <c r="E163" s="4">
        <v>39</v>
      </c>
      <c r="F163" s="4" t="str">
        <f>IF(Table156[[#This Row],[Age]]&lt;=19,"Teenager",IF(Table156[[#This Row],[Age]]&lt;=40,"Median","Old"))</f>
        <v>Median</v>
      </c>
      <c r="G163" s="4" t="s">
        <v>14</v>
      </c>
      <c r="H163" s="4">
        <v>2</v>
      </c>
      <c r="I163" s="4">
        <v>30</v>
      </c>
      <c r="J163" s="4">
        <v>60</v>
      </c>
      <c r="K163" s="4" t="str" cm="1">
        <f t="array" ref="K163">_xlfn.IFS(AND(Table156[[#This Row],[Total Amount]]&gt;=1500),"Critical",AND(Table156[[#This Row],[Total Amount]]&gt;=1000),"High",TRUE,"Normal")</f>
        <v>Normal</v>
      </c>
      <c r="L163" s="4" t="str">
        <f>IF(Table156[[#This Row],[Total Amount]]&gt;=1000,"High",(IF(Table156[[#This Row],[Total Amount]]&gt;=500,"Medium","Low")))</f>
        <v>Low</v>
      </c>
      <c r="M163" s="4" t="str" cm="1">
        <f t="array" ref="M16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63" s="4" cm="1">
        <f t="array" ref="N16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163" s="4">
        <f>Table156[[#This Row],[Total Amount]]-Table156[[#This Row],[Discount Amount]]</f>
        <v>54</v>
      </c>
      <c r="P163" s="4" t="str">
        <f>IF(Table156[[#This Row],[Total Amount]]&gt;=1000,"High","Low")</f>
        <v>Low</v>
      </c>
      <c r="Q163" s="4" t="str" cm="1">
        <f t="array" ref="Q163">_xlfn.IFS(AND(Table156[[#This Row],[Total Amount]]&gt;=1500,"Critical"),AND(Table156[[#This Row],[Total Amount]]&gt;=1000,"High"),TRUE,"Normal")</f>
        <v>Normal</v>
      </c>
      <c r="R163" s="4">
        <f>COUNTIF(Table156[Gender],"Male")</f>
        <v>490</v>
      </c>
    </row>
    <row r="164" spans="1:18" x14ac:dyDescent="0.35">
      <c r="A164" s="4">
        <v>163</v>
      </c>
      <c r="B164" s="5">
        <v>44928</v>
      </c>
      <c r="C164" s="4" t="s">
        <v>176</v>
      </c>
      <c r="D164" s="4" t="s">
        <v>13</v>
      </c>
      <c r="E164" s="4">
        <v>64</v>
      </c>
      <c r="F164" s="4" t="str">
        <f>IF(Table156[[#This Row],[Age]]&lt;=19,"Teenager",IF(Table156[[#This Row],[Age]]&lt;=40,"Median","Old"))</f>
        <v>Old</v>
      </c>
      <c r="G164" s="4" t="s">
        <v>14</v>
      </c>
      <c r="H164" s="4">
        <v>3</v>
      </c>
      <c r="I164" s="4">
        <v>50</v>
      </c>
      <c r="J164" s="4">
        <v>150</v>
      </c>
      <c r="K164" s="4" t="str" cm="1">
        <f t="array" ref="K164">_xlfn.IFS(AND(Table156[[#This Row],[Total Amount]]&gt;=1500),"Critical",AND(Table156[[#This Row],[Total Amount]]&gt;=1000),"High",TRUE,"Normal")</f>
        <v>Normal</v>
      </c>
      <c r="L164" s="4" t="str">
        <f>IF(Table156[[#This Row],[Total Amount]]&gt;=1000,"High",(IF(Table156[[#This Row],[Total Amount]]&gt;=500,"Medium","Low")))</f>
        <v>Low</v>
      </c>
      <c r="M164" s="4" t="str" cm="1">
        <f t="array" ref="M16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64" s="4" cm="1">
        <f t="array" ref="N16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164" s="4">
        <f>Table156[[#This Row],[Total Amount]]-Table156[[#This Row],[Discount Amount]]</f>
        <v>120</v>
      </c>
      <c r="P164" s="4" t="str">
        <f>IF(Table156[[#This Row],[Total Amount]]&gt;=1000,"High","Low")</f>
        <v>Low</v>
      </c>
      <c r="Q164" s="4" t="str" cm="1">
        <f t="array" ref="Q164">_xlfn.IFS(AND(Table156[[#This Row],[Total Amount]]&gt;=1500,"Critical"),AND(Table156[[#This Row],[Total Amount]]&gt;=1000,"High"),TRUE,"Normal")</f>
        <v>Normal</v>
      </c>
      <c r="R164" s="4">
        <f>COUNTIF(Table156[Gender],"Male")</f>
        <v>490</v>
      </c>
    </row>
    <row r="165" spans="1:18" x14ac:dyDescent="0.35">
      <c r="A165" s="4">
        <v>164</v>
      </c>
      <c r="B165" s="5">
        <v>45061</v>
      </c>
      <c r="C165" s="4" t="s">
        <v>177</v>
      </c>
      <c r="D165" s="4" t="s">
        <v>13</v>
      </c>
      <c r="E165" s="4">
        <v>47</v>
      </c>
      <c r="F165" s="4" t="str">
        <f>IF(Table156[[#This Row],[Age]]&lt;=19,"Teenager",IF(Table156[[#This Row],[Age]]&lt;=40,"Median","Old"))</f>
        <v>Old</v>
      </c>
      <c r="G165" s="4" t="s">
        <v>11</v>
      </c>
      <c r="H165" s="4">
        <v>3</v>
      </c>
      <c r="I165" s="4">
        <v>500</v>
      </c>
      <c r="J165" s="4">
        <v>1500</v>
      </c>
      <c r="K165" s="4" t="str" cm="1">
        <f t="array" ref="K165">_xlfn.IFS(AND(Table156[[#This Row],[Total Amount]]&gt;=1500),"Critical",AND(Table156[[#This Row],[Total Amount]]&gt;=1000),"High",TRUE,"Normal")</f>
        <v>Critical</v>
      </c>
      <c r="L165" s="4" t="str">
        <f>IF(Table156[[#This Row],[Total Amount]]&gt;=1000,"High",(IF(Table156[[#This Row],[Total Amount]]&gt;=500,"Medium","Low")))</f>
        <v>High</v>
      </c>
      <c r="M165" s="4" t="str" cm="1">
        <f t="array" ref="M16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65" s="4" cm="1">
        <f t="array" ref="N16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165" s="4">
        <f>Table156[[#This Row],[Total Amount]]-Table156[[#This Row],[Discount Amount]]</f>
        <v>1200</v>
      </c>
      <c r="P165" s="4" t="str">
        <f>IF(Table156[[#This Row],[Total Amount]]&gt;=1000,"High","Low")</f>
        <v>High</v>
      </c>
      <c r="Q165" s="4" t="b" cm="1">
        <f t="array" ref="Q165">_xlfn.IFS(AND(Table156[[#This Row],[Total Amount]]&gt;=1500,"Critical"),AND(Table156[[#This Row],[Total Amount]]&gt;=1000,"High"),TRUE,"Normal")</f>
        <v>1</v>
      </c>
      <c r="R165" s="4">
        <f>COUNTIF(Table156[Gender],"Male")</f>
        <v>490</v>
      </c>
    </row>
    <row r="166" spans="1:18" x14ac:dyDescent="0.35">
      <c r="A166" s="4">
        <v>165</v>
      </c>
      <c r="B166" s="5">
        <v>45183</v>
      </c>
      <c r="C166" s="4" t="s">
        <v>178</v>
      </c>
      <c r="D166" s="4" t="s">
        <v>13</v>
      </c>
      <c r="E166" s="4">
        <v>60</v>
      </c>
      <c r="F166" s="4" t="str">
        <f>IF(Table156[[#This Row],[Age]]&lt;=19,"Teenager",IF(Table156[[#This Row],[Age]]&lt;=40,"Median","Old"))</f>
        <v>Old</v>
      </c>
      <c r="G166" s="4" t="s">
        <v>14</v>
      </c>
      <c r="H166" s="4">
        <v>4</v>
      </c>
      <c r="I166" s="4">
        <v>300</v>
      </c>
      <c r="J166" s="4">
        <v>1200</v>
      </c>
      <c r="K166" s="4" t="str" cm="1">
        <f t="array" ref="K166">_xlfn.IFS(AND(Table156[[#This Row],[Total Amount]]&gt;=1500),"Critical",AND(Table156[[#This Row],[Total Amount]]&gt;=1000),"High",TRUE,"Normal")</f>
        <v>High</v>
      </c>
      <c r="L166" s="4" t="str">
        <f>IF(Table156[[#This Row],[Total Amount]]&gt;=1000,"High",(IF(Table156[[#This Row],[Total Amount]]&gt;=500,"Medium","Low")))</f>
        <v>High</v>
      </c>
      <c r="M166" s="4" t="str" cm="1">
        <f t="array" ref="M16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66" s="4" cm="1">
        <f t="array" ref="N16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166" s="4">
        <f>Table156[[#This Row],[Total Amount]]-Table156[[#This Row],[Discount Amount]]</f>
        <v>960</v>
      </c>
      <c r="P166" s="4" t="str">
        <f>IF(Table156[[#This Row],[Total Amount]]&gt;=1000,"High","Low")</f>
        <v>High</v>
      </c>
      <c r="Q166" s="4" t="str" cm="1">
        <f t="array" ref="Q166">_xlfn.IFS(AND(Table156[[#This Row],[Total Amount]]&gt;=1500,"Critical"),AND(Table156[[#This Row],[Total Amount]]&gt;=1000,"High"),TRUE,"Normal")</f>
        <v>Normal</v>
      </c>
      <c r="R166" s="4">
        <f>COUNTIF(Table156[Gender],"Male")</f>
        <v>490</v>
      </c>
    </row>
    <row r="167" spans="1:18" x14ac:dyDescent="0.35">
      <c r="A167" s="4">
        <v>166</v>
      </c>
      <c r="B167" s="5">
        <v>45018</v>
      </c>
      <c r="C167" s="4" t="s">
        <v>179</v>
      </c>
      <c r="D167" s="4" t="s">
        <v>10</v>
      </c>
      <c r="E167" s="4">
        <v>34</v>
      </c>
      <c r="F167" s="4" t="str">
        <f>IF(Table156[[#This Row],[Age]]&lt;=19,"Teenager",IF(Table156[[#This Row],[Age]]&lt;=40,"Median","Old"))</f>
        <v>Median</v>
      </c>
      <c r="G167" s="4" t="s">
        <v>14</v>
      </c>
      <c r="H167" s="4">
        <v>4</v>
      </c>
      <c r="I167" s="4">
        <v>500</v>
      </c>
      <c r="J167" s="4">
        <v>2000</v>
      </c>
      <c r="K167" s="4" t="str" cm="1">
        <f t="array" ref="K167">_xlfn.IFS(AND(Table156[[#This Row],[Total Amount]]&gt;=1500),"Critical",AND(Table156[[#This Row],[Total Amount]]&gt;=1000),"High",TRUE,"Normal")</f>
        <v>Critical</v>
      </c>
      <c r="L167" s="4" t="str">
        <f>IF(Table156[[#This Row],[Total Amount]]&gt;=1000,"High",(IF(Table156[[#This Row],[Total Amount]]&gt;=500,"Medium","Low")))</f>
        <v>High</v>
      </c>
      <c r="M167" s="4" t="str" cm="1">
        <f t="array" ref="M16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67" s="4" cm="1">
        <f t="array" ref="N16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167" s="4">
        <f>Table156[[#This Row],[Total Amount]]-Table156[[#This Row],[Discount Amount]]</f>
        <v>1700</v>
      </c>
      <c r="P167" s="4" t="str">
        <f>IF(Table156[[#This Row],[Total Amount]]&gt;=1000,"High","Low")</f>
        <v>High</v>
      </c>
      <c r="Q167" s="4" t="b" cm="1">
        <f t="array" ref="Q167">_xlfn.IFS(AND(Table156[[#This Row],[Total Amount]]&gt;=1500,"Critical"),AND(Table156[[#This Row],[Total Amount]]&gt;=1000,"High"),TRUE,"Normal")</f>
        <v>1</v>
      </c>
      <c r="R167" s="4">
        <f>COUNTIF(Table156[Gender],"Male")</f>
        <v>490</v>
      </c>
    </row>
    <row r="168" spans="1:18" x14ac:dyDescent="0.35">
      <c r="A168" s="4">
        <v>167</v>
      </c>
      <c r="B168" s="5">
        <v>45186</v>
      </c>
      <c r="C168" s="4" t="s">
        <v>180</v>
      </c>
      <c r="D168" s="4" t="s">
        <v>13</v>
      </c>
      <c r="E168" s="4">
        <v>43</v>
      </c>
      <c r="F168" s="4" t="str">
        <f>IF(Table156[[#This Row],[Age]]&lt;=19,"Teenager",IF(Table156[[#This Row],[Age]]&lt;=40,"Median","Old"))</f>
        <v>Old</v>
      </c>
      <c r="G168" s="4" t="s">
        <v>14</v>
      </c>
      <c r="H168" s="4">
        <v>3</v>
      </c>
      <c r="I168" s="4">
        <v>50</v>
      </c>
      <c r="J168" s="4">
        <v>150</v>
      </c>
      <c r="K168" s="4" t="str" cm="1">
        <f t="array" ref="K168">_xlfn.IFS(AND(Table156[[#This Row],[Total Amount]]&gt;=1500),"Critical",AND(Table156[[#This Row],[Total Amount]]&gt;=1000),"High",TRUE,"Normal")</f>
        <v>Normal</v>
      </c>
      <c r="L168" s="4" t="str">
        <f>IF(Table156[[#This Row],[Total Amount]]&gt;=1000,"High",(IF(Table156[[#This Row],[Total Amount]]&gt;=500,"Medium","Low")))</f>
        <v>Low</v>
      </c>
      <c r="M168" s="4" t="str" cm="1">
        <f t="array" ref="M16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68" s="4" cm="1">
        <f t="array" ref="N16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168" s="4">
        <f>Table156[[#This Row],[Total Amount]]-Table156[[#This Row],[Discount Amount]]</f>
        <v>120</v>
      </c>
      <c r="P168" s="4" t="str">
        <f>IF(Table156[[#This Row],[Total Amount]]&gt;=1000,"High","Low")</f>
        <v>Low</v>
      </c>
      <c r="Q168" s="4" t="str" cm="1">
        <f t="array" ref="Q168">_xlfn.IFS(AND(Table156[[#This Row],[Total Amount]]&gt;=1500,"Critical"),AND(Table156[[#This Row],[Total Amount]]&gt;=1000,"High"),TRUE,"Normal")</f>
        <v>Normal</v>
      </c>
      <c r="R168" s="4">
        <f>COUNTIF(Table156[Gender],"Male")</f>
        <v>490</v>
      </c>
    </row>
    <row r="169" spans="1:18" x14ac:dyDescent="0.35">
      <c r="A169" s="4">
        <v>168</v>
      </c>
      <c r="B169" s="5">
        <v>44981</v>
      </c>
      <c r="C169" s="4" t="s">
        <v>181</v>
      </c>
      <c r="D169" s="4" t="s">
        <v>10</v>
      </c>
      <c r="E169" s="4">
        <v>53</v>
      </c>
      <c r="F169" s="4" t="str">
        <f>IF(Table156[[#This Row],[Age]]&lt;=19,"Teenager",IF(Table156[[#This Row],[Age]]&lt;=40,"Median","Old"))</f>
        <v>Old</v>
      </c>
      <c r="G169" s="4" t="s">
        <v>14</v>
      </c>
      <c r="H169" s="4">
        <v>1</v>
      </c>
      <c r="I169" s="4">
        <v>300</v>
      </c>
      <c r="J169" s="4">
        <v>300</v>
      </c>
      <c r="K169" s="4" t="str" cm="1">
        <f t="array" ref="K169">_xlfn.IFS(AND(Table156[[#This Row],[Total Amount]]&gt;=1500),"Critical",AND(Table156[[#This Row],[Total Amount]]&gt;=1000),"High",TRUE,"Normal")</f>
        <v>Normal</v>
      </c>
      <c r="L169" s="4" t="str">
        <f>IF(Table156[[#This Row],[Total Amount]]&gt;=1000,"High",(IF(Table156[[#This Row],[Total Amount]]&gt;=500,"Medium","Low")))</f>
        <v>Low</v>
      </c>
      <c r="M169" s="4" t="str" cm="1">
        <f t="array" ref="M16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69" s="4" cm="1">
        <f t="array" ref="N16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169" s="4">
        <f>Table156[[#This Row],[Total Amount]]-Table156[[#This Row],[Discount Amount]]</f>
        <v>270</v>
      </c>
      <c r="P169" s="4" t="str">
        <f>IF(Table156[[#This Row],[Total Amount]]&gt;=1000,"High","Low")</f>
        <v>Low</v>
      </c>
      <c r="Q169" s="4" t="str" cm="1">
        <f t="array" ref="Q169">_xlfn.IFS(AND(Table156[[#This Row],[Total Amount]]&gt;=1500,"Critical"),AND(Table156[[#This Row],[Total Amount]]&gt;=1000,"High"),TRUE,"Normal")</f>
        <v>Normal</v>
      </c>
      <c r="R169" s="4">
        <f>COUNTIF(Table156[Gender],"Male")</f>
        <v>490</v>
      </c>
    </row>
    <row r="170" spans="1:18" x14ac:dyDescent="0.35">
      <c r="A170" s="4">
        <v>169</v>
      </c>
      <c r="B170" s="5">
        <v>45247</v>
      </c>
      <c r="C170" s="4" t="s">
        <v>182</v>
      </c>
      <c r="D170" s="4" t="s">
        <v>10</v>
      </c>
      <c r="E170" s="4">
        <v>18</v>
      </c>
      <c r="F170" s="4" t="str">
        <f>IF(Table156[[#This Row],[Age]]&lt;=19,"Teenager",IF(Table156[[#This Row],[Age]]&lt;=40,"Median","Old"))</f>
        <v>Teenager</v>
      </c>
      <c r="G170" s="4" t="s">
        <v>11</v>
      </c>
      <c r="H170" s="4">
        <v>3</v>
      </c>
      <c r="I170" s="4">
        <v>500</v>
      </c>
      <c r="J170" s="4">
        <v>1500</v>
      </c>
      <c r="K170" s="4" t="str" cm="1">
        <f t="array" ref="K170">_xlfn.IFS(AND(Table156[[#This Row],[Total Amount]]&gt;=1500),"Critical",AND(Table156[[#This Row],[Total Amount]]&gt;=1000),"High",TRUE,"Normal")</f>
        <v>Critical</v>
      </c>
      <c r="L170" s="4" t="str">
        <f>IF(Table156[[#This Row],[Total Amount]]&gt;=1000,"High",(IF(Table156[[#This Row],[Total Amount]]&gt;=500,"Medium","Low")))</f>
        <v>High</v>
      </c>
      <c r="M170" s="4" t="str" cm="1">
        <f t="array" ref="M17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70" s="4" cm="1">
        <f t="array" ref="N17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70" s="4">
        <f>Table156[[#This Row],[Total Amount]]-Table156[[#This Row],[Discount Amount]]</f>
        <v>1500</v>
      </c>
      <c r="P170" s="4" t="str">
        <f>IF(Table156[[#This Row],[Total Amount]]&gt;=1000,"High","Low")</f>
        <v>High</v>
      </c>
      <c r="Q170" s="4" t="b" cm="1">
        <f t="array" ref="Q170">_xlfn.IFS(AND(Table156[[#This Row],[Total Amount]]&gt;=1500,"Critical"),AND(Table156[[#This Row],[Total Amount]]&gt;=1000,"High"),TRUE,"Normal")</f>
        <v>1</v>
      </c>
      <c r="R170" s="4">
        <f>COUNTIF(Table156[Gender],"Male")</f>
        <v>490</v>
      </c>
    </row>
    <row r="171" spans="1:18" x14ac:dyDescent="0.35">
      <c r="A171" s="4">
        <v>170</v>
      </c>
      <c r="B171" s="5">
        <v>45079</v>
      </c>
      <c r="C171" s="4" t="s">
        <v>183</v>
      </c>
      <c r="D171" s="4" t="s">
        <v>13</v>
      </c>
      <c r="E171" s="4">
        <v>25</v>
      </c>
      <c r="F171" s="4" t="str">
        <f>IF(Table156[[#This Row],[Age]]&lt;=19,"Teenager",IF(Table156[[#This Row],[Age]]&lt;=40,"Median","Old"))</f>
        <v>Median</v>
      </c>
      <c r="G171" s="4" t="s">
        <v>14</v>
      </c>
      <c r="H171" s="4">
        <v>2</v>
      </c>
      <c r="I171" s="4">
        <v>25</v>
      </c>
      <c r="J171" s="4">
        <v>50</v>
      </c>
      <c r="K171" s="4" t="str" cm="1">
        <f t="array" ref="K171">_xlfn.IFS(AND(Table156[[#This Row],[Total Amount]]&gt;=1500),"Critical",AND(Table156[[#This Row],[Total Amount]]&gt;=1000),"High",TRUE,"Normal")</f>
        <v>Normal</v>
      </c>
      <c r="L171" s="4" t="str">
        <f>IF(Table156[[#This Row],[Total Amount]]&gt;=1000,"High",(IF(Table156[[#This Row],[Total Amount]]&gt;=500,"Medium","Low")))</f>
        <v>Low</v>
      </c>
      <c r="M171" s="4" t="str" cm="1">
        <f t="array" ref="M17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71" s="4" cm="1">
        <f t="array" ref="N17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171" s="4">
        <f>Table156[[#This Row],[Total Amount]]-Table156[[#This Row],[Discount Amount]]</f>
        <v>42.5</v>
      </c>
      <c r="P171" s="4" t="str">
        <f>IF(Table156[[#This Row],[Total Amount]]&gt;=1000,"High","Low")</f>
        <v>Low</v>
      </c>
      <c r="Q171" s="4" t="str" cm="1">
        <f t="array" ref="Q171">_xlfn.IFS(AND(Table156[[#This Row],[Total Amount]]&gt;=1500,"Critical"),AND(Table156[[#This Row],[Total Amount]]&gt;=1000,"High"),TRUE,"Normal")</f>
        <v>Normal</v>
      </c>
      <c r="R171" s="4">
        <f>COUNTIF(Table156[Gender],"Male")</f>
        <v>490</v>
      </c>
    </row>
    <row r="172" spans="1:18" x14ac:dyDescent="0.35">
      <c r="A172" s="4">
        <v>171</v>
      </c>
      <c r="B172" s="5">
        <v>45254</v>
      </c>
      <c r="C172" s="4" t="s">
        <v>184</v>
      </c>
      <c r="D172" s="4" t="s">
        <v>13</v>
      </c>
      <c r="E172" s="4">
        <v>52</v>
      </c>
      <c r="F172" s="4" t="str">
        <f>IF(Table156[[#This Row],[Age]]&lt;=19,"Teenager",IF(Table156[[#This Row],[Age]]&lt;=40,"Median","Old"))</f>
        <v>Old</v>
      </c>
      <c r="G172" s="4" t="s">
        <v>14</v>
      </c>
      <c r="H172" s="4">
        <v>3</v>
      </c>
      <c r="I172" s="4">
        <v>300</v>
      </c>
      <c r="J172" s="4">
        <v>900</v>
      </c>
      <c r="K172" s="4" t="str" cm="1">
        <f t="array" ref="K172">_xlfn.IFS(AND(Table156[[#This Row],[Total Amount]]&gt;=1500),"Critical",AND(Table156[[#This Row],[Total Amount]]&gt;=1000),"High",TRUE,"Normal")</f>
        <v>Normal</v>
      </c>
      <c r="L172" s="4" t="str">
        <f>IF(Table156[[#This Row],[Total Amount]]&gt;=1000,"High",(IF(Table156[[#This Row],[Total Amount]]&gt;=500,"Medium","Low")))</f>
        <v>Medium</v>
      </c>
      <c r="M172" s="4" t="str" cm="1">
        <f t="array" ref="M17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72" s="4" cm="1">
        <f t="array" ref="N17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172" s="4">
        <f>Table156[[#This Row],[Total Amount]]-Table156[[#This Row],[Discount Amount]]</f>
        <v>720</v>
      </c>
      <c r="P172" s="4" t="str">
        <f>IF(Table156[[#This Row],[Total Amount]]&gt;=1000,"High","Low")</f>
        <v>Low</v>
      </c>
      <c r="Q172" s="4" t="str" cm="1">
        <f t="array" ref="Q172">_xlfn.IFS(AND(Table156[[#This Row],[Total Amount]]&gt;=1500,"Critical"),AND(Table156[[#This Row],[Total Amount]]&gt;=1000,"High"),TRUE,"Normal")</f>
        <v>Normal</v>
      </c>
      <c r="R172" s="4">
        <f>COUNTIF(Table156[Gender],"Male")</f>
        <v>490</v>
      </c>
    </row>
    <row r="173" spans="1:18" x14ac:dyDescent="0.35">
      <c r="A173" s="4">
        <v>172</v>
      </c>
      <c r="B173" s="5">
        <v>45186</v>
      </c>
      <c r="C173" s="4" t="s">
        <v>185</v>
      </c>
      <c r="D173" s="4" t="s">
        <v>10</v>
      </c>
      <c r="E173" s="4">
        <v>32</v>
      </c>
      <c r="F173" s="4" t="str">
        <f>IF(Table156[[#This Row],[Age]]&lt;=19,"Teenager",IF(Table156[[#This Row],[Age]]&lt;=40,"Median","Old"))</f>
        <v>Median</v>
      </c>
      <c r="G173" s="4" t="s">
        <v>11</v>
      </c>
      <c r="H173" s="4">
        <v>2</v>
      </c>
      <c r="I173" s="4">
        <v>25</v>
      </c>
      <c r="J173" s="4">
        <v>50</v>
      </c>
      <c r="K173" s="4" t="str" cm="1">
        <f t="array" ref="K173">_xlfn.IFS(AND(Table156[[#This Row],[Total Amount]]&gt;=1500),"Critical",AND(Table156[[#This Row],[Total Amount]]&gt;=1000),"High",TRUE,"Normal")</f>
        <v>Normal</v>
      </c>
      <c r="L173" s="4" t="str">
        <f>IF(Table156[[#This Row],[Total Amount]]&gt;=1000,"High",(IF(Table156[[#This Row],[Total Amount]]&gt;=500,"Medium","Low")))</f>
        <v>Low</v>
      </c>
      <c r="M173" s="4" t="str" cm="1">
        <f t="array" ref="M17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73" s="4" cm="1">
        <f t="array" ref="N17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173" s="4">
        <f>Table156[[#This Row],[Total Amount]]-Table156[[#This Row],[Discount Amount]]</f>
        <v>42.5</v>
      </c>
      <c r="P173" s="4" t="str">
        <f>IF(Table156[[#This Row],[Total Amount]]&gt;=1000,"High","Low")</f>
        <v>Low</v>
      </c>
      <c r="Q173" s="4" t="str" cm="1">
        <f t="array" ref="Q173">_xlfn.IFS(AND(Table156[[#This Row],[Total Amount]]&gt;=1500,"Critical"),AND(Table156[[#This Row],[Total Amount]]&gt;=1000,"High"),TRUE,"Normal")</f>
        <v>Normal</v>
      </c>
      <c r="R173" s="4">
        <f>COUNTIF(Table156[Gender],"Male")</f>
        <v>490</v>
      </c>
    </row>
    <row r="174" spans="1:18" x14ac:dyDescent="0.35">
      <c r="A174" s="4">
        <v>173</v>
      </c>
      <c r="B174" s="5">
        <v>45238</v>
      </c>
      <c r="C174" s="4" t="s">
        <v>186</v>
      </c>
      <c r="D174" s="4" t="s">
        <v>10</v>
      </c>
      <c r="E174" s="4">
        <v>64</v>
      </c>
      <c r="F174" s="4" t="str">
        <f>IF(Table156[[#This Row],[Age]]&lt;=19,"Teenager",IF(Table156[[#This Row],[Age]]&lt;=40,"Median","Old"))</f>
        <v>Old</v>
      </c>
      <c r="G174" s="4" t="s">
        <v>16</v>
      </c>
      <c r="H174" s="4">
        <v>4</v>
      </c>
      <c r="I174" s="4">
        <v>30</v>
      </c>
      <c r="J174" s="4">
        <v>120</v>
      </c>
      <c r="K174" s="4" t="str" cm="1">
        <f t="array" ref="K174">_xlfn.IFS(AND(Table156[[#This Row],[Total Amount]]&gt;=1500),"Critical",AND(Table156[[#This Row],[Total Amount]]&gt;=1000),"High",TRUE,"Normal")</f>
        <v>Normal</v>
      </c>
      <c r="L174" s="4" t="str">
        <f>IF(Table156[[#This Row],[Total Amount]]&gt;=1000,"High",(IF(Table156[[#This Row],[Total Amount]]&gt;=500,"Medium","Low")))</f>
        <v>Low</v>
      </c>
      <c r="M174" s="4" t="str" cm="1">
        <f t="array" ref="M17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74" s="4" cm="1">
        <f t="array" ref="N17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174" s="4">
        <f>Table156[[#This Row],[Total Amount]]-Table156[[#This Row],[Discount Amount]]</f>
        <v>108</v>
      </c>
      <c r="P174" s="4" t="str">
        <f>IF(Table156[[#This Row],[Total Amount]]&gt;=1000,"High","Low")</f>
        <v>Low</v>
      </c>
      <c r="Q174" s="4" t="str" cm="1">
        <f t="array" ref="Q174">_xlfn.IFS(AND(Table156[[#This Row],[Total Amount]]&gt;=1500,"Critical"),AND(Table156[[#This Row],[Total Amount]]&gt;=1000,"High"),TRUE,"Normal")</f>
        <v>Normal</v>
      </c>
      <c r="R174" s="4">
        <f>COUNTIF(Table156[Gender],"Male")</f>
        <v>490</v>
      </c>
    </row>
    <row r="175" spans="1:18" x14ac:dyDescent="0.35">
      <c r="A175" s="4">
        <v>174</v>
      </c>
      <c r="B175" s="5">
        <v>45028</v>
      </c>
      <c r="C175" s="4" t="s">
        <v>187</v>
      </c>
      <c r="D175" s="4" t="s">
        <v>13</v>
      </c>
      <c r="E175" s="4">
        <v>39</v>
      </c>
      <c r="F175" s="4" t="str">
        <f>IF(Table156[[#This Row],[Age]]&lt;=19,"Teenager",IF(Table156[[#This Row],[Age]]&lt;=40,"Median","Old"))</f>
        <v>Median</v>
      </c>
      <c r="G175" s="4" t="s">
        <v>11</v>
      </c>
      <c r="H175" s="4">
        <v>1</v>
      </c>
      <c r="I175" s="4">
        <v>300</v>
      </c>
      <c r="J175" s="4">
        <v>300</v>
      </c>
      <c r="K175" s="4" t="str" cm="1">
        <f t="array" ref="K175">_xlfn.IFS(AND(Table156[[#This Row],[Total Amount]]&gt;=1500),"Critical",AND(Table156[[#This Row],[Total Amount]]&gt;=1000),"High",TRUE,"Normal")</f>
        <v>Normal</v>
      </c>
      <c r="L175" s="4" t="str">
        <f>IF(Table156[[#This Row],[Total Amount]]&gt;=1000,"High",(IF(Table156[[#This Row],[Total Amount]]&gt;=500,"Medium","Low")))</f>
        <v>Low</v>
      </c>
      <c r="M175" s="4" t="str" cm="1">
        <f t="array" ref="M17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75" s="4" cm="1">
        <f t="array" ref="N17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175" s="4">
        <f>Table156[[#This Row],[Total Amount]]-Table156[[#This Row],[Discount Amount]]</f>
        <v>240</v>
      </c>
      <c r="P175" s="4" t="str">
        <f>IF(Table156[[#This Row],[Total Amount]]&gt;=1000,"High","Low")</f>
        <v>Low</v>
      </c>
      <c r="Q175" s="4" t="str" cm="1">
        <f t="array" ref="Q175">_xlfn.IFS(AND(Table156[[#This Row],[Total Amount]]&gt;=1500,"Critical"),AND(Table156[[#This Row],[Total Amount]]&gt;=1000,"High"),TRUE,"Normal")</f>
        <v>Normal</v>
      </c>
      <c r="R175" s="4">
        <f>COUNTIF(Table156[Gender],"Male")</f>
        <v>490</v>
      </c>
    </row>
    <row r="176" spans="1:18" x14ac:dyDescent="0.35">
      <c r="A176" s="4">
        <v>175</v>
      </c>
      <c r="B176" s="5">
        <v>45005</v>
      </c>
      <c r="C176" s="4" t="s">
        <v>188</v>
      </c>
      <c r="D176" s="4" t="s">
        <v>13</v>
      </c>
      <c r="E176" s="4">
        <v>31</v>
      </c>
      <c r="F176" s="4" t="str">
        <f>IF(Table156[[#This Row],[Age]]&lt;=19,"Teenager",IF(Table156[[#This Row],[Age]]&lt;=40,"Median","Old"))</f>
        <v>Median</v>
      </c>
      <c r="G176" s="4" t="s">
        <v>16</v>
      </c>
      <c r="H176" s="4">
        <v>4</v>
      </c>
      <c r="I176" s="4">
        <v>25</v>
      </c>
      <c r="J176" s="4">
        <v>100</v>
      </c>
      <c r="K176" s="4" t="str" cm="1">
        <f t="array" ref="K176">_xlfn.IFS(AND(Table156[[#This Row],[Total Amount]]&gt;=1500),"Critical",AND(Table156[[#This Row],[Total Amount]]&gt;=1000),"High",TRUE,"Normal")</f>
        <v>Normal</v>
      </c>
      <c r="L176" s="4" t="str">
        <f>IF(Table156[[#This Row],[Total Amount]]&gt;=1000,"High",(IF(Table156[[#This Row],[Total Amount]]&gt;=500,"Medium","Low")))</f>
        <v>Low</v>
      </c>
      <c r="M176" s="4" t="str" cm="1">
        <f t="array" ref="M17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76" s="4" cm="1">
        <f t="array" ref="N17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176" s="4">
        <f>Table156[[#This Row],[Total Amount]]-Table156[[#This Row],[Discount Amount]]</f>
        <v>85</v>
      </c>
      <c r="P176" s="4" t="str">
        <f>IF(Table156[[#This Row],[Total Amount]]&gt;=1000,"High","Low")</f>
        <v>Low</v>
      </c>
      <c r="Q176" s="4" t="str" cm="1">
        <f t="array" ref="Q176">_xlfn.IFS(AND(Table156[[#This Row],[Total Amount]]&gt;=1500,"Critical"),AND(Table156[[#This Row],[Total Amount]]&gt;=1000,"High"),TRUE,"Normal")</f>
        <v>Normal</v>
      </c>
      <c r="R176" s="4">
        <f>COUNTIF(Table156[Gender],"Male")</f>
        <v>490</v>
      </c>
    </row>
    <row r="177" spans="1:18" x14ac:dyDescent="0.35">
      <c r="A177" s="4">
        <v>176</v>
      </c>
      <c r="B177" s="5">
        <v>45118</v>
      </c>
      <c r="C177" s="4" t="s">
        <v>189</v>
      </c>
      <c r="D177" s="4" t="s">
        <v>13</v>
      </c>
      <c r="E177" s="4">
        <v>43</v>
      </c>
      <c r="F177" s="4" t="str">
        <f>IF(Table156[[#This Row],[Age]]&lt;=19,"Teenager",IF(Table156[[#This Row],[Age]]&lt;=40,"Median","Old"))</f>
        <v>Old</v>
      </c>
      <c r="G177" s="4" t="s">
        <v>11</v>
      </c>
      <c r="H177" s="4">
        <v>2</v>
      </c>
      <c r="I177" s="4">
        <v>50</v>
      </c>
      <c r="J177" s="4">
        <v>100</v>
      </c>
      <c r="K177" s="4" t="str" cm="1">
        <f t="array" ref="K177">_xlfn.IFS(AND(Table156[[#This Row],[Total Amount]]&gt;=1500),"Critical",AND(Table156[[#This Row],[Total Amount]]&gt;=1000),"High",TRUE,"Normal")</f>
        <v>Normal</v>
      </c>
      <c r="L177" s="4" t="str">
        <f>IF(Table156[[#This Row],[Total Amount]]&gt;=1000,"High",(IF(Table156[[#This Row],[Total Amount]]&gt;=500,"Medium","Low")))</f>
        <v>Low</v>
      </c>
      <c r="M177" s="4" t="str" cm="1">
        <f t="array" ref="M17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77" s="4" cm="1">
        <f t="array" ref="N17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177" s="4">
        <f>Table156[[#This Row],[Total Amount]]-Table156[[#This Row],[Discount Amount]]</f>
        <v>80</v>
      </c>
      <c r="P177" s="4" t="str">
        <f>IF(Table156[[#This Row],[Total Amount]]&gt;=1000,"High","Low")</f>
        <v>Low</v>
      </c>
      <c r="Q177" s="4" t="str" cm="1">
        <f t="array" ref="Q177">_xlfn.IFS(AND(Table156[[#This Row],[Total Amount]]&gt;=1500,"Critical"),AND(Table156[[#This Row],[Total Amount]]&gt;=1000,"High"),TRUE,"Normal")</f>
        <v>Normal</v>
      </c>
      <c r="R177" s="4">
        <f>COUNTIF(Table156[Gender],"Male")</f>
        <v>490</v>
      </c>
    </row>
    <row r="178" spans="1:18" x14ac:dyDescent="0.35">
      <c r="A178" s="4">
        <v>177</v>
      </c>
      <c r="B178" s="5">
        <v>45009</v>
      </c>
      <c r="C178" s="4" t="s">
        <v>190</v>
      </c>
      <c r="D178" s="4" t="s">
        <v>10</v>
      </c>
      <c r="E178" s="4">
        <v>45</v>
      </c>
      <c r="F178" s="4" t="str">
        <f>IF(Table156[[#This Row],[Age]]&lt;=19,"Teenager",IF(Table156[[#This Row],[Age]]&lt;=40,"Median","Old"))</f>
        <v>Old</v>
      </c>
      <c r="G178" s="4" t="s">
        <v>11</v>
      </c>
      <c r="H178" s="4">
        <v>2</v>
      </c>
      <c r="I178" s="4">
        <v>50</v>
      </c>
      <c r="J178" s="4">
        <v>100</v>
      </c>
      <c r="K178" s="4" t="str" cm="1">
        <f t="array" ref="K178">_xlfn.IFS(AND(Table156[[#This Row],[Total Amount]]&gt;=1500),"Critical",AND(Table156[[#This Row],[Total Amount]]&gt;=1000),"High",TRUE,"Normal")</f>
        <v>Normal</v>
      </c>
      <c r="L178" s="4" t="str">
        <f>IF(Table156[[#This Row],[Total Amount]]&gt;=1000,"High",(IF(Table156[[#This Row],[Total Amount]]&gt;=500,"Medium","Low")))</f>
        <v>Low</v>
      </c>
      <c r="M178" s="4" t="str" cm="1">
        <f t="array" ref="M17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78" s="4" cm="1">
        <f t="array" ref="N17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178" s="4">
        <f>Table156[[#This Row],[Total Amount]]-Table156[[#This Row],[Discount Amount]]</f>
        <v>90</v>
      </c>
      <c r="P178" s="4" t="str">
        <f>IF(Table156[[#This Row],[Total Amount]]&gt;=1000,"High","Low")</f>
        <v>Low</v>
      </c>
      <c r="Q178" s="4" t="str" cm="1">
        <f t="array" ref="Q178">_xlfn.IFS(AND(Table156[[#This Row],[Total Amount]]&gt;=1500,"Critical"),AND(Table156[[#This Row],[Total Amount]]&gt;=1000,"High"),TRUE,"Normal")</f>
        <v>Normal</v>
      </c>
      <c r="R178" s="4">
        <f>COUNTIF(Table156[Gender],"Male")</f>
        <v>490</v>
      </c>
    </row>
    <row r="179" spans="1:18" x14ac:dyDescent="0.35">
      <c r="A179" s="4">
        <v>178</v>
      </c>
      <c r="B179" s="5">
        <v>45203</v>
      </c>
      <c r="C179" s="4" t="s">
        <v>191</v>
      </c>
      <c r="D179" s="4" t="s">
        <v>10</v>
      </c>
      <c r="E179" s="4">
        <v>40</v>
      </c>
      <c r="F179" s="4" t="str">
        <f>IF(Table156[[#This Row],[Age]]&lt;=19,"Teenager",IF(Table156[[#This Row],[Age]]&lt;=40,"Median","Old"))</f>
        <v>Median</v>
      </c>
      <c r="G179" s="4" t="s">
        <v>14</v>
      </c>
      <c r="H179" s="4">
        <v>2</v>
      </c>
      <c r="I179" s="4">
        <v>30</v>
      </c>
      <c r="J179" s="4">
        <v>60</v>
      </c>
      <c r="K179" s="4" t="str" cm="1">
        <f t="array" ref="K179">_xlfn.IFS(AND(Table156[[#This Row],[Total Amount]]&gt;=1500),"Critical",AND(Table156[[#This Row],[Total Amount]]&gt;=1000),"High",TRUE,"Normal")</f>
        <v>Normal</v>
      </c>
      <c r="L179" s="4" t="str">
        <f>IF(Table156[[#This Row],[Total Amount]]&gt;=1000,"High",(IF(Table156[[#This Row],[Total Amount]]&gt;=500,"Medium","Low")))</f>
        <v>Low</v>
      </c>
      <c r="M179" s="4" t="str" cm="1">
        <f t="array" ref="M17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79" s="4" cm="1">
        <f t="array" ref="N17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179" s="4">
        <f>Table156[[#This Row],[Total Amount]]-Table156[[#This Row],[Discount Amount]]</f>
        <v>54</v>
      </c>
      <c r="P179" s="4" t="str">
        <f>IF(Table156[[#This Row],[Total Amount]]&gt;=1000,"High","Low")</f>
        <v>Low</v>
      </c>
      <c r="Q179" s="4" t="str" cm="1">
        <f t="array" ref="Q179">_xlfn.IFS(AND(Table156[[#This Row],[Total Amount]]&gt;=1500,"Critical"),AND(Table156[[#This Row],[Total Amount]]&gt;=1000,"High"),TRUE,"Normal")</f>
        <v>Normal</v>
      </c>
      <c r="R179" s="4">
        <f>COUNTIF(Table156[Gender],"Male")</f>
        <v>490</v>
      </c>
    </row>
    <row r="180" spans="1:18" x14ac:dyDescent="0.35">
      <c r="A180" s="4">
        <v>179</v>
      </c>
      <c r="B180" s="5">
        <v>45198</v>
      </c>
      <c r="C180" s="4" t="s">
        <v>192</v>
      </c>
      <c r="D180" s="4" t="s">
        <v>10</v>
      </c>
      <c r="E180" s="4">
        <v>31</v>
      </c>
      <c r="F180" s="4" t="str">
        <f>IF(Table156[[#This Row],[Age]]&lt;=19,"Teenager",IF(Table156[[#This Row],[Age]]&lt;=40,"Median","Old"))</f>
        <v>Median</v>
      </c>
      <c r="G180" s="4" t="s">
        <v>16</v>
      </c>
      <c r="H180" s="4">
        <v>1</v>
      </c>
      <c r="I180" s="4">
        <v>300</v>
      </c>
      <c r="J180" s="4">
        <v>300</v>
      </c>
      <c r="K180" s="4" t="str" cm="1">
        <f t="array" ref="K180">_xlfn.IFS(AND(Table156[[#This Row],[Total Amount]]&gt;=1500),"Critical",AND(Table156[[#This Row],[Total Amount]]&gt;=1000),"High",TRUE,"Normal")</f>
        <v>Normal</v>
      </c>
      <c r="L180" s="4" t="str">
        <f>IF(Table156[[#This Row],[Total Amount]]&gt;=1000,"High",(IF(Table156[[#This Row],[Total Amount]]&gt;=500,"Medium","Low")))</f>
        <v>Low</v>
      </c>
      <c r="M180" s="4" t="str" cm="1">
        <f t="array" ref="M18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80" s="4" cm="1">
        <f t="array" ref="N18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45</v>
      </c>
      <c r="O180" s="4">
        <f>Table156[[#This Row],[Total Amount]]-Table156[[#This Row],[Discount Amount]]</f>
        <v>255</v>
      </c>
      <c r="P180" s="4" t="str">
        <f>IF(Table156[[#This Row],[Total Amount]]&gt;=1000,"High","Low")</f>
        <v>Low</v>
      </c>
      <c r="Q180" s="4" t="str" cm="1">
        <f t="array" ref="Q180">_xlfn.IFS(AND(Table156[[#This Row],[Total Amount]]&gt;=1500,"Critical"),AND(Table156[[#This Row],[Total Amount]]&gt;=1000,"High"),TRUE,"Normal")</f>
        <v>Normal</v>
      </c>
      <c r="R180" s="4">
        <f>COUNTIF(Table156[Gender],"Male")</f>
        <v>490</v>
      </c>
    </row>
    <row r="181" spans="1:18" x14ac:dyDescent="0.35">
      <c r="A181" s="4">
        <v>180</v>
      </c>
      <c r="B181" s="5">
        <v>44927</v>
      </c>
      <c r="C181" s="4" t="s">
        <v>193</v>
      </c>
      <c r="D181" s="4" t="s">
        <v>10</v>
      </c>
      <c r="E181" s="4">
        <v>41</v>
      </c>
      <c r="F181" s="4" t="str">
        <f>IF(Table156[[#This Row],[Age]]&lt;=19,"Teenager",IF(Table156[[#This Row],[Age]]&lt;=40,"Median","Old"))</f>
        <v>Old</v>
      </c>
      <c r="G181" s="4" t="s">
        <v>14</v>
      </c>
      <c r="H181" s="4">
        <v>3</v>
      </c>
      <c r="I181" s="4">
        <v>300</v>
      </c>
      <c r="J181" s="4">
        <v>900</v>
      </c>
      <c r="K181" s="4" t="str" cm="1">
        <f t="array" ref="K181">_xlfn.IFS(AND(Table156[[#This Row],[Total Amount]]&gt;=1500),"Critical",AND(Table156[[#This Row],[Total Amount]]&gt;=1000),"High",TRUE,"Normal")</f>
        <v>Normal</v>
      </c>
      <c r="L181" s="4" t="str">
        <f>IF(Table156[[#This Row],[Total Amount]]&gt;=1000,"High",(IF(Table156[[#This Row],[Total Amount]]&gt;=500,"Medium","Low")))</f>
        <v>Medium</v>
      </c>
      <c r="M181" s="4" t="str" cm="1">
        <f t="array" ref="M18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81" s="4" cm="1">
        <f t="array" ref="N18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181" s="4">
        <f>Table156[[#This Row],[Total Amount]]-Table156[[#This Row],[Discount Amount]]</f>
        <v>810</v>
      </c>
      <c r="P181" s="4" t="str">
        <f>IF(Table156[[#This Row],[Total Amount]]&gt;=1000,"High","Low")</f>
        <v>Low</v>
      </c>
      <c r="Q181" s="4" t="str" cm="1">
        <f t="array" ref="Q181">_xlfn.IFS(AND(Table156[[#This Row],[Total Amount]]&gt;=1500,"Critical"),AND(Table156[[#This Row],[Total Amount]]&gt;=1000,"High"),TRUE,"Normal")</f>
        <v>Normal</v>
      </c>
      <c r="R181" s="4">
        <f>COUNTIF(Table156[Gender],"Male")</f>
        <v>490</v>
      </c>
    </row>
    <row r="182" spans="1:18" x14ac:dyDescent="0.35">
      <c r="A182" s="4">
        <v>181</v>
      </c>
      <c r="B182" s="5">
        <v>45233</v>
      </c>
      <c r="C182" s="4" t="s">
        <v>194</v>
      </c>
      <c r="D182" s="4" t="s">
        <v>10</v>
      </c>
      <c r="E182" s="4">
        <v>19</v>
      </c>
      <c r="F182" s="4" t="str">
        <f>IF(Table156[[#This Row],[Age]]&lt;=19,"Teenager",IF(Table156[[#This Row],[Age]]&lt;=40,"Median","Old"))</f>
        <v>Teenager</v>
      </c>
      <c r="G182" s="4" t="s">
        <v>16</v>
      </c>
      <c r="H182" s="4">
        <v>4</v>
      </c>
      <c r="I182" s="4">
        <v>300</v>
      </c>
      <c r="J182" s="4">
        <v>1200</v>
      </c>
      <c r="K182" s="4" t="str" cm="1">
        <f t="array" ref="K182">_xlfn.IFS(AND(Table156[[#This Row],[Total Amount]]&gt;=1500),"Critical",AND(Table156[[#This Row],[Total Amount]]&gt;=1000),"High",TRUE,"Normal")</f>
        <v>High</v>
      </c>
      <c r="L182" s="4" t="str">
        <f>IF(Table156[[#This Row],[Total Amount]]&gt;=1000,"High",(IF(Table156[[#This Row],[Total Amount]]&gt;=500,"Medium","Low")))</f>
        <v>High</v>
      </c>
      <c r="M182" s="4" t="str" cm="1">
        <f t="array" ref="M18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82" s="4" cm="1">
        <f t="array" ref="N18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82" s="4">
        <f>Table156[[#This Row],[Total Amount]]-Table156[[#This Row],[Discount Amount]]</f>
        <v>1200</v>
      </c>
      <c r="P182" s="4" t="str">
        <f>IF(Table156[[#This Row],[Total Amount]]&gt;=1000,"High","Low")</f>
        <v>High</v>
      </c>
      <c r="Q182" s="4" t="str" cm="1">
        <f t="array" ref="Q182">_xlfn.IFS(AND(Table156[[#This Row],[Total Amount]]&gt;=1500,"Critical"),AND(Table156[[#This Row],[Total Amount]]&gt;=1000,"High"),TRUE,"Normal")</f>
        <v>Normal</v>
      </c>
      <c r="R182" s="4">
        <f>COUNTIF(Table156[Gender],"Male")</f>
        <v>490</v>
      </c>
    </row>
    <row r="183" spans="1:18" x14ac:dyDescent="0.35">
      <c r="A183" s="4">
        <v>182</v>
      </c>
      <c r="B183" s="5">
        <v>45092</v>
      </c>
      <c r="C183" s="4" t="s">
        <v>195</v>
      </c>
      <c r="D183" s="4" t="s">
        <v>10</v>
      </c>
      <c r="E183" s="4">
        <v>62</v>
      </c>
      <c r="F183" s="4" t="str">
        <f>IF(Table156[[#This Row],[Age]]&lt;=19,"Teenager",IF(Table156[[#This Row],[Age]]&lt;=40,"Median","Old"))</f>
        <v>Old</v>
      </c>
      <c r="G183" s="4" t="s">
        <v>11</v>
      </c>
      <c r="H183" s="4">
        <v>4</v>
      </c>
      <c r="I183" s="4">
        <v>30</v>
      </c>
      <c r="J183" s="4">
        <v>120</v>
      </c>
      <c r="K183" s="4" t="str" cm="1">
        <f t="array" ref="K183">_xlfn.IFS(AND(Table156[[#This Row],[Total Amount]]&gt;=1500),"Critical",AND(Table156[[#This Row],[Total Amount]]&gt;=1000),"High",TRUE,"Normal")</f>
        <v>Normal</v>
      </c>
      <c r="L183" s="4" t="str">
        <f>IF(Table156[[#This Row],[Total Amount]]&gt;=1000,"High",(IF(Table156[[#This Row],[Total Amount]]&gt;=500,"Medium","Low")))</f>
        <v>Low</v>
      </c>
      <c r="M183" s="4" t="str" cm="1">
        <f t="array" ref="M18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83" s="4" cm="1">
        <f t="array" ref="N18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183" s="4">
        <f>Table156[[#This Row],[Total Amount]]-Table156[[#This Row],[Discount Amount]]</f>
        <v>108</v>
      </c>
      <c r="P183" s="4" t="str">
        <f>IF(Table156[[#This Row],[Total Amount]]&gt;=1000,"High","Low")</f>
        <v>Low</v>
      </c>
      <c r="Q183" s="4" t="str" cm="1">
        <f t="array" ref="Q183">_xlfn.IFS(AND(Table156[[#This Row],[Total Amount]]&gt;=1500,"Critical"),AND(Table156[[#This Row],[Total Amount]]&gt;=1000,"High"),TRUE,"Normal")</f>
        <v>Normal</v>
      </c>
      <c r="R183" s="4">
        <f>COUNTIF(Table156[Gender],"Male")</f>
        <v>490</v>
      </c>
    </row>
    <row r="184" spans="1:18" x14ac:dyDescent="0.35">
      <c r="A184" s="4">
        <v>183</v>
      </c>
      <c r="B184" s="5">
        <v>45177</v>
      </c>
      <c r="C184" s="4" t="s">
        <v>196</v>
      </c>
      <c r="D184" s="4" t="s">
        <v>13</v>
      </c>
      <c r="E184" s="4">
        <v>43</v>
      </c>
      <c r="F184" s="4" t="str">
        <f>IF(Table156[[#This Row],[Age]]&lt;=19,"Teenager",IF(Table156[[#This Row],[Age]]&lt;=40,"Median","Old"))</f>
        <v>Old</v>
      </c>
      <c r="G184" s="4" t="s">
        <v>11</v>
      </c>
      <c r="H184" s="4">
        <v>3</v>
      </c>
      <c r="I184" s="4">
        <v>300</v>
      </c>
      <c r="J184" s="4">
        <v>900</v>
      </c>
      <c r="K184" s="4" t="str" cm="1">
        <f t="array" ref="K184">_xlfn.IFS(AND(Table156[[#This Row],[Total Amount]]&gt;=1500),"Critical",AND(Table156[[#This Row],[Total Amount]]&gt;=1000),"High",TRUE,"Normal")</f>
        <v>Normal</v>
      </c>
      <c r="L184" s="4" t="str">
        <f>IF(Table156[[#This Row],[Total Amount]]&gt;=1000,"High",(IF(Table156[[#This Row],[Total Amount]]&gt;=500,"Medium","Low")))</f>
        <v>Medium</v>
      </c>
      <c r="M184" s="4" t="str" cm="1">
        <f t="array" ref="M18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84" s="4" cm="1">
        <f t="array" ref="N18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184" s="4">
        <f>Table156[[#This Row],[Total Amount]]-Table156[[#This Row],[Discount Amount]]</f>
        <v>720</v>
      </c>
      <c r="P184" s="4" t="str">
        <f>IF(Table156[[#This Row],[Total Amount]]&gt;=1000,"High","Low")</f>
        <v>Low</v>
      </c>
      <c r="Q184" s="4" t="str" cm="1">
        <f t="array" ref="Q184">_xlfn.IFS(AND(Table156[[#This Row],[Total Amount]]&gt;=1500,"Critical"),AND(Table156[[#This Row],[Total Amount]]&gt;=1000,"High"),TRUE,"Normal")</f>
        <v>Normal</v>
      </c>
      <c r="R184" s="4">
        <f>COUNTIF(Table156[Gender],"Male")</f>
        <v>490</v>
      </c>
    </row>
    <row r="185" spans="1:18" x14ac:dyDescent="0.35">
      <c r="A185" s="4">
        <v>184</v>
      </c>
      <c r="B185" s="5">
        <v>44936</v>
      </c>
      <c r="C185" s="4" t="s">
        <v>197</v>
      </c>
      <c r="D185" s="4" t="s">
        <v>10</v>
      </c>
      <c r="E185" s="4">
        <v>31</v>
      </c>
      <c r="F185" s="4" t="str">
        <f>IF(Table156[[#This Row],[Age]]&lt;=19,"Teenager",IF(Table156[[#This Row],[Age]]&lt;=40,"Median","Old"))</f>
        <v>Median</v>
      </c>
      <c r="G185" s="4" t="s">
        <v>16</v>
      </c>
      <c r="H185" s="4">
        <v>4</v>
      </c>
      <c r="I185" s="4">
        <v>50</v>
      </c>
      <c r="J185" s="4">
        <v>200</v>
      </c>
      <c r="K185" s="4" t="str" cm="1">
        <f t="array" ref="K185">_xlfn.IFS(AND(Table156[[#This Row],[Total Amount]]&gt;=1500),"Critical",AND(Table156[[#This Row],[Total Amount]]&gt;=1000),"High",TRUE,"Normal")</f>
        <v>Normal</v>
      </c>
      <c r="L185" s="4" t="str">
        <f>IF(Table156[[#This Row],[Total Amount]]&gt;=1000,"High",(IF(Table156[[#This Row],[Total Amount]]&gt;=500,"Medium","Low")))</f>
        <v>Low</v>
      </c>
      <c r="M185" s="4" t="str" cm="1">
        <f t="array" ref="M18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85" s="4" cm="1">
        <f t="array" ref="N18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185" s="4">
        <f>Table156[[#This Row],[Total Amount]]-Table156[[#This Row],[Discount Amount]]</f>
        <v>170</v>
      </c>
      <c r="P185" s="4" t="str">
        <f>IF(Table156[[#This Row],[Total Amount]]&gt;=1000,"High","Low")</f>
        <v>Low</v>
      </c>
      <c r="Q185" s="4" t="str" cm="1">
        <f t="array" ref="Q185">_xlfn.IFS(AND(Table156[[#This Row],[Total Amount]]&gt;=1500,"Critical"),AND(Table156[[#This Row],[Total Amount]]&gt;=1000,"High"),TRUE,"Normal")</f>
        <v>Normal</v>
      </c>
      <c r="R185" s="4">
        <f>COUNTIF(Table156[Gender],"Male")</f>
        <v>490</v>
      </c>
    </row>
    <row r="186" spans="1:18" x14ac:dyDescent="0.35">
      <c r="A186" s="4">
        <v>185</v>
      </c>
      <c r="B186" s="5">
        <v>44984</v>
      </c>
      <c r="C186" s="4" t="s">
        <v>198</v>
      </c>
      <c r="D186" s="4" t="s">
        <v>10</v>
      </c>
      <c r="E186" s="4">
        <v>24</v>
      </c>
      <c r="F186" s="4" t="str">
        <f>IF(Table156[[#This Row],[Age]]&lt;=19,"Teenager",IF(Table156[[#This Row],[Age]]&lt;=40,"Median","Old"))</f>
        <v>Median</v>
      </c>
      <c r="G186" s="4" t="s">
        <v>14</v>
      </c>
      <c r="H186" s="4">
        <v>1</v>
      </c>
      <c r="I186" s="4">
        <v>25</v>
      </c>
      <c r="J186" s="4">
        <v>25</v>
      </c>
      <c r="K186" s="4" t="str" cm="1">
        <f t="array" ref="K186">_xlfn.IFS(AND(Table156[[#This Row],[Total Amount]]&gt;=1500),"Critical",AND(Table156[[#This Row],[Total Amount]]&gt;=1000),"High",TRUE,"Normal")</f>
        <v>Normal</v>
      </c>
      <c r="L186" s="4" t="str">
        <f>IF(Table156[[#This Row],[Total Amount]]&gt;=1000,"High",(IF(Table156[[#This Row],[Total Amount]]&gt;=500,"Medium","Low")))</f>
        <v>Low</v>
      </c>
      <c r="M186" s="4" t="str" cm="1">
        <f t="array" ref="M18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86" s="4" cm="1">
        <f t="array" ref="N18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86" s="4">
        <f>Table156[[#This Row],[Total Amount]]-Table156[[#This Row],[Discount Amount]]</f>
        <v>25</v>
      </c>
      <c r="P186" s="4" t="str">
        <f>IF(Table156[[#This Row],[Total Amount]]&gt;=1000,"High","Low")</f>
        <v>Low</v>
      </c>
      <c r="Q186" s="4" t="str" cm="1">
        <f t="array" ref="Q186">_xlfn.IFS(AND(Table156[[#This Row],[Total Amount]]&gt;=1500,"Critical"),AND(Table156[[#This Row],[Total Amount]]&gt;=1000,"High"),TRUE,"Normal")</f>
        <v>Normal</v>
      </c>
      <c r="R186" s="4">
        <f>COUNTIF(Table156[Gender],"Male")</f>
        <v>490</v>
      </c>
    </row>
    <row r="187" spans="1:18" x14ac:dyDescent="0.35">
      <c r="A187" s="4">
        <v>186</v>
      </c>
      <c r="B187" s="5">
        <v>45112</v>
      </c>
      <c r="C187" s="4" t="s">
        <v>199</v>
      </c>
      <c r="D187" s="4" t="s">
        <v>10</v>
      </c>
      <c r="E187" s="4">
        <v>20</v>
      </c>
      <c r="F187" s="4" t="str">
        <f>IF(Table156[[#This Row],[Age]]&lt;=19,"Teenager",IF(Table156[[#This Row],[Age]]&lt;=40,"Median","Old"))</f>
        <v>Median</v>
      </c>
      <c r="G187" s="4" t="s">
        <v>14</v>
      </c>
      <c r="H187" s="4">
        <v>4</v>
      </c>
      <c r="I187" s="4">
        <v>50</v>
      </c>
      <c r="J187" s="4">
        <v>200</v>
      </c>
      <c r="K187" s="4" t="str" cm="1">
        <f t="array" ref="K187">_xlfn.IFS(AND(Table156[[#This Row],[Total Amount]]&gt;=1500),"Critical",AND(Table156[[#This Row],[Total Amount]]&gt;=1000),"High",TRUE,"Normal")</f>
        <v>Normal</v>
      </c>
      <c r="L187" s="4" t="str">
        <f>IF(Table156[[#This Row],[Total Amount]]&gt;=1000,"High",(IF(Table156[[#This Row],[Total Amount]]&gt;=500,"Medium","Low")))</f>
        <v>Low</v>
      </c>
      <c r="M187" s="4" t="str" cm="1">
        <f t="array" ref="M18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87" s="4" cm="1">
        <f t="array" ref="N18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87" s="4">
        <f>Table156[[#This Row],[Total Amount]]-Table156[[#This Row],[Discount Amount]]</f>
        <v>200</v>
      </c>
      <c r="P187" s="4" t="str">
        <f>IF(Table156[[#This Row],[Total Amount]]&gt;=1000,"High","Low")</f>
        <v>Low</v>
      </c>
      <c r="Q187" s="4" t="str" cm="1">
        <f t="array" ref="Q187">_xlfn.IFS(AND(Table156[[#This Row],[Total Amount]]&gt;=1500,"Critical"),AND(Table156[[#This Row],[Total Amount]]&gt;=1000,"High"),TRUE,"Normal")</f>
        <v>Normal</v>
      </c>
      <c r="R187" s="4">
        <f>COUNTIF(Table156[Gender],"Male")</f>
        <v>490</v>
      </c>
    </row>
    <row r="188" spans="1:18" x14ac:dyDescent="0.35">
      <c r="A188" s="4">
        <v>187</v>
      </c>
      <c r="B188" s="5">
        <v>45084</v>
      </c>
      <c r="C188" s="4" t="s">
        <v>200</v>
      </c>
      <c r="D188" s="4" t="s">
        <v>13</v>
      </c>
      <c r="E188" s="4">
        <v>64</v>
      </c>
      <c r="F188" s="4" t="str">
        <f>IF(Table156[[#This Row],[Age]]&lt;=19,"Teenager",IF(Table156[[#This Row],[Age]]&lt;=40,"Median","Old"))</f>
        <v>Old</v>
      </c>
      <c r="G188" s="4" t="s">
        <v>14</v>
      </c>
      <c r="H188" s="4">
        <v>2</v>
      </c>
      <c r="I188" s="4">
        <v>50</v>
      </c>
      <c r="J188" s="4">
        <v>100</v>
      </c>
      <c r="K188" s="4" t="str" cm="1">
        <f t="array" ref="K188">_xlfn.IFS(AND(Table156[[#This Row],[Total Amount]]&gt;=1500),"Critical",AND(Table156[[#This Row],[Total Amount]]&gt;=1000),"High",TRUE,"Normal")</f>
        <v>Normal</v>
      </c>
      <c r="L188" s="4" t="str">
        <f>IF(Table156[[#This Row],[Total Amount]]&gt;=1000,"High",(IF(Table156[[#This Row],[Total Amount]]&gt;=500,"Medium","Low")))</f>
        <v>Low</v>
      </c>
      <c r="M188" s="4" t="str" cm="1">
        <f t="array" ref="M18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88" s="4" cm="1">
        <f t="array" ref="N18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188" s="4">
        <f>Table156[[#This Row],[Total Amount]]-Table156[[#This Row],[Discount Amount]]</f>
        <v>80</v>
      </c>
      <c r="P188" s="4" t="str">
        <f>IF(Table156[[#This Row],[Total Amount]]&gt;=1000,"High","Low")</f>
        <v>Low</v>
      </c>
      <c r="Q188" s="4" t="str" cm="1">
        <f t="array" ref="Q188">_xlfn.IFS(AND(Table156[[#This Row],[Total Amount]]&gt;=1500,"Critical"),AND(Table156[[#This Row],[Total Amount]]&gt;=1000,"High"),TRUE,"Normal")</f>
        <v>Normal</v>
      </c>
      <c r="R188" s="4">
        <f>COUNTIF(Table156[Gender],"Male")</f>
        <v>490</v>
      </c>
    </row>
    <row r="189" spans="1:18" x14ac:dyDescent="0.35">
      <c r="A189" s="4">
        <v>188</v>
      </c>
      <c r="B189" s="5">
        <v>45049</v>
      </c>
      <c r="C189" s="4" t="s">
        <v>201</v>
      </c>
      <c r="D189" s="4" t="s">
        <v>10</v>
      </c>
      <c r="E189" s="4">
        <v>40</v>
      </c>
      <c r="F189" s="4" t="str">
        <f>IF(Table156[[#This Row],[Age]]&lt;=19,"Teenager",IF(Table156[[#This Row],[Age]]&lt;=40,"Median","Old"))</f>
        <v>Median</v>
      </c>
      <c r="G189" s="4" t="s">
        <v>14</v>
      </c>
      <c r="H189" s="4">
        <v>3</v>
      </c>
      <c r="I189" s="4">
        <v>25</v>
      </c>
      <c r="J189" s="4">
        <v>75</v>
      </c>
      <c r="K189" s="4" t="str" cm="1">
        <f t="array" ref="K189">_xlfn.IFS(AND(Table156[[#This Row],[Total Amount]]&gt;=1500),"Critical",AND(Table156[[#This Row],[Total Amount]]&gt;=1000),"High",TRUE,"Normal")</f>
        <v>Normal</v>
      </c>
      <c r="L189" s="4" t="str">
        <f>IF(Table156[[#This Row],[Total Amount]]&gt;=1000,"High",(IF(Table156[[#This Row],[Total Amount]]&gt;=500,"Medium","Low")))</f>
        <v>Low</v>
      </c>
      <c r="M189" s="4" t="str" cm="1">
        <f t="array" ref="M18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89" s="4" cm="1">
        <f t="array" ref="N18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189" s="4">
        <f>Table156[[#This Row],[Total Amount]]-Table156[[#This Row],[Discount Amount]]</f>
        <v>67.5</v>
      </c>
      <c r="P189" s="4" t="str">
        <f>IF(Table156[[#This Row],[Total Amount]]&gt;=1000,"High","Low")</f>
        <v>Low</v>
      </c>
      <c r="Q189" s="4" t="str" cm="1">
        <f t="array" ref="Q189">_xlfn.IFS(AND(Table156[[#This Row],[Total Amount]]&gt;=1500,"Critical"),AND(Table156[[#This Row],[Total Amount]]&gt;=1000,"High"),TRUE,"Normal")</f>
        <v>Normal</v>
      </c>
      <c r="R189" s="4">
        <f>COUNTIF(Table156[Gender],"Male")</f>
        <v>490</v>
      </c>
    </row>
    <row r="190" spans="1:18" x14ac:dyDescent="0.35">
      <c r="A190" s="4">
        <v>189</v>
      </c>
      <c r="B190" s="5">
        <v>44956</v>
      </c>
      <c r="C190" s="4" t="s">
        <v>202</v>
      </c>
      <c r="D190" s="4" t="s">
        <v>10</v>
      </c>
      <c r="E190" s="4">
        <v>63</v>
      </c>
      <c r="F190" s="4" t="str">
        <f>IF(Table156[[#This Row],[Age]]&lt;=19,"Teenager",IF(Table156[[#This Row],[Age]]&lt;=40,"Median","Old"))</f>
        <v>Old</v>
      </c>
      <c r="G190" s="4" t="s">
        <v>11</v>
      </c>
      <c r="H190" s="4">
        <v>1</v>
      </c>
      <c r="I190" s="4">
        <v>50</v>
      </c>
      <c r="J190" s="4">
        <v>50</v>
      </c>
      <c r="K190" s="4" t="str" cm="1">
        <f t="array" ref="K190">_xlfn.IFS(AND(Table156[[#This Row],[Total Amount]]&gt;=1500),"Critical",AND(Table156[[#This Row],[Total Amount]]&gt;=1000),"High",TRUE,"Normal")</f>
        <v>Normal</v>
      </c>
      <c r="L190" s="4" t="str">
        <f>IF(Table156[[#This Row],[Total Amount]]&gt;=1000,"High",(IF(Table156[[#This Row],[Total Amount]]&gt;=500,"Medium","Low")))</f>
        <v>Low</v>
      </c>
      <c r="M190" s="4" t="str" cm="1">
        <f t="array" ref="M19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90" s="4" cm="1">
        <f t="array" ref="N19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190" s="4">
        <f>Table156[[#This Row],[Total Amount]]-Table156[[#This Row],[Discount Amount]]</f>
        <v>45</v>
      </c>
      <c r="P190" s="4" t="str">
        <f>IF(Table156[[#This Row],[Total Amount]]&gt;=1000,"High","Low")</f>
        <v>Low</v>
      </c>
      <c r="Q190" s="4" t="str" cm="1">
        <f t="array" ref="Q190">_xlfn.IFS(AND(Table156[[#This Row],[Total Amount]]&gt;=1500,"Critical"),AND(Table156[[#This Row],[Total Amount]]&gt;=1000,"High"),TRUE,"Normal")</f>
        <v>Normal</v>
      </c>
      <c r="R190" s="4">
        <f>COUNTIF(Table156[Gender],"Male")</f>
        <v>490</v>
      </c>
    </row>
    <row r="191" spans="1:18" x14ac:dyDescent="0.35">
      <c r="A191" s="4">
        <v>190</v>
      </c>
      <c r="B191" s="5">
        <v>45050</v>
      </c>
      <c r="C191" s="4" t="s">
        <v>203</v>
      </c>
      <c r="D191" s="4" t="s">
        <v>13</v>
      </c>
      <c r="E191" s="4">
        <v>60</v>
      </c>
      <c r="F191" s="4" t="str">
        <f>IF(Table156[[#This Row],[Age]]&lt;=19,"Teenager",IF(Table156[[#This Row],[Age]]&lt;=40,"Median","Old"))</f>
        <v>Old</v>
      </c>
      <c r="G191" s="4" t="s">
        <v>11</v>
      </c>
      <c r="H191" s="4">
        <v>3</v>
      </c>
      <c r="I191" s="4">
        <v>30</v>
      </c>
      <c r="J191" s="4">
        <v>90</v>
      </c>
      <c r="K191" s="4" t="str" cm="1">
        <f t="array" ref="K191">_xlfn.IFS(AND(Table156[[#This Row],[Total Amount]]&gt;=1500),"Critical",AND(Table156[[#This Row],[Total Amount]]&gt;=1000),"High",TRUE,"Normal")</f>
        <v>Normal</v>
      </c>
      <c r="L191" s="4" t="str">
        <f>IF(Table156[[#This Row],[Total Amount]]&gt;=1000,"High",(IF(Table156[[#This Row],[Total Amount]]&gt;=500,"Medium","Low")))</f>
        <v>Low</v>
      </c>
      <c r="M191" s="4" t="str" cm="1">
        <f t="array" ref="M19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91" s="4" cm="1">
        <f t="array" ref="N19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191" s="4">
        <f>Table156[[#This Row],[Total Amount]]-Table156[[#This Row],[Discount Amount]]</f>
        <v>72</v>
      </c>
      <c r="P191" s="4" t="str">
        <f>IF(Table156[[#This Row],[Total Amount]]&gt;=1000,"High","Low")</f>
        <v>Low</v>
      </c>
      <c r="Q191" s="4" t="str" cm="1">
        <f t="array" ref="Q191">_xlfn.IFS(AND(Table156[[#This Row],[Total Amount]]&gt;=1500,"Critical"),AND(Table156[[#This Row],[Total Amount]]&gt;=1000,"High"),TRUE,"Normal")</f>
        <v>Normal</v>
      </c>
      <c r="R191" s="4">
        <f>COUNTIF(Table156[Gender],"Male")</f>
        <v>490</v>
      </c>
    </row>
    <row r="192" spans="1:18" x14ac:dyDescent="0.35">
      <c r="A192" s="4">
        <v>191</v>
      </c>
      <c r="B192" s="5">
        <v>45217</v>
      </c>
      <c r="C192" s="4" t="s">
        <v>204</v>
      </c>
      <c r="D192" s="4" t="s">
        <v>10</v>
      </c>
      <c r="E192" s="4">
        <v>64</v>
      </c>
      <c r="F192" s="4" t="str">
        <f>IF(Table156[[#This Row],[Age]]&lt;=19,"Teenager",IF(Table156[[#This Row],[Age]]&lt;=40,"Median","Old"))</f>
        <v>Old</v>
      </c>
      <c r="G192" s="4" t="s">
        <v>11</v>
      </c>
      <c r="H192" s="4">
        <v>1</v>
      </c>
      <c r="I192" s="4">
        <v>25</v>
      </c>
      <c r="J192" s="4">
        <v>25</v>
      </c>
      <c r="K192" s="4" t="str" cm="1">
        <f t="array" ref="K192">_xlfn.IFS(AND(Table156[[#This Row],[Total Amount]]&gt;=1500),"Critical",AND(Table156[[#This Row],[Total Amount]]&gt;=1000),"High",TRUE,"Normal")</f>
        <v>Normal</v>
      </c>
      <c r="L192" s="4" t="str">
        <f>IF(Table156[[#This Row],[Total Amount]]&gt;=1000,"High",(IF(Table156[[#This Row],[Total Amount]]&gt;=500,"Medium","Low")))</f>
        <v>Low</v>
      </c>
      <c r="M192" s="4" t="str" cm="1">
        <f t="array" ref="M19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92" s="4" cm="1">
        <f t="array" ref="N19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192" s="4">
        <f>Table156[[#This Row],[Total Amount]]-Table156[[#This Row],[Discount Amount]]</f>
        <v>22.5</v>
      </c>
      <c r="P192" s="4" t="str">
        <f>IF(Table156[[#This Row],[Total Amount]]&gt;=1000,"High","Low")</f>
        <v>Low</v>
      </c>
      <c r="Q192" s="4" t="str" cm="1">
        <f t="array" ref="Q192">_xlfn.IFS(AND(Table156[[#This Row],[Total Amount]]&gt;=1500,"Critical"),AND(Table156[[#This Row],[Total Amount]]&gt;=1000,"High"),TRUE,"Normal")</f>
        <v>Normal</v>
      </c>
      <c r="R192" s="4">
        <f>COUNTIF(Table156[Gender],"Male")</f>
        <v>490</v>
      </c>
    </row>
    <row r="193" spans="1:18" x14ac:dyDescent="0.35">
      <c r="A193" s="4">
        <v>192</v>
      </c>
      <c r="B193" s="5">
        <v>44967</v>
      </c>
      <c r="C193" s="4" t="s">
        <v>205</v>
      </c>
      <c r="D193" s="4" t="s">
        <v>10</v>
      </c>
      <c r="E193" s="4">
        <v>62</v>
      </c>
      <c r="F193" s="4" t="str">
        <f>IF(Table156[[#This Row],[Age]]&lt;=19,"Teenager",IF(Table156[[#This Row],[Age]]&lt;=40,"Median","Old"))</f>
        <v>Old</v>
      </c>
      <c r="G193" s="4" t="s">
        <v>11</v>
      </c>
      <c r="H193" s="4">
        <v>2</v>
      </c>
      <c r="I193" s="4">
        <v>50</v>
      </c>
      <c r="J193" s="4">
        <v>100</v>
      </c>
      <c r="K193" s="4" t="str" cm="1">
        <f t="array" ref="K193">_xlfn.IFS(AND(Table156[[#This Row],[Total Amount]]&gt;=1500),"Critical",AND(Table156[[#This Row],[Total Amount]]&gt;=1000),"High",TRUE,"Normal")</f>
        <v>Normal</v>
      </c>
      <c r="L193" s="4" t="str">
        <f>IF(Table156[[#This Row],[Total Amount]]&gt;=1000,"High",(IF(Table156[[#This Row],[Total Amount]]&gt;=500,"Medium","Low")))</f>
        <v>Low</v>
      </c>
      <c r="M193" s="4" t="str" cm="1">
        <f t="array" ref="M19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93" s="4" cm="1">
        <f t="array" ref="N19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193" s="4">
        <f>Table156[[#This Row],[Total Amount]]-Table156[[#This Row],[Discount Amount]]</f>
        <v>90</v>
      </c>
      <c r="P193" s="4" t="str">
        <f>IF(Table156[[#This Row],[Total Amount]]&gt;=1000,"High","Low")</f>
        <v>Low</v>
      </c>
      <c r="Q193" s="4" t="str" cm="1">
        <f t="array" ref="Q193">_xlfn.IFS(AND(Table156[[#This Row],[Total Amount]]&gt;=1500,"Critical"),AND(Table156[[#This Row],[Total Amount]]&gt;=1000,"High"),TRUE,"Normal")</f>
        <v>Normal</v>
      </c>
      <c r="R193" s="4">
        <f>COUNTIF(Table156[Gender],"Male")</f>
        <v>490</v>
      </c>
    </row>
    <row r="194" spans="1:18" x14ac:dyDescent="0.35">
      <c r="A194" s="4">
        <v>193</v>
      </c>
      <c r="B194" s="5">
        <v>44970</v>
      </c>
      <c r="C194" s="4" t="s">
        <v>206</v>
      </c>
      <c r="D194" s="4" t="s">
        <v>10</v>
      </c>
      <c r="E194" s="4">
        <v>35</v>
      </c>
      <c r="F194" s="4" t="str">
        <f>IF(Table156[[#This Row],[Age]]&lt;=19,"Teenager",IF(Table156[[#This Row],[Age]]&lt;=40,"Median","Old"))</f>
        <v>Median</v>
      </c>
      <c r="G194" s="4" t="s">
        <v>11</v>
      </c>
      <c r="H194" s="4">
        <v>3</v>
      </c>
      <c r="I194" s="4">
        <v>500</v>
      </c>
      <c r="J194" s="4">
        <v>1500</v>
      </c>
      <c r="K194" s="4" t="str" cm="1">
        <f t="array" ref="K194">_xlfn.IFS(AND(Table156[[#This Row],[Total Amount]]&gt;=1500),"Critical",AND(Table156[[#This Row],[Total Amount]]&gt;=1000),"High",TRUE,"Normal")</f>
        <v>Critical</v>
      </c>
      <c r="L194" s="4" t="str">
        <f>IF(Table156[[#This Row],[Total Amount]]&gt;=1000,"High",(IF(Table156[[#This Row],[Total Amount]]&gt;=500,"Medium","Low")))</f>
        <v>High</v>
      </c>
      <c r="M194" s="4" t="str" cm="1">
        <f t="array" ref="M19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94" s="4" cm="1">
        <f t="array" ref="N19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194" s="4">
        <f>Table156[[#This Row],[Total Amount]]-Table156[[#This Row],[Discount Amount]]</f>
        <v>1350</v>
      </c>
      <c r="P194" s="4" t="str">
        <f>IF(Table156[[#This Row],[Total Amount]]&gt;=1000,"High","Low")</f>
        <v>High</v>
      </c>
      <c r="Q194" s="4" t="b" cm="1">
        <f t="array" ref="Q194">_xlfn.IFS(AND(Table156[[#This Row],[Total Amount]]&gt;=1500,"Critical"),AND(Table156[[#This Row],[Total Amount]]&gt;=1000,"High"),TRUE,"Normal")</f>
        <v>1</v>
      </c>
      <c r="R194" s="4">
        <f>COUNTIF(Table156[Gender],"Male")</f>
        <v>490</v>
      </c>
    </row>
    <row r="195" spans="1:18" x14ac:dyDescent="0.35">
      <c r="A195" s="4">
        <v>194</v>
      </c>
      <c r="B195" s="5">
        <v>45175</v>
      </c>
      <c r="C195" s="4" t="s">
        <v>207</v>
      </c>
      <c r="D195" s="4" t="s">
        <v>10</v>
      </c>
      <c r="E195" s="4">
        <v>55</v>
      </c>
      <c r="F195" s="4" t="str">
        <f>IF(Table156[[#This Row],[Age]]&lt;=19,"Teenager",IF(Table156[[#This Row],[Age]]&lt;=40,"Median","Old"))</f>
        <v>Old</v>
      </c>
      <c r="G195" s="4" t="s">
        <v>14</v>
      </c>
      <c r="H195" s="4">
        <v>4</v>
      </c>
      <c r="I195" s="4">
        <v>50</v>
      </c>
      <c r="J195" s="4">
        <v>200</v>
      </c>
      <c r="K195" s="4" t="str" cm="1">
        <f t="array" ref="K195">_xlfn.IFS(AND(Table156[[#This Row],[Total Amount]]&gt;=1500),"Critical",AND(Table156[[#This Row],[Total Amount]]&gt;=1000),"High",TRUE,"Normal")</f>
        <v>Normal</v>
      </c>
      <c r="L195" s="4" t="str">
        <f>IF(Table156[[#This Row],[Total Amount]]&gt;=1000,"High",(IF(Table156[[#This Row],[Total Amount]]&gt;=500,"Medium","Low")))</f>
        <v>Low</v>
      </c>
      <c r="M195" s="4" t="str" cm="1">
        <f t="array" ref="M19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95" s="4" cm="1">
        <f t="array" ref="N19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195" s="4">
        <f>Table156[[#This Row],[Total Amount]]-Table156[[#This Row],[Discount Amount]]</f>
        <v>180</v>
      </c>
      <c r="P195" s="4" t="str">
        <f>IF(Table156[[#This Row],[Total Amount]]&gt;=1000,"High","Low")</f>
        <v>Low</v>
      </c>
      <c r="Q195" s="4" t="str" cm="1">
        <f t="array" ref="Q195">_xlfn.IFS(AND(Table156[[#This Row],[Total Amount]]&gt;=1500,"Critical"),AND(Table156[[#This Row],[Total Amount]]&gt;=1000,"High"),TRUE,"Normal")</f>
        <v>Normal</v>
      </c>
      <c r="R195" s="4">
        <f>COUNTIF(Table156[Gender],"Male")</f>
        <v>490</v>
      </c>
    </row>
    <row r="196" spans="1:18" x14ac:dyDescent="0.35">
      <c r="A196" s="4">
        <v>195</v>
      </c>
      <c r="B196" s="5">
        <v>44962</v>
      </c>
      <c r="C196" s="4" t="s">
        <v>208</v>
      </c>
      <c r="D196" s="4" t="s">
        <v>10</v>
      </c>
      <c r="E196" s="4">
        <v>52</v>
      </c>
      <c r="F196" s="4" t="str">
        <f>IF(Table156[[#This Row],[Age]]&lt;=19,"Teenager",IF(Table156[[#This Row],[Age]]&lt;=40,"Median","Old"))</f>
        <v>Old</v>
      </c>
      <c r="G196" s="4" t="s">
        <v>14</v>
      </c>
      <c r="H196" s="4">
        <v>1</v>
      </c>
      <c r="I196" s="4">
        <v>30</v>
      </c>
      <c r="J196" s="4">
        <v>30</v>
      </c>
      <c r="K196" s="4" t="str" cm="1">
        <f t="array" ref="K196">_xlfn.IFS(AND(Table156[[#This Row],[Total Amount]]&gt;=1500),"Critical",AND(Table156[[#This Row],[Total Amount]]&gt;=1000),"High",TRUE,"Normal")</f>
        <v>Normal</v>
      </c>
      <c r="L196" s="4" t="str">
        <f>IF(Table156[[#This Row],[Total Amount]]&gt;=1000,"High",(IF(Table156[[#This Row],[Total Amount]]&gt;=500,"Medium","Low")))</f>
        <v>Low</v>
      </c>
      <c r="M196" s="4" t="str" cm="1">
        <f t="array" ref="M19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96" s="4" cm="1">
        <f t="array" ref="N19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196" s="4">
        <f>Table156[[#This Row],[Total Amount]]-Table156[[#This Row],[Discount Amount]]</f>
        <v>27</v>
      </c>
      <c r="P196" s="4" t="str">
        <f>IF(Table156[[#This Row],[Total Amount]]&gt;=1000,"High","Low")</f>
        <v>Low</v>
      </c>
      <c r="Q196" s="4" t="str" cm="1">
        <f t="array" ref="Q196">_xlfn.IFS(AND(Table156[[#This Row],[Total Amount]]&gt;=1500,"Critical"),AND(Table156[[#This Row],[Total Amount]]&gt;=1000,"High"),TRUE,"Normal")</f>
        <v>Normal</v>
      </c>
      <c r="R196" s="4">
        <f>COUNTIF(Table156[Gender],"Male")</f>
        <v>490</v>
      </c>
    </row>
    <row r="197" spans="1:18" x14ac:dyDescent="0.35">
      <c r="A197" s="4">
        <v>196</v>
      </c>
      <c r="B197" s="5">
        <v>45199</v>
      </c>
      <c r="C197" s="4" t="s">
        <v>209</v>
      </c>
      <c r="D197" s="4" t="s">
        <v>13</v>
      </c>
      <c r="E197" s="4">
        <v>32</v>
      </c>
      <c r="F197" s="4" t="str">
        <f>IF(Table156[[#This Row],[Age]]&lt;=19,"Teenager",IF(Table156[[#This Row],[Age]]&lt;=40,"Median","Old"))</f>
        <v>Median</v>
      </c>
      <c r="G197" s="4" t="s">
        <v>14</v>
      </c>
      <c r="H197" s="4">
        <v>3</v>
      </c>
      <c r="I197" s="4">
        <v>300</v>
      </c>
      <c r="J197" s="4">
        <v>900</v>
      </c>
      <c r="K197" s="4" t="str" cm="1">
        <f t="array" ref="K197">_xlfn.IFS(AND(Table156[[#This Row],[Total Amount]]&gt;=1500),"Critical",AND(Table156[[#This Row],[Total Amount]]&gt;=1000),"High",TRUE,"Normal")</f>
        <v>Normal</v>
      </c>
      <c r="L197" s="4" t="str">
        <f>IF(Table156[[#This Row],[Total Amount]]&gt;=1000,"High",(IF(Table156[[#This Row],[Total Amount]]&gt;=500,"Medium","Low")))</f>
        <v>Medium</v>
      </c>
      <c r="M197" s="4" t="str" cm="1">
        <f t="array" ref="M19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97" s="4" cm="1">
        <f t="array" ref="N19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135</v>
      </c>
      <c r="O197" s="4">
        <f>Table156[[#This Row],[Total Amount]]-Table156[[#This Row],[Discount Amount]]</f>
        <v>765</v>
      </c>
      <c r="P197" s="4" t="str">
        <f>IF(Table156[[#This Row],[Total Amount]]&gt;=1000,"High","Low")</f>
        <v>Low</v>
      </c>
      <c r="Q197" s="4" t="str" cm="1">
        <f t="array" ref="Q197">_xlfn.IFS(AND(Table156[[#This Row],[Total Amount]]&gt;=1500,"Critical"),AND(Table156[[#This Row],[Total Amount]]&gt;=1000,"High"),TRUE,"Normal")</f>
        <v>Normal</v>
      </c>
      <c r="R197" s="4">
        <f>COUNTIF(Table156[Gender],"Male")</f>
        <v>490</v>
      </c>
    </row>
    <row r="198" spans="1:18" x14ac:dyDescent="0.35">
      <c r="A198" s="4">
        <v>197</v>
      </c>
      <c r="B198" s="5">
        <v>44991</v>
      </c>
      <c r="C198" s="4" t="s">
        <v>210</v>
      </c>
      <c r="D198" s="4" t="s">
        <v>13</v>
      </c>
      <c r="E198" s="4">
        <v>42</v>
      </c>
      <c r="F198" s="4" t="str">
        <f>IF(Table156[[#This Row],[Age]]&lt;=19,"Teenager",IF(Table156[[#This Row],[Age]]&lt;=40,"Median","Old"))</f>
        <v>Old</v>
      </c>
      <c r="G198" s="4" t="s">
        <v>14</v>
      </c>
      <c r="H198" s="4">
        <v>4</v>
      </c>
      <c r="I198" s="4">
        <v>50</v>
      </c>
      <c r="J198" s="4">
        <v>200</v>
      </c>
      <c r="K198" s="4" t="str" cm="1">
        <f t="array" ref="K198">_xlfn.IFS(AND(Table156[[#This Row],[Total Amount]]&gt;=1500),"Critical",AND(Table156[[#This Row],[Total Amount]]&gt;=1000),"High",TRUE,"Normal")</f>
        <v>Normal</v>
      </c>
      <c r="L198" s="4" t="str">
        <f>IF(Table156[[#This Row],[Total Amount]]&gt;=1000,"High",(IF(Table156[[#This Row],[Total Amount]]&gt;=500,"Medium","Low")))</f>
        <v>Low</v>
      </c>
      <c r="M198" s="4" t="str" cm="1">
        <f t="array" ref="M19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98" s="4" cm="1">
        <f t="array" ref="N19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198" s="4">
        <f>Table156[[#This Row],[Total Amount]]-Table156[[#This Row],[Discount Amount]]</f>
        <v>160</v>
      </c>
      <c r="P198" s="4" t="str">
        <f>IF(Table156[[#This Row],[Total Amount]]&gt;=1000,"High","Low")</f>
        <v>Low</v>
      </c>
      <c r="Q198" s="4" t="str" cm="1">
        <f t="array" ref="Q198">_xlfn.IFS(AND(Table156[[#This Row],[Total Amount]]&gt;=1500,"Critical"),AND(Table156[[#This Row],[Total Amount]]&gt;=1000,"High"),TRUE,"Normal")</f>
        <v>Normal</v>
      </c>
      <c r="R198" s="4">
        <f>COUNTIF(Table156[Gender],"Male")</f>
        <v>490</v>
      </c>
    </row>
    <row r="199" spans="1:18" x14ac:dyDescent="0.35">
      <c r="A199" s="4">
        <v>198</v>
      </c>
      <c r="B199" s="5">
        <v>44992</v>
      </c>
      <c r="C199" s="4" t="s">
        <v>211</v>
      </c>
      <c r="D199" s="4" t="s">
        <v>13</v>
      </c>
      <c r="E199" s="4">
        <v>54</v>
      </c>
      <c r="F199" s="4" t="str">
        <f>IF(Table156[[#This Row],[Age]]&lt;=19,"Teenager",IF(Table156[[#This Row],[Age]]&lt;=40,"Median","Old"))</f>
        <v>Old</v>
      </c>
      <c r="G199" s="4" t="s">
        <v>11</v>
      </c>
      <c r="H199" s="4">
        <v>3</v>
      </c>
      <c r="I199" s="4">
        <v>300</v>
      </c>
      <c r="J199" s="4">
        <v>900</v>
      </c>
      <c r="K199" s="4" t="str" cm="1">
        <f t="array" ref="K199">_xlfn.IFS(AND(Table156[[#This Row],[Total Amount]]&gt;=1500),"Critical",AND(Table156[[#This Row],[Total Amount]]&gt;=1000),"High",TRUE,"Normal")</f>
        <v>Normal</v>
      </c>
      <c r="L199" s="4" t="str">
        <f>IF(Table156[[#This Row],[Total Amount]]&gt;=1000,"High",(IF(Table156[[#This Row],[Total Amount]]&gt;=500,"Medium","Low")))</f>
        <v>Medium</v>
      </c>
      <c r="M199" s="4" t="str" cm="1">
        <f t="array" ref="M19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99" s="4" cm="1">
        <f t="array" ref="N19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199" s="4">
        <f>Table156[[#This Row],[Total Amount]]-Table156[[#This Row],[Discount Amount]]</f>
        <v>720</v>
      </c>
      <c r="P199" s="4" t="str">
        <f>IF(Table156[[#This Row],[Total Amount]]&gt;=1000,"High","Low")</f>
        <v>Low</v>
      </c>
      <c r="Q199" s="4" t="str" cm="1">
        <f t="array" ref="Q199">_xlfn.IFS(AND(Table156[[#This Row],[Total Amount]]&gt;=1500,"Critical"),AND(Table156[[#This Row],[Total Amount]]&gt;=1000,"High"),TRUE,"Normal")</f>
        <v>Normal</v>
      </c>
      <c r="R199" s="4">
        <f>COUNTIF(Table156[Gender],"Male")</f>
        <v>490</v>
      </c>
    </row>
    <row r="200" spans="1:18" x14ac:dyDescent="0.35">
      <c r="A200" s="4">
        <v>199</v>
      </c>
      <c r="B200" s="5">
        <v>45264</v>
      </c>
      <c r="C200" s="4" t="s">
        <v>212</v>
      </c>
      <c r="D200" s="4" t="s">
        <v>10</v>
      </c>
      <c r="E200" s="4">
        <v>45</v>
      </c>
      <c r="F200" s="4" t="str">
        <f>IF(Table156[[#This Row],[Age]]&lt;=19,"Teenager",IF(Table156[[#This Row],[Age]]&lt;=40,"Median","Old"))</f>
        <v>Old</v>
      </c>
      <c r="G200" s="4" t="s">
        <v>11</v>
      </c>
      <c r="H200" s="4">
        <v>3</v>
      </c>
      <c r="I200" s="4">
        <v>500</v>
      </c>
      <c r="J200" s="4">
        <v>1500</v>
      </c>
      <c r="K200" s="4" t="str" cm="1">
        <f t="array" ref="K200">_xlfn.IFS(AND(Table156[[#This Row],[Total Amount]]&gt;=1500),"Critical",AND(Table156[[#This Row],[Total Amount]]&gt;=1000),"High",TRUE,"Normal")</f>
        <v>Critical</v>
      </c>
      <c r="L200" s="4" t="str">
        <f>IF(Table156[[#This Row],[Total Amount]]&gt;=1000,"High",(IF(Table156[[#This Row],[Total Amount]]&gt;=500,"Medium","Low")))</f>
        <v>High</v>
      </c>
      <c r="M200" s="4" t="str" cm="1">
        <f t="array" ref="M20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00" s="4" cm="1">
        <f t="array" ref="N20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200" s="4">
        <f>Table156[[#This Row],[Total Amount]]-Table156[[#This Row],[Discount Amount]]</f>
        <v>1350</v>
      </c>
      <c r="P200" s="4" t="str">
        <f>IF(Table156[[#This Row],[Total Amount]]&gt;=1000,"High","Low")</f>
        <v>High</v>
      </c>
      <c r="Q200" s="4" t="b" cm="1">
        <f t="array" ref="Q200">_xlfn.IFS(AND(Table156[[#This Row],[Total Amount]]&gt;=1500,"Critical"),AND(Table156[[#This Row],[Total Amount]]&gt;=1000,"High"),TRUE,"Normal")</f>
        <v>1</v>
      </c>
      <c r="R200" s="4">
        <f>COUNTIF(Table156[Gender],"Male")</f>
        <v>490</v>
      </c>
    </row>
    <row r="201" spans="1:18" x14ac:dyDescent="0.35">
      <c r="A201" s="4">
        <v>200</v>
      </c>
      <c r="B201" s="5">
        <v>45170</v>
      </c>
      <c r="C201" s="4" t="s">
        <v>213</v>
      </c>
      <c r="D201" s="4" t="s">
        <v>10</v>
      </c>
      <c r="E201" s="4">
        <v>27</v>
      </c>
      <c r="F201" s="4" t="str">
        <f>IF(Table156[[#This Row],[Age]]&lt;=19,"Teenager",IF(Table156[[#This Row],[Age]]&lt;=40,"Median","Old"))</f>
        <v>Median</v>
      </c>
      <c r="G201" s="4" t="s">
        <v>11</v>
      </c>
      <c r="H201" s="4">
        <v>3</v>
      </c>
      <c r="I201" s="4">
        <v>50</v>
      </c>
      <c r="J201" s="4">
        <v>150</v>
      </c>
      <c r="K201" s="4" t="str" cm="1">
        <f t="array" ref="K201">_xlfn.IFS(AND(Table156[[#This Row],[Total Amount]]&gt;=1500),"Critical",AND(Table156[[#This Row],[Total Amount]]&gt;=1000),"High",TRUE,"Normal")</f>
        <v>Normal</v>
      </c>
      <c r="L201" s="4" t="str">
        <f>IF(Table156[[#This Row],[Total Amount]]&gt;=1000,"High",(IF(Table156[[#This Row],[Total Amount]]&gt;=500,"Medium","Low")))</f>
        <v>Low</v>
      </c>
      <c r="M201" s="4" t="str" cm="1">
        <f t="array" ref="M20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01" s="4" cm="1">
        <f t="array" ref="N20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22.5</v>
      </c>
      <c r="O201" s="4">
        <f>Table156[[#This Row],[Total Amount]]-Table156[[#This Row],[Discount Amount]]</f>
        <v>127.5</v>
      </c>
      <c r="P201" s="4" t="str">
        <f>IF(Table156[[#This Row],[Total Amount]]&gt;=1000,"High","Low")</f>
        <v>Low</v>
      </c>
      <c r="Q201" s="4" t="str" cm="1">
        <f t="array" ref="Q201">_xlfn.IFS(AND(Table156[[#This Row],[Total Amount]]&gt;=1500,"Critical"),AND(Table156[[#This Row],[Total Amount]]&gt;=1000,"High"),TRUE,"Normal")</f>
        <v>Normal</v>
      </c>
      <c r="R201" s="4">
        <f>COUNTIF(Table156[Gender],"Male")</f>
        <v>490</v>
      </c>
    </row>
    <row r="202" spans="1:18" x14ac:dyDescent="0.35">
      <c r="A202" s="4">
        <v>201</v>
      </c>
      <c r="B202" s="5">
        <v>45208</v>
      </c>
      <c r="C202" s="4" t="s">
        <v>214</v>
      </c>
      <c r="D202" s="4" t="s">
        <v>10</v>
      </c>
      <c r="E202" s="4">
        <v>56</v>
      </c>
      <c r="F202" s="4" t="str">
        <f>IF(Table156[[#This Row],[Age]]&lt;=19,"Teenager",IF(Table156[[#This Row],[Age]]&lt;=40,"Median","Old"))</f>
        <v>Old</v>
      </c>
      <c r="G202" s="4" t="s">
        <v>16</v>
      </c>
      <c r="H202" s="4">
        <v>1</v>
      </c>
      <c r="I202" s="4">
        <v>25</v>
      </c>
      <c r="J202" s="4">
        <v>25</v>
      </c>
      <c r="K202" s="4" t="str" cm="1">
        <f t="array" ref="K202">_xlfn.IFS(AND(Table156[[#This Row],[Total Amount]]&gt;=1500),"Critical",AND(Table156[[#This Row],[Total Amount]]&gt;=1000),"High",TRUE,"Normal")</f>
        <v>Normal</v>
      </c>
      <c r="L202" s="4" t="str">
        <f>IF(Table156[[#This Row],[Total Amount]]&gt;=1000,"High",(IF(Table156[[#This Row],[Total Amount]]&gt;=500,"Medium","Low")))</f>
        <v>Low</v>
      </c>
      <c r="M202" s="4" t="str" cm="1">
        <f t="array" ref="M20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02" s="4" cm="1">
        <f t="array" ref="N20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202" s="4">
        <f>Table156[[#This Row],[Total Amount]]-Table156[[#This Row],[Discount Amount]]</f>
        <v>22.5</v>
      </c>
      <c r="P202" s="4" t="str">
        <f>IF(Table156[[#This Row],[Total Amount]]&gt;=1000,"High","Low")</f>
        <v>Low</v>
      </c>
      <c r="Q202" s="4" t="str" cm="1">
        <f t="array" ref="Q202">_xlfn.IFS(AND(Table156[[#This Row],[Total Amount]]&gt;=1500,"Critical"),AND(Table156[[#This Row],[Total Amount]]&gt;=1000,"High"),TRUE,"Normal")</f>
        <v>Normal</v>
      </c>
      <c r="R202" s="4">
        <f>COUNTIF(Table156[Gender],"Male")</f>
        <v>490</v>
      </c>
    </row>
    <row r="203" spans="1:18" x14ac:dyDescent="0.35">
      <c r="A203" s="4">
        <v>202</v>
      </c>
      <c r="B203" s="5">
        <v>45011</v>
      </c>
      <c r="C203" s="4" t="s">
        <v>215</v>
      </c>
      <c r="D203" s="4" t="s">
        <v>13</v>
      </c>
      <c r="E203" s="4">
        <v>34</v>
      </c>
      <c r="F203" s="4" t="str">
        <f>IF(Table156[[#This Row],[Age]]&lt;=19,"Teenager",IF(Table156[[#This Row],[Age]]&lt;=40,"Median","Old"))</f>
        <v>Median</v>
      </c>
      <c r="G203" s="4" t="s">
        <v>14</v>
      </c>
      <c r="H203" s="4">
        <v>4</v>
      </c>
      <c r="I203" s="4">
        <v>300</v>
      </c>
      <c r="J203" s="4">
        <v>1200</v>
      </c>
      <c r="K203" s="4" t="str" cm="1">
        <f t="array" ref="K203">_xlfn.IFS(AND(Table156[[#This Row],[Total Amount]]&gt;=1500),"Critical",AND(Table156[[#This Row],[Total Amount]]&gt;=1000),"High",TRUE,"Normal")</f>
        <v>High</v>
      </c>
      <c r="L203" s="4" t="str">
        <f>IF(Table156[[#This Row],[Total Amount]]&gt;=1000,"High",(IF(Table156[[#This Row],[Total Amount]]&gt;=500,"Medium","Low")))</f>
        <v>High</v>
      </c>
      <c r="M203" s="4" t="str" cm="1">
        <f t="array" ref="M20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03" s="4" cm="1">
        <f t="array" ref="N20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203" s="4">
        <f>Table156[[#This Row],[Total Amount]]-Table156[[#This Row],[Discount Amount]]</f>
        <v>1020</v>
      </c>
      <c r="P203" s="4" t="str">
        <f>IF(Table156[[#This Row],[Total Amount]]&gt;=1000,"High","Low")</f>
        <v>High</v>
      </c>
      <c r="Q203" s="4" t="str" cm="1">
        <f t="array" ref="Q203">_xlfn.IFS(AND(Table156[[#This Row],[Total Amount]]&gt;=1500,"Critical"),AND(Table156[[#This Row],[Total Amount]]&gt;=1000,"High"),TRUE,"Normal")</f>
        <v>Normal</v>
      </c>
      <c r="R203" s="4">
        <f>COUNTIF(Table156[Gender],"Male")</f>
        <v>490</v>
      </c>
    </row>
    <row r="204" spans="1:18" x14ac:dyDescent="0.35">
      <c r="A204" s="4">
        <v>203</v>
      </c>
      <c r="B204" s="5">
        <v>45062</v>
      </c>
      <c r="C204" s="4" t="s">
        <v>216</v>
      </c>
      <c r="D204" s="4" t="s">
        <v>10</v>
      </c>
      <c r="E204" s="4">
        <v>56</v>
      </c>
      <c r="F204" s="4" t="str">
        <f>IF(Table156[[#This Row],[Age]]&lt;=19,"Teenager",IF(Table156[[#This Row],[Age]]&lt;=40,"Median","Old"))</f>
        <v>Old</v>
      </c>
      <c r="G204" s="4" t="s">
        <v>14</v>
      </c>
      <c r="H204" s="4">
        <v>2</v>
      </c>
      <c r="I204" s="4">
        <v>500</v>
      </c>
      <c r="J204" s="4">
        <v>1000</v>
      </c>
      <c r="K204" s="4" t="str" cm="1">
        <f t="array" ref="K204">_xlfn.IFS(AND(Table156[[#This Row],[Total Amount]]&gt;=1500),"Critical",AND(Table156[[#This Row],[Total Amount]]&gt;=1000),"High",TRUE,"Normal")</f>
        <v>High</v>
      </c>
      <c r="L204" s="4" t="str">
        <f>IF(Table156[[#This Row],[Total Amount]]&gt;=1000,"High",(IF(Table156[[#This Row],[Total Amount]]&gt;=500,"Medium","Low")))</f>
        <v>High</v>
      </c>
      <c r="M204" s="4" t="str" cm="1">
        <f t="array" ref="M20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04" s="4" cm="1">
        <f t="array" ref="N20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204" s="4">
        <f>Table156[[#This Row],[Total Amount]]-Table156[[#This Row],[Discount Amount]]</f>
        <v>900</v>
      </c>
      <c r="P204" s="4" t="str">
        <f>IF(Table156[[#This Row],[Total Amount]]&gt;=1000,"High","Low")</f>
        <v>High</v>
      </c>
      <c r="Q204" s="4" t="str" cm="1">
        <f t="array" ref="Q204">_xlfn.IFS(AND(Table156[[#This Row],[Total Amount]]&gt;=1500,"Critical"),AND(Table156[[#This Row],[Total Amount]]&gt;=1000,"High"),TRUE,"Normal")</f>
        <v>Normal</v>
      </c>
      <c r="R204" s="4">
        <f>COUNTIF(Table156[Gender],"Male")</f>
        <v>490</v>
      </c>
    </row>
    <row r="205" spans="1:18" x14ac:dyDescent="0.35">
      <c r="A205" s="4">
        <v>204</v>
      </c>
      <c r="B205" s="5">
        <v>45197</v>
      </c>
      <c r="C205" s="4" t="s">
        <v>217</v>
      </c>
      <c r="D205" s="4" t="s">
        <v>10</v>
      </c>
      <c r="E205" s="4">
        <v>39</v>
      </c>
      <c r="F205" s="4" t="str">
        <f>IF(Table156[[#This Row],[Age]]&lt;=19,"Teenager",IF(Table156[[#This Row],[Age]]&lt;=40,"Median","Old"))</f>
        <v>Median</v>
      </c>
      <c r="G205" s="4" t="s">
        <v>11</v>
      </c>
      <c r="H205" s="4">
        <v>1</v>
      </c>
      <c r="I205" s="4">
        <v>25</v>
      </c>
      <c r="J205" s="4">
        <v>25</v>
      </c>
      <c r="K205" s="4" t="str" cm="1">
        <f t="array" ref="K205">_xlfn.IFS(AND(Table156[[#This Row],[Total Amount]]&gt;=1500),"Critical",AND(Table156[[#This Row],[Total Amount]]&gt;=1000),"High",TRUE,"Normal")</f>
        <v>Normal</v>
      </c>
      <c r="L205" s="4" t="str">
        <f>IF(Table156[[#This Row],[Total Amount]]&gt;=1000,"High",(IF(Table156[[#This Row],[Total Amount]]&gt;=500,"Medium","Low")))</f>
        <v>Low</v>
      </c>
      <c r="M205" s="4" t="str" cm="1">
        <f t="array" ref="M20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05" s="4" cm="1">
        <f t="array" ref="N20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205" s="4">
        <f>Table156[[#This Row],[Total Amount]]-Table156[[#This Row],[Discount Amount]]</f>
        <v>22.5</v>
      </c>
      <c r="P205" s="4" t="str">
        <f>IF(Table156[[#This Row],[Total Amount]]&gt;=1000,"High","Low")</f>
        <v>Low</v>
      </c>
      <c r="Q205" s="4" t="str" cm="1">
        <f t="array" ref="Q205">_xlfn.IFS(AND(Table156[[#This Row],[Total Amount]]&gt;=1500,"Critical"),AND(Table156[[#This Row],[Total Amount]]&gt;=1000,"High"),TRUE,"Normal")</f>
        <v>Normal</v>
      </c>
      <c r="R205" s="4">
        <f>COUNTIF(Table156[Gender],"Male")</f>
        <v>490</v>
      </c>
    </row>
    <row r="206" spans="1:18" x14ac:dyDescent="0.35">
      <c r="A206" s="4">
        <v>205</v>
      </c>
      <c r="B206" s="5">
        <v>45237</v>
      </c>
      <c r="C206" s="4" t="s">
        <v>218</v>
      </c>
      <c r="D206" s="4" t="s">
        <v>13</v>
      </c>
      <c r="E206" s="4">
        <v>43</v>
      </c>
      <c r="F206" s="4" t="str">
        <f>IF(Table156[[#This Row],[Age]]&lt;=19,"Teenager",IF(Table156[[#This Row],[Age]]&lt;=40,"Median","Old"))</f>
        <v>Old</v>
      </c>
      <c r="G206" s="4" t="s">
        <v>14</v>
      </c>
      <c r="H206" s="4">
        <v>1</v>
      </c>
      <c r="I206" s="4">
        <v>25</v>
      </c>
      <c r="J206" s="4">
        <v>25</v>
      </c>
      <c r="K206" s="4" t="str" cm="1">
        <f t="array" ref="K206">_xlfn.IFS(AND(Table156[[#This Row],[Total Amount]]&gt;=1500),"Critical",AND(Table156[[#This Row],[Total Amount]]&gt;=1000),"High",TRUE,"Normal")</f>
        <v>Normal</v>
      </c>
      <c r="L206" s="4" t="str">
        <f>IF(Table156[[#This Row],[Total Amount]]&gt;=1000,"High",(IF(Table156[[#This Row],[Total Amount]]&gt;=500,"Medium","Low")))</f>
        <v>Low</v>
      </c>
      <c r="M206" s="4" t="str" cm="1">
        <f t="array" ref="M20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06" s="4" cm="1">
        <f t="array" ref="N20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206" s="4">
        <f>Table156[[#This Row],[Total Amount]]-Table156[[#This Row],[Discount Amount]]</f>
        <v>20</v>
      </c>
      <c r="P206" s="4" t="str">
        <f>IF(Table156[[#This Row],[Total Amount]]&gt;=1000,"High","Low")</f>
        <v>Low</v>
      </c>
      <c r="Q206" s="4" t="str" cm="1">
        <f t="array" ref="Q206">_xlfn.IFS(AND(Table156[[#This Row],[Total Amount]]&gt;=1500,"Critical"),AND(Table156[[#This Row],[Total Amount]]&gt;=1000,"High"),TRUE,"Normal")</f>
        <v>Normal</v>
      </c>
      <c r="R206" s="4">
        <f>COUNTIF(Table156[Gender],"Male")</f>
        <v>490</v>
      </c>
    </row>
    <row r="207" spans="1:18" x14ac:dyDescent="0.35">
      <c r="A207" s="4">
        <v>206</v>
      </c>
      <c r="B207" s="5">
        <v>45143</v>
      </c>
      <c r="C207" s="4" t="s">
        <v>219</v>
      </c>
      <c r="D207" s="4" t="s">
        <v>10</v>
      </c>
      <c r="E207" s="4">
        <v>61</v>
      </c>
      <c r="F207" s="4" t="str">
        <f>IF(Table156[[#This Row],[Age]]&lt;=19,"Teenager",IF(Table156[[#This Row],[Age]]&lt;=40,"Median","Old"))</f>
        <v>Old</v>
      </c>
      <c r="G207" s="4" t="s">
        <v>14</v>
      </c>
      <c r="H207" s="4">
        <v>1</v>
      </c>
      <c r="I207" s="4">
        <v>25</v>
      </c>
      <c r="J207" s="4">
        <v>25</v>
      </c>
      <c r="K207" s="4" t="str" cm="1">
        <f t="array" ref="K207">_xlfn.IFS(AND(Table156[[#This Row],[Total Amount]]&gt;=1500),"Critical",AND(Table156[[#This Row],[Total Amount]]&gt;=1000),"High",TRUE,"Normal")</f>
        <v>Normal</v>
      </c>
      <c r="L207" s="4" t="str">
        <f>IF(Table156[[#This Row],[Total Amount]]&gt;=1000,"High",(IF(Table156[[#This Row],[Total Amount]]&gt;=500,"Medium","Low")))</f>
        <v>Low</v>
      </c>
      <c r="M207" s="4" t="str" cm="1">
        <f t="array" ref="M20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07" s="4" cm="1">
        <f t="array" ref="N20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207" s="4">
        <f>Table156[[#This Row],[Total Amount]]-Table156[[#This Row],[Discount Amount]]</f>
        <v>22.5</v>
      </c>
      <c r="P207" s="4" t="str">
        <f>IF(Table156[[#This Row],[Total Amount]]&gt;=1000,"High","Low")</f>
        <v>Low</v>
      </c>
      <c r="Q207" s="4" t="str" cm="1">
        <f t="array" ref="Q207">_xlfn.IFS(AND(Table156[[#This Row],[Total Amount]]&gt;=1500,"Critical"),AND(Table156[[#This Row],[Total Amount]]&gt;=1000,"High"),TRUE,"Normal")</f>
        <v>Normal</v>
      </c>
      <c r="R207" s="4">
        <f>COUNTIF(Table156[Gender],"Male")</f>
        <v>490</v>
      </c>
    </row>
    <row r="208" spans="1:18" x14ac:dyDescent="0.35">
      <c r="A208" s="4">
        <v>207</v>
      </c>
      <c r="B208" s="5">
        <v>45035</v>
      </c>
      <c r="C208" s="4" t="s">
        <v>220</v>
      </c>
      <c r="D208" s="4" t="s">
        <v>13</v>
      </c>
      <c r="E208" s="4">
        <v>42</v>
      </c>
      <c r="F208" s="4" t="str">
        <f>IF(Table156[[#This Row],[Age]]&lt;=19,"Teenager",IF(Table156[[#This Row],[Age]]&lt;=40,"Median","Old"))</f>
        <v>Old</v>
      </c>
      <c r="G208" s="4" t="s">
        <v>11</v>
      </c>
      <c r="H208" s="4">
        <v>2</v>
      </c>
      <c r="I208" s="4">
        <v>25</v>
      </c>
      <c r="J208" s="4">
        <v>50</v>
      </c>
      <c r="K208" s="4" t="str" cm="1">
        <f t="array" ref="K208">_xlfn.IFS(AND(Table156[[#This Row],[Total Amount]]&gt;=1500),"Critical",AND(Table156[[#This Row],[Total Amount]]&gt;=1000),"High",TRUE,"Normal")</f>
        <v>Normal</v>
      </c>
      <c r="L208" s="4" t="str">
        <f>IF(Table156[[#This Row],[Total Amount]]&gt;=1000,"High",(IF(Table156[[#This Row],[Total Amount]]&gt;=500,"Medium","Low")))</f>
        <v>Low</v>
      </c>
      <c r="M208" s="4" t="str" cm="1">
        <f t="array" ref="M20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08" s="4" cm="1">
        <f t="array" ref="N20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208" s="4">
        <f>Table156[[#This Row],[Total Amount]]-Table156[[#This Row],[Discount Amount]]</f>
        <v>40</v>
      </c>
      <c r="P208" s="4" t="str">
        <f>IF(Table156[[#This Row],[Total Amount]]&gt;=1000,"High","Low")</f>
        <v>Low</v>
      </c>
      <c r="Q208" s="4" t="str" cm="1">
        <f t="array" ref="Q208">_xlfn.IFS(AND(Table156[[#This Row],[Total Amount]]&gt;=1500,"Critical"),AND(Table156[[#This Row],[Total Amount]]&gt;=1000,"High"),TRUE,"Normal")</f>
        <v>Normal</v>
      </c>
      <c r="R208" s="4">
        <f>COUNTIF(Table156[Gender],"Male")</f>
        <v>490</v>
      </c>
    </row>
    <row r="209" spans="1:18" x14ac:dyDescent="0.35">
      <c r="A209" s="4">
        <v>208</v>
      </c>
      <c r="B209" s="5">
        <v>45203</v>
      </c>
      <c r="C209" s="4" t="s">
        <v>221</v>
      </c>
      <c r="D209" s="4" t="s">
        <v>13</v>
      </c>
      <c r="E209" s="4">
        <v>34</v>
      </c>
      <c r="F209" s="4" t="str">
        <f>IF(Table156[[#This Row],[Age]]&lt;=19,"Teenager",IF(Table156[[#This Row],[Age]]&lt;=40,"Median","Old"))</f>
        <v>Median</v>
      </c>
      <c r="G209" s="4" t="s">
        <v>16</v>
      </c>
      <c r="H209" s="4">
        <v>4</v>
      </c>
      <c r="I209" s="4">
        <v>50</v>
      </c>
      <c r="J209" s="4">
        <v>200</v>
      </c>
      <c r="K209" s="4" t="str" cm="1">
        <f t="array" ref="K209">_xlfn.IFS(AND(Table156[[#This Row],[Total Amount]]&gt;=1500),"Critical",AND(Table156[[#This Row],[Total Amount]]&gt;=1000),"High",TRUE,"Normal")</f>
        <v>Normal</v>
      </c>
      <c r="L209" s="4" t="str">
        <f>IF(Table156[[#This Row],[Total Amount]]&gt;=1000,"High",(IF(Table156[[#This Row],[Total Amount]]&gt;=500,"Medium","Low")))</f>
        <v>Low</v>
      </c>
      <c r="M209" s="4" t="str" cm="1">
        <f t="array" ref="M20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09" s="4" cm="1">
        <f t="array" ref="N20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209" s="4">
        <f>Table156[[#This Row],[Total Amount]]-Table156[[#This Row],[Discount Amount]]</f>
        <v>170</v>
      </c>
      <c r="P209" s="4" t="str">
        <f>IF(Table156[[#This Row],[Total Amount]]&gt;=1000,"High","Low")</f>
        <v>Low</v>
      </c>
      <c r="Q209" s="4" t="str" cm="1">
        <f t="array" ref="Q209">_xlfn.IFS(AND(Table156[[#This Row],[Total Amount]]&gt;=1500,"Critical"),AND(Table156[[#This Row],[Total Amount]]&gt;=1000,"High"),TRUE,"Normal")</f>
        <v>Normal</v>
      </c>
      <c r="R209" s="4">
        <f>COUNTIF(Table156[Gender],"Male")</f>
        <v>490</v>
      </c>
    </row>
    <row r="210" spans="1:18" x14ac:dyDescent="0.35">
      <c r="A210" s="4">
        <v>209</v>
      </c>
      <c r="B210" s="5">
        <v>45280</v>
      </c>
      <c r="C210" s="4" t="s">
        <v>222</v>
      </c>
      <c r="D210" s="4" t="s">
        <v>13</v>
      </c>
      <c r="E210" s="4">
        <v>30</v>
      </c>
      <c r="F210" s="4" t="str">
        <f>IF(Table156[[#This Row],[Age]]&lt;=19,"Teenager",IF(Table156[[#This Row],[Age]]&lt;=40,"Median","Old"))</f>
        <v>Median</v>
      </c>
      <c r="G210" s="4" t="s">
        <v>16</v>
      </c>
      <c r="H210" s="4">
        <v>4</v>
      </c>
      <c r="I210" s="4">
        <v>50</v>
      </c>
      <c r="J210" s="4">
        <v>200</v>
      </c>
      <c r="K210" s="4" t="str" cm="1">
        <f t="array" ref="K210">_xlfn.IFS(AND(Table156[[#This Row],[Total Amount]]&gt;=1500),"Critical",AND(Table156[[#This Row],[Total Amount]]&gt;=1000),"High",TRUE,"Normal")</f>
        <v>Normal</v>
      </c>
      <c r="L210" s="4" t="str">
        <f>IF(Table156[[#This Row],[Total Amount]]&gt;=1000,"High",(IF(Table156[[#This Row],[Total Amount]]&gt;=500,"Medium","Low")))</f>
        <v>Low</v>
      </c>
      <c r="M210" s="4" t="str" cm="1">
        <f t="array" ref="M21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10" s="4" cm="1">
        <f t="array" ref="N21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210" s="4">
        <f>Table156[[#This Row],[Total Amount]]-Table156[[#This Row],[Discount Amount]]</f>
        <v>170</v>
      </c>
      <c r="P210" s="4" t="str">
        <f>IF(Table156[[#This Row],[Total Amount]]&gt;=1000,"High","Low")</f>
        <v>Low</v>
      </c>
      <c r="Q210" s="4" t="str" cm="1">
        <f t="array" ref="Q210">_xlfn.IFS(AND(Table156[[#This Row],[Total Amount]]&gt;=1500,"Critical"),AND(Table156[[#This Row],[Total Amount]]&gt;=1000,"High"),TRUE,"Normal")</f>
        <v>Normal</v>
      </c>
      <c r="R210" s="4">
        <f>COUNTIF(Table156[Gender],"Male")</f>
        <v>490</v>
      </c>
    </row>
    <row r="211" spans="1:18" x14ac:dyDescent="0.35">
      <c r="A211" s="4">
        <v>210</v>
      </c>
      <c r="B211" s="5">
        <v>45029</v>
      </c>
      <c r="C211" s="4" t="s">
        <v>223</v>
      </c>
      <c r="D211" s="4" t="s">
        <v>10</v>
      </c>
      <c r="E211" s="4">
        <v>37</v>
      </c>
      <c r="F211" s="4" t="str">
        <f>IF(Table156[[#This Row],[Age]]&lt;=19,"Teenager",IF(Table156[[#This Row],[Age]]&lt;=40,"Median","Old"))</f>
        <v>Median</v>
      </c>
      <c r="G211" s="4" t="s">
        <v>16</v>
      </c>
      <c r="H211" s="4">
        <v>4</v>
      </c>
      <c r="I211" s="4">
        <v>50</v>
      </c>
      <c r="J211" s="4">
        <v>200</v>
      </c>
      <c r="K211" s="4" t="str" cm="1">
        <f t="array" ref="K211">_xlfn.IFS(AND(Table156[[#This Row],[Total Amount]]&gt;=1500),"Critical",AND(Table156[[#This Row],[Total Amount]]&gt;=1000),"High",TRUE,"Normal")</f>
        <v>Normal</v>
      </c>
      <c r="L211" s="4" t="str">
        <f>IF(Table156[[#This Row],[Total Amount]]&gt;=1000,"High",(IF(Table156[[#This Row],[Total Amount]]&gt;=500,"Medium","Low")))</f>
        <v>Low</v>
      </c>
      <c r="M211" s="4" t="str" cm="1">
        <f t="array" ref="M21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11" s="4" cm="1">
        <f t="array" ref="N21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211" s="4">
        <f>Table156[[#This Row],[Total Amount]]-Table156[[#This Row],[Discount Amount]]</f>
        <v>180</v>
      </c>
      <c r="P211" s="4" t="str">
        <f>IF(Table156[[#This Row],[Total Amount]]&gt;=1000,"High","Low")</f>
        <v>Low</v>
      </c>
      <c r="Q211" s="4" t="str" cm="1">
        <f t="array" ref="Q211">_xlfn.IFS(AND(Table156[[#This Row],[Total Amount]]&gt;=1500,"Critical"),AND(Table156[[#This Row],[Total Amount]]&gt;=1000,"High"),TRUE,"Normal")</f>
        <v>Normal</v>
      </c>
      <c r="R211" s="4">
        <f>COUNTIF(Table156[Gender],"Male")</f>
        <v>490</v>
      </c>
    </row>
    <row r="212" spans="1:18" x14ac:dyDescent="0.35">
      <c r="A212" s="4">
        <v>211</v>
      </c>
      <c r="B212" s="5">
        <v>45292</v>
      </c>
      <c r="C212" s="4" t="s">
        <v>224</v>
      </c>
      <c r="D212" s="4" t="s">
        <v>10</v>
      </c>
      <c r="E212" s="4">
        <v>42</v>
      </c>
      <c r="F212" s="4" t="str">
        <f>IF(Table156[[#This Row],[Age]]&lt;=19,"Teenager",IF(Table156[[#This Row],[Age]]&lt;=40,"Median","Old"))</f>
        <v>Old</v>
      </c>
      <c r="G212" s="4" t="s">
        <v>11</v>
      </c>
      <c r="H212" s="4">
        <v>3</v>
      </c>
      <c r="I212" s="4">
        <v>500</v>
      </c>
      <c r="J212" s="4">
        <v>1500</v>
      </c>
      <c r="K212" s="4" t="str" cm="1">
        <f t="array" ref="K212">_xlfn.IFS(AND(Table156[[#This Row],[Total Amount]]&gt;=1500),"Critical",AND(Table156[[#This Row],[Total Amount]]&gt;=1000),"High",TRUE,"Normal")</f>
        <v>Critical</v>
      </c>
      <c r="L212" s="4" t="str">
        <f>IF(Table156[[#This Row],[Total Amount]]&gt;=1000,"High",(IF(Table156[[#This Row],[Total Amount]]&gt;=500,"Medium","Low")))</f>
        <v>High</v>
      </c>
      <c r="M212" s="4" t="str" cm="1">
        <f t="array" ref="M21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12" s="4" cm="1">
        <f t="array" ref="N21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212" s="4">
        <f>Table156[[#This Row],[Total Amount]]-Table156[[#This Row],[Discount Amount]]</f>
        <v>1350</v>
      </c>
      <c r="P212" s="4" t="str">
        <f>IF(Table156[[#This Row],[Total Amount]]&gt;=1000,"High","Low")</f>
        <v>High</v>
      </c>
      <c r="Q212" s="4" t="b" cm="1">
        <f t="array" ref="Q212">_xlfn.IFS(AND(Table156[[#This Row],[Total Amount]]&gt;=1500,"Critical"),AND(Table156[[#This Row],[Total Amount]]&gt;=1000,"High"),TRUE,"Normal")</f>
        <v>1</v>
      </c>
      <c r="R212" s="4">
        <f>COUNTIF(Table156[Gender],"Male")</f>
        <v>490</v>
      </c>
    </row>
    <row r="213" spans="1:18" x14ac:dyDescent="0.35">
      <c r="A213" s="4">
        <v>212</v>
      </c>
      <c r="B213" s="5">
        <v>45086</v>
      </c>
      <c r="C213" s="4" t="s">
        <v>225</v>
      </c>
      <c r="D213" s="4" t="s">
        <v>10</v>
      </c>
      <c r="E213" s="4">
        <v>21</v>
      </c>
      <c r="F213" s="4" t="str">
        <f>IF(Table156[[#This Row],[Age]]&lt;=19,"Teenager",IF(Table156[[#This Row],[Age]]&lt;=40,"Median","Old"))</f>
        <v>Median</v>
      </c>
      <c r="G213" s="4" t="s">
        <v>14</v>
      </c>
      <c r="H213" s="4">
        <v>3</v>
      </c>
      <c r="I213" s="4">
        <v>500</v>
      </c>
      <c r="J213" s="4">
        <v>1500</v>
      </c>
      <c r="K213" s="4" t="str" cm="1">
        <f t="array" ref="K213">_xlfn.IFS(AND(Table156[[#This Row],[Total Amount]]&gt;=1500),"Critical",AND(Table156[[#This Row],[Total Amount]]&gt;=1000),"High",TRUE,"Normal")</f>
        <v>Critical</v>
      </c>
      <c r="L213" s="4" t="str">
        <f>IF(Table156[[#This Row],[Total Amount]]&gt;=1000,"High",(IF(Table156[[#This Row],[Total Amount]]&gt;=500,"Medium","Low")))</f>
        <v>High</v>
      </c>
      <c r="M213" s="4" t="str" cm="1">
        <f t="array" ref="M21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13" s="4" cm="1">
        <f t="array" ref="N21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13" s="4">
        <f>Table156[[#This Row],[Total Amount]]-Table156[[#This Row],[Discount Amount]]</f>
        <v>1500</v>
      </c>
      <c r="P213" s="4" t="str">
        <f>IF(Table156[[#This Row],[Total Amount]]&gt;=1000,"High","Low")</f>
        <v>High</v>
      </c>
      <c r="Q213" s="4" t="b" cm="1">
        <f t="array" ref="Q213">_xlfn.IFS(AND(Table156[[#This Row],[Total Amount]]&gt;=1500,"Critical"),AND(Table156[[#This Row],[Total Amount]]&gt;=1000,"High"),TRUE,"Normal")</f>
        <v>1</v>
      </c>
      <c r="R213" s="4">
        <f>COUNTIF(Table156[Gender],"Male")</f>
        <v>490</v>
      </c>
    </row>
    <row r="214" spans="1:18" x14ac:dyDescent="0.35">
      <c r="A214" s="4">
        <v>213</v>
      </c>
      <c r="B214" s="5">
        <v>45131</v>
      </c>
      <c r="C214" s="4" t="s">
        <v>226</v>
      </c>
      <c r="D214" s="4" t="s">
        <v>10</v>
      </c>
      <c r="E214" s="4">
        <v>27</v>
      </c>
      <c r="F214" s="4" t="str">
        <f>IF(Table156[[#This Row],[Age]]&lt;=19,"Teenager",IF(Table156[[#This Row],[Age]]&lt;=40,"Median","Old"))</f>
        <v>Median</v>
      </c>
      <c r="G214" s="4" t="s">
        <v>11</v>
      </c>
      <c r="H214" s="4">
        <v>3</v>
      </c>
      <c r="I214" s="4">
        <v>500</v>
      </c>
      <c r="J214" s="4">
        <v>1500</v>
      </c>
      <c r="K214" s="4" t="str" cm="1">
        <f t="array" ref="K214">_xlfn.IFS(AND(Table156[[#This Row],[Total Amount]]&gt;=1500),"Critical",AND(Table156[[#This Row],[Total Amount]]&gt;=1000),"High",TRUE,"Normal")</f>
        <v>Critical</v>
      </c>
      <c r="L214" s="4" t="str">
        <f>IF(Table156[[#This Row],[Total Amount]]&gt;=1000,"High",(IF(Table156[[#This Row],[Total Amount]]&gt;=500,"Medium","Low")))</f>
        <v>High</v>
      </c>
      <c r="M214" s="4" t="str" cm="1">
        <f t="array" ref="M21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14" s="4" cm="1">
        <f t="array" ref="N21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225</v>
      </c>
      <c r="O214" s="4">
        <f>Table156[[#This Row],[Total Amount]]-Table156[[#This Row],[Discount Amount]]</f>
        <v>1275</v>
      </c>
      <c r="P214" s="4" t="str">
        <f>IF(Table156[[#This Row],[Total Amount]]&gt;=1000,"High","Low")</f>
        <v>High</v>
      </c>
      <c r="Q214" s="4" t="b" cm="1">
        <f t="array" ref="Q214">_xlfn.IFS(AND(Table156[[#This Row],[Total Amount]]&gt;=1500,"Critical"),AND(Table156[[#This Row],[Total Amount]]&gt;=1000,"High"),TRUE,"Normal")</f>
        <v>1</v>
      </c>
      <c r="R214" s="4">
        <f>COUNTIF(Table156[Gender],"Male")</f>
        <v>490</v>
      </c>
    </row>
    <row r="215" spans="1:18" x14ac:dyDescent="0.35">
      <c r="A215" s="4">
        <v>214</v>
      </c>
      <c r="B215" s="5">
        <v>45270</v>
      </c>
      <c r="C215" s="4" t="s">
        <v>227</v>
      </c>
      <c r="D215" s="4" t="s">
        <v>10</v>
      </c>
      <c r="E215" s="4">
        <v>20</v>
      </c>
      <c r="F215" s="4" t="str">
        <f>IF(Table156[[#This Row],[Age]]&lt;=19,"Teenager",IF(Table156[[#This Row],[Age]]&lt;=40,"Median","Old"))</f>
        <v>Median</v>
      </c>
      <c r="G215" s="4" t="s">
        <v>11</v>
      </c>
      <c r="H215" s="4">
        <v>2</v>
      </c>
      <c r="I215" s="4">
        <v>30</v>
      </c>
      <c r="J215" s="4">
        <v>60</v>
      </c>
      <c r="K215" s="4" t="str" cm="1">
        <f t="array" ref="K215">_xlfn.IFS(AND(Table156[[#This Row],[Total Amount]]&gt;=1500),"Critical",AND(Table156[[#This Row],[Total Amount]]&gt;=1000),"High",TRUE,"Normal")</f>
        <v>Normal</v>
      </c>
      <c r="L215" s="4" t="str">
        <f>IF(Table156[[#This Row],[Total Amount]]&gt;=1000,"High",(IF(Table156[[#This Row],[Total Amount]]&gt;=500,"Medium","Low")))</f>
        <v>Low</v>
      </c>
      <c r="M215" s="4" t="str" cm="1">
        <f t="array" ref="M21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15" s="4" cm="1">
        <f t="array" ref="N21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15" s="4">
        <f>Table156[[#This Row],[Total Amount]]-Table156[[#This Row],[Discount Amount]]</f>
        <v>60</v>
      </c>
      <c r="P215" s="4" t="str">
        <f>IF(Table156[[#This Row],[Total Amount]]&gt;=1000,"High","Low")</f>
        <v>Low</v>
      </c>
      <c r="Q215" s="4" t="str" cm="1">
        <f t="array" ref="Q215">_xlfn.IFS(AND(Table156[[#This Row],[Total Amount]]&gt;=1500,"Critical"),AND(Table156[[#This Row],[Total Amount]]&gt;=1000,"High"),TRUE,"Normal")</f>
        <v>Normal</v>
      </c>
      <c r="R215" s="4">
        <f>COUNTIF(Table156[Gender],"Male")</f>
        <v>490</v>
      </c>
    </row>
    <row r="216" spans="1:18" x14ac:dyDescent="0.35">
      <c r="A216" s="4">
        <v>215</v>
      </c>
      <c r="B216" s="5">
        <v>45259</v>
      </c>
      <c r="C216" s="4" t="s">
        <v>228</v>
      </c>
      <c r="D216" s="4" t="s">
        <v>10</v>
      </c>
      <c r="E216" s="4">
        <v>58</v>
      </c>
      <c r="F216" s="4" t="str">
        <f>IF(Table156[[#This Row],[Age]]&lt;=19,"Teenager",IF(Table156[[#This Row],[Age]]&lt;=40,"Median","Old"))</f>
        <v>Old</v>
      </c>
      <c r="G216" s="4" t="s">
        <v>14</v>
      </c>
      <c r="H216" s="4">
        <v>3</v>
      </c>
      <c r="I216" s="4">
        <v>500</v>
      </c>
      <c r="J216" s="4">
        <v>1500</v>
      </c>
      <c r="K216" s="4" t="str" cm="1">
        <f t="array" ref="K216">_xlfn.IFS(AND(Table156[[#This Row],[Total Amount]]&gt;=1500),"Critical",AND(Table156[[#This Row],[Total Amount]]&gt;=1000),"High",TRUE,"Normal")</f>
        <v>Critical</v>
      </c>
      <c r="L216" s="4" t="str">
        <f>IF(Table156[[#This Row],[Total Amount]]&gt;=1000,"High",(IF(Table156[[#This Row],[Total Amount]]&gt;=500,"Medium","Low")))</f>
        <v>High</v>
      </c>
      <c r="M216" s="4" t="str" cm="1">
        <f t="array" ref="M21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16" s="4" cm="1">
        <f t="array" ref="N21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216" s="4">
        <f>Table156[[#This Row],[Total Amount]]-Table156[[#This Row],[Discount Amount]]</f>
        <v>1350</v>
      </c>
      <c r="P216" s="4" t="str">
        <f>IF(Table156[[#This Row],[Total Amount]]&gt;=1000,"High","Low")</f>
        <v>High</v>
      </c>
      <c r="Q216" s="4" t="b" cm="1">
        <f t="array" ref="Q216">_xlfn.IFS(AND(Table156[[#This Row],[Total Amount]]&gt;=1500,"Critical"),AND(Table156[[#This Row],[Total Amount]]&gt;=1000,"High"),TRUE,"Normal")</f>
        <v>1</v>
      </c>
      <c r="R216" s="4">
        <f>COUNTIF(Table156[Gender],"Male")</f>
        <v>490</v>
      </c>
    </row>
    <row r="217" spans="1:18" x14ac:dyDescent="0.35">
      <c r="A217" s="4">
        <v>216</v>
      </c>
      <c r="B217" s="5">
        <v>45118</v>
      </c>
      <c r="C217" s="4" t="s">
        <v>229</v>
      </c>
      <c r="D217" s="4" t="s">
        <v>10</v>
      </c>
      <c r="E217" s="4">
        <v>62</v>
      </c>
      <c r="F217" s="4" t="str">
        <f>IF(Table156[[#This Row],[Age]]&lt;=19,"Teenager",IF(Table156[[#This Row],[Age]]&lt;=40,"Median","Old"))</f>
        <v>Old</v>
      </c>
      <c r="G217" s="4" t="s">
        <v>16</v>
      </c>
      <c r="H217" s="4">
        <v>2</v>
      </c>
      <c r="I217" s="4">
        <v>50</v>
      </c>
      <c r="J217" s="4">
        <v>100</v>
      </c>
      <c r="K217" s="4" t="str" cm="1">
        <f t="array" ref="K217">_xlfn.IFS(AND(Table156[[#This Row],[Total Amount]]&gt;=1500),"Critical",AND(Table156[[#This Row],[Total Amount]]&gt;=1000),"High",TRUE,"Normal")</f>
        <v>Normal</v>
      </c>
      <c r="L217" s="4" t="str">
        <f>IF(Table156[[#This Row],[Total Amount]]&gt;=1000,"High",(IF(Table156[[#This Row],[Total Amount]]&gt;=500,"Medium","Low")))</f>
        <v>Low</v>
      </c>
      <c r="M217" s="4" t="str" cm="1">
        <f t="array" ref="M21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17" s="4" cm="1">
        <f t="array" ref="N21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217" s="4">
        <f>Table156[[#This Row],[Total Amount]]-Table156[[#This Row],[Discount Amount]]</f>
        <v>90</v>
      </c>
      <c r="P217" s="4" t="str">
        <f>IF(Table156[[#This Row],[Total Amount]]&gt;=1000,"High","Low")</f>
        <v>Low</v>
      </c>
      <c r="Q217" s="4" t="str" cm="1">
        <f t="array" ref="Q217">_xlfn.IFS(AND(Table156[[#This Row],[Total Amount]]&gt;=1500,"Critical"),AND(Table156[[#This Row],[Total Amount]]&gt;=1000,"High"),TRUE,"Normal")</f>
        <v>Normal</v>
      </c>
      <c r="R217" s="4">
        <f>COUNTIF(Table156[Gender],"Male")</f>
        <v>490</v>
      </c>
    </row>
    <row r="218" spans="1:18" x14ac:dyDescent="0.35">
      <c r="A218" s="4">
        <v>217</v>
      </c>
      <c r="B218" s="5">
        <v>45151</v>
      </c>
      <c r="C218" s="4" t="s">
        <v>230</v>
      </c>
      <c r="D218" s="4" t="s">
        <v>13</v>
      </c>
      <c r="E218" s="4">
        <v>35</v>
      </c>
      <c r="F218" s="4" t="str">
        <f>IF(Table156[[#This Row],[Age]]&lt;=19,"Teenager",IF(Table156[[#This Row],[Age]]&lt;=40,"Median","Old"))</f>
        <v>Median</v>
      </c>
      <c r="G218" s="4" t="s">
        <v>16</v>
      </c>
      <c r="H218" s="4">
        <v>4</v>
      </c>
      <c r="I218" s="4">
        <v>50</v>
      </c>
      <c r="J218" s="4">
        <v>200</v>
      </c>
      <c r="K218" s="4" t="str" cm="1">
        <f t="array" ref="K218">_xlfn.IFS(AND(Table156[[#This Row],[Total Amount]]&gt;=1500),"Critical",AND(Table156[[#This Row],[Total Amount]]&gt;=1000),"High",TRUE,"Normal")</f>
        <v>Normal</v>
      </c>
      <c r="L218" s="4" t="str">
        <f>IF(Table156[[#This Row],[Total Amount]]&gt;=1000,"High",(IF(Table156[[#This Row],[Total Amount]]&gt;=500,"Medium","Low")))</f>
        <v>Low</v>
      </c>
      <c r="M218" s="4" t="str" cm="1">
        <f t="array" ref="M21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18" s="4" cm="1">
        <f t="array" ref="N21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218" s="4">
        <f>Table156[[#This Row],[Total Amount]]-Table156[[#This Row],[Discount Amount]]</f>
        <v>160</v>
      </c>
      <c r="P218" s="4" t="str">
        <f>IF(Table156[[#This Row],[Total Amount]]&gt;=1000,"High","Low")</f>
        <v>Low</v>
      </c>
      <c r="Q218" s="4" t="str" cm="1">
        <f t="array" ref="Q218">_xlfn.IFS(AND(Table156[[#This Row],[Total Amount]]&gt;=1500,"Critical"),AND(Table156[[#This Row],[Total Amount]]&gt;=1000,"High"),TRUE,"Normal")</f>
        <v>Normal</v>
      </c>
      <c r="R218" s="4">
        <f>COUNTIF(Table156[Gender],"Male")</f>
        <v>490</v>
      </c>
    </row>
    <row r="219" spans="1:18" x14ac:dyDescent="0.35">
      <c r="A219" s="4">
        <v>218</v>
      </c>
      <c r="B219" s="5">
        <v>45191</v>
      </c>
      <c r="C219" s="4" t="s">
        <v>231</v>
      </c>
      <c r="D219" s="4" t="s">
        <v>10</v>
      </c>
      <c r="E219" s="4">
        <v>64</v>
      </c>
      <c r="F219" s="4" t="str">
        <f>IF(Table156[[#This Row],[Age]]&lt;=19,"Teenager",IF(Table156[[#This Row],[Age]]&lt;=40,"Median","Old"))</f>
        <v>Old</v>
      </c>
      <c r="G219" s="4" t="s">
        <v>11</v>
      </c>
      <c r="H219" s="4">
        <v>3</v>
      </c>
      <c r="I219" s="4">
        <v>30</v>
      </c>
      <c r="J219" s="4">
        <v>90</v>
      </c>
      <c r="K219" s="4" t="str" cm="1">
        <f t="array" ref="K219">_xlfn.IFS(AND(Table156[[#This Row],[Total Amount]]&gt;=1500),"Critical",AND(Table156[[#This Row],[Total Amount]]&gt;=1000),"High",TRUE,"Normal")</f>
        <v>Normal</v>
      </c>
      <c r="L219" s="4" t="str">
        <f>IF(Table156[[#This Row],[Total Amount]]&gt;=1000,"High",(IF(Table156[[#This Row],[Total Amount]]&gt;=500,"Medium","Low")))</f>
        <v>Low</v>
      </c>
      <c r="M219" s="4" t="str" cm="1">
        <f t="array" ref="M21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19" s="4" cm="1">
        <f t="array" ref="N21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</v>
      </c>
      <c r="O219" s="4">
        <f>Table156[[#This Row],[Total Amount]]-Table156[[#This Row],[Discount Amount]]</f>
        <v>81</v>
      </c>
      <c r="P219" s="4" t="str">
        <f>IF(Table156[[#This Row],[Total Amount]]&gt;=1000,"High","Low")</f>
        <v>Low</v>
      </c>
      <c r="Q219" s="4" t="str" cm="1">
        <f t="array" ref="Q219">_xlfn.IFS(AND(Table156[[#This Row],[Total Amount]]&gt;=1500,"Critical"),AND(Table156[[#This Row],[Total Amount]]&gt;=1000,"High"),TRUE,"Normal")</f>
        <v>Normal</v>
      </c>
      <c r="R219" s="4">
        <f>COUNTIF(Table156[Gender],"Male")</f>
        <v>490</v>
      </c>
    </row>
    <row r="220" spans="1:18" x14ac:dyDescent="0.35">
      <c r="A220" s="4">
        <v>219</v>
      </c>
      <c r="B220" s="5">
        <v>45158</v>
      </c>
      <c r="C220" s="4" t="s">
        <v>232</v>
      </c>
      <c r="D220" s="4" t="s">
        <v>13</v>
      </c>
      <c r="E220" s="4">
        <v>53</v>
      </c>
      <c r="F220" s="4" t="str">
        <f>IF(Table156[[#This Row],[Age]]&lt;=19,"Teenager",IF(Table156[[#This Row],[Age]]&lt;=40,"Median","Old"))</f>
        <v>Old</v>
      </c>
      <c r="G220" s="4" t="s">
        <v>16</v>
      </c>
      <c r="H220" s="4">
        <v>3</v>
      </c>
      <c r="I220" s="4">
        <v>30</v>
      </c>
      <c r="J220" s="4">
        <v>90</v>
      </c>
      <c r="K220" s="4" t="str" cm="1">
        <f t="array" ref="K220">_xlfn.IFS(AND(Table156[[#This Row],[Total Amount]]&gt;=1500),"Critical",AND(Table156[[#This Row],[Total Amount]]&gt;=1000),"High",TRUE,"Normal")</f>
        <v>Normal</v>
      </c>
      <c r="L220" s="4" t="str">
        <f>IF(Table156[[#This Row],[Total Amount]]&gt;=1000,"High",(IF(Table156[[#This Row],[Total Amount]]&gt;=500,"Medium","Low")))</f>
        <v>Low</v>
      </c>
      <c r="M220" s="4" t="str" cm="1">
        <f t="array" ref="M22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20" s="4" cm="1">
        <f t="array" ref="N22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220" s="4">
        <f>Table156[[#This Row],[Total Amount]]-Table156[[#This Row],[Discount Amount]]</f>
        <v>72</v>
      </c>
      <c r="P220" s="4" t="str">
        <f>IF(Table156[[#This Row],[Total Amount]]&gt;=1000,"High","Low")</f>
        <v>Low</v>
      </c>
      <c r="Q220" s="4" t="str" cm="1">
        <f t="array" ref="Q220">_xlfn.IFS(AND(Table156[[#This Row],[Total Amount]]&gt;=1500,"Critical"),AND(Table156[[#This Row],[Total Amount]]&gt;=1000,"High"),TRUE,"Normal")</f>
        <v>Normal</v>
      </c>
      <c r="R220" s="4">
        <f>COUNTIF(Table156[Gender],"Male")</f>
        <v>490</v>
      </c>
    </row>
    <row r="221" spans="1:18" x14ac:dyDescent="0.35">
      <c r="A221" s="4">
        <v>220</v>
      </c>
      <c r="B221" s="5">
        <v>44988</v>
      </c>
      <c r="C221" s="4" t="s">
        <v>233</v>
      </c>
      <c r="D221" s="4" t="s">
        <v>10</v>
      </c>
      <c r="E221" s="4">
        <v>64</v>
      </c>
      <c r="F221" s="4" t="str">
        <f>IF(Table156[[#This Row],[Age]]&lt;=19,"Teenager",IF(Table156[[#This Row],[Age]]&lt;=40,"Median","Old"))</f>
        <v>Old</v>
      </c>
      <c r="G221" s="4" t="s">
        <v>11</v>
      </c>
      <c r="H221" s="4">
        <v>1</v>
      </c>
      <c r="I221" s="4">
        <v>500</v>
      </c>
      <c r="J221" s="4">
        <v>500</v>
      </c>
      <c r="K221" s="4" t="str" cm="1">
        <f t="array" ref="K221">_xlfn.IFS(AND(Table156[[#This Row],[Total Amount]]&gt;=1500),"Critical",AND(Table156[[#This Row],[Total Amount]]&gt;=1000),"High",TRUE,"Normal")</f>
        <v>Normal</v>
      </c>
      <c r="L221" s="4" t="str">
        <f>IF(Table156[[#This Row],[Total Amount]]&gt;=1000,"High",(IF(Table156[[#This Row],[Total Amount]]&gt;=500,"Medium","Low")))</f>
        <v>Medium</v>
      </c>
      <c r="M221" s="4" t="str" cm="1">
        <f t="array" ref="M22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21" s="4" cm="1">
        <f t="array" ref="N22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221" s="4">
        <f>Table156[[#This Row],[Total Amount]]-Table156[[#This Row],[Discount Amount]]</f>
        <v>450</v>
      </c>
      <c r="P221" s="4" t="str">
        <f>IF(Table156[[#This Row],[Total Amount]]&gt;=1000,"High","Low")</f>
        <v>Low</v>
      </c>
      <c r="Q221" s="4" t="str" cm="1">
        <f t="array" ref="Q221">_xlfn.IFS(AND(Table156[[#This Row],[Total Amount]]&gt;=1500,"Critical"),AND(Table156[[#This Row],[Total Amount]]&gt;=1000,"High"),TRUE,"Normal")</f>
        <v>Normal</v>
      </c>
      <c r="R221" s="4">
        <f>COUNTIF(Table156[Gender],"Male")</f>
        <v>490</v>
      </c>
    </row>
    <row r="222" spans="1:18" x14ac:dyDescent="0.35">
      <c r="A222" s="4">
        <v>221</v>
      </c>
      <c r="B222" s="5">
        <v>45053</v>
      </c>
      <c r="C222" s="4" t="s">
        <v>234</v>
      </c>
      <c r="D222" s="4" t="s">
        <v>10</v>
      </c>
      <c r="E222" s="4">
        <v>39</v>
      </c>
      <c r="F222" s="4" t="str">
        <f>IF(Table156[[#This Row],[Age]]&lt;=19,"Teenager",IF(Table156[[#This Row],[Age]]&lt;=40,"Median","Old"))</f>
        <v>Median</v>
      </c>
      <c r="G222" s="4" t="s">
        <v>11</v>
      </c>
      <c r="H222" s="4">
        <v>2</v>
      </c>
      <c r="I222" s="4">
        <v>300</v>
      </c>
      <c r="J222" s="4">
        <v>600</v>
      </c>
      <c r="K222" s="4" t="str" cm="1">
        <f t="array" ref="K222">_xlfn.IFS(AND(Table156[[#This Row],[Total Amount]]&gt;=1500),"Critical",AND(Table156[[#This Row],[Total Amount]]&gt;=1000),"High",TRUE,"Normal")</f>
        <v>Normal</v>
      </c>
      <c r="L222" s="4" t="str">
        <f>IF(Table156[[#This Row],[Total Amount]]&gt;=1000,"High",(IF(Table156[[#This Row],[Total Amount]]&gt;=500,"Medium","Low")))</f>
        <v>Medium</v>
      </c>
      <c r="M222" s="4" t="str" cm="1">
        <f t="array" ref="M22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22" s="4" cm="1">
        <f t="array" ref="N22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222" s="4">
        <f>Table156[[#This Row],[Total Amount]]-Table156[[#This Row],[Discount Amount]]</f>
        <v>540</v>
      </c>
      <c r="P222" s="4" t="str">
        <f>IF(Table156[[#This Row],[Total Amount]]&gt;=1000,"High","Low")</f>
        <v>Low</v>
      </c>
      <c r="Q222" s="4" t="str" cm="1">
        <f t="array" ref="Q222">_xlfn.IFS(AND(Table156[[#This Row],[Total Amount]]&gt;=1500,"Critical"),AND(Table156[[#This Row],[Total Amount]]&gt;=1000,"High"),TRUE,"Normal")</f>
        <v>Normal</v>
      </c>
      <c r="R222" s="4">
        <f>COUNTIF(Table156[Gender],"Male")</f>
        <v>490</v>
      </c>
    </row>
    <row r="223" spans="1:18" x14ac:dyDescent="0.35">
      <c r="A223" s="4">
        <v>222</v>
      </c>
      <c r="B223" s="5">
        <v>45042</v>
      </c>
      <c r="C223" s="4" t="s">
        <v>235</v>
      </c>
      <c r="D223" s="4" t="s">
        <v>10</v>
      </c>
      <c r="E223" s="4">
        <v>51</v>
      </c>
      <c r="F223" s="4" t="str">
        <f>IF(Table156[[#This Row],[Age]]&lt;=19,"Teenager",IF(Table156[[#This Row],[Age]]&lt;=40,"Median","Old"))</f>
        <v>Old</v>
      </c>
      <c r="G223" s="4" t="s">
        <v>14</v>
      </c>
      <c r="H223" s="4">
        <v>4</v>
      </c>
      <c r="I223" s="4">
        <v>30</v>
      </c>
      <c r="J223" s="4">
        <v>120</v>
      </c>
      <c r="K223" s="4" t="str" cm="1">
        <f t="array" ref="K223">_xlfn.IFS(AND(Table156[[#This Row],[Total Amount]]&gt;=1500),"Critical",AND(Table156[[#This Row],[Total Amount]]&gt;=1000),"High",TRUE,"Normal")</f>
        <v>Normal</v>
      </c>
      <c r="L223" s="4" t="str">
        <f>IF(Table156[[#This Row],[Total Amount]]&gt;=1000,"High",(IF(Table156[[#This Row],[Total Amount]]&gt;=500,"Medium","Low")))</f>
        <v>Low</v>
      </c>
      <c r="M223" s="4" t="str" cm="1">
        <f t="array" ref="M22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23" s="4" cm="1">
        <f t="array" ref="N22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223" s="4">
        <f>Table156[[#This Row],[Total Amount]]-Table156[[#This Row],[Discount Amount]]</f>
        <v>108</v>
      </c>
      <c r="P223" s="4" t="str">
        <f>IF(Table156[[#This Row],[Total Amount]]&gt;=1000,"High","Low")</f>
        <v>Low</v>
      </c>
      <c r="Q223" s="4" t="str" cm="1">
        <f t="array" ref="Q223">_xlfn.IFS(AND(Table156[[#This Row],[Total Amount]]&gt;=1500,"Critical"),AND(Table156[[#This Row],[Total Amount]]&gt;=1000,"High"),TRUE,"Normal")</f>
        <v>Normal</v>
      </c>
      <c r="R223" s="4">
        <f>COUNTIF(Table156[Gender],"Male")</f>
        <v>490</v>
      </c>
    </row>
    <row r="224" spans="1:18" x14ac:dyDescent="0.35">
      <c r="A224" s="4">
        <v>223</v>
      </c>
      <c r="B224" s="5">
        <v>44959</v>
      </c>
      <c r="C224" s="4" t="s">
        <v>236</v>
      </c>
      <c r="D224" s="4" t="s">
        <v>13</v>
      </c>
      <c r="E224" s="4">
        <v>64</v>
      </c>
      <c r="F224" s="4" t="str">
        <f>IF(Table156[[#This Row],[Age]]&lt;=19,"Teenager",IF(Table156[[#This Row],[Age]]&lt;=40,"Median","Old"))</f>
        <v>Old</v>
      </c>
      <c r="G224" s="4" t="s">
        <v>14</v>
      </c>
      <c r="H224" s="4">
        <v>1</v>
      </c>
      <c r="I224" s="4">
        <v>25</v>
      </c>
      <c r="J224" s="4">
        <v>25</v>
      </c>
      <c r="K224" s="4" t="str" cm="1">
        <f t="array" ref="K224">_xlfn.IFS(AND(Table156[[#This Row],[Total Amount]]&gt;=1500),"Critical",AND(Table156[[#This Row],[Total Amount]]&gt;=1000),"High",TRUE,"Normal")</f>
        <v>Normal</v>
      </c>
      <c r="L224" s="4" t="str">
        <f>IF(Table156[[#This Row],[Total Amount]]&gt;=1000,"High",(IF(Table156[[#This Row],[Total Amount]]&gt;=500,"Medium","Low")))</f>
        <v>Low</v>
      </c>
      <c r="M224" s="4" t="str" cm="1">
        <f t="array" ref="M22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24" s="4" cm="1">
        <f t="array" ref="N22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224" s="4">
        <f>Table156[[#This Row],[Total Amount]]-Table156[[#This Row],[Discount Amount]]</f>
        <v>20</v>
      </c>
      <c r="P224" s="4" t="str">
        <f>IF(Table156[[#This Row],[Total Amount]]&gt;=1000,"High","Low")</f>
        <v>Low</v>
      </c>
      <c r="Q224" s="4" t="str" cm="1">
        <f t="array" ref="Q224">_xlfn.IFS(AND(Table156[[#This Row],[Total Amount]]&gt;=1500,"Critical"),AND(Table156[[#This Row],[Total Amount]]&gt;=1000,"High"),TRUE,"Normal")</f>
        <v>Normal</v>
      </c>
      <c r="R224" s="4">
        <f>COUNTIF(Table156[Gender],"Male")</f>
        <v>490</v>
      </c>
    </row>
    <row r="225" spans="1:18" x14ac:dyDescent="0.35">
      <c r="A225" s="4">
        <v>224</v>
      </c>
      <c r="B225" s="5">
        <v>45100</v>
      </c>
      <c r="C225" s="4" t="s">
        <v>237</v>
      </c>
      <c r="D225" s="4" t="s">
        <v>13</v>
      </c>
      <c r="E225" s="4">
        <v>25</v>
      </c>
      <c r="F225" s="4" t="str">
        <f>IF(Table156[[#This Row],[Age]]&lt;=19,"Teenager",IF(Table156[[#This Row],[Age]]&lt;=40,"Median","Old"))</f>
        <v>Median</v>
      </c>
      <c r="G225" s="4" t="s">
        <v>14</v>
      </c>
      <c r="H225" s="4">
        <v>1</v>
      </c>
      <c r="I225" s="4">
        <v>50</v>
      </c>
      <c r="J225" s="4">
        <v>50</v>
      </c>
      <c r="K225" s="4" t="str" cm="1">
        <f t="array" ref="K225">_xlfn.IFS(AND(Table156[[#This Row],[Total Amount]]&gt;=1500),"Critical",AND(Table156[[#This Row],[Total Amount]]&gt;=1000),"High",TRUE,"Normal")</f>
        <v>Normal</v>
      </c>
      <c r="L225" s="4" t="str">
        <f>IF(Table156[[#This Row],[Total Amount]]&gt;=1000,"High",(IF(Table156[[#This Row],[Total Amount]]&gt;=500,"Medium","Low")))</f>
        <v>Low</v>
      </c>
      <c r="M225" s="4" t="str" cm="1">
        <f t="array" ref="M22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25" s="4" cm="1">
        <f t="array" ref="N22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225" s="4">
        <f>Table156[[#This Row],[Total Amount]]-Table156[[#This Row],[Discount Amount]]</f>
        <v>42.5</v>
      </c>
      <c r="P225" s="4" t="str">
        <f>IF(Table156[[#This Row],[Total Amount]]&gt;=1000,"High","Low")</f>
        <v>Low</v>
      </c>
      <c r="Q225" s="4" t="str" cm="1">
        <f t="array" ref="Q225">_xlfn.IFS(AND(Table156[[#This Row],[Total Amount]]&gt;=1500,"Critical"),AND(Table156[[#This Row],[Total Amount]]&gt;=1000,"High"),TRUE,"Normal")</f>
        <v>Normal</v>
      </c>
      <c r="R225" s="4">
        <f>COUNTIF(Table156[Gender],"Male")</f>
        <v>490</v>
      </c>
    </row>
    <row r="226" spans="1:18" x14ac:dyDescent="0.35">
      <c r="A226" s="4">
        <v>225</v>
      </c>
      <c r="B226" s="5">
        <v>44937</v>
      </c>
      <c r="C226" s="4" t="s">
        <v>238</v>
      </c>
      <c r="D226" s="4" t="s">
        <v>13</v>
      </c>
      <c r="E226" s="4">
        <v>57</v>
      </c>
      <c r="F226" s="4" t="str">
        <f>IF(Table156[[#This Row],[Age]]&lt;=19,"Teenager",IF(Table156[[#This Row],[Age]]&lt;=40,"Median","Old"))</f>
        <v>Old</v>
      </c>
      <c r="G226" s="4" t="s">
        <v>11</v>
      </c>
      <c r="H226" s="4">
        <v>4</v>
      </c>
      <c r="I226" s="4">
        <v>25</v>
      </c>
      <c r="J226" s="4">
        <v>100</v>
      </c>
      <c r="K226" s="4" t="str" cm="1">
        <f t="array" ref="K226">_xlfn.IFS(AND(Table156[[#This Row],[Total Amount]]&gt;=1500),"Critical",AND(Table156[[#This Row],[Total Amount]]&gt;=1000),"High",TRUE,"Normal")</f>
        <v>Normal</v>
      </c>
      <c r="L226" s="4" t="str">
        <f>IF(Table156[[#This Row],[Total Amount]]&gt;=1000,"High",(IF(Table156[[#This Row],[Total Amount]]&gt;=500,"Medium","Low")))</f>
        <v>Low</v>
      </c>
      <c r="M226" s="4" t="str" cm="1">
        <f t="array" ref="M22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26" s="4" cm="1">
        <f t="array" ref="N22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226" s="4">
        <f>Table156[[#This Row],[Total Amount]]-Table156[[#This Row],[Discount Amount]]</f>
        <v>80</v>
      </c>
      <c r="P226" s="4" t="str">
        <f>IF(Table156[[#This Row],[Total Amount]]&gt;=1000,"High","Low")</f>
        <v>Low</v>
      </c>
      <c r="Q226" s="4" t="str" cm="1">
        <f t="array" ref="Q226">_xlfn.IFS(AND(Table156[[#This Row],[Total Amount]]&gt;=1500,"Critical"),AND(Table156[[#This Row],[Total Amount]]&gt;=1000,"High"),TRUE,"Normal")</f>
        <v>Normal</v>
      </c>
      <c r="R226" s="4">
        <f>COUNTIF(Table156[Gender],"Male")</f>
        <v>490</v>
      </c>
    </row>
    <row r="227" spans="1:18" x14ac:dyDescent="0.35">
      <c r="A227" s="4">
        <v>226</v>
      </c>
      <c r="B227" s="5">
        <v>45228</v>
      </c>
      <c r="C227" s="4" t="s">
        <v>239</v>
      </c>
      <c r="D227" s="4" t="s">
        <v>13</v>
      </c>
      <c r="E227" s="4">
        <v>61</v>
      </c>
      <c r="F227" s="4" t="str">
        <f>IF(Table156[[#This Row],[Age]]&lt;=19,"Teenager",IF(Table156[[#This Row],[Age]]&lt;=40,"Median","Old"))</f>
        <v>Old</v>
      </c>
      <c r="G227" s="4" t="s">
        <v>14</v>
      </c>
      <c r="H227" s="4">
        <v>1</v>
      </c>
      <c r="I227" s="4">
        <v>50</v>
      </c>
      <c r="J227" s="4">
        <v>50</v>
      </c>
      <c r="K227" s="4" t="str" cm="1">
        <f t="array" ref="K227">_xlfn.IFS(AND(Table156[[#This Row],[Total Amount]]&gt;=1500),"Critical",AND(Table156[[#This Row],[Total Amount]]&gt;=1000),"High",TRUE,"Normal")</f>
        <v>Normal</v>
      </c>
      <c r="L227" s="4" t="str">
        <f>IF(Table156[[#This Row],[Total Amount]]&gt;=1000,"High",(IF(Table156[[#This Row],[Total Amount]]&gt;=500,"Medium","Low")))</f>
        <v>Low</v>
      </c>
      <c r="M227" s="4" t="str" cm="1">
        <f t="array" ref="M22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27" s="4" cm="1">
        <f t="array" ref="N22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227" s="4">
        <f>Table156[[#This Row],[Total Amount]]-Table156[[#This Row],[Discount Amount]]</f>
        <v>40</v>
      </c>
      <c r="P227" s="4" t="str">
        <f>IF(Table156[[#This Row],[Total Amount]]&gt;=1000,"High","Low")</f>
        <v>Low</v>
      </c>
      <c r="Q227" s="4" t="str" cm="1">
        <f t="array" ref="Q227">_xlfn.IFS(AND(Table156[[#This Row],[Total Amount]]&gt;=1500,"Critical"),AND(Table156[[#This Row],[Total Amount]]&gt;=1000,"High"),TRUE,"Normal")</f>
        <v>Normal</v>
      </c>
      <c r="R227" s="4">
        <f>COUNTIF(Table156[Gender],"Male")</f>
        <v>490</v>
      </c>
    </row>
    <row r="228" spans="1:18" x14ac:dyDescent="0.35">
      <c r="A228" s="4">
        <v>227</v>
      </c>
      <c r="B228" s="5">
        <v>45210</v>
      </c>
      <c r="C228" s="4" t="s">
        <v>240</v>
      </c>
      <c r="D228" s="4" t="s">
        <v>10</v>
      </c>
      <c r="E228" s="4">
        <v>36</v>
      </c>
      <c r="F228" s="4" t="str">
        <f>IF(Table156[[#This Row],[Age]]&lt;=19,"Teenager",IF(Table156[[#This Row],[Age]]&lt;=40,"Median","Old"))</f>
        <v>Median</v>
      </c>
      <c r="G228" s="4" t="s">
        <v>16</v>
      </c>
      <c r="H228" s="4">
        <v>2</v>
      </c>
      <c r="I228" s="4">
        <v>50</v>
      </c>
      <c r="J228" s="4">
        <v>100</v>
      </c>
      <c r="K228" s="4" t="str" cm="1">
        <f t="array" ref="K228">_xlfn.IFS(AND(Table156[[#This Row],[Total Amount]]&gt;=1500),"Critical",AND(Table156[[#This Row],[Total Amount]]&gt;=1000),"High",TRUE,"Normal")</f>
        <v>Normal</v>
      </c>
      <c r="L228" s="4" t="str">
        <f>IF(Table156[[#This Row],[Total Amount]]&gt;=1000,"High",(IF(Table156[[#This Row],[Total Amount]]&gt;=500,"Medium","Low")))</f>
        <v>Low</v>
      </c>
      <c r="M228" s="4" t="str" cm="1">
        <f t="array" ref="M22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28" s="4" cm="1">
        <f t="array" ref="N22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228" s="4">
        <f>Table156[[#This Row],[Total Amount]]-Table156[[#This Row],[Discount Amount]]</f>
        <v>90</v>
      </c>
      <c r="P228" s="4" t="str">
        <f>IF(Table156[[#This Row],[Total Amount]]&gt;=1000,"High","Low")</f>
        <v>Low</v>
      </c>
      <c r="Q228" s="4" t="str" cm="1">
        <f t="array" ref="Q228">_xlfn.IFS(AND(Table156[[#This Row],[Total Amount]]&gt;=1500,"Critical"),AND(Table156[[#This Row],[Total Amount]]&gt;=1000,"High"),TRUE,"Normal")</f>
        <v>Normal</v>
      </c>
      <c r="R228" s="4">
        <f>COUNTIF(Table156[Gender],"Male")</f>
        <v>490</v>
      </c>
    </row>
    <row r="229" spans="1:18" x14ac:dyDescent="0.35">
      <c r="A229" s="4">
        <v>228</v>
      </c>
      <c r="B229" s="5">
        <v>45044</v>
      </c>
      <c r="C229" s="4" t="s">
        <v>241</v>
      </c>
      <c r="D229" s="4" t="s">
        <v>13</v>
      </c>
      <c r="E229" s="4">
        <v>59</v>
      </c>
      <c r="F229" s="4" t="str">
        <f>IF(Table156[[#This Row],[Age]]&lt;=19,"Teenager",IF(Table156[[#This Row],[Age]]&lt;=40,"Median","Old"))</f>
        <v>Old</v>
      </c>
      <c r="G229" s="4" t="s">
        <v>16</v>
      </c>
      <c r="H229" s="4">
        <v>2</v>
      </c>
      <c r="I229" s="4">
        <v>30</v>
      </c>
      <c r="J229" s="4">
        <v>60</v>
      </c>
      <c r="K229" s="4" t="str" cm="1">
        <f t="array" ref="K229">_xlfn.IFS(AND(Table156[[#This Row],[Total Amount]]&gt;=1500),"Critical",AND(Table156[[#This Row],[Total Amount]]&gt;=1000),"High",TRUE,"Normal")</f>
        <v>Normal</v>
      </c>
      <c r="L229" s="4" t="str">
        <f>IF(Table156[[#This Row],[Total Amount]]&gt;=1000,"High",(IF(Table156[[#This Row],[Total Amount]]&gt;=500,"Medium","Low")))</f>
        <v>Low</v>
      </c>
      <c r="M229" s="4" t="str" cm="1">
        <f t="array" ref="M22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29" s="4" cm="1">
        <f t="array" ref="N22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229" s="4">
        <f>Table156[[#This Row],[Total Amount]]-Table156[[#This Row],[Discount Amount]]</f>
        <v>48</v>
      </c>
      <c r="P229" s="4" t="str">
        <f>IF(Table156[[#This Row],[Total Amount]]&gt;=1000,"High","Low")</f>
        <v>Low</v>
      </c>
      <c r="Q229" s="4" t="str" cm="1">
        <f t="array" ref="Q229">_xlfn.IFS(AND(Table156[[#This Row],[Total Amount]]&gt;=1500,"Critical"),AND(Table156[[#This Row],[Total Amount]]&gt;=1000,"High"),TRUE,"Normal")</f>
        <v>Normal</v>
      </c>
      <c r="R229" s="4">
        <f>COUNTIF(Table156[Gender],"Male")</f>
        <v>490</v>
      </c>
    </row>
    <row r="230" spans="1:18" x14ac:dyDescent="0.35">
      <c r="A230" s="4">
        <v>229</v>
      </c>
      <c r="B230" s="5">
        <v>45228</v>
      </c>
      <c r="C230" s="4" t="s">
        <v>242</v>
      </c>
      <c r="D230" s="4" t="s">
        <v>10</v>
      </c>
      <c r="E230" s="4">
        <v>58</v>
      </c>
      <c r="F230" s="4" t="str">
        <f>IF(Table156[[#This Row],[Age]]&lt;=19,"Teenager",IF(Table156[[#This Row],[Age]]&lt;=40,"Median","Old"))</f>
        <v>Old</v>
      </c>
      <c r="G230" s="4" t="s">
        <v>11</v>
      </c>
      <c r="H230" s="4">
        <v>3</v>
      </c>
      <c r="I230" s="4">
        <v>30</v>
      </c>
      <c r="J230" s="4">
        <v>90</v>
      </c>
      <c r="K230" s="4" t="str" cm="1">
        <f t="array" ref="K230">_xlfn.IFS(AND(Table156[[#This Row],[Total Amount]]&gt;=1500),"Critical",AND(Table156[[#This Row],[Total Amount]]&gt;=1000),"High",TRUE,"Normal")</f>
        <v>Normal</v>
      </c>
      <c r="L230" s="4" t="str">
        <f>IF(Table156[[#This Row],[Total Amount]]&gt;=1000,"High",(IF(Table156[[#This Row],[Total Amount]]&gt;=500,"Medium","Low")))</f>
        <v>Low</v>
      </c>
      <c r="M230" s="4" t="str" cm="1">
        <f t="array" ref="M23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30" s="4" cm="1">
        <f t="array" ref="N23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</v>
      </c>
      <c r="O230" s="4">
        <f>Table156[[#This Row],[Total Amount]]-Table156[[#This Row],[Discount Amount]]</f>
        <v>81</v>
      </c>
      <c r="P230" s="4" t="str">
        <f>IF(Table156[[#This Row],[Total Amount]]&gt;=1000,"High","Low")</f>
        <v>Low</v>
      </c>
      <c r="Q230" s="4" t="str" cm="1">
        <f t="array" ref="Q230">_xlfn.IFS(AND(Table156[[#This Row],[Total Amount]]&gt;=1500,"Critical"),AND(Table156[[#This Row],[Total Amount]]&gt;=1000,"High"),TRUE,"Normal")</f>
        <v>Normal</v>
      </c>
      <c r="R230" s="4">
        <f>COUNTIF(Table156[Gender],"Male")</f>
        <v>490</v>
      </c>
    </row>
    <row r="231" spans="1:18" x14ac:dyDescent="0.35">
      <c r="A231" s="4">
        <v>230</v>
      </c>
      <c r="B231" s="5">
        <v>45039</v>
      </c>
      <c r="C231" s="4" t="s">
        <v>243</v>
      </c>
      <c r="D231" s="4" t="s">
        <v>10</v>
      </c>
      <c r="E231" s="4">
        <v>54</v>
      </c>
      <c r="F231" s="4" t="str">
        <f>IF(Table156[[#This Row],[Age]]&lt;=19,"Teenager",IF(Table156[[#This Row],[Age]]&lt;=40,"Median","Old"))</f>
        <v>Old</v>
      </c>
      <c r="G231" s="4" t="s">
        <v>11</v>
      </c>
      <c r="H231" s="4">
        <v>1</v>
      </c>
      <c r="I231" s="4">
        <v>25</v>
      </c>
      <c r="J231" s="4">
        <v>25</v>
      </c>
      <c r="K231" s="4" t="str" cm="1">
        <f t="array" ref="K231">_xlfn.IFS(AND(Table156[[#This Row],[Total Amount]]&gt;=1500),"Critical",AND(Table156[[#This Row],[Total Amount]]&gt;=1000),"High",TRUE,"Normal")</f>
        <v>Normal</v>
      </c>
      <c r="L231" s="4" t="str">
        <f>IF(Table156[[#This Row],[Total Amount]]&gt;=1000,"High",(IF(Table156[[#This Row],[Total Amount]]&gt;=500,"Medium","Low")))</f>
        <v>Low</v>
      </c>
      <c r="M231" s="4" t="str" cm="1">
        <f t="array" ref="M23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31" s="4" cm="1">
        <f t="array" ref="N23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231" s="4">
        <f>Table156[[#This Row],[Total Amount]]-Table156[[#This Row],[Discount Amount]]</f>
        <v>22.5</v>
      </c>
      <c r="P231" s="4" t="str">
        <f>IF(Table156[[#This Row],[Total Amount]]&gt;=1000,"High","Low")</f>
        <v>Low</v>
      </c>
      <c r="Q231" s="4" t="str" cm="1">
        <f t="array" ref="Q231">_xlfn.IFS(AND(Table156[[#This Row],[Total Amount]]&gt;=1500,"Critical"),AND(Table156[[#This Row],[Total Amount]]&gt;=1000,"High"),TRUE,"Normal")</f>
        <v>Normal</v>
      </c>
      <c r="R231" s="4">
        <f>COUNTIF(Table156[Gender],"Male")</f>
        <v>490</v>
      </c>
    </row>
    <row r="232" spans="1:18" x14ac:dyDescent="0.35">
      <c r="A232" s="4">
        <v>231</v>
      </c>
      <c r="B232" s="5">
        <v>44930</v>
      </c>
      <c r="C232" s="4" t="s">
        <v>244</v>
      </c>
      <c r="D232" s="4" t="s">
        <v>13</v>
      </c>
      <c r="E232" s="4">
        <v>23</v>
      </c>
      <c r="F232" s="4" t="str">
        <f>IF(Table156[[#This Row],[Age]]&lt;=19,"Teenager",IF(Table156[[#This Row],[Age]]&lt;=40,"Median","Old"))</f>
        <v>Median</v>
      </c>
      <c r="G232" s="4" t="s">
        <v>14</v>
      </c>
      <c r="H232" s="4">
        <v>3</v>
      </c>
      <c r="I232" s="4">
        <v>50</v>
      </c>
      <c r="J232" s="4">
        <v>150</v>
      </c>
      <c r="K232" s="4" t="str" cm="1">
        <f t="array" ref="K232">_xlfn.IFS(AND(Table156[[#This Row],[Total Amount]]&gt;=1500),"Critical",AND(Table156[[#This Row],[Total Amount]]&gt;=1000),"High",TRUE,"Normal")</f>
        <v>Normal</v>
      </c>
      <c r="L232" s="4" t="str">
        <f>IF(Table156[[#This Row],[Total Amount]]&gt;=1000,"High",(IF(Table156[[#This Row],[Total Amount]]&gt;=500,"Medium","Low")))</f>
        <v>Low</v>
      </c>
      <c r="M232" s="4" t="str" cm="1">
        <f t="array" ref="M23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32" s="4" cm="1">
        <f t="array" ref="N23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32" s="4">
        <f>Table156[[#This Row],[Total Amount]]-Table156[[#This Row],[Discount Amount]]</f>
        <v>150</v>
      </c>
      <c r="P232" s="4" t="str">
        <f>IF(Table156[[#This Row],[Total Amount]]&gt;=1000,"High","Low")</f>
        <v>Low</v>
      </c>
      <c r="Q232" s="4" t="str" cm="1">
        <f t="array" ref="Q232">_xlfn.IFS(AND(Table156[[#This Row],[Total Amount]]&gt;=1500,"Critical"),AND(Table156[[#This Row],[Total Amount]]&gt;=1000,"High"),TRUE,"Normal")</f>
        <v>Normal</v>
      </c>
      <c r="R232" s="4">
        <f>COUNTIF(Table156[Gender],"Male")</f>
        <v>490</v>
      </c>
    </row>
    <row r="233" spans="1:18" x14ac:dyDescent="0.35">
      <c r="A233" s="4">
        <v>232</v>
      </c>
      <c r="B233" s="5">
        <v>44963</v>
      </c>
      <c r="C233" s="4" t="s">
        <v>245</v>
      </c>
      <c r="D233" s="4" t="s">
        <v>13</v>
      </c>
      <c r="E233" s="4">
        <v>43</v>
      </c>
      <c r="F233" s="4" t="str">
        <f>IF(Table156[[#This Row],[Age]]&lt;=19,"Teenager",IF(Table156[[#This Row],[Age]]&lt;=40,"Median","Old"))</f>
        <v>Old</v>
      </c>
      <c r="G233" s="4" t="s">
        <v>11</v>
      </c>
      <c r="H233" s="4">
        <v>1</v>
      </c>
      <c r="I233" s="4">
        <v>25</v>
      </c>
      <c r="J233" s="4">
        <v>25</v>
      </c>
      <c r="K233" s="4" t="str" cm="1">
        <f t="array" ref="K233">_xlfn.IFS(AND(Table156[[#This Row],[Total Amount]]&gt;=1500),"Critical",AND(Table156[[#This Row],[Total Amount]]&gt;=1000),"High",TRUE,"Normal")</f>
        <v>Normal</v>
      </c>
      <c r="L233" s="4" t="str">
        <f>IF(Table156[[#This Row],[Total Amount]]&gt;=1000,"High",(IF(Table156[[#This Row],[Total Amount]]&gt;=500,"Medium","Low")))</f>
        <v>Low</v>
      </c>
      <c r="M233" s="4" t="str" cm="1">
        <f t="array" ref="M23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33" s="4" cm="1">
        <f t="array" ref="N23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233" s="4">
        <f>Table156[[#This Row],[Total Amount]]-Table156[[#This Row],[Discount Amount]]</f>
        <v>20</v>
      </c>
      <c r="P233" s="4" t="str">
        <f>IF(Table156[[#This Row],[Total Amount]]&gt;=1000,"High","Low")</f>
        <v>Low</v>
      </c>
      <c r="Q233" s="4" t="str" cm="1">
        <f t="array" ref="Q233">_xlfn.IFS(AND(Table156[[#This Row],[Total Amount]]&gt;=1500,"Critical"),AND(Table156[[#This Row],[Total Amount]]&gt;=1000,"High"),TRUE,"Normal")</f>
        <v>Normal</v>
      </c>
      <c r="R233" s="4">
        <f>COUNTIF(Table156[Gender],"Male")</f>
        <v>490</v>
      </c>
    </row>
    <row r="234" spans="1:18" x14ac:dyDescent="0.35">
      <c r="A234" s="4">
        <v>233</v>
      </c>
      <c r="B234" s="5">
        <v>45289</v>
      </c>
      <c r="C234" s="4" t="s">
        <v>246</v>
      </c>
      <c r="D234" s="4" t="s">
        <v>13</v>
      </c>
      <c r="E234" s="4">
        <v>51</v>
      </c>
      <c r="F234" s="4" t="str">
        <f>IF(Table156[[#This Row],[Age]]&lt;=19,"Teenager",IF(Table156[[#This Row],[Age]]&lt;=40,"Median","Old"))</f>
        <v>Old</v>
      </c>
      <c r="G234" s="4" t="s">
        <v>11</v>
      </c>
      <c r="H234" s="4">
        <v>2</v>
      </c>
      <c r="I234" s="4">
        <v>300</v>
      </c>
      <c r="J234" s="4">
        <v>600</v>
      </c>
      <c r="K234" s="4" t="str" cm="1">
        <f t="array" ref="K234">_xlfn.IFS(AND(Table156[[#This Row],[Total Amount]]&gt;=1500),"Critical",AND(Table156[[#This Row],[Total Amount]]&gt;=1000),"High",TRUE,"Normal")</f>
        <v>Normal</v>
      </c>
      <c r="L234" s="4" t="str">
        <f>IF(Table156[[#This Row],[Total Amount]]&gt;=1000,"High",(IF(Table156[[#This Row],[Total Amount]]&gt;=500,"Medium","Low")))</f>
        <v>Medium</v>
      </c>
      <c r="M234" s="4" t="str" cm="1">
        <f t="array" ref="M23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34" s="4" cm="1">
        <f t="array" ref="N23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234" s="4">
        <f>Table156[[#This Row],[Total Amount]]-Table156[[#This Row],[Discount Amount]]</f>
        <v>480</v>
      </c>
      <c r="P234" s="4" t="str">
        <f>IF(Table156[[#This Row],[Total Amount]]&gt;=1000,"High","Low")</f>
        <v>Low</v>
      </c>
      <c r="Q234" s="4" t="str" cm="1">
        <f t="array" ref="Q234">_xlfn.IFS(AND(Table156[[#This Row],[Total Amount]]&gt;=1500,"Critical"),AND(Table156[[#This Row],[Total Amount]]&gt;=1000,"High"),TRUE,"Normal")</f>
        <v>Normal</v>
      </c>
      <c r="R234" s="4">
        <f>COUNTIF(Table156[Gender],"Male")</f>
        <v>490</v>
      </c>
    </row>
    <row r="235" spans="1:18" x14ac:dyDescent="0.35">
      <c r="A235" s="4">
        <v>234</v>
      </c>
      <c r="B235" s="5">
        <v>45250</v>
      </c>
      <c r="C235" s="4" t="s">
        <v>247</v>
      </c>
      <c r="D235" s="4" t="s">
        <v>13</v>
      </c>
      <c r="E235" s="4">
        <v>62</v>
      </c>
      <c r="F235" s="4" t="str">
        <f>IF(Table156[[#This Row],[Age]]&lt;=19,"Teenager",IF(Table156[[#This Row],[Age]]&lt;=40,"Median","Old"))</f>
        <v>Old</v>
      </c>
      <c r="G235" s="4" t="s">
        <v>16</v>
      </c>
      <c r="H235" s="4">
        <v>2</v>
      </c>
      <c r="I235" s="4">
        <v>25</v>
      </c>
      <c r="J235" s="4">
        <v>50</v>
      </c>
      <c r="K235" s="4" t="str" cm="1">
        <f t="array" ref="K235">_xlfn.IFS(AND(Table156[[#This Row],[Total Amount]]&gt;=1500),"Critical",AND(Table156[[#This Row],[Total Amount]]&gt;=1000),"High",TRUE,"Normal")</f>
        <v>Normal</v>
      </c>
      <c r="L235" s="4" t="str">
        <f>IF(Table156[[#This Row],[Total Amount]]&gt;=1000,"High",(IF(Table156[[#This Row],[Total Amount]]&gt;=500,"Medium","Low")))</f>
        <v>Low</v>
      </c>
      <c r="M235" s="4" t="str" cm="1">
        <f t="array" ref="M23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35" s="4" cm="1">
        <f t="array" ref="N23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235" s="4">
        <f>Table156[[#This Row],[Total Amount]]-Table156[[#This Row],[Discount Amount]]</f>
        <v>40</v>
      </c>
      <c r="P235" s="4" t="str">
        <f>IF(Table156[[#This Row],[Total Amount]]&gt;=1000,"High","Low")</f>
        <v>Low</v>
      </c>
      <c r="Q235" s="4" t="str" cm="1">
        <f t="array" ref="Q235">_xlfn.IFS(AND(Table156[[#This Row],[Total Amount]]&gt;=1500,"Critical"),AND(Table156[[#This Row],[Total Amount]]&gt;=1000,"High"),TRUE,"Normal")</f>
        <v>Normal</v>
      </c>
      <c r="R235" s="4">
        <f>COUNTIF(Table156[Gender],"Male")</f>
        <v>490</v>
      </c>
    </row>
    <row r="236" spans="1:18" x14ac:dyDescent="0.35">
      <c r="A236" s="4">
        <v>235</v>
      </c>
      <c r="B236" s="5">
        <v>44957</v>
      </c>
      <c r="C236" s="4" t="s">
        <v>248</v>
      </c>
      <c r="D236" s="4" t="s">
        <v>13</v>
      </c>
      <c r="E236" s="4">
        <v>23</v>
      </c>
      <c r="F236" s="4" t="str">
        <f>IF(Table156[[#This Row],[Age]]&lt;=19,"Teenager",IF(Table156[[#This Row],[Age]]&lt;=40,"Median","Old"))</f>
        <v>Median</v>
      </c>
      <c r="G236" s="4" t="s">
        <v>16</v>
      </c>
      <c r="H236" s="4">
        <v>2</v>
      </c>
      <c r="I236" s="4">
        <v>500</v>
      </c>
      <c r="J236" s="4">
        <v>1000</v>
      </c>
      <c r="K236" s="4" t="str" cm="1">
        <f t="array" ref="K236">_xlfn.IFS(AND(Table156[[#This Row],[Total Amount]]&gt;=1500),"Critical",AND(Table156[[#This Row],[Total Amount]]&gt;=1000),"High",TRUE,"Normal")</f>
        <v>High</v>
      </c>
      <c r="L236" s="4" t="str">
        <f>IF(Table156[[#This Row],[Total Amount]]&gt;=1000,"High",(IF(Table156[[#This Row],[Total Amount]]&gt;=500,"Medium","Low")))</f>
        <v>High</v>
      </c>
      <c r="M236" s="4" t="str" cm="1">
        <f t="array" ref="M23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36" s="4" cm="1">
        <f t="array" ref="N23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36" s="4">
        <f>Table156[[#This Row],[Total Amount]]-Table156[[#This Row],[Discount Amount]]</f>
        <v>1000</v>
      </c>
      <c r="P236" s="4" t="str">
        <f>IF(Table156[[#This Row],[Total Amount]]&gt;=1000,"High","Low")</f>
        <v>High</v>
      </c>
      <c r="Q236" s="4" t="str" cm="1">
        <f t="array" ref="Q236">_xlfn.IFS(AND(Table156[[#This Row],[Total Amount]]&gt;=1500,"Critical"),AND(Table156[[#This Row],[Total Amount]]&gt;=1000,"High"),TRUE,"Normal")</f>
        <v>Normal</v>
      </c>
      <c r="R236" s="4">
        <f>COUNTIF(Table156[Gender],"Male")</f>
        <v>490</v>
      </c>
    </row>
    <row r="237" spans="1:18" x14ac:dyDescent="0.35">
      <c r="A237" s="4">
        <v>236</v>
      </c>
      <c r="B237" s="5">
        <v>45044</v>
      </c>
      <c r="C237" s="4" t="s">
        <v>249</v>
      </c>
      <c r="D237" s="4" t="s">
        <v>13</v>
      </c>
      <c r="E237" s="4">
        <v>54</v>
      </c>
      <c r="F237" s="4" t="str">
        <f>IF(Table156[[#This Row],[Age]]&lt;=19,"Teenager",IF(Table156[[#This Row],[Age]]&lt;=40,"Median","Old"))</f>
        <v>Old</v>
      </c>
      <c r="G237" s="4" t="s">
        <v>14</v>
      </c>
      <c r="H237" s="4">
        <v>1</v>
      </c>
      <c r="I237" s="4">
        <v>25</v>
      </c>
      <c r="J237" s="4">
        <v>25</v>
      </c>
      <c r="K237" s="4" t="str" cm="1">
        <f t="array" ref="K237">_xlfn.IFS(AND(Table156[[#This Row],[Total Amount]]&gt;=1500),"Critical",AND(Table156[[#This Row],[Total Amount]]&gt;=1000),"High",TRUE,"Normal")</f>
        <v>Normal</v>
      </c>
      <c r="L237" s="4" t="str">
        <f>IF(Table156[[#This Row],[Total Amount]]&gt;=1000,"High",(IF(Table156[[#This Row],[Total Amount]]&gt;=500,"Medium","Low")))</f>
        <v>Low</v>
      </c>
      <c r="M237" s="4" t="str" cm="1">
        <f t="array" ref="M23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37" s="4" cm="1">
        <f t="array" ref="N23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237" s="4">
        <f>Table156[[#This Row],[Total Amount]]-Table156[[#This Row],[Discount Amount]]</f>
        <v>20</v>
      </c>
      <c r="P237" s="4" t="str">
        <f>IF(Table156[[#This Row],[Total Amount]]&gt;=1000,"High","Low")</f>
        <v>Low</v>
      </c>
      <c r="Q237" s="4" t="str" cm="1">
        <f t="array" ref="Q237">_xlfn.IFS(AND(Table156[[#This Row],[Total Amount]]&gt;=1500,"Critical"),AND(Table156[[#This Row],[Total Amount]]&gt;=1000,"High"),TRUE,"Normal")</f>
        <v>Normal</v>
      </c>
      <c r="R237" s="4">
        <f>COUNTIF(Table156[Gender],"Male")</f>
        <v>490</v>
      </c>
    </row>
    <row r="238" spans="1:18" x14ac:dyDescent="0.35">
      <c r="A238" s="4">
        <v>237</v>
      </c>
      <c r="B238" s="5">
        <v>44961</v>
      </c>
      <c r="C238" s="4" t="s">
        <v>250</v>
      </c>
      <c r="D238" s="4" t="s">
        <v>13</v>
      </c>
      <c r="E238" s="4">
        <v>50</v>
      </c>
      <c r="F238" s="4" t="str">
        <f>IF(Table156[[#This Row],[Age]]&lt;=19,"Teenager",IF(Table156[[#This Row],[Age]]&lt;=40,"Median","Old"))</f>
        <v>Old</v>
      </c>
      <c r="G238" s="4" t="s">
        <v>11</v>
      </c>
      <c r="H238" s="4">
        <v>2</v>
      </c>
      <c r="I238" s="4">
        <v>500</v>
      </c>
      <c r="J238" s="4">
        <v>1000</v>
      </c>
      <c r="K238" s="4" t="str" cm="1">
        <f t="array" ref="K238">_xlfn.IFS(AND(Table156[[#This Row],[Total Amount]]&gt;=1500),"Critical",AND(Table156[[#This Row],[Total Amount]]&gt;=1000),"High",TRUE,"Normal")</f>
        <v>High</v>
      </c>
      <c r="L238" s="4" t="str">
        <f>IF(Table156[[#This Row],[Total Amount]]&gt;=1000,"High",(IF(Table156[[#This Row],[Total Amount]]&gt;=500,"Medium","Low")))</f>
        <v>High</v>
      </c>
      <c r="M238" s="4" t="str" cm="1">
        <f t="array" ref="M23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38" s="4" cm="1">
        <f t="array" ref="N23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238" s="4">
        <f>Table156[[#This Row],[Total Amount]]-Table156[[#This Row],[Discount Amount]]</f>
        <v>800</v>
      </c>
      <c r="P238" s="4" t="str">
        <f>IF(Table156[[#This Row],[Total Amount]]&gt;=1000,"High","Low")</f>
        <v>High</v>
      </c>
      <c r="Q238" s="4" t="str" cm="1">
        <f t="array" ref="Q238">_xlfn.IFS(AND(Table156[[#This Row],[Total Amount]]&gt;=1500,"Critical"),AND(Table156[[#This Row],[Total Amount]]&gt;=1000,"High"),TRUE,"Normal")</f>
        <v>Normal</v>
      </c>
      <c r="R238" s="4">
        <f>COUNTIF(Table156[Gender],"Male")</f>
        <v>490</v>
      </c>
    </row>
    <row r="239" spans="1:18" x14ac:dyDescent="0.35">
      <c r="A239" s="4">
        <v>238</v>
      </c>
      <c r="B239" s="5">
        <v>44943</v>
      </c>
      <c r="C239" s="4" t="s">
        <v>251</v>
      </c>
      <c r="D239" s="4" t="s">
        <v>13</v>
      </c>
      <c r="E239" s="4">
        <v>39</v>
      </c>
      <c r="F239" s="4" t="str">
        <f>IF(Table156[[#This Row],[Age]]&lt;=19,"Teenager",IF(Table156[[#This Row],[Age]]&lt;=40,"Median","Old"))</f>
        <v>Median</v>
      </c>
      <c r="G239" s="4" t="s">
        <v>11</v>
      </c>
      <c r="H239" s="4">
        <v>1</v>
      </c>
      <c r="I239" s="4">
        <v>500</v>
      </c>
      <c r="J239" s="4">
        <v>500</v>
      </c>
      <c r="K239" s="4" t="str" cm="1">
        <f t="array" ref="K239">_xlfn.IFS(AND(Table156[[#This Row],[Total Amount]]&gt;=1500),"Critical",AND(Table156[[#This Row],[Total Amount]]&gt;=1000),"High",TRUE,"Normal")</f>
        <v>Normal</v>
      </c>
      <c r="L239" s="4" t="str">
        <f>IF(Table156[[#This Row],[Total Amount]]&gt;=1000,"High",(IF(Table156[[#This Row],[Total Amount]]&gt;=500,"Medium","Low")))</f>
        <v>Medium</v>
      </c>
      <c r="M239" s="4" t="str" cm="1">
        <f t="array" ref="M23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39" s="4" cm="1">
        <f t="array" ref="N23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239" s="4">
        <f>Table156[[#This Row],[Total Amount]]-Table156[[#This Row],[Discount Amount]]</f>
        <v>400</v>
      </c>
      <c r="P239" s="4" t="str">
        <f>IF(Table156[[#This Row],[Total Amount]]&gt;=1000,"High","Low")</f>
        <v>Low</v>
      </c>
      <c r="Q239" s="4" t="str" cm="1">
        <f t="array" ref="Q239">_xlfn.IFS(AND(Table156[[#This Row],[Total Amount]]&gt;=1500,"Critical"),AND(Table156[[#This Row],[Total Amount]]&gt;=1000,"High"),TRUE,"Normal")</f>
        <v>Normal</v>
      </c>
      <c r="R239" s="4">
        <f>COUNTIF(Table156[Gender],"Male")</f>
        <v>490</v>
      </c>
    </row>
    <row r="240" spans="1:18" x14ac:dyDescent="0.35">
      <c r="A240" s="4">
        <v>239</v>
      </c>
      <c r="B240" s="5">
        <v>45096</v>
      </c>
      <c r="C240" s="4" t="s">
        <v>252</v>
      </c>
      <c r="D240" s="4" t="s">
        <v>10</v>
      </c>
      <c r="E240" s="4">
        <v>38</v>
      </c>
      <c r="F240" s="4" t="str">
        <f>IF(Table156[[#This Row],[Age]]&lt;=19,"Teenager",IF(Table156[[#This Row],[Age]]&lt;=40,"Median","Old"))</f>
        <v>Median</v>
      </c>
      <c r="G240" s="4" t="s">
        <v>16</v>
      </c>
      <c r="H240" s="4">
        <v>3</v>
      </c>
      <c r="I240" s="4">
        <v>500</v>
      </c>
      <c r="J240" s="4">
        <v>1500</v>
      </c>
      <c r="K240" s="4" t="str" cm="1">
        <f t="array" ref="K240">_xlfn.IFS(AND(Table156[[#This Row],[Total Amount]]&gt;=1500),"Critical",AND(Table156[[#This Row],[Total Amount]]&gt;=1000),"High",TRUE,"Normal")</f>
        <v>Critical</v>
      </c>
      <c r="L240" s="4" t="str">
        <f>IF(Table156[[#This Row],[Total Amount]]&gt;=1000,"High",(IF(Table156[[#This Row],[Total Amount]]&gt;=500,"Medium","Low")))</f>
        <v>High</v>
      </c>
      <c r="M240" s="4" t="str" cm="1">
        <f t="array" ref="M24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40" s="4" cm="1">
        <f t="array" ref="N24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240" s="4">
        <f>Table156[[#This Row],[Total Amount]]-Table156[[#This Row],[Discount Amount]]</f>
        <v>1350</v>
      </c>
      <c r="P240" s="4" t="str">
        <f>IF(Table156[[#This Row],[Total Amount]]&gt;=1000,"High","Low")</f>
        <v>High</v>
      </c>
      <c r="Q240" s="4" t="b" cm="1">
        <f t="array" ref="Q240">_xlfn.IFS(AND(Table156[[#This Row],[Total Amount]]&gt;=1500,"Critical"),AND(Table156[[#This Row],[Total Amount]]&gt;=1000,"High"),TRUE,"Normal")</f>
        <v>1</v>
      </c>
      <c r="R240" s="4">
        <f>COUNTIF(Table156[Gender],"Male")</f>
        <v>490</v>
      </c>
    </row>
    <row r="241" spans="1:18" x14ac:dyDescent="0.35">
      <c r="A241" s="4">
        <v>240</v>
      </c>
      <c r="B241" s="5">
        <v>44963</v>
      </c>
      <c r="C241" s="4" t="s">
        <v>253</v>
      </c>
      <c r="D241" s="4" t="s">
        <v>13</v>
      </c>
      <c r="E241" s="4">
        <v>23</v>
      </c>
      <c r="F241" s="4" t="str">
        <f>IF(Table156[[#This Row],[Age]]&lt;=19,"Teenager",IF(Table156[[#This Row],[Age]]&lt;=40,"Median","Old"))</f>
        <v>Median</v>
      </c>
      <c r="G241" s="4" t="s">
        <v>11</v>
      </c>
      <c r="H241" s="4">
        <v>1</v>
      </c>
      <c r="I241" s="4">
        <v>300</v>
      </c>
      <c r="J241" s="4">
        <v>300</v>
      </c>
      <c r="K241" s="4" t="str" cm="1">
        <f t="array" ref="K241">_xlfn.IFS(AND(Table156[[#This Row],[Total Amount]]&gt;=1500),"Critical",AND(Table156[[#This Row],[Total Amount]]&gt;=1000),"High",TRUE,"Normal")</f>
        <v>Normal</v>
      </c>
      <c r="L241" s="4" t="str">
        <f>IF(Table156[[#This Row],[Total Amount]]&gt;=1000,"High",(IF(Table156[[#This Row],[Total Amount]]&gt;=500,"Medium","Low")))</f>
        <v>Low</v>
      </c>
      <c r="M241" s="4" t="str" cm="1">
        <f t="array" ref="M24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41" s="4" cm="1">
        <f t="array" ref="N24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41" s="4">
        <f>Table156[[#This Row],[Total Amount]]-Table156[[#This Row],[Discount Amount]]</f>
        <v>300</v>
      </c>
      <c r="P241" s="4" t="str">
        <f>IF(Table156[[#This Row],[Total Amount]]&gt;=1000,"High","Low")</f>
        <v>Low</v>
      </c>
      <c r="Q241" s="4" t="str" cm="1">
        <f t="array" ref="Q241">_xlfn.IFS(AND(Table156[[#This Row],[Total Amount]]&gt;=1500,"Critical"),AND(Table156[[#This Row],[Total Amount]]&gt;=1000,"High"),TRUE,"Normal")</f>
        <v>Normal</v>
      </c>
      <c r="R241" s="4">
        <f>COUNTIF(Table156[Gender],"Male")</f>
        <v>490</v>
      </c>
    </row>
    <row r="242" spans="1:18" x14ac:dyDescent="0.35">
      <c r="A242" s="4">
        <v>241</v>
      </c>
      <c r="B242" s="5">
        <v>45190</v>
      </c>
      <c r="C242" s="4" t="s">
        <v>254</v>
      </c>
      <c r="D242" s="4" t="s">
        <v>13</v>
      </c>
      <c r="E242" s="4">
        <v>23</v>
      </c>
      <c r="F242" s="4" t="str">
        <f>IF(Table156[[#This Row],[Age]]&lt;=19,"Teenager",IF(Table156[[#This Row],[Age]]&lt;=40,"Median","Old"))</f>
        <v>Median</v>
      </c>
      <c r="G242" s="4" t="s">
        <v>16</v>
      </c>
      <c r="H242" s="4">
        <v>3</v>
      </c>
      <c r="I242" s="4">
        <v>25</v>
      </c>
      <c r="J242" s="4">
        <v>75</v>
      </c>
      <c r="K242" s="4" t="str" cm="1">
        <f t="array" ref="K242">_xlfn.IFS(AND(Table156[[#This Row],[Total Amount]]&gt;=1500),"Critical",AND(Table156[[#This Row],[Total Amount]]&gt;=1000),"High",TRUE,"Normal")</f>
        <v>Normal</v>
      </c>
      <c r="L242" s="4" t="str">
        <f>IF(Table156[[#This Row],[Total Amount]]&gt;=1000,"High",(IF(Table156[[#This Row],[Total Amount]]&gt;=500,"Medium","Low")))</f>
        <v>Low</v>
      </c>
      <c r="M242" s="4" t="str" cm="1">
        <f t="array" ref="M24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42" s="4" cm="1">
        <f t="array" ref="N24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42" s="4">
        <f>Table156[[#This Row],[Total Amount]]-Table156[[#This Row],[Discount Amount]]</f>
        <v>75</v>
      </c>
      <c r="P242" s="4" t="str">
        <f>IF(Table156[[#This Row],[Total Amount]]&gt;=1000,"High","Low")</f>
        <v>Low</v>
      </c>
      <c r="Q242" s="4" t="str" cm="1">
        <f t="array" ref="Q242">_xlfn.IFS(AND(Table156[[#This Row],[Total Amount]]&gt;=1500,"Critical"),AND(Table156[[#This Row],[Total Amount]]&gt;=1000,"High"),TRUE,"Normal")</f>
        <v>Normal</v>
      </c>
      <c r="R242" s="4">
        <f>COUNTIF(Table156[Gender],"Male")</f>
        <v>490</v>
      </c>
    </row>
    <row r="243" spans="1:18" x14ac:dyDescent="0.35">
      <c r="A243" s="4">
        <v>242</v>
      </c>
      <c r="B243" s="5">
        <v>45048</v>
      </c>
      <c r="C243" s="4" t="s">
        <v>255</v>
      </c>
      <c r="D243" s="4" t="s">
        <v>10</v>
      </c>
      <c r="E243" s="4">
        <v>21</v>
      </c>
      <c r="F243" s="4" t="str">
        <f>IF(Table156[[#This Row],[Age]]&lt;=19,"Teenager",IF(Table156[[#This Row],[Age]]&lt;=40,"Median","Old"))</f>
        <v>Median</v>
      </c>
      <c r="G243" s="4" t="s">
        <v>14</v>
      </c>
      <c r="H243" s="4">
        <v>1</v>
      </c>
      <c r="I243" s="4">
        <v>25</v>
      </c>
      <c r="J243" s="4">
        <v>25</v>
      </c>
      <c r="K243" s="4" t="str" cm="1">
        <f t="array" ref="K243">_xlfn.IFS(AND(Table156[[#This Row],[Total Amount]]&gt;=1500),"Critical",AND(Table156[[#This Row],[Total Amount]]&gt;=1000),"High",TRUE,"Normal")</f>
        <v>Normal</v>
      </c>
      <c r="L243" s="4" t="str">
        <f>IF(Table156[[#This Row],[Total Amount]]&gt;=1000,"High",(IF(Table156[[#This Row],[Total Amount]]&gt;=500,"Medium","Low")))</f>
        <v>Low</v>
      </c>
      <c r="M243" s="4" t="str" cm="1">
        <f t="array" ref="M24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43" s="4" cm="1">
        <f t="array" ref="N24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43" s="4">
        <f>Table156[[#This Row],[Total Amount]]-Table156[[#This Row],[Discount Amount]]</f>
        <v>25</v>
      </c>
      <c r="P243" s="4" t="str">
        <f>IF(Table156[[#This Row],[Total Amount]]&gt;=1000,"High","Low")</f>
        <v>Low</v>
      </c>
      <c r="Q243" s="4" t="str" cm="1">
        <f t="array" ref="Q243">_xlfn.IFS(AND(Table156[[#This Row],[Total Amount]]&gt;=1500,"Critical"),AND(Table156[[#This Row],[Total Amount]]&gt;=1000,"High"),TRUE,"Normal")</f>
        <v>Normal</v>
      </c>
      <c r="R243" s="4">
        <f>COUNTIF(Table156[Gender],"Male")</f>
        <v>490</v>
      </c>
    </row>
    <row r="244" spans="1:18" x14ac:dyDescent="0.35">
      <c r="A244" s="4">
        <v>243</v>
      </c>
      <c r="B244" s="5">
        <v>45069</v>
      </c>
      <c r="C244" s="4" t="s">
        <v>256</v>
      </c>
      <c r="D244" s="4" t="s">
        <v>13</v>
      </c>
      <c r="E244" s="4">
        <v>47</v>
      </c>
      <c r="F244" s="4" t="str">
        <f>IF(Table156[[#This Row],[Age]]&lt;=19,"Teenager",IF(Table156[[#This Row],[Age]]&lt;=40,"Median","Old"))</f>
        <v>Old</v>
      </c>
      <c r="G244" s="4" t="s">
        <v>16</v>
      </c>
      <c r="H244" s="4">
        <v>3</v>
      </c>
      <c r="I244" s="4">
        <v>300</v>
      </c>
      <c r="J244" s="4">
        <v>900</v>
      </c>
      <c r="K244" s="4" t="str" cm="1">
        <f t="array" ref="K244">_xlfn.IFS(AND(Table156[[#This Row],[Total Amount]]&gt;=1500),"Critical",AND(Table156[[#This Row],[Total Amount]]&gt;=1000),"High",TRUE,"Normal")</f>
        <v>Normal</v>
      </c>
      <c r="L244" s="4" t="str">
        <f>IF(Table156[[#This Row],[Total Amount]]&gt;=1000,"High",(IF(Table156[[#This Row],[Total Amount]]&gt;=500,"Medium","Low")))</f>
        <v>Medium</v>
      </c>
      <c r="M244" s="4" t="str" cm="1">
        <f t="array" ref="M24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44" s="4" cm="1">
        <f t="array" ref="N24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244" s="4">
        <f>Table156[[#This Row],[Total Amount]]-Table156[[#This Row],[Discount Amount]]</f>
        <v>720</v>
      </c>
      <c r="P244" s="4" t="str">
        <f>IF(Table156[[#This Row],[Total Amount]]&gt;=1000,"High","Low")</f>
        <v>Low</v>
      </c>
      <c r="Q244" s="4" t="str" cm="1">
        <f t="array" ref="Q244">_xlfn.IFS(AND(Table156[[#This Row],[Total Amount]]&gt;=1500,"Critical"),AND(Table156[[#This Row],[Total Amount]]&gt;=1000,"High"),TRUE,"Normal")</f>
        <v>Normal</v>
      </c>
      <c r="R244" s="4">
        <f>COUNTIF(Table156[Gender],"Male")</f>
        <v>490</v>
      </c>
    </row>
    <row r="245" spans="1:18" x14ac:dyDescent="0.35">
      <c r="A245" s="4">
        <v>244</v>
      </c>
      <c r="B245" s="5">
        <v>45269</v>
      </c>
      <c r="C245" s="4" t="s">
        <v>257</v>
      </c>
      <c r="D245" s="4" t="s">
        <v>10</v>
      </c>
      <c r="E245" s="4">
        <v>28</v>
      </c>
      <c r="F245" s="4" t="str">
        <f>IF(Table156[[#This Row],[Age]]&lt;=19,"Teenager",IF(Table156[[#This Row],[Age]]&lt;=40,"Median","Old"))</f>
        <v>Median</v>
      </c>
      <c r="G245" s="4" t="s">
        <v>11</v>
      </c>
      <c r="H245" s="4">
        <v>2</v>
      </c>
      <c r="I245" s="4">
        <v>50</v>
      </c>
      <c r="J245" s="4">
        <v>100</v>
      </c>
      <c r="K245" s="4" t="str" cm="1">
        <f t="array" ref="K245">_xlfn.IFS(AND(Table156[[#This Row],[Total Amount]]&gt;=1500),"Critical",AND(Table156[[#This Row],[Total Amount]]&gt;=1000),"High",TRUE,"Normal")</f>
        <v>Normal</v>
      </c>
      <c r="L245" s="4" t="str">
        <f>IF(Table156[[#This Row],[Total Amount]]&gt;=1000,"High",(IF(Table156[[#This Row],[Total Amount]]&gt;=500,"Medium","Low")))</f>
        <v>Low</v>
      </c>
      <c r="M245" s="4" t="str" cm="1">
        <f t="array" ref="M24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45" s="4" cm="1">
        <f t="array" ref="N24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245" s="4">
        <f>Table156[[#This Row],[Total Amount]]-Table156[[#This Row],[Discount Amount]]</f>
        <v>85</v>
      </c>
      <c r="P245" s="4" t="str">
        <f>IF(Table156[[#This Row],[Total Amount]]&gt;=1000,"High","Low")</f>
        <v>Low</v>
      </c>
      <c r="Q245" s="4" t="str" cm="1">
        <f t="array" ref="Q245">_xlfn.IFS(AND(Table156[[#This Row],[Total Amount]]&gt;=1500,"Critical"),AND(Table156[[#This Row],[Total Amount]]&gt;=1000,"High"),TRUE,"Normal")</f>
        <v>Normal</v>
      </c>
      <c r="R245" s="4">
        <f>COUNTIF(Table156[Gender],"Male")</f>
        <v>490</v>
      </c>
    </row>
    <row r="246" spans="1:18" x14ac:dyDescent="0.35">
      <c r="A246" s="4">
        <v>245</v>
      </c>
      <c r="B246" s="5">
        <v>45175</v>
      </c>
      <c r="C246" s="4" t="s">
        <v>258</v>
      </c>
      <c r="D246" s="4" t="s">
        <v>10</v>
      </c>
      <c r="E246" s="4">
        <v>47</v>
      </c>
      <c r="F246" s="4" t="str">
        <f>IF(Table156[[#This Row],[Age]]&lt;=19,"Teenager",IF(Table156[[#This Row],[Age]]&lt;=40,"Median","Old"))</f>
        <v>Old</v>
      </c>
      <c r="G246" s="4" t="s">
        <v>14</v>
      </c>
      <c r="H246" s="4">
        <v>3</v>
      </c>
      <c r="I246" s="4">
        <v>30</v>
      </c>
      <c r="J246" s="4">
        <v>90</v>
      </c>
      <c r="K246" s="4" t="str" cm="1">
        <f t="array" ref="K246">_xlfn.IFS(AND(Table156[[#This Row],[Total Amount]]&gt;=1500),"Critical",AND(Table156[[#This Row],[Total Amount]]&gt;=1000),"High",TRUE,"Normal")</f>
        <v>Normal</v>
      </c>
      <c r="L246" s="4" t="str">
        <f>IF(Table156[[#This Row],[Total Amount]]&gt;=1000,"High",(IF(Table156[[#This Row],[Total Amount]]&gt;=500,"Medium","Low")))</f>
        <v>Low</v>
      </c>
      <c r="M246" s="4" t="str" cm="1">
        <f t="array" ref="M24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46" s="4" cm="1">
        <f t="array" ref="N24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</v>
      </c>
      <c r="O246" s="4">
        <f>Table156[[#This Row],[Total Amount]]-Table156[[#This Row],[Discount Amount]]</f>
        <v>81</v>
      </c>
      <c r="P246" s="4" t="str">
        <f>IF(Table156[[#This Row],[Total Amount]]&gt;=1000,"High","Low")</f>
        <v>Low</v>
      </c>
      <c r="Q246" s="4" t="str" cm="1">
        <f t="array" ref="Q246">_xlfn.IFS(AND(Table156[[#This Row],[Total Amount]]&gt;=1500,"Critical"),AND(Table156[[#This Row],[Total Amount]]&gt;=1000,"High"),TRUE,"Normal")</f>
        <v>Normal</v>
      </c>
      <c r="R246" s="4">
        <f>COUNTIF(Table156[Gender],"Male")</f>
        <v>490</v>
      </c>
    </row>
    <row r="247" spans="1:18" x14ac:dyDescent="0.35">
      <c r="A247" s="4">
        <v>246</v>
      </c>
      <c r="B247" s="5">
        <v>45036</v>
      </c>
      <c r="C247" s="4" t="s">
        <v>259</v>
      </c>
      <c r="D247" s="4" t="s">
        <v>13</v>
      </c>
      <c r="E247" s="4">
        <v>48</v>
      </c>
      <c r="F247" s="4" t="str">
        <f>IF(Table156[[#This Row],[Age]]&lt;=19,"Teenager",IF(Table156[[#This Row],[Age]]&lt;=40,"Median","Old"))</f>
        <v>Old</v>
      </c>
      <c r="G247" s="4" t="s">
        <v>16</v>
      </c>
      <c r="H247" s="4">
        <v>2</v>
      </c>
      <c r="I247" s="4">
        <v>25</v>
      </c>
      <c r="J247" s="4">
        <v>50</v>
      </c>
      <c r="K247" s="4" t="str" cm="1">
        <f t="array" ref="K247">_xlfn.IFS(AND(Table156[[#This Row],[Total Amount]]&gt;=1500),"Critical",AND(Table156[[#This Row],[Total Amount]]&gt;=1000),"High",TRUE,"Normal")</f>
        <v>Normal</v>
      </c>
      <c r="L247" s="4" t="str">
        <f>IF(Table156[[#This Row],[Total Amount]]&gt;=1000,"High",(IF(Table156[[#This Row],[Total Amount]]&gt;=500,"Medium","Low")))</f>
        <v>Low</v>
      </c>
      <c r="M247" s="4" t="str" cm="1">
        <f t="array" ref="M24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47" s="4" cm="1">
        <f t="array" ref="N24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247" s="4">
        <f>Table156[[#This Row],[Total Amount]]-Table156[[#This Row],[Discount Amount]]</f>
        <v>40</v>
      </c>
      <c r="P247" s="4" t="str">
        <f>IF(Table156[[#This Row],[Total Amount]]&gt;=1000,"High","Low")</f>
        <v>Low</v>
      </c>
      <c r="Q247" s="4" t="str" cm="1">
        <f t="array" ref="Q247">_xlfn.IFS(AND(Table156[[#This Row],[Total Amount]]&gt;=1500,"Critical"),AND(Table156[[#This Row],[Total Amount]]&gt;=1000,"High"),TRUE,"Normal")</f>
        <v>Normal</v>
      </c>
      <c r="R247" s="4">
        <f>COUNTIF(Table156[Gender],"Male")</f>
        <v>490</v>
      </c>
    </row>
    <row r="248" spans="1:18" x14ac:dyDescent="0.35">
      <c r="A248" s="4">
        <v>247</v>
      </c>
      <c r="B248" s="5">
        <v>45203</v>
      </c>
      <c r="C248" s="4" t="s">
        <v>260</v>
      </c>
      <c r="D248" s="4" t="s">
        <v>10</v>
      </c>
      <c r="E248" s="4">
        <v>41</v>
      </c>
      <c r="F248" s="4" t="str">
        <f>IF(Table156[[#This Row],[Age]]&lt;=19,"Teenager",IF(Table156[[#This Row],[Age]]&lt;=40,"Median","Old"))</f>
        <v>Old</v>
      </c>
      <c r="G248" s="4" t="s">
        <v>16</v>
      </c>
      <c r="H248" s="4">
        <v>2</v>
      </c>
      <c r="I248" s="4">
        <v>30</v>
      </c>
      <c r="J248" s="4">
        <v>60</v>
      </c>
      <c r="K248" s="4" t="str" cm="1">
        <f t="array" ref="K248">_xlfn.IFS(AND(Table156[[#This Row],[Total Amount]]&gt;=1500),"Critical",AND(Table156[[#This Row],[Total Amount]]&gt;=1000),"High",TRUE,"Normal")</f>
        <v>Normal</v>
      </c>
      <c r="L248" s="4" t="str">
        <f>IF(Table156[[#This Row],[Total Amount]]&gt;=1000,"High",(IF(Table156[[#This Row],[Total Amount]]&gt;=500,"Medium","Low")))</f>
        <v>Low</v>
      </c>
      <c r="M248" s="4" t="str" cm="1">
        <f t="array" ref="M24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48" s="4" cm="1">
        <f t="array" ref="N24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248" s="4">
        <f>Table156[[#This Row],[Total Amount]]-Table156[[#This Row],[Discount Amount]]</f>
        <v>54</v>
      </c>
      <c r="P248" s="4" t="str">
        <f>IF(Table156[[#This Row],[Total Amount]]&gt;=1000,"High","Low")</f>
        <v>Low</v>
      </c>
      <c r="Q248" s="4" t="str" cm="1">
        <f t="array" ref="Q248">_xlfn.IFS(AND(Table156[[#This Row],[Total Amount]]&gt;=1500,"Critical"),AND(Table156[[#This Row],[Total Amount]]&gt;=1000,"High"),TRUE,"Normal")</f>
        <v>Normal</v>
      </c>
      <c r="R248" s="4">
        <f>COUNTIF(Table156[Gender],"Male")</f>
        <v>490</v>
      </c>
    </row>
    <row r="249" spans="1:18" x14ac:dyDescent="0.35">
      <c r="A249" s="4">
        <v>248</v>
      </c>
      <c r="B249" s="5">
        <v>44994</v>
      </c>
      <c r="C249" s="4" t="s">
        <v>261</v>
      </c>
      <c r="D249" s="4" t="s">
        <v>10</v>
      </c>
      <c r="E249" s="4">
        <v>26</v>
      </c>
      <c r="F249" s="4" t="str">
        <f>IF(Table156[[#This Row],[Age]]&lt;=19,"Teenager",IF(Table156[[#This Row],[Age]]&lt;=40,"Median","Old"))</f>
        <v>Median</v>
      </c>
      <c r="G249" s="4" t="s">
        <v>14</v>
      </c>
      <c r="H249" s="4">
        <v>3</v>
      </c>
      <c r="I249" s="4">
        <v>300</v>
      </c>
      <c r="J249" s="4">
        <v>900</v>
      </c>
      <c r="K249" s="4" t="str" cm="1">
        <f t="array" ref="K249">_xlfn.IFS(AND(Table156[[#This Row],[Total Amount]]&gt;=1500),"Critical",AND(Table156[[#This Row],[Total Amount]]&gt;=1000),"High",TRUE,"Normal")</f>
        <v>Normal</v>
      </c>
      <c r="L249" s="4" t="str">
        <f>IF(Table156[[#This Row],[Total Amount]]&gt;=1000,"High",(IF(Table156[[#This Row],[Total Amount]]&gt;=500,"Medium","Low")))</f>
        <v>Medium</v>
      </c>
      <c r="M249" s="4" t="str" cm="1">
        <f t="array" ref="M24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49" s="4" cm="1">
        <f t="array" ref="N24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135</v>
      </c>
      <c r="O249" s="4">
        <f>Table156[[#This Row],[Total Amount]]-Table156[[#This Row],[Discount Amount]]</f>
        <v>765</v>
      </c>
      <c r="P249" s="4" t="str">
        <f>IF(Table156[[#This Row],[Total Amount]]&gt;=1000,"High","Low")</f>
        <v>Low</v>
      </c>
      <c r="Q249" s="4" t="str" cm="1">
        <f t="array" ref="Q249">_xlfn.IFS(AND(Table156[[#This Row],[Total Amount]]&gt;=1500,"Critical"),AND(Table156[[#This Row],[Total Amount]]&gt;=1000,"High"),TRUE,"Normal")</f>
        <v>Normal</v>
      </c>
      <c r="R249" s="4">
        <f>COUNTIF(Table156[Gender],"Male")</f>
        <v>490</v>
      </c>
    </row>
    <row r="250" spans="1:18" x14ac:dyDescent="0.35">
      <c r="A250" s="4">
        <v>249</v>
      </c>
      <c r="B250" s="5">
        <v>45219</v>
      </c>
      <c r="C250" s="4" t="s">
        <v>262</v>
      </c>
      <c r="D250" s="4" t="s">
        <v>10</v>
      </c>
      <c r="E250" s="4">
        <v>20</v>
      </c>
      <c r="F250" s="4" t="str">
        <f>IF(Table156[[#This Row],[Age]]&lt;=19,"Teenager",IF(Table156[[#This Row],[Age]]&lt;=40,"Median","Old"))</f>
        <v>Median</v>
      </c>
      <c r="G250" s="4" t="s">
        <v>14</v>
      </c>
      <c r="H250" s="4">
        <v>1</v>
      </c>
      <c r="I250" s="4">
        <v>50</v>
      </c>
      <c r="J250" s="4">
        <v>50</v>
      </c>
      <c r="K250" s="4" t="str" cm="1">
        <f t="array" ref="K250">_xlfn.IFS(AND(Table156[[#This Row],[Total Amount]]&gt;=1500),"Critical",AND(Table156[[#This Row],[Total Amount]]&gt;=1000),"High",TRUE,"Normal")</f>
        <v>Normal</v>
      </c>
      <c r="L250" s="4" t="str">
        <f>IF(Table156[[#This Row],[Total Amount]]&gt;=1000,"High",(IF(Table156[[#This Row],[Total Amount]]&gt;=500,"Medium","Low")))</f>
        <v>Low</v>
      </c>
      <c r="M250" s="4" t="str" cm="1">
        <f t="array" ref="M25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50" s="4" cm="1">
        <f t="array" ref="N25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50" s="4">
        <f>Table156[[#This Row],[Total Amount]]-Table156[[#This Row],[Discount Amount]]</f>
        <v>50</v>
      </c>
      <c r="P250" s="4" t="str">
        <f>IF(Table156[[#This Row],[Total Amount]]&gt;=1000,"High","Low")</f>
        <v>Low</v>
      </c>
      <c r="Q250" s="4" t="str" cm="1">
        <f t="array" ref="Q250">_xlfn.IFS(AND(Table156[[#This Row],[Total Amount]]&gt;=1500,"Critical"),AND(Table156[[#This Row],[Total Amount]]&gt;=1000,"High"),TRUE,"Normal")</f>
        <v>Normal</v>
      </c>
      <c r="R250" s="4">
        <f>COUNTIF(Table156[Gender],"Male")</f>
        <v>490</v>
      </c>
    </row>
    <row r="251" spans="1:18" x14ac:dyDescent="0.35">
      <c r="A251" s="4">
        <v>250</v>
      </c>
      <c r="B251" s="5">
        <v>45222</v>
      </c>
      <c r="C251" s="4" t="s">
        <v>263</v>
      </c>
      <c r="D251" s="4" t="s">
        <v>10</v>
      </c>
      <c r="E251" s="4">
        <v>48</v>
      </c>
      <c r="F251" s="4" t="str">
        <f>IF(Table156[[#This Row],[Age]]&lt;=19,"Teenager",IF(Table156[[#This Row],[Age]]&lt;=40,"Median","Old"))</f>
        <v>Old</v>
      </c>
      <c r="G251" s="4" t="s">
        <v>16</v>
      </c>
      <c r="H251" s="4">
        <v>1</v>
      </c>
      <c r="I251" s="4">
        <v>50</v>
      </c>
      <c r="J251" s="4">
        <v>50</v>
      </c>
      <c r="K251" s="4" t="str" cm="1">
        <f t="array" ref="K251">_xlfn.IFS(AND(Table156[[#This Row],[Total Amount]]&gt;=1500),"Critical",AND(Table156[[#This Row],[Total Amount]]&gt;=1000),"High",TRUE,"Normal")</f>
        <v>Normal</v>
      </c>
      <c r="L251" s="4" t="str">
        <f>IF(Table156[[#This Row],[Total Amount]]&gt;=1000,"High",(IF(Table156[[#This Row],[Total Amount]]&gt;=500,"Medium","Low")))</f>
        <v>Low</v>
      </c>
      <c r="M251" s="4" t="str" cm="1">
        <f t="array" ref="M25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51" s="4" cm="1">
        <f t="array" ref="N25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251" s="4">
        <f>Table156[[#This Row],[Total Amount]]-Table156[[#This Row],[Discount Amount]]</f>
        <v>45</v>
      </c>
      <c r="P251" s="4" t="str">
        <f>IF(Table156[[#This Row],[Total Amount]]&gt;=1000,"High","Low")</f>
        <v>Low</v>
      </c>
      <c r="Q251" s="4" t="str" cm="1">
        <f t="array" ref="Q251">_xlfn.IFS(AND(Table156[[#This Row],[Total Amount]]&gt;=1500,"Critical"),AND(Table156[[#This Row],[Total Amount]]&gt;=1000,"High"),TRUE,"Normal")</f>
        <v>Normal</v>
      </c>
      <c r="R251" s="4">
        <f>COUNTIF(Table156[Gender],"Male")</f>
        <v>490</v>
      </c>
    </row>
    <row r="252" spans="1:18" x14ac:dyDescent="0.35">
      <c r="A252" s="4">
        <v>251</v>
      </c>
      <c r="B252" s="5">
        <v>45169</v>
      </c>
      <c r="C252" s="4" t="s">
        <v>264</v>
      </c>
      <c r="D252" s="4" t="s">
        <v>13</v>
      </c>
      <c r="E252" s="4">
        <v>57</v>
      </c>
      <c r="F252" s="4" t="str">
        <f>IF(Table156[[#This Row],[Age]]&lt;=19,"Teenager",IF(Table156[[#This Row],[Age]]&lt;=40,"Median","Old"))</f>
        <v>Old</v>
      </c>
      <c r="G252" s="4" t="s">
        <v>11</v>
      </c>
      <c r="H252" s="4">
        <v>4</v>
      </c>
      <c r="I252" s="4">
        <v>50</v>
      </c>
      <c r="J252" s="4">
        <v>200</v>
      </c>
      <c r="K252" s="4" t="str" cm="1">
        <f t="array" ref="K252">_xlfn.IFS(AND(Table156[[#This Row],[Total Amount]]&gt;=1500),"Critical",AND(Table156[[#This Row],[Total Amount]]&gt;=1000),"High",TRUE,"Normal")</f>
        <v>Normal</v>
      </c>
      <c r="L252" s="4" t="str">
        <f>IF(Table156[[#This Row],[Total Amount]]&gt;=1000,"High",(IF(Table156[[#This Row],[Total Amount]]&gt;=500,"Medium","Low")))</f>
        <v>Low</v>
      </c>
      <c r="M252" s="4" t="str" cm="1">
        <f t="array" ref="M25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52" s="4" cm="1">
        <f t="array" ref="N25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252" s="4">
        <f>Table156[[#This Row],[Total Amount]]-Table156[[#This Row],[Discount Amount]]</f>
        <v>160</v>
      </c>
      <c r="P252" s="4" t="str">
        <f>IF(Table156[[#This Row],[Total Amount]]&gt;=1000,"High","Low")</f>
        <v>Low</v>
      </c>
      <c r="Q252" s="4" t="str" cm="1">
        <f t="array" ref="Q252">_xlfn.IFS(AND(Table156[[#This Row],[Total Amount]]&gt;=1500,"Critical"),AND(Table156[[#This Row],[Total Amount]]&gt;=1000,"High"),TRUE,"Normal")</f>
        <v>Normal</v>
      </c>
      <c r="R252" s="4">
        <f>COUNTIF(Table156[Gender],"Male")</f>
        <v>490</v>
      </c>
    </row>
    <row r="253" spans="1:18" x14ac:dyDescent="0.35">
      <c r="A253" s="4">
        <v>252</v>
      </c>
      <c r="B253" s="5">
        <v>45051</v>
      </c>
      <c r="C253" s="4" t="s">
        <v>265</v>
      </c>
      <c r="D253" s="4" t="s">
        <v>10</v>
      </c>
      <c r="E253" s="4">
        <v>54</v>
      </c>
      <c r="F253" s="4" t="str">
        <f>IF(Table156[[#This Row],[Age]]&lt;=19,"Teenager",IF(Table156[[#This Row],[Age]]&lt;=40,"Median","Old"))</f>
        <v>Old</v>
      </c>
      <c r="G253" s="4" t="s">
        <v>16</v>
      </c>
      <c r="H253" s="4">
        <v>1</v>
      </c>
      <c r="I253" s="4">
        <v>300</v>
      </c>
      <c r="J253" s="4">
        <v>300</v>
      </c>
      <c r="K253" s="4" t="str" cm="1">
        <f t="array" ref="K253">_xlfn.IFS(AND(Table156[[#This Row],[Total Amount]]&gt;=1500),"Critical",AND(Table156[[#This Row],[Total Amount]]&gt;=1000),"High",TRUE,"Normal")</f>
        <v>Normal</v>
      </c>
      <c r="L253" s="4" t="str">
        <f>IF(Table156[[#This Row],[Total Amount]]&gt;=1000,"High",(IF(Table156[[#This Row],[Total Amount]]&gt;=500,"Medium","Low")))</f>
        <v>Low</v>
      </c>
      <c r="M253" s="4" t="str" cm="1">
        <f t="array" ref="M25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53" s="4" cm="1">
        <f t="array" ref="N25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253" s="4">
        <f>Table156[[#This Row],[Total Amount]]-Table156[[#This Row],[Discount Amount]]</f>
        <v>270</v>
      </c>
      <c r="P253" s="4" t="str">
        <f>IF(Table156[[#This Row],[Total Amount]]&gt;=1000,"High","Low")</f>
        <v>Low</v>
      </c>
      <c r="Q253" s="4" t="str" cm="1">
        <f t="array" ref="Q253">_xlfn.IFS(AND(Table156[[#This Row],[Total Amount]]&gt;=1500,"Critical"),AND(Table156[[#This Row],[Total Amount]]&gt;=1000,"High"),TRUE,"Normal")</f>
        <v>Normal</v>
      </c>
      <c r="R253" s="4">
        <f>COUNTIF(Table156[Gender],"Male")</f>
        <v>490</v>
      </c>
    </row>
    <row r="254" spans="1:18" x14ac:dyDescent="0.35">
      <c r="A254" s="4">
        <v>253</v>
      </c>
      <c r="B254" s="5">
        <v>45169</v>
      </c>
      <c r="C254" s="4" t="s">
        <v>266</v>
      </c>
      <c r="D254" s="4" t="s">
        <v>13</v>
      </c>
      <c r="E254" s="4">
        <v>53</v>
      </c>
      <c r="F254" s="4" t="str">
        <f>IF(Table156[[#This Row],[Age]]&lt;=19,"Teenager",IF(Table156[[#This Row],[Age]]&lt;=40,"Median","Old"))</f>
        <v>Old</v>
      </c>
      <c r="G254" s="4" t="s">
        <v>14</v>
      </c>
      <c r="H254" s="4">
        <v>4</v>
      </c>
      <c r="I254" s="4">
        <v>500</v>
      </c>
      <c r="J254" s="4">
        <v>2000</v>
      </c>
      <c r="K254" s="4" t="str" cm="1">
        <f t="array" ref="K254">_xlfn.IFS(AND(Table156[[#This Row],[Total Amount]]&gt;=1500),"Critical",AND(Table156[[#This Row],[Total Amount]]&gt;=1000),"High",TRUE,"Normal")</f>
        <v>Critical</v>
      </c>
      <c r="L254" s="4" t="str">
        <f>IF(Table156[[#This Row],[Total Amount]]&gt;=1000,"High",(IF(Table156[[#This Row],[Total Amount]]&gt;=500,"Medium","Low")))</f>
        <v>High</v>
      </c>
      <c r="M254" s="4" t="str" cm="1">
        <f t="array" ref="M25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54" s="4" cm="1">
        <f t="array" ref="N25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400</v>
      </c>
      <c r="O254" s="4">
        <f>Table156[[#This Row],[Total Amount]]-Table156[[#This Row],[Discount Amount]]</f>
        <v>1600</v>
      </c>
      <c r="P254" s="4" t="str">
        <f>IF(Table156[[#This Row],[Total Amount]]&gt;=1000,"High","Low")</f>
        <v>High</v>
      </c>
      <c r="Q254" s="4" t="b" cm="1">
        <f t="array" ref="Q254">_xlfn.IFS(AND(Table156[[#This Row],[Total Amount]]&gt;=1500,"Critical"),AND(Table156[[#This Row],[Total Amount]]&gt;=1000,"High"),TRUE,"Normal")</f>
        <v>1</v>
      </c>
      <c r="R254" s="4">
        <f>COUNTIF(Table156[Gender],"Male")</f>
        <v>490</v>
      </c>
    </row>
    <row r="255" spans="1:18" x14ac:dyDescent="0.35">
      <c r="A255" s="4">
        <v>254</v>
      </c>
      <c r="B255" s="5">
        <v>45135</v>
      </c>
      <c r="C255" s="4" t="s">
        <v>267</v>
      </c>
      <c r="D255" s="4" t="s">
        <v>10</v>
      </c>
      <c r="E255" s="4">
        <v>41</v>
      </c>
      <c r="F255" s="4" t="str">
        <f>IF(Table156[[#This Row],[Age]]&lt;=19,"Teenager",IF(Table156[[#This Row],[Age]]&lt;=40,"Median","Old"))</f>
        <v>Old</v>
      </c>
      <c r="G255" s="4" t="s">
        <v>16</v>
      </c>
      <c r="H255" s="4">
        <v>1</v>
      </c>
      <c r="I255" s="4">
        <v>500</v>
      </c>
      <c r="J255" s="4">
        <v>500</v>
      </c>
      <c r="K255" s="4" t="str" cm="1">
        <f t="array" ref="K255">_xlfn.IFS(AND(Table156[[#This Row],[Total Amount]]&gt;=1500),"Critical",AND(Table156[[#This Row],[Total Amount]]&gt;=1000),"High",TRUE,"Normal")</f>
        <v>Normal</v>
      </c>
      <c r="L255" s="4" t="str">
        <f>IF(Table156[[#This Row],[Total Amount]]&gt;=1000,"High",(IF(Table156[[#This Row],[Total Amount]]&gt;=500,"Medium","Low")))</f>
        <v>Medium</v>
      </c>
      <c r="M255" s="4" t="str" cm="1">
        <f t="array" ref="M25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55" s="4" cm="1">
        <f t="array" ref="N25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255" s="4">
        <f>Table156[[#This Row],[Total Amount]]-Table156[[#This Row],[Discount Amount]]</f>
        <v>450</v>
      </c>
      <c r="P255" s="4" t="str">
        <f>IF(Table156[[#This Row],[Total Amount]]&gt;=1000,"High","Low")</f>
        <v>Low</v>
      </c>
      <c r="Q255" s="4" t="str" cm="1">
        <f t="array" ref="Q255">_xlfn.IFS(AND(Table156[[#This Row],[Total Amount]]&gt;=1500,"Critical"),AND(Table156[[#This Row],[Total Amount]]&gt;=1000,"High"),TRUE,"Normal")</f>
        <v>Normal</v>
      </c>
      <c r="R255" s="4">
        <f>COUNTIF(Table156[Gender],"Male")</f>
        <v>490</v>
      </c>
    </row>
    <row r="256" spans="1:18" x14ac:dyDescent="0.35">
      <c r="A256" s="4">
        <v>255</v>
      </c>
      <c r="B256" s="5">
        <v>45024</v>
      </c>
      <c r="C256" s="4" t="s">
        <v>268</v>
      </c>
      <c r="D256" s="4" t="s">
        <v>10</v>
      </c>
      <c r="E256" s="4">
        <v>48</v>
      </c>
      <c r="F256" s="4" t="str">
        <f>IF(Table156[[#This Row],[Age]]&lt;=19,"Teenager",IF(Table156[[#This Row],[Age]]&lt;=40,"Median","Old"))</f>
        <v>Old</v>
      </c>
      <c r="G256" s="4" t="s">
        <v>14</v>
      </c>
      <c r="H256" s="4">
        <v>1</v>
      </c>
      <c r="I256" s="4">
        <v>30</v>
      </c>
      <c r="J256" s="4">
        <v>30</v>
      </c>
      <c r="K256" s="4" t="str" cm="1">
        <f t="array" ref="K256">_xlfn.IFS(AND(Table156[[#This Row],[Total Amount]]&gt;=1500),"Critical",AND(Table156[[#This Row],[Total Amount]]&gt;=1000),"High",TRUE,"Normal")</f>
        <v>Normal</v>
      </c>
      <c r="L256" s="4" t="str">
        <f>IF(Table156[[#This Row],[Total Amount]]&gt;=1000,"High",(IF(Table156[[#This Row],[Total Amount]]&gt;=500,"Medium","Low")))</f>
        <v>Low</v>
      </c>
      <c r="M256" s="4" t="str" cm="1">
        <f t="array" ref="M25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56" s="4" cm="1">
        <f t="array" ref="N25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256" s="4">
        <f>Table156[[#This Row],[Total Amount]]-Table156[[#This Row],[Discount Amount]]</f>
        <v>27</v>
      </c>
      <c r="P256" s="4" t="str">
        <f>IF(Table156[[#This Row],[Total Amount]]&gt;=1000,"High","Low")</f>
        <v>Low</v>
      </c>
      <c r="Q256" s="4" t="str" cm="1">
        <f t="array" ref="Q256">_xlfn.IFS(AND(Table156[[#This Row],[Total Amount]]&gt;=1500,"Critical"),AND(Table156[[#This Row],[Total Amount]]&gt;=1000,"High"),TRUE,"Normal")</f>
        <v>Normal</v>
      </c>
      <c r="R256" s="4">
        <f>COUNTIF(Table156[Gender],"Male")</f>
        <v>490</v>
      </c>
    </row>
    <row r="257" spans="1:18" x14ac:dyDescent="0.35">
      <c r="A257" s="4">
        <v>256</v>
      </c>
      <c r="B257" s="5">
        <v>44975</v>
      </c>
      <c r="C257" s="4" t="s">
        <v>269</v>
      </c>
      <c r="D257" s="4" t="s">
        <v>10</v>
      </c>
      <c r="E257" s="4">
        <v>23</v>
      </c>
      <c r="F257" s="4" t="str">
        <f>IF(Table156[[#This Row],[Age]]&lt;=19,"Teenager",IF(Table156[[#This Row],[Age]]&lt;=40,"Median","Old"))</f>
        <v>Median</v>
      </c>
      <c r="G257" s="4" t="s">
        <v>14</v>
      </c>
      <c r="H257" s="4">
        <v>2</v>
      </c>
      <c r="I257" s="4">
        <v>500</v>
      </c>
      <c r="J257" s="4">
        <v>1000</v>
      </c>
      <c r="K257" s="4" t="str" cm="1">
        <f t="array" ref="K257">_xlfn.IFS(AND(Table156[[#This Row],[Total Amount]]&gt;=1500),"Critical",AND(Table156[[#This Row],[Total Amount]]&gt;=1000),"High",TRUE,"Normal")</f>
        <v>High</v>
      </c>
      <c r="L257" s="4" t="str">
        <f>IF(Table156[[#This Row],[Total Amount]]&gt;=1000,"High",(IF(Table156[[#This Row],[Total Amount]]&gt;=500,"Medium","Low")))</f>
        <v>High</v>
      </c>
      <c r="M257" s="4" t="str" cm="1">
        <f t="array" ref="M25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57" s="4" cm="1">
        <f t="array" ref="N25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57" s="4">
        <f>Table156[[#This Row],[Total Amount]]-Table156[[#This Row],[Discount Amount]]</f>
        <v>1000</v>
      </c>
      <c r="P257" s="4" t="str">
        <f>IF(Table156[[#This Row],[Total Amount]]&gt;=1000,"High","Low")</f>
        <v>High</v>
      </c>
      <c r="Q257" s="4" t="str" cm="1">
        <f t="array" ref="Q257">_xlfn.IFS(AND(Table156[[#This Row],[Total Amount]]&gt;=1500,"Critical"),AND(Table156[[#This Row],[Total Amount]]&gt;=1000,"High"),TRUE,"Normal")</f>
        <v>Normal</v>
      </c>
      <c r="R257" s="4">
        <f>COUNTIF(Table156[Gender],"Male")</f>
        <v>490</v>
      </c>
    </row>
    <row r="258" spans="1:18" x14ac:dyDescent="0.35">
      <c r="A258" s="4">
        <v>257</v>
      </c>
      <c r="B258" s="5">
        <v>44976</v>
      </c>
      <c r="C258" s="4" t="s">
        <v>270</v>
      </c>
      <c r="D258" s="4" t="s">
        <v>10</v>
      </c>
      <c r="E258" s="4">
        <v>19</v>
      </c>
      <c r="F258" s="4" t="str">
        <f>IF(Table156[[#This Row],[Age]]&lt;=19,"Teenager",IF(Table156[[#This Row],[Age]]&lt;=40,"Median","Old"))</f>
        <v>Teenager</v>
      </c>
      <c r="G258" s="4" t="s">
        <v>11</v>
      </c>
      <c r="H258" s="4">
        <v>4</v>
      </c>
      <c r="I258" s="4">
        <v>500</v>
      </c>
      <c r="J258" s="4">
        <v>2000</v>
      </c>
      <c r="K258" s="4" t="str" cm="1">
        <f t="array" ref="K258">_xlfn.IFS(AND(Table156[[#This Row],[Total Amount]]&gt;=1500),"Critical",AND(Table156[[#This Row],[Total Amount]]&gt;=1000),"High",TRUE,"Normal")</f>
        <v>Critical</v>
      </c>
      <c r="L258" s="4" t="str">
        <f>IF(Table156[[#This Row],[Total Amount]]&gt;=1000,"High",(IF(Table156[[#This Row],[Total Amount]]&gt;=500,"Medium","Low")))</f>
        <v>High</v>
      </c>
      <c r="M258" s="4" t="str" cm="1">
        <f t="array" ref="M25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58" s="4" cm="1">
        <f t="array" ref="N25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58" s="4">
        <f>Table156[[#This Row],[Total Amount]]-Table156[[#This Row],[Discount Amount]]</f>
        <v>2000</v>
      </c>
      <c r="P258" s="4" t="str">
        <f>IF(Table156[[#This Row],[Total Amount]]&gt;=1000,"High","Low")</f>
        <v>High</v>
      </c>
      <c r="Q258" s="4" t="b" cm="1">
        <f t="array" ref="Q258">_xlfn.IFS(AND(Table156[[#This Row],[Total Amount]]&gt;=1500,"Critical"),AND(Table156[[#This Row],[Total Amount]]&gt;=1000,"High"),TRUE,"Normal")</f>
        <v>1</v>
      </c>
      <c r="R258" s="4">
        <f>COUNTIF(Table156[Gender],"Male")</f>
        <v>490</v>
      </c>
    </row>
    <row r="259" spans="1:18" x14ac:dyDescent="0.35">
      <c r="A259" s="4">
        <v>258</v>
      </c>
      <c r="B259" s="5">
        <v>45264</v>
      </c>
      <c r="C259" s="4" t="s">
        <v>271</v>
      </c>
      <c r="D259" s="4" t="s">
        <v>13</v>
      </c>
      <c r="E259" s="4">
        <v>37</v>
      </c>
      <c r="F259" s="4" t="str">
        <f>IF(Table156[[#This Row],[Age]]&lt;=19,"Teenager",IF(Table156[[#This Row],[Age]]&lt;=40,"Median","Old"))</f>
        <v>Median</v>
      </c>
      <c r="G259" s="4" t="s">
        <v>14</v>
      </c>
      <c r="H259" s="4">
        <v>1</v>
      </c>
      <c r="I259" s="4">
        <v>50</v>
      </c>
      <c r="J259" s="4">
        <v>50</v>
      </c>
      <c r="K259" s="4" t="str" cm="1">
        <f t="array" ref="K259">_xlfn.IFS(AND(Table156[[#This Row],[Total Amount]]&gt;=1500),"Critical",AND(Table156[[#This Row],[Total Amount]]&gt;=1000),"High",TRUE,"Normal")</f>
        <v>Normal</v>
      </c>
      <c r="L259" s="4" t="str">
        <f>IF(Table156[[#This Row],[Total Amount]]&gt;=1000,"High",(IF(Table156[[#This Row],[Total Amount]]&gt;=500,"Medium","Low")))</f>
        <v>Low</v>
      </c>
      <c r="M259" s="4" t="str" cm="1">
        <f t="array" ref="M25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59" s="4" cm="1">
        <f t="array" ref="N25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259" s="4">
        <f>Table156[[#This Row],[Total Amount]]-Table156[[#This Row],[Discount Amount]]</f>
        <v>40</v>
      </c>
      <c r="P259" s="4" t="str">
        <f>IF(Table156[[#This Row],[Total Amount]]&gt;=1000,"High","Low")</f>
        <v>Low</v>
      </c>
      <c r="Q259" s="4" t="str" cm="1">
        <f t="array" ref="Q259">_xlfn.IFS(AND(Table156[[#This Row],[Total Amount]]&gt;=1500,"Critical"),AND(Table156[[#This Row],[Total Amount]]&gt;=1000,"High"),TRUE,"Normal")</f>
        <v>Normal</v>
      </c>
      <c r="R259" s="4">
        <f>COUNTIF(Table156[Gender],"Male")</f>
        <v>490</v>
      </c>
    </row>
    <row r="260" spans="1:18" x14ac:dyDescent="0.35">
      <c r="A260" s="4">
        <v>259</v>
      </c>
      <c r="B260" s="5">
        <v>45147</v>
      </c>
      <c r="C260" s="4" t="s">
        <v>272</v>
      </c>
      <c r="D260" s="4" t="s">
        <v>13</v>
      </c>
      <c r="E260" s="4">
        <v>45</v>
      </c>
      <c r="F260" s="4" t="str">
        <f>IF(Table156[[#This Row],[Age]]&lt;=19,"Teenager",IF(Table156[[#This Row],[Age]]&lt;=40,"Median","Old"))</f>
        <v>Old</v>
      </c>
      <c r="G260" s="4" t="s">
        <v>14</v>
      </c>
      <c r="H260" s="4">
        <v>4</v>
      </c>
      <c r="I260" s="4">
        <v>50</v>
      </c>
      <c r="J260" s="4">
        <v>200</v>
      </c>
      <c r="K260" s="4" t="str" cm="1">
        <f t="array" ref="K260">_xlfn.IFS(AND(Table156[[#This Row],[Total Amount]]&gt;=1500),"Critical",AND(Table156[[#This Row],[Total Amount]]&gt;=1000),"High",TRUE,"Normal")</f>
        <v>Normal</v>
      </c>
      <c r="L260" s="4" t="str">
        <f>IF(Table156[[#This Row],[Total Amount]]&gt;=1000,"High",(IF(Table156[[#This Row],[Total Amount]]&gt;=500,"Medium","Low")))</f>
        <v>Low</v>
      </c>
      <c r="M260" s="4" t="str" cm="1">
        <f t="array" ref="M26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60" s="4" cm="1">
        <f t="array" ref="N26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260" s="4">
        <f>Table156[[#This Row],[Total Amount]]-Table156[[#This Row],[Discount Amount]]</f>
        <v>160</v>
      </c>
      <c r="P260" s="4" t="str">
        <f>IF(Table156[[#This Row],[Total Amount]]&gt;=1000,"High","Low")</f>
        <v>Low</v>
      </c>
      <c r="Q260" s="4" t="str" cm="1">
        <f t="array" ref="Q260">_xlfn.IFS(AND(Table156[[#This Row],[Total Amount]]&gt;=1500,"Critical"),AND(Table156[[#This Row],[Total Amount]]&gt;=1000,"High"),TRUE,"Normal")</f>
        <v>Normal</v>
      </c>
      <c r="R260" s="4">
        <f>COUNTIF(Table156[Gender],"Male")</f>
        <v>490</v>
      </c>
    </row>
    <row r="261" spans="1:18" x14ac:dyDescent="0.35">
      <c r="A261" s="4">
        <v>260</v>
      </c>
      <c r="B261" s="5">
        <v>45108</v>
      </c>
      <c r="C261" s="4" t="s">
        <v>273</v>
      </c>
      <c r="D261" s="4" t="s">
        <v>10</v>
      </c>
      <c r="E261" s="4">
        <v>28</v>
      </c>
      <c r="F261" s="4" t="str">
        <f>IF(Table156[[#This Row],[Age]]&lt;=19,"Teenager",IF(Table156[[#This Row],[Age]]&lt;=40,"Median","Old"))</f>
        <v>Median</v>
      </c>
      <c r="G261" s="4" t="s">
        <v>11</v>
      </c>
      <c r="H261" s="4">
        <v>2</v>
      </c>
      <c r="I261" s="4">
        <v>30</v>
      </c>
      <c r="J261" s="4">
        <v>60</v>
      </c>
      <c r="K261" s="4" t="str" cm="1">
        <f t="array" ref="K261">_xlfn.IFS(AND(Table156[[#This Row],[Total Amount]]&gt;=1500),"Critical",AND(Table156[[#This Row],[Total Amount]]&gt;=1000),"High",TRUE,"Normal")</f>
        <v>Normal</v>
      </c>
      <c r="L261" s="4" t="str">
        <f>IF(Table156[[#This Row],[Total Amount]]&gt;=1000,"High",(IF(Table156[[#This Row],[Total Amount]]&gt;=500,"Medium","Low")))</f>
        <v>Low</v>
      </c>
      <c r="M261" s="4" t="str" cm="1">
        <f t="array" ref="M26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61" s="4" cm="1">
        <f t="array" ref="N26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</v>
      </c>
      <c r="O261" s="4">
        <f>Table156[[#This Row],[Total Amount]]-Table156[[#This Row],[Discount Amount]]</f>
        <v>51</v>
      </c>
      <c r="P261" s="4" t="str">
        <f>IF(Table156[[#This Row],[Total Amount]]&gt;=1000,"High","Low")</f>
        <v>Low</v>
      </c>
      <c r="Q261" s="4" t="str" cm="1">
        <f t="array" ref="Q261">_xlfn.IFS(AND(Table156[[#This Row],[Total Amount]]&gt;=1500,"Critical"),AND(Table156[[#This Row],[Total Amount]]&gt;=1000,"High"),TRUE,"Normal")</f>
        <v>Normal</v>
      </c>
      <c r="R261" s="4">
        <f>COUNTIF(Table156[Gender],"Male")</f>
        <v>490</v>
      </c>
    </row>
    <row r="262" spans="1:18" x14ac:dyDescent="0.35">
      <c r="A262" s="4">
        <v>261</v>
      </c>
      <c r="B262" s="5">
        <v>45143</v>
      </c>
      <c r="C262" s="4" t="s">
        <v>274</v>
      </c>
      <c r="D262" s="4" t="s">
        <v>10</v>
      </c>
      <c r="E262" s="4">
        <v>21</v>
      </c>
      <c r="F262" s="4" t="str">
        <f>IF(Table156[[#This Row],[Age]]&lt;=19,"Teenager",IF(Table156[[#This Row],[Age]]&lt;=40,"Median","Old"))</f>
        <v>Median</v>
      </c>
      <c r="G262" s="4" t="s">
        <v>14</v>
      </c>
      <c r="H262" s="4">
        <v>2</v>
      </c>
      <c r="I262" s="4">
        <v>25</v>
      </c>
      <c r="J262" s="4">
        <v>50</v>
      </c>
      <c r="K262" s="4" t="str" cm="1">
        <f t="array" ref="K262">_xlfn.IFS(AND(Table156[[#This Row],[Total Amount]]&gt;=1500),"Critical",AND(Table156[[#This Row],[Total Amount]]&gt;=1000),"High",TRUE,"Normal")</f>
        <v>Normal</v>
      </c>
      <c r="L262" s="4" t="str">
        <f>IF(Table156[[#This Row],[Total Amount]]&gt;=1000,"High",(IF(Table156[[#This Row],[Total Amount]]&gt;=500,"Medium","Low")))</f>
        <v>Low</v>
      </c>
      <c r="M262" s="4" t="str" cm="1">
        <f t="array" ref="M26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62" s="4" cm="1">
        <f t="array" ref="N26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62" s="4">
        <f>Table156[[#This Row],[Total Amount]]-Table156[[#This Row],[Discount Amount]]</f>
        <v>50</v>
      </c>
      <c r="P262" s="4" t="str">
        <f>IF(Table156[[#This Row],[Total Amount]]&gt;=1000,"High","Low")</f>
        <v>Low</v>
      </c>
      <c r="Q262" s="4" t="str" cm="1">
        <f t="array" ref="Q262">_xlfn.IFS(AND(Table156[[#This Row],[Total Amount]]&gt;=1500,"Critical"),AND(Table156[[#This Row],[Total Amount]]&gt;=1000,"High"),TRUE,"Normal")</f>
        <v>Normal</v>
      </c>
      <c r="R262" s="4">
        <f>COUNTIF(Table156[Gender],"Male")</f>
        <v>490</v>
      </c>
    </row>
    <row r="263" spans="1:18" x14ac:dyDescent="0.35">
      <c r="A263" s="4">
        <v>262</v>
      </c>
      <c r="B263" s="5">
        <v>45137</v>
      </c>
      <c r="C263" s="4" t="s">
        <v>275</v>
      </c>
      <c r="D263" s="4" t="s">
        <v>13</v>
      </c>
      <c r="E263" s="4">
        <v>32</v>
      </c>
      <c r="F263" s="4" t="str">
        <f>IF(Table156[[#This Row],[Age]]&lt;=19,"Teenager",IF(Table156[[#This Row],[Age]]&lt;=40,"Median","Old"))</f>
        <v>Median</v>
      </c>
      <c r="G263" s="4" t="s">
        <v>11</v>
      </c>
      <c r="H263" s="4">
        <v>4</v>
      </c>
      <c r="I263" s="4">
        <v>30</v>
      </c>
      <c r="J263" s="4">
        <v>120</v>
      </c>
      <c r="K263" s="4" t="str" cm="1">
        <f t="array" ref="K263">_xlfn.IFS(AND(Table156[[#This Row],[Total Amount]]&gt;=1500),"Critical",AND(Table156[[#This Row],[Total Amount]]&gt;=1000),"High",TRUE,"Normal")</f>
        <v>Normal</v>
      </c>
      <c r="L263" s="4" t="str">
        <f>IF(Table156[[#This Row],[Total Amount]]&gt;=1000,"High",(IF(Table156[[#This Row],[Total Amount]]&gt;=500,"Medium","Low")))</f>
        <v>Low</v>
      </c>
      <c r="M263" s="4" t="str" cm="1">
        <f t="array" ref="M26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63" s="4" cm="1">
        <f t="array" ref="N26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263" s="4">
        <f>Table156[[#This Row],[Total Amount]]-Table156[[#This Row],[Discount Amount]]</f>
        <v>102</v>
      </c>
      <c r="P263" s="4" t="str">
        <f>IF(Table156[[#This Row],[Total Amount]]&gt;=1000,"High","Low")</f>
        <v>Low</v>
      </c>
      <c r="Q263" s="4" t="str" cm="1">
        <f t="array" ref="Q263">_xlfn.IFS(AND(Table156[[#This Row],[Total Amount]]&gt;=1500,"Critical"),AND(Table156[[#This Row],[Total Amount]]&gt;=1000,"High"),TRUE,"Normal")</f>
        <v>Normal</v>
      </c>
      <c r="R263" s="4">
        <f>COUNTIF(Table156[Gender],"Male")</f>
        <v>490</v>
      </c>
    </row>
    <row r="264" spans="1:18" x14ac:dyDescent="0.35">
      <c r="A264" s="4">
        <v>263</v>
      </c>
      <c r="B264" s="5">
        <v>45166</v>
      </c>
      <c r="C264" s="4" t="s">
        <v>276</v>
      </c>
      <c r="D264" s="4" t="s">
        <v>10</v>
      </c>
      <c r="E264" s="4">
        <v>23</v>
      </c>
      <c r="F264" s="4" t="str">
        <f>IF(Table156[[#This Row],[Age]]&lt;=19,"Teenager",IF(Table156[[#This Row],[Age]]&lt;=40,"Median","Old"))</f>
        <v>Median</v>
      </c>
      <c r="G264" s="4" t="s">
        <v>11</v>
      </c>
      <c r="H264" s="4">
        <v>2</v>
      </c>
      <c r="I264" s="4">
        <v>30</v>
      </c>
      <c r="J264" s="4">
        <v>60</v>
      </c>
      <c r="K264" s="4" t="str" cm="1">
        <f t="array" ref="K264">_xlfn.IFS(AND(Table156[[#This Row],[Total Amount]]&gt;=1500),"Critical",AND(Table156[[#This Row],[Total Amount]]&gt;=1000),"High",TRUE,"Normal")</f>
        <v>Normal</v>
      </c>
      <c r="L264" s="4" t="str">
        <f>IF(Table156[[#This Row],[Total Amount]]&gt;=1000,"High",(IF(Table156[[#This Row],[Total Amount]]&gt;=500,"Medium","Low")))</f>
        <v>Low</v>
      </c>
      <c r="M264" s="4" t="str" cm="1">
        <f t="array" ref="M26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64" s="4" cm="1">
        <f t="array" ref="N26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64" s="4">
        <f>Table156[[#This Row],[Total Amount]]-Table156[[#This Row],[Discount Amount]]</f>
        <v>60</v>
      </c>
      <c r="P264" s="4" t="str">
        <f>IF(Table156[[#This Row],[Total Amount]]&gt;=1000,"High","Low")</f>
        <v>Low</v>
      </c>
      <c r="Q264" s="4" t="str" cm="1">
        <f t="array" ref="Q264">_xlfn.IFS(AND(Table156[[#This Row],[Total Amount]]&gt;=1500,"Critical"),AND(Table156[[#This Row],[Total Amount]]&gt;=1000,"High"),TRUE,"Normal")</f>
        <v>Normal</v>
      </c>
      <c r="R264" s="4">
        <f>COUNTIF(Table156[Gender],"Male")</f>
        <v>490</v>
      </c>
    </row>
    <row r="265" spans="1:18" x14ac:dyDescent="0.35">
      <c r="A265" s="4">
        <v>264</v>
      </c>
      <c r="B265" s="5">
        <v>44954</v>
      </c>
      <c r="C265" s="4" t="s">
        <v>277</v>
      </c>
      <c r="D265" s="4" t="s">
        <v>10</v>
      </c>
      <c r="E265" s="4">
        <v>47</v>
      </c>
      <c r="F265" s="4" t="str">
        <f>IF(Table156[[#This Row],[Age]]&lt;=19,"Teenager",IF(Table156[[#This Row],[Age]]&lt;=40,"Median","Old"))</f>
        <v>Old</v>
      </c>
      <c r="G265" s="4" t="s">
        <v>14</v>
      </c>
      <c r="H265" s="4">
        <v>3</v>
      </c>
      <c r="I265" s="4">
        <v>300</v>
      </c>
      <c r="J265" s="4">
        <v>900</v>
      </c>
      <c r="K265" s="4" t="str" cm="1">
        <f t="array" ref="K265">_xlfn.IFS(AND(Table156[[#This Row],[Total Amount]]&gt;=1500),"Critical",AND(Table156[[#This Row],[Total Amount]]&gt;=1000),"High",TRUE,"Normal")</f>
        <v>Normal</v>
      </c>
      <c r="L265" s="4" t="str">
        <f>IF(Table156[[#This Row],[Total Amount]]&gt;=1000,"High",(IF(Table156[[#This Row],[Total Amount]]&gt;=500,"Medium","Low")))</f>
        <v>Medium</v>
      </c>
      <c r="M265" s="4" t="str" cm="1">
        <f t="array" ref="M26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65" s="4" cm="1">
        <f t="array" ref="N26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265" s="4">
        <f>Table156[[#This Row],[Total Amount]]-Table156[[#This Row],[Discount Amount]]</f>
        <v>810</v>
      </c>
      <c r="P265" s="4" t="str">
        <f>IF(Table156[[#This Row],[Total Amount]]&gt;=1000,"High","Low")</f>
        <v>Low</v>
      </c>
      <c r="Q265" s="4" t="str" cm="1">
        <f t="array" ref="Q265">_xlfn.IFS(AND(Table156[[#This Row],[Total Amount]]&gt;=1500,"Critical"),AND(Table156[[#This Row],[Total Amount]]&gt;=1000,"High"),TRUE,"Normal")</f>
        <v>Normal</v>
      </c>
      <c r="R265" s="4">
        <f>COUNTIF(Table156[Gender],"Male")</f>
        <v>490</v>
      </c>
    </row>
    <row r="266" spans="1:18" x14ac:dyDescent="0.35">
      <c r="A266" s="4">
        <v>265</v>
      </c>
      <c r="B266" s="5">
        <v>45271</v>
      </c>
      <c r="C266" s="4" t="s">
        <v>278</v>
      </c>
      <c r="D266" s="4" t="s">
        <v>10</v>
      </c>
      <c r="E266" s="4">
        <v>55</v>
      </c>
      <c r="F266" s="4" t="str">
        <f>IF(Table156[[#This Row],[Age]]&lt;=19,"Teenager",IF(Table156[[#This Row],[Age]]&lt;=40,"Median","Old"))</f>
        <v>Old</v>
      </c>
      <c r="G266" s="4" t="s">
        <v>14</v>
      </c>
      <c r="H266" s="4">
        <v>3</v>
      </c>
      <c r="I266" s="4">
        <v>300</v>
      </c>
      <c r="J266" s="4">
        <v>900</v>
      </c>
      <c r="K266" s="4" t="str" cm="1">
        <f t="array" ref="K266">_xlfn.IFS(AND(Table156[[#This Row],[Total Amount]]&gt;=1500),"Critical",AND(Table156[[#This Row],[Total Amount]]&gt;=1000),"High",TRUE,"Normal")</f>
        <v>Normal</v>
      </c>
      <c r="L266" s="4" t="str">
        <f>IF(Table156[[#This Row],[Total Amount]]&gt;=1000,"High",(IF(Table156[[#This Row],[Total Amount]]&gt;=500,"Medium","Low")))</f>
        <v>Medium</v>
      </c>
      <c r="M266" s="4" t="str" cm="1">
        <f t="array" ref="M26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66" s="4" cm="1">
        <f t="array" ref="N26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266" s="4">
        <f>Table156[[#This Row],[Total Amount]]-Table156[[#This Row],[Discount Amount]]</f>
        <v>810</v>
      </c>
      <c r="P266" s="4" t="str">
        <f>IF(Table156[[#This Row],[Total Amount]]&gt;=1000,"High","Low")</f>
        <v>Low</v>
      </c>
      <c r="Q266" s="4" t="str" cm="1">
        <f t="array" ref="Q266">_xlfn.IFS(AND(Table156[[#This Row],[Total Amount]]&gt;=1500,"Critical"),AND(Table156[[#This Row],[Total Amount]]&gt;=1000,"High"),TRUE,"Normal")</f>
        <v>Normal</v>
      </c>
      <c r="R266" s="4">
        <f>COUNTIF(Table156[Gender],"Male")</f>
        <v>490</v>
      </c>
    </row>
    <row r="267" spans="1:18" x14ac:dyDescent="0.35">
      <c r="A267" s="4">
        <v>266</v>
      </c>
      <c r="B267" s="5">
        <v>45261</v>
      </c>
      <c r="C267" s="4" t="s">
        <v>279</v>
      </c>
      <c r="D267" s="4" t="s">
        <v>13</v>
      </c>
      <c r="E267" s="4">
        <v>19</v>
      </c>
      <c r="F267" s="4" t="str">
        <f>IF(Table156[[#This Row],[Age]]&lt;=19,"Teenager",IF(Table156[[#This Row],[Age]]&lt;=40,"Median","Old"))</f>
        <v>Teenager</v>
      </c>
      <c r="G267" s="4" t="s">
        <v>16</v>
      </c>
      <c r="H267" s="4">
        <v>2</v>
      </c>
      <c r="I267" s="4">
        <v>30</v>
      </c>
      <c r="J267" s="4">
        <v>60</v>
      </c>
      <c r="K267" s="4" t="str" cm="1">
        <f t="array" ref="K267">_xlfn.IFS(AND(Table156[[#This Row],[Total Amount]]&gt;=1500),"Critical",AND(Table156[[#This Row],[Total Amount]]&gt;=1000),"High",TRUE,"Normal")</f>
        <v>Normal</v>
      </c>
      <c r="L267" s="4" t="str">
        <f>IF(Table156[[#This Row],[Total Amount]]&gt;=1000,"High",(IF(Table156[[#This Row],[Total Amount]]&gt;=500,"Medium","Low")))</f>
        <v>Low</v>
      </c>
      <c r="M267" s="4" t="str" cm="1">
        <f t="array" ref="M26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67" s="4" cm="1">
        <f t="array" ref="N26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67" s="4">
        <f>Table156[[#This Row],[Total Amount]]-Table156[[#This Row],[Discount Amount]]</f>
        <v>60</v>
      </c>
      <c r="P267" s="4" t="str">
        <f>IF(Table156[[#This Row],[Total Amount]]&gt;=1000,"High","Low")</f>
        <v>Low</v>
      </c>
      <c r="Q267" s="4" t="str" cm="1">
        <f t="array" ref="Q267">_xlfn.IFS(AND(Table156[[#This Row],[Total Amount]]&gt;=1500,"Critical"),AND(Table156[[#This Row],[Total Amount]]&gt;=1000,"High"),TRUE,"Normal")</f>
        <v>Normal</v>
      </c>
      <c r="R267" s="4">
        <f>COUNTIF(Table156[Gender],"Male")</f>
        <v>490</v>
      </c>
    </row>
    <row r="268" spans="1:18" x14ac:dyDescent="0.35">
      <c r="A268" s="4">
        <v>267</v>
      </c>
      <c r="B268" s="5">
        <v>45257</v>
      </c>
      <c r="C268" s="4" t="s">
        <v>280</v>
      </c>
      <c r="D268" s="4" t="s">
        <v>13</v>
      </c>
      <c r="E268" s="4">
        <v>32</v>
      </c>
      <c r="F268" s="4" t="str">
        <f>IF(Table156[[#This Row],[Age]]&lt;=19,"Teenager",IF(Table156[[#This Row],[Age]]&lt;=40,"Median","Old"))</f>
        <v>Median</v>
      </c>
      <c r="G268" s="4" t="s">
        <v>11</v>
      </c>
      <c r="H268" s="4">
        <v>3</v>
      </c>
      <c r="I268" s="4">
        <v>30</v>
      </c>
      <c r="J268" s="4">
        <v>90</v>
      </c>
      <c r="K268" s="4" t="str" cm="1">
        <f t="array" ref="K268">_xlfn.IFS(AND(Table156[[#This Row],[Total Amount]]&gt;=1500),"Critical",AND(Table156[[#This Row],[Total Amount]]&gt;=1000),"High",TRUE,"Normal")</f>
        <v>Normal</v>
      </c>
      <c r="L268" s="4" t="str">
        <f>IF(Table156[[#This Row],[Total Amount]]&gt;=1000,"High",(IF(Table156[[#This Row],[Total Amount]]&gt;=500,"Medium","Low")))</f>
        <v>Low</v>
      </c>
      <c r="M268" s="4" t="str" cm="1">
        <f t="array" ref="M26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68" s="4" cm="1">
        <f t="array" ref="N26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13.5</v>
      </c>
      <c r="O268" s="4">
        <f>Table156[[#This Row],[Total Amount]]-Table156[[#This Row],[Discount Amount]]</f>
        <v>76.5</v>
      </c>
      <c r="P268" s="4" t="str">
        <f>IF(Table156[[#This Row],[Total Amount]]&gt;=1000,"High","Low")</f>
        <v>Low</v>
      </c>
      <c r="Q268" s="4" t="str" cm="1">
        <f t="array" ref="Q268">_xlfn.IFS(AND(Table156[[#This Row],[Total Amount]]&gt;=1500,"Critical"),AND(Table156[[#This Row],[Total Amount]]&gt;=1000,"High"),TRUE,"Normal")</f>
        <v>Normal</v>
      </c>
      <c r="R268" s="4">
        <f>COUNTIF(Table156[Gender],"Male")</f>
        <v>490</v>
      </c>
    </row>
    <row r="269" spans="1:18" x14ac:dyDescent="0.35">
      <c r="A269" s="4">
        <v>268</v>
      </c>
      <c r="B269" s="5">
        <v>44977</v>
      </c>
      <c r="C269" s="4" t="s">
        <v>281</v>
      </c>
      <c r="D269" s="4" t="s">
        <v>13</v>
      </c>
      <c r="E269" s="4">
        <v>28</v>
      </c>
      <c r="F269" s="4" t="str">
        <f>IF(Table156[[#This Row],[Age]]&lt;=19,"Teenager",IF(Table156[[#This Row],[Age]]&lt;=40,"Median","Old"))</f>
        <v>Median</v>
      </c>
      <c r="G269" s="4" t="s">
        <v>16</v>
      </c>
      <c r="H269" s="4">
        <v>1</v>
      </c>
      <c r="I269" s="4">
        <v>30</v>
      </c>
      <c r="J269" s="4">
        <v>30</v>
      </c>
      <c r="K269" s="4" t="str" cm="1">
        <f t="array" ref="K269">_xlfn.IFS(AND(Table156[[#This Row],[Total Amount]]&gt;=1500),"Critical",AND(Table156[[#This Row],[Total Amount]]&gt;=1000),"High",TRUE,"Normal")</f>
        <v>Normal</v>
      </c>
      <c r="L269" s="4" t="str">
        <f>IF(Table156[[#This Row],[Total Amount]]&gt;=1000,"High",(IF(Table156[[#This Row],[Total Amount]]&gt;=500,"Medium","Low")))</f>
        <v>Low</v>
      </c>
      <c r="M269" s="4" t="str" cm="1">
        <f t="array" ref="M26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69" s="4" cm="1">
        <f t="array" ref="N26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4.5</v>
      </c>
      <c r="O269" s="4">
        <f>Table156[[#This Row],[Total Amount]]-Table156[[#This Row],[Discount Amount]]</f>
        <v>25.5</v>
      </c>
      <c r="P269" s="4" t="str">
        <f>IF(Table156[[#This Row],[Total Amount]]&gt;=1000,"High","Low")</f>
        <v>Low</v>
      </c>
      <c r="Q269" s="4" t="str" cm="1">
        <f t="array" ref="Q269">_xlfn.IFS(AND(Table156[[#This Row],[Total Amount]]&gt;=1500,"Critical"),AND(Table156[[#This Row],[Total Amount]]&gt;=1000,"High"),TRUE,"Normal")</f>
        <v>Normal</v>
      </c>
      <c r="R269" s="4">
        <f>COUNTIF(Table156[Gender],"Male")</f>
        <v>490</v>
      </c>
    </row>
    <row r="270" spans="1:18" x14ac:dyDescent="0.35">
      <c r="A270" s="4">
        <v>269</v>
      </c>
      <c r="B270" s="5">
        <v>44958</v>
      </c>
      <c r="C270" s="4" t="s">
        <v>282</v>
      </c>
      <c r="D270" s="4" t="s">
        <v>10</v>
      </c>
      <c r="E270" s="4">
        <v>25</v>
      </c>
      <c r="F270" s="4" t="str">
        <f>IF(Table156[[#This Row],[Age]]&lt;=19,"Teenager",IF(Table156[[#This Row],[Age]]&lt;=40,"Median","Old"))</f>
        <v>Median</v>
      </c>
      <c r="G270" s="4" t="s">
        <v>14</v>
      </c>
      <c r="H270" s="4">
        <v>4</v>
      </c>
      <c r="I270" s="4">
        <v>500</v>
      </c>
      <c r="J270" s="4">
        <v>2000</v>
      </c>
      <c r="K270" s="4" t="str" cm="1">
        <f t="array" ref="K270">_xlfn.IFS(AND(Table156[[#This Row],[Total Amount]]&gt;=1500),"Critical",AND(Table156[[#This Row],[Total Amount]]&gt;=1000),"High",TRUE,"Normal")</f>
        <v>Critical</v>
      </c>
      <c r="L270" s="4" t="str">
        <f>IF(Table156[[#This Row],[Total Amount]]&gt;=1000,"High",(IF(Table156[[#This Row],[Total Amount]]&gt;=500,"Medium","Low")))</f>
        <v>High</v>
      </c>
      <c r="M270" s="4" t="str" cm="1">
        <f t="array" ref="M27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70" s="4" cm="1">
        <f t="array" ref="N27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270" s="4">
        <f>Table156[[#This Row],[Total Amount]]-Table156[[#This Row],[Discount Amount]]</f>
        <v>1700</v>
      </c>
      <c r="P270" s="4" t="str">
        <f>IF(Table156[[#This Row],[Total Amount]]&gt;=1000,"High","Low")</f>
        <v>High</v>
      </c>
      <c r="Q270" s="4" t="b" cm="1">
        <f t="array" ref="Q270">_xlfn.IFS(AND(Table156[[#This Row],[Total Amount]]&gt;=1500,"Critical"),AND(Table156[[#This Row],[Total Amount]]&gt;=1000,"High"),TRUE,"Normal")</f>
        <v>1</v>
      </c>
      <c r="R270" s="4">
        <f>COUNTIF(Table156[Gender],"Male")</f>
        <v>490</v>
      </c>
    </row>
    <row r="271" spans="1:18" x14ac:dyDescent="0.35">
      <c r="A271" s="4">
        <v>270</v>
      </c>
      <c r="B271" s="5">
        <v>45133</v>
      </c>
      <c r="C271" s="4" t="s">
        <v>283</v>
      </c>
      <c r="D271" s="4" t="s">
        <v>10</v>
      </c>
      <c r="E271" s="4">
        <v>43</v>
      </c>
      <c r="F271" s="4" t="str">
        <f>IF(Table156[[#This Row],[Age]]&lt;=19,"Teenager",IF(Table156[[#This Row],[Age]]&lt;=40,"Median","Old"))</f>
        <v>Old</v>
      </c>
      <c r="G271" s="4" t="s">
        <v>16</v>
      </c>
      <c r="H271" s="4">
        <v>1</v>
      </c>
      <c r="I271" s="4">
        <v>300</v>
      </c>
      <c r="J271" s="4">
        <v>300</v>
      </c>
      <c r="K271" s="4" t="str" cm="1">
        <f t="array" ref="K271">_xlfn.IFS(AND(Table156[[#This Row],[Total Amount]]&gt;=1500),"Critical",AND(Table156[[#This Row],[Total Amount]]&gt;=1000),"High",TRUE,"Normal")</f>
        <v>Normal</v>
      </c>
      <c r="L271" s="4" t="str">
        <f>IF(Table156[[#This Row],[Total Amount]]&gt;=1000,"High",(IF(Table156[[#This Row],[Total Amount]]&gt;=500,"Medium","Low")))</f>
        <v>Low</v>
      </c>
      <c r="M271" s="4" t="str" cm="1">
        <f t="array" ref="M27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71" s="4" cm="1">
        <f t="array" ref="N27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271" s="4">
        <f>Table156[[#This Row],[Total Amount]]-Table156[[#This Row],[Discount Amount]]</f>
        <v>270</v>
      </c>
      <c r="P271" s="4" t="str">
        <f>IF(Table156[[#This Row],[Total Amount]]&gt;=1000,"High","Low")</f>
        <v>Low</v>
      </c>
      <c r="Q271" s="4" t="str" cm="1">
        <f t="array" ref="Q271">_xlfn.IFS(AND(Table156[[#This Row],[Total Amount]]&gt;=1500,"Critical"),AND(Table156[[#This Row],[Total Amount]]&gt;=1000,"High"),TRUE,"Normal")</f>
        <v>Normal</v>
      </c>
      <c r="R271" s="4">
        <f>COUNTIF(Table156[Gender],"Male")</f>
        <v>490</v>
      </c>
    </row>
    <row r="272" spans="1:18" x14ac:dyDescent="0.35">
      <c r="A272" s="4">
        <v>271</v>
      </c>
      <c r="B272" s="5">
        <v>45100</v>
      </c>
      <c r="C272" s="4" t="s">
        <v>284</v>
      </c>
      <c r="D272" s="4" t="s">
        <v>13</v>
      </c>
      <c r="E272" s="4">
        <v>62</v>
      </c>
      <c r="F272" s="4" t="str">
        <f>IF(Table156[[#This Row],[Age]]&lt;=19,"Teenager",IF(Table156[[#This Row],[Age]]&lt;=40,"Median","Old"))</f>
        <v>Old</v>
      </c>
      <c r="G272" s="4" t="s">
        <v>11</v>
      </c>
      <c r="H272" s="4">
        <v>4</v>
      </c>
      <c r="I272" s="4">
        <v>30</v>
      </c>
      <c r="J272" s="4">
        <v>120</v>
      </c>
      <c r="K272" s="4" t="str" cm="1">
        <f t="array" ref="K272">_xlfn.IFS(AND(Table156[[#This Row],[Total Amount]]&gt;=1500),"Critical",AND(Table156[[#This Row],[Total Amount]]&gt;=1000),"High",TRUE,"Normal")</f>
        <v>Normal</v>
      </c>
      <c r="L272" s="4" t="str">
        <f>IF(Table156[[#This Row],[Total Amount]]&gt;=1000,"High",(IF(Table156[[#This Row],[Total Amount]]&gt;=500,"Medium","Low")))</f>
        <v>Low</v>
      </c>
      <c r="M272" s="4" t="str" cm="1">
        <f t="array" ref="M27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72" s="4" cm="1">
        <f t="array" ref="N27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272" s="4">
        <f>Table156[[#This Row],[Total Amount]]-Table156[[#This Row],[Discount Amount]]</f>
        <v>96</v>
      </c>
      <c r="P272" s="4" t="str">
        <f>IF(Table156[[#This Row],[Total Amount]]&gt;=1000,"High","Low")</f>
        <v>Low</v>
      </c>
      <c r="Q272" s="4" t="str" cm="1">
        <f t="array" ref="Q272">_xlfn.IFS(AND(Table156[[#This Row],[Total Amount]]&gt;=1500,"Critical"),AND(Table156[[#This Row],[Total Amount]]&gt;=1000,"High"),TRUE,"Normal")</f>
        <v>Normal</v>
      </c>
      <c r="R272" s="4">
        <f>COUNTIF(Table156[Gender],"Male")</f>
        <v>490</v>
      </c>
    </row>
    <row r="273" spans="1:18" x14ac:dyDescent="0.35">
      <c r="A273" s="4">
        <v>272</v>
      </c>
      <c r="B273" s="5">
        <v>44982</v>
      </c>
      <c r="C273" s="4" t="s">
        <v>285</v>
      </c>
      <c r="D273" s="4" t="s">
        <v>13</v>
      </c>
      <c r="E273" s="4">
        <v>61</v>
      </c>
      <c r="F273" s="4" t="str">
        <f>IF(Table156[[#This Row],[Age]]&lt;=19,"Teenager",IF(Table156[[#This Row],[Age]]&lt;=40,"Median","Old"))</f>
        <v>Old</v>
      </c>
      <c r="G273" s="4" t="s">
        <v>16</v>
      </c>
      <c r="H273" s="4">
        <v>2</v>
      </c>
      <c r="I273" s="4">
        <v>50</v>
      </c>
      <c r="J273" s="4">
        <v>100</v>
      </c>
      <c r="K273" s="4" t="str" cm="1">
        <f t="array" ref="K273">_xlfn.IFS(AND(Table156[[#This Row],[Total Amount]]&gt;=1500),"Critical",AND(Table156[[#This Row],[Total Amount]]&gt;=1000),"High",TRUE,"Normal")</f>
        <v>Normal</v>
      </c>
      <c r="L273" s="4" t="str">
        <f>IF(Table156[[#This Row],[Total Amount]]&gt;=1000,"High",(IF(Table156[[#This Row],[Total Amount]]&gt;=500,"Medium","Low")))</f>
        <v>Low</v>
      </c>
      <c r="M273" s="4" t="str" cm="1">
        <f t="array" ref="M27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73" s="4" cm="1">
        <f t="array" ref="N27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273" s="4">
        <f>Table156[[#This Row],[Total Amount]]-Table156[[#This Row],[Discount Amount]]</f>
        <v>80</v>
      </c>
      <c r="P273" s="4" t="str">
        <f>IF(Table156[[#This Row],[Total Amount]]&gt;=1000,"High","Low")</f>
        <v>Low</v>
      </c>
      <c r="Q273" s="4" t="str" cm="1">
        <f t="array" ref="Q273">_xlfn.IFS(AND(Table156[[#This Row],[Total Amount]]&gt;=1500,"Critical"),AND(Table156[[#This Row],[Total Amount]]&gt;=1000,"High"),TRUE,"Normal")</f>
        <v>Normal</v>
      </c>
      <c r="R273" s="4">
        <f>COUNTIF(Table156[Gender],"Male")</f>
        <v>490</v>
      </c>
    </row>
    <row r="274" spans="1:18" x14ac:dyDescent="0.35">
      <c r="A274" s="4">
        <v>273</v>
      </c>
      <c r="B274" s="5">
        <v>45054</v>
      </c>
      <c r="C274" s="4" t="s">
        <v>286</v>
      </c>
      <c r="D274" s="4" t="s">
        <v>13</v>
      </c>
      <c r="E274" s="4">
        <v>22</v>
      </c>
      <c r="F274" s="4" t="str">
        <f>IF(Table156[[#This Row],[Age]]&lt;=19,"Teenager",IF(Table156[[#This Row],[Age]]&lt;=40,"Median","Old"))</f>
        <v>Median</v>
      </c>
      <c r="G274" s="4" t="s">
        <v>11</v>
      </c>
      <c r="H274" s="4">
        <v>1</v>
      </c>
      <c r="I274" s="4">
        <v>50</v>
      </c>
      <c r="J274" s="4">
        <v>50</v>
      </c>
      <c r="K274" s="4" t="str" cm="1">
        <f t="array" ref="K274">_xlfn.IFS(AND(Table156[[#This Row],[Total Amount]]&gt;=1500),"Critical",AND(Table156[[#This Row],[Total Amount]]&gt;=1000),"High",TRUE,"Normal")</f>
        <v>Normal</v>
      </c>
      <c r="L274" s="4" t="str">
        <f>IF(Table156[[#This Row],[Total Amount]]&gt;=1000,"High",(IF(Table156[[#This Row],[Total Amount]]&gt;=500,"Medium","Low")))</f>
        <v>Low</v>
      </c>
      <c r="M274" s="4" t="str" cm="1">
        <f t="array" ref="M27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74" s="4" cm="1">
        <f t="array" ref="N27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74" s="4">
        <f>Table156[[#This Row],[Total Amount]]-Table156[[#This Row],[Discount Amount]]</f>
        <v>50</v>
      </c>
      <c r="P274" s="4" t="str">
        <f>IF(Table156[[#This Row],[Total Amount]]&gt;=1000,"High","Low")</f>
        <v>Low</v>
      </c>
      <c r="Q274" s="4" t="str" cm="1">
        <f t="array" ref="Q274">_xlfn.IFS(AND(Table156[[#This Row],[Total Amount]]&gt;=1500,"Critical"),AND(Table156[[#This Row],[Total Amount]]&gt;=1000,"High"),TRUE,"Normal")</f>
        <v>Normal</v>
      </c>
      <c r="R274" s="4">
        <f>COUNTIF(Table156[Gender],"Male")</f>
        <v>490</v>
      </c>
    </row>
    <row r="275" spans="1:18" x14ac:dyDescent="0.35">
      <c r="A275" s="4">
        <v>274</v>
      </c>
      <c r="B275" s="5">
        <v>45025</v>
      </c>
      <c r="C275" s="4" t="s">
        <v>287</v>
      </c>
      <c r="D275" s="4" t="s">
        <v>13</v>
      </c>
      <c r="E275" s="4">
        <v>23</v>
      </c>
      <c r="F275" s="4" t="str">
        <f>IF(Table156[[#This Row],[Age]]&lt;=19,"Teenager",IF(Table156[[#This Row],[Age]]&lt;=40,"Median","Old"))</f>
        <v>Median</v>
      </c>
      <c r="G275" s="4" t="s">
        <v>14</v>
      </c>
      <c r="H275" s="4">
        <v>2</v>
      </c>
      <c r="I275" s="4">
        <v>500</v>
      </c>
      <c r="J275" s="4">
        <v>1000</v>
      </c>
      <c r="K275" s="4" t="str" cm="1">
        <f t="array" ref="K275">_xlfn.IFS(AND(Table156[[#This Row],[Total Amount]]&gt;=1500),"Critical",AND(Table156[[#This Row],[Total Amount]]&gt;=1000),"High",TRUE,"Normal")</f>
        <v>High</v>
      </c>
      <c r="L275" s="4" t="str">
        <f>IF(Table156[[#This Row],[Total Amount]]&gt;=1000,"High",(IF(Table156[[#This Row],[Total Amount]]&gt;=500,"Medium","Low")))</f>
        <v>High</v>
      </c>
      <c r="M275" s="4" t="str" cm="1">
        <f t="array" ref="M27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75" s="4" cm="1">
        <f t="array" ref="N27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75" s="4">
        <f>Table156[[#This Row],[Total Amount]]-Table156[[#This Row],[Discount Amount]]</f>
        <v>1000</v>
      </c>
      <c r="P275" s="4" t="str">
        <f>IF(Table156[[#This Row],[Total Amount]]&gt;=1000,"High","Low")</f>
        <v>High</v>
      </c>
      <c r="Q275" s="4" t="str" cm="1">
        <f t="array" ref="Q275">_xlfn.IFS(AND(Table156[[#This Row],[Total Amount]]&gt;=1500,"Critical"),AND(Table156[[#This Row],[Total Amount]]&gt;=1000,"High"),TRUE,"Normal")</f>
        <v>Normal</v>
      </c>
      <c r="R275" s="4">
        <f>COUNTIF(Table156[Gender],"Male")</f>
        <v>490</v>
      </c>
    </row>
    <row r="276" spans="1:18" x14ac:dyDescent="0.35">
      <c r="A276" s="4">
        <v>275</v>
      </c>
      <c r="B276" s="5">
        <v>45024</v>
      </c>
      <c r="C276" s="4" t="s">
        <v>288</v>
      </c>
      <c r="D276" s="4" t="s">
        <v>10</v>
      </c>
      <c r="E276" s="4">
        <v>43</v>
      </c>
      <c r="F276" s="4" t="str">
        <f>IF(Table156[[#This Row],[Age]]&lt;=19,"Teenager",IF(Table156[[#This Row],[Age]]&lt;=40,"Median","Old"))</f>
        <v>Old</v>
      </c>
      <c r="G276" s="4" t="s">
        <v>14</v>
      </c>
      <c r="H276" s="4">
        <v>2</v>
      </c>
      <c r="I276" s="4">
        <v>500</v>
      </c>
      <c r="J276" s="4">
        <v>1000</v>
      </c>
      <c r="K276" s="4" t="str" cm="1">
        <f t="array" ref="K276">_xlfn.IFS(AND(Table156[[#This Row],[Total Amount]]&gt;=1500),"Critical",AND(Table156[[#This Row],[Total Amount]]&gt;=1000),"High",TRUE,"Normal")</f>
        <v>High</v>
      </c>
      <c r="L276" s="4" t="str">
        <f>IF(Table156[[#This Row],[Total Amount]]&gt;=1000,"High",(IF(Table156[[#This Row],[Total Amount]]&gt;=500,"Medium","Low")))</f>
        <v>High</v>
      </c>
      <c r="M276" s="4" t="str" cm="1">
        <f t="array" ref="M27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76" s="4" cm="1">
        <f t="array" ref="N27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276" s="4">
        <f>Table156[[#This Row],[Total Amount]]-Table156[[#This Row],[Discount Amount]]</f>
        <v>900</v>
      </c>
      <c r="P276" s="4" t="str">
        <f>IF(Table156[[#This Row],[Total Amount]]&gt;=1000,"High","Low")</f>
        <v>High</v>
      </c>
      <c r="Q276" s="4" t="str" cm="1">
        <f t="array" ref="Q276">_xlfn.IFS(AND(Table156[[#This Row],[Total Amount]]&gt;=1500,"Critical"),AND(Table156[[#This Row],[Total Amount]]&gt;=1000,"High"),TRUE,"Normal")</f>
        <v>Normal</v>
      </c>
      <c r="R276" s="4">
        <f>COUNTIF(Table156[Gender],"Male")</f>
        <v>490</v>
      </c>
    </row>
    <row r="277" spans="1:18" x14ac:dyDescent="0.35">
      <c r="A277" s="4">
        <v>276</v>
      </c>
      <c r="B277" s="5">
        <v>45201</v>
      </c>
      <c r="C277" s="4" t="s">
        <v>289</v>
      </c>
      <c r="D277" s="4" t="s">
        <v>13</v>
      </c>
      <c r="E277" s="4">
        <v>21</v>
      </c>
      <c r="F277" s="4" t="str">
        <f>IF(Table156[[#This Row],[Age]]&lt;=19,"Teenager",IF(Table156[[#This Row],[Age]]&lt;=40,"Median","Old"))</f>
        <v>Median</v>
      </c>
      <c r="G277" s="4" t="s">
        <v>11</v>
      </c>
      <c r="H277" s="4">
        <v>4</v>
      </c>
      <c r="I277" s="4">
        <v>25</v>
      </c>
      <c r="J277" s="4">
        <v>100</v>
      </c>
      <c r="K277" s="4" t="str" cm="1">
        <f t="array" ref="K277">_xlfn.IFS(AND(Table156[[#This Row],[Total Amount]]&gt;=1500),"Critical",AND(Table156[[#This Row],[Total Amount]]&gt;=1000),"High",TRUE,"Normal")</f>
        <v>Normal</v>
      </c>
      <c r="L277" s="4" t="str">
        <f>IF(Table156[[#This Row],[Total Amount]]&gt;=1000,"High",(IF(Table156[[#This Row],[Total Amount]]&gt;=500,"Medium","Low")))</f>
        <v>Low</v>
      </c>
      <c r="M277" s="4" t="str" cm="1">
        <f t="array" ref="M27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77" s="4" cm="1">
        <f t="array" ref="N27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77" s="4">
        <f>Table156[[#This Row],[Total Amount]]-Table156[[#This Row],[Discount Amount]]</f>
        <v>100</v>
      </c>
      <c r="P277" s="4" t="str">
        <f>IF(Table156[[#This Row],[Total Amount]]&gt;=1000,"High","Low")</f>
        <v>Low</v>
      </c>
      <c r="Q277" s="4" t="str" cm="1">
        <f t="array" ref="Q277">_xlfn.IFS(AND(Table156[[#This Row],[Total Amount]]&gt;=1500,"Critical"),AND(Table156[[#This Row],[Total Amount]]&gt;=1000,"High"),TRUE,"Normal")</f>
        <v>Normal</v>
      </c>
      <c r="R277" s="4">
        <f>COUNTIF(Table156[Gender],"Male")</f>
        <v>490</v>
      </c>
    </row>
    <row r="278" spans="1:18" x14ac:dyDescent="0.35">
      <c r="A278" s="4">
        <v>277</v>
      </c>
      <c r="B278" s="5">
        <v>45156</v>
      </c>
      <c r="C278" s="4" t="s">
        <v>290</v>
      </c>
      <c r="D278" s="4" t="s">
        <v>10</v>
      </c>
      <c r="E278" s="4">
        <v>36</v>
      </c>
      <c r="F278" s="4" t="str">
        <f>IF(Table156[[#This Row],[Age]]&lt;=19,"Teenager",IF(Table156[[#This Row],[Age]]&lt;=40,"Median","Old"))</f>
        <v>Median</v>
      </c>
      <c r="G278" s="4" t="s">
        <v>14</v>
      </c>
      <c r="H278" s="4">
        <v>4</v>
      </c>
      <c r="I278" s="4">
        <v>25</v>
      </c>
      <c r="J278" s="4">
        <v>100</v>
      </c>
      <c r="K278" s="4" t="str" cm="1">
        <f t="array" ref="K278">_xlfn.IFS(AND(Table156[[#This Row],[Total Amount]]&gt;=1500),"Critical",AND(Table156[[#This Row],[Total Amount]]&gt;=1000),"High",TRUE,"Normal")</f>
        <v>Normal</v>
      </c>
      <c r="L278" s="4" t="str">
        <f>IF(Table156[[#This Row],[Total Amount]]&gt;=1000,"High",(IF(Table156[[#This Row],[Total Amount]]&gt;=500,"Medium","Low")))</f>
        <v>Low</v>
      </c>
      <c r="M278" s="4" t="str" cm="1">
        <f t="array" ref="M27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78" s="4" cm="1">
        <f t="array" ref="N27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278" s="4">
        <f>Table156[[#This Row],[Total Amount]]-Table156[[#This Row],[Discount Amount]]</f>
        <v>90</v>
      </c>
      <c r="P278" s="4" t="str">
        <f>IF(Table156[[#This Row],[Total Amount]]&gt;=1000,"High","Low")</f>
        <v>Low</v>
      </c>
      <c r="Q278" s="4" t="str" cm="1">
        <f t="array" ref="Q278">_xlfn.IFS(AND(Table156[[#This Row],[Total Amount]]&gt;=1500,"Critical"),AND(Table156[[#This Row],[Total Amount]]&gt;=1000,"High"),TRUE,"Normal")</f>
        <v>Normal</v>
      </c>
      <c r="R278" s="4">
        <f>COUNTIF(Table156[Gender],"Male")</f>
        <v>490</v>
      </c>
    </row>
    <row r="279" spans="1:18" x14ac:dyDescent="0.35">
      <c r="A279" s="4">
        <v>278</v>
      </c>
      <c r="B279" s="5">
        <v>44998</v>
      </c>
      <c r="C279" s="4" t="s">
        <v>291</v>
      </c>
      <c r="D279" s="4" t="s">
        <v>13</v>
      </c>
      <c r="E279" s="4">
        <v>37</v>
      </c>
      <c r="F279" s="4" t="str">
        <f>IF(Table156[[#This Row],[Age]]&lt;=19,"Teenager",IF(Table156[[#This Row],[Age]]&lt;=40,"Median","Old"))</f>
        <v>Median</v>
      </c>
      <c r="G279" s="4" t="s">
        <v>14</v>
      </c>
      <c r="H279" s="4">
        <v>4</v>
      </c>
      <c r="I279" s="4">
        <v>25</v>
      </c>
      <c r="J279" s="4">
        <v>100</v>
      </c>
      <c r="K279" s="4" t="str" cm="1">
        <f t="array" ref="K279">_xlfn.IFS(AND(Table156[[#This Row],[Total Amount]]&gt;=1500),"Critical",AND(Table156[[#This Row],[Total Amount]]&gt;=1000),"High",TRUE,"Normal")</f>
        <v>Normal</v>
      </c>
      <c r="L279" s="4" t="str">
        <f>IF(Table156[[#This Row],[Total Amount]]&gt;=1000,"High",(IF(Table156[[#This Row],[Total Amount]]&gt;=500,"Medium","Low")))</f>
        <v>Low</v>
      </c>
      <c r="M279" s="4" t="str" cm="1">
        <f t="array" ref="M27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79" s="4" cm="1">
        <f t="array" ref="N27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279" s="4">
        <f>Table156[[#This Row],[Total Amount]]-Table156[[#This Row],[Discount Amount]]</f>
        <v>80</v>
      </c>
      <c r="P279" s="4" t="str">
        <f>IF(Table156[[#This Row],[Total Amount]]&gt;=1000,"High","Low")</f>
        <v>Low</v>
      </c>
      <c r="Q279" s="4" t="str" cm="1">
        <f t="array" ref="Q279">_xlfn.IFS(AND(Table156[[#This Row],[Total Amount]]&gt;=1500,"Critical"),AND(Table156[[#This Row],[Total Amount]]&gt;=1000,"High"),TRUE,"Normal")</f>
        <v>Normal</v>
      </c>
      <c r="R279" s="4">
        <f>COUNTIF(Table156[Gender],"Male")</f>
        <v>490</v>
      </c>
    </row>
    <row r="280" spans="1:18" x14ac:dyDescent="0.35">
      <c r="A280" s="4">
        <v>279</v>
      </c>
      <c r="B280" s="5">
        <v>45143</v>
      </c>
      <c r="C280" s="4" t="s">
        <v>292</v>
      </c>
      <c r="D280" s="4" t="s">
        <v>10</v>
      </c>
      <c r="E280" s="4">
        <v>50</v>
      </c>
      <c r="F280" s="4" t="str">
        <f>IF(Table156[[#This Row],[Age]]&lt;=19,"Teenager",IF(Table156[[#This Row],[Age]]&lt;=40,"Median","Old"))</f>
        <v>Old</v>
      </c>
      <c r="G280" s="4" t="s">
        <v>14</v>
      </c>
      <c r="H280" s="4">
        <v>1</v>
      </c>
      <c r="I280" s="4">
        <v>500</v>
      </c>
      <c r="J280" s="4">
        <v>500</v>
      </c>
      <c r="K280" s="4" t="str" cm="1">
        <f t="array" ref="K280">_xlfn.IFS(AND(Table156[[#This Row],[Total Amount]]&gt;=1500),"Critical",AND(Table156[[#This Row],[Total Amount]]&gt;=1000),"High",TRUE,"Normal")</f>
        <v>Normal</v>
      </c>
      <c r="L280" s="4" t="str">
        <f>IF(Table156[[#This Row],[Total Amount]]&gt;=1000,"High",(IF(Table156[[#This Row],[Total Amount]]&gt;=500,"Medium","Low")))</f>
        <v>Medium</v>
      </c>
      <c r="M280" s="4" t="str" cm="1">
        <f t="array" ref="M28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80" s="4" cm="1">
        <f t="array" ref="N28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280" s="4">
        <f>Table156[[#This Row],[Total Amount]]-Table156[[#This Row],[Discount Amount]]</f>
        <v>450</v>
      </c>
      <c r="P280" s="4" t="str">
        <f>IF(Table156[[#This Row],[Total Amount]]&gt;=1000,"High","Low")</f>
        <v>Low</v>
      </c>
      <c r="Q280" s="4" t="str" cm="1">
        <f t="array" ref="Q280">_xlfn.IFS(AND(Table156[[#This Row],[Total Amount]]&gt;=1500,"Critical"),AND(Table156[[#This Row],[Total Amount]]&gt;=1000,"High"),TRUE,"Normal")</f>
        <v>Normal</v>
      </c>
      <c r="R280" s="4">
        <f>COUNTIF(Table156[Gender],"Male")</f>
        <v>490</v>
      </c>
    </row>
    <row r="281" spans="1:18" x14ac:dyDescent="0.35">
      <c r="A281" s="4">
        <v>280</v>
      </c>
      <c r="B281" s="5">
        <v>45020</v>
      </c>
      <c r="C281" s="4" t="s">
        <v>293</v>
      </c>
      <c r="D281" s="4" t="s">
        <v>13</v>
      </c>
      <c r="E281" s="4">
        <v>37</v>
      </c>
      <c r="F281" s="4" t="str">
        <f>IF(Table156[[#This Row],[Age]]&lt;=19,"Teenager",IF(Table156[[#This Row],[Age]]&lt;=40,"Median","Old"))</f>
        <v>Median</v>
      </c>
      <c r="G281" s="4" t="s">
        <v>14</v>
      </c>
      <c r="H281" s="4">
        <v>3</v>
      </c>
      <c r="I281" s="4">
        <v>500</v>
      </c>
      <c r="J281" s="4">
        <v>1500</v>
      </c>
      <c r="K281" s="4" t="str" cm="1">
        <f t="array" ref="K281">_xlfn.IFS(AND(Table156[[#This Row],[Total Amount]]&gt;=1500),"Critical",AND(Table156[[#This Row],[Total Amount]]&gt;=1000),"High",TRUE,"Normal")</f>
        <v>Critical</v>
      </c>
      <c r="L281" s="4" t="str">
        <f>IF(Table156[[#This Row],[Total Amount]]&gt;=1000,"High",(IF(Table156[[#This Row],[Total Amount]]&gt;=500,"Medium","Low")))</f>
        <v>High</v>
      </c>
      <c r="M281" s="4" t="str" cm="1">
        <f t="array" ref="M28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81" s="4" cm="1">
        <f t="array" ref="N28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281" s="4">
        <f>Table156[[#This Row],[Total Amount]]-Table156[[#This Row],[Discount Amount]]</f>
        <v>1200</v>
      </c>
      <c r="P281" s="4" t="str">
        <f>IF(Table156[[#This Row],[Total Amount]]&gt;=1000,"High","Low")</f>
        <v>High</v>
      </c>
      <c r="Q281" s="4" t="b" cm="1">
        <f t="array" ref="Q281">_xlfn.IFS(AND(Table156[[#This Row],[Total Amount]]&gt;=1500,"Critical"),AND(Table156[[#This Row],[Total Amount]]&gt;=1000,"High"),TRUE,"Normal")</f>
        <v>1</v>
      </c>
      <c r="R281" s="4">
        <f>COUNTIF(Table156[Gender],"Male")</f>
        <v>490</v>
      </c>
    </row>
    <row r="282" spans="1:18" x14ac:dyDescent="0.35">
      <c r="A282" s="4">
        <v>281</v>
      </c>
      <c r="B282" s="5">
        <v>45069</v>
      </c>
      <c r="C282" s="4" t="s">
        <v>294</v>
      </c>
      <c r="D282" s="4" t="s">
        <v>13</v>
      </c>
      <c r="E282" s="4">
        <v>29</v>
      </c>
      <c r="F282" s="4" t="str">
        <f>IF(Table156[[#This Row],[Age]]&lt;=19,"Teenager",IF(Table156[[#This Row],[Age]]&lt;=40,"Median","Old"))</f>
        <v>Median</v>
      </c>
      <c r="G282" s="4" t="s">
        <v>11</v>
      </c>
      <c r="H282" s="4">
        <v>4</v>
      </c>
      <c r="I282" s="4">
        <v>500</v>
      </c>
      <c r="J282" s="4">
        <v>2000</v>
      </c>
      <c r="K282" s="4" t="str" cm="1">
        <f t="array" ref="K282">_xlfn.IFS(AND(Table156[[#This Row],[Total Amount]]&gt;=1500),"Critical",AND(Table156[[#This Row],[Total Amount]]&gt;=1000),"High",TRUE,"Normal")</f>
        <v>Critical</v>
      </c>
      <c r="L282" s="4" t="str">
        <f>IF(Table156[[#This Row],[Total Amount]]&gt;=1000,"High",(IF(Table156[[#This Row],[Total Amount]]&gt;=500,"Medium","Low")))</f>
        <v>High</v>
      </c>
      <c r="M282" s="4" t="str" cm="1">
        <f t="array" ref="M28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82" s="4" cm="1">
        <f t="array" ref="N28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282" s="4">
        <f>Table156[[#This Row],[Total Amount]]-Table156[[#This Row],[Discount Amount]]</f>
        <v>1700</v>
      </c>
      <c r="P282" s="4" t="str">
        <f>IF(Table156[[#This Row],[Total Amount]]&gt;=1000,"High","Low")</f>
        <v>High</v>
      </c>
      <c r="Q282" s="4" t="b" cm="1">
        <f t="array" ref="Q282">_xlfn.IFS(AND(Table156[[#This Row],[Total Amount]]&gt;=1500,"Critical"),AND(Table156[[#This Row],[Total Amount]]&gt;=1000,"High"),TRUE,"Normal")</f>
        <v>1</v>
      </c>
      <c r="R282" s="4">
        <f>COUNTIF(Table156[Gender],"Male")</f>
        <v>490</v>
      </c>
    </row>
    <row r="283" spans="1:18" x14ac:dyDescent="0.35">
      <c r="A283" s="4">
        <v>282</v>
      </c>
      <c r="B283" s="5">
        <v>45163</v>
      </c>
      <c r="C283" s="4" t="s">
        <v>295</v>
      </c>
      <c r="D283" s="4" t="s">
        <v>13</v>
      </c>
      <c r="E283" s="4">
        <v>64</v>
      </c>
      <c r="F283" s="4" t="str">
        <f>IF(Table156[[#This Row],[Age]]&lt;=19,"Teenager",IF(Table156[[#This Row],[Age]]&lt;=40,"Median","Old"))</f>
        <v>Old</v>
      </c>
      <c r="G283" s="4" t="s">
        <v>16</v>
      </c>
      <c r="H283" s="4">
        <v>4</v>
      </c>
      <c r="I283" s="4">
        <v>50</v>
      </c>
      <c r="J283" s="4">
        <v>200</v>
      </c>
      <c r="K283" s="4" t="str" cm="1">
        <f t="array" ref="K283">_xlfn.IFS(AND(Table156[[#This Row],[Total Amount]]&gt;=1500),"Critical",AND(Table156[[#This Row],[Total Amount]]&gt;=1000),"High",TRUE,"Normal")</f>
        <v>Normal</v>
      </c>
      <c r="L283" s="4" t="str">
        <f>IF(Table156[[#This Row],[Total Amount]]&gt;=1000,"High",(IF(Table156[[#This Row],[Total Amount]]&gt;=500,"Medium","Low")))</f>
        <v>Low</v>
      </c>
      <c r="M283" s="4" t="str" cm="1">
        <f t="array" ref="M28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83" s="4" cm="1">
        <f t="array" ref="N28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283" s="4">
        <f>Table156[[#This Row],[Total Amount]]-Table156[[#This Row],[Discount Amount]]</f>
        <v>160</v>
      </c>
      <c r="P283" s="4" t="str">
        <f>IF(Table156[[#This Row],[Total Amount]]&gt;=1000,"High","Low")</f>
        <v>Low</v>
      </c>
      <c r="Q283" s="4" t="str" cm="1">
        <f t="array" ref="Q283">_xlfn.IFS(AND(Table156[[#This Row],[Total Amount]]&gt;=1500,"Critical"),AND(Table156[[#This Row],[Total Amount]]&gt;=1000,"High"),TRUE,"Normal")</f>
        <v>Normal</v>
      </c>
      <c r="R283" s="4">
        <f>COUNTIF(Table156[Gender],"Male")</f>
        <v>490</v>
      </c>
    </row>
    <row r="284" spans="1:18" x14ac:dyDescent="0.35">
      <c r="A284" s="4">
        <v>283</v>
      </c>
      <c r="B284" s="5">
        <v>45054</v>
      </c>
      <c r="C284" s="4" t="s">
        <v>296</v>
      </c>
      <c r="D284" s="4" t="s">
        <v>13</v>
      </c>
      <c r="E284" s="4">
        <v>18</v>
      </c>
      <c r="F284" s="4" t="str">
        <f>IF(Table156[[#This Row],[Age]]&lt;=19,"Teenager",IF(Table156[[#This Row],[Age]]&lt;=40,"Median","Old"))</f>
        <v>Teenager</v>
      </c>
      <c r="G284" s="4" t="s">
        <v>16</v>
      </c>
      <c r="H284" s="4">
        <v>1</v>
      </c>
      <c r="I284" s="4">
        <v>500</v>
      </c>
      <c r="J284" s="4">
        <v>500</v>
      </c>
      <c r="K284" s="4" t="str" cm="1">
        <f t="array" ref="K284">_xlfn.IFS(AND(Table156[[#This Row],[Total Amount]]&gt;=1500),"Critical",AND(Table156[[#This Row],[Total Amount]]&gt;=1000),"High",TRUE,"Normal")</f>
        <v>Normal</v>
      </c>
      <c r="L284" s="4" t="str">
        <f>IF(Table156[[#This Row],[Total Amount]]&gt;=1000,"High",(IF(Table156[[#This Row],[Total Amount]]&gt;=500,"Medium","Low")))</f>
        <v>Medium</v>
      </c>
      <c r="M284" s="4" t="str" cm="1">
        <f t="array" ref="M28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84" s="4" cm="1">
        <f t="array" ref="N28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84" s="4">
        <f>Table156[[#This Row],[Total Amount]]-Table156[[#This Row],[Discount Amount]]</f>
        <v>500</v>
      </c>
      <c r="P284" s="4" t="str">
        <f>IF(Table156[[#This Row],[Total Amount]]&gt;=1000,"High","Low")</f>
        <v>Low</v>
      </c>
      <c r="Q284" s="4" t="str" cm="1">
        <f t="array" ref="Q284">_xlfn.IFS(AND(Table156[[#This Row],[Total Amount]]&gt;=1500,"Critical"),AND(Table156[[#This Row],[Total Amount]]&gt;=1000,"High"),TRUE,"Normal")</f>
        <v>Normal</v>
      </c>
      <c r="R284" s="4">
        <f>COUNTIF(Table156[Gender],"Male")</f>
        <v>490</v>
      </c>
    </row>
    <row r="285" spans="1:18" x14ac:dyDescent="0.35">
      <c r="A285" s="4">
        <v>284</v>
      </c>
      <c r="B285" s="5">
        <v>44965</v>
      </c>
      <c r="C285" s="4" t="s">
        <v>297</v>
      </c>
      <c r="D285" s="4" t="s">
        <v>10</v>
      </c>
      <c r="E285" s="4">
        <v>43</v>
      </c>
      <c r="F285" s="4" t="str">
        <f>IF(Table156[[#This Row],[Age]]&lt;=19,"Teenager",IF(Table156[[#This Row],[Age]]&lt;=40,"Median","Old"))</f>
        <v>Old</v>
      </c>
      <c r="G285" s="4" t="s">
        <v>14</v>
      </c>
      <c r="H285" s="4">
        <v>4</v>
      </c>
      <c r="I285" s="4">
        <v>50</v>
      </c>
      <c r="J285" s="4">
        <v>200</v>
      </c>
      <c r="K285" s="4" t="str" cm="1">
        <f t="array" ref="K285">_xlfn.IFS(AND(Table156[[#This Row],[Total Amount]]&gt;=1500),"Critical",AND(Table156[[#This Row],[Total Amount]]&gt;=1000),"High",TRUE,"Normal")</f>
        <v>Normal</v>
      </c>
      <c r="L285" s="4" t="str">
        <f>IF(Table156[[#This Row],[Total Amount]]&gt;=1000,"High",(IF(Table156[[#This Row],[Total Amount]]&gt;=500,"Medium","Low")))</f>
        <v>Low</v>
      </c>
      <c r="M285" s="4" t="str" cm="1">
        <f t="array" ref="M28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85" s="4" cm="1">
        <f t="array" ref="N28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285" s="4">
        <f>Table156[[#This Row],[Total Amount]]-Table156[[#This Row],[Discount Amount]]</f>
        <v>180</v>
      </c>
      <c r="P285" s="4" t="str">
        <f>IF(Table156[[#This Row],[Total Amount]]&gt;=1000,"High","Low")</f>
        <v>Low</v>
      </c>
      <c r="Q285" s="4" t="str" cm="1">
        <f t="array" ref="Q285">_xlfn.IFS(AND(Table156[[#This Row],[Total Amount]]&gt;=1500,"Critical"),AND(Table156[[#This Row],[Total Amount]]&gt;=1000,"High"),TRUE,"Normal")</f>
        <v>Normal</v>
      </c>
      <c r="R285" s="4">
        <f>COUNTIF(Table156[Gender],"Male")</f>
        <v>490</v>
      </c>
    </row>
    <row r="286" spans="1:18" x14ac:dyDescent="0.35">
      <c r="A286" s="4">
        <v>285</v>
      </c>
      <c r="B286" s="5">
        <v>45153</v>
      </c>
      <c r="C286" s="4" t="s">
        <v>298</v>
      </c>
      <c r="D286" s="4" t="s">
        <v>13</v>
      </c>
      <c r="E286" s="4">
        <v>31</v>
      </c>
      <c r="F286" s="4" t="str">
        <f>IF(Table156[[#This Row],[Age]]&lt;=19,"Teenager",IF(Table156[[#This Row],[Age]]&lt;=40,"Median","Old"))</f>
        <v>Median</v>
      </c>
      <c r="G286" s="4" t="s">
        <v>16</v>
      </c>
      <c r="H286" s="4">
        <v>1</v>
      </c>
      <c r="I286" s="4">
        <v>25</v>
      </c>
      <c r="J286" s="4">
        <v>25</v>
      </c>
      <c r="K286" s="4" t="str" cm="1">
        <f t="array" ref="K286">_xlfn.IFS(AND(Table156[[#This Row],[Total Amount]]&gt;=1500),"Critical",AND(Table156[[#This Row],[Total Amount]]&gt;=1000),"High",TRUE,"Normal")</f>
        <v>Normal</v>
      </c>
      <c r="L286" s="4" t="str">
        <f>IF(Table156[[#This Row],[Total Amount]]&gt;=1000,"High",(IF(Table156[[#This Row],[Total Amount]]&gt;=500,"Medium","Low")))</f>
        <v>Low</v>
      </c>
      <c r="M286" s="4" t="str" cm="1">
        <f t="array" ref="M28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86" s="4" cm="1">
        <f t="array" ref="N28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3.75</v>
      </c>
      <c r="O286" s="4">
        <f>Table156[[#This Row],[Total Amount]]-Table156[[#This Row],[Discount Amount]]</f>
        <v>21.25</v>
      </c>
      <c r="P286" s="4" t="str">
        <f>IF(Table156[[#This Row],[Total Amount]]&gt;=1000,"High","Low")</f>
        <v>Low</v>
      </c>
      <c r="Q286" s="4" t="str" cm="1">
        <f t="array" ref="Q286">_xlfn.IFS(AND(Table156[[#This Row],[Total Amount]]&gt;=1500,"Critical"),AND(Table156[[#This Row],[Total Amount]]&gt;=1000,"High"),TRUE,"Normal")</f>
        <v>Normal</v>
      </c>
      <c r="R286" s="4">
        <f>COUNTIF(Table156[Gender],"Male")</f>
        <v>490</v>
      </c>
    </row>
    <row r="287" spans="1:18" x14ac:dyDescent="0.35">
      <c r="A287" s="4">
        <v>286</v>
      </c>
      <c r="B287" s="5">
        <v>45208</v>
      </c>
      <c r="C287" s="4" t="s">
        <v>299</v>
      </c>
      <c r="D287" s="4" t="s">
        <v>10</v>
      </c>
      <c r="E287" s="4">
        <v>55</v>
      </c>
      <c r="F287" s="4" t="str">
        <f>IF(Table156[[#This Row],[Age]]&lt;=19,"Teenager",IF(Table156[[#This Row],[Age]]&lt;=40,"Median","Old"))</f>
        <v>Old</v>
      </c>
      <c r="G287" s="4" t="s">
        <v>16</v>
      </c>
      <c r="H287" s="4">
        <v>2</v>
      </c>
      <c r="I287" s="4">
        <v>25</v>
      </c>
      <c r="J287" s="4">
        <v>50</v>
      </c>
      <c r="K287" s="4" t="str" cm="1">
        <f t="array" ref="K287">_xlfn.IFS(AND(Table156[[#This Row],[Total Amount]]&gt;=1500),"Critical",AND(Table156[[#This Row],[Total Amount]]&gt;=1000),"High",TRUE,"Normal")</f>
        <v>Normal</v>
      </c>
      <c r="L287" s="4" t="str">
        <f>IF(Table156[[#This Row],[Total Amount]]&gt;=1000,"High",(IF(Table156[[#This Row],[Total Amount]]&gt;=500,"Medium","Low")))</f>
        <v>Low</v>
      </c>
      <c r="M287" s="4" t="str" cm="1">
        <f t="array" ref="M28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87" s="4" cm="1">
        <f t="array" ref="N28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287" s="4">
        <f>Table156[[#This Row],[Total Amount]]-Table156[[#This Row],[Discount Amount]]</f>
        <v>45</v>
      </c>
      <c r="P287" s="4" t="str">
        <f>IF(Table156[[#This Row],[Total Amount]]&gt;=1000,"High","Low")</f>
        <v>Low</v>
      </c>
      <c r="Q287" s="4" t="str" cm="1">
        <f t="array" ref="Q287">_xlfn.IFS(AND(Table156[[#This Row],[Total Amount]]&gt;=1500,"Critical"),AND(Table156[[#This Row],[Total Amount]]&gt;=1000,"High"),TRUE,"Normal")</f>
        <v>Normal</v>
      </c>
      <c r="R287" s="4">
        <f>COUNTIF(Table156[Gender],"Male")</f>
        <v>490</v>
      </c>
    </row>
    <row r="288" spans="1:18" x14ac:dyDescent="0.35">
      <c r="A288" s="4">
        <v>287</v>
      </c>
      <c r="B288" s="5">
        <v>44977</v>
      </c>
      <c r="C288" s="4" t="s">
        <v>300</v>
      </c>
      <c r="D288" s="4" t="s">
        <v>10</v>
      </c>
      <c r="E288" s="4">
        <v>54</v>
      </c>
      <c r="F288" s="4" t="str">
        <f>IF(Table156[[#This Row],[Age]]&lt;=19,"Teenager",IF(Table156[[#This Row],[Age]]&lt;=40,"Median","Old"))</f>
        <v>Old</v>
      </c>
      <c r="G288" s="4" t="s">
        <v>14</v>
      </c>
      <c r="H288" s="4">
        <v>4</v>
      </c>
      <c r="I288" s="4">
        <v>25</v>
      </c>
      <c r="J288" s="4">
        <v>100</v>
      </c>
      <c r="K288" s="4" t="str" cm="1">
        <f t="array" ref="K288">_xlfn.IFS(AND(Table156[[#This Row],[Total Amount]]&gt;=1500),"Critical",AND(Table156[[#This Row],[Total Amount]]&gt;=1000),"High",TRUE,"Normal")</f>
        <v>Normal</v>
      </c>
      <c r="L288" s="4" t="str">
        <f>IF(Table156[[#This Row],[Total Amount]]&gt;=1000,"High",(IF(Table156[[#This Row],[Total Amount]]&gt;=500,"Medium","Low")))</f>
        <v>Low</v>
      </c>
      <c r="M288" s="4" t="str" cm="1">
        <f t="array" ref="M28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88" s="4" cm="1">
        <f t="array" ref="N28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288" s="4">
        <f>Table156[[#This Row],[Total Amount]]-Table156[[#This Row],[Discount Amount]]</f>
        <v>90</v>
      </c>
      <c r="P288" s="4" t="str">
        <f>IF(Table156[[#This Row],[Total Amount]]&gt;=1000,"High","Low")</f>
        <v>Low</v>
      </c>
      <c r="Q288" s="4" t="str" cm="1">
        <f t="array" ref="Q288">_xlfn.IFS(AND(Table156[[#This Row],[Total Amount]]&gt;=1500,"Critical"),AND(Table156[[#This Row],[Total Amount]]&gt;=1000,"High"),TRUE,"Normal")</f>
        <v>Normal</v>
      </c>
      <c r="R288" s="4">
        <f>COUNTIF(Table156[Gender],"Male")</f>
        <v>490</v>
      </c>
    </row>
    <row r="289" spans="1:18" x14ac:dyDescent="0.35">
      <c r="A289" s="4">
        <v>288</v>
      </c>
      <c r="B289" s="5">
        <v>44952</v>
      </c>
      <c r="C289" s="4" t="s">
        <v>301</v>
      </c>
      <c r="D289" s="4" t="s">
        <v>10</v>
      </c>
      <c r="E289" s="4">
        <v>28</v>
      </c>
      <c r="F289" s="4" t="str">
        <f>IF(Table156[[#This Row],[Age]]&lt;=19,"Teenager",IF(Table156[[#This Row],[Age]]&lt;=40,"Median","Old"))</f>
        <v>Median</v>
      </c>
      <c r="G289" s="4" t="s">
        <v>14</v>
      </c>
      <c r="H289" s="4">
        <v>4</v>
      </c>
      <c r="I289" s="4">
        <v>30</v>
      </c>
      <c r="J289" s="4">
        <v>120</v>
      </c>
      <c r="K289" s="4" t="str" cm="1">
        <f t="array" ref="K289">_xlfn.IFS(AND(Table156[[#This Row],[Total Amount]]&gt;=1500),"Critical",AND(Table156[[#This Row],[Total Amount]]&gt;=1000),"High",TRUE,"Normal")</f>
        <v>Normal</v>
      </c>
      <c r="L289" s="4" t="str">
        <f>IF(Table156[[#This Row],[Total Amount]]&gt;=1000,"High",(IF(Table156[[#This Row],[Total Amount]]&gt;=500,"Medium","Low")))</f>
        <v>Low</v>
      </c>
      <c r="M289" s="4" t="str" cm="1">
        <f t="array" ref="M28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89" s="4" cm="1">
        <f t="array" ref="N28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289" s="4">
        <f>Table156[[#This Row],[Total Amount]]-Table156[[#This Row],[Discount Amount]]</f>
        <v>102</v>
      </c>
      <c r="P289" s="4" t="str">
        <f>IF(Table156[[#This Row],[Total Amount]]&gt;=1000,"High","Low")</f>
        <v>Low</v>
      </c>
      <c r="Q289" s="4" t="str" cm="1">
        <f t="array" ref="Q289">_xlfn.IFS(AND(Table156[[#This Row],[Total Amount]]&gt;=1500,"Critical"),AND(Table156[[#This Row],[Total Amount]]&gt;=1000,"High"),TRUE,"Normal")</f>
        <v>Normal</v>
      </c>
      <c r="R289" s="4">
        <f>COUNTIF(Table156[Gender],"Male")</f>
        <v>490</v>
      </c>
    </row>
    <row r="290" spans="1:18" x14ac:dyDescent="0.35">
      <c r="A290" s="4">
        <v>289</v>
      </c>
      <c r="B290" s="5">
        <v>45260</v>
      </c>
      <c r="C290" s="4" t="s">
        <v>302</v>
      </c>
      <c r="D290" s="4" t="s">
        <v>10</v>
      </c>
      <c r="E290" s="4">
        <v>53</v>
      </c>
      <c r="F290" s="4" t="str">
        <f>IF(Table156[[#This Row],[Age]]&lt;=19,"Teenager",IF(Table156[[#This Row],[Age]]&lt;=40,"Median","Old"))</f>
        <v>Old</v>
      </c>
      <c r="G290" s="4" t="s">
        <v>16</v>
      </c>
      <c r="H290" s="4">
        <v>2</v>
      </c>
      <c r="I290" s="4">
        <v>30</v>
      </c>
      <c r="J290" s="4">
        <v>60</v>
      </c>
      <c r="K290" s="4" t="str" cm="1">
        <f t="array" ref="K290">_xlfn.IFS(AND(Table156[[#This Row],[Total Amount]]&gt;=1500),"Critical",AND(Table156[[#This Row],[Total Amount]]&gt;=1000),"High",TRUE,"Normal")</f>
        <v>Normal</v>
      </c>
      <c r="L290" s="4" t="str">
        <f>IF(Table156[[#This Row],[Total Amount]]&gt;=1000,"High",(IF(Table156[[#This Row],[Total Amount]]&gt;=500,"Medium","Low")))</f>
        <v>Low</v>
      </c>
      <c r="M290" s="4" t="str" cm="1">
        <f t="array" ref="M29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90" s="4" cm="1">
        <f t="array" ref="N29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290" s="4">
        <f>Table156[[#This Row],[Total Amount]]-Table156[[#This Row],[Discount Amount]]</f>
        <v>54</v>
      </c>
      <c r="P290" s="4" t="str">
        <f>IF(Table156[[#This Row],[Total Amount]]&gt;=1000,"High","Low")</f>
        <v>Low</v>
      </c>
      <c r="Q290" s="4" t="str" cm="1">
        <f t="array" ref="Q290">_xlfn.IFS(AND(Table156[[#This Row],[Total Amount]]&gt;=1500,"Critical"),AND(Table156[[#This Row],[Total Amount]]&gt;=1000,"High"),TRUE,"Normal")</f>
        <v>Normal</v>
      </c>
      <c r="R290" s="4">
        <f>COUNTIF(Table156[Gender],"Male")</f>
        <v>490</v>
      </c>
    </row>
    <row r="291" spans="1:18" x14ac:dyDescent="0.35">
      <c r="A291" s="4">
        <v>290</v>
      </c>
      <c r="B291" s="5">
        <v>45203</v>
      </c>
      <c r="C291" s="4" t="s">
        <v>303</v>
      </c>
      <c r="D291" s="4" t="s">
        <v>13</v>
      </c>
      <c r="E291" s="4">
        <v>30</v>
      </c>
      <c r="F291" s="4" t="str">
        <f>IF(Table156[[#This Row],[Age]]&lt;=19,"Teenager",IF(Table156[[#This Row],[Age]]&lt;=40,"Median","Old"))</f>
        <v>Median</v>
      </c>
      <c r="G291" s="4" t="s">
        <v>11</v>
      </c>
      <c r="H291" s="4">
        <v>2</v>
      </c>
      <c r="I291" s="4">
        <v>300</v>
      </c>
      <c r="J291" s="4">
        <v>600</v>
      </c>
      <c r="K291" s="4" t="str" cm="1">
        <f t="array" ref="K291">_xlfn.IFS(AND(Table156[[#This Row],[Total Amount]]&gt;=1500),"Critical",AND(Table156[[#This Row],[Total Amount]]&gt;=1000),"High",TRUE,"Normal")</f>
        <v>Normal</v>
      </c>
      <c r="L291" s="4" t="str">
        <f>IF(Table156[[#This Row],[Total Amount]]&gt;=1000,"High",(IF(Table156[[#This Row],[Total Amount]]&gt;=500,"Medium","Low")))</f>
        <v>Medium</v>
      </c>
      <c r="M291" s="4" t="str" cm="1">
        <f t="array" ref="M29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91" s="4" cm="1">
        <f t="array" ref="N29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291" s="4">
        <f>Table156[[#This Row],[Total Amount]]-Table156[[#This Row],[Discount Amount]]</f>
        <v>510</v>
      </c>
      <c r="P291" s="4" t="str">
        <f>IF(Table156[[#This Row],[Total Amount]]&gt;=1000,"High","Low")</f>
        <v>Low</v>
      </c>
      <c r="Q291" s="4" t="str" cm="1">
        <f t="array" ref="Q291">_xlfn.IFS(AND(Table156[[#This Row],[Total Amount]]&gt;=1500,"Critical"),AND(Table156[[#This Row],[Total Amount]]&gt;=1000,"High"),TRUE,"Normal")</f>
        <v>Normal</v>
      </c>
      <c r="R291" s="4">
        <f>COUNTIF(Table156[Gender],"Male")</f>
        <v>490</v>
      </c>
    </row>
    <row r="292" spans="1:18" x14ac:dyDescent="0.35">
      <c r="A292" s="4">
        <v>291</v>
      </c>
      <c r="B292" s="5">
        <v>44934</v>
      </c>
      <c r="C292" s="4" t="s">
        <v>304</v>
      </c>
      <c r="D292" s="4" t="s">
        <v>10</v>
      </c>
      <c r="E292" s="4">
        <v>60</v>
      </c>
      <c r="F292" s="4" t="str">
        <f>IF(Table156[[#This Row],[Age]]&lt;=19,"Teenager",IF(Table156[[#This Row],[Age]]&lt;=40,"Median","Old"))</f>
        <v>Old</v>
      </c>
      <c r="G292" s="4" t="s">
        <v>14</v>
      </c>
      <c r="H292" s="4">
        <v>2</v>
      </c>
      <c r="I292" s="4">
        <v>300</v>
      </c>
      <c r="J292" s="4">
        <v>600</v>
      </c>
      <c r="K292" s="4" t="str" cm="1">
        <f t="array" ref="K292">_xlfn.IFS(AND(Table156[[#This Row],[Total Amount]]&gt;=1500),"Critical",AND(Table156[[#This Row],[Total Amount]]&gt;=1000),"High",TRUE,"Normal")</f>
        <v>Normal</v>
      </c>
      <c r="L292" s="4" t="str">
        <f>IF(Table156[[#This Row],[Total Amount]]&gt;=1000,"High",(IF(Table156[[#This Row],[Total Amount]]&gt;=500,"Medium","Low")))</f>
        <v>Medium</v>
      </c>
      <c r="M292" s="4" t="str" cm="1">
        <f t="array" ref="M29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92" s="4" cm="1">
        <f t="array" ref="N29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292" s="4">
        <f>Table156[[#This Row],[Total Amount]]-Table156[[#This Row],[Discount Amount]]</f>
        <v>540</v>
      </c>
      <c r="P292" s="4" t="str">
        <f>IF(Table156[[#This Row],[Total Amount]]&gt;=1000,"High","Low")</f>
        <v>Low</v>
      </c>
      <c r="Q292" s="4" t="str" cm="1">
        <f t="array" ref="Q292">_xlfn.IFS(AND(Table156[[#This Row],[Total Amount]]&gt;=1500,"Critical"),AND(Table156[[#This Row],[Total Amount]]&gt;=1000,"High"),TRUE,"Normal")</f>
        <v>Normal</v>
      </c>
      <c r="R292" s="4">
        <f>COUNTIF(Table156[Gender],"Male")</f>
        <v>490</v>
      </c>
    </row>
    <row r="293" spans="1:18" x14ac:dyDescent="0.35">
      <c r="A293" s="4">
        <v>292</v>
      </c>
      <c r="B293" s="5">
        <v>44974</v>
      </c>
      <c r="C293" s="4" t="s">
        <v>305</v>
      </c>
      <c r="D293" s="4" t="s">
        <v>10</v>
      </c>
      <c r="E293" s="4">
        <v>20</v>
      </c>
      <c r="F293" s="4" t="str">
        <f>IF(Table156[[#This Row],[Age]]&lt;=19,"Teenager",IF(Table156[[#This Row],[Age]]&lt;=40,"Median","Old"))</f>
        <v>Median</v>
      </c>
      <c r="G293" s="4" t="s">
        <v>11</v>
      </c>
      <c r="H293" s="4">
        <v>4</v>
      </c>
      <c r="I293" s="4">
        <v>300</v>
      </c>
      <c r="J293" s="4">
        <v>1200</v>
      </c>
      <c r="K293" s="4" t="str" cm="1">
        <f t="array" ref="K293">_xlfn.IFS(AND(Table156[[#This Row],[Total Amount]]&gt;=1500),"Critical",AND(Table156[[#This Row],[Total Amount]]&gt;=1000),"High",TRUE,"Normal")</f>
        <v>High</v>
      </c>
      <c r="L293" s="4" t="str">
        <f>IF(Table156[[#This Row],[Total Amount]]&gt;=1000,"High",(IF(Table156[[#This Row],[Total Amount]]&gt;=500,"Medium","Low")))</f>
        <v>High</v>
      </c>
      <c r="M293" s="4" t="str" cm="1">
        <f t="array" ref="M29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93" s="4" cm="1">
        <f t="array" ref="N29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93" s="4">
        <f>Table156[[#This Row],[Total Amount]]-Table156[[#This Row],[Discount Amount]]</f>
        <v>1200</v>
      </c>
      <c r="P293" s="4" t="str">
        <f>IF(Table156[[#This Row],[Total Amount]]&gt;=1000,"High","Low")</f>
        <v>High</v>
      </c>
      <c r="Q293" s="4" t="str" cm="1">
        <f t="array" ref="Q293">_xlfn.IFS(AND(Table156[[#This Row],[Total Amount]]&gt;=1500,"Critical"),AND(Table156[[#This Row],[Total Amount]]&gt;=1000,"High"),TRUE,"Normal")</f>
        <v>Normal</v>
      </c>
      <c r="R293" s="4">
        <f>COUNTIF(Table156[Gender],"Male")</f>
        <v>490</v>
      </c>
    </row>
    <row r="294" spans="1:18" x14ac:dyDescent="0.35">
      <c r="A294" s="4">
        <v>293</v>
      </c>
      <c r="B294" s="5">
        <v>45048</v>
      </c>
      <c r="C294" s="4" t="s">
        <v>306</v>
      </c>
      <c r="D294" s="4" t="s">
        <v>10</v>
      </c>
      <c r="E294" s="4">
        <v>50</v>
      </c>
      <c r="F294" s="4" t="str">
        <f>IF(Table156[[#This Row],[Age]]&lt;=19,"Teenager",IF(Table156[[#This Row],[Age]]&lt;=40,"Median","Old"))</f>
        <v>Old</v>
      </c>
      <c r="G294" s="4" t="s">
        <v>16</v>
      </c>
      <c r="H294" s="4">
        <v>3</v>
      </c>
      <c r="I294" s="4">
        <v>30</v>
      </c>
      <c r="J294" s="4">
        <v>90</v>
      </c>
      <c r="K294" s="4" t="str" cm="1">
        <f t="array" ref="K294">_xlfn.IFS(AND(Table156[[#This Row],[Total Amount]]&gt;=1500),"Critical",AND(Table156[[#This Row],[Total Amount]]&gt;=1000),"High",TRUE,"Normal")</f>
        <v>Normal</v>
      </c>
      <c r="L294" s="4" t="str">
        <f>IF(Table156[[#This Row],[Total Amount]]&gt;=1000,"High",(IF(Table156[[#This Row],[Total Amount]]&gt;=500,"Medium","Low")))</f>
        <v>Low</v>
      </c>
      <c r="M294" s="4" t="str" cm="1">
        <f t="array" ref="M29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94" s="4" cm="1">
        <f t="array" ref="N29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</v>
      </c>
      <c r="O294" s="4">
        <f>Table156[[#This Row],[Total Amount]]-Table156[[#This Row],[Discount Amount]]</f>
        <v>81</v>
      </c>
      <c r="P294" s="4" t="str">
        <f>IF(Table156[[#This Row],[Total Amount]]&gt;=1000,"High","Low")</f>
        <v>Low</v>
      </c>
      <c r="Q294" s="4" t="str" cm="1">
        <f t="array" ref="Q294">_xlfn.IFS(AND(Table156[[#This Row],[Total Amount]]&gt;=1500,"Critical"),AND(Table156[[#This Row],[Total Amount]]&gt;=1000,"High"),TRUE,"Normal")</f>
        <v>Normal</v>
      </c>
      <c r="R294" s="4">
        <f>COUNTIF(Table156[Gender],"Male")</f>
        <v>490</v>
      </c>
    </row>
    <row r="295" spans="1:18" x14ac:dyDescent="0.35">
      <c r="A295" s="4">
        <v>294</v>
      </c>
      <c r="B295" s="5">
        <v>45012</v>
      </c>
      <c r="C295" s="4" t="s">
        <v>307</v>
      </c>
      <c r="D295" s="4" t="s">
        <v>13</v>
      </c>
      <c r="E295" s="4">
        <v>23</v>
      </c>
      <c r="F295" s="4" t="str">
        <f>IF(Table156[[#This Row],[Age]]&lt;=19,"Teenager",IF(Table156[[#This Row],[Age]]&lt;=40,"Median","Old"))</f>
        <v>Median</v>
      </c>
      <c r="G295" s="4" t="s">
        <v>14</v>
      </c>
      <c r="H295" s="4">
        <v>3</v>
      </c>
      <c r="I295" s="4">
        <v>30</v>
      </c>
      <c r="J295" s="4">
        <v>90</v>
      </c>
      <c r="K295" s="4" t="str" cm="1">
        <f t="array" ref="K295">_xlfn.IFS(AND(Table156[[#This Row],[Total Amount]]&gt;=1500),"Critical",AND(Table156[[#This Row],[Total Amount]]&gt;=1000),"High",TRUE,"Normal")</f>
        <v>Normal</v>
      </c>
      <c r="L295" s="4" t="str">
        <f>IF(Table156[[#This Row],[Total Amount]]&gt;=1000,"High",(IF(Table156[[#This Row],[Total Amount]]&gt;=500,"Medium","Low")))</f>
        <v>Low</v>
      </c>
      <c r="M295" s="4" t="str" cm="1">
        <f t="array" ref="M29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95" s="4" cm="1">
        <f t="array" ref="N29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95" s="4">
        <f>Table156[[#This Row],[Total Amount]]-Table156[[#This Row],[Discount Amount]]</f>
        <v>90</v>
      </c>
      <c r="P295" s="4" t="str">
        <f>IF(Table156[[#This Row],[Total Amount]]&gt;=1000,"High","Low")</f>
        <v>Low</v>
      </c>
      <c r="Q295" s="4" t="str" cm="1">
        <f t="array" ref="Q295">_xlfn.IFS(AND(Table156[[#This Row],[Total Amount]]&gt;=1500,"Critical"),AND(Table156[[#This Row],[Total Amount]]&gt;=1000,"High"),TRUE,"Normal")</f>
        <v>Normal</v>
      </c>
      <c r="R295" s="4">
        <f>COUNTIF(Table156[Gender],"Male")</f>
        <v>490</v>
      </c>
    </row>
    <row r="296" spans="1:18" x14ac:dyDescent="0.35">
      <c r="A296" s="4">
        <v>295</v>
      </c>
      <c r="B296" s="5">
        <v>45135</v>
      </c>
      <c r="C296" s="4" t="s">
        <v>308</v>
      </c>
      <c r="D296" s="4" t="s">
        <v>13</v>
      </c>
      <c r="E296" s="4">
        <v>27</v>
      </c>
      <c r="F296" s="4" t="str">
        <f>IF(Table156[[#This Row],[Age]]&lt;=19,"Teenager",IF(Table156[[#This Row],[Age]]&lt;=40,"Median","Old"))</f>
        <v>Median</v>
      </c>
      <c r="G296" s="4" t="s">
        <v>11</v>
      </c>
      <c r="H296" s="4">
        <v>3</v>
      </c>
      <c r="I296" s="4">
        <v>300</v>
      </c>
      <c r="J296" s="4">
        <v>900</v>
      </c>
      <c r="K296" s="4" t="str" cm="1">
        <f t="array" ref="K296">_xlfn.IFS(AND(Table156[[#This Row],[Total Amount]]&gt;=1500),"Critical",AND(Table156[[#This Row],[Total Amount]]&gt;=1000),"High",TRUE,"Normal")</f>
        <v>Normal</v>
      </c>
      <c r="L296" s="4" t="str">
        <f>IF(Table156[[#This Row],[Total Amount]]&gt;=1000,"High",(IF(Table156[[#This Row],[Total Amount]]&gt;=500,"Medium","Low")))</f>
        <v>Medium</v>
      </c>
      <c r="M296" s="4" t="str" cm="1">
        <f t="array" ref="M29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96" s="4" cm="1">
        <f t="array" ref="N29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135</v>
      </c>
      <c r="O296" s="4">
        <f>Table156[[#This Row],[Total Amount]]-Table156[[#This Row],[Discount Amount]]</f>
        <v>765</v>
      </c>
      <c r="P296" s="4" t="str">
        <f>IF(Table156[[#This Row],[Total Amount]]&gt;=1000,"High","Low")</f>
        <v>Low</v>
      </c>
      <c r="Q296" s="4" t="str" cm="1">
        <f t="array" ref="Q296">_xlfn.IFS(AND(Table156[[#This Row],[Total Amount]]&gt;=1500,"Critical"),AND(Table156[[#This Row],[Total Amount]]&gt;=1000,"High"),TRUE,"Normal")</f>
        <v>Normal</v>
      </c>
      <c r="R296" s="4">
        <f>COUNTIF(Table156[Gender],"Male")</f>
        <v>490</v>
      </c>
    </row>
    <row r="297" spans="1:18" x14ac:dyDescent="0.35">
      <c r="A297" s="4">
        <v>296</v>
      </c>
      <c r="B297" s="5">
        <v>45175</v>
      </c>
      <c r="C297" s="4" t="s">
        <v>309</v>
      </c>
      <c r="D297" s="4" t="s">
        <v>13</v>
      </c>
      <c r="E297" s="4">
        <v>22</v>
      </c>
      <c r="F297" s="4" t="str">
        <f>IF(Table156[[#This Row],[Age]]&lt;=19,"Teenager",IF(Table156[[#This Row],[Age]]&lt;=40,"Median","Old"))</f>
        <v>Median</v>
      </c>
      <c r="G297" s="4" t="s">
        <v>14</v>
      </c>
      <c r="H297" s="4">
        <v>4</v>
      </c>
      <c r="I297" s="4">
        <v>300</v>
      </c>
      <c r="J297" s="4">
        <v>1200</v>
      </c>
      <c r="K297" s="4" t="str" cm="1">
        <f t="array" ref="K297">_xlfn.IFS(AND(Table156[[#This Row],[Total Amount]]&gt;=1500),"Critical",AND(Table156[[#This Row],[Total Amount]]&gt;=1000),"High",TRUE,"Normal")</f>
        <v>High</v>
      </c>
      <c r="L297" s="4" t="str">
        <f>IF(Table156[[#This Row],[Total Amount]]&gt;=1000,"High",(IF(Table156[[#This Row],[Total Amount]]&gt;=500,"Medium","Low")))</f>
        <v>High</v>
      </c>
      <c r="M297" s="4" t="str" cm="1">
        <f t="array" ref="M29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97" s="4" cm="1">
        <f t="array" ref="N29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97" s="4">
        <f>Table156[[#This Row],[Total Amount]]-Table156[[#This Row],[Discount Amount]]</f>
        <v>1200</v>
      </c>
      <c r="P297" s="4" t="str">
        <f>IF(Table156[[#This Row],[Total Amount]]&gt;=1000,"High","Low")</f>
        <v>High</v>
      </c>
      <c r="Q297" s="4" t="str" cm="1">
        <f t="array" ref="Q297">_xlfn.IFS(AND(Table156[[#This Row],[Total Amount]]&gt;=1500,"Critical"),AND(Table156[[#This Row],[Total Amount]]&gt;=1000,"High"),TRUE,"Normal")</f>
        <v>Normal</v>
      </c>
      <c r="R297" s="4">
        <f>COUNTIF(Table156[Gender],"Male")</f>
        <v>490</v>
      </c>
    </row>
    <row r="298" spans="1:18" x14ac:dyDescent="0.35">
      <c r="A298" s="4">
        <v>297</v>
      </c>
      <c r="B298" s="5">
        <v>45173</v>
      </c>
      <c r="C298" s="4" t="s">
        <v>310</v>
      </c>
      <c r="D298" s="4" t="s">
        <v>13</v>
      </c>
      <c r="E298" s="4">
        <v>40</v>
      </c>
      <c r="F298" s="4" t="str">
        <f>IF(Table156[[#This Row],[Age]]&lt;=19,"Teenager",IF(Table156[[#This Row],[Age]]&lt;=40,"Median","Old"))</f>
        <v>Median</v>
      </c>
      <c r="G298" s="4" t="s">
        <v>16</v>
      </c>
      <c r="H298" s="4">
        <v>2</v>
      </c>
      <c r="I298" s="4">
        <v>500</v>
      </c>
      <c r="J298" s="4">
        <v>1000</v>
      </c>
      <c r="K298" s="4" t="str" cm="1">
        <f t="array" ref="K298">_xlfn.IFS(AND(Table156[[#This Row],[Total Amount]]&gt;=1500),"Critical",AND(Table156[[#This Row],[Total Amount]]&gt;=1000),"High",TRUE,"Normal")</f>
        <v>High</v>
      </c>
      <c r="L298" s="4" t="str">
        <f>IF(Table156[[#This Row],[Total Amount]]&gt;=1000,"High",(IF(Table156[[#This Row],[Total Amount]]&gt;=500,"Medium","Low")))</f>
        <v>High</v>
      </c>
      <c r="M298" s="4" t="str" cm="1">
        <f t="array" ref="M29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98" s="4" cm="1">
        <f t="array" ref="N29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298" s="4">
        <f>Table156[[#This Row],[Total Amount]]-Table156[[#This Row],[Discount Amount]]</f>
        <v>800</v>
      </c>
      <c r="P298" s="4" t="str">
        <f>IF(Table156[[#This Row],[Total Amount]]&gt;=1000,"High","Low")</f>
        <v>High</v>
      </c>
      <c r="Q298" s="4" t="str" cm="1">
        <f t="array" ref="Q298">_xlfn.IFS(AND(Table156[[#This Row],[Total Amount]]&gt;=1500,"Critical"),AND(Table156[[#This Row],[Total Amount]]&gt;=1000,"High"),TRUE,"Normal")</f>
        <v>Normal</v>
      </c>
      <c r="R298" s="4">
        <f>COUNTIF(Table156[Gender],"Male")</f>
        <v>490</v>
      </c>
    </row>
    <row r="299" spans="1:18" x14ac:dyDescent="0.35">
      <c r="A299" s="4">
        <v>298</v>
      </c>
      <c r="B299" s="5">
        <v>45036</v>
      </c>
      <c r="C299" s="4" t="s">
        <v>311</v>
      </c>
      <c r="D299" s="4" t="s">
        <v>10</v>
      </c>
      <c r="E299" s="4">
        <v>27</v>
      </c>
      <c r="F299" s="4" t="str">
        <f>IF(Table156[[#This Row],[Age]]&lt;=19,"Teenager",IF(Table156[[#This Row],[Age]]&lt;=40,"Median","Old"))</f>
        <v>Median</v>
      </c>
      <c r="G299" s="4" t="s">
        <v>11</v>
      </c>
      <c r="H299" s="4">
        <v>4</v>
      </c>
      <c r="I299" s="4">
        <v>300</v>
      </c>
      <c r="J299" s="4">
        <v>1200</v>
      </c>
      <c r="K299" s="4" t="str" cm="1">
        <f t="array" ref="K299">_xlfn.IFS(AND(Table156[[#This Row],[Total Amount]]&gt;=1500),"Critical",AND(Table156[[#This Row],[Total Amount]]&gt;=1000),"High",TRUE,"Normal")</f>
        <v>High</v>
      </c>
      <c r="L299" s="4" t="str">
        <f>IF(Table156[[#This Row],[Total Amount]]&gt;=1000,"High",(IF(Table156[[#This Row],[Total Amount]]&gt;=500,"Medium","Low")))</f>
        <v>High</v>
      </c>
      <c r="M299" s="4" t="str" cm="1">
        <f t="array" ref="M29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99" s="4" cm="1">
        <f t="array" ref="N29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299" s="4">
        <f>Table156[[#This Row],[Total Amount]]-Table156[[#This Row],[Discount Amount]]</f>
        <v>1020</v>
      </c>
      <c r="P299" s="4" t="str">
        <f>IF(Table156[[#This Row],[Total Amount]]&gt;=1000,"High","Low")</f>
        <v>High</v>
      </c>
      <c r="Q299" s="4" t="str" cm="1">
        <f t="array" ref="Q299">_xlfn.IFS(AND(Table156[[#This Row],[Total Amount]]&gt;=1500,"Critical"),AND(Table156[[#This Row],[Total Amount]]&gt;=1000,"High"),TRUE,"Normal")</f>
        <v>Normal</v>
      </c>
      <c r="R299" s="4">
        <f>COUNTIF(Table156[Gender],"Male")</f>
        <v>490</v>
      </c>
    </row>
    <row r="300" spans="1:18" x14ac:dyDescent="0.35">
      <c r="A300" s="4">
        <v>299</v>
      </c>
      <c r="B300" s="5">
        <v>45132</v>
      </c>
      <c r="C300" s="4" t="s">
        <v>312</v>
      </c>
      <c r="D300" s="4" t="s">
        <v>10</v>
      </c>
      <c r="E300" s="4">
        <v>61</v>
      </c>
      <c r="F300" s="4" t="str">
        <f>IF(Table156[[#This Row],[Age]]&lt;=19,"Teenager",IF(Table156[[#This Row],[Age]]&lt;=40,"Median","Old"))</f>
        <v>Old</v>
      </c>
      <c r="G300" s="4" t="s">
        <v>16</v>
      </c>
      <c r="H300" s="4">
        <v>2</v>
      </c>
      <c r="I300" s="4">
        <v>500</v>
      </c>
      <c r="J300" s="4">
        <v>1000</v>
      </c>
      <c r="K300" s="4" t="str" cm="1">
        <f t="array" ref="K300">_xlfn.IFS(AND(Table156[[#This Row],[Total Amount]]&gt;=1500),"Critical",AND(Table156[[#This Row],[Total Amount]]&gt;=1000),"High",TRUE,"Normal")</f>
        <v>High</v>
      </c>
      <c r="L300" s="4" t="str">
        <f>IF(Table156[[#This Row],[Total Amount]]&gt;=1000,"High",(IF(Table156[[#This Row],[Total Amount]]&gt;=500,"Medium","Low")))</f>
        <v>High</v>
      </c>
      <c r="M300" s="4" t="str" cm="1">
        <f t="array" ref="M30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00" s="4" cm="1">
        <f t="array" ref="N30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300" s="4">
        <f>Table156[[#This Row],[Total Amount]]-Table156[[#This Row],[Discount Amount]]</f>
        <v>900</v>
      </c>
      <c r="P300" s="4" t="str">
        <f>IF(Table156[[#This Row],[Total Amount]]&gt;=1000,"High","Low")</f>
        <v>High</v>
      </c>
      <c r="Q300" s="4" t="str" cm="1">
        <f t="array" ref="Q300">_xlfn.IFS(AND(Table156[[#This Row],[Total Amount]]&gt;=1500,"Critical"),AND(Table156[[#This Row],[Total Amount]]&gt;=1000,"High"),TRUE,"Normal")</f>
        <v>Normal</v>
      </c>
      <c r="R300" s="4">
        <f>COUNTIF(Table156[Gender],"Male")</f>
        <v>490</v>
      </c>
    </row>
    <row r="301" spans="1:18" x14ac:dyDescent="0.35">
      <c r="A301" s="4">
        <v>300</v>
      </c>
      <c r="B301" s="5">
        <v>44957</v>
      </c>
      <c r="C301" s="4" t="s">
        <v>313</v>
      </c>
      <c r="D301" s="4" t="s">
        <v>13</v>
      </c>
      <c r="E301" s="4">
        <v>19</v>
      </c>
      <c r="F301" s="4" t="str">
        <f>IF(Table156[[#This Row],[Age]]&lt;=19,"Teenager",IF(Table156[[#This Row],[Age]]&lt;=40,"Median","Old"))</f>
        <v>Teenager</v>
      </c>
      <c r="G301" s="4" t="s">
        <v>16</v>
      </c>
      <c r="H301" s="4">
        <v>4</v>
      </c>
      <c r="I301" s="4">
        <v>50</v>
      </c>
      <c r="J301" s="4">
        <v>200</v>
      </c>
      <c r="K301" s="4" t="str" cm="1">
        <f t="array" ref="K301">_xlfn.IFS(AND(Table156[[#This Row],[Total Amount]]&gt;=1500),"Critical",AND(Table156[[#This Row],[Total Amount]]&gt;=1000),"High",TRUE,"Normal")</f>
        <v>Normal</v>
      </c>
      <c r="L301" s="4" t="str">
        <f>IF(Table156[[#This Row],[Total Amount]]&gt;=1000,"High",(IF(Table156[[#This Row],[Total Amount]]&gt;=500,"Medium","Low")))</f>
        <v>Low</v>
      </c>
      <c r="M301" s="4" t="str" cm="1">
        <f t="array" ref="M30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01" s="4" cm="1">
        <f t="array" ref="N30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01" s="4">
        <f>Table156[[#This Row],[Total Amount]]-Table156[[#This Row],[Discount Amount]]</f>
        <v>200</v>
      </c>
      <c r="P301" s="4" t="str">
        <f>IF(Table156[[#This Row],[Total Amount]]&gt;=1000,"High","Low")</f>
        <v>Low</v>
      </c>
      <c r="Q301" s="4" t="str" cm="1">
        <f t="array" ref="Q301">_xlfn.IFS(AND(Table156[[#This Row],[Total Amount]]&gt;=1500,"Critical"),AND(Table156[[#This Row],[Total Amount]]&gt;=1000,"High"),TRUE,"Normal")</f>
        <v>Normal</v>
      </c>
      <c r="R301" s="4">
        <f>COUNTIF(Table156[Gender],"Male")</f>
        <v>490</v>
      </c>
    </row>
    <row r="302" spans="1:18" x14ac:dyDescent="0.35">
      <c r="A302" s="4">
        <v>301</v>
      </c>
      <c r="B302" s="5">
        <v>45011</v>
      </c>
      <c r="C302" s="4" t="s">
        <v>314</v>
      </c>
      <c r="D302" s="4" t="s">
        <v>10</v>
      </c>
      <c r="E302" s="4">
        <v>30</v>
      </c>
      <c r="F302" s="4" t="str">
        <f>IF(Table156[[#This Row],[Age]]&lt;=19,"Teenager",IF(Table156[[#This Row],[Age]]&lt;=40,"Median","Old"))</f>
        <v>Median</v>
      </c>
      <c r="G302" s="4" t="s">
        <v>14</v>
      </c>
      <c r="H302" s="4">
        <v>4</v>
      </c>
      <c r="I302" s="4">
        <v>30</v>
      </c>
      <c r="J302" s="4">
        <v>120</v>
      </c>
      <c r="K302" s="4" t="str" cm="1">
        <f t="array" ref="K302">_xlfn.IFS(AND(Table156[[#This Row],[Total Amount]]&gt;=1500),"Critical",AND(Table156[[#This Row],[Total Amount]]&gt;=1000),"High",TRUE,"Normal")</f>
        <v>Normal</v>
      </c>
      <c r="L302" s="4" t="str">
        <f>IF(Table156[[#This Row],[Total Amount]]&gt;=1000,"High",(IF(Table156[[#This Row],[Total Amount]]&gt;=500,"Medium","Low")))</f>
        <v>Low</v>
      </c>
      <c r="M302" s="4" t="str" cm="1">
        <f t="array" ref="M30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02" s="4" cm="1">
        <f t="array" ref="N30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302" s="4">
        <f>Table156[[#This Row],[Total Amount]]-Table156[[#This Row],[Discount Amount]]</f>
        <v>102</v>
      </c>
      <c r="P302" s="4" t="str">
        <f>IF(Table156[[#This Row],[Total Amount]]&gt;=1000,"High","Low")</f>
        <v>Low</v>
      </c>
      <c r="Q302" s="4" t="str" cm="1">
        <f t="array" ref="Q302">_xlfn.IFS(AND(Table156[[#This Row],[Total Amount]]&gt;=1500,"Critical"),AND(Table156[[#This Row],[Total Amount]]&gt;=1000,"High"),TRUE,"Normal")</f>
        <v>Normal</v>
      </c>
      <c r="R302" s="4">
        <f>COUNTIF(Table156[Gender],"Male")</f>
        <v>490</v>
      </c>
    </row>
    <row r="303" spans="1:18" x14ac:dyDescent="0.35">
      <c r="A303" s="4">
        <v>302</v>
      </c>
      <c r="B303" s="5">
        <v>45121</v>
      </c>
      <c r="C303" s="4" t="s">
        <v>315</v>
      </c>
      <c r="D303" s="4" t="s">
        <v>10</v>
      </c>
      <c r="E303" s="4">
        <v>57</v>
      </c>
      <c r="F303" s="4" t="str">
        <f>IF(Table156[[#This Row],[Age]]&lt;=19,"Teenager",IF(Table156[[#This Row],[Age]]&lt;=40,"Median","Old"))</f>
        <v>Old</v>
      </c>
      <c r="G303" s="4" t="s">
        <v>11</v>
      </c>
      <c r="H303" s="4">
        <v>2</v>
      </c>
      <c r="I303" s="4">
        <v>300</v>
      </c>
      <c r="J303" s="4">
        <v>600</v>
      </c>
      <c r="K303" s="4" t="str" cm="1">
        <f t="array" ref="K303">_xlfn.IFS(AND(Table156[[#This Row],[Total Amount]]&gt;=1500),"Critical",AND(Table156[[#This Row],[Total Amount]]&gt;=1000),"High",TRUE,"Normal")</f>
        <v>Normal</v>
      </c>
      <c r="L303" s="4" t="str">
        <f>IF(Table156[[#This Row],[Total Amount]]&gt;=1000,"High",(IF(Table156[[#This Row],[Total Amount]]&gt;=500,"Medium","Low")))</f>
        <v>Medium</v>
      </c>
      <c r="M303" s="4" t="str" cm="1">
        <f t="array" ref="M30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03" s="4" cm="1">
        <f t="array" ref="N30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303" s="4">
        <f>Table156[[#This Row],[Total Amount]]-Table156[[#This Row],[Discount Amount]]</f>
        <v>540</v>
      </c>
      <c r="P303" s="4" t="str">
        <f>IF(Table156[[#This Row],[Total Amount]]&gt;=1000,"High","Low")</f>
        <v>Low</v>
      </c>
      <c r="Q303" s="4" t="str" cm="1">
        <f t="array" ref="Q303">_xlfn.IFS(AND(Table156[[#This Row],[Total Amount]]&gt;=1500,"Critical"),AND(Table156[[#This Row],[Total Amount]]&gt;=1000,"High"),TRUE,"Normal")</f>
        <v>Normal</v>
      </c>
      <c r="R303" s="4">
        <f>COUNTIF(Table156[Gender],"Male")</f>
        <v>490</v>
      </c>
    </row>
    <row r="304" spans="1:18" x14ac:dyDescent="0.35">
      <c r="A304" s="4">
        <v>303</v>
      </c>
      <c r="B304" s="5">
        <v>44928</v>
      </c>
      <c r="C304" s="4" t="s">
        <v>316</v>
      </c>
      <c r="D304" s="4" t="s">
        <v>10</v>
      </c>
      <c r="E304" s="4">
        <v>19</v>
      </c>
      <c r="F304" s="4" t="str">
        <f>IF(Table156[[#This Row],[Age]]&lt;=19,"Teenager",IF(Table156[[#This Row],[Age]]&lt;=40,"Median","Old"))</f>
        <v>Teenager</v>
      </c>
      <c r="G304" s="4" t="s">
        <v>16</v>
      </c>
      <c r="H304" s="4">
        <v>3</v>
      </c>
      <c r="I304" s="4">
        <v>30</v>
      </c>
      <c r="J304" s="4">
        <v>90</v>
      </c>
      <c r="K304" s="4" t="str" cm="1">
        <f t="array" ref="K304">_xlfn.IFS(AND(Table156[[#This Row],[Total Amount]]&gt;=1500),"Critical",AND(Table156[[#This Row],[Total Amount]]&gt;=1000),"High",TRUE,"Normal")</f>
        <v>Normal</v>
      </c>
      <c r="L304" s="4" t="str">
        <f>IF(Table156[[#This Row],[Total Amount]]&gt;=1000,"High",(IF(Table156[[#This Row],[Total Amount]]&gt;=500,"Medium","Low")))</f>
        <v>Low</v>
      </c>
      <c r="M304" s="4" t="str" cm="1">
        <f t="array" ref="M30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04" s="4" cm="1">
        <f t="array" ref="N30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04" s="4">
        <f>Table156[[#This Row],[Total Amount]]-Table156[[#This Row],[Discount Amount]]</f>
        <v>90</v>
      </c>
      <c r="P304" s="4" t="str">
        <f>IF(Table156[[#This Row],[Total Amount]]&gt;=1000,"High","Low")</f>
        <v>Low</v>
      </c>
      <c r="Q304" s="4" t="str" cm="1">
        <f t="array" ref="Q304">_xlfn.IFS(AND(Table156[[#This Row],[Total Amount]]&gt;=1500,"Critical"),AND(Table156[[#This Row],[Total Amount]]&gt;=1000,"High"),TRUE,"Normal")</f>
        <v>Normal</v>
      </c>
      <c r="R304" s="4">
        <f>COUNTIF(Table156[Gender],"Male")</f>
        <v>490</v>
      </c>
    </row>
    <row r="305" spans="1:18" x14ac:dyDescent="0.35">
      <c r="A305" s="4">
        <v>304</v>
      </c>
      <c r="B305" s="5">
        <v>45126</v>
      </c>
      <c r="C305" s="4" t="s">
        <v>317</v>
      </c>
      <c r="D305" s="4" t="s">
        <v>13</v>
      </c>
      <c r="E305" s="4">
        <v>37</v>
      </c>
      <c r="F305" s="4" t="str">
        <f>IF(Table156[[#This Row],[Age]]&lt;=19,"Teenager",IF(Table156[[#This Row],[Age]]&lt;=40,"Median","Old"))</f>
        <v>Median</v>
      </c>
      <c r="G305" s="4" t="s">
        <v>16</v>
      </c>
      <c r="H305" s="4">
        <v>2</v>
      </c>
      <c r="I305" s="4">
        <v>30</v>
      </c>
      <c r="J305" s="4">
        <v>60</v>
      </c>
      <c r="K305" s="4" t="str" cm="1">
        <f t="array" ref="K305">_xlfn.IFS(AND(Table156[[#This Row],[Total Amount]]&gt;=1500),"Critical",AND(Table156[[#This Row],[Total Amount]]&gt;=1000),"High",TRUE,"Normal")</f>
        <v>Normal</v>
      </c>
      <c r="L305" s="4" t="str">
        <f>IF(Table156[[#This Row],[Total Amount]]&gt;=1000,"High",(IF(Table156[[#This Row],[Total Amount]]&gt;=500,"Medium","Low")))</f>
        <v>Low</v>
      </c>
      <c r="M305" s="4" t="str" cm="1">
        <f t="array" ref="M30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05" s="4" cm="1">
        <f t="array" ref="N30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305" s="4">
        <f>Table156[[#This Row],[Total Amount]]-Table156[[#This Row],[Discount Amount]]</f>
        <v>48</v>
      </c>
      <c r="P305" s="4" t="str">
        <f>IF(Table156[[#This Row],[Total Amount]]&gt;=1000,"High","Low")</f>
        <v>Low</v>
      </c>
      <c r="Q305" s="4" t="str" cm="1">
        <f t="array" ref="Q305">_xlfn.IFS(AND(Table156[[#This Row],[Total Amount]]&gt;=1500,"Critical"),AND(Table156[[#This Row],[Total Amount]]&gt;=1000,"High"),TRUE,"Normal")</f>
        <v>Normal</v>
      </c>
      <c r="R305" s="4">
        <f>COUNTIF(Table156[Gender],"Male")</f>
        <v>490</v>
      </c>
    </row>
    <row r="306" spans="1:18" x14ac:dyDescent="0.35">
      <c r="A306" s="4">
        <v>305</v>
      </c>
      <c r="B306" s="5">
        <v>45062</v>
      </c>
      <c r="C306" s="4" t="s">
        <v>318</v>
      </c>
      <c r="D306" s="4" t="s">
        <v>13</v>
      </c>
      <c r="E306" s="4">
        <v>18</v>
      </c>
      <c r="F306" s="4" t="str">
        <f>IF(Table156[[#This Row],[Age]]&lt;=19,"Teenager",IF(Table156[[#This Row],[Age]]&lt;=40,"Median","Old"))</f>
        <v>Teenager</v>
      </c>
      <c r="G306" s="4" t="s">
        <v>11</v>
      </c>
      <c r="H306" s="4">
        <v>1</v>
      </c>
      <c r="I306" s="4">
        <v>30</v>
      </c>
      <c r="J306" s="4">
        <v>30</v>
      </c>
      <c r="K306" s="4" t="str" cm="1">
        <f t="array" ref="K306">_xlfn.IFS(AND(Table156[[#This Row],[Total Amount]]&gt;=1500),"Critical",AND(Table156[[#This Row],[Total Amount]]&gt;=1000),"High",TRUE,"Normal")</f>
        <v>Normal</v>
      </c>
      <c r="L306" s="4" t="str">
        <f>IF(Table156[[#This Row],[Total Amount]]&gt;=1000,"High",(IF(Table156[[#This Row],[Total Amount]]&gt;=500,"Medium","Low")))</f>
        <v>Low</v>
      </c>
      <c r="M306" s="4" t="str" cm="1">
        <f t="array" ref="M30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06" s="4" cm="1">
        <f t="array" ref="N30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06" s="4">
        <f>Table156[[#This Row],[Total Amount]]-Table156[[#This Row],[Discount Amount]]</f>
        <v>30</v>
      </c>
      <c r="P306" s="4" t="str">
        <f>IF(Table156[[#This Row],[Total Amount]]&gt;=1000,"High","Low")</f>
        <v>Low</v>
      </c>
      <c r="Q306" s="4" t="str" cm="1">
        <f t="array" ref="Q306">_xlfn.IFS(AND(Table156[[#This Row],[Total Amount]]&gt;=1500,"Critical"),AND(Table156[[#This Row],[Total Amount]]&gt;=1000,"High"),TRUE,"Normal")</f>
        <v>Normal</v>
      </c>
      <c r="R306" s="4">
        <f>COUNTIF(Table156[Gender],"Male")</f>
        <v>490</v>
      </c>
    </row>
    <row r="307" spans="1:18" x14ac:dyDescent="0.35">
      <c r="A307" s="4">
        <v>306</v>
      </c>
      <c r="B307" s="5">
        <v>45159</v>
      </c>
      <c r="C307" s="4" t="s">
        <v>319</v>
      </c>
      <c r="D307" s="4" t="s">
        <v>10</v>
      </c>
      <c r="E307" s="4">
        <v>54</v>
      </c>
      <c r="F307" s="4" t="str">
        <f>IF(Table156[[#This Row],[Age]]&lt;=19,"Teenager",IF(Table156[[#This Row],[Age]]&lt;=40,"Median","Old"))</f>
        <v>Old</v>
      </c>
      <c r="G307" s="4" t="s">
        <v>16</v>
      </c>
      <c r="H307" s="4">
        <v>1</v>
      </c>
      <c r="I307" s="4">
        <v>50</v>
      </c>
      <c r="J307" s="4">
        <v>50</v>
      </c>
      <c r="K307" s="4" t="str" cm="1">
        <f t="array" ref="K307">_xlfn.IFS(AND(Table156[[#This Row],[Total Amount]]&gt;=1500),"Critical",AND(Table156[[#This Row],[Total Amount]]&gt;=1000),"High",TRUE,"Normal")</f>
        <v>Normal</v>
      </c>
      <c r="L307" s="4" t="str">
        <f>IF(Table156[[#This Row],[Total Amount]]&gt;=1000,"High",(IF(Table156[[#This Row],[Total Amount]]&gt;=500,"Medium","Low")))</f>
        <v>Low</v>
      </c>
      <c r="M307" s="4" t="str" cm="1">
        <f t="array" ref="M30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07" s="4" cm="1">
        <f t="array" ref="N30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307" s="4">
        <f>Table156[[#This Row],[Total Amount]]-Table156[[#This Row],[Discount Amount]]</f>
        <v>45</v>
      </c>
      <c r="P307" s="4" t="str">
        <f>IF(Table156[[#This Row],[Total Amount]]&gt;=1000,"High","Low")</f>
        <v>Low</v>
      </c>
      <c r="Q307" s="4" t="str" cm="1">
        <f t="array" ref="Q307">_xlfn.IFS(AND(Table156[[#This Row],[Total Amount]]&gt;=1500,"Critical"),AND(Table156[[#This Row],[Total Amount]]&gt;=1000,"High"),TRUE,"Normal")</f>
        <v>Normal</v>
      </c>
      <c r="R307" s="4">
        <f>COUNTIF(Table156[Gender],"Male")</f>
        <v>490</v>
      </c>
    </row>
    <row r="308" spans="1:18" x14ac:dyDescent="0.35">
      <c r="A308" s="4">
        <v>307</v>
      </c>
      <c r="B308" s="5">
        <v>45073</v>
      </c>
      <c r="C308" s="4" t="s">
        <v>320</v>
      </c>
      <c r="D308" s="4" t="s">
        <v>13</v>
      </c>
      <c r="E308" s="4">
        <v>26</v>
      </c>
      <c r="F308" s="4" t="str">
        <f>IF(Table156[[#This Row],[Age]]&lt;=19,"Teenager",IF(Table156[[#This Row],[Age]]&lt;=40,"Median","Old"))</f>
        <v>Median</v>
      </c>
      <c r="G308" s="4" t="s">
        <v>16</v>
      </c>
      <c r="H308" s="4">
        <v>2</v>
      </c>
      <c r="I308" s="4">
        <v>25</v>
      </c>
      <c r="J308" s="4">
        <v>50</v>
      </c>
      <c r="K308" s="4" t="str" cm="1">
        <f t="array" ref="K308">_xlfn.IFS(AND(Table156[[#This Row],[Total Amount]]&gt;=1500),"Critical",AND(Table156[[#This Row],[Total Amount]]&gt;=1000),"High",TRUE,"Normal")</f>
        <v>Normal</v>
      </c>
      <c r="L308" s="4" t="str">
        <f>IF(Table156[[#This Row],[Total Amount]]&gt;=1000,"High",(IF(Table156[[#This Row],[Total Amount]]&gt;=500,"Medium","Low")))</f>
        <v>Low</v>
      </c>
      <c r="M308" s="4" t="str" cm="1">
        <f t="array" ref="M30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08" s="4" cm="1">
        <f t="array" ref="N30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308" s="4">
        <f>Table156[[#This Row],[Total Amount]]-Table156[[#This Row],[Discount Amount]]</f>
        <v>42.5</v>
      </c>
      <c r="P308" s="4" t="str">
        <f>IF(Table156[[#This Row],[Total Amount]]&gt;=1000,"High","Low")</f>
        <v>Low</v>
      </c>
      <c r="Q308" s="4" t="str" cm="1">
        <f t="array" ref="Q308">_xlfn.IFS(AND(Table156[[#This Row],[Total Amount]]&gt;=1500,"Critical"),AND(Table156[[#This Row],[Total Amount]]&gt;=1000,"High"),TRUE,"Normal")</f>
        <v>Normal</v>
      </c>
      <c r="R308" s="4">
        <f>COUNTIF(Table156[Gender],"Male")</f>
        <v>490</v>
      </c>
    </row>
    <row r="309" spans="1:18" x14ac:dyDescent="0.35">
      <c r="A309" s="4">
        <v>308</v>
      </c>
      <c r="B309" s="5">
        <v>45143</v>
      </c>
      <c r="C309" s="4" t="s">
        <v>321</v>
      </c>
      <c r="D309" s="4" t="s">
        <v>13</v>
      </c>
      <c r="E309" s="4">
        <v>34</v>
      </c>
      <c r="F309" s="4" t="str">
        <f>IF(Table156[[#This Row],[Age]]&lt;=19,"Teenager",IF(Table156[[#This Row],[Age]]&lt;=40,"Median","Old"))</f>
        <v>Median</v>
      </c>
      <c r="G309" s="4" t="s">
        <v>11</v>
      </c>
      <c r="H309" s="4">
        <v>4</v>
      </c>
      <c r="I309" s="4">
        <v>300</v>
      </c>
      <c r="J309" s="4">
        <v>1200</v>
      </c>
      <c r="K309" s="4" t="str" cm="1">
        <f t="array" ref="K309">_xlfn.IFS(AND(Table156[[#This Row],[Total Amount]]&gt;=1500),"Critical",AND(Table156[[#This Row],[Total Amount]]&gt;=1000),"High",TRUE,"Normal")</f>
        <v>High</v>
      </c>
      <c r="L309" s="4" t="str">
        <f>IF(Table156[[#This Row],[Total Amount]]&gt;=1000,"High",(IF(Table156[[#This Row],[Total Amount]]&gt;=500,"Medium","Low")))</f>
        <v>High</v>
      </c>
      <c r="M309" s="4" t="str" cm="1">
        <f t="array" ref="M30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09" s="4" cm="1">
        <f t="array" ref="N30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309" s="4">
        <f>Table156[[#This Row],[Total Amount]]-Table156[[#This Row],[Discount Amount]]</f>
        <v>1020</v>
      </c>
      <c r="P309" s="4" t="str">
        <f>IF(Table156[[#This Row],[Total Amount]]&gt;=1000,"High","Low")</f>
        <v>High</v>
      </c>
      <c r="Q309" s="4" t="str" cm="1">
        <f t="array" ref="Q309">_xlfn.IFS(AND(Table156[[#This Row],[Total Amount]]&gt;=1500,"Critical"),AND(Table156[[#This Row],[Total Amount]]&gt;=1000,"High"),TRUE,"Normal")</f>
        <v>Normal</v>
      </c>
      <c r="R309" s="4">
        <f>COUNTIF(Table156[Gender],"Male")</f>
        <v>490</v>
      </c>
    </row>
    <row r="310" spans="1:18" x14ac:dyDescent="0.35">
      <c r="A310" s="4">
        <v>309</v>
      </c>
      <c r="B310" s="5">
        <v>45283</v>
      </c>
      <c r="C310" s="4" t="s">
        <v>322</v>
      </c>
      <c r="D310" s="4" t="s">
        <v>13</v>
      </c>
      <c r="E310" s="4">
        <v>26</v>
      </c>
      <c r="F310" s="4" t="str">
        <f>IF(Table156[[#This Row],[Age]]&lt;=19,"Teenager",IF(Table156[[#This Row],[Age]]&lt;=40,"Median","Old"))</f>
        <v>Median</v>
      </c>
      <c r="G310" s="4" t="s">
        <v>11</v>
      </c>
      <c r="H310" s="4">
        <v>1</v>
      </c>
      <c r="I310" s="4">
        <v>25</v>
      </c>
      <c r="J310" s="4">
        <v>25</v>
      </c>
      <c r="K310" s="4" t="str" cm="1">
        <f t="array" ref="K310">_xlfn.IFS(AND(Table156[[#This Row],[Total Amount]]&gt;=1500),"Critical",AND(Table156[[#This Row],[Total Amount]]&gt;=1000),"High",TRUE,"Normal")</f>
        <v>Normal</v>
      </c>
      <c r="L310" s="4" t="str">
        <f>IF(Table156[[#This Row],[Total Amount]]&gt;=1000,"High",(IF(Table156[[#This Row],[Total Amount]]&gt;=500,"Medium","Low")))</f>
        <v>Low</v>
      </c>
      <c r="M310" s="4" t="str" cm="1">
        <f t="array" ref="M31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10" s="4" cm="1">
        <f t="array" ref="N31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3.75</v>
      </c>
      <c r="O310" s="4">
        <f>Table156[[#This Row],[Total Amount]]-Table156[[#This Row],[Discount Amount]]</f>
        <v>21.25</v>
      </c>
      <c r="P310" s="4" t="str">
        <f>IF(Table156[[#This Row],[Total Amount]]&gt;=1000,"High","Low")</f>
        <v>Low</v>
      </c>
      <c r="Q310" s="4" t="str" cm="1">
        <f t="array" ref="Q310">_xlfn.IFS(AND(Table156[[#This Row],[Total Amount]]&gt;=1500,"Critical"),AND(Table156[[#This Row],[Total Amount]]&gt;=1000,"High"),TRUE,"Normal")</f>
        <v>Normal</v>
      </c>
      <c r="R310" s="4">
        <f>COUNTIF(Table156[Gender],"Male")</f>
        <v>490</v>
      </c>
    </row>
    <row r="311" spans="1:18" x14ac:dyDescent="0.35">
      <c r="A311" s="4">
        <v>310</v>
      </c>
      <c r="B311" s="5">
        <v>45211</v>
      </c>
      <c r="C311" s="4" t="s">
        <v>323</v>
      </c>
      <c r="D311" s="4" t="s">
        <v>13</v>
      </c>
      <c r="E311" s="4">
        <v>28</v>
      </c>
      <c r="F311" s="4" t="str">
        <f>IF(Table156[[#This Row],[Age]]&lt;=19,"Teenager",IF(Table156[[#This Row],[Age]]&lt;=40,"Median","Old"))</f>
        <v>Median</v>
      </c>
      <c r="G311" s="4" t="s">
        <v>11</v>
      </c>
      <c r="H311" s="4">
        <v>1</v>
      </c>
      <c r="I311" s="4">
        <v>25</v>
      </c>
      <c r="J311" s="4">
        <v>25</v>
      </c>
      <c r="K311" s="4" t="str" cm="1">
        <f t="array" ref="K311">_xlfn.IFS(AND(Table156[[#This Row],[Total Amount]]&gt;=1500),"Critical",AND(Table156[[#This Row],[Total Amount]]&gt;=1000),"High",TRUE,"Normal")</f>
        <v>Normal</v>
      </c>
      <c r="L311" s="4" t="str">
        <f>IF(Table156[[#This Row],[Total Amount]]&gt;=1000,"High",(IF(Table156[[#This Row],[Total Amount]]&gt;=500,"Medium","Low")))</f>
        <v>Low</v>
      </c>
      <c r="M311" s="4" t="str" cm="1">
        <f t="array" ref="M31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11" s="4" cm="1">
        <f t="array" ref="N31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3.75</v>
      </c>
      <c r="O311" s="4">
        <f>Table156[[#This Row],[Total Amount]]-Table156[[#This Row],[Discount Amount]]</f>
        <v>21.25</v>
      </c>
      <c r="P311" s="4" t="str">
        <f>IF(Table156[[#This Row],[Total Amount]]&gt;=1000,"High","Low")</f>
        <v>Low</v>
      </c>
      <c r="Q311" s="4" t="str" cm="1">
        <f t="array" ref="Q311">_xlfn.IFS(AND(Table156[[#This Row],[Total Amount]]&gt;=1500,"Critical"),AND(Table156[[#This Row],[Total Amount]]&gt;=1000,"High"),TRUE,"Normal")</f>
        <v>Normal</v>
      </c>
      <c r="R311" s="4">
        <f>COUNTIF(Table156[Gender],"Male")</f>
        <v>490</v>
      </c>
    </row>
    <row r="312" spans="1:18" x14ac:dyDescent="0.35">
      <c r="A312" s="4">
        <v>311</v>
      </c>
      <c r="B312" s="5">
        <v>45265</v>
      </c>
      <c r="C312" s="4" t="s">
        <v>324</v>
      </c>
      <c r="D312" s="4" t="s">
        <v>13</v>
      </c>
      <c r="E312" s="4">
        <v>32</v>
      </c>
      <c r="F312" s="4" t="str">
        <f>IF(Table156[[#This Row],[Age]]&lt;=19,"Teenager",IF(Table156[[#This Row],[Age]]&lt;=40,"Median","Old"))</f>
        <v>Median</v>
      </c>
      <c r="G312" s="4" t="s">
        <v>11</v>
      </c>
      <c r="H312" s="4">
        <v>4</v>
      </c>
      <c r="I312" s="4">
        <v>25</v>
      </c>
      <c r="J312" s="4">
        <v>100</v>
      </c>
      <c r="K312" s="4" t="str" cm="1">
        <f t="array" ref="K312">_xlfn.IFS(AND(Table156[[#This Row],[Total Amount]]&gt;=1500),"Critical",AND(Table156[[#This Row],[Total Amount]]&gt;=1000),"High",TRUE,"Normal")</f>
        <v>Normal</v>
      </c>
      <c r="L312" s="4" t="str">
        <f>IF(Table156[[#This Row],[Total Amount]]&gt;=1000,"High",(IF(Table156[[#This Row],[Total Amount]]&gt;=500,"Medium","Low")))</f>
        <v>Low</v>
      </c>
      <c r="M312" s="4" t="str" cm="1">
        <f t="array" ref="M31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12" s="4" cm="1">
        <f t="array" ref="N31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312" s="4">
        <f>Table156[[#This Row],[Total Amount]]-Table156[[#This Row],[Discount Amount]]</f>
        <v>85</v>
      </c>
      <c r="P312" s="4" t="str">
        <f>IF(Table156[[#This Row],[Total Amount]]&gt;=1000,"High","Low")</f>
        <v>Low</v>
      </c>
      <c r="Q312" s="4" t="str" cm="1">
        <f t="array" ref="Q312">_xlfn.IFS(AND(Table156[[#This Row],[Total Amount]]&gt;=1500,"Critical"),AND(Table156[[#This Row],[Total Amount]]&gt;=1000,"High"),TRUE,"Normal")</f>
        <v>Normal</v>
      </c>
      <c r="R312" s="4">
        <f>COUNTIF(Table156[Gender],"Male")</f>
        <v>490</v>
      </c>
    </row>
    <row r="313" spans="1:18" x14ac:dyDescent="0.35">
      <c r="A313" s="4">
        <v>312</v>
      </c>
      <c r="B313" s="5">
        <v>45176</v>
      </c>
      <c r="C313" s="4" t="s">
        <v>325</v>
      </c>
      <c r="D313" s="4" t="s">
        <v>10</v>
      </c>
      <c r="E313" s="4">
        <v>41</v>
      </c>
      <c r="F313" s="4" t="str">
        <f>IF(Table156[[#This Row],[Age]]&lt;=19,"Teenager",IF(Table156[[#This Row],[Age]]&lt;=40,"Median","Old"))</f>
        <v>Old</v>
      </c>
      <c r="G313" s="4" t="s">
        <v>14</v>
      </c>
      <c r="H313" s="4">
        <v>4</v>
      </c>
      <c r="I313" s="4">
        <v>30</v>
      </c>
      <c r="J313" s="4">
        <v>120</v>
      </c>
      <c r="K313" s="4" t="str" cm="1">
        <f t="array" ref="K313">_xlfn.IFS(AND(Table156[[#This Row],[Total Amount]]&gt;=1500),"Critical",AND(Table156[[#This Row],[Total Amount]]&gt;=1000),"High",TRUE,"Normal")</f>
        <v>Normal</v>
      </c>
      <c r="L313" s="4" t="str">
        <f>IF(Table156[[#This Row],[Total Amount]]&gt;=1000,"High",(IF(Table156[[#This Row],[Total Amount]]&gt;=500,"Medium","Low")))</f>
        <v>Low</v>
      </c>
      <c r="M313" s="4" t="str" cm="1">
        <f t="array" ref="M31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13" s="4" cm="1">
        <f t="array" ref="N31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313" s="4">
        <f>Table156[[#This Row],[Total Amount]]-Table156[[#This Row],[Discount Amount]]</f>
        <v>108</v>
      </c>
      <c r="P313" s="4" t="str">
        <f>IF(Table156[[#This Row],[Total Amount]]&gt;=1000,"High","Low")</f>
        <v>Low</v>
      </c>
      <c r="Q313" s="4" t="str" cm="1">
        <f t="array" ref="Q313">_xlfn.IFS(AND(Table156[[#This Row],[Total Amount]]&gt;=1500,"Critical"),AND(Table156[[#This Row],[Total Amount]]&gt;=1000,"High"),TRUE,"Normal")</f>
        <v>Normal</v>
      </c>
      <c r="R313" s="4">
        <f>COUNTIF(Table156[Gender],"Male")</f>
        <v>490</v>
      </c>
    </row>
    <row r="314" spans="1:18" x14ac:dyDescent="0.35">
      <c r="A314" s="4">
        <v>313</v>
      </c>
      <c r="B314" s="5">
        <v>45006</v>
      </c>
      <c r="C314" s="4" t="s">
        <v>326</v>
      </c>
      <c r="D314" s="4" t="s">
        <v>13</v>
      </c>
      <c r="E314" s="4">
        <v>55</v>
      </c>
      <c r="F314" s="4" t="str">
        <f>IF(Table156[[#This Row],[Age]]&lt;=19,"Teenager",IF(Table156[[#This Row],[Age]]&lt;=40,"Median","Old"))</f>
        <v>Old</v>
      </c>
      <c r="G314" s="4" t="s">
        <v>11</v>
      </c>
      <c r="H314" s="4">
        <v>3</v>
      </c>
      <c r="I314" s="4">
        <v>500</v>
      </c>
      <c r="J314" s="4">
        <v>1500</v>
      </c>
      <c r="K314" s="4" t="str" cm="1">
        <f t="array" ref="K314">_xlfn.IFS(AND(Table156[[#This Row],[Total Amount]]&gt;=1500),"Critical",AND(Table156[[#This Row],[Total Amount]]&gt;=1000),"High",TRUE,"Normal")</f>
        <v>Critical</v>
      </c>
      <c r="L314" s="4" t="str">
        <f>IF(Table156[[#This Row],[Total Amount]]&gt;=1000,"High",(IF(Table156[[#This Row],[Total Amount]]&gt;=500,"Medium","Low")))</f>
        <v>High</v>
      </c>
      <c r="M314" s="4" t="str" cm="1">
        <f t="array" ref="M31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14" s="4" cm="1">
        <f t="array" ref="N31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314" s="4">
        <f>Table156[[#This Row],[Total Amount]]-Table156[[#This Row],[Discount Amount]]</f>
        <v>1200</v>
      </c>
      <c r="P314" s="4" t="str">
        <f>IF(Table156[[#This Row],[Total Amount]]&gt;=1000,"High","Low")</f>
        <v>High</v>
      </c>
      <c r="Q314" s="4" t="b" cm="1">
        <f t="array" ref="Q314">_xlfn.IFS(AND(Table156[[#This Row],[Total Amount]]&gt;=1500,"Critical"),AND(Table156[[#This Row],[Total Amount]]&gt;=1000,"High"),TRUE,"Normal")</f>
        <v>1</v>
      </c>
      <c r="R314" s="4">
        <f>COUNTIF(Table156[Gender],"Male")</f>
        <v>490</v>
      </c>
    </row>
    <row r="315" spans="1:18" x14ac:dyDescent="0.35">
      <c r="A315" s="4">
        <v>314</v>
      </c>
      <c r="B315" s="5">
        <v>45024</v>
      </c>
      <c r="C315" s="4" t="s">
        <v>327</v>
      </c>
      <c r="D315" s="4" t="s">
        <v>10</v>
      </c>
      <c r="E315" s="4">
        <v>52</v>
      </c>
      <c r="F315" s="4" t="str">
        <f>IF(Table156[[#This Row],[Age]]&lt;=19,"Teenager",IF(Table156[[#This Row],[Age]]&lt;=40,"Median","Old"))</f>
        <v>Old</v>
      </c>
      <c r="G315" s="4" t="s">
        <v>14</v>
      </c>
      <c r="H315" s="4">
        <v>4</v>
      </c>
      <c r="I315" s="4">
        <v>30</v>
      </c>
      <c r="J315" s="4">
        <v>120</v>
      </c>
      <c r="K315" s="4" t="str" cm="1">
        <f t="array" ref="K315">_xlfn.IFS(AND(Table156[[#This Row],[Total Amount]]&gt;=1500),"Critical",AND(Table156[[#This Row],[Total Amount]]&gt;=1000),"High",TRUE,"Normal")</f>
        <v>Normal</v>
      </c>
      <c r="L315" s="4" t="str">
        <f>IF(Table156[[#This Row],[Total Amount]]&gt;=1000,"High",(IF(Table156[[#This Row],[Total Amount]]&gt;=500,"Medium","Low")))</f>
        <v>Low</v>
      </c>
      <c r="M315" s="4" t="str" cm="1">
        <f t="array" ref="M31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15" s="4" cm="1">
        <f t="array" ref="N31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315" s="4">
        <f>Table156[[#This Row],[Total Amount]]-Table156[[#This Row],[Discount Amount]]</f>
        <v>108</v>
      </c>
      <c r="P315" s="4" t="str">
        <f>IF(Table156[[#This Row],[Total Amount]]&gt;=1000,"High","Low")</f>
        <v>Low</v>
      </c>
      <c r="Q315" s="4" t="str" cm="1">
        <f t="array" ref="Q315">_xlfn.IFS(AND(Table156[[#This Row],[Total Amount]]&gt;=1500,"Critical"),AND(Table156[[#This Row],[Total Amount]]&gt;=1000,"High"),TRUE,"Normal")</f>
        <v>Normal</v>
      </c>
      <c r="R315" s="4">
        <f>COUNTIF(Table156[Gender],"Male")</f>
        <v>490</v>
      </c>
    </row>
    <row r="316" spans="1:18" x14ac:dyDescent="0.35">
      <c r="A316" s="4">
        <v>315</v>
      </c>
      <c r="B316" s="5">
        <v>45078</v>
      </c>
      <c r="C316" s="4" t="s">
        <v>328</v>
      </c>
      <c r="D316" s="4" t="s">
        <v>10</v>
      </c>
      <c r="E316" s="4">
        <v>47</v>
      </c>
      <c r="F316" s="4" t="str">
        <f>IF(Table156[[#This Row],[Age]]&lt;=19,"Teenager",IF(Table156[[#This Row],[Age]]&lt;=40,"Median","Old"))</f>
        <v>Old</v>
      </c>
      <c r="G316" s="4" t="s">
        <v>14</v>
      </c>
      <c r="H316" s="4">
        <v>2</v>
      </c>
      <c r="I316" s="4">
        <v>30</v>
      </c>
      <c r="J316" s="4">
        <v>60</v>
      </c>
      <c r="K316" s="4" t="str" cm="1">
        <f t="array" ref="K316">_xlfn.IFS(AND(Table156[[#This Row],[Total Amount]]&gt;=1500),"Critical",AND(Table156[[#This Row],[Total Amount]]&gt;=1000),"High",TRUE,"Normal")</f>
        <v>Normal</v>
      </c>
      <c r="L316" s="4" t="str">
        <f>IF(Table156[[#This Row],[Total Amount]]&gt;=1000,"High",(IF(Table156[[#This Row],[Total Amount]]&gt;=500,"Medium","Low")))</f>
        <v>Low</v>
      </c>
      <c r="M316" s="4" t="str" cm="1">
        <f t="array" ref="M31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16" s="4" cm="1">
        <f t="array" ref="N31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316" s="4">
        <f>Table156[[#This Row],[Total Amount]]-Table156[[#This Row],[Discount Amount]]</f>
        <v>54</v>
      </c>
      <c r="P316" s="4" t="str">
        <f>IF(Table156[[#This Row],[Total Amount]]&gt;=1000,"High","Low")</f>
        <v>Low</v>
      </c>
      <c r="Q316" s="4" t="str" cm="1">
        <f t="array" ref="Q316">_xlfn.IFS(AND(Table156[[#This Row],[Total Amount]]&gt;=1500,"Critical"),AND(Table156[[#This Row],[Total Amount]]&gt;=1000,"High"),TRUE,"Normal")</f>
        <v>Normal</v>
      </c>
      <c r="R316" s="4">
        <f>COUNTIF(Table156[Gender],"Male")</f>
        <v>490</v>
      </c>
    </row>
    <row r="317" spans="1:18" x14ac:dyDescent="0.35">
      <c r="A317" s="4">
        <v>316</v>
      </c>
      <c r="B317" s="5">
        <v>45038</v>
      </c>
      <c r="C317" s="4" t="s">
        <v>329</v>
      </c>
      <c r="D317" s="4" t="s">
        <v>13</v>
      </c>
      <c r="E317" s="4">
        <v>48</v>
      </c>
      <c r="F317" s="4" t="str">
        <f>IF(Table156[[#This Row],[Age]]&lt;=19,"Teenager",IF(Table156[[#This Row],[Age]]&lt;=40,"Median","Old"))</f>
        <v>Old</v>
      </c>
      <c r="G317" s="4" t="s">
        <v>14</v>
      </c>
      <c r="H317" s="4">
        <v>2</v>
      </c>
      <c r="I317" s="4">
        <v>25</v>
      </c>
      <c r="J317" s="4">
        <v>50</v>
      </c>
      <c r="K317" s="4" t="str" cm="1">
        <f t="array" ref="K317">_xlfn.IFS(AND(Table156[[#This Row],[Total Amount]]&gt;=1500),"Critical",AND(Table156[[#This Row],[Total Amount]]&gt;=1000),"High",TRUE,"Normal")</f>
        <v>Normal</v>
      </c>
      <c r="L317" s="4" t="str">
        <f>IF(Table156[[#This Row],[Total Amount]]&gt;=1000,"High",(IF(Table156[[#This Row],[Total Amount]]&gt;=500,"Medium","Low")))</f>
        <v>Low</v>
      </c>
      <c r="M317" s="4" t="str" cm="1">
        <f t="array" ref="M31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17" s="4" cm="1">
        <f t="array" ref="N31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317" s="4">
        <f>Table156[[#This Row],[Total Amount]]-Table156[[#This Row],[Discount Amount]]</f>
        <v>40</v>
      </c>
      <c r="P317" s="4" t="str">
        <f>IF(Table156[[#This Row],[Total Amount]]&gt;=1000,"High","Low")</f>
        <v>Low</v>
      </c>
      <c r="Q317" s="4" t="str" cm="1">
        <f t="array" ref="Q317">_xlfn.IFS(AND(Table156[[#This Row],[Total Amount]]&gt;=1500,"Critical"),AND(Table156[[#This Row],[Total Amount]]&gt;=1000,"High"),TRUE,"Normal")</f>
        <v>Normal</v>
      </c>
      <c r="R317" s="4">
        <f>COUNTIF(Table156[Gender],"Male")</f>
        <v>490</v>
      </c>
    </row>
    <row r="318" spans="1:18" x14ac:dyDescent="0.35">
      <c r="A318" s="4">
        <v>317</v>
      </c>
      <c r="B318" s="5">
        <v>44956</v>
      </c>
      <c r="C318" s="4" t="s">
        <v>330</v>
      </c>
      <c r="D318" s="4" t="s">
        <v>10</v>
      </c>
      <c r="E318" s="4">
        <v>22</v>
      </c>
      <c r="F318" s="4" t="str">
        <f>IF(Table156[[#This Row],[Age]]&lt;=19,"Teenager",IF(Table156[[#This Row],[Age]]&lt;=40,"Median","Old"))</f>
        <v>Median</v>
      </c>
      <c r="G318" s="4" t="s">
        <v>16</v>
      </c>
      <c r="H318" s="4">
        <v>3</v>
      </c>
      <c r="I318" s="4">
        <v>30</v>
      </c>
      <c r="J318" s="4">
        <v>90</v>
      </c>
      <c r="K318" s="4" t="str" cm="1">
        <f t="array" ref="K318">_xlfn.IFS(AND(Table156[[#This Row],[Total Amount]]&gt;=1500),"Critical",AND(Table156[[#This Row],[Total Amount]]&gt;=1000),"High",TRUE,"Normal")</f>
        <v>Normal</v>
      </c>
      <c r="L318" s="4" t="str">
        <f>IF(Table156[[#This Row],[Total Amount]]&gt;=1000,"High",(IF(Table156[[#This Row],[Total Amount]]&gt;=500,"Medium","Low")))</f>
        <v>Low</v>
      </c>
      <c r="M318" s="4" t="str" cm="1">
        <f t="array" ref="M31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18" s="4" cm="1">
        <f t="array" ref="N31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18" s="4">
        <f>Table156[[#This Row],[Total Amount]]-Table156[[#This Row],[Discount Amount]]</f>
        <v>90</v>
      </c>
      <c r="P318" s="4" t="str">
        <f>IF(Table156[[#This Row],[Total Amount]]&gt;=1000,"High","Low")</f>
        <v>Low</v>
      </c>
      <c r="Q318" s="4" t="str" cm="1">
        <f t="array" ref="Q318">_xlfn.IFS(AND(Table156[[#This Row],[Total Amount]]&gt;=1500,"Critical"),AND(Table156[[#This Row],[Total Amount]]&gt;=1000,"High"),TRUE,"Normal")</f>
        <v>Normal</v>
      </c>
      <c r="R318" s="4">
        <f>COUNTIF(Table156[Gender],"Male")</f>
        <v>490</v>
      </c>
    </row>
    <row r="319" spans="1:18" x14ac:dyDescent="0.35">
      <c r="A319" s="4">
        <v>318</v>
      </c>
      <c r="B319" s="5">
        <v>45223</v>
      </c>
      <c r="C319" s="4" t="s">
        <v>331</v>
      </c>
      <c r="D319" s="4" t="s">
        <v>10</v>
      </c>
      <c r="E319" s="4">
        <v>61</v>
      </c>
      <c r="F319" s="4" t="str">
        <f>IF(Table156[[#This Row],[Age]]&lt;=19,"Teenager",IF(Table156[[#This Row],[Age]]&lt;=40,"Median","Old"))</f>
        <v>Old</v>
      </c>
      <c r="G319" s="4" t="s">
        <v>14</v>
      </c>
      <c r="H319" s="4">
        <v>1</v>
      </c>
      <c r="I319" s="4">
        <v>25</v>
      </c>
      <c r="J319" s="4">
        <v>25</v>
      </c>
      <c r="K319" s="4" t="str" cm="1">
        <f t="array" ref="K319">_xlfn.IFS(AND(Table156[[#This Row],[Total Amount]]&gt;=1500),"Critical",AND(Table156[[#This Row],[Total Amount]]&gt;=1000),"High",TRUE,"Normal")</f>
        <v>Normal</v>
      </c>
      <c r="L319" s="4" t="str">
        <f>IF(Table156[[#This Row],[Total Amount]]&gt;=1000,"High",(IF(Table156[[#This Row],[Total Amount]]&gt;=500,"Medium","Low")))</f>
        <v>Low</v>
      </c>
      <c r="M319" s="4" t="str" cm="1">
        <f t="array" ref="M31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19" s="4" cm="1">
        <f t="array" ref="N31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319" s="4">
        <f>Table156[[#This Row],[Total Amount]]-Table156[[#This Row],[Discount Amount]]</f>
        <v>22.5</v>
      </c>
      <c r="P319" s="4" t="str">
        <f>IF(Table156[[#This Row],[Total Amount]]&gt;=1000,"High","Low")</f>
        <v>Low</v>
      </c>
      <c r="Q319" s="4" t="str" cm="1">
        <f t="array" ref="Q319">_xlfn.IFS(AND(Table156[[#This Row],[Total Amount]]&gt;=1500,"Critical"),AND(Table156[[#This Row],[Total Amount]]&gt;=1000,"High"),TRUE,"Normal")</f>
        <v>Normal</v>
      </c>
      <c r="R319" s="4">
        <f>COUNTIF(Table156[Gender],"Male")</f>
        <v>490</v>
      </c>
    </row>
    <row r="320" spans="1:18" x14ac:dyDescent="0.35">
      <c r="A320" s="4">
        <v>319</v>
      </c>
      <c r="B320" s="5">
        <v>45204</v>
      </c>
      <c r="C320" s="4" t="s">
        <v>332</v>
      </c>
      <c r="D320" s="4" t="s">
        <v>10</v>
      </c>
      <c r="E320" s="4">
        <v>31</v>
      </c>
      <c r="F320" s="4" t="str">
        <f>IF(Table156[[#This Row],[Age]]&lt;=19,"Teenager",IF(Table156[[#This Row],[Age]]&lt;=40,"Median","Old"))</f>
        <v>Median</v>
      </c>
      <c r="G320" s="4" t="s">
        <v>14</v>
      </c>
      <c r="H320" s="4">
        <v>1</v>
      </c>
      <c r="I320" s="4">
        <v>500</v>
      </c>
      <c r="J320" s="4">
        <v>500</v>
      </c>
      <c r="K320" s="4" t="str" cm="1">
        <f t="array" ref="K320">_xlfn.IFS(AND(Table156[[#This Row],[Total Amount]]&gt;=1500),"Critical",AND(Table156[[#This Row],[Total Amount]]&gt;=1000),"High",TRUE,"Normal")</f>
        <v>Normal</v>
      </c>
      <c r="L320" s="4" t="str">
        <f>IF(Table156[[#This Row],[Total Amount]]&gt;=1000,"High",(IF(Table156[[#This Row],[Total Amount]]&gt;=500,"Medium","Low")))</f>
        <v>Medium</v>
      </c>
      <c r="M320" s="4" t="str" cm="1">
        <f t="array" ref="M32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20" s="4" cm="1">
        <f t="array" ref="N32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75</v>
      </c>
      <c r="O320" s="4">
        <f>Table156[[#This Row],[Total Amount]]-Table156[[#This Row],[Discount Amount]]</f>
        <v>425</v>
      </c>
      <c r="P320" s="4" t="str">
        <f>IF(Table156[[#This Row],[Total Amount]]&gt;=1000,"High","Low")</f>
        <v>Low</v>
      </c>
      <c r="Q320" s="4" t="str" cm="1">
        <f t="array" ref="Q320">_xlfn.IFS(AND(Table156[[#This Row],[Total Amount]]&gt;=1500,"Critical"),AND(Table156[[#This Row],[Total Amount]]&gt;=1000,"High"),TRUE,"Normal")</f>
        <v>Normal</v>
      </c>
      <c r="R320" s="4">
        <f>COUNTIF(Table156[Gender],"Male")</f>
        <v>490</v>
      </c>
    </row>
    <row r="321" spans="1:18" x14ac:dyDescent="0.35">
      <c r="A321" s="4">
        <v>320</v>
      </c>
      <c r="B321" s="5">
        <v>44958</v>
      </c>
      <c r="C321" s="4" t="s">
        <v>333</v>
      </c>
      <c r="D321" s="4" t="s">
        <v>13</v>
      </c>
      <c r="E321" s="4">
        <v>28</v>
      </c>
      <c r="F321" s="4" t="str">
        <f>IF(Table156[[#This Row],[Age]]&lt;=19,"Teenager",IF(Table156[[#This Row],[Age]]&lt;=40,"Median","Old"))</f>
        <v>Median</v>
      </c>
      <c r="G321" s="4" t="s">
        <v>16</v>
      </c>
      <c r="H321" s="4">
        <v>4</v>
      </c>
      <c r="I321" s="4">
        <v>300</v>
      </c>
      <c r="J321" s="4">
        <v>1200</v>
      </c>
      <c r="K321" s="4" t="str" cm="1">
        <f t="array" ref="K321">_xlfn.IFS(AND(Table156[[#This Row],[Total Amount]]&gt;=1500),"Critical",AND(Table156[[#This Row],[Total Amount]]&gt;=1000),"High",TRUE,"Normal")</f>
        <v>High</v>
      </c>
      <c r="L321" s="4" t="str">
        <f>IF(Table156[[#This Row],[Total Amount]]&gt;=1000,"High",(IF(Table156[[#This Row],[Total Amount]]&gt;=500,"Medium","Low")))</f>
        <v>High</v>
      </c>
      <c r="M321" s="4" t="str" cm="1">
        <f t="array" ref="M32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21" s="4" cm="1">
        <f t="array" ref="N32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321" s="4">
        <f>Table156[[#This Row],[Total Amount]]-Table156[[#This Row],[Discount Amount]]</f>
        <v>1020</v>
      </c>
      <c r="P321" s="4" t="str">
        <f>IF(Table156[[#This Row],[Total Amount]]&gt;=1000,"High","Low")</f>
        <v>High</v>
      </c>
      <c r="Q321" s="4" t="str" cm="1">
        <f t="array" ref="Q321">_xlfn.IFS(AND(Table156[[#This Row],[Total Amount]]&gt;=1500,"Critical"),AND(Table156[[#This Row],[Total Amount]]&gt;=1000,"High"),TRUE,"Normal")</f>
        <v>Normal</v>
      </c>
      <c r="R321" s="4">
        <f>COUNTIF(Table156[Gender],"Male")</f>
        <v>490</v>
      </c>
    </row>
    <row r="322" spans="1:18" x14ac:dyDescent="0.35">
      <c r="A322" s="4">
        <v>321</v>
      </c>
      <c r="B322" s="5">
        <v>45087</v>
      </c>
      <c r="C322" s="4" t="s">
        <v>334</v>
      </c>
      <c r="D322" s="4" t="s">
        <v>13</v>
      </c>
      <c r="E322" s="4">
        <v>26</v>
      </c>
      <c r="F322" s="4" t="str">
        <f>IF(Table156[[#This Row],[Age]]&lt;=19,"Teenager",IF(Table156[[#This Row],[Age]]&lt;=40,"Median","Old"))</f>
        <v>Median</v>
      </c>
      <c r="G322" s="4" t="s">
        <v>16</v>
      </c>
      <c r="H322" s="4">
        <v>2</v>
      </c>
      <c r="I322" s="4">
        <v>25</v>
      </c>
      <c r="J322" s="4">
        <v>50</v>
      </c>
      <c r="K322" s="4" t="str" cm="1">
        <f t="array" ref="K322">_xlfn.IFS(AND(Table156[[#This Row],[Total Amount]]&gt;=1500),"Critical",AND(Table156[[#This Row],[Total Amount]]&gt;=1000),"High",TRUE,"Normal")</f>
        <v>Normal</v>
      </c>
      <c r="L322" s="4" t="str">
        <f>IF(Table156[[#This Row],[Total Amount]]&gt;=1000,"High",(IF(Table156[[#This Row],[Total Amount]]&gt;=500,"Medium","Low")))</f>
        <v>Low</v>
      </c>
      <c r="M322" s="4" t="str" cm="1">
        <f t="array" ref="M32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22" s="4" cm="1">
        <f t="array" ref="N32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322" s="4">
        <f>Table156[[#This Row],[Total Amount]]-Table156[[#This Row],[Discount Amount]]</f>
        <v>42.5</v>
      </c>
      <c r="P322" s="4" t="str">
        <f>IF(Table156[[#This Row],[Total Amount]]&gt;=1000,"High","Low")</f>
        <v>Low</v>
      </c>
      <c r="Q322" s="4" t="str" cm="1">
        <f t="array" ref="Q322">_xlfn.IFS(AND(Table156[[#This Row],[Total Amount]]&gt;=1500,"Critical"),AND(Table156[[#This Row],[Total Amount]]&gt;=1000,"High"),TRUE,"Normal")</f>
        <v>Normal</v>
      </c>
      <c r="R322" s="4">
        <f>COUNTIF(Table156[Gender],"Male")</f>
        <v>490</v>
      </c>
    </row>
    <row r="323" spans="1:18" x14ac:dyDescent="0.35">
      <c r="A323" s="4">
        <v>322</v>
      </c>
      <c r="B323" s="5">
        <v>44956</v>
      </c>
      <c r="C323" s="4" t="s">
        <v>335</v>
      </c>
      <c r="D323" s="4" t="s">
        <v>10</v>
      </c>
      <c r="E323" s="4">
        <v>51</v>
      </c>
      <c r="F323" s="4" t="str">
        <f>IF(Table156[[#This Row],[Age]]&lt;=19,"Teenager",IF(Table156[[#This Row],[Age]]&lt;=40,"Median","Old"))</f>
        <v>Old</v>
      </c>
      <c r="G323" s="4" t="s">
        <v>16</v>
      </c>
      <c r="H323" s="4">
        <v>1</v>
      </c>
      <c r="I323" s="4">
        <v>500</v>
      </c>
      <c r="J323" s="4">
        <v>500</v>
      </c>
      <c r="K323" s="4" t="str" cm="1">
        <f t="array" ref="K323">_xlfn.IFS(AND(Table156[[#This Row],[Total Amount]]&gt;=1500),"Critical",AND(Table156[[#This Row],[Total Amount]]&gt;=1000),"High",TRUE,"Normal")</f>
        <v>Normal</v>
      </c>
      <c r="L323" s="4" t="str">
        <f>IF(Table156[[#This Row],[Total Amount]]&gt;=1000,"High",(IF(Table156[[#This Row],[Total Amount]]&gt;=500,"Medium","Low")))</f>
        <v>Medium</v>
      </c>
      <c r="M323" s="4" t="str" cm="1">
        <f t="array" ref="M32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23" s="4" cm="1">
        <f t="array" ref="N32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323" s="4">
        <f>Table156[[#This Row],[Total Amount]]-Table156[[#This Row],[Discount Amount]]</f>
        <v>450</v>
      </c>
      <c r="P323" s="4" t="str">
        <f>IF(Table156[[#This Row],[Total Amount]]&gt;=1000,"High","Low")</f>
        <v>Low</v>
      </c>
      <c r="Q323" s="4" t="str" cm="1">
        <f t="array" ref="Q323">_xlfn.IFS(AND(Table156[[#This Row],[Total Amount]]&gt;=1500,"Critical"),AND(Table156[[#This Row],[Total Amount]]&gt;=1000,"High"),TRUE,"Normal")</f>
        <v>Normal</v>
      </c>
      <c r="R323" s="4">
        <f>COUNTIF(Table156[Gender],"Male")</f>
        <v>490</v>
      </c>
    </row>
    <row r="324" spans="1:18" x14ac:dyDescent="0.35">
      <c r="A324" s="4">
        <v>323</v>
      </c>
      <c r="B324" s="5">
        <v>44952</v>
      </c>
      <c r="C324" s="4" t="s">
        <v>336</v>
      </c>
      <c r="D324" s="4" t="s">
        <v>13</v>
      </c>
      <c r="E324" s="4">
        <v>29</v>
      </c>
      <c r="F324" s="4" t="str">
        <f>IF(Table156[[#This Row],[Age]]&lt;=19,"Teenager",IF(Table156[[#This Row],[Age]]&lt;=40,"Median","Old"))</f>
        <v>Median</v>
      </c>
      <c r="G324" s="4" t="s">
        <v>11</v>
      </c>
      <c r="H324" s="4">
        <v>3</v>
      </c>
      <c r="I324" s="4">
        <v>300</v>
      </c>
      <c r="J324" s="4">
        <v>900</v>
      </c>
      <c r="K324" s="4" t="str" cm="1">
        <f t="array" ref="K324">_xlfn.IFS(AND(Table156[[#This Row],[Total Amount]]&gt;=1500),"Critical",AND(Table156[[#This Row],[Total Amount]]&gt;=1000),"High",TRUE,"Normal")</f>
        <v>Normal</v>
      </c>
      <c r="L324" s="4" t="str">
        <f>IF(Table156[[#This Row],[Total Amount]]&gt;=1000,"High",(IF(Table156[[#This Row],[Total Amount]]&gt;=500,"Medium","Low")))</f>
        <v>Medium</v>
      </c>
      <c r="M324" s="4" t="str" cm="1">
        <f t="array" ref="M32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24" s="4" cm="1">
        <f t="array" ref="N32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135</v>
      </c>
      <c r="O324" s="4">
        <f>Table156[[#This Row],[Total Amount]]-Table156[[#This Row],[Discount Amount]]</f>
        <v>765</v>
      </c>
      <c r="P324" s="4" t="str">
        <f>IF(Table156[[#This Row],[Total Amount]]&gt;=1000,"High","Low")</f>
        <v>Low</v>
      </c>
      <c r="Q324" s="4" t="str" cm="1">
        <f t="array" ref="Q324">_xlfn.IFS(AND(Table156[[#This Row],[Total Amount]]&gt;=1500,"Critical"),AND(Table156[[#This Row],[Total Amount]]&gt;=1000,"High"),TRUE,"Normal")</f>
        <v>Normal</v>
      </c>
      <c r="R324" s="4">
        <f>COUNTIF(Table156[Gender],"Male")</f>
        <v>490</v>
      </c>
    </row>
    <row r="325" spans="1:18" x14ac:dyDescent="0.35">
      <c r="A325" s="4">
        <v>324</v>
      </c>
      <c r="B325" s="5">
        <v>45226</v>
      </c>
      <c r="C325" s="4" t="s">
        <v>337</v>
      </c>
      <c r="D325" s="4" t="s">
        <v>13</v>
      </c>
      <c r="E325" s="4">
        <v>52</v>
      </c>
      <c r="F325" s="4" t="str">
        <f>IF(Table156[[#This Row],[Age]]&lt;=19,"Teenager",IF(Table156[[#This Row],[Age]]&lt;=40,"Median","Old"))</f>
        <v>Old</v>
      </c>
      <c r="G325" s="4" t="s">
        <v>16</v>
      </c>
      <c r="H325" s="4">
        <v>3</v>
      </c>
      <c r="I325" s="4">
        <v>50</v>
      </c>
      <c r="J325" s="4">
        <v>150</v>
      </c>
      <c r="K325" s="4" t="str" cm="1">
        <f t="array" ref="K325">_xlfn.IFS(AND(Table156[[#This Row],[Total Amount]]&gt;=1500),"Critical",AND(Table156[[#This Row],[Total Amount]]&gt;=1000),"High",TRUE,"Normal")</f>
        <v>Normal</v>
      </c>
      <c r="L325" s="4" t="str">
        <f>IF(Table156[[#This Row],[Total Amount]]&gt;=1000,"High",(IF(Table156[[#This Row],[Total Amount]]&gt;=500,"Medium","Low")))</f>
        <v>Low</v>
      </c>
      <c r="M325" s="4" t="str" cm="1">
        <f t="array" ref="M32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25" s="4" cm="1">
        <f t="array" ref="N32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325" s="4">
        <f>Table156[[#This Row],[Total Amount]]-Table156[[#This Row],[Discount Amount]]</f>
        <v>120</v>
      </c>
      <c r="P325" s="4" t="str">
        <f>IF(Table156[[#This Row],[Total Amount]]&gt;=1000,"High","Low")</f>
        <v>Low</v>
      </c>
      <c r="Q325" s="4" t="str" cm="1">
        <f t="array" ref="Q325">_xlfn.IFS(AND(Table156[[#This Row],[Total Amount]]&gt;=1500,"Critical"),AND(Table156[[#This Row],[Total Amount]]&gt;=1000,"High"),TRUE,"Normal")</f>
        <v>Normal</v>
      </c>
      <c r="R325" s="4">
        <f>COUNTIF(Table156[Gender],"Male")</f>
        <v>490</v>
      </c>
    </row>
    <row r="326" spans="1:18" x14ac:dyDescent="0.35">
      <c r="A326" s="4">
        <v>325</v>
      </c>
      <c r="B326" s="5">
        <v>45171</v>
      </c>
      <c r="C326" s="4" t="s">
        <v>338</v>
      </c>
      <c r="D326" s="4" t="s">
        <v>13</v>
      </c>
      <c r="E326" s="4">
        <v>52</v>
      </c>
      <c r="F326" s="4" t="str">
        <f>IF(Table156[[#This Row],[Age]]&lt;=19,"Teenager",IF(Table156[[#This Row],[Age]]&lt;=40,"Median","Old"))</f>
        <v>Old</v>
      </c>
      <c r="G326" s="4" t="s">
        <v>16</v>
      </c>
      <c r="H326" s="4">
        <v>2</v>
      </c>
      <c r="I326" s="4">
        <v>25</v>
      </c>
      <c r="J326" s="4">
        <v>50</v>
      </c>
      <c r="K326" s="4" t="str" cm="1">
        <f t="array" ref="K326">_xlfn.IFS(AND(Table156[[#This Row],[Total Amount]]&gt;=1500),"Critical",AND(Table156[[#This Row],[Total Amount]]&gt;=1000),"High",TRUE,"Normal")</f>
        <v>Normal</v>
      </c>
      <c r="L326" s="4" t="str">
        <f>IF(Table156[[#This Row],[Total Amount]]&gt;=1000,"High",(IF(Table156[[#This Row],[Total Amount]]&gt;=500,"Medium","Low")))</f>
        <v>Low</v>
      </c>
      <c r="M326" s="4" t="str" cm="1">
        <f t="array" ref="M32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26" s="4" cm="1">
        <f t="array" ref="N32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326" s="4">
        <f>Table156[[#This Row],[Total Amount]]-Table156[[#This Row],[Discount Amount]]</f>
        <v>40</v>
      </c>
      <c r="P326" s="4" t="str">
        <f>IF(Table156[[#This Row],[Total Amount]]&gt;=1000,"High","Low")</f>
        <v>Low</v>
      </c>
      <c r="Q326" s="4" t="str" cm="1">
        <f t="array" ref="Q326">_xlfn.IFS(AND(Table156[[#This Row],[Total Amount]]&gt;=1500,"Critical"),AND(Table156[[#This Row],[Total Amount]]&gt;=1000,"High"),TRUE,"Normal")</f>
        <v>Normal</v>
      </c>
      <c r="R326" s="4">
        <f>COUNTIF(Table156[Gender],"Male")</f>
        <v>490</v>
      </c>
    </row>
    <row r="327" spans="1:18" x14ac:dyDescent="0.35">
      <c r="A327" s="4">
        <v>326</v>
      </c>
      <c r="B327" s="5">
        <v>45184</v>
      </c>
      <c r="C327" s="4" t="s">
        <v>339</v>
      </c>
      <c r="D327" s="4" t="s">
        <v>13</v>
      </c>
      <c r="E327" s="4">
        <v>18</v>
      </c>
      <c r="F327" s="4" t="str">
        <f>IF(Table156[[#This Row],[Age]]&lt;=19,"Teenager",IF(Table156[[#This Row],[Age]]&lt;=40,"Median","Old"))</f>
        <v>Teenager</v>
      </c>
      <c r="G327" s="4" t="s">
        <v>14</v>
      </c>
      <c r="H327" s="4">
        <v>3</v>
      </c>
      <c r="I327" s="4">
        <v>25</v>
      </c>
      <c r="J327" s="4">
        <v>75</v>
      </c>
      <c r="K327" s="4" t="str" cm="1">
        <f t="array" ref="K327">_xlfn.IFS(AND(Table156[[#This Row],[Total Amount]]&gt;=1500),"Critical",AND(Table156[[#This Row],[Total Amount]]&gt;=1000),"High",TRUE,"Normal")</f>
        <v>Normal</v>
      </c>
      <c r="L327" s="4" t="str">
        <f>IF(Table156[[#This Row],[Total Amount]]&gt;=1000,"High",(IF(Table156[[#This Row],[Total Amount]]&gt;=500,"Medium","Low")))</f>
        <v>Low</v>
      </c>
      <c r="M327" s="4" t="str" cm="1">
        <f t="array" ref="M32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27" s="4" cm="1">
        <f t="array" ref="N32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27" s="4">
        <f>Table156[[#This Row],[Total Amount]]-Table156[[#This Row],[Discount Amount]]</f>
        <v>75</v>
      </c>
      <c r="P327" s="4" t="str">
        <f>IF(Table156[[#This Row],[Total Amount]]&gt;=1000,"High","Low")</f>
        <v>Low</v>
      </c>
      <c r="Q327" s="4" t="str" cm="1">
        <f t="array" ref="Q327">_xlfn.IFS(AND(Table156[[#This Row],[Total Amount]]&gt;=1500,"Critical"),AND(Table156[[#This Row],[Total Amount]]&gt;=1000,"High"),TRUE,"Normal")</f>
        <v>Normal</v>
      </c>
      <c r="R327" s="4">
        <f>COUNTIF(Table156[Gender],"Male")</f>
        <v>490</v>
      </c>
    </row>
    <row r="328" spans="1:18" x14ac:dyDescent="0.35">
      <c r="A328" s="4">
        <v>327</v>
      </c>
      <c r="B328" s="5">
        <v>45198</v>
      </c>
      <c r="C328" s="4" t="s">
        <v>340</v>
      </c>
      <c r="D328" s="4" t="s">
        <v>10</v>
      </c>
      <c r="E328" s="4">
        <v>57</v>
      </c>
      <c r="F328" s="4" t="str">
        <f>IF(Table156[[#This Row],[Age]]&lt;=19,"Teenager",IF(Table156[[#This Row],[Age]]&lt;=40,"Median","Old"))</f>
        <v>Old</v>
      </c>
      <c r="G328" s="4" t="s">
        <v>16</v>
      </c>
      <c r="H328" s="4">
        <v>3</v>
      </c>
      <c r="I328" s="4">
        <v>50</v>
      </c>
      <c r="J328" s="4">
        <v>150</v>
      </c>
      <c r="K328" s="4" t="str" cm="1">
        <f t="array" ref="K328">_xlfn.IFS(AND(Table156[[#This Row],[Total Amount]]&gt;=1500),"Critical",AND(Table156[[#This Row],[Total Amount]]&gt;=1000),"High",TRUE,"Normal")</f>
        <v>Normal</v>
      </c>
      <c r="L328" s="4" t="str">
        <f>IF(Table156[[#This Row],[Total Amount]]&gt;=1000,"High",(IF(Table156[[#This Row],[Total Amount]]&gt;=500,"Medium","Low")))</f>
        <v>Low</v>
      </c>
      <c r="M328" s="4" t="str" cm="1">
        <f t="array" ref="M32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28" s="4" cm="1">
        <f t="array" ref="N32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328" s="4">
        <f>Table156[[#This Row],[Total Amount]]-Table156[[#This Row],[Discount Amount]]</f>
        <v>135</v>
      </c>
      <c r="P328" s="4" t="str">
        <f>IF(Table156[[#This Row],[Total Amount]]&gt;=1000,"High","Low")</f>
        <v>Low</v>
      </c>
      <c r="Q328" s="4" t="str" cm="1">
        <f t="array" ref="Q328">_xlfn.IFS(AND(Table156[[#This Row],[Total Amount]]&gt;=1500,"Critical"),AND(Table156[[#This Row],[Total Amount]]&gt;=1000,"High"),TRUE,"Normal")</f>
        <v>Normal</v>
      </c>
      <c r="R328" s="4">
        <f>COUNTIF(Table156[Gender],"Male")</f>
        <v>490</v>
      </c>
    </row>
    <row r="329" spans="1:18" x14ac:dyDescent="0.35">
      <c r="A329" s="4">
        <v>328</v>
      </c>
      <c r="B329" s="5">
        <v>45007</v>
      </c>
      <c r="C329" s="4" t="s">
        <v>341</v>
      </c>
      <c r="D329" s="4" t="s">
        <v>10</v>
      </c>
      <c r="E329" s="4">
        <v>39</v>
      </c>
      <c r="F329" s="4" t="str">
        <f>IF(Table156[[#This Row],[Age]]&lt;=19,"Teenager",IF(Table156[[#This Row],[Age]]&lt;=40,"Median","Old"))</f>
        <v>Median</v>
      </c>
      <c r="G329" s="4" t="s">
        <v>11</v>
      </c>
      <c r="H329" s="4">
        <v>2</v>
      </c>
      <c r="I329" s="4">
        <v>50</v>
      </c>
      <c r="J329" s="4">
        <v>100</v>
      </c>
      <c r="K329" s="4" t="str" cm="1">
        <f t="array" ref="K329">_xlfn.IFS(AND(Table156[[#This Row],[Total Amount]]&gt;=1500),"Critical",AND(Table156[[#This Row],[Total Amount]]&gt;=1000),"High",TRUE,"Normal")</f>
        <v>Normal</v>
      </c>
      <c r="L329" s="4" t="str">
        <f>IF(Table156[[#This Row],[Total Amount]]&gt;=1000,"High",(IF(Table156[[#This Row],[Total Amount]]&gt;=500,"Medium","Low")))</f>
        <v>Low</v>
      </c>
      <c r="M329" s="4" t="str" cm="1">
        <f t="array" ref="M32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29" s="4" cm="1">
        <f t="array" ref="N32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329" s="4">
        <f>Table156[[#This Row],[Total Amount]]-Table156[[#This Row],[Discount Amount]]</f>
        <v>90</v>
      </c>
      <c r="P329" s="4" t="str">
        <f>IF(Table156[[#This Row],[Total Amount]]&gt;=1000,"High","Low")</f>
        <v>Low</v>
      </c>
      <c r="Q329" s="4" t="str" cm="1">
        <f t="array" ref="Q329">_xlfn.IFS(AND(Table156[[#This Row],[Total Amount]]&gt;=1500,"Critical"),AND(Table156[[#This Row],[Total Amount]]&gt;=1000,"High"),TRUE,"Normal")</f>
        <v>Normal</v>
      </c>
      <c r="R329" s="4">
        <f>COUNTIF(Table156[Gender],"Male")</f>
        <v>490</v>
      </c>
    </row>
    <row r="330" spans="1:18" x14ac:dyDescent="0.35">
      <c r="A330" s="4">
        <v>329</v>
      </c>
      <c r="B330" s="5">
        <v>44956</v>
      </c>
      <c r="C330" s="4" t="s">
        <v>342</v>
      </c>
      <c r="D330" s="4" t="s">
        <v>13</v>
      </c>
      <c r="E330" s="4">
        <v>46</v>
      </c>
      <c r="F330" s="4" t="str">
        <f>IF(Table156[[#This Row],[Age]]&lt;=19,"Teenager",IF(Table156[[#This Row],[Age]]&lt;=40,"Median","Old"))</f>
        <v>Old</v>
      </c>
      <c r="G330" s="4" t="s">
        <v>16</v>
      </c>
      <c r="H330" s="4">
        <v>4</v>
      </c>
      <c r="I330" s="4">
        <v>25</v>
      </c>
      <c r="J330" s="4">
        <v>100</v>
      </c>
      <c r="K330" s="4" t="str" cm="1">
        <f t="array" ref="K330">_xlfn.IFS(AND(Table156[[#This Row],[Total Amount]]&gt;=1500),"Critical",AND(Table156[[#This Row],[Total Amount]]&gt;=1000),"High",TRUE,"Normal")</f>
        <v>Normal</v>
      </c>
      <c r="L330" s="4" t="str">
        <f>IF(Table156[[#This Row],[Total Amount]]&gt;=1000,"High",(IF(Table156[[#This Row],[Total Amount]]&gt;=500,"Medium","Low")))</f>
        <v>Low</v>
      </c>
      <c r="M330" s="4" t="str" cm="1">
        <f t="array" ref="M33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30" s="4" cm="1">
        <f t="array" ref="N33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330" s="4">
        <f>Table156[[#This Row],[Total Amount]]-Table156[[#This Row],[Discount Amount]]</f>
        <v>80</v>
      </c>
      <c r="P330" s="4" t="str">
        <f>IF(Table156[[#This Row],[Total Amount]]&gt;=1000,"High","Low")</f>
        <v>Low</v>
      </c>
      <c r="Q330" s="4" t="str" cm="1">
        <f t="array" ref="Q330">_xlfn.IFS(AND(Table156[[#This Row],[Total Amount]]&gt;=1500,"Critical"),AND(Table156[[#This Row],[Total Amount]]&gt;=1000,"High"),TRUE,"Normal")</f>
        <v>Normal</v>
      </c>
      <c r="R330" s="4">
        <f>COUNTIF(Table156[Gender],"Male")</f>
        <v>490</v>
      </c>
    </row>
    <row r="331" spans="1:18" x14ac:dyDescent="0.35">
      <c r="A331" s="4">
        <v>330</v>
      </c>
      <c r="B331" s="5">
        <v>45187</v>
      </c>
      <c r="C331" s="4" t="s">
        <v>343</v>
      </c>
      <c r="D331" s="4" t="s">
        <v>13</v>
      </c>
      <c r="E331" s="4">
        <v>25</v>
      </c>
      <c r="F331" s="4" t="str">
        <f>IF(Table156[[#This Row],[Age]]&lt;=19,"Teenager",IF(Table156[[#This Row],[Age]]&lt;=40,"Median","Old"))</f>
        <v>Median</v>
      </c>
      <c r="G331" s="4" t="s">
        <v>11</v>
      </c>
      <c r="H331" s="4">
        <v>4</v>
      </c>
      <c r="I331" s="4">
        <v>50</v>
      </c>
      <c r="J331" s="4">
        <v>200</v>
      </c>
      <c r="K331" s="4" t="str" cm="1">
        <f t="array" ref="K331">_xlfn.IFS(AND(Table156[[#This Row],[Total Amount]]&gt;=1500),"Critical",AND(Table156[[#This Row],[Total Amount]]&gt;=1000),"High",TRUE,"Normal")</f>
        <v>Normal</v>
      </c>
      <c r="L331" s="4" t="str">
        <f>IF(Table156[[#This Row],[Total Amount]]&gt;=1000,"High",(IF(Table156[[#This Row],[Total Amount]]&gt;=500,"Medium","Low")))</f>
        <v>Low</v>
      </c>
      <c r="M331" s="4" t="str" cm="1">
        <f t="array" ref="M33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31" s="4" cm="1">
        <f t="array" ref="N33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331" s="4">
        <f>Table156[[#This Row],[Total Amount]]-Table156[[#This Row],[Discount Amount]]</f>
        <v>170</v>
      </c>
      <c r="P331" s="4" t="str">
        <f>IF(Table156[[#This Row],[Total Amount]]&gt;=1000,"High","Low")</f>
        <v>Low</v>
      </c>
      <c r="Q331" s="4" t="str" cm="1">
        <f t="array" ref="Q331">_xlfn.IFS(AND(Table156[[#This Row],[Total Amount]]&gt;=1500,"Critical"),AND(Table156[[#This Row],[Total Amount]]&gt;=1000,"High"),TRUE,"Normal")</f>
        <v>Normal</v>
      </c>
      <c r="R331" s="4">
        <f>COUNTIF(Table156[Gender],"Male")</f>
        <v>490</v>
      </c>
    </row>
    <row r="332" spans="1:18" x14ac:dyDescent="0.35">
      <c r="A332" s="4">
        <v>331</v>
      </c>
      <c r="B332" s="5">
        <v>44968</v>
      </c>
      <c r="C332" s="4" t="s">
        <v>344</v>
      </c>
      <c r="D332" s="4" t="s">
        <v>10</v>
      </c>
      <c r="E332" s="4">
        <v>28</v>
      </c>
      <c r="F332" s="4" t="str">
        <f>IF(Table156[[#This Row],[Age]]&lt;=19,"Teenager",IF(Table156[[#This Row],[Age]]&lt;=40,"Median","Old"))</f>
        <v>Median</v>
      </c>
      <c r="G332" s="4" t="s">
        <v>16</v>
      </c>
      <c r="H332" s="4">
        <v>3</v>
      </c>
      <c r="I332" s="4">
        <v>30</v>
      </c>
      <c r="J332" s="4">
        <v>90</v>
      </c>
      <c r="K332" s="4" t="str" cm="1">
        <f t="array" ref="K332">_xlfn.IFS(AND(Table156[[#This Row],[Total Amount]]&gt;=1500),"Critical",AND(Table156[[#This Row],[Total Amount]]&gt;=1000),"High",TRUE,"Normal")</f>
        <v>Normal</v>
      </c>
      <c r="L332" s="4" t="str">
        <f>IF(Table156[[#This Row],[Total Amount]]&gt;=1000,"High",(IF(Table156[[#This Row],[Total Amount]]&gt;=500,"Medium","Low")))</f>
        <v>Low</v>
      </c>
      <c r="M332" s="4" t="str" cm="1">
        <f t="array" ref="M33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32" s="4" cm="1">
        <f t="array" ref="N33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13.5</v>
      </c>
      <c r="O332" s="4">
        <f>Table156[[#This Row],[Total Amount]]-Table156[[#This Row],[Discount Amount]]</f>
        <v>76.5</v>
      </c>
      <c r="P332" s="4" t="str">
        <f>IF(Table156[[#This Row],[Total Amount]]&gt;=1000,"High","Low")</f>
        <v>Low</v>
      </c>
      <c r="Q332" s="4" t="str" cm="1">
        <f t="array" ref="Q332">_xlfn.IFS(AND(Table156[[#This Row],[Total Amount]]&gt;=1500,"Critical"),AND(Table156[[#This Row],[Total Amount]]&gt;=1000,"High"),TRUE,"Normal")</f>
        <v>Normal</v>
      </c>
      <c r="R332" s="4">
        <f>COUNTIF(Table156[Gender],"Male")</f>
        <v>490</v>
      </c>
    </row>
    <row r="333" spans="1:18" x14ac:dyDescent="0.35">
      <c r="A333" s="4">
        <v>332</v>
      </c>
      <c r="B333" s="5">
        <v>45022</v>
      </c>
      <c r="C333" s="4" t="s">
        <v>345</v>
      </c>
      <c r="D333" s="4" t="s">
        <v>10</v>
      </c>
      <c r="E333" s="4">
        <v>58</v>
      </c>
      <c r="F333" s="4" t="str">
        <f>IF(Table156[[#This Row],[Age]]&lt;=19,"Teenager",IF(Table156[[#This Row],[Age]]&lt;=40,"Median","Old"))</f>
        <v>Old</v>
      </c>
      <c r="G333" s="4" t="s">
        <v>16</v>
      </c>
      <c r="H333" s="4">
        <v>4</v>
      </c>
      <c r="I333" s="4">
        <v>300</v>
      </c>
      <c r="J333" s="4">
        <v>1200</v>
      </c>
      <c r="K333" s="4" t="str" cm="1">
        <f t="array" ref="K333">_xlfn.IFS(AND(Table156[[#This Row],[Total Amount]]&gt;=1500),"Critical",AND(Table156[[#This Row],[Total Amount]]&gt;=1000),"High",TRUE,"Normal")</f>
        <v>High</v>
      </c>
      <c r="L333" s="4" t="str">
        <f>IF(Table156[[#This Row],[Total Amount]]&gt;=1000,"High",(IF(Table156[[#This Row],[Total Amount]]&gt;=500,"Medium","Low")))</f>
        <v>High</v>
      </c>
      <c r="M333" s="4" t="str" cm="1">
        <f t="array" ref="M33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33" s="4" cm="1">
        <f t="array" ref="N33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333" s="4">
        <f>Table156[[#This Row],[Total Amount]]-Table156[[#This Row],[Discount Amount]]</f>
        <v>1080</v>
      </c>
      <c r="P333" s="4" t="str">
        <f>IF(Table156[[#This Row],[Total Amount]]&gt;=1000,"High","Low")</f>
        <v>High</v>
      </c>
      <c r="Q333" s="4" t="str" cm="1">
        <f t="array" ref="Q333">_xlfn.IFS(AND(Table156[[#This Row],[Total Amount]]&gt;=1500,"Critical"),AND(Table156[[#This Row],[Total Amount]]&gt;=1000,"High"),TRUE,"Normal")</f>
        <v>Normal</v>
      </c>
      <c r="R333" s="4">
        <f>COUNTIF(Table156[Gender],"Male")</f>
        <v>490</v>
      </c>
    </row>
    <row r="334" spans="1:18" x14ac:dyDescent="0.35">
      <c r="A334" s="4">
        <v>333</v>
      </c>
      <c r="B334" s="5">
        <v>44962</v>
      </c>
      <c r="C334" s="4" t="s">
        <v>346</v>
      </c>
      <c r="D334" s="4" t="s">
        <v>13</v>
      </c>
      <c r="E334" s="4">
        <v>54</v>
      </c>
      <c r="F334" s="4" t="str">
        <f>IF(Table156[[#This Row],[Age]]&lt;=19,"Teenager",IF(Table156[[#This Row],[Age]]&lt;=40,"Median","Old"))</f>
        <v>Old</v>
      </c>
      <c r="G334" s="4" t="s">
        <v>16</v>
      </c>
      <c r="H334" s="4">
        <v>4</v>
      </c>
      <c r="I334" s="4">
        <v>300</v>
      </c>
      <c r="J334" s="4">
        <v>1200</v>
      </c>
      <c r="K334" s="4" t="str" cm="1">
        <f t="array" ref="K334">_xlfn.IFS(AND(Table156[[#This Row],[Total Amount]]&gt;=1500),"Critical",AND(Table156[[#This Row],[Total Amount]]&gt;=1000),"High",TRUE,"Normal")</f>
        <v>High</v>
      </c>
      <c r="L334" s="4" t="str">
        <f>IF(Table156[[#This Row],[Total Amount]]&gt;=1000,"High",(IF(Table156[[#This Row],[Total Amount]]&gt;=500,"Medium","Low")))</f>
        <v>High</v>
      </c>
      <c r="M334" s="4" t="str" cm="1">
        <f t="array" ref="M33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34" s="4" cm="1">
        <f t="array" ref="N33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334" s="4">
        <f>Table156[[#This Row],[Total Amount]]-Table156[[#This Row],[Discount Amount]]</f>
        <v>960</v>
      </c>
      <c r="P334" s="4" t="str">
        <f>IF(Table156[[#This Row],[Total Amount]]&gt;=1000,"High","Low")</f>
        <v>High</v>
      </c>
      <c r="Q334" s="4" t="str" cm="1">
        <f t="array" ref="Q334">_xlfn.IFS(AND(Table156[[#This Row],[Total Amount]]&gt;=1500,"Critical"),AND(Table156[[#This Row],[Total Amount]]&gt;=1000,"High"),TRUE,"Normal")</f>
        <v>Normal</v>
      </c>
      <c r="R334" s="4">
        <f>COUNTIF(Table156[Gender],"Male")</f>
        <v>490</v>
      </c>
    </row>
    <row r="335" spans="1:18" x14ac:dyDescent="0.35">
      <c r="A335" s="4">
        <v>334</v>
      </c>
      <c r="B335" s="5">
        <v>45231</v>
      </c>
      <c r="C335" s="4" t="s">
        <v>347</v>
      </c>
      <c r="D335" s="4" t="s">
        <v>10</v>
      </c>
      <c r="E335" s="4">
        <v>31</v>
      </c>
      <c r="F335" s="4" t="str">
        <f>IF(Table156[[#This Row],[Age]]&lt;=19,"Teenager",IF(Table156[[#This Row],[Age]]&lt;=40,"Median","Old"))</f>
        <v>Median</v>
      </c>
      <c r="G335" s="4" t="s">
        <v>16</v>
      </c>
      <c r="H335" s="4">
        <v>3</v>
      </c>
      <c r="I335" s="4">
        <v>300</v>
      </c>
      <c r="J335" s="4">
        <v>900</v>
      </c>
      <c r="K335" s="4" t="str" cm="1">
        <f t="array" ref="K335">_xlfn.IFS(AND(Table156[[#This Row],[Total Amount]]&gt;=1500),"Critical",AND(Table156[[#This Row],[Total Amount]]&gt;=1000),"High",TRUE,"Normal")</f>
        <v>Normal</v>
      </c>
      <c r="L335" s="4" t="str">
        <f>IF(Table156[[#This Row],[Total Amount]]&gt;=1000,"High",(IF(Table156[[#This Row],[Total Amount]]&gt;=500,"Medium","Low")))</f>
        <v>Medium</v>
      </c>
      <c r="M335" s="4" t="str" cm="1">
        <f t="array" ref="M33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35" s="4" cm="1">
        <f t="array" ref="N33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135</v>
      </c>
      <c r="O335" s="4">
        <f>Table156[[#This Row],[Total Amount]]-Table156[[#This Row],[Discount Amount]]</f>
        <v>765</v>
      </c>
      <c r="P335" s="4" t="str">
        <f>IF(Table156[[#This Row],[Total Amount]]&gt;=1000,"High","Low")</f>
        <v>Low</v>
      </c>
      <c r="Q335" s="4" t="str" cm="1">
        <f t="array" ref="Q335">_xlfn.IFS(AND(Table156[[#This Row],[Total Amount]]&gt;=1500,"Critical"),AND(Table156[[#This Row],[Total Amount]]&gt;=1000,"High"),TRUE,"Normal")</f>
        <v>Normal</v>
      </c>
      <c r="R335" s="4">
        <f>COUNTIF(Table156[Gender],"Male")</f>
        <v>490</v>
      </c>
    </row>
    <row r="336" spans="1:18" x14ac:dyDescent="0.35">
      <c r="A336" s="4">
        <v>335</v>
      </c>
      <c r="B336" s="5">
        <v>44961</v>
      </c>
      <c r="C336" s="4" t="s">
        <v>348</v>
      </c>
      <c r="D336" s="4" t="s">
        <v>13</v>
      </c>
      <c r="E336" s="4">
        <v>47</v>
      </c>
      <c r="F336" s="4" t="str">
        <f>IF(Table156[[#This Row],[Age]]&lt;=19,"Teenager",IF(Table156[[#This Row],[Age]]&lt;=40,"Median","Old"))</f>
        <v>Old</v>
      </c>
      <c r="G336" s="4" t="s">
        <v>11</v>
      </c>
      <c r="H336" s="4">
        <v>4</v>
      </c>
      <c r="I336" s="4">
        <v>30</v>
      </c>
      <c r="J336" s="4">
        <v>120</v>
      </c>
      <c r="K336" s="4" t="str" cm="1">
        <f t="array" ref="K336">_xlfn.IFS(AND(Table156[[#This Row],[Total Amount]]&gt;=1500),"Critical",AND(Table156[[#This Row],[Total Amount]]&gt;=1000),"High",TRUE,"Normal")</f>
        <v>Normal</v>
      </c>
      <c r="L336" s="4" t="str">
        <f>IF(Table156[[#This Row],[Total Amount]]&gt;=1000,"High",(IF(Table156[[#This Row],[Total Amount]]&gt;=500,"Medium","Low")))</f>
        <v>Low</v>
      </c>
      <c r="M336" s="4" t="str" cm="1">
        <f t="array" ref="M33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36" s="4" cm="1">
        <f t="array" ref="N33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336" s="4">
        <f>Table156[[#This Row],[Total Amount]]-Table156[[#This Row],[Discount Amount]]</f>
        <v>96</v>
      </c>
      <c r="P336" s="4" t="str">
        <f>IF(Table156[[#This Row],[Total Amount]]&gt;=1000,"High","Low")</f>
        <v>Low</v>
      </c>
      <c r="Q336" s="4" t="str" cm="1">
        <f t="array" ref="Q336">_xlfn.IFS(AND(Table156[[#This Row],[Total Amount]]&gt;=1500,"Critical"),AND(Table156[[#This Row],[Total Amount]]&gt;=1000,"High"),TRUE,"Normal")</f>
        <v>Normal</v>
      </c>
      <c r="R336" s="4">
        <f>COUNTIF(Table156[Gender],"Male")</f>
        <v>490</v>
      </c>
    </row>
    <row r="337" spans="1:18" x14ac:dyDescent="0.35">
      <c r="A337" s="4">
        <v>336</v>
      </c>
      <c r="B337" s="5">
        <v>45272</v>
      </c>
      <c r="C337" s="4" t="s">
        <v>349</v>
      </c>
      <c r="D337" s="4" t="s">
        <v>13</v>
      </c>
      <c r="E337" s="4">
        <v>52</v>
      </c>
      <c r="F337" s="4" t="str">
        <f>IF(Table156[[#This Row],[Age]]&lt;=19,"Teenager",IF(Table156[[#This Row],[Age]]&lt;=40,"Median","Old"))</f>
        <v>Old</v>
      </c>
      <c r="G337" s="4" t="s">
        <v>11</v>
      </c>
      <c r="H337" s="4">
        <v>3</v>
      </c>
      <c r="I337" s="4">
        <v>50</v>
      </c>
      <c r="J337" s="4">
        <v>150</v>
      </c>
      <c r="K337" s="4" t="str" cm="1">
        <f t="array" ref="K337">_xlfn.IFS(AND(Table156[[#This Row],[Total Amount]]&gt;=1500),"Critical",AND(Table156[[#This Row],[Total Amount]]&gt;=1000),"High",TRUE,"Normal")</f>
        <v>Normal</v>
      </c>
      <c r="L337" s="4" t="str">
        <f>IF(Table156[[#This Row],[Total Amount]]&gt;=1000,"High",(IF(Table156[[#This Row],[Total Amount]]&gt;=500,"Medium","Low")))</f>
        <v>Low</v>
      </c>
      <c r="M337" s="4" t="str" cm="1">
        <f t="array" ref="M33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37" s="4" cm="1">
        <f t="array" ref="N33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337" s="4">
        <f>Table156[[#This Row],[Total Amount]]-Table156[[#This Row],[Discount Amount]]</f>
        <v>120</v>
      </c>
      <c r="P337" s="4" t="str">
        <f>IF(Table156[[#This Row],[Total Amount]]&gt;=1000,"High","Low")</f>
        <v>Low</v>
      </c>
      <c r="Q337" s="4" t="str" cm="1">
        <f t="array" ref="Q337">_xlfn.IFS(AND(Table156[[#This Row],[Total Amount]]&gt;=1500,"Critical"),AND(Table156[[#This Row],[Total Amount]]&gt;=1000,"High"),TRUE,"Normal")</f>
        <v>Normal</v>
      </c>
      <c r="R337" s="4">
        <f>COUNTIF(Table156[Gender],"Male")</f>
        <v>490</v>
      </c>
    </row>
    <row r="338" spans="1:18" x14ac:dyDescent="0.35">
      <c r="A338" s="4">
        <v>337</v>
      </c>
      <c r="B338" s="5">
        <v>45047</v>
      </c>
      <c r="C338" s="4" t="s">
        <v>350</v>
      </c>
      <c r="D338" s="4" t="s">
        <v>10</v>
      </c>
      <c r="E338" s="4">
        <v>38</v>
      </c>
      <c r="F338" s="4" t="str">
        <f>IF(Table156[[#This Row],[Age]]&lt;=19,"Teenager",IF(Table156[[#This Row],[Age]]&lt;=40,"Median","Old"))</f>
        <v>Median</v>
      </c>
      <c r="G338" s="4" t="s">
        <v>14</v>
      </c>
      <c r="H338" s="4">
        <v>1</v>
      </c>
      <c r="I338" s="4">
        <v>500</v>
      </c>
      <c r="J338" s="4">
        <v>500</v>
      </c>
      <c r="K338" s="4" t="str" cm="1">
        <f t="array" ref="K338">_xlfn.IFS(AND(Table156[[#This Row],[Total Amount]]&gt;=1500),"Critical",AND(Table156[[#This Row],[Total Amount]]&gt;=1000),"High",TRUE,"Normal")</f>
        <v>Normal</v>
      </c>
      <c r="L338" s="4" t="str">
        <f>IF(Table156[[#This Row],[Total Amount]]&gt;=1000,"High",(IF(Table156[[#This Row],[Total Amount]]&gt;=500,"Medium","Low")))</f>
        <v>Medium</v>
      </c>
      <c r="M338" s="4" t="str" cm="1">
        <f t="array" ref="M33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38" s="4" cm="1">
        <f t="array" ref="N33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338" s="4">
        <f>Table156[[#This Row],[Total Amount]]-Table156[[#This Row],[Discount Amount]]</f>
        <v>450</v>
      </c>
      <c r="P338" s="4" t="str">
        <f>IF(Table156[[#This Row],[Total Amount]]&gt;=1000,"High","Low")</f>
        <v>Low</v>
      </c>
      <c r="Q338" s="4" t="str" cm="1">
        <f t="array" ref="Q338">_xlfn.IFS(AND(Table156[[#This Row],[Total Amount]]&gt;=1500,"Critical"),AND(Table156[[#This Row],[Total Amount]]&gt;=1000,"High"),TRUE,"Normal")</f>
        <v>Normal</v>
      </c>
      <c r="R338" s="4">
        <f>COUNTIF(Table156[Gender],"Male")</f>
        <v>490</v>
      </c>
    </row>
    <row r="339" spans="1:18" x14ac:dyDescent="0.35">
      <c r="A339" s="4">
        <v>338</v>
      </c>
      <c r="B339" s="5">
        <v>45133</v>
      </c>
      <c r="C339" s="4" t="s">
        <v>351</v>
      </c>
      <c r="D339" s="4" t="s">
        <v>10</v>
      </c>
      <c r="E339" s="4">
        <v>54</v>
      </c>
      <c r="F339" s="4" t="str">
        <f>IF(Table156[[#This Row],[Age]]&lt;=19,"Teenager",IF(Table156[[#This Row],[Age]]&lt;=40,"Median","Old"))</f>
        <v>Old</v>
      </c>
      <c r="G339" s="4" t="s">
        <v>11</v>
      </c>
      <c r="H339" s="4">
        <v>2</v>
      </c>
      <c r="I339" s="4">
        <v>50</v>
      </c>
      <c r="J339" s="4">
        <v>100</v>
      </c>
      <c r="K339" s="4" t="str" cm="1">
        <f t="array" ref="K339">_xlfn.IFS(AND(Table156[[#This Row],[Total Amount]]&gt;=1500),"Critical",AND(Table156[[#This Row],[Total Amount]]&gt;=1000),"High",TRUE,"Normal")</f>
        <v>Normal</v>
      </c>
      <c r="L339" s="4" t="str">
        <f>IF(Table156[[#This Row],[Total Amount]]&gt;=1000,"High",(IF(Table156[[#This Row],[Total Amount]]&gt;=500,"Medium","Low")))</f>
        <v>Low</v>
      </c>
      <c r="M339" s="4" t="str" cm="1">
        <f t="array" ref="M33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39" s="4" cm="1">
        <f t="array" ref="N33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339" s="4">
        <f>Table156[[#This Row],[Total Amount]]-Table156[[#This Row],[Discount Amount]]</f>
        <v>90</v>
      </c>
      <c r="P339" s="4" t="str">
        <f>IF(Table156[[#This Row],[Total Amount]]&gt;=1000,"High","Low")</f>
        <v>Low</v>
      </c>
      <c r="Q339" s="4" t="str" cm="1">
        <f t="array" ref="Q339">_xlfn.IFS(AND(Table156[[#This Row],[Total Amount]]&gt;=1500,"Critical"),AND(Table156[[#This Row],[Total Amount]]&gt;=1000,"High"),TRUE,"Normal")</f>
        <v>Normal</v>
      </c>
      <c r="R339" s="4">
        <f>COUNTIF(Table156[Gender],"Male")</f>
        <v>490</v>
      </c>
    </row>
    <row r="340" spans="1:18" x14ac:dyDescent="0.35">
      <c r="A340" s="4">
        <v>339</v>
      </c>
      <c r="B340" s="5">
        <v>44988</v>
      </c>
      <c r="C340" s="4" t="s">
        <v>352</v>
      </c>
      <c r="D340" s="4" t="s">
        <v>13</v>
      </c>
      <c r="E340" s="4">
        <v>22</v>
      </c>
      <c r="F340" s="4" t="str">
        <f>IF(Table156[[#This Row],[Age]]&lt;=19,"Teenager",IF(Table156[[#This Row],[Age]]&lt;=40,"Median","Old"))</f>
        <v>Median</v>
      </c>
      <c r="G340" s="4" t="s">
        <v>16</v>
      </c>
      <c r="H340" s="4">
        <v>2</v>
      </c>
      <c r="I340" s="4">
        <v>25</v>
      </c>
      <c r="J340" s="4">
        <v>50</v>
      </c>
      <c r="K340" s="4" t="str" cm="1">
        <f t="array" ref="K340">_xlfn.IFS(AND(Table156[[#This Row],[Total Amount]]&gt;=1500),"Critical",AND(Table156[[#This Row],[Total Amount]]&gt;=1000),"High",TRUE,"Normal")</f>
        <v>Normal</v>
      </c>
      <c r="L340" s="4" t="str">
        <f>IF(Table156[[#This Row],[Total Amount]]&gt;=1000,"High",(IF(Table156[[#This Row],[Total Amount]]&gt;=500,"Medium","Low")))</f>
        <v>Low</v>
      </c>
      <c r="M340" s="4" t="str" cm="1">
        <f t="array" ref="M34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40" s="4" cm="1">
        <f t="array" ref="N34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40" s="4">
        <f>Table156[[#This Row],[Total Amount]]-Table156[[#This Row],[Discount Amount]]</f>
        <v>50</v>
      </c>
      <c r="P340" s="4" t="str">
        <f>IF(Table156[[#This Row],[Total Amount]]&gt;=1000,"High","Low")</f>
        <v>Low</v>
      </c>
      <c r="Q340" s="4" t="str" cm="1">
        <f t="array" ref="Q340">_xlfn.IFS(AND(Table156[[#This Row],[Total Amount]]&gt;=1500,"Critical"),AND(Table156[[#This Row],[Total Amount]]&gt;=1000,"High"),TRUE,"Normal")</f>
        <v>Normal</v>
      </c>
      <c r="R340" s="4">
        <f>COUNTIF(Table156[Gender],"Male")</f>
        <v>490</v>
      </c>
    </row>
    <row r="341" spans="1:18" x14ac:dyDescent="0.35">
      <c r="A341" s="4">
        <v>340</v>
      </c>
      <c r="B341" s="5">
        <v>45218</v>
      </c>
      <c r="C341" s="4" t="s">
        <v>353</v>
      </c>
      <c r="D341" s="4" t="s">
        <v>13</v>
      </c>
      <c r="E341" s="4">
        <v>36</v>
      </c>
      <c r="F341" s="4" t="str">
        <f>IF(Table156[[#This Row],[Age]]&lt;=19,"Teenager",IF(Table156[[#This Row],[Age]]&lt;=40,"Median","Old"))</f>
        <v>Median</v>
      </c>
      <c r="G341" s="4" t="s">
        <v>14</v>
      </c>
      <c r="H341" s="4">
        <v>4</v>
      </c>
      <c r="I341" s="4">
        <v>300</v>
      </c>
      <c r="J341" s="4">
        <v>1200</v>
      </c>
      <c r="K341" s="4" t="str" cm="1">
        <f t="array" ref="K341">_xlfn.IFS(AND(Table156[[#This Row],[Total Amount]]&gt;=1500),"Critical",AND(Table156[[#This Row],[Total Amount]]&gt;=1000),"High",TRUE,"Normal")</f>
        <v>High</v>
      </c>
      <c r="L341" s="4" t="str">
        <f>IF(Table156[[#This Row],[Total Amount]]&gt;=1000,"High",(IF(Table156[[#This Row],[Total Amount]]&gt;=500,"Medium","Low")))</f>
        <v>High</v>
      </c>
      <c r="M341" s="4" t="str" cm="1">
        <f t="array" ref="M34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41" s="4" cm="1">
        <f t="array" ref="N34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341" s="4">
        <f>Table156[[#This Row],[Total Amount]]-Table156[[#This Row],[Discount Amount]]</f>
        <v>960</v>
      </c>
      <c r="P341" s="4" t="str">
        <f>IF(Table156[[#This Row],[Total Amount]]&gt;=1000,"High","Low")</f>
        <v>High</v>
      </c>
      <c r="Q341" s="4" t="str" cm="1">
        <f t="array" ref="Q341">_xlfn.IFS(AND(Table156[[#This Row],[Total Amount]]&gt;=1500,"Critical"),AND(Table156[[#This Row],[Total Amount]]&gt;=1000,"High"),TRUE,"Normal")</f>
        <v>Normal</v>
      </c>
      <c r="R341" s="4">
        <f>COUNTIF(Table156[Gender],"Male")</f>
        <v>490</v>
      </c>
    </row>
    <row r="342" spans="1:18" x14ac:dyDescent="0.35">
      <c r="A342" s="4">
        <v>341</v>
      </c>
      <c r="B342" s="5">
        <v>45053</v>
      </c>
      <c r="C342" s="4" t="s">
        <v>354</v>
      </c>
      <c r="D342" s="4" t="s">
        <v>10</v>
      </c>
      <c r="E342" s="4">
        <v>31</v>
      </c>
      <c r="F342" s="4" t="str">
        <f>IF(Table156[[#This Row],[Age]]&lt;=19,"Teenager",IF(Table156[[#This Row],[Age]]&lt;=40,"Median","Old"))</f>
        <v>Median</v>
      </c>
      <c r="G342" s="4" t="s">
        <v>14</v>
      </c>
      <c r="H342" s="4">
        <v>4</v>
      </c>
      <c r="I342" s="4">
        <v>50</v>
      </c>
      <c r="J342" s="4">
        <v>200</v>
      </c>
      <c r="K342" s="4" t="str" cm="1">
        <f t="array" ref="K342">_xlfn.IFS(AND(Table156[[#This Row],[Total Amount]]&gt;=1500),"Critical",AND(Table156[[#This Row],[Total Amount]]&gt;=1000),"High",TRUE,"Normal")</f>
        <v>Normal</v>
      </c>
      <c r="L342" s="4" t="str">
        <f>IF(Table156[[#This Row],[Total Amount]]&gt;=1000,"High",(IF(Table156[[#This Row],[Total Amount]]&gt;=500,"Medium","Low")))</f>
        <v>Low</v>
      </c>
      <c r="M342" s="4" t="str" cm="1">
        <f t="array" ref="M34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42" s="4" cm="1">
        <f t="array" ref="N34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342" s="4">
        <f>Table156[[#This Row],[Total Amount]]-Table156[[#This Row],[Discount Amount]]</f>
        <v>170</v>
      </c>
      <c r="P342" s="4" t="str">
        <f>IF(Table156[[#This Row],[Total Amount]]&gt;=1000,"High","Low")</f>
        <v>Low</v>
      </c>
      <c r="Q342" s="4" t="str" cm="1">
        <f t="array" ref="Q342">_xlfn.IFS(AND(Table156[[#This Row],[Total Amount]]&gt;=1500,"Critical"),AND(Table156[[#This Row],[Total Amount]]&gt;=1000,"High"),TRUE,"Normal")</f>
        <v>Normal</v>
      </c>
      <c r="R342" s="4">
        <f>COUNTIF(Table156[Gender],"Male")</f>
        <v>490</v>
      </c>
    </row>
    <row r="343" spans="1:18" x14ac:dyDescent="0.35">
      <c r="A343" s="4">
        <v>342</v>
      </c>
      <c r="B343" s="5">
        <v>45223</v>
      </c>
      <c r="C343" s="4" t="s">
        <v>355</v>
      </c>
      <c r="D343" s="4" t="s">
        <v>13</v>
      </c>
      <c r="E343" s="4">
        <v>43</v>
      </c>
      <c r="F343" s="4" t="str">
        <f>IF(Table156[[#This Row],[Age]]&lt;=19,"Teenager",IF(Table156[[#This Row],[Age]]&lt;=40,"Median","Old"))</f>
        <v>Old</v>
      </c>
      <c r="G343" s="4" t="s">
        <v>14</v>
      </c>
      <c r="H343" s="4">
        <v>4</v>
      </c>
      <c r="I343" s="4">
        <v>500</v>
      </c>
      <c r="J343" s="4">
        <v>2000</v>
      </c>
      <c r="K343" s="4" t="str" cm="1">
        <f t="array" ref="K343">_xlfn.IFS(AND(Table156[[#This Row],[Total Amount]]&gt;=1500),"Critical",AND(Table156[[#This Row],[Total Amount]]&gt;=1000),"High",TRUE,"Normal")</f>
        <v>Critical</v>
      </c>
      <c r="L343" s="4" t="str">
        <f>IF(Table156[[#This Row],[Total Amount]]&gt;=1000,"High",(IF(Table156[[#This Row],[Total Amount]]&gt;=500,"Medium","Low")))</f>
        <v>High</v>
      </c>
      <c r="M343" s="4" t="str" cm="1">
        <f t="array" ref="M34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43" s="4" cm="1">
        <f t="array" ref="N34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400</v>
      </c>
      <c r="O343" s="4">
        <f>Table156[[#This Row],[Total Amount]]-Table156[[#This Row],[Discount Amount]]</f>
        <v>1600</v>
      </c>
      <c r="P343" s="4" t="str">
        <f>IF(Table156[[#This Row],[Total Amount]]&gt;=1000,"High","Low")</f>
        <v>High</v>
      </c>
      <c r="Q343" s="4" t="b" cm="1">
        <f t="array" ref="Q343">_xlfn.IFS(AND(Table156[[#This Row],[Total Amount]]&gt;=1500,"Critical"),AND(Table156[[#This Row],[Total Amount]]&gt;=1000,"High"),TRUE,"Normal")</f>
        <v>1</v>
      </c>
      <c r="R343" s="4">
        <f>COUNTIF(Table156[Gender],"Male")</f>
        <v>490</v>
      </c>
    </row>
    <row r="344" spans="1:18" x14ac:dyDescent="0.35">
      <c r="A344" s="4">
        <v>343</v>
      </c>
      <c r="B344" s="5">
        <v>45231</v>
      </c>
      <c r="C344" s="4" t="s">
        <v>356</v>
      </c>
      <c r="D344" s="4" t="s">
        <v>10</v>
      </c>
      <c r="E344" s="4">
        <v>21</v>
      </c>
      <c r="F344" s="4" t="str">
        <f>IF(Table156[[#This Row],[Age]]&lt;=19,"Teenager",IF(Table156[[#This Row],[Age]]&lt;=40,"Median","Old"))</f>
        <v>Median</v>
      </c>
      <c r="G344" s="4" t="s">
        <v>16</v>
      </c>
      <c r="H344" s="4">
        <v>2</v>
      </c>
      <c r="I344" s="4">
        <v>25</v>
      </c>
      <c r="J344" s="4">
        <v>50</v>
      </c>
      <c r="K344" s="4" t="str" cm="1">
        <f t="array" ref="K344">_xlfn.IFS(AND(Table156[[#This Row],[Total Amount]]&gt;=1500),"Critical",AND(Table156[[#This Row],[Total Amount]]&gt;=1000),"High",TRUE,"Normal")</f>
        <v>Normal</v>
      </c>
      <c r="L344" s="4" t="str">
        <f>IF(Table156[[#This Row],[Total Amount]]&gt;=1000,"High",(IF(Table156[[#This Row],[Total Amount]]&gt;=500,"Medium","Low")))</f>
        <v>Low</v>
      </c>
      <c r="M344" s="4" t="str" cm="1">
        <f t="array" ref="M34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44" s="4" cm="1">
        <f t="array" ref="N34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44" s="4">
        <f>Table156[[#This Row],[Total Amount]]-Table156[[#This Row],[Discount Amount]]</f>
        <v>50</v>
      </c>
      <c r="P344" s="4" t="str">
        <f>IF(Table156[[#This Row],[Total Amount]]&gt;=1000,"High","Low")</f>
        <v>Low</v>
      </c>
      <c r="Q344" s="4" t="str" cm="1">
        <f t="array" ref="Q344">_xlfn.IFS(AND(Table156[[#This Row],[Total Amount]]&gt;=1500,"Critical"),AND(Table156[[#This Row],[Total Amount]]&gt;=1000,"High"),TRUE,"Normal")</f>
        <v>Normal</v>
      </c>
      <c r="R344" s="4">
        <f>COUNTIF(Table156[Gender],"Male")</f>
        <v>490</v>
      </c>
    </row>
    <row r="345" spans="1:18" x14ac:dyDescent="0.35">
      <c r="A345" s="4">
        <v>344</v>
      </c>
      <c r="B345" s="5">
        <v>44947</v>
      </c>
      <c r="C345" s="4" t="s">
        <v>357</v>
      </c>
      <c r="D345" s="4" t="s">
        <v>13</v>
      </c>
      <c r="E345" s="4">
        <v>42</v>
      </c>
      <c r="F345" s="4" t="str">
        <f>IF(Table156[[#This Row],[Age]]&lt;=19,"Teenager",IF(Table156[[#This Row],[Age]]&lt;=40,"Median","Old"))</f>
        <v>Old</v>
      </c>
      <c r="G345" s="4" t="s">
        <v>11</v>
      </c>
      <c r="H345" s="4">
        <v>1</v>
      </c>
      <c r="I345" s="4">
        <v>30</v>
      </c>
      <c r="J345" s="4">
        <v>30</v>
      </c>
      <c r="K345" s="4" t="str" cm="1">
        <f t="array" ref="K345">_xlfn.IFS(AND(Table156[[#This Row],[Total Amount]]&gt;=1500),"Critical",AND(Table156[[#This Row],[Total Amount]]&gt;=1000),"High",TRUE,"Normal")</f>
        <v>Normal</v>
      </c>
      <c r="L345" s="4" t="str">
        <f>IF(Table156[[#This Row],[Total Amount]]&gt;=1000,"High",(IF(Table156[[#This Row],[Total Amount]]&gt;=500,"Medium","Low")))</f>
        <v>Low</v>
      </c>
      <c r="M345" s="4" t="str" cm="1">
        <f t="array" ref="M34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45" s="4" cm="1">
        <f t="array" ref="N34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345" s="4">
        <f>Table156[[#This Row],[Total Amount]]-Table156[[#This Row],[Discount Amount]]</f>
        <v>24</v>
      </c>
      <c r="P345" s="4" t="str">
        <f>IF(Table156[[#This Row],[Total Amount]]&gt;=1000,"High","Low")</f>
        <v>Low</v>
      </c>
      <c r="Q345" s="4" t="str" cm="1">
        <f t="array" ref="Q345">_xlfn.IFS(AND(Table156[[#This Row],[Total Amount]]&gt;=1500,"Critical"),AND(Table156[[#This Row],[Total Amount]]&gt;=1000,"High"),TRUE,"Normal")</f>
        <v>Normal</v>
      </c>
      <c r="R345" s="4">
        <f>COUNTIF(Table156[Gender],"Male")</f>
        <v>490</v>
      </c>
    </row>
    <row r="346" spans="1:18" x14ac:dyDescent="0.35">
      <c r="A346" s="4">
        <v>345</v>
      </c>
      <c r="B346" s="5">
        <v>45244</v>
      </c>
      <c r="C346" s="4" t="s">
        <v>358</v>
      </c>
      <c r="D346" s="4" t="s">
        <v>10</v>
      </c>
      <c r="E346" s="4">
        <v>62</v>
      </c>
      <c r="F346" s="4" t="str">
        <f>IF(Table156[[#This Row],[Age]]&lt;=19,"Teenager",IF(Table156[[#This Row],[Age]]&lt;=40,"Median","Old"))</f>
        <v>Old</v>
      </c>
      <c r="G346" s="4" t="s">
        <v>16</v>
      </c>
      <c r="H346" s="4">
        <v>1</v>
      </c>
      <c r="I346" s="4">
        <v>30</v>
      </c>
      <c r="J346" s="4">
        <v>30</v>
      </c>
      <c r="K346" s="4" t="str" cm="1">
        <f t="array" ref="K346">_xlfn.IFS(AND(Table156[[#This Row],[Total Amount]]&gt;=1500),"Critical",AND(Table156[[#This Row],[Total Amount]]&gt;=1000),"High",TRUE,"Normal")</f>
        <v>Normal</v>
      </c>
      <c r="L346" s="4" t="str">
        <f>IF(Table156[[#This Row],[Total Amount]]&gt;=1000,"High",(IF(Table156[[#This Row],[Total Amount]]&gt;=500,"Medium","Low")))</f>
        <v>Low</v>
      </c>
      <c r="M346" s="4" t="str" cm="1">
        <f t="array" ref="M34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46" s="4" cm="1">
        <f t="array" ref="N34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346" s="4">
        <f>Table156[[#This Row],[Total Amount]]-Table156[[#This Row],[Discount Amount]]</f>
        <v>27</v>
      </c>
      <c r="P346" s="4" t="str">
        <f>IF(Table156[[#This Row],[Total Amount]]&gt;=1000,"High","Low")</f>
        <v>Low</v>
      </c>
      <c r="Q346" s="4" t="str" cm="1">
        <f t="array" ref="Q346">_xlfn.IFS(AND(Table156[[#This Row],[Total Amount]]&gt;=1500,"Critical"),AND(Table156[[#This Row],[Total Amount]]&gt;=1000,"High"),TRUE,"Normal")</f>
        <v>Normal</v>
      </c>
      <c r="R346" s="4">
        <f>COUNTIF(Table156[Gender],"Male")</f>
        <v>490</v>
      </c>
    </row>
    <row r="347" spans="1:18" x14ac:dyDescent="0.35">
      <c r="A347" s="4">
        <v>346</v>
      </c>
      <c r="B347" s="5">
        <v>44968</v>
      </c>
      <c r="C347" s="4" t="s">
        <v>359</v>
      </c>
      <c r="D347" s="4" t="s">
        <v>10</v>
      </c>
      <c r="E347" s="4">
        <v>59</v>
      </c>
      <c r="F347" s="4" t="str">
        <f>IF(Table156[[#This Row],[Age]]&lt;=19,"Teenager",IF(Table156[[#This Row],[Age]]&lt;=40,"Median","Old"))</f>
        <v>Old</v>
      </c>
      <c r="G347" s="4" t="s">
        <v>14</v>
      </c>
      <c r="H347" s="4">
        <v>2</v>
      </c>
      <c r="I347" s="4">
        <v>500</v>
      </c>
      <c r="J347" s="4">
        <v>1000</v>
      </c>
      <c r="K347" s="4" t="str" cm="1">
        <f t="array" ref="K347">_xlfn.IFS(AND(Table156[[#This Row],[Total Amount]]&gt;=1500),"Critical",AND(Table156[[#This Row],[Total Amount]]&gt;=1000),"High",TRUE,"Normal")</f>
        <v>High</v>
      </c>
      <c r="L347" s="4" t="str">
        <f>IF(Table156[[#This Row],[Total Amount]]&gt;=1000,"High",(IF(Table156[[#This Row],[Total Amount]]&gt;=500,"Medium","Low")))</f>
        <v>High</v>
      </c>
      <c r="M347" s="4" t="str" cm="1">
        <f t="array" ref="M34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47" s="4" cm="1">
        <f t="array" ref="N34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347" s="4">
        <f>Table156[[#This Row],[Total Amount]]-Table156[[#This Row],[Discount Amount]]</f>
        <v>900</v>
      </c>
      <c r="P347" s="4" t="str">
        <f>IF(Table156[[#This Row],[Total Amount]]&gt;=1000,"High","Low")</f>
        <v>High</v>
      </c>
      <c r="Q347" s="4" t="str" cm="1">
        <f t="array" ref="Q347">_xlfn.IFS(AND(Table156[[#This Row],[Total Amount]]&gt;=1500,"Critical"),AND(Table156[[#This Row],[Total Amount]]&gt;=1000,"High"),TRUE,"Normal")</f>
        <v>Normal</v>
      </c>
      <c r="R347" s="4">
        <f>COUNTIF(Table156[Gender],"Male")</f>
        <v>490</v>
      </c>
    </row>
    <row r="348" spans="1:18" x14ac:dyDescent="0.35">
      <c r="A348" s="4">
        <v>347</v>
      </c>
      <c r="B348" s="5">
        <v>45141</v>
      </c>
      <c r="C348" s="4" t="s">
        <v>360</v>
      </c>
      <c r="D348" s="4" t="s">
        <v>10</v>
      </c>
      <c r="E348" s="4">
        <v>42</v>
      </c>
      <c r="F348" s="4" t="str">
        <f>IF(Table156[[#This Row],[Age]]&lt;=19,"Teenager",IF(Table156[[#This Row],[Age]]&lt;=40,"Median","Old"))</f>
        <v>Old</v>
      </c>
      <c r="G348" s="4" t="s">
        <v>16</v>
      </c>
      <c r="H348" s="4">
        <v>1</v>
      </c>
      <c r="I348" s="4">
        <v>25</v>
      </c>
      <c r="J348" s="4">
        <v>25</v>
      </c>
      <c r="K348" s="4" t="str" cm="1">
        <f t="array" ref="K348">_xlfn.IFS(AND(Table156[[#This Row],[Total Amount]]&gt;=1500),"Critical",AND(Table156[[#This Row],[Total Amount]]&gt;=1000),"High",TRUE,"Normal")</f>
        <v>Normal</v>
      </c>
      <c r="L348" s="4" t="str">
        <f>IF(Table156[[#This Row],[Total Amount]]&gt;=1000,"High",(IF(Table156[[#This Row],[Total Amount]]&gt;=500,"Medium","Low")))</f>
        <v>Low</v>
      </c>
      <c r="M348" s="4" t="str" cm="1">
        <f t="array" ref="M34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48" s="4" cm="1">
        <f t="array" ref="N34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348" s="4">
        <f>Table156[[#This Row],[Total Amount]]-Table156[[#This Row],[Discount Amount]]</f>
        <v>22.5</v>
      </c>
      <c r="P348" s="4" t="str">
        <f>IF(Table156[[#This Row],[Total Amount]]&gt;=1000,"High","Low")</f>
        <v>Low</v>
      </c>
      <c r="Q348" s="4" t="str" cm="1">
        <f t="array" ref="Q348">_xlfn.IFS(AND(Table156[[#This Row],[Total Amount]]&gt;=1500,"Critical"),AND(Table156[[#This Row],[Total Amount]]&gt;=1000,"High"),TRUE,"Normal")</f>
        <v>Normal</v>
      </c>
      <c r="R348" s="4">
        <f>COUNTIF(Table156[Gender],"Male")</f>
        <v>490</v>
      </c>
    </row>
    <row r="349" spans="1:18" x14ac:dyDescent="0.35">
      <c r="A349" s="4">
        <v>348</v>
      </c>
      <c r="B349" s="5">
        <v>45263</v>
      </c>
      <c r="C349" s="4" t="s">
        <v>361</v>
      </c>
      <c r="D349" s="4" t="s">
        <v>13</v>
      </c>
      <c r="E349" s="4">
        <v>35</v>
      </c>
      <c r="F349" s="4" t="str">
        <f>IF(Table156[[#This Row],[Age]]&lt;=19,"Teenager",IF(Table156[[#This Row],[Age]]&lt;=40,"Median","Old"))</f>
        <v>Median</v>
      </c>
      <c r="G349" s="4" t="s">
        <v>16</v>
      </c>
      <c r="H349" s="4">
        <v>2</v>
      </c>
      <c r="I349" s="4">
        <v>300</v>
      </c>
      <c r="J349" s="4">
        <v>600</v>
      </c>
      <c r="K349" s="4" t="str" cm="1">
        <f t="array" ref="K349">_xlfn.IFS(AND(Table156[[#This Row],[Total Amount]]&gt;=1500),"Critical",AND(Table156[[#This Row],[Total Amount]]&gt;=1000),"High",TRUE,"Normal")</f>
        <v>Normal</v>
      </c>
      <c r="L349" s="4" t="str">
        <f>IF(Table156[[#This Row],[Total Amount]]&gt;=1000,"High",(IF(Table156[[#This Row],[Total Amount]]&gt;=500,"Medium","Low")))</f>
        <v>Medium</v>
      </c>
      <c r="M349" s="4" t="str" cm="1">
        <f t="array" ref="M34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49" s="4" cm="1">
        <f t="array" ref="N34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349" s="4">
        <f>Table156[[#This Row],[Total Amount]]-Table156[[#This Row],[Discount Amount]]</f>
        <v>480</v>
      </c>
      <c r="P349" s="4" t="str">
        <f>IF(Table156[[#This Row],[Total Amount]]&gt;=1000,"High","Low")</f>
        <v>Low</v>
      </c>
      <c r="Q349" s="4" t="str" cm="1">
        <f t="array" ref="Q349">_xlfn.IFS(AND(Table156[[#This Row],[Total Amount]]&gt;=1500,"Critical"),AND(Table156[[#This Row],[Total Amount]]&gt;=1000,"High"),TRUE,"Normal")</f>
        <v>Normal</v>
      </c>
      <c r="R349" s="4">
        <f>COUNTIF(Table156[Gender],"Male")</f>
        <v>490</v>
      </c>
    </row>
    <row r="350" spans="1:18" x14ac:dyDescent="0.35">
      <c r="A350" s="4">
        <v>349</v>
      </c>
      <c r="B350" s="5">
        <v>45225</v>
      </c>
      <c r="C350" s="4" t="s">
        <v>362</v>
      </c>
      <c r="D350" s="4" t="s">
        <v>13</v>
      </c>
      <c r="E350" s="4">
        <v>57</v>
      </c>
      <c r="F350" s="4" t="str">
        <f>IF(Table156[[#This Row],[Age]]&lt;=19,"Teenager",IF(Table156[[#This Row],[Age]]&lt;=40,"Median","Old"))</f>
        <v>Old</v>
      </c>
      <c r="G350" s="4" t="s">
        <v>11</v>
      </c>
      <c r="H350" s="4">
        <v>1</v>
      </c>
      <c r="I350" s="4">
        <v>50</v>
      </c>
      <c r="J350" s="4">
        <v>50</v>
      </c>
      <c r="K350" s="4" t="str" cm="1">
        <f t="array" ref="K350">_xlfn.IFS(AND(Table156[[#This Row],[Total Amount]]&gt;=1500),"Critical",AND(Table156[[#This Row],[Total Amount]]&gt;=1000),"High",TRUE,"Normal")</f>
        <v>Normal</v>
      </c>
      <c r="L350" s="4" t="str">
        <f>IF(Table156[[#This Row],[Total Amount]]&gt;=1000,"High",(IF(Table156[[#This Row],[Total Amount]]&gt;=500,"Medium","Low")))</f>
        <v>Low</v>
      </c>
      <c r="M350" s="4" t="str" cm="1">
        <f t="array" ref="M35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50" s="4" cm="1">
        <f t="array" ref="N35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350" s="4">
        <f>Table156[[#This Row],[Total Amount]]-Table156[[#This Row],[Discount Amount]]</f>
        <v>40</v>
      </c>
      <c r="P350" s="4" t="str">
        <f>IF(Table156[[#This Row],[Total Amount]]&gt;=1000,"High","Low")</f>
        <v>Low</v>
      </c>
      <c r="Q350" s="4" t="str" cm="1">
        <f t="array" ref="Q350">_xlfn.IFS(AND(Table156[[#This Row],[Total Amount]]&gt;=1500,"Critical"),AND(Table156[[#This Row],[Total Amount]]&gt;=1000,"High"),TRUE,"Normal")</f>
        <v>Normal</v>
      </c>
      <c r="R350" s="4">
        <f>COUNTIF(Table156[Gender],"Male")</f>
        <v>490</v>
      </c>
    </row>
    <row r="351" spans="1:18" x14ac:dyDescent="0.35">
      <c r="A351" s="4">
        <v>350</v>
      </c>
      <c r="B351" s="5">
        <v>45216</v>
      </c>
      <c r="C351" s="4" t="s">
        <v>363</v>
      </c>
      <c r="D351" s="4" t="s">
        <v>10</v>
      </c>
      <c r="E351" s="4">
        <v>25</v>
      </c>
      <c r="F351" s="4" t="str">
        <f>IF(Table156[[#This Row],[Age]]&lt;=19,"Teenager",IF(Table156[[#This Row],[Age]]&lt;=40,"Median","Old"))</f>
        <v>Median</v>
      </c>
      <c r="G351" s="4" t="s">
        <v>11</v>
      </c>
      <c r="H351" s="4">
        <v>3</v>
      </c>
      <c r="I351" s="4">
        <v>25</v>
      </c>
      <c r="J351" s="4">
        <v>75</v>
      </c>
      <c r="K351" s="4" t="str" cm="1">
        <f t="array" ref="K351">_xlfn.IFS(AND(Table156[[#This Row],[Total Amount]]&gt;=1500),"Critical",AND(Table156[[#This Row],[Total Amount]]&gt;=1000),"High",TRUE,"Normal")</f>
        <v>Normal</v>
      </c>
      <c r="L351" s="4" t="str">
        <f>IF(Table156[[#This Row],[Total Amount]]&gt;=1000,"High",(IF(Table156[[#This Row],[Total Amount]]&gt;=500,"Medium","Low")))</f>
        <v>Low</v>
      </c>
      <c r="M351" s="4" t="str" cm="1">
        <f t="array" ref="M35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51" s="4" cm="1">
        <f t="array" ref="N35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11.25</v>
      </c>
      <c r="O351" s="4">
        <f>Table156[[#This Row],[Total Amount]]-Table156[[#This Row],[Discount Amount]]</f>
        <v>63.75</v>
      </c>
      <c r="P351" s="4" t="str">
        <f>IF(Table156[[#This Row],[Total Amount]]&gt;=1000,"High","Low")</f>
        <v>Low</v>
      </c>
      <c r="Q351" s="4" t="str" cm="1">
        <f t="array" ref="Q351">_xlfn.IFS(AND(Table156[[#This Row],[Total Amount]]&gt;=1500,"Critical"),AND(Table156[[#This Row],[Total Amount]]&gt;=1000,"High"),TRUE,"Normal")</f>
        <v>Normal</v>
      </c>
      <c r="R351" s="4">
        <f>COUNTIF(Table156[Gender],"Male")</f>
        <v>490</v>
      </c>
    </row>
    <row r="352" spans="1:18" x14ac:dyDescent="0.35">
      <c r="A352" s="4">
        <v>351</v>
      </c>
      <c r="B352" s="5">
        <v>45194</v>
      </c>
      <c r="C352" s="4" t="s">
        <v>364</v>
      </c>
      <c r="D352" s="4" t="s">
        <v>13</v>
      </c>
      <c r="E352" s="4">
        <v>56</v>
      </c>
      <c r="F352" s="4" t="str">
        <f>IF(Table156[[#This Row],[Age]]&lt;=19,"Teenager",IF(Table156[[#This Row],[Age]]&lt;=40,"Median","Old"))</f>
        <v>Old</v>
      </c>
      <c r="G352" s="4" t="s">
        <v>14</v>
      </c>
      <c r="H352" s="4">
        <v>3</v>
      </c>
      <c r="I352" s="4">
        <v>30</v>
      </c>
      <c r="J352" s="4">
        <v>90</v>
      </c>
      <c r="K352" s="4" t="str" cm="1">
        <f t="array" ref="K352">_xlfn.IFS(AND(Table156[[#This Row],[Total Amount]]&gt;=1500),"Critical",AND(Table156[[#This Row],[Total Amount]]&gt;=1000),"High",TRUE,"Normal")</f>
        <v>Normal</v>
      </c>
      <c r="L352" s="4" t="str">
        <f>IF(Table156[[#This Row],[Total Amount]]&gt;=1000,"High",(IF(Table156[[#This Row],[Total Amount]]&gt;=500,"Medium","Low")))</f>
        <v>Low</v>
      </c>
      <c r="M352" s="4" t="str" cm="1">
        <f t="array" ref="M35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52" s="4" cm="1">
        <f t="array" ref="N35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352" s="4">
        <f>Table156[[#This Row],[Total Amount]]-Table156[[#This Row],[Discount Amount]]</f>
        <v>72</v>
      </c>
      <c r="P352" s="4" t="str">
        <f>IF(Table156[[#This Row],[Total Amount]]&gt;=1000,"High","Low")</f>
        <v>Low</v>
      </c>
      <c r="Q352" s="4" t="str" cm="1">
        <f t="array" ref="Q352">_xlfn.IFS(AND(Table156[[#This Row],[Total Amount]]&gt;=1500,"Critical"),AND(Table156[[#This Row],[Total Amount]]&gt;=1000,"High"),TRUE,"Normal")</f>
        <v>Normal</v>
      </c>
      <c r="R352" s="4">
        <f>COUNTIF(Table156[Gender],"Male")</f>
        <v>490</v>
      </c>
    </row>
    <row r="353" spans="1:18" x14ac:dyDescent="0.35">
      <c r="A353" s="4">
        <v>352</v>
      </c>
      <c r="B353" s="5">
        <v>45088</v>
      </c>
      <c r="C353" s="4" t="s">
        <v>365</v>
      </c>
      <c r="D353" s="4" t="s">
        <v>10</v>
      </c>
      <c r="E353" s="4">
        <v>57</v>
      </c>
      <c r="F353" s="4" t="str">
        <f>IF(Table156[[#This Row],[Age]]&lt;=19,"Teenager",IF(Table156[[#This Row],[Age]]&lt;=40,"Median","Old"))</f>
        <v>Old</v>
      </c>
      <c r="G353" s="4" t="s">
        <v>16</v>
      </c>
      <c r="H353" s="4">
        <v>2</v>
      </c>
      <c r="I353" s="4">
        <v>500</v>
      </c>
      <c r="J353" s="4">
        <v>1000</v>
      </c>
      <c r="K353" s="4" t="str" cm="1">
        <f t="array" ref="K353">_xlfn.IFS(AND(Table156[[#This Row],[Total Amount]]&gt;=1500),"Critical",AND(Table156[[#This Row],[Total Amount]]&gt;=1000),"High",TRUE,"Normal")</f>
        <v>High</v>
      </c>
      <c r="L353" s="4" t="str">
        <f>IF(Table156[[#This Row],[Total Amount]]&gt;=1000,"High",(IF(Table156[[#This Row],[Total Amount]]&gt;=500,"Medium","Low")))</f>
        <v>High</v>
      </c>
      <c r="M353" s="4" t="str" cm="1">
        <f t="array" ref="M35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53" s="4" cm="1">
        <f t="array" ref="N35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353" s="4">
        <f>Table156[[#This Row],[Total Amount]]-Table156[[#This Row],[Discount Amount]]</f>
        <v>900</v>
      </c>
      <c r="P353" s="4" t="str">
        <f>IF(Table156[[#This Row],[Total Amount]]&gt;=1000,"High","Low")</f>
        <v>High</v>
      </c>
      <c r="Q353" s="4" t="str" cm="1">
        <f t="array" ref="Q353">_xlfn.IFS(AND(Table156[[#This Row],[Total Amount]]&gt;=1500,"Critical"),AND(Table156[[#This Row],[Total Amount]]&gt;=1000,"High"),TRUE,"Normal")</f>
        <v>Normal</v>
      </c>
      <c r="R353" s="4">
        <f>COUNTIF(Table156[Gender],"Male")</f>
        <v>490</v>
      </c>
    </row>
    <row r="354" spans="1:18" x14ac:dyDescent="0.35">
      <c r="A354" s="4">
        <v>353</v>
      </c>
      <c r="B354" s="5">
        <v>45060</v>
      </c>
      <c r="C354" s="4" t="s">
        <v>366</v>
      </c>
      <c r="D354" s="4" t="s">
        <v>10</v>
      </c>
      <c r="E354" s="4">
        <v>31</v>
      </c>
      <c r="F354" s="4" t="str">
        <f>IF(Table156[[#This Row],[Age]]&lt;=19,"Teenager",IF(Table156[[#This Row],[Age]]&lt;=40,"Median","Old"))</f>
        <v>Median</v>
      </c>
      <c r="G354" s="4" t="s">
        <v>16</v>
      </c>
      <c r="H354" s="4">
        <v>1</v>
      </c>
      <c r="I354" s="4">
        <v>500</v>
      </c>
      <c r="J354" s="4">
        <v>500</v>
      </c>
      <c r="K354" s="4" t="str" cm="1">
        <f t="array" ref="K354">_xlfn.IFS(AND(Table156[[#This Row],[Total Amount]]&gt;=1500),"Critical",AND(Table156[[#This Row],[Total Amount]]&gt;=1000),"High",TRUE,"Normal")</f>
        <v>Normal</v>
      </c>
      <c r="L354" s="4" t="str">
        <f>IF(Table156[[#This Row],[Total Amount]]&gt;=1000,"High",(IF(Table156[[#This Row],[Total Amount]]&gt;=500,"Medium","Low")))</f>
        <v>Medium</v>
      </c>
      <c r="M354" s="4" t="str" cm="1">
        <f t="array" ref="M35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54" s="4" cm="1">
        <f t="array" ref="N35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75</v>
      </c>
      <c r="O354" s="4">
        <f>Table156[[#This Row],[Total Amount]]-Table156[[#This Row],[Discount Amount]]</f>
        <v>425</v>
      </c>
      <c r="P354" s="4" t="str">
        <f>IF(Table156[[#This Row],[Total Amount]]&gt;=1000,"High","Low")</f>
        <v>Low</v>
      </c>
      <c r="Q354" s="4" t="str" cm="1">
        <f t="array" ref="Q354">_xlfn.IFS(AND(Table156[[#This Row],[Total Amount]]&gt;=1500,"Critical"),AND(Table156[[#This Row],[Total Amount]]&gt;=1000,"High"),TRUE,"Normal")</f>
        <v>Normal</v>
      </c>
      <c r="R354" s="4">
        <f>COUNTIF(Table156[Gender],"Male")</f>
        <v>490</v>
      </c>
    </row>
    <row r="355" spans="1:18" x14ac:dyDescent="0.35">
      <c r="A355" s="4">
        <v>354</v>
      </c>
      <c r="B355" s="5">
        <v>45031</v>
      </c>
      <c r="C355" s="4" t="s">
        <v>367</v>
      </c>
      <c r="D355" s="4" t="s">
        <v>13</v>
      </c>
      <c r="E355" s="4">
        <v>49</v>
      </c>
      <c r="F355" s="4" t="str">
        <f>IF(Table156[[#This Row],[Age]]&lt;=19,"Teenager",IF(Table156[[#This Row],[Age]]&lt;=40,"Median","Old"))</f>
        <v>Old</v>
      </c>
      <c r="G355" s="4" t="s">
        <v>11</v>
      </c>
      <c r="H355" s="4">
        <v>4</v>
      </c>
      <c r="I355" s="4">
        <v>50</v>
      </c>
      <c r="J355" s="4">
        <v>200</v>
      </c>
      <c r="K355" s="4" t="str" cm="1">
        <f t="array" ref="K355">_xlfn.IFS(AND(Table156[[#This Row],[Total Amount]]&gt;=1500),"Critical",AND(Table156[[#This Row],[Total Amount]]&gt;=1000),"High",TRUE,"Normal")</f>
        <v>Normal</v>
      </c>
      <c r="L355" s="4" t="str">
        <f>IF(Table156[[#This Row],[Total Amount]]&gt;=1000,"High",(IF(Table156[[#This Row],[Total Amount]]&gt;=500,"Medium","Low")))</f>
        <v>Low</v>
      </c>
      <c r="M355" s="4" t="str" cm="1">
        <f t="array" ref="M35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55" s="4" cm="1">
        <f t="array" ref="N35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355" s="4">
        <f>Table156[[#This Row],[Total Amount]]-Table156[[#This Row],[Discount Amount]]</f>
        <v>160</v>
      </c>
      <c r="P355" s="4" t="str">
        <f>IF(Table156[[#This Row],[Total Amount]]&gt;=1000,"High","Low")</f>
        <v>Low</v>
      </c>
      <c r="Q355" s="4" t="str" cm="1">
        <f t="array" ref="Q355">_xlfn.IFS(AND(Table156[[#This Row],[Total Amount]]&gt;=1500,"Critical"),AND(Table156[[#This Row],[Total Amount]]&gt;=1000,"High"),TRUE,"Normal")</f>
        <v>Normal</v>
      </c>
      <c r="R355" s="4">
        <f>COUNTIF(Table156[Gender],"Male")</f>
        <v>490</v>
      </c>
    </row>
    <row r="356" spans="1:18" x14ac:dyDescent="0.35">
      <c r="A356" s="4">
        <v>355</v>
      </c>
      <c r="B356" s="5">
        <v>45269</v>
      </c>
      <c r="C356" s="4" t="s">
        <v>368</v>
      </c>
      <c r="D356" s="4" t="s">
        <v>13</v>
      </c>
      <c r="E356" s="4">
        <v>55</v>
      </c>
      <c r="F356" s="4" t="str">
        <f>IF(Table156[[#This Row],[Age]]&lt;=19,"Teenager",IF(Table156[[#This Row],[Age]]&lt;=40,"Median","Old"))</f>
        <v>Old</v>
      </c>
      <c r="G356" s="4" t="s">
        <v>16</v>
      </c>
      <c r="H356" s="4">
        <v>1</v>
      </c>
      <c r="I356" s="4">
        <v>500</v>
      </c>
      <c r="J356" s="4">
        <v>500</v>
      </c>
      <c r="K356" s="4" t="str" cm="1">
        <f t="array" ref="K356">_xlfn.IFS(AND(Table156[[#This Row],[Total Amount]]&gt;=1500),"Critical",AND(Table156[[#This Row],[Total Amount]]&gt;=1000),"High",TRUE,"Normal")</f>
        <v>Normal</v>
      </c>
      <c r="L356" s="4" t="str">
        <f>IF(Table156[[#This Row],[Total Amount]]&gt;=1000,"High",(IF(Table156[[#This Row],[Total Amount]]&gt;=500,"Medium","Low")))</f>
        <v>Medium</v>
      </c>
      <c r="M356" s="4" t="str" cm="1">
        <f t="array" ref="M35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56" s="4" cm="1">
        <f t="array" ref="N35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356" s="4">
        <f>Table156[[#This Row],[Total Amount]]-Table156[[#This Row],[Discount Amount]]</f>
        <v>400</v>
      </c>
      <c r="P356" s="4" t="str">
        <f>IF(Table156[[#This Row],[Total Amount]]&gt;=1000,"High","Low")</f>
        <v>Low</v>
      </c>
      <c r="Q356" s="4" t="str" cm="1">
        <f t="array" ref="Q356">_xlfn.IFS(AND(Table156[[#This Row],[Total Amount]]&gt;=1500,"Critical"),AND(Table156[[#This Row],[Total Amount]]&gt;=1000,"High"),TRUE,"Normal")</f>
        <v>Normal</v>
      </c>
      <c r="R356" s="4">
        <f>COUNTIF(Table156[Gender],"Male")</f>
        <v>490</v>
      </c>
    </row>
    <row r="357" spans="1:18" x14ac:dyDescent="0.35">
      <c r="A357" s="4">
        <v>356</v>
      </c>
      <c r="B357" s="5">
        <v>45087</v>
      </c>
      <c r="C357" s="4" t="s">
        <v>369</v>
      </c>
      <c r="D357" s="4" t="s">
        <v>10</v>
      </c>
      <c r="E357" s="4">
        <v>50</v>
      </c>
      <c r="F357" s="4" t="str">
        <f>IF(Table156[[#This Row],[Age]]&lt;=19,"Teenager",IF(Table156[[#This Row],[Age]]&lt;=40,"Median","Old"))</f>
        <v>Old</v>
      </c>
      <c r="G357" s="4" t="s">
        <v>16</v>
      </c>
      <c r="H357" s="4">
        <v>3</v>
      </c>
      <c r="I357" s="4">
        <v>500</v>
      </c>
      <c r="J357" s="4">
        <v>1500</v>
      </c>
      <c r="K357" s="4" t="str" cm="1">
        <f t="array" ref="K357">_xlfn.IFS(AND(Table156[[#This Row],[Total Amount]]&gt;=1500),"Critical",AND(Table156[[#This Row],[Total Amount]]&gt;=1000),"High",TRUE,"Normal")</f>
        <v>Critical</v>
      </c>
      <c r="L357" s="4" t="str">
        <f>IF(Table156[[#This Row],[Total Amount]]&gt;=1000,"High",(IF(Table156[[#This Row],[Total Amount]]&gt;=500,"Medium","Low")))</f>
        <v>High</v>
      </c>
      <c r="M357" s="4" t="str" cm="1">
        <f t="array" ref="M35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57" s="4" cm="1">
        <f t="array" ref="N35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357" s="4">
        <f>Table156[[#This Row],[Total Amount]]-Table156[[#This Row],[Discount Amount]]</f>
        <v>1350</v>
      </c>
      <c r="P357" s="4" t="str">
        <f>IF(Table156[[#This Row],[Total Amount]]&gt;=1000,"High","Low")</f>
        <v>High</v>
      </c>
      <c r="Q357" s="4" t="b" cm="1">
        <f t="array" ref="Q357">_xlfn.IFS(AND(Table156[[#This Row],[Total Amount]]&gt;=1500,"Critical"),AND(Table156[[#This Row],[Total Amount]]&gt;=1000,"High"),TRUE,"Normal")</f>
        <v>1</v>
      </c>
      <c r="R357" s="4">
        <f>COUNTIF(Table156[Gender],"Male")</f>
        <v>490</v>
      </c>
    </row>
    <row r="358" spans="1:18" x14ac:dyDescent="0.35">
      <c r="A358" s="4">
        <v>357</v>
      </c>
      <c r="B358" s="5">
        <v>45049</v>
      </c>
      <c r="C358" s="4" t="s">
        <v>370</v>
      </c>
      <c r="D358" s="4" t="s">
        <v>13</v>
      </c>
      <c r="E358" s="4">
        <v>40</v>
      </c>
      <c r="F358" s="4" t="str">
        <f>IF(Table156[[#This Row],[Age]]&lt;=19,"Teenager",IF(Table156[[#This Row],[Age]]&lt;=40,"Median","Old"))</f>
        <v>Median</v>
      </c>
      <c r="G358" s="4" t="s">
        <v>16</v>
      </c>
      <c r="H358" s="4">
        <v>3</v>
      </c>
      <c r="I358" s="4">
        <v>25</v>
      </c>
      <c r="J358" s="4">
        <v>75</v>
      </c>
      <c r="K358" s="4" t="str" cm="1">
        <f t="array" ref="K358">_xlfn.IFS(AND(Table156[[#This Row],[Total Amount]]&gt;=1500),"Critical",AND(Table156[[#This Row],[Total Amount]]&gt;=1000),"High",TRUE,"Normal")</f>
        <v>Normal</v>
      </c>
      <c r="L358" s="4" t="str">
        <f>IF(Table156[[#This Row],[Total Amount]]&gt;=1000,"High",(IF(Table156[[#This Row],[Total Amount]]&gt;=500,"Medium","Low")))</f>
        <v>Low</v>
      </c>
      <c r="M358" s="4" t="str" cm="1">
        <f t="array" ref="M35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58" s="4" cm="1">
        <f t="array" ref="N35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358" s="4">
        <f>Table156[[#This Row],[Total Amount]]-Table156[[#This Row],[Discount Amount]]</f>
        <v>60</v>
      </c>
      <c r="P358" s="4" t="str">
        <f>IF(Table156[[#This Row],[Total Amount]]&gt;=1000,"High","Low")</f>
        <v>Low</v>
      </c>
      <c r="Q358" s="4" t="str" cm="1">
        <f t="array" ref="Q358">_xlfn.IFS(AND(Table156[[#This Row],[Total Amount]]&gt;=1500,"Critical"),AND(Table156[[#This Row],[Total Amount]]&gt;=1000,"High"),TRUE,"Normal")</f>
        <v>Normal</v>
      </c>
      <c r="R358" s="4">
        <f>COUNTIF(Table156[Gender],"Male")</f>
        <v>490</v>
      </c>
    </row>
    <row r="359" spans="1:18" x14ac:dyDescent="0.35">
      <c r="A359" s="4">
        <v>358</v>
      </c>
      <c r="B359" s="5">
        <v>45062</v>
      </c>
      <c r="C359" s="4" t="s">
        <v>371</v>
      </c>
      <c r="D359" s="4" t="s">
        <v>13</v>
      </c>
      <c r="E359" s="4">
        <v>32</v>
      </c>
      <c r="F359" s="4" t="str">
        <f>IF(Table156[[#This Row],[Age]]&lt;=19,"Teenager",IF(Table156[[#This Row],[Age]]&lt;=40,"Median","Old"))</f>
        <v>Median</v>
      </c>
      <c r="G359" s="4" t="s">
        <v>11</v>
      </c>
      <c r="H359" s="4">
        <v>1</v>
      </c>
      <c r="I359" s="4">
        <v>300</v>
      </c>
      <c r="J359" s="4">
        <v>300</v>
      </c>
      <c r="K359" s="4" t="str" cm="1">
        <f t="array" ref="K359">_xlfn.IFS(AND(Table156[[#This Row],[Total Amount]]&gt;=1500),"Critical",AND(Table156[[#This Row],[Total Amount]]&gt;=1000),"High",TRUE,"Normal")</f>
        <v>Normal</v>
      </c>
      <c r="L359" s="4" t="str">
        <f>IF(Table156[[#This Row],[Total Amount]]&gt;=1000,"High",(IF(Table156[[#This Row],[Total Amount]]&gt;=500,"Medium","Low")))</f>
        <v>Low</v>
      </c>
      <c r="M359" s="4" t="str" cm="1">
        <f t="array" ref="M35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59" s="4" cm="1">
        <f t="array" ref="N35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45</v>
      </c>
      <c r="O359" s="4">
        <f>Table156[[#This Row],[Total Amount]]-Table156[[#This Row],[Discount Amount]]</f>
        <v>255</v>
      </c>
      <c r="P359" s="4" t="str">
        <f>IF(Table156[[#This Row],[Total Amount]]&gt;=1000,"High","Low")</f>
        <v>Low</v>
      </c>
      <c r="Q359" s="4" t="str" cm="1">
        <f t="array" ref="Q359">_xlfn.IFS(AND(Table156[[#This Row],[Total Amount]]&gt;=1500,"Critical"),AND(Table156[[#This Row],[Total Amount]]&gt;=1000,"High"),TRUE,"Normal")</f>
        <v>Normal</v>
      </c>
      <c r="R359" s="4">
        <f>COUNTIF(Table156[Gender],"Male")</f>
        <v>490</v>
      </c>
    </row>
    <row r="360" spans="1:18" x14ac:dyDescent="0.35">
      <c r="A360" s="4">
        <v>359</v>
      </c>
      <c r="B360" s="5">
        <v>45129</v>
      </c>
      <c r="C360" s="4" t="s">
        <v>372</v>
      </c>
      <c r="D360" s="4" t="s">
        <v>10</v>
      </c>
      <c r="E360" s="4">
        <v>50</v>
      </c>
      <c r="F360" s="4" t="str">
        <f>IF(Table156[[#This Row],[Age]]&lt;=19,"Teenager",IF(Table156[[#This Row],[Age]]&lt;=40,"Median","Old"))</f>
        <v>Old</v>
      </c>
      <c r="G360" s="4" t="s">
        <v>14</v>
      </c>
      <c r="H360" s="4">
        <v>1</v>
      </c>
      <c r="I360" s="4">
        <v>50</v>
      </c>
      <c r="J360" s="4">
        <v>50</v>
      </c>
      <c r="K360" s="4" t="str" cm="1">
        <f t="array" ref="K360">_xlfn.IFS(AND(Table156[[#This Row],[Total Amount]]&gt;=1500),"Critical",AND(Table156[[#This Row],[Total Amount]]&gt;=1000),"High",TRUE,"Normal")</f>
        <v>Normal</v>
      </c>
      <c r="L360" s="4" t="str">
        <f>IF(Table156[[#This Row],[Total Amount]]&gt;=1000,"High",(IF(Table156[[#This Row],[Total Amount]]&gt;=500,"Medium","Low")))</f>
        <v>Low</v>
      </c>
      <c r="M360" s="4" t="str" cm="1">
        <f t="array" ref="M36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60" s="4" cm="1">
        <f t="array" ref="N36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360" s="4">
        <f>Table156[[#This Row],[Total Amount]]-Table156[[#This Row],[Discount Amount]]</f>
        <v>45</v>
      </c>
      <c r="P360" s="4" t="str">
        <f>IF(Table156[[#This Row],[Total Amount]]&gt;=1000,"High","Low")</f>
        <v>Low</v>
      </c>
      <c r="Q360" s="4" t="str" cm="1">
        <f t="array" ref="Q360">_xlfn.IFS(AND(Table156[[#This Row],[Total Amount]]&gt;=1500,"Critical"),AND(Table156[[#This Row],[Total Amount]]&gt;=1000,"High"),TRUE,"Normal")</f>
        <v>Normal</v>
      </c>
      <c r="R360" s="4">
        <f>COUNTIF(Table156[Gender],"Male")</f>
        <v>490</v>
      </c>
    </row>
    <row r="361" spans="1:18" x14ac:dyDescent="0.35">
      <c r="A361" s="4">
        <v>360</v>
      </c>
      <c r="B361" s="5">
        <v>44994</v>
      </c>
      <c r="C361" s="4" t="s">
        <v>373</v>
      </c>
      <c r="D361" s="4" t="s">
        <v>10</v>
      </c>
      <c r="E361" s="4">
        <v>42</v>
      </c>
      <c r="F361" s="4" t="str">
        <f>IF(Table156[[#This Row],[Age]]&lt;=19,"Teenager",IF(Table156[[#This Row],[Age]]&lt;=40,"Median","Old"))</f>
        <v>Old</v>
      </c>
      <c r="G361" s="4" t="s">
        <v>14</v>
      </c>
      <c r="H361" s="4">
        <v>4</v>
      </c>
      <c r="I361" s="4">
        <v>25</v>
      </c>
      <c r="J361" s="4">
        <v>100</v>
      </c>
      <c r="K361" s="4" t="str" cm="1">
        <f t="array" ref="K361">_xlfn.IFS(AND(Table156[[#This Row],[Total Amount]]&gt;=1500),"Critical",AND(Table156[[#This Row],[Total Amount]]&gt;=1000),"High",TRUE,"Normal")</f>
        <v>Normal</v>
      </c>
      <c r="L361" s="4" t="str">
        <f>IF(Table156[[#This Row],[Total Amount]]&gt;=1000,"High",(IF(Table156[[#This Row],[Total Amount]]&gt;=500,"Medium","Low")))</f>
        <v>Low</v>
      </c>
      <c r="M361" s="4" t="str" cm="1">
        <f t="array" ref="M36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61" s="4" cm="1">
        <f t="array" ref="N36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361" s="4">
        <f>Table156[[#This Row],[Total Amount]]-Table156[[#This Row],[Discount Amount]]</f>
        <v>90</v>
      </c>
      <c r="P361" s="4" t="str">
        <f>IF(Table156[[#This Row],[Total Amount]]&gt;=1000,"High","Low")</f>
        <v>Low</v>
      </c>
      <c r="Q361" s="4" t="str" cm="1">
        <f t="array" ref="Q361">_xlfn.IFS(AND(Table156[[#This Row],[Total Amount]]&gt;=1500,"Critical"),AND(Table156[[#This Row],[Total Amount]]&gt;=1000,"High"),TRUE,"Normal")</f>
        <v>Normal</v>
      </c>
      <c r="R361" s="4">
        <f>COUNTIF(Table156[Gender],"Male")</f>
        <v>490</v>
      </c>
    </row>
    <row r="362" spans="1:18" x14ac:dyDescent="0.35">
      <c r="A362" s="4">
        <v>361</v>
      </c>
      <c r="B362" s="5">
        <v>45270</v>
      </c>
      <c r="C362" s="4" t="s">
        <v>374</v>
      </c>
      <c r="D362" s="4" t="s">
        <v>13</v>
      </c>
      <c r="E362" s="4">
        <v>34</v>
      </c>
      <c r="F362" s="4" t="str">
        <f>IF(Table156[[#This Row],[Age]]&lt;=19,"Teenager",IF(Table156[[#This Row],[Age]]&lt;=40,"Median","Old"))</f>
        <v>Median</v>
      </c>
      <c r="G362" s="4" t="s">
        <v>16</v>
      </c>
      <c r="H362" s="4">
        <v>4</v>
      </c>
      <c r="I362" s="4">
        <v>300</v>
      </c>
      <c r="J362" s="4">
        <v>1200</v>
      </c>
      <c r="K362" s="4" t="str" cm="1">
        <f t="array" ref="K362">_xlfn.IFS(AND(Table156[[#This Row],[Total Amount]]&gt;=1500),"Critical",AND(Table156[[#This Row],[Total Amount]]&gt;=1000),"High",TRUE,"Normal")</f>
        <v>High</v>
      </c>
      <c r="L362" s="4" t="str">
        <f>IF(Table156[[#This Row],[Total Amount]]&gt;=1000,"High",(IF(Table156[[#This Row],[Total Amount]]&gt;=500,"Medium","Low")))</f>
        <v>High</v>
      </c>
      <c r="M362" s="4" t="str" cm="1">
        <f t="array" ref="M36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62" s="4" cm="1">
        <f t="array" ref="N36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362" s="4">
        <f>Table156[[#This Row],[Total Amount]]-Table156[[#This Row],[Discount Amount]]</f>
        <v>1020</v>
      </c>
      <c r="P362" s="4" t="str">
        <f>IF(Table156[[#This Row],[Total Amount]]&gt;=1000,"High","Low")</f>
        <v>High</v>
      </c>
      <c r="Q362" s="4" t="str" cm="1">
        <f t="array" ref="Q362">_xlfn.IFS(AND(Table156[[#This Row],[Total Amount]]&gt;=1500,"Critical"),AND(Table156[[#This Row],[Total Amount]]&gt;=1000,"High"),TRUE,"Normal")</f>
        <v>Normal</v>
      </c>
      <c r="R362" s="4">
        <f>COUNTIF(Table156[Gender],"Male")</f>
        <v>490</v>
      </c>
    </row>
    <row r="363" spans="1:18" x14ac:dyDescent="0.35">
      <c r="A363" s="4">
        <v>362</v>
      </c>
      <c r="B363" s="5">
        <v>45257</v>
      </c>
      <c r="C363" s="4" t="s">
        <v>375</v>
      </c>
      <c r="D363" s="4" t="s">
        <v>10</v>
      </c>
      <c r="E363" s="4">
        <v>50</v>
      </c>
      <c r="F363" s="4" t="str">
        <f>IF(Table156[[#This Row],[Age]]&lt;=19,"Teenager",IF(Table156[[#This Row],[Age]]&lt;=40,"Median","Old"))</f>
        <v>Old</v>
      </c>
      <c r="G363" s="4" t="s">
        <v>14</v>
      </c>
      <c r="H363" s="4">
        <v>1</v>
      </c>
      <c r="I363" s="4">
        <v>25</v>
      </c>
      <c r="J363" s="4">
        <v>25</v>
      </c>
      <c r="K363" s="4" t="str" cm="1">
        <f t="array" ref="K363">_xlfn.IFS(AND(Table156[[#This Row],[Total Amount]]&gt;=1500),"Critical",AND(Table156[[#This Row],[Total Amount]]&gt;=1000),"High",TRUE,"Normal")</f>
        <v>Normal</v>
      </c>
      <c r="L363" s="4" t="str">
        <f>IF(Table156[[#This Row],[Total Amount]]&gt;=1000,"High",(IF(Table156[[#This Row],[Total Amount]]&gt;=500,"Medium","Low")))</f>
        <v>Low</v>
      </c>
      <c r="M363" s="4" t="str" cm="1">
        <f t="array" ref="M36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63" s="4" cm="1">
        <f t="array" ref="N36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363" s="4">
        <f>Table156[[#This Row],[Total Amount]]-Table156[[#This Row],[Discount Amount]]</f>
        <v>22.5</v>
      </c>
      <c r="P363" s="4" t="str">
        <f>IF(Table156[[#This Row],[Total Amount]]&gt;=1000,"High","Low")</f>
        <v>Low</v>
      </c>
      <c r="Q363" s="4" t="str" cm="1">
        <f t="array" ref="Q363">_xlfn.IFS(AND(Table156[[#This Row],[Total Amount]]&gt;=1500,"Critical"),AND(Table156[[#This Row],[Total Amount]]&gt;=1000,"High"),TRUE,"Normal")</f>
        <v>Normal</v>
      </c>
      <c r="R363" s="4">
        <f>COUNTIF(Table156[Gender],"Male")</f>
        <v>490</v>
      </c>
    </row>
    <row r="364" spans="1:18" x14ac:dyDescent="0.35">
      <c r="A364" s="4">
        <v>363</v>
      </c>
      <c r="B364" s="5">
        <v>45080</v>
      </c>
      <c r="C364" s="4" t="s">
        <v>376</v>
      </c>
      <c r="D364" s="4" t="s">
        <v>10</v>
      </c>
      <c r="E364" s="4">
        <v>64</v>
      </c>
      <c r="F364" s="4" t="str">
        <f>IF(Table156[[#This Row],[Age]]&lt;=19,"Teenager",IF(Table156[[#This Row],[Age]]&lt;=40,"Median","Old"))</f>
        <v>Old</v>
      </c>
      <c r="G364" s="4" t="s">
        <v>11</v>
      </c>
      <c r="H364" s="4">
        <v>1</v>
      </c>
      <c r="I364" s="4">
        <v>25</v>
      </c>
      <c r="J364" s="4">
        <v>25</v>
      </c>
      <c r="K364" s="4" t="str" cm="1">
        <f t="array" ref="K364">_xlfn.IFS(AND(Table156[[#This Row],[Total Amount]]&gt;=1500),"Critical",AND(Table156[[#This Row],[Total Amount]]&gt;=1000),"High",TRUE,"Normal")</f>
        <v>Normal</v>
      </c>
      <c r="L364" s="4" t="str">
        <f>IF(Table156[[#This Row],[Total Amount]]&gt;=1000,"High",(IF(Table156[[#This Row],[Total Amount]]&gt;=500,"Medium","Low")))</f>
        <v>Low</v>
      </c>
      <c r="M364" s="4" t="str" cm="1">
        <f t="array" ref="M36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64" s="4" cm="1">
        <f t="array" ref="N36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364" s="4">
        <f>Table156[[#This Row],[Total Amount]]-Table156[[#This Row],[Discount Amount]]</f>
        <v>22.5</v>
      </c>
      <c r="P364" s="4" t="str">
        <f>IF(Table156[[#This Row],[Total Amount]]&gt;=1000,"High","Low")</f>
        <v>Low</v>
      </c>
      <c r="Q364" s="4" t="str" cm="1">
        <f t="array" ref="Q364">_xlfn.IFS(AND(Table156[[#This Row],[Total Amount]]&gt;=1500,"Critical"),AND(Table156[[#This Row],[Total Amount]]&gt;=1000,"High"),TRUE,"Normal")</f>
        <v>Normal</v>
      </c>
      <c r="R364" s="4">
        <f>COUNTIF(Table156[Gender],"Male")</f>
        <v>490</v>
      </c>
    </row>
    <row r="365" spans="1:18" x14ac:dyDescent="0.35">
      <c r="A365" s="4">
        <v>364</v>
      </c>
      <c r="B365" s="5">
        <v>45161</v>
      </c>
      <c r="C365" s="4" t="s">
        <v>377</v>
      </c>
      <c r="D365" s="4" t="s">
        <v>13</v>
      </c>
      <c r="E365" s="4">
        <v>19</v>
      </c>
      <c r="F365" s="4" t="str">
        <f>IF(Table156[[#This Row],[Age]]&lt;=19,"Teenager",IF(Table156[[#This Row],[Age]]&lt;=40,"Median","Old"))</f>
        <v>Teenager</v>
      </c>
      <c r="G365" s="4" t="s">
        <v>11</v>
      </c>
      <c r="H365" s="4">
        <v>1</v>
      </c>
      <c r="I365" s="4">
        <v>500</v>
      </c>
      <c r="J365" s="4">
        <v>500</v>
      </c>
      <c r="K365" s="4" t="str" cm="1">
        <f t="array" ref="K365">_xlfn.IFS(AND(Table156[[#This Row],[Total Amount]]&gt;=1500),"Critical",AND(Table156[[#This Row],[Total Amount]]&gt;=1000),"High",TRUE,"Normal")</f>
        <v>Normal</v>
      </c>
      <c r="L365" s="4" t="str">
        <f>IF(Table156[[#This Row],[Total Amount]]&gt;=1000,"High",(IF(Table156[[#This Row],[Total Amount]]&gt;=500,"Medium","Low")))</f>
        <v>Medium</v>
      </c>
      <c r="M365" s="4" t="str" cm="1">
        <f t="array" ref="M36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65" s="4" cm="1">
        <f t="array" ref="N36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65" s="4">
        <f>Table156[[#This Row],[Total Amount]]-Table156[[#This Row],[Discount Amount]]</f>
        <v>500</v>
      </c>
      <c r="P365" s="4" t="str">
        <f>IF(Table156[[#This Row],[Total Amount]]&gt;=1000,"High","Low")</f>
        <v>Low</v>
      </c>
      <c r="Q365" s="4" t="str" cm="1">
        <f t="array" ref="Q365">_xlfn.IFS(AND(Table156[[#This Row],[Total Amount]]&gt;=1500,"Critical"),AND(Table156[[#This Row],[Total Amount]]&gt;=1000,"High"),TRUE,"Normal")</f>
        <v>Normal</v>
      </c>
      <c r="R365" s="4">
        <f>COUNTIF(Table156[Gender],"Male")</f>
        <v>490</v>
      </c>
    </row>
    <row r="366" spans="1:18" x14ac:dyDescent="0.35">
      <c r="A366" s="4">
        <v>365</v>
      </c>
      <c r="B366" s="5">
        <v>45088</v>
      </c>
      <c r="C366" s="4" t="s">
        <v>378</v>
      </c>
      <c r="D366" s="4" t="s">
        <v>10</v>
      </c>
      <c r="E366" s="4">
        <v>31</v>
      </c>
      <c r="F366" s="4" t="str">
        <f>IF(Table156[[#This Row],[Age]]&lt;=19,"Teenager",IF(Table156[[#This Row],[Age]]&lt;=40,"Median","Old"))</f>
        <v>Median</v>
      </c>
      <c r="G366" s="4" t="s">
        <v>14</v>
      </c>
      <c r="H366" s="4">
        <v>1</v>
      </c>
      <c r="I366" s="4">
        <v>300</v>
      </c>
      <c r="J366" s="4">
        <v>300</v>
      </c>
      <c r="K366" s="4" t="str" cm="1">
        <f t="array" ref="K366">_xlfn.IFS(AND(Table156[[#This Row],[Total Amount]]&gt;=1500),"Critical",AND(Table156[[#This Row],[Total Amount]]&gt;=1000),"High",TRUE,"Normal")</f>
        <v>Normal</v>
      </c>
      <c r="L366" s="4" t="str">
        <f>IF(Table156[[#This Row],[Total Amount]]&gt;=1000,"High",(IF(Table156[[#This Row],[Total Amount]]&gt;=500,"Medium","Low")))</f>
        <v>Low</v>
      </c>
      <c r="M366" s="4" t="str" cm="1">
        <f t="array" ref="M36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66" s="4" cm="1">
        <f t="array" ref="N36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45</v>
      </c>
      <c r="O366" s="4">
        <f>Table156[[#This Row],[Total Amount]]-Table156[[#This Row],[Discount Amount]]</f>
        <v>255</v>
      </c>
      <c r="P366" s="4" t="str">
        <f>IF(Table156[[#This Row],[Total Amount]]&gt;=1000,"High","Low")</f>
        <v>Low</v>
      </c>
      <c r="Q366" s="4" t="str" cm="1">
        <f t="array" ref="Q366">_xlfn.IFS(AND(Table156[[#This Row],[Total Amount]]&gt;=1500,"Critical"),AND(Table156[[#This Row],[Total Amount]]&gt;=1000,"High"),TRUE,"Normal")</f>
        <v>Normal</v>
      </c>
      <c r="R366" s="4">
        <f>COUNTIF(Table156[Gender],"Male")</f>
        <v>490</v>
      </c>
    </row>
    <row r="367" spans="1:18" x14ac:dyDescent="0.35">
      <c r="A367" s="4">
        <v>366</v>
      </c>
      <c r="B367" s="5">
        <v>44964</v>
      </c>
      <c r="C367" s="4" t="s">
        <v>379</v>
      </c>
      <c r="D367" s="4" t="s">
        <v>10</v>
      </c>
      <c r="E367" s="4">
        <v>57</v>
      </c>
      <c r="F367" s="4" t="str">
        <f>IF(Table156[[#This Row],[Age]]&lt;=19,"Teenager",IF(Table156[[#This Row],[Age]]&lt;=40,"Median","Old"))</f>
        <v>Old</v>
      </c>
      <c r="G367" s="4" t="s">
        <v>14</v>
      </c>
      <c r="H367" s="4">
        <v>2</v>
      </c>
      <c r="I367" s="4">
        <v>50</v>
      </c>
      <c r="J367" s="4">
        <v>100</v>
      </c>
      <c r="K367" s="4" t="str" cm="1">
        <f t="array" ref="K367">_xlfn.IFS(AND(Table156[[#This Row],[Total Amount]]&gt;=1500),"Critical",AND(Table156[[#This Row],[Total Amount]]&gt;=1000),"High",TRUE,"Normal")</f>
        <v>Normal</v>
      </c>
      <c r="L367" s="4" t="str">
        <f>IF(Table156[[#This Row],[Total Amount]]&gt;=1000,"High",(IF(Table156[[#This Row],[Total Amount]]&gt;=500,"Medium","Low")))</f>
        <v>Low</v>
      </c>
      <c r="M367" s="4" t="str" cm="1">
        <f t="array" ref="M36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67" s="4" cm="1">
        <f t="array" ref="N36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367" s="4">
        <f>Table156[[#This Row],[Total Amount]]-Table156[[#This Row],[Discount Amount]]</f>
        <v>90</v>
      </c>
      <c r="P367" s="4" t="str">
        <f>IF(Table156[[#This Row],[Total Amount]]&gt;=1000,"High","Low")</f>
        <v>Low</v>
      </c>
      <c r="Q367" s="4" t="str" cm="1">
        <f t="array" ref="Q367">_xlfn.IFS(AND(Table156[[#This Row],[Total Amount]]&gt;=1500,"Critical"),AND(Table156[[#This Row],[Total Amount]]&gt;=1000,"High"),TRUE,"Normal")</f>
        <v>Normal</v>
      </c>
      <c r="R367" s="4">
        <f>COUNTIF(Table156[Gender],"Male")</f>
        <v>490</v>
      </c>
    </row>
    <row r="368" spans="1:18" x14ac:dyDescent="0.35">
      <c r="A368" s="4">
        <v>367</v>
      </c>
      <c r="B368" s="5">
        <v>44931</v>
      </c>
      <c r="C368" s="4" t="s">
        <v>380</v>
      </c>
      <c r="D368" s="4" t="s">
        <v>13</v>
      </c>
      <c r="E368" s="4">
        <v>57</v>
      </c>
      <c r="F368" s="4" t="str">
        <f>IF(Table156[[#This Row],[Age]]&lt;=19,"Teenager",IF(Table156[[#This Row],[Age]]&lt;=40,"Median","Old"))</f>
        <v>Old</v>
      </c>
      <c r="G368" s="4" t="s">
        <v>16</v>
      </c>
      <c r="H368" s="4">
        <v>1</v>
      </c>
      <c r="I368" s="4">
        <v>50</v>
      </c>
      <c r="J368" s="4">
        <v>50</v>
      </c>
      <c r="K368" s="4" t="str" cm="1">
        <f t="array" ref="K368">_xlfn.IFS(AND(Table156[[#This Row],[Total Amount]]&gt;=1500),"Critical",AND(Table156[[#This Row],[Total Amount]]&gt;=1000),"High",TRUE,"Normal")</f>
        <v>Normal</v>
      </c>
      <c r="L368" s="4" t="str">
        <f>IF(Table156[[#This Row],[Total Amount]]&gt;=1000,"High",(IF(Table156[[#This Row],[Total Amount]]&gt;=500,"Medium","Low")))</f>
        <v>Low</v>
      </c>
      <c r="M368" s="4" t="str" cm="1">
        <f t="array" ref="M36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68" s="4" cm="1">
        <f t="array" ref="N36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368" s="4">
        <f>Table156[[#This Row],[Total Amount]]-Table156[[#This Row],[Discount Amount]]</f>
        <v>40</v>
      </c>
      <c r="P368" s="4" t="str">
        <f>IF(Table156[[#This Row],[Total Amount]]&gt;=1000,"High","Low")</f>
        <v>Low</v>
      </c>
      <c r="Q368" s="4" t="str" cm="1">
        <f t="array" ref="Q368">_xlfn.IFS(AND(Table156[[#This Row],[Total Amount]]&gt;=1500,"Critical"),AND(Table156[[#This Row],[Total Amount]]&gt;=1000,"High"),TRUE,"Normal")</f>
        <v>Normal</v>
      </c>
      <c r="R368" s="4">
        <f>COUNTIF(Table156[Gender],"Male")</f>
        <v>490</v>
      </c>
    </row>
    <row r="369" spans="1:18" x14ac:dyDescent="0.35">
      <c r="A369" s="4">
        <v>368</v>
      </c>
      <c r="B369" s="5">
        <v>45161</v>
      </c>
      <c r="C369" s="4" t="s">
        <v>381</v>
      </c>
      <c r="D369" s="4" t="s">
        <v>13</v>
      </c>
      <c r="E369" s="4">
        <v>56</v>
      </c>
      <c r="F369" s="4" t="str">
        <f>IF(Table156[[#This Row],[Age]]&lt;=19,"Teenager",IF(Table156[[#This Row],[Age]]&lt;=40,"Median","Old"))</f>
        <v>Old</v>
      </c>
      <c r="G369" s="4" t="s">
        <v>14</v>
      </c>
      <c r="H369" s="4">
        <v>4</v>
      </c>
      <c r="I369" s="4">
        <v>300</v>
      </c>
      <c r="J369" s="4">
        <v>1200</v>
      </c>
      <c r="K369" s="4" t="str" cm="1">
        <f t="array" ref="K369">_xlfn.IFS(AND(Table156[[#This Row],[Total Amount]]&gt;=1500),"Critical",AND(Table156[[#This Row],[Total Amount]]&gt;=1000),"High",TRUE,"Normal")</f>
        <v>High</v>
      </c>
      <c r="L369" s="4" t="str">
        <f>IF(Table156[[#This Row],[Total Amount]]&gt;=1000,"High",(IF(Table156[[#This Row],[Total Amount]]&gt;=500,"Medium","Low")))</f>
        <v>High</v>
      </c>
      <c r="M369" s="4" t="str" cm="1">
        <f t="array" ref="M36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69" s="4" cm="1">
        <f t="array" ref="N36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369" s="4">
        <f>Table156[[#This Row],[Total Amount]]-Table156[[#This Row],[Discount Amount]]</f>
        <v>960</v>
      </c>
      <c r="P369" s="4" t="str">
        <f>IF(Table156[[#This Row],[Total Amount]]&gt;=1000,"High","Low")</f>
        <v>High</v>
      </c>
      <c r="Q369" s="4" t="str" cm="1">
        <f t="array" ref="Q369">_xlfn.IFS(AND(Table156[[#This Row],[Total Amount]]&gt;=1500,"Critical"),AND(Table156[[#This Row],[Total Amount]]&gt;=1000,"High"),TRUE,"Normal")</f>
        <v>Normal</v>
      </c>
      <c r="R369" s="4">
        <f>COUNTIF(Table156[Gender],"Male")</f>
        <v>490</v>
      </c>
    </row>
    <row r="370" spans="1:18" x14ac:dyDescent="0.35">
      <c r="A370" s="4">
        <v>369</v>
      </c>
      <c r="B370" s="5">
        <v>45245</v>
      </c>
      <c r="C370" s="4" t="s">
        <v>382</v>
      </c>
      <c r="D370" s="4" t="s">
        <v>10</v>
      </c>
      <c r="E370" s="4">
        <v>23</v>
      </c>
      <c r="F370" s="4" t="str">
        <f>IF(Table156[[#This Row],[Age]]&lt;=19,"Teenager",IF(Table156[[#This Row],[Age]]&lt;=40,"Median","Old"))</f>
        <v>Median</v>
      </c>
      <c r="G370" s="4" t="s">
        <v>16</v>
      </c>
      <c r="H370" s="4">
        <v>3</v>
      </c>
      <c r="I370" s="4">
        <v>500</v>
      </c>
      <c r="J370" s="4">
        <v>1500</v>
      </c>
      <c r="K370" s="4" t="str" cm="1">
        <f t="array" ref="K370">_xlfn.IFS(AND(Table156[[#This Row],[Total Amount]]&gt;=1500),"Critical",AND(Table156[[#This Row],[Total Amount]]&gt;=1000),"High",TRUE,"Normal")</f>
        <v>Critical</v>
      </c>
      <c r="L370" s="4" t="str">
        <f>IF(Table156[[#This Row],[Total Amount]]&gt;=1000,"High",(IF(Table156[[#This Row],[Total Amount]]&gt;=500,"Medium","Low")))</f>
        <v>High</v>
      </c>
      <c r="M370" s="4" t="str" cm="1">
        <f t="array" ref="M37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70" s="4" cm="1">
        <f t="array" ref="N37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70" s="4">
        <f>Table156[[#This Row],[Total Amount]]-Table156[[#This Row],[Discount Amount]]</f>
        <v>1500</v>
      </c>
      <c r="P370" s="4" t="str">
        <f>IF(Table156[[#This Row],[Total Amount]]&gt;=1000,"High","Low")</f>
        <v>High</v>
      </c>
      <c r="Q370" s="4" t="b" cm="1">
        <f t="array" ref="Q370">_xlfn.IFS(AND(Table156[[#This Row],[Total Amount]]&gt;=1500,"Critical"),AND(Table156[[#This Row],[Total Amount]]&gt;=1000,"High"),TRUE,"Normal")</f>
        <v>1</v>
      </c>
      <c r="R370" s="4">
        <f>COUNTIF(Table156[Gender],"Male")</f>
        <v>490</v>
      </c>
    </row>
    <row r="371" spans="1:18" x14ac:dyDescent="0.35">
      <c r="A371" s="4">
        <v>370</v>
      </c>
      <c r="B371" s="5">
        <v>45215</v>
      </c>
      <c r="C371" s="4" t="s">
        <v>383</v>
      </c>
      <c r="D371" s="4" t="s">
        <v>10</v>
      </c>
      <c r="E371" s="4">
        <v>23</v>
      </c>
      <c r="F371" s="4" t="str">
        <f>IF(Table156[[#This Row],[Age]]&lt;=19,"Teenager",IF(Table156[[#This Row],[Age]]&lt;=40,"Median","Old"))</f>
        <v>Median</v>
      </c>
      <c r="G371" s="4" t="s">
        <v>16</v>
      </c>
      <c r="H371" s="4">
        <v>2</v>
      </c>
      <c r="I371" s="4">
        <v>30</v>
      </c>
      <c r="J371" s="4">
        <v>60</v>
      </c>
      <c r="K371" s="4" t="str" cm="1">
        <f t="array" ref="K371">_xlfn.IFS(AND(Table156[[#This Row],[Total Amount]]&gt;=1500),"Critical",AND(Table156[[#This Row],[Total Amount]]&gt;=1000),"High",TRUE,"Normal")</f>
        <v>Normal</v>
      </c>
      <c r="L371" s="4" t="str">
        <f>IF(Table156[[#This Row],[Total Amount]]&gt;=1000,"High",(IF(Table156[[#This Row],[Total Amount]]&gt;=500,"Medium","Low")))</f>
        <v>Low</v>
      </c>
      <c r="M371" s="4" t="str" cm="1">
        <f t="array" ref="M37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71" s="4" cm="1">
        <f t="array" ref="N37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71" s="4">
        <f>Table156[[#This Row],[Total Amount]]-Table156[[#This Row],[Discount Amount]]</f>
        <v>60</v>
      </c>
      <c r="P371" s="4" t="str">
        <f>IF(Table156[[#This Row],[Total Amount]]&gt;=1000,"High","Low")</f>
        <v>Low</v>
      </c>
      <c r="Q371" s="4" t="str" cm="1">
        <f t="array" ref="Q371">_xlfn.IFS(AND(Table156[[#This Row],[Total Amount]]&gt;=1500,"Critical"),AND(Table156[[#This Row],[Total Amount]]&gt;=1000,"High"),TRUE,"Normal")</f>
        <v>Normal</v>
      </c>
      <c r="R371" s="4">
        <f>COUNTIF(Table156[Gender],"Male")</f>
        <v>490</v>
      </c>
    </row>
    <row r="372" spans="1:18" x14ac:dyDescent="0.35">
      <c r="A372" s="4">
        <v>371</v>
      </c>
      <c r="B372" s="5">
        <v>44978</v>
      </c>
      <c r="C372" s="4" t="s">
        <v>384</v>
      </c>
      <c r="D372" s="4" t="s">
        <v>13</v>
      </c>
      <c r="E372" s="4">
        <v>20</v>
      </c>
      <c r="F372" s="4" t="str">
        <f>IF(Table156[[#This Row],[Age]]&lt;=19,"Teenager",IF(Table156[[#This Row],[Age]]&lt;=40,"Median","Old"))</f>
        <v>Median</v>
      </c>
      <c r="G372" s="4" t="s">
        <v>11</v>
      </c>
      <c r="H372" s="4">
        <v>1</v>
      </c>
      <c r="I372" s="4">
        <v>25</v>
      </c>
      <c r="J372" s="4">
        <v>25</v>
      </c>
      <c r="K372" s="4" t="str" cm="1">
        <f t="array" ref="K372">_xlfn.IFS(AND(Table156[[#This Row],[Total Amount]]&gt;=1500),"Critical",AND(Table156[[#This Row],[Total Amount]]&gt;=1000),"High",TRUE,"Normal")</f>
        <v>Normal</v>
      </c>
      <c r="L372" s="4" t="str">
        <f>IF(Table156[[#This Row],[Total Amount]]&gt;=1000,"High",(IF(Table156[[#This Row],[Total Amount]]&gt;=500,"Medium","Low")))</f>
        <v>Low</v>
      </c>
      <c r="M372" s="4" t="str" cm="1">
        <f t="array" ref="M37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72" s="4" cm="1">
        <f t="array" ref="N37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72" s="4">
        <f>Table156[[#This Row],[Total Amount]]-Table156[[#This Row],[Discount Amount]]</f>
        <v>25</v>
      </c>
      <c r="P372" s="4" t="str">
        <f>IF(Table156[[#This Row],[Total Amount]]&gt;=1000,"High","Low")</f>
        <v>Low</v>
      </c>
      <c r="Q372" s="4" t="str" cm="1">
        <f t="array" ref="Q372">_xlfn.IFS(AND(Table156[[#This Row],[Total Amount]]&gt;=1500,"Critical"),AND(Table156[[#This Row],[Total Amount]]&gt;=1000,"High"),TRUE,"Normal")</f>
        <v>Normal</v>
      </c>
      <c r="R372" s="4">
        <f>COUNTIF(Table156[Gender],"Male")</f>
        <v>490</v>
      </c>
    </row>
    <row r="373" spans="1:18" x14ac:dyDescent="0.35">
      <c r="A373" s="4">
        <v>372</v>
      </c>
      <c r="B373" s="5">
        <v>44964</v>
      </c>
      <c r="C373" s="4" t="s">
        <v>385</v>
      </c>
      <c r="D373" s="4" t="s">
        <v>13</v>
      </c>
      <c r="E373" s="4">
        <v>24</v>
      </c>
      <c r="F373" s="4" t="str">
        <f>IF(Table156[[#This Row],[Age]]&lt;=19,"Teenager",IF(Table156[[#This Row],[Age]]&lt;=40,"Median","Old"))</f>
        <v>Median</v>
      </c>
      <c r="G373" s="4" t="s">
        <v>11</v>
      </c>
      <c r="H373" s="4">
        <v>3</v>
      </c>
      <c r="I373" s="4">
        <v>500</v>
      </c>
      <c r="J373" s="4">
        <v>1500</v>
      </c>
      <c r="K373" s="4" t="str" cm="1">
        <f t="array" ref="K373">_xlfn.IFS(AND(Table156[[#This Row],[Total Amount]]&gt;=1500),"Critical",AND(Table156[[#This Row],[Total Amount]]&gt;=1000),"High",TRUE,"Normal")</f>
        <v>Critical</v>
      </c>
      <c r="L373" s="4" t="str">
        <f>IF(Table156[[#This Row],[Total Amount]]&gt;=1000,"High",(IF(Table156[[#This Row],[Total Amount]]&gt;=500,"Medium","Low")))</f>
        <v>High</v>
      </c>
      <c r="M373" s="4" t="str" cm="1">
        <f t="array" ref="M37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73" s="4" cm="1">
        <f t="array" ref="N37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73" s="4">
        <f>Table156[[#This Row],[Total Amount]]-Table156[[#This Row],[Discount Amount]]</f>
        <v>1500</v>
      </c>
      <c r="P373" s="4" t="str">
        <f>IF(Table156[[#This Row],[Total Amount]]&gt;=1000,"High","Low")</f>
        <v>High</v>
      </c>
      <c r="Q373" s="4" t="b" cm="1">
        <f t="array" ref="Q373">_xlfn.IFS(AND(Table156[[#This Row],[Total Amount]]&gt;=1500,"Critical"),AND(Table156[[#This Row],[Total Amount]]&gt;=1000,"High"),TRUE,"Normal")</f>
        <v>1</v>
      </c>
      <c r="R373" s="4">
        <f>COUNTIF(Table156[Gender],"Male")</f>
        <v>490</v>
      </c>
    </row>
    <row r="374" spans="1:18" x14ac:dyDescent="0.35">
      <c r="A374" s="4">
        <v>373</v>
      </c>
      <c r="B374" s="5">
        <v>45202</v>
      </c>
      <c r="C374" s="4" t="s">
        <v>386</v>
      </c>
      <c r="D374" s="4" t="s">
        <v>13</v>
      </c>
      <c r="E374" s="4">
        <v>25</v>
      </c>
      <c r="F374" s="4" t="str">
        <f>IF(Table156[[#This Row],[Age]]&lt;=19,"Teenager",IF(Table156[[#This Row],[Age]]&lt;=40,"Median","Old"))</f>
        <v>Median</v>
      </c>
      <c r="G374" s="4" t="s">
        <v>11</v>
      </c>
      <c r="H374" s="4">
        <v>2</v>
      </c>
      <c r="I374" s="4">
        <v>300</v>
      </c>
      <c r="J374" s="4">
        <v>600</v>
      </c>
      <c r="K374" s="4" t="str" cm="1">
        <f t="array" ref="K374">_xlfn.IFS(AND(Table156[[#This Row],[Total Amount]]&gt;=1500),"Critical",AND(Table156[[#This Row],[Total Amount]]&gt;=1000),"High",TRUE,"Normal")</f>
        <v>Normal</v>
      </c>
      <c r="L374" s="4" t="str">
        <f>IF(Table156[[#This Row],[Total Amount]]&gt;=1000,"High",(IF(Table156[[#This Row],[Total Amount]]&gt;=500,"Medium","Low")))</f>
        <v>Medium</v>
      </c>
      <c r="M374" s="4" t="str" cm="1">
        <f t="array" ref="M37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74" s="4" cm="1">
        <f t="array" ref="N37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374" s="4">
        <f>Table156[[#This Row],[Total Amount]]-Table156[[#This Row],[Discount Amount]]</f>
        <v>510</v>
      </c>
      <c r="P374" s="4" t="str">
        <f>IF(Table156[[#This Row],[Total Amount]]&gt;=1000,"High","Low")</f>
        <v>Low</v>
      </c>
      <c r="Q374" s="4" t="str" cm="1">
        <f t="array" ref="Q374">_xlfn.IFS(AND(Table156[[#This Row],[Total Amount]]&gt;=1500,"Critical"),AND(Table156[[#This Row],[Total Amount]]&gt;=1000,"High"),TRUE,"Normal")</f>
        <v>Normal</v>
      </c>
      <c r="R374" s="4">
        <f>COUNTIF(Table156[Gender],"Male")</f>
        <v>490</v>
      </c>
    </row>
    <row r="375" spans="1:18" x14ac:dyDescent="0.35">
      <c r="A375" s="4">
        <v>374</v>
      </c>
      <c r="B375" s="5">
        <v>45036</v>
      </c>
      <c r="C375" s="4" t="s">
        <v>387</v>
      </c>
      <c r="D375" s="4" t="s">
        <v>13</v>
      </c>
      <c r="E375" s="4">
        <v>59</v>
      </c>
      <c r="F375" s="4" t="str">
        <f>IF(Table156[[#This Row],[Age]]&lt;=19,"Teenager",IF(Table156[[#This Row],[Age]]&lt;=40,"Median","Old"))</f>
        <v>Old</v>
      </c>
      <c r="G375" s="4" t="s">
        <v>11</v>
      </c>
      <c r="H375" s="4">
        <v>3</v>
      </c>
      <c r="I375" s="4">
        <v>25</v>
      </c>
      <c r="J375" s="4">
        <v>75</v>
      </c>
      <c r="K375" s="4" t="str" cm="1">
        <f t="array" ref="K375">_xlfn.IFS(AND(Table156[[#This Row],[Total Amount]]&gt;=1500),"Critical",AND(Table156[[#This Row],[Total Amount]]&gt;=1000),"High",TRUE,"Normal")</f>
        <v>Normal</v>
      </c>
      <c r="L375" s="4" t="str">
        <f>IF(Table156[[#This Row],[Total Amount]]&gt;=1000,"High",(IF(Table156[[#This Row],[Total Amount]]&gt;=500,"Medium","Low")))</f>
        <v>Low</v>
      </c>
      <c r="M375" s="4" t="str" cm="1">
        <f t="array" ref="M37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75" s="4" cm="1">
        <f t="array" ref="N37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375" s="4">
        <f>Table156[[#This Row],[Total Amount]]-Table156[[#This Row],[Discount Amount]]</f>
        <v>60</v>
      </c>
      <c r="P375" s="4" t="str">
        <f>IF(Table156[[#This Row],[Total Amount]]&gt;=1000,"High","Low")</f>
        <v>Low</v>
      </c>
      <c r="Q375" s="4" t="str" cm="1">
        <f t="array" ref="Q375">_xlfn.IFS(AND(Table156[[#This Row],[Total Amount]]&gt;=1500,"Critical"),AND(Table156[[#This Row],[Total Amount]]&gt;=1000,"High"),TRUE,"Normal")</f>
        <v>Normal</v>
      </c>
      <c r="R375" s="4">
        <f>COUNTIF(Table156[Gender],"Male")</f>
        <v>490</v>
      </c>
    </row>
    <row r="376" spans="1:18" x14ac:dyDescent="0.35">
      <c r="A376" s="4">
        <v>375</v>
      </c>
      <c r="B376" s="5">
        <v>45186</v>
      </c>
      <c r="C376" s="4" t="s">
        <v>388</v>
      </c>
      <c r="D376" s="4" t="s">
        <v>10</v>
      </c>
      <c r="E376" s="4">
        <v>32</v>
      </c>
      <c r="F376" s="4" t="str">
        <f>IF(Table156[[#This Row],[Age]]&lt;=19,"Teenager",IF(Table156[[#This Row],[Age]]&lt;=40,"Median","Old"))</f>
        <v>Median</v>
      </c>
      <c r="G376" s="4" t="s">
        <v>14</v>
      </c>
      <c r="H376" s="4">
        <v>1</v>
      </c>
      <c r="I376" s="4">
        <v>50</v>
      </c>
      <c r="J376" s="4">
        <v>50</v>
      </c>
      <c r="K376" s="4" t="str" cm="1">
        <f t="array" ref="K376">_xlfn.IFS(AND(Table156[[#This Row],[Total Amount]]&gt;=1500),"Critical",AND(Table156[[#This Row],[Total Amount]]&gt;=1000),"High",TRUE,"Normal")</f>
        <v>Normal</v>
      </c>
      <c r="L376" s="4" t="str">
        <f>IF(Table156[[#This Row],[Total Amount]]&gt;=1000,"High",(IF(Table156[[#This Row],[Total Amount]]&gt;=500,"Medium","Low")))</f>
        <v>Low</v>
      </c>
      <c r="M376" s="4" t="str" cm="1">
        <f t="array" ref="M37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76" s="4" cm="1">
        <f t="array" ref="N37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376" s="4">
        <f>Table156[[#This Row],[Total Amount]]-Table156[[#This Row],[Discount Amount]]</f>
        <v>42.5</v>
      </c>
      <c r="P376" s="4" t="str">
        <f>IF(Table156[[#This Row],[Total Amount]]&gt;=1000,"High","Low")</f>
        <v>Low</v>
      </c>
      <c r="Q376" s="4" t="str" cm="1">
        <f t="array" ref="Q376">_xlfn.IFS(AND(Table156[[#This Row],[Total Amount]]&gt;=1500,"Critical"),AND(Table156[[#This Row],[Total Amount]]&gt;=1000,"High"),TRUE,"Normal")</f>
        <v>Normal</v>
      </c>
      <c r="R376" s="4">
        <f>COUNTIF(Table156[Gender],"Male")</f>
        <v>490</v>
      </c>
    </row>
    <row r="377" spans="1:18" x14ac:dyDescent="0.35">
      <c r="A377" s="4">
        <v>376</v>
      </c>
      <c r="B377" s="5">
        <v>45062</v>
      </c>
      <c r="C377" s="4" t="s">
        <v>389</v>
      </c>
      <c r="D377" s="4" t="s">
        <v>13</v>
      </c>
      <c r="E377" s="4">
        <v>64</v>
      </c>
      <c r="F377" s="4" t="str">
        <f>IF(Table156[[#This Row],[Age]]&lt;=19,"Teenager",IF(Table156[[#This Row],[Age]]&lt;=40,"Median","Old"))</f>
        <v>Old</v>
      </c>
      <c r="G377" s="4" t="s">
        <v>11</v>
      </c>
      <c r="H377" s="4">
        <v>1</v>
      </c>
      <c r="I377" s="4">
        <v>30</v>
      </c>
      <c r="J377" s="4">
        <v>30</v>
      </c>
      <c r="K377" s="4" t="str" cm="1">
        <f t="array" ref="K377">_xlfn.IFS(AND(Table156[[#This Row],[Total Amount]]&gt;=1500),"Critical",AND(Table156[[#This Row],[Total Amount]]&gt;=1000),"High",TRUE,"Normal")</f>
        <v>Normal</v>
      </c>
      <c r="L377" s="4" t="str">
        <f>IF(Table156[[#This Row],[Total Amount]]&gt;=1000,"High",(IF(Table156[[#This Row],[Total Amount]]&gt;=500,"Medium","Low")))</f>
        <v>Low</v>
      </c>
      <c r="M377" s="4" t="str" cm="1">
        <f t="array" ref="M37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77" s="4" cm="1">
        <f t="array" ref="N37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377" s="4">
        <f>Table156[[#This Row],[Total Amount]]-Table156[[#This Row],[Discount Amount]]</f>
        <v>24</v>
      </c>
      <c r="P377" s="4" t="str">
        <f>IF(Table156[[#This Row],[Total Amount]]&gt;=1000,"High","Low")</f>
        <v>Low</v>
      </c>
      <c r="Q377" s="4" t="str" cm="1">
        <f t="array" ref="Q377">_xlfn.IFS(AND(Table156[[#This Row],[Total Amount]]&gt;=1500,"Critical"),AND(Table156[[#This Row],[Total Amount]]&gt;=1000,"High"),TRUE,"Normal")</f>
        <v>Normal</v>
      </c>
      <c r="R377" s="4">
        <f>COUNTIF(Table156[Gender],"Male")</f>
        <v>490</v>
      </c>
    </row>
    <row r="378" spans="1:18" x14ac:dyDescent="0.35">
      <c r="A378" s="4">
        <v>377</v>
      </c>
      <c r="B378" s="5">
        <v>44994</v>
      </c>
      <c r="C378" s="4" t="s">
        <v>390</v>
      </c>
      <c r="D378" s="4" t="s">
        <v>13</v>
      </c>
      <c r="E378" s="4">
        <v>46</v>
      </c>
      <c r="F378" s="4" t="str">
        <f>IF(Table156[[#This Row],[Age]]&lt;=19,"Teenager",IF(Table156[[#This Row],[Age]]&lt;=40,"Median","Old"))</f>
        <v>Old</v>
      </c>
      <c r="G378" s="4" t="s">
        <v>14</v>
      </c>
      <c r="H378" s="4">
        <v>4</v>
      </c>
      <c r="I378" s="4">
        <v>50</v>
      </c>
      <c r="J378" s="4">
        <v>200</v>
      </c>
      <c r="K378" s="4" t="str" cm="1">
        <f t="array" ref="K378">_xlfn.IFS(AND(Table156[[#This Row],[Total Amount]]&gt;=1500),"Critical",AND(Table156[[#This Row],[Total Amount]]&gt;=1000),"High",TRUE,"Normal")</f>
        <v>Normal</v>
      </c>
      <c r="L378" s="4" t="str">
        <f>IF(Table156[[#This Row],[Total Amount]]&gt;=1000,"High",(IF(Table156[[#This Row],[Total Amount]]&gt;=500,"Medium","Low")))</f>
        <v>Low</v>
      </c>
      <c r="M378" s="4" t="str" cm="1">
        <f t="array" ref="M37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78" s="4" cm="1">
        <f t="array" ref="N37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378" s="4">
        <f>Table156[[#This Row],[Total Amount]]-Table156[[#This Row],[Discount Amount]]</f>
        <v>160</v>
      </c>
      <c r="P378" s="4" t="str">
        <f>IF(Table156[[#This Row],[Total Amount]]&gt;=1000,"High","Low")</f>
        <v>Low</v>
      </c>
      <c r="Q378" s="4" t="str" cm="1">
        <f t="array" ref="Q378">_xlfn.IFS(AND(Table156[[#This Row],[Total Amount]]&gt;=1500,"Critical"),AND(Table156[[#This Row],[Total Amount]]&gt;=1000,"High"),TRUE,"Normal")</f>
        <v>Normal</v>
      </c>
      <c r="R378" s="4">
        <f>COUNTIF(Table156[Gender],"Male")</f>
        <v>490</v>
      </c>
    </row>
    <row r="379" spans="1:18" x14ac:dyDescent="0.35">
      <c r="A379" s="4">
        <v>378</v>
      </c>
      <c r="B379" s="5">
        <v>45105</v>
      </c>
      <c r="C379" s="4" t="s">
        <v>391</v>
      </c>
      <c r="D379" s="4" t="s">
        <v>10</v>
      </c>
      <c r="E379" s="4">
        <v>50</v>
      </c>
      <c r="F379" s="4" t="str">
        <f>IF(Table156[[#This Row],[Age]]&lt;=19,"Teenager",IF(Table156[[#This Row],[Age]]&lt;=40,"Median","Old"))</f>
        <v>Old</v>
      </c>
      <c r="G379" s="4" t="s">
        <v>11</v>
      </c>
      <c r="H379" s="4">
        <v>1</v>
      </c>
      <c r="I379" s="4">
        <v>300</v>
      </c>
      <c r="J379" s="4">
        <v>300</v>
      </c>
      <c r="K379" s="4" t="str" cm="1">
        <f t="array" ref="K379">_xlfn.IFS(AND(Table156[[#This Row],[Total Amount]]&gt;=1500),"Critical",AND(Table156[[#This Row],[Total Amount]]&gt;=1000),"High",TRUE,"Normal")</f>
        <v>Normal</v>
      </c>
      <c r="L379" s="4" t="str">
        <f>IF(Table156[[#This Row],[Total Amount]]&gt;=1000,"High",(IF(Table156[[#This Row],[Total Amount]]&gt;=500,"Medium","Low")))</f>
        <v>Low</v>
      </c>
      <c r="M379" s="4" t="str" cm="1">
        <f t="array" ref="M37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79" s="4" cm="1">
        <f t="array" ref="N37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379" s="4">
        <f>Table156[[#This Row],[Total Amount]]-Table156[[#This Row],[Discount Amount]]</f>
        <v>270</v>
      </c>
      <c r="P379" s="4" t="str">
        <f>IF(Table156[[#This Row],[Total Amount]]&gt;=1000,"High","Low")</f>
        <v>Low</v>
      </c>
      <c r="Q379" s="4" t="str" cm="1">
        <f t="array" ref="Q379">_xlfn.IFS(AND(Table156[[#This Row],[Total Amount]]&gt;=1500,"Critical"),AND(Table156[[#This Row],[Total Amount]]&gt;=1000,"High"),TRUE,"Normal")</f>
        <v>Normal</v>
      </c>
      <c r="R379" s="4">
        <f>COUNTIF(Table156[Gender],"Male")</f>
        <v>490</v>
      </c>
    </row>
    <row r="380" spans="1:18" x14ac:dyDescent="0.35">
      <c r="A380" s="4">
        <v>379</v>
      </c>
      <c r="B380" s="5">
        <v>44962</v>
      </c>
      <c r="C380" s="4" t="s">
        <v>392</v>
      </c>
      <c r="D380" s="4" t="s">
        <v>13</v>
      </c>
      <c r="E380" s="4">
        <v>47</v>
      </c>
      <c r="F380" s="4" t="str">
        <f>IF(Table156[[#This Row],[Age]]&lt;=19,"Teenager",IF(Table156[[#This Row],[Age]]&lt;=40,"Median","Old"))</f>
        <v>Old</v>
      </c>
      <c r="G380" s="4" t="s">
        <v>14</v>
      </c>
      <c r="H380" s="4">
        <v>1</v>
      </c>
      <c r="I380" s="4">
        <v>25</v>
      </c>
      <c r="J380" s="4">
        <v>25</v>
      </c>
      <c r="K380" s="4" t="str" cm="1">
        <f t="array" ref="K380">_xlfn.IFS(AND(Table156[[#This Row],[Total Amount]]&gt;=1500),"Critical",AND(Table156[[#This Row],[Total Amount]]&gt;=1000),"High",TRUE,"Normal")</f>
        <v>Normal</v>
      </c>
      <c r="L380" s="4" t="str">
        <f>IF(Table156[[#This Row],[Total Amount]]&gt;=1000,"High",(IF(Table156[[#This Row],[Total Amount]]&gt;=500,"Medium","Low")))</f>
        <v>Low</v>
      </c>
      <c r="M380" s="4" t="str" cm="1">
        <f t="array" ref="M38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80" s="4" cm="1">
        <f t="array" ref="N38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380" s="4">
        <f>Table156[[#This Row],[Total Amount]]-Table156[[#This Row],[Discount Amount]]</f>
        <v>20</v>
      </c>
      <c r="P380" s="4" t="str">
        <f>IF(Table156[[#This Row],[Total Amount]]&gt;=1000,"High","Low")</f>
        <v>Low</v>
      </c>
      <c r="Q380" s="4" t="str" cm="1">
        <f t="array" ref="Q380">_xlfn.IFS(AND(Table156[[#This Row],[Total Amount]]&gt;=1500,"Critical"),AND(Table156[[#This Row],[Total Amount]]&gt;=1000,"High"),TRUE,"Normal")</f>
        <v>Normal</v>
      </c>
      <c r="R380" s="4">
        <f>COUNTIF(Table156[Gender],"Male")</f>
        <v>490</v>
      </c>
    </row>
    <row r="381" spans="1:18" x14ac:dyDescent="0.35">
      <c r="A381" s="4">
        <v>380</v>
      </c>
      <c r="B381" s="5">
        <v>45052</v>
      </c>
      <c r="C381" s="4" t="s">
        <v>393</v>
      </c>
      <c r="D381" s="4" t="s">
        <v>10</v>
      </c>
      <c r="E381" s="4">
        <v>56</v>
      </c>
      <c r="F381" s="4" t="str">
        <f>IF(Table156[[#This Row],[Age]]&lt;=19,"Teenager",IF(Table156[[#This Row],[Age]]&lt;=40,"Median","Old"))</f>
        <v>Old</v>
      </c>
      <c r="G381" s="4" t="s">
        <v>16</v>
      </c>
      <c r="H381" s="4">
        <v>2</v>
      </c>
      <c r="I381" s="4">
        <v>300</v>
      </c>
      <c r="J381" s="4">
        <v>600</v>
      </c>
      <c r="K381" s="4" t="str" cm="1">
        <f t="array" ref="K381">_xlfn.IFS(AND(Table156[[#This Row],[Total Amount]]&gt;=1500),"Critical",AND(Table156[[#This Row],[Total Amount]]&gt;=1000),"High",TRUE,"Normal")</f>
        <v>Normal</v>
      </c>
      <c r="L381" s="4" t="str">
        <f>IF(Table156[[#This Row],[Total Amount]]&gt;=1000,"High",(IF(Table156[[#This Row],[Total Amount]]&gt;=500,"Medium","Low")))</f>
        <v>Medium</v>
      </c>
      <c r="M381" s="4" t="str" cm="1">
        <f t="array" ref="M38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81" s="4" cm="1">
        <f t="array" ref="N38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381" s="4">
        <f>Table156[[#This Row],[Total Amount]]-Table156[[#This Row],[Discount Amount]]</f>
        <v>540</v>
      </c>
      <c r="P381" s="4" t="str">
        <f>IF(Table156[[#This Row],[Total Amount]]&gt;=1000,"High","Low")</f>
        <v>Low</v>
      </c>
      <c r="Q381" s="4" t="str" cm="1">
        <f t="array" ref="Q381">_xlfn.IFS(AND(Table156[[#This Row],[Total Amount]]&gt;=1500,"Critical"),AND(Table156[[#This Row],[Total Amount]]&gt;=1000,"High"),TRUE,"Normal")</f>
        <v>Normal</v>
      </c>
      <c r="R381" s="4">
        <f>COUNTIF(Table156[Gender],"Male")</f>
        <v>490</v>
      </c>
    </row>
    <row r="382" spans="1:18" x14ac:dyDescent="0.35">
      <c r="A382" s="4">
        <v>381</v>
      </c>
      <c r="B382" s="5">
        <v>45116</v>
      </c>
      <c r="C382" s="4" t="s">
        <v>394</v>
      </c>
      <c r="D382" s="4" t="s">
        <v>13</v>
      </c>
      <c r="E382" s="4">
        <v>44</v>
      </c>
      <c r="F382" s="4" t="str">
        <f>IF(Table156[[#This Row],[Age]]&lt;=19,"Teenager",IF(Table156[[#This Row],[Age]]&lt;=40,"Median","Old"))</f>
        <v>Old</v>
      </c>
      <c r="G382" s="4" t="s">
        <v>14</v>
      </c>
      <c r="H382" s="4">
        <v>4</v>
      </c>
      <c r="I382" s="4">
        <v>25</v>
      </c>
      <c r="J382" s="4">
        <v>100</v>
      </c>
      <c r="K382" s="4" t="str" cm="1">
        <f t="array" ref="K382">_xlfn.IFS(AND(Table156[[#This Row],[Total Amount]]&gt;=1500),"Critical",AND(Table156[[#This Row],[Total Amount]]&gt;=1000),"High",TRUE,"Normal")</f>
        <v>Normal</v>
      </c>
      <c r="L382" s="4" t="str">
        <f>IF(Table156[[#This Row],[Total Amount]]&gt;=1000,"High",(IF(Table156[[#This Row],[Total Amount]]&gt;=500,"Medium","Low")))</f>
        <v>Low</v>
      </c>
      <c r="M382" s="4" t="str" cm="1">
        <f t="array" ref="M38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82" s="4" cm="1">
        <f t="array" ref="N38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382" s="4">
        <f>Table156[[#This Row],[Total Amount]]-Table156[[#This Row],[Discount Amount]]</f>
        <v>80</v>
      </c>
      <c r="P382" s="4" t="str">
        <f>IF(Table156[[#This Row],[Total Amount]]&gt;=1000,"High","Low")</f>
        <v>Low</v>
      </c>
      <c r="Q382" s="4" t="str" cm="1">
        <f t="array" ref="Q382">_xlfn.IFS(AND(Table156[[#This Row],[Total Amount]]&gt;=1500,"Critical"),AND(Table156[[#This Row],[Total Amount]]&gt;=1000,"High"),TRUE,"Normal")</f>
        <v>Normal</v>
      </c>
      <c r="R382" s="4">
        <f>COUNTIF(Table156[Gender],"Male")</f>
        <v>490</v>
      </c>
    </row>
    <row r="383" spans="1:18" x14ac:dyDescent="0.35">
      <c r="A383" s="4">
        <v>382</v>
      </c>
      <c r="B383" s="5">
        <v>45072</v>
      </c>
      <c r="C383" s="4" t="s">
        <v>395</v>
      </c>
      <c r="D383" s="4" t="s">
        <v>13</v>
      </c>
      <c r="E383" s="4">
        <v>53</v>
      </c>
      <c r="F383" s="4" t="str">
        <f>IF(Table156[[#This Row],[Age]]&lt;=19,"Teenager",IF(Table156[[#This Row],[Age]]&lt;=40,"Median","Old"))</f>
        <v>Old</v>
      </c>
      <c r="G383" s="4" t="s">
        <v>14</v>
      </c>
      <c r="H383" s="4">
        <v>2</v>
      </c>
      <c r="I383" s="4">
        <v>500</v>
      </c>
      <c r="J383" s="4">
        <v>1000</v>
      </c>
      <c r="K383" s="4" t="str" cm="1">
        <f t="array" ref="K383">_xlfn.IFS(AND(Table156[[#This Row],[Total Amount]]&gt;=1500),"Critical",AND(Table156[[#This Row],[Total Amount]]&gt;=1000),"High",TRUE,"Normal")</f>
        <v>High</v>
      </c>
      <c r="L383" s="4" t="str">
        <f>IF(Table156[[#This Row],[Total Amount]]&gt;=1000,"High",(IF(Table156[[#This Row],[Total Amount]]&gt;=500,"Medium","Low")))</f>
        <v>High</v>
      </c>
      <c r="M383" s="4" t="str" cm="1">
        <f t="array" ref="M38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83" s="4" cm="1">
        <f t="array" ref="N38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383" s="4">
        <f>Table156[[#This Row],[Total Amount]]-Table156[[#This Row],[Discount Amount]]</f>
        <v>800</v>
      </c>
      <c r="P383" s="4" t="str">
        <f>IF(Table156[[#This Row],[Total Amount]]&gt;=1000,"High","Low")</f>
        <v>High</v>
      </c>
      <c r="Q383" s="4" t="str" cm="1">
        <f t="array" ref="Q383">_xlfn.IFS(AND(Table156[[#This Row],[Total Amount]]&gt;=1500,"Critical"),AND(Table156[[#This Row],[Total Amount]]&gt;=1000,"High"),TRUE,"Normal")</f>
        <v>Normal</v>
      </c>
      <c r="R383" s="4">
        <f>COUNTIF(Table156[Gender],"Male")</f>
        <v>490</v>
      </c>
    </row>
    <row r="384" spans="1:18" x14ac:dyDescent="0.35">
      <c r="A384" s="4">
        <v>383</v>
      </c>
      <c r="B384" s="5">
        <v>45007</v>
      </c>
      <c r="C384" s="4" t="s">
        <v>396</v>
      </c>
      <c r="D384" s="4" t="s">
        <v>13</v>
      </c>
      <c r="E384" s="4">
        <v>46</v>
      </c>
      <c r="F384" s="4" t="str">
        <f>IF(Table156[[#This Row],[Age]]&lt;=19,"Teenager",IF(Table156[[#This Row],[Age]]&lt;=40,"Median","Old"))</f>
        <v>Old</v>
      </c>
      <c r="G384" s="4" t="s">
        <v>11</v>
      </c>
      <c r="H384" s="4">
        <v>3</v>
      </c>
      <c r="I384" s="4">
        <v>30</v>
      </c>
      <c r="J384" s="4">
        <v>90</v>
      </c>
      <c r="K384" s="4" t="str" cm="1">
        <f t="array" ref="K384">_xlfn.IFS(AND(Table156[[#This Row],[Total Amount]]&gt;=1500),"Critical",AND(Table156[[#This Row],[Total Amount]]&gt;=1000),"High",TRUE,"Normal")</f>
        <v>Normal</v>
      </c>
      <c r="L384" s="4" t="str">
        <f>IF(Table156[[#This Row],[Total Amount]]&gt;=1000,"High",(IF(Table156[[#This Row],[Total Amount]]&gt;=500,"Medium","Low")))</f>
        <v>Low</v>
      </c>
      <c r="M384" s="4" t="str" cm="1">
        <f t="array" ref="M38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84" s="4" cm="1">
        <f t="array" ref="N38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384" s="4">
        <f>Table156[[#This Row],[Total Amount]]-Table156[[#This Row],[Discount Amount]]</f>
        <v>72</v>
      </c>
      <c r="P384" s="4" t="str">
        <f>IF(Table156[[#This Row],[Total Amount]]&gt;=1000,"High","Low")</f>
        <v>Low</v>
      </c>
      <c r="Q384" s="4" t="str" cm="1">
        <f t="array" ref="Q384">_xlfn.IFS(AND(Table156[[#This Row],[Total Amount]]&gt;=1500,"Critical"),AND(Table156[[#This Row],[Total Amount]]&gt;=1000,"High"),TRUE,"Normal")</f>
        <v>Normal</v>
      </c>
      <c r="R384" s="4">
        <f>COUNTIF(Table156[Gender],"Male")</f>
        <v>490</v>
      </c>
    </row>
    <row r="385" spans="1:18" x14ac:dyDescent="0.35">
      <c r="A385" s="4">
        <v>384</v>
      </c>
      <c r="B385" s="5">
        <v>45151</v>
      </c>
      <c r="C385" s="4" t="s">
        <v>397</v>
      </c>
      <c r="D385" s="4" t="s">
        <v>10</v>
      </c>
      <c r="E385" s="4">
        <v>55</v>
      </c>
      <c r="F385" s="4" t="str">
        <f>IF(Table156[[#This Row],[Age]]&lt;=19,"Teenager",IF(Table156[[#This Row],[Age]]&lt;=40,"Median","Old"))</f>
        <v>Old</v>
      </c>
      <c r="G385" s="4" t="s">
        <v>14</v>
      </c>
      <c r="H385" s="4">
        <v>1</v>
      </c>
      <c r="I385" s="4">
        <v>500</v>
      </c>
      <c r="J385" s="4">
        <v>500</v>
      </c>
      <c r="K385" s="4" t="str" cm="1">
        <f t="array" ref="K385">_xlfn.IFS(AND(Table156[[#This Row],[Total Amount]]&gt;=1500),"Critical",AND(Table156[[#This Row],[Total Amount]]&gt;=1000),"High",TRUE,"Normal")</f>
        <v>Normal</v>
      </c>
      <c r="L385" s="4" t="str">
        <f>IF(Table156[[#This Row],[Total Amount]]&gt;=1000,"High",(IF(Table156[[#This Row],[Total Amount]]&gt;=500,"Medium","Low")))</f>
        <v>Medium</v>
      </c>
      <c r="M385" s="4" t="str" cm="1">
        <f t="array" ref="M38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85" s="4" cm="1">
        <f t="array" ref="N38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385" s="4">
        <f>Table156[[#This Row],[Total Amount]]-Table156[[#This Row],[Discount Amount]]</f>
        <v>450</v>
      </c>
      <c r="P385" s="4" t="str">
        <f>IF(Table156[[#This Row],[Total Amount]]&gt;=1000,"High","Low")</f>
        <v>Low</v>
      </c>
      <c r="Q385" s="4" t="str" cm="1">
        <f t="array" ref="Q385">_xlfn.IFS(AND(Table156[[#This Row],[Total Amount]]&gt;=1500,"Critical"),AND(Table156[[#This Row],[Total Amount]]&gt;=1000,"High"),TRUE,"Normal")</f>
        <v>Normal</v>
      </c>
      <c r="R385" s="4">
        <f>COUNTIF(Table156[Gender],"Male")</f>
        <v>490</v>
      </c>
    </row>
    <row r="386" spans="1:18" x14ac:dyDescent="0.35">
      <c r="A386" s="4">
        <v>385</v>
      </c>
      <c r="B386" s="5">
        <v>45205</v>
      </c>
      <c r="C386" s="4" t="s">
        <v>398</v>
      </c>
      <c r="D386" s="4" t="s">
        <v>10</v>
      </c>
      <c r="E386" s="4">
        <v>50</v>
      </c>
      <c r="F386" s="4" t="str">
        <f>IF(Table156[[#This Row],[Age]]&lt;=19,"Teenager",IF(Table156[[#This Row],[Age]]&lt;=40,"Median","Old"))</f>
        <v>Old</v>
      </c>
      <c r="G386" s="4" t="s">
        <v>16</v>
      </c>
      <c r="H386" s="4">
        <v>3</v>
      </c>
      <c r="I386" s="4">
        <v>500</v>
      </c>
      <c r="J386" s="4">
        <v>1500</v>
      </c>
      <c r="K386" s="4" t="str" cm="1">
        <f t="array" ref="K386">_xlfn.IFS(AND(Table156[[#This Row],[Total Amount]]&gt;=1500),"Critical",AND(Table156[[#This Row],[Total Amount]]&gt;=1000),"High",TRUE,"Normal")</f>
        <v>Critical</v>
      </c>
      <c r="L386" s="4" t="str">
        <f>IF(Table156[[#This Row],[Total Amount]]&gt;=1000,"High",(IF(Table156[[#This Row],[Total Amount]]&gt;=500,"Medium","Low")))</f>
        <v>High</v>
      </c>
      <c r="M386" s="4" t="str" cm="1">
        <f t="array" ref="M38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86" s="4" cm="1">
        <f t="array" ref="N38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386" s="4">
        <f>Table156[[#This Row],[Total Amount]]-Table156[[#This Row],[Discount Amount]]</f>
        <v>1350</v>
      </c>
      <c r="P386" s="4" t="str">
        <f>IF(Table156[[#This Row],[Total Amount]]&gt;=1000,"High","Low")</f>
        <v>High</v>
      </c>
      <c r="Q386" s="4" t="b" cm="1">
        <f t="array" ref="Q386">_xlfn.IFS(AND(Table156[[#This Row],[Total Amount]]&gt;=1500,"Critical"),AND(Table156[[#This Row],[Total Amount]]&gt;=1000,"High"),TRUE,"Normal")</f>
        <v>1</v>
      </c>
      <c r="R386" s="4">
        <f>COUNTIF(Table156[Gender],"Male")</f>
        <v>490</v>
      </c>
    </row>
    <row r="387" spans="1:18" x14ac:dyDescent="0.35">
      <c r="A387" s="4">
        <v>386</v>
      </c>
      <c r="B387" s="5">
        <v>45287</v>
      </c>
      <c r="C387" s="4" t="s">
        <v>399</v>
      </c>
      <c r="D387" s="4" t="s">
        <v>13</v>
      </c>
      <c r="E387" s="4">
        <v>54</v>
      </c>
      <c r="F387" s="4" t="str">
        <f>IF(Table156[[#This Row],[Age]]&lt;=19,"Teenager",IF(Table156[[#This Row],[Age]]&lt;=40,"Median","Old"))</f>
        <v>Old</v>
      </c>
      <c r="G387" s="4" t="s">
        <v>16</v>
      </c>
      <c r="H387" s="4">
        <v>2</v>
      </c>
      <c r="I387" s="4">
        <v>300</v>
      </c>
      <c r="J387" s="4">
        <v>600</v>
      </c>
      <c r="K387" s="4" t="str" cm="1">
        <f t="array" ref="K387">_xlfn.IFS(AND(Table156[[#This Row],[Total Amount]]&gt;=1500),"Critical",AND(Table156[[#This Row],[Total Amount]]&gt;=1000),"High",TRUE,"Normal")</f>
        <v>Normal</v>
      </c>
      <c r="L387" s="4" t="str">
        <f>IF(Table156[[#This Row],[Total Amount]]&gt;=1000,"High",(IF(Table156[[#This Row],[Total Amount]]&gt;=500,"Medium","Low")))</f>
        <v>Medium</v>
      </c>
      <c r="M387" s="4" t="str" cm="1">
        <f t="array" ref="M38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87" s="4" cm="1">
        <f t="array" ref="N38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387" s="4">
        <f>Table156[[#This Row],[Total Amount]]-Table156[[#This Row],[Discount Amount]]</f>
        <v>480</v>
      </c>
      <c r="P387" s="4" t="str">
        <f>IF(Table156[[#This Row],[Total Amount]]&gt;=1000,"High","Low")</f>
        <v>Low</v>
      </c>
      <c r="Q387" s="4" t="str" cm="1">
        <f t="array" ref="Q387">_xlfn.IFS(AND(Table156[[#This Row],[Total Amount]]&gt;=1500,"Critical"),AND(Table156[[#This Row],[Total Amount]]&gt;=1000,"High"),TRUE,"Normal")</f>
        <v>Normal</v>
      </c>
      <c r="R387" s="4">
        <f>COUNTIF(Table156[Gender],"Male")</f>
        <v>490</v>
      </c>
    </row>
    <row r="388" spans="1:18" x14ac:dyDescent="0.35">
      <c r="A388" s="4">
        <v>387</v>
      </c>
      <c r="B388" s="5">
        <v>45081</v>
      </c>
      <c r="C388" s="4" t="s">
        <v>400</v>
      </c>
      <c r="D388" s="4" t="s">
        <v>10</v>
      </c>
      <c r="E388" s="4">
        <v>44</v>
      </c>
      <c r="F388" s="4" t="str">
        <f>IF(Table156[[#This Row],[Age]]&lt;=19,"Teenager",IF(Table156[[#This Row],[Age]]&lt;=40,"Median","Old"))</f>
        <v>Old</v>
      </c>
      <c r="G388" s="4" t="s">
        <v>11</v>
      </c>
      <c r="H388" s="4">
        <v>1</v>
      </c>
      <c r="I388" s="4">
        <v>30</v>
      </c>
      <c r="J388" s="4">
        <v>30</v>
      </c>
      <c r="K388" s="4" t="str" cm="1">
        <f t="array" ref="K388">_xlfn.IFS(AND(Table156[[#This Row],[Total Amount]]&gt;=1500),"Critical",AND(Table156[[#This Row],[Total Amount]]&gt;=1000),"High",TRUE,"Normal")</f>
        <v>Normal</v>
      </c>
      <c r="L388" s="4" t="str">
        <f>IF(Table156[[#This Row],[Total Amount]]&gt;=1000,"High",(IF(Table156[[#This Row],[Total Amount]]&gt;=500,"Medium","Low")))</f>
        <v>Low</v>
      </c>
      <c r="M388" s="4" t="str" cm="1">
        <f t="array" ref="M38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88" s="4" cm="1">
        <f t="array" ref="N38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388" s="4">
        <f>Table156[[#This Row],[Total Amount]]-Table156[[#This Row],[Discount Amount]]</f>
        <v>27</v>
      </c>
      <c r="P388" s="4" t="str">
        <f>IF(Table156[[#This Row],[Total Amount]]&gt;=1000,"High","Low")</f>
        <v>Low</v>
      </c>
      <c r="Q388" s="4" t="str" cm="1">
        <f t="array" ref="Q388">_xlfn.IFS(AND(Table156[[#This Row],[Total Amount]]&gt;=1500,"Critical"),AND(Table156[[#This Row],[Total Amount]]&gt;=1000,"High"),TRUE,"Normal")</f>
        <v>Normal</v>
      </c>
      <c r="R388" s="4">
        <f>COUNTIF(Table156[Gender],"Male")</f>
        <v>490</v>
      </c>
    </row>
    <row r="389" spans="1:18" x14ac:dyDescent="0.35">
      <c r="A389" s="4">
        <v>388</v>
      </c>
      <c r="B389" s="5">
        <v>45240</v>
      </c>
      <c r="C389" s="4" t="s">
        <v>401</v>
      </c>
      <c r="D389" s="4" t="s">
        <v>10</v>
      </c>
      <c r="E389" s="4">
        <v>50</v>
      </c>
      <c r="F389" s="4" t="str">
        <f>IF(Table156[[#This Row],[Age]]&lt;=19,"Teenager",IF(Table156[[#This Row],[Age]]&lt;=40,"Median","Old"))</f>
        <v>Old</v>
      </c>
      <c r="G389" s="4" t="s">
        <v>16</v>
      </c>
      <c r="H389" s="4">
        <v>1</v>
      </c>
      <c r="I389" s="4">
        <v>25</v>
      </c>
      <c r="J389" s="4">
        <v>25</v>
      </c>
      <c r="K389" s="4" t="str" cm="1">
        <f t="array" ref="K389">_xlfn.IFS(AND(Table156[[#This Row],[Total Amount]]&gt;=1500),"Critical",AND(Table156[[#This Row],[Total Amount]]&gt;=1000),"High",TRUE,"Normal")</f>
        <v>Normal</v>
      </c>
      <c r="L389" s="4" t="str">
        <f>IF(Table156[[#This Row],[Total Amount]]&gt;=1000,"High",(IF(Table156[[#This Row],[Total Amount]]&gt;=500,"Medium","Low")))</f>
        <v>Low</v>
      </c>
      <c r="M389" s="4" t="str" cm="1">
        <f t="array" ref="M38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89" s="4" cm="1">
        <f t="array" ref="N38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389" s="4">
        <f>Table156[[#This Row],[Total Amount]]-Table156[[#This Row],[Discount Amount]]</f>
        <v>22.5</v>
      </c>
      <c r="P389" s="4" t="str">
        <f>IF(Table156[[#This Row],[Total Amount]]&gt;=1000,"High","Low")</f>
        <v>Low</v>
      </c>
      <c r="Q389" s="4" t="str" cm="1">
        <f t="array" ref="Q389">_xlfn.IFS(AND(Table156[[#This Row],[Total Amount]]&gt;=1500,"Critical"),AND(Table156[[#This Row],[Total Amount]]&gt;=1000,"High"),TRUE,"Normal")</f>
        <v>Normal</v>
      </c>
      <c r="R389" s="4">
        <f>COUNTIF(Table156[Gender],"Male")</f>
        <v>490</v>
      </c>
    </row>
    <row r="390" spans="1:18" x14ac:dyDescent="0.35">
      <c r="A390" s="4">
        <v>389</v>
      </c>
      <c r="B390" s="5">
        <v>45261</v>
      </c>
      <c r="C390" s="4" t="s">
        <v>402</v>
      </c>
      <c r="D390" s="4" t="s">
        <v>10</v>
      </c>
      <c r="E390" s="4">
        <v>21</v>
      </c>
      <c r="F390" s="4" t="str">
        <f>IF(Table156[[#This Row],[Age]]&lt;=19,"Teenager",IF(Table156[[#This Row],[Age]]&lt;=40,"Median","Old"))</f>
        <v>Median</v>
      </c>
      <c r="G390" s="4" t="s">
        <v>14</v>
      </c>
      <c r="H390" s="4">
        <v>2</v>
      </c>
      <c r="I390" s="4">
        <v>25</v>
      </c>
      <c r="J390" s="4">
        <v>50</v>
      </c>
      <c r="K390" s="4" t="str" cm="1">
        <f t="array" ref="K390">_xlfn.IFS(AND(Table156[[#This Row],[Total Amount]]&gt;=1500),"Critical",AND(Table156[[#This Row],[Total Amount]]&gt;=1000),"High",TRUE,"Normal")</f>
        <v>Normal</v>
      </c>
      <c r="L390" s="4" t="str">
        <f>IF(Table156[[#This Row],[Total Amount]]&gt;=1000,"High",(IF(Table156[[#This Row],[Total Amount]]&gt;=500,"Medium","Low")))</f>
        <v>Low</v>
      </c>
      <c r="M390" s="4" t="str" cm="1">
        <f t="array" ref="M39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90" s="4" cm="1">
        <f t="array" ref="N39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90" s="4">
        <f>Table156[[#This Row],[Total Amount]]-Table156[[#This Row],[Discount Amount]]</f>
        <v>50</v>
      </c>
      <c r="P390" s="4" t="str">
        <f>IF(Table156[[#This Row],[Total Amount]]&gt;=1000,"High","Low")</f>
        <v>Low</v>
      </c>
      <c r="Q390" s="4" t="str" cm="1">
        <f t="array" ref="Q390">_xlfn.IFS(AND(Table156[[#This Row],[Total Amount]]&gt;=1500,"Critical"),AND(Table156[[#This Row],[Total Amount]]&gt;=1000,"High"),TRUE,"Normal")</f>
        <v>Normal</v>
      </c>
      <c r="R390" s="4">
        <f>COUNTIF(Table156[Gender],"Male")</f>
        <v>490</v>
      </c>
    </row>
    <row r="391" spans="1:18" x14ac:dyDescent="0.35">
      <c r="A391" s="4">
        <v>390</v>
      </c>
      <c r="B391" s="5">
        <v>45197</v>
      </c>
      <c r="C391" s="4" t="s">
        <v>403</v>
      </c>
      <c r="D391" s="4" t="s">
        <v>10</v>
      </c>
      <c r="E391" s="4">
        <v>39</v>
      </c>
      <c r="F391" s="4" t="str">
        <f>IF(Table156[[#This Row],[Age]]&lt;=19,"Teenager",IF(Table156[[#This Row],[Age]]&lt;=40,"Median","Old"))</f>
        <v>Median</v>
      </c>
      <c r="G391" s="4" t="s">
        <v>16</v>
      </c>
      <c r="H391" s="4">
        <v>2</v>
      </c>
      <c r="I391" s="4">
        <v>50</v>
      </c>
      <c r="J391" s="4">
        <v>100</v>
      </c>
      <c r="K391" s="4" t="str" cm="1">
        <f t="array" ref="K391">_xlfn.IFS(AND(Table156[[#This Row],[Total Amount]]&gt;=1500),"Critical",AND(Table156[[#This Row],[Total Amount]]&gt;=1000),"High",TRUE,"Normal")</f>
        <v>Normal</v>
      </c>
      <c r="L391" s="4" t="str">
        <f>IF(Table156[[#This Row],[Total Amount]]&gt;=1000,"High",(IF(Table156[[#This Row],[Total Amount]]&gt;=500,"Medium","Low")))</f>
        <v>Low</v>
      </c>
      <c r="M391" s="4" t="str" cm="1">
        <f t="array" ref="M39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91" s="4" cm="1">
        <f t="array" ref="N39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391" s="4">
        <f>Table156[[#This Row],[Total Amount]]-Table156[[#This Row],[Discount Amount]]</f>
        <v>90</v>
      </c>
      <c r="P391" s="4" t="str">
        <f>IF(Table156[[#This Row],[Total Amount]]&gt;=1000,"High","Low")</f>
        <v>Low</v>
      </c>
      <c r="Q391" s="4" t="str" cm="1">
        <f t="array" ref="Q391">_xlfn.IFS(AND(Table156[[#This Row],[Total Amount]]&gt;=1500,"Critical"),AND(Table156[[#This Row],[Total Amount]]&gt;=1000,"High"),TRUE,"Normal")</f>
        <v>Normal</v>
      </c>
      <c r="R391" s="4">
        <f>COUNTIF(Table156[Gender],"Male")</f>
        <v>490</v>
      </c>
    </row>
    <row r="392" spans="1:18" x14ac:dyDescent="0.35">
      <c r="A392" s="4">
        <v>391</v>
      </c>
      <c r="B392" s="5">
        <v>44931</v>
      </c>
      <c r="C392" s="4" t="s">
        <v>404</v>
      </c>
      <c r="D392" s="4" t="s">
        <v>10</v>
      </c>
      <c r="E392" s="4">
        <v>19</v>
      </c>
      <c r="F392" s="4" t="str">
        <f>IF(Table156[[#This Row],[Age]]&lt;=19,"Teenager",IF(Table156[[#This Row],[Age]]&lt;=40,"Median","Old"))</f>
        <v>Teenager</v>
      </c>
      <c r="G392" s="4" t="s">
        <v>11</v>
      </c>
      <c r="H392" s="4">
        <v>2</v>
      </c>
      <c r="I392" s="4">
        <v>25</v>
      </c>
      <c r="J392" s="4">
        <v>50</v>
      </c>
      <c r="K392" s="4" t="str" cm="1">
        <f t="array" ref="K392">_xlfn.IFS(AND(Table156[[#This Row],[Total Amount]]&gt;=1500),"Critical",AND(Table156[[#This Row],[Total Amount]]&gt;=1000),"High",TRUE,"Normal")</f>
        <v>Normal</v>
      </c>
      <c r="L392" s="4" t="str">
        <f>IF(Table156[[#This Row],[Total Amount]]&gt;=1000,"High",(IF(Table156[[#This Row],[Total Amount]]&gt;=500,"Medium","Low")))</f>
        <v>Low</v>
      </c>
      <c r="M392" s="4" t="str" cm="1">
        <f t="array" ref="M39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92" s="4" cm="1">
        <f t="array" ref="N39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92" s="4">
        <f>Table156[[#This Row],[Total Amount]]-Table156[[#This Row],[Discount Amount]]</f>
        <v>50</v>
      </c>
      <c r="P392" s="4" t="str">
        <f>IF(Table156[[#This Row],[Total Amount]]&gt;=1000,"High","Low")</f>
        <v>Low</v>
      </c>
      <c r="Q392" s="4" t="str" cm="1">
        <f t="array" ref="Q392">_xlfn.IFS(AND(Table156[[#This Row],[Total Amount]]&gt;=1500,"Critical"),AND(Table156[[#This Row],[Total Amount]]&gt;=1000,"High"),TRUE,"Normal")</f>
        <v>Normal</v>
      </c>
      <c r="R392" s="4">
        <f>COUNTIF(Table156[Gender],"Male")</f>
        <v>490</v>
      </c>
    </row>
    <row r="393" spans="1:18" x14ac:dyDescent="0.35">
      <c r="A393" s="4">
        <v>392</v>
      </c>
      <c r="B393" s="5">
        <v>45268</v>
      </c>
      <c r="C393" s="4" t="s">
        <v>405</v>
      </c>
      <c r="D393" s="4" t="s">
        <v>10</v>
      </c>
      <c r="E393" s="4">
        <v>27</v>
      </c>
      <c r="F393" s="4" t="str">
        <f>IF(Table156[[#This Row],[Age]]&lt;=19,"Teenager",IF(Table156[[#This Row],[Age]]&lt;=40,"Median","Old"))</f>
        <v>Median</v>
      </c>
      <c r="G393" s="4" t="s">
        <v>14</v>
      </c>
      <c r="H393" s="4">
        <v>2</v>
      </c>
      <c r="I393" s="4">
        <v>300</v>
      </c>
      <c r="J393" s="4">
        <v>600</v>
      </c>
      <c r="K393" s="4" t="str" cm="1">
        <f t="array" ref="K393">_xlfn.IFS(AND(Table156[[#This Row],[Total Amount]]&gt;=1500),"Critical",AND(Table156[[#This Row],[Total Amount]]&gt;=1000),"High",TRUE,"Normal")</f>
        <v>Normal</v>
      </c>
      <c r="L393" s="4" t="str">
        <f>IF(Table156[[#This Row],[Total Amount]]&gt;=1000,"High",(IF(Table156[[#This Row],[Total Amount]]&gt;=500,"Medium","Low")))</f>
        <v>Medium</v>
      </c>
      <c r="M393" s="4" t="str" cm="1">
        <f t="array" ref="M39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93" s="4" cm="1">
        <f t="array" ref="N39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393" s="4">
        <f>Table156[[#This Row],[Total Amount]]-Table156[[#This Row],[Discount Amount]]</f>
        <v>510</v>
      </c>
      <c r="P393" s="4" t="str">
        <f>IF(Table156[[#This Row],[Total Amount]]&gt;=1000,"High","Low")</f>
        <v>Low</v>
      </c>
      <c r="Q393" s="4" t="str" cm="1">
        <f t="array" ref="Q393">_xlfn.IFS(AND(Table156[[#This Row],[Total Amount]]&gt;=1500,"Critical"),AND(Table156[[#This Row],[Total Amount]]&gt;=1000,"High"),TRUE,"Normal")</f>
        <v>Normal</v>
      </c>
      <c r="R393" s="4">
        <f>COUNTIF(Table156[Gender],"Male")</f>
        <v>490</v>
      </c>
    </row>
    <row r="394" spans="1:18" x14ac:dyDescent="0.35">
      <c r="A394" s="4">
        <v>393</v>
      </c>
      <c r="B394" s="5">
        <v>45210</v>
      </c>
      <c r="C394" s="4" t="s">
        <v>406</v>
      </c>
      <c r="D394" s="4" t="s">
        <v>13</v>
      </c>
      <c r="E394" s="4">
        <v>22</v>
      </c>
      <c r="F394" s="4" t="str">
        <f>IF(Table156[[#This Row],[Age]]&lt;=19,"Teenager",IF(Table156[[#This Row],[Age]]&lt;=40,"Median","Old"))</f>
        <v>Median</v>
      </c>
      <c r="G394" s="4" t="s">
        <v>11</v>
      </c>
      <c r="H394" s="4">
        <v>2</v>
      </c>
      <c r="I394" s="4">
        <v>500</v>
      </c>
      <c r="J394" s="4">
        <v>1000</v>
      </c>
      <c r="K394" s="4" t="str" cm="1">
        <f t="array" ref="K394">_xlfn.IFS(AND(Table156[[#This Row],[Total Amount]]&gt;=1500),"Critical",AND(Table156[[#This Row],[Total Amount]]&gt;=1000),"High",TRUE,"Normal")</f>
        <v>High</v>
      </c>
      <c r="L394" s="4" t="str">
        <f>IF(Table156[[#This Row],[Total Amount]]&gt;=1000,"High",(IF(Table156[[#This Row],[Total Amount]]&gt;=500,"Medium","Low")))</f>
        <v>High</v>
      </c>
      <c r="M394" s="4" t="str" cm="1">
        <f t="array" ref="M39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94" s="4" cm="1">
        <f t="array" ref="N39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94" s="4">
        <f>Table156[[#This Row],[Total Amount]]-Table156[[#This Row],[Discount Amount]]</f>
        <v>1000</v>
      </c>
      <c r="P394" s="4" t="str">
        <f>IF(Table156[[#This Row],[Total Amount]]&gt;=1000,"High","Low")</f>
        <v>High</v>
      </c>
      <c r="Q394" s="4" t="str" cm="1">
        <f t="array" ref="Q394">_xlfn.IFS(AND(Table156[[#This Row],[Total Amount]]&gt;=1500,"Critical"),AND(Table156[[#This Row],[Total Amount]]&gt;=1000,"High"),TRUE,"Normal")</f>
        <v>Normal</v>
      </c>
      <c r="R394" s="4">
        <f>COUNTIF(Table156[Gender],"Male")</f>
        <v>490</v>
      </c>
    </row>
    <row r="395" spans="1:18" x14ac:dyDescent="0.35">
      <c r="A395" s="4">
        <v>394</v>
      </c>
      <c r="B395" s="5">
        <v>45080</v>
      </c>
      <c r="C395" s="4" t="s">
        <v>407</v>
      </c>
      <c r="D395" s="4" t="s">
        <v>13</v>
      </c>
      <c r="E395" s="4">
        <v>27</v>
      </c>
      <c r="F395" s="4" t="str">
        <f>IF(Table156[[#This Row],[Age]]&lt;=19,"Teenager",IF(Table156[[#This Row],[Age]]&lt;=40,"Median","Old"))</f>
        <v>Median</v>
      </c>
      <c r="G395" s="4" t="s">
        <v>14</v>
      </c>
      <c r="H395" s="4">
        <v>1</v>
      </c>
      <c r="I395" s="4">
        <v>500</v>
      </c>
      <c r="J395" s="4">
        <v>500</v>
      </c>
      <c r="K395" s="4" t="str" cm="1">
        <f t="array" ref="K395">_xlfn.IFS(AND(Table156[[#This Row],[Total Amount]]&gt;=1500),"Critical",AND(Table156[[#This Row],[Total Amount]]&gt;=1000),"High",TRUE,"Normal")</f>
        <v>Normal</v>
      </c>
      <c r="L395" s="4" t="str">
        <f>IF(Table156[[#This Row],[Total Amount]]&gt;=1000,"High",(IF(Table156[[#This Row],[Total Amount]]&gt;=500,"Medium","Low")))</f>
        <v>Medium</v>
      </c>
      <c r="M395" s="4" t="str" cm="1">
        <f t="array" ref="M39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95" s="4" cm="1">
        <f t="array" ref="N39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75</v>
      </c>
      <c r="O395" s="4">
        <f>Table156[[#This Row],[Total Amount]]-Table156[[#This Row],[Discount Amount]]</f>
        <v>425</v>
      </c>
      <c r="P395" s="4" t="str">
        <f>IF(Table156[[#This Row],[Total Amount]]&gt;=1000,"High","Low")</f>
        <v>Low</v>
      </c>
      <c r="Q395" s="4" t="str" cm="1">
        <f t="array" ref="Q395">_xlfn.IFS(AND(Table156[[#This Row],[Total Amount]]&gt;=1500,"Critical"),AND(Table156[[#This Row],[Total Amount]]&gt;=1000,"High"),TRUE,"Normal")</f>
        <v>Normal</v>
      </c>
      <c r="R395" s="4">
        <f>COUNTIF(Table156[Gender],"Male")</f>
        <v>490</v>
      </c>
    </row>
    <row r="396" spans="1:18" x14ac:dyDescent="0.35">
      <c r="A396" s="4">
        <v>395</v>
      </c>
      <c r="B396" s="5">
        <v>45266</v>
      </c>
      <c r="C396" s="4" t="s">
        <v>408</v>
      </c>
      <c r="D396" s="4" t="s">
        <v>10</v>
      </c>
      <c r="E396" s="4">
        <v>50</v>
      </c>
      <c r="F396" s="4" t="str">
        <f>IF(Table156[[#This Row],[Age]]&lt;=19,"Teenager",IF(Table156[[#This Row],[Age]]&lt;=40,"Median","Old"))</f>
        <v>Old</v>
      </c>
      <c r="G396" s="4" t="s">
        <v>16</v>
      </c>
      <c r="H396" s="4">
        <v>2</v>
      </c>
      <c r="I396" s="4">
        <v>500</v>
      </c>
      <c r="J396" s="4">
        <v>1000</v>
      </c>
      <c r="K396" s="4" t="str" cm="1">
        <f t="array" ref="K396">_xlfn.IFS(AND(Table156[[#This Row],[Total Amount]]&gt;=1500),"Critical",AND(Table156[[#This Row],[Total Amount]]&gt;=1000),"High",TRUE,"Normal")</f>
        <v>High</v>
      </c>
      <c r="L396" s="4" t="str">
        <f>IF(Table156[[#This Row],[Total Amount]]&gt;=1000,"High",(IF(Table156[[#This Row],[Total Amount]]&gt;=500,"Medium","Low")))</f>
        <v>High</v>
      </c>
      <c r="M396" s="4" t="str" cm="1">
        <f t="array" ref="M39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96" s="4" cm="1">
        <f t="array" ref="N39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396" s="4">
        <f>Table156[[#This Row],[Total Amount]]-Table156[[#This Row],[Discount Amount]]</f>
        <v>900</v>
      </c>
      <c r="P396" s="4" t="str">
        <f>IF(Table156[[#This Row],[Total Amount]]&gt;=1000,"High","Low")</f>
        <v>High</v>
      </c>
      <c r="Q396" s="4" t="str" cm="1">
        <f t="array" ref="Q396">_xlfn.IFS(AND(Table156[[#This Row],[Total Amount]]&gt;=1500,"Critical"),AND(Table156[[#This Row],[Total Amount]]&gt;=1000,"High"),TRUE,"Normal")</f>
        <v>Normal</v>
      </c>
      <c r="R396" s="4">
        <f>COUNTIF(Table156[Gender],"Male")</f>
        <v>490</v>
      </c>
    </row>
    <row r="397" spans="1:18" x14ac:dyDescent="0.35">
      <c r="A397" s="4">
        <v>396</v>
      </c>
      <c r="B397" s="5">
        <v>44980</v>
      </c>
      <c r="C397" s="4" t="s">
        <v>409</v>
      </c>
      <c r="D397" s="4" t="s">
        <v>13</v>
      </c>
      <c r="E397" s="4">
        <v>55</v>
      </c>
      <c r="F397" s="4" t="str">
        <f>IF(Table156[[#This Row],[Age]]&lt;=19,"Teenager",IF(Table156[[#This Row],[Age]]&lt;=40,"Median","Old"))</f>
        <v>Old</v>
      </c>
      <c r="G397" s="4" t="s">
        <v>11</v>
      </c>
      <c r="H397" s="4">
        <v>1</v>
      </c>
      <c r="I397" s="4">
        <v>30</v>
      </c>
      <c r="J397" s="4">
        <v>30</v>
      </c>
      <c r="K397" s="4" t="str" cm="1">
        <f t="array" ref="K397">_xlfn.IFS(AND(Table156[[#This Row],[Total Amount]]&gt;=1500),"Critical",AND(Table156[[#This Row],[Total Amount]]&gt;=1000),"High",TRUE,"Normal")</f>
        <v>Normal</v>
      </c>
      <c r="L397" s="4" t="str">
        <f>IF(Table156[[#This Row],[Total Amount]]&gt;=1000,"High",(IF(Table156[[#This Row],[Total Amount]]&gt;=500,"Medium","Low")))</f>
        <v>Low</v>
      </c>
      <c r="M397" s="4" t="str" cm="1">
        <f t="array" ref="M39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97" s="4" cm="1">
        <f t="array" ref="N39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397" s="4">
        <f>Table156[[#This Row],[Total Amount]]-Table156[[#This Row],[Discount Amount]]</f>
        <v>24</v>
      </c>
      <c r="P397" s="4" t="str">
        <f>IF(Table156[[#This Row],[Total Amount]]&gt;=1000,"High","Low")</f>
        <v>Low</v>
      </c>
      <c r="Q397" s="4" t="str" cm="1">
        <f t="array" ref="Q397">_xlfn.IFS(AND(Table156[[#This Row],[Total Amount]]&gt;=1500,"Critical"),AND(Table156[[#This Row],[Total Amount]]&gt;=1000,"High"),TRUE,"Normal")</f>
        <v>Normal</v>
      </c>
      <c r="R397" s="4">
        <f>COUNTIF(Table156[Gender],"Male")</f>
        <v>490</v>
      </c>
    </row>
    <row r="398" spans="1:18" x14ac:dyDescent="0.35">
      <c r="A398" s="4">
        <v>397</v>
      </c>
      <c r="B398" s="5">
        <v>44995</v>
      </c>
      <c r="C398" s="4" t="s">
        <v>410</v>
      </c>
      <c r="D398" s="4" t="s">
        <v>13</v>
      </c>
      <c r="E398" s="4">
        <v>30</v>
      </c>
      <c r="F398" s="4" t="str">
        <f>IF(Table156[[#This Row],[Age]]&lt;=19,"Teenager",IF(Table156[[#This Row],[Age]]&lt;=40,"Median","Old"))</f>
        <v>Median</v>
      </c>
      <c r="G398" s="4" t="s">
        <v>11</v>
      </c>
      <c r="H398" s="4">
        <v>1</v>
      </c>
      <c r="I398" s="4">
        <v>25</v>
      </c>
      <c r="J398" s="4">
        <v>25</v>
      </c>
      <c r="K398" s="4" t="str" cm="1">
        <f t="array" ref="K398">_xlfn.IFS(AND(Table156[[#This Row],[Total Amount]]&gt;=1500),"Critical",AND(Table156[[#This Row],[Total Amount]]&gt;=1000),"High",TRUE,"Normal")</f>
        <v>Normal</v>
      </c>
      <c r="L398" s="4" t="str">
        <f>IF(Table156[[#This Row],[Total Amount]]&gt;=1000,"High",(IF(Table156[[#This Row],[Total Amount]]&gt;=500,"Medium","Low")))</f>
        <v>Low</v>
      </c>
      <c r="M398" s="4" t="str" cm="1">
        <f t="array" ref="M39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98" s="4" cm="1">
        <f t="array" ref="N39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3.75</v>
      </c>
      <c r="O398" s="4">
        <f>Table156[[#This Row],[Total Amount]]-Table156[[#This Row],[Discount Amount]]</f>
        <v>21.25</v>
      </c>
      <c r="P398" s="4" t="str">
        <f>IF(Table156[[#This Row],[Total Amount]]&gt;=1000,"High","Low")</f>
        <v>Low</v>
      </c>
      <c r="Q398" s="4" t="str" cm="1">
        <f t="array" ref="Q398">_xlfn.IFS(AND(Table156[[#This Row],[Total Amount]]&gt;=1500,"Critical"),AND(Table156[[#This Row],[Total Amount]]&gt;=1000,"High"),TRUE,"Normal")</f>
        <v>Normal</v>
      </c>
      <c r="R398" s="4">
        <f>COUNTIF(Table156[Gender],"Male")</f>
        <v>490</v>
      </c>
    </row>
    <row r="399" spans="1:18" x14ac:dyDescent="0.35">
      <c r="A399" s="4">
        <v>398</v>
      </c>
      <c r="B399" s="5">
        <v>45062</v>
      </c>
      <c r="C399" s="4" t="s">
        <v>411</v>
      </c>
      <c r="D399" s="4" t="s">
        <v>13</v>
      </c>
      <c r="E399" s="4">
        <v>48</v>
      </c>
      <c r="F399" s="4" t="str">
        <f>IF(Table156[[#This Row],[Age]]&lt;=19,"Teenager",IF(Table156[[#This Row],[Age]]&lt;=40,"Median","Old"))</f>
        <v>Old</v>
      </c>
      <c r="G399" s="4" t="s">
        <v>14</v>
      </c>
      <c r="H399" s="4">
        <v>2</v>
      </c>
      <c r="I399" s="4">
        <v>300</v>
      </c>
      <c r="J399" s="4">
        <v>600</v>
      </c>
      <c r="K399" s="4" t="str" cm="1">
        <f t="array" ref="K399">_xlfn.IFS(AND(Table156[[#This Row],[Total Amount]]&gt;=1500),"Critical",AND(Table156[[#This Row],[Total Amount]]&gt;=1000),"High",TRUE,"Normal")</f>
        <v>Normal</v>
      </c>
      <c r="L399" s="4" t="str">
        <f>IF(Table156[[#This Row],[Total Amount]]&gt;=1000,"High",(IF(Table156[[#This Row],[Total Amount]]&gt;=500,"Medium","Low")))</f>
        <v>Medium</v>
      </c>
      <c r="M399" s="4" t="str" cm="1">
        <f t="array" ref="M39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99" s="4" cm="1">
        <f t="array" ref="N39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399" s="4">
        <f>Table156[[#This Row],[Total Amount]]-Table156[[#This Row],[Discount Amount]]</f>
        <v>480</v>
      </c>
      <c r="P399" s="4" t="str">
        <f>IF(Table156[[#This Row],[Total Amount]]&gt;=1000,"High","Low")</f>
        <v>Low</v>
      </c>
      <c r="Q399" s="4" t="str" cm="1">
        <f t="array" ref="Q399">_xlfn.IFS(AND(Table156[[#This Row],[Total Amount]]&gt;=1500,"Critical"),AND(Table156[[#This Row],[Total Amount]]&gt;=1000,"High"),TRUE,"Normal")</f>
        <v>Normal</v>
      </c>
      <c r="R399" s="4">
        <f>COUNTIF(Table156[Gender],"Male")</f>
        <v>490</v>
      </c>
    </row>
    <row r="400" spans="1:18" x14ac:dyDescent="0.35">
      <c r="A400" s="4">
        <v>399</v>
      </c>
      <c r="B400" s="5">
        <v>44986</v>
      </c>
      <c r="C400" s="4" t="s">
        <v>412</v>
      </c>
      <c r="D400" s="4" t="s">
        <v>13</v>
      </c>
      <c r="E400" s="4">
        <v>64</v>
      </c>
      <c r="F400" s="4" t="str">
        <f>IF(Table156[[#This Row],[Age]]&lt;=19,"Teenager",IF(Table156[[#This Row],[Age]]&lt;=40,"Median","Old"))</f>
        <v>Old</v>
      </c>
      <c r="G400" s="4" t="s">
        <v>11</v>
      </c>
      <c r="H400" s="4">
        <v>2</v>
      </c>
      <c r="I400" s="4">
        <v>30</v>
      </c>
      <c r="J400" s="4">
        <v>60</v>
      </c>
      <c r="K400" s="4" t="str" cm="1">
        <f t="array" ref="K400">_xlfn.IFS(AND(Table156[[#This Row],[Total Amount]]&gt;=1500),"Critical",AND(Table156[[#This Row],[Total Amount]]&gt;=1000),"High",TRUE,"Normal")</f>
        <v>Normal</v>
      </c>
      <c r="L400" s="4" t="str">
        <f>IF(Table156[[#This Row],[Total Amount]]&gt;=1000,"High",(IF(Table156[[#This Row],[Total Amount]]&gt;=500,"Medium","Low")))</f>
        <v>Low</v>
      </c>
      <c r="M400" s="4" t="str" cm="1">
        <f t="array" ref="M40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00" s="4" cm="1">
        <f t="array" ref="N40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400" s="4">
        <f>Table156[[#This Row],[Total Amount]]-Table156[[#This Row],[Discount Amount]]</f>
        <v>48</v>
      </c>
      <c r="P400" s="4" t="str">
        <f>IF(Table156[[#This Row],[Total Amount]]&gt;=1000,"High","Low")</f>
        <v>Low</v>
      </c>
      <c r="Q400" s="4" t="str" cm="1">
        <f t="array" ref="Q400">_xlfn.IFS(AND(Table156[[#This Row],[Total Amount]]&gt;=1500,"Critical"),AND(Table156[[#This Row],[Total Amount]]&gt;=1000,"High"),TRUE,"Normal")</f>
        <v>Normal</v>
      </c>
      <c r="R400" s="4">
        <f>COUNTIF(Table156[Gender],"Male")</f>
        <v>490</v>
      </c>
    </row>
    <row r="401" spans="1:18" x14ac:dyDescent="0.35">
      <c r="A401" s="4">
        <v>400</v>
      </c>
      <c r="B401" s="5">
        <v>44981</v>
      </c>
      <c r="C401" s="4" t="s">
        <v>413</v>
      </c>
      <c r="D401" s="4" t="s">
        <v>10</v>
      </c>
      <c r="E401" s="4">
        <v>53</v>
      </c>
      <c r="F401" s="4" t="str">
        <f>IF(Table156[[#This Row],[Age]]&lt;=19,"Teenager",IF(Table156[[#This Row],[Age]]&lt;=40,"Median","Old"))</f>
        <v>Old</v>
      </c>
      <c r="G401" s="4" t="s">
        <v>14</v>
      </c>
      <c r="H401" s="4">
        <v>4</v>
      </c>
      <c r="I401" s="4">
        <v>50</v>
      </c>
      <c r="J401" s="4">
        <v>200</v>
      </c>
      <c r="K401" s="4" t="str" cm="1">
        <f t="array" ref="K401">_xlfn.IFS(AND(Table156[[#This Row],[Total Amount]]&gt;=1500),"Critical",AND(Table156[[#This Row],[Total Amount]]&gt;=1000),"High",TRUE,"Normal")</f>
        <v>Normal</v>
      </c>
      <c r="L401" s="4" t="str">
        <f>IF(Table156[[#This Row],[Total Amount]]&gt;=1000,"High",(IF(Table156[[#This Row],[Total Amount]]&gt;=500,"Medium","Low")))</f>
        <v>Low</v>
      </c>
      <c r="M401" s="4" t="str" cm="1">
        <f t="array" ref="M40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01" s="4" cm="1">
        <f t="array" ref="N40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401" s="4">
        <f>Table156[[#This Row],[Total Amount]]-Table156[[#This Row],[Discount Amount]]</f>
        <v>180</v>
      </c>
      <c r="P401" s="4" t="str">
        <f>IF(Table156[[#This Row],[Total Amount]]&gt;=1000,"High","Low")</f>
        <v>Low</v>
      </c>
      <c r="Q401" s="4" t="str" cm="1">
        <f t="array" ref="Q401">_xlfn.IFS(AND(Table156[[#This Row],[Total Amount]]&gt;=1500,"Critical"),AND(Table156[[#This Row],[Total Amount]]&gt;=1000,"High"),TRUE,"Normal")</f>
        <v>Normal</v>
      </c>
      <c r="R401" s="4">
        <f>COUNTIF(Table156[Gender],"Male")</f>
        <v>490</v>
      </c>
    </row>
    <row r="402" spans="1:18" x14ac:dyDescent="0.35">
      <c r="A402" s="4">
        <v>401</v>
      </c>
      <c r="B402" s="5">
        <v>45210</v>
      </c>
      <c r="C402" s="4" t="s">
        <v>414</v>
      </c>
      <c r="D402" s="4" t="s">
        <v>13</v>
      </c>
      <c r="E402" s="4">
        <v>62</v>
      </c>
      <c r="F402" s="4" t="str">
        <f>IF(Table156[[#This Row],[Age]]&lt;=19,"Teenager",IF(Table156[[#This Row],[Age]]&lt;=40,"Median","Old"))</f>
        <v>Old</v>
      </c>
      <c r="G402" s="4" t="s">
        <v>14</v>
      </c>
      <c r="H402" s="4">
        <v>1</v>
      </c>
      <c r="I402" s="4">
        <v>300</v>
      </c>
      <c r="J402" s="4">
        <v>300</v>
      </c>
      <c r="K402" s="4" t="str" cm="1">
        <f t="array" ref="K402">_xlfn.IFS(AND(Table156[[#This Row],[Total Amount]]&gt;=1500),"Critical",AND(Table156[[#This Row],[Total Amount]]&gt;=1000),"High",TRUE,"Normal")</f>
        <v>Normal</v>
      </c>
      <c r="L402" s="4" t="str">
        <f>IF(Table156[[#This Row],[Total Amount]]&gt;=1000,"High",(IF(Table156[[#This Row],[Total Amount]]&gt;=500,"Medium","Low")))</f>
        <v>Low</v>
      </c>
      <c r="M402" s="4" t="str" cm="1">
        <f t="array" ref="M40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02" s="4" cm="1">
        <f t="array" ref="N40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402" s="4">
        <f>Table156[[#This Row],[Total Amount]]-Table156[[#This Row],[Discount Amount]]</f>
        <v>240</v>
      </c>
      <c r="P402" s="4" t="str">
        <f>IF(Table156[[#This Row],[Total Amount]]&gt;=1000,"High","Low")</f>
        <v>Low</v>
      </c>
      <c r="Q402" s="4" t="str" cm="1">
        <f t="array" ref="Q402">_xlfn.IFS(AND(Table156[[#This Row],[Total Amount]]&gt;=1500,"Critical"),AND(Table156[[#This Row],[Total Amount]]&gt;=1000,"High"),TRUE,"Normal")</f>
        <v>Normal</v>
      </c>
      <c r="R402" s="4">
        <f>COUNTIF(Table156[Gender],"Male")</f>
        <v>490</v>
      </c>
    </row>
    <row r="403" spans="1:18" x14ac:dyDescent="0.35">
      <c r="A403" s="4">
        <v>402</v>
      </c>
      <c r="B403" s="5">
        <v>45006</v>
      </c>
      <c r="C403" s="4" t="s">
        <v>415</v>
      </c>
      <c r="D403" s="4" t="s">
        <v>13</v>
      </c>
      <c r="E403" s="4">
        <v>41</v>
      </c>
      <c r="F403" s="4" t="str">
        <f>IF(Table156[[#This Row],[Age]]&lt;=19,"Teenager",IF(Table156[[#This Row],[Age]]&lt;=40,"Median","Old"))</f>
        <v>Old</v>
      </c>
      <c r="G403" s="4" t="s">
        <v>14</v>
      </c>
      <c r="H403" s="4">
        <v>2</v>
      </c>
      <c r="I403" s="4">
        <v>300</v>
      </c>
      <c r="J403" s="4">
        <v>600</v>
      </c>
      <c r="K403" s="4" t="str" cm="1">
        <f t="array" ref="K403">_xlfn.IFS(AND(Table156[[#This Row],[Total Amount]]&gt;=1500),"Critical",AND(Table156[[#This Row],[Total Amount]]&gt;=1000),"High",TRUE,"Normal")</f>
        <v>Normal</v>
      </c>
      <c r="L403" s="4" t="str">
        <f>IF(Table156[[#This Row],[Total Amount]]&gt;=1000,"High",(IF(Table156[[#This Row],[Total Amount]]&gt;=500,"Medium","Low")))</f>
        <v>Medium</v>
      </c>
      <c r="M403" s="4" t="str" cm="1">
        <f t="array" ref="M40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03" s="4" cm="1">
        <f t="array" ref="N40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403" s="4">
        <f>Table156[[#This Row],[Total Amount]]-Table156[[#This Row],[Discount Amount]]</f>
        <v>480</v>
      </c>
      <c r="P403" s="4" t="str">
        <f>IF(Table156[[#This Row],[Total Amount]]&gt;=1000,"High","Low")</f>
        <v>Low</v>
      </c>
      <c r="Q403" s="4" t="str" cm="1">
        <f t="array" ref="Q403">_xlfn.IFS(AND(Table156[[#This Row],[Total Amount]]&gt;=1500,"Critical"),AND(Table156[[#This Row],[Total Amount]]&gt;=1000,"High"),TRUE,"Normal")</f>
        <v>Normal</v>
      </c>
      <c r="R403" s="4">
        <f>COUNTIF(Table156[Gender],"Male")</f>
        <v>490</v>
      </c>
    </row>
    <row r="404" spans="1:18" x14ac:dyDescent="0.35">
      <c r="A404" s="4">
        <v>403</v>
      </c>
      <c r="B404" s="5">
        <v>45066</v>
      </c>
      <c r="C404" s="4" t="s">
        <v>416</v>
      </c>
      <c r="D404" s="4" t="s">
        <v>10</v>
      </c>
      <c r="E404" s="4">
        <v>32</v>
      </c>
      <c r="F404" s="4" t="str">
        <f>IF(Table156[[#This Row],[Age]]&lt;=19,"Teenager",IF(Table156[[#This Row],[Age]]&lt;=40,"Median","Old"))</f>
        <v>Median</v>
      </c>
      <c r="G404" s="4" t="s">
        <v>14</v>
      </c>
      <c r="H404" s="4">
        <v>2</v>
      </c>
      <c r="I404" s="4">
        <v>300</v>
      </c>
      <c r="J404" s="4">
        <v>600</v>
      </c>
      <c r="K404" s="4" t="str" cm="1">
        <f t="array" ref="K404">_xlfn.IFS(AND(Table156[[#This Row],[Total Amount]]&gt;=1500),"Critical",AND(Table156[[#This Row],[Total Amount]]&gt;=1000),"High",TRUE,"Normal")</f>
        <v>Normal</v>
      </c>
      <c r="L404" s="4" t="str">
        <f>IF(Table156[[#This Row],[Total Amount]]&gt;=1000,"High",(IF(Table156[[#This Row],[Total Amount]]&gt;=500,"Medium","Low")))</f>
        <v>Medium</v>
      </c>
      <c r="M404" s="4" t="str" cm="1">
        <f t="array" ref="M40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04" s="4" cm="1">
        <f t="array" ref="N40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404" s="4">
        <f>Table156[[#This Row],[Total Amount]]-Table156[[#This Row],[Discount Amount]]</f>
        <v>510</v>
      </c>
      <c r="P404" s="4" t="str">
        <f>IF(Table156[[#This Row],[Total Amount]]&gt;=1000,"High","Low")</f>
        <v>Low</v>
      </c>
      <c r="Q404" s="4" t="str" cm="1">
        <f t="array" ref="Q404">_xlfn.IFS(AND(Table156[[#This Row],[Total Amount]]&gt;=1500,"Critical"),AND(Table156[[#This Row],[Total Amount]]&gt;=1000,"High"),TRUE,"Normal")</f>
        <v>Normal</v>
      </c>
      <c r="R404" s="4">
        <f>COUNTIF(Table156[Gender],"Male")</f>
        <v>490</v>
      </c>
    </row>
    <row r="405" spans="1:18" x14ac:dyDescent="0.35">
      <c r="A405" s="4">
        <v>404</v>
      </c>
      <c r="B405" s="5">
        <v>45071</v>
      </c>
      <c r="C405" s="4" t="s">
        <v>417</v>
      </c>
      <c r="D405" s="4" t="s">
        <v>10</v>
      </c>
      <c r="E405" s="4">
        <v>46</v>
      </c>
      <c r="F405" s="4" t="str">
        <f>IF(Table156[[#This Row],[Age]]&lt;=19,"Teenager",IF(Table156[[#This Row],[Age]]&lt;=40,"Median","Old"))</f>
        <v>Old</v>
      </c>
      <c r="G405" s="4" t="s">
        <v>16</v>
      </c>
      <c r="H405" s="4">
        <v>2</v>
      </c>
      <c r="I405" s="4">
        <v>500</v>
      </c>
      <c r="J405" s="4">
        <v>1000</v>
      </c>
      <c r="K405" s="4" t="str" cm="1">
        <f t="array" ref="K405">_xlfn.IFS(AND(Table156[[#This Row],[Total Amount]]&gt;=1500),"Critical",AND(Table156[[#This Row],[Total Amount]]&gt;=1000),"High",TRUE,"Normal")</f>
        <v>High</v>
      </c>
      <c r="L405" s="4" t="str">
        <f>IF(Table156[[#This Row],[Total Amount]]&gt;=1000,"High",(IF(Table156[[#This Row],[Total Amount]]&gt;=500,"Medium","Low")))</f>
        <v>High</v>
      </c>
      <c r="M405" s="4" t="str" cm="1">
        <f t="array" ref="M40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05" s="4" cm="1">
        <f t="array" ref="N40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405" s="4">
        <f>Table156[[#This Row],[Total Amount]]-Table156[[#This Row],[Discount Amount]]</f>
        <v>900</v>
      </c>
      <c r="P405" s="4" t="str">
        <f>IF(Table156[[#This Row],[Total Amount]]&gt;=1000,"High","Low")</f>
        <v>High</v>
      </c>
      <c r="Q405" s="4" t="str" cm="1">
        <f t="array" ref="Q405">_xlfn.IFS(AND(Table156[[#This Row],[Total Amount]]&gt;=1500,"Critical"),AND(Table156[[#This Row],[Total Amount]]&gt;=1000,"High"),TRUE,"Normal")</f>
        <v>Normal</v>
      </c>
      <c r="R405" s="4">
        <f>COUNTIF(Table156[Gender],"Male")</f>
        <v>490</v>
      </c>
    </row>
    <row r="406" spans="1:18" x14ac:dyDescent="0.35">
      <c r="A406" s="4">
        <v>405</v>
      </c>
      <c r="B406" s="5">
        <v>45236</v>
      </c>
      <c r="C406" s="4" t="s">
        <v>418</v>
      </c>
      <c r="D406" s="4" t="s">
        <v>13</v>
      </c>
      <c r="E406" s="4">
        <v>25</v>
      </c>
      <c r="F406" s="4" t="str">
        <f>IF(Table156[[#This Row],[Age]]&lt;=19,"Teenager",IF(Table156[[#This Row],[Age]]&lt;=40,"Median","Old"))</f>
        <v>Median</v>
      </c>
      <c r="G406" s="4" t="s">
        <v>14</v>
      </c>
      <c r="H406" s="4">
        <v>4</v>
      </c>
      <c r="I406" s="4">
        <v>300</v>
      </c>
      <c r="J406" s="4">
        <v>1200</v>
      </c>
      <c r="K406" s="4" t="str" cm="1">
        <f t="array" ref="K406">_xlfn.IFS(AND(Table156[[#This Row],[Total Amount]]&gt;=1500),"Critical",AND(Table156[[#This Row],[Total Amount]]&gt;=1000),"High",TRUE,"Normal")</f>
        <v>High</v>
      </c>
      <c r="L406" s="4" t="str">
        <f>IF(Table156[[#This Row],[Total Amount]]&gt;=1000,"High",(IF(Table156[[#This Row],[Total Amount]]&gt;=500,"Medium","Low")))</f>
        <v>High</v>
      </c>
      <c r="M406" s="4" t="str" cm="1">
        <f t="array" ref="M40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06" s="4" cm="1">
        <f t="array" ref="N40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406" s="4">
        <f>Table156[[#This Row],[Total Amount]]-Table156[[#This Row],[Discount Amount]]</f>
        <v>1020</v>
      </c>
      <c r="P406" s="4" t="str">
        <f>IF(Table156[[#This Row],[Total Amount]]&gt;=1000,"High","Low")</f>
        <v>High</v>
      </c>
      <c r="Q406" s="4" t="str" cm="1">
        <f t="array" ref="Q406">_xlfn.IFS(AND(Table156[[#This Row],[Total Amount]]&gt;=1500,"Critical"),AND(Table156[[#This Row],[Total Amount]]&gt;=1000,"High"),TRUE,"Normal")</f>
        <v>Normal</v>
      </c>
      <c r="R406" s="4">
        <f>COUNTIF(Table156[Gender],"Male")</f>
        <v>490</v>
      </c>
    </row>
    <row r="407" spans="1:18" x14ac:dyDescent="0.35">
      <c r="A407" s="4">
        <v>406</v>
      </c>
      <c r="B407" s="5">
        <v>45034</v>
      </c>
      <c r="C407" s="4" t="s">
        <v>419</v>
      </c>
      <c r="D407" s="4" t="s">
        <v>13</v>
      </c>
      <c r="E407" s="4">
        <v>22</v>
      </c>
      <c r="F407" s="4" t="str">
        <f>IF(Table156[[#This Row],[Age]]&lt;=19,"Teenager",IF(Table156[[#This Row],[Age]]&lt;=40,"Median","Old"))</f>
        <v>Median</v>
      </c>
      <c r="G407" s="4" t="s">
        <v>11</v>
      </c>
      <c r="H407" s="4">
        <v>4</v>
      </c>
      <c r="I407" s="4">
        <v>25</v>
      </c>
      <c r="J407" s="4">
        <v>100</v>
      </c>
      <c r="K407" s="4" t="str" cm="1">
        <f t="array" ref="K407">_xlfn.IFS(AND(Table156[[#This Row],[Total Amount]]&gt;=1500),"Critical",AND(Table156[[#This Row],[Total Amount]]&gt;=1000),"High",TRUE,"Normal")</f>
        <v>Normal</v>
      </c>
      <c r="L407" s="4" t="str">
        <f>IF(Table156[[#This Row],[Total Amount]]&gt;=1000,"High",(IF(Table156[[#This Row],[Total Amount]]&gt;=500,"Medium","Low")))</f>
        <v>Low</v>
      </c>
      <c r="M407" s="4" t="str" cm="1">
        <f t="array" ref="M40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07" s="4" cm="1">
        <f t="array" ref="N40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07" s="4">
        <f>Table156[[#This Row],[Total Amount]]-Table156[[#This Row],[Discount Amount]]</f>
        <v>100</v>
      </c>
      <c r="P407" s="4" t="str">
        <f>IF(Table156[[#This Row],[Total Amount]]&gt;=1000,"High","Low")</f>
        <v>Low</v>
      </c>
      <c r="Q407" s="4" t="str" cm="1">
        <f t="array" ref="Q407">_xlfn.IFS(AND(Table156[[#This Row],[Total Amount]]&gt;=1500,"Critical"),AND(Table156[[#This Row],[Total Amount]]&gt;=1000,"High"),TRUE,"Normal")</f>
        <v>Normal</v>
      </c>
      <c r="R407" s="4">
        <f>COUNTIF(Table156[Gender],"Male")</f>
        <v>490</v>
      </c>
    </row>
    <row r="408" spans="1:18" x14ac:dyDescent="0.35">
      <c r="A408" s="4">
        <v>407</v>
      </c>
      <c r="B408" s="5">
        <v>45102</v>
      </c>
      <c r="C408" s="4" t="s">
        <v>420</v>
      </c>
      <c r="D408" s="4" t="s">
        <v>13</v>
      </c>
      <c r="E408" s="4">
        <v>46</v>
      </c>
      <c r="F408" s="4" t="str">
        <f>IF(Table156[[#This Row],[Age]]&lt;=19,"Teenager",IF(Table156[[#This Row],[Age]]&lt;=40,"Median","Old"))</f>
        <v>Old</v>
      </c>
      <c r="G408" s="4" t="s">
        <v>16</v>
      </c>
      <c r="H408" s="4">
        <v>3</v>
      </c>
      <c r="I408" s="4">
        <v>300</v>
      </c>
      <c r="J408" s="4">
        <v>900</v>
      </c>
      <c r="K408" s="4" t="str" cm="1">
        <f t="array" ref="K408">_xlfn.IFS(AND(Table156[[#This Row],[Total Amount]]&gt;=1500),"Critical",AND(Table156[[#This Row],[Total Amount]]&gt;=1000),"High",TRUE,"Normal")</f>
        <v>Normal</v>
      </c>
      <c r="L408" s="4" t="str">
        <f>IF(Table156[[#This Row],[Total Amount]]&gt;=1000,"High",(IF(Table156[[#This Row],[Total Amount]]&gt;=500,"Medium","Low")))</f>
        <v>Medium</v>
      </c>
      <c r="M408" s="4" t="str" cm="1">
        <f t="array" ref="M40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08" s="4" cm="1">
        <f t="array" ref="N40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408" s="4">
        <f>Table156[[#This Row],[Total Amount]]-Table156[[#This Row],[Discount Amount]]</f>
        <v>720</v>
      </c>
      <c r="P408" s="4" t="str">
        <f>IF(Table156[[#This Row],[Total Amount]]&gt;=1000,"High","Low")</f>
        <v>Low</v>
      </c>
      <c r="Q408" s="4" t="str" cm="1">
        <f t="array" ref="Q408">_xlfn.IFS(AND(Table156[[#This Row],[Total Amount]]&gt;=1500,"Critical"),AND(Table156[[#This Row],[Total Amount]]&gt;=1000,"High"),TRUE,"Normal")</f>
        <v>Normal</v>
      </c>
      <c r="R408" s="4">
        <f>COUNTIF(Table156[Gender],"Male")</f>
        <v>490</v>
      </c>
    </row>
    <row r="409" spans="1:18" x14ac:dyDescent="0.35">
      <c r="A409" s="4">
        <v>408</v>
      </c>
      <c r="B409" s="5">
        <v>45031</v>
      </c>
      <c r="C409" s="4" t="s">
        <v>421</v>
      </c>
      <c r="D409" s="4" t="s">
        <v>13</v>
      </c>
      <c r="E409" s="4">
        <v>64</v>
      </c>
      <c r="F409" s="4" t="str">
        <f>IF(Table156[[#This Row],[Age]]&lt;=19,"Teenager",IF(Table156[[#This Row],[Age]]&lt;=40,"Median","Old"))</f>
        <v>Old</v>
      </c>
      <c r="G409" s="4" t="s">
        <v>11</v>
      </c>
      <c r="H409" s="4">
        <v>1</v>
      </c>
      <c r="I409" s="4">
        <v>500</v>
      </c>
      <c r="J409" s="4">
        <v>500</v>
      </c>
      <c r="K409" s="4" t="str" cm="1">
        <f t="array" ref="K409">_xlfn.IFS(AND(Table156[[#This Row],[Total Amount]]&gt;=1500),"Critical",AND(Table156[[#This Row],[Total Amount]]&gt;=1000),"High",TRUE,"Normal")</f>
        <v>Normal</v>
      </c>
      <c r="L409" s="4" t="str">
        <f>IF(Table156[[#This Row],[Total Amount]]&gt;=1000,"High",(IF(Table156[[#This Row],[Total Amount]]&gt;=500,"Medium","Low")))</f>
        <v>Medium</v>
      </c>
      <c r="M409" s="4" t="str" cm="1">
        <f t="array" ref="M40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09" s="4" cm="1">
        <f t="array" ref="N40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409" s="4">
        <f>Table156[[#This Row],[Total Amount]]-Table156[[#This Row],[Discount Amount]]</f>
        <v>400</v>
      </c>
      <c r="P409" s="4" t="str">
        <f>IF(Table156[[#This Row],[Total Amount]]&gt;=1000,"High","Low")</f>
        <v>Low</v>
      </c>
      <c r="Q409" s="4" t="str" cm="1">
        <f t="array" ref="Q409">_xlfn.IFS(AND(Table156[[#This Row],[Total Amount]]&gt;=1500,"Critical"),AND(Table156[[#This Row],[Total Amount]]&gt;=1000,"High"),TRUE,"Normal")</f>
        <v>Normal</v>
      </c>
      <c r="R409" s="4">
        <f>COUNTIF(Table156[Gender],"Male")</f>
        <v>490</v>
      </c>
    </row>
    <row r="410" spans="1:18" x14ac:dyDescent="0.35">
      <c r="A410" s="4">
        <v>409</v>
      </c>
      <c r="B410" s="5">
        <v>45278</v>
      </c>
      <c r="C410" s="4" t="s">
        <v>422</v>
      </c>
      <c r="D410" s="4" t="s">
        <v>13</v>
      </c>
      <c r="E410" s="4">
        <v>21</v>
      </c>
      <c r="F410" s="4" t="str">
        <f>IF(Table156[[#This Row],[Age]]&lt;=19,"Teenager",IF(Table156[[#This Row],[Age]]&lt;=40,"Median","Old"))</f>
        <v>Median</v>
      </c>
      <c r="G410" s="4" t="s">
        <v>16</v>
      </c>
      <c r="H410" s="4">
        <v>3</v>
      </c>
      <c r="I410" s="4">
        <v>300</v>
      </c>
      <c r="J410" s="4">
        <v>900</v>
      </c>
      <c r="K410" s="4" t="str" cm="1">
        <f t="array" ref="K410">_xlfn.IFS(AND(Table156[[#This Row],[Total Amount]]&gt;=1500),"Critical",AND(Table156[[#This Row],[Total Amount]]&gt;=1000),"High",TRUE,"Normal")</f>
        <v>Normal</v>
      </c>
      <c r="L410" s="4" t="str">
        <f>IF(Table156[[#This Row],[Total Amount]]&gt;=1000,"High",(IF(Table156[[#This Row],[Total Amount]]&gt;=500,"Medium","Low")))</f>
        <v>Medium</v>
      </c>
      <c r="M410" s="4" t="str" cm="1">
        <f t="array" ref="M41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10" s="4" cm="1">
        <f t="array" ref="N41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10" s="4">
        <f>Table156[[#This Row],[Total Amount]]-Table156[[#This Row],[Discount Amount]]</f>
        <v>900</v>
      </c>
      <c r="P410" s="4" t="str">
        <f>IF(Table156[[#This Row],[Total Amount]]&gt;=1000,"High","Low")</f>
        <v>Low</v>
      </c>
      <c r="Q410" s="4" t="str" cm="1">
        <f t="array" ref="Q410">_xlfn.IFS(AND(Table156[[#This Row],[Total Amount]]&gt;=1500,"Critical"),AND(Table156[[#This Row],[Total Amount]]&gt;=1000,"High"),TRUE,"Normal")</f>
        <v>Normal</v>
      </c>
      <c r="R410" s="4">
        <f>COUNTIF(Table156[Gender],"Male")</f>
        <v>490</v>
      </c>
    </row>
    <row r="411" spans="1:18" x14ac:dyDescent="0.35">
      <c r="A411" s="4">
        <v>410</v>
      </c>
      <c r="B411" s="5">
        <v>45251</v>
      </c>
      <c r="C411" s="4" t="s">
        <v>423</v>
      </c>
      <c r="D411" s="4" t="s">
        <v>13</v>
      </c>
      <c r="E411" s="4">
        <v>29</v>
      </c>
      <c r="F411" s="4" t="str">
        <f>IF(Table156[[#This Row],[Age]]&lt;=19,"Teenager",IF(Table156[[#This Row],[Age]]&lt;=40,"Median","Old"))</f>
        <v>Median</v>
      </c>
      <c r="G411" s="4" t="s">
        <v>14</v>
      </c>
      <c r="H411" s="4">
        <v>2</v>
      </c>
      <c r="I411" s="4">
        <v>50</v>
      </c>
      <c r="J411" s="4">
        <v>100</v>
      </c>
      <c r="K411" s="4" t="str" cm="1">
        <f t="array" ref="K411">_xlfn.IFS(AND(Table156[[#This Row],[Total Amount]]&gt;=1500),"Critical",AND(Table156[[#This Row],[Total Amount]]&gt;=1000),"High",TRUE,"Normal")</f>
        <v>Normal</v>
      </c>
      <c r="L411" s="4" t="str">
        <f>IF(Table156[[#This Row],[Total Amount]]&gt;=1000,"High",(IF(Table156[[#This Row],[Total Amount]]&gt;=500,"Medium","Low")))</f>
        <v>Low</v>
      </c>
      <c r="M411" s="4" t="str" cm="1">
        <f t="array" ref="M41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11" s="4" cm="1">
        <f t="array" ref="N41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411" s="4">
        <f>Table156[[#This Row],[Total Amount]]-Table156[[#This Row],[Discount Amount]]</f>
        <v>85</v>
      </c>
      <c r="P411" s="4" t="str">
        <f>IF(Table156[[#This Row],[Total Amount]]&gt;=1000,"High","Low")</f>
        <v>Low</v>
      </c>
      <c r="Q411" s="4" t="str" cm="1">
        <f t="array" ref="Q411">_xlfn.IFS(AND(Table156[[#This Row],[Total Amount]]&gt;=1500,"Critical"),AND(Table156[[#This Row],[Total Amount]]&gt;=1000,"High"),TRUE,"Normal")</f>
        <v>Normal</v>
      </c>
      <c r="R411" s="4">
        <f>COUNTIF(Table156[Gender],"Male")</f>
        <v>490</v>
      </c>
    </row>
    <row r="412" spans="1:18" x14ac:dyDescent="0.35">
      <c r="A412" s="4">
        <v>411</v>
      </c>
      <c r="B412" s="5">
        <v>45062</v>
      </c>
      <c r="C412" s="4" t="s">
        <v>424</v>
      </c>
      <c r="D412" s="4" t="s">
        <v>10</v>
      </c>
      <c r="E412" s="4">
        <v>62</v>
      </c>
      <c r="F412" s="4" t="str">
        <f>IF(Table156[[#This Row],[Age]]&lt;=19,"Teenager",IF(Table156[[#This Row],[Age]]&lt;=40,"Median","Old"))</f>
        <v>Old</v>
      </c>
      <c r="G412" s="4" t="s">
        <v>16</v>
      </c>
      <c r="H412" s="4">
        <v>4</v>
      </c>
      <c r="I412" s="4">
        <v>50</v>
      </c>
      <c r="J412" s="4">
        <v>200</v>
      </c>
      <c r="K412" s="4" t="str" cm="1">
        <f t="array" ref="K412">_xlfn.IFS(AND(Table156[[#This Row],[Total Amount]]&gt;=1500),"Critical",AND(Table156[[#This Row],[Total Amount]]&gt;=1000),"High",TRUE,"Normal")</f>
        <v>Normal</v>
      </c>
      <c r="L412" s="4" t="str">
        <f>IF(Table156[[#This Row],[Total Amount]]&gt;=1000,"High",(IF(Table156[[#This Row],[Total Amount]]&gt;=500,"Medium","Low")))</f>
        <v>Low</v>
      </c>
      <c r="M412" s="4" t="str" cm="1">
        <f t="array" ref="M41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12" s="4" cm="1">
        <f t="array" ref="N41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412" s="4">
        <f>Table156[[#This Row],[Total Amount]]-Table156[[#This Row],[Discount Amount]]</f>
        <v>180</v>
      </c>
      <c r="P412" s="4" t="str">
        <f>IF(Table156[[#This Row],[Total Amount]]&gt;=1000,"High","Low")</f>
        <v>Low</v>
      </c>
      <c r="Q412" s="4" t="str" cm="1">
        <f t="array" ref="Q412">_xlfn.IFS(AND(Table156[[#This Row],[Total Amount]]&gt;=1500,"Critical"),AND(Table156[[#This Row],[Total Amount]]&gt;=1000,"High"),TRUE,"Normal")</f>
        <v>Normal</v>
      </c>
      <c r="R412" s="4">
        <f>COUNTIF(Table156[Gender],"Male")</f>
        <v>490</v>
      </c>
    </row>
    <row r="413" spans="1:18" x14ac:dyDescent="0.35">
      <c r="A413" s="4">
        <v>412</v>
      </c>
      <c r="B413" s="5">
        <v>45185</v>
      </c>
      <c r="C413" s="4" t="s">
        <v>425</v>
      </c>
      <c r="D413" s="4" t="s">
        <v>13</v>
      </c>
      <c r="E413" s="4">
        <v>19</v>
      </c>
      <c r="F413" s="4" t="str">
        <f>IF(Table156[[#This Row],[Age]]&lt;=19,"Teenager",IF(Table156[[#This Row],[Age]]&lt;=40,"Median","Old"))</f>
        <v>Teenager</v>
      </c>
      <c r="G413" s="4" t="s">
        <v>16</v>
      </c>
      <c r="H413" s="4">
        <v>4</v>
      </c>
      <c r="I413" s="4">
        <v>500</v>
      </c>
      <c r="J413" s="4">
        <v>2000</v>
      </c>
      <c r="K413" s="4" t="str" cm="1">
        <f t="array" ref="K413">_xlfn.IFS(AND(Table156[[#This Row],[Total Amount]]&gt;=1500),"Critical",AND(Table156[[#This Row],[Total Amount]]&gt;=1000),"High",TRUE,"Normal")</f>
        <v>Critical</v>
      </c>
      <c r="L413" s="4" t="str">
        <f>IF(Table156[[#This Row],[Total Amount]]&gt;=1000,"High",(IF(Table156[[#This Row],[Total Amount]]&gt;=500,"Medium","Low")))</f>
        <v>High</v>
      </c>
      <c r="M413" s="4" t="str" cm="1">
        <f t="array" ref="M41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13" s="4" cm="1">
        <f t="array" ref="N41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13" s="4">
        <f>Table156[[#This Row],[Total Amount]]-Table156[[#This Row],[Discount Amount]]</f>
        <v>2000</v>
      </c>
      <c r="P413" s="4" t="str">
        <f>IF(Table156[[#This Row],[Total Amount]]&gt;=1000,"High","Low")</f>
        <v>High</v>
      </c>
      <c r="Q413" s="4" t="b" cm="1">
        <f t="array" ref="Q413">_xlfn.IFS(AND(Table156[[#This Row],[Total Amount]]&gt;=1500,"Critical"),AND(Table156[[#This Row],[Total Amount]]&gt;=1000,"High"),TRUE,"Normal")</f>
        <v>1</v>
      </c>
      <c r="R413" s="4">
        <f>COUNTIF(Table156[Gender],"Male")</f>
        <v>490</v>
      </c>
    </row>
    <row r="414" spans="1:18" x14ac:dyDescent="0.35">
      <c r="A414" s="4">
        <v>413</v>
      </c>
      <c r="B414" s="5">
        <v>45177</v>
      </c>
      <c r="C414" s="4" t="s">
        <v>426</v>
      </c>
      <c r="D414" s="4" t="s">
        <v>13</v>
      </c>
      <c r="E414" s="4">
        <v>44</v>
      </c>
      <c r="F414" s="4" t="str">
        <f>IF(Table156[[#This Row],[Age]]&lt;=19,"Teenager",IF(Table156[[#This Row],[Age]]&lt;=40,"Median","Old"))</f>
        <v>Old</v>
      </c>
      <c r="G414" s="4" t="s">
        <v>11</v>
      </c>
      <c r="H414" s="4">
        <v>3</v>
      </c>
      <c r="I414" s="4">
        <v>25</v>
      </c>
      <c r="J414" s="4">
        <v>75</v>
      </c>
      <c r="K414" s="4" t="str" cm="1">
        <f t="array" ref="K414">_xlfn.IFS(AND(Table156[[#This Row],[Total Amount]]&gt;=1500),"Critical",AND(Table156[[#This Row],[Total Amount]]&gt;=1000),"High",TRUE,"Normal")</f>
        <v>Normal</v>
      </c>
      <c r="L414" s="4" t="str">
        <f>IF(Table156[[#This Row],[Total Amount]]&gt;=1000,"High",(IF(Table156[[#This Row],[Total Amount]]&gt;=500,"Medium","Low")))</f>
        <v>Low</v>
      </c>
      <c r="M414" s="4" t="str" cm="1">
        <f t="array" ref="M41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14" s="4" cm="1">
        <f t="array" ref="N41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414" s="4">
        <f>Table156[[#This Row],[Total Amount]]-Table156[[#This Row],[Discount Amount]]</f>
        <v>60</v>
      </c>
      <c r="P414" s="4" t="str">
        <f>IF(Table156[[#This Row],[Total Amount]]&gt;=1000,"High","Low")</f>
        <v>Low</v>
      </c>
      <c r="Q414" s="4" t="str" cm="1">
        <f t="array" ref="Q414">_xlfn.IFS(AND(Table156[[#This Row],[Total Amount]]&gt;=1500,"Critical"),AND(Table156[[#This Row],[Total Amount]]&gt;=1000,"High"),TRUE,"Normal")</f>
        <v>Normal</v>
      </c>
      <c r="R414" s="4">
        <f>COUNTIF(Table156[Gender],"Male")</f>
        <v>490</v>
      </c>
    </row>
    <row r="415" spans="1:18" x14ac:dyDescent="0.35">
      <c r="A415" s="4">
        <v>414</v>
      </c>
      <c r="B415" s="5">
        <v>45055</v>
      </c>
      <c r="C415" s="4" t="s">
        <v>427</v>
      </c>
      <c r="D415" s="4" t="s">
        <v>10</v>
      </c>
      <c r="E415" s="4">
        <v>48</v>
      </c>
      <c r="F415" s="4" t="str">
        <f>IF(Table156[[#This Row],[Age]]&lt;=19,"Teenager",IF(Table156[[#This Row],[Age]]&lt;=40,"Median","Old"))</f>
        <v>Old</v>
      </c>
      <c r="G415" s="4" t="s">
        <v>11</v>
      </c>
      <c r="H415" s="4">
        <v>4</v>
      </c>
      <c r="I415" s="4">
        <v>25</v>
      </c>
      <c r="J415" s="4">
        <v>100</v>
      </c>
      <c r="K415" s="4" t="str" cm="1">
        <f t="array" ref="K415">_xlfn.IFS(AND(Table156[[#This Row],[Total Amount]]&gt;=1500),"Critical",AND(Table156[[#This Row],[Total Amount]]&gt;=1000),"High",TRUE,"Normal")</f>
        <v>Normal</v>
      </c>
      <c r="L415" s="4" t="str">
        <f>IF(Table156[[#This Row],[Total Amount]]&gt;=1000,"High",(IF(Table156[[#This Row],[Total Amount]]&gt;=500,"Medium","Low")))</f>
        <v>Low</v>
      </c>
      <c r="M415" s="4" t="str" cm="1">
        <f t="array" ref="M41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15" s="4" cm="1">
        <f t="array" ref="N41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415" s="4">
        <f>Table156[[#This Row],[Total Amount]]-Table156[[#This Row],[Discount Amount]]</f>
        <v>90</v>
      </c>
      <c r="P415" s="4" t="str">
        <f>IF(Table156[[#This Row],[Total Amount]]&gt;=1000,"High","Low")</f>
        <v>Low</v>
      </c>
      <c r="Q415" s="4" t="str" cm="1">
        <f t="array" ref="Q415">_xlfn.IFS(AND(Table156[[#This Row],[Total Amount]]&gt;=1500,"Critical"),AND(Table156[[#This Row],[Total Amount]]&gt;=1000,"High"),TRUE,"Normal")</f>
        <v>Normal</v>
      </c>
      <c r="R415" s="4">
        <f>COUNTIF(Table156[Gender],"Male")</f>
        <v>490</v>
      </c>
    </row>
    <row r="416" spans="1:18" x14ac:dyDescent="0.35">
      <c r="A416" s="4">
        <v>415</v>
      </c>
      <c r="B416" s="5">
        <v>44953</v>
      </c>
      <c r="C416" s="4" t="s">
        <v>428</v>
      </c>
      <c r="D416" s="4" t="s">
        <v>10</v>
      </c>
      <c r="E416" s="4">
        <v>53</v>
      </c>
      <c r="F416" s="4" t="str">
        <f>IF(Table156[[#This Row],[Age]]&lt;=19,"Teenager",IF(Table156[[#This Row],[Age]]&lt;=40,"Median","Old"))</f>
        <v>Old</v>
      </c>
      <c r="G416" s="4" t="s">
        <v>14</v>
      </c>
      <c r="H416" s="4">
        <v>2</v>
      </c>
      <c r="I416" s="4">
        <v>30</v>
      </c>
      <c r="J416" s="4">
        <v>60</v>
      </c>
      <c r="K416" s="4" t="str" cm="1">
        <f t="array" ref="K416">_xlfn.IFS(AND(Table156[[#This Row],[Total Amount]]&gt;=1500),"Critical",AND(Table156[[#This Row],[Total Amount]]&gt;=1000),"High",TRUE,"Normal")</f>
        <v>Normal</v>
      </c>
      <c r="L416" s="4" t="str">
        <f>IF(Table156[[#This Row],[Total Amount]]&gt;=1000,"High",(IF(Table156[[#This Row],[Total Amount]]&gt;=500,"Medium","Low")))</f>
        <v>Low</v>
      </c>
      <c r="M416" s="4" t="str" cm="1">
        <f t="array" ref="M41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16" s="4" cm="1">
        <f t="array" ref="N41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416" s="4">
        <f>Table156[[#This Row],[Total Amount]]-Table156[[#This Row],[Discount Amount]]</f>
        <v>54</v>
      </c>
      <c r="P416" s="4" t="str">
        <f>IF(Table156[[#This Row],[Total Amount]]&gt;=1000,"High","Low")</f>
        <v>Low</v>
      </c>
      <c r="Q416" s="4" t="str" cm="1">
        <f t="array" ref="Q416">_xlfn.IFS(AND(Table156[[#This Row],[Total Amount]]&gt;=1500,"Critical"),AND(Table156[[#This Row],[Total Amount]]&gt;=1000,"High"),TRUE,"Normal")</f>
        <v>Normal</v>
      </c>
      <c r="R416" s="4">
        <f>COUNTIF(Table156[Gender],"Male")</f>
        <v>490</v>
      </c>
    </row>
    <row r="417" spans="1:18" x14ac:dyDescent="0.35">
      <c r="A417" s="4">
        <v>416</v>
      </c>
      <c r="B417" s="5">
        <v>44974</v>
      </c>
      <c r="C417" s="4" t="s">
        <v>429</v>
      </c>
      <c r="D417" s="4" t="s">
        <v>10</v>
      </c>
      <c r="E417" s="4">
        <v>53</v>
      </c>
      <c r="F417" s="4" t="str">
        <f>IF(Table156[[#This Row],[Age]]&lt;=19,"Teenager",IF(Table156[[#This Row],[Age]]&lt;=40,"Median","Old"))</f>
        <v>Old</v>
      </c>
      <c r="G417" s="4" t="s">
        <v>16</v>
      </c>
      <c r="H417" s="4">
        <v>4</v>
      </c>
      <c r="I417" s="4">
        <v>500</v>
      </c>
      <c r="J417" s="4">
        <v>2000</v>
      </c>
      <c r="K417" s="4" t="str" cm="1">
        <f t="array" ref="K417">_xlfn.IFS(AND(Table156[[#This Row],[Total Amount]]&gt;=1500),"Critical",AND(Table156[[#This Row],[Total Amount]]&gt;=1000),"High",TRUE,"Normal")</f>
        <v>Critical</v>
      </c>
      <c r="L417" s="4" t="str">
        <f>IF(Table156[[#This Row],[Total Amount]]&gt;=1000,"High",(IF(Table156[[#This Row],[Total Amount]]&gt;=500,"Medium","Low")))</f>
        <v>High</v>
      </c>
      <c r="M417" s="4" t="str" cm="1">
        <f t="array" ref="M41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17" s="4" cm="1">
        <f t="array" ref="N41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417" s="4">
        <f>Table156[[#This Row],[Total Amount]]-Table156[[#This Row],[Discount Amount]]</f>
        <v>1800</v>
      </c>
      <c r="P417" s="4" t="str">
        <f>IF(Table156[[#This Row],[Total Amount]]&gt;=1000,"High","Low")</f>
        <v>High</v>
      </c>
      <c r="Q417" s="4" t="b" cm="1">
        <f t="array" ref="Q417">_xlfn.IFS(AND(Table156[[#This Row],[Total Amount]]&gt;=1500,"Critical"),AND(Table156[[#This Row],[Total Amount]]&gt;=1000,"High"),TRUE,"Normal")</f>
        <v>1</v>
      </c>
      <c r="R417" s="4">
        <f>COUNTIF(Table156[Gender],"Male")</f>
        <v>490</v>
      </c>
    </row>
    <row r="418" spans="1:18" x14ac:dyDescent="0.35">
      <c r="A418" s="4">
        <v>417</v>
      </c>
      <c r="B418" s="5">
        <v>45251</v>
      </c>
      <c r="C418" s="4" t="s">
        <v>430</v>
      </c>
      <c r="D418" s="4" t="s">
        <v>10</v>
      </c>
      <c r="E418" s="4">
        <v>43</v>
      </c>
      <c r="F418" s="4" t="str">
        <f>IF(Table156[[#This Row],[Age]]&lt;=19,"Teenager",IF(Table156[[#This Row],[Age]]&lt;=40,"Median","Old"))</f>
        <v>Old</v>
      </c>
      <c r="G418" s="4" t="s">
        <v>16</v>
      </c>
      <c r="H418" s="4">
        <v>3</v>
      </c>
      <c r="I418" s="4">
        <v>300</v>
      </c>
      <c r="J418" s="4">
        <v>900</v>
      </c>
      <c r="K418" s="4" t="str" cm="1">
        <f t="array" ref="K418">_xlfn.IFS(AND(Table156[[#This Row],[Total Amount]]&gt;=1500),"Critical",AND(Table156[[#This Row],[Total Amount]]&gt;=1000),"High",TRUE,"Normal")</f>
        <v>Normal</v>
      </c>
      <c r="L418" s="4" t="str">
        <f>IF(Table156[[#This Row],[Total Amount]]&gt;=1000,"High",(IF(Table156[[#This Row],[Total Amount]]&gt;=500,"Medium","Low")))</f>
        <v>Medium</v>
      </c>
      <c r="M418" s="4" t="str" cm="1">
        <f t="array" ref="M41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18" s="4" cm="1">
        <f t="array" ref="N41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418" s="4">
        <f>Table156[[#This Row],[Total Amount]]-Table156[[#This Row],[Discount Amount]]</f>
        <v>810</v>
      </c>
      <c r="P418" s="4" t="str">
        <f>IF(Table156[[#This Row],[Total Amount]]&gt;=1000,"High","Low")</f>
        <v>Low</v>
      </c>
      <c r="Q418" s="4" t="str" cm="1">
        <f t="array" ref="Q418">_xlfn.IFS(AND(Table156[[#This Row],[Total Amount]]&gt;=1500,"Critical"),AND(Table156[[#This Row],[Total Amount]]&gt;=1000,"High"),TRUE,"Normal")</f>
        <v>Normal</v>
      </c>
      <c r="R418" s="4">
        <f>COUNTIF(Table156[Gender],"Male")</f>
        <v>490</v>
      </c>
    </row>
    <row r="419" spans="1:18" x14ac:dyDescent="0.35">
      <c r="A419" s="4">
        <v>418</v>
      </c>
      <c r="B419" s="5">
        <v>45143</v>
      </c>
      <c r="C419" s="4" t="s">
        <v>431</v>
      </c>
      <c r="D419" s="4" t="s">
        <v>13</v>
      </c>
      <c r="E419" s="4">
        <v>60</v>
      </c>
      <c r="F419" s="4" t="str">
        <f>IF(Table156[[#This Row],[Age]]&lt;=19,"Teenager",IF(Table156[[#This Row],[Age]]&lt;=40,"Median","Old"))</f>
        <v>Old</v>
      </c>
      <c r="G419" s="4" t="s">
        <v>16</v>
      </c>
      <c r="H419" s="4">
        <v>2</v>
      </c>
      <c r="I419" s="4">
        <v>500</v>
      </c>
      <c r="J419" s="4">
        <v>1000</v>
      </c>
      <c r="K419" s="4" t="str" cm="1">
        <f t="array" ref="K419">_xlfn.IFS(AND(Table156[[#This Row],[Total Amount]]&gt;=1500),"Critical",AND(Table156[[#This Row],[Total Amount]]&gt;=1000),"High",TRUE,"Normal")</f>
        <v>High</v>
      </c>
      <c r="L419" s="4" t="str">
        <f>IF(Table156[[#This Row],[Total Amount]]&gt;=1000,"High",(IF(Table156[[#This Row],[Total Amount]]&gt;=500,"Medium","Low")))</f>
        <v>High</v>
      </c>
      <c r="M419" s="4" t="str" cm="1">
        <f t="array" ref="M41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19" s="4" cm="1">
        <f t="array" ref="N41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419" s="4">
        <f>Table156[[#This Row],[Total Amount]]-Table156[[#This Row],[Discount Amount]]</f>
        <v>800</v>
      </c>
      <c r="P419" s="4" t="str">
        <f>IF(Table156[[#This Row],[Total Amount]]&gt;=1000,"High","Low")</f>
        <v>High</v>
      </c>
      <c r="Q419" s="4" t="str" cm="1">
        <f t="array" ref="Q419">_xlfn.IFS(AND(Table156[[#This Row],[Total Amount]]&gt;=1500,"Critical"),AND(Table156[[#This Row],[Total Amount]]&gt;=1000,"High"),TRUE,"Normal")</f>
        <v>Normal</v>
      </c>
      <c r="R419" s="4">
        <f>COUNTIF(Table156[Gender],"Male")</f>
        <v>490</v>
      </c>
    </row>
    <row r="420" spans="1:18" x14ac:dyDescent="0.35">
      <c r="A420" s="4">
        <v>419</v>
      </c>
      <c r="B420" s="5">
        <v>45068</v>
      </c>
      <c r="C420" s="4" t="s">
        <v>432</v>
      </c>
      <c r="D420" s="4" t="s">
        <v>13</v>
      </c>
      <c r="E420" s="4">
        <v>44</v>
      </c>
      <c r="F420" s="4" t="str">
        <f>IF(Table156[[#This Row],[Age]]&lt;=19,"Teenager",IF(Table156[[#This Row],[Age]]&lt;=40,"Median","Old"))</f>
        <v>Old</v>
      </c>
      <c r="G420" s="4" t="s">
        <v>14</v>
      </c>
      <c r="H420" s="4">
        <v>3</v>
      </c>
      <c r="I420" s="4">
        <v>30</v>
      </c>
      <c r="J420" s="4">
        <v>90</v>
      </c>
      <c r="K420" s="4" t="str" cm="1">
        <f t="array" ref="K420">_xlfn.IFS(AND(Table156[[#This Row],[Total Amount]]&gt;=1500),"Critical",AND(Table156[[#This Row],[Total Amount]]&gt;=1000),"High",TRUE,"Normal")</f>
        <v>Normal</v>
      </c>
      <c r="L420" s="4" t="str">
        <f>IF(Table156[[#This Row],[Total Amount]]&gt;=1000,"High",(IF(Table156[[#This Row],[Total Amount]]&gt;=500,"Medium","Low")))</f>
        <v>Low</v>
      </c>
      <c r="M420" s="4" t="str" cm="1">
        <f t="array" ref="M42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20" s="4" cm="1">
        <f t="array" ref="N42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420" s="4">
        <f>Table156[[#This Row],[Total Amount]]-Table156[[#This Row],[Discount Amount]]</f>
        <v>72</v>
      </c>
      <c r="P420" s="4" t="str">
        <f>IF(Table156[[#This Row],[Total Amount]]&gt;=1000,"High","Low")</f>
        <v>Low</v>
      </c>
      <c r="Q420" s="4" t="str" cm="1">
        <f t="array" ref="Q420">_xlfn.IFS(AND(Table156[[#This Row],[Total Amount]]&gt;=1500,"Critical"),AND(Table156[[#This Row],[Total Amount]]&gt;=1000,"High"),TRUE,"Normal")</f>
        <v>Normal</v>
      </c>
      <c r="R420" s="4">
        <f>COUNTIF(Table156[Gender],"Male")</f>
        <v>490</v>
      </c>
    </row>
    <row r="421" spans="1:18" x14ac:dyDescent="0.35">
      <c r="A421" s="4">
        <v>420</v>
      </c>
      <c r="B421" s="5">
        <v>44949</v>
      </c>
      <c r="C421" s="4" t="s">
        <v>433</v>
      </c>
      <c r="D421" s="4" t="s">
        <v>13</v>
      </c>
      <c r="E421" s="4">
        <v>22</v>
      </c>
      <c r="F421" s="4" t="str">
        <f>IF(Table156[[#This Row],[Age]]&lt;=19,"Teenager",IF(Table156[[#This Row],[Age]]&lt;=40,"Median","Old"))</f>
        <v>Median</v>
      </c>
      <c r="G421" s="4" t="s">
        <v>14</v>
      </c>
      <c r="H421" s="4">
        <v>4</v>
      </c>
      <c r="I421" s="4">
        <v>500</v>
      </c>
      <c r="J421" s="4">
        <v>2000</v>
      </c>
      <c r="K421" s="4" t="str" cm="1">
        <f t="array" ref="K421">_xlfn.IFS(AND(Table156[[#This Row],[Total Amount]]&gt;=1500),"Critical",AND(Table156[[#This Row],[Total Amount]]&gt;=1000),"High",TRUE,"Normal")</f>
        <v>Critical</v>
      </c>
      <c r="L421" s="4" t="str">
        <f>IF(Table156[[#This Row],[Total Amount]]&gt;=1000,"High",(IF(Table156[[#This Row],[Total Amount]]&gt;=500,"Medium","Low")))</f>
        <v>High</v>
      </c>
      <c r="M421" s="4" t="str" cm="1">
        <f t="array" ref="M42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21" s="4" cm="1">
        <f t="array" ref="N42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21" s="4">
        <f>Table156[[#This Row],[Total Amount]]-Table156[[#This Row],[Discount Amount]]</f>
        <v>2000</v>
      </c>
      <c r="P421" s="4" t="str">
        <f>IF(Table156[[#This Row],[Total Amount]]&gt;=1000,"High","Low")</f>
        <v>High</v>
      </c>
      <c r="Q421" s="4" t="b" cm="1">
        <f t="array" ref="Q421">_xlfn.IFS(AND(Table156[[#This Row],[Total Amount]]&gt;=1500,"Critical"),AND(Table156[[#This Row],[Total Amount]]&gt;=1000,"High"),TRUE,"Normal")</f>
        <v>1</v>
      </c>
      <c r="R421" s="4">
        <f>COUNTIF(Table156[Gender],"Male")</f>
        <v>490</v>
      </c>
    </row>
    <row r="422" spans="1:18" x14ac:dyDescent="0.35">
      <c r="A422" s="4">
        <v>421</v>
      </c>
      <c r="B422" s="5">
        <v>44928</v>
      </c>
      <c r="C422" s="4" t="s">
        <v>434</v>
      </c>
      <c r="D422" s="4" t="s">
        <v>13</v>
      </c>
      <c r="E422" s="4">
        <v>37</v>
      </c>
      <c r="F422" s="4" t="str">
        <f>IF(Table156[[#This Row],[Age]]&lt;=19,"Teenager",IF(Table156[[#This Row],[Age]]&lt;=40,"Median","Old"))</f>
        <v>Median</v>
      </c>
      <c r="G422" s="4" t="s">
        <v>14</v>
      </c>
      <c r="H422" s="4">
        <v>3</v>
      </c>
      <c r="I422" s="4">
        <v>500</v>
      </c>
      <c r="J422" s="4">
        <v>1500</v>
      </c>
      <c r="K422" s="4" t="str" cm="1">
        <f t="array" ref="K422">_xlfn.IFS(AND(Table156[[#This Row],[Total Amount]]&gt;=1500),"Critical",AND(Table156[[#This Row],[Total Amount]]&gt;=1000),"High",TRUE,"Normal")</f>
        <v>Critical</v>
      </c>
      <c r="L422" s="4" t="str">
        <f>IF(Table156[[#This Row],[Total Amount]]&gt;=1000,"High",(IF(Table156[[#This Row],[Total Amount]]&gt;=500,"Medium","Low")))</f>
        <v>High</v>
      </c>
      <c r="M422" s="4" t="str" cm="1">
        <f t="array" ref="M42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22" s="4" cm="1">
        <f t="array" ref="N42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422" s="4">
        <f>Table156[[#This Row],[Total Amount]]-Table156[[#This Row],[Discount Amount]]</f>
        <v>1200</v>
      </c>
      <c r="P422" s="4" t="str">
        <f>IF(Table156[[#This Row],[Total Amount]]&gt;=1000,"High","Low")</f>
        <v>High</v>
      </c>
      <c r="Q422" s="4" t="b" cm="1">
        <f t="array" ref="Q422">_xlfn.IFS(AND(Table156[[#This Row],[Total Amount]]&gt;=1500,"Critical"),AND(Table156[[#This Row],[Total Amount]]&gt;=1000,"High"),TRUE,"Normal")</f>
        <v>1</v>
      </c>
      <c r="R422" s="4">
        <f>COUNTIF(Table156[Gender],"Male")</f>
        <v>490</v>
      </c>
    </row>
    <row r="423" spans="1:18" x14ac:dyDescent="0.35">
      <c r="A423" s="4">
        <v>422</v>
      </c>
      <c r="B423" s="5">
        <v>45097</v>
      </c>
      <c r="C423" s="4" t="s">
        <v>435</v>
      </c>
      <c r="D423" s="4" t="s">
        <v>13</v>
      </c>
      <c r="E423" s="4">
        <v>28</v>
      </c>
      <c r="F423" s="4" t="str">
        <f>IF(Table156[[#This Row],[Age]]&lt;=19,"Teenager",IF(Table156[[#This Row],[Age]]&lt;=40,"Median","Old"))</f>
        <v>Median</v>
      </c>
      <c r="G423" s="4" t="s">
        <v>14</v>
      </c>
      <c r="H423" s="4">
        <v>3</v>
      </c>
      <c r="I423" s="4">
        <v>30</v>
      </c>
      <c r="J423" s="4">
        <v>90</v>
      </c>
      <c r="K423" s="4" t="str" cm="1">
        <f t="array" ref="K423">_xlfn.IFS(AND(Table156[[#This Row],[Total Amount]]&gt;=1500),"Critical",AND(Table156[[#This Row],[Total Amount]]&gt;=1000),"High",TRUE,"Normal")</f>
        <v>Normal</v>
      </c>
      <c r="L423" s="4" t="str">
        <f>IF(Table156[[#This Row],[Total Amount]]&gt;=1000,"High",(IF(Table156[[#This Row],[Total Amount]]&gt;=500,"Medium","Low")))</f>
        <v>Low</v>
      </c>
      <c r="M423" s="4" t="str" cm="1">
        <f t="array" ref="M42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23" s="4" cm="1">
        <f t="array" ref="N42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13.5</v>
      </c>
      <c r="O423" s="4">
        <f>Table156[[#This Row],[Total Amount]]-Table156[[#This Row],[Discount Amount]]</f>
        <v>76.5</v>
      </c>
      <c r="P423" s="4" t="str">
        <f>IF(Table156[[#This Row],[Total Amount]]&gt;=1000,"High","Low")</f>
        <v>Low</v>
      </c>
      <c r="Q423" s="4" t="str" cm="1">
        <f t="array" ref="Q423">_xlfn.IFS(AND(Table156[[#This Row],[Total Amount]]&gt;=1500,"Critical"),AND(Table156[[#This Row],[Total Amount]]&gt;=1000,"High"),TRUE,"Normal")</f>
        <v>Normal</v>
      </c>
      <c r="R423" s="4">
        <f>COUNTIF(Table156[Gender],"Male")</f>
        <v>490</v>
      </c>
    </row>
    <row r="424" spans="1:18" x14ac:dyDescent="0.35">
      <c r="A424" s="4">
        <v>423</v>
      </c>
      <c r="B424" s="5">
        <v>44993</v>
      </c>
      <c r="C424" s="4" t="s">
        <v>436</v>
      </c>
      <c r="D424" s="4" t="s">
        <v>13</v>
      </c>
      <c r="E424" s="4">
        <v>27</v>
      </c>
      <c r="F424" s="4" t="str">
        <f>IF(Table156[[#This Row],[Age]]&lt;=19,"Teenager",IF(Table156[[#This Row],[Age]]&lt;=40,"Median","Old"))</f>
        <v>Median</v>
      </c>
      <c r="G424" s="4" t="s">
        <v>14</v>
      </c>
      <c r="H424" s="4">
        <v>1</v>
      </c>
      <c r="I424" s="4">
        <v>25</v>
      </c>
      <c r="J424" s="4">
        <v>25</v>
      </c>
      <c r="K424" s="4" t="str" cm="1">
        <f t="array" ref="K424">_xlfn.IFS(AND(Table156[[#This Row],[Total Amount]]&gt;=1500),"Critical",AND(Table156[[#This Row],[Total Amount]]&gt;=1000),"High",TRUE,"Normal")</f>
        <v>Normal</v>
      </c>
      <c r="L424" s="4" t="str">
        <f>IF(Table156[[#This Row],[Total Amount]]&gt;=1000,"High",(IF(Table156[[#This Row],[Total Amount]]&gt;=500,"Medium","Low")))</f>
        <v>Low</v>
      </c>
      <c r="M424" s="4" t="str" cm="1">
        <f t="array" ref="M42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24" s="4" cm="1">
        <f t="array" ref="N42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3.75</v>
      </c>
      <c r="O424" s="4">
        <f>Table156[[#This Row],[Total Amount]]-Table156[[#This Row],[Discount Amount]]</f>
        <v>21.25</v>
      </c>
      <c r="P424" s="4" t="str">
        <f>IF(Table156[[#This Row],[Total Amount]]&gt;=1000,"High","Low")</f>
        <v>Low</v>
      </c>
      <c r="Q424" s="4" t="str" cm="1">
        <f t="array" ref="Q424">_xlfn.IFS(AND(Table156[[#This Row],[Total Amount]]&gt;=1500,"Critical"),AND(Table156[[#This Row],[Total Amount]]&gt;=1000,"High"),TRUE,"Normal")</f>
        <v>Normal</v>
      </c>
      <c r="R424" s="4">
        <f>COUNTIF(Table156[Gender],"Male")</f>
        <v>490</v>
      </c>
    </row>
    <row r="425" spans="1:18" x14ac:dyDescent="0.35">
      <c r="A425" s="4">
        <v>424</v>
      </c>
      <c r="B425" s="5">
        <v>45253</v>
      </c>
      <c r="C425" s="4" t="s">
        <v>437</v>
      </c>
      <c r="D425" s="4" t="s">
        <v>10</v>
      </c>
      <c r="E425" s="4">
        <v>57</v>
      </c>
      <c r="F425" s="4" t="str">
        <f>IF(Table156[[#This Row],[Age]]&lt;=19,"Teenager",IF(Table156[[#This Row],[Age]]&lt;=40,"Median","Old"))</f>
        <v>Old</v>
      </c>
      <c r="G425" s="4" t="s">
        <v>11</v>
      </c>
      <c r="H425" s="4">
        <v>4</v>
      </c>
      <c r="I425" s="4">
        <v>300</v>
      </c>
      <c r="J425" s="4">
        <v>1200</v>
      </c>
      <c r="K425" s="4" t="str" cm="1">
        <f t="array" ref="K425">_xlfn.IFS(AND(Table156[[#This Row],[Total Amount]]&gt;=1500),"Critical",AND(Table156[[#This Row],[Total Amount]]&gt;=1000),"High",TRUE,"Normal")</f>
        <v>High</v>
      </c>
      <c r="L425" s="4" t="str">
        <f>IF(Table156[[#This Row],[Total Amount]]&gt;=1000,"High",(IF(Table156[[#This Row],[Total Amount]]&gt;=500,"Medium","Low")))</f>
        <v>High</v>
      </c>
      <c r="M425" s="4" t="str" cm="1">
        <f t="array" ref="M42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25" s="4" cm="1">
        <f t="array" ref="N42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425" s="4">
        <f>Table156[[#This Row],[Total Amount]]-Table156[[#This Row],[Discount Amount]]</f>
        <v>1080</v>
      </c>
      <c r="P425" s="4" t="str">
        <f>IF(Table156[[#This Row],[Total Amount]]&gt;=1000,"High","Low")</f>
        <v>High</v>
      </c>
      <c r="Q425" s="4" t="str" cm="1">
        <f t="array" ref="Q425">_xlfn.IFS(AND(Table156[[#This Row],[Total Amount]]&gt;=1500,"Critical"),AND(Table156[[#This Row],[Total Amount]]&gt;=1000,"High"),TRUE,"Normal")</f>
        <v>Normal</v>
      </c>
      <c r="R425" s="4">
        <f>COUNTIF(Table156[Gender],"Male")</f>
        <v>490</v>
      </c>
    </row>
    <row r="426" spans="1:18" x14ac:dyDescent="0.35">
      <c r="A426" s="4">
        <v>425</v>
      </c>
      <c r="B426" s="5">
        <v>45061</v>
      </c>
      <c r="C426" s="4" t="s">
        <v>438</v>
      </c>
      <c r="D426" s="4" t="s">
        <v>13</v>
      </c>
      <c r="E426" s="4">
        <v>55</v>
      </c>
      <c r="F426" s="4" t="str">
        <f>IF(Table156[[#This Row],[Age]]&lt;=19,"Teenager",IF(Table156[[#This Row],[Age]]&lt;=40,"Median","Old"))</f>
        <v>Old</v>
      </c>
      <c r="G426" s="4" t="s">
        <v>16</v>
      </c>
      <c r="H426" s="4">
        <v>4</v>
      </c>
      <c r="I426" s="4">
        <v>30</v>
      </c>
      <c r="J426" s="4">
        <v>120</v>
      </c>
      <c r="K426" s="4" t="str" cm="1">
        <f t="array" ref="K426">_xlfn.IFS(AND(Table156[[#This Row],[Total Amount]]&gt;=1500),"Critical",AND(Table156[[#This Row],[Total Amount]]&gt;=1000),"High",TRUE,"Normal")</f>
        <v>Normal</v>
      </c>
      <c r="L426" s="4" t="str">
        <f>IF(Table156[[#This Row],[Total Amount]]&gt;=1000,"High",(IF(Table156[[#This Row],[Total Amount]]&gt;=500,"Medium","Low")))</f>
        <v>Low</v>
      </c>
      <c r="M426" s="4" t="str" cm="1">
        <f t="array" ref="M42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26" s="4" cm="1">
        <f t="array" ref="N42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426" s="4">
        <f>Table156[[#This Row],[Total Amount]]-Table156[[#This Row],[Discount Amount]]</f>
        <v>96</v>
      </c>
      <c r="P426" s="4" t="str">
        <f>IF(Table156[[#This Row],[Total Amount]]&gt;=1000,"High","Low")</f>
        <v>Low</v>
      </c>
      <c r="Q426" s="4" t="str" cm="1">
        <f t="array" ref="Q426">_xlfn.IFS(AND(Table156[[#This Row],[Total Amount]]&gt;=1500,"Critical"),AND(Table156[[#This Row],[Total Amount]]&gt;=1000,"High"),TRUE,"Normal")</f>
        <v>Normal</v>
      </c>
      <c r="R426" s="4">
        <f>COUNTIF(Table156[Gender],"Male")</f>
        <v>490</v>
      </c>
    </row>
    <row r="427" spans="1:18" x14ac:dyDescent="0.35">
      <c r="A427" s="4">
        <v>426</v>
      </c>
      <c r="B427" s="5">
        <v>45009</v>
      </c>
      <c r="C427" s="4" t="s">
        <v>439</v>
      </c>
      <c r="D427" s="4" t="s">
        <v>10</v>
      </c>
      <c r="E427" s="4">
        <v>23</v>
      </c>
      <c r="F427" s="4" t="str">
        <f>IF(Table156[[#This Row],[Age]]&lt;=19,"Teenager",IF(Table156[[#This Row],[Age]]&lt;=40,"Median","Old"))</f>
        <v>Median</v>
      </c>
      <c r="G427" s="4" t="s">
        <v>16</v>
      </c>
      <c r="H427" s="4">
        <v>3</v>
      </c>
      <c r="I427" s="4">
        <v>50</v>
      </c>
      <c r="J427" s="4">
        <v>150</v>
      </c>
      <c r="K427" s="4" t="str" cm="1">
        <f t="array" ref="K427">_xlfn.IFS(AND(Table156[[#This Row],[Total Amount]]&gt;=1500),"Critical",AND(Table156[[#This Row],[Total Amount]]&gt;=1000),"High",TRUE,"Normal")</f>
        <v>Normal</v>
      </c>
      <c r="L427" s="4" t="str">
        <f>IF(Table156[[#This Row],[Total Amount]]&gt;=1000,"High",(IF(Table156[[#This Row],[Total Amount]]&gt;=500,"Medium","Low")))</f>
        <v>Low</v>
      </c>
      <c r="M427" s="4" t="str" cm="1">
        <f t="array" ref="M42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27" s="4" cm="1">
        <f t="array" ref="N42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27" s="4">
        <f>Table156[[#This Row],[Total Amount]]-Table156[[#This Row],[Discount Amount]]</f>
        <v>150</v>
      </c>
      <c r="P427" s="4" t="str">
        <f>IF(Table156[[#This Row],[Total Amount]]&gt;=1000,"High","Low")</f>
        <v>Low</v>
      </c>
      <c r="Q427" s="4" t="str" cm="1">
        <f t="array" ref="Q427">_xlfn.IFS(AND(Table156[[#This Row],[Total Amount]]&gt;=1500,"Critical"),AND(Table156[[#This Row],[Total Amount]]&gt;=1000,"High"),TRUE,"Normal")</f>
        <v>Normal</v>
      </c>
      <c r="R427" s="4">
        <f>COUNTIF(Table156[Gender],"Male")</f>
        <v>490</v>
      </c>
    </row>
    <row r="428" spans="1:18" x14ac:dyDescent="0.35">
      <c r="A428" s="4">
        <v>427</v>
      </c>
      <c r="B428" s="5">
        <v>45153</v>
      </c>
      <c r="C428" s="4" t="s">
        <v>440</v>
      </c>
      <c r="D428" s="4" t="s">
        <v>10</v>
      </c>
      <c r="E428" s="4">
        <v>25</v>
      </c>
      <c r="F428" s="4" t="str">
        <f>IF(Table156[[#This Row],[Age]]&lt;=19,"Teenager",IF(Table156[[#This Row],[Age]]&lt;=40,"Median","Old"))</f>
        <v>Median</v>
      </c>
      <c r="G428" s="4" t="s">
        <v>16</v>
      </c>
      <c r="H428" s="4">
        <v>1</v>
      </c>
      <c r="I428" s="4">
        <v>25</v>
      </c>
      <c r="J428" s="4">
        <v>25</v>
      </c>
      <c r="K428" s="4" t="str" cm="1">
        <f t="array" ref="K428">_xlfn.IFS(AND(Table156[[#This Row],[Total Amount]]&gt;=1500),"Critical",AND(Table156[[#This Row],[Total Amount]]&gt;=1000),"High",TRUE,"Normal")</f>
        <v>Normal</v>
      </c>
      <c r="L428" s="4" t="str">
        <f>IF(Table156[[#This Row],[Total Amount]]&gt;=1000,"High",(IF(Table156[[#This Row],[Total Amount]]&gt;=500,"Medium","Low")))</f>
        <v>Low</v>
      </c>
      <c r="M428" s="4" t="str" cm="1">
        <f t="array" ref="M42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28" s="4" cm="1">
        <f t="array" ref="N42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3.75</v>
      </c>
      <c r="O428" s="4">
        <f>Table156[[#This Row],[Total Amount]]-Table156[[#This Row],[Discount Amount]]</f>
        <v>21.25</v>
      </c>
      <c r="P428" s="4" t="str">
        <f>IF(Table156[[#This Row],[Total Amount]]&gt;=1000,"High","Low")</f>
        <v>Low</v>
      </c>
      <c r="Q428" s="4" t="str" cm="1">
        <f t="array" ref="Q428">_xlfn.IFS(AND(Table156[[#This Row],[Total Amount]]&gt;=1500,"Critical"),AND(Table156[[#This Row],[Total Amount]]&gt;=1000,"High"),TRUE,"Normal")</f>
        <v>Normal</v>
      </c>
      <c r="R428" s="4">
        <f>COUNTIF(Table156[Gender],"Male")</f>
        <v>490</v>
      </c>
    </row>
    <row r="429" spans="1:18" x14ac:dyDescent="0.35">
      <c r="A429" s="4">
        <v>428</v>
      </c>
      <c r="B429" s="5">
        <v>45209</v>
      </c>
      <c r="C429" s="4" t="s">
        <v>441</v>
      </c>
      <c r="D429" s="4" t="s">
        <v>13</v>
      </c>
      <c r="E429" s="4">
        <v>40</v>
      </c>
      <c r="F429" s="4" t="str">
        <f>IF(Table156[[#This Row],[Age]]&lt;=19,"Teenager",IF(Table156[[#This Row],[Age]]&lt;=40,"Median","Old"))</f>
        <v>Median</v>
      </c>
      <c r="G429" s="4" t="s">
        <v>16</v>
      </c>
      <c r="H429" s="4">
        <v>4</v>
      </c>
      <c r="I429" s="4">
        <v>50</v>
      </c>
      <c r="J429" s="4">
        <v>200</v>
      </c>
      <c r="K429" s="4" t="str" cm="1">
        <f t="array" ref="K429">_xlfn.IFS(AND(Table156[[#This Row],[Total Amount]]&gt;=1500),"Critical",AND(Table156[[#This Row],[Total Amount]]&gt;=1000),"High",TRUE,"Normal")</f>
        <v>Normal</v>
      </c>
      <c r="L429" s="4" t="str">
        <f>IF(Table156[[#This Row],[Total Amount]]&gt;=1000,"High",(IF(Table156[[#This Row],[Total Amount]]&gt;=500,"Medium","Low")))</f>
        <v>Low</v>
      </c>
      <c r="M429" s="4" t="str" cm="1">
        <f t="array" ref="M42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29" s="4" cm="1">
        <f t="array" ref="N42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429" s="4">
        <f>Table156[[#This Row],[Total Amount]]-Table156[[#This Row],[Discount Amount]]</f>
        <v>160</v>
      </c>
      <c r="P429" s="4" t="str">
        <f>IF(Table156[[#This Row],[Total Amount]]&gt;=1000,"High","Low")</f>
        <v>Low</v>
      </c>
      <c r="Q429" s="4" t="str" cm="1">
        <f t="array" ref="Q429">_xlfn.IFS(AND(Table156[[#This Row],[Total Amount]]&gt;=1500,"Critical"),AND(Table156[[#This Row],[Total Amount]]&gt;=1000,"High"),TRUE,"Normal")</f>
        <v>Normal</v>
      </c>
      <c r="R429" s="4">
        <f>COUNTIF(Table156[Gender],"Male")</f>
        <v>490</v>
      </c>
    </row>
    <row r="430" spans="1:18" x14ac:dyDescent="0.35">
      <c r="A430" s="4">
        <v>429</v>
      </c>
      <c r="B430" s="5">
        <v>45288</v>
      </c>
      <c r="C430" s="4" t="s">
        <v>442</v>
      </c>
      <c r="D430" s="4" t="s">
        <v>10</v>
      </c>
      <c r="E430" s="4">
        <v>64</v>
      </c>
      <c r="F430" s="4" t="str">
        <f>IF(Table156[[#This Row],[Age]]&lt;=19,"Teenager",IF(Table156[[#This Row],[Age]]&lt;=40,"Median","Old"))</f>
        <v>Old</v>
      </c>
      <c r="G430" s="4" t="s">
        <v>16</v>
      </c>
      <c r="H430" s="4">
        <v>2</v>
      </c>
      <c r="I430" s="4">
        <v>25</v>
      </c>
      <c r="J430" s="4">
        <v>50</v>
      </c>
      <c r="K430" s="4" t="str" cm="1">
        <f t="array" ref="K430">_xlfn.IFS(AND(Table156[[#This Row],[Total Amount]]&gt;=1500),"Critical",AND(Table156[[#This Row],[Total Amount]]&gt;=1000),"High",TRUE,"Normal")</f>
        <v>Normal</v>
      </c>
      <c r="L430" s="4" t="str">
        <f>IF(Table156[[#This Row],[Total Amount]]&gt;=1000,"High",(IF(Table156[[#This Row],[Total Amount]]&gt;=500,"Medium","Low")))</f>
        <v>Low</v>
      </c>
      <c r="M430" s="4" t="str" cm="1">
        <f t="array" ref="M43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30" s="4" cm="1">
        <f t="array" ref="N43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430" s="4">
        <f>Table156[[#This Row],[Total Amount]]-Table156[[#This Row],[Discount Amount]]</f>
        <v>45</v>
      </c>
      <c r="P430" s="4" t="str">
        <f>IF(Table156[[#This Row],[Total Amount]]&gt;=1000,"High","Low")</f>
        <v>Low</v>
      </c>
      <c r="Q430" s="4" t="str" cm="1">
        <f t="array" ref="Q430">_xlfn.IFS(AND(Table156[[#This Row],[Total Amount]]&gt;=1500,"Critical"),AND(Table156[[#This Row],[Total Amount]]&gt;=1000,"High"),TRUE,"Normal")</f>
        <v>Normal</v>
      </c>
      <c r="R430" s="4">
        <f>COUNTIF(Table156[Gender],"Male")</f>
        <v>490</v>
      </c>
    </row>
    <row r="431" spans="1:18" x14ac:dyDescent="0.35">
      <c r="A431" s="4">
        <v>430</v>
      </c>
      <c r="B431" s="5">
        <v>45145</v>
      </c>
      <c r="C431" s="4" t="s">
        <v>443</v>
      </c>
      <c r="D431" s="4" t="s">
        <v>13</v>
      </c>
      <c r="E431" s="4">
        <v>43</v>
      </c>
      <c r="F431" s="4" t="str">
        <f>IF(Table156[[#This Row],[Age]]&lt;=19,"Teenager",IF(Table156[[#This Row],[Age]]&lt;=40,"Median","Old"))</f>
        <v>Old</v>
      </c>
      <c r="G431" s="4" t="s">
        <v>16</v>
      </c>
      <c r="H431" s="4">
        <v>3</v>
      </c>
      <c r="I431" s="4">
        <v>300</v>
      </c>
      <c r="J431" s="4">
        <v>900</v>
      </c>
      <c r="K431" s="4" t="str" cm="1">
        <f t="array" ref="K431">_xlfn.IFS(AND(Table156[[#This Row],[Total Amount]]&gt;=1500),"Critical",AND(Table156[[#This Row],[Total Amount]]&gt;=1000),"High",TRUE,"Normal")</f>
        <v>Normal</v>
      </c>
      <c r="L431" s="4" t="str">
        <f>IF(Table156[[#This Row],[Total Amount]]&gt;=1000,"High",(IF(Table156[[#This Row],[Total Amount]]&gt;=500,"Medium","Low")))</f>
        <v>Medium</v>
      </c>
      <c r="M431" s="4" t="str" cm="1">
        <f t="array" ref="M43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31" s="4" cm="1">
        <f t="array" ref="N43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431" s="4">
        <f>Table156[[#This Row],[Total Amount]]-Table156[[#This Row],[Discount Amount]]</f>
        <v>720</v>
      </c>
      <c r="P431" s="4" t="str">
        <f>IF(Table156[[#This Row],[Total Amount]]&gt;=1000,"High","Low")</f>
        <v>Low</v>
      </c>
      <c r="Q431" s="4" t="str" cm="1">
        <f t="array" ref="Q431">_xlfn.IFS(AND(Table156[[#This Row],[Total Amount]]&gt;=1500,"Critical"),AND(Table156[[#This Row],[Total Amount]]&gt;=1000,"High"),TRUE,"Normal")</f>
        <v>Normal</v>
      </c>
      <c r="R431" s="4">
        <f>COUNTIF(Table156[Gender],"Male")</f>
        <v>490</v>
      </c>
    </row>
    <row r="432" spans="1:18" x14ac:dyDescent="0.35">
      <c r="A432" s="4">
        <v>431</v>
      </c>
      <c r="B432" s="5">
        <v>45214</v>
      </c>
      <c r="C432" s="4" t="s">
        <v>444</v>
      </c>
      <c r="D432" s="4" t="s">
        <v>10</v>
      </c>
      <c r="E432" s="4">
        <v>63</v>
      </c>
      <c r="F432" s="4" t="str">
        <f>IF(Table156[[#This Row],[Age]]&lt;=19,"Teenager",IF(Table156[[#This Row],[Age]]&lt;=40,"Median","Old"))</f>
        <v>Old</v>
      </c>
      <c r="G432" s="4" t="s">
        <v>16</v>
      </c>
      <c r="H432" s="4">
        <v>4</v>
      </c>
      <c r="I432" s="4">
        <v>300</v>
      </c>
      <c r="J432" s="4">
        <v>1200</v>
      </c>
      <c r="K432" s="4" t="str" cm="1">
        <f t="array" ref="K432">_xlfn.IFS(AND(Table156[[#This Row],[Total Amount]]&gt;=1500),"Critical",AND(Table156[[#This Row],[Total Amount]]&gt;=1000),"High",TRUE,"Normal")</f>
        <v>High</v>
      </c>
      <c r="L432" s="4" t="str">
        <f>IF(Table156[[#This Row],[Total Amount]]&gt;=1000,"High",(IF(Table156[[#This Row],[Total Amount]]&gt;=500,"Medium","Low")))</f>
        <v>High</v>
      </c>
      <c r="M432" s="4" t="str" cm="1">
        <f t="array" ref="M43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32" s="4" cm="1">
        <f t="array" ref="N43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432" s="4">
        <f>Table156[[#This Row],[Total Amount]]-Table156[[#This Row],[Discount Amount]]</f>
        <v>1080</v>
      </c>
      <c r="P432" s="4" t="str">
        <f>IF(Table156[[#This Row],[Total Amount]]&gt;=1000,"High","Low")</f>
        <v>High</v>
      </c>
      <c r="Q432" s="4" t="str" cm="1">
        <f t="array" ref="Q432">_xlfn.IFS(AND(Table156[[#This Row],[Total Amount]]&gt;=1500,"Critical"),AND(Table156[[#This Row],[Total Amount]]&gt;=1000,"High"),TRUE,"Normal")</f>
        <v>Normal</v>
      </c>
      <c r="R432" s="4">
        <f>COUNTIF(Table156[Gender],"Male")</f>
        <v>490</v>
      </c>
    </row>
    <row r="433" spans="1:18" x14ac:dyDescent="0.35">
      <c r="A433" s="4">
        <v>432</v>
      </c>
      <c r="B433" s="5">
        <v>44931</v>
      </c>
      <c r="C433" s="4" t="s">
        <v>445</v>
      </c>
      <c r="D433" s="4" t="s">
        <v>13</v>
      </c>
      <c r="E433" s="4">
        <v>60</v>
      </c>
      <c r="F433" s="4" t="str">
        <f>IF(Table156[[#This Row],[Age]]&lt;=19,"Teenager",IF(Table156[[#This Row],[Age]]&lt;=40,"Median","Old"))</f>
        <v>Old</v>
      </c>
      <c r="G433" s="4" t="s">
        <v>16</v>
      </c>
      <c r="H433" s="4">
        <v>2</v>
      </c>
      <c r="I433" s="4">
        <v>500</v>
      </c>
      <c r="J433" s="4">
        <v>1000</v>
      </c>
      <c r="K433" s="4" t="str" cm="1">
        <f t="array" ref="K433">_xlfn.IFS(AND(Table156[[#This Row],[Total Amount]]&gt;=1500),"Critical",AND(Table156[[#This Row],[Total Amount]]&gt;=1000),"High",TRUE,"Normal")</f>
        <v>High</v>
      </c>
      <c r="L433" s="4" t="str">
        <f>IF(Table156[[#This Row],[Total Amount]]&gt;=1000,"High",(IF(Table156[[#This Row],[Total Amount]]&gt;=500,"Medium","Low")))</f>
        <v>High</v>
      </c>
      <c r="M433" s="4" t="str" cm="1">
        <f t="array" ref="M43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33" s="4" cm="1">
        <f t="array" ref="N43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433" s="4">
        <f>Table156[[#This Row],[Total Amount]]-Table156[[#This Row],[Discount Amount]]</f>
        <v>800</v>
      </c>
      <c r="P433" s="4" t="str">
        <f>IF(Table156[[#This Row],[Total Amount]]&gt;=1000,"High","Low")</f>
        <v>High</v>
      </c>
      <c r="Q433" s="4" t="str" cm="1">
        <f t="array" ref="Q433">_xlfn.IFS(AND(Table156[[#This Row],[Total Amount]]&gt;=1500,"Critical"),AND(Table156[[#This Row],[Total Amount]]&gt;=1000,"High"),TRUE,"Normal")</f>
        <v>Normal</v>
      </c>
      <c r="R433" s="4">
        <f>COUNTIF(Table156[Gender],"Male")</f>
        <v>490</v>
      </c>
    </row>
    <row r="434" spans="1:18" x14ac:dyDescent="0.35">
      <c r="A434" s="4">
        <v>433</v>
      </c>
      <c r="B434" s="5">
        <v>44984</v>
      </c>
      <c r="C434" s="4" t="s">
        <v>446</v>
      </c>
      <c r="D434" s="4" t="s">
        <v>10</v>
      </c>
      <c r="E434" s="4">
        <v>29</v>
      </c>
      <c r="F434" s="4" t="str">
        <f>IF(Table156[[#This Row],[Age]]&lt;=19,"Teenager",IF(Table156[[#This Row],[Age]]&lt;=40,"Median","Old"))</f>
        <v>Median</v>
      </c>
      <c r="G434" s="4" t="s">
        <v>11</v>
      </c>
      <c r="H434" s="4">
        <v>4</v>
      </c>
      <c r="I434" s="4">
        <v>50</v>
      </c>
      <c r="J434" s="4">
        <v>200</v>
      </c>
      <c r="K434" s="4" t="str" cm="1">
        <f t="array" ref="K434">_xlfn.IFS(AND(Table156[[#This Row],[Total Amount]]&gt;=1500),"Critical",AND(Table156[[#This Row],[Total Amount]]&gt;=1000),"High",TRUE,"Normal")</f>
        <v>Normal</v>
      </c>
      <c r="L434" s="4" t="str">
        <f>IF(Table156[[#This Row],[Total Amount]]&gt;=1000,"High",(IF(Table156[[#This Row],[Total Amount]]&gt;=500,"Medium","Low")))</f>
        <v>Low</v>
      </c>
      <c r="M434" s="4" t="str" cm="1">
        <f t="array" ref="M43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34" s="4" cm="1">
        <f t="array" ref="N43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434" s="4">
        <f>Table156[[#This Row],[Total Amount]]-Table156[[#This Row],[Discount Amount]]</f>
        <v>170</v>
      </c>
      <c r="P434" s="4" t="str">
        <f>IF(Table156[[#This Row],[Total Amount]]&gt;=1000,"High","Low")</f>
        <v>Low</v>
      </c>
      <c r="Q434" s="4" t="str" cm="1">
        <f t="array" ref="Q434">_xlfn.IFS(AND(Table156[[#This Row],[Total Amount]]&gt;=1500,"Critical"),AND(Table156[[#This Row],[Total Amount]]&gt;=1000,"High"),TRUE,"Normal")</f>
        <v>Normal</v>
      </c>
      <c r="R434" s="4">
        <f>COUNTIF(Table156[Gender],"Male")</f>
        <v>490</v>
      </c>
    </row>
    <row r="435" spans="1:18" x14ac:dyDescent="0.35">
      <c r="A435" s="4">
        <v>434</v>
      </c>
      <c r="B435" s="5">
        <v>44965</v>
      </c>
      <c r="C435" s="4" t="s">
        <v>447</v>
      </c>
      <c r="D435" s="4" t="s">
        <v>13</v>
      </c>
      <c r="E435" s="4">
        <v>43</v>
      </c>
      <c r="F435" s="4" t="str">
        <f>IF(Table156[[#This Row],[Age]]&lt;=19,"Teenager",IF(Table156[[#This Row],[Age]]&lt;=40,"Median","Old"))</f>
        <v>Old</v>
      </c>
      <c r="G435" s="4" t="s">
        <v>16</v>
      </c>
      <c r="H435" s="4">
        <v>2</v>
      </c>
      <c r="I435" s="4">
        <v>25</v>
      </c>
      <c r="J435" s="4">
        <v>50</v>
      </c>
      <c r="K435" s="4" t="str" cm="1">
        <f t="array" ref="K435">_xlfn.IFS(AND(Table156[[#This Row],[Total Amount]]&gt;=1500),"Critical",AND(Table156[[#This Row],[Total Amount]]&gt;=1000),"High",TRUE,"Normal")</f>
        <v>Normal</v>
      </c>
      <c r="L435" s="4" t="str">
        <f>IF(Table156[[#This Row],[Total Amount]]&gt;=1000,"High",(IF(Table156[[#This Row],[Total Amount]]&gt;=500,"Medium","Low")))</f>
        <v>Low</v>
      </c>
      <c r="M435" s="4" t="str" cm="1">
        <f t="array" ref="M43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35" s="4" cm="1">
        <f t="array" ref="N43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435" s="4">
        <f>Table156[[#This Row],[Total Amount]]-Table156[[#This Row],[Discount Amount]]</f>
        <v>40</v>
      </c>
      <c r="P435" s="4" t="str">
        <f>IF(Table156[[#This Row],[Total Amount]]&gt;=1000,"High","Low")</f>
        <v>Low</v>
      </c>
      <c r="Q435" s="4" t="str" cm="1">
        <f t="array" ref="Q435">_xlfn.IFS(AND(Table156[[#This Row],[Total Amount]]&gt;=1500,"Critical"),AND(Table156[[#This Row],[Total Amount]]&gt;=1000,"High"),TRUE,"Normal")</f>
        <v>Normal</v>
      </c>
      <c r="R435" s="4">
        <f>COUNTIF(Table156[Gender],"Male")</f>
        <v>490</v>
      </c>
    </row>
    <row r="436" spans="1:18" x14ac:dyDescent="0.35">
      <c r="A436" s="4">
        <v>435</v>
      </c>
      <c r="B436" s="5">
        <v>45280</v>
      </c>
      <c r="C436" s="4" t="s">
        <v>448</v>
      </c>
      <c r="D436" s="4" t="s">
        <v>13</v>
      </c>
      <c r="E436" s="4">
        <v>30</v>
      </c>
      <c r="F436" s="4" t="str">
        <f>IF(Table156[[#This Row],[Age]]&lt;=19,"Teenager",IF(Table156[[#This Row],[Age]]&lt;=40,"Median","Old"))</f>
        <v>Median</v>
      </c>
      <c r="G436" s="4" t="s">
        <v>11</v>
      </c>
      <c r="H436" s="4">
        <v>3</v>
      </c>
      <c r="I436" s="4">
        <v>300</v>
      </c>
      <c r="J436" s="4">
        <v>900</v>
      </c>
      <c r="K436" s="4" t="str" cm="1">
        <f t="array" ref="K436">_xlfn.IFS(AND(Table156[[#This Row],[Total Amount]]&gt;=1500),"Critical",AND(Table156[[#This Row],[Total Amount]]&gt;=1000),"High",TRUE,"Normal")</f>
        <v>Normal</v>
      </c>
      <c r="L436" s="4" t="str">
        <f>IF(Table156[[#This Row],[Total Amount]]&gt;=1000,"High",(IF(Table156[[#This Row],[Total Amount]]&gt;=500,"Medium","Low")))</f>
        <v>Medium</v>
      </c>
      <c r="M436" s="4" t="str" cm="1">
        <f t="array" ref="M43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36" s="4" cm="1">
        <f t="array" ref="N43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135</v>
      </c>
      <c r="O436" s="4">
        <f>Table156[[#This Row],[Total Amount]]-Table156[[#This Row],[Discount Amount]]</f>
        <v>765</v>
      </c>
      <c r="P436" s="4" t="str">
        <f>IF(Table156[[#This Row],[Total Amount]]&gt;=1000,"High","Low")</f>
        <v>Low</v>
      </c>
      <c r="Q436" s="4" t="str" cm="1">
        <f t="array" ref="Q436">_xlfn.IFS(AND(Table156[[#This Row],[Total Amount]]&gt;=1500,"Critical"),AND(Table156[[#This Row],[Total Amount]]&gt;=1000,"High"),TRUE,"Normal")</f>
        <v>Normal</v>
      </c>
      <c r="R436" s="4">
        <f>COUNTIF(Table156[Gender],"Male")</f>
        <v>490</v>
      </c>
    </row>
    <row r="437" spans="1:18" x14ac:dyDescent="0.35">
      <c r="A437" s="4">
        <v>436</v>
      </c>
      <c r="B437" s="5">
        <v>45003</v>
      </c>
      <c r="C437" s="4" t="s">
        <v>449</v>
      </c>
      <c r="D437" s="4" t="s">
        <v>13</v>
      </c>
      <c r="E437" s="4">
        <v>57</v>
      </c>
      <c r="F437" s="4" t="str">
        <f>IF(Table156[[#This Row],[Age]]&lt;=19,"Teenager",IF(Table156[[#This Row],[Age]]&lt;=40,"Median","Old"))</f>
        <v>Old</v>
      </c>
      <c r="G437" s="4" t="s">
        <v>14</v>
      </c>
      <c r="H437" s="4">
        <v>4</v>
      </c>
      <c r="I437" s="4">
        <v>30</v>
      </c>
      <c r="J437" s="4">
        <v>120</v>
      </c>
      <c r="K437" s="4" t="str" cm="1">
        <f t="array" ref="K437">_xlfn.IFS(AND(Table156[[#This Row],[Total Amount]]&gt;=1500),"Critical",AND(Table156[[#This Row],[Total Amount]]&gt;=1000),"High",TRUE,"Normal")</f>
        <v>Normal</v>
      </c>
      <c r="L437" s="4" t="str">
        <f>IF(Table156[[#This Row],[Total Amount]]&gt;=1000,"High",(IF(Table156[[#This Row],[Total Amount]]&gt;=500,"Medium","Low")))</f>
        <v>Low</v>
      </c>
      <c r="M437" s="4" t="str" cm="1">
        <f t="array" ref="M43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37" s="4" cm="1">
        <f t="array" ref="N43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437" s="4">
        <f>Table156[[#This Row],[Total Amount]]-Table156[[#This Row],[Discount Amount]]</f>
        <v>96</v>
      </c>
      <c r="P437" s="4" t="str">
        <f>IF(Table156[[#This Row],[Total Amount]]&gt;=1000,"High","Low")</f>
        <v>Low</v>
      </c>
      <c r="Q437" s="4" t="str" cm="1">
        <f t="array" ref="Q437">_xlfn.IFS(AND(Table156[[#This Row],[Total Amount]]&gt;=1500,"Critical"),AND(Table156[[#This Row],[Total Amount]]&gt;=1000,"High"),TRUE,"Normal")</f>
        <v>Normal</v>
      </c>
      <c r="R437" s="4">
        <f>COUNTIF(Table156[Gender],"Male")</f>
        <v>490</v>
      </c>
    </row>
    <row r="438" spans="1:18" x14ac:dyDescent="0.35">
      <c r="A438" s="4">
        <v>437</v>
      </c>
      <c r="B438" s="5">
        <v>45206</v>
      </c>
      <c r="C438" s="4" t="s">
        <v>450</v>
      </c>
      <c r="D438" s="4" t="s">
        <v>13</v>
      </c>
      <c r="E438" s="4">
        <v>35</v>
      </c>
      <c r="F438" s="4" t="str">
        <f>IF(Table156[[#This Row],[Age]]&lt;=19,"Teenager",IF(Table156[[#This Row],[Age]]&lt;=40,"Median","Old"))</f>
        <v>Median</v>
      </c>
      <c r="G438" s="4" t="s">
        <v>16</v>
      </c>
      <c r="H438" s="4">
        <v>4</v>
      </c>
      <c r="I438" s="4">
        <v>300</v>
      </c>
      <c r="J438" s="4">
        <v>1200</v>
      </c>
      <c r="K438" s="4" t="str" cm="1">
        <f t="array" ref="K438">_xlfn.IFS(AND(Table156[[#This Row],[Total Amount]]&gt;=1500),"Critical",AND(Table156[[#This Row],[Total Amount]]&gt;=1000),"High",TRUE,"Normal")</f>
        <v>High</v>
      </c>
      <c r="L438" s="4" t="str">
        <f>IF(Table156[[#This Row],[Total Amount]]&gt;=1000,"High",(IF(Table156[[#This Row],[Total Amount]]&gt;=500,"Medium","Low")))</f>
        <v>High</v>
      </c>
      <c r="M438" s="4" t="str" cm="1">
        <f t="array" ref="M43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38" s="4" cm="1">
        <f t="array" ref="N43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438" s="4">
        <f>Table156[[#This Row],[Total Amount]]-Table156[[#This Row],[Discount Amount]]</f>
        <v>960</v>
      </c>
      <c r="P438" s="4" t="str">
        <f>IF(Table156[[#This Row],[Total Amount]]&gt;=1000,"High","Low")</f>
        <v>High</v>
      </c>
      <c r="Q438" s="4" t="str" cm="1">
        <f t="array" ref="Q438">_xlfn.IFS(AND(Table156[[#This Row],[Total Amount]]&gt;=1500,"Critical"),AND(Table156[[#This Row],[Total Amount]]&gt;=1000,"High"),TRUE,"Normal")</f>
        <v>Normal</v>
      </c>
      <c r="R438" s="4">
        <f>COUNTIF(Table156[Gender],"Male")</f>
        <v>490</v>
      </c>
    </row>
    <row r="439" spans="1:18" x14ac:dyDescent="0.35">
      <c r="A439" s="4">
        <v>438</v>
      </c>
      <c r="B439" s="5">
        <v>44945</v>
      </c>
      <c r="C439" s="4" t="s">
        <v>451</v>
      </c>
      <c r="D439" s="4" t="s">
        <v>13</v>
      </c>
      <c r="E439" s="4">
        <v>42</v>
      </c>
      <c r="F439" s="4" t="str">
        <f>IF(Table156[[#This Row],[Age]]&lt;=19,"Teenager",IF(Table156[[#This Row],[Age]]&lt;=40,"Median","Old"))</f>
        <v>Old</v>
      </c>
      <c r="G439" s="4" t="s">
        <v>14</v>
      </c>
      <c r="H439" s="4">
        <v>1</v>
      </c>
      <c r="I439" s="4">
        <v>30</v>
      </c>
      <c r="J439" s="4">
        <v>30</v>
      </c>
      <c r="K439" s="4" t="str" cm="1">
        <f t="array" ref="K439">_xlfn.IFS(AND(Table156[[#This Row],[Total Amount]]&gt;=1500),"Critical",AND(Table156[[#This Row],[Total Amount]]&gt;=1000),"High",TRUE,"Normal")</f>
        <v>Normal</v>
      </c>
      <c r="L439" s="4" t="str">
        <f>IF(Table156[[#This Row],[Total Amount]]&gt;=1000,"High",(IF(Table156[[#This Row],[Total Amount]]&gt;=500,"Medium","Low")))</f>
        <v>Low</v>
      </c>
      <c r="M439" s="4" t="str" cm="1">
        <f t="array" ref="M43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39" s="4" cm="1">
        <f t="array" ref="N43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439" s="4">
        <f>Table156[[#This Row],[Total Amount]]-Table156[[#This Row],[Discount Amount]]</f>
        <v>24</v>
      </c>
      <c r="P439" s="4" t="str">
        <f>IF(Table156[[#This Row],[Total Amount]]&gt;=1000,"High","Low")</f>
        <v>Low</v>
      </c>
      <c r="Q439" s="4" t="str" cm="1">
        <f t="array" ref="Q439">_xlfn.IFS(AND(Table156[[#This Row],[Total Amount]]&gt;=1500,"Critical"),AND(Table156[[#This Row],[Total Amount]]&gt;=1000,"High"),TRUE,"Normal")</f>
        <v>Normal</v>
      </c>
      <c r="R439" s="4">
        <f>COUNTIF(Table156[Gender],"Male")</f>
        <v>490</v>
      </c>
    </row>
    <row r="440" spans="1:18" x14ac:dyDescent="0.35">
      <c r="A440" s="4">
        <v>439</v>
      </c>
      <c r="B440" s="5">
        <v>45116</v>
      </c>
      <c r="C440" s="4" t="s">
        <v>452</v>
      </c>
      <c r="D440" s="4" t="s">
        <v>10</v>
      </c>
      <c r="E440" s="4">
        <v>50</v>
      </c>
      <c r="F440" s="4" t="str">
        <f>IF(Table156[[#This Row],[Age]]&lt;=19,"Teenager",IF(Table156[[#This Row],[Age]]&lt;=40,"Median","Old"))</f>
        <v>Old</v>
      </c>
      <c r="G440" s="4" t="s">
        <v>14</v>
      </c>
      <c r="H440" s="4">
        <v>3</v>
      </c>
      <c r="I440" s="4">
        <v>25</v>
      </c>
      <c r="J440" s="4">
        <v>75</v>
      </c>
      <c r="K440" s="4" t="str" cm="1">
        <f t="array" ref="K440">_xlfn.IFS(AND(Table156[[#This Row],[Total Amount]]&gt;=1500),"Critical",AND(Table156[[#This Row],[Total Amount]]&gt;=1000),"High",TRUE,"Normal")</f>
        <v>Normal</v>
      </c>
      <c r="L440" s="4" t="str">
        <f>IF(Table156[[#This Row],[Total Amount]]&gt;=1000,"High",(IF(Table156[[#This Row],[Total Amount]]&gt;=500,"Medium","Low")))</f>
        <v>Low</v>
      </c>
      <c r="M440" s="4" t="str" cm="1">
        <f t="array" ref="M44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40" s="4" cm="1">
        <f t="array" ref="N44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440" s="4">
        <f>Table156[[#This Row],[Total Amount]]-Table156[[#This Row],[Discount Amount]]</f>
        <v>67.5</v>
      </c>
      <c r="P440" s="4" t="str">
        <f>IF(Table156[[#This Row],[Total Amount]]&gt;=1000,"High","Low")</f>
        <v>Low</v>
      </c>
      <c r="Q440" s="4" t="str" cm="1">
        <f t="array" ref="Q440">_xlfn.IFS(AND(Table156[[#This Row],[Total Amount]]&gt;=1500,"Critical"),AND(Table156[[#This Row],[Total Amount]]&gt;=1000,"High"),TRUE,"Normal")</f>
        <v>Normal</v>
      </c>
      <c r="R440" s="4">
        <f>COUNTIF(Table156[Gender],"Male")</f>
        <v>490</v>
      </c>
    </row>
    <row r="441" spans="1:18" x14ac:dyDescent="0.35">
      <c r="A441" s="4">
        <v>440</v>
      </c>
      <c r="B441" s="5">
        <v>45225</v>
      </c>
      <c r="C441" s="4" t="s">
        <v>453</v>
      </c>
      <c r="D441" s="4" t="s">
        <v>10</v>
      </c>
      <c r="E441" s="4">
        <v>64</v>
      </c>
      <c r="F441" s="4" t="str">
        <f>IF(Table156[[#This Row],[Age]]&lt;=19,"Teenager",IF(Table156[[#This Row],[Age]]&lt;=40,"Median","Old"))</f>
        <v>Old</v>
      </c>
      <c r="G441" s="4" t="s">
        <v>14</v>
      </c>
      <c r="H441" s="4">
        <v>2</v>
      </c>
      <c r="I441" s="4">
        <v>300</v>
      </c>
      <c r="J441" s="4">
        <v>600</v>
      </c>
      <c r="K441" s="4" t="str" cm="1">
        <f t="array" ref="K441">_xlfn.IFS(AND(Table156[[#This Row],[Total Amount]]&gt;=1500),"Critical",AND(Table156[[#This Row],[Total Amount]]&gt;=1000),"High",TRUE,"Normal")</f>
        <v>Normal</v>
      </c>
      <c r="L441" s="4" t="str">
        <f>IF(Table156[[#This Row],[Total Amount]]&gt;=1000,"High",(IF(Table156[[#This Row],[Total Amount]]&gt;=500,"Medium","Low")))</f>
        <v>Medium</v>
      </c>
      <c r="M441" s="4" t="str" cm="1">
        <f t="array" ref="M44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41" s="4" cm="1">
        <f t="array" ref="N44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441" s="4">
        <f>Table156[[#This Row],[Total Amount]]-Table156[[#This Row],[Discount Amount]]</f>
        <v>540</v>
      </c>
      <c r="P441" s="4" t="str">
        <f>IF(Table156[[#This Row],[Total Amount]]&gt;=1000,"High","Low")</f>
        <v>Low</v>
      </c>
      <c r="Q441" s="4" t="str" cm="1">
        <f t="array" ref="Q441">_xlfn.IFS(AND(Table156[[#This Row],[Total Amount]]&gt;=1500,"Critical"),AND(Table156[[#This Row],[Total Amount]]&gt;=1000,"High"),TRUE,"Normal")</f>
        <v>Normal</v>
      </c>
      <c r="R441" s="4">
        <f>COUNTIF(Table156[Gender],"Male")</f>
        <v>490</v>
      </c>
    </row>
    <row r="442" spans="1:18" x14ac:dyDescent="0.35">
      <c r="A442" s="4">
        <v>441</v>
      </c>
      <c r="B442" s="5">
        <v>45209</v>
      </c>
      <c r="C442" s="4" t="s">
        <v>454</v>
      </c>
      <c r="D442" s="4" t="s">
        <v>10</v>
      </c>
      <c r="E442" s="4">
        <v>57</v>
      </c>
      <c r="F442" s="4" t="str">
        <f>IF(Table156[[#This Row],[Age]]&lt;=19,"Teenager",IF(Table156[[#This Row],[Age]]&lt;=40,"Median","Old"))</f>
        <v>Old</v>
      </c>
      <c r="G442" s="4" t="s">
        <v>11</v>
      </c>
      <c r="H442" s="4">
        <v>4</v>
      </c>
      <c r="I442" s="4">
        <v>300</v>
      </c>
      <c r="J442" s="4">
        <v>1200</v>
      </c>
      <c r="K442" s="4" t="str" cm="1">
        <f t="array" ref="K442">_xlfn.IFS(AND(Table156[[#This Row],[Total Amount]]&gt;=1500),"Critical",AND(Table156[[#This Row],[Total Amount]]&gt;=1000),"High",TRUE,"Normal")</f>
        <v>High</v>
      </c>
      <c r="L442" s="4" t="str">
        <f>IF(Table156[[#This Row],[Total Amount]]&gt;=1000,"High",(IF(Table156[[#This Row],[Total Amount]]&gt;=500,"Medium","Low")))</f>
        <v>High</v>
      </c>
      <c r="M442" s="4" t="str" cm="1">
        <f t="array" ref="M44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42" s="4" cm="1">
        <f t="array" ref="N44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442" s="4">
        <f>Table156[[#This Row],[Total Amount]]-Table156[[#This Row],[Discount Amount]]</f>
        <v>1080</v>
      </c>
      <c r="P442" s="4" t="str">
        <f>IF(Table156[[#This Row],[Total Amount]]&gt;=1000,"High","Low")</f>
        <v>High</v>
      </c>
      <c r="Q442" s="4" t="str" cm="1">
        <f t="array" ref="Q442">_xlfn.IFS(AND(Table156[[#This Row],[Total Amount]]&gt;=1500,"Critical"),AND(Table156[[#This Row],[Total Amount]]&gt;=1000,"High"),TRUE,"Normal")</f>
        <v>Normal</v>
      </c>
      <c r="R442" s="4">
        <f>COUNTIF(Table156[Gender],"Male")</f>
        <v>490</v>
      </c>
    </row>
    <row r="443" spans="1:18" x14ac:dyDescent="0.35">
      <c r="A443" s="4">
        <v>442</v>
      </c>
      <c r="B443" s="5">
        <v>45002</v>
      </c>
      <c r="C443" s="4" t="s">
        <v>455</v>
      </c>
      <c r="D443" s="4" t="s">
        <v>13</v>
      </c>
      <c r="E443" s="4">
        <v>60</v>
      </c>
      <c r="F443" s="4" t="str">
        <f>IF(Table156[[#This Row],[Age]]&lt;=19,"Teenager",IF(Table156[[#This Row],[Age]]&lt;=40,"Median","Old"))</f>
        <v>Old</v>
      </c>
      <c r="G443" s="4" t="s">
        <v>14</v>
      </c>
      <c r="H443" s="4">
        <v>4</v>
      </c>
      <c r="I443" s="4">
        <v>25</v>
      </c>
      <c r="J443" s="4">
        <v>100</v>
      </c>
      <c r="K443" s="4" t="str" cm="1">
        <f t="array" ref="K443">_xlfn.IFS(AND(Table156[[#This Row],[Total Amount]]&gt;=1500),"Critical",AND(Table156[[#This Row],[Total Amount]]&gt;=1000),"High",TRUE,"Normal")</f>
        <v>Normal</v>
      </c>
      <c r="L443" s="4" t="str">
        <f>IF(Table156[[#This Row],[Total Amount]]&gt;=1000,"High",(IF(Table156[[#This Row],[Total Amount]]&gt;=500,"Medium","Low")))</f>
        <v>Low</v>
      </c>
      <c r="M443" s="4" t="str" cm="1">
        <f t="array" ref="M44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43" s="4" cm="1">
        <f t="array" ref="N44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443" s="4">
        <f>Table156[[#This Row],[Total Amount]]-Table156[[#This Row],[Discount Amount]]</f>
        <v>80</v>
      </c>
      <c r="P443" s="4" t="str">
        <f>IF(Table156[[#This Row],[Total Amount]]&gt;=1000,"High","Low")</f>
        <v>Low</v>
      </c>
      <c r="Q443" s="4" t="str" cm="1">
        <f t="array" ref="Q443">_xlfn.IFS(AND(Table156[[#This Row],[Total Amount]]&gt;=1500,"Critical"),AND(Table156[[#This Row],[Total Amount]]&gt;=1000,"High"),TRUE,"Normal")</f>
        <v>Normal</v>
      </c>
      <c r="R443" s="4">
        <f>COUNTIF(Table156[Gender],"Male")</f>
        <v>490</v>
      </c>
    </row>
    <row r="444" spans="1:18" x14ac:dyDescent="0.35">
      <c r="A444" s="4">
        <v>443</v>
      </c>
      <c r="B444" s="5">
        <v>45147</v>
      </c>
      <c r="C444" s="4" t="s">
        <v>456</v>
      </c>
      <c r="D444" s="4" t="s">
        <v>10</v>
      </c>
      <c r="E444" s="4">
        <v>29</v>
      </c>
      <c r="F444" s="4" t="str">
        <f>IF(Table156[[#This Row],[Age]]&lt;=19,"Teenager",IF(Table156[[#This Row],[Age]]&lt;=40,"Median","Old"))</f>
        <v>Median</v>
      </c>
      <c r="G444" s="4" t="s">
        <v>14</v>
      </c>
      <c r="H444" s="4">
        <v>2</v>
      </c>
      <c r="I444" s="4">
        <v>300</v>
      </c>
      <c r="J444" s="4">
        <v>600</v>
      </c>
      <c r="K444" s="4" t="str" cm="1">
        <f t="array" ref="K444">_xlfn.IFS(AND(Table156[[#This Row],[Total Amount]]&gt;=1500),"Critical",AND(Table156[[#This Row],[Total Amount]]&gt;=1000),"High",TRUE,"Normal")</f>
        <v>Normal</v>
      </c>
      <c r="L444" s="4" t="str">
        <f>IF(Table156[[#This Row],[Total Amount]]&gt;=1000,"High",(IF(Table156[[#This Row],[Total Amount]]&gt;=500,"Medium","Low")))</f>
        <v>Medium</v>
      </c>
      <c r="M444" s="4" t="str" cm="1">
        <f t="array" ref="M44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44" s="4" cm="1">
        <f t="array" ref="N44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444" s="4">
        <f>Table156[[#This Row],[Total Amount]]-Table156[[#This Row],[Discount Amount]]</f>
        <v>510</v>
      </c>
      <c r="P444" s="4" t="str">
        <f>IF(Table156[[#This Row],[Total Amount]]&gt;=1000,"High","Low")</f>
        <v>Low</v>
      </c>
      <c r="Q444" s="4" t="str" cm="1">
        <f t="array" ref="Q444">_xlfn.IFS(AND(Table156[[#This Row],[Total Amount]]&gt;=1500,"Critical"),AND(Table156[[#This Row],[Total Amount]]&gt;=1000,"High"),TRUE,"Normal")</f>
        <v>Normal</v>
      </c>
      <c r="R444" s="4">
        <f>COUNTIF(Table156[Gender],"Male")</f>
        <v>490</v>
      </c>
    </row>
    <row r="445" spans="1:18" x14ac:dyDescent="0.35">
      <c r="A445" s="4">
        <v>444</v>
      </c>
      <c r="B445" s="5">
        <v>44992</v>
      </c>
      <c r="C445" s="4" t="s">
        <v>457</v>
      </c>
      <c r="D445" s="4" t="s">
        <v>13</v>
      </c>
      <c r="E445" s="4">
        <v>61</v>
      </c>
      <c r="F445" s="4" t="str">
        <f>IF(Table156[[#This Row],[Age]]&lt;=19,"Teenager",IF(Table156[[#This Row],[Age]]&lt;=40,"Median","Old"))</f>
        <v>Old</v>
      </c>
      <c r="G445" s="4" t="s">
        <v>14</v>
      </c>
      <c r="H445" s="4">
        <v>3</v>
      </c>
      <c r="I445" s="4">
        <v>30</v>
      </c>
      <c r="J445" s="4">
        <v>90</v>
      </c>
      <c r="K445" s="4" t="str" cm="1">
        <f t="array" ref="K445">_xlfn.IFS(AND(Table156[[#This Row],[Total Amount]]&gt;=1500),"Critical",AND(Table156[[#This Row],[Total Amount]]&gt;=1000),"High",TRUE,"Normal")</f>
        <v>Normal</v>
      </c>
      <c r="L445" s="4" t="str">
        <f>IF(Table156[[#This Row],[Total Amount]]&gt;=1000,"High",(IF(Table156[[#This Row],[Total Amount]]&gt;=500,"Medium","Low")))</f>
        <v>Low</v>
      </c>
      <c r="M445" s="4" t="str" cm="1">
        <f t="array" ref="M44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45" s="4" cm="1">
        <f t="array" ref="N44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445" s="4">
        <f>Table156[[#This Row],[Total Amount]]-Table156[[#This Row],[Discount Amount]]</f>
        <v>72</v>
      </c>
      <c r="P445" s="4" t="str">
        <f>IF(Table156[[#This Row],[Total Amount]]&gt;=1000,"High","Low")</f>
        <v>Low</v>
      </c>
      <c r="Q445" s="4" t="str" cm="1">
        <f t="array" ref="Q445">_xlfn.IFS(AND(Table156[[#This Row],[Total Amount]]&gt;=1500,"Critical"),AND(Table156[[#This Row],[Total Amount]]&gt;=1000,"High"),TRUE,"Normal")</f>
        <v>Normal</v>
      </c>
      <c r="R445" s="4">
        <f>COUNTIF(Table156[Gender],"Male")</f>
        <v>490</v>
      </c>
    </row>
    <row r="446" spans="1:18" x14ac:dyDescent="0.35">
      <c r="A446" s="4">
        <v>445</v>
      </c>
      <c r="B446" s="5">
        <v>44948</v>
      </c>
      <c r="C446" s="4" t="s">
        <v>458</v>
      </c>
      <c r="D446" s="4" t="s">
        <v>13</v>
      </c>
      <c r="E446" s="4">
        <v>53</v>
      </c>
      <c r="F446" s="4" t="str">
        <f>IF(Table156[[#This Row],[Age]]&lt;=19,"Teenager",IF(Table156[[#This Row],[Age]]&lt;=40,"Median","Old"))</f>
        <v>Old</v>
      </c>
      <c r="G446" s="4" t="s">
        <v>16</v>
      </c>
      <c r="H446" s="4">
        <v>1</v>
      </c>
      <c r="I446" s="4">
        <v>300</v>
      </c>
      <c r="J446" s="4">
        <v>300</v>
      </c>
      <c r="K446" s="4" t="str" cm="1">
        <f t="array" ref="K446">_xlfn.IFS(AND(Table156[[#This Row],[Total Amount]]&gt;=1500),"Critical",AND(Table156[[#This Row],[Total Amount]]&gt;=1000),"High",TRUE,"Normal")</f>
        <v>Normal</v>
      </c>
      <c r="L446" s="4" t="str">
        <f>IF(Table156[[#This Row],[Total Amount]]&gt;=1000,"High",(IF(Table156[[#This Row],[Total Amount]]&gt;=500,"Medium","Low")))</f>
        <v>Low</v>
      </c>
      <c r="M446" s="4" t="str" cm="1">
        <f t="array" ref="M44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46" s="4" cm="1">
        <f t="array" ref="N44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446" s="4">
        <f>Table156[[#This Row],[Total Amount]]-Table156[[#This Row],[Discount Amount]]</f>
        <v>240</v>
      </c>
      <c r="P446" s="4" t="str">
        <f>IF(Table156[[#This Row],[Total Amount]]&gt;=1000,"High","Low")</f>
        <v>Low</v>
      </c>
      <c r="Q446" s="4" t="str" cm="1">
        <f t="array" ref="Q446">_xlfn.IFS(AND(Table156[[#This Row],[Total Amount]]&gt;=1500,"Critical"),AND(Table156[[#This Row],[Total Amount]]&gt;=1000,"High"),TRUE,"Normal")</f>
        <v>Normal</v>
      </c>
      <c r="R446" s="4">
        <f>COUNTIF(Table156[Gender],"Male")</f>
        <v>490</v>
      </c>
    </row>
    <row r="447" spans="1:18" x14ac:dyDescent="0.35">
      <c r="A447" s="4">
        <v>446</v>
      </c>
      <c r="B447" s="5">
        <v>45084</v>
      </c>
      <c r="C447" s="4" t="s">
        <v>459</v>
      </c>
      <c r="D447" s="4" t="s">
        <v>10</v>
      </c>
      <c r="E447" s="4">
        <v>21</v>
      </c>
      <c r="F447" s="4" t="str">
        <f>IF(Table156[[#This Row],[Age]]&lt;=19,"Teenager",IF(Table156[[#This Row],[Age]]&lt;=40,"Median","Old"))</f>
        <v>Median</v>
      </c>
      <c r="G447" s="4" t="s">
        <v>16</v>
      </c>
      <c r="H447" s="4">
        <v>1</v>
      </c>
      <c r="I447" s="4">
        <v>50</v>
      </c>
      <c r="J447" s="4">
        <v>50</v>
      </c>
      <c r="K447" s="4" t="str" cm="1">
        <f t="array" ref="K447">_xlfn.IFS(AND(Table156[[#This Row],[Total Amount]]&gt;=1500),"Critical",AND(Table156[[#This Row],[Total Amount]]&gt;=1000),"High",TRUE,"Normal")</f>
        <v>Normal</v>
      </c>
      <c r="L447" s="4" t="str">
        <f>IF(Table156[[#This Row],[Total Amount]]&gt;=1000,"High",(IF(Table156[[#This Row],[Total Amount]]&gt;=500,"Medium","Low")))</f>
        <v>Low</v>
      </c>
      <c r="M447" s="4" t="str" cm="1">
        <f t="array" ref="M44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47" s="4" cm="1">
        <f t="array" ref="N44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47" s="4">
        <f>Table156[[#This Row],[Total Amount]]-Table156[[#This Row],[Discount Amount]]</f>
        <v>50</v>
      </c>
      <c r="P447" s="4" t="str">
        <f>IF(Table156[[#This Row],[Total Amount]]&gt;=1000,"High","Low")</f>
        <v>Low</v>
      </c>
      <c r="Q447" s="4" t="str" cm="1">
        <f t="array" ref="Q447">_xlfn.IFS(AND(Table156[[#This Row],[Total Amount]]&gt;=1500,"Critical"),AND(Table156[[#This Row],[Total Amount]]&gt;=1000,"High"),TRUE,"Normal")</f>
        <v>Normal</v>
      </c>
      <c r="R447" s="4">
        <f>COUNTIF(Table156[Gender],"Male")</f>
        <v>490</v>
      </c>
    </row>
    <row r="448" spans="1:18" x14ac:dyDescent="0.35">
      <c r="A448" s="4">
        <v>447</v>
      </c>
      <c r="B448" s="5">
        <v>45113</v>
      </c>
      <c r="C448" s="4" t="s">
        <v>460</v>
      </c>
      <c r="D448" s="4" t="s">
        <v>10</v>
      </c>
      <c r="E448" s="4">
        <v>22</v>
      </c>
      <c r="F448" s="4" t="str">
        <f>IF(Table156[[#This Row],[Age]]&lt;=19,"Teenager",IF(Table156[[#This Row],[Age]]&lt;=40,"Median","Old"))</f>
        <v>Median</v>
      </c>
      <c r="G448" s="4" t="s">
        <v>11</v>
      </c>
      <c r="H448" s="4">
        <v>4</v>
      </c>
      <c r="I448" s="4">
        <v>500</v>
      </c>
      <c r="J448" s="4">
        <v>2000</v>
      </c>
      <c r="K448" s="4" t="str" cm="1">
        <f t="array" ref="K448">_xlfn.IFS(AND(Table156[[#This Row],[Total Amount]]&gt;=1500),"Critical",AND(Table156[[#This Row],[Total Amount]]&gt;=1000),"High",TRUE,"Normal")</f>
        <v>Critical</v>
      </c>
      <c r="L448" s="4" t="str">
        <f>IF(Table156[[#This Row],[Total Amount]]&gt;=1000,"High",(IF(Table156[[#This Row],[Total Amount]]&gt;=500,"Medium","Low")))</f>
        <v>High</v>
      </c>
      <c r="M448" s="4" t="str" cm="1">
        <f t="array" ref="M44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48" s="4" cm="1">
        <f t="array" ref="N44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48" s="4">
        <f>Table156[[#This Row],[Total Amount]]-Table156[[#This Row],[Discount Amount]]</f>
        <v>2000</v>
      </c>
      <c r="P448" s="4" t="str">
        <f>IF(Table156[[#This Row],[Total Amount]]&gt;=1000,"High","Low")</f>
        <v>High</v>
      </c>
      <c r="Q448" s="4" t="b" cm="1">
        <f t="array" ref="Q448">_xlfn.IFS(AND(Table156[[#This Row],[Total Amount]]&gt;=1500,"Critical"),AND(Table156[[#This Row],[Total Amount]]&gt;=1000,"High"),TRUE,"Normal")</f>
        <v>1</v>
      </c>
      <c r="R448" s="4">
        <f>COUNTIF(Table156[Gender],"Male")</f>
        <v>490</v>
      </c>
    </row>
    <row r="449" spans="1:18" x14ac:dyDescent="0.35">
      <c r="A449" s="4">
        <v>448</v>
      </c>
      <c r="B449" s="5">
        <v>44947</v>
      </c>
      <c r="C449" s="4" t="s">
        <v>461</v>
      </c>
      <c r="D449" s="4" t="s">
        <v>13</v>
      </c>
      <c r="E449" s="4">
        <v>54</v>
      </c>
      <c r="F449" s="4" t="str">
        <f>IF(Table156[[#This Row],[Age]]&lt;=19,"Teenager",IF(Table156[[#This Row],[Age]]&lt;=40,"Median","Old"))</f>
        <v>Old</v>
      </c>
      <c r="G449" s="4" t="s">
        <v>11</v>
      </c>
      <c r="H449" s="4">
        <v>2</v>
      </c>
      <c r="I449" s="4">
        <v>30</v>
      </c>
      <c r="J449" s="4">
        <v>60</v>
      </c>
      <c r="K449" s="4" t="str" cm="1">
        <f t="array" ref="K449">_xlfn.IFS(AND(Table156[[#This Row],[Total Amount]]&gt;=1500),"Critical",AND(Table156[[#This Row],[Total Amount]]&gt;=1000),"High",TRUE,"Normal")</f>
        <v>Normal</v>
      </c>
      <c r="L449" s="4" t="str">
        <f>IF(Table156[[#This Row],[Total Amount]]&gt;=1000,"High",(IF(Table156[[#This Row],[Total Amount]]&gt;=500,"Medium","Low")))</f>
        <v>Low</v>
      </c>
      <c r="M449" s="4" t="str" cm="1">
        <f t="array" ref="M44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49" s="4" cm="1">
        <f t="array" ref="N44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449" s="4">
        <f>Table156[[#This Row],[Total Amount]]-Table156[[#This Row],[Discount Amount]]</f>
        <v>48</v>
      </c>
      <c r="P449" s="4" t="str">
        <f>IF(Table156[[#This Row],[Total Amount]]&gt;=1000,"High","Low")</f>
        <v>Low</v>
      </c>
      <c r="Q449" s="4" t="str" cm="1">
        <f t="array" ref="Q449">_xlfn.IFS(AND(Table156[[#This Row],[Total Amount]]&gt;=1500,"Critical"),AND(Table156[[#This Row],[Total Amount]]&gt;=1000,"High"),TRUE,"Normal")</f>
        <v>Normal</v>
      </c>
      <c r="R449" s="4">
        <f>COUNTIF(Table156[Gender],"Male")</f>
        <v>490</v>
      </c>
    </row>
    <row r="450" spans="1:18" x14ac:dyDescent="0.35">
      <c r="A450" s="4">
        <v>449</v>
      </c>
      <c r="B450" s="5">
        <v>45110</v>
      </c>
      <c r="C450" s="4" t="s">
        <v>462</v>
      </c>
      <c r="D450" s="4" t="s">
        <v>10</v>
      </c>
      <c r="E450" s="4">
        <v>25</v>
      </c>
      <c r="F450" s="4" t="str">
        <f>IF(Table156[[#This Row],[Age]]&lt;=19,"Teenager",IF(Table156[[#This Row],[Age]]&lt;=40,"Median","Old"))</f>
        <v>Median</v>
      </c>
      <c r="G450" s="4" t="s">
        <v>16</v>
      </c>
      <c r="H450" s="4">
        <v>4</v>
      </c>
      <c r="I450" s="4">
        <v>50</v>
      </c>
      <c r="J450" s="4">
        <v>200</v>
      </c>
      <c r="K450" s="4" t="str" cm="1">
        <f t="array" ref="K450">_xlfn.IFS(AND(Table156[[#This Row],[Total Amount]]&gt;=1500),"Critical",AND(Table156[[#This Row],[Total Amount]]&gt;=1000),"High",TRUE,"Normal")</f>
        <v>Normal</v>
      </c>
      <c r="L450" s="4" t="str">
        <f>IF(Table156[[#This Row],[Total Amount]]&gt;=1000,"High",(IF(Table156[[#This Row],[Total Amount]]&gt;=500,"Medium","Low")))</f>
        <v>Low</v>
      </c>
      <c r="M450" s="4" t="str" cm="1">
        <f t="array" ref="M45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50" s="4" cm="1">
        <f t="array" ref="N45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450" s="4">
        <f>Table156[[#This Row],[Total Amount]]-Table156[[#This Row],[Discount Amount]]</f>
        <v>170</v>
      </c>
      <c r="P450" s="4" t="str">
        <f>IF(Table156[[#This Row],[Total Amount]]&gt;=1000,"High","Low")</f>
        <v>Low</v>
      </c>
      <c r="Q450" s="4" t="str" cm="1">
        <f t="array" ref="Q450">_xlfn.IFS(AND(Table156[[#This Row],[Total Amount]]&gt;=1500,"Critical"),AND(Table156[[#This Row],[Total Amount]]&gt;=1000,"High"),TRUE,"Normal")</f>
        <v>Normal</v>
      </c>
      <c r="R450" s="4">
        <f>COUNTIF(Table156[Gender],"Male")</f>
        <v>490</v>
      </c>
    </row>
    <row r="451" spans="1:18" x14ac:dyDescent="0.35">
      <c r="A451" s="4">
        <v>450</v>
      </c>
      <c r="B451" s="5">
        <v>45034</v>
      </c>
      <c r="C451" s="4" t="s">
        <v>463</v>
      </c>
      <c r="D451" s="4" t="s">
        <v>13</v>
      </c>
      <c r="E451" s="4">
        <v>59</v>
      </c>
      <c r="F451" s="4" t="str">
        <f>IF(Table156[[#This Row],[Age]]&lt;=19,"Teenager",IF(Table156[[#This Row],[Age]]&lt;=40,"Median","Old"))</f>
        <v>Old</v>
      </c>
      <c r="G451" s="4" t="s">
        <v>11</v>
      </c>
      <c r="H451" s="4">
        <v>2</v>
      </c>
      <c r="I451" s="4">
        <v>25</v>
      </c>
      <c r="J451" s="4">
        <v>50</v>
      </c>
      <c r="K451" s="4" t="str" cm="1">
        <f t="array" ref="K451">_xlfn.IFS(AND(Table156[[#This Row],[Total Amount]]&gt;=1500),"Critical",AND(Table156[[#This Row],[Total Amount]]&gt;=1000),"High",TRUE,"Normal")</f>
        <v>Normal</v>
      </c>
      <c r="L451" s="4" t="str">
        <f>IF(Table156[[#This Row],[Total Amount]]&gt;=1000,"High",(IF(Table156[[#This Row],[Total Amount]]&gt;=500,"Medium","Low")))</f>
        <v>Low</v>
      </c>
      <c r="M451" s="4" t="str" cm="1">
        <f t="array" ref="M45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51" s="4" cm="1">
        <f t="array" ref="N45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451" s="4">
        <f>Table156[[#This Row],[Total Amount]]-Table156[[#This Row],[Discount Amount]]</f>
        <v>40</v>
      </c>
      <c r="P451" s="4" t="str">
        <f>IF(Table156[[#This Row],[Total Amount]]&gt;=1000,"High","Low")</f>
        <v>Low</v>
      </c>
      <c r="Q451" s="4" t="str" cm="1">
        <f t="array" ref="Q451">_xlfn.IFS(AND(Table156[[#This Row],[Total Amount]]&gt;=1500,"Critical"),AND(Table156[[#This Row],[Total Amount]]&gt;=1000,"High"),TRUE,"Normal")</f>
        <v>Normal</v>
      </c>
      <c r="R451" s="4">
        <f>COUNTIF(Table156[Gender],"Male")</f>
        <v>490</v>
      </c>
    </row>
    <row r="452" spans="1:18" x14ac:dyDescent="0.35">
      <c r="A452" s="4">
        <v>451</v>
      </c>
      <c r="B452" s="5">
        <v>45276</v>
      </c>
      <c r="C452" s="4" t="s">
        <v>464</v>
      </c>
      <c r="D452" s="4" t="s">
        <v>13</v>
      </c>
      <c r="E452" s="4">
        <v>45</v>
      </c>
      <c r="F452" s="4" t="str">
        <f>IF(Table156[[#This Row],[Age]]&lt;=19,"Teenager",IF(Table156[[#This Row],[Age]]&lt;=40,"Median","Old"))</f>
        <v>Old</v>
      </c>
      <c r="G452" s="4" t="s">
        <v>16</v>
      </c>
      <c r="H452" s="4">
        <v>1</v>
      </c>
      <c r="I452" s="4">
        <v>30</v>
      </c>
      <c r="J452" s="4">
        <v>30</v>
      </c>
      <c r="K452" s="4" t="str" cm="1">
        <f t="array" ref="K452">_xlfn.IFS(AND(Table156[[#This Row],[Total Amount]]&gt;=1500),"Critical",AND(Table156[[#This Row],[Total Amount]]&gt;=1000),"High",TRUE,"Normal")</f>
        <v>Normal</v>
      </c>
      <c r="L452" s="4" t="str">
        <f>IF(Table156[[#This Row],[Total Amount]]&gt;=1000,"High",(IF(Table156[[#This Row],[Total Amount]]&gt;=500,"Medium","Low")))</f>
        <v>Low</v>
      </c>
      <c r="M452" s="4" t="str" cm="1">
        <f t="array" ref="M45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52" s="4" cm="1">
        <f t="array" ref="N45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452" s="4">
        <f>Table156[[#This Row],[Total Amount]]-Table156[[#This Row],[Discount Amount]]</f>
        <v>24</v>
      </c>
      <c r="P452" s="4" t="str">
        <f>IF(Table156[[#This Row],[Total Amount]]&gt;=1000,"High","Low")</f>
        <v>Low</v>
      </c>
      <c r="Q452" s="4" t="str" cm="1">
        <f t="array" ref="Q452">_xlfn.IFS(AND(Table156[[#This Row],[Total Amount]]&gt;=1500,"Critical"),AND(Table156[[#This Row],[Total Amount]]&gt;=1000,"High"),TRUE,"Normal")</f>
        <v>Normal</v>
      </c>
      <c r="R452" s="4">
        <f>COUNTIF(Table156[Gender],"Male")</f>
        <v>490</v>
      </c>
    </row>
    <row r="453" spans="1:18" x14ac:dyDescent="0.35">
      <c r="A453" s="4">
        <v>452</v>
      </c>
      <c r="B453" s="5">
        <v>45054</v>
      </c>
      <c r="C453" s="4" t="s">
        <v>465</v>
      </c>
      <c r="D453" s="4" t="s">
        <v>13</v>
      </c>
      <c r="E453" s="4">
        <v>48</v>
      </c>
      <c r="F453" s="4" t="str">
        <f>IF(Table156[[#This Row],[Age]]&lt;=19,"Teenager",IF(Table156[[#This Row],[Age]]&lt;=40,"Median","Old"))</f>
        <v>Old</v>
      </c>
      <c r="G453" s="4" t="s">
        <v>14</v>
      </c>
      <c r="H453" s="4">
        <v>3</v>
      </c>
      <c r="I453" s="4">
        <v>500</v>
      </c>
      <c r="J453" s="4">
        <v>1500</v>
      </c>
      <c r="K453" s="4" t="str" cm="1">
        <f t="array" ref="K453">_xlfn.IFS(AND(Table156[[#This Row],[Total Amount]]&gt;=1500),"Critical",AND(Table156[[#This Row],[Total Amount]]&gt;=1000),"High",TRUE,"Normal")</f>
        <v>Critical</v>
      </c>
      <c r="L453" s="4" t="str">
        <f>IF(Table156[[#This Row],[Total Amount]]&gt;=1000,"High",(IF(Table156[[#This Row],[Total Amount]]&gt;=500,"Medium","Low")))</f>
        <v>High</v>
      </c>
      <c r="M453" s="4" t="str" cm="1">
        <f t="array" ref="M45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53" s="4" cm="1">
        <f t="array" ref="N45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453" s="4">
        <f>Table156[[#This Row],[Total Amount]]-Table156[[#This Row],[Discount Amount]]</f>
        <v>1200</v>
      </c>
      <c r="P453" s="4" t="str">
        <f>IF(Table156[[#This Row],[Total Amount]]&gt;=1000,"High","Low")</f>
        <v>High</v>
      </c>
      <c r="Q453" s="4" t="b" cm="1">
        <f t="array" ref="Q453">_xlfn.IFS(AND(Table156[[#This Row],[Total Amount]]&gt;=1500,"Critical"),AND(Table156[[#This Row],[Total Amount]]&gt;=1000,"High"),TRUE,"Normal")</f>
        <v>1</v>
      </c>
      <c r="R453" s="4">
        <f>COUNTIF(Table156[Gender],"Male")</f>
        <v>490</v>
      </c>
    </row>
    <row r="454" spans="1:18" x14ac:dyDescent="0.35">
      <c r="A454" s="4">
        <v>453</v>
      </c>
      <c r="B454" s="5">
        <v>45268</v>
      </c>
      <c r="C454" s="4" t="s">
        <v>466</v>
      </c>
      <c r="D454" s="4" t="s">
        <v>13</v>
      </c>
      <c r="E454" s="4">
        <v>26</v>
      </c>
      <c r="F454" s="4" t="str">
        <f>IF(Table156[[#This Row],[Age]]&lt;=19,"Teenager",IF(Table156[[#This Row],[Age]]&lt;=40,"Median","Old"))</f>
        <v>Median</v>
      </c>
      <c r="G454" s="4" t="s">
        <v>14</v>
      </c>
      <c r="H454" s="4">
        <v>2</v>
      </c>
      <c r="I454" s="4">
        <v>500</v>
      </c>
      <c r="J454" s="4">
        <v>1000</v>
      </c>
      <c r="K454" s="4" t="str" cm="1">
        <f t="array" ref="K454">_xlfn.IFS(AND(Table156[[#This Row],[Total Amount]]&gt;=1500),"Critical",AND(Table156[[#This Row],[Total Amount]]&gt;=1000),"High",TRUE,"Normal")</f>
        <v>High</v>
      </c>
      <c r="L454" s="4" t="str">
        <f>IF(Table156[[#This Row],[Total Amount]]&gt;=1000,"High",(IF(Table156[[#This Row],[Total Amount]]&gt;=500,"Medium","Low")))</f>
        <v>High</v>
      </c>
      <c r="M454" s="4" t="str" cm="1">
        <f t="array" ref="M45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54" s="4" cm="1">
        <f t="array" ref="N45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454" s="4">
        <f>Table156[[#This Row],[Total Amount]]-Table156[[#This Row],[Discount Amount]]</f>
        <v>850</v>
      </c>
      <c r="P454" s="4" t="str">
        <f>IF(Table156[[#This Row],[Total Amount]]&gt;=1000,"High","Low")</f>
        <v>High</v>
      </c>
      <c r="Q454" s="4" t="str" cm="1">
        <f t="array" ref="Q454">_xlfn.IFS(AND(Table156[[#This Row],[Total Amount]]&gt;=1500,"Critical"),AND(Table156[[#This Row],[Total Amount]]&gt;=1000,"High"),TRUE,"Normal")</f>
        <v>Normal</v>
      </c>
      <c r="R454" s="4">
        <f>COUNTIF(Table156[Gender],"Male")</f>
        <v>490</v>
      </c>
    </row>
    <row r="455" spans="1:18" x14ac:dyDescent="0.35">
      <c r="A455" s="4">
        <v>454</v>
      </c>
      <c r="B455" s="5">
        <v>44979</v>
      </c>
      <c r="C455" s="4" t="s">
        <v>467</v>
      </c>
      <c r="D455" s="4" t="s">
        <v>13</v>
      </c>
      <c r="E455" s="4">
        <v>46</v>
      </c>
      <c r="F455" s="4" t="str">
        <f>IF(Table156[[#This Row],[Age]]&lt;=19,"Teenager",IF(Table156[[#This Row],[Age]]&lt;=40,"Median","Old"))</f>
        <v>Old</v>
      </c>
      <c r="G455" s="4" t="s">
        <v>11</v>
      </c>
      <c r="H455" s="4">
        <v>1</v>
      </c>
      <c r="I455" s="4">
        <v>25</v>
      </c>
      <c r="J455" s="4">
        <v>25</v>
      </c>
      <c r="K455" s="4" t="str" cm="1">
        <f t="array" ref="K455">_xlfn.IFS(AND(Table156[[#This Row],[Total Amount]]&gt;=1500),"Critical",AND(Table156[[#This Row],[Total Amount]]&gt;=1000),"High",TRUE,"Normal")</f>
        <v>Normal</v>
      </c>
      <c r="L455" s="4" t="str">
        <f>IF(Table156[[#This Row],[Total Amount]]&gt;=1000,"High",(IF(Table156[[#This Row],[Total Amount]]&gt;=500,"Medium","Low")))</f>
        <v>Low</v>
      </c>
      <c r="M455" s="4" t="str" cm="1">
        <f t="array" ref="M45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55" s="4" cm="1">
        <f t="array" ref="N45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455" s="4">
        <f>Table156[[#This Row],[Total Amount]]-Table156[[#This Row],[Discount Amount]]</f>
        <v>20</v>
      </c>
      <c r="P455" s="4" t="str">
        <f>IF(Table156[[#This Row],[Total Amount]]&gt;=1000,"High","Low")</f>
        <v>Low</v>
      </c>
      <c r="Q455" s="4" t="str" cm="1">
        <f t="array" ref="Q455">_xlfn.IFS(AND(Table156[[#This Row],[Total Amount]]&gt;=1500,"Critical"),AND(Table156[[#This Row],[Total Amount]]&gt;=1000,"High"),TRUE,"Normal")</f>
        <v>Normal</v>
      </c>
      <c r="R455" s="4">
        <f>COUNTIF(Table156[Gender],"Male")</f>
        <v>490</v>
      </c>
    </row>
    <row r="456" spans="1:18" x14ac:dyDescent="0.35">
      <c r="A456" s="4">
        <v>455</v>
      </c>
      <c r="B456" s="5">
        <v>45108</v>
      </c>
      <c r="C456" s="4" t="s">
        <v>468</v>
      </c>
      <c r="D456" s="4" t="s">
        <v>10</v>
      </c>
      <c r="E456" s="4">
        <v>31</v>
      </c>
      <c r="F456" s="4" t="str">
        <f>IF(Table156[[#This Row],[Age]]&lt;=19,"Teenager",IF(Table156[[#This Row],[Age]]&lt;=40,"Median","Old"))</f>
        <v>Median</v>
      </c>
      <c r="G456" s="4" t="s">
        <v>16</v>
      </c>
      <c r="H456" s="4">
        <v>4</v>
      </c>
      <c r="I456" s="4">
        <v>25</v>
      </c>
      <c r="J456" s="4">
        <v>100</v>
      </c>
      <c r="K456" s="4" t="str" cm="1">
        <f t="array" ref="K456">_xlfn.IFS(AND(Table156[[#This Row],[Total Amount]]&gt;=1500),"Critical",AND(Table156[[#This Row],[Total Amount]]&gt;=1000),"High",TRUE,"Normal")</f>
        <v>Normal</v>
      </c>
      <c r="L456" s="4" t="str">
        <f>IF(Table156[[#This Row],[Total Amount]]&gt;=1000,"High",(IF(Table156[[#This Row],[Total Amount]]&gt;=500,"Medium","Low")))</f>
        <v>Low</v>
      </c>
      <c r="M456" s="4" t="str" cm="1">
        <f t="array" ref="M45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56" s="4" cm="1">
        <f t="array" ref="N45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456" s="4">
        <f>Table156[[#This Row],[Total Amount]]-Table156[[#This Row],[Discount Amount]]</f>
        <v>85</v>
      </c>
      <c r="P456" s="4" t="str">
        <f>IF(Table156[[#This Row],[Total Amount]]&gt;=1000,"High","Low")</f>
        <v>Low</v>
      </c>
      <c r="Q456" s="4" t="str" cm="1">
        <f t="array" ref="Q456">_xlfn.IFS(AND(Table156[[#This Row],[Total Amount]]&gt;=1500,"Critical"),AND(Table156[[#This Row],[Total Amount]]&gt;=1000,"High"),TRUE,"Normal")</f>
        <v>Normal</v>
      </c>
      <c r="R456" s="4">
        <f>COUNTIF(Table156[Gender],"Male")</f>
        <v>490</v>
      </c>
    </row>
    <row r="457" spans="1:18" x14ac:dyDescent="0.35">
      <c r="A457" s="4">
        <v>456</v>
      </c>
      <c r="B457" s="5">
        <v>45213</v>
      </c>
      <c r="C457" s="4" t="s">
        <v>469</v>
      </c>
      <c r="D457" s="4" t="s">
        <v>10</v>
      </c>
      <c r="E457" s="4">
        <v>57</v>
      </c>
      <c r="F457" s="4" t="str">
        <f>IF(Table156[[#This Row],[Age]]&lt;=19,"Teenager",IF(Table156[[#This Row],[Age]]&lt;=40,"Median","Old"))</f>
        <v>Old</v>
      </c>
      <c r="G457" s="4" t="s">
        <v>16</v>
      </c>
      <c r="H457" s="4">
        <v>2</v>
      </c>
      <c r="I457" s="4">
        <v>30</v>
      </c>
      <c r="J457" s="4">
        <v>60</v>
      </c>
      <c r="K457" s="4" t="str" cm="1">
        <f t="array" ref="K457">_xlfn.IFS(AND(Table156[[#This Row],[Total Amount]]&gt;=1500),"Critical",AND(Table156[[#This Row],[Total Amount]]&gt;=1000),"High",TRUE,"Normal")</f>
        <v>Normal</v>
      </c>
      <c r="L457" s="4" t="str">
        <f>IF(Table156[[#This Row],[Total Amount]]&gt;=1000,"High",(IF(Table156[[#This Row],[Total Amount]]&gt;=500,"Medium","Low")))</f>
        <v>Low</v>
      </c>
      <c r="M457" s="4" t="str" cm="1">
        <f t="array" ref="M45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57" s="4" cm="1">
        <f t="array" ref="N45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457" s="4">
        <f>Table156[[#This Row],[Total Amount]]-Table156[[#This Row],[Discount Amount]]</f>
        <v>54</v>
      </c>
      <c r="P457" s="4" t="str">
        <f>IF(Table156[[#This Row],[Total Amount]]&gt;=1000,"High","Low")</f>
        <v>Low</v>
      </c>
      <c r="Q457" s="4" t="str" cm="1">
        <f t="array" ref="Q457">_xlfn.IFS(AND(Table156[[#This Row],[Total Amount]]&gt;=1500,"Critical"),AND(Table156[[#This Row],[Total Amount]]&gt;=1000,"High"),TRUE,"Normal")</f>
        <v>Normal</v>
      </c>
      <c r="R457" s="4">
        <f>COUNTIF(Table156[Gender],"Male")</f>
        <v>490</v>
      </c>
    </row>
    <row r="458" spans="1:18" x14ac:dyDescent="0.35">
      <c r="A458" s="4">
        <v>457</v>
      </c>
      <c r="B458" s="5">
        <v>45135</v>
      </c>
      <c r="C458" s="4" t="s">
        <v>470</v>
      </c>
      <c r="D458" s="4" t="s">
        <v>13</v>
      </c>
      <c r="E458" s="4">
        <v>58</v>
      </c>
      <c r="F458" s="4" t="str">
        <f>IF(Table156[[#This Row],[Age]]&lt;=19,"Teenager",IF(Table156[[#This Row],[Age]]&lt;=40,"Median","Old"))</f>
        <v>Old</v>
      </c>
      <c r="G458" s="4" t="s">
        <v>11</v>
      </c>
      <c r="H458" s="4">
        <v>3</v>
      </c>
      <c r="I458" s="4">
        <v>300</v>
      </c>
      <c r="J458" s="4">
        <v>900</v>
      </c>
      <c r="K458" s="4" t="str" cm="1">
        <f t="array" ref="K458">_xlfn.IFS(AND(Table156[[#This Row],[Total Amount]]&gt;=1500),"Critical",AND(Table156[[#This Row],[Total Amount]]&gt;=1000),"High",TRUE,"Normal")</f>
        <v>Normal</v>
      </c>
      <c r="L458" s="4" t="str">
        <f>IF(Table156[[#This Row],[Total Amount]]&gt;=1000,"High",(IF(Table156[[#This Row],[Total Amount]]&gt;=500,"Medium","Low")))</f>
        <v>Medium</v>
      </c>
      <c r="M458" s="4" t="str" cm="1">
        <f t="array" ref="M45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58" s="4" cm="1">
        <f t="array" ref="N45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458" s="4">
        <f>Table156[[#This Row],[Total Amount]]-Table156[[#This Row],[Discount Amount]]</f>
        <v>720</v>
      </c>
      <c r="P458" s="4" t="str">
        <f>IF(Table156[[#This Row],[Total Amount]]&gt;=1000,"High","Low")</f>
        <v>Low</v>
      </c>
      <c r="Q458" s="4" t="str" cm="1">
        <f t="array" ref="Q458">_xlfn.IFS(AND(Table156[[#This Row],[Total Amount]]&gt;=1500,"Critical"),AND(Table156[[#This Row],[Total Amount]]&gt;=1000,"High"),TRUE,"Normal")</f>
        <v>Normal</v>
      </c>
      <c r="R458" s="4">
        <f>COUNTIF(Table156[Gender],"Male")</f>
        <v>490</v>
      </c>
    </row>
    <row r="459" spans="1:18" x14ac:dyDescent="0.35">
      <c r="A459" s="4">
        <v>458</v>
      </c>
      <c r="B459" s="5">
        <v>45244</v>
      </c>
      <c r="C459" s="4" t="s">
        <v>471</v>
      </c>
      <c r="D459" s="4" t="s">
        <v>13</v>
      </c>
      <c r="E459" s="4">
        <v>39</v>
      </c>
      <c r="F459" s="4" t="str">
        <f>IF(Table156[[#This Row],[Age]]&lt;=19,"Teenager",IF(Table156[[#This Row],[Age]]&lt;=40,"Median","Old"))</f>
        <v>Median</v>
      </c>
      <c r="G459" s="4" t="s">
        <v>16</v>
      </c>
      <c r="H459" s="4">
        <v>4</v>
      </c>
      <c r="I459" s="4">
        <v>25</v>
      </c>
      <c r="J459" s="4">
        <v>100</v>
      </c>
      <c r="K459" s="4" t="str" cm="1">
        <f t="array" ref="K459">_xlfn.IFS(AND(Table156[[#This Row],[Total Amount]]&gt;=1500),"Critical",AND(Table156[[#This Row],[Total Amount]]&gt;=1000),"High",TRUE,"Normal")</f>
        <v>Normal</v>
      </c>
      <c r="L459" s="4" t="str">
        <f>IF(Table156[[#This Row],[Total Amount]]&gt;=1000,"High",(IF(Table156[[#This Row],[Total Amount]]&gt;=500,"Medium","Low")))</f>
        <v>Low</v>
      </c>
      <c r="M459" s="4" t="str" cm="1">
        <f t="array" ref="M45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59" s="4" cm="1">
        <f t="array" ref="N45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459" s="4">
        <f>Table156[[#This Row],[Total Amount]]-Table156[[#This Row],[Discount Amount]]</f>
        <v>80</v>
      </c>
      <c r="P459" s="4" t="str">
        <f>IF(Table156[[#This Row],[Total Amount]]&gt;=1000,"High","Low")</f>
        <v>Low</v>
      </c>
      <c r="Q459" s="4" t="str" cm="1">
        <f t="array" ref="Q459">_xlfn.IFS(AND(Table156[[#This Row],[Total Amount]]&gt;=1500,"Critical"),AND(Table156[[#This Row],[Total Amount]]&gt;=1000,"High"),TRUE,"Normal")</f>
        <v>Normal</v>
      </c>
      <c r="R459" s="4">
        <f>COUNTIF(Table156[Gender],"Male")</f>
        <v>490</v>
      </c>
    </row>
    <row r="460" spans="1:18" x14ac:dyDescent="0.35">
      <c r="A460" s="4">
        <v>459</v>
      </c>
      <c r="B460" s="5">
        <v>45006</v>
      </c>
      <c r="C460" s="4" t="s">
        <v>472</v>
      </c>
      <c r="D460" s="4" t="s">
        <v>10</v>
      </c>
      <c r="E460" s="4">
        <v>28</v>
      </c>
      <c r="F460" s="4" t="str">
        <f>IF(Table156[[#This Row],[Age]]&lt;=19,"Teenager",IF(Table156[[#This Row],[Age]]&lt;=40,"Median","Old"))</f>
        <v>Median</v>
      </c>
      <c r="G460" s="4" t="s">
        <v>14</v>
      </c>
      <c r="H460" s="4">
        <v>4</v>
      </c>
      <c r="I460" s="4">
        <v>300</v>
      </c>
      <c r="J460" s="4">
        <v>1200</v>
      </c>
      <c r="K460" s="4" t="str" cm="1">
        <f t="array" ref="K460">_xlfn.IFS(AND(Table156[[#This Row],[Total Amount]]&gt;=1500),"Critical",AND(Table156[[#This Row],[Total Amount]]&gt;=1000),"High",TRUE,"Normal")</f>
        <v>High</v>
      </c>
      <c r="L460" s="4" t="str">
        <f>IF(Table156[[#This Row],[Total Amount]]&gt;=1000,"High",(IF(Table156[[#This Row],[Total Amount]]&gt;=500,"Medium","Low")))</f>
        <v>High</v>
      </c>
      <c r="M460" s="4" t="str" cm="1">
        <f t="array" ref="M46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60" s="4" cm="1">
        <f t="array" ref="N46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460" s="4">
        <f>Table156[[#This Row],[Total Amount]]-Table156[[#This Row],[Discount Amount]]</f>
        <v>1020</v>
      </c>
      <c r="P460" s="4" t="str">
        <f>IF(Table156[[#This Row],[Total Amount]]&gt;=1000,"High","Low")</f>
        <v>High</v>
      </c>
      <c r="Q460" s="4" t="str" cm="1">
        <f t="array" ref="Q460">_xlfn.IFS(AND(Table156[[#This Row],[Total Amount]]&gt;=1500,"Critical"),AND(Table156[[#This Row],[Total Amount]]&gt;=1000,"High"),TRUE,"Normal")</f>
        <v>Normal</v>
      </c>
      <c r="R460" s="4">
        <f>COUNTIF(Table156[Gender],"Male")</f>
        <v>490</v>
      </c>
    </row>
    <row r="461" spans="1:18" x14ac:dyDescent="0.35">
      <c r="A461" s="4">
        <v>460</v>
      </c>
      <c r="B461" s="5">
        <v>45048</v>
      </c>
      <c r="C461" s="4" t="s">
        <v>473</v>
      </c>
      <c r="D461" s="4" t="s">
        <v>10</v>
      </c>
      <c r="E461" s="4">
        <v>40</v>
      </c>
      <c r="F461" s="4" t="str">
        <f>IF(Table156[[#This Row],[Age]]&lt;=19,"Teenager",IF(Table156[[#This Row],[Age]]&lt;=40,"Median","Old"))</f>
        <v>Median</v>
      </c>
      <c r="G461" s="4" t="s">
        <v>11</v>
      </c>
      <c r="H461" s="4">
        <v>1</v>
      </c>
      <c r="I461" s="4">
        <v>50</v>
      </c>
      <c r="J461" s="4">
        <v>50</v>
      </c>
      <c r="K461" s="4" t="str" cm="1">
        <f t="array" ref="K461">_xlfn.IFS(AND(Table156[[#This Row],[Total Amount]]&gt;=1500),"Critical",AND(Table156[[#This Row],[Total Amount]]&gt;=1000),"High",TRUE,"Normal")</f>
        <v>Normal</v>
      </c>
      <c r="L461" s="4" t="str">
        <f>IF(Table156[[#This Row],[Total Amount]]&gt;=1000,"High",(IF(Table156[[#This Row],[Total Amount]]&gt;=500,"Medium","Low")))</f>
        <v>Low</v>
      </c>
      <c r="M461" s="4" t="str" cm="1">
        <f t="array" ref="M46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61" s="4" cm="1">
        <f t="array" ref="N46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461" s="4">
        <f>Table156[[#This Row],[Total Amount]]-Table156[[#This Row],[Discount Amount]]</f>
        <v>45</v>
      </c>
      <c r="P461" s="4" t="str">
        <f>IF(Table156[[#This Row],[Total Amount]]&gt;=1000,"High","Low")</f>
        <v>Low</v>
      </c>
      <c r="Q461" s="4" t="str" cm="1">
        <f t="array" ref="Q461">_xlfn.IFS(AND(Table156[[#This Row],[Total Amount]]&gt;=1500,"Critical"),AND(Table156[[#This Row],[Total Amount]]&gt;=1000,"High"),TRUE,"Normal")</f>
        <v>Normal</v>
      </c>
      <c r="R461" s="4">
        <f>COUNTIF(Table156[Gender],"Male")</f>
        <v>490</v>
      </c>
    </row>
    <row r="462" spans="1:18" x14ac:dyDescent="0.35">
      <c r="A462" s="4">
        <v>461</v>
      </c>
      <c r="B462" s="5">
        <v>45010</v>
      </c>
      <c r="C462" s="4" t="s">
        <v>474</v>
      </c>
      <c r="D462" s="4" t="s">
        <v>13</v>
      </c>
      <c r="E462" s="4">
        <v>18</v>
      </c>
      <c r="F462" s="4" t="str">
        <f>IF(Table156[[#This Row],[Age]]&lt;=19,"Teenager",IF(Table156[[#This Row],[Age]]&lt;=40,"Median","Old"))</f>
        <v>Teenager</v>
      </c>
      <c r="G462" s="4" t="s">
        <v>11</v>
      </c>
      <c r="H462" s="4">
        <v>2</v>
      </c>
      <c r="I462" s="4">
        <v>500</v>
      </c>
      <c r="J462" s="4">
        <v>1000</v>
      </c>
      <c r="K462" s="4" t="str" cm="1">
        <f t="array" ref="K462">_xlfn.IFS(AND(Table156[[#This Row],[Total Amount]]&gt;=1500),"Critical",AND(Table156[[#This Row],[Total Amount]]&gt;=1000),"High",TRUE,"Normal")</f>
        <v>High</v>
      </c>
      <c r="L462" s="4" t="str">
        <f>IF(Table156[[#This Row],[Total Amount]]&gt;=1000,"High",(IF(Table156[[#This Row],[Total Amount]]&gt;=500,"Medium","Low")))</f>
        <v>High</v>
      </c>
      <c r="M462" s="4" t="str" cm="1">
        <f t="array" ref="M46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62" s="4" cm="1">
        <f t="array" ref="N46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62" s="4">
        <f>Table156[[#This Row],[Total Amount]]-Table156[[#This Row],[Discount Amount]]</f>
        <v>1000</v>
      </c>
      <c r="P462" s="4" t="str">
        <f>IF(Table156[[#This Row],[Total Amount]]&gt;=1000,"High","Low")</f>
        <v>High</v>
      </c>
      <c r="Q462" s="4" t="str" cm="1">
        <f t="array" ref="Q462">_xlfn.IFS(AND(Table156[[#This Row],[Total Amount]]&gt;=1500,"Critical"),AND(Table156[[#This Row],[Total Amount]]&gt;=1000,"High"),TRUE,"Normal")</f>
        <v>Normal</v>
      </c>
      <c r="R462" s="4">
        <f>COUNTIF(Table156[Gender],"Male")</f>
        <v>490</v>
      </c>
    </row>
    <row r="463" spans="1:18" x14ac:dyDescent="0.35">
      <c r="A463" s="4">
        <v>462</v>
      </c>
      <c r="B463" s="5">
        <v>45017</v>
      </c>
      <c r="C463" s="4" t="s">
        <v>475</v>
      </c>
      <c r="D463" s="4" t="s">
        <v>10</v>
      </c>
      <c r="E463" s="4">
        <v>63</v>
      </c>
      <c r="F463" s="4" t="str">
        <f>IF(Table156[[#This Row],[Age]]&lt;=19,"Teenager",IF(Table156[[#This Row],[Age]]&lt;=40,"Median","Old"))</f>
        <v>Old</v>
      </c>
      <c r="G463" s="4" t="s">
        <v>16</v>
      </c>
      <c r="H463" s="4">
        <v>4</v>
      </c>
      <c r="I463" s="4">
        <v>300</v>
      </c>
      <c r="J463" s="4">
        <v>1200</v>
      </c>
      <c r="K463" s="4" t="str" cm="1">
        <f t="array" ref="K463">_xlfn.IFS(AND(Table156[[#This Row],[Total Amount]]&gt;=1500),"Critical",AND(Table156[[#This Row],[Total Amount]]&gt;=1000),"High",TRUE,"Normal")</f>
        <v>High</v>
      </c>
      <c r="L463" s="4" t="str">
        <f>IF(Table156[[#This Row],[Total Amount]]&gt;=1000,"High",(IF(Table156[[#This Row],[Total Amount]]&gt;=500,"Medium","Low")))</f>
        <v>High</v>
      </c>
      <c r="M463" s="4" t="str" cm="1">
        <f t="array" ref="M46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63" s="4" cm="1">
        <f t="array" ref="N46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463" s="4">
        <f>Table156[[#This Row],[Total Amount]]-Table156[[#This Row],[Discount Amount]]</f>
        <v>1080</v>
      </c>
      <c r="P463" s="4" t="str">
        <f>IF(Table156[[#This Row],[Total Amount]]&gt;=1000,"High","Low")</f>
        <v>High</v>
      </c>
      <c r="Q463" s="4" t="str" cm="1">
        <f t="array" ref="Q463">_xlfn.IFS(AND(Table156[[#This Row],[Total Amount]]&gt;=1500,"Critical"),AND(Table156[[#This Row],[Total Amount]]&gt;=1000,"High"),TRUE,"Normal")</f>
        <v>Normal</v>
      </c>
      <c r="R463" s="4">
        <f>COUNTIF(Table156[Gender],"Male")</f>
        <v>490</v>
      </c>
    </row>
    <row r="464" spans="1:18" x14ac:dyDescent="0.35">
      <c r="A464" s="4">
        <v>463</v>
      </c>
      <c r="B464" s="5">
        <v>45138</v>
      </c>
      <c r="C464" s="4" t="s">
        <v>476</v>
      </c>
      <c r="D464" s="4" t="s">
        <v>13</v>
      </c>
      <c r="E464" s="4">
        <v>54</v>
      </c>
      <c r="F464" s="4" t="str">
        <f>IF(Table156[[#This Row],[Age]]&lt;=19,"Teenager",IF(Table156[[#This Row],[Age]]&lt;=40,"Median","Old"))</f>
        <v>Old</v>
      </c>
      <c r="G464" s="4" t="s">
        <v>11</v>
      </c>
      <c r="H464" s="4">
        <v>3</v>
      </c>
      <c r="I464" s="4">
        <v>500</v>
      </c>
      <c r="J464" s="4">
        <v>1500</v>
      </c>
      <c r="K464" s="4" t="str" cm="1">
        <f t="array" ref="K464">_xlfn.IFS(AND(Table156[[#This Row],[Total Amount]]&gt;=1500),"Critical",AND(Table156[[#This Row],[Total Amount]]&gt;=1000),"High",TRUE,"Normal")</f>
        <v>Critical</v>
      </c>
      <c r="L464" s="4" t="str">
        <f>IF(Table156[[#This Row],[Total Amount]]&gt;=1000,"High",(IF(Table156[[#This Row],[Total Amount]]&gt;=500,"Medium","Low")))</f>
        <v>High</v>
      </c>
      <c r="M464" s="4" t="str" cm="1">
        <f t="array" ref="M46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64" s="4" cm="1">
        <f t="array" ref="N46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464" s="4">
        <f>Table156[[#This Row],[Total Amount]]-Table156[[#This Row],[Discount Amount]]</f>
        <v>1200</v>
      </c>
      <c r="P464" s="4" t="str">
        <f>IF(Table156[[#This Row],[Total Amount]]&gt;=1000,"High","Low")</f>
        <v>High</v>
      </c>
      <c r="Q464" s="4" t="b" cm="1">
        <f t="array" ref="Q464">_xlfn.IFS(AND(Table156[[#This Row],[Total Amount]]&gt;=1500,"Critical"),AND(Table156[[#This Row],[Total Amount]]&gt;=1000,"High"),TRUE,"Normal")</f>
        <v>1</v>
      </c>
      <c r="R464" s="4">
        <f>COUNTIF(Table156[Gender],"Male")</f>
        <v>490</v>
      </c>
    </row>
    <row r="465" spans="1:18" x14ac:dyDescent="0.35">
      <c r="A465" s="4">
        <v>464</v>
      </c>
      <c r="B465" s="5">
        <v>44939</v>
      </c>
      <c r="C465" s="4" t="s">
        <v>477</v>
      </c>
      <c r="D465" s="4" t="s">
        <v>10</v>
      </c>
      <c r="E465" s="4">
        <v>38</v>
      </c>
      <c r="F465" s="4" t="str">
        <f>IF(Table156[[#This Row],[Age]]&lt;=19,"Teenager",IF(Table156[[#This Row],[Age]]&lt;=40,"Median","Old"))</f>
        <v>Median</v>
      </c>
      <c r="G465" s="4" t="s">
        <v>16</v>
      </c>
      <c r="H465" s="4">
        <v>2</v>
      </c>
      <c r="I465" s="4">
        <v>300</v>
      </c>
      <c r="J465" s="4">
        <v>600</v>
      </c>
      <c r="K465" s="4" t="str" cm="1">
        <f t="array" ref="K465">_xlfn.IFS(AND(Table156[[#This Row],[Total Amount]]&gt;=1500),"Critical",AND(Table156[[#This Row],[Total Amount]]&gt;=1000),"High",TRUE,"Normal")</f>
        <v>Normal</v>
      </c>
      <c r="L465" s="4" t="str">
        <f>IF(Table156[[#This Row],[Total Amount]]&gt;=1000,"High",(IF(Table156[[#This Row],[Total Amount]]&gt;=500,"Medium","Low")))</f>
        <v>Medium</v>
      </c>
      <c r="M465" s="4" t="str" cm="1">
        <f t="array" ref="M46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65" s="4" cm="1">
        <f t="array" ref="N46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465" s="4">
        <f>Table156[[#This Row],[Total Amount]]-Table156[[#This Row],[Discount Amount]]</f>
        <v>540</v>
      </c>
      <c r="P465" s="4" t="str">
        <f>IF(Table156[[#This Row],[Total Amount]]&gt;=1000,"High","Low")</f>
        <v>Low</v>
      </c>
      <c r="Q465" s="4" t="str" cm="1">
        <f t="array" ref="Q465">_xlfn.IFS(AND(Table156[[#This Row],[Total Amount]]&gt;=1500,"Critical"),AND(Table156[[#This Row],[Total Amount]]&gt;=1000,"High"),TRUE,"Normal")</f>
        <v>Normal</v>
      </c>
      <c r="R465" s="4">
        <f>COUNTIF(Table156[Gender],"Male")</f>
        <v>490</v>
      </c>
    </row>
    <row r="466" spans="1:18" x14ac:dyDescent="0.35">
      <c r="A466" s="4">
        <v>465</v>
      </c>
      <c r="B466" s="5">
        <v>45018</v>
      </c>
      <c r="C466" s="4" t="s">
        <v>478</v>
      </c>
      <c r="D466" s="4" t="s">
        <v>13</v>
      </c>
      <c r="E466" s="4">
        <v>43</v>
      </c>
      <c r="F466" s="4" t="str">
        <f>IF(Table156[[#This Row],[Age]]&lt;=19,"Teenager",IF(Table156[[#This Row],[Age]]&lt;=40,"Median","Old"))</f>
        <v>Old</v>
      </c>
      <c r="G466" s="4" t="s">
        <v>16</v>
      </c>
      <c r="H466" s="4">
        <v>3</v>
      </c>
      <c r="I466" s="4">
        <v>50</v>
      </c>
      <c r="J466" s="4">
        <v>150</v>
      </c>
      <c r="K466" s="4" t="str" cm="1">
        <f t="array" ref="K466">_xlfn.IFS(AND(Table156[[#This Row],[Total Amount]]&gt;=1500),"Critical",AND(Table156[[#This Row],[Total Amount]]&gt;=1000),"High",TRUE,"Normal")</f>
        <v>Normal</v>
      </c>
      <c r="L466" s="4" t="str">
        <f>IF(Table156[[#This Row],[Total Amount]]&gt;=1000,"High",(IF(Table156[[#This Row],[Total Amount]]&gt;=500,"Medium","Low")))</f>
        <v>Low</v>
      </c>
      <c r="M466" s="4" t="str" cm="1">
        <f t="array" ref="M46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66" s="4" cm="1">
        <f t="array" ref="N46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466" s="4">
        <f>Table156[[#This Row],[Total Amount]]-Table156[[#This Row],[Discount Amount]]</f>
        <v>120</v>
      </c>
      <c r="P466" s="4" t="str">
        <f>IF(Table156[[#This Row],[Total Amount]]&gt;=1000,"High","Low")</f>
        <v>Low</v>
      </c>
      <c r="Q466" s="4" t="str" cm="1">
        <f t="array" ref="Q466">_xlfn.IFS(AND(Table156[[#This Row],[Total Amount]]&gt;=1500,"Critical"),AND(Table156[[#This Row],[Total Amount]]&gt;=1000,"High"),TRUE,"Normal")</f>
        <v>Normal</v>
      </c>
      <c r="R466" s="4">
        <f>COUNTIF(Table156[Gender],"Male")</f>
        <v>490</v>
      </c>
    </row>
    <row r="467" spans="1:18" x14ac:dyDescent="0.35">
      <c r="A467" s="4">
        <v>466</v>
      </c>
      <c r="B467" s="5">
        <v>45097</v>
      </c>
      <c r="C467" s="4" t="s">
        <v>479</v>
      </c>
      <c r="D467" s="4" t="s">
        <v>10</v>
      </c>
      <c r="E467" s="4">
        <v>63</v>
      </c>
      <c r="F467" s="4" t="str">
        <f>IF(Table156[[#This Row],[Age]]&lt;=19,"Teenager",IF(Table156[[#This Row],[Age]]&lt;=40,"Median","Old"))</f>
        <v>Old</v>
      </c>
      <c r="G467" s="4" t="s">
        <v>16</v>
      </c>
      <c r="H467" s="4">
        <v>4</v>
      </c>
      <c r="I467" s="4">
        <v>25</v>
      </c>
      <c r="J467" s="4">
        <v>100</v>
      </c>
      <c r="K467" s="4" t="str" cm="1">
        <f t="array" ref="K467">_xlfn.IFS(AND(Table156[[#This Row],[Total Amount]]&gt;=1500),"Critical",AND(Table156[[#This Row],[Total Amount]]&gt;=1000),"High",TRUE,"Normal")</f>
        <v>Normal</v>
      </c>
      <c r="L467" s="4" t="str">
        <f>IF(Table156[[#This Row],[Total Amount]]&gt;=1000,"High",(IF(Table156[[#This Row],[Total Amount]]&gt;=500,"Medium","Low")))</f>
        <v>Low</v>
      </c>
      <c r="M467" s="4" t="str" cm="1">
        <f t="array" ref="M46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67" s="4" cm="1">
        <f t="array" ref="N46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467" s="4">
        <f>Table156[[#This Row],[Total Amount]]-Table156[[#This Row],[Discount Amount]]</f>
        <v>90</v>
      </c>
      <c r="P467" s="4" t="str">
        <f>IF(Table156[[#This Row],[Total Amount]]&gt;=1000,"High","Low")</f>
        <v>Low</v>
      </c>
      <c r="Q467" s="4" t="str" cm="1">
        <f t="array" ref="Q467">_xlfn.IFS(AND(Table156[[#This Row],[Total Amount]]&gt;=1500,"Critical"),AND(Table156[[#This Row],[Total Amount]]&gt;=1000,"High"),TRUE,"Normal")</f>
        <v>Normal</v>
      </c>
      <c r="R467" s="4">
        <f>COUNTIF(Table156[Gender],"Male")</f>
        <v>490</v>
      </c>
    </row>
    <row r="468" spans="1:18" x14ac:dyDescent="0.35">
      <c r="A468" s="4">
        <v>467</v>
      </c>
      <c r="B468" s="5">
        <v>45137</v>
      </c>
      <c r="C468" s="4" t="s">
        <v>480</v>
      </c>
      <c r="D468" s="4" t="s">
        <v>13</v>
      </c>
      <c r="E468" s="4">
        <v>53</v>
      </c>
      <c r="F468" s="4" t="str">
        <f>IF(Table156[[#This Row],[Age]]&lt;=19,"Teenager",IF(Table156[[#This Row],[Age]]&lt;=40,"Median","Old"))</f>
        <v>Old</v>
      </c>
      <c r="G468" s="4" t="s">
        <v>16</v>
      </c>
      <c r="H468" s="4">
        <v>3</v>
      </c>
      <c r="I468" s="4">
        <v>50</v>
      </c>
      <c r="J468" s="4">
        <v>150</v>
      </c>
      <c r="K468" s="4" t="str" cm="1">
        <f t="array" ref="K468">_xlfn.IFS(AND(Table156[[#This Row],[Total Amount]]&gt;=1500),"Critical",AND(Table156[[#This Row],[Total Amount]]&gt;=1000),"High",TRUE,"Normal")</f>
        <v>Normal</v>
      </c>
      <c r="L468" s="4" t="str">
        <f>IF(Table156[[#This Row],[Total Amount]]&gt;=1000,"High",(IF(Table156[[#This Row],[Total Amount]]&gt;=500,"Medium","Low")))</f>
        <v>Low</v>
      </c>
      <c r="M468" s="4" t="str" cm="1">
        <f t="array" ref="M46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68" s="4" cm="1">
        <f t="array" ref="N46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468" s="4">
        <f>Table156[[#This Row],[Total Amount]]-Table156[[#This Row],[Discount Amount]]</f>
        <v>120</v>
      </c>
      <c r="P468" s="4" t="str">
        <f>IF(Table156[[#This Row],[Total Amount]]&gt;=1000,"High","Low")</f>
        <v>Low</v>
      </c>
      <c r="Q468" s="4" t="str" cm="1">
        <f t="array" ref="Q468">_xlfn.IFS(AND(Table156[[#This Row],[Total Amount]]&gt;=1500,"Critical"),AND(Table156[[#This Row],[Total Amount]]&gt;=1000,"High"),TRUE,"Normal")</f>
        <v>Normal</v>
      </c>
      <c r="R468" s="4">
        <f>COUNTIF(Table156[Gender],"Male")</f>
        <v>490</v>
      </c>
    </row>
    <row r="469" spans="1:18" x14ac:dyDescent="0.35">
      <c r="A469" s="4">
        <v>468</v>
      </c>
      <c r="B469" s="5">
        <v>45269</v>
      </c>
      <c r="C469" s="4" t="s">
        <v>481</v>
      </c>
      <c r="D469" s="4" t="s">
        <v>10</v>
      </c>
      <c r="E469" s="4">
        <v>40</v>
      </c>
      <c r="F469" s="4" t="str">
        <f>IF(Table156[[#This Row],[Age]]&lt;=19,"Teenager",IF(Table156[[#This Row],[Age]]&lt;=40,"Median","Old"))</f>
        <v>Median</v>
      </c>
      <c r="G469" s="4" t="s">
        <v>16</v>
      </c>
      <c r="H469" s="4">
        <v>1</v>
      </c>
      <c r="I469" s="4">
        <v>25</v>
      </c>
      <c r="J469" s="4">
        <v>25</v>
      </c>
      <c r="K469" s="4" t="str" cm="1">
        <f t="array" ref="K469">_xlfn.IFS(AND(Table156[[#This Row],[Total Amount]]&gt;=1500),"Critical",AND(Table156[[#This Row],[Total Amount]]&gt;=1000),"High",TRUE,"Normal")</f>
        <v>Normal</v>
      </c>
      <c r="L469" s="4" t="str">
        <f>IF(Table156[[#This Row],[Total Amount]]&gt;=1000,"High",(IF(Table156[[#This Row],[Total Amount]]&gt;=500,"Medium","Low")))</f>
        <v>Low</v>
      </c>
      <c r="M469" s="4" t="str" cm="1">
        <f t="array" ref="M46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69" s="4" cm="1">
        <f t="array" ref="N46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469" s="4">
        <f>Table156[[#This Row],[Total Amount]]-Table156[[#This Row],[Discount Amount]]</f>
        <v>22.5</v>
      </c>
      <c r="P469" s="4" t="str">
        <f>IF(Table156[[#This Row],[Total Amount]]&gt;=1000,"High","Low")</f>
        <v>Low</v>
      </c>
      <c r="Q469" s="4" t="str" cm="1">
        <f t="array" ref="Q469">_xlfn.IFS(AND(Table156[[#This Row],[Total Amount]]&gt;=1500,"Critical"),AND(Table156[[#This Row],[Total Amount]]&gt;=1000,"High"),TRUE,"Normal")</f>
        <v>Normal</v>
      </c>
      <c r="R469" s="4">
        <f>COUNTIF(Table156[Gender],"Male")</f>
        <v>490</v>
      </c>
    </row>
    <row r="470" spans="1:18" x14ac:dyDescent="0.35">
      <c r="A470" s="4">
        <v>469</v>
      </c>
      <c r="B470" s="5">
        <v>45054</v>
      </c>
      <c r="C470" s="4" t="s">
        <v>482</v>
      </c>
      <c r="D470" s="4" t="s">
        <v>10</v>
      </c>
      <c r="E470" s="4">
        <v>18</v>
      </c>
      <c r="F470" s="4" t="str">
        <f>IF(Table156[[#This Row],[Age]]&lt;=19,"Teenager",IF(Table156[[#This Row],[Age]]&lt;=40,"Median","Old"))</f>
        <v>Teenager</v>
      </c>
      <c r="G470" s="4" t="s">
        <v>11</v>
      </c>
      <c r="H470" s="4">
        <v>3</v>
      </c>
      <c r="I470" s="4">
        <v>25</v>
      </c>
      <c r="J470" s="4">
        <v>75</v>
      </c>
      <c r="K470" s="4" t="str" cm="1">
        <f t="array" ref="K470">_xlfn.IFS(AND(Table156[[#This Row],[Total Amount]]&gt;=1500),"Critical",AND(Table156[[#This Row],[Total Amount]]&gt;=1000),"High",TRUE,"Normal")</f>
        <v>Normal</v>
      </c>
      <c r="L470" s="4" t="str">
        <f>IF(Table156[[#This Row],[Total Amount]]&gt;=1000,"High",(IF(Table156[[#This Row],[Total Amount]]&gt;=500,"Medium","Low")))</f>
        <v>Low</v>
      </c>
      <c r="M470" s="4" t="str" cm="1">
        <f t="array" ref="M47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70" s="4" cm="1">
        <f t="array" ref="N47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70" s="4">
        <f>Table156[[#This Row],[Total Amount]]-Table156[[#This Row],[Discount Amount]]</f>
        <v>75</v>
      </c>
      <c r="P470" s="4" t="str">
        <f>IF(Table156[[#This Row],[Total Amount]]&gt;=1000,"High","Low")</f>
        <v>Low</v>
      </c>
      <c r="Q470" s="4" t="str" cm="1">
        <f t="array" ref="Q470">_xlfn.IFS(AND(Table156[[#This Row],[Total Amount]]&gt;=1500,"Critical"),AND(Table156[[#This Row],[Total Amount]]&gt;=1000,"High"),TRUE,"Normal")</f>
        <v>Normal</v>
      </c>
      <c r="R470" s="4">
        <f>COUNTIF(Table156[Gender],"Male")</f>
        <v>490</v>
      </c>
    </row>
    <row r="471" spans="1:18" x14ac:dyDescent="0.35">
      <c r="A471" s="4">
        <v>470</v>
      </c>
      <c r="B471" s="5">
        <v>45063</v>
      </c>
      <c r="C471" s="4" t="s">
        <v>483</v>
      </c>
      <c r="D471" s="4" t="s">
        <v>13</v>
      </c>
      <c r="E471" s="4">
        <v>57</v>
      </c>
      <c r="F471" s="4" t="str">
        <f>IF(Table156[[#This Row],[Age]]&lt;=19,"Teenager",IF(Table156[[#This Row],[Age]]&lt;=40,"Median","Old"))</f>
        <v>Old</v>
      </c>
      <c r="G471" s="4" t="s">
        <v>14</v>
      </c>
      <c r="H471" s="4">
        <v>2</v>
      </c>
      <c r="I471" s="4">
        <v>500</v>
      </c>
      <c r="J471" s="4">
        <v>1000</v>
      </c>
      <c r="K471" s="4" t="str" cm="1">
        <f t="array" ref="K471">_xlfn.IFS(AND(Table156[[#This Row],[Total Amount]]&gt;=1500),"Critical",AND(Table156[[#This Row],[Total Amount]]&gt;=1000),"High",TRUE,"Normal")</f>
        <v>High</v>
      </c>
      <c r="L471" s="4" t="str">
        <f>IF(Table156[[#This Row],[Total Amount]]&gt;=1000,"High",(IF(Table156[[#This Row],[Total Amount]]&gt;=500,"Medium","Low")))</f>
        <v>High</v>
      </c>
      <c r="M471" s="4" t="str" cm="1">
        <f t="array" ref="M47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71" s="4" cm="1">
        <f t="array" ref="N47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471" s="4">
        <f>Table156[[#This Row],[Total Amount]]-Table156[[#This Row],[Discount Amount]]</f>
        <v>800</v>
      </c>
      <c r="P471" s="4" t="str">
        <f>IF(Table156[[#This Row],[Total Amount]]&gt;=1000,"High","Low")</f>
        <v>High</v>
      </c>
      <c r="Q471" s="4" t="str" cm="1">
        <f t="array" ref="Q471">_xlfn.IFS(AND(Table156[[#This Row],[Total Amount]]&gt;=1500,"Critical"),AND(Table156[[#This Row],[Total Amount]]&gt;=1000,"High"),TRUE,"Normal")</f>
        <v>Normal</v>
      </c>
      <c r="R471" s="4">
        <f>COUNTIF(Table156[Gender],"Male")</f>
        <v>490</v>
      </c>
    </row>
    <row r="472" spans="1:18" x14ac:dyDescent="0.35">
      <c r="A472" s="4">
        <v>471</v>
      </c>
      <c r="B472" s="5">
        <v>45008</v>
      </c>
      <c r="C472" s="4" t="s">
        <v>484</v>
      </c>
      <c r="D472" s="4" t="s">
        <v>10</v>
      </c>
      <c r="E472" s="4">
        <v>32</v>
      </c>
      <c r="F472" s="4" t="str">
        <f>IF(Table156[[#This Row],[Age]]&lt;=19,"Teenager",IF(Table156[[#This Row],[Age]]&lt;=40,"Median","Old"))</f>
        <v>Median</v>
      </c>
      <c r="G472" s="4" t="s">
        <v>14</v>
      </c>
      <c r="H472" s="4">
        <v>3</v>
      </c>
      <c r="I472" s="4">
        <v>50</v>
      </c>
      <c r="J472" s="4">
        <v>150</v>
      </c>
      <c r="K472" s="4" t="str" cm="1">
        <f t="array" ref="K472">_xlfn.IFS(AND(Table156[[#This Row],[Total Amount]]&gt;=1500),"Critical",AND(Table156[[#This Row],[Total Amount]]&gt;=1000),"High",TRUE,"Normal")</f>
        <v>Normal</v>
      </c>
      <c r="L472" s="4" t="str">
        <f>IF(Table156[[#This Row],[Total Amount]]&gt;=1000,"High",(IF(Table156[[#This Row],[Total Amount]]&gt;=500,"Medium","Low")))</f>
        <v>Low</v>
      </c>
      <c r="M472" s="4" t="str" cm="1">
        <f t="array" ref="M47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72" s="4" cm="1">
        <f t="array" ref="N47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22.5</v>
      </c>
      <c r="O472" s="4">
        <f>Table156[[#This Row],[Total Amount]]-Table156[[#This Row],[Discount Amount]]</f>
        <v>127.5</v>
      </c>
      <c r="P472" s="4" t="str">
        <f>IF(Table156[[#This Row],[Total Amount]]&gt;=1000,"High","Low")</f>
        <v>Low</v>
      </c>
      <c r="Q472" s="4" t="str" cm="1">
        <f t="array" ref="Q472">_xlfn.IFS(AND(Table156[[#This Row],[Total Amount]]&gt;=1500,"Critical"),AND(Table156[[#This Row],[Total Amount]]&gt;=1000,"High"),TRUE,"Normal")</f>
        <v>Normal</v>
      </c>
      <c r="R472" s="4">
        <f>COUNTIF(Table156[Gender],"Male")</f>
        <v>490</v>
      </c>
    </row>
    <row r="473" spans="1:18" x14ac:dyDescent="0.35">
      <c r="A473" s="4">
        <v>472</v>
      </c>
      <c r="B473" s="5">
        <v>45286</v>
      </c>
      <c r="C473" s="4" t="s">
        <v>485</v>
      </c>
      <c r="D473" s="4" t="s">
        <v>13</v>
      </c>
      <c r="E473" s="4">
        <v>38</v>
      </c>
      <c r="F473" s="4" t="str">
        <f>IF(Table156[[#This Row],[Age]]&lt;=19,"Teenager",IF(Table156[[#This Row],[Age]]&lt;=40,"Median","Old"))</f>
        <v>Median</v>
      </c>
      <c r="G473" s="4" t="s">
        <v>11</v>
      </c>
      <c r="H473" s="4">
        <v>3</v>
      </c>
      <c r="I473" s="4">
        <v>300</v>
      </c>
      <c r="J473" s="4">
        <v>900</v>
      </c>
      <c r="K473" s="4" t="str" cm="1">
        <f t="array" ref="K473">_xlfn.IFS(AND(Table156[[#This Row],[Total Amount]]&gt;=1500),"Critical",AND(Table156[[#This Row],[Total Amount]]&gt;=1000),"High",TRUE,"Normal")</f>
        <v>Normal</v>
      </c>
      <c r="L473" s="4" t="str">
        <f>IF(Table156[[#This Row],[Total Amount]]&gt;=1000,"High",(IF(Table156[[#This Row],[Total Amount]]&gt;=500,"Medium","Low")))</f>
        <v>Medium</v>
      </c>
      <c r="M473" s="4" t="str" cm="1">
        <f t="array" ref="M47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73" s="4" cm="1">
        <f t="array" ref="N47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473" s="4">
        <f>Table156[[#This Row],[Total Amount]]-Table156[[#This Row],[Discount Amount]]</f>
        <v>720</v>
      </c>
      <c r="P473" s="4" t="str">
        <f>IF(Table156[[#This Row],[Total Amount]]&gt;=1000,"High","Low")</f>
        <v>Low</v>
      </c>
      <c r="Q473" s="4" t="str" cm="1">
        <f t="array" ref="Q473">_xlfn.IFS(AND(Table156[[#This Row],[Total Amount]]&gt;=1500,"Critical"),AND(Table156[[#This Row],[Total Amount]]&gt;=1000,"High"),TRUE,"Normal")</f>
        <v>Normal</v>
      </c>
      <c r="R473" s="4">
        <f>COUNTIF(Table156[Gender],"Male")</f>
        <v>490</v>
      </c>
    </row>
    <row r="474" spans="1:18" x14ac:dyDescent="0.35">
      <c r="A474" s="4">
        <v>473</v>
      </c>
      <c r="B474" s="5">
        <v>44982</v>
      </c>
      <c r="C474" s="4" t="s">
        <v>486</v>
      </c>
      <c r="D474" s="4" t="s">
        <v>10</v>
      </c>
      <c r="E474" s="4">
        <v>64</v>
      </c>
      <c r="F474" s="4" t="str">
        <f>IF(Table156[[#This Row],[Age]]&lt;=19,"Teenager",IF(Table156[[#This Row],[Age]]&lt;=40,"Median","Old"))</f>
        <v>Old</v>
      </c>
      <c r="G474" s="4" t="s">
        <v>11</v>
      </c>
      <c r="H474" s="4">
        <v>1</v>
      </c>
      <c r="I474" s="4">
        <v>50</v>
      </c>
      <c r="J474" s="4">
        <v>50</v>
      </c>
      <c r="K474" s="4" t="str" cm="1">
        <f t="array" ref="K474">_xlfn.IFS(AND(Table156[[#This Row],[Total Amount]]&gt;=1500),"Critical",AND(Table156[[#This Row],[Total Amount]]&gt;=1000),"High",TRUE,"Normal")</f>
        <v>Normal</v>
      </c>
      <c r="L474" s="4" t="str">
        <f>IF(Table156[[#This Row],[Total Amount]]&gt;=1000,"High",(IF(Table156[[#This Row],[Total Amount]]&gt;=500,"Medium","Low")))</f>
        <v>Low</v>
      </c>
      <c r="M474" s="4" t="str" cm="1">
        <f t="array" ref="M47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74" s="4" cm="1">
        <f t="array" ref="N47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474" s="4">
        <f>Table156[[#This Row],[Total Amount]]-Table156[[#This Row],[Discount Amount]]</f>
        <v>45</v>
      </c>
      <c r="P474" s="4" t="str">
        <f>IF(Table156[[#This Row],[Total Amount]]&gt;=1000,"High","Low")</f>
        <v>Low</v>
      </c>
      <c r="Q474" s="4" t="str" cm="1">
        <f t="array" ref="Q474">_xlfn.IFS(AND(Table156[[#This Row],[Total Amount]]&gt;=1500,"Critical"),AND(Table156[[#This Row],[Total Amount]]&gt;=1000,"High"),TRUE,"Normal")</f>
        <v>Normal</v>
      </c>
      <c r="R474" s="4">
        <f>COUNTIF(Table156[Gender],"Male")</f>
        <v>490</v>
      </c>
    </row>
    <row r="475" spans="1:18" x14ac:dyDescent="0.35">
      <c r="A475" s="4">
        <v>474</v>
      </c>
      <c r="B475" s="5">
        <v>45122</v>
      </c>
      <c r="C475" s="4" t="s">
        <v>487</v>
      </c>
      <c r="D475" s="4" t="s">
        <v>13</v>
      </c>
      <c r="E475" s="4">
        <v>26</v>
      </c>
      <c r="F475" s="4" t="str">
        <f>IF(Table156[[#This Row],[Age]]&lt;=19,"Teenager",IF(Table156[[#This Row],[Age]]&lt;=40,"Median","Old"))</f>
        <v>Median</v>
      </c>
      <c r="G475" s="4" t="s">
        <v>14</v>
      </c>
      <c r="H475" s="4">
        <v>3</v>
      </c>
      <c r="I475" s="4">
        <v>500</v>
      </c>
      <c r="J475" s="4">
        <v>1500</v>
      </c>
      <c r="K475" s="4" t="str" cm="1">
        <f t="array" ref="K475">_xlfn.IFS(AND(Table156[[#This Row],[Total Amount]]&gt;=1500),"Critical",AND(Table156[[#This Row],[Total Amount]]&gt;=1000),"High",TRUE,"Normal")</f>
        <v>Critical</v>
      </c>
      <c r="L475" s="4" t="str">
        <f>IF(Table156[[#This Row],[Total Amount]]&gt;=1000,"High",(IF(Table156[[#This Row],[Total Amount]]&gt;=500,"Medium","Low")))</f>
        <v>High</v>
      </c>
      <c r="M475" s="4" t="str" cm="1">
        <f t="array" ref="M47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75" s="4" cm="1">
        <f t="array" ref="N47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225</v>
      </c>
      <c r="O475" s="4">
        <f>Table156[[#This Row],[Total Amount]]-Table156[[#This Row],[Discount Amount]]</f>
        <v>1275</v>
      </c>
      <c r="P475" s="4" t="str">
        <f>IF(Table156[[#This Row],[Total Amount]]&gt;=1000,"High","Low")</f>
        <v>High</v>
      </c>
      <c r="Q475" s="4" t="b" cm="1">
        <f t="array" ref="Q475">_xlfn.IFS(AND(Table156[[#This Row],[Total Amount]]&gt;=1500,"Critical"),AND(Table156[[#This Row],[Total Amount]]&gt;=1000,"High"),TRUE,"Normal")</f>
        <v>1</v>
      </c>
      <c r="R475" s="4">
        <f>COUNTIF(Table156[Gender],"Male")</f>
        <v>490</v>
      </c>
    </row>
    <row r="476" spans="1:18" x14ac:dyDescent="0.35">
      <c r="A476" s="4">
        <v>475</v>
      </c>
      <c r="B476" s="5">
        <v>44946</v>
      </c>
      <c r="C476" s="4" t="s">
        <v>488</v>
      </c>
      <c r="D476" s="4" t="s">
        <v>10</v>
      </c>
      <c r="E476" s="4">
        <v>26</v>
      </c>
      <c r="F476" s="4" t="str">
        <f>IF(Table156[[#This Row],[Age]]&lt;=19,"Teenager",IF(Table156[[#This Row],[Age]]&lt;=40,"Median","Old"))</f>
        <v>Median</v>
      </c>
      <c r="G476" s="4" t="s">
        <v>14</v>
      </c>
      <c r="H476" s="4">
        <v>3</v>
      </c>
      <c r="I476" s="4">
        <v>25</v>
      </c>
      <c r="J476" s="4">
        <v>75</v>
      </c>
      <c r="K476" s="4" t="str" cm="1">
        <f t="array" ref="K476">_xlfn.IFS(AND(Table156[[#This Row],[Total Amount]]&gt;=1500),"Critical",AND(Table156[[#This Row],[Total Amount]]&gt;=1000),"High",TRUE,"Normal")</f>
        <v>Normal</v>
      </c>
      <c r="L476" s="4" t="str">
        <f>IF(Table156[[#This Row],[Total Amount]]&gt;=1000,"High",(IF(Table156[[#This Row],[Total Amount]]&gt;=500,"Medium","Low")))</f>
        <v>Low</v>
      </c>
      <c r="M476" s="4" t="str" cm="1">
        <f t="array" ref="M47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76" s="4" cm="1">
        <f t="array" ref="N47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11.25</v>
      </c>
      <c r="O476" s="4">
        <f>Table156[[#This Row],[Total Amount]]-Table156[[#This Row],[Discount Amount]]</f>
        <v>63.75</v>
      </c>
      <c r="P476" s="4" t="str">
        <f>IF(Table156[[#This Row],[Total Amount]]&gt;=1000,"High","Low")</f>
        <v>Low</v>
      </c>
      <c r="Q476" s="4" t="str" cm="1">
        <f t="array" ref="Q476">_xlfn.IFS(AND(Table156[[#This Row],[Total Amount]]&gt;=1500,"Critical"),AND(Table156[[#This Row],[Total Amount]]&gt;=1000,"High"),TRUE,"Normal")</f>
        <v>Normal</v>
      </c>
      <c r="R476" s="4">
        <f>COUNTIF(Table156[Gender],"Male")</f>
        <v>490</v>
      </c>
    </row>
    <row r="477" spans="1:18" x14ac:dyDescent="0.35">
      <c r="A477" s="4">
        <v>476</v>
      </c>
      <c r="B477" s="5">
        <v>45167</v>
      </c>
      <c r="C477" s="4" t="s">
        <v>489</v>
      </c>
      <c r="D477" s="4" t="s">
        <v>13</v>
      </c>
      <c r="E477" s="4">
        <v>27</v>
      </c>
      <c r="F477" s="4" t="str">
        <f>IF(Table156[[#This Row],[Age]]&lt;=19,"Teenager",IF(Table156[[#This Row],[Age]]&lt;=40,"Median","Old"))</f>
        <v>Median</v>
      </c>
      <c r="G477" s="4" t="s">
        <v>14</v>
      </c>
      <c r="H477" s="4">
        <v>4</v>
      </c>
      <c r="I477" s="4">
        <v>500</v>
      </c>
      <c r="J477" s="4">
        <v>2000</v>
      </c>
      <c r="K477" s="4" t="str" cm="1">
        <f t="array" ref="K477">_xlfn.IFS(AND(Table156[[#This Row],[Total Amount]]&gt;=1500),"Critical",AND(Table156[[#This Row],[Total Amount]]&gt;=1000),"High",TRUE,"Normal")</f>
        <v>Critical</v>
      </c>
      <c r="L477" s="4" t="str">
        <f>IF(Table156[[#This Row],[Total Amount]]&gt;=1000,"High",(IF(Table156[[#This Row],[Total Amount]]&gt;=500,"Medium","Low")))</f>
        <v>High</v>
      </c>
      <c r="M477" s="4" t="str" cm="1">
        <f t="array" ref="M47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77" s="4" cm="1">
        <f t="array" ref="N47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477" s="4">
        <f>Table156[[#This Row],[Total Amount]]-Table156[[#This Row],[Discount Amount]]</f>
        <v>1700</v>
      </c>
      <c r="P477" s="4" t="str">
        <f>IF(Table156[[#This Row],[Total Amount]]&gt;=1000,"High","Low")</f>
        <v>High</v>
      </c>
      <c r="Q477" s="4" t="b" cm="1">
        <f t="array" ref="Q477">_xlfn.IFS(AND(Table156[[#This Row],[Total Amount]]&gt;=1500,"Critical"),AND(Table156[[#This Row],[Total Amount]]&gt;=1000,"High"),TRUE,"Normal")</f>
        <v>1</v>
      </c>
      <c r="R477" s="4">
        <f>COUNTIF(Table156[Gender],"Male")</f>
        <v>490</v>
      </c>
    </row>
    <row r="478" spans="1:18" x14ac:dyDescent="0.35">
      <c r="A478" s="4">
        <v>477</v>
      </c>
      <c r="B478" s="5">
        <v>45040</v>
      </c>
      <c r="C478" s="4" t="s">
        <v>490</v>
      </c>
      <c r="D478" s="4" t="s">
        <v>10</v>
      </c>
      <c r="E478" s="4">
        <v>43</v>
      </c>
      <c r="F478" s="4" t="str">
        <f>IF(Table156[[#This Row],[Age]]&lt;=19,"Teenager",IF(Table156[[#This Row],[Age]]&lt;=40,"Median","Old"))</f>
        <v>Old</v>
      </c>
      <c r="G478" s="4" t="s">
        <v>14</v>
      </c>
      <c r="H478" s="4">
        <v>4</v>
      </c>
      <c r="I478" s="4">
        <v>30</v>
      </c>
      <c r="J478" s="4">
        <v>120</v>
      </c>
      <c r="K478" s="4" t="str" cm="1">
        <f t="array" ref="K478">_xlfn.IFS(AND(Table156[[#This Row],[Total Amount]]&gt;=1500),"Critical",AND(Table156[[#This Row],[Total Amount]]&gt;=1000),"High",TRUE,"Normal")</f>
        <v>Normal</v>
      </c>
      <c r="L478" s="4" t="str">
        <f>IF(Table156[[#This Row],[Total Amount]]&gt;=1000,"High",(IF(Table156[[#This Row],[Total Amount]]&gt;=500,"Medium","Low")))</f>
        <v>Low</v>
      </c>
      <c r="M478" s="4" t="str" cm="1">
        <f t="array" ref="M47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78" s="4" cm="1">
        <f t="array" ref="N47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478" s="4">
        <f>Table156[[#This Row],[Total Amount]]-Table156[[#This Row],[Discount Amount]]</f>
        <v>108</v>
      </c>
      <c r="P478" s="4" t="str">
        <f>IF(Table156[[#This Row],[Total Amount]]&gt;=1000,"High","Low")</f>
        <v>Low</v>
      </c>
      <c r="Q478" s="4" t="str" cm="1">
        <f t="array" ref="Q478">_xlfn.IFS(AND(Table156[[#This Row],[Total Amount]]&gt;=1500,"Critical"),AND(Table156[[#This Row],[Total Amount]]&gt;=1000,"High"),TRUE,"Normal")</f>
        <v>Normal</v>
      </c>
      <c r="R478" s="4">
        <f>COUNTIF(Table156[Gender],"Male")</f>
        <v>490</v>
      </c>
    </row>
    <row r="479" spans="1:18" x14ac:dyDescent="0.35">
      <c r="A479" s="4">
        <v>478</v>
      </c>
      <c r="B479" s="5">
        <v>45029</v>
      </c>
      <c r="C479" s="4" t="s">
        <v>491</v>
      </c>
      <c r="D479" s="4" t="s">
        <v>13</v>
      </c>
      <c r="E479" s="4">
        <v>58</v>
      </c>
      <c r="F479" s="4" t="str">
        <f>IF(Table156[[#This Row],[Age]]&lt;=19,"Teenager",IF(Table156[[#This Row],[Age]]&lt;=40,"Median","Old"))</f>
        <v>Old</v>
      </c>
      <c r="G479" s="4" t="s">
        <v>14</v>
      </c>
      <c r="H479" s="4">
        <v>2</v>
      </c>
      <c r="I479" s="4">
        <v>30</v>
      </c>
      <c r="J479" s="4">
        <v>60</v>
      </c>
      <c r="K479" s="4" t="str" cm="1">
        <f t="array" ref="K479">_xlfn.IFS(AND(Table156[[#This Row],[Total Amount]]&gt;=1500),"Critical",AND(Table156[[#This Row],[Total Amount]]&gt;=1000),"High",TRUE,"Normal")</f>
        <v>Normal</v>
      </c>
      <c r="L479" s="4" t="str">
        <f>IF(Table156[[#This Row],[Total Amount]]&gt;=1000,"High",(IF(Table156[[#This Row],[Total Amount]]&gt;=500,"Medium","Low")))</f>
        <v>Low</v>
      </c>
      <c r="M479" s="4" t="str" cm="1">
        <f t="array" ref="M47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79" s="4" cm="1">
        <f t="array" ref="N47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479" s="4">
        <f>Table156[[#This Row],[Total Amount]]-Table156[[#This Row],[Discount Amount]]</f>
        <v>48</v>
      </c>
      <c r="P479" s="4" t="str">
        <f>IF(Table156[[#This Row],[Total Amount]]&gt;=1000,"High","Low")</f>
        <v>Low</v>
      </c>
      <c r="Q479" s="4" t="str" cm="1">
        <f t="array" ref="Q479">_xlfn.IFS(AND(Table156[[#This Row],[Total Amount]]&gt;=1500,"Critical"),AND(Table156[[#This Row],[Total Amount]]&gt;=1000,"High"),TRUE,"Normal")</f>
        <v>Normal</v>
      </c>
      <c r="R479" s="4">
        <f>COUNTIF(Table156[Gender],"Male")</f>
        <v>490</v>
      </c>
    </row>
    <row r="480" spans="1:18" x14ac:dyDescent="0.35">
      <c r="A480" s="4">
        <v>479</v>
      </c>
      <c r="B480" s="5">
        <v>45162</v>
      </c>
      <c r="C480" s="4" t="s">
        <v>492</v>
      </c>
      <c r="D480" s="4" t="s">
        <v>10</v>
      </c>
      <c r="E480" s="4">
        <v>52</v>
      </c>
      <c r="F480" s="4" t="str">
        <f>IF(Table156[[#This Row],[Age]]&lt;=19,"Teenager",IF(Table156[[#This Row],[Age]]&lt;=40,"Median","Old"))</f>
        <v>Old</v>
      </c>
      <c r="G480" s="4" t="s">
        <v>16</v>
      </c>
      <c r="H480" s="4">
        <v>4</v>
      </c>
      <c r="I480" s="4">
        <v>300</v>
      </c>
      <c r="J480" s="4">
        <v>1200</v>
      </c>
      <c r="K480" s="4" t="str" cm="1">
        <f t="array" ref="K480">_xlfn.IFS(AND(Table156[[#This Row],[Total Amount]]&gt;=1500),"Critical",AND(Table156[[#This Row],[Total Amount]]&gt;=1000),"High",TRUE,"Normal")</f>
        <v>High</v>
      </c>
      <c r="L480" s="4" t="str">
        <f>IF(Table156[[#This Row],[Total Amount]]&gt;=1000,"High",(IF(Table156[[#This Row],[Total Amount]]&gt;=500,"Medium","Low")))</f>
        <v>High</v>
      </c>
      <c r="M480" s="4" t="str" cm="1">
        <f t="array" ref="M48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80" s="4" cm="1">
        <f t="array" ref="N48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480" s="4">
        <f>Table156[[#This Row],[Total Amount]]-Table156[[#This Row],[Discount Amount]]</f>
        <v>1080</v>
      </c>
      <c r="P480" s="4" t="str">
        <f>IF(Table156[[#This Row],[Total Amount]]&gt;=1000,"High","Low")</f>
        <v>High</v>
      </c>
      <c r="Q480" s="4" t="str" cm="1">
        <f t="array" ref="Q480">_xlfn.IFS(AND(Table156[[#This Row],[Total Amount]]&gt;=1500,"Critical"),AND(Table156[[#This Row],[Total Amount]]&gt;=1000,"High"),TRUE,"Normal")</f>
        <v>Normal</v>
      </c>
      <c r="R480" s="4">
        <f>COUNTIF(Table156[Gender],"Male")</f>
        <v>490</v>
      </c>
    </row>
    <row r="481" spans="1:18" x14ac:dyDescent="0.35">
      <c r="A481" s="4">
        <v>480</v>
      </c>
      <c r="B481" s="5">
        <v>45106</v>
      </c>
      <c r="C481" s="4" t="s">
        <v>493</v>
      </c>
      <c r="D481" s="4" t="s">
        <v>13</v>
      </c>
      <c r="E481" s="4">
        <v>42</v>
      </c>
      <c r="F481" s="4" t="str">
        <f>IF(Table156[[#This Row],[Age]]&lt;=19,"Teenager",IF(Table156[[#This Row],[Age]]&lt;=40,"Median","Old"))</f>
        <v>Old</v>
      </c>
      <c r="G481" s="4" t="s">
        <v>11</v>
      </c>
      <c r="H481" s="4">
        <v>4</v>
      </c>
      <c r="I481" s="4">
        <v>500</v>
      </c>
      <c r="J481" s="4">
        <v>2000</v>
      </c>
      <c r="K481" s="4" t="str" cm="1">
        <f t="array" ref="K481">_xlfn.IFS(AND(Table156[[#This Row],[Total Amount]]&gt;=1500),"Critical",AND(Table156[[#This Row],[Total Amount]]&gt;=1000),"High",TRUE,"Normal")</f>
        <v>Critical</v>
      </c>
      <c r="L481" s="4" t="str">
        <f>IF(Table156[[#This Row],[Total Amount]]&gt;=1000,"High",(IF(Table156[[#This Row],[Total Amount]]&gt;=500,"Medium","Low")))</f>
        <v>High</v>
      </c>
      <c r="M481" s="4" t="str" cm="1">
        <f t="array" ref="M48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81" s="4" cm="1">
        <f t="array" ref="N48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400</v>
      </c>
      <c r="O481" s="4">
        <f>Table156[[#This Row],[Total Amount]]-Table156[[#This Row],[Discount Amount]]</f>
        <v>1600</v>
      </c>
      <c r="P481" s="4" t="str">
        <f>IF(Table156[[#This Row],[Total Amount]]&gt;=1000,"High","Low")</f>
        <v>High</v>
      </c>
      <c r="Q481" s="4" t="b" cm="1">
        <f t="array" ref="Q481">_xlfn.IFS(AND(Table156[[#This Row],[Total Amount]]&gt;=1500,"Critical"),AND(Table156[[#This Row],[Total Amount]]&gt;=1000,"High"),TRUE,"Normal")</f>
        <v>1</v>
      </c>
      <c r="R481" s="4">
        <f>COUNTIF(Table156[Gender],"Male")</f>
        <v>490</v>
      </c>
    </row>
    <row r="482" spans="1:18" x14ac:dyDescent="0.35">
      <c r="A482" s="4">
        <v>481</v>
      </c>
      <c r="B482" s="5">
        <v>45083</v>
      </c>
      <c r="C482" s="4" t="s">
        <v>494</v>
      </c>
      <c r="D482" s="4" t="s">
        <v>13</v>
      </c>
      <c r="E482" s="4">
        <v>43</v>
      </c>
      <c r="F482" s="4" t="str">
        <f>IF(Table156[[#This Row],[Age]]&lt;=19,"Teenager",IF(Table156[[#This Row],[Age]]&lt;=40,"Median","Old"))</f>
        <v>Old</v>
      </c>
      <c r="G482" s="4" t="s">
        <v>16</v>
      </c>
      <c r="H482" s="4">
        <v>4</v>
      </c>
      <c r="I482" s="4">
        <v>300</v>
      </c>
      <c r="J482" s="4">
        <v>1200</v>
      </c>
      <c r="K482" s="4" t="str" cm="1">
        <f t="array" ref="K482">_xlfn.IFS(AND(Table156[[#This Row],[Total Amount]]&gt;=1500),"Critical",AND(Table156[[#This Row],[Total Amount]]&gt;=1000),"High",TRUE,"Normal")</f>
        <v>High</v>
      </c>
      <c r="L482" s="4" t="str">
        <f>IF(Table156[[#This Row],[Total Amount]]&gt;=1000,"High",(IF(Table156[[#This Row],[Total Amount]]&gt;=500,"Medium","Low")))</f>
        <v>High</v>
      </c>
      <c r="M482" s="4" t="str" cm="1">
        <f t="array" ref="M48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82" s="4" cm="1">
        <f t="array" ref="N48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482" s="4">
        <f>Table156[[#This Row],[Total Amount]]-Table156[[#This Row],[Discount Amount]]</f>
        <v>960</v>
      </c>
      <c r="P482" s="4" t="str">
        <f>IF(Table156[[#This Row],[Total Amount]]&gt;=1000,"High","Low")</f>
        <v>High</v>
      </c>
      <c r="Q482" s="4" t="str" cm="1">
        <f t="array" ref="Q482">_xlfn.IFS(AND(Table156[[#This Row],[Total Amount]]&gt;=1500,"Critical"),AND(Table156[[#This Row],[Total Amount]]&gt;=1000,"High"),TRUE,"Normal")</f>
        <v>Normal</v>
      </c>
      <c r="R482" s="4">
        <f>COUNTIF(Table156[Gender],"Male")</f>
        <v>490</v>
      </c>
    </row>
    <row r="483" spans="1:18" x14ac:dyDescent="0.35">
      <c r="A483" s="4">
        <v>482</v>
      </c>
      <c r="B483" s="5">
        <v>45043</v>
      </c>
      <c r="C483" s="4" t="s">
        <v>495</v>
      </c>
      <c r="D483" s="4" t="s">
        <v>13</v>
      </c>
      <c r="E483" s="4">
        <v>28</v>
      </c>
      <c r="F483" s="4" t="str">
        <f>IF(Table156[[#This Row],[Age]]&lt;=19,"Teenager",IF(Table156[[#This Row],[Age]]&lt;=40,"Median","Old"))</f>
        <v>Median</v>
      </c>
      <c r="G483" s="4" t="s">
        <v>14</v>
      </c>
      <c r="H483" s="4">
        <v>4</v>
      </c>
      <c r="I483" s="4">
        <v>300</v>
      </c>
      <c r="J483" s="4">
        <v>1200</v>
      </c>
      <c r="K483" s="4" t="str" cm="1">
        <f t="array" ref="K483">_xlfn.IFS(AND(Table156[[#This Row],[Total Amount]]&gt;=1500),"Critical",AND(Table156[[#This Row],[Total Amount]]&gt;=1000),"High",TRUE,"Normal")</f>
        <v>High</v>
      </c>
      <c r="L483" s="4" t="str">
        <f>IF(Table156[[#This Row],[Total Amount]]&gt;=1000,"High",(IF(Table156[[#This Row],[Total Amount]]&gt;=500,"Medium","Low")))</f>
        <v>High</v>
      </c>
      <c r="M483" s="4" t="str" cm="1">
        <f t="array" ref="M48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83" s="4" cm="1">
        <f t="array" ref="N48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483" s="4">
        <f>Table156[[#This Row],[Total Amount]]-Table156[[#This Row],[Discount Amount]]</f>
        <v>1020</v>
      </c>
      <c r="P483" s="4" t="str">
        <f>IF(Table156[[#This Row],[Total Amount]]&gt;=1000,"High","Low")</f>
        <v>High</v>
      </c>
      <c r="Q483" s="4" t="str" cm="1">
        <f t="array" ref="Q483">_xlfn.IFS(AND(Table156[[#This Row],[Total Amount]]&gt;=1500,"Critical"),AND(Table156[[#This Row],[Total Amount]]&gt;=1000,"High"),TRUE,"Normal")</f>
        <v>Normal</v>
      </c>
      <c r="R483" s="4">
        <f>COUNTIF(Table156[Gender],"Male")</f>
        <v>490</v>
      </c>
    </row>
    <row r="484" spans="1:18" x14ac:dyDescent="0.35">
      <c r="A484" s="4">
        <v>483</v>
      </c>
      <c r="B484" s="5">
        <v>45041</v>
      </c>
      <c r="C484" s="4" t="s">
        <v>496</v>
      </c>
      <c r="D484" s="4" t="s">
        <v>10</v>
      </c>
      <c r="E484" s="4">
        <v>55</v>
      </c>
      <c r="F484" s="4" t="str">
        <f>IF(Table156[[#This Row],[Age]]&lt;=19,"Teenager",IF(Table156[[#This Row],[Age]]&lt;=40,"Median","Old"))</f>
        <v>Old</v>
      </c>
      <c r="G484" s="4" t="s">
        <v>14</v>
      </c>
      <c r="H484" s="4">
        <v>1</v>
      </c>
      <c r="I484" s="4">
        <v>30</v>
      </c>
      <c r="J484" s="4">
        <v>30</v>
      </c>
      <c r="K484" s="4" t="str" cm="1">
        <f t="array" ref="K484">_xlfn.IFS(AND(Table156[[#This Row],[Total Amount]]&gt;=1500),"Critical",AND(Table156[[#This Row],[Total Amount]]&gt;=1000),"High",TRUE,"Normal")</f>
        <v>Normal</v>
      </c>
      <c r="L484" s="4" t="str">
        <f>IF(Table156[[#This Row],[Total Amount]]&gt;=1000,"High",(IF(Table156[[#This Row],[Total Amount]]&gt;=500,"Medium","Low")))</f>
        <v>Low</v>
      </c>
      <c r="M484" s="4" t="str" cm="1">
        <f t="array" ref="M48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84" s="4" cm="1">
        <f t="array" ref="N48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484" s="4">
        <f>Table156[[#This Row],[Total Amount]]-Table156[[#This Row],[Discount Amount]]</f>
        <v>27</v>
      </c>
      <c r="P484" s="4" t="str">
        <f>IF(Table156[[#This Row],[Total Amount]]&gt;=1000,"High","Low")</f>
        <v>Low</v>
      </c>
      <c r="Q484" s="4" t="str" cm="1">
        <f t="array" ref="Q484">_xlfn.IFS(AND(Table156[[#This Row],[Total Amount]]&gt;=1500,"Critical"),AND(Table156[[#This Row],[Total Amount]]&gt;=1000,"High"),TRUE,"Normal")</f>
        <v>Normal</v>
      </c>
      <c r="R484" s="4">
        <f>COUNTIF(Table156[Gender],"Male")</f>
        <v>490</v>
      </c>
    </row>
    <row r="485" spans="1:18" x14ac:dyDescent="0.35">
      <c r="A485" s="4">
        <v>484</v>
      </c>
      <c r="B485" s="5">
        <v>44939</v>
      </c>
      <c r="C485" s="4" t="s">
        <v>497</v>
      </c>
      <c r="D485" s="4" t="s">
        <v>13</v>
      </c>
      <c r="E485" s="4">
        <v>19</v>
      </c>
      <c r="F485" s="4" t="str">
        <f>IF(Table156[[#This Row],[Age]]&lt;=19,"Teenager",IF(Table156[[#This Row],[Age]]&lt;=40,"Median","Old"))</f>
        <v>Teenager</v>
      </c>
      <c r="G485" s="4" t="s">
        <v>14</v>
      </c>
      <c r="H485" s="4">
        <v>4</v>
      </c>
      <c r="I485" s="4">
        <v>300</v>
      </c>
      <c r="J485" s="4">
        <v>1200</v>
      </c>
      <c r="K485" s="4" t="str" cm="1">
        <f t="array" ref="K485">_xlfn.IFS(AND(Table156[[#This Row],[Total Amount]]&gt;=1500),"Critical",AND(Table156[[#This Row],[Total Amount]]&gt;=1000),"High",TRUE,"Normal")</f>
        <v>High</v>
      </c>
      <c r="L485" s="4" t="str">
        <f>IF(Table156[[#This Row],[Total Amount]]&gt;=1000,"High",(IF(Table156[[#This Row],[Total Amount]]&gt;=500,"Medium","Low")))</f>
        <v>High</v>
      </c>
      <c r="M485" s="4" t="str" cm="1">
        <f t="array" ref="M48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85" s="4" cm="1">
        <f t="array" ref="N48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85" s="4">
        <f>Table156[[#This Row],[Total Amount]]-Table156[[#This Row],[Discount Amount]]</f>
        <v>1200</v>
      </c>
      <c r="P485" s="4" t="str">
        <f>IF(Table156[[#This Row],[Total Amount]]&gt;=1000,"High","Low")</f>
        <v>High</v>
      </c>
      <c r="Q485" s="4" t="str" cm="1">
        <f t="array" ref="Q485">_xlfn.IFS(AND(Table156[[#This Row],[Total Amount]]&gt;=1500,"Critical"),AND(Table156[[#This Row],[Total Amount]]&gt;=1000,"High"),TRUE,"Normal")</f>
        <v>Normal</v>
      </c>
      <c r="R485" s="4">
        <f>COUNTIF(Table156[Gender],"Male")</f>
        <v>490</v>
      </c>
    </row>
    <row r="486" spans="1:18" x14ac:dyDescent="0.35">
      <c r="A486" s="4">
        <v>485</v>
      </c>
      <c r="B486" s="5">
        <v>45264</v>
      </c>
      <c r="C486" s="4" t="s">
        <v>498</v>
      </c>
      <c r="D486" s="4" t="s">
        <v>10</v>
      </c>
      <c r="E486" s="4">
        <v>24</v>
      </c>
      <c r="F486" s="4" t="str">
        <f>IF(Table156[[#This Row],[Age]]&lt;=19,"Teenager",IF(Table156[[#This Row],[Age]]&lt;=40,"Median","Old"))</f>
        <v>Median</v>
      </c>
      <c r="G486" s="4" t="s">
        <v>16</v>
      </c>
      <c r="H486" s="4">
        <v>1</v>
      </c>
      <c r="I486" s="4">
        <v>30</v>
      </c>
      <c r="J486" s="4">
        <v>30</v>
      </c>
      <c r="K486" s="4" t="str" cm="1">
        <f t="array" ref="K486">_xlfn.IFS(AND(Table156[[#This Row],[Total Amount]]&gt;=1500),"Critical",AND(Table156[[#This Row],[Total Amount]]&gt;=1000),"High",TRUE,"Normal")</f>
        <v>Normal</v>
      </c>
      <c r="L486" s="4" t="str">
        <f>IF(Table156[[#This Row],[Total Amount]]&gt;=1000,"High",(IF(Table156[[#This Row],[Total Amount]]&gt;=500,"Medium","Low")))</f>
        <v>Low</v>
      </c>
      <c r="M486" s="4" t="str" cm="1">
        <f t="array" ref="M48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86" s="4" cm="1">
        <f t="array" ref="N48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86" s="4">
        <f>Table156[[#This Row],[Total Amount]]-Table156[[#This Row],[Discount Amount]]</f>
        <v>30</v>
      </c>
      <c r="P486" s="4" t="str">
        <f>IF(Table156[[#This Row],[Total Amount]]&gt;=1000,"High","Low")</f>
        <v>Low</v>
      </c>
      <c r="Q486" s="4" t="str" cm="1">
        <f t="array" ref="Q486">_xlfn.IFS(AND(Table156[[#This Row],[Total Amount]]&gt;=1500,"Critical"),AND(Table156[[#This Row],[Total Amount]]&gt;=1000,"High"),TRUE,"Normal")</f>
        <v>Normal</v>
      </c>
      <c r="R486" s="4">
        <f>COUNTIF(Table156[Gender],"Male")</f>
        <v>490</v>
      </c>
    </row>
    <row r="487" spans="1:18" x14ac:dyDescent="0.35">
      <c r="A487" s="4">
        <v>486</v>
      </c>
      <c r="B487" s="5">
        <v>45025</v>
      </c>
      <c r="C487" s="4" t="s">
        <v>499</v>
      </c>
      <c r="D487" s="4" t="s">
        <v>13</v>
      </c>
      <c r="E487" s="4">
        <v>35</v>
      </c>
      <c r="F487" s="4" t="str">
        <f>IF(Table156[[#This Row],[Age]]&lt;=19,"Teenager",IF(Table156[[#This Row],[Age]]&lt;=40,"Median","Old"))</f>
        <v>Median</v>
      </c>
      <c r="G487" s="4" t="s">
        <v>16</v>
      </c>
      <c r="H487" s="4">
        <v>1</v>
      </c>
      <c r="I487" s="4">
        <v>25</v>
      </c>
      <c r="J487" s="4">
        <v>25</v>
      </c>
      <c r="K487" s="4" t="str" cm="1">
        <f t="array" ref="K487">_xlfn.IFS(AND(Table156[[#This Row],[Total Amount]]&gt;=1500),"Critical",AND(Table156[[#This Row],[Total Amount]]&gt;=1000),"High",TRUE,"Normal")</f>
        <v>Normal</v>
      </c>
      <c r="L487" s="4" t="str">
        <f>IF(Table156[[#This Row],[Total Amount]]&gt;=1000,"High",(IF(Table156[[#This Row],[Total Amount]]&gt;=500,"Medium","Low")))</f>
        <v>Low</v>
      </c>
      <c r="M487" s="4" t="str" cm="1">
        <f t="array" ref="M48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87" s="4" cm="1">
        <f t="array" ref="N48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487" s="4">
        <f>Table156[[#This Row],[Total Amount]]-Table156[[#This Row],[Discount Amount]]</f>
        <v>20</v>
      </c>
      <c r="P487" s="4" t="str">
        <f>IF(Table156[[#This Row],[Total Amount]]&gt;=1000,"High","Low")</f>
        <v>Low</v>
      </c>
      <c r="Q487" s="4" t="str" cm="1">
        <f t="array" ref="Q487">_xlfn.IFS(AND(Table156[[#This Row],[Total Amount]]&gt;=1500,"Critical"),AND(Table156[[#This Row],[Total Amount]]&gt;=1000,"High"),TRUE,"Normal")</f>
        <v>Normal</v>
      </c>
      <c r="R487" s="4">
        <f>COUNTIF(Table156[Gender],"Male")</f>
        <v>490</v>
      </c>
    </row>
    <row r="488" spans="1:18" x14ac:dyDescent="0.35">
      <c r="A488" s="4">
        <v>487</v>
      </c>
      <c r="B488" s="5">
        <v>45131</v>
      </c>
      <c r="C488" s="4" t="s">
        <v>500</v>
      </c>
      <c r="D488" s="4" t="s">
        <v>10</v>
      </c>
      <c r="E488" s="4">
        <v>44</v>
      </c>
      <c r="F488" s="4" t="str">
        <f>IF(Table156[[#This Row],[Age]]&lt;=19,"Teenager",IF(Table156[[#This Row],[Age]]&lt;=40,"Median","Old"))</f>
        <v>Old</v>
      </c>
      <c r="G488" s="4" t="s">
        <v>14</v>
      </c>
      <c r="H488" s="4">
        <v>4</v>
      </c>
      <c r="I488" s="4">
        <v>500</v>
      </c>
      <c r="J488" s="4">
        <v>2000</v>
      </c>
      <c r="K488" s="4" t="str" cm="1">
        <f t="array" ref="K488">_xlfn.IFS(AND(Table156[[#This Row],[Total Amount]]&gt;=1500),"Critical",AND(Table156[[#This Row],[Total Amount]]&gt;=1000),"High",TRUE,"Normal")</f>
        <v>Critical</v>
      </c>
      <c r="L488" s="4" t="str">
        <f>IF(Table156[[#This Row],[Total Amount]]&gt;=1000,"High",(IF(Table156[[#This Row],[Total Amount]]&gt;=500,"Medium","Low")))</f>
        <v>High</v>
      </c>
      <c r="M488" s="4" t="str" cm="1">
        <f t="array" ref="M48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88" s="4" cm="1">
        <f t="array" ref="N48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488" s="4">
        <f>Table156[[#This Row],[Total Amount]]-Table156[[#This Row],[Discount Amount]]</f>
        <v>1800</v>
      </c>
      <c r="P488" s="4" t="str">
        <f>IF(Table156[[#This Row],[Total Amount]]&gt;=1000,"High","Low")</f>
        <v>High</v>
      </c>
      <c r="Q488" s="4" t="b" cm="1">
        <f t="array" ref="Q488">_xlfn.IFS(AND(Table156[[#This Row],[Total Amount]]&gt;=1500,"Critical"),AND(Table156[[#This Row],[Total Amount]]&gt;=1000,"High"),TRUE,"Normal")</f>
        <v>1</v>
      </c>
      <c r="R488" s="4">
        <f>COUNTIF(Table156[Gender],"Male")</f>
        <v>490</v>
      </c>
    </row>
    <row r="489" spans="1:18" x14ac:dyDescent="0.35">
      <c r="A489" s="4">
        <v>488</v>
      </c>
      <c r="B489" s="5">
        <v>45095</v>
      </c>
      <c r="C489" s="4" t="s">
        <v>501</v>
      </c>
      <c r="D489" s="4" t="s">
        <v>13</v>
      </c>
      <c r="E489" s="4">
        <v>51</v>
      </c>
      <c r="F489" s="4" t="str">
        <f>IF(Table156[[#This Row],[Age]]&lt;=19,"Teenager",IF(Table156[[#This Row],[Age]]&lt;=40,"Median","Old"))</f>
        <v>Old</v>
      </c>
      <c r="G489" s="4" t="s">
        <v>16</v>
      </c>
      <c r="H489" s="4">
        <v>3</v>
      </c>
      <c r="I489" s="4">
        <v>300</v>
      </c>
      <c r="J489" s="4">
        <v>900</v>
      </c>
      <c r="K489" s="4" t="str" cm="1">
        <f t="array" ref="K489">_xlfn.IFS(AND(Table156[[#This Row],[Total Amount]]&gt;=1500),"Critical",AND(Table156[[#This Row],[Total Amount]]&gt;=1000),"High",TRUE,"Normal")</f>
        <v>Normal</v>
      </c>
      <c r="L489" s="4" t="str">
        <f>IF(Table156[[#This Row],[Total Amount]]&gt;=1000,"High",(IF(Table156[[#This Row],[Total Amount]]&gt;=500,"Medium","Low")))</f>
        <v>Medium</v>
      </c>
      <c r="M489" s="4" t="str" cm="1">
        <f t="array" ref="M48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89" s="4" cm="1">
        <f t="array" ref="N48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489" s="4">
        <f>Table156[[#This Row],[Total Amount]]-Table156[[#This Row],[Discount Amount]]</f>
        <v>720</v>
      </c>
      <c r="P489" s="4" t="str">
        <f>IF(Table156[[#This Row],[Total Amount]]&gt;=1000,"High","Low")</f>
        <v>Low</v>
      </c>
      <c r="Q489" s="4" t="str" cm="1">
        <f t="array" ref="Q489">_xlfn.IFS(AND(Table156[[#This Row],[Total Amount]]&gt;=1500,"Critical"),AND(Table156[[#This Row],[Total Amount]]&gt;=1000,"High"),TRUE,"Normal")</f>
        <v>Normal</v>
      </c>
      <c r="R489" s="4">
        <f>COUNTIF(Table156[Gender],"Male")</f>
        <v>490</v>
      </c>
    </row>
    <row r="490" spans="1:18" x14ac:dyDescent="0.35">
      <c r="A490" s="4">
        <v>489</v>
      </c>
      <c r="B490" s="5">
        <v>45069</v>
      </c>
      <c r="C490" s="4" t="s">
        <v>502</v>
      </c>
      <c r="D490" s="4" t="s">
        <v>10</v>
      </c>
      <c r="E490" s="4">
        <v>44</v>
      </c>
      <c r="F490" s="4" t="str">
        <f>IF(Table156[[#This Row],[Age]]&lt;=19,"Teenager",IF(Table156[[#This Row],[Age]]&lt;=40,"Median","Old"))</f>
        <v>Old</v>
      </c>
      <c r="G490" s="4" t="s">
        <v>16</v>
      </c>
      <c r="H490" s="4">
        <v>1</v>
      </c>
      <c r="I490" s="4">
        <v>30</v>
      </c>
      <c r="J490" s="4">
        <v>30</v>
      </c>
      <c r="K490" s="4" t="str" cm="1">
        <f t="array" ref="K490">_xlfn.IFS(AND(Table156[[#This Row],[Total Amount]]&gt;=1500),"Critical",AND(Table156[[#This Row],[Total Amount]]&gt;=1000),"High",TRUE,"Normal")</f>
        <v>Normal</v>
      </c>
      <c r="L490" s="4" t="str">
        <f>IF(Table156[[#This Row],[Total Amount]]&gt;=1000,"High",(IF(Table156[[#This Row],[Total Amount]]&gt;=500,"Medium","Low")))</f>
        <v>Low</v>
      </c>
      <c r="M490" s="4" t="str" cm="1">
        <f t="array" ref="M49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90" s="4" cm="1">
        <f t="array" ref="N49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490" s="4">
        <f>Table156[[#This Row],[Total Amount]]-Table156[[#This Row],[Discount Amount]]</f>
        <v>27</v>
      </c>
      <c r="P490" s="4" t="str">
        <f>IF(Table156[[#This Row],[Total Amount]]&gt;=1000,"High","Low")</f>
        <v>Low</v>
      </c>
      <c r="Q490" s="4" t="str" cm="1">
        <f t="array" ref="Q490">_xlfn.IFS(AND(Table156[[#This Row],[Total Amount]]&gt;=1500,"Critical"),AND(Table156[[#This Row],[Total Amount]]&gt;=1000,"High"),TRUE,"Normal")</f>
        <v>Normal</v>
      </c>
      <c r="R490" s="4">
        <f>COUNTIF(Table156[Gender],"Male")</f>
        <v>490</v>
      </c>
    </row>
    <row r="491" spans="1:18" x14ac:dyDescent="0.35">
      <c r="A491" s="4">
        <v>490</v>
      </c>
      <c r="B491" s="5">
        <v>44962</v>
      </c>
      <c r="C491" s="4" t="s">
        <v>503</v>
      </c>
      <c r="D491" s="4" t="s">
        <v>10</v>
      </c>
      <c r="E491" s="4">
        <v>34</v>
      </c>
      <c r="F491" s="4" t="str">
        <f>IF(Table156[[#This Row],[Age]]&lt;=19,"Teenager",IF(Table156[[#This Row],[Age]]&lt;=40,"Median","Old"))</f>
        <v>Median</v>
      </c>
      <c r="G491" s="4" t="s">
        <v>14</v>
      </c>
      <c r="H491" s="4">
        <v>3</v>
      </c>
      <c r="I491" s="4">
        <v>50</v>
      </c>
      <c r="J491" s="4">
        <v>150</v>
      </c>
      <c r="K491" s="4" t="str" cm="1">
        <f t="array" ref="K491">_xlfn.IFS(AND(Table156[[#This Row],[Total Amount]]&gt;=1500),"Critical",AND(Table156[[#This Row],[Total Amount]]&gt;=1000),"High",TRUE,"Normal")</f>
        <v>Normal</v>
      </c>
      <c r="L491" s="4" t="str">
        <f>IF(Table156[[#This Row],[Total Amount]]&gt;=1000,"High",(IF(Table156[[#This Row],[Total Amount]]&gt;=500,"Medium","Low")))</f>
        <v>Low</v>
      </c>
      <c r="M491" s="4" t="str" cm="1">
        <f t="array" ref="M49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91" s="4" cm="1">
        <f t="array" ref="N49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22.5</v>
      </c>
      <c r="O491" s="4">
        <f>Table156[[#This Row],[Total Amount]]-Table156[[#This Row],[Discount Amount]]</f>
        <v>127.5</v>
      </c>
      <c r="P491" s="4" t="str">
        <f>IF(Table156[[#This Row],[Total Amount]]&gt;=1000,"High","Low")</f>
        <v>Low</v>
      </c>
      <c r="Q491" s="4" t="str" cm="1">
        <f t="array" ref="Q491">_xlfn.IFS(AND(Table156[[#This Row],[Total Amount]]&gt;=1500,"Critical"),AND(Table156[[#This Row],[Total Amount]]&gt;=1000,"High"),TRUE,"Normal")</f>
        <v>Normal</v>
      </c>
      <c r="R491" s="4">
        <f>COUNTIF(Table156[Gender],"Male")</f>
        <v>490</v>
      </c>
    </row>
    <row r="492" spans="1:18" x14ac:dyDescent="0.35">
      <c r="A492" s="4">
        <v>491</v>
      </c>
      <c r="B492" s="5">
        <v>45069</v>
      </c>
      <c r="C492" s="4" t="s">
        <v>504</v>
      </c>
      <c r="D492" s="4" t="s">
        <v>13</v>
      </c>
      <c r="E492" s="4">
        <v>60</v>
      </c>
      <c r="F492" s="4" t="str">
        <f>IF(Table156[[#This Row],[Age]]&lt;=19,"Teenager",IF(Table156[[#This Row],[Age]]&lt;=40,"Median","Old"))</f>
        <v>Old</v>
      </c>
      <c r="G492" s="4" t="s">
        <v>16</v>
      </c>
      <c r="H492" s="4">
        <v>3</v>
      </c>
      <c r="I492" s="4">
        <v>300</v>
      </c>
      <c r="J492" s="4">
        <v>900</v>
      </c>
      <c r="K492" s="4" t="str" cm="1">
        <f t="array" ref="K492">_xlfn.IFS(AND(Table156[[#This Row],[Total Amount]]&gt;=1500),"Critical",AND(Table156[[#This Row],[Total Amount]]&gt;=1000),"High",TRUE,"Normal")</f>
        <v>Normal</v>
      </c>
      <c r="L492" s="4" t="str">
        <f>IF(Table156[[#This Row],[Total Amount]]&gt;=1000,"High",(IF(Table156[[#This Row],[Total Amount]]&gt;=500,"Medium","Low")))</f>
        <v>Medium</v>
      </c>
      <c r="M492" s="4" t="str" cm="1">
        <f t="array" ref="M49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92" s="4" cm="1">
        <f t="array" ref="N49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492" s="4">
        <f>Table156[[#This Row],[Total Amount]]-Table156[[#This Row],[Discount Amount]]</f>
        <v>720</v>
      </c>
      <c r="P492" s="4" t="str">
        <f>IF(Table156[[#This Row],[Total Amount]]&gt;=1000,"High","Low")</f>
        <v>Low</v>
      </c>
      <c r="Q492" s="4" t="str" cm="1">
        <f t="array" ref="Q492">_xlfn.IFS(AND(Table156[[#This Row],[Total Amount]]&gt;=1500,"Critical"),AND(Table156[[#This Row],[Total Amount]]&gt;=1000,"High"),TRUE,"Normal")</f>
        <v>Normal</v>
      </c>
      <c r="R492" s="4">
        <f>COUNTIF(Table156[Gender],"Male")</f>
        <v>490</v>
      </c>
    </row>
    <row r="493" spans="1:18" x14ac:dyDescent="0.35">
      <c r="A493" s="4">
        <v>492</v>
      </c>
      <c r="B493" s="5">
        <v>45106</v>
      </c>
      <c r="C493" s="4" t="s">
        <v>505</v>
      </c>
      <c r="D493" s="4" t="s">
        <v>10</v>
      </c>
      <c r="E493" s="4">
        <v>61</v>
      </c>
      <c r="F493" s="4" t="str">
        <f>IF(Table156[[#This Row],[Age]]&lt;=19,"Teenager",IF(Table156[[#This Row],[Age]]&lt;=40,"Median","Old"))</f>
        <v>Old</v>
      </c>
      <c r="G493" s="4" t="s">
        <v>11</v>
      </c>
      <c r="H493" s="4">
        <v>4</v>
      </c>
      <c r="I493" s="4">
        <v>25</v>
      </c>
      <c r="J493" s="4">
        <v>100</v>
      </c>
      <c r="K493" s="4" t="str" cm="1">
        <f t="array" ref="K493">_xlfn.IFS(AND(Table156[[#This Row],[Total Amount]]&gt;=1500),"Critical",AND(Table156[[#This Row],[Total Amount]]&gt;=1000),"High",TRUE,"Normal")</f>
        <v>Normal</v>
      </c>
      <c r="L493" s="4" t="str">
        <f>IF(Table156[[#This Row],[Total Amount]]&gt;=1000,"High",(IF(Table156[[#This Row],[Total Amount]]&gt;=500,"Medium","Low")))</f>
        <v>Low</v>
      </c>
      <c r="M493" s="4" t="str" cm="1">
        <f t="array" ref="M49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93" s="4" cm="1">
        <f t="array" ref="N49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493" s="4">
        <f>Table156[[#This Row],[Total Amount]]-Table156[[#This Row],[Discount Amount]]</f>
        <v>90</v>
      </c>
      <c r="P493" s="4" t="str">
        <f>IF(Table156[[#This Row],[Total Amount]]&gt;=1000,"High","Low")</f>
        <v>Low</v>
      </c>
      <c r="Q493" s="4" t="str" cm="1">
        <f t="array" ref="Q493">_xlfn.IFS(AND(Table156[[#This Row],[Total Amount]]&gt;=1500,"Critical"),AND(Table156[[#This Row],[Total Amount]]&gt;=1000,"High"),TRUE,"Normal")</f>
        <v>Normal</v>
      </c>
      <c r="R493" s="4">
        <f>COUNTIF(Table156[Gender],"Male")</f>
        <v>490</v>
      </c>
    </row>
    <row r="494" spans="1:18" x14ac:dyDescent="0.35">
      <c r="A494" s="4">
        <v>493</v>
      </c>
      <c r="B494" s="5">
        <v>45255</v>
      </c>
      <c r="C494" s="4" t="s">
        <v>506</v>
      </c>
      <c r="D494" s="4" t="s">
        <v>10</v>
      </c>
      <c r="E494" s="4">
        <v>41</v>
      </c>
      <c r="F494" s="4" t="str">
        <f>IF(Table156[[#This Row],[Age]]&lt;=19,"Teenager",IF(Table156[[#This Row],[Age]]&lt;=40,"Median","Old"))</f>
        <v>Old</v>
      </c>
      <c r="G494" s="4" t="s">
        <v>11</v>
      </c>
      <c r="H494" s="4">
        <v>2</v>
      </c>
      <c r="I494" s="4">
        <v>25</v>
      </c>
      <c r="J494" s="4">
        <v>50</v>
      </c>
      <c r="K494" s="4" t="str" cm="1">
        <f t="array" ref="K494">_xlfn.IFS(AND(Table156[[#This Row],[Total Amount]]&gt;=1500),"Critical",AND(Table156[[#This Row],[Total Amount]]&gt;=1000),"High",TRUE,"Normal")</f>
        <v>Normal</v>
      </c>
      <c r="L494" s="4" t="str">
        <f>IF(Table156[[#This Row],[Total Amount]]&gt;=1000,"High",(IF(Table156[[#This Row],[Total Amount]]&gt;=500,"Medium","Low")))</f>
        <v>Low</v>
      </c>
      <c r="M494" s="4" t="str" cm="1">
        <f t="array" ref="M49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94" s="4" cm="1">
        <f t="array" ref="N49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494" s="4">
        <f>Table156[[#This Row],[Total Amount]]-Table156[[#This Row],[Discount Amount]]</f>
        <v>45</v>
      </c>
      <c r="P494" s="4" t="str">
        <f>IF(Table156[[#This Row],[Total Amount]]&gt;=1000,"High","Low")</f>
        <v>Low</v>
      </c>
      <c r="Q494" s="4" t="str" cm="1">
        <f t="array" ref="Q494">_xlfn.IFS(AND(Table156[[#This Row],[Total Amount]]&gt;=1500,"Critical"),AND(Table156[[#This Row],[Total Amount]]&gt;=1000,"High"),TRUE,"Normal")</f>
        <v>Normal</v>
      </c>
      <c r="R494" s="4">
        <f>COUNTIF(Table156[Gender],"Male")</f>
        <v>490</v>
      </c>
    </row>
    <row r="495" spans="1:18" x14ac:dyDescent="0.35">
      <c r="A495" s="4">
        <v>494</v>
      </c>
      <c r="B495" s="5">
        <v>45187</v>
      </c>
      <c r="C495" s="4" t="s">
        <v>507</v>
      </c>
      <c r="D495" s="4" t="s">
        <v>13</v>
      </c>
      <c r="E495" s="4">
        <v>42</v>
      </c>
      <c r="F495" s="4" t="str">
        <f>IF(Table156[[#This Row],[Age]]&lt;=19,"Teenager",IF(Table156[[#This Row],[Age]]&lt;=40,"Median","Old"))</f>
        <v>Old</v>
      </c>
      <c r="G495" s="4" t="s">
        <v>11</v>
      </c>
      <c r="H495" s="4">
        <v>4</v>
      </c>
      <c r="I495" s="4">
        <v>50</v>
      </c>
      <c r="J495" s="4">
        <v>200</v>
      </c>
      <c r="K495" s="4" t="str" cm="1">
        <f t="array" ref="K495">_xlfn.IFS(AND(Table156[[#This Row],[Total Amount]]&gt;=1500),"Critical",AND(Table156[[#This Row],[Total Amount]]&gt;=1000),"High",TRUE,"Normal")</f>
        <v>Normal</v>
      </c>
      <c r="L495" s="4" t="str">
        <f>IF(Table156[[#This Row],[Total Amount]]&gt;=1000,"High",(IF(Table156[[#This Row],[Total Amount]]&gt;=500,"Medium","Low")))</f>
        <v>Low</v>
      </c>
      <c r="M495" s="4" t="str" cm="1">
        <f t="array" ref="M49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95" s="4" cm="1">
        <f t="array" ref="N49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495" s="4">
        <f>Table156[[#This Row],[Total Amount]]-Table156[[#This Row],[Discount Amount]]</f>
        <v>160</v>
      </c>
      <c r="P495" s="4" t="str">
        <f>IF(Table156[[#This Row],[Total Amount]]&gt;=1000,"High","Low")</f>
        <v>Low</v>
      </c>
      <c r="Q495" s="4" t="str" cm="1">
        <f t="array" ref="Q495">_xlfn.IFS(AND(Table156[[#This Row],[Total Amount]]&gt;=1500,"Critical"),AND(Table156[[#This Row],[Total Amount]]&gt;=1000,"High"),TRUE,"Normal")</f>
        <v>Normal</v>
      </c>
      <c r="R495" s="4">
        <f>COUNTIF(Table156[Gender],"Male")</f>
        <v>490</v>
      </c>
    </row>
    <row r="496" spans="1:18" x14ac:dyDescent="0.35">
      <c r="A496" s="4">
        <v>495</v>
      </c>
      <c r="B496" s="5">
        <v>45131</v>
      </c>
      <c r="C496" s="4" t="s">
        <v>508</v>
      </c>
      <c r="D496" s="4" t="s">
        <v>10</v>
      </c>
      <c r="E496" s="4">
        <v>24</v>
      </c>
      <c r="F496" s="4" t="str">
        <f>IF(Table156[[#This Row],[Age]]&lt;=19,"Teenager",IF(Table156[[#This Row],[Age]]&lt;=40,"Median","Old"))</f>
        <v>Median</v>
      </c>
      <c r="G496" s="4" t="s">
        <v>11</v>
      </c>
      <c r="H496" s="4">
        <v>2</v>
      </c>
      <c r="I496" s="4">
        <v>30</v>
      </c>
      <c r="J496" s="4">
        <v>60</v>
      </c>
      <c r="K496" s="4" t="str" cm="1">
        <f t="array" ref="K496">_xlfn.IFS(AND(Table156[[#This Row],[Total Amount]]&gt;=1500),"Critical",AND(Table156[[#This Row],[Total Amount]]&gt;=1000),"High",TRUE,"Normal")</f>
        <v>Normal</v>
      </c>
      <c r="L496" s="4" t="str">
        <f>IF(Table156[[#This Row],[Total Amount]]&gt;=1000,"High",(IF(Table156[[#This Row],[Total Amount]]&gt;=500,"Medium","Low")))</f>
        <v>Low</v>
      </c>
      <c r="M496" s="4" t="str" cm="1">
        <f t="array" ref="M49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96" s="4" cm="1">
        <f t="array" ref="N49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96" s="4">
        <f>Table156[[#This Row],[Total Amount]]-Table156[[#This Row],[Discount Amount]]</f>
        <v>60</v>
      </c>
      <c r="P496" s="4" t="str">
        <f>IF(Table156[[#This Row],[Total Amount]]&gt;=1000,"High","Low")</f>
        <v>Low</v>
      </c>
      <c r="Q496" s="4" t="str" cm="1">
        <f t="array" ref="Q496">_xlfn.IFS(AND(Table156[[#This Row],[Total Amount]]&gt;=1500,"Critical"),AND(Table156[[#This Row],[Total Amount]]&gt;=1000,"High"),TRUE,"Normal")</f>
        <v>Normal</v>
      </c>
      <c r="R496" s="4">
        <f>COUNTIF(Table156[Gender],"Male")</f>
        <v>490</v>
      </c>
    </row>
    <row r="497" spans="1:18" x14ac:dyDescent="0.35">
      <c r="A497" s="4">
        <v>496</v>
      </c>
      <c r="B497" s="5">
        <v>45274</v>
      </c>
      <c r="C497" s="4" t="s">
        <v>509</v>
      </c>
      <c r="D497" s="4" t="s">
        <v>10</v>
      </c>
      <c r="E497" s="4">
        <v>23</v>
      </c>
      <c r="F497" s="4" t="str">
        <f>IF(Table156[[#This Row],[Age]]&lt;=19,"Teenager",IF(Table156[[#This Row],[Age]]&lt;=40,"Median","Old"))</f>
        <v>Median</v>
      </c>
      <c r="G497" s="4" t="s">
        <v>14</v>
      </c>
      <c r="H497" s="4">
        <v>2</v>
      </c>
      <c r="I497" s="4">
        <v>300</v>
      </c>
      <c r="J497" s="4">
        <v>600</v>
      </c>
      <c r="K497" s="4" t="str" cm="1">
        <f t="array" ref="K497">_xlfn.IFS(AND(Table156[[#This Row],[Total Amount]]&gt;=1500),"Critical",AND(Table156[[#This Row],[Total Amount]]&gt;=1000),"High",TRUE,"Normal")</f>
        <v>Normal</v>
      </c>
      <c r="L497" s="4" t="str">
        <f>IF(Table156[[#This Row],[Total Amount]]&gt;=1000,"High",(IF(Table156[[#This Row],[Total Amount]]&gt;=500,"Medium","Low")))</f>
        <v>Medium</v>
      </c>
      <c r="M497" s="4" t="str" cm="1">
        <f t="array" ref="M49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97" s="4" cm="1">
        <f t="array" ref="N49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97" s="4">
        <f>Table156[[#This Row],[Total Amount]]-Table156[[#This Row],[Discount Amount]]</f>
        <v>600</v>
      </c>
      <c r="P497" s="4" t="str">
        <f>IF(Table156[[#This Row],[Total Amount]]&gt;=1000,"High","Low")</f>
        <v>Low</v>
      </c>
      <c r="Q497" s="4" t="str" cm="1">
        <f t="array" ref="Q497">_xlfn.IFS(AND(Table156[[#This Row],[Total Amount]]&gt;=1500,"Critical"),AND(Table156[[#This Row],[Total Amount]]&gt;=1000,"High"),TRUE,"Normal")</f>
        <v>Normal</v>
      </c>
      <c r="R497" s="4">
        <f>COUNTIF(Table156[Gender],"Male")</f>
        <v>490</v>
      </c>
    </row>
    <row r="498" spans="1:18" x14ac:dyDescent="0.35">
      <c r="A498" s="4">
        <v>497</v>
      </c>
      <c r="B498" s="5">
        <v>45201</v>
      </c>
      <c r="C498" s="4" t="s">
        <v>510</v>
      </c>
      <c r="D498" s="4" t="s">
        <v>10</v>
      </c>
      <c r="E498" s="4">
        <v>41</v>
      </c>
      <c r="F498" s="4" t="str">
        <f>IF(Table156[[#This Row],[Age]]&lt;=19,"Teenager",IF(Table156[[#This Row],[Age]]&lt;=40,"Median","Old"))</f>
        <v>Old</v>
      </c>
      <c r="G498" s="4" t="s">
        <v>14</v>
      </c>
      <c r="H498" s="4">
        <v>4</v>
      </c>
      <c r="I498" s="4">
        <v>30</v>
      </c>
      <c r="J498" s="4">
        <v>120</v>
      </c>
      <c r="K498" s="4" t="str" cm="1">
        <f t="array" ref="K498">_xlfn.IFS(AND(Table156[[#This Row],[Total Amount]]&gt;=1500),"Critical",AND(Table156[[#This Row],[Total Amount]]&gt;=1000),"High",TRUE,"Normal")</f>
        <v>Normal</v>
      </c>
      <c r="L498" s="4" t="str">
        <f>IF(Table156[[#This Row],[Total Amount]]&gt;=1000,"High",(IF(Table156[[#This Row],[Total Amount]]&gt;=500,"Medium","Low")))</f>
        <v>Low</v>
      </c>
      <c r="M498" s="4" t="str" cm="1">
        <f t="array" ref="M49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98" s="4" cm="1">
        <f t="array" ref="N49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498" s="4">
        <f>Table156[[#This Row],[Total Amount]]-Table156[[#This Row],[Discount Amount]]</f>
        <v>108</v>
      </c>
      <c r="P498" s="4" t="str">
        <f>IF(Table156[[#This Row],[Total Amount]]&gt;=1000,"High","Low")</f>
        <v>Low</v>
      </c>
      <c r="Q498" s="4" t="str" cm="1">
        <f t="array" ref="Q498">_xlfn.IFS(AND(Table156[[#This Row],[Total Amount]]&gt;=1500,"Critical"),AND(Table156[[#This Row],[Total Amount]]&gt;=1000,"High"),TRUE,"Normal")</f>
        <v>Normal</v>
      </c>
      <c r="R498" s="4">
        <f>COUNTIF(Table156[Gender],"Male")</f>
        <v>490</v>
      </c>
    </row>
    <row r="499" spans="1:18" x14ac:dyDescent="0.35">
      <c r="A499" s="4">
        <v>498</v>
      </c>
      <c r="B499" s="5">
        <v>45096</v>
      </c>
      <c r="C499" s="4" t="s">
        <v>511</v>
      </c>
      <c r="D499" s="4" t="s">
        <v>13</v>
      </c>
      <c r="E499" s="4">
        <v>50</v>
      </c>
      <c r="F499" s="4" t="str">
        <f>IF(Table156[[#This Row],[Age]]&lt;=19,"Teenager",IF(Table156[[#This Row],[Age]]&lt;=40,"Median","Old"))</f>
        <v>Old</v>
      </c>
      <c r="G499" s="4" t="s">
        <v>14</v>
      </c>
      <c r="H499" s="4">
        <v>4</v>
      </c>
      <c r="I499" s="4">
        <v>25</v>
      </c>
      <c r="J499" s="4">
        <v>100</v>
      </c>
      <c r="K499" s="4" t="str" cm="1">
        <f t="array" ref="K499">_xlfn.IFS(AND(Table156[[#This Row],[Total Amount]]&gt;=1500),"Critical",AND(Table156[[#This Row],[Total Amount]]&gt;=1000),"High",TRUE,"Normal")</f>
        <v>Normal</v>
      </c>
      <c r="L499" s="4" t="str">
        <f>IF(Table156[[#This Row],[Total Amount]]&gt;=1000,"High",(IF(Table156[[#This Row],[Total Amount]]&gt;=500,"Medium","Low")))</f>
        <v>Low</v>
      </c>
      <c r="M499" s="4" t="str" cm="1">
        <f t="array" ref="M49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99" s="4" cm="1">
        <f t="array" ref="N49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499" s="4">
        <f>Table156[[#This Row],[Total Amount]]-Table156[[#This Row],[Discount Amount]]</f>
        <v>80</v>
      </c>
      <c r="P499" s="4" t="str">
        <f>IF(Table156[[#This Row],[Total Amount]]&gt;=1000,"High","Low")</f>
        <v>Low</v>
      </c>
      <c r="Q499" s="4" t="str" cm="1">
        <f t="array" ref="Q499">_xlfn.IFS(AND(Table156[[#This Row],[Total Amount]]&gt;=1500,"Critical"),AND(Table156[[#This Row],[Total Amount]]&gt;=1000,"High"),TRUE,"Normal")</f>
        <v>Normal</v>
      </c>
      <c r="R499" s="4">
        <f>COUNTIF(Table156[Gender],"Male")</f>
        <v>490</v>
      </c>
    </row>
    <row r="500" spans="1:18" x14ac:dyDescent="0.35">
      <c r="A500" s="4">
        <v>499</v>
      </c>
      <c r="B500" s="5">
        <v>44941</v>
      </c>
      <c r="C500" s="4" t="s">
        <v>512</v>
      </c>
      <c r="D500" s="4" t="s">
        <v>10</v>
      </c>
      <c r="E500" s="4">
        <v>46</v>
      </c>
      <c r="F500" s="4" t="str">
        <f>IF(Table156[[#This Row],[Age]]&lt;=19,"Teenager",IF(Table156[[#This Row],[Age]]&lt;=40,"Median","Old"))</f>
        <v>Old</v>
      </c>
      <c r="G500" s="4" t="s">
        <v>11</v>
      </c>
      <c r="H500" s="4">
        <v>2</v>
      </c>
      <c r="I500" s="4">
        <v>30</v>
      </c>
      <c r="J500" s="4">
        <v>60</v>
      </c>
      <c r="K500" s="4" t="str" cm="1">
        <f t="array" ref="K500">_xlfn.IFS(AND(Table156[[#This Row],[Total Amount]]&gt;=1500),"Critical",AND(Table156[[#This Row],[Total Amount]]&gt;=1000),"High",TRUE,"Normal")</f>
        <v>Normal</v>
      </c>
      <c r="L500" s="4" t="str">
        <f>IF(Table156[[#This Row],[Total Amount]]&gt;=1000,"High",(IF(Table156[[#This Row],[Total Amount]]&gt;=500,"Medium","Low")))</f>
        <v>Low</v>
      </c>
      <c r="M500" s="4" t="str" cm="1">
        <f t="array" ref="M50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00" s="4" cm="1">
        <f t="array" ref="N50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500" s="4">
        <f>Table156[[#This Row],[Total Amount]]-Table156[[#This Row],[Discount Amount]]</f>
        <v>54</v>
      </c>
      <c r="P500" s="4" t="str">
        <f>IF(Table156[[#This Row],[Total Amount]]&gt;=1000,"High","Low")</f>
        <v>Low</v>
      </c>
      <c r="Q500" s="4" t="str" cm="1">
        <f t="array" ref="Q500">_xlfn.IFS(AND(Table156[[#This Row],[Total Amount]]&gt;=1500,"Critical"),AND(Table156[[#This Row],[Total Amount]]&gt;=1000,"High"),TRUE,"Normal")</f>
        <v>Normal</v>
      </c>
      <c r="R500" s="4">
        <f>COUNTIF(Table156[Gender],"Male")</f>
        <v>490</v>
      </c>
    </row>
    <row r="501" spans="1:18" x14ac:dyDescent="0.35">
      <c r="A501" s="4">
        <v>500</v>
      </c>
      <c r="B501" s="5">
        <v>44986</v>
      </c>
      <c r="C501" s="4" t="s">
        <v>513</v>
      </c>
      <c r="D501" s="4" t="s">
        <v>13</v>
      </c>
      <c r="E501" s="4">
        <v>60</v>
      </c>
      <c r="F501" s="4" t="str">
        <f>IF(Table156[[#This Row],[Age]]&lt;=19,"Teenager",IF(Table156[[#This Row],[Age]]&lt;=40,"Median","Old"))</f>
        <v>Old</v>
      </c>
      <c r="G501" s="4" t="s">
        <v>11</v>
      </c>
      <c r="H501" s="4">
        <v>4</v>
      </c>
      <c r="I501" s="4">
        <v>25</v>
      </c>
      <c r="J501" s="4">
        <v>100</v>
      </c>
      <c r="K501" s="4" t="str" cm="1">
        <f t="array" ref="K501">_xlfn.IFS(AND(Table156[[#This Row],[Total Amount]]&gt;=1500),"Critical",AND(Table156[[#This Row],[Total Amount]]&gt;=1000),"High",TRUE,"Normal")</f>
        <v>Normal</v>
      </c>
      <c r="L501" s="4" t="str">
        <f>IF(Table156[[#This Row],[Total Amount]]&gt;=1000,"High",(IF(Table156[[#This Row],[Total Amount]]&gt;=500,"Medium","Low")))</f>
        <v>Low</v>
      </c>
      <c r="M501" s="4" t="str" cm="1">
        <f t="array" ref="M50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01" s="4" cm="1">
        <f t="array" ref="N50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501" s="4">
        <f>Table156[[#This Row],[Total Amount]]-Table156[[#This Row],[Discount Amount]]</f>
        <v>80</v>
      </c>
      <c r="P501" s="4" t="str">
        <f>IF(Table156[[#This Row],[Total Amount]]&gt;=1000,"High","Low")</f>
        <v>Low</v>
      </c>
      <c r="Q501" s="4" t="str" cm="1">
        <f t="array" ref="Q501">_xlfn.IFS(AND(Table156[[#This Row],[Total Amount]]&gt;=1500,"Critical"),AND(Table156[[#This Row],[Total Amount]]&gt;=1000,"High"),TRUE,"Normal")</f>
        <v>Normal</v>
      </c>
      <c r="R501" s="4">
        <f>COUNTIF(Table156[Gender],"Male")</f>
        <v>490</v>
      </c>
    </row>
    <row r="502" spans="1:18" x14ac:dyDescent="0.35">
      <c r="A502" s="4">
        <v>501</v>
      </c>
      <c r="B502" s="5">
        <v>45060</v>
      </c>
      <c r="C502" s="4" t="s">
        <v>514</v>
      </c>
      <c r="D502" s="4" t="s">
        <v>10</v>
      </c>
      <c r="E502" s="4">
        <v>39</v>
      </c>
      <c r="F502" s="4" t="str">
        <f>IF(Table156[[#This Row],[Age]]&lt;=19,"Teenager",IF(Table156[[#This Row],[Age]]&lt;=40,"Median","Old"))</f>
        <v>Median</v>
      </c>
      <c r="G502" s="4" t="s">
        <v>16</v>
      </c>
      <c r="H502" s="4">
        <v>2</v>
      </c>
      <c r="I502" s="4">
        <v>30</v>
      </c>
      <c r="J502" s="4">
        <v>60</v>
      </c>
      <c r="K502" s="4" t="str" cm="1">
        <f t="array" ref="K502">_xlfn.IFS(AND(Table156[[#This Row],[Total Amount]]&gt;=1500),"Critical",AND(Table156[[#This Row],[Total Amount]]&gt;=1000),"High",TRUE,"Normal")</f>
        <v>Normal</v>
      </c>
      <c r="L502" s="4" t="str">
        <f>IF(Table156[[#This Row],[Total Amount]]&gt;=1000,"High",(IF(Table156[[#This Row],[Total Amount]]&gt;=500,"Medium","Low")))</f>
        <v>Low</v>
      </c>
      <c r="M502" s="4" t="str" cm="1">
        <f t="array" ref="M50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02" s="4" cm="1">
        <f t="array" ref="N50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502" s="4">
        <f>Table156[[#This Row],[Total Amount]]-Table156[[#This Row],[Discount Amount]]</f>
        <v>54</v>
      </c>
      <c r="P502" s="4" t="str">
        <f>IF(Table156[[#This Row],[Total Amount]]&gt;=1000,"High","Low")</f>
        <v>Low</v>
      </c>
      <c r="Q502" s="4" t="str" cm="1">
        <f t="array" ref="Q502">_xlfn.IFS(AND(Table156[[#This Row],[Total Amount]]&gt;=1500,"Critical"),AND(Table156[[#This Row],[Total Amount]]&gt;=1000,"High"),TRUE,"Normal")</f>
        <v>Normal</v>
      </c>
      <c r="R502" s="4">
        <f>COUNTIF(Table156[Gender],"Male")</f>
        <v>490</v>
      </c>
    </row>
    <row r="503" spans="1:18" x14ac:dyDescent="0.35">
      <c r="A503" s="4">
        <v>502</v>
      </c>
      <c r="B503" s="5">
        <v>45018</v>
      </c>
      <c r="C503" s="4" t="s">
        <v>515</v>
      </c>
      <c r="D503" s="4" t="s">
        <v>10</v>
      </c>
      <c r="E503" s="4">
        <v>43</v>
      </c>
      <c r="F503" s="4" t="str">
        <f>IF(Table156[[#This Row],[Age]]&lt;=19,"Teenager",IF(Table156[[#This Row],[Age]]&lt;=40,"Median","Old"))</f>
        <v>Old</v>
      </c>
      <c r="G503" s="4" t="s">
        <v>16</v>
      </c>
      <c r="H503" s="4">
        <v>3</v>
      </c>
      <c r="I503" s="4">
        <v>50</v>
      </c>
      <c r="J503" s="4">
        <v>150</v>
      </c>
      <c r="K503" s="4" t="str" cm="1">
        <f t="array" ref="K503">_xlfn.IFS(AND(Table156[[#This Row],[Total Amount]]&gt;=1500),"Critical",AND(Table156[[#This Row],[Total Amount]]&gt;=1000),"High",TRUE,"Normal")</f>
        <v>Normal</v>
      </c>
      <c r="L503" s="4" t="str">
        <f>IF(Table156[[#This Row],[Total Amount]]&gt;=1000,"High",(IF(Table156[[#This Row],[Total Amount]]&gt;=500,"Medium","Low")))</f>
        <v>Low</v>
      </c>
      <c r="M503" s="4" t="str" cm="1">
        <f t="array" ref="M50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03" s="4" cm="1">
        <f t="array" ref="N50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503" s="4">
        <f>Table156[[#This Row],[Total Amount]]-Table156[[#This Row],[Discount Amount]]</f>
        <v>135</v>
      </c>
      <c r="P503" s="4" t="str">
        <f>IF(Table156[[#This Row],[Total Amount]]&gt;=1000,"High","Low")</f>
        <v>Low</v>
      </c>
      <c r="Q503" s="4" t="str" cm="1">
        <f t="array" ref="Q503">_xlfn.IFS(AND(Table156[[#This Row],[Total Amount]]&gt;=1500,"Critical"),AND(Table156[[#This Row],[Total Amount]]&gt;=1000,"High"),TRUE,"Normal")</f>
        <v>Normal</v>
      </c>
      <c r="R503" s="4">
        <f>COUNTIF(Table156[Gender],"Male")</f>
        <v>490</v>
      </c>
    </row>
    <row r="504" spans="1:18" x14ac:dyDescent="0.35">
      <c r="A504" s="4">
        <v>503</v>
      </c>
      <c r="B504" s="5">
        <v>45224</v>
      </c>
      <c r="C504" s="4" t="s">
        <v>516</v>
      </c>
      <c r="D504" s="4" t="s">
        <v>10</v>
      </c>
      <c r="E504" s="4">
        <v>45</v>
      </c>
      <c r="F504" s="4" t="str">
        <f>IF(Table156[[#This Row],[Age]]&lt;=19,"Teenager",IF(Table156[[#This Row],[Age]]&lt;=40,"Median","Old"))</f>
        <v>Old</v>
      </c>
      <c r="G504" s="4" t="s">
        <v>11</v>
      </c>
      <c r="H504" s="4">
        <v>4</v>
      </c>
      <c r="I504" s="4">
        <v>500</v>
      </c>
      <c r="J504" s="4">
        <v>2000</v>
      </c>
      <c r="K504" s="4" t="str" cm="1">
        <f t="array" ref="K504">_xlfn.IFS(AND(Table156[[#This Row],[Total Amount]]&gt;=1500),"Critical",AND(Table156[[#This Row],[Total Amount]]&gt;=1000),"High",TRUE,"Normal")</f>
        <v>Critical</v>
      </c>
      <c r="L504" s="4" t="str">
        <f>IF(Table156[[#This Row],[Total Amount]]&gt;=1000,"High",(IF(Table156[[#This Row],[Total Amount]]&gt;=500,"Medium","Low")))</f>
        <v>High</v>
      </c>
      <c r="M504" s="4" t="str" cm="1">
        <f t="array" ref="M50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04" s="4" cm="1">
        <f t="array" ref="N50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504" s="4">
        <f>Table156[[#This Row],[Total Amount]]-Table156[[#This Row],[Discount Amount]]</f>
        <v>1800</v>
      </c>
      <c r="P504" s="4" t="str">
        <f>IF(Table156[[#This Row],[Total Amount]]&gt;=1000,"High","Low")</f>
        <v>High</v>
      </c>
      <c r="Q504" s="4" t="b" cm="1">
        <f t="array" ref="Q504">_xlfn.IFS(AND(Table156[[#This Row],[Total Amount]]&gt;=1500,"Critical"),AND(Table156[[#This Row],[Total Amount]]&gt;=1000,"High"),TRUE,"Normal")</f>
        <v>1</v>
      </c>
      <c r="R504" s="4">
        <f>COUNTIF(Table156[Gender],"Male")</f>
        <v>490</v>
      </c>
    </row>
    <row r="505" spans="1:18" x14ac:dyDescent="0.35">
      <c r="A505" s="4">
        <v>504</v>
      </c>
      <c r="B505" s="5">
        <v>45062</v>
      </c>
      <c r="C505" s="4" t="s">
        <v>517</v>
      </c>
      <c r="D505" s="4" t="s">
        <v>13</v>
      </c>
      <c r="E505" s="4">
        <v>38</v>
      </c>
      <c r="F505" s="4" t="str">
        <f>IF(Table156[[#This Row],[Age]]&lt;=19,"Teenager",IF(Table156[[#This Row],[Age]]&lt;=40,"Median","Old"))</f>
        <v>Median</v>
      </c>
      <c r="G505" s="4" t="s">
        <v>11</v>
      </c>
      <c r="H505" s="4">
        <v>3</v>
      </c>
      <c r="I505" s="4">
        <v>50</v>
      </c>
      <c r="J505" s="4">
        <v>150</v>
      </c>
      <c r="K505" s="4" t="str" cm="1">
        <f t="array" ref="K505">_xlfn.IFS(AND(Table156[[#This Row],[Total Amount]]&gt;=1500),"Critical",AND(Table156[[#This Row],[Total Amount]]&gt;=1000),"High",TRUE,"Normal")</f>
        <v>Normal</v>
      </c>
      <c r="L505" s="4" t="str">
        <f>IF(Table156[[#This Row],[Total Amount]]&gt;=1000,"High",(IF(Table156[[#This Row],[Total Amount]]&gt;=500,"Medium","Low")))</f>
        <v>Low</v>
      </c>
      <c r="M505" s="4" t="str" cm="1">
        <f t="array" ref="M50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05" s="4" cm="1">
        <f t="array" ref="N50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505" s="4">
        <f>Table156[[#This Row],[Total Amount]]-Table156[[#This Row],[Discount Amount]]</f>
        <v>120</v>
      </c>
      <c r="P505" s="4" t="str">
        <f>IF(Table156[[#This Row],[Total Amount]]&gt;=1000,"High","Low")</f>
        <v>Low</v>
      </c>
      <c r="Q505" s="4" t="str" cm="1">
        <f t="array" ref="Q505">_xlfn.IFS(AND(Table156[[#This Row],[Total Amount]]&gt;=1500,"Critical"),AND(Table156[[#This Row],[Total Amount]]&gt;=1000,"High"),TRUE,"Normal")</f>
        <v>Normal</v>
      </c>
      <c r="R505" s="4">
        <f>COUNTIF(Table156[Gender],"Male")</f>
        <v>490</v>
      </c>
    </row>
    <row r="506" spans="1:18" x14ac:dyDescent="0.35">
      <c r="A506" s="4">
        <v>505</v>
      </c>
      <c r="B506" s="5">
        <v>44946</v>
      </c>
      <c r="C506" s="4" t="s">
        <v>518</v>
      </c>
      <c r="D506" s="4" t="s">
        <v>10</v>
      </c>
      <c r="E506" s="4">
        <v>24</v>
      </c>
      <c r="F506" s="4" t="str">
        <f>IF(Table156[[#This Row],[Age]]&lt;=19,"Teenager",IF(Table156[[#This Row],[Age]]&lt;=40,"Median","Old"))</f>
        <v>Median</v>
      </c>
      <c r="G506" s="4" t="s">
        <v>11</v>
      </c>
      <c r="H506" s="4">
        <v>1</v>
      </c>
      <c r="I506" s="4">
        <v>50</v>
      </c>
      <c r="J506" s="4">
        <v>50</v>
      </c>
      <c r="K506" s="4" t="str" cm="1">
        <f t="array" ref="K506">_xlfn.IFS(AND(Table156[[#This Row],[Total Amount]]&gt;=1500),"Critical",AND(Table156[[#This Row],[Total Amount]]&gt;=1000),"High",TRUE,"Normal")</f>
        <v>Normal</v>
      </c>
      <c r="L506" s="4" t="str">
        <f>IF(Table156[[#This Row],[Total Amount]]&gt;=1000,"High",(IF(Table156[[#This Row],[Total Amount]]&gt;=500,"Medium","Low")))</f>
        <v>Low</v>
      </c>
      <c r="M506" s="4" t="str" cm="1">
        <f t="array" ref="M50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06" s="4" cm="1">
        <f t="array" ref="N50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06" s="4">
        <f>Table156[[#This Row],[Total Amount]]-Table156[[#This Row],[Discount Amount]]</f>
        <v>50</v>
      </c>
      <c r="P506" s="4" t="str">
        <f>IF(Table156[[#This Row],[Total Amount]]&gt;=1000,"High","Low")</f>
        <v>Low</v>
      </c>
      <c r="Q506" s="4" t="str" cm="1">
        <f t="array" ref="Q506">_xlfn.IFS(AND(Table156[[#This Row],[Total Amount]]&gt;=1500,"Critical"),AND(Table156[[#This Row],[Total Amount]]&gt;=1000,"High"),TRUE,"Normal")</f>
        <v>Normal</v>
      </c>
      <c r="R506" s="4">
        <f>COUNTIF(Table156[Gender],"Male")</f>
        <v>490</v>
      </c>
    </row>
    <row r="507" spans="1:18" x14ac:dyDescent="0.35">
      <c r="A507" s="4">
        <v>506</v>
      </c>
      <c r="B507" s="5">
        <v>44982</v>
      </c>
      <c r="C507" s="4" t="s">
        <v>519</v>
      </c>
      <c r="D507" s="4" t="s">
        <v>10</v>
      </c>
      <c r="E507" s="4">
        <v>34</v>
      </c>
      <c r="F507" s="4" t="str">
        <f>IF(Table156[[#This Row],[Age]]&lt;=19,"Teenager",IF(Table156[[#This Row],[Age]]&lt;=40,"Median","Old"))</f>
        <v>Median</v>
      </c>
      <c r="G507" s="4" t="s">
        <v>11</v>
      </c>
      <c r="H507" s="4">
        <v>3</v>
      </c>
      <c r="I507" s="4">
        <v>500</v>
      </c>
      <c r="J507" s="4">
        <v>1500</v>
      </c>
      <c r="K507" s="4" t="str" cm="1">
        <f t="array" ref="K507">_xlfn.IFS(AND(Table156[[#This Row],[Total Amount]]&gt;=1500),"Critical",AND(Table156[[#This Row],[Total Amount]]&gt;=1000),"High",TRUE,"Normal")</f>
        <v>Critical</v>
      </c>
      <c r="L507" s="4" t="str">
        <f>IF(Table156[[#This Row],[Total Amount]]&gt;=1000,"High",(IF(Table156[[#This Row],[Total Amount]]&gt;=500,"Medium","Low")))</f>
        <v>High</v>
      </c>
      <c r="M507" s="4" t="str" cm="1">
        <f t="array" ref="M50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07" s="4" cm="1">
        <f t="array" ref="N50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225</v>
      </c>
      <c r="O507" s="4">
        <f>Table156[[#This Row],[Total Amount]]-Table156[[#This Row],[Discount Amount]]</f>
        <v>1275</v>
      </c>
      <c r="P507" s="4" t="str">
        <f>IF(Table156[[#This Row],[Total Amount]]&gt;=1000,"High","Low")</f>
        <v>High</v>
      </c>
      <c r="Q507" s="4" t="b" cm="1">
        <f t="array" ref="Q507">_xlfn.IFS(AND(Table156[[#This Row],[Total Amount]]&gt;=1500,"Critical"),AND(Table156[[#This Row],[Total Amount]]&gt;=1000,"High"),TRUE,"Normal")</f>
        <v>1</v>
      </c>
      <c r="R507" s="4">
        <f>COUNTIF(Table156[Gender],"Male")</f>
        <v>490</v>
      </c>
    </row>
    <row r="508" spans="1:18" x14ac:dyDescent="0.35">
      <c r="A508" s="4">
        <v>507</v>
      </c>
      <c r="B508" s="5">
        <v>45232</v>
      </c>
      <c r="C508" s="4" t="s">
        <v>520</v>
      </c>
      <c r="D508" s="4" t="s">
        <v>13</v>
      </c>
      <c r="E508" s="4">
        <v>37</v>
      </c>
      <c r="F508" s="4" t="str">
        <f>IF(Table156[[#This Row],[Age]]&lt;=19,"Teenager",IF(Table156[[#This Row],[Age]]&lt;=40,"Median","Old"))</f>
        <v>Median</v>
      </c>
      <c r="G508" s="4" t="s">
        <v>16</v>
      </c>
      <c r="H508" s="4">
        <v>3</v>
      </c>
      <c r="I508" s="4">
        <v>500</v>
      </c>
      <c r="J508" s="4">
        <v>1500</v>
      </c>
      <c r="K508" s="4" t="str" cm="1">
        <f t="array" ref="K508">_xlfn.IFS(AND(Table156[[#This Row],[Total Amount]]&gt;=1500),"Critical",AND(Table156[[#This Row],[Total Amount]]&gt;=1000),"High",TRUE,"Normal")</f>
        <v>Critical</v>
      </c>
      <c r="L508" s="4" t="str">
        <f>IF(Table156[[#This Row],[Total Amount]]&gt;=1000,"High",(IF(Table156[[#This Row],[Total Amount]]&gt;=500,"Medium","Low")))</f>
        <v>High</v>
      </c>
      <c r="M508" s="4" t="str" cm="1">
        <f t="array" ref="M50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08" s="4" cm="1">
        <f t="array" ref="N50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508" s="4">
        <f>Table156[[#This Row],[Total Amount]]-Table156[[#This Row],[Discount Amount]]</f>
        <v>1200</v>
      </c>
      <c r="P508" s="4" t="str">
        <f>IF(Table156[[#This Row],[Total Amount]]&gt;=1000,"High","Low")</f>
        <v>High</v>
      </c>
      <c r="Q508" s="4" t="b" cm="1">
        <f t="array" ref="Q508">_xlfn.IFS(AND(Table156[[#This Row],[Total Amount]]&gt;=1500,"Critical"),AND(Table156[[#This Row],[Total Amount]]&gt;=1000,"High"),TRUE,"Normal")</f>
        <v>1</v>
      </c>
      <c r="R508" s="4">
        <f>COUNTIF(Table156[Gender],"Male")</f>
        <v>490</v>
      </c>
    </row>
    <row r="509" spans="1:18" x14ac:dyDescent="0.35">
      <c r="A509" s="4">
        <v>508</v>
      </c>
      <c r="B509" s="5">
        <v>45149</v>
      </c>
      <c r="C509" s="4" t="s">
        <v>521</v>
      </c>
      <c r="D509" s="4" t="s">
        <v>10</v>
      </c>
      <c r="E509" s="4">
        <v>58</v>
      </c>
      <c r="F509" s="4" t="str">
        <f>IF(Table156[[#This Row],[Age]]&lt;=19,"Teenager",IF(Table156[[#This Row],[Age]]&lt;=40,"Median","Old"))</f>
        <v>Old</v>
      </c>
      <c r="G509" s="4" t="s">
        <v>11</v>
      </c>
      <c r="H509" s="4">
        <v>2</v>
      </c>
      <c r="I509" s="4">
        <v>300</v>
      </c>
      <c r="J509" s="4">
        <v>600</v>
      </c>
      <c r="K509" s="4" t="str" cm="1">
        <f t="array" ref="K509">_xlfn.IFS(AND(Table156[[#This Row],[Total Amount]]&gt;=1500),"Critical",AND(Table156[[#This Row],[Total Amount]]&gt;=1000),"High",TRUE,"Normal")</f>
        <v>Normal</v>
      </c>
      <c r="L509" s="4" t="str">
        <f>IF(Table156[[#This Row],[Total Amount]]&gt;=1000,"High",(IF(Table156[[#This Row],[Total Amount]]&gt;=500,"Medium","Low")))</f>
        <v>Medium</v>
      </c>
      <c r="M509" s="4" t="str" cm="1">
        <f t="array" ref="M50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09" s="4" cm="1">
        <f t="array" ref="N50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509" s="4">
        <f>Table156[[#This Row],[Total Amount]]-Table156[[#This Row],[Discount Amount]]</f>
        <v>540</v>
      </c>
      <c r="P509" s="4" t="str">
        <f>IF(Table156[[#This Row],[Total Amount]]&gt;=1000,"High","Low")</f>
        <v>Low</v>
      </c>
      <c r="Q509" s="4" t="str" cm="1">
        <f t="array" ref="Q509">_xlfn.IFS(AND(Table156[[#This Row],[Total Amount]]&gt;=1500,"Critical"),AND(Table156[[#This Row],[Total Amount]]&gt;=1000,"High"),TRUE,"Normal")</f>
        <v>Normal</v>
      </c>
      <c r="R509" s="4">
        <f>COUNTIF(Table156[Gender],"Male")</f>
        <v>490</v>
      </c>
    </row>
    <row r="510" spans="1:18" x14ac:dyDescent="0.35">
      <c r="A510" s="4">
        <v>509</v>
      </c>
      <c r="B510" s="5">
        <v>45103</v>
      </c>
      <c r="C510" s="4" t="s">
        <v>522</v>
      </c>
      <c r="D510" s="4" t="s">
        <v>13</v>
      </c>
      <c r="E510" s="4">
        <v>37</v>
      </c>
      <c r="F510" s="4" t="str">
        <f>IF(Table156[[#This Row],[Age]]&lt;=19,"Teenager",IF(Table156[[#This Row],[Age]]&lt;=40,"Median","Old"))</f>
        <v>Median</v>
      </c>
      <c r="G510" s="4" t="s">
        <v>16</v>
      </c>
      <c r="H510" s="4">
        <v>3</v>
      </c>
      <c r="I510" s="4">
        <v>300</v>
      </c>
      <c r="J510" s="4">
        <v>900</v>
      </c>
      <c r="K510" s="4" t="str" cm="1">
        <f t="array" ref="K510">_xlfn.IFS(AND(Table156[[#This Row],[Total Amount]]&gt;=1500),"Critical",AND(Table156[[#This Row],[Total Amount]]&gt;=1000),"High",TRUE,"Normal")</f>
        <v>Normal</v>
      </c>
      <c r="L510" s="4" t="str">
        <f>IF(Table156[[#This Row],[Total Amount]]&gt;=1000,"High",(IF(Table156[[#This Row],[Total Amount]]&gt;=500,"Medium","Low")))</f>
        <v>Medium</v>
      </c>
      <c r="M510" s="4" t="str" cm="1">
        <f t="array" ref="M51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10" s="4" cm="1">
        <f t="array" ref="N51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510" s="4">
        <f>Table156[[#This Row],[Total Amount]]-Table156[[#This Row],[Discount Amount]]</f>
        <v>720</v>
      </c>
      <c r="P510" s="4" t="str">
        <f>IF(Table156[[#This Row],[Total Amount]]&gt;=1000,"High","Low")</f>
        <v>Low</v>
      </c>
      <c r="Q510" s="4" t="str" cm="1">
        <f t="array" ref="Q510">_xlfn.IFS(AND(Table156[[#This Row],[Total Amount]]&gt;=1500,"Critical"),AND(Table156[[#This Row],[Total Amount]]&gt;=1000,"High"),TRUE,"Normal")</f>
        <v>Normal</v>
      </c>
      <c r="R510" s="4">
        <f>COUNTIF(Table156[Gender],"Male")</f>
        <v>490</v>
      </c>
    </row>
    <row r="511" spans="1:18" x14ac:dyDescent="0.35">
      <c r="A511" s="4">
        <v>510</v>
      </c>
      <c r="B511" s="5">
        <v>45087</v>
      </c>
      <c r="C511" s="4" t="s">
        <v>523</v>
      </c>
      <c r="D511" s="4" t="s">
        <v>13</v>
      </c>
      <c r="E511" s="4">
        <v>39</v>
      </c>
      <c r="F511" s="4" t="str">
        <f>IF(Table156[[#This Row],[Age]]&lt;=19,"Teenager",IF(Table156[[#This Row],[Age]]&lt;=40,"Median","Old"))</f>
        <v>Median</v>
      </c>
      <c r="G511" s="4" t="s">
        <v>11</v>
      </c>
      <c r="H511" s="4">
        <v>4</v>
      </c>
      <c r="I511" s="4">
        <v>50</v>
      </c>
      <c r="J511" s="4">
        <v>200</v>
      </c>
      <c r="K511" s="4" t="str" cm="1">
        <f t="array" ref="K511">_xlfn.IFS(AND(Table156[[#This Row],[Total Amount]]&gt;=1500),"Critical",AND(Table156[[#This Row],[Total Amount]]&gt;=1000),"High",TRUE,"Normal")</f>
        <v>Normal</v>
      </c>
      <c r="L511" s="4" t="str">
        <f>IF(Table156[[#This Row],[Total Amount]]&gt;=1000,"High",(IF(Table156[[#This Row],[Total Amount]]&gt;=500,"Medium","Low")))</f>
        <v>Low</v>
      </c>
      <c r="M511" s="4" t="str" cm="1">
        <f t="array" ref="M51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11" s="4" cm="1">
        <f t="array" ref="N51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511" s="4">
        <f>Table156[[#This Row],[Total Amount]]-Table156[[#This Row],[Discount Amount]]</f>
        <v>160</v>
      </c>
      <c r="P511" s="4" t="str">
        <f>IF(Table156[[#This Row],[Total Amount]]&gt;=1000,"High","Low")</f>
        <v>Low</v>
      </c>
      <c r="Q511" s="4" t="str" cm="1">
        <f t="array" ref="Q511">_xlfn.IFS(AND(Table156[[#This Row],[Total Amount]]&gt;=1500,"Critical"),AND(Table156[[#This Row],[Total Amount]]&gt;=1000,"High"),TRUE,"Normal")</f>
        <v>Normal</v>
      </c>
      <c r="R511" s="4">
        <f>COUNTIF(Table156[Gender],"Male")</f>
        <v>490</v>
      </c>
    </row>
    <row r="512" spans="1:18" x14ac:dyDescent="0.35">
      <c r="A512" s="4">
        <v>511</v>
      </c>
      <c r="B512" s="5">
        <v>45150</v>
      </c>
      <c r="C512" s="4" t="s">
        <v>524</v>
      </c>
      <c r="D512" s="4" t="s">
        <v>10</v>
      </c>
      <c r="E512" s="4">
        <v>45</v>
      </c>
      <c r="F512" s="4" t="str">
        <f>IF(Table156[[#This Row],[Age]]&lt;=19,"Teenager",IF(Table156[[#This Row],[Age]]&lt;=40,"Median","Old"))</f>
        <v>Old</v>
      </c>
      <c r="G512" s="4" t="s">
        <v>11</v>
      </c>
      <c r="H512" s="4">
        <v>2</v>
      </c>
      <c r="I512" s="4">
        <v>50</v>
      </c>
      <c r="J512" s="4">
        <v>100</v>
      </c>
      <c r="K512" s="4" t="str" cm="1">
        <f t="array" ref="K512">_xlfn.IFS(AND(Table156[[#This Row],[Total Amount]]&gt;=1500),"Critical",AND(Table156[[#This Row],[Total Amount]]&gt;=1000),"High",TRUE,"Normal")</f>
        <v>Normal</v>
      </c>
      <c r="L512" s="4" t="str">
        <f>IF(Table156[[#This Row],[Total Amount]]&gt;=1000,"High",(IF(Table156[[#This Row],[Total Amount]]&gt;=500,"Medium","Low")))</f>
        <v>Low</v>
      </c>
      <c r="M512" s="4" t="str" cm="1">
        <f t="array" ref="M51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12" s="4" cm="1">
        <f t="array" ref="N51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512" s="4">
        <f>Table156[[#This Row],[Total Amount]]-Table156[[#This Row],[Discount Amount]]</f>
        <v>90</v>
      </c>
      <c r="P512" s="4" t="str">
        <f>IF(Table156[[#This Row],[Total Amount]]&gt;=1000,"High","Low")</f>
        <v>Low</v>
      </c>
      <c r="Q512" s="4" t="str" cm="1">
        <f t="array" ref="Q512">_xlfn.IFS(AND(Table156[[#This Row],[Total Amount]]&gt;=1500,"Critical"),AND(Table156[[#This Row],[Total Amount]]&gt;=1000,"High"),TRUE,"Normal")</f>
        <v>Normal</v>
      </c>
      <c r="R512" s="4">
        <f>COUNTIF(Table156[Gender],"Male")</f>
        <v>490</v>
      </c>
    </row>
    <row r="513" spans="1:18" x14ac:dyDescent="0.35">
      <c r="A513" s="4">
        <v>512</v>
      </c>
      <c r="B513" s="5">
        <v>45237</v>
      </c>
      <c r="C513" s="4" t="s">
        <v>525</v>
      </c>
      <c r="D513" s="4" t="s">
        <v>13</v>
      </c>
      <c r="E513" s="4">
        <v>57</v>
      </c>
      <c r="F513" s="4" t="str">
        <f>IF(Table156[[#This Row],[Age]]&lt;=19,"Teenager",IF(Table156[[#This Row],[Age]]&lt;=40,"Median","Old"))</f>
        <v>Old</v>
      </c>
      <c r="G513" s="4" t="s">
        <v>11</v>
      </c>
      <c r="H513" s="4">
        <v>1</v>
      </c>
      <c r="I513" s="4">
        <v>25</v>
      </c>
      <c r="J513" s="4">
        <v>25</v>
      </c>
      <c r="K513" s="4" t="str" cm="1">
        <f t="array" ref="K513">_xlfn.IFS(AND(Table156[[#This Row],[Total Amount]]&gt;=1500),"Critical",AND(Table156[[#This Row],[Total Amount]]&gt;=1000),"High",TRUE,"Normal")</f>
        <v>Normal</v>
      </c>
      <c r="L513" s="4" t="str">
        <f>IF(Table156[[#This Row],[Total Amount]]&gt;=1000,"High",(IF(Table156[[#This Row],[Total Amount]]&gt;=500,"Medium","Low")))</f>
        <v>Low</v>
      </c>
      <c r="M513" s="4" t="str" cm="1">
        <f t="array" ref="M51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13" s="4" cm="1">
        <f t="array" ref="N51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513" s="4">
        <f>Table156[[#This Row],[Total Amount]]-Table156[[#This Row],[Discount Amount]]</f>
        <v>20</v>
      </c>
      <c r="P513" s="4" t="str">
        <f>IF(Table156[[#This Row],[Total Amount]]&gt;=1000,"High","Low")</f>
        <v>Low</v>
      </c>
      <c r="Q513" s="4" t="str" cm="1">
        <f t="array" ref="Q513">_xlfn.IFS(AND(Table156[[#This Row],[Total Amount]]&gt;=1500,"Critical"),AND(Table156[[#This Row],[Total Amount]]&gt;=1000,"High"),TRUE,"Normal")</f>
        <v>Normal</v>
      </c>
      <c r="R513" s="4">
        <f>COUNTIF(Table156[Gender],"Male")</f>
        <v>490</v>
      </c>
    </row>
    <row r="514" spans="1:18" x14ac:dyDescent="0.35">
      <c r="A514" s="4">
        <v>513</v>
      </c>
      <c r="B514" s="5">
        <v>45188</v>
      </c>
      <c r="C514" s="4" t="s">
        <v>526</v>
      </c>
      <c r="D514" s="4" t="s">
        <v>10</v>
      </c>
      <c r="E514" s="4">
        <v>24</v>
      </c>
      <c r="F514" s="4" t="str">
        <f>IF(Table156[[#This Row],[Age]]&lt;=19,"Teenager",IF(Table156[[#This Row],[Age]]&lt;=40,"Median","Old"))</f>
        <v>Median</v>
      </c>
      <c r="G514" s="4" t="s">
        <v>16</v>
      </c>
      <c r="H514" s="4">
        <v>4</v>
      </c>
      <c r="I514" s="4">
        <v>25</v>
      </c>
      <c r="J514" s="4">
        <v>100</v>
      </c>
      <c r="K514" s="4" t="str" cm="1">
        <f t="array" ref="K514">_xlfn.IFS(AND(Table156[[#This Row],[Total Amount]]&gt;=1500),"Critical",AND(Table156[[#This Row],[Total Amount]]&gt;=1000),"High",TRUE,"Normal")</f>
        <v>Normal</v>
      </c>
      <c r="L514" s="4" t="str">
        <f>IF(Table156[[#This Row],[Total Amount]]&gt;=1000,"High",(IF(Table156[[#This Row],[Total Amount]]&gt;=500,"Medium","Low")))</f>
        <v>Low</v>
      </c>
      <c r="M514" s="4" t="str" cm="1">
        <f t="array" ref="M51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14" s="4" cm="1">
        <f t="array" ref="N51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14" s="4">
        <f>Table156[[#This Row],[Total Amount]]-Table156[[#This Row],[Discount Amount]]</f>
        <v>100</v>
      </c>
      <c r="P514" s="4" t="str">
        <f>IF(Table156[[#This Row],[Total Amount]]&gt;=1000,"High","Low")</f>
        <v>Low</v>
      </c>
      <c r="Q514" s="4" t="str" cm="1">
        <f t="array" ref="Q514">_xlfn.IFS(AND(Table156[[#This Row],[Total Amount]]&gt;=1500,"Critical"),AND(Table156[[#This Row],[Total Amount]]&gt;=1000,"High"),TRUE,"Normal")</f>
        <v>Normal</v>
      </c>
      <c r="R514" s="4">
        <f>COUNTIF(Table156[Gender],"Male")</f>
        <v>490</v>
      </c>
    </row>
    <row r="515" spans="1:18" x14ac:dyDescent="0.35">
      <c r="A515" s="4">
        <v>514</v>
      </c>
      <c r="B515" s="5">
        <v>44986</v>
      </c>
      <c r="C515" s="4" t="s">
        <v>527</v>
      </c>
      <c r="D515" s="4" t="s">
        <v>13</v>
      </c>
      <c r="E515" s="4">
        <v>18</v>
      </c>
      <c r="F515" s="4" t="str">
        <f>IF(Table156[[#This Row],[Age]]&lt;=19,"Teenager",IF(Table156[[#This Row],[Age]]&lt;=40,"Median","Old"))</f>
        <v>Teenager</v>
      </c>
      <c r="G515" s="4" t="s">
        <v>16</v>
      </c>
      <c r="H515" s="4">
        <v>1</v>
      </c>
      <c r="I515" s="4">
        <v>300</v>
      </c>
      <c r="J515" s="4">
        <v>300</v>
      </c>
      <c r="K515" s="4" t="str" cm="1">
        <f t="array" ref="K515">_xlfn.IFS(AND(Table156[[#This Row],[Total Amount]]&gt;=1500),"Critical",AND(Table156[[#This Row],[Total Amount]]&gt;=1000),"High",TRUE,"Normal")</f>
        <v>Normal</v>
      </c>
      <c r="L515" s="4" t="str">
        <f>IF(Table156[[#This Row],[Total Amount]]&gt;=1000,"High",(IF(Table156[[#This Row],[Total Amount]]&gt;=500,"Medium","Low")))</f>
        <v>Low</v>
      </c>
      <c r="M515" s="4" t="str" cm="1">
        <f t="array" ref="M51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15" s="4" cm="1">
        <f t="array" ref="N51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15" s="4">
        <f>Table156[[#This Row],[Total Amount]]-Table156[[#This Row],[Discount Amount]]</f>
        <v>300</v>
      </c>
      <c r="P515" s="4" t="str">
        <f>IF(Table156[[#This Row],[Total Amount]]&gt;=1000,"High","Low")</f>
        <v>Low</v>
      </c>
      <c r="Q515" s="4" t="str" cm="1">
        <f t="array" ref="Q515">_xlfn.IFS(AND(Table156[[#This Row],[Total Amount]]&gt;=1500,"Critical"),AND(Table156[[#This Row],[Total Amount]]&gt;=1000,"High"),TRUE,"Normal")</f>
        <v>Normal</v>
      </c>
      <c r="R515" s="4">
        <f>COUNTIF(Table156[Gender],"Male")</f>
        <v>490</v>
      </c>
    </row>
    <row r="516" spans="1:18" x14ac:dyDescent="0.35">
      <c r="A516" s="4">
        <v>515</v>
      </c>
      <c r="B516" s="5">
        <v>45124</v>
      </c>
      <c r="C516" s="4" t="s">
        <v>528</v>
      </c>
      <c r="D516" s="4" t="s">
        <v>13</v>
      </c>
      <c r="E516" s="4">
        <v>49</v>
      </c>
      <c r="F516" s="4" t="str">
        <f>IF(Table156[[#This Row],[Age]]&lt;=19,"Teenager",IF(Table156[[#This Row],[Age]]&lt;=40,"Median","Old"))</f>
        <v>Old</v>
      </c>
      <c r="G516" s="4" t="s">
        <v>14</v>
      </c>
      <c r="H516" s="4">
        <v>3</v>
      </c>
      <c r="I516" s="4">
        <v>300</v>
      </c>
      <c r="J516" s="4">
        <v>900</v>
      </c>
      <c r="K516" s="4" t="str" cm="1">
        <f t="array" ref="K516">_xlfn.IFS(AND(Table156[[#This Row],[Total Amount]]&gt;=1500),"Critical",AND(Table156[[#This Row],[Total Amount]]&gt;=1000),"High",TRUE,"Normal")</f>
        <v>Normal</v>
      </c>
      <c r="L516" s="4" t="str">
        <f>IF(Table156[[#This Row],[Total Amount]]&gt;=1000,"High",(IF(Table156[[#This Row],[Total Amount]]&gt;=500,"Medium","Low")))</f>
        <v>Medium</v>
      </c>
      <c r="M516" s="4" t="str" cm="1">
        <f t="array" ref="M51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16" s="4" cm="1">
        <f t="array" ref="N51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516" s="4">
        <f>Table156[[#This Row],[Total Amount]]-Table156[[#This Row],[Discount Amount]]</f>
        <v>720</v>
      </c>
      <c r="P516" s="4" t="str">
        <f>IF(Table156[[#This Row],[Total Amount]]&gt;=1000,"High","Low")</f>
        <v>Low</v>
      </c>
      <c r="Q516" s="4" t="str" cm="1">
        <f t="array" ref="Q516">_xlfn.IFS(AND(Table156[[#This Row],[Total Amount]]&gt;=1500,"Critical"),AND(Table156[[#This Row],[Total Amount]]&gt;=1000,"High"),TRUE,"Normal")</f>
        <v>Normal</v>
      </c>
      <c r="R516" s="4">
        <f>COUNTIF(Table156[Gender],"Male")</f>
        <v>490</v>
      </c>
    </row>
    <row r="517" spans="1:18" x14ac:dyDescent="0.35">
      <c r="A517" s="4">
        <v>516</v>
      </c>
      <c r="B517" s="5">
        <v>45222</v>
      </c>
      <c r="C517" s="4" t="s">
        <v>529</v>
      </c>
      <c r="D517" s="4" t="s">
        <v>10</v>
      </c>
      <c r="E517" s="4">
        <v>30</v>
      </c>
      <c r="F517" s="4" t="str">
        <f>IF(Table156[[#This Row],[Age]]&lt;=19,"Teenager",IF(Table156[[#This Row],[Age]]&lt;=40,"Median","Old"))</f>
        <v>Median</v>
      </c>
      <c r="G517" s="4" t="s">
        <v>11</v>
      </c>
      <c r="H517" s="4">
        <v>4</v>
      </c>
      <c r="I517" s="4">
        <v>25</v>
      </c>
      <c r="J517" s="4">
        <v>100</v>
      </c>
      <c r="K517" s="4" t="str" cm="1">
        <f t="array" ref="K517">_xlfn.IFS(AND(Table156[[#This Row],[Total Amount]]&gt;=1500),"Critical",AND(Table156[[#This Row],[Total Amount]]&gt;=1000),"High",TRUE,"Normal")</f>
        <v>Normal</v>
      </c>
      <c r="L517" s="4" t="str">
        <f>IF(Table156[[#This Row],[Total Amount]]&gt;=1000,"High",(IF(Table156[[#This Row],[Total Amount]]&gt;=500,"Medium","Low")))</f>
        <v>Low</v>
      </c>
      <c r="M517" s="4" t="str" cm="1">
        <f t="array" ref="M51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17" s="4" cm="1">
        <f t="array" ref="N51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517" s="4">
        <f>Table156[[#This Row],[Total Amount]]-Table156[[#This Row],[Discount Amount]]</f>
        <v>85</v>
      </c>
      <c r="P517" s="4" t="str">
        <f>IF(Table156[[#This Row],[Total Amount]]&gt;=1000,"High","Low")</f>
        <v>Low</v>
      </c>
      <c r="Q517" s="4" t="str" cm="1">
        <f t="array" ref="Q517">_xlfn.IFS(AND(Table156[[#This Row],[Total Amount]]&gt;=1500,"Critical"),AND(Table156[[#This Row],[Total Amount]]&gt;=1000,"High"),TRUE,"Normal")</f>
        <v>Normal</v>
      </c>
      <c r="R517" s="4">
        <f>COUNTIF(Table156[Gender],"Male")</f>
        <v>490</v>
      </c>
    </row>
    <row r="518" spans="1:18" x14ac:dyDescent="0.35">
      <c r="A518" s="4">
        <v>517</v>
      </c>
      <c r="B518" s="5">
        <v>45024</v>
      </c>
      <c r="C518" s="4" t="s">
        <v>530</v>
      </c>
      <c r="D518" s="4" t="s">
        <v>13</v>
      </c>
      <c r="E518" s="4">
        <v>47</v>
      </c>
      <c r="F518" s="4" t="str">
        <f>IF(Table156[[#This Row],[Age]]&lt;=19,"Teenager",IF(Table156[[#This Row],[Age]]&lt;=40,"Median","Old"))</f>
        <v>Old</v>
      </c>
      <c r="G518" s="4" t="s">
        <v>14</v>
      </c>
      <c r="H518" s="4">
        <v>4</v>
      </c>
      <c r="I518" s="4">
        <v>25</v>
      </c>
      <c r="J518" s="4">
        <v>100</v>
      </c>
      <c r="K518" s="4" t="str" cm="1">
        <f t="array" ref="K518">_xlfn.IFS(AND(Table156[[#This Row],[Total Amount]]&gt;=1500),"Critical",AND(Table156[[#This Row],[Total Amount]]&gt;=1000),"High",TRUE,"Normal")</f>
        <v>Normal</v>
      </c>
      <c r="L518" s="4" t="str">
        <f>IF(Table156[[#This Row],[Total Amount]]&gt;=1000,"High",(IF(Table156[[#This Row],[Total Amount]]&gt;=500,"Medium","Low")))</f>
        <v>Low</v>
      </c>
      <c r="M518" s="4" t="str" cm="1">
        <f t="array" ref="M51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18" s="4" cm="1">
        <f t="array" ref="N51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518" s="4">
        <f>Table156[[#This Row],[Total Amount]]-Table156[[#This Row],[Discount Amount]]</f>
        <v>80</v>
      </c>
      <c r="P518" s="4" t="str">
        <f>IF(Table156[[#This Row],[Total Amount]]&gt;=1000,"High","Low")</f>
        <v>Low</v>
      </c>
      <c r="Q518" s="4" t="str" cm="1">
        <f t="array" ref="Q518">_xlfn.IFS(AND(Table156[[#This Row],[Total Amount]]&gt;=1500,"Critical"),AND(Table156[[#This Row],[Total Amount]]&gt;=1000,"High"),TRUE,"Normal")</f>
        <v>Normal</v>
      </c>
      <c r="R518" s="4">
        <f>COUNTIF(Table156[Gender],"Male")</f>
        <v>490</v>
      </c>
    </row>
    <row r="519" spans="1:18" x14ac:dyDescent="0.35">
      <c r="A519" s="4">
        <v>518</v>
      </c>
      <c r="B519" s="5">
        <v>45057</v>
      </c>
      <c r="C519" s="4" t="s">
        <v>531</v>
      </c>
      <c r="D519" s="4" t="s">
        <v>13</v>
      </c>
      <c r="E519" s="4">
        <v>40</v>
      </c>
      <c r="F519" s="4" t="str">
        <f>IF(Table156[[#This Row],[Age]]&lt;=19,"Teenager",IF(Table156[[#This Row],[Age]]&lt;=40,"Median","Old"))</f>
        <v>Median</v>
      </c>
      <c r="G519" s="4" t="s">
        <v>14</v>
      </c>
      <c r="H519" s="4">
        <v>1</v>
      </c>
      <c r="I519" s="4">
        <v>30</v>
      </c>
      <c r="J519" s="4">
        <v>30</v>
      </c>
      <c r="K519" s="4" t="str" cm="1">
        <f t="array" ref="K519">_xlfn.IFS(AND(Table156[[#This Row],[Total Amount]]&gt;=1500),"Critical",AND(Table156[[#This Row],[Total Amount]]&gt;=1000),"High",TRUE,"Normal")</f>
        <v>Normal</v>
      </c>
      <c r="L519" s="4" t="str">
        <f>IF(Table156[[#This Row],[Total Amount]]&gt;=1000,"High",(IF(Table156[[#This Row],[Total Amount]]&gt;=500,"Medium","Low")))</f>
        <v>Low</v>
      </c>
      <c r="M519" s="4" t="str" cm="1">
        <f t="array" ref="M51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19" s="4" cm="1">
        <f t="array" ref="N51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519" s="4">
        <f>Table156[[#This Row],[Total Amount]]-Table156[[#This Row],[Discount Amount]]</f>
        <v>24</v>
      </c>
      <c r="P519" s="4" t="str">
        <f>IF(Table156[[#This Row],[Total Amount]]&gt;=1000,"High","Low")</f>
        <v>Low</v>
      </c>
      <c r="Q519" s="4" t="str" cm="1">
        <f t="array" ref="Q519">_xlfn.IFS(AND(Table156[[#This Row],[Total Amount]]&gt;=1500,"Critical"),AND(Table156[[#This Row],[Total Amount]]&gt;=1000,"High"),TRUE,"Normal")</f>
        <v>Normal</v>
      </c>
      <c r="R519" s="4">
        <f>COUNTIF(Table156[Gender],"Male")</f>
        <v>490</v>
      </c>
    </row>
    <row r="520" spans="1:18" x14ac:dyDescent="0.35">
      <c r="A520" s="4">
        <v>519</v>
      </c>
      <c r="B520" s="5">
        <v>44949</v>
      </c>
      <c r="C520" s="4" t="s">
        <v>532</v>
      </c>
      <c r="D520" s="4" t="s">
        <v>13</v>
      </c>
      <c r="E520" s="4">
        <v>36</v>
      </c>
      <c r="F520" s="4" t="str">
        <f>IF(Table156[[#This Row],[Age]]&lt;=19,"Teenager",IF(Table156[[#This Row],[Age]]&lt;=40,"Median","Old"))</f>
        <v>Median</v>
      </c>
      <c r="G520" s="4" t="s">
        <v>16</v>
      </c>
      <c r="H520" s="4">
        <v>4</v>
      </c>
      <c r="I520" s="4">
        <v>30</v>
      </c>
      <c r="J520" s="4">
        <v>120</v>
      </c>
      <c r="K520" s="4" t="str" cm="1">
        <f t="array" ref="K520">_xlfn.IFS(AND(Table156[[#This Row],[Total Amount]]&gt;=1500),"Critical",AND(Table156[[#This Row],[Total Amount]]&gt;=1000),"High",TRUE,"Normal")</f>
        <v>Normal</v>
      </c>
      <c r="L520" s="4" t="str">
        <f>IF(Table156[[#This Row],[Total Amount]]&gt;=1000,"High",(IF(Table156[[#This Row],[Total Amount]]&gt;=500,"Medium","Low")))</f>
        <v>Low</v>
      </c>
      <c r="M520" s="4" t="str" cm="1">
        <f t="array" ref="M52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20" s="4" cm="1">
        <f t="array" ref="N52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520" s="4">
        <f>Table156[[#This Row],[Total Amount]]-Table156[[#This Row],[Discount Amount]]</f>
        <v>96</v>
      </c>
      <c r="P520" s="4" t="str">
        <f>IF(Table156[[#This Row],[Total Amount]]&gt;=1000,"High","Low")</f>
        <v>Low</v>
      </c>
      <c r="Q520" s="4" t="str" cm="1">
        <f t="array" ref="Q520">_xlfn.IFS(AND(Table156[[#This Row],[Total Amount]]&gt;=1500,"Critical"),AND(Table156[[#This Row],[Total Amount]]&gt;=1000,"High"),TRUE,"Normal")</f>
        <v>Normal</v>
      </c>
      <c r="R520" s="4">
        <f>COUNTIF(Table156[Gender],"Male")</f>
        <v>490</v>
      </c>
    </row>
    <row r="521" spans="1:18" x14ac:dyDescent="0.35">
      <c r="A521" s="4">
        <v>520</v>
      </c>
      <c r="B521" s="5">
        <v>45289</v>
      </c>
      <c r="C521" s="4" t="s">
        <v>533</v>
      </c>
      <c r="D521" s="4" t="s">
        <v>13</v>
      </c>
      <c r="E521" s="4">
        <v>49</v>
      </c>
      <c r="F521" s="4" t="str">
        <f>IF(Table156[[#This Row],[Age]]&lt;=19,"Teenager",IF(Table156[[#This Row],[Age]]&lt;=40,"Median","Old"))</f>
        <v>Old</v>
      </c>
      <c r="G521" s="4" t="s">
        <v>16</v>
      </c>
      <c r="H521" s="4">
        <v>4</v>
      </c>
      <c r="I521" s="4">
        <v>25</v>
      </c>
      <c r="J521" s="4">
        <v>100</v>
      </c>
      <c r="K521" s="4" t="str" cm="1">
        <f t="array" ref="K521">_xlfn.IFS(AND(Table156[[#This Row],[Total Amount]]&gt;=1500),"Critical",AND(Table156[[#This Row],[Total Amount]]&gt;=1000),"High",TRUE,"Normal")</f>
        <v>Normal</v>
      </c>
      <c r="L521" s="4" t="str">
        <f>IF(Table156[[#This Row],[Total Amount]]&gt;=1000,"High",(IF(Table156[[#This Row],[Total Amount]]&gt;=500,"Medium","Low")))</f>
        <v>Low</v>
      </c>
      <c r="M521" s="4" t="str" cm="1">
        <f t="array" ref="M52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21" s="4" cm="1">
        <f t="array" ref="N52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521" s="4">
        <f>Table156[[#This Row],[Total Amount]]-Table156[[#This Row],[Discount Amount]]</f>
        <v>80</v>
      </c>
      <c r="P521" s="4" t="str">
        <f>IF(Table156[[#This Row],[Total Amount]]&gt;=1000,"High","Low")</f>
        <v>Low</v>
      </c>
      <c r="Q521" s="4" t="str" cm="1">
        <f t="array" ref="Q521">_xlfn.IFS(AND(Table156[[#This Row],[Total Amount]]&gt;=1500,"Critical"),AND(Table156[[#This Row],[Total Amount]]&gt;=1000,"High"),TRUE,"Normal")</f>
        <v>Normal</v>
      </c>
      <c r="R521" s="4">
        <f>COUNTIF(Table156[Gender],"Male")</f>
        <v>490</v>
      </c>
    </row>
    <row r="522" spans="1:18" x14ac:dyDescent="0.35">
      <c r="A522" s="4">
        <v>521</v>
      </c>
      <c r="B522" s="5">
        <v>45150</v>
      </c>
      <c r="C522" s="4" t="s">
        <v>534</v>
      </c>
      <c r="D522" s="4" t="s">
        <v>13</v>
      </c>
      <c r="E522" s="4">
        <v>47</v>
      </c>
      <c r="F522" s="4" t="str">
        <f>IF(Table156[[#This Row],[Age]]&lt;=19,"Teenager",IF(Table156[[#This Row],[Age]]&lt;=40,"Median","Old"))</f>
        <v>Old</v>
      </c>
      <c r="G522" s="4" t="s">
        <v>14</v>
      </c>
      <c r="H522" s="4">
        <v>4</v>
      </c>
      <c r="I522" s="4">
        <v>30</v>
      </c>
      <c r="J522" s="4">
        <v>120</v>
      </c>
      <c r="K522" s="4" t="str" cm="1">
        <f t="array" ref="K522">_xlfn.IFS(AND(Table156[[#This Row],[Total Amount]]&gt;=1500),"Critical",AND(Table156[[#This Row],[Total Amount]]&gt;=1000),"High",TRUE,"Normal")</f>
        <v>Normal</v>
      </c>
      <c r="L522" s="4" t="str">
        <f>IF(Table156[[#This Row],[Total Amount]]&gt;=1000,"High",(IF(Table156[[#This Row],[Total Amount]]&gt;=500,"Medium","Low")))</f>
        <v>Low</v>
      </c>
      <c r="M522" s="4" t="str" cm="1">
        <f t="array" ref="M52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22" s="4" cm="1">
        <f t="array" ref="N52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522" s="4">
        <f>Table156[[#This Row],[Total Amount]]-Table156[[#This Row],[Discount Amount]]</f>
        <v>96</v>
      </c>
      <c r="P522" s="4" t="str">
        <f>IF(Table156[[#This Row],[Total Amount]]&gt;=1000,"High","Low")</f>
        <v>Low</v>
      </c>
      <c r="Q522" s="4" t="str" cm="1">
        <f t="array" ref="Q522">_xlfn.IFS(AND(Table156[[#This Row],[Total Amount]]&gt;=1500,"Critical"),AND(Table156[[#This Row],[Total Amount]]&gt;=1000,"High"),TRUE,"Normal")</f>
        <v>Normal</v>
      </c>
      <c r="R522" s="4">
        <f>COUNTIF(Table156[Gender],"Male")</f>
        <v>490</v>
      </c>
    </row>
    <row r="523" spans="1:18" x14ac:dyDescent="0.35">
      <c r="A523" s="4">
        <v>522</v>
      </c>
      <c r="B523" s="5">
        <v>44927</v>
      </c>
      <c r="C523" s="4" t="s">
        <v>535</v>
      </c>
      <c r="D523" s="4" t="s">
        <v>10</v>
      </c>
      <c r="E523" s="4">
        <v>46</v>
      </c>
      <c r="F523" s="4" t="str">
        <f>IF(Table156[[#This Row],[Age]]&lt;=19,"Teenager",IF(Table156[[#This Row],[Age]]&lt;=40,"Median","Old"))</f>
        <v>Old</v>
      </c>
      <c r="G523" s="4" t="s">
        <v>11</v>
      </c>
      <c r="H523" s="4">
        <v>3</v>
      </c>
      <c r="I523" s="4">
        <v>500</v>
      </c>
      <c r="J523" s="4">
        <v>1500</v>
      </c>
      <c r="K523" s="4" t="str" cm="1">
        <f t="array" ref="K523">_xlfn.IFS(AND(Table156[[#This Row],[Total Amount]]&gt;=1500),"Critical",AND(Table156[[#This Row],[Total Amount]]&gt;=1000),"High",TRUE,"Normal")</f>
        <v>Critical</v>
      </c>
      <c r="L523" s="4" t="str">
        <f>IF(Table156[[#This Row],[Total Amount]]&gt;=1000,"High",(IF(Table156[[#This Row],[Total Amount]]&gt;=500,"Medium","Low")))</f>
        <v>High</v>
      </c>
      <c r="M523" s="4" t="str" cm="1">
        <f t="array" ref="M52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23" s="4" cm="1">
        <f t="array" ref="N52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523" s="4">
        <f>Table156[[#This Row],[Total Amount]]-Table156[[#This Row],[Discount Amount]]</f>
        <v>1350</v>
      </c>
      <c r="P523" s="4" t="str">
        <f>IF(Table156[[#This Row],[Total Amount]]&gt;=1000,"High","Low")</f>
        <v>High</v>
      </c>
      <c r="Q523" s="4" t="b" cm="1">
        <f t="array" ref="Q523">_xlfn.IFS(AND(Table156[[#This Row],[Total Amount]]&gt;=1500,"Critical"),AND(Table156[[#This Row],[Total Amount]]&gt;=1000,"High"),TRUE,"Normal")</f>
        <v>1</v>
      </c>
      <c r="R523" s="4">
        <f>COUNTIF(Table156[Gender],"Male")</f>
        <v>490</v>
      </c>
    </row>
    <row r="524" spans="1:18" x14ac:dyDescent="0.35">
      <c r="A524" s="4">
        <v>523</v>
      </c>
      <c r="B524" s="5">
        <v>45193</v>
      </c>
      <c r="C524" s="4" t="s">
        <v>536</v>
      </c>
      <c r="D524" s="4" t="s">
        <v>13</v>
      </c>
      <c r="E524" s="4">
        <v>62</v>
      </c>
      <c r="F524" s="4" t="str">
        <f>IF(Table156[[#This Row],[Age]]&lt;=19,"Teenager",IF(Table156[[#This Row],[Age]]&lt;=40,"Median","Old"))</f>
        <v>Old</v>
      </c>
      <c r="G524" s="4" t="s">
        <v>16</v>
      </c>
      <c r="H524" s="4">
        <v>1</v>
      </c>
      <c r="I524" s="4">
        <v>300</v>
      </c>
      <c r="J524" s="4">
        <v>300</v>
      </c>
      <c r="K524" s="4" t="str" cm="1">
        <f t="array" ref="K524">_xlfn.IFS(AND(Table156[[#This Row],[Total Amount]]&gt;=1500),"Critical",AND(Table156[[#This Row],[Total Amount]]&gt;=1000),"High",TRUE,"Normal")</f>
        <v>Normal</v>
      </c>
      <c r="L524" s="4" t="str">
        <f>IF(Table156[[#This Row],[Total Amount]]&gt;=1000,"High",(IF(Table156[[#This Row],[Total Amount]]&gt;=500,"Medium","Low")))</f>
        <v>Low</v>
      </c>
      <c r="M524" s="4" t="str" cm="1">
        <f t="array" ref="M52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24" s="4" cm="1">
        <f t="array" ref="N52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524" s="4">
        <f>Table156[[#This Row],[Total Amount]]-Table156[[#This Row],[Discount Amount]]</f>
        <v>240</v>
      </c>
      <c r="P524" s="4" t="str">
        <f>IF(Table156[[#This Row],[Total Amount]]&gt;=1000,"High","Low")</f>
        <v>Low</v>
      </c>
      <c r="Q524" s="4" t="str" cm="1">
        <f t="array" ref="Q524">_xlfn.IFS(AND(Table156[[#This Row],[Total Amount]]&gt;=1500,"Critical"),AND(Table156[[#This Row],[Total Amount]]&gt;=1000,"High"),TRUE,"Normal")</f>
        <v>Normal</v>
      </c>
      <c r="R524" s="4">
        <f>COUNTIF(Table156[Gender],"Male")</f>
        <v>490</v>
      </c>
    </row>
    <row r="525" spans="1:18" x14ac:dyDescent="0.35">
      <c r="A525" s="4">
        <v>524</v>
      </c>
      <c r="B525" s="5">
        <v>45202</v>
      </c>
      <c r="C525" s="4" t="s">
        <v>537</v>
      </c>
      <c r="D525" s="4" t="s">
        <v>10</v>
      </c>
      <c r="E525" s="4">
        <v>46</v>
      </c>
      <c r="F525" s="4" t="str">
        <f>IF(Table156[[#This Row],[Age]]&lt;=19,"Teenager",IF(Table156[[#This Row],[Age]]&lt;=40,"Median","Old"))</f>
        <v>Old</v>
      </c>
      <c r="G525" s="4" t="s">
        <v>11</v>
      </c>
      <c r="H525" s="4">
        <v>4</v>
      </c>
      <c r="I525" s="4">
        <v>300</v>
      </c>
      <c r="J525" s="4">
        <v>1200</v>
      </c>
      <c r="K525" s="4" t="str" cm="1">
        <f t="array" ref="K525">_xlfn.IFS(AND(Table156[[#This Row],[Total Amount]]&gt;=1500),"Critical",AND(Table156[[#This Row],[Total Amount]]&gt;=1000),"High",TRUE,"Normal")</f>
        <v>High</v>
      </c>
      <c r="L525" s="4" t="str">
        <f>IF(Table156[[#This Row],[Total Amount]]&gt;=1000,"High",(IF(Table156[[#This Row],[Total Amount]]&gt;=500,"Medium","Low")))</f>
        <v>High</v>
      </c>
      <c r="M525" s="4" t="str" cm="1">
        <f t="array" ref="M52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25" s="4" cm="1">
        <f t="array" ref="N52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525" s="4">
        <f>Table156[[#This Row],[Total Amount]]-Table156[[#This Row],[Discount Amount]]</f>
        <v>1080</v>
      </c>
      <c r="P525" s="4" t="str">
        <f>IF(Table156[[#This Row],[Total Amount]]&gt;=1000,"High","Low")</f>
        <v>High</v>
      </c>
      <c r="Q525" s="4" t="str" cm="1">
        <f t="array" ref="Q525">_xlfn.IFS(AND(Table156[[#This Row],[Total Amount]]&gt;=1500,"Critical"),AND(Table156[[#This Row],[Total Amount]]&gt;=1000,"High"),TRUE,"Normal")</f>
        <v>Normal</v>
      </c>
      <c r="R525" s="4">
        <f>COUNTIF(Table156[Gender],"Male")</f>
        <v>490</v>
      </c>
    </row>
    <row r="526" spans="1:18" x14ac:dyDescent="0.35">
      <c r="A526" s="4">
        <v>525</v>
      </c>
      <c r="B526" s="5">
        <v>45278</v>
      </c>
      <c r="C526" s="4" t="s">
        <v>538</v>
      </c>
      <c r="D526" s="4" t="s">
        <v>13</v>
      </c>
      <c r="E526" s="4">
        <v>47</v>
      </c>
      <c r="F526" s="4" t="str">
        <f>IF(Table156[[#This Row],[Age]]&lt;=19,"Teenager",IF(Table156[[#This Row],[Age]]&lt;=40,"Median","Old"))</f>
        <v>Old</v>
      </c>
      <c r="G526" s="4" t="s">
        <v>11</v>
      </c>
      <c r="H526" s="4">
        <v>2</v>
      </c>
      <c r="I526" s="4">
        <v>25</v>
      </c>
      <c r="J526" s="4">
        <v>50</v>
      </c>
      <c r="K526" s="4" t="str" cm="1">
        <f t="array" ref="K526">_xlfn.IFS(AND(Table156[[#This Row],[Total Amount]]&gt;=1500),"Critical",AND(Table156[[#This Row],[Total Amount]]&gt;=1000),"High",TRUE,"Normal")</f>
        <v>Normal</v>
      </c>
      <c r="L526" s="4" t="str">
        <f>IF(Table156[[#This Row],[Total Amount]]&gt;=1000,"High",(IF(Table156[[#This Row],[Total Amount]]&gt;=500,"Medium","Low")))</f>
        <v>Low</v>
      </c>
      <c r="M526" s="4" t="str" cm="1">
        <f t="array" ref="M52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26" s="4" cm="1">
        <f t="array" ref="N52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526" s="4">
        <f>Table156[[#This Row],[Total Amount]]-Table156[[#This Row],[Discount Amount]]</f>
        <v>40</v>
      </c>
      <c r="P526" s="4" t="str">
        <f>IF(Table156[[#This Row],[Total Amount]]&gt;=1000,"High","Low")</f>
        <v>Low</v>
      </c>
      <c r="Q526" s="4" t="str" cm="1">
        <f t="array" ref="Q526">_xlfn.IFS(AND(Table156[[#This Row],[Total Amount]]&gt;=1500,"Critical"),AND(Table156[[#This Row],[Total Amount]]&gt;=1000,"High"),TRUE,"Normal")</f>
        <v>Normal</v>
      </c>
      <c r="R526" s="4">
        <f>COUNTIF(Table156[Gender],"Male")</f>
        <v>490</v>
      </c>
    </row>
    <row r="527" spans="1:18" x14ac:dyDescent="0.35">
      <c r="A527" s="4">
        <v>526</v>
      </c>
      <c r="B527" s="5">
        <v>45270</v>
      </c>
      <c r="C527" s="4" t="s">
        <v>539</v>
      </c>
      <c r="D527" s="4" t="s">
        <v>10</v>
      </c>
      <c r="E527" s="4">
        <v>33</v>
      </c>
      <c r="F527" s="4" t="str">
        <f>IF(Table156[[#This Row],[Age]]&lt;=19,"Teenager",IF(Table156[[#This Row],[Age]]&lt;=40,"Median","Old"))</f>
        <v>Median</v>
      </c>
      <c r="G527" s="4" t="s">
        <v>14</v>
      </c>
      <c r="H527" s="4">
        <v>2</v>
      </c>
      <c r="I527" s="4">
        <v>50</v>
      </c>
      <c r="J527" s="4">
        <v>100</v>
      </c>
      <c r="K527" s="4" t="str" cm="1">
        <f t="array" ref="K527">_xlfn.IFS(AND(Table156[[#This Row],[Total Amount]]&gt;=1500),"Critical",AND(Table156[[#This Row],[Total Amount]]&gt;=1000),"High",TRUE,"Normal")</f>
        <v>Normal</v>
      </c>
      <c r="L527" s="4" t="str">
        <f>IF(Table156[[#This Row],[Total Amount]]&gt;=1000,"High",(IF(Table156[[#This Row],[Total Amount]]&gt;=500,"Medium","Low")))</f>
        <v>Low</v>
      </c>
      <c r="M527" s="4" t="str" cm="1">
        <f t="array" ref="M52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27" s="4" cm="1">
        <f t="array" ref="N52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527" s="4">
        <f>Table156[[#This Row],[Total Amount]]-Table156[[#This Row],[Discount Amount]]</f>
        <v>85</v>
      </c>
      <c r="P527" s="4" t="str">
        <f>IF(Table156[[#This Row],[Total Amount]]&gt;=1000,"High","Low")</f>
        <v>Low</v>
      </c>
      <c r="Q527" s="4" t="str" cm="1">
        <f t="array" ref="Q527">_xlfn.IFS(AND(Table156[[#This Row],[Total Amount]]&gt;=1500,"Critical"),AND(Table156[[#This Row],[Total Amount]]&gt;=1000,"High"),TRUE,"Normal")</f>
        <v>Normal</v>
      </c>
      <c r="R527" s="4">
        <f>COUNTIF(Table156[Gender],"Male")</f>
        <v>490</v>
      </c>
    </row>
    <row r="528" spans="1:18" x14ac:dyDescent="0.35">
      <c r="A528" s="4">
        <v>527</v>
      </c>
      <c r="B528" s="5">
        <v>45027</v>
      </c>
      <c r="C528" s="4" t="s">
        <v>540</v>
      </c>
      <c r="D528" s="4" t="s">
        <v>10</v>
      </c>
      <c r="E528" s="4">
        <v>57</v>
      </c>
      <c r="F528" s="4" t="str">
        <f>IF(Table156[[#This Row],[Age]]&lt;=19,"Teenager",IF(Table156[[#This Row],[Age]]&lt;=40,"Median","Old"))</f>
        <v>Old</v>
      </c>
      <c r="G528" s="4" t="s">
        <v>14</v>
      </c>
      <c r="H528" s="4">
        <v>2</v>
      </c>
      <c r="I528" s="4">
        <v>25</v>
      </c>
      <c r="J528" s="4">
        <v>50</v>
      </c>
      <c r="K528" s="4" t="str" cm="1">
        <f t="array" ref="K528">_xlfn.IFS(AND(Table156[[#This Row],[Total Amount]]&gt;=1500),"Critical",AND(Table156[[#This Row],[Total Amount]]&gt;=1000),"High",TRUE,"Normal")</f>
        <v>Normal</v>
      </c>
      <c r="L528" s="4" t="str">
        <f>IF(Table156[[#This Row],[Total Amount]]&gt;=1000,"High",(IF(Table156[[#This Row],[Total Amount]]&gt;=500,"Medium","Low")))</f>
        <v>Low</v>
      </c>
      <c r="M528" s="4" t="str" cm="1">
        <f t="array" ref="M52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28" s="4" cm="1">
        <f t="array" ref="N52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528" s="4">
        <f>Table156[[#This Row],[Total Amount]]-Table156[[#This Row],[Discount Amount]]</f>
        <v>45</v>
      </c>
      <c r="P528" s="4" t="str">
        <f>IF(Table156[[#This Row],[Total Amount]]&gt;=1000,"High","Low")</f>
        <v>Low</v>
      </c>
      <c r="Q528" s="4" t="str" cm="1">
        <f t="array" ref="Q528">_xlfn.IFS(AND(Table156[[#This Row],[Total Amount]]&gt;=1500,"Critical"),AND(Table156[[#This Row],[Total Amount]]&gt;=1000,"High"),TRUE,"Normal")</f>
        <v>Normal</v>
      </c>
      <c r="R528" s="4">
        <f>COUNTIF(Table156[Gender],"Male")</f>
        <v>490</v>
      </c>
    </row>
    <row r="529" spans="1:18" x14ac:dyDescent="0.35">
      <c r="A529" s="4">
        <v>528</v>
      </c>
      <c r="B529" s="5">
        <v>45113</v>
      </c>
      <c r="C529" s="4" t="s">
        <v>541</v>
      </c>
      <c r="D529" s="4" t="s">
        <v>13</v>
      </c>
      <c r="E529" s="4">
        <v>36</v>
      </c>
      <c r="F529" s="4" t="str">
        <f>IF(Table156[[#This Row],[Age]]&lt;=19,"Teenager",IF(Table156[[#This Row],[Age]]&lt;=40,"Median","Old"))</f>
        <v>Median</v>
      </c>
      <c r="G529" s="4" t="s">
        <v>14</v>
      </c>
      <c r="H529" s="4">
        <v>2</v>
      </c>
      <c r="I529" s="4">
        <v>30</v>
      </c>
      <c r="J529" s="4">
        <v>60</v>
      </c>
      <c r="K529" s="4" t="str" cm="1">
        <f t="array" ref="K529">_xlfn.IFS(AND(Table156[[#This Row],[Total Amount]]&gt;=1500),"Critical",AND(Table156[[#This Row],[Total Amount]]&gt;=1000),"High",TRUE,"Normal")</f>
        <v>Normal</v>
      </c>
      <c r="L529" s="4" t="str">
        <f>IF(Table156[[#This Row],[Total Amount]]&gt;=1000,"High",(IF(Table156[[#This Row],[Total Amount]]&gt;=500,"Medium","Low")))</f>
        <v>Low</v>
      </c>
      <c r="M529" s="4" t="str" cm="1">
        <f t="array" ref="M52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29" s="4" cm="1">
        <f t="array" ref="N52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529" s="4">
        <f>Table156[[#This Row],[Total Amount]]-Table156[[#This Row],[Discount Amount]]</f>
        <v>48</v>
      </c>
      <c r="P529" s="4" t="str">
        <f>IF(Table156[[#This Row],[Total Amount]]&gt;=1000,"High","Low")</f>
        <v>Low</v>
      </c>
      <c r="Q529" s="4" t="str" cm="1">
        <f t="array" ref="Q529">_xlfn.IFS(AND(Table156[[#This Row],[Total Amount]]&gt;=1500,"Critical"),AND(Table156[[#This Row],[Total Amount]]&gt;=1000,"High"),TRUE,"Normal")</f>
        <v>Normal</v>
      </c>
      <c r="R529" s="4">
        <f>COUNTIF(Table156[Gender],"Male")</f>
        <v>490</v>
      </c>
    </row>
    <row r="530" spans="1:18" x14ac:dyDescent="0.35">
      <c r="A530" s="4">
        <v>529</v>
      </c>
      <c r="B530" s="5">
        <v>45147</v>
      </c>
      <c r="C530" s="4" t="s">
        <v>542</v>
      </c>
      <c r="D530" s="4" t="s">
        <v>13</v>
      </c>
      <c r="E530" s="4">
        <v>35</v>
      </c>
      <c r="F530" s="4" t="str">
        <f>IF(Table156[[#This Row],[Age]]&lt;=19,"Teenager",IF(Table156[[#This Row],[Age]]&lt;=40,"Median","Old"))</f>
        <v>Median</v>
      </c>
      <c r="G530" s="4" t="s">
        <v>14</v>
      </c>
      <c r="H530" s="4">
        <v>3</v>
      </c>
      <c r="I530" s="4">
        <v>50</v>
      </c>
      <c r="J530" s="4">
        <v>150</v>
      </c>
      <c r="K530" s="4" t="str" cm="1">
        <f t="array" ref="K530">_xlfn.IFS(AND(Table156[[#This Row],[Total Amount]]&gt;=1500),"Critical",AND(Table156[[#This Row],[Total Amount]]&gt;=1000),"High",TRUE,"Normal")</f>
        <v>Normal</v>
      </c>
      <c r="L530" s="4" t="str">
        <f>IF(Table156[[#This Row],[Total Amount]]&gt;=1000,"High",(IF(Table156[[#This Row],[Total Amount]]&gt;=500,"Medium","Low")))</f>
        <v>Low</v>
      </c>
      <c r="M530" s="4" t="str" cm="1">
        <f t="array" ref="M53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30" s="4" cm="1">
        <f t="array" ref="N53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530" s="4">
        <f>Table156[[#This Row],[Total Amount]]-Table156[[#This Row],[Discount Amount]]</f>
        <v>120</v>
      </c>
      <c r="P530" s="4" t="str">
        <f>IF(Table156[[#This Row],[Total Amount]]&gt;=1000,"High","Low")</f>
        <v>Low</v>
      </c>
      <c r="Q530" s="4" t="str" cm="1">
        <f t="array" ref="Q530">_xlfn.IFS(AND(Table156[[#This Row],[Total Amount]]&gt;=1500,"Critical"),AND(Table156[[#This Row],[Total Amount]]&gt;=1000,"High"),TRUE,"Normal")</f>
        <v>Normal</v>
      </c>
      <c r="R530" s="4">
        <f>COUNTIF(Table156[Gender],"Male")</f>
        <v>490</v>
      </c>
    </row>
    <row r="531" spans="1:18" x14ac:dyDescent="0.35">
      <c r="A531" s="4">
        <v>530</v>
      </c>
      <c r="B531" s="5">
        <v>44962</v>
      </c>
      <c r="C531" s="4" t="s">
        <v>543</v>
      </c>
      <c r="D531" s="4" t="s">
        <v>13</v>
      </c>
      <c r="E531" s="4">
        <v>18</v>
      </c>
      <c r="F531" s="4" t="str">
        <f>IF(Table156[[#This Row],[Age]]&lt;=19,"Teenager",IF(Table156[[#This Row],[Age]]&lt;=40,"Median","Old"))</f>
        <v>Teenager</v>
      </c>
      <c r="G531" s="4" t="s">
        <v>16</v>
      </c>
      <c r="H531" s="4">
        <v>4</v>
      </c>
      <c r="I531" s="4">
        <v>30</v>
      </c>
      <c r="J531" s="4">
        <v>120</v>
      </c>
      <c r="K531" s="4" t="str" cm="1">
        <f t="array" ref="K531">_xlfn.IFS(AND(Table156[[#This Row],[Total Amount]]&gt;=1500),"Critical",AND(Table156[[#This Row],[Total Amount]]&gt;=1000),"High",TRUE,"Normal")</f>
        <v>Normal</v>
      </c>
      <c r="L531" s="4" t="str">
        <f>IF(Table156[[#This Row],[Total Amount]]&gt;=1000,"High",(IF(Table156[[#This Row],[Total Amount]]&gt;=500,"Medium","Low")))</f>
        <v>Low</v>
      </c>
      <c r="M531" s="4" t="str" cm="1">
        <f t="array" ref="M53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31" s="4" cm="1">
        <f t="array" ref="N53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31" s="4">
        <f>Table156[[#This Row],[Total Amount]]-Table156[[#This Row],[Discount Amount]]</f>
        <v>120</v>
      </c>
      <c r="P531" s="4" t="str">
        <f>IF(Table156[[#This Row],[Total Amount]]&gt;=1000,"High","Low")</f>
        <v>Low</v>
      </c>
      <c r="Q531" s="4" t="str" cm="1">
        <f t="array" ref="Q531">_xlfn.IFS(AND(Table156[[#This Row],[Total Amount]]&gt;=1500,"Critical"),AND(Table156[[#This Row],[Total Amount]]&gt;=1000,"High"),TRUE,"Normal")</f>
        <v>Normal</v>
      </c>
      <c r="R531" s="4">
        <f>COUNTIF(Table156[Gender],"Male")</f>
        <v>490</v>
      </c>
    </row>
    <row r="532" spans="1:18" x14ac:dyDescent="0.35">
      <c r="A532" s="4">
        <v>531</v>
      </c>
      <c r="B532" s="5">
        <v>45267</v>
      </c>
      <c r="C532" s="4" t="s">
        <v>544</v>
      </c>
      <c r="D532" s="4" t="s">
        <v>10</v>
      </c>
      <c r="E532" s="4">
        <v>31</v>
      </c>
      <c r="F532" s="4" t="str">
        <f>IF(Table156[[#This Row],[Age]]&lt;=19,"Teenager",IF(Table156[[#This Row],[Age]]&lt;=40,"Median","Old"))</f>
        <v>Median</v>
      </c>
      <c r="G532" s="4" t="s">
        <v>16</v>
      </c>
      <c r="H532" s="4">
        <v>1</v>
      </c>
      <c r="I532" s="4">
        <v>500</v>
      </c>
      <c r="J532" s="4">
        <v>500</v>
      </c>
      <c r="K532" s="4" t="str" cm="1">
        <f t="array" ref="K532">_xlfn.IFS(AND(Table156[[#This Row],[Total Amount]]&gt;=1500),"Critical",AND(Table156[[#This Row],[Total Amount]]&gt;=1000),"High",TRUE,"Normal")</f>
        <v>Normal</v>
      </c>
      <c r="L532" s="4" t="str">
        <f>IF(Table156[[#This Row],[Total Amount]]&gt;=1000,"High",(IF(Table156[[#This Row],[Total Amount]]&gt;=500,"Medium","Low")))</f>
        <v>Medium</v>
      </c>
      <c r="M532" s="4" t="str" cm="1">
        <f t="array" ref="M53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32" s="4" cm="1">
        <f t="array" ref="N53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75</v>
      </c>
      <c r="O532" s="4">
        <f>Table156[[#This Row],[Total Amount]]-Table156[[#This Row],[Discount Amount]]</f>
        <v>425</v>
      </c>
      <c r="P532" s="4" t="str">
        <f>IF(Table156[[#This Row],[Total Amount]]&gt;=1000,"High","Low")</f>
        <v>Low</v>
      </c>
      <c r="Q532" s="4" t="str" cm="1">
        <f t="array" ref="Q532">_xlfn.IFS(AND(Table156[[#This Row],[Total Amount]]&gt;=1500,"Critical"),AND(Table156[[#This Row],[Total Amount]]&gt;=1000,"High"),TRUE,"Normal")</f>
        <v>Normal</v>
      </c>
      <c r="R532" s="4">
        <f>COUNTIF(Table156[Gender],"Male")</f>
        <v>490</v>
      </c>
    </row>
    <row r="533" spans="1:18" x14ac:dyDescent="0.35">
      <c r="A533" s="4">
        <v>532</v>
      </c>
      <c r="B533" s="5">
        <v>45096</v>
      </c>
      <c r="C533" s="4" t="s">
        <v>545</v>
      </c>
      <c r="D533" s="4" t="s">
        <v>13</v>
      </c>
      <c r="E533" s="4">
        <v>64</v>
      </c>
      <c r="F533" s="4" t="str">
        <f>IF(Table156[[#This Row],[Age]]&lt;=19,"Teenager",IF(Table156[[#This Row],[Age]]&lt;=40,"Median","Old"))</f>
        <v>Old</v>
      </c>
      <c r="G533" s="4" t="s">
        <v>14</v>
      </c>
      <c r="H533" s="4">
        <v>4</v>
      </c>
      <c r="I533" s="4">
        <v>30</v>
      </c>
      <c r="J533" s="4">
        <v>120</v>
      </c>
      <c r="K533" s="4" t="str" cm="1">
        <f t="array" ref="K533">_xlfn.IFS(AND(Table156[[#This Row],[Total Amount]]&gt;=1500),"Critical",AND(Table156[[#This Row],[Total Amount]]&gt;=1000),"High",TRUE,"Normal")</f>
        <v>Normal</v>
      </c>
      <c r="L533" s="4" t="str">
        <f>IF(Table156[[#This Row],[Total Amount]]&gt;=1000,"High",(IF(Table156[[#This Row],[Total Amount]]&gt;=500,"Medium","Low")))</f>
        <v>Low</v>
      </c>
      <c r="M533" s="4" t="str" cm="1">
        <f t="array" ref="M53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33" s="4" cm="1">
        <f t="array" ref="N53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533" s="4">
        <f>Table156[[#This Row],[Total Amount]]-Table156[[#This Row],[Discount Amount]]</f>
        <v>96</v>
      </c>
      <c r="P533" s="4" t="str">
        <f>IF(Table156[[#This Row],[Total Amount]]&gt;=1000,"High","Low")</f>
        <v>Low</v>
      </c>
      <c r="Q533" s="4" t="str" cm="1">
        <f t="array" ref="Q533">_xlfn.IFS(AND(Table156[[#This Row],[Total Amount]]&gt;=1500,"Critical"),AND(Table156[[#This Row],[Total Amount]]&gt;=1000,"High"),TRUE,"Normal")</f>
        <v>Normal</v>
      </c>
      <c r="R533" s="4">
        <f>COUNTIF(Table156[Gender],"Male")</f>
        <v>490</v>
      </c>
    </row>
    <row r="534" spans="1:18" x14ac:dyDescent="0.35">
      <c r="A534" s="4">
        <v>533</v>
      </c>
      <c r="B534" s="5">
        <v>45246</v>
      </c>
      <c r="C534" s="4" t="s">
        <v>546</v>
      </c>
      <c r="D534" s="4" t="s">
        <v>10</v>
      </c>
      <c r="E534" s="4">
        <v>19</v>
      </c>
      <c r="F534" s="4" t="str">
        <f>IF(Table156[[#This Row],[Age]]&lt;=19,"Teenager",IF(Table156[[#This Row],[Age]]&lt;=40,"Median","Old"))</f>
        <v>Teenager</v>
      </c>
      <c r="G534" s="4" t="s">
        <v>16</v>
      </c>
      <c r="H534" s="4">
        <v>3</v>
      </c>
      <c r="I534" s="4">
        <v>500</v>
      </c>
      <c r="J534" s="4">
        <v>1500</v>
      </c>
      <c r="K534" s="4" t="str" cm="1">
        <f t="array" ref="K534">_xlfn.IFS(AND(Table156[[#This Row],[Total Amount]]&gt;=1500),"Critical",AND(Table156[[#This Row],[Total Amount]]&gt;=1000),"High",TRUE,"Normal")</f>
        <v>Critical</v>
      </c>
      <c r="L534" s="4" t="str">
        <f>IF(Table156[[#This Row],[Total Amount]]&gt;=1000,"High",(IF(Table156[[#This Row],[Total Amount]]&gt;=500,"Medium","Low")))</f>
        <v>High</v>
      </c>
      <c r="M534" s="4" t="str" cm="1">
        <f t="array" ref="M53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34" s="4" cm="1">
        <f t="array" ref="N53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34" s="4">
        <f>Table156[[#This Row],[Total Amount]]-Table156[[#This Row],[Discount Amount]]</f>
        <v>1500</v>
      </c>
      <c r="P534" s="4" t="str">
        <f>IF(Table156[[#This Row],[Total Amount]]&gt;=1000,"High","Low")</f>
        <v>High</v>
      </c>
      <c r="Q534" s="4" t="b" cm="1">
        <f t="array" ref="Q534">_xlfn.IFS(AND(Table156[[#This Row],[Total Amount]]&gt;=1500,"Critical"),AND(Table156[[#This Row],[Total Amount]]&gt;=1000,"High"),TRUE,"Normal")</f>
        <v>1</v>
      </c>
      <c r="R534" s="4">
        <f>COUNTIF(Table156[Gender],"Male")</f>
        <v>490</v>
      </c>
    </row>
    <row r="535" spans="1:18" x14ac:dyDescent="0.35">
      <c r="A535" s="4">
        <v>534</v>
      </c>
      <c r="B535" s="5">
        <v>45087</v>
      </c>
      <c r="C535" s="4" t="s">
        <v>547</v>
      </c>
      <c r="D535" s="4" t="s">
        <v>10</v>
      </c>
      <c r="E535" s="4">
        <v>45</v>
      </c>
      <c r="F535" s="4" t="str">
        <f>IF(Table156[[#This Row],[Age]]&lt;=19,"Teenager",IF(Table156[[#This Row],[Age]]&lt;=40,"Median","Old"))</f>
        <v>Old</v>
      </c>
      <c r="G535" s="4" t="s">
        <v>14</v>
      </c>
      <c r="H535" s="4">
        <v>2</v>
      </c>
      <c r="I535" s="4">
        <v>500</v>
      </c>
      <c r="J535" s="4">
        <v>1000</v>
      </c>
      <c r="K535" s="4" t="str" cm="1">
        <f t="array" ref="K535">_xlfn.IFS(AND(Table156[[#This Row],[Total Amount]]&gt;=1500),"Critical",AND(Table156[[#This Row],[Total Amount]]&gt;=1000),"High",TRUE,"Normal")</f>
        <v>High</v>
      </c>
      <c r="L535" s="4" t="str">
        <f>IF(Table156[[#This Row],[Total Amount]]&gt;=1000,"High",(IF(Table156[[#This Row],[Total Amount]]&gt;=500,"Medium","Low")))</f>
        <v>High</v>
      </c>
      <c r="M535" s="4" t="str" cm="1">
        <f t="array" ref="M53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35" s="4" cm="1">
        <f t="array" ref="N53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535" s="4">
        <f>Table156[[#This Row],[Total Amount]]-Table156[[#This Row],[Discount Amount]]</f>
        <v>900</v>
      </c>
      <c r="P535" s="4" t="str">
        <f>IF(Table156[[#This Row],[Total Amount]]&gt;=1000,"High","Low")</f>
        <v>High</v>
      </c>
      <c r="Q535" s="4" t="str" cm="1">
        <f t="array" ref="Q535">_xlfn.IFS(AND(Table156[[#This Row],[Total Amount]]&gt;=1500,"Critical"),AND(Table156[[#This Row],[Total Amount]]&gt;=1000,"High"),TRUE,"Normal")</f>
        <v>Normal</v>
      </c>
      <c r="R535" s="4">
        <f>COUNTIF(Table156[Gender],"Male")</f>
        <v>490</v>
      </c>
    </row>
    <row r="536" spans="1:18" x14ac:dyDescent="0.35">
      <c r="A536" s="4">
        <v>535</v>
      </c>
      <c r="B536" s="5">
        <v>45266</v>
      </c>
      <c r="C536" s="4" t="s">
        <v>548</v>
      </c>
      <c r="D536" s="4" t="s">
        <v>10</v>
      </c>
      <c r="E536" s="4">
        <v>47</v>
      </c>
      <c r="F536" s="4" t="str">
        <f>IF(Table156[[#This Row],[Age]]&lt;=19,"Teenager",IF(Table156[[#This Row],[Age]]&lt;=40,"Median","Old"))</f>
        <v>Old</v>
      </c>
      <c r="G536" s="4" t="s">
        <v>11</v>
      </c>
      <c r="H536" s="4">
        <v>3</v>
      </c>
      <c r="I536" s="4">
        <v>30</v>
      </c>
      <c r="J536" s="4">
        <v>90</v>
      </c>
      <c r="K536" s="4" t="str" cm="1">
        <f t="array" ref="K536">_xlfn.IFS(AND(Table156[[#This Row],[Total Amount]]&gt;=1500),"Critical",AND(Table156[[#This Row],[Total Amount]]&gt;=1000),"High",TRUE,"Normal")</f>
        <v>Normal</v>
      </c>
      <c r="L536" s="4" t="str">
        <f>IF(Table156[[#This Row],[Total Amount]]&gt;=1000,"High",(IF(Table156[[#This Row],[Total Amount]]&gt;=500,"Medium","Low")))</f>
        <v>Low</v>
      </c>
      <c r="M536" s="4" t="str" cm="1">
        <f t="array" ref="M53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36" s="4" cm="1">
        <f t="array" ref="N53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</v>
      </c>
      <c r="O536" s="4">
        <f>Table156[[#This Row],[Total Amount]]-Table156[[#This Row],[Discount Amount]]</f>
        <v>81</v>
      </c>
      <c r="P536" s="4" t="str">
        <f>IF(Table156[[#This Row],[Total Amount]]&gt;=1000,"High","Low")</f>
        <v>Low</v>
      </c>
      <c r="Q536" s="4" t="str" cm="1">
        <f t="array" ref="Q536">_xlfn.IFS(AND(Table156[[#This Row],[Total Amount]]&gt;=1500,"Critical"),AND(Table156[[#This Row],[Total Amount]]&gt;=1000,"High"),TRUE,"Normal")</f>
        <v>Normal</v>
      </c>
      <c r="R536" s="4">
        <f>COUNTIF(Table156[Gender],"Male")</f>
        <v>490</v>
      </c>
    </row>
    <row r="537" spans="1:18" x14ac:dyDescent="0.35">
      <c r="A537" s="4">
        <v>536</v>
      </c>
      <c r="B537" s="5">
        <v>44990</v>
      </c>
      <c r="C537" s="4" t="s">
        <v>549</v>
      </c>
      <c r="D537" s="4" t="s">
        <v>13</v>
      </c>
      <c r="E537" s="4">
        <v>55</v>
      </c>
      <c r="F537" s="4" t="str">
        <f>IF(Table156[[#This Row],[Age]]&lt;=19,"Teenager",IF(Table156[[#This Row],[Age]]&lt;=40,"Median","Old"))</f>
        <v>Old</v>
      </c>
      <c r="G537" s="4" t="s">
        <v>11</v>
      </c>
      <c r="H537" s="4">
        <v>4</v>
      </c>
      <c r="I537" s="4">
        <v>30</v>
      </c>
      <c r="J537" s="4">
        <v>120</v>
      </c>
      <c r="K537" s="4" t="str" cm="1">
        <f t="array" ref="K537">_xlfn.IFS(AND(Table156[[#This Row],[Total Amount]]&gt;=1500),"Critical",AND(Table156[[#This Row],[Total Amount]]&gt;=1000),"High",TRUE,"Normal")</f>
        <v>Normal</v>
      </c>
      <c r="L537" s="4" t="str">
        <f>IF(Table156[[#This Row],[Total Amount]]&gt;=1000,"High",(IF(Table156[[#This Row],[Total Amount]]&gt;=500,"Medium","Low")))</f>
        <v>Low</v>
      </c>
      <c r="M537" s="4" t="str" cm="1">
        <f t="array" ref="M53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37" s="4" cm="1">
        <f t="array" ref="N53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537" s="4">
        <f>Table156[[#This Row],[Total Amount]]-Table156[[#This Row],[Discount Amount]]</f>
        <v>96</v>
      </c>
      <c r="P537" s="4" t="str">
        <f>IF(Table156[[#This Row],[Total Amount]]&gt;=1000,"High","Low")</f>
        <v>Low</v>
      </c>
      <c r="Q537" s="4" t="str" cm="1">
        <f t="array" ref="Q537">_xlfn.IFS(AND(Table156[[#This Row],[Total Amount]]&gt;=1500,"Critical"),AND(Table156[[#This Row],[Total Amount]]&gt;=1000,"High"),TRUE,"Normal")</f>
        <v>Normal</v>
      </c>
      <c r="R537" s="4">
        <f>COUNTIF(Table156[Gender],"Male")</f>
        <v>490</v>
      </c>
    </row>
    <row r="538" spans="1:18" x14ac:dyDescent="0.35">
      <c r="A538" s="4">
        <v>537</v>
      </c>
      <c r="B538" s="5">
        <v>45080</v>
      </c>
      <c r="C538" s="4" t="s">
        <v>550</v>
      </c>
      <c r="D538" s="4" t="s">
        <v>13</v>
      </c>
      <c r="E538" s="4">
        <v>21</v>
      </c>
      <c r="F538" s="4" t="str">
        <f>IF(Table156[[#This Row],[Age]]&lt;=19,"Teenager",IF(Table156[[#This Row],[Age]]&lt;=40,"Median","Old"))</f>
        <v>Median</v>
      </c>
      <c r="G538" s="4" t="s">
        <v>11</v>
      </c>
      <c r="H538" s="4">
        <v>1</v>
      </c>
      <c r="I538" s="4">
        <v>500</v>
      </c>
      <c r="J538" s="4">
        <v>500</v>
      </c>
      <c r="K538" s="4" t="str" cm="1">
        <f t="array" ref="K538">_xlfn.IFS(AND(Table156[[#This Row],[Total Amount]]&gt;=1500),"Critical",AND(Table156[[#This Row],[Total Amount]]&gt;=1000),"High",TRUE,"Normal")</f>
        <v>Normal</v>
      </c>
      <c r="L538" s="4" t="str">
        <f>IF(Table156[[#This Row],[Total Amount]]&gt;=1000,"High",(IF(Table156[[#This Row],[Total Amount]]&gt;=500,"Medium","Low")))</f>
        <v>Medium</v>
      </c>
      <c r="M538" s="4" t="str" cm="1">
        <f t="array" ref="M53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38" s="4" cm="1">
        <f t="array" ref="N53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38" s="4">
        <f>Table156[[#This Row],[Total Amount]]-Table156[[#This Row],[Discount Amount]]</f>
        <v>500</v>
      </c>
      <c r="P538" s="4" t="str">
        <f>IF(Table156[[#This Row],[Total Amount]]&gt;=1000,"High","Low")</f>
        <v>Low</v>
      </c>
      <c r="Q538" s="4" t="str" cm="1">
        <f t="array" ref="Q538">_xlfn.IFS(AND(Table156[[#This Row],[Total Amount]]&gt;=1500,"Critical"),AND(Table156[[#This Row],[Total Amount]]&gt;=1000,"High"),TRUE,"Normal")</f>
        <v>Normal</v>
      </c>
      <c r="R538" s="4">
        <f>COUNTIF(Table156[Gender],"Male")</f>
        <v>490</v>
      </c>
    </row>
    <row r="539" spans="1:18" x14ac:dyDescent="0.35">
      <c r="A539" s="4">
        <v>538</v>
      </c>
      <c r="B539" s="5">
        <v>45186</v>
      </c>
      <c r="C539" s="4" t="s">
        <v>551</v>
      </c>
      <c r="D539" s="4" t="s">
        <v>10</v>
      </c>
      <c r="E539" s="4">
        <v>18</v>
      </c>
      <c r="F539" s="4" t="str">
        <f>IF(Table156[[#This Row],[Age]]&lt;=19,"Teenager",IF(Table156[[#This Row],[Age]]&lt;=40,"Median","Old"))</f>
        <v>Teenager</v>
      </c>
      <c r="G539" s="4" t="s">
        <v>14</v>
      </c>
      <c r="H539" s="4">
        <v>3</v>
      </c>
      <c r="I539" s="4">
        <v>50</v>
      </c>
      <c r="J539" s="4">
        <v>150</v>
      </c>
      <c r="K539" s="4" t="str" cm="1">
        <f t="array" ref="K539">_xlfn.IFS(AND(Table156[[#This Row],[Total Amount]]&gt;=1500),"Critical",AND(Table156[[#This Row],[Total Amount]]&gt;=1000),"High",TRUE,"Normal")</f>
        <v>Normal</v>
      </c>
      <c r="L539" s="4" t="str">
        <f>IF(Table156[[#This Row],[Total Amount]]&gt;=1000,"High",(IF(Table156[[#This Row],[Total Amount]]&gt;=500,"Medium","Low")))</f>
        <v>Low</v>
      </c>
      <c r="M539" s="4" t="str" cm="1">
        <f t="array" ref="M53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39" s="4" cm="1">
        <f t="array" ref="N53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39" s="4">
        <f>Table156[[#This Row],[Total Amount]]-Table156[[#This Row],[Discount Amount]]</f>
        <v>150</v>
      </c>
      <c r="P539" s="4" t="str">
        <f>IF(Table156[[#This Row],[Total Amount]]&gt;=1000,"High","Low")</f>
        <v>Low</v>
      </c>
      <c r="Q539" s="4" t="str" cm="1">
        <f t="array" ref="Q539">_xlfn.IFS(AND(Table156[[#This Row],[Total Amount]]&gt;=1500,"Critical"),AND(Table156[[#This Row],[Total Amount]]&gt;=1000,"High"),TRUE,"Normal")</f>
        <v>Normal</v>
      </c>
      <c r="R539" s="4">
        <f>COUNTIF(Table156[Gender],"Male")</f>
        <v>490</v>
      </c>
    </row>
    <row r="540" spans="1:18" x14ac:dyDescent="0.35">
      <c r="A540" s="4">
        <v>539</v>
      </c>
      <c r="B540" s="5">
        <v>45085</v>
      </c>
      <c r="C540" s="4" t="s">
        <v>552</v>
      </c>
      <c r="D540" s="4" t="s">
        <v>10</v>
      </c>
      <c r="E540" s="4">
        <v>25</v>
      </c>
      <c r="F540" s="4" t="str">
        <f>IF(Table156[[#This Row],[Age]]&lt;=19,"Teenager",IF(Table156[[#This Row],[Age]]&lt;=40,"Median","Old"))</f>
        <v>Median</v>
      </c>
      <c r="G540" s="4" t="s">
        <v>11</v>
      </c>
      <c r="H540" s="4">
        <v>1</v>
      </c>
      <c r="I540" s="4">
        <v>500</v>
      </c>
      <c r="J540" s="4">
        <v>500</v>
      </c>
      <c r="K540" s="4" t="str" cm="1">
        <f t="array" ref="K540">_xlfn.IFS(AND(Table156[[#This Row],[Total Amount]]&gt;=1500),"Critical",AND(Table156[[#This Row],[Total Amount]]&gt;=1000),"High",TRUE,"Normal")</f>
        <v>Normal</v>
      </c>
      <c r="L540" s="4" t="str">
        <f>IF(Table156[[#This Row],[Total Amount]]&gt;=1000,"High",(IF(Table156[[#This Row],[Total Amount]]&gt;=500,"Medium","Low")))</f>
        <v>Medium</v>
      </c>
      <c r="M540" s="4" t="str" cm="1">
        <f t="array" ref="M54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40" s="4" cm="1">
        <f t="array" ref="N54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75</v>
      </c>
      <c r="O540" s="4">
        <f>Table156[[#This Row],[Total Amount]]-Table156[[#This Row],[Discount Amount]]</f>
        <v>425</v>
      </c>
      <c r="P540" s="4" t="str">
        <f>IF(Table156[[#This Row],[Total Amount]]&gt;=1000,"High","Low")</f>
        <v>Low</v>
      </c>
      <c r="Q540" s="4" t="str" cm="1">
        <f t="array" ref="Q540">_xlfn.IFS(AND(Table156[[#This Row],[Total Amount]]&gt;=1500,"Critical"),AND(Table156[[#This Row],[Total Amount]]&gt;=1000,"High"),TRUE,"Normal")</f>
        <v>Normal</v>
      </c>
      <c r="R540" s="4">
        <f>COUNTIF(Table156[Gender],"Male")</f>
        <v>490</v>
      </c>
    </row>
    <row r="541" spans="1:18" x14ac:dyDescent="0.35">
      <c r="A541" s="4">
        <v>540</v>
      </c>
      <c r="B541" s="5">
        <v>45268</v>
      </c>
      <c r="C541" s="4" t="s">
        <v>553</v>
      </c>
      <c r="D541" s="4" t="s">
        <v>13</v>
      </c>
      <c r="E541" s="4">
        <v>46</v>
      </c>
      <c r="F541" s="4" t="str">
        <f>IF(Table156[[#This Row],[Age]]&lt;=19,"Teenager",IF(Table156[[#This Row],[Age]]&lt;=40,"Median","Old"))</f>
        <v>Old</v>
      </c>
      <c r="G541" s="4" t="s">
        <v>16</v>
      </c>
      <c r="H541" s="4">
        <v>3</v>
      </c>
      <c r="I541" s="4">
        <v>300</v>
      </c>
      <c r="J541" s="4">
        <v>900</v>
      </c>
      <c r="K541" s="4" t="str" cm="1">
        <f t="array" ref="K541">_xlfn.IFS(AND(Table156[[#This Row],[Total Amount]]&gt;=1500),"Critical",AND(Table156[[#This Row],[Total Amount]]&gt;=1000),"High",TRUE,"Normal")</f>
        <v>Normal</v>
      </c>
      <c r="L541" s="4" t="str">
        <f>IF(Table156[[#This Row],[Total Amount]]&gt;=1000,"High",(IF(Table156[[#This Row],[Total Amount]]&gt;=500,"Medium","Low")))</f>
        <v>Medium</v>
      </c>
      <c r="M541" s="4" t="str" cm="1">
        <f t="array" ref="M54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41" s="4" cm="1">
        <f t="array" ref="N54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541" s="4">
        <f>Table156[[#This Row],[Total Amount]]-Table156[[#This Row],[Discount Amount]]</f>
        <v>720</v>
      </c>
      <c r="P541" s="4" t="str">
        <f>IF(Table156[[#This Row],[Total Amount]]&gt;=1000,"High","Low")</f>
        <v>Low</v>
      </c>
      <c r="Q541" s="4" t="str" cm="1">
        <f t="array" ref="Q541">_xlfn.IFS(AND(Table156[[#This Row],[Total Amount]]&gt;=1500,"Critical"),AND(Table156[[#This Row],[Total Amount]]&gt;=1000,"High"),TRUE,"Normal")</f>
        <v>Normal</v>
      </c>
      <c r="R541" s="4">
        <f>COUNTIF(Table156[Gender],"Male")</f>
        <v>490</v>
      </c>
    </row>
    <row r="542" spans="1:18" x14ac:dyDescent="0.35">
      <c r="A542" s="4">
        <v>541</v>
      </c>
      <c r="B542" s="5">
        <v>45136</v>
      </c>
      <c r="C542" s="4" t="s">
        <v>554</v>
      </c>
      <c r="D542" s="4" t="s">
        <v>10</v>
      </c>
      <c r="E542" s="4">
        <v>56</v>
      </c>
      <c r="F542" s="4" t="str">
        <f>IF(Table156[[#This Row],[Age]]&lt;=19,"Teenager",IF(Table156[[#This Row],[Age]]&lt;=40,"Median","Old"))</f>
        <v>Old</v>
      </c>
      <c r="G542" s="4" t="s">
        <v>11</v>
      </c>
      <c r="H542" s="4">
        <v>1</v>
      </c>
      <c r="I542" s="4">
        <v>500</v>
      </c>
      <c r="J542" s="4">
        <v>500</v>
      </c>
      <c r="K542" s="4" t="str" cm="1">
        <f t="array" ref="K542">_xlfn.IFS(AND(Table156[[#This Row],[Total Amount]]&gt;=1500),"Critical",AND(Table156[[#This Row],[Total Amount]]&gt;=1000),"High",TRUE,"Normal")</f>
        <v>Normal</v>
      </c>
      <c r="L542" s="4" t="str">
        <f>IF(Table156[[#This Row],[Total Amount]]&gt;=1000,"High",(IF(Table156[[#This Row],[Total Amount]]&gt;=500,"Medium","Low")))</f>
        <v>Medium</v>
      </c>
      <c r="M542" s="4" t="str" cm="1">
        <f t="array" ref="M54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42" s="4" cm="1">
        <f t="array" ref="N54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542" s="4">
        <f>Table156[[#This Row],[Total Amount]]-Table156[[#This Row],[Discount Amount]]</f>
        <v>450</v>
      </c>
      <c r="P542" s="4" t="str">
        <f>IF(Table156[[#This Row],[Total Amount]]&gt;=1000,"High","Low")</f>
        <v>Low</v>
      </c>
      <c r="Q542" s="4" t="str" cm="1">
        <f t="array" ref="Q542">_xlfn.IFS(AND(Table156[[#This Row],[Total Amount]]&gt;=1500,"Critical"),AND(Table156[[#This Row],[Total Amount]]&gt;=1000,"High"),TRUE,"Normal")</f>
        <v>Normal</v>
      </c>
      <c r="R542" s="4">
        <f>COUNTIF(Table156[Gender],"Male")</f>
        <v>490</v>
      </c>
    </row>
    <row r="543" spans="1:18" x14ac:dyDescent="0.35">
      <c r="A543" s="4">
        <v>542</v>
      </c>
      <c r="B543" s="5">
        <v>45094</v>
      </c>
      <c r="C543" s="4" t="s">
        <v>555</v>
      </c>
      <c r="D543" s="4" t="s">
        <v>13</v>
      </c>
      <c r="E543" s="4">
        <v>20</v>
      </c>
      <c r="F543" s="4" t="str">
        <f>IF(Table156[[#This Row],[Age]]&lt;=19,"Teenager",IF(Table156[[#This Row],[Age]]&lt;=40,"Median","Old"))</f>
        <v>Median</v>
      </c>
      <c r="G543" s="4" t="s">
        <v>11</v>
      </c>
      <c r="H543" s="4">
        <v>1</v>
      </c>
      <c r="I543" s="4">
        <v>50</v>
      </c>
      <c r="J543" s="4">
        <v>50</v>
      </c>
      <c r="K543" s="4" t="str" cm="1">
        <f t="array" ref="K543">_xlfn.IFS(AND(Table156[[#This Row],[Total Amount]]&gt;=1500),"Critical",AND(Table156[[#This Row],[Total Amount]]&gt;=1000),"High",TRUE,"Normal")</f>
        <v>Normal</v>
      </c>
      <c r="L543" s="4" t="str">
        <f>IF(Table156[[#This Row],[Total Amount]]&gt;=1000,"High",(IF(Table156[[#This Row],[Total Amount]]&gt;=500,"Medium","Low")))</f>
        <v>Low</v>
      </c>
      <c r="M543" s="4" t="str" cm="1">
        <f t="array" ref="M54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43" s="4" cm="1">
        <f t="array" ref="N54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43" s="4">
        <f>Table156[[#This Row],[Total Amount]]-Table156[[#This Row],[Discount Amount]]</f>
        <v>50</v>
      </c>
      <c r="P543" s="4" t="str">
        <f>IF(Table156[[#This Row],[Total Amount]]&gt;=1000,"High","Low")</f>
        <v>Low</v>
      </c>
      <c r="Q543" s="4" t="str" cm="1">
        <f t="array" ref="Q543">_xlfn.IFS(AND(Table156[[#This Row],[Total Amount]]&gt;=1500,"Critical"),AND(Table156[[#This Row],[Total Amount]]&gt;=1000,"High"),TRUE,"Normal")</f>
        <v>Normal</v>
      </c>
      <c r="R543" s="4">
        <f>COUNTIF(Table156[Gender],"Male")</f>
        <v>490</v>
      </c>
    </row>
    <row r="544" spans="1:18" x14ac:dyDescent="0.35">
      <c r="A544" s="4">
        <v>543</v>
      </c>
      <c r="B544" s="5">
        <v>45133</v>
      </c>
      <c r="C544" s="4" t="s">
        <v>556</v>
      </c>
      <c r="D544" s="4" t="s">
        <v>10</v>
      </c>
      <c r="E544" s="4">
        <v>49</v>
      </c>
      <c r="F544" s="4" t="str">
        <f>IF(Table156[[#This Row],[Age]]&lt;=19,"Teenager",IF(Table156[[#This Row],[Age]]&lt;=40,"Median","Old"))</f>
        <v>Old</v>
      </c>
      <c r="G544" s="4" t="s">
        <v>11</v>
      </c>
      <c r="H544" s="4">
        <v>2</v>
      </c>
      <c r="I544" s="4">
        <v>300</v>
      </c>
      <c r="J544" s="4">
        <v>600</v>
      </c>
      <c r="K544" s="4" t="str" cm="1">
        <f t="array" ref="K544">_xlfn.IFS(AND(Table156[[#This Row],[Total Amount]]&gt;=1500),"Critical",AND(Table156[[#This Row],[Total Amount]]&gt;=1000),"High",TRUE,"Normal")</f>
        <v>Normal</v>
      </c>
      <c r="L544" s="4" t="str">
        <f>IF(Table156[[#This Row],[Total Amount]]&gt;=1000,"High",(IF(Table156[[#This Row],[Total Amount]]&gt;=500,"Medium","Low")))</f>
        <v>Medium</v>
      </c>
      <c r="M544" s="4" t="str" cm="1">
        <f t="array" ref="M54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44" s="4" cm="1">
        <f t="array" ref="N54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544" s="4">
        <f>Table156[[#This Row],[Total Amount]]-Table156[[#This Row],[Discount Amount]]</f>
        <v>540</v>
      </c>
      <c r="P544" s="4" t="str">
        <f>IF(Table156[[#This Row],[Total Amount]]&gt;=1000,"High","Low")</f>
        <v>Low</v>
      </c>
      <c r="Q544" s="4" t="str" cm="1">
        <f t="array" ref="Q544">_xlfn.IFS(AND(Table156[[#This Row],[Total Amount]]&gt;=1500,"Critical"),AND(Table156[[#This Row],[Total Amount]]&gt;=1000,"High"),TRUE,"Normal")</f>
        <v>Normal</v>
      </c>
      <c r="R544" s="4">
        <f>COUNTIF(Table156[Gender],"Male")</f>
        <v>490</v>
      </c>
    </row>
    <row r="545" spans="1:18" x14ac:dyDescent="0.35">
      <c r="A545" s="4">
        <v>544</v>
      </c>
      <c r="B545" s="5">
        <v>45283</v>
      </c>
      <c r="C545" s="4" t="s">
        <v>557</v>
      </c>
      <c r="D545" s="4" t="s">
        <v>13</v>
      </c>
      <c r="E545" s="4">
        <v>27</v>
      </c>
      <c r="F545" s="4" t="str">
        <f>IF(Table156[[#This Row],[Age]]&lt;=19,"Teenager",IF(Table156[[#This Row],[Age]]&lt;=40,"Median","Old"))</f>
        <v>Median</v>
      </c>
      <c r="G545" s="4" t="s">
        <v>16</v>
      </c>
      <c r="H545" s="4">
        <v>1</v>
      </c>
      <c r="I545" s="4">
        <v>25</v>
      </c>
      <c r="J545" s="4">
        <v>25</v>
      </c>
      <c r="K545" s="4" t="str" cm="1">
        <f t="array" ref="K545">_xlfn.IFS(AND(Table156[[#This Row],[Total Amount]]&gt;=1500),"Critical",AND(Table156[[#This Row],[Total Amount]]&gt;=1000),"High",TRUE,"Normal")</f>
        <v>Normal</v>
      </c>
      <c r="L545" s="4" t="str">
        <f>IF(Table156[[#This Row],[Total Amount]]&gt;=1000,"High",(IF(Table156[[#This Row],[Total Amount]]&gt;=500,"Medium","Low")))</f>
        <v>Low</v>
      </c>
      <c r="M545" s="4" t="str" cm="1">
        <f t="array" ref="M54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45" s="4" cm="1">
        <f t="array" ref="N54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3.75</v>
      </c>
      <c r="O545" s="4">
        <f>Table156[[#This Row],[Total Amount]]-Table156[[#This Row],[Discount Amount]]</f>
        <v>21.25</v>
      </c>
      <c r="P545" s="4" t="str">
        <f>IF(Table156[[#This Row],[Total Amount]]&gt;=1000,"High","Low")</f>
        <v>Low</v>
      </c>
      <c r="Q545" s="4" t="str" cm="1">
        <f t="array" ref="Q545">_xlfn.IFS(AND(Table156[[#This Row],[Total Amount]]&gt;=1500,"Critical"),AND(Table156[[#This Row],[Total Amount]]&gt;=1000,"High"),TRUE,"Normal")</f>
        <v>Normal</v>
      </c>
      <c r="R545" s="4">
        <f>COUNTIF(Table156[Gender],"Male")</f>
        <v>490</v>
      </c>
    </row>
    <row r="546" spans="1:18" x14ac:dyDescent="0.35">
      <c r="A546" s="4">
        <v>545</v>
      </c>
      <c r="B546" s="5">
        <v>45078</v>
      </c>
      <c r="C546" s="4" t="s">
        <v>558</v>
      </c>
      <c r="D546" s="4" t="s">
        <v>10</v>
      </c>
      <c r="E546" s="4">
        <v>27</v>
      </c>
      <c r="F546" s="4" t="str">
        <f>IF(Table156[[#This Row],[Age]]&lt;=19,"Teenager",IF(Table156[[#This Row],[Age]]&lt;=40,"Median","Old"))</f>
        <v>Median</v>
      </c>
      <c r="G546" s="4" t="s">
        <v>14</v>
      </c>
      <c r="H546" s="4">
        <v>2</v>
      </c>
      <c r="I546" s="4">
        <v>25</v>
      </c>
      <c r="J546" s="4">
        <v>50</v>
      </c>
      <c r="K546" s="4" t="str" cm="1">
        <f t="array" ref="K546">_xlfn.IFS(AND(Table156[[#This Row],[Total Amount]]&gt;=1500),"Critical",AND(Table156[[#This Row],[Total Amount]]&gt;=1000),"High",TRUE,"Normal")</f>
        <v>Normal</v>
      </c>
      <c r="L546" s="4" t="str">
        <f>IF(Table156[[#This Row],[Total Amount]]&gt;=1000,"High",(IF(Table156[[#This Row],[Total Amount]]&gt;=500,"Medium","Low")))</f>
        <v>Low</v>
      </c>
      <c r="M546" s="4" t="str" cm="1">
        <f t="array" ref="M54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46" s="4" cm="1">
        <f t="array" ref="N54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546" s="4">
        <f>Table156[[#This Row],[Total Amount]]-Table156[[#This Row],[Discount Amount]]</f>
        <v>42.5</v>
      </c>
      <c r="P546" s="4" t="str">
        <f>IF(Table156[[#This Row],[Total Amount]]&gt;=1000,"High","Low")</f>
        <v>Low</v>
      </c>
      <c r="Q546" s="4" t="str" cm="1">
        <f t="array" ref="Q546">_xlfn.IFS(AND(Table156[[#This Row],[Total Amount]]&gt;=1500,"Critical"),AND(Table156[[#This Row],[Total Amount]]&gt;=1000,"High"),TRUE,"Normal")</f>
        <v>Normal</v>
      </c>
      <c r="R546" s="4">
        <f>COUNTIF(Table156[Gender],"Male")</f>
        <v>490</v>
      </c>
    </row>
    <row r="547" spans="1:18" x14ac:dyDescent="0.35">
      <c r="A547" s="4">
        <v>546</v>
      </c>
      <c r="B547" s="5">
        <v>45210</v>
      </c>
      <c r="C547" s="4" t="s">
        <v>559</v>
      </c>
      <c r="D547" s="4" t="s">
        <v>13</v>
      </c>
      <c r="E547" s="4">
        <v>36</v>
      </c>
      <c r="F547" s="4" t="str">
        <f>IF(Table156[[#This Row],[Age]]&lt;=19,"Teenager",IF(Table156[[#This Row],[Age]]&lt;=40,"Median","Old"))</f>
        <v>Median</v>
      </c>
      <c r="G547" s="4" t="s">
        <v>16</v>
      </c>
      <c r="H547" s="4">
        <v>4</v>
      </c>
      <c r="I547" s="4">
        <v>50</v>
      </c>
      <c r="J547" s="4">
        <v>200</v>
      </c>
      <c r="K547" s="4" t="str" cm="1">
        <f t="array" ref="K547">_xlfn.IFS(AND(Table156[[#This Row],[Total Amount]]&gt;=1500),"Critical",AND(Table156[[#This Row],[Total Amount]]&gt;=1000),"High",TRUE,"Normal")</f>
        <v>Normal</v>
      </c>
      <c r="L547" s="4" t="str">
        <f>IF(Table156[[#This Row],[Total Amount]]&gt;=1000,"High",(IF(Table156[[#This Row],[Total Amount]]&gt;=500,"Medium","Low")))</f>
        <v>Low</v>
      </c>
      <c r="M547" s="4" t="str" cm="1">
        <f t="array" ref="M54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47" s="4" cm="1">
        <f t="array" ref="N54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547" s="4">
        <f>Table156[[#This Row],[Total Amount]]-Table156[[#This Row],[Discount Amount]]</f>
        <v>160</v>
      </c>
      <c r="P547" s="4" t="str">
        <f>IF(Table156[[#This Row],[Total Amount]]&gt;=1000,"High","Low")</f>
        <v>Low</v>
      </c>
      <c r="Q547" s="4" t="str" cm="1">
        <f t="array" ref="Q547">_xlfn.IFS(AND(Table156[[#This Row],[Total Amount]]&gt;=1500,"Critical"),AND(Table156[[#This Row],[Total Amount]]&gt;=1000,"High"),TRUE,"Normal")</f>
        <v>Normal</v>
      </c>
      <c r="R547" s="4">
        <f>COUNTIF(Table156[Gender],"Male")</f>
        <v>490</v>
      </c>
    </row>
    <row r="548" spans="1:18" x14ac:dyDescent="0.35">
      <c r="A548" s="4">
        <v>547</v>
      </c>
      <c r="B548" s="5">
        <v>44992</v>
      </c>
      <c r="C548" s="4" t="s">
        <v>560</v>
      </c>
      <c r="D548" s="4" t="s">
        <v>10</v>
      </c>
      <c r="E548" s="4">
        <v>63</v>
      </c>
      <c r="F548" s="4" t="str">
        <f>IF(Table156[[#This Row],[Age]]&lt;=19,"Teenager",IF(Table156[[#This Row],[Age]]&lt;=40,"Median","Old"))</f>
        <v>Old</v>
      </c>
      <c r="G548" s="4" t="s">
        <v>14</v>
      </c>
      <c r="H548" s="4">
        <v>4</v>
      </c>
      <c r="I548" s="4">
        <v>500</v>
      </c>
      <c r="J548" s="4">
        <v>2000</v>
      </c>
      <c r="K548" s="4" t="str" cm="1">
        <f t="array" ref="K548">_xlfn.IFS(AND(Table156[[#This Row],[Total Amount]]&gt;=1500),"Critical",AND(Table156[[#This Row],[Total Amount]]&gt;=1000),"High",TRUE,"Normal")</f>
        <v>Critical</v>
      </c>
      <c r="L548" s="4" t="str">
        <f>IF(Table156[[#This Row],[Total Amount]]&gt;=1000,"High",(IF(Table156[[#This Row],[Total Amount]]&gt;=500,"Medium","Low")))</f>
        <v>High</v>
      </c>
      <c r="M548" s="4" t="str" cm="1">
        <f t="array" ref="M54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48" s="4" cm="1">
        <f t="array" ref="N54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548" s="4">
        <f>Table156[[#This Row],[Total Amount]]-Table156[[#This Row],[Discount Amount]]</f>
        <v>1800</v>
      </c>
      <c r="P548" s="4" t="str">
        <f>IF(Table156[[#This Row],[Total Amount]]&gt;=1000,"High","Low")</f>
        <v>High</v>
      </c>
      <c r="Q548" s="4" t="b" cm="1">
        <f t="array" ref="Q548">_xlfn.IFS(AND(Table156[[#This Row],[Total Amount]]&gt;=1500,"Critical"),AND(Table156[[#This Row],[Total Amount]]&gt;=1000,"High"),TRUE,"Normal")</f>
        <v>1</v>
      </c>
      <c r="R548" s="4">
        <f>COUNTIF(Table156[Gender],"Male")</f>
        <v>490</v>
      </c>
    </row>
    <row r="549" spans="1:18" x14ac:dyDescent="0.35">
      <c r="A549" s="4">
        <v>548</v>
      </c>
      <c r="B549" s="5">
        <v>45025</v>
      </c>
      <c r="C549" s="4" t="s">
        <v>561</v>
      </c>
      <c r="D549" s="4" t="s">
        <v>13</v>
      </c>
      <c r="E549" s="4">
        <v>51</v>
      </c>
      <c r="F549" s="4" t="str">
        <f>IF(Table156[[#This Row],[Age]]&lt;=19,"Teenager",IF(Table156[[#This Row],[Age]]&lt;=40,"Median","Old"))</f>
        <v>Old</v>
      </c>
      <c r="G549" s="4" t="s">
        <v>14</v>
      </c>
      <c r="H549" s="4">
        <v>2</v>
      </c>
      <c r="I549" s="4">
        <v>30</v>
      </c>
      <c r="J549" s="4">
        <v>60</v>
      </c>
      <c r="K549" s="4" t="str" cm="1">
        <f t="array" ref="K549">_xlfn.IFS(AND(Table156[[#This Row],[Total Amount]]&gt;=1500),"Critical",AND(Table156[[#This Row],[Total Amount]]&gt;=1000),"High",TRUE,"Normal")</f>
        <v>Normal</v>
      </c>
      <c r="L549" s="4" t="str">
        <f>IF(Table156[[#This Row],[Total Amount]]&gt;=1000,"High",(IF(Table156[[#This Row],[Total Amount]]&gt;=500,"Medium","Low")))</f>
        <v>Low</v>
      </c>
      <c r="M549" s="4" t="str" cm="1">
        <f t="array" ref="M54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49" s="4" cm="1">
        <f t="array" ref="N54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549" s="4">
        <f>Table156[[#This Row],[Total Amount]]-Table156[[#This Row],[Discount Amount]]</f>
        <v>48</v>
      </c>
      <c r="P549" s="4" t="str">
        <f>IF(Table156[[#This Row],[Total Amount]]&gt;=1000,"High","Low")</f>
        <v>Low</v>
      </c>
      <c r="Q549" s="4" t="str" cm="1">
        <f t="array" ref="Q549">_xlfn.IFS(AND(Table156[[#This Row],[Total Amount]]&gt;=1500,"Critical"),AND(Table156[[#This Row],[Total Amount]]&gt;=1000,"High"),TRUE,"Normal")</f>
        <v>Normal</v>
      </c>
      <c r="R549" s="4">
        <f>COUNTIF(Table156[Gender],"Male")</f>
        <v>490</v>
      </c>
    </row>
    <row r="550" spans="1:18" x14ac:dyDescent="0.35">
      <c r="A550" s="4">
        <v>549</v>
      </c>
      <c r="B550" s="5">
        <v>45142</v>
      </c>
      <c r="C550" s="4" t="s">
        <v>562</v>
      </c>
      <c r="D550" s="4" t="s">
        <v>13</v>
      </c>
      <c r="E550" s="4">
        <v>50</v>
      </c>
      <c r="F550" s="4" t="str">
        <f>IF(Table156[[#This Row],[Age]]&lt;=19,"Teenager",IF(Table156[[#This Row],[Age]]&lt;=40,"Median","Old"))</f>
        <v>Old</v>
      </c>
      <c r="G550" s="4" t="s">
        <v>11</v>
      </c>
      <c r="H550" s="4">
        <v>2</v>
      </c>
      <c r="I550" s="4">
        <v>50</v>
      </c>
      <c r="J550" s="4">
        <v>100</v>
      </c>
      <c r="K550" s="4" t="str" cm="1">
        <f t="array" ref="K550">_xlfn.IFS(AND(Table156[[#This Row],[Total Amount]]&gt;=1500),"Critical",AND(Table156[[#This Row],[Total Amount]]&gt;=1000),"High",TRUE,"Normal")</f>
        <v>Normal</v>
      </c>
      <c r="L550" s="4" t="str">
        <f>IF(Table156[[#This Row],[Total Amount]]&gt;=1000,"High",(IF(Table156[[#This Row],[Total Amount]]&gt;=500,"Medium","Low")))</f>
        <v>Low</v>
      </c>
      <c r="M550" s="4" t="str" cm="1">
        <f t="array" ref="M55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50" s="4" cm="1">
        <f t="array" ref="N55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550" s="4">
        <f>Table156[[#This Row],[Total Amount]]-Table156[[#This Row],[Discount Amount]]</f>
        <v>80</v>
      </c>
      <c r="P550" s="4" t="str">
        <f>IF(Table156[[#This Row],[Total Amount]]&gt;=1000,"High","Low")</f>
        <v>Low</v>
      </c>
      <c r="Q550" s="4" t="str" cm="1">
        <f t="array" ref="Q550">_xlfn.IFS(AND(Table156[[#This Row],[Total Amount]]&gt;=1500,"Critical"),AND(Table156[[#This Row],[Total Amount]]&gt;=1000,"High"),TRUE,"Normal")</f>
        <v>Normal</v>
      </c>
      <c r="R550" s="4">
        <f>COUNTIF(Table156[Gender],"Male")</f>
        <v>490</v>
      </c>
    </row>
    <row r="551" spans="1:18" x14ac:dyDescent="0.35">
      <c r="A551" s="4">
        <v>550</v>
      </c>
      <c r="B551" s="5">
        <v>45267</v>
      </c>
      <c r="C551" s="4" t="s">
        <v>563</v>
      </c>
      <c r="D551" s="4" t="s">
        <v>10</v>
      </c>
      <c r="E551" s="4">
        <v>40</v>
      </c>
      <c r="F551" s="4" t="str">
        <f>IF(Table156[[#This Row],[Age]]&lt;=19,"Teenager",IF(Table156[[#This Row],[Age]]&lt;=40,"Median","Old"))</f>
        <v>Median</v>
      </c>
      <c r="G551" s="4" t="s">
        <v>14</v>
      </c>
      <c r="H551" s="4">
        <v>3</v>
      </c>
      <c r="I551" s="4">
        <v>300</v>
      </c>
      <c r="J551" s="4">
        <v>900</v>
      </c>
      <c r="K551" s="4" t="str" cm="1">
        <f t="array" ref="K551">_xlfn.IFS(AND(Table156[[#This Row],[Total Amount]]&gt;=1500),"Critical",AND(Table156[[#This Row],[Total Amount]]&gt;=1000),"High",TRUE,"Normal")</f>
        <v>Normal</v>
      </c>
      <c r="L551" s="4" t="str">
        <f>IF(Table156[[#This Row],[Total Amount]]&gt;=1000,"High",(IF(Table156[[#This Row],[Total Amount]]&gt;=500,"Medium","Low")))</f>
        <v>Medium</v>
      </c>
      <c r="M551" s="4" t="str" cm="1">
        <f t="array" ref="M55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51" s="4" cm="1">
        <f t="array" ref="N55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551" s="4">
        <f>Table156[[#This Row],[Total Amount]]-Table156[[#This Row],[Discount Amount]]</f>
        <v>810</v>
      </c>
      <c r="P551" s="4" t="str">
        <f>IF(Table156[[#This Row],[Total Amount]]&gt;=1000,"High","Low")</f>
        <v>Low</v>
      </c>
      <c r="Q551" s="4" t="str" cm="1">
        <f t="array" ref="Q551">_xlfn.IFS(AND(Table156[[#This Row],[Total Amount]]&gt;=1500,"Critical"),AND(Table156[[#This Row],[Total Amount]]&gt;=1000,"High"),TRUE,"Normal")</f>
        <v>Normal</v>
      </c>
      <c r="R551" s="4">
        <f>COUNTIF(Table156[Gender],"Male")</f>
        <v>490</v>
      </c>
    </row>
    <row r="552" spans="1:18" x14ac:dyDescent="0.35">
      <c r="A552" s="4">
        <v>551</v>
      </c>
      <c r="B552" s="5">
        <v>45121</v>
      </c>
      <c r="C552" s="4" t="s">
        <v>564</v>
      </c>
      <c r="D552" s="4" t="s">
        <v>10</v>
      </c>
      <c r="E552" s="4">
        <v>45</v>
      </c>
      <c r="F552" s="4" t="str">
        <f>IF(Table156[[#This Row],[Age]]&lt;=19,"Teenager",IF(Table156[[#This Row],[Age]]&lt;=40,"Median","Old"))</f>
        <v>Old</v>
      </c>
      <c r="G552" s="4" t="s">
        <v>16</v>
      </c>
      <c r="H552" s="4">
        <v>3</v>
      </c>
      <c r="I552" s="4">
        <v>300</v>
      </c>
      <c r="J552" s="4">
        <v>900</v>
      </c>
      <c r="K552" s="4" t="str" cm="1">
        <f t="array" ref="K552">_xlfn.IFS(AND(Table156[[#This Row],[Total Amount]]&gt;=1500),"Critical",AND(Table156[[#This Row],[Total Amount]]&gt;=1000),"High",TRUE,"Normal")</f>
        <v>Normal</v>
      </c>
      <c r="L552" s="4" t="str">
        <f>IF(Table156[[#This Row],[Total Amount]]&gt;=1000,"High",(IF(Table156[[#This Row],[Total Amount]]&gt;=500,"Medium","Low")))</f>
        <v>Medium</v>
      </c>
      <c r="M552" s="4" t="str" cm="1">
        <f t="array" ref="M55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52" s="4" cm="1">
        <f t="array" ref="N55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552" s="4">
        <f>Table156[[#This Row],[Total Amount]]-Table156[[#This Row],[Discount Amount]]</f>
        <v>810</v>
      </c>
      <c r="P552" s="4" t="str">
        <f>IF(Table156[[#This Row],[Total Amount]]&gt;=1000,"High","Low")</f>
        <v>Low</v>
      </c>
      <c r="Q552" s="4" t="str" cm="1">
        <f t="array" ref="Q552">_xlfn.IFS(AND(Table156[[#This Row],[Total Amount]]&gt;=1500,"Critical"),AND(Table156[[#This Row],[Total Amount]]&gt;=1000,"High"),TRUE,"Normal")</f>
        <v>Normal</v>
      </c>
      <c r="R552" s="4">
        <f>COUNTIF(Table156[Gender],"Male")</f>
        <v>490</v>
      </c>
    </row>
    <row r="553" spans="1:18" x14ac:dyDescent="0.35">
      <c r="A553" s="4">
        <v>552</v>
      </c>
      <c r="B553" s="5">
        <v>45273</v>
      </c>
      <c r="C553" s="4" t="s">
        <v>565</v>
      </c>
      <c r="D553" s="4" t="s">
        <v>13</v>
      </c>
      <c r="E553" s="4">
        <v>49</v>
      </c>
      <c r="F553" s="4" t="str">
        <f>IF(Table156[[#This Row],[Age]]&lt;=19,"Teenager",IF(Table156[[#This Row],[Age]]&lt;=40,"Median","Old"))</f>
        <v>Old</v>
      </c>
      <c r="G553" s="4" t="s">
        <v>16</v>
      </c>
      <c r="H553" s="4">
        <v>3</v>
      </c>
      <c r="I553" s="4">
        <v>25</v>
      </c>
      <c r="J553" s="4">
        <v>75</v>
      </c>
      <c r="K553" s="4" t="str" cm="1">
        <f t="array" ref="K553">_xlfn.IFS(AND(Table156[[#This Row],[Total Amount]]&gt;=1500),"Critical",AND(Table156[[#This Row],[Total Amount]]&gt;=1000),"High",TRUE,"Normal")</f>
        <v>Normal</v>
      </c>
      <c r="L553" s="4" t="str">
        <f>IF(Table156[[#This Row],[Total Amount]]&gt;=1000,"High",(IF(Table156[[#This Row],[Total Amount]]&gt;=500,"Medium","Low")))</f>
        <v>Low</v>
      </c>
      <c r="M553" s="4" t="str" cm="1">
        <f t="array" ref="M55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53" s="4" cm="1">
        <f t="array" ref="N55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553" s="4">
        <f>Table156[[#This Row],[Total Amount]]-Table156[[#This Row],[Discount Amount]]</f>
        <v>60</v>
      </c>
      <c r="P553" s="4" t="str">
        <f>IF(Table156[[#This Row],[Total Amount]]&gt;=1000,"High","Low")</f>
        <v>Low</v>
      </c>
      <c r="Q553" s="4" t="str" cm="1">
        <f t="array" ref="Q553">_xlfn.IFS(AND(Table156[[#This Row],[Total Amount]]&gt;=1500,"Critical"),AND(Table156[[#This Row],[Total Amount]]&gt;=1000,"High"),TRUE,"Normal")</f>
        <v>Normal</v>
      </c>
      <c r="R553" s="4">
        <f>COUNTIF(Table156[Gender],"Male")</f>
        <v>490</v>
      </c>
    </row>
    <row r="554" spans="1:18" x14ac:dyDescent="0.35">
      <c r="A554" s="4">
        <v>553</v>
      </c>
      <c r="B554" s="5">
        <v>45016</v>
      </c>
      <c r="C554" s="4" t="s">
        <v>566</v>
      </c>
      <c r="D554" s="4" t="s">
        <v>10</v>
      </c>
      <c r="E554" s="4">
        <v>24</v>
      </c>
      <c r="F554" s="4" t="str">
        <f>IF(Table156[[#This Row],[Age]]&lt;=19,"Teenager",IF(Table156[[#This Row],[Age]]&lt;=40,"Median","Old"))</f>
        <v>Median</v>
      </c>
      <c r="G554" s="4" t="s">
        <v>14</v>
      </c>
      <c r="H554" s="4">
        <v>4</v>
      </c>
      <c r="I554" s="4">
        <v>300</v>
      </c>
      <c r="J554" s="4">
        <v>1200</v>
      </c>
      <c r="K554" s="4" t="str" cm="1">
        <f t="array" ref="K554">_xlfn.IFS(AND(Table156[[#This Row],[Total Amount]]&gt;=1500),"Critical",AND(Table156[[#This Row],[Total Amount]]&gt;=1000),"High",TRUE,"Normal")</f>
        <v>High</v>
      </c>
      <c r="L554" s="4" t="str">
        <f>IF(Table156[[#This Row],[Total Amount]]&gt;=1000,"High",(IF(Table156[[#This Row],[Total Amount]]&gt;=500,"Medium","Low")))</f>
        <v>High</v>
      </c>
      <c r="M554" s="4" t="str" cm="1">
        <f t="array" ref="M55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54" s="4" cm="1">
        <f t="array" ref="N55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54" s="4">
        <f>Table156[[#This Row],[Total Amount]]-Table156[[#This Row],[Discount Amount]]</f>
        <v>1200</v>
      </c>
      <c r="P554" s="4" t="str">
        <f>IF(Table156[[#This Row],[Total Amount]]&gt;=1000,"High","Low")</f>
        <v>High</v>
      </c>
      <c r="Q554" s="4" t="str" cm="1">
        <f t="array" ref="Q554">_xlfn.IFS(AND(Table156[[#This Row],[Total Amount]]&gt;=1500,"Critical"),AND(Table156[[#This Row],[Total Amount]]&gt;=1000,"High"),TRUE,"Normal")</f>
        <v>Normal</v>
      </c>
      <c r="R554" s="4">
        <f>COUNTIF(Table156[Gender],"Male")</f>
        <v>490</v>
      </c>
    </row>
    <row r="555" spans="1:18" x14ac:dyDescent="0.35">
      <c r="A555" s="4">
        <v>554</v>
      </c>
      <c r="B555" s="5">
        <v>45242</v>
      </c>
      <c r="C555" s="4" t="s">
        <v>567</v>
      </c>
      <c r="D555" s="4" t="s">
        <v>13</v>
      </c>
      <c r="E555" s="4">
        <v>46</v>
      </c>
      <c r="F555" s="4" t="str">
        <f>IF(Table156[[#This Row],[Age]]&lt;=19,"Teenager",IF(Table156[[#This Row],[Age]]&lt;=40,"Median","Old"))</f>
        <v>Old</v>
      </c>
      <c r="G555" s="4" t="s">
        <v>11</v>
      </c>
      <c r="H555" s="4">
        <v>3</v>
      </c>
      <c r="I555" s="4">
        <v>50</v>
      </c>
      <c r="J555" s="4">
        <v>150</v>
      </c>
      <c r="K555" s="4" t="str" cm="1">
        <f t="array" ref="K555">_xlfn.IFS(AND(Table156[[#This Row],[Total Amount]]&gt;=1500),"Critical",AND(Table156[[#This Row],[Total Amount]]&gt;=1000),"High",TRUE,"Normal")</f>
        <v>Normal</v>
      </c>
      <c r="L555" s="4" t="str">
        <f>IF(Table156[[#This Row],[Total Amount]]&gt;=1000,"High",(IF(Table156[[#This Row],[Total Amount]]&gt;=500,"Medium","Low")))</f>
        <v>Low</v>
      </c>
      <c r="M555" s="4" t="str" cm="1">
        <f t="array" ref="M55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55" s="4" cm="1">
        <f t="array" ref="N55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555" s="4">
        <f>Table156[[#This Row],[Total Amount]]-Table156[[#This Row],[Discount Amount]]</f>
        <v>120</v>
      </c>
      <c r="P555" s="4" t="str">
        <f>IF(Table156[[#This Row],[Total Amount]]&gt;=1000,"High","Low")</f>
        <v>Low</v>
      </c>
      <c r="Q555" s="4" t="str" cm="1">
        <f t="array" ref="Q555">_xlfn.IFS(AND(Table156[[#This Row],[Total Amount]]&gt;=1500,"Critical"),AND(Table156[[#This Row],[Total Amount]]&gt;=1000,"High"),TRUE,"Normal")</f>
        <v>Normal</v>
      </c>
      <c r="R555" s="4">
        <f>COUNTIF(Table156[Gender],"Male")</f>
        <v>490</v>
      </c>
    </row>
    <row r="556" spans="1:18" x14ac:dyDescent="0.35">
      <c r="A556" s="4">
        <v>555</v>
      </c>
      <c r="B556" s="5">
        <v>45218</v>
      </c>
      <c r="C556" s="4" t="s">
        <v>568</v>
      </c>
      <c r="D556" s="4" t="s">
        <v>10</v>
      </c>
      <c r="E556" s="4">
        <v>25</v>
      </c>
      <c r="F556" s="4" t="str">
        <f>IF(Table156[[#This Row],[Age]]&lt;=19,"Teenager",IF(Table156[[#This Row],[Age]]&lt;=40,"Median","Old"))</f>
        <v>Median</v>
      </c>
      <c r="G556" s="4" t="s">
        <v>11</v>
      </c>
      <c r="H556" s="4">
        <v>1</v>
      </c>
      <c r="I556" s="4">
        <v>300</v>
      </c>
      <c r="J556" s="4">
        <v>300</v>
      </c>
      <c r="K556" s="4" t="str" cm="1">
        <f t="array" ref="K556">_xlfn.IFS(AND(Table156[[#This Row],[Total Amount]]&gt;=1500),"Critical",AND(Table156[[#This Row],[Total Amount]]&gt;=1000),"High",TRUE,"Normal")</f>
        <v>Normal</v>
      </c>
      <c r="L556" s="4" t="str">
        <f>IF(Table156[[#This Row],[Total Amount]]&gt;=1000,"High",(IF(Table156[[#This Row],[Total Amount]]&gt;=500,"Medium","Low")))</f>
        <v>Low</v>
      </c>
      <c r="M556" s="4" t="str" cm="1">
        <f t="array" ref="M55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56" s="4" cm="1">
        <f t="array" ref="N55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45</v>
      </c>
      <c r="O556" s="4">
        <f>Table156[[#This Row],[Total Amount]]-Table156[[#This Row],[Discount Amount]]</f>
        <v>255</v>
      </c>
      <c r="P556" s="4" t="str">
        <f>IF(Table156[[#This Row],[Total Amount]]&gt;=1000,"High","Low")</f>
        <v>Low</v>
      </c>
      <c r="Q556" s="4" t="str" cm="1">
        <f t="array" ref="Q556">_xlfn.IFS(AND(Table156[[#This Row],[Total Amount]]&gt;=1500,"Critical"),AND(Table156[[#This Row],[Total Amount]]&gt;=1000,"High"),TRUE,"Normal")</f>
        <v>Normal</v>
      </c>
      <c r="R556" s="4">
        <f>COUNTIF(Table156[Gender],"Male")</f>
        <v>490</v>
      </c>
    </row>
    <row r="557" spans="1:18" x14ac:dyDescent="0.35">
      <c r="A557" s="4">
        <v>556</v>
      </c>
      <c r="B557" s="5">
        <v>45081</v>
      </c>
      <c r="C557" s="4" t="s">
        <v>569</v>
      </c>
      <c r="D557" s="4" t="s">
        <v>13</v>
      </c>
      <c r="E557" s="4">
        <v>18</v>
      </c>
      <c r="F557" s="4" t="str">
        <f>IF(Table156[[#This Row],[Age]]&lt;=19,"Teenager",IF(Table156[[#This Row],[Age]]&lt;=40,"Median","Old"))</f>
        <v>Teenager</v>
      </c>
      <c r="G557" s="4" t="s">
        <v>16</v>
      </c>
      <c r="H557" s="4">
        <v>1</v>
      </c>
      <c r="I557" s="4">
        <v>50</v>
      </c>
      <c r="J557" s="4">
        <v>50</v>
      </c>
      <c r="K557" s="4" t="str" cm="1">
        <f t="array" ref="K557">_xlfn.IFS(AND(Table156[[#This Row],[Total Amount]]&gt;=1500),"Critical",AND(Table156[[#This Row],[Total Amount]]&gt;=1000),"High",TRUE,"Normal")</f>
        <v>Normal</v>
      </c>
      <c r="L557" s="4" t="str">
        <f>IF(Table156[[#This Row],[Total Amount]]&gt;=1000,"High",(IF(Table156[[#This Row],[Total Amount]]&gt;=500,"Medium","Low")))</f>
        <v>Low</v>
      </c>
      <c r="M557" s="4" t="str" cm="1">
        <f t="array" ref="M55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57" s="4" cm="1">
        <f t="array" ref="N55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57" s="4">
        <f>Table156[[#This Row],[Total Amount]]-Table156[[#This Row],[Discount Amount]]</f>
        <v>50</v>
      </c>
      <c r="P557" s="4" t="str">
        <f>IF(Table156[[#This Row],[Total Amount]]&gt;=1000,"High","Low")</f>
        <v>Low</v>
      </c>
      <c r="Q557" s="4" t="str" cm="1">
        <f t="array" ref="Q557">_xlfn.IFS(AND(Table156[[#This Row],[Total Amount]]&gt;=1500,"Critical"),AND(Table156[[#This Row],[Total Amount]]&gt;=1000,"High"),TRUE,"Normal")</f>
        <v>Normal</v>
      </c>
      <c r="R557" s="4">
        <f>COUNTIF(Table156[Gender],"Male")</f>
        <v>490</v>
      </c>
    </row>
    <row r="558" spans="1:18" x14ac:dyDescent="0.35">
      <c r="A558" s="4">
        <v>557</v>
      </c>
      <c r="B558" s="5">
        <v>45134</v>
      </c>
      <c r="C558" s="4" t="s">
        <v>570</v>
      </c>
      <c r="D558" s="4" t="s">
        <v>13</v>
      </c>
      <c r="E558" s="4">
        <v>20</v>
      </c>
      <c r="F558" s="4" t="str">
        <f>IF(Table156[[#This Row],[Age]]&lt;=19,"Teenager",IF(Table156[[#This Row],[Age]]&lt;=40,"Median","Old"))</f>
        <v>Median</v>
      </c>
      <c r="G558" s="4" t="s">
        <v>11</v>
      </c>
      <c r="H558" s="4">
        <v>3</v>
      </c>
      <c r="I558" s="4">
        <v>30</v>
      </c>
      <c r="J558" s="4">
        <v>90</v>
      </c>
      <c r="K558" s="4" t="str" cm="1">
        <f t="array" ref="K558">_xlfn.IFS(AND(Table156[[#This Row],[Total Amount]]&gt;=1500),"Critical",AND(Table156[[#This Row],[Total Amount]]&gt;=1000),"High",TRUE,"Normal")</f>
        <v>Normal</v>
      </c>
      <c r="L558" s="4" t="str">
        <f>IF(Table156[[#This Row],[Total Amount]]&gt;=1000,"High",(IF(Table156[[#This Row],[Total Amount]]&gt;=500,"Medium","Low")))</f>
        <v>Low</v>
      </c>
      <c r="M558" s="4" t="str" cm="1">
        <f t="array" ref="M55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58" s="4" cm="1">
        <f t="array" ref="N55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58" s="4">
        <f>Table156[[#This Row],[Total Amount]]-Table156[[#This Row],[Discount Amount]]</f>
        <v>90</v>
      </c>
      <c r="P558" s="4" t="str">
        <f>IF(Table156[[#This Row],[Total Amount]]&gt;=1000,"High","Low")</f>
        <v>Low</v>
      </c>
      <c r="Q558" s="4" t="str" cm="1">
        <f t="array" ref="Q558">_xlfn.IFS(AND(Table156[[#This Row],[Total Amount]]&gt;=1500,"Critical"),AND(Table156[[#This Row],[Total Amount]]&gt;=1000,"High"),TRUE,"Normal")</f>
        <v>Normal</v>
      </c>
      <c r="R558" s="4">
        <f>COUNTIF(Table156[Gender],"Male")</f>
        <v>490</v>
      </c>
    </row>
    <row r="559" spans="1:18" x14ac:dyDescent="0.35">
      <c r="A559" s="4">
        <v>558</v>
      </c>
      <c r="B559" s="5">
        <v>45207</v>
      </c>
      <c r="C559" s="4" t="s">
        <v>571</v>
      </c>
      <c r="D559" s="4" t="s">
        <v>13</v>
      </c>
      <c r="E559" s="4">
        <v>41</v>
      </c>
      <c r="F559" s="4" t="str">
        <f>IF(Table156[[#This Row],[Age]]&lt;=19,"Teenager",IF(Table156[[#This Row],[Age]]&lt;=40,"Median","Old"))</f>
        <v>Old</v>
      </c>
      <c r="G559" s="4" t="s">
        <v>14</v>
      </c>
      <c r="H559" s="4">
        <v>1</v>
      </c>
      <c r="I559" s="4">
        <v>25</v>
      </c>
      <c r="J559" s="4">
        <v>25</v>
      </c>
      <c r="K559" s="4" t="str" cm="1">
        <f t="array" ref="K559">_xlfn.IFS(AND(Table156[[#This Row],[Total Amount]]&gt;=1500),"Critical",AND(Table156[[#This Row],[Total Amount]]&gt;=1000),"High",TRUE,"Normal")</f>
        <v>Normal</v>
      </c>
      <c r="L559" s="4" t="str">
        <f>IF(Table156[[#This Row],[Total Amount]]&gt;=1000,"High",(IF(Table156[[#This Row],[Total Amount]]&gt;=500,"Medium","Low")))</f>
        <v>Low</v>
      </c>
      <c r="M559" s="4" t="str" cm="1">
        <f t="array" ref="M55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59" s="4" cm="1">
        <f t="array" ref="N55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559" s="4">
        <f>Table156[[#This Row],[Total Amount]]-Table156[[#This Row],[Discount Amount]]</f>
        <v>20</v>
      </c>
      <c r="P559" s="4" t="str">
        <f>IF(Table156[[#This Row],[Total Amount]]&gt;=1000,"High","Low")</f>
        <v>Low</v>
      </c>
      <c r="Q559" s="4" t="str" cm="1">
        <f t="array" ref="Q559">_xlfn.IFS(AND(Table156[[#This Row],[Total Amount]]&gt;=1500,"Critical"),AND(Table156[[#This Row],[Total Amount]]&gt;=1000,"High"),TRUE,"Normal")</f>
        <v>Normal</v>
      </c>
      <c r="R559" s="4">
        <f>COUNTIF(Table156[Gender],"Male")</f>
        <v>490</v>
      </c>
    </row>
    <row r="560" spans="1:18" x14ac:dyDescent="0.35">
      <c r="A560" s="4">
        <v>559</v>
      </c>
      <c r="B560" s="5">
        <v>44927</v>
      </c>
      <c r="C560" s="4" t="s">
        <v>572</v>
      </c>
      <c r="D560" s="4" t="s">
        <v>13</v>
      </c>
      <c r="E560" s="4">
        <v>40</v>
      </c>
      <c r="F560" s="4" t="str">
        <f>IF(Table156[[#This Row],[Age]]&lt;=19,"Teenager",IF(Table156[[#This Row],[Age]]&lt;=40,"Median","Old"))</f>
        <v>Median</v>
      </c>
      <c r="G560" s="4" t="s">
        <v>14</v>
      </c>
      <c r="H560" s="4">
        <v>4</v>
      </c>
      <c r="I560" s="4">
        <v>300</v>
      </c>
      <c r="J560" s="4">
        <v>1200</v>
      </c>
      <c r="K560" s="4" t="str" cm="1">
        <f t="array" ref="K560">_xlfn.IFS(AND(Table156[[#This Row],[Total Amount]]&gt;=1500),"Critical",AND(Table156[[#This Row],[Total Amount]]&gt;=1000),"High",TRUE,"Normal")</f>
        <v>High</v>
      </c>
      <c r="L560" s="4" t="str">
        <f>IF(Table156[[#This Row],[Total Amount]]&gt;=1000,"High",(IF(Table156[[#This Row],[Total Amount]]&gt;=500,"Medium","Low")))</f>
        <v>High</v>
      </c>
      <c r="M560" s="4" t="str" cm="1">
        <f t="array" ref="M56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60" s="4" cm="1">
        <f t="array" ref="N56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560" s="4">
        <f>Table156[[#This Row],[Total Amount]]-Table156[[#This Row],[Discount Amount]]</f>
        <v>960</v>
      </c>
      <c r="P560" s="4" t="str">
        <f>IF(Table156[[#This Row],[Total Amount]]&gt;=1000,"High","Low")</f>
        <v>High</v>
      </c>
      <c r="Q560" s="4" t="str" cm="1">
        <f t="array" ref="Q560">_xlfn.IFS(AND(Table156[[#This Row],[Total Amount]]&gt;=1500,"Critical"),AND(Table156[[#This Row],[Total Amount]]&gt;=1000,"High"),TRUE,"Normal")</f>
        <v>Normal</v>
      </c>
      <c r="R560" s="4">
        <f>COUNTIF(Table156[Gender],"Male")</f>
        <v>490</v>
      </c>
    </row>
    <row r="561" spans="1:18" x14ac:dyDescent="0.35">
      <c r="A561" s="4">
        <v>560</v>
      </c>
      <c r="B561" s="5">
        <v>45082</v>
      </c>
      <c r="C561" s="4" t="s">
        <v>573</v>
      </c>
      <c r="D561" s="4" t="s">
        <v>13</v>
      </c>
      <c r="E561" s="4">
        <v>25</v>
      </c>
      <c r="F561" s="4" t="str">
        <f>IF(Table156[[#This Row],[Age]]&lt;=19,"Teenager",IF(Table156[[#This Row],[Age]]&lt;=40,"Median","Old"))</f>
        <v>Median</v>
      </c>
      <c r="G561" s="4" t="s">
        <v>16</v>
      </c>
      <c r="H561" s="4">
        <v>1</v>
      </c>
      <c r="I561" s="4">
        <v>50</v>
      </c>
      <c r="J561" s="4">
        <v>50</v>
      </c>
      <c r="K561" s="4" t="str" cm="1">
        <f t="array" ref="K561">_xlfn.IFS(AND(Table156[[#This Row],[Total Amount]]&gt;=1500),"Critical",AND(Table156[[#This Row],[Total Amount]]&gt;=1000),"High",TRUE,"Normal")</f>
        <v>Normal</v>
      </c>
      <c r="L561" s="4" t="str">
        <f>IF(Table156[[#This Row],[Total Amount]]&gt;=1000,"High",(IF(Table156[[#This Row],[Total Amount]]&gt;=500,"Medium","Low")))</f>
        <v>Low</v>
      </c>
      <c r="M561" s="4" t="str" cm="1">
        <f t="array" ref="M56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61" s="4" cm="1">
        <f t="array" ref="N56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561" s="4">
        <f>Table156[[#This Row],[Total Amount]]-Table156[[#This Row],[Discount Amount]]</f>
        <v>42.5</v>
      </c>
      <c r="P561" s="4" t="str">
        <f>IF(Table156[[#This Row],[Total Amount]]&gt;=1000,"High","Low")</f>
        <v>Low</v>
      </c>
      <c r="Q561" s="4" t="str" cm="1">
        <f t="array" ref="Q561">_xlfn.IFS(AND(Table156[[#This Row],[Total Amount]]&gt;=1500,"Critical"),AND(Table156[[#This Row],[Total Amount]]&gt;=1000,"High"),TRUE,"Normal")</f>
        <v>Normal</v>
      </c>
      <c r="R561" s="4">
        <f>COUNTIF(Table156[Gender],"Male")</f>
        <v>490</v>
      </c>
    </row>
    <row r="562" spans="1:18" x14ac:dyDescent="0.35">
      <c r="A562" s="4">
        <v>561</v>
      </c>
      <c r="B562" s="5">
        <v>45073</v>
      </c>
      <c r="C562" s="4" t="s">
        <v>574</v>
      </c>
      <c r="D562" s="4" t="s">
        <v>13</v>
      </c>
      <c r="E562" s="4">
        <v>64</v>
      </c>
      <c r="F562" s="4" t="str">
        <f>IF(Table156[[#This Row],[Age]]&lt;=19,"Teenager",IF(Table156[[#This Row],[Age]]&lt;=40,"Median","Old"))</f>
        <v>Old</v>
      </c>
      <c r="G562" s="4" t="s">
        <v>14</v>
      </c>
      <c r="H562" s="4">
        <v>4</v>
      </c>
      <c r="I562" s="4">
        <v>500</v>
      </c>
      <c r="J562" s="4">
        <v>2000</v>
      </c>
      <c r="K562" s="4" t="str" cm="1">
        <f t="array" ref="K562">_xlfn.IFS(AND(Table156[[#This Row],[Total Amount]]&gt;=1500),"Critical",AND(Table156[[#This Row],[Total Amount]]&gt;=1000),"High",TRUE,"Normal")</f>
        <v>Critical</v>
      </c>
      <c r="L562" s="4" t="str">
        <f>IF(Table156[[#This Row],[Total Amount]]&gt;=1000,"High",(IF(Table156[[#This Row],[Total Amount]]&gt;=500,"Medium","Low")))</f>
        <v>High</v>
      </c>
      <c r="M562" s="4" t="str" cm="1">
        <f t="array" ref="M56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62" s="4" cm="1">
        <f t="array" ref="N56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400</v>
      </c>
      <c r="O562" s="4">
        <f>Table156[[#This Row],[Total Amount]]-Table156[[#This Row],[Discount Amount]]</f>
        <v>1600</v>
      </c>
      <c r="P562" s="4" t="str">
        <f>IF(Table156[[#This Row],[Total Amount]]&gt;=1000,"High","Low")</f>
        <v>High</v>
      </c>
      <c r="Q562" s="4" t="b" cm="1">
        <f t="array" ref="Q562">_xlfn.IFS(AND(Table156[[#This Row],[Total Amount]]&gt;=1500,"Critical"),AND(Table156[[#This Row],[Total Amount]]&gt;=1000,"High"),TRUE,"Normal")</f>
        <v>1</v>
      </c>
      <c r="R562" s="4">
        <f>COUNTIF(Table156[Gender],"Male")</f>
        <v>490</v>
      </c>
    </row>
    <row r="563" spans="1:18" x14ac:dyDescent="0.35">
      <c r="A563" s="4">
        <v>562</v>
      </c>
      <c r="B563" s="5">
        <v>45034</v>
      </c>
      <c r="C563" s="4" t="s">
        <v>575</v>
      </c>
      <c r="D563" s="4" t="s">
        <v>10</v>
      </c>
      <c r="E563" s="4">
        <v>54</v>
      </c>
      <c r="F563" s="4" t="str">
        <f>IF(Table156[[#This Row],[Age]]&lt;=19,"Teenager",IF(Table156[[#This Row],[Age]]&lt;=40,"Median","Old"))</f>
        <v>Old</v>
      </c>
      <c r="G563" s="4" t="s">
        <v>16</v>
      </c>
      <c r="H563" s="4">
        <v>2</v>
      </c>
      <c r="I563" s="4">
        <v>25</v>
      </c>
      <c r="J563" s="4">
        <v>50</v>
      </c>
      <c r="K563" s="4" t="str" cm="1">
        <f t="array" ref="K563">_xlfn.IFS(AND(Table156[[#This Row],[Total Amount]]&gt;=1500),"Critical",AND(Table156[[#This Row],[Total Amount]]&gt;=1000),"High",TRUE,"Normal")</f>
        <v>Normal</v>
      </c>
      <c r="L563" s="4" t="str">
        <f>IF(Table156[[#This Row],[Total Amount]]&gt;=1000,"High",(IF(Table156[[#This Row],[Total Amount]]&gt;=500,"Medium","Low")))</f>
        <v>Low</v>
      </c>
      <c r="M563" s="4" t="str" cm="1">
        <f t="array" ref="M56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63" s="4" cm="1">
        <f t="array" ref="N56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563" s="4">
        <f>Table156[[#This Row],[Total Amount]]-Table156[[#This Row],[Discount Amount]]</f>
        <v>45</v>
      </c>
      <c r="P563" s="4" t="str">
        <f>IF(Table156[[#This Row],[Total Amount]]&gt;=1000,"High","Low")</f>
        <v>Low</v>
      </c>
      <c r="Q563" s="4" t="str" cm="1">
        <f t="array" ref="Q563">_xlfn.IFS(AND(Table156[[#This Row],[Total Amount]]&gt;=1500,"Critical"),AND(Table156[[#This Row],[Total Amount]]&gt;=1000,"High"),TRUE,"Normal")</f>
        <v>Normal</v>
      </c>
      <c r="R563" s="4">
        <f>COUNTIF(Table156[Gender],"Male")</f>
        <v>490</v>
      </c>
    </row>
    <row r="564" spans="1:18" x14ac:dyDescent="0.35">
      <c r="A564" s="4">
        <v>563</v>
      </c>
      <c r="B564" s="5">
        <v>45147</v>
      </c>
      <c r="C564" s="4" t="s">
        <v>576</v>
      </c>
      <c r="D564" s="4" t="s">
        <v>10</v>
      </c>
      <c r="E564" s="4">
        <v>20</v>
      </c>
      <c r="F564" s="4" t="str">
        <f>IF(Table156[[#This Row],[Age]]&lt;=19,"Teenager",IF(Table156[[#This Row],[Age]]&lt;=40,"Median","Old"))</f>
        <v>Median</v>
      </c>
      <c r="G564" s="4" t="s">
        <v>14</v>
      </c>
      <c r="H564" s="4">
        <v>2</v>
      </c>
      <c r="I564" s="4">
        <v>30</v>
      </c>
      <c r="J564" s="4">
        <v>60</v>
      </c>
      <c r="K564" s="4" t="str" cm="1">
        <f t="array" ref="K564">_xlfn.IFS(AND(Table156[[#This Row],[Total Amount]]&gt;=1500),"Critical",AND(Table156[[#This Row],[Total Amount]]&gt;=1000),"High",TRUE,"Normal")</f>
        <v>Normal</v>
      </c>
      <c r="L564" s="4" t="str">
        <f>IF(Table156[[#This Row],[Total Amount]]&gt;=1000,"High",(IF(Table156[[#This Row],[Total Amount]]&gt;=500,"Medium","Low")))</f>
        <v>Low</v>
      </c>
      <c r="M564" s="4" t="str" cm="1">
        <f t="array" ref="M56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64" s="4" cm="1">
        <f t="array" ref="N56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64" s="4">
        <f>Table156[[#This Row],[Total Amount]]-Table156[[#This Row],[Discount Amount]]</f>
        <v>60</v>
      </c>
      <c r="P564" s="4" t="str">
        <f>IF(Table156[[#This Row],[Total Amount]]&gt;=1000,"High","Low")</f>
        <v>Low</v>
      </c>
      <c r="Q564" s="4" t="str" cm="1">
        <f t="array" ref="Q564">_xlfn.IFS(AND(Table156[[#This Row],[Total Amount]]&gt;=1500,"Critical"),AND(Table156[[#This Row],[Total Amount]]&gt;=1000,"High"),TRUE,"Normal")</f>
        <v>Normal</v>
      </c>
      <c r="R564" s="4">
        <f>COUNTIF(Table156[Gender],"Male")</f>
        <v>490</v>
      </c>
    </row>
    <row r="565" spans="1:18" x14ac:dyDescent="0.35">
      <c r="A565" s="4">
        <v>564</v>
      </c>
      <c r="B565" s="5">
        <v>45223</v>
      </c>
      <c r="C565" s="4" t="s">
        <v>577</v>
      </c>
      <c r="D565" s="4" t="s">
        <v>10</v>
      </c>
      <c r="E565" s="4">
        <v>50</v>
      </c>
      <c r="F565" s="4" t="str">
        <f>IF(Table156[[#This Row],[Age]]&lt;=19,"Teenager",IF(Table156[[#This Row],[Age]]&lt;=40,"Median","Old"))</f>
        <v>Old</v>
      </c>
      <c r="G565" s="4" t="s">
        <v>16</v>
      </c>
      <c r="H565" s="4">
        <v>2</v>
      </c>
      <c r="I565" s="4">
        <v>50</v>
      </c>
      <c r="J565" s="4">
        <v>100</v>
      </c>
      <c r="K565" s="4" t="str" cm="1">
        <f t="array" ref="K565">_xlfn.IFS(AND(Table156[[#This Row],[Total Amount]]&gt;=1500),"Critical",AND(Table156[[#This Row],[Total Amount]]&gt;=1000),"High",TRUE,"Normal")</f>
        <v>Normal</v>
      </c>
      <c r="L565" s="4" t="str">
        <f>IF(Table156[[#This Row],[Total Amount]]&gt;=1000,"High",(IF(Table156[[#This Row],[Total Amount]]&gt;=500,"Medium","Low")))</f>
        <v>Low</v>
      </c>
      <c r="M565" s="4" t="str" cm="1">
        <f t="array" ref="M56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65" s="4" cm="1">
        <f t="array" ref="N56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565" s="4">
        <f>Table156[[#This Row],[Total Amount]]-Table156[[#This Row],[Discount Amount]]</f>
        <v>90</v>
      </c>
      <c r="P565" s="4" t="str">
        <f>IF(Table156[[#This Row],[Total Amount]]&gt;=1000,"High","Low")</f>
        <v>Low</v>
      </c>
      <c r="Q565" s="4" t="str" cm="1">
        <f t="array" ref="Q565">_xlfn.IFS(AND(Table156[[#This Row],[Total Amount]]&gt;=1500,"Critical"),AND(Table156[[#This Row],[Total Amount]]&gt;=1000,"High"),TRUE,"Normal")</f>
        <v>Normal</v>
      </c>
      <c r="R565" s="4">
        <f>COUNTIF(Table156[Gender],"Male")</f>
        <v>490</v>
      </c>
    </row>
    <row r="566" spans="1:18" x14ac:dyDescent="0.35">
      <c r="A566" s="4">
        <v>565</v>
      </c>
      <c r="B566" s="5">
        <v>45237</v>
      </c>
      <c r="C566" s="4" t="s">
        <v>578</v>
      </c>
      <c r="D566" s="4" t="s">
        <v>13</v>
      </c>
      <c r="E566" s="4">
        <v>45</v>
      </c>
      <c r="F566" s="4" t="str">
        <f>IF(Table156[[#This Row],[Age]]&lt;=19,"Teenager",IF(Table156[[#This Row],[Age]]&lt;=40,"Median","Old"))</f>
        <v>Old</v>
      </c>
      <c r="G566" s="4" t="s">
        <v>11</v>
      </c>
      <c r="H566" s="4">
        <v>2</v>
      </c>
      <c r="I566" s="4">
        <v>30</v>
      </c>
      <c r="J566" s="4">
        <v>60</v>
      </c>
      <c r="K566" s="4" t="str" cm="1">
        <f t="array" ref="K566">_xlfn.IFS(AND(Table156[[#This Row],[Total Amount]]&gt;=1500),"Critical",AND(Table156[[#This Row],[Total Amount]]&gt;=1000),"High",TRUE,"Normal")</f>
        <v>Normal</v>
      </c>
      <c r="L566" s="4" t="str">
        <f>IF(Table156[[#This Row],[Total Amount]]&gt;=1000,"High",(IF(Table156[[#This Row],[Total Amount]]&gt;=500,"Medium","Low")))</f>
        <v>Low</v>
      </c>
      <c r="M566" s="4" t="str" cm="1">
        <f t="array" ref="M56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66" s="4" cm="1">
        <f t="array" ref="N56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566" s="4">
        <f>Table156[[#This Row],[Total Amount]]-Table156[[#This Row],[Discount Amount]]</f>
        <v>48</v>
      </c>
      <c r="P566" s="4" t="str">
        <f>IF(Table156[[#This Row],[Total Amount]]&gt;=1000,"High","Low")</f>
        <v>Low</v>
      </c>
      <c r="Q566" s="4" t="str" cm="1">
        <f t="array" ref="Q566">_xlfn.IFS(AND(Table156[[#This Row],[Total Amount]]&gt;=1500,"Critical"),AND(Table156[[#This Row],[Total Amount]]&gt;=1000,"High"),TRUE,"Normal")</f>
        <v>Normal</v>
      </c>
      <c r="R566" s="4">
        <f>COUNTIF(Table156[Gender],"Male")</f>
        <v>490</v>
      </c>
    </row>
    <row r="567" spans="1:18" x14ac:dyDescent="0.35">
      <c r="A567" s="4">
        <v>566</v>
      </c>
      <c r="B567" s="5">
        <v>45262</v>
      </c>
      <c r="C567" s="4" t="s">
        <v>579</v>
      </c>
      <c r="D567" s="4" t="s">
        <v>13</v>
      </c>
      <c r="E567" s="4">
        <v>64</v>
      </c>
      <c r="F567" s="4" t="str">
        <f>IF(Table156[[#This Row],[Age]]&lt;=19,"Teenager",IF(Table156[[#This Row],[Age]]&lt;=40,"Median","Old"))</f>
        <v>Old</v>
      </c>
      <c r="G567" s="4" t="s">
        <v>14</v>
      </c>
      <c r="H567" s="4">
        <v>1</v>
      </c>
      <c r="I567" s="4">
        <v>30</v>
      </c>
      <c r="J567" s="4">
        <v>30</v>
      </c>
      <c r="K567" s="4" t="str" cm="1">
        <f t="array" ref="K567">_xlfn.IFS(AND(Table156[[#This Row],[Total Amount]]&gt;=1500),"Critical",AND(Table156[[#This Row],[Total Amount]]&gt;=1000),"High",TRUE,"Normal")</f>
        <v>Normal</v>
      </c>
      <c r="L567" s="4" t="str">
        <f>IF(Table156[[#This Row],[Total Amount]]&gt;=1000,"High",(IF(Table156[[#This Row],[Total Amount]]&gt;=500,"Medium","Low")))</f>
        <v>Low</v>
      </c>
      <c r="M567" s="4" t="str" cm="1">
        <f t="array" ref="M56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67" s="4" cm="1">
        <f t="array" ref="N56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567" s="4">
        <f>Table156[[#This Row],[Total Amount]]-Table156[[#This Row],[Discount Amount]]</f>
        <v>24</v>
      </c>
      <c r="P567" s="4" t="str">
        <f>IF(Table156[[#This Row],[Total Amount]]&gt;=1000,"High","Low")</f>
        <v>Low</v>
      </c>
      <c r="Q567" s="4" t="str" cm="1">
        <f t="array" ref="Q567">_xlfn.IFS(AND(Table156[[#This Row],[Total Amount]]&gt;=1500,"Critical"),AND(Table156[[#This Row],[Total Amount]]&gt;=1000,"High"),TRUE,"Normal")</f>
        <v>Normal</v>
      </c>
      <c r="R567" s="4">
        <f>COUNTIF(Table156[Gender],"Male")</f>
        <v>490</v>
      </c>
    </row>
    <row r="568" spans="1:18" x14ac:dyDescent="0.35">
      <c r="A568" s="4">
        <v>567</v>
      </c>
      <c r="B568" s="5">
        <v>45091</v>
      </c>
      <c r="C568" s="4" t="s">
        <v>580</v>
      </c>
      <c r="D568" s="4" t="s">
        <v>13</v>
      </c>
      <c r="E568" s="4">
        <v>25</v>
      </c>
      <c r="F568" s="4" t="str">
        <f>IF(Table156[[#This Row],[Age]]&lt;=19,"Teenager",IF(Table156[[#This Row],[Age]]&lt;=40,"Median","Old"))</f>
        <v>Median</v>
      </c>
      <c r="G568" s="4" t="s">
        <v>14</v>
      </c>
      <c r="H568" s="4">
        <v>3</v>
      </c>
      <c r="I568" s="4">
        <v>300</v>
      </c>
      <c r="J568" s="4">
        <v>900</v>
      </c>
      <c r="K568" s="4" t="str" cm="1">
        <f t="array" ref="K568">_xlfn.IFS(AND(Table156[[#This Row],[Total Amount]]&gt;=1500),"Critical",AND(Table156[[#This Row],[Total Amount]]&gt;=1000),"High",TRUE,"Normal")</f>
        <v>Normal</v>
      </c>
      <c r="L568" s="4" t="str">
        <f>IF(Table156[[#This Row],[Total Amount]]&gt;=1000,"High",(IF(Table156[[#This Row],[Total Amount]]&gt;=500,"Medium","Low")))</f>
        <v>Medium</v>
      </c>
      <c r="M568" s="4" t="str" cm="1">
        <f t="array" ref="M56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68" s="4" cm="1">
        <f t="array" ref="N56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135</v>
      </c>
      <c r="O568" s="4">
        <f>Table156[[#This Row],[Total Amount]]-Table156[[#This Row],[Discount Amount]]</f>
        <v>765</v>
      </c>
      <c r="P568" s="4" t="str">
        <f>IF(Table156[[#This Row],[Total Amount]]&gt;=1000,"High","Low")</f>
        <v>Low</v>
      </c>
      <c r="Q568" s="4" t="str" cm="1">
        <f t="array" ref="Q568">_xlfn.IFS(AND(Table156[[#This Row],[Total Amount]]&gt;=1500,"Critical"),AND(Table156[[#This Row],[Total Amount]]&gt;=1000,"High"),TRUE,"Normal")</f>
        <v>Normal</v>
      </c>
      <c r="R568" s="4">
        <f>COUNTIF(Table156[Gender],"Male")</f>
        <v>490</v>
      </c>
    </row>
    <row r="569" spans="1:18" x14ac:dyDescent="0.35">
      <c r="A569" s="4">
        <v>568</v>
      </c>
      <c r="B569" s="5">
        <v>45165</v>
      </c>
      <c r="C569" s="4" t="s">
        <v>581</v>
      </c>
      <c r="D569" s="4" t="s">
        <v>13</v>
      </c>
      <c r="E569" s="4">
        <v>51</v>
      </c>
      <c r="F569" s="4" t="str">
        <f>IF(Table156[[#This Row],[Age]]&lt;=19,"Teenager",IF(Table156[[#This Row],[Age]]&lt;=40,"Median","Old"))</f>
        <v>Old</v>
      </c>
      <c r="G569" s="4" t="s">
        <v>16</v>
      </c>
      <c r="H569" s="4">
        <v>1</v>
      </c>
      <c r="I569" s="4">
        <v>300</v>
      </c>
      <c r="J569" s="4">
        <v>300</v>
      </c>
      <c r="K569" s="4" t="str" cm="1">
        <f t="array" ref="K569">_xlfn.IFS(AND(Table156[[#This Row],[Total Amount]]&gt;=1500),"Critical",AND(Table156[[#This Row],[Total Amount]]&gt;=1000),"High",TRUE,"Normal")</f>
        <v>Normal</v>
      </c>
      <c r="L569" s="4" t="str">
        <f>IF(Table156[[#This Row],[Total Amount]]&gt;=1000,"High",(IF(Table156[[#This Row],[Total Amount]]&gt;=500,"Medium","Low")))</f>
        <v>Low</v>
      </c>
      <c r="M569" s="4" t="str" cm="1">
        <f t="array" ref="M56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69" s="4" cm="1">
        <f t="array" ref="N56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569" s="4">
        <f>Table156[[#This Row],[Total Amount]]-Table156[[#This Row],[Discount Amount]]</f>
        <v>240</v>
      </c>
      <c r="P569" s="4" t="str">
        <f>IF(Table156[[#This Row],[Total Amount]]&gt;=1000,"High","Low")</f>
        <v>Low</v>
      </c>
      <c r="Q569" s="4" t="str" cm="1">
        <f t="array" ref="Q569">_xlfn.IFS(AND(Table156[[#This Row],[Total Amount]]&gt;=1500,"Critical"),AND(Table156[[#This Row],[Total Amount]]&gt;=1000,"High"),TRUE,"Normal")</f>
        <v>Normal</v>
      </c>
      <c r="R569" s="4">
        <f>COUNTIF(Table156[Gender],"Male")</f>
        <v>490</v>
      </c>
    </row>
    <row r="570" spans="1:18" x14ac:dyDescent="0.35">
      <c r="A570" s="4">
        <v>569</v>
      </c>
      <c r="B570" s="5">
        <v>45153</v>
      </c>
      <c r="C570" s="4" t="s">
        <v>582</v>
      </c>
      <c r="D570" s="4" t="s">
        <v>10</v>
      </c>
      <c r="E570" s="4">
        <v>52</v>
      </c>
      <c r="F570" s="4" t="str">
        <f>IF(Table156[[#This Row],[Age]]&lt;=19,"Teenager",IF(Table156[[#This Row],[Age]]&lt;=40,"Median","Old"))</f>
        <v>Old</v>
      </c>
      <c r="G570" s="4" t="s">
        <v>16</v>
      </c>
      <c r="H570" s="4">
        <v>4</v>
      </c>
      <c r="I570" s="4">
        <v>50</v>
      </c>
      <c r="J570" s="4">
        <v>200</v>
      </c>
      <c r="K570" s="4" t="str" cm="1">
        <f t="array" ref="K570">_xlfn.IFS(AND(Table156[[#This Row],[Total Amount]]&gt;=1500),"Critical",AND(Table156[[#This Row],[Total Amount]]&gt;=1000),"High",TRUE,"Normal")</f>
        <v>Normal</v>
      </c>
      <c r="L570" s="4" t="str">
        <f>IF(Table156[[#This Row],[Total Amount]]&gt;=1000,"High",(IF(Table156[[#This Row],[Total Amount]]&gt;=500,"Medium","Low")))</f>
        <v>Low</v>
      </c>
      <c r="M570" s="4" t="str" cm="1">
        <f t="array" ref="M57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70" s="4" cm="1">
        <f t="array" ref="N57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570" s="4">
        <f>Table156[[#This Row],[Total Amount]]-Table156[[#This Row],[Discount Amount]]</f>
        <v>180</v>
      </c>
      <c r="P570" s="4" t="str">
        <f>IF(Table156[[#This Row],[Total Amount]]&gt;=1000,"High","Low")</f>
        <v>Low</v>
      </c>
      <c r="Q570" s="4" t="str" cm="1">
        <f t="array" ref="Q570">_xlfn.IFS(AND(Table156[[#This Row],[Total Amount]]&gt;=1500,"Critical"),AND(Table156[[#This Row],[Total Amount]]&gt;=1000,"High"),TRUE,"Normal")</f>
        <v>Normal</v>
      </c>
      <c r="R570" s="4">
        <f>COUNTIF(Table156[Gender],"Male")</f>
        <v>490</v>
      </c>
    </row>
    <row r="571" spans="1:18" x14ac:dyDescent="0.35">
      <c r="A571" s="4">
        <v>570</v>
      </c>
      <c r="B571" s="5">
        <v>45153</v>
      </c>
      <c r="C571" s="4" t="s">
        <v>583</v>
      </c>
      <c r="D571" s="4" t="s">
        <v>10</v>
      </c>
      <c r="E571" s="4">
        <v>49</v>
      </c>
      <c r="F571" s="4" t="str">
        <f>IF(Table156[[#This Row],[Age]]&lt;=19,"Teenager",IF(Table156[[#This Row],[Age]]&lt;=40,"Median","Old"))</f>
        <v>Old</v>
      </c>
      <c r="G571" s="4" t="s">
        <v>14</v>
      </c>
      <c r="H571" s="4">
        <v>1</v>
      </c>
      <c r="I571" s="4">
        <v>500</v>
      </c>
      <c r="J571" s="4">
        <v>500</v>
      </c>
      <c r="K571" s="4" t="str" cm="1">
        <f t="array" ref="K571">_xlfn.IFS(AND(Table156[[#This Row],[Total Amount]]&gt;=1500),"Critical",AND(Table156[[#This Row],[Total Amount]]&gt;=1000),"High",TRUE,"Normal")</f>
        <v>Normal</v>
      </c>
      <c r="L571" s="4" t="str">
        <f>IF(Table156[[#This Row],[Total Amount]]&gt;=1000,"High",(IF(Table156[[#This Row],[Total Amount]]&gt;=500,"Medium","Low")))</f>
        <v>Medium</v>
      </c>
      <c r="M571" s="4" t="str" cm="1">
        <f t="array" ref="M57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71" s="4" cm="1">
        <f t="array" ref="N57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571" s="4">
        <f>Table156[[#This Row],[Total Amount]]-Table156[[#This Row],[Discount Amount]]</f>
        <v>450</v>
      </c>
      <c r="P571" s="4" t="str">
        <f>IF(Table156[[#This Row],[Total Amount]]&gt;=1000,"High","Low")</f>
        <v>Low</v>
      </c>
      <c r="Q571" s="4" t="str" cm="1">
        <f t="array" ref="Q571">_xlfn.IFS(AND(Table156[[#This Row],[Total Amount]]&gt;=1500,"Critical"),AND(Table156[[#This Row],[Total Amount]]&gt;=1000,"High"),TRUE,"Normal")</f>
        <v>Normal</v>
      </c>
      <c r="R571" s="4">
        <f>COUNTIF(Table156[Gender],"Male")</f>
        <v>490</v>
      </c>
    </row>
    <row r="572" spans="1:18" x14ac:dyDescent="0.35">
      <c r="A572" s="4">
        <v>571</v>
      </c>
      <c r="B572" s="5">
        <v>45272</v>
      </c>
      <c r="C572" s="4" t="s">
        <v>584</v>
      </c>
      <c r="D572" s="4" t="s">
        <v>13</v>
      </c>
      <c r="E572" s="4">
        <v>41</v>
      </c>
      <c r="F572" s="4" t="str">
        <f>IF(Table156[[#This Row],[Age]]&lt;=19,"Teenager",IF(Table156[[#This Row],[Age]]&lt;=40,"Median","Old"))</f>
        <v>Old</v>
      </c>
      <c r="G572" s="4" t="s">
        <v>16</v>
      </c>
      <c r="H572" s="4">
        <v>1</v>
      </c>
      <c r="I572" s="4">
        <v>50</v>
      </c>
      <c r="J572" s="4">
        <v>50</v>
      </c>
      <c r="K572" s="4" t="str" cm="1">
        <f t="array" ref="K572">_xlfn.IFS(AND(Table156[[#This Row],[Total Amount]]&gt;=1500),"Critical",AND(Table156[[#This Row],[Total Amount]]&gt;=1000),"High",TRUE,"Normal")</f>
        <v>Normal</v>
      </c>
      <c r="L572" s="4" t="str">
        <f>IF(Table156[[#This Row],[Total Amount]]&gt;=1000,"High",(IF(Table156[[#This Row],[Total Amount]]&gt;=500,"Medium","Low")))</f>
        <v>Low</v>
      </c>
      <c r="M572" s="4" t="str" cm="1">
        <f t="array" ref="M57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72" s="4" cm="1">
        <f t="array" ref="N57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572" s="4">
        <f>Table156[[#This Row],[Total Amount]]-Table156[[#This Row],[Discount Amount]]</f>
        <v>40</v>
      </c>
      <c r="P572" s="4" t="str">
        <f>IF(Table156[[#This Row],[Total Amount]]&gt;=1000,"High","Low")</f>
        <v>Low</v>
      </c>
      <c r="Q572" s="4" t="str" cm="1">
        <f t="array" ref="Q572">_xlfn.IFS(AND(Table156[[#This Row],[Total Amount]]&gt;=1500,"Critical"),AND(Table156[[#This Row],[Total Amount]]&gt;=1000,"High"),TRUE,"Normal")</f>
        <v>Normal</v>
      </c>
      <c r="R572" s="4">
        <f>COUNTIF(Table156[Gender],"Male")</f>
        <v>490</v>
      </c>
    </row>
    <row r="573" spans="1:18" x14ac:dyDescent="0.35">
      <c r="A573" s="4">
        <v>572</v>
      </c>
      <c r="B573" s="5">
        <v>45036</v>
      </c>
      <c r="C573" s="4" t="s">
        <v>585</v>
      </c>
      <c r="D573" s="4" t="s">
        <v>10</v>
      </c>
      <c r="E573" s="4">
        <v>31</v>
      </c>
      <c r="F573" s="4" t="str">
        <f>IF(Table156[[#This Row],[Age]]&lt;=19,"Teenager",IF(Table156[[#This Row],[Age]]&lt;=40,"Median","Old"))</f>
        <v>Median</v>
      </c>
      <c r="G573" s="4" t="s">
        <v>14</v>
      </c>
      <c r="H573" s="4">
        <v>4</v>
      </c>
      <c r="I573" s="4">
        <v>500</v>
      </c>
      <c r="J573" s="4">
        <v>2000</v>
      </c>
      <c r="K573" s="4" t="str" cm="1">
        <f t="array" ref="K573">_xlfn.IFS(AND(Table156[[#This Row],[Total Amount]]&gt;=1500),"Critical",AND(Table156[[#This Row],[Total Amount]]&gt;=1000),"High",TRUE,"Normal")</f>
        <v>Critical</v>
      </c>
      <c r="L573" s="4" t="str">
        <f>IF(Table156[[#This Row],[Total Amount]]&gt;=1000,"High",(IF(Table156[[#This Row],[Total Amount]]&gt;=500,"Medium","Low")))</f>
        <v>High</v>
      </c>
      <c r="M573" s="4" t="str" cm="1">
        <f t="array" ref="M57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73" s="4" cm="1">
        <f t="array" ref="N57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573" s="4">
        <f>Table156[[#This Row],[Total Amount]]-Table156[[#This Row],[Discount Amount]]</f>
        <v>1700</v>
      </c>
      <c r="P573" s="4" t="str">
        <f>IF(Table156[[#This Row],[Total Amount]]&gt;=1000,"High","Low")</f>
        <v>High</v>
      </c>
      <c r="Q573" s="4" t="b" cm="1">
        <f t="array" ref="Q573">_xlfn.IFS(AND(Table156[[#This Row],[Total Amount]]&gt;=1500,"Critical"),AND(Table156[[#This Row],[Total Amount]]&gt;=1000,"High"),TRUE,"Normal")</f>
        <v>1</v>
      </c>
      <c r="R573" s="4">
        <f>COUNTIF(Table156[Gender],"Male")</f>
        <v>490</v>
      </c>
    </row>
    <row r="574" spans="1:18" x14ac:dyDescent="0.35">
      <c r="A574" s="4">
        <v>573</v>
      </c>
      <c r="B574" s="5">
        <v>45188</v>
      </c>
      <c r="C574" s="4" t="s">
        <v>586</v>
      </c>
      <c r="D574" s="4" t="s">
        <v>10</v>
      </c>
      <c r="E574" s="4">
        <v>49</v>
      </c>
      <c r="F574" s="4" t="str">
        <f>IF(Table156[[#This Row],[Age]]&lt;=19,"Teenager",IF(Table156[[#This Row],[Age]]&lt;=40,"Median","Old"))</f>
        <v>Old</v>
      </c>
      <c r="G574" s="4" t="s">
        <v>11</v>
      </c>
      <c r="H574" s="4">
        <v>2</v>
      </c>
      <c r="I574" s="4">
        <v>30</v>
      </c>
      <c r="J574" s="4">
        <v>60</v>
      </c>
      <c r="K574" s="4" t="str" cm="1">
        <f t="array" ref="K574">_xlfn.IFS(AND(Table156[[#This Row],[Total Amount]]&gt;=1500),"Critical",AND(Table156[[#This Row],[Total Amount]]&gt;=1000),"High",TRUE,"Normal")</f>
        <v>Normal</v>
      </c>
      <c r="L574" s="4" t="str">
        <f>IF(Table156[[#This Row],[Total Amount]]&gt;=1000,"High",(IF(Table156[[#This Row],[Total Amount]]&gt;=500,"Medium","Low")))</f>
        <v>Low</v>
      </c>
      <c r="M574" s="4" t="str" cm="1">
        <f t="array" ref="M57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74" s="4" cm="1">
        <f t="array" ref="N57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574" s="4">
        <f>Table156[[#This Row],[Total Amount]]-Table156[[#This Row],[Discount Amount]]</f>
        <v>54</v>
      </c>
      <c r="P574" s="4" t="str">
        <f>IF(Table156[[#This Row],[Total Amount]]&gt;=1000,"High","Low")</f>
        <v>Low</v>
      </c>
      <c r="Q574" s="4" t="str" cm="1">
        <f t="array" ref="Q574">_xlfn.IFS(AND(Table156[[#This Row],[Total Amount]]&gt;=1500,"Critical"),AND(Table156[[#This Row],[Total Amount]]&gt;=1000,"High"),TRUE,"Normal")</f>
        <v>Normal</v>
      </c>
      <c r="R574" s="4">
        <f>COUNTIF(Table156[Gender],"Male")</f>
        <v>490</v>
      </c>
    </row>
    <row r="575" spans="1:18" x14ac:dyDescent="0.35">
      <c r="A575" s="4">
        <v>574</v>
      </c>
      <c r="B575" s="5">
        <v>45169</v>
      </c>
      <c r="C575" s="4" t="s">
        <v>587</v>
      </c>
      <c r="D575" s="4" t="s">
        <v>13</v>
      </c>
      <c r="E575" s="4">
        <v>63</v>
      </c>
      <c r="F575" s="4" t="str">
        <f>IF(Table156[[#This Row],[Age]]&lt;=19,"Teenager",IF(Table156[[#This Row],[Age]]&lt;=40,"Median","Old"))</f>
        <v>Old</v>
      </c>
      <c r="G575" s="4" t="s">
        <v>16</v>
      </c>
      <c r="H575" s="4">
        <v>2</v>
      </c>
      <c r="I575" s="4">
        <v>25</v>
      </c>
      <c r="J575" s="4">
        <v>50</v>
      </c>
      <c r="K575" s="4" t="str" cm="1">
        <f t="array" ref="K575">_xlfn.IFS(AND(Table156[[#This Row],[Total Amount]]&gt;=1500),"Critical",AND(Table156[[#This Row],[Total Amount]]&gt;=1000),"High",TRUE,"Normal")</f>
        <v>Normal</v>
      </c>
      <c r="L575" s="4" t="str">
        <f>IF(Table156[[#This Row],[Total Amount]]&gt;=1000,"High",(IF(Table156[[#This Row],[Total Amount]]&gt;=500,"Medium","Low")))</f>
        <v>Low</v>
      </c>
      <c r="M575" s="4" t="str" cm="1">
        <f t="array" ref="M57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75" s="4" cm="1">
        <f t="array" ref="N57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575" s="4">
        <f>Table156[[#This Row],[Total Amount]]-Table156[[#This Row],[Discount Amount]]</f>
        <v>40</v>
      </c>
      <c r="P575" s="4" t="str">
        <f>IF(Table156[[#This Row],[Total Amount]]&gt;=1000,"High","Low")</f>
        <v>Low</v>
      </c>
      <c r="Q575" s="4" t="str" cm="1">
        <f t="array" ref="Q575">_xlfn.IFS(AND(Table156[[#This Row],[Total Amount]]&gt;=1500,"Critical"),AND(Table156[[#This Row],[Total Amount]]&gt;=1000,"High"),TRUE,"Normal")</f>
        <v>Normal</v>
      </c>
      <c r="R575" s="4">
        <f>COUNTIF(Table156[Gender],"Male")</f>
        <v>490</v>
      </c>
    </row>
    <row r="576" spans="1:18" x14ac:dyDescent="0.35">
      <c r="A576" s="4">
        <v>575</v>
      </c>
      <c r="B576" s="5">
        <v>45013</v>
      </c>
      <c r="C576" s="4" t="s">
        <v>588</v>
      </c>
      <c r="D576" s="4" t="s">
        <v>10</v>
      </c>
      <c r="E576" s="4">
        <v>60</v>
      </c>
      <c r="F576" s="4" t="str">
        <f>IF(Table156[[#This Row],[Age]]&lt;=19,"Teenager",IF(Table156[[#This Row],[Age]]&lt;=40,"Median","Old"))</f>
        <v>Old</v>
      </c>
      <c r="G576" s="4" t="s">
        <v>14</v>
      </c>
      <c r="H576" s="4">
        <v>2</v>
      </c>
      <c r="I576" s="4">
        <v>50</v>
      </c>
      <c r="J576" s="4">
        <v>100</v>
      </c>
      <c r="K576" s="4" t="str" cm="1">
        <f t="array" ref="K576">_xlfn.IFS(AND(Table156[[#This Row],[Total Amount]]&gt;=1500),"Critical",AND(Table156[[#This Row],[Total Amount]]&gt;=1000),"High",TRUE,"Normal")</f>
        <v>Normal</v>
      </c>
      <c r="L576" s="4" t="str">
        <f>IF(Table156[[#This Row],[Total Amount]]&gt;=1000,"High",(IF(Table156[[#This Row],[Total Amount]]&gt;=500,"Medium","Low")))</f>
        <v>Low</v>
      </c>
      <c r="M576" s="4" t="str" cm="1">
        <f t="array" ref="M57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76" s="4" cm="1">
        <f t="array" ref="N57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576" s="4">
        <f>Table156[[#This Row],[Total Amount]]-Table156[[#This Row],[Discount Amount]]</f>
        <v>90</v>
      </c>
      <c r="P576" s="4" t="str">
        <f>IF(Table156[[#This Row],[Total Amount]]&gt;=1000,"High","Low")</f>
        <v>Low</v>
      </c>
      <c r="Q576" s="4" t="str" cm="1">
        <f t="array" ref="Q576">_xlfn.IFS(AND(Table156[[#This Row],[Total Amount]]&gt;=1500,"Critical"),AND(Table156[[#This Row],[Total Amount]]&gt;=1000,"High"),TRUE,"Normal")</f>
        <v>Normal</v>
      </c>
      <c r="R576" s="4">
        <f>COUNTIF(Table156[Gender],"Male")</f>
        <v>490</v>
      </c>
    </row>
    <row r="577" spans="1:18" x14ac:dyDescent="0.35">
      <c r="A577" s="4">
        <v>576</v>
      </c>
      <c r="B577" s="5">
        <v>45264</v>
      </c>
      <c r="C577" s="4" t="s">
        <v>589</v>
      </c>
      <c r="D577" s="4" t="s">
        <v>13</v>
      </c>
      <c r="E577" s="4">
        <v>33</v>
      </c>
      <c r="F577" s="4" t="str">
        <f>IF(Table156[[#This Row],[Age]]&lt;=19,"Teenager",IF(Table156[[#This Row],[Age]]&lt;=40,"Median","Old"))</f>
        <v>Median</v>
      </c>
      <c r="G577" s="4" t="s">
        <v>11</v>
      </c>
      <c r="H577" s="4">
        <v>3</v>
      </c>
      <c r="I577" s="4">
        <v>50</v>
      </c>
      <c r="J577" s="4">
        <v>150</v>
      </c>
      <c r="K577" s="4" t="str" cm="1">
        <f t="array" ref="K577">_xlfn.IFS(AND(Table156[[#This Row],[Total Amount]]&gt;=1500),"Critical",AND(Table156[[#This Row],[Total Amount]]&gt;=1000),"High",TRUE,"Normal")</f>
        <v>Normal</v>
      </c>
      <c r="L577" s="4" t="str">
        <f>IF(Table156[[#This Row],[Total Amount]]&gt;=1000,"High",(IF(Table156[[#This Row],[Total Amount]]&gt;=500,"Medium","Low")))</f>
        <v>Low</v>
      </c>
      <c r="M577" s="4" t="str" cm="1">
        <f t="array" ref="M57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77" s="4" cm="1">
        <f t="array" ref="N57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22.5</v>
      </c>
      <c r="O577" s="4">
        <f>Table156[[#This Row],[Total Amount]]-Table156[[#This Row],[Discount Amount]]</f>
        <v>127.5</v>
      </c>
      <c r="P577" s="4" t="str">
        <f>IF(Table156[[#This Row],[Total Amount]]&gt;=1000,"High","Low")</f>
        <v>Low</v>
      </c>
      <c r="Q577" s="4" t="str" cm="1">
        <f t="array" ref="Q577">_xlfn.IFS(AND(Table156[[#This Row],[Total Amount]]&gt;=1500,"Critical"),AND(Table156[[#This Row],[Total Amount]]&gt;=1000,"High"),TRUE,"Normal")</f>
        <v>Normal</v>
      </c>
      <c r="R577" s="4">
        <f>COUNTIF(Table156[Gender],"Male")</f>
        <v>490</v>
      </c>
    </row>
    <row r="578" spans="1:18" x14ac:dyDescent="0.35">
      <c r="A578" s="4">
        <v>577</v>
      </c>
      <c r="B578" s="5">
        <v>44970</v>
      </c>
      <c r="C578" s="4" t="s">
        <v>590</v>
      </c>
      <c r="D578" s="4" t="s">
        <v>10</v>
      </c>
      <c r="E578" s="4">
        <v>21</v>
      </c>
      <c r="F578" s="4" t="str">
        <f>IF(Table156[[#This Row],[Age]]&lt;=19,"Teenager",IF(Table156[[#This Row],[Age]]&lt;=40,"Median","Old"))</f>
        <v>Median</v>
      </c>
      <c r="G578" s="4" t="s">
        <v>11</v>
      </c>
      <c r="H578" s="4">
        <v>4</v>
      </c>
      <c r="I578" s="4">
        <v>500</v>
      </c>
      <c r="J578" s="4">
        <v>2000</v>
      </c>
      <c r="K578" s="4" t="str" cm="1">
        <f t="array" ref="K578">_xlfn.IFS(AND(Table156[[#This Row],[Total Amount]]&gt;=1500),"Critical",AND(Table156[[#This Row],[Total Amount]]&gt;=1000),"High",TRUE,"Normal")</f>
        <v>Critical</v>
      </c>
      <c r="L578" s="4" t="str">
        <f>IF(Table156[[#This Row],[Total Amount]]&gt;=1000,"High",(IF(Table156[[#This Row],[Total Amount]]&gt;=500,"Medium","Low")))</f>
        <v>High</v>
      </c>
      <c r="M578" s="4" t="str" cm="1">
        <f t="array" ref="M57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78" s="4" cm="1">
        <f t="array" ref="N57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78" s="4">
        <f>Table156[[#This Row],[Total Amount]]-Table156[[#This Row],[Discount Amount]]</f>
        <v>2000</v>
      </c>
      <c r="P578" s="4" t="str">
        <f>IF(Table156[[#This Row],[Total Amount]]&gt;=1000,"High","Low")</f>
        <v>High</v>
      </c>
      <c r="Q578" s="4" t="b" cm="1">
        <f t="array" ref="Q578">_xlfn.IFS(AND(Table156[[#This Row],[Total Amount]]&gt;=1500,"Critical"),AND(Table156[[#This Row],[Total Amount]]&gt;=1000,"High"),TRUE,"Normal")</f>
        <v>1</v>
      </c>
      <c r="R578" s="4">
        <f>COUNTIF(Table156[Gender],"Male")</f>
        <v>490</v>
      </c>
    </row>
    <row r="579" spans="1:18" x14ac:dyDescent="0.35">
      <c r="A579" s="4">
        <v>578</v>
      </c>
      <c r="B579" s="5">
        <v>45072</v>
      </c>
      <c r="C579" s="4" t="s">
        <v>591</v>
      </c>
      <c r="D579" s="4" t="s">
        <v>13</v>
      </c>
      <c r="E579" s="4">
        <v>54</v>
      </c>
      <c r="F579" s="4" t="str">
        <f>IF(Table156[[#This Row],[Age]]&lt;=19,"Teenager",IF(Table156[[#This Row],[Age]]&lt;=40,"Median","Old"))</f>
        <v>Old</v>
      </c>
      <c r="G579" s="4" t="s">
        <v>14</v>
      </c>
      <c r="H579" s="4">
        <v>4</v>
      </c>
      <c r="I579" s="4">
        <v>30</v>
      </c>
      <c r="J579" s="4">
        <v>120</v>
      </c>
      <c r="K579" s="4" t="str" cm="1">
        <f t="array" ref="K579">_xlfn.IFS(AND(Table156[[#This Row],[Total Amount]]&gt;=1500),"Critical",AND(Table156[[#This Row],[Total Amount]]&gt;=1000),"High",TRUE,"Normal")</f>
        <v>Normal</v>
      </c>
      <c r="L579" s="4" t="str">
        <f>IF(Table156[[#This Row],[Total Amount]]&gt;=1000,"High",(IF(Table156[[#This Row],[Total Amount]]&gt;=500,"Medium","Low")))</f>
        <v>Low</v>
      </c>
      <c r="M579" s="4" t="str" cm="1">
        <f t="array" ref="M57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79" s="4" cm="1">
        <f t="array" ref="N57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579" s="4">
        <f>Table156[[#This Row],[Total Amount]]-Table156[[#This Row],[Discount Amount]]</f>
        <v>96</v>
      </c>
      <c r="P579" s="4" t="str">
        <f>IF(Table156[[#This Row],[Total Amount]]&gt;=1000,"High","Low")</f>
        <v>Low</v>
      </c>
      <c r="Q579" s="4" t="str" cm="1">
        <f t="array" ref="Q579">_xlfn.IFS(AND(Table156[[#This Row],[Total Amount]]&gt;=1500,"Critical"),AND(Table156[[#This Row],[Total Amount]]&gt;=1000,"High"),TRUE,"Normal")</f>
        <v>Normal</v>
      </c>
      <c r="R579" s="4">
        <f>COUNTIF(Table156[Gender],"Male")</f>
        <v>490</v>
      </c>
    </row>
    <row r="580" spans="1:18" x14ac:dyDescent="0.35">
      <c r="A580" s="4">
        <v>579</v>
      </c>
      <c r="B580" s="5">
        <v>45190</v>
      </c>
      <c r="C580" s="4" t="s">
        <v>592</v>
      </c>
      <c r="D580" s="4" t="s">
        <v>13</v>
      </c>
      <c r="E580" s="4">
        <v>38</v>
      </c>
      <c r="F580" s="4" t="str">
        <f>IF(Table156[[#This Row],[Age]]&lt;=19,"Teenager",IF(Table156[[#This Row],[Age]]&lt;=40,"Median","Old"))</f>
        <v>Median</v>
      </c>
      <c r="G580" s="4" t="s">
        <v>16</v>
      </c>
      <c r="H580" s="4">
        <v>1</v>
      </c>
      <c r="I580" s="4">
        <v>30</v>
      </c>
      <c r="J580" s="4">
        <v>30</v>
      </c>
      <c r="K580" s="4" t="str" cm="1">
        <f t="array" ref="K580">_xlfn.IFS(AND(Table156[[#This Row],[Total Amount]]&gt;=1500),"Critical",AND(Table156[[#This Row],[Total Amount]]&gt;=1000),"High",TRUE,"Normal")</f>
        <v>Normal</v>
      </c>
      <c r="L580" s="4" t="str">
        <f>IF(Table156[[#This Row],[Total Amount]]&gt;=1000,"High",(IF(Table156[[#This Row],[Total Amount]]&gt;=500,"Medium","Low")))</f>
        <v>Low</v>
      </c>
      <c r="M580" s="4" t="str" cm="1">
        <f t="array" ref="M58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80" s="4" cm="1">
        <f t="array" ref="N58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580" s="4">
        <f>Table156[[#This Row],[Total Amount]]-Table156[[#This Row],[Discount Amount]]</f>
        <v>24</v>
      </c>
      <c r="P580" s="4" t="str">
        <f>IF(Table156[[#This Row],[Total Amount]]&gt;=1000,"High","Low")</f>
        <v>Low</v>
      </c>
      <c r="Q580" s="4" t="str" cm="1">
        <f t="array" ref="Q580">_xlfn.IFS(AND(Table156[[#This Row],[Total Amount]]&gt;=1500,"Critical"),AND(Table156[[#This Row],[Total Amount]]&gt;=1000,"High"),TRUE,"Normal")</f>
        <v>Normal</v>
      </c>
      <c r="R580" s="4">
        <f>COUNTIF(Table156[Gender],"Male")</f>
        <v>490</v>
      </c>
    </row>
    <row r="581" spans="1:18" x14ac:dyDescent="0.35">
      <c r="A581" s="4">
        <v>580</v>
      </c>
      <c r="B581" s="5">
        <v>45266</v>
      </c>
      <c r="C581" s="4" t="s">
        <v>593</v>
      </c>
      <c r="D581" s="4" t="s">
        <v>13</v>
      </c>
      <c r="E581" s="4">
        <v>31</v>
      </c>
      <c r="F581" s="4" t="str">
        <f>IF(Table156[[#This Row],[Age]]&lt;=19,"Teenager",IF(Table156[[#This Row],[Age]]&lt;=40,"Median","Old"))</f>
        <v>Median</v>
      </c>
      <c r="G581" s="4" t="s">
        <v>14</v>
      </c>
      <c r="H581" s="4">
        <v>3</v>
      </c>
      <c r="I581" s="4">
        <v>500</v>
      </c>
      <c r="J581" s="4">
        <v>1500</v>
      </c>
      <c r="K581" s="4" t="str" cm="1">
        <f t="array" ref="K581">_xlfn.IFS(AND(Table156[[#This Row],[Total Amount]]&gt;=1500),"Critical",AND(Table156[[#This Row],[Total Amount]]&gt;=1000),"High",TRUE,"Normal")</f>
        <v>Critical</v>
      </c>
      <c r="L581" s="4" t="str">
        <f>IF(Table156[[#This Row],[Total Amount]]&gt;=1000,"High",(IF(Table156[[#This Row],[Total Amount]]&gt;=500,"Medium","Low")))</f>
        <v>High</v>
      </c>
      <c r="M581" s="4" t="str" cm="1">
        <f t="array" ref="M58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81" s="4" cm="1">
        <f t="array" ref="N58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225</v>
      </c>
      <c r="O581" s="4">
        <f>Table156[[#This Row],[Total Amount]]-Table156[[#This Row],[Discount Amount]]</f>
        <v>1275</v>
      </c>
      <c r="P581" s="4" t="str">
        <f>IF(Table156[[#This Row],[Total Amount]]&gt;=1000,"High","Low")</f>
        <v>High</v>
      </c>
      <c r="Q581" s="4" t="b" cm="1">
        <f t="array" ref="Q581">_xlfn.IFS(AND(Table156[[#This Row],[Total Amount]]&gt;=1500,"Critical"),AND(Table156[[#This Row],[Total Amount]]&gt;=1000,"High"),TRUE,"Normal")</f>
        <v>1</v>
      </c>
      <c r="R581" s="4">
        <f>COUNTIF(Table156[Gender],"Male")</f>
        <v>490</v>
      </c>
    </row>
    <row r="582" spans="1:18" x14ac:dyDescent="0.35">
      <c r="A582" s="4">
        <v>581</v>
      </c>
      <c r="B582" s="5">
        <v>45251</v>
      </c>
      <c r="C582" s="4" t="s">
        <v>594</v>
      </c>
      <c r="D582" s="4" t="s">
        <v>13</v>
      </c>
      <c r="E582" s="4">
        <v>48</v>
      </c>
      <c r="F582" s="4" t="str">
        <f>IF(Table156[[#This Row],[Age]]&lt;=19,"Teenager",IF(Table156[[#This Row],[Age]]&lt;=40,"Median","Old"))</f>
        <v>Old</v>
      </c>
      <c r="G582" s="4" t="s">
        <v>11</v>
      </c>
      <c r="H582" s="4">
        <v>2</v>
      </c>
      <c r="I582" s="4">
        <v>30</v>
      </c>
      <c r="J582" s="4">
        <v>60</v>
      </c>
      <c r="K582" s="4" t="str" cm="1">
        <f t="array" ref="K582">_xlfn.IFS(AND(Table156[[#This Row],[Total Amount]]&gt;=1500),"Critical",AND(Table156[[#This Row],[Total Amount]]&gt;=1000),"High",TRUE,"Normal")</f>
        <v>Normal</v>
      </c>
      <c r="L582" s="4" t="str">
        <f>IF(Table156[[#This Row],[Total Amount]]&gt;=1000,"High",(IF(Table156[[#This Row],[Total Amount]]&gt;=500,"Medium","Low")))</f>
        <v>Low</v>
      </c>
      <c r="M582" s="4" t="str" cm="1">
        <f t="array" ref="M58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82" s="4" cm="1">
        <f t="array" ref="N58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582" s="4">
        <f>Table156[[#This Row],[Total Amount]]-Table156[[#This Row],[Discount Amount]]</f>
        <v>48</v>
      </c>
      <c r="P582" s="4" t="str">
        <f>IF(Table156[[#This Row],[Total Amount]]&gt;=1000,"High","Low")</f>
        <v>Low</v>
      </c>
      <c r="Q582" s="4" t="str" cm="1">
        <f t="array" ref="Q582">_xlfn.IFS(AND(Table156[[#This Row],[Total Amount]]&gt;=1500,"Critical"),AND(Table156[[#This Row],[Total Amount]]&gt;=1000,"High"),TRUE,"Normal")</f>
        <v>Normal</v>
      </c>
      <c r="R582" s="4">
        <f>COUNTIF(Table156[Gender],"Male")</f>
        <v>490</v>
      </c>
    </row>
    <row r="583" spans="1:18" x14ac:dyDescent="0.35">
      <c r="A583" s="4">
        <v>582</v>
      </c>
      <c r="B583" s="5">
        <v>45244</v>
      </c>
      <c r="C583" s="4" t="s">
        <v>595</v>
      </c>
      <c r="D583" s="4" t="s">
        <v>10</v>
      </c>
      <c r="E583" s="4">
        <v>35</v>
      </c>
      <c r="F583" s="4" t="str">
        <f>IF(Table156[[#This Row],[Age]]&lt;=19,"Teenager",IF(Table156[[#This Row],[Age]]&lt;=40,"Median","Old"))</f>
        <v>Median</v>
      </c>
      <c r="G583" s="4" t="s">
        <v>14</v>
      </c>
      <c r="H583" s="4">
        <v>3</v>
      </c>
      <c r="I583" s="4">
        <v>300</v>
      </c>
      <c r="J583" s="4">
        <v>900</v>
      </c>
      <c r="K583" s="4" t="str" cm="1">
        <f t="array" ref="K583">_xlfn.IFS(AND(Table156[[#This Row],[Total Amount]]&gt;=1500),"Critical",AND(Table156[[#This Row],[Total Amount]]&gt;=1000),"High",TRUE,"Normal")</f>
        <v>Normal</v>
      </c>
      <c r="L583" s="4" t="str">
        <f>IF(Table156[[#This Row],[Total Amount]]&gt;=1000,"High",(IF(Table156[[#This Row],[Total Amount]]&gt;=500,"Medium","Low")))</f>
        <v>Medium</v>
      </c>
      <c r="M583" s="4" t="str" cm="1">
        <f t="array" ref="M58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83" s="4" cm="1">
        <f t="array" ref="N58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583" s="4">
        <f>Table156[[#This Row],[Total Amount]]-Table156[[#This Row],[Discount Amount]]</f>
        <v>810</v>
      </c>
      <c r="P583" s="4" t="str">
        <f>IF(Table156[[#This Row],[Total Amount]]&gt;=1000,"High","Low")</f>
        <v>Low</v>
      </c>
      <c r="Q583" s="4" t="str" cm="1">
        <f t="array" ref="Q583">_xlfn.IFS(AND(Table156[[#This Row],[Total Amount]]&gt;=1500,"Critical"),AND(Table156[[#This Row],[Total Amount]]&gt;=1000,"High"),TRUE,"Normal")</f>
        <v>Normal</v>
      </c>
      <c r="R583" s="4">
        <f>COUNTIF(Table156[Gender],"Male")</f>
        <v>490</v>
      </c>
    </row>
    <row r="584" spans="1:18" x14ac:dyDescent="0.35">
      <c r="A584" s="4">
        <v>583</v>
      </c>
      <c r="B584" s="5">
        <v>45098</v>
      </c>
      <c r="C584" s="4" t="s">
        <v>596</v>
      </c>
      <c r="D584" s="4" t="s">
        <v>13</v>
      </c>
      <c r="E584" s="4">
        <v>24</v>
      </c>
      <c r="F584" s="4" t="str">
        <f>IF(Table156[[#This Row],[Age]]&lt;=19,"Teenager",IF(Table156[[#This Row],[Age]]&lt;=40,"Median","Old"))</f>
        <v>Median</v>
      </c>
      <c r="G584" s="4" t="s">
        <v>16</v>
      </c>
      <c r="H584" s="4">
        <v>4</v>
      </c>
      <c r="I584" s="4">
        <v>25</v>
      </c>
      <c r="J584" s="4">
        <v>100</v>
      </c>
      <c r="K584" s="4" t="str" cm="1">
        <f t="array" ref="K584">_xlfn.IFS(AND(Table156[[#This Row],[Total Amount]]&gt;=1500),"Critical",AND(Table156[[#This Row],[Total Amount]]&gt;=1000),"High",TRUE,"Normal")</f>
        <v>Normal</v>
      </c>
      <c r="L584" s="4" t="str">
        <f>IF(Table156[[#This Row],[Total Amount]]&gt;=1000,"High",(IF(Table156[[#This Row],[Total Amount]]&gt;=500,"Medium","Low")))</f>
        <v>Low</v>
      </c>
      <c r="M584" s="4" t="str" cm="1">
        <f t="array" ref="M58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84" s="4" cm="1">
        <f t="array" ref="N58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84" s="4">
        <f>Table156[[#This Row],[Total Amount]]-Table156[[#This Row],[Discount Amount]]</f>
        <v>100</v>
      </c>
      <c r="P584" s="4" t="str">
        <f>IF(Table156[[#This Row],[Total Amount]]&gt;=1000,"High","Low")</f>
        <v>Low</v>
      </c>
      <c r="Q584" s="4" t="str" cm="1">
        <f t="array" ref="Q584">_xlfn.IFS(AND(Table156[[#This Row],[Total Amount]]&gt;=1500,"Critical"),AND(Table156[[#This Row],[Total Amount]]&gt;=1000,"High"),TRUE,"Normal")</f>
        <v>Normal</v>
      </c>
      <c r="R584" s="4">
        <f>COUNTIF(Table156[Gender],"Male")</f>
        <v>490</v>
      </c>
    </row>
    <row r="585" spans="1:18" x14ac:dyDescent="0.35">
      <c r="A585" s="4">
        <v>584</v>
      </c>
      <c r="B585" s="5">
        <v>44974</v>
      </c>
      <c r="C585" s="4" t="s">
        <v>597</v>
      </c>
      <c r="D585" s="4" t="s">
        <v>13</v>
      </c>
      <c r="E585" s="4">
        <v>27</v>
      </c>
      <c r="F585" s="4" t="str">
        <f>IF(Table156[[#This Row],[Age]]&lt;=19,"Teenager",IF(Table156[[#This Row],[Age]]&lt;=40,"Median","Old"))</f>
        <v>Median</v>
      </c>
      <c r="G585" s="4" t="s">
        <v>11</v>
      </c>
      <c r="H585" s="4">
        <v>4</v>
      </c>
      <c r="I585" s="4">
        <v>50</v>
      </c>
      <c r="J585" s="4">
        <v>200</v>
      </c>
      <c r="K585" s="4" t="str" cm="1">
        <f t="array" ref="K585">_xlfn.IFS(AND(Table156[[#This Row],[Total Amount]]&gt;=1500),"Critical",AND(Table156[[#This Row],[Total Amount]]&gt;=1000),"High",TRUE,"Normal")</f>
        <v>Normal</v>
      </c>
      <c r="L585" s="4" t="str">
        <f>IF(Table156[[#This Row],[Total Amount]]&gt;=1000,"High",(IF(Table156[[#This Row],[Total Amount]]&gt;=500,"Medium","Low")))</f>
        <v>Low</v>
      </c>
      <c r="M585" s="4" t="str" cm="1">
        <f t="array" ref="M58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85" s="4" cm="1">
        <f t="array" ref="N58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585" s="4">
        <f>Table156[[#This Row],[Total Amount]]-Table156[[#This Row],[Discount Amount]]</f>
        <v>170</v>
      </c>
      <c r="P585" s="4" t="str">
        <f>IF(Table156[[#This Row],[Total Amount]]&gt;=1000,"High","Low")</f>
        <v>Low</v>
      </c>
      <c r="Q585" s="4" t="str" cm="1">
        <f t="array" ref="Q585">_xlfn.IFS(AND(Table156[[#This Row],[Total Amount]]&gt;=1500,"Critical"),AND(Table156[[#This Row],[Total Amount]]&gt;=1000,"High"),TRUE,"Normal")</f>
        <v>Normal</v>
      </c>
      <c r="R585" s="4">
        <f>COUNTIF(Table156[Gender],"Male")</f>
        <v>490</v>
      </c>
    </row>
    <row r="586" spans="1:18" x14ac:dyDescent="0.35">
      <c r="A586" s="4">
        <v>585</v>
      </c>
      <c r="B586" s="5">
        <v>45047</v>
      </c>
      <c r="C586" s="4" t="s">
        <v>598</v>
      </c>
      <c r="D586" s="4" t="s">
        <v>13</v>
      </c>
      <c r="E586" s="4">
        <v>24</v>
      </c>
      <c r="F586" s="4" t="str">
        <f>IF(Table156[[#This Row],[Age]]&lt;=19,"Teenager",IF(Table156[[#This Row],[Age]]&lt;=40,"Median","Old"))</f>
        <v>Median</v>
      </c>
      <c r="G586" s="4" t="s">
        <v>14</v>
      </c>
      <c r="H586" s="4">
        <v>1</v>
      </c>
      <c r="I586" s="4">
        <v>25</v>
      </c>
      <c r="J586" s="4">
        <v>25</v>
      </c>
      <c r="K586" s="4" t="str" cm="1">
        <f t="array" ref="K586">_xlfn.IFS(AND(Table156[[#This Row],[Total Amount]]&gt;=1500),"Critical",AND(Table156[[#This Row],[Total Amount]]&gt;=1000),"High",TRUE,"Normal")</f>
        <v>Normal</v>
      </c>
      <c r="L586" s="4" t="str">
        <f>IF(Table156[[#This Row],[Total Amount]]&gt;=1000,"High",(IF(Table156[[#This Row],[Total Amount]]&gt;=500,"Medium","Low")))</f>
        <v>Low</v>
      </c>
      <c r="M586" s="4" t="str" cm="1">
        <f t="array" ref="M58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86" s="4" cm="1">
        <f t="array" ref="N58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86" s="4">
        <f>Table156[[#This Row],[Total Amount]]-Table156[[#This Row],[Discount Amount]]</f>
        <v>25</v>
      </c>
      <c r="P586" s="4" t="str">
        <f>IF(Table156[[#This Row],[Total Amount]]&gt;=1000,"High","Low")</f>
        <v>Low</v>
      </c>
      <c r="Q586" s="4" t="str" cm="1">
        <f t="array" ref="Q586">_xlfn.IFS(AND(Table156[[#This Row],[Total Amount]]&gt;=1500,"Critical"),AND(Table156[[#This Row],[Total Amount]]&gt;=1000,"High"),TRUE,"Normal")</f>
        <v>Normal</v>
      </c>
      <c r="R586" s="4">
        <f>COUNTIF(Table156[Gender],"Male")</f>
        <v>490</v>
      </c>
    </row>
    <row r="587" spans="1:18" x14ac:dyDescent="0.35">
      <c r="A587" s="4">
        <v>586</v>
      </c>
      <c r="B587" s="5">
        <v>45271</v>
      </c>
      <c r="C587" s="4" t="s">
        <v>599</v>
      </c>
      <c r="D587" s="4" t="s">
        <v>10</v>
      </c>
      <c r="E587" s="4">
        <v>50</v>
      </c>
      <c r="F587" s="4" t="str">
        <f>IF(Table156[[#This Row],[Age]]&lt;=19,"Teenager",IF(Table156[[#This Row],[Age]]&lt;=40,"Median","Old"))</f>
        <v>Old</v>
      </c>
      <c r="G587" s="4" t="s">
        <v>16</v>
      </c>
      <c r="H587" s="4">
        <v>1</v>
      </c>
      <c r="I587" s="4">
        <v>50</v>
      </c>
      <c r="J587" s="4">
        <v>50</v>
      </c>
      <c r="K587" s="4" t="str" cm="1">
        <f t="array" ref="K587">_xlfn.IFS(AND(Table156[[#This Row],[Total Amount]]&gt;=1500),"Critical",AND(Table156[[#This Row],[Total Amount]]&gt;=1000),"High",TRUE,"Normal")</f>
        <v>Normal</v>
      </c>
      <c r="L587" s="4" t="str">
        <f>IF(Table156[[#This Row],[Total Amount]]&gt;=1000,"High",(IF(Table156[[#This Row],[Total Amount]]&gt;=500,"Medium","Low")))</f>
        <v>Low</v>
      </c>
      <c r="M587" s="4" t="str" cm="1">
        <f t="array" ref="M58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87" s="4" cm="1">
        <f t="array" ref="N58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587" s="4">
        <f>Table156[[#This Row],[Total Amount]]-Table156[[#This Row],[Discount Amount]]</f>
        <v>45</v>
      </c>
      <c r="P587" s="4" t="str">
        <f>IF(Table156[[#This Row],[Total Amount]]&gt;=1000,"High","Low")</f>
        <v>Low</v>
      </c>
      <c r="Q587" s="4" t="str" cm="1">
        <f t="array" ref="Q587">_xlfn.IFS(AND(Table156[[#This Row],[Total Amount]]&gt;=1500,"Critical"),AND(Table156[[#This Row],[Total Amount]]&gt;=1000,"High"),TRUE,"Normal")</f>
        <v>Normal</v>
      </c>
      <c r="R587" s="4">
        <f>COUNTIF(Table156[Gender],"Male")</f>
        <v>490</v>
      </c>
    </row>
    <row r="588" spans="1:18" x14ac:dyDescent="0.35">
      <c r="A588" s="4">
        <v>587</v>
      </c>
      <c r="B588" s="5">
        <v>45085</v>
      </c>
      <c r="C588" s="4" t="s">
        <v>600</v>
      </c>
      <c r="D588" s="4" t="s">
        <v>13</v>
      </c>
      <c r="E588" s="4">
        <v>40</v>
      </c>
      <c r="F588" s="4" t="str">
        <f>IF(Table156[[#This Row],[Age]]&lt;=19,"Teenager",IF(Table156[[#This Row],[Age]]&lt;=40,"Median","Old"))</f>
        <v>Median</v>
      </c>
      <c r="G588" s="4" t="s">
        <v>11</v>
      </c>
      <c r="H588" s="4">
        <v>4</v>
      </c>
      <c r="I588" s="4">
        <v>300</v>
      </c>
      <c r="J588" s="4">
        <v>1200</v>
      </c>
      <c r="K588" s="4" t="str" cm="1">
        <f t="array" ref="K588">_xlfn.IFS(AND(Table156[[#This Row],[Total Amount]]&gt;=1500),"Critical",AND(Table156[[#This Row],[Total Amount]]&gt;=1000),"High",TRUE,"Normal")</f>
        <v>High</v>
      </c>
      <c r="L588" s="4" t="str">
        <f>IF(Table156[[#This Row],[Total Amount]]&gt;=1000,"High",(IF(Table156[[#This Row],[Total Amount]]&gt;=500,"Medium","Low")))</f>
        <v>High</v>
      </c>
      <c r="M588" s="4" t="str" cm="1">
        <f t="array" ref="M58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88" s="4" cm="1">
        <f t="array" ref="N58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588" s="4">
        <f>Table156[[#This Row],[Total Amount]]-Table156[[#This Row],[Discount Amount]]</f>
        <v>960</v>
      </c>
      <c r="P588" s="4" t="str">
        <f>IF(Table156[[#This Row],[Total Amount]]&gt;=1000,"High","Low")</f>
        <v>High</v>
      </c>
      <c r="Q588" s="4" t="str" cm="1">
        <f t="array" ref="Q588">_xlfn.IFS(AND(Table156[[#This Row],[Total Amount]]&gt;=1500,"Critical"),AND(Table156[[#This Row],[Total Amount]]&gt;=1000,"High"),TRUE,"Normal")</f>
        <v>Normal</v>
      </c>
      <c r="R588" s="4">
        <f>COUNTIF(Table156[Gender],"Male")</f>
        <v>490</v>
      </c>
    </row>
    <row r="589" spans="1:18" x14ac:dyDescent="0.35">
      <c r="A589" s="4">
        <v>588</v>
      </c>
      <c r="B589" s="5">
        <v>45042</v>
      </c>
      <c r="C589" s="4" t="s">
        <v>601</v>
      </c>
      <c r="D589" s="4" t="s">
        <v>10</v>
      </c>
      <c r="E589" s="4">
        <v>38</v>
      </c>
      <c r="F589" s="4" t="str">
        <f>IF(Table156[[#This Row],[Age]]&lt;=19,"Teenager",IF(Table156[[#This Row],[Age]]&lt;=40,"Median","Old"))</f>
        <v>Median</v>
      </c>
      <c r="G589" s="4" t="s">
        <v>16</v>
      </c>
      <c r="H589" s="4">
        <v>2</v>
      </c>
      <c r="I589" s="4">
        <v>30</v>
      </c>
      <c r="J589" s="4">
        <v>60</v>
      </c>
      <c r="K589" s="4" t="str" cm="1">
        <f t="array" ref="K589">_xlfn.IFS(AND(Table156[[#This Row],[Total Amount]]&gt;=1500),"Critical",AND(Table156[[#This Row],[Total Amount]]&gt;=1000),"High",TRUE,"Normal")</f>
        <v>Normal</v>
      </c>
      <c r="L589" s="4" t="str">
        <f>IF(Table156[[#This Row],[Total Amount]]&gt;=1000,"High",(IF(Table156[[#This Row],[Total Amount]]&gt;=500,"Medium","Low")))</f>
        <v>Low</v>
      </c>
      <c r="M589" s="4" t="str" cm="1">
        <f t="array" ref="M58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89" s="4" cm="1">
        <f t="array" ref="N58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589" s="4">
        <f>Table156[[#This Row],[Total Amount]]-Table156[[#This Row],[Discount Amount]]</f>
        <v>54</v>
      </c>
      <c r="P589" s="4" t="str">
        <f>IF(Table156[[#This Row],[Total Amount]]&gt;=1000,"High","Low")</f>
        <v>Low</v>
      </c>
      <c r="Q589" s="4" t="str" cm="1">
        <f t="array" ref="Q589">_xlfn.IFS(AND(Table156[[#This Row],[Total Amount]]&gt;=1500,"Critical"),AND(Table156[[#This Row],[Total Amount]]&gt;=1000,"High"),TRUE,"Normal")</f>
        <v>Normal</v>
      </c>
      <c r="R589" s="4">
        <f>COUNTIF(Table156[Gender],"Male")</f>
        <v>490</v>
      </c>
    </row>
    <row r="590" spans="1:18" x14ac:dyDescent="0.35">
      <c r="A590" s="4">
        <v>589</v>
      </c>
      <c r="B590" s="5">
        <v>45028</v>
      </c>
      <c r="C590" s="4" t="s">
        <v>602</v>
      </c>
      <c r="D590" s="4" t="s">
        <v>13</v>
      </c>
      <c r="E590" s="4">
        <v>36</v>
      </c>
      <c r="F590" s="4" t="str">
        <f>IF(Table156[[#This Row],[Age]]&lt;=19,"Teenager",IF(Table156[[#This Row],[Age]]&lt;=40,"Median","Old"))</f>
        <v>Median</v>
      </c>
      <c r="G590" s="4" t="s">
        <v>11</v>
      </c>
      <c r="H590" s="4">
        <v>2</v>
      </c>
      <c r="I590" s="4">
        <v>500</v>
      </c>
      <c r="J590" s="4">
        <v>1000</v>
      </c>
      <c r="K590" s="4" t="str" cm="1">
        <f t="array" ref="K590">_xlfn.IFS(AND(Table156[[#This Row],[Total Amount]]&gt;=1500),"Critical",AND(Table156[[#This Row],[Total Amount]]&gt;=1000),"High",TRUE,"Normal")</f>
        <v>High</v>
      </c>
      <c r="L590" s="4" t="str">
        <f>IF(Table156[[#This Row],[Total Amount]]&gt;=1000,"High",(IF(Table156[[#This Row],[Total Amount]]&gt;=500,"Medium","Low")))</f>
        <v>High</v>
      </c>
      <c r="M590" s="4" t="str" cm="1">
        <f t="array" ref="M59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90" s="4" cm="1">
        <f t="array" ref="N59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590" s="4">
        <f>Table156[[#This Row],[Total Amount]]-Table156[[#This Row],[Discount Amount]]</f>
        <v>800</v>
      </c>
      <c r="P590" s="4" t="str">
        <f>IF(Table156[[#This Row],[Total Amount]]&gt;=1000,"High","Low")</f>
        <v>High</v>
      </c>
      <c r="Q590" s="4" t="str" cm="1">
        <f t="array" ref="Q590">_xlfn.IFS(AND(Table156[[#This Row],[Total Amount]]&gt;=1500,"Critical"),AND(Table156[[#This Row],[Total Amount]]&gt;=1000,"High"),TRUE,"Normal")</f>
        <v>Normal</v>
      </c>
      <c r="R590" s="4">
        <f>COUNTIF(Table156[Gender],"Male")</f>
        <v>490</v>
      </c>
    </row>
    <row r="591" spans="1:18" x14ac:dyDescent="0.35">
      <c r="A591" s="4">
        <v>590</v>
      </c>
      <c r="B591" s="5">
        <v>45002</v>
      </c>
      <c r="C591" s="4" t="s">
        <v>603</v>
      </c>
      <c r="D591" s="4" t="s">
        <v>10</v>
      </c>
      <c r="E591" s="4">
        <v>36</v>
      </c>
      <c r="F591" s="4" t="str">
        <f>IF(Table156[[#This Row],[Age]]&lt;=19,"Teenager",IF(Table156[[#This Row],[Age]]&lt;=40,"Median","Old"))</f>
        <v>Median</v>
      </c>
      <c r="G591" s="4" t="s">
        <v>14</v>
      </c>
      <c r="H591" s="4">
        <v>3</v>
      </c>
      <c r="I591" s="4">
        <v>300</v>
      </c>
      <c r="J591" s="4">
        <v>900</v>
      </c>
      <c r="K591" s="4" t="str" cm="1">
        <f t="array" ref="K591">_xlfn.IFS(AND(Table156[[#This Row],[Total Amount]]&gt;=1500),"Critical",AND(Table156[[#This Row],[Total Amount]]&gt;=1000),"High",TRUE,"Normal")</f>
        <v>Normal</v>
      </c>
      <c r="L591" s="4" t="str">
        <f>IF(Table156[[#This Row],[Total Amount]]&gt;=1000,"High",(IF(Table156[[#This Row],[Total Amount]]&gt;=500,"Medium","Low")))</f>
        <v>Medium</v>
      </c>
      <c r="M591" s="4" t="str" cm="1">
        <f t="array" ref="M59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91" s="4" cm="1">
        <f t="array" ref="N59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591" s="4">
        <f>Table156[[#This Row],[Total Amount]]-Table156[[#This Row],[Discount Amount]]</f>
        <v>810</v>
      </c>
      <c r="P591" s="4" t="str">
        <f>IF(Table156[[#This Row],[Total Amount]]&gt;=1000,"High","Low")</f>
        <v>Low</v>
      </c>
      <c r="Q591" s="4" t="str" cm="1">
        <f t="array" ref="Q591">_xlfn.IFS(AND(Table156[[#This Row],[Total Amount]]&gt;=1500,"Critical"),AND(Table156[[#This Row],[Total Amount]]&gt;=1000,"High"),TRUE,"Normal")</f>
        <v>Normal</v>
      </c>
      <c r="R591" s="4">
        <f>COUNTIF(Table156[Gender],"Male")</f>
        <v>490</v>
      </c>
    </row>
    <row r="592" spans="1:18" x14ac:dyDescent="0.35">
      <c r="A592" s="4">
        <v>591</v>
      </c>
      <c r="B592" s="5">
        <v>44939</v>
      </c>
      <c r="C592" s="4" t="s">
        <v>604</v>
      </c>
      <c r="D592" s="4" t="s">
        <v>10</v>
      </c>
      <c r="E592" s="4">
        <v>53</v>
      </c>
      <c r="F592" s="4" t="str">
        <f>IF(Table156[[#This Row],[Age]]&lt;=19,"Teenager",IF(Table156[[#This Row],[Age]]&lt;=40,"Median","Old"))</f>
        <v>Old</v>
      </c>
      <c r="G592" s="4" t="s">
        <v>16</v>
      </c>
      <c r="H592" s="4">
        <v>4</v>
      </c>
      <c r="I592" s="4">
        <v>25</v>
      </c>
      <c r="J592" s="4">
        <v>100</v>
      </c>
      <c r="K592" s="4" t="str" cm="1">
        <f t="array" ref="K592">_xlfn.IFS(AND(Table156[[#This Row],[Total Amount]]&gt;=1500),"Critical",AND(Table156[[#This Row],[Total Amount]]&gt;=1000),"High",TRUE,"Normal")</f>
        <v>Normal</v>
      </c>
      <c r="L592" s="4" t="str">
        <f>IF(Table156[[#This Row],[Total Amount]]&gt;=1000,"High",(IF(Table156[[#This Row],[Total Amount]]&gt;=500,"Medium","Low")))</f>
        <v>Low</v>
      </c>
      <c r="M592" s="4" t="str" cm="1">
        <f t="array" ref="M59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92" s="4" cm="1">
        <f t="array" ref="N59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592" s="4">
        <f>Table156[[#This Row],[Total Amount]]-Table156[[#This Row],[Discount Amount]]</f>
        <v>90</v>
      </c>
      <c r="P592" s="4" t="str">
        <f>IF(Table156[[#This Row],[Total Amount]]&gt;=1000,"High","Low")</f>
        <v>Low</v>
      </c>
      <c r="Q592" s="4" t="str" cm="1">
        <f t="array" ref="Q592">_xlfn.IFS(AND(Table156[[#This Row],[Total Amount]]&gt;=1500,"Critical"),AND(Table156[[#This Row],[Total Amount]]&gt;=1000,"High"),TRUE,"Normal")</f>
        <v>Normal</v>
      </c>
      <c r="R592" s="4">
        <f>COUNTIF(Table156[Gender],"Male")</f>
        <v>490</v>
      </c>
    </row>
    <row r="593" spans="1:18" x14ac:dyDescent="0.35">
      <c r="A593" s="4">
        <v>592</v>
      </c>
      <c r="B593" s="5">
        <v>44950</v>
      </c>
      <c r="C593" s="4" t="s">
        <v>605</v>
      </c>
      <c r="D593" s="4" t="s">
        <v>13</v>
      </c>
      <c r="E593" s="4">
        <v>46</v>
      </c>
      <c r="F593" s="4" t="str">
        <f>IF(Table156[[#This Row],[Age]]&lt;=19,"Teenager",IF(Table156[[#This Row],[Age]]&lt;=40,"Median","Old"))</f>
        <v>Old</v>
      </c>
      <c r="G593" s="4" t="s">
        <v>11</v>
      </c>
      <c r="H593" s="4">
        <v>4</v>
      </c>
      <c r="I593" s="4">
        <v>500</v>
      </c>
      <c r="J593" s="4">
        <v>2000</v>
      </c>
      <c r="K593" s="4" t="str" cm="1">
        <f t="array" ref="K593">_xlfn.IFS(AND(Table156[[#This Row],[Total Amount]]&gt;=1500),"Critical",AND(Table156[[#This Row],[Total Amount]]&gt;=1000),"High",TRUE,"Normal")</f>
        <v>Critical</v>
      </c>
      <c r="L593" s="4" t="str">
        <f>IF(Table156[[#This Row],[Total Amount]]&gt;=1000,"High",(IF(Table156[[#This Row],[Total Amount]]&gt;=500,"Medium","Low")))</f>
        <v>High</v>
      </c>
      <c r="M593" s="4" t="str" cm="1">
        <f t="array" ref="M59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93" s="4" cm="1">
        <f t="array" ref="N59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400</v>
      </c>
      <c r="O593" s="4">
        <f>Table156[[#This Row],[Total Amount]]-Table156[[#This Row],[Discount Amount]]</f>
        <v>1600</v>
      </c>
      <c r="P593" s="4" t="str">
        <f>IF(Table156[[#This Row],[Total Amount]]&gt;=1000,"High","Low")</f>
        <v>High</v>
      </c>
      <c r="Q593" s="4" t="b" cm="1">
        <f t="array" ref="Q593">_xlfn.IFS(AND(Table156[[#This Row],[Total Amount]]&gt;=1500,"Critical"),AND(Table156[[#This Row],[Total Amount]]&gt;=1000,"High"),TRUE,"Normal")</f>
        <v>1</v>
      </c>
      <c r="R593" s="4">
        <f>COUNTIF(Table156[Gender],"Male")</f>
        <v>490</v>
      </c>
    </row>
    <row r="594" spans="1:18" x14ac:dyDescent="0.35">
      <c r="A594" s="4">
        <v>593</v>
      </c>
      <c r="B594" s="5">
        <v>45052</v>
      </c>
      <c r="C594" s="4" t="s">
        <v>606</v>
      </c>
      <c r="D594" s="4" t="s">
        <v>10</v>
      </c>
      <c r="E594" s="4">
        <v>35</v>
      </c>
      <c r="F594" s="4" t="str">
        <f>IF(Table156[[#This Row],[Age]]&lt;=19,"Teenager",IF(Table156[[#This Row],[Age]]&lt;=40,"Median","Old"))</f>
        <v>Median</v>
      </c>
      <c r="G594" s="4" t="s">
        <v>16</v>
      </c>
      <c r="H594" s="4">
        <v>2</v>
      </c>
      <c r="I594" s="4">
        <v>30</v>
      </c>
      <c r="J594" s="4">
        <v>60</v>
      </c>
      <c r="K594" s="4" t="str" cm="1">
        <f t="array" ref="K594">_xlfn.IFS(AND(Table156[[#This Row],[Total Amount]]&gt;=1500),"Critical",AND(Table156[[#This Row],[Total Amount]]&gt;=1000),"High",TRUE,"Normal")</f>
        <v>Normal</v>
      </c>
      <c r="L594" s="4" t="str">
        <f>IF(Table156[[#This Row],[Total Amount]]&gt;=1000,"High",(IF(Table156[[#This Row],[Total Amount]]&gt;=500,"Medium","Low")))</f>
        <v>Low</v>
      </c>
      <c r="M594" s="4" t="str" cm="1">
        <f t="array" ref="M59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94" s="4" cm="1">
        <f t="array" ref="N59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594" s="4">
        <f>Table156[[#This Row],[Total Amount]]-Table156[[#This Row],[Discount Amount]]</f>
        <v>54</v>
      </c>
      <c r="P594" s="4" t="str">
        <f>IF(Table156[[#This Row],[Total Amount]]&gt;=1000,"High","Low")</f>
        <v>Low</v>
      </c>
      <c r="Q594" s="4" t="str" cm="1">
        <f t="array" ref="Q594">_xlfn.IFS(AND(Table156[[#This Row],[Total Amount]]&gt;=1500,"Critical"),AND(Table156[[#This Row],[Total Amount]]&gt;=1000,"High"),TRUE,"Normal")</f>
        <v>Normal</v>
      </c>
      <c r="R594" s="4">
        <f>COUNTIF(Table156[Gender],"Male")</f>
        <v>490</v>
      </c>
    </row>
    <row r="595" spans="1:18" x14ac:dyDescent="0.35">
      <c r="A595" s="4">
        <v>594</v>
      </c>
      <c r="B595" s="5">
        <v>45170</v>
      </c>
      <c r="C595" s="4" t="s">
        <v>607</v>
      </c>
      <c r="D595" s="4" t="s">
        <v>13</v>
      </c>
      <c r="E595" s="4">
        <v>19</v>
      </c>
      <c r="F595" s="4" t="str">
        <f>IF(Table156[[#This Row],[Age]]&lt;=19,"Teenager",IF(Table156[[#This Row],[Age]]&lt;=40,"Median","Old"))</f>
        <v>Teenager</v>
      </c>
      <c r="G595" s="4" t="s">
        <v>16</v>
      </c>
      <c r="H595" s="4">
        <v>2</v>
      </c>
      <c r="I595" s="4">
        <v>300</v>
      </c>
      <c r="J595" s="4">
        <v>600</v>
      </c>
      <c r="K595" s="4" t="str" cm="1">
        <f t="array" ref="K595">_xlfn.IFS(AND(Table156[[#This Row],[Total Amount]]&gt;=1500),"Critical",AND(Table156[[#This Row],[Total Amount]]&gt;=1000),"High",TRUE,"Normal")</f>
        <v>Normal</v>
      </c>
      <c r="L595" s="4" t="str">
        <f>IF(Table156[[#This Row],[Total Amount]]&gt;=1000,"High",(IF(Table156[[#This Row],[Total Amount]]&gt;=500,"Medium","Low")))</f>
        <v>Medium</v>
      </c>
      <c r="M595" s="4" t="str" cm="1">
        <f t="array" ref="M59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95" s="4" cm="1">
        <f t="array" ref="N59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95" s="4">
        <f>Table156[[#This Row],[Total Amount]]-Table156[[#This Row],[Discount Amount]]</f>
        <v>600</v>
      </c>
      <c r="P595" s="4" t="str">
        <f>IF(Table156[[#This Row],[Total Amount]]&gt;=1000,"High","Low")</f>
        <v>Low</v>
      </c>
      <c r="Q595" s="4" t="str" cm="1">
        <f t="array" ref="Q595">_xlfn.IFS(AND(Table156[[#This Row],[Total Amount]]&gt;=1500,"Critical"),AND(Table156[[#This Row],[Total Amount]]&gt;=1000,"High"),TRUE,"Normal")</f>
        <v>Normal</v>
      </c>
      <c r="R595" s="4">
        <f>COUNTIF(Table156[Gender],"Male")</f>
        <v>490</v>
      </c>
    </row>
    <row r="596" spans="1:18" x14ac:dyDescent="0.35">
      <c r="A596" s="4">
        <v>595</v>
      </c>
      <c r="B596" s="5">
        <v>45239</v>
      </c>
      <c r="C596" s="4" t="s">
        <v>608</v>
      </c>
      <c r="D596" s="4" t="s">
        <v>13</v>
      </c>
      <c r="E596" s="4">
        <v>18</v>
      </c>
      <c r="F596" s="4" t="str">
        <f>IF(Table156[[#This Row],[Age]]&lt;=19,"Teenager",IF(Table156[[#This Row],[Age]]&lt;=40,"Median","Old"))</f>
        <v>Teenager</v>
      </c>
      <c r="G596" s="4" t="s">
        <v>14</v>
      </c>
      <c r="H596" s="4">
        <v>4</v>
      </c>
      <c r="I596" s="4">
        <v>500</v>
      </c>
      <c r="J596" s="4">
        <v>2000</v>
      </c>
      <c r="K596" s="4" t="str" cm="1">
        <f t="array" ref="K596">_xlfn.IFS(AND(Table156[[#This Row],[Total Amount]]&gt;=1500),"Critical",AND(Table156[[#This Row],[Total Amount]]&gt;=1000),"High",TRUE,"Normal")</f>
        <v>Critical</v>
      </c>
      <c r="L596" s="4" t="str">
        <f>IF(Table156[[#This Row],[Total Amount]]&gt;=1000,"High",(IF(Table156[[#This Row],[Total Amount]]&gt;=500,"Medium","Low")))</f>
        <v>High</v>
      </c>
      <c r="M596" s="4" t="str" cm="1">
        <f t="array" ref="M59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96" s="4" cm="1">
        <f t="array" ref="N59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96" s="4">
        <f>Table156[[#This Row],[Total Amount]]-Table156[[#This Row],[Discount Amount]]</f>
        <v>2000</v>
      </c>
      <c r="P596" s="4" t="str">
        <f>IF(Table156[[#This Row],[Total Amount]]&gt;=1000,"High","Low")</f>
        <v>High</v>
      </c>
      <c r="Q596" s="4" t="b" cm="1">
        <f t="array" ref="Q596">_xlfn.IFS(AND(Table156[[#This Row],[Total Amount]]&gt;=1500,"Critical"),AND(Table156[[#This Row],[Total Amount]]&gt;=1000,"High"),TRUE,"Normal")</f>
        <v>1</v>
      </c>
      <c r="R596" s="4">
        <f>COUNTIF(Table156[Gender],"Male")</f>
        <v>490</v>
      </c>
    </row>
    <row r="597" spans="1:18" x14ac:dyDescent="0.35">
      <c r="A597" s="4">
        <v>596</v>
      </c>
      <c r="B597" s="5">
        <v>44964</v>
      </c>
      <c r="C597" s="4" t="s">
        <v>609</v>
      </c>
      <c r="D597" s="4" t="s">
        <v>13</v>
      </c>
      <c r="E597" s="4">
        <v>64</v>
      </c>
      <c r="F597" s="4" t="str">
        <f>IF(Table156[[#This Row],[Age]]&lt;=19,"Teenager",IF(Table156[[#This Row],[Age]]&lt;=40,"Median","Old"))</f>
        <v>Old</v>
      </c>
      <c r="G597" s="4" t="s">
        <v>16</v>
      </c>
      <c r="H597" s="4">
        <v>1</v>
      </c>
      <c r="I597" s="4">
        <v>300</v>
      </c>
      <c r="J597" s="4">
        <v>300</v>
      </c>
      <c r="K597" s="4" t="str" cm="1">
        <f t="array" ref="K597">_xlfn.IFS(AND(Table156[[#This Row],[Total Amount]]&gt;=1500),"Critical",AND(Table156[[#This Row],[Total Amount]]&gt;=1000),"High",TRUE,"Normal")</f>
        <v>Normal</v>
      </c>
      <c r="L597" s="4" t="str">
        <f>IF(Table156[[#This Row],[Total Amount]]&gt;=1000,"High",(IF(Table156[[#This Row],[Total Amount]]&gt;=500,"Medium","Low")))</f>
        <v>Low</v>
      </c>
      <c r="M597" s="4" t="str" cm="1">
        <f t="array" ref="M59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97" s="4" cm="1">
        <f t="array" ref="N59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597" s="4">
        <f>Table156[[#This Row],[Total Amount]]-Table156[[#This Row],[Discount Amount]]</f>
        <v>240</v>
      </c>
      <c r="P597" s="4" t="str">
        <f>IF(Table156[[#This Row],[Total Amount]]&gt;=1000,"High","Low")</f>
        <v>Low</v>
      </c>
      <c r="Q597" s="4" t="str" cm="1">
        <f t="array" ref="Q597">_xlfn.IFS(AND(Table156[[#This Row],[Total Amount]]&gt;=1500,"Critical"),AND(Table156[[#This Row],[Total Amount]]&gt;=1000,"High"),TRUE,"Normal")</f>
        <v>Normal</v>
      </c>
      <c r="R597" s="4">
        <f>COUNTIF(Table156[Gender],"Male")</f>
        <v>490</v>
      </c>
    </row>
    <row r="598" spans="1:18" x14ac:dyDescent="0.35">
      <c r="A598" s="4">
        <v>597</v>
      </c>
      <c r="B598" s="5">
        <v>45160</v>
      </c>
      <c r="C598" s="4" t="s">
        <v>610</v>
      </c>
      <c r="D598" s="4" t="s">
        <v>10</v>
      </c>
      <c r="E598" s="4">
        <v>22</v>
      </c>
      <c r="F598" s="4" t="str">
        <f>IF(Table156[[#This Row],[Age]]&lt;=19,"Teenager",IF(Table156[[#This Row],[Age]]&lt;=40,"Median","Old"))</f>
        <v>Median</v>
      </c>
      <c r="G598" s="4" t="s">
        <v>11</v>
      </c>
      <c r="H598" s="4">
        <v>4</v>
      </c>
      <c r="I598" s="4">
        <v>300</v>
      </c>
      <c r="J598" s="4">
        <v>1200</v>
      </c>
      <c r="K598" s="4" t="str" cm="1">
        <f t="array" ref="K598">_xlfn.IFS(AND(Table156[[#This Row],[Total Amount]]&gt;=1500),"Critical",AND(Table156[[#This Row],[Total Amount]]&gt;=1000),"High",TRUE,"Normal")</f>
        <v>High</v>
      </c>
      <c r="L598" s="4" t="str">
        <f>IF(Table156[[#This Row],[Total Amount]]&gt;=1000,"High",(IF(Table156[[#This Row],[Total Amount]]&gt;=500,"Medium","Low")))</f>
        <v>High</v>
      </c>
      <c r="M598" s="4" t="str" cm="1">
        <f t="array" ref="M59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98" s="4" cm="1">
        <f t="array" ref="N59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98" s="4">
        <f>Table156[[#This Row],[Total Amount]]-Table156[[#This Row],[Discount Amount]]</f>
        <v>1200</v>
      </c>
      <c r="P598" s="4" t="str">
        <f>IF(Table156[[#This Row],[Total Amount]]&gt;=1000,"High","Low")</f>
        <v>High</v>
      </c>
      <c r="Q598" s="4" t="str" cm="1">
        <f t="array" ref="Q598">_xlfn.IFS(AND(Table156[[#This Row],[Total Amount]]&gt;=1500,"Critical"),AND(Table156[[#This Row],[Total Amount]]&gt;=1000,"High"),TRUE,"Normal")</f>
        <v>Normal</v>
      </c>
      <c r="R598" s="4">
        <f>COUNTIF(Table156[Gender],"Male")</f>
        <v>490</v>
      </c>
    </row>
    <row r="599" spans="1:18" x14ac:dyDescent="0.35">
      <c r="A599" s="4">
        <v>598</v>
      </c>
      <c r="B599" s="5">
        <v>45139</v>
      </c>
      <c r="C599" s="4" t="s">
        <v>611</v>
      </c>
      <c r="D599" s="4" t="s">
        <v>10</v>
      </c>
      <c r="E599" s="4">
        <v>37</v>
      </c>
      <c r="F599" s="4" t="str">
        <f>IF(Table156[[#This Row],[Age]]&lt;=19,"Teenager",IF(Table156[[#This Row],[Age]]&lt;=40,"Median","Old"))</f>
        <v>Median</v>
      </c>
      <c r="G599" s="4" t="s">
        <v>11</v>
      </c>
      <c r="H599" s="4">
        <v>4</v>
      </c>
      <c r="I599" s="4">
        <v>30</v>
      </c>
      <c r="J599" s="4">
        <v>120</v>
      </c>
      <c r="K599" s="4" t="str" cm="1">
        <f t="array" ref="K599">_xlfn.IFS(AND(Table156[[#This Row],[Total Amount]]&gt;=1500),"Critical",AND(Table156[[#This Row],[Total Amount]]&gt;=1000),"High",TRUE,"Normal")</f>
        <v>Normal</v>
      </c>
      <c r="L599" s="4" t="str">
        <f>IF(Table156[[#This Row],[Total Amount]]&gt;=1000,"High",(IF(Table156[[#This Row],[Total Amount]]&gt;=500,"Medium","Low")))</f>
        <v>Low</v>
      </c>
      <c r="M599" s="4" t="str" cm="1">
        <f t="array" ref="M59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99" s="4" cm="1">
        <f t="array" ref="N59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599" s="4">
        <f>Table156[[#This Row],[Total Amount]]-Table156[[#This Row],[Discount Amount]]</f>
        <v>108</v>
      </c>
      <c r="P599" s="4" t="str">
        <f>IF(Table156[[#This Row],[Total Amount]]&gt;=1000,"High","Low")</f>
        <v>Low</v>
      </c>
      <c r="Q599" s="4" t="str" cm="1">
        <f t="array" ref="Q599">_xlfn.IFS(AND(Table156[[#This Row],[Total Amount]]&gt;=1500,"Critical"),AND(Table156[[#This Row],[Total Amount]]&gt;=1000,"High"),TRUE,"Normal")</f>
        <v>Normal</v>
      </c>
      <c r="R599" s="4">
        <f>COUNTIF(Table156[Gender],"Male")</f>
        <v>490</v>
      </c>
    </row>
    <row r="600" spans="1:18" x14ac:dyDescent="0.35">
      <c r="A600" s="4">
        <v>599</v>
      </c>
      <c r="B600" s="5">
        <v>45249</v>
      </c>
      <c r="C600" s="4" t="s">
        <v>612</v>
      </c>
      <c r="D600" s="4" t="s">
        <v>13</v>
      </c>
      <c r="E600" s="4">
        <v>28</v>
      </c>
      <c r="F600" s="4" t="str">
        <f>IF(Table156[[#This Row],[Age]]&lt;=19,"Teenager",IF(Table156[[#This Row],[Age]]&lt;=40,"Median","Old"))</f>
        <v>Median</v>
      </c>
      <c r="G600" s="4" t="s">
        <v>11</v>
      </c>
      <c r="H600" s="4">
        <v>2</v>
      </c>
      <c r="I600" s="4">
        <v>50</v>
      </c>
      <c r="J600" s="4">
        <v>100</v>
      </c>
      <c r="K600" s="4" t="str" cm="1">
        <f t="array" ref="K600">_xlfn.IFS(AND(Table156[[#This Row],[Total Amount]]&gt;=1500),"Critical",AND(Table156[[#This Row],[Total Amount]]&gt;=1000),"High",TRUE,"Normal")</f>
        <v>Normal</v>
      </c>
      <c r="L600" s="4" t="str">
        <f>IF(Table156[[#This Row],[Total Amount]]&gt;=1000,"High",(IF(Table156[[#This Row],[Total Amount]]&gt;=500,"Medium","Low")))</f>
        <v>Low</v>
      </c>
      <c r="M600" s="4" t="str" cm="1">
        <f t="array" ref="M60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00" s="4" cm="1">
        <f t="array" ref="N60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600" s="4">
        <f>Table156[[#This Row],[Total Amount]]-Table156[[#This Row],[Discount Amount]]</f>
        <v>85</v>
      </c>
      <c r="P600" s="4" t="str">
        <f>IF(Table156[[#This Row],[Total Amount]]&gt;=1000,"High","Low")</f>
        <v>Low</v>
      </c>
      <c r="Q600" s="4" t="str" cm="1">
        <f t="array" ref="Q600">_xlfn.IFS(AND(Table156[[#This Row],[Total Amount]]&gt;=1500,"Critical"),AND(Table156[[#This Row],[Total Amount]]&gt;=1000,"High"),TRUE,"Normal")</f>
        <v>Normal</v>
      </c>
      <c r="R600" s="4">
        <f>COUNTIF(Table156[Gender],"Male")</f>
        <v>490</v>
      </c>
    </row>
    <row r="601" spans="1:18" x14ac:dyDescent="0.35">
      <c r="A601" s="4">
        <v>600</v>
      </c>
      <c r="B601" s="5">
        <v>45221</v>
      </c>
      <c r="C601" s="4" t="s">
        <v>613</v>
      </c>
      <c r="D601" s="4" t="s">
        <v>13</v>
      </c>
      <c r="E601" s="4">
        <v>59</v>
      </c>
      <c r="F601" s="4" t="str">
        <f>IF(Table156[[#This Row],[Age]]&lt;=19,"Teenager",IF(Table156[[#This Row],[Age]]&lt;=40,"Median","Old"))</f>
        <v>Old</v>
      </c>
      <c r="G601" s="4" t="s">
        <v>11</v>
      </c>
      <c r="H601" s="4">
        <v>2</v>
      </c>
      <c r="I601" s="4">
        <v>500</v>
      </c>
      <c r="J601" s="4">
        <v>1000</v>
      </c>
      <c r="K601" s="4" t="str" cm="1">
        <f t="array" ref="K601">_xlfn.IFS(AND(Table156[[#This Row],[Total Amount]]&gt;=1500),"Critical",AND(Table156[[#This Row],[Total Amount]]&gt;=1000),"High",TRUE,"Normal")</f>
        <v>High</v>
      </c>
      <c r="L601" s="4" t="str">
        <f>IF(Table156[[#This Row],[Total Amount]]&gt;=1000,"High",(IF(Table156[[#This Row],[Total Amount]]&gt;=500,"Medium","Low")))</f>
        <v>High</v>
      </c>
      <c r="M601" s="4" t="str" cm="1">
        <f t="array" ref="M60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01" s="4" cm="1">
        <f t="array" ref="N60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601" s="4">
        <f>Table156[[#This Row],[Total Amount]]-Table156[[#This Row],[Discount Amount]]</f>
        <v>800</v>
      </c>
      <c r="P601" s="4" t="str">
        <f>IF(Table156[[#This Row],[Total Amount]]&gt;=1000,"High","Low")</f>
        <v>High</v>
      </c>
      <c r="Q601" s="4" t="str" cm="1">
        <f t="array" ref="Q601">_xlfn.IFS(AND(Table156[[#This Row],[Total Amount]]&gt;=1500,"Critical"),AND(Table156[[#This Row],[Total Amount]]&gt;=1000,"High"),TRUE,"Normal")</f>
        <v>Normal</v>
      </c>
      <c r="R601" s="4">
        <f>COUNTIF(Table156[Gender],"Male")</f>
        <v>490</v>
      </c>
    </row>
    <row r="602" spans="1:18" x14ac:dyDescent="0.35">
      <c r="A602" s="4">
        <v>601</v>
      </c>
      <c r="B602" s="5">
        <v>45026</v>
      </c>
      <c r="C602" s="4" t="s">
        <v>614</v>
      </c>
      <c r="D602" s="4" t="s">
        <v>10</v>
      </c>
      <c r="E602" s="4">
        <v>19</v>
      </c>
      <c r="F602" s="4" t="str">
        <f>IF(Table156[[#This Row],[Age]]&lt;=19,"Teenager",IF(Table156[[#This Row],[Age]]&lt;=40,"Median","Old"))</f>
        <v>Teenager</v>
      </c>
      <c r="G602" s="4" t="s">
        <v>14</v>
      </c>
      <c r="H602" s="4">
        <v>1</v>
      </c>
      <c r="I602" s="4">
        <v>30</v>
      </c>
      <c r="J602" s="4">
        <v>30</v>
      </c>
      <c r="K602" s="4" t="str" cm="1">
        <f t="array" ref="K602">_xlfn.IFS(AND(Table156[[#This Row],[Total Amount]]&gt;=1500),"Critical",AND(Table156[[#This Row],[Total Amount]]&gt;=1000),"High",TRUE,"Normal")</f>
        <v>Normal</v>
      </c>
      <c r="L602" s="4" t="str">
        <f>IF(Table156[[#This Row],[Total Amount]]&gt;=1000,"High",(IF(Table156[[#This Row],[Total Amount]]&gt;=500,"Medium","Low")))</f>
        <v>Low</v>
      </c>
      <c r="M602" s="4" t="str" cm="1">
        <f t="array" ref="M60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602" s="4" cm="1">
        <f t="array" ref="N60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602" s="4">
        <f>Table156[[#This Row],[Total Amount]]-Table156[[#This Row],[Discount Amount]]</f>
        <v>30</v>
      </c>
      <c r="P602" s="4" t="str">
        <f>IF(Table156[[#This Row],[Total Amount]]&gt;=1000,"High","Low")</f>
        <v>Low</v>
      </c>
      <c r="Q602" s="4" t="str" cm="1">
        <f t="array" ref="Q602">_xlfn.IFS(AND(Table156[[#This Row],[Total Amount]]&gt;=1500,"Critical"),AND(Table156[[#This Row],[Total Amount]]&gt;=1000,"High"),TRUE,"Normal")</f>
        <v>Normal</v>
      </c>
      <c r="R602" s="4">
        <f>COUNTIF(Table156[Gender],"Male")</f>
        <v>490</v>
      </c>
    </row>
    <row r="603" spans="1:18" x14ac:dyDescent="0.35">
      <c r="A603" s="4">
        <v>602</v>
      </c>
      <c r="B603" s="5">
        <v>45283</v>
      </c>
      <c r="C603" s="4" t="s">
        <v>615</v>
      </c>
      <c r="D603" s="4" t="s">
        <v>13</v>
      </c>
      <c r="E603" s="4">
        <v>20</v>
      </c>
      <c r="F603" s="4" t="str">
        <f>IF(Table156[[#This Row],[Age]]&lt;=19,"Teenager",IF(Table156[[#This Row],[Age]]&lt;=40,"Median","Old"))</f>
        <v>Median</v>
      </c>
      <c r="G603" s="4" t="s">
        <v>16</v>
      </c>
      <c r="H603" s="4">
        <v>1</v>
      </c>
      <c r="I603" s="4">
        <v>300</v>
      </c>
      <c r="J603" s="4">
        <v>300</v>
      </c>
      <c r="K603" s="4" t="str" cm="1">
        <f t="array" ref="K603">_xlfn.IFS(AND(Table156[[#This Row],[Total Amount]]&gt;=1500),"Critical",AND(Table156[[#This Row],[Total Amount]]&gt;=1000),"High",TRUE,"Normal")</f>
        <v>Normal</v>
      </c>
      <c r="L603" s="4" t="str">
        <f>IF(Table156[[#This Row],[Total Amount]]&gt;=1000,"High",(IF(Table156[[#This Row],[Total Amount]]&gt;=500,"Medium","Low")))</f>
        <v>Low</v>
      </c>
      <c r="M603" s="4" t="str" cm="1">
        <f t="array" ref="M60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603" s="4" cm="1">
        <f t="array" ref="N60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603" s="4">
        <f>Table156[[#This Row],[Total Amount]]-Table156[[#This Row],[Discount Amount]]</f>
        <v>300</v>
      </c>
      <c r="P603" s="4" t="str">
        <f>IF(Table156[[#This Row],[Total Amount]]&gt;=1000,"High","Low")</f>
        <v>Low</v>
      </c>
      <c r="Q603" s="4" t="str" cm="1">
        <f t="array" ref="Q603">_xlfn.IFS(AND(Table156[[#This Row],[Total Amount]]&gt;=1500,"Critical"),AND(Table156[[#This Row],[Total Amount]]&gt;=1000,"High"),TRUE,"Normal")</f>
        <v>Normal</v>
      </c>
      <c r="R603" s="4">
        <f>COUNTIF(Table156[Gender],"Male")</f>
        <v>490</v>
      </c>
    </row>
    <row r="604" spans="1:18" x14ac:dyDescent="0.35">
      <c r="A604" s="4">
        <v>603</v>
      </c>
      <c r="B604" s="5">
        <v>45123</v>
      </c>
      <c r="C604" s="4" t="s">
        <v>616</v>
      </c>
      <c r="D604" s="4" t="s">
        <v>13</v>
      </c>
      <c r="E604" s="4">
        <v>40</v>
      </c>
      <c r="F604" s="4" t="str">
        <f>IF(Table156[[#This Row],[Age]]&lt;=19,"Teenager",IF(Table156[[#This Row],[Age]]&lt;=40,"Median","Old"))</f>
        <v>Median</v>
      </c>
      <c r="G604" s="4" t="s">
        <v>14</v>
      </c>
      <c r="H604" s="4">
        <v>3</v>
      </c>
      <c r="I604" s="4">
        <v>30</v>
      </c>
      <c r="J604" s="4">
        <v>90</v>
      </c>
      <c r="K604" s="4" t="str" cm="1">
        <f t="array" ref="K604">_xlfn.IFS(AND(Table156[[#This Row],[Total Amount]]&gt;=1500),"Critical",AND(Table156[[#This Row],[Total Amount]]&gt;=1000),"High",TRUE,"Normal")</f>
        <v>Normal</v>
      </c>
      <c r="L604" s="4" t="str">
        <f>IF(Table156[[#This Row],[Total Amount]]&gt;=1000,"High",(IF(Table156[[#This Row],[Total Amount]]&gt;=500,"Medium","Low")))</f>
        <v>Low</v>
      </c>
      <c r="M604" s="4" t="str" cm="1">
        <f t="array" ref="M60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04" s="4" cm="1">
        <f t="array" ref="N60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604" s="4">
        <f>Table156[[#This Row],[Total Amount]]-Table156[[#This Row],[Discount Amount]]</f>
        <v>72</v>
      </c>
      <c r="P604" s="4" t="str">
        <f>IF(Table156[[#This Row],[Total Amount]]&gt;=1000,"High","Low")</f>
        <v>Low</v>
      </c>
      <c r="Q604" s="4" t="str" cm="1">
        <f t="array" ref="Q604">_xlfn.IFS(AND(Table156[[#This Row],[Total Amount]]&gt;=1500,"Critical"),AND(Table156[[#This Row],[Total Amount]]&gt;=1000,"High"),TRUE,"Normal")</f>
        <v>Normal</v>
      </c>
      <c r="R604" s="4">
        <f>COUNTIF(Table156[Gender],"Male")</f>
        <v>490</v>
      </c>
    </row>
    <row r="605" spans="1:18" x14ac:dyDescent="0.35">
      <c r="A605" s="4">
        <v>604</v>
      </c>
      <c r="B605" s="5">
        <v>45180</v>
      </c>
      <c r="C605" s="4" t="s">
        <v>617</v>
      </c>
      <c r="D605" s="4" t="s">
        <v>13</v>
      </c>
      <c r="E605" s="4">
        <v>29</v>
      </c>
      <c r="F605" s="4" t="str">
        <f>IF(Table156[[#This Row],[Age]]&lt;=19,"Teenager",IF(Table156[[#This Row],[Age]]&lt;=40,"Median","Old"))</f>
        <v>Median</v>
      </c>
      <c r="G605" s="4" t="s">
        <v>16</v>
      </c>
      <c r="H605" s="4">
        <v>4</v>
      </c>
      <c r="I605" s="4">
        <v>50</v>
      </c>
      <c r="J605" s="4">
        <v>200</v>
      </c>
      <c r="K605" s="4" t="str" cm="1">
        <f t="array" ref="K605">_xlfn.IFS(AND(Table156[[#This Row],[Total Amount]]&gt;=1500),"Critical",AND(Table156[[#This Row],[Total Amount]]&gt;=1000),"High",TRUE,"Normal")</f>
        <v>Normal</v>
      </c>
      <c r="L605" s="4" t="str">
        <f>IF(Table156[[#This Row],[Total Amount]]&gt;=1000,"High",(IF(Table156[[#This Row],[Total Amount]]&gt;=500,"Medium","Low")))</f>
        <v>Low</v>
      </c>
      <c r="M605" s="4" t="str" cm="1">
        <f t="array" ref="M60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05" s="4" cm="1">
        <f t="array" ref="N60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605" s="4">
        <f>Table156[[#This Row],[Total Amount]]-Table156[[#This Row],[Discount Amount]]</f>
        <v>170</v>
      </c>
      <c r="P605" s="4" t="str">
        <f>IF(Table156[[#This Row],[Total Amount]]&gt;=1000,"High","Low")</f>
        <v>Low</v>
      </c>
      <c r="Q605" s="4" t="str" cm="1">
        <f t="array" ref="Q605">_xlfn.IFS(AND(Table156[[#This Row],[Total Amount]]&gt;=1500,"Critical"),AND(Table156[[#This Row],[Total Amount]]&gt;=1000,"High"),TRUE,"Normal")</f>
        <v>Normal</v>
      </c>
      <c r="R605" s="4">
        <f>COUNTIF(Table156[Gender],"Male")</f>
        <v>490</v>
      </c>
    </row>
    <row r="606" spans="1:18" x14ac:dyDescent="0.35">
      <c r="A606" s="4">
        <v>605</v>
      </c>
      <c r="B606" s="5">
        <v>45131</v>
      </c>
      <c r="C606" s="4" t="s">
        <v>618</v>
      </c>
      <c r="D606" s="4" t="s">
        <v>10</v>
      </c>
      <c r="E606" s="4">
        <v>37</v>
      </c>
      <c r="F606" s="4" t="str">
        <f>IF(Table156[[#This Row],[Age]]&lt;=19,"Teenager",IF(Table156[[#This Row],[Age]]&lt;=40,"Median","Old"))</f>
        <v>Median</v>
      </c>
      <c r="G606" s="4" t="s">
        <v>16</v>
      </c>
      <c r="H606" s="4">
        <v>2</v>
      </c>
      <c r="I606" s="4">
        <v>500</v>
      </c>
      <c r="J606" s="4">
        <v>1000</v>
      </c>
      <c r="K606" s="4" t="str" cm="1">
        <f t="array" ref="K606">_xlfn.IFS(AND(Table156[[#This Row],[Total Amount]]&gt;=1500),"Critical",AND(Table156[[#This Row],[Total Amount]]&gt;=1000),"High",TRUE,"Normal")</f>
        <v>High</v>
      </c>
      <c r="L606" s="4" t="str">
        <f>IF(Table156[[#This Row],[Total Amount]]&gt;=1000,"High",(IF(Table156[[#This Row],[Total Amount]]&gt;=500,"Medium","Low")))</f>
        <v>High</v>
      </c>
      <c r="M606" s="4" t="str" cm="1">
        <f t="array" ref="M60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06" s="4" cm="1">
        <f t="array" ref="N60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606" s="4">
        <f>Table156[[#This Row],[Total Amount]]-Table156[[#This Row],[Discount Amount]]</f>
        <v>900</v>
      </c>
      <c r="P606" s="4" t="str">
        <f>IF(Table156[[#This Row],[Total Amount]]&gt;=1000,"High","Low")</f>
        <v>High</v>
      </c>
      <c r="Q606" s="4" t="str" cm="1">
        <f t="array" ref="Q606">_xlfn.IFS(AND(Table156[[#This Row],[Total Amount]]&gt;=1500,"Critical"),AND(Table156[[#This Row],[Total Amount]]&gt;=1000,"High"),TRUE,"Normal")</f>
        <v>Normal</v>
      </c>
      <c r="R606" s="4">
        <f>COUNTIF(Table156[Gender],"Male")</f>
        <v>490</v>
      </c>
    </row>
    <row r="607" spans="1:18" x14ac:dyDescent="0.35">
      <c r="A607" s="4">
        <v>606</v>
      </c>
      <c r="B607" s="5">
        <v>45051</v>
      </c>
      <c r="C607" s="4" t="s">
        <v>619</v>
      </c>
      <c r="D607" s="4" t="s">
        <v>10</v>
      </c>
      <c r="E607" s="4">
        <v>22</v>
      </c>
      <c r="F607" s="4" t="str">
        <f>IF(Table156[[#This Row],[Age]]&lt;=19,"Teenager",IF(Table156[[#This Row],[Age]]&lt;=40,"Median","Old"))</f>
        <v>Median</v>
      </c>
      <c r="G607" s="4" t="s">
        <v>16</v>
      </c>
      <c r="H607" s="4">
        <v>1</v>
      </c>
      <c r="I607" s="4">
        <v>50</v>
      </c>
      <c r="J607" s="4">
        <v>50</v>
      </c>
      <c r="K607" s="4" t="str" cm="1">
        <f t="array" ref="K607">_xlfn.IFS(AND(Table156[[#This Row],[Total Amount]]&gt;=1500),"Critical",AND(Table156[[#This Row],[Total Amount]]&gt;=1000),"High",TRUE,"Normal")</f>
        <v>Normal</v>
      </c>
      <c r="L607" s="4" t="str">
        <f>IF(Table156[[#This Row],[Total Amount]]&gt;=1000,"High",(IF(Table156[[#This Row],[Total Amount]]&gt;=500,"Medium","Low")))</f>
        <v>Low</v>
      </c>
      <c r="M607" s="4" t="str" cm="1">
        <f t="array" ref="M60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607" s="4" cm="1">
        <f t="array" ref="N60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607" s="4">
        <f>Table156[[#This Row],[Total Amount]]-Table156[[#This Row],[Discount Amount]]</f>
        <v>50</v>
      </c>
      <c r="P607" s="4" t="str">
        <f>IF(Table156[[#This Row],[Total Amount]]&gt;=1000,"High","Low")</f>
        <v>Low</v>
      </c>
      <c r="Q607" s="4" t="str" cm="1">
        <f t="array" ref="Q607">_xlfn.IFS(AND(Table156[[#This Row],[Total Amount]]&gt;=1500,"Critical"),AND(Table156[[#This Row],[Total Amount]]&gt;=1000,"High"),TRUE,"Normal")</f>
        <v>Normal</v>
      </c>
      <c r="R607" s="4">
        <f>COUNTIF(Table156[Gender],"Male")</f>
        <v>490</v>
      </c>
    </row>
    <row r="608" spans="1:18" x14ac:dyDescent="0.35">
      <c r="A608" s="4">
        <v>607</v>
      </c>
      <c r="B608" s="5">
        <v>45002</v>
      </c>
      <c r="C608" s="4" t="s">
        <v>620</v>
      </c>
      <c r="D608" s="4" t="s">
        <v>10</v>
      </c>
      <c r="E608" s="4">
        <v>54</v>
      </c>
      <c r="F608" s="4" t="str">
        <f>IF(Table156[[#This Row],[Age]]&lt;=19,"Teenager",IF(Table156[[#This Row],[Age]]&lt;=40,"Median","Old"))</f>
        <v>Old</v>
      </c>
      <c r="G608" s="4" t="s">
        <v>14</v>
      </c>
      <c r="H608" s="4">
        <v>3</v>
      </c>
      <c r="I608" s="4">
        <v>25</v>
      </c>
      <c r="J608" s="4">
        <v>75</v>
      </c>
      <c r="K608" s="4" t="str" cm="1">
        <f t="array" ref="K608">_xlfn.IFS(AND(Table156[[#This Row],[Total Amount]]&gt;=1500),"Critical",AND(Table156[[#This Row],[Total Amount]]&gt;=1000),"High",TRUE,"Normal")</f>
        <v>Normal</v>
      </c>
      <c r="L608" s="4" t="str">
        <f>IF(Table156[[#This Row],[Total Amount]]&gt;=1000,"High",(IF(Table156[[#This Row],[Total Amount]]&gt;=500,"Medium","Low")))</f>
        <v>Low</v>
      </c>
      <c r="M608" s="4" t="str" cm="1">
        <f t="array" ref="M60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08" s="4" cm="1">
        <f t="array" ref="N60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608" s="4">
        <f>Table156[[#This Row],[Total Amount]]-Table156[[#This Row],[Discount Amount]]</f>
        <v>67.5</v>
      </c>
      <c r="P608" s="4" t="str">
        <f>IF(Table156[[#This Row],[Total Amount]]&gt;=1000,"High","Low")</f>
        <v>Low</v>
      </c>
      <c r="Q608" s="4" t="str" cm="1">
        <f t="array" ref="Q608">_xlfn.IFS(AND(Table156[[#This Row],[Total Amount]]&gt;=1500,"Critical"),AND(Table156[[#This Row],[Total Amount]]&gt;=1000,"High"),TRUE,"Normal")</f>
        <v>Normal</v>
      </c>
      <c r="R608" s="4">
        <f>COUNTIF(Table156[Gender],"Male")</f>
        <v>490</v>
      </c>
    </row>
    <row r="609" spans="1:18" x14ac:dyDescent="0.35">
      <c r="A609" s="4">
        <v>608</v>
      </c>
      <c r="B609" s="5">
        <v>45262</v>
      </c>
      <c r="C609" s="4" t="s">
        <v>621</v>
      </c>
      <c r="D609" s="4" t="s">
        <v>13</v>
      </c>
      <c r="E609" s="4">
        <v>55</v>
      </c>
      <c r="F609" s="4" t="str">
        <f>IF(Table156[[#This Row],[Age]]&lt;=19,"Teenager",IF(Table156[[#This Row],[Age]]&lt;=40,"Median","Old"))</f>
        <v>Old</v>
      </c>
      <c r="G609" s="4" t="s">
        <v>16</v>
      </c>
      <c r="H609" s="4">
        <v>3</v>
      </c>
      <c r="I609" s="4">
        <v>500</v>
      </c>
      <c r="J609" s="4">
        <v>1500</v>
      </c>
      <c r="K609" s="4" t="str" cm="1">
        <f t="array" ref="K609">_xlfn.IFS(AND(Table156[[#This Row],[Total Amount]]&gt;=1500),"Critical",AND(Table156[[#This Row],[Total Amount]]&gt;=1000),"High",TRUE,"Normal")</f>
        <v>Critical</v>
      </c>
      <c r="L609" s="4" t="str">
        <f>IF(Table156[[#This Row],[Total Amount]]&gt;=1000,"High",(IF(Table156[[#This Row],[Total Amount]]&gt;=500,"Medium","Low")))</f>
        <v>High</v>
      </c>
      <c r="M609" s="4" t="str" cm="1">
        <f t="array" ref="M60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09" s="4" cm="1">
        <f t="array" ref="N60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609" s="4">
        <f>Table156[[#This Row],[Total Amount]]-Table156[[#This Row],[Discount Amount]]</f>
        <v>1200</v>
      </c>
      <c r="P609" s="4" t="str">
        <f>IF(Table156[[#This Row],[Total Amount]]&gt;=1000,"High","Low")</f>
        <v>High</v>
      </c>
      <c r="Q609" s="4" t="b" cm="1">
        <f t="array" ref="Q609">_xlfn.IFS(AND(Table156[[#This Row],[Total Amount]]&gt;=1500,"Critical"),AND(Table156[[#This Row],[Total Amount]]&gt;=1000,"High"),TRUE,"Normal")</f>
        <v>1</v>
      </c>
      <c r="R609" s="4">
        <f>COUNTIF(Table156[Gender],"Male")</f>
        <v>490</v>
      </c>
    </row>
    <row r="610" spans="1:18" x14ac:dyDescent="0.35">
      <c r="A610" s="4">
        <v>609</v>
      </c>
      <c r="B610" s="5">
        <v>45279</v>
      </c>
      <c r="C610" s="4" t="s">
        <v>622</v>
      </c>
      <c r="D610" s="4" t="s">
        <v>13</v>
      </c>
      <c r="E610" s="4">
        <v>47</v>
      </c>
      <c r="F610" s="4" t="str">
        <f>IF(Table156[[#This Row],[Age]]&lt;=19,"Teenager",IF(Table156[[#This Row],[Age]]&lt;=40,"Median","Old"))</f>
        <v>Old</v>
      </c>
      <c r="G610" s="4" t="s">
        <v>14</v>
      </c>
      <c r="H610" s="4">
        <v>2</v>
      </c>
      <c r="I610" s="4">
        <v>50</v>
      </c>
      <c r="J610" s="4">
        <v>100</v>
      </c>
      <c r="K610" s="4" t="str" cm="1">
        <f t="array" ref="K610">_xlfn.IFS(AND(Table156[[#This Row],[Total Amount]]&gt;=1500),"Critical",AND(Table156[[#This Row],[Total Amount]]&gt;=1000),"High",TRUE,"Normal")</f>
        <v>Normal</v>
      </c>
      <c r="L610" s="4" t="str">
        <f>IF(Table156[[#This Row],[Total Amount]]&gt;=1000,"High",(IF(Table156[[#This Row],[Total Amount]]&gt;=500,"Medium","Low")))</f>
        <v>Low</v>
      </c>
      <c r="M610" s="4" t="str" cm="1">
        <f t="array" ref="M61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10" s="4" cm="1">
        <f t="array" ref="N61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610" s="4">
        <f>Table156[[#This Row],[Total Amount]]-Table156[[#This Row],[Discount Amount]]</f>
        <v>80</v>
      </c>
      <c r="P610" s="4" t="str">
        <f>IF(Table156[[#This Row],[Total Amount]]&gt;=1000,"High","Low")</f>
        <v>Low</v>
      </c>
      <c r="Q610" s="4" t="str" cm="1">
        <f t="array" ref="Q610">_xlfn.IFS(AND(Table156[[#This Row],[Total Amount]]&gt;=1500,"Critical"),AND(Table156[[#This Row],[Total Amount]]&gt;=1000,"High"),TRUE,"Normal")</f>
        <v>Normal</v>
      </c>
      <c r="R610" s="4">
        <f>COUNTIF(Table156[Gender],"Male")</f>
        <v>490</v>
      </c>
    </row>
    <row r="611" spans="1:18" x14ac:dyDescent="0.35">
      <c r="A611" s="4">
        <v>610</v>
      </c>
      <c r="B611" s="5">
        <v>44929</v>
      </c>
      <c r="C611" s="4" t="s">
        <v>623</v>
      </c>
      <c r="D611" s="4" t="s">
        <v>13</v>
      </c>
      <c r="E611" s="4">
        <v>26</v>
      </c>
      <c r="F611" s="4" t="str">
        <f>IF(Table156[[#This Row],[Age]]&lt;=19,"Teenager",IF(Table156[[#This Row],[Age]]&lt;=40,"Median","Old"))</f>
        <v>Median</v>
      </c>
      <c r="G611" s="4" t="s">
        <v>11</v>
      </c>
      <c r="H611" s="4">
        <v>2</v>
      </c>
      <c r="I611" s="4">
        <v>300</v>
      </c>
      <c r="J611" s="4">
        <v>600</v>
      </c>
      <c r="K611" s="4" t="str" cm="1">
        <f t="array" ref="K611">_xlfn.IFS(AND(Table156[[#This Row],[Total Amount]]&gt;=1500),"Critical",AND(Table156[[#This Row],[Total Amount]]&gt;=1000),"High",TRUE,"Normal")</f>
        <v>Normal</v>
      </c>
      <c r="L611" s="4" t="str">
        <f>IF(Table156[[#This Row],[Total Amount]]&gt;=1000,"High",(IF(Table156[[#This Row],[Total Amount]]&gt;=500,"Medium","Low")))</f>
        <v>Medium</v>
      </c>
      <c r="M611" s="4" t="str" cm="1">
        <f t="array" ref="M61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11" s="4" cm="1">
        <f t="array" ref="N61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611" s="4">
        <f>Table156[[#This Row],[Total Amount]]-Table156[[#This Row],[Discount Amount]]</f>
        <v>510</v>
      </c>
      <c r="P611" s="4" t="str">
        <f>IF(Table156[[#This Row],[Total Amount]]&gt;=1000,"High","Low")</f>
        <v>Low</v>
      </c>
      <c r="Q611" s="4" t="str" cm="1">
        <f t="array" ref="Q611">_xlfn.IFS(AND(Table156[[#This Row],[Total Amount]]&gt;=1500,"Critical"),AND(Table156[[#This Row],[Total Amount]]&gt;=1000,"High"),TRUE,"Normal")</f>
        <v>Normal</v>
      </c>
      <c r="R611" s="4">
        <f>COUNTIF(Table156[Gender],"Male")</f>
        <v>490</v>
      </c>
    </row>
    <row r="612" spans="1:18" x14ac:dyDescent="0.35">
      <c r="A612" s="4">
        <v>611</v>
      </c>
      <c r="B612" s="5">
        <v>44981</v>
      </c>
      <c r="C612" s="4" t="s">
        <v>624</v>
      </c>
      <c r="D612" s="4" t="s">
        <v>10</v>
      </c>
      <c r="E612" s="4">
        <v>51</v>
      </c>
      <c r="F612" s="4" t="str">
        <f>IF(Table156[[#This Row],[Age]]&lt;=19,"Teenager",IF(Table156[[#This Row],[Age]]&lt;=40,"Median","Old"))</f>
        <v>Old</v>
      </c>
      <c r="G612" s="4" t="s">
        <v>11</v>
      </c>
      <c r="H612" s="4">
        <v>3</v>
      </c>
      <c r="I612" s="4">
        <v>500</v>
      </c>
      <c r="J612" s="4">
        <v>1500</v>
      </c>
      <c r="K612" s="4" t="str" cm="1">
        <f t="array" ref="K612">_xlfn.IFS(AND(Table156[[#This Row],[Total Amount]]&gt;=1500),"Critical",AND(Table156[[#This Row],[Total Amount]]&gt;=1000),"High",TRUE,"Normal")</f>
        <v>Critical</v>
      </c>
      <c r="L612" s="4" t="str">
        <f>IF(Table156[[#This Row],[Total Amount]]&gt;=1000,"High",(IF(Table156[[#This Row],[Total Amount]]&gt;=500,"Medium","Low")))</f>
        <v>High</v>
      </c>
      <c r="M612" s="4" t="str" cm="1">
        <f t="array" ref="M61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12" s="4" cm="1">
        <f t="array" ref="N61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612" s="4">
        <f>Table156[[#This Row],[Total Amount]]-Table156[[#This Row],[Discount Amount]]</f>
        <v>1350</v>
      </c>
      <c r="P612" s="4" t="str">
        <f>IF(Table156[[#This Row],[Total Amount]]&gt;=1000,"High","Low")</f>
        <v>High</v>
      </c>
      <c r="Q612" s="4" t="b" cm="1">
        <f t="array" ref="Q612">_xlfn.IFS(AND(Table156[[#This Row],[Total Amount]]&gt;=1500,"Critical"),AND(Table156[[#This Row],[Total Amount]]&gt;=1000,"High"),TRUE,"Normal")</f>
        <v>1</v>
      </c>
      <c r="R612" s="4">
        <f>COUNTIF(Table156[Gender],"Male")</f>
        <v>490</v>
      </c>
    </row>
    <row r="613" spans="1:18" x14ac:dyDescent="0.35">
      <c r="A613" s="4">
        <v>612</v>
      </c>
      <c r="B613" s="5">
        <v>45144</v>
      </c>
      <c r="C613" s="4" t="s">
        <v>625</v>
      </c>
      <c r="D613" s="4" t="s">
        <v>13</v>
      </c>
      <c r="E613" s="4">
        <v>61</v>
      </c>
      <c r="F613" s="4" t="str">
        <f>IF(Table156[[#This Row],[Age]]&lt;=19,"Teenager",IF(Table156[[#This Row],[Age]]&lt;=40,"Median","Old"))</f>
        <v>Old</v>
      </c>
      <c r="G613" s="4" t="s">
        <v>16</v>
      </c>
      <c r="H613" s="4">
        <v>1</v>
      </c>
      <c r="I613" s="4">
        <v>500</v>
      </c>
      <c r="J613" s="4">
        <v>500</v>
      </c>
      <c r="K613" s="4" t="str" cm="1">
        <f t="array" ref="K613">_xlfn.IFS(AND(Table156[[#This Row],[Total Amount]]&gt;=1500),"Critical",AND(Table156[[#This Row],[Total Amount]]&gt;=1000),"High",TRUE,"Normal")</f>
        <v>Normal</v>
      </c>
      <c r="L613" s="4" t="str">
        <f>IF(Table156[[#This Row],[Total Amount]]&gt;=1000,"High",(IF(Table156[[#This Row],[Total Amount]]&gt;=500,"Medium","Low")))</f>
        <v>Medium</v>
      </c>
      <c r="M613" s="4" t="str" cm="1">
        <f t="array" ref="M61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13" s="4" cm="1">
        <f t="array" ref="N61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613" s="4">
        <f>Table156[[#This Row],[Total Amount]]-Table156[[#This Row],[Discount Amount]]</f>
        <v>400</v>
      </c>
      <c r="P613" s="4" t="str">
        <f>IF(Table156[[#This Row],[Total Amount]]&gt;=1000,"High","Low")</f>
        <v>Low</v>
      </c>
      <c r="Q613" s="4" t="str" cm="1">
        <f t="array" ref="Q613">_xlfn.IFS(AND(Table156[[#This Row],[Total Amount]]&gt;=1500,"Critical"),AND(Table156[[#This Row],[Total Amount]]&gt;=1000,"High"),TRUE,"Normal")</f>
        <v>Normal</v>
      </c>
      <c r="R613" s="4">
        <f>COUNTIF(Table156[Gender],"Male")</f>
        <v>490</v>
      </c>
    </row>
    <row r="614" spans="1:18" x14ac:dyDescent="0.35">
      <c r="A614" s="4">
        <v>613</v>
      </c>
      <c r="B614" s="5">
        <v>45039</v>
      </c>
      <c r="C614" s="4" t="s">
        <v>626</v>
      </c>
      <c r="D614" s="4" t="s">
        <v>13</v>
      </c>
      <c r="E614" s="4">
        <v>52</v>
      </c>
      <c r="F614" s="4" t="str">
        <f>IF(Table156[[#This Row],[Age]]&lt;=19,"Teenager",IF(Table156[[#This Row],[Age]]&lt;=40,"Median","Old"))</f>
        <v>Old</v>
      </c>
      <c r="G614" s="4" t="s">
        <v>14</v>
      </c>
      <c r="H614" s="4">
        <v>3</v>
      </c>
      <c r="I614" s="4">
        <v>30</v>
      </c>
      <c r="J614" s="4">
        <v>90</v>
      </c>
      <c r="K614" s="4" t="str" cm="1">
        <f t="array" ref="K614">_xlfn.IFS(AND(Table156[[#This Row],[Total Amount]]&gt;=1500),"Critical",AND(Table156[[#This Row],[Total Amount]]&gt;=1000),"High",TRUE,"Normal")</f>
        <v>Normal</v>
      </c>
      <c r="L614" s="4" t="str">
        <f>IF(Table156[[#This Row],[Total Amount]]&gt;=1000,"High",(IF(Table156[[#This Row],[Total Amount]]&gt;=500,"Medium","Low")))</f>
        <v>Low</v>
      </c>
      <c r="M614" s="4" t="str" cm="1">
        <f t="array" ref="M61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14" s="4" cm="1">
        <f t="array" ref="N61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614" s="4">
        <f>Table156[[#This Row],[Total Amount]]-Table156[[#This Row],[Discount Amount]]</f>
        <v>72</v>
      </c>
      <c r="P614" s="4" t="str">
        <f>IF(Table156[[#This Row],[Total Amount]]&gt;=1000,"High","Low")</f>
        <v>Low</v>
      </c>
      <c r="Q614" s="4" t="str" cm="1">
        <f t="array" ref="Q614">_xlfn.IFS(AND(Table156[[#This Row],[Total Amount]]&gt;=1500,"Critical"),AND(Table156[[#This Row],[Total Amount]]&gt;=1000,"High"),TRUE,"Normal")</f>
        <v>Normal</v>
      </c>
      <c r="R614" s="4">
        <f>COUNTIF(Table156[Gender],"Male")</f>
        <v>490</v>
      </c>
    </row>
    <row r="615" spans="1:18" x14ac:dyDescent="0.35">
      <c r="A615" s="4">
        <v>614</v>
      </c>
      <c r="B615" s="5">
        <v>45017</v>
      </c>
      <c r="C615" s="4" t="s">
        <v>627</v>
      </c>
      <c r="D615" s="4" t="s">
        <v>13</v>
      </c>
      <c r="E615" s="4">
        <v>39</v>
      </c>
      <c r="F615" s="4" t="str">
        <f>IF(Table156[[#This Row],[Age]]&lt;=19,"Teenager",IF(Table156[[#This Row],[Age]]&lt;=40,"Median","Old"))</f>
        <v>Median</v>
      </c>
      <c r="G615" s="4" t="s">
        <v>11</v>
      </c>
      <c r="H615" s="4">
        <v>4</v>
      </c>
      <c r="I615" s="4">
        <v>300</v>
      </c>
      <c r="J615" s="4">
        <v>1200</v>
      </c>
      <c r="K615" s="4" t="str" cm="1">
        <f t="array" ref="K615">_xlfn.IFS(AND(Table156[[#This Row],[Total Amount]]&gt;=1500),"Critical",AND(Table156[[#This Row],[Total Amount]]&gt;=1000),"High",TRUE,"Normal")</f>
        <v>High</v>
      </c>
      <c r="L615" s="4" t="str">
        <f>IF(Table156[[#This Row],[Total Amount]]&gt;=1000,"High",(IF(Table156[[#This Row],[Total Amount]]&gt;=500,"Medium","Low")))</f>
        <v>High</v>
      </c>
      <c r="M615" s="4" t="str" cm="1">
        <f t="array" ref="M61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15" s="4" cm="1">
        <f t="array" ref="N61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615" s="4">
        <f>Table156[[#This Row],[Total Amount]]-Table156[[#This Row],[Discount Amount]]</f>
        <v>960</v>
      </c>
      <c r="P615" s="4" t="str">
        <f>IF(Table156[[#This Row],[Total Amount]]&gt;=1000,"High","Low")</f>
        <v>High</v>
      </c>
      <c r="Q615" s="4" t="str" cm="1">
        <f t="array" ref="Q615">_xlfn.IFS(AND(Table156[[#This Row],[Total Amount]]&gt;=1500,"Critical"),AND(Table156[[#This Row],[Total Amount]]&gt;=1000,"High"),TRUE,"Normal")</f>
        <v>Normal</v>
      </c>
      <c r="R615" s="4">
        <f>COUNTIF(Table156[Gender],"Male")</f>
        <v>490</v>
      </c>
    </row>
    <row r="616" spans="1:18" x14ac:dyDescent="0.35">
      <c r="A616" s="4">
        <v>615</v>
      </c>
      <c r="B616" s="5">
        <v>45283</v>
      </c>
      <c r="C616" s="4" t="s">
        <v>628</v>
      </c>
      <c r="D616" s="4" t="s">
        <v>13</v>
      </c>
      <c r="E616" s="4">
        <v>61</v>
      </c>
      <c r="F616" s="4" t="str">
        <f>IF(Table156[[#This Row],[Age]]&lt;=19,"Teenager",IF(Table156[[#This Row],[Age]]&lt;=40,"Median","Old"))</f>
        <v>Old</v>
      </c>
      <c r="G616" s="4" t="s">
        <v>14</v>
      </c>
      <c r="H616" s="4">
        <v>4</v>
      </c>
      <c r="I616" s="4">
        <v>25</v>
      </c>
      <c r="J616" s="4">
        <v>100</v>
      </c>
      <c r="K616" s="4" t="str" cm="1">
        <f t="array" ref="K616">_xlfn.IFS(AND(Table156[[#This Row],[Total Amount]]&gt;=1500),"Critical",AND(Table156[[#This Row],[Total Amount]]&gt;=1000),"High",TRUE,"Normal")</f>
        <v>Normal</v>
      </c>
      <c r="L616" s="4" t="str">
        <f>IF(Table156[[#This Row],[Total Amount]]&gt;=1000,"High",(IF(Table156[[#This Row],[Total Amount]]&gt;=500,"Medium","Low")))</f>
        <v>Low</v>
      </c>
      <c r="M616" s="4" t="str" cm="1">
        <f t="array" ref="M61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16" s="4" cm="1">
        <f t="array" ref="N61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616" s="4">
        <f>Table156[[#This Row],[Total Amount]]-Table156[[#This Row],[Discount Amount]]</f>
        <v>80</v>
      </c>
      <c r="P616" s="4" t="str">
        <f>IF(Table156[[#This Row],[Total Amount]]&gt;=1000,"High","Low")</f>
        <v>Low</v>
      </c>
      <c r="Q616" s="4" t="str" cm="1">
        <f t="array" ref="Q616">_xlfn.IFS(AND(Table156[[#This Row],[Total Amount]]&gt;=1500,"Critical"),AND(Table156[[#This Row],[Total Amount]]&gt;=1000,"High"),TRUE,"Normal")</f>
        <v>Normal</v>
      </c>
      <c r="R616" s="4">
        <f>COUNTIF(Table156[Gender],"Male")</f>
        <v>490</v>
      </c>
    </row>
    <row r="617" spans="1:18" x14ac:dyDescent="0.35">
      <c r="A617" s="4">
        <v>616</v>
      </c>
      <c r="B617" s="5">
        <v>45192</v>
      </c>
      <c r="C617" s="4" t="s">
        <v>629</v>
      </c>
      <c r="D617" s="4" t="s">
        <v>10</v>
      </c>
      <c r="E617" s="4">
        <v>41</v>
      </c>
      <c r="F617" s="4" t="str">
        <f>IF(Table156[[#This Row],[Age]]&lt;=19,"Teenager",IF(Table156[[#This Row],[Age]]&lt;=40,"Median","Old"))</f>
        <v>Old</v>
      </c>
      <c r="G617" s="4" t="s">
        <v>14</v>
      </c>
      <c r="H617" s="4">
        <v>2</v>
      </c>
      <c r="I617" s="4">
        <v>50</v>
      </c>
      <c r="J617" s="4">
        <v>100</v>
      </c>
      <c r="K617" s="4" t="str" cm="1">
        <f t="array" ref="K617">_xlfn.IFS(AND(Table156[[#This Row],[Total Amount]]&gt;=1500),"Critical",AND(Table156[[#This Row],[Total Amount]]&gt;=1000),"High",TRUE,"Normal")</f>
        <v>Normal</v>
      </c>
      <c r="L617" s="4" t="str">
        <f>IF(Table156[[#This Row],[Total Amount]]&gt;=1000,"High",(IF(Table156[[#This Row],[Total Amount]]&gt;=500,"Medium","Low")))</f>
        <v>Low</v>
      </c>
      <c r="M617" s="4" t="str" cm="1">
        <f t="array" ref="M61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17" s="4" cm="1">
        <f t="array" ref="N61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617" s="4">
        <f>Table156[[#This Row],[Total Amount]]-Table156[[#This Row],[Discount Amount]]</f>
        <v>90</v>
      </c>
      <c r="P617" s="4" t="str">
        <f>IF(Table156[[#This Row],[Total Amount]]&gt;=1000,"High","Low")</f>
        <v>Low</v>
      </c>
      <c r="Q617" s="4" t="str" cm="1">
        <f t="array" ref="Q617">_xlfn.IFS(AND(Table156[[#This Row],[Total Amount]]&gt;=1500,"Critical"),AND(Table156[[#This Row],[Total Amount]]&gt;=1000,"High"),TRUE,"Normal")</f>
        <v>Normal</v>
      </c>
      <c r="R617" s="4">
        <f>COUNTIF(Table156[Gender],"Male")</f>
        <v>490</v>
      </c>
    </row>
    <row r="618" spans="1:18" x14ac:dyDescent="0.35">
      <c r="A618" s="4">
        <v>617</v>
      </c>
      <c r="B618" s="5">
        <v>45164</v>
      </c>
      <c r="C618" s="4" t="s">
        <v>630</v>
      </c>
      <c r="D618" s="4" t="s">
        <v>10</v>
      </c>
      <c r="E618" s="4">
        <v>34</v>
      </c>
      <c r="F618" s="4" t="str">
        <f>IF(Table156[[#This Row],[Age]]&lt;=19,"Teenager",IF(Table156[[#This Row],[Age]]&lt;=40,"Median","Old"))</f>
        <v>Median</v>
      </c>
      <c r="G618" s="4" t="s">
        <v>16</v>
      </c>
      <c r="H618" s="4">
        <v>1</v>
      </c>
      <c r="I618" s="4">
        <v>30</v>
      </c>
      <c r="J618" s="4">
        <v>30</v>
      </c>
      <c r="K618" s="4" t="str" cm="1">
        <f t="array" ref="K618">_xlfn.IFS(AND(Table156[[#This Row],[Total Amount]]&gt;=1500),"Critical",AND(Table156[[#This Row],[Total Amount]]&gt;=1000),"High",TRUE,"Normal")</f>
        <v>Normal</v>
      </c>
      <c r="L618" s="4" t="str">
        <f>IF(Table156[[#This Row],[Total Amount]]&gt;=1000,"High",(IF(Table156[[#This Row],[Total Amount]]&gt;=500,"Medium","Low")))</f>
        <v>Low</v>
      </c>
      <c r="M618" s="4" t="str" cm="1">
        <f t="array" ref="M61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18" s="4" cm="1">
        <f t="array" ref="N61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4.5</v>
      </c>
      <c r="O618" s="4">
        <f>Table156[[#This Row],[Total Amount]]-Table156[[#This Row],[Discount Amount]]</f>
        <v>25.5</v>
      </c>
      <c r="P618" s="4" t="str">
        <f>IF(Table156[[#This Row],[Total Amount]]&gt;=1000,"High","Low")</f>
        <v>Low</v>
      </c>
      <c r="Q618" s="4" t="str" cm="1">
        <f t="array" ref="Q618">_xlfn.IFS(AND(Table156[[#This Row],[Total Amount]]&gt;=1500,"Critical"),AND(Table156[[#This Row],[Total Amount]]&gt;=1000,"High"),TRUE,"Normal")</f>
        <v>Normal</v>
      </c>
      <c r="R618" s="4">
        <f>COUNTIF(Table156[Gender],"Male")</f>
        <v>490</v>
      </c>
    </row>
    <row r="619" spans="1:18" x14ac:dyDescent="0.35">
      <c r="A619" s="4">
        <v>618</v>
      </c>
      <c r="B619" s="5">
        <v>44952</v>
      </c>
      <c r="C619" s="4" t="s">
        <v>631</v>
      </c>
      <c r="D619" s="4" t="s">
        <v>13</v>
      </c>
      <c r="E619" s="4">
        <v>27</v>
      </c>
      <c r="F619" s="4" t="str">
        <f>IF(Table156[[#This Row],[Age]]&lt;=19,"Teenager",IF(Table156[[#This Row],[Age]]&lt;=40,"Median","Old"))</f>
        <v>Median</v>
      </c>
      <c r="G619" s="4" t="s">
        <v>11</v>
      </c>
      <c r="H619" s="4">
        <v>1</v>
      </c>
      <c r="I619" s="4">
        <v>50</v>
      </c>
      <c r="J619" s="4">
        <v>50</v>
      </c>
      <c r="K619" s="4" t="str" cm="1">
        <f t="array" ref="K619">_xlfn.IFS(AND(Table156[[#This Row],[Total Amount]]&gt;=1500),"Critical",AND(Table156[[#This Row],[Total Amount]]&gt;=1000),"High",TRUE,"Normal")</f>
        <v>Normal</v>
      </c>
      <c r="L619" s="4" t="str">
        <f>IF(Table156[[#This Row],[Total Amount]]&gt;=1000,"High",(IF(Table156[[#This Row],[Total Amount]]&gt;=500,"Medium","Low")))</f>
        <v>Low</v>
      </c>
      <c r="M619" s="4" t="str" cm="1">
        <f t="array" ref="M61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19" s="4" cm="1">
        <f t="array" ref="N61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619" s="4">
        <f>Table156[[#This Row],[Total Amount]]-Table156[[#This Row],[Discount Amount]]</f>
        <v>42.5</v>
      </c>
      <c r="P619" s="4" t="str">
        <f>IF(Table156[[#This Row],[Total Amount]]&gt;=1000,"High","Low")</f>
        <v>Low</v>
      </c>
      <c r="Q619" s="4" t="str" cm="1">
        <f t="array" ref="Q619">_xlfn.IFS(AND(Table156[[#This Row],[Total Amount]]&gt;=1500,"Critical"),AND(Table156[[#This Row],[Total Amount]]&gt;=1000,"High"),TRUE,"Normal")</f>
        <v>Normal</v>
      </c>
      <c r="R619" s="4">
        <f>COUNTIF(Table156[Gender],"Male")</f>
        <v>490</v>
      </c>
    </row>
    <row r="620" spans="1:18" x14ac:dyDescent="0.35">
      <c r="A620" s="4">
        <v>619</v>
      </c>
      <c r="B620" s="5">
        <v>45212</v>
      </c>
      <c r="C620" s="4" t="s">
        <v>632</v>
      </c>
      <c r="D620" s="4" t="s">
        <v>10</v>
      </c>
      <c r="E620" s="4">
        <v>47</v>
      </c>
      <c r="F620" s="4" t="str">
        <f>IF(Table156[[#This Row],[Age]]&lt;=19,"Teenager",IF(Table156[[#This Row],[Age]]&lt;=40,"Median","Old"))</f>
        <v>Old</v>
      </c>
      <c r="G620" s="4" t="s">
        <v>16</v>
      </c>
      <c r="H620" s="4">
        <v>4</v>
      </c>
      <c r="I620" s="4">
        <v>25</v>
      </c>
      <c r="J620" s="4">
        <v>100</v>
      </c>
      <c r="K620" s="4" t="str" cm="1">
        <f t="array" ref="K620">_xlfn.IFS(AND(Table156[[#This Row],[Total Amount]]&gt;=1500),"Critical",AND(Table156[[#This Row],[Total Amount]]&gt;=1000),"High",TRUE,"Normal")</f>
        <v>Normal</v>
      </c>
      <c r="L620" s="4" t="str">
        <f>IF(Table156[[#This Row],[Total Amount]]&gt;=1000,"High",(IF(Table156[[#This Row],[Total Amount]]&gt;=500,"Medium","Low")))</f>
        <v>Low</v>
      </c>
      <c r="M620" s="4" t="str" cm="1">
        <f t="array" ref="M62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20" s="4" cm="1">
        <f t="array" ref="N62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620" s="4">
        <f>Table156[[#This Row],[Total Amount]]-Table156[[#This Row],[Discount Amount]]</f>
        <v>90</v>
      </c>
      <c r="P620" s="4" t="str">
        <f>IF(Table156[[#This Row],[Total Amount]]&gt;=1000,"High","Low")</f>
        <v>Low</v>
      </c>
      <c r="Q620" s="4" t="str" cm="1">
        <f t="array" ref="Q620">_xlfn.IFS(AND(Table156[[#This Row],[Total Amount]]&gt;=1500,"Critical"),AND(Table156[[#This Row],[Total Amount]]&gt;=1000,"High"),TRUE,"Normal")</f>
        <v>Normal</v>
      </c>
      <c r="R620" s="4">
        <f>COUNTIF(Table156[Gender],"Male")</f>
        <v>490</v>
      </c>
    </row>
    <row r="621" spans="1:18" x14ac:dyDescent="0.35">
      <c r="A621" s="4">
        <v>620</v>
      </c>
      <c r="B621" s="5">
        <v>45054</v>
      </c>
      <c r="C621" s="4" t="s">
        <v>633</v>
      </c>
      <c r="D621" s="4" t="s">
        <v>10</v>
      </c>
      <c r="E621" s="4">
        <v>63</v>
      </c>
      <c r="F621" s="4" t="str">
        <f>IF(Table156[[#This Row],[Age]]&lt;=19,"Teenager",IF(Table156[[#This Row],[Age]]&lt;=40,"Median","Old"))</f>
        <v>Old</v>
      </c>
      <c r="G621" s="4" t="s">
        <v>16</v>
      </c>
      <c r="H621" s="4">
        <v>3</v>
      </c>
      <c r="I621" s="4">
        <v>25</v>
      </c>
      <c r="J621" s="4">
        <v>75</v>
      </c>
      <c r="K621" s="4" t="str" cm="1">
        <f t="array" ref="K621">_xlfn.IFS(AND(Table156[[#This Row],[Total Amount]]&gt;=1500),"Critical",AND(Table156[[#This Row],[Total Amount]]&gt;=1000),"High",TRUE,"Normal")</f>
        <v>Normal</v>
      </c>
      <c r="L621" s="4" t="str">
        <f>IF(Table156[[#This Row],[Total Amount]]&gt;=1000,"High",(IF(Table156[[#This Row],[Total Amount]]&gt;=500,"Medium","Low")))</f>
        <v>Low</v>
      </c>
      <c r="M621" s="4" t="str" cm="1">
        <f t="array" ref="M62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21" s="4" cm="1">
        <f t="array" ref="N62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621" s="4">
        <f>Table156[[#This Row],[Total Amount]]-Table156[[#This Row],[Discount Amount]]</f>
        <v>67.5</v>
      </c>
      <c r="P621" s="4" t="str">
        <f>IF(Table156[[#This Row],[Total Amount]]&gt;=1000,"High","Low")</f>
        <v>Low</v>
      </c>
      <c r="Q621" s="4" t="str" cm="1">
        <f t="array" ref="Q621">_xlfn.IFS(AND(Table156[[#This Row],[Total Amount]]&gt;=1500,"Critical"),AND(Table156[[#This Row],[Total Amount]]&gt;=1000,"High"),TRUE,"Normal")</f>
        <v>Normal</v>
      </c>
      <c r="R621" s="4">
        <f>COUNTIF(Table156[Gender],"Male")</f>
        <v>490</v>
      </c>
    </row>
    <row r="622" spans="1:18" x14ac:dyDescent="0.35">
      <c r="A622" s="4">
        <v>621</v>
      </c>
      <c r="B622" s="5">
        <v>44989</v>
      </c>
      <c r="C622" s="4" t="s">
        <v>634</v>
      </c>
      <c r="D622" s="4" t="s">
        <v>13</v>
      </c>
      <c r="E622" s="4">
        <v>40</v>
      </c>
      <c r="F622" s="4" t="str">
        <f>IF(Table156[[#This Row],[Age]]&lt;=19,"Teenager",IF(Table156[[#This Row],[Age]]&lt;=40,"Median","Old"))</f>
        <v>Median</v>
      </c>
      <c r="G622" s="4" t="s">
        <v>11</v>
      </c>
      <c r="H622" s="4">
        <v>2</v>
      </c>
      <c r="I622" s="4">
        <v>500</v>
      </c>
      <c r="J622" s="4">
        <v>1000</v>
      </c>
      <c r="K622" s="4" t="str" cm="1">
        <f t="array" ref="K622">_xlfn.IFS(AND(Table156[[#This Row],[Total Amount]]&gt;=1500),"Critical",AND(Table156[[#This Row],[Total Amount]]&gt;=1000),"High",TRUE,"Normal")</f>
        <v>High</v>
      </c>
      <c r="L622" s="4" t="str">
        <f>IF(Table156[[#This Row],[Total Amount]]&gt;=1000,"High",(IF(Table156[[#This Row],[Total Amount]]&gt;=500,"Medium","Low")))</f>
        <v>High</v>
      </c>
      <c r="M622" s="4" t="str" cm="1">
        <f t="array" ref="M62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22" s="4" cm="1">
        <f t="array" ref="N62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622" s="4">
        <f>Table156[[#This Row],[Total Amount]]-Table156[[#This Row],[Discount Amount]]</f>
        <v>800</v>
      </c>
      <c r="P622" s="4" t="str">
        <f>IF(Table156[[#This Row],[Total Amount]]&gt;=1000,"High","Low")</f>
        <v>High</v>
      </c>
      <c r="Q622" s="4" t="str" cm="1">
        <f t="array" ref="Q622">_xlfn.IFS(AND(Table156[[#This Row],[Total Amount]]&gt;=1500,"Critical"),AND(Table156[[#This Row],[Total Amount]]&gt;=1000,"High"),TRUE,"Normal")</f>
        <v>Normal</v>
      </c>
      <c r="R622" s="4">
        <f>COUNTIF(Table156[Gender],"Male")</f>
        <v>490</v>
      </c>
    </row>
    <row r="623" spans="1:18" x14ac:dyDescent="0.35">
      <c r="A623" s="4">
        <v>622</v>
      </c>
      <c r="B623" s="5">
        <v>45160</v>
      </c>
      <c r="C623" s="4" t="s">
        <v>635</v>
      </c>
      <c r="D623" s="4" t="s">
        <v>13</v>
      </c>
      <c r="E623" s="4">
        <v>49</v>
      </c>
      <c r="F623" s="4" t="str">
        <f>IF(Table156[[#This Row],[Age]]&lt;=19,"Teenager",IF(Table156[[#This Row],[Age]]&lt;=40,"Median","Old"))</f>
        <v>Old</v>
      </c>
      <c r="G623" s="4" t="s">
        <v>11</v>
      </c>
      <c r="H623" s="4">
        <v>3</v>
      </c>
      <c r="I623" s="4">
        <v>25</v>
      </c>
      <c r="J623" s="4">
        <v>75</v>
      </c>
      <c r="K623" s="4" t="str" cm="1">
        <f t="array" ref="K623">_xlfn.IFS(AND(Table156[[#This Row],[Total Amount]]&gt;=1500),"Critical",AND(Table156[[#This Row],[Total Amount]]&gt;=1000),"High",TRUE,"Normal")</f>
        <v>Normal</v>
      </c>
      <c r="L623" s="4" t="str">
        <f>IF(Table156[[#This Row],[Total Amount]]&gt;=1000,"High",(IF(Table156[[#This Row],[Total Amount]]&gt;=500,"Medium","Low")))</f>
        <v>Low</v>
      </c>
      <c r="M623" s="4" t="str" cm="1">
        <f t="array" ref="M62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23" s="4" cm="1">
        <f t="array" ref="N62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623" s="4">
        <f>Table156[[#This Row],[Total Amount]]-Table156[[#This Row],[Discount Amount]]</f>
        <v>60</v>
      </c>
      <c r="P623" s="4" t="str">
        <f>IF(Table156[[#This Row],[Total Amount]]&gt;=1000,"High","Low")</f>
        <v>Low</v>
      </c>
      <c r="Q623" s="4" t="str" cm="1">
        <f t="array" ref="Q623">_xlfn.IFS(AND(Table156[[#This Row],[Total Amount]]&gt;=1500,"Critical"),AND(Table156[[#This Row],[Total Amount]]&gt;=1000,"High"),TRUE,"Normal")</f>
        <v>Normal</v>
      </c>
      <c r="R623" s="4">
        <f>COUNTIF(Table156[Gender],"Male")</f>
        <v>490</v>
      </c>
    </row>
    <row r="624" spans="1:18" x14ac:dyDescent="0.35">
      <c r="A624" s="4">
        <v>623</v>
      </c>
      <c r="B624" s="5">
        <v>44995</v>
      </c>
      <c r="C624" s="4" t="s">
        <v>636</v>
      </c>
      <c r="D624" s="4" t="s">
        <v>10</v>
      </c>
      <c r="E624" s="4">
        <v>34</v>
      </c>
      <c r="F624" s="4" t="str">
        <f>IF(Table156[[#This Row],[Age]]&lt;=19,"Teenager",IF(Table156[[#This Row],[Age]]&lt;=40,"Median","Old"))</f>
        <v>Median</v>
      </c>
      <c r="G624" s="4" t="s">
        <v>14</v>
      </c>
      <c r="H624" s="4">
        <v>3</v>
      </c>
      <c r="I624" s="4">
        <v>50</v>
      </c>
      <c r="J624" s="4">
        <v>150</v>
      </c>
      <c r="K624" s="4" t="str" cm="1">
        <f t="array" ref="K624">_xlfn.IFS(AND(Table156[[#This Row],[Total Amount]]&gt;=1500),"Critical",AND(Table156[[#This Row],[Total Amount]]&gt;=1000),"High",TRUE,"Normal")</f>
        <v>Normal</v>
      </c>
      <c r="L624" s="4" t="str">
        <f>IF(Table156[[#This Row],[Total Amount]]&gt;=1000,"High",(IF(Table156[[#This Row],[Total Amount]]&gt;=500,"Medium","Low")))</f>
        <v>Low</v>
      </c>
      <c r="M624" s="4" t="str" cm="1">
        <f t="array" ref="M62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24" s="4" cm="1">
        <f t="array" ref="N62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22.5</v>
      </c>
      <c r="O624" s="4">
        <f>Table156[[#This Row],[Total Amount]]-Table156[[#This Row],[Discount Amount]]</f>
        <v>127.5</v>
      </c>
      <c r="P624" s="4" t="str">
        <f>IF(Table156[[#This Row],[Total Amount]]&gt;=1000,"High","Low")</f>
        <v>Low</v>
      </c>
      <c r="Q624" s="4" t="str" cm="1">
        <f t="array" ref="Q624">_xlfn.IFS(AND(Table156[[#This Row],[Total Amount]]&gt;=1500,"Critical"),AND(Table156[[#This Row],[Total Amount]]&gt;=1000,"High"),TRUE,"Normal")</f>
        <v>Normal</v>
      </c>
      <c r="R624" s="4">
        <f>COUNTIF(Table156[Gender],"Male")</f>
        <v>490</v>
      </c>
    </row>
    <row r="625" spans="1:18" x14ac:dyDescent="0.35">
      <c r="A625" s="4">
        <v>624</v>
      </c>
      <c r="B625" s="5">
        <v>45164</v>
      </c>
      <c r="C625" s="4" t="s">
        <v>637</v>
      </c>
      <c r="D625" s="4" t="s">
        <v>13</v>
      </c>
      <c r="E625" s="4">
        <v>34</v>
      </c>
      <c r="F625" s="4" t="str">
        <f>IF(Table156[[#This Row],[Age]]&lt;=19,"Teenager",IF(Table156[[#This Row],[Age]]&lt;=40,"Median","Old"))</f>
        <v>Median</v>
      </c>
      <c r="G625" s="4" t="s">
        <v>11</v>
      </c>
      <c r="H625" s="4">
        <v>3</v>
      </c>
      <c r="I625" s="4">
        <v>300</v>
      </c>
      <c r="J625" s="4">
        <v>900</v>
      </c>
      <c r="K625" s="4" t="str" cm="1">
        <f t="array" ref="K625">_xlfn.IFS(AND(Table156[[#This Row],[Total Amount]]&gt;=1500),"Critical",AND(Table156[[#This Row],[Total Amount]]&gt;=1000),"High",TRUE,"Normal")</f>
        <v>Normal</v>
      </c>
      <c r="L625" s="4" t="str">
        <f>IF(Table156[[#This Row],[Total Amount]]&gt;=1000,"High",(IF(Table156[[#This Row],[Total Amount]]&gt;=500,"Medium","Low")))</f>
        <v>Medium</v>
      </c>
      <c r="M625" s="4" t="str" cm="1">
        <f t="array" ref="M62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25" s="4" cm="1">
        <f t="array" ref="N62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135</v>
      </c>
      <c r="O625" s="4">
        <f>Table156[[#This Row],[Total Amount]]-Table156[[#This Row],[Discount Amount]]</f>
        <v>765</v>
      </c>
      <c r="P625" s="4" t="str">
        <f>IF(Table156[[#This Row],[Total Amount]]&gt;=1000,"High","Low")</f>
        <v>Low</v>
      </c>
      <c r="Q625" s="4" t="str" cm="1">
        <f t="array" ref="Q625">_xlfn.IFS(AND(Table156[[#This Row],[Total Amount]]&gt;=1500,"Critical"),AND(Table156[[#This Row],[Total Amount]]&gt;=1000,"High"),TRUE,"Normal")</f>
        <v>Normal</v>
      </c>
      <c r="R625" s="4">
        <f>COUNTIF(Table156[Gender],"Male")</f>
        <v>490</v>
      </c>
    </row>
    <row r="626" spans="1:18" x14ac:dyDescent="0.35">
      <c r="A626" s="4">
        <v>625</v>
      </c>
      <c r="B626" s="5">
        <v>45268</v>
      </c>
      <c r="C626" s="4" t="s">
        <v>638</v>
      </c>
      <c r="D626" s="4" t="s">
        <v>10</v>
      </c>
      <c r="E626" s="4">
        <v>31</v>
      </c>
      <c r="F626" s="4" t="str">
        <f>IF(Table156[[#This Row],[Age]]&lt;=19,"Teenager",IF(Table156[[#This Row],[Age]]&lt;=40,"Median","Old"))</f>
        <v>Median</v>
      </c>
      <c r="G626" s="4" t="s">
        <v>14</v>
      </c>
      <c r="H626" s="4">
        <v>1</v>
      </c>
      <c r="I626" s="4">
        <v>300</v>
      </c>
      <c r="J626" s="4">
        <v>300</v>
      </c>
      <c r="K626" s="4" t="str" cm="1">
        <f t="array" ref="K626">_xlfn.IFS(AND(Table156[[#This Row],[Total Amount]]&gt;=1500),"Critical",AND(Table156[[#This Row],[Total Amount]]&gt;=1000),"High",TRUE,"Normal")</f>
        <v>Normal</v>
      </c>
      <c r="L626" s="4" t="str">
        <f>IF(Table156[[#This Row],[Total Amount]]&gt;=1000,"High",(IF(Table156[[#This Row],[Total Amount]]&gt;=500,"Medium","Low")))</f>
        <v>Low</v>
      </c>
      <c r="M626" s="4" t="str" cm="1">
        <f t="array" ref="M62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26" s="4" cm="1">
        <f t="array" ref="N62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45</v>
      </c>
      <c r="O626" s="4">
        <f>Table156[[#This Row],[Total Amount]]-Table156[[#This Row],[Discount Amount]]</f>
        <v>255</v>
      </c>
      <c r="P626" s="4" t="str">
        <f>IF(Table156[[#This Row],[Total Amount]]&gt;=1000,"High","Low")</f>
        <v>Low</v>
      </c>
      <c r="Q626" s="4" t="str" cm="1">
        <f t="array" ref="Q626">_xlfn.IFS(AND(Table156[[#This Row],[Total Amount]]&gt;=1500,"Critical"),AND(Table156[[#This Row],[Total Amount]]&gt;=1000,"High"),TRUE,"Normal")</f>
        <v>Normal</v>
      </c>
      <c r="R626" s="4">
        <f>COUNTIF(Table156[Gender],"Male")</f>
        <v>490</v>
      </c>
    </row>
    <row r="627" spans="1:18" x14ac:dyDescent="0.35">
      <c r="A627" s="4">
        <v>626</v>
      </c>
      <c r="B627" s="5">
        <v>45198</v>
      </c>
      <c r="C627" s="4" t="s">
        <v>639</v>
      </c>
      <c r="D627" s="4" t="s">
        <v>13</v>
      </c>
      <c r="E627" s="4">
        <v>26</v>
      </c>
      <c r="F627" s="4" t="str">
        <f>IF(Table156[[#This Row],[Age]]&lt;=19,"Teenager",IF(Table156[[#This Row],[Age]]&lt;=40,"Median","Old"))</f>
        <v>Median</v>
      </c>
      <c r="G627" s="4" t="s">
        <v>14</v>
      </c>
      <c r="H627" s="4">
        <v>4</v>
      </c>
      <c r="I627" s="4">
        <v>500</v>
      </c>
      <c r="J627" s="4">
        <v>2000</v>
      </c>
      <c r="K627" s="4" t="str" cm="1">
        <f t="array" ref="K627">_xlfn.IFS(AND(Table156[[#This Row],[Total Amount]]&gt;=1500),"Critical",AND(Table156[[#This Row],[Total Amount]]&gt;=1000),"High",TRUE,"Normal")</f>
        <v>Critical</v>
      </c>
      <c r="L627" s="4" t="str">
        <f>IF(Table156[[#This Row],[Total Amount]]&gt;=1000,"High",(IF(Table156[[#This Row],[Total Amount]]&gt;=500,"Medium","Low")))</f>
        <v>High</v>
      </c>
      <c r="M627" s="4" t="str" cm="1">
        <f t="array" ref="M62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27" s="4" cm="1">
        <f t="array" ref="N62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627" s="4">
        <f>Table156[[#This Row],[Total Amount]]-Table156[[#This Row],[Discount Amount]]</f>
        <v>1700</v>
      </c>
      <c r="P627" s="4" t="str">
        <f>IF(Table156[[#This Row],[Total Amount]]&gt;=1000,"High","Low")</f>
        <v>High</v>
      </c>
      <c r="Q627" s="4" t="b" cm="1">
        <f t="array" ref="Q627">_xlfn.IFS(AND(Table156[[#This Row],[Total Amount]]&gt;=1500,"Critical"),AND(Table156[[#This Row],[Total Amount]]&gt;=1000,"High"),TRUE,"Normal")</f>
        <v>1</v>
      </c>
      <c r="R627" s="4">
        <f>COUNTIF(Table156[Gender],"Male")</f>
        <v>490</v>
      </c>
    </row>
    <row r="628" spans="1:18" x14ac:dyDescent="0.35">
      <c r="A628" s="4">
        <v>627</v>
      </c>
      <c r="B628" s="5">
        <v>45213</v>
      </c>
      <c r="C628" s="4" t="s">
        <v>640</v>
      </c>
      <c r="D628" s="4" t="s">
        <v>10</v>
      </c>
      <c r="E628" s="4">
        <v>57</v>
      </c>
      <c r="F628" s="4" t="str">
        <f>IF(Table156[[#This Row],[Age]]&lt;=19,"Teenager",IF(Table156[[#This Row],[Age]]&lt;=40,"Median","Old"))</f>
        <v>Old</v>
      </c>
      <c r="G628" s="4" t="s">
        <v>14</v>
      </c>
      <c r="H628" s="4">
        <v>1</v>
      </c>
      <c r="I628" s="4">
        <v>50</v>
      </c>
      <c r="J628" s="4">
        <v>50</v>
      </c>
      <c r="K628" s="4" t="str" cm="1">
        <f t="array" ref="K628">_xlfn.IFS(AND(Table156[[#This Row],[Total Amount]]&gt;=1500),"Critical",AND(Table156[[#This Row],[Total Amount]]&gt;=1000),"High",TRUE,"Normal")</f>
        <v>Normal</v>
      </c>
      <c r="L628" s="4" t="str">
        <f>IF(Table156[[#This Row],[Total Amount]]&gt;=1000,"High",(IF(Table156[[#This Row],[Total Amount]]&gt;=500,"Medium","Low")))</f>
        <v>Low</v>
      </c>
      <c r="M628" s="4" t="str" cm="1">
        <f t="array" ref="M62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28" s="4" cm="1">
        <f t="array" ref="N62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628" s="4">
        <f>Table156[[#This Row],[Total Amount]]-Table156[[#This Row],[Discount Amount]]</f>
        <v>45</v>
      </c>
      <c r="P628" s="4" t="str">
        <f>IF(Table156[[#This Row],[Total Amount]]&gt;=1000,"High","Low")</f>
        <v>Low</v>
      </c>
      <c r="Q628" s="4" t="str" cm="1">
        <f t="array" ref="Q628">_xlfn.IFS(AND(Table156[[#This Row],[Total Amount]]&gt;=1500,"Critical"),AND(Table156[[#This Row],[Total Amount]]&gt;=1000,"High"),TRUE,"Normal")</f>
        <v>Normal</v>
      </c>
      <c r="R628" s="4">
        <f>COUNTIF(Table156[Gender],"Male")</f>
        <v>490</v>
      </c>
    </row>
    <row r="629" spans="1:18" x14ac:dyDescent="0.35">
      <c r="A629" s="4">
        <v>628</v>
      </c>
      <c r="B629" s="5">
        <v>45231</v>
      </c>
      <c r="C629" s="4" t="s">
        <v>641</v>
      </c>
      <c r="D629" s="4" t="s">
        <v>13</v>
      </c>
      <c r="E629" s="4">
        <v>19</v>
      </c>
      <c r="F629" s="4" t="str">
        <f>IF(Table156[[#This Row],[Age]]&lt;=19,"Teenager",IF(Table156[[#This Row],[Age]]&lt;=40,"Median","Old"))</f>
        <v>Teenager</v>
      </c>
      <c r="G629" s="4" t="s">
        <v>11</v>
      </c>
      <c r="H629" s="4">
        <v>4</v>
      </c>
      <c r="I629" s="4">
        <v>50</v>
      </c>
      <c r="J629" s="4">
        <v>200</v>
      </c>
      <c r="K629" s="4" t="str" cm="1">
        <f t="array" ref="K629">_xlfn.IFS(AND(Table156[[#This Row],[Total Amount]]&gt;=1500),"Critical",AND(Table156[[#This Row],[Total Amount]]&gt;=1000),"High",TRUE,"Normal")</f>
        <v>Normal</v>
      </c>
      <c r="L629" s="4" t="str">
        <f>IF(Table156[[#This Row],[Total Amount]]&gt;=1000,"High",(IF(Table156[[#This Row],[Total Amount]]&gt;=500,"Medium","Low")))</f>
        <v>Low</v>
      </c>
      <c r="M629" s="4" t="str" cm="1">
        <f t="array" ref="M62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629" s="4" cm="1">
        <f t="array" ref="N62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629" s="4">
        <f>Table156[[#This Row],[Total Amount]]-Table156[[#This Row],[Discount Amount]]</f>
        <v>200</v>
      </c>
      <c r="P629" s="4" t="str">
        <f>IF(Table156[[#This Row],[Total Amount]]&gt;=1000,"High","Low")</f>
        <v>Low</v>
      </c>
      <c r="Q629" s="4" t="str" cm="1">
        <f t="array" ref="Q629">_xlfn.IFS(AND(Table156[[#This Row],[Total Amount]]&gt;=1500,"Critical"),AND(Table156[[#This Row],[Total Amount]]&gt;=1000,"High"),TRUE,"Normal")</f>
        <v>Normal</v>
      </c>
      <c r="R629" s="4">
        <f>COUNTIF(Table156[Gender],"Male")</f>
        <v>490</v>
      </c>
    </row>
    <row r="630" spans="1:18" x14ac:dyDescent="0.35">
      <c r="A630" s="4">
        <v>629</v>
      </c>
      <c r="B630" s="5">
        <v>45089</v>
      </c>
      <c r="C630" s="4" t="s">
        <v>642</v>
      </c>
      <c r="D630" s="4" t="s">
        <v>10</v>
      </c>
      <c r="E630" s="4">
        <v>62</v>
      </c>
      <c r="F630" s="4" t="str">
        <f>IF(Table156[[#This Row],[Age]]&lt;=19,"Teenager",IF(Table156[[#This Row],[Age]]&lt;=40,"Median","Old"))</f>
        <v>Old</v>
      </c>
      <c r="G630" s="4" t="s">
        <v>16</v>
      </c>
      <c r="H630" s="4">
        <v>2</v>
      </c>
      <c r="I630" s="4">
        <v>25</v>
      </c>
      <c r="J630" s="4">
        <v>50</v>
      </c>
      <c r="K630" s="4" t="str" cm="1">
        <f t="array" ref="K630">_xlfn.IFS(AND(Table156[[#This Row],[Total Amount]]&gt;=1500),"Critical",AND(Table156[[#This Row],[Total Amount]]&gt;=1000),"High",TRUE,"Normal")</f>
        <v>Normal</v>
      </c>
      <c r="L630" s="4" t="str">
        <f>IF(Table156[[#This Row],[Total Amount]]&gt;=1000,"High",(IF(Table156[[#This Row],[Total Amount]]&gt;=500,"Medium","Low")))</f>
        <v>Low</v>
      </c>
      <c r="M630" s="4" t="str" cm="1">
        <f t="array" ref="M63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30" s="4" cm="1">
        <f t="array" ref="N63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630" s="4">
        <f>Table156[[#This Row],[Total Amount]]-Table156[[#This Row],[Discount Amount]]</f>
        <v>45</v>
      </c>
      <c r="P630" s="4" t="str">
        <f>IF(Table156[[#This Row],[Total Amount]]&gt;=1000,"High","Low")</f>
        <v>Low</v>
      </c>
      <c r="Q630" s="4" t="str" cm="1">
        <f t="array" ref="Q630">_xlfn.IFS(AND(Table156[[#This Row],[Total Amount]]&gt;=1500,"Critical"),AND(Table156[[#This Row],[Total Amount]]&gt;=1000,"High"),TRUE,"Normal")</f>
        <v>Normal</v>
      </c>
      <c r="R630" s="4">
        <f>COUNTIF(Table156[Gender],"Male")</f>
        <v>490</v>
      </c>
    </row>
    <row r="631" spans="1:18" x14ac:dyDescent="0.35">
      <c r="A631" s="4">
        <v>630</v>
      </c>
      <c r="B631" s="5">
        <v>45153</v>
      </c>
      <c r="C631" s="4" t="s">
        <v>643</v>
      </c>
      <c r="D631" s="4" t="s">
        <v>10</v>
      </c>
      <c r="E631" s="4">
        <v>42</v>
      </c>
      <c r="F631" s="4" t="str">
        <f>IF(Table156[[#This Row],[Age]]&lt;=19,"Teenager",IF(Table156[[#This Row],[Age]]&lt;=40,"Median","Old"))</f>
        <v>Old</v>
      </c>
      <c r="G631" s="4" t="s">
        <v>14</v>
      </c>
      <c r="H631" s="4">
        <v>2</v>
      </c>
      <c r="I631" s="4">
        <v>50</v>
      </c>
      <c r="J631" s="4">
        <v>100</v>
      </c>
      <c r="K631" s="4" t="str" cm="1">
        <f t="array" ref="K631">_xlfn.IFS(AND(Table156[[#This Row],[Total Amount]]&gt;=1500),"Critical",AND(Table156[[#This Row],[Total Amount]]&gt;=1000),"High",TRUE,"Normal")</f>
        <v>Normal</v>
      </c>
      <c r="L631" s="4" t="str">
        <f>IF(Table156[[#This Row],[Total Amount]]&gt;=1000,"High",(IF(Table156[[#This Row],[Total Amount]]&gt;=500,"Medium","Low")))</f>
        <v>Low</v>
      </c>
      <c r="M631" s="4" t="str" cm="1">
        <f t="array" ref="M63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31" s="4" cm="1">
        <f t="array" ref="N63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631" s="4">
        <f>Table156[[#This Row],[Total Amount]]-Table156[[#This Row],[Discount Amount]]</f>
        <v>90</v>
      </c>
      <c r="P631" s="4" t="str">
        <f>IF(Table156[[#This Row],[Total Amount]]&gt;=1000,"High","Low")</f>
        <v>Low</v>
      </c>
      <c r="Q631" s="4" t="str" cm="1">
        <f t="array" ref="Q631">_xlfn.IFS(AND(Table156[[#This Row],[Total Amount]]&gt;=1500,"Critical"),AND(Table156[[#This Row],[Total Amount]]&gt;=1000,"High"),TRUE,"Normal")</f>
        <v>Normal</v>
      </c>
      <c r="R631" s="4">
        <f>COUNTIF(Table156[Gender],"Male")</f>
        <v>490</v>
      </c>
    </row>
    <row r="632" spans="1:18" x14ac:dyDescent="0.35">
      <c r="A632" s="4">
        <v>631</v>
      </c>
      <c r="B632" s="5">
        <v>45240</v>
      </c>
      <c r="C632" s="4" t="s">
        <v>644</v>
      </c>
      <c r="D632" s="4" t="s">
        <v>10</v>
      </c>
      <c r="E632" s="4">
        <v>56</v>
      </c>
      <c r="F632" s="4" t="str">
        <f>IF(Table156[[#This Row],[Age]]&lt;=19,"Teenager",IF(Table156[[#This Row],[Age]]&lt;=40,"Median","Old"))</f>
        <v>Old</v>
      </c>
      <c r="G632" s="4" t="s">
        <v>16</v>
      </c>
      <c r="H632" s="4">
        <v>3</v>
      </c>
      <c r="I632" s="4">
        <v>30</v>
      </c>
      <c r="J632" s="4">
        <v>90</v>
      </c>
      <c r="K632" s="4" t="str" cm="1">
        <f t="array" ref="K632">_xlfn.IFS(AND(Table156[[#This Row],[Total Amount]]&gt;=1500),"Critical",AND(Table156[[#This Row],[Total Amount]]&gt;=1000),"High",TRUE,"Normal")</f>
        <v>Normal</v>
      </c>
      <c r="L632" s="4" t="str">
        <f>IF(Table156[[#This Row],[Total Amount]]&gt;=1000,"High",(IF(Table156[[#This Row],[Total Amount]]&gt;=500,"Medium","Low")))</f>
        <v>Low</v>
      </c>
      <c r="M632" s="4" t="str" cm="1">
        <f t="array" ref="M63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32" s="4" cm="1">
        <f t="array" ref="N63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</v>
      </c>
      <c r="O632" s="4">
        <f>Table156[[#This Row],[Total Amount]]-Table156[[#This Row],[Discount Amount]]</f>
        <v>81</v>
      </c>
      <c r="P632" s="4" t="str">
        <f>IF(Table156[[#This Row],[Total Amount]]&gt;=1000,"High","Low")</f>
        <v>Low</v>
      </c>
      <c r="Q632" s="4" t="str" cm="1">
        <f t="array" ref="Q632">_xlfn.IFS(AND(Table156[[#This Row],[Total Amount]]&gt;=1500,"Critical"),AND(Table156[[#This Row],[Total Amount]]&gt;=1000,"High"),TRUE,"Normal")</f>
        <v>Normal</v>
      </c>
      <c r="R632" s="4">
        <f>COUNTIF(Table156[Gender],"Male")</f>
        <v>490</v>
      </c>
    </row>
    <row r="633" spans="1:18" x14ac:dyDescent="0.35">
      <c r="A633" s="4">
        <v>632</v>
      </c>
      <c r="B633" s="5">
        <v>45185</v>
      </c>
      <c r="C633" s="4" t="s">
        <v>645</v>
      </c>
      <c r="D633" s="4" t="s">
        <v>13</v>
      </c>
      <c r="E633" s="4">
        <v>26</v>
      </c>
      <c r="F633" s="4" t="str">
        <f>IF(Table156[[#This Row],[Age]]&lt;=19,"Teenager",IF(Table156[[#This Row],[Age]]&lt;=40,"Median","Old"))</f>
        <v>Median</v>
      </c>
      <c r="G633" s="4" t="s">
        <v>16</v>
      </c>
      <c r="H633" s="4">
        <v>4</v>
      </c>
      <c r="I633" s="4">
        <v>25</v>
      </c>
      <c r="J633" s="4">
        <v>100</v>
      </c>
      <c r="K633" s="4" t="str" cm="1">
        <f t="array" ref="K633">_xlfn.IFS(AND(Table156[[#This Row],[Total Amount]]&gt;=1500),"Critical",AND(Table156[[#This Row],[Total Amount]]&gt;=1000),"High",TRUE,"Normal")</f>
        <v>Normal</v>
      </c>
      <c r="L633" s="4" t="str">
        <f>IF(Table156[[#This Row],[Total Amount]]&gt;=1000,"High",(IF(Table156[[#This Row],[Total Amount]]&gt;=500,"Medium","Low")))</f>
        <v>Low</v>
      </c>
      <c r="M633" s="4" t="str" cm="1">
        <f t="array" ref="M63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33" s="4" cm="1">
        <f t="array" ref="N63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633" s="4">
        <f>Table156[[#This Row],[Total Amount]]-Table156[[#This Row],[Discount Amount]]</f>
        <v>85</v>
      </c>
      <c r="P633" s="4" t="str">
        <f>IF(Table156[[#This Row],[Total Amount]]&gt;=1000,"High","Low")</f>
        <v>Low</v>
      </c>
      <c r="Q633" s="4" t="str" cm="1">
        <f t="array" ref="Q633">_xlfn.IFS(AND(Table156[[#This Row],[Total Amount]]&gt;=1500,"Critical"),AND(Table156[[#This Row],[Total Amount]]&gt;=1000,"High"),TRUE,"Normal")</f>
        <v>Normal</v>
      </c>
      <c r="R633" s="4">
        <f>COUNTIF(Table156[Gender],"Male")</f>
        <v>490</v>
      </c>
    </row>
    <row r="634" spans="1:18" x14ac:dyDescent="0.35">
      <c r="A634" s="4">
        <v>633</v>
      </c>
      <c r="B634" s="5">
        <v>45145</v>
      </c>
      <c r="C634" s="4" t="s">
        <v>646</v>
      </c>
      <c r="D634" s="4" t="s">
        <v>10</v>
      </c>
      <c r="E634" s="4">
        <v>39</v>
      </c>
      <c r="F634" s="4" t="str">
        <f>IF(Table156[[#This Row],[Age]]&lt;=19,"Teenager",IF(Table156[[#This Row],[Age]]&lt;=40,"Median","Old"))</f>
        <v>Median</v>
      </c>
      <c r="G634" s="4" t="s">
        <v>11</v>
      </c>
      <c r="H634" s="4">
        <v>4</v>
      </c>
      <c r="I634" s="4">
        <v>30</v>
      </c>
      <c r="J634" s="4">
        <v>120</v>
      </c>
      <c r="K634" s="4" t="str" cm="1">
        <f t="array" ref="K634">_xlfn.IFS(AND(Table156[[#This Row],[Total Amount]]&gt;=1500),"Critical",AND(Table156[[#This Row],[Total Amount]]&gt;=1000),"High",TRUE,"Normal")</f>
        <v>Normal</v>
      </c>
      <c r="L634" s="4" t="str">
        <f>IF(Table156[[#This Row],[Total Amount]]&gt;=1000,"High",(IF(Table156[[#This Row],[Total Amount]]&gt;=500,"Medium","Low")))</f>
        <v>Low</v>
      </c>
      <c r="M634" s="4" t="str" cm="1">
        <f t="array" ref="M63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34" s="4" cm="1">
        <f t="array" ref="N63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634" s="4">
        <f>Table156[[#This Row],[Total Amount]]-Table156[[#This Row],[Discount Amount]]</f>
        <v>108</v>
      </c>
      <c r="P634" s="4" t="str">
        <f>IF(Table156[[#This Row],[Total Amount]]&gt;=1000,"High","Low")</f>
        <v>Low</v>
      </c>
      <c r="Q634" s="4" t="str" cm="1">
        <f t="array" ref="Q634">_xlfn.IFS(AND(Table156[[#This Row],[Total Amount]]&gt;=1500,"Critical"),AND(Table156[[#This Row],[Total Amount]]&gt;=1000,"High"),TRUE,"Normal")</f>
        <v>Normal</v>
      </c>
      <c r="R634" s="4">
        <f>COUNTIF(Table156[Gender],"Male")</f>
        <v>490</v>
      </c>
    </row>
    <row r="635" spans="1:18" x14ac:dyDescent="0.35">
      <c r="A635" s="4">
        <v>634</v>
      </c>
      <c r="B635" s="5">
        <v>45207</v>
      </c>
      <c r="C635" s="4" t="s">
        <v>647</v>
      </c>
      <c r="D635" s="4" t="s">
        <v>10</v>
      </c>
      <c r="E635" s="4">
        <v>60</v>
      </c>
      <c r="F635" s="4" t="str">
        <f>IF(Table156[[#This Row],[Age]]&lt;=19,"Teenager",IF(Table156[[#This Row],[Age]]&lt;=40,"Median","Old"))</f>
        <v>Old</v>
      </c>
      <c r="G635" s="4" t="s">
        <v>16</v>
      </c>
      <c r="H635" s="4">
        <v>4</v>
      </c>
      <c r="I635" s="4">
        <v>500</v>
      </c>
      <c r="J635" s="4">
        <v>2000</v>
      </c>
      <c r="K635" s="4" t="str" cm="1">
        <f t="array" ref="K635">_xlfn.IFS(AND(Table156[[#This Row],[Total Amount]]&gt;=1500),"Critical",AND(Table156[[#This Row],[Total Amount]]&gt;=1000),"High",TRUE,"Normal")</f>
        <v>Critical</v>
      </c>
      <c r="L635" s="4" t="str">
        <f>IF(Table156[[#This Row],[Total Amount]]&gt;=1000,"High",(IF(Table156[[#This Row],[Total Amount]]&gt;=500,"Medium","Low")))</f>
        <v>High</v>
      </c>
      <c r="M635" s="4" t="str" cm="1">
        <f t="array" ref="M63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35" s="4" cm="1">
        <f t="array" ref="N63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635" s="4">
        <f>Table156[[#This Row],[Total Amount]]-Table156[[#This Row],[Discount Amount]]</f>
        <v>1800</v>
      </c>
      <c r="P635" s="4" t="str">
        <f>IF(Table156[[#This Row],[Total Amount]]&gt;=1000,"High","Low")</f>
        <v>High</v>
      </c>
      <c r="Q635" s="4" t="b" cm="1">
        <f t="array" ref="Q635">_xlfn.IFS(AND(Table156[[#This Row],[Total Amount]]&gt;=1500,"Critical"),AND(Table156[[#This Row],[Total Amount]]&gt;=1000,"High"),TRUE,"Normal")</f>
        <v>1</v>
      </c>
      <c r="R635" s="4">
        <f>COUNTIF(Table156[Gender],"Male")</f>
        <v>490</v>
      </c>
    </row>
    <row r="636" spans="1:18" x14ac:dyDescent="0.35">
      <c r="A636" s="4">
        <v>635</v>
      </c>
      <c r="B636" s="5">
        <v>45155</v>
      </c>
      <c r="C636" s="4" t="s">
        <v>648</v>
      </c>
      <c r="D636" s="4" t="s">
        <v>13</v>
      </c>
      <c r="E636" s="4">
        <v>63</v>
      </c>
      <c r="F636" s="4" t="str">
        <f>IF(Table156[[#This Row],[Age]]&lt;=19,"Teenager",IF(Table156[[#This Row],[Age]]&lt;=40,"Median","Old"))</f>
        <v>Old</v>
      </c>
      <c r="G636" s="4" t="s">
        <v>16</v>
      </c>
      <c r="H636" s="4">
        <v>3</v>
      </c>
      <c r="I636" s="4">
        <v>300</v>
      </c>
      <c r="J636" s="4">
        <v>900</v>
      </c>
      <c r="K636" s="4" t="str" cm="1">
        <f t="array" ref="K636">_xlfn.IFS(AND(Table156[[#This Row],[Total Amount]]&gt;=1500),"Critical",AND(Table156[[#This Row],[Total Amount]]&gt;=1000),"High",TRUE,"Normal")</f>
        <v>Normal</v>
      </c>
      <c r="L636" s="4" t="str">
        <f>IF(Table156[[#This Row],[Total Amount]]&gt;=1000,"High",(IF(Table156[[#This Row],[Total Amount]]&gt;=500,"Medium","Low")))</f>
        <v>Medium</v>
      </c>
      <c r="M636" s="4" t="str" cm="1">
        <f t="array" ref="M63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36" s="4" cm="1">
        <f t="array" ref="N63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636" s="4">
        <f>Table156[[#This Row],[Total Amount]]-Table156[[#This Row],[Discount Amount]]</f>
        <v>720</v>
      </c>
      <c r="P636" s="4" t="str">
        <f>IF(Table156[[#This Row],[Total Amount]]&gt;=1000,"High","Low")</f>
        <v>Low</v>
      </c>
      <c r="Q636" s="4" t="str" cm="1">
        <f t="array" ref="Q636">_xlfn.IFS(AND(Table156[[#This Row],[Total Amount]]&gt;=1500,"Critical"),AND(Table156[[#This Row],[Total Amount]]&gt;=1000,"High"),TRUE,"Normal")</f>
        <v>Normal</v>
      </c>
      <c r="R636" s="4">
        <f>COUNTIF(Table156[Gender],"Male")</f>
        <v>490</v>
      </c>
    </row>
    <row r="637" spans="1:18" x14ac:dyDescent="0.35">
      <c r="A637" s="4">
        <v>636</v>
      </c>
      <c r="B637" s="5">
        <v>45008</v>
      </c>
      <c r="C637" s="4" t="s">
        <v>649</v>
      </c>
      <c r="D637" s="4" t="s">
        <v>13</v>
      </c>
      <c r="E637" s="4">
        <v>21</v>
      </c>
      <c r="F637" s="4" t="str">
        <f>IF(Table156[[#This Row],[Age]]&lt;=19,"Teenager",IF(Table156[[#This Row],[Age]]&lt;=40,"Median","Old"))</f>
        <v>Median</v>
      </c>
      <c r="G637" s="4" t="s">
        <v>11</v>
      </c>
      <c r="H637" s="4">
        <v>3</v>
      </c>
      <c r="I637" s="4">
        <v>500</v>
      </c>
      <c r="J637" s="4">
        <v>1500</v>
      </c>
      <c r="K637" s="4" t="str" cm="1">
        <f t="array" ref="K637">_xlfn.IFS(AND(Table156[[#This Row],[Total Amount]]&gt;=1500),"Critical",AND(Table156[[#This Row],[Total Amount]]&gt;=1000),"High",TRUE,"Normal")</f>
        <v>Critical</v>
      </c>
      <c r="L637" s="4" t="str">
        <f>IF(Table156[[#This Row],[Total Amount]]&gt;=1000,"High",(IF(Table156[[#This Row],[Total Amount]]&gt;=500,"Medium","Low")))</f>
        <v>High</v>
      </c>
      <c r="M637" s="4" t="str" cm="1">
        <f t="array" ref="M63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637" s="4" cm="1">
        <f t="array" ref="N63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637" s="4">
        <f>Table156[[#This Row],[Total Amount]]-Table156[[#This Row],[Discount Amount]]</f>
        <v>1500</v>
      </c>
      <c r="P637" s="4" t="str">
        <f>IF(Table156[[#This Row],[Total Amount]]&gt;=1000,"High","Low")</f>
        <v>High</v>
      </c>
      <c r="Q637" s="4" t="b" cm="1">
        <f t="array" ref="Q637">_xlfn.IFS(AND(Table156[[#This Row],[Total Amount]]&gt;=1500,"Critical"),AND(Table156[[#This Row],[Total Amount]]&gt;=1000,"High"),TRUE,"Normal")</f>
        <v>1</v>
      </c>
      <c r="R637" s="4">
        <f>COUNTIF(Table156[Gender],"Male")</f>
        <v>490</v>
      </c>
    </row>
    <row r="638" spans="1:18" x14ac:dyDescent="0.35">
      <c r="A638" s="4">
        <v>637</v>
      </c>
      <c r="B638" s="5">
        <v>45170</v>
      </c>
      <c r="C638" s="4" t="s">
        <v>650</v>
      </c>
      <c r="D638" s="4" t="s">
        <v>10</v>
      </c>
      <c r="E638" s="4">
        <v>43</v>
      </c>
      <c r="F638" s="4" t="str">
        <f>IF(Table156[[#This Row],[Age]]&lt;=19,"Teenager",IF(Table156[[#This Row],[Age]]&lt;=40,"Median","Old"))</f>
        <v>Old</v>
      </c>
      <c r="G638" s="4" t="s">
        <v>14</v>
      </c>
      <c r="H638" s="4">
        <v>2</v>
      </c>
      <c r="I638" s="4">
        <v>300</v>
      </c>
      <c r="J638" s="4">
        <v>600</v>
      </c>
      <c r="K638" s="4" t="str" cm="1">
        <f t="array" ref="K638">_xlfn.IFS(AND(Table156[[#This Row],[Total Amount]]&gt;=1500),"Critical",AND(Table156[[#This Row],[Total Amount]]&gt;=1000),"High",TRUE,"Normal")</f>
        <v>Normal</v>
      </c>
      <c r="L638" s="4" t="str">
        <f>IF(Table156[[#This Row],[Total Amount]]&gt;=1000,"High",(IF(Table156[[#This Row],[Total Amount]]&gt;=500,"Medium","Low")))</f>
        <v>Medium</v>
      </c>
      <c r="M638" s="4" t="str" cm="1">
        <f t="array" ref="M63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38" s="4" cm="1">
        <f t="array" ref="N63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638" s="4">
        <f>Table156[[#This Row],[Total Amount]]-Table156[[#This Row],[Discount Amount]]</f>
        <v>540</v>
      </c>
      <c r="P638" s="4" t="str">
        <f>IF(Table156[[#This Row],[Total Amount]]&gt;=1000,"High","Low")</f>
        <v>Low</v>
      </c>
      <c r="Q638" s="4" t="str" cm="1">
        <f t="array" ref="Q638">_xlfn.IFS(AND(Table156[[#This Row],[Total Amount]]&gt;=1500,"Critical"),AND(Table156[[#This Row],[Total Amount]]&gt;=1000,"High"),TRUE,"Normal")</f>
        <v>Normal</v>
      </c>
      <c r="R638" s="4">
        <f>COUNTIF(Table156[Gender],"Male")</f>
        <v>490</v>
      </c>
    </row>
    <row r="639" spans="1:18" x14ac:dyDescent="0.35">
      <c r="A639" s="4">
        <v>638</v>
      </c>
      <c r="B639" s="5">
        <v>45157</v>
      </c>
      <c r="C639" s="4" t="s">
        <v>651</v>
      </c>
      <c r="D639" s="4" t="s">
        <v>10</v>
      </c>
      <c r="E639" s="4">
        <v>46</v>
      </c>
      <c r="F639" s="4" t="str">
        <f>IF(Table156[[#This Row],[Age]]&lt;=19,"Teenager",IF(Table156[[#This Row],[Age]]&lt;=40,"Median","Old"))</f>
        <v>Old</v>
      </c>
      <c r="G639" s="4" t="s">
        <v>16</v>
      </c>
      <c r="H639" s="4">
        <v>1</v>
      </c>
      <c r="I639" s="4">
        <v>500</v>
      </c>
      <c r="J639" s="4">
        <v>500</v>
      </c>
      <c r="K639" s="4" t="str" cm="1">
        <f t="array" ref="K639">_xlfn.IFS(AND(Table156[[#This Row],[Total Amount]]&gt;=1500),"Critical",AND(Table156[[#This Row],[Total Amount]]&gt;=1000),"High",TRUE,"Normal")</f>
        <v>Normal</v>
      </c>
      <c r="L639" s="4" t="str">
        <f>IF(Table156[[#This Row],[Total Amount]]&gt;=1000,"High",(IF(Table156[[#This Row],[Total Amount]]&gt;=500,"Medium","Low")))</f>
        <v>Medium</v>
      </c>
      <c r="M639" s="4" t="str" cm="1">
        <f t="array" ref="M63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39" s="4" cm="1">
        <f t="array" ref="N63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639" s="4">
        <f>Table156[[#This Row],[Total Amount]]-Table156[[#This Row],[Discount Amount]]</f>
        <v>450</v>
      </c>
      <c r="P639" s="4" t="str">
        <f>IF(Table156[[#This Row],[Total Amount]]&gt;=1000,"High","Low")</f>
        <v>Low</v>
      </c>
      <c r="Q639" s="4" t="str" cm="1">
        <f t="array" ref="Q639">_xlfn.IFS(AND(Table156[[#This Row],[Total Amount]]&gt;=1500,"Critical"),AND(Table156[[#This Row],[Total Amount]]&gt;=1000,"High"),TRUE,"Normal")</f>
        <v>Normal</v>
      </c>
      <c r="R639" s="4">
        <f>COUNTIF(Table156[Gender],"Male")</f>
        <v>490</v>
      </c>
    </row>
    <row r="640" spans="1:18" x14ac:dyDescent="0.35">
      <c r="A640" s="4">
        <v>639</v>
      </c>
      <c r="B640" s="5">
        <v>45059</v>
      </c>
      <c r="C640" s="4" t="s">
        <v>652</v>
      </c>
      <c r="D640" s="4" t="s">
        <v>13</v>
      </c>
      <c r="E640" s="4">
        <v>62</v>
      </c>
      <c r="F640" s="4" t="str">
        <f>IF(Table156[[#This Row],[Age]]&lt;=19,"Teenager",IF(Table156[[#This Row],[Age]]&lt;=40,"Median","Old"))</f>
        <v>Old</v>
      </c>
      <c r="G640" s="4" t="s">
        <v>11</v>
      </c>
      <c r="H640" s="4">
        <v>4</v>
      </c>
      <c r="I640" s="4">
        <v>50</v>
      </c>
      <c r="J640" s="4">
        <v>200</v>
      </c>
      <c r="K640" s="4" t="str" cm="1">
        <f t="array" ref="K640">_xlfn.IFS(AND(Table156[[#This Row],[Total Amount]]&gt;=1500),"Critical",AND(Table156[[#This Row],[Total Amount]]&gt;=1000),"High",TRUE,"Normal")</f>
        <v>Normal</v>
      </c>
      <c r="L640" s="4" t="str">
        <f>IF(Table156[[#This Row],[Total Amount]]&gt;=1000,"High",(IF(Table156[[#This Row],[Total Amount]]&gt;=500,"Medium","Low")))</f>
        <v>Low</v>
      </c>
      <c r="M640" s="4" t="str" cm="1">
        <f t="array" ref="M64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40" s="4" cm="1">
        <f t="array" ref="N64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640" s="4">
        <f>Table156[[#This Row],[Total Amount]]-Table156[[#This Row],[Discount Amount]]</f>
        <v>160</v>
      </c>
      <c r="P640" s="4" t="str">
        <f>IF(Table156[[#This Row],[Total Amount]]&gt;=1000,"High","Low")</f>
        <v>Low</v>
      </c>
      <c r="Q640" s="4" t="str" cm="1">
        <f t="array" ref="Q640">_xlfn.IFS(AND(Table156[[#This Row],[Total Amount]]&gt;=1500,"Critical"),AND(Table156[[#This Row],[Total Amount]]&gt;=1000,"High"),TRUE,"Normal")</f>
        <v>Normal</v>
      </c>
      <c r="R640" s="4">
        <f>COUNTIF(Table156[Gender],"Male")</f>
        <v>490</v>
      </c>
    </row>
    <row r="641" spans="1:18" x14ac:dyDescent="0.35">
      <c r="A641" s="4">
        <v>640</v>
      </c>
      <c r="B641" s="5">
        <v>45053</v>
      </c>
      <c r="C641" s="4" t="s">
        <v>653</v>
      </c>
      <c r="D641" s="4" t="s">
        <v>13</v>
      </c>
      <c r="E641" s="4">
        <v>51</v>
      </c>
      <c r="F641" s="4" t="str">
        <f>IF(Table156[[#This Row],[Age]]&lt;=19,"Teenager",IF(Table156[[#This Row],[Age]]&lt;=40,"Median","Old"))</f>
        <v>Old</v>
      </c>
      <c r="G641" s="4" t="s">
        <v>16</v>
      </c>
      <c r="H641" s="4">
        <v>4</v>
      </c>
      <c r="I641" s="4">
        <v>30</v>
      </c>
      <c r="J641" s="4">
        <v>120</v>
      </c>
      <c r="K641" s="4" t="str" cm="1">
        <f t="array" ref="K641">_xlfn.IFS(AND(Table156[[#This Row],[Total Amount]]&gt;=1500),"Critical",AND(Table156[[#This Row],[Total Amount]]&gt;=1000),"High",TRUE,"Normal")</f>
        <v>Normal</v>
      </c>
      <c r="L641" s="4" t="str">
        <f>IF(Table156[[#This Row],[Total Amount]]&gt;=1000,"High",(IF(Table156[[#This Row],[Total Amount]]&gt;=500,"Medium","Low")))</f>
        <v>Low</v>
      </c>
      <c r="M641" s="4" t="str" cm="1">
        <f t="array" ref="M64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41" s="4" cm="1">
        <f t="array" ref="N64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641" s="4">
        <f>Table156[[#This Row],[Total Amount]]-Table156[[#This Row],[Discount Amount]]</f>
        <v>96</v>
      </c>
      <c r="P641" s="4" t="str">
        <f>IF(Table156[[#This Row],[Total Amount]]&gt;=1000,"High","Low")</f>
        <v>Low</v>
      </c>
      <c r="Q641" s="4" t="str" cm="1">
        <f t="array" ref="Q641">_xlfn.IFS(AND(Table156[[#This Row],[Total Amount]]&gt;=1500,"Critical"),AND(Table156[[#This Row],[Total Amount]]&gt;=1000,"High"),TRUE,"Normal")</f>
        <v>Normal</v>
      </c>
      <c r="R641" s="4">
        <f>COUNTIF(Table156[Gender],"Male")</f>
        <v>490</v>
      </c>
    </row>
    <row r="642" spans="1:18" x14ac:dyDescent="0.35">
      <c r="A642" s="4">
        <v>641</v>
      </c>
      <c r="B642" s="5">
        <v>45253</v>
      </c>
      <c r="C642" s="4" t="s">
        <v>654</v>
      </c>
      <c r="D642" s="4" t="s">
        <v>13</v>
      </c>
      <c r="E642" s="4">
        <v>40</v>
      </c>
      <c r="F642" s="4" t="str">
        <f>IF(Table156[[#This Row],[Age]]&lt;=19,"Teenager",IF(Table156[[#This Row],[Age]]&lt;=40,"Median","Old"))</f>
        <v>Median</v>
      </c>
      <c r="G642" s="4" t="s">
        <v>16</v>
      </c>
      <c r="H642" s="4">
        <v>1</v>
      </c>
      <c r="I642" s="4">
        <v>300</v>
      </c>
      <c r="J642" s="4">
        <v>300</v>
      </c>
      <c r="K642" s="4" t="str" cm="1">
        <f t="array" ref="K642">_xlfn.IFS(AND(Table156[[#This Row],[Total Amount]]&gt;=1500),"Critical",AND(Table156[[#This Row],[Total Amount]]&gt;=1000),"High",TRUE,"Normal")</f>
        <v>Normal</v>
      </c>
      <c r="L642" s="4" t="str">
        <f>IF(Table156[[#This Row],[Total Amount]]&gt;=1000,"High",(IF(Table156[[#This Row],[Total Amount]]&gt;=500,"Medium","Low")))</f>
        <v>Low</v>
      </c>
      <c r="M642" s="4" t="str" cm="1">
        <f t="array" ref="M64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42" s="4" cm="1">
        <f t="array" ref="N64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642" s="4">
        <f>Table156[[#This Row],[Total Amount]]-Table156[[#This Row],[Discount Amount]]</f>
        <v>240</v>
      </c>
      <c r="P642" s="4" t="str">
        <f>IF(Table156[[#This Row],[Total Amount]]&gt;=1000,"High","Low")</f>
        <v>Low</v>
      </c>
      <c r="Q642" s="4" t="str" cm="1">
        <f t="array" ref="Q642">_xlfn.IFS(AND(Table156[[#This Row],[Total Amount]]&gt;=1500,"Critical"),AND(Table156[[#This Row],[Total Amount]]&gt;=1000,"High"),TRUE,"Normal")</f>
        <v>Normal</v>
      </c>
      <c r="R642" s="4">
        <f>COUNTIF(Table156[Gender],"Male")</f>
        <v>490</v>
      </c>
    </row>
    <row r="643" spans="1:18" x14ac:dyDescent="0.35">
      <c r="A643" s="4">
        <v>642</v>
      </c>
      <c r="B643" s="5">
        <v>45068</v>
      </c>
      <c r="C643" s="4" t="s">
        <v>655</v>
      </c>
      <c r="D643" s="4" t="s">
        <v>13</v>
      </c>
      <c r="E643" s="4">
        <v>54</v>
      </c>
      <c r="F643" s="4" t="str">
        <f>IF(Table156[[#This Row],[Age]]&lt;=19,"Teenager",IF(Table156[[#This Row],[Age]]&lt;=40,"Median","Old"))</f>
        <v>Old</v>
      </c>
      <c r="G643" s="4" t="s">
        <v>14</v>
      </c>
      <c r="H643" s="4">
        <v>4</v>
      </c>
      <c r="I643" s="4">
        <v>25</v>
      </c>
      <c r="J643" s="4">
        <v>100</v>
      </c>
      <c r="K643" s="4" t="str" cm="1">
        <f t="array" ref="K643">_xlfn.IFS(AND(Table156[[#This Row],[Total Amount]]&gt;=1500),"Critical",AND(Table156[[#This Row],[Total Amount]]&gt;=1000),"High",TRUE,"Normal")</f>
        <v>Normal</v>
      </c>
      <c r="L643" s="4" t="str">
        <f>IF(Table156[[#This Row],[Total Amount]]&gt;=1000,"High",(IF(Table156[[#This Row],[Total Amount]]&gt;=500,"Medium","Low")))</f>
        <v>Low</v>
      </c>
      <c r="M643" s="4" t="str" cm="1">
        <f t="array" ref="M64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43" s="4" cm="1">
        <f t="array" ref="N64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643" s="4">
        <f>Table156[[#This Row],[Total Amount]]-Table156[[#This Row],[Discount Amount]]</f>
        <v>80</v>
      </c>
      <c r="P643" s="4" t="str">
        <f>IF(Table156[[#This Row],[Total Amount]]&gt;=1000,"High","Low")</f>
        <v>Low</v>
      </c>
      <c r="Q643" s="4" t="str" cm="1">
        <f t="array" ref="Q643">_xlfn.IFS(AND(Table156[[#This Row],[Total Amount]]&gt;=1500,"Critical"),AND(Table156[[#This Row],[Total Amount]]&gt;=1000,"High"),TRUE,"Normal")</f>
        <v>Normal</v>
      </c>
      <c r="R643" s="4">
        <f>COUNTIF(Table156[Gender],"Male")</f>
        <v>490</v>
      </c>
    </row>
    <row r="644" spans="1:18" x14ac:dyDescent="0.35">
      <c r="A644" s="4">
        <v>643</v>
      </c>
      <c r="B644" s="5">
        <v>45193</v>
      </c>
      <c r="C644" s="4" t="s">
        <v>656</v>
      </c>
      <c r="D644" s="4" t="s">
        <v>13</v>
      </c>
      <c r="E644" s="4">
        <v>28</v>
      </c>
      <c r="F644" s="4" t="str">
        <f>IF(Table156[[#This Row],[Age]]&lt;=19,"Teenager",IF(Table156[[#This Row],[Age]]&lt;=40,"Median","Old"))</f>
        <v>Median</v>
      </c>
      <c r="G644" s="4" t="s">
        <v>16</v>
      </c>
      <c r="H644" s="4">
        <v>3</v>
      </c>
      <c r="I644" s="4">
        <v>30</v>
      </c>
      <c r="J644" s="4">
        <v>90</v>
      </c>
      <c r="K644" s="4" t="str" cm="1">
        <f t="array" ref="K644">_xlfn.IFS(AND(Table156[[#This Row],[Total Amount]]&gt;=1500),"Critical",AND(Table156[[#This Row],[Total Amount]]&gt;=1000),"High",TRUE,"Normal")</f>
        <v>Normal</v>
      </c>
      <c r="L644" s="4" t="str">
        <f>IF(Table156[[#This Row],[Total Amount]]&gt;=1000,"High",(IF(Table156[[#This Row],[Total Amount]]&gt;=500,"Medium","Low")))</f>
        <v>Low</v>
      </c>
      <c r="M644" s="4" t="str" cm="1">
        <f t="array" ref="M64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44" s="4" cm="1">
        <f t="array" ref="N64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13.5</v>
      </c>
      <c r="O644" s="4">
        <f>Table156[[#This Row],[Total Amount]]-Table156[[#This Row],[Discount Amount]]</f>
        <v>76.5</v>
      </c>
      <c r="P644" s="4" t="str">
        <f>IF(Table156[[#This Row],[Total Amount]]&gt;=1000,"High","Low")</f>
        <v>Low</v>
      </c>
      <c r="Q644" s="4" t="str" cm="1">
        <f t="array" ref="Q644">_xlfn.IFS(AND(Table156[[#This Row],[Total Amount]]&gt;=1500,"Critical"),AND(Table156[[#This Row],[Total Amount]]&gt;=1000,"High"),TRUE,"Normal")</f>
        <v>Normal</v>
      </c>
      <c r="R644" s="4">
        <f>COUNTIF(Table156[Gender],"Male")</f>
        <v>490</v>
      </c>
    </row>
    <row r="645" spans="1:18" x14ac:dyDescent="0.35">
      <c r="A645" s="4">
        <v>644</v>
      </c>
      <c r="B645" s="5">
        <v>45175</v>
      </c>
      <c r="C645" s="4" t="s">
        <v>657</v>
      </c>
      <c r="D645" s="4" t="s">
        <v>10</v>
      </c>
      <c r="E645" s="4">
        <v>23</v>
      </c>
      <c r="F645" s="4" t="str">
        <f>IF(Table156[[#This Row],[Age]]&lt;=19,"Teenager",IF(Table156[[#This Row],[Age]]&lt;=40,"Median","Old"))</f>
        <v>Median</v>
      </c>
      <c r="G645" s="4" t="s">
        <v>11</v>
      </c>
      <c r="H645" s="4">
        <v>3</v>
      </c>
      <c r="I645" s="4">
        <v>25</v>
      </c>
      <c r="J645" s="4">
        <v>75</v>
      </c>
      <c r="K645" s="4" t="str" cm="1">
        <f t="array" ref="K645">_xlfn.IFS(AND(Table156[[#This Row],[Total Amount]]&gt;=1500),"Critical",AND(Table156[[#This Row],[Total Amount]]&gt;=1000),"High",TRUE,"Normal")</f>
        <v>Normal</v>
      </c>
      <c r="L645" s="4" t="str">
        <f>IF(Table156[[#This Row],[Total Amount]]&gt;=1000,"High",(IF(Table156[[#This Row],[Total Amount]]&gt;=500,"Medium","Low")))</f>
        <v>Low</v>
      </c>
      <c r="M645" s="4" t="str" cm="1">
        <f t="array" ref="M64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645" s="4" cm="1">
        <f t="array" ref="N64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645" s="4">
        <f>Table156[[#This Row],[Total Amount]]-Table156[[#This Row],[Discount Amount]]</f>
        <v>75</v>
      </c>
      <c r="P645" s="4" t="str">
        <f>IF(Table156[[#This Row],[Total Amount]]&gt;=1000,"High","Low")</f>
        <v>Low</v>
      </c>
      <c r="Q645" s="4" t="str" cm="1">
        <f t="array" ref="Q645">_xlfn.IFS(AND(Table156[[#This Row],[Total Amount]]&gt;=1500,"Critical"),AND(Table156[[#This Row],[Total Amount]]&gt;=1000,"High"),TRUE,"Normal")</f>
        <v>Normal</v>
      </c>
      <c r="R645" s="4">
        <f>COUNTIF(Table156[Gender],"Male")</f>
        <v>490</v>
      </c>
    </row>
    <row r="646" spans="1:18" x14ac:dyDescent="0.35">
      <c r="A646" s="4">
        <v>645</v>
      </c>
      <c r="B646" s="5">
        <v>45247</v>
      </c>
      <c r="C646" s="4" t="s">
        <v>658</v>
      </c>
      <c r="D646" s="4" t="s">
        <v>13</v>
      </c>
      <c r="E646" s="4">
        <v>35</v>
      </c>
      <c r="F646" s="4" t="str">
        <f>IF(Table156[[#This Row],[Age]]&lt;=19,"Teenager",IF(Table156[[#This Row],[Age]]&lt;=40,"Median","Old"))</f>
        <v>Median</v>
      </c>
      <c r="G646" s="4" t="s">
        <v>16</v>
      </c>
      <c r="H646" s="4">
        <v>4</v>
      </c>
      <c r="I646" s="4">
        <v>30</v>
      </c>
      <c r="J646" s="4">
        <v>120</v>
      </c>
      <c r="K646" s="4" t="str" cm="1">
        <f t="array" ref="K646">_xlfn.IFS(AND(Table156[[#This Row],[Total Amount]]&gt;=1500),"Critical",AND(Table156[[#This Row],[Total Amount]]&gt;=1000),"High",TRUE,"Normal")</f>
        <v>Normal</v>
      </c>
      <c r="L646" s="4" t="str">
        <f>IF(Table156[[#This Row],[Total Amount]]&gt;=1000,"High",(IF(Table156[[#This Row],[Total Amount]]&gt;=500,"Medium","Low")))</f>
        <v>Low</v>
      </c>
      <c r="M646" s="4" t="str" cm="1">
        <f t="array" ref="M64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46" s="4" cm="1">
        <f t="array" ref="N64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646" s="4">
        <f>Table156[[#This Row],[Total Amount]]-Table156[[#This Row],[Discount Amount]]</f>
        <v>96</v>
      </c>
      <c r="P646" s="4" t="str">
        <f>IF(Table156[[#This Row],[Total Amount]]&gt;=1000,"High","Low")</f>
        <v>Low</v>
      </c>
      <c r="Q646" s="4" t="str" cm="1">
        <f t="array" ref="Q646">_xlfn.IFS(AND(Table156[[#This Row],[Total Amount]]&gt;=1500,"Critical"),AND(Table156[[#This Row],[Total Amount]]&gt;=1000,"High"),TRUE,"Normal")</f>
        <v>Normal</v>
      </c>
      <c r="R646" s="4">
        <f>COUNTIF(Table156[Gender],"Male")</f>
        <v>490</v>
      </c>
    </row>
    <row r="647" spans="1:18" x14ac:dyDescent="0.35">
      <c r="A647" s="4">
        <v>646</v>
      </c>
      <c r="B647" s="5">
        <v>45049</v>
      </c>
      <c r="C647" s="4" t="s">
        <v>659</v>
      </c>
      <c r="D647" s="4" t="s">
        <v>10</v>
      </c>
      <c r="E647" s="4">
        <v>38</v>
      </c>
      <c r="F647" s="4" t="str">
        <f>IF(Table156[[#This Row],[Age]]&lt;=19,"Teenager",IF(Table156[[#This Row],[Age]]&lt;=40,"Median","Old"))</f>
        <v>Median</v>
      </c>
      <c r="G647" s="4" t="s">
        <v>14</v>
      </c>
      <c r="H647" s="4">
        <v>3</v>
      </c>
      <c r="I647" s="4">
        <v>30</v>
      </c>
      <c r="J647" s="4">
        <v>90</v>
      </c>
      <c r="K647" s="4" t="str" cm="1">
        <f t="array" ref="K647">_xlfn.IFS(AND(Table156[[#This Row],[Total Amount]]&gt;=1500),"Critical",AND(Table156[[#This Row],[Total Amount]]&gt;=1000),"High",TRUE,"Normal")</f>
        <v>Normal</v>
      </c>
      <c r="L647" s="4" t="str">
        <f>IF(Table156[[#This Row],[Total Amount]]&gt;=1000,"High",(IF(Table156[[#This Row],[Total Amount]]&gt;=500,"Medium","Low")))</f>
        <v>Low</v>
      </c>
      <c r="M647" s="4" t="str" cm="1">
        <f t="array" ref="M64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47" s="4" cm="1">
        <f t="array" ref="N64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</v>
      </c>
      <c r="O647" s="4">
        <f>Table156[[#This Row],[Total Amount]]-Table156[[#This Row],[Discount Amount]]</f>
        <v>81</v>
      </c>
      <c r="P647" s="4" t="str">
        <f>IF(Table156[[#This Row],[Total Amount]]&gt;=1000,"High","Low")</f>
        <v>Low</v>
      </c>
      <c r="Q647" s="4" t="str" cm="1">
        <f t="array" ref="Q647">_xlfn.IFS(AND(Table156[[#This Row],[Total Amount]]&gt;=1500,"Critical"),AND(Table156[[#This Row],[Total Amount]]&gt;=1000,"High"),TRUE,"Normal")</f>
        <v>Normal</v>
      </c>
      <c r="R647" s="4">
        <f>COUNTIF(Table156[Gender],"Male")</f>
        <v>490</v>
      </c>
    </row>
    <row r="648" spans="1:18" x14ac:dyDescent="0.35">
      <c r="A648" s="4">
        <v>647</v>
      </c>
      <c r="B648" s="5">
        <v>45067</v>
      </c>
      <c r="C648" s="4" t="s">
        <v>660</v>
      </c>
      <c r="D648" s="4" t="s">
        <v>10</v>
      </c>
      <c r="E648" s="4">
        <v>59</v>
      </c>
      <c r="F648" s="4" t="str">
        <f>IF(Table156[[#This Row],[Age]]&lt;=19,"Teenager",IF(Table156[[#This Row],[Age]]&lt;=40,"Median","Old"))</f>
        <v>Old</v>
      </c>
      <c r="G648" s="4" t="s">
        <v>14</v>
      </c>
      <c r="H648" s="4">
        <v>3</v>
      </c>
      <c r="I648" s="4">
        <v>500</v>
      </c>
      <c r="J648" s="4">
        <v>1500</v>
      </c>
      <c r="K648" s="4" t="str" cm="1">
        <f t="array" ref="K648">_xlfn.IFS(AND(Table156[[#This Row],[Total Amount]]&gt;=1500),"Critical",AND(Table156[[#This Row],[Total Amount]]&gt;=1000),"High",TRUE,"Normal")</f>
        <v>Critical</v>
      </c>
      <c r="L648" s="4" t="str">
        <f>IF(Table156[[#This Row],[Total Amount]]&gt;=1000,"High",(IF(Table156[[#This Row],[Total Amount]]&gt;=500,"Medium","Low")))</f>
        <v>High</v>
      </c>
      <c r="M648" s="4" t="str" cm="1">
        <f t="array" ref="M64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48" s="4" cm="1">
        <f t="array" ref="N64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648" s="4">
        <f>Table156[[#This Row],[Total Amount]]-Table156[[#This Row],[Discount Amount]]</f>
        <v>1350</v>
      </c>
      <c r="P648" s="4" t="str">
        <f>IF(Table156[[#This Row],[Total Amount]]&gt;=1000,"High","Low")</f>
        <v>High</v>
      </c>
      <c r="Q648" s="4" t="b" cm="1">
        <f t="array" ref="Q648">_xlfn.IFS(AND(Table156[[#This Row],[Total Amount]]&gt;=1500,"Critical"),AND(Table156[[#This Row],[Total Amount]]&gt;=1000,"High"),TRUE,"Normal")</f>
        <v>1</v>
      </c>
      <c r="R648" s="4">
        <f>COUNTIF(Table156[Gender],"Male")</f>
        <v>490</v>
      </c>
    </row>
    <row r="649" spans="1:18" x14ac:dyDescent="0.35">
      <c r="A649" s="4">
        <v>648</v>
      </c>
      <c r="B649" s="5">
        <v>45152</v>
      </c>
      <c r="C649" s="4" t="s">
        <v>661</v>
      </c>
      <c r="D649" s="4" t="s">
        <v>10</v>
      </c>
      <c r="E649" s="4">
        <v>53</v>
      </c>
      <c r="F649" s="4" t="str">
        <f>IF(Table156[[#This Row],[Age]]&lt;=19,"Teenager",IF(Table156[[#This Row],[Age]]&lt;=40,"Median","Old"))</f>
        <v>Old</v>
      </c>
      <c r="G649" s="4" t="s">
        <v>11</v>
      </c>
      <c r="H649" s="4">
        <v>4</v>
      </c>
      <c r="I649" s="4">
        <v>300</v>
      </c>
      <c r="J649" s="4">
        <v>1200</v>
      </c>
      <c r="K649" s="4" t="str" cm="1">
        <f t="array" ref="K649">_xlfn.IFS(AND(Table156[[#This Row],[Total Amount]]&gt;=1500),"Critical",AND(Table156[[#This Row],[Total Amount]]&gt;=1000),"High",TRUE,"Normal")</f>
        <v>High</v>
      </c>
      <c r="L649" s="4" t="str">
        <f>IF(Table156[[#This Row],[Total Amount]]&gt;=1000,"High",(IF(Table156[[#This Row],[Total Amount]]&gt;=500,"Medium","Low")))</f>
        <v>High</v>
      </c>
      <c r="M649" s="4" t="str" cm="1">
        <f t="array" ref="M64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49" s="4" cm="1">
        <f t="array" ref="N64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649" s="4">
        <f>Table156[[#This Row],[Total Amount]]-Table156[[#This Row],[Discount Amount]]</f>
        <v>1080</v>
      </c>
      <c r="P649" s="4" t="str">
        <f>IF(Table156[[#This Row],[Total Amount]]&gt;=1000,"High","Low")</f>
        <v>High</v>
      </c>
      <c r="Q649" s="4" t="str" cm="1">
        <f t="array" ref="Q649">_xlfn.IFS(AND(Table156[[#This Row],[Total Amount]]&gt;=1500,"Critical"),AND(Table156[[#This Row],[Total Amount]]&gt;=1000,"High"),TRUE,"Normal")</f>
        <v>Normal</v>
      </c>
      <c r="R649" s="4">
        <f>COUNTIF(Table156[Gender],"Male")</f>
        <v>490</v>
      </c>
    </row>
    <row r="650" spans="1:18" x14ac:dyDescent="0.35">
      <c r="A650" s="4">
        <v>649</v>
      </c>
      <c r="B650" s="5">
        <v>44966</v>
      </c>
      <c r="C650" s="4" t="s">
        <v>662</v>
      </c>
      <c r="D650" s="4" t="s">
        <v>13</v>
      </c>
      <c r="E650" s="4">
        <v>58</v>
      </c>
      <c r="F650" s="4" t="str">
        <f>IF(Table156[[#This Row],[Age]]&lt;=19,"Teenager",IF(Table156[[#This Row],[Age]]&lt;=40,"Median","Old"))</f>
        <v>Old</v>
      </c>
      <c r="G650" s="4" t="s">
        <v>14</v>
      </c>
      <c r="H650" s="4">
        <v>2</v>
      </c>
      <c r="I650" s="4">
        <v>300</v>
      </c>
      <c r="J650" s="4">
        <v>600</v>
      </c>
      <c r="K650" s="4" t="str" cm="1">
        <f t="array" ref="K650">_xlfn.IFS(AND(Table156[[#This Row],[Total Amount]]&gt;=1500),"Critical",AND(Table156[[#This Row],[Total Amount]]&gt;=1000),"High",TRUE,"Normal")</f>
        <v>Normal</v>
      </c>
      <c r="L650" s="4" t="str">
        <f>IF(Table156[[#This Row],[Total Amount]]&gt;=1000,"High",(IF(Table156[[#This Row],[Total Amount]]&gt;=500,"Medium","Low")))</f>
        <v>Medium</v>
      </c>
      <c r="M650" s="4" t="str" cm="1">
        <f t="array" ref="M65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50" s="4" cm="1">
        <f t="array" ref="N65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650" s="4">
        <f>Table156[[#This Row],[Total Amount]]-Table156[[#This Row],[Discount Amount]]</f>
        <v>480</v>
      </c>
      <c r="P650" s="4" t="str">
        <f>IF(Table156[[#This Row],[Total Amount]]&gt;=1000,"High","Low")</f>
        <v>Low</v>
      </c>
      <c r="Q650" s="4" t="str" cm="1">
        <f t="array" ref="Q650">_xlfn.IFS(AND(Table156[[#This Row],[Total Amount]]&gt;=1500,"Critical"),AND(Table156[[#This Row],[Total Amount]]&gt;=1000,"High"),TRUE,"Normal")</f>
        <v>Normal</v>
      </c>
      <c r="R650" s="4">
        <f>COUNTIF(Table156[Gender],"Male")</f>
        <v>490</v>
      </c>
    </row>
    <row r="651" spans="1:18" x14ac:dyDescent="0.35">
      <c r="A651" s="4">
        <v>650</v>
      </c>
      <c r="B651" s="5">
        <v>45292</v>
      </c>
      <c r="C651" s="4" t="s">
        <v>663</v>
      </c>
      <c r="D651" s="4" t="s">
        <v>10</v>
      </c>
      <c r="E651" s="4">
        <v>55</v>
      </c>
      <c r="F651" s="4" t="str">
        <f>IF(Table156[[#This Row],[Age]]&lt;=19,"Teenager",IF(Table156[[#This Row],[Age]]&lt;=40,"Median","Old"))</f>
        <v>Old</v>
      </c>
      <c r="G651" s="4" t="s">
        <v>16</v>
      </c>
      <c r="H651" s="4">
        <v>1</v>
      </c>
      <c r="I651" s="4">
        <v>30</v>
      </c>
      <c r="J651" s="4">
        <v>30</v>
      </c>
      <c r="K651" s="4" t="str" cm="1">
        <f t="array" ref="K651">_xlfn.IFS(AND(Table156[[#This Row],[Total Amount]]&gt;=1500),"Critical",AND(Table156[[#This Row],[Total Amount]]&gt;=1000),"High",TRUE,"Normal")</f>
        <v>Normal</v>
      </c>
      <c r="L651" s="4" t="str">
        <f>IF(Table156[[#This Row],[Total Amount]]&gt;=1000,"High",(IF(Table156[[#This Row],[Total Amount]]&gt;=500,"Medium","Low")))</f>
        <v>Low</v>
      </c>
      <c r="M651" s="4" t="str" cm="1">
        <f t="array" ref="M65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51" s="4" cm="1">
        <f t="array" ref="N65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651" s="4">
        <f>Table156[[#This Row],[Total Amount]]-Table156[[#This Row],[Discount Amount]]</f>
        <v>27</v>
      </c>
      <c r="P651" s="4" t="str">
        <f>IF(Table156[[#This Row],[Total Amount]]&gt;=1000,"High","Low")</f>
        <v>Low</v>
      </c>
      <c r="Q651" s="4" t="str" cm="1">
        <f t="array" ref="Q651">_xlfn.IFS(AND(Table156[[#This Row],[Total Amount]]&gt;=1500,"Critical"),AND(Table156[[#This Row],[Total Amount]]&gt;=1000,"High"),TRUE,"Normal")</f>
        <v>Normal</v>
      </c>
      <c r="R651" s="4">
        <f>COUNTIF(Table156[Gender],"Male")</f>
        <v>490</v>
      </c>
    </row>
    <row r="652" spans="1:18" x14ac:dyDescent="0.35">
      <c r="A652" s="4">
        <v>651</v>
      </c>
      <c r="B652" s="5">
        <v>45073</v>
      </c>
      <c r="C652" s="4" t="s">
        <v>664</v>
      </c>
      <c r="D652" s="4" t="s">
        <v>10</v>
      </c>
      <c r="E652" s="4">
        <v>51</v>
      </c>
      <c r="F652" s="4" t="str">
        <f>IF(Table156[[#This Row],[Age]]&lt;=19,"Teenager",IF(Table156[[#This Row],[Age]]&lt;=40,"Median","Old"))</f>
        <v>Old</v>
      </c>
      <c r="G652" s="4" t="s">
        <v>14</v>
      </c>
      <c r="H652" s="4">
        <v>3</v>
      </c>
      <c r="I652" s="4">
        <v>50</v>
      </c>
      <c r="J652" s="4">
        <v>150</v>
      </c>
      <c r="K652" s="4" t="str" cm="1">
        <f t="array" ref="K652">_xlfn.IFS(AND(Table156[[#This Row],[Total Amount]]&gt;=1500),"Critical",AND(Table156[[#This Row],[Total Amount]]&gt;=1000),"High",TRUE,"Normal")</f>
        <v>Normal</v>
      </c>
      <c r="L652" s="4" t="str">
        <f>IF(Table156[[#This Row],[Total Amount]]&gt;=1000,"High",(IF(Table156[[#This Row],[Total Amount]]&gt;=500,"Medium","Low")))</f>
        <v>Low</v>
      </c>
      <c r="M652" s="4" t="str" cm="1">
        <f t="array" ref="M65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52" s="4" cm="1">
        <f t="array" ref="N65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652" s="4">
        <f>Table156[[#This Row],[Total Amount]]-Table156[[#This Row],[Discount Amount]]</f>
        <v>135</v>
      </c>
      <c r="P652" s="4" t="str">
        <f>IF(Table156[[#This Row],[Total Amount]]&gt;=1000,"High","Low")</f>
        <v>Low</v>
      </c>
      <c r="Q652" s="4" t="str" cm="1">
        <f t="array" ref="Q652">_xlfn.IFS(AND(Table156[[#This Row],[Total Amount]]&gt;=1500,"Critical"),AND(Table156[[#This Row],[Total Amount]]&gt;=1000,"High"),TRUE,"Normal")</f>
        <v>Normal</v>
      </c>
      <c r="R652" s="4">
        <f>COUNTIF(Table156[Gender],"Male")</f>
        <v>490</v>
      </c>
    </row>
    <row r="653" spans="1:18" x14ac:dyDescent="0.35">
      <c r="A653" s="4">
        <v>652</v>
      </c>
      <c r="B653" s="5">
        <v>45047</v>
      </c>
      <c r="C653" s="4" t="s">
        <v>665</v>
      </c>
      <c r="D653" s="4" t="s">
        <v>13</v>
      </c>
      <c r="E653" s="4">
        <v>34</v>
      </c>
      <c r="F653" s="4" t="str">
        <f>IF(Table156[[#This Row],[Age]]&lt;=19,"Teenager",IF(Table156[[#This Row],[Age]]&lt;=40,"Median","Old"))</f>
        <v>Median</v>
      </c>
      <c r="G653" s="4" t="s">
        <v>11</v>
      </c>
      <c r="H653" s="4">
        <v>2</v>
      </c>
      <c r="I653" s="4">
        <v>50</v>
      </c>
      <c r="J653" s="4">
        <v>100</v>
      </c>
      <c r="K653" s="4" t="str" cm="1">
        <f t="array" ref="K653">_xlfn.IFS(AND(Table156[[#This Row],[Total Amount]]&gt;=1500),"Critical",AND(Table156[[#This Row],[Total Amount]]&gt;=1000),"High",TRUE,"Normal")</f>
        <v>Normal</v>
      </c>
      <c r="L653" s="4" t="str">
        <f>IF(Table156[[#This Row],[Total Amount]]&gt;=1000,"High",(IF(Table156[[#This Row],[Total Amount]]&gt;=500,"Medium","Low")))</f>
        <v>Low</v>
      </c>
      <c r="M653" s="4" t="str" cm="1">
        <f t="array" ref="M65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53" s="4" cm="1">
        <f t="array" ref="N65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653" s="4">
        <f>Table156[[#This Row],[Total Amount]]-Table156[[#This Row],[Discount Amount]]</f>
        <v>85</v>
      </c>
      <c r="P653" s="4" t="str">
        <f>IF(Table156[[#This Row],[Total Amount]]&gt;=1000,"High","Low")</f>
        <v>Low</v>
      </c>
      <c r="Q653" s="4" t="str" cm="1">
        <f t="array" ref="Q653">_xlfn.IFS(AND(Table156[[#This Row],[Total Amount]]&gt;=1500,"Critical"),AND(Table156[[#This Row],[Total Amount]]&gt;=1000,"High"),TRUE,"Normal")</f>
        <v>Normal</v>
      </c>
      <c r="R653" s="4">
        <f>COUNTIF(Table156[Gender],"Male")</f>
        <v>490</v>
      </c>
    </row>
    <row r="654" spans="1:18" x14ac:dyDescent="0.35">
      <c r="A654" s="4">
        <v>653</v>
      </c>
      <c r="B654" s="5">
        <v>45066</v>
      </c>
      <c r="C654" s="4" t="s">
        <v>666</v>
      </c>
      <c r="D654" s="4" t="s">
        <v>10</v>
      </c>
      <c r="E654" s="4">
        <v>54</v>
      </c>
      <c r="F654" s="4" t="str">
        <f>IF(Table156[[#This Row],[Age]]&lt;=19,"Teenager",IF(Table156[[#This Row],[Age]]&lt;=40,"Median","Old"))</f>
        <v>Old</v>
      </c>
      <c r="G654" s="4" t="s">
        <v>14</v>
      </c>
      <c r="H654" s="4">
        <v>3</v>
      </c>
      <c r="I654" s="4">
        <v>25</v>
      </c>
      <c r="J654" s="4">
        <v>75</v>
      </c>
      <c r="K654" s="4" t="str" cm="1">
        <f t="array" ref="K654">_xlfn.IFS(AND(Table156[[#This Row],[Total Amount]]&gt;=1500),"Critical",AND(Table156[[#This Row],[Total Amount]]&gt;=1000),"High",TRUE,"Normal")</f>
        <v>Normal</v>
      </c>
      <c r="L654" s="4" t="str">
        <f>IF(Table156[[#This Row],[Total Amount]]&gt;=1000,"High",(IF(Table156[[#This Row],[Total Amount]]&gt;=500,"Medium","Low")))</f>
        <v>Low</v>
      </c>
      <c r="M654" s="4" t="str" cm="1">
        <f t="array" ref="M65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54" s="4" cm="1">
        <f t="array" ref="N65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654" s="4">
        <f>Table156[[#This Row],[Total Amount]]-Table156[[#This Row],[Discount Amount]]</f>
        <v>67.5</v>
      </c>
      <c r="P654" s="4" t="str">
        <f>IF(Table156[[#This Row],[Total Amount]]&gt;=1000,"High","Low")</f>
        <v>Low</v>
      </c>
      <c r="Q654" s="4" t="str" cm="1">
        <f t="array" ref="Q654">_xlfn.IFS(AND(Table156[[#This Row],[Total Amount]]&gt;=1500,"Critical"),AND(Table156[[#This Row],[Total Amount]]&gt;=1000,"High"),TRUE,"Normal")</f>
        <v>Normal</v>
      </c>
      <c r="R654" s="4">
        <f>COUNTIF(Table156[Gender],"Male")</f>
        <v>490</v>
      </c>
    </row>
    <row r="655" spans="1:18" x14ac:dyDescent="0.35">
      <c r="A655" s="4">
        <v>654</v>
      </c>
      <c r="B655" s="5">
        <v>45098</v>
      </c>
      <c r="C655" s="4" t="s">
        <v>667</v>
      </c>
      <c r="D655" s="4" t="s">
        <v>10</v>
      </c>
      <c r="E655" s="4">
        <v>42</v>
      </c>
      <c r="F655" s="4" t="str">
        <f>IF(Table156[[#This Row],[Age]]&lt;=19,"Teenager",IF(Table156[[#This Row],[Age]]&lt;=40,"Median","Old"))</f>
        <v>Old</v>
      </c>
      <c r="G655" s="4" t="s">
        <v>14</v>
      </c>
      <c r="H655" s="4">
        <v>3</v>
      </c>
      <c r="I655" s="4">
        <v>25</v>
      </c>
      <c r="J655" s="4">
        <v>75</v>
      </c>
      <c r="K655" s="4" t="str" cm="1">
        <f t="array" ref="K655">_xlfn.IFS(AND(Table156[[#This Row],[Total Amount]]&gt;=1500),"Critical",AND(Table156[[#This Row],[Total Amount]]&gt;=1000),"High",TRUE,"Normal")</f>
        <v>Normal</v>
      </c>
      <c r="L655" s="4" t="str">
        <f>IF(Table156[[#This Row],[Total Amount]]&gt;=1000,"High",(IF(Table156[[#This Row],[Total Amount]]&gt;=500,"Medium","Low")))</f>
        <v>Low</v>
      </c>
      <c r="M655" s="4" t="str" cm="1">
        <f t="array" ref="M65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55" s="4" cm="1">
        <f t="array" ref="N65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655" s="4">
        <f>Table156[[#This Row],[Total Amount]]-Table156[[#This Row],[Discount Amount]]</f>
        <v>67.5</v>
      </c>
      <c r="P655" s="4" t="str">
        <f>IF(Table156[[#This Row],[Total Amount]]&gt;=1000,"High","Low")</f>
        <v>Low</v>
      </c>
      <c r="Q655" s="4" t="str" cm="1">
        <f t="array" ref="Q655">_xlfn.IFS(AND(Table156[[#This Row],[Total Amount]]&gt;=1500,"Critical"),AND(Table156[[#This Row],[Total Amount]]&gt;=1000,"High"),TRUE,"Normal")</f>
        <v>Normal</v>
      </c>
      <c r="R655" s="4">
        <f>COUNTIF(Table156[Gender],"Male")</f>
        <v>490</v>
      </c>
    </row>
    <row r="656" spans="1:18" x14ac:dyDescent="0.35">
      <c r="A656" s="4">
        <v>655</v>
      </c>
      <c r="B656" s="5">
        <v>45090</v>
      </c>
      <c r="C656" s="4" t="s">
        <v>668</v>
      </c>
      <c r="D656" s="4" t="s">
        <v>13</v>
      </c>
      <c r="E656" s="4">
        <v>55</v>
      </c>
      <c r="F656" s="4" t="str">
        <f>IF(Table156[[#This Row],[Age]]&lt;=19,"Teenager",IF(Table156[[#This Row],[Age]]&lt;=40,"Median","Old"))</f>
        <v>Old</v>
      </c>
      <c r="G656" s="4" t="s">
        <v>14</v>
      </c>
      <c r="H656" s="4">
        <v>1</v>
      </c>
      <c r="I656" s="4">
        <v>500</v>
      </c>
      <c r="J656" s="4">
        <v>500</v>
      </c>
      <c r="K656" s="4" t="str" cm="1">
        <f t="array" ref="K656">_xlfn.IFS(AND(Table156[[#This Row],[Total Amount]]&gt;=1500),"Critical",AND(Table156[[#This Row],[Total Amount]]&gt;=1000),"High",TRUE,"Normal")</f>
        <v>Normal</v>
      </c>
      <c r="L656" s="4" t="str">
        <f>IF(Table156[[#This Row],[Total Amount]]&gt;=1000,"High",(IF(Table156[[#This Row],[Total Amount]]&gt;=500,"Medium","Low")))</f>
        <v>Medium</v>
      </c>
      <c r="M656" s="4" t="str" cm="1">
        <f t="array" ref="M65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56" s="4" cm="1">
        <f t="array" ref="N65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656" s="4">
        <f>Table156[[#This Row],[Total Amount]]-Table156[[#This Row],[Discount Amount]]</f>
        <v>400</v>
      </c>
      <c r="P656" s="4" t="str">
        <f>IF(Table156[[#This Row],[Total Amount]]&gt;=1000,"High","Low")</f>
        <v>Low</v>
      </c>
      <c r="Q656" s="4" t="str" cm="1">
        <f t="array" ref="Q656">_xlfn.IFS(AND(Table156[[#This Row],[Total Amount]]&gt;=1500,"Critical"),AND(Table156[[#This Row],[Total Amount]]&gt;=1000,"High"),TRUE,"Normal")</f>
        <v>Normal</v>
      </c>
      <c r="R656" s="4">
        <f>COUNTIF(Table156[Gender],"Male")</f>
        <v>490</v>
      </c>
    </row>
    <row r="657" spans="1:18" x14ac:dyDescent="0.35">
      <c r="A657" s="4">
        <v>656</v>
      </c>
      <c r="B657" s="5">
        <v>45203</v>
      </c>
      <c r="C657" s="4" t="s">
        <v>669</v>
      </c>
      <c r="D657" s="4" t="s">
        <v>10</v>
      </c>
      <c r="E657" s="4">
        <v>29</v>
      </c>
      <c r="F657" s="4" t="str">
        <f>IF(Table156[[#This Row],[Age]]&lt;=19,"Teenager",IF(Table156[[#This Row],[Age]]&lt;=40,"Median","Old"))</f>
        <v>Median</v>
      </c>
      <c r="G657" s="4" t="s">
        <v>11</v>
      </c>
      <c r="H657" s="4">
        <v>3</v>
      </c>
      <c r="I657" s="4">
        <v>30</v>
      </c>
      <c r="J657" s="4">
        <v>90</v>
      </c>
      <c r="K657" s="4" t="str" cm="1">
        <f t="array" ref="K657">_xlfn.IFS(AND(Table156[[#This Row],[Total Amount]]&gt;=1500),"Critical",AND(Table156[[#This Row],[Total Amount]]&gt;=1000),"High",TRUE,"Normal")</f>
        <v>Normal</v>
      </c>
      <c r="L657" s="4" t="str">
        <f>IF(Table156[[#This Row],[Total Amount]]&gt;=1000,"High",(IF(Table156[[#This Row],[Total Amount]]&gt;=500,"Medium","Low")))</f>
        <v>Low</v>
      </c>
      <c r="M657" s="4" t="str" cm="1">
        <f t="array" ref="M65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57" s="4" cm="1">
        <f t="array" ref="N65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13.5</v>
      </c>
      <c r="O657" s="4">
        <f>Table156[[#This Row],[Total Amount]]-Table156[[#This Row],[Discount Amount]]</f>
        <v>76.5</v>
      </c>
      <c r="P657" s="4" t="str">
        <f>IF(Table156[[#This Row],[Total Amount]]&gt;=1000,"High","Low")</f>
        <v>Low</v>
      </c>
      <c r="Q657" s="4" t="str" cm="1">
        <f t="array" ref="Q657">_xlfn.IFS(AND(Table156[[#This Row],[Total Amount]]&gt;=1500,"Critical"),AND(Table156[[#This Row],[Total Amount]]&gt;=1000,"High"),TRUE,"Normal")</f>
        <v>Normal</v>
      </c>
      <c r="R657" s="4">
        <f>COUNTIF(Table156[Gender],"Male")</f>
        <v>490</v>
      </c>
    </row>
    <row r="658" spans="1:18" x14ac:dyDescent="0.35">
      <c r="A658" s="4">
        <v>657</v>
      </c>
      <c r="B658" s="5">
        <v>44968</v>
      </c>
      <c r="C658" s="4" t="s">
        <v>670</v>
      </c>
      <c r="D658" s="4" t="s">
        <v>10</v>
      </c>
      <c r="E658" s="4">
        <v>40</v>
      </c>
      <c r="F658" s="4" t="str">
        <f>IF(Table156[[#This Row],[Age]]&lt;=19,"Teenager",IF(Table156[[#This Row],[Age]]&lt;=40,"Median","Old"))</f>
        <v>Median</v>
      </c>
      <c r="G658" s="4" t="s">
        <v>14</v>
      </c>
      <c r="H658" s="4">
        <v>1</v>
      </c>
      <c r="I658" s="4">
        <v>25</v>
      </c>
      <c r="J658" s="4">
        <v>25</v>
      </c>
      <c r="K658" s="4" t="str" cm="1">
        <f t="array" ref="K658">_xlfn.IFS(AND(Table156[[#This Row],[Total Amount]]&gt;=1500),"Critical",AND(Table156[[#This Row],[Total Amount]]&gt;=1000),"High",TRUE,"Normal")</f>
        <v>Normal</v>
      </c>
      <c r="L658" s="4" t="str">
        <f>IF(Table156[[#This Row],[Total Amount]]&gt;=1000,"High",(IF(Table156[[#This Row],[Total Amount]]&gt;=500,"Medium","Low")))</f>
        <v>Low</v>
      </c>
      <c r="M658" s="4" t="str" cm="1">
        <f t="array" ref="M65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58" s="4" cm="1">
        <f t="array" ref="N65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658" s="4">
        <f>Table156[[#This Row],[Total Amount]]-Table156[[#This Row],[Discount Amount]]</f>
        <v>22.5</v>
      </c>
      <c r="P658" s="4" t="str">
        <f>IF(Table156[[#This Row],[Total Amount]]&gt;=1000,"High","Low")</f>
        <v>Low</v>
      </c>
      <c r="Q658" s="4" t="str" cm="1">
        <f t="array" ref="Q658">_xlfn.IFS(AND(Table156[[#This Row],[Total Amount]]&gt;=1500,"Critical"),AND(Table156[[#This Row],[Total Amount]]&gt;=1000,"High"),TRUE,"Normal")</f>
        <v>Normal</v>
      </c>
      <c r="R658" s="4">
        <f>COUNTIF(Table156[Gender],"Male")</f>
        <v>490</v>
      </c>
    </row>
    <row r="659" spans="1:18" x14ac:dyDescent="0.35">
      <c r="A659" s="4">
        <v>658</v>
      </c>
      <c r="B659" s="5">
        <v>44997</v>
      </c>
      <c r="C659" s="4" t="s">
        <v>671</v>
      </c>
      <c r="D659" s="4" t="s">
        <v>10</v>
      </c>
      <c r="E659" s="4">
        <v>59</v>
      </c>
      <c r="F659" s="4" t="str">
        <f>IF(Table156[[#This Row],[Age]]&lt;=19,"Teenager",IF(Table156[[#This Row],[Age]]&lt;=40,"Median","Old"))</f>
        <v>Old</v>
      </c>
      <c r="G659" s="4" t="s">
        <v>14</v>
      </c>
      <c r="H659" s="4">
        <v>1</v>
      </c>
      <c r="I659" s="4">
        <v>25</v>
      </c>
      <c r="J659" s="4">
        <v>25</v>
      </c>
      <c r="K659" s="4" t="str" cm="1">
        <f t="array" ref="K659">_xlfn.IFS(AND(Table156[[#This Row],[Total Amount]]&gt;=1500),"Critical",AND(Table156[[#This Row],[Total Amount]]&gt;=1000),"High",TRUE,"Normal")</f>
        <v>Normal</v>
      </c>
      <c r="L659" s="4" t="str">
        <f>IF(Table156[[#This Row],[Total Amount]]&gt;=1000,"High",(IF(Table156[[#This Row],[Total Amount]]&gt;=500,"Medium","Low")))</f>
        <v>Low</v>
      </c>
      <c r="M659" s="4" t="str" cm="1">
        <f t="array" ref="M65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59" s="4" cm="1">
        <f t="array" ref="N65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659" s="4">
        <f>Table156[[#This Row],[Total Amount]]-Table156[[#This Row],[Discount Amount]]</f>
        <v>22.5</v>
      </c>
      <c r="P659" s="4" t="str">
        <f>IF(Table156[[#This Row],[Total Amount]]&gt;=1000,"High","Low")</f>
        <v>Low</v>
      </c>
      <c r="Q659" s="4" t="str" cm="1">
        <f t="array" ref="Q659">_xlfn.IFS(AND(Table156[[#This Row],[Total Amount]]&gt;=1500,"Critical"),AND(Table156[[#This Row],[Total Amount]]&gt;=1000,"High"),TRUE,"Normal")</f>
        <v>Normal</v>
      </c>
      <c r="R659" s="4">
        <f>COUNTIF(Table156[Gender],"Male")</f>
        <v>490</v>
      </c>
    </row>
    <row r="660" spans="1:18" x14ac:dyDescent="0.35">
      <c r="A660" s="4">
        <v>659</v>
      </c>
      <c r="B660" s="5">
        <v>45004</v>
      </c>
      <c r="C660" s="4" t="s">
        <v>672</v>
      </c>
      <c r="D660" s="4" t="s">
        <v>13</v>
      </c>
      <c r="E660" s="4">
        <v>39</v>
      </c>
      <c r="F660" s="4" t="str">
        <f>IF(Table156[[#This Row],[Age]]&lt;=19,"Teenager",IF(Table156[[#This Row],[Age]]&lt;=40,"Median","Old"))</f>
        <v>Median</v>
      </c>
      <c r="G660" s="4" t="s">
        <v>16</v>
      </c>
      <c r="H660" s="4">
        <v>1</v>
      </c>
      <c r="I660" s="4">
        <v>30</v>
      </c>
      <c r="J660" s="4">
        <v>30</v>
      </c>
      <c r="K660" s="4" t="str" cm="1">
        <f t="array" ref="K660">_xlfn.IFS(AND(Table156[[#This Row],[Total Amount]]&gt;=1500),"Critical",AND(Table156[[#This Row],[Total Amount]]&gt;=1000),"High",TRUE,"Normal")</f>
        <v>Normal</v>
      </c>
      <c r="L660" s="4" t="str">
        <f>IF(Table156[[#This Row],[Total Amount]]&gt;=1000,"High",(IF(Table156[[#This Row],[Total Amount]]&gt;=500,"Medium","Low")))</f>
        <v>Low</v>
      </c>
      <c r="M660" s="4" t="str" cm="1">
        <f t="array" ref="M66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60" s="4" cm="1">
        <f t="array" ref="N66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660" s="4">
        <f>Table156[[#This Row],[Total Amount]]-Table156[[#This Row],[Discount Amount]]</f>
        <v>24</v>
      </c>
      <c r="P660" s="4" t="str">
        <f>IF(Table156[[#This Row],[Total Amount]]&gt;=1000,"High","Low")</f>
        <v>Low</v>
      </c>
      <c r="Q660" s="4" t="str" cm="1">
        <f t="array" ref="Q660">_xlfn.IFS(AND(Table156[[#This Row],[Total Amount]]&gt;=1500,"Critical"),AND(Table156[[#This Row],[Total Amount]]&gt;=1000,"High"),TRUE,"Normal")</f>
        <v>Normal</v>
      </c>
      <c r="R660" s="4">
        <f>COUNTIF(Table156[Gender],"Male")</f>
        <v>490</v>
      </c>
    </row>
    <row r="661" spans="1:18" x14ac:dyDescent="0.35">
      <c r="A661" s="4">
        <v>660</v>
      </c>
      <c r="B661" s="5">
        <v>45045</v>
      </c>
      <c r="C661" s="4" t="s">
        <v>673</v>
      </c>
      <c r="D661" s="4" t="s">
        <v>13</v>
      </c>
      <c r="E661" s="4">
        <v>38</v>
      </c>
      <c r="F661" s="4" t="str">
        <f>IF(Table156[[#This Row],[Age]]&lt;=19,"Teenager",IF(Table156[[#This Row],[Age]]&lt;=40,"Median","Old"))</f>
        <v>Median</v>
      </c>
      <c r="G661" s="4" t="s">
        <v>11</v>
      </c>
      <c r="H661" s="4">
        <v>2</v>
      </c>
      <c r="I661" s="4">
        <v>500</v>
      </c>
      <c r="J661" s="4">
        <v>1000</v>
      </c>
      <c r="K661" s="4" t="str" cm="1">
        <f t="array" ref="K661">_xlfn.IFS(AND(Table156[[#This Row],[Total Amount]]&gt;=1500),"Critical",AND(Table156[[#This Row],[Total Amount]]&gt;=1000),"High",TRUE,"Normal")</f>
        <v>High</v>
      </c>
      <c r="L661" s="4" t="str">
        <f>IF(Table156[[#This Row],[Total Amount]]&gt;=1000,"High",(IF(Table156[[#This Row],[Total Amount]]&gt;=500,"Medium","Low")))</f>
        <v>High</v>
      </c>
      <c r="M661" s="4" t="str" cm="1">
        <f t="array" ref="M66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61" s="4" cm="1">
        <f t="array" ref="N66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661" s="4">
        <f>Table156[[#This Row],[Total Amount]]-Table156[[#This Row],[Discount Amount]]</f>
        <v>800</v>
      </c>
      <c r="P661" s="4" t="str">
        <f>IF(Table156[[#This Row],[Total Amount]]&gt;=1000,"High","Low")</f>
        <v>High</v>
      </c>
      <c r="Q661" s="4" t="str" cm="1">
        <f t="array" ref="Q661">_xlfn.IFS(AND(Table156[[#This Row],[Total Amount]]&gt;=1500,"Critical"),AND(Table156[[#This Row],[Total Amount]]&gt;=1000,"High"),TRUE,"Normal")</f>
        <v>Normal</v>
      </c>
      <c r="R661" s="4">
        <f>COUNTIF(Table156[Gender],"Male")</f>
        <v>490</v>
      </c>
    </row>
    <row r="662" spans="1:18" x14ac:dyDescent="0.35">
      <c r="A662" s="4">
        <v>661</v>
      </c>
      <c r="B662" s="5">
        <v>45123</v>
      </c>
      <c r="C662" s="4" t="s">
        <v>674</v>
      </c>
      <c r="D662" s="4" t="s">
        <v>13</v>
      </c>
      <c r="E662" s="4">
        <v>44</v>
      </c>
      <c r="F662" s="4" t="str">
        <f>IF(Table156[[#This Row],[Age]]&lt;=19,"Teenager",IF(Table156[[#This Row],[Age]]&lt;=40,"Median","Old"))</f>
        <v>Old</v>
      </c>
      <c r="G662" s="4" t="s">
        <v>14</v>
      </c>
      <c r="H662" s="4">
        <v>4</v>
      </c>
      <c r="I662" s="4">
        <v>25</v>
      </c>
      <c r="J662" s="4">
        <v>100</v>
      </c>
      <c r="K662" s="4" t="str" cm="1">
        <f t="array" ref="K662">_xlfn.IFS(AND(Table156[[#This Row],[Total Amount]]&gt;=1500),"Critical",AND(Table156[[#This Row],[Total Amount]]&gt;=1000),"High",TRUE,"Normal")</f>
        <v>Normal</v>
      </c>
      <c r="L662" s="4" t="str">
        <f>IF(Table156[[#This Row],[Total Amount]]&gt;=1000,"High",(IF(Table156[[#This Row],[Total Amount]]&gt;=500,"Medium","Low")))</f>
        <v>Low</v>
      </c>
      <c r="M662" s="4" t="str" cm="1">
        <f t="array" ref="M66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62" s="4" cm="1">
        <f t="array" ref="N66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662" s="4">
        <f>Table156[[#This Row],[Total Amount]]-Table156[[#This Row],[Discount Amount]]</f>
        <v>80</v>
      </c>
      <c r="P662" s="4" t="str">
        <f>IF(Table156[[#This Row],[Total Amount]]&gt;=1000,"High","Low")</f>
        <v>Low</v>
      </c>
      <c r="Q662" s="4" t="str" cm="1">
        <f t="array" ref="Q662">_xlfn.IFS(AND(Table156[[#This Row],[Total Amount]]&gt;=1500,"Critical"),AND(Table156[[#This Row],[Total Amount]]&gt;=1000,"High"),TRUE,"Normal")</f>
        <v>Normal</v>
      </c>
      <c r="R662" s="4">
        <f>COUNTIF(Table156[Gender],"Male")</f>
        <v>490</v>
      </c>
    </row>
    <row r="663" spans="1:18" x14ac:dyDescent="0.35">
      <c r="A663" s="4">
        <v>662</v>
      </c>
      <c r="B663" s="5">
        <v>45282</v>
      </c>
      <c r="C663" s="4" t="s">
        <v>675</v>
      </c>
      <c r="D663" s="4" t="s">
        <v>10</v>
      </c>
      <c r="E663" s="4">
        <v>48</v>
      </c>
      <c r="F663" s="4" t="str">
        <f>IF(Table156[[#This Row],[Age]]&lt;=19,"Teenager",IF(Table156[[#This Row],[Age]]&lt;=40,"Median","Old"))</f>
        <v>Old</v>
      </c>
      <c r="G663" s="4" t="s">
        <v>11</v>
      </c>
      <c r="H663" s="4">
        <v>2</v>
      </c>
      <c r="I663" s="4">
        <v>500</v>
      </c>
      <c r="J663" s="4">
        <v>1000</v>
      </c>
      <c r="K663" s="4" t="str" cm="1">
        <f t="array" ref="K663">_xlfn.IFS(AND(Table156[[#This Row],[Total Amount]]&gt;=1500),"Critical",AND(Table156[[#This Row],[Total Amount]]&gt;=1000),"High",TRUE,"Normal")</f>
        <v>High</v>
      </c>
      <c r="L663" s="4" t="str">
        <f>IF(Table156[[#This Row],[Total Amount]]&gt;=1000,"High",(IF(Table156[[#This Row],[Total Amount]]&gt;=500,"Medium","Low")))</f>
        <v>High</v>
      </c>
      <c r="M663" s="4" t="str" cm="1">
        <f t="array" ref="M66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63" s="4" cm="1">
        <f t="array" ref="N66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663" s="4">
        <f>Table156[[#This Row],[Total Amount]]-Table156[[#This Row],[Discount Amount]]</f>
        <v>900</v>
      </c>
      <c r="P663" s="4" t="str">
        <f>IF(Table156[[#This Row],[Total Amount]]&gt;=1000,"High","Low")</f>
        <v>High</v>
      </c>
      <c r="Q663" s="4" t="str" cm="1">
        <f t="array" ref="Q663">_xlfn.IFS(AND(Table156[[#This Row],[Total Amount]]&gt;=1500,"Critical"),AND(Table156[[#This Row],[Total Amount]]&gt;=1000,"High"),TRUE,"Normal")</f>
        <v>Normal</v>
      </c>
      <c r="R663" s="4">
        <f>COUNTIF(Table156[Gender],"Male")</f>
        <v>490</v>
      </c>
    </row>
    <row r="664" spans="1:18" x14ac:dyDescent="0.35">
      <c r="A664" s="4">
        <v>663</v>
      </c>
      <c r="B664" s="5">
        <v>45005</v>
      </c>
      <c r="C664" s="4" t="s">
        <v>676</v>
      </c>
      <c r="D664" s="4" t="s">
        <v>10</v>
      </c>
      <c r="E664" s="4">
        <v>23</v>
      </c>
      <c r="F664" s="4" t="str">
        <f>IF(Table156[[#This Row],[Age]]&lt;=19,"Teenager",IF(Table156[[#This Row],[Age]]&lt;=40,"Median","Old"))</f>
        <v>Median</v>
      </c>
      <c r="G664" s="4" t="s">
        <v>14</v>
      </c>
      <c r="H664" s="4">
        <v>4</v>
      </c>
      <c r="I664" s="4">
        <v>300</v>
      </c>
      <c r="J664" s="4">
        <v>1200</v>
      </c>
      <c r="K664" s="4" t="str" cm="1">
        <f t="array" ref="K664">_xlfn.IFS(AND(Table156[[#This Row],[Total Amount]]&gt;=1500),"Critical",AND(Table156[[#This Row],[Total Amount]]&gt;=1000),"High",TRUE,"Normal")</f>
        <v>High</v>
      </c>
      <c r="L664" s="4" t="str">
        <f>IF(Table156[[#This Row],[Total Amount]]&gt;=1000,"High",(IF(Table156[[#This Row],[Total Amount]]&gt;=500,"Medium","Low")))</f>
        <v>High</v>
      </c>
      <c r="M664" s="4" t="str" cm="1">
        <f t="array" ref="M66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664" s="4" cm="1">
        <f t="array" ref="N66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664" s="4">
        <f>Table156[[#This Row],[Total Amount]]-Table156[[#This Row],[Discount Amount]]</f>
        <v>1200</v>
      </c>
      <c r="P664" s="4" t="str">
        <f>IF(Table156[[#This Row],[Total Amount]]&gt;=1000,"High","Low")</f>
        <v>High</v>
      </c>
      <c r="Q664" s="4" t="str" cm="1">
        <f t="array" ref="Q664">_xlfn.IFS(AND(Table156[[#This Row],[Total Amount]]&gt;=1500,"Critical"),AND(Table156[[#This Row],[Total Amount]]&gt;=1000,"High"),TRUE,"Normal")</f>
        <v>Normal</v>
      </c>
      <c r="R664" s="4">
        <f>COUNTIF(Table156[Gender],"Male")</f>
        <v>490</v>
      </c>
    </row>
    <row r="665" spans="1:18" x14ac:dyDescent="0.35">
      <c r="A665" s="4">
        <v>664</v>
      </c>
      <c r="B665" s="5">
        <v>45288</v>
      </c>
      <c r="C665" s="4" t="s">
        <v>677</v>
      </c>
      <c r="D665" s="4" t="s">
        <v>13</v>
      </c>
      <c r="E665" s="4">
        <v>44</v>
      </c>
      <c r="F665" s="4" t="str">
        <f>IF(Table156[[#This Row],[Age]]&lt;=19,"Teenager",IF(Table156[[#This Row],[Age]]&lt;=40,"Median","Old"))</f>
        <v>Old</v>
      </c>
      <c r="G665" s="4" t="s">
        <v>14</v>
      </c>
      <c r="H665" s="4">
        <v>4</v>
      </c>
      <c r="I665" s="4">
        <v>500</v>
      </c>
      <c r="J665" s="4">
        <v>2000</v>
      </c>
      <c r="K665" s="4" t="str" cm="1">
        <f t="array" ref="K665">_xlfn.IFS(AND(Table156[[#This Row],[Total Amount]]&gt;=1500),"Critical",AND(Table156[[#This Row],[Total Amount]]&gt;=1000),"High",TRUE,"Normal")</f>
        <v>Critical</v>
      </c>
      <c r="L665" s="4" t="str">
        <f>IF(Table156[[#This Row],[Total Amount]]&gt;=1000,"High",(IF(Table156[[#This Row],[Total Amount]]&gt;=500,"Medium","Low")))</f>
        <v>High</v>
      </c>
      <c r="M665" s="4" t="str" cm="1">
        <f t="array" ref="M66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65" s="4" cm="1">
        <f t="array" ref="N66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400</v>
      </c>
      <c r="O665" s="4">
        <f>Table156[[#This Row],[Total Amount]]-Table156[[#This Row],[Discount Amount]]</f>
        <v>1600</v>
      </c>
      <c r="P665" s="4" t="str">
        <f>IF(Table156[[#This Row],[Total Amount]]&gt;=1000,"High","Low")</f>
        <v>High</v>
      </c>
      <c r="Q665" s="4" t="b" cm="1">
        <f t="array" ref="Q665">_xlfn.IFS(AND(Table156[[#This Row],[Total Amount]]&gt;=1500,"Critical"),AND(Table156[[#This Row],[Total Amount]]&gt;=1000,"High"),TRUE,"Normal")</f>
        <v>1</v>
      </c>
      <c r="R665" s="4">
        <f>COUNTIF(Table156[Gender],"Male")</f>
        <v>490</v>
      </c>
    </row>
    <row r="666" spans="1:18" x14ac:dyDescent="0.35">
      <c r="A666" s="4">
        <v>665</v>
      </c>
      <c r="B666" s="5">
        <v>45036</v>
      </c>
      <c r="C666" s="4" t="s">
        <v>678</v>
      </c>
      <c r="D666" s="4" t="s">
        <v>10</v>
      </c>
      <c r="E666" s="4">
        <v>57</v>
      </c>
      <c r="F666" s="4" t="str">
        <f>IF(Table156[[#This Row],[Age]]&lt;=19,"Teenager",IF(Table156[[#This Row],[Age]]&lt;=40,"Median","Old"))</f>
        <v>Old</v>
      </c>
      <c r="G666" s="4" t="s">
        <v>14</v>
      </c>
      <c r="H666" s="4">
        <v>1</v>
      </c>
      <c r="I666" s="4">
        <v>50</v>
      </c>
      <c r="J666" s="4">
        <v>50</v>
      </c>
      <c r="K666" s="4" t="str" cm="1">
        <f t="array" ref="K666">_xlfn.IFS(AND(Table156[[#This Row],[Total Amount]]&gt;=1500),"Critical",AND(Table156[[#This Row],[Total Amount]]&gt;=1000),"High",TRUE,"Normal")</f>
        <v>Normal</v>
      </c>
      <c r="L666" s="4" t="str">
        <f>IF(Table156[[#This Row],[Total Amount]]&gt;=1000,"High",(IF(Table156[[#This Row],[Total Amount]]&gt;=500,"Medium","Low")))</f>
        <v>Low</v>
      </c>
      <c r="M666" s="4" t="str" cm="1">
        <f t="array" ref="M66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66" s="4" cm="1">
        <f t="array" ref="N66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666" s="4">
        <f>Table156[[#This Row],[Total Amount]]-Table156[[#This Row],[Discount Amount]]</f>
        <v>45</v>
      </c>
      <c r="P666" s="4" t="str">
        <f>IF(Table156[[#This Row],[Total Amount]]&gt;=1000,"High","Low")</f>
        <v>Low</v>
      </c>
      <c r="Q666" s="4" t="str" cm="1">
        <f t="array" ref="Q666">_xlfn.IFS(AND(Table156[[#This Row],[Total Amount]]&gt;=1500,"Critical"),AND(Table156[[#This Row],[Total Amount]]&gt;=1000,"High"),TRUE,"Normal")</f>
        <v>Normal</v>
      </c>
      <c r="R666" s="4">
        <f>COUNTIF(Table156[Gender],"Male")</f>
        <v>490</v>
      </c>
    </row>
    <row r="667" spans="1:18" x14ac:dyDescent="0.35">
      <c r="A667" s="4">
        <v>666</v>
      </c>
      <c r="B667" s="5">
        <v>44959</v>
      </c>
      <c r="C667" s="4" t="s">
        <v>679</v>
      </c>
      <c r="D667" s="4" t="s">
        <v>10</v>
      </c>
      <c r="E667" s="4">
        <v>51</v>
      </c>
      <c r="F667" s="4" t="str">
        <f>IF(Table156[[#This Row],[Age]]&lt;=19,"Teenager",IF(Table156[[#This Row],[Age]]&lt;=40,"Median","Old"))</f>
        <v>Old</v>
      </c>
      <c r="G667" s="4" t="s">
        <v>16</v>
      </c>
      <c r="H667" s="4">
        <v>3</v>
      </c>
      <c r="I667" s="4">
        <v>50</v>
      </c>
      <c r="J667" s="4">
        <v>150</v>
      </c>
      <c r="K667" s="4" t="str" cm="1">
        <f t="array" ref="K667">_xlfn.IFS(AND(Table156[[#This Row],[Total Amount]]&gt;=1500),"Critical",AND(Table156[[#This Row],[Total Amount]]&gt;=1000),"High",TRUE,"Normal")</f>
        <v>Normal</v>
      </c>
      <c r="L667" s="4" t="str">
        <f>IF(Table156[[#This Row],[Total Amount]]&gt;=1000,"High",(IF(Table156[[#This Row],[Total Amount]]&gt;=500,"Medium","Low")))</f>
        <v>Low</v>
      </c>
      <c r="M667" s="4" t="str" cm="1">
        <f t="array" ref="M66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67" s="4" cm="1">
        <f t="array" ref="N66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667" s="4">
        <f>Table156[[#This Row],[Total Amount]]-Table156[[#This Row],[Discount Amount]]</f>
        <v>135</v>
      </c>
      <c r="P667" s="4" t="str">
        <f>IF(Table156[[#This Row],[Total Amount]]&gt;=1000,"High","Low")</f>
        <v>Low</v>
      </c>
      <c r="Q667" s="4" t="str" cm="1">
        <f t="array" ref="Q667">_xlfn.IFS(AND(Table156[[#This Row],[Total Amount]]&gt;=1500,"Critical"),AND(Table156[[#This Row],[Total Amount]]&gt;=1000,"High"),TRUE,"Normal")</f>
        <v>Normal</v>
      </c>
      <c r="R667" s="4">
        <f>COUNTIF(Table156[Gender],"Male")</f>
        <v>490</v>
      </c>
    </row>
    <row r="668" spans="1:18" x14ac:dyDescent="0.35">
      <c r="A668" s="4">
        <v>667</v>
      </c>
      <c r="B668" s="5">
        <v>45139</v>
      </c>
      <c r="C668" s="4" t="s">
        <v>680</v>
      </c>
      <c r="D668" s="4" t="s">
        <v>13</v>
      </c>
      <c r="E668" s="4">
        <v>29</v>
      </c>
      <c r="F668" s="4" t="str">
        <f>IF(Table156[[#This Row],[Age]]&lt;=19,"Teenager",IF(Table156[[#This Row],[Age]]&lt;=40,"Median","Old"))</f>
        <v>Median</v>
      </c>
      <c r="G668" s="4" t="s">
        <v>16</v>
      </c>
      <c r="H668" s="4">
        <v>1</v>
      </c>
      <c r="I668" s="4">
        <v>500</v>
      </c>
      <c r="J668" s="4">
        <v>500</v>
      </c>
      <c r="K668" s="4" t="str" cm="1">
        <f t="array" ref="K668">_xlfn.IFS(AND(Table156[[#This Row],[Total Amount]]&gt;=1500),"Critical",AND(Table156[[#This Row],[Total Amount]]&gt;=1000),"High",TRUE,"Normal")</f>
        <v>Normal</v>
      </c>
      <c r="L668" s="4" t="str">
        <f>IF(Table156[[#This Row],[Total Amount]]&gt;=1000,"High",(IF(Table156[[#This Row],[Total Amount]]&gt;=500,"Medium","Low")))</f>
        <v>Medium</v>
      </c>
      <c r="M668" s="4" t="str" cm="1">
        <f t="array" ref="M66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68" s="4" cm="1">
        <f t="array" ref="N66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75</v>
      </c>
      <c r="O668" s="4">
        <f>Table156[[#This Row],[Total Amount]]-Table156[[#This Row],[Discount Amount]]</f>
        <v>425</v>
      </c>
      <c r="P668" s="4" t="str">
        <f>IF(Table156[[#This Row],[Total Amount]]&gt;=1000,"High","Low")</f>
        <v>Low</v>
      </c>
      <c r="Q668" s="4" t="str" cm="1">
        <f t="array" ref="Q668">_xlfn.IFS(AND(Table156[[#This Row],[Total Amount]]&gt;=1500,"Critical"),AND(Table156[[#This Row],[Total Amount]]&gt;=1000,"High"),TRUE,"Normal")</f>
        <v>Normal</v>
      </c>
      <c r="R668" s="4">
        <f>COUNTIF(Table156[Gender],"Male")</f>
        <v>490</v>
      </c>
    </row>
    <row r="669" spans="1:18" x14ac:dyDescent="0.35">
      <c r="A669" s="4">
        <v>668</v>
      </c>
      <c r="B669" s="5">
        <v>45135</v>
      </c>
      <c r="C669" s="4" t="s">
        <v>681</v>
      </c>
      <c r="D669" s="4" t="s">
        <v>13</v>
      </c>
      <c r="E669" s="4">
        <v>62</v>
      </c>
      <c r="F669" s="4" t="str">
        <f>IF(Table156[[#This Row],[Age]]&lt;=19,"Teenager",IF(Table156[[#This Row],[Age]]&lt;=40,"Median","Old"))</f>
        <v>Old</v>
      </c>
      <c r="G669" s="4" t="s">
        <v>16</v>
      </c>
      <c r="H669" s="4">
        <v>3</v>
      </c>
      <c r="I669" s="4">
        <v>50</v>
      </c>
      <c r="J669" s="4">
        <v>150</v>
      </c>
      <c r="K669" s="4" t="str" cm="1">
        <f t="array" ref="K669">_xlfn.IFS(AND(Table156[[#This Row],[Total Amount]]&gt;=1500),"Critical",AND(Table156[[#This Row],[Total Amount]]&gt;=1000),"High",TRUE,"Normal")</f>
        <v>Normal</v>
      </c>
      <c r="L669" s="4" t="str">
        <f>IF(Table156[[#This Row],[Total Amount]]&gt;=1000,"High",(IF(Table156[[#This Row],[Total Amount]]&gt;=500,"Medium","Low")))</f>
        <v>Low</v>
      </c>
      <c r="M669" s="4" t="str" cm="1">
        <f t="array" ref="M66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69" s="4" cm="1">
        <f t="array" ref="N66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669" s="4">
        <f>Table156[[#This Row],[Total Amount]]-Table156[[#This Row],[Discount Amount]]</f>
        <v>120</v>
      </c>
      <c r="P669" s="4" t="str">
        <f>IF(Table156[[#This Row],[Total Amount]]&gt;=1000,"High","Low")</f>
        <v>Low</v>
      </c>
      <c r="Q669" s="4" t="str" cm="1">
        <f t="array" ref="Q669">_xlfn.IFS(AND(Table156[[#This Row],[Total Amount]]&gt;=1500,"Critical"),AND(Table156[[#This Row],[Total Amount]]&gt;=1000,"High"),TRUE,"Normal")</f>
        <v>Normal</v>
      </c>
      <c r="R669" s="4">
        <f>COUNTIF(Table156[Gender],"Male")</f>
        <v>490</v>
      </c>
    </row>
    <row r="670" spans="1:18" x14ac:dyDescent="0.35">
      <c r="A670" s="4">
        <v>669</v>
      </c>
      <c r="B670" s="5">
        <v>45096</v>
      </c>
      <c r="C670" s="4" t="s">
        <v>682</v>
      </c>
      <c r="D670" s="4" t="s">
        <v>10</v>
      </c>
      <c r="E670" s="4">
        <v>24</v>
      </c>
      <c r="F670" s="4" t="str">
        <f>IF(Table156[[#This Row],[Age]]&lt;=19,"Teenager",IF(Table156[[#This Row],[Age]]&lt;=40,"Median","Old"))</f>
        <v>Median</v>
      </c>
      <c r="G670" s="4" t="s">
        <v>11</v>
      </c>
      <c r="H670" s="4">
        <v>4</v>
      </c>
      <c r="I670" s="4">
        <v>300</v>
      </c>
      <c r="J670" s="4">
        <v>1200</v>
      </c>
      <c r="K670" s="4" t="str" cm="1">
        <f t="array" ref="K670">_xlfn.IFS(AND(Table156[[#This Row],[Total Amount]]&gt;=1500),"Critical",AND(Table156[[#This Row],[Total Amount]]&gt;=1000),"High",TRUE,"Normal")</f>
        <v>High</v>
      </c>
      <c r="L670" s="4" t="str">
        <f>IF(Table156[[#This Row],[Total Amount]]&gt;=1000,"High",(IF(Table156[[#This Row],[Total Amount]]&gt;=500,"Medium","Low")))</f>
        <v>High</v>
      </c>
      <c r="M670" s="4" t="str" cm="1">
        <f t="array" ref="M67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670" s="4" cm="1">
        <f t="array" ref="N67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670" s="4">
        <f>Table156[[#This Row],[Total Amount]]-Table156[[#This Row],[Discount Amount]]</f>
        <v>1200</v>
      </c>
      <c r="P670" s="4" t="str">
        <f>IF(Table156[[#This Row],[Total Amount]]&gt;=1000,"High","Low")</f>
        <v>High</v>
      </c>
      <c r="Q670" s="4" t="str" cm="1">
        <f t="array" ref="Q670">_xlfn.IFS(AND(Table156[[#This Row],[Total Amount]]&gt;=1500,"Critical"),AND(Table156[[#This Row],[Total Amount]]&gt;=1000,"High"),TRUE,"Normal")</f>
        <v>Normal</v>
      </c>
      <c r="R670" s="4">
        <f>COUNTIF(Table156[Gender],"Male")</f>
        <v>490</v>
      </c>
    </row>
    <row r="671" spans="1:18" x14ac:dyDescent="0.35">
      <c r="A671" s="4">
        <v>670</v>
      </c>
      <c r="B671" s="5">
        <v>45204</v>
      </c>
      <c r="C671" s="4" t="s">
        <v>683</v>
      </c>
      <c r="D671" s="4" t="s">
        <v>10</v>
      </c>
      <c r="E671" s="4">
        <v>27</v>
      </c>
      <c r="F671" s="4" t="str">
        <f>IF(Table156[[#This Row],[Age]]&lt;=19,"Teenager",IF(Table156[[#This Row],[Age]]&lt;=40,"Median","Old"))</f>
        <v>Median</v>
      </c>
      <c r="G671" s="4" t="s">
        <v>11</v>
      </c>
      <c r="H671" s="4">
        <v>1</v>
      </c>
      <c r="I671" s="4">
        <v>30</v>
      </c>
      <c r="J671" s="4">
        <v>30</v>
      </c>
      <c r="K671" s="4" t="str" cm="1">
        <f t="array" ref="K671">_xlfn.IFS(AND(Table156[[#This Row],[Total Amount]]&gt;=1500),"Critical",AND(Table156[[#This Row],[Total Amount]]&gt;=1000),"High",TRUE,"Normal")</f>
        <v>Normal</v>
      </c>
      <c r="L671" s="4" t="str">
        <f>IF(Table156[[#This Row],[Total Amount]]&gt;=1000,"High",(IF(Table156[[#This Row],[Total Amount]]&gt;=500,"Medium","Low")))</f>
        <v>Low</v>
      </c>
      <c r="M671" s="4" t="str" cm="1">
        <f t="array" ref="M67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71" s="4" cm="1">
        <f t="array" ref="N67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4.5</v>
      </c>
      <c r="O671" s="4">
        <f>Table156[[#This Row],[Total Amount]]-Table156[[#This Row],[Discount Amount]]</f>
        <v>25.5</v>
      </c>
      <c r="P671" s="4" t="str">
        <f>IF(Table156[[#This Row],[Total Amount]]&gt;=1000,"High","Low")</f>
        <v>Low</v>
      </c>
      <c r="Q671" s="4" t="str" cm="1">
        <f t="array" ref="Q671">_xlfn.IFS(AND(Table156[[#This Row],[Total Amount]]&gt;=1500,"Critical"),AND(Table156[[#This Row],[Total Amount]]&gt;=1000,"High"),TRUE,"Normal")</f>
        <v>Normal</v>
      </c>
      <c r="R671" s="4">
        <f>COUNTIF(Table156[Gender],"Male")</f>
        <v>490</v>
      </c>
    </row>
    <row r="672" spans="1:18" x14ac:dyDescent="0.35">
      <c r="A672" s="4">
        <v>671</v>
      </c>
      <c r="B672" s="5">
        <v>45165</v>
      </c>
      <c r="C672" s="4" t="s">
        <v>684</v>
      </c>
      <c r="D672" s="4" t="s">
        <v>10</v>
      </c>
      <c r="E672" s="4">
        <v>62</v>
      </c>
      <c r="F672" s="4" t="str">
        <f>IF(Table156[[#This Row],[Age]]&lt;=19,"Teenager",IF(Table156[[#This Row],[Age]]&lt;=40,"Median","Old"))</f>
        <v>Old</v>
      </c>
      <c r="G672" s="4" t="s">
        <v>16</v>
      </c>
      <c r="H672" s="4">
        <v>3</v>
      </c>
      <c r="I672" s="4">
        <v>50</v>
      </c>
      <c r="J672" s="4">
        <v>150</v>
      </c>
      <c r="K672" s="4" t="str" cm="1">
        <f t="array" ref="K672">_xlfn.IFS(AND(Table156[[#This Row],[Total Amount]]&gt;=1500),"Critical",AND(Table156[[#This Row],[Total Amount]]&gt;=1000),"High",TRUE,"Normal")</f>
        <v>Normal</v>
      </c>
      <c r="L672" s="4" t="str">
        <f>IF(Table156[[#This Row],[Total Amount]]&gt;=1000,"High",(IF(Table156[[#This Row],[Total Amount]]&gt;=500,"Medium","Low")))</f>
        <v>Low</v>
      </c>
      <c r="M672" s="4" t="str" cm="1">
        <f t="array" ref="M67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72" s="4" cm="1">
        <f t="array" ref="N67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672" s="4">
        <f>Table156[[#This Row],[Total Amount]]-Table156[[#This Row],[Discount Amount]]</f>
        <v>135</v>
      </c>
      <c r="P672" s="4" t="str">
        <f>IF(Table156[[#This Row],[Total Amount]]&gt;=1000,"High","Low")</f>
        <v>Low</v>
      </c>
      <c r="Q672" s="4" t="str" cm="1">
        <f t="array" ref="Q672">_xlfn.IFS(AND(Table156[[#This Row],[Total Amount]]&gt;=1500,"Critical"),AND(Table156[[#This Row],[Total Amount]]&gt;=1000,"High"),TRUE,"Normal")</f>
        <v>Normal</v>
      </c>
      <c r="R672" s="4">
        <f>COUNTIF(Table156[Gender],"Male")</f>
        <v>490</v>
      </c>
    </row>
    <row r="673" spans="1:18" x14ac:dyDescent="0.35">
      <c r="A673" s="4">
        <v>672</v>
      </c>
      <c r="B673" s="5">
        <v>45139</v>
      </c>
      <c r="C673" s="4" t="s">
        <v>685</v>
      </c>
      <c r="D673" s="4" t="s">
        <v>13</v>
      </c>
      <c r="E673" s="4">
        <v>34</v>
      </c>
      <c r="F673" s="4" t="str">
        <f>IF(Table156[[#This Row],[Age]]&lt;=19,"Teenager",IF(Table156[[#This Row],[Age]]&lt;=40,"Median","Old"))</f>
        <v>Median</v>
      </c>
      <c r="G673" s="4" t="s">
        <v>11</v>
      </c>
      <c r="H673" s="4">
        <v>2</v>
      </c>
      <c r="I673" s="4">
        <v>50</v>
      </c>
      <c r="J673" s="4">
        <v>100</v>
      </c>
      <c r="K673" s="4" t="str" cm="1">
        <f t="array" ref="K673">_xlfn.IFS(AND(Table156[[#This Row],[Total Amount]]&gt;=1500),"Critical",AND(Table156[[#This Row],[Total Amount]]&gt;=1000),"High",TRUE,"Normal")</f>
        <v>Normal</v>
      </c>
      <c r="L673" s="4" t="str">
        <f>IF(Table156[[#This Row],[Total Amount]]&gt;=1000,"High",(IF(Table156[[#This Row],[Total Amount]]&gt;=500,"Medium","Low")))</f>
        <v>Low</v>
      </c>
      <c r="M673" s="4" t="str" cm="1">
        <f t="array" ref="M67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73" s="4" cm="1">
        <f t="array" ref="N67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673" s="4">
        <f>Table156[[#This Row],[Total Amount]]-Table156[[#This Row],[Discount Amount]]</f>
        <v>85</v>
      </c>
      <c r="P673" s="4" t="str">
        <f>IF(Table156[[#This Row],[Total Amount]]&gt;=1000,"High","Low")</f>
        <v>Low</v>
      </c>
      <c r="Q673" s="4" t="str" cm="1">
        <f t="array" ref="Q673">_xlfn.IFS(AND(Table156[[#This Row],[Total Amount]]&gt;=1500,"Critical"),AND(Table156[[#This Row],[Total Amount]]&gt;=1000,"High"),TRUE,"Normal")</f>
        <v>Normal</v>
      </c>
      <c r="R673" s="4">
        <f>COUNTIF(Table156[Gender],"Male")</f>
        <v>490</v>
      </c>
    </row>
    <row r="674" spans="1:18" x14ac:dyDescent="0.35">
      <c r="A674" s="4">
        <v>673</v>
      </c>
      <c r="B674" s="5">
        <v>44958</v>
      </c>
      <c r="C674" s="4" t="s">
        <v>686</v>
      </c>
      <c r="D674" s="4" t="s">
        <v>13</v>
      </c>
      <c r="E674" s="4">
        <v>43</v>
      </c>
      <c r="F674" s="4" t="str">
        <f>IF(Table156[[#This Row],[Age]]&lt;=19,"Teenager",IF(Table156[[#This Row],[Age]]&lt;=40,"Median","Old"))</f>
        <v>Old</v>
      </c>
      <c r="G674" s="4" t="s">
        <v>14</v>
      </c>
      <c r="H674" s="4">
        <v>3</v>
      </c>
      <c r="I674" s="4">
        <v>500</v>
      </c>
      <c r="J674" s="4">
        <v>1500</v>
      </c>
      <c r="K674" s="4" t="str" cm="1">
        <f t="array" ref="K674">_xlfn.IFS(AND(Table156[[#This Row],[Total Amount]]&gt;=1500),"Critical",AND(Table156[[#This Row],[Total Amount]]&gt;=1000),"High",TRUE,"Normal")</f>
        <v>Critical</v>
      </c>
      <c r="L674" s="4" t="str">
        <f>IF(Table156[[#This Row],[Total Amount]]&gt;=1000,"High",(IF(Table156[[#This Row],[Total Amount]]&gt;=500,"Medium","Low")))</f>
        <v>High</v>
      </c>
      <c r="M674" s="4" t="str" cm="1">
        <f t="array" ref="M67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74" s="4" cm="1">
        <f t="array" ref="N67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674" s="4">
        <f>Table156[[#This Row],[Total Amount]]-Table156[[#This Row],[Discount Amount]]</f>
        <v>1200</v>
      </c>
      <c r="P674" s="4" t="str">
        <f>IF(Table156[[#This Row],[Total Amount]]&gt;=1000,"High","Low")</f>
        <v>High</v>
      </c>
      <c r="Q674" s="4" t="b" cm="1">
        <f t="array" ref="Q674">_xlfn.IFS(AND(Table156[[#This Row],[Total Amount]]&gt;=1500,"Critical"),AND(Table156[[#This Row],[Total Amount]]&gt;=1000,"High"),TRUE,"Normal")</f>
        <v>1</v>
      </c>
      <c r="R674" s="4">
        <f>COUNTIF(Table156[Gender],"Male")</f>
        <v>490</v>
      </c>
    </row>
    <row r="675" spans="1:18" x14ac:dyDescent="0.35">
      <c r="A675" s="4">
        <v>674</v>
      </c>
      <c r="B675" s="5">
        <v>45032</v>
      </c>
      <c r="C675" s="4" t="s">
        <v>687</v>
      </c>
      <c r="D675" s="4" t="s">
        <v>13</v>
      </c>
      <c r="E675" s="4">
        <v>38</v>
      </c>
      <c r="F675" s="4" t="str">
        <f>IF(Table156[[#This Row],[Age]]&lt;=19,"Teenager",IF(Table156[[#This Row],[Age]]&lt;=40,"Median","Old"))</f>
        <v>Median</v>
      </c>
      <c r="G675" s="4" t="s">
        <v>14</v>
      </c>
      <c r="H675" s="4">
        <v>1</v>
      </c>
      <c r="I675" s="4">
        <v>300</v>
      </c>
      <c r="J675" s="4">
        <v>300</v>
      </c>
      <c r="K675" s="4" t="str" cm="1">
        <f t="array" ref="K675">_xlfn.IFS(AND(Table156[[#This Row],[Total Amount]]&gt;=1500),"Critical",AND(Table156[[#This Row],[Total Amount]]&gt;=1000),"High",TRUE,"Normal")</f>
        <v>Normal</v>
      </c>
      <c r="L675" s="4" t="str">
        <f>IF(Table156[[#This Row],[Total Amount]]&gt;=1000,"High",(IF(Table156[[#This Row],[Total Amount]]&gt;=500,"Medium","Low")))</f>
        <v>Low</v>
      </c>
      <c r="M675" s="4" t="str" cm="1">
        <f t="array" ref="M67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75" s="4" cm="1">
        <f t="array" ref="N67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675" s="4">
        <f>Table156[[#This Row],[Total Amount]]-Table156[[#This Row],[Discount Amount]]</f>
        <v>240</v>
      </c>
      <c r="P675" s="4" t="str">
        <f>IF(Table156[[#This Row],[Total Amount]]&gt;=1000,"High","Low")</f>
        <v>Low</v>
      </c>
      <c r="Q675" s="4" t="str" cm="1">
        <f t="array" ref="Q675">_xlfn.IFS(AND(Table156[[#This Row],[Total Amount]]&gt;=1500,"Critical"),AND(Table156[[#This Row],[Total Amount]]&gt;=1000,"High"),TRUE,"Normal")</f>
        <v>Normal</v>
      </c>
      <c r="R675" s="4">
        <f>COUNTIF(Table156[Gender],"Male")</f>
        <v>490</v>
      </c>
    </row>
    <row r="676" spans="1:18" x14ac:dyDescent="0.35">
      <c r="A676" s="4">
        <v>675</v>
      </c>
      <c r="B676" s="5">
        <v>45142</v>
      </c>
      <c r="C676" s="4" t="s">
        <v>688</v>
      </c>
      <c r="D676" s="4" t="s">
        <v>13</v>
      </c>
      <c r="E676" s="4">
        <v>45</v>
      </c>
      <c r="F676" s="4" t="str">
        <f>IF(Table156[[#This Row],[Age]]&lt;=19,"Teenager",IF(Table156[[#This Row],[Age]]&lt;=40,"Median","Old"))</f>
        <v>Old</v>
      </c>
      <c r="G676" s="4" t="s">
        <v>14</v>
      </c>
      <c r="H676" s="4">
        <v>2</v>
      </c>
      <c r="I676" s="4">
        <v>30</v>
      </c>
      <c r="J676" s="4">
        <v>60</v>
      </c>
      <c r="K676" s="4" t="str" cm="1">
        <f t="array" ref="K676">_xlfn.IFS(AND(Table156[[#This Row],[Total Amount]]&gt;=1500),"Critical",AND(Table156[[#This Row],[Total Amount]]&gt;=1000),"High",TRUE,"Normal")</f>
        <v>Normal</v>
      </c>
      <c r="L676" s="4" t="str">
        <f>IF(Table156[[#This Row],[Total Amount]]&gt;=1000,"High",(IF(Table156[[#This Row],[Total Amount]]&gt;=500,"Medium","Low")))</f>
        <v>Low</v>
      </c>
      <c r="M676" s="4" t="str" cm="1">
        <f t="array" ref="M67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76" s="4" cm="1">
        <f t="array" ref="N67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676" s="4">
        <f>Table156[[#This Row],[Total Amount]]-Table156[[#This Row],[Discount Amount]]</f>
        <v>48</v>
      </c>
      <c r="P676" s="4" t="str">
        <f>IF(Table156[[#This Row],[Total Amount]]&gt;=1000,"High","Low")</f>
        <v>Low</v>
      </c>
      <c r="Q676" s="4" t="str" cm="1">
        <f t="array" ref="Q676">_xlfn.IFS(AND(Table156[[#This Row],[Total Amount]]&gt;=1500,"Critical"),AND(Table156[[#This Row],[Total Amount]]&gt;=1000,"High"),TRUE,"Normal")</f>
        <v>Normal</v>
      </c>
      <c r="R676" s="4">
        <f>COUNTIF(Table156[Gender],"Male")</f>
        <v>490</v>
      </c>
    </row>
    <row r="677" spans="1:18" x14ac:dyDescent="0.35">
      <c r="A677" s="4">
        <v>676</v>
      </c>
      <c r="B677" s="5">
        <v>45126</v>
      </c>
      <c r="C677" s="4" t="s">
        <v>689</v>
      </c>
      <c r="D677" s="4" t="s">
        <v>10</v>
      </c>
      <c r="E677" s="4">
        <v>63</v>
      </c>
      <c r="F677" s="4" t="str">
        <f>IF(Table156[[#This Row],[Age]]&lt;=19,"Teenager",IF(Table156[[#This Row],[Age]]&lt;=40,"Median","Old"))</f>
        <v>Old</v>
      </c>
      <c r="G677" s="4" t="s">
        <v>16</v>
      </c>
      <c r="H677" s="4">
        <v>3</v>
      </c>
      <c r="I677" s="4">
        <v>500</v>
      </c>
      <c r="J677" s="4">
        <v>1500</v>
      </c>
      <c r="K677" s="4" t="str" cm="1">
        <f t="array" ref="K677">_xlfn.IFS(AND(Table156[[#This Row],[Total Amount]]&gt;=1500),"Critical",AND(Table156[[#This Row],[Total Amount]]&gt;=1000),"High",TRUE,"Normal")</f>
        <v>Critical</v>
      </c>
      <c r="L677" s="4" t="str">
        <f>IF(Table156[[#This Row],[Total Amount]]&gt;=1000,"High",(IF(Table156[[#This Row],[Total Amount]]&gt;=500,"Medium","Low")))</f>
        <v>High</v>
      </c>
      <c r="M677" s="4" t="str" cm="1">
        <f t="array" ref="M67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77" s="4" cm="1">
        <f t="array" ref="N67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677" s="4">
        <f>Table156[[#This Row],[Total Amount]]-Table156[[#This Row],[Discount Amount]]</f>
        <v>1350</v>
      </c>
      <c r="P677" s="4" t="str">
        <f>IF(Table156[[#This Row],[Total Amount]]&gt;=1000,"High","Low")</f>
        <v>High</v>
      </c>
      <c r="Q677" s="4" t="b" cm="1">
        <f t="array" ref="Q677">_xlfn.IFS(AND(Table156[[#This Row],[Total Amount]]&gt;=1500,"Critical"),AND(Table156[[#This Row],[Total Amount]]&gt;=1000,"High"),TRUE,"Normal")</f>
        <v>1</v>
      </c>
      <c r="R677" s="4">
        <f>COUNTIF(Table156[Gender],"Male")</f>
        <v>490</v>
      </c>
    </row>
    <row r="678" spans="1:18" x14ac:dyDescent="0.35">
      <c r="A678" s="4">
        <v>677</v>
      </c>
      <c r="B678" s="5">
        <v>45226</v>
      </c>
      <c r="C678" s="4" t="s">
        <v>690</v>
      </c>
      <c r="D678" s="4" t="s">
        <v>13</v>
      </c>
      <c r="E678" s="4">
        <v>19</v>
      </c>
      <c r="F678" s="4" t="str">
        <f>IF(Table156[[#This Row],[Age]]&lt;=19,"Teenager",IF(Table156[[#This Row],[Age]]&lt;=40,"Median","Old"))</f>
        <v>Teenager</v>
      </c>
      <c r="G678" s="4" t="s">
        <v>11</v>
      </c>
      <c r="H678" s="4">
        <v>3</v>
      </c>
      <c r="I678" s="4">
        <v>500</v>
      </c>
      <c r="J678" s="4">
        <v>1500</v>
      </c>
      <c r="K678" s="4" t="str" cm="1">
        <f t="array" ref="K678">_xlfn.IFS(AND(Table156[[#This Row],[Total Amount]]&gt;=1500),"Critical",AND(Table156[[#This Row],[Total Amount]]&gt;=1000),"High",TRUE,"Normal")</f>
        <v>Critical</v>
      </c>
      <c r="L678" s="4" t="str">
        <f>IF(Table156[[#This Row],[Total Amount]]&gt;=1000,"High",(IF(Table156[[#This Row],[Total Amount]]&gt;=500,"Medium","Low")))</f>
        <v>High</v>
      </c>
      <c r="M678" s="4" t="str" cm="1">
        <f t="array" ref="M67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678" s="4" cm="1">
        <f t="array" ref="N67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678" s="4">
        <f>Table156[[#This Row],[Total Amount]]-Table156[[#This Row],[Discount Amount]]</f>
        <v>1500</v>
      </c>
      <c r="P678" s="4" t="str">
        <f>IF(Table156[[#This Row],[Total Amount]]&gt;=1000,"High","Low")</f>
        <v>High</v>
      </c>
      <c r="Q678" s="4" t="b" cm="1">
        <f t="array" ref="Q678">_xlfn.IFS(AND(Table156[[#This Row],[Total Amount]]&gt;=1500,"Critical"),AND(Table156[[#This Row],[Total Amount]]&gt;=1000,"High"),TRUE,"Normal")</f>
        <v>1</v>
      </c>
      <c r="R678" s="4">
        <f>COUNTIF(Table156[Gender],"Male")</f>
        <v>490</v>
      </c>
    </row>
    <row r="679" spans="1:18" x14ac:dyDescent="0.35">
      <c r="A679" s="4">
        <v>678</v>
      </c>
      <c r="B679" s="5">
        <v>45283</v>
      </c>
      <c r="C679" s="4" t="s">
        <v>691</v>
      </c>
      <c r="D679" s="4" t="s">
        <v>13</v>
      </c>
      <c r="E679" s="4">
        <v>60</v>
      </c>
      <c r="F679" s="4" t="str">
        <f>IF(Table156[[#This Row],[Age]]&lt;=19,"Teenager",IF(Table156[[#This Row],[Age]]&lt;=40,"Median","Old"))</f>
        <v>Old</v>
      </c>
      <c r="G679" s="4" t="s">
        <v>16</v>
      </c>
      <c r="H679" s="4">
        <v>3</v>
      </c>
      <c r="I679" s="4">
        <v>300</v>
      </c>
      <c r="J679" s="4">
        <v>900</v>
      </c>
      <c r="K679" s="4" t="str" cm="1">
        <f t="array" ref="K679">_xlfn.IFS(AND(Table156[[#This Row],[Total Amount]]&gt;=1500),"Critical",AND(Table156[[#This Row],[Total Amount]]&gt;=1000),"High",TRUE,"Normal")</f>
        <v>Normal</v>
      </c>
      <c r="L679" s="4" t="str">
        <f>IF(Table156[[#This Row],[Total Amount]]&gt;=1000,"High",(IF(Table156[[#This Row],[Total Amount]]&gt;=500,"Medium","Low")))</f>
        <v>Medium</v>
      </c>
      <c r="M679" s="4" t="str" cm="1">
        <f t="array" ref="M67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79" s="4" cm="1">
        <f t="array" ref="N67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679" s="4">
        <f>Table156[[#This Row],[Total Amount]]-Table156[[#This Row],[Discount Amount]]</f>
        <v>720</v>
      </c>
      <c r="P679" s="4" t="str">
        <f>IF(Table156[[#This Row],[Total Amount]]&gt;=1000,"High","Low")</f>
        <v>Low</v>
      </c>
      <c r="Q679" s="4" t="str" cm="1">
        <f t="array" ref="Q679">_xlfn.IFS(AND(Table156[[#This Row],[Total Amount]]&gt;=1500,"Critical"),AND(Table156[[#This Row],[Total Amount]]&gt;=1000,"High"),TRUE,"Normal")</f>
        <v>Normal</v>
      </c>
      <c r="R679" s="4">
        <f>COUNTIF(Table156[Gender],"Male")</f>
        <v>490</v>
      </c>
    </row>
    <row r="680" spans="1:18" x14ac:dyDescent="0.35">
      <c r="A680" s="4">
        <v>679</v>
      </c>
      <c r="B680" s="5">
        <v>44937</v>
      </c>
      <c r="C680" s="4" t="s">
        <v>692</v>
      </c>
      <c r="D680" s="4" t="s">
        <v>13</v>
      </c>
      <c r="E680" s="4">
        <v>18</v>
      </c>
      <c r="F680" s="4" t="str">
        <f>IF(Table156[[#This Row],[Age]]&lt;=19,"Teenager",IF(Table156[[#This Row],[Age]]&lt;=40,"Median","Old"))</f>
        <v>Teenager</v>
      </c>
      <c r="G680" s="4" t="s">
        <v>11</v>
      </c>
      <c r="H680" s="4">
        <v>3</v>
      </c>
      <c r="I680" s="4">
        <v>30</v>
      </c>
      <c r="J680" s="4">
        <v>90</v>
      </c>
      <c r="K680" s="4" t="str" cm="1">
        <f t="array" ref="K680">_xlfn.IFS(AND(Table156[[#This Row],[Total Amount]]&gt;=1500),"Critical",AND(Table156[[#This Row],[Total Amount]]&gt;=1000),"High",TRUE,"Normal")</f>
        <v>Normal</v>
      </c>
      <c r="L680" s="4" t="str">
        <f>IF(Table156[[#This Row],[Total Amount]]&gt;=1000,"High",(IF(Table156[[#This Row],[Total Amount]]&gt;=500,"Medium","Low")))</f>
        <v>Low</v>
      </c>
      <c r="M680" s="4" t="str" cm="1">
        <f t="array" ref="M68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680" s="4" cm="1">
        <f t="array" ref="N68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680" s="4">
        <f>Table156[[#This Row],[Total Amount]]-Table156[[#This Row],[Discount Amount]]</f>
        <v>90</v>
      </c>
      <c r="P680" s="4" t="str">
        <f>IF(Table156[[#This Row],[Total Amount]]&gt;=1000,"High","Low")</f>
        <v>Low</v>
      </c>
      <c r="Q680" s="4" t="str" cm="1">
        <f t="array" ref="Q680">_xlfn.IFS(AND(Table156[[#This Row],[Total Amount]]&gt;=1500,"Critical"),AND(Table156[[#This Row],[Total Amount]]&gt;=1000,"High"),TRUE,"Normal")</f>
        <v>Normal</v>
      </c>
      <c r="R680" s="4">
        <f>COUNTIF(Table156[Gender],"Male")</f>
        <v>490</v>
      </c>
    </row>
    <row r="681" spans="1:18" x14ac:dyDescent="0.35">
      <c r="A681" s="4">
        <v>680</v>
      </c>
      <c r="B681" s="5">
        <v>45221</v>
      </c>
      <c r="C681" s="4" t="s">
        <v>693</v>
      </c>
      <c r="D681" s="4" t="s">
        <v>13</v>
      </c>
      <c r="E681" s="4">
        <v>53</v>
      </c>
      <c r="F681" s="4" t="str">
        <f>IF(Table156[[#This Row],[Age]]&lt;=19,"Teenager",IF(Table156[[#This Row],[Age]]&lt;=40,"Median","Old"))</f>
        <v>Old</v>
      </c>
      <c r="G681" s="4" t="s">
        <v>14</v>
      </c>
      <c r="H681" s="4">
        <v>3</v>
      </c>
      <c r="I681" s="4">
        <v>300</v>
      </c>
      <c r="J681" s="4">
        <v>900</v>
      </c>
      <c r="K681" s="4" t="str" cm="1">
        <f t="array" ref="K681">_xlfn.IFS(AND(Table156[[#This Row],[Total Amount]]&gt;=1500),"Critical",AND(Table156[[#This Row],[Total Amount]]&gt;=1000),"High",TRUE,"Normal")</f>
        <v>Normal</v>
      </c>
      <c r="L681" s="4" t="str">
        <f>IF(Table156[[#This Row],[Total Amount]]&gt;=1000,"High",(IF(Table156[[#This Row],[Total Amount]]&gt;=500,"Medium","Low")))</f>
        <v>Medium</v>
      </c>
      <c r="M681" s="4" t="str" cm="1">
        <f t="array" ref="M68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81" s="4" cm="1">
        <f t="array" ref="N68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681" s="4">
        <f>Table156[[#This Row],[Total Amount]]-Table156[[#This Row],[Discount Amount]]</f>
        <v>720</v>
      </c>
      <c r="P681" s="4" t="str">
        <f>IF(Table156[[#This Row],[Total Amount]]&gt;=1000,"High","Low")</f>
        <v>Low</v>
      </c>
      <c r="Q681" s="4" t="str" cm="1">
        <f t="array" ref="Q681">_xlfn.IFS(AND(Table156[[#This Row],[Total Amount]]&gt;=1500,"Critical"),AND(Table156[[#This Row],[Total Amount]]&gt;=1000,"High"),TRUE,"Normal")</f>
        <v>Normal</v>
      </c>
      <c r="R681" s="4">
        <f>COUNTIF(Table156[Gender],"Male")</f>
        <v>490</v>
      </c>
    </row>
    <row r="682" spans="1:18" x14ac:dyDescent="0.35">
      <c r="A682" s="4">
        <v>681</v>
      </c>
      <c r="B682" s="5">
        <v>45121</v>
      </c>
      <c r="C682" s="4" t="s">
        <v>694</v>
      </c>
      <c r="D682" s="4" t="s">
        <v>13</v>
      </c>
      <c r="E682" s="4">
        <v>43</v>
      </c>
      <c r="F682" s="4" t="str">
        <f>IF(Table156[[#This Row],[Age]]&lt;=19,"Teenager",IF(Table156[[#This Row],[Age]]&lt;=40,"Median","Old"))</f>
        <v>Old</v>
      </c>
      <c r="G682" s="4" t="s">
        <v>16</v>
      </c>
      <c r="H682" s="4">
        <v>2</v>
      </c>
      <c r="I682" s="4">
        <v>30</v>
      </c>
      <c r="J682" s="4">
        <v>60</v>
      </c>
      <c r="K682" s="4" t="str" cm="1">
        <f t="array" ref="K682">_xlfn.IFS(AND(Table156[[#This Row],[Total Amount]]&gt;=1500),"Critical",AND(Table156[[#This Row],[Total Amount]]&gt;=1000),"High",TRUE,"Normal")</f>
        <v>Normal</v>
      </c>
      <c r="L682" s="4" t="str">
        <f>IF(Table156[[#This Row],[Total Amount]]&gt;=1000,"High",(IF(Table156[[#This Row],[Total Amount]]&gt;=500,"Medium","Low")))</f>
        <v>Low</v>
      </c>
      <c r="M682" s="4" t="str" cm="1">
        <f t="array" ref="M68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82" s="4" cm="1">
        <f t="array" ref="N68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682" s="4">
        <f>Table156[[#This Row],[Total Amount]]-Table156[[#This Row],[Discount Amount]]</f>
        <v>48</v>
      </c>
      <c r="P682" s="4" t="str">
        <f>IF(Table156[[#This Row],[Total Amount]]&gt;=1000,"High","Low")</f>
        <v>Low</v>
      </c>
      <c r="Q682" s="4" t="str" cm="1">
        <f t="array" ref="Q682">_xlfn.IFS(AND(Table156[[#This Row],[Total Amount]]&gt;=1500,"Critical"),AND(Table156[[#This Row],[Total Amount]]&gt;=1000,"High"),TRUE,"Normal")</f>
        <v>Normal</v>
      </c>
      <c r="R682" s="4">
        <f>COUNTIF(Table156[Gender],"Male")</f>
        <v>490</v>
      </c>
    </row>
    <row r="683" spans="1:18" x14ac:dyDescent="0.35">
      <c r="A683" s="4">
        <v>682</v>
      </c>
      <c r="B683" s="5">
        <v>45171</v>
      </c>
      <c r="C683" s="4" t="s">
        <v>695</v>
      </c>
      <c r="D683" s="4" t="s">
        <v>10</v>
      </c>
      <c r="E683" s="4">
        <v>46</v>
      </c>
      <c r="F683" s="4" t="str">
        <f>IF(Table156[[#This Row],[Age]]&lt;=19,"Teenager",IF(Table156[[#This Row],[Age]]&lt;=40,"Median","Old"))</f>
        <v>Old</v>
      </c>
      <c r="G683" s="4" t="s">
        <v>11</v>
      </c>
      <c r="H683" s="4">
        <v>4</v>
      </c>
      <c r="I683" s="4">
        <v>300</v>
      </c>
      <c r="J683" s="4">
        <v>1200</v>
      </c>
      <c r="K683" s="4" t="str" cm="1">
        <f t="array" ref="K683">_xlfn.IFS(AND(Table156[[#This Row],[Total Amount]]&gt;=1500),"Critical",AND(Table156[[#This Row],[Total Amount]]&gt;=1000),"High",TRUE,"Normal")</f>
        <v>High</v>
      </c>
      <c r="L683" s="4" t="str">
        <f>IF(Table156[[#This Row],[Total Amount]]&gt;=1000,"High",(IF(Table156[[#This Row],[Total Amount]]&gt;=500,"Medium","Low")))</f>
        <v>High</v>
      </c>
      <c r="M683" s="4" t="str" cm="1">
        <f t="array" ref="M68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83" s="4" cm="1">
        <f t="array" ref="N68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683" s="4">
        <f>Table156[[#This Row],[Total Amount]]-Table156[[#This Row],[Discount Amount]]</f>
        <v>1080</v>
      </c>
      <c r="P683" s="4" t="str">
        <f>IF(Table156[[#This Row],[Total Amount]]&gt;=1000,"High","Low")</f>
        <v>High</v>
      </c>
      <c r="Q683" s="4" t="str" cm="1">
        <f t="array" ref="Q683">_xlfn.IFS(AND(Table156[[#This Row],[Total Amount]]&gt;=1500,"Critical"),AND(Table156[[#This Row],[Total Amount]]&gt;=1000,"High"),TRUE,"Normal")</f>
        <v>Normal</v>
      </c>
      <c r="R683" s="4">
        <f>COUNTIF(Table156[Gender],"Male")</f>
        <v>490</v>
      </c>
    </row>
    <row r="684" spans="1:18" x14ac:dyDescent="0.35">
      <c r="A684" s="4">
        <v>683</v>
      </c>
      <c r="B684" s="5">
        <v>44930</v>
      </c>
      <c r="C684" s="4" t="s">
        <v>696</v>
      </c>
      <c r="D684" s="4" t="s">
        <v>10</v>
      </c>
      <c r="E684" s="4">
        <v>38</v>
      </c>
      <c r="F684" s="4" t="str">
        <f>IF(Table156[[#This Row],[Age]]&lt;=19,"Teenager",IF(Table156[[#This Row],[Age]]&lt;=40,"Median","Old"))</f>
        <v>Median</v>
      </c>
      <c r="G684" s="4" t="s">
        <v>11</v>
      </c>
      <c r="H684" s="4">
        <v>2</v>
      </c>
      <c r="I684" s="4">
        <v>500</v>
      </c>
      <c r="J684" s="4">
        <v>1000</v>
      </c>
      <c r="K684" s="4" t="str" cm="1">
        <f t="array" ref="K684">_xlfn.IFS(AND(Table156[[#This Row],[Total Amount]]&gt;=1500),"Critical",AND(Table156[[#This Row],[Total Amount]]&gt;=1000),"High",TRUE,"Normal")</f>
        <v>High</v>
      </c>
      <c r="L684" s="4" t="str">
        <f>IF(Table156[[#This Row],[Total Amount]]&gt;=1000,"High",(IF(Table156[[#This Row],[Total Amount]]&gt;=500,"Medium","Low")))</f>
        <v>High</v>
      </c>
      <c r="M684" s="4" t="str" cm="1">
        <f t="array" ref="M68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84" s="4" cm="1">
        <f t="array" ref="N68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684" s="4">
        <f>Table156[[#This Row],[Total Amount]]-Table156[[#This Row],[Discount Amount]]</f>
        <v>900</v>
      </c>
      <c r="P684" s="4" t="str">
        <f>IF(Table156[[#This Row],[Total Amount]]&gt;=1000,"High","Low")</f>
        <v>High</v>
      </c>
      <c r="Q684" s="4" t="str" cm="1">
        <f t="array" ref="Q684">_xlfn.IFS(AND(Table156[[#This Row],[Total Amount]]&gt;=1500,"Critical"),AND(Table156[[#This Row],[Total Amount]]&gt;=1000,"High"),TRUE,"Normal")</f>
        <v>Normal</v>
      </c>
      <c r="R684" s="4">
        <f>COUNTIF(Table156[Gender],"Male")</f>
        <v>490</v>
      </c>
    </row>
    <row r="685" spans="1:18" x14ac:dyDescent="0.35">
      <c r="A685" s="4">
        <v>684</v>
      </c>
      <c r="B685" s="5">
        <v>45107</v>
      </c>
      <c r="C685" s="4" t="s">
        <v>697</v>
      </c>
      <c r="D685" s="4" t="s">
        <v>13</v>
      </c>
      <c r="E685" s="4">
        <v>28</v>
      </c>
      <c r="F685" s="4" t="str">
        <f>IF(Table156[[#This Row],[Age]]&lt;=19,"Teenager",IF(Table156[[#This Row],[Age]]&lt;=40,"Median","Old"))</f>
        <v>Median</v>
      </c>
      <c r="G685" s="4" t="s">
        <v>14</v>
      </c>
      <c r="H685" s="4">
        <v>2</v>
      </c>
      <c r="I685" s="4">
        <v>500</v>
      </c>
      <c r="J685" s="4">
        <v>1000</v>
      </c>
      <c r="K685" s="4" t="str" cm="1">
        <f t="array" ref="K685">_xlfn.IFS(AND(Table156[[#This Row],[Total Amount]]&gt;=1500),"Critical",AND(Table156[[#This Row],[Total Amount]]&gt;=1000),"High",TRUE,"Normal")</f>
        <v>High</v>
      </c>
      <c r="L685" s="4" t="str">
        <f>IF(Table156[[#This Row],[Total Amount]]&gt;=1000,"High",(IF(Table156[[#This Row],[Total Amount]]&gt;=500,"Medium","Low")))</f>
        <v>High</v>
      </c>
      <c r="M685" s="4" t="str" cm="1">
        <f t="array" ref="M68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85" s="4" cm="1">
        <f t="array" ref="N68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685" s="4">
        <f>Table156[[#This Row],[Total Amount]]-Table156[[#This Row],[Discount Amount]]</f>
        <v>850</v>
      </c>
      <c r="P685" s="4" t="str">
        <f>IF(Table156[[#This Row],[Total Amount]]&gt;=1000,"High","Low")</f>
        <v>High</v>
      </c>
      <c r="Q685" s="4" t="str" cm="1">
        <f t="array" ref="Q685">_xlfn.IFS(AND(Table156[[#This Row],[Total Amount]]&gt;=1500,"Critical"),AND(Table156[[#This Row],[Total Amount]]&gt;=1000,"High"),TRUE,"Normal")</f>
        <v>Normal</v>
      </c>
      <c r="R685" s="4">
        <f>COUNTIF(Table156[Gender],"Male")</f>
        <v>490</v>
      </c>
    </row>
    <row r="686" spans="1:18" x14ac:dyDescent="0.35">
      <c r="A686" s="4">
        <v>685</v>
      </c>
      <c r="B686" s="5">
        <v>45079</v>
      </c>
      <c r="C686" s="4" t="s">
        <v>698</v>
      </c>
      <c r="D686" s="4" t="s">
        <v>10</v>
      </c>
      <c r="E686" s="4">
        <v>57</v>
      </c>
      <c r="F686" s="4" t="str">
        <f>IF(Table156[[#This Row],[Age]]&lt;=19,"Teenager",IF(Table156[[#This Row],[Age]]&lt;=40,"Median","Old"))</f>
        <v>Old</v>
      </c>
      <c r="G686" s="4" t="s">
        <v>16</v>
      </c>
      <c r="H686" s="4">
        <v>2</v>
      </c>
      <c r="I686" s="4">
        <v>25</v>
      </c>
      <c r="J686" s="4">
        <v>50</v>
      </c>
      <c r="K686" s="4" t="str" cm="1">
        <f t="array" ref="K686">_xlfn.IFS(AND(Table156[[#This Row],[Total Amount]]&gt;=1500),"Critical",AND(Table156[[#This Row],[Total Amount]]&gt;=1000),"High",TRUE,"Normal")</f>
        <v>Normal</v>
      </c>
      <c r="L686" s="4" t="str">
        <f>IF(Table156[[#This Row],[Total Amount]]&gt;=1000,"High",(IF(Table156[[#This Row],[Total Amount]]&gt;=500,"Medium","Low")))</f>
        <v>Low</v>
      </c>
      <c r="M686" s="4" t="str" cm="1">
        <f t="array" ref="M68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86" s="4" cm="1">
        <f t="array" ref="N68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686" s="4">
        <f>Table156[[#This Row],[Total Amount]]-Table156[[#This Row],[Discount Amount]]</f>
        <v>45</v>
      </c>
      <c r="P686" s="4" t="str">
        <f>IF(Table156[[#This Row],[Total Amount]]&gt;=1000,"High","Low")</f>
        <v>Low</v>
      </c>
      <c r="Q686" s="4" t="str" cm="1">
        <f t="array" ref="Q686">_xlfn.IFS(AND(Table156[[#This Row],[Total Amount]]&gt;=1500,"Critical"),AND(Table156[[#This Row],[Total Amount]]&gt;=1000,"High"),TRUE,"Normal")</f>
        <v>Normal</v>
      </c>
      <c r="R686" s="4">
        <f>COUNTIF(Table156[Gender],"Male")</f>
        <v>490</v>
      </c>
    </row>
    <row r="687" spans="1:18" x14ac:dyDescent="0.35">
      <c r="A687" s="4">
        <v>686</v>
      </c>
      <c r="B687" s="5">
        <v>45126</v>
      </c>
      <c r="C687" s="4" t="s">
        <v>699</v>
      </c>
      <c r="D687" s="4" t="s">
        <v>13</v>
      </c>
      <c r="E687" s="4">
        <v>28</v>
      </c>
      <c r="F687" s="4" t="str">
        <f>IF(Table156[[#This Row],[Age]]&lt;=19,"Teenager",IF(Table156[[#This Row],[Age]]&lt;=40,"Median","Old"))</f>
        <v>Median</v>
      </c>
      <c r="G687" s="4" t="s">
        <v>16</v>
      </c>
      <c r="H687" s="4">
        <v>4</v>
      </c>
      <c r="I687" s="4">
        <v>50</v>
      </c>
      <c r="J687" s="4">
        <v>200</v>
      </c>
      <c r="K687" s="4" t="str" cm="1">
        <f t="array" ref="K687">_xlfn.IFS(AND(Table156[[#This Row],[Total Amount]]&gt;=1500),"Critical",AND(Table156[[#This Row],[Total Amount]]&gt;=1000),"High",TRUE,"Normal")</f>
        <v>Normal</v>
      </c>
      <c r="L687" s="4" t="str">
        <f>IF(Table156[[#This Row],[Total Amount]]&gt;=1000,"High",(IF(Table156[[#This Row],[Total Amount]]&gt;=500,"Medium","Low")))</f>
        <v>Low</v>
      </c>
      <c r="M687" s="4" t="str" cm="1">
        <f t="array" ref="M68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87" s="4" cm="1">
        <f t="array" ref="N68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687" s="4">
        <f>Table156[[#This Row],[Total Amount]]-Table156[[#This Row],[Discount Amount]]</f>
        <v>170</v>
      </c>
      <c r="P687" s="4" t="str">
        <f>IF(Table156[[#This Row],[Total Amount]]&gt;=1000,"High","Low")</f>
        <v>Low</v>
      </c>
      <c r="Q687" s="4" t="str" cm="1">
        <f t="array" ref="Q687">_xlfn.IFS(AND(Table156[[#This Row],[Total Amount]]&gt;=1500,"Critical"),AND(Table156[[#This Row],[Total Amount]]&gt;=1000,"High"),TRUE,"Normal")</f>
        <v>Normal</v>
      </c>
      <c r="R687" s="4">
        <f>COUNTIF(Table156[Gender],"Male")</f>
        <v>490</v>
      </c>
    </row>
    <row r="688" spans="1:18" x14ac:dyDescent="0.35">
      <c r="A688" s="4">
        <v>687</v>
      </c>
      <c r="B688" s="5">
        <v>45141</v>
      </c>
      <c r="C688" s="4" t="s">
        <v>700</v>
      </c>
      <c r="D688" s="4" t="s">
        <v>13</v>
      </c>
      <c r="E688" s="4">
        <v>53</v>
      </c>
      <c r="F688" s="4" t="str">
        <f>IF(Table156[[#This Row],[Age]]&lt;=19,"Teenager",IF(Table156[[#This Row],[Age]]&lt;=40,"Median","Old"))</f>
        <v>Old</v>
      </c>
      <c r="G688" s="4" t="s">
        <v>16</v>
      </c>
      <c r="H688" s="4">
        <v>1</v>
      </c>
      <c r="I688" s="4">
        <v>300</v>
      </c>
      <c r="J688" s="4">
        <v>300</v>
      </c>
      <c r="K688" s="4" t="str" cm="1">
        <f t="array" ref="K688">_xlfn.IFS(AND(Table156[[#This Row],[Total Amount]]&gt;=1500),"Critical",AND(Table156[[#This Row],[Total Amount]]&gt;=1000),"High",TRUE,"Normal")</f>
        <v>Normal</v>
      </c>
      <c r="L688" s="4" t="str">
        <f>IF(Table156[[#This Row],[Total Amount]]&gt;=1000,"High",(IF(Table156[[#This Row],[Total Amount]]&gt;=500,"Medium","Low")))</f>
        <v>Low</v>
      </c>
      <c r="M688" s="4" t="str" cm="1">
        <f t="array" ref="M68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88" s="4" cm="1">
        <f t="array" ref="N68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688" s="4">
        <f>Table156[[#This Row],[Total Amount]]-Table156[[#This Row],[Discount Amount]]</f>
        <v>240</v>
      </c>
      <c r="P688" s="4" t="str">
        <f>IF(Table156[[#This Row],[Total Amount]]&gt;=1000,"High","Low")</f>
        <v>Low</v>
      </c>
      <c r="Q688" s="4" t="str" cm="1">
        <f t="array" ref="Q688">_xlfn.IFS(AND(Table156[[#This Row],[Total Amount]]&gt;=1500,"Critical"),AND(Table156[[#This Row],[Total Amount]]&gt;=1000,"High"),TRUE,"Normal")</f>
        <v>Normal</v>
      </c>
      <c r="R688" s="4">
        <f>COUNTIF(Table156[Gender],"Male")</f>
        <v>490</v>
      </c>
    </row>
    <row r="689" spans="1:18" x14ac:dyDescent="0.35">
      <c r="A689" s="4">
        <v>688</v>
      </c>
      <c r="B689" s="5">
        <v>45202</v>
      </c>
      <c r="C689" s="4" t="s">
        <v>701</v>
      </c>
      <c r="D689" s="4" t="s">
        <v>10</v>
      </c>
      <c r="E689" s="4">
        <v>56</v>
      </c>
      <c r="F689" s="4" t="str">
        <f>IF(Table156[[#This Row],[Age]]&lt;=19,"Teenager",IF(Table156[[#This Row],[Age]]&lt;=40,"Median","Old"))</f>
        <v>Old</v>
      </c>
      <c r="G689" s="4" t="s">
        <v>14</v>
      </c>
      <c r="H689" s="4">
        <v>4</v>
      </c>
      <c r="I689" s="4">
        <v>25</v>
      </c>
      <c r="J689" s="4">
        <v>100</v>
      </c>
      <c r="K689" s="4" t="str" cm="1">
        <f t="array" ref="K689">_xlfn.IFS(AND(Table156[[#This Row],[Total Amount]]&gt;=1500),"Critical",AND(Table156[[#This Row],[Total Amount]]&gt;=1000),"High",TRUE,"Normal")</f>
        <v>Normal</v>
      </c>
      <c r="L689" s="4" t="str">
        <f>IF(Table156[[#This Row],[Total Amount]]&gt;=1000,"High",(IF(Table156[[#This Row],[Total Amount]]&gt;=500,"Medium","Low")))</f>
        <v>Low</v>
      </c>
      <c r="M689" s="4" t="str" cm="1">
        <f t="array" ref="M68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89" s="4" cm="1">
        <f t="array" ref="N68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689" s="4">
        <f>Table156[[#This Row],[Total Amount]]-Table156[[#This Row],[Discount Amount]]</f>
        <v>90</v>
      </c>
      <c r="P689" s="4" t="str">
        <f>IF(Table156[[#This Row],[Total Amount]]&gt;=1000,"High","Low")</f>
        <v>Low</v>
      </c>
      <c r="Q689" s="4" t="str" cm="1">
        <f t="array" ref="Q689">_xlfn.IFS(AND(Table156[[#This Row],[Total Amount]]&gt;=1500,"Critical"),AND(Table156[[#This Row],[Total Amount]]&gt;=1000,"High"),TRUE,"Normal")</f>
        <v>Normal</v>
      </c>
      <c r="R689" s="4">
        <f>COUNTIF(Table156[Gender],"Male")</f>
        <v>490</v>
      </c>
    </row>
    <row r="690" spans="1:18" x14ac:dyDescent="0.35">
      <c r="A690" s="4">
        <v>689</v>
      </c>
      <c r="B690" s="5">
        <v>45206</v>
      </c>
      <c r="C690" s="4" t="s">
        <v>702</v>
      </c>
      <c r="D690" s="4" t="s">
        <v>10</v>
      </c>
      <c r="E690" s="4">
        <v>57</v>
      </c>
      <c r="F690" s="4" t="str">
        <f>IF(Table156[[#This Row],[Age]]&lt;=19,"Teenager",IF(Table156[[#This Row],[Age]]&lt;=40,"Median","Old"))</f>
        <v>Old</v>
      </c>
      <c r="G690" s="4" t="s">
        <v>16</v>
      </c>
      <c r="H690" s="4">
        <v>2</v>
      </c>
      <c r="I690" s="4">
        <v>50</v>
      </c>
      <c r="J690" s="4">
        <v>100</v>
      </c>
      <c r="K690" s="4" t="str" cm="1">
        <f t="array" ref="K690">_xlfn.IFS(AND(Table156[[#This Row],[Total Amount]]&gt;=1500),"Critical",AND(Table156[[#This Row],[Total Amount]]&gt;=1000),"High",TRUE,"Normal")</f>
        <v>Normal</v>
      </c>
      <c r="L690" s="4" t="str">
        <f>IF(Table156[[#This Row],[Total Amount]]&gt;=1000,"High",(IF(Table156[[#This Row],[Total Amount]]&gt;=500,"Medium","Low")))</f>
        <v>Low</v>
      </c>
      <c r="M690" s="4" t="str" cm="1">
        <f t="array" ref="M69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90" s="4" cm="1">
        <f t="array" ref="N69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690" s="4">
        <f>Table156[[#This Row],[Total Amount]]-Table156[[#This Row],[Discount Amount]]</f>
        <v>90</v>
      </c>
      <c r="P690" s="4" t="str">
        <f>IF(Table156[[#This Row],[Total Amount]]&gt;=1000,"High","Low")</f>
        <v>Low</v>
      </c>
      <c r="Q690" s="4" t="str" cm="1">
        <f t="array" ref="Q690">_xlfn.IFS(AND(Table156[[#This Row],[Total Amount]]&gt;=1500,"Critical"),AND(Table156[[#This Row],[Total Amount]]&gt;=1000,"High"),TRUE,"Normal")</f>
        <v>Normal</v>
      </c>
      <c r="R690" s="4">
        <f>COUNTIF(Table156[Gender],"Male")</f>
        <v>490</v>
      </c>
    </row>
    <row r="691" spans="1:18" x14ac:dyDescent="0.35">
      <c r="A691" s="4">
        <v>690</v>
      </c>
      <c r="B691" s="5">
        <v>45235</v>
      </c>
      <c r="C691" s="4" t="s">
        <v>703</v>
      </c>
      <c r="D691" s="4" t="s">
        <v>13</v>
      </c>
      <c r="E691" s="4">
        <v>52</v>
      </c>
      <c r="F691" s="4" t="str">
        <f>IF(Table156[[#This Row],[Age]]&lt;=19,"Teenager",IF(Table156[[#This Row],[Age]]&lt;=40,"Median","Old"))</f>
        <v>Old</v>
      </c>
      <c r="G691" s="4" t="s">
        <v>14</v>
      </c>
      <c r="H691" s="4">
        <v>3</v>
      </c>
      <c r="I691" s="4">
        <v>300</v>
      </c>
      <c r="J691" s="4">
        <v>900</v>
      </c>
      <c r="K691" s="4" t="str" cm="1">
        <f t="array" ref="K691">_xlfn.IFS(AND(Table156[[#This Row],[Total Amount]]&gt;=1500),"Critical",AND(Table156[[#This Row],[Total Amount]]&gt;=1000),"High",TRUE,"Normal")</f>
        <v>Normal</v>
      </c>
      <c r="L691" s="4" t="str">
        <f>IF(Table156[[#This Row],[Total Amount]]&gt;=1000,"High",(IF(Table156[[#This Row],[Total Amount]]&gt;=500,"Medium","Low")))</f>
        <v>Medium</v>
      </c>
      <c r="M691" s="4" t="str" cm="1">
        <f t="array" ref="M69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91" s="4" cm="1">
        <f t="array" ref="N69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691" s="4">
        <f>Table156[[#This Row],[Total Amount]]-Table156[[#This Row],[Discount Amount]]</f>
        <v>720</v>
      </c>
      <c r="P691" s="4" t="str">
        <f>IF(Table156[[#This Row],[Total Amount]]&gt;=1000,"High","Low")</f>
        <v>Low</v>
      </c>
      <c r="Q691" s="4" t="str" cm="1">
        <f t="array" ref="Q691">_xlfn.IFS(AND(Table156[[#This Row],[Total Amount]]&gt;=1500,"Critical"),AND(Table156[[#This Row],[Total Amount]]&gt;=1000,"High"),TRUE,"Normal")</f>
        <v>Normal</v>
      </c>
      <c r="R691" s="4">
        <f>COUNTIF(Table156[Gender],"Male")</f>
        <v>490</v>
      </c>
    </row>
    <row r="692" spans="1:18" x14ac:dyDescent="0.35">
      <c r="A692" s="4">
        <v>691</v>
      </c>
      <c r="B692" s="5">
        <v>45039</v>
      </c>
      <c r="C692" s="4" t="s">
        <v>704</v>
      </c>
      <c r="D692" s="4" t="s">
        <v>13</v>
      </c>
      <c r="E692" s="4">
        <v>51</v>
      </c>
      <c r="F692" s="4" t="str">
        <f>IF(Table156[[#This Row],[Age]]&lt;=19,"Teenager",IF(Table156[[#This Row],[Age]]&lt;=40,"Median","Old"))</f>
        <v>Old</v>
      </c>
      <c r="G692" s="4" t="s">
        <v>14</v>
      </c>
      <c r="H692" s="4">
        <v>3</v>
      </c>
      <c r="I692" s="4">
        <v>30</v>
      </c>
      <c r="J692" s="4">
        <v>90</v>
      </c>
      <c r="K692" s="4" t="str" cm="1">
        <f t="array" ref="K692">_xlfn.IFS(AND(Table156[[#This Row],[Total Amount]]&gt;=1500),"Critical",AND(Table156[[#This Row],[Total Amount]]&gt;=1000),"High",TRUE,"Normal")</f>
        <v>Normal</v>
      </c>
      <c r="L692" s="4" t="str">
        <f>IF(Table156[[#This Row],[Total Amount]]&gt;=1000,"High",(IF(Table156[[#This Row],[Total Amount]]&gt;=500,"Medium","Low")))</f>
        <v>Low</v>
      </c>
      <c r="M692" s="4" t="str" cm="1">
        <f t="array" ref="M69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92" s="4" cm="1">
        <f t="array" ref="N69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692" s="4">
        <f>Table156[[#This Row],[Total Amount]]-Table156[[#This Row],[Discount Amount]]</f>
        <v>72</v>
      </c>
      <c r="P692" s="4" t="str">
        <f>IF(Table156[[#This Row],[Total Amount]]&gt;=1000,"High","Low")</f>
        <v>Low</v>
      </c>
      <c r="Q692" s="4" t="str" cm="1">
        <f t="array" ref="Q692">_xlfn.IFS(AND(Table156[[#This Row],[Total Amount]]&gt;=1500,"Critical"),AND(Table156[[#This Row],[Total Amount]]&gt;=1000,"High"),TRUE,"Normal")</f>
        <v>Normal</v>
      </c>
      <c r="R692" s="4">
        <f>COUNTIF(Table156[Gender],"Male")</f>
        <v>490</v>
      </c>
    </row>
    <row r="693" spans="1:18" x14ac:dyDescent="0.35">
      <c r="A693" s="4">
        <v>692</v>
      </c>
      <c r="B693" s="5">
        <v>45176</v>
      </c>
      <c r="C693" s="4" t="s">
        <v>705</v>
      </c>
      <c r="D693" s="4" t="s">
        <v>13</v>
      </c>
      <c r="E693" s="4">
        <v>64</v>
      </c>
      <c r="F693" s="4" t="str">
        <f>IF(Table156[[#This Row],[Age]]&lt;=19,"Teenager",IF(Table156[[#This Row],[Age]]&lt;=40,"Median","Old"))</f>
        <v>Old</v>
      </c>
      <c r="G693" s="4" t="s">
        <v>14</v>
      </c>
      <c r="H693" s="4">
        <v>2</v>
      </c>
      <c r="I693" s="4">
        <v>50</v>
      </c>
      <c r="J693" s="4">
        <v>100</v>
      </c>
      <c r="K693" s="4" t="str" cm="1">
        <f t="array" ref="K693">_xlfn.IFS(AND(Table156[[#This Row],[Total Amount]]&gt;=1500),"Critical",AND(Table156[[#This Row],[Total Amount]]&gt;=1000),"High",TRUE,"Normal")</f>
        <v>Normal</v>
      </c>
      <c r="L693" s="4" t="str">
        <f>IF(Table156[[#This Row],[Total Amount]]&gt;=1000,"High",(IF(Table156[[#This Row],[Total Amount]]&gt;=500,"Medium","Low")))</f>
        <v>Low</v>
      </c>
      <c r="M693" s="4" t="str" cm="1">
        <f t="array" ref="M69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93" s="4" cm="1">
        <f t="array" ref="N69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693" s="4">
        <f>Table156[[#This Row],[Total Amount]]-Table156[[#This Row],[Discount Amount]]</f>
        <v>80</v>
      </c>
      <c r="P693" s="4" t="str">
        <f>IF(Table156[[#This Row],[Total Amount]]&gt;=1000,"High","Low")</f>
        <v>Low</v>
      </c>
      <c r="Q693" s="4" t="str" cm="1">
        <f t="array" ref="Q693">_xlfn.IFS(AND(Table156[[#This Row],[Total Amount]]&gt;=1500,"Critical"),AND(Table156[[#This Row],[Total Amount]]&gt;=1000,"High"),TRUE,"Normal")</f>
        <v>Normal</v>
      </c>
      <c r="R693" s="4">
        <f>COUNTIF(Table156[Gender],"Male")</f>
        <v>490</v>
      </c>
    </row>
    <row r="694" spans="1:18" x14ac:dyDescent="0.35">
      <c r="A694" s="4">
        <v>693</v>
      </c>
      <c r="B694" s="5">
        <v>45039</v>
      </c>
      <c r="C694" s="4" t="s">
        <v>706</v>
      </c>
      <c r="D694" s="4" t="s">
        <v>10</v>
      </c>
      <c r="E694" s="4">
        <v>41</v>
      </c>
      <c r="F694" s="4" t="str">
        <f>IF(Table156[[#This Row],[Age]]&lt;=19,"Teenager",IF(Table156[[#This Row],[Age]]&lt;=40,"Median","Old"))</f>
        <v>Old</v>
      </c>
      <c r="G694" s="4" t="s">
        <v>11</v>
      </c>
      <c r="H694" s="4">
        <v>3</v>
      </c>
      <c r="I694" s="4">
        <v>500</v>
      </c>
      <c r="J694" s="4">
        <v>1500</v>
      </c>
      <c r="K694" s="4" t="str" cm="1">
        <f t="array" ref="K694">_xlfn.IFS(AND(Table156[[#This Row],[Total Amount]]&gt;=1500),"Critical",AND(Table156[[#This Row],[Total Amount]]&gt;=1000),"High",TRUE,"Normal")</f>
        <v>Critical</v>
      </c>
      <c r="L694" s="4" t="str">
        <f>IF(Table156[[#This Row],[Total Amount]]&gt;=1000,"High",(IF(Table156[[#This Row],[Total Amount]]&gt;=500,"Medium","Low")))</f>
        <v>High</v>
      </c>
      <c r="M694" s="4" t="str" cm="1">
        <f t="array" ref="M69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94" s="4" cm="1">
        <f t="array" ref="N69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694" s="4">
        <f>Table156[[#This Row],[Total Amount]]-Table156[[#This Row],[Discount Amount]]</f>
        <v>1350</v>
      </c>
      <c r="P694" s="4" t="str">
        <f>IF(Table156[[#This Row],[Total Amount]]&gt;=1000,"High","Low")</f>
        <v>High</v>
      </c>
      <c r="Q694" s="4" t="b" cm="1">
        <f t="array" ref="Q694">_xlfn.IFS(AND(Table156[[#This Row],[Total Amount]]&gt;=1500,"Critical"),AND(Table156[[#This Row],[Total Amount]]&gt;=1000,"High"),TRUE,"Normal")</f>
        <v>1</v>
      </c>
      <c r="R694" s="4">
        <f>COUNTIF(Table156[Gender],"Male")</f>
        <v>490</v>
      </c>
    </row>
    <row r="695" spans="1:18" x14ac:dyDescent="0.35">
      <c r="A695" s="4">
        <v>694</v>
      </c>
      <c r="B695" s="5">
        <v>45066</v>
      </c>
      <c r="C695" s="4" t="s">
        <v>707</v>
      </c>
      <c r="D695" s="4" t="s">
        <v>13</v>
      </c>
      <c r="E695" s="4">
        <v>39</v>
      </c>
      <c r="F695" s="4" t="str">
        <f>IF(Table156[[#This Row],[Age]]&lt;=19,"Teenager",IF(Table156[[#This Row],[Age]]&lt;=40,"Median","Old"))</f>
        <v>Median</v>
      </c>
      <c r="G695" s="4" t="s">
        <v>16</v>
      </c>
      <c r="H695" s="4">
        <v>2</v>
      </c>
      <c r="I695" s="4">
        <v>25</v>
      </c>
      <c r="J695" s="4">
        <v>50</v>
      </c>
      <c r="K695" s="4" t="str" cm="1">
        <f t="array" ref="K695">_xlfn.IFS(AND(Table156[[#This Row],[Total Amount]]&gt;=1500),"Critical",AND(Table156[[#This Row],[Total Amount]]&gt;=1000),"High",TRUE,"Normal")</f>
        <v>Normal</v>
      </c>
      <c r="L695" s="4" t="str">
        <f>IF(Table156[[#This Row],[Total Amount]]&gt;=1000,"High",(IF(Table156[[#This Row],[Total Amount]]&gt;=500,"Medium","Low")))</f>
        <v>Low</v>
      </c>
      <c r="M695" s="4" t="str" cm="1">
        <f t="array" ref="M69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95" s="4" cm="1">
        <f t="array" ref="N69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695" s="4">
        <f>Table156[[#This Row],[Total Amount]]-Table156[[#This Row],[Discount Amount]]</f>
        <v>40</v>
      </c>
      <c r="P695" s="4" t="str">
        <f>IF(Table156[[#This Row],[Total Amount]]&gt;=1000,"High","Low")</f>
        <v>Low</v>
      </c>
      <c r="Q695" s="4" t="str" cm="1">
        <f t="array" ref="Q695">_xlfn.IFS(AND(Table156[[#This Row],[Total Amount]]&gt;=1500,"Critical"),AND(Table156[[#This Row],[Total Amount]]&gt;=1000,"High"),TRUE,"Normal")</f>
        <v>Normal</v>
      </c>
      <c r="R695" s="4">
        <f>COUNTIF(Table156[Gender],"Male")</f>
        <v>490</v>
      </c>
    </row>
    <row r="696" spans="1:18" x14ac:dyDescent="0.35">
      <c r="A696" s="4">
        <v>695</v>
      </c>
      <c r="B696" s="5">
        <v>45150</v>
      </c>
      <c r="C696" s="4" t="s">
        <v>708</v>
      </c>
      <c r="D696" s="4" t="s">
        <v>13</v>
      </c>
      <c r="E696" s="4">
        <v>22</v>
      </c>
      <c r="F696" s="4" t="str">
        <f>IF(Table156[[#This Row],[Age]]&lt;=19,"Teenager",IF(Table156[[#This Row],[Age]]&lt;=40,"Median","Old"))</f>
        <v>Median</v>
      </c>
      <c r="G696" s="4" t="s">
        <v>16</v>
      </c>
      <c r="H696" s="4">
        <v>3</v>
      </c>
      <c r="I696" s="4">
        <v>50</v>
      </c>
      <c r="J696" s="4">
        <v>150</v>
      </c>
      <c r="K696" s="4" t="str" cm="1">
        <f t="array" ref="K696">_xlfn.IFS(AND(Table156[[#This Row],[Total Amount]]&gt;=1500),"Critical",AND(Table156[[#This Row],[Total Amount]]&gt;=1000),"High",TRUE,"Normal")</f>
        <v>Normal</v>
      </c>
      <c r="L696" s="4" t="str">
        <f>IF(Table156[[#This Row],[Total Amount]]&gt;=1000,"High",(IF(Table156[[#This Row],[Total Amount]]&gt;=500,"Medium","Low")))</f>
        <v>Low</v>
      </c>
      <c r="M696" s="4" t="str" cm="1">
        <f t="array" ref="M69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696" s="4" cm="1">
        <f t="array" ref="N69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696" s="4">
        <f>Table156[[#This Row],[Total Amount]]-Table156[[#This Row],[Discount Amount]]</f>
        <v>150</v>
      </c>
      <c r="P696" s="4" t="str">
        <f>IF(Table156[[#This Row],[Total Amount]]&gt;=1000,"High","Low")</f>
        <v>Low</v>
      </c>
      <c r="Q696" s="4" t="str" cm="1">
        <f t="array" ref="Q696">_xlfn.IFS(AND(Table156[[#This Row],[Total Amount]]&gt;=1500,"Critical"),AND(Table156[[#This Row],[Total Amount]]&gt;=1000,"High"),TRUE,"Normal")</f>
        <v>Normal</v>
      </c>
      <c r="R696" s="4">
        <f>COUNTIF(Table156[Gender],"Male")</f>
        <v>490</v>
      </c>
    </row>
    <row r="697" spans="1:18" x14ac:dyDescent="0.35">
      <c r="A697" s="4">
        <v>696</v>
      </c>
      <c r="B697" s="5">
        <v>45175</v>
      </c>
      <c r="C697" s="4" t="s">
        <v>709</v>
      </c>
      <c r="D697" s="4" t="s">
        <v>13</v>
      </c>
      <c r="E697" s="4">
        <v>50</v>
      </c>
      <c r="F697" s="4" t="str">
        <f>IF(Table156[[#This Row],[Age]]&lt;=19,"Teenager",IF(Table156[[#This Row],[Age]]&lt;=40,"Median","Old"))</f>
        <v>Old</v>
      </c>
      <c r="G697" s="4" t="s">
        <v>14</v>
      </c>
      <c r="H697" s="4">
        <v>4</v>
      </c>
      <c r="I697" s="4">
        <v>50</v>
      </c>
      <c r="J697" s="4">
        <v>200</v>
      </c>
      <c r="K697" s="4" t="str" cm="1">
        <f t="array" ref="K697">_xlfn.IFS(AND(Table156[[#This Row],[Total Amount]]&gt;=1500),"Critical",AND(Table156[[#This Row],[Total Amount]]&gt;=1000),"High",TRUE,"Normal")</f>
        <v>Normal</v>
      </c>
      <c r="L697" s="4" t="str">
        <f>IF(Table156[[#This Row],[Total Amount]]&gt;=1000,"High",(IF(Table156[[#This Row],[Total Amount]]&gt;=500,"Medium","Low")))</f>
        <v>Low</v>
      </c>
      <c r="M697" s="4" t="str" cm="1">
        <f t="array" ref="M69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97" s="4" cm="1">
        <f t="array" ref="N69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697" s="4">
        <f>Table156[[#This Row],[Total Amount]]-Table156[[#This Row],[Discount Amount]]</f>
        <v>160</v>
      </c>
      <c r="P697" s="4" t="str">
        <f>IF(Table156[[#This Row],[Total Amount]]&gt;=1000,"High","Low")</f>
        <v>Low</v>
      </c>
      <c r="Q697" s="4" t="str" cm="1">
        <f t="array" ref="Q697">_xlfn.IFS(AND(Table156[[#This Row],[Total Amount]]&gt;=1500,"Critical"),AND(Table156[[#This Row],[Total Amount]]&gt;=1000,"High"),TRUE,"Normal")</f>
        <v>Normal</v>
      </c>
      <c r="R697" s="4">
        <f>COUNTIF(Table156[Gender],"Male")</f>
        <v>490</v>
      </c>
    </row>
    <row r="698" spans="1:18" x14ac:dyDescent="0.35">
      <c r="A698" s="4">
        <v>697</v>
      </c>
      <c r="B698" s="5">
        <v>44941</v>
      </c>
      <c r="C698" s="4" t="s">
        <v>710</v>
      </c>
      <c r="D698" s="4" t="s">
        <v>10</v>
      </c>
      <c r="E698" s="4">
        <v>53</v>
      </c>
      <c r="F698" s="4" t="str">
        <f>IF(Table156[[#This Row],[Age]]&lt;=19,"Teenager",IF(Table156[[#This Row],[Age]]&lt;=40,"Median","Old"))</f>
        <v>Old</v>
      </c>
      <c r="G698" s="4" t="s">
        <v>14</v>
      </c>
      <c r="H698" s="4">
        <v>1</v>
      </c>
      <c r="I698" s="4">
        <v>500</v>
      </c>
      <c r="J698" s="4">
        <v>500</v>
      </c>
      <c r="K698" s="4" t="str" cm="1">
        <f t="array" ref="K698">_xlfn.IFS(AND(Table156[[#This Row],[Total Amount]]&gt;=1500),"Critical",AND(Table156[[#This Row],[Total Amount]]&gt;=1000),"High",TRUE,"Normal")</f>
        <v>Normal</v>
      </c>
      <c r="L698" s="4" t="str">
        <f>IF(Table156[[#This Row],[Total Amount]]&gt;=1000,"High",(IF(Table156[[#This Row],[Total Amount]]&gt;=500,"Medium","Low")))</f>
        <v>Medium</v>
      </c>
      <c r="M698" s="4" t="str" cm="1">
        <f t="array" ref="M69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98" s="4" cm="1">
        <f t="array" ref="N69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698" s="4">
        <f>Table156[[#This Row],[Total Amount]]-Table156[[#This Row],[Discount Amount]]</f>
        <v>450</v>
      </c>
      <c r="P698" s="4" t="str">
        <f>IF(Table156[[#This Row],[Total Amount]]&gt;=1000,"High","Low")</f>
        <v>Low</v>
      </c>
      <c r="Q698" s="4" t="str" cm="1">
        <f t="array" ref="Q698">_xlfn.IFS(AND(Table156[[#This Row],[Total Amount]]&gt;=1500,"Critical"),AND(Table156[[#This Row],[Total Amount]]&gt;=1000,"High"),TRUE,"Normal")</f>
        <v>Normal</v>
      </c>
      <c r="R698" s="4">
        <f>COUNTIF(Table156[Gender],"Male")</f>
        <v>490</v>
      </c>
    </row>
    <row r="699" spans="1:18" x14ac:dyDescent="0.35">
      <c r="A699" s="4">
        <v>698</v>
      </c>
      <c r="B699" s="5">
        <v>45126</v>
      </c>
      <c r="C699" s="4" t="s">
        <v>711</v>
      </c>
      <c r="D699" s="4" t="s">
        <v>13</v>
      </c>
      <c r="E699" s="4">
        <v>64</v>
      </c>
      <c r="F699" s="4" t="str">
        <f>IF(Table156[[#This Row],[Age]]&lt;=19,"Teenager",IF(Table156[[#This Row],[Age]]&lt;=40,"Median","Old"))</f>
        <v>Old</v>
      </c>
      <c r="G699" s="4" t="s">
        <v>16</v>
      </c>
      <c r="H699" s="4">
        <v>1</v>
      </c>
      <c r="I699" s="4">
        <v>300</v>
      </c>
      <c r="J699" s="4">
        <v>300</v>
      </c>
      <c r="K699" s="4" t="str" cm="1">
        <f t="array" ref="K699">_xlfn.IFS(AND(Table156[[#This Row],[Total Amount]]&gt;=1500),"Critical",AND(Table156[[#This Row],[Total Amount]]&gt;=1000),"High",TRUE,"Normal")</f>
        <v>Normal</v>
      </c>
      <c r="L699" s="4" t="str">
        <f>IF(Table156[[#This Row],[Total Amount]]&gt;=1000,"High",(IF(Table156[[#This Row],[Total Amount]]&gt;=500,"Medium","Low")))</f>
        <v>Low</v>
      </c>
      <c r="M699" s="4" t="str" cm="1">
        <f t="array" ref="M69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99" s="4" cm="1">
        <f t="array" ref="N69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699" s="4">
        <f>Table156[[#This Row],[Total Amount]]-Table156[[#This Row],[Discount Amount]]</f>
        <v>240</v>
      </c>
      <c r="P699" s="4" t="str">
        <f>IF(Table156[[#This Row],[Total Amount]]&gt;=1000,"High","Low")</f>
        <v>Low</v>
      </c>
      <c r="Q699" s="4" t="str" cm="1">
        <f t="array" ref="Q699">_xlfn.IFS(AND(Table156[[#This Row],[Total Amount]]&gt;=1500,"Critical"),AND(Table156[[#This Row],[Total Amount]]&gt;=1000,"High"),TRUE,"Normal")</f>
        <v>Normal</v>
      </c>
      <c r="R699" s="4">
        <f>COUNTIF(Table156[Gender],"Male")</f>
        <v>490</v>
      </c>
    </row>
    <row r="700" spans="1:18" x14ac:dyDescent="0.35">
      <c r="A700" s="4">
        <v>699</v>
      </c>
      <c r="B700" s="5">
        <v>45099</v>
      </c>
      <c r="C700" s="4" t="s">
        <v>712</v>
      </c>
      <c r="D700" s="4" t="s">
        <v>13</v>
      </c>
      <c r="E700" s="4">
        <v>37</v>
      </c>
      <c r="F700" s="4" t="str">
        <f>IF(Table156[[#This Row],[Age]]&lt;=19,"Teenager",IF(Table156[[#This Row],[Age]]&lt;=40,"Median","Old"))</f>
        <v>Median</v>
      </c>
      <c r="G700" s="4" t="s">
        <v>14</v>
      </c>
      <c r="H700" s="4">
        <v>4</v>
      </c>
      <c r="I700" s="4">
        <v>30</v>
      </c>
      <c r="J700" s="4">
        <v>120</v>
      </c>
      <c r="K700" s="4" t="str" cm="1">
        <f t="array" ref="K700">_xlfn.IFS(AND(Table156[[#This Row],[Total Amount]]&gt;=1500),"Critical",AND(Table156[[#This Row],[Total Amount]]&gt;=1000),"High",TRUE,"Normal")</f>
        <v>Normal</v>
      </c>
      <c r="L700" s="4" t="str">
        <f>IF(Table156[[#This Row],[Total Amount]]&gt;=1000,"High",(IF(Table156[[#This Row],[Total Amount]]&gt;=500,"Medium","Low")))</f>
        <v>Low</v>
      </c>
      <c r="M700" s="4" t="str" cm="1">
        <f t="array" ref="M70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00" s="4" cm="1">
        <f t="array" ref="N70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700" s="4">
        <f>Table156[[#This Row],[Total Amount]]-Table156[[#This Row],[Discount Amount]]</f>
        <v>96</v>
      </c>
      <c r="P700" s="4" t="str">
        <f>IF(Table156[[#This Row],[Total Amount]]&gt;=1000,"High","Low")</f>
        <v>Low</v>
      </c>
      <c r="Q700" s="4" t="str" cm="1">
        <f t="array" ref="Q700">_xlfn.IFS(AND(Table156[[#This Row],[Total Amount]]&gt;=1500,"Critical"),AND(Table156[[#This Row],[Total Amount]]&gt;=1000,"High"),TRUE,"Normal")</f>
        <v>Normal</v>
      </c>
      <c r="R700" s="4">
        <f>COUNTIF(Table156[Gender],"Male")</f>
        <v>490</v>
      </c>
    </row>
    <row r="701" spans="1:18" x14ac:dyDescent="0.35">
      <c r="A701" s="4">
        <v>700</v>
      </c>
      <c r="B701" s="5">
        <v>45269</v>
      </c>
      <c r="C701" s="4" t="s">
        <v>713</v>
      </c>
      <c r="D701" s="4" t="s">
        <v>10</v>
      </c>
      <c r="E701" s="4">
        <v>36</v>
      </c>
      <c r="F701" s="4" t="str">
        <f>IF(Table156[[#This Row],[Age]]&lt;=19,"Teenager",IF(Table156[[#This Row],[Age]]&lt;=40,"Median","Old"))</f>
        <v>Median</v>
      </c>
      <c r="G701" s="4" t="s">
        <v>16</v>
      </c>
      <c r="H701" s="4">
        <v>4</v>
      </c>
      <c r="I701" s="4">
        <v>500</v>
      </c>
      <c r="J701" s="4">
        <v>2000</v>
      </c>
      <c r="K701" s="4" t="str" cm="1">
        <f t="array" ref="K701">_xlfn.IFS(AND(Table156[[#This Row],[Total Amount]]&gt;=1500),"Critical",AND(Table156[[#This Row],[Total Amount]]&gt;=1000),"High",TRUE,"Normal")</f>
        <v>Critical</v>
      </c>
      <c r="L701" s="4" t="str">
        <f>IF(Table156[[#This Row],[Total Amount]]&gt;=1000,"High",(IF(Table156[[#This Row],[Total Amount]]&gt;=500,"Medium","Low")))</f>
        <v>High</v>
      </c>
      <c r="M701" s="4" t="str" cm="1">
        <f t="array" ref="M70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01" s="4" cm="1">
        <f t="array" ref="N70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701" s="4">
        <f>Table156[[#This Row],[Total Amount]]-Table156[[#This Row],[Discount Amount]]</f>
        <v>1800</v>
      </c>
      <c r="P701" s="4" t="str">
        <f>IF(Table156[[#This Row],[Total Amount]]&gt;=1000,"High","Low")</f>
        <v>High</v>
      </c>
      <c r="Q701" s="4" t="b" cm="1">
        <f t="array" ref="Q701">_xlfn.IFS(AND(Table156[[#This Row],[Total Amount]]&gt;=1500,"Critical"),AND(Table156[[#This Row],[Total Amount]]&gt;=1000,"High"),TRUE,"Normal")</f>
        <v>1</v>
      </c>
      <c r="R701" s="4">
        <f>COUNTIF(Table156[Gender],"Male")</f>
        <v>490</v>
      </c>
    </row>
    <row r="702" spans="1:18" x14ac:dyDescent="0.35">
      <c r="A702" s="4">
        <v>701</v>
      </c>
      <c r="B702" s="5">
        <v>45274</v>
      </c>
      <c r="C702" s="4" t="s">
        <v>714</v>
      </c>
      <c r="D702" s="4" t="s">
        <v>13</v>
      </c>
      <c r="E702" s="4">
        <v>52</v>
      </c>
      <c r="F702" s="4" t="str">
        <f>IF(Table156[[#This Row],[Age]]&lt;=19,"Teenager",IF(Table156[[#This Row],[Age]]&lt;=40,"Median","Old"))</f>
        <v>Old</v>
      </c>
      <c r="G702" s="4" t="s">
        <v>11</v>
      </c>
      <c r="H702" s="4">
        <v>2</v>
      </c>
      <c r="I702" s="4">
        <v>30</v>
      </c>
      <c r="J702" s="4">
        <v>60</v>
      </c>
      <c r="K702" s="4" t="str" cm="1">
        <f t="array" ref="K702">_xlfn.IFS(AND(Table156[[#This Row],[Total Amount]]&gt;=1500),"Critical",AND(Table156[[#This Row],[Total Amount]]&gt;=1000),"High",TRUE,"Normal")</f>
        <v>Normal</v>
      </c>
      <c r="L702" s="4" t="str">
        <f>IF(Table156[[#This Row],[Total Amount]]&gt;=1000,"High",(IF(Table156[[#This Row],[Total Amount]]&gt;=500,"Medium","Low")))</f>
        <v>Low</v>
      </c>
      <c r="M702" s="4" t="str" cm="1">
        <f t="array" ref="M70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02" s="4" cm="1">
        <f t="array" ref="N70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702" s="4">
        <f>Table156[[#This Row],[Total Amount]]-Table156[[#This Row],[Discount Amount]]</f>
        <v>48</v>
      </c>
      <c r="P702" s="4" t="str">
        <f>IF(Table156[[#This Row],[Total Amount]]&gt;=1000,"High","Low")</f>
        <v>Low</v>
      </c>
      <c r="Q702" s="4" t="str" cm="1">
        <f t="array" ref="Q702">_xlfn.IFS(AND(Table156[[#This Row],[Total Amount]]&gt;=1500,"Critical"),AND(Table156[[#This Row],[Total Amount]]&gt;=1000,"High"),TRUE,"Normal")</f>
        <v>Normal</v>
      </c>
      <c r="R702" s="4">
        <f>COUNTIF(Table156[Gender],"Male")</f>
        <v>490</v>
      </c>
    </row>
    <row r="703" spans="1:18" x14ac:dyDescent="0.35">
      <c r="A703" s="4">
        <v>702</v>
      </c>
      <c r="B703" s="5">
        <v>45134</v>
      </c>
      <c r="C703" s="4" t="s">
        <v>715</v>
      </c>
      <c r="D703" s="4" t="s">
        <v>13</v>
      </c>
      <c r="E703" s="4">
        <v>60</v>
      </c>
      <c r="F703" s="4" t="str">
        <f>IF(Table156[[#This Row],[Age]]&lt;=19,"Teenager",IF(Table156[[#This Row],[Age]]&lt;=40,"Median","Old"))</f>
        <v>Old</v>
      </c>
      <c r="G703" s="4" t="s">
        <v>14</v>
      </c>
      <c r="H703" s="4">
        <v>2</v>
      </c>
      <c r="I703" s="4">
        <v>300</v>
      </c>
      <c r="J703" s="4">
        <v>600</v>
      </c>
      <c r="K703" s="4" t="str" cm="1">
        <f t="array" ref="K703">_xlfn.IFS(AND(Table156[[#This Row],[Total Amount]]&gt;=1500),"Critical",AND(Table156[[#This Row],[Total Amount]]&gt;=1000),"High",TRUE,"Normal")</f>
        <v>Normal</v>
      </c>
      <c r="L703" s="4" t="str">
        <f>IF(Table156[[#This Row],[Total Amount]]&gt;=1000,"High",(IF(Table156[[#This Row],[Total Amount]]&gt;=500,"Medium","Low")))</f>
        <v>Medium</v>
      </c>
      <c r="M703" s="4" t="str" cm="1">
        <f t="array" ref="M70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03" s="4" cm="1">
        <f t="array" ref="N70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703" s="4">
        <f>Table156[[#This Row],[Total Amount]]-Table156[[#This Row],[Discount Amount]]</f>
        <v>480</v>
      </c>
      <c r="P703" s="4" t="str">
        <f>IF(Table156[[#This Row],[Total Amount]]&gt;=1000,"High","Low")</f>
        <v>Low</v>
      </c>
      <c r="Q703" s="4" t="str" cm="1">
        <f t="array" ref="Q703">_xlfn.IFS(AND(Table156[[#This Row],[Total Amount]]&gt;=1500,"Critical"),AND(Table156[[#This Row],[Total Amount]]&gt;=1000,"High"),TRUE,"Normal")</f>
        <v>Normal</v>
      </c>
      <c r="R703" s="4">
        <f>COUNTIF(Table156[Gender],"Male")</f>
        <v>490</v>
      </c>
    </row>
    <row r="704" spans="1:18" x14ac:dyDescent="0.35">
      <c r="A704" s="4">
        <v>703</v>
      </c>
      <c r="B704" s="5">
        <v>45011</v>
      </c>
      <c r="C704" s="4" t="s">
        <v>716</v>
      </c>
      <c r="D704" s="4" t="s">
        <v>10</v>
      </c>
      <c r="E704" s="4">
        <v>34</v>
      </c>
      <c r="F704" s="4" t="str">
        <f>IF(Table156[[#This Row],[Age]]&lt;=19,"Teenager",IF(Table156[[#This Row],[Age]]&lt;=40,"Median","Old"))</f>
        <v>Median</v>
      </c>
      <c r="G704" s="4" t="s">
        <v>16</v>
      </c>
      <c r="H704" s="4">
        <v>2</v>
      </c>
      <c r="I704" s="4">
        <v>50</v>
      </c>
      <c r="J704" s="4">
        <v>100</v>
      </c>
      <c r="K704" s="4" t="str" cm="1">
        <f t="array" ref="K704">_xlfn.IFS(AND(Table156[[#This Row],[Total Amount]]&gt;=1500),"Critical",AND(Table156[[#This Row],[Total Amount]]&gt;=1000),"High",TRUE,"Normal")</f>
        <v>Normal</v>
      </c>
      <c r="L704" s="4" t="str">
        <f>IF(Table156[[#This Row],[Total Amount]]&gt;=1000,"High",(IF(Table156[[#This Row],[Total Amount]]&gt;=500,"Medium","Low")))</f>
        <v>Low</v>
      </c>
      <c r="M704" s="4" t="str" cm="1">
        <f t="array" ref="M70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04" s="4" cm="1">
        <f t="array" ref="N70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704" s="4">
        <f>Table156[[#This Row],[Total Amount]]-Table156[[#This Row],[Discount Amount]]</f>
        <v>85</v>
      </c>
      <c r="P704" s="4" t="str">
        <f>IF(Table156[[#This Row],[Total Amount]]&gt;=1000,"High","Low")</f>
        <v>Low</v>
      </c>
      <c r="Q704" s="4" t="str" cm="1">
        <f t="array" ref="Q704">_xlfn.IFS(AND(Table156[[#This Row],[Total Amount]]&gt;=1500,"Critical"),AND(Table156[[#This Row],[Total Amount]]&gt;=1000,"High"),TRUE,"Normal")</f>
        <v>Normal</v>
      </c>
      <c r="R704" s="4">
        <f>COUNTIF(Table156[Gender],"Male")</f>
        <v>490</v>
      </c>
    </row>
    <row r="705" spans="1:18" x14ac:dyDescent="0.35">
      <c r="A705" s="4">
        <v>704</v>
      </c>
      <c r="B705" s="5">
        <v>45166</v>
      </c>
      <c r="C705" s="4" t="s">
        <v>717</v>
      </c>
      <c r="D705" s="4" t="s">
        <v>13</v>
      </c>
      <c r="E705" s="4">
        <v>62</v>
      </c>
      <c r="F705" s="4" t="str">
        <f>IF(Table156[[#This Row],[Age]]&lt;=19,"Teenager",IF(Table156[[#This Row],[Age]]&lt;=40,"Median","Old"))</f>
        <v>Old</v>
      </c>
      <c r="G705" s="4" t="s">
        <v>14</v>
      </c>
      <c r="H705" s="4">
        <v>3</v>
      </c>
      <c r="I705" s="4">
        <v>30</v>
      </c>
      <c r="J705" s="4">
        <v>90</v>
      </c>
      <c r="K705" s="4" t="str" cm="1">
        <f t="array" ref="K705">_xlfn.IFS(AND(Table156[[#This Row],[Total Amount]]&gt;=1500),"Critical",AND(Table156[[#This Row],[Total Amount]]&gt;=1000),"High",TRUE,"Normal")</f>
        <v>Normal</v>
      </c>
      <c r="L705" s="4" t="str">
        <f>IF(Table156[[#This Row],[Total Amount]]&gt;=1000,"High",(IF(Table156[[#This Row],[Total Amount]]&gt;=500,"Medium","Low")))</f>
        <v>Low</v>
      </c>
      <c r="M705" s="4" t="str" cm="1">
        <f t="array" ref="M70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05" s="4" cm="1">
        <f t="array" ref="N70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705" s="4">
        <f>Table156[[#This Row],[Total Amount]]-Table156[[#This Row],[Discount Amount]]</f>
        <v>72</v>
      </c>
      <c r="P705" s="4" t="str">
        <f>IF(Table156[[#This Row],[Total Amount]]&gt;=1000,"High","Low")</f>
        <v>Low</v>
      </c>
      <c r="Q705" s="4" t="str" cm="1">
        <f t="array" ref="Q705">_xlfn.IFS(AND(Table156[[#This Row],[Total Amount]]&gt;=1500,"Critical"),AND(Table156[[#This Row],[Total Amount]]&gt;=1000,"High"),TRUE,"Normal")</f>
        <v>Normal</v>
      </c>
      <c r="R705" s="4">
        <f>COUNTIF(Table156[Gender],"Male")</f>
        <v>490</v>
      </c>
    </row>
    <row r="706" spans="1:18" x14ac:dyDescent="0.35">
      <c r="A706" s="4">
        <v>705</v>
      </c>
      <c r="B706" s="5">
        <v>44992</v>
      </c>
      <c r="C706" s="4" t="s">
        <v>718</v>
      </c>
      <c r="D706" s="4" t="s">
        <v>10</v>
      </c>
      <c r="E706" s="4">
        <v>60</v>
      </c>
      <c r="F706" s="4" t="str">
        <f>IF(Table156[[#This Row],[Age]]&lt;=19,"Teenager",IF(Table156[[#This Row],[Age]]&lt;=40,"Median","Old"))</f>
        <v>Old</v>
      </c>
      <c r="G706" s="4" t="s">
        <v>16</v>
      </c>
      <c r="H706" s="4">
        <v>2</v>
      </c>
      <c r="I706" s="4">
        <v>25</v>
      </c>
      <c r="J706" s="4">
        <v>50</v>
      </c>
      <c r="K706" s="4" t="str" cm="1">
        <f t="array" ref="K706">_xlfn.IFS(AND(Table156[[#This Row],[Total Amount]]&gt;=1500),"Critical",AND(Table156[[#This Row],[Total Amount]]&gt;=1000),"High",TRUE,"Normal")</f>
        <v>Normal</v>
      </c>
      <c r="L706" s="4" t="str">
        <f>IF(Table156[[#This Row],[Total Amount]]&gt;=1000,"High",(IF(Table156[[#This Row],[Total Amount]]&gt;=500,"Medium","Low")))</f>
        <v>Low</v>
      </c>
      <c r="M706" s="4" t="str" cm="1">
        <f t="array" ref="M70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06" s="4" cm="1">
        <f t="array" ref="N70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706" s="4">
        <f>Table156[[#This Row],[Total Amount]]-Table156[[#This Row],[Discount Amount]]</f>
        <v>45</v>
      </c>
      <c r="P706" s="4" t="str">
        <f>IF(Table156[[#This Row],[Total Amount]]&gt;=1000,"High","Low")</f>
        <v>Low</v>
      </c>
      <c r="Q706" s="4" t="str" cm="1">
        <f t="array" ref="Q706">_xlfn.IFS(AND(Table156[[#This Row],[Total Amount]]&gt;=1500,"Critical"),AND(Table156[[#This Row],[Total Amount]]&gt;=1000,"High"),TRUE,"Normal")</f>
        <v>Normal</v>
      </c>
      <c r="R706" s="4">
        <f>COUNTIF(Table156[Gender],"Male")</f>
        <v>490</v>
      </c>
    </row>
    <row r="707" spans="1:18" x14ac:dyDescent="0.35">
      <c r="A707" s="4">
        <v>706</v>
      </c>
      <c r="B707" s="5">
        <v>45245</v>
      </c>
      <c r="C707" s="4" t="s">
        <v>719</v>
      </c>
      <c r="D707" s="4" t="s">
        <v>10</v>
      </c>
      <c r="E707" s="4">
        <v>51</v>
      </c>
      <c r="F707" s="4" t="str">
        <f>IF(Table156[[#This Row],[Age]]&lt;=19,"Teenager",IF(Table156[[#This Row],[Age]]&lt;=40,"Median","Old"))</f>
        <v>Old</v>
      </c>
      <c r="G707" s="4" t="s">
        <v>16</v>
      </c>
      <c r="H707" s="4">
        <v>4</v>
      </c>
      <c r="I707" s="4">
        <v>25</v>
      </c>
      <c r="J707" s="4">
        <v>100</v>
      </c>
      <c r="K707" s="4" t="str" cm="1">
        <f t="array" ref="K707">_xlfn.IFS(AND(Table156[[#This Row],[Total Amount]]&gt;=1500),"Critical",AND(Table156[[#This Row],[Total Amount]]&gt;=1000),"High",TRUE,"Normal")</f>
        <v>Normal</v>
      </c>
      <c r="L707" s="4" t="str">
        <f>IF(Table156[[#This Row],[Total Amount]]&gt;=1000,"High",(IF(Table156[[#This Row],[Total Amount]]&gt;=500,"Medium","Low")))</f>
        <v>Low</v>
      </c>
      <c r="M707" s="4" t="str" cm="1">
        <f t="array" ref="M70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07" s="4" cm="1">
        <f t="array" ref="N70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707" s="4">
        <f>Table156[[#This Row],[Total Amount]]-Table156[[#This Row],[Discount Amount]]</f>
        <v>90</v>
      </c>
      <c r="P707" s="4" t="str">
        <f>IF(Table156[[#This Row],[Total Amount]]&gt;=1000,"High","Low")</f>
        <v>Low</v>
      </c>
      <c r="Q707" s="4" t="str" cm="1">
        <f t="array" ref="Q707">_xlfn.IFS(AND(Table156[[#This Row],[Total Amount]]&gt;=1500,"Critical"),AND(Table156[[#This Row],[Total Amount]]&gt;=1000,"High"),TRUE,"Normal")</f>
        <v>Normal</v>
      </c>
      <c r="R707" s="4">
        <f>COUNTIF(Table156[Gender],"Male")</f>
        <v>490</v>
      </c>
    </row>
    <row r="708" spans="1:18" x14ac:dyDescent="0.35">
      <c r="A708" s="4">
        <v>707</v>
      </c>
      <c r="B708" s="5">
        <v>45200</v>
      </c>
      <c r="C708" s="4" t="s">
        <v>720</v>
      </c>
      <c r="D708" s="4" t="s">
        <v>13</v>
      </c>
      <c r="E708" s="4">
        <v>26</v>
      </c>
      <c r="F708" s="4" t="str">
        <f>IF(Table156[[#This Row],[Age]]&lt;=19,"Teenager",IF(Table156[[#This Row],[Age]]&lt;=40,"Median","Old"))</f>
        <v>Median</v>
      </c>
      <c r="G708" s="4" t="s">
        <v>14</v>
      </c>
      <c r="H708" s="4">
        <v>1</v>
      </c>
      <c r="I708" s="4">
        <v>500</v>
      </c>
      <c r="J708" s="4">
        <v>500</v>
      </c>
      <c r="K708" s="4" t="str" cm="1">
        <f t="array" ref="K708">_xlfn.IFS(AND(Table156[[#This Row],[Total Amount]]&gt;=1500),"Critical",AND(Table156[[#This Row],[Total Amount]]&gt;=1000),"High",TRUE,"Normal")</f>
        <v>Normal</v>
      </c>
      <c r="L708" s="4" t="str">
        <f>IF(Table156[[#This Row],[Total Amount]]&gt;=1000,"High",(IF(Table156[[#This Row],[Total Amount]]&gt;=500,"Medium","Low")))</f>
        <v>Medium</v>
      </c>
      <c r="M708" s="4" t="str" cm="1">
        <f t="array" ref="M70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08" s="4" cm="1">
        <f t="array" ref="N70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75</v>
      </c>
      <c r="O708" s="4">
        <f>Table156[[#This Row],[Total Amount]]-Table156[[#This Row],[Discount Amount]]</f>
        <v>425</v>
      </c>
      <c r="P708" s="4" t="str">
        <f>IF(Table156[[#This Row],[Total Amount]]&gt;=1000,"High","Low")</f>
        <v>Low</v>
      </c>
      <c r="Q708" s="4" t="str" cm="1">
        <f t="array" ref="Q708">_xlfn.IFS(AND(Table156[[#This Row],[Total Amount]]&gt;=1500,"Critical"),AND(Table156[[#This Row],[Total Amount]]&gt;=1000,"High"),TRUE,"Normal")</f>
        <v>Normal</v>
      </c>
      <c r="R708" s="4">
        <f>COUNTIF(Table156[Gender],"Male")</f>
        <v>490</v>
      </c>
    </row>
    <row r="709" spans="1:18" x14ac:dyDescent="0.35">
      <c r="A709" s="4">
        <v>708</v>
      </c>
      <c r="B709" s="5">
        <v>44940</v>
      </c>
      <c r="C709" s="4" t="s">
        <v>721</v>
      </c>
      <c r="D709" s="4" t="s">
        <v>13</v>
      </c>
      <c r="E709" s="4">
        <v>43</v>
      </c>
      <c r="F709" s="4" t="str">
        <f>IF(Table156[[#This Row],[Age]]&lt;=19,"Teenager",IF(Table156[[#This Row],[Age]]&lt;=40,"Median","Old"))</f>
        <v>Old</v>
      </c>
      <c r="G709" s="4" t="s">
        <v>11</v>
      </c>
      <c r="H709" s="4">
        <v>3</v>
      </c>
      <c r="I709" s="4">
        <v>300</v>
      </c>
      <c r="J709" s="4">
        <v>900</v>
      </c>
      <c r="K709" s="4" t="str" cm="1">
        <f t="array" ref="K709">_xlfn.IFS(AND(Table156[[#This Row],[Total Amount]]&gt;=1500),"Critical",AND(Table156[[#This Row],[Total Amount]]&gt;=1000),"High",TRUE,"Normal")</f>
        <v>Normal</v>
      </c>
      <c r="L709" s="4" t="str">
        <f>IF(Table156[[#This Row],[Total Amount]]&gt;=1000,"High",(IF(Table156[[#This Row],[Total Amount]]&gt;=500,"Medium","Low")))</f>
        <v>Medium</v>
      </c>
      <c r="M709" s="4" t="str" cm="1">
        <f t="array" ref="M70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09" s="4" cm="1">
        <f t="array" ref="N70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709" s="4">
        <f>Table156[[#This Row],[Total Amount]]-Table156[[#This Row],[Discount Amount]]</f>
        <v>720</v>
      </c>
      <c r="P709" s="4" t="str">
        <f>IF(Table156[[#This Row],[Total Amount]]&gt;=1000,"High","Low")</f>
        <v>Low</v>
      </c>
      <c r="Q709" s="4" t="str" cm="1">
        <f t="array" ref="Q709">_xlfn.IFS(AND(Table156[[#This Row],[Total Amount]]&gt;=1500,"Critical"),AND(Table156[[#This Row],[Total Amount]]&gt;=1000,"High"),TRUE,"Normal")</f>
        <v>Normal</v>
      </c>
      <c r="R709" s="4">
        <f>COUNTIF(Table156[Gender],"Male")</f>
        <v>490</v>
      </c>
    </row>
    <row r="710" spans="1:18" x14ac:dyDescent="0.35">
      <c r="A710" s="4">
        <v>709</v>
      </c>
      <c r="B710" s="5">
        <v>45128</v>
      </c>
      <c r="C710" s="4" t="s">
        <v>722</v>
      </c>
      <c r="D710" s="4" t="s">
        <v>13</v>
      </c>
      <c r="E710" s="4">
        <v>19</v>
      </c>
      <c r="F710" s="4" t="str">
        <f>IF(Table156[[#This Row],[Age]]&lt;=19,"Teenager",IF(Table156[[#This Row],[Age]]&lt;=40,"Median","Old"))</f>
        <v>Teenager</v>
      </c>
      <c r="G710" s="4" t="s">
        <v>16</v>
      </c>
      <c r="H710" s="4">
        <v>2</v>
      </c>
      <c r="I710" s="4">
        <v>500</v>
      </c>
      <c r="J710" s="4">
        <v>1000</v>
      </c>
      <c r="K710" s="4" t="str" cm="1">
        <f t="array" ref="K710">_xlfn.IFS(AND(Table156[[#This Row],[Total Amount]]&gt;=1500),"Critical",AND(Table156[[#This Row],[Total Amount]]&gt;=1000),"High",TRUE,"Normal")</f>
        <v>High</v>
      </c>
      <c r="L710" s="4" t="str">
        <f>IF(Table156[[#This Row],[Total Amount]]&gt;=1000,"High",(IF(Table156[[#This Row],[Total Amount]]&gt;=500,"Medium","Low")))</f>
        <v>High</v>
      </c>
      <c r="M710" s="4" t="str" cm="1">
        <f t="array" ref="M71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710" s="4" cm="1">
        <f t="array" ref="N71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710" s="4">
        <f>Table156[[#This Row],[Total Amount]]-Table156[[#This Row],[Discount Amount]]</f>
        <v>1000</v>
      </c>
      <c r="P710" s="4" t="str">
        <f>IF(Table156[[#This Row],[Total Amount]]&gt;=1000,"High","Low")</f>
        <v>High</v>
      </c>
      <c r="Q710" s="4" t="str" cm="1">
        <f t="array" ref="Q710">_xlfn.IFS(AND(Table156[[#This Row],[Total Amount]]&gt;=1500,"Critical"),AND(Table156[[#This Row],[Total Amount]]&gt;=1000,"High"),TRUE,"Normal")</f>
        <v>Normal</v>
      </c>
      <c r="R710" s="4">
        <f>COUNTIF(Table156[Gender],"Male")</f>
        <v>490</v>
      </c>
    </row>
    <row r="711" spans="1:18" x14ac:dyDescent="0.35">
      <c r="A711" s="4">
        <v>710</v>
      </c>
      <c r="B711" s="5">
        <v>45230</v>
      </c>
      <c r="C711" s="4" t="s">
        <v>723</v>
      </c>
      <c r="D711" s="4" t="s">
        <v>13</v>
      </c>
      <c r="E711" s="4">
        <v>26</v>
      </c>
      <c r="F711" s="4" t="str">
        <f>IF(Table156[[#This Row],[Age]]&lt;=19,"Teenager",IF(Table156[[#This Row],[Age]]&lt;=40,"Median","Old"))</f>
        <v>Median</v>
      </c>
      <c r="G711" s="4" t="s">
        <v>16</v>
      </c>
      <c r="H711" s="4">
        <v>3</v>
      </c>
      <c r="I711" s="4">
        <v>500</v>
      </c>
      <c r="J711" s="4">
        <v>1500</v>
      </c>
      <c r="K711" s="4" t="str" cm="1">
        <f t="array" ref="K711">_xlfn.IFS(AND(Table156[[#This Row],[Total Amount]]&gt;=1500),"Critical",AND(Table156[[#This Row],[Total Amount]]&gt;=1000),"High",TRUE,"Normal")</f>
        <v>Critical</v>
      </c>
      <c r="L711" s="4" t="str">
        <f>IF(Table156[[#This Row],[Total Amount]]&gt;=1000,"High",(IF(Table156[[#This Row],[Total Amount]]&gt;=500,"Medium","Low")))</f>
        <v>High</v>
      </c>
      <c r="M711" s="4" t="str" cm="1">
        <f t="array" ref="M71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11" s="4" cm="1">
        <f t="array" ref="N71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225</v>
      </c>
      <c r="O711" s="4">
        <f>Table156[[#This Row],[Total Amount]]-Table156[[#This Row],[Discount Amount]]</f>
        <v>1275</v>
      </c>
      <c r="P711" s="4" t="str">
        <f>IF(Table156[[#This Row],[Total Amount]]&gt;=1000,"High","Low")</f>
        <v>High</v>
      </c>
      <c r="Q711" s="4" t="b" cm="1">
        <f t="array" ref="Q711">_xlfn.IFS(AND(Table156[[#This Row],[Total Amount]]&gt;=1500,"Critical"),AND(Table156[[#This Row],[Total Amount]]&gt;=1000,"High"),TRUE,"Normal")</f>
        <v>1</v>
      </c>
      <c r="R711" s="4">
        <f>COUNTIF(Table156[Gender],"Male")</f>
        <v>490</v>
      </c>
    </row>
    <row r="712" spans="1:18" x14ac:dyDescent="0.35">
      <c r="A712" s="4">
        <v>711</v>
      </c>
      <c r="B712" s="5">
        <v>45215</v>
      </c>
      <c r="C712" s="4" t="s">
        <v>724</v>
      </c>
      <c r="D712" s="4" t="s">
        <v>10</v>
      </c>
      <c r="E712" s="4">
        <v>26</v>
      </c>
      <c r="F712" s="4" t="str">
        <f>IF(Table156[[#This Row],[Age]]&lt;=19,"Teenager",IF(Table156[[#This Row],[Age]]&lt;=40,"Median","Old"))</f>
        <v>Median</v>
      </c>
      <c r="G712" s="4" t="s">
        <v>16</v>
      </c>
      <c r="H712" s="4">
        <v>3</v>
      </c>
      <c r="I712" s="4">
        <v>500</v>
      </c>
      <c r="J712" s="4">
        <v>1500</v>
      </c>
      <c r="K712" s="4" t="str" cm="1">
        <f t="array" ref="K712">_xlfn.IFS(AND(Table156[[#This Row],[Total Amount]]&gt;=1500),"Critical",AND(Table156[[#This Row],[Total Amount]]&gt;=1000),"High",TRUE,"Normal")</f>
        <v>Critical</v>
      </c>
      <c r="L712" s="4" t="str">
        <f>IF(Table156[[#This Row],[Total Amount]]&gt;=1000,"High",(IF(Table156[[#This Row],[Total Amount]]&gt;=500,"Medium","Low")))</f>
        <v>High</v>
      </c>
      <c r="M712" s="4" t="str" cm="1">
        <f t="array" ref="M71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12" s="4" cm="1">
        <f t="array" ref="N71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225</v>
      </c>
      <c r="O712" s="4">
        <f>Table156[[#This Row],[Total Amount]]-Table156[[#This Row],[Discount Amount]]</f>
        <v>1275</v>
      </c>
      <c r="P712" s="4" t="str">
        <f>IF(Table156[[#This Row],[Total Amount]]&gt;=1000,"High","Low")</f>
        <v>High</v>
      </c>
      <c r="Q712" s="4" t="b" cm="1">
        <f t="array" ref="Q712">_xlfn.IFS(AND(Table156[[#This Row],[Total Amount]]&gt;=1500,"Critical"),AND(Table156[[#This Row],[Total Amount]]&gt;=1000,"High"),TRUE,"Normal")</f>
        <v>1</v>
      </c>
      <c r="R712" s="4">
        <f>COUNTIF(Table156[Gender],"Male")</f>
        <v>490</v>
      </c>
    </row>
    <row r="713" spans="1:18" x14ac:dyDescent="0.35">
      <c r="A713" s="4">
        <v>712</v>
      </c>
      <c r="B713" s="5">
        <v>45266</v>
      </c>
      <c r="C713" s="4" t="s">
        <v>725</v>
      </c>
      <c r="D713" s="4" t="s">
        <v>13</v>
      </c>
      <c r="E713" s="4">
        <v>57</v>
      </c>
      <c r="F713" s="4" t="str">
        <f>IF(Table156[[#This Row],[Age]]&lt;=19,"Teenager",IF(Table156[[#This Row],[Age]]&lt;=40,"Median","Old"))</f>
        <v>Old</v>
      </c>
      <c r="G713" s="4" t="s">
        <v>11</v>
      </c>
      <c r="H713" s="4">
        <v>2</v>
      </c>
      <c r="I713" s="4">
        <v>25</v>
      </c>
      <c r="J713" s="4">
        <v>50</v>
      </c>
      <c r="K713" s="4" t="str" cm="1">
        <f t="array" ref="K713">_xlfn.IFS(AND(Table156[[#This Row],[Total Amount]]&gt;=1500),"Critical",AND(Table156[[#This Row],[Total Amount]]&gt;=1000),"High",TRUE,"Normal")</f>
        <v>Normal</v>
      </c>
      <c r="L713" s="4" t="str">
        <f>IF(Table156[[#This Row],[Total Amount]]&gt;=1000,"High",(IF(Table156[[#This Row],[Total Amount]]&gt;=500,"Medium","Low")))</f>
        <v>Low</v>
      </c>
      <c r="M713" s="4" t="str" cm="1">
        <f t="array" ref="M71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13" s="4" cm="1">
        <f t="array" ref="N71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713" s="4">
        <f>Table156[[#This Row],[Total Amount]]-Table156[[#This Row],[Discount Amount]]</f>
        <v>40</v>
      </c>
      <c r="P713" s="4" t="str">
        <f>IF(Table156[[#This Row],[Total Amount]]&gt;=1000,"High","Low")</f>
        <v>Low</v>
      </c>
      <c r="Q713" s="4" t="str" cm="1">
        <f t="array" ref="Q713">_xlfn.IFS(AND(Table156[[#This Row],[Total Amount]]&gt;=1500,"Critical"),AND(Table156[[#This Row],[Total Amount]]&gt;=1000,"High"),TRUE,"Normal")</f>
        <v>Normal</v>
      </c>
      <c r="R713" s="4">
        <f>COUNTIF(Table156[Gender],"Male")</f>
        <v>490</v>
      </c>
    </row>
    <row r="714" spans="1:18" x14ac:dyDescent="0.35">
      <c r="A714" s="4">
        <v>713</v>
      </c>
      <c r="B714" s="5">
        <v>44940</v>
      </c>
      <c r="C714" s="4" t="s">
        <v>726</v>
      </c>
      <c r="D714" s="4" t="s">
        <v>10</v>
      </c>
      <c r="E714" s="4">
        <v>34</v>
      </c>
      <c r="F714" s="4" t="str">
        <f>IF(Table156[[#This Row],[Age]]&lt;=19,"Teenager",IF(Table156[[#This Row],[Age]]&lt;=40,"Median","Old"))</f>
        <v>Median</v>
      </c>
      <c r="G714" s="4" t="s">
        <v>11</v>
      </c>
      <c r="H714" s="4">
        <v>3</v>
      </c>
      <c r="I714" s="4">
        <v>25</v>
      </c>
      <c r="J714" s="4">
        <v>75</v>
      </c>
      <c r="K714" s="4" t="str" cm="1">
        <f t="array" ref="K714">_xlfn.IFS(AND(Table156[[#This Row],[Total Amount]]&gt;=1500),"Critical",AND(Table156[[#This Row],[Total Amount]]&gt;=1000),"High",TRUE,"Normal")</f>
        <v>Normal</v>
      </c>
      <c r="L714" s="4" t="str">
        <f>IF(Table156[[#This Row],[Total Amount]]&gt;=1000,"High",(IF(Table156[[#This Row],[Total Amount]]&gt;=500,"Medium","Low")))</f>
        <v>Low</v>
      </c>
      <c r="M714" s="4" t="str" cm="1">
        <f t="array" ref="M71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14" s="4" cm="1">
        <f t="array" ref="N71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11.25</v>
      </c>
      <c r="O714" s="4">
        <f>Table156[[#This Row],[Total Amount]]-Table156[[#This Row],[Discount Amount]]</f>
        <v>63.75</v>
      </c>
      <c r="P714" s="4" t="str">
        <f>IF(Table156[[#This Row],[Total Amount]]&gt;=1000,"High","Low")</f>
        <v>Low</v>
      </c>
      <c r="Q714" s="4" t="str" cm="1">
        <f t="array" ref="Q714">_xlfn.IFS(AND(Table156[[#This Row],[Total Amount]]&gt;=1500,"Critical"),AND(Table156[[#This Row],[Total Amount]]&gt;=1000,"High"),TRUE,"Normal")</f>
        <v>Normal</v>
      </c>
      <c r="R714" s="4">
        <f>COUNTIF(Table156[Gender],"Male")</f>
        <v>490</v>
      </c>
    </row>
    <row r="715" spans="1:18" x14ac:dyDescent="0.35">
      <c r="A715" s="4">
        <v>714</v>
      </c>
      <c r="B715" s="5">
        <v>44969</v>
      </c>
      <c r="C715" s="4" t="s">
        <v>727</v>
      </c>
      <c r="D715" s="4" t="s">
        <v>13</v>
      </c>
      <c r="E715" s="4">
        <v>18</v>
      </c>
      <c r="F715" s="4" t="str">
        <f>IF(Table156[[#This Row],[Age]]&lt;=19,"Teenager",IF(Table156[[#This Row],[Age]]&lt;=40,"Median","Old"))</f>
        <v>Teenager</v>
      </c>
      <c r="G715" s="4" t="s">
        <v>14</v>
      </c>
      <c r="H715" s="4">
        <v>1</v>
      </c>
      <c r="I715" s="4">
        <v>500</v>
      </c>
      <c r="J715" s="4">
        <v>500</v>
      </c>
      <c r="K715" s="4" t="str" cm="1">
        <f t="array" ref="K715">_xlfn.IFS(AND(Table156[[#This Row],[Total Amount]]&gt;=1500),"Critical",AND(Table156[[#This Row],[Total Amount]]&gt;=1000),"High",TRUE,"Normal")</f>
        <v>Normal</v>
      </c>
      <c r="L715" s="4" t="str">
        <f>IF(Table156[[#This Row],[Total Amount]]&gt;=1000,"High",(IF(Table156[[#This Row],[Total Amount]]&gt;=500,"Medium","Low")))</f>
        <v>Medium</v>
      </c>
      <c r="M715" s="4" t="str" cm="1">
        <f t="array" ref="M71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715" s="4" cm="1">
        <f t="array" ref="N71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715" s="4">
        <f>Table156[[#This Row],[Total Amount]]-Table156[[#This Row],[Discount Amount]]</f>
        <v>500</v>
      </c>
      <c r="P715" s="4" t="str">
        <f>IF(Table156[[#This Row],[Total Amount]]&gt;=1000,"High","Low")</f>
        <v>Low</v>
      </c>
      <c r="Q715" s="4" t="str" cm="1">
        <f t="array" ref="Q715">_xlfn.IFS(AND(Table156[[#This Row],[Total Amount]]&gt;=1500,"Critical"),AND(Table156[[#This Row],[Total Amount]]&gt;=1000,"High"),TRUE,"Normal")</f>
        <v>Normal</v>
      </c>
      <c r="R715" s="4">
        <f>COUNTIF(Table156[Gender],"Male")</f>
        <v>490</v>
      </c>
    </row>
    <row r="716" spans="1:18" x14ac:dyDescent="0.35">
      <c r="A716" s="4">
        <v>715</v>
      </c>
      <c r="B716" s="5">
        <v>45256</v>
      </c>
      <c r="C716" s="4" t="s">
        <v>728</v>
      </c>
      <c r="D716" s="4" t="s">
        <v>13</v>
      </c>
      <c r="E716" s="4">
        <v>42</v>
      </c>
      <c r="F716" s="4" t="str">
        <f>IF(Table156[[#This Row],[Age]]&lt;=19,"Teenager",IF(Table156[[#This Row],[Age]]&lt;=40,"Median","Old"))</f>
        <v>Old</v>
      </c>
      <c r="G716" s="4" t="s">
        <v>11</v>
      </c>
      <c r="H716" s="4">
        <v>4</v>
      </c>
      <c r="I716" s="4">
        <v>25</v>
      </c>
      <c r="J716" s="4">
        <v>100</v>
      </c>
      <c r="K716" s="4" t="str" cm="1">
        <f t="array" ref="K716">_xlfn.IFS(AND(Table156[[#This Row],[Total Amount]]&gt;=1500),"Critical",AND(Table156[[#This Row],[Total Amount]]&gt;=1000),"High",TRUE,"Normal")</f>
        <v>Normal</v>
      </c>
      <c r="L716" s="4" t="str">
        <f>IF(Table156[[#This Row],[Total Amount]]&gt;=1000,"High",(IF(Table156[[#This Row],[Total Amount]]&gt;=500,"Medium","Low")))</f>
        <v>Low</v>
      </c>
      <c r="M716" s="4" t="str" cm="1">
        <f t="array" ref="M71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16" s="4" cm="1">
        <f t="array" ref="N71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716" s="4">
        <f>Table156[[#This Row],[Total Amount]]-Table156[[#This Row],[Discount Amount]]</f>
        <v>80</v>
      </c>
      <c r="P716" s="4" t="str">
        <f>IF(Table156[[#This Row],[Total Amount]]&gt;=1000,"High","Low")</f>
        <v>Low</v>
      </c>
      <c r="Q716" s="4" t="str" cm="1">
        <f t="array" ref="Q716">_xlfn.IFS(AND(Table156[[#This Row],[Total Amount]]&gt;=1500,"Critical"),AND(Table156[[#This Row],[Total Amount]]&gt;=1000,"High"),TRUE,"Normal")</f>
        <v>Normal</v>
      </c>
      <c r="R716" s="4">
        <f>COUNTIF(Table156[Gender],"Male")</f>
        <v>490</v>
      </c>
    </row>
    <row r="717" spans="1:18" x14ac:dyDescent="0.35">
      <c r="A717" s="4">
        <v>716</v>
      </c>
      <c r="B717" s="5">
        <v>45146</v>
      </c>
      <c r="C717" s="4" t="s">
        <v>729</v>
      </c>
      <c r="D717" s="4" t="s">
        <v>13</v>
      </c>
      <c r="E717" s="4">
        <v>60</v>
      </c>
      <c r="F717" s="4" t="str">
        <f>IF(Table156[[#This Row],[Age]]&lt;=19,"Teenager",IF(Table156[[#This Row],[Age]]&lt;=40,"Median","Old"))</f>
        <v>Old</v>
      </c>
      <c r="G717" s="4" t="s">
        <v>14</v>
      </c>
      <c r="H717" s="4">
        <v>4</v>
      </c>
      <c r="I717" s="4">
        <v>300</v>
      </c>
      <c r="J717" s="4">
        <v>1200</v>
      </c>
      <c r="K717" s="4" t="str" cm="1">
        <f t="array" ref="K717">_xlfn.IFS(AND(Table156[[#This Row],[Total Amount]]&gt;=1500),"Critical",AND(Table156[[#This Row],[Total Amount]]&gt;=1000),"High",TRUE,"Normal")</f>
        <v>High</v>
      </c>
      <c r="L717" s="4" t="str">
        <f>IF(Table156[[#This Row],[Total Amount]]&gt;=1000,"High",(IF(Table156[[#This Row],[Total Amount]]&gt;=500,"Medium","Low")))</f>
        <v>High</v>
      </c>
      <c r="M717" s="4" t="str" cm="1">
        <f t="array" ref="M71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17" s="4" cm="1">
        <f t="array" ref="N71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717" s="4">
        <f>Table156[[#This Row],[Total Amount]]-Table156[[#This Row],[Discount Amount]]</f>
        <v>960</v>
      </c>
      <c r="P717" s="4" t="str">
        <f>IF(Table156[[#This Row],[Total Amount]]&gt;=1000,"High","Low")</f>
        <v>High</v>
      </c>
      <c r="Q717" s="4" t="str" cm="1">
        <f t="array" ref="Q717">_xlfn.IFS(AND(Table156[[#This Row],[Total Amount]]&gt;=1500,"Critical"),AND(Table156[[#This Row],[Total Amount]]&gt;=1000,"High"),TRUE,"Normal")</f>
        <v>Normal</v>
      </c>
      <c r="R717" s="4">
        <f>COUNTIF(Table156[Gender],"Male")</f>
        <v>490</v>
      </c>
    </row>
    <row r="718" spans="1:18" x14ac:dyDescent="0.35">
      <c r="A718" s="4">
        <v>717</v>
      </c>
      <c r="B718" s="5">
        <v>44996</v>
      </c>
      <c r="C718" s="4" t="s">
        <v>730</v>
      </c>
      <c r="D718" s="4" t="s">
        <v>10</v>
      </c>
      <c r="E718" s="4">
        <v>57</v>
      </c>
      <c r="F718" s="4" t="str">
        <f>IF(Table156[[#This Row],[Age]]&lt;=19,"Teenager",IF(Table156[[#This Row],[Age]]&lt;=40,"Median","Old"))</f>
        <v>Old</v>
      </c>
      <c r="G718" s="4" t="s">
        <v>14</v>
      </c>
      <c r="H718" s="4">
        <v>1</v>
      </c>
      <c r="I718" s="4">
        <v>500</v>
      </c>
      <c r="J718" s="4">
        <v>500</v>
      </c>
      <c r="K718" s="4" t="str" cm="1">
        <f t="array" ref="K718">_xlfn.IFS(AND(Table156[[#This Row],[Total Amount]]&gt;=1500),"Critical",AND(Table156[[#This Row],[Total Amount]]&gt;=1000),"High",TRUE,"Normal")</f>
        <v>Normal</v>
      </c>
      <c r="L718" s="4" t="str">
        <f>IF(Table156[[#This Row],[Total Amount]]&gt;=1000,"High",(IF(Table156[[#This Row],[Total Amount]]&gt;=500,"Medium","Low")))</f>
        <v>Medium</v>
      </c>
      <c r="M718" s="4" t="str" cm="1">
        <f t="array" ref="M71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18" s="4" cm="1">
        <f t="array" ref="N71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718" s="4">
        <f>Table156[[#This Row],[Total Amount]]-Table156[[#This Row],[Discount Amount]]</f>
        <v>450</v>
      </c>
      <c r="P718" s="4" t="str">
        <f>IF(Table156[[#This Row],[Total Amount]]&gt;=1000,"High","Low")</f>
        <v>Low</v>
      </c>
      <c r="Q718" s="4" t="str" cm="1">
        <f t="array" ref="Q718">_xlfn.IFS(AND(Table156[[#This Row],[Total Amount]]&gt;=1500,"Critical"),AND(Table156[[#This Row],[Total Amount]]&gt;=1000,"High"),TRUE,"Normal")</f>
        <v>Normal</v>
      </c>
      <c r="R718" s="4">
        <f>COUNTIF(Table156[Gender],"Male")</f>
        <v>490</v>
      </c>
    </row>
    <row r="719" spans="1:18" x14ac:dyDescent="0.35">
      <c r="A719" s="4">
        <v>718</v>
      </c>
      <c r="B719" s="5">
        <v>45163</v>
      </c>
      <c r="C719" s="4" t="s">
        <v>731</v>
      </c>
      <c r="D719" s="4" t="s">
        <v>13</v>
      </c>
      <c r="E719" s="4">
        <v>59</v>
      </c>
      <c r="F719" s="4" t="str">
        <f>IF(Table156[[#This Row],[Age]]&lt;=19,"Teenager",IF(Table156[[#This Row],[Age]]&lt;=40,"Median","Old"))</f>
        <v>Old</v>
      </c>
      <c r="G719" s="4" t="s">
        <v>11</v>
      </c>
      <c r="H719" s="4">
        <v>3</v>
      </c>
      <c r="I719" s="4">
        <v>25</v>
      </c>
      <c r="J719" s="4">
        <v>75</v>
      </c>
      <c r="K719" s="4" t="str" cm="1">
        <f t="array" ref="K719">_xlfn.IFS(AND(Table156[[#This Row],[Total Amount]]&gt;=1500),"Critical",AND(Table156[[#This Row],[Total Amount]]&gt;=1000),"High",TRUE,"Normal")</f>
        <v>Normal</v>
      </c>
      <c r="L719" s="4" t="str">
        <f>IF(Table156[[#This Row],[Total Amount]]&gt;=1000,"High",(IF(Table156[[#This Row],[Total Amount]]&gt;=500,"Medium","Low")))</f>
        <v>Low</v>
      </c>
      <c r="M719" s="4" t="str" cm="1">
        <f t="array" ref="M71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19" s="4" cm="1">
        <f t="array" ref="N71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719" s="4">
        <f>Table156[[#This Row],[Total Amount]]-Table156[[#This Row],[Discount Amount]]</f>
        <v>60</v>
      </c>
      <c r="P719" s="4" t="str">
        <f>IF(Table156[[#This Row],[Total Amount]]&gt;=1000,"High","Low")</f>
        <v>Low</v>
      </c>
      <c r="Q719" s="4" t="str" cm="1">
        <f t="array" ref="Q719">_xlfn.IFS(AND(Table156[[#This Row],[Total Amount]]&gt;=1500,"Critical"),AND(Table156[[#This Row],[Total Amount]]&gt;=1000,"High"),TRUE,"Normal")</f>
        <v>Normal</v>
      </c>
      <c r="R719" s="4">
        <f>COUNTIF(Table156[Gender],"Male")</f>
        <v>490</v>
      </c>
    </row>
    <row r="720" spans="1:18" x14ac:dyDescent="0.35">
      <c r="A720" s="4">
        <v>719</v>
      </c>
      <c r="B720" s="5">
        <v>45020</v>
      </c>
      <c r="C720" s="4" t="s">
        <v>732</v>
      </c>
      <c r="D720" s="4" t="s">
        <v>13</v>
      </c>
      <c r="E720" s="4">
        <v>42</v>
      </c>
      <c r="F720" s="4" t="str">
        <f>IF(Table156[[#This Row],[Age]]&lt;=19,"Teenager",IF(Table156[[#This Row],[Age]]&lt;=40,"Median","Old"))</f>
        <v>Old</v>
      </c>
      <c r="G720" s="4" t="s">
        <v>14</v>
      </c>
      <c r="H720" s="4">
        <v>2</v>
      </c>
      <c r="I720" s="4">
        <v>30</v>
      </c>
      <c r="J720" s="4">
        <v>60</v>
      </c>
      <c r="K720" s="4" t="str" cm="1">
        <f t="array" ref="K720">_xlfn.IFS(AND(Table156[[#This Row],[Total Amount]]&gt;=1500),"Critical",AND(Table156[[#This Row],[Total Amount]]&gt;=1000),"High",TRUE,"Normal")</f>
        <v>Normal</v>
      </c>
      <c r="L720" s="4" t="str">
        <f>IF(Table156[[#This Row],[Total Amount]]&gt;=1000,"High",(IF(Table156[[#This Row],[Total Amount]]&gt;=500,"Medium","Low")))</f>
        <v>Low</v>
      </c>
      <c r="M720" s="4" t="str" cm="1">
        <f t="array" ref="M72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20" s="4" cm="1">
        <f t="array" ref="N72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720" s="4">
        <f>Table156[[#This Row],[Total Amount]]-Table156[[#This Row],[Discount Amount]]</f>
        <v>48</v>
      </c>
      <c r="P720" s="4" t="str">
        <f>IF(Table156[[#This Row],[Total Amount]]&gt;=1000,"High","Low")</f>
        <v>Low</v>
      </c>
      <c r="Q720" s="4" t="str" cm="1">
        <f t="array" ref="Q720">_xlfn.IFS(AND(Table156[[#This Row],[Total Amount]]&gt;=1500,"Critical"),AND(Table156[[#This Row],[Total Amount]]&gt;=1000,"High"),TRUE,"Normal")</f>
        <v>Normal</v>
      </c>
      <c r="R720" s="4">
        <f>COUNTIF(Table156[Gender],"Male")</f>
        <v>490</v>
      </c>
    </row>
    <row r="721" spans="1:18" x14ac:dyDescent="0.35">
      <c r="A721" s="4">
        <v>720</v>
      </c>
      <c r="B721" s="5">
        <v>44952</v>
      </c>
      <c r="C721" s="4" t="s">
        <v>733</v>
      </c>
      <c r="D721" s="4" t="s">
        <v>13</v>
      </c>
      <c r="E721" s="4">
        <v>56</v>
      </c>
      <c r="F721" s="4" t="str">
        <f>IF(Table156[[#This Row],[Age]]&lt;=19,"Teenager",IF(Table156[[#This Row],[Age]]&lt;=40,"Median","Old"))</f>
        <v>Old</v>
      </c>
      <c r="G721" s="4" t="s">
        <v>11</v>
      </c>
      <c r="H721" s="4">
        <v>3</v>
      </c>
      <c r="I721" s="4">
        <v>500</v>
      </c>
      <c r="J721" s="4">
        <v>1500</v>
      </c>
      <c r="K721" s="4" t="str" cm="1">
        <f t="array" ref="K721">_xlfn.IFS(AND(Table156[[#This Row],[Total Amount]]&gt;=1500),"Critical",AND(Table156[[#This Row],[Total Amount]]&gt;=1000),"High",TRUE,"Normal")</f>
        <v>Critical</v>
      </c>
      <c r="L721" s="4" t="str">
        <f>IF(Table156[[#This Row],[Total Amount]]&gt;=1000,"High",(IF(Table156[[#This Row],[Total Amount]]&gt;=500,"Medium","Low")))</f>
        <v>High</v>
      </c>
      <c r="M721" s="4" t="str" cm="1">
        <f t="array" ref="M72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21" s="4" cm="1">
        <f t="array" ref="N72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721" s="4">
        <f>Table156[[#This Row],[Total Amount]]-Table156[[#This Row],[Discount Amount]]</f>
        <v>1200</v>
      </c>
      <c r="P721" s="4" t="str">
        <f>IF(Table156[[#This Row],[Total Amount]]&gt;=1000,"High","Low")</f>
        <v>High</v>
      </c>
      <c r="Q721" s="4" t="b" cm="1">
        <f t="array" ref="Q721">_xlfn.IFS(AND(Table156[[#This Row],[Total Amount]]&gt;=1500,"Critical"),AND(Table156[[#This Row],[Total Amount]]&gt;=1000,"High"),TRUE,"Normal")</f>
        <v>1</v>
      </c>
      <c r="R721" s="4">
        <f>COUNTIF(Table156[Gender],"Male")</f>
        <v>490</v>
      </c>
    </row>
    <row r="722" spans="1:18" x14ac:dyDescent="0.35">
      <c r="A722" s="4">
        <v>721</v>
      </c>
      <c r="B722" s="5">
        <v>45060</v>
      </c>
      <c r="C722" s="4" t="s">
        <v>734</v>
      </c>
      <c r="D722" s="4" t="s">
        <v>13</v>
      </c>
      <c r="E722" s="4">
        <v>52</v>
      </c>
      <c r="F722" s="4" t="str">
        <f>IF(Table156[[#This Row],[Age]]&lt;=19,"Teenager",IF(Table156[[#This Row],[Age]]&lt;=40,"Median","Old"))</f>
        <v>Old</v>
      </c>
      <c r="G722" s="4" t="s">
        <v>14</v>
      </c>
      <c r="H722" s="4">
        <v>1</v>
      </c>
      <c r="I722" s="4">
        <v>500</v>
      </c>
      <c r="J722" s="4">
        <v>500</v>
      </c>
      <c r="K722" s="4" t="str" cm="1">
        <f t="array" ref="K722">_xlfn.IFS(AND(Table156[[#This Row],[Total Amount]]&gt;=1500),"Critical",AND(Table156[[#This Row],[Total Amount]]&gt;=1000),"High",TRUE,"Normal")</f>
        <v>Normal</v>
      </c>
      <c r="L722" s="4" t="str">
        <f>IF(Table156[[#This Row],[Total Amount]]&gt;=1000,"High",(IF(Table156[[#This Row],[Total Amount]]&gt;=500,"Medium","Low")))</f>
        <v>Medium</v>
      </c>
      <c r="M722" s="4" t="str" cm="1">
        <f t="array" ref="M72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22" s="4" cm="1">
        <f t="array" ref="N72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722" s="4">
        <f>Table156[[#This Row],[Total Amount]]-Table156[[#This Row],[Discount Amount]]</f>
        <v>400</v>
      </c>
      <c r="P722" s="4" t="str">
        <f>IF(Table156[[#This Row],[Total Amount]]&gt;=1000,"High","Low")</f>
        <v>Low</v>
      </c>
      <c r="Q722" s="4" t="str" cm="1">
        <f t="array" ref="Q722">_xlfn.IFS(AND(Table156[[#This Row],[Total Amount]]&gt;=1500,"Critical"),AND(Table156[[#This Row],[Total Amount]]&gt;=1000,"High"),TRUE,"Normal")</f>
        <v>Normal</v>
      </c>
      <c r="R722" s="4">
        <f>COUNTIF(Table156[Gender],"Male")</f>
        <v>490</v>
      </c>
    </row>
    <row r="723" spans="1:18" x14ac:dyDescent="0.35">
      <c r="A723" s="4">
        <v>722</v>
      </c>
      <c r="B723" s="5">
        <v>45121</v>
      </c>
      <c r="C723" s="4" t="s">
        <v>735</v>
      </c>
      <c r="D723" s="4" t="s">
        <v>10</v>
      </c>
      <c r="E723" s="4">
        <v>20</v>
      </c>
      <c r="F723" s="4" t="str">
        <f>IF(Table156[[#This Row],[Age]]&lt;=19,"Teenager",IF(Table156[[#This Row],[Age]]&lt;=40,"Median","Old"))</f>
        <v>Median</v>
      </c>
      <c r="G723" s="4" t="s">
        <v>11</v>
      </c>
      <c r="H723" s="4">
        <v>3</v>
      </c>
      <c r="I723" s="4">
        <v>300</v>
      </c>
      <c r="J723" s="4">
        <v>900</v>
      </c>
      <c r="K723" s="4" t="str" cm="1">
        <f t="array" ref="K723">_xlfn.IFS(AND(Table156[[#This Row],[Total Amount]]&gt;=1500),"Critical",AND(Table156[[#This Row],[Total Amount]]&gt;=1000),"High",TRUE,"Normal")</f>
        <v>Normal</v>
      </c>
      <c r="L723" s="4" t="str">
        <f>IF(Table156[[#This Row],[Total Amount]]&gt;=1000,"High",(IF(Table156[[#This Row],[Total Amount]]&gt;=500,"Medium","Low")))</f>
        <v>Medium</v>
      </c>
      <c r="M723" s="4" t="str" cm="1">
        <f t="array" ref="M72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723" s="4" cm="1">
        <f t="array" ref="N72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723" s="4">
        <f>Table156[[#This Row],[Total Amount]]-Table156[[#This Row],[Discount Amount]]</f>
        <v>900</v>
      </c>
      <c r="P723" s="4" t="str">
        <f>IF(Table156[[#This Row],[Total Amount]]&gt;=1000,"High","Low")</f>
        <v>Low</v>
      </c>
      <c r="Q723" s="4" t="str" cm="1">
        <f t="array" ref="Q723">_xlfn.IFS(AND(Table156[[#This Row],[Total Amount]]&gt;=1500,"Critical"),AND(Table156[[#This Row],[Total Amount]]&gt;=1000,"High"),TRUE,"Normal")</f>
        <v>Normal</v>
      </c>
      <c r="R723" s="4">
        <f>COUNTIF(Table156[Gender],"Male")</f>
        <v>490</v>
      </c>
    </row>
    <row r="724" spans="1:18" x14ac:dyDescent="0.35">
      <c r="A724" s="4">
        <v>723</v>
      </c>
      <c r="B724" s="5">
        <v>45094</v>
      </c>
      <c r="C724" s="4" t="s">
        <v>736</v>
      </c>
      <c r="D724" s="4" t="s">
        <v>13</v>
      </c>
      <c r="E724" s="4">
        <v>54</v>
      </c>
      <c r="F724" s="4" t="str">
        <f>IF(Table156[[#This Row],[Age]]&lt;=19,"Teenager",IF(Table156[[#This Row],[Age]]&lt;=40,"Median","Old"))</f>
        <v>Old</v>
      </c>
      <c r="G724" s="4" t="s">
        <v>11</v>
      </c>
      <c r="H724" s="4">
        <v>4</v>
      </c>
      <c r="I724" s="4">
        <v>50</v>
      </c>
      <c r="J724" s="4">
        <v>200</v>
      </c>
      <c r="K724" s="4" t="str" cm="1">
        <f t="array" ref="K724">_xlfn.IFS(AND(Table156[[#This Row],[Total Amount]]&gt;=1500),"Critical",AND(Table156[[#This Row],[Total Amount]]&gt;=1000),"High",TRUE,"Normal")</f>
        <v>Normal</v>
      </c>
      <c r="L724" s="4" t="str">
        <f>IF(Table156[[#This Row],[Total Amount]]&gt;=1000,"High",(IF(Table156[[#This Row],[Total Amount]]&gt;=500,"Medium","Low")))</f>
        <v>Low</v>
      </c>
      <c r="M724" s="4" t="str" cm="1">
        <f t="array" ref="M72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24" s="4" cm="1">
        <f t="array" ref="N72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724" s="4">
        <f>Table156[[#This Row],[Total Amount]]-Table156[[#This Row],[Discount Amount]]</f>
        <v>160</v>
      </c>
      <c r="P724" s="4" t="str">
        <f>IF(Table156[[#This Row],[Total Amount]]&gt;=1000,"High","Low")</f>
        <v>Low</v>
      </c>
      <c r="Q724" s="4" t="str" cm="1">
        <f t="array" ref="Q724">_xlfn.IFS(AND(Table156[[#This Row],[Total Amount]]&gt;=1500,"Critical"),AND(Table156[[#This Row],[Total Amount]]&gt;=1000,"High"),TRUE,"Normal")</f>
        <v>Normal</v>
      </c>
      <c r="R724" s="4">
        <f>COUNTIF(Table156[Gender],"Male")</f>
        <v>490</v>
      </c>
    </row>
    <row r="725" spans="1:18" x14ac:dyDescent="0.35">
      <c r="A725" s="4">
        <v>724</v>
      </c>
      <c r="B725" s="5">
        <v>45035</v>
      </c>
      <c r="C725" s="4" t="s">
        <v>737</v>
      </c>
      <c r="D725" s="4" t="s">
        <v>10</v>
      </c>
      <c r="E725" s="4">
        <v>61</v>
      </c>
      <c r="F725" s="4" t="str">
        <f>IF(Table156[[#This Row],[Age]]&lt;=19,"Teenager",IF(Table156[[#This Row],[Age]]&lt;=40,"Median","Old"))</f>
        <v>Old</v>
      </c>
      <c r="G725" s="4" t="s">
        <v>14</v>
      </c>
      <c r="H725" s="4">
        <v>3</v>
      </c>
      <c r="I725" s="4">
        <v>50</v>
      </c>
      <c r="J725" s="4">
        <v>150</v>
      </c>
      <c r="K725" s="4" t="str" cm="1">
        <f t="array" ref="K725">_xlfn.IFS(AND(Table156[[#This Row],[Total Amount]]&gt;=1500),"Critical",AND(Table156[[#This Row],[Total Amount]]&gt;=1000),"High",TRUE,"Normal")</f>
        <v>Normal</v>
      </c>
      <c r="L725" s="4" t="str">
        <f>IF(Table156[[#This Row],[Total Amount]]&gt;=1000,"High",(IF(Table156[[#This Row],[Total Amount]]&gt;=500,"Medium","Low")))</f>
        <v>Low</v>
      </c>
      <c r="M725" s="4" t="str" cm="1">
        <f t="array" ref="M72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25" s="4" cm="1">
        <f t="array" ref="N72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725" s="4">
        <f>Table156[[#This Row],[Total Amount]]-Table156[[#This Row],[Discount Amount]]</f>
        <v>135</v>
      </c>
      <c r="P725" s="4" t="str">
        <f>IF(Table156[[#This Row],[Total Amount]]&gt;=1000,"High","Low")</f>
        <v>Low</v>
      </c>
      <c r="Q725" s="4" t="str" cm="1">
        <f t="array" ref="Q725">_xlfn.IFS(AND(Table156[[#This Row],[Total Amount]]&gt;=1500,"Critical"),AND(Table156[[#This Row],[Total Amount]]&gt;=1000,"High"),TRUE,"Normal")</f>
        <v>Normal</v>
      </c>
      <c r="R725" s="4">
        <f>COUNTIF(Table156[Gender],"Male")</f>
        <v>490</v>
      </c>
    </row>
    <row r="726" spans="1:18" x14ac:dyDescent="0.35">
      <c r="A726" s="4">
        <v>725</v>
      </c>
      <c r="B726" s="5">
        <v>45159</v>
      </c>
      <c r="C726" s="4" t="s">
        <v>738</v>
      </c>
      <c r="D726" s="4" t="s">
        <v>10</v>
      </c>
      <c r="E726" s="4">
        <v>61</v>
      </c>
      <c r="F726" s="4" t="str">
        <f>IF(Table156[[#This Row],[Age]]&lt;=19,"Teenager",IF(Table156[[#This Row],[Age]]&lt;=40,"Median","Old"))</f>
        <v>Old</v>
      </c>
      <c r="G726" s="4" t="s">
        <v>16</v>
      </c>
      <c r="H726" s="4">
        <v>1</v>
      </c>
      <c r="I726" s="4">
        <v>300</v>
      </c>
      <c r="J726" s="4">
        <v>300</v>
      </c>
      <c r="K726" s="4" t="str" cm="1">
        <f t="array" ref="K726">_xlfn.IFS(AND(Table156[[#This Row],[Total Amount]]&gt;=1500),"Critical",AND(Table156[[#This Row],[Total Amount]]&gt;=1000),"High",TRUE,"Normal")</f>
        <v>Normal</v>
      </c>
      <c r="L726" s="4" t="str">
        <f>IF(Table156[[#This Row],[Total Amount]]&gt;=1000,"High",(IF(Table156[[#This Row],[Total Amount]]&gt;=500,"Medium","Low")))</f>
        <v>Low</v>
      </c>
      <c r="M726" s="4" t="str" cm="1">
        <f t="array" ref="M72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26" s="4" cm="1">
        <f t="array" ref="N72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726" s="4">
        <f>Table156[[#This Row],[Total Amount]]-Table156[[#This Row],[Discount Amount]]</f>
        <v>270</v>
      </c>
      <c r="P726" s="4" t="str">
        <f>IF(Table156[[#This Row],[Total Amount]]&gt;=1000,"High","Low")</f>
        <v>Low</v>
      </c>
      <c r="Q726" s="4" t="str" cm="1">
        <f t="array" ref="Q726">_xlfn.IFS(AND(Table156[[#This Row],[Total Amount]]&gt;=1500,"Critical"),AND(Table156[[#This Row],[Total Amount]]&gt;=1000,"High"),TRUE,"Normal")</f>
        <v>Normal</v>
      </c>
      <c r="R726" s="4">
        <f>COUNTIF(Table156[Gender],"Male")</f>
        <v>490</v>
      </c>
    </row>
    <row r="727" spans="1:18" x14ac:dyDescent="0.35">
      <c r="A727" s="4">
        <v>726</v>
      </c>
      <c r="B727" s="5">
        <v>45094</v>
      </c>
      <c r="C727" s="4" t="s">
        <v>739</v>
      </c>
      <c r="D727" s="4" t="s">
        <v>10</v>
      </c>
      <c r="E727" s="4">
        <v>47</v>
      </c>
      <c r="F727" s="4" t="str">
        <f>IF(Table156[[#This Row],[Age]]&lt;=19,"Teenager",IF(Table156[[#This Row],[Age]]&lt;=40,"Median","Old"))</f>
        <v>Old</v>
      </c>
      <c r="G727" s="4" t="s">
        <v>14</v>
      </c>
      <c r="H727" s="4">
        <v>4</v>
      </c>
      <c r="I727" s="4">
        <v>300</v>
      </c>
      <c r="J727" s="4">
        <v>1200</v>
      </c>
      <c r="K727" s="4" t="str" cm="1">
        <f t="array" ref="K727">_xlfn.IFS(AND(Table156[[#This Row],[Total Amount]]&gt;=1500),"Critical",AND(Table156[[#This Row],[Total Amount]]&gt;=1000),"High",TRUE,"Normal")</f>
        <v>High</v>
      </c>
      <c r="L727" s="4" t="str">
        <f>IF(Table156[[#This Row],[Total Amount]]&gt;=1000,"High",(IF(Table156[[#This Row],[Total Amount]]&gt;=500,"Medium","Low")))</f>
        <v>High</v>
      </c>
      <c r="M727" s="4" t="str" cm="1">
        <f t="array" ref="M72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27" s="4" cm="1">
        <f t="array" ref="N72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727" s="4">
        <f>Table156[[#This Row],[Total Amount]]-Table156[[#This Row],[Discount Amount]]</f>
        <v>1080</v>
      </c>
      <c r="P727" s="4" t="str">
        <f>IF(Table156[[#This Row],[Total Amount]]&gt;=1000,"High","Low")</f>
        <v>High</v>
      </c>
      <c r="Q727" s="4" t="str" cm="1">
        <f t="array" ref="Q727">_xlfn.IFS(AND(Table156[[#This Row],[Total Amount]]&gt;=1500,"Critical"),AND(Table156[[#This Row],[Total Amount]]&gt;=1000,"High"),TRUE,"Normal")</f>
        <v>Normal</v>
      </c>
      <c r="R727" s="4">
        <f>COUNTIF(Table156[Gender],"Male")</f>
        <v>490</v>
      </c>
    </row>
    <row r="728" spans="1:18" x14ac:dyDescent="0.35">
      <c r="A728" s="4">
        <v>727</v>
      </c>
      <c r="B728" s="5">
        <v>45099</v>
      </c>
      <c r="C728" s="4" t="s">
        <v>740</v>
      </c>
      <c r="D728" s="4" t="s">
        <v>10</v>
      </c>
      <c r="E728" s="4">
        <v>55</v>
      </c>
      <c r="F728" s="4" t="str">
        <f>IF(Table156[[#This Row],[Age]]&lt;=19,"Teenager",IF(Table156[[#This Row],[Age]]&lt;=40,"Median","Old"))</f>
        <v>Old</v>
      </c>
      <c r="G728" s="4" t="s">
        <v>11</v>
      </c>
      <c r="H728" s="4">
        <v>3</v>
      </c>
      <c r="I728" s="4">
        <v>300</v>
      </c>
      <c r="J728" s="4">
        <v>900</v>
      </c>
      <c r="K728" s="4" t="str" cm="1">
        <f t="array" ref="K728">_xlfn.IFS(AND(Table156[[#This Row],[Total Amount]]&gt;=1500),"Critical",AND(Table156[[#This Row],[Total Amount]]&gt;=1000),"High",TRUE,"Normal")</f>
        <v>Normal</v>
      </c>
      <c r="L728" s="4" t="str">
        <f>IF(Table156[[#This Row],[Total Amount]]&gt;=1000,"High",(IF(Table156[[#This Row],[Total Amount]]&gt;=500,"Medium","Low")))</f>
        <v>Medium</v>
      </c>
      <c r="M728" s="4" t="str" cm="1">
        <f t="array" ref="M72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28" s="4" cm="1">
        <f t="array" ref="N72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728" s="4">
        <f>Table156[[#This Row],[Total Amount]]-Table156[[#This Row],[Discount Amount]]</f>
        <v>810</v>
      </c>
      <c r="P728" s="4" t="str">
        <f>IF(Table156[[#This Row],[Total Amount]]&gt;=1000,"High","Low")</f>
        <v>Low</v>
      </c>
      <c r="Q728" s="4" t="str" cm="1">
        <f t="array" ref="Q728">_xlfn.IFS(AND(Table156[[#This Row],[Total Amount]]&gt;=1500,"Critical"),AND(Table156[[#This Row],[Total Amount]]&gt;=1000,"High"),TRUE,"Normal")</f>
        <v>Normal</v>
      </c>
      <c r="R728" s="4">
        <f>COUNTIF(Table156[Gender],"Male")</f>
        <v>490</v>
      </c>
    </row>
    <row r="729" spans="1:18" x14ac:dyDescent="0.35">
      <c r="A729" s="4">
        <v>728</v>
      </c>
      <c r="B729" s="5">
        <v>45121</v>
      </c>
      <c r="C729" s="4" t="s">
        <v>741</v>
      </c>
      <c r="D729" s="4" t="s">
        <v>10</v>
      </c>
      <c r="E729" s="4">
        <v>51</v>
      </c>
      <c r="F729" s="4" t="str">
        <f>IF(Table156[[#This Row],[Age]]&lt;=19,"Teenager",IF(Table156[[#This Row],[Age]]&lt;=40,"Median","Old"))</f>
        <v>Old</v>
      </c>
      <c r="G729" s="4" t="s">
        <v>16</v>
      </c>
      <c r="H729" s="4">
        <v>3</v>
      </c>
      <c r="I729" s="4">
        <v>50</v>
      </c>
      <c r="J729" s="4">
        <v>150</v>
      </c>
      <c r="K729" s="4" t="str" cm="1">
        <f t="array" ref="K729">_xlfn.IFS(AND(Table156[[#This Row],[Total Amount]]&gt;=1500),"Critical",AND(Table156[[#This Row],[Total Amount]]&gt;=1000),"High",TRUE,"Normal")</f>
        <v>Normal</v>
      </c>
      <c r="L729" s="4" t="str">
        <f>IF(Table156[[#This Row],[Total Amount]]&gt;=1000,"High",(IF(Table156[[#This Row],[Total Amount]]&gt;=500,"Medium","Low")))</f>
        <v>Low</v>
      </c>
      <c r="M729" s="4" t="str" cm="1">
        <f t="array" ref="M72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29" s="4" cm="1">
        <f t="array" ref="N72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729" s="4">
        <f>Table156[[#This Row],[Total Amount]]-Table156[[#This Row],[Discount Amount]]</f>
        <v>135</v>
      </c>
      <c r="P729" s="4" t="str">
        <f>IF(Table156[[#This Row],[Total Amount]]&gt;=1000,"High","Low")</f>
        <v>Low</v>
      </c>
      <c r="Q729" s="4" t="str" cm="1">
        <f t="array" ref="Q729">_xlfn.IFS(AND(Table156[[#This Row],[Total Amount]]&gt;=1500,"Critical"),AND(Table156[[#This Row],[Total Amount]]&gt;=1000,"High"),TRUE,"Normal")</f>
        <v>Normal</v>
      </c>
      <c r="R729" s="4">
        <f>COUNTIF(Table156[Gender],"Male")</f>
        <v>490</v>
      </c>
    </row>
    <row r="730" spans="1:18" x14ac:dyDescent="0.35">
      <c r="A730" s="4">
        <v>729</v>
      </c>
      <c r="B730" s="5">
        <v>45069</v>
      </c>
      <c r="C730" s="4" t="s">
        <v>742</v>
      </c>
      <c r="D730" s="4" t="s">
        <v>10</v>
      </c>
      <c r="E730" s="4">
        <v>29</v>
      </c>
      <c r="F730" s="4" t="str">
        <f>IF(Table156[[#This Row],[Age]]&lt;=19,"Teenager",IF(Table156[[#This Row],[Age]]&lt;=40,"Median","Old"))</f>
        <v>Median</v>
      </c>
      <c r="G730" s="4" t="s">
        <v>14</v>
      </c>
      <c r="H730" s="4">
        <v>4</v>
      </c>
      <c r="I730" s="4">
        <v>300</v>
      </c>
      <c r="J730" s="4">
        <v>1200</v>
      </c>
      <c r="K730" s="4" t="str" cm="1">
        <f t="array" ref="K730">_xlfn.IFS(AND(Table156[[#This Row],[Total Amount]]&gt;=1500),"Critical",AND(Table156[[#This Row],[Total Amount]]&gt;=1000),"High",TRUE,"Normal")</f>
        <v>High</v>
      </c>
      <c r="L730" s="4" t="str">
        <f>IF(Table156[[#This Row],[Total Amount]]&gt;=1000,"High",(IF(Table156[[#This Row],[Total Amount]]&gt;=500,"Medium","Low")))</f>
        <v>High</v>
      </c>
      <c r="M730" s="4" t="str" cm="1">
        <f t="array" ref="M73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30" s="4" cm="1">
        <f t="array" ref="N73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730" s="4">
        <f>Table156[[#This Row],[Total Amount]]-Table156[[#This Row],[Discount Amount]]</f>
        <v>1020</v>
      </c>
      <c r="P730" s="4" t="str">
        <f>IF(Table156[[#This Row],[Total Amount]]&gt;=1000,"High","Low")</f>
        <v>High</v>
      </c>
      <c r="Q730" s="4" t="str" cm="1">
        <f t="array" ref="Q730">_xlfn.IFS(AND(Table156[[#This Row],[Total Amount]]&gt;=1500,"Critical"),AND(Table156[[#This Row],[Total Amount]]&gt;=1000,"High"),TRUE,"Normal")</f>
        <v>Normal</v>
      </c>
      <c r="R730" s="4">
        <f>COUNTIF(Table156[Gender],"Male")</f>
        <v>490</v>
      </c>
    </row>
    <row r="731" spans="1:18" x14ac:dyDescent="0.35">
      <c r="A731" s="4">
        <v>730</v>
      </c>
      <c r="B731" s="5">
        <v>45142</v>
      </c>
      <c r="C731" s="4" t="s">
        <v>743</v>
      </c>
      <c r="D731" s="4" t="s">
        <v>13</v>
      </c>
      <c r="E731" s="4">
        <v>36</v>
      </c>
      <c r="F731" s="4" t="str">
        <f>IF(Table156[[#This Row],[Age]]&lt;=19,"Teenager",IF(Table156[[#This Row],[Age]]&lt;=40,"Median","Old"))</f>
        <v>Median</v>
      </c>
      <c r="G731" s="4" t="s">
        <v>14</v>
      </c>
      <c r="H731" s="4">
        <v>2</v>
      </c>
      <c r="I731" s="4">
        <v>25</v>
      </c>
      <c r="J731" s="4">
        <v>50</v>
      </c>
      <c r="K731" s="4" t="str" cm="1">
        <f t="array" ref="K731">_xlfn.IFS(AND(Table156[[#This Row],[Total Amount]]&gt;=1500),"Critical",AND(Table156[[#This Row],[Total Amount]]&gt;=1000),"High",TRUE,"Normal")</f>
        <v>Normal</v>
      </c>
      <c r="L731" s="4" t="str">
        <f>IF(Table156[[#This Row],[Total Amount]]&gt;=1000,"High",(IF(Table156[[#This Row],[Total Amount]]&gt;=500,"Medium","Low")))</f>
        <v>Low</v>
      </c>
      <c r="M731" s="4" t="str" cm="1">
        <f t="array" ref="M73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31" s="4" cm="1">
        <f t="array" ref="N73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731" s="4">
        <f>Table156[[#This Row],[Total Amount]]-Table156[[#This Row],[Discount Amount]]</f>
        <v>40</v>
      </c>
      <c r="P731" s="4" t="str">
        <f>IF(Table156[[#This Row],[Total Amount]]&gt;=1000,"High","Low")</f>
        <v>Low</v>
      </c>
      <c r="Q731" s="4" t="str" cm="1">
        <f t="array" ref="Q731">_xlfn.IFS(AND(Table156[[#This Row],[Total Amount]]&gt;=1500,"Critical"),AND(Table156[[#This Row],[Total Amount]]&gt;=1000,"High"),TRUE,"Normal")</f>
        <v>Normal</v>
      </c>
      <c r="R731" s="4">
        <f>COUNTIF(Table156[Gender],"Male")</f>
        <v>490</v>
      </c>
    </row>
    <row r="732" spans="1:18" x14ac:dyDescent="0.35">
      <c r="A732" s="4">
        <v>731</v>
      </c>
      <c r="B732" s="5">
        <v>45056</v>
      </c>
      <c r="C732" s="4" t="s">
        <v>744</v>
      </c>
      <c r="D732" s="4" t="s">
        <v>10</v>
      </c>
      <c r="E732" s="4">
        <v>54</v>
      </c>
      <c r="F732" s="4" t="str">
        <f>IF(Table156[[#This Row],[Age]]&lt;=19,"Teenager",IF(Table156[[#This Row],[Age]]&lt;=40,"Median","Old"))</f>
        <v>Old</v>
      </c>
      <c r="G732" s="4" t="s">
        <v>14</v>
      </c>
      <c r="H732" s="4">
        <v>4</v>
      </c>
      <c r="I732" s="4">
        <v>500</v>
      </c>
      <c r="J732" s="4">
        <v>2000</v>
      </c>
      <c r="K732" s="4" t="str" cm="1">
        <f t="array" ref="K732">_xlfn.IFS(AND(Table156[[#This Row],[Total Amount]]&gt;=1500),"Critical",AND(Table156[[#This Row],[Total Amount]]&gt;=1000),"High",TRUE,"Normal")</f>
        <v>Critical</v>
      </c>
      <c r="L732" s="4" t="str">
        <f>IF(Table156[[#This Row],[Total Amount]]&gt;=1000,"High",(IF(Table156[[#This Row],[Total Amount]]&gt;=500,"Medium","Low")))</f>
        <v>High</v>
      </c>
      <c r="M732" s="4" t="str" cm="1">
        <f t="array" ref="M73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32" s="4" cm="1">
        <f t="array" ref="N73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732" s="4">
        <f>Table156[[#This Row],[Total Amount]]-Table156[[#This Row],[Discount Amount]]</f>
        <v>1800</v>
      </c>
      <c r="P732" s="4" t="str">
        <f>IF(Table156[[#This Row],[Total Amount]]&gt;=1000,"High","Low")</f>
        <v>High</v>
      </c>
      <c r="Q732" s="4" t="b" cm="1">
        <f t="array" ref="Q732">_xlfn.IFS(AND(Table156[[#This Row],[Total Amount]]&gt;=1500,"Critical"),AND(Table156[[#This Row],[Total Amount]]&gt;=1000,"High"),TRUE,"Normal")</f>
        <v>1</v>
      </c>
      <c r="R732" s="4">
        <f>COUNTIF(Table156[Gender],"Male")</f>
        <v>490</v>
      </c>
    </row>
    <row r="733" spans="1:18" x14ac:dyDescent="0.35">
      <c r="A733" s="4">
        <v>732</v>
      </c>
      <c r="B733" s="5">
        <v>44968</v>
      </c>
      <c r="C733" s="4" t="s">
        <v>745</v>
      </c>
      <c r="D733" s="4" t="s">
        <v>10</v>
      </c>
      <c r="E733" s="4">
        <v>61</v>
      </c>
      <c r="F733" s="4" t="str">
        <f>IF(Table156[[#This Row],[Age]]&lt;=19,"Teenager",IF(Table156[[#This Row],[Age]]&lt;=40,"Median","Old"))</f>
        <v>Old</v>
      </c>
      <c r="G733" s="4" t="s">
        <v>16</v>
      </c>
      <c r="H733" s="4">
        <v>2</v>
      </c>
      <c r="I733" s="4">
        <v>500</v>
      </c>
      <c r="J733" s="4">
        <v>1000</v>
      </c>
      <c r="K733" s="4" t="str" cm="1">
        <f t="array" ref="K733">_xlfn.IFS(AND(Table156[[#This Row],[Total Amount]]&gt;=1500),"Critical",AND(Table156[[#This Row],[Total Amount]]&gt;=1000),"High",TRUE,"Normal")</f>
        <v>High</v>
      </c>
      <c r="L733" s="4" t="str">
        <f>IF(Table156[[#This Row],[Total Amount]]&gt;=1000,"High",(IF(Table156[[#This Row],[Total Amount]]&gt;=500,"Medium","Low")))</f>
        <v>High</v>
      </c>
      <c r="M733" s="4" t="str" cm="1">
        <f t="array" ref="M73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33" s="4" cm="1">
        <f t="array" ref="N73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733" s="4">
        <f>Table156[[#This Row],[Total Amount]]-Table156[[#This Row],[Discount Amount]]</f>
        <v>900</v>
      </c>
      <c r="P733" s="4" t="str">
        <f>IF(Table156[[#This Row],[Total Amount]]&gt;=1000,"High","Low")</f>
        <v>High</v>
      </c>
      <c r="Q733" s="4" t="str" cm="1">
        <f t="array" ref="Q733">_xlfn.IFS(AND(Table156[[#This Row],[Total Amount]]&gt;=1500,"Critical"),AND(Table156[[#This Row],[Total Amount]]&gt;=1000,"High"),TRUE,"Normal")</f>
        <v>Normal</v>
      </c>
      <c r="R733" s="4">
        <f>COUNTIF(Table156[Gender],"Male")</f>
        <v>490</v>
      </c>
    </row>
    <row r="734" spans="1:18" x14ac:dyDescent="0.35">
      <c r="A734" s="4">
        <v>733</v>
      </c>
      <c r="B734" s="5">
        <v>45167</v>
      </c>
      <c r="C734" s="4" t="s">
        <v>746</v>
      </c>
      <c r="D734" s="4" t="s">
        <v>10</v>
      </c>
      <c r="E734" s="4">
        <v>34</v>
      </c>
      <c r="F734" s="4" t="str">
        <f>IF(Table156[[#This Row],[Age]]&lt;=19,"Teenager",IF(Table156[[#This Row],[Age]]&lt;=40,"Median","Old"))</f>
        <v>Median</v>
      </c>
      <c r="G734" s="4" t="s">
        <v>11</v>
      </c>
      <c r="H734" s="4">
        <v>1</v>
      </c>
      <c r="I734" s="4">
        <v>30</v>
      </c>
      <c r="J734" s="4">
        <v>30</v>
      </c>
      <c r="K734" s="4" t="str" cm="1">
        <f t="array" ref="K734">_xlfn.IFS(AND(Table156[[#This Row],[Total Amount]]&gt;=1500),"Critical",AND(Table156[[#This Row],[Total Amount]]&gt;=1000),"High",TRUE,"Normal")</f>
        <v>Normal</v>
      </c>
      <c r="L734" s="4" t="str">
        <f>IF(Table156[[#This Row],[Total Amount]]&gt;=1000,"High",(IF(Table156[[#This Row],[Total Amount]]&gt;=500,"Medium","Low")))</f>
        <v>Low</v>
      </c>
      <c r="M734" s="4" t="str" cm="1">
        <f t="array" ref="M73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34" s="4" cm="1">
        <f t="array" ref="N73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4.5</v>
      </c>
      <c r="O734" s="4">
        <f>Table156[[#This Row],[Total Amount]]-Table156[[#This Row],[Discount Amount]]</f>
        <v>25.5</v>
      </c>
      <c r="P734" s="4" t="str">
        <f>IF(Table156[[#This Row],[Total Amount]]&gt;=1000,"High","Low")</f>
        <v>Low</v>
      </c>
      <c r="Q734" s="4" t="str" cm="1">
        <f t="array" ref="Q734">_xlfn.IFS(AND(Table156[[#This Row],[Total Amount]]&gt;=1500,"Critical"),AND(Table156[[#This Row],[Total Amount]]&gt;=1000,"High"),TRUE,"Normal")</f>
        <v>Normal</v>
      </c>
      <c r="R734" s="4">
        <f>COUNTIF(Table156[Gender],"Male")</f>
        <v>490</v>
      </c>
    </row>
    <row r="735" spans="1:18" x14ac:dyDescent="0.35">
      <c r="A735" s="4">
        <v>734</v>
      </c>
      <c r="B735" s="5">
        <v>44936</v>
      </c>
      <c r="C735" s="4" t="s">
        <v>747</v>
      </c>
      <c r="D735" s="4" t="s">
        <v>13</v>
      </c>
      <c r="E735" s="4">
        <v>27</v>
      </c>
      <c r="F735" s="4" t="str">
        <f>IF(Table156[[#This Row],[Age]]&lt;=19,"Teenager",IF(Table156[[#This Row],[Age]]&lt;=40,"Median","Old"))</f>
        <v>Median</v>
      </c>
      <c r="G735" s="4" t="s">
        <v>14</v>
      </c>
      <c r="H735" s="4">
        <v>1</v>
      </c>
      <c r="I735" s="4">
        <v>30</v>
      </c>
      <c r="J735" s="4">
        <v>30</v>
      </c>
      <c r="K735" s="4" t="str" cm="1">
        <f t="array" ref="K735">_xlfn.IFS(AND(Table156[[#This Row],[Total Amount]]&gt;=1500),"Critical",AND(Table156[[#This Row],[Total Amount]]&gt;=1000),"High",TRUE,"Normal")</f>
        <v>Normal</v>
      </c>
      <c r="L735" s="4" t="str">
        <f>IF(Table156[[#This Row],[Total Amount]]&gt;=1000,"High",(IF(Table156[[#This Row],[Total Amount]]&gt;=500,"Medium","Low")))</f>
        <v>Low</v>
      </c>
      <c r="M735" s="4" t="str" cm="1">
        <f t="array" ref="M73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35" s="4" cm="1">
        <f t="array" ref="N73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4.5</v>
      </c>
      <c r="O735" s="4">
        <f>Table156[[#This Row],[Total Amount]]-Table156[[#This Row],[Discount Amount]]</f>
        <v>25.5</v>
      </c>
      <c r="P735" s="4" t="str">
        <f>IF(Table156[[#This Row],[Total Amount]]&gt;=1000,"High","Low")</f>
        <v>Low</v>
      </c>
      <c r="Q735" s="4" t="str" cm="1">
        <f t="array" ref="Q735">_xlfn.IFS(AND(Table156[[#This Row],[Total Amount]]&gt;=1500,"Critical"),AND(Table156[[#This Row],[Total Amount]]&gt;=1000,"High"),TRUE,"Normal")</f>
        <v>Normal</v>
      </c>
      <c r="R735" s="4">
        <f>COUNTIF(Table156[Gender],"Male")</f>
        <v>490</v>
      </c>
    </row>
    <row r="736" spans="1:18" x14ac:dyDescent="0.35">
      <c r="A736" s="4">
        <v>735</v>
      </c>
      <c r="B736" s="5">
        <v>45203</v>
      </c>
      <c r="C736" s="4" t="s">
        <v>748</v>
      </c>
      <c r="D736" s="4" t="s">
        <v>13</v>
      </c>
      <c r="E736" s="4">
        <v>64</v>
      </c>
      <c r="F736" s="4" t="str">
        <f>IF(Table156[[#This Row],[Age]]&lt;=19,"Teenager",IF(Table156[[#This Row],[Age]]&lt;=40,"Median","Old"))</f>
        <v>Old</v>
      </c>
      <c r="G736" s="4" t="s">
        <v>14</v>
      </c>
      <c r="H736" s="4">
        <v>4</v>
      </c>
      <c r="I736" s="4">
        <v>500</v>
      </c>
      <c r="J736" s="4">
        <v>2000</v>
      </c>
      <c r="K736" s="4" t="str" cm="1">
        <f t="array" ref="K736">_xlfn.IFS(AND(Table156[[#This Row],[Total Amount]]&gt;=1500),"Critical",AND(Table156[[#This Row],[Total Amount]]&gt;=1000),"High",TRUE,"Normal")</f>
        <v>Critical</v>
      </c>
      <c r="L736" s="4" t="str">
        <f>IF(Table156[[#This Row],[Total Amount]]&gt;=1000,"High",(IF(Table156[[#This Row],[Total Amount]]&gt;=500,"Medium","Low")))</f>
        <v>High</v>
      </c>
      <c r="M736" s="4" t="str" cm="1">
        <f t="array" ref="M73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36" s="4" cm="1">
        <f t="array" ref="N73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400</v>
      </c>
      <c r="O736" s="4">
        <f>Table156[[#This Row],[Total Amount]]-Table156[[#This Row],[Discount Amount]]</f>
        <v>1600</v>
      </c>
      <c r="P736" s="4" t="str">
        <f>IF(Table156[[#This Row],[Total Amount]]&gt;=1000,"High","Low")</f>
        <v>High</v>
      </c>
      <c r="Q736" s="4" t="b" cm="1">
        <f t="array" ref="Q736">_xlfn.IFS(AND(Table156[[#This Row],[Total Amount]]&gt;=1500,"Critical"),AND(Table156[[#This Row],[Total Amount]]&gt;=1000,"High"),TRUE,"Normal")</f>
        <v>1</v>
      </c>
      <c r="R736" s="4">
        <f>COUNTIF(Table156[Gender],"Male")</f>
        <v>490</v>
      </c>
    </row>
    <row r="737" spans="1:18" x14ac:dyDescent="0.35">
      <c r="A737" s="4">
        <v>736</v>
      </c>
      <c r="B737" s="5">
        <v>44953</v>
      </c>
      <c r="C737" s="4" t="s">
        <v>749</v>
      </c>
      <c r="D737" s="4" t="s">
        <v>10</v>
      </c>
      <c r="E737" s="4">
        <v>29</v>
      </c>
      <c r="F737" s="4" t="str">
        <f>IF(Table156[[#This Row],[Age]]&lt;=19,"Teenager",IF(Table156[[#This Row],[Age]]&lt;=40,"Median","Old"))</f>
        <v>Median</v>
      </c>
      <c r="G737" s="4" t="s">
        <v>14</v>
      </c>
      <c r="H737" s="4">
        <v>4</v>
      </c>
      <c r="I737" s="4">
        <v>25</v>
      </c>
      <c r="J737" s="4">
        <v>100</v>
      </c>
      <c r="K737" s="4" t="str" cm="1">
        <f t="array" ref="K737">_xlfn.IFS(AND(Table156[[#This Row],[Total Amount]]&gt;=1500),"Critical",AND(Table156[[#This Row],[Total Amount]]&gt;=1000),"High",TRUE,"Normal")</f>
        <v>Normal</v>
      </c>
      <c r="L737" s="4" t="str">
        <f>IF(Table156[[#This Row],[Total Amount]]&gt;=1000,"High",(IF(Table156[[#This Row],[Total Amount]]&gt;=500,"Medium","Low")))</f>
        <v>Low</v>
      </c>
      <c r="M737" s="4" t="str" cm="1">
        <f t="array" ref="M73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37" s="4" cm="1">
        <f t="array" ref="N73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737" s="4">
        <f>Table156[[#This Row],[Total Amount]]-Table156[[#This Row],[Discount Amount]]</f>
        <v>85</v>
      </c>
      <c r="P737" s="4" t="str">
        <f>IF(Table156[[#This Row],[Total Amount]]&gt;=1000,"High","Low")</f>
        <v>Low</v>
      </c>
      <c r="Q737" s="4" t="str" cm="1">
        <f t="array" ref="Q737">_xlfn.IFS(AND(Table156[[#This Row],[Total Amount]]&gt;=1500,"Critical"),AND(Table156[[#This Row],[Total Amount]]&gt;=1000,"High"),TRUE,"Normal")</f>
        <v>Normal</v>
      </c>
      <c r="R737" s="4">
        <f>COUNTIF(Table156[Gender],"Male")</f>
        <v>490</v>
      </c>
    </row>
    <row r="738" spans="1:18" x14ac:dyDescent="0.35">
      <c r="A738" s="4">
        <v>737</v>
      </c>
      <c r="B738" s="5">
        <v>45106</v>
      </c>
      <c r="C738" s="4" t="s">
        <v>750</v>
      </c>
      <c r="D738" s="4" t="s">
        <v>13</v>
      </c>
      <c r="E738" s="4">
        <v>33</v>
      </c>
      <c r="F738" s="4" t="str">
        <f>IF(Table156[[#This Row],[Age]]&lt;=19,"Teenager",IF(Table156[[#This Row],[Age]]&lt;=40,"Median","Old"))</f>
        <v>Median</v>
      </c>
      <c r="G738" s="4" t="s">
        <v>14</v>
      </c>
      <c r="H738" s="4">
        <v>1</v>
      </c>
      <c r="I738" s="4">
        <v>50</v>
      </c>
      <c r="J738" s="4">
        <v>50</v>
      </c>
      <c r="K738" s="4" t="str" cm="1">
        <f t="array" ref="K738">_xlfn.IFS(AND(Table156[[#This Row],[Total Amount]]&gt;=1500),"Critical",AND(Table156[[#This Row],[Total Amount]]&gt;=1000),"High",TRUE,"Normal")</f>
        <v>Normal</v>
      </c>
      <c r="L738" s="4" t="str">
        <f>IF(Table156[[#This Row],[Total Amount]]&gt;=1000,"High",(IF(Table156[[#This Row],[Total Amount]]&gt;=500,"Medium","Low")))</f>
        <v>Low</v>
      </c>
      <c r="M738" s="4" t="str" cm="1">
        <f t="array" ref="M73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38" s="4" cm="1">
        <f t="array" ref="N73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738" s="4">
        <f>Table156[[#This Row],[Total Amount]]-Table156[[#This Row],[Discount Amount]]</f>
        <v>42.5</v>
      </c>
      <c r="P738" s="4" t="str">
        <f>IF(Table156[[#This Row],[Total Amount]]&gt;=1000,"High","Low")</f>
        <v>Low</v>
      </c>
      <c r="Q738" s="4" t="str" cm="1">
        <f t="array" ref="Q738">_xlfn.IFS(AND(Table156[[#This Row],[Total Amount]]&gt;=1500,"Critical"),AND(Table156[[#This Row],[Total Amount]]&gt;=1000,"High"),TRUE,"Normal")</f>
        <v>Normal</v>
      </c>
      <c r="R738" s="4">
        <f>COUNTIF(Table156[Gender],"Male")</f>
        <v>490</v>
      </c>
    </row>
    <row r="739" spans="1:18" x14ac:dyDescent="0.35">
      <c r="A739" s="4">
        <v>738</v>
      </c>
      <c r="B739" s="5">
        <v>45041</v>
      </c>
      <c r="C739" s="4" t="s">
        <v>751</v>
      </c>
      <c r="D739" s="4" t="s">
        <v>10</v>
      </c>
      <c r="E739" s="4">
        <v>41</v>
      </c>
      <c r="F739" s="4" t="str">
        <f>IF(Table156[[#This Row],[Age]]&lt;=19,"Teenager",IF(Table156[[#This Row],[Age]]&lt;=40,"Median","Old"))</f>
        <v>Old</v>
      </c>
      <c r="G739" s="4" t="s">
        <v>14</v>
      </c>
      <c r="H739" s="4">
        <v>2</v>
      </c>
      <c r="I739" s="4">
        <v>50</v>
      </c>
      <c r="J739" s="4">
        <v>100</v>
      </c>
      <c r="K739" s="4" t="str" cm="1">
        <f t="array" ref="K739">_xlfn.IFS(AND(Table156[[#This Row],[Total Amount]]&gt;=1500),"Critical",AND(Table156[[#This Row],[Total Amount]]&gt;=1000),"High",TRUE,"Normal")</f>
        <v>Normal</v>
      </c>
      <c r="L739" s="4" t="str">
        <f>IF(Table156[[#This Row],[Total Amount]]&gt;=1000,"High",(IF(Table156[[#This Row],[Total Amount]]&gt;=500,"Medium","Low")))</f>
        <v>Low</v>
      </c>
      <c r="M739" s="4" t="str" cm="1">
        <f t="array" ref="M73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39" s="4" cm="1">
        <f t="array" ref="N73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739" s="4">
        <f>Table156[[#This Row],[Total Amount]]-Table156[[#This Row],[Discount Amount]]</f>
        <v>90</v>
      </c>
      <c r="P739" s="4" t="str">
        <f>IF(Table156[[#This Row],[Total Amount]]&gt;=1000,"High","Low")</f>
        <v>Low</v>
      </c>
      <c r="Q739" s="4" t="str" cm="1">
        <f t="array" ref="Q739">_xlfn.IFS(AND(Table156[[#This Row],[Total Amount]]&gt;=1500,"Critical"),AND(Table156[[#This Row],[Total Amount]]&gt;=1000,"High"),TRUE,"Normal")</f>
        <v>Normal</v>
      </c>
      <c r="R739" s="4">
        <f>COUNTIF(Table156[Gender],"Male")</f>
        <v>490</v>
      </c>
    </row>
    <row r="740" spans="1:18" x14ac:dyDescent="0.35">
      <c r="A740" s="4">
        <v>739</v>
      </c>
      <c r="B740" s="5">
        <v>45259</v>
      </c>
      <c r="C740" s="4" t="s">
        <v>752</v>
      </c>
      <c r="D740" s="4" t="s">
        <v>10</v>
      </c>
      <c r="E740" s="4">
        <v>36</v>
      </c>
      <c r="F740" s="4" t="str">
        <f>IF(Table156[[#This Row],[Age]]&lt;=19,"Teenager",IF(Table156[[#This Row],[Age]]&lt;=40,"Median","Old"))</f>
        <v>Median</v>
      </c>
      <c r="G740" s="4" t="s">
        <v>11</v>
      </c>
      <c r="H740" s="4">
        <v>1</v>
      </c>
      <c r="I740" s="4">
        <v>25</v>
      </c>
      <c r="J740" s="4">
        <v>25</v>
      </c>
      <c r="K740" s="4" t="str" cm="1">
        <f t="array" ref="K740">_xlfn.IFS(AND(Table156[[#This Row],[Total Amount]]&gt;=1500),"Critical",AND(Table156[[#This Row],[Total Amount]]&gt;=1000),"High",TRUE,"Normal")</f>
        <v>Normal</v>
      </c>
      <c r="L740" s="4" t="str">
        <f>IF(Table156[[#This Row],[Total Amount]]&gt;=1000,"High",(IF(Table156[[#This Row],[Total Amount]]&gt;=500,"Medium","Low")))</f>
        <v>Low</v>
      </c>
      <c r="M740" s="4" t="str" cm="1">
        <f t="array" ref="M74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40" s="4" cm="1">
        <f t="array" ref="N74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740" s="4">
        <f>Table156[[#This Row],[Total Amount]]-Table156[[#This Row],[Discount Amount]]</f>
        <v>22.5</v>
      </c>
      <c r="P740" s="4" t="str">
        <f>IF(Table156[[#This Row],[Total Amount]]&gt;=1000,"High","Low")</f>
        <v>Low</v>
      </c>
      <c r="Q740" s="4" t="str" cm="1">
        <f t="array" ref="Q740">_xlfn.IFS(AND(Table156[[#This Row],[Total Amount]]&gt;=1500,"Critical"),AND(Table156[[#This Row],[Total Amount]]&gt;=1000,"High"),TRUE,"Normal")</f>
        <v>Normal</v>
      </c>
      <c r="R740" s="4">
        <f>COUNTIF(Table156[Gender],"Male")</f>
        <v>490</v>
      </c>
    </row>
    <row r="741" spans="1:18" x14ac:dyDescent="0.35">
      <c r="A741" s="4">
        <v>740</v>
      </c>
      <c r="B741" s="5">
        <v>44962</v>
      </c>
      <c r="C741" s="4" t="s">
        <v>753</v>
      </c>
      <c r="D741" s="4" t="s">
        <v>13</v>
      </c>
      <c r="E741" s="4">
        <v>25</v>
      </c>
      <c r="F741" s="4" t="str">
        <f>IF(Table156[[#This Row],[Age]]&lt;=19,"Teenager",IF(Table156[[#This Row],[Age]]&lt;=40,"Median","Old"))</f>
        <v>Median</v>
      </c>
      <c r="G741" s="4" t="s">
        <v>11</v>
      </c>
      <c r="H741" s="4">
        <v>4</v>
      </c>
      <c r="I741" s="4">
        <v>50</v>
      </c>
      <c r="J741" s="4">
        <v>200</v>
      </c>
      <c r="K741" s="4" t="str" cm="1">
        <f t="array" ref="K741">_xlfn.IFS(AND(Table156[[#This Row],[Total Amount]]&gt;=1500),"Critical",AND(Table156[[#This Row],[Total Amount]]&gt;=1000),"High",TRUE,"Normal")</f>
        <v>Normal</v>
      </c>
      <c r="L741" s="4" t="str">
        <f>IF(Table156[[#This Row],[Total Amount]]&gt;=1000,"High",(IF(Table156[[#This Row],[Total Amount]]&gt;=500,"Medium","Low")))</f>
        <v>Low</v>
      </c>
      <c r="M741" s="4" t="str" cm="1">
        <f t="array" ref="M74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41" s="4" cm="1">
        <f t="array" ref="N74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741" s="4">
        <f>Table156[[#This Row],[Total Amount]]-Table156[[#This Row],[Discount Amount]]</f>
        <v>170</v>
      </c>
      <c r="P741" s="4" t="str">
        <f>IF(Table156[[#This Row],[Total Amount]]&gt;=1000,"High","Low")</f>
        <v>Low</v>
      </c>
      <c r="Q741" s="4" t="str" cm="1">
        <f t="array" ref="Q741">_xlfn.IFS(AND(Table156[[#This Row],[Total Amount]]&gt;=1500,"Critical"),AND(Table156[[#This Row],[Total Amount]]&gt;=1000,"High"),TRUE,"Normal")</f>
        <v>Normal</v>
      </c>
      <c r="R741" s="4">
        <f>COUNTIF(Table156[Gender],"Male")</f>
        <v>490</v>
      </c>
    </row>
    <row r="742" spans="1:18" x14ac:dyDescent="0.35">
      <c r="A742" s="4">
        <v>741</v>
      </c>
      <c r="B742" s="5">
        <v>45260</v>
      </c>
      <c r="C742" s="4" t="s">
        <v>754</v>
      </c>
      <c r="D742" s="4" t="s">
        <v>10</v>
      </c>
      <c r="E742" s="4">
        <v>48</v>
      </c>
      <c r="F742" s="4" t="str">
        <f>IF(Table156[[#This Row],[Age]]&lt;=19,"Teenager",IF(Table156[[#This Row],[Age]]&lt;=40,"Median","Old"))</f>
        <v>Old</v>
      </c>
      <c r="G742" s="4" t="s">
        <v>14</v>
      </c>
      <c r="H742" s="4">
        <v>1</v>
      </c>
      <c r="I742" s="4">
        <v>300</v>
      </c>
      <c r="J742" s="4">
        <v>300</v>
      </c>
      <c r="K742" s="4" t="str" cm="1">
        <f t="array" ref="K742">_xlfn.IFS(AND(Table156[[#This Row],[Total Amount]]&gt;=1500),"Critical",AND(Table156[[#This Row],[Total Amount]]&gt;=1000),"High",TRUE,"Normal")</f>
        <v>Normal</v>
      </c>
      <c r="L742" s="4" t="str">
        <f>IF(Table156[[#This Row],[Total Amount]]&gt;=1000,"High",(IF(Table156[[#This Row],[Total Amount]]&gt;=500,"Medium","Low")))</f>
        <v>Low</v>
      </c>
      <c r="M742" s="4" t="str" cm="1">
        <f t="array" ref="M74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42" s="4" cm="1">
        <f t="array" ref="N74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742" s="4">
        <f>Table156[[#This Row],[Total Amount]]-Table156[[#This Row],[Discount Amount]]</f>
        <v>270</v>
      </c>
      <c r="P742" s="4" t="str">
        <f>IF(Table156[[#This Row],[Total Amount]]&gt;=1000,"High","Low")</f>
        <v>Low</v>
      </c>
      <c r="Q742" s="4" t="str" cm="1">
        <f t="array" ref="Q742">_xlfn.IFS(AND(Table156[[#This Row],[Total Amount]]&gt;=1500,"Critical"),AND(Table156[[#This Row],[Total Amount]]&gt;=1000,"High"),TRUE,"Normal")</f>
        <v>Normal</v>
      </c>
      <c r="R742" s="4">
        <f>COUNTIF(Table156[Gender],"Male")</f>
        <v>490</v>
      </c>
    </row>
    <row r="743" spans="1:18" x14ac:dyDescent="0.35">
      <c r="A743" s="4">
        <v>742</v>
      </c>
      <c r="B743" s="5">
        <v>44947</v>
      </c>
      <c r="C743" s="4" t="s">
        <v>755</v>
      </c>
      <c r="D743" s="4" t="s">
        <v>13</v>
      </c>
      <c r="E743" s="4">
        <v>38</v>
      </c>
      <c r="F743" s="4" t="str">
        <f>IF(Table156[[#This Row],[Age]]&lt;=19,"Teenager",IF(Table156[[#This Row],[Age]]&lt;=40,"Median","Old"))</f>
        <v>Median</v>
      </c>
      <c r="G743" s="4" t="s">
        <v>16</v>
      </c>
      <c r="H743" s="4">
        <v>4</v>
      </c>
      <c r="I743" s="4">
        <v>500</v>
      </c>
      <c r="J743" s="4">
        <v>2000</v>
      </c>
      <c r="K743" s="4" t="str" cm="1">
        <f t="array" ref="K743">_xlfn.IFS(AND(Table156[[#This Row],[Total Amount]]&gt;=1500),"Critical",AND(Table156[[#This Row],[Total Amount]]&gt;=1000),"High",TRUE,"Normal")</f>
        <v>Critical</v>
      </c>
      <c r="L743" s="4" t="str">
        <f>IF(Table156[[#This Row],[Total Amount]]&gt;=1000,"High",(IF(Table156[[#This Row],[Total Amount]]&gt;=500,"Medium","Low")))</f>
        <v>High</v>
      </c>
      <c r="M743" s="4" t="str" cm="1">
        <f t="array" ref="M74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43" s="4" cm="1">
        <f t="array" ref="N74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400</v>
      </c>
      <c r="O743" s="4">
        <f>Table156[[#This Row],[Total Amount]]-Table156[[#This Row],[Discount Amount]]</f>
        <v>1600</v>
      </c>
      <c r="P743" s="4" t="str">
        <f>IF(Table156[[#This Row],[Total Amount]]&gt;=1000,"High","Low")</f>
        <v>High</v>
      </c>
      <c r="Q743" s="4" t="b" cm="1">
        <f t="array" ref="Q743">_xlfn.IFS(AND(Table156[[#This Row],[Total Amount]]&gt;=1500,"Critical"),AND(Table156[[#This Row],[Total Amount]]&gt;=1000,"High"),TRUE,"Normal")</f>
        <v>1</v>
      </c>
      <c r="R743" s="4">
        <f>COUNTIF(Table156[Gender],"Male")</f>
        <v>490</v>
      </c>
    </row>
    <row r="744" spans="1:18" x14ac:dyDescent="0.35">
      <c r="A744" s="4">
        <v>743</v>
      </c>
      <c r="B744" s="5">
        <v>44942</v>
      </c>
      <c r="C744" s="4" t="s">
        <v>756</v>
      </c>
      <c r="D744" s="4" t="s">
        <v>13</v>
      </c>
      <c r="E744" s="4">
        <v>34</v>
      </c>
      <c r="F744" s="4" t="str">
        <f>IF(Table156[[#This Row],[Age]]&lt;=19,"Teenager",IF(Table156[[#This Row],[Age]]&lt;=40,"Median","Old"))</f>
        <v>Median</v>
      </c>
      <c r="G744" s="4" t="s">
        <v>11</v>
      </c>
      <c r="H744" s="4">
        <v>4</v>
      </c>
      <c r="I744" s="4">
        <v>500</v>
      </c>
      <c r="J744" s="4">
        <v>2000</v>
      </c>
      <c r="K744" s="4" t="str" cm="1">
        <f t="array" ref="K744">_xlfn.IFS(AND(Table156[[#This Row],[Total Amount]]&gt;=1500),"Critical",AND(Table156[[#This Row],[Total Amount]]&gt;=1000),"High",TRUE,"Normal")</f>
        <v>Critical</v>
      </c>
      <c r="L744" s="4" t="str">
        <f>IF(Table156[[#This Row],[Total Amount]]&gt;=1000,"High",(IF(Table156[[#This Row],[Total Amount]]&gt;=500,"Medium","Low")))</f>
        <v>High</v>
      </c>
      <c r="M744" s="4" t="str" cm="1">
        <f t="array" ref="M74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44" s="4" cm="1">
        <f t="array" ref="N74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744" s="4">
        <f>Table156[[#This Row],[Total Amount]]-Table156[[#This Row],[Discount Amount]]</f>
        <v>1700</v>
      </c>
      <c r="P744" s="4" t="str">
        <f>IF(Table156[[#This Row],[Total Amount]]&gt;=1000,"High","Low")</f>
        <v>High</v>
      </c>
      <c r="Q744" s="4" t="b" cm="1">
        <f t="array" ref="Q744">_xlfn.IFS(AND(Table156[[#This Row],[Total Amount]]&gt;=1500,"Critical"),AND(Table156[[#This Row],[Total Amount]]&gt;=1000,"High"),TRUE,"Normal")</f>
        <v>1</v>
      </c>
      <c r="R744" s="4">
        <f>COUNTIF(Table156[Gender],"Male")</f>
        <v>490</v>
      </c>
    </row>
    <row r="745" spans="1:18" x14ac:dyDescent="0.35">
      <c r="A745" s="4">
        <v>744</v>
      </c>
      <c r="B745" s="5">
        <v>45053</v>
      </c>
      <c r="C745" s="4" t="s">
        <v>757</v>
      </c>
      <c r="D745" s="4" t="s">
        <v>10</v>
      </c>
      <c r="E745" s="4">
        <v>40</v>
      </c>
      <c r="F745" s="4" t="str">
        <f>IF(Table156[[#This Row],[Age]]&lt;=19,"Teenager",IF(Table156[[#This Row],[Age]]&lt;=40,"Median","Old"))</f>
        <v>Median</v>
      </c>
      <c r="G745" s="4" t="s">
        <v>16</v>
      </c>
      <c r="H745" s="4">
        <v>1</v>
      </c>
      <c r="I745" s="4">
        <v>25</v>
      </c>
      <c r="J745" s="4">
        <v>25</v>
      </c>
      <c r="K745" s="4" t="str" cm="1">
        <f t="array" ref="K745">_xlfn.IFS(AND(Table156[[#This Row],[Total Amount]]&gt;=1500),"Critical",AND(Table156[[#This Row],[Total Amount]]&gt;=1000),"High",TRUE,"Normal")</f>
        <v>Normal</v>
      </c>
      <c r="L745" s="4" t="str">
        <f>IF(Table156[[#This Row],[Total Amount]]&gt;=1000,"High",(IF(Table156[[#This Row],[Total Amount]]&gt;=500,"Medium","Low")))</f>
        <v>Low</v>
      </c>
      <c r="M745" s="4" t="str" cm="1">
        <f t="array" ref="M74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45" s="4" cm="1">
        <f t="array" ref="N74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745" s="4">
        <f>Table156[[#This Row],[Total Amount]]-Table156[[#This Row],[Discount Amount]]</f>
        <v>22.5</v>
      </c>
      <c r="P745" s="4" t="str">
        <f>IF(Table156[[#This Row],[Total Amount]]&gt;=1000,"High","Low")</f>
        <v>Low</v>
      </c>
      <c r="Q745" s="4" t="str" cm="1">
        <f t="array" ref="Q745">_xlfn.IFS(AND(Table156[[#This Row],[Total Amount]]&gt;=1500,"Critical"),AND(Table156[[#This Row],[Total Amount]]&gt;=1000,"High"),TRUE,"Normal")</f>
        <v>Normal</v>
      </c>
      <c r="R745" s="4">
        <f>COUNTIF(Table156[Gender],"Male")</f>
        <v>490</v>
      </c>
    </row>
    <row r="746" spans="1:18" x14ac:dyDescent="0.35">
      <c r="A746" s="4">
        <v>745</v>
      </c>
      <c r="B746" s="5">
        <v>45029</v>
      </c>
      <c r="C746" s="4" t="s">
        <v>758</v>
      </c>
      <c r="D746" s="4" t="s">
        <v>10</v>
      </c>
      <c r="E746" s="4">
        <v>54</v>
      </c>
      <c r="F746" s="4" t="str">
        <f>IF(Table156[[#This Row],[Age]]&lt;=19,"Teenager",IF(Table156[[#This Row],[Age]]&lt;=40,"Median","Old"))</f>
        <v>Old</v>
      </c>
      <c r="G746" s="4" t="s">
        <v>11</v>
      </c>
      <c r="H746" s="4">
        <v>2</v>
      </c>
      <c r="I746" s="4">
        <v>50</v>
      </c>
      <c r="J746" s="4">
        <v>100</v>
      </c>
      <c r="K746" s="4" t="str" cm="1">
        <f t="array" ref="K746">_xlfn.IFS(AND(Table156[[#This Row],[Total Amount]]&gt;=1500),"Critical",AND(Table156[[#This Row],[Total Amount]]&gt;=1000),"High",TRUE,"Normal")</f>
        <v>Normal</v>
      </c>
      <c r="L746" s="4" t="str">
        <f>IF(Table156[[#This Row],[Total Amount]]&gt;=1000,"High",(IF(Table156[[#This Row],[Total Amount]]&gt;=500,"Medium","Low")))</f>
        <v>Low</v>
      </c>
      <c r="M746" s="4" t="str" cm="1">
        <f t="array" ref="M74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46" s="4" cm="1">
        <f t="array" ref="N74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746" s="4">
        <f>Table156[[#This Row],[Total Amount]]-Table156[[#This Row],[Discount Amount]]</f>
        <v>90</v>
      </c>
      <c r="P746" s="4" t="str">
        <f>IF(Table156[[#This Row],[Total Amount]]&gt;=1000,"High","Low")</f>
        <v>Low</v>
      </c>
      <c r="Q746" s="4" t="str" cm="1">
        <f t="array" ref="Q746">_xlfn.IFS(AND(Table156[[#This Row],[Total Amount]]&gt;=1500,"Critical"),AND(Table156[[#This Row],[Total Amount]]&gt;=1000,"High"),TRUE,"Normal")</f>
        <v>Normal</v>
      </c>
      <c r="R746" s="4">
        <f>COUNTIF(Table156[Gender],"Male")</f>
        <v>490</v>
      </c>
    </row>
    <row r="747" spans="1:18" x14ac:dyDescent="0.35">
      <c r="A747" s="4">
        <v>746</v>
      </c>
      <c r="B747" s="5">
        <v>44937</v>
      </c>
      <c r="C747" s="4" t="s">
        <v>759</v>
      </c>
      <c r="D747" s="4" t="s">
        <v>13</v>
      </c>
      <c r="E747" s="4">
        <v>33</v>
      </c>
      <c r="F747" s="4" t="str">
        <f>IF(Table156[[#This Row],[Age]]&lt;=19,"Teenager",IF(Table156[[#This Row],[Age]]&lt;=40,"Median","Old"))</f>
        <v>Median</v>
      </c>
      <c r="G747" s="4" t="s">
        <v>14</v>
      </c>
      <c r="H747" s="4">
        <v>3</v>
      </c>
      <c r="I747" s="4">
        <v>30</v>
      </c>
      <c r="J747" s="4">
        <v>90</v>
      </c>
      <c r="K747" s="4" t="str" cm="1">
        <f t="array" ref="K747">_xlfn.IFS(AND(Table156[[#This Row],[Total Amount]]&gt;=1500),"Critical",AND(Table156[[#This Row],[Total Amount]]&gt;=1000),"High",TRUE,"Normal")</f>
        <v>Normal</v>
      </c>
      <c r="L747" s="4" t="str">
        <f>IF(Table156[[#This Row],[Total Amount]]&gt;=1000,"High",(IF(Table156[[#This Row],[Total Amount]]&gt;=500,"Medium","Low")))</f>
        <v>Low</v>
      </c>
      <c r="M747" s="4" t="str" cm="1">
        <f t="array" ref="M74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47" s="4" cm="1">
        <f t="array" ref="N74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13.5</v>
      </c>
      <c r="O747" s="4">
        <f>Table156[[#This Row],[Total Amount]]-Table156[[#This Row],[Discount Amount]]</f>
        <v>76.5</v>
      </c>
      <c r="P747" s="4" t="str">
        <f>IF(Table156[[#This Row],[Total Amount]]&gt;=1000,"High","Low")</f>
        <v>Low</v>
      </c>
      <c r="Q747" s="4" t="str" cm="1">
        <f t="array" ref="Q747">_xlfn.IFS(AND(Table156[[#This Row],[Total Amount]]&gt;=1500,"Critical"),AND(Table156[[#This Row],[Total Amount]]&gt;=1000,"High"),TRUE,"Normal")</f>
        <v>Normal</v>
      </c>
      <c r="R747" s="4">
        <f>COUNTIF(Table156[Gender],"Male")</f>
        <v>490</v>
      </c>
    </row>
    <row r="748" spans="1:18" x14ac:dyDescent="0.35">
      <c r="A748" s="4">
        <v>747</v>
      </c>
      <c r="B748" s="5">
        <v>45245</v>
      </c>
      <c r="C748" s="4" t="s">
        <v>760</v>
      </c>
      <c r="D748" s="4" t="s">
        <v>10</v>
      </c>
      <c r="E748" s="4">
        <v>23</v>
      </c>
      <c r="F748" s="4" t="str">
        <f>IF(Table156[[#This Row],[Age]]&lt;=19,"Teenager",IF(Table156[[#This Row],[Age]]&lt;=40,"Median","Old"))</f>
        <v>Median</v>
      </c>
      <c r="G748" s="4" t="s">
        <v>11</v>
      </c>
      <c r="H748" s="4">
        <v>1</v>
      </c>
      <c r="I748" s="4">
        <v>30</v>
      </c>
      <c r="J748" s="4">
        <v>30</v>
      </c>
      <c r="K748" s="4" t="str" cm="1">
        <f t="array" ref="K748">_xlfn.IFS(AND(Table156[[#This Row],[Total Amount]]&gt;=1500),"Critical",AND(Table156[[#This Row],[Total Amount]]&gt;=1000),"High",TRUE,"Normal")</f>
        <v>Normal</v>
      </c>
      <c r="L748" s="4" t="str">
        <f>IF(Table156[[#This Row],[Total Amount]]&gt;=1000,"High",(IF(Table156[[#This Row],[Total Amount]]&gt;=500,"Medium","Low")))</f>
        <v>Low</v>
      </c>
      <c r="M748" s="4" t="str" cm="1">
        <f t="array" ref="M74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748" s="4" cm="1">
        <f t="array" ref="N74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748" s="4">
        <f>Table156[[#This Row],[Total Amount]]-Table156[[#This Row],[Discount Amount]]</f>
        <v>30</v>
      </c>
      <c r="P748" s="4" t="str">
        <f>IF(Table156[[#This Row],[Total Amount]]&gt;=1000,"High","Low")</f>
        <v>Low</v>
      </c>
      <c r="Q748" s="4" t="str" cm="1">
        <f t="array" ref="Q748">_xlfn.IFS(AND(Table156[[#This Row],[Total Amount]]&gt;=1500,"Critical"),AND(Table156[[#This Row],[Total Amount]]&gt;=1000,"High"),TRUE,"Normal")</f>
        <v>Normal</v>
      </c>
      <c r="R748" s="4">
        <f>COUNTIF(Table156[Gender],"Male")</f>
        <v>490</v>
      </c>
    </row>
    <row r="749" spans="1:18" x14ac:dyDescent="0.35">
      <c r="A749" s="4">
        <v>748</v>
      </c>
      <c r="B749" s="5">
        <v>45005</v>
      </c>
      <c r="C749" s="4" t="s">
        <v>761</v>
      </c>
      <c r="D749" s="4" t="s">
        <v>10</v>
      </c>
      <c r="E749" s="4">
        <v>25</v>
      </c>
      <c r="F749" s="4" t="str">
        <f>IF(Table156[[#This Row],[Age]]&lt;=19,"Teenager",IF(Table156[[#This Row],[Age]]&lt;=40,"Median","Old"))</f>
        <v>Median</v>
      </c>
      <c r="G749" s="4" t="s">
        <v>14</v>
      </c>
      <c r="H749" s="4">
        <v>3</v>
      </c>
      <c r="I749" s="4">
        <v>50</v>
      </c>
      <c r="J749" s="4">
        <v>150</v>
      </c>
      <c r="K749" s="4" t="str" cm="1">
        <f t="array" ref="K749">_xlfn.IFS(AND(Table156[[#This Row],[Total Amount]]&gt;=1500),"Critical",AND(Table156[[#This Row],[Total Amount]]&gt;=1000),"High",TRUE,"Normal")</f>
        <v>Normal</v>
      </c>
      <c r="L749" s="4" t="str">
        <f>IF(Table156[[#This Row],[Total Amount]]&gt;=1000,"High",(IF(Table156[[#This Row],[Total Amount]]&gt;=500,"Medium","Low")))</f>
        <v>Low</v>
      </c>
      <c r="M749" s="4" t="str" cm="1">
        <f t="array" ref="M74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49" s="4" cm="1">
        <f t="array" ref="N74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22.5</v>
      </c>
      <c r="O749" s="4">
        <f>Table156[[#This Row],[Total Amount]]-Table156[[#This Row],[Discount Amount]]</f>
        <v>127.5</v>
      </c>
      <c r="P749" s="4" t="str">
        <f>IF(Table156[[#This Row],[Total Amount]]&gt;=1000,"High","Low")</f>
        <v>Low</v>
      </c>
      <c r="Q749" s="4" t="str" cm="1">
        <f t="array" ref="Q749">_xlfn.IFS(AND(Table156[[#This Row],[Total Amount]]&gt;=1500,"Critical"),AND(Table156[[#This Row],[Total Amount]]&gt;=1000,"High"),TRUE,"Normal")</f>
        <v>Normal</v>
      </c>
      <c r="R749" s="4">
        <f>COUNTIF(Table156[Gender],"Male")</f>
        <v>490</v>
      </c>
    </row>
    <row r="750" spans="1:18" x14ac:dyDescent="0.35">
      <c r="A750" s="4">
        <v>749</v>
      </c>
      <c r="B750" s="5">
        <v>45049</v>
      </c>
      <c r="C750" s="4" t="s">
        <v>762</v>
      </c>
      <c r="D750" s="4" t="s">
        <v>10</v>
      </c>
      <c r="E750" s="4">
        <v>42</v>
      </c>
      <c r="F750" s="4" t="str">
        <f>IF(Table156[[#This Row],[Age]]&lt;=19,"Teenager",IF(Table156[[#This Row],[Age]]&lt;=40,"Median","Old"))</f>
        <v>Old</v>
      </c>
      <c r="G750" s="4" t="s">
        <v>11</v>
      </c>
      <c r="H750" s="4">
        <v>1</v>
      </c>
      <c r="I750" s="4">
        <v>30</v>
      </c>
      <c r="J750" s="4">
        <v>30</v>
      </c>
      <c r="K750" s="4" t="str" cm="1">
        <f t="array" ref="K750">_xlfn.IFS(AND(Table156[[#This Row],[Total Amount]]&gt;=1500),"Critical",AND(Table156[[#This Row],[Total Amount]]&gt;=1000),"High",TRUE,"Normal")</f>
        <v>Normal</v>
      </c>
      <c r="L750" s="4" t="str">
        <f>IF(Table156[[#This Row],[Total Amount]]&gt;=1000,"High",(IF(Table156[[#This Row],[Total Amount]]&gt;=500,"Medium","Low")))</f>
        <v>Low</v>
      </c>
      <c r="M750" s="4" t="str" cm="1">
        <f t="array" ref="M75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50" s="4" cm="1">
        <f t="array" ref="N75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750" s="4">
        <f>Table156[[#This Row],[Total Amount]]-Table156[[#This Row],[Discount Amount]]</f>
        <v>27</v>
      </c>
      <c r="P750" s="4" t="str">
        <f>IF(Table156[[#This Row],[Total Amount]]&gt;=1000,"High","Low")</f>
        <v>Low</v>
      </c>
      <c r="Q750" s="4" t="str" cm="1">
        <f t="array" ref="Q750">_xlfn.IFS(AND(Table156[[#This Row],[Total Amount]]&gt;=1500,"Critical"),AND(Table156[[#This Row],[Total Amount]]&gt;=1000,"High"),TRUE,"Normal")</f>
        <v>Normal</v>
      </c>
      <c r="R750" s="4">
        <f>COUNTIF(Table156[Gender],"Male")</f>
        <v>490</v>
      </c>
    </row>
    <row r="751" spans="1:18" x14ac:dyDescent="0.35">
      <c r="A751" s="4">
        <v>750</v>
      </c>
      <c r="B751" s="5">
        <v>44991</v>
      </c>
      <c r="C751" s="4" t="s">
        <v>763</v>
      </c>
      <c r="D751" s="4" t="s">
        <v>13</v>
      </c>
      <c r="E751" s="4">
        <v>35</v>
      </c>
      <c r="F751" s="4" t="str">
        <f>IF(Table156[[#This Row],[Age]]&lt;=19,"Teenager",IF(Table156[[#This Row],[Age]]&lt;=40,"Median","Old"))</f>
        <v>Median</v>
      </c>
      <c r="G751" s="4" t="s">
        <v>14</v>
      </c>
      <c r="H751" s="4">
        <v>3</v>
      </c>
      <c r="I751" s="4">
        <v>25</v>
      </c>
      <c r="J751" s="4">
        <v>75</v>
      </c>
      <c r="K751" s="4" t="str" cm="1">
        <f t="array" ref="K751">_xlfn.IFS(AND(Table156[[#This Row],[Total Amount]]&gt;=1500),"Critical",AND(Table156[[#This Row],[Total Amount]]&gt;=1000),"High",TRUE,"Normal")</f>
        <v>Normal</v>
      </c>
      <c r="L751" s="4" t="str">
        <f>IF(Table156[[#This Row],[Total Amount]]&gt;=1000,"High",(IF(Table156[[#This Row],[Total Amount]]&gt;=500,"Medium","Low")))</f>
        <v>Low</v>
      </c>
      <c r="M751" s="4" t="str" cm="1">
        <f t="array" ref="M75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51" s="4" cm="1">
        <f t="array" ref="N75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751" s="4">
        <f>Table156[[#This Row],[Total Amount]]-Table156[[#This Row],[Discount Amount]]</f>
        <v>60</v>
      </c>
      <c r="P751" s="4" t="str">
        <f>IF(Table156[[#This Row],[Total Amount]]&gt;=1000,"High","Low")</f>
        <v>Low</v>
      </c>
      <c r="Q751" s="4" t="str" cm="1">
        <f t="array" ref="Q751">_xlfn.IFS(AND(Table156[[#This Row],[Total Amount]]&gt;=1500,"Critical"),AND(Table156[[#This Row],[Total Amount]]&gt;=1000,"High"),TRUE,"Normal")</f>
        <v>Normal</v>
      </c>
      <c r="R751" s="4">
        <f>COUNTIF(Table156[Gender],"Male")</f>
        <v>490</v>
      </c>
    </row>
    <row r="752" spans="1:18" x14ac:dyDescent="0.35">
      <c r="A752" s="4">
        <v>751</v>
      </c>
      <c r="B752" s="5">
        <v>45169</v>
      </c>
      <c r="C752" s="4" t="s">
        <v>764</v>
      </c>
      <c r="D752" s="4" t="s">
        <v>13</v>
      </c>
      <c r="E752" s="4">
        <v>42</v>
      </c>
      <c r="F752" s="4" t="str">
        <f>IF(Table156[[#This Row],[Age]]&lt;=19,"Teenager",IF(Table156[[#This Row],[Age]]&lt;=40,"Median","Old"))</f>
        <v>Old</v>
      </c>
      <c r="G752" s="4" t="s">
        <v>14</v>
      </c>
      <c r="H752" s="4">
        <v>2</v>
      </c>
      <c r="I752" s="4">
        <v>25</v>
      </c>
      <c r="J752" s="4">
        <v>50</v>
      </c>
      <c r="K752" s="4" t="str" cm="1">
        <f t="array" ref="K752">_xlfn.IFS(AND(Table156[[#This Row],[Total Amount]]&gt;=1500),"Critical",AND(Table156[[#This Row],[Total Amount]]&gt;=1000),"High",TRUE,"Normal")</f>
        <v>Normal</v>
      </c>
      <c r="L752" s="4" t="str">
        <f>IF(Table156[[#This Row],[Total Amount]]&gt;=1000,"High",(IF(Table156[[#This Row],[Total Amount]]&gt;=500,"Medium","Low")))</f>
        <v>Low</v>
      </c>
      <c r="M752" s="4" t="str" cm="1">
        <f t="array" ref="M75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52" s="4" cm="1">
        <f t="array" ref="N75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752" s="4">
        <f>Table156[[#This Row],[Total Amount]]-Table156[[#This Row],[Discount Amount]]</f>
        <v>40</v>
      </c>
      <c r="P752" s="4" t="str">
        <f>IF(Table156[[#This Row],[Total Amount]]&gt;=1000,"High","Low")</f>
        <v>Low</v>
      </c>
      <c r="Q752" s="4" t="str" cm="1">
        <f t="array" ref="Q752">_xlfn.IFS(AND(Table156[[#This Row],[Total Amount]]&gt;=1500,"Critical"),AND(Table156[[#This Row],[Total Amount]]&gt;=1000,"High"),TRUE,"Normal")</f>
        <v>Normal</v>
      </c>
      <c r="R752" s="4">
        <f>COUNTIF(Table156[Gender],"Male")</f>
        <v>490</v>
      </c>
    </row>
    <row r="753" spans="1:18" x14ac:dyDescent="0.35">
      <c r="A753" s="4">
        <v>752</v>
      </c>
      <c r="B753" s="5">
        <v>45269</v>
      </c>
      <c r="C753" s="4" t="s">
        <v>765</v>
      </c>
      <c r="D753" s="4" t="s">
        <v>10</v>
      </c>
      <c r="E753" s="4">
        <v>29</v>
      </c>
      <c r="F753" s="4" t="str">
        <f>IF(Table156[[#This Row],[Age]]&lt;=19,"Teenager",IF(Table156[[#This Row],[Age]]&lt;=40,"Median","Old"))</f>
        <v>Median</v>
      </c>
      <c r="G753" s="4" t="s">
        <v>14</v>
      </c>
      <c r="H753" s="4">
        <v>2</v>
      </c>
      <c r="I753" s="4">
        <v>50</v>
      </c>
      <c r="J753" s="4">
        <v>100</v>
      </c>
      <c r="K753" s="4" t="str" cm="1">
        <f t="array" ref="K753">_xlfn.IFS(AND(Table156[[#This Row],[Total Amount]]&gt;=1500),"Critical",AND(Table156[[#This Row],[Total Amount]]&gt;=1000),"High",TRUE,"Normal")</f>
        <v>Normal</v>
      </c>
      <c r="L753" s="4" t="str">
        <f>IF(Table156[[#This Row],[Total Amount]]&gt;=1000,"High",(IF(Table156[[#This Row],[Total Amount]]&gt;=500,"Medium","Low")))</f>
        <v>Low</v>
      </c>
      <c r="M753" s="4" t="str" cm="1">
        <f t="array" ref="M75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53" s="4" cm="1">
        <f t="array" ref="N75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753" s="4">
        <f>Table156[[#This Row],[Total Amount]]-Table156[[#This Row],[Discount Amount]]</f>
        <v>85</v>
      </c>
      <c r="P753" s="4" t="str">
        <f>IF(Table156[[#This Row],[Total Amount]]&gt;=1000,"High","Low")</f>
        <v>Low</v>
      </c>
      <c r="Q753" s="4" t="str" cm="1">
        <f t="array" ref="Q753">_xlfn.IFS(AND(Table156[[#This Row],[Total Amount]]&gt;=1500,"Critical"),AND(Table156[[#This Row],[Total Amount]]&gt;=1000,"High"),TRUE,"Normal")</f>
        <v>Normal</v>
      </c>
      <c r="R753" s="4">
        <f>COUNTIF(Table156[Gender],"Male")</f>
        <v>490</v>
      </c>
    </row>
    <row r="754" spans="1:18" x14ac:dyDescent="0.35">
      <c r="A754" s="4">
        <v>753</v>
      </c>
      <c r="B754" s="5">
        <v>44985</v>
      </c>
      <c r="C754" s="4" t="s">
        <v>766</v>
      </c>
      <c r="D754" s="4" t="s">
        <v>13</v>
      </c>
      <c r="E754" s="4">
        <v>32</v>
      </c>
      <c r="F754" s="4" t="str">
        <f>IF(Table156[[#This Row],[Age]]&lt;=19,"Teenager",IF(Table156[[#This Row],[Age]]&lt;=40,"Median","Old"))</f>
        <v>Median</v>
      </c>
      <c r="G754" s="4" t="s">
        <v>14</v>
      </c>
      <c r="H754" s="4">
        <v>1</v>
      </c>
      <c r="I754" s="4">
        <v>30</v>
      </c>
      <c r="J754" s="4">
        <v>30</v>
      </c>
      <c r="K754" s="4" t="str" cm="1">
        <f t="array" ref="K754">_xlfn.IFS(AND(Table156[[#This Row],[Total Amount]]&gt;=1500),"Critical",AND(Table156[[#This Row],[Total Amount]]&gt;=1000),"High",TRUE,"Normal")</f>
        <v>Normal</v>
      </c>
      <c r="L754" s="4" t="str">
        <f>IF(Table156[[#This Row],[Total Amount]]&gt;=1000,"High",(IF(Table156[[#This Row],[Total Amount]]&gt;=500,"Medium","Low")))</f>
        <v>Low</v>
      </c>
      <c r="M754" s="4" t="str" cm="1">
        <f t="array" ref="M75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54" s="4" cm="1">
        <f t="array" ref="N75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4.5</v>
      </c>
      <c r="O754" s="4">
        <f>Table156[[#This Row],[Total Amount]]-Table156[[#This Row],[Discount Amount]]</f>
        <v>25.5</v>
      </c>
      <c r="P754" s="4" t="str">
        <f>IF(Table156[[#This Row],[Total Amount]]&gt;=1000,"High","Low")</f>
        <v>Low</v>
      </c>
      <c r="Q754" s="4" t="str" cm="1">
        <f t="array" ref="Q754">_xlfn.IFS(AND(Table156[[#This Row],[Total Amount]]&gt;=1500,"Critical"),AND(Table156[[#This Row],[Total Amount]]&gt;=1000,"High"),TRUE,"Normal")</f>
        <v>Normal</v>
      </c>
      <c r="R754" s="4">
        <f>COUNTIF(Table156[Gender],"Male")</f>
        <v>490</v>
      </c>
    </row>
    <row r="755" spans="1:18" x14ac:dyDescent="0.35">
      <c r="A755" s="4">
        <v>754</v>
      </c>
      <c r="B755" s="5">
        <v>45215</v>
      </c>
      <c r="C755" s="4" t="s">
        <v>767</v>
      </c>
      <c r="D755" s="4" t="s">
        <v>13</v>
      </c>
      <c r="E755" s="4">
        <v>43</v>
      </c>
      <c r="F755" s="4" t="str">
        <f>IF(Table156[[#This Row],[Age]]&lt;=19,"Teenager",IF(Table156[[#This Row],[Age]]&lt;=40,"Median","Old"))</f>
        <v>Old</v>
      </c>
      <c r="G755" s="4" t="s">
        <v>16</v>
      </c>
      <c r="H755" s="4">
        <v>4</v>
      </c>
      <c r="I755" s="4">
        <v>25</v>
      </c>
      <c r="J755" s="4">
        <v>100</v>
      </c>
      <c r="K755" s="4" t="str" cm="1">
        <f t="array" ref="K755">_xlfn.IFS(AND(Table156[[#This Row],[Total Amount]]&gt;=1500),"Critical",AND(Table156[[#This Row],[Total Amount]]&gt;=1000),"High",TRUE,"Normal")</f>
        <v>Normal</v>
      </c>
      <c r="L755" s="4" t="str">
        <f>IF(Table156[[#This Row],[Total Amount]]&gt;=1000,"High",(IF(Table156[[#This Row],[Total Amount]]&gt;=500,"Medium","Low")))</f>
        <v>Low</v>
      </c>
      <c r="M755" s="4" t="str" cm="1">
        <f t="array" ref="M75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55" s="4" cm="1">
        <f t="array" ref="N75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755" s="4">
        <f>Table156[[#This Row],[Total Amount]]-Table156[[#This Row],[Discount Amount]]</f>
        <v>80</v>
      </c>
      <c r="P755" s="4" t="str">
        <f>IF(Table156[[#This Row],[Total Amount]]&gt;=1000,"High","Low")</f>
        <v>Low</v>
      </c>
      <c r="Q755" s="4" t="str" cm="1">
        <f t="array" ref="Q755">_xlfn.IFS(AND(Table156[[#This Row],[Total Amount]]&gt;=1500,"Critical"),AND(Table156[[#This Row],[Total Amount]]&gt;=1000,"High"),TRUE,"Normal")</f>
        <v>Normal</v>
      </c>
      <c r="R755" s="4">
        <f>COUNTIF(Table156[Gender],"Male")</f>
        <v>490</v>
      </c>
    </row>
    <row r="756" spans="1:18" x14ac:dyDescent="0.35">
      <c r="A756" s="4">
        <v>755</v>
      </c>
      <c r="B756" s="5">
        <v>45038</v>
      </c>
      <c r="C756" s="4" t="s">
        <v>768</v>
      </c>
      <c r="D756" s="4" t="s">
        <v>13</v>
      </c>
      <c r="E756" s="4">
        <v>58</v>
      </c>
      <c r="F756" s="4" t="str">
        <f>IF(Table156[[#This Row],[Age]]&lt;=19,"Teenager",IF(Table156[[#This Row],[Age]]&lt;=40,"Median","Old"))</f>
        <v>Old</v>
      </c>
      <c r="G756" s="4" t="s">
        <v>14</v>
      </c>
      <c r="H756" s="4">
        <v>3</v>
      </c>
      <c r="I756" s="4">
        <v>25</v>
      </c>
      <c r="J756" s="4">
        <v>75</v>
      </c>
      <c r="K756" s="4" t="str" cm="1">
        <f t="array" ref="K756">_xlfn.IFS(AND(Table156[[#This Row],[Total Amount]]&gt;=1500),"Critical",AND(Table156[[#This Row],[Total Amount]]&gt;=1000),"High",TRUE,"Normal")</f>
        <v>Normal</v>
      </c>
      <c r="L756" s="4" t="str">
        <f>IF(Table156[[#This Row],[Total Amount]]&gt;=1000,"High",(IF(Table156[[#This Row],[Total Amount]]&gt;=500,"Medium","Low")))</f>
        <v>Low</v>
      </c>
      <c r="M756" s="4" t="str" cm="1">
        <f t="array" ref="M75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56" s="4" cm="1">
        <f t="array" ref="N75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756" s="4">
        <f>Table156[[#This Row],[Total Amount]]-Table156[[#This Row],[Discount Amount]]</f>
        <v>60</v>
      </c>
      <c r="P756" s="4" t="str">
        <f>IF(Table156[[#This Row],[Total Amount]]&gt;=1000,"High","Low")</f>
        <v>Low</v>
      </c>
      <c r="Q756" s="4" t="str" cm="1">
        <f t="array" ref="Q756">_xlfn.IFS(AND(Table156[[#This Row],[Total Amount]]&gt;=1500,"Critical"),AND(Table156[[#This Row],[Total Amount]]&gt;=1000,"High"),TRUE,"Normal")</f>
        <v>Normal</v>
      </c>
      <c r="R756" s="4">
        <f>COUNTIF(Table156[Gender],"Male")</f>
        <v>490</v>
      </c>
    </row>
    <row r="757" spans="1:18" x14ac:dyDescent="0.35">
      <c r="A757" s="4">
        <v>756</v>
      </c>
      <c r="B757" s="5">
        <v>45165</v>
      </c>
      <c r="C757" s="4" t="s">
        <v>769</v>
      </c>
      <c r="D757" s="4" t="s">
        <v>13</v>
      </c>
      <c r="E757" s="4">
        <v>62</v>
      </c>
      <c r="F757" s="4" t="str">
        <f>IF(Table156[[#This Row],[Age]]&lt;=19,"Teenager",IF(Table156[[#This Row],[Age]]&lt;=40,"Median","Old"))</f>
        <v>Old</v>
      </c>
      <c r="G757" s="4" t="s">
        <v>16</v>
      </c>
      <c r="H757" s="4">
        <v>4</v>
      </c>
      <c r="I757" s="4">
        <v>300</v>
      </c>
      <c r="J757" s="4">
        <v>1200</v>
      </c>
      <c r="K757" s="4" t="str" cm="1">
        <f t="array" ref="K757">_xlfn.IFS(AND(Table156[[#This Row],[Total Amount]]&gt;=1500),"Critical",AND(Table156[[#This Row],[Total Amount]]&gt;=1000),"High",TRUE,"Normal")</f>
        <v>High</v>
      </c>
      <c r="L757" s="4" t="str">
        <f>IF(Table156[[#This Row],[Total Amount]]&gt;=1000,"High",(IF(Table156[[#This Row],[Total Amount]]&gt;=500,"Medium","Low")))</f>
        <v>High</v>
      </c>
      <c r="M757" s="4" t="str" cm="1">
        <f t="array" ref="M75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57" s="4" cm="1">
        <f t="array" ref="N75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757" s="4">
        <f>Table156[[#This Row],[Total Amount]]-Table156[[#This Row],[Discount Amount]]</f>
        <v>960</v>
      </c>
      <c r="P757" s="4" t="str">
        <f>IF(Table156[[#This Row],[Total Amount]]&gt;=1000,"High","Low")</f>
        <v>High</v>
      </c>
      <c r="Q757" s="4" t="str" cm="1">
        <f t="array" ref="Q757">_xlfn.IFS(AND(Table156[[#This Row],[Total Amount]]&gt;=1500,"Critical"),AND(Table156[[#This Row],[Total Amount]]&gt;=1000,"High"),TRUE,"Normal")</f>
        <v>Normal</v>
      </c>
      <c r="R757" s="4">
        <f>COUNTIF(Table156[Gender],"Male")</f>
        <v>490</v>
      </c>
    </row>
    <row r="758" spans="1:18" x14ac:dyDescent="0.35">
      <c r="A758" s="4">
        <v>757</v>
      </c>
      <c r="B758" s="5">
        <v>45285</v>
      </c>
      <c r="C758" s="4" t="s">
        <v>770</v>
      </c>
      <c r="D758" s="4" t="s">
        <v>13</v>
      </c>
      <c r="E758" s="4">
        <v>43</v>
      </c>
      <c r="F758" s="4" t="str">
        <f>IF(Table156[[#This Row],[Age]]&lt;=19,"Teenager",IF(Table156[[#This Row],[Age]]&lt;=40,"Median","Old"))</f>
        <v>Old</v>
      </c>
      <c r="G758" s="4" t="s">
        <v>16</v>
      </c>
      <c r="H758" s="4">
        <v>4</v>
      </c>
      <c r="I758" s="4">
        <v>300</v>
      </c>
      <c r="J758" s="4">
        <v>1200</v>
      </c>
      <c r="K758" s="4" t="str" cm="1">
        <f t="array" ref="K758">_xlfn.IFS(AND(Table156[[#This Row],[Total Amount]]&gt;=1500),"Critical",AND(Table156[[#This Row],[Total Amount]]&gt;=1000),"High",TRUE,"Normal")</f>
        <v>High</v>
      </c>
      <c r="L758" s="4" t="str">
        <f>IF(Table156[[#This Row],[Total Amount]]&gt;=1000,"High",(IF(Table156[[#This Row],[Total Amount]]&gt;=500,"Medium","Low")))</f>
        <v>High</v>
      </c>
      <c r="M758" s="4" t="str" cm="1">
        <f t="array" ref="M75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58" s="4" cm="1">
        <f t="array" ref="N75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758" s="4">
        <f>Table156[[#This Row],[Total Amount]]-Table156[[#This Row],[Discount Amount]]</f>
        <v>960</v>
      </c>
      <c r="P758" s="4" t="str">
        <f>IF(Table156[[#This Row],[Total Amount]]&gt;=1000,"High","Low")</f>
        <v>High</v>
      </c>
      <c r="Q758" s="4" t="str" cm="1">
        <f t="array" ref="Q758">_xlfn.IFS(AND(Table156[[#This Row],[Total Amount]]&gt;=1500,"Critical"),AND(Table156[[#This Row],[Total Amount]]&gt;=1000,"High"),TRUE,"Normal")</f>
        <v>Normal</v>
      </c>
      <c r="R758" s="4">
        <f>COUNTIF(Table156[Gender],"Male")</f>
        <v>490</v>
      </c>
    </row>
    <row r="759" spans="1:18" x14ac:dyDescent="0.35">
      <c r="A759" s="4">
        <v>758</v>
      </c>
      <c r="B759" s="5">
        <v>45058</v>
      </c>
      <c r="C759" s="4" t="s">
        <v>771</v>
      </c>
      <c r="D759" s="4" t="s">
        <v>10</v>
      </c>
      <c r="E759" s="4">
        <v>64</v>
      </c>
      <c r="F759" s="4" t="str">
        <f>IF(Table156[[#This Row],[Age]]&lt;=19,"Teenager",IF(Table156[[#This Row],[Age]]&lt;=40,"Median","Old"))</f>
        <v>Old</v>
      </c>
      <c r="G759" s="4" t="s">
        <v>14</v>
      </c>
      <c r="H759" s="4">
        <v>4</v>
      </c>
      <c r="I759" s="4">
        <v>25</v>
      </c>
      <c r="J759" s="4">
        <v>100</v>
      </c>
      <c r="K759" s="4" t="str" cm="1">
        <f t="array" ref="K759">_xlfn.IFS(AND(Table156[[#This Row],[Total Amount]]&gt;=1500),"Critical",AND(Table156[[#This Row],[Total Amount]]&gt;=1000),"High",TRUE,"Normal")</f>
        <v>Normal</v>
      </c>
      <c r="L759" s="4" t="str">
        <f>IF(Table156[[#This Row],[Total Amount]]&gt;=1000,"High",(IF(Table156[[#This Row],[Total Amount]]&gt;=500,"Medium","Low")))</f>
        <v>Low</v>
      </c>
      <c r="M759" s="4" t="str" cm="1">
        <f t="array" ref="M75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59" s="4" cm="1">
        <f t="array" ref="N75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759" s="4">
        <f>Table156[[#This Row],[Total Amount]]-Table156[[#This Row],[Discount Amount]]</f>
        <v>90</v>
      </c>
      <c r="P759" s="4" t="str">
        <f>IF(Table156[[#This Row],[Total Amount]]&gt;=1000,"High","Low")</f>
        <v>Low</v>
      </c>
      <c r="Q759" s="4" t="str" cm="1">
        <f t="array" ref="Q759">_xlfn.IFS(AND(Table156[[#This Row],[Total Amount]]&gt;=1500,"Critical"),AND(Table156[[#This Row],[Total Amount]]&gt;=1000,"High"),TRUE,"Normal")</f>
        <v>Normal</v>
      </c>
      <c r="R759" s="4">
        <f>COUNTIF(Table156[Gender],"Male")</f>
        <v>490</v>
      </c>
    </row>
    <row r="760" spans="1:18" x14ac:dyDescent="0.35">
      <c r="A760" s="4">
        <v>759</v>
      </c>
      <c r="B760" s="5">
        <v>45115</v>
      </c>
      <c r="C760" s="4" t="s">
        <v>772</v>
      </c>
      <c r="D760" s="4" t="s">
        <v>10</v>
      </c>
      <c r="E760" s="4">
        <v>49</v>
      </c>
      <c r="F760" s="4" t="str">
        <f>IF(Table156[[#This Row],[Age]]&lt;=19,"Teenager",IF(Table156[[#This Row],[Age]]&lt;=40,"Median","Old"))</f>
        <v>Old</v>
      </c>
      <c r="G760" s="4" t="s">
        <v>16</v>
      </c>
      <c r="H760" s="4">
        <v>2</v>
      </c>
      <c r="I760" s="4">
        <v>50</v>
      </c>
      <c r="J760" s="4">
        <v>100</v>
      </c>
      <c r="K760" s="4" t="str" cm="1">
        <f t="array" ref="K760">_xlfn.IFS(AND(Table156[[#This Row],[Total Amount]]&gt;=1500),"Critical",AND(Table156[[#This Row],[Total Amount]]&gt;=1000),"High",TRUE,"Normal")</f>
        <v>Normal</v>
      </c>
      <c r="L760" s="4" t="str">
        <f>IF(Table156[[#This Row],[Total Amount]]&gt;=1000,"High",(IF(Table156[[#This Row],[Total Amount]]&gt;=500,"Medium","Low")))</f>
        <v>Low</v>
      </c>
      <c r="M760" s="4" t="str" cm="1">
        <f t="array" ref="M76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60" s="4" cm="1">
        <f t="array" ref="N76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760" s="4">
        <f>Table156[[#This Row],[Total Amount]]-Table156[[#This Row],[Discount Amount]]</f>
        <v>90</v>
      </c>
      <c r="P760" s="4" t="str">
        <f>IF(Table156[[#This Row],[Total Amount]]&gt;=1000,"High","Low")</f>
        <v>Low</v>
      </c>
      <c r="Q760" s="4" t="str" cm="1">
        <f t="array" ref="Q760">_xlfn.IFS(AND(Table156[[#This Row],[Total Amount]]&gt;=1500,"Critical"),AND(Table156[[#This Row],[Total Amount]]&gt;=1000,"High"),TRUE,"Normal")</f>
        <v>Normal</v>
      </c>
      <c r="R760" s="4">
        <f>COUNTIF(Table156[Gender],"Male")</f>
        <v>490</v>
      </c>
    </row>
    <row r="761" spans="1:18" x14ac:dyDescent="0.35">
      <c r="A761" s="4">
        <v>760</v>
      </c>
      <c r="B761" s="5">
        <v>45012</v>
      </c>
      <c r="C761" s="4" t="s">
        <v>773</v>
      </c>
      <c r="D761" s="4" t="s">
        <v>10</v>
      </c>
      <c r="E761" s="4">
        <v>27</v>
      </c>
      <c r="F761" s="4" t="str">
        <f>IF(Table156[[#This Row],[Age]]&lt;=19,"Teenager",IF(Table156[[#This Row],[Age]]&lt;=40,"Median","Old"))</f>
        <v>Median</v>
      </c>
      <c r="G761" s="4" t="s">
        <v>11</v>
      </c>
      <c r="H761" s="4">
        <v>1</v>
      </c>
      <c r="I761" s="4">
        <v>500</v>
      </c>
      <c r="J761" s="4">
        <v>500</v>
      </c>
      <c r="K761" s="4" t="str" cm="1">
        <f t="array" ref="K761">_xlfn.IFS(AND(Table156[[#This Row],[Total Amount]]&gt;=1500),"Critical",AND(Table156[[#This Row],[Total Amount]]&gt;=1000),"High",TRUE,"Normal")</f>
        <v>Normal</v>
      </c>
      <c r="L761" s="4" t="str">
        <f>IF(Table156[[#This Row],[Total Amount]]&gt;=1000,"High",(IF(Table156[[#This Row],[Total Amount]]&gt;=500,"Medium","Low")))</f>
        <v>Medium</v>
      </c>
      <c r="M761" s="4" t="str" cm="1">
        <f t="array" ref="M76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61" s="4" cm="1">
        <f t="array" ref="N76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75</v>
      </c>
      <c r="O761" s="4">
        <f>Table156[[#This Row],[Total Amount]]-Table156[[#This Row],[Discount Amount]]</f>
        <v>425</v>
      </c>
      <c r="P761" s="4" t="str">
        <f>IF(Table156[[#This Row],[Total Amount]]&gt;=1000,"High","Low")</f>
        <v>Low</v>
      </c>
      <c r="Q761" s="4" t="str" cm="1">
        <f t="array" ref="Q761">_xlfn.IFS(AND(Table156[[#This Row],[Total Amount]]&gt;=1500,"Critical"),AND(Table156[[#This Row],[Total Amount]]&gt;=1000,"High"),TRUE,"Normal")</f>
        <v>Normal</v>
      </c>
      <c r="R761" s="4">
        <f>COUNTIF(Table156[Gender],"Male")</f>
        <v>490</v>
      </c>
    </row>
    <row r="762" spans="1:18" x14ac:dyDescent="0.35">
      <c r="A762" s="4">
        <v>761</v>
      </c>
      <c r="B762" s="5">
        <v>45237</v>
      </c>
      <c r="C762" s="4" t="s">
        <v>774</v>
      </c>
      <c r="D762" s="4" t="s">
        <v>13</v>
      </c>
      <c r="E762" s="4">
        <v>33</v>
      </c>
      <c r="F762" s="4" t="str">
        <f>IF(Table156[[#This Row],[Age]]&lt;=19,"Teenager",IF(Table156[[#This Row],[Age]]&lt;=40,"Median","Old"))</f>
        <v>Median</v>
      </c>
      <c r="G762" s="4" t="s">
        <v>14</v>
      </c>
      <c r="H762" s="4">
        <v>1</v>
      </c>
      <c r="I762" s="4">
        <v>500</v>
      </c>
      <c r="J762" s="4">
        <v>500</v>
      </c>
      <c r="K762" s="4" t="str" cm="1">
        <f t="array" ref="K762">_xlfn.IFS(AND(Table156[[#This Row],[Total Amount]]&gt;=1500),"Critical",AND(Table156[[#This Row],[Total Amount]]&gt;=1000),"High",TRUE,"Normal")</f>
        <v>Normal</v>
      </c>
      <c r="L762" s="4" t="str">
        <f>IF(Table156[[#This Row],[Total Amount]]&gt;=1000,"High",(IF(Table156[[#This Row],[Total Amount]]&gt;=500,"Medium","Low")))</f>
        <v>Medium</v>
      </c>
      <c r="M762" s="4" t="str" cm="1">
        <f t="array" ref="M76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62" s="4" cm="1">
        <f t="array" ref="N76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75</v>
      </c>
      <c r="O762" s="4">
        <f>Table156[[#This Row],[Total Amount]]-Table156[[#This Row],[Discount Amount]]</f>
        <v>425</v>
      </c>
      <c r="P762" s="4" t="str">
        <f>IF(Table156[[#This Row],[Total Amount]]&gt;=1000,"High","Low")</f>
        <v>Low</v>
      </c>
      <c r="Q762" s="4" t="str" cm="1">
        <f t="array" ref="Q762">_xlfn.IFS(AND(Table156[[#This Row],[Total Amount]]&gt;=1500,"Critical"),AND(Table156[[#This Row],[Total Amount]]&gt;=1000,"High"),TRUE,"Normal")</f>
        <v>Normal</v>
      </c>
      <c r="R762" s="4">
        <f>COUNTIF(Table156[Gender],"Male")</f>
        <v>490</v>
      </c>
    </row>
    <row r="763" spans="1:18" x14ac:dyDescent="0.35">
      <c r="A763" s="4">
        <v>762</v>
      </c>
      <c r="B763" s="5">
        <v>45237</v>
      </c>
      <c r="C763" s="4" t="s">
        <v>775</v>
      </c>
      <c r="D763" s="4" t="s">
        <v>13</v>
      </c>
      <c r="E763" s="4">
        <v>24</v>
      </c>
      <c r="F763" s="4" t="str">
        <f>IF(Table156[[#This Row],[Age]]&lt;=19,"Teenager",IF(Table156[[#This Row],[Age]]&lt;=40,"Median","Old"))</f>
        <v>Median</v>
      </c>
      <c r="G763" s="4" t="s">
        <v>16</v>
      </c>
      <c r="H763" s="4">
        <v>2</v>
      </c>
      <c r="I763" s="4">
        <v>25</v>
      </c>
      <c r="J763" s="4">
        <v>50</v>
      </c>
      <c r="K763" s="4" t="str" cm="1">
        <f t="array" ref="K763">_xlfn.IFS(AND(Table156[[#This Row],[Total Amount]]&gt;=1500),"Critical",AND(Table156[[#This Row],[Total Amount]]&gt;=1000),"High",TRUE,"Normal")</f>
        <v>Normal</v>
      </c>
      <c r="L763" s="4" t="str">
        <f>IF(Table156[[#This Row],[Total Amount]]&gt;=1000,"High",(IF(Table156[[#This Row],[Total Amount]]&gt;=500,"Medium","Low")))</f>
        <v>Low</v>
      </c>
      <c r="M763" s="4" t="str" cm="1">
        <f t="array" ref="M76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763" s="4" cm="1">
        <f t="array" ref="N76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763" s="4">
        <f>Table156[[#This Row],[Total Amount]]-Table156[[#This Row],[Discount Amount]]</f>
        <v>50</v>
      </c>
      <c r="P763" s="4" t="str">
        <f>IF(Table156[[#This Row],[Total Amount]]&gt;=1000,"High","Low")</f>
        <v>Low</v>
      </c>
      <c r="Q763" s="4" t="str" cm="1">
        <f t="array" ref="Q763">_xlfn.IFS(AND(Table156[[#This Row],[Total Amount]]&gt;=1500,"Critical"),AND(Table156[[#This Row],[Total Amount]]&gt;=1000,"High"),TRUE,"Normal")</f>
        <v>Normal</v>
      </c>
      <c r="R763" s="4">
        <f>COUNTIF(Table156[Gender],"Male")</f>
        <v>490</v>
      </c>
    </row>
    <row r="764" spans="1:18" x14ac:dyDescent="0.35">
      <c r="A764" s="4">
        <v>763</v>
      </c>
      <c r="B764" s="5">
        <v>44985</v>
      </c>
      <c r="C764" s="4" t="s">
        <v>776</v>
      </c>
      <c r="D764" s="4" t="s">
        <v>10</v>
      </c>
      <c r="E764" s="4">
        <v>34</v>
      </c>
      <c r="F764" s="4" t="str">
        <f>IF(Table156[[#This Row],[Age]]&lt;=19,"Teenager",IF(Table156[[#This Row],[Age]]&lt;=40,"Median","Old"))</f>
        <v>Median</v>
      </c>
      <c r="G764" s="4" t="s">
        <v>14</v>
      </c>
      <c r="H764" s="4">
        <v>2</v>
      </c>
      <c r="I764" s="4">
        <v>25</v>
      </c>
      <c r="J764" s="4">
        <v>50</v>
      </c>
      <c r="K764" s="4" t="str" cm="1">
        <f t="array" ref="K764">_xlfn.IFS(AND(Table156[[#This Row],[Total Amount]]&gt;=1500),"Critical",AND(Table156[[#This Row],[Total Amount]]&gt;=1000),"High",TRUE,"Normal")</f>
        <v>Normal</v>
      </c>
      <c r="L764" s="4" t="str">
        <f>IF(Table156[[#This Row],[Total Amount]]&gt;=1000,"High",(IF(Table156[[#This Row],[Total Amount]]&gt;=500,"Medium","Low")))</f>
        <v>Low</v>
      </c>
      <c r="M764" s="4" t="str" cm="1">
        <f t="array" ref="M76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64" s="4" cm="1">
        <f t="array" ref="N76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764" s="4">
        <f>Table156[[#This Row],[Total Amount]]-Table156[[#This Row],[Discount Amount]]</f>
        <v>42.5</v>
      </c>
      <c r="P764" s="4" t="str">
        <f>IF(Table156[[#This Row],[Total Amount]]&gt;=1000,"High","Low")</f>
        <v>Low</v>
      </c>
      <c r="Q764" s="4" t="str" cm="1">
        <f t="array" ref="Q764">_xlfn.IFS(AND(Table156[[#This Row],[Total Amount]]&gt;=1500,"Critical"),AND(Table156[[#This Row],[Total Amount]]&gt;=1000,"High"),TRUE,"Normal")</f>
        <v>Normal</v>
      </c>
      <c r="R764" s="4">
        <f>COUNTIF(Table156[Gender],"Male")</f>
        <v>490</v>
      </c>
    </row>
    <row r="765" spans="1:18" x14ac:dyDescent="0.35">
      <c r="A765" s="4">
        <v>764</v>
      </c>
      <c r="B765" s="5">
        <v>45010</v>
      </c>
      <c r="C765" s="4" t="s">
        <v>777</v>
      </c>
      <c r="D765" s="4" t="s">
        <v>13</v>
      </c>
      <c r="E765" s="4">
        <v>40</v>
      </c>
      <c r="F765" s="4" t="str">
        <f>IF(Table156[[#This Row],[Age]]&lt;=19,"Teenager",IF(Table156[[#This Row],[Age]]&lt;=40,"Median","Old"))</f>
        <v>Median</v>
      </c>
      <c r="G765" s="4" t="s">
        <v>14</v>
      </c>
      <c r="H765" s="4">
        <v>1</v>
      </c>
      <c r="I765" s="4">
        <v>25</v>
      </c>
      <c r="J765" s="4">
        <v>25</v>
      </c>
      <c r="K765" s="4" t="str" cm="1">
        <f t="array" ref="K765">_xlfn.IFS(AND(Table156[[#This Row],[Total Amount]]&gt;=1500),"Critical",AND(Table156[[#This Row],[Total Amount]]&gt;=1000),"High",TRUE,"Normal")</f>
        <v>Normal</v>
      </c>
      <c r="L765" s="4" t="str">
        <f>IF(Table156[[#This Row],[Total Amount]]&gt;=1000,"High",(IF(Table156[[#This Row],[Total Amount]]&gt;=500,"Medium","Low")))</f>
        <v>Low</v>
      </c>
      <c r="M765" s="4" t="str" cm="1">
        <f t="array" ref="M76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65" s="4" cm="1">
        <f t="array" ref="N76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765" s="4">
        <f>Table156[[#This Row],[Total Amount]]-Table156[[#This Row],[Discount Amount]]</f>
        <v>20</v>
      </c>
      <c r="P765" s="4" t="str">
        <f>IF(Table156[[#This Row],[Total Amount]]&gt;=1000,"High","Low")</f>
        <v>Low</v>
      </c>
      <c r="Q765" s="4" t="str" cm="1">
        <f t="array" ref="Q765">_xlfn.IFS(AND(Table156[[#This Row],[Total Amount]]&gt;=1500,"Critical"),AND(Table156[[#This Row],[Total Amount]]&gt;=1000,"High"),TRUE,"Normal")</f>
        <v>Normal</v>
      </c>
      <c r="R765" s="4">
        <f>COUNTIF(Table156[Gender],"Male")</f>
        <v>490</v>
      </c>
    </row>
    <row r="766" spans="1:18" x14ac:dyDescent="0.35">
      <c r="A766" s="4">
        <v>765</v>
      </c>
      <c r="B766" s="5">
        <v>45086</v>
      </c>
      <c r="C766" s="4" t="s">
        <v>778</v>
      </c>
      <c r="D766" s="4" t="s">
        <v>10</v>
      </c>
      <c r="E766" s="4">
        <v>43</v>
      </c>
      <c r="F766" s="4" t="str">
        <f>IF(Table156[[#This Row],[Age]]&lt;=19,"Teenager",IF(Table156[[#This Row],[Age]]&lt;=40,"Median","Old"))</f>
        <v>Old</v>
      </c>
      <c r="G766" s="4" t="s">
        <v>14</v>
      </c>
      <c r="H766" s="4">
        <v>4</v>
      </c>
      <c r="I766" s="4">
        <v>50</v>
      </c>
      <c r="J766" s="4">
        <v>200</v>
      </c>
      <c r="K766" s="4" t="str" cm="1">
        <f t="array" ref="K766">_xlfn.IFS(AND(Table156[[#This Row],[Total Amount]]&gt;=1500),"Critical",AND(Table156[[#This Row],[Total Amount]]&gt;=1000),"High",TRUE,"Normal")</f>
        <v>Normal</v>
      </c>
      <c r="L766" s="4" t="str">
        <f>IF(Table156[[#This Row],[Total Amount]]&gt;=1000,"High",(IF(Table156[[#This Row],[Total Amount]]&gt;=500,"Medium","Low")))</f>
        <v>Low</v>
      </c>
      <c r="M766" s="4" t="str" cm="1">
        <f t="array" ref="M76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66" s="4" cm="1">
        <f t="array" ref="N76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766" s="4">
        <f>Table156[[#This Row],[Total Amount]]-Table156[[#This Row],[Discount Amount]]</f>
        <v>180</v>
      </c>
      <c r="P766" s="4" t="str">
        <f>IF(Table156[[#This Row],[Total Amount]]&gt;=1000,"High","Low")</f>
        <v>Low</v>
      </c>
      <c r="Q766" s="4" t="str" cm="1">
        <f t="array" ref="Q766">_xlfn.IFS(AND(Table156[[#This Row],[Total Amount]]&gt;=1500,"Critical"),AND(Table156[[#This Row],[Total Amount]]&gt;=1000,"High"),TRUE,"Normal")</f>
        <v>Normal</v>
      </c>
      <c r="R766" s="4">
        <f>COUNTIF(Table156[Gender],"Male")</f>
        <v>490</v>
      </c>
    </row>
    <row r="767" spans="1:18" x14ac:dyDescent="0.35">
      <c r="A767" s="4">
        <v>766</v>
      </c>
      <c r="B767" s="5">
        <v>44982</v>
      </c>
      <c r="C767" s="4" t="s">
        <v>779</v>
      </c>
      <c r="D767" s="4" t="s">
        <v>10</v>
      </c>
      <c r="E767" s="4">
        <v>38</v>
      </c>
      <c r="F767" s="4" t="str">
        <f>IF(Table156[[#This Row],[Age]]&lt;=19,"Teenager",IF(Table156[[#This Row],[Age]]&lt;=40,"Median","Old"))</f>
        <v>Median</v>
      </c>
      <c r="G767" s="4" t="s">
        <v>16</v>
      </c>
      <c r="H767" s="4">
        <v>3</v>
      </c>
      <c r="I767" s="4">
        <v>300</v>
      </c>
      <c r="J767" s="4">
        <v>900</v>
      </c>
      <c r="K767" s="4" t="str" cm="1">
        <f t="array" ref="K767">_xlfn.IFS(AND(Table156[[#This Row],[Total Amount]]&gt;=1500),"Critical",AND(Table156[[#This Row],[Total Amount]]&gt;=1000),"High",TRUE,"Normal")</f>
        <v>Normal</v>
      </c>
      <c r="L767" s="4" t="str">
        <f>IF(Table156[[#This Row],[Total Amount]]&gt;=1000,"High",(IF(Table156[[#This Row],[Total Amount]]&gt;=500,"Medium","Low")))</f>
        <v>Medium</v>
      </c>
      <c r="M767" s="4" t="str" cm="1">
        <f t="array" ref="M76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67" s="4" cm="1">
        <f t="array" ref="N76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767" s="4">
        <f>Table156[[#This Row],[Total Amount]]-Table156[[#This Row],[Discount Amount]]</f>
        <v>810</v>
      </c>
      <c r="P767" s="4" t="str">
        <f>IF(Table156[[#This Row],[Total Amount]]&gt;=1000,"High","Low")</f>
        <v>Low</v>
      </c>
      <c r="Q767" s="4" t="str" cm="1">
        <f t="array" ref="Q767">_xlfn.IFS(AND(Table156[[#This Row],[Total Amount]]&gt;=1500,"Critical"),AND(Table156[[#This Row],[Total Amount]]&gt;=1000,"High"),TRUE,"Normal")</f>
        <v>Normal</v>
      </c>
      <c r="R767" s="4">
        <f>COUNTIF(Table156[Gender],"Male")</f>
        <v>490</v>
      </c>
    </row>
    <row r="768" spans="1:18" x14ac:dyDescent="0.35">
      <c r="A768" s="4">
        <v>767</v>
      </c>
      <c r="B768" s="5">
        <v>45223</v>
      </c>
      <c r="C768" s="4" t="s">
        <v>780</v>
      </c>
      <c r="D768" s="4" t="s">
        <v>10</v>
      </c>
      <c r="E768" s="4">
        <v>39</v>
      </c>
      <c r="F768" s="4" t="str">
        <f>IF(Table156[[#This Row],[Age]]&lt;=19,"Teenager",IF(Table156[[#This Row],[Age]]&lt;=40,"Median","Old"))</f>
        <v>Median</v>
      </c>
      <c r="G768" s="4" t="s">
        <v>11</v>
      </c>
      <c r="H768" s="4">
        <v>3</v>
      </c>
      <c r="I768" s="4">
        <v>25</v>
      </c>
      <c r="J768" s="4">
        <v>75</v>
      </c>
      <c r="K768" s="4" t="str" cm="1">
        <f t="array" ref="K768">_xlfn.IFS(AND(Table156[[#This Row],[Total Amount]]&gt;=1500),"Critical",AND(Table156[[#This Row],[Total Amount]]&gt;=1000),"High",TRUE,"Normal")</f>
        <v>Normal</v>
      </c>
      <c r="L768" s="4" t="str">
        <f>IF(Table156[[#This Row],[Total Amount]]&gt;=1000,"High",(IF(Table156[[#This Row],[Total Amount]]&gt;=500,"Medium","Low")))</f>
        <v>Low</v>
      </c>
      <c r="M768" s="4" t="str" cm="1">
        <f t="array" ref="M76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68" s="4" cm="1">
        <f t="array" ref="N76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768" s="4">
        <f>Table156[[#This Row],[Total Amount]]-Table156[[#This Row],[Discount Amount]]</f>
        <v>67.5</v>
      </c>
      <c r="P768" s="4" t="str">
        <f>IF(Table156[[#This Row],[Total Amount]]&gt;=1000,"High","Low")</f>
        <v>Low</v>
      </c>
      <c r="Q768" s="4" t="str" cm="1">
        <f t="array" ref="Q768">_xlfn.IFS(AND(Table156[[#This Row],[Total Amount]]&gt;=1500,"Critical"),AND(Table156[[#This Row],[Total Amount]]&gt;=1000,"High"),TRUE,"Normal")</f>
        <v>Normal</v>
      </c>
      <c r="R768" s="4">
        <f>COUNTIF(Table156[Gender],"Male")</f>
        <v>490</v>
      </c>
    </row>
    <row r="769" spans="1:18" x14ac:dyDescent="0.35">
      <c r="A769" s="4">
        <v>768</v>
      </c>
      <c r="B769" s="5">
        <v>44940</v>
      </c>
      <c r="C769" s="4" t="s">
        <v>781</v>
      </c>
      <c r="D769" s="4" t="s">
        <v>13</v>
      </c>
      <c r="E769" s="4">
        <v>24</v>
      </c>
      <c r="F769" s="4" t="str">
        <f>IF(Table156[[#This Row],[Age]]&lt;=19,"Teenager",IF(Table156[[#This Row],[Age]]&lt;=40,"Median","Old"))</f>
        <v>Median</v>
      </c>
      <c r="G769" s="4" t="s">
        <v>11</v>
      </c>
      <c r="H769" s="4">
        <v>3</v>
      </c>
      <c r="I769" s="4">
        <v>25</v>
      </c>
      <c r="J769" s="4">
        <v>75</v>
      </c>
      <c r="K769" s="4" t="str" cm="1">
        <f t="array" ref="K769">_xlfn.IFS(AND(Table156[[#This Row],[Total Amount]]&gt;=1500),"Critical",AND(Table156[[#This Row],[Total Amount]]&gt;=1000),"High",TRUE,"Normal")</f>
        <v>Normal</v>
      </c>
      <c r="L769" s="4" t="str">
        <f>IF(Table156[[#This Row],[Total Amount]]&gt;=1000,"High",(IF(Table156[[#This Row],[Total Amount]]&gt;=500,"Medium","Low")))</f>
        <v>Low</v>
      </c>
      <c r="M769" s="4" t="str" cm="1">
        <f t="array" ref="M76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769" s="4" cm="1">
        <f t="array" ref="N76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769" s="4">
        <f>Table156[[#This Row],[Total Amount]]-Table156[[#This Row],[Discount Amount]]</f>
        <v>75</v>
      </c>
      <c r="P769" s="4" t="str">
        <f>IF(Table156[[#This Row],[Total Amount]]&gt;=1000,"High","Low")</f>
        <v>Low</v>
      </c>
      <c r="Q769" s="4" t="str" cm="1">
        <f t="array" ref="Q769">_xlfn.IFS(AND(Table156[[#This Row],[Total Amount]]&gt;=1500,"Critical"),AND(Table156[[#This Row],[Total Amount]]&gt;=1000,"High"),TRUE,"Normal")</f>
        <v>Normal</v>
      </c>
      <c r="R769" s="4">
        <f>COUNTIF(Table156[Gender],"Male")</f>
        <v>490</v>
      </c>
    </row>
    <row r="770" spans="1:18" x14ac:dyDescent="0.35">
      <c r="A770" s="4">
        <v>769</v>
      </c>
      <c r="B770" s="5">
        <v>45086</v>
      </c>
      <c r="C770" s="4" t="s">
        <v>782</v>
      </c>
      <c r="D770" s="4" t="s">
        <v>13</v>
      </c>
      <c r="E770" s="4">
        <v>31</v>
      </c>
      <c r="F770" s="4" t="str">
        <f>IF(Table156[[#This Row],[Age]]&lt;=19,"Teenager",IF(Table156[[#This Row],[Age]]&lt;=40,"Median","Old"))</f>
        <v>Median</v>
      </c>
      <c r="G770" s="4" t="s">
        <v>16</v>
      </c>
      <c r="H770" s="4">
        <v>4</v>
      </c>
      <c r="I770" s="4">
        <v>30</v>
      </c>
      <c r="J770" s="4">
        <v>120</v>
      </c>
      <c r="K770" s="4" t="str" cm="1">
        <f t="array" ref="K770">_xlfn.IFS(AND(Table156[[#This Row],[Total Amount]]&gt;=1500),"Critical",AND(Table156[[#This Row],[Total Amount]]&gt;=1000),"High",TRUE,"Normal")</f>
        <v>Normal</v>
      </c>
      <c r="L770" s="4" t="str">
        <f>IF(Table156[[#This Row],[Total Amount]]&gt;=1000,"High",(IF(Table156[[#This Row],[Total Amount]]&gt;=500,"Medium","Low")))</f>
        <v>Low</v>
      </c>
      <c r="M770" s="4" t="str" cm="1">
        <f t="array" ref="M77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70" s="4" cm="1">
        <f t="array" ref="N77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770" s="4">
        <f>Table156[[#This Row],[Total Amount]]-Table156[[#This Row],[Discount Amount]]</f>
        <v>102</v>
      </c>
      <c r="P770" s="4" t="str">
        <f>IF(Table156[[#This Row],[Total Amount]]&gt;=1000,"High","Low")</f>
        <v>Low</v>
      </c>
      <c r="Q770" s="4" t="str" cm="1">
        <f t="array" ref="Q770">_xlfn.IFS(AND(Table156[[#This Row],[Total Amount]]&gt;=1500,"Critical"),AND(Table156[[#This Row],[Total Amount]]&gt;=1000,"High"),TRUE,"Normal")</f>
        <v>Normal</v>
      </c>
      <c r="R770" s="4">
        <f>COUNTIF(Table156[Gender],"Male")</f>
        <v>490</v>
      </c>
    </row>
    <row r="771" spans="1:18" x14ac:dyDescent="0.35">
      <c r="A771" s="4">
        <v>770</v>
      </c>
      <c r="B771" s="5">
        <v>45221</v>
      </c>
      <c r="C771" s="4" t="s">
        <v>783</v>
      </c>
      <c r="D771" s="4" t="s">
        <v>10</v>
      </c>
      <c r="E771" s="4">
        <v>32</v>
      </c>
      <c r="F771" s="4" t="str">
        <f>IF(Table156[[#This Row],[Age]]&lt;=19,"Teenager",IF(Table156[[#This Row],[Age]]&lt;=40,"Median","Old"))</f>
        <v>Median</v>
      </c>
      <c r="G771" s="4" t="s">
        <v>14</v>
      </c>
      <c r="H771" s="4">
        <v>1</v>
      </c>
      <c r="I771" s="4">
        <v>50</v>
      </c>
      <c r="J771" s="4">
        <v>50</v>
      </c>
      <c r="K771" s="4" t="str" cm="1">
        <f t="array" ref="K771">_xlfn.IFS(AND(Table156[[#This Row],[Total Amount]]&gt;=1500),"Critical",AND(Table156[[#This Row],[Total Amount]]&gt;=1000),"High",TRUE,"Normal")</f>
        <v>Normal</v>
      </c>
      <c r="L771" s="4" t="str">
        <f>IF(Table156[[#This Row],[Total Amount]]&gt;=1000,"High",(IF(Table156[[#This Row],[Total Amount]]&gt;=500,"Medium","Low")))</f>
        <v>Low</v>
      </c>
      <c r="M771" s="4" t="str" cm="1">
        <f t="array" ref="M77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71" s="4" cm="1">
        <f t="array" ref="N77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771" s="4">
        <f>Table156[[#This Row],[Total Amount]]-Table156[[#This Row],[Discount Amount]]</f>
        <v>42.5</v>
      </c>
      <c r="P771" s="4" t="str">
        <f>IF(Table156[[#This Row],[Total Amount]]&gt;=1000,"High","Low")</f>
        <v>Low</v>
      </c>
      <c r="Q771" s="4" t="str" cm="1">
        <f t="array" ref="Q771">_xlfn.IFS(AND(Table156[[#This Row],[Total Amount]]&gt;=1500,"Critical"),AND(Table156[[#This Row],[Total Amount]]&gt;=1000,"High"),TRUE,"Normal")</f>
        <v>Normal</v>
      </c>
      <c r="R771" s="4">
        <f>COUNTIF(Table156[Gender],"Male")</f>
        <v>490</v>
      </c>
    </row>
    <row r="772" spans="1:18" x14ac:dyDescent="0.35">
      <c r="A772" s="4">
        <v>771</v>
      </c>
      <c r="B772" s="5">
        <v>45273</v>
      </c>
      <c r="C772" s="4" t="s">
        <v>784</v>
      </c>
      <c r="D772" s="4" t="s">
        <v>10</v>
      </c>
      <c r="E772" s="4">
        <v>24</v>
      </c>
      <c r="F772" s="4" t="str">
        <f>IF(Table156[[#This Row],[Age]]&lt;=19,"Teenager",IF(Table156[[#This Row],[Age]]&lt;=40,"Median","Old"))</f>
        <v>Median</v>
      </c>
      <c r="G772" s="4" t="s">
        <v>16</v>
      </c>
      <c r="H772" s="4">
        <v>2</v>
      </c>
      <c r="I772" s="4">
        <v>25</v>
      </c>
      <c r="J772" s="4">
        <v>50</v>
      </c>
      <c r="K772" s="4" t="str" cm="1">
        <f t="array" ref="K772">_xlfn.IFS(AND(Table156[[#This Row],[Total Amount]]&gt;=1500),"Critical",AND(Table156[[#This Row],[Total Amount]]&gt;=1000),"High",TRUE,"Normal")</f>
        <v>Normal</v>
      </c>
      <c r="L772" s="4" t="str">
        <f>IF(Table156[[#This Row],[Total Amount]]&gt;=1000,"High",(IF(Table156[[#This Row],[Total Amount]]&gt;=500,"Medium","Low")))</f>
        <v>Low</v>
      </c>
      <c r="M772" s="4" t="str" cm="1">
        <f t="array" ref="M77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772" s="4" cm="1">
        <f t="array" ref="N77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772" s="4">
        <f>Table156[[#This Row],[Total Amount]]-Table156[[#This Row],[Discount Amount]]</f>
        <v>50</v>
      </c>
      <c r="P772" s="4" t="str">
        <f>IF(Table156[[#This Row],[Total Amount]]&gt;=1000,"High","Low")</f>
        <v>Low</v>
      </c>
      <c r="Q772" s="4" t="str" cm="1">
        <f t="array" ref="Q772">_xlfn.IFS(AND(Table156[[#This Row],[Total Amount]]&gt;=1500,"Critical"),AND(Table156[[#This Row],[Total Amount]]&gt;=1000,"High"),TRUE,"Normal")</f>
        <v>Normal</v>
      </c>
      <c r="R772" s="4">
        <f>COUNTIF(Table156[Gender],"Male")</f>
        <v>490</v>
      </c>
    </row>
    <row r="773" spans="1:18" x14ac:dyDescent="0.35">
      <c r="A773" s="4">
        <v>772</v>
      </c>
      <c r="B773" s="5">
        <v>45119</v>
      </c>
      <c r="C773" s="4" t="s">
        <v>785</v>
      </c>
      <c r="D773" s="4" t="s">
        <v>10</v>
      </c>
      <c r="E773" s="4">
        <v>26</v>
      </c>
      <c r="F773" s="4" t="str">
        <f>IF(Table156[[#This Row],[Age]]&lt;=19,"Teenager",IF(Table156[[#This Row],[Age]]&lt;=40,"Median","Old"))</f>
        <v>Median</v>
      </c>
      <c r="G773" s="4" t="s">
        <v>16</v>
      </c>
      <c r="H773" s="4">
        <v>1</v>
      </c>
      <c r="I773" s="4">
        <v>30</v>
      </c>
      <c r="J773" s="4">
        <v>30</v>
      </c>
      <c r="K773" s="4" t="str" cm="1">
        <f t="array" ref="K773">_xlfn.IFS(AND(Table156[[#This Row],[Total Amount]]&gt;=1500),"Critical",AND(Table156[[#This Row],[Total Amount]]&gt;=1000),"High",TRUE,"Normal")</f>
        <v>Normal</v>
      </c>
      <c r="L773" s="4" t="str">
        <f>IF(Table156[[#This Row],[Total Amount]]&gt;=1000,"High",(IF(Table156[[#This Row],[Total Amount]]&gt;=500,"Medium","Low")))</f>
        <v>Low</v>
      </c>
      <c r="M773" s="4" t="str" cm="1">
        <f t="array" ref="M77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73" s="4" cm="1">
        <f t="array" ref="N77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4.5</v>
      </c>
      <c r="O773" s="4">
        <f>Table156[[#This Row],[Total Amount]]-Table156[[#This Row],[Discount Amount]]</f>
        <v>25.5</v>
      </c>
      <c r="P773" s="4" t="str">
        <f>IF(Table156[[#This Row],[Total Amount]]&gt;=1000,"High","Low")</f>
        <v>Low</v>
      </c>
      <c r="Q773" s="4" t="str" cm="1">
        <f t="array" ref="Q773">_xlfn.IFS(AND(Table156[[#This Row],[Total Amount]]&gt;=1500,"Critical"),AND(Table156[[#This Row],[Total Amount]]&gt;=1000,"High"),TRUE,"Normal")</f>
        <v>Normal</v>
      </c>
      <c r="R773" s="4">
        <f>COUNTIF(Table156[Gender],"Male")</f>
        <v>490</v>
      </c>
    </row>
    <row r="774" spans="1:18" x14ac:dyDescent="0.35">
      <c r="A774" s="4">
        <v>773</v>
      </c>
      <c r="B774" s="5">
        <v>45130</v>
      </c>
      <c r="C774" s="4" t="s">
        <v>786</v>
      </c>
      <c r="D774" s="4" t="s">
        <v>10</v>
      </c>
      <c r="E774" s="4">
        <v>25</v>
      </c>
      <c r="F774" s="4" t="str">
        <f>IF(Table156[[#This Row],[Age]]&lt;=19,"Teenager",IF(Table156[[#This Row],[Age]]&lt;=40,"Median","Old"))</f>
        <v>Median</v>
      </c>
      <c r="G774" s="4" t="s">
        <v>16</v>
      </c>
      <c r="H774" s="4">
        <v>4</v>
      </c>
      <c r="I774" s="4">
        <v>500</v>
      </c>
      <c r="J774" s="4">
        <v>2000</v>
      </c>
      <c r="K774" s="4" t="str" cm="1">
        <f t="array" ref="K774">_xlfn.IFS(AND(Table156[[#This Row],[Total Amount]]&gt;=1500),"Critical",AND(Table156[[#This Row],[Total Amount]]&gt;=1000),"High",TRUE,"Normal")</f>
        <v>Critical</v>
      </c>
      <c r="L774" s="4" t="str">
        <f>IF(Table156[[#This Row],[Total Amount]]&gt;=1000,"High",(IF(Table156[[#This Row],[Total Amount]]&gt;=500,"Medium","Low")))</f>
        <v>High</v>
      </c>
      <c r="M774" s="4" t="str" cm="1">
        <f t="array" ref="M77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74" s="4" cm="1">
        <f t="array" ref="N77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774" s="4">
        <f>Table156[[#This Row],[Total Amount]]-Table156[[#This Row],[Discount Amount]]</f>
        <v>1700</v>
      </c>
      <c r="P774" s="4" t="str">
        <f>IF(Table156[[#This Row],[Total Amount]]&gt;=1000,"High","Low")</f>
        <v>High</v>
      </c>
      <c r="Q774" s="4" t="b" cm="1">
        <f t="array" ref="Q774">_xlfn.IFS(AND(Table156[[#This Row],[Total Amount]]&gt;=1500,"Critical"),AND(Table156[[#This Row],[Total Amount]]&gt;=1000,"High"),TRUE,"Normal")</f>
        <v>1</v>
      </c>
      <c r="R774" s="4">
        <f>COUNTIF(Table156[Gender],"Male")</f>
        <v>490</v>
      </c>
    </row>
    <row r="775" spans="1:18" x14ac:dyDescent="0.35">
      <c r="A775" s="4">
        <v>774</v>
      </c>
      <c r="B775" s="5">
        <v>45028</v>
      </c>
      <c r="C775" s="4" t="s">
        <v>787</v>
      </c>
      <c r="D775" s="4" t="s">
        <v>13</v>
      </c>
      <c r="E775" s="4">
        <v>40</v>
      </c>
      <c r="F775" s="4" t="str">
        <f>IF(Table156[[#This Row],[Age]]&lt;=19,"Teenager",IF(Table156[[#This Row],[Age]]&lt;=40,"Median","Old"))</f>
        <v>Median</v>
      </c>
      <c r="G775" s="4" t="s">
        <v>14</v>
      </c>
      <c r="H775" s="4">
        <v>2</v>
      </c>
      <c r="I775" s="4">
        <v>25</v>
      </c>
      <c r="J775" s="4">
        <v>50</v>
      </c>
      <c r="K775" s="4" t="str" cm="1">
        <f t="array" ref="K775">_xlfn.IFS(AND(Table156[[#This Row],[Total Amount]]&gt;=1500),"Critical",AND(Table156[[#This Row],[Total Amount]]&gt;=1000),"High",TRUE,"Normal")</f>
        <v>Normal</v>
      </c>
      <c r="L775" s="4" t="str">
        <f>IF(Table156[[#This Row],[Total Amount]]&gt;=1000,"High",(IF(Table156[[#This Row],[Total Amount]]&gt;=500,"Medium","Low")))</f>
        <v>Low</v>
      </c>
      <c r="M775" s="4" t="str" cm="1">
        <f t="array" ref="M77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75" s="4" cm="1">
        <f t="array" ref="N77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775" s="4">
        <f>Table156[[#This Row],[Total Amount]]-Table156[[#This Row],[Discount Amount]]</f>
        <v>40</v>
      </c>
      <c r="P775" s="4" t="str">
        <f>IF(Table156[[#This Row],[Total Amount]]&gt;=1000,"High","Low")</f>
        <v>Low</v>
      </c>
      <c r="Q775" s="4" t="str" cm="1">
        <f t="array" ref="Q775">_xlfn.IFS(AND(Table156[[#This Row],[Total Amount]]&gt;=1500,"Critical"),AND(Table156[[#This Row],[Total Amount]]&gt;=1000,"High"),TRUE,"Normal")</f>
        <v>Normal</v>
      </c>
      <c r="R775" s="4">
        <f>COUNTIF(Table156[Gender],"Male")</f>
        <v>490</v>
      </c>
    </row>
    <row r="776" spans="1:18" x14ac:dyDescent="0.35">
      <c r="A776" s="4">
        <v>775</v>
      </c>
      <c r="B776" s="5">
        <v>44965</v>
      </c>
      <c r="C776" s="4" t="s">
        <v>788</v>
      </c>
      <c r="D776" s="4" t="s">
        <v>13</v>
      </c>
      <c r="E776" s="4">
        <v>46</v>
      </c>
      <c r="F776" s="4" t="str">
        <f>IF(Table156[[#This Row],[Age]]&lt;=19,"Teenager",IF(Table156[[#This Row],[Age]]&lt;=40,"Median","Old"))</f>
        <v>Old</v>
      </c>
      <c r="G776" s="4" t="s">
        <v>16</v>
      </c>
      <c r="H776" s="4">
        <v>4</v>
      </c>
      <c r="I776" s="4">
        <v>25</v>
      </c>
      <c r="J776" s="4">
        <v>100</v>
      </c>
      <c r="K776" s="4" t="str" cm="1">
        <f t="array" ref="K776">_xlfn.IFS(AND(Table156[[#This Row],[Total Amount]]&gt;=1500),"Critical",AND(Table156[[#This Row],[Total Amount]]&gt;=1000),"High",TRUE,"Normal")</f>
        <v>Normal</v>
      </c>
      <c r="L776" s="4" t="str">
        <f>IF(Table156[[#This Row],[Total Amount]]&gt;=1000,"High",(IF(Table156[[#This Row],[Total Amount]]&gt;=500,"Medium","Low")))</f>
        <v>Low</v>
      </c>
      <c r="M776" s="4" t="str" cm="1">
        <f t="array" ref="M77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76" s="4" cm="1">
        <f t="array" ref="N77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776" s="4">
        <f>Table156[[#This Row],[Total Amount]]-Table156[[#This Row],[Discount Amount]]</f>
        <v>80</v>
      </c>
      <c r="P776" s="4" t="str">
        <f>IF(Table156[[#This Row],[Total Amount]]&gt;=1000,"High","Low")</f>
        <v>Low</v>
      </c>
      <c r="Q776" s="4" t="str" cm="1">
        <f t="array" ref="Q776">_xlfn.IFS(AND(Table156[[#This Row],[Total Amount]]&gt;=1500,"Critical"),AND(Table156[[#This Row],[Total Amount]]&gt;=1000,"High"),TRUE,"Normal")</f>
        <v>Normal</v>
      </c>
      <c r="R776" s="4">
        <f>COUNTIF(Table156[Gender],"Male")</f>
        <v>490</v>
      </c>
    </row>
    <row r="777" spans="1:18" x14ac:dyDescent="0.35">
      <c r="A777" s="4">
        <v>776</v>
      </c>
      <c r="B777" s="5">
        <v>45230</v>
      </c>
      <c r="C777" s="4" t="s">
        <v>789</v>
      </c>
      <c r="D777" s="4" t="s">
        <v>10</v>
      </c>
      <c r="E777" s="4">
        <v>35</v>
      </c>
      <c r="F777" s="4" t="str">
        <f>IF(Table156[[#This Row],[Age]]&lt;=19,"Teenager",IF(Table156[[#This Row],[Age]]&lt;=40,"Median","Old"))</f>
        <v>Median</v>
      </c>
      <c r="G777" s="4" t="s">
        <v>14</v>
      </c>
      <c r="H777" s="4">
        <v>3</v>
      </c>
      <c r="I777" s="4">
        <v>30</v>
      </c>
      <c r="J777" s="4">
        <v>90</v>
      </c>
      <c r="K777" s="4" t="str" cm="1">
        <f t="array" ref="K777">_xlfn.IFS(AND(Table156[[#This Row],[Total Amount]]&gt;=1500),"Critical",AND(Table156[[#This Row],[Total Amount]]&gt;=1000),"High",TRUE,"Normal")</f>
        <v>Normal</v>
      </c>
      <c r="L777" s="4" t="str">
        <f>IF(Table156[[#This Row],[Total Amount]]&gt;=1000,"High",(IF(Table156[[#This Row],[Total Amount]]&gt;=500,"Medium","Low")))</f>
        <v>Low</v>
      </c>
      <c r="M777" s="4" t="str" cm="1">
        <f t="array" ref="M77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77" s="4" cm="1">
        <f t="array" ref="N77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</v>
      </c>
      <c r="O777" s="4">
        <f>Table156[[#This Row],[Total Amount]]-Table156[[#This Row],[Discount Amount]]</f>
        <v>81</v>
      </c>
      <c r="P777" s="4" t="str">
        <f>IF(Table156[[#This Row],[Total Amount]]&gt;=1000,"High","Low")</f>
        <v>Low</v>
      </c>
      <c r="Q777" s="4" t="str" cm="1">
        <f t="array" ref="Q777">_xlfn.IFS(AND(Table156[[#This Row],[Total Amount]]&gt;=1500,"Critical"),AND(Table156[[#This Row],[Total Amount]]&gt;=1000,"High"),TRUE,"Normal")</f>
        <v>Normal</v>
      </c>
      <c r="R777" s="4">
        <f>COUNTIF(Table156[Gender],"Male")</f>
        <v>490</v>
      </c>
    </row>
    <row r="778" spans="1:18" x14ac:dyDescent="0.35">
      <c r="A778" s="4">
        <v>777</v>
      </c>
      <c r="B778" s="5">
        <v>45280</v>
      </c>
      <c r="C778" s="4" t="s">
        <v>790</v>
      </c>
      <c r="D778" s="4" t="s">
        <v>10</v>
      </c>
      <c r="E778" s="4">
        <v>48</v>
      </c>
      <c r="F778" s="4" t="str">
        <f>IF(Table156[[#This Row],[Age]]&lt;=19,"Teenager",IF(Table156[[#This Row],[Age]]&lt;=40,"Median","Old"))</f>
        <v>Old</v>
      </c>
      <c r="G778" s="4" t="s">
        <v>16</v>
      </c>
      <c r="H778" s="4">
        <v>3</v>
      </c>
      <c r="I778" s="4">
        <v>50</v>
      </c>
      <c r="J778" s="4">
        <v>150</v>
      </c>
      <c r="K778" s="4" t="str" cm="1">
        <f t="array" ref="K778">_xlfn.IFS(AND(Table156[[#This Row],[Total Amount]]&gt;=1500),"Critical",AND(Table156[[#This Row],[Total Amount]]&gt;=1000),"High",TRUE,"Normal")</f>
        <v>Normal</v>
      </c>
      <c r="L778" s="4" t="str">
        <f>IF(Table156[[#This Row],[Total Amount]]&gt;=1000,"High",(IF(Table156[[#This Row],[Total Amount]]&gt;=500,"Medium","Low")))</f>
        <v>Low</v>
      </c>
      <c r="M778" s="4" t="str" cm="1">
        <f t="array" ref="M77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78" s="4" cm="1">
        <f t="array" ref="N77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778" s="4">
        <f>Table156[[#This Row],[Total Amount]]-Table156[[#This Row],[Discount Amount]]</f>
        <v>135</v>
      </c>
      <c r="P778" s="4" t="str">
        <f>IF(Table156[[#This Row],[Total Amount]]&gt;=1000,"High","Low")</f>
        <v>Low</v>
      </c>
      <c r="Q778" s="4" t="str" cm="1">
        <f t="array" ref="Q778">_xlfn.IFS(AND(Table156[[#This Row],[Total Amount]]&gt;=1500,"Critical"),AND(Table156[[#This Row],[Total Amount]]&gt;=1000,"High"),TRUE,"Normal")</f>
        <v>Normal</v>
      </c>
      <c r="R778" s="4">
        <f>COUNTIF(Table156[Gender],"Male")</f>
        <v>490</v>
      </c>
    </row>
    <row r="779" spans="1:18" x14ac:dyDescent="0.35">
      <c r="A779" s="4">
        <v>778</v>
      </c>
      <c r="B779" s="5">
        <v>45248</v>
      </c>
      <c r="C779" s="4" t="s">
        <v>791</v>
      </c>
      <c r="D779" s="4" t="s">
        <v>13</v>
      </c>
      <c r="E779" s="4">
        <v>47</v>
      </c>
      <c r="F779" s="4" t="str">
        <f>IF(Table156[[#This Row],[Age]]&lt;=19,"Teenager",IF(Table156[[#This Row],[Age]]&lt;=40,"Median","Old"))</f>
        <v>Old</v>
      </c>
      <c r="G779" s="4" t="s">
        <v>11</v>
      </c>
      <c r="H779" s="4">
        <v>4</v>
      </c>
      <c r="I779" s="4">
        <v>25</v>
      </c>
      <c r="J779" s="4">
        <v>100</v>
      </c>
      <c r="K779" s="4" t="str" cm="1">
        <f t="array" ref="K779">_xlfn.IFS(AND(Table156[[#This Row],[Total Amount]]&gt;=1500),"Critical",AND(Table156[[#This Row],[Total Amount]]&gt;=1000),"High",TRUE,"Normal")</f>
        <v>Normal</v>
      </c>
      <c r="L779" s="4" t="str">
        <f>IF(Table156[[#This Row],[Total Amount]]&gt;=1000,"High",(IF(Table156[[#This Row],[Total Amount]]&gt;=500,"Medium","Low")))</f>
        <v>Low</v>
      </c>
      <c r="M779" s="4" t="str" cm="1">
        <f t="array" ref="M77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79" s="4" cm="1">
        <f t="array" ref="N77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779" s="4">
        <f>Table156[[#This Row],[Total Amount]]-Table156[[#This Row],[Discount Amount]]</f>
        <v>80</v>
      </c>
      <c r="P779" s="4" t="str">
        <f>IF(Table156[[#This Row],[Total Amount]]&gt;=1000,"High","Low")</f>
        <v>Low</v>
      </c>
      <c r="Q779" s="4" t="str" cm="1">
        <f t="array" ref="Q779">_xlfn.IFS(AND(Table156[[#This Row],[Total Amount]]&gt;=1500,"Critical"),AND(Table156[[#This Row],[Total Amount]]&gt;=1000,"High"),TRUE,"Normal")</f>
        <v>Normal</v>
      </c>
      <c r="R779" s="4">
        <f>COUNTIF(Table156[Gender],"Male")</f>
        <v>490</v>
      </c>
    </row>
    <row r="780" spans="1:18" x14ac:dyDescent="0.35">
      <c r="A780" s="4">
        <v>779</v>
      </c>
      <c r="B780" s="5">
        <v>45051</v>
      </c>
      <c r="C780" s="4" t="s">
        <v>792</v>
      </c>
      <c r="D780" s="4" t="s">
        <v>13</v>
      </c>
      <c r="E780" s="4">
        <v>56</v>
      </c>
      <c r="F780" s="4" t="str">
        <f>IF(Table156[[#This Row],[Age]]&lt;=19,"Teenager",IF(Table156[[#This Row],[Age]]&lt;=40,"Median","Old"))</f>
        <v>Old</v>
      </c>
      <c r="G780" s="4" t="s">
        <v>16</v>
      </c>
      <c r="H780" s="4">
        <v>2</v>
      </c>
      <c r="I780" s="4">
        <v>500</v>
      </c>
      <c r="J780" s="4">
        <v>1000</v>
      </c>
      <c r="K780" s="4" t="str" cm="1">
        <f t="array" ref="K780">_xlfn.IFS(AND(Table156[[#This Row],[Total Amount]]&gt;=1500),"Critical",AND(Table156[[#This Row],[Total Amount]]&gt;=1000),"High",TRUE,"Normal")</f>
        <v>High</v>
      </c>
      <c r="L780" s="4" t="str">
        <f>IF(Table156[[#This Row],[Total Amount]]&gt;=1000,"High",(IF(Table156[[#This Row],[Total Amount]]&gt;=500,"Medium","Low")))</f>
        <v>High</v>
      </c>
      <c r="M780" s="4" t="str" cm="1">
        <f t="array" ref="M78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80" s="4" cm="1">
        <f t="array" ref="N78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780" s="4">
        <f>Table156[[#This Row],[Total Amount]]-Table156[[#This Row],[Discount Amount]]</f>
        <v>800</v>
      </c>
      <c r="P780" s="4" t="str">
        <f>IF(Table156[[#This Row],[Total Amount]]&gt;=1000,"High","Low")</f>
        <v>High</v>
      </c>
      <c r="Q780" s="4" t="str" cm="1">
        <f t="array" ref="Q780">_xlfn.IFS(AND(Table156[[#This Row],[Total Amount]]&gt;=1500,"Critical"),AND(Table156[[#This Row],[Total Amount]]&gt;=1000,"High"),TRUE,"Normal")</f>
        <v>Normal</v>
      </c>
      <c r="R780" s="4">
        <f>COUNTIF(Table156[Gender],"Male")</f>
        <v>490</v>
      </c>
    </row>
    <row r="781" spans="1:18" x14ac:dyDescent="0.35">
      <c r="A781" s="4">
        <v>780</v>
      </c>
      <c r="B781" s="5">
        <v>44979</v>
      </c>
      <c r="C781" s="4" t="s">
        <v>793</v>
      </c>
      <c r="D781" s="4" t="s">
        <v>10</v>
      </c>
      <c r="E781" s="4">
        <v>52</v>
      </c>
      <c r="F781" s="4" t="str">
        <f>IF(Table156[[#This Row],[Age]]&lt;=19,"Teenager",IF(Table156[[#This Row],[Age]]&lt;=40,"Median","Old"))</f>
        <v>Old</v>
      </c>
      <c r="G781" s="4" t="s">
        <v>16</v>
      </c>
      <c r="H781" s="4">
        <v>2</v>
      </c>
      <c r="I781" s="4">
        <v>25</v>
      </c>
      <c r="J781" s="4">
        <v>50</v>
      </c>
      <c r="K781" s="4" t="str" cm="1">
        <f t="array" ref="K781">_xlfn.IFS(AND(Table156[[#This Row],[Total Amount]]&gt;=1500),"Critical",AND(Table156[[#This Row],[Total Amount]]&gt;=1000),"High",TRUE,"Normal")</f>
        <v>Normal</v>
      </c>
      <c r="L781" s="4" t="str">
        <f>IF(Table156[[#This Row],[Total Amount]]&gt;=1000,"High",(IF(Table156[[#This Row],[Total Amount]]&gt;=500,"Medium","Low")))</f>
        <v>Low</v>
      </c>
      <c r="M781" s="4" t="str" cm="1">
        <f t="array" ref="M78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81" s="4" cm="1">
        <f t="array" ref="N78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781" s="4">
        <f>Table156[[#This Row],[Total Amount]]-Table156[[#This Row],[Discount Amount]]</f>
        <v>45</v>
      </c>
      <c r="P781" s="4" t="str">
        <f>IF(Table156[[#This Row],[Total Amount]]&gt;=1000,"High","Low")</f>
        <v>Low</v>
      </c>
      <c r="Q781" s="4" t="str" cm="1">
        <f t="array" ref="Q781">_xlfn.IFS(AND(Table156[[#This Row],[Total Amount]]&gt;=1500,"Critical"),AND(Table156[[#This Row],[Total Amount]]&gt;=1000,"High"),TRUE,"Normal")</f>
        <v>Normal</v>
      </c>
      <c r="R781" s="4">
        <f>COUNTIF(Table156[Gender],"Male")</f>
        <v>490</v>
      </c>
    </row>
    <row r="782" spans="1:18" x14ac:dyDescent="0.35">
      <c r="A782" s="4">
        <v>781</v>
      </c>
      <c r="B782" s="5">
        <v>45283</v>
      </c>
      <c r="C782" s="4" t="s">
        <v>794</v>
      </c>
      <c r="D782" s="4" t="s">
        <v>10</v>
      </c>
      <c r="E782" s="4">
        <v>35</v>
      </c>
      <c r="F782" s="4" t="str">
        <f>IF(Table156[[#This Row],[Age]]&lt;=19,"Teenager",IF(Table156[[#This Row],[Age]]&lt;=40,"Median","Old"))</f>
        <v>Median</v>
      </c>
      <c r="G782" s="4" t="s">
        <v>11</v>
      </c>
      <c r="H782" s="4">
        <v>1</v>
      </c>
      <c r="I782" s="4">
        <v>500</v>
      </c>
      <c r="J782" s="4">
        <v>500</v>
      </c>
      <c r="K782" s="4" t="str" cm="1">
        <f t="array" ref="K782">_xlfn.IFS(AND(Table156[[#This Row],[Total Amount]]&gt;=1500),"Critical",AND(Table156[[#This Row],[Total Amount]]&gt;=1000),"High",TRUE,"Normal")</f>
        <v>Normal</v>
      </c>
      <c r="L782" s="4" t="str">
        <f>IF(Table156[[#This Row],[Total Amount]]&gt;=1000,"High",(IF(Table156[[#This Row],[Total Amount]]&gt;=500,"Medium","Low")))</f>
        <v>Medium</v>
      </c>
      <c r="M782" s="4" t="str" cm="1">
        <f t="array" ref="M78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82" s="4" cm="1">
        <f t="array" ref="N78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782" s="4">
        <f>Table156[[#This Row],[Total Amount]]-Table156[[#This Row],[Discount Amount]]</f>
        <v>450</v>
      </c>
      <c r="P782" s="4" t="str">
        <f>IF(Table156[[#This Row],[Total Amount]]&gt;=1000,"High","Low")</f>
        <v>Low</v>
      </c>
      <c r="Q782" s="4" t="str" cm="1">
        <f t="array" ref="Q782">_xlfn.IFS(AND(Table156[[#This Row],[Total Amount]]&gt;=1500,"Critical"),AND(Table156[[#This Row],[Total Amount]]&gt;=1000,"High"),TRUE,"Normal")</f>
        <v>Normal</v>
      </c>
      <c r="R782" s="4">
        <f>COUNTIF(Table156[Gender],"Male")</f>
        <v>490</v>
      </c>
    </row>
    <row r="783" spans="1:18" x14ac:dyDescent="0.35">
      <c r="A783" s="4">
        <v>782</v>
      </c>
      <c r="B783" s="5">
        <v>45081</v>
      </c>
      <c r="C783" s="4" t="s">
        <v>795</v>
      </c>
      <c r="D783" s="4" t="s">
        <v>10</v>
      </c>
      <c r="E783" s="4">
        <v>59</v>
      </c>
      <c r="F783" s="4" t="str">
        <f>IF(Table156[[#This Row],[Age]]&lt;=19,"Teenager",IF(Table156[[#This Row],[Age]]&lt;=40,"Median","Old"))</f>
        <v>Old</v>
      </c>
      <c r="G783" s="4" t="s">
        <v>14</v>
      </c>
      <c r="H783" s="4">
        <v>3</v>
      </c>
      <c r="I783" s="4">
        <v>300</v>
      </c>
      <c r="J783" s="4">
        <v>900</v>
      </c>
      <c r="K783" s="4" t="str" cm="1">
        <f t="array" ref="K783">_xlfn.IFS(AND(Table156[[#This Row],[Total Amount]]&gt;=1500),"Critical",AND(Table156[[#This Row],[Total Amount]]&gt;=1000),"High",TRUE,"Normal")</f>
        <v>Normal</v>
      </c>
      <c r="L783" s="4" t="str">
        <f>IF(Table156[[#This Row],[Total Amount]]&gt;=1000,"High",(IF(Table156[[#This Row],[Total Amount]]&gt;=500,"Medium","Low")))</f>
        <v>Medium</v>
      </c>
      <c r="M783" s="4" t="str" cm="1">
        <f t="array" ref="M78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83" s="4" cm="1">
        <f t="array" ref="N78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783" s="4">
        <f>Table156[[#This Row],[Total Amount]]-Table156[[#This Row],[Discount Amount]]</f>
        <v>810</v>
      </c>
      <c r="P783" s="4" t="str">
        <f>IF(Table156[[#This Row],[Total Amount]]&gt;=1000,"High","Low")</f>
        <v>Low</v>
      </c>
      <c r="Q783" s="4" t="str" cm="1">
        <f t="array" ref="Q783">_xlfn.IFS(AND(Table156[[#This Row],[Total Amount]]&gt;=1500,"Critical"),AND(Table156[[#This Row],[Total Amount]]&gt;=1000,"High"),TRUE,"Normal")</f>
        <v>Normal</v>
      </c>
      <c r="R783" s="4">
        <f>COUNTIF(Table156[Gender],"Male")</f>
        <v>490</v>
      </c>
    </row>
    <row r="784" spans="1:18" x14ac:dyDescent="0.35">
      <c r="A784" s="4">
        <v>783</v>
      </c>
      <c r="B784" s="5">
        <v>45277</v>
      </c>
      <c r="C784" s="4" t="s">
        <v>796</v>
      </c>
      <c r="D784" s="4" t="s">
        <v>13</v>
      </c>
      <c r="E784" s="4">
        <v>56</v>
      </c>
      <c r="F784" s="4" t="str">
        <f>IF(Table156[[#This Row],[Age]]&lt;=19,"Teenager",IF(Table156[[#This Row],[Age]]&lt;=40,"Median","Old"))</f>
        <v>Old</v>
      </c>
      <c r="G784" s="4" t="s">
        <v>14</v>
      </c>
      <c r="H784" s="4">
        <v>1</v>
      </c>
      <c r="I784" s="4">
        <v>300</v>
      </c>
      <c r="J784" s="4">
        <v>300</v>
      </c>
      <c r="K784" s="4" t="str" cm="1">
        <f t="array" ref="K784">_xlfn.IFS(AND(Table156[[#This Row],[Total Amount]]&gt;=1500),"Critical",AND(Table156[[#This Row],[Total Amount]]&gt;=1000),"High",TRUE,"Normal")</f>
        <v>Normal</v>
      </c>
      <c r="L784" s="4" t="str">
        <f>IF(Table156[[#This Row],[Total Amount]]&gt;=1000,"High",(IF(Table156[[#This Row],[Total Amount]]&gt;=500,"Medium","Low")))</f>
        <v>Low</v>
      </c>
      <c r="M784" s="4" t="str" cm="1">
        <f t="array" ref="M78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84" s="4" cm="1">
        <f t="array" ref="N78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784" s="4">
        <f>Table156[[#This Row],[Total Amount]]-Table156[[#This Row],[Discount Amount]]</f>
        <v>240</v>
      </c>
      <c r="P784" s="4" t="str">
        <f>IF(Table156[[#This Row],[Total Amount]]&gt;=1000,"High","Low")</f>
        <v>Low</v>
      </c>
      <c r="Q784" s="4" t="str" cm="1">
        <f t="array" ref="Q784">_xlfn.IFS(AND(Table156[[#This Row],[Total Amount]]&gt;=1500,"Critical"),AND(Table156[[#This Row],[Total Amount]]&gt;=1000,"High"),TRUE,"Normal")</f>
        <v>Normal</v>
      </c>
      <c r="R784" s="4">
        <f>COUNTIF(Table156[Gender],"Male")</f>
        <v>490</v>
      </c>
    </row>
    <row r="785" spans="1:18" x14ac:dyDescent="0.35">
      <c r="A785" s="4">
        <v>784</v>
      </c>
      <c r="B785" s="5">
        <v>45234</v>
      </c>
      <c r="C785" s="4" t="s">
        <v>797</v>
      </c>
      <c r="D785" s="4" t="s">
        <v>13</v>
      </c>
      <c r="E785" s="4">
        <v>34</v>
      </c>
      <c r="F785" s="4" t="str">
        <f>IF(Table156[[#This Row],[Age]]&lt;=19,"Teenager",IF(Table156[[#This Row],[Age]]&lt;=40,"Median","Old"))</f>
        <v>Median</v>
      </c>
      <c r="G785" s="4" t="s">
        <v>16</v>
      </c>
      <c r="H785" s="4">
        <v>1</v>
      </c>
      <c r="I785" s="4">
        <v>500</v>
      </c>
      <c r="J785" s="4">
        <v>500</v>
      </c>
      <c r="K785" s="4" t="str" cm="1">
        <f t="array" ref="K785">_xlfn.IFS(AND(Table156[[#This Row],[Total Amount]]&gt;=1500),"Critical",AND(Table156[[#This Row],[Total Amount]]&gt;=1000),"High",TRUE,"Normal")</f>
        <v>Normal</v>
      </c>
      <c r="L785" s="4" t="str">
        <f>IF(Table156[[#This Row],[Total Amount]]&gt;=1000,"High",(IF(Table156[[#This Row],[Total Amount]]&gt;=500,"Medium","Low")))</f>
        <v>Medium</v>
      </c>
      <c r="M785" s="4" t="str" cm="1">
        <f t="array" ref="M78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85" s="4" cm="1">
        <f t="array" ref="N78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75</v>
      </c>
      <c r="O785" s="4">
        <f>Table156[[#This Row],[Total Amount]]-Table156[[#This Row],[Discount Amount]]</f>
        <v>425</v>
      </c>
      <c r="P785" s="4" t="str">
        <f>IF(Table156[[#This Row],[Total Amount]]&gt;=1000,"High","Low")</f>
        <v>Low</v>
      </c>
      <c r="Q785" s="4" t="str" cm="1">
        <f t="array" ref="Q785">_xlfn.IFS(AND(Table156[[#This Row],[Total Amount]]&gt;=1500,"Critical"),AND(Table156[[#This Row],[Total Amount]]&gt;=1000,"High"),TRUE,"Normal")</f>
        <v>Normal</v>
      </c>
      <c r="R785" s="4">
        <f>COUNTIF(Table156[Gender],"Male")</f>
        <v>490</v>
      </c>
    </row>
    <row r="786" spans="1:18" x14ac:dyDescent="0.35">
      <c r="A786" s="4">
        <v>785</v>
      </c>
      <c r="B786" s="5">
        <v>44988</v>
      </c>
      <c r="C786" s="4" t="s">
        <v>798</v>
      </c>
      <c r="D786" s="4" t="s">
        <v>13</v>
      </c>
      <c r="E786" s="4">
        <v>31</v>
      </c>
      <c r="F786" s="4" t="str">
        <f>IF(Table156[[#This Row],[Age]]&lt;=19,"Teenager",IF(Table156[[#This Row],[Age]]&lt;=40,"Median","Old"))</f>
        <v>Median</v>
      </c>
      <c r="G786" s="4" t="s">
        <v>11</v>
      </c>
      <c r="H786" s="4">
        <v>4</v>
      </c>
      <c r="I786" s="4">
        <v>50</v>
      </c>
      <c r="J786" s="4">
        <v>200</v>
      </c>
      <c r="K786" s="4" t="str" cm="1">
        <f t="array" ref="K786">_xlfn.IFS(AND(Table156[[#This Row],[Total Amount]]&gt;=1500),"Critical",AND(Table156[[#This Row],[Total Amount]]&gt;=1000),"High",TRUE,"Normal")</f>
        <v>Normal</v>
      </c>
      <c r="L786" s="4" t="str">
        <f>IF(Table156[[#This Row],[Total Amount]]&gt;=1000,"High",(IF(Table156[[#This Row],[Total Amount]]&gt;=500,"Medium","Low")))</f>
        <v>Low</v>
      </c>
      <c r="M786" s="4" t="str" cm="1">
        <f t="array" ref="M78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86" s="4" cm="1">
        <f t="array" ref="N78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786" s="4">
        <f>Table156[[#This Row],[Total Amount]]-Table156[[#This Row],[Discount Amount]]</f>
        <v>170</v>
      </c>
      <c r="P786" s="4" t="str">
        <f>IF(Table156[[#This Row],[Total Amount]]&gt;=1000,"High","Low")</f>
        <v>Low</v>
      </c>
      <c r="Q786" s="4" t="str" cm="1">
        <f t="array" ref="Q786">_xlfn.IFS(AND(Table156[[#This Row],[Total Amount]]&gt;=1500,"Critical"),AND(Table156[[#This Row],[Total Amount]]&gt;=1000,"High"),TRUE,"Normal")</f>
        <v>Normal</v>
      </c>
      <c r="R786" s="4">
        <f>COUNTIF(Table156[Gender],"Male")</f>
        <v>490</v>
      </c>
    </row>
    <row r="787" spans="1:18" x14ac:dyDescent="0.35">
      <c r="A787" s="4">
        <v>786</v>
      </c>
      <c r="B787" s="5">
        <v>45216</v>
      </c>
      <c r="C787" s="4" t="s">
        <v>799</v>
      </c>
      <c r="D787" s="4" t="s">
        <v>10</v>
      </c>
      <c r="E787" s="4">
        <v>48</v>
      </c>
      <c r="F787" s="4" t="str">
        <f>IF(Table156[[#This Row],[Age]]&lt;=19,"Teenager",IF(Table156[[#This Row],[Age]]&lt;=40,"Median","Old"))</f>
        <v>Old</v>
      </c>
      <c r="G787" s="4" t="s">
        <v>14</v>
      </c>
      <c r="H787" s="4">
        <v>4</v>
      </c>
      <c r="I787" s="4">
        <v>25</v>
      </c>
      <c r="J787" s="4">
        <v>100</v>
      </c>
      <c r="K787" s="4" t="str" cm="1">
        <f t="array" ref="K787">_xlfn.IFS(AND(Table156[[#This Row],[Total Amount]]&gt;=1500),"Critical",AND(Table156[[#This Row],[Total Amount]]&gt;=1000),"High",TRUE,"Normal")</f>
        <v>Normal</v>
      </c>
      <c r="L787" s="4" t="str">
        <f>IF(Table156[[#This Row],[Total Amount]]&gt;=1000,"High",(IF(Table156[[#This Row],[Total Amount]]&gt;=500,"Medium","Low")))</f>
        <v>Low</v>
      </c>
      <c r="M787" s="4" t="str" cm="1">
        <f t="array" ref="M78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87" s="4" cm="1">
        <f t="array" ref="N78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787" s="4">
        <f>Table156[[#This Row],[Total Amount]]-Table156[[#This Row],[Discount Amount]]</f>
        <v>90</v>
      </c>
      <c r="P787" s="4" t="str">
        <f>IF(Table156[[#This Row],[Total Amount]]&gt;=1000,"High","Low")</f>
        <v>Low</v>
      </c>
      <c r="Q787" s="4" t="str" cm="1">
        <f t="array" ref="Q787">_xlfn.IFS(AND(Table156[[#This Row],[Total Amount]]&gt;=1500,"Critical"),AND(Table156[[#This Row],[Total Amount]]&gt;=1000,"High"),TRUE,"Normal")</f>
        <v>Normal</v>
      </c>
      <c r="R787" s="4">
        <f>COUNTIF(Table156[Gender],"Male")</f>
        <v>490</v>
      </c>
    </row>
    <row r="788" spans="1:18" x14ac:dyDescent="0.35">
      <c r="A788" s="4">
        <v>787</v>
      </c>
      <c r="B788" s="5">
        <v>44948</v>
      </c>
      <c r="C788" s="4" t="s">
        <v>800</v>
      </c>
      <c r="D788" s="4" t="s">
        <v>10</v>
      </c>
      <c r="E788" s="4">
        <v>41</v>
      </c>
      <c r="F788" s="4" t="str">
        <f>IF(Table156[[#This Row],[Age]]&lt;=19,"Teenager",IF(Table156[[#This Row],[Age]]&lt;=40,"Median","Old"))</f>
        <v>Old</v>
      </c>
      <c r="G788" s="4" t="s">
        <v>16</v>
      </c>
      <c r="H788" s="4">
        <v>1</v>
      </c>
      <c r="I788" s="4">
        <v>25</v>
      </c>
      <c r="J788" s="4">
        <v>25</v>
      </c>
      <c r="K788" s="4" t="str" cm="1">
        <f t="array" ref="K788">_xlfn.IFS(AND(Table156[[#This Row],[Total Amount]]&gt;=1500),"Critical",AND(Table156[[#This Row],[Total Amount]]&gt;=1000),"High",TRUE,"Normal")</f>
        <v>Normal</v>
      </c>
      <c r="L788" s="4" t="str">
        <f>IF(Table156[[#This Row],[Total Amount]]&gt;=1000,"High",(IF(Table156[[#This Row],[Total Amount]]&gt;=500,"Medium","Low")))</f>
        <v>Low</v>
      </c>
      <c r="M788" s="4" t="str" cm="1">
        <f t="array" ref="M78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88" s="4" cm="1">
        <f t="array" ref="N78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788" s="4">
        <f>Table156[[#This Row],[Total Amount]]-Table156[[#This Row],[Discount Amount]]</f>
        <v>22.5</v>
      </c>
      <c r="P788" s="4" t="str">
        <f>IF(Table156[[#This Row],[Total Amount]]&gt;=1000,"High","Low")</f>
        <v>Low</v>
      </c>
      <c r="Q788" s="4" t="str" cm="1">
        <f t="array" ref="Q788">_xlfn.IFS(AND(Table156[[#This Row],[Total Amount]]&gt;=1500,"Critical"),AND(Table156[[#This Row],[Total Amount]]&gt;=1000,"High"),TRUE,"Normal")</f>
        <v>Normal</v>
      </c>
      <c r="R788" s="4">
        <f>COUNTIF(Table156[Gender],"Male")</f>
        <v>490</v>
      </c>
    </row>
    <row r="789" spans="1:18" x14ac:dyDescent="0.35">
      <c r="A789" s="4">
        <v>788</v>
      </c>
      <c r="B789" s="5">
        <v>45104</v>
      </c>
      <c r="C789" s="4" t="s">
        <v>801</v>
      </c>
      <c r="D789" s="4" t="s">
        <v>13</v>
      </c>
      <c r="E789" s="4">
        <v>52</v>
      </c>
      <c r="F789" s="4" t="str">
        <f>IF(Table156[[#This Row],[Age]]&lt;=19,"Teenager",IF(Table156[[#This Row],[Age]]&lt;=40,"Median","Old"))</f>
        <v>Old</v>
      </c>
      <c r="G789" s="4" t="s">
        <v>11</v>
      </c>
      <c r="H789" s="4">
        <v>3</v>
      </c>
      <c r="I789" s="4">
        <v>300</v>
      </c>
      <c r="J789" s="4">
        <v>900</v>
      </c>
      <c r="K789" s="4" t="str" cm="1">
        <f t="array" ref="K789">_xlfn.IFS(AND(Table156[[#This Row],[Total Amount]]&gt;=1500),"Critical",AND(Table156[[#This Row],[Total Amount]]&gt;=1000),"High",TRUE,"Normal")</f>
        <v>Normal</v>
      </c>
      <c r="L789" s="4" t="str">
        <f>IF(Table156[[#This Row],[Total Amount]]&gt;=1000,"High",(IF(Table156[[#This Row],[Total Amount]]&gt;=500,"Medium","Low")))</f>
        <v>Medium</v>
      </c>
      <c r="M789" s="4" t="str" cm="1">
        <f t="array" ref="M78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89" s="4" cm="1">
        <f t="array" ref="N78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789" s="4">
        <f>Table156[[#This Row],[Total Amount]]-Table156[[#This Row],[Discount Amount]]</f>
        <v>720</v>
      </c>
      <c r="P789" s="4" t="str">
        <f>IF(Table156[[#This Row],[Total Amount]]&gt;=1000,"High","Low")</f>
        <v>Low</v>
      </c>
      <c r="Q789" s="4" t="str" cm="1">
        <f t="array" ref="Q789">_xlfn.IFS(AND(Table156[[#This Row],[Total Amount]]&gt;=1500,"Critical"),AND(Table156[[#This Row],[Total Amount]]&gt;=1000,"High"),TRUE,"Normal")</f>
        <v>Normal</v>
      </c>
      <c r="R789" s="4">
        <f>COUNTIF(Table156[Gender],"Male")</f>
        <v>490</v>
      </c>
    </row>
    <row r="790" spans="1:18" x14ac:dyDescent="0.35">
      <c r="A790" s="4">
        <v>789</v>
      </c>
      <c r="B790" s="5">
        <v>45199</v>
      </c>
      <c r="C790" s="4" t="s">
        <v>802</v>
      </c>
      <c r="D790" s="4" t="s">
        <v>13</v>
      </c>
      <c r="E790" s="4">
        <v>61</v>
      </c>
      <c r="F790" s="4" t="str">
        <f>IF(Table156[[#This Row],[Age]]&lt;=19,"Teenager",IF(Table156[[#This Row],[Age]]&lt;=40,"Median","Old"))</f>
        <v>Old</v>
      </c>
      <c r="G790" s="4" t="s">
        <v>14</v>
      </c>
      <c r="H790" s="4">
        <v>4</v>
      </c>
      <c r="I790" s="4">
        <v>500</v>
      </c>
      <c r="J790" s="4">
        <v>2000</v>
      </c>
      <c r="K790" s="4" t="str" cm="1">
        <f t="array" ref="K790">_xlfn.IFS(AND(Table156[[#This Row],[Total Amount]]&gt;=1500),"Critical",AND(Table156[[#This Row],[Total Amount]]&gt;=1000),"High",TRUE,"Normal")</f>
        <v>Critical</v>
      </c>
      <c r="L790" s="4" t="str">
        <f>IF(Table156[[#This Row],[Total Amount]]&gt;=1000,"High",(IF(Table156[[#This Row],[Total Amount]]&gt;=500,"Medium","Low")))</f>
        <v>High</v>
      </c>
      <c r="M790" s="4" t="str" cm="1">
        <f t="array" ref="M79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90" s="4" cm="1">
        <f t="array" ref="N79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400</v>
      </c>
      <c r="O790" s="4">
        <f>Table156[[#This Row],[Total Amount]]-Table156[[#This Row],[Discount Amount]]</f>
        <v>1600</v>
      </c>
      <c r="P790" s="4" t="str">
        <f>IF(Table156[[#This Row],[Total Amount]]&gt;=1000,"High","Low")</f>
        <v>High</v>
      </c>
      <c r="Q790" s="4" t="b" cm="1">
        <f t="array" ref="Q790">_xlfn.IFS(AND(Table156[[#This Row],[Total Amount]]&gt;=1500,"Critical"),AND(Table156[[#This Row],[Total Amount]]&gt;=1000,"High"),TRUE,"Normal")</f>
        <v>1</v>
      </c>
      <c r="R790" s="4">
        <f>COUNTIF(Table156[Gender],"Male")</f>
        <v>490</v>
      </c>
    </row>
    <row r="791" spans="1:18" x14ac:dyDescent="0.35">
      <c r="A791" s="4">
        <v>790</v>
      </c>
      <c r="B791" s="5">
        <v>45146</v>
      </c>
      <c r="C791" s="4" t="s">
        <v>803</v>
      </c>
      <c r="D791" s="4" t="s">
        <v>10</v>
      </c>
      <c r="E791" s="4">
        <v>62</v>
      </c>
      <c r="F791" s="4" t="str">
        <f>IF(Table156[[#This Row],[Age]]&lt;=19,"Teenager",IF(Table156[[#This Row],[Age]]&lt;=40,"Median","Old"))</f>
        <v>Old</v>
      </c>
      <c r="G791" s="4" t="s">
        <v>14</v>
      </c>
      <c r="H791" s="4">
        <v>1</v>
      </c>
      <c r="I791" s="4">
        <v>25</v>
      </c>
      <c r="J791" s="4">
        <v>25</v>
      </c>
      <c r="K791" s="4" t="str" cm="1">
        <f t="array" ref="K791">_xlfn.IFS(AND(Table156[[#This Row],[Total Amount]]&gt;=1500),"Critical",AND(Table156[[#This Row],[Total Amount]]&gt;=1000),"High",TRUE,"Normal")</f>
        <v>Normal</v>
      </c>
      <c r="L791" s="4" t="str">
        <f>IF(Table156[[#This Row],[Total Amount]]&gt;=1000,"High",(IF(Table156[[#This Row],[Total Amount]]&gt;=500,"Medium","Low")))</f>
        <v>Low</v>
      </c>
      <c r="M791" s="4" t="str" cm="1">
        <f t="array" ref="M79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91" s="4" cm="1">
        <f t="array" ref="N79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791" s="4">
        <f>Table156[[#This Row],[Total Amount]]-Table156[[#This Row],[Discount Amount]]</f>
        <v>22.5</v>
      </c>
      <c r="P791" s="4" t="str">
        <f>IF(Table156[[#This Row],[Total Amount]]&gt;=1000,"High","Low")</f>
        <v>Low</v>
      </c>
      <c r="Q791" s="4" t="str" cm="1">
        <f t="array" ref="Q791">_xlfn.IFS(AND(Table156[[#This Row],[Total Amount]]&gt;=1500,"Critical"),AND(Table156[[#This Row],[Total Amount]]&gt;=1000,"High"),TRUE,"Normal")</f>
        <v>Normal</v>
      </c>
      <c r="R791" s="4">
        <f>COUNTIF(Table156[Gender],"Male")</f>
        <v>490</v>
      </c>
    </row>
    <row r="792" spans="1:18" x14ac:dyDescent="0.35">
      <c r="A792" s="4">
        <v>791</v>
      </c>
      <c r="B792" s="5">
        <v>45265</v>
      </c>
      <c r="C792" s="4" t="s">
        <v>804</v>
      </c>
      <c r="D792" s="4" t="s">
        <v>13</v>
      </c>
      <c r="E792" s="4">
        <v>51</v>
      </c>
      <c r="F792" s="4" t="str">
        <f>IF(Table156[[#This Row],[Age]]&lt;=19,"Teenager",IF(Table156[[#This Row],[Age]]&lt;=40,"Median","Old"))</f>
        <v>Old</v>
      </c>
      <c r="G792" s="4" t="s">
        <v>11</v>
      </c>
      <c r="H792" s="4">
        <v>1</v>
      </c>
      <c r="I792" s="4">
        <v>25</v>
      </c>
      <c r="J792" s="4">
        <v>25</v>
      </c>
      <c r="K792" s="4" t="str" cm="1">
        <f t="array" ref="K792">_xlfn.IFS(AND(Table156[[#This Row],[Total Amount]]&gt;=1500),"Critical",AND(Table156[[#This Row],[Total Amount]]&gt;=1000),"High",TRUE,"Normal")</f>
        <v>Normal</v>
      </c>
      <c r="L792" s="4" t="str">
        <f>IF(Table156[[#This Row],[Total Amount]]&gt;=1000,"High",(IF(Table156[[#This Row],[Total Amount]]&gt;=500,"Medium","Low")))</f>
        <v>Low</v>
      </c>
      <c r="M792" s="4" t="str" cm="1">
        <f t="array" ref="M79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92" s="4" cm="1">
        <f t="array" ref="N79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792" s="4">
        <f>Table156[[#This Row],[Total Amount]]-Table156[[#This Row],[Discount Amount]]</f>
        <v>20</v>
      </c>
      <c r="P792" s="4" t="str">
        <f>IF(Table156[[#This Row],[Total Amount]]&gt;=1000,"High","Low")</f>
        <v>Low</v>
      </c>
      <c r="Q792" s="4" t="str" cm="1">
        <f t="array" ref="Q792">_xlfn.IFS(AND(Table156[[#This Row],[Total Amount]]&gt;=1500,"Critical"),AND(Table156[[#This Row],[Total Amount]]&gt;=1000,"High"),TRUE,"Normal")</f>
        <v>Normal</v>
      </c>
      <c r="R792" s="4">
        <f>COUNTIF(Table156[Gender],"Male")</f>
        <v>490</v>
      </c>
    </row>
    <row r="793" spans="1:18" x14ac:dyDescent="0.35">
      <c r="A793" s="4">
        <v>792</v>
      </c>
      <c r="B793" s="5">
        <v>45116</v>
      </c>
      <c r="C793" s="4" t="s">
        <v>805</v>
      </c>
      <c r="D793" s="4" t="s">
        <v>13</v>
      </c>
      <c r="E793" s="4">
        <v>20</v>
      </c>
      <c r="F793" s="4" t="str">
        <f>IF(Table156[[#This Row],[Age]]&lt;=19,"Teenager",IF(Table156[[#This Row],[Age]]&lt;=40,"Median","Old"))</f>
        <v>Median</v>
      </c>
      <c r="G793" s="4" t="s">
        <v>11</v>
      </c>
      <c r="H793" s="4">
        <v>1</v>
      </c>
      <c r="I793" s="4">
        <v>50</v>
      </c>
      <c r="J793" s="4">
        <v>50</v>
      </c>
      <c r="K793" s="4" t="str" cm="1">
        <f t="array" ref="K793">_xlfn.IFS(AND(Table156[[#This Row],[Total Amount]]&gt;=1500),"Critical",AND(Table156[[#This Row],[Total Amount]]&gt;=1000),"High",TRUE,"Normal")</f>
        <v>Normal</v>
      </c>
      <c r="L793" s="4" t="str">
        <f>IF(Table156[[#This Row],[Total Amount]]&gt;=1000,"High",(IF(Table156[[#This Row],[Total Amount]]&gt;=500,"Medium","Low")))</f>
        <v>Low</v>
      </c>
      <c r="M793" s="4" t="str" cm="1">
        <f t="array" ref="M79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793" s="4" cm="1">
        <f t="array" ref="N79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793" s="4">
        <f>Table156[[#This Row],[Total Amount]]-Table156[[#This Row],[Discount Amount]]</f>
        <v>50</v>
      </c>
      <c r="P793" s="4" t="str">
        <f>IF(Table156[[#This Row],[Total Amount]]&gt;=1000,"High","Low")</f>
        <v>Low</v>
      </c>
      <c r="Q793" s="4" t="str" cm="1">
        <f t="array" ref="Q793">_xlfn.IFS(AND(Table156[[#This Row],[Total Amount]]&gt;=1500,"Critical"),AND(Table156[[#This Row],[Total Amount]]&gt;=1000,"High"),TRUE,"Normal")</f>
        <v>Normal</v>
      </c>
      <c r="R793" s="4">
        <f>COUNTIF(Table156[Gender],"Male")</f>
        <v>490</v>
      </c>
    </row>
    <row r="794" spans="1:18" x14ac:dyDescent="0.35">
      <c r="A794" s="4">
        <v>793</v>
      </c>
      <c r="B794" s="5">
        <v>44962</v>
      </c>
      <c r="C794" s="4" t="s">
        <v>806</v>
      </c>
      <c r="D794" s="4" t="s">
        <v>10</v>
      </c>
      <c r="E794" s="4">
        <v>54</v>
      </c>
      <c r="F794" s="4" t="str">
        <f>IF(Table156[[#This Row],[Age]]&lt;=19,"Teenager",IF(Table156[[#This Row],[Age]]&lt;=40,"Median","Old"))</f>
        <v>Old</v>
      </c>
      <c r="G794" s="4" t="s">
        <v>11</v>
      </c>
      <c r="H794" s="4">
        <v>1</v>
      </c>
      <c r="I794" s="4">
        <v>30</v>
      </c>
      <c r="J794" s="4">
        <v>30</v>
      </c>
      <c r="K794" s="4" t="str" cm="1">
        <f t="array" ref="K794">_xlfn.IFS(AND(Table156[[#This Row],[Total Amount]]&gt;=1500),"Critical",AND(Table156[[#This Row],[Total Amount]]&gt;=1000),"High",TRUE,"Normal")</f>
        <v>Normal</v>
      </c>
      <c r="L794" s="4" t="str">
        <f>IF(Table156[[#This Row],[Total Amount]]&gt;=1000,"High",(IF(Table156[[#This Row],[Total Amount]]&gt;=500,"Medium","Low")))</f>
        <v>Low</v>
      </c>
      <c r="M794" s="4" t="str" cm="1">
        <f t="array" ref="M79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94" s="4" cm="1">
        <f t="array" ref="N79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794" s="4">
        <f>Table156[[#This Row],[Total Amount]]-Table156[[#This Row],[Discount Amount]]</f>
        <v>27</v>
      </c>
      <c r="P794" s="4" t="str">
        <f>IF(Table156[[#This Row],[Total Amount]]&gt;=1000,"High","Low")</f>
        <v>Low</v>
      </c>
      <c r="Q794" s="4" t="str" cm="1">
        <f t="array" ref="Q794">_xlfn.IFS(AND(Table156[[#This Row],[Total Amount]]&gt;=1500,"Critical"),AND(Table156[[#This Row],[Total Amount]]&gt;=1000,"High"),TRUE,"Normal")</f>
        <v>Normal</v>
      </c>
      <c r="R794" s="4">
        <f>COUNTIF(Table156[Gender],"Male")</f>
        <v>490</v>
      </c>
    </row>
    <row r="795" spans="1:18" x14ac:dyDescent="0.35">
      <c r="A795" s="4">
        <v>794</v>
      </c>
      <c r="B795" s="5">
        <v>45186</v>
      </c>
      <c r="C795" s="4" t="s">
        <v>807</v>
      </c>
      <c r="D795" s="4" t="s">
        <v>13</v>
      </c>
      <c r="E795" s="4">
        <v>60</v>
      </c>
      <c r="F795" s="4" t="str">
        <f>IF(Table156[[#This Row],[Age]]&lt;=19,"Teenager",IF(Table156[[#This Row],[Age]]&lt;=40,"Median","Old"))</f>
        <v>Old</v>
      </c>
      <c r="G795" s="4" t="s">
        <v>11</v>
      </c>
      <c r="H795" s="4">
        <v>1</v>
      </c>
      <c r="I795" s="4">
        <v>300</v>
      </c>
      <c r="J795" s="4">
        <v>300</v>
      </c>
      <c r="K795" s="4" t="str" cm="1">
        <f t="array" ref="K795">_xlfn.IFS(AND(Table156[[#This Row],[Total Amount]]&gt;=1500),"Critical",AND(Table156[[#This Row],[Total Amount]]&gt;=1000),"High",TRUE,"Normal")</f>
        <v>Normal</v>
      </c>
      <c r="L795" s="4" t="str">
        <f>IF(Table156[[#This Row],[Total Amount]]&gt;=1000,"High",(IF(Table156[[#This Row],[Total Amount]]&gt;=500,"Medium","Low")))</f>
        <v>Low</v>
      </c>
      <c r="M795" s="4" t="str" cm="1">
        <f t="array" ref="M79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95" s="4" cm="1">
        <f t="array" ref="N79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795" s="4">
        <f>Table156[[#This Row],[Total Amount]]-Table156[[#This Row],[Discount Amount]]</f>
        <v>240</v>
      </c>
      <c r="P795" s="4" t="str">
        <f>IF(Table156[[#This Row],[Total Amount]]&gt;=1000,"High","Low")</f>
        <v>Low</v>
      </c>
      <c r="Q795" s="4" t="str" cm="1">
        <f t="array" ref="Q795">_xlfn.IFS(AND(Table156[[#This Row],[Total Amount]]&gt;=1500,"Critical"),AND(Table156[[#This Row],[Total Amount]]&gt;=1000,"High"),TRUE,"Normal")</f>
        <v>Normal</v>
      </c>
      <c r="R795" s="4">
        <f>COUNTIF(Table156[Gender],"Male")</f>
        <v>490</v>
      </c>
    </row>
    <row r="796" spans="1:18" x14ac:dyDescent="0.35">
      <c r="A796" s="4">
        <v>795</v>
      </c>
      <c r="B796" s="5">
        <v>45258</v>
      </c>
      <c r="C796" s="4" t="s">
        <v>808</v>
      </c>
      <c r="D796" s="4" t="s">
        <v>10</v>
      </c>
      <c r="E796" s="4">
        <v>57</v>
      </c>
      <c r="F796" s="4" t="str">
        <f>IF(Table156[[#This Row],[Age]]&lt;=19,"Teenager",IF(Table156[[#This Row],[Age]]&lt;=40,"Median","Old"))</f>
        <v>Old</v>
      </c>
      <c r="G796" s="4" t="s">
        <v>16</v>
      </c>
      <c r="H796" s="4">
        <v>1</v>
      </c>
      <c r="I796" s="4">
        <v>300</v>
      </c>
      <c r="J796" s="4">
        <v>300</v>
      </c>
      <c r="K796" s="4" t="str" cm="1">
        <f t="array" ref="K796">_xlfn.IFS(AND(Table156[[#This Row],[Total Amount]]&gt;=1500),"Critical",AND(Table156[[#This Row],[Total Amount]]&gt;=1000),"High",TRUE,"Normal")</f>
        <v>Normal</v>
      </c>
      <c r="L796" s="4" t="str">
        <f>IF(Table156[[#This Row],[Total Amount]]&gt;=1000,"High",(IF(Table156[[#This Row],[Total Amount]]&gt;=500,"Medium","Low")))</f>
        <v>Low</v>
      </c>
      <c r="M796" s="4" t="str" cm="1">
        <f t="array" ref="M79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96" s="4" cm="1">
        <f t="array" ref="N79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796" s="4">
        <f>Table156[[#This Row],[Total Amount]]-Table156[[#This Row],[Discount Amount]]</f>
        <v>270</v>
      </c>
      <c r="P796" s="4" t="str">
        <f>IF(Table156[[#This Row],[Total Amount]]&gt;=1000,"High","Low")</f>
        <v>Low</v>
      </c>
      <c r="Q796" s="4" t="str" cm="1">
        <f t="array" ref="Q796">_xlfn.IFS(AND(Table156[[#This Row],[Total Amount]]&gt;=1500,"Critical"),AND(Table156[[#This Row],[Total Amount]]&gt;=1000,"High"),TRUE,"Normal")</f>
        <v>Normal</v>
      </c>
      <c r="R796" s="4">
        <f>COUNTIF(Table156[Gender],"Male")</f>
        <v>490</v>
      </c>
    </row>
    <row r="797" spans="1:18" x14ac:dyDescent="0.35">
      <c r="A797" s="4">
        <v>796</v>
      </c>
      <c r="B797" s="5">
        <v>45101</v>
      </c>
      <c r="C797" s="4" t="s">
        <v>809</v>
      </c>
      <c r="D797" s="4" t="s">
        <v>10</v>
      </c>
      <c r="E797" s="4">
        <v>43</v>
      </c>
      <c r="F797" s="4" t="str">
        <f>IF(Table156[[#This Row],[Age]]&lt;=19,"Teenager",IF(Table156[[#This Row],[Age]]&lt;=40,"Median","Old"))</f>
        <v>Old</v>
      </c>
      <c r="G797" s="4" t="s">
        <v>11</v>
      </c>
      <c r="H797" s="4">
        <v>4</v>
      </c>
      <c r="I797" s="4">
        <v>30</v>
      </c>
      <c r="J797" s="4">
        <v>120</v>
      </c>
      <c r="K797" s="4" t="str" cm="1">
        <f t="array" ref="K797">_xlfn.IFS(AND(Table156[[#This Row],[Total Amount]]&gt;=1500),"Critical",AND(Table156[[#This Row],[Total Amount]]&gt;=1000),"High",TRUE,"Normal")</f>
        <v>Normal</v>
      </c>
      <c r="L797" s="4" t="str">
        <f>IF(Table156[[#This Row],[Total Amount]]&gt;=1000,"High",(IF(Table156[[#This Row],[Total Amount]]&gt;=500,"Medium","Low")))</f>
        <v>Low</v>
      </c>
      <c r="M797" s="4" t="str" cm="1">
        <f t="array" ref="M79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97" s="4" cm="1">
        <f t="array" ref="N79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797" s="4">
        <f>Table156[[#This Row],[Total Amount]]-Table156[[#This Row],[Discount Amount]]</f>
        <v>108</v>
      </c>
      <c r="P797" s="4" t="str">
        <f>IF(Table156[[#This Row],[Total Amount]]&gt;=1000,"High","Low")</f>
        <v>Low</v>
      </c>
      <c r="Q797" s="4" t="str" cm="1">
        <f t="array" ref="Q797">_xlfn.IFS(AND(Table156[[#This Row],[Total Amount]]&gt;=1500,"Critical"),AND(Table156[[#This Row],[Total Amount]]&gt;=1000,"High"),TRUE,"Normal")</f>
        <v>Normal</v>
      </c>
      <c r="R797" s="4">
        <f>COUNTIF(Table156[Gender],"Male")</f>
        <v>490</v>
      </c>
    </row>
    <row r="798" spans="1:18" x14ac:dyDescent="0.35">
      <c r="A798" s="4">
        <v>797</v>
      </c>
      <c r="B798" s="5">
        <v>44933</v>
      </c>
      <c r="C798" s="4" t="s">
        <v>810</v>
      </c>
      <c r="D798" s="4" t="s">
        <v>10</v>
      </c>
      <c r="E798" s="4">
        <v>40</v>
      </c>
      <c r="F798" s="4" t="str">
        <f>IF(Table156[[#This Row],[Age]]&lt;=19,"Teenager",IF(Table156[[#This Row],[Age]]&lt;=40,"Median","Old"))</f>
        <v>Median</v>
      </c>
      <c r="G798" s="4" t="s">
        <v>14</v>
      </c>
      <c r="H798" s="4">
        <v>3</v>
      </c>
      <c r="I798" s="4">
        <v>25</v>
      </c>
      <c r="J798" s="4">
        <v>75</v>
      </c>
      <c r="K798" s="4" t="str" cm="1">
        <f t="array" ref="K798">_xlfn.IFS(AND(Table156[[#This Row],[Total Amount]]&gt;=1500),"Critical",AND(Table156[[#This Row],[Total Amount]]&gt;=1000),"High",TRUE,"Normal")</f>
        <v>Normal</v>
      </c>
      <c r="L798" s="4" t="str">
        <f>IF(Table156[[#This Row],[Total Amount]]&gt;=1000,"High",(IF(Table156[[#This Row],[Total Amount]]&gt;=500,"Medium","Low")))</f>
        <v>Low</v>
      </c>
      <c r="M798" s="4" t="str" cm="1">
        <f t="array" ref="M79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98" s="4" cm="1">
        <f t="array" ref="N79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798" s="4">
        <f>Table156[[#This Row],[Total Amount]]-Table156[[#This Row],[Discount Amount]]</f>
        <v>67.5</v>
      </c>
      <c r="P798" s="4" t="str">
        <f>IF(Table156[[#This Row],[Total Amount]]&gt;=1000,"High","Low")</f>
        <v>Low</v>
      </c>
      <c r="Q798" s="4" t="str" cm="1">
        <f t="array" ref="Q798">_xlfn.IFS(AND(Table156[[#This Row],[Total Amount]]&gt;=1500,"Critical"),AND(Table156[[#This Row],[Total Amount]]&gt;=1000,"High"),TRUE,"Normal")</f>
        <v>Normal</v>
      </c>
      <c r="R798" s="4">
        <f>COUNTIF(Table156[Gender],"Male")</f>
        <v>490</v>
      </c>
    </row>
    <row r="799" spans="1:18" x14ac:dyDescent="0.35">
      <c r="A799" s="4">
        <v>798</v>
      </c>
      <c r="B799" s="5">
        <v>45142</v>
      </c>
      <c r="C799" s="4" t="s">
        <v>811</v>
      </c>
      <c r="D799" s="4" t="s">
        <v>10</v>
      </c>
      <c r="E799" s="4">
        <v>61</v>
      </c>
      <c r="F799" s="4" t="str">
        <f>IF(Table156[[#This Row],[Age]]&lt;=19,"Teenager",IF(Table156[[#This Row],[Age]]&lt;=40,"Median","Old"))</f>
        <v>Old</v>
      </c>
      <c r="G799" s="4" t="s">
        <v>14</v>
      </c>
      <c r="H799" s="4">
        <v>1</v>
      </c>
      <c r="I799" s="4">
        <v>50</v>
      </c>
      <c r="J799" s="4">
        <v>50</v>
      </c>
      <c r="K799" s="4" t="str" cm="1">
        <f t="array" ref="K799">_xlfn.IFS(AND(Table156[[#This Row],[Total Amount]]&gt;=1500),"Critical",AND(Table156[[#This Row],[Total Amount]]&gt;=1000),"High",TRUE,"Normal")</f>
        <v>Normal</v>
      </c>
      <c r="L799" s="4" t="str">
        <f>IF(Table156[[#This Row],[Total Amount]]&gt;=1000,"High",(IF(Table156[[#This Row],[Total Amount]]&gt;=500,"Medium","Low")))</f>
        <v>Low</v>
      </c>
      <c r="M799" s="4" t="str" cm="1">
        <f t="array" ref="M79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99" s="4" cm="1">
        <f t="array" ref="N79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799" s="4">
        <f>Table156[[#This Row],[Total Amount]]-Table156[[#This Row],[Discount Amount]]</f>
        <v>45</v>
      </c>
      <c r="P799" s="4" t="str">
        <f>IF(Table156[[#This Row],[Total Amount]]&gt;=1000,"High","Low")</f>
        <v>Low</v>
      </c>
      <c r="Q799" s="4" t="str" cm="1">
        <f t="array" ref="Q799">_xlfn.IFS(AND(Table156[[#This Row],[Total Amount]]&gt;=1500,"Critical"),AND(Table156[[#This Row],[Total Amount]]&gt;=1000,"High"),TRUE,"Normal")</f>
        <v>Normal</v>
      </c>
      <c r="R799" s="4">
        <f>COUNTIF(Table156[Gender],"Male")</f>
        <v>490</v>
      </c>
    </row>
    <row r="800" spans="1:18" x14ac:dyDescent="0.35">
      <c r="A800" s="4">
        <v>799</v>
      </c>
      <c r="B800" s="5">
        <v>45177</v>
      </c>
      <c r="C800" s="4" t="s">
        <v>812</v>
      </c>
      <c r="D800" s="4" t="s">
        <v>10</v>
      </c>
      <c r="E800" s="4">
        <v>56</v>
      </c>
      <c r="F800" s="4" t="str">
        <f>IF(Table156[[#This Row],[Age]]&lt;=19,"Teenager",IF(Table156[[#This Row],[Age]]&lt;=40,"Median","Old"))</f>
        <v>Old</v>
      </c>
      <c r="G800" s="4" t="s">
        <v>16</v>
      </c>
      <c r="H800" s="4">
        <v>2</v>
      </c>
      <c r="I800" s="4">
        <v>50</v>
      </c>
      <c r="J800" s="4">
        <v>100</v>
      </c>
      <c r="K800" s="4" t="str" cm="1">
        <f t="array" ref="K800">_xlfn.IFS(AND(Table156[[#This Row],[Total Amount]]&gt;=1500),"Critical",AND(Table156[[#This Row],[Total Amount]]&gt;=1000),"High",TRUE,"Normal")</f>
        <v>Normal</v>
      </c>
      <c r="L800" s="4" t="str">
        <f>IF(Table156[[#This Row],[Total Amount]]&gt;=1000,"High",(IF(Table156[[#This Row],[Total Amount]]&gt;=500,"Medium","Low")))</f>
        <v>Low</v>
      </c>
      <c r="M800" s="4" t="str" cm="1">
        <f t="array" ref="M80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00" s="4" cm="1">
        <f t="array" ref="N80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800" s="4">
        <f>Table156[[#This Row],[Total Amount]]-Table156[[#This Row],[Discount Amount]]</f>
        <v>90</v>
      </c>
      <c r="P800" s="4" t="str">
        <f>IF(Table156[[#This Row],[Total Amount]]&gt;=1000,"High","Low")</f>
        <v>Low</v>
      </c>
      <c r="Q800" s="4" t="str" cm="1">
        <f t="array" ref="Q800">_xlfn.IFS(AND(Table156[[#This Row],[Total Amount]]&gt;=1500,"Critical"),AND(Table156[[#This Row],[Total Amount]]&gt;=1000,"High"),TRUE,"Normal")</f>
        <v>Normal</v>
      </c>
      <c r="R800" s="4">
        <f>COUNTIF(Table156[Gender],"Male")</f>
        <v>490</v>
      </c>
    </row>
    <row r="801" spans="1:18" x14ac:dyDescent="0.35">
      <c r="A801" s="4">
        <v>800</v>
      </c>
      <c r="B801" s="5">
        <v>44981</v>
      </c>
      <c r="C801" s="4" t="s">
        <v>813</v>
      </c>
      <c r="D801" s="4" t="s">
        <v>10</v>
      </c>
      <c r="E801" s="4">
        <v>32</v>
      </c>
      <c r="F801" s="4" t="str">
        <f>IF(Table156[[#This Row],[Age]]&lt;=19,"Teenager",IF(Table156[[#This Row],[Age]]&lt;=40,"Median","Old"))</f>
        <v>Median</v>
      </c>
      <c r="G801" s="4" t="s">
        <v>14</v>
      </c>
      <c r="H801" s="4">
        <v>4</v>
      </c>
      <c r="I801" s="4">
        <v>300</v>
      </c>
      <c r="J801" s="4">
        <v>1200</v>
      </c>
      <c r="K801" s="4" t="str" cm="1">
        <f t="array" ref="K801">_xlfn.IFS(AND(Table156[[#This Row],[Total Amount]]&gt;=1500),"Critical",AND(Table156[[#This Row],[Total Amount]]&gt;=1000),"High",TRUE,"Normal")</f>
        <v>High</v>
      </c>
      <c r="L801" s="4" t="str">
        <f>IF(Table156[[#This Row],[Total Amount]]&gt;=1000,"High",(IF(Table156[[#This Row],[Total Amount]]&gt;=500,"Medium","Low")))</f>
        <v>High</v>
      </c>
      <c r="M801" s="4" t="str" cm="1">
        <f t="array" ref="M80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01" s="4" cm="1">
        <f t="array" ref="N80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801" s="4">
        <f>Table156[[#This Row],[Total Amount]]-Table156[[#This Row],[Discount Amount]]</f>
        <v>1020</v>
      </c>
      <c r="P801" s="4" t="str">
        <f>IF(Table156[[#This Row],[Total Amount]]&gt;=1000,"High","Low")</f>
        <v>High</v>
      </c>
      <c r="Q801" s="4" t="str" cm="1">
        <f t="array" ref="Q801">_xlfn.IFS(AND(Table156[[#This Row],[Total Amount]]&gt;=1500,"Critical"),AND(Table156[[#This Row],[Total Amount]]&gt;=1000,"High"),TRUE,"Normal")</f>
        <v>Normal</v>
      </c>
      <c r="R801" s="4">
        <f>COUNTIF(Table156[Gender],"Male")</f>
        <v>490</v>
      </c>
    </row>
    <row r="802" spans="1:18" x14ac:dyDescent="0.35">
      <c r="A802" s="4">
        <v>801</v>
      </c>
      <c r="B802" s="5">
        <v>45148</v>
      </c>
      <c r="C802" s="4" t="s">
        <v>814</v>
      </c>
      <c r="D802" s="4" t="s">
        <v>10</v>
      </c>
      <c r="E802" s="4">
        <v>21</v>
      </c>
      <c r="F802" s="4" t="str">
        <f>IF(Table156[[#This Row],[Age]]&lt;=19,"Teenager",IF(Table156[[#This Row],[Age]]&lt;=40,"Median","Old"))</f>
        <v>Median</v>
      </c>
      <c r="G802" s="4" t="s">
        <v>14</v>
      </c>
      <c r="H802" s="4">
        <v>4</v>
      </c>
      <c r="I802" s="4">
        <v>50</v>
      </c>
      <c r="J802" s="4">
        <v>200</v>
      </c>
      <c r="K802" s="4" t="str" cm="1">
        <f t="array" ref="K802">_xlfn.IFS(AND(Table156[[#This Row],[Total Amount]]&gt;=1500),"Critical",AND(Table156[[#This Row],[Total Amount]]&gt;=1000),"High",TRUE,"Normal")</f>
        <v>Normal</v>
      </c>
      <c r="L802" s="4" t="str">
        <f>IF(Table156[[#This Row],[Total Amount]]&gt;=1000,"High",(IF(Table156[[#This Row],[Total Amount]]&gt;=500,"Medium","Low")))</f>
        <v>Low</v>
      </c>
      <c r="M802" s="4" t="str" cm="1">
        <f t="array" ref="M80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02" s="4" cm="1">
        <f t="array" ref="N80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02" s="4">
        <f>Table156[[#This Row],[Total Amount]]-Table156[[#This Row],[Discount Amount]]</f>
        <v>200</v>
      </c>
      <c r="P802" s="4" t="str">
        <f>IF(Table156[[#This Row],[Total Amount]]&gt;=1000,"High","Low")</f>
        <v>Low</v>
      </c>
      <c r="Q802" s="4" t="str" cm="1">
        <f t="array" ref="Q802">_xlfn.IFS(AND(Table156[[#This Row],[Total Amount]]&gt;=1500,"Critical"),AND(Table156[[#This Row],[Total Amount]]&gt;=1000,"High"),TRUE,"Normal")</f>
        <v>Normal</v>
      </c>
      <c r="R802" s="4">
        <f>COUNTIF(Table156[Gender],"Male")</f>
        <v>490</v>
      </c>
    </row>
    <row r="803" spans="1:18" x14ac:dyDescent="0.35">
      <c r="A803" s="4">
        <v>802</v>
      </c>
      <c r="B803" s="5">
        <v>45112</v>
      </c>
      <c r="C803" s="4" t="s">
        <v>815</v>
      </c>
      <c r="D803" s="4" t="s">
        <v>13</v>
      </c>
      <c r="E803" s="4">
        <v>46</v>
      </c>
      <c r="F803" s="4" t="str">
        <f>IF(Table156[[#This Row],[Age]]&lt;=19,"Teenager",IF(Table156[[#This Row],[Age]]&lt;=40,"Median","Old"))</f>
        <v>Old</v>
      </c>
      <c r="G803" s="4" t="s">
        <v>11</v>
      </c>
      <c r="H803" s="4">
        <v>1</v>
      </c>
      <c r="I803" s="4">
        <v>30</v>
      </c>
      <c r="J803" s="4">
        <v>30</v>
      </c>
      <c r="K803" s="4" t="str" cm="1">
        <f t="array" ref="K803">_xlfn.IFS(AND(Table156[[#This Row],[Total Amount]]&gt;=1500),"Critical",AND(Table156[[#This Row],[Total Amount]]&gt;=1000),"High",TRUE,"Normal")</f>
        <v>Normal</v>
      </c>
      <c r="L803" s="4" t="str">
        <f>IF(Table156[[#This Row],[Total Amount]]&gt;=1000,"High",(IF(Table156[[#This Row],[Total Amount]]&gt;=500,"Medium","Low")))</f>
        <v>Low</v>
      </c>
      <c r="M803" s="4" t="str" cm="1">
        <f t="array" ref="M80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03" s="4" cm="1">
        <f t="array" ref="N80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803" s="4">
        <f>Table156[[#This Row],[Total Amount]]-Table156[[#This Row],[Discount Amount]]</f>
        <v>24</v>
      </c>
      <c r="P803" s="4" t="str">
        <f>IF(Table156[[#This Row],[Total Amount]]&gt;=1000,"High","Low")</f>
        <v>Low</v>
      </c>
      <c r="Q803" s="4" t="str" cm="1">
        <f t="array" ref="Q803">_xlfn.IFS(AND(Table156[[#This Row],[Total Amount]]&gt;=1500,"Critical"),AND(Table156[[#This Row],[Total Amount]]&gt;=1000,"High"),TRUE,"Normal")</f>
        <v>Normal</v>
      </c>
      <c r="R803" s="4">
        <f>COUNTIF(Table156[Gender],"Male")</f>
        <v>490</v>
      </c>
    </row>
    <row r="804" spans="1:18" x14ac:dyDescent="0.35">
      <c r="A804" s="4">
        <v>803</v>
      </c>
      <c r="B804" s="5">
        <v>45252</v>
      </c>
      <c r="C804" s="4" t="s">
        <v>816</v>
      </c>
      <c r="D804" s="4" t="s">
        <v>10</v>
      </c>
      <c r="E804" s="4">
        <v>39</v>
      </c>
      <c r="F804" s="4" t="str">
        <f>IF(Table156[[#This Row],[Age]]&lt;=19,"Teenager",IF(Table156[[#This Row],[Age]]&lt;=40,"Median","Old"))</f>
        <v>Median</v>
      </c>
      <c r="G804" s="4" t="s">
        <v>14</v>
      </c>
      <c r="H804" s="4">
        <v>4</v>
      </c>
      <c r="I804" s="4">
        <v>25</v>
      </c>
      <c r="J804" s="4">
        <v>100</v>
      </c>
      <c r="K804" s="4" t="str" cm="1">
        <f t="array" ref="K804">_xlfn.IFS(AND(Table156[[#This Row],[Total Amount]]&gt;=1500),"Critical",AND(Table156[[#This Row],[Total Amount]]&gt;=1000),"High",TRUE,"Normal")</f>
        <v>Normal</v>
      </c>
      <c r="L804" s="4" t="str">
        <f>IF(Table156[[#This Row],[Total Amount]]&gt;=1000,"High",(IF(Table156[[#This Row],[Total Amount]]&gt;=500,"Medium","Low")))</f>
        <v>Low</v>
      </c>
      <c r="M804" s="4" t="str" cm="1">
        <f t="array" ref="M80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04" s="4" cm="1">
        <f t="array" ref="N80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804" s="4">
        <f>Table156[[#This Row],[Total Amount]]-Table156[[#This Row],[Discount Amount]]</f>
        <v>90</v>
      </c>
      <c r="P804" s="4" t="str">
        <f>IF(Table156[[#This Row],[Total Amount]]&gt;=1000,"High","Low")</f>
        <v>Low</v>
      </c>
      <c r="Q804" s="4" t="str" cm="1">
        <f t="array" ref="Q804">_xlfn.IFS(AND(Table156[[#This Row],[Total Amount]]&gt;=1500,"Critical"),AND(Table156[[#This Row],[Total Amount]]&gt;=1000,"High"),TRUE,"Normal")</f>
        <v>Normal</v>
      </c>
      <c r="R804" s="4">
        <f>COUNTIF(Table156[Gender],"Male")</f>
        <v>490</v>
      </c>
    </row>
    <row r="805" spans="1:18" x14ac:dyDescent="0.35">
      <c r="A805" s="4">
        <v>804</v>
      </c>
      <c r="B805" s="5">
        <v>45162</v>
      </c>
      <c r="C805" s="4" t="s">
        <v>817</v>
      </c>
      <c r="D805" s="4" t="s">
        <v>10</v>
      </c>
      <c r="E805" s="4">
        <v>42</v>
      </c>
      <c r="F805" s="4" t="str">
        <f>IF(Table156[[#This Row],[Age]]&lt;=19,"Teenager",IF(Table156[[#This Row],[Age]]&lt;=40,"Median","Old"))</f>
        <v>Old</v>
      </c>
      <c r="G805" s="4" t="s">
        <v>16</v>
      </c>
      <c r="H805" s="4">
        <v>1</v>
      </c>
      <c r="I805" s="4">
        <v>30</v>
      </c>
      <c r="J805" s="4">
        <v>30</v>
      </c>
      <c r="K805" s="4" t="str" cm="1">
        <f t="array" ref="K805">_xlfn.IFS(AND(Table156[[#This Row],[Total Amount]]&gt;=1500),"Critical",AND(Table156[[#This Row],[Total Amount]]&gt;=1000),"High",TRUE,"Normal")</f>
        <v>Normal</v>
      </c>
      <c r="L805" s="4" t="str">
        <f>IF(Table156[[#This Row],[Total Amount]]&gt;=1000,"High",(IF(Table156[[#This Row],[Total Amount]]&gt;=500,"Medium","Low")))</f>
        <v>Low</v>
      </c>
      <c r="M805" s="4" t="str" cm="1">
        <f t="array" ref="M80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05" s="4" cm="1">
        <f t="array" ref="N80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805" s="4">
        <f>Table156[[#This Row],[Total Amount]]-Table156[[#This Row],[Discount Amount]]</f>
        <v>27</v>
      </c>
      <c r="P805" s="4" t="str">
        <f>IF(Table156[[#This Row],[Total Amount]]&gt;=1000,"High","Low")</f>
        <v>Low</v>
      </c>
      <c r="Q805" s="4" t="str" cm="1">
        <f t="array" ref="Q805">_xlfn.IFS(AND(Table156[[#This Row],[Total Amount]]&gt;=1500,"Critical"),AND(Table156[[#This Row],[Total Amount]]&gt;=1000,"High"),TRUE,"Normal")</f>
        <v>Normal</v>
      </c>
      <c r="R805" s="4">
        <f>COUNTIF(Table156[Gender],"Male")</f>
        <v>490</v>
      </c>
    </row>
    <row r="806" spans="1:18" x14ac:dyDescent="0.35">
      <c r="A806" s="4">
        <v>805</v>
      </c>
      <c r="B806" s="5">
        <v>45289</v>
      </c>
      <c r="C806" s="4" t="s">
        <v>818</v>
      </c>
      <c r="D806" s="4" t="s">
        <v>13</v>
      </c>
      <c r="E806" s="4">
        <v>30</v>
      </c>
      <c r="F806" s="4" t="str">
        <f>IF(Table156[[#This Row],[Age]]&lt;=19,"Teenager",IF(Table156[[#This Row],[Age]]&lt;=40,"Median","Old"))</f>
        <v>Median</v>
      </c>
      <c r="G806" s="4" t="s">
        <v>11</v>
      </c>
      <c r="H806" s="4">
        <v>3</v>
      </c>
      <c r="I806" s="4">
        <v>500</v>
      </c>
      <c r="J806" s="4">
        <v>1500</v>
      </c>
      <c r="K806" s="4" t="str" cm="1">
        <f t="array" ref="K806">_xlfn.IFS(AND(Table156[[#This Row],[Total Amount]]&gt;=1500),"Critical",AND(Table156[[#This Row],[Total Amount]]&gt;=1000),"High",TRUE,"Normal")</f>
        <v>Critical</v>
      </c>
      <c r="L806" s="4" t="str">
        <f>IF(Table156[[#This Row],[Total Amount]]&gt;=1000,"High",(IF(Table156[[#This Row],[Total Amount]]&gt;=500,"Medium","Low")))</f>
        <v>High</v>
      </c>
      <c r="M806" s="4" t="str" cm="1">
        <f t="array" ref="M80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06" s="4" cm="1">
        <f t="array" ref="N80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225</v>
      </c>
      <c r="O806" s="4">
        <f>Table156[[#This Row],[Total Amount]]-Table156[[#This Row],[Discount Amount]]</f>
        <v>1275</v>
      </c>
      <c r="P806" s="4" t="str">
        <f>IF(Table156[[#This Row],[Total Amount]]&gt;=1000,"High","Low")</f>
        <v>High</v>
      </c>
      <c r="Q806" s="4" t="b" cm="1">
        <f t="array" ref="Q806">_xlfn.IFS(AND(Table156[[#This Row],[Total Amount]]&gt;=1500,"Critical"),AND(Table156[[#This Row],[Total Amount]]&gt;=1000,"High"),TRUE,"Normal")</f>
        <v>1</v>
      </c>
      <c r="R806" s="4">
        <f>COUNTIF(Table156[Gender],"Male")</f>
        <v>490</v>
      </c>
    </row>
    <row r="807" spans="1:18" x14ac:dyDescent="0.35">
      <c r="A807" s="4">
        <v>806</v>
      </c>
      <c r="B807" s="5">
        <v>45005</v>
      </c>
      <c r="C807" s="4" t="s">
        <v>819</v>
      </c>
      <c r="D807" s="4" t="s">
        <v>13</v>
      </c>
      <c r="E807" s="4">
        <v>35</v>
      </c>
      <c r="F807" s="4" t="str">
        <f>IF(Table156[[#This Row],[Age]]&lt;=19,"Teenager",IF(Table156[[#This Row],[Age]]&lt;=40,"Median","Old"))</f>
        <v>Median</v>
      </c>
      <c r="G807" s="4" t="s">
        <v>11</v>
      </c>
      <c r="H807" s="4">
        <v>3</v>
      </c>
      <c r="I807" s="4">
        <v>300</v>
      </c>
      <c r="J807" s="4">
        <v>900</v>
      </c>
      <c r="K807" s="4" t="str" cm="1">
        <f t="array" ref="K807">_xlfn.IFS(AND(Table156[[#This Row],[Total Amount]]&gt;=1500),"Critical",AND(Table156[[#This Row],[Total Amount]]&gt;=1000),"High",TRUE,"Normal")</f>
        <v>Normal</v>
      </c>
      <c r="L807" s="4" t="str">
        <f>IF(Table156[[#This Row],[Total Amount]]&gt;=1000,"High",(IF(Table156[[#This Row],[Total Amount]]&gt;=500,"Medium","Low")))</f>
        <v>Medium</v>
      </c>
      <c r="M807" s="4" t="str" cm="1">
        <f t="array" ref="M80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07" s="4" cm="1">
        <f t="array" ref="N80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807" s="4">
        <f>Table156[[#This Row],[Total Amount]]-Table156[[#This Row],[Discount Amount]]</f>
        <v>720</v>
      </c>
      <c r="P807" s="4" t="str">
        <f>IF(Table156[[#This Row],[Total Amount]]&gt;=1000,"High","Low")</f>
        <v>Low</v>
      </c>
      <c r="Q807" s="4" t="str" cm="1">
        <f t="array" ref="Q807">_xlfn.IFS(AND(Table156[[#This Row],[Total Amount]]&gt;=1500,"Critical"),AND(Table156[[#This Row],[Total Amount]]&gt;=1000,"High"),TRUE,"Normal")</f>
        <v>Normal</v>
      </c>
      <c r="R807" s="4">
        <f>COUNTIF(Table156[Gender],"Male")</f>
        <v>490</v>
      </c>
    </row>
    <row r="808" spans="1:18" x14ac:dyDescent="0.35">
      <c r="A808" s="4">
        <v>807</v>
      </c>
      <c r="B808" s="5">
        <v>45149</v>
      </c>
      <c r="C808" s="4" t="s">
        <v>820</v>
      </c>
      <c r="D808" s="4" t="s">
        <v>13</v>
      </c>
      <c r="E808" s="4">
        <v>50</v>
      </c>
      <c r="F808" s="4" t="str">
        <f>IF(Table156[[#This Row],[Age]]&lt;=19,"Teenager",IF(Table156[[#This Row],[Age]]&lt;=40,"Median","Old"))</f>
        <v>Old</v>
      </c>
      <c r="G808" s="4" t="s">
        <v>16</v>
      </c>
      <c r="H808" s="4">
        <v>4</v>
      </c>
      <c r="I808" s="4">
        <v>50</v>
      </c>
      <c r="J808" s="4">
        <v>200</v>
      </c>
      <c r="K808" s="4" t="str" cm="1">
        <f t="array" ref="K808">_xlfn.IFS(AND(Table156[[#This Row],[Total Amount]]&gt;=1500),"Critical",AND(Table156[[#This Row],[Total Amount]]&gt;=1000),"High",TRUE,"Normal")</f>
        <v>Normal</v>
      </c>
      <c r="L808" s="4" t="str">
        <f>IF(Table156[[#This Row],[Total Amount]]&gt;=1000,"High",(IF(Table156[[#This Row],[Total Amount]]&gt;=500,"Medium","Low")))</f>
        <v>Low</v>
      </c>
      <c r="M808" s="4" t="str" cm="1">
        <f t="array" ref="M80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08" s="4" cm="1">
        <f t="array" ref="N80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808" s="4">
        <f>Table156[[#This Row],[Total Amount]]-Table156[[#This Row],[Discount Amount]]</f>
        <v>160</v>
      </c>
      <c r="P808" s="4" t="str">
        <f>IF(Table156[[#This Row],[Total Amount]]&gt;=1000,"High","Low")</f>
        <v>Low</v>
      </c>
      <c r="Q808" s="4" t="str" cm="1">
        <f t="array" ref="Q808">_xlfn.IFS(AND(Table156[[#This Row],[Total Amount]]&gt;=1500,"Critical"),AND(Table156[[#This Row],[Total Amount]]&gt;=1000,"High"),TRUE,"Normal")</f>
        <v>Normal</v>
      </c>
      <c r="R808" s="4">
        <f>COUNTIF(Table156[Gender],"Male")</f>
        <v>490</v>
      </c>
    </row>
    <row r="809" spans="1:18" x14ac:dyDescent="0.35">
      <c r="A809" s="4">
        <v>808</v>
      </c>
      <c r="B809" s="5">
        <v>45017</v>
      </c>
      <c r="C809" s="4" t="s">
        <v>821</v>
      </c>
      <c r="D809" s="4" t="s">
        <v>10</v>
      </c>
      <c r="E809" s="4">
        <v>33</v>
      </c>
      <c r="F809" s="4" t="str">
        <f>IF(Table156[[#This Row],[Age]]&lt;=19,"Teenager",IF(Table156[[#This Row],[Age]]&lt;=40,"Median","Old"))</f>
        <v>Median</v>
      </c>
      <c r="G809" s="4" t="s">
        <v>11</v>
      </c>
      <c r="H809" s="4">
        <v>4</v>
      </c>
      <c r="I809" s="4">
        <v>500</v>
      </c>
      <c r="J809" s="4">
        <v>2000</v>
      </c>
      <c r="K809" s="4" t="str" cm="1">
        <f t="array" ref="K809">_xlfn.IFS(AND(Table156[[#This Row],[Total Amount]]&gt;=1500),"Critical",AND(Table156[[#This Row],[Total Amount]]&gt;=1000),"High",TRUE,"Normal")</f>
        <v>Critical</v>
      </c>
      <c r="L809" s="4" t="str">
        <f>IF(Table156[[#This Row],[Total Amount]]&gt;=1000,"High",(IF(Table156[[#This Row],[Total Amount]]&gt;=500,"Medium","Low")))</f>
        <v>High</v>
      </c>
      <c r="M809" s="4" t="str" cm="1">
        <f t="array" ref="M80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09" s="4" cm="1">
        <f t="array" ref="N80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809" s="4">
        <f>Table156[[#This Row],[Total Amount]]-Table156[[#This Row],[Discount Amount]]</f>
        <v>1700</v>
      </c>
      <c r="P809" s="4" t="str">
        <f>IF(Table156[[#This Row],[Total Amount]]&gt;=1000,"High","Low")</f>
        <v>High</v>
      </c>
      <c r="Q809" s="4" t="b" cm="1">
        <f t="array" ref="Q809">_xlfn.IFS(AND(Table156[[#This Row],[Total Amount]]&gt;=1500,"Critical"),AND(Table156[[#This Row],[Total Amount]]&gt;=1000,"High"),TRUE,"Normal")</f>
        <v>1</v>
      </c>
      <c r="R809" s="4">
        <f>COUNTIF(Table156[Gender],"Male")</f>
        <v>490</v>
      </c>
    </row>
    <row r="810" spans="1:18" x14ac:dyDescent="0.35">
      <c r="A810" s="4">
        <v>809</v>
      </c>
      <c r="B810" s="5">
        <v>45194</v>
      </c>
      <c r="C810" s="4" t="s">
        <v>822</v>
      </c>
      <c r="D810" s="4" t="s">
        <v>13</v>
      </c>
      <c r="E810" s="4">
        <v>62</v>
      </c>
      <c r="F810" s="4" t="str">
        <f>IF(Table156[[#This Row],[Age]]&lt;=19,"Teenager",IF(Table156[[#This Row],[Age]]&lt;=40,"Median","Old"))</f>
        <v>Old</v>
      </c>
      <c r="G810" s="4" t="s">
        <v>11</v>
      </c>
      <c r="H810" s="4">
        <v>2</v>
      </c>
      <c r="I810" s="4">
        <v>50</v>
      </c>
      <c r="J810" s="4">
        <v>100</v>
      </c>
      <c r="K810" s="4" t="str" cm="1">
        <f t="array" ref="K810">_xlfn.IFS(AND(Table156[[#This Row],[Total Amount]]&gt;=1500),"Critical",AND(Table156[[#This Row],[Total Amount]]&gt;=1000),"High",TRUE,"Normal")</f>
        <v>Normal</v>
      </c>
      <c r="L810" s="4" t="str">
        <f>IF(Table156[[#This Row],[Total Amount]]&gt;=1000,"High",(IF(Table156[[#This Row],[Total Amount]]&gt;=500,"Medium","Low")))</f>
        <v>Low</v>
      </c>
      <c r="M810" s="4" t="str" cm="1">
        <f t="array" ref="M81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10" s="4" cm="1">
        <f t="array" ref="N81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810" s="4">
        <f>Table156[[#This Row],[Total Amount]]-Table156[[#This Row],[Discount Amount]]</f>
        <v>80</v>
      </c>
      <c r="P810" s="4" t="str">
        <f>IF(Table156[[#This Row],[Total Amount]]&gt;=1000,"High","Low")</f>
        <v>Low</v>
      </c>
      <c r="Q810" s="4" t="str" cm="1">
        <f t="array" ref="Q810">_xlfn.IFS(AND(Table156[[#This Row],[Total Amount]]&gt;=1500,"Critical"),AND(Table156[[#This Row],[Total Amount]]&gt;=1000,"High"),TRUE,"Normal")</f>
        <v>Normal</v>
      </c>
      <c r="R810" s="4">
        <f>COUNTIF(Table156[Gender],"Male")</f>
        <v>490</v>
      </c>
    </row>
    <row r="811" spans="1:18" x14ac:dyDescent="0.35">
      <c r="A811" s="4">
        <v>810</v>
      </c>
      <c r="B811" s="5">
        <v>45260</v>
      </c>
      <c r="C811" s="4" t="s">
        <v>823</v>
      </c>
      <c r="D811" s="4" t="s">
        <v>10</v>
      </c>
      <c r="E811" s="4">
        <v>59</v>
      </c>
      <c r="F811" s="4" t="str">
        <f>IF(Table156[[#This Row],[Age]]&lt;=19,"Teenager",IF(Table156[[#This Row],[Age]]&lt;=40,"Median","Old"))</f>
        <v>Old</v>
      </c>
      <c r="G811" s="4" t="s">
        <v>16</v>
      </c>
      <c r="H811" s="4">
        <v>4</v>
      </c>
      <c r="I811" s="4">
        <v>25</v>
      </c>
      <c r="J811" s="4">
        <v>100</v>
      </c>
      <c r="K811" s="4" t="str" cm="1">
        <f t="array" ref="K811">_xlfn.IFS(AND(Table156[[#This Row],[Total Amount]]&gt;=1500),"Critical",AND(Table156[[#This Row],[Total Amount]]&gt;=1000),"High",TRUE,"Normal")</f>
        <v>Normal</v>
      </c>
      <c r="L811" s="4" t="str">
        <f>IF(Table156[[#This Row],[Total Amount]]&gt;=1000,"High",(IF(Table156[[#This Row],[Total Amount]]&gt;=500,"Medium","Low")))</f>
        <v>Low</v>
      </c>
      <c r="M811" s="4" t="str" cm="1">
        <f t="array" ref="M81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11" s="4" cm="1">
        <f t="array" ref="N81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811" s="4">
        <f>Table156[[#This Row],[Total Amount]]-Table156[[#This Row],[Discount Amount]]</f>
        <v>90</v>
      </c>
      <c r="P811" s="4" t="str">
        <f>IF(Table156[[#This Row],[Total Amount]]&gt;=1000,"High","Low")</f>
        <v>Low</v>
      </c>
      <c r="Q811" s="4" t="str" cm="1">
        <f t="array" ref="Q811">_xlfn.IFS(AND(Table156[[#This Row],[Total Amount]]&gt;=1500,"Critical"),AND(Table156[[#This Row],[Total Amount]]&gt;=1000,"High"),TRUE,"Normal")</f>
        <v>Normal</v>
      </c>
      <c r="R811" s="4">
        <f>COUNTIF(Table156[Gender],"Male")</f>
        <v>490</v>
      </c>
    </row>
    <row r="812" spans="1:18" x14ac:dyDescent="0.35">
      <c r="A812" s="4">
        <v>811</v>
      </c>
      <c r="B812" s="5">
        <v>45065</v>
      </c>
      <c r="C812" s="4" t="s">
        <v>824</v>
      </c>
      <c r="D812" s="4" t="s">
        <v>10</v>
      </c>
      <c r="E812" s="4">
        <v>61</v>
      </c>
      <c r="F812" s="4" t="str">
        <f>IF(Table156[[#This Row],[Age]]&lt;=19,"Teenager",IF(Table156[[#This Row],[Age]]&lt;=40,"Median","Old"))</f>
        <v>Old</v>
      </c>
      <c r="G812" s="4" t="s">
        <v>11</v>
      </c>
      <c r="H812" s="4">
        <v>2</v>
      </c>
      <c r="I812" s="4">
        <v>25</v>
      </c>
      <c r="J812" s="4">
        <v>50</v>
      </c>
      <c r="K812" s="4" t="str" cm="1">
        <f t="array" ref="K812">_xlfn.IFS(AND(Table156[[#This Row],[Total Amount]]&gt;=1500),"Critical",AND(Table156[[#This Row],[Total Amount]]&gt;=1000),"High",TRUE,"Normal")</f>
        <v>Normal</v>
      </c>
      <c r="L812" s="4" t="str">
        <f>IF(Table156[[#This Row],[Total Amount]]&gt;=1000,"High",(IF(Table156[[#This Row],[Total Amount]]&gt;=500,"Medium","Low")))</f>
        <v>Low</v>
      </c>
      <c r="M812" s="4" t="str" cm="1">
        <f t="array" ref="M81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12" s="4" cm="1">
        <f t="array" ref="N81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812" s="4">
        <f>Table156[[#This Row],[Total Amount]]-Table156[[#This Row],[Discount Amount]]</f>
        <v>45</v>
      </c>
      <c r="P812" s="4" t="str">
        <f>IF(Table156[[#This Row],[Total Amount]]&gt;=1000,"High","Low")</f>
        <v>Low</v>
      </c>
      <c r="Q812" s="4" t="str" cm="1">
        <f t="array" ref="Q812">_xlfn.IFS(AND(Table156[[#This Row],[Total Amount]]&gt;=1500,"Critical"),AND(Table156[[#This Row],[Total Amount]]&gt;=1000,"High"),TRUE,"Normal")</f>
        <v>Normal</v>
      </c>
      <c r="R812" s="4">
        <f>COUNTIF(Table156[Gender],"Male")</f>
        <v>490</v>
      </c>
    </row>
    <row r="813" spans="1:18" x14ac:dyDescent="0.35">
      <c r="A813" s="4">
        <v>812</v>
      </c>
      <c r="B813" s="5">
        <v>45242</v>
      </c>
      <c r="C813" s="4" t="s">
        <v>825</v>
      </c>
      <c r="D813" s="4" t="s">
        <v>10</v>
      </c>
      <c r="E813" s="4">
        <v>19</v>
      </c>
      <c r="F813" s="4" t="str">
        <f>IF(Table156[[#This Row],[Age]]&lt;=19,"Teenager",IF(Table156[[#This Row],[Age]]&lt;=40,"Median","Old"))</f>
        <v>Teenager</v>
      </c>
      <c r="G813" s="4" t="s">
        <v>16</v>
      </c>
      <c r="H813" s="4">
        <v>3</v>
      </c>
      <c r="I813" s="4">
        <v>25</v>
      </c>
      <c r="J813" s="4">
        <v>75</v>
      </c>
      <c r="K813" s="4" t="str" cm="1">
        <f t="array" ref="K813">_xlfn.IFS(AND(Table156[[#This Row],[Total Amount]]&gt;=1500),"Critical",AND(Table156[[#This Row],[Total Amount]]&gt;=1000),"High",TRUE,"Normal")</f>
        <v>Normal</v>
      </c>
      <c r="L813" s="4" t="str">
        <f>IF(Table156[[#This Row],[Total Amount]]&gt;=1000,"High",(IF(Table156[[#This Row],[Total Amount]]&gt;=500,"Medium","Low")))</f>
        <v>Low</v>
      </c>
      <c r="M813" s="4" t="str" cm="1">
        <f t="array" ref="M81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13" s="4" cm="1">
        <f t="array" ref="N81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13" s="4">
        <f>Table156[[#This Row],[Total Amount]]-Table156[[#This Row],[Discount Amount]]</f>
        <v>75</v>
      </c>
      <c r="P813" s="4" t="str">
        <f>IF(Table156[[#This Row],[Total Amount]]&gt;=1000,"High","Low")</f>
        <v>Low</v>
      </c>
      <c r="Q813" s="4" t="str" cm="1">
        <f t="array" ref="Q813">_xlfn.IFS(AND(Table156[[#This Row],[Total Amount]]&gt;=1500,"Critical"),AND(Table156[[#This Row],[Total Amount]]&gt;=1000,"High"),TRUE,"Normal")</f>
        <v>Normal</v>
      </c>
      <c r="R813" s="4">
        <f>COUNTIF(Table156[Gender],"Male")</f>
        <v>490</v>
      </c>
    </row>
    <row r="814" spans="1:18" x14ac:dyDescent="0.35">
      <c r="A814" s="4">
        <v>813</v>
      </c>
      <c r="B814" s="5">
        <v>45202</v>
      </c>
      <c r="C814" s="4" t="s">
        <v>826</v>
      </c>
      <c r="D814" s="4" t="s">
        <v>10</v>
      </c>
      <c r="E814" s="4">
        <v>52</v>
      </c>
      <c r="F814" s="4" t="str">
        <f>IF(Table156[[#This Row],[Age]]&lt;=19,"Teenager",IF(Table156[[#This Row],[Age]]&lt;=40,"Median","Old"))</f>
        <v>Old</v>
      </c>
      <c r="G814" s="4" t="s">
        <v>16</v>
      </c>
      <c r="H814" s="4">
        <v>3</v>
      </c>
      <c r="I814" s="4">
        <v>50</v>
      </c>
      <c r="J814" s="4">
        <v>150</v>
      </c>
      <c r="K814" s="4" t="str" cm="1">
        <f t="array" ref="K814">_xlfn.IFS(AND(Table156[[#This Row],[Total Amount]]&gt;=1500),"Critical",AND(Table156[[#This Row],[Total Amount]]&gt;=1000),"High",TRUE,"Normal")</f>
        <v>Normal</v>
      </c>
      <c r="L814" s="4" t="str">
        <f>IF(Table156[[#This Row],[Total Amount]]&gt;=1000,"High",(IF(Table156[[#This Row],[Total Amount]]&gt;=500,"Medium","Low")))</f>
        <v>Low</v>
      </c>
      <c r="M814" s="4" t="str" cm="1">
        <f t="array" ref="M81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14" s="4" cm="1">
        <f t="array" ref="N81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814" s="4">
        <f>Table156[[#This Row],[Total Amount]]-Table156[[#This Row],[Discount Amount]]</f>
        <v>135</v>
      </c>
      <c r="P814" s="4" t="str">
        <f>IF(Table156[[#This Row],[Total Amount]]&gt;=1000,"High","Low")</f>
        <v>Low</v>
      </c>
      <c r="Q814" s="4" t="str" cm="1">
        <f t="array" ref="Q814">_xlfn.IFS(AND(Table156[[#This Row],[Total Amount]]&gt;=1500,"Critical"),AND(Table156[[#This Row],[Total Amount]]&gt;=1000,"High"),TRUE,"Normal")</f>
        <v>Normal</v>
      </c>
      <c r="R814" s="4">
        <f>COUNTIF(Table156[Gender],"Male")</f>
        <v>490</v>
      </c>
    </row>
    <row r="815" spans="1:18" x14ac:dyDescent="0.35">
      <c r="A815" s="4">
        <v>814</v>
      </c>
      <c r="B815" s="5">
        <v>45174</v>
      </c>
      <c r="C815" s="4" t="s">
        <v>827</v>
      </c>
      <c r="D815" s="4" t="s">
        <v>13</v>
      </c>
      <c r="E815" s="4">
        <v>59</v>
      </c>
      <c r="F815" s="4" t="str">
        <f>IF(Table156[[#This Row],[Age]]&lt;=19,"Teenager",IF(Table156[[#This Row],[Age]]&lt;=40,"Median","Old"))</f>
        <v>Old</v>
      </c>
      <c r="G815" s="4" t="s">
        <v>14</v>
      </c>
      <c r="H815" s="4">
        <v>1</v>
      </c>
      <c r="I815" s="4">
        <v>500</v>
      </c>
      <c r="J815" s="4">
        <v>500</v>
      </c>
      <c r="K815" s="4" t="str" cm="1">
        <f t="array" ref="K815">_xlfn.IFS(AND(Table156[[#This Row],[Total Amount]]&gt;=1500),"Critical",AND(Table156[[#This Row],[Total Amount]]&gt;=1000),"High",TRUE,"Normal")</f>
        <v>Normal</v>
      </c>
      <c r="L815" s="4" t="str">
        <f>IF(Table156[[#This Row],[Total Amount]]&gt;=1000,"High",(IF(Table156[[#This Row],[Total Amount]]&gt;=500,"Medium","Low")))</f>
        <v>Medium</v>
      </c>
      <c r="M815" s="4" t="str" cm="1">
        <f t="array" ref="M81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15" s="4" cm="1">
        <f t="array" ref="N81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815" s="4">
        <f>Table156[[#This Row],[Total Amount]]-Table156[[#This Row],[Discount Amount]]</f>
        <v>400</v>
      </c>
      <c r="P815" s="4" t="str">
        <f>IF(Table156[[#This Row],[Total Amount]]&gt;=1000,"High","Low")</f>
        <v>Low</v>
      </c>
      <c r="Q815" s="4" t="str" cm="1">
        <f t="array" ref="Q815">_xlfn.IFS(AND(Table156[[#This Row],[Total Amount]]&gt;=1500,"Critical"),AND(Table156[[#This Row],[Total Amount]]&gt;=1000,"High"),TRUE,"Normal")</f>
        <v>Normal</v>
      </c>
      <c r="R815" s="4">
        <f>COUNTIF(Table156[Gender],"Male")</f>
        <v>490</v>
      </c>
    </row>
    <row r="816" spans="1:18" x14ac:dyDescent="0.35">
      <c r="A816" s="4">
        <v>815</v>
      </c>
      <c r="B816" s="5">
        <v>45165</v>
      </c>
      <c r="C816" s="4" t="s">
        <v>828</v>
      </c>
      <c r="D816" s="4" t="s">
        <v>13</v>
      </c>
      <c r="E816" s="4">
        <v>51</v>
      </c>
      <c r="F816" s="4" t="str">
        <f>IF(Table156[[#This Row],[Age]]&lt;=19,"Teenager",IF(Table156[[#This Row],[Age]]&lt;=40,"Median","Old"))</f>
        <v>Old</v>
      </c>
      <c r="G816" s="4" t="s">
        <v>14</v>
      </c>
      <c r="H816" s="4">
        <v>3</v>
      </c>
      <c r="I816" s="4">
        <v>25</v>
      </c>
      <c r="J816" s="4">
        <v>75</v>
      </c>
      <c r="K816" s="4" t="str" cm="1">
        <f t="array" ref="K816">_xlfn.IFS(AND(Table156[[#This Row],[Total Amount]]&gt;=1500),"Critical",AND(Table156[[#This Row],[Total Amount]]&gt;=1000),"High",TRUE,"Normal")</f>
        <v>Normal</v>
      </c>
      <c r="L816" s="4" t="str">
        <f>IF(Table156[[#This Row],[Total Amount]]&gt;=1000,"High",(IF(Table156[[#This Row],[Total Amount]]&gt;=500,"Medium","Low")))</f>
        <v>Low</v>
      </c>
      <c r="M816" s="4" t="str" cm="1">
        <f t="array" ref="M81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16" s="4" cm="1">
        <f t="array" ref="N81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816" s="4">
        <f>Table156[[#This Row],[Total Amount]]-Table156[[#This Row],[Discount Amount]]</f>
        <v>60</v>
      </c>
      <c r="P816" s="4" t="str">
        <f>IF(Table156[[#This Row],[Total Amount]]&gt;=1000,"High","Low")</f>
        <v>Low</v>
      </c>
      <c r="Q816" s="4" t="str" cm="1">
        <f t="array" ref="Q816">_xlfn.IFS(AND(Table156[[#This Row],[Total Amount]]&gt;=1500,"Critical"),AND(Table156[[#This Row],[Total Amount]]&gt;=1000,"High"),TRUE,"Normal")</f>
        <v>Normal</v>
      </c>
      <c r="R816" s="4">
        <f>COUNTIF(Table156[Gender],"Male")</f>
        <v>490</v>
      </c>
    </row>
    <row r="817" spans="1:18" x14ac:dyDescent="0.35">
      <c r="A817" s="4">
        <v>816</v>
      </c>
      <c r="B817" s="5">
        <v>45150</v>
      </c>
      <c r="C817" s="4" t="s">
        <v>829</v>
      </c>
      <c r="D817" s="4" t="s">
        <v>10</v>
      </c>
      <c r="E817" s="4">
        <v>47</v>
      </c>
      <c r="F817" s="4" t="str">
        <f>IF(Table156[[#This Row],[Age]]&lt;=19,"Teenager",IF(Table156[[#This Row],[Age]]&lt;=40,"Median","Old"))</f>
        <v>Old</v>
      </c>
      <c r="G817" s="4" t="s">
        <v>11</v>
      </c>
      <c r="H817" s="4">
        <v>2</v>
      </c>
      <c r="I817" s="4">
        <v>500</v>
      </c>
      <c r="J817" s="4">
        <v>1000</v>
      </c>
      <c r="K817" s="4" t="str" cm="1">
        <f t="array" ref="K817">_xlfn.IFS(AND(Table156[[#This Row],[Total Amount]]&gt;=1500),"Critical",AND(Table156[[#This Row],[Total Amount]]&gt;=1000),"High",TRUE,"Normal")</f>
        <v>High</v>
      </c>
      <c r="L817" s="4" t="str">
        <f>IF(Table156[[#This Row],[Total Amount]]&gt;=1000,"High",(IF(Table156[[#This Row],[Total Amount]]&gt;=500,"Medium","Low")))</f>
        <v>High</v>
      </c>
      <c r="M817" s="4" t="str" cm="1">
        <f t="array" ref="M81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17" s="4" cm="1">
        <f t="array" ref="N81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817" s="4">
        <f>Table156[[#This Row],[Total Amount]]-Table156[[#This Row],[Discount Amount]]</f>
        <v>900</v>
      </c>
      <c r="P817" s="4" t="str">
        <f>IF(Table156[[#This Row],[Total Amount]]&gt;=1000,"High","Low")</f>
        <v>High</v>
      </c>
      <c r="Q817" s="4" t="str" cm="1">
        <f t="array" ref="Q817">_xlfn.IFS(AND(Table156[[#This Row],[Total Amount]]&gt;=1500,"Critical"),AND(Table156[[#This Row],[Total Amount]]&gt;=1000,"High"),TRUE,"Normal")</f>
        <v>Normal</v>
      </c>
      <c r="R817" s="4">
        <f>COUNTIF(Table156[Gender],"Male")</f>
        <v>490</v>
      </c>
    </row>
    <row r="818" spans="1:18" x14ac:dyDescent="0.35">
      <c r="A818" s="4">
        <v>817</v>
      </c>
      <c r="B818" s="5">
        <v>45230</v>
      </c>
      <c r="C818" s="4" t="s">
        <v>830</v>
      </c>
      <c r="D818" s="4" t="s">
        <v>10</v>
      </c>
      <c r="E818" s="4">
        <v>30</v>
      </c>
      <c r="F818" s="4" t="str">
        <f>IF(Table156[[#This Row],[Age]]&lt;=19,"Teenager",IF(Table156[[#This Row],[Age]]&lt;=40,"Median","Old"))</f>
        <v>Median</v>
      </c>
      <c r="G818" s="4" t="s">
        <v>11</v>
      </c>
      <c r="H818" s="4">
        <v>4</v>
      </c>
      <c r="I818" s="4">
        <v>50</v>
      </c>
      <c r="J818" s="4">
        <v>200</v>
      </c>
      <c r="K818" s="4" t="str" cm="1">
        <f t="array" ref="K818">_xlfn.IFS(AND(Table156[[#This Row],[Total Amount]]&gt;=1500),"Critical",AND(Table156[[#This Row],[Total Amount]]&gt;=1000),"High",TRUE,"Normal")</f>
        <v>Normal</v>
      </c>
      <c r="L818" s="4" t="str">
        <f>IF(Table156[[#This Row],[Total Amount]]&gt;=1000,"High",(IF(Table156[[#This Row],[Total Amount]]&gt;=500,"Medium","Low")))</f>
        <v>Low</v>
      </c>
      <c r="M818" s="4" t="str" cm="1">
        <f t="array" ref="M81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18" s="4" cm="1">
        <f t="array" ref="N81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818" s="4">
        <f>Table156[[#This Row],[Total Amount]]-Table156[[#This Row],[Discount Amount]]</f>
        <v>170</v>
      </c>
      <c r="P818" s="4" t="str">
        <f>IF(Table156[[#This Row],[Total Amount]]&gt;=1000,"High","Low")</f>
        <v>Low</v>
      </c>
      <c r="Q818" s="4" t="str" cm="1">
        <f t="array" ref="Q818">_xlfn.IFS(AND(Table156[[#This Row],[Total Amount]]&gt;=1500,"Critical"),AND(Table156[[#This Row],[Total Amount]]&gt;=1000,"High"),TRUE,"Normal")</f>
        <v>Normal</v>
      </c>
      <c r="R818" s="4">
        <f>COUNTIF(Table156[Gender],"Male")</f>
        <v>490</v>
      </c>
    </row>
    <row r="819" spans="1:18" x14ac:dyDescent="0.35">
      <c r="A819" s="4">
        <v>818</v>
      </c>
      <c r="B819" s="5">
        <v>45064</v>
      </c>
      <c r="C819" s="4" t="s">
        <v>831</v>
      </c>
      <c r="D819" s="4" t="s">
        <v>10</v>
      </c>
      <c r="E819" s="4">
        <v>30</v>
      </c>
      <c r="F819" s="4" t="str">
        <f>IF(Table156[[#This Row],[Age]]&lt;=19,"Teenager",IF(Table156[[#This Row],[Age]]&lt;=40,"Median","Old"))</f>
        <v>Median</v>
      </c>
      <c r="G819" s="4" t="s">
        <v>16</v>
      </c>
      <c r="H819" s="4">
        <v>1</v>
      </c>
      <c r="I819" s="4">
        <v>500</v>
      </c>
      <c r="J819" s="4">
        <v>500</v>
      </c>
      <c r="K819" s="4" t="str" cm="1">
        <f t="array" ref="K819">_xlfn.IFS(AND(Table156[[#This Row],[Total Amount]]&gt;=1500),"Critical",AND(Table156[[#This Row],[Total Amount]]&gt;=1000),"High",TRUE,"Normal")</f>
        <v>Normal</v>
      </c>
      <c r="L819" s="4" t="str">
        <f>IF(Table156[[#This Row],[Total Amount]]&gt;=1000,"High",(IF(Table156[[#This Row],[Total Amount]]&gt;=500,"Medium","Low")))</f>
        <v>Medium</v>
      </c>
      <c r="M819" s="4" t="str" cm="1">
        <f t="array" ref="M81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19" s="4" cm="1">
        <f t="array" ref="N81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75</v>
      </c>
      <c r="O819" s="4">
        <f>Table156[[#This Row],[Total Amount]]-Table156[[#This Row],[Discount Amount]]</f>
        <v>425</v>
      </c>
      <c r="P819" s="4" t="str">
        <f>IF(Table156[[#This Row],[Total Amount]]&gt;=1000,"High","Low")</f>
        <v>Low</v>
      </c>
      <c r="Q819" s="4" t="str" cm="1">
        <f t="array" ref="Q819">_xlfn.IFS(AND(Table156[[#This Row],[Total Amount]]&gt;=1500,"Critical"),AND(Table156[[#This Row],[Total Amount]]&gt;=1000,"High"),TRUE,"Normal")</f>
        <v>Normal</v>
      </c>
      <c r="R819" s="4">
        <f>COUNTIF(Table156[Gender],"Male")</f>
        <v>490</v>
      </c>
    </row>
    <row r="820" spans="1:18" x14ac:dyDescent="0.35">
      <c r="A820" s="4">
        <v>819</v>
      </c>
      <c r="B820" s="5">
        <v>45092</v>
      </c>
      <c r="C820" s="4" t="s">
        <v>832</v>
      </c>
      <c r="D820" s="4" t="s">
        <v>13</v>
      </c>
      <c r="E820" s="4">
        <v>35</v>
      </c>
      <c r="F820" s="4" t="str">
        <f>IF(Table156[[#This Row],[Age]]&lt;=19,"Teenager",IF(Table156[[#This Row],[Age]]&lt;=40,"Median","Old"))</f>
        <v>Median</v>
      </c>
      <c r="G820" s="4" t="s">
        <v>11</v>
      </c>
      <c r="H820" s="4">
        <v>2</v>
      </c>
      <c r="I820" s="4">
        <v>50</v>
      </c>
      <c r="J820" s="4">
        <v>100</v>
      </c>
      <c r="K820" s="4" t="str" cm="1">
        <f t="array" ref="K820">_xlfn.IFS(AND(Table156[[#This Row],[Total Amount]]&gt;=1500),"Critical",AND(Table156[[#This Row],[Total Amount]]&gt;=1000),"High",TRUE,"Normal")</f>
        <v>Normal</v>
      </c>
      <c r="L820" s="4" t="str">
        <f>IF(Table156[[#This Row],[Total Amount]]&gt;=1000,"High",(IF(Table156[[#This Row],[Total Amount]]&gt;=500,"Medium","Low")))</f>
        <v>Low</v>
      </c>
      <c r="M820" s="4" t="str" cm="1">
        <f t="array" ref="M82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20" s="4" cm="1">
        <f t="array" ref="N82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820" s="4">
        <f>Table156[[#This Row],[Total Amount]]-Table156[[#This Row],[Discount Amount]]</f>
        <v>80</v>
      </c>
      <c r="P820" s="4" t="str">
        <f>IF(Table156[[#This Row],[Total Amount]]&gt;=1000,"High","Low")</f>
        <v>Low</v>
      </c>
      <c r="Q820" s="4" t="str" cm="1">
        <f t="array" ref="Q820">_xlfn.IFS(AND(Table156[[#This Row],[Total Amount]]&gt;=1500,"Critical"),AND(Table156[[#This Row],[Total Amount]]&gt;=1000,"High"),TRUE,"Normal")</f>
        <v>Normal</v>
      </c>
      <c r="R820" s="4">
        <f>COUNTIF(Table156[Gender],"Male")</f>
        <v>490</v>
      </c>
    </row>
    <row r="821" spans="1:18" x14ac:dyDescent="0.35">
      <c r="A821" s="4">
        <v>820</v>
      </c>
      <c r="B821" s="5">
        <v>45052</v>
      </c>
      <c r="C821" s="4" t="s">
        <v>833</v>
      </c>
      <c r="D821" s="4" t="s">
        <v>10</v>
      </c>
      <c r="E821" s="4">
        <v>49</v>
      </c>
      <c r="F821" s="4" t="str">
        <f>IF(Table156[[#This Row],[Age]]&lt;=19,"Teenager",IF(Table156[[#This Row],[Age]]&lt;=40,"Median","Old"))</f>
        <v>Old</v>
      </c>
      <c r="G821" s="4" t="s">
        <v>16</v>
      </c>
      <c r="H821" s="4">
        <v>4</v>
      </c>
      <c r="I821" s="4">
        <v>50</v>
      </c>
      <c r="J821" s="4">
        <v>200</v>
      </c>
      <c r="K821" s="4" t="str" cm="1">
        <f t="array" ref="K821">_xlfn.IFS(AND(Table156[[#This Row],[Total Amount]]&gt;=1500),"Critical",AND(Table156[[#This Row],[Total Amount]]&gt;=1000),"High",TRUE,"Normal")</f>
        <v>Normal</v>
      </c>
      <c r="L821" s="4" t="str">
        <f>IF(Table156[[#This Row],[Total Amount]]&gt;=1000,"High",(IF(Table156[[#This Row],[Total Amount]]&gt;=500,"Medium","Low")))</f>
        <v>Low</v>
      </c>
      <c r="M821" s="4" t="str" cm="1">
        <f t="array" ref="M82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21" s="4" cm="1">
        <f t="array" ref="N82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821" s="4">
        <f>Table156[[#This Row],[Total Amount]]-Table156[[#This Row],[Discount Amount]]</f>
        <v>180</v>
      </c>
      <c r="P821" s="4" t="str">
        <f>IF(Table156[[#This Row],[Total Amount]]&gt;=1000,"High","Low")</f>
        <v>Low</v>
      </c>
      <c r="Q821" s="4" t="str" cm="1">
        <f t="array" ref="Q821">_xlfn.IFS(AND(Table156[[#This Row],[Total Amount]]&gt;=1500,"Critical"),AND(Table156[[#This Row],[Total Amount]]&gt;=1000,"High"),TRUE,"Normal")</f>
        <v>Normal</v>
      </c>
      <c r="R821" s="4">
        <f>COUNTIF(Table156[Gender],"Male")</f>
        <v>490</v>
      </c>
    </row>
    <row r="822" spans="1:18" x14ac:dyDescent="0.35">
      <c r="A822" s="4">
        <v>821</v>
      </c>
      <c r="B822" s="5">
        <v>44971</v>
      </c>
      <c r="C822" s="4" t="s">
        <v>834</v>
      </c>
      <c r="D822" s="4" t="s">
        <v>10</v>
      </c>
      <c r="E822" s="4">
        <v>49</v>
      </c>
      <c r="F822" s="4" t="str">
        <f>IF(Table156[[#This Row],[Age]]&lt;=19,"Teenager",IF(Table156[[#This Row],[Age]]&lt;=40,"Median","Old"))</f>
        <v>Old</v>
      </c>
      <c r="G822" s="4" t="s">
        <v>16</v>
      </c>
      <c r="H822" s="4">
        <v>1</v>
      </c>
      <c r="I822" s="4">
        <v>300</v>
      </c>
      <c r="J822" s="4">
        <v>300</v>
      </c>
      <c r="K822" s="4" t="str" cm="1">
        <f t="array" ref="K822">_xlfn.IFS(AND(Table156[[#This Row],[Total Amount]]&gt;=1500),"Critical",AND(Table156[[#This Row],[Total Amount]]&gt;=1000),"High",TRUE,"Normal")</f>
        <v>Normal</v>
      </c>
      <c r="L822" s="4" t="str">
        <f>IF(Table156[[#This Row],[Total Amount]]&gt;=1000,"High",(IF(Table156[[#This Row],[Total Amount]]&gt;=500,"Medium","Low")))</f>
        <v>Low</v>
      </c>
      <c r="M822" s="4" t="str" cm="1">
        <f t="array" ref="M82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22" s="4" cm="1">
        <f t="array" ref="N82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822" s="4">
        <f>Table156[[#This Row],[Total Amount]]-Table156[[#This Row],[Discount Amount]]</f>
        <v>270</v>
      </c>
      <c r="P822" s="4" t="str">
        <f>IF(Table156[[#This Row],[Total Amount]]&gt;=1000,"High","Low")</f>
        <v>Low</v>
      </c>
      <c r="Q822" s="4" t="str" cm="1">
        <f t="array" ref="Q822">_xlfn.IFS(AND(Table156[[#This Row],[Total Amount]]&gt;=1500,"Critical"),AND(Table156[[#This Row],[Total Amount]]&gt;=1000,"High"),TRUE,"Normal")</f>
        <v>Normal</v>
      </c>
      <c r="R822" s="4">
        <f>COUNTIF(Table156[Gender],"Male")</f>
        <v>490</v>
      </c>
    </row>
    <row r="823" spans="1:18" x14ac:dyDescent="0.35">
      <c r="A823" s="4">
        <v>822</v>
      </c>
      <c r="B823" s="5">
        <v>45069</v>
      </c>
      <c r="C823" s="4" t="s">
        <v>835</v>
      </c>
      <c r="D823" s="4" t="s">
        <v>13</v>
      </c>
      <c r="E823" s="4">
        <v>52</v>
      </c>
      <c r="F823" s="4" t="str">
        <f>IF(Table156[[#This Row],[Age]]&lt;=19,"Teenager",IF(Table156[[#This Row],[Age]]&lt;=40,"Median","Old"))</f>
        <v>Old</v>
      </c>
      <c r="G823" s="4" t="s">
        <v>11</v>
      </c>
      <c r="H823" s="4">
        <v>3</v>
      </c>
      <c r="I823" s="4">
        <v>50</v>
      </c>
      <c r="J823" s="4">
        <v>150</v>
      </c>
      <c r="K823" s="4" t="str" cm="1">
        <f t="array" ref="K823">_xlfn.IFS(AND(Table156[[#This Row],[Total Amount]]&gt;=1500),"Critical",AND(Table156[[#This Row],[Total Amount]]&gt;=1000),"High",TRUE,"Normal")</f>
        <v>Normal</v>
      </c>
      <c r="L823" s="4" t="str">
        <f>IF(Table156[[#This Row],[Total Amount]]&gt;=1000,"High",(IF(Table156[[#This Row],[Total Amount]]&gt;=500,"Medium","Low")))</f>
        <v>Low</v>
      </c>
      <c r="M823" s="4" t="str" cm="1">
        <f t="array" ref="M82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23" s="4" cm="1">
        <f t="array" ref="N82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823" s="4">
        <f>Table156[[#This Row],[Total Amount]]-Table156[[#This Row],[Discount Amount]]</f>
        <v>120</v>
      </c>
      <c r="P823" s="4" t="str">
        <f>IF(Table156[[#This Row],[Total Amount]]&gt;=1000,"High","Low")</f>
        <v>Low</v>
      </c>
      <c r="Q823" s="4" t="str" cm="1">
        <f t="array" ref="Q823">_xlfn.IFS(AND(Table156[[#This Row],[Total Amount]]&gt;=1500,"Critical"),AND(Table156[[#This Row],[Total Amount]]&gt;=1000,"High"),TRUE,"Normal")</f>
        <v>Normal</v>
      </c>
      <c r="R823" s="4">
        <f>COUNTIF(Table156[Gender],"Male")</f>
        <v>490</v>
      </c>
    </row>
    <row r="824" spans="1:18" x14ac:dyDescent="0.35">
      <c r="A824" s="4">
        <v>823</v>
      </c>
      <c r="B824" s="5">
        <v>45157</v>
      </c>
      <c r="C824" s="4" t="s">
        <v>836</v>
      </c>
      <c r="D824" s="4" t="s">
        <v>13</v>
      </c>
      <c r="E824" s="4">
        <v>56</v>
      </c>
      <c r="F824" s="4" t="str">
        <f>IF(Table156[[#This Row],[Age]]&lt;=19,"Teenager",IF(Table156[[#This Row],[Age]]&lt;=40,"Median","Old"))</f>
        <v>Old</v>
      </c>
      <c r="G824" s="4" t="s">
        <v>16</v>
      </c>
      <c r="H824" s="4">
        <v>2</v>
      </c>
      <c r="I824" s="4">
        <v>50</v>
      </c>
      <c r="J824" s="4">
        <v>100</v>
      </c>
      <c r="K824" s="4" t="str" cm="1">
        <f t="array" ref="K824">_xlfn.IFS(AND(Table156[[#This Row],[Total Amount]]&gt;=1500),"Critical",AND(Table156[[#This Row],[Total Amount]]&gt;=1000),"High",TRUE,"Normal")</f>
        <v>Normal</v>
      </c>
      <c r="L824" s="4" t="str">
        <f>IF(Table156[[#This Row],[Total Amount]]&gt;=1000,"High",(IF(Table156[[#This Row],[Total Amount]]&gt;=500,"Medium","Low")))</f>
        <v>Low</v>
      </c>
      <c r="M824" s="4" t="str" cm="1">
        <f t="array" ref="M82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24" s="4" cm="1">
        <f t="array" ref="N82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824" s="4">
        <f>Table156[[#This Row],[Total Amount]]-Table156[[#This Row],[Discount Amount]]</f>
        <v>80</v>
      </c>
      <c r="P824" s="4" t="str">
        <f>IF(Table156[[#This Row],[Total Amount]]&gt;=1000,"High","Low")</f>
        <v>Low</v>
      </c>
      <c r="Q824" s="4" t="str" cm="1">
        <f t="array" ref="Q824">_xlfn.IFS(AND(Table156[[#This Row],[Total Amount]]&gt;=1500,"Critical"),AND(Table156[[#This Row],[Total Amount]]&gt;=1000,"High"),TRUE,"Normal")</f>
        <v>Normal</v>
      </c>
      <c r="R824" s="4">
        <f>COUNTIF(Table156[Gender],"Male")</f>
        <v>490</v>
      </c>
    </row>
    <row r="825" spans="1:18" x14ac:dyDescent="0.35">
      <c r="A825" s="4">
        <v>824</v>
      </c>
      <c r="B825" s="5">
        <v>45051</v>
      </c>
      <c r="C825" s="4" t="s">
        <v>837</v>
      </c>
      <c r="D825" s="4" t="s">
        <v>10</v>
      </c>
      <c r="E825" s="4">
        <v>63</v>
      </c>
      <c r="F825" s="4" t="str">
        <f>IF(Table156[[#This Row],[Age]]&lt;=19,"Teenager",IF(Table156[[#This Row],[Age]]&lt;=40,"Median","Old"))</f>
        <v>Old</v>
      </c>
      <c r="G825" s="4" t="s">
        <v>14</v>
      </c>
      <c r="H825" s="4">
        <v>4</v>
      </c>
      <c r="I825" s="4">
        <v>30</v>
      </c>
      <c r="J825" s="4">
        <v>120</v>
      </c>
      <c r="K825" s="4" t="str" cm="1">
        <f t="array" ref="K825">_xlfn.IFS(AND(Table156[[#This Row],[Total Amount]]&gt;=1500),"Critical",AND(Table156[[#This Row],[Total Amount]]&gt;=1000),"High",TRUE,"Normal")</f>
        <v>Normal</v>
      </c>
      <c r="L825" s="4" t="str">
        <f>IF(Table156[[#This Row],[Total Amount]]&gt;=1000,"High",(IF(Table156[[#This Row],[Total Amount]]&gt;=500,"Medium","Low")))</f>
        <v>Low</v>
      </c>
      <c r="M825" s="4" t="str" cm="1">
        <f t="array" ref="M82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25" s="4" cm="1">
        <f t="array" ref="N82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825" s="4">
        <f>Table156[[#This Row],[Total Amount]]-Table156[[#This Row],[Discount Amount]]</f>
        <v>108</v>
      </c>
      <c r="P825" s="4" t="str">
        <f>IF(Table156[[#This Row],[Total Amount]]&gt;=1000,"High","Low")</f>
        <v>Low</v>
      </c>
      <c r="Q825" s="4" t="str" cm="1">
        <f t="array" ref="Q825">_xlfn.IFS(AND(Table156[[#This Row],[Total Amount]]&gt;=1500,"Critical"),AND(Table156[[#This Row],[Total Amount]]&gt;=1000,"High"),TRUE,"Normal")</f>
        <v>Normal</v>
      </c>
      <c r="R825" s="4">
        <f>COUNTIF(Table156[Gender],"Male")</f>
        <v>490</v>
      </c>
    </row>
    <row r="826" spans="1:18" x14ac:dyDescent="0.35">
      <c r="A826" s="4">
        <v>825</v>
      </c>
      <c r="B826" s="5">
        <v>45164</v>
      </c>
      <c r="C826" s="4" t="s">
        <v>838</v>
      </c>
      <c r="D826" s="4" t="s">
        <v>13</v>
      </c>
      <c r="E826" s="4">
        <v>46</v>
      </c>
      <c r="F826" s="4" t="str">
        <f>IF(Table156[[#This Row],[Age]]&lt;=19,"Teenager",IF(Table156[[#This Row],[Age]]&lt;=40,"Median","Old"))</f>
        <v>Old</v>
      </c>
      <c r="G826" s="4" t="s">
        <v>11</v>
      </c>
      <c r="H826" s="4">
        <v>1</v>
      </c>
      <c r="I826" s="4">
        <v>25</v>
      </c>
      <c r="J826" s="4">
        <v>25</v>
      </c>
      <c r="K826" s="4" t="str" cm="1">
        <f t="array" ref="K826">_xlfn.IFS(AND(Table156[[#This Row],[Total Amount]]&gt;=1500),"Critical",AND(Table156[[#This Row],[Total Amount]]&gt;=1000),"High",TRUE,"Normal")</f>
        <v>Normal</v>
      </c>
      <c r="L826" s="4" t="str">
        <f>IF(Table156[[#This Row],[Total Amount]]&gt;=1000,"High",(IF(Table156[[#This Row],[Total Amount]]&gt;=500,"Medium","Low")))</f>
        <v>Low</v>
      </c>
      <c r="M826" s="4" t="str" cm="1">
        <f t="array" ref="M82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26" s="4" cm="1">
        <f t="array" ref="N82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826" s="4">
        <f>Table156[[#This Row],[Total Amount]]-Table156[[#This Row],[Discount Amount]]</f>
        <v>20</v>
      </c>
      <c r="P826" s="4" t="str">
        <f>IF(Table156[[#This Row],[Total Amount]]&gt;=1000,"High","Low")</f>
        <v>Low</v>
      </c>
      <c r="Q826" s="4" t="str" cm="1">
        <f t="array" ref="Q826">_xlfn.IFS(AND(Table156[[#This Row],[Total Amount]]&gt;=1500,"Critical"),AND(Table156[[#This Row],[Total Amount]]&gt;=1000,"High"),TRUE,"Normal")</f>
        <v>Normal</v>
      </c>
      <c r="R826" s="4">
        <f>COUNTIF(Table156[Gender],"Male")</f>
        <v>490</v>
      </c>
    </row>
    <row r="827" spans="1:18" x14ac:dyDescent="0.35">
      <c r="A827" s="4">
        <v>826</v>
      </c>
      <c r="B827" s="5">
        <v>45218</v>
      </c>
      <c r="C827" s="4" t="s">
        <v>839</v>
      </c>
      <c r="D827" s="4" t="s">
        <v>13</v>
      </c>
      <c r="E827" s="4">
        <v>46</v>
      </c>
      <c r="F827" s="4" t="str">
        <f>IF(Table156[[#This Row],[Age]]&lt;=19,"Teenager",IF(Table156[[#This Row],[Age]]&lt;=40,"Median","Old"))</f>
        <v>Old</v>
      </c>
      <c r="G827" s="4" t="s">
        <v>14</v>
      </c>
      <c r="H827" s="4">
        <v>1</v>
      </c>
      <c r="I827" s="4">
        <v>300</v>
      </c>
      <c r="J827" s="4">
        <v>300</v>
      </c>
      <c r="K827" s="4" t="str" cm="1">
        <f t="array" ref="K827">_xlfn.IFS(AND(Table156[[#This Row],[Total Amount]]&gt;=1500),"Critical",AND(Table156[[#This Row],[Total Amount]]&gt;=1000),"High",TRUE,"Normal")</f>
        <v>Normal</v>
      </c>
      <c r="L827" s="4" t="str">
        <f>IF(Table156[[#This Row],[Total Amount]]&gt;=1000,"High",(IF(Table156[[#This Row],[Total Amount]]&gt;=500,"Medium","Low")))</f>
        <v>Low</v>
      </c>
      <c r="M827" s="4" t="str" cm="1">
        <f t="array" ref="M82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27" s="4" cm="1">
        <f t="array" ref="N82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827" s="4">
        <f>Table156[[#This Row],[Total Amount]]-Table156[[#This Row],[Discount Amount]]</f>
        <v>240</v>
      </c>
      <c r="P827" s="4" t="str">
        <f>IF(Table156[[#This Row],[Total Amount]]&gt;=1000,"High","Low")</f>
        <v>Low</v>
      </c>
      <c r="Q827" s="4" t="str" cm="1">
        <f t="array" ref="Q827">_xlfn.IFS(AND(Table156[[#This Row],[Total Amount]]&gt;=1500,"Critical"),AND(Table156[[#This Row],[Total Amount]]&gt;=1000,"High"),TRUE,"Normal")</f>
        <v>Normal</v>
      </c>
      <c r="R827" s="4">
        <f>COUNTIF(Table156[Gender],"Male")</f>
        <v>490</v>
      </c>
    </row>
    <row r="828" spans="1:18" x14ac:dyDescent="0.35">
      <c r="A828" s="4">
        <v>827</v>
      </c>
      <c r="B828" s="5">
        <v>45239</v>
      </c>
      <c r="C828" s="4" t="s">
        <v>840</v>
      </c>
      <c r="D828" s="4" t="s">
        <v>10</v>
      </c>
      <c r="E828" s="4">
        <v>61</v>
      </c>
      <c r="F828" s="4" t="str">
        <f>IF(Table156[[#This Row],[Age]]&lt;=19,"Teenager",IF(Table156[[#This Row],[Age]]&lt;=40,"Median","Old"))</f>
        <v>Old</v>
      </c>
      <c r="G828" s="4" t="s">
        <v>11</v>
      </c>
      <c r="H828" s="4">
        <v>3</v>
      </c>
      <c r="I828" s="4">
        <v>300</v>
      </c>
      <c r="J828" s="4">
        <v>900</v>
      </c>
      <c r="K828" s="4" t="str" cm="1">
        <f t="array" ref="K828">_xlfn.IFS(AND(Table156[[#This Row],[Total Amount]]&gt;=1500),"Critical",AND(Table156[[#This Row],[Total Amount]]&gt;=1000),"High",TRUE,"Normal")</f>
        <v>Normal</v>
      </c>
      <c r="L828" s="4" t="str">
        <f>IF(Table156[[#This Row],[Total Amount]]&gt;=1000,"High",(IF(Table156[[#This Row],[Total Amount]]&gt;=500,"Medium","Low")))</f>
        <v>Medium</v>
      </c>
      <c r="M828" s="4" t="str" cm="1">
        <f t="array" ref="M82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28" s="4" cm="1">
        <f t="array" ref="N82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828" s="4">
        <f>Table156[[#This Row],[Total Amount]]-Table156[[#This Row],[Discount Amount]]</f>
        <v>810</v>
      </c>
      <c r="P828" s="4" t="str">
        <f>IF(Table156[[#This Row],[Total Amount]]&gt;=1000,"High","Low")</f>
        <v>Low</v>
      </c>
      <c r="Q828" s="4" t="str" cm="1">
        <f t="array" ref="Q828">_xlfn.IFS(AND(Table156[[#This Row],[Total Amount]]&gt;=1500,"Critical"),AND(Table156[[#This Row],[Total Amount]]&gt;=1000,"High"),TRUE,"Normal")</f>
        <v>Normal</v>
      </c>
      <c r="R828" s="4">
        <f>COUNTIF(Table156[Gender],"Male")</f>
        <v>490</v>
      </c>
    </row>
    <row r="829" spans="1:18" x14ac:dyDescent="0.35">
      <c r="A829" s="4">
        <v>828</v>
      </c>
      <c r="B829" s="5">
        <v>45269</v>
      </c>
      <c r="C829" s="4" t="s">
        <v>841</v>
      </c>
      <c r="D829" s="4" t="s">
        <v>13</v>
      </c>
      <c r="E829" s="4">
        <v>33</v>
      </c>
      <c r="F829" s="4" t="str">
        <f>IF(Table156[[#This Row],[Age]]&lt;=19,"Teenager",IF(Table156[[#This Row],[Age]]&lt;=40,"Median","Old"))</f>
        <v>Median</v>
      </c>
      <c r="G829" s="4" t="s">
        <v>16</v>
      </c>
      <c r="H829" s="4">
        <v>4</v>
      </c>
      <c r="I829" s="4">
        <v>300</v>
      </c>
      <c r="J829" s="4">
        <v>1200</v>
      </c>
      <c r="K829" s="4" t="str" cm="1">
        <f t="array" ref="K829">_xlfn.IFS(AND(Table156[[#This Row],[Total Amount]]&gt;=1500),"Critical",AND(Table156[[#This Row],[Total Amount]]&gt;=1000),"High",TRUE,"Normal")</f>
        <v>High</v>
      </c>
      <c r="L829" s="4" t="str">
        <f>IF(Table156[[#This Row],[Total Amount]]&gt;=1000,"High",(IF(Table156[[#This Row],[Total Amount]]&gt;=500,"Medium","Low")))</f>
        <v>High</v>
      </c>
      <c r="M829" s="4" t="str" cm="1">
        <f t="array" ref="M82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29" s="4" cm="1">
        <f t="array" ref="N82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829" s="4">
        <f>Table156[[#This Row],[Total Amount]]-Table156[[#This Row],[Discount Amount]]</f>
        <v>1020</v>
      </c>
      <c r="P829" s="4" t="str">
        <f>IF(Table156[[#This Row],[Total Amount]]&gt;=1000,"High","Low")</f>
        <v>High</v>
      </c>
      <c r="Q829" s="4" t="str" cm="1">
        <f t="array" ref="Q829">_xlfn.IFS(AND(Table156[[#This Row],[Total Amount]]&gt;=1500,"Critical"),AND(Table156[[#This Row],[Total Amount]]&gt;=1000,"High"),TRUE,"Normal")</f>
        <v>Normal</v>
      </c>
      <c r="R829" s="4">
        <f>COUNTIF(Table156[Gender],"Male")</f>
        <v>490</v>
      </c>
    </row>
    <row r="830" spans="1:18" x14ac:dyDescent="0.35">
      <c r="A830" s="4">
        <v>829</v>
      </c>
      <c r="B830" s="5">
        <v>45121</v>
      </c>
      <c r="C830" s="4" t="s">
        <v>842</v>
      </c>
      <c r="D830" s="4" t="s">
        <v>10</v>
      </c>
      <c r="E830" s="4">
        <v>61</v>
      </c>
      <c r="F830" s="4" t="str">
        <f>IF(Table156[[#This Row],[Age]]&lt;=19,"Teenager",IF(Table156[[#This Row],[Age]]&lt;=40,"Median","Old"))</f>
        <v>Old</v>
      </c>
      <c r="G830" s="4" t="s">
        <v>11</v>
      </c>
      <c r="H830" s="4">
        <v>3</v>
      </c>
      <c r="I830" s="4">
        <v>30</v>
      </c>
      <c r="J830" s="4">
        <v>90</v>
      </c>
      <c r="K830" s="4" t="str" cm="1">
        <f t="array" ref="K830">_xlfn.IFS(AND(Table156[[#This Row],[Total Amount]]&gt;=1500),"Critical",AND(Table156[[#This Row],[Total Amount]]&gt;=1000),"High",TRUE,"Normal")</f>
        <v>Normal</v>
      </c>
      <c r="L830" s="4" t="str">
        <f>IF(Table156[[#This Row],[Total Amount]]&gt;=1000,"High",(IF(Table156[[#This Row],[Total Amount]]&gt;=500,"Medium","Low")))</f>
        <v>Low</v>
      </c>
      <c r="M830" s="4" t="str" cm="1">
        <f t="array" ref="M83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30" s="4" cm="1">
        <f t="array" ref="N83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</v>
      </c>
      <c r="O830" s="4">
        <f>Table156[[#This Row],[Total Amount]]-Table156[[#This Row],[Discount Amount]]</f>
        <v>81</v>
      </c>
      <c r="P830" s="4" t="str">
        <f>IF(Table156[[#This Row],[Total Amount]]&gt;=1000,"High","Low")</f>
        <v>Low</v>
      </c>
      <c r="Q830" s="4" t="str" cm="1">
        <f t="array" ref="Q830">_xlfn.IFS(AND(Table156[[#This Row],[Total Amount]]&gt;=1500,"Critical"),AND(Table156[[#This Row],[Total Amount]]&gt;=1000,"High"),TRUE,"Normal")</f>
        <v>Normal</v>
      </c>
      <c r="R830" s="4">
        <f>COUNTIF(Table156[Gender],"Male")</f>
        <v>490</v>
      </c>
    </row>
    <row r="831" spans="1:18" x14ac:dyDescent="0.35">
      <c r="A831" s="4">
        <v>830</v>
      </c>
      <c r="B831" s="5">
        <v>45099</v>
      </c>
      <c r="C831" s="4" t="s">
        <v>843</v>
      </c>
      <c r="D831" s="4" t="s">
        <v>13</v>
      </c>
      <c r="E831" s="4">
        <v>64</v>
      </c>
      <c r="F831" s="4" t="str">
        <f>IF(Table156[[#This Row],[Age]]&lt;=19,"Teenager",IF(Table156[[#This Row],[Age]]&lt;=40,"Median","Old"))</f>
        <v>Old</v>
      </c>
      <c r="G831" s="4" t="s">
        <v>14</v>
      </c>
      <c r="H831" s="4">
        <v>3</v>
      </c>
      <c r="I831" s="4">
        <v>50</v>
      </c>
      <c r="J831" s="4">
        <v>150</v>
      </c>
      <c r="K831" s="4" t="str" cm="1">
        <f t="array" ref="K831">_xlfn.IFS(AND(Table156[[#This Row],[Total Amount]]&gt;=1500),"Critical",AND(Table156[[#This Row],[Total Amount]]&gt;=1000),"High",TRUE,"Normal")</f>
        <v>Normal</v>
      </c>
      <c r="L831" s="4" t="str">
        <f>IF(Table156[[#This Row],[Total Amount]]&gt;=1000,"High",(IF(Table156[[#This Row],[Total Amount]]&gt;=500,"Medium","Low")))</f>
        <v>Low</v>
      </c>
      <c r="M831" s="4" t="str" cm="1">
        <f t="array" ref="M83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31" s="4" cm="1">
        <f t="array" ref="N83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831" s="4">
        <f>Table156[[#This Row],[Total Amount]]-Table156[[#This Row],[Discount Amount]]</f>
        <v>120</v>
      </c>
      <c r="P831" s="4" t="str">
        <f>IF(Table156[[#This Row],[Total Amount]]&gt;=1000,"High","Low")</f>
        <v>Low</v>
      </c>
      <c r="Q831" s="4" t="str" cm="1">
        <f t="array" ref="Q831">_xlfn.IFS(AND(Table156[[#This Row],[Total Amount]]&gt;=1500,"Critical"),AND(Table156[[#This Row],[Total Amount]]&gt;=1000,"High"),TRUE,"Normal")</f>
        <v>Normal</v>
      </c>
      <c r="R831" s="4">
        <f>COUNTIF(Table156[Gender],"Male")</f>
        <v>490</v>
      </c>
    </row>
    <row r="832" spans="1:18" x14ac:dyDescent="0.35">
      <c r="A832" s="4">
        <v>831</v>
      </c>
      <c r="B832" s="5">
        <v>44941</v>
      </c>
      <c r="C832" s="4" t="s">
        <v>844</v>
      </c>
      <c r="D832" s="4" t="s">
        <v>10</v>
      </c>
      <c r="E832" s="4">
        <v>27</v>
      </c>
      <c r="F832" s="4" t="str">
        <f>IF(Table156[[#This Row],[Age]]&lt;=19,"Teenager",IF(Table156[[#This Row],[Age]]&lt;=40,"Median","Old"))</f>
        <v>Median</v>
      </c>
      <c r="G832" s="4" t="s">
        <v>16</v>
      </c>
      <c r="H832" s="4">
        <v>4</v>
      </c>
      <c r="I832" s="4">
        <v>25</v>
      </c>
      <c r="J832" s="4">
        <v>100</v>
      </c>
      <c r="K832" s="4" t="str" cm="1">
        <f t="array" ref="K832">_xlfn.IFS(AND(Table156[[#This Row],[Total Amount]]&gt;=1500),"Critical",AND(Table156[[#This Row],[Total Amount]]&gt;=1000),"High",TRUE,"Normal")</f>
        <v>Normal</v>
      </c>
      <c r="L832" s="4" t="str">
        <f>IF(Table156[[#This Row],[Total Amount]]&gt;=1000,"High",(IF(Table156[[#This Row],[Total Amount]]&gt;=500,"Medium","Low")))</f>
        <v>Low</v>
      </c>
      <c r="M832" s="4" t="str" cm="1">
        <f t="array" ref="M83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32" s="4" cm="1">
        <f t="array" ref="N83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832" s="4">
        <f>Table156[[#This Row],[Total Amount]]-Table156[[#This Row],[Discount Amount]]</f>
        <v>85</v>
      </c>
      <c r="P832" s="4" t="str">
        <f>IF(Table156[[#This Row],[Total Amount]]&gt;=1000,"High","Low")</f>
        <v>Low</v>
      </c>
      <c r="Q832" s="4" t="str" cm="1">
        <f t="array" ref="Q832">_xlfn.IFS(AND(Table156[[#This Row],[Total Amount]]&gt;=1500,"Critical"),AND(Table156[[#This Row],[Total Amount]]&gt;=1000,"High"),TRUE,"Normal")</f>
        <v>Normal</v>
      </c>
      <c r="R832" s="4">
        <f>COUNTIF(Table156[Gender],"Male")</f>
        <v>490</v>
      </c>
    </row>
    <row r="833" spans="1:18" x14ac:dyDescent="0.35">
      <c r="A833" s="4">
        <v>832</v>
      </c>
      <c r="B833" s="5">
        <v>45180</v>
      </c>
      <c r="C833" s="4" t="s">
        <v>845</v>
      </c>
      <c r="D833" s="4" t="s">
        <v>10</v>
      </c>
      <c r="E833" s="4">
        <v>47</v>
      </c>
      <c r="F833" s="4" t="str">
        <f>IF(Table156[[#This Row],[Age]]&lt;=19,"Teenager",IF(Table156[[#This Row],[Age]]&lt;=40,"Median","Old"))</f>
        <v>Old</v>
      </c>
      <c r="G833" s="4" t="s">
        <v>11</v>
      </c>
      <c r="H833" s="4">
        <v>4</v>
      </c>
      <c r="I833" s="4">
        <v>500</v>
      </c>
      <c r="J833" s="4">
        <v>2000</v>
      </c>
      <c r="K833" s="4" t="str" cm="1">
        <f t="array" ref="K833">_xlfn.IFS(AND(Table156[[#This Row],[Total Amount]]&gt;=1500),"Critical",AND(Table156[[#This Row],[Total Amount]]&gt;=1000),"High",TRUE,"Normal")</f>
        <v>Critical</v>
      </c>
      <c r="L833" s="4" t="str">
        <f>IF(Table156[[#This Row],[Total Amount]]&gt;=1000,"High",(IF(Table156[[#This Row],[Total Amount]]&gt;=500,"Medium","Low")))</f>
        <v>High</v>
      </c>
      <c r="M833" s="4" t="str" cm="1">
        <f t="array" ref="M83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33" s="4" cm="1">
        <f t="array" ref="N83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833" s="4">
        <f>Table156[[#This Row],[Total Amount]]-Table156[[#This Row],[Discount Amount]]</f>
        <v>1800</v>
      </c>
      <c r="P833" s="4" t="str">
        <f>IF(Table156[[#This Row],[Total Amount]]&gt;=1000,"High","Low")</f>
        <v>High</v>
      </c>
      <c r="Q833" s="4" t="b" cm="1">
        <f t="array" ref="Q833">_xlfn.IFS(AND(Table156[[#This Row],[Total Amount]]&gt;=1500,"Critical"),AND(Table156[[#This Row],[Total Amount]]&gt;=1000,"High"),TRUE,"Normal")</f>
        <v>1</v>
      </c>
      <c r="R833" s="4">
        <f>COUNTIF(Table156[Gender],"Male")</f>
        <v>490</v>
      </c>
    </row>
    <row r="834" spans="1:18" x14ac:dyDescent="0.35">
      <c r="A834" s="4">
        <v>833</v>
      </c>
      <c r="B834" s="5">
        <v>45093</v>
      </c>
      <c r="C834" s="4" t="s">
        <v>846</v>
      </c>
      <c r="D834" s="4" t="s">
        <v>10</v>
      </c>
      <c r="E834" s="4">
        <v>42</v>
      </c>
      <c r="F834" s="4" t="str">
        <f>IF(Table156[[#This Row],[Age]]&lt;=19,"Teenager",IF(Table156[[#This Row],[Age]]&lt;=40,"Median","Old"))</f>
        <v>Old</v>
      </c>
      <c r="G834" s="4" t="s">
        <v>11</v>
      </c>
      <c r="H834" s="4">
        <v>4</v>
      </c>
      <c r="I834" s="4">
        <v>50</v>
      </c>
      <c r="J834" s="4">
        <v>200</v>
      </c>
      <c r="K834" s="4" t="str" cm="1">
        <f t="array" ref="K834">_xlfn.IFS(AND(Table156[[#This Row],[Total Amount]]&gt;=1500),"Critical",AND(Table156[[#This Row],[Total Amount]]&gt;=1000),"High",TRUE,"Normal")</f>
        <v>Normal</v>
      </c>
      <c r="L834" s="4" t="str">
        <f>IF(Table156[[#This Row],[Total Amount]]&gt;=1000,"High",(IF(Table156[[#This Row],[Total Amount]]&gt;=500,"Medium","Low")))</f>
        <v>Low</v>
      </c>
      <c r="M834" s="4" t="str" cm="1">
        <f t="array" ref="M83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34" s="4" cm="1">
        <f t="array" ref="N83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834" s="4">
        <f>Table156[[#This Row],[Total Amount]]-Table156[[#This Row],[Discount Amount]]</f>
        <v>180</v>
      </c>
      <c r="P834" s="4" t="str">
        <f>IF(Table156[[#This Row],[Total Amount]]&gt;=1000,"High","Low")</f>
        <v>Low</v>
      </c>
      <c r="Q834" s="4" t="str" cm="1">
        <f t="array" ref="Q834">_xlfn.IFS(AND(Table156[[#This Row],[Total Amount]]&gt;=1500,"Critical"),AND(Table156[[#This Row],[Total Amount]]&gt;=1000,"High"),TRUE,"Normal")</f>
        <v>Normal</v>
      </c>
      <c r="R834" s="4">
        <f>COUNTIF(Table156[Gender],"Male")</f>
        <v>490</v>
      </c>
    </row>
    <row r="835" spans="1:18" x14ac:dyDescent="0.35">
      <c r="A835" s="4">
        <v>834</v>
      </c>
      <c r="B835" s="5">
        <v>45020</v>
      </c>
      <c r="C835" s="4" t="s">
        <v>847</v>
      </c>
      <c r="D835" s="4" t="s">
        <v>13</v>
      </c>
      <c r="E835" s="4">
        <v>56</v>
      </c>
      <c r="F835" s="4" t="str">
        <f>IF(Table156[[#This Row],[Age]]&lt;=19,"Teenager",IF(Table156[[#This Row],[Age]]&lt;=40,"Median","Old"))</f>
        <v>Old</v>
      </c>
      <c r="G835" s="4" t="s">
        <v>11</v>
      </c>
      <c r="H835" s="4">
        <v>2</v>
      </c>
      <c r="I835" s="4">
        <v>30</v>
      </c>
      <c r="J835" s="4">
        <v>60</v>
      </c>
      <c r="K835" s="4" t="str" cm="1">
        <f t="array" ref="K835">_xlfn.IFS(AND(Table156[[#This Row],[Total Amount]]&gt;=1500),"Critical",AND(Table156[[#This Row],[Total Amount]]&gt;=1000),"High",TRUE,"Normal")</f>
        <v>Normal</v>
      </c>
      <c r="L835" s="4" t="str">
        <f>IF(Table156[[#This Row],[Total Amount]]&gt;=1000,"High",(IF(Table156[[#This Row],[Total Amount]]&gt;=500,"Medium","Low")))</f>
        <v>Low</v>
      </c>
      <c r="M835" s="4" t="str" cm="1">
        <f t="array" ref="M83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35" s="4" cm="1">
        <f t="array" ref="N83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835" s="4">
        <f>Table156[[#This Row],[Total Amount]]-Table156[[#This Row],[Discount Amount]]</f>
        <v>48</v>
      </c>
      <c r="P835" s="4" t="str">
        <f>IF(Table156[[#This Row],[Total Amount]]&gt;=1000,"High","Low")</f>
        <v>Low</v>
      </c>
      <c r="Q835" s="4" t="str" cm="1">
        <f t="array" ref="Q835">_xlfn.IFS(AND(Table156[[#This Row],[Total Amount]]&gt;=1500,"Critical"),AND(Table156[[#This Row],[Total Amount]]&gt;=1000,"High"),TRUE,"Normal")</f>
        <v>Normal</v>
      </c>
      <c r="R835" s="4">
        <f>COUNTIF(Table156[Gender],"Male")</f>
        <v>490</v>
      </c>
    </row>
    <row r="836" spans="1:18" x14ac:dyDescent="0.35">
      <c r="A836" s="4">
        <v>835</v>
      </c>
      <c r="B836" s="5">
        <v>45176</v>
      </c>
      <c r="C836" s="4" t="s">
        <v>848</v>
      </c>
      <c r="D836" s="4" t="s">
        <v>10</v>
      </c>
      <c r="E836" s="4">
        <v>37</v>
      </c>
      <c r="F836" s="4" t="str">
        <f>IF(Table156[[#This Row],[Age]]&lt;=19,"Teenager",IF(Table156[[#This Row],[Age]]&lt;=40,"Median","Old"))</f>
        <v>Median</v>
      </c>
      <c r="G836" s="4" t="s">
        <v>14</v>
      </c>
      <c r="H836" s="4">
        <v>4</v>
      </c>
      <c r="I836" s="4">
        <v>50</v>
      </c>
      <c r="J836" s="4">
        <v>200</v>
      </c>
      <c r="K836" s="4" t="str" cm="1">
        <f t="array" ref="K836">_xlfn.IFS(AND(Table156[[#This Row],[Total Amount]]&gt;=1500),"Critical",AND(Table156[[#This Row],[Total Amount]]&gt;=1000),"High",TRUE,"Normal")</f>
        <v>Normal</v>
      </c>
      <c r="L836" s="4" t="str">
        <f>IF(Table156[[#This Row],[Total Amount]]&gt;=1000,"High",(IF(Table156[[#This Row],[Total Amount]]&gt;=500,"Medium","Low")))</f>
        <v>Low</v>
      </c>
      <c r="M836" s="4" t="str" cm="1">
        <f t="array" ref="M83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36" s="4" cm="1">
        <f t="array" ref="N83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836" s="4">
        <f>Table156[[#This Row],[Total Amount]]-Table156[[#This Row],[Discount Amount]]</f>
        <v>180</v>
      </c>
      <c r="P836" s="4" t="str">
        <f>IF(Table156[[#This Row],[Total Amount]]&gt;=1000,"High","Low")</f>
        <v>Low</v>
      </c>
      <c r="Q836" s="4" t="str" cm="1">
        <f t="array" ref="Q836">_xlfn.IFS(AND(Table156[[#This Row],[Total Amount]]&gt;=1500,"Critical"),AND(Table156[[#This Row],[Total Amount]]&gt;=1000,"High"),TRUE,"Normal")</f>
        <v>Normal</v>
      </c>
      <c r="R836" s="4">
        <f>COUNTIF(Table156[Gender],"Male")</f>
        <v>490</v>
      </c>
    </row>
    <row r="837" spans="1:18" x14ac:dyDescent="0.35">
      <c r="A837" s="4">
        <v>836</v>
      </c>
      <c r="B837" s="5">
        <v>45035</v>
      </c>
      <c r="C837" s="4" t="s">
        <v>849</v>
      </c>
      <c r="D837" s="4" t="s">
        <v>13</v>
      </c>
      <c r="E837" s="4">
        <v>22</v>
      </c>
      <c r="F837" s="4" t="str">
        <f>IF(Table156[[#This Row],[Age]]&lt;=19,"Teenager",IF(Table156[[#This Row],[Age]]&lt;=40,"Median","Old"))</f>
        <v>Median</v>
      </c>
      <c r="G837" s="4" t="s">
        <v>14</v>
      </c>
      <c r="H837" s="4">
        <v>1</v>
      </c>
      <c r="I837" s="4">
        <v>50</v>
      </c>
      <c r="J837" s="4">
        <v>50</v>
      </c>
      <c r="K837" s="4" t="str" cm="1">
        <f t="array" ref="K837">_xlfn.IFS(AND(Table156[[#This Row],[Total Amount]]&gt;=1500),"Critical",AND(Table156[[#This Row],[Total Amount]]&gt;=1000),"High",TRUE,"Normal")</f>
        <v>Normal</v>
      </c>
      <c r="L837" s="4" t="str">
        <f>IF(Table156[[#This Row],[Total Amount]]&gt;=1000,"High",(IF(Table156[[#This Row],[Total Amount]]&gt;=500,"Medium","Low")))</f>
        <v>Low</v>
      </c>
      <c r="M837" s="4" t="str" cm="1">
        <f t="array" ref="M83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37" s="4" cm="1">
        <f t="array" ref="N83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37" s="4">
        <f>Table156[[#This Row],[Total Amount]]-Table156[[#This Row],[Discount Amount]]</f>
        <v>50</v>
      </c>
      <c r="P837" s="4" t="str">
        <f>IF(Table156[[#This Row],[Total Amount]]&gt;=1000,"High","Low")</f>
        <v>Low</v>
      </c>
      <c r="Q837" s="4" t="str" cm="1">
        <f t="array" ref="Q837">_xlfn.IFS(AND(Table156[[#This Row],[Total Amount]]&gt;=1500,"Critical"),AND(Table156[[#This Row],[Total Amount]]&gt;=1000,"High"),TRUE,"Normal")</f>
        <v>Normal</v>
      </c>
      <c r="R837" s="4">
        <f>COUNTIF(Table156[Gender],"Male")</f>
        <v>490</v>
      </c>
    </row>
    <row r="838" spans="1:18" x14ac:dyDescent="0.35">
      <c r="A838" s="4">
        <v>837</v>
      </c>
      <c r="B838" s="5">
        <v>45108</v>
      </c>
      <c r="C838" s="4" t="s">
        <v>850</v>
      </c>
      <c r="D838" s="4" t="s">
        <v>10</v>
      </c>
      <c r="E838" s="4">
        <v>18</v>
      </c>
      <c r="F838" s="4" t="str">
        <f>IF(Table156[[#This Row],[Age]]&lt;=19,"Teenager",IF(Table156[[#This Row],[Age]]&lt;=40,"Median","Old"))</f>
        <v>Teenager</v>
      </c>
      <c r="G838" s="4" t="s">
        <v>11</v>
      </c>
      <c r="H838" s="4">
        <v>3</v>
      </c>
      <c r="I838" s="4">
        <v>30</v>
      </c>
      <c r="J838" s="4">
        <v>90</v>
      </c>
      <c r="K838" s="4" t="str" cm="1">
        <f t="array" ref="K838">_xlfn.IFS(AND(Table156[[#This Row],[Total Amount]]&gt;=1500),"Critical",AND(Table156[[#This Row],[Total Amount]]&gt;=1000),"High",TRUE,"Normal")</f>
        <v>Normal</v>
      </c>
      <c r="L838" s="4" t="str">
        <f>IF(Table156[[#This Row],[Total Amount]]&gt;=1000,"High",(IF(Table156[[#This Row],[Total Amount]]&gt;=500,"Medium","Low")))</f>
        <v>Low</v>
      </c>
      <c r="M838" s="4" t="str" cm="1">
        <f t="array" ref="M83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38" s="4" cm="1">
        <f t="array" ref="N83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38" s="4">
        <f>Table156[[#This Row],[Total Amount]]-Table156[[#This Row],[Discount Amount]]</f>
        <v>90</v>
      </c>
      <c r="P838" s="4" t="str">
        <f>IF(Table156[[#This Row],[Total Amount]]&gt;=1000,"High","Low")</f>
        <v>Low</v>
      </c>
      <c r="Q838" s="4" t="str" cm="1">
        <f t="array" ref="Q838">_xlfn.IFS(AND(Table156[[#This Row],[Total Amount]]&gt;=1500,"Critical"),AND(Table156[[#This Row],[Total Amount]]&gt;=1000,"High"),TRUE,"Normal")</f>
        <v>Normal</v>
      </c>
      <c r="R838" s="4">
        <f>COUNTIF(Table156[Gender],"Male")</f>
        <v>490</v>
      </c>
    </row>
    <row r="839" spans="1:18" x14ac:dyDescent="0.35">
      <c r="A839" s="4">
        <v>838</v>
      </c>
      <c r="B839" s="5">
        <v>45059</v>
      </c>
      <c r="C839" s="4" t="s">
        <v>851</v>
      </c>
      <c r="D839" s="4" t="s">
        <v>10</v>
      </c>
      <c r="E839" s="4">
        <v>47</v>
      </c>
      <c r="F839" s="4" t="str">
        <f>IF(Table156[[#This Row],[Age]]&lt;=19,"Teenager",IF(Table156[[#This Row],[Age]]&lt;=40,"Median","Old"))</f>
        <v>Old</v>
      </c>
      <c r="G839" s="4" t="s">
        <v>16</v>
      </c>
      <c r="H839" s="4">
        <v>2</v>
      </c>
      <c r="I839" s="4">
        <v>300</v>
      </c>
      <c r="J839" s="4">
        <v>600</v>
      </c>
      <c r="K839" s="4" t="str" cm="1">
        <f t="array" ref="K839">_xlfn.IFS(AND(Table156[[#This Row],[Total Amount]]&gt;=1500),"Critical",AND(Table156[[#This Row],[Total Amount]]&gt;=1000),"High",TRUE,"Normal")</f>
        <v>Normal</v>
      </c>
      <c r="L839" s="4" t="str">
        <f>IF(Table156[[#This Row],[Total Amount]]&gt;=1000,"High",(IF(Table156[[#This Row],[Total Amount]]&gt;=500,"Medium","Low")))</f>
        <v>Medium</v>
      </c>
      <c r="M839" s="4" t="str" cm="1">
        <f t="array" ref="M83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39" s="4" cm="1">
        <f t="array" ref="N83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839" s="4">
        <f>Table156[[#This Row],[Total Amount]]-Table156[[#This Row],[Discount Amount]]</f>
        <v>540</v>
      </c>
      <c r="P839" s="4" t="str">
        <f>IF(Table156[[#This Row],[Total Amount]]&gt;=1000,"High","Low")</f>
        <v>Low</v>
      </c>
      <c r="Q839" s="4" t="str" cm="1">
        <f t="array" ref="Q839">_xlfn.IFS(AND(Table156[[#This Row],[Total Amount]]&gt;=1500,"Critical"),AND(Table156[[#This Row],[Total Amount]]&gt;=1000,"High"),TRUE,"Normal")</f>
        <v>Normal</v>
      </c>
      <c r="R839" s="4">
        <f>COUNTIF(Table156[Gender],"Male")</f>
        <v>490</v>
      </c>
    </row>
    <row r="840" spans="1:18" x14ac:dyDescent="0.35">
      <c r="A840" s="4">
        <v>839</v>
      </c>
      <c r="B840" s="5">
        <v>45101</v>
      </c>
      <c r="C840" s="4" t="s">
        <v>852</v>
      </c>
      <c r="D840" s="4" t="s">
        <v>13</v>
      </c>
      <c r="E840" s="4">
        <v>20</v>
      </c>
      <c r="F840" s="4" t="str">
        <f>IF(Table156[[#This Row],[Age]]&lt;=19,"Teenager",IF(Table156[[#This Row],[Age]]&lt;=40,"Median","Old"))</f>
        <v>Median</v>
      </c>
      <c r="G840" s="4" t="s">
        <v>16</v>
      </c>
      <c r="H840" s="4">
        <v>4</v>
      </c>
      <c r="I840" s="4">
        <v>300</v>
      </c>
      <c r="J840" s="4">
        <v>1200</v>
      </c>
      <c r="K840" s="4" t="str" cm="1">
        <f t="array" ref="K840">_xlfn.IFS(AND(Table156[[#This Row],[Total Amount]]&gt;=1500),"Critical",AND(Table156[[#This Row],[Total Amount]]&gt;=1000),"High",TRUE,"Normal")</f>
        <v>High</v>
      </c>
      <c r="L840" s="4" t="str">
        <f>IF(Table156[[#This Row],[Total Amount]]&gt;=1000,"High",(IF(Table156[[#This Row],[Total Amount]]&gt;=500,"Medium","Low")))</f>
        <v>High</v>
      </c>
      <c r="M840" s="4" t="str" cm="1">
        <f t="array" ref="M84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40" s="4" cm="1">
        <f t="array" ref="N84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40" s="4">
        <f>Table156[[#This Row],[Total Amount]]-Table156[[#This Row],[Discount Amount]]</f>
        <v>1200</v>
      </c>
      <c r="P840" s="4" t="str">
        <f>IF(Table156[[#This Row],[Total Amount]]&gt;=1000,"High","Low")</f>
        <v>High</v>
      </c>
      <c r="Q840" s="4" t="str" cm="1">
        <f t="array" ref="Q840">_xlfn.IFS(AND(Table156[[#This Row],[Total Amount]]&gt;=1500,"Critical"),AND(Table156[[#This Row],[Total Amount]]&gt;=1000,"High"),TRUE,"Normal")</f>
        <v>Normal</v>
      </c>
      <c r="R840" s="4">
        <f>COUNTIF(Table156[Gender],"Male")</f>
        <v>490</v>
      </c>
    </row>
    <row r="841" spans="1:18" x14ac:dyDescent="0.35">
      <c r="A841" s="4">
        <v>840</v>
      </c>
      <c r="B841" s="5">
        <v>45070</v>
      </c>
      <c r="C841" s="4" t="s">
        <v>853</v>
      </c>
      <c r="D841" s="4" t="s">
        <v>10</v>
      </c>
      <c r="E841" s="4">
        <v>62</v>
      </c>
      <c r="F841" s="4" t="str">
        <f>IF(Table156[[#This Row],[Age]]&lt;=19,"Teenager",IF(Table156[[#This Row],[Age]]&lt;=40,"Median","Old"))</f>
        <v>Old</v>
      </c>
      <c r="G841" s="4" t="s">
        <v>14</v>
      </c>
      <c r="H841" s="4">
        <v>2</v>
      </c>
      <c r="I841" s="4">
        <v>25</v>
      </c>
      <c r="J841" s="4">
        <v>50</v>
      </c>
      <c r="K841" s="4" t="str" cm="1">
        <f t="array" ref="K841">_xlfn.IFS(AND(Table156[[#This Row],[Total Amount]]&gt;=1500),"Critical",AND(Table156[[#This Row],[Total Amount]]&gt;=1000),"High",TRUE,"Normal")</f>
        <v>Normal</v>
      </c>
      <c r="L841" s="4" t="str">
        <f>IF(Table156[[#This Row],[Total Amount]]&gt;=1000,"High",(IF(Table156[[#This Row],[Total Amount]]&gt;=500,"Medium","Low")))</f>
        <v>Low</v>
      </c>
      <c r="M841" s="4" t="str" cm="1">
        <f t="array" ref="M84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41" s="4" cm="1">
        <f t="array" ref="N84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841" s="4">
        <f>Table156[[#This Row],[Total Amount]]-Table156[[#This Row],[Discount Amount]]</f>
        <v>45</v>
      </c>
      <c r="P841" s="4" t="str">
        <f>IF(Table156[[#This Row],[Total Amount]]&gt;=1000,"High","Low")</f>
        <v>Low</v>
      </c>
      <c r="Q841" s="4" t="str" cm="1">
        <f t="array" ref="Q841">_xlfn.IFS(AND(Table156[[#This Row],[Total Amount]]&gt;=1500,"Critical"),AND(Table156[[#This Row],[Total Amount]]&gt;=1000,"High"),TRUE,"Normal")</f>
        <v>Normal</v>
      </c>
      <c r="R841" s="4">
        <f>COUNTIF(Table156[Gender],"Male")</f>
        <v>490</v>
      </c>
    </row>
    <row r="842" spans="1:18" x14ac:dyDescent="0.35">
      <c r="A842" s="4">
        <v>841</v>
      </c>
      <c r="B842" s="5">
        <v>45232</v>
      </c>
      <c r="C842" s="4" t="s">
        <v>854</v>
      </c>
      <c r="D842" s="4" t="s">
        <v>10</v>
      </c>
      <c r="E842" s="4">
        <v>31</v>
      </c>
      <c r="F842" s="4" t="str">
        <f>IF(Table156[[#This Row],[Age]]&lt;=19,"Teenager",IF(Table156[[#This Row],[Age]]&lt;=40,"Median","Old"))</f>
        <v>Median</v>
      </c>
      <c r="G842" s="4" t="s">
        <v>16</v>
      </c>
      <c r="H842" s="4">
        <v>4</v>
      </c>
      <c r="I842" s="4">
        <v>25</v>
      </c>
      <c r="J842" s="4">
        <v>100</v>
      </c>
      <c r="K842" s="4" t="str" cm="1">
        <f t="array" ref="K842">_xlfn.IFS(AND(Table156[[#This Row],[Total Amount]]&gt;=1500),"Critical",AND(Table156[[#This Row],[Total Amount]]&gt;=1000),"High",TRUE,"Normal")</f>
        <v>Normal</v>
      </c>
      <c r="L842" s="4" t="str">
        <f>IF(Table156[[#This Row],[Total Amount]]&gt;=1000,"High",(IF(Table156[[#This Row],[Total Amount]]&gt;=500,"Medium","Low")))</f>
        <v>Low</v>
      </c>
      <c r="M842" s="4" t="str" cm="1">
        <f t="array" ref="M84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42" s="4" cm="1">
        <f t="array" ref="N84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842" s="4">
        <f>Table156[[#This Row],[Total Amount]]-Table156[[#This Row],[Discount Amount]]</f>
        <v>85</v>
      </c>
      <c r="P842" s="4" t="str">
        <f>IF(Table156[[#This Row],[Total Amount]]&gt;=1000,"High","Low")</f>
        <v>Low</v>
      </c>
      <c r="Q842" s="4" t="str" cm="1">
        <f t="array" ref="Q842">_xlfn.IFS(AND(Table156[[#This Row],[Total Amount]]&gt;=1500,"Critical"),AND(Table156[[#This Row],[Total Amount]]&gt;=1000,"High"),TRUE,"Normal")</f>
        <v>Normal</v>
      </c>
      <c r="R842" s="4">
        <f>COUNTIF(Table156[Gender],"Male")</f>
        <v>490</v>
      </c>
    </row>
    <row r="843" spans="1:18" x14ac:dyDescent="0.35">
      <c r="A843" s="4">
        <v>842</v>
      </c>
      <c r="B843" s="5">
        <v>45286</v>
      </c>
      <c r="C843" s="4" t="s">
        <v>855</v>
      </c>
      <c r="D843" s="4" t="s">
        <v>13</v>
      </c>
      <c r="E843" s="4">
        <v>47</v>
      </c>
      <c r="F843" s="4" t="str">
        <f>IF(Table156[[#This Row],[Age]]&lt;=19,"Teenager",IF(Table156[[#This Row],[Age]]&lt;=40,"Median","Old"))</f>
        <v>Old</v>
      </c>
      <c r="G843" s="4" t="s">
        <v>14</v>
      </c>
      <c r="H843" s="4">
        <v>2</v>
      </c>
      <c r="I843" s="4">
        <v>300</v>
      </c>
      <c r="J843" s="4">
        <v>600</v>
      </c>
      <c r="K843" s="4" t="str" cm="1">
        <f t="array" ref="K843">_xlfn.IFS(AND(Table156[[#This Row],[Total Amount]]&gt;=1500),"Critical",AND(Table156[[#This Row],[Total Amount]]&gt;=1000),"High",TRUE,"Normal")</f>
        <v>Normal</v>
      </c>
      <c r="L843" s="4" t="str">
        <f>IF(Table156[[#This Row],[Total Amount]]&gt;=1000,"High",(IF(Table156[[#This Row],[Total Amount]]&gt;=500,"Medium","Low")))</f>
        <v>Medium</v>
      </c>
      <c r="M843" s="4" t="str" cm="1">
        <f t="array" ref="M84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43" s="4" cm="1">
        <f t="array" ref="N84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843" s="4">
        <f>Table156[[#This Row],[Total Amount]]-Table156[[#This Row],[Discount Amount]]</f>
        <v>480</v>
      </c>
      <c r="P843" s="4" t="str">
        <f>IF(Table156[[#This Row],[Total Amount]]&gt;=1000,"High","Low")</f>
        <v>Low</v>
      </c>
      <c r="Q843" s="4" t="str" cm="1">
        <f t="array" ref="Q843">_xlfn.IFS(AND(Table156[[#This Row],[Total Amount]]&gt;=1500,"Critical"),AND(Table156[[#This Row],[Total Amount]]&gt;=1000,"High"),TRUE,"Normal")</f>
        <v>Normal</v>
      </c>
      <c r="R843" s="4">
        <f>COUNTIF(Table156[Gender],"Male")</f>
        <v>490</v>
      </c>
    </row>
    <row r="844" spans="1:18" x14ac:dyDescent="0.35">
      <c r="A844" s="4">
        <v>843</v>
      </c>
      <c r="B844" s="5">
        <v>45068</v>
      </c>
      <c r="C844" s="4" t="s">
        <v>856</v>
      </c>
      <c r="D844" s="4" t="s">
        <v>10</v>
      </c>
      <c r="E844" s="4">
        <v>21</v>
      </c>
      <c r="F844" s="4" t="str">
        <f>IF(Table156[[#This Row],[Age]]&lt;=19,"Teenager",IF(Table156[[#This Row],[Age]]&lt;=40,"Median","Old"))</f>
        <v>Median</v>
      </c>
      <c r="G844" s="4" t="s">
        <v>11</v>
      </c>
      <c r="H844" s="4">
        <v>3</v>
      </c>
      <c r="I844" s="4">
        <v>500</v>
      </c>
      <c r="J844" s="4">
        <v>1500</v>
      </c>
      <c r="K844" s="4" t="str" cm="1">
        <f t="array" ref="K844">_xlfn.IFS(AND(Table156[[#This Row],[Total Amount]]&gt;=1500),"Critical",AND(Table156[[#This Row],[Total Amount]]&gt;=1000),"High",TRUE,"Normal")</f>
        <v>Critical</v>
      </c>
      <c r="L844" s="4" t="str">
        <f>IF(Table156[[#This Row],[Total Amount]]&gt;=1000,"High",(IF(Table156[[#This Row],[Total Amount]]&gt;=500,"Medium","Low")))</f>
        <v>High</v>
      </c>
      <c r="M844" s="4" t="str" cm="1">
        <f t="array" ref="M84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44" s="4" cm="1">
        <f t="array" ref="N84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44" s="4">
        <f>Table156[[#This Row],[Total Amount]]-Table156[[#This Row],[Discount Amount]]</f>
        <v>1500</v>
      </c>
      <c r="P844" s="4" t="str">
        <f>IF(Table156[[#This Row],[Total Amount]]&gt;=1000,"High","Low")</f>
        <v>High</v>
      </c>
      <c r="Q844" s="4" t="b" cm="1">
        <f t="array" ref="Q844">_xlfn.IFS(AND(Table156[[#This Row],[Total Amount]]&gt;=1500,"Critical"),AND(Table156[[#This Row],[Total Amount]]&gt;=1000,"High"),TRUE,"Normal")</f>
        <v>1</v>
      </c>
      <c r="R844" s="4">
        <f>COUNTIF(Table156[Gender],"Male")</f>
        <v>490</v>
      </c>
    </row>
    <row r="845" spans="1:18" x14ac:dyDescent="0.35">
      <c r="A845" s="4">
        <v>844</v>
      </c>
      <c r="B845" s="5">
        <v>45211</v>
      </c>
      <c r="C845" s="4" t="s">
        <v>857</v>
      </c>
      <c r="D845" s="4" t="s">
        <v>10</v>
      </c>
      <c r="E845" s="4">
        <v>35</v>
      </c>
      <c r="F845" s="4" t="str">
        <f>IF(Table156[[#This Row],[Age]]&lt;=19,"Teenager",IF(Table156[[#This Row],[Age]]&lt;=40,"Median","Old"))</f>
        <v>Median</v>
      </c>
      <c r="G845" s="4" t="s">
        <v>14</v>
      </c>
      <c r="H845" s="4">
        <v>3</v>
      </c>
      <c r="I845" s="4">
        <v>50</v>
      </c>
      <c r="J845" s="4">
        <v>150</v>
      </c>
      <c r="K845" s="4" t="str" cm="1">
        <f t="array" ref="K845">_xlfn.IFS(AND(Table156[[#This Row],[Total Amount]]&gt;=1500),"Critical",AND(Table156[[#This Row],[Total Amount]]&gt;=1000),"High",TRUE,"Normal")</f>
        <v>Normal</v>
      </c>
      <c r="L845" s="4" t="str">
        <f>IF(Table156[[#This Row],[Total Amount]]&gt;=1000,"High",(IF(Table156[[#This Row],[Total Amount]]&gt;=500,"Medium","Low")))</f>
        <v>Low</v>
      </c>
      <c r="M845" s="4" t="str" cm="1">
        <f t="array" ref="M84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45" s="4" cm="1">
        <f t="array" ref="N84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845" s="4">
        <f>Table156[[#This Row],[Total Amount]]-Table156[[#This Row],[Discount Amount]]</f>
        <v>135</v>
      </c>
      <c r="P845" s="4" t="str">
        <f>IF(Table156[[#This Row],[Total Amount]]&gt;=1000,"High","Low")</f>
        <v>Low</v>
      </c>
      <c r="Q845" s="4" t="str" cm="1">
        <f t="array" ref="Q845">_xlfn.IFS(AND(Table156[[#This Row],[Total Amount]]&gt;=1500,"Critical"),AND(Table156[[#This Row],[Total Amount]]&gt;=1000,"High"),TRUE,"Normal")</f>
        <v>Normal</v>
      </c>
      <c r="R845" s="4">
        <f>COUNTIF(Table156[Gender],"Male")</f>
        <v>490</v>
      </c>
    </row>
    <row r="846" spans="1:18" x14ac:dyDescent="0.35">
      <c r="A846" s="4">
        <v>845</v>
      </c>
      <c r="B846" s="5">
        <v>44932</v>
      </c>
      <c r="C846" s="4" t="s">
        <v>858</v>
      </c>
      <c r="D846" s="4" t="s">
        <v>10</v>
      </c>
      <c r="E846" s="4">
        <v>54</v>
      </c>
      <c r="F846" s="4" t="str">
        <f>IF(Table156[[#This Row],[Age]]&lt;=19,"Teenager",IF(Table156[[#This Row],[Age]]&lt;=40,"Median","Old"))</f>
        <v>Old</v>
      </c>
      <c r="G846" s="4" t="s">
        <v>14</v>
      </c>
      <c r="H846" s="4">
        <v>1</v>
      </c>
      <c r="I846" s="4">
        <v>500</v>
      </c>
      <c r="J846" s="4">
        <v>500</v>
      </c>
      <c r="K846" s="4" t="str" cm="1">
        <f t="array" ref="K846">_xlfn.IFS(AND(Table156[[#This Row],[Total Amount]]&gt;=1500),"Critical",AND(Table156[[#This Row],[Total Amount]]&gt;=1000),"High",TRUE,"Normal")</f>
        <v>Normal</v>
      </c>
      <c r="L846" s="4" t="str">
        <f>IF(Table156[[#This Row],[Total Amount]]&gt;=1000,"High",(IF(Table156[[#This Row],[Total Amount]]&gt;=500,"Medium","Low")))</f>
        <v>Medium</v>
      </c>
      <c r="M846" s="4" t="str" cm="1">
        <f t="array" ref="M84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46" s="4" cm="1">
        <f t="array" ref="N84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846" s="4">
        <f>Table156[[#This Row],[Total Amount]]-Table156[[#This Row],[Discount Amount]]</f>
        <v>450</v>
      </c>
      <c r="P846" s="4" t="str">
        <f>IF(Table156[[#This Row],[Total Amount]]&gt;=1000,"High","Low")</f>
        <v>Low</v>
      </c>
      <c r="Q846" s="4" t="str" cm="1">
        <f t="array" ref="Q846">_xlfn.IFS(AND(Table156[[#This Row],[Total Amount]]&gt;=1500,"Critical"),AND(Table156[[#This Row],[Total Amount]]&gt;=1000,"High"),TRUE,"Normal")</f>
        <v>Normal</v>
      </c>
      <c r="R846" s="4">
        <f>COUNTIF(Table156[Gender],"Male")</f>
        <v>490</v>
      </c>
    </row>
    <row r="847" spans="1:18" x14ac:dyDescent="0.35">
      <c r="A847" s="4">
        <v>846</v>
      </c>
      <c r="B847" s="5">
        <v>45191</v>
      </c>
      <c r="C847" s="4" t="s">
        <v>859</v>
      </c>
      <c r="D847" s="4" t="s">
        <v>10</v>
      </c>
      <c r="E847" s="4">
        <v>42</v>
      </c>
      <c r="F847" s="4" t="str">
        <f>IF(Table156[[#This Row],[Age]]&lt;=19,"Teenager",IF(Table156[[#This Row],[Age]]&lt;=40,"Median","Old"))</f>
        <v>Old</v>
      </c>
      <c r="G847" s="4" t="s">
        <v>11</v>
      </c>
      <c r="H847" s="4">
        <v>1</v>
      </c>
      <c r="I847" s="4">
        <v>50</v>
      </c>
      <c r="J847" s="4">
        <v>50</v>
      </c>
      <c r="K847" s="4" t="str" cm="1">
        <f t="array" ref="K847">_xlfn.IFS(AND(Table156[[#This Row],[Total Amount]]&gt;=1500),"Critical",AND(Table156[[#This Row],[Total Amount]]&gt;=1000),"High",TRUE,"Normal")</f>
        <v>Normal</v>
      </c>
      <c r="L847" s="4" t="str">
        <f>IF(Table156[[#This Row],[Total Amount]]&gt;=1000,"High",(IF(Table156[[#This Row],[Total Amount]]&gt;=500,"Medium","Low")))</f>
        <v>Low</v>
      </c>
      <c r="M847" s="4" t="str" cm="1">
        <f t="array" ref="M84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47" s="4" cm="1">
        <f t="array" ref="N84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847" s="4">
        <f>Table156[[#This Row],[Total Amount]]-Table156[[#This Row],[Discount Amount]]</f>
        <v>45</v>
      </c>
      <c r="P847" s="4" t="str">
        <f>IF(Table156[[#This Row],[Total Amount]]&gt;=1000,"High","Low")</f>
        <v>Low</v>
      </c>
      <c r="Q847" s="4" t="str" cm="1">
        <f t="array" ref="Q847">_xlfn.IFS(AND(Table156[[#This Row],[Total Amount]]&gt;=1500,"Critical"),AND(Table156[[#This Row],[Total Amount]]&gt;=1000,"High"),TRUE,"Normal")</f>
        <v>Normal</v>
      </c>
      <c r="R847" s="4">
        <f>COUNTIF(Table156[Gender],"Male")</f>
        <v>490</v>
      </c>
    </row>
    <row r="848" spans="1:18" x14ac:dyDescent="0.35">
      <c r="A848" s="4">
        <v>847</v>
      </c>
      <c r="B848" s="5">
        <v>45024</v>
      </c>
      <c r="C848" s="4" t="s">
        <v>860</v>
      </c>
      <c r="D848" s="4" t="s">
        <v>13</v>
      </c>
      <c r="E848" s="4">
        <v>18</v>
      </c>
      <c r="F848" s="4" t="str">
        <f>IF(Table156[[#This Row],[Age]]&lt;=19,"Teenager",IF(Table156[[#This Row],[Age]]&lt;=40,"Median","Old"))</f>
        <v>Teenager</v>
      </c>
      <c r="G848" s="4" t="s">
        <v>16</v>
      </c>
      <c r="H848" s="4">
        <v>4</v>
      </c>
      <c r="I848" s="4">
        <v>300</v>
      </c>
      <c r="J848" s="4">
        <v>1200</v>
      </c>
      <c r="K848" s="4" t="str" cm="1">
        <f t="array" ref="K848">_xlfn.IFS(AND(Table156[[#This Row],[Total Amount]]&gt;=1500),"Critical",AND(Table156[[#This Row],[Total Amount]]&gt;=1000),"High",TRUE,"Normal")</f>
        <v>High</v>
      </c>
      <c r="L848" s="4" t="str">
        <f>IF(Table156[[#This Row],[Total Amount]]&gt;=1000,"High",(IF(Table156[[#This Row],[Total Amount]]&gt;=500,"Medium","Low")))</f>
        <v>High</v>
      </c>
      <c r="M848" s="4" t="str" cm="1">
        <f t="array" ref="M84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48" s="4" cm="1">
        <f t="array" ref="N84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48" s="4">
        <f>Table156[[#This Row],[Total Amount]]-Table156[[#This Row],[Discount Amount]]</f>
        <v>1200</v>
      </c>
      <c r="P848" s="4" t="str">
        <f>IF(Table156[[#This Row],[Total Amount]]&gt;=1000,"High","Low")</f>
        <v>High</v>
      </c>
      <c r="Q848" s="4" t="str" cm="1">
        <f t="array" ref="Q848">_xlfn.IFS(AND(Table156[[#This Row],[Total Amount]]&gt;=1500,"Critical"),AND(Table156[[#This Row],[Total Amount]]&gt;=1000,"High"),TRUE,"Normal")</f>
        <v>Normal</v>
      </c>
      <c r="R848" s="4">
        <f>COUNTIF(Table156[Gender],"Male")</f>
        <v>490</v>
      </c>
    </row>
    <row r="849" spans="1:18" x14ac:dyDescent="0.35">
      <c r="A849" s="4">
        <v>848</v>
      </c>
      <c r="B849" s="5">
        <v>44970</v>
      </c>
      <c r="C849" s="4" t="s">
        <v>861</v>
      </c>
      <c r="D849" s="4" t="s">
        <v>13</v>
      </c>
      <c r="E849" s="4">
        <v>63</v>
      </c>
      <c r="F849" s="4" t="str">
        <f>IF(Table156[[#This Row],[Age]]&lt;=19,"Teenager",IF(Table156[[#This Row],[Age]]&lt;=40,"Median","Old"))</f>
        <v>Old</v>
      </c>
      <c r="G849" s="4" t="s">
        <v>14</v>
      </c>
      <c r="H849" s="4">
        <v>3</v>
      </c>
      <c r="I849" s="4">
        <v>25</v>
      </c>
      <c r="J849" s="4">
        <v>75</v>
      </c>
      <c r="K849" s="4" t="str" cm="1">
        <f t="array" ref="K849">_xlfn.IFS(AND(Table156[[#This Row],[Total Amount]]&gt;=1500),"Critical",AND(Table156[[#This Row],[Total Amount]]&gt;=1000),"High",TRUE,"Normal")</f>
        <v>Normal</v>
      </c>
      <c r="L849" s="4" t="str">
        <f>IF(Table156[[#This Row],[Total Amount]]&gt;=1000,"High",(IF(Table156[[#This Row],[Total Amount]]&gt;=500,"Medium","Low")))</f>
        <v>Low</v>
      </c>
      <c r="M849" s="4" t="str" cm="1">
        <f t="array" ref="M84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49" s="4" cm="1">
        <f t="array" ref="N84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849" s="4">
        <f>Table156[[#This Row],[Total Amount]]-Table156[[#This Row],[Discount Amount]]</f>
        <v>60</v>
      </c>
      <c r="P849" s="4" t="str">
        <f>IF(Table156[[#This Row],[Total Amount]]&gt;=1000,"High","Low")</f>
        <v>Low</v>
      </c>
      <c r="Q849" s="4" t="str" cm="1">
        <f t="array" ref="Q849">_xlfn.IFS(AND(Table156[[#This Row],[Total Amount]]&gt;=1500,"Critical"),AND(Table156[[#This Row],[Total Amount]]&gt;=1000,"High"),TRUE,"Normal")</f>
        <v>Normal</v>
      </c>
      <c r="R849" s="4">
        <f>COUNTIF(Table156[Gender],"Male")</f>
        <v>490</v>
      </c>
    </row>
    <row r="850" spans="1:18" x14ac:dyDescent="0.35">
      <c r="A850" s="4">
        <v>849</v>
      </c>
      <c r="B850" s="5">
        <v>45050</v>
      </c>
      <c r="C850" s="4" t="s">
        <v>862</v>
      </c>
      <c r="D850" s="4" t="s">
        <v>10</v>
      </c>
      <c r="E850" s="4">
        <v>32</v>
      </c>
      <c r="F850" s="4" t="str">
        <f>IF(Table156[[#This Row],[Age]]&lt;=19,"Teenager",IF(Table156[[#This Row],[Age]]&lt;=40,"Median","Old"))</f>
        <v>Median</v>
      </c>
      <c r="G850" s="4" t="s">
        <v>14</v>
      </c>
      <c r="H850" s="4">
        <v>2</v>
      </c>
      <c r="I850" s="4">
        <v>25</v>
      </c>
      <c r="J850" s="4">
        <v>50</v>
      </c>
      <c r="K850" s="4" t="str" cm="1">
        <f t="array" ref="K850">_xlfn.IFS(AND(Table156[[#This Row],[Total Amount]]&gt;=1500),"Critical",AND(Table156[[#This Row],[Total Amount]]&gt;=1000),"High",TRUE,"Normal")</f>
        <v>Normal</v>
      </c>
      <c r="L850" s="4" t="str">
        <f>IF(Table156[[#This Row],[Total Amount]]&gt;=1000,"High",(IF(Table156[[#This Row],[Total Amount]]&gt;=500,"Medium","Low")))</f>
        <v>Low</v>
      </c>
      <c r="M850" s="4" t="str" cm="1">
        <f t="array" ref="M85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50" s="4" cm="1">
        <f t="array" ref="N85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850" s="4">
        <f>Table156[[#This Row],[Total Amount]]-Table156[[#This Row],[Discount Amount]]</f>
        <v>42.5</v>
      </c>
      <c r="P850" s="4" t="str">
        <f>IF(Table156[[#This Row],[Total Amount]]&gt;=1000,"High","Low")</f>
        <v>Low</v>
      </c>
      <c r="Q850" s="4" t="str" cm="1">
        <f t="array" ref="Q850">_xlfn.IFS(AND(Table156[[#This Row],[Total Amount]]&gt;=1500,"Critical"),AND(Table156[[#This Row],[Total Amount]]&gt;=1000,"High"),TRUE,"Normal")</f>
        <v>Normal</v>
      </c>
      <c r="R850" s="4">
        <f>COUNTIF(Table156[Gender],"Male")</f>
        <v>490</v>
      </c>
    </row>
    <row r="851" spans="1:18" x14ac:dyDescent="0.35">
      <c r="A851" s="4">
        <v>850</v>
      </c>
      <c r="B851" s="5">
        <v>45135</v>
      </c>
      <c r="C851" s="4" t="s">
        <v>863</v>
      </c>
      <c r="D851" s="4" t="s">
        <v>13</v>
      </c>
      <c r="E851" s="4">
        <v>26</v>
      </c>
      <c r="F851" s="4" t="str">
        <f>IF(Table156[[#This Row],[Age]]&lt;=19,"Teenager",IF(Table156[[#This Row],[Age]]&lt;=40,"Median","Old"))</f>
        <v>Median</v>
      </c>
      <c r="G851" s="4" t="s">
        <v>11</v>
      </c>
      <c r="H851" s="4">
        <v>2</v>
      </c>
      <c r="I851" s="4">
        <v>500</v>
      </c>
      <c r="J851" s="4">
        <v>1000</v>
      </c>
      <c r="K851" s="4" t="str" cm="1">
        <f t="array" ref="K851">_xlfn.IFS(AND(Table156[[#This Row],[Total Amount]]&gt;=1500),"Critical",AND(Table156[[#This Row],[Total Amount]]&gt;=1000),"High",TRUE,"Normal")</f>
        <v>High</v>
      </c>
      <c r="L851" s="4" t="str">
        <f>IF(Table156[[#This Row],[Total Amount]]&gt;=1000,"High",(IF(Table156[[#This Row],[Total Amount]]&gt;=500,"Medium","Low")))</f>
        <v>High</v>
      </c>
      <c r="M851" s="4" t="str" cm="1">
        <f t="array" ref="M85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51" s="4" cm="1">
        <f t="array" ref="N85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851" s="4">
        <f>Table156[[#This Row],[Total Amount]]-Table156[[#This Row],[Discount Amount]]</f>
        <v>850</v>
      </c>
      <c r="P851" s="4" t="str">
        <f>IF(Table156[[#This Row],[Total Amount]]&gt;=1000,"High","Low")</f>
        <v>High</v>
      </c>
      <c r="Q851" s="4" t="str" cm="1">
        <f t="array" ref="Q851">_xlfn.IFS(AND(Table156[[#This Row],[Total Amount]]&gt;=1500,"Critical"),AND(Table156[[#This Row],[Total Amount]]&gt;=1000,"High"),TRUE,"Normal")</f>
        <v>Normal</v>
      </c>
      <c r="R851" s="4">
        <f>COUNTIF(Table156[Gender],"Male")</f>
        <v>490</v>
      </c>
    </row>
    <row r="852" spans="1:18" x14ac:dyDescent="0.35">
      <c r="A852" s="4">
        <v>851</v>
      </c>
      <c r="B852" s="5">
        <v>45177</v>
      </c>
      <c r="C852" s="4" t="s">
        <v>864</v>
      </c>
      <c r="D852" s="4" t="s">
        <v>10</v>
      </c>
      <c r="E852" s="4">
        <v>32</v>
      </c>
      <c r="F852" s="4" t="str">
        <f>IF(Table156[[#This Row],[Age]]&lt;=19,"Teenager",IF(Table156[[#This Row],[Age]]&lt;=40,"Median","Old"))</f>
        <v>Median</v>
      </c>
      <c r="G852" s="4" t="s">
        <v>16</v>
      </c>
      <c r="H852" s="4">
        <v>2</v>
      </c>
      <c r="I852" s="4">
        <v>25</v>
      </c>
      <c r="J852" s="4">
        <v>50</v>
      </c>
      <c r="K852" s="4" t="str" cm="1">
        <f t="array" ref="K852">_xlfn.IFS(AND(Table156[[#This Row],[Total Amount]]&gt;=1500),"Critical",AND(Table156[[#This Row],[Total Amount]]&gt;=1000),"High",TRUE,"Normal")</f>
        <v>Normal</v>
      </c>
      <c r="L852" s="4" t="str">
        <f>IF(Table156[[#This Row],[Total Amount]]&gt;=1000,"High",(IF(Table156[[#This Row],[Total Amount]]&gt;=500,"Medium","Low")))</f>
        <v>Low</v>
      </c>
      <c r="M852" s="4" t="str" cm="1">
        <f t="array" ref="M85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52" s="4" cm="1">
        <f t="array" ref="N85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852" s="4">
        <f>Table156[[#This Row],[Total Amount]]-Table156[[#This Row],[Discount Amount]]</f>
        <v>42.5</v>
      </c>
      <c r="P852" s="4" t="str">
        <f>IF(Table156[[#This Row],[Total Amount]]&gt;=1000,"High","Low")</f>
        <v>Low</v>
      </c>
      <c r="Q852" s="4" t="str" cm="1">
        <f t="array" ref="Q852">_xlfn.IFS(AND(Table156[[#This Row],[Total Amount]]&gt;=1500,"Critical"),AND(Table156[[#This Row],[Total Amount]]&gt;=1000,"High"),TRUE,"Normal")</f>
        <v>Normal</v>
      </c>
      <c r="R852" s="4">
        <f>COUNTIF(Table156[Gender],"Male")</f>
        <v>490</v>
      </c>
    </row>
    <row r="853" spans="1:18" x14ac:dyDescent="0.35">
      <c r="A853" s="4">
        <v>852</v>
      </c>
      <c r="B853" s="5">
        <v>45211</v>
      </c>
      <c r="C853" s="4" t="s">
        <v>865</v>
      </c>
      <c r="D853" s="4" t="s">
        <v>13</v>
      </c>
      <c r="E853" s="4">
        <v>41</v>
      </c>
      <c r="F853" s="4" t="str">
        <f>IF(Table156[[#This Row],[Age]]&lt;=19,"Teenager",IF(Table156[[#This Row],[Age]]&lt;=40,"Median","Old"))</f>
        <v>Old</v>
      </c>
      <c r="G853" s="4" t="s">
        <v>14</v>
      </c>
      <c r="H853" s="4">
        <v>1</v>
      </c>
      <c r="I853" s="4">
        <v>300</v>
      </c>
      <c r="J853" s="4">
        <v>300</v>
      </c>
      <c r="K853" s="4" t="str" cm="1">
        <f t="array" ref="K853">_xlfn.IFS(AND(Table156[[#This Row],[Total Amount]]&gt;=1500),"Critical",AND(Table156[[#This Row],[Total Amount]]&gt;=1000),"High",TRUE,"Normal")</f>
        <v>Normal</v>
      </c>
      <c r="L853" s="4" t="str">
        <f>IF(Table156[[#This Row],[Total Amount]]&gt;=1000,"High",(IF(Table156[[#This Row],[Total Amount]]&gt;=500,"Medium","Low")))</f>
        <v>Low</v>
      </c>
      <c r="M853" s="4" t="str" cm="1">
        <f t="array" ref="M85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53" s="4" cm="1">
        <f t="array" ref="N85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853" s="4">
        <f>Table156[[#This Row],[Total Amount]]-Table156[[#This Row],[Discount Amount]]</f>
        <v>240</v>
      </c>
      <c r="P853" s="4" t="str">
        <f>IF(Table156[[#This Row],[Total Amount]]&gt;=1000,"High","Low")</f>
        <v>Low</v>
      </c>
      <c r="Q853" s="4" t="str" cm="1">
        <f t="array" ref="Q853">_xlfn.IFS(AND(Table156[[#This Row],[Total Amount]]&gt;=1500,"Critical"),AND(Table156[[#This Row],[Total Amount]]&gt;=1000,"High"),TRUE,"Normal")</f>
        <v>Normal</v>
      </c>
      <c r="R853" s="4">
        <f>COUNTIF(Table156[Gender],"Male")</f>
        <v>490</v>
      </c>
    </row>
    <row r="854" spans="1:18" x14ac:dyDescent="0.35">
      <c r="A854" s="4">
        <v>853</v>
      </c>
      <c r="B854" s="5">
        <v>45050</v>
      </c>
      <c r="C854" s="4" t="s">
        <v>866</v>
      </c>
      <c r="D854" s="4" t="s">
        <v>10</v>
      </c>
      <c r="E854" s="4">
        <v>21</v>
      </c>
      <c r="F854" s="4" t="str">
        <f>IF(Table156[[#This Row],[Age]]&lt;=19,"Teenager",IF(Table156[[#This Row],[Age]]&lt;=40,"Median","Old"))</f>
        <v>Median</v>
      </c>
      <c r="G854" s="4" t="s">
        <v>11</v>
      </c>
      <c r="H854" s="4">
        <v>2</v>
      </c>
      <c r="I854" s="4">
        <v>500</v>
      </c>
      <c r="J854" s="4">
        <v>1000</v>
      </c>
      <c r="K854" s="4" t="str" cm="1">
        <f t="array" ref="K854">_xlfn.IFS(AND(Table156[[#This Row],[Total Amount]]&gt;=1500),"Critical",AND(Table156[[#This Row],[Total Amount]]&gt;=1000),"High",TRUE,"Normal")</f>
        <v>High</v>
      </c>
      <c r="L854" s="4" t="str">
        <f>IF(Table156[[#This Row],[Total Amount]]&gt;=1000,"High",(IF(Table156[[#This Row],[Total Amount]]&gt;=500,"Medium","Low")))</f>
        <v>High</v>
      </c>
      <c r="M854" s="4" t="str" cm="1">
        <f t="array" ref="M85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54" s="4" cm="1">
        <f t="array" ref="N85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54" s="4">
        <f>Table156[[#This Row],[Total Amount]]-Table156[[#This Row],[Discount Amount]]</f>
        <v>1000</v>
      </c>
      <c r="P854" s="4" t="str">
        <f>IF(Table156[[#This Row],[Total Amount]]&gt;=1000,"High","Low")</f>
        <v>High</v>
      </c>
      <c r="Q854" s="4" t="str" cm="1">
        <f t="array" ref="Q854">_xlfn.IFS(AND(Table156[[#This Row],[Total Amount]]&gt;=1500,"Critical"),AND(Table156[[#This Row],[Total Amount]]&gt;=1000,"High"),TRUE,"Normal")</f>
        <v>Normal</v>
      </c>
      <c r="R854" s="4">
        <f>COUNTIF(Table156[Gender],"Male")</f>
        <v>490</v>
      </c>
    </row>
    <row r="855" spans="1:18" x14ac:dyDescent="0.35">
      <c r="A855" s="4">
        <v>854</v>
      </c>
      <c r="B855" s="5">
        <v>45280</v>
      </c>
      <c r="C855" s="4" t="s">
        <v>867</v>
      </c>
      <c r="D855" s="4" t="s">
        <v>10</v>
      </c>
      <c r="E855" s="4">
        <v>29</v>
      </c>
      <c r="F855" s="4" t="str">
        <f>IF(Table156[[#This Row],[Age]]&lt;=19,"Teenager",IF(Table156[[#This Row],[Age]]&lt;=40,"Median","Old"))</f>
        <v>Median</v>
      </c>
      <c r="G855" s="4" t="s">
        <v>14</v>
      </c>
      <c r="H855" s="4">
        <v>1</v>
      </c>
      <c r="I855" s="4">
        <v>50</v>
      </c>
      <c r="J855" s="4">
        <v>50</v>
      </c>
      <c r="K855" s="4" t="str" cm="1">
        <f t="array" ref="K855">_xlfn.IFS(AND(Table156[[#This Row],[Total Amount]]&gt;=1500),"Critical",AND(Table156[[#This Row],[Total Amount]]&gt;=1000),"High",TRUE,"Normal")</f>
        <v>Normal</v>
      </c>
      <c r="L855" s="4" t="str">
        <f>IF(Table156[[#This Row],[Total Amount]]&gt;=1000,"High",(IF(Table156[[#This Row],[Total Amount]]&gt;=500,"Medium","Low")))</f>
        <v>Low</v>
      </c>
      <c r="M855" s="4" t="str" cm="1">
        <f t="array" ref="M85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55" s="4" cm="1">
        <f t="array" ref="N85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855" s="4">
        <f>Table156[[#This Row],[Total Amount]]-Table156[[#This Row],[Discount Amount]]</f>
        <v>42.5</v>
      </c>
      <c r="P855" s="4" t="str">
        <f>IF(Table156[[#This Row],[Total Amount]]&gt;=1000,"High","Low")</f>
        <v>Low</v>
      </c>
      <c r="Q855" s="4" t="str" cm="1">
        <f t="array" ref="Q855">_xlfn.IFS(AND(Table156[[#This Row],[Total Amount]]&gt;=1500,"Critical"),AND(Table156[[#This Row],[Total Amount]]&gt;=1000,"High"),TRUE,"Normal")</f>
        <v>Normal</v>
      </c>
      <c r="R855" s="4">
        <f>COUNTIF(Table156[Gender],"Male")</f>
        <v>490</v>
      </c>
    </row>
    <row r="856" spans="1:18" x14ac:dyDescent="0.35">
      <c r="A856" s="4">
        <v>855</v>
      </c>
      <c r="B856" s="5">
        <v>45170</v>
      </c>
      <c r="C856" s="4" t="s">
        <v>868</v>
      </c>
      <c r="D856" s="4" t="s">
        <v>10</v>
      </c>
      <c r="E856" s="4">
        <v>54</v>
      </c>
      <c r="F856" s="4" t="str">
        <f>IF(Table156[[#This Row],[Age]]&lt;=19,"Teenager",IF(Table156[[#This Row],[Age]]&lt;=40,"Median","Old"))</f>
        <v>Old</v>
      </c>
      <c r="G856" s="4" t="s">
        <v>11</v>
      </c>
      <c r="H856" s="4">
        <v>1</v>
      </c>
      <c r="I856" s="4">
        <v>25</v>
      </c>
      <c r="J856" s="4">
        <v>25</v>
      </c>
      <c r="K856" s="4" t="str" cm="1">
        <f t="array" ref="K856">_xlfn.IFS(AND(Table156[[#This Row],[Total Amount]]&gt;=1500),"Critical",AND(Table156[[#This Row],[Total Amount]]&gt;=1000),"High",TRUE,"Normal")</f>
        <v>Normal</v>
      </c>
      <c r="L856" s="4" t="str">
        <f>IF(Table156[[#This Row],[Total Amount]]&gt;=1000,"High",(IF(Table156[[#This Row],[Total Amount]]&gt;=500,"Medium","Low")))</f>
        <v>Low</v>
      </c>
      <c r="M856" s="4" t="str" cm="1">
        <f t="array" ref="M85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56" s="4" cm="1">
        <f t="array" ref="N85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856" s="4">
        <f>Table156[[#This Row],[Total Amount]]-Table156[[#This Row],[Discount Amount]]</f>
        <v>22.5</v>
      </c>
      <c r="P856" s="4" t="str">
        <f>IF(Table156[[#This Row],[Total Amount]]&gt;=1000,"High","Low")</f>
        <v>Low</v>
      </c>
      <c r="Q856" s="4" t="str" cm="1">
        <f t="array" ref="Q856">_xlfn.IFS(AND(Table156[[#This Row],[Total Amount]]&gt;=1500,"Critical"),AND(Table156[[#This Row],[Total Amount]]&gt;=1000,"High"),TRUE,"Normal")</f>
        <v>Normal</v>
      </c>
      <c r="R856" s="4">
        <f>COUNTIF(Table156[Gender],"Male")</f>
        <v>490</v>
      </c>
    </row>
    <row r="857" spans="1:18" x14ac:dyDescent="0.35">
      <c r="A857" s="4">
        <v>856</v>
      </c>
      <c r="B857" s="5">
        <v>45257</v>
      </c>
      <c r="C857" s="4" t="s">
        <v>869</v>
      </c>
      <c r="D857" s="4" t="s">
        <v>10</v>
      </c>
      <c r="E857" s="4">
        <v>54</v>
      </c>
      <c r="F857" s="4" t="str">
        <f>IF(Table156[[#This Row],[Age]]&lt;=19,"Teenager",IF(Table156[[#This Row],[Age]]&lt;=40,"Median","Old"))</f>
        <v>Old</v>
      </c>
      <c r="G857" s="4" t="s">
        <v>16</v>
      </c>
      <c r="H857" s="4">
        <v>4</v>
      </c>
      <c r="I857" s="4">
        <v>30</v>
      </c>
      <c r="J857" s="4">
        <v>120</v>
      </c>
      <c r="K857" s="4" t="str" cm="1">
        <f t="array" ref="K857">_xlfn.IFS(AND(Table156[[#This Row],[Total Amount]]&gt;=1500),"Critical",AND(Table156[[#This Row],[Total Amount]]&gt;=1000),"High",TRUE,"Normal")</f>
        <v>Normal</v>
      </c>
      <c r="L857" s="4" t="str">
        <f>IF(Table156[[#This Row],[Total Amount]]&gt;=1000,"High",(IF(Table156[[#This Row],[Total Amount]]&gt;=500,"Medium","Low")))</f>
        <v>Low</v>
      </c>
      <c r="M857" s="4" t="str" cm="1">
        <f t="array" ref="M85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57" s="4" cm="1">
        <f t="array" ref="N85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857" s="4">
        <f>Table156[[#This Row],[Total Amount]]-Table156[[#This Row],[Discount Amount]]</f>
        <v>108</v>
      </c>
      <c r="P857" s="4" t="str">
        <f>IF(Table156[[#This Row],[Total Amount]]&gt;=1000,"High","Low")</f>
        <v>Low</v>
      </c>
      <c r="Q857" s="4" t="str" cm="1">
        <f t="array" ref="Q857">_xlfn.IFS(AND(Table156[[#This Row],[Total Amount]]&gt;=1500,"Critical"),AND(Table156[[#This Row],[Total Amount]]&gt;=1000,"High"),TRUE,"Normal")</f>
        <v>Normal</v>
      </c>
      <c r="R857" s="4">
        <f>COUNTIF(Table156[Gender],"Male")</f>
        <v>490</v>
      </c>
    </row>
    <row r="858" spans="1:18" x14ac:dyDescent="0.35">
      <c r="A858" s="4">
        <v>857</v>
      </c>
      <c r="B858" s="5">
        <v>45291</v>
      </c>
      <c r="C858" s="4" t="s">
        <v>870</v>
      </c>
      <c r="D858" s="4" t="s">
        <v>10</v>
      </c>
      <c r="E858" s="4">
        <v>60</v>
      </c>
      <c r="F858" s="4" t="str">
        <f>IF(Table156[[#This Row],[Age]]&lt;=19,"Teenager",IF(Table156[[#This Row],[Age]]&lt;=40,"Median","Old"))</f>
        <v>Old</v>
      </c>
      <c r="G858" s="4" t="s">
        <v>16</v>
      </c>
      <c r="H858" s="4">
        <v>2</v>
      </c>
      <c r="I858" s="4">
        <v>25</v>
      </c>
      <c r="J858" s="4">
        <v>50</v>
      </c>
      <c r="K858" s="4" t="str" cm="1">
        <f t="array" ref="K858">_xlfn.IFS(AND(Table156[[#This Row],[Total Amount]]&gt;=1500),"Critical",AND(Table156[[#This Row],[Total Amount]]&gt;=1000),"High",TRUE,"Normal")</f>
        <v>Normal</v>
      </c>
      <c r="L858" s="4" t="str">
        <f>IF(Table156[[#This Row],[Total Amount]]&gt;=1000,"High",(IF(Table156[[#This Row],[Total Amount]]&gt;=500,"Medium","Low")))</f>
        <v>Low</v>
      </c>
      <c r="M858" s="4" t="str" cm="1">
        <f t="array" ref="M85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58" s="4" cm="1">
        <f t="array" ref="N85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858" s="4">
        <f>Table156[[#This Row],[Total Amount]]-Table156[[#This Row],[Discount Amount]]</f>
        <v>45</v>
      </c>
      <c r="P858" s="4" t="str">
        <f>IF(Table156[[#This Row],[Total Amount]]&gt;=1000,"High","Low")</f>
        <v>Low</v>
      </c>
      <c r="Q858" s="4" t="str" cm="1">
        <f t="array" ref="Q858">_xlfn.IFS(AND(Table156[[#This Row],[Total Amount]]&gt;=1500,"Critical"),AND(Table156[[#This Row],[Total Amount]]&gt;=1000,"High"),TRUE,"Normal")</f>
        <v>Normal</v>
      </c>
      <c r="R858" s="4">
        <f>COUNTIF(Table156[Gender],"Male")</f>
        <v>490</v>
      </c>
    </row>
    <row r="859" spans="1:18" x14ac:dyDescent="0.35">
      <c r="A859" s="4">
        <v>858</v>
      </c>
      <c r="B859" s="5">
        <v>45178</v>
      </c>
      <c r="C859" s="4" t="s">
        <v>871</v>
      </c>
      <c r="D859" s="4" t="s">
        <v>10</v>
      </c>
      <c r="E859" s="4">
        <v>23</v>
      </c>
      <c r="F859" s="4" t="str">
        <f>IF(Table156[[#This Row],[Age]]&lt;=19,"Teenager",IF(Table156[[#This Row],[Age]]&lt;=40,"Median","Old"))</f>
        <v>Median</v>
      </c>
      <c r="G859" s="4" t="s">
        <v>16</v>
      </c>
      <c r="H859" s="4">
        <v>2</v>
      </c>
      <c r="I859" s="4">
        <v>50</v>
      </c>
      <c r="J859" s="4">
        <v>100</v>
      </c>
      <c r="K859" s="4" t="str" cm="1">
        <f t="array" ref="K859">_xlfn.IFS(AND(Table156[[#This Row],[Total Amount]]&gt;=1500),"Critical",AND(Table156[[#This Row],[Total Amount]]&gt;=1000),"High",TRUE,"Normal")</f>
        <v>Normal</v>
      </c>
      <c r="L859" s="4" t="str">
        <f>IF(Table156[[#This Row],[Total Amount]]&gt;=1000,"High",(IF(Table156[[#This Row],[Total Amount]]&gt;=500,"Medium","Low")))</f>
        <v>Low</v>
      </c>
      <c r="M859" s="4" t="str" cm="1">
        <f t="array" ref="M85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59" s="4" cm="1">
        <f t="array" ref="N85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59" s="4">
        <f>Table156[[#This Row],[Total Amount]]-Table156[[#This Row],[Discount Amount]]</f>
        <v>100</v>
      </c>
      <c r="P859" s="4" t="str">
        <f>IF(Table156[[#This Row],[Total Amount]]&gt;=1000,"High","Low")</f>
        <v>Low</v>
      </c>
      <c r="Q859" s="4" t="str" cm="1">
        <f t="array" ref="Q859">_xlfn.IFS(AND(Table156[[#This Row],[Total Amount]]&gt;=1500,"Critical"),AND(Table156[[#This Row],[Total Amount]]&gt;=1000,"High"),TRUE,"Normal")</f>
        <v>Normal</v>
      </c>
      <c r="R859" s="4">
        <f>COUNTIF(Table156[Gender],"Male")</f>
        <v>490</v>
      </c>
    </row>
    <row r="860" spans="1:18" x14ac:dyDescent="0.35">
      <c r="A860" s="4">
        <v>859</v>
      </c>
      <c r="B860" s="5">
        <v>45156</v>
      </c>
      <c r="C860" s="4" t="s">
        <v>872</v>
      </c>
      <c r="D860" s="4" t="s">
        <v>13</v>
      </c>
      <c r="E860" s="4">
        <v>56</v>
      </c>
      <c r="F860" s="4" t="str">
        <f>IF(Table156[[#This Row],[Age]]&lt;=19,"Teenager",IF(Table156[[#This Row],[Age]]&lt;=40,"Median","Old"))</f>
        <v>Old</v>
      </c>
      <c r="G860" s="4" t="s">
        <v>16</v>
      </c>
      <c r="H860" s="4">
        <v>3</v>
      </c>
      <c r="I860" s="4">
        <v>500</v>
      </c>
      <c r="J860" s="4">
        <v>1500</v>
      </c>
      <c r="K860" s="4" t="str" cm="1">
        <f t="array" ref="K860">_xlfn.IFS(AND(Table156[[#This Row],[Total Amount]]&gt;=1500),"Critical",AND(Table156[[#This Row],[Total Amount]]&gt;=1000),"High",TRUE,"Normal")</f>
        <v>Critical</v>
      </c>
      <c r="L860" s="4" t="str">
        <f>IF(Table156[[#This Row],[Total Amount]]&gt;=1000,"High",(IF(Table156[[#This Row],[Total Amount]]&gt;=500,"Medium","Low")))</f>
        <v>High</v>
      </c>
      <c r="M860" s="4" t="str" cm="1">
        <f t="array" ref="M86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60" s="4" cm="1">
        <f t="array" ref="N86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860" s="4">
        <f>Table156[[#This Row],[Total Amount]]-Table156[[#This Row],[Discount Amount]]</f>
        <v>1200</v>
      </c>
      <c r="P860" s="4" t="str">
        <f>IF(Table156[[#This Row],[Total Amount]]&gt;=1000,"High","Low")</f>
        <v>High</v>
      </c>
      <c r="Q860" s="4" t="b" cm="1">
        <f t="array" ref="Q860">_xlfn.IFS(AND(Table156[[#This Row],[Total Amount]]&gt;=1500,"Critical"),AND(Table156[[#This Row],[Total Amount]]&gt;=1000,"High"),TRUE,"Normal")</f>
        <v>1</v>
      </c>
      <c r="R860" s="4">
        <f>COUNTIF(Table156[Gender],"Male")</f>
        <v>490</v>
      </c>
    </row>
    <row r="861" spans="1:18" x14ac:dyDescent="0.35">
      <c r="A861" s="4">
        <v>860</v>
      </c>
      <c r="B861" s="5">
        <v>44935</v>
      </c>
      <c r="C861" s="4" t="s">
        <v>873</v>
      </c>
      <c r="D861" s="4" t="s">
        <v>10</v>
      </c>
      <c r="E861" s="4">
        <v>63</v>
      </c>
      <c r="F861" s="4" t="str">
        <f>IF(Table156[[#This Row],[Age]]&lt;=19,"Teenager",IF(Table156[[#This Row],[Age]]&lt;=40,"Median","Old"))</f>
        <v>Old</v>
      </c>
      <c r="G861" s="4" t="s">
        <v>14</v>
      </c>
      <c r="H861" s="4">
        <v>4</v>
      </c>
      <c r="I861" s="4">
        <v>50</v>
      </c>
      <c r="J861" s="4">
        <v>200</v>
      </c>
      <c r="K861" s="4" t="str" cm="1">
        <f t="array" ref="K861">_xlfn.IFS(AND(Table156[[#This Row],[Total Amount]]&gt;=1500),"Critical",AND(Table156[[#This Row],[Total Amount]]&gt;=1000),"High",TRUE,"Normal")</f>
        <v>Normal</v>
      </c>
      <c r="L861" s="4" t="str">
        <f>IF(Table156[[#This Row],[Total Amount]]&gt;=1000,"High",(IF(Table156[[#This Row],[Total Amount]]&gt;=500,"Medium","Low")))</f>
        <v>Low</v>
      </c>
      <c r="M861" s="4" t="str" cm="1">
        <f t="array" ref="M86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61" s="4" cm="1">
        <f t="array" ref="N86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861" s="4">
        <f>Table156[[#This Row],[Total Amount]]-Table156[[#This Row],[Discount Amount]]</f>
        <v>180</v>
      </c>
      <c r="P861" s="4" t="str">
        <f>IF(Table156[[#This Row],[Total Amount]]&gt;=1000,"High","Low")</f>
        <v>Low</v>
      </c>
      <c r="Q861" s="4" t="str" cm="1">
        <f t="array" ref="Q861">_xlfn.IFS(AND(Table156[[#This Row],[Total Amount]]&gt;=1500,"Critical"),AND(Table156[[#This Row],[Total Amount]]&gt;=1000,"High"),TRUE,"Normal")</f>
        <v>Normal</v>
      </c>
      <c r="R861" s="4">
        <f>COUNTIF(Table156[Gender],"Male")</f>
        <v>490</v>
      </c>
    </row>
    <row r="862" spans="1:18" x14ac:dyDescent="0.35">
      <c r="A862" s="4">
        <v>861</v>
      </c>
      <c r="B862" s="5">
        <v>44974</v>
      </c>
      <c r="C862" s="4" t="s">
        <v>874</v>
      </c>
      <c r="D862" s="4" t="s">
        <v>13</v>
      </c>
      <c r="E862" s="4">
        <v>41</v>
      </c>
      <c r="F862" s="4" t="str">
        <f>IF(Table156[[#This Row],[Age]]&lt;=19,"Teenager",IF(Table156[[#This Row],[Age]]&lt;=40,"Median","Old"))</f>
        <v>Old</v>
      </c>
      <c r="G862" s="4" t="s">
        <v>14</v>
      </c>
      <c r="H862" s="4">
        <v>3</v>
      </c>
      <c r="I862" s="4">
        <v>30</v>
      </c>
      <c r="J862" s="4">
        <v>90</v>
      </c>
      <c r="K862" s="4" t="str" cm="1">
        <f t="array" ref="K862">_xlfn.IFS(AND(Table156[[#This Row],[Total Amount]]&gt;=1500),"Critical",AND(Table156[[#This Row],[Total Amount]]&gt;=1000),"High",TRUE,"Normal")</f>
        <v>Normal</v>
      </c>
      <c r="L862" s="4" t="str">
        <f>IF(Table156[[#This Row],[Total Amount]]&gt;=1000,"High",(IF(Table156[[#This Row],[Total Amount]]&gt;=500,"Medium","Low")))</f>
        <v>Low</v>
      </c>
      <c r="M862" s="4" t="str" cm="1">
        <f t="array" ref="M86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62" s="4" cm="1">
        <f t="array" ref="N86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862" s="4">
        <f>Table156[[#This Row],[Total Amount]]-Table156[[#This Row],[Discount Amount]]</f>
        <v>72</v>
      </c>
      <c r="P862" s="4" t="str">
        <f>IF(Table156[[#This Row],[Total Amount]]&gt;=1000,"High","Low")</f>
        <v>Low</v>
      </c>
      <c r="Q862" s="4" t="str" cm="1">
        <f t="array" ref="Q862">_xlfn.IFS(AND(Table156[[#This Row],[Total Amount]]&gt;=1500,"Critical"),AND(Table156[[#This Row],[Total Amount]]&gt;=1000,"High"),TRUE,"Normal")</f>
        <v>Normal</v>
      </c>
      <c r="R862" s="4">
        <f>COUNTIF(Table156[Gender],"Male")</f>
        <v>490</v>
      </c>
    </row>
    <row r="863" spans="1:18" x14ac:dyDescent="0.35">
      <c r="A863" s="4">
        <v>862</v>
      </c>
      <c r="B863" s="5">
        <v>45077</v>
      </c>
      <c r="C863" s="4" t="s">
        <v>875</v>
      </c>
      <c r="D863" s="4" t="s">
        <v>10</v>
      </c>
      <c r="E863" s="4">
        <v>28</v>
      </c>
      <c r="F863" s="4" t="str">
        <f>IF(Table156[[#This Row],[Age]]&lt;=19,"Teenager",IF(Table156[[#This Row],[Age]]&lt;=40,"Median","Old"))</f>
        <v>Median</v>
      </c>
      <c r="G863" s="4" t="s">
        <v>16</v>
      </c>
      <c r="H863" s="4">
        <v>4</v>
      </c>
      <c r="I863" s="4">
        <v>300</v>
      </c>
      <c r="J863" s="4">
        <v>1200</v>
      </c>
      <c r="K863" s="4" t="str" cm="1">
        <f t="array" ref="K863">_xlfn.IFS(AND(Table156[[#This Row],[Total Amount]]&gt;=1500),"Critical",AND(Table156[[#This Row],[Total Amount]]&gt;=1000),"High",TRUE,"Normal")</f>
        <v>High</v>
      </c>
      <c r="L863" s="4" t="str">
        <f>IF(Table156[[#This Row],[Total Amount]]&gt;=1000,"High",(IF(Table156[[#This Row],[Total Amount]]&gt;=500,"Medium","Low")))</f>
        <v>High</v>
      </c>
      <c r="M863" s="4" t="str" cm="1">
        <f t="array" ref="M86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63" s="4" cm="1">
        <f t="array" ref="N86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863" s="4">
        <f>Table156[[#This Row],[Total Amount]]-Table156[[#This Row],[Discount Amount]]</f>
        <v>1020</v>
      </c>
      <c r="P863" s="4" t="str">
        <f>IF(Table156[[#This Row],[Total Amount]]&gt;=1000,"High","Low")</f>
        <v>High</v>
      </c>
      <c r="Q863" s="4" t="str" cm="1">
        <f t="array" ref="Q863">_xlfn.IFS(AND(Table156[[#This Row],[Total Amount]]&gt;=1500,"Critical"),AND(Table156[[#This Row],[Total Amount]]&gt;=1000,"High"),TRUE,"Normal")</f>
        <v>Normal</v>
      </c>
      <c r="R863" s="4">
        <f>COUNTIF(Table156[Gender],"Male")</f>
        <v>490</v>
      </c>
    </row>
    <row r="864" spans="1:18" x14ac:dyDescent="0.35">
      <c r="A864" s="4">
        <v>863</v>
      </c>
      <c r="B864" s="5">
        <v>45040</v>
      </c>
      <c r="C864" s="4" t="s">
        <v>876</v>
      </c>
      <c r="D864" s="4" t="s">
        <v>13</v>
      </c>
      <c r="E864" s="4">
        <v>30</v>
      </c>
      <c r="F864" s="4" t="str">
        <f>IF(Table156[[#This Row],[Age]]&lt;=19,"Teenager",IF(Table156[[#This Row],[Age]]&lt;=40,"Median","Old"))</f>
        <v>Median</v>
      </c>
      <c r="G864" s="4" t="s">
        <v>16</v>
      </c>
      <c r="H864" s="4">
        <v>2</v>
      </c>
      <c r="I864" s="4">
        <v>25</v>
      </c>
      <c r="J864" s="4">
        <v>50</v>
      </c>
      <c r="K864" s="4" t="str" cm="1">
        <f t="array" ref="K864">_xlfn.IFS(AND(Table156[[#This Row],[Total Amount]]&gt;=1500),"Critical",AND(Table156[[#This Row],[Total Amount]]&gt;=1000),"High",TRUE,"Normal")</f>
        <v>Normal</v>
      </c>
      <c r="L864" s="4" t="str">
        <f>IF(Table156[[#This Row],[Total Amount]]&gt;=1000,"High",(IF(Table156[[#This Row],[Total Amount]]&gt;=500,"Medium","Low")))</f>
        <v>Low</v>
      </c>
      <c r="M864" s="4" t="str" cm="1">
        <f t="array" ref="M86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64" s="4" cm="1">
        <f t="array" ref="N86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864" s="4">
        <f>Table156[[#This Row],[Total Amount]]-Table156[[#This Row],[Discount Amount]]</f>
        <v>42.5</v>
      </c>
      <c r="P864" s="4" t="str">
        <f>IF(Table156[[#This Row],[Total Amount]]&gt;=1000,"High","Low")</f>
        <v>Low</v>
      </c>
      <c r="Q864" s="4" t="str" cm="1">
        <f t="array" ref="Q864">_xlfn.IFS(AND(Table156[[#This Row],[Total Amount]]&gt;=1500,"Critical"),AND(Table156[[#This Row],[Total Amount]]&gt;=1000,"High"),TRUE,"Normal")</f>
        <v>Normal</v>
      </c>
      <c r="R864" s="4">
        <f>COUNTIF(Table156[Gender],"Male")</f>
        <v>490</v>
      </c>
    </row>
    <row r="865" spans="1:18" x14ac:dyDescent="0.35">
      <c r="A865" s="4">
        <v>864</v>
      </c>
      <c r="B865" s="5">
        <v>45134</v>
      </c>
      <c r="C865" s="4" t="s">
        <v>877</v>
      </c>
      <c r="D865" s="4" t="s">
        <v>13</v>
      </c>
      <c r="E865" s="4">
        <v>51</v>
      </c>
      <c r="F865" s="4" t="str">
        <f>IF(Table156[[#This Row],[Age]]&lt;=19,"Teenager",IF(Table156[[#This Row],[Age]]&lt;=40,"Median","Old"))</f>
        <v>Old</v>
      </c>
      <c r="G865" s="4" t="s">
        <v>16</v>
      </c>
      <c r="H865" s="4">
        <v>1</v>
      </c>
      <c r="I865" s="4">
        <v>500</v>
      </c>
      <c r="J865" s="4">
        <v>500</v>
      </c>
      <c r="K865" s="4" t="str" cm="1">
        <f t="array" ref="K865">_xlfn.IFS(AND(Table156[[#This Row],[Total Amount]]&gt;=1500),"Critical",AND(Table156[[#This Row],[Total Amount]]&gt;=1000),"High",TRUE,"Normal")</f>
        <v>Normal</v>
      </c>
      <c r="L865" s="4" t="str">
        <f>IF(Table156[[#This Row],[Total Amount]]&gt;=1000,"High",(IF(Table156[[#This Row],[Total Amount]]&gt;=500,"Medium","Low")))</f>
        <v>Medium</v>
      </c>
      <c r="M865" s="4" t="str" cm="1">
        <f t="array" ref="M86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65" s="4" cm="1">
        <f t="array" ref="N86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865" s="4">
        <f>Table156[[#This Row],[Total Amount]]-Table156[[#This Row],[Discount Amount]]</f>
        <v>400</v>
      </c>
      <c r="P865" s="4" t="str">
        <f>IF(Table156[[#This Row],[Total Amount]]&gt;=1000,"High","Low")</f>
        <v>Low</v>
      </c>
      <c r="Q865" s="4" t="str" cm="1">
        <f t="array" ref="Q865">_xlfn.IFS(AND(Table156[[#This Row],[Total Amount]]&gt;=1500,"Critical"),AND(Table156[[#This Row],[Total Amount]]&gt;=1000,"High"),TRUE,"Normal")</f>
        <v>Normal</v>
      </c>
      <c r="R865" s="4">
        <f>COUNTIF(Table156[Gender],"Male")</f>
        <v>490</v>
      </c>
    </row>
    <row r="866" spans="1:18" x14ac:dyDescent="0.35">
      <c r="A866" s="4">
        <v>865</v>
      </c>
      <c r="B866" s="5">
        <v>45281</v>
      </c>
      <c r="C866" s="4" t="s">
        <v>878</v>
      </c>
      <c r="D866" s="4" t="s">
        <v>13</v>
      </c>
      <c r="E866" s="4">
        <v>42</v>
      </c>
      <c r="F866" s="4" t="str">
        <f>IF(Table156[[#This Row],[Age]]&lt;=19,"Teenager",IF(Table156[[#This Row],[Age]]&lt;=40,"Median","Old"))</f>
        <v>Old</v>
      </c>
      <c r="G866" s="4" t="s">
        <v>14</v>
      </c>
      <c r="H866" s="4">
        <v>1</v>
      </c>
      <c r="I866" s="4">
        <v>300</v>
      </c>
      <c r="J866" s="4">
        <v>300</v>
      </c>
      <c r="K866" s="4" t="str" cm="1">
        <f t="array" ref="K866">_xlfn.IFS(AND(Table156[[#This Row],[Total Amount]]&gt;=1500),"Critical",AND(Table156[[#This Row],[Total Amount]]&gt;=1000),"High",TRUE,"Normal")</f>
        <v>Normal</v>
      </c>
      <c r="L866" s="4" t="str">
        <f>IF(Table156[[#This Row],[Total Amount]]&gt;=1000,"High",(IF(Table156[[#This Row],[Total Amount]]&gt;=500,"Medium","Low")))</f>
        <v>Low</v>
      </c>
      <c r="M866" s="4" t="str" cm="1">
        <f t="array" ref="M86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66" s="4" cm="1">
        <f t="array" ref="N86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866" s="4">
        <f>Table156[[#This Row],[Total Amount]]-Table156[[#This Row],[Discount Amount]]</f>
        <v>240</v>
      </c>
      <c r="P866" s="4" t="str">
        <f>IF(Table156[[#This Row],[Total Amount]]&gt;=1000,"High","Low")</f>
        <v>Low</v>
      </c>
      <c r="Q866" s="4" t="str" cm="1">
        <f t="array" ref="Q866">_xlfn.IFS(AND(Table156[[#This Row],[Total Amount]]&gt;=1500,"Critical"),AND(Table156[[#This Row],[Total Amount]]&gt;=1000,"High"),TRUE,"Normal")</f>
        <v>Normal</v>
      </c>
      <c r="R866" s="4">
        <f>COUNTIF(Table156[Gender],"Male")</f>
        <v>490</v>
      </c>
    </row>
    <row r="867" spans="1:18" x14ac:dyDescent="0.35">
      <c r="A867" s="4">
        <v>866</v>
      </c>
      <c r="B867" s="5">
        <v>45051</v>
      </c>
      <c r="C867" s="4" t="s">
        <v>879</v>
      </c>
      <c r="D867" s="4" t="s">
        <v>10</v>
      </c>
      <c r="E867" s="4">
        <v>24</v>
      </c>
      <c r="F867" s="4" t="str">
        <f>IF(Table156[[#This Row],[Age]]&lt;=19,"Teenager",IF(Table156[[#This Row],[Age]]&lt;=40,"Median","Old"))</f>
        <v>Median</v>
      </c>
      <c r="G867" s="4" t="s">
        <v>16</v>
      </c>
      <c r="H867" s="4">
        <v>1</v>
      </c>
      <c r="I867" s="4">
        <v>50</v>
      </c>
      <c r="J867" s="4">
        <v>50</v>
      </c>
      <c r="K867" s="4" t="str" cm="1">
        <f t="array" ref="K867">_xlfn.IFS(AND(Table156[[#This Row],[Total Amount]]&gt;=1500),"Critical",AND(Table156[[#This Row],[Total Amount]]&gt;=1000),"High",TRUE,"Normal")</f>
        <v>Normal</v>
      </c>
      <c r="L867" s="4" t="str">
        <f>IF(Table156[[#This Row],[Total Amount]]&gt;=1000,"High",(IF(Table156[[#This Row],[Total Amount]]&gt;=500,"Medium","Low")))</f>
        <v>Low</v>
      </c>
      <c r="M867" s="4" t="str" cm="1">
        <f t="array" ref="M86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67" s="4" cm="1">
        <f t="array" ref="N86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67" s="4">
        <f>Table156[[#This Row],[Total Amount]]-Table156[[#This Row],[Discount Amount]]</f>
        <v>50</v>
      </c>
      <c r="P867" s="4" t="str">
        <f>IF(Table156[[#This Row],[Total Amount]]&gt;=1000,"High","Low")</f>
        <v>Low</v>
      </c>
      <c r="Q867" s="4" t="str" cm="1">
        <f t="array" ref="Q867">_xlfn.IFS(AND(Table156[[#This Row],[Total Amount]]&gt;=1500,"Critical"),AND(Table156[[#This Row],[Total Amount]]&gt;=1000,"High"),TRUE,"Normal")</f>
        <v>Normal</v>
      </c>
      <c r="R867" s="4">
        <f>COUNTIF(Table156[Gender],"Male")</f>
        <v>490</v>
      </c>
    </row>
    <row r="868" spans="1:18" x14ac:dyDescent="0.35">
      <c r="A868" s="4">
        <v>867</v>
      </c>
      <c r="B868" s="5">
        <v>45083</v>
      </c>
      <c r="C868" s="4" t="s">
        <v>880</v>
      </c>
      <c r="D868" s="4" t="s">
        <v>10</v>
      </c>
      <c r="E868" s="4">
        <v>21</v>
      </c>
      <c r="F868" s="4" t="str">
        <f>IF(Table156[[#This Row],[Age]]&lt;=19,"Teenager",IF(Table156[[#This Row],[Age]]&lt;=40,"Median","Old"))</f>
        <v>Median</v>
      </c>
      <c r="G868" s="4" t="s">
        <v>16</v>
      </c>
      <c r="H868" s="4">
        <v>1</v>
      </c>
      <c r="I868" s="4">
        <v>500</v>
      </c>
      <c r="J868" s="4">
        <v>500</v>
      </c>
      <c r="K868" s="4" t="str" cm="1">
        <f t="array" ref="K868">_xlfn.IFS(AND(Table156[[#This Row],[Total Amount]]&gt;=1500),"Critical",AND(Table156[[#This Row],[Total Amount]]&gt;=1000),"High",TRUE,"Normal")</f>
        <v>Normal</v>
      </c>
      <c r="L868" s="4" t="str">
        <f>IF(Table156[[#This Row],[Total Amount]]&gt;=1000,"High",(IF(Table156[[#This Row],[Total Amount]]&gt;=500,"Medium","Low")))</f>
        <v>Medium</v>
      </c>
      <c r="M868" s="4" t="str" cm="1">
        <f t="array" ref="M86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68" s="4" cm="1">
        <f t="array" ref="N86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68" s="4">
        <f>Table156[[#This Row],[Total Amount]]-Table156[[#This Row],[Discount Amount]]</f>
        <v>500</v>
      </c>
      <c r="P868" s="4" t="str">
        <f>IF(Table156[[#This Row],[Total Amount]]&gt;=1000,"High","Low")</f>
        <v>Low</v>
      </c>
      <c r="Q868" s="4" t="str" cm="1">
        <f t="array" ref="Q868">_xlfn.IFS(AND(Table156[[#This Row],[Total Amount]]&gt;=1500,"Critical"),AND(Table156[[#This Row],[Total Amount]]&gt;=1000,"High"),TRUE,"Normal")</f>
        <v>Normal</v>
      </c>
      <c r="R868" s="4">
        <f>COUNTIF(Table156[Gender],"Male")</f>
        <v>490</v>
      </c>
    </row>
    <row r="869" spans="1:18" x14ac:dyDescent="0.35">
      <c r="A869" s="4">
        <v>868</v>
      </c>
      <c r="B869" s="5">
        <v>45266</v>
      </c>
      <c r="C869" s="4" t="s">
        <v>881</v>
      </c>
      <c r="D869" s="4" t="s">
        <v>13</v>
      </c>
      <c r="E869" s="4">
        <v>25</v>
      </c>
      <c r="F869" s="4" t="str">
        <f>IF(Table156[[#This Row],[Age]]&lt;=19,"Teenager",IF(Table156[[#This Row],[Age]]&lt;=40,"Median","Old"))</f>
        <v>Median</v>
      </c>
      <c r="G869" s="4" t="s">
        <v>16</v>
      </c>
      <c r="H869" s="4">
        <v>1</v>
      </c>
      <c r="I869" s="4">
        <v>300</v>
      </c>
      <c r="J869" s="4">
        <v>300</v>
      </c>
      <c r="K869" s="4" t="str" cm="1">
        <f t="array" ref="K869">_xlfn.IFS(AND(Table156[[#This Row],[Total Amount]]&gt;=1500),"Critical",AND(Table156[[#This Row],[Total Amount]]&gt;=1000),"High",TRUE,"Normal")</f>
        <v>Normal</v>
      </c>
      <c r="L869" s="4" t="str">
        <f>IF(Table156[[#This Row],[Total Amount]]&gt;=1000,"High",(IF(Table156[[#This Row],[Total Amount]]&gt;=500,"Medium","Low")))</f>
        <v>Low</v>
      </c>
      <c r="M869" s="4" t="str" cm="1">
        <f t="array" ref="M86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69" s="4" cm="1">
        <f t="array" ref="N86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45</v>
      </c>
      <c r="O869" s="4">
        <f>Table156[[#This Row],[Total Amount]]-Table156[[#This Row],[Discount Amount]]</f>
        <v>255</v>
      </c>
      <c r="P869" s="4" t="str">
        <f>IF(Table156[[#This Row],[Total Amount]]&gt;=1000,"High","Low")</f>
        <v>Low</v>
      </c>
      <c r="Q869" s="4" t="str" cm="1">
        <f t="array" ref="Q869">_xlfn.IFS(AND(Table156[[#This Row],[Total Amount]]&gt;=1500,"Critical"),AND(Table156[[#This Row],[Total Amount]]&gt;=1000,"High"),TRUE,"Normal")</f>
        <v>Normal</v>
      </c>
      <c r="R869" s="4">
        <f>COUNTIF(Table156[Gender],"Male")</f>
        <v>490</v>
      </c>
    </row>
    <row r="870" spans="1:18" x14ac:dyDescent="0.35">
      <c r="A870" s="4">
        <v>869</v>
      </c>
      <c r="B870" s="5">
        <v>45224</v>
      </c>
      <c r="C870" s="4" t="s">
        <v>882</v>
      </c>
      <c r="D870" s="4" t="s">
        <v>10</v>
      </c>
      <c r="E870" s="4">
        <v>37</v>
      </c>
      <c r="F870" s="4" t="str">
        <f>IF(Table156[[#This Row],[Age]]&lt;=19,"Teenager",IF(Table156[[#This Row],[Age]]&lt;=40,"Median","Old"))</f>
        <v>Median</v>
      </c>
      <c r="G870" s="4" t="s">
        <v>11</v>
      </c>
      <c r="H870" s="4">
        <v>3</v>
      </c>
      <c r="I870" s="4">
        <v>500</v>
      </c>
      <c r="J870" s="4">
        <v>1500</v>
      </c>
      <c r="K870" s="4" t="str" cm="1">
        <f t="array" ref="K870">_xlfn.IFS(AND(Table156[[#This Row],[Total Amount]]&gt;=1500),"Critical",AND(Table156[[#This Row],[Total Amount]]&gt;=1000),"High",TRUE,"Normal")</f>
        <v>Critical</v>
      </c>
      <c r="L870" s="4" t="str">
        <f>IF(Table156[[#This Row],[Total Amount]]&gt;=1000,"High",(IF(Table156[[#This Row],[Total Amount]]&gt;=500,"Medium","Low")))</f>
        <v>High</v>
      </c>
      <c r="M870" s="4" t="str" cm="1">
        <f t="array" ref="M87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70" s="4" cm="1">
        <f t="array" ref="N87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870" s="4">
        <f>Table156[[#This Row],[Total Amount]]-Table156[[#This Row],[Discount Amount]]</f>
        <v>1350</v>
      </c>
      <c r="P870" s="4" t="str">
        <f>IF(Table156[[#This Row],[Total Amount]]&gt;=1000,"High","Low")</f>
        <v>High</v>
      </c>
      <c r="Q870" s="4" t="b" cm="1">
        <f t="array" ref="Q870">_xlfn.IFS(AND(Table156[[#This Row],[Total Amount]]&gt;=1500,"Critical"),AND(Table156[[#This Row],[Total Amount]]&gt;=1000,"High"),TRUE,"Normal")</f>
        <v>1</v>
      </c>
      <c r="R870" s="4">
        <f>COUNTIF(Table156[Gender],"Male")</f>
        <v>490</v>
      </c>
    </row>
    <row r="871" spans="1:18" x14ac:dyDescent="0.35">
      <c r="A871" s="4">
        <v>870</v>
      </c>
      <c r="B871" s="5">
        <v>45115</v>
      </c>
      <c r="C871" s="4" t="s">
        <v>883</v>
      </c>
      <c r="D871" s="4" t="s">
        <v>13</v>
      </c>
      <c r="E871" s="4">
        <v>46</v>
      </c>
      <c r="F871" s="4" t="str">
        <f>IF(Table156[[#This Row],[Age]]&lt;=19,"Teenager",IF(Table156[[#This Row],[Age]]&lt;=40,"Median","Old"))</f>
        <v>Old</v>
      </c>
      <c r="G871" s="4" t="s">
        <v>16</v>
      </c>
      <c r="H871" s="4">
        <v>4</v>
      </c>
      <c r="I871" s="4">
        <v>30</v>
      </c>
      <c r="J871" s="4">
        <v>120</v>
      </c>
      <c r="K871" s="4" t="str" cm="1">
        <f t="array" ref="K871">_xlfn.IFS(AND(Table156[[#This Row],[Total Amount]]&gt;=1500),"Critical",AND(Table156[[#This Row],[Total Amount]]&gt;=1000),"High",TRUE,"Normal")</f>
        <v>Normal</v>
      </c>
      <c r="L871" s="4" t="str">
        <f>IF(Table156[[#This Row],[Total Amount]]&gt;=1000,"High",(IF(Table156[[#This Row],[Total Amount]]&gt;=500,"Medium","Low")))</f>
        <v>Low</v>
      </c>
      <c r="M871" s="4" t="str" cm="1">
        <f t="array" ref="M87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71" s="4" cm="1">
        <f t="array" ref="N87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871" s="4">
        <f>Table156[[#This Row],[Total Amount]]-Table156[[#This Row],[Discount Amount]]</f>
        <v>96</v>
      </c>
      <c r="P871" s="4" t="str">
        <f>IF(Table156[[#This Row],[Total Amount]]&gt;=1000,"High","Low")</f>
        <v>Low</v>
      </c>
      <c r="Q871" s="4" t="str" cm="1">
        <f t="array" ref="Q871">_xlfn.IFS(AND(Table156[[#This Row],[Total Amount]]&gt;=1500,"Critical"),AND(Table156[[#This Row],[Total Amount]]&gt;=1000,"High"),TRUE,"Normal")</f>
        <v>Normal</v>
      </c>
      <c r="R871" s="4">
        <f>COUNTIF(Table156[Gender],"Male")</f>
        <v>490</v>
      </c>
    </row>
    <row r="872" spans="1:18" x14ac:dyDescent="0.35">
      <c r="A872" s="4">
        <v>871</v>
      </c>
      <c r="B872" s="5">
        <v>45169</v>
      </c>
      <c r="C872" s="4" t="s">
        <v>884</v>
      </c>
      <c r="D872" s="4" t="s">
        <v>10</v>
      </c>
      <c r="E872" s="4">
        <v>62</v>
      </c>
      <c r="F872" s="4" t="str">
        <f>IF(Table156[[#This Row],[Age]]&lt;=19,"Teenager",IF(Table156[[#This Row],[Age]]&lt;=40,"Median","Old"))</f>
        <v>Old</v>
      </c>
      <c r="G872" s="4" t="s">
        <v>11</v>
      </c>
      <c r="H872" s="4">
        <v>2</v>
      </c>
      <c r="I872" s="4">
        <v>30</v>
      </c>
      <c r="J872" s="4">
        <v>60</v>
      </c>
      <c r="K872" s="4" t="str" cm="1">
        <f t="array" ref="K872">_xlfn.IFS(AND(Table156[[#This Row],[Total Amount]]&gt;=1500),"Critical",AND(Table156[[#This Row],[Total Amount]]&gt;=1000),"High",TRUE,"Normal")</f>
        <v>Normal</v>
      </c>
      <c r="L872" s="4" t="str">
        <f>IF(Table156[[#This Row],[Total Amount]]&gt;=1000,"High",(IF(Table156[[#This Row],[Total Amount]]&gt;=500,"Medium","Low")))</f>
        <v>Low</v>
      </c>
      <c r="M872" s="4" t="str" cm="1">
        <f t="array" ref="M87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72" s="4" cm="1">
        <f t="array" ref="N87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872" s="4">
        <f>Table156[[#This Row],[Total Amount]]-Table156[[#This Row],[Discount Amount]]</f>
        <v>54</v>
      </c>
      <c r="P872" s="4" t="str">
        <f>IF(Table156[[#This Row],[Total Amount]]&gt;=1000,"High","Low")</f>
        <v>Low</v>
      </c>
      <c r="Q872" s="4" t="str" cm="1">
        <f t="array" ref="Q872">_xlfn.IFS(AND(Table156[[#This Row],[Total Amount]]&gt;=1500,"Critical"),AND(Table156[[#This Row],[Total Amount]]&gt;=1000,"High"),TRUE,"Normal")</f>
        <v>Normal</v>
      </c>
      <c r="R872" s="4">
        <f>COUNTIF(Table156[Gender],"Male")</f>
        <v>490</v>
      </c>
    </row>
    <row r="873" spans="1:18" x14ac:dyDescent="0.35">
      <c r="A873" s="4">
        <v>872</v>
      </c>
      <c r="B873" s="5">
        <v>45210</v>
      </c>
      <c r="C873" s="4" t="s">
        <v>885</v>
      </c>
      <c r="D873" s="4" t="s">
        <v>13</v>
      </c>
      <c r="E873" s="4">
        <v>63</v>
      </c>
      <c r="F873" s="4" t="str">
        <f>IF(Table156[[#This Row],[Age]]&lt;=19,"Teenager",IF(Table156[[#This Row],[Age]]&lt;=40,"Median","Old"))</f>
        <v>Old</v>
      </c>
      <c r="G873" s="4" t="s">
        <v>11</v>
      </c>
      <c r="H873" s="4">
        <v>3</v>
      </c>
      <c r="I873" s="4">
        <v>25</v>
      </c>
      <c r="J873" s="4">
        <v>75</v>
      </c>
      <c r="K873" s="4" t="str" cm="1">
        <f t="array" ref="K873">_xlfn.IFS(AND(Table156[[#This Row],[Total Amount]]&gt;=1500),"Critical",AND(Table156[[#This Row],[Total Amount]]&gt;=1000),"High",TRUE,"Normal")</f>
        <v>Normal</v>
      </c>
      <c r="L873" s="4" t="str">
        <f>IF(Table156[[#This Row],[Total Amount]]&gt;=1000,"High",(IF(Table156[[#This Row],[Total Amount]]&gt;=500,"Medium","Low")))</f>
        <v>Low</v>
      </c>
      <c r="M873" s="4" t="str" cm="1">
        <f t="array" ref="M87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73" s="4" cm="1">
        <f t="array" ref="N87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873" s="4">
        <f>Table156[[#This Row],[Total Amount]]-Table156[[#This Row],[Discount Amount]]</f>
        <v>60</v>
      </c>
      <c r="P873" s="4" t="str">
        <f>IF(Table156[[#This Row],[Total Amount]]&gt;=1000,"High","Low")</f>
        <v>Low</v>
      </c>
      <c r="Q873" s="4" t="str" cm="1">
        <f t="array" ref="Q873">_xlfn.IFS(AND(Table156[[#This Row],[Total Amount]]&gt;=1500,"Critical"),AND(Table156[[#This Row],[Total Amount]]&gt;=1000,"High"),TRUE,"Normal")</f>
        <v>Normal</v>
      </c>
      <c r="R873" s="4">
        <f>COUNTIF(Table156[Gender],"Male")</f>
        <v>490</v>
      </c>
    </row>
    <row r="874" spans="1:18" x14ac:dyDescent="0.35">
      <c r="A874" s="4">
        <v>873</v>
      </c>
      <c r="B874" s="5">
        <v>45198</v>
      </c>
      <c r="C874" s="4" t="s">
        <v>886</v>
      </c>
      <c r="D874" s="4" t="s">
        <v>13</v>
      </c>
      <c r="E874" s="4">
        <v>27</v>
      </c>
      <c r="F874" s="4" t="str">
        <f>IF(Table156[[#This Row],[Age]]&lt;=19,"Teenager",IF(Table156[[#This Row],[Age]]&lt;=40,"Median","Old"))</f>
        <v>Median</v>
      </c>
      <c r="G874" s="4" t="s">
        <v>16</v>
      </c>
      <c r="H874" s="4">
        <v>4</v>
      </c>
      <c r="I874" s="4">
        <v>25</v>
      </c>
      <c r="J874" s="4">
        <v>100</v>
      </c>
      <c r="K874" s="4" t="str" cm="1">
        <f t="array" ref="K874">_xlfn.IFS(AND(Table156[[#This Row],[Total Amount]]&gt;=1500),"Critical",AND(Table156[[#This Row],[Total Amount]]&gt;=1000),"High",TRUE,"Normal")</f>
        <v>Normal</v>
      </c>
      <c r="L874" s="4" t="str">
        <f>IF(Table156[[#This Row],[Total Amount]]&gt;=1000,"High",(IF(Table156[[#This Row],[Total Amount]]&gt;=500,"Medium","Low")))</f>
        <v>Low</v>
      </c>
      <c r="M874" s="4" t="str" cm="1">
        <f t="array" ref="M87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74" s="4" cm="1">
        <f t="array" ref="N87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874" s="4">
        <f>Table156[[#This Row],[Total Amount]]-Table156[[#This Row],[Discount Amount]]</f>
        <v>85</v>
      </c>
      <c r="P874" s="4" t="str">
        <f>IF(Table156[[#This Row],[Total Amount]]&gt;=1000,"High","Low")</f>
        <v>Low</v>
      </c>
      <c r="Q874" s="4" t="str" cm="1">
        <f t="array" ref="Q874">_xlfn.IFS(AND(Table156[[#This Row],[Total Amount]]&gt;=1500,"Critical"),AND(Table156[[#This Row],[Total Amount]]&gt;=1000,"High"),TRUE,"Normal")</f>
        <v>Normal</v>
      </c>
      <c r="R874" s="4">
        <f>COUNTIF(Table156[Gender],"Male")</f>
        <v>490</v>
      </c>
    </row>
    <row r="875" spans="1:18" x14ac:dyDescent="0.35">
      <c r="A875" s="4">
        <v>874</v>
      </c>
      <c r="B875" s="5">
        <v>45103</v>
      </c>
      <c r="C875" s="4" t="s">
        <v>887</v>
      </c>
      <c r="D875" s="4" t="s">
        <v>10</v>
      </c>
      <c r="E875" s="4">
        <v>60</v>
      </c>
      <c r="F875" s="4" t="str">
        <f>IF(Table156[[#This Row],[Age]]&lt;=19,"Teenager",IF(Table156[[#This Row],[Age]]&lt;=40,"Median","Old"))</f>
        <v>Old</v>
      </c>
      <c r="G875" s="4" t="s">
        <v>11</v>
      </c>
      <c r="H875" s="4">
        <v>1</v>
      </c>
      <c r="I875" s="4">
        <v>30</v>
      </c>
      <c r="J875" s="4">
        <v>30</v>
      </c>
      <c r="K875" s="4" t="str" cm="1">
        <f t="array" ref="K875">_xlfn.IFS(AND(Table156[[#This Row],[Total Amount]]&gt;=1500),"Critical",AND(Table156[[#This Row],[Total Amount]]&gt;=1000),"High",TRUE,"Normal")</f>
        <v>Normal</v>
      </c>
      <c r="L875" s="4" t="str">
        <f>IF(Table156[[#This Row],[Total Amount]]&gt;=1000,"High",(IF(Table156[[#This Row],[Total Amount]]&gt;=500,"Medium","Low")))</f>
        <v>Low</v>
      </c>
      <c r="M875" s="4" t="str" cm="1">
        <f t="array" ref="M87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75" s="4" cm="1">
        <f t="array" ref="N87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875" s="4">
        <f>Table156[[#This Row],[Total Amount]]-Table156[[#This Row],[Discount Amount]]</f>
        <v>27</v>
      </c>
      <c r="P875" s="4" t="str">
        <f>IF(Table156[[#This Row],[Total Amount]]&gt;=1000,"High","Low")</f>
        <v>Low</v>
      </c>
      <c r="Q875" s="4" t="str" cm="1">
        <f t="array" ref="Q875">_xlfn.IFS(AND(Table156[[#This Row],[Total Amount]]&gt;=1500,"Critical"),AND(Table156[[#This Row],[Total Amount]]&gt;=1000,"High"),TRUE,"Normal")</f>
        <v>Normal</v>
      </c>
      <c r="R875" s="4">
        <f>COUNTIF(Table156[Gender],"Male")</f>
        <v>490</v>
      </c>
    </row>
    <row r="876" spans="1:18" x14ac:dyDescent="0.35">
      <c r="A876" s="4">
        <v>875</v>
      </c>
      <c r="B876" s="5">
        <v>45144</v>
      </c>
      <c r="C876" s="4" t="s">
        <v>888</v>
      </c>
      <c r="D876" s="4" t="s">
        <v>13</v>
      </c>
      <c r="E876" s="4">
        <v>51</v>
      </c>
      <c r="F876" s="4" t="str">
        <f>IF(Table156[[#This Row],[Age]]&lt;=19,"Teenager",IF(Table156[[#This Row],[Age]]&lt;=40,"Median","Old"))</f>
        <v>Old</v>
      </c>
      <c r="G876" s="4" t="s">
        <v>16</v>
      </c>
      <c r="H876" s="4">
        <v>4</v>
      </c>
      <c r="I876" s="4">
        <v>500</v>
      </c>
      <c r="J876" s="4">
        <v>2000</v>
      </c>
      <c r="K876" s="4" t="str" cm="1">
        <f t="array" ref="K876">_xlfn.IFS(AND(Table156[[#This Row],[Total Amount]]&gt;=1500),"Critical",AND(Table156[[#This Row],[Total Amount]]&gt;=1000),"High",TRUE,"Normal")</f>
        <v>Critical</v>
      </c>
      <c r="L876" s="4" t="str">
        <f>IF(Table156[[#This Row],[Total Amount]]&gt;=1000,"High",(IF(Table156[[#This Row],[Total Amount]]&gt;=500,"Medium","Low")))</f>
        <v>High</v>
      </c>
      <c r="M876" s="4" t="str" cm="1">
        <f t="array" ref="M87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76" s="4" cm="1">
        <f t="array" ref="N87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400</v>
      </c>
      <c r="O876" s="4">
        <f>Table156[[#This Row],[Total Amount]]-Table156[[#This Row],[Discount Amount]]</f>
        <v>1600</v>
      </c>
      <c r="P876" s="4" t="str">
        <f>IF(Table156[[#This Row],[Total Amount]]&gt;=1000,"High","Low")</f>
        <v>High</v>
      </c>
      <c r="Q876" s="4" t="b" cm="1">
        <f t="array" ref="Q876">_xlfn.IFS(AND(Table156[[#This Row],[Total Amount]]&gt;=1500,"Critical"),AND(Table156[[#This Row],[Total Amount]]&gt;=1000,"High"),TRUE,"Normal")</f>
        <v>1</v>
      </c>
      <c r="R876" s="4">
        <f>COUNTIF(Table156[Gender],"Male")</f>
        <v>490</v>
      </c>
    </row>
    <row r="877" spans="1:18" x14ac:dyDescent="0.35">
      <c r="A877" s="4">
        <v>876</v>
      </c>
      <c r="B877" s="5">
        <v>45208</v>
      </c>
      <c r="C877" s="4" t="s">
        <v>889</v>
      </c>
      <c r="D877" s="4" t="s">
        <v>10</v>
      </c>
      <c r="E877" s="4">
        <v>43</v>
      </c>
      <c r="F877" s="4" t="str">
        <f>IF(Table156[[#This Row],[Age]]&lt;=19,"Teenager",IF(Table156[[#This Row],[Age]]&lt;=40,"Median","Old"))</f>
        <v>Old</v>
      </c>
      <c r="G877" s="4" t="s">
        <v>14</v>
      </c>
      <c r="H877" s="4">
        <v>4</v>
      </c>
      <c r="I877" s="4">
        <v>30</v>
      </c>
      <c r="J877" s="4">
        <v>120</v>
      </c>
      <c r="K877" s="4" t="str" cm="1">
        <f t="array" ref="K877">_xlfn.IFS(AND(Table156[[#This Row],[Total Amount]]&gt;=1500),"Critical",AND(Table156[[#This Row],[Total Amount]]&gt;=1000),"High",TRUE,"Normal")</f>
        <v>Normal</v>
      </c>
      <c r="L877" s="4" t="str">
        <f>IF(Table156[[#This Row],[Total Amount]]&gt;=1000,"High",(IF(Table156[[#This Row],[Total Amount]]&gt;=500,"Medium","Low")))</f>
        <v>Low</v>
      </c>
      <c r="M877" s="4" t="str" cm="1">
        <f t="array" ref="M87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77" s="4" cm="1">
        <f t="array" ref="N87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877" s="4">
        <f>Table156[[#This Row],[Total Amount]]-Table156[[#This Row],[Discount Amount]]</f>
        <v>108</v>
      </c>
      <c r="P877" s="4" t="str">
        <f>IF(Table156[[#This Row],[Total Amount]]&gt;=1000,"High","Low")</f>
        <v>Low</v>
      </c>
      <c r="Q877" s="4" t="str" cm="1">
        <f t="array" ref="Q877">_xlfn.IFS(AND(Table156[[#This Row],[Total Amount]]&gt;=1500,"Critical"),AND(Table156[[#This Row],[Total Amount]]&gt;=1000,"High"),TRUE,"Normal")</f>
        <v>Normal</v>
      </c>
      <c r="R877" s="4">
        <f>COUNTIF(Table156[Gender],"Male")</f>
        <v>490</v>
      </c>
    </row>
    <row r="878" spans="1:18" x14ac:dyDescent="0.35">
      <c r="A878" s="4">
        <v>877</v>
      </c>
      <c r="B878" s="5">
        <v>45096</v>
      </c>
      <c r="C878" s="4" t="s">
        <v>890</v>
      </c>
      <c r="D878" s="4" t="s">
        <v>13</v>
      </c>
      <c r="E878" s="4">
        <v>58</v>
      </c>
      <c r="F878" s="4" t="str">
        <f>IF(Table156[[#This Row],[Age]]&lt;=19,"Teenager",IF(Table156[[#This Row],[Age]]&lt;=40,"Median","Old"))</f>
        <v>Old</v>
      </c>
      <c r="G878" s="4" t="s">
        <v>14</v>
      </c>
      <c r="H878" s="4">
        <v>1</v>
      </c>
      <c r="I878" s="4">
        <v>25</v>
      </c>
      <c r="J878" s="4">
        <v>25</v>
      </c>
      <c r="K878" s="4" t="str" cm="1">
        <f t="array" ref="K878">_xlfn.IFS(AND(Table156[[#This Row],[Total Amount]]&gt;=1500),"Critical",AND(Table156[[#This Row],[Total Amount]]&gt;=1000),"High",TRUE,"Normal")</f>
        <v>Normal</v>
      </c>
      <c r="L878" s="4" t="str">
        <f>IF(Table156[[#This Row],[Total Amount]]&gt;=1000,"High",(IF(Table156[[#This Row],[Total Amount]]&gt;=500,"Medium","Low")))</f>
        <v>Low</v>
      </c>
      <c r="M878" s="4" t="str" cm="1">
        <f t="array" ref="M87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78" s="4" cm="1">
        <f t="array" ref="N87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878" s="4">
        <f>Table156[[#This Row],[Total Amount]]-Table156[[#This Row],[Discount Amount]]</f>
        <v>20</v>
      </c>
      <c r="P878" s="4" t="str">
        <f>IF(Table156[[#This Row],[Total Amount]]&gt;=1000,"High","Low")</f>
        <v>Low</v>
      </c>
      <c r="Q878" s="4" t="str" cm="1">
        <f t="array" ref="Q878">_xlfn.IFS(AND(Table156[[#This Row],[Total Amount]]&gt;=1500,"Critical"),AND(Table156[[#This Row],[Total Amount]]&gt;=1000,"High"),TRUE,"Normal")</f>
        <v>Normal</v>
      </c>
      <c r="R878" s="4">
        <f>COUNTIF(Table156[Gender],"Male")</f>
        <v>490</v>
      </c>
    </row>
    <row r="879" spans="1:18" x14ac:dyDescent="0.35">
      <c r="A879" s="4">
        <v>878</v>
      </c>
      <c r="B879" s="5">
        <v>45107</v>
      </c>
      <c r="C879" s="4" t="s">
        <v>891</v>
      </c>
      <c r="D879" s="4" t="s">
        <v>13</v>
      </c>
      <c r="E879" s="4">
        <v>20</v>
      </c>
      <c r="F879" s="4" t="str">
        <f>IF(Table156[[#This Row],[Age]]&lt;=19,"Teenager",IF(Table156[[#This Row],[Age]]&lt;=40,"Median","Old"))</f>
        <v>Median</v>
      </c>
      <c r="G879" s="4" t="s">
        <v>14</v>
      </c>
      <c r="H879" s="4">
        <v>1</v>
      </c>
      <c r="I879" s="4">
        <v>30</v>
      </c>
      <c r="J879" s="4">
        <v>30</v>
      </c>
      <c r="K879" s="4" t="str" cm="1">
        <f t="array" ref="K879">_xlfn.IFS(AND(Table156[[#This Row],[Total Amount]]&gt;=1500),"Critical",AND(Table156[[#This Row],[Total Amount]]&gt;=1000),"High",TRUE,"Normal")</f>
        <v>Normal</v>
      </c>
      <c r="L879" s="4" t="str">
        <f>IF(Table156[[#This Row],[Total Amount]]&gt;=1000,"High",(IF(Table156[[#This Row],[Total Amount]]&gt;=500,"Medium","Low")))</f>
        <v>Low</v>
      </c>
      <c r="M879" s="4" t="str" cm="1">
        <f t="array" ref="M87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79" s="4" cm="1">
        <f t="array" ref="N87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79" s="4">
        <f>Table156[[#This Row],[Total Amount]]-Table156[[#This Row],[Discount Amount]]</f>
        <v>30</v>
      </c>
      <c r="P879" s="4" t="str">
        <f>IF(Table156[[#This Row],[Total Amount]]&gt;=1000,"High","Low")</f>
        <v>Low</v>
      </c>
      <c r="Q879" s="4" t="str" cm="1">
        <f t="array" ref="Q879">_xlfn.IFS(AND(Table156[[#This Row],[Total Amount]]&gt;=1500,"Critical"),AND(Table156[[#This Row],[Total Amount]]&gt;=1000,"High"),TRUE,"Normal")</f>
        <v>Normal</v>
      </c>
      <c r="R879" s="4">
        <f>COUNTIF(Table156[Gender],"Male")</f>
        <v>490</v>
      </c>
    </row>
    <row r="880" spans="1:18" x14ac:dyDescent="0.35">
      <c r="A880" s="4">
        <v>879</v>
      </c>
      <c r="B880" s="5">
        <v>45286</v>
      </c>
      <c r="C880" s="4" t="s">
        <v>892</v>
      </c>
      <c r="D880" s="4" t="s">
        <v>10</v>
      </c>
      <c r="E880" s="4">
        <v>23</v>
      </c>
      <c r="F880" s="4" t="str">
        <f>IF(Table156[[#This Row],[Age]]&lt;=19,"Teenager",IF(Table156[[#This Row],[Age]]&lt;=40,"Median","Old"))</f>
        <v>Median</v>
      </c>
      <c r="G880" s="4" t="s">
        <v>14</v>
      </c>
      <c r="H880" s="4">
        <v>1</v>
      </c>
      <c r="I880" s="4">
        <v>30</v>
      </c>
      <c r="J880" s="4">
        <v>30</v>
      </c>
      <c r="K880" s="4" t="str" cm="1">
        <f t="array" ref="K880">_xlfn.IFS(AND(Table156[[#This Row],[Total Amount]]&gt;=1500),"Critical",AND(Table156[[#This Row],[Total Amount]]&gt;=1000),"High",TRUE,"Normal")</f>
        <v>Normal</v>
      </c>
      <c r="L880" s="4" t="str">
        <f>IF(Table156[[#This Row],[Total Amount]]&gt;=1000,"High",(IF(Table156[[#This Row],[Total Amount]]&gt;=500,"Medium","Low")))</f>
        <v>Low</v>
      </c>
      <c r="M880" s="4" t="str" cm="1">
        <f t="array" ref="M88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80" s="4" cm="1">
        <f t="array" ref="N88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80" s="4">
        <f>Table156[[#This Row],[Total Amount]]-Table156[[#This Row],[Discount Amount]]</f>
        <v>30</v>
      </c>
      <c r="P880" s="4" t="str">
        <f>IF(Table156[[#This Row],[Total Amount]]&gt;=1000,"High","Low")</f>
        <v>Low</v>
      </c>
      <c r="Q880" s="4" t="str" cm="1">
        <f t="array" ref="Q880">_xlfn.IFS(AND(Table156[[#This Row],[Total Amount]]&gt;=1500,"Critical"),AND(Table156[[#This Row],[Total Amount]]&gt;=1000,"High"),TRUE,"Normal")</f>
        <v>Normal</v>
      </c>
      <c r="R880" s="4">
        <f>COUNTIF(Table156[Gender],"Male")</f>
        <v>490</v>
      </c>
    </row>
    <row r="881" spans="1:18" x14ac:dyDescent="0.35">
      <c r="A881" s="4">
        <v>880</v>
      </c>
      <c r="B881" s="5">
        <v>45159</v>
      </c>
      <c r="C881" s="4" t="s">
        <v>893</v>
      </c>
      <c r="D881" s="4" t="s">
        <v>10</v>
      </c>
      <c r="E881" s="4">
        <v>22</v>
      </c>
      <c r="F881" s="4" t="str">
        <f>IF(Table156[[#This Row],[Age]]&lt;=19,"Teenager",IF(Table156[[#This Row],[Age]]&lt;=40,"Median","Old"))</f>
        <v>Median</v>
      </c>
      <c r="G881" s="4" t="s">
        <v>11</v>
      </c>
      <c r="H881" s="4">
        <v>2</v>
      </c>
      <c r="I881" s="4">
        <v>500</v>
      </c>
      <c r="J881" s="4">
        <v>1000</v>
      </c>
      <c r="K881" s="4" t="str" cm="1">
        <f t="array" ref="K881">_xlfn.IFS(AND(Table156[[#This Row],[Total Amount]]&gt;=1500),"Critical",AND(Table156[[#This Row],[Total Amount]]&gt;=1000),"High",TRUE,"Normal")</f>
        <v>High</v>
      </c>
      <c r="L881" s="4" t="str">
        <f>IF(Table156[[#This Row],[Total Amount]]&gt;=1000,"High",(IF(Table156[[#This Row],[Total Amount]]&gt;=500,"Medium","Low")))</f>
        <v>High</v>
      </c>
      <c r="M881" s="4" t="str" cm="1">
        <f t="array" ref="M88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81" s="4" cm="1">
        <f t="array" ref="N88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81" s="4">
        <f>Table156[[#This Row],[Total Amount]]-Table156[[#This Row],[Discount Amount]]</f>
        <v>1000</v>
      </c>
      <c r="P881" s="4" t="str">
        <f>IF(Table156[[#This Row],[Total Amount]]&gt;=1000,"High","Low")</f>
        <v>High</v>
      </c>
      <c r="Q881" s="4" t="str" cm="1">
        <f t="array" ref="Q881">_xlfn.IFS(AND(Table156[[#This Row],[Total Amount]]&gt;=1500,"Critical"),AND(Table156[[#This Row],[Total Amount]]&gt;=1000,"High"),TRUE,"Normal")</f>
        <v>Normal</v>
      </c>
      <c r="R881" s="4">
        <f>COUNTIF(Table156[Gender],"Male")</f>
        <v>490</v>
      </c>
    </row>
    <row r="882" spans="1:18" x14ac:dyDescent="0.35">
      <c r="A882" s="4">
        <v>881</v>
      </c>
      <c r="B882" s="5">
        <v>45065</v>
      </c>
      <c r="C882" s="4" t="s">
        <v>894</v>
      </c>
      <c r="D882" s="4" t="s">
        <v>10</v>
      </c>
      <c r="E882" s="4">
        <v>22</v>
      </c>
      <c r="F882" s="4" t="str">
        <f>IF(Table156[[#This Row],[Age]]&lt;=19,"Teenager",IF(Table156[[#This Row],[Age]]&lt;=40,"Median","Old"))</f>
        <v>Median</v>
      </c>
      <c r="G882" s="4" t="s">
        <v>16</v>
      </c>
      <c r="H882" s="4">
        <v>1</v>
      </c>
      <c r="I882" s="4">
        <v>300</v>
      </c>
      <c r="J882" s="4">
        <v>300</v>
      </c>
      <c r="K882" s="4" t="str" cm="1">
        <f t="array" ref="K882">_xlfn.IFS(AND(Table156[[#This Row],[Total Amount]]&gt;=1500),"Critical",AND(Table156[[#This Row],[Total Amount]]&gt;=1000),"High",TRUE,"Normal")</f>
        <v>Normal</v>
      </c>
      <c r="L882" s="4" t="str">
        <f>IF(Table156[[#This Row],[Total Amount]]&gt;=1000,"High",(IF(Table156[[#This Row],[Total Amount]]&gt;=500,"Medium","Low")))</f>
        <v>Low</v>
      </c>
      <c r="M882" s="4" t="str" cm="1">
        <f t="array" ref="M88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82" s="4" cm="1">
        <f t="array" ref="N88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82" s="4">
        <f>Table156[[#This Row],[Total Amount]]-Table156[[#This Row],[Discount Amount]]</f>
        <v>300</v>
      </c>
      <c r="P882" s="4" t="str">
        <f>IF(Table156[[#This Row],[Total Amount]]&gt;=1000,"High","Low")</f>
        <v>Low</v>
      </c>
      <c r="Q882" s="4" t="str" cm="1">
        <f t="array" ref="Q882">_xlfn.IFS(AND(Table156[[#This Row],[Total Amount]]&gt;=1500,"Critical"),AND(Table156[[#This Row],[Total Amount]]&gt;=1000,"High"),TRUE,"Normal")</f>
        <v>Normal</v>
      </c>
      <c r="R882" s="4">
        <f>COUNTIF(Table156[Gender],"Male")</f>
        <v>490</v>
      </c>
    </row>
    <row r="883" spans="1:18" x14ac:dyDescent="0.35">
      <c r="A883" s="4">
        <v>882</v>
      </c>
      <c r="B883" s="5">
        <v>45083</v>
      </c>
      <c r="C883" s="4" t="s">
        <v>895</v>
      </c>
      <c r="D883" s="4" t="s">
        <v>13</v>
      </c>
      <c r="E883" s="4">
        <v>64</v>
      </c>
      <c r="F883" s="4" t="str">
        <f>IF(Table156[[#This Row],[Age]]&lt;=19,"Teenager",IF(Table156[[#This Row],[Age]]&lt;=40,"Median","Old"))</f>
        <v>Old</v>
      </c>
      <c r="G883" s="4" t="s">
        <v>16</v>
      </c>
      <c r="H883" s="4">
        <v>2</v>
      </c>
      <c r="I883" s="4">
        <v>25</v>
      </c>
      <c r="J883" s="4">
        <v>50</v>
      </c>
      <c r="K883" s="4" t="str" cm="1">
        <f t="array" ref="K883">_xlfn.IFS(AND(Table156[[#This Row],[Total Amount]]&gt;=1500),"Critical",AND(Table156[[#This Row],[Total Amount]]&gt;=1000),"High",TRUE,"Normal")</f>
        <v>Normal</v>
      </c>
      <c r="L883" s="4" t="str">
        <f>IF(Table156[[#This Row],[Total Amount]]&gt;=1000,"High",(IF(Table156[[#This Row],[Total Amount]]&gt;=500,"Medium","Low")))</f>
        <v>Low</v>
      </c>
      <c r="M883" s="4" t="str" cm="1">
        <f t="array" ref="M88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83" s="4" cm="1">
        <f t="array" ref="N88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883" s="4">
        <f>Table156[[#This Row],[Total Amount]]-Table156[[#This Row],[Discount Amount]]</f>
        <v>40</v>
      </c>
      <c r="P883" s="4" t="str">
        <f>IF(Table156[[#This Row],[Total Amount]]&gt;=1000,"High","Low")</f>
        <v>Low</v>
      </c>
      <c r="Q883" s="4" t="str" cm="1">
        <f t="array" ref="Q883">_xlfn.IFS(AND(Table156[[#This Row],[Total Amount]]&gt;=1500,"Critical"),AND(Table156[[#This Row],[Total Amount]]&gt;=1000,"High"),TRUE,"Normal")</f>
        <v>Normal</v>
      </c>
      <c r="R883" s="4">
        <f>COUNTIF(Table156[Gender],"Male")</f>
        <v>490</v>
      </c>
    </row>
    <row r="884" spans="1:18" x14ac:dyDescent="0.35">
      <c r="A884" s="4">
        <v>883</v>
      </c>
      <c r="B884" s="5">
        <v>45055</v>
      </c>
      <c r="C884" s="4" t="s">
        <v>896</v>
      </c>
      <c r="D884" s="4" t="s">
        <v>10</v>
      </c>
      <c r="E884" s="4">
        <v>40</v>
      </c>
      <c r="F884" s="4" t="str">
        <f>IF(Table156[[#This Row],[Age]]&lt;=19,"Teenager",IF(Table156[[#This Row],[Age]]&lt;=40,"Median","Old"))</f>
        <v>Median</v>
      </c>
      <c r="G884" s="4" t="s">
        <v>16</v>
      </c>
      <c r="H884" s="4">
        <v>1</v>
      </c>
      <c r="I884" s="4">
        <v>500</v>
      </c>
      <c r="J884" s="4">
        <v>500</v>
      </c>
      <c r="K884" s="4" t="str" cm="1">
        <f t="array" ref="K884">_xlfn.IFS(AND(Table156[[#This Row],[Total Amount]]&gt;=1500),"Critical",AND(Table156[[#This Row],[Total Amount]]&gt;=1000),"High",TRUE,"Normal")</f>
        <v>Normal</v>
      </c>
      <c r="L884" s="4" t="str">
        <f>IF(Table156[[#This Row],[Total Amount]]&gt;=1000,"High",(IF(Table156[[#This Row],[Total Amount]]&gt;=500,"Medium","Low")))</f>
        <v>Medium</v>
      </c>
      <c r="M884" s="4" t="str" cm="1">
        <f t="array" ref="M88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84" s="4" cm="1">
        <f t="array" ref="N88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884" s="4">
        <f>Table156[[#This Row],[Total Amount]]-Table156[[#This Row],[Discount Amount]]</f>
        <v>450</v>
      </c>
      <c r="P884" s="4" t="str">
        <f>IF(Table156[[#This Row],[Total Amount]]&gt;=1000,"High","Low")</f>
        <v>Low</v>
      </c>
      <c r="Q884" s="4" t="str" cm="1">
        <f t="array" ref="Q884">_xlfn.IFS(AND(Table156[[#This Row],[Total Amount]]&gt;=1500,"Critical"),AND(Table156[[#This Row],[Total Amount]]&gt;=1000,"High"),TRUE,"Normal")</f>
        <v>Normal</v>
      </c>
      <c r="R884" s="4">
        <f>COUNTIF(Table156[Gender],"Male")</f>
        <v>490</v>
      </c>
    </row>
    <row r="885" spans="1:18" x14ac:dyDescent="0.35">
      <c r="A885" s="4">
        <v>884</v>
      </c>
      <c r="B885" s="5">
        <v>45045</v>
      </c>
      <c r="C885" s="4" t="s">
        <v>897</v>
      </c>
      <c r="D885" s="4" t="s">
        <v>13</v>
      </c>
      <c r="E885" s="4">
        <v>26</v>
      </c>
      <c r="F885" s="4" t="str">
        <f>IF(Table156[[#This Row],[Age]]&lt;=19,"Teenager",IF(Table156[[#This Row],[Age]]&lt;=40,"Median","Old"))</f>
        <v>Median</v>
      </c>
      <c r="G885" s="4" t="s">
        <v>14</v>
      </c>
      <c r="H885" s="4">
        <v>2</v>
      </c>
      <c r="I885" s="4">
        <v>30</v>
      </c>
      <c r="J885" s="4">
        <v>60</v>
      </c>
      <c r="K885" s="4" t="str" cm="1">
        <f t="array" ref="K885">_xlfn.IFS(AND(Table156[[#This Row],[Total Amount]]&gt;=1500),"Critical",AND(Table156[[#This Row],[Total Amount]]&gt;=1000),"High",TRUE,"Normal")</f>
        <v>Normal</v>
      </c>
      <c r="L885" s="4" t="str">
        <f>IF(Table156[[#This Row],[Total Amount]]&gt;=1000,"High",(IF(Table156[[#This Row],[Total Amount]]&gt;=500,"Medium","Low")))</f>
        <v>Low</v>
      </c>
      <c r="M885" s="4" t="str" cm="1">
        <f t="array" ref="M88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85" s="4" cm="1">
        <f t="array" ref="N88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</v>
      </c>
      <c r="O885" s="4">
        <f>Table156[[#This Row],[Total Amount]]-Table156[[#This Row],[Discount Amount]]</f>
        <v>51</v>
      </c>
      <c r="P885" s="4" t="str">
        <f>IF(Table156[[#This Row],[Total Amount]]&gt;=1000,"High","Low")</f>
        <v>Low</v>
      </c>
      <c r="Q885" s="4" t="str" cm="1">
        <f t="array" ref="Q885">_xlfn.IFS(AND(Table156[[#This Row],[Total Amount]]&gt;=1500,"Critical"),AND(Table156[[#This Row],[Total Amount]]&gt;=1000,"High"),TRUE,"Normal")</f>
        <v>Normal</v>
      </c>
      <c r="R885" s="4">
        <f>COUNTIF(Table156[Gender],"Male")</f>
        <v>490</v>
      </c>
    </row>
    <row r="886" spans="1:18" x14ac:dyDescent="0.35">
      <c r="A886" s="4">
        <v>885</v>
      </c>
      <c r="B886" s="5">
        <v>44988</v>
      </c>
      <c r="C886" s="4" t="s">
        <v>898</v>
      </c>
      <c r="D886" s="4" t="s">
        <v>13</v>
      </c>
      <c r="E886" s="4">
        <v>52</v>
      </c>
      <c r="F886" s="4" t="str">
        <f>IF(Table156[[#This Row],[Age]]&lt;=19,"Teenager",IF(Table156[[#This Row],[Age]]&lt;=40,"Median","Old"))</f>
        <v>Old</v>
      </c>
      <c r="G886" s="4" t="s">
        <v>14</v>
      </c>
      <c r="H886" s="4">
        <v>4</v>
      </c>
      <c r="I886" s="4">
        <v>30</v>
      </c>
      <c r="J886" s="4">
        <v>120</v>
      </c>
      <c r="K886" s="4" t="str" cm="1">
        <f t="array" ref="K886">_xlfn.IFS(AND(Table156[[#This Row],[Total Amount]]&gt;=1500),"Critical",AND(Table156[[#This Row],[Total Amount]]&gt;=1000),"High",TRUE,"Normal")</f>
        <v>Normal</v>
      </c>
      <c r="L886" s="4" t="str">
        <f>IF(Table156[[#This Row],[Total Amount]]&gt;=1000,"High",(IF(Table156[[#This Row],[Total Amount]]&gt;=500,"Medium","Low")))</f>
        <v>Low</v>
      </c>
      <c r="M886" s="4" t="str" cm="1">
        <f t="array" ref="M88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86" s="4" cm="1">
        <f t="array" ref="N88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886" s="4">
        <f>Table156[[#This Row],[Total Amount]]-Table156[[#This Row],[Discount Amount]]</f>
        <v>96</v>
      </c>
      <c r="P886" s="4" t="str">
        <f>IF(Table156[[#This Row],[Total Amount]]&gt;=1000,"High","Low")</f>
        <v>Low</v>
      </c>
      <c r="Q886" s="4" t="str" cm="1">
        <f t="array" ref="Q886">_xlfn.IFS(AND(Table156[[#This Row],[Total Amount]]&gt;=1500,"Critical"),AND(Table156[[#This Row],[Total Amount]]&gt;=1000,"High"),TRUE,"Normal")</f>
        <v>Normal</v>
      </c>
      <c r="R886" s="4">
        <f>COUNTIF(Table156[Gender],"Male")</f>
        <v>490</v>
      </c>
    </row>
    <row r="887" spans="1:18" x14ac:dyDescent="0.35">
      <c r="A887" s="4">
        <v>886</v>
      </c>
      <c r="B887" s="5">
        <v>45025</v>
      </c>
      <c r="C887" s="4" t="s">
        <v>899</v>
      </c>
      <c r="D887" s="4" t="s">
        <v>10</v>
      </c>
      <c r="E887" s="4">
        <v>37</v>
      </c>
      <c r="F887" s="4" t="str">
        <f>IF(Table156[[#This Row],[Age]]&lt;=19,"Teenager",IF(Table156[[#This Row],[Age]]&lt;=40,"Median","Old"))</f>
        <v>Median</v>
      </c>
      <c r="G887" s="4" t="s">
        <v>16</v>
      </c>
      <c r="H887" s="4">
        <v>3</v>
      </c>
      <c r="I887" s="4">
        <v>300</v>
      </c>
      <c r="J887" s="4">
        <v>900</v>
      </c>
      <c r="K887" s="4" t="str" cm="1">
        <f t="array" ref="K887">_xlfn.IFS(AND(Table156[[#This Row],[Total Amount]]&gt;=1500),"Critical",AND(Table156[[#This Row],[Total Amount]]&gt;=1000),"High",TRUE,"Normal")</f>
        <v>Normal</v>
      </c>
      <c r="L887" s="4" t="str">
        <f>IF(Table156[[#This Row],[Total Amount]]&gt;=1000,"High",(IF(Table156[[#This Row],[Total Amount]]&gt;=500,"Medium","Low")))</f>
        <v>Medium</v>
      </c>
      <c r="M887" s="4" t="str" cm="1">
        <f t="array" ref="M88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87" s="4" cm="1">
        <f t="array" ref="N88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887" s="4">
        <f>Table156[[#This Row],[Total Amount]]-Table156[[#This Row],[Discount Amount]]</f>
        <v>810</v>
      </c>
      <c r="P887" s="4" t="str">
        <f>IF(Table156[[#This Row],[Total Amount]]&gt;=1000,"High","Low")</f>
        <v>Low</v>
      </c>
      <c r="Q887" s="4" t="str" cm="1">
        <f t="array" ref="Q887">_xlfn.IFS(AND(Table156[[#This Row],[Total Amount]]&gt;=1500,"Critical"),AND(Table156[[#This Row],[Total Amount]]&gt;=1000,"High"),TRUE,"Normal")</f>
        <v>Normal</v>
      </c>
      <c r="R887" s="4">
        <f>COUNTIF(Table156[Gender],"Male")</f>
        <v>490</v>
      </c>
    </row>
    <row r="888" spans="1:18" x14ac:dyDescent="0.35">
      <c r="A888" s="4">
        <v>887</v>
      </c>
      <c r="B888" s="5">
        <v>45088</v>
      </c>
      <c r="C888" s="4" t="s">
        <v>900</v>
      </c>
      <c r="D888" s="4" t="s">
        <v>10</v>
      </c>
      <c r="E888" s="4">
        <v>59</v>
      </c>
      <c r="F888" s="4" t="str">
        <f>IF(Table156[[#This Row],[Age]]&lt;=19,"Teenager",IF(Table156[[#This Row],[Age]]&lt;=40,"Median","Old"))</f>
        <v>Old</v>
      </c>
      <c r="G888" s="4" t="s">
        <v>14</v>
      </c>
      <c r="H888" s="4">
        <v>4</v>
      </c>
      <c r="I888" s="4">
        <v>25</v>
      </c>
      <c r="J888" s="4">
        <v>100</v>
      </c>
      <c r="K888" s="4" t="str" cm="1">
        <f t="array" ref="K888">_xlfn.IFS(AND(Table156[[#This Row],[Total Amount]]&gt;=1500),"Critical",AND(Table156[[#This Row],[Total Amount]]&gt;=1000),"High",TRUE,"Normal")</f>
        <v>Normal</v>
      </c>
      <c r="L888" s="4" t="str">
        <f>IF(Table156[[#This Row],[Total Amount]]&gt;=1000,"High",(IF(Table156[[#This Row],[Total Amount]]&gt;=500,"Medium","Low")))</f>
        <v>Low</v>
      </c>
      <c r="M888" s="4" t="str" cm="1">
        <f t="array" ref="M88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88" s="4" cm="1">
        <f t="array" ref="N88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888" s="4">
        <f>Table156[[#This Row],[Total Amount]]-Table156[[#This Row],[Discount Amount]]</f>
        <v>90</v>
      </c>
      <c r="P888" s="4" t="str">
        <f>IF(Table156[[#This Row],[Total Amount]]&gt;=1000,"High","Low")</f>
        <v>Low</v>
      </c>
      <c r="Q888" s="4" t="str" cm="1">
        <f t="array" ref="Q888">_xlfn.IFS(AND(Table156[[#This Row],[Total Amount]]&gt;=1500,"Critical"),AND(Table156[[#This Row],[Total Amount]]&gt;=1000,"High"),TRUE,"Normal")</f>
        <v>Normal</v>
      </c>
      <c r="R888" s="4">
        <f>COUNTIF(Table156[Gender],"Male")</f>
        <v>490</v>
      </c>
    </row>
    <row r="889" spans="1:18" x14ac:dyDescent="0.35">
      <c r="A889" s="4">
        <v>888</v>
      </c>
      <c r="B889" s="5">
        <v>44988</v>
      </c>
      <c r="C889" s="4" t="s">
        <v>901</v>
      </c>
      <c r="D889" s="4" t="s">
        <v>13</v>
      </c>
      <c r="E889" s="4">
        <v>52</v>
      </c>
      <c r="F889" s="4" t="str">
        <f>IF(Table156[[#This Row],[Age]]&lt;=19,"Teenager",IF(Table156[[#This Row],[Age]]&lt;=40,"Median","Old"))</f>
        <v>Old</v>
      </c>
      <c r="G889" s="4" t="s">
        <v>16</v>
      </c>
      <c r="H889" s="4">
        <v>4</v>
      </c>
      <c r="I889" s="4">
        <v>25</v>
      </c>
      <c r="J889" s="4">
        <v>100</v>
      </c>
      <c r="K889" s="4" t="str" cm="1">
        <f t="array" ref="K889">_xlfn.IFS(AND(Table156[[#This Row],[Total Amount]]&gt;=1500),"Critical",AND(Table156[[#This Row],[Total Amount]]&gt;=1000),"High",TRUE,"Normal")</f>
        <v>Normal</v>
      </c>
      <c r="L889" s="4" t="str">
        <f>IF(Table156[[#This Row],[Total Amount]]&gt;=1000,"High",(IF(Table156[[#This Row],[Total Amount]]&gt;=500,"Medium","Low")))</f>
        <v>Low</v>
      </c>
      <c r="M889" s="4" t="str" cm="1">
        <f t="array" ref="M88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89" s="4" cm="1">
        <f t="array" ref="N88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889" s="4">
        <f>Table156[[#This Row],[Total Amount]]-Table156[[#This Row],[Discount Amount]]</f>
        <v>80</v>
      </c>
      <c r="P889" s="4" t="str">
        <f>IF(Table156[[#This Row],[Total Amount]]&gt;=1000,"High","Low")</f>
        <v>Low</v>
      </c>
      <c r="Q889" s="4" t="str" cm="1">
        <f t="array" ref="Q889">_xlfn.IFS(AND(Table156[[#This Row],[Total Amount]]&gt;=1500,"Critical"),AND(Table156[[#This Row],[Total Amount]]&gt;=1000,"High"),TRUE,"Normal")</f>
        <v>Normal</v>
      </c>
      <c r="R889" s="4">
        <f>COUNTIF(Table156[Gender],"Male")</f>
        <v>490</v>
      </c>
    </row>
    <row r="890" spans="1:18" x14ac:dyDescent="0.35">
      <c r="A890" s="4">
        <v>889</v>
      </c>
      <c r="B890" s="5">
        <v>45201</v>
      </c>
      <c r="C890" s="4" t="s">
        <v>902</v>
      </c>
      <c r="D890" s="4" t="s">
        <v>13</v>
      </c>
      <c r="E890" s="4">
        <v>35</v>
      </c>
      <c r="F890" s="4" t="str">
        <f>IF(Table156[[#This Row],[Age]]&lt;=19,"Teenager",IF(Table156[[#This Row],[Age]]&lt;=40,"Median","Old"))</f>
        <v>Median</v>
      </c>
      <c r="G890" s="4" t="s">
        <v>16</v>
      </c>
      <c r="H890" s="4">
        <v>1</v>
      </c>
      <c r="I890" s="4">
        <v>50</v>
      </c>
      <c r="J890" s="4">
        <v>50</v>
      </c>
      <c r="K890" s="4" t="str" cm="1">
        <f t="array" ref="K890">_xlfn.IFS(AND(Table156[[#This Row],[Total Amount]]&gt;=1500),"Critical",AND(Table156[[#This Row],[Total Amount]]&gt;=1000),"High",TRUE,"Normal")</f>
        <v>Normal</v>
      </c>
      <c r="L890" s="4" t="str">
        <f>IF(Table156[[#This Row],[Total Amount]]&gt;=1000,"High",(IF(Table156[[#This Row],[Total Amount]]&gt;=500,"Medium","Low")))</f>
        <v>Low</v>
      </c>
      <c r="M890" s="4" t="str" cm="1">
        <f t="array" ref="M89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90" s="4" cm="1">
        <f t="array" ref="N89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890" s="4">
        <f>Table156[[#This Row],[Total Amount]]-Table156[[#This Row],[Discount Amount]]</f>
        <v>40</v>
      </c>
      <c r="P890" s="4" t="str">
        <f>IF(Table156[[#This Row],[Total Amount]]&gt;=1000,"High","Low")</f>
        <v>Low</v>
      </c>
      <c r="Q890" s="4" t="str" cm="1">
        <f t="array" ref="Q890">_xlfn.IFS(AND(Table156[[#This Row],[Total Amount]]&gt;=1500,"Critical"),AND(Table156[[#This Row],[Total Amount]]&gt;=1000,"High"),TRUE,"Normal")</f>
        <v>Normal</v>
      </c>
      <c r="R890" s="4">
        <f>COUNTIF(Table156[Gender],"Male")</f>
        <v>490</v>
      </c>
    </row>
    <row r="891" spans="1:18" x14ac:dyDescent="0.35">
      <c r="A891" s="4">
        <v>890</v>
      </c>
      <c r="B891" s="5">
        <v>45280</v>
      </c>
      <c r="C891" s="4" t="s">
        <v>903</v>
      </c>
      <c r="D891" s="4" t="s">
        <v>10</v>
      </c>
      <c r="E891" s="4">
        <v>34</v>
      </c>
      <c r="F891" s="4" t="str">
        <f>IF(Table156[[#This Row],[Age]]&lt;=19,"Teenager",IF(Table156[[#This Row],[Age]]&lt;=40,"Median","Old"))</f>
        <v>Median</v>
      </c>
      <c r="G891" s="4" t="s">
        <v>16</v>
      </c>
      <c r="H891" s="4">
        <v>2</v>
      </c>
      <c r="I891" s="4">
        <v>25</v>
      </c>
      <c r="J891" s="4">
        <v>50</v>
      </c>
      <c r="K891" s="4" t="str" cm="1">
        <f t="array" ref="K891">_xlfn.IFS(AND(Table156[[#This Row],[Total Amount]]&gt;=1500),"Critical",AND(Table156[[#This Row],[Total Amount]]&gt;=1000),"High",TRUE,"Normal")</f>
        <v>Normal</v>
      </c>
      <c r="L891" s="4" t="str">
        <f>IF(Table156[[#This Row],[Total Amount]]&gt;=1000,"High",(IF(Table156[[#This Row],[Total Amount]]&gt;=500,"Medium","Low")))</f>
        <v>Low</v>
      </c>
      <c r="M891" s="4" t="str" cm="1">
        <f t="array" ref="M89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91" s="4" cm="1">
        <f t="array" ref="N89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891" s="4">
        <f>Table156[[#This Row],[Total Amount]]-Table156[[#This Row],[Discount Amount]]</f>
        <v>42.5</v>
      </c>
      <c r="P891" s="4" t="str">
        <f>IF(Table156[[#This Row],[Total Amount]]&gt;=1000,"High","Low")</f>
        <v>Low</v>
      </c>
      <c r="Q891" s="4" t="str" cm="1">
        <f t="array" ref="Q891">_xlfn.IFS(AND(Table156[[#This Row],[Total Amount]]&gt;=1500,"Critical"),AND(Table156[[#This Row],[Total Amount]]&gt;=1000,"High"),TRUE,"Normal")</f>
        <v>Normal</v>
      </c>
      <c r="R891" s="4">
        <f>COUNTIF(Table156[Gender],"Male")</f>
        <v>490</v>
      </c>
    </row>
    <row r="892" spans="1:18" x14ac:dyDescent="0.35">
      <c r="A892" s="4">
        <v>891</v>
      </c>
      <c r="B892" s="5">
        <v>45021</v>
      </c>
      <c r="C892" s="4" t="s">
        <v>904</v>
      </c>
      <c r="D892" s="4" t="s">
        <v>10</v>
      </c>
      <c r="E892" s="4">
        <v>41</v>
      </c>
      <c r="F892" s="4" t="str">
        <f>IF(Table156[[#This Row],[Age]]&lt;=19,"Teenager",IF(Table156[[#This Row],[Age]]&lt;=40,"Median","Old"))</f>
        <v>Old</v>
      </c>
      <c r="G892" s="4" t="s">
        <v>16</v>
      </c>
      <c r="H892" s="4">
        <v>3</v>
      </c>
      <c r="I892" s="4">
        <v>300</v>
      </c>
      <c r="J892" s="4">
        <v>900</v>
      </c>
      <c r="K892" s="4" t="str" cm="1">
        <f t="array" ref="K892">_xlfn.IFS(AND(Table156[[#This Row],[Total Amount]]&gt;=1500),"Critical",AND(Table156[[#This Row],[Total Amount]]&gt;=1000),"High",TRUE,"Normal")</f>
        <v>Normal</v>
      </c>
      <c r="L892" s="4" t="str">
        <f>IF(Table156[[#This Row],[Total Amount]]&gt;=1000,"High",(IF(Table156[[#This Row],[Total Amount]]&gt;=500,"Medium","Low")))</f>
        <v>Medium</v>
      </c>
      <c r="M892" s="4" t="str" cm="1">
        <f t="array" ref="M89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92" s="4" cm="1">
        <f t="array" ref="N89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892" s="4">
        <f>Table156[[#This Row],[Total Amount]]-Table156[[#This Row],[Discount Amount]]</f>
        <v>810</v>
      </c>
      <c r="P892" s="4" t="str">
        <f>IF(Table156[[#This Row],[Total Amount]]&gt;=1000,"High","Low")</f>
        <v>Low</v>
      </c>
      <c r="Q892" s="4" t="str" cm="1">
        <f t="array" ref="Q892">_xlfn.IFS(AND(Table156[[#This Row],[Total Amount]]&gt;=1500,"Critical"),AND(Table156[[#This Row],[Total Amount]]&gt;=1000,"High"),TRUE,"Normal")</f>
        <v>Normal</v>
      </c>
      <c r="R892" s="4">
        <f>COUNTIF(Table156[Gender],"Male")</f>
        <v>490</v>
      </c>
    </row>
    <row r="893" spans="1:18" x14ac:dyDescent="0.35">
      <c r="A893" s="4">
        <v>892</v>
      </c>
      <c r="B893" s="5">
        <v>45025</v>
      </c>
      <c r="C893" s="4" t="s">
        <v>905</v>
      </c>
      <c r="D893" s="4" t="s">
        <v>10</v>
      </c>
      <c r="E893" s="4">
        <v>20</v>
      </c>
      <c r="F893" s="4" t="str">
        <f>IF(Table156[[#This Row],[Age]]&lt;=19,"Teenager",IF(Table156[[#This Row],[Age]]&lt;=40,"Median","Old"))</f>
        <v>Median</v>
      </c>
      <c r="G893" s="4" t="s">
        <v>16</v>
      </c>
      <c r="H893" s="4">
        <v>1</v>
      </c>
      <c r="I893" s="4">
        <v>50</v>
      </c>
      <c r="J893" s="4">
        <v>50</v>
      </c>
      <c r="K893" s="4" t="str" cm="1">
        <f t="array" ref="K893">_xlfn.IFS(AND(Table156[[#This Row],[Total Amount]]&gt;=1500),"Critical",AND(Table156[[#This Row],[Total Amount]]&gt;=1000),"High",TRUE,"Normal")</f>
        <v>Normal</v>
      </c>
      <c r="L893" s="4" t="str">
        <f>IF(Table156[[#This Row],[Total Amount]]&gt;=1000,"High",(IF(Table156[[#This Row],[Total Amount]]&gt;=500,"Medium","Low")))</f>
        <v>Low</v>
      </c>
      <c r="M893" s="4" t="str" cm="1">
        <f t="array" ref="M89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93" s="4" cm="1">
        <f t="array" ref="N89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93" s="4">
        <f>Table156[[#This Row],[Total Amount]]-Table156[[#This Row],[Discount Amount]]</f>
        <v>50</v>
      </c>
      <c r="P893" s="4" t="str">
        <f>IF(Table156[[#This Row],[Total Amount]]&gt;=1000,"High","Low")</f>
        <v>Low</v>
      </c>
      <c r="Q893" s="4" t="str" cm="1">
        <f t="array" ref="Q893">_xlfn.IFS(AND(Table156[[#This Row],[Total Amount]]&gt;=1500,"Critical"),AND(Table156[[#This Row],[Total Amount]]&gt;=1000,"High"),TRUE,"Normal")</f>
        <v>Normal</v>
      </c>
      <c r="R893" s="4">
        <f>COUNTIF(Table156[Gender],"Male")</f>
        <v>490</v>
      </c>
    </row>
    <row r="894" spans="1:18" x14ac:dyDescent="0.35">
      <c r="A894" s="4">
        <v>893</v>
      </c>
      <c r="B894" s="5">
        <v>45037</v>
      </c>
      <c r="C894" s="4" t="s">
        <v>906</v>
      </c>
      <c r="D894" s="4" t="s">
        <v>10</v>
      </c>
      <c r="E894" s="4">
        <v>49</v>
      </c>
      <c r="F894" s="4" t="str">
        <f>IF(Table156[[#This Row],[Age]]&lt;=19,"Teenager",IF(Table156[[#This Row],[Age]]&lt;=40,"Median","Old"))</f>
        <v>Old</v>
      </c>
      <c r="G894" s="4" t="s">
        <v>16</v>
      </c>
      <c r="H894" s="4">
        <v>1</v>
      </c>
      <c r="I894" s="4">
        <v>50</v>
      </c>
      <c r="J894" s="4">
        <v>50</v>
      </c>
      <c r="K894" s="4" t="str" cm="1">
        <f t="array" ref="K894">_xlfn.IFS(AND(Table156[[#This Row],[Total Amount]]&gt;=1500),"Critical",AND(Table156[[#This Row],[Total Amount]]&gt;=1000),"High",TRUE,"Normal")</f>
        <v>Normal</v>
      </c>
      <c r="L894" s="4" t="str">
        <f>IF(Table156[[#This Row],[Total Amount]]&gt;=1000,"High",(IF(Table156[[#This Row],[Total Amount]]&gt;=500,"Medium","Low")))</f>
        <v>Low</v>
      </c>
      <c r="M894" s="4" t="str" cm="1">
        <f t="array" ref="M89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94" s="4" cm="1">
        <f t="array" ref="N89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894" s="4">
        <f>Table156[[#This Row],[Total Amount]]-Table156[[#This Row],[Discount Amount]]</f>
        <v>45</v>
      </c>
      <c r="P894" s="4" t="str">
        <f>IF(Table156[[#This Row],[Total Amount]]&gt;=1000,"High","Low")</f>
        <v>Low</v>
      </c>
      <c r="Q894" s="4" t="str" cm="1">
        <f t="array" ref="Q894">_xlfn.IFS(AND(Table156[[#This Row],[Total Amount]]&gt;=1500,"Critical"),AND(Table156[[#This Row],[Total Amount]]&gt;=1000,"High"),TRUE,"Normal")</f>
        <v>Normal</v>
      </c>
      <c r="R894" s="4">
        <f>COUNTIF(Table156[Gender],"Male")</f>
        <v>490</v>
      </c>
    </row>
    <row r="895" spans="1:18" x14ac:dyDescent="0.35">
      <c r="A895" s="4">
        <v>894</v>
      </c>
      <c r="B895" s="5">
        <v>45174</v>
      </c>
      <c r="C895" s="4" t="s">
        <v>907</v>
      </c>
      <c r="D895" s="4" t="s">
        <v>10</v>
      </c>
      <c r="E895" s="4">
        <v>52</v>
      </c>
      <c r="F895" s="4" t="str">
        <f>IF(Table156[[#This Row],[Age]]&lt;=19,"Teenager",IF(Table156[[#This Row],[Age]]&lt;=40,"Median","Old"))</f>
        <v>Old</v>
      </c>
      <c r="G895" s="4" t="s">
        <v>16</v>
      </c>
      <c r="H895" s="4">
        <v>1</v>
      </c>
      <c r="I895" s="4">
        <v>30</v>
      </c>
      <c r="J895" s="4">
        <v>30</v>
      </c>
      <c r="K895" s="4" t="str" cm="1">
        <f t="array" ref="K895">_xlfn.IFS(AND(Table156[[#This Row],[Total Amount]]&gt;=1500),"Critical",AND(Table156[[#This Row],[Total Amount]]&gt;=1000),"High",TRUE,"Normal")</f>
        <v>Normal</v>
      </c>
      <c r="L895" s="4" t="str">
        <f>IF(Table156[[#This Row],[Total Amount]]&gt;=1000,"High",(IF(Table156[[#This Row],[Total Amount]]&gt;=500,"Medium","Low")))</f>
        <v>Low</v>
      </c>
      <c r="M895" s="4" t="str" cm="1">
        <f t="array" ref="M89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95" s="4" cm="1">
        <f t="array" ref="N89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895" s="4">
        <f>Table156[[#This Row],[Total Amount]]-Table156[[#This Row],[Discount Amount]]</f>
        <v>27</v>
      </c>
      <c r="P895" s="4" t="str">
        <f>IF(Table156[[#This Row],[Total Amount]]&gt;=1000,"High","Low")</f>
        <v>Low</v>
      </c>
      <c r="Q895" s="4" t="str" cm="1">
        <f t="array" ref="Q895">_xlfn.IFS(AND(Table156[[#This Row],[Total Amount]]&gt;=1500,"Critical"),AND(Table156[[#This Row],[Total Amount]]&gt;=1000,"High"),TRUE,"Normal")</f>
        <v>Normal</v>
      </c>
      <c r="R895" s="4">
        <f>COUNTIF(Table156[Gender],"Male")</f>
        <v>490</v>
      </c>
    </row>
    <row r="896" spans="1:18" x14ac:dyDescent="0.35">
      <c r="A896" s="4">
        <v>895</v>
      </c>
      <c r="B896" s="5">
        <v>45068</v>
      </c>
      <c r="C896" s="4" t="s">
        <v>908</v>
      </c>
      <c r="D896" s="4" t="s">
        <v>13</v>
      </c>
      <c r="E896" s="4">
        <v>55</v>
      </c>
      <c r="F896" s="4" t="str">
        <f>IF(Table156[[#This Row],[Age]]&lt;=19,"Teenager",IF(Table156[[#This Row],[Age]]&lt;=40,"Median","Old"))</f>
        <v>Old</v>
      </c>
      <c r="G896" s="4" t="s">
        <v>14</v>
      </c>
      <c r="H896" s="4">
        <v>4</v>
      </c>
      <c r="I896" s="4">
        <v>30</v>
      </c>
      <c r="J896" s="4">
        <v>120</v>
      </c>
      <c r="K896" s="4" t="str" cm="1">
        <f t="array" ref="K896">_xlfn.IFS(AND(Table156[[#This Row],[Total Amount]]&gt;=1500),"Critical",AND(Table156[[#This Row],[Total Amount]]&gt;=1000),"High",TRUE,"Normal")</f>
        <v>Normal</v>
      </c>
      <c r="L896" s="4" t="str">
        <f>IF(Table156[[#This Row],[Total Amount]]&gt;=1000,"High",(IF(Table156[[#This Row],[Total Amount]]&gt;=500,"Medium","Low")))</f>
        <v>Low</v>
      </c>
      <c r="M896" s="4" t="str" cm="1">
        <f t="array" ref="M89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96" s="4" cm="1">
        <f t="array" ref="N89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896" s="4">
        <f>Table156[[#This Row],[Total Amount]]-Table156[[#This Row],[Discount Amount]]</f>
        <v>96</v>
      </c>
      <c r="P896" s="4" t="str">
        <f>IF(Table156[[#This Row],[Total Amount]]&gt;=1000,"High","Low")</f>
        <v>Low</v>
      </c>
      <c r="Q896" s="4" t="str" cm="1">
        <f t="array" ref="Q896">_xlfn.IFS(AND(Table156[[#This Row],[Total Amount]]&gt;=1500,"Critical"),AND(Table156[[#This Row],[Total Amount]]&gt;=1000,"High"),TRUE,"Normal")</f>
        <v>Normal</v>
      </c>
      <c r="R896" s="4">
        <f>COUNTIF(Table156[Gender],"Male")</f>
        <v>490</v>
      </c>
    </row>
    <row r="897" spans="1:18" x14ac:dyDescent="0.35">
      <c r="A897" s="4">
        <v>896</v>
      </c>
      <c r="B897" s="5">
        <v>45228</v>
      </c>
      <c r="C897" s="4" t="s">
        <v>909</v>
      </c>
      <c r="D897" s="4" t="s">
        <v>13</v>
      </c>
      <c r="E897" s="4">
        <v>30</v>
      </c>
      <c r="F897" s="4" t="str">
        <f>IF(Table156[[#This Row],[Age]]&lt;=19,"Teenager",IF(Table156[[#This Row],[Age]]&lt;=40,"Median","Old"))</f>
        <v>Median</v>
      </c>
      <c r="G897" s="4" t="s">
        <v>16</v>
      </c>
      <c r="H897" s="4">
        <v>2</v>
      </c>
      <c r="I897" s="4">
        <v>25</v>
      </c>
      <c r="J897" s="4">
        <v>50</v>
      </c>
      <c r="K897" s="4" t="str" cm="1">
        <f t="array" ref="K897">_xlfn.IFS(AND(Table156[[#This Row],[Total Amount]]&gt;=1500),"Critical",AND(Table156[[#This Row],[Total Amount]]&gt;=1000),"High",TRUE,"Normal")</f>
        <v>Normal</v>
      </c>
      <c r="L897" s="4" t="str">
        <f>IF(Table156[[#This Row],[Total Amount]]&gt;=1000,"High",(IF(Table156[[#This Row],[Total Amount]]&gt;=500,"Medium","Low")))</f>
        <v>Low</v>
      </c>
      <c r="M897" s="4" t="str" cm="1">
        <f t="array" ref="M89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97" s="4" cm="1">
        <f t="array" ref="N89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897" s="4">
        <f>Table156[[#This Row],[Total Amount]]-Table156[[#This Row],[Discount Amount]]</f>
        <v>42.5</v>
      </c>
      <c r="P897" s="4" t="str">
        <f>IF(Table156[[#This Row],[Total Amount]]&gt;=1000,"High","Low")</f>
        <v>Low</v>
      </c>
      <c r="Q897" s="4" t="str" cm="1">
        <f t="array" ref="Q897">_xlfn.IFS(AND(Table156[[#This Row],[Total Amount]]&gt;=1500,"Critical"),AND(Table156[[#This Row],[Total Amount]]&gt;=1000,"High"),TRUE,"Normal")</f>
        <v>Normal</v>
      </c>
      <c r="R897" s="4">
        <f>COUNTIF(Table156[Gender],"Male")</f>
        <v>490</v>
      </c>
    </row>
    <row r="898" spans="1:18" x14ac:dyDescent="0.35">
      <c r="A898" s="4">
        <v>897</v>
      </c>
      <c r="B898" s="5">
        <v>45195</v>
      </c>
      <c r="C898" s="4" t="s">
        <v>910</v>
      </c>
      <c r="D898" s="4" t="s">
        <v>13</v>
      </c>
      <c r="E898" s="4">
        <v>64</v>
      </c>
      <c r="F898" s="4" t="str">
        <f>IF(Table156[[#This Row],[Age]]&lt;=19,"Teenager",IF(Table156[[#This Row],[Age]]&lt;=40,"Median","Old"))</f>
        <v>Old</v>
      </c>
      <c r="G898" s="4" t="s">
        <v>16</v>
      </c>
      <c r="H898" s="4">
        <v>2</v>
      </c>
      <c r="I898" s="4">
        <v>50</v>
      </c>
      <c r="J898" s="4">
        <v>100</v>
      </c>
      <c r="K898" s="4" t="str" cm="1">
        <f t="array" ref="K898">_xlfn.IFS(AND(Table156[[#This Row],[Total Amount]]&gt;=1500),"Critical",AND(Table156[[#This Row],[Total Amount]]&gt;=1000),"High",TRUE,"Normal")</f>
        <v>Normal</v>
      </c>
      <c r="L898" s="4" t="str">
        <f>IF(Table156[[#This Row],[Total Amount]]&gt;=1000,"High",(IF(Table156[[#This Row],[Total Amount]]&gt;=500,"Medium","Low")))</f>
        <v>Low</v>
      </c>
      <c r="M898" s="4" t="str" cm="1">
        <f t="array" ref="M89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98" s="4" cm="1">
        <f t="array" ref="N89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898" s="4">
        <f>Table156[[#This Row],[Total Amount]]-Table156[[#This Row],[Discount Amount]]</f>
        <v>80</v>
      </c>
      <c r="P898" s="4" t="str">
        <f>IF(Table156[[#This Row],[Total Amount]]&gt;=1000,"High","Low")</f>
        <v>Low</v>
      </c>
      <c r="Q898" s="4" t="str" cm="1">
        <f t="array" ref="Q898">_xlfn.IFS(AND(Table156[[#This Row],[Total Amount]]&gt;=1500,"Critical"),AND(Table156[[#This Row],[Total Amount]]&gt;=1000,"High"),TRUE,"Normal")</f>
        <v>Normal</v>
      </c>
      <c r="R898" s="4">
        <f>COUNTIF(Table156[Gender],"Male")</f>
        <v>490</v>
      </c>
    </row>
    <row r="899" spans="1:18" x14ac:dyDescent="0.35">
      <c r="A899" s="4">
        <v>898</v>
      </c>
      <c r="B899" s="5">
        <v>45232</v>
      </c>
      <c r="C899" s="4" t="s">
        <v>911</v>
      </c>
      <c r="D899" s="4" t="s">
        <v>13</v>
      </c>
      <c r="E899" s="4">
        <v>42</v>
      </c>
      <c r="F899" s="4" t="str">
        <f>IF(Table156[[#This Row],[Age]]&lt;=19,"Teenager",IF(Table156[[#This Row],[Age]]&lt;=40,"Median","Old"))</f>
        <v>Old</v>
      </c>
      <c r="G899" s="4" t="s">
        <v>14</v>
      </c>
      <c r="H899" s="4">
        <v>3</v>
      </c>
      <c r="I899" s="4">
        <v>30</v>
      </c>
      <c r="J899" s="4">
        <v>90</v>
      </c>
      <c r="K899" s="4" t="str" cm="1">
        <f t="array" ref="K899">_xlfn.IFS(AND(Table156[[#This Row],[Total Amount]]&gt;=1500),"Critical",AND(Table156[[#This Row],[Total Amount]]&gt;=1000),"High",TRUE,"Normal")</f>
        <v>Normal</v>
      </c>
      <c r="L899" s="4" t="str">
        <f>IF(Table156[[#This Row],[Total Amount]]&gt;=1000,"High",(IF(Table156[[#This Row],[Total Amount]]&gt;=500,"Medium","Low")))</f>
        <v>Low</v>
      </c>
      <c r="M899" s="4" t="str" cm="1">
        <f t="array" ref="M89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99" s="4" cm="1">
        <f t="array" ref="N89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899" s="4">
        <f>Table156[[#This Row],[Total Amount]]-Table156[[#This Row],[Discount Amount]]</f>
        <v>72</v>
      </c>
      <c r="P899" s="4" t="str">
        <f>IF(Table156[[#This Row],[Total Amount]]&gt;=1000,"High","Low")</f>
        <v>Low</v>
      </c>
      <c r="Q899" s="4" t="str" cm="1">
        <f t="array" ref="Q899">_xlfn.IFS(AND(Table156[[#This Row],[Total Amount]]&gt;=1500,"Critical"),AND(Table156[[#This Row],[Total Amount]]&gt;=1000,"High"),TRUE,"Normal")</f>
        <v>Normal</v>
      </c>
      <c r="R899" s="4">
        <f>COUNTIF(Table156[Gender],"Male")</f>
        <v>490</v>
      </c>
    </row>
    <row r="900" spans="1:18" x14ac:dyDescent="0.35">
      <c r="A900" s="4">
        <v>899</v>
      </c>
      <c r="B900" s="5">
        <v>45071</v>
      </c>
      <c r="C900" s="4" t="s">
        <v>912</v>
      </c>
      <c r="D900" s="4" t="s">
        <v>10</v>
      </c>
      <c r="E900" s="4">
        <v>26</v>
      </c>
      <c r="F900" s="4" t="str">
        <f>IF(Table156[[#This Row],[Age]]&lt;=19,"Teenager",IF(Table156[[#This Row],[Age]]&lt;=40,"Median","Old"))</f>
        <v>Median</v>
      </c>
      <c r="G900" s="4" t="s">
        <v>14</v>
      </c>
      <c r="H900" s="4">
        <v>2</v>
      </c>
      <c r="I900" s="4">
        <v>300</v>
      </c>
      <c r="J900" s="4">
        <v>600</v>
      </c>
      <c r="K900" s="4" t="str" cm="1">
        <f t="array" ref="K900">_xlfn.IFS(AND(Table156[[#This Row],[Total Amount]]&gt;=1500),"Critical",AND(Table156[[#This Row],[Total Amount]]&gt;=1000),"High",TRUE,"Normal")</f>
        <v>Normal</v>
      </c>
      <c r="L900" s="4" t="str">
        <f>IF(Table156[[#This Row],[Total Amount]]&gt;=1000,"High",(IF(Table156[[#This Row],[Total Amount]]&gt;=500,"Medium","Low")))</f>
        <v>Medium</v>
      </c>
      <c r="M900" s="4" t="str" cm="1">
        <f t="array" ref="M90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00" s="4" cm="1">
        <f t="array" ref="N90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900" s="4">
        <f>Table156[[#This Row],[Total Amount]]-Table156[[#This Row],[Discount Amount]]</f>
        <v>510</v>
      </c>
      <c r="P900" s="4" t="str">
        <f>IF(Table156[[#This Row],[Total Amount]]&gt;=1000,"High","Low")</f>
        <v>Low</v>
      </c>
      <c r="Q900" s="4" t="str" cm="1">
        <f t="array" ref="Q900">_xlfn.IFS(AND(Table156[[#This Row],[Total Amount]]&gt;=1500,"Critical"),AND(Table156[[#This Row],[Total Amount]]&gt;=1000,"High"),TRUE,"Normal")</f>
        <v>Normal</v>
      </c>
      <c r="R900" s="4">
        <f>COUNTIF(Table156[Gender],"Male")</f>
        <v>490</v>
      </c>
    </row>
    <row r="901" spans="1:18" x14ac:dyDescent="0.35">
      <c r="A901" s="4">
        <v>900</v>
      </c>
      <c r="B901" s="5">
        <v>44978</v>
      </c>
      <c r="C901" s="4" t="s">
        <v>913</v>
      </c>
      <c r="D901" s="4" t="s">
        <v>10</v>
      </c>
      <c r="E901" s="4">
        <v>21</v>
      </c>
      <c r="F901" s="4" t="str">
        <f>IF(Table156[[#This Row],[Age]]&lt;=19,"Teenager",IF(Table156[[#This Row],[Age]]&lt;=40,"Median","Old"))</f>
        <v>Median</v>
      </c>
      <c r="G901" s="4" t="s">
        <v>14</v>
      </c>
      <c r="H901" s="4">
        <v>2</v>
      </c>
      <c r="I901" s="4">
        <v>30</v>
      </c>
      <c r="J901" s="4">
        <v>60</v>
      </c>
      <c r="K901" s="4" t="str" cm="1">
        <f t="array" ref="K901">_xlfn.IFS(AND(Table156[[#This Row],[Total Amount]]&gt;=1500),"Critical",AND(Table156[[#This Row],[Total Amount]]&gt;=1000),"High",TRUE,"Normal")</f>
        <v>Normal</v>
      </c>
      <c r="L901" s="4" t="str">
        <f>IF(Table156[[#This Row],[Total Amount]]&gt;=1000,"High",(IF(Table156[[#This Row],[Total Amount]]&gt;=500,"Medium","Low")))</f>
        <v>Low</v>
      </c>
      <c r="M901" s="4" t="str" cm="1">
        <f t="array" ref="M90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901" s="4" cm="1">
        <f t="array" ref="N90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901" s="4">
        <f>Table156[[#This Row],[Total Amount]]-Table156[[#This Row],[Discount Amount]]</f>
        <v>60</v>
      </c>
      <c r="P901" s="4" t="str">
        <f>IF(Table156[[#This Row],[Total Amount]]&gt;=1000,"High","Low")</f>
        <v>Low</v>
      </c>
      <c r="Q901" s="4" t="str" cm="1">
        <f t="array" ref="Q901">_xlfn.IFS(AND(Table156[[#This Row],[Total Amount]]&gt;=1500,"Critical"),AND(Table156[[#This Row],[Total Amount]]&gt;=1000,"High"),TRUE,"Normal")</f>
        <v>Normal</v>
      </c>
      <c r="R901" s="4">
        <f>COUNTIF(Table156[Gender],"Male")</f>
        <v>490</v>
      </c>
    </row>
    <row r="902" spans="1:18" x14ac:dyDescent="0.35">
      <c r="A902" s="4">
        <v>901</v>
      </c>
      <c r="B902" s="5">
        <v>45026</v>
      </c>
      <c r="C902" s="4" t="s">
        <v>914</v>
      </c>
      <c r="D902" s="4" t="s">
        <v>10</v>
      </c>
      <c r="E902" s="4">
        <v>31</v>
      </c>
      <c r="F902" s="4" t="str">
        <f>IF(Table156[[#This Row],[Age]]&lt;=19,"Teenager",IF(Table156[[#This Row],[Age]]&lt;=40,"Median","Old"))</f>
        <v>Median</v>
      </c>
      <c r="G902" s="4" t="s">
        <v>16</v>
      </c>
      <c r="H902" s="4">
        <v>1</v>
      </c>
      <c r="I902" s="4">
        <v>30</v>
      </c>
      <c r="J902" s="4">
        <v>30</v>
      </c>
      <c r="K902" s="4" t="str" cm="1">
        <f t="array" ref="K902">_xlfn.IFS(AND(Table156[[#This Row],[Total Amount]]&gt;=1500),"Critical",AND(Table156[[#This Row],[Total Amount]]&gt;=1000),"High",TRUE,"Normal")</f>
        <v>Normal</v>
      </c>
      <c r="L902" s="4" t="str">
        <f>IF(Table156[[#This Row],[Total Amount]]&gt;=1000,"High",(IF(Table156[[#This Row],[Total Amount]]&gt;=500,"Medium","Low")))</f>
        <v>Low</v>
      </c>
      <c r="M902" s="4" t="str" cm="1">
        <f t="array" ref="M90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02" s="4" cm="1">
        <f t="array" ref="N90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4.5</v>
      </c>
      <c r="O902" s="4">
        <f>Table156[[#This Row],[Total Amount]]-Table156[[#This Row],[Discount Amount]]</f>
        <v>25.5</v>
      </c>
      <c r="P902" s="4" t="str">
        <f>IF(Table156[[#This Row],[Total Amount]]&gt;=1000,"High","Low")</f>
        <v>Low</v>
      </c>
      <c r="Q902" s="4" t="str" cm="1">
        <f t="array" ref="Q902">_xlfn.IFS(AND(Table156[[#This Row],[Total Amount]]&gt;=1500,"Critical"),AND(Table156[[#This Row],[Total Amount]]&gt;=1000,"High"),TRUE,"Normal")</f>
        <v>Normal</v>
      </c>
      <c r="R902" s="4">
        <f>COUNTIF(Table156[Gender],"Male")</f>
        <v>490</v>
      </c>
    </row>
    <row r="903" spans="1:18" x14ac:dyDescent="0.35">
      <c r="A903" s="4">
        <v>902</v>
      </c>
      <c r="B903" s="5">
        <v>45078</v>
      </c>
      <c r="C903" s="4" t="s">
        <v>915</v>
      </c>
      <c r="D903" s="4" t="s">
        <v>13</v>
      </c>
      <c r="E903" s="4">
        <v>54</v>
      </c>
      <c r="F903" s="4" t="str">
        <f>IF(Table156[[#This Row],[Age]]&lt;=19,"Teenager",IF(Table156[[#This Row],[Age]]&lt;=40,"Median","Old"))</f>
        <v>Old</v>
      </c>
      <c r="G903" s="4" t="s">
        <v>11</v>
      </c>
      <c r="H903" s="4">
        <v>1</v>
      </c>
      <c r="I903" s="4">
        <v>50</v>
      </c>
      <c r="J903" s="4">
        <v>50</v>
      </c>
      <c r="K903" s="4" t="str" cm="1">
        <f t="array" ref="K903">_xlfn.IFS(AND(Table156[[#This Row],[Total Amount]]&gt;=1500),"Critical",AND(Table156[[#This Row],[Total Amount]]&gt;=1000),"High",TRUE,"Normal")</f>
        <v>Normal</v>
      </c>
      <c r="L903" s="4" t="str">
        <f>IF(Table156[[#This Row],[Total Amount]]&gt;=1000,"High",(IF(Table156[[#This Row],[Total Amount]]&gt;=500,"Medium","Low")))</f>
        <v>Low</v>
      </c>
      <c r="M903" s="4" t="str" cm="1">
        <f t="array" ref="M90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03" s="4" cm="1">
        <f t="array" ref="N90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903" s="4">
        <f>Table156[[#This Row],[Total Amount]]-Table156[[#This Row],[Discount Amount]]</f>
        <v>40</v>
      </c>
      <c r="P903" s="4" t="str">
        <f>IF(Table156[[#This Row],[Total Amount]]&gt;=1000,"High","Low")</f>
        <v>Low</v>
      </c>
      <c r="Q903" s="4" t="str" cm="1">
        <f t="array" ref="Q903">_xlfn.IFS(AND(Table156[[#This Row],[Total Amount]]&gt;=1500,"Critical"),AND(Table156[[#This Row],[Total Amount]]&gt;=1000,"High"),TRUE,"Normal")</f>
        <v>Normal</v>
      </c>
      <c r="R903" s="4">
        <f>COUNTIF(Table156[Gender],"Male")</f>
        <v>490</v>
      </c>
    </row>
    <row r="904" spans="1:18" x14ac:dyDescent="0.35">
      <c r="A904" s="4">
        <v>903</v>
      </c>
      <c r="B904" s="5">
        <v>45043</v>
      </c>
      <c r="C904" s="4" t="s">
        <v>916</v>
      </c>
      <c r="D904" s="4" t="s">
        <v>13</v>
      </c>
      <c r="E904" s="4">
        <v>51</v>
      </c>
      <c r="F904" s="4" t="str">
        <f>IF(Table156[[#This Row],[Age]]&lt;=19,"Teenager",IF(Table156[[#This Row],[Age]]&lt;=40,"Median","Old"))</f>
        <v>Old</v>
      </c>
      <c r="G904" s="4" t="s">
        <v>11</v>
      </c>
      <c r="H904" s="4">
        <v>4</v>
      </c>
      <c r="I904" s="4">
        <v>50</v>
      </c>
      <c r="J904" s="4">
        <v>200</v>
      </c>
      <c r="K904" s="4" t="str" cm="1">
        <f t="array" ref="K904">_xlfn.IFS(AND(Table156[[#This Row],[Total Amount]]&gt;=1500),"Critical",AND(Table156[[#This Row],[Total Amount]]&gt;=1000),"High",TRUE,"Normal")</f>
        <v>Normal</v>
      </c>
      <c r="L904" s="4" t="str">
        <f>IF(Table156[[#This Row],[Total Amount]]&gt;=1000,"High",(IF(Table156[[#This Row],[Total Amount]]&gt;=500,"Medium","Low")))</f>
        <v>Low</v>
      </c>
      <c r="M904" s="4" t="str" cm="1">
        <f t="array" ref="M90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04" s="4" cm="1">
        <f t="array" ref="N90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904" s="4">
        <f>Table156[[#This Row],[Total Amount]]-Table156[[#This Row],[Discount Amount]]</f>
        <v>160</v>
      </c>
      <c r="P904" s="4" t="str">
        <f>IF(Table156[[#This Row],[Total Amount]]&gt;=1000,"High","Low")</f>
        <v>Low</v>
      </c>
      <c r="Q904" s="4" t="str" cm="1">
        <f t="array" ref="Q904">_xlfn.IFS(AND(Table156[[#This Row],[Total Amount]]&gt;=1500,"Critical"),AND(Table156[[#This Row],[Total Amount]]&gt;=1000,"High"),TRUE,"Normal")</f>
        <v>Normal</v>
      </c>
      <c r="R904" s="4">
        <f>COUNTIF(Table156[Gender],"Male")</f>
        <v>490</v>
      </c>
    </row>
    <row r="905" spans="1:18" x14ac:dyDescent="0.35">
      <c r="A905" s="4">
        <v>904</v>
      </c>
      <c r="B905" s="5">
        <v>45111</v>
      </c>
      <c r="C905" s="4" t="s">
        <v>917</v>
      </c>
      <c r="D905" s="4" t="s">
        <v>10</v>
      </c>
      <c r="E905" s="4">
        <v>28</v>
      </c>
      <c r="F905" s="4" t="str">
        <f>IF(Table156[[#This Row],[Age]]&lt;=19,"Teenager",IF(Table156[[#This Row],[Age]]&lt;=40,"Median","Old"))</f>
        <v>Median</v>
      </c>
      <c r="G905" s="4" t="s">
        <v>14</v>
      </c>
      <c r="H905" s="4">
        <v>1</v>
      </c>
      <c r="I905" s="4">
        <v>500</v>
      </c>
      <c r="J905" s="4">
        <v>500</v>
      </c>
      <c r="K905" s="4" t="str" cm="1">
        <f t="array" ref="K905">_xlfn.IFS(AND(Table156[[#This Row],[Total Amount]]&gt;=1500),"Critical",AND(Table156[[#This Row],[Total Amount]]&gt;=1000),"High",TRUE,"Normal")</f>
        <v>Normal</v>
      </c>
      <c r="L905" s="4" t="str">
        <f>IF(Table156[[#This Row],[Total Amount]]&gt;=1000,"High",(IF(Table156[[#This Row],[Total Amount]]&gt;=500,"Medium","Low")))</f>
        <v>Medium</v>
      </c>
      <c r="M905" s="4" t="str" cm="1">
        <f t="array" ref="M90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05" s="4" cm="1">
        <f t="array" ref="N90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75</v>
      </c>
      <c r="O905" s="4">
        <f>Table156[[#This Row],[Total Amount]]-Table156[[#This Row],[Discount Amount]]</f>
        <v>425</v>
      </c>
      <c r="P905" s="4" t="str">
        <f>IF(Table156[[#This Row],[Total Amount]]&gt;=1000,"High","Low")</f>
        <v>Low</v>
      </c>
      <c r="Q905" s="4" t="str" cm="1">
        <f t="array" ref="Q905">_xlfn.IFS(AND(Table156[[#This Row],[Total Amount]]&gt;=1500,"Critical"),AND(Table156[[#This Row],[Total Amount]]&gt;=1000,"High"),TRUE,"Normal")</f>
        <v>Normal</v>
      </c>
      <c r="R905" s="4">
        <f>COUNTIF(Table156[Gender],"Male")</f>
        <v>490</v>
      </c>
    </row>
    <row r="906" spans="1:18" x14ac:dyDescent="0.35">
      <c r="A906" s="4">
        <v>905</v>
      </c>
      <c r="B906" s="5">
        <v>45018</v>
      </c>
      <c r="C906" s="4" t="s">
        <v>918</v>
      </c>
      <c r="D906" s="4" t="s">
        <v>10</v>
      </c>
      <c r="E906" s="4">
        <v>58</v>
      </c>
      <c r="F906" s="4" t="str">
        <f>IF(Table156[[#This Row],[Age]]&lt;=19,"Teenager",IF(Table156[[#This Row],[Age]]&lt;=40,"Median","Old"))</f>
        <v>Old</v>
      </c>
      <c r="G906" s="4" t="s">
        <v>11</v>
      </c>
      <c r="H906" s="4">
        <v>1</v>
      </c>
      <c r="I906" s="4">
        <v>300</v>
      </c>
      <c r="J906" s="4">
        <v>300</v>
      </c>
      <c r="K906" s="4" t="str" cm="1">
        <f t="array" ref="K906">_xlfn.IFS(AND(Table156[[#This Row],[Total Amount]]&gt;=1500),"Critical",AND(Table156[[#This Row],[Total Amount]]&gt;=1000),"High",TRUE,"Normal")</f>
        <v>Normal</v>
      </c>
      <c r="L906" s="4" t="str">
        <f>IF(Table156[[#This Row],[Total Amount]]&gt;=1000,"High",(IF(Table156[[#This Row],[Total Amount]]&gt;=500,"Medium","Low")))</f>
        <v>Low</v>
      </c>
      <c r="M906" s="4" t="str" cm="1">
        <f t="array" ref="M90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06" s="4" cm="1">
        <f t="array" ref="N90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906" s="4">
        <f>Table156[[#This Row],[Total Amount]]-Table156[[#This Row],[Discount Amount]]</f>
        <v>270</v>
      </c>
      <c r="P906" s="4" t="str">
        <f>IF(Table156[[#This Row],[Total Amount]]&gt;=1000,"High","Low")</f>
        <v>Low</v>
      </c>
      <c r="Q906" s="4" t="str" cm="1">
        <f t="array" ref="Q906">_xlfn.IFS(AND(Table156[[#This Row],[Total Amount]]&gt;=1500,"Critical"),AND(Table156[[#This Row],[Total Amount]]&gt;=1000,"High"),TRUE,"Normal")</f>
        <v>Normal</v>
      </c>
      <c r="R906" s="4">
        <f>COUNTIF(Table156[Gender],"Male")</f>
        <v>490</v>
      </c>
    </row>
    <row r="907" spans="1:18" x14ac:dyDescent="0.35">
      <c r="A907" s="4">
        <v>906</v>
      </c>
      <c r="B907" s="5">
        <v>45081</v>
      </c>
      <c r="C907" s="4" t="s">
        <v>919</v>
      </c>
      <c r="D907" s="4" t="s">
        <v>13</v>
      </c>
      <c r="E907" s="4">
        <v>20</v>
      </c>
      <c r="F907" s="4" t="str">
        <f>IF(Table156[[#This Row],[Age]]&lt;=19,"Teenager",IF(Table156[[#This Row],[Age]]&lt;=40,"Median","Old"))</f>
        <v>Median</v>
      </c>
      <c r="G907" s="4" t="s">
        <v>14</v>
      </c>
      <c r="H907" s="4">
        <v>1</v>
      </c>
      <c r="I907" s="4">
        <v>50</v>
      </c>
      <c r="J907" s="4">
        <v>50</v>
      </c>
      <c r="K907" s="4" t="str" cm="1">
        <f t="array" ref="K907">_xlfn.IFS(AND(Table156[[#This Row],[Total Amount]]&gt;=1500),"Critical",AND(Table156[[#This Row],[Total Amount]]&gt;=1000),"High",TRUE,"Normal")</f>
        <v>Normal</v>
      </c>
      <c r="L907" s="4" t="str">
        <f>IF(Table156[[#This Row],[Total Amount]]&gt;=1000,"High",(IF(Table156[[#This Row],[Total Amount]]&gt;=500,"Medium","Low")))</f>
        <v>Low</v>
      </c>
      <c r="M907" s="4" t="str" cm="1">
        <f t="array" ref="M90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907" s="4" cm="1">
        <f t="array" ref="N90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907" s="4">
        <f>Table156[[#This Row],[Total Amount]]-Table156[[#This Row],[Discount Amount]]</f>
        <v>50</v>
      </c>
      <c r="P907" s="4" t="str">
        <f>IF(Table156[[#This Row],[Total Amount]]&gt;=1000,"High","Low")</f>
        <v>Low</v>
      </c>
      <c r="Q907" s="4" t="str" cm="1">
        <f t="array" ref="Q907">_xlfn.IFS(AND(Table156[[#This Row],[Total Amount]]&gt;=1500,"Critical"),AND(Table156[[#This Row],[Total Amount]]&gt;=1000,"High"),TRUE,"Normal")</f>
        <v>Normal</v>
      </c>
      <c r="R907" s="4">
        <f>COUNTIF(Table156[Gender],"Male")</f>
        <v>490</v>
      </c>
    </row>
    <row r="908" spans="1:18" x14ac:dyDescent="0.35">
      <c r="A908" s="4">
        <v>907</v>
      </c>
      <c r="B908" s="5">
        <v>44934</v>
      </c>
      <c r="C908" s="4" t="s">
        <v>920</v>
      </c>
      <c r="D908" s="4" t="s">
        <v>13</v>
      </c>
      <c r="E908" s="4">
        <v>45</v>
      </c>
      <c r="F908" s="4" t="str">
        <f>IF(Table156[[#This Row],[Age]]&lt;=19,"Teenager",IF(Table156[[#This Row],[Age]]&lt;=40,"Median","Old"))</f>
        <v>Old</v>
      </c>
      <c r="G908" s="4" t="s">
        <v>16</v>
      </c>
      <c r="H908" s="4">
        <v>1</v>
      </c>
      <c r="I908" s="4">
        <v>25</v>
      </c>
      <c r="J908" s="4">
        <v>25</v>
      </c>
      <c r="K908" s="4" t="str" cm="1">
        <f t="array" ref="K908">_xlfn.IFS(AND(Table156[[#This Row],[Total Amount]]&gt;=1500),"Critical",AND(Table156[[#This Row],[Total Amount]]&gt;=1000),"High",TRUE,"Normal")</f>
        <v>Normal</v>
      </c>
      <c r="L908" s="4" t="str">
        <f>IF(Table156[[#This Row],[Total Amount]]&gt;=1000,"High",(IF(Table156[[#This Row],[Total Amount]]&gt;=500,"Medium","Low")))</f>
        <v>Low</v>
      </c>
      <c r="M908" s="4" t="str" cm="1">
        <f t="array" ref="M90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08" s="4" cm="1">
        <f t="array" ref="N90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908" s="4">
        <f>Table156[[#This Row],[Total Amount]]-Table156[[#This Row],[Discount Amount]]</f>
        <v>20</v>
      </c>
      <c r="P908" s="4" t="str">
        <f>IF(Table156[[#This Row],[Total Amount]]&gt;=1000,"High","Low")</f>
        <v>Low</v>
      </c>
      <c r="Q908" s="4" t="str" cm="1">
        <f t="array" ref="Q908">_xlfn.IFS(AND(Table156[[#This Row],[Total Amount]]&gt;=1500,"Critical"),AND(Table156[[#This Row],[Total Amount]]&gt;=1000,"High"),TRUE,"Normal")</f>
        <v>Normal</v>
      </c>
      <c r="R908" s="4">
        <f>COUNTIF(Table156[Gender],"Male")</f>
        <v>490</v>
      </c>
    </row>
    <row r="909" spans="1:18" x14ac:dyDescent="0.35">
      <c r="A909" s="4">
        <v>908</v>
      </c>
      <c r="B909" s="5">
        <v>45289</v>
      </c>
      <c r="C909" s="4" t="s">
        <v>921</v>
      </c>
      <c r="D909" s="4" t="s">
        <v>10</v>
      </c>
      <c r="E909" s="4">
        <v>46</v>
      </c>
      <c r="F909" s="4" t="str">
        <f>IF(Table156[[#This Row],[Age]]&lt;=19,"Teenager",IF(Table156[[#This Row],[Age]]&lt;=40,"Median","Old"))</f>
        <v>Old</v>
      </c>
      <c r="G909" s="4" t="s">
        <v>11</v>
      </c>
      <c r="H909" s="4">
        <v>4</v>
      </c>
      <c r="I909" s="4">
        <v>300</v>
      </c>
      <c r="J909" s="4">
        <v>1200</v>
      </c>
      <c r="K909" s="4" t="str" cm="1">
        <f t="array" ref="K909">_xlfn.IFS(AND(Table156[[#This Row],[Total Amount]]&gt;=1500),"Critical",AND(Table156[[#This Row],[Total Amount]]&gt;=1000),"High",TRUE,"Normal")</f>
        <v>High</v>
      </c>
      <c r="L909" s="4" t="str">
        <f>IF(Table156[[#This Row],[Total Amount]]&gt;=1000,"High",(IF(Table156[[#This Row],[Total Amount]]&gt;=500,"Medium","Low")))</f>
        <v>High</v>
      </c>
      <c r="M909" s="4" t="str" cm="1">
        <f t="array" ref="M90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09" s="4" cm="1">
        <f t="array" ref="N90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909" s="4">
        <f>Table156[[#This Row],[Total Amount]]-Table156[[#This Row],[Discount Amount]]</f>
        <v>1080</v>
      </c>
      <c r="P909" s="4" t="str">
        <f>IF(Table156[[#This Row],[Total Amount]]&gt;=1000,"High","Low")</f>
        <v>High</v>
      </c>
      <c r="Q909" s="4" t="str" cm="1">
        <f t="array" ref="Q909">_xlfn.IFS(AND(Table156[[#This Row],[Total Amount]]&gt;=1500,"Critical"),AND(Table156[[#This Row],[Total Amount]]&gt;=1000,"High"),TRUE,"Normal")</f>
        <v>Normal</v>
      </c>
      <c r="R909" s="4">
        <f>COUNTIF(Table156[Gender],"Male")</f>
        <v>490</v>
      </c>
    </row>
    <row r="910" spans="1:18" x14ac:dyDescent="0.35">
      <c r="A910" s="4">
        <v>909</v>
      </c>
      <c r="B910" s="5">
        <v>45200</v>
      </c>
      <c r="C910" s="4" t="s">
        <v>922</v>
      </c>
      <c r="D910" s="4" t="s">
        <v>10</v>
      </c>
      <c r="E910" s="4">
        <v>26</v>
      </c>
      <c r="F910" s="4" t="str">
        <f>IF(Table156[[#This Row],[Age]]&lt;=19,"Teenager",IF(Table156[[#This Row],[Age]]&lt;=40,"Median","Old"))</f>
        <v>Median</v>
      </c>
      <c r="G910" s="4" t="s">
        <v>16</v>
      </c>
      <c r="H910" s="4">
        <v>1</v>
      </c>
      <c r="I910" s="4">
        <v>300</v>
      </c>
      <c r="J910" s="4">
        <v>300</v>
      </c>
      <c r="K910" s="4" t="str" cm="1">
        <f t="array" ref="K910">_xlfn.IFS(AND(Table156[[#This Row],[Total Amount]]&gt;=1500),"Critical",AND(Table156[[#This Row],[Total Amount]]&gt;=1000),"High",TRUE,"Normal")</f>
        <v>Normal</v>
      </c>
      <c r="L910" s="4" t="str">
        <f>IF(Table156[[#This Row],[Total Amount]]&gt;=1000,"High",(IF(Table156[[#This Row],[Total Amount]]&gt;=500,"Medium","Low")))</f>
        <v>Low</v>
      </c>
      <c r="M910" s="4" t="str" cm="1">
        <f t="array" ref="M91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10" s="4" cm="1">
        <f t="array" ref="N91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45</v>
      </c>
      <c r="O910" s="4">
        <f>Table156[[#This Row],[Total Amount]]-Table156[[#This Row],[Discount Amount]]</f>
        <v>255</v>
      </c>
      <c r="P910" s="4" t="str">
        <f>IF(Table156[[#This Row],[Total Amount]]&gt;=1000,"High","Low")</f>
        <v>Low</v>
      </c>
      <c r="Q910" s="4" t="str" cm="1">
        <f t="array" ref="Q910">_xlfn.IFS(AND(Table156[[#This Row],[Total Amount]]&gt;=1500,"Critical"),AND(Table156[[#This Row],[Total Amount]]&gt;=1000,"High"),TRUE,"Normal")</f>
        <v>Normal</v>
      </c>
      <c r="R910" s="4">
        <f>COUNTIF(Table156[Gender],"Male")</f>
        <v>490</v>
      </c>
    </row>
    <row r="911" spans="1:18" x14ac:dyDescent="0.35">
      <c r="A911" s="4">
        <v>910</v>
      </c>
      <c r="B911" s="5">
        <v>44991</v>
      </c>
      <c r="C911" s="4" t="s">
        <v>923</v>
      </c>
      <c r="D911" s="4" t="s">
        <v>13</v>
      </c>
      <c r="E911" s="4">
        <v>20</v>
      </c>
      <c r="F911" s="4" t="str">
        <f>IF(Table156[[#This Row],[Age]]&lt;=19,"Teenager",IF(Table156[[#This Row],[Age]]&lt;=40,"Median","Old"))</f>
        <v>Median</v>
      </c>
      <c r="G911" s="4" t="s">
        <v>11</v>
      </c>
      <c r="H911" s="4">
        <v>3</v>
      </c>
      <c r="I911" s="4">
        <v>50</v>
      </c>
      <c r="J911" s="4">
        <v>150</v>
      </c>
      <c r="K911" s="4" t="str" cm="1">
        <f t="array" ref="K911">_xlfn.IFS(AND(Table156[[#This Row],[Total Amount]]&gt;=1500),"Critical",AND(Table156[[#This Row],[Total Amount]]&gt;=1000),"High",TRUE,"Normal")</f>
        <v>Normal</v>
      </c>
      <c r="L911" s="4" t="str">
        <f>IF(Table156[[#This Row],[Total Amount]]&gt;=1000,"High",(IF(Table156[[#This Row],[Total Amount]]&gt;=500,"Medium","Low")))</f>
        <v>Low</v>
      </c>
      <c r="M911" s="4" t="str" cm="1">
        <f t="array" ref="M91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911" s="4" cm="1">
        <f t="array" ref="N91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911" s="4">
        <f>Table156[[#This Row],[Total Amount]]-Table156[[#This Row],[Discount Amount]]</f>
        <v>150</v>
      </c>
      <c r="P911" s="4" t="str">
        <f>IF(Table156[[#This Row],[Total Amount]]&gt;=1000,"High","Low")</f>
        <v>Low</v>
      </c>
      <c r="Q911" s="4" t="str" cm="1">
        <f t="array" ref="Q911">_xlfn.IFS(AND(Table156[[#This Row],[Total Amount]]&gt;=1500,"Critical"),AND(Table156[[#This Row],[Total Amount]]&gt;=1000,"High"),TRUE,"Normal")</f>
        <v>Normal</v>
      </c>
      <c r="R911" s="4">
        <f>COUNTIF(Table156[Gender],"Male")</f>
        <v>490</v>
      </c>
    </row>
    <row r="912" spans="1:18" x14ac:dyDescent="0.35">
      <c r="A912" s="4">
        <v>911</v>
      </c>
      <c r="B912" s="5">
        <v>45067</v>
      </c>
      <c r="C912" s="4" t="s">
        <v>924</v>
      </c>
      <c r="D912" s="4" t="s">
        <v>10</v>
      </c>
      <c r="E912" s="4">
        <v>42</v>
      </c>
      <c r="F912" s="4" t="str">
        <f>IF(Table156[[#This Row],[Age]]&lt;=19,"Teenager",IF(Table156[[#This Row],[Age]]&lt;=40,"Median","Old"))</f>
        <v>Old</v>
      </c>
      <c r="G912" s="4" t="s">
        <v>16</v>
      </c>
      <c r="H912" s="4">
        <v>3</v>
      </c>
      <c r="I912" s="4">
        <v>300</v>
      </c>
      <c r="J912" s="4">
        <v>900</v>
      </c>
      <c r="K912" s="4" t="str" cm="1">
        <f t="array" ref="K912">_xlfn.IFS(AND(Table156[[#This Row],[Total Amount]]&gt;=1500),"Critical",AND(Table156[[#This Row],[Total Amount]]&gt;=1000),"High",TRUE,"Normal")</f>
        <v>Normal</v>
      </c>
      <c r="L912" s="4" t="str">
        <f>IF(Table156[[#This Row],[Total Amount]]&gt;=1000,"High",(IF(Table156[[#This Row],[Total Amount]]&gt;=500,"Medium","Low")))</f>
        <v>Medium</v>
      </c>
      <c r="M912" s="4" t="str" cm="1">
        <f t="array" ref="M91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12" s="4" cm="1">
        <f t="array" ref="N91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912" s="4">
        <f>Table156[[#This Row],[Total Amount]]-Table156[[#This Row],[Discount Amount]]</f>
        <v>810</v>
      </c>
      <c r="P912" s="4" t="str">
        <f>IF(Table156[[#This Row],[Total Amount]]&gt;=1000,"High","Low")</f>
        <v>Low</v>
      </c>
      <c r="Q912" s="4" t="str" cm="1">
        <f t="array" ref="Q912">_xlfn.IFS(AND(Table156[[#This Row],[Total Amount]]&gt;=1500,"Critical"),AND(Table156[[#This Row],[Total Amount]]&gt;=1000,"High"),TRUE,"Normal")</f>
        <v>Normal</v>
      </c>
      <c r="R912" s="4">
        <f>COUNTIF(Table156[Gender],"Male")</f>
        <v>490</v>
      </c>
    </row>
    <row r="913" spans="1:18" x14ac:dyDescent="0.35">
      <c r="A913" s="4">
        <v>912</v>
      </c>
      <c r="B913" s="5">
        <v>44950</v>
      </c>
      <c r="C913" s="4" t="s">
        <v>925</v>
      </c>
      <c r="D913" s="4" t="s">
        <v>10</v>
      </c>
      <c r="E913" s="4">
        <v>51</v>
      </c>
      <c r="F913" s="4" t="str">
        <f>IF(Table156[[#This Row],[Age]]&lt;=19,"Teenager",IF(Table156[[#This Row],[Age]]&lt;=40,"Median","Old"))</f>
        <v>Old</v>
      </c>
      <c r="G913" s="4" t="s">
        <v>11</v>
      </c>
      <c r="H913" s="4">
        <v>3</v>
      </c>
      <c r="I913" s="4">
        <v>50</v>
      </c>
      <c r="J913" s="4">
        <v>150</v>
      </c>
      <c r="K913" s="4" t="str" cm="1">
        <f t="array" ref="K913">_xlfn.IFS(AND(Table156[[#This Row],[Total Amount]]&gt;=1500),"Critical",AND(Table156[[#This Row],[Total Amount]]&gt;=1000),"High",TRUE,"Normal")</f>
        <v>Normal</v>
      </c>
      <c r="L913" s="4" t="str">
        <f>IF(Table156[[#This Row],[Total Amount]]&gt;=1000,"High",(IF(Table156[[#This Row],[Total Amount]]&gt;=500,"Medium","Low")))</f>
        <v>Low</v>
      </c>
      <c r="M913" s="4" t="str" cm="1">
        <f t="array" ref="M91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13" s="4" cm="1">
        <f t="array" ref="N91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913" s="4">
        <f>Table156[[#This Row],[Total Amount]]-Table156[[#This Row],[Discount Amount]]</f>
        <v>135</v>
      </c>
      <c r="P913" s="4" t="str">
        <f>IF(Table156[[#This Row],[Total Amount]]&gt;=1000,"High","Low")</f>
        <v>Low</v>
      </c>
      <c r="Q913" s="4" t="str" cm="1">
        <f t="array" ref="Q913">_xlfn.IFS(AND(Table156[[#This Row],[Total Amount]]&gt;=1500,"Critical"),AND(Table156[[#This Row],[Total Amount]]&gt;=1000,"High"),TRUE,"Normal")</f>
        <v>Normal</v>
      </c>
      <c r="R913" s="4">
        <f>COUNTIF(Table156[Gender],"Male")</f>
        <v>490</v>
      </c>
    </row>
    <row r="914" spans="1:18" x14ac:dyDescent="0.35">
      <c r="A914" s="4">
        <v>913</v>
      </c>
      <c r="B914" s="5">
        <v>44954</v>
      </c>
      <c r="C914" s="4" t="s">
        <v>926</v>
      </c>
      <c r="D914" s="4" t="s">
        <v>10</v>
      </c>
      <c r="E914" s="4">
        <v>29</v>
      </c>
      <c r="F914" s="4" t="str">
        <f>IF(Table156[[#This Row],[Age]]&lt;=19,"Teenager",IF(Table156[[#This Row],[Age]]&lt;=40,"Median","Old"))</f>
        <v>Median</v>
      </c>
      <c r="G914" s="4" t="s">
        <v>16</v>
      </c>
      <c r="H914" s="4">
        <v>3</v>
      </c>
      <c r="I914" s="4">
        <v>30</v>
      </c>
      <c r="J914" s="4">
        <v>90</v>
      </c>
      <c r="K914" s="4" t="str" cm="1">
        <f t="array" ref="K914">_xlfn.IFS(AND(Table156[[#This Row],[Total Amount]]&gt;=1500),"Critical",AND(Table156[[#This Row],[Total Amount]]&gt;=1000),"High",TRUE,"Normal")</f>
        <v>Normal</v>
      </c>
      <c r="L914" s="4" t="str">
        <f>IF(Table156[[#This Row],[Total Amount]]&gt;=1000,"High",(IF(Table156[[#This Row],[Total Amount]]&gt;=500,"Medium","Low")))</f>
        <v>Low</v>
      </c>
      <c r="M914" s="4" t="str" cm="1">
        <f t="array" ref="M91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14" s="4" cm="1">
        <f t="array" ref="N91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13.5</v>
      </c>
      <c r="O914" s="4">
        <f>Table156[[#This Row],[Total Amount]]-Table156[[#This Row],[Discount Amount]]</f>
        <v>76.5</v>
      </c>
      <c r="P914" s="4" t="str">
        <f>IF(Table156[[#This Row],[Total Amount]]&gt;=1000,"High","Low")</f>
        <v>Low</v>
      </c>
      <c r="Q914" s="4" t="str" cm="1">
        <f t="array" ref="Q914">_xlfn.IFS(AND(Table156[[#This Row],[Total Amount]]&gt;=1500,"Critical"),AND(Table156[[#This Row],[Total Amount]]&gt;=1000,"High"),TRUE,"Normal")</f>
        <v>Normal</v>
      </c>
      <c r="R914" s="4">
        <f>COUNTIF(Table156[Gender],"Male")</f>
        <v>490</v>
      </c>
    </row>
    <row r="915" spans="1:18" x14ac:dyDescent="0.35">
      <c r="A915" s="4">
        <v>914</v>
      </c>
      <c r="B915" s="5">
        <v>45210</v>
      </c>
      <c r="C915" s="4" t="s">
        <v>927</v>
      </c>
      <c r="D915" s="4" t="s">
        <v>13</v>
      </c>
      <c r="E915" s="4">
        <v>59</v>
      </c>
      <c r="F915" s="4" t="str">
        <f>IF(Table156[[#This Row],[Age]]&lt;=19,"Teenager",IF(Table156[[#This Row],[Age]]&lt;=40,"Median","Old"))</f>
        <v>Old</v>
      </c>
      <c r="G915" s="4" t="s">
        <v>16</v>
      </c>
      <c r="H915" s="4">
        <v>1</v>
      </c>
      <c r="I915" s="4">
        <v>500</v>
      </c>
      <c r="J915" s="4">
        <v>500</v>
      </c>
      <c r="K915" s="4" t="str" cm="1">
        <f t="array" ref="K915">_xlfn.IFS(AND(Table156[[#This Row],[Total Amount]]&gt;=1500),"Critical",AND(Table156[[#This Row],[Total Amount]]&gt;=1000),"High",TRUE,"Normal")</f>
        <v>Normal</v>
      </c>
      <c r="L915" s="4" t="str">
        <f>IF(Table156[[#This Row],[Total Amount]]&gt;=1000,"High",(IF(Table156[[#This Row],[Total Amount]]&gt;=500,"Medium","Low")))</f>
        <v>Medium</v>
      </c>
      <c r="M915" s="4" t="str" cm="1">
        <f t="array" ref="M91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15" s="4" cm="1">
        <f t="array" ref="N91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915" s="4">
        <f>Table156[[#This Row],[Total Amount]]-Table156[[#This Row],[Discount Amount]]</f>
        <v>400</v>
      </c>
      <c r="P915" s="4" t="str">
        <f>IF(Table156[[#This Row],[Total Amount]]&gt;=1000,"High","Low")</f>
        <v>Low</v>
      </c>
      <c r="Q915" s="4" t="str" cm="1">
        <f t="array" ref="Q915">_xlfn.IFS(AND(Table156[[#This Row],[Total Amount]]&gt;=1500,"Critical"),AND(Table156[[#This Row],[Total Amount]]&gt;=1000,"High"),TRUE,"Normal")</f>
        <v>Normal</v>
      </c>
      <c r="R915" s="4">
        <f>COUNTIF(Table156[Gender],"Male")</f>
        <v>490</v>
      </c>
    </row>
    <row r="916" spans="1:18" x14ac:dyDescent="0.35">
      <c r="A916" s="4">
        <v>915</v>
      </c>
      <c r="B916" s="5">
        <v>45076</v>
      </c>
      <c r="C916" s="4" t="s">
        <v>928</v>
      </c>
      <c r="D916" s="4" t="s">
        <v>13</v>
      </c>
      <c r="E916" s="4">
        <v>26</v>
      </c>
      <c r="F916" s="4" t="str">
        <f>IF(Table156[[#This Row],[Age]]&lt;=19,"Teenager",IF(Table156[[#This Row],[Age]]&lt;=40,"Median","Old"))</f>
        <v>Median</v>
      </c>
      <c r="G916" s="4" t="s">
        <v>11</v>
      </c>
      <c r="H916" s="4">
        <v>3</v>
      </c>
      <c r="I916" s="4">
        <v>30</v>
      </c>
      <c r="J916" s="4">
        <v>90</v>
      </c>
      <c r="K916" s="4" t="str" cm="1">
        <f t="array" ref="K916">_xlfn.IFS(AND(Table156[[#This Row],[Total Amount]]&gt;=1500),"Critical",AND(Table156[[#This Row],[Total Amount]]&gt;=1000),"High",TRUE,"Normal")</f>
        <v>Normal</v>
      </c>
      <c r="L916" s="4" t="str">
        <f>IF(Table156[[#This Row],[Total Amount]]&gt;=1000,"High",(IF(Table156[[#This Row],[Total Amount]]&gt;=500,"Medium","Low")))</f>
        <v>Low</v>
      </c>
      <c r="M916" s="4" t="str" cm="1">
        <f t="array" ref="M91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16" s="4" cm="1">
        <f t="array" ref="N91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13.5</v>
      </c>
      <c r="O916" s="4">
        <f>Table156[[#This Row],[Total Amount]]-Table156[[#This Row],[Discount Amount]]</f>
        <v>76.5</v>
      </c>
      <c r="P916" s="4" t="str">
        <f>IF(Table156[[#This Row],[Total Amount]]&gt;=1000,"High","Low")</f>
        <v>Low</v>
      </c>
      <c r="Q916" s="4" t="str" cm="1">
        <f t="array" ref="Q916">_xlfn.IFS(AND(Table156[[#This Row],[Total Amount]]&gt;=1500,"Critical"),AND(Table156[[#This Row],[Total Amount]]&gt;=1000,"High"),TRUE,"Normal")</f>
        <v>Normal</v>
      </c>
      <c r="R916" s="4">
        <f>COUNTIF(Table156[Gender],"Male")</f>
        <v>490</v>
      </c>
    </row>
    <row r="917" spans="1:18" x14ac:dyDescent="0.35">
      <c r="A917" s="4">
        <v>916</v>
      </c>
      <c r="B917" s="5">
        <v>45284</v>
      </c>
      <c r="C917" s="4" t="s">
        <v>929</v>
      </c>
      <c r="D917" s="4" t="s">
        <v>13</v>
      </c>
      <c r="E917" s="4">
        <v>32</v>
      </c>
      <c r="F917" s="4" t="str">
        <f>IF(Table156[[#This Row],[Age]]&lt;=19,"Teenager",IF(Table156[[#This Row],[Age]]&lt;=40,"Median","Old"))</f>
        <v>Median</v>
      </c>
      <c r="G917" s="4" t="s">
        <v>16</v>
      </c>
      <c r="H917" s="4">
        <v>1</v>
      </c>
      <c r="I917" s="4">
        <v>50</v>
      </c>
      <c r="J917" s="4">
        <v>50</v>
      </c>
      <c r="K917" s="4" t="str" cm="1">
        <f t="array" ref="K917">_xlfn.IFS(AND(Table156[[#This Row],[Total Amount]]&gt;=1500),"Critical",AND(Table156[[#This Row],[Total Amount]]&gt;=1000),"High",TRUE,"Normal")</f>
        <v>Normal</v>
      </c>
      <c r="L917" s="4" t="str">
        <f>IF(Table156[[#This Row],[Total Amount]]&gt;=1000,"High",(IF(Table156[[#This Row],[Total Amount]]&gt;=500,"Medium","Low")))</f>
        <v>Low</v>
      </c>
      <c r="M917" s="4" t="str" cm="1">
        <f t="array" ref="M91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17" s="4" cm="1">
        <f t="array" ref="N91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917" s="4">
        <f>Table156[[#This Row],[Total Amount]]-Table156[[#This Row],[Discount Amount]]</f>
        <v>42.5</v>
      </c>
      <c r="P917" s="4" t="str">
        <f>IF(Table156[[#This Row],[Total Amount]]&gt;=1000,"High","Low")</f>
        <v>Low</v>
      </c>
      <c r="Q917" s="4" t="str" cm="1">
        <f t="array" ref="Q917">_xlfn.IFS(AND(Table156[[#This Row],[Total Amount]]&gt;=1500,"Critical"),AND(Table156[[#This Row],[Total Amount]]&gt;=1000,"High"),TRUE,"Normal")</f>
        <v>Normal</v>
      </c>
      <c r="R917" s="4">
        <f>COUNTIF(Table156[Gender],"Male")</f>
        <v>490</v>
      </c>
    </row>
    <row r="918" spans="1:18" x14ac:dyDescent="0.35">
      <c r="A918" s="4">
        <v>917</v>
      </c>
      <c r="B918" s="5">
        <v>44991</v>
      </c>
      <c r="C918" s="4" t="s">
        <v>930</v>
      </c>
      <c r="D918" s="4" t="s">
        <v>13</v>
      </c>
      <c r="E918" s="4">
        <v>57</v>
      </c>
      <c r="F918" s="4" t="str">
        <f>IF(Table156[[#This Row],[Age]]&lt;=19,"Teenager",IF(Table156[[#This Row],[Age]]&lt;=40,"Median","Old"))</f>
        <v>Old</v>
      </c>
      <c r="G918" s="4" t="s">
        <v>16</v>
      </c>
      <c r="H918" s="4">
        <v>4</v>
      </c>
      <c r="I918" s="4">
        <v>50</v>
      </c>
      <c r="J918" s="4">
        <v>200</v>
      </c>
      <c r="K918" s="4" t="str" cm="1">
        <f t="array" ref="K918">_xlfn.IFS(AND(Table156[[#This Row],[Total Amount]]&gt;=1500),"Critical",AND(Table156[[#This Row],[Total Amount]]&gt;=1000),"High",TRUE,"Normal")</f>
        <v>Normal</v>
      </c>
      <c r="L918" s="4" t="str">
        <f>IF(Table156[[#This Row],[Total Amount]]&gt;=1000,"High",(IF(Table156[[#This Row],[Total Amount]]&gt;=500,"Medium","Low")))</f>
        <v>Low</v>
      </c>
      <c r="M918" s="4" t="str" cm="1">
        <f t="array" ref="M91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18" s="4" cm="1">
        <f t="array" ref="N91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918" s="4">
        <f>Table156[[#This Row],[Total Amount]]-Table156[[#This Row],[Discount Amount]]</f>
        <v>160</v>
      </c>
      <c r="P918" s="4" t="str">
        <f>IF(Table156[[#This Row],[Total Amount]]&gt;=1000,"High","Low")</f>
        <v>Low</v>
      </c>
      <c r="Q918" s="4" t="str" cm="1">
        <f t="array" ref="Q918">_xlfn.IFS(AND(Table156[[#This Row],[Total Amount]]&gt;=1500,"Critical"),AND(Table156[[#This Row],[Total Amount]]&gt;=1000,"High"),TRUE,"Normal")</f>
        <v>Normal</v>
      </c>
      <c r="R918" s="4">
        <f>COUNTIF(Table156[Gender],"Male")</f>
        <v>490</v>
      </c>
    </row>
    <row r="919" spans="1:18" x14ac:dyDescent="0.35">
      <c r="A919" s="4">
        <v>918</v>
      </c>
      <c r="B919" s="5">
        <v>45253</v>
      </c>
      <c r="C919" s="4" t="s">
        <v>931</v>
      </c>
      <c r="D919" s="4" t="s">
        <v>13</v>
      </c>
      <c r="E919" s="4">
        <v>42</v>
      </c>
      <c r="F919" s="4" t="str">
        <f>IF(Table156[[#This Row],[Age]]&lt;=19,"Teenager",IF(Table156[[#This Row],[Age]]&lt;=40,"Median","Old"))</f>
        <v>Old</v>
      </c>
      <c r="G919" s="4" t="s">
        <v>16</v>
      </c>
      <c r="H919" s="4">
        <v>3</v>
      </c>
      <c r="I919" s="4">
        <v>30</v>
      </c>
      <c r="J919" s="4">
        <v>90</v>
      </c>
      <c r="K919" s="4" t="str" cm="1">
        <f t="array" ref="K919">_xlfn.IFS(AND(Table156[[#This Row],[Total Amount]]&gt;=1500),"Critical",AND(Table156[[#This Row],[Total Amount]]&gt;=1000),"High",TRUE,"Normal")</f>
        <v>Normal</v>
      </c>
      <c r="L919" s="4" t="str">
        <f>IF(Table156[[#This Row],[Total Amount]]&gt;=1000,"High",(IF(Table156[[#This Row],[Total Amount]]&gt;=500,"Medium","Low")))</f>
        <v>Low</v>
      </c>
      <c r="M919" s="4" t="str" cm="1">
        <f t="array" ref="M91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19" s="4" cm="1">
        <f t="array" ref="N91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919" s="4">
        <f>Table156[[#This Row],[Total Amount]]-Table156[[#This Row],[Discount Amount]]</f>
        <v>72</v>
      </c>
      <c r="P919" s="4" t="str">
        <f>IF(Table156[[#This Row],[Total Amount]]&gt;=1000,"High","Low")</f>
        <v>Low</v>
      </c>
      <c r="Q919" s="4" t="str" cm="1">
        <f t="array" ref="Q919">_xlfn.IFS(AND(Table156[[#This Row],[Total Amount]]&gt;=1500,"Critical"),AND(Table156[[#This Row],[Total Amount]]&gt;=1000,"High"),TRUE,"Normal")</f>
        <v>Normal</v>
      </c>
      <c r="R919" s="4">
        <f>COUNTIF(Table156[Gender],"Male")</f>
        <v>490</v>
      </c>
    </row>
    <row r="920" spans="1:18" x14ac:dyDescent="0.35">
      <c r="A920" s="4">
        <v>919</v>
      </c>
      <c r="B920" s="5">
        <v>45178</v>
      </c>
      <c r="C920" s="4" t="s">
        <v>932</v>
      </c>
      <c r="D920" s="4" t="s">
        <v>13</v>
      </c>
      <c r="E920" s="4">
        <v>22</v>
      </c>
      <c r="F920" s="4" t="str">
        <f>IF(Table156[[#This Row],[Age]]&lt;=19,"Teenager",IF(Table156[[#This Row],[Age]]&lt;=40,"Median","Old"))</f>
        <v>Median</v>
      </c>
      <c r="G920" s="4" t="s">
        <v>11</v>
      </c>
      <c r="H920" s="4">
        <v>2</v>
      </c>
      <c r="I920" s="4">
        <v>25</v>
      </c>
      <c r="J920" s="4">
        <v>50</v>
      </c>
      <c r="K920" s="4" t="str" cm="1">
        <f t="array" ref="K920">_xlfn.IFS(AND(Table156[[#This Row],[Total Amount]]&gt;=1500),"Critical",AND(Table156[[#This Row],[Total Amount]]&gt;=1000),"High",TRUE,"Normal")</f>
        <v>Normal</v>
      </c>
      <c r="L920" s="4" t="str">
        <f>IF(Table156[[#This Row],[Total Amount]]&gt;=1000,"High",(IF(Table156[[#This Row],[Total Amount]]&gt;=500,"Medium","Low")))</f>
        <v>Low</v>
      </c>
      <c r="M920" s="4" t="str" cm="1">
        <f t="array" ref="M92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920" s="4" cm="1">
        <f t="array" ref="N92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920" s="4">
        <f>Table156[[#This Row],[Total Amount]]-Table156[[#This Row],[Discount Amount]]</f>
        <v>50</v>
      </c>
      <c r="P920" s="4" t="str">
        <f>IF(Table156[[#This Row],[Total Amount]]&gt;=1000,"High","Low")</f>
        <v>Low</v>
      </c>
      <c r="Q920" s="4" t="str" cm="1">
        <f t="array" ref="Q920">_xlfn.IFS(AND(Table156[[#This Row],[Total Amount]]&gt;=1500,"Critical"),AND(Table156[[#This Row],[Total Amount]]&gt;=1000,"High"),TRUE,"Normal")</f>
        <v>Normal</v>
      </c>
      <c r="R920" s="4">
        <f>COUNTIF(Table156[Gender],"Male")</f>
        <v>490</v>
      </c>
    </row>
    <row r="921" spans="1:18" x14ac:dyDescent="0.35">
      <c r="A921" s="4">
        <v>920</v>
      </c>
      <c r="B921" s="5">
        <v>44979</v>
      </c>
      <c r="C921" s="4" t="s">
        <v>933</v>
      </c>
      <c r="D921" s="4" t="s">
        <v>13</v>
      </c>
      <c r="E921" s="4">
        <v>28</v>
      </c>
      <c r="F921" s="4" t="str">
        <f>IF(Table156[[#This Row],[Age]]&lt;=19,"Teenager",IF(Table156[[#This Row],[Age]]&lt;=40,"Median","Old"))</f>
        <v>Median</v>
      </c>
      <c r="G921" s="4" t="s">
        <v>11</v>
      </c>
      <c r="H921" s="4">
        <v>3</v>
      </c>
      <c r="I921" s="4">
        <v>25</v>
      </c>
      <c r="J921" s="4">
        <v>75</v>
      </c>
      <c r="K921" s="4" t="str" cm="1">
        <f t="array" ref="K921">_xlfn.IFS(AND(Table156[[#This Row],[Total Amount]]&gt;=1500),"Critical",AND(Table156[[#This Row],[Total Amount]]&gt;=1000),"High",TRUE,"Normal")</f>
        <v>Normal</v>
      </c>
      <c r="L921" s="4" t="str">
        <f>IF(Table156[[#This Row],[Total Amount]]&gt;=1000,"High",(IF(Table156[[#This Row],[Total Amount]]&gt;=500,"Medium","Low")))</f>
        <v>Low</v>
      </c>
      <c r="M921" s="4" t="str" cm="1">
        <f t="array" ref="M92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21" s="4" cm="1">
        <f t="array" ref="N92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11.25</v>
      </c>
      <c r="O921" s="4">
        <f>Table156[[#This Row],[Total Amount]]-Table156[[#This Row],[Discount Amount]]</f>
        <v>63.75</v>
      </c>
      <c r="P921" s="4" t="str">
        <f>IF(Table156[[#This Row],[Total Amount]]&gt;=1000,"High","Low")</f>
        <v>Low</v>
      </c>
      <c r="Q921" s="4" t="str" cm="1">
        <f t="array" ref="Q921">_xlfn.IFS(AND(Table156[[#This Row],[Total Amount]]&gt;=1500,"Critical"),AND(Table156[[#This Row],[Total Amount]]&gt;=1000,"High"),TRUE,"Normal")</f>
        <v>Normal</v>
      </c>
      <c r="R921" s="4">
        <f>COUNTIF(Table156[Gender],"Male")</f>
        <v>490</v>
      </c>
    </row>
    <row r="922" spans="1:18" x14ac:dyDescent="0.35">
      <c r="A922" s="4">
        <v>921</v>
      </c>
      <c r="B922" s="5">
        <v>44933</v>
      </c>
      <c r="C922" s="4" t="s">
        <v>934</v>
      </c>
      <c r="D922" s="4" t="s">
        <v>10</v>
      </c>
      <c r="E922" s="4">
        <v>51</v>
      </c>
      <c r="F922" s="4" t="str">
        <f>IF(Table156[[#This Row],[Age]]&lt;=19,"Teenager",IF(Table156[[#This Row],[Age]]&lt;=40,"Median","Old"))</f>
        <v>Old</v>
      </c>
      <c r="G922" s="4" t="s">
        <v>16</v>
      </c>
      <c r="H922" s="4">
        <v>3</v>
      </c>
      <c r="I922" s="4">
        <v>25</v>
      </c>
      <c r="J922" s="4">
        <v>75</v>
      </c>
      <c r="K922" s="4" t="str" cm="1">
        <f t="array" ref="K922">_xlfn.IFS(AND(Table156[[#This Row],[Total Amount]]&gt;=1500),"Critical",AND(Table156[[#This Row],[Total Amount]]&gt;=1000),"High",TRUE,"Normal")</f>
        <v>Normal</v>
      </c>
      <c r="L922" s="4" t="str">
        <f>IF(Table156[[#This Row],[Total Amount]]&gt;=1000,"High",(IF(Table156[[#This Row],[Total Amount]]&gt;=500,"Medium","Low")))</f>
        <v>Low</v>
      </c>
      <c r="M922" s="4" t="str" cm="1">
        <f t="array" ref="M92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22" s="4" cm="1">
        <f t="array" ref="N92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922" s="4">
        <f>Table156[[#This Row],[Total Amount]]-Table156[[#This Row],[Discount Amount]]</f>
        <v>67.5</v>
      </c>
      <c r="P922" s="4" t="str">
        <f>IF(Table156[[#This Row],[Total Amount]]&gt;=1000,"High","Low")</f>
        <v>Low</v>
      </c>
      <c r="Q922" s="4" t="str" cm="1">
        <f t="array" ref="Q922">_xlfn.IFS(AND(Table156[[#This Row],[Total Amount]]&gt;=1500,"Critical"),AND(Table156[[#This Row],[Total Amount]]&gt;=1000,"High"),TRUE,"Normal")</f>
        <v>Normal</v>
      </c>
      <c r="R922" s="4">
        <f>COUNTIF(Table156[Gender],"Male")</f>
        <v>490</v>
      </c>
    </row>
    <row r="923" spans="1:18" x14ac:dyDescent="0.35">
      <c r="A923" s="4">
        <v>922</v>
      </c>
      <c r="B923" s="5">
        <v>45220</v>
      </c>
      <c r="C923" s="4" t="s">
        <v>935</v>
      </c>
      <c r="D923" s="4" t="s">
        <v>10</v>
      </c>
      <c r="E923" s="4">
        <v>41</v>
      </c>
      <c r="F923" s="4" t="str">
        <f>IF(Table156[[#This Row],[Age]]&lt;=19,"Teenager",IF(Table156[[#This Row],[Age]]&lt;=40,"Median","Old"))</f>
        <v>Old</v>
      </c>
      <c r="G923" s="4" t="s">
        <v>16</v>
      </c>
      <c r="H923" s="4">
        <v>1</v>
      </c>
      <c r="I923" s="4">
        <v>50</v>
      </c>
      <c r="J923" s="4">
        <v>50</v>
      </c>
      <c r="K923" s="4" t="str" cm="1">
        <f t="array" ref="K923">_xlfn.IFS(AND(Table156[[#This Row],[Total Amount]]&gt;=1500),"Critical",AND(Table156[[#This Row],[Total Amount]]&gt;=1000),"High",TRUE,"Normal")</f>
        <v>Normal</v>
      </c>
      <c r="L923" s="4" t="str">
        <f>IF(Table156[[#This Row],[Total Amount]]&gt;=1000,"High",(IF(Table156[[#This Row],[Total Amount]]&gt;=500,"Medium","Low")))</f>
        <v>Low</v>
      </c>
      <c r="M923" s="4" t="str" cm="1">
        <f t="array" ref="M92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23" s="4" cm="1">
        <f t="array" ref="N92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923" s="4">
        <f>Table156[[#This Row],[Total Amount]]-Table156[[#This Row],[Discount Amount]]</f>
        <v>45</v>
      </c>
      <c r="P923" s="4" t="str">
        <f>IF(Table156[[#This Row],[Total Amount]]&gt;=1000,"High","Low")</f>
        <v>Low</v>
      </c>
      <c r="Q923" s="4" t="str" cm="1">
        <f t="array" ref="Q923">_xlfn.IFS(AND(Table156[[#This Row],[Total Amount]]&gt;=1500,"Critical"),AND(Table156[[#This Row],[Total Amount]]&gt;=1000,"High"),TRUE,"Normal")</f>
        <v>Normal</v>
      </c>
      <c r="R923" s="4">
        <f>COUNTIF(Table156[Gender],"Male")</f>
        <v>490</v>
      </c>
    </row>
    <row r="924" spans="1:18" x14ac:dyDescent="0.35">
      <c r="A924" s="4">
        <v>923</v>
      </c>
      <c r="B924" s="5">
        <v>45072</v>
      </c>
      <c r="C924" s="4" t="s">
        <v>936</v>
      </c>
      <c r="D924" s="4" t="s">
        <v>10</v>
      </c>
      <c r="E924" s="4">
        <v>32</v>
      </c>
      <c r="F924" s="4" t="str">
        <f>IF(Table156[[#This Row],[Age]]&lt;=19,"Teenager",IF(Table156[[#This Row],[Age]]&lt;=40,"Median","Old"))</f>
        <v>Median</v>
      </c>
      <c r="G924" s="4" t="s">
        <v>11</v>
      </c>
      <c r="H924" s="4">
        <v>3</v>
      </c>
      <c r="I924" s="4">
        <v>300</v>
      </c>
      <c r="J924" s="4">
        <v>900</v>
      </c>
      <c r="K924" s="4" t="str" cm="1">
        <f t="array" ref="K924">_xlfn.IFS(AND(Table156[[#This Row],[Total Amount]]&gt;=1500),"Critical",AND(Table156[[#This Row],[Total Amount]]&gt;=1000),"High",TRUE,"Normal")</f>
        <v>Normal</v>
      </c>
      <c r="L924" s="4" t="str">
        <f>IF(Table156[[#This Row],[Total Amount]]&gt;=1000,"High",(IF(Table156[[#This Row],[Total Amount]]&gt;=500,"Medium","Low")))</f>
        <v>Medium</v>
      </c>
      <c r="M924" s="4" t="str" cm="1">
        <f t="array" ref="M92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24" s="4" cm="1">
        <f t="array" ref="N92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135</v>
      </c>
      <c r="O924" s="4">
        <f>Table156[[#This Row],[Total Amount]]-Table156[[#This Row],[Discount Amount]]</f>
        <v>765</v>
      </c>
      <c r="P924" s="4" t="str">
        <f>IF(Table156[[#This Row],[Total Amount]]&gt;=1000,"High","Low")</f>
        <v>Low</v>
      </c>
      <c r="Q924" s="4" t="str" cm="1">
        <f t="array" ref="Q924">_xlfn.IFS(AND(Table156[[#This Row],[Total Amount]]&gt;=1500,"Critical"),AND(Table156[[#This Row],[Total Amount]]&gt;=1000,"High"),TRUE,"Normal")</f>
        <v>Normal</v>
      </c>
      <c r="R924" s="4">
        <f>COUNTIF(Table156[Gender],"Male")</f>
        <v>490</v>
      </c>
    </row>
    <row r="925" spans="1:18" x14ac:dyDescent="0.35">
      <c r="A925" s="4">
        <v>924</v>
      </c>
      <c r="B925" s="5">
        <v>45167</v>
      </c>
      <c r="C925" s="4" t="s">
        <v>937</v>
      </c>
      <c r="D925" s="4" t="s">
        <v>10</v>
      </c>
      <c r="E925" s="4">
        <v>55</v>
      </c>
      <c r="F925" s="4" t="str">
        <f>IF(Table156[[#This Row],[Age]]&lt;=19,"Teenager",IF(Table156[[#This Row],[Age]]&lt;=40,"Median","Old"))</f>
        <v>Old</v>
      </c>
      <c r="G925" s="4" t="s">
        <v>11</v>
      </c>
      <c r="H925" s="4">
        <v>2</v>
      </c>
      <c r="I925" s="4">
        <v>50</v>
      </c>
      <c r="J925" s="4">
        <v>100</v>
      </c>
      <c r="K925" s="4" t="str" cm="1">
        <f t="array" ref="K925">_xlfn.IFS(AND(Table156[[#This Row],[Total Amount]]&gt;=1500),"Critical",AND(Table156[[#This Row],[Total Amount]]&gt;=1000),"High",TRUE,"Normal")</f>
        <v>Normal</v>
      </c>
      <c r="L925" s="4" t="str">
        <f>IF(Table156[[#This Row],[Total Amount]]&gt;=1000,"High",(IF(Table156[[#This Row],[Total Amount]]&gt;=500,"Medium","Low")))</f>
        <v>Low</v>
      </c>
      <c r="M925" s="4" t="str" cm="1">
        <f t="array" ref="M92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25" s="4" cm="1">
        <f t="array" ref="N92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925" s="4">
        <f>Table156[[#This Row],[Total Amount]]-Table156[[#This Row],[Discount Amount]]</f>
        <v>90</v>
      </c>
      <c r="P925" s="4" t="str">
        <f>IF(Table156[[#This Row],[Total Amount]]&gt;=1000,"High","Low")</f>
        <v>Low</v>
      </c>
      <c r="Q925" s="4" t="str" cm="1">
        <f t="array" ref="Q925">_xlfn.IFS(AND(Table156[[#This Row],[Total Amount]]&gt;=1500,"Critical"),AND(Table156[[#This Row],[Total Amount]]&gt;=1000,"High"),TRUE,"Normal")</f>
        <v>Normal</v>
      </c>
      <c r="R925" s="4">
        <f>COUNTIF(Table156[Gender],"Male")</f>
        <v>490</v>
      </c>
    </row>
    <row r="926" spans="1:18" x14ac:dyDescent="0.35">
      <c r="A926" s="4">
        <v>925</v>
      </c>
      <c r="B926" s="5">
        <v>45172</v>
      </c>
      <c r="C926" s="4" t="s">
        <v>938</v>
      </c>
      <c r="D926" s="4" t="s">
        <v>10</v>
      </c>
      <c r="E926" s="4">
        <v>25</v>
      </c>
      <c r="F926" s="4" t="str">
        <f>IF(Table156[[#This Row],[Age]]&lt;=19,"Teenager",IF(Table156[[#This Row],[Age]]&lt;=40,"Median","Old"))</f>
        <v>Median</v>
      </c>
      <c r="G926" s="4" t="s">
        <v>16</v>
      </c>
      <c r="H926" s="4">
        <v>1</v>
      </c>
      <c r="I926" s="4">
        <v>300</v>
      </c>
      <c r="J926" s="4">
        <v>300</v>
      </c>
      <c r="K926" s="4" t="str" cm="1">
        <f t="array" ref="K926">_xlfn.IFS(AND(Table156[[#This Row],[Total Amount]]&gt;=1500),"Critical",AND(Table156[[#This Row],[Total Amount]]&gt;=1000),"High",TRUE,"Normal")</f>
        <v>Normal</v>
      </c>
      <c r="L926" s="4" t="str">
        <f>IF(Table156[[#This Row],[Total Amount]]&gt;=1000,"High",(IF(Table156[[#This Row],[Total Amount]]&gt;=500,"Medium","Low")))</f>
        <v>Low</v>
      </c>
      <c r="M926" s="4" t="str" cm="1">
        <f t="array" ref="M92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26" s="4" cm="1">
        <f t="array" ref="N92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45</v>
      </c>
      <c r="O926" s="4">
        <f>Table156[[#This Row],[Total Amount]]-Table156[[#This Row],[Discount Amount]]</f>
        <v>255</v>
      </c>
      <c r="P926" s="4" t="str">
        <f>IF(Table156[[#This Row],[Total Amount]]&gt;=1000,"High","Low")</f>
        <v>Low</v>
      </c>
      <c r="Q926" s="4" t="str" cm="1">
        <f t="array" ref="Q926">_xlfn.IFS(AND(Table156[[#This Row],[Total Amount]]&gt;=1500,"Critical"),AND(Table156[[#This Row],[Total Amount]]&gt;=1000,"High"),TRUE,"Normal")</f>
        <v>Normal</v>
      </c>
      <c r="R926" s="4">
        <f>COUNTIF(Table156[Gender],"Male")</f>
        <v>490</v>
      </c>
    </row>
    <row r="927" spans="1:18" x14ac:dyDescent="0.35">
      <c r="A927" s="4">
        <v>926</v>
      </c>
      <c r="B927" s="5">
        <v>45152</v>
      </c>
      <c r="C927" s="4" t="s">
        <v>939</v>
      </c>
      <c r="D927" s="4" t="s">
        <v>10</v>
      </c>
      <c r="E927" s="4">
        <v>22</v>
      </c>
      <c r="F927" s="4" t="str">
        <f>IF(Table156[[#This Row],[Age]]&lt;=19,"Teenager",IF(Table156[[#This Row],[Age]]&lt;=40,"Median","Old"))</f>
        <v>Median</v>
      </c>
      <c r="G927" s="4" t="s">
        <v>16</v>
      </c>
      <c r="H927" s="4">
        <v>1</v>
      </c>
      <c r="I927" s="4">
        <v>30</v>
      </c>
      <c r="J927" s="4">
        <v>30</v>
      </c>
      <c r="K927" s="4" t="str" cm="1">
        <f t="array" ref="K927">_xlfn.IFS(AND(Table156[[#This Row],[Total Amount]]&gt;=1500),"Critical",AND(Table156[[#This Row],[Total Amount]]&gt;=1000),"High",TRUE,"Normal")</f>
        <v>Normal</v>
      </c>
      <c r="L927" s="4" t="str">
        <f>IF(Table156[[#This Row],[Total Amount]]&gt;=1000,"High",(IF(Table156[[#This Row],[Total Amount]]&gt;=500,"Medium","Low")))</f>
        <v>Low</v>
      </c>
      <c r="M927" s="4" t="str" cm="1">
        <f t="array" ref="M92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927" s="4" cm="1">
        <f t="array" ref="N92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927" s="4">
        <f>Table156[[#This Row],[Total Amount]]-Table156[[#This Row],[Discount Amount]]</f>
        <v>30</v>
      </c>
      <c r="P927" s="4" t="str">
        <f>IF(Table156[[#This Row],[Total Amount]]&gt;=1000,"High","Low")</f>
        <v>Low</v>
      </c>
      <c r="Q927" s="4" t="str" cm="1">
        <f t="array" ref="Q927">_xlfn.IFS(AND(Table156[[#This Row],[Total Amount]]&gt;=1500,"Critical"),AND(Table156[[#This Row],[Total Amount]]&gt;=1000,"High"),TRUE,"Normal")</f>
        <v>Normal</v>
      </c>
      <c r="R927" s="4">
        <f>COUNTIF(Table156[Gender],"Male")</f>
        <v>490</v>
      </c>
    </row>
    <row r="928" spans="1:18" x14ac:dyDescent="0.35">
      <c r="A928" s="4">
        <v>927</v>
      </c>
      <c r="B928" s="5">
        <v>45101</v>
      </c>
      <c r="C928" s="4" t="s">
        <v>940</v>
      </c>
      <c r="D928" s="4" t="s">
        <v>10</v>
      </c>
      <c r="E928" s="4">
        <v>43</v>
      </c>
      <c r="F928" s="4" t="str">
        <f>IF(Table156[[#This Row],[Age]]&lt;=19,"Teenager",IF(Table156[[#This Row],[Age]]&lt;=40,"Median","Old"))</f>
        <v>Old</v>
      </c>
      <c r="G928" s="4" t="s">
        <v>16</v>
      </c>
      <c r="H928" s="4">
        <v>4</v>
      </c>
      <c r="I928" s="4">
        <v>500</v>
      </c>
      <c r="J928" s="4">
        <v>2000</v>
      </c>
      <c r="K928" s="4" t="str" cm="1">
        <f t="array" ref="K928">_xlfn.IFS(AND(Table156[[#This Row],[Total Amount]]&gt;=1500),"Critical",AND(Table156[[#This Row],[Total Amount]]&gt;=1000),"High",TRUE,"Normal")</f>
        <v>Critical</v>
      </c>
      <c r="L928" s="4" t="str">
        <f>IF(Table156[[#This Row],[Total Amount]]&gt;=1000,"High",(IF(Table156[[#This Row],[Total Amount]]&gt;=500,"Medium","Low")))</f>
        <v>High</v>
      </c>
      <c r="M928" s="4" t="str" cm="1">
        <f t="array" ref="M92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28" s="4" cm="1">
        <f t="array" ref="N92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928" s="4">
        <f>Table156[[#This Row],[Total Amount]]-Table156[[#This Row],[Discount Amount]]</f>
        <v>1800</v>
      </c>
      <c r="P928" s="4" t="str">
        <f>IF(Table156[[#This Row],[Total Amount]]&gt;=1000,"High","Low")</f>
        <v>High</v>
      </c>
      <c r="Q928" s="4" t="b" cm="1">
        <f t="array" ref="Q928">_xlfn.IFS(AND(Table156[[#This Row],[Total Amount]]&gt;=1500,"Critical"),AND(Table156[[#This Row],[Total Amount]]&gt;=1000,"High"),TRUE,"Normal")</f>
        <v>1</v>
      </c>
      <c r="R928" s="4">
        <f>COUNTIF(Table156[Gender],"Male")</f>
        <v>490</v>
      </c>
    </row>
    <row r="929" spans="1:18" x14ac:dyDescent="0.35">
      <c r="A929" s="4">
        <v>928</v>
      </c>
      <c r="B929" s="5">
        <v>45021</v>
      </c>
      <c r="C929" s="4" t="s">
        <v>941</v>
      </c>
      <c r="D929" s="4" t="s">
        <v>13</v>
      </c>
      <c r="E929" s="4">
        <v>35</v>
      </c>
      <c r="F929" s="4" t="str">
        <f>IF(Table156[[#This Row],[Age]]&lt;=19,"Teenager",IF(Table156[[#This Row],[Age]]&lt;=40,"Median","Old"))</f>
        <v>Median</v>
      </c>
      <c r="G929" s="4" t="s">
        <v>14</v>
      </c>
      <c r="H929" s="4">
        <v>4</v>
      </c>
      <c r="I929" s="4">
        <v>300</v>
      </c>
      <c r="J929" s="4">
        <v>1200</v>
      </c>
      <c r="K929" s="4" t="str" cm="1">
        <f t="array" ref="K929">_xlfn.IFS(AND(Table156[[#This Row],[Total Amount]]&gt;=1500),"Critical",AND(Table156[[#This Row],[Total Amount]]&gt;=1000),"High",TRUE,"Normal")</f>
        <v>High</v>
      </c>
      <c r="L929" s="4" t="str">
        <f>IF(Table156[[#This Row],[Total Amount]]&gt;=1000,"High",(IF(Table156[[#This Row],[Total Amount]]&gt;=500,"Medium","Low")))</f>
        <v>High</v>
      </c>
      <c r="M929" s="4" t="str" cm="1">
        <f t="array" ref="M92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29" s="4" cm="1">
        <f t="array" ref="N92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929" s="4">
        <f>Table156[[#This Row],[Total Amount]]-Table156[[#This Row],[Discount Amount]]</f>
        <v>960</v>
      </c>
      <c r="P929" s="4" t="str">
        <f>IF(Table156[[#This Row],[Total Amount]]&gt;=1000,"High","Low")</f>
        <v>High</v>
      </c>
      <c r="Q929" s="4" t="str" cm="1">
        <f t="array" ref="Q929">_xlfn.IFS(AND(Table156[[#This Row],[Total Amount]]&gt;=1500,"Critical"),AND(Table156[[#This Row],[Total Amount]]&gt;=1000,"High"),TRUE,"Normal")</f>
        <v>Normal</v>
      </c>
      <c r="R929" s="4">
        <f>COUNTIF(Table156[Gender],"Male")</f>
        <v>490</v>
      </c>
    </row>
    <row r="930" spans="1:18" x14ac:dyDescent="0.35">
      <c r="A930" s="4">
        <v>929</v>
      </c>
      <c r="B930" s="5">
        <v>44953</v>
      </c>
      <c r="C930" s="4" t="s">
        <v>942</v>
      </c>
      <c r="D930" s="4" t="s">
        <v>13</v>
      </c>
      <c r="E930" s="4">
        <v>23</v>
      </c>
      <c r="F930" s="4" t="str">
        <f>IF(Table156[[#This Row],[Age]]&lt;=19,"Teenager",IF(Table156[[#This Row],[Age]]&lt;=40,"Median","Old"))</f>
        <v>Median</v>
      </c>
      <c r="G930" s="4" t="s">
        <v>11</v>
      </c>
      <c r="H930" s="4">
        <v>3</v>
      </c>
      <c r="I930" s="4">
        <v>25</v>
      </c>
      <c r="J930" s="4">
        <v>75</v>
      </c>
      <c r="K930" s="4" t="str" cm="1">
        <f t="array" ref="K930">_xlfn.IFS(AND(Table156[[#This Row],[Total Amount]]&gt;=1500),"Critical",AND(Table156[[#This Row],[Total Amount]]&gt;=1000),"High",TRUE,"Normal")</f>
        <v>Normal</v>
      </c>
      <c r="L930" s="4" t="str">
        <f>IF(Table156[[#This Row],[Total Amount]]&gt;=1000,"High",(IF(Table156[[#This Row],[Total Amount]]&gt;=500,"Medium","Low")))</f>
        <v>Low</v>
      </c>
      <c r="M930" s="4" t="str" cm="1">
        <f t="array" ref="M93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930" s="4" cm="1">
        <f t="array" ref="N93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930" s="4">
        <f>Table156[[#This Row],[Total Amount]]-Table156[[#This Row],[Discount Amount]]</f>
        <v>75</v>
      </c>
      <c r="P930" s="4" t="str">
        <f>IF(Table156[[#This Row],[Total Amount]]&gt;=1000,"High","Low")</f>
        <v>Low</v>
      </c>
      <c r="Q930" s="4" t="str" cm="1">
        <f t="array" ref="Q930">_xlfn.IFS(AND(Table156[[#This Row],[Total Amount]]&gt;=1500,"Critical"),AND(Table156[[#This Row],[Total Amount]]&gt;=1000,"High"),TRUE,"Normal")</f>
        <v>Normal</v>
      </c>
      <c r="R930" s="4">
        <f>COUNTIF(Table156[Gender],"Male")</f>
        <v>490</v>
      </c>
    </row>
    <row r="931" spans="1:18" x14ac:dyDescent="0.35">
      <c r="A931" s="4">
        <v>930</v>
      </c>
      <c r="B931" s="5">
        <v>45056</v>
      </c>
      <c r="C931" s="4" t="s">
        <v>943</v>
      </c>
      <c r="D931" s="4" t="s">
        <v>10</v>
      </c>
      <c r="E931" s="4">
        <v>54</v>
      </c>
      <c r="F931" s="4" t="str">
        <f>IF(Table156[[#This Row],[Age]]&lt;=19,"Teenager",IF(Table156[[#This Row],[Age]]&lt;=40,"Median","Old"))</f>
        <v>Old</v>
      </c>
      <c r="G931" s="4" t="s">
        <v>14</v>
      </c>
      <c r="H931" s="4">
        <v>4</v>
      </c>
      <c r="I931" s="4">
        <v>50</v>
      </c>
      <c r="J931" s="4">
        <v>200</v>
      </c>
      <c r="K931" s="4" t="str" cm="1">
        <f t="array" ref="K931">_xlfn.IFS(AND(Table156[[#This Row],[Total Amount]]&gt;=1500),"Critical",AND(Table156[[#This Row],[Total Amount]]&gt;=1000),"High",TRUE,"Normal")</f>
        <v>Normal</v>
      </c>
      <c r="L931" s="4" t="str">
        <f>IF(Table156[[#This Row],[Total Amount]]&gt;=1000,"High",(IF(Table156[[#This Row],[Total Amount]]&gt;=500,"Medium","Low")))</f>
        <v>Low</v>
      </c>
      <c r="M931" s="4" t="str" cm="1">
        <f t="array" ref="M93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31" s="4" cm="1">
        <f t="array" ref="N93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931" s="4">
        <f>Table156[[#This Row],[Total Amount]]-Table156[[#This Row],[Discount Amount]]</f>
        <v>180</v>
      </c>
      <c r="P931" s="4" t="str">
        <f>IF(Table156[[#This Row],[Total Amount]]&gt;=1000,"High","Low")</f>
        <v>Low</v>
      </c>
      <c r="Q931" s="4" t="str" cm="1">
        <f t="array" ref="Q931">_xlfn.IFS(AND(Table156[[#This Row],[Total Amount]]&gt;=1500,"Critical"),AND(Table156[[#This Row],[Total Amount]]&gt;=1000,"High"),TRUE,"Normal")</f>
        <v>Normal</v>
      </c>
      <c r="R931" s="4">
        <f>COUNTIF(Table156[Gender],"Male")</f>
        <v>490</v>
      </c>
    </row>
    <row r="932" spans="1:18" x14ac:dyDescent="0.35">
      <c r="A932" s="4">
        <v>931</v>
      </c>
      <c r="B932" s="5">
        <v>45171</v>
      </c>
      <c r="C932" s="4" t="s">
        <v>944</v>
      </c>
      <c r="D932" s="4" t="s">
        <v>10</v>
      </c>
      <c r="E932" s="4">
        <v>30</v>
      </c>
      <c r="F932" s="4" t="str">
        <f>IF(Table156[[#This Row],[Age]]&lt;=19,"Teenager",IF(Table156[[#This Row],[Age]]&lt;=40,"Median","Old"))</f>
        <v>Median</v>
      </c>
      <c r="G932" s="4" t="s">
        <v>11</v>
      </c>
      <c r="H932" s="4">
        <v>4</v>
      </c>
      <c r="I932" s="4">
        <v>30</v>
      </c>
      <c r="J932" s="4">
        <v>120</v>
      </c>
      <c r="K932" s="4" t="str" cm="1">
        <f t="array" ref="K932">_xlfn.IFS(AND(Table156[[#This Row],[Total Amount]]&gt;=1500),"Critical",AND(Table156[[#This Row],[Total Amount]]&gt;=1000),"High",TRUE,"Normal")</f>
        <v>Normal</v>
      </c>
      <c r="L932" s="4" t="str">
        <f>IF(Table156[[#This Row],[Total Amount]]&gt;=1000,"High",(IF(Table156[[#This Row],[Total Amount]]&gt;=500,"Medium","Low")))</f>
        <v>Low</v>
      </c>
      <c r="M932" s="4" t="str" cm="1">
        <f t="array" ref="M93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32" s="4" cm="1">
        <f t="array" ref="N93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932" s="4">
        <f>Table156[[#This Row],[Total Amount]]-Table156[[#This Row],[Discount Amount]]</f>
        <v>102</v>
      </c>
      <c r="P932" s="4" t="str">
        <f>IF(Table156[[#This Row],[Total Amount]]&gt;=1000,"High","Low")</f>
        <v>Low</v>
      </c>
      <c r="Q932" s="4" t="str" cm="1">
        <f t="array" ref="Q932">_xlfn.IFS(AND(Table156[[#This Row],[Total Amount]]&gt;=1500,"Critical"),AND(Table156[[#This Row],[Total Amount]]&gt;=1000,"High"),TRUE,"Normal")</f>
        <v>Normal</v>
      </c>
      <c r="R932" s="4">
        <f>COUNTIF(Table156[Gender],"Male")</f>
        <v>490</v>
      </c>
    </row>
    <row r="933" spans="1:18" x14ac:dyDescent="0.35">
      <c r="A933" s="4">
        <v>932</v>
      </c>
      <c r="B933" s="5">
        <v>44985</v>
      </c>
      <c r="C933" s="4" t="s">
        <v>945</v>
      </c>
      <c r="D933" s="4" t="s">
        <v>13</v>
      </c>
      <c r="E933" s="4">
        <v>45</v>
      </c>
      <c r="F933" s="4" t="str">
        <f>IF(Table156[[#This Row],[Age]]&lt;=19,"Teenager",IF(Table156[[#This Row],[Age]]&lt;=40,"Median","Old"))</f>
        <v>Old</v>
      </c>
      <c r="G933" s="4" t="s">
        <v>11</v>
      </c>
      <c r="H933" s="4">
        <v>4</v>
      </c>
      <c r="I933" s="4">
        <v>25</v>
      </c>
      <c r="J933" s="4">
        <v>100</v>
      </c>
      <c r="K933" s="4" t="str" cm="1">
        <f t="array" ref="K933">_xlfn.IFS(AND(Table156[[#This Row],[Total Amount]]&gt;=1500),"Critical",AND(Table156[[#This Row],[Total Amount]]&gt;=1000),"High",TRUE,"Normal")</f>
        <v>Normal</v>
      </c>
      <c r="L933" s="4" t="str">
        <f>IF(Table156[[#This Row],[Total Amount]]&gt;=1000,"High",(IF(Table156[[#This Row],[Total Amount]]&gt;=500,"Medium","Low")))</f>
        <v>Low</v>
      </c>
      <c r="M933" s="4" t="str" cm="1">
        <f t="array" ref="M93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33" s="4" cm="1">
        <f t="array" ref="N93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933" s="4">
        <f>Table156[[#This Row],[Total Amount]]-Table156[[#This Row],[Discount Amount]]</f>
        <v>80</v>
      </c>
      <c r="P933" s="4" t="str">
        <f>IF(Table156[[#This Row],[Total Amount]]&gt;=1000,"High","Low")</f>
        <v>Low</v>
      </c>
      <c r="Q933" s="4" t="str" cm="1">
        <f t="array" ref="Q933">_xlfn.IFS(AND(Table156[[#This Row],[Total Amount]]&gt;=1500,"Critical"),AND(Table156[[#This Row],[Total Amount]]&gt;=1000,"High"),TRUE,"Normal")</f>
        <v>Normal</v>
      </c>
      <c r="R933" s="4">
        <f>COUNTIF(Table156[Gender],"Male")</f>
        <v>490</v>
      </c>
    </row>
    <row r="934" spans="1:18" x14ac:dyDescent="0.35">
      <c r="A934" s="4">
        <v>933</v>
      </c>
      <c r="B934" s="5">
        <v>44960</v>
      </c>
      <c r="C934" s="4" t="s">
        <v>946</v>
      </c>
      <c r="D934" s="4" t="s">
        <v>10</v>
      </c>
      <c r="E934" s="4">
        <v>22</v>
      </c>
      <c r="F934" s="4" t="str">
        <f>IF(Table156[[#This Row],[Age]]&lt;=19,"Teenager",IF(Table156[[#This Row],[Age]]&lt;=40,"Median","Old"))</f>
        <v>Median</v>
      </c>
      <c r="G934" s="4" t="s">
        <v>11</v>
      </c>
      <c r="H934" s="4">
        <v>1</v>
      </c>
      <c r="I934" s="4">
        <v>30</v>
      </c>
      <c r="J934" s="4">
        <v>30</v>
      </c>
      <c r="K934" s="4" t="str" cm="1">
        <f t="array" ref="K934">_xlfn.IFS(AND(Table156[[#This Row],[Total Amount]]&gt;=1500),"Critical",AND(Table156[[#This Row],[Total Amount]]&gt;=1000),"High",TRUE,"Normal")</f>
        <v>Normal</v>
      </c>
      <c r="L934" s="4" t="str">
        <f>IF(Table156[[#This Row],[Total Amount]]&gt;=1000,"High",(IF(Table156[[#This Row],[Total Amount]]&gt;=500,"Medium","Low")))</f>
        <v>Low</v>
      </c>
      <c r="M934" s="4" t="str" cm="1">
        <f t="array" ref="M93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934" s="4" cm="1">
        <f t="array" ref="N93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934" s="4">
        <f>Table156[[#This Row],[Total Amount]]-Table156[[#This Row],[Discount Amount]]</f>
        <v>30</v>
      </c>
      <c r="P934" s="4" t="str">
        <f>IF(Table156[[#This Row],[Total Amount]]&gt;=1000,"High","Low")</f>
        <v>Low</v>
      </c>
      <c r="Q934" s="4" t="str" cm="1">
        <f t="array" ref="Q934">_xlfn.IFS(AND(Table156[[#This Row],[Total Amount]]&gt;=1500,"Critical"),AND(Table156[[#This Row],[Total Amount]]&gt;=1000,"High"),TRUE,"Normal")</f>
        <v>Normal</v>
      </c>
      <c r="R934" s="4">
        <f>COUNTIF(Table156[Gender],"Male")</f>
        <v>490</v>
      </c>
    </row>
    <row r="935" spans="1:18" x14ac:dyDescent="0.35">
      <c r="A935" s="4">
        <v>934</v>
      </c>
      <c r="B935" s="5">
        <v>45132</v>
      </c>
      <c r="C935" s="4" t="s">
        <v>947</v>
      </c>
      <c r="D935" s="4" t="s">
        <v>10</v>
      </c>
      <c r="E935" s="4">
        <v>30</v>
      </c>
      <c r="F935" s="4" t="str">
        <f>IF(Table156[[#This Row],[Age]]&lt;=19,"Teenager",IF(Table156[[#This Row],[Age]]&lt;=40,"Median","Old"))</f>
        <v>Median</v>
      </c>
      <c r="G935" s="4" t="s">
        <v>11</v>
      </c>
      <c r="H935" s="4">
        <v>1</v>
      </c>
      <c r="I935" s="4">
        <v>500</v>
      </c>
      <c r="J935" s="4">
        <v>500</v>
      </c>
      <c r="K935" s="4" t="str" cm="1">
        <f t="array" ref="K935">_xlfn.IFS(AND(Table156[[#This Row],[Total Amount]]&gt;=1500),"Critical",AND(Table156[[#This Row],[Total Amount]]&gt;=1000),"High",TRUE,"Normal")</f>
        <v>Normal</v>
      </c>
      <c r="L935" s="4" t="str">
        <f>IF(Table156[[#This Row],[Total Amount]]&gt;=1000,"High",(IF(Table156[[#This Row],[Total Amount]]&gt;=500,"Medium","Low")))</f>
        <v>Medium</v>
      </c>
      <c r="M935" s="4" t="str" cm="1">
        <f t="array" ref="M93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35" s="4" cm="1">
        <f t="array" ref="N93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75</v>
      </c>
      <c r="O935" s="4">
        <f>Table156[[#This Row],[Total Amount]]-Table156[[#This Row],[Discount Amount]]</f>
        <v>425</v>
      </c>
      <c r="P935" s="4" t="str">
        <f>IF(Table156[[#This Row],[Total Amount]]&gt;=1000,"High","Low")</f>
        <v>Low</v>
      </c>
      <c r="Q935" s="4" t="str" cm="1">
        <f t="array" ref="Q935">_xlfn.IFS(AND(Table156[[#This Row],[Total Amount]]&gt;=1500,"Critical"),AND(Table156[[#This Row],[Total Amount]]&gt;=1000,"High"),TRUE,"Normal")</f>
        <v>Normal</v>
      </c>
      <c r="R935" s="4">
        <f>COUNTIF(Table156[Gender],"Male")</f>
        <v>490</v>
      </c>
    </row>
    <row r="936" spans="1:18" x14ac:dyDescent="0.35">
      <c r="A936" s="4">
        <v>935</v>
      </c>
      <c r="B936" s="5">
        <v>45178</v>
      </c>
      <c r="C936" s="4" t="s">
        <v>948</v>
      </c>
      <c r="D936" s="4" t="s">
        <v>13</v>
      </c>
      <c r="E936" s="4">
        <v>34</v>
      </c>
      <c r="F936" s="4" t="str">
        <f>IF(Table156[[#This Row],[Age]]&lt;=19,"Teenager",IF(Table156[[#This Row],[Age]]&lt;=40,"Median","Old"))</f>
        <v>Median</v>
      </c>
      <c r="G936" s="4" t="s">
        <v>11</v>
      </c>
      <c r="H936" s="4">
        <v>1</v>
      </c>
      <c r="I936" s="4">
        <v>50</v>
      </c>
      <c r="J936" s="4">
        <v>50</v>
      </c>
      <c r="K936" s="4" t="str" cm="1">
        <f t="array" ref="K936">_xlfn.IFS(AND(Table156[[#This Row],[Total Amount]]&gt;=1500),"Critical",AND(Table156[[#This Row],[Total Amount]]&gt;=1000),"High",TRUE,"Normal")</f>
        <v>Normal</v>
      </c>
      <c r="L936" s="4" t="str">
        <f>IF(Table156[[#This Row],[Total Amount]]&gt;=1000,"High",(IF(Table156[[#This Row],[Total Amount]]&gt;=500,"Medium","Low")))</f>
        <v>Low</v>
      </c>
      <c r="M936" s="4" t="str" cm="1">
        <f t="array" ref="M93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36" s="4" cm="1">
        <f t="array" ref="N93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936" s="4">
        <f>Table156[[#This Row],[Total Amount]]-Table156[[#This Row],[Discount Amount]]</f>
        <v>42.5</v>
      </c>
      <c r="P936" s="4" t="str">
        <f>IF(Table156[[#This Row],[Total Amount]]&gt;=1000,"High","Low")</f>
        <v>Low</v>
      </c>
      <c r="Q936" s="4" t="str" cm="1">
        <f t="array" ref="Q936">_xlfn.IFS(AND(Table156[[#This Row],[Total Amount]]&gt;=1500,"Critical"),AND(Table156[[#This Row],[Total Amount]]&gt;=1000,"High"),TRUE,"Normal")</f>
        <v>Normal</v>
      </c>
      <c r="R936" s="4">
        <f>COUNTIF(Table156[Gender],"Male")</f>
        <v>490</v>
      </c>
    </row>
    <row r="937" spans="1:18" x14ac:dyDescent="0.35">
      <c r="A937" s="4">
        <v>936</v>
      </c>
      <c r="B937" s="5">
        <v>44964</v>
      </c>
      <c r="C937" s="4" t="s">
        <v>949</v>
      </c>
      <c r="D937" s="4" t="s">
        <v>10</v>
      </c>
      <c r="E937" s="4">
        <v>57</v>
      </c>
      <c r="F937" s="4" t="str">
        <f>IF(Table156[[#This Row],[Age]]&lt;=19,"Teenager",IF(Table156[[#This Row],[Age]]&lt;=40,"Median","Old"))</f>
        <v>Old</v>
      </c>
      <c r="G937" s="4" t="s">
        <v>11</v>
      </c>
      <c r="H937" s="4">
        <v>4</v>
      </c>
      <c r="I937" s="4">
        <v>50</v>
      </c>
      <c r="J937" s="4">
        <v>200</v>
      </c>
      <c r="K937" s="4" t="str" cm="1">
        <f t="array" ref="K937">_xlfn.IFS(AND(Table156[[#This Row],[Total Amount]]&gt;=1500),"Critical",AND(Table156[[#This Row],[Total Amount]]&gt;=1000),"High",TRUE,"Normal")</f>
        <v>Normal</v>
      </c>
      <c r="L937" s="4" t="str">
        <f>IF(Table156[[#This Row],[Total Amount]]&gt;=1000,"High",(IF(Table156[[#This Row],[Total Amount]]&gt;=500,"Medium","Low")))</f>
        <v>Low</v>
      </c>
      <c r="M937" s="4" t="str" cm="1">
        <f t="array" ref="M93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37" s="4" cm="1">
        <f t="array" ref="N93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937" s="4">
        <f>Table156[[#This Row],[Total Amount]]-Table156[[#This Row],[Discount Amount]]</f>
        <v>180</v>
      </c>
      <c r="P937" s="4" t="str">
        <f>IF(Table156[[#This Row],[Total Amount]]&gt;=1000,"High","Low")</f>
        <v>Low</v>
      </c>
      <c r="Q937" s="4" t="str" cm="1">
        <f t="array" ref="Q937">_xlfn.IFS(AND(Table156[[#This Row],[Total Amount]]&gt;=1500,"Critical"),AND(Table156[[#This Row],[Total Amount]]&gt;=1000,"High"),TRUE,"Normal")</f>
        <v>Normal</v>
      </c>
      <c r="R937" s="4">
        <f>COUNTIF(Table156[Gender],"Male")</f>
        <v>490</v>
      </c>
    </row>
    <row r="938" spans="1:18" x14ac:dyDescent="0.35">
      <c r="A938" s="4">
        <v>937</v>
      </c>
      <c r="B938" s="5">
        <v>45222</v>
      </c>
      <c r="C938" s="4" t="s">
        <v>950</v>
      </c>
      <c r="D938" s="4" t="s">
        <v>13</v>
      </c>
      <c r="E938" s="4">
        <v>62</v>
      </c>
      <c r="F938" s="4" t="str">
        <f>IF(Table156[[#This Row],[Age]]&lt;=19,"Teenager",IF(Table156[[#This Row],[Age]]&lt;=40,"Median","Old"))</f>
        <v>Old</v>
      </c>
      <c r="G938" s="4" t="s">
        <v>11</v>
      </c>
      <c r="H938" s="4">
        <v>1</v>
      </c>
      <c r="I938" s="4">
        <v>500</v>
      </c>
      <c r="J938" s="4">
        <v>500</v>
      </c>
      <c r="K938" s="4" t="str" cm="1">
        <f t="array" ref="K938">_xlfn.IFS(AND(Table156[[#This Row],[Total Amount]]&gt;=1500),"Critical",AND(Table156[[#This Row],[Total Amount]]&gt;=1000),"High",TRUE,"Normal")</f>
        <v>Normal</v>
      </c>
      <c r="L938" s="4" t="str">
        <f>IF(Table156[[#This Row],[Total Amount]]&gt;=1000,"High",(IF(Table156[[#This Row],[Total Amount]]&gt;=500,"Medium","Low")))</f>
        <v>Medium</v>
      </c>
      <c r="M938" s="4" t="str" cm="1">
        <f t="array" ref="M93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38" s="4" cm="1">
        <f t="array" ref="N93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938" s="4">
        <f>Table156[[#This Row],[Total Amount]]-Table156[[#This Row],[Discount Amount]]</f>
        <v>400</v>
      </c>
      <c r="P938" s="4" t="str">
        <f>IF(Table156[[#This Row],[Total Amount]]&gt;=1000,"High","Low")</f>
        <v>Low</v>
      </c>
      <c r="Q938" s="4" t="str" cm="1">
        <f t="array" ref="Q938">_xlfn.IFS(AND(Table156[[#This Row],[Total Amount]]&gt;=1500,"Critical"),AND(Table156[[#This Row],[Total Amount]]&gt;=1000,"High"),TRUE,"Normal")</f>
        <v>Normal</v>
      </c>
      <c r="R938" s="4">
        <f>COUNTIF(Table156[Gender],"Male")</f>
        <v>490</v>
      </c>
    </row>
    <row r="939" spans="1:18" x14ac:dyDescent="0.35">
      <c r="A939" s="4">
        <v>938</v>
      </c>
      <c r="B939" s="5">
        <v>45249</v>
      </c>
      <c r="C939" s="4" t="s">
        <v>951</v>
      </c>
      <c r="D939" s="4" t="s">
        <v>10</v>
      </c>
      <c r="E939" s="4">
        <v>49</v>
      </c>
      <c r="F939" s="4" t="str">
        <f>IF(Table156[[#This Row],[Age]]&lt;=19,"Teenager",IF(Table156[[#This Row],[Age]]&lt;=40,"Median","Old"))</f>
        <v>Old</v>
      </c>
      <c r="G939" s="4" t="s">
        <v>14</v>
      </c>
      <c r="H939" s="4">
        <v>4</v>
      </c>
      <c r="I939" s="4">
        <v>50</v>
      </c>
      <c r="J939" s="4">
        <v>200</v>
      </c>
      <c r="K939" s="4" t="str" cm="1">
        <f t="array" ref="K939">_xlfn.IFS(AND(Table156[[#This Row],[Total Amount]]&gt;=1500),"Critical",AND(Table156[[#This Row],[Total Amount]]&gt;=1000),"High",TRUE,"Normal")</f>
        <v>Normal</v>
      </c>
      <c r="L939" s="4" t="str">
        <f>IF(Table156[[#This Row],[Total Amount]]&gt;=1000,"High",(IF(Table156[[#This Row],[Total Amount]]&gt;=500,"Medium","Low")))</f>
        <v>Low</v>
      </c>
      <c r="M939" s="4" t="str" cm="1">
        <f t="array" ref="M93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39" s="4" cm="1">
        <f t="array" ref="N93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939" s="4">
        <f>Table156[[#This Row],[Total Amount]]-Table156[[#This Row],[Discount Amount]]</f>
        <v>180</v>
      </c>
      <c r="P939" s="4" t="str">
        <f>IF(Table156[[#This Row],[Total Amount]]&gt;=1000,"High","Low")</f>
        <v>Low</v>
      </c>
      <c r="Q939" s="4" t="str" cm="1">
        <f t="array" ref="Q939">_xlfn.IFS(AND(Table156[[#This Row],[Total Amount]]&gt;=1500,"Critical"),AND(Table156[[#This Row],[Total Amount]]&gt;=1000,"High"),TRUE,"Normal")</f>
        <v>Normal</v>
      </c>
      <c r="R939" s="4">
        <f>COUNTIF(Table156[Gender],"Male")</f>
        <v>490</v>
      </c>
    </row>
    <row r="940" spans="1:18" x14ac:dyDescent="0.35">
      <c r="A940" s="4">
        <v>939</v>
      </c>
      <c r="B940" s="5">
        <v>45278</v>
      </c>
      <c r="C940" s="4" t="s">
        <v>952</v>
      </c>
      <c r="D940" s="4" t="s">
        <v>13</v>
      </c>
      <c r="E940" s="4">
        <v>46</v>
      </c>
      <c r="F940" s="4" t="str">
        <f>IF(Table156[[#This Row],[Age]]&lt;=19,"Teenager",IF(Table156[[#This Row],[Age]]&lt;=40,"Median","Old"))</f>
        <v>Old</v>
      </c>
      <c r="G940" s="4" t="s">
        <v>16</v>
      </c>
      <c r="H940" s="4">
        <v>1</v>
      </c>
      <c r="I940" s="4">
        <v>300</v>
      </c>
      <c r="J940" s="4">
        <v>300</v>
      </c>
      <c r="K940" s="4" t="str" cm="1">
        <f t="array" ref="K940">_xlfn.IFS(AND(Table156[[#This Row],[Total Amount]]&gt;=1500),"Critical",AND(Table156[[#This Row],[Total Amount]]&gt;=1000),"High",TRUE,"Normal")</f>
        <v>Normal</v>
      </c>
      <c r="L940" s="4" t="str">
        <f>IF(Table156[[#This Row],[Total Amount]]&gt;=1000,"High",(IF(Table156[[#This Row],[Total Amount]]&gt;=500,"Medium","Low")))</f>
        <v>Low</v>
      </c>
      <c r="M940" s="4" t="str" cm="1">
        <f t="array" ref="M94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40" s="4" cm="1">
        <f t="array" ref="N94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940" s="4">
        <f>Table156[[#This Row],[Total Amount]]-Table156[[#This Row],[Discount Amount]]</f>
        <v>240</v>
      </c>
      <c r="P940" s="4" t="str">
        <f>IF(Table156[[#This Row],[Total Amount]]&gt;=1000,"High","Low")</f>
        <v>Low</v>
      </c>
      <c r="Q940" s="4" t="str" cm="1">
        <f t="array" ref="Q940">_xlfn.IFS(AND(Table156[[#This Row],[Total Amount]]&gt;=1500,"Critical"),AND(Table156[[#This Row],[Total Amount]]&gt;=1000,"High"),TRUE,"Normal")</f>
        <v>Normal</v>
      </c>
      <c r="R940" s="4">
        <f>COUNTIF(Table156[Gender],"Male")</f>
        <v>490</v>
      </c>
    </row>
    <row r="941" spans="1:18" x14ac:dyDescent="0.35">
      <c r="A941" s="4">
        <v>940</v>
      </c>
      <c r="B941" s="5">
        <v>44954</v>
      </c>
      <c r="C941" s="4" t="s">
        <v>953</v>
      </c>
      <c r="D941" s="4" t="s">
        <v>13</v>
      </c>
      <c r="E941" s="4">
        <v>20</v>
      </c>
      <c r="F941" s="4" t="str">
        <f>IF(Table156[[#This Row],[Age]]&lt;=19,"Teenager",IF(Table156[[#This Row],[Age]]&lt;=40,"Median","Old"))</f>
        <v>Median</v>
      </c>
      <c r="G941" s="4" t="s">
        <v>16</v>
      </c>
      <c r="H941" s="4">
        <v>1</v>
      </c>
      <c r="I941" s="4">
        <v>30</v>
      </c>
      <c r="J941" s="4">
        <v>30</v>
      </c>
      <c r="K941" s="4" t="str" cm="1">
        <f t="array" ref="K941">_xlfn.IFS(AND(Table156[[#This Row],[Total Amount]]&gt;=1500),"Critical",AND(Table156[[#This Row],[Total Amount]]&gt;=1000),"High",TRUE,"Normal")</f>
        <v>Normal</v>
      </c>
      <c r="L941" s="4" t="str">
        <f>IF(Table156[[#This Row],[Total Amount]]&gt;=1000,"High",(IF(Table156[[#This Row],[Total Amount]]&gt;=500,"Medium","Low")))</f>
        <v>Low</v>
      </c>
      <c r="M941" s="4" t="str" cm="1">
        <f t="array" ref="M94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941" s="4" cm="1">
        <f t="array" ref="N94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941" s="4">
        <f>Table156[[#This Row],[Total Amount]]-Table156[[#This Row],[Discount Amount]]</f>
        <v>30</v>
      </c>
      <c r="P941" s="4" t="str">
        <f>IF(Table156[[#This Row],[Total Amount]]&gt;=1000,"High","Low")</f>
        <v>Low</v>
      </c>
      <c r="Q941" s="4" t="str" cm="1">
        <f t="array" ref="Q941">_xlfn.IFS(AND(Table156[[#This Row],[Total Amount]]&gt;=1500,"Critical"),AND(Table156[[#This Row],[Total Amount]]&gt;=1000,"High"),TRUE,"Normal")</f>
        <v>Normal</v>
      </c>
      <c r="R941" s="4">
        <f>COUNTIF(Table156[Gender],"Male")</f>
        <v>490</v>
      </c>
    </row>
    <row r="942" spans="1:18" x14ac:dyDescent="0.35">
      <c r="A942" s="4">
        <v>941</v>
      </c>
      <c r="B942" s="5">
        <v>45004</v>
      </c>
      <c r="C942" s="4" t="s">
        <v>954</v>
      </c>
      <c r="D942" s="4" t="s">
        <v>13</v>
      </c>
      <c r="E942" s="4">
        <v>57</v>
      </c>
      <c r="F942" s="4" t="str">
        <f>IF(Table156[[#This Row],[Age]]&lt;=19,"Teenager",IF(Table156[[#This Row],[Age]]&lt;=40,"Median","Old"))</f>
        <v>Old</v>
      </c>
      <c r="G942" s="4" t="s">
        <v>14</v>
      </c>
      <c r="H942" s="4">
        <v>2</v>
      </c>
      <c r="I942" s="4">
        <v>25</v>
      </c>
      <c r="J942" s="4">
        <v>50</v>
      </c>
      <c r="K942" s="4" t="str" cm="1">
        <f t="array" ref="K942">_xlfn.IFS(AND(Table156[[#This Row],[Total Amount]]&gt;=1500),"Critical",AND(Table156[[#This Row],[Total Amount]]&gt;=1000),"High",TRUE,"Normal")</f>
        <v>Normal</v>
      </c>
      <c r="L942" s="4" t="str">
        <f>IF(Table156[[#This Row],[Total Amount]]&gt;=1000,"High",(IF(Table156[[#This Row],[Total Amount]]&gt;=500,"Medium","Low")))</f>
        <v>Low</v>
      </c>
      <c r="M942" s="4" t="str" cm="1">
        <f t="array" ref="M94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42" s="4" cm="1">
        <f t="array" ref="N94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942" s="4">
        <f>Table156[[#This Row],[Total Amount]]-Table156[[#This Row],[Discount Amount]]</f>
        <v>40</v>
      </c>
      <c r="P942" s="4" t="str">
        <f>IF(Table156[[#This Row],[Total Amount]]&gt;=1000,"High","Low")</f>
        <v>Low</v>
      </c>
      <c r="Q942" s="4" t="str" cm="1">
        <f t="array" ref="Q942">_xlfn.IFS(AND(Table156[[#This Row],[Total Amount]]&gt;=1500,"Critical"),AND(Table156[[#This Row],[Total Amount]]&gt;=1000,"High"),TRUE,"Normal")</f>
        <v>Normal</v>
      </c>
      <c r="R942" s="4">
        <f>COUNTIF(Table156[Gender],"Male")</f>
        <v>490</v>
      </c>
    </row>
    <row r="943" spans="1:18" x14ac:dyDescent="0.35">
      <c r="A943" s="4">
        <v>942</v>
      </c>
      <c r="B943" s="5">
        <v>45003</v>
      </c>
      <c r="C943" s="4" t="s">
        <v>955</v>
      </c>
      <c r="D943" s="4" t="s">
        <v>10</v>
      </c>
      <c r="E943" s="4">
        <v>51</v>
      </c>
      <c r="F943" s="4" t="str">
        <f>IF(Table156[[#This Row],[Age]]&lt;=19,"Teenager",IF(Table156[[#This Row],[Age]]&lt;=40,"Median","Old"))</f>
        <v>Old</v>
      </c>
      <c r="G943" s="4" t="s">
        <v>14</v>
      </c>
      <c r="H943" s="4">
        <v>3</v>
      </c>
      <c r="I943" s="4">
        <v>500</v>
      </c>
      <c r="J943" s="4">
        <v>1500</v>
      </c>
      <c r="K943" s="4" t="str" cm="1">
        <f t="array" ref="K943">_xlfn.IFS(AND(Table156[[#This Row],[Total Amount]]&gt;=1500),"Critical",AND(Table156[[#This Row],[Total Amount]]&gt;=1000),"High",TRUE,"Normal")</f>
        <v>Critical</v>
      </c>
      <c r="L943" s="4" t="str">
        <f>IF(Table156[[#This Row],[Total Amount]]&gt;=1000,"High",(IF(Table156[[#This Row],[Total Amount]]&gt;=500,"Medium","Low")))</f>
        <v>High</v>
      </c>
      <c r="M943" s="4" t="str" cm="1">
        <f t="array" ref="M94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43" s="4" cm="1">
        <f t="array" ref="N94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943" s="4">
        <f>Table156[[#This Row],[Total Amount]]-Table156[[#This Row],[Discount Amount]]</f>
        <v>1350</v>
      </c>
      <c r="P943" s="4" t="str">
        <f>IF(Table156[[#This Row],[Total Amount]]&gt;=1000,"High","Low")</f>
        <v>High</v>
      </c>
      <c r="Q943" s="4" t="b" cm="1">
        <f t="array" ref="Q943">_xlfn.IFS(AND(Table156[[#This Row],[Total Amount]]&gt;=1500,"Critical"),AND(Table156[[#This Row],[Total Amount]]&gt;=1000,"High"),TRUE,"Normal")</f>
        <v>1</v>
      </c>
      <c r="R943" s="4">
        <f>COUNTIF(Table156[Gender],"Male")</f>
        <v>490</v>
      </c>
    </row>
    <row r="944" spans="1:18" x14ac:dyDescent="0.35">
      <c r="A944" s="4">
        <v>943</v>
      </c>
      <c r="B944" s="5">
        <v>45215</v>
      </c>
      <c r="C944" s="4" t="s">
        <v>956</v>
      </c>
      <c r="D944" s="4" t="s">
        <v>13</v>
      </c>
      <c r="E944" s="4">
        <v>57</v>
      </c>
      <c r="F944" s="4" t="str">
        <f>IF(Table156[[#This Row],[Age]]&lt;=19,"Teenager",IF(Table156[[#This Row],[Age]]&lt;=40,"Median","Old"))</f>
        <v>Old</v>
      </c>
      <c r="G944" s="4" t="s">
        <v>14</v>
      </c>
      <c r="H944" s="4">
        <v>4</v>
      </c>
      <c r="I944" s="4">
        <v>300</v>
      </c>
      <c r="J944" s="4">
        <v>1200</v>
      </c>
      <c r="K944" s="4" t="str" cm="1">
        <f t="array" ref="K944">_xlfn.IFS(AND(Table156[[#This Row],[Total Amount]]&gt;=1500),"Critical",AND(Table156[[#This Row],[Total Amount]]&gt;=1000),"High",TRUE,"Normal")</f>
        <v>High</v>
      </c>
      <c r="L944" s="4" t="str">
        <f>IF(Table156[[#This Row],[Total Amount]]&gt;=1000,"High",(IF(Table156[[#This Row],[Total Amount]]&gt;=500,"Medium","Low")))</f>
        <v>High</v>
      </c>
      <c r="M944" s="4" t="str" cm="1">
        <f t="array" ref="M94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44" s="4" cm="1">
        <f t="array" ref="N94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944" s="4">
        <f>Table156[[#This Row],[Total Amount]]-Table156[[#This Row],[Discount Amount]]</f>
        <v>960</v>
      </c>
      <c r="P944" s="4" t="str">
        <f>IF(Table156[[#This Row],[Total Amount]]&gt;=1000,"High","Low")</f>
        <v>High</v>
      </c>
      <c r="Q944" s="4" t="str" cm="1">
        <f t="array" ref="Q944">_xlfn.IFS(AND(Table156[[#This Row],[Total Amount]]&gt;=1500,"Critical"),AND(Table156[[#This Row],[Total Amount]]&gt;=1000,"High"),TRUE,"Normal")</f>
        <v>Normal</v>
      </c>
      <c r="R944" s="4">
        <f>COUNTIF(Table156[Gender],"Male")</f>
        <v>490</v>
      </c>
    </row>
    <row r="945" spans="1:18" x14ac:dyDescent="0.35">
      <c r="A945" s="4">
        <v>944</v>
      </c>
      <c r="B945" s="5">
        <v>45082</v>
      </c>
      <c r="C945" s="4" t="s">
        <v>957</v>
      </c>
      <c r="D945" s="4" t="s">
        <v>10</v>
      </c>
      <c r="E945" s="4">
        <v>44</v>
      </c>
      <c r="F945" s="4" t="str">
        <f>IF(Table156[[#This Row],[Age]]&lt;=19,"Teenager",IF(Table156[[#This Row],[Age]]&lt;=40,"Median","Old"))</f>
        <v>Old</v>
      </c>
      <c r="G945" s="4" t="s">
        <v>14</v>
      </c>
      <c r="H945" s="4">
        <v>2</v>
      </c>
      <c r="I945" s="4">
        <v>25</v>
      </c>
      <c r="J945" s="4">
        <v>50</v>
      </c>
      <c r="K945" s="4" t="str" cm="1">
        <f t="array" ref="K945">_xlfn.IFS(AND(Table156[[#This Row],[Total Amount]]&gt;=1500),"Critical",AND(Table156[[#This Row],[Total Amount]]&gt;=1000),"High",TRUE,"Normal")</f>
        <v>Normal</v>
      </c>
      <c r="L945" s="4" t="str">
        <f>IF(Table156[[#This Row],[Total Amount]]&gt;=1000,"High",(IF(Table156[[#This Row],[Total Amount]]&gt;=500,"Medium","Low")))</f>
        <v>Low</v>
      </c>
      <c r="M945" s="4" t="str" cm="1">
        <f t="array" ref="M94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45" s="4" cm="1">
        <f t="array" ref="N94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945" s="4">
        <f>Table156[[#This Row],[Total Amount]]-Table156[[#This Row],[Discount Amount]]</f>
        <v>45</v>
      </c>
      <c r="P945" s="4" t="str">
        <f>IF(Table156[[#This Row],[Total Amount]]&gt;=1000,"High","Low")</f>
        <v>Low</v>
      </c>
      <c r="Q945" s="4" t="str" cm="1">
        <f t="array" ref="Q945">_xlfn.IFS(AND(Table156[[#This Row],[Total Amount]]&gt;=1500,"Critical"),AND(Table156[[#This Row],[Total Amount]]&gt;=1000,"High"),TRUE,"Normal")</f>
        <v>Normal</v>
      </c>
      <c r="R945" s="4">
        <f>COUNTIF(Table156[Gender],"Male")</f>
        <v>490</v>
      </c>
    </row>
    <row r="946" spans="1:18" x14ac:dyDescent="0.35">
      <c r="A946" s="4">
        <v>945</v>
      </c>
      <c r="B946" s="5">
        <v>44970</v>
      </c>
      <c r="C946" s="4" t="s">
        <v>958</v>
      </c>
      <c r="D946" s="4" t="s">
        <v>10</v>
      </c>
      <c r="E946" s="4">
        <v>30</v>
      </c>
      <c r="F946" s="4" t="str">
        <f>IF(Table156[[#This Row],[Age]]&lt;=19,"Teenager",IF(Table156[[#This Row],[Age]]&lt;=40,"Median","Old"))</f>
        <v>Median</v>
      </c>
      <c r="G946" s="4" t="s">
        <v>11</v>
      </c>
      <c r="H946" s="4">
        <v>1</v>
      </c>
      <c r="I946" s="4">
        <v>25</v>
      </c>
      <c r="J946" s="4">
        <v>25</v>
      </c>
      <c r="K946" s="4" t="str" cm="1">
        <f t="array" ref="K946">_xlfn.IFS(AND(Table156[[#This Row],[Total Amount]]&gt;=1500),"Critical",AND(Table156[[#This Row],[Total Amount]]&gt;=1000),"High",TRUE,"Normal")</f>
        <v>Normal</v>
      </c>
      <c r="L946" s="4" t="str">
        <f>IF(Table156[[#This Row],[Total Amount]]&gt;=1000,"High",(IF(Table156[[#This Row],[Total Amount]]&gt;=500,"Medium","Low")))</f>
        <v>Low</v>
      </c>
      <c r="M946" s="4" t="str" cm="1">
        <f t="array" ref="M94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46" s="4" cm="1">
        <f t="array" ref="N94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3.75</v>
      </c>
      <c r="O946" s="4">
        <f>Table156[[#This Row],[Total Amount]]-Table156[[#This Row],[Discount Amount]]</f>
        <v>21.25</v>
      </c>
      <c r="P946" s="4" t="str">
        <f>IF(Table156[[#This Row],[Total Amount]]&gt;=1000,"High","Low")</f>
        <v>Low</v>
      </c>
      <c r="Q946" s="4" t="str" cm="1">
        <f t="array" ref="Q946">_xlfn.IFS(AND(Table156[[#This Row],[Total Amount]]&gt;=1500,"Critical"),AND(Table156[[#This Row],[Total Amount]]&gt;=1000,"High"),TRUE,"Normal")</f>
        <v>Normal</v>
      </c>
      <c r="R946" s="4">
        <f>COUNTIF(Table156[Gender],"Male")</f>
        <v>490</v>
      </c>
    </row>
    <row r="947" spans="1:18" x14ac:dyDescent="0.35">
      <c r="A947" s="4">
        <v>946</v>
      </c>
      <c r="B947" s="5">
        <v>45054</v>
      </c>
      <c r="C947" s="4" t="s">
        <v>959</v>
      </c>
      <c r="D947" s="4" t="s">
        <v>10</v>
      </c>
      <c r="E947" s="4">
        <v>62</v>
      </c>
      <c r="F947" s="4" t="str">
        <f>IF(Table156[[#This Row],[Age]]&lt;=19,"Teenager",IF(Table156[[#This Row],[Age]]&lt;=40,"Median","Old"))</f>
        <v>Old</v>
      </c>
      <c r="G947" s="4" t="s">
        <v>16</v>
      </c>
      <c r="H947" s="4">
        <v>4</v>
      </c>
      <c r="I947" s="4">
        <v>500</v>
      </c>
      <c r="J947" s="4">
        <v>2000</v>
      </c>
      <c r="K947" s="4" t="str" cm="1">
        <f t="array" ref="K947">_xlfn.IFS(AND(Table156[[#This Row],[Total Amount]]&gt;=1500),"Critical",AND(Table156[[#This Row],[Total Amount]]&gt;=1000),"High",TRUE,"Normal")</f>
        <v>Critical</v>
      </c>
      <c r="L947" s="4" t="str">
        <f>IF(Table156[[#This Row],[Total Amount]]&gt;=1000,"High",(IF(Table156[[#This Row],[Total Amount]]&gt;=500,"Medium","Low")))</f>
        <v>High</v>
      </c>
      <c r="M947" s="4" t="str" cm="1">
        <f t="array" ref="M94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47" s="4" cm="1">
        <f t="array" ref="N94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947" s="4">
        <f>Table156[[#This Row],[Total Amount]]-Table156[[#This Row],[Discount Amount]]</f>
        <v>1800</v>
      </c>
      <c r="P947" s="4" t="str">
        <f>IF(Table156[[#This Row],[Total Amount]]&gt;=1000,"High","Low")</f>
        <v>High</v>
      </c>
      <c r="Q947" s="4" t="b" cm="1">
        <f t="array" ref="Q947">_xlfn.IFS(AND(Table156[[#This Row],[Total Amount]]&gt;=1500,"Critical"),AND(Table156[[#This Row],[Total Amount]]&gt;=1000,"High"),TRUE,"Normal")</f>
        <v>1</v>
      </c>
      <c r="R947" s="4">
        <f>COUNTIF(Table156[Gender],"Male")</f>
        <v>490</v>
      </c>
    </row>
    <row r="948" spans="1:18" x14ac:dyDescent="0.35">
      <c r="A948" s="4">
        <v>947</v>
      </c>
      <c r="B948" s="5">
        <v>44987</v>
      </c>
      <c r="C948" s="4" t="s">
        <v>960</v>
      </c>
      <c r="D948" s="4" t="s">
        <v>10</v>
      </c>
      <c r="E948" s="4">
        <v>50</v>
      </c>
      <c r="F948" s="4" t="str">
        <f>IF(Table156[[#This Row],[Age]]&lt;=19,"Teenager",IF(Table156[[#This Row],[Age]]&lt;=40,"Median","Old"))</f>
        <v>Old</v>
      </c>
      <c r="G948" s="4" t="s">
        <v>11</v>
      </c>
      <c r="H948" s="4">
        <v>1</v>
      </c>
      <c r="I948" s="4">
        <v>300</v>
      </c>
      <c r="J948" s="4">
        <v>300</v>
      </c>
      <c r="K948" s="4" t="str" cm="1">
        <f t="array" ref="K948">_xlfn.IFS(AND(Table156[[#This Row],[Total Amount]]&gt;=1500),"Critical",AND(Table156[[#This Row],[Total Amount]]&gt;=1000),"High",TRUE,"Normal")</f>
        <v>Normal</v>
      </c>
      <c r="L948" s="4" t="str">
        <f>IF(Table156[[#This Row],[Total Amount]]&gt;=1000,"High",(IF(Table156[[#This Row],[Total Amount]]&gt;=500,"Medium","Low")))</f>
        <v>Low</v>
      </c>
      <c r="M948" s="4" t="str" cm="1">
        <f t="array" ref="M94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48" s="4" cm="1">
        <f t="array" ref="N94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948" s="4">
        <f>Table156[[#This Row],[Total Amount]]-Table156[[#This Row],[Discount Amount]]</f>
        <v>270</v>
      </c>
      <c r="P948" s="4" t="str">
        <f>IF(Table156[[#This Row],[Total Amount]]&gt;=1000,"High","Low")</f>
        <v>Low</v>
      </c>
      <c r="Q948" s="4" t="str" cm="1">
        <f t="array" ref="Q948">_xlfn.IFS(AND(Table156[[#This Row],[Total Amount]]&gt;=1500,"Critical"),AND(Table156[[#This Row],[Total Amount]]&gt;=1000,"High"),TRUE,"Normal")</f>
        <v>Normal</v>
      </c>
      <c r="R948" s="4">
        <f>COUNTIF(Table156[Gender],"Male")</f>
        <v>490</v>
      </c>
    </row>
    <row r="949" spans="1:18" x14ac:dyDescent="0.35">
      <c r="A949" s="4">
        <v>948</v>
      </c>
      <c r="B949" s="5">
        <v>45212</v>
      </c>
      <c r="C949" s="4" t="s">
        <v>961</v>
      </c>
      <c r="D949" s="4" t="s">
        <v>13</v>
      </c>
      <c r="E949" s="4">
        <v>23</v>
      </c>
      <c r="F949" s="4" t="str">
        <f>IF(Table156[[#This Row],[Age]]&lt;=19,"Teenager",IF(Table156[[#This Row],[Age]]&lt;=40,"Median","Old"))</f>
        <v>Median</v>
      </c>
      <c r="G949" s="4" t="s">
        <v>16</v>
      </c>
      <c r="H949" s="4">
        <v>3</v>
      </c>
      <c r="I949" s="4">
        <v>25</v>
      </c>
      <c r="J949" s="4">
        <v>75</v>
      </c>
      <c r="K949" s="4" t="str" cm="1">
        <f t="array" ref="K949">_xlfn.IFS(AND(Table156[[#This Row],[Total Amount]]&gt;=1500),"Critical",AND(Table156[[#This Row],[Total Amount]]&gt;=1000),"High",TRUE,"Normal")</f>
        <v>Normal</v>
      </c>
      <c r="L949" s="4" t="str">
        <f>IF(Table156[[#This Row],[Total Amount]]&gt;=1000,"High",(IF(Table156[[#This Row],[Total Amount]]&gt;=500,"Medium","Low")))</f>
        <v>Low</v>
      </c>
      <c r="M949" s="4" t="str" cm="1">
        <f t="array" ref="M94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949" s="4" cm="1">
        <f t="array" ref="N94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949" s="4">
        <f>Table156[[#This Row],[Total Amount]]-Table156[[#This Row],[Discount Amount]]</f>
        <v>75</v>
      </c>
      <c r="P949" s="4" t="str">
        <f>IF(Table156[[#This Row],[Total Amount]]&gt;=1000,"High","Low")</f>
        <v>Low</v>
      </c>
      <c r="Q949" s="4" t="str" cm="1">
        <f t="array" ref="Q949">_xlfn.IFS(AND(Table156[[#This Row],[Total Amount]]&gt;=1500,"Critical"),AND(Table156[[#This Row],[Total Amount]]&gt;=1000,"High"),TRUE,"Normal")</f>
        <v>Normal</v>
      </c>
      <c r="R949" s="4">
        <f>COUNTIF(Table156[Gender],"Male")</f>
        <v>490</v>
      </c>
    </row>
    <row r="950" spans="1:18" x14ac:dyDescent="0.35">
      <c r="A950" s="4">
        <v>949</v>
      </c>
      <c r="B950" s="5">
        <v>45140</v>
      </c>
      <c r="C950" s="4" t="s">
        <v>962</v>
      </c>
      <c r="D950" s="4" t="s">
        <v>13</v>
      </c>
      <c r="E950" s="4">
        <v>41</v>
      </c>
      <c r="F950" s="4" t="str">
        <f>IF(Table156[[#This Row],[Age]]&lt;=19,"Teenager",IF(Table156[[#This Row],[Age]]&lt;=40,"Median","Old"))</f>
        <v>Old</v>
      </c>
      <c r="G950" s="4" t="s">
        <v>16</v>
      </c>
      <c r="H950" s="4">
        <v>2</v>
      </c>
      <c r="I950" s="4">
        <v>25</v>
      </c>
      <c r="J950" s="4">
        <v>50</v>
      </c>
      <c r="K950" s="4" t="str" cm="1">
        <f t="array" ref="K950">_xlfn.IFS(AND(Table156[[#This Row],[Total Amount]]&gt;=1500),"Critical",AND(Table156[[#This Row],[Total Amount]]&gt;=1000),"High",TRUE,"Normal")</f>
        <v>Normal</v>
      </c>
      <c r="L950" s="4" t="str">
        <f>IF(Table156[[#This Row],[Total Amount]]&gt;=1000,"High",(IF(Table156[[#This Row],[Total Amount]]&gt;=500,"Medium","Low")))</f>
        <v>Low</v>
      </c>
      <c r="M950" s="4" t="str" cm="1">
        <f t="array" ref="M95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50" s="4" cm="1">
        <f t="array" ref="N95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950" s="4">
        <f>Table156[[#This Row],[Total Amount]]-Table156[[#This Row],[Discount Amount]]</f>
        <v>40</v>
      </c>
      <c r="P950" s="4" t="str">
        <f>IF(Table156[[#This Row],[Total Amount]]&gt;=1000,"High","Low")</f>
        <v>Low</v>
      </c>
      <c r="Q950" s="4" t="str" cm="1">
        <f t="array" ref="Q950">_xlfn.IFS(AND(Table156[[#This Row],[Total Amount]]&gt;=1500,"Critical"),AND(Table156[[#This Row],[Total Amount]]&gt;=1000,"High"),TRUE,"Normal")</f>
        <v>Normal</v>
      </c>
      <c r="R950" s="4">
        <f>COUNTIF(Table156[Gender],"Male")</f>
        <v>490</v>
      </c>
    </row>
    <row r="951" spans="1:18" x14ac:dyDescent="0.35">
      <c r="A951" s="4">
        <v>950</v>
      </c>
      <c r="B951" s="5">
        <v>45237</v>
      </c>
      <c r="C951" s="4" t="s">
        <v>963</v>
      </c>
      <c r="D951" s="4" t="s">
        <v>10</v>
      </c>
      <c r="E951" s="4">
        <v>36</v>
      </c>
      <c r="F951" s="4" t="str">
        <f>IF(Table156[[#This Row],[Age]]&lt;=19,"Teenager",IF(Table156[[#This Row],[Age]]&lt;=40,"Median","Old"))</f>
        <v>Median</v>
      </c>
      <c r="G951" s="4" t="s">
        <v>14</v>
      </c>
      <c r="H951" s="4">
        <v>3</v>
      </c>
      <c r="I951" s="4">
        <v>300</v>
      </c>
      <c r="J951" s="4">
        <v>900</v>
      </c>
      <c r="K951" s="4" t="str" cm="1">
        <f t="array" ref="K951">_xlfn.IFS(AND(Table156[[#This Row],[Total Amount]]&gt;=1500),"Critical",AND(Table156[[#This Row],[Total Amount]]&gt;=1000),"High",TRUE,"Normal")</f>
        <v>Normal</v>
      </c>
      <c r="L951" s="4" t="str">
        <f>IF(Table156[[#This Row],[Total Amount]]&gt;=1000,"High",(IF(Table156[[#This Row],[Total Amount]]&gt;=500,"Medium","Low")))</f>
        <v>Medium</v>
      </c>
      <c r="M951" s="4" t="str" cm="1">
        <f t="array" ref="M95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51" s="4" cm="1">
        <f t="array" ref="N95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951" s="4">
        <f>Table156[[#This Row],[Total Amount]]-Table156[[#This Row],[Discount Amount]]</f>
        <v>810</v>
      </c>
      <c r="P951" s="4" t="str">
        <f>IF(Table156[[#This Row],[Total Amount]]&gt;=1000,"High","Low")</f>
        <v>Low</v>
      </c>
      <c r="Q951" s="4" t="str" cm="1">
        <f t="array" ref="Q951">_xlfn.IFS(AND(Table156[[#This Row],[Total Amount]]&gt;=1500,"Critical"),AND(Table156[[#This Row],[Total Amount]]&gt;=1000,"High"),TRUE,"Normal")</f>
        <v>Normal</v>
      </c>
      <c r="R951" s="4">
        <f>COUNTIF(Table156[Gender],"Male")</f>
        <v>490</v>
      </c>
    </row>
    <row r="952" spans="1:18" x14ac:dyDescent="0.35">
      <c r="A952" s="4">
        <v>951</v>
      </c>
      <c r="B952" s="5">
        <v>45232</v>
      </c>
      <c r="C952" s="4" t="s">
        <v>964</v>
      </c>
      <c r="D952" s="4" t="s">
        <v>10</v>
      </c>
      <c r="E952" s="4">
        <v>33</v>
      </c>
      <c r="F952" s="4" t="str">
        <f>IF(Table156[[#This Row],[Age]]&lt;=19,"Teenager",IF(Table156[[#This Row],[Age]]&lt;=40,"Median","Old"))</f>
        <v>Median</v>
      </c>
      <c r="G952" s="4" t="s">
        <v>11</v>
      </c>
      <c r="H952" s="4">
        <v>2</v>
      </c>
      <c r="I952" s="4">
        <v>50</v>
      </c>
      <c r="J952" s="4">
        <v>100</v>
      </c>
      <c r="K952" s="4" t="str" cm="1">
        <f t="array" ref="K952">_xlfn.IFS(AND(Table156[[#This Row],[Total Amount]]&gt;=1500),"Critical",AND(Table156[[#This Row],[Total Amount]]&gt;=1000),"High",TRUE,"Normal")</f>
        <v>Normal</v>
      </c>
      <c r="L952" s="4" t="str">
        <f>IF(Table156[[#This Row],[Total Amount]]&gt;=1000,"High",(IF(Table156[[#This Row],[Total Amount]]&gt;=500,"Medium","Low")))</f>
        <v>Low</v>
      </c>
      <c r="M952" s="4" t="str" cm="1">
        <f t="array" ref="M95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52" s="4" cm="1">
        <f t="array" ref="N95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952" s="4">
        <f>Table156[[#This Row],[Total Amount]]-Table156[[#This Row],[Discount Amount]]</f>
        <v>85</v>
      </c>
      <c r="P952" s="4" t="str">
        <f>IF(Table156[[#This Row],[Total Amount]]&gt;=1000,"High","Low")</f>
        <v>Low</v>
      </c>
      <c r="Q952" s="4" t="str" cm="1">
        <f t="array" ref="Q952">_xlfn.IFS(AND(Table156[[#This Row],[Total Amount]]&gt;=1500,"Critical"),AND(Table156[[#This Row],[Total Amount]]&gt;=1000,"High"),TRUE,"Normal")</f>
        <v>Normal</v>
      </c>
      <c r="R952" s="4">
        <f>COUNTIF(Table156[Gender],"Male")</f>
        <v>490</v>
      </c>
    </row>
    <row r="953" spans="1:18" x14ac:dyDescent="0.35">
      <c r="A953" s="4">
        <v>952</v>
      </c>
      <c r="B953" s="5">
        <v>45243</v>
      </c>
      <c r="C953" s="4" t="s">
        <v>965</v>
      </c>
      <c r="D953" s="4" t="s">
        <v>13</v>
      </c>
      <c r="E953" s="4">
        <v>57</v>
      </c>
      <c r="F953" s="4" t="str">
        <f>IF(Table156[[#This Row],[Age]]&lt;=19,"Teenager",IF(Table156[[#This Row],[Age]]&lt;=40,"Median","Old"))</f>
        <v>Old</v>
      </c>
      <c r="G953" s="4" t="s">
        <v>14</v>
      </c>
      <c r="H953" s="4">
        <v>1</v>
      </c>
      <c r="I953" s="4">
        <v>25</v>
      </c>
      <c r="J953" s="4">
        <v>25</v>
      </c>
      <c r="K953" s="4" t="str" cm="1">
        <f t="array" ref="K953">_xlfn.IFS(AND(Table156[[#This Row],[Total Amount]]&gt;=1500),"Critical",AND(Table156[[#This Row],[Total Amount]]&gt;=1000),"High",TRUE,"Normal")</f>
        <v>Normal</v>
      </c>
      <c r="L953" s="4" t="str">
        <f>IF(Table156[[#This Row],[Total Amount]]&gt;=1000,"High",(IF(Table156[[#This Row],[Total Amount]]&gt;=500,"Medium","Low")))</f>
        <v>Low</v>
      </c>
      <c r="M953" s="4" t="str" cm="1">
        <f t="array" ref="M95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53" s="4" cm="1">
        <f t="array" ref="N95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953" s="4">
        <f>Table156[[#This Row],[Total Amount]]-Table156[[#This Row],[Discount Amount]]</f>
        <v>20</v>
      </c>
      <c r="P953" s="4" t="str">
        <f>IF(Table156[[#This Row],[Total Amount]]&gt;=1000,"High","Low")</f>
        <v>Low</v>
      </c>
      <c r="Q953" s="4" t="str" cm="1">
        <f t="array" ref="Q953">_xlfn.IFS(AND(Table156[[#This Row],[Total Amount]]&gt;=1500,"Critical"),AND(Table156[[#This Row],[Total Amount]]&gt;=1000,"High"),TRUE,"Normal")</f>
        <v>Normal</v>
      </c>
      <c r="R953" s="4">
        <f>COUNTIF(Table156[Gender],"Male")</f>
        <v>490</v>
      </c>
    </row>
    <row r="954" spans="1:18" x14ac:dyDescent="0.35">
      <c r="A954" s="4">
        <v>953</v>
      </c>
      <c r="B954" s="5">
        <v>45042</v>
      </c>
      <c r="C954" s="4" t="s">
        <v>966</v>
      </c>
      <c r="D954" s="4" t="s">
        <v>10</v>
      </c>
      <c r="E954" s="4">
        <v>45</v>
      </c>
      <c r="F954" s="4" t="str">
        <f>IF(Table156[[#This Row],[Age]]&lt;=19,"Teenager",IF(Table156[[#This Row],[Age]]&lt;=40,"Median","Old"))</f>
        <v>Old</v>
      </c>
      <c r="G954" s="4" t="s">
        <v>11</v>
      </c>
      <c r="H954" s="4">
        <v>3</v>
      </c>
      <c r="I954" s="4">
        <v>30</v>
      </c>
      <c r="J954" s="4">
        <v>90</v>
      </c>
      <c r="K954" s="4" t="str" cm="1">
        <f t="array" ref="K954">_xlfn.IFS(AND(Table156[[#This Row],[Total Amount]]&gt;=1500),"Critical",AND(Table156[[#This Row],[Total Amount]]&gt;=1000),"High",TRUE,"Normal")</f>
        <v>Normal</v>
      </c>
      <c r="L954" s="4" t="str">
        <f>IF(Table156[[#This Row],[Total Amount]]&gt;=1000,"High",(IF(Table156[[#This Row],[Total Amount]]&gt;=500,"Medium","Low")))</f>
        <v>Low</v>
      </c>
      <c r="M954" s="4" t="str" cm="1">
        <f t="array" ref="M95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54" s="4" cm="1">
        <f t="array" ref="N95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</v>
      </c>
      <c r="O954" s="4">
        <f>Table156[[#This Row],[Total Amount]]-Table156[[#This Row],[Discount Amount]]</f>
        <v>81</v>
      </c>
      <c r="P954" s="4" t="str">
        <f>IF(Table156[[#This Row],[Total Amount]]&gt;=1000,"High","Low")</f>
        <v>Low</v>
      </c>
      <c r="Q954" s="4" t="str" cm="1">
        <f t="array" ref="Q954">_xlfn.IFS(AND(Table156[[#This Row],[Total Amount]]&gt;=1500,"Critical"),AND(Table156[[#This Row],[Total Amount]]&gt;=1000,"High"),TRUE,"Normal")</f>
        <v>Normal</v>
      </c>
      <c r="R954" s="4">
        <f>COUNTIF(Table156[Gender],"Male")</f>
        <v>490</v>
      </c>
    </row>
    <row r="955" spans="1:18" x14ac:dyDescent="0.35">
      <c r="A955" s="4">
        <v>954</v>
      </c>
      <c r="B955" s="5">
        <v>45194</v>
      </c>
      <c r="C955" s="4" t="s">
        <v>967</v>
      </c>
      <c r="D955" s="4" t="s">
        <v>13</v>
      </c>
      <c r="E955" s="4">
        <v>50</v>
      </c>
      <c r="F955" s="4" t="str">
        <f>IF(Table156[[#This Row],[Age]]&lt;=19,"Teenager",IF(Table156[[#This Row],[Age]]&lt;=40,"Median","Old"))</f>
        <v>Old</v>
      </c>
      <c r="G955" s="4" t="s">
        <v>16</v>
      </c>
      <c r="H955" s="4">
        <v>3</v>
      </c>
      <c r="I955" s="4">
        <v>300</v>
      </c>
      <c r="J955" s="4">
        <v>900</v>
      </c>
      <c r="K955" s="4" t="str" cm="1">
        <f t="array" ref="K955">_xlfn.IFS(AND(Table156[[#This Row],[Total Amount]]&gt;=1500),"Critical",AND(Table156[[#This Row],[Total Amount]]&gt;=1000),"High",TRUE,"Normal")</f>
        <v>Normal</v>
      </c>
      <c r="L955" s="4" t="str">
        <f>IF(Table156[[#This Row],[Total Amount]]&gt;=1000,"High",(IF(Table156[[#This Row],[Total Amount]]&gt;=500,"Medium","Low")))</f>
        <v>Medium</v>
      </c>
      <c r="M955" s="4" t="str" cm="1">
        <f t="array" ref="M95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55" s="4" cm="1">
        <f t="array" ref="N95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955" s="4">
        <f>Table156[[#This Row],[Total Amount]]-Table156[[#This Row],[Discount Amount]]</f>
        <v>720</v>
      </c>
      <c r="P955" s="4" t="str">
        <f>IF(Table156[[#This Row],[Total Amount]]&gt;=1000,"High","Low")</f>
        <v>Low</v>
      </c>
      <c r="Q955" s="4" t="str" cm="1">
        <f t="array" ref="Q955">_xlfn.IFS(AND(Table156[[#This Row],[Total Amount]]&gt;=1500,"Critical"),AND(Table156[[#This Row],[Total Amount]]&gt;=1000,"High"),TRUE,"Normal")</f>
        <v>Normal</v>
      </c>
      <c r="R955" s="4">
        <f>COUNTIF(Table156[Gender],"Male")</f>
        <v>490</v>
      </c>
    </row>
    <row r="956" spans="1:18" x14ac:dyDescent="0.35">
      <c r="A956" s="4">
        <v>955</v>
      </c>
      <c r="B956" s="5">
        <v>45121</v>
      </c>
      <c r="C956" s="4" t="s">
        <v>968</v>
      </c>
      <c r="D956" s="4" t="s">
        <v>10</v>
      </c>
      <c r="E956" s="4">
        <v>58</v>
      </c>
      <c r="F956" s="4" t="str">
        <f>IF(Table156[[#This Row],[Age]]&lt;=19,"Teenager",IF(Table156[[#This Row],[Age]]&lt;=40,"Median","Old"))</f>
        <v>Old</v>
      </c>
      <c r="G956" s="4" t="s">
        <v>14</v>
      </c>
      <c r="H956" s="4">
        <v>1</v>
      </c>
      <c r="I956" s="4">
        <v>25</v>
      </c>
      <c r="J956" s="4">
        <v>25</v>
      </c>
      <c r="K956" s="4" t="str" cm="1">
        <f t="array" ref="K956">_xlfn.IFS(AND(Table156[[#This Row],[Total Amount]]&gt;=1500),"Critical",AND(Table156[[#This Row],[Total Amount]]&gt;=1000),"High",TRUE,"Normal")</f>
        <v>Normal</v>
      </c>
      <c r="L956" s="4" t="str">
        <f>IF(Table156[[#This Row],[Total Amount]]&gt;=1000,"High",(IF(Table156[[#This Row],[Total Amount]]&gt;=500,"Medium","Low")))</f>
        <v>Low</v>
      </c>
      <c r="M956" s="4" t="str" cm="1">
        <f t="array" ref="M95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56" s="4" cm="1">
        <f t="array" ref="N95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956" s="4">
        <f>Table156[[#This Row],[Total Amount]]-Table156[[#This Row],[Discount Amount]]</f>
        <v>22.5</v>
      </c>
      <c r="P956" s="4" t="str">
        <f>IF(Table156[[#This Row],[Total Amount]]&gt;=1000,"High","Low")</f>
        <v>Low</v>
      </c>
      <c r="Q956" s="4" t="str" cm="1">
        <f t="array" ref="Q956">_xlfn.IFS(AND(Table156[[#This Row],[Total Amount]]&gt;=1500,"Critical"),AND(Table156[[#This Row],[Total Amount]]&gt;=1000,"High"),TRUE,"Normal")</f>
        <v>Normal</v>
      </c>
      <c r="R956" s="4">
        <f>COUNTIF(Table156[Gender],"Male")</f>
        <v>490</v>
      </c>
    </row>
    <row r="957" spans="1:18" x14ac:dyDescent="0.35">
      <c r="A957" s="4">
        <v>956</v>
      </c>
      <c r="B957" s="5">
        <v>45157</v>
      </c>
      <c r="C957" s="4" t="s">
        <v>969</v>
      </c>
      <c r="D957" s="4" t="s">
        <v>10</v>
      </c>
      <c r="E957" s="4">
        <v>30</v>
      </c>
      <c r="F957" s="4" t="str">
        <f>IF(Table156[[#This Row],[Age]]&lt;=19,"Teenager",IF(Table156[[#This Row],[Age]]&lt;=40,"Median","Old"))</f>
        <v>Median</v>
      </c>
      <c r="G957" s="4" t="s">
        <v>14</v>
      </c>
      <c r="H957" s="4">
        <v>3</v>
      </c>
      <c r="I957" s="4">
        <v>500</v>
      </c>
      <c r="J957" s="4">
        <v>1500</v>
      </c>
      <c r="K957" s="4" t="str" cm="1">
        <f t="array" ref="K957">_xlfn.IFS(AND(Table156[[#This Row],[Total Amount]]&gt;=1500),"Critical",AND(Table156[[#This Row],[Total Amount]]&gt;=1000),"High",TRUE,"Normal")</f>
        <v>Critical</v>
      </c>
      <c r="L957" s="4" t="str">
        <f>IF(Table156[[#This Row],[Total Amount]]&gt;=1000,"High",(IF(Table156[[#This Row],[Total Amount]]&gt;=500,"Medium","Low")))</f>
        <v>High</v>
      </c>
      <c r="M957" s="4" t="str" cm="1">
        <f t="array" ref="M95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57" s="4" cm="1">
        <f t="array" ref="N95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225</v>
      </c>
      <c r="O957" s="4">
        <f>Table156[[#This Row],[Total Amount]]-Table156[[#This Row],[Discount Amount]]</f>
        <v>1275</v>
      </c>
      <c r="P957" s="4" t="str">
        <f>IF(Table156[[#This Row],[Total Amount]]&gt;=1000,"High","Low")</f>
        <v>High</v>
      </c>
      <c r="Q957" s="4" t="b" cm="1">
        <f t="array" ref="Q957">_xlfn.IFS(AND(Table156[[#This Row],[Total Amount]]&gt;=1500,"Critical"),AND(Table156[[#This Row],[Total Amount]]&gt;=1000,"High"),TRUE,"Normal")</f>
        <v>1</v>
      </c>
      <c r="R957" s="4">
        <f>COUNTIF(Table156[Gender],"Male")</f>
        <v>490</v>
      </c>
    </row>
    <row r="958" spans="1:18" x14ac:dyDescent="0.35">
      <c r="A958" s="4">
        <v>957</v>
      </c>
      <c r="B958" s="5">
        <v>45153</v>
      </c>
      <c r="C958" s="4" t="s">
        <v>970</v>
      </c>
      <c r="D958" s="4" t="s">
        <v>13</v>
      </c>
      <c r="E958" s="4">
        <v>60</v>
      </c>
      <c r="F958" s="4" t="str">
        <f>IF(Table156[[#This Row],[Age]]&lt;=19,"Teenager",IF(Table156[[#This Row],[Age]]&lt;=40,"Median","Old"))</f>
        <v>Old</v>
      </c>
      <c r="G958" s="4" t="s">
        <v>16</v>
      </c>
      <c r="H958" s="4">
        <v>4</v>
      </c>
      <c r="I958" s="4">
        <v>30</v>
      </c>
      <c r="J958" s="4">
        <v>120</v>
      </c>
      <c r="K958" s="4" t="str" cm="1">
        <f t="array" ref="K958">_xlfn.IFS(AND(Table156[[#This Row],[Total Amount]]&gt;=1500),"Critical",AND(Table156[[#This Row],[Total Amount]]&gt;=1000),"High",TRUE,"Normal")</f>
        <v>Normal</v>
      </c>
      <c r="L958" s="4" t="str">
        <f>IF(Table156[[#This Row],[Total Amount]]&gt;=1000,"High",(IF(Table156[[#This Row],[Total Amount]]&gt;=500,"Medium","Low")))</f>
        <v>Low</v>
      </c>
      <c r="M958" s="4" t="str" cm="1">
        <f t="array" ref="M95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58" s="4" cm="1">
        <f t="array" ref="N95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958" s="4">
        <f>Table156[[#This Row],[Total Amount]]-Table156[[#This Row],[Discount Amount]]</f>
        <v>96</v>
      </c>
      <c r="P958" s="4" t="str">
        <f>IF(Table156[[#This Row],[Total Amount]]&gt;=1000,"High","Low")</f>
        <v>Low</v>
      </c>
      <c r="Q958" s="4" t="str" cm="1">
        <f t="array" ref="Q958">_xlfn.IFS(AND(Table156[[#This Row],[Total Amount]]&gt;=1500,"Critical"),AND(Table156[[#This Row],[Total Amount]]&gt;=1000,"High"),TRUE,"Normal")</f>
        <v>Normal</v>
      </c>
      <c r="R958" s="4">
        <f>COUNTIF(Table156[Gender],"Male")</f>
        <v>490</v>
      </c>
    </row>
    <row r="959" spans="1:18" x14ac:dyDescent="0.35">
      <c r="A959" s="4">
        <v>958</v>
      </c>
      <c r="B959" s="5">
        <v>45079</v>
      </c>
      <c r="C959" s="4" t="s">
        <v>971</v>
      </c>
      <c r="D959" s="4" t="s">
        <v>10</v>
      </c>
      <c r="E959" s="4">
        <v>62</v>
      </c>
      <c r="F959" s="4" t="str">
        <f>IF(Table156[[#This Row],[Age]]&lt;=19,"Teenager",IF(Table156[[#This Row],[Age]]&lt;=40,"Median","Old"))</f>
        <v>Old</v>
      </c>
      <c r="G959" s="4" t="s">
        <v>16</v>
      </c>
      <c r="H959" s="4">
        <v>2</v>
      </c>
      <c r="I959" s="4">
        <v>25</v>
      </c>
      <c r="J959" s="4">
        <v>50</v>
      </c>
      <c r="K959" s="4" t="str" cm="1">
        <f t="array" ref="K959">_xlfn.IFS(AND(Table156[[#This Row],[Total Amount]]&gt;=1500),"Critical",AND(Table156[[#This Row],[Total Amount]]&gt;=1000),"High",TRUE,"Normal")</f>
        <v>Normal</v>
      </c>
      <c r="L959" s="4" t="str">
        <f>IF(Table156[[#This Row],[Total Amount]]&gt;=1000,"High",(IF(Table156[[#This Row],[Total Amount]]&gt;=500,"Medium","Low")))</f>
        <v>Low</v>
      </c>
      <c r="M959" s="4" t="str" cm="1">
        <f t="array" ref="M95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59" s="4" cm="1">
        <f t="array" ref="N95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959" s="4">
        <f>Table156[[#This Row],[Total Amount]]-Table156[[#This Row],[Discount Amount]]</f>
        <v>45</v>
      </c>
      <c r="P959" s="4" t="str">
        <f>IF(Table156[[#This Row],[Total Amount]]&gt;=1000,"High","Low")</f>
        <v>Low</v>
      </c>
      <c r="Q959" s="4" t="str" cm="1">
        <f t="array" ref="Q959">_xlfn.IFS(AND(Table156[[#This Row],[Total Amount]]&gt;=1500,"Critical"),AND(Table156[[#This Row],[Total Amount]]&gt;=1000,"High"),TRUE,"Normal")</f>
        <v>Normal</v>
      </c>
      <c r="R959" s="4">
        <f>COUNTIF(Table156[Gender],"Male")</f>
        <v>490</v>
      </c>
    </row>
    <row r="960" spans="1:18" x14ac:dyDescent="0.35">
      <c r="A960" s="4">
        <v>959</v>
      </c>
      <c r="B960" s="5">
        <v>45228</v>
      </c>
      <c r="C960" s="4" t="s">
        <v>972</v>
      </c>
      <c r="D960" s="4" t="s">
        <v>13</v>
      </c>
      <c r="E960" s="4">
        <v>42</v>
      </c>
      <c r="F960" s="4" t="str">
        <f>IF(Table156[[#This Row],[Age]]&lt;=19,"Teenager",IF(Table156[[#This Row],[Age]]&lt;=40,"Median","Old"))</f>
        <v>Old</v>
      </c>
      <c r="G960" s="4" t="s">
        <v>16</v>
      </c>
      <c r="H960" s="4">
        <v>2</v>
      </c>
      <c r="I960" s="4">
        <v>30</v>
      </c>
      <c r="J960" s="4">
        <v>60</v>
      </c>
      <c r="K960" s="4" t="str" cm="1">
        <f t="array" ref="K960">_xlfn.IFS(AND(Table156[[#This Row],[Total Amount]]&gt;=1500),"Critical",AND(Table156[[#This Row],[Total Amount]]&gt;=1000),"High",TRUE,"Normal")</f>
        <v>Normal</v>
      </c>
      <c r="L960" s="4" t="str">
        <f>IF(Table156[[#This Row],[Total Amount]]&gt;=1000,"High",(IF(Table156[[#This Row],[Total Amount]]&gt;=500,"Medium","Low")))</f>
        <v>Low</v>
      </c>
      <c r="M960" s="4" t="str" cm="1">
        <f t="array" ref="M96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60" s="4" cm="1">
        <f t="array" ref="N96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960" s="4">
        <f>Table156[[#This Row],[Total Amount]]-Table156[[#This Row],[Discount Amount]]</f>
        <v>48</v>
      </c>
      <c r="P960" s="4" t="str">
        <f>IF(Table156[[#This Row],[Total Amount]]&gt;=1000,"High","Low")</f>
        <v>Low</v>
      </c>
      <c r="Q960" s="4" t="str" cm="1">
        <f t="array" ref="Q960">_xlfn.IFS(AND(Table156[[#This Row],[Total Amount]]&gt;=1500,"Critical"),AND(Table156[[#This Row],[Total Amount]]&gt;=1000,"High"),TRUE,"Normal")</f>
        <v>Normal</v>
      </c>
      <c r="R960" s="4">
        <f>COUNTIF(Table156[Gender],"Male")</f>
        <v>490</v>
      </c>
    </row>
    <row r="961" spans="1:18" x14ac:dyDescent="0.35">
      <c r="A961" s="4">
        <v>960</v>
      </c>
      <c r="B961" s="5">
        <v>45146</v>
      </c>
      <c r="C961" s="4" t="s">
        <v>973</v>
      </c>
      <c r="D961" s="4" t="s">
        <v>10</v>
      </c>
      <c r="E961" s="4">
        <v>59</v>
      </c>
      <c r="F961" s="4" t="str">
        <f>IF(Table156[[#This Row],[Age]]&lt;=19,"Teenager",IF(Table156[[#This Row],[Age]]&lt;=40,"Median","Old"))</f>
        <v>Old</v>
      </c>
      <c r="G961" s="4" t="s">
        <v>14</v>
      </c>
      <c r="H961" s="4">
        <v>2</v>
      </c>
      <c r="I961" s="4">
        <v>30</v>
      </c>
      <c r="J961" s="4">
        <v>60</v>
      </c>
      <c r="K961" s="4" t="str" cm="1">
        <f t="array" ref="K961">_xlfn.IFS(AND(Table156[[#This Row],[Total Amount]]&gt;=1500),"Critical",AND(Table156[[#This Row],[Total Amount]]&gt;=1000),"High",TRUE,"Normal")</f>
        <v>Normal</v>
      </c>
      <c r="L961" s="4" t="str">
        <f>IF(Table156[[#This Row],[Total Amount]]&gt;=1000,"High",(IF(Table156[[#This Row],[Total Amount]]&gt;=500,"Medium","Low")))</f>
        <v>Low</v>
      </c>
      <c r="M961" s="4" t="str" cm="1">
        <f t="array" ref="M96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61" s="4" cm="1">
        <f t="array" ref="N96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961" s="4">
        <f>Table156[[#This Row],[Total Amount]]-Table156[[#This Row],[Discount Amount]]</f>
        <v>54</v>
      </c>
      <c r="P961" s="4" t="str">
        <f>IF(Table156[[#This Row],[Total Amount]]&gt;=1000,"High","Low")</f>
        <v>Low</v>
      </c>
      <c r="Q961" s="4" t="str" cm="1">
        <f t="array" ref="Q961">_xlfn.IFS(AND(Table156[[#This Row],[Total Amount]]&gt;=1500,"Critical"),AND(Table156[[#This Row],[Total Amount]]&gt;=1000,"High"),TRUE,"Normal")</f>
        <v>Normal</v>
      </c>
      <c r="R961" s="4">
        <f>COUNTIF(Table156[Gender],"Male")</f>
        <v>490</v>
      </c>
    </row>
    <row r="962" spans="1:18" x14ac:dyDescent="0.35">
      <c r="A962" s="4">
        <v>961</v>
      </c>
      <c r="B962" s="5">
        <v>45083</v>
      </c>
      <c r="C962" s="4" t="s">
        <v>974</v>
      </c>
      <c r="D962" s="4" t="s">
        <v>10</v>
      </c>
      <c r="E962" s="4">
        <v>53</v>
      </c>
      <c r="F962" s="4" t="str">
        <f>IF(Table156[[#This Row],[Age]]&lt;=19,"Teenager",IF(Table156[[#This Row],[Age]]&lt;=40,"Median","Old"))</f>
        <v>Old</v>
      </c>
      <c r="G962" s="4" t="s">
        <v>11</v>
      </c>
      <c r="H962" s="4">
        <v>4</v>
      </c>
      <c r="I962" s="4">
        <v>50</v>
      </c>
      <c r="J962" s="4">
        <v>200</v>
      </c>
      <c r="K962" s="4" t="str" cm="1">
        <f t="array" ref="K962">_xlfn.IFS(AND(Table156[[#This Row],[Total Amount]]&gt;=1500),"Critical",AND(Table156[[#This Row],[Total Amount]]&gt;=1000),"High",TRUE,"Normal")</f>
        <v>Normal</v>
      </c>
      <c r="L962" s="4" t="str">
        <f>IF(Table156[[#This Row],[Total Amount]]&gt;=1000,"High",(IF(Table156[[#This Row],[Total Amount]]&gt;=500,"Medium","Low")))</f>
        <v>Low</v>
      </c>
      <c r="M962" s="4" t="str" cm="1">
        <f t="array" ref="M96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62" s="4" cm="1">
        <f t="array" ref="N96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962" s="4">
        <f>Table156[[#This Row],[Total Amount]]-Table156[[#This Row],[Discount Amount]]</f>
        <v>180</v>
      </c>
      <c r="P962" s="4" t="str">
        <f>IF(Table156[[#This Row],[Total Amount]]&gt;=1000,"High","Low")</f>
        <v>Low</v>
      </c>
      <c r="Q962" s="4" t="str" cm="1">
        <f t="array" ref="Q962">_xlfn.IFS(AND(Table156[[#This Row],[Total Amount]]&gt;=1500,"Critical"),AND(Table156[[#This Row],[Total Amount]]&gt;=1000,"High"),TRUE,"Normal")</f>
        <v>Normal</v>
      </c>
      <c r="R962" s="4">
        <f>COUNTIF(Table156[Gender],"Male")</f>
        <v>490</v>
      </c>
    </row>
    <row r="963" spans="1:18" x14ac:dyDescent="0.35">
      <c r="A963" s="4">
        <v>962</v>
      </c>
      <c r="B963" s="5">
        <v>45218</v>
      </c>
      <c r="C963" s="4" t="s">
        <v>975</v>
      </c>
      <c r="D963" s="4" t="s">
        <v>10</v>
      </c>
      <c r="E963" s="4">
        <v>44</v>
      </c>
      <c r="F963" s="4" t="str">
        <f>IF(Table156[[#This Row],[Age]]&lt;=19,"Teenager",IF(Table156[[#This Row],[Age]]&lt;=40,"Median","Old"))</f>
        <v>Old</v>
      </c>
      <c r="G963" s="4" t="s">
        <v>14</v>
      </c>
      <c r="H963" s="4">
        <v>2</v>
      </c>
      <c r="I963" s="4">
        <v>30</v>
      </c>
      <c r="J963" s="4">
        <v>60</v>
      </c>
      <c r="K963" s="4" t="str" cm="1">
        <f t="array" ref="K963">_xlfn.IFS(AND(Table156[[#This Row],[Total Amount]]&gt;=1500),"Critical",AND(Table156[[#This Row],[Total Amount]]&gt;=1000),"High",TRUE,"Normal")</f>
        <v>Normal</v>
      </c>
      <c r="L963" s="4" t="str">
        <f>IF(Table156[[#This Row],[Total Amount]]&gt;=1000,"High",(IF(Table156[[#This Row],[Total Amount]]&gt;=500,"Medium","Low")))</f>
        <v>Low</v>
      </c>
      <c r="M963" s="4" t="str" cm="1">
        <f t="array" ref="M96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63" s="4" cm="1">
        <f t="array" ref="N96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963" s="4">
        <f>Table156[[#This Row],[Total Amount]]-Table156[[#This Row],[Discount Amount]]</f>
        <v>54</v>
      </c>
      <c r="P963" s="4" t="str">
        <f>IF(Table156[[#This Row],[Total Amount]]&gt;=1000,"High","Low")</f>
        <v>Low</v>
      </c>
      <c r="Q963" s="4" t="str" cm="1">
        <f t="array" ref="Q963">_xlfn.IFS(AND(Table156[[#This Row],[Total Amount]]&gt;=1500,"Critical"),AND(Table156[[#This Row],[Total Amount]]&gt;=1000,"High"),TRUE,"Normal")</f>
        <v>Normal</v>
      </c>
      <c r="R963" s="4">
        <f>COUNTIF(Table156[Gender],"Male")</f>
        <v>490</v>
      </c>
    </row>
    <row r="964" spans="1:18" x14ac:dyDescent="0.35">
      <c r="A964" s="4">
        <v>963</v>
      </c>
      <c r="B964" s="5">
        <v>45244</v>
      </c>
      <c r="C964" s="4" t="s">
        <v>976</v>
      </c>
      <c r="D964" s="4" t="s">
        <v>13</v>
      </c>
      <c r="E964" s="4">
        <v>55</v>
      </c>
      <c r="F964" s="4" t="str">
        <f>IF(Table156[[#This Row],[Age]]&lt;=19,"Teenager",IF(Table156[[#This Row],[Age]]&lt;=40,"Median","Old"))</f>
        <v>Old</v>
      </c>
      <c r="G964" s="4" t="s">
        <v>11</v>
      </c>
      <c r="H964" s="4">
        <v>1</v>
      </c>
      <c r="I964" s="4">
        <v>50</v>
      </c>
      <c r="J964" s="4">
        <v>50</v>
      </c>
      <c r="K964" s="4" t="str" cm="1">
        <f t="array" ref="K964">_xlfn.IFS(AND(Table156[[#This Row],[Total Amount]]&gt;=1500),"Critical",AND(Table156[[#This Row],[Total Amount]]&gt;=1000),"High",TRUE,"Normal")</f>
        <v>Normal</v>
      </c>
      <c r="L964" s="4" t="str">
        <f>IF(Table156[[#This Row],[Total Amount]]&gt;=1000,"High",(IF(Table156[[#This Row],[Total Amount]]&gt;=500,"Medium","Low")))</f>
        <v>Low</v>
      </c>
      <c r="M964" s="4" t="str" cm="1">
        <f t="array" ref="M96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64" s="4" cm="1">
        <f t="array" ref="N96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964" s="4">
        <f>Table156[[#This Row],[Total Amount]]-Table156[[#This Row],[Discount Amount]]</f>
        <v>40</v>
      </c>
      <c r="P964" s="4" t="str">
        <f>IF(Table156[[#This Row],[Total Amount]]&gt;=1000,"High","Low")</f>
        <v>Low</v>
      </c>
      <c r="Q964" s="4" t="str" cm="1">
        <f t="array" ref="Q964">_xlfn.IFS(AND(Table156[[#This Row],[Total Amount]]&gt;=1500,"Critical"),AND(Table156[[#This Row],[Total Amount]]&gt;=1000,"High"),TRUE,"Normal")</f>
        <v>Normal</v>
      </c>
      <c r="R964" s="4">
        <f>COUNTIF(Table156[Gender],"Male")</f>
        <v>490</v>
      </c>
    </row>
    <row r="965" spans="1:18" x14ac:dyDescent="0.35">
      <c r="A965" s="4">
        <v>964</v>
      </c>
      <c r="B965" s="5">
        <v>44957</v>
      </c>
      <c r="C965" s="4" t="s">
        <v>977</v>
      </c>
      <c r="D965" s="4" t="s">
        <v>10</v>
      </c>
      <c r="E965" s="4">
        <v>24</v>
      </c>
      <c r="F965" s="4" t="str">
        <f>IF(Table156[[#This Row],[Age]]&lt;=19,"Teenager",IF(Table156[[#This Row],[Age]]&lt;=40,"Median","Old"))</f>
        <v>Median</v>
      </c>
      <c r="G965" s="4" t="s">
        <v>14</v>
      </c>
      <c r="H965" s="4">
        <v>3</v>
      </c>
      <c r="I965" s="4">
        <v>300</v>
      </c>
      <c r="J965" s="4">
        <v>900</v>
      </c>
      <c r="K965" s="4" t="str" cm="1">
        <f t="array" ref="K965">_xlfn.IFS(AND(Table156[[#This Row],[Total Amount]]&gt;=1500),"Critical",AND(Table156[[#This Row],[Total Amount]]&gt;=1000),"High",TRUE,"Normal")</f>
        <v>Normal</v>
      </c>
      <c r="L965" s="4" t="str">
        <f>IF(Table156[[#This Row],[Total Amount]]&gt;=1000,"High",(IF(Table156[[#This Row],[Total Amount]]&gt;=500,"Medium","Low")))</f>
        <v>Medium</v>
      </c>
      <c r="M965" s="4" t="str" cm="1">
        <f t="array" ref="M96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965" s="4" cm="1">
        <f t="array" ref="N96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965" s="4">
        <f>Table156[[#This Row],[Total Amount]]-Table156[[#This Row],[Discount Amount]]</f>
        <v>900</v>
      </c>
      <c r="P965" s="4" t="str">
        <f>IF(Table156[[#This Row],[Total Amount]]&gt;=1000,"High","Low")</f>
        <v>Low</v>
      </c>
      <c r="Q965" s="4" t="str" cm="1">
        <f t="array" ref="Q965">_xlfn.IFS(AND(Table156[[#This Row],[Total Amount]]&gt;=1500,"Critical"),AND(Table156[[#This Row],[Total Amount]]&gt;=1000,"High"),TRUE,"Normal")</f>
        <v>Normal</v>
      </c>
      <c r="R965" s="4">
        <f>COUNTIF(Table156[Gender],"Male")</f>
        <v>490</v>
      </c>
    </row>
    <row r="966" spans="1:18" x14ac:dyDescent="0.35">
      <c r="A966" s="4">
        <v>965</v>
      </c>
      <c r="B966" s="5">
        <v>45239</v>
      </c>
      <c r="C966" s="4" t="s">
        <v>978</v>
      </c>
      <c r="D966" s="4" t="s">
        <v>10</v>
      </c>
      <c r="E966" s="4">
        <v>22</v>
      </c>
      <c r="F966" s="4" t="str">
        <f>IF(Table156[[#This Row],[Age]]&lt;=19,"Teenager",IF(Table156[[#This Row],[Age]]&lt;=40,"Median","Old"))</f>
        <v>Median</v>
      </c>
      <c r="G966" s="4" t="s">
        <v>14</v>
      </c>
      <c r="H966" s="4">
        <v>4</v>
      </c>
      <c r="I966" s="4">
        <v>50</v>
      </c>
      <c r="J966" s="4">
        <v>200</v>
      </c>
      <c r="K966" s="4" t="str" cm="1">
        <f t="array" ref="K966">_xlfn.IFS(AND(Table156[[#This Row],[Total Amount]]&gt;=1500),"Critical",AND(Table156[[#This Row],[Total Amount]]&gt;=1000),"High",TRUE,"Normal")</f>
        <v>Normal</v>
      </c>
      <c r="L966" s="4" t="str">
        <f>IF(Table156[[#This Row],[Total Amount]]&gt;=1000,"High",(IF(Table156[[#This Row],[Total Amount]]&gt;=500,"Medium","Low")))</f>
        <v>Low</v>
      </c>
      <c r="M966" s="4" t="str" cm="1">
        <f t="array" ref="M96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966" s="4" cm="1">
        <f t="array" ref="N96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966" s="4">
        <f>Table156[[#This Row],[Total Amount]]-Table156[[#This Row],[Discount Amount]]</f>
        <v>200</v>
      </c>
      <c r="P966" s="4" t="str">
        <f>IF(Table156[[#This Row],[Total Amount]]&gt;=1000,"High","Low")</f>
        <v>Low</v>
      </c>
      <c r="Q966" s="4" t="str" cm="1">
        <f t="array" ref="Q966">_xlfn.IFS(AND(Table156[[#This Row],[Total Amount]]&gt;=1500,"Critical"),AND(Table156[[#This Row],[Total Amount]]&gt;=1000,"High"),TRUE,"Normal")</f>
        <v>Normal</v>
      </c>
      <c r="R966" s="4">
        <f>COUNTIF(Table156[Gender],"Male")</f>
        <v>490</v>
      </c>
    </row>
    <row r="967" spans="1:18" x14ac:dyDescent="0.35">
      <c r="A967" s="4">
        <v>966</v>
      </c>
      <c r="B967" s="5">
        <v>44977</v>
      </c>
      <c r="C967" s="4" t="s">
        <v>979</v>
      </c>
      <c r="D967" s="4" t="s">
        <v>10</v>
      </c>
      <c r="E967" s="4">
        <v>60</v>
      </c>
      <c r="F967" s="4" t="str">
        <f>IF(Table156[[#This Row],[Age]]&lt;=19,"Teenager",IF(Table156[[#This Row],[Age]]&lt;=40,"Median","Old"))</f>
        <v>Old</v>
      </c>
      <c r="G967" s="4" t="s">
        <v>16</v>
      </c>
      <c r="H967" s="4">
        <v>2</v>
      </c>
      <c r="I967" s="4">
        <v>500</v>
      </c>
      <c r="J967" s="4">
        <v>1000</v>
      </c>
      <c r="K967" s="4" t="str" cm="1">
        <f t="array" ref="K967">_xlfn.IFS(AND(Table156[[#This Row],[Total Amount]]&gt;=1500),"Critical",AND(Table156[[#This Row],[Total Amount]]&gt;=1000),"High",TRUE,"Normal")</f>
        <v>High</v>
      </c>
      <c r="L967" s="4" t="str">
        <f>IF(Table156[[#This Row],[Total Amount]]&gt;=1000,"High",(IF(Table156[[#This Row],[Total Amount]]&gt;=500,"Medium","Low")))</f>
        <v>High</v>
      </c>
      <c r="M967" s="4" t="str" cm="1">
        <f t="array" ref="M96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67" s="4" cm="1">
        <f t="array" ref="N96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967" s="4">
        <f>Table156[[#This Row],[Total Amount]]-Table156[[#This Row],[Discount Amount]]</f>
        <v>900</v>
      </c>
      <c r="P967" s="4" t="str">
        <f>IF(Table156[[#This Row],[Total Amount]]&gt;=1000,"High","Low")</f>
        <v>High</v>
      </c>
      <c r="Q967" s="4" t="str" cm="1">
        <f t="array" ref="Q967">_xlfn.IFS(AND(Table156[[#This Row],[Total Amount]]&gt;=1500,"Critical"),AND(Table156[[#This Row],[Total Amount]]&gt;=1000,"High"),TRUE,"Normal")</f>
        <v>Normal</v>
      </c>
      <c r="R967" s="4">
        <f>COUNTIF(Table156[Gender],"Male")</f>
        <v>490</v>
      </c>
    </row>
    <row r="968" spans="1:18" x14ac:dyDescent="0.35">
      <c r="A968" s="4">
        <v>967</v>
      </c>
      <c r="B968" s="5">
        <v>45033</v>
      </c>
      <c r="C968" s="4" t="s">
        <v>980</v>
      </c>
      <c r="D968" s="4" t="s">
        <v>10</v>
      </c>
      <c r="E968" s="4">
        <v>62</v>
      </c>
      <c r="F968" s="4" t="str">
        <f>IF(Table156[[#This Row],[Age]]&lt;=19,"Teenager",IF(Table156[[#This Row],[Age]]&lt;=40,"Median","Old"))</f>
        <v>Old</v>
      </c>
      <c r="G968" s="4" t="s">
        <v>11</v>
      </c>
      <c r="H968" s="4">
        <v>1</v>
      </c>
      <c r="I968" s="4">
        <v>25</v>
      </c>
      <c r="J968" s="4">
        <v>25</v>
      </c>
      <c r="K968" s="4" t="str" cm="1">
        <f t="array" ref="K968">_xlfn.IFS(AND(Table156[[#This Row],[Total Amount]]&gt;=1500),"Critical",AND(Table156[[#This Row],[Total Amount]]&gt;=1000),"High",TRUE,"Normal")</f>
        <v>Normal</v>
      </c>
      <c r="L968" s="4" t="str">
        <f>IF(Table156[[#This Row],[Total Amount]]&gt;=1000,"High",(IF(Table156[[#This Row],[Total Amount]]&gt;=500,"Medium","Low")))</f>
        <v>Low</v>
      </c>
      <c r="M968" s="4" t="str" cm="1">
        <f t="array" ref="M96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68" s="4" cm="1">
        <f t="array" ref="N96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968" s="4">
        <f>Table156[[#This Row],[Total Amount]]-Table156[[#This Row],[Discount Amount]]</f>
        <v>22.5</v>
      </c>
      <c r="P968" s="4" t="str">
        <f>IF(Table156[[#This Row],[Total Amount]]&gt;=1000,"High","Low")</f>
        <v>Low</v>
      </c>
      <c r="Q968" s="4" t="str" cm="1">
        <f t="array" ref="Q968">_xlfn.IFS(AND(Table156[[#This Row],[Total Amount]]&gt;=1500,"Critical"),AND(Table156[[#This Row],[Total Amount]]&gt;=1000,"High"),TRUE,"Normal")</f>
        <v>Normal</v>
      </c>
      <c r="R968" s="4">
        <f>COUNTIF(Table156[Gender],"Male")</f>
        <v>490</v>
      </c>
    </row>
    <row r="969" spans="1:18" x14ac:dyDescent="0.35">
      <c r="A969" s="4">
        <v>968</v>
      </c>
      <c r="B969" s="5">
        <v>45247</v>
      </c>
      <c r="C969" s="4" t="s">
        <v>981</v>
      </c>
      <c r="D969" s="4" t="s">
        <v>13</v>
      </c>
      <c r="E969" s="4">
        <v>48</v>
      </c>
      <c r="F969" s="4" t="str">
        <f>IF(Table156[[#This Row],[Age]]&lt;=19,"Teenager",IF(Table156[[#This Row],[Age]]&lt;=40,"Median","Old"))</f>
        <v>Old</v>
      </c>
      <c r="G969" s="4" t="s">
        <v>14</v>
      </c>
      <c r="H969" s="4">
        <v>3</v>
      </c>
      <c r="I969" s="4">
        <v>300</v>
      </c>
      <c r="J969" s="4">
        <v>900</v>
      </c>
      <c r="K969" s="4" t="str" cm="1">
        <f t="array" ref="K969">_xlfn.IFS(AND(Table156[[#This Row],[Total Amount]]&gt;=1500),"Critical",AND(Table156[[#This Row],[Total Amount]]&gt;=1000),"High",TRUE,"Normal")</f>
        <v>Normal</v>
      </c>
      <c r="L969" s="4" t="str">
        <f>IF(Table156[[#This Row],[Total Amount]]&gt;=1000,"High",(IF(Table156[[#This Row],[Total Amount]]&gt;=500,"Medium","Low")))</f>
        <v>Medium</v>
      </c>
      <c r="M969" s="4" t="str" cm="1">
        <f t="array" ref="M96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69" s="4" cm="1">
        <f t="array" ref="N96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969" s="4">
        <f>Table156[[#This Row],[Total Amount]]-Table156[[#This Row],[Discount Amount]]</f>
        <v>720</v>
      </c>
      <c r="P969" s="4" t="str">
        <f>IF(Table156[[#This Row],[Total Amount]]&gt;=1000,"High","Low")</f>
        <v>Low</v>
      </c>
      <c r="Q969" s="4" t="str" cm="1">
        <f t="array" ref="Q969">_xlfn.IFS(AND(Table156[[#This Row],[Total Amount]]&gt;=1500,"Critical"),AND(Table156[[#This Row],[Total Amount]]&gt;=1000,"High"),TRUE,"Normal")</f>
        <v>Normal</v>
      </c>
      <c r="R969" s="4">
        <f>COUNTIF(Table156[Gender],"Male")</f>
        <v>490</v>
      </c>
    </row>
    <row r="970" spans="1:18" x14ac:dyDescent="0.35">
      <c r="A970" s="4">
        <v>969</v>
      </c>
      <c r="B970" s="5">
        <v>45035</v>
      </c>
      <c r="C970" s="4" t="s">
        <v>982</v>
      </c>
      <c r="D970" s="4" t="s">
        <v>13</v>
      </c>
      <c r="E970" s="4">
        <v>40</v>
      </c>
      <c r="F970" s="4" t="str">
        <f>IF(Table156[[#This Row],[Age]]&lt;=19,"Teenager",IF(Table156[[#This Row],[Age]]&lt;=40,"Median","Old"))</f>
        <v>Median</v>
      </c>
      <c r="G970" s="4" t="s">
        <v>14</v>
      </c>
      <c r="H970" s="4">
        <v>3</v>
      </c>
      <c r="I970" s="4">
        <v>300</v>
      </c>
      <c r="J970" s="4">
        <v>900</v>
      </c>
      <c r="K970" s="4" t="str" cm="1">
        <f t="array" ref="K970">_xlfn.IFS(AND(Table156[[#This Row],[Total Amount]]&gt;=1500),"Critical",AND(Table156[[#This Row],[Total Amount]]&gt;=1000),"High",TRUE,"Normal")</f>
        <v>Normal</v>
      </c>
      <c r="L970" s="4" t="str">
        <f>IF(Table156[[#This Row],[Total Amount]]&gt;=1000,"High",(IF(Table156[[#This Row],[Total Amount]]&gt;=500,"Medium","Low")))</f>
        <v>Medium</v>
      </c>
      <c r="M970" s="4" t="str" cm="1">
        <f t="array" ref="M97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70" s="4" cm="1">
        <f t="array" ref="N97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970" s="4">
        <f>Table156[[#This Row],[Total Amount]]-Table156[[#This Row],[Discount Amount]]</f>
        <v>720</v>
      </c>
      <c r="P970" s="4" t="str">
        <f>IF(Table156[[#This Row],[Total Amount]]&gt;=1000,"High","Low")</f>
        <v>Low</v>
      </c>
      <c r="Q970" s="4" t="str" cm="1">
        <f t="array" ref="Q970">_xlfn.IFS(AND(Table156[[#This Row],[Total Amount]]&gt;=1500,"Critical"),AND(Table156[[#This Row],[Total Amount]]&gt;=1000,"High"),TRUE,"Normal")</f>
        <v>Normal</v>
      </c>
      <c r="R970" s="4">
        <f>COUNTIF(Table156[Gender],"Male")</f>
        <v>490</v>
      </c>
    </row>
    <row r="971" spans="1:18" x14ac:dyDescent="0.35">
      <c r="A971" s="4">
        <v>970</v>
      </c>
      <c r="B971" s="5">
        <v>45062</v>
      </c>
      <c r="C971" s="4" t="s">
        <v>983</v>
      </c>
      <c r="D971" s="4" t="s">
        <v>10</v>
      </c>
      <c r="E971" s="4">
        <v>59</v>
      </c>
      <c r="F971" s="4" t="str">
        <f>IF(Table156[[#This Row],[Age]]&lt;=19,"Teenager",IF(Table156[[#This Row],[Age]]&lt;=40,"Median","Old"))</f>
        <v>Old</v>
      </c>
      <c r="G971" s="4" t="s">
        <v>16</v>
      </c>
      <c r="H971" s="4">
        <v>4</v>
      </c>
      <c r="I971" s="4">
        <v>500</v>
      </c>
      <c r="J971" s="4">
        <v>2000</v>
      </c>
      <c r="K971" s="4" t="str" cm="1">
        <f t="array" ref="K971">_xlfn.IFS(AND(Table156[[#This Row],[Total Amount]]&gt;=1500),"Critical",AND(Table156[[#This Row],[Total Amount]]&gt;=1000),"High",TRUE,"Normal")</f>
        <v>Critical</v>
      </c>
      <c r="L971" s="4" t="str">
        <f>IF(Table156[[#This Row],[Total Amount]]&gt;=1000,"High",(IF(Table156[[#This Row],[Total Amount]]&gt;=500,"Medium","Low")))</f>
        <v>High</v>
      </c>
      <c r="M971" s="4" t="str" cm="1">
        <f t="array" ref="M97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71" s="4" cm="1">
        <f t="array" ref="N97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971" s="4">
        <f>Table156[[#This Row],[Total Amount]]-Table156[[#This Row],[Discount Amount]]</f>
        <v>1800</v>
      </c>
      <c r="P971" s="4" t="str">
        <f>IF(Table156[[#This Row],[Total Amount]]&gt;=1000,"High","Low")</f>
        <v>High</v>
      </c>
      <c r="Q971" s="4" t="b" cm="1">
        <f t="array" ref="Q971">_xlfn.IFS(AND(Table156[[#This Row],[Total Amount]]&gt;=1500,"Critical"),AND(Table156[[#This Row],[Total Amount]]&gt;=1000,"High"),TRUE,"Normal")</f>
        <v>1</v>
      </c>
      <c r="R971" s="4">
        <f>COUNTIF(Table156[Gender],"Male")</f>
        <v>490</v>
      </c>
    </row>
    <row r="972" spans="1:18" x14ac:dyDescent="0.35">
      <c r="A972" s="4">
        <v>971</v>
      </c>
      <c r="B972" s="5">
        <v>45265</v>
      </c>
      <c r="C972" s="4" t="s">
        <v>984</v>
      </c>
      <c r="D972" s="4" t="s">
        <v>13</v>
      </c>
      <c r="E972" s="4">
        <v>27</v>
      </c>
      <c r="F972" s="4" t="str">
        <f>IF(Table156[[#This Row],[Age]]&lt;=19,"Teenager",IF(Table156[[#This Row],[Age]]&lt;=40,"Median","Old"))</f>
        <v>Median</v>
      </c>
      <c r="G972" s="4" t="s">
        <v>16</v>
      </c>
      <c r="H972" s="4">
        <v>4</v>
      </c>
      <c r="I972" s="4">
        <v>50</v>
      </c>
      <c r="J972" s="4">
        <v>200</v>
      </c>
      <c r="K972" s="4" t="str" cm="1">
        <f t="array" ref="K972">_xlfn.IFS(AND(Table156[[#This Row],[Total Amount]]&gt;=1500),"Critical",AND(Table156[[#This Row],[Total Amount]]&gt;=1000),"High",TRUE,"Normal")</f>
        <v>Normal</v>
      </c>
      <c r="L972" s="4" t="str">
        <f>IF(Table156[[#This Row],[Total Amount]]&gt;=1000,"High",(IF(Table156[[#This Row],[Total Amount]]&gt;=500,"Medium","Low")))</f>
        <v>Low</v>
      </c>
      <c r="M972" s="4" t="str" cm="1">
        <f t="array" ref="M97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72" s="4" cm="1">
        <f t="array" ref="N97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972" s="4">
        <f>Table156[[#This Row],[Total Amount]]-Table156[[#This Row],[Discount Amount]]</f>
        <v>170</v>
      </c>
      <c r="P972" s="4" t="str">
        <f>IF(Table156[[#This Row],[Total Amount]]&gt;=1000,"High","Low")</f>
        <v>Low</v>
      </c>
      <c r="Q972" s="4" t="str" cm="1">
        <f t="array" ref="Q972">_xlfn.IFS(AND(Table156[[#This Row],[Total Amount]]&gt;=1500,"Critical"),AND(Table156[[#This Row],[Total Amount]]&gt;=1000,"High"),TRUE,"Normal")</f>
        <v>Normal</v>
      </c>
      <c r="R972" s="4">
        <f>COUNTIF(Table156[Gender],"Male")</f>
        <v>490</v>
      </c>
    </row>
    <row r="973" spans="1:18" x14ac:dyDescent="0.35">
      <c r="A973" s="4">
        <v>972</v>
      </c>
      <c r="B973" s="5">
        <v>44968</v>
      </c>
      <c r="C973" s="4" t="s">
        <v>985</v>
      </c>
      <c r="D973" s="4" t="s">
        <v>10</v>
      </c>
      <c r="E973" s="4">
        <v>49</v>
      </c>
      <c r="F973" s="4" t="str">
        <f>IF(Table156[[#This Row],[Age]]&lt;=19,"Teenager",IF(Table156[[#This Row],[Age]]&lt;=40,"Median","Old"))</f>
        <v>Old</v>
      </c>
      <c r="G973" s="4" t="s">
        <v>11</v>
      </c>
      <c r="H973" s="4">
        <v>4</v>
      </c>
      <c r="I973" s="4">
        <v>25</v>
      </c>
      <c r="J973" s="4">
        <v>100</v>
      </c>
      <c r="K973" s="4" t="str" cm="1">
        <f t="array" ref="K973">_xlfn.IFS(AND(Table156[[#This Row],[Total Amount]]&gt;=1500),"Critical",AND(Table156[[#This Row],[Total Amount]]&gt;=1000),"High",TRUE,"Normal")</f>
        <v>Normal</v>
      </c>
      <c r="L973" s="4" t="str">
        <f>IF(Table156[[#This Row],[Total Amount]]&gt;=1000,"High",(IF(Table156[[#This Row],[Total Amount]]&gt;=500,"Medium","Low")))</f>
        <v>Low</v>
      </c>
      <c r="M973" s="4" t="str" cm="1">
        <f t="array" ref="M97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73" s="4" cm="1">
        <f t="array" ref="N97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973" s="4">
        <f>Table156[[#This Row],[Total Amount]]-Table156[[#This Row],[Discount Amount]]</f>
        <v>90</v>
      </c>
      <c r="P973" s="4" t="str">
        <f>IF(Table156[[#This Row],[Total Amount]]&gt;=1000,"High","Low")</f>
        <v>Low</v>
      </c>
      <c r="Q973" s="4" t="str" cm="1">
        <f t="array" ref="Q973">_xlfn.IFS(AND(Table156[[#This Row],[Total Amount]]&gt;=1500,"Critical"),AND(Table156[[#This Row],[Total Amount]]&gt;=1000,"High"),TRUE,"Normal")</f>
        <v>Normal</v>
      </c>
      <c r="R973" s="4">
        <f>COUNTIF(Table156[Gender],"Male")</f>
        <v>490</v>
      </c>
    </row>
    <row r="974" spans="1:18" x14ac:dyDescent="0.35">
      <c r="A974" s="4">
        <v>973</v>
      </c>
      <c r="B974" s="5">
        <v>45007</v>
      </c>
      <c r="C974" s="4" t="s">
        <v>986</v>
      </c>
      <c r="D974" s="4" t="s">
        <v>10</v>
      </c>
      <c r="E974" s="4">
        <v>60</v>
      </c>
      <c r="F974" s="4" t="str">
        <f>IF(Table156[[#This Row],[Age]]&lt;=19,"Teenager",IF(Table156[[#This Row],[Age]]&lt;=40,"Median","Old"))</f>
        <v>Old</v>
      </c>
      <c r="G974" s="4" t="s">
        <v>14</v>
      </c>
      <c r="H974" s="4">
        <v>1</v>
      </c>
      <c r="I974" s="4">
        <v>50</v>
      </c>
      <c r="J974" s="4">
        <v>50</v>
      </c>
      <c r="K974" s="4" t="str" cm="1">
        <f t="array" ref="K974">_xlfn.IFS(AND(Table156[[#This Row],[Total Amount]]&gt;=1500),"Critical",AND(Table156[[#This Row],[Total Amount]]&gt;=1000),"High",TRUE,"Normal")</f>
        <v>Normal</v>
      </c>
      <c r="L974" s="4" t="str">
        <f>IF(Table156[[#This Row],[Total Amount]]&gt;=1000,"High",(IF(Table156[[#This Row],[Total Amount]]&gt;=500,"Medium","Low")))</f>
        <v>Low</v>
      </c>
      <c r="M974" s="4" t="str" cm="1">
        <f t="array" ref="M97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74" s="4" cm="1">
        <f t="array" ref="N97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974" s="4">
        <f>Table156[[#This Row],[Total Amount]]-Table156[[#This Row],[Discount Amount]]</f>
        <v>45</v>
      </c>
      <c r="P974" s="4" t="str">
        <f>IF(Table156[[#This Row],[Total Amount]]&gt;=1000,"High","Low")</f>
        <v>Low</v>
      </c>
      <c r="Q974" s="4" t="str" cm="1">
        <f t="array" ref="Q974">_xlfn.IFS(AND(Table156[[#This Row],[Total Amount]]&gt;=1500,"Critical"),AND(Table156[[#This Row],[Total Amount]]&gt;=1000,"High"),TRUE,"Normal")</f>
        <v>Normal</v>
      </c>
      <c r="R974" s="4">
        <f>COUNTIF(Table156[Gender],"Male")</f>
        <v>490</v>
      </c>
    </row>
    <row r="975" spans="1:18" x14ac:dyDescent="0.35">
      <c r="A975" s="4">
        <v>974</v>
      </c>
      <c r="B975" s="5">
        <v>45049</v>
      </c>
      <c r="C975" s="4" t="s">
        <v>987</v>
      </c>
      <c r="D975" s="4" t="s">
        <v>10</v>
      </c>
      <c r="E975" s="4">
        <v>47</v>
      </c>
      <c r="F975" s="4" t="str">
        <f>IF(Table156[[#This Row],[Age]]&lt;=19,"Teenager",IF(Table156[[#This Row],[Age]]&lt;=40,"Median","Old"))</f>
        <v>Old</v>
      </c>
      <c r="G975" s="4" t="s">
        <v>11</v>
      </c>
      <c r="H975" s="4">
        <v>1</v>
      </c>
      <c r="I975" s="4">
        <v>30</v>
      </c>
      <c r="J975" s="4">
        <v>30</v>
      </c>
      <c r="K975" s="4" t="str" cm="1">
        <f t="array" ref="K975">_xlfn.IFS(AND(Table156[[#This Row],[Total Amount]]&gt;=1500),"Critical",AND(Table156[[#This Row],[Total Amount]]&gt;=1000),"High",TRUE,"Normal")</f>
        <v>Normal</v>
      </c>
      <c r="L975" s="4" t="str">
        <f>IF(Table156[[#This Row],[Total Amount]]&gt;=1000,"High",(IF(Table156[[#This Row],[Total Amount]]&gt;=500,"Medium","Low")))</f>
        <v>Low</v>
      </c>
      <c r="M975" s="4" t="str" cm="1">
        <f t="array" ref="M97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75" s="4" cm="1">
        <f t="array" ref="N97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975" s="4">
        <f>Table156[[#This Row],[Total Amount]]-Table156[[#This Row],[Discount Amount]]</f>
        <v>27</v>
      </c>
      <c r="P975" s="4" t="str">
        <f>IF(Table156[[#This Row],[Total Amount]]&gt;=1000,"High","Low")</f>
        <v>Low</v>
      </c>
      <c r="Q975" s="4" t="str" cm="1">
        <f t="array" ref="Q975">_xlfn.IFS(AND(Table156[[#This Row],[Total Amount]]&gt;=1500,"Critical"),AND(Table156[[#This Row],[Total Amount]]&gt;=1000,"High"),TRUE,"Normal")</f>
        <v>Normal</v>
      </c>
      <c r="R975" s="4">
        <f>COUNTIF(Table156[Gender],"Male")</f>
        <v>490</v>
      </c>
    </row>
    <row r="976" spans="1:18" x14ac:dyDescent="0.35">
      <c r="A976" s="4">
        <v>975</v>
      </c>
      <c r="B976" s="5">
        <v>45015</v>
      </c>
      <c r="C976" s="4" t="s">
        <v>988</v>
      </c>
      <c r="D976" s="4" t="s">
        <v>13</v>
      </c>
      <c r="E976" s="4">
        <v>56</v>
      </c>
      <c r="F976" s="4" t="str">
        <f>IF(Table156[[#This Row],[Age]]&lt;=19,"Teenager",IF(Table156[[#This Row],[Age]]&lt;=40,"Median","Old"))</f>
        <v>Old</v>
      </c>
      <c r="G976" s="4" t="s">
        <v>14</v>
      </c>
      <c r="H976" s="4">
        <v>4</v>
      </c>
      <c r="I976" s="4">
        <v>50</v>
      </c>
      <c r="J976" s="4">
        <v>200</v>
      </c>
      <c r="K976" s="4" t="str" cm="1">
        <f t="array" ref="K976">_xlfn.IFS(AND(Table156[[#This Row],[Total Amount]]&gt;=1500),"Critical",AND(Table156[[#This Row],[Total Amount]]&gt;=1000),"High",TRUE,"Normal")</f>
        <v>Normal</v>
      </c>
      <c r="L976" s="4" t="str">
        <f>IF(Table156[[#This Row],[Total Amount]]&gt;=1000,"High",(IF(Table156[[#This Row],[Total Amount]]&gt;=500,"Medium","Low")))</f>
        <v>Low</v>
      </c>
      <c r="M976" s="4" t="str" cm="1">
        <f t="array" ref="M97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76" s="4" cm="1">
        <f t="array" ref="N97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976" s="4">
        <f>Table156[[#This Row],[Total Amount]]-Table156[[#This Row],[Discount Amount]]</f>
        <v>160</v>
      </c>
      <c r="P976" s="4" t="str">
        <f>IF(Table156[[#This Row],[Total Amount]]&gt;=1000,"High","Low")</f>
        <v>Low</v>
      </c>
      <c r="Q976" s="4" t="str" cm="1">
        <f t="array" ref="Q976">_xlfn.IFS(AND(Table156[[#This Row],[Total Amount]]&gt;=1500,"Critical"),AND(Table156[[#This Row],[Total Amount]]&gt;=1000,"High"),TRUE,"Normal")</f>
        <v>Normal</v>
      </c>
      <c r="R976" s="4">
        <f>COUNTIF(Table156[Gender],"Male")</f>
        <v>490</v>
      </c>
    </row>
    <row r="977" spans="1:18" x14ac:dyDescent="0.35">
      <c r="A977" s="4">
        <v>976</v>
      </c>
      <c r="B977" s="5">
        <v>45209</v>
      </c>
      <c r="C977" s="4" t="s">
        <v>989</v>
      </c>
      <c r="D977" s="4" t="s">
        <v>13</v>
      </c>
      <c r="E977" s="4">
        <v>48</v>
      </c>
      <c r="F977" s="4" t="str">
        <f>IF(Table156[[#This Row],[Age]]&lt;=19,"Teenager",IF(Table156[[#This Row],[Age]]&lt;=40,"Median","Old"))</f>
        <v>Old</v>
      </c>
      <c r="G977" s="4" t="s">
        <v>11</v>
      </c>
      <c r="H977" s="4">
        <v>2</v>
      </c>
      <c r="I977" s="4">
        <v>300</v>
      </c>
      <c r="J977" s="4">
        <v>600</v>
      </c>
      <c r="K977" s="4" t="str" cm="1">
        <f t="array" ref="K977">_xlfn.IFS(AND(Table156[[#This Row],[Total Amount]]&gt;=1500),"Critical",AND(Table156[[#This Row],[Total Amount]]&gt;=1000),"High",TRUE,"Normal")</f>
        <v>Normal</v>
      </c>
      <c r="L977" s="4" t="str">
        <f>IF(Table156[[#This Row],[Total Amount]]&gt;=1000,"High",(IF(Table156[[#This Row],[Total Amount]]&gt;=500,"Medium","Low")))</f>
        <v>Medium</v>
      </c>
      <c r="M977" s="4" t="str" cm="1">
        <f t="array" ref="M97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77" s="4" cm="1">
        <f t="array" ref="N97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977" s="4">
        <f>Table156[[#This Row],[Total Amount]]-Table156[[#This Row],[Discount Amount]]</f>
        <v>480</v>
      </c>
      <c r="P977" s="4" t="str">
        <f>IF(Table156[[#This Row],[Total Amount]]&gt;=1000,"High","Low")</f>
        <v>Low</v>
      </c>
      <c r="Q977" s="4" t="str" cm="1">
        <f t="array" ref="Q977">_xlfn.IFS(AND(Table156[[#This Row],[Total Amount]]&gt;=1500,"Critical"),AND(Table156[[#This Row],[Total Amount]]&gt;=1000,"High"),TRUE,"Normal")</f>
        <v>Normal</v>
      </c>
      <c r="R977" s="4">
        <f>COUNTIF(Table156[Gender],"Male")</f>
        <v>490</v>
      </c>
    </row>
    <row r="978" spans="1:18" x14ac:dyDescent="0.35">
      <c r="A978" s="4">
        <v>977</v>
      </c>
      <c r="B978" s="5">
        <v>44965</v>
      </c>
      <c r="C978" s="4" t="s">
        <v>990</v>
      </c>
      <c r="D978" s="4" t="s">
        <v>13</v>
      </c>
      <c r="E978" s="4">
        <v>35</v>
      </c>
      <c r="F978" s="4" t="str">
        <f>IF(Table156[[#This Row],[Age]]&lt;=19,"Teenager",IF(Table156[[#This Row],[Age]]&lt;=40,"Median","Old"))</f>
        <v>Median</v>
      </c>
      <c r="G978" s="4" t="s">
        <v>16</v>
      </c>
      <c r="H978" s="4">
        <v>3</v>
      </c>
      <c r="I978" s="4">
        <v>25</v>
      </c>
      <c r="J978" s="4">
        <v>75</v>
      </c>
      <c r="K978" s="4" t="str" cm="1">
        <f t="array" ref="K978">_xlfn.IFS(AND(Table156[[#This Row],[Total Amount]]&gt;=1500),"Critical",AND(Table156[[#This Row],[Total Amount]]&gt;=1000),"High",TRUE,"Normal")</f>
        <v>Normal</v>
      </c>
      <c r="L978" s="4" t="str">
        <f>IF(Table156[[#This Row],[Total Amount]]&gt;=1000,"High",(IF(Table156[[#This Row],[Total Amount]]&gt;=500,"Medium","Low")))</f>
        <v>Low</v>
      </c>
      <c r="M978" s="4" t="str" cm="1">
        <f t="array" ref="M97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78" s="4" cm="1">
        <f t="array" ref="N97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978" s="4">
        <f>Table156[[#This Row],[Total Amount]]-Table156[[#This Row],[Discount Amount]]</f>
        <v>60</v>
      </c>
      <c r="P978" s="4" t="str">
        <f>IF(Table156[[#This Row],[Total Amount]]&gt;=1000,"High","Low")</f>
        <v>Low</v>
      </c>
      <c r="Q978" s="4" t="str" cm="1">
        <f t="array" ref="Q978">_xlfn.IFS(AND(Table156[[#This Row],[Total Amount]]&gt;=1500,"Critical"),AND(Table156[[#This Row],[Total Amount]]&gt;=1000,"High"),TRUE,"Normal")</f>
        <v>Normal</v>
      </c>
      <c r="R978" s="4">
        <f>COUNTIF(Table156[Gender],"Male")</f>
        <v>490</v>
      </c>
    </row>
    <row r="979" spans="1:18" x14ac:dyDescent="0.35">
      <c r="A979" s="4">
        <v>978</v>
      </c>
      <c r="B979" s="5">
        <v>45007</v>
      </c>
      <c r="C979" s="4" t="s">
        <v>991</v>
      </c>
      <c r="D979" s="4" t="s">
        <v>13</v>
      </c>
      <c r="E979" s="4">
        <v>53</v>
      </c>
      <c r="F979" s="4" t="str">
        <f>IF(Table156[[#This Row],[Age]]&lt;=19,"Teenager",IF(Table156[[#This Row],[Age]]&lt;=40,"Median","Old"))</f>
        <v>Old</v>
      </c>
      <c r="G979" s="4" t="s">
        <v>14</v>
      </c>
      <c r="H979" s="4">
        <v>3</v>
      </c>
      <c r="I979" s="4">
        <v>50</v>
      </c>
      <c r="J979" s="4">
        <v>150</v>
      </c>
      <c r="K979" s="4" t="str" cm="1">
        <f t="array" ref="K979">_xlfn.IFS(AND(Table156[[#This Row],[Total Amount]]&gt;=1500),"Critical",AND(Table156[[#This Row],[Total Amount]]&gt;=1000),"High",TRUE,"Normal")</f>
        <v>Normal</v>
      </c>
      <c r="L979" s="4" t="str">
        <f>IF(Table156[[#This Row],[Total Amount]]&gt;=1000,"High",(IF(Table156[[#This Row],[Total Amount]]&gt;=500,"Medium","Low")))</f>
        <v>Low</v>
      </c>
      <c r="M979" s="4" t="str" cm="1">
        <f t="array" ref="M97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79" s="4" cm="1">
        <f t="array" ref="N97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979" s="4">
        <f>Table156[[#This Row],[Total Amount]]-Table156[[#This Row],[Discount Amount]]</f>
        <v>120</v>
      </c>
      <c r="P979" s="4" t="str">
        <f>IF(Table156[[#This Row],[Total Amount]]&gt;=1000,"High","Low")</f>
        <v>Low</v>
      </c>
      <c r="Q979" s="4" t="str" cm="1">
        <f t="array" ref="Q979">_xlfn.IFS(AND(Table156[[#This Row],[Total Amount]]&gt;=1500,"Critical"),AND(Table156[[#This Row],[Total Amount]]&gt;=1000,"High"),TRUE,"Normal")</f>
        <v>Normal</v>
      </c>
      <c r="R979" s="4">
        <f>COUNTIF(Table156[Gender],"Male")</f>
        <v>490</v>
      </c>
    </row>
    <row r="980" spans="1:18" x14ac:dyDescent="0.35">
      <c r="A980" s="4">
        <v>979</v>
      </c>
      <c r="B980" s="5">
        <v>44928</v>
      </c>
      <c r="C980" s="4" t="s">
        <v>992</v>
      </c>
      <c r="D980" s="4" t="s">
        <v>13</v>
      </c>
      <c r="E980" s="4">
        <v>19</v>
      </c>
      <c r="F980" s="4" t="str">
        <f>IF(Table156[[#This Row],[Age]]&lt;=19,"Teenager",IF(Table156[[#This Row],[Age]]&lt;=40,"Median","Old"))</f>
        <v>Teenager</v>
      </c>
      <c r="G980" s="4" t="s">
        <v>11</v>
      </c>
      <c r="H980" s="4">
        <v>1</v>
      </c>
      <c r="I980" s="4">
        <v>25</v>
      </c>
      <c r="J980" s="4">
        <v>25</v>
      </c>
      <c r="K980" s="4" t="str" cm="1">
        <f t="array" ref="K980">_xlfn.IFS(AND(Table156[[#This Row],[Total Amount]]&gt;=1500),"Critical",AND(Table156[[#This Row],[Total Amount]]&gt;=1000),"High",TRUE,"Normal")</f>
        <v>Normal</v>
      </c>
      <c r="L980" s="4" t="str">
        <f>IF(Table156[[#This Row],[Total Amount]]&gt;=1000,"High",(IF(Table156[[#This Row],[Total Amount]]&gt;=500,"Medium","Low")))</f>
        <v>Low</v>
      </c>
      <c r="M980" s="4" t="str" cm="1">
        <f t="array" ref="M98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980" s="4" cm="1">
        <f t="array" ref="N98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980" s="4">
        <f>Table156[[#This Row],[Total Amount]]-Table156[[#This Row],[Discount Amount]]</f>
        <v>25</v>
      </c>
      <c r="P980" s="4" t="str">
        <f>IF(Table156[[#This Row],[Total Amount]]&gt;=1000,"High","Low")</f>
        <v>Low</v>
      </c>
      <c r="Q980" s="4" t="str" cm="1">
        <f t="array" ref="Q980">_xlfn.IFS(AND(Table156[[#This Row],[Total Amount]]&gt;=1500,"Critical"),AND(Table156[[#This Row],[Total Amount]]&gt;=1000,"High"),TRUE,"Normal")</f>
        <v>Normal</v>
      </c>
      <c r="R980" s="4">
        <f>COUNTIF(Table156[Gender],"Male")</f>
        <v>490</v>
      </c>
    </row>
    <row r="981" spans="1:18" x14ac:dyDescent="0.35">
      <c r="A981" s="4">
        <v>980</v>
      </c>
      <c r="B981" s="5">
        <v>45136</v>
      </c>
      <c r="C981" s="4" t="s">
        <v>993</v>
      </c>
      <c r="D981" s="4" t="s">
        <v>13</v>
      </c>
      <c r="E981" s="4">
        <v>31</v>
      </c>
      <c r="F981" s="4" t="str">
        <f>IF(Table156[[#This Row],[Age]]&lt;=19,"Teenager",IF(Table156[[#This Row],[Age]]&lt;=40,"Median","Old"))</f>
        <v>Median</v>
      </c>
      <c r="G981" s="4" t="s">
        <v>16</v>
      </c>
      <c r="H981" s="4">
        <v>3</v>
      </c>
      <c r="I981" s="4">
        <v>25</v>
      </c>
      <c r="J981" s="4">
        <v>75</v>
      </c>
      <c r="K981" s="4" t="str" cm="1">
        <f t="array" ref="K981">_xlfn.IFS(AND(Table156[[#This Row],[Total Amount]]&gt;=1500),"Critical",AND(Table156[[#This Row],[Total Amount]]&gt;=1000),"High",TRUE,"Normal")</f>
        <v>Normal</v>
      </c>
      <c r="L981" s="4" t="str">
        <f>IF(Table156[[#This Row],[Total Amount]]&gt;=1000,"High",(IF(Table156[[#This Row],[Total Amount]]&gt;=500,"Medium","Low")))</f>
        <v>Low</v>
      </c>
      <c r="M981" s="4" t="str" cm="1">
        <f t="array" ref="M98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81" s="4" cm="1">
        <f t="array" ref="N98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11.25</v>
      </c>
      <c r="O981" s="4">
        <f>Table156[[#This Row],[Total Amount]]-Table156[[#This Row],[Discount Amount]]</f>
        <v>63.75</v>
      </c>
      <c r="P981" s="4" t="str">
        <f>IF(Table156[[#This Row],[Total Amount]]&gt;=1000,"High","Low")</f>
        <v>Low</v>
      </c>
      <c r="Q981" s="4" t="str" cm="1">
        <f t="array" ref="Q981">_xlfn.IFS(AND(Table156[[#This Row],[Total Amount]]&gt;=1500,"Critical"),AND(Table156[[#This Row],[Total Amount]]&gt;=1000,"High"),TRUE,"Normal")</f>
        <v>Normal</v>
      </c>
      <c r="R981" s="4">
        <f>COUNTIF(Table156[Gender],"Male")</f>
        <v>490</v>
      </c>
    </row>
    <row r="982" spans="1:18" x14ac:dyDescent="0.35">
      <c r="A982" s="4">
        <v>981</v>
      </c>
      <c r="B982" s="5">
        <v>45157</v>
      </c>
      <c r="C982" s="4" t="s">
        <v>994</v>
      </c>
      <c r="D982" s="4" t="s">
        <v>13</v>
      </c>
      <c r="E982" s="4">
        <v>30</v>
      </c>
      <c r="F982" s="4" t="str">
        <f>IF(Table156[[#This Row],[Age]]&lt;=19,"Teenager",IF(Table156[[#This Row],[Age]]&lt;=40,"Median","Old"))</f>
        <v>Median</v>
      </c>
      <c r="G982" s="4" t="s">
        <v>16</v>
      </c>
      <c r="H982" s="4">
        <v>2</v>
      </c>
      <c r="I982" s="4">
        <v>30</v>
      </c>
      <c r="J982" s="4">
        <v>60</v>
      </c>
      <c r="K982" s="4" t="str" cm="1">
        <f t="array" ref="K982">_xlfn.IFS(AND(Table156[[#This Row],[Total Amount]]&gt;=1500),"Critical",AND(Table156[[#This Row],[Total Amount]]&gt;=1000),"High",TRUE,"Normal")</f>
        <v>Normal</v>
      </c>
      <c r="L982" s="4" t="str">
        <f>IF(Table156[[#This Row],[Total Amount]]&gt;=1000,"High",(IF(Table156[[#This Row],[Total Amount]]&gt;=500,"Medium","Low")))</f>
        <v>Low</v>
      </c>
      <c r="M982" s="4" t="str" cm="1">
        <f t="array" ref="M98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82" s="4" cm="1">
        <f t="array" ref="N98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</v>
      </c>
      <c r="O982" s="4">
        <f>Table156[[#This Row],[Total Amount]]-Table156[[#This Row],[Discount Amount]]</f>
        <v>51</v>
      </c>
      <c r="P982" s="4" t="str">
        <f>IF(Table156[[#This Row],[Total Amount]]&gt;=1000,"High","Low")</f>
        <v>Low</v>
      </c>
      <c r="Q982" s="4" t="str" cm="1">
        <f t="array" ref="Q982">_xlfn.IFS(AND(Table156[[#This Row],[Total Amount]]&gt;=1500,"Critical"),AND(Table156[[#This Row],[Total Amount]]&gt;=1000,"High"),TRUE,"Normal")</f>
        <v>Normal</v>
      </c>
      <c r="R982" s="4">
        <f>COUNTIF(Table156[Gender],"Male")</f>
        <v>490</v>
      </c>
    </row>
    <row r="983" spans="1:18" x14ac:dyDescent="0.35">
      <c r="A983" s="4">
        <v>982</v>
      </c>
      <c r="B983" s="5">
        <v>45279</v>
      </c>
      <c r="C983" s="4" t="s">
        <v>995</v>
      </c>
      <c r="D983" s="4" t="s">
        <v>13</v>
      </c>
      <c r="E983" s="4">
        <v>46</v>
      </c>
      <c r="F983" s="4" t="str">
        <f>IF(Table156[[#This Row],[Age]]&lt;=19,"Teenager",IF(Table156[[#This Row],[Age]]&lt;=40,"Median","Old"))</f>
        <v>Old</v>
      </c>
      <c r="G983" s="4" t="s">
        <v>11</v>
      </c>
      <c r="H983" s="4">
        <v>3</v>
      </c>
      <c r="I983" s="4">
        <v>30</v>
      </c>
      <c r="J983" s="4">
        <v>90</v>
      </c>
      <c r="K983" s="4" t="str" cm="1">
        <f t="array" ref="K983">_xlfn.IFS(AND(Table156[[#This Row],[Total Amount]]&gt;=1500),"Critical",AND(Table156[[#This Row],[Total Amount]]&gt;=1000),"High",TRUE,"Normal")</f>
        <v>Normal</v>
      </c>
      <c r="L983" s="4" t="str">
        <f>IF(Table156[[#This Row],[Total Amount]]&gt;=1000,"High",(IF(Table156[[#This Row],[Total Amount]]&gt;=500,"Medium","Low")))</f>
        <v>Low</v>
      </c>
      <c r="M983" s="4" t="str" cm="1">
        <f t="array" ref="M98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83" s="4" cm="1">
        <f t="array" ref="N98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983" s="4">
        <f>Table156[[#This Row],[Total Amount]]-Table156[[#This Row],[Discount Amount]]</f>
        <v>72</v>
      </c>
      <c r="P983" s="4" t="str">
        <f>IF(Table156[[#This Row],[Total Amount]]&gt;=1000,"High","Low")</f>
        <v>Low</v>
      </c>
      <c r="Q983" s="4" t="str" cm="1">
        <f t="array" ref="Q983">_xlfn.IFS(AND(Table156[[#This Row],[Total Amount]]&gt;=1500,"Critical"),AND(Table156[[#This Row],[Total Amount]]&gt;=1000,"High"),TRUE,"Normal")</f>
        <v>Normal</v>
      </c>
      <c r="R983" s="4">
        <f>COUNTIF(Table156[Gender],"Male")</f>
        <v>490</v>
      </c>
    </row>
    <row r="984" spans="1:18" x14ac:dyDescent="0.35">
      <c r="A984" s="4">
        <v>983</v>
      </c>
      <c r="B984" s="5">
        <v>45231</v>
      </c>
      <c r="C984" s="4" t="s">
        <v>996</v>
      </c>
      <c r="D984" s="4" t="s">
        <v>13</v>
      </c>
      <c r="E984" s="4">
        <v>29</v>
      </c>
      <c r="F984" s="4" t="str">
        <f>IF(Table156[[#This Row],[Age]]&lt;=19,"Teenager",IF(Table156[[#This Row],[Age]]&lt;=40,"Median","Old"))</f>
        <v>Median</v>
      </c>
      <c r="G984" s="4" t="s">
        <v>14</v>
      </c>
      <c r="H984" s="4">
        <v>1</v>
      </c>
      <c r="I984" s="4">
        <v>300</v>
      </c>
      <c r="J984" s="4">
        <v>300</v>
      </c>
      <c r="K984" s="4" t="str" cm="1">
        <f t="array" ref="K984">_xlfn.IFS(AND(Table156[[#This Row],[Total Amount]]&gt;=1500),"Critical",AND(Table156[[#This Row],[Total Amount]]&gt;=1000),"High",TRUE,"Normal")</f>
        <v>Normal</v>
      </c>
      <c r="L984" s="4" t="str">
        <f>IF(Table156[[#This Row],[Total Amount]]&gt;=1000,"High",(IF(Table156[[#This Row],[Total Amount]]&gt;=500,"Medium","Low")))</f>
        <v>Low</v>
      </c>
      <c r="M984" s="4" t="str" cm="1">
        <f t="array" ref="M98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84" s="4" cm="1">
        <f t="array" ref="N98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45</v>
      </c>
      <c r="O984" s="4">
        <f>Table156[[#This Row],[Total Amount]]-Table156[[#This Row],[Discount Amount]]</f>
        <v>255</v>
      </c>
      <c r="P984" s="4" t="str">
        <f>IF(Table156[[#This Row],[Total Amount]]&gt;=1000,"High","Low")</f>
        <v>Low</v>
      </c>
      <c r="Q984" s="4" t="str" cm="1">
        <f t="array" ref="Q984">_xlfn.IFS(AND(Table156[[#This Row],[Total Amount]]&gt;=1500,"Critical"),AND(Table156[[#This Row],[Total Amount]]&gt;=1000,"High"),TRUE,"Normal")</f>
        <v>Normal</v>
      </c>
      <c r="R984" s="4">
        <f>COUNTIF(Table156[Gender],"Male")</f>
        <v>490</v>
      </c>
    </row>
    <row r="985" spans="1:18" x14ac:dyDescent="0.35">
      <c r="A985" s="4">
        <v>984</v>
      </c>
      <c r="B985" s="5">
        <v>45167</v>
      </c>
      <c r="C985" s="4" t="s">
        <v>997</v>
      </c>
      <c r="D985" s="4" t="s">
        <v>10</v>
      </c>
      <c r="E985" s="4">
        <v>56</v>
      </c>
      <c r="F985" s="4" t="str">
        <f>IF(Table156[[#This Row],[Age]]&lt;=19,"Teenager",IF(Table156[[#This Row],[Age]]&lt;=40,"Median","Old"))</f>
        <v>Old</v>
      </c>
      <c r="G985" s="4" t="s">
        <v>14</v>
      </c>
      <c r="H985" s="4">
        <v>1</v>
      </c>
      <c r="I985" s="4">
        <v>500</v>
      </c>
      <c r="J985" s="4">
        <v>500</v>
      </c>
      <c r="K985" s="4" t="str" cm="1">
        <f t="array" ref="K985">_xlfn.IFS(AND(Table156[[#This Row],[Total Amount]]&gt;=1500),"Critical",AND(Table156[[#This Row],[Total Amount]]&gt;=1000),"High",TRUE,"Normal")</f>
        <v>Normal</v>
      </c>
      <c r="L985" s="4" t="str">
        <f>IF(Table156[[#This Row],[Total Amount]]&gt;=1000,"High",(IF(Table156[[#This Row],[Total Amount]]&gt;=500,"Medium","Low")))</f>
        <v>Medium</v>
      </c>
      <c r="M985" s="4" t="str" cm="1">
        <f t="array" ref="M98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85" s="4" cm="1">
        <f t="array" ref="N98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985" s="4">
        <f>Table156[[#This Row],[Total Amount]]-Table156[[#This Row],[Discount Amount]]</f>
        <v>450</v>
      </c>
      <c r="P985" s="4" t="str">
        <f>IF(Table156[[#This Row],[Total Amount]]&gt;=1000,"High","Low")</f>
        <v>Low</v>
      </c>
      <c r="Q985" s="4" t="str" cm="1">
        <f t="array" ref="Q985">_xlfn.IFS(AND(Table156[[#This Row],[Total Amount]]&gt;=1500,"Critical"),AND(Table156[[#This Row],[Total Amount]]&gt;=1000,"High"),TRUE,"Normal")</f>
        <v>Normal</v>
      </c>
      <c r="R985" s="4">
        <f>COUNTIF(Table156[Gender],"Male")</f>
        <v>490</v>
      </c>
    </row>
    <row r="986" spans="1:18" x14ac:dyDescent="0.35">
      <c r="A986" s="4">
        <v>985</v>
      </c>
      <c r="B986" s="5">
        <v>45076</v>
      </c>
      <c r="C986" s="4" t="s">
        <v>998</v>
      </c>
      <c r="D986" s="4" t="s">
        <v>13</v>
      </c>
      <c r="E986" s="4">
        <v>19</v>
      </c>
      <c r="F986" s="4" t="str">
        <f>IF(Table156[[#This Row],[Age]]&lt;=19,"Teenager",IF(Table156[[#This Row],[Age]]&lt;=40,"Median","Old"))</f>
        <v>Teenager</v>
      </c>
      <c r="G986" s="4" t="s">
        <v>16</v>
      </c>
      <c r="H986" s="4">
        <v>2</v>
      </c>
      <c r="I986" s="4">
        <v>25</v>
      </c>
      <c r="J986" s="4">
        <v>50</v>
      </c>
      <c r="K986" s="4" t="str" cm="1">
        <f t="array" ref="K986">_xlfn.IFS(AND(Table156[[#This Row],[Total Amount]]&gt;=1500),"Critical",AND(Table156[[#This Row],[Total Amount]]&gt;=1000),"High",TRUE,"Normal")</f>
        <v>Normal</v>
      </c>
      <c r="L986" s="4" t="str">
        <f>IF(Table156[[#This Row],[Total Amount]]&gt;=1000,"High",(IF(Table156[[#This Row],[Total Amount]]&gt;=500,"Medium","Low")))</f>
        <v>Low</v>
      </c>
      <c r="M986" s="4" t="str" cm="1">
        <f t="array" ref="M98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986" s="4" cm="1">
        <f t="array" ref="N98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986" s="4">
        <f>Table156[[#This Row],[Total Amount]]-Table156[[#This Row],[Discount Amount]]</f>
        <v>50</v>
      </c>
      <c r="P986" s="4" t="str">
        <f>IF(Table156[[#This Row],[Total Amount]]&gt;=1000,"High","Low")</f>
        <v>Low</v>
      </c>
      <c r="Q986" s="4" t="str" cm="1">
        <f t="array" ref="Q986">_xlfn.IFS(AND(Table156[[#This Row],[Total Amount]]&gt;=1500,"Critical"),AND(Table156[[#This Row],[Total Amount]]&gt;=1000,"High"),TRUE,"Normal")</f>
        <v>Normal</v>
      </c>
      <c r="R986" s="4">
        <f>COUNTIF(Table156[Gender],"Male")</f>
        <v>490</v>
      </c>
    </row>
    <row r="987" spans="1:18" x14ac:dyDescent="0.35">
      <c r="A987" s="4">
        <v>986</v>
      </c>
      <c r="B987" s="5">
        <v>44943</v>
      </c>
      <c r="C987" s="4" t="s">
        <v>999</v>
      </c>
      <c r="D987" s="4" t="s">
        <v>13</v>
      </c>
      <c r="E987" s="4">
        <v>49</v>
      </c>
      <c r="F987" s="4" t="str">
        <f>IF(Table156[[#This Row],[Age]]&lt;=19,"Teenager",IF(Table156[[#This Row],[Age]]&lt;=40,"Median","Old"))</f>
        <v>Old</v>
      </c>
      <c r="G987" s="4" t="s">
        <v>14</v>
      </c>
      <c r="H987" s="4">
        <v>2</v>
      </c>
      <c r="I987" s="4">
        <v>500</v>
      </c>
      <c r="J987" s="4">
        <v>1000</v>
      </c>
      <c r="K987" s="4" t="str" cm="1">
        <f t="array" ref="K987">_xlfn.IFS(AND(Table156[[#This Row],[Total Amount]]&gt;=1500),"Critical",AND(Table156[[#This Row],[Total Amount]]&gt;=1000),"High",TRUE,"Normal")</f>
        <v>High</v>
      </c>
      <c r="L987" s="4" t="str">
        <f>IF(Table156[[#This Row],[Total Amount]]&gt;=1000,"High",(IF(Table156[[#This Row],[Total Amount]]&gt;=500,"Medium","Low")))</f>
        <v>High</v>
      </c>
      <c r="M987" s="4" t="str" cm="1">
        <f t="array" ref="M98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87" s="4" cm="1">
        <f t="array" ref="N98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987" s="4">
        <f>Table156[[#This Row],[Total Amount]]-Table156[[#This Row],[Discount Amount]]</f>
        <v>800</v>
      </c>
      <c r="P987" s="4" t="str">
        <f>IF(Table156[[#This Row],[Total Amount]]&gt;=1000,"High","Low")</f>
        <v>High</v>
      </c>
      <c r="Q987" s="4" t="str" cm="1">
        <f t="array" ref="Q987">_xlfn.IFS(AND(Table156[[#This Row],[Total Amount]]&gt;=1500,"Critical"),AND(Table156[[#This Row],[Total Amount]]&gt;=1000,"High"),TRUE,"Normal")</f>
        <v>Normal</v>
      </c>
      <c r="R987" s="4">
        <f>COUNTIF(Table156[Gender],"Male")</f>
        <v>490</v>
      </c>
    </row>
    <row r="988" spans="1:18" x14ac:dyDescent="0.35">
      <c r="A988" s="4">
        <v>987</v>
      </c>
      <c r="B988" s="5">
        <v>45045</v>
      </c>
      <c r="C988" s="4" t="s">
        <v>1000</v>
      </c>
      <c r="D988" s="4" t="s">
        <v>13</v>
      </c>
      <c r="E988" s="4">
        <v>30</v>
      </c>
      <c r="F988" s="4" t="str">
        <f>IF(Table156[[#This Row],[Age]]&lt;=19,"Teenager",IF(Table156[[#This Row],[Age]]&lt;=40,"Median","Old"))</f>
        <v>Median</v>
      </c>
      <c r="G988" s="4" t="s">
        <v>14</v>
      </c>
      <c r="H988" s="4">
        <v>3</v>
      </c>
      <c r="I988" s="4">
        <v>300</v>
      </c>
      <c r="J988" s="4">
        <v>900</v>
      </c>
      <c r="K988" s="4" t="str" cm="1">
        <f t="array" ref="K988">_xlfn.IFS(AND(Table156[[#This Row],[Total Amount]]&gt;=1500),"Critical",AND(Table156[[#This Row],[Total Amount]]&gt;=1000),"High",TRUE,"Normal")</f>
        <v>Normal</v>
      </c>
      <c r="L988" s="4" t="str">
        <f>IF(Table156[[#This Row],[Total Amount]]&gt;=1000,"High",(IF(Table156[[#This Row],[Total Amount]]&gt;=500,"Medium","Low")))</f>
        <v>Medium</v>
      </c>
      <c r="M988" s="4" t="str" cm="1">
        <f t="array" ref="M98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88" s="4" cm="1">
        <f t="array" ref="N98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135</v>
      </c>
      <c r="O988" s="4">
        <f>Table156[[#This Row],[Total Amount]]-Table156[[#This Row],[Discount Amount]]</f>
        <v>765</v>
      </c>
      <c r="P988" s="4" t="str">
        <f>IF(Table156[[#This Row],[Total Amount]]&gt;=1000,"High","Low")</f>
        <v>Low</v>
      </c>
      <c r="Q988" s="4" t="str" cm="1">
        <f t="array" ref="Q988">_xlfn.IFS(AND(Table156[[#This Row],[Total Amount]]&gt;=1500,"Critical"),AND(Table156[[#This Row],[Total Amount]]&gt;=1000,"High"),TRUE,"Normal")</f>
        <v>Normal</v>
      </c>
      <c r="R988" s="4">
        <f>COUNTIF(Table156[Gender],"Male")</f>
        <v>490</v>
      </c>
    </row>
    <row r="989" spans="1:18" x14ac:dyDescent="0.35">
      <c r="A989" s="4">
        <v>988</v>
      </c>
      <c r="B989" s="5">
        <v>45074</v>
      </c>
      <c r="C989" s="4" t="s">
        <v>1001</v>
      </c>
      <c r="D989" s="4" t="s">
        <v>13</v>
      </c>
      <c r="E989" s="4">
        <v>63</v>
      </c>
      <c r="F989" s="4" t="str">
        <f>IF(Table156[[#This Row],[Age]]&lt;=19,"Teenager",IF(Table156[[#This Row],[Age]]&lt;=40,"Median","Old"))</f>
        <v>Old</v>
      </c>
      <c r="G989" s="4" t="s">
        <v>14</v>
      </c>
      <c r="H989" s="4">
        <v>3</v>
      </c>
      <c r="I989" s="4">
        <v>25</v>
      </c>
      <c r="J989" s="4">
        <v>75</v>
      </c>
      <c r="K989" s="4" t="str" cm="1">
        <f t="array" ref="K989">_xlfn.IFS(AND(Table156[[#This Row],[Total Amount]]&gt;=1500),"Critical",AND(Table156[[#This Row],[Total Amount]]&gt;=1000),"High",TRUE,"Normal")</f>
        <v>Normal</v>
      </c>
      <c r="L989" s="4" t="str">
        <f>IF(Table156[[#This Row],[Total Amount]]&gt;=1000,"High",(IF(Table156[[#This Row],[Total Amount]]&gt;=500,"Medium","Low")))</f>
        <v>Low</v>
      </c>
      <c r="M989" s="4" t="str" cm="1">
        <f t="array" ref="M98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89" s="4" cm="1">
        <f t="array" ref="N98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989" s="4">
        <f>Table156[[#This Row],[Total Amount]]-Table156[[#This Row],[Discount Amount]]</f>
        <v>60</v>
      </c>
      <c r="P989" s="4" t="str">
        <f>IF(Table156[[#This Row],[Total Amount]]&gt;=1000,"High","Low")</f>
        <v>Low</v>
      </c>
      <c r="Q989" s="4" t="str" cm="1">
        <f t="array" ref="Q989">_xlfn.IFS(AND(Table156[[#This Row],[Total Amount]]&gt;=1500,"Critical"),AND(Table156[[#This Row],[Total Amount]]&gt;=1000,"High"),TRUE,"Normal")</f>
        <v>Normal</v>
      </c>
      <c r="R989" s="4">
        <f>COUNTIF(Table156[Gender],"Male")</f>
        <v>490</v>
      </c>
    </row>
    <row r="990" spans="1:18" x14ac:dyDescent="0.35">
      <c r="A990" s="4">
        <v>989</v>
      </c>
      <c r="B990" s="5">
        <v>45288</v>
      </c>
      <c r="C990" s="4" t="s">
        <v>1002</v>
      </c>
      <c r="D990" s="4" t="s">
        <v>13</v>
      </c>
      <c r="E990" s="4">
        <v>44</v>
      </c>
      <c r="F990" s="4" t="str">
        <f>IF(Table156[[#This Row],[Age]]&lt;=19,"Teenager",IF(Table156[[#This Row],[Age]]&lt;=40,"Median","Old"))</f>
        <v>Old</v>
      </c>
      <c r="G990" s="4" t="s">
        <v>16</v>
      </c>
      <c r="H990" s="4">
        <v>1</v>
      </c>
      <c r="I990" s="4">
        <v>25</v>
      </c>
      <c r="J990" s="4">
        <v>25</v>
      </c>
      <c r="K990" s="4" t="str" cm="1">
        <f t="array" ref="K990">_xlfn.IFS(AND(Table156[[#This Row],[Total Amount]]&gt;=1500),"Critical",AND(Table156[[#This Row],[Total Amount]]&gt;=1000),"High",TRUE,"Normal")</f>
        <v>Normal</v>
      </c>
      <c r="L990" s="4" t="str">
        <f>IF(Table156[[#This Row],[Total Amount]]&gt;=1000,"High",(IF(Table156[[#This Row],[Total Amount]]&gt;=500,"Medium","Low")))</f>
        <v>Low</v>
      </c>
      <c r="M990" s="4" t="str" cm="1">
        <f t="array" ref="M99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90" s="4" cm="1">
        <f t="array" ref="N99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990" s="4">
        <f>Table156[[#This Row],[Total Amount]]-Table156[[#This Row],[Discount Amount]]</f>
        <v>20</v>
      </c>
      <c r="P990" s="4" t="str">
        <f>IF(Table156[[#This Row],[Total Amount]]&gt;=1000,"High","Low")</f>
        <v>Low</v>
      </c>
      <c r="Q990" s="4" t="str" cm="1">
        <f t="array" ref="Q990">_xlfn.IFS(AND(Table156[[#This Row],[Total Amount]]&gt;=1500,"Critical"),AND(Table156[[#This Row],[Total Amount]]&gt;=1000,"High"),TRUE,"Normal")</f>
        <v>Normal</v>
      </c>
      <c r="R990" s="4">
        <f>COUNTIF(Table156[Gender],"Male")</f>
        <v>490</v>
      </c>
    </row>
    <row r="991" spans="1:18" x14ac:dyDescent="0.35">
      <c r="A991" s="4">
        <v>990</v>
      </c>
      <c r="B991" s="5">
        <v>45071</v>
      </c>
      <c r="C991" s="4" t="s">
        <v>1003</v>
      </c>
      <c r="D991" s="4" t="s">
        <v>13</v>
      </c>
      <c r="E991" s="4">
        <v>58</v>
      </c>
      <c r="F991" s="4" t="str">
        <f>IF(Table156[[#This Row],[Age]]&lt;=19,"Teenager",IF(Table156[[#This Row],[Age]]&lt;=40,"Median","Old"))</f>
        <v>Old</v>
      </c>
      <c r="G991" s="4" t="s">
        <v>11</v>
      </c>
      <c r="H991" s="4">
        <v>2</v>
      </c>
      <c r="I991" s="4">
        <v>500</v>
      </c>
      <c r="J991" s="4">
        <v>1000</v>
      </c>
      <c r="K991" s="4" t="str" cm="1">
        <f t="array" ref="K991">_xlfn.IFS(AND(Table156[[#This Row],[Total Amount]]&gt;=1500),"Critical",AND(Table156[[#This Row],[Total Amount]]&gt;=1000),"High",TRUE,"Normal")</f>
        <v>High</v>
      </c>
      <c r="L991" s="4" t="str">
        <f>IF(Table156[[#This Row],[Total Amount]]&gt;=1000,"High",(IF(Table156[[#This Row],[Total Amount]]&gt;=500,"Medium","Low")))</f>
        <v>High</v>
      </c>
      <c r="M991" s="4" t="str" cm="1">
        <f t="array" ref="M99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91" s="4" cm="1">
        <f t="array" ref="N99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991" s="4">
        <f>Table156[[#This Row],[Total Amount]]-Table156[[#This Row],[Discount Amount]]</f>
        <v>800</v>
      </c>
      <c r="P991" s="4" t="str">
        <f>IF(Table156[[#This Row],[Total Amount]]&gt;=1000,"High","Low")</f>
        <v>High</v>
      </c>
      <c r="Q991" s="4" t="str" cm="1">
        <f t="array" ref="Q991">_xlfn.IFS(AND(Table156[[#This Row],[Total Amount]]&gt;=1500,"Critical"),AND(Table156[[#This Row],[Total Amount]]&gt;=1000,"High"),TRUE,"Normal")</f>
        <v>Normal</v>
      </c>
      <c r="R991" s="4">
        <f>COUNTIF(Table156[Gender],"Male")</f>
        <v>490</v>
      </c>
    </row>
    <row r="992" spans="1:18" x14ac:dyDescent="0.35">
      <c r="A992" s="4">
        <v>991</v>
      </c>
      <c r="B992" s="5">
        <v>45286</v>
      </c>
      <c r="C992" s="4" t="s">
        <v>1004</v>
      </c>
      <c r="D992" s="4" t="s">
        <v>13</v>
      </c>
      <c r="E992" s="4">
        <v>34</v>
      </c>
      <c r="F992" s="4" t="str">
        <f>IF(Table156[[#This Row],[Age]]&lt;=19,"Teenager",IF(Table156[[#This Row],[Age]]&lt;=40,"Median","Old"))</f>
        <v>Median</v>
      </c>
      <c r="G992" s="4" t="s">
        <v>14</v>
      </c>
      <c r="H992" s="4">
        <v>2</v>
      </c>
      <c r="I992" s="4">
        <v>50</v>
      </c>
      <c r="J992" s="4">
        <v>100</v>
      </c>
      <c r="K992" s="4" t="str" cm="1">
        <f t="array" ref="K992">_xlfn.IFS(AND(Table156[[#This Row],[Total Amount]]&gt;=1500),"Critical",AND(Table156[[#This Row],[Total Amount]]&gt;=1000),"High",TRUE,"Normal")</f>
        <v>Normal</v>
      </c>
      <c r="L992" s="4" t="str">
        <f>IF(Table156[[#This Row],[Total Amount]]&gt;=1000,"High",(IF(Table156[[#This Row],[Total Amount]]&gt;=500,"Medium","Low")))</f>
        <v>Low</v>
      </c>
      <c r="M992" s="4" t="str" cm="1">
        <f t="array" ref="M99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92" s="4" cm="1">
        <f t="array" ref="N99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992" s="4">
        <f>Table156[[#This Row],[Total Amount]]-Table156[[#This Row],[Discount Amount]]</f>
        <v>85</v>
      </c>
      <c r="P992" s="4" t="str">
        <f>IF(Table156[[#This Row],[Total Amount]]&gt;=1000,"High","Low")</f>
        <v>Low</v>
      </c>
      <c r="Q992" s="4" t="str" cm="1">
        <f t="array" ref="Q992">_xlfn.IFS(AND(Table156[[#This Row],[Total Amount]]&gt;=1500,"Critical"),AND(Table156[[#This Row],[Total Amount]]&gt;=1000,"High"),TRUE,"Normal")</f>
        <v>Normal</v>
      </c>
      <c r="R992" s="4">
        <f>COUNTIF(Table156[Gender],"Male")</f>
        <v>490</v>
      </c>
    </row>
    <row r="993" spans="1:18" x14ac:dyDescent="0.35">
      <c r="A993" s="4">
        <v>992</v>
      </c>
      <c r="B993" s="5">
        <v>45159</v>
      </c>
      <c r="C993" s="4" t="s">
        <v>1005</v>
      </c>
      <c r="D993" s="4" t="s">
        <v>13</v>
      </c>
      <c r="E993" s="4">
        <v>57</v>
      </c>
      <c r="F993" s="4" t="str">
        <f>IF(Table156[[#This Row],[Age]]&lt;=19,"Teenager",IF(Table156[[#This Row],[Age]]&lt;=40,"Median","Old"))</f>
        <v>Old</v>
      </c>
      <c r="G993" s="4" t="s">
        <v>16</v>
      </c>
      <c r="H993" s="4">
        <v>2</v>
      </c>
      <c r="I993" s="4">
        <v>30</v>
      </c>
      <c r="J993" s="4">
        <v>60</v>
      </c>
      <c r="K993" s="4" t="str" cm="1">
        <f t="array" ref="K993">_xlfn.IFS(AND(Table156[[#This Row],[Total Amount]]&gt;=1500),"Critical",AND(Table156[[#This Row],[Total Amount]]&gt;=1000),"High",TRUE,"Normal")</f>
        <v>Normal</v>
      </c>
      <c r="L993" s="4" t="str">
        <f>IF(Table156[[#This Row],[Total Amount]]&gt;=1000,"High",(IF(Table156[[#This Row],[Total Amount]]&gt;=500,"Medium","Low")))</f>
        <v>Low</v>
      </c>
      <c r="M993" s="4" t="str" cm="1">
        <f t="array" ref="M99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93" s="4" cm="1">
        <f t="array" ref="N99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993" s="4">
        <f>Table156[[#This Row],[Total Amount]]-Table156[[#This Row],[Discount Amount]]</f>
        <v>48</v>
      </c>
      <c r="P993" s="4" t="str">
        <f>IF(Table156[[#This Row],[Total Amount]]&gt;=1000,"High","Low")</f>
        <v>Low</v>
      </c>
      <c r="Q993" s="4" t="str" cm="1">
        <f t="array" ref="Q993">_xlfn.IFS(AND(Table156[[#This Row],[Total Amount]]&gt;=1500,"Critical"),AND(Table156[[#This Row],[Total Amount]]&gt;=1000,"High"),TRUE,"Normal")</f>
        <v>Normal</v>
      </c>
      <c r="R993" s="4">
        <f>COUNTIF(Table156[Gender],"Male")</f>
        <v>490</v>
      </c>
    </row>
    <row r="994" spans="1:18" x14ac:dyDescent="0.35">
      <c r="A994" s="4">
        <v>993</v>
      </c>
      <c r="B994" s="5">
        <v>44963</v>
      </c>
      <c r="C994" s="4" t="s">
        <v>1006</v>
      </c>
      <c r="D994" s="4" t="s">
        <v>13</v>
      </c>
      <c r="E994" s="4">
        <v>48</v>
      </c>
      <c r="F994" s="4" t="str">
        <f>IF(Table156[[#This Row],[Age]]&lt;=19,"Teenager",IF(Table156[[#This Row],[Age]]&lt;=40,"Median","Old"))</f>
        <v>Old</v>
      </c>
      <c r="G994" s="4" t="s">
        <v>16</v>
      </c>
      <c r="H994" s="4">
        <v>3</v>
      </c>
      <c r="I994" s="4">
        <v>50</v>
      </c>
      <c r="J994" s="4">
        <v>150</v>
      </c>
      <c r="K994" s="4" t="str" cm="1">
        <f t="array" ref="K994">_xlfn.IFS(AND(Table156[[#This Row],[Total Amount]]&gt;=1500),"Critical",AND(Table156[[#This Row],[Total Amount]]&gt;=1000),"High",TRUE,"Normal")</f>
        <v>Normal</v>
      </c>
      <c r="L994" s="4" t="str">
        <f>IF(Table156[[#This Row],[Total Amount]]&gt;=1000,"High",(IF(Table156[[#This Row],[Total Amount]]&gt;=500,"Medium","Low")))</f>
        <v>Low</v>
      </c>
      <c r="M994" s="4" t="str" cm="1">
        <f t="array" ref="M99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94" s="4" cm="1">
        <f t="array" ref="N99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994" s="4">
        <f>Table156[[#This Row],[Total Amount]]-Table156[[#This Row],[Discount Amount]]</f>
        <v>120</v>
      </c>
      <c r="P994" s="4" t="str">
        <f>IF(Table156[[#This Row],[Total Amount]]&gt;=1000,"High","Low")</f>
        <v>Low</v>
      </c>
      <c r="Q994" s="4" t="str" cm="1">
        <f t="array" ref="Q994">_xlfn.IFS(AND(Table156[[#This Row],[Total Amount]]&gt;=1500,"Critical"),AND(Table156[[#This Row],[Total Amount]]&gt;=1000,"High"),TRUE,"Normal")</f>
        <v>Normal</v>
      </c>
      <c r="R994" s="4">
        <f>COUNTIF(Table156[Gender],"Male")</f>
        <v>490</v>
      </c>
    </row>
    <row r="995" spans="1:18" x14ac:dyDescent="0.35">
      <c r="A995" s="4">
        <v>994</v>
      </c>
      <c r="B995" s="5">
        <v>45278</v>
      </c>
      <c r="C995" s="4" t="s">
        <v>1007</v>
      </c>
      <c r="D995" s="4" t="s">
        <v>13</v>
      </c>
      <c r="E995" s="4">
        <v>51</v>
      </c>
      <c r="F995" s="4" t="str">
        <f>IF(Table156[[#This Row],[Age]]&lt;=19,"Teenager",IF(Table156[[#This Row],[Age]]&lt;=40,"Median","Old"))</f>
        <v>Old</v>
      </c>
      <c r="G995" s="4" t="s">
        <v>11</v>
      </c>
      <c r="H995" s="4">
        <v>2</v>
      </c>
      <c r="I995" s="4">
        <v>500</v>
      </c>
      <c r="J995" s="4">
        <v>1000</v>
      </c>
      <c r="K995" s="4" t="str" cm="1">
        <f t="array" ref="K995">_xlfn.IFS(AND(Table156[[#This Row],[Total Amount]]&gt;=1500),"Critical",AND(Table156[[#This Row],[Total Amount]]&gt;=1000),"High",TRUE,"Normal")</f>
        <v>High</v>
      </c>
      <c r="L995" s="4" t="str">
        <f>IF(Table156[[#This Row],[Total Amount]]&gt;=1000,"High",(IF(Table156[[#This Row],[Total Amount]]&gt;=500,"Medium","Low")))</f>
        <v>High</v>
      </c>
      <c r="M995" s="4" t="str" cm="1">
        <f t="array" ref="M99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95" s="4" cm="1">
        <f t="array" ref="N99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995" s="4">
        <f>Table156[[#This Row],[Total Amount]]-Table156[[#This Row],[Discount Amount]]</f>
        <v>800</v>
      </c>
      <c r="P995" s="4" t="str">
        <f>IF(Table156[[#This Row],[Total Amount]]&gt;=1000,"High","Low")</f>
        <v>High</v>
      </c>
      <c r="Q995" s="4" t="str" cm="1">
        <f t="array" ref="Q995">_xlfn.IFS(AND(Table156[[#This Row],[Total Amount]]&gt;=1500,"Critical"),AND(Table156[[#This Row],[Total Amount]]&gt;=1000,"High"),TRUE,"Normal")</f>
        <v>Normal</v>
      </c>
      <c r="R995" s="4">
        <f>COUNTIF(Table156[Gender],"Male")</f>
        <v>490</v>
      </c>
    </row>
    <row r="996" spans="1:18" x14ac:dyDescent="0.35">
      <c r="A996" s="4">
        <v>995</v>
      </c>
      <c r="B996" s="5">
        <v>45046</v>
      </c>
      <c r="C996" s="4" t="s">
        <v>1008</v>
      </c>
      <c r="D996" s="4" t="s">
        <v>13</v>
      </c>
      <c r="E996" s="4">
        <v>41</v>
      </c>
      <c r="F996" s="4" t="str">
        <f>IF(Table156[[#This Row],[Age]]&lt;=19,"Teenager",IF(Table156[[#This Row],[Age]]&lt;=40,"Median","Old"))</f>
        <v>Old</v>
      </c>
      <c r="G996" s="4" t="s">
        <v>14</v>
      </c>
      <c r="H996" s="4">
        <v>1</v>
      </c>
      <c r="I996" s="4">
        <v>30</v>
      </c>
      <c r="J996" s="4">
        <v>30</v>
      </c>
      <c r="K996" s="4" t="str" cm="1">
        <f t="array" ref="K996">_xlfn.IFS(AND(Table156[[#This Row],[Total Amount]]&gt;=1500),"Critical",AND(Table156[[#This Row],[Total Amount]]&gt;=1000),"High",TRUE,"Normal")</f>
        <v>Normal</v>
      </c>
      <c r="L996" s="4" t="str">
        <f>IF(Table156[[#This Row],[Total Amount]]&gt;=1000,"High",(IF(Table156[[#This Row],[Total Amount]]&gt;=500,"Medium","Low")))</f>
        <v>Low</v>
      </c>
      <c r="M996" s="4" t="str" cm="1">
        <f t="array" ref="M99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96" s="4" cm="1">
        <f t="array" ref="N99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996" s="4">
        <f>Table156[[#This Row],[Total Amount]]-Table156[[#This Row],[Discount Amount]]</f>
        <v>24</v>
      </c>
      <c r="P996" s="4" t="str">
        <f>IF(Table156[[#This Row],[Total Amount]]&gt;=1000,"High","Low")</f>
        <v>Low</v>
      </c>
      <c r="Q996" s="4" t="str" cm="1">
        <f t="array" ref="Q996">_xlfn.IFS(AND(Table156[[#This Row],[Total Amount]]&gt;=1500,"Critical"),AND(Table156[[#This Row],[Total Amount]]&gt;=1000,"High"),TRUE,"Normal")</f>
        <v>Normal</v>
      </c>
      <c r="R996" s="4">
        <f>COUNTIF(Table156[Gender],"Male")</f>
        <v>490</v>
      </c>
    </row>
    <row r="997" spans="1:18" x14ac:dyDescent="0.35">
      <c r="A997" s="4">
        <v>996</v>
      </c>
      <c r="B997" s="5">
        <v>45062</v>
      </c>
      <c r="C997" s="4" t="s">
        <v>1009</v>
      </c>
      <c r="D997" s="4" t="s">
        <v>10</v>
      </c>
      <c r="E997" s="4">
        <v>62</v>
      </c>
      <c r="F997" s="4" t="str">
        <f>IF(Table156[[#This Row],[Age]]&lt;=19,"Teenager",IF(Table156[[#This Row],[Age]]&lt;=40,"Median","Old"))</f>
        <v>Old</v>
      </c>
      <c r="G997" s="4" t="s">
        <v>14</v>
      </c>
      <c r="H997" s="4">
        <v>1</v>
      </c>
      <c r="I997" s="4">
        <v>50</v>
      </c>
      <c r="J997" s="4">
        <v>50</v>
      </c>
      <c r="K997" s="4" t="str" cm="1">
        <f t="array" ref="K997">_xlfn.IFS(AND(Table156[[#This Row],[Total Amount]]&gt;=1500),"Critical",AND(Table156[[#This Row],[Total Amount]]&gt;=1000),"High",TRUE,"Normal")</f>
        <v>Normal</v>
      </c>
      <c r="L997" s="4" t="str">
        <f>IF(Table156[[#This Row],[Total Amount]]&gt;=1000,"High",(IF(Table156[[#This Row],[Total Amount]]&gt;=500,"Medium","Low")))</f>
        <v>Low</v>
      </c>
      <c r="M997" s="4" t="str" cm="1">
        <f t="array" ref="M99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97" s="4" cm="1">
        <f t="array" ref="N99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997" s="4">
        <f>Table156[[#This Row],[Total Amount]]-Table156[[#This Row],[Discount Amount]]</f>
        <v>45</v>
      </c>
      <c r="P997" s="4" t="str">
        <f>IF(Table156[[#This Row],[Total Amount]]&gt;=1000,"High","Low")</f>
        <v>Low</v>
      </c>
      <c r="Q997" s="4" t="str" cm="1">
        <f t="array" ref="Q997">_xlfn.IFS(AND(Table156[[#This Row],[Total Amount]]&gt;=1500,"Critical"),AND(Table156[[#This Row],[Total Amount]]&gt;=1000,"High"),TRUE,"Normal")</f>
        <v>Normal</v>
      </c>
      <c r="R997" s="4">
        <f>COUNTIF(Table156[Gender],"Male")</f>
        <v>490</v>
      </c>
    </row>
    <row r="998" spans="1:18" x14ac:dyDescent="0.35">
      <c r="A998" s="4">
        <v>997</v>
      </c>
      <c r="B998" s="5">
        <v>45247</v>
      </c>
      <c r="C998" s="4" t="s">
        <v>1010</v>
      </c>
      <c r="D998" s="4" t="s">
        <v>10</v>
      </c>
      <c r="E998" s="4">
        <v>52</v>
      </c>
      <c r="F998" s="4" t="str">
        <f>IF(Table156[[#This Row],[Age]]&lt;=19,"Teenager",IF(Table156[[#This Row],[Age]]&lt;=40,"Median","Old"))</f>
        <v>Old</v>
      </c>
      <c r="G998" s="4" t="s">
        <v>11</v>
      </c>
      <c r="H998" s="4">
        <v>3</v>
      </c>
      <c r="I998" s="4">
        <v>30</v>
      </c>
      <c r="J998" s="4">
        <v>90</v>
      </c>
      <c r="K998" s="4" t="str" cm="1">
        <f t="array" ref="K998">_xlfn.IFS(AND(Table156[[#This Row],[Total Amount]]&gt;=1500),"Critical",AND(Table156[[#This Row],[Total Amount]]&gt;=1000),"High",TRUE,"Normal")</f>
        <v>Normal</v>
      </c>
      <c r="L998" s="4" t="str">
        <f>IF(Table156[[#This Row],[Total Amount]]&gt;=1000,"High",(IF(Table156[[#This Row],[Total Amount]]&gt;=500,"Medium","Low")))</f>
        <v>Low</v>
      </c>
      <c r="M998" s="4" t="str" cm="1">
        <f t="array" ref="M99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98" s="4" cm="1">
        <f t="array" ref="N99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</v>
      </c>
      <c r="O998" s="4">
        <f>Table156[[#This Row],[Total Amount]]-Table156[[#This Row],[Discount Amount]]</f>
        <v>81</v>
      </c>
      <c r="P998" s="4" t="str">
        <f>IF(Table156[[#This Row],[Total Amount]]&gt;=1000,"High","Low")</f>
        <v>Low</v>
      </c>
      <c r="Q998" s="4" t="str" cm="1">
        <f t="array" ref="Q998">_xlfn.IFS(AND(Table156[[#This Row],[Total Amount]]&gt;=1500,"Critical"),AND(Table156[[#This Row],[Total Amount]]&gt;=1000,"High"),TRUE,"Normal")</f>
        <v>Normal</v>
      </c>
      <c r="R998" s="4">
        <f>COUNTIF(Table156[Gender],"Male")</f>
        <v>490</v>
      </c>
    </row>
    <row r="999" spans="1:18" x14ac:dyDescent="0.35">
      <c r="A999" s="4">
        <v>998</v>
      </c>
      <c r="B999" s="5">
        <v>45228</v>
      </c>
      <c r="C999" s="4" t="s">
        <v>1011</v>
      </c>
      <c r="D999" s="4" t="s">
        <v>13</v>
      </c>
      <c r="E999" s="4">
        <v>23</v>
      </c>
      <c r="F999" s="4" t="str">
        <f>IF(Table156[[#This Row],[Age]]&lt;=19,"Teenager",IF(Table156[[#This Row],[Age]]&lt;=40,"Median","Old"))</f>
        <v>Median</v>
      </c>
      <c r="G999" s="4" t="s">
        <v>11</v>
      </c>
      <c r="H999" s="4">
        <v>4</v>
      </c>
      <c r="I999" s="4">
        <v>25</v>
      </c>
      <c r="J999" s="4">
        <v>100</v>
      </c>
      <c r="K999" s="4" t="str" cm="1">
        <f t="array" ref="K999">_xlfn.IFS(AND(Table156[[#This Row],[Total Amount]]&gt;=1500),"Critical",AND(Table156[[#This Row],[Total Amount]]&gt;=1000),"High",TRUE,"Normal")</f>
        <v>Normal</v>
      </c>
      <c r="L999" s="4" t="str">
        <f>IF(Table156[[#This Row],[Total Amount]]&gt;=1000,"High",(IF(Table156[[#This Row],[Total Amount]]&gt;=500,"Medium","Low")))</f>
        <v>Low</v>
      </c>
      <c r="M999" s="4" t="str" cm="1">
        <f t="array" ref="M99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999" s="4" cm="1">
        <f t="array" ref="N99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999" s="4">
        <f>Table156[[#This Row],[Total Amount]]-Table156[[#This Row],[Discount Amount]]</f>
        <v>100</v>
      </c>
      <c r="P999" s="4" t="str">
        <f>IF(Table156[[#This Row],[Total Amount]]&gt;=1000,"High","Low")</f>
        <v>Low</v>
      </c>
      <c r="Q999" s="4" t="str" cm="1">
        <f t="array" ref="Q999">_xlfn.IFS(AND(Table156[[#This Row],[Total Amount]]&gt;=1500,"Critical"),AND(Table156[[#This Row],[Total Amount]]&gt;=1000,"High"),TRUE,"Normal")</f>
        <v>Normal</v>
      </c>
      <c r="R999" s="4">
        <f>COUNTIF(Table156[Gender],"Male")</f>
        <v>490</v>
      </c>
    </row>
    <row r="1000" spans="1:18" x14ac:dyDescent="0.35">
      <c r="A1000" s="4">
        <v>999</v>
      </c>
      <c r="B1000" s="5">
        <v>45265</v>
      </c>
      <c r="C1000" s="4" t="s">
        <v>1012</v>
      </c>
      <c r="D1000" s="4" t="s">
        <v>13</v>
      </c>
      <c r="E1000" s="4">
        <v>36</v>
      </c>
      <c r="F1000" s="4" t="str">
        <f>IF(Table156[[#This Row],[Age]]&lt;=19,"Teenager",IF(Table156[[#This Row],[Age]]&lt;=40,"Median","Old"))</f>
        <v>Median</v>
      </c>
      <c r="G1000" s="4" t="s">
        <v>16</v>
      </c>
      <c r="H1000" s="4">
        <v>3</v>
      </c>
      <c r="I1000" s="4">
        <v>50</v>
      </c>
      <c r="J1000" s="4">
        <v>150</v>
      </c>
      <c r="K1000" s="4" t="str" cm="1">
        <f t="array" ref="K1000">_xlfn.IFS(AND(Table156[[#This Row],[Total Amount]]&gt;=1500),"Critical",AND(Table156[[#This Row],[Total Amount]]&gt;=1000),"High",TRUE,"Normal")</f>
        <v>Normal</v>
      </c>
      <c r="L1000" s="4" t="str">
        <f>IF(Table156[[#This Row],[Total Amount]]&gt;=1000,"High",(IF(Table156[[#This Row],[Total Amount]]&gt;=500,"Medium","Low")))</f>
        <v>Low</v>
      </c>
      <c r="M1000" s="4" t="str" cm="1">
        <f t="array" ref="M100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000" s="4" cm="1">
        <f t="array" ref="N100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1000" s="4">
        <f>Table156[[#This Row],[Total Amount]]-Table156[[#This Row],[Discount Amount]]</f>
        <v>120</v>
      </c>
      <c r="P1000" s="4" t="str">
        <f>IF(Table156[[#This Row],[Total Amount]]&gt;=1000,"High","Low")</f>
        <v>Low</v>
      </c>
      <c r="Q1000" s="4" t="str" cm="1">
        <f t="array" ref="Q1000">_xlfn.IFS(AND(Table156[[#This Row],[Total Amount]]&gt;=1500,"Critical"),AND(Table156[[#This Row],[Total Amount]]&gt;=1000,"High"),TRUE,"Normal")</f>
        <v>Normal</v>
      </c>
      <c r="R1000" s="4">
        <f>COUNTIF(Table156[Gender],"Male")</f>
        <v>490</v>
      </c>
    </row>
    <row r="1001" spans="1:18" x14ac:dyDescent="0.35">
      <c r="A1001" s="4">
        <v>1000</v>
      </c>
      <c r="B1001" s="5">
        <v>45028</v>
      </c>
      <c r="C1001" s="4" t="s">
        <v>1013</v>
      </c>
      <c r="D1001" s="4" t="s">
        <v>10</v>
      </c>
      <c r="E1001" s="4">
        <v>47</v>
      </c>
      <c r="F1001" s="4" t="str">
        <f>IF(Table156[[#This Row],[Age]]&lt;=19,"Teenager",IF(Table156[[#This Row],[Age]]&lt;=40,"Median","Old"))</f>
        <v>Old</v>
      </c>
      <c r="G1001" s="4" t="s">
        <v>16</v>
      </c>
      <c r="H1001" s="4">
        <v>4</v>
      </c>
      <c r="I1001" s="4">
        <v>30</v>
      </c>
      <c r="J1001" s="4">
        <v>120</v>
      </c>
      <c r="K1001" s="4" t="str" cm="1">
        <f t="array" ref="K1001">_xlfn.IFS(AND(Table156[[#This Row],[Total Amount]]&gt;=1500),"Critical",AND(Table156[[#This Row],[Total Amount]]&gt;=1000),"High",TRUE,"Normal")</f>
        <v>Normal</v>
      </c>
      <c r="L1001" s="4" t="str">
        <f>IF(Table156[[#This Row],[Total Amount]]&gt;=1000,"High",(IF(Table156[[#This Row],[Total Amount]]&gt;=500,"Medium","Low")))</f>
        <v>Low</v>
      </c>
      <c r="M1001" s="4" t="str" cm="1">
        <f t="array" ref="M100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001" s="4" cm="1">
        <f t="array" ref="N100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1001" s="4">
        <f>Table156[[#This Row],[Total Amount]]-Table156[[#This Row],[Discount Amount]]</f>
        <v>108</v>
      </c>
      <c r="P1001" s="4" t="str">
        <f>IF(Table156[[#This Row],[Total Amount]]&gt;=1000,"High","Low")</f>
        <v>Low</v>
      </c>
      <c r="Q1001" s="4" t="str" cm="1">
        <f t="array" ref="Q1001">_xlfn.IFS(AND(Table156[[#This Row],[Total Amount]]&gt;=1500,"Critical"),AND(Table156[[#This Row],[Total Amount]]&gt;=1000,"High"),TRUE,"Normal")</f>
        <v>Normal</v>
      </c>
      <c r="R1001" s="4">
        <f>COUNTIF(Table156[Gender],"Male")</f>
        <v>490</v>
      </c>
    </row>
    <row r="1002" spans="1:18" ht="29" x14ac:dyDescent="0.35">
      <c r="A1002" s="6"/>
      <c r="B1002" s="7"/>
      <c r="C1002" s="10" t="s">
        <v>1030</v>
      </c>
      <c r="D1002" s="6">
        <f>COUNTIF(Table156[Gender],"Male")</f>
        <v>490</v>
      </c>
      <c r="E1002" s="6"/>
      <c r="F1002" s="6"/>
      <c r="G1002" s="6"/>
      <c r="H1002" s="6"/>
      <c r="I1002" s="10" t="s">
        <v>1032</v>
      </c>
      <c r="J1002" s="6">
        <f>COUNTIF(Table156[Total Amount],"&gt;=1000")</f>
        <v>202</v>
      </c>
      <c r="K1002" s="6"/>
      <c r="L1002" s="6"/>
      <c r="M1002" s="6"/>
      <c r="N1002" s="6"/>
      <c r="O1002" s="6"/>
      <c r="P1002" s="6"/>
      <c r="Q1002" s="6"/>
      <c r="R1002" s="6"/>
    </row>
    <row r="1003" spans="1:18" ht="29" x14ac:dyDescent="0.35">
      <c r="A1003" s="8"/>
      <c r="B1003" s="8"/>
      <c r="C1003" s="11" t="s">
        <v>1031</v>
      </c>
      <c r="D1003" s="9">
        <f>COUNTIF(Table156[Gender],"Female")</f>
        <v>510</v>
      </c>
      <c r="E1003" s="8"/>
      <c r="F1003" s="8"/>
      <c r="G1003" s="8"/>
      <c r="H1003" s="8"/>
      <c r="I1003" s="10" t="s">
        <v>1033</v>
      </c>
      <c r="J1003" s="8">
        <f>SUMIF(Table156[Gender],"Female",Table156[Total Amount])</f>
        <v>232840</v>
      </c>
      <c r="K1003" s="8"/>
      <c r="L1003" s="8"/>
      <c r="M1003" s="8"/>
      <c r="N1003" s="8"/>
      <c r="O1003" s="8"/>
      <c r="P1003" s="8"/>
      <c r="Q1003" s="8"/>
      <c r="R1003" s="8"/>
    </row>
    <row r="1004" spans="1:18" s="6" customFormat="1" ht="72.5" x14ac:dyDescent="0.35">
      <c r="I1004" s="10" t="s">
        <v>1034</v>
      </c>
      <c r="J1004" s="6">
        <f>SUMIF(Table156[Total Amount],"&gt;=1000",Table156[Total Amount])</f>
        <v>286800</v>
      </c>
    </row>
    <row r="1005" spans="1:18" s="6" customFormat="1" ht="116" x14ac:dyDescent="0.35">
      <c r="I1005" s="10" t="s">
        <v>1035</v>
      </c>
      <c r="J1005" s="6">
        <f>COUNTIFS(Table156[Age],"&gt;=30",Table156[Total Amount],"&gt;=1000")</f>
        <v>141</v>
      </c>
    </row>
    <row r="1006" spans="1:18" s="6" customFormat="1" ht="101.5" x14ac:dyDescent="0.35">
      <c r="I1006" s="10" t="s">
        <v>1036</v>
      </c>
      <c r="J1006" s="6">
        <f>SUMIFS(Table156[Total Amount],Table156[Age],"&gt;=30",Table156[Total Amount],"&gt;=1000")</f>
        <v>201800</v>
      </c>
    </row>
    <row r="1007" spans="1:18" s="6" customFormat="1" x14ac:dyDescent="0.35"/>
  </sheetData>
  <conditionalFormatting sqref="J2">
    <cfRule type="cellIs" dxfId="16" priority="5" operator="greaterThan">
      <formula>1000</formula>
    </cfRule>
  </conditionalFormatting>
  <conditionalFormatting sqref="L2:N1001">
    <cfRule type="containsText" dxfId="15" priority="1" operator="containsText" text="Low">
      <formula>NOT(ISERROR(SEARCH("Low",L2)))</formula>
    </cfRule>
    <cfRule type="containsText" dxfId="14" priority="2" operator="containsText" text="Medium">
      <formula>NOT(ISERROR(SEARCH("Medium",L2)))</formula>
    </cfRule>
    <cfRule type="containsText" dxfId="13" priority="4" operator="containsText" text="High">
      <formula>NOT(ISERROR(SEARCH("High",L2)))</formula>
    </cfRule>
  </conditionalFormatting>
  <conditionalFormatting sqref="L965:N965">
    <cfRule type="containsText" dxfId="12" priority="3" operator="containsText" text="Medium">
      <formula>NOT(ISERROR(SEARCH("Medium",L965)))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013BC-95EE-466D-A8DF-E36A1AF35F8A}">
  <dimension ref="A1:T1007"/>
  <sheetViews>
    <sheetView topLeftCell="H1" workbookViewId="0">
      <pane ySplit="1" topLeftCell="A2" activePane="bottomLeft" state="frozen"/>
      <selection pane="bottomLeft" activeCell="H1" sqref="A1:XFD1048576"/>
    </sheetView>
  </sheetViews>
  <sheetFormatPr defaultRowHeight="14.5" x14ac:dyDescent="0.35"/>
  <cols>
    <col min="1" max="1" width="7" customWidth="1"/>
    <col min="2" max="2" width="12.453125" customWidth="1"/>
    <col min="3" max="3" width="13.453125" customWidth="1"/>
    <col min="4" max="4" width="8.90625" customWidth="1"/>
    <col min="6" max="6" width="10.08984375" customWidth="1"/>
    <col min="7" max="7" width="17.08984375" customWidth="1"/>
    <col min="8" max="8" width="10" customWidth="1"/>
    <col min="9" max="9" width="14.08984375" customWidth="1"/>
    <col min="10" max="10" width="13.81640625" customWidth="1"/>
    <col min="11" max="11" width="20.6328125" customWidth="1"/>
    <col min="12" max="12" width="15.453125" customWidth="1"/>
    <col min="13" max="13" width="10.81640625" customWidth="1"/>
    <col min="14" max="14" width="11.6328125" customWidth="1"/>
    <col min="16" max="16" width="10.26953125" customWidth="1"/>
    <col min="17" max="17" width="10.08984375" customWidth="1"/>
    <col min="18" max="18" width="10.81640625" customWidth="1"/>
  </cols>
  <sheetData>
    <row r="1" spans="1:20" ht="43.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1025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1026</v>
      </c>
      <c r="L1" s="4" t="s">
        <v>1021</v>
      </c>
      <c r="M1" s="4" t="s">
        <v>1022</v>
      </c>
      <c r="N1" s="4" t="s">
        <v>1023</v>
      </c>
      <c r="O1" s="4" t="s">
        <v>1024</v>
      </c>
      <c r="P1" s="4" t="s">
        <v>1027</v>
      </c>
      <c r="Q1" s="4" t="s">
        <v>1028</v>
      </c>
      <c r="R1" s="4" t="s">
        <v>1040</v>
      </c>
      <c r="S1" s="4" t="s">
        <v>1041</v>
      </c>
      <c r="T1" s="4" t="s">
        <v>1042</v>
      </c>
    </row>
    <row r="2" spans="1:20" ht="29" x14ac:dyDescent="0.35">
      <c r="A2" s="4">
        <v>1</v>
      </c>
      <c r="B2" s="5">
        <v>45254</v>
      </c>
      <c r="C2" s="4" t="s">
        <v>9</v>
      </c>
      <c r="D2" s="4" t="s">
        <v>10</v>
      </c>
      <c r="E2" s="4">
        <v>34</v>
      </c>
      <c r="F2" s="4" t="str">
        <f>IF(Table1567[[#This Row],[Age]]&lt;=19,"Teenager",IF(Table1567[[#This Row],[Age]]&lt;=40,"Median","Old"))</f>
        <v>Median</v>
      </c>
      <c r="G2" s="4" t="s">
        <v>11</v>
      </c>
      <c r="H2" s="4">
        <v>3</v>
      </c>
      <c r="I2" s="4">
        <v>50</v>
      </c>
      <c r="J2" s="4">
        <v>150</v>
      </c>
      <c r="K2" s="4" t="str" cm="1">
        <f t="array" ref="K2">_xlfn.IFS(AND(Table1567[[#This Row],[Total Amount]]&gt;=1500),"Critical",AND(Table1567[[#This Row],[Total Amount]]&gt;=1000),"High",TRUE,"Normal")</f>
        <v>Normal</v>
      </c>
      <c r="L2" s="4" t="str">
        <f>IF(Table1567[[#This Row],[Total Amount]]&gt;=1000,"High",(IF(Table1567[[#This Row],[Total Amount]]&gt;=500,"Medium","Low")))</f>
        <v>Low</v>
      </c>
      <c r="M2" s="4" t="str" cm="1">
        <f t="array" ref="M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" s="4" cm="1">
        <f t="array" ref="N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22.5</v>
      </c>
      <c r="O2" s="4">
        <f>Table1567[[#This Row],[Total Amount]]-Table1567[[#This Row],[Discount Amount]]</f>
        <v>127.5</v>
      </c>
      <c r="P2" s="4" t="str">
        <f>IF(Table1567[[#This Row],[Total Amount]]&gt;=1000,"High","Low")</f>
        <v>Low</v>
      </c>
      <c r="Q2" s="4" t="str" cm="1">
        <f t="array" ref="Q2">_xlfn.IFS(AND(Table1567[[#This Row],[Total Amount]]&gt;=1500,"Critical"),AND(Table1567[[#This Row],[Total Amount]]&gt;=1000,"High"),TRUE,"Normal")</f>
        <v>Normal</v>
      </c>
      <c r="R2" s="4" t="str">
        <f>CONCATENATE(Table1567[[#This Row],[Customer ID]], "-",Table1567[[#This Row],[Age]])</f>
        <v>CUST001-34</v>
      </c>
      <c r="S2" s="4" t="str">
        <f>TEXT(Table1567[[#This Row],[Date]],"mmm")</f>
        <v>Nov</v>
      </c>
      <c r="T2" s="4" t="str">
        <f>TEXT(Table1567[[#This Row],[Date]],"DDD")</f>
        <v>Fri</v>
      </c>
    </row>
    <row r="3" spans="1:20" ht="29" x14ac:dyDescent="0.35">
      <c r="A3" s="4">
        <v>2</v>
      </c>
      <c r="B3" s="5">
        <v>44984</v>
      </c>
      <c r="C3" s="4" t="s">
        <v>12</v>
      </c>
      <c r="D3" s="4" t="s">
        <v>13</v>
      </c>
      <c r="E3" s="4">
        <v>26</v>
      </c>
      <c r="F3" s="4" t="str">
        <f>IF(Table1567[[#This Row],[Age]]&lt;=19,"Teenager",IF(Table1567[[#This Row],[Age]]&lt;=40,"Median","Old"))</f>
        <v>Median</v>
      </c>
      <c r="G3" s="4" t="s">
        <v>14</v>
      </c>
      <c r="H3" s="4">
        <v>2</v>
      </c>
      <c r="I3" s="4">
        <v>500</v>
      </c>
      <c r="J3" s="4">
        <v>1000</v>
      </c>
      <c r="K3" s="4" t="str" cm="1">
        <f t="array" ref="K3">_xlfn.IFS(AND(Table1567[[#This Row],[Total Amount]]&gt;=1500),"Critical",AND(Table1567[[#This Row],[Total Amount]]&gt;=1000),"High",TRUE,"Normal")</f>
        <v>High</v>
      </c>
      <c r="L3" s="4" t="str">
        <f>IF(Table1567[[#This Row],[Total Amount]]&gt;=1000,"High",(IF(Table1567[[#This Row],[Total Amount]]&gt;=500,"Medium","Low")))</f>
        <v>High</v>
      </c>
      <c r="M3" s="4" t="str" cm="1">
        <f t="array" ref="M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" s="4" cm="1">
        <f t="array" ref="N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3" s="4">
        <f>Table1567[[#This Row],[Total Amount]]-Table1567[[#This Row],[Discount Amount]]</f>
        <v>850</v>
      </c>
      <c r="P3" s="4" t="str">
        <f>IF(Table1567[[#This Row],[Total Amount]]&gt;=1000,"High","Low")</f>
        <v>High</v>
      </c>
      <c r="Q3" s="4" t="str" cm="1">
        <f t="array" ref="Q3">_xlfn.IFS(AND(Table1567[[#This Row],[Total Amount]]&gt;=1500,"Critical"),AND(Table1567[[#This Row],[Total Amount]]&gt;=1000,"High"),TRUE,"Normal")</f>
        <v>Normal</v>
      </c>
      <c r="R3" s="4" t="str">
        <f>CONCATENATE(Table1567[[#This Row],[Customer ID]], "-",Table1567[[#This Row],[Age]])</f>
        <v>CUST002-26</v>
      </c>
      <c r="S3" s="4" t="str">
        <f>TEXT(Table1567[[#This Row],[Date]],"mmm")</f>
        <v>Feb</v>
      </c>
      <c r="T3" s="4" t="str">
        <f>TEXT(Table1567[[#This Row],[Date]],"DDD")</f>
        <v>Mon</v>
      </c>
    </row>
    <row r="4" spans="1:20" ht="29" x14ac:dyDescent="0.35">
      <c r="A4" s="4">
        <v>3</v>
      </c>
      <c r="B4" s="5">
        <v>44939</v>
      </c>
      <c r="C4" s="4" t="s">
        <v>15</v>
      </c>
      <c r="D4" s="4" t="s">
        <v>10</v>
      </c>
      <c r="E4" s="4">
        <v>50</v>
      </c>
      <c r="F4" s="4" t="str">
        <f>IF(Table1567[[#This Row],[Age]]&lt;=19,"Teenager",IF(Table1567[[#This Row],[Age]]&lt;=40,"Median","Old"))</f>
        <v>Old</v>
      </c>
      <c r="G4" s="4" t="s">
        <v>16</v>
      </c>
      <c r="H4" s="4">
        <v>1</v>
      </c>
      <c r="I4" s="4">
        <v>30</v>
      </c>
      <c r="J4" s="4">
        <v>30</v>
      </c>
      <c r="K4" s="4" t="str" cm="1">
        <f t="array" ref="K4">_xlfn.IFS(AND(Table1567[[#This Row],[Total Amount]]&gt;=1500),"Critical",AND(Table1567[[#This Row],[Total Amount]]&gt;=1000),"High",TRUE,"Normal")</f>
        <v>Normal</v>
      </c>
      <c r="L4" s="4" t="str">
        <f>IF(Table1567[[#This Row],[Total Amount]]&gt;=1000,"High",(IF(Table1567[[#This Row],[Total Amount]]&gt;=500,"Medium","Low")))</f>
        <v>Low</v>
      </c>
      <c r="M4" s="4" t="str" cm="1">
        <f t="array" ref="M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" s="4" cm="1">
        <f t="array" ref="N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</v>
      </c>
      <c r="O4" s="4">
        <f>Table1567[[#This Row],[Total Amount]]-Table1567[[#This Row],[Discount Amount]]</f>
        <v>27</v>
      </c>
      <c r="P4" s="4" t="str">
        <f>IF(Table1567[[#This Row],[Total Amount]]&gt;=1000,"High","Low")</f>
        <v>Low</v>
      </c>
      <c r="Q4" s="4" t="str" cm="1">
        <f t="array" ref="Q4">_xlfn.IFS(AND(Table1567[[#This Row],[Total Amount]]&gt;=1500,"Critical"),AND(Table1567[[#This Row],[Total Amount]]&gt;=1000,"High"),TRUE,"Normal")</f>
        <v>Normal</v>
      </c>
      <c r="R4" s="4" t="str">
        <f>CONCATENATE(Table1567[[#This Row],[Customer ID]], "-",Table1567[[#This Row],[Age]])</f>
        <v>CUST003-50</v>
      </c>
      <c r="S4" s="4" t="str">
        <f>TEXT(Table1567[[#This Row],[Date]],"mmm")</f>
        <v>Jan</v>
      </c>
      <c r="T4" s="4" t="str">
        <f>TEXT(Table1567[[#This Row],[Date]],"DDD")</f>
        <v>Fri</v>
      </c>
    </row>
    <row r="5" spans="1:20" ht="29" x14ac:dyDescent="0.35">
      <c r="A5" s="4">
        <v>4</v>
      </c>
      <c r="B5" s="5">
        <v>45067</v>
      </c>
      <c r="C5" s="4" t="s">
        <v>17</v>
      </c>
      <c r="D5" s="4" t="s">
        <v>10</v>
      </c>
      <c r="E5" s="4">
        <v>37</v>
      </c>
      <c r="F5" s="4" t="str">
        <f>IF(Table1567[[#This Row],[Age]]&lt;=19,"Teenager",IF(Table1567[[#This Row],[Age]]&lt;=40,"Median","Old"))</f>
        <v>Median</v>
      </c>
      <c r="G5" s="4" t="s">
        <v>14</v>
      </c>
      <c r="H5" s="4">
        <v>1</v>
      </c>
      <c r="I5" s="4">
        <v>500</v>
      </c>
      <c r="J5" s="4">
        <v>500</v>
      </c>
      <c r="K5" s="4" t="str" cm="1">
        <f t="array" ref="K5">_xlfn.IFS(AND(Table1567[[#This Row],[Total Amount]]&gt;=1500),"Critical",AND(Table1567[[#This Row],[Total Amount]]&gt;=1000),"High",TRUE,"Normal")</f>
        <v>Normal</v>
      </c>
      <c r="L5" s="4" t="str">
        <f>IF(Table1567[[#This Row],[Total Amount]]&gt;=1000,"High",(IF(Table1567[[#This Row],[Total Amount]]&gt;=500,"Medium","Low")))</f>
        <v>Medium</v>
      </c>
      <c r="M5" s="4" t="str" cm="1">
        <f t="array" ref="M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" s="4" cm="1">
        <f t="array" ref="N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50</v>
      </c>
      <c r="O5" s="4">
        <f>Table1567[[#This Row],[Total Amount]]-Table1567[[#This Row],[Discount Amount]]</f>
        <v>450</v>
      </c>
      <c r="P5" s="4" t="str">
        <f>IF(Table1567[[#This Row],[Total Amount]]&gt;=1000,"High","Low")</f>
        <v>Low</v>
      </c>
      <c r="Q5" s="4" t="str" cm="1">
        <f t="array" ref="Q5">_xlfn.IFS(AND(Table1567[[#This Row],[Total Amount]]&gt;=1500,"Critical"),AND(Table1567[[#This Row],[Total Amount]]&gt;=1000,"High"),TRUE,"Normal")</f>
        <v>Normal</v>
      </c>
      <c r="R5" s="4" t="str">
        <f>CONCATENATE(Table1567[[#This Row],[Customer ID]], "-",Table1567[[#This Row],[Age]])</f>
        <v>CUST004-37</v>
      </c>
      <c r="S5" s="4" t="str">
        <f>TEXT(Table1567[[#This Row],[Date]],"mmm")</f>
        <v>May</v>
      </c>
      <c r="T5" s="4" t="str">
        <f>TEXT(Table1567[[#This Row],[Date]],"DDD")</f>
        <v>Sun</v>
      </c>
    </row>
    <row r="6" spans="1:20" ht="29" x14ac:dyDescent="0.35">
      <c r="A6" s="4">
        <v>5</v>
      </c>
      <c r="B6" s="5">
        <v>45052</v>
      </c>
      <c r="C6" s="4" t="s">
        <v>18</v>
      </c>
      <c r="D6" s="4" t="s">
        <v>10</v>
      </c>
      <c r="E6" s="4">
        <v>30</v>
      </c>
      <c r="F6" s="4" t="str">
        <f>IF(Table1567[[#This Row],[Age]]&lt;=19,"Teenager",IF(Table1567[[#This Row],[Age]]&lt;=40,"Median","Old"))</f>
        <v>Median</v>
      </c>
      <c r="G6" s="4" t="s">
        <v>11</v>
      </c>
      <c r="H6" s="4">
        <v>2</v>
      </c>
      <c r="I6" s="4">
        <v>50</v>
      </c>
      <c r="J6" s="4">
        <v>100</v>
      </c>
      <c r="K6" s="4" t="str" cm="1">
        <f t="array" ref="K6">_xlfn.IFS(AND(Table1567[[#This Row],[Total Amount]]&gt;=1500),"Critical",AND(Table1567[[#This Row],[Total Amount]]&gt;=1000),"High",TRUE,"Normal")</f>
        <v>Normal</v>
      </c>
      <c r="L6" s="4" t="str">
        <f>IF(Table1567[[#This Row],[Total Amount]]&gt;=1000,"High",(IF(Table1567[[#This Row],[Total Amount]]&gt;=500,"Medium","Low")))</f>
        <v>Low</v>
      </c>
      <c r="M6" s="4" t="str" cm="1">
        <f t="array" ref="M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" s="4" cm="1">
        <f t="array" ref="N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6" s="4">
        <f>Table1567[[#This Row],[Total Amount]]-Table1567[[#This Row],[Discount Amount]]</f>
        <v>85</v>
      </c>
      <c r="P6" s="4" t="str">
        <f>IF(Table1567[[#This Row],[Total Amount]]&gt;=1000,"High","Low")</f>
        <v>Low</v>
      </c>
      <c r="Q6" s="4" t="str" cm="1">
        <f t="array" ref="Q6">_xlfn.IFS(AND(Table1567[[#This Row],[Total Amount]]&gt;=1500,"Critical"),AND(Table1567[[#This Row],[Total Amount]]&gt;=1000,"High"),TRUE,"Normal")</f>
        <v>Normal</v>
      </c>
      <c r="R6" s="4" t="str">
        <f>CONCATENATE(Table1567[[#This Row],[Customer ID]], "-",Table1567[[#This Row],[Age]])</f>
        <v>CUST005-30</v>
      </c>
      <c r="S6" s="4" t="str">
        <f>TEXT(Table1567[[#This Row],[Date]],"mmm")</f>
        <v>May</v>
      </c>
      <c r="T6" s="4" t="str">
        <f>TEXT(Table1567[[#This Row],[Date]],"DDD")</f>
        <v>Sat</v>
      </c>
    </row>
    <row r="7" spans="1:20" ht="29" x14ac:dyDescent="0.35">
      <c r="A7" s="4">
        <v>6</v>
      </c>
      <c r="B7" s="5">
        <v>45041</v>
      </c>
      <c r="C7" s="4" t="s">
        <v>19</v>
      </c>
      <c r="D7" s="4" t="s">
        <v>13</v>
      </c>
      <c r="E7" s="4">
        <v>45</v>
      </c>
      <c r="F7" s="4" t="str">
        <f>IF(Table1567[[#This Row],[Age]]&lt;=19,"Teenager",IF(Table1567[[#This Row],[Age]]&lt;=40,"Median","Old"))</f>
        <v>Old</v>
      </c>
      <c r="G7" s="4" t="s">
        <v>11</v>
      </c>
      <c r="H7" s="4">
        <v>1</v>
      </c>
      <c r="I7" s="4">
        <v>30</v>
      </c>
      <c r="J7" s="4">
        <v>30</v>
      </c>
      <c r="K7" s="4" t="str" cm="1">
        <f t="array" ref="K7">_xlfn.IFS(AND(Table1567[[#This Row],[Total Amount]]&gt;=1500),"Critical",AND(Table1567[[#This Row],[Total Amount]]&gt;=1000),"High",TRUE,"Normal")</f>
        <v>Normal</v>
      </c>
      <c r="L7" s="4" t="str">
        <f>IF(Table1567[[#This Row],[Total Amount]]&gt;=1000,"High",(IF(Table1567[[#This Row],[Total Amount]]&gt;=500,"Medium","Low")))</f>
        <v>Low</v>
      </c>
      <c r="M7" s="4" t="str" cm="1">
        <f t="array" ref="M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" s="4" cm="1">
        <f t="array" ref="N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7" s="4">
        <f>Table1567[[#This Row],[Total Amount]]-Table1567[[#This Row],[Discount Amount]]</f>
        <v>24</v>
      </c>
      <c r="P7" s="4" t="str">
        <f>IF(Table1567[[#This Row],[Total Amount]]&gt;=1000,"High","Low")</f>
        <v>Low</v>
      </c>
      <c r="Q7" s="4" t="str" cm="1">
        <f t="array" ref="Q7">_xlfn.IFS(AND(Table1567[[#This Row],[Total Amount]]&gt;=1500,"Critical"),AND(Table1567[[#This Row],[Total Amount]]&gt;=1000,"High"),TRUE,"Normal")</f>
        <v>Normal</v>
      </c>
      <c r="R7" s="4" t="str">
        <f>CONCATENATE(Table1567[[#This Row],[Customer ID]], "-",Table1567[[#This Row],[Age]])</f>
        <v>CUST006-45</v>
      </c>
      <c r="S7" s="4" t="str">
        <f>TEXT(Table1567[[#This Row],[Date]],"mmm")</f>
        <v>Apr</v>
      </c>
      <c r="T7" s="4" t="str">
        <f>TEXT(Table1567[[#This Row],[Date]],"DDD")</f>
        <v>Tue</v>
      </c>
    </row>
    <row r="8" spans="1:20" ht="29" x14ac:dyDescent="0.35">
      <c r="A8" s="4">
        <v>7</v>
      </c>
      <c r="B8" s="5">
        <v>44998</v>
      </c>
      <c r="C8" s="4" t="s">
        <v>20</v>
      </c>
      <c r="D8" s="4" t="s">
        <v>10</v>
      </c>
      <c r="E8" s="4">
        <v>46</v>
      </c>
      <c r="F8" s="4" t="str">
        <f>IF(Table1567[[#This Row],[Age]]&lt;=19,"Teenager",IF(Table1567[[#This Row],[Age]]&lt;=40,"Median","Old"))</f>
        <v>Old</v>
      </c>
      <c r="G8" s="4" t="s">
        <v>14</v>
      </c>
      <c r="H8" s="4">
        <v>2</v>
      </c>
      <c r="I8" s="4">
        <v>25</v>
      </c>
      <c r="J8" s="4">
        <v>50</v>
      </c>
      <c r="K8" s="4" t="str" cm="1">
        <f t="array" ref="K8">_xlfn.IFS(AND(Table1567[[#This Row],[Total Amount]]&gt;=1500),"Critical",AND(Table1567[[#This Row],[Total Amount]]&gt;=1000),"High",TRUE,"Normal")</f>
        <v>Normal</v>
      </c>
      <c r="L8" s="4" t="str">
        <f>IF(Table1567[[#This Row],[Total Amount]]&gt;=1000,"High",(IF(Table1567[[#This Row],[Total Amount]]&gt;=500,"Medium","Low")))</f>
        <v>Low</v>
      </c>
      <c r="M8" s="4" t="str" cm="1">
        <f t="array" ref="M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" s="4" cm="1">
        <f t="array" ref="N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8" s="4">
        <f>Table1567[[#This Row],[Total Amount]]-Table1567[[#This Row],[Discount Amount]]</f>
        <v>45</v>
      </c>
      <c r="P8" s="4" t="str">
        <f>IF(Table1567[[#This Row],[Total Amount]]&gt;=1000,"High","Low")</f>
        <v>Low</v>
      </c>
      <c r="Q8" s="4" t="str" cm="1">
        <f t="array" ref="Q8">_xlfn.IFS(AND(Table1567[[#This Row],[Total Amount]]&gt;=1500,"Critical"),AND(Table1567[[#This Row],[Total Amount]]&gt;=1000,"High"),TRUE,"Normal")</f>
        <v>Normal</v>
      </c>
      <c r="R8" s="4" t="str">
        <f>CONCATENATE(Table1567[[#This Row],[Customer ID]], "-",Table1567[[#This Row],[Age]])</f>
        <v>CUST007-46</v>
      </c>
      <c r="S8" s="4" t="str">
        <f>TEXT(Table1567[[#This Row],[Date]],"mmm")</f>
        <v>Mar</v>
      </c>
      <c r="T8" s="4" t="str">
        <f>TEXT(Table1567[[#This Row],[Date]],"DDD")</f>
        <v>Mon</v>
      </c>
    </row>
    <row r="9" spans="1:20" ht="29" x14ac:dyDescent="0.35">
      <c r="A9" s="4">
        <v>8</v>
      </c>
      <c r="B9" s="5">
        <v>44979</v>
      </c>
      <c r="C9" s="4" t="s">
        <v>21</v>
      </c>
      <c r="D9" s="4" t="s">
        <v>10</v>
      </c>
      <c r="E9" s="4">
        <v>30</v>
      </c>
      <c r="F9" s="4" t="str">
        <f>IF(Table1567[[#This Row],[Age]]&lt;=19,"Teenager",IF(Table1567[[#This Row],[Age]]&lt;=40,"Median","Old"))</f>
        <v>Median</v>
      </c>
      <c r="G9" s="4" t="s">
        <v>16</v>
      </c>
      <c r="H9" s="4">
        <v>4</v>
      </c>
      <c r="I9" s="4">
        <v>25</v>
      </c>
      <c r="J9" s="4">
        <v>100</v>
      </c>
      <c r="K9" s="4" t="str" cm="1">
        <f t="array" ref="K9">_xlfn.IFS(AND(Table1567[[#This Row],[Total Amount]]&gt;=1500),"Critical",AND(Table1567[[#This Row],[Total Amount]]&gt;=1000),"High",TRUE,"Normal")</f>
        <v>Normal</v>
      </c>
      <c r="L9" s="4" t="str">
        <f>IF(Table1567[[#This Row],[Total Amount]]&gt;=1000,"High",(IF(Table1567[[#This Row],[Total Amount]]&gt;=500,"Medium","Low")))</f>
        <v>Low</v>
      </c>
      <c r="M9" s="4" t="str" cm="1">
        <f t="array" ref="M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" s="4" cm="1">
        <f t="array" ref="N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9" s="4">
        <f>Table1567[[#This Row],[Total Amount]]-Table1567[[#This Row],[Discount Amount]]</f>
        <v>85</v>
      </c>
      <c r="P9" s="4" t="str">
        <f>IF(Table1567[[#This Row],[Total Amount]]&gt;=1000,"High","Low")</f>
        <v>Low</v>
      </c>
      <c r="Q9" s="4" t="str" cm="1">
        <f t="array" ref="Q9">_xlfn.IFS(AND(Table1567[[#This Row],[Total Amount]]&gt;=1500,"Critical"),AND(Table1567[[#This Row],[Total Amount]]&gt;=1000,"High"),TRUE,"Normal")</f>
        <v>Normal</v>
      </c>
      <c r="R9" s="4" t="str">
        <f>CONCATENATE(Table1567[[#This Row],[Customer ID]], "-",Table1567[[#This Row],[Age]])</f>
        <v>CUST008-30</v>
      </c>
      <c r="S9" s="4" t="str">
        <f>TEXT(Table1567[[#This Row],[Date]],"mmm")</f>
        <v>Feb</v>
      </c>
      <c r="T9" s="4" t="str">
        <f>TEXT(Table1567[[#This Row],[Date]],"DDD")</f>
        <v>Wed</v>
      </c>
    </row>
    <row r="10" spans="1:20" ht="29" x14ac:dyDescent="0.35">
      <c r="A10" s="4">
        <v>9</v>
      </c>
      <c r="B10" s="5">
        <v>45273</v>
      </c>
      <c r="C10" s="4" t="s">
        <v>22</v>
      </c>
      <c r="D10" s="4" t="s">
        <v>10</v>
      </c>
      <c r="E10" s="4">
        <v>63</v>
      </c>
      <c r="F10" s="4" t="str">
        <f>IF(Table1567[[#This Row],[Age]]&lt;=19,"Teenager",IF(Table1567[[#This Row],[Age]]&lt;=40,"Median","Old"))</f>
        <v>Old</v>
      </c>
      <c r="G10" s="4" t="s">
        <v>16</v>
      </c>
      <c r="H10" s="4">
        <v>2</v>
      </c>
      <c r="I10" s="4">
        <v>300</v>
      </c>
      <c r="J10" s="4">
        <v>600</v>
      </c>
      <c r="K10" s="4" t="str" cm="1">
        <f t="array" ref="K10">_xlfn.IFS(AND(Table1567[[#This Row],[Total Amount]]&gt;=1500),"Critical",AND(Table1567[[#This Row],[Total Amount]]&gt;=1000),"High",TRUE,"Normal")</f>
        <v>Normal</v>
      </c>
      <c r="L10" s="4" t="str">
        <f>IF(Table1567[[#This Row],[Total Amount]]&gt;=1000,"High",(IF(Table1567[[#This Row],[Total Amount]]&gt;=500,"Medium","Low")))</f>
        <v>Medium</v>
      </c>
      <c r="M10" s="4" t="str" cm="1">
        <f t="array" ref="M1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0" s="4" cm="1">
        <f t="array" ref="N1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10" s="4">
        <f>Table1567[[#This Row],[Total Amount]]-Table1567[[#This Row],[Discount Amount]]</f>
        <v>540</v>
      </c>
      <c r="P10" s="4" t="str">
        <f>IF(Table1567[[#This Row],[Total Amount]]&gt;=1000,"High","Low")</f>
        <v>Low</v>
      </c>
      <c r="Q10" s="4" t="str" cm="1">
        <f t="array" ref="Q10">_xlfn.IFS(AND(Table1567[[#This Row],[Total Amount]]&gt;=1500,"Critical"),AND(Table1567[[#This Row],[Total Amount]]&gt;=1000,"High"),TRUE,"Normal")</f>
        <v>Normal</v>
      </c>
      <c r="R10" s="4" t="str">
        <f>CONCATENATE(Table1567[[#This Row],[Customer ID]], "-",Table1567[[#This Row],[Age]])</f>
        <v>CUST009-63</v>
      </c>
      <c r="S10" s="4" t="str">
        <f>TEXT(Table1567[[#This Row],[Date]],"mmm")</f>
        <v>Dec</v>
      </c>
      <c r="T10" s="4" t="str">
        <f>TEXT(Table1567[[#This Row],[Date]],"DDD")</f>
        <v>Wed</v>
      </c>
    </row>
    <row r="11" spans="1:20" ht="29" x14ac:dyDescent="0.35">
      <c r="A11" s="4">
        <v>10</v>
      </c>
      <c r="B11" s="5">
        <v>45206</v>
      </c>
      <c r="C11" s="4" t="s">
        <v>23</v>
      </c>
      <c r="D11" s="4" t="s">
        <v>13</v>
      </c>
      <c r="E11" s="4">
        <v>52</v>
      </c>
      <c r="F11" s="4" t="str">
        <f>IF(Table1567[[#This Row],[Age]]&lt;=19,"Teenager",IF(Table1567[[#This Row],[Age]]&lt;=40,"Median","Old"))</f>
        <v>Old</v>
      </c>
      <c r="G11" s="4" t="s">
        <v>14</v>
      </c>
      <c r="H11" s="4">
        <v>4</v>
      </c>
      <c r="I11" s="4">
        <v>50</v>
      </c>
      <c r="J11" s="4">
        <v>200</v>
      </c>
      <c r="K11" s="4" t="str" cm="1">
        <f t="array" ref="K11">_xlfn.IFS(AND(Table1567[[#This Row],[Total Amount]]&gt;=1500),"Critical",AND(Table1567[[#This Row],[Total Amount]]&gt;=1000),"High",TRUE,"Normal")</f>
        <v>Normal</v>
      </c>
      <c r="L11" s="4" t="str">
        <f>IF(Table1567[[#This Row],[Total Amount]]&gt;=1000,"High",(IF(Table1567[[#This Row],[Total Amount]]&gt;=500,"Medium","Low")))</f>
        <v>Low</v>
      </c>
      <c r="M11" s="4" t="str" cm="1">
        <f t="array" ref="M1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1" s="4" cm="1">
        <f t="array" ref="N1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</v>
      </c>
      <c r="O11" s="4">
        <f>Table1567[[#This Row],[Total Amount]]-Table1567[[#This Row],[Discount Amount]]</f>
        <v>160</v>
      </c>
      <c r="P11" s="4" t="str">
        <f>IF(Table1567[[#This Row],[Total Amount]]&gt;=1000,"High","Low")</f>
        <v>Low</v>
      </c>
      <c r="Q11" s="4" t="str" cm="1">
        <f t="array" ref="Q11">_xlfn.IFS(AND(Table1567[[#This Row],[Total Amount]]&gt;=1500,"Critical"),AND(Table1567[[#This Row],[Total Amount]]&gt;=1000,"High"),TRUE,"Normal")</f>
        <v>Normal</v>
      </c>
      <c r="R11" s="4" t="str">
        <f>CONCATENATE(Table1567[[#This Row],[Customer ID]], "-",Table1567[[#This Row],[Age]])</f>
        <v>CUST010-52</v>
      </c>
      <c r="S11" s="4" t="str">
        <f>TEXT(Table1567[[#This Row],[Date]],"mmm")</f>
        <v>Oct</v>
      </c>
      <c r="T11" s="4" t="str">
        <f>TEXT(Table1567[[#This Row],[Date]],"DDD")</f>
        <v>Sat</v>
      </c>
    </row>
    <row r="12" spans="1:20" ht="29" x14ac:dyDescent="0.35">
      <c r="A12" s="4">
        <v>11</v>
      </c>
      <c r="B12" s="5">
        <v>44971</v>
      </c>
      <c r="C12" s="4" t="s">
        <v>24</v>
      </c>
      <c r="D12" s="4" t="s">
        <v>10</v>
      </c>
      <c r="E12" s="4">
        <v>23</v>
      </c>
      <c r="F12" s="4" t="str">
        <f>IF(Table1567[[#This Row],[Age]]&lt;=19,"Teenager",IF(Table1567[[#This Row],[Age]]&lt;=40,"Median","Old"))</f>
        <v>Median</v>
      </c>
      <c r="G12" s="4" t="s">
        <v>14</v>
      </c>
      <c r="H12" s="4">
        <v>2</v>
      </c>
      <c r="I12" s="4">
        <v>50</v>
      </c>
      <c r="J12" s="4">
        <v>100</v>
      </c>
      <c r="K12" s="4" t="str" cm="1">
        <f t="array" ref="K12">_xlfn.IFS(AND(Table1567[[#This Row],[Total Amount]]&gt;=1500),"Critical",AND(Table1567[[#This Row],[Total Amount]]&gt;=1000),"High",TRUE,"Normal")</f>
        <v>Normal</v>
      </c>
      <c r="L12" s="4" t="str">
        <f>IF(Table1567[[#This Row],[Total Amount]]&gt;=1000,"High",(IF(Table1567[[#This Row],[Total Amount]]&gt;=500,"Medium","Low")))</f>
        <v>Low</v>
      </c>
      <c r="M12" s="4" t="str" cm="1">
        <f t="array" ref="M1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2" s="4" cm="1">
        <f t="array" ref="N1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2" s="4">
        <f>Table1567[[#This Row],[Total Amount]]-Table1567[[#This Row],[Discount Amount]]</f>
        <v>100</v>
      </c>
      <c r="P12" s="4" t="str">
        <f>IF(Table1567[[#This Row],[Total Amount]]&gt;=1000,"High","Low")</f>
        <v>Low</v>
      </c>
      <c r="Q12" s="4" t="str" cm="1">
        <f t="array" ref="Q12">_xlfn.IFS(AND(Table1567[[#This Row],[Total Amount]]&gt;=1500,"Critical"),AND(Table1567[[#This Row],[Total Amount]]&gt;=1000,"High"),TRUE,"Normal")</f>
        <v>Normal</v>
      </c>
      <c r="R12" s="4" t="str">
        <f>CONCATENATE(Table1567[[#This Row],[Customer ID]], "-",Table1567[[#This Row],[Age]])</f>
        <v>CUST011-23</v>
      </c>
      <c r="S12" s="4" t="str">
        <f>TEXT(Table1567[[#This Row],[Date]],"mmm")</f>
        <v>Feb</v>
      </c>
      <c r="T12" s="4" t="str">
        <f>TEXT(Table1567[[#This Row],[Date]],"DDD")</f>
        <v>Tue</v>
      </c>
    </row>
    <row r="13" spans="1:20" ht="29" x14ac:dyDescent="0.35">
      <c r="A13" s="4">
        <v>12</v>
      </c>
      <c r="B13" s="5">
        <v>45229</v>
      </c>
      <c r="C13" s="4" t="s">
        <v>25</v>
      </c>
      <c r="D13" s="4" t="s">
        <v>10</v>
      </c>
      <c r="E13" s="4">
        <v>35</v>
      </c>
      <c r="F13" s="4" t="str">
        <f>IF(Table1567[[#This Row],[Age]]&lt;=19,"Teenager",IF(Table1567[[#This Row],[Age]]&lt;=40,"Median","Old"))</f>
        <v>Median</v>
      </c>
      <c r="G13" s="4" t="s">
        <v>11</v>
      </c>
      <c r="H13" s="4">
        <v>3</v>
      </c>
      <c r="I13" s="4">
        <v>25</v>
      </c>
      <c r="J13" s="4">
        <v>75</v>
      </c>
      <c r="K13" s="4" t="str" cm="1">
        <f t="array" ref="K13">_xlfn.IFS(AND(Table1567[[#This Row],[Total Amount]]&gt;=1500),"Critical",AND(Table1567[[#This Row],[Total Amount]]&gt;=1000),"High",TRUE,"Normal")</f>
        <v>Normal</v>
      </c>
      <c r="L13" s="4" t="str">
        <f>IF(Table1567[[#This Row],[Total Amount]]&gt;=1000,"High",(IF(Table1567[[#This Row],[Total Amount]]&gt;=500,"Medium","Low")))</f>
        <v>Low</v>
      </c>
      <c r="M13" s="4" t="str" cm="1">
        <f t="array" ref="M1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3" s="4" cm="1">
        <f t="array" ref="N1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13" s="4">
        <f>Table1567[[#This Row],[Total Amount]]-Table1567[[#This Row],[Discount Amount]]</f>
        <v>67.5</v>
      </c>
      <c r="P13" s="4" t="str">
        <f>IF(Table1567[[#This Row],[Total Amount]]&gt;=1000,"High","Low")</f>
        <v>Low</v>
      </c>
      <c r="Q13" s="4" t="str" cm="1">
        <f t="array" ref="Q13">_xlfn.IFS(AND(Table1567[[#This Row],[Total Amount]]&gt;=1500,"Critical"),AND(Table1567[[#This Row],[Total Amount]]&gt;=1000,"High"),TRUE,"Normal")</f>
        <v>Normal</v>
      </c>
      <c r="R13" s="4" t="str">
        <f>CONCATENATE(Table1567[[#This Row],[Customer ID]], "-",Table1567[[#This Row],[Age]])</f>
        <v>CUST012-35</v>
      </c>
      <c r="S13" s="4" t="str">
        <f>TEXT(Table1567[[#This Row],[Date]],"mmm")</f>
        <v>Oct</v>
      </c>
      <c r="T13" s="4" t="str">
        <f>TEXT(Table1567[[#This Row],[Date]],"DDD")</f>
        <v>Mon</v>
      </c>
    </row>
    <row r="14" spans="1:20" ht="29" x14ac:dyDescent="0.35">
      <c r="A14" s="4">
        <v>13</v>
      </c>
      <c r="B14" s="5">
        <v>45143</v>
      </c>
      <c r="C14" s="4" t="s">
        <v>26</v>
      </c>
      <c r="D14" s="4" t="s">
        <v>10</v>
      </c>
      <c r="E14" s="4">
        <v>22</v>
      </c>
      <c r="F14" s="4" t="str">
        <f>IF(Table1567[[#This Row],[Age]]&lt;=19,"Teenager",IF(Table1567[[#This Row],[Age]]&lt;=40,"Median","Old"))</f>
        <v>Median</v>
      </c>
      <c r="G14" s="4" t="s">
        <v>16</v>
      </c>
      <c r="H14" s="4">
        <v>3</v>
      </c>
      <c r="I14" s="4">
        <v>500</v>
      </c>
      <c r="J14" s="4">
        <v>1500</v>
      </c>
      <c r="K14" s="4" t="str" cm="1">
        <f t="array" ref="K14">_xlfn.IFS(AND(Table1567[[#This Row],[Total Amount]]&gt;=1500),"Critical",AND(Table1567[[#This Row],[Total Amount]]&gt;=1000),"High",TRUE,"Normal")</f>
        <v>Critical</v>
      </c>
      <c r="L14" s="4" t="str">
        <f>IF(Table1567[[#This Row],[Total Amount]]&gt;=1000,"High",(IF(Table1567[[#This Row],[Total Amount]]&gt;=500,"Medium","Low")))</f>
        <v>High</v>
      </c>
      <c r="M14" s="4" t="str" cm="1">
        <f t="array" ref="M1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4" s="4" cm="1">
        <f t="array" ref="N1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4" s="4">
        <f>Table1567[[#This Row],[Total Amount]]-Table1567[[#This Row],[Discount Amount]]</f>
        <v>1500</v>
      </c>
      <c r="P14" s="4" t="str">
        <f>IF(Table1567[[#This Row],[Total Amount]]&gt;=1000,"High","Low")</f>
        <v>High</v>
      </c>
      <c r="Q14" s="4" t="b" cm="1">
        <f t="array" ref="Q14">_xlfn.IFS(AND(Table1567[[#This Row],[Total Amount]]&gt;=1500,"Critical"),AND(Table1567[[#This Row],[Total Amount]]&gt;=1000,"High"),TRUE,"Normal")</f>
        <v>1</v>
      </c>
      <c r="R14" s="4" t="str">
        <f>CONCATENATE(Table1567[[#This Row],[Customer ID]], "-",Table1567[[#This Row],[Age]])</f>
        <v>CUST013-22</v>
      </c>
      <c r="S14" s="4" t="str">
        <f>TEXT(Table1567[[#This Row],[Date]],"mmm")</f>
        <v>Aug</v>
      </c>
      <c r="T14" s="4" t="str">
        <f>TEXT(Table1567[[#This Row],[Date]],"DDD")</f>
        <v>Sat</v>
      </c>
    </row>
    <row r="15" spans="1:20" ht="29" x14ac:dyDescent="0.35">
      <c r="A15" s="4">
        <v>14</v>
      </c>
      <c r="B15" s="5">
        <v>44943</v>
      </c>
      <c r="C15" s="4" t="s">
        <v>27</v>
      </c>
      <c r="D15" s="4" t="s">
        <v>10</v>
      </c>
      <c r="E15" s="4">
        <v>64</v>
      </c>
      <c r="F15" s="4" t="str">
        <f>IF(Table1567[[#This Row],[Age]]&lt;=19,"Teenager",IF(Table1567[[#This Row],[Age]]&lt;=40,"Median","Old"))</f>
        <v>Old</v>
      </c>
      <c r="G15" s="4" t="s">
        <v>14</v>
      </c>
      <c r="H15" s="4">
        <v>4</v>
      </c>
      <c r="I15" s="4">
        <v>30</v>
      </c>
      <c r="J15" s="4">
        <v>120</v>
      </c>
      <c r="K15" s="4" t="str" cm="1">
        <f t="array" ref="K15">_xlfn.IFS(AND(Table1567[[#This Row],[Total Amount]]&gt;=1500),"Critical",AND(Table1567[[#This Row],[Total Amount]]&gt;=1000),"High",TRUE,"Normal")</f>
        <v>Normal</v>
      </c>
      <c r="L15" s="4" t="str">
        <f>IF(Table1567[[#This Row],[Total Amount]]&gt;=1000,"High",(IF(Table1567[[#This Row],[Total Amount]]&gt;=500,"Medium","Low")))</f>
        <v>Low</v>
      </c>
      <c r="M15" s="4" t="str" cm="1">
        <f t="array" ref="M1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5" s="4" cm="1">
        <f t="array" ref="N1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15" s="4">
        <f>Table1567[[#This Row],[Total Amount]]-Table1567[[#This Row],[Discount Amount]]</f>
        <v>108</v>
      </c>
      <c r="P15" s="4" t="str">
        <f>IF(Table1567[[#This Row],[Total Amount]]&gt;=1000,"High","Low")</f>
        <v>Low</v>
      </c>
      <c r="Q15" s="4" t="str" cm="1">
        <f t="array" ref="Q15">_xlfn.IFS(AND(Table1567[[#This Row],[Total Amount]]&gt;=1500,"Critical"),AND(Table1567[[#This Row],[Total Amount]]&gt;=1000,"High"),TRUE,"Normal")</f>
        <v>Normal</v>
      </c>
      <c r="R15" s="4" t="str">
        <f>CONCATENATE(Table1567[[#This Row],[Customer ID]], "-",Table1567[[#This Row],[Age]])</f>
        <v>CUST014-64</v>
      </c>
      <c r="S15" s="4" t="str">
        <f>TEXT(Table1567[[#This Row],[Date]],"mmm")</f>
        <v>Jan</v>
      </c>
      <c r="T15" s="4" t="str">
        <f>TEXT(Table1567[[#This Row],[Date]],"DDD")</f>
        <v>Tue</v>
      </c>
    </row>
    <row r="16" spans="1:20" ht="29" x14ac:dyDescent="0.35">
      <c r="A16" s="4">
        <v>15</v>
      </c>
      <c r="B16" s="5">
        <v>44942</v>
      </c>
      <c r="C16" s="4" t="s">
        <v>28</v>
      </c>
      <c r="D16" s="4" t="s">
        <v>13</v>
      </c>
      <c r="E16" s="4">
        <v>42</v>
      </c>
      <c r="F16" s="4" t="str">
        <f>IF(Table1567[[#This Row],[Age]]&lt;=19,"Teenager",IF(Table1567[[#This Row],[Age]]&lt;=40,"Median","Old"))</f>
        <v>Old</v>
      </c>
      <c r="G16" s="4" t="s">
        <v>16</v>
      </c>
      <c r="H16" s="4">
        <v>4</v>
      </c>
      <c r="I16" s="4">
        <v>500</v>
      </c>
      <c r="J16" s="4">
        <v>2000</v>
      </c>
      <c r="K16" s="4" t="str" cm="1">
        <f t="array" ref="K16">_xlfn.IFS(AND(Table1567[[#This Row],[Total Amount]]&gt;=1500),"Critical",AND(Table1567[[#This Row],[Total Amount]]&gt;=1000),"High",TRUE,"Normal")</f>
        <v>Critical</v>
      </c>
      <c r="L16" s="4" t="str">
        <f>IF(Table1567[[#This Row],[Total Amount]]&gt;=1000,"High",(IF(Table1567[[#This Row],[Total Amount]]&gt;=500,"Medium","Low")))</f>
        <v>High</v>
      </c>
      <c r="M16" s="4" t="str" cm="1">
        <f t="array" ref="M1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6" s="4" cm="1">
        <f t="array" ref="N1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400</v>
      </c>
      <c r="O16" s="4">
        <f>Table1567[[#This Row],[Total Amount]]-Table1567[[#This Row],[Discount Amount]]</f>
        <v>1600</v>
      </c>
      <c r="P16" s="4" t="str">
        <f>IF(Table1567[[#This Row],[Total Amount]]&gt;=1000,"High","Low")</f>
        <v>High</v>
      </c>
      <c r="Q16" s="4" t="b" cm="1">
        <f t="array" ref="Q16">_xlfn.IFS(AND(Table1567[[#This Row],[Total Amount]]&gt;=1500,"Critical"),AND(Table1567[[#This Row],[Total Amount]]&gt;=1000,"High"),TRUE,"Normal")</f>
        <v>1</v>
      </c>
      <c r="R16" s="4" t="str">
        <f>CONCATENATE(Table1567[[#This Row],[Customer ID]], "-",Table1567[[#This Row],[Age]])</f>
        <v>CUST015-42</v>
      </c>
      <c r="S16" s="4" t="str">
        <f>TEXT(Table1567[[#This Row],[Date]],"mmm")</f>
        <v>Jan</v>
      </c>
      <c r="T16" s="4" t="str">
        <f>TEXT(Table1567[[#This Row],[Date]],"DDD")</f>
        <v>Mon</v>
      </c>
    </row>
    <row r="17" spans="1:20" ht="29" x14ac:dyDescent="0.35">
      <c r="A17" s="4">
        <v>16</v>
      </c>
      <c r="B17" s="5">
        <v>44974</v>
      </c>
      <c r="C17" s="4" t="s">
        <v>29</v>
      </c>
      <c r="D17" s="4" t="s">
        <v>10</v>
      </c>
      <c r="E17" s="4">
        <v>19</v>
      </c>
      <c r="F17" s="4" t="str">
        <f>IF(Table1567[[#This Row],[Age]]&lt;=19,"Teenager",IF(Table1567[[#This Row],[Age]]&lt;=40,"Median","Old"))</f>
        <v>Teenager</v>
      </c>
      <c r="G17" s="4" t="s">
        <v>14</v>
      </c>
      <c r="H17" s="4">
        <v>3</v>
      </c>
      <c r="I17" s="4">
        <v>500</v>
      </c>
      <c r="J17" s="4">
        <v>1500</v>
      </c>
      <c r="K17" s="4" t="str" cm="1">
        <f t="array" ref="K17">_xlfn.IFS(AND(Table1567[[#This Row],[Total Amount]]&gt;=1500),"Critical",AND(Table1567[[#This Row],[Total Amount]]&gt;=1000),"High",TRUE,"Normal")</f>
        <v>Critical</v>
      </c>
      <c r="L17" s="4" t="str">
        <f>IF(Table1567[[#This Row],[Total Amount]]&gt;=1000,"High",(IF(Table1567[[#This Row],[Total Amount]]&gt;=500,"Medium","Low")))</f>
        <v>High</v>
      </c>
      <c r="M17" s="4" t="str" cm="1">
        <f t="array" ref="M1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7" s="4" cm="1">
        <f t="array" ref="N1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7" s="4">
        <f>Table1567[[#This Row],[Total Amount]]-Table1567[[#This Row],[Discount Amount]]</f>
        <v>1500</v>
      </c>
      <c r="P17" s="4" t="str">
        <f>IF(Table1567[[#This Row],[Total Amount]]&gt;=1000,"High","Low")</f>
        <v>High</v>
      </c>
      <c r="Q17" s="4" t="b" cm="1">
        <f t="array" ref="Q17">_xlfn.IFS(AND(Table1567[[#This Row],[Total Amount]]&gt;=1500,"Critical"),AND(Table1567[[#This Row],[Total Amount]]&gt;=1000,"High"),TRUE,"Normal")</f>
        <v>1</v>
      </c>
      <c r="R17" s="4" t="str">
        <f>CONCATENATE(Table1567[[#This Row],[Customer ID]], "-",Table1567[[#This Row],[Age]])</f>
        <v>CUST016-19</v>
      </c>
      <c r="S17" s="4" t="str">
        <f>TEXT(Table1567[[#This Row],[Date]],"mmm")</f>
        <v>Feb</v>
      </c>
      <c r="T17" s="4" t="str">
        <f>TEXT(Table1567[[#This Row],[Date]],"DDD")</f>
        <v>Fri</v>
      </c>
    </row>
    <row r="18" spans="1:20" ht="29" x14ac:dyDescent="0.35">
      <c r="A18" s="4">
        <v>17</v>
      </c>
      <c r="B18" s="5">
        <v>45038</v>
      </c>
      <c r="C18" s="4" t="s">
        <v>30</v>
      </c>
      <c r="D18" s="4" t="s">
        <v>13</v>
      </c>
      <c r="E18" s="4">
        <v>27</v>
      </c>
      <c r="F18" s="4" t="str">
        <f>IF(Table1567[[#This Row],[Age]]&lt;=19,"Teenager",IF(Table1567[[#This Row],[Age]]&lt;=40,"Median","Old"))</f>
        <v>Median</v>
      </c>
      <c r="G18" s="4" t="s">
        <v>14</v>
      </c>
      <c r="H18" s="4">
        <v>4</v>
      </c>
      <c r="I18" s="4">
        <v>25</v>
      </c>
      <c r="J18" s="4">
        <v>100</v>
      </c>
      <c r="K18" s="4" t="str" cm="1">
        <f t="array" ref="K18">_xlfn.IFS(AND(Table1567[[#This Row],[Total Amount]]&gt;=1500),"Critical",AND(Table1567[[#This Row],[Total Amount]]&gt;=1000),"High",TRUE,"Normal")</f>
        <v>Normal</v>
      </c>
      <c r="L18" s="4" t="str">
        <f>IF(Table1567[[#This Row],[Total Amount]]&gt;=1000,"High",(IF(Table1567[[#This Row],[Total Amount]]&gt;=500,"Medium","Low")))</f>
        <v>Low</v>
      </c>
      <c r="M18" s="4" t="str" cm="1">
        <f t="array" ref="M1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8" s="4" cm="1">
        <f t="array" ref="N1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18" s="4">
        <f>Table1567[[#This Row],[Total Amount]]-Table1567[[#This Row],[Discount Amount]]</f>
        <v>85</v>
      </c>
      <c r="P18" s="4" t="str">
        <f>IF(Table1567[[#This Row],[Total Amount]]&gt;=1000,"High","Low")</f>
        <v>Low</v>
      </c>
      <c r="Q18" s="4" t="str" cm="1">
        <f t="array" ref="Q18">_xlfn.IFS(AND(Table1567[[#This Row],[Total Amount]]&gt;=1500,"Critical"),AND(Table1567[[#This Row],[Total Amount]]&gt;=1000,"High"),TRUE,"Normal")</f>
        <v>Normal</v>
      </c>
      <c r="R18" s="4" t="str">
        <f>CONCATENATE(Table1567[[#This Row],[Customer ID]], "-",Table1567[[#This Row],[Age]])</f>
        <v>CUST017-27</v>
      </c>
      <c r="S18" s="4" t="str">
        <f>TEXT(Table1567[[#This Row],[Date]],"mmm")</f>
        <v>Apr</v>
      </c>
      <c r="T18" s="4" t="str">
        <f>TEXT(Table1567[[#This Row],[Date]],"DDD")</f>
        <v>Sat</v>
      </c>
    </row>
    <row r="19" spans="1:20" ht="29" x14ac:dyDescent="0.35">
      <c r="A19" s="4">
        <v>18</v>
      </c>
      <c r="B19" s="5">
        <v>45046</v>
      </c>
      <c r="C19" s="4" t="s">
        <v>31</v>
      </c>
      <c r="D19" s="4" t="s">
        <v>13</v>
      </c>
      <c r="E19" s="4">
        <v>47</v>
      </c>
      <c r="F19" s="4" t="str">
        <f>IF(Table1567[[#This Row],[Age]]&lt;=19,"Teenager",IF(Table1567[[#This Row],[Age]]&lt;=40,"Median","Old"))</f>
        <v>Old</v>
      </c>
      <c r="G19" s="4" t="s">
        <v>16</v>
      </c>
      <c r="H19" s="4">
        <v>2</v>
      </c>
      <c r="I19" s="4">
        <v>25</v>
      </c>
      <c r="J19" s="4">
        <v>50</v>
      </c>
      <c r="K19" s="4" t="str" cm="1">
        <f t="array" ref="K19">_xlfn.IFS(AND(Table1567[[#This Row],[Total Amount]]&gt;=1500),"Critical",AND(Table1567[[#This Row],[Total Amount]]&gt;=1000),"High",TRUE,"Normal")</f>
        <v>Normal</v>
      </c>
      <c r="L19" s="4" t="str">
        <f>IF(Table1567[[#This Row],[Total Amount]]&gt;=1000,"High",(IF(Table1567[[#This Row],[Total Amount]]&gt;=500,"Medium","Low")))</f>
        <v>Low</v>
      </c>
      <c r="M19" s="4" t="str" cm="1">
        <f t="array" ref="M1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9" s="4" cm="1">
        <f t="array" ref="N1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19" s="4">
        <f>Table1567[[#This Row],[Total Amount]]-Table1567[[#This Row],[Discount Amount]]</f>
        <v>40</v>
      </c>
      <c r="P19" s="4" t="str">
        <f>IF(Table1567[[#This Row],[Total Amount]]&gt;=1000,"High","Low")</f>
        <v>Low</v>
      </c>
      <c r="Q19" s="4" t="str" cm="1">
        <f t="array" ref="Q19">_xlfn.IFS(AND(Table1567[[#This Row],[Total Amount]]&gt;=1500,"Critical"),AND(Table1567[[#This Row],[Total Amount]]&gt;=1000,"High"),TRUE,"Normal")</f>
        <v>Normal</v>
      </c>
      <c r="R19" s="4" t="str">
        <f>CONCATENATE(Table1567[[#This Row],[Customer ID]], "-",Table1567[[#This Row],[Age]])</f>
        <v>CUST018-47</v>
      </c>
      <c r="S19" s="4" t="str">
        <f>TEXT(Table1567[[#This Row],[Date]],"mmm")</f>
        <v>Apr</v>
      </c>
      <c r="T19" s="4" t="str">
        <f>TEXT(Table1567[[#This Row],[Date]],"DDD")</f>
        <v>Sun</v>
      </c>
    </row>
    <row r="20" spans="1:20" ht="29" x14ac:dyDescent="0.35">
      <c r="A20" s="4">
        <v>19</v>
      </c>
      <c r="B20" s="5">
        <v>45185</v>
      </c>
      <c r="C20" s="4" t="s">
        <v>32</v>
      </c>
      <c r="D20" s="4" t="s">
        <v>13</v>
      </c>
      <c r="E20" s="4">
        <v>62</v>
      </c>
      <c r="F20" s="4" t="str">
        <f>IF(Table1567[[#This Row],[Age]]&lt;=19,"Teenager",IF(Table1567[[#This Row],[Age]]&lt;=40,"Median","Old"))</f>
        <v>Old</v>
      </c>
      <c r="G20" s="4" t="s">
        <v>14</v>
      </c>
      <c r="H20" s="4">
        <v>2</v>
      </c>
      <c r="I20" s="4">
        <v>25</v>
      </c>
      <c r="J20" s="4">
        <v>50</v>
      </c>
      <c r="K20" s="4" t="str" cm="1">
        <f t="array" ref="K20">_xlfn.IFS(AND(Table1567[[#This Row],[Total Amount]]&gt;=1500),"Critical",AND(Table1567[[#This Row],[Total Amount]]&gt;=1000),"High",TRUE,"Normal")</f>
        <v>Normal</v>
      </c>
      <c r="L20" s="4" t="str">
        <f>IF(Table1567[[#This Row],[Total Amount]]&gt;=1000,"High",(IF(Table1567[[#This Row],[Total Amount]]&gt;=500,"Medium","Low")))</f>
        <v>Low</v>
      </c>
      <c r="M20" s="4" t="str" cm="1">
        <f t="array" ref="M2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0" s="4" cm="1">
        <f t="array" ref="N2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20" s="4">
        <f>Table1567[[#This Row],[Total Amount]]-Table1567[[#This Row],[Discount Amount]]</f>
        <v>40</v>
      </c>
      <c r="P20" s="4" t="str">
        <f>IF(Table1567[[#This Row],[Total Amount]]&gt;=1000,"High","Low")</f>
        <v>Low</v>
      </c>
      <c r="Q20" s="4" t="str" cm="1">
        <f t="array" ref="Q20">_xlfn.IFS(AND(Table1567[[#This Row],[Total Amount]]&gt;=1500,"Critical"),AND(Table1567[[#This Row],[Total Amount]]&gt;=1000,"High"),TRUE,"Normal")</f>
        <v>Normal</v>
      </c>
      <c r="R20" s="4" t="str">
        <f>CONCATENATE(Table1567[[#This Row],[Customer ID]], "-",Table1567[[#This Row],[Age]])</f>
        <v>CUST019-62</v>
      </c>
      <c r="S20" s="4" t="str">
        <f>TEXT(Table1567[[#This Row],[Date]],"mmm")</f>
        <v>Sep</v>
      </c>
      <c r="T20" s="4" t="str">
        <f>TEXT(Table1567[[#This Row],[Date]],"DDD")</f>
        <v>Sat</v>
      </c>
    </row>
    <row r="21" spans="1:20" ht="29" x14ac:dyDescent="0.35">
      <c r="A21" s="4">
        <v>20</v>
      </c>
      <c r="B21" s="5">
        <v>45235</v>
      </c>
      <c r="C21" s="4" t="s">
        <v>33</v>
      </c>
      <c r="D21" s="4" t="s">
        <v>10</v>
      </c>
      <c r="E21" s="4">
        <v>22</v>
      </c>
      <c r="F21" s="4" t="str">
        <f>IF(Table1567[[#This Row],[Age]]&lt;=19,"Teenager",IF(Table1567[[#This Row],[Age]]&lt;=40,"Median","Old"))</f>
        <v>Median</v>
      </c>
      <c r="G21" s="4" t="s">
        <v>14</v>
      </c>
      <c r="H21" s="4">
        <v>3</v>
      </c>
      <c r="I21" s="4">
        <v>300</v>
      </c>
      <c r="J21" s="4">
        <v>900</v>
      </c>
      <c r="K21" s="4" t="str" cm="1">
        <f t="array" ref="K21">_xlfn.IFS(AND(Table1567[[#This Row],[Total Amount]]&gt;=1500),"Critical",AND(Table1567[[#This Row],[Total Amount]]&gt;=1000),"High",TRUE,"Normal")</f>
        <v>Normal</v>
      </c>
      <c r="L21" s="4" t="str">
        <f>IF(Table1567[[#This Row],[Total Amount]]&gt;=1000,"High",(IF(Table1567[[#This Row],[Total Amount]]&gt;=500,"Medium","Low")))</f>
        <v>Medium</v>
      </c>
      <c r="M21" s="4" t="str" cm="1">
        <f t="array" ref="M2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1" s="4" cm="1">
        <f t="array" ref="N2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1" s="4">
        <f>Table1567[[#This Row],[Total Amount]]-Table1567[[#This Row],[Discount Amount]]</f>
        <v>900</v>
      </c>
      <c r="P21" s="4" t="str">
        <f>IF(Table1567[[#This Row],[Total Amount]]&gt;=1000,"High","Low")</f>
        <v>Low</v>
      </c>
      <c r="Q21" s="4" t="str" cm="1">
        <f t="array" ref="Q21">_xlfn.IFS(AND(Table1567[[#This Row],[Total Amount]]&gt;=1500,"Critical"),AND(Table1567[[#This Row],[Total Amount]]&gt;=1000,"High"),TRUE,"Normal")</f>
        <v>Normal</v>
      </c>
      <c r="R21" s="4" t="str">
        <f>CONCATENATE(Table1567[[#This Row],[Customer ID]], "-",Table1567[[#This Row],[Age]])</f>
        <v>CUST020-22</v>
      </c>
      <c r="S21" s="4" t="str">
        <f>TEXT(Table1567[[#This Row],[Date]],"mmm")</f>
        <v>Nov</v>
      </c>
      <c r="T21" s="4" t="str">
        <f>TEXT(Table1567[[#This Row],[Date]],"DDD")</f>
        <v>Sun</v>
      </c>
    </row>
    <row r="22" spans="1:20" ht="29" x14ac:dyDescent="0.35">
      <c r="A22" s="4">
        <v>21</v>
      </c>
      <c r="B22" s="5">
        <v>44940</v>
      </c>
      <c r="C22" s="4" t="s">
        <v>34</v>
      </c>
      <c r="D22" s="4" t="s">
        <v>13</v>
      </c>
      <c r="E22" s="4">
        <v>50</v>
      </c>
      <c r="F22" s="4" t="str">
        <f>IF(Table1567[[#This Row],[Age]]&lt;=19,"Teenager",IF(Table1567[[#This Row],[Age]]&lt;=40,"Median","Old"))</f>
        <v>Old</v>
      </c>
      <c r="G22" s="4" t="s">
        <v>11</v>
      </c>
      <c r="H22" s="4">
        <v>1</v>
      </c>
      <c r="I22" s="4">
        <v>500</v>
      </c>
      <c r="J22" s="4">
        <v>500</v>
      </c>
      <c r="K22" s="4" t="str" cm="1">
        <f t="array" ref="K22">_xlfn.IFS(AND(Table1567[[#This Row],[Total Amount]]&gt;=1500),"Critical",AND(Table1567[[#This Row],[Total Amount]]&gt;=1000),"High",TRUE,"Normal")</f>
        <v>Normal</v>
      </c>
      <c r="L22" s="4" t="str">
        <f>IF(Table1567[[#This Row],[Total Amount]]&gt;=1000,"High",(IF(Table1567[[#This Row],[Total Amount]]&gt;=500,"Medium","Low")))</f>
        <v>Medium</v>
      </c>
      <c r="M22" s="4" t="str" cm="1">
        <f t="array" ref="M2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2" s="4" cm="1">
        <f t="array" ref="N2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22" s="4">
        <f>Table1567[[#This Row],[Total Amount]]-Table1567[[#This Row],[Discount Amount]]</f>
        <v>400</v>
      </c>
      <c r="P22" s="4" t="str">
        <f>IF(Table1567[[#This Row],[Total Amount]]&gt;=1000,"High","Low")</f>
        <v>Low</v>
      </c>
      <c r="Q22" s="4" t="str" cm="1">
        <f t="array" ref="Q22">_xlfn.IFS(AND(Table1567[[#This Row],[Total Amount]]&gt;=1500,"Critical"),AND(Table1567[[#This Row],[Total Amount]]&gt;=1000,"High"),TRUE,"Normal")</f>
        <v>Normal</v>
      </c>
      <c r="R22" s="4" t="str">
        <f>CONCATENATE(Table1567[[#This Row],[Customer ID]], "-",Table1567[[#This Row],[Age]])</f>
        <v>CUST021-50</v>
      </c>
      <c r="S22" s="4" t="str">
        <f>TEXT(Table1567[[#This Row],[Date]],"mmm")</f>
        <v>Jan</v>
      </c>
      <c r="T22" s="4" t="str">
        <f>TEXT(Table1567[[#This Row],[Date]],"DDD")</f>
        <v>Sat</v>
      </c>
    </row>
    <row r="23" spans="1:20" ht="29" x14ac:dyDescent="0.35">
      <c r="A23" s="4">
        <v>22</v>
      </c>
      <c r="B23" s="5">
        <v>45214</v>
      </c>
      <c r="C23" s="4" t="s">
        <v>35</v>
      </c>
      <c r="D23" s="4" t="s">
        <v>10</v>
      </c>
      <c r="E23" s="4">
        <v>18</v>
      </c>
      <c r="F23" s="4" t="str">
        <f>IF(Table1567[[#This Row],[Age]]&lt;=19,"Teenager",IF(Table1567[[#This Row],[Age]]&lt;=40,"Median","Old"))</f>
        <v>Teenager</v>
      </c>
      <c r="G23" s="4" t="s">
        <v>14</v>
      </c>
      <c r="H23" s="4">
        <v>2</v>
      </c>
      <c r="I23" s="4">
        <v>50</v>
      </c>
      <c r="J23" s="4">
        <v>100</v>
      </c>
      <c r="K23" s="4" t="str" cm="1">
        <f t="array" ref="K23">_xlfn.IFS(AND(Table1567[[#This Row],[Total Amount]]&gt;=1500),"Critical",AND(Table1567[[#This Row],[Total Amount]]&gt;=1000),"High",TRUE,"Normal")</f>
        <v>Normal</v>
      </c>
      <c r="L23" s="4" t="str">
        <f>IF(Table1567[[#This Row],[Total Amount]]&gt;=1000,"High",(IF(Table1567[[#This Row],[Total Amount]]&gt;=500,"Medium","Low")))</f>
        <v>Low</v>
      </c>
      <c r="M23" s="4" t="str" cm="1">
        <f t="array" ref="M2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3" s="4" cm="1">
        <f t="array" ref="N2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3" s="4">
        <f>Table1567[[#This Row],[Total Amount]]-Table1567[[#This Row],[Discount Amount]]</f>
        <v>100</v>
      </c>
      <c r="P23" s="4" t="str">
        <f>IF(Table1567[[#This Row],[Total Amount]]&gt;=1000,"High","Low")</f>
        <v>Low</v>
      </c>
      <c r="Q23" s="4" t="str" cm="1">
        <f t="array" ref="Q23">_xlfn.IFS(AND(Table1567[[#This Row],[Total Amount]]&gt;=1500,"Critical"),AND(Table1567[[#This Row],[Total Amount]]&gt;=1000,"High"),TRUE,"Normal")</f>
        <v>Normal</v>
      </c>
      <c r="R23" s="4" t="str">
        <f>CONCATENATE(Table1567[[#This Row],[Customer ID]], "-",Table1567[[#This Row],[Age]])</f>
        <v>CUST022-18</v>
      </c>
      <c r="S23" s="4" t="str">
        <f>TEXT(Table1567[[#This Row],[Date]],"mmm")</f>
        <v>Oct</v>
      </c>
      <c r="T23" s="4" t="str">
        <f>TEXT(Table1567[[#This Row],[Date]],"DDD")</f>
        <v>Sun</v>
      </c>
    </row>
    <row r="24" spans="1:20" ht="29" x14ac:dyDescent="0.35">
      <c r="A24" s="4">
        <v>23</v>
      </c>
      <c r="B24" s="5">
        <v>45028</v>
      </c>
      <c r="C24" s="4" t="s">
        <v>36</v>
      </c>
      <c r="D24" s="4" t="s">
        <v>13</v>
      </c>
      <c r="E24" s="4">
        <v>35</v>
      </c>
      <c r="F24" s="4" t="str">
        <f>IF(Table1567[[#This Row],[Age]]&lt;=19,"Teenager",IF(Table1567[[#This Row],[Age]]&lt;=40,"Median","Old"))</f>
        <v>Median</v>
      </c>
      <c r="G24" s="4" t="s">
        <v>14</v>
      </c>
      <c r="H24" s="4">
        <v>4</v>
      </c>
      <c r="I24" s="4">
        <v>30</v>
      </c>
      <c r="J24" s="4">
        <v>120</v>
      </c>
      <c r="K24" s="4" t="str" cm="1">
        <f t="array" ref="K24">_xlfn.IFS(AND(Table1567[[#This Row],[Total Amount]]&gt;=1500),"Critical",AND(Table1567[[#This Row],[Total Amount]]&gt;=1000),"High",TRUE,"Normal")</f>
        <v>Normal</v>
      </c>
      <c r="L24" s="4" t="str">
        <f>IF(Table1567[[#This Row],[Total Amount]]&gt;=1000,"High",(IF(Table1567[[#This Row],[Total Amount]]&gt;=500,"Medium","Low")))</f>
        <v>Low</v>
      </c>
      <c r="M24" s="4" t="str" cm="1">
        <f t="array" ref="M2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4" s="4" cm="1">
        <f t="array" ref="N2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</v>
      </c>
      <c r="O24" s="4">
        <f>Table1567[[#This Row],[Total Amount]]-Table1567[[#This Row],[Discount Amount]]</f>
        <v>96</v>
      </c>
      <c r="P24" s="4" t="str">
        <f>IF(Table1567[[#This Row],[Total Amount]]&gt;=1000,"High","Low")</f>
        <v>Low</v>
      </c>
      <c r="Q24" s="4" t="str" cm="1">
        <f t="array" ref="Q24">_xlfn.IFS(AND(Table1567[[#This Row],[Total Amount]]&gt;=1500,"Critical"),AND(Table1567[[#This Row],[Total Amount]]&gt;=1000,"High"),TRUE,"Normal")</f>
        <v>Normal</v>
      </c>
      <c r="R24" s="4" t="str">
        <f>CONCATENATE(Table1567[[#This Row],[Customer ID]], "-",Table1567[[#This Row],[Age]])</f>
        <v>CUST023-35</v>
      </c>
      <c r="S24" s="4" t="str">
        <f>TEXT(Table1567[[#This Row],[Date]],"mmm")</f>
        <v>Apr</v>
      </c>
      <c r="T24" s="4" t="str">
        <f>TEXT(Table1567[[#This Row],[Date]],"DDD")</f>
        <v>Wed</v>
      </c>
    </row>
    <row r="25" spans="1:20" ht="29" x14ac:dyDescent="0.35">
      <c r="A25" s="4">
        <v>24</v>
      </c>
      <c r="B25" s="5">
        <v>45259</v>
      </c>
      <c r="C25" s="4" t="s">
        <v>37</v>
      </c>
      <c r="D25" s="4" t="s">
        <v>13</v>
      </c>
      <c r="E25" s="4">
        <v>49</v>
      </c>
      <c r="F25" s="4" t="str">
        <f>IF(Table1567[[#This Row],[Age]]&lt;=19,"Teenager",IF(Table1567[[#This Row],[Age]]&lt;=40,"Median","Old"))</f>
        <v>Old</v>
      </c>
      <c r="G25" s="4" t="s">
        <v>14</v>
      </c>
      <c r="H25" s="4">
        <v>1</v>
      </c>
      <c r="I25" s="4">
        <v>300</v>
      </c>
      <c r="J25" s="4">
        <v>300</v>
      </c>
      <c r="K25" s="4" t="str" cm="1">
        <f t="array" ref="K25">_xlfn.IFS(AND(Table1567[[#This Row],[Total Amount]]&gt;=1500),"Critical",AND(Table1567[[#This Row],[Total Amount]]&gt;=1000),"High",TRUE,"Normal")</f>
        <v>Normal</v>
      </c>
      <c r="L25" s="4" t="str">
        <f>IF(Table1567[[#This Row],[Total Amount]]&gt;=1000,"High",(IF(Table1567[[#This Row],[Total Amount]]&gt;=500,"Medium","Low")))</f>
        <v>Low</v>
      </c>
      <c r="M25" s="4" t="str" cm="1">
        <f t="array" ref="M2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5" s="4" cm="1">
        <f t="array" ref="N2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25" s="4">
        <f>Table1567[[#This Row],[Total Amount]]-Table1567[[#This Row],[Discount Amount]]</f>
        <v>240</v>
      </c>
      <c r="P25" s="4" t="str">
        <f>IF(Table1567[[#This Row],[Total Amount]]&gt;=1000,"High","Low")</f>
        <v>Low</v>
      </c>
      <c r="Q25" s="4" t="str" cm="1">
        <f t="array" ref="Q25">_xlfn.IFS(AND(Table1567[[#This Row],[Total Amount]]&gt;=1500,"Critical"),AND(Table1567[[#This Row],[Total Amount]]&gt;=1000,"High"),TRUE,"Normal")</f>
        <v>Normal</v>
      </c>
      <c r="R25" s="4" t="str">
        <f>CONCATENATE(Table1567[[#This Row],[Customer ID]], "-",Table1567[[#This Row],[Age]])</f>
        <v>CUST024-49</v>
      </c>
      <c r="S25" s="4" t="str">
        <f>TEXT(Table1567[[#This Row],[Date]],"mmm")</f>
        <v>Nov</v>
      </c>
      <c r="T25" s="4" t="str">
        <f>TEXT(Table1567[[#This Row],[Date]],"DDD")</f>
        <v>Wed</v>
      </c>
    </row>
    <row r="26" spans="1:20" ht="29" x14ac:dyDescent="0.35">
      <c r="A26" s="4">
        <v>25</v>
      </c>
      <c r="B26" s="5">
        <v>45286</v>
      </c>
      <c r="C26" s="4" t="s">
        <v>38</v>
      </c>
      <c r="D26" s="4" t="s">
        <v>13</v>
      </c>
      <c r="E26" s="4">
        <v>64</v>
      </c>
      <c r="F26" s="4" t="str">
        <f>IF(Table1567[[#This Row],[Age]]&lt;=19,"Teenager",IF(Table1567[[#This Row],[Age]]&lt;=40,"Median","Old"))</f>
        <v>Old</v>
      </c>
      <c r="G26" s="4" t="s">
        <v>11</v>
      </c>
      <c r="H26" s="4">
        <v>1</v>
      </c>
      <c r="I26" s="4">
        <v>50</v>
      </c>
      <c r="J26" s="4">
        <v>50</v>
      </c>
      <c r="K26" s="4" t="str" cm="1">
        <f t="array" ref="K26">_xlfn.IFS(AND(Table1567[[#This Row],[Total Amount]]&gt;=1500),"Critical",AND(Table1567[[#This Row],[Total Amount]]&gt;=1000),"High",TRUE,"Normal")</f>
        <v>Normal</v>
      </c>
      <c r="L26" s="4" t="str">
        <f>IF(Table1567[[#This Row],[Total Amount]]&gt;=1000,"High",(IF(Table1567[[#This Row],[Total Amount]]&gt;=500,"Medium","Low")))</f>
        <v>Low</v>
      </c>
      <c r="M26" s="4" t="str" cm="1">
        <f t="array" ref="M2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6" s="4" cm="1">
        <f t="array" ref="N2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26" s="4">
        <f>Table1567[[#This Row],[Total Amount]]-Table1567[[#This Row],[Discount Amount]]</f>
        <v>40</v>
      </c>
      <c r="P26" s="4" t="str">
        <f>IF(Table1567[[#This Row],[Total Amount]]&gt;=1000,"High","Low")</f>
        <v>Low</v>
      </c>
      <c r="Q26" s="4" t="str" cm="1">
        <f t="array" ref="Q26">_xlfn.IFS(AND(Table1567[[#This Row],[Total Amount]]&gt;=1500,"Critical"),AND(Table1567[[#This Row],[Total Amount]]&gt;=1000,"High"),TRUE,"Normal")</f>
        <v>Normal</v>
      </c>
      <c r="R26" s="4" t="str">
        <f>CONCATENATE(Table1567[[#This Row],[Customer ID]], "-",Table1567[[#This Row],[Age]])</f>
        <v>CUST025-64</v>
      </c>
      <c r="S26" s="4" t="str">
        <f>TEXT(Table1567[[#This Row],[Date]],"mmm")</f>
        <v>Dec</v>
      </c>
      <c r="T26" s="4" t="str">
        <f>TEXT(Table1567[[#This Row],[Date]],"DDD")</f>
        <v>Tue</v>
      </c>
    </row>
    <row r="27" spans="1:20" ht="29" x14ac:dyDescent="0.35">
      <c r="A27" s="4">
        <v>26</v>
      </c>
      <c r="B27" s="5">
        <v>45206</v>
      </c>
      <c r="C27" s="4" t="s">
        <v>39</v>
      </c>
      <c r="D27" s="4" t="s">
        <v>13</v>
      </c>
      <c r="E27" s="4">
        <v>28</v>
      </c>
      <c r="F27" s="4" t="str">
        <f>IF(Table1567[[#This Row],[Age]]&lt;=19,"Teenager",IF(Table1567[[#This Row],[Age]]&lt;=40,"Median","Old"))</f>
        <v>Median</v>
      </c>
      <c r="G27" s="4" t="s">
        <v>16</v>
      </c>
      <c r="H27" s="4">
        <v>2</v>
      </c>
      <c r="I27" s="4">
        <v>500</v>
      </c>
      <c r="J27" s="4">
        <v>1000</v>
      </c>
      <c r="K27" s="4" t="str" cm="1">
        <f t="array" ref="K27">_xlfn.IFS(AND(Table1567[[#This Row],[Total Amount]]&gt;=1500),"Critical",AND(Table1567[[#This Row],[Total Amount]]&gt;=1000),"High",TRUE,"Normal")</f>
        <v>High</v>
      </c>
      <c r="L27" s="4" t="str">
        <f>IF(Table1567[[#This Row],[Total Amount]]&gt;=1000,"High",(IF(Table1567[[#This Row],[Total Amount]]&gt;=500,"Medium","Low")))</f>
        <v>High</v>
      </c>
      <c r="M27" s="4" t="str" cm="1">
        <f t="array" ref="M2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7" s="4" cm="1">
        <f t="array" ref="N2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27" s="4">
        <f>Table1567[[#This Row],[Total Amount]]-Table1567[[#This Row],[Discount Amount]]</f>
        <v>850</v>
      </c>
      <c r="P27" s="4" t="str">
        <f>IF(Table1567[[#This Row],[Total Amount]]&gt;=1000,"High","Low")</f>
        <v>High</v>
      </c>
      <c r="Q27" s="4" t="str" cm="1">
        <f t="array" ref="Q27">_xlfn.IFS(AND(Table1567[[#This Row],[Total Amount]]&gt;=1500,"Critical"),AND(Table1567[[#This Row],[Total Amount]]&gt;=1000,"High"),TRUE,"Normal")</f>
        <v>Normal</v>
      </c>
      <c r="R27" s="4" t="str">
        <f>CONCATENATE(Table1567[[#This Row],[Customer ID]], "-",Table1567[[#This Row],[Age]])</f>
        <v>CUST026-28</v>
      </c>
      <c r="S27" s="4" t="str">
        <f>TEXT(Table1567[[#This Row],[Date]],"mmm")</f>
        <v>Oct</v>
      </c>
      <c r="T27" s="4" t="str">
        <f>TEXT(Table1567[[#This Row],[Date]],"DDD")</f>
        <v>Sat</v>
      </c>
    </row>
    <row r="28" spans="1:20" ht="29" x14ac:dyDescent="0.35">
      <c r="A28" s="4">
        <v>27</v>
      </c>
      <c r="B28" s="5">
        <v>45141</v>
      </c>
      <c r="C28" s="4" t="s">
        <v>40</v>
      </c>
      <c r="D28" s="4" t="s">
        <v>13</v>
      </c>
      <c r="E28" s="4">
        <v>38</v>
      </c>
      <c r="F28" s="4" t="str">
        <f>IF(Table1567[[#This Row],[Age]]&lt;=19,"Teenager",IF(Table1567[[#This Row],[Age]]&lt;=40,"Median","Old"))</f>
        <v>Median</v>
      </c>
      <c r="G28" s="4" t="s">
        <v>11</v>
      </c>
      <c r="H28" s="4">
        <v>2</v>
      </c>
      <c r="I28" s="4">
        <v>25</v>
      </c>
      <c r="J28" s="4">
        <v>50</v>
      </c>
      <c r="K28" s="4" t="str" cm="1">
        <f t="array" ref="K28">_xlfn.IFS(AND(Table1567[[#This Row],[Total Amount]]&gt;=1500),"Critical",AND(Table1567[[#This Row],[Total Amount]]&gt;=1000),"High",TRUE,"Normal")</f>
        <v>Normal</v>
      </c>
      <c r="L28" s="4" t="str">
        <f>IF(Table1567[[#This Row],[Total Amount]]&gt;=1000,"High",(IF(Table1567[[#This Row],[Total Amount]]&gt;=500,"Medium","Low")))</f>
        <v>Low</v>
      </c>
      <c r="M28" s="4" t="str" cm="1">
        <f t="array" ref="M2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8" s="4" cm="1">
        <f t="array" ref="N2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28" s="4">
        <f>Table1567[[#This Row],[Total Amount]]-Table1567[[#This Row],[Discount Amount]]</f>
        <v>40</v>
      </c>
      <c r="P28" s="4" t="str">
        <f>IF(Table1567[[#This Row],[Total Amount]]&gt;=1000,"High","Low")</f>
        <v>Low</v>
      </c>
      <c r="Q28" s="4" t="str" cm="1">
        <f t="array" ref="Q28">_xlfn.IFS(AND(Table1567[[#This Row],[Total Amount]]&gt;=1500,"Critical"),AND(Table1567[[#This Row],[Total Amount]]&gt;=1000,"High"),TRUE,"Normal")</f>
        <v>Normal</v>
      </c>
      <c r="R28" s="4" t="str">
        <f>CONCATENATE(Table1567[[#This Row],[Customer ID]], "-",Table1567[[#This Row],[Age]])</f>
        <v>CUST027-38</v>
      </c>
      <c r="S28" s="4" t="str">
        <f>TEXT(Table1567[[#This Row],[Date]],"mmm")</f>
        <v>Aug</v>
      </c>
      <c r="T28" s="4" t="str">
        <f>TEXT(Table1567[[#This Row],[Date]],"DDD")</f>
        <v>Thu</v>
      </c>
    </row>
    <row r="29" spans="1:20" ht="29" x14ac:dyDescent="0.35">
      <c r="A29" s="4">
        <v>28</v>
      </c>
      <c r="B29" s="5">
        <v>45039</v>
      </c>
      <c r="C29" s="4" t="s">
        <v>41</v>
      </c>
      <c r="D29" s="4" t="s">
        <v>13</v>
      </c>
      <c r="E29" s="4">
        <v>43</v>
      </c>
      <c r="F29" s="4" t="str">
        <f>IF(Table1567[[#This Row],[Age]]&lt;=19,"Teenager",IF(Table1567[[#This Row],[Age]]&lt;=40,"Median","Old"))</f>
        <v>Old</v>
      </c>
      <c r="G29" s="4" t="s">
        <v>11</v>
      </c>
      <c r="H29" s="4">
        <v>1</v>
      </c>
      <c r="I29" s="4">
        <v>500</v>
      </c>
      <c r="J29" s="4">
        <v>500</v>
      </c>
      <c r="K29" s="4" t="str" cm="1">
        <f t="array" ref="K29">_xlfn.IFS(AND(Table1567[[#This Row],[Total Amount]]&gt;=1500),"Critical",AND(Table1567[[#This Row],[Total Amount]]&gt;=1000),"High",TRUE,"Normal")</f>
        <v>Normal</v>
      </c>
      <c r="L29" s="4" t="str">
        <f>IF(Table1567[[#This Row],[Total Amount]]&gt;=1000,"High",(IF(Table1567[[#This Row],[Total Amount]]&gt;=500,"Medium","Low")))</f>
        <v>Medium</v>
      </c>
      <c r="M29" s="4" t="str" cm="1">
        <f t="array" ref="M2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9" s="4" cm="1">
        <f t="array" ref="N2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29" s="4">
        <f>Table1567[[#This Row],[Total Amount]]-Table1567[[#This Row],[Discount Amount]]</f>
        <v>400</v>
      </c>
      <c r="P29" s="4" t="str">
        <f>IF(Table1567[[#This Row],[Total Amount]]&gt;=1000,"High","Low")</f>
        <v>Low</v>
      </c>
      <c r="Q29" s="4" t="str" cm="1">
        <f t="array" ref="Q29">_xlfn.IFS(AND(Table1567[[#This Row],[Total Amount]]&gt;=1500,"Critical"),AND(Table1567[[#This Row],[Total Amount]]&gt;=1000,"High"),TRUE,"Normal")</f>
        <v>Normal</v>
      </c>
      <c r="R29" s="4" t="str">
        <f>CONCATENATE(Table1567[[#This Row],[Customer ID]], "-",Table1567[[#This Row],[Age]])</f>
        <v>CUST028-43</v>
      </c>
      <c r="S29" s="4" t="str">
        <f>TEXT(Table1567[[#This Row],[Date]],"mmm")</f>
        <v>Apr</v>
      </c>
      <c r="T29" s="4" t="str">
        <f>TEXT(Table1567[[#This Row],[Date]],"DDD")</f>
        <v>Sun</v>
      </c>
    </row>
    <row r="30" spans="1:20" ht="29" x14ac:dyDescent="0.35">
      <c r="A30" s="4">
        <v>29</v>
      </c>
      <c r="B30" s="5">
        <v>45156</v>
      </c>
      <c r="C30" s="4" t="s">
        <v>42</v>
      </c>
      <c r="D30" s="4" t="s">
        <v>13</v>
      </c>
      <c r="E30" s="4">
        <v>42</v>
      </c>
      <c r="F30" s="4" t="str">
        <f>IF(Table1567[[#This Row],[Age]]&lt;=19,"Teenager",IF(Table1567[[#This Row],[Age]]&lt;=40,"Median","Old"))</f>
        <v>Old</v>
      </c>
      <c r="G30" s="4" t="s">
        <v>16</v>
      </c>
      <c r="H30" s="4">
        <v>1</v>
      </c>
      <c r="I30" s="4">
        <v>30</v>
      </c>
      <c r="J30" s="4">
        <v>30</v>
      </c>
      <c r="K30" s="4" t="str" cm="1">
        <f t="array" ref="K30">_xlfn.IFS(AND(Table1567[[#This Row],[Total Amount]]&gt;=1500),"Critical",AND(Table1567[[#This Row],[Total Amount]]&gt;=1000),"High",TRUE,"Normal")</f>
        <v>Normal</v>
      </c>
      <c r="L30" s="4" t="str">
        <f>IF(Table1567[[#This Row],[Total Amount]]&gt;=1000,"High",(IF(Table1567[[#This Row],[Total Amount]]&gt;=500,"Medium","Low")))</f>
        <v>Low</v>
      </c>
      <c r="M30" s="4" t="str" cm="1">
        <f t="array" ref="M3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0" s="4" cm="1">
        <f t="array" ref="N3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30" s="4">
        <f>Table1567[[#This Row],[Total Amount]]-Table1567[[#This Row],[Discount Amount]]</f>
        <v>24</v>
      </c>
      <c r="P30" s="4" t="str">
        <f>IF(Table1567[[#This Row],[Total Amount]]&gt;=1000,"High","Low")</f>
        <v>Low</v>
      </c>
      <c r="Q30" s="4" t="str" cm="1">
        <f t="array" ref="Q30">_xlfn.IFS(AND(Table1567[[#This Row],[Total Amount]]&gt;=1500,"Critical"),AND(Table1567[[#This Row],[Total Amount]]&gt;=1000,"High"),TRUE,"Normal")</f>
        <v>Normal</v>
      </c>
      <c r="R30" s="4" t="str">
        <f>CONCATENATE(Table1567[[#This Row],[Customer ID]], "-",Table1567[[#This Row],[Age]])</f>
        <v>CUST029-42</v>
      </c>
      <c r="S30" s="4" t="str">
        <f>TEXT(Table1567[[#This Row],[Date]],"mmm")</f>
        <v>Aug</v>
      </c>
      <c r="T30" s="4" t="str">
        <f>TEXT(Table1567[[#This Row],[Date]],"DDD")</f>
        <v>Fri</v>
      </c>
    </row>
    <row r="31" spans="1:20" ht="29" x14ac:dyDescent="0.35">
      <c r="A31" s="4">
        <v>30</v>
      </c>
      <c r="B31" s="5">
        <v>45228</v>
      </c>
      <c r="C31" s="4" t="s">
        <v>43</v>
      </c>
      <c r="D31" s="4" t="s">
        <v>13</v>
      </c>
      <c r="E31" s="4">
        <v>39</v>
      </c>
      <c r="F31" s="4" t="str">
        <f>IF(Table1567[[#This Row],[Age]]&lt;=19,"Teenager",IF(Table1567[[#This Row],[Age]]&lt;=40,"Median","Old"))</f>
        <v>Median</v>
      </c>
      <c r="G31" s="4" t="s">
        <v>11</v>
      </c>
      <c r="H31" s="4">
        <v>3</v>
      </c>
      <c r="I31" s="4">
        <v>300</v>
      </c>
      <c r="J31" s="4">
        <v>900</v>
      </c>
      <c r="K31" s="4" t="str" cm="1">
        <f t="array" ref="K31">_xlfn.IFS(AND(Table1567[[#This Row],[Total Amount]]&gt;=1500),"Critical",AND(Table1567[[#This Row],[Total Amount]]&gt;=1000),"High",TRUE,"Normal")</f>
        <v>Normal</v>
      </c>
      <c r="L31" s="4" t="str">
        <f>IF(Table1567[[#This Row],[Total Amount]]&gt;=1000,"High",(IF(Table1567[[#This Row],[Total Amount]]&gt;=500,"Medium","Low")))</f>
        <v>Medium</v>
      </c>
      <c r="M31" s="4" t="str" cm="1">
        <f t="array" ref="M3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1" s="4" cm="1">
        <f t="array" ref="N3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31" s="4">
        <f>Table1567[[#This Row],[Total Amount]]-Table1567[[#This Row],[Discount Amount]]</f>
        <v>720</v>
      </c>
      <c r="P31" s="4" t="str">
        <f>IF(Table1567[[#This Row],[Total Amount]]&gt;=1000,"High","Low")</f>
        <v>Low</v>
      </c>
      <c r="Q31" s="4" t="str" cm="1">
        <f t="array" ref="Q31">_xlfn.IFS(AND(Table1567[[#This Row],[Total Amount]]&gt;=1500,"Critical"),AND(Table1567[[#This Row],[Total Amount]]&gt;=1000,"High"),TRUE,"Normal")</f>
        <v>Normal</v>
      </c>
      <c r="R31" s="4" t="str">
        <f>CONCATENATE(Table1567[[#This Row],[Customer ID]], "-",Table1567[[#This Row],[Age]])</f>
        <v>CUST030-39</v>
      </c>
      <c r="S31" s="4" t="str">
        <f>TEXT(Table1567[[#This Row],[Date]],"mmm")</f>
        <v>Oct</v>
      </c>
      <c r="T31" s="4" t="str">
        <f>TEXT(Table1567[[#This Row],[Date]],"DDD")</f>
        <v>Sun</v>
      </c>
    </row>
    <row r="32" spans="1:20" ht="29" x14ac:dyDescent="0.35">
      <c r="A32" s="4">
        <v>31</v>
      </c>
      <c r="B32" s="5">
        <v>45069</v>
      </c>
      <c r="C32" s="4" t="s">
        <v>44</v>
      </c>
      <c r="D32" s="4" t="s">
        <v>10</v>
      </c>
      <c r="E32" s="4">
        <v>44</v>
      </c>
      <c r="F32" s="4" t="str">
        <f>IF(Table1567[[#This Row],[Age]]&lt;=19,"Teenager",IF(Table1567[[#This Row],[Age]]&lt;=40,"Median","Old"))</f>
        <v>Old</v>
      </c>
      <c r="G32" s="4" t="s">
        <v>16</v>
      </c>
      <c r="H32" s="4">
        <v>4</v>
      </c>
      <c r="I32" s="4">
        <v>300</v>
      </c>
      <c r="J32" s="4">
        <v>1200</v>
      </c>
      <c r="K32" s="4" t="str" cm="1">
        <f t="array" ref="K32">_xlfn.IFS(AND(Table1567[[#This Row],[Total Amount]]&gt;=1500),"Critical",AND(Table1567[[#This Row],[Total Amount]]&gt;=1000),"High",TRUE,"Normal")</f>
        <v>High</v>
      </c>
      <c r="L32" s="4" t="str">
        <f>IF(Table1567[[#This Row],[Total Amount]]&gt;=1000,"High",(IF(Table1567[[#This Row],[Total Amount]]&gt;=500,"Medium","Low")))</f>
        <v>High</v>
      </c>
      <c r="M32" s="4" t="str" cm="1">
        <f t="array" ref="M3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2" s="4" cm="1">
        <f t="array" ref="N3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32" s="4">
        <f>Table1567[[#This Row],[Total Amount]]-Table1567[[#This Row],[Discount Amount]]</f>
        <v>1080</v>
      </c>
      <c r="P32" s="4" t="str">
        <f>IF(Table1567[[#This Row],[Total Amount]]&gt;=1000,"High","Low")</f>
        <v>High</v>
      </c>
      <c r="Q32" s="4" t="str" cm="1">
        <f t="array" ref="Q32">_xlfn.IFS(AND(Table1567[[#This Row],[Total Amount]]&gt;=1500,"Critical"),AND(Table1567[[#This Row],[Total Amount]]&gt;=1000,"High"),TRUE,"Normal")</f>
        <v>Normal</v>
      </c>
      <c r="R32" s="4" t="str">
        <f>CONCATENATE(Table1567[[#This Row],[Customer ID]], "-",Table1567[[#This Row],[Age]])</f>
        <v>CUST031-44</v>
      </c>
      <c r="S32" s="4" t="str">
        <f>TEXT(Table1567[[#This Row],[Date]],"mmm")</f>
        <v>May</v>
      </c>
      <c r="T32" s="4" t="str">
        <f>TEXT(Table1567[[#This Row],[Date]],"DDD")</f>
        <v>Tue</v>
      </c>
    </row>
    <row r="33" spans="1:20" ht="29" x14ac:dyDescent="0.35">
      <c r="A33" s="4">
        <v>32</v>
      </c>
      <c r="B33" s="5">
        <v>44930</v>
      </c>
      <c r="C33" s="4" t="s">
        <v>45</v>
      </c>
      <c r="D33" s="4" t="s">
        <v>10</v>
      </c>
      <c r="E33" s="4">
        <v>30</v>
      </c>
      <c r="F33" s="4" t="str">
        <f>IF(Table1567[[#This Row],[Age]]&lt;=19,"Teenager",IF(Table1567[[#This Row],[Age]]&lt;=40,"Median","Old"))</f>
        <v>Median</v>
      </c>
      <c r="G33" s="4" t="s">
        <v>11</v>
      </c>
      <c r="H33" s="4">
        <v>3</v>
      </c>
      <c r="I33" s="4">
        <v>30</v>
      </c>
      <c r="J33" s="4">
        <v>90</v>
      </c>
      <c r="K33" s="4" t="str" cm="1">
        <f t="array" ref="K33">_xlfn.IFS(AND(Table1567[[#This Row],[Total Amount]]&gt;=1500),"Critical",AND(Table1567[[#This Row],[Total Amount]]&gt;=1000),"High",TRUE,"Normal")</f>
        <v>Normal</v>
      </c>
      <c r="L33" s="4" t="str">
        <f>IF(Table1567[[#This Row],[Total Amount]]&gt;=1000,"High",(IF(Table1567[[#This Row],[Total Amount]]&gt;=500,"Medium","Low")))</f>
        <v>Low</v>
      </c>
      <c r="M33" s="4" t="str" cm="1">
        <f t="array" ref="M3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3" s="4" cm="1">
        <f t="array" ref="N3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13.5</v>
      </c>
      <c r="O33" s="4">
        <f>Table1567[[#This Row],[Total Amount]]-Table1567[[#This Row],[Discount Amount]]</f>
        <v>76.5</v>
      </c>
      <c r="P33" s="4" t="str">
        <f>IF(Table1567[[#This Row],[Total Amount]]&gt;=1000,"High","Low")</f>
        <v>Low</v>
      </c>
      <c r="Q33" s="4" t="str" cm="1">
        <f t="array" ref="Q33">_xlfn.IFS(AND(Table1567[[#This Row],[Total Amount]]&gt;=1500,"Critical"),AND(Table1567[[#This Row],[Total Amount]]&gt;=1000,"High"),TRUE,"Normal")</f>
        <v>Normal</v>
      </c>
      <c r="R33" s="4" t="str">
        <f>CONCATENATE(Table1567[[#This Row],[Customer ID]], "-",Table1567[[#This Row],[Age]])</f>
        <v>CUST032-30</v>
      </c>
      <c r="S33" s="4" t="str">
        <f>TEXT(Table1567[[#This Row],[Date]],"mmm")</f>
        <v>Jan</v>
      </c>
      <c r="T33" s="4" t="str">
        <f>TEXT(Table1567[[#This Row],[Date]],"DDD")</f>
        <v>Wed</v>
      </c>
    </row>
    <row r="34" spans="1:20" ht="29" x14ac:dyDescent="0.35">
      <c r="A34" s="4">
        <v>33</v>
      </c>
      <c r="B34" s="5">
        <v>45008</v>
      </c>
      <c r="C34" s="4" t="s">
        <v>46</v>
      </c>
      <c r="D34" s="4" t="s">
        <v>13</v>
      </c>
      <c r="E34" s="4">
        <v>50</v>
      </c>
      <c r="F34" s="4" t="str">
        <f>IF(Table1567[[#This Row],[Age]]&lt;=19,"Teenager",IF(Table1567[[#This Row],[Age]]&lt;=40,"Median","Old"))</f>
        <v>Old</v>
      </c>
      <c r="G34" s="4" t="s">
        <v>16</v>
      </c>
      <c r="H34" s="4">
        <v>2</v>
      </c>
      <c r="I34" s="4">
        <v>50</v>
      </c>
      <c r="J34" s="4">
        <v>100</v>
      </c>
      <c r="K34" s="4" t="str" cm="1">
        <f t="array" ref="K34">_xlfn.IFS(AND(Table1567[[#This Row],[Total Amount]]&gt;=1500),"Critical",AND(Table1567[[#This Row],[Total Amount]]&gt;=1000),"High",TRUE,"Normal")</f>
        <v>Normal</v>
      </c>
      <c r="L34" s="4" t="str">
        <f>IF(Table1567[[#This Row],[Total Amount]]&gt;=1000,"High",(IF(Table1567[[#This Row],[Total Amount]]&gt;=500,"Medium","Low")))</f>
        <v>Low</v>
      </c>
      <c r="M34" s="4" t="str" cm="1">
        <f t="array" ref="M3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4" s="4" cm="1">
        <f t="array" ref="N3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34" s="4">
        <f>Table1567[[#This Row],[Total Amount]]-Table1567[[#This Row],[Discount Amount]]</f>
        <v>80</v>
      </c>
      <c r="P34" s="4" t="str">
        <f>IF(Table1567[[#This Row],[Total Amount]]&gt;=1000,"High","Low")</f>
        <v>Low</v>
      </c>
      <c r="Q34" s="4" t="str" cm="1">
        <f t="array" ref="Q34">_xlfn.IFS(AND(Table1567[[#This Row],[Total Amount]]&gt;=1500,"Critical"),AND(Table1567[[#This Row],[Total Amount]]&gt;=1000,"High"),TRUE,"Normal")</f>
        <v>Normal</v>
      </c>
      <c r="R34" s="4" t="str">
        <f>CONCATENATE(Table1567[[#This Row],[Customer ID]], "-",Table1567[[#This Row],[Age]])</f>
        <v>CUST033-50</v>
      </c>
      <c r="S34" s="4" t="str">
        <f>TEXT(Table1567[[#This Row],[Date]],"mmm")</f>
        <v>Mar</v>
      </c>
      <c r="T34" s="4" t="str">
        <f>TEXT(Table1567[[#This Row],[Date]],"DDD")</f>
        <v>Thu</v>
      </c>
    </row>
    <row r="35" spans="1:20" ht="29" x14ac:dyDescent="0.35">
      <c r="A35" s="4">
        <v>34</v>
      </c>
      <c r="B35" s="5">
        <v>45284</v>
      </c>
      <c r="C35" s="4" t="s">
        <v>47</v>
      </c>
      <c r="D35" s="4" t="s">
        <v>13</v>
      </c>
      <c r="E35" s="4">
        <v>51</v>
      </c>
      <c r="F35" s="4" t="str">
        <f>IF(Table1567[[#This Row],[Age]]&lt;=19,"Teenager",IF(Table1567[[#This Row],[Age]]&lt;=40,"Median","Old"))</f>
        <v>Old</v>
      </c>
      <c r="G35" s="4" t="s">
        <v>14</v>
      </c>
      <c r="H35" s="4">
        <v>3</v>
      </c>
      <c r="I35" s="4">
        <v>50</v>
      </c>
      <c r="J35" s="4">
        <v>150</v>
      </c>
      <c r="K35" s="4" t="str" cm="1">
        <f t="array" ref="K35">_xlfn.IFS(AND(Table1567[[#This Row],[Total Amount]]&gt;=1500),"Critical",AND(Table1567[[#This Row],[Total Amount]]&gt;=1000),"High",TRUE,"Normal")</f>
        <v>Normal</v>
      </c>
      <c r="L35" s="4" t="str">
        <f>IF(Table1567[[#This Row],[Total Amount]]&gt;=1000,"High",(IF(Table1567[[#This Row],[Total Amount]]&gt;=500,"Medium","Low")))</f>
        <v>Low</v>
      </c>
      <c r="M35" s="4" t="str" cm="1">
        <f t="array" ref="M3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5" s="4" cm="1">
        <f t="array" ref="N3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35" s="4">
        <f>Table1567[[#This Row],[Total Amount]]-Table1567[[#This Row],[Discount Amount]]</f>
        <v>120</v>
      </c>
      <c r="P35" s="4" t="str">
        <f>IF(Table1567[[#This Row],[Total Amount]]&gt;=1000,"High","Low")</f>
        <v>Low</v>
      </c>
      <c r="Q35" s="4" t="str" cm="1">
        <f t="array" ref="Q35">_xlfn.IFS(AND(Table1567[[#This Row],[Total Amount]]&gt;=1500,"Critical"),AND(Table1567[[#This Row],[Total Amount]]&gt;=1000,"High"),TRUE,"Normal")</f>
        <v>Normal</v>
      </c>
      <c r="R35" s="4" t="str">
        <f>CONCATENATE(Table1567[[#This Row],[Customer ID]], "-",Table1567[[#This Row],[Age]])</f>
        <v>CUST034-51</v>
      </c>
      <c r="S35" s="4" t="str">
        <f>TEXT(Table1567[[#This Row],[Date]],"mmm")</f>
        <v>Dec</v>
      </c>
      <c r="T35" s="4" t="str">
        <f>TEXT(Table1567[[#This Row],[Date]],"DDD")</f>
        <v>Sun</v>
      </c>
    </row>
    <row r="36" spans="1:20" ht="29" x14ac:dyDescent="0.35">
      <c r="A36" s="4">
        <v>35</v>
      </c>
      <c r="B36" s="5">
        <v>45143</v>
      </c>
      <c r="C36" s="4" t="s">
        <v>48</v>
      </c>
      <c r="D36" s="4" t="s">
        <v>13</v>
      </c>
      <c r="E36" s="4">
        <v>58</v>
      </c>
      <c r="F36" s="4" t="str">
        <f>IF(Table1567[[#This Row],[Age]]&lt;=19,"Teenager",IF(Table1567[[#This Row],[Age]]&lt;=40,"Median","Old"))</f>
        <v>Old</v>
      </c>
      <c r="G36" s="4" t="s">
        <v>11</v>
      </c>
      <c r="H36" s="4">
        <v>3</v>
      </c>
      <c r="I36" s="4">
        <v>300</v>
      </c>
      <c r="J36" s="4">
        <v>900</v>
      </c>
      <c r="K36" s="4" t="str" cm="1">
        <f t="array" ref="K36">_xlfn.IFS(AND(Table1567[[#This Row],[Total Amount]]&gt;=1500),"Critical",AND(Table1567[[#This Row],[Total Amount]]&gt;=1000),"High",TRUE,"Normal")</f>
        <v>Normal</v>
      </c>
      <c r="L36" s="4" t="str">
        <f>IF(Table1567[[#This Row],[Total Amount]]&gt;=1000,"High",(IF(Table1567[[#This Row],[Total Amount]]&gt;=500,"Medium","Low")))</f>
        <v>Medium</v>
      </c>
      <c r="M36" s="4" t="str" cm="1">
        <f t="array" ref="M3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6" s="4" cm="1">
        <f t="array" ref="N3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36" s="4">
        <f>Table1567[[#This Row],[Total Amount]]-Table1567[[#This Row],[Discount Amount]]</f>
        <v>720</v>
      </c>
      <c r="P36" s="4" t="str">
        <f>IF(Table1567[[#This Row],[Total Amount]]&gt;=1000,"High","Low")</f>
        <v>Low</v>
      </c>
      <c r="Q36" s="4" t="str" cm="1">
        <f t="array" ref="Q36">_xlfn.IFS(AND(Table1567[[#This Row],[Total Amount]]&gt;=1500,"Critical"),AND(Table1567[[#This Row],[Total Amount]]&gt;=1000,"High"),TRUE,"Normal")</f>
        <v>Normal</v>
      </c>
      <c r="R36" s="4" t="str">
        <f>CONCATENATE(Table1567[[#This Row],[Customer ID]], "-",Table1567[[#This Row],[Age]])</f>
        <v>CUST035-58</v>
      </c>
      <c r="S36" s="4" t="str">
        <f>TEXT(Table1567[[#This Row],[Date]],"mmm")</f>
        <v>Aug</v>
      </c>
      <c r="T36" s="4" t="str">
        <f>TEXT(Table1567[[#This Row],[Date]],"DDD")</f>
        <v>Sat</v>
      </c>
    </row>
    <row r="37" spans="1:20" ht="29" x14ac:dyDescent="0.35">
      <c r="A37" s="4">
        <v>36</v>
      </c>
      <c r="B37" s="5">
        <v>45101</v>
      </c>
      <c r="C37" s="4" t="s">
        <v>49</v>
      </c>
      <c r="D37" s="4" t="s">
        <v>10</v>
      </c>
      <c r="E37" s="4">
        <v>52</v>
      </c>
      <c r="F37" s="4" t="str">
        <f>IF(Table1567[[#This Row],[Age]]&lt;=19,"Teenager",IF(Table1567[[#This Row],[Age]]&lt;=40,"Median","Old"))</f>
        <v>Old</v>
      </c>
      <c r="G37" s="4" t="s">
        <v>11</v>
      </c>
      <c r="H37" s="4">
        <v>3</v>
      </c>
      <c r="I37" s="4">
        <v>300</v>
      </c>
      <c r="J37" s="4">
        <v>900</v>
      </c>
      <c r="K37" s="4" t="str" cm="1">
        <f t="array" ref="K37">_xlfn.IFS(AND(Table1567[[#This Row],[Total Amount]]&gt;=1500),"Critical",AND(Table1567[[#This Row],[Total Amount]]&gt;=1000),"High",TRUE,"Normal")</f>
        <v>Normal</v>
      </c>
      <c r="L37" s="4" t="str">
        <f>IF(Table1567[[#This Row],[Total Amount]]&gt;=1000,"High",(IF(Table1567[[#This Row],[Total Amount]]&gt;=500,"Medium","Low")))</f>
        <v>Medium</v>
      </c>
      <c r="M37" s="4" t="str" cm="1">
        <f t="array" ref="M3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7" s="4" cm="1">
        <f t="array" ref="N3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37" s="4">
        <f>Table1567[[#This Row],[Total Amount]]-Table1567[[#This Row],[Discount Amount]]</f>
        <v>810</v>
      </c>
      <c r="P37" s="4" t="str">
        <f>IF(Table1567[[#This Row],[Total Amount]]&gt;=1000,"High","Low")</f>
        <v>Low</v>
      </c>
      <c r="Q37" s="4" t="str" cm="1">
        <f t="array" ref="Q37">_xlfn.IFS(AND(Table1567[[#This Row],[Total Amount]]&gt;=1500,"Critical"),AND(Table1567[[#This Row],[Total Amount]]&gt;=1000,"High"),TRUE,"Normal")</f>
        <v>Normal</v>
      </c>
      <c r="R37" s="4" t="str">
        <f>CONCATENATE(Table1567[[#This Row],[Customer ID]], "-",Table1567[[#This Row],[Age]])</f>
        <v>CUST036-52</v>
      </c>
      <c r="S37" s="4" t="str">
        <f>TEXT(Table1567[[#This Row],[Date]],"mmm")</f>
        <v>Jun</v>
      </c>
      <c r="T37" s="4" t="str">
        <f>TEXT(Table1567[[#This Row],[Date]],"DDD")</f>
        <v>Sat</v>
      </c>
    </row>
    <row r="38" spans="1:20" ht="29" x14ac:dyDescent="0.35">
      <c r="A38" s="4">
        <v>37</v>
      </c>
      <c r="B38" s="5">
        <v>45069</v>
      </c>
      <c r="C38" s="4" t="s">
        <v>50</v>
      </c>
      <c r="D38" s="4" t="s">
        <v>13</v>
      </c>
      <c r="E38" s="4">
        <v>18</v>
      </c>
      <c r="F38" s="4" t="str">
        <f>IF(Table1567[[#This Row],[Age]]&lt;=19,"Teenager",IF(Table1567[[#This Row],[Age]]&lt;=40,"Median","Old"))</f>
        <v>Teenager</v>
      </c>
      <c r="G38" s="4" t="s">
        <v>11</v>
      </c>
      <c r="H38" s="4">
        <v>3</v>
      </c>
      <c r="I38" s="4">
        <v>25</v>
      </c>
      <c r="J38" s="4">
        <v>75</v>
      </c>
      <c r="K38" s="4" t="str" cm="1">
        <f t="array" ref="K38">_xlfn.IFS(AND(Table1567[[#This Row],[Total Amount]]&gt;=1500),"Critical",AND(Table1567[[#This Row],[Total Amount]]&gt;=1000),"High",TRUE,"Normal")</f>
        <v>Normal</v>
      </c>
      <c r="L38" s="4" t="str">
        <f>IF(Table1567[[#This Row],[Total Amount]]&gt;=1000,"High",(IF(Table1567[[#This Row],[Total Amount]]&gt;=500,"Medium","Low")))</f>
        <v>Low</v>
      </c>
      <c r="M38" s="4" t="str" cm="1">
        <f t="array" ref="M3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38" s="4" cm="1">
        <f t="array" ref="N3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38" s="4">
        <f>Table1567[[#This Row],[Total Amount]]-Table1567[[#This Row],[Discount Amount]]</f>
        <v>75</v>
      </c>
      <c r="P38" s="4" t="str">
        <f>IF(Table1567[[#This Row],[Total Amount]]&gt;=1000,"High","Low")</f>
        <v>Low</v>
      </c>
      <c r="Q38" s="4" t="str" cm="1">
        <f t="array" ref="Q38">_xlfn.IFS(AND(Table1567[[#This Row],[Total Amount]]&gt;=1500,"Critical"),AND(Table1567[[#This Row],[Total Amount]]&gt;=1000,"High"),TRUE,"Normal")</f>
        <v>Normal</v>
      </c>
      <c r="R38" s="4" t="str">
        <f>CONCATENATE(Table1567[[#This Row],[Customer ID]], "-",Table1567[[#This Row],[Age]])</f>
        <v>CUST037-18</v>
      </c>
      <c r="S38" s="4" t="str">
        <f>TEXT(Table1567[[#This Row],[Date]],"mmm")</f>
        <v>May</v>
      </c>
      <c r="T38" s="4" t="str">
        <f>TEXT(Table1567[[#This Row],[Date]],"DDD")</f>
        <v>Tue</v>
      </c>
    </row>
    <row r="39" spans="1:20" ht="29" x14ac:dyDescent="0.35">
      <c r="A39" s="4">
        <v>38</v>
      </c>
      <c r="B39" s="5">
        <v>45006</v>
      </c>
      <c r="C39" s="4" t="s">
        <v>51</v>
      </c>
      <c r="D39" s="4" t="s">
        <v>10</v>
      </c>
      <c r="E39" s="4">
        <v>38</v>
      </c>
      <c r="F39" s="4" t="str">
        <f>IF(Table1567[[#This Row],[Age]]&lt;=19,"Teenager",IF(Table1567[[#This Row],[Age]]&lt;=40,"Median","Old"))</f>
        <v>Median</v>
      </c>
      <c r="G39" s="4" t="s">
        <v>11</v>
      </c>
      <c r="H39" s="4">
        <v>4</v>
      </c>
      <c r="I39" s="4">
        <v>50</v>
      </c>
      <c r="J39" s="4">
        <v>200</v>
      </c>
      <c r="K39" s="4" t="str" cm="1">
        <f t="array" ref="K39">_xlfn.IFS(AND(Table1567[[#This Row],[Total Amount]]&gt;=1500),"Critical",AND(Table1567[[#This Row],[Total Amount]]&gt;=1000),"High",TRUE,"Normal")</f>
        <v>Normal</v>
      </c>
      <c r="L39" s="4" t="str">
        <f>IF(Table1567[[#This Row],[Total Amount]]&gt;=1000,"High",(IF(Table1567[[#This Row],[Total Amount]]&gt;=500,"Medium","Low")))</f>
        <v>Low</v>
      </c>
      <c r="M39" s="4" t="str" cm="1">
        <f t="array" ref="M3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9" s="4" cm="1">
        <f t="array" ref="N3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39" s="4">
        <f>Table1567[[#This Row],[Total Amount]]-Table1567[[#This Row],[Discount Amount]]</f>
        <v>180</v>
      </c>
      <c r="P39" s="4" t="str">
        <f>IF(Table1567[[#This Row],[Total Amount]]&gt;=1000,"High","Low")</f>
        <v>Low</v>
      </c>
      <c r="Q39" s="4" t="str" cm="1">
        <f t="array" ref="Q39">_xlfn.IFS(AND(Table1567[[#This Row],[Total Amount]]&gt;=1500,"Critical"),AND(Table1567[[#This Row],[Total Amount]]&gt;=1000,"High"),TRUE,"Normal")</f>
        <v>Normal</v>
      </c>
      <c r="R39" s="4" t="str">
        <f>CONCATENATE(Table1567[[#This Row],[Customer ID]], "-",Table1567[[#This Row],[Age]])</f>
        <v>CUST038-38</v>
      </c>
      <c r="S39" s="4" t="str">
        <f>TEXT(Table1567[[#This Row],[Date]],"mmm")</f>
        <v>Mar</v>
      </c>
      <c r="T39" s="4" t="str">
        <f>TEXT(Table1567[[#This Row],[Date]],"DDD")</f>
        <v>Tue</v>
      </c>
    </row>
    <row r="40" spans="1:20" ht="29" x14ac:dyDescent="0.35">
      <c r="A40" s="4">
        <v>39</v>
      </c>
      <c r="B40" s="5">
        <v>45037</v>
      </c>
      <c r="C40" s="4" t="s">
        <v>52</v>
      </c>
      <c r="D40" s="4" t="s">
        <v>10</v>
      </c>
      <c r="E40" s="4">
        <v>23</v>
      </c>
      <c r="F40" s="4" t="str">
        <f>IF(Table1567[[#This Row],[Age]]&lt;=19,"Teenager",IF(Table1567[[#This Row],[Age]]&lt;=40,"Median","Old"))</f>
        <v>Median</v>
      </c>
      <c r="G40" s="4" t="s">
        <v>14</v>
      </c>
      <c r="H40" s="4">
        <v>4</v>
      </c>
      <c r="I40" s="4">
        <v>30</v>
      </c>
      <c r="J40" s="4">
        <v>120</v>
      </c>
      <c r="K40" s="4" t="str" cm="1">
        <f t="array" ref="K40">_xlfn.IFS(AND(Table1567[[#This Row],[Total Amount]]&gt;=1500),"Critical",AND(Table1567[[#This Row],[Total Amount]]&gt;=1000),"High",TRUE,"Normal")</f>
        <v>Normal</v>
      </c>
      <c r="L40" s="4" t="str">
        <f>IF(Table1567[[#This Row],[Total Amount]]&gt;=1000,"High",(IF(Table1567[[#This Row],[Total Amount]]&gt;=500,"Medium","Low")))</f>
        <v>Low</v>
      </c>
      <c r="M40" s="4" t="str" cm="1">
        <f t="array" ref="M4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40" s="4" cm="1">
        <f t="array" ref="N4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40" s="4">
        <f>Table1567[[#This Row],[Total Amount]]-Table1567[[#This Row],[Discount Amount]]</f>
        <v>120</v>
      </c>
      <c r="P40" s="4" t="str">
        <f>IF(Table1567[[#This Row],[Total Amount]]&gt;=1000,"High","Low")</f>
        <v>Low</v>
      </c>
      <c r="Q40" s="4" t="str" cm="1">
        <f t="array" ref="Q40">_xlfn.IFS(AND(Table1567[[#This Row],[Total Amount]]&gt;=1500,"Critical"),AND(Table1567[[#This Row],[Total Amount]]&gt;=1000,"High"),TRUE,"Normal")</f>
        <v>Normal</v>
      </c>
      <c r="R40" s="4" t="str">
        <f>CONCATENATE(Table1567[[#This Row],[Customer ID]], "-",Table1567[[#This Row],[Age]])</f>
        <v>CUST039-23</v>
      </c>
      <c r="S40" s="4" t="str">
        <f>TEXT(Table1567[[#This Row],[Date]],"mmm")</f>
        <v>Apr</v>
      </c>
      <c r="T40" s="4" t="str">
        <f>TEXT(Table1567[[#This Row],[Date]],"DDD")</f>
        <v>Fri</v>
      </c>
    </row>
    <row r="41" spans="1:20" ht="29" x14ac:dyDescent="0.35">
      <c r="A41" s="4">
        <v>40</v>
      </c>
      <c r="B41" s="5">
        <v>45099</v>
      </c>
      <c r="C41" s="4" t="s">
        <v>53</v>
      </c>
      <c r="D41" s="4" t="s">
        <v>10</v>
      </c>
      <c r="E41" s="4">
        <v>45</v>
      </c>
      <c r="F41" s="4" t="str">
        <f>IF(Table1567[[#This Row],[Age]]&lt;=19,"Teenager",IF(Table1567[[#This Row],[Age]]&lt;=40,"Median","Old"))</f>
        <v>Old</v>
      </c>
      <c r="G41" s="4" t="s">
        <v>11</v>
      </c>
      <c r="H41" s="4">
        <v>1</v>
      </c>
      <c r="I41" s="4">
        <v>50</v>
      </c>
      <c r="J41" s="4">
        <v>50</v>
      </c>
      <c r="K41" s="4" t="str" cm="1">
        <f t="array" ref="K41">_xlfn.IFS(AND(Table1567[[#This Row],[Total Amount]]&gt;=1500),"Critical",AND(Table1567[[#This Row],[Total Amount]]&gt;=1000),"High",TRUE,"Normal")</f>
        <v>Normal</v>
      </c>
      <c r="L41" s="4" t="str">
        <f>IF(Table1567[[#This Row],[Total Amount]]&gt;=1000,"High",(IF(Table1567[[#This Row],[Total Amount]]&gt;=500,"Medium","Low")))</f>
        <v>Low</v>
      </c>
      <c r="M41" s="4" t="str" cm="1">
        <f t="array" ref="M4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1" s="4" cm="1">
        <f t="array" ref="N4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41" s="4">
        <f>Table1567[[#This Row],[Total Amount]]-Table1567[[#This Row],[Discount Amount]]</f>
        <v>45</v>
      </c>
      <c r="P41" s="4" t="str">
        <f>IF(Table1567[[#This Row],[Total Amount]]&gt;=1000,"High","Low")</f>
        <v>Low</v>
      </c>
      <c r="Q41" s="4" t="str" cm="1">
        <f t="array" ref="Q41">_xlfn.IFS(AND(Table1567[[#This Row],[Total Amount]]&gt;=1500,"Critical"),AND(Table1567[[#This Row],[Total Amount]]&gt;=1000,"High"),TRUE,"Normal")</f>
        <v>Normal</v>
      </c>
      <c r="R41" s="4" t="str">
        <f>CONCATENATE(Table1567[[#This Row],[Customer ID]], "-",Table1567[[#This Row],[Age]])</f>
        <v>CUST040-45</v>
      </c>
      <c r="S41" s="4" t="str">
        <f>TEXT(Table1567[[#This Row],[Date]],"mmm")</f>
        <v>Jun</v>
      </c>
      <c r="T41" s="4" t="str">
        <f>TEXT(Table1567[[#This Row],[Date]],"DDD")</f>
        <v>Thu</v>
      </c>
    </row>
    <row r="42" spans="1:20" ht="29" x14ac:dyDescent="0.35">
      <c r="A42" s="4">
        <v>41</v>
      </c>
      <c r="B42" s="5">
        <v>44979</v>
      </c>
      <c r="C42" s="4" t="s">
        <v>54</v>
      </c>
      <c r="D42" s="4" t="s">
        <v>10</v>
      </c>
      <c r="E42" s="4">
        <v>34</v>
      </c>
      <c r="F42" s="4" t="str">
        <f>IF(Table1567[[#This Row],[Age]]&lt;=19,"Teenager",IF(Table1567[[#This Row],[Age]]&lt;=40,"Median","Old"))</f>
        <v>Median</v>
      </c>
      <c r="G42" s="4" t="s">
        <v>14</v>
      </c>
      <c r="H42" s="4">
        <v>2</v>
      </c>
      <c r="I42" s="4">
        <v>25</v>
      </c>
      <c r="J42" s="4">
        <v>50</v>
      </c>
      <c r="K42" s="4" t="str" cm="1">
        <f t="array" ref="K42">_xlfn.IFS(AND(Table1567[[#This Row],[Total Amount]]&gt;=1500),"Critical",AND(Table1567[[#This Row],[Total Amount]]&gt;=1000),"High",TRUE,"Normal")</f>
        <v>Normal</v>
      </c>
      <c r="L42" s="4" t="str">
        <f>IF(Table1567[[#This Row],[Total Amount]]&gt;=1000,"High",(IF(Table1567[[#This Row],[Total Amount]]&gt;=500,"Medium","Low")))</f>
        <v>Low</v>
      </c>
      <c r="M42" s="4" t="str" cm="1">
        <f t="array" ref="M4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2" s="4" cm="1">
        <f t="array" ref="N4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42" s="4">
        <f>Table1567[[#This Row],[Total Amount]]-Table1567[[#This Row],[Discount Amount]]</f>
        <v>42.5</v>
      </c>
      <c r="P42" s="4" t="str">
        <f>IF(Table1567[[#This Row],[Total Amount]]&gt;=1000,"High","Low")</f>
        <v>Low</v>
      </c>
      <c r="Q42" s="4" t="str" cm="1">
        <f t="array" ref="Q42">_xlfn.IFS(AND(Table1567[[#This Row],[Total Amount]]&gt;=1500,"Critical"),AND(Table1567[[#This Row],[Total Amount]]&gt;=1000,"High"),TRUE,"Normal")</f>
        <v>Normal</v>
      </c>
      <c r="R42" s="4" t="str">
        <f>CONCATENATE(Table1567[[#This Row],[Customer ID]], "-",Table1567[[#This Row],[Age]])</f>
        <v>CUST041-34</v>
      </c>
      <c r="S42" s="4" t="str">
        <f>TEXT(Table1567[[#This Row],[Date]],"mmm")</f>
        <v>Feb</v>
      </c>
      <c r="T42" s="4" t="str">
        <f>TEXT(Table1567[[#This Row],[Date]],"DDD")</f>
        <v>Wed</v>
      </c>
    </row>
    <row r="43" spans="1:20" ht="29" x14ac:dyDescent="0.35">
      <c r="A43" s="4">
        <v>42</v>
      </c>
      <c r="B43" s="5">
        <v>44974</v>
      </c>
      <c r="C43" s="4" t="s">
        <v>55</v>
      </c>
      <c r="D43" s="4" t="s">
        <v>10</v>
      </c>
      <c r="E43" s="4">
        <v>22</v>
      </c>
      <c r="F43" s="4" t="str">
        <f>IF(Table1567[[#This Row],[Age]]&lt;=19,"Teenager",IF(Table1567[[#This Row],[Age]]&lt;=40,"Median","Old"))</f>
        <v>Median</v>
      </c>
      <c r="G43" s="4" t="s">
        <v>14</v>
      </c>
      <c r="H43" s="4">
        <v>3</v>
      </c>
      <c r="I43" s="4">
        <v>300</v>
      </c>
      <c r="J43" s="4">
        <v>900</v>
      </c>
      <c r="K43" s="4" t="str" cm="1">
        <f t="array" ref="K43">_xlfn.IFS(AND(Table1567[[#This Row],[Total Amount]]&gt;=1500),"Critical",AND(Table1567[[#This Row],[Total Amount]]&gt;=1000),"High",TRUE,"Normal")</f>
        <v>Normal</v>
      </c>
      <c r="L43" s="4" t="str">
        <f>IF(Table1567[[#This Row],[Total Amount]]&gt;=1000,"High",(IF(Table1567[[#This Row],[Total Amount]]&gt;=500,"Medium","Low")))</f>
        <v>Medium</v>
      </c>
      <c r="M43" s="4" t="str" cm="1">
        <f t="array" ref="M4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43" s="4" cm="1">
        <f t="array" ref="N4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43" s="4">
        <f>Table1567[[#This Row],[Total Amount]]-Table1567[[#This Row],[Discount Amount]]</f>
        <v>900</v>
      </c>
      <c r="P43" s="4" t="str">
        <f>IF(Table1567[[#This Row],[Total Amount]]&gt;=1000,"High","Low")</f>
        <v>Low</v>
      </c>
      <c r="Q43" s="4" t="str" cm="1">
        <f t="array" ref="Q43">_xlfn.IFS(AND(Table1567[[#This Row],[Total Amount]]&gt;=1500,"Critical"),AND(Table1567[[#This Row],[Total Amount]]&gt;=1000,"High"),TRUE,"Normal")</f>
        <v>Normal</v>
      </c>
      <c r="R43" s="4" t="str">
        <f>CONCATENATE(Table1567[[#This Row],[Customer ID]], "-",Table1567[[#This Row],[Age]])</f>
        <v>CUST042-22</v>
      </c>
      <c r="S43" s="4" t="str">
        <f>TEXT(Table1567[[#This Row],[Date]],"mmm")</f>
        <v>Feb</v>
      </c>
      <c r="T43" s="4" t="str">
        <f>TEXT(Table1567[[#This Row],[Date]],"DDD")</f>
        <v>Fri</v>
      </c>
    </row>
    <row r="44" spans="1:20" ht="29" x14ac:dyDescent="0.35">
      <c r="A44" s="4">
        <v>43</v>
      </c>
      <c r="B44" s="5">
        <v>45121</v>
      </c>
      <c r="C44" s="4" t="s">
        <v>56</v>
      </c>
      <c r="D44" s="4" t="s">
        <v>13</v>
      </c>
      <c r="E44" s="4">
        <v>48</v>
      </c>
      <c r="F44" s="4" t="str">
        <f>IF(Table1567[[#This Row],[Age]]&lt;=19,"Teenager",IF(Table1567[[#This Row],[Age]]&lt;=40,"Median","Old"))</f>
        <v>Old</v>
      </c>
      <c r="G44" s="4" t="s">
        <v>14</v>
      </c>
      <c r="H44" s="4">
        <v>1</v>
      </c>
      <c r="I44" s="4">
        <v>300</v>
      </c>
      <c r="J44" s="4">
        <v>300</v>
      </c>
      <c r="K44" s="4" t="str" cm="1">
        <f t="array" ref="K44">_xlfn.IFS(AND(Table1567[[#This Row],[Total Amount]]&gt;=1500),"Critical",AND(Table1567[[#This Row],[Total Amount]]&gt;=1000),"High",TRUE,"Normal")</f>
        <v>Normal</v>
      </c>
      <c r="L44" s="4" t="str">
        <f>IF(Table1567[[#This Row],[Total Amount]]&gt;=1000,"High",(IF(Table1567[[#This Row],[Total Amount]]&gt;=500,"Medium","Low")))</f>
        <v>Low</v>
      </c>
      <c r="M44" s="4" t="str" cm="1">
        <f t="array" ref="M4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4" s="4" cm="1">
        <f t="array" ref="N4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44" s="4">
        <f>Table1567[[#This Row],[Total Amount]]-Table1567[[#This Row],[Discount Amount]]</f>
        <v>240</v>
      </c>
      <c r="P44" s="4" t="str">
        <f>IF(Table1567[[#This Row],[Total Amount]]&gt;=1000,"High","Low")</f>
        <v>Low</v>
      </c>
      <c r="Q44" s="4" t="str" cm="1">
        <f t="array" ref="Q44">_xlfn.IFS(AND(Table1567[[#This Row],[Total Amount]]&gt;=1500,"Critical"),AND(Table1567[[#This Row],[Total Amount]]&gt;=1000,"High"),TRUE,"Normal")</f>
        <v>Normal</v>
      </c>
      <c r="R44" s="4" t="str">
        <f>CONCATENATE(Table1567[[#This Row],[Customer ID]], "-",Table1567[[#This Row],[Age]])</f>
        <v>CUST043-48</v>
      </c>
      <c r="S44" s="4" t="str">
        <f>TEXT(Table1567[[#This Row],[Date]],"mmm")</f>
        <v>Jul</v>
      </c>
      <c r="T44" s="4" t="str">
        <f>TEXT(Table1567[[#This Row],[Date]],"DDD")</f>
        <v>Fri</v>
      </c>
    </row>
    <row r="45" spans="1:20" ht="29" x14ac:dyDescent="0.35">
      <c r="A45" s="4">
        <v>44</v>
      </c>
      <c r="B45" s="5">
        <v>44976</v>
      </c>
      <c r="C45" s="4" t="s">
        <v>57</v>
      </c>
      <c r="D45" s="4" t="s">
        <v>13</v>
      </c>
      <c r="E45" s="4">
        <v>22</v>
      </c>
      <c r="F45" s="4" t="str">
        <f>IF(Table1567[[#This Row],[Age]]&lt;=19,"Teenager",IF(Table1567[[#This Row],[Age]]&lt;=40,"Median","Old"))</f>
        <v>Median</v>
      </c>
      <c r="G45" s="4" t="s">
        <v>14</v>
      </c>
      <c r="H45" s="4">
        <v>1</v>
      </c>
      <c r="I45" s="4">
        <v>25</v>
      </c>
      <c r="J45" s="4">
        <v>25</v>
      </c>
      <c r="K45" s="4" t="str" cm="1">
        <f t="array" ref="K45">_xlfn.IFS(AND(Table1567[[#This Row],[Total Amount]]&gt;=1500),"Critical",AND(Table1567[[#This Row],[Total Amount]]&gt;=1000),"High",TRUE,"Normal")</f>
        <v>Normal</v>
      </c>
      <c r="L45" s="4" t="str">
        <f>IF(Table1567[[#This Row],[Total Amount]]&gt;=1000,"High",(IF(Table1567[[#This Row],[Total Amount]]&gt;=500,"Medium","Low")))</f>
        <v>Low</v>
      </c>
      <c r="M45" s="4" t="str" cm="1">
        <f t="array" ref="M4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45" s="4" cm="1">
        <f t="array" ref="N4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45" s="4">
        <f>Table1567[[#This Row],[Total Amount]]-Table1567[[#This Row],[Discount Amount]]</f>
        <v>25</v>
      </c>
      <c r="P45" s="4" t="str">
        <f>IF(Table1567[[#This Row],[Total Amount]]&gt;=1000,"High","Low")</f>
        <v>Low</v>
      </c>
      <c r="Q45" s="4" t="str" cm="1">
        <f t="array" ref="Q45">_xlfn.IFS(AND(Table1567[[#This Row],[Total Amount]]&gt;=1500,"Critical"),AND(Table1567[[#This Row],[Total Amount]]&gt;=1000,"High"),TRUE,"Normal")</f>
        <v>Normal</v>
      </c>
      <c r="R45" s="4" t="str">
        <f>CONCATENATE(Table1567[[#This Row],[Customer ID]], "-",Table1567[[#This Row],[Age]])</f>
        <v>CUST044-22</v>
      </c>
      <c r="S45" s="4" t="str">
        <f>TEXT(Table1567[[#This Row],[Date]],"mmm")</f>
        <v>Feb</v>
      </c>
      <c r="T45" s="4" t="str">
        <f>TEXT(Table1567[[#This Row],[Date]],"DDD")</f>
        <v>Sun</v>
      </c>
    </row>
    <row r="46" spans="1:20" ht="29" x14ac:dyDescent="0.35">
      <c r="A46" s="4">
        <v>45</v>
      </c>
      <c r="B46" s="5">
        <v>45110</v>
      </c>
      <c r="C46" s="4" t="s">
        <v>58</v>
      </c>
      <c r="D46" s="4" t="s">
        <v>13</v>
      </c>
      <c r="E46" s="4">
        <v>55</v>
      </c>
      <c r="F46" s="4" t="str">
        <f>IF(Table1567[[#This Row],[Age]]&lt;=19,"Teenager",IF(Table1567[[#This Row],[Age]]&lt;=40,"Median","Old"))</f>
        <v>Old</v>
      </c>
      <c r="G46" s="4" t="s">
        <v>16</v>
      </c>
      <c r="H46" s="4">
        <v>1</v>
      </c>
      <c r="I46" s="4">
        <v>30</v>
      </c>
      <c r="J46" s="4">
        <v>30</v>
      </c>
      <c r="K46" s="4" t="str" cm="1">
        <f t="array" ref="K46">_xlfn.IFS(AND(Table1567[[#This Row],[Total Amount]]&gt;=1500),"Critical",AND(Table1567[[#This Row],[Total Amount]]&gt;=1000),"High",TRUE,"Normal")</f>
        <v>Normal</v>
      </c>
      <c r="L46" s="4" t="str">
        <f>IF(Table1567[[#This Row],[Total Amount]]&gt;=1000,"High",(IF(Table1567[[#This Row],[Total Amount]]&gt;=500,"Medium","Low")))</f>
        <v>Low</v>
      </c>
      <c r="M46" s="4" t="str" cm="1">
        <f t="array" ref="M4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6" s="4" cm="1">
        <f t="array" ref="N4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46" s="4">
        <f>Table1567[[#This Row],[Total Amount]]-Table1567[[#This Row],[Discount Amount]]</f>
        <v>24</v>
      </c>
      <c r="P46" s="4" t="str">
        <f>IF(Table1567[[#This Row],[Total Amount]]&gt;=1000,"High","Low")</f>
        <v>Low</v>
      </c>
      <c r="Q46" s="4" t="str" cm="1">
        <f t="array" ref="Q46">_xlfn.IFS(AND(Table1567[[#This Row],[Total Amount]]&gt;=1500,"Critical"),AND(Table1567[[#This Row],[Total Amount]]&gt;=1000,"High"),TRUE,"Normal")</f>
        <v>Normal</v>
      </c>
      <c r="R46" s="4" t="str">
        <f>CONCATENATE(Table1567[[#This Row],[Customer ID]], "-",Table1567[[#This Row],[Age]])</f>
        <v>CUST045-55</v>
      </c>
      <c r="S46" s="4" t="str">
        <f>TEXT(Table1567[[#This Row],[Date]],"mmm")</f>
        <v>Jul</v>
      </c>
      <c r="T46" s="4" t="str">
        <f>TEXT(Table1567[[#This Row],[Date]],"DDD")</f>
        <v>Mon</v>
      </c>
    </row>
    <row r="47" spans="1:20" ht="29" x14ac:dyDescent="0.35">
      <c r="A47" s="4">
        <v>46</v>
      </c>
      <c r="B47" s="5">
        <v>45103</v>
      </c>
      <c r="C47" s="4" t="s">
        <v>59</v>
      </c>
      <c r="D47" s="4" t="s">
        <v>13</v>
      </c>
      <c r="E47" s="4">
        <v>20</v>
      </c>
      <c r="F47" s="4" t="str">
        <f>IF(Table1567[[#This Row],[Age]]&lt;=19,"Teenager",IF(Table1567[[#This Row],[Age]]&lt;=40,"Median","Old"))</f>
        <v>Median</v>
      </c>
      <c r="G47" s="4" t="s">
        <v>16</v>
      </c>
      <c r="H47" s="4">
        <v>4</v>
      </c>
      <c r="I47" s="4">
        <v>300</v>
      </c>
      <c r="J47" s="4">
        <v>1200</v>
      </c>
      <c r="K47" s="4" t="str" cm="1">
        <f t="array" ref="K47">_xlfn.IFS(AND(Table1567[[#This Row],[Total Amount]]&gt;=1500),"Critical",AND(Table1567[[#This Row],[Total Amount]]&gt;=1000),"High",TRUE,"Normal")</f>
        <v>High</v>
      </c>
      <c r="L47" s="4" t="str">
        <f>IF(Table1567[[#This Row],[Total Amount]]&gt;=1000,"High",(IF(Table1567[[#This Row],[Total Amount]]&gt;=500,"Medium","Low")))</f>
        <v>High</v>
      </c>
      <c r="M47" s="4" t="str" cm="1">
        <f t="array" ref="M4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47" s="4" cm="1">
        <f t="array" ref="N4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47" s="4">
        <f>Table1567[[#This Row],[Total Amount]]-Table1567[[#This Row],[Discount Amount]]</f>
        <v>1200</v>
      </c>
      <c r="P47" s="4" t="str">
        <f>IF(Table1567[[#This Row],[Total Amount]]&gt;=1000,"High","Low")</f>
        <v>High</v>
      </c>
      <c r="Q47" s="4" t="str" cm="1">
        <f t="array" ref="Q47">_xlfn.IFS(AND(Table1567[[#This Row],[Total Amount]]&gt;=1500,"Critical"),AND(Table1567[[#This Row],[Total Amount]]&gt;=1000,"High"),TRUE,"Normal")</f>
        <v>Normal</v>
      </c>
      <c r="R47" s="4" t="str">
        <f>CONCATENATE(Table1567[[#This Row],[Customer ID]], "-",Table1567[[#This Row],[Age]])</f>
        <v>CUST046-20</v>
      </c>
      <c r="S47" s="4" t="str">
        <f>TEXT(Table1567[[#This Row],[Date]],"mmm")</f>
        <v>Jun</v>
      </c>
      <c r="T47" s="4" t="str">
        <f>TEXT(Table1567[[#This Row],[Date]],"DDD")</f>
        <v>Mon</v>
      </c>
    </row>
    <row r="48" spans="1:20" ht="29" x14ac:dyDescent="0.35">
      <c r="A48" s="4">
        <v>47</v>
      </c>
      <c r="B48" s="5">
        <v>45236</v>
      </c>
      <c r="C48" s="4" t="s">
        <v>60</v>
      </c>
      <c r="D48" s="4" t="s">
        <v>13</v>
      </c>
      <c r="E48" s="4">
        <v>40</v>
      </c>
      <c r="F48" s="4" t="str">
        <f>IF(Table1567[[#This Row],[Age]]&lt;=19,"Teenager",IF(Table1567[[#This Row],[Age]]&lt;=40,"Median","Old"))</f>
        <v>Median</v>
      </c>
      <c r="G48" s="4" t="s">
        <v>11</v>
      </c>
      <c r="H48" s="4">
        <v>3</v>
      </c>
      <c r="I48" s="4">
        <v>500</v>
      </c>
      <c r="J48" s="4">
        <v>1500</v>
      </c>
      <c r="K48" s="4" t="str" cm="1">
        <f t="array" ref="K48">_xlfn.IFS(AND(Table1567[[#This Row],[Total Amount]]&gt;=1500),"Critical",AND(Table1567[[#This Row],[Total Amount]]&gt;=1000),"High",TRUE,"Normal")</f>
        <v>Critical</v>
      </c>
      <c r="L48" s="4" t="str">
        <f>IF(Table1567[[#This Row],[Total Amount]]&gt;=1000,"High",(IF(Table1567[[#This Row],[Total Amount]]&gt;=500,"Medium","Low")))</f>
        <v>High</v>
      </c>
      <c r="M48" s="4" t="str" cm="1">
        <f t="array" ref="M4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8" s="4" cm="1">
        <f t="array" ref="N4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48" s="4">
        <f>Table1567[[#This Row],[Total Amount]]-Table1567[[#This Row],[Discount Amount]]</f>
        <v>1200</v>
      </c>
      <c r="P48" s="4" t="str">
        <f>IF(Table1567[[#This Row],[Total Amount]]&gt;=1000,"High","Low")</f>
        <v>High</v>
      </c>
      <c r="Q48" s="4" t="b" cm="1">
        <f t="array" ref="Q48">_xlfn.IFS(AND(Table1567[[#This Row],[Total Amount]]&gt;=1500,"Critical"),AND(Table1567[[#This Row],[Total Amount]]&gt;=1000,"High"),TRUE,"Normal")</f>
        <v>1</v>
      </c>
      <c r="R48" s="4" t="str">
        <f>CONCATENATE(Table1567[[#This Row],[Customer ID]], "-",Table1567[[#This Row],[Age]])</f>
        <v>CUST047-40</v>
      </c>
      <c r="S48" s="4" t="str">
        <f>TEXT(Table1567[[#This Row],[Date]],"mmm")</f>
        <v>Nov</v>
      </c>
      <c r="T48" s="4" t="str">
        <f>TEXT(Table1567[[#This Row],[Date]],"DDD")</f>
        <v>Mon</v>
      </c>
    </row>
    <row r="49" spans="1:20" ht="29" x14ac:dyDescent="0.35">
      <c r="A49" s="4">
        <v>48</v>
      </c>
      <c r="B49" s="5">
        <v>45062</v>
      </c>
      <c r="C49" s="4" t="s">
        <v>61</v>
      </c>
      <c r="D49" s="4" t="s">
        <v>10</v>
      </c>
      <c r="E49" s="4">
        <v>54</v>
      </c>
      <c r="F49" s="4" t="str">
        <f>IF(Table1567[[#This Row],[Age]]&lt;=19,"Teenager",IF(Table1567[[#This Row],[Age]]&lt;=40,"Median","Old"))</f>
        <v>Old</v>
      </c>
      <c r="G49" s="4" t="s">
        <v>16</v>
      </c>
      <c r="H49" s="4">
        <v>3</v>
      </c>
      <c r="I49" s="4">
        <v>300</v>
      </c>
      <c r="J49" s="4">
        <v>900</v>
      </c>
      <c r="K49" s="4" t="str" cm="1">
        <f t="array" ref="K49">_xlfn.IFS(AND(Table1567[[#This Row],[Total Amount]]&gt;=1500),"Critical",AND(Table1567[[#This Row],[Total Amount]]&gt;=1000),"High",TRUE,"Normal")</f>
        <v>Normal</v>
      </c>
      <c r="L49" s="4" t="str">
        <f>IF(Table1567[[#This Row],[Total Amount]]&gt;=1000,"High",(IF(Table1567[[#This Row],[Total Amount]]&gt;=500,"Medium","Low")))</f>
        <v>Medium</v>
      </c>
      <c r="M49" s="4" t="str" cm="1">
        <f t="array" ref="M4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9" s="4" cm="1">
        <f t="array" ref="N4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49" s="4">
        <f>Table1567[[#This Row],[Total Amount]]-Table1567[[#This Row],[Discount Amount]]</f>
        <v>810</v>
      </c>
      <c r="P49" s="4" t="str">
        <f>IF(Table1567[[#This Row],[Total Amount]]&gt;=1000,"High","Low")</f>
        <v>Low</v>
      </c>
      <c r="Q49" s="4" t="str" cm="1">
        <f t="array" ref="Q49">_xlfn.IFS(AND(Table1567[[#This Row],[Total Amount]]&gt;=1500,"Critical"),AND(Table1567[[#This Row],[Total Amount]]&gt;=1000,"High"),TRUE,"Normal")</f>
        <v>Normal</v>
      </c>
      <c r="R49" s="4" t="str">
        <f>CONCATENATE(Table1567[[#This Row],[Customer ID]], "-",Table1567[[#This Row],[Age]])</f>
        <v>CUST048-54</v>
      </c>
      <c r="S49" s="4" t="str">
        <f>TEXT(Table1567[[#This Row],[Date]],"mmm")</f>
        <v>May</v>
      </c>
      <c r="T49" s="4" t="str">
        <f>TEXT(Table1567[[#This Row],[Date]],"DDD")</f>
        <v>Tue</v>
      </c>
    </row>
    <row r="50" spans="1:20" ht="29" x14ac:dyDescent="0.35">
      <c r="A50" s="4">
        <v>49</v>
      </c>
      <c r="B50" s="5">
        <v>44949</v>
      </c>
      <c r="C50" s="4" t="s">
        <v>62</v>
      </c>
      <c r="D50" s="4" t="s">
        <v>13</v>
      </c>
      <c r="E50" s="4">
        <v>54</v>
      </c>
      <c r="F50" s="4" t="str">
        <f>IF(Table1567[[#This Row],[Age]]&lt;=19,"Teenager",IF(Table1567[[#This Row],[Age]]&lt;=40,"Median","Old"))</f>
        <v>Old</v>
      </c>
      <c r="G50" s="4" t="s">
        <v>16</v>
      </c>
      <c r="H50" s="4">
        <v>2</v>
      </c>
      <c r="I50" s="4">
        <v>500</v>
      </c>
      <c r="J50" s="4">
        <v>1000</v>
      </c>
      <c r="K50" s="4" t="str" cm="1">
        <f t="array" ref="K50">_xlfn.IFS(AND(Table1567[[#This Row],[Total Amount]]&gt;=1500),"Critical",AND(Table1567[[#This Row],[Total Amount]]&gt;=1000),"High",TRUE,"Normal")</f>
        <v>High</v>
      </c>
      <c r="L50" s="4" t="str">
        <f>IF(Table1567[[#This Row],[Total Amount]]&gt;=1000,"High",(IF(Table1567[[#This Row],[Total Amount]]&gt;=500,"Medium","Low")))</f>
        <v>High</v>
      </c>
      <c r="M50" s="4" t="str" cm="1">
        <f t="array" ref="M5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0" s="4" cm="1">
        <f t="array" ref="N5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50" s="4">
        <f>Table1567[[#This Row],[Total Amount]]-Table1567[[#This Row],[Discount Amount]]</f>
        <v>800</v>
      </c>
      <c r="P50" s="4" t="str">
        <f>IF(Table1567[[#This Row],[Total Amount]]&gt;=1000,"High","Low")</f>
        <v>High</v>
      </c>
      <c r="Q50" s="4" t="str" cm="1">
        <f t="array" ref="Q50">_xlfn.IFS(AND(Table1567[[#This Row],[Total Amount]]&gt;=1500,"Critical"),AND(Table1567[[#This Row],[Total Amount]]&gt;=1000,"High"),TRUE,"Normal")</f>
        <v>Normal</v>
      </c>
      <c r="R50" s="4" t="str">
        <f>CONCATENATE(Table1567[[#This Row],[Customer ID]], "-",Table1567[[#This Row],[Age]])</f>
        <v>CUST049-54</v>
      </c>
      <c r="S50" s="4" t="str">
        <f>TEXT(Table1567[[#This Row],[Date]],"mmm")</f>
        <v>Jan</v>
      </c>
      <c r="T50" s="4" t="str">
        <f>TEXT(Table1567[[#This Row],[Date]],"DDD")</f>
        <v>Mon</v>
      </c>
    </row>
    <row r="51" spans="1:20" ht="29" x14ac:dyDescent="0.35">
      <c r="A51" s="4">
        <v>50</v>
      </c>
      <c r="B51" s="5">
        <v>45162</v>
      </c>
      <c r="C51" s="4" t="s">
        <v>63</v>
      </c>
      <c r="D51" s="4" t="s">
        <v>13</v>
      </c>
      <c r="E51" s="4">
        <v>27</v>
      </c>
      <c r="F51" s="4" t="str">
        <f>IF(Table1567[[#This Row],[Age]]&lt;=19,"Teenager",IF(Table1567[[#This Row],[Age]]&lt;=40,"Median","Old"))</f>
        <v>Median</v>
      </c>
      <c r="G51" s="4" t="s">
        <v>11</v>
      </c>
      <c r="H51" s="4">
        <v>3</v>
      </c>
      <c r="I51" s="4">
        <v>25</v>
      </c>
      <c r="J51" s="4">
        <v>75</v>
      </c>
      <c r="K51" s="4" t="str" cm="1">
        <f t="array" ref="K51">_xlfn.IFS(AND(Table1567[[#This Row],[Total Amount]]&gt;=1500),"Critical",AND(Table1567[[#This Row],[Total Amount]]&gt;=1000),"High",TRUE,"Normal")</f>
        <v>Normal</v>
      </c>
      <c r="L51" s="4" t="str">
        <f>IF(Table1567[[#This Row],[Total Amount]]&gt;=1000,"High",(IF(Table1567[[#This Row],[Total Amount]]&gt;=500,"Medium","Low")))</f>
        <v>Low</v>
      </c>
      <c r="M51" s="4" t="str" cm="1">
        <f t="array" ref="M5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1" s="4" cm="1">
        <f t="array" ref="N5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11.25</v>
      </c>
      <c r="O51" s="4">
        <f>Table1567[[#This Row],[Total Amount]]-Table1567[[#This Row],[Discount Amount]]</f>
        <v>63.75</v>
      </c>
      <c r="P51" s="4" t="str">
        <f>IF(Table1567[[#This Row],[Total Amount]]&gt;=1000,"High","Low")</f>
        <v>Low</v>
      </c>
      <c r="Q51" s="4" t="str" cm="1">
        <f t="array" ref="Q51">_xlfn.IFS(AND(Table1567[[#This Row],[Total Amount]]&gt;=1500,"Critical"),AND(Table1567[[#This Row],[Total Amount]]&gt;=1000,"High"),TRUE,"Normal")</f>
        <v>Normal</v>
      </c>
      <c r="R51" s="4" t="str">
        <f>CONCATENATE(Table1567[[#This Row],[Customer ID]], "-",Table1567[[#This Row],[Age]])</f>
        <v>CUST050-27</v>
      </c>
      <c r="S51" s="4" t="str">
        <f>TEXT(Table1567[[#This Row],[Date]],"mmm")</f>
        <v>Aug</v>
      </c>
      <c r="T51" s="4" t="str">
        <f>TEXT(Table1567[[#This Row],[Date]],"DDD")</f>
        <v>Thu</v>
      </c>
    </row>
    <row r="52" spans="1:20" ht="29" x14ac:dyDescent="0.35">
      <c r="A52" s="4">
        <v>51</v>
      </c>
      <c r="B52" s="5">
        <v>45201</v>
      </c>
      <c r="C52" s="4" t="s">
        <v>64</v>
      </c>
      <c r="D52" s="4" t="s">
        <v>10</v>
      </c>
      <c r="E52" s="4">
        <v>27</v>
      </c>
      <c r="F52" s="4" t="str">
        <f>IF(Table1567[[#This Row],[Age]]&lt;=19,"Teenager",IF(Table1567[[#This Row],[Age]]&lt;=40,"Median","Old"))</f>
        <v>Median</v>
      </c>
      <c r="G52" s="4" t="s">
        <v>11</v>
      </c>
      <c r="H52" s="4">
        <v>3</v>
      </c>
      <c r="I52" s="4">
        <v>25</v>
      </c>
      <c r="J52" s="4">
        <v>75</v>
      </c>
      <c r="K52" s="4" t="str" cm="1">
        <f t="array" ref="K52">_xlfn.IFS(AND(Table1567[[#This Row],[Total Amount]]&gt;=1500),"Critical",AND(Table1567[[#This Row],[Total Amount]]&gt;=1000),"High",TRUE,"Normal")</f>
        <v>Normal</v>
      </c>
      <c r="L52" s="4" t="str">
        <f>IF(Table1567[[#This Row],[Total Amount]]&gt;=1000,"High",(IF(Table1567[[#This Row],[Total Amount]]&gt;=500,"Medium","Low")))</f>
        <v>Low</v>
      </c>
      <c r="M52" s="4" t="str" cm="1">
        <f t="array" ref="M5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2" s="4" cm="1">
        <f t="array" ref="N5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11.25</v>
      </c>
      <c r="O52" s="4">
        <f>Table1567[[#This Row],[Total Amount]]-Table1567[[#This Row],[Discount Amount]]</f>
        <v>63.75</v>
      </c>
      <c r="P52" s="4" t="str">
        <f>IF(Table1567[[#This Row],[Total Amount]]&gt;=1000,"High","Low")</f>
        <v>Low</v>
      </c>
      <c r="Q52" s="4" t="str" cm="1">
        <f t="array" ref="Q52">_xlfn.IFS(AND(Table1567[[#This Row],[Total Amount]]&gt;=1500,"Critical"),AND(Table1567[[#This Row],[Total Amount]]&gt;=1000,"High"),TRUE,"Normal")</f>
        <v>Normal</v>
      </c>
      <c r="R52" s="4" t="str">
        <f>CONCATENATE(Table1567[[#This Row],[Customer ID]], "-",Table1567[[#This Row],[Age]])</f>
        <v>CUST051-27</v>
      </c>
      <c r="S52" s="4" t="str">
        <f>TEXT(Table1567[[#This Row],[Date]],"mmm")</f>
        <v>Oct</v>
      </c>
      <c r="T52" s="4" t="str">
        <f>TEXT(Table1567[[#This Row],[Date]],"DDD")</f>
        <v>Mon</v>
      </c>
    </row>
    <row r="53" spans="1:20" ht="29" x14ac:dyDescent="0.35">
      <c r="A53" s="4">
        <v>52</v>
      </c>
      <c r="B53" s="5">
        <v>44990</v>
      </c>
      <c r="C53" s="4" t="s">
        <v>65</v>
      </c>
      <c r="D53" s="4" t="s">
        <v>13</v>
      </c>
      <c r="E53" s="4">
        <v>36</v>
      </c>
      <c r="F53" s="4" t="str">
        <f>IF(Table1567[[#This Row],[Age]]&lt;=19,"Teenager",IF(Table1567[[#This Row],[Age]]&lt;=40,"Median","Old"))</f>
        <v>Median</v>
      </c>
      <c r="G53" s="4" t="s">
        <v>11</v>
      </c>
      <c r="H53" s="4">
        <v>1</v>
      </c>
      <c r="I53" s="4">
        <v>300</v>
      </c>
      <c r="J53" s="4">
        <v>300</v>
      </c>
      <c r="K53" s="4" t="str" cm="1">
        <f t="array" ref="K53">_xlfn.IFS(AND(Table1567[[#This Row],[Total Amount]]&gt;=1500),"Critical",AND(Table1567[[#This Row],[Total Amount]]&gt;=1000),"High",TRUE,"Normal")</f>
        <v>Normal</v>
      </c>
      <c r="L53" s="4" t="str">
        <f>IF(Table1567[[#This Row],[Total Amount]]&gt;=1000,"High",(IF(Table1567[[#This Row],[Total Amount]]&gt;=500,"Medium","Low")))</f>
        <v>Low</v>
      </c>
      <c r="M53" s="4" t="str" cm="1">
        <f t="array" ref="M5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3" s="4" cm="1">
        <f t="array" ref="N5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53" s="4">
        <f>Table1567[[#This Row],[Total Amount]]-Table1567[[#This Row],[Discount Amount]]</f>
        <v>240</v>
      </c>
      <c r="P53" s="4" t="str">
        <f>IF(Table1567[[#This Row],[Total Amount]]&gt;=1000,"High","Low")</f>
        <v>Low</v>
      </c>
      <c r="Q53" s="4" t="str" cm="1">
        <f t="array" ref="Q53">_xlfn.IFS(AND(Table1567[[#This Row],[Total Amount]]&gt;=1500,"Critical"),AND(Table1567[[#This Row],[Total Amount]]&gt;=1000,"High"),TRUE,"Normal")</f>
        <v>Normal</v>
      </c>
      <c r="R53" s="4" t="str">
        <f>CONCATENATE(Table1567[[#This Row],[Customer ID]], "-",Table1567[[#This Row],[Age]])</f>
        <v>CUST052-36</v>
      </c>
      <c r="S53" s="4" t="str">
        <f>TEXT(Table1567[[#This Row],[Date]],"mmm")</f>
        <v>Mar</v>
      </c>
      <c r="T53" s="4" t="str">
        <f>TEXT(Table1567[[#This Row],[Date]],"DDD")</f>
        <v>Sun</v>
      </c>
    </row>
    <row r="54" spans="1:20" ht="29" x14ac:dyDescent="0.35">
      <c r="A54" s="4">
        <v>53</v>
      </c>
      <c r="B54" s="5">
        <v>45120</v>
      </c>
      <c r="C54" s="4" t="s">
        <v>66</v>
      </c>
      <c r="D54" s="4" t="s">
        <v>10</v>
      </c>
      <c r="E54" s="4">
        <v>34</v>
      </c>
      <c r="F54" s="4" t="str">
        <f>IF(Table1567[[#This Row],[Age]]&lt;=19,"Teenager",IF(Table1567[[#This Row],[Age]]&lt;=40,"Median","Old"))</f>
        <v>Median</v>
      </c>
      <c r="G54" s="4" t="s">
        <v>16</v>
      </c>
      <c r="H54" s="4">
        <v>2</v>
      </c>
      <c r="I54" s="4">
        <v>50</v>
      </c>
      <c r="J54" s="4">
        <v>100</v>
      </c>
      <c r="K54" s="4" t="str" cm="1">
        <f t="array" ref="K54">_xlfn.IFS(AND(Table1567[[#This Row],[Total Amount]]&gt;=1500),"Critical",AND(Table1567[[#This Row],[Total Amount]]&gt;=1000),"High",TRUE,"Normal")</f>
        <v>Normal</v>
      </c>
      <c r="L54" s="4" t="str">
        <f>IF(Table1567[[#This Row],[Total Amount]]&gt;=1000,"High",(IF(Table1567[[#This Row],[Total Amount]]&gt;=500,"Medium","Low")))</f>
        <v>Low</v>
      </c>
      <c r="M54" s="4" t="str" cm="1">
        <f t="array" ref="M5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4" s="4" cm="1">
        <f t="array" ref="N5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54" s="4">
        <f>Table1567[[#This Row],[Total Amount]]-Table1567[[#This Row],[Discount Amount]]</f>
        <v>85</v>
      </c>
      <c r="P54" s="4" t="str">
        <f>IF(Table1567[[#This Row],[Total Amount]]&gt;=1000,"High","Low")</f>
        <v>Low</v>
      </c>
      <c r="Q54" s="4" t="str" cm="1">
        <f t="array" ref="Q54">_xlfn.IFS(AND(Table1567[[#This Row],[Total Amount]]&gt;=1500,"Critical"),AND(Table1567[[#This Row],[Total Amount]]&gt;=1000,"High"),TRUE,"Normal")</f>
        <v>Normal</v>
      </c>
      <c r="R54" s="4" t="str">
        <f>CONCATENATE(Table1567[[#This Row],[Customer ID]], "-",Table1567[[#This Row],[Age]])</f>
        <v>CUST053-34</v>
      </c>
      <c r="S54" s="4" t="str">
        <f>TEXT(Table1567[[#This Row],[Date]],"mmm")</f>
        <v>Jul</v>
      </c>
      <c r="T54" s="4" t="str">
        <f>TEXT(Table1567[[#This Row],[Date]],"DDD")</f>
        <v>Thu</v>
      </c>
    </row>
    <row r="55" spans="1:20" ht="29" x14ac:dyDescent="0.35">
      <c r="A55" s="4">
        <v>54</v>
      </c>
      <c r="B55" s="5">
        <v>44967</v>
      </c>
      <c r="C55" s="4" t="s">
        <v>67</v>
      </c>
      <c r="D55" s="4" t="s">
        <v>13</v>
      </c>
      <c r="E55" s="4">
        <v>38</v>
      </c>
      <c r="F55" s="4" t="str">
        <f>IF(Table1567[[#This Row],[Age]]&lt;=19,"Teenager",IF(Table1567[[#This Row],[Age]]&lt;=40,"Median","Old"))</f>
        <v>Median</v>
      </c>
      <c r="G55" s="4" t="s">
        <v>16</v>
      </c>
      <c r="H55" s="4">
        <v>3</v>
      </c>
      <c r="I55" s="4">
        <v>500</v>
      </c>
      <c r="J55" s="4">
        <v>1500</v>
      </c>
      <c r="K55" s="4" t="str" cm="1">
        <f t="array" ref="K55">_xlfn.IFS(AND(Table1567[[#This Row],[Total Amount]]&gt;=1500),"Critical",AND(Table1567[[#This Row],[Total Amount]]&gt;=1000),"High",TRUE,"Normal")</f>
        <v>Critical</v>
      </c>
      <c r="L55" s="4" t="str">
        <f>IF(Table1567[[#This Row],[Total Amount]]&gt;=1000,"High",(IF(Table1567[[#This Row],[Total Amount]]&gt;=500,"Medium","Low")))</f>
        <v>High</v>
      </c>
      <c r="M55" s="4" t="str" cm="1">
        <f t="array" ref="M5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5" s="4" cm="1">
        <f t="array" ref="N5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55" s="4">
        <f>Table1567[[#This Row],[Total Amount]]-Table1567[[#This Row],[Discount Amount]]</f>
        <v>1200</v>
      </c>
      <c r="P55" s="4" t="str">
        <f>IF(Table1567[[#This Row],[Total Amount]]&gt;=1000,"High","Low")</f>
        <v>High</v>
      </c>
      <c r="Q55" s="4" t="b" cm="1">
        <f t="array" ref="Q55">_xlfn.IFS(AND(Table1567[[#This Row],[Total Amount]]&gt;=1500,"Critical"),AND(Table1567[[#This Row],[Total Amount]]&gt;=1000,"High"),TRUE,"Normal")</f>
        <v>1</v>
      </c>
      <c r="R55" s="4" t="str">
        <f>CONCATENATE(Table1567[[#This Row],[Customer ID]], "-",Table1567[[#This Row],[Age]])</f>
        <v>CUST054-38</v>
      </c>
      <c r="S55" s="4" t="str">
        <f>TEXT(Table1567[[#This Row],[Date]],"mmm")</f>
        <v>Feb</v>
      </c>
      <c r="T55" s="4" t="str">
        <f>TEXT(Table1567[[#This Row],[Date]],"DDD")</f>
        <v>Fri</v>
      </c>
    </row>
    <row r="56" spans="1:20" ht="29" x14ac:dyDescent="0.35">
      <c r="A56" s="4">
        <v>55</v>
      </c>
      <c r="B56" s="5">
        <v>45209</v>
      </c>
      <c r="C56" s="4" t="s">
        <v>68</v>
      </c>
      <c r="D56" s="4" t="s">
        <v>10</v>
      </c>
      <c r="E56" s="4">
        <v>31</v>
      </c>
      <c r="F56" s="4" t="str">
        <f>IF(Table1567[[#This Row],[Age]]&lt;=19,"Teenager",IF(Table1567[[#This Row],[Age]]&lt;=40,"Median","Old"))</f>
        <v>Median</v>
      </c>
      <c r="G56" s="4" t="s">
        <v>11</v>
      </c>
      <c r="H56" s="4">
        <v>4</v>
      </c>
      <c r="I56" s="4">
        <v>30</v>
      </c>
      <c r="J56" s="4">
        <v>120</v>
      </c>
      <c r="K56" s="4" t="str" cm="1">
        <f t="array" ref="K56">_xlfn.IFS(AND(Table1567[[#This Row],[Total Amount]]&gt;=1500),"Critical",AND(Table1567[[#This Row],[Total Amount]]&gt;=1000),"High",TRUE,"Normal")</f>
        <v>Normal</v>
      </c>
      <c r="L56" s="4" t="str">
        <f>IF(Table1567[[#This Row],[Total Amount]]&gt;=1000,"High",(IF(Table1567[[#This Row],[Total Amount]]&gt;=500,"Medium","Low")))</f>
        <v>Low</v>
      </c>
      <c r="M56" s="4" t="str" cm="1">
        <f t="array" ref="M5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6" s="4" cm="1">
        <f t="array" ref="N5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56" s="4">
        <f>Table1567[[#This Row],[Total Amount]]-Table1567[[#This Row],[Discount Amount]]</f>
        <v>102</v>
      </c>
      <c r="P56" s="4" t="str">
        <f>IF(Table1567[[#This Row],[Total Amount]]&gt;=1000,"High","Low")</f>
        <v>Low</v>
      </c>
      <c r="Q56" s="4" t="str" cm="1">
        <f t="array" ref="Q56">_xlfn.IFS(AND(Table1567[[#This Row],[Total Amount]]&gt;=1500,"Critical"),AND(Table1567[[#This Row],[Total Amount]]&gt;=1000,"High"),TRUE,"Normal")</f>
        <v>Normal</v>
      </c>
      <c r="R56" s="4" t="str">
        <f>CONCATENATE(Table1567[[#This Row],[Customer ID]], "-",Table1567[[#This Row],[Age]])</f>
        <v>CUST055-31</v>
      </c>
      <c r="S56" s="4" t="str">
        <f>TEXT(Table1567[[#This Row],[Date]],"mmm")</f>
        <v>Oct</v>
      </c>
      <c r="T56" s="4" t="str">
        <f>TEXT(Table1567[[#This Row],[Date]],"DDD")</f>
        <v>Tue</v>
      </c>
    </row>
    <row r="57" spans="1:20" ht="29" x14ac:dyDescent="0.35">
      <c r="A57" s="4">
        <v>56</v>
      </c>
      <c r="B57" s="5">
        <v>45077</v>
      </c>
      <c r="C57" s="4" t="s">
        <v>69</v>
      </c>
      <c r="D57" s="4" t="s">
        <v>13</v>
      </c>
      <c r="E57" s="4">
        <v>26</v>
      </c>
      <c r="F57" s="4" t="str">
        <f>IF(Table1567[[#This Row],[Age]]&lt;=19,"Teenager",IF(Table1567[[#This Row],[Age]]&lt;=40,"Median","Old"))</f>
        <v>Median</v>
      </c>
      <c r="G57" s="4" t="s">
        <v>14</v>
      </c>
      <c r="H57" s="4">
        <v>3</v>
      </c>
      <c r="I57" s="4">
        <v>300</v>
      </c>
      <c r="J57" s="4">
        <v>900</v>
      </c>
      <c r="K57" s="4" t="str" cm="1">
        <f t="array" ref="K57">_xlfn.IFS(AND(Table1567[[#This Row],[Total Amount]]&gt;=1500),"Critical",AND(Table1567[[#This Row],[Total Amount]]&gt;=1000),"High",TRUE,"Normal")</f>
        <v>Normal</v>
      </c>
      <c r="L57" s="4" t="str">
        <f>IF(Table1567[[#This Row],[Total Amount]]&gt;=1000,"High",(IF(Table1567[[#This Row],[Total Amount]]&gt;=500,"Medium","Low")))</f>
        <v>Medium</v>
      </c>
      <c r="M57" s="4" t="str" cm="1">
        <f t="array" ref="M5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7" s="4" cm="1">
        <f t="array" ref="N5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135</v>
      </c>
      <c r="O57" s="4">
        <f>Table1567[[#This Row],[Total Amount]]-Table1567[[#This Row],[Discount Amount]]</f>
        <v>765</v>
      </c>
      <c r="P57" s="4" t="str">
        <f>IF(Table1567[[#This Row],[Total Amount]]&gt;=1000,"High","Low")</f>
        <v>Low</v>
      </c>
      <c r="Q57" s="4" t="str" cm="1">
        <f t="array" ref="Q57">_xlfn.IFS(AND(Table1567[[#This Row],[Total Amount]]&gt;=1500,"Critical"),AND(Table1567[[#This Row],[Total Amount]]&gt;=1000,"High"),TRUE,"Normal")</f>
        <v>Normal</v>
      </c>
      <c r="R57" s="4" t="str">
        <f>CONCATENATE(Table1567[[#This Row],[Customer ID]], "-",Table1567[[#This Row],[Age]])</f>
        <v>CUST056-26</v>
      </c>
      <c r="S57" s="4" t="str">
        <f>TEXT(Table1567[[#This Row],[Date]],"mmm")</f>
        <v>May</v>
      </c>
      <c r="T57" s="4" t="str">
        <f>TEXT(Table1567[[#This Row],[Date]],"DDD")</f>
        <v>Wed</v>
      </c>
    </row>
    <row r="58" spans="1:20" ht="29" x14ac:dyDescent="0.35">
      <c r="A58" s="4">
        <v>57</v>
      </c>
      <c r="B58" s="5">
        <v>45248</v>
      </c>
      <c r="C58" s="4" t="s">
        <v>70</v>
      </c>
      <c r="D58" s="4" t="s">
        <v>13</v>
      </c>
      <c r="E58" s="4">
        <v>63</v>
      </c>
      <c r="F58" s="4" t="str">
        <f>IF(Table1567[[#This Row],[Age]]&lt;=19,"Teenager",IF(Table1567[[#This Row],[Age]]&lt;=40,"Median","Old"))</f>
        <v>Old</v>
      </c>
      <c r="G58" s="4" t="s">
        <v>11</v>
      </c>
      <c r="H58" s="4">
        <v>1</v>
      </c>
      <c r="I58" s="4">
        <v>30</v>
      </c>
      <c r="J58" s="4">
        <v>30</v>
      </c>
      <c r="K58" s="4" t="str" cm="1">
        <f t="array" ref="K58">_xlfn.IFS(AND(Table1567[[#This Row],[Total Amount]]&gt;=1500),"Critical",AND(Table1567[[#This Row],[Total Amount]]&gt;=1000),"High",TRUE,"Normal")</f>
        <v>Normal</v>
      </c>
      <c r="L58" s="4" t="str">
        <f>IF(Table1567[[#This Row],[Total Amount]]&gt;=1000,"High",(IF(Table1567[[#This Row],[Total Amount]]&gt;=500,"Medium","Low")))</f>
        <v>Low</v>
      </c>
      <c r="M58" s="4" t="str" cm="1">
        <f t="array" ref="M5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8" s="4" cm="1">
        <f t="array" ref="N5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58" s="4">
        <f>Table1567[[#This Row],[Total Amount]]-Table1567[[#This Row],[Discount Amount]]</f>
        <v>24</v>
      </c>
      <c r="P58" s="4" t="str">
        <f>IF(Table1567[[#This Row],[Total Amount]]&gt;=1000,"High","Low")</f>
        <v>Low</v>
      </c>
      <c r="Q58" s="4" t="str" cm="1">
        <f t="array" ref="Q58">_xlfn.IFS(AND(Table1567[[#This Row],[Total Amount]]&gt;=1500,"Critical"),AND(Table1567[[#This Row],[Total Amount]]&gt;=1000,"High"),TRUE,"Normal")</f>
        <v>Normal</v>
      </c>
      <c r="R58" s="4" t="str">
        <f>CONCATENATE(Table1567[[#This Row],[Customer ID]], "-",Table1567[[#This Row],[Age]])</f>
        <v>CUST057-63</v>
      </c>
      <c r="S58" s="4" t="str">
        <f>TEXT(Table1567[[#This Row],[Date]],"mmm")</f>
        <v>Nov</v>
      </c>
      <c r="T58" s="4" t="str">
        <f>TEXT(Table1567[[#This Row],[Date]],"DDD")</f>
        <v>Sat</v>
      </c>
    </row>
    <row r="59" spans="1:20" ht="29" x14ac:dyDescent="0.35">
      <c r="A59" s="4">
        <v>58</v>
      </c>
      <c r="B59" s="5">
        <v>45243</v>
      </c>
      <c r="C59" s="4" t="s">
        <v>71</v>
      </c>
      <c r="D59" s="4" t="s">
        <v>10</v>
      </c>
      <c r="E59" s="4">
        <v>18</v>
      </c>
      <c r="F59" s="4" t="str">
        <f>IF(Table1567[[#This Row],[Age]]&lt;=19,"Teenager",IF(Table1567[[#This Row],[Age]]&lt;=40,"Median","Old"))</f>
        <v>Teenager</v>
      </c>
      <c r="G59" s="4" t="s">
        <v>14</v>
      </c>
      <c r="H59" s="4">
        <v>4</v>
      </c>
      <c r="I59" s="4">
        <v>300</v>
      </c>
      <c r="J59" s="4">
        <v>1200</v>
      </c>
      <c r="K59" s="4" t="str" cm="1">
        <f t="array" ref="K59">_xlfn.IFS(AND(Table1567[[#This Row],[Total Amount]]&gt;=1500),"Critical",AND(Table1567[[#This Row],[Total Amount]]&gt;=1000),"High",TRUE,"Normal")</f>
        <v>High</v>
      </c>
      <c r="L59" s="4" t="str">
        <f>IF(Table1567[[#This Row],[Total Amount]]&gt;=1000,"High",(IF(Table1567[[#This Row],[Total Amount]]&gt;=500,"Medium","Low")))</f>
        <v>High</v>
      </c>
      <c r="M59" s="4" t="str" cm="1">
        <f t="array" ref="M5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59" s="4" cm="1">
        <f t="array" ref="N5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59" s="4">
        <f>Table1567[[#This Row],[Total Amount]]-Table1567[[#This Row],[Discount Amount]]</f>
        <v>1200</v>
      </c>
      <c r="P59" s="4" t="str">
        <f>IF(Table1567[[#This Row],[Total Amount]]&gt;=1000,"High","Low")</f>
        <v>High</v>
      </c>
      <c r="Q59" s="4" t="str" cm="1">
        <f t="array" ref="Q59">_xlfn.IFS(AND(Table1567[[#This Row],[Total Amount]]&gt;=1500,"Critical"),AND(Table1567[[#This Row],[Total Amount]]&gt;=1000,"High"),TRUE,"Normal")</f>
        <v>Normal</v>
      </c>
      <c r="R59" s="4" t="str">
        <f>CONCATENATE(Table1567[[#This Row],[Customer ID]], "-",Table1567[[#This Row],[Age]])</f>
        <v>CUST058-18</v>
      </c>
      <c r="S59" s="4" t="str">
        <f>TEXT(Table1567[[#This Row],[Date]],"mmm")</f>
        <v>Nov</v>
      </c>
      <c r="T59" s="4" t="str">
        <f>TEXT(Table1567[[#This Row],[Date]],"DDD")</f>
        <v>Mon</v>
      </c>
    </row>
    <row r="60" spans="1:20" ht="29" x14ac:dyDescent="0.35">
      <c r="A60" s="4">
        <v>59</v>
      </c>
      <c r="B60" s="5">
        <v>45112</v>
      </c>
      <c r="C60" s="4" t="s">
        <v>72</v>
      </c>
      <c r="D60" s="4" t="s">
        <v>10</v>
      </c>
      <c r="E60" s="4">
        <v>62</v>
      </c>
      <c r="F60" s="4" t="str">
        <f>IF(Table1567[[#This Row],[Age]]&lt;=19,"Teenager",IF(Table1567[[#This Row],[Age]]&lt;=40,"Median","Old"))</f>
        <v>Old</v>
      </c>
      <c r="G60" s="4" t="s">
        <v>14</v>
      </c>
      <c r="H60" s="4">
        <v>1</v>
      </c>
      <c r="I60" s="4">
        <v>50</v>
      </c>
      <c r="J60" s="4">
        <v>50</v>
      </c>
      <c r="K60" s="4" t="str" cm="1">
        <f t="array" ref="K60">_xlfn.IFS(AND(Table1567[[#This Row],[Total Amount]]&gt;=1500),"Critical",AND(Table1567[[#This Row],[Total Amount]]&gt;=1000),"High",TRUE,"Normal")</f>
        <v>Normal</v>
      </c>
      <c r="L60" s="4" t="str">
        <f>IF(Table1567[[#This Row],[Total Amount]]&gt;=1000,"High",(IF(Table1567[[#This Row],[Total Amount]]&gt;=500,"Medium","Low")))</f>
        <v>Low</v>
      </c>
      <c r="M60" s="4" t="str" cm="1">
        <f t="array" ref="M6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0" s="4" cm="1">
        <f t="array" ref="N6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60" s="4">
        <f>Table1567[[#This Row],[Total Amount]]-Table1567[[#This Row],[Discount Amount]]</f>
        <v>45</v>
      </c>
      <c r="P60" s="4" t="str">
        <f>IF(Table1567[[#This Row],[Total Amount]]&gt;=1000,"High","Low")</f>
        <v>Low</v>
      </c>
      <c r="Q60" s="4" t="str" cm="1">
        <f t="array" ref="Q60">_xlfn.IFS(AND(Table1567[[#This Row],[Total Amount]]&gt;=1500,"Critical"),AND(Table1567[[#This Row],[Total Amount]]&gt;=1000,"High"),TRUE,"Normal")</f>
        <v>Normal</v>
      </c>
      <c r="R60" s="4" t="str">
        <f>CONCATENATE(Table1567[[#This Row],[Customer ID]], "-",Table1567[[#This Row],[Age]])</f>
        <v>CUST059-62</v>
      </c>
      <c r="S60" s="4" t="str">
        <f>TEXT(Table1567[[#This Row],[Date]],"mmm")</f>
        <v>Jul</v>
      </c>
      <c r="T60" s="4" t="str">
        <f>TEXT(Table1567[[#This Row],[Date]],"DDD")</f>
        <v>Wed</v>
      </c>
    </row>
    <row r="61" spans="1:20" ht="29" x14ac:dyDescent="0.35">
      <c r="A61" s="4">
        <v>60</v>
      </c>
      <c r="B61" s="5">
        <v>45222</v>
      </c>
      <c r="C61" s="4" t="s">
        <v>73</v>
      </c>
      <c r="D61" s="4" t="s">
        <v>10</v>
      </c>
      <c r="E61" s="4">
        <v>30</v>
      </c>
      <c r="F61" s="4" t="str">
        <f>IF(Table1567[[#This Row],[Age]]&lt;=19,"Teenager",IF(Table1567[[#This Row],[Age]]&lt;=40,"Median","Old"))</f>
        <v>Median</v>
      </c>
      <c r="G61" s="4" t="s">
        <v>11</v>
      </c>
      <c r="H61" s="4">
        <v>3</v>
      </c>
      <c r="I61" s="4">
        <v>50</v>
      </c>
      <c r="J61" s="4">
        <v>150</v>
      </c>
      <c r="K61" s="4" t="str" cm="1">
        <f t="array" ref="K61">_xlfn.IFS(AND(Table1567[[#This Row],[Total Amount]]&gt;=1500),"Critical",AND(Table1567[[#This Row],[Total Amount]]&gt;=1000),"High",TRUE,"Normal")</f>
        <v>Normal</v>
      </c>
      <c r="L61" s="4" t="str">
        <f>IF(Table1567[[#This Row],[Total Amount]]&gt;=1000,"High",(IF(Table1567[[#This Row],[Total Amount]]&gt;=500,"Medium","Low")))</f>
        <v>Low</v>
      </c>
      <c r="M61" s="4" t="str" cm="1">
        <f t="array" ref="M6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1" s="4" cm="1">
        <f t="array" ref="N6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22.5</v>
      </c>
      <c r="O61" s="4">
        <f>Table1567[[#This Row],[Total Amount]]-Table1567[[#This Row],[Discount Amount]]</f>
        <v>127.5</v>
      </c>
      <c r="P61" s="4" t="str">
        <f>IF(Table1567[[#This Row],[Total Amount]]&gt;=1000,"High","Low")</f>
        <v>Low</v>
      </c>
      <c r="Q61" s="4" t="str" cm="1">
        <f t="array" ref="Q61">_xlfn.IFS(AND(Table1567[[#This Row],[Total Amount]]&gt;=1500,"Critical"),AND(Table1567[[#This Row],[Total Amount]]&gt;=1000,"High"),TRUE,"Normal")</f>
        <v>Normal</v>
      </c>
      <c r="R61" s="4" t="str">
        <f>CONCATENATE(Table1567[[#This Row],[Customer ID]], "-",Table1567[[#This Row],[Age]])</f>
        <v>CUST060-30</v>
      </c>
      <c r="S61" s="4" t="str">
        <f>TEXT(Table1567[[#This Row],[Date]],"mmm")</f>
        <v>Oct</v>
      </c>
      <c r="T61" s="4" t="str">
        <f>TEXT(Table1567[[#This Row],[Date]],"DDD")</f>
        <v>Mon</v>
      </c>
    </row>
    <row r="62" spans="1:20" ht="29" x14ac:dyDescent="0.35">
      <c r="A62" s="4">
        <v>61</v>
      </c>
      <c r="B62" s="5">
        <v>45025</v>
      </c>
      <c r="C62" s="4" t="s">
        <v>74</v>
      </c>
      <c r="D62" s="4" t="s">
        <v>10</v>
      </c>
      <c r="E62" s="4">
        <v>21</v>
      </c>
      <c r="F62" s="4" t="str">
        <f>IF(Table1567[[#This Row],[Age]]&lt;=19,"Teenager",IF(Table1567[[#This Row],[Age]]&lt;=40,"Median","Old"))</f>
        <v>Median</v>
      </c>
      <c r="G62" s="4" t="s">
        <v>11</v>
      </c>
      <c r="H62" s="4">
        <v>4</v>
      </c>
      <c r="I62" s="4">
        <v>50</v>
      </c>
      <c r="J62" s="4">
        <v>200</v>
      </c>
      <c r="K62" s="4" t="str" cm="1">
        <f t="array" ref="K62">_xlfn.IFS(AND(Table1567[[#This Row],[Total Amount]]&gt;=1500),"Critical",AND(Table1567[[#This Row],[Total Amount]]&gt;=1000),"High",TRUE,"Normal")</f>
        <v>Normal</v>
      </c>
      <c r="L62" s="4" t="str">
        <f>IF(Table1567[[#This Row],[Total Amount]]&gt;=1000,"High",(IF(Table1567[[#This Row],[Total Amount]]&gt;=500,"Medium","Low")))</f>
        <v>Low</v>
      </c>
      <c r="M62" s="4" t="str" cm="1">
        <f t="array" ref="M6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62" s="4" cm="1">
        <f t="array" ref="N6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62" s="4">
        <f>Table1567[[#This Row],[Total Amount]]-Table1567[[#This Row],[Discount Amount]]</f>
        <v>200</v>
      </c>
      <c r="P62" s="4" t="str">
        <f>IF(Table1567[[#This Row],[Total Amount]]&gt;=1000,"High","Low")</f>
        <v>Low</v>
      </c>
      <c r="Q62" s="4" t="str" cm="1">
        <f t="array" ref="Q62">_xlfn.IFS(AND(Table1567[[#This Row],[Total Amount]]&gt;=1500,"Critical"),AND(Table1567[[#This Row],[Total Amount]]&gt;=1000,"High"),TRUE,"Normal")</f>
        <v>Normal</v>
      </c>
      <c r="R62" s="4" t="str">
        <f>CONCATENATE(Table1567[[#This Row],[Customer ID]], "-",Table1567[[#This Row],[Age]])</f>
        <v>CUST061-21</v>
      </c>
      <c r="S62" s="4" t="str">
        <f>TEXT(Table1567[[#This Row],[Date]],"mmm")</f>
        <v>Apr</v>
      </c>
      <c r="T62" s="4" t="str">
        <f>TEXT(Table1567[[#This Row],[Date]],"DDD")</f>
        <v>Sun</v>
      </c>
    </row>
    <row r="63" spans="1:20" ht="29" x14ac:dyDescent="0.35">
      <c r="A63" s="4">
        <v>62</v>
      </c>
      <c r="B63" s="5">
        <v>45287</v>
      </c>
      <c r="C63" s="4" t="s">
        <v>75</v>
      </c>
      <c r="D63" s="4" t="s">
        <v>10</v>
      </c>
      <c r="E63" s="4">
        <v>18</v>
      </c>
      <c r="F63" s="4" t="str">
        <f>IF(Table1567[[#This Row],[Age]]&lt;=19,"Teenager",IF(Table1567[[#This Row],[Age]]&lt;=40,"Median","Old"))</f>
        <v>Teenager</v>
      </c>
      <c r="G63" s="4" t="s">
        <v>11</v>
      </c>
      <c r="H63" s="4">
        <v>2</v>
      </c>
      <c r="I63" s="4">
        <v>50</v>
      </c>
      <c r="J63" s="4">
        <v>100</v>
      </c>
      <c r="K63" s="4" t="str" cm="1">
        <f t="array" ref="K63">_xlfn.IFS(AND(Table1567[[#This Row],[Total Amount]]&gt;=1500),"Critical",AND(Table1567[[#This Row],[Total Amount]]&gt;=1000),"High",TRUE,"Normal")</f>
        <v>Normal</v>
      </c>
      <c r="L63" s="4" t="str">
        <f>IF(Table1567[[#This Row],[Total Amount]]&gt;=1000,"High",(IF(Table1567[[#This Row],[Total Amount]]&gt;=500,"Medium","Low")))</f>
        <v>Low</v>
      </c>
      <c r="M63" s="4" t="str" cm="1">
        <f t="array" ref="M6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63" s="4" cm="1">
        <f t="array" ref="N6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63" s="4">
        <f>Table1567[[#This Row],[Total Amount]]-Table1567[[#This Row],[Discount Amount]]</f>
        <v>100</v>
      </c>
      <c r="P63" s="4" t="str">
        <f>IF(Table1567[[#This Row],[Total Amount]]&gt;=1000,"High","Low")</f>
        <v>Low</v>
      </c>
      <c r="Q63" s="4" t="str" cm="1">
        <f t="array" ref="Q63">_xlfn.IFS(AND(Table1567[[#This Row],[Total Amount]]&gt;=1500,"Critical"),AND(Table1567[[#This Row],[Total Amount]]&gt;=1000,"High"),TRUE,"Normal")</f>
        <v>Normal</v>
      </c>
      <c r="R63" s="4" t="str">
        <f>CONCATENATE(Table1567[[#This Row],[Customer ID]], "-",Table1567[[#This Row],[Age]])</f>
        <v>CUST062-18</v>
      </c>
      <c r="S63" s="4" t="str">
        <f>TEXT(Table1567[[#This Row],[Date]],"mmm")</f>
        <v>Dec</v>
      </c>
      <c r="T63" s="4" t="str">
        <f>TEXT(Table1567[[#This Row],[Date]],"DDD")</f>
        <v>Wed</v>
      </c>
    </row>
    <row r="64" spans="1:20" ht="29" x14ac:dyDescent="0.35">
      <c r="A64" s="4">
        <v>63</v>
      </c>
      <c r="B64" s="5">
        <v>44962</v>
      </c>
      <c r="C64" s="4" t="s">
        <v>76</v>
      </c>
      <c r="D64" s="4" t="s">
        <v>10</v>
      </c>
      <c r="E64" s="4">
        <v>57</v>
      </c>
      <c r="F64" s="4" t="str">
        <f>IF(Table1567[[#This Row],[Age]]&lt;=19,"Teenager",IF(Table1567[[#This Row],[Age]]&lt;=40,"Median","Old"))</f>
        <v>Old</v>
      </c>
      <c r="G64" s="4" t="s">
        <v>16</v>
      </c>
      <c r="H64" s="4">
        <v>2</v>
      </c>
      <c r="I64" s="4">
        <v>25</v>
      </c>
      <c r="J64" s="4">
        <v>50</v>
      </c>
      <c r="K64" s="4" t="str" cm="1">
        <f t="array" ref="K64">_xlfn.IFS(AND(Table1567[[#This Row],[Total Amount]]&gt;=1500),"Critical",AND(Table1567[[#This Row],[Total Amount]]&gt;=1000),"High",TRUE,"Normal")</f>
        <v>Normal</v>
      </c>
      <c r="L64" s="4" t="str">
        <f>IF(Table1567[[#This Row],[Total Amount]]&gt;=1000,"High",(IF(Table1567[[#This Row],[Total Amount]]&gt;=500,"Medium","Low")))</f>
        <v>Low</v>
      </c>
      <c r="M64" s="4" t="str" cm="1">
        <f t="array" ref="M6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4" s="4" cm="1">
        <f t="array" ref="N6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64" s="4">
        <f>Table1567[[#This Row],[Total Amount]]-Table1567[[#This Row],[Discount Amount]]</f>
        <v>45</v>
      </c>
      <c r="P64" s="4" t="str">
        <f>IF(Table1567[[#This Row],[Total Amount]]&gt;=1000,"High","Low")</f>
        <v>Low</v>
      </c>
      <c r="Q64" s="4" t="str" cm="1">
        <f t="array" ref="Q64">_xlfn.IFS(AND(Table1567[[#This Row],[Total Amount]]&gt;=1500,"Critical"),AND(Table1567[[#This Row],[Total Amount]]&gt;=1000,"High"),TRUE,"Normal")</f>
        <v>Normal</v>
      </c>
      <c r="R64" s="4" t="str">
        <f>CONCATENATE(Table1567[[#This Row],[Customer ID]], "-",Table1567[[#This Row],[Age]])</f>
        <v>CUST063-57</v>
      </c>
      <c r="S64" s="4" t="str">
        <f>TEXT(Table1567[[#This Row],[Date]],"mmm")</f>
        <v>Feb</v>
      </c>
      <c r="T64" s="4" t="str">
        <f>TEXT(Table1567[[#This Row],[Date]],"DDD")</f>
        <v>Sun</v>
      </c>
    </row>
    <row r="65" spans="1:20" ht="29" x14ac:dyDescent="0.35">
      <c r="A65" s="4">
        <v>64</v>
      </c>
      <c r="B65" s="5">
        <v>44950</v>
      </c>
      <c r="C65" s="4" t="s">
        <v>77</v>
      </c>
      <c r="D65" s="4" t="s">
        <v>10</v>
      </c>
      <c r="E65" s="4">
        <v>49</v>
      </c>
      <c r="F65" s="4" t="str">
        <f>IF(Table1567[[#This Row],[Age]]&lt;=19,"Teenager",IF(Table1567[[#This Row],[Age]]&lt;=40,"Median","Old"))</f>
        <v>Old</v>
      </c>
      <c r="G65" s="4" t="s">
        <v>14</v>
      </c>
      <c r="H65" s="4">
        <v>4</v>
      </c>
      <c r="I65" s="4">
        <v>25</v>
      </c>
      <c r="J65" s="4">
        <v>100</v>
      </c>
      <c r="K65" s="4" t="str" cm="1">
        <f t="array" ref="K65">_xlfn.IFS(AND(Table1567[[#This Row],[Total Amount]]&gt;=1500),"Critical",AND(Table1567[[#This Row],[Total Amount]]&gt;=1000),"High",TRUE,"Normal")</f>
        <v>Normal</v>
      </c>
      <c r="L65" s="4" t="str">
        <f>IF(Table1567[[#This Row],[Total Amount]]&gt;=1000,"High",(IF(Table1567[[#This Row],[Total Amount]]&gt;=500,"Medium","Low")))</f>
        <v>Low</v>
      </c>
      <c r="M65" s="4" t="str" cm="1">
        <f t="array" ref="M6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5" s="4" cm="1">
        <f t="array" ref="N6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65" s="4">
        <f>Table1567[[#This Row],[Total Amount]]-Table1567[[#This Row],[Discount Amount]]</f>
        <v>90</v>
      </c>
      <c r="P65" s="4" t="str">
        <f>IF(Table1567[[#This Row],[Total Amount]]&gt;=1000,"High","Low")</f>
        <v>Low</v>
      </c>
      <c r="Q65" s="4" t="str" cm="1">
        <f t="array" ref="Q65">_xlfn.IFS(AND(Table1567[[#This Row],[Total Amount]]&gt;=1500,"Critical"),AND(Table1567[[#This Row],[Total Amount]]&gt;=1000,"High"),TRUE,"Normal")</f>
        <v>Normal</v>
      </c>
      <c r="R65" s="4" t="str">
        <f>CONCATENATE(Table1567[[#This Row],[Customer ID]], "-",Table1567[[#This Row],[Age]])</f>
        <v>CUST064-49</v>
      </c>
      <c r="S65" s="4" t="str">
        <f>TEXT(Table1567[[#This Row],[Date]],"mmm")</f>
        <v>Jan</v>
      </c>
      <c r="T65" s="4" t="str">
        <f>TEXT(Table1567[[#This Row],[Date]],"DDD")</f>
        <v>Tue</v>
      </c>
    </row>
    <row r="66" spans="1:20" ht="29" x14ac:dyDescent="0.35">
      <c r="A66" s="4">
        <v>65</v>
      </c>
      <c r="B66" s="5">
        <v>45265</v>
      </c>
      <c r="C66" s="4" t="s">
        <v>78</v>
      </c>
      <c r="D66" s="4" t="s">
        <v>10</v>
      </c>
      <c r="E66" s="4">
        <v>51</v>
      </c>
      <c r="F66" s="4" t="str">
        <f>IF(Table1567[[#This Row],[Age]]&lt;=19,"Teenager",IF(Table1567[[#This Row],[Age]]&lt;=40,"Median","Old"))</f>
        <v>Old</v>
      </c>
      <c r="G66" s="4" t="s">
        <v>16</v>
      </c>
      <c r="H66" s="4">
        <v>4</v>
      </c>
      <c r="I66" s="4">
        <v>500</v>
      </c>
      <c r="J66" s="4">
        <v>2000</v>
      </c>
      <c r="K66" s="4" t="str" cm="1">
        <f t="array" ref="K66">_xlfn.IFS(AND(Table1567[[#This Row],[Total Amount]]&gt;=1500),"Critical",AND(Table1567[[#This Row],[Total Amount]]&gt;=1000),"High",TRUE,"Normal")</f>
        <v>Critical</v>
      </c>
      <c r="L66" s="4" t="str">
        <f>IF(Table1567[[#This Row],[Total Amount]]&gt;=1000,"High",(IF(Table1567[[#This Row],[Total Amount]]&gt;=500,"Medium","Low")))</f>
        <v>High</v>
      </c>
      <c r="M66" s="4" t="str" cm="1">
        <f t="array" ref="M6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6" s="4" cm="1">
        <f t="array" ref="N6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66" s="4">
        <f>Table1567[[#This Row],[Total Amount]]-Table1567[[#This Row],[Discount Amount]]</f>
        <v>1800</v>
      </c>
      <c r="P66" s="4" t="str">
        <f>IF(Table1567[[#This Row],[Total Amount]]&gt;=1000,"High","Low")</f>
        <v>High</v>
      </c>
      <c r="Q66" s="4" t="b" cm="1">
        <f t="array" ref="Q66">_xlfn.IFS(AND(Table1567[[#This Row],[Total Amount]]&gt;=1500,"Critical"),AND(Table1567[[#This Row],[Total Amount]]&gt;=1000,"High"),TRUE,"Normal")</f>
        <v>1</v>
      </c>
      <c r="R66" s="4" t="str">
        <f>CONCATENATE(Table1567[[#This Row],[Customer ID]], "-",Table1567[[#This Row],[Age]])</f>
        <v>CUST065-51</v>
      </c>
      <c r="S66" s="4" t="str">
        <f>TEXT(Table1567[[#This Row],[Date]],"mmm")</f>
        <v>Dec</v>
      </c>
      <c r="T66" s="4" t="str">
        <f>TEXT(Table1567[[#This Row],[Date]],"DDD")</f>
        <v>Tue</v>
      </c>
    </row>
    <row r="67" spans="1:20" ht="29" x14ac:dyDescent="0.35">
      <c r="A67" s="4">
        <v>66</v>
      </c>
      <c r="B67" s="5">
        <v>45043</v>
      </c>
      <c r="C67" s="4" t="s">
        <v>79</v>
      </c>
      <c r="D67" s="4" t="s">
        <v>13</v>
      </c>
      <c r="E67" s="4">
        <v>45</v>
      </c>
      <c r="F67" s="4" t="str">
        <f>IF(Table1567[[#This Row],[Age]]&lt;=19,"Teenager",IF(Table1567[[#This Row],[Age]]&lt;=40,"Median","Old"))</f>
        <v>Old</v>
      </c>
      <c r="G67" s="4" t="s">
        <v>16</v>
      </c>
      <c r="H67" s="4">
        <v>1</v>
      </c>
      <c r="I67" s="4">
        <v>30</v>
      </c>
      <c r="J67" s="4">
        <v>30</v>
      </c>
      <c r="K67" s="4" t="str" cm="1">
        <f t="array" ref="K67">_xlfn.IFS(AND(Table1567[[#This Row],[Total Amount]]&gt;=1500),"Critical",AND(Table1567[[#This Row],[Total Amount]]&gt;=1000),"High",TRUE,"Normal")</f>
        <v>Normal</v>
      </c>
      <c r="L67" s="4" t="str">
        <f>IF(Table1567[[#This Row],[Total Amount]]&gt;=1000,"High",(IF(Table1567[[#This Row],[Total Amount]]&gt;=500,"Medium","Low")))</f>
        <v>Low</v>
      </c>
      <c r="M67" s="4" t="str" cm="1">
        <f t="array" ref="M6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7" s="4" cm="1">
        <f t="array" ref="N6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67" s="4">
        <f>Table1567[[#This Row],[Total Amount]]-Table1567[[#This Row],[Discount Amount]]</f>
        <v>24</v>
      </c>
      <c r="P67" s="4" t="str">
        <f>IF(Table1567[[#This Row],[Total Amount]]&gt;=1000,"High","Low")</f>
        <v>Low</v>
      </c>
      <c r="Q67" s="4" t="str" cm="1">
        <f t="array" ref="Q67">_xlfn.IFS(AND(Table1567[[#This Row],[Total Amount]]&gt;=1500,"Critical"),AND(Table1567[[#This Row],[Total Amount]]&gt;=1000,"High"),TRUE,"Normal")</f>
        <v>Normal</v>
      </c>
      <c r="R67" s="4" t="str">
        <f>CONCATENATE(Table1567[[#This Row],[Customer ID]], "-",Table1567[[#This Row],[Age]])</f>
        <v>CUST066-45</v>
      </c>
      <c r="S67" s="4" t="str">
        <f>TEXT(Table1567[[#This Row],[Date]],"mmm")</f>
        <v>Apr</v>
      </c>
      <c r="T67" s="4" t="str">
        <f>TEXT(Table1567[[#This Row],[Date]],"DDD")</f>
        <v>Thu</v>
      </c>
    </row>
    <row r="68" spans="1:20" ht="29" x14ac:dyDescent="0.35">
      <c r="A68" s="4">
        <v>67</v>
      </c>
      <c r="B68" s="5">
        <v>45075</v>
      </c>
      <c r="C68" s="4" t="s">
        <v>80</v>
      </c>
      <c r="D68" s="4" t="s">
        <v>13</v>
      </c>
      <c r="E68" s="4">
        <v>48</v>
      </c>
      <c r="F68" s="4" t="str">
        <f>IF(Table1567[[#This Row],[Age]]&lt;=19,"Teenager",IF(Table1567[[#This Row],[Age]]&lt;=40,"Median","Old"))</f>
        <v>Old</v>
      </c>
      <c r="G68" s="4" t="s">
        <v>11</v>
      </c>
      <c r="H68" s="4">
        <v>4</v>
      </c>
      <c r="I68" s="4">
        <v>300</v>
      </c>
      <c r="J68" s="4">
        <v>1200</v>
      </c>
      <c r="K68" s="4" t="str" cm="1">
        <f t="array" ref="K68">_xlfn.IFS(AND(Table1567[[#This Row],[Total Amount]]&gt;=1500),"Critical",AND(Table1567[[#This Row],[Total Amount]]&gt;=1000),"High",TRUE,"Normal")</f>
        <v>High</v>
      </c>
      <c r="L68" s="4" t="str">
        <f>IF(Table1567[[#This Row],[Total Amount]]&gt;=1000,"High",(IF(Table1567[[#This Row],[Total Amount]]&gt;=500,"Medium","Low")))</f>
        <v>High</v>
      </c>
      <c r="M68" s="4" t="str" cm="1">
        <f t="array" ref="M6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8" s="4" cm="1">
        <f t="array" ref="N6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240</v>
      </c>
      <c r="O68" s="4">
        <f>Table1567[[#This Row],[Total Amount]]-Table1567[[#This Row],[Discount Amount]]</f>
        <v>960</v>
      </c>
      <c r="P68" s="4" t="str">
        <f>IF(Table1567[[#This Row],[Total Amount]]&gt;=1000,"High","Low")</f>
        <v>High</v>
      </c>
      <c r="Q68" s="4" t="str" cm="1">
        <f t="array" ref="Q68">_xlfn.IFS(AND(Table1567[[#This Row],[Total Amount]]&gt;=1500,"Critical"),AND(Table1567[[#This Row],[Total Amount]]&gt;=1000,"High"),TRUE,"Normal")</f>
        <v>Normal</v>
      </c>
      <c r="R68" s="4" t="str">
        <f>CONCATENATE(Table1567[[#This Row],[Customer ID]], "-",Table1567[[#This Row],[Age]])</f>
        <v>CUST067-48</v>
      </c>
      <c r="S68" s="4" t="str">
        <f>TEXT(Table1567[[#This Row],[Date]],"mmm")</f>
        <v>May</v>
      </c>
      <c r="T68" s="4" t="str">
        <f>TEXT(Table1567[[#This Row],[Date]],"DDD")</f>
        <v>Mon</v>
      </c>
    </row>
    <row r="69" spans="1:20" ht="29" x14ac:dyDescent="0.35">
      <c r="A69" s="4">
        <v>68</v>
      </c>
      <c r="B69" s="5">
        <v>44967</v>
      </c>
      <c r="C69" s="4" t="s">
        <v>81</v>
      </c>
      <c r="D69" s="4" t="s">
        <v>10</v>
      </c>
      <c r="E69" s="4">
        <v>25</v>
      </c>
      <c r="F69" s="4" t="str">
        <f>IF(Table1567[[#This Row],[Age]]&lt;=19,"Teenager",IF(Table1567[[#This Row],[Age]]&lt;=40,"Median","Old"))</f>
        <v>Median</v>
      </c>
      <c r="G69" s="4" t="s">
        <v>16</v>
      </c>
      <c r="H69" s="4">
        <v>1</v>
      </c>
      <c r="I69" s="4">
        <v>300</v>
      </c>
      <c r="J69" s="4">
        <v>300</v>
      </c>
      <c r="K69" s="4" t="str" cm="1">
        <f t="array" ref="K69">_xlfn.IFS(AND(Table1567[[#This Row],[Total Amount]]&gt;=1500),"Critical",AND(Table1567[[#This Row],[Total Amount]]&gt;=1000),"High",TRUE,"Normal")</f>
        <v>Normal</v>
      </c>
      <c r="L69" s="4" t="str">
        <f>IF(Table1567[[#This Row],[Total Amount]]&gt;=1000,"High",(IF(Table1567[[#This Row],[Total Amount]]&gt;=500,"Medium","Low")))</f>
        <v>Low</v>
      </c>
      <c r="M69" s="4" t="str" cm="1">
        <f t="array" ref="M6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9" s="4" cm="1">
        <f t="array" ref="N6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45</v>
      </c>
      <c r="O69" s="4">
        <f>Table1567[[#This Row],[Total Amount]]-Table1567[[#This Row],[Discount Amount]]</f>
        <v>255</v>
      </c>
      <c r="P69" s="4" t="str">
        <f>IF(Table1567[[#This Row],[Total Amount]]&gt;=1000,"High","Low")</f>
        <v>Low</v>
      </c>
      <c r="Q69" s="4" t="str" cm="1">
        <f t="array" ref="Q69">_xlfn.IFS(AND(Table1567[[#This Row],[Total Amount]]&gt;=1500,"Critical"),AND(Table1567[[#This Row],[Total Amount]]&gt;=1000,"High"),TRUE,"Normal")</f>
        <v>Normal</v>
      </c>
      <c r="R69" s="4" t="str">
        <f>CONCATENATE(Table1567[[#This Row],[Customer ID]], "-",Table1567[[#This Row],[Age]])</f>
        <v>CUST068-25</v>
      </c>
      <c r="S69" s="4" t="str">
        <f>TEXT(Table1567[[#This Row],[Date]],"mmm")</f>
        <v>Feb</v>
      </c>
      <c r="T69" s="4" t="str">
        <f>TEXT(Table1567[[#This Row],[Date]],"DDD")</f>
        <v>Fri</v>
      </c>
    </row>
    <row r="70" spans="1:20" ht="29" x14ac:dyDescent="0.35">
      <c r="A70" s="4">
        <v>69</v>
      </c>
      <c r="B70" s="5">
        <v>45046</v>
      </c>
      <c r="C70" s="4" t="s">
        <v>82</v>
      </c>
      <c r="D70" s="4" t="s">
        <v>13</v>
      </c>
      <c r="E70" s="4">
        <v>56</v>
      </c>
      <c r="F70" s="4" t="str">
        <f>IF(Table1567[[#This Row],[Age]]&lt;=19,"Teenager",IF(Table1567[[#This Row],[Age]]&lt;=40,"Median","Old"))</f>
        <v>Old</v>
      </c>
      <c r="G70" s="4" t="s">
        <v>11</v>
      </c>
      <c r="H70" s="4">
        <v>3</v>
      </c>
      <c r="I70" s="4">
        <v>25</v>
      </c>
      <c r="J70" s="4">
        <v>75</v>
      </c>
      <c r="K70" s="4" t="str" cm="1">
        <f t="array" ref="K70">_xlfn.IFS(AND(Table1567[[#This Row],[Total Amount]]&gt;=1500),"Critical",AND(Table1567[[#This Row],[Total Amount]]&gt;=1000),"High",TRUE,"Normal")</f>
        <v>Normal</v>
      </c>
      <c r="L70" s="4" t="str">
        <f>IF(Table1567[[#This Row],[Total Amount]]&gt;=1000,"High",(IF(Table1567[[#This Row],[Total Amount]]&gt;=500,"Medium","Low")))</f>
        <v>Low</v>
      </c>
      <c r="M70" s="4" t="str" cm="1">
        <f t="array" ref="M7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0" s="4" cm="1">
        <f t="array" ref="N7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70" s="4">
        <f>Table1567[[#This Row],[Total Amount]]-Table1567[[#This Row],[Discount Amount]]</f>
        <v>60</v>
      </c>
      <c r="P70" s="4" t="str">
        <f>IF(Table1567[[#This Row],[Total Amount]]&gt;=1000,"High","Low")</f>
        <v>Low</v>
      </c>
      <c r="Q70" s="4" t="str" cm="1">
        <f t="array" ref="Q70">_xlfn.IFS(AND(Table1567[[#This Row],[Total Amount]]&gt;=1500,"Critical"),AND(Table1567[[#This Row],[Total Amount]]&gt;=1000,"High"),TRUE,"Normal")</f>
        <v>Normal</v>
      </c>
      <c r="R70" s="4" t="str">
        <f>CONCATENATE(Table1567[[#This Row],[Customer ID]], "-",Table1567[[#This Row],[Age]])</f>
        <v>CUST069-56</v>
      </c>
      <c r="S70" s="4" t="str">
        <f>TEXT(Table1567[[#This Row],[Date]],"mmm")</f>
        <v>Apr</v>
      </c>
      <c r="T70" s="4" t="str">
        <f>TEXT(Table1567[[#This Row],[Date]],"DDD")</f>
        <v>Sun</v>
      </c>
    </row>
    <row r="71" spans="1:20" ht="29" x14ac:dyDescent="0.35">
      <c r="A71" s="4">
        <v>70</v>
      </c>
      <c r="B71" s="5">
        <v>44978</v>
      </c>
      <c r="C71" s="4" t="s">
        <v>83</v>
      </c>
      <c r="D71" s="4" t="s">
        <v>13</v>
      </c>
      <c r="E71" s="4">
        <v>43</v>
      </c>
      <c r="F71" s="4" t="str">
        <f>IF(Table1567[[#This Row],[Age]]&lt;=19,"Teenager",IF(Table1567[[#This Row],[Age]]&lt;=40,"Median","Old"))</f>
        <v>Old</v>
      </c>
      <c r="G71" s="4" t="s">
        <v>14</v>
      </c>
      <c r="H71" s="4">
        <v>1</v>
      </c>
      <c r="I71" s="4">
        <v>300</v>
      </c>
      <c r="J71" s="4">
        <v>300</v>
      </c>
      <c r="K71" s="4" t="str" cm="1">
        <f t="array" ref="K71">_xlfn.IFS(AND(Table1567[[#This Row],[Total Amount]]&gt;=1500),"Critical",AND(Table1567[[#This Row],[Total Amount]]&gt;=1000),"High",TRUE,"Normal")</f>
        <v>Normal</v>
      </c>
      <c r="L71" s="4" t="str">
        <f>IF(Table1567[[#This Row],[Total Amount]]&gt;=1000,"High",(IF(Table1567[[#This Row],[Total Amount]]&gt;=500,"Medium","Low")))</f>
        <v>Low</v>
      </c>
      <c r="M71" s="4" t="str" cm="1">
        <f t="array" ref="M7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1" s="4" cm="1">
        <f t="array" ref="N7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71" s="4">
        <f>Table1567[[#This Row],[Total Amount]]-Table1567[[#This Row],[Discount Amount]]</f>
        <v>240</v>
      </c>
      <c r="P71" s="4" t="str">
        <f>IF(Table1567[[#This Row],[Total Amount]]&gt;=1000,"High","Low")</f>
        <v>Low</v>
      </c>
      <c r="Q71" s="4" t="str" cm="1">
        <f t="array" ref="Q71">_xlfn.IFS(AND(Table1567[[#This Row],[Total Amount]]&gt;=1500,"Critical"),AND(Table1567[[#This Row],[Total Amount]]&gt;=1000,"High"),TRUE,"Normal")</f>
        <v>Normal</v>
      </c>
      <c r="R71" s="4" t="str">
        <f>CONCATENATE(Table1567[[#This Row],[Customer ID]], "-",Table1567[[#This Row],[Age]])</f>
        <v>CUST070-43</v>
      </c>
      <c r="S71" s="4" t="str">
        <f>TEXT(Table1567[[#This Row],[Date]],"mmm")</f>
        <v>Feb</v>
      </c>
      <c r="T71" s="4" t="str">
        <f>TEXT(Table1567[[#This Row],[Date]],"DDD")</f>
        <v>Tue</v>
      </c>
    </row>
    <row r="72" spans="1:20" ht="29" x14ac:dyDescent="0.35">
      <c r="A72" s="4">
        <v>71</v>
      </c>
      <c r="B72" s="5">
        <v>45121</v>
      </c>
      <c r="C72" s="4" t="s">
        <v>84</v>
      </c>
      <c r="D72" s="4" t="s">
        <v>13</v>
      </c>
      <c r="E72" s="4">
        <v>51</v>
      </c>
      <c r="F72" s="4" t="str">
        <f>IF(Table1567[[#This Row],[Age]]&lt;=19,"Teenager",IF(Table1567[[#This Row],[Age]]&lt;=40,"Median","Old"))</f>
        <v>Old</v>
      </c>
      <c r="G72" s="4" t="s">
        <v>11</v>
      </c>
      <c r="H72" s="4">
        <v>4</v>
      </c>
      <c r="I72" s="4">
        <v>25</v>
      </c>
      <c r="J72" s="4">
        <v>100</v>
      </c>
      <c r="K72" s="4" t="str" cm="1">
        <f t="array" ref="K72">_xlfn.IFS(AND(Table1567[[#This Row],[Total Amount]]&gt;=1500),"Critical",AND(Table1567[[#This Row],[Total Amount]]&gt;=1000),"High",TRUE,"Normal")</f>
        <v>Normal</v>
      </c>
      <c r="L72" s="4" t="str">
        <f>IF(Table1567[[#This Row],[Total Amount]]&gt;=1000,"High",(IF(Table1567[[#This Row],[Total Amount]]&gt;=500,"Medium","Low")))</f>
        <v>Low</v>
      </c>
      <c r="M72" s="4" t="str" cm="1">
        <f t="array" ref="M7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2" s="4" cm="1">
        <f t="array" ref="N7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72" s="4">
        <f>Table1567[[#This Row],[Total Amount]]-Table1567[[#This Row],[Discount Amount]]</f>
        <v>80</v>
      </c>
      <c r="P72" s="4" t="str">
        <f>IF(Table1567[[#This Row],[Total Amount]]&gt;=1000,"High","Low")</f>
        <v>Low</v>
      </c>
      <c r="Q72" s="4" t="str" cm="1">
        <f t="array" ref="Q72">_xlfn.IFS(AND(Table1567[[#This Row],[Total Amount]]&gt;=1500,"Critical"),AND(Table1567[[#This Row],[Total Amount]]&gt;=1000,"High"),TRUE,"Normal")</f>
        <v>Normal</v>
      </c>
      <c r="R72" s="4" t="str">
        <f>CONCATENATE(Table1567[[#This Row],[Customer ID]], "-",Table1567[[#This Row],[Age]])</f>
        <v>CUST071-51</v>
      </c>
      <c r="S72" s="4" t="str">
        <f>TEXT(Table1567[[#This Row],[Date]],"mmm")</f>
        <v>Jul</v>
      </c>
      <c r="T72" s="4" t="str">
        <f>TEXT(Table1567[[#This Row],[Date]],"DDD")</f>
        <v>Fri</v>
      </c>
    </row>
    <row r="73" spans="1:20" ht="29" x14ac:dyDescent="0.35">
      <c r="A73" s="4">
        <v>72</v>
      </c>
      <c r="B73" s="5">
        <v>45069</v>
      </c>
      <c r="C73" s="4" t="s">
        <v>85</v>
      </c>
      <c r="D73" s="4" t="s">
        <v>13</v>
      </c>
      <c r="E73" s="4">
        <v>20</v>
      </c>
      <c r="F73" s="4" t="str">
        <f>IF(Table1567[[#This Row],[Age]]&lt;=19,"Teenager",IF(Table1567[[#This Row],[Age]]&lt;=40,"Median","Old"))</f>
        <v>Median</v>
      </c>
      <c r="G73" s="4" t="s">
        <v>16</v>
      </c>
      <c r="H73" s="4">
        <v>4</v>
      </c>
      <c r="I73" s="4">
        <v>500</v>
      </c>
      <c r="J73" s="4">
        <v>2000</v>
      </c>
      <c r="K73" s="4" t="str" cm="1">
        <f t="array" ref="K73">_xlfn.IFS(AND(Table1567[[#This Row],[Total Amount]]&gt;=1500),"Critical",AND(Table1567[[#This Row],[Total Amount]]&gt;=1000),"High",TRUE,"Normal")</f>
        <v>Critical</v>
      </c>
      <c r="L73" s="4" t="str">
        <f>IF(Table1567[[#This Row],[Total Amount]]&gt;=1000,"High",(IF(Table1567[[#This Row],[Total Amount]]&gt;=500,"Medium","Low")))</f>
        <v>High</v>
      </c>
      <c r="M73" s="4" t="str" cm="1">
        <f t="array" ref="M7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73" s="4" cm="1">
        <f t="array" ref="N7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73" s="4">
        <f>Table1567[[#This Row],[Total Amount]]-Table1567[[#This Row],[Discount Amount]]</f>
        <v>2000</v>
      </c>
      <c r="P73" s="4" t="str">
        <f>IF(Table1567[[#This Row],[Total Amount]]&gt;=1000,"High","Low")</f>
        <v>High</v>
      </c>
      <c r="Q73" s="4" t="b" cm="1">
        <f t="array" ref="Q73">_xlfn.IFS(AND(Table1567[[#This Row],[Total Amount]]&gt;=1500,"Critical"),AND(Table1567[[#This Row],[Total Amount]]&gt;=1000,"High"),TRUE,"Normal")</f>
        <v>1</v>
      </c>
      <c r="R73" s="4" t="str">
        <f>CONCATENATE(Table1567[[#This Row],[Customer ID]], "-",Table1567[[#This Row],[Age]])</f>
        <v>CUST072-20</v>
      </c>
      <c r="S73" s="4" t="str">
        <f>TEXT(Table1567[[#This Row],[Date]],"mmm")</f>
        <v>May</v>
      </c>
      <c r="T73" s="4" t="str">
        <f>TEXT(Table1567[[#This Row],[Date]],"DDD")</f>
        <v>Tue</v>
      </c>
    </row>
    <row r="74" spans="1:20" ht="29" x14ac:dyDescent="0.35">
      <c r="A74" s="4">
        <v>73</v>
      </c>
      <c r="B74" s="5">
        <v>45159</v>
      </c>
      <c r="C74" s="4" t="s">
        <v>86</v>
      </c>
      <c r="D74" s="4" t="s">
        <v>10</v>
      </c>
      <c r="E74" s="4">
        <v>29</v>
      </c>
      <c r="F74" s="4" t="str">
        <f>IF(Table1567[[#This Row],[Age]]&lt;=19,"Teenager",IF(Table1567[[#This Row],[Age]]&lt;=40,"Median","Old"))</f>
        <v>Median</v>
      </c>
      <c r="G74" s="4" t="s">
        <v>16</v>
      </c>
      <c r="H74" s="4">
        <v>3</v>
      </c>
      <c r="I74" s="4">
        <v>30</v>
      </c>
      <c r="J74" s="4">
        <v>90</v>
      </c>
      <c r="K74" s="4" t="str" cm="1">
        <f t="array" ref="K74">_xlfn.IFS(AND(Table1567[[#This Row],[Total Amount]]&gt;=1500),"Critical",AND(Table1567[[#This Row],[Total Amount]]&gt;=1000),"High",TRUE,"Normal")</f>
        <v>Normal</v>
      </c>
      <c r="L74" s="4" t="str">
        <f>IF(Table1567[[#This Row],[Total Amount]]&gt;=1000,"High",(IF(Table1567[[#This Row],[Total Amount]]&gt;=500,"Medium","Low")))</f>
        <v>Low</v>
      </c>
      <c r="M74" s="4" t="str" cm="1">
        <f t="array" ref="M7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4" s="4" cm="1">
        <f t="array" ref="N7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13.5</v>
      </c>
      <c r="O74" s="4">
        <f>Table1567[[#This Row],[Total Amount]]-Table1567[[#This Row],[Discount Amount]]</f>
        <v>76.5</v>
      </c>
      <c r="P74" s="4" t="str">
        <f>IF(Table1567[[#This Row],[Total Amount]]&gt;=1000,"High","Low")</f>
        <v>Low</v>
      </c>
      <c r="Q74" s="4" t="str" cm="1">
        <f t="array" ref="Q74">_xlfn.IFS(AND(Table1567[[#This Row],[Total Amount]]&gt;=1500,"Critical"),AND(Table1567[[#This Row],[Total Amount]]&gt;=1000,"High"),TRUE,"Normal")</f>
        <v>Normal</v>
      </c>
      <c r="R74" s="4" t="str">
        <f>CONCATENATE(Table1567[[#This Row],[Customer ID]], "-",Table1567[[#This Row],[Age]])</f>
        <v>CUST073-29</v>
      </c>
      <c r="S74" s="4" t="str">
        <f>TEXT(Table1567[[#This Row],[Date]],"mmm")</f>
        <v>Aug</v>
      </c>
      <c r="T74" s="4" t="str">
        <f>TEXT(Table1567[[#This Row],[Date]],"DDD")</f>
        <v>Mon</v>
      </c>
    </row>
    <row r="75" spans="1:20" ht="29" x14ac:dyDescent="0.35">
      <c r="A75" s="4">
        <v>74</v>
      </c>
      <c r="B75" s="5">
        <v>45252</v>
      </c>
      <c r="C75" s="4" t="s">
        <v>87</v>
      </c>
      <c r="D75" s="4" t="s">
        <v>13</v>
      </c>
      <c r="E75" s="4">
        <v>18</v>
      </c>
      <c r="F75" s="4" t="str">
        <f>IF(Table1567[[#This Row],[Age]]&lt;=19,"Teenager",IF(Table1567[[#This Row],[Age]]&lt;=40,"Median","Old"))</f>
        <v>Teenager</v>
      </c>
      <c r="G75" s="4" t="s">
        <v>11</v>
      </c>
      <c r="H75" s="4">
        <v>4</v>
      </c>
      <c r="I75" s="4">
        <v>500</v>
      </c>
      <c r="J75" s="4">
        <v>2000</v>
      </c>
      <c r="K75" s="4" t="str" cm="1">
        <f t="array" ref="K75">_xlfn.IFS(AND(Table1567[[#This Row],[Total Amount]]&gt;=1500),"Critical",AND(Table1567[[#This Row],[Total Amount]]&gt;=1000),"High",TRUE,"Normal")</f>
        <v>Critical</v>
      </c>
      <c r="L75" s="4" t="str">
        <f>IF(Table1567[[#This Row],[Total Amount]]&gt;=1000,"High",(IF(Table1567[[#This Row],[Total Amount]]&gt;=500,"Medium","Low")))</f>
        <v>High</v>
      </c>
      <c r="M75" s="4" t="str" cm="1">
        <f t="array" ref="M7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75" s="4" cm="1">
        <f t="array" ref="N7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75" s="4">
        <f>Table1567[[#This Row],[Total Amount]]-Table1567[[#This Row],[Discount Amount]]</f>
        <v>2000</v>
      </c>
      <c r="P75" s="4" t="str">
        <f>IF(Table1567[[#This Row],[Total Amount]]&gt;=1000,"High","Low")</f>
        <v>High</v>
      </c>
      <c r="Q75" s="4" t="b" cm="1">
        <f t="array" ref="Q75">_xlfn.IFS(AND(Table1567[[#This Row],[Total Amount]]&gt;=1500,"Critical"),AND(Table1567[[#This Row],[Total Amount]]&gt;=1000,"High"),TRUE,"Normal")</f>
        <v>1</v>
      </c>
      <c r="R75" s="4" t="str">
        <f>CONCATENATE(Table1567[[#This Row],[Customer ID]], "-",Table1567[[#This Row],[Age]])</f>
        <v>CUST074-18</v>
      </c>
      <c r="S75" s="4" t="str">
        <f>TEXT(Table1567[[#This Row],[Date]],"mmm")</f>
        <v>Nov</v>
      </c>
      <c r="T75" s="4" t="str">
        <f>TEXT(Table1567[[#This Row],[Date]],"DDD")</f>
        <v>Wed</v>
      </c>
    </row>
    <row r="76" spans="1:20" ht="29" x14ac:dyDescent="0.35">
      <c r="A76" s="4">
        <v>75</v>
      </c>
      <c r="B76" s="5">
        <v>45113</v>
      </c>
      <c r="C76" s="4" t="s">
        <v>88</v>
      </c>
      <c r="D76" s="4" t="s">
        <v>10</v>
      </c>
      <c r="E76" s="4">
        <v>61</v>
      </c>
      <c r="F76" s="4" t="str">
        <f>IF(Table1567[[#This Row],[Age]]&lt;=19,"Teenager",IF(Table1567[[#This Row],[Age]]&lt;=40,"Median","Old"))</f>
        <v>Old</v>
      </c>
      <c r="G76" s="4" t="s">
        <v>11</v>
      </c>
      <c r="H76" s="4">
        <v>4</v>
      </c>
      <c r="I76" s="4">
        <v>50</v>
      </c>
      <c r="J76" s="4">
        <v>200</v>
      </c>
      <c r="K76" s="4" t="str" cm="1">
        <f t="array" ref="K76">_xlfn.IFS(AND(Table1567[[#This Row],[Total Amount]]&gt;=1500),"Critical",AND(Table1567[[#This Row],[Total Amount]]&gt;=1000),"High",TRUE,"Normal")</f>
        <v>Normal</v>
      </c>
      <c r="L76" s="4" t="str">
        <f>IF(Table1567[[#This Row],[Total Amount]]&gt;=1000,"High",(IF(Table1567[[#This Row],[Total Amount]]&gt;=500,"Medium","Low")))</f>
        <v>Low</v>
      </c>
      <c r="M76" s="4" t="str" cm="1">
        <f t="array" ref="M7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6" s="4" cm="1">
        <f t="array" ref="N7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76" s="4">
        <f>Table1567[[#This Row],[Total Amount]]-Table1567[[#This Row],[Discount Amount]]</f>
        <v>180</v>
      </c>
      <c r="P76" s="4" t="str">
        <f>IF(Table1567[[#This Row],[Total Amount]]&gt;=1000,"High","Low")</f>
        <v>Low</v>
      </c>
      <c r="Q76" s="4" t="str" cm="1">
        <f t="array" ref="Q76">_xlfn.IFS(AND(Table1567[[#This Row],[Total Amount]]&gt;=1500,"Critical"),AND(Table1567[[#This Row],[Total Amount]]&gt;=1000,"High"),TRUE,"Normal")</f>
        <v>Normal</v>
      </c>
      <c r="R76" s="4" t="str">
        <f>CONCATENATE(Table1567[[#This Row],[Customer ID]], "-",Table1567[[#This Row],[Age]])</f>
        <v>CUST075-61</v>
      </c>
      <c r="S76" s="4" t="str">
        <f>TEXT(Table1567[[#This Row],[Date]],"mmm")</f>
        <v>Jul</v>
      </c>
      <c r="T76" s="4" t="str">
        <f>TEXT(Table1567[[#This Row],[Date]],"DDD")</f>
        <v>Thu</v>
      </c>
    </row>
    <row r="77" spans="1:20" ht="29" x14ac:dyDescent="0.35">
      <c r="A77" s="4">
        <v>76</v>
      </c>
      <c r="B77" s="5">
        <v>45010</v>
      </c>
      <c r="C77" s="4" t="s">
        <v>89</v>
      </c>
      <c r="D77" s="4" t="s">
        <v>13</v>
      </c>
      <c r="E77" s="4">
        <v>22</v>
      </c>
      <c r="F77" s="4" t="str">
        <f>IF(Table1567[[#This Row],[Age]]&lt;=19,"Teenager",IF(Table1567[[#This Row],[Age]]&lt;=40,"Median","Old"))</f>
        <v>Median</v>
      </c>
      <c r="G77" s="4" t="s">
        <v>16</v>
      </c>
      <c r="H77" s="4">
        <v>2</v>
      </c>
      <c r="I77" s="4">
        <v>50</v>
      </c>
      <c r="J77" s="4">
        <v>100</v>
      </c>
      <c r="K77" s="4" t="str" cm="1">
        <f t="array" ref="K77">_xlfn.IFS(AND(Table1567[[#This Row],[Total Amount]]&gt;=1500),"Critical",AND(Table1567[[#This Row],[Total Amount]]&gt;=1000),"High",TRUE,"Normal")</f>
        <v>Normal</v>
      </c>
      <c r="L77" s="4" t="str">
        <f>IF(Table1567[[#This Row],[Total Amount]]&gt;=1000,"High",(IF(Table1567[[#This Row],[Total Amount]]&gt;=500,"Medium","Low")))</f>
        <v>Low</v>
      </c>
      <c r="M77" s="4" t="str" cm="1">
        <f t="array" ref="M7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77" s="4" cm="1">
        <f t="array" ref="N7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77" s="4">
        <f>Table1567[[#This Row],[Total Amount]]-Table1567[[#This Row],[Discount Amount]]</f>
        <v>100</v>
      </c>
      <c r="P77" s="4" t="str">
        <f>IF(Table1567[[#This Row],[Total Amount]]&gt;=1000,"High","Low")</f>
        <v>Low</v>
      </c>
      <c r="Q77" s="4" t="str" cm="1">
        <f t="array" ref="Q77">_xlfn.IFS(AND(Table1567[[#This Row],[Total Amount]]&gt;=1500,"Critical"),AND(Table1567[[#This Row],[Total Amount]]&gt;=1000,"High"),TRUE,"Normal")</f>
        <v>Normal</v>
      </c>
      <c r="R77" s="4" t="str">
        <f>CONCATENATE(Table1567[[#This Row],[Customer ID]], "-",Table1567[[#This Row],[Age]])</f>
        <v>CUST076-22</v>
      </c>
      <c r="S77" s="4" t="str">
        <f>TEXT(Table1567[[#This Row],[Date]],"mmm")</f>
        <v>Mar</v>
      </c>
      <c r="T77" s="4" t="str">
        <f>TEXT(Table1567[[#This Row],[Date]],"DDD")</f>
        <v>Sat</v>
      </c>
    </row>
    <row r="78" spans="1:20" ht="29" x14ac:dyDescent="0.35">
      <c r="A78" s="4">
        <v>77</v>
      </c>
      <c r="B78" s="5">
        <v>45116</v>
      </c>
      <c r="C78" s="4" t="s">
        <v>90</v>
      </c>
      <c r="D78" s="4" t="s">
        <v>13</v>
      </c>
      <c r="E78" s="4">
        <v>47</v>
      </c>
      <c r="F78" s="4" t="str">
        <f>IF(Table1567[[#This Row],[Age]]&lt;=19,"Teenager",IF(Table1567[[#This Row],[Age]]&lt;=40,"Median","Old"))</f>
        <v>Old</v>
      </c>
      <c r="G78" s="4" t="s">
        <v>14</v>
      </c>
      <c r="H78" s="4">
        <v>2</v>
      </c>
      <c r="I78" s="4">
        <v>50</v>
      </c>
      <c r="J78" s="4">
        <v>100</v>
      </c>
      <c r="K78" s="4" t="str" cm="1">
        <f t="array" ref="K78">_xlfn.IFS(AND(Table1567[[#This Row],[Total Amount]]&gt;=1500),"Critical",AND(Table1567[[#This Row],[Total Amount]]&gt;=1000),"High",TRUE,"Normal")</f>
        <v>Normal</v>
      </c>
      <c r="L78" s="4" t="str">
        <f>IF(Table1567[[#This Row],[Total Amount]]&gt;=1000,"High",(IF(Table1567[[#This Row],[Total Amount]]&gt;=500,"Medium","Low")))</f>
        <v>Low</v>
      </c>
      <c r="M78" s="4" t="str" cm="1">
        <f t="array" ref="M7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8" s="4" cm="1">
        <f t="array" ref="N7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78" s="4">
        <f>Table1567[[#This Row],[Total Amount]]-Table1567[[#This Row],[Discount Amount]]</f>
        <v>80</v>
      </c>
      <c r="P78" s="4" t="str">
        <f>IF(Table1567[[#This Row],[Total Amount]]&gt;=1000,"High","Low")</f>
        <v>Low</v>
      </c>
      <c r="Q78" s="4" t="str" cm="1">
        <f t="array" ref="Q78">_xlfn.IFS(AND(Table1567[[#This Row],[Total Amount]]&gt;=1500,"Critical"),AND(Table1567[[#This Row],[Total Amount]]&gt;=1000,"High"),TRUE,"Normal")</f>
        <v>Normal</v>
      </c>
      <c r="R78" s="4" t="str">
        <f>CONCATENATE(Table1567[[#This Row],[Customer ID]], "-",Table1567[[#This Row],[Age]])</f>
        <v>CUST077-47</v>
      </c>
      <c r="S78" s="4" t="str">
        <f>TEXT(Table1567[[#This Row],[Date]],"mmm")</f>
        <v>Jul</v>
      </c>
      <c r="T78" s="4" t="str">
        <f>TEXT(Table1567[[#This Row],[Date]],"DDD")</f>
        <v>Sun</v>
      </c>
    </row>
    <row r="79" spans="1:20" ht="29" x14ac:dyDescent="0.35">
      <c r="A79" s="4">
        <v>78</v>
      </c>
      <c r="B79" s="5">
        <v>45108</v>
      </c>
      <c r="C79" s="4" t="s">
        <v>91</v>
      </c>
      <c r="D79" s="4" t="s">
        <v>13</v>
      </c>
      <c r="E79" s="4">
        <v>47</v>
      </c>
      <c r="F79" s="4" t="str">
        <f>IF(Table1567[[#This Row],[Age]]&lt;=19,"Teenager",IF(Table1567[[#This Row],[Age]]&lt;=40,"Median","Old"))</f>
        <v>Old</v>
      </c>
      <c r="G79" s="4" t="s">
        <v>14</v>
      </c>
      <c r="H79" s="4">
        <v>3</v>
      </c>
      <c r="I79" s="4">
        <v>500</v>
      </c>
      <c r="J79" s="4">
        <v>1500</v>
      </c>
      <c r="K79" s="4" t="str" cm="1">
        <f t="array" ref="K79">_xlfn.IFS(AND(Table1567[[#This Row],[Total Amount]]&gt;=1500),"Critical",AND(Table1567[[#This Row],[Total Amount]]&gt;=1000),"High",TRUE,"Normal")</f>
        <v>Critical</v>
      </c>
      <c r="L79" s="4" t="str">
        <f>IF(Table1567[[#This Row],[Total Amount]]&gt;=1000,"High",(IF(Table1567[[#This Row],[Total Amount]]&gt;=500,"Medium","Low")))</f>
        <v>High</v>
      </c>
      <c r="M79" s="4" t="str" cm="1">
        <f t="array" ref="M7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9" s="4" cm="1">
        <f t="array" ref="N7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79" s="4">
        <f>Table1567[[#This Row],[Total Amount]]-Table1567[[#This Row],[Discount Amount]]</f>
        <v>1200</v>
      </c>
      <c r="P79" s="4" t="str">
        <f>IF(Table1567[[#This Row],[Total Amount]]&gt;=1000,"High","Low")</f>
        <v>High</v>
      </c>
      <c r="Q79" s="4" t="b" cm="1">
        <f t="array" ref="Q79">_xlfn.IFS(AND(Table1567[[#This Row],[Total Amount]]&gt;=1500,"Critical"),AND(Table1567[[#This Row],[Total Amount]]&gt;=1000,"High"),TRUE,"Normal")</f>
        <v>1</v>
      </c>
      <c r="R79" s="4" t="str">
        <f>CONCATENATE(Table1567[[#This Row],[Customer ID]], "-",Table1567[[#This Row],[Age]])</f>
        <v>CUST078-47</v>
      </c>
      <c r="S79" s="4" t="str">
        <f>TEXT(Table1567[[#This Row],[Date]],"mmm")</f>
        <v>Jul</v>
      </c>
      <c r="T79" s="4" t="str">
        <f>TEXT(Table1567[[#This Row],[Date]],"DDD")</f>
        <v>Sat</v>
      </c>
    </row>
    <row r="80" spans="1:20" ht="29" x14ac:dyDescent="0.35">
      <c r="A80" s="4">
        <v>79</v>
      </c>
      <c r="B80" s="5">
        <v>45034</v>
      </c>
      <c r="C80" s="4" t="s">
        <v>92</v>
      </c>
      <c r="D80" s="4" t="s">
        <v>10</v>
      </c>
      <c r="E80" s="4">
        <v>34</v>
      </c>
      <c r="F80" s="4" t="str">
        <f>IF(Table1567[[#This Row],[Age]]&lt;=19,"Teenager",IF(Table1567[[#This Row],[Age]]&lt;=40,"Median","Old"))</f>
        <v>Median</v>
      </c>
      <c r="G80" s="4" t="s">
        <v>11</v>
      </c>
      <c r="H80" s="4">
        <v>1</v>
      </c>
      <c r="I80" s="4">
        <v>300</v>
      </c>
      <c r="J80" s="4">
        <v>300</v>
      </c>
      <c r="K80" s="4" t="str" cm="1">
        <f t="array" ref="K80">_xlfn.IFS(AND(Table1567[[#This Row],[Total Amount]]&gt;=1500),"Critical",AND(Table1567[[#This Row],[Total Amount]]&gt;=1000),"High",TRUE,"Normal")</f>
        <v>Normal</v>
      </c>
      <c r="L80" s="4" t="str">
        <f>IF(Table1567[[#This Row],[Total Amount]]&gt;=1000,"High",(IF(Table1567[[#This Row],[Total Amount]]&gt;=500,"Medium","Low")))</f>
        <v>Low</v>
      </c>
      <c r="M80" s="4" t="str" cm="1">
        <f t="array" ref="M8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0" s="4" cm="1">
        <f t="array" ref="N8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45</v>
      </c>
      <c r="O80" s="4">
        <f>Table1567[[#This Row],[Total Amount]]-Table1567[[#This Row],[Discount Amount]]</f>
        <v>255</v>
      </c>
      <c r="P80" s="4" t="str">
        <f>IF(Table1567[[#This Row],[Total Amount]]&gt;=1000,"High","Low")</f>
        <v>Low</v>
      </c>
      <c r="Q80" s="4" t="str" cm="1">
        <f t="array" ref="Q80">_xlfn.IFS(AND(Table1567[[#This Row],[Total Amount]]&gt;=1500,"Critical"),AND(Table1567[[#This Row],[Total Amount]]&gt;=1000,"High"),TRUE,"Normal")</f>
        <v>Normal</v>
      </c>
      <c r="R80" s="4" t="str">
        <f>CONCATENATE(Table1567[[#This Row],[Customer ID]], "-",Table1567[[#This Row],[Age]])</f>
        <v>CUST079-34</v>
      </c>
      <c r="S80" s="4" t="str">
        <f>TEXT(Table1567[[#This Row],[Date]],"mmm")</f>
        <v>Apr</v>
      </c>
      <c r="T80" s="4" t="str">
        <f>TEXT(Table1567[[#This Row],[Date]],"DDD")</f>
        <v>Tue</v>
      </c>
    </row>
    <row r="81" spans="1:20" ht="29" x14ac:dyDescent="0.35">
      <c r="A81" s="4">
        <v>80</v>
      </c>
      <c r="B81" s="5">
        <v>45270</v>
      </c>
      <c r="C81" s="4" t="s">
        <v>93</v>
      </c>
      <c r="D81" s="4" t="s">
        <v>13</v>
      </c>
      <c r="E81" s="4">
        <v>64</v>
      </c>
      <c r="F81" s="4" t="str">
        <f>IF(Table1567[[#This Row],[Age]]&lt;=19,"Teenager",IF(Table1567[[#This Row],[Age]]&lt;=40,"Median","Old"))</f>
        <v>Old</v>
      </c>
      <c r="G81" s="4" t="s">
        <v>14</v>
      </c>
      <c r="H81" s="4">
        <v>2</v>
      </c>
      <c r="I81" s="4">
        <v>30</v>
      </c>
      <c r="J81" s="4">
        <v>60</v>
      </c>
      <c r="K81" s="4" t="str" cm="1">
        <f t="array" ref="K81">_xlfn.IFS(AND(Table1567[[#This Row],[Total Amount]]&gt;=1500),"Critical",AND(Table1567[[#This Row],[Total Amount]]&gt;=1000),"High",TRUE,"Normal")</f>
        <v>Normal</v>
      </c>
      <c r="L81" s="4" t="str">
        <f>IF(Table1567[[#This Row],[Total Amount]]&gt;=1000,"High",(IF(Table1567[[#This Row],[Total Amount]]&gt;=500,"Medium","Low")))</f>
        <v>Low</v>
      </c>
      <c r="M81" s="4" t="str" cm="1">
        <f t="array" ref="M8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1" s="4" cm="1">
        <f t="array" ref="N8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81" s="4">
        <f>Table1567[[#This Row],[Total Amount]]-Table1567[[#This Row],[Discount Amount]]</f>
        <v>48</v>
      </c>
      <c r="P81" s="4" t="str">
        <f>IF(Table1567[[#This Row],[Total Amount]]&gt;=1000,"High","Low")</f>
        <v>Low</v>
      </c>
      <c r="Q81" s="4" t="str" cm="1">
        <f t="array" ref="Q81">_xlfn.IFS(AND(Table1567[[#This Row],[Total Amount]]&gt;=1500,"Critical"),AND(Table1567[[#This Row],[Total Amount]]&gt;=1000,"High"),TRUE,"Normal")</f>
        <v>Normal</v>
      </c>
      <c r="R81" s="4" t="str">
        <f>CONCATENATE(Table1567[[#This Row],[Customer ID]], "-",Table1567[[#This Row],[Age]])</f>
        <v>CUST080-64</v>
      </c>
      <c r="S81" s="4" t="str">
        <f>TEXT(Table1567[[#This Row],[Date]],"mmm")</f>
        <v>Dec</v>
      </c>
      <c r="T81" s="4" t="str">
        <f>TEXT(Table1567[[#This Row],[Date]],"DDD")</f>
        <v>Sun</v>
      </c>
    </row>
    <row r="82" spans="1:20" ht="29" x14ac:dyDescent="0.35">
      <c r="A82" s="4">
        <v>81</v>
      </c>
      <c r="B82" s="5">
        <v>45063</v>
      </c>
      <c r="C82" s="4" t="s">
        <v>94</v>
      </c>
      <c r="D82" s="4" t="s">
        <v>10</v>
      </c>
      <c r="E82" s="4">
        <v>40</v>
      </c>
      <c r="F82" s="4" t="str">
        <f>IF(Table1567[[#This Row],[Age]]&lt;=19,"Teenager",IF(Table1567[[#This Row],[Age]]&lt;=40,"Median","Old"))</f>
        <v>Median</v>
      </c>
      <c r="G82" s="4" t="s">
        <v>16</v>
      </c>
      <c r="H82" s="4">
        <v>1</v>
      </c>
      <c r="I82" s="4">
        <v>50</v>
      </c>
      <c r="J82" s="4">
        <v>50</v>
      </c>
      <c r="K82" s="4" t="str" cm="1">
        <f t="array" ref="K82">_xlfn.IFS(AND(Table1567[[#This Row],[Total Amount]]&gt;=1500),"Critical",AND(Table1567[[#This Row],[Total Amount]]&gt;=1000),"High",TRUE,"Normal")</f>
        <v>Normal</v>
      </c>
      <c r="L82" s="4" t="str">
        <f>IF(Table1567[[#This Row],[Total Amount]]&gt;=1000,"High",(IF(Table1567[[#This Row],[Total Amount]]&gt;=500,"Medium","Low")))</f>
        <v>Low</v>
      </c>
      <c r="M82" s="4" t="str" cm="1">
        <f t="array" ref="M8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2" s="4" cm="1">
        <f t="array" ref="N8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82" s="4">
        <f>Table1567[[#This Row],[Total Amount]]-Table1567[[#This Row],[Discount Amount]]</f>
        <v>45</v>
      </c>
      <c r="P82" s="4" t="str">
        <f>IF(Table1567[[#This Row],[Total Amount]]&gt;=1000,"High","Low")</f>
        <v>Low</v>
      </c>
      <c r="Q82" s="4" t="str" cm="1">
        <f t="array" ref="Q82">_xlfn.IFS(AND(Table1567[[#This Row],[Total Amount]]&gt;=1500,"Critical"),AND(Table1567[[#This Row],[Total Amount]]&gt;=1000,"High"),TRUE,"Normal")</f>
        <v>Normal</v>
      </c>
      <c r="R82" s="4" t="str">
        <f>CONCATENATE(Table1567[[#This Row],[Customer ID]], "-",Table1567[[#This Row],[Age]])</f>
        <v>CUST081-40</v>
      </c>
      <c r="S82" s="4" t="str">
        <f>TEXT(Table1567[[#This Row],[Date]],"mmm")</f>
        <v>May</v>
      </c>
      <c r="T82" s="4" t="str">
        <f>TEXT(Table1567[[#This Row],[Date]],"DDD")</f>
        <v>Wed</v>
      </c>
    </row>
    <row r="83" spans="1:20" ht="29" x14ac:dyDescent="0.35">
      <c r="A83" s="4">
        <v>82</v>
      </c>
      <c r="B83" s="5">
        <v>45286</v>
      </c>
      <c r="C83" s="4" t="s">
        <v>95</v>
      </c>
      <c r="D83" s="4" t="s">
        <v>13</v>
      </c>
      <c r="E83" s="4">
        <v>32</v>
      </c>
      <c r="F83" s="4" t="str">
        <f>IF(Table1567[[#This Row],[Age]]&lt;=19,"Teenager",IF(Table1567[[#This Row],[Age]]&lt;=40,"Median","Old"))</f>
        <v>Median</v>
      </c>
      <c r="G83" s="4" t="s">
        <v>11</v>
      </c>
      <c r="H83" s="4">
        <v>4</v>
      </c>
      <c r="I83" s="4">
        <v>50</v>
      </c>
      <c r="J83" s="4">
        <v>200</v>
      </c>
      <c r="K83" s="4" t="str" cm="1">
        <f t="array" ref="K83">_xlfn.IFS(AND(Table1567[[#This Row],[Total Amount]]&gt;=1500),"Critical",AND(Table1567[[#This Row],[Total Amount]]&gt;=1000),"High",TRUE,"Normal")</f>
        <v>Normal</v>
      </c>
      <c r="L83" s="4" t="str">
        <f>IF(Table1567[[#This Row],[Total Amount]]&gt;=1000,"High",(IF(Table1567[[#This Row],[Total Amount]]&gt;=500,"Medium","Low")))</f>
        <v>Low</v>
      </c>
      <c r="M83" s="4" t="str" cm="1">
        <f t="array" ref="M8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3" s="4" cm="1">
        <f t="array" ref="N8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83" s="4">
        <f>Table1567[[#This Row],[Total Amount]]-Table1567[[#This Row],[Discount Amount]]</f>
        <v>170</v>
      </c>
      <c r="P83" s="4" t="str">
        <f>IF(Table1567[[#This Row],[Total Amount]]&gt;=1000,"High","Low")</f>
        <v>Low</v>
      </c>
      <c r="Q83" s="4" t="str" cm="1">
        <f t="array" ref="Q83">_xlfn.IFS(AND(Table1567[[#This Row],[Total Amount]]&gt;=1500,"Critical"),AND(Table1567[[#This Row],[Total Amount]]&gt;=1000,"High"),TRUE,"Normal")</f>
        <v>Normal</v>
      </c>
      <c r="R83" s="4" t="str">
        <f>CONCATENATE(Table1567[[#This Row],[Customer ID]], "-",Table1567[[#This Row],[Age]])</f>
        <v>CUST082-32</v>
      </c>
      <c r="S83" s="4" t="str">
        <f>TEXT(Table1567[[#This Row],[Date]],"mmm")</f>
        <v>Dec</v>
      </c>
      <c r="T83" s="4" t="str">
        <f>TEXT(Table1567[[#This Row],[Date]],"DDD")</f>
        <v>Tue</v>
      </c>
    </row>
    <row r="84" spans="1:20" ht="29" x14ac:dyDescent="0.35">
      <c r="A84" s="4">
        <v>83</v>
      </c>
      <c r="B84" s="5">
        <v>45276</v>
      </c>
      <c r="C84" s="4" t="s">
        <v>96</v>
      </c>
      <c r="D84" s="4" t="s">
        <v>10</v>
      </c>
      <c r="E84" s="4">
        <v>54</v>
      </c>
      <c r="F84" s="4" t="str">
        <f>IF(Table1567[[#This Row],[Age]]&lt;=19,"Teenager",IF(Table1567[[#This Row],[Age]]&lt;=40,"Median","Old"))</f>
        <v>Old</v>
      </c>
      <c r="G84" s="4" t="s">
        <v>16</v>
      </c>
      <c r="H84" s="4">
        <v>2</v>
      </c>
      <c r="I84" s="4">
        <v>50</v>
      </c>
      <c r="J84" s="4">
        <v>100</v>
      </c>
      <c r="K84" s="4" t="str" cm="1">
        <f t="array" ref="K84">_xlfn.IFS(AND(Table1567[[#This Row],[Total Amount]]&gt;=1500),"Critical",AND(Table1567[[#This Row],[Total Amount]]&gt;=1000),"High",TRUE,"Normal")</f>
        <v>Normal</v>
      </c>
      <c r="L84" s="4" t="str">
        <f>IF(Table1567[[#This Row],[Total Amount]]&gt;=1000,"High",(IF(Table1567[[#This Row],[Total Amount]]&gt;=500,"Medium","Low")))</f>
        <v>Low</v>
      </c>
      <c r="M84" s="4" t="str" cm="1">
        <f t="array" ref="M8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4" s="4" cm="1">
        <f t="array" ref="N8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84" s="4">
        <f>Table1567[[#This Row],[Total Amount]]-Table1567[[#This Row],[Discount Amount]]</f>
        <v>90</v>
      </c>
      <c r="P84" s="4" t="str">
        <f>IF(Table1567[[#This Row],[Total Amount]]&gt;=1000,"High","Low")</f>
        <v>Low</v>
      </c>
      <c r="Q84" s="4" t="str" cm="1">
        <f t="array" ref="Q84">_xlfn.IFS(AND(Table1567[[#This Row],[Total Amount]]&gt;=1500,"Critical"),AND(Table1567[[#This Row],[Total Amount]]&gt;=1000,"High"),TRUE,"Normal")</f>
        <v>Normal</v>
      </c>
      <c r="R84" s="4" t="str">
        <f>CONCATENATE(Table1567[[#This Row],[Customer ID]], "-",Table1567[[#This Row],[Age]])</f>
        <v>CUST083-54</v>
      </c>
      <c r="S84" s="4" t="str">
        <f>TEXT(Table1567[[#This Row],[Date]],"mmm")</f>
        <v>Dec</v>
      </c>
      <c r="T84" s="4" t="str">
        <f>TEXT(Table1567[[#This Row],[Date]],"DDD")</f>
        <v>Sat</v>
      </c>
    </row>
    <row r="85" spans="1:20" ht="29" x14ac:dyDescent="0.35">
      <c r="A85" s="4">
        <v>84</v>
      </c>
      <c r="B85" s="5">
        <v>45258</v>
      </c>
      <c r="C85" s="4" t="s">
        <v>97</v>
      </c>
      <c r="D85" s="4" t="s">
        <v>13</v>
      </c>
      <c r="E85" s="4">
        <v>38</v>
      </c>
      <c r="F85" s="4" t="str">
        <f>IF(Table1567[[#This Row],[Age]]&lt;=19,"Teenager",IF(Table1567[[#This Row],[Age]]&lt;=40,"Median","Old"))</f>
        <v>Median</v>
      </c>
      <c r="G85" s="4" t="s">
        <v>16</v>
      </c>
      <c r="H85" s="4">
        <v>3</v>
      </c>
      <c r="I85" s="4">
        <v>30</v>
      </c>
      <c r="J85" s="4">
        <v>90</v>
      </c>
      <c r="K85" s="4" t="str" cm="1">
        <f t="array" ref="K85">_xlfn.IFS(AND(Table1567[[#This Row],[Total Amount]]&gt;=1500),"Critical",AND(Table1567[[#This Row],[Total Amount]]&gt;=1000),"High",TRUE,"Normal")</f>
        <v>Normal</v>
      </c>
      <c r="L85" s="4" t="str">
        <f>IF(Table1567[[#This Row],[Total Amount]]&gt;=1000,"High",(IF(Table1567[[#This Row],[Total Amount]]&gt;=500,"Medium","Low")))</f>
        <v>Low</v>
      </c>
      <c r="M85" s="4" t="str" cm="1">
        <f t="array" ref="M8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5" s="4" cm="1">
        <f t="array" ref="N8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85" s="4">
        <f>Table1567[[#This Row],[Total Amount]]-Table1567[[#This Row],[Discount Amount]]</f>
        <v>72</v>
      </c>
      <c r="P85" s="4" t="str">
        <f>IF(Table1567[[#This Row],[Total Amount]]&gt;=1000,"High","Low")</f>
        <v>Low</v>
      </c>
      <c r="Q85" s="4" t="str" cm="1">
        <f t="array" ref="Q85">_xlfn.IFS(AND(Table1567[[#This Row],[Total Amount]]&gt;=1500,"Critical"),AND(Table1567[[#This Row],[Total Amount]]&gt;=1000,"High"),TRUE,"Normal")</f>
        <v>Normal</v>
      </c>
      <c r="R85" s="4" t="str">
        <f>CONCATENATE(Table1567[[#This Row],[Customer ID]], "-",Table1567[[#This Row],[Age]])</f>
        <v>CUST084-38</v>
      </c>
      <c r="S85" s="4" t="str">
        <f>TEXT(Table1567[[#This Row],[Date]],"mmm")</f>
        <v>Nov</v>
      </c>
      <c r="T85" s="4" t="str">
        <f>TEXT(Table1567[[#This Row],[Date]],"DDD")</f>
        <v>Tue</v>
      </c>
    </row>
    <row r="86" spans="1:20" ht="29" x14ac:dyDescent="0.35">
      <c r="A86" s="4">
        <v>85</v>
      </c>
      <c r="B86" s="5">
        <v>44963</v>
      </c>
      <c r="C86" s="4" t="s">
        <v>98</v>
      </c>
      <c r="D86" s="4" t="s">
        <v>10</v>
      </c>
      <c r="E86" s="4">
        <v>31</v>
      </c>
      <c r="F86" s="4" t="str">
        <f>IF(Table1567[[#This Row],[Age]]&lt;=19,"Teenager",IF(Table1567[[#This Row],[Age]]&lt;=40,"Median","Old"))</f>
        <v>Median</v>
      </c>
      <c r="G86" s="4" t="s">
        <v>14</v>
      </c>
      <c r="H86" s="4">
        <v>3</v>
      </c>
      <c r="I86" s="4">
        <v>50</v>
      </c>
      <c r="J86" s="4">
        <v>150</v>
      </c>
      <c r="K86" s="4" t="str" cm="1">
        <f t="array" ref="K86">_xlfn.IFS(AND(Table1567[[#This Row],[Total Amount]]&gt;=1500),"Critical",AND(Table1567[[#This Row],[Total Amount]]&gt;=1000),"High",TRUE,"Normal")</f>
        <v>Normal</v>
      </c>
      <c r="L86" s="4" t="str">
        <f>IF(Table1567[[#This Row],[Total Amount]]&gt;=1000,"High",(IF(Table1567[[#This Row],[Total Amount]]&gt;=500,"Medium","Low")))</f>
        <v>Low</v>
      </c>
      <c r="M86" s="4" t="str" cm="1">
        <f t="array" ref="M8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6" s="4" cm="1">
        <f t="array" ref="N8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22.5</v>
      </c>
      <c r="O86" s="4">
        <f>Table1567[[#This Row],[Total Amount]]-Table1567[[#This Row],[Discount Amount]]</f>
        <v>127.5</v>
      </c>
      <c r="P86" s="4" t="str">
        <f>IF(Table1567[[#This Row],[Total Amount]]&gt;=1000,"High","Low")</f>
        <v>Low</v>
      </c>
      <c r="Q86" s="4" t="str" cm="1">
        <f t="array" ref="Q86">_xlfn.IFS(AND(Table1567[[#This Row],[Total Amount]]&gt;=1500,"Critical"),AND(Table1567[[#This Row],[Total Amount]]&gt;=1000,"High"),TRUE,"Normal")</f>
        <v>Normal</v>
      </c>
      <c r="R86" s="4" t="str">
        <f>CONCATENATE(Table1567[[#This Row],[Customer ID]], "-",Table1567[[#This Row],[Age]])</f>
        <v>CUST085-31</v>
      </c>
      <c r="S86" s="4" t="str">
        <f>TEXT(Table1567[[#This Row],[Date]],"mmm")</f>
        <v>Feb</v>
      </c>
      <c r="T86" s="4" t="str">
        <f>TEXT(Table1567[[#This Row],[Date]],"DDD")</f>
        <v>Mon</v>
      </c>
    </row>
    <row r="87" spans="1:20" ht="29" x14ac:dyDescent="0.35">
      <c r="A87" s="4">
        <v>86</v>
      </c>
      <c r="B87" s="5">
        <v>45238</v>
      </c>
      <c r="C87" s="4" t="s">
        <v>99</v>
      </c>
      <c r="D87" s="4" t="s">
        <v>10</v>
      </c>
      <c r="E87" s="4">
        <v>19</v>
      </c>
      <c r="F87" s="4" t="str">
        <f>IF(Table1567[[#This Row],[Age]]&lt;=19,"Teenager",IF(Table1567[[#This Row],[Age]]&lt;=40,"Median","Old"))</f>
        <v>Teenager</v>
      </c>
      <c r="G87" s="4" t="s">
        <v>11</v>
      </c>
      <c r="H87" s="4">
        <v>3</v>
      </c>
      <c r="I87" s="4">
        <v>30</v>
      </c>
      <c r="J87" s="4">
        <v>90</v>
      </c>
      <c r="K87" s="4" t="str" cm="1">
        <f t="array" ref="K87">_xlfn.IFS(AND(Table1567[[#This Row],[Total Amount]]&gt;=1500),"Critical",AND(Table1567[[#This Row],[Total Amount]]&gt;=1000),"High",TRUE,"Normal")</f>
        <v>Normal</v>
      </c>
      <c r="L87" s="4" t="str">
        <f>IF(Table1567[[#This Row],[Total Amount]]&gt;=1000,"High",(IF(Table1567[[#This Row],[Total Amount]]&gt;=500,"Medium","Low")))</f>
        <v>Low</v>
      </c>
      <c r="M87" s="4" t="str" cm="1">
        <f t="array" ref="M8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87" s="4" cm="1">
        <f t="array" ref="N8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87" s="4">
        <f>Table1567[[#This Row],[Total Amount]]-Table1567[[#This Row],[Discount Amount]]</f>
        <v>90</v>
      </c>
      <c r="P87" s="4" t="str">
        <f>IF(Table1567[[#This Row],[Total Amount]]&gt;=1000,"High","Low")</f>
        <v>Low</v>
      </c>
      <c r="Q87" s="4" t="str" cm="1">
        <f t="array" ref="Q87">_xlfn.IFS(AND(Table1567[[#This Row],[Total Amount]]&gt;=1500,"Critical"),AND(Table1567[[#This Row],[Total Amount]]&gt;=1000,"High"),TRUE,"Normal")</f>
        <v>Normal</v>
      </c>
      <c r="R87" s="4" t="str">
        <f>CONCATENATE(Table1567[[#This Row],[Customer ID]], "-",Table1567[[#This Row],[Age]])</f>
        <v>CUST086-19</v>
      </c>
      <c r="S87" s="4" t="str">
        <f>TEXT(Table1567[[#This Row],[Date]],"mmm")</f>
        <v>Nov</v>
      </c>
      <c r="T87" s="4" t="str">
        <f>TEXT(Table1567[[#This Row],[Date]],"DDD")</f>
        <v>Wed</v>
      </c>
    </row>
    <row r="88" spans="1:20" ht="29" x14ac:dyDescent="0.35">
      <c r="A88" s="4">
        <v>87</v>
      </c>
      <c r="B88" s="5">
        <v>45252</v>
      </c>
      <c r="C88" s="4" t="s">
        <v>100</v>
      </c>
      <c r="D88" s="4" t="s">
        <v>13</v>
      </c>
      <c r="E88" s="4">
        <v>28</v>
      </c>
      <c r="F88" s="4" t="str">
        <f>IF(Table1567[[#This Row],[Age]]&lt;=19,"Teenager",IF(Table1567[[#This Row],[Age]]&lt;=40,"Median","Old"))</f>
        <v>Median</v>
      </c>
      <c r="G88" s="4" t="s">
        <v>11</v>
      </c>
      <c r="H88" s="4">
        <v>2</v>
      </c>
      <c r="I88" s="4">
        <v>50</v>
      </c>
      <c r="J88" s="4">
        <v>100</v>
      </c>
      <c r="K88" s="4" t="str" cm="1">
        <f t="array" ref="K88">_xlfn.IFS(AND(Table1567[[#This Row],[Total Amount]]&gt;=1500),"Critical",AND(Table1567[[#This Row],[Total Amount]]&gt;=1000),"High",TRUE,"Normal")</f>
        <v>Normal</v>
      </c>
      <c r="L88" s="4" t="str">
        <f>IF(Table1567[[#This Row],[Total Amount]]&gt;=1000,"High",(IF(Table1567[[#This Row],[Total Amount]]&gt;=500,"Medium","Low")))</f>
        <v>Low</v>
      </c>
      <c r="M88" s="4" t="str" cm="1">
        <f t="array" ref="M8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8" s="4" cm="1">
        <f t="array" ref="N8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88" s="4">
        <f>Table1567[[#This Row],[Total Amount]]-Table1567[[#This Row],[Discount Amount]]</f>
        <v>85</v>
      </c>
      <c r="P88" s="4" t="str">
        <f>IF(Table1567[[#This Row],[Total Amount]]&gt;=1000,"High","Low")</f>
        <v>Low</v>
      </c>
      <c r="Q88" s="4" t="str" cm="1">
        <f t="array" ref="Q88">_xlfn.IFS(AND(Table1567[[#This Row],[Total Amount]]&gt;=1500,"Critical"),AND(Table1567[[#This Row],[Total Amount]]&gt;=1000,"High"),TRUE,"Normal")</f>
        <v>Normal</v>
      </c>
      <c r="R88" s="4" t="str">
        <f>CONCATENATE(Table1567[[#This Row],[Customer ID]], "-",Table1567[[#This Row],[Age]])</f>
        <v>CUST087-28</v>
      </c>
      <c r="S88" s="4" t="str">
        <f>TEXT(Table1567[[#This Row],[Date]],"mmm")</f>
        <v>Nov</v>
      </c>
      <c r="T88" s="4" t="str">
        <f>TEXT(Table1567[[#This Row],[Date]],"DDD")</f>
        <v>Wed</v>
      </c>
    </row>
    <row r="89" spans="1:20" ht="29" x14ac:dyDescent="0.35">
      <c r="A89" s="4">
        <v>88</v>
      </c>
      <c r="B89" s="5">
        <v>45014</v>
      </c>
      <c r="C89" s="4" t="s">
        <v>101</v>
      </c>
      <c r="D89" s="4" t="s">
        <v>10</v>
      </c>
      <c r="E89" s="4">
        <v>56</v>
      </c>
      <c r="F89" s="4" t="str">
        <f>IF(Table1567[[#This Row],[Age]]&lt;=19,"Teenager",IF(Table1567[[#This Row],[Age]]&lt;=40,"Median","Old"))</f>
        <v>Old</v>
      </c>
      <c r="G89" s="4" t="s">
        <v>14</v>
      </c>
      <c r="H89" s="4">
        <v>1</v>
      </c>
      <c r="I89" s="4">
        <v>500</v>
      </c>
      <c r="J89" s="4">
        <v>500</v>
      </c>
      <c r="K89" s="4" t="str" cm="1">
        <f t="array" ref="K89">_xlfn.IFS(AND(Table1567[[#This Row],[Total Amount]]&gt;=1500),"Critical",AND(Table1567[[#This Row],[Total Amount]]&gt;=1000),"High",TRUE,"Normal")</f>
        <v>Normal</v>
      </c>
      <c r="L89" s="4" t="str">
        <f>IF(Table1567[[#This Row],[Total Amount]]&gt;=1000,"High",(IF(Table1567[[#This Row],[Total Amount]]&gt;=500,"Medium","Low")))</f>
        <v>Medium</v>
      </c>
      <c r="M89" s="4" t="str" cm="1">
        <f t="array" ref="M8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9" s="4" cm="1">
        <f t="array" ref="N8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50</v>
      </c>
      <c r="O89" s="4">
        <f>Table1567[[#This Row],[Total Amount]]-Table1567[[#This Row],[Discount Amount]]</f>
        <v>450</v>
      </c>
      <c r="P89" s="4" t="str">
        <f>IF(Table1567[[#This Row],[Total Amount]]&gt;=1000,"High","Low")</f>
        <v>Low</v>
      </c>
      <c r="Q89" s="4" t="str" cm="1">
        <f t="array" ref="Q89">_xlfn.IFS(AND(Table1567[[#This Row],[Total Amount]]&gt;=1500,"Critical"),AND(Table1567[[#This Row],[Total Amount]]&gt;=1000,"High"),TRUE,"Normal")</f>
        <v>Normal</v>
      </c>
      <c r="R89" s="4" t="str">
        <f>CONCATENATE(Table1567[[#This Row],[Customer ID]], "-",Table1567[[#This Row],[Age]])</f>
        <v>CUST088-56</v>
      </c>
      <c r="S89" s="4" t="str">
        <f>TEXT(Table1567[[#This Row],[Date]],"mmm")</f>
        <v>Mar</v>
      </c>
      <c r="T89" s="4" t="str">
        <f>TEXT(Table1567[[#This Row],[Date]],"DDD")</f>
        <v>Wed</v>
      </c>
    </row>
    <row r="90" spans="1:20" ht="29" x14ac:dyDescent="0.35">
      <c r="A90" s="4">
        <v>89</v>
      </c>
      <c r="B90" s="5">
        <v>45200</v>
      </c>
      <c r="C90" s="4" t="s">
        <v>102</v>
      </c>
      <c r="D90" s="4" t="s">
        <v>13</v>
      </c>
      <c r="E90" s="4">
        <v>55</v>
      </c>
      <c r="F90" s="4" t="str">
        <f>IF(Table1567[[#This Row],[Age]]&lt;=19,"Teenager",IF(Table1567[[#This Row],[Age]]&lt;=40,"Median","Old"))</f>
        <v>Old</v>
      </c>
      <c r="G90" s="4" t="s">
        <v>16</v>
      </c>
      <c r="H90" s="4">
        <v>4</v>
      </c>
      <c r="I90" s="4">
        <v>500</v>
      </c>
      <c r="J90" s="4">
        <v>2000</v>
      </c>
      <c r="K90" s="4" t="str" cm="1">
        <f t="array" ref="K90">_xlfn.IFS(AND(Table1567[[#This Row],[Total Amount]]&gt;=1500),"Critical",AND(Table1567[[#This Row],[Total Amount]]&gt;=1000),"High",TRUE,"Normal")</f>
        <v>Critical</v>
      </c>
      <c r="L90" s="4" t="str">
        <f>IF(Table1567[[#This Row],[Total Amount]]&gt;=1000,"High",(IF(Table1567[[#This Row],[Total Amount]]&gt;=500,"Medium","Low")))</f>
        <v>High</v>
      </c>
      <c r="M90" s="4" t="str" cm="1">
        <f t="array" ref="M9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0" s="4" cm="1">
        <f t="array" ref="N9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400</v>
      </c>
      <c r="O90" s="4">
        <f>Table1567[[#This Row],[Total Amount]]-Table1567[[#This Row],[Discount Amount]]</f>
        <v>1600</v>
      </c>
      <c r="P90" s="4" t="str">
        <f>IF(Table1567[[#This Row],[Total Amount]]&gt;=1000,"High","Low")</f>
        <v>High</v>
      </c>
      <c r="Q90" s="4" t="b" cm="1">
        <f t="array" ref="Q90">_xlfn.IFS(AND(Table1567[[#This Row],[Total Amount]]&gt;=1500,"Critical"),AND(Table1567[[#This Row],[Total Amount]]&gt;=1000,"High"),TRUE,"Normal")</f>
        <v>1</v>
      </c>
      <c r="R90" s="4" t="str">
        <f>CONCATENATE(Table1567[[#This Row],[Customer ID]], "-",Table1567[[#This Row],[Age]])</f>
        <v>CUST089-55</v>
      </c>
      <c r="S90" s="4" t="str">
        <f>TEXT(Table1567[[#This Row],[Date]],"mmm")</f>
        <v>Oct</v>
      </c>
      <c r="T90" s="4" t="str">
        <f>TEXT(Table1567[[#This Row],[Date]],"DDD")</f>
        <v>Sun</v>
      </c>
    </row>
    <row r="91" spans="1:20" ht="29" x14ac:dyDescent="0.35">
      <c r="A91" s="4">
        <v>90</v>
      </c>
      <c r="B91" s="5">
        <v>45052</v>
      </c>
      <c r="C91" s="4" t="s">
        <v>103</v>
      </c>
      <c r="D91" s="4" t="s">
        <v>13</v>
      </c>
      <c r="E91" s="4">
        <v>51</v>
      </c>
      <c r="F91" s="4" t="str">
        <f>IF(Table1567[[#This Row],[Age]]&lt;=19,"Teenager",IF(Table1567[[#This Row],[Age]]&lt;=40,"Median","Old"))</f>
        <v>Old</v>
      </c>
      <c r="G91" s="4" t="s">
        <v>16</v>
      </c>
      <c r="H91" s="4">
        <v>1</v>
      </c>
      <c r="I91" s="4">
        <v>30</v>
      </c>
      <c r="J91" s="4">
        <v>30</v>
      </c>
      <c r="K91" s="4" t="str" cm="1">
        <f t="array" ref="K91">_xlfn.IFS(AND(Table1567[[#This Row],[Total Amount]]&gt;=1500),"Critical",AND(Table1567[[#This Row],[Total Amount]]&gt;=1000),"High",TRUE,"Normal")</f>
        <v>Normal</v>
      </c>
      <c r="L91" s="4" t="str">
        <f>IF(Table1567[[#This Row],[Total Amount]]&gt;=1000,"High",(IF(Table1567[[#This Row],[Total Amount]]&gt;=500,"Medium","Low")))</f>
        <v>Low</v>
      </c>
      <c r="M91" s="4" t="str" cm="1">
        <f t="array" ref="M9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1" s="4" cm="1">
        <f t="array" ref="N9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91" s="4">
        <f>Table1567[[#This Row],[Total Amount]]-Table1567[[#This Row],[Discount Amount]]</f>
        <v>24</v>
      </c>
      <c r="P91" s="4" t="str">
        <f>IF(Table1567[[#This Row],[Total Amount]]&gt;=1000,"High","Low")</f>
        <v>Low</v>
      </c>
      <c r="Q91" s="4" t="str" cm="1">
        <f t="array" ref="Q91">_xlfn.IFS(AND(Table1567[[#This Row],[Total Amount]]&gt;=1500,"Critical"),AND(Table1567[[#This Row],[Total Amount]]&gt;=1000,"High"),TRUE,"Normal")</f>
        <v>Normal</v>
      </c>
      <c r="R91" s="4" t="str">
        <f>CONCATENATE(Table1567[[#This Row],[Customer ID]], "-",Table1567[[#This Row],[Age]])</f>
        <v>CUST090-51</v>
      </c>
      <c r="S91" s="4" t="str">
        <f>TEXT(Table1567[[#This Row],[Date]],"mmm")</f>
        <v>May</v>
      </c>
      <c r="T91" s="4" t="str">
        <f>TEXT(Table1567[[#This Row],[Date]],"DDD")</f>
        <v>Sat</v>
      </c>
    </row>
    <row r="92" spans="1:20" ht="29" x14ac:dyDescent="0.35">
      <c r="A92" s="4">
        <v>91</v>
      </c>
      <c r="B92" s="5">
        <v>45010</v>
      </c>
      <c r="C92" s="4" t="s">
        <v>104</v>
      </c>
      <c r="D92" s="4" t="s">
        <v>13</v>
      </c>
      <c r="E92" s="4">
        <v>55</v>
      </c>
      <c r="F92" s="4" t="str">
        <f>IF(Table1567[[#This Row],[Age]]&lt;=19,"Teenager",IF(Table1567[[#This Row],[Age]]&lt;=40,"Median","Old"))</f>
        <v>Old</v>
      </c>
      <c r="G92" s="4" t="s">
        <v>16</v>
      </c>
      <c r="H92" s="4">
        <v>1</v>
      </c>
      <c r="I92" s="4">
        <v>500</v>
      </c>
      <c r="J92" s="4">
        <v>500</v>
      </c>
      <c r="K92" s="4" t="str" cm="1">
        <f t="array" ref="K92">_xlfn.IFS(AND(Table1567[[#This Row],[Total Amount]]&gt;=1500),"Critical",AND(Table1567[[#This Row],[Total Amount]]&gt;=1000),"High",TRUE,"Normal")</f>
        <v>Normal</v>
      </c>
      <c r="L92" s="4" t="str">
        <f>IF(Table1567[[#This Row],[Total Amount]]&gt;=1000,"High",(IF(Table1567[[#This Row],[Total Amount]]&gt;=500,"Medium","Low")))</f>
        <v>Medium</v>
      </c>
      <c r="M92" s="4" t="str" cm="1">
        <f t="array" ref="M9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2" s="4" cm="1">
        <f t="array" ref="N9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92" s="4">
        <f>Table1567[[#This Row],[Total Amount]]-Table1567[[#This Row],[Discount Amount]]</f>
        <v>400</v>
      </c>
      <c r="P92" s="4" t="str">
        <f>IF(Table1567[[#This Row],[Total Amount]]&gt;=1000,"High","Low")</f>
        <v>Low</v>
      </c>
      <c r="Q92" s="4" t="str" cm="1">
        <f t="array" ref="Q92">_xlfn.IFS(AND(Table1567[[#This Row],[Total Amount]]&gt;=1500,"Critical"),AND(Table1567[[#This Row],[Total Amount]]&gt;=1000,"High"),TRUE,"Normal")</f>
        <v>Normal</v>
      </c>
      <c r="R92" s="4" t="str">
        <f>CONCATENATE(Table1567[[#This Row],[Customer ID]], "-",Table1567[[#This Row],[Age]])</f>
        <v>CUST091-55</v>
      </c>
      <c r="S92" s="4" t="str">
        <f>TEXT(Table1567[[#This Row],[Date]],"mmm")</f>
        <v>Mar</v>
      </c>
      <c r="T92" s="4" t="str">
        <f>TEXT(Table1567[[#This Row],[Date]],"DDD")</f>
        <v>Sat</v>
      </c>
    </row>
    <row r="93" spans="1:20" ht="29" x14ac:dyDescent="0.35">
      <c r="A93" s="4">
        <v>92</v>
      </c>
      <c r="B93" s="5">
        <v>45163</v>
      </c>
      <c r="C93" s="4" t="s">
        <v>105</v>
      </c>
      <c r="D93" s="4" t="s">
        <v>13</v>
      </c>
      <c r="E93" s="4">
        <v>51</v>
      </c>
      <c r="F93" s="4" t="str">
        <f>IF(Table1567[[#This Row],[Age]]&lt;=19,"Teenager",IF(Table1567[[#This Row],[Age]]&lt;=40,"Median","Old"))</f>
        <v>Old</v>
      </c>
      <c r="G93" s="4" t="s">
        <v>16</v>
      </c>
      <c r="H93" s="4">
        <v>4</v>
      </c>
      <c r="I93" s="4">
        <v>30</v>
      </c>
      <c r="J93" s="4">
        <v>120</v>
      </c>
      <c r="K93" s="4" t="str" cm="1">
        <f t="array" ref="K93">_xlfn.IFS(AND(Table1567[[#This Row],[Total Amount]]&gt;=1500),"Critical",AND(Table1567[[#This Row],[Total Amount]]&gt;=1000),"High",TRUE,"Normal")</f>
        <v>Normal</v>
      </c>
      <c r="L93" s="4" t="str">
        <f>IF(Table1567[[#This Row],[Total Amount]]&gt;=1000,"High",(IF(Table1567[[#This Row],[Total Amount]]&gt;=500,"Medium","Low")))</f>
        <v>Low</v>
      </c>
      <c r="M93" s="4" t="str" cm="1">
        <f t="array" ref="M9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3" s="4" cm="1">
        <f t="array" ref="N9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</v>
      </c>
      <c r="O93" s="4">
        <f>Table1567[[#This Row],[Total Amount]]-Table1567[[#This Row],[Discount Amount]]</f>
        <v>96</v>
      </c>
      <c r="P93" s="4" t="str">
        <f>IF(Table1567[[#This Row],[Total Amount]]&gt;=1000,"High","Low")</f>
        <v>Low</v>
      </c>
      <c r="Q93" s="4" t="str" cm="1">
        <f t="array" ref="Q93">_xlfn.IFS(AND(Table1567[[#This Row],[Total Amount]]&gt;=1500,"Critical"),AND(Table1567[[#This Row],[Total Amount]]&gt;=1000,"High"),TRUE,"Normal")</f>
        <v>Normal</v>
      </c>
      <c r="R93" s="4" t="str">
        <f>CONCATENATE(Table1567[[#This Row],[Customer ID]], "-",Table1567[[#This Row],[Age]])</f>
        <v>CUST092-51</v>
      </c>
      <c r="S93" s="4" t="str">
        <f>TEXT(Table1567[[#This Row],[Date]],"mmm")</f>
        <v>Aug</v>
      </c>
      <c r="T93" s="4" t="str">
        <f>TEXT(Table1567[[#This Row],[Date]],"DDD")</f>
        <v>Fri</v>
      </c>
    </row>
    <row r="94" spans="1:20" ht="29" x14ac:dyDescent="0.35">
      <c r="A94" s="4">
        <v>93</v>
      </c>
      <c r="B94" s="5">
        <v>45121</v>
      </c>
      <c r="C94" s="4" t="s">
        <v>106</v>
      </c>
      <c r="D94" s="4" t="s">
        <v>13</v>
      </c>
      <c r="E94" s="4">
        <v>35</v>
      </c>
      <c r="F94" s="4" t="str">
        <f>IF(Table1567[[#This Row],[Age]]&lt;=19,"Teenager",IF(Table1567[[#This Row],[Age]]&lt;=40,"Median","Old"))</f>
        <v>Median</v>
      </c>
      <c r="G94" s="4" t="s">
        <v>11</v>
      </c>
      <c r="H94" s="4">
        <v>4</v>
      </c>
      <c r="I94" s="4">
        <v>500</v>
      </c>
      <c r="J94" s="4">
        <v>2000</v>
      </c>
      <c r="K94" s="4" t="str" cm="1">
        <f t="array" ref="K94">_xlfn.IFS(AND(Table1567[[#This Row],[Total Amount]]&gt;=1500),"Critical",AND(Table1567[[#This Row],[Total Amount]]&gt;=1000),"High",TRUE,"Normal")</f>
        <v>Critical</v>
      </c>
      <c r="L94" s="4" t="str">
        <f>IF(Table1567[[#This Row],[Total Amount]]&gt;=1000,"High",(IF(Table1567[[#This Row],[Total Amount]]&gt;=500,"Medium","Low")))</f>
        <v>High</v>
      </c>
      <c r="M94" s="4" t="str" cm="1">
        <f t="array" ref="M9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4" s="4" cm="1">
        <f t="array" ref="N9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400</v>
      </c>
      <c r="O94" s="4">
        <f>Table1567[[#This Row],[Total Amount]]-Table1567[[#This Row],[Discount Amount]]</f>
        <v>1600</v>
      </c>
      <c r="P94" s="4" t="str">
        <f>IF(Table1567[[#This Row],[Total Amount]]&gt;=1000,"High","Low")</f>
        <v>High</v>
      </c>
      <c r="Q94" s="4" t="b" cm="1">
        <f t="array" ref="Q94">_xlfn.IFS(AND(Table1567[[#This Row],[Total Amount]]&gt;=1500,"Critical"),AND(Table1567[[#This Row],[Total Amount]]&gt;=1000,"High"),TRUE,"Normal")</f>
        <v>1</v>
      </c>
      <c r="R94" s="4" t="str">
        <f>CONCATENATE(Table1567[[#This Row],[Customer ID]], "-",Table1567[[#This Row],[Age]])</f>
        <v>CUST093-35</v>
      </c>
      <c r="S94" s="4" t="str">
        <f>TEXT(Table1567[[#This Row],[Date]],"mmm")</f>
        <v>Jul</v>
      </c>
      <c r="T94" s="4" t="str">
        <f>TEXT(Table1567[[#This Row],[Date]],"DDD")</f>
        <v>Fri</v>
      </c>
    </row>
    <row r="95" spans="1:20" ht="29" x14ac:dyDescent="0.35">
      <c r="A95" s="4">
        <v>94</v>
      </c>
      <c r="B95" s="5">
        <v>45065</v>
      </c>
      <c r="C95" s="4" t="s">
        <v>107</v>
      </c>
      <c r="D95" s="4" t="s">
        <v>13</v>
      </c>
      <c r="E95" s="4">
        <v>47</v>
      </c>
      <c r="F95" s="4" t="str">
        <f>IF(Table1567[[#This Row],[Age]]&lt;=19,"Teenager",IF(Table1567[[#This Row],[Age]]&lt;=40,"Median","Old"))</f>
        <v>Old</v>
      </c>
      <c r="G95" s="4" t="s">
        <v>11</v>
      </c>
      <c r="H95" s="4">
        <v>2</v>
      </c>
      <c r="I95" s="4">
        <v>500</v>
      </c>
      <c r="J95" s="4">
        <v>1000</v>
      </c>
      <c r="K95" s="4" t="str" cm="1">
        <f t="array" ref="K95">_xlfn.IFS(AND(Table1567[[#This Row],[Total Amount]]&gt;=1500),"Critical",AND(Table1567[[#This Row],[Total Amount]]&gt;=1000),"High",TRUE,"Normal")</f>
        <v>High</v>
      </c>
      <c r="L95" s="4" t="str">
        <f>IF(Table1567[[#This Row],[Total Amount]]&gt;=1000,"High",(IF(Table1567[[#This Row],[Total Amount]]&gt;=500,"Medium","Low")))</f>
        <v>High</v>
      </c>
      <c r="M95" s="4" t="str" cm="1">
        <f t="array" ref="M9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5" s="4" cm="1">
        <f t="array" ref="N9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95" s="4">
        <f>Table1567[[#This Row],[Total Amount]]-Table1567[[#This Row],[Discount Amount]]</f>
        <v>800</v>
      </c>
      <c r="P95" s="4" t="str">
        <f>IF(Table1567[[#This Row],[Total Amount]]&gt;=1000,"High","Low")</f>
        <v>High</v>
      </c>
      <c r="Q95" s="4" t="str" cm="1">
        <f t="array" ref="Q95">_xlfn.IFS(AND(Table1567[[#This Row],[Total Amount]]&gt;=1500,"Critical"),AND(Table1567[[#This Row],[Total Amount]]&gt;=1000,"High"),TRUE,"Normal")</f>
        <v>Normal</v>
      </c>
      <c r="R95" s="4" t="str">
        <f>CONCATENATE(Table1567[[#This Row],[Customer ID]], "-",Table1567[[#This Row],[Age]])</f>
        <v>CUST094-47</v>
      </c>
      <c r="S95" s="4" t="str">
        <f>TEXT(Table1567[[#This Row],[Date]],"mmm")</f>
        <v>May</v>
      </c>
      <c r="T95" s="4" t="str">
        <f>TEXT(Table1567[[#This Row],[Date]],"DDD")</f>
        <v>Fri</v>
      </c>
    </row>
    <row r="96" spans="1:20" ht="29" x14ac:dyDescent="0.35">
      <c r="A96" s="4">
        <v>95</v>
      </c>
      <c r="B96" s="5">
        <v>45254</v>
      </c>
      <c r="C96" s="4" t="s">
        <v>108</v>
      </c>
      <c r="D96" s="4" t="s">
        <v>13</v>
      </c>
      <c r="E96" s="4">
        <v>32</v>
      </c>
      <c r="F96" s="4" t="str">
        <f>IF(Table1567[[#This Row],[Age]]&lt;=19,"Teenager",IF(Table1567[[#This Row],[Age]]&lt;=40,"Median","Old"))</f>
        <v>Median</v>
      </c>
      <c r="G96" s="4" t="s">
        <v>14</v>
      </c>
      <c r="H96" s="4">
        <v>2</v>
      </c>
      <c r="I96" s="4">
        <v>30</v>
      </c>
      <c r="J96" s="4">
        <v>60</v>
      </c>
      <c r="K96" s="4" t="str" cm="1">
        <f t="array" ref="K96">_xlfn.IFS(AND(Table1567[[#This Row],[Total Amount]]&gt;=1500),"Critical",AND(Table1567[[#This Row],[Total Amount]]&gt;=1000),"High",TRUE,"Normal")</f>
        <v>Normal</v>
      </c>
      <c r="L96" s="4" t="str">
        <f>IF(Table1567[[#This Row],[Total Amount]]&gt;=1000,"High",(IF(Table1567[[#This Row],[Total Amount]]&gt;=500,"Medium","Low")))</f>
        <v>Low</v>
      </c>
      <c r="M96" s="4" t="str" cm="1">
        <f t="array" ref="M9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6" s="4" cm="1">
        <f t="array" ref="N9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</v>
      </c>
      <c r="O96" s="4">
        <f>Table1567[[#This Row],[Total Amount]]-Table1567[[#This Row],[Discount Amount]]</f>
        <v>51</v>
      </c>
      <c r="P96" s="4" t="str">
        <f>IF(Table1567[[#This Row],[Total Amount]]&gt;=1000,"High","Low")</f>
        <v>Low</v>
      </c>
      <c r="Q96" s="4" t="str" cm="1">
        <f t="array" ref="Q96">_xlfn.IFS(AND(Table1567[[#This Row],[Total Amount]]&gt;=1500,"Critical"),AND(Table1567[[#This Row],[Total Amount]]&gt;=1000,"High"),TRUE,"Normal")</f>
        <v>Normal</v>
      </c>
      <c r="R96" s="4" t="str">
        <f>CONCATENATE(Table1567[[#This Row],[Customer ID]], "-",Table1567[[#This Row],[Age]])</f>
        <v>CUST095-32</v>
      </c>
      <c r="S96" s="4" t="str">
        <f>TEXT(Table1567[[#This Row],[Date]],"mmm")</f>
        <v>Nov</v>
      </c>
      <c r="T96" s="4" t="str">
        <f>TEXT(Table1567[[#This Row],[Date]],"DDD")</f>
        <v>Fri</v>
      </c>
    </row>
    <row r="97" spans="1:20" ht="29" x14ac:dyDescent="0.35">
      <c r="A97" s="4">
        <v>96</v>
      </c>
      <c r="B97" s="5">
        <v>45279</v>
      </c>
      <c r="C97" s="4" t="s">
        <v>109</v>
      </c>
      <c r="D97" s="4" t="s">
        <v>13</v>
      </c>
      <c r="E97" s="4">
        <v>44</v>
      </c>
      <c r="F97" s="4" t="str">
        <f>IF(Table1567[[#This Row],[Age]]&lt;=19,"Teenager",IF(Table1567[[#This Row],[Age]]&lt;=40,"Median","Old"))</f>
        <v>Old</v>
      </c>
      <c r="G97" s="4" t="s">
        <v>14</v>
      </c>
      <c r="H97" s="4">
        <v>2</v>
      </c>
      <c r="I97" s="4">
        <v>300</v>
      </c>
      <c r="J97" s="4">
        <v>600</v>
      </c>
      <c r="K97" s="4" t="str" cm="1">
        <f t="array" ref="K97">_xlfn.IFS(AND(Table1567[[#This Row],[Total Amount]]&gt;=1500),"Critical",AND(Table1567[[#This Row],[Total Amount]]&gt;=1000),"High",TRUE,"Normal")</f>
        <v>Normal</v>
      </c>
      <c r="L97" s="4" t="str">
        <f>IF(Table1567[[#This Row],[Total Amount]]&gt;=1000,"High",(IF(Table1567[[#This Row],[Total Amount]]&gt;=500,"Medium","Low")))</f>
        <v>Medium</v>
      </c>
      <c r="M97" s="4" t="str" cm="1">
        <f t="array" ref="M9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7" s="4" cm="1">
        <f t="array" ref="N9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97" s="4">
        <f>Table1567[[#This Row],[Total Amount]]-Table1567[[#This Row],[Discount Amount]]</f>
        <v>480</v>
      </c>
      <c r="P97" s="4" t="str">
        <f>IF(Table1567[[#This Row],[Total Amount]]&gt;=1000,"High","Low")</f>
        <v>Low</v>
      </c>
      <c r="Q97" s="4" t="str" cm="1">
        <f t="array" ref="Q97">_xlfn.IFS(AND(Table1567[[#This Row],[Total Amount]]&gt;=1500,"Critical"),AND(Table1567[[#This Row],[Total Amount]]&gt;=1000,"High"),TRUE,"Normal")</f>
        <v>Normal</v>
      </c>
      <c r="R97" s="4" t="str">
        <f>CONCATENATE(Table1567[[#This Row],[Customer ID]], "-",Table1567[[#This Row],[Age]])</f>
        <v>CUST096-44</v>
      </c>
      <c r="S97" s="4" t="str">
        <f>TEXT(Table1567[[#This Row],[Date]],"mmm")</f>
        <v>Dec</v>
      </c>
      <c r="T97" s="4" t="str">
        <f>TEXT(Table1567[[#This Row],[Date]],"DDD")</f>
        <v>Tue</v>
      </c>
    </row>
    <row r="98" spans="1:20" ht="29" x14ac:dyDescent="0.35">
      <c r="A98" s="4">
        <v>97</v>
      </c>
      <c r="B98" s="5">
        <v>45212</v>
      </c>
      <c r="C98" s="4" t="s">
        <v>110</v>
      </c>
      <c r="D98" s="4" t="s">
        <v>13</v>
      </c>
      <c r="E98" s="4">
        <v>51</v>
      </c>
      <c r="F98" s="4" t="str">
        <f>IF(Table1567[[#This Row],[Age]]&lt;=19,"Teenager",IF(Table1567[[#This Row],[Age]]&lt;=40,"Median","Old"))</f>
        <v>Old</v>
      </c>
      <c r="G98" s="4" t="s">
        <v>11</v>
      </c>
      <c r="H98" s="4">
        <v>2</v>
      </c>
      <c r="I98" s="4">
        <v>500</v>
      </c>
      <c r="J98" s="4">
        <v>1000</v>
      </c>
      <c r="K98" s="4" t="str" cm="1">
        <f t="array" ref="K98">_xlfn.IFS(AND(Table1567[[#This Row],[Total Amount]]&gt;=1500),"Critical",AND(Table1567[[#This Row],[Total Amount]]&gt;=1000),"High",TRUE,"Normal")</f>
        <v>High</v>
      </c>
      <c r="L98" s="4" t="str">
        <f>IF(Table1567[[#This Row],[Total Amount]]&gt;=1000,"High",(IF(Table1567[[#This Row],[Total Amount]]&gt;=500,"Medium","Low")))</f>
        <v>High</v>
      </c>
      <c r="M98" s="4" t="str" cm="1">
        <f t="array" ref="M9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8" s="4" cm="1">
        <f t="array" ref="N9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98" s="4">
        <f>Table1567[[#This Row],[Total Amount]]-Table1567[[#This Row],[Discount Amount]]</f>
        <v>800</v>
      </c>
      <c r="P98" s="4" t="str">
        <f>IF(Table1567[[#This Row],[Total Amount]]&gt;=1000,"High","Low")</f>
        <v>High</v>
      </c>
      <c r="Q98" s="4" t="str" cm="1">
        <f t="array" ref="Q98">_xlfn.IFS(AND(Table1567[[#This Row],[Total Amount]]&gt;=1500,"Critical"),AND(Table1567[[#This Row],[Total Amount]]&gt;=1000,"High"),TRUE,"Normal")</f>
        <v>Normal</v>
      </c>
      <c r="R98" s="4" t="str">
        <f>CONCATENATE(Table1567[[#This Row],[Customer ID]], "-",Table1567[[#This Row],[Age]])</f>
        <v>CUST097-51</v>
      </c>
      <c r="S98" s="4" t="str">
        <f>TEXT(Table1567[[#This Row],[Date]],"mmm")</f>
        <v>Oct</v>
      </c>
      <c r="T98" s="4" t="str">
        <f>TEXT(Table1567[[#This Row],[Date]],"DDD")</f>
        <v>Fri</v>
      </c>
    </row>
    <row r="99" spans="1:20" ht="29" x14ac:dyDescent="0.35">
      <c r="A99" s="4">
        <v>98</v>
      </c>
      <c r="B99" s="5">
        <v>45039</v>
      </c>
      <c r="C99" s="4" t="s">
        <v>111</v>
      </c>
      <c r="D99" s="4" t="s">
        <v>13</v>
      </c>
      <c r="E99" s="4">
        <v>55</v>
      </c>
      <c r="F99" s="4" t="str">
        <f>IF(Table1567[[#This Row],[Age]]&lt;=19,"Teenager",IF(Table1567[[#This Row],[Age]]&lt;=40,"Median","Old"))</f>
        <v>Old</v>
      </c>
      <c r="G99" s="4" t="s">
        <v>11</v>
      </c>
      <c r="H99" s="4">
        <v>2</v>
      </c>
      <c r="I99" s="4">
        <v>50</v>
      </c>
      <c r="J99" s="4">
        <v>100</v>
      </c>
      <c r="K99" s="4" t="str" cm="1">
        <f t="array" ref="K99">_xlfn.IFS(AND(Table1567[[#This Row],[Total Amount]]&gt;=1500),"Critical",AND(Table1567[[#This Row],[Total Amount]]&gt;=1000),"High",TRUE,"Normal")</f>
        <v>Normal</v>
      </c>
      <c r="L99" s="4" t="str">
        <f>IF(Table1567[[#This Row],[Total Amount]]&gt;=1000,"High",(IF(Table1567[[#This Row],[Total Amount]]&gt;=500,"Medium","Low")))</f>
        <v>Low</v>
      </c>
      <c r="M99" s="4" t="str" cm="1">
        <f t="array" ref="M9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9" s="4" cm="1">
        <f t="array" ref="N9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99" s="4">
        <f>Table1567[[#This Row],[Total Amount]]-Table1567[[#This Row],[Discount Amount]]</f>
        <v>80</v>
      </c>
      <c r="P99" s="4" t="str">
        <f>IF(Table1567[[#This Row],[Total Amount]]&gt;=1000,"High","Low")</f>
        <v>Low</v>
      </c>
      <c r="Q99" s="4" t="str" cm="1">
        <f t="array" ref="Q99">_xlfn.IFS(AND(Table1567[[#This Row],[Total Amount]]&gt;=1500,"Critical"),AND(Table1567[[#This Row],[Total Amount]]&gt;=1000,"High"),TRUE,"Normal")</f>
        <v>Normal</v>
      </c>
      <c r="R99" s="4" t="str">
        <f>CONCATENATE(Table1567[[#This Row],[Customer ID]], "-",Table1567[[#This Row],[Age]])</f>
        <v>CUST098-55</v>
      </c>
      <c r="S99" s="4" t="str">
        <f>TEXT(Table1567[[#This Row],[Date]],"mmm")</f>
        <v>Apr</v>
      </c>
      <c r="T99" s="4" t="str">
        <f>TEXT(Table1567[[#This Row],[Date]],"DDD")</f>
        <v>Sun</v>
      </c>
    </row>
    <row r="100" spans="1:20" ht="29" x14ac:dyDescent="0.35">
      <c r="A100" s="4">
        <v>99</v>
      </c>
      <c r="B100" s="5">
        <v>45277</v>
      </c>
      <c r="C100" s="4" t="s">
        <v>112</v>
      </c>
      <c r="D100" s="4" t="s">
        <v>13</v>
      </c>
      <c r="E100" s="4">
        <v>50</v>
      </c>
      <c r="F100" s="4" t="str">
        <f>IF(Table1567[[#This Row],[Age]]&lt;=19,"Teenager",IF(Table1567[[#This Row],[Age]]&lt;=40,"Median","Old"))</f>
        <v>Old</v>
      </c>
      <c r="G100" s="4" t="s">
        <v>16</v>
      </c>
      <c r="H100" s="4">
        <v>4</v>
      </c>
      <c r="I100" s="4">
        <v>300</v>
      </c>
      <c r="J100" s="4">
        <v>1200</v>
      </c>
      <c r="K100" s="4" t="str" cm="1">
        <f t="array" ref="K100">_xlfn.IFS(AND(Table1567[[#This Row],[Total Amount]]&gt;=1500),"Critical",AND(Table1567[[#This Row],[Total Amount]]&gt;=1000),"High",TRUE,"Normal")</f>
        <v>High</v>
      </c>
      <c r="L100" s="4" t="str">
        <f>IF(Table1567[[#This Row],[Total Amount]]&gt;=1000,"High",(IF(Table1567[[#This Row],[Total Amount]]&gt;=500,"Medium","Low")))</f>
        <v>High</v>
      </c>
      <c r="M100" s="4" t="str" cm="1">
        <f t="array" ref="M10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00" s="4" cm="1">
        <f t="array" ref="N10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240</v>
      </c>
      <c r="O100" s="4">
        <f>Table1567[[#This Row],[Total Amount]]-Table1567[[#This Row],[Discount Amount]]</f>
        <v>960</v>
      </c>
      <c r="P100" s="4" t="str">
        <f>IF(Table1567[[#This Row],[Total Amount]]&gt;=1000,"High","Low")</f>
        <v>High</v>
      </c>
      <c r="Q100" s="4" t="str" cm="1">
        <f t="array" ref="Q100">_xlfn.IFS(AND(Table1567[[#This Row],[Total Amount]]&gt;=1500,"Critical"),AND(Table1567[[#This Row],[Total Amount]]&gt;=1000,"High"),TRUE,"Normal")</f>
        <v>Normal</v>
      </c>
      <c r="R100" s="4" t="str">
        <f>CONCATENATE(Table1567[[#This Row],[Customer ID]], "-",Table1567[[#This Row],[Age]])</f>
        <v>CUST099-50</v>
      </c>
      <c r="S100" s="4" t="str">
        <f>TEXT(Table1567[[#This Row],[Date]],"mmm")</f>
        <v>Dec</v>
      </c>
      <c r="T100" s="4" t="str">
        <f>TEXT(Table1567[[#This Row],[Date]],"DDD")</f>
        <v>Sun</v>
      </c>
    </row>
    <row r="101" spans="1:20" ht="29" x14ac:dyDescent="0.35">
      <c r="A101" s="4">
        <v>100</v>
      </c>
      <c r="B101" s="5">
        <v>45093</v>
      </c>
      <c r="C101" s="4" t="s">
        <v>113</v>
      </c>
      <c r="D101" s="4" t="s">
        <v>10</v>
      </c>
      <c r="E101" s="4">
        <v>41</v>
      </c>
      <c r="F101" s="4" t="str">
        <f>IF(Table1567[[#This Row],[Age]]&lt;=19,"Teenager",IF(Table1567[[#This Row],[Age]]&lt;=40,"Median","Old"))</f>
        <v>Old</v>
      </c>
      <c r="G101" s="4" t="s">
        <v>16</v>
      </c>
      <c r="H101" s="4">
        <v>1</v>
      </c>
      <c r="I101" s="4">
        <v>30</v>
      </c>
      <c r="J101" s="4">
        <v>30</v>
      </c>
      <c r="K101" s="4" t="str" cm="1">
        <f t="array" ref="K101">_xlfn.IFS(AND(Table1567[[#This Row],[Total Amount]]&gt;=1500),"Critical",AND(Table1567[[#This Row],[Total Amount]]&gt;=1000),"High",TRUE,"Normal")</f>
        <v>Normal</v>
      </c>
      <c r="L101" s="4" t="str">
        <f>IF(Table1567[[#This Row],[Total Amount]]&gt;=1000,"High",(IF(Table1567[[#This Row],[Total Amount]]&gt;=500,"Medium","Low")))</f>
        <v>Low</v>
      </c>
      <c r="M101" s="4" t="str" cm="1">
        <f t="array" ref="M10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01" s="4" cm="1">
        <f t="array" ref="N10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</v>
      </c>
      <c r="O101" s="4">
        <f>Table1567[[#This Row],[Total Amount]]-Table1567[[#This Row],[Discount Amount]]</f>
        <v>27</v>
      </c>
      <c r="P101" s="4" t="str">
        <f>IF(Table1567[[#This Row],[Total Amount]]&gt;=1000,"High","Low")</f>
        <v>Low</v>
      </c>
      <c r="Q101" s="4" t="str" cm="1">
        <f t="array" ref="Q101">_xlfn.IFS(AND(Table1567[[#This Row],[Total Amount]]&gt;=1500,"Critical"),AND(Table1567[[#This Row],[Total Amount]]&gt;=1000,"High"),TRUE,"Normal")</f>
        <v>Normal</v>
      </c>
      <c r="R101" s="4" t="str">
        <f>CONCATENATE(Table1567[[#This Row],[Customer ID]], "-",Table1567[[#This Row],[Age]])</f>
        <v>CUST100-41</v>
      </c>
      <c r="S101" s="4" t="str">
        <f>TEXT(Table1567[[#This Row],[Date]],"mmm")</f>
        <v>Jun</v>
      </c>
      <c r="T101" s="4" t="str">
        <f>TEXT(Table1567[[#This Row],[Date]],"DDD")</f>
        <v>Fri</v>
      </c>
    </row>
    <row r="102" spans="1:20" ht="29" x14ac:dyDescent="0.35">
      <c r="A102" s="4">
        <v>101</v>
      </c>
      <c r="B102" s="5">
        <v>44955</v>
      </c>
      <c r="C102" s="4" t="s">
        <v>114</v>
      </c>
      <c r="D102" s="4" t="s">
        <v>10</v>
      </c>
      <c r="E102" s="4">
        <v>32</v>
      </c>
      <c r="F102" s="4" t="str">
        <f>IF(Table1567[[#This Row],[Age]]&lt;=19,"Teenager",IF(Table1567[[#This Row],[Age]]&lt;=40,"Median","Old"))</f>
        <v>Median</v>
      </c>
      <c r="G102" s="4" t="s">
        <v>14</v>
      </c>
      <c r="H102" s="4">
        <v>2</v>
      </c>
      <c r="I102" s="4">
        <v>300</v>
      </c>
      <c r="J102" s="4">
        <v>600</v>
      </c>
      <c r="K102" s="4" t="str" cm="1">
        <f t="array" ref="K102">_xlfn.IFS(AND(Table1567[[#This Row],[Total Amount]]&gt;=1500),"Critical",AND(Table1567[[#This Row],[Total Amount]]&gt;=1000),"High",TRUE,"Normal")</f>
        <v>Normal</v>
      </c>
      <c r="L102" s="4" t="str">
        <f>IF(Table1567[[#This Row],[Total Amount]]&gt;=1000,"High",(IF(Table1567[[#This Row],[Total Amount]]&gt;=500,"Medium","Low")))</f>
        <v>Medium</v>
      </c>
      <c r="M102" s="4" t="str" cm="1">
        <f t="array" ref="M10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02" s="4" cm="1">
        <f t="array" ref="N10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102" s="4">
        <f>Table1567[[#This Row],[Total Amount]]-Table1567[[#This Row],[Discount Amount]]</f>
        <v>510</v>
      </c>
      <c r="P102" s="4" t="str">
        <f>IF(Table1567[[#This Row],[Total Amount]]&gt;=1000,"High","Low")</f>
        <v>Low</v>
      </c>
      <c r="Q102" s="4" t="str" cm="1">
        <f t="array" ref="Q102">_xlfn.IFS(AND(Table1567[[#This Row],[Total Amount]]&gt;=1500,"Critical"),AND(Table1567[[#This Row],[Total Amount]]&gt;=1000,"High"),TRUE,"Normal")</f>
        <v>Normal</v>
      </c>
      <c r="R102" s="4" t="str">
        <f>CONCATENATE(Table1567[[#This Row],[Customer ID]], "-",Table1567[[#This Row],[Age]])</f>
        <v>CUST101-32</v>
      </c>
      <c r="S102" s="4" t="str">
        <f>TEXT(Table1567[[#This Row],[Date]],"mmm")</f>
        <v>Jan</v>
      </c>
      <c r="T102" s="4" t="str">
        <f>TEXT(Table1567[[#This Row],[Date]],"DDD")</f>
        <v>Sun</v>
      </c>
    </row>
    <row r="103" spans="1:20" ht="29" x14ac:dyDescent="0.35">
      <c r="A103" s="4">
        <v>102</v>
      </c>
      <c r="B103" s="5">
        <v>45044</v>
      </c>
      <c r="C103" s="4" t="s">
        <v>115</v>
      </c>
      <c r="D103" s="4" t="s">
        <v>13</v>
      </c>
      <c r="E103" s="4">
        <v>47</v>
      </c>
      <c r="F103" s="4" t="str">
        <f>IF(Table1567[[#This Row],[Age]]&lt;=19,"Teenager",IF(Table1567[[#This Row],[Age]]&lt;=40,"Median","Old"))</f>
        <v>Old</v>
      </c>
      <c r="G103" s="4" t="s">
        <v>11</v>
      </c>
      <c r="H103" s="4">
        <v>2</v>
      </c>
      <c r="I103" s="4">
        <v>25</v>
      </c>
      <c r="J103" s="4">
        <v>50</v>
      </c>
      <c r="K103" s="4" t="str" cm="1">
        <f t="array" ref="K103">_xlfn.IFS(AND(Table1567[[#This Row],[Total Amount]]&gt;=1500),"Critical",AND(Table1567[[#This Row],[Total Amount]]&gt;=1000),"High",TRUE,"Normal")</f>
        <v>Normal</v>
      </c>
      <c r="L103" s="4" t="str">
        <f>IF(Table1567[[#This Row],[Total Amount]]&gt;=1000,"High",(IF(Table1567[[#This Row],[Total Amount]]&gt;=500,"Medium","Low")))</f>
        <v>Low</v>
      </c>
      <c r="M103" s="4" t="str" cm="1">
        <f t="array" ref="M10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03" s="4" cm="1">
        <f t="array" ref="N10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103" s="4">
        <f>Table1567[[#This Row],[Total Amount]]-Table1567[[#This Row],[Discount Amount]]</f>
        <v>40</v>
      </c>
      <c r="P103" s="4" t="str">
        <f>IF(Table1567[[#This Row],[Total Amount]]&gt;=1000,"High","Low")</f>
        <v>Low</v>
      </c>
      <c r="Q103" s="4" t="str" cm="1">
        <f t="array" ref="Q103">_xlfn.IFS(AND(Table1567[[#This Row],[Total Amount]]&gt;=1500,"Critical"),AND(Table1567[[#This Row],[Total Amount]]&gt;=1000,"High"),TRUE,"Normal")</f>
        <v>Normal</v>
      </c>
      <c r="R103" s="4" t="str">
        <f>CONCATENATE(Table1567[[#This Row],[Customer ID]], "-",Table1567[[#This Row],[Age]])</f>
        <v>CUST102-47</v>
      </c>
      <c r="S103" s="4" t="str">
        <f>TEXT(Table1567[[#This Row],[Date]],"mmm")</f>
        <v>Apr</v>
      </c>
      <c r="T103" s="4" t="str">
        <f>TEXT(Table1567[[#This Row],[Date]],"DDD")</f>
        <v>Fri</v>
      </c>
    </row>
    <row r="104" spans="1:20" ht="29" x14ac:dyDescent="0.35">
      <c r="A104" s="4">
        <v>103</v>
      </c>
      <c r="B104" s="5">
        <v>44943</v>
      </c>
      <c r="C104" s="4" t="s">
        <v>116</v>
      </c>
      <c r="D104" s="4" t="s">
        <v>13</v>
      </c>
      <c r="E104" s="4">
        <v>59</v>
      </c>
      <c r="F104" s="4" t="str">
        <f>IF(Table1567[[#This Row],[Age]]&lt;=19,"Teenager",IF(Table1567[[#This Row],[Age]]&lt;=40,"Median","Old"))</f>
        <v>Old</v>
      </c>
      <c r="G104" s="4" t="s">
        <v>14</v>
      </c>
      <c r="H104" s="4">
        <v>1</v>
      </c>
      <c r="I104" s="4">
        <v>25</v>
      </c>
      <c r="J104" s="4">
        <v>25</v>
      </c>
      <c r="K104" s="4" t="str" cm="1">
        <f t="array" ref="K104">_xlfn.IFS(AND(Table1567[[#This Row],[Total Amount]]&gt;=1500),"Critical",AND(Table1567[[#This Row],[Total Amount]]&gt;=1000),"High",TRUE,"Normal")</f>
        <v>Normal</v>
      </c>
      <c r="L104" s="4" t="str">
        <f>IF(Table1567[[#This Row],[Total Amount]]&gt;=1000,"High",(IF(Table1567[[#This Row],[Total Amount]]&gt;=500,"Medium","Low")))</f>
        <v>Low</v>
      </c>
      <c r="M104" s="4" t="str" cm="1">
        <f t="array" ref="M10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04" s="4" cm="1">
        <f t="array" ref="N10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104" s="4">
        <f>Table1567[[#This Row],[Total Amount]]-Table1567[[#This Row],[Discount Amount]]</f>
        <v>20</v>
      </c>
      <c r="P104" s="4" t="str">
        <f>IF(Table1567[[#This Row],[Total Amount]]&gt;=1000,"High","Low")</f>
        <v>Low</v>
      </c>
      <c r="Q104" s="4" t="str" cm="1">
        <f t="array" ref="Q104">_xlfn.IFS(AND(Table1567[[#This Row],[Total Amount]]&gt;=1500,"Critical"),AND(Table1567[[#This Row],[Total Amount]]&gt;=1000,"High"),TRUE,"Normal")</f>
        <v>Normal</v>
      </c>
      <c r="R104" s="4" t="str">
        <f>CONCATENATE(Table1567[[#This Row],[Customer ID]], "-",Table1567[[#This Row],[Age]])</f>
        <v>CUST103-59</v>
      </c>
      <c r="S104" s="4" t="str">
        <f>TEXT(Table1567[[#This Row],[Date]],"mmm")</f>
        <v>Jan</v>
      </c>
      <c r="T104" s="4" t="str">
        <f>TEXT(Table1567[[#This Row],[Date]],"DDD")</f>
        <v>Tue</v>
      </c>
    </row>
    <row r="105" spans="1:20" ht="29" x14ac:dyDescent="0.35">
      <c r="A105" s="4">
        <v>104</v>
      </c>
      <c r="B105" s="5">
        <v>45088</v>
      </c>
      <c r="C105" s="4" t="s">
        <v>117</v>
      </c>
      <c r="D105" s="4" t="s">
        <v>13</v>
      </c>
      <c r="E105" s="4">
        <v>34</v>
      </c>
      <c r="F105" s="4" t="str">
        <f>IF(Table1567[[#This Row],[Age]]&lt;=19,"Teenager",IF(Table1567[[#This Row],[Age]]&lt;=40,"Median","Old"))</f>
        <v>Median</v>
      </c>
      <c r="G105" s="4" t="s">
        <v>11</v>
      </c>
      <c r="H105" s="4">
        <v>2</v>
      </c>
      <c r="I105" s="4">
        <v>500</v>
      </c>
      <c r="J105" s="4">
        <v>1000</v>
      </c>
      <c r="K105" s="4" t="str" cm="1">
        <f t="array" ref="K105">_xlfn.IFS(AND(Table1567[[#This Row],[Total Amount]]&gt;=1500),"Critical",AND(Table1567[[#This Row],[Total Amount]]&gt;=1000),"High",TRUE,"Normal")</f>
        <v>High</v>
      </c>
      <c r="L105" s="4" t="str">
        <f>IF(Table1567[[#This Row],[Total Amount]]&gt;=1000,"High",(IF(Table1567[[#This Row],[Total Amount]]&gt;=500,"Medium","Low")))</f>
        <v>High</v>
      </c>
      <c r="M105" s="4" t="str" cm="1">
        <f t="array" ref="M10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05" s="4" cm="1">
        <f t="array" ref="N10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105" s="4">
        <f>Table1567[[#This Row],[Total Amount]]-Table1567[[#This Row],[Discount Amount]]</f>
        <v>850</v>
      </c>
      <c r="P105" s="4" t="str">
        <f>IF(Table1567[[#This Row],[Total Amount]]&gt;=1000,"High","Low")</f>
        <v>High</v>
      </c>
      <c r="Q105" s="4" t="str" cm="1">
        <f t="array" ref="Q105">_xlfn.IFS(AND(Table1567[[#This Row],[Total Amount]]&gt;=1500,"Critical"),AND(Table1567[[#This Row],[Total Amount]]&gt;=1000,"High"),TRUE,"Normal")</f>
        <v>Normal</v>
      </c>
      <c r="R105" s="4" t="str">
        <f>CONCATENATE(Table1567[[#This Row],[Customer ID]], "-",Table1567[[#This Row],[Age]])</f>
        <v>CUST104-34</v>
      </c>
      <c r="S105" s="4" t="str">
        <f>TEXT(Table1567[[#This Row],[Date]],"mmm")</f>
        <v>Jun</v>
      </c>
      <c r="T105" s="4" t="str">
        <f>TEXT(Table1567[[#This Row],[Date]],"DDD")</f>
        <v>Sun</v>
      </c>
    </row>
    <row r="106" spans="1:20" ht="29" x14ac:dyDescent="0.35">
      <c r="A106" s="4">
        <v>105</v>
      </c>
      <c r="B106" s="5">
        <v>45132</v>
      </c>
      <c r="C106" s="4" t="s">
        <v>118</v>
      </c>
      <c r="D106" s="4" t="s">
        <v>13</v>
      </c>
      <c r="E106" s="4">
        <v>22</v>
      </c>
      <c r="F106" s="4" t="str">
        <f>IF(Table1567[[#This Row],[Age]]&lt;=19,"Teenager",IF(Table1567[[#This Row],[Age]]&lt;=40,"Median","Old"))</f>
        <v>Median</v>
      </c>
      <c r="G106" s="4" t="s">
        <v>16</v>
      </c>
      <c r="H106" s="4">
        <v>1</v>
      </c>
      <c r="I106" s="4">
        <v>500</v>
      </c>
      <c r="J106" s="4">
        <v>500</v>
      </c>
      <c r="K106" s="4" t="str" cm="1">
        <f t="array" ref="K106">_xlfn.IFS(AND(Table1567[[#This Row],[Total Amount]]&gt;=1500),"Critical",AND(Table1567[[#This Row],[Total Amount]]&gt;=1000),"High",TRUE,"Normal")</f>
        <v>Normal</v>
      </c>
      <c r="L106" s="4" t="str">
        <f>IF(Table1567[[#This Row],[Total Amount]]&gt;=1000,"High",(IF(Table1567[[#This Row],[Total Amount]]&gt;=500,"Medium","Low")))</f>
        <v>Medium</v>
      </c>
      <c r="M106" s="4" t="str" cm="1">
        <f t="array" ref="M10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06" s="4" cm="1">
        <f t="array" ref="N10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06" s="4">
        <f>Table1567[[#This Row],[Total Amount]]-Table1567[[#This Row],[Discount Amount]]</f>
        <v>500</v>
      </c>
      <c r="P106" s="4" t="str">
        <f>IF(Table1567[[#This Row],[Total Amount]]&gt;=1000,"High","Low")</f>
        <v>Low</v>
      </c>
      <c r="Q106" s="4" t="str" cm="1">
        <f t="array" ref="Q106">_xlfn.IFS(AND(Table1567[[#This Row],[Total Amount]]&gt;=1500,"Critical"),AND(Table1567[[#This Row],[Total Amount]]&gt;=1000,"High"),TRUE,"Normal")</f>
        <v>Normal</v>
      </c>
      <c r="R106" s="4" t="str">
        <f>CONCATENATE(Table1567[[#This Row],[Customer ID]], "-",Table1567[[#This Row],[Age]])</f>
        <v>CUST105-22</v>
      </c>
      <c r="S106" s="4" t="str">
        <f>TEXT(Table1567[[#This Row],[Date]],"mmm")</f>
        <v>Jul</v>
      </c>
      <c r="T106" s="4" t="str">
        <f>TEXT(Table1567[[#This Row],[Date]],"DDD")</f>
        <v>Tue</v>
      </c>
    </row>
    <row r="107" spans="1:20" ht="29" x14ac:dyDescent="0.35">
      <c r="A107" s="4">
        <v>106</v>
      </c>
      <c r="B107" s="5">
        <v>45064</v>
      </c>
      <c r="C107" s="4" t="s">
        <v>119</v>
      </c>
      <c r="D107" s="4" t="s">
        <v>13</v>
      </c>
      <c r="E107" s="4">
        <v>46</v>
      </c>
      <c r="F107" s="4" t="str">
        <f>IF(Table1567[[#This Row],[Age]]&lt;=19,"Teenager",IF(Table1567[[#This Row],[Age]]&lt;=40,"Median","Old"))</f>
        <v>Old</v>
      </c>
      <c r="G107" s="4" t="s">
        <v>14</v>
      </c>
      <c r="H107" s="4">
        <v>1</v>
      </c>
      <c r="I107" s="4">
        <v>50</v>
      </c>
      <c r="J107" s="4">
        <v>50</v>
      </c>
      <c r="K107" s="4" t="str" cm="1">
        <f t="array" ref="K107">_xlfn.IFS(AND(Table1567[[#This Row],[Total Amount]]&gt;=1500),"Critical",AND(Table1567[[#This Row],[Total Amount]]&gt;=1000),"High",TRUE,"Normal")</f>
        <v>Normal</v>
      </c>
      <c r="L107" s="4" t="str">
        <f>IF(Table1567[[#This Row],[Total Amount]]&gt;=1000,"High",(IF(Table1567[[#This Row],[Total Amount]]&gt;=500,"Medium","Low")))</f>
        <v>Low</v>
      </c>
      <c r="M107" s="4" t="str" cm="1">
        <f t="array" ref="M10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07" s="4" cm="1">
        <f t="array" ref="N10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107" s="4">
        <f>Table1567[[#This Row],[Total Amount]]-Table1567[[#This Row],[Discount Amount]]</f>
        <v>40</v>
      </c>
      <c r="P107" s="4" t="str">
        <f>IF(Table1567[[#This Row],[Total Amount]]&gt;=1000,"High","Low")</f>
        <v>Low</v>
      </c>
      <c r="Q107" s="4" t="str" cm="1">
        <f t="array" ref="Q107">_xlfn.IFS(AND(Table1567[[#This Row],[Total Amount]]&gt;=1500,"Critical"),AND(Table1567[[#This Row],[Total Amount]]&gt;=1000,"High"),TRUE,"Normal")</f>
        <v>Normal</v>
      </c>
      <c r="R107" s="4" t="str">
        <f>CONCATENATE(Table1567[[#This Row],[Customer ID]], "-",Table1567[[#This Row],[Age]])</f>
        <v>CUST106-46</v>
      </c>
      <c r="S107" s="4" t="str">
        <f>TEXT(Table1567[[#This Row],[Date]],"mmm")</f>
        <v>May</v>
      </c>
      <c r="T107" s="4" t="str">
        <f>TEXT(Table1567[[#This Row],[Date]],"DDD")</f>
        <v>Thu</v>
      </c>
    </row>
    <row r="108" spans="1:20" ht="29" x14ac:dyDescent="0.35">
      <c r="A108" s="4">
        <v>107</v>
      </c>
      <c r="B108" s="5">
        <v>44960</v>
      </c>
      <c r="C108" s="4" t="s">
        <v>120</v>
      </c>
      <c r="D108" s="4" t="s">
        <v>13</v>
      </c>
      <c r="E108" s="4">
        <v>21</v>
      </c>
      <c r="F108" s="4" t="str">
        <f>IF(Table1567[[#This Row],[Age]]&lt;=19,"Teenager",IF(Table1567[[#This Row],[Age]]&lt;=40,"Median","Old"))</f>
        <v>Median</v>
      </c>
      <c r="G108" s="4" t="s">
        <v>14</v>
      </c>
      <c r="H108" s="4">
        <v>4</v>
      </c>
      <c r="I108" s="4">
        <v>300</v>
      </c>
      <c r="J108" s="4">
        <v>1200</v>
      </c>
      <c r="K108" s="4" t="str" cm="1">
        <f t="array" ref="K108">_xlfn.IFS(AND(Table1567[[#This Row],[Total Amount]]&gt;=1500),"Critical",AND(Table1567[[#This Row],[Total Amount]]&gt;=1000),"High",TRUE,"Normal")</f>
        <v>High</v>
      </c>
      <c r="L108" s="4" t="str">
        <f>IF(Table1567[[#This Row],[Total Amount]]&gt;=1000,"High",(IF(Table1567[[#This Row],[Total Amount]]&gt;=500,"Medium","Low")))</f>
        <v>High</v>
      </c>
      <c r="M108" s="4" t="str" cm="1">
        <f t="array" ref="M10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08" s="4" cm="1">
        <f t="array" ref="N10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08" s="4">
        <f>Table1567[[#This Row],[Total Amount]]-Table1567[[#This Row],[Discount Amount]]</f>
        <v>1200</v>
      </c>
      <c r="P108" s="4" t="str">
        <f>IF(Table1567[[#This Row],[Total Amount]]&gt;=1000,"High","Low")</f>
        <v>High</v>
      </c>
      <c r="Q108" s="4" t="str" cm="1">
        <f t="array" ref="Q108">_xlfn.IFS(AND(Table1567[[#This Row],[Total Amount]]&gt;=1500,"Critical"),AND(Table1567[[#This Row],[Total Amount]]&gt;=1000,"High"),TRUE,"Normal")</f>
        <v>Normal</v>
      </c>
      <c r="R108" s="4" t="str">
        <f>CONCATENATE(Table1567[[#This Row],[Customer ID]], "-",Table1567[[#This Row],[Age]])</f>
        <v>CUST107-21</v>
      </c>
      <c r="S108" s="4" t="str">
        <f>TEXT(Table1567[[#This Row],[Date]],"mmm")</f>
        <v>Feb</v>
      </c>
      <c r="T108" s="4" t="str">
        <f>TEXT(Table1567[[#This Row],[Date]],"DDD")</f>
        <v>Fri</v>
      </c>
    </row>
    <row r="109" spans="1:20" ht="29" x14ac:dyDescent="0.35">
      <c r="A109" s="4">
        <v>108</v>
      </c>
      <c r="B109" s="5">
        <v>45035</v>
      </c>
      <c r="C109" s="4" t="s">
        <v>121</v>
      </c>
      <c r="D109" s="4" t="s">
        <v>13</v>
      </c>
      <c r="E109" s="4">
        <v>27</v>
      </c>
      <c r="F109" s="4" t="str">
        <f>IF(Table1567[[#This Row],[Age]]&lt;=19,"Teenager",IF(Table1567[[#This Row],[Age]]&lt;=40,"Median","Old"))</f>
        <v>Median</v>
      </c>
      <c r="G109" s="4" t="s">
        <v>11</v>
      </c>
      <c r="H109" s="4">
        <v>3</v>
      </c>
      <c r="I109" s="4">
        <v>25</v>
      </c>
      <c r="J109" s="4">
        <v>75</v>
      </c>
      <c r="K109" s="4" t="str" cm="1">
        <f t="array" ref="K109">_xlfn.IFS(AND(Table1567[[#This Row],[Total Amount]]&gt;=1500),"Critical",AND(Table1567[[#This Row],[Total Amount]]&gt;=1000),"High",TRUE,"Normal")</f>
        <v>Normal</v>
      </c>
      <c r="L109" s="4" t="str">
        <f>IF(Table1567[[#This Row],[Total Amount]]&gt;=1000,"High",(IF(Table1567[[#This Row],[Total Amount]]&gt;=500,"Medium","Low")))</f>
        <v>Low</v>
      </c>
      <c r="M109" s="4" t="str" cm="1">
        <f t="array" ref="M10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09" s="4" cm="1">
        <f t="array" ref="N10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11.25</v>
      </c>
      <c r="O109" s="4">
        <f>Table1567[[#This Row],[Total Amount]]-Table1567[[#This Row],[Discount Amount]]</f>
        <v>63.75</v>
      </c>
      <c r="P109" s="4" t="str">
        <f>IF(Table1567[[#This Row],[Total Amount]]&gt;=1000,"High","Low")</f>
        <v>Low</v>
      </c>
      <c r="Q109" s="4" t="str" cm="1">
        <f t="array" ref="Q109">_xlfn.IFS(AND(Table1567[[#This Row],[Total Amount]]&gt;=1500,"Critical"),AND(Table1567[[#This Row],[Total Amount]]&gt;=1000,"High"),TRUE,"Normal")</f>
        <v>Normal</v>
      </c>
      <c r="R109" s="4" t="str">
        <f>CONCATENATE(Table1567[[#This Row],[Customer ID]], "-",Table1567[[#This Row],[Age]])</f>
        <v>CUST108-27</v>
      </c>
      <c r="S109" s="4" t="str">
        <f>TEXT(Table1567[[#This Row],[Date]],"mmm")</f>
        <v>Apr</v>
      </c>
      <c r="T109" s="4" t="str">
        <f>TEXT(Table1567[[#This Row],[Date]],"DDD")</f>
        <v>Wed</v>
      </c>
    </row>
    <row r="110" spans="1:20" ht="29" x14ac:dyDescent="0.35">
      <c r="A110" s="4">
        <v>109</v>
      </c>
      <c r="B110" s="5">
        <v>45217</v>
      </c>
      <c r="C110" s="4" t="s">
        <v>122</v>
      </c>
      <c r="D110" s="4" t="s">
        <v>13</v>
      </c>
      <c r="E110" s="4">
        <v>34</v>
      </c>
      <c r="F110" s="4" t="str">
        <f>IF(Table1567[[#This Row],[Age]]&lt;=19,"Teenager",IF(Table1567[[#This Row],[Age]]&lt;=40,"Median","Old"))</f>
        <v>Median</v>
      </c>
      <c r="G110" s="4" t="s">
        <v>16</v>
      </c>
      <c r="H110" s="4">
        <v>4</v>
      </c>
      <c r="I110" s="4">
        <v>500</v>
      </c>
      <c r="J110" s="4">
        <v>2000</v>
      </c>
      <c r="K110" s="4" t="str" cm="1">
        <f t="array" ref="K110">_xlfn.IFS(AND(Table1567[[#This Row],[Total Amount]]&gt;=1500),"Critical",AND(Table1567[[#This Row],[Total Amount]]&gt;=1000),"High",TRUE,"Normal")</f>
        <v>Critical</v>
      </c>
      <c r="L110" s="4" t="str">
        <f>IF(Table1567[[#This Row],[Total Amount]]&gt;=1000,"High",(IF(Table1567[[#This Row],[Total Amount]]&gt;=500,"Medium","Low")))</f>
        <v>High</v>
      </c>
      <c r="M110" s="4" t="str" cm="1">
        <f t="array" ref="M11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10" s="4" cm="1">
        <f t="array" ref="N11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110" s="4">
        <f>Table1567[[#This Row],[Total Amount]]-Table1567[[#This Row],[Discount Amount]]</f>
        <v>1700</v>
      </c>
      <c r="P110" s="4" t="str">
        <f>IF(Table1567[[#This Row],[Total Amount]]&gt;=1000,"High","Low")</f>
        <v>High</v>
      </c>
      <c r="Q110" s="4" t="b" cm="1">
        <f t="array" ref="Q110">_xlfn.IFS(AND(Table1567[[#This Row],[Total Amount]]&gt;=1500,"Critical"),AND(Table1567[[#This Row],[Total Amount]]&gt;=1000,"High"),TRUE,"Normal")</f>
        <v>1</v>
      </c>
      <c r="R110" s="4" t="str">
        <f>CONCATENATE(Table1567[[#This Row],[Customer ID]], "-",Table1567[[#This Row],[Age]])</f>
        <v>CUST109-34</v>
      </c>
      <c r="S110" s="4" t="str">
        <f>TEXT(Table1567[[#This Row],[Date]],"mmm")</f>
        <v>Oct</v>
      </c>
      <c r="T110" s="4" t="str">
        <f>TEXT(Table1567[[#This Row],[Date]],"DDD")</f>
        <v>Wed</v>
      </c>
    </row>
    <row r="111" spans="1:20" ht="29" x14ac:dyDescent="0.35">
      <c r="A111" s="4">
        <v>110</v>
      </c>
      <c r="B111" s="5">
        <v>45088</v>
      </c>
      <c r="C111" s="4" t="s">
        <v>123</v>
      </c>
      <c r="D111" s="4" t="s">
        <v>10</v>
      </c>
      <c r="E111" s="4">
        <v>27</v>
      </c>
      <c r="F111" s="4" t="str">
        <f>IF(Table1567[[#This Row],[Age]]&lt;=19,"Teenager",IF(Table1567[[#This Row],[Age]]&lt;=40,"Median","Old"))</f>
        <v>Median</v>
      </c>
      <c r="G111" s="4" t="s">
        <v>14</v>
      </c>
      <c r="H111" s="4">
        <v>3</v>
      </c>
      <c r="I111" s="4">
        <v>300</v>
      </c>
      <c r="J111" s="4">
        <v>900</v>
      </c>
      <c r="K111" s="4" t="str" cm="1">
        <f t="array" ref="K111">_xlfn.IFS(AND(Table1567[[#This Row],[Total Amount]]&gt;=1500),"Critical",AND(Table1567[[#This Row],[Total Amount]]&gt;=1000),"High",TRUE,"Normal")</f>
        <v>Normal</v>
      </c>
      <c r="L111" s="4" t="str">
        <f>IF(Table1567[[#This Row],[Total Amount]]&gt;=1000,"High",(IF(Table1567[[#This Row],[Total Amount]]&gt;=500,"Medium","Low")))</f>
        <v>Medium</v>
      </c>
      <c r="M111" s="4" t="str" cm="1">
        <f t="array" ref="M11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11" s="4" cm="1">
        <f t="array" ref="N11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135</v>
      </c>
      <c r="O111" s="4">
        <f>Table1567[[#This Row],[Total Amount]]-Table1567[[#This Row],[Discount Amount]]</f>
        <v>765</v>
      </c>
      <c r="P111" s="4" t="str">
        <f>IF(Table1567[[#This Row],[Total Amount]]&gt;=1000,"High","Low")</f>
        <v>Low</v>
      </c>
      <c r="Q111" s="4" t="str" cm="1">
        <f t="array" ref="Q111">_xlfn.IFS(AND(Table1567[[#This Row],[Total Amount]]&gt;=1500,"Critical"),AND(Table1567[[#This Row],[Total Amount]]&gt;=1000,"High"),TRUE,"Normal")</f>
        <v>Normal</v>
      </c>
      <c r="R111" s="4" t="str">
        <f>CONCATENATE(Table1567[[#This Row],[Customer ID]], "-",Table1567[[#This Row],[Age]])</f>
        <v>CUST110-27</v>
      </c>
      <c r="S111" s="4" t="str">
        <f>TEXT(Table1567[[#This Row],[Date]],"mmm")</f>
        <v>Jun</v>
      </c>
      <c r="T111" s="4" t="str">
        <f>TEXT(Table1567[[#This Row],[Date]],"DDD")</f>
        <v>Sun</v>
      </c>
    </row>
    <row r="112" spans="1:20" ht="29" x14ac:dyDescent="0.35">
      <c r="A112" s="4">
        <v>111</v>
      </c>
      <c r="B112" s="5">
        <v>45035</v>
      </c>
      <c r="C112" s="4" t="s">
        <v>124</v>
      </c>
      <c r="D112" s="4" t="s">
        <v>13</v>
      </c>
      <c r="E112" s="4">
        <v>34</v>
      </c>
      <c r="F112" s="4" t="str">
        <f>IF(Table1567[[#This Row],[Age]]&lt;=19,"Teenager",IF(Table1567[[#This Row],[Age]]&lt;=40,"Median","Old"))</f>
        <v>Median</v>
      </c>
      <c r="G112" s="4" t="s">
        <v>16</v>
      </c>
      <c r="H112" s="4">
        <v>3</v>
      </c>
      <c r="I112" s="4">
        <v>500</v>
      </c>
      <c r="J112" s="4">
        <v>1500</v>
      </c>
      <c r="K112" s="4" t="str" cm="1">
        <f t="array" ref="K112">_xlfn.IFS(AND(Table1567[[#This Row],[Total Amount]]&gt;=1500),"Critical",AND(Table1567[[#This Row],[Total Amount]]&gt;=1000),"High",TRUE,"Normal")</f>
        <v>Critical</v>
      </c>
      <c r="L112" s="4" t="str">
        <f>IF(Table1567[[#This Row],[Total Amount]]&gt;=1000,"High",(IF(Table1567[[#This Row],[Total Amount]]&gt;=500,"Medium","Low")))</f>
        <v>High</v>
      </c>
      <c r="M112" s="4" t="str" cm="1">
        <f t="array" ref="M11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12" s="4" cm="1">
        <f t="array" ref="N11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225</v>
      </c>
      <c r="O112" s="4">
        <f>Table1567[[#This Row],[Total Amount]]-Table1567[[#This Row],[Discount Amount]]</f>
        <v>1275</v>
      </c>
      <c r="P112" s="4" t="str">
        <f>IF(Table1567[[#This Row],[Total Amount]]&gt;=1000,"High","Low")</f>
        <v>High</v>
      </c>
      <c r="Q112" s="4" t="b" cm="1">
        <f t="array" ref="Q112">_xlfn.IFS(AND(Table1567[[#This Row],[Total Amount]]&gt;=1500,"Critical"),AND(Table1567[[#This Row],[Total Amount]]&gt;=1000,"High"),TRUE,"Normal")</f>
        <v>1</v>
      </c>
      <c r="R112" s="4" t="str">
        <f>CONCATENATE(Table1567[[#This Row],[Customer ID]], "-",Table1567[[#This Row],[Age]])</f>
        <v>CUST111-34</v>
      </c>
      <c r="S112" s="4" t="str">
        <f>TEXT(Table1567[[#This Row],[Date]],"mmm")</f>
        <v>Apr</v>
      </c>
      <c r="T112" s="4" t="str">
        <f>TEXT(Table1567[[#This Row],[Date]],"DDD")</f>
        <v>Wed</v>
      </c>
    </row>
    <row r="113" spans="1:20" ht="29" x14ac:dyDescent="0.35">
      <c r="A113" s="4">
        <v>112</v>
      </c>
      <c r="B113" s="5">
        <v>45262</v>
      </c>
      <c r="C113" s="4" t="s">
        <v>125</v>
      </c>
      <c r="D113" s="4" t="s">
        <v>10</v>
      </c>
      <c r="E113" s="4">
        <v>37</v>
      </c>
      <c r="F113" s="4" t="str">
        <f>IF(Table1567[[#This Row],[Age]]&lt;=19,"Teenager",IF(Table1567[[#This Row],[Age]]&lt;=40,"Median","Old"))</f>
        <v>Median</v>
      </c>
      <c r="G113" s="4" t="s">
        <v>14</v>
      </c>
      <c r="H113" s="4">
        <v>3</v>
      </c>
      <c r="I113" s="4">
        <v>500</v>
      </c>
      <c r="J113" s="4">
        <v>1500</v>
      </c>
      <c r="K113" s="4" t="str" cm="1">
        <f t="array" ref="K113">_xlfn.IFS(AND(Table1567[[#This Row],[Total Amount]]&gt;=1500),"Critical",AND(Table1567[[#This Row],[Total Amount]]&gt;=1000),"High",TRUE,"Normal")</f>
        <v>Critical</v>
      </c>
      <c r="L113" s="4" t="str">
        <f>IF(Table1567[[#This Row],[Total Amount]]&gt;=1000,"High",(IF(Table1567[[#This Row],[Total Amount]]&gt;=500,"Medium","Low")))</f>
        <v>High</v>
      </c>
      <c r="M113" s="4" t="str" cm="1">
        <f t="array" ref="M11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13" s="4" cm="1">
        <f t="array" ref="N11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113" s="4">
        <f>Table1567[[#This Row],[Total Amount]]-Table1567[[#This Row],[Discount Amount]]</f>
        <v>1350</v>
      </c>
      <c r="P113" s="4" t="str">
        <f>IF(Table1567[[#This Row],[Total Amount]]&gt;=1000,"High","Low")</f>
        <v>High</v>
      </c>
      <c r="Q113" s="4" t="b" cm="1">
        <f t="array" ref="Q113">_xlfn.IFS(AND(Table1567[[#This Row],[Total Amount]]&gt;=1500,"Critical"),AND(Table1567[[#This Row],[Total Amount]]&gt;=1000,"High"),TRUE,"Normal")</f>
        <v>1</v>
      </c>
      <c r="R113" s="4" t="str">
        <f>CONCATENATE(Table1567[[#This Row],[Customer ID]], "-",Table1567[[#This Row],[Age]])</f>
        <v>CUST112-37</v>
      </c>
      <c r="S113" s="4" t="str">
        <f>TEXT(Table1567[[#This Row],[Date]],"mmm")</f>
        <v>Dec</v>
      </c>
      <c r="T113" s="4" t="str">
        <f>TEXT(Table1567[[#This Row],[Date]],"DDD")</f>
        <v>Sat</v>
      </c>
    </row>
    <row r="114" spans="1:20" ht="29" x14ac:dyDescent="0.35">
      <c r="A114" s="4">
        <v>113</v>
      </c>
      <c r="B114" s="5">
        <v>45182</v>
      </c>
      <c r="C114" s="4" t="s">
        <v>126</v>
      </c>
      <c r="D114" s="4" t="s">
        <v>13</v>
      </c>
      <c r="E114" s="4">
        <v>41</v>
      </c>
      <c r="F114" s="4" t="str">
        <f>IF(Table1567[[#This Row],[Age]]&lt;=19,"Teenager",IF(Table1567[[#This Row],[Age]]&lt;=40,"Median","Old"))</f>
        <v>Old</v>
      </c>
      <c r="G114" s="4" t="s">
        <v>16</v>
      </c>
      <c r="H114" s="4">
        <v>2</v>
      </c>
      <c r="I114" s="4">
        <v>25</v>
      </c>
      <c r="J114" s="4">
        <v>50</v>
      </c>
      <c r="K114" s="4" t="str" cm="1">
        <f t="array" ref="K114">_xlfn.IFS(AND(Table1567[[#This Row],[Total Amount]]&gt;=1500),"Critical",AND(Table1567[[#This Row],[Total Amount]]&gt;=1000),"High",TRUE,"Normal")</f>
        <v>Normal</v>
      </c>
      <c r="L114" s="4" t="str">
        <f>IF(Table1567[[#This Row],[Total Amount]]&gt;=1000,"High",(IF(Table1567[[#This Row],[Total Amount]]&gt;=500,"Medium","Low")))</f>
        <v>Low</v>
      </c>
      <c r="M114" s="4" t="str" cm="1">
        <f t="array" ref="M11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14" s="4" cm="1">
        <f t="array" ref="N11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114" s="4">
        <f>Table1567[[#This Row],[Total Amount]]-Table1567[[#This Row],[Discount Amount]]</f>
        <v>40</v>
      </c>
      <c r="P114" s="4" t="str">
        <f>IF(Table1567[[#This Row],[Total Amount]]&gt;=1000,"High","Low")</f>
        <v>Low</v>
      </c>
      <c r="Q114" s="4" t="str" cm="1">
        <f t="array" ref="Q114">_xlfn.IFS(AND(Table1567[[#This Row],[Total Amount]]&gt;=1500,"Critical"),AND(Table1567[[#This Row],[Total Amount]]&gt;=1000,"High"),TRUE,"Normal")</f>
        <v>Normal</v>
      </c>
      <c r="R114" s="4" t="str">
        <f>CONCATENATE(Table1567[[#This Row],[Customer ID]], "-",Table1567[[#This Row],[Age]])</f>
        <v>CUST113-41</v>
      </c>
      <c r="S114" s="4" t="str">
        <f>TEXT(Table1567[[#This Row],[Date]],"mmm")</f>
        <v>Sep</v>
      </c>
      <c r="T114" s="4" t="str">
        <f>TEXT(Table1567[[#This Row],[Date]],"DDD")</f>
        <v>Wed</v>
      </c>
    </row>
    <row r="115" spans="1:20" ht="29" x14ac:dyDescent="0.35">
      <c r="A115" s="4">
        <v>114</v>
      </c>
      <c r="B115" s="5">
        <v>45129</v>
      </c>
      <c r="C115" s="4" t="s">
        <v>127</v>
      </c>
      <c r="D115" s="4" t="s">
        <v>13</v>
      </c>
      <c r="E115" s="4">
        <v>22</v>
      </c>
      <c r="F115" s="4" t="str">
        <f>IF(Table1567[[#This Row],[Age]]&lt;=19,"Teenager",IF(Table1567[[#This Row],[Age]]&lt;=40,"Median","Old"))</f>
        <v>Median</v>
      </c>
      <c r="G115" s="4" t="s">
        <v>11</v>
      </c>
      <c r="H115" s="4">
        <v>4</v>
      </c>
      <c r="I115" s="4">
        <v>25</v>
      </c>
      <c r="J115" s="4">
        <v>100</v>
      </c>
      <c r="K115" s="4" t="str" cm="1">
        <f t="array" ref="K115">_xlfn.IFS(AND(Table1567[[#This Row],[Total Amount]]&gt;=1500),"Critical",AND(Table1567[[#This Row],[Total Amount]]&gt;=1000),"High",TRUE,"Normal")</f>
        <v>Normal</v>
      </c>
      <c r="L115" s="4" t="str">
        <f>IF(Table1567[[#This Row],[Total Amount]]&gt;=1000,"High",(IF(Table1567[[#This Row],[Total Amount]]&gt;=500,"Medium","Low")))</f>
        <v>Low</v>
      </c>
      <c r="M115" s="4" t="str" cm="1">
        <f t="array" ref="M11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15" s="4" cm="1">
        <f t="array" ref="N11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15" s="4">
        <f>Table1567[[#This Row],[Total Amount]]-Table1567[[#This Row],[Discount Amount]]</f>
        <v>100</v>
      </c>
      <c r="P115" s="4" t="str">
        <f>IF(Table1567[[#This Row],[Total Amount]]&gt;=1000,"High","Low")</f>
        <v>Low</v>
      </c>
      <c r="Q115" s="4" t="str" cm="1">
        <f t="array" ref="Q115">_xlfn.IFS(AND(Table1567[[#This Row],[Total Amount]]&gt;=1500,"Critical"),AND(Table1567[[#This Row],[Total Amount]]&gt;=1000,"High"),TRUE,"Normal")</f>
        <v>Normal</v>
      </c>
      <c r="R115" s="4" t="str">
        <f>CONCATENATE(Table1567[[#This Row],[Customer ID]], "-",Table1567[[#This Row],[Age]])</f>
        <v>CUST114-22</v>
      </c>
      <c r="S115" s="4" t="str">
        <f>TEXT(Table1567[[#This Row],[Date]],"mmm")</f>
        <v>Jul</v>
      </c>
      <c r="T115" s="4" t="str">
        <f>TEXT(Table1567[[#This Row],[Date]],"DDD")</f>
        <v>Sat</v>
      </c>
    </row>
    <row r="116" spans="1:20" ht="29" x14ac:dyDescent="0.35">
      <c r="A116" s="4">
        <v>115</v>
      </c>
      <c r="B116" s="5">
        <v>45256</v>
      </c>
      <c r="C116" s="4" t="s">
        <v>128</v>
      </c>
      <c r="D116" s="4" t="s">
        <v>10</v>
      </c>
      <c r="E116" s="4">
        <v>51</v>
      </c>
      <c r="F116" s="4" t="str">
        <f>IF(Table1567[[#This Row],[Age]]&lt;=19,"Teenager",IF(Table1567[[#This Row],[Age]]&lt;=40,"Median","Old"))</f>
        <v>Old</v>
      </c>
      <c r="G116" s="4" t="s">
        <v>14</v>
      </c>
      <c r="H116" s="4">
        <v>3</v>
      </c>
      <c r="I116" s="4">
        <v>500</v>
      </c>
      <c r="J116" s="4">
        <v>1500</v>
      </c>
      <c r="K116" s="4" t="str" cm="1">
        <f t="array" ref="K116">_xlfn.IFS(AND(Table1567[[#This Row],[Total Amount]]&gt;=1500),"Critical",AND(Table1567[[#This Row],[Total Amount]]&gt;=1000),"High",TRUE,"Normal")</f>
        <v>Critical</v>
      </c>
      <c r="L116" s="4" t="str">
        <f>IF(Table1567[[#This Row],[Total Amount]]&gt;=1000,"High",(IF(Table1567[[#This Row],[Total Amount]]&gt;=500,"Medium","Low")))</f>
        <v>High</v>
      </c>
      <c r="M116" s="4" t="str" cm="1">
        <f t="array" ref="M11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16" s="4" cm="1">
        <f t="array" ref="N11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116" s="4">
        <f>Table1567[[#This Row],[Total Amount]]-Table1567[[#This Row],[Discount Amount]]</f>
        <v>1350</v>
      </c>
      <c r="P116" s="4" t="str">
        <f>IF(Table1567[[#This Row],[Total Amount]]&gt;=1000,"High","Low")</f>
        <v>High</v>
      </c>
      <c r="Q116" s="4" t="b" cm="1">
        <f t="array" ref="Q116">_xlfn.IFS(AND(Table1567[[#This Row],[Total Amount]]&gt;=1500,"Critical"),AND(Table1567[[#This Row],[Total Amount]]&gt;=1000,"High"),TRUE,"Normal")</f>
        <v>1</v>
      </c>
      <c r="R116" s="4" t="str">
        <f>CONCATENATE(Table1567[[#This Row],[Customer ID]], "-",Table1567[[#This Row],[Age]])</f>
        <v>CUST115-51</v>
      </c>
      <c r="S116" s="4" t="str">
        <f>TEXT(Table1567[[#This Row],[Date]],"mmm")</f>
        <v>Nov</v>
      </c>
      <c r="T116" s="4" t="str">
        <f>TEXT(Table1567[[#This Row],[Date]],"DDD")</f>
        <v>Sun</v>
      </c>
    </row>
    <row r="117" spans="1:20" ht="29" x14ac:dyDescent="0.35">
      <c r="A117" s="4">
        <v>116</v>
      </c>
      <c r="B117" s="5">
        <v>45161</v>
      </c>
      <c r="C117" s="4" t="s">
        <v>129</v>
      </c>
      <c r="D117" s="4" t="s">
        <v>13</v>
      </c>
      <c r="E117" s="4">
        <v>23</v>
      </c>
      <c r="F117" s="4" t="str">
        <f>IF(Table1567[[#This Row],[Age]]&lt;=19,"Teenager",IF(Table1567[[#This Row],[Age]]&lt;=40,"Median","Old"))</f>
        <v>Median</v>
      </c>
      <c r="G117" s="4" t="s">
        <v>14</v>
      </c>
      <c r="H117" s="4">
        <v>1</v>
      </c>
      <c r="I117" s="4">
        <v>30</v>
      </c>
      <c r="J117" s="4">
        <v>30</v>
      </c>
      <c r="K117" s="4" t="str" cm="1">
        <f t="array" ref="K117">_xlfn.IFS(AND(Table1567[[#This Row],[Total Amount]]&gt;=1500),"Critical",AND(Table1567[[#This Row],[Total Amount]]&gt;=1000),"High",TRUE,"Normal")</f>
        <v>Normal</v>
      </c>
      <c r="L117" s="4" t="str">
        <f>IF(Table1567[[#This Row],[Total Amount]]&gt;=1000,"High",(IF(Table1567[[#This Row],[Total Amount]]&gt;=500,"Medium","Low")))</f>
        <v>Low</v>
      </c>
      <c r="M117" s="4" t="str" cm="1">
        <f t="array" ref="M11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17" s="4" cm="1">
        <f t="array" ref="N11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17" s="4">
        <f>Table1567[[#This Row],[Total Amount]]-Table1567[[#This Row],[Discount Amount]]</f>
        <v>30</v>
      </c>
      <c r="P117" s="4" t="str">
        <f>IF(Table1567[[#This Row],[Total Amount]]&gt;=1000,"High","Low")</f>
        <v>Low</v>
      </c>
      <c r="Q117" s="4" t="str" cm="1">
        <f t="array" ref="Q117">_xlfn.IFS(AND(Table1567[[#This Row],[Total Amount]]&gt;=1500,"Critical"),AND(Table1567[[#This Row],[Total Amount]]&gt;=1000,"High"),TRUE,"Normal")</f>
        <v>Normal</v>
      </c>
      <c r="R117" s="4" t="str">
        <f>CONCATENATE(Table1567[[#This Row],[Customer ID]], "-",Table1567[[#This Row],[Age]])</f>
        <v>CUST116-23</v>
      </c>
      <c r="S117" s="4" t="str">
        <f>TEXT(Table1567[[#This Row],[Date]],"mmm")</f>
        <v>Aug</v>
      </c>
      <c r="T117" s="4" t="str">
        <f>TEXT(Table1567[[#This Row],[Date]],"DDD")</f>
        <v>Wed</v>
      </c>
    </row>
    <row r="118" spans="1:20" ht="29" x14ac:dyDescent="0.35">
      <c r="A118" s="4">
        <v>117</v>
      </c>
      <c r="B118" s="5">
        <v>45000</v>
      </c>
      <c r="C118" s="4" t="s">
        <v>130</v>
      </c>
      <c r="D118" s="4" t="s">
        <v>10</v>
      </c>
      <c r="E118" s="4">
        <v>19</v>
      </c>
      <c r="F118" s="4" t="str">
        <f>IF(Table1567[[#This Row],[Age]]&lt;=19,"Teenager",IF(Table1567[[#This Row],[Age]]&lt;=40,"Median","Old"))</f>
        <v>Teenager</v>
      </c>
      <c r="G118" s="4" t="s">
        <v>16</v>
      </c>
      <c r="H118" s="4">
        <v>2</v>
      </c>
      <c r="I118" s="4">
        <v>500</v>
      </c>
      <c r="J118" s="4">
        <v>1000</v>
      </c>
      <c r="K118" s="4" t="str" cm="1">
        <f t="array" ref="K118">_xlfn.IFS(AND(Table1567[[#This Row],[Total Amount]]&gt;=1500),"Critical",AND(Table1567[[#This Row],[Total Amount]]&gt;=1000),"High",TRUE,"Normal")</f>
        <v>High</v>
      </c>
      <c r="L118" s="4" t="str">
        <f>IF(Table1567[[#This Row],[Total Amount]]&gt;=1000,"High",(IF(Table1567[[#This Row],[Total Amount]]&gt;=500,"Medium","Low")))</f>
        <v>High</v>
      </c>
      <c r="M118" s="4" t="str" cm="1">
        <f t="array" ref="M11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18" s="4" cm="1">
        <f t="array" ref="N11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18" s="4">
        <f>Table1567[[#This Row],[Total Amount]]-Table1567[[#This Row],[Discount Amount]]</f>
        <v>1000</v>
      </c>
      <c r="P118" s="4" t="str">
        <f>IF(Table1567[[#This Row],[Total Amount]]&gt;=1000,"High","Low")</f>
        <v>High</v>
      </c>
      <c r="Q118" s="4" t="str" cm="1">
        <f t="array" ref="Q118">_xlfn.IFS(AND(Table1567[[#This Row],[Total Amount]]&gt;=1500,"Critical"),AND(Table1567[[#This Row],[Total Amount]]&gt;=1000,"High"),TRUE,"Normal")</f>
        <v>Normal</v>
      </c>
      <c r="R118" s="4" t="str">
        <f>CONCATENATE(Table1567[[#This Row],[Customer ID]], "-",Table1567[[#This Row],[Age]])</f>
        <v>CUST117-19</v>
      </c>
      <c r="S118" s="4" t="str">
        <f>TEXT(Table1567[[#This Row],[Date]],"mmm")</f>
        <v>Mar</v>
      </c>
      <c r="T118" s="4" t="str">
        <f>TEXT(Table1567[[#This Row],[Date]],"DDD")</f>
        <v>Wed</v>
      </c>
    </row>
    <row r="119" spans="1:20" ht="29" x14ac:dyDescent="0.35">
      <c r="A119" s="4">
        <v>118</v>
      </c>
      <c r="B119" s="5">
        <v>45062</v>
      </c>
      <c r="C119" s="4" t="s">
        <v>131</v>
      </c>
      <c r="D119" s="4" t="s">
        <v>13</v>
      </c>
      <c r="E119" s="4">
        <v>30</v>
      </c>
      <c r="F119" s="4" t="str">
        <f>IF(Table1567[[#This Row],[Age]]&lt;=19,"Teenager",IF(Table1567[[#This Row],[Age]]&lt;=40,"Median","Old"))</f>
        <v>Median</v>
      </c>
      <c r="G119" s="4" t="s">
        <v>16</v>
      </c>
      <c r="H119" s="4">
        <v>4</v>
      </c>
      <c r="I119" s="4">
        <v>500</v>
      </c>
      <c r="J119" s="4">
        <v>2000</v>
      </c>
      <c r="K119" s="4" t="str" cm="1">
        <f t="array" ref="K119">_xlfn.IFS(AND(Table1567[[#This Row],[Total Amount]]&gt;=1500),"Critical",AND(Table1567[[#This Row],[Total Amount]]&gt;=1000),"High",TRUE,"Normal")</f>
        <v>Critical</v>
      </c>
      <c r="L119" s="4" t="str">
        <f>IF(Table1567[[#This Row],[Total Amount]]&gt;=1000,"High",(IF(Table1567[[#This Row],[Total Amount]]&gt;=500,"Medium","Low")))</f>
        <v>High</v>
      </c>
      <c r="M119" s="4" t="str" cm="1">
        <f t="array" ref="M11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19" s="4" cm="1">
        <f t="array" ref="N11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119" s="4">
        <f>Table1567[[#This Row],[Total Amount]]-Table1567[[#This Row],[Discount Amount]]</f>
        <v>1700</v>
      </c>
      <c r="P119" s="4" t="str">
        <f>IF(Table1567[[#This Row],[Total Amount]]&gt;=1000,"High","Low")</f>
        <v>High</v>
      </c>
      <c r="Q119" s="4" t="b" cm="1">
        <f t="array" ref="Q119">_xlfn.IFS(AND(Table1567[[#This Row],[Total Amount]]&gt;=1500,"Critical"),AND(Table1567[[#This Row],[Total Amount]]&gt;=1000,"High"),TRUE,"Normal")</f>
        <v>1</v>
      </c>
      <c r="R119" s="4" t="str">
        <f>CONCATENATE(Table1567[[#This Row],[Customer ID]], "-",Table1567[[#This Row],[Age]])</f>
        <v>CUST118-30</v>
      </c>
      <c r="S119" s="4" t="str">
        <f>TEXT(Table1567[[#This Row],[Date]],"mmm")</f>
        <v>May</v>
      </c>
      <c r="T119" s="4" t="str">
        <f>TEXT(Table1567[[#This Row],[Date]],"DDD")</f>
        <v>Tue</v>
      </c>
    </row>
    <row r="120" spans="1:20" ht="29" x14ac:dyDescent="0.35">
      <c r="A120" s="4">
        <v>119</v>
      </c>
      <c r="B120" s="5">
        <v>44998</v>
      </c>
      <c r="C120" s="4" t="s">
        <v>132</v>
      </c>
      <c r="D120" s="4" t="s">
        <v>13</v>
      </c>
      <c r="E120" s="4">
        <v>60</v>
      </c>
      <c r="F120" s="4" t="str">
        <f>IF(Table1567[[#This Row],[Age]]&lt;=19,"Teenager",IF(Table1567[[#This Row],[Age]]&lt;=40,"Median","Old"))</f>
        <v>Old</v>
      </c>
      <c r="G120" s="4" t="s">
        <v>14</v>
      </c>
      <c r="H120" s="4">
        <v>3</v>
      </c>
      <c r="I120" s="4">
        <v>50</v>
      </c>
      <c r="J120" s="4">
        <v>150</v>
      </c>
      <c r="K120" s="4" t="str" cm="1">
        <f t="array" ref="K120">_xlfn.IFS(AND(Table1567[[#This Row],[Total Amount]]&gt;=1500),"Critical",AND(Table1567[[#This Row],[Total Amount]]&gt;=1000),"High",TRUE,"Normal")</f>
        <v>Normal</v>
      </c>
      <c r="L120" s="4" t="str">
        <f>IF(Table1567[[#This Row],[Total Amount]]&gt;=1000,"High",(IF(Table1567[[#This Row],[Total Amount]]&gt;=500,"Medium","Low")))</f>
        <v>Low</v>
      </c>
      <c r="M120" s="4" t="str" cm="1">
        <f t="array" ref="M12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20" s="4" cm="1">
        <f t="array" ref="N12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120" s="4">
        <f>Table1567[[#This Row],[Total Amount]]-Table1567[[#This Row],[Discount Amount]]</f>
        <v>120</v>
      </c>
      <c r="P120" s="4" t="str">
        <f>IF(Table1567[[#This Row],[Total Amount]]&gt;=1000,"High","Low")</f>
        <v>Low</v>
      </c>
      <c r="Q120" s="4" t="str" cm="1">
        <f t="array" ref="Q120">_xlfn.IFS(AND(Table1567[[#This Row],[Total Amount]]&gt;=1500,"Critical"),AND(Table1567[[#This Row],[Total Amount]]&gt;=1000,"High"),TRUE,"Normal")</f>
        <v>Normal</v>
      </c>
      <c r="R120" s="4" t="str">
        <f>CONCATENATE(Table1567[[#This Row],[Customer ID]], "-",Table1567[[#This Row],[Age]])</f>
        <v>CUST119-60</v>
      </c>
      <c r="S120" s="4" t="str">
        <f>TEXT(Table1567[[#This Row],[Date]],"mmm")</f>
        <v>Mar</v>
      </c>
      <c r="T120" s="4" t="str">
        <f>TEXT(Table1567[[#This Row],[Date]],"DDD")</f>
        <v>Mon</v>
      </c>
    </row>
    <row r="121" spans="1:20" ht="29" x14ac:dyDescent="0.35">
      <c r="A121" s="4">
        <v>120</v>
      </c>
      <c r="B121" s="5">
        <v>45053</v>
      </c>
      <c r="C121" s="4" t="s">
        <v>133</v>
      </c>
      <c r="D121" s="4" t="s">
        <v>10</v>
      </c>
      <c r="E121" s="4">
        <v>60</v>
      </c>
      <c r="F121" s="4" t="str">
        <f>IF(Table1567[[#This Row],[Age]]&lt;=19,"Teenager",IF(Table1567[[#This Row],[Age]]&lt;=40,"Median","Old"))</f>
        <v>Old</v>
      </c>
      <c r="G121" s="4" t="s">
        <v>11</v>
      </c>
      <c r="H121" s="4">
        <v>1</v>
      </c>
      <c r="I121" s="4">
        <v>50</v>
      </c>
      <c r="J121" s="4">
        <v>50</v>
      </c>
      <c r="K121" s="4" t="str" cm="1">
        <f t="array" ref="K121">_xlfn.IFS(AND(Table1567[[#This Row],[Total Amount]]&gt;=1500),"Critical",AND(Table1567[[#This Row],[Total Amount]]&gt;=1000),"High",TRUE,"Normal")</f>
        <v>Normal</v>
      </c>
      <c r="L121" s="4" t="str">
        <f>IF(Table1567[[#This Row],[Total Amount]]&gt;=1000,"High",(IF(Table1567[[#This Row],[Total Amount]]&gt;=500,"Medium","Low")))</f>
        <v>Low</v>
      </c>
      <c r="M121" s="4" t="str" cm="1">
        <f t="array" ref="M12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21" s="4" cm="1">
        <f t="array" ref="N12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121" s="4">
        <f>Table1567[[#This Row],[Total Amount]]-Table1567[[#This Row],[Discount Amount]]</f>
        <v>45</v>
      </c>
      <c r="P121" s="4" t="str">
        <f>IF(Table1567[[#This Row],[Total Amount]]&gt;=1000,"High","Low")</f>
        <v>Low</v>
      </c>
      <c r="Q121" s="4" t="str" cm="1">
        <f t="array" ref="Q121">_xlfn.IFS(AND(Table1567[[#This Row],[Total Amount]]&gt;=1500,"Critical"),AND(Table1567[[#This Row],[Total Amount]]&gt;=1000,"High"),TRUE,"Normal")</f>
        <v>Normal</v>
      </c>
      <c r="R121" s="4" t="str">
        <f>CONCATENATE(Table1567[[#This Row],[Customer ID]], "-",Table1567[[#This Row],[Age]])</f>
        <v>CUST120-60</v>
      </c>
      <c r="S121" s="4" t="str">
        <f>TEXT(Table1567[[#This Row],[Date]],"mmm")</f>
        <v>May</v>
      </c>
      <c r="T121" s="4" t="str">
        <f>TEXT(Table1567[[#This Row],[Date]],"DDD")</f>
        <v>Sun</v>
      </c>
    </row>
    <row r="122" spans="1:20" ht="29" x14ac:dyDescent="0.35">
      <c r="A122" s="4">
        <v>121</v>
      </c>
      <c r="B122" s="5">
        <v>45214</v>
      </c>
      <c r="C122" s="4" t="s">
        <v>134</v>
      </c>
      <c r="D122" s="4" t="s">
        <v>13</v>
      </c>
      <c r="E122" s="4">
        <v>28</v>
      </c>
      <c r="F122" s="4" t="str">
        <f>IF(Table1567[[#This Row],[Age]]&lt;=19,"Teenager",IF(Table1567[[#This Row],[Age]]&lt;=40,"Median","Old"))</f>
        <v>Median</v>
      </c>
      <c r="G122" s="4" t="s">
        <v>16</v>
      </c>
      <c r="H122" s="4">
        <v>4</v>
      </c>
      <c r="I122" s="4">
        <v>50</v>
      </c>
      <c r="J122" s="4">
        <v>200</v>
      </c>
      <c r="K122" s="4" t="str" cm="1">
        <f t="array" ref="K122">_xlfn.IFS(AND(Table1567[[#This Row],[Total Amount]]&gt;=1500),"Critical",AND(Table1567[[#This Row],[Total Amount]]&gt;=1000),"High",TRUE,"Normal")</f>
        <v>Normal</v>
      </c>
      <c r="L122" s="4" t="str">
        <f>IF(Table1567[[#This Row],[Total Amount]]&gt;=1000,"High",(IF(Table1567[[#This Row],[Total Amount]]&gt;=500,"Medium","Low")))</f>
        <v>Low</v>
      </c>
      <c r="M122" s="4" t="str" cm="1">
        <f t="array" ref="M12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22" s="4" cm="1">
        <f t="array" ref="N12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122" s="4">
        <f>Table1567[[#This Row],[Total Amount]]-Table1567[[#This Row],[Discount Amount]]</f>
        <v>170</v>
      </c>
      <c r="P122" s="4" t="str">
        <f>IF(Table1567[[#This Row],[Total Amount]]&gt;=1000,"High","Low")</f>
        <v>Low</v>
      </c>
      <c r="Q122" s="4" t="str" cm="1">
        <f t="array" ref="Q122">_xlfn.IFS(AND(Table1567[[#This Row],[Total Amount]]&gt;=1500,"Critical"),AND(Table1567[[#This Row],[Total Amount]]&gt;=1000,"High"),TRUE,"Normal")</f>
        <v>Normal</v>
      </c>
      <c r="R122" s="4" t="str">
        <f>CONCATENATE(Table1567[[#This Row],[Customer ID]], "-",Table1567[[#This Row],[Age]])</f>
        <v>CUST121-28</v>
      </c>
      <c r="S122" s="4" t="str">
        <f>TEXT(Table1567[[#This Row],[Date]],"mmm")</f>
        <v>Oct</v>
      </c>
      <c r="T122" s="4" t="str">
        <f>TEXT(Table1567[[#This Row],[Date]],"DDD")</f>
        <v>Sun</v>
      </c>
    </row>
    <row r="123" spans="1:20" ht="29" x14ac:dyDescent="0.35">
      <c r="A123" s="4">
        <v>122</v>
      </c>
      <c r="B123" s="5">
        <v>45202</v>
      </c>
      <c r="C123" s="4" t="s">
        <v>135</v>
      </c>
      <c r="D123" s="4" t="s">
        <v>10</v>
      </c>
      <c r="E123" s="4">
        <v>64</v>
      </c>
      <c r="F123" s="4" t="str">
        <f>IF(Table1567[[#This Row],[Age]]&lt;=19,"Teenager",IF(Table1567[[#This Row],[Age]]&lt;=40,"Median","Old"))</f>
        <v>Old</v>
      </c>
      <c r="G123" s="4" t="s">
        <v>16</v>
      </c>
      <c r="H123" s="4">
        <v>4</v>
      </c>
      <c r="I123" s="4">
        <v>30</v>
      </c>
      <c r="J123" s="4">
        <v>120</v>
      </c>
      <c r="K123" s="4" t="str" cm="1">
        <f t="array" ref="K123">_xlfn.IFS(AND(Table1567[[#This Row],[Total Amount]]&gt;=1500),"Critical",AND(Table1567[[#This Row],[Total Amount]]&gt;=1000),"High",TRUE,"Normal")</f>
        <v>Normal</v>
      </c>
      <c r="L123" s="4" t="str">
        <f>IF(Table1567[[#This Row],[Total Amount]]&gt;=1000,"High",(IF(Table1567[[#This Row],[Total Amount]]&gt;=500,"Medium","Low")))</f>
        <v>Low</v>
      </c>
      <c r="M123" s="4" t="str" cm="1">
        <f t="array" ref="M12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23" s="4" cm="1">
        <f t="array" ref="N12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123" s="4">
        <f>Table1567[[#This Row],[Total Amount]]-Table1567[[#This Row],[Discount Amount]]</f>
        <v>108</v>
      </c>
      <c r="P123" s="4" t="str">
        <f>IF(Table1567[[#This Row],[Total Amount]]&gt;=1000,"High","Low")</f>
        <v>Low</v>
      </c>
      <c r="Q123" s="4" t="str" cm="1">
        <f t="array" ref="Q123">_xlfn.IFS(AND(Table1567[[#This Row],[Total Amount]]&gt;=1500,"Critical"),AND(Table1567[[#This Row],[Total Amount]]&gt;=1000,"High"),TRUE,"Normal")</f>
        <v>Normal</v>
      </c>
      <c r="R123" s="4" t="str">
        <f>CONCATENATE(Table1567[[#This Row],[Customer ID]], "-",Table1567[[#This Row],[Age]])</f>
        <v>CUST122-64</v>
      </c>
      <c r="S123" s="4" t="str">
        <f>TEXT(Table1567[[#This Row],[Date]],"mmm")</f>
        <v>Oct</v>
      </c>
      <c r="T123" s="4" t="str">
        <f>TEXT(Table1567[[#This Row],[Date]],"DDD")</f>
        <v>Tue</v>
      </c>
    </row>
    <row r="124" spans="1:20" ht="29" x14ac:dyDescent="0.35">
      <c r="A124" s="4">
        <v>123</v>
      </c>
      <c r="B124" s="5">
        <v>45061</v>
      </c>
      <c r="C124" s="4" t="s">
        <v>136</v>
      </c>
      <c r="D124" s="4" t="s">
        <v>13</v>
      </c>
      <c r="E124" s="4">
        <v>40</v>
      </c>
      <c r="F124" s="4" t="str">
        <f>IF(Table1567[[#This Row],[Age]]&lt;=19,"Teenager",IF(Table1567[[#This Row],[Age]]&lt;=40,"Median","Old"))</f>
        <v>Median</v>
      </c>
      <c r="G124" s="4" t="s">
        <v>16</v>
      </c>
      <c r="H124" s="4">
        <v>2</v>
      </c>
      <c r="I124" s="4">
        <v>30</v>
      </c>
      <c r="J124" s="4">
        <v>60</v>
      </c>
      <c r="K124" s="4" t="str" cm="1">
        <f t="array" ref="K124">_xlfn.IFS(AND(Table1567[[#This Row],[Total Amount]]&gt;=1500),"Critical",AND(Table1567[[#This Row],[Total Amount]]&gt;=1000),"High",TRUE,"Normal")</f>
        <v>Normal</v>
      </c>
      <c r="L124" s="4" t="str">
        <f>IF(Table1567[[#This Row],[Total Amount]]&gt;=1000,"High",(IF(Table1567[[#This Row],[Total Amount]]&gt;=500,"Medium","Low")))</f>
        <v>Low</v>
      </c>
      <c r="M124" s="4" t="str" cm="1">
        <f t="array" ref="M12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24" s="4" cm="1">
        <f t="array" ref="N12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124" s="4">
        <f>Table1567[[#This Row],[Total Amount]]-Table1567[[#This Row],[Discount Amount]]</f>
        <v>48</v>
      </c>
      <c r="P124" s="4" t="str">
        <f>IF(Table1567[[#This Row],[Total Amount]]&gt;=1000,"High","Low")</f>
        <v>Low</v>
      </c>
      <c r="Q124" s="4" t="str" cm="1">
        <f t="array" ref="Q124">_xlfn.IFS(AND(Table1567[[#This Row],[Total Amount]]&gt;=1500,"Critical"),AND(Table1567[[#This Row],[Total Amount]]&gt;=1000,"High"),TRUE,"Normal")</f>
        <v>Normal</v>
      </c>
      <c r="R124" s="4" t="str">
        <f>CONCATENATE(Table1567[[#This Row],[Customer ID]], "-",Table1567[[#This Row],[Age]])</f>
        <v>CUST123-40</v>
      </c>
      <c r="S124" s="4" t="str">
        <f>TEXT(Table1567[[#This Row],[Date]],"mmm")</f>
        <v>May</v>
      </c>
      <c r="T124" s="4" t="str">
        <f>TEXT(Table1567[[#This Row],[Date]],"DDD")</f>
        <v>Mon</v>
      </c>
    </row>
    <row r="125" spans="1:20" ht="29" x14ac:dyDescent="0.35">
      <c r="A125" s="4">
        <v>124</v>
      </c>
      <c r="B125" s="5">
        <v>45226</v>
      </c>
      <c r="C125" s="4" t="s">
        <v>137</v>
      </c>
      <c r="D125" s="4" t="s">
        <v>10</v>
      </c>
      <c r="E125" s="4">
        <v>33</v>
      </c>
      <c r="F125" s="4" t="str">
        <f>IF(Table1567[[#This Row],[Age]]&lt;=19,"Teenager",IF(Table1567[[#This Row],[Age]]&lt;=40,"Median","Old"))</f>
        <v>Median</v>
      </c>
      <c r="G125" s="4" t="s">
        <v>14</v>
      </c>
      <c r="H125" s="4">
        <v>4</v>
      </c>
      <c r="I125" s="4">
        <v>500</v>
      </c>
      <c r="J125" s="4">
        <v>2000</v>
      </c>
      <c r="K125" s="4" t="str" cm="1">
        <f t="array" ref="K125">_xlfn.IFS(AND(Table1567[[#This Row],[Total Amount]]&gt;=1500),"Critical",AND(Table1567[[#This Row],[Total Amount]]&gt;=1000),"High",TRUE,"Normal")</f>
        <v>Critical</v>
      </c>
      <c r="L125" s="4" t="str">
        <f>IF(Table1567[[#This Row],[Total Amount]]&gt;=1000,"High",(IF(Table1567[[#This Row],[Total Amount]]&gt;=500,"Medium","Low")))</f>
        <v>High</v>
      </c>
      <c r="M125" s="4" t="str" cm="1">
        <f t="array" ref="M12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25" s="4" cm="1">
        <f t="array" ref="N12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125" s="4">
        <f>Table1567[[#This Row],[Total Amount]]-Table1567[[#This Row],[Discount Amount]]</f>
        <v>1700</v>
      </c>
      <c r="P125" s="4" t="str">
        <f>IF(Table1567[[#This Row],[Total Amount]]&gt;=1000,"High","Low")</f>
        <v>High</v>
      </c>
      <c r="Q125" s="4" t="b" cm="1">
        <f t="array" ref="Q125">_xlfn.IFS(AND(Table1567[[#This Row],[Total Amount]]&gt;=1500,"Critical"),AND(Table1567[[#This Row],[Total Amount]]&gt;=1000,"High"),TRUE,"Normal")</f>
        <v>1</v>
      </c>
      <c r="R125" s="4" t="str">
        <f>CONCATENATE(Table1567[[#This Row],[Customer ID]], "-",Table1567[[#This Row],[Age]])</f>
        <v>CUST124-33</v>
      </c>
      <c r="S125" s="4" t="str">
        <f>TEXT(Table1567[[#This Row],[Date]],"mmm")</f>
        <v>Oct</v>
      </c>
      <c r="T125" s="4" t="str">
        <f>TEXT(Table1567[[#This Row],[Date]],"DDD")</f>
        <v>Fri</v>
      </c>
    </row>
    <row r="126" spans="1:20" ht="29" x14ac:dyDescent="0.35">
      <c r="A126" s="4">
        <v>125</v>
      </c>
      <c r="B126" s="5">
        <v>45146</v>
      </c>
      <c r="C126" s="4" t="s">
        <v>138</v>
      </c>
      <c r="D126" s="4" t="s">
        <v>10</v>
      </c>
      <c r="E126" s="4">
        <v>48</v>
      </c>
      <c r="F126" s="4" t="str">
        <f>IF(Table1567[[#This Row],[Age]]&lt;=19,"Teenager",IF(Table1567[[#This Row],[Age]]&lt;=40,"Median","Old"))</f>
        <v>Old</v>
      </c>
      <c r="G126" s="4" t="s">
        <v>14</v>
      </c>
      <c r="H126" s="4">
        <v>2</v>
      </c>
      <c r="I126" s="4">
        <v>50</v>
      </c>
      <c r="J126" s="4">
        <v>100</v>
      </c>
      <c r="K126" s="4" t="str" cm="1">
        <f t="array" ref="K126">_xlfn.IFS(AND(Table1567[[#This Row],[Total Amount]]&gt;=1500),"Critical",AND(Table1567[[#This Row],[Total Amount]]&gt;=1000),"High",TRUE,"Normal")</f>
        <v>Normal</v>
      </c>
      <c r="L126" s="4" t="str">
        <f>IF(Table1567[[#This Row],[Total Amount]]&gt;=1000,"High",(IF(Table1567[[#This Row],[Total Amount]]&gt;=500,"Medium","Low")))</f>
        <v>Low</v>
      </c>
      <c r="M126" s="4" t="str" cm="1">
        <f t="array" ref="M12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26" s="4" cm="1">
        <f t="array" ref="N12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126" s="4">
        <f>Table1567[[#This Row],[Total Amount]]-Table1567[[#This Row],[Discount Amount]]</f>
        <v>90</v>
      </c>
      <c r="P126" s="4" t="str">
        <f>IF(Table1567[[#This Row],[Total Amount]]&gt;=1000,"High","Low")</f>
        <v>Low</v>
      </c>
      <c r="Q126" s="4" t="str" cm="1">
        <f t="array" ref="Q126">_xlfn.IFS(AND(Table1567[[#This Row],[Total Amount]]&gt;=1500,"Critical"),AND(Table1567[[#This Row],[Total Amount]]&gt;=1000,"High"),TRUE,"Normal")</f>
        <v>Normal</v>
      </c>
      <c r="R126" s="4" t="str">
        <f>CONCATENATE(Table1567[[#This Row],[Customer ID]], "-",Table1567[[#This Row],[Age]])</f>
        <v>CUST125-48</v>
      </c>
      <c r="S126" s="4" t="str">
        <f>TEXT(Table1567[[#This Row],[Date]],"mmm")</f>
        <v>Aug</v>
      </c>
      <c r="T126" s="4" t="str">
        <f>TEXT(Table1567[[#This Row],[Date]],"DDD")</f>
        <v>Tue</v>
      </c>
    </row>
    <row r="127" spans="1:20" ht="29" x14ac:dyDescent="0.35">
      <c r="A127" s="4">
        <v>126</v>
      </c>
      <c r="B127" s="5">
        <v>45225</v>
      </c>
      <c r="C127" s="4" t="s">
        <v>139</v>
      </c>
      <c r="D127" s="4" t="s">
        <v>13</v>
      </c>
      <c r="E127" s="4">
        <v>28</v>
      </c>
      <c r="F127" s="4" t="str">
        <f>IF(Table1567[[#This Row],[Age]]&lt;=19,"Teenager",IF(Table1567[[#This Row],[Age]]&lt;=40,"Median","Old"))</f>
        <v>Median</v>
      </c>
      <c r="G127" s="4" t="s">
        <v>14</v>
      </c>
      <c r="H127" s="4">
        <v>3</v>
      </c>
      <c r="I127" s="4">
        <v>30</v>
      </c>
      <c r="J127" s="4">
        <v>90</v>
      </c>
      <c r="K127" s="4" t="str" cm="1">
        <f t="array" ref="K127">_xlfn.IFS(AND(Table1567[[#This Row],[Total Amount]]&gt;=1500),"Critical",AND(Table1567[[#This Row],[Total Amount]]&gt;=1000),"High",TRUE,"Normal")</f>
        <v>Normal</v>
      </c>
      <c r="L127" s="4" t="str">
        <f>IF(Table1567[[#This Row],[Total Amount]]&gt;=1000,"High",(IF(Table1567[[#This Row],[Total Amount]]&gt;=500,"Medium","Low")))</f>
        <v>Low</v>
      </c>
      <c r="M127" s="4" t="str" cm="1">
        <f t="array" ref="M12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27" s="4" cm="1">
        <f t="array" ref="N12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13.5</v>
      </c>
      <c r="O127" s="4">
        <f>Table1567[[#This Row],[Total Amount]]-Table1567[[#This Row],[Discount Amount]]</f>
        <v>76.5</v>
      </c>
      <c r="P127" s="4" t="str">
        <f>IF(Table1567[[#This Row],[Total Amount]]&gt;=1000,"High","Low")</f>
        <v>Low</v>
      </c>
      <c r="Q127" s="4" t="str" cm="1">
        <f t="array" ref="Q127">_xlfn.IFS(AND(Table1567[[#This Row],[Total Amount]]&gt;=1500,"Critical"),AND(Table1567[[#This Row],[Total Amount]]&gt;=1000,"High"),TRUE,"Normal")</f>
        <v>Normal</v>
      </c>
      <c r="R127" s="4" t="str">
        <f>CONCATENATE(Table1567[[#This Row],[Customer ID]], "-",Table1567[[#This Row],[Age]])</f>
        <v>CUST126-28</v>
      </c>
      <c r="S127" s="4" t="str">
        <f>TEXT(Table1567[[#This Row],[Date]],"mmm")</f>
        <v>Oct</v>
      </c>
      <c r="T127" s="4" t="str">
        <f>TEXT(Table1567[[#This Row],[Date]],"DDD")</f>
        <v>Thu</v>
      </c>
    </row>
    <row r="128" spans="1:20" ht="29" x14ac:dyDescent="0.35">
      <c r="A128" s="4">
        <v>127</v>
      </c>
      <c r="B128" s="5">
        <v>45131</v>
      </c>
      <c r="C128" s="4" t="s">
        <v>140</v>
      </c>
      <c r="D128" s="4" t="s">
        <v>13</v>
      </c>
      <c r="E128" s="4">
        <v>33</v>
      </c>
      <c r="F128" s="4" t="str">
        <f>IF(Table1567[[#This Row],[Age]]&lt;=19,"Teenager",IF(Table1567[[#This Row],[Age]]&lt;=40,"Median","Old"))</f>
        <v>Median</v>
      </c>
      <c r="G128" s="4" t="s">
        <v>14</v>
      </c>
      <c r="H128" s="4">
        <v>2</v>
      </c>
      <c r="I128" s="4">
        <v>25</v>
      </c>
      <c r="J128" s="4">
        <v>50</v>
      </c>
      <c r="K128" s="4" t="str" cm="1">
        <f t="array" ref="K128">_xlfn.IFS(AND(Table1567[[#This Row],[Total Amount]]&gt;=1500),"Critical",AND(Table1567[[#This Row],[Total Amount]]&gt;=1000),"High",TRUE,"Normal")</f>
        <v>Normal</v>
      </c>
      <c r="L128" s="4" t="str">
        <f>IF(Table1567[[#This Row],[Total Amount]]&gt;=1000,"High",(IF(Table1567[[#This Row],[Total Amount]]&gt;=500,"Medium","Low")))</f>
        <v>Low</v>
      </c>
      <c r="M128" s="4" t="str" cm="1">
        <f t="array" ref="M12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28" s="4" cm="1">
        <f t="array" ref="N12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128" s="4">
        <f>Table1567[[#This Row],[Total Amount]]-Table1567[[#This Row],[Discount Amount]]</f>
        <v>42.5</v>
      </c>
      <c r="P128" s="4" t="str">
        <f>IF(Table1567[[#This Row],[Total Amount]]&gt;=1000,"High","Low")</f>
        <v>Low</v>
      </c>
      <c r="Q128" s="4" t="str" cm="1">
        <f t="array" ref="Q128">_xlfn.IFS(AND(Table1567[[#This Row],[Total Amount]]&gt;=1500,"Critical"),AND(Table1567[[#This Row],[Total Amount]]&gt;=1000,"High"),TRUE,"Normal")</f>
        <v>Normal</v>
      </c>
      <c r="R128" s="4" t="str">
        <f>CONCATENATE(Table1567[[#This Row],[Customer ID]], "-",Table1567[[#This Row],[Age]])</f>
        <v>CUST127-33</v>
      </c>
      <c r="S128" s="4" t="str">
        <f>TEXT(Table1567[[#This Row],[Date]],"mmm")</f>
        <v>Jul</v>
      </c>
      <c r="T128" s="4" t="str">
        <f>TEXT(Table1567[[#This Row],[Date]],"DDD")</f>
        <v>Mon</v>
      </c>
    </row>
    <row r="129" spans="1:20" ht="29" x14ac:dyDescent="0.35">
      <c r="A129" s="4">
        <v>128</v>
      </c>
      <c r="B129" s="5">
        <v>45112</v>
      </c>
      <c r="C129" s="4" t="s">
        <v>141</v>
      </c>
      <c r="D129" s="4" t="s">
        <v>10</v>
      </c>
      <c r="E129" s="4">
        <v>25</v>
      </c>
      <c r="F129" s="4" t="str">
        <f>IF(Table1567[[#This Row],[Age]]&lt;=19,"Teenager",IF(Table1567[[#This Row],[Age]]&lt;=40,"Median","Old"))</f>
        <v>Median</v>
      </c>
      <c r="G129" s="4" t="s">
        <v>11</v>
      </c>
      <c r="H129" s="4">
        <v>1</v>
      </c>
      <c r="I129" s="4">
        <v>500</v>
      </c>
      <c r="J129" s="4">
        <v>500</v>
      </c>
      <c r="K129" s="4" t="str" cm="1">
        <f t="array" ref="K129">_xlfn.IFS(AND(Table1567[[#This Row],[Total Amount]]&gt;=1500),"Critical",AND(Table1567[[#This Row],[Total Amount]]&gt;=1000),"High",TRUE,"Normal")</f>
        <v>Normal</v>
      </c>
      <c r="L129" s="4" t="str">
        <f>IF(Table1567[[#This Row],[Total Amount]]&gt;=1000,"High",(IF(Table1567[[#This Row],[Total Amount]]&gt;=500,"Medium","Low")))</f>
        <v>Medium</v>
      </c>
      <c r="M129" s="4" t="str" cm="1">
        <f t="array" ref="M12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29" s="4" cm="1">
        <f t="array" ref="N12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75</v>
      </c>
      <c r="O129" s="4">
        <f>Table1567[[#This Row],[Total Amount]]-Table1567[[#This Row],[Discount Amount]]</f>
        <v>425</v>
      </c>
      <c r="P129" s="4" t="str">
        <f>IF(Table1567[[#This Row],[Total Amount]]&gt;=1000,"High","Low")</f>
        <v>Low</v>
      </c>
      <c r="Q129" s="4" t="str" cm="1">
        <f t="array" ref="Q129">_xlfn.IFS(AND(Table1567[[#This Row],[Total Amount]]&gt;=1500,"Critical"),AND(Table1567[[#This Row],[Total Amount]]&gt;=1000,"High"),TRUE,"Normal")</f>
        <v>Normal</v>
      </c>
      <c r="R129" s="4" t="str">
        <f>CONCATENATE(Table1567[[#This Row],[Customer ID]], "-",Table1567[[#This Row],[Age]])</f>
        <v>CUST128-25</v>
      </c>
      <c r="S129" s="4" t="str">
        <f>TEXT(Table1567[[#This Row],[Date]],"mmm")</f>
        <v>Jul</v>
      </c>
      <c r="T129" s="4" t="str">
        <f>TEXT(Table1567[[#This Row],[Date]],"DDD")</f>
        <v>Wed</v>
      </c>
    </row>
    <row r="130" spans="1:20" ht="29" x14ac:dyDescent="0.35">
      <c r="A130" s="4">
        <v>129</v>
      </c>
      <c r="B130" s="5">
        <v>45039</v>
      </c>
      <c r="C130" s="4" t="s">
        <v>142</v>
      </c>
      <c r="D130" s="4" t="s">
        <v>13</v>
      </c>
      <c r="E130" s="4">
        <v>21</v>
      </c>
      <c r="F130" s="4" t="str">
        <f>IF(Table1567[[#This Row],[Age]]&lt;=19,"Teenager",IF(Table1567[[#This Row],[Age]]&lt;=40,"Median","Old"))</f>
        <v>Median</v>
      </c>
      <c r="G130" s="4" t="s">
        <v>11</v>
      </c>
      <c r="H130" s="4">
        <v>2</v>
      </c>
      <c r="I130" s="4">
        <v>300</v>
      </c>
      <c r="J130" s="4">
        <v>600</v>
      </c>
      <c r="K130" s="4" t="str" cm="1">
        <f t="array" ref="K130">_xlfn.IFS(AND(Table1567[[#This Row],[Total Amount]]&gt;=1500),"Critical",AND(Table1567[[#This Row],[Total Amount]]&gt;=1000),"High",TRUE,"Normal")</f>
        <v>Normal</v>
      </c>
      <c r="L130" s="4" t="str">
        <f>IF(Table1567[[#This Row],[Total Amount]]&gt;=1000,"High",(IF(Table1567[[#This Row],[Total Amount]]&gt;=500,"Medium","Low")))</f>
        <v>Medium</v>
      </c>
      <c r="M130" s="4" t="str" cm="1">
        <f t="array" ref="M13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30" s="4" cm="1">
        <f t="array" ref="N13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30" s="4">
        <f>Table1567[[#This Row],[Total Amount]]-Table1567[[#This Row],[Discount Amount]]</f>
        <v>600</v>
      </c>
      <c r="P130" s="4" t="str">
        <f>IF(Table1567[[#This Row],[Total Amount]]&gt;=1000,"High","Low")</f>
        <v>Low</v>
      </c>
      <c r="Q130" s="4" t="str" cm="1">
        <f t="array" ref="Q130">_xlfn.IFS(AND(Table1567[[#This Row],[Total Amount]]&gt;=1500,"Critical"),AND(Table1567[[#This Row],[Total Amount]]&gt;=1000,"High"),TRUE,"Normal")</f>
        <v>Normal</v>
      </c>
      <c r="R130" s="4" t="str">
        <f>CONCATENATE(Table1567[[#This Row],[Customer ID]], "-",Table1567[[#This Row],[Age]])</f>
        <v>CUST129-21</v>
      </c>
      <c r="S130" s="4" t="str">
        <f>TEXT(Table1567[[#This Row],[Date]],"mmm")</f>
        <v>Apr</v>
      </c>
      <c r="T130" s="4" t="str">
        <f>TEXT(Table1567[[#This Row],[Date]],"DDD")</f>
        <v>Sun</v>
      </c>
    </row>
    <row r="131" spans="1:20" ht="29" x14ac:dyDescent="0.35">
      <c r="A131" s="4">
        <v>130</v>
      </c>
      <c r="B131" s="5">
        <v>44997</v>
      </c>
      <c r="C131" s="4" t="s">
        <v>143</v>
      </c>
      <c r="D131" s="4" t="s">
        <v>13</v>
      </c>
      <c r="E131" s="4">
        <v>57</v>
      </c>
      <c r="F131" s="4" t="str">
        <f>IF(Table1567[[#This Row],[Age]]&lt;=19,"Teenager",IF(Table1567[[#This Row],[Age]]&lt;=40,"Median","Old"))</f>
        <v>Old</v>
      </c>
      <c r="G131" s="4" t="s">
        <v>14</v>
      </c>
      <c r="H131" s="4">
        <v>1</v>
      </c>
      <c r="I131" s="4">
        <v>500</v>
      </c>
      <c r="J131" s="4">
        <v>500</v>
      </c>
      <c r="K131" s="4" t="str" cm="1">
        <f t="array" ref="K131">_xlfn.IFS(AND(Table1567[[#This Row],[Total Amount]]&gt;=1500),"Critical",AND(Table1567[[#This Row],[Total Amount]]&gt;=1000),"High",TRUE,"Normal")</f>
        <v>Normal</v>
      </c>
      <c r="L131" s="4" t="str">
        <f>IF(Table1567[[#This Row],[Total Amount]]&gt;=1000,"High",(IF(Table1567[[#This Row],[Total Amount]]&gt;=500,"Medium","Low")))</f>
        <v>Medium</v>
      </c>
      <c r="M131" s="4" t="str" cm="1">
        <f t="array" ref="M13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31" s="4" cm="1">
        <f t="array" ref="N13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131" s="4">
        <f>Table1567[[#This Row],[Total Amount]]-Table1567[[#This Row],[Discount Amount]]</f>
        <v>400</v>
      </c>
      <c r="P131" s="4" t="str">
        <f>IF(Table1567[[#This Row],[Total Amount]]&gt;=1000,"High","Low")</f>
        <v>Low</v>
      </c>
      <c r="Q131" s="4" t="str" cm="1">
        <f t="array" ref="Q131">_xlfn.IFS(AND(Table1567[[#This Row],[Total Amount]]&gt;=1500,"Critical"),AND(Table1567[[#This Row],[Total Amount]]&gt;=1000,"High"),TRUE,"Normal")</f>
        <v>Normal</v>
      </c>
      <c r="R131" s="4" t="str">
        <f>CONCATENATE(Table1567[[#This Row],[Customer ID]], "-",Table1567[[#This Row],[Age]])</f>
        <v>CUST130-57</v>
      </c>
      <c r="S131" s="4" t="str">
        <f>TEXT(Table1567[[#This Row],[Date]],"mmm")</f>
        <v>Mar</v>
      </c>
      <c r="T131" s="4" t="str">
        <f>TEXT(Table1567[[#This Row],[Date]],"DDD")</f>
        <v>Sun</v>
      </c>
    </row>
    <row r="132" spans="1:20" ht="29" x14ac:dyDescent="0.35">
      <c r="A132" s="4">
        <v>131</v>
      </c>
      <c r="B132" s="5">
        <v>45187</v>
      </c>
      <c r="C132" s="4" t="s">
        <v>144</v>
      </c>
      <c r="D132" s="4" t="s">
        <v>13</v>
      </c>
      <c r="E132" s="4">
        <v>21</v>
      </c>
      <c r="F132" s="4" t="str">
        <f>IF(Table1567[[#This Row],[Age]]&lt;=19,"Teenager",IF(Table1567[[#This Row],[Age]]&lt;=40,"Median","Old"))</f>
        <v>Median</v>
      </c>
      <c r="G132" s="4" t="s">
        <v>11</v>
      </c>
      <c r="H132" s="4">
        <v>2</v>
      </c>
      <c r="I132" s="4">
        <v>300</v>
      </c>
      <c r="J132" s="4">
        <v>600</v>
      </c>
      <c r="K132" s="4" t="str" cm="1">
        <f t="array" ref="K132">_xlfn.IFS(AND(Table1567[[#This Row],[Total Amount]]&gt;=1500),"Critical",AND(Table1567[[#This Row],[Total Amount]]&gt;=1000),"High",TRUE,"Normal")</f>
        <v>Normal</v>
      </c>
      <c r="L132" s="4" t="str">
        <f>IF(Table1567[[#This Row],[Total Amount]]&gt;=1000,"High",(IF(Table1567[[#This Row],[Total Amount]]&gt;=500,"Medium","Low")))</f>
        <v>Medium</v>
      </c>
      <c r="M132" s="4" t="str" cm="1">
        <f t="array" ref="M13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32" s="4" cm="1">
        <f t="array" ref="N13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32" s="4">
        <f>Table1567[[#This Row],[Total Amount]]-Table1567[[#This Row],[Discount Amount]]</f>
        <v>600</v>
      </c>
      <c r="P132" s="4" t="str">
        <f>IF(Table1567[[#This Row],[Total Amount]]&gt;=1000,"High","Low")</f>
        <v>Low</v>
      </c>
      <c r="Q132" s="4" t="str" cm="1">
        <f t="array" ref="Q132">_xlfn.IFS(AND(Table1567[[#This Row],[Total Amount]]&gt;=1500,"Critical"),AND(Table1567[[#This Row],[Total Amount]]&gt;=1000,"High"),TRUE,"Normal")</f>
        <v>Normal</v>
      </c>
      <c r="R132" s="4" t="str">
        <f>CONCATENATE(Table1567[[#This Row],[Customer ID]], "-",Table1567[[#This Row],[Age]])</f>
        <v>CUST131-21</v>
      </c>
      <c r="S132" s="4" t="str">
        <f>TEXT(Table1567[[#This Row],[Date]],"mmm")</f>
        <v>Sep</v>
      </c>
      <c r="T132" s="4" t="str">
        <f>TEXT(Table1567[[#This Row],[Date]],"DDD")</f>
        <v>Mon</v>
      </c>
    </row>
    <row r="133" spans="1:20" ht="29" x14ac:dyDescent="0.35">
      <c r="A133" s="4">
        <v>132</v>
      </c>
      <c r="B133" s="5">
        <v>45179</v>
      </c>
      <c r="C133" s="4" t="s">
        <v>145</v>
      </c>
      <c r="D133" s="4" t="s">
        <v>10</v>
      </c>
      <c r="E133" s="4">
        <v>42</v>
      </c>
      <c r="F133" s="4" t="str">
        <f>IF(Table1567[[#This Row],[Age]]&lt;=19,"Teenager",IF(Table1567[[#This Row],[Age]]&lt;=40,"Median","Old"))</f>
        <v>Old</v>
      </c>
      <c r="G133" s="4" t="s">
        <v>16</v>
      </c>
      <c r="H133" s="4">
        <v>4</v>
      </c>
      <c r="I133" s="4">
        <v>50</v>
      </c>
      <c r="J133" s="4">
        <v>200</v>
      </c>
      <c r="K133" s="4" t="str" cm="1">
        <f t="array" ref="K133">_xlfn.IFS(AND(Table1567[[#This Row],[Total Amount]]&gt;=1500),"Critical",AND(Table1567[[#This Row],[Total Amount]]&gt;=1000),"High",TRUE,"Normal")</f>
        <v>Normal</v>
      </c>
      <c r="L133" s="4" t="str">
        <f>IF(Table1567[[#This Row],[Total Amount]]&gt;=1000,"High",(IF(Table1567[[#This Row],[Total Amount]]&gt;=500,"Medium","Low")))</f>
        <v>Low</v>
      </c>
      <c r="M133" s="4" t="str" cm="1">
        <f t="array" ref="M13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33" s="4" cm="1">
        <f t="array" ref="N13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133" s="4">
        <f>Table1567[[#This Row],[Total Amount]]-Table1567[[#This Row],[Discount Amount]]</f>
        <v>180</v>
      </c>
      <c r="P133" s="4" t="str">
        <f>IF(Table1567[[#This Row],[Total Amount]]&gt;=1000,"High","Low")</f>
        <v>Low</v>
      </c>
      <c r="Q133" s="4" t="str" cm="1">
        <f t="array" ref="Q133">_xlfn.IFS(AND(Table1567[[#This Row],[Total Amount]]&gt;=1500,"Critical"),AND(Table1567[[#This Row],[Total Amount]]&gt;=1000,"High"),TRUE,"Normal")</f>
        <v>Normal</v>
      </c>
      <c r="R133" s="4" t="str">
        <f>CONCATENATE(Table1567[[#This Row],[Customer ID]], "-",Table1567[[#This Row],[Age]])</f>
        <v>CUST132-42</v>
      </c>
      <c r="S133" s="4" t="str">
        <f>TEXT(Table1567[[#This Row],[Date]],"mmm")</f>
        <v>Sep</v>
      </c>
      <c r="T133" s="4" t="str">
        <f>TEXT(Table1567[[#This Row],[Date]],"DDD")</f>
        <v>Sun</v>
      </c>
    </row>
    <row r="134" spans="1:20" ht="29" x14ac:dyDescent="0.35">
      <c r="A134" s="4">
        <v>133</v>
      </c>
      <c r="B134" s="5">
        <v>44973</v>
      </c>
      <c r="C134" s="4" t="s">
        <v>146</v>
      </c>
      <c r="D134" s="4" t="s">
        <v>10</v>
      </c>
      <c r="E134" s="4">
        <v>20</v>
      </c>
      <c r="F134" s="4" t="str">
        <f>IF(Table1567[[#This Row],[Age]]&lt;=19,"Teenager",IF(Table1567[[#This Row],[Age]]&lt;=40,"Median","Old"))</f>
        <v>Median</v>
      </c>
      <c r="G134" s="4" t="s">
        <v>16</v>
      </c>
      <c r="H134" s="4">
        <v>3</v>
      </c>
      <c r="I134" s="4">
        <v>300</v>
      </c>
      <c r="J134" s="4">
        <v>900</v>
      </c>
      <c r="K134" s="4" t="str" cm="1">
        <f t="array" ref="K134">_xlfn.IFS(AND(Table1567[[#This Row],[Total Amount]]&gt;=1500),"Critical",AND(Table1567[[#This Row],[Total Amount]]&gt;=1000),"High",TRUE,"Normal")</f>
        <v>Normal</v>
      </c>
      <c r="L134" s="4" t="str">
        <f>IF(Table1567[[#This Row],[Total Amount]]&gt;=1000,"High",(IF(Table1567[[#This Row],[Total Amount]]&gt;=500,"Medium","Low")))</f>
        <v>Medium</v>
      </c>
      <c r="M134" s="4" t="str" cm="1">
        <f t="array" ref="M13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34" s="4" cm="1">
        <f t="array" ref="N13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34" s="4">
        <f>Table1567[[#This Row],[Total Amount]]-Table1567[[#This Row],[Discount Amount]]</f>
        <v>900</v>
      </c>
      <c r="P134" s="4" t="str">
        <f>IF(Table1567[[#This Row],[Total Amount]]&gt;=1000,"High","Low")</f>
        <v>Low</v>
      </c>
      <c r="Q134" s="4" t="str" cm="1">
        <f t="array" ref="Q134">_xlfn.IFS(AND(Table1567[[#This Row],[Total Amount]]&gt;=1500,"Critical"),AND(Table1567[[#This Row],[Total Amount]]&gt;=1000,"High"),TRUE,"Normal")</f>
        <v>Normal</v>
      </c>
      <c r="R134" s="4" t="str">
        <f>CONCATENATE(Table1567[[#This Row],[Customer ID]], "-",Table1567[[#This Row],[Age]])</f>
        <v>CUST133-20</v>
      </c>
      <c r="S134" s="4" t="str">
        <f>TEXT(Table1567[[#This Row],[Date]],"mmm")</f>
        <v>Feb</v>
      </c>
      <c r="T134" s="4" t="str">
        <f>TEXT(Table1567[[#This Row],[Date]],"DDD")</f>
        <v>Thu</v>
      </c>
    </row>
    <row r="135" spans="1:20" ht="29" x14ac:dyDescent="0.35">
      <c r="A135" s="4">
        <v>134</v>
      </c>
      <c r="B135" s="5">
        <v>44951</v>
      </c>
      <c r="C135" s="4" t="s">
        <v>147</v>
      </c>
      <c r="D135" s="4" t="s">
        <v>10</v>
      </c>
      <c r="E135" s="4">
        <v>49</v>
      </c>
      <c r="F135" s="4" t="str">
        <f>IF(Table1567[[#This Row],[Age]]&lt;=19,"Teenager",IF(Table1567[[#This Row],[Age]]&lt;=40,"Median","Old"))</f>
        <v>Old</v>
      </c>
      <c r="G135" s="4" t="s">
        <v>16</v>
      </c>
      <c r="H135" s="4">
        <v>1</v>
      </c>
      <c r="I135" s="4">
        <v>50</v>
      </c>
      <c r="J135" s="4">
        <v>50</v>
      </c>
      <c r="K135" s="4" t="str" cm="1">
        <f t="array" ref="K135">_xlfn.IFS(AND(Table1567[[#This Row],[Total Amount]]&gt;=1500),"Critical",AND(Table1567[[#This Row],[Total Amount]]&gt;=1000),"High",TRUE,"Normal")</f>
        <v>Normal</v>
      </c>
      <c r="L135" s="4" t="str">
        <f>IF(Table1567[[#This Row],[Total Amount]]&gt;=1000,"High",(IF(Table1567[[#This Row],[Total Amount]]&gt;=500,"Medium","Low")))</f>
        <v>Low</v>
      </c>
      <c r="M135" s="4" t="str" cm="1">
        <f t="array" ref="M13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35" s="4" cm="1">
        <f t="array" ref="N13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135" s="4">
        <f>Table1567[[#This Row],[Total Amount]]-Table1567[[#This Row],[Discount Amount]]</f>
        <v>45</v>
      </c>
      <c r="P135" s="4" t="str">
        <f>IF(Table1567[[#This Row],[Total Amount]]&gt;=1000,"High","Low")</f>
        <v>Low</v>
      </c>
      <c r="Q135" s="4" t="str" cm="1">
        <f t="array" ref="Q135">_xlfn.IFS(AND(Table1567[[#This Row],[Total Amount]]&gt;=1500,"Critical"),AND(Table1567[[#This Row],[Total Amount]]&gt;=1000,"High"),TRUE,"Normal")</f>
        <v>Normal</v>
      </c>
      <c r="R135" s="4" t="str">
        <f>CONCATENATE(Table1567[[#This Row],[Customer ID]], "-",Table1567[[#This Row],[Age]])</f>
        <v>CUST134-49</v>
      </c>
      <c r="S135" s="4" t="str">
        <f>TEXT(Table1567[[#This Row],[Date]],"mmm")</f>
        <v>Jan</v>
      </c>
      <c r="T135" s="4" t="str">
        <f>TEXT(Table1567[[#This Row],[Date]],"DDD")</f>
        <v>Wed</v>
      </c>
    </row>
    <row r="136" spans="1:20" ht="29" x14ac:dyDescent="0.35">
      <c r="A136" s="4">
        <v>135</v>
      </c>
      <c r="B136" s="5">
        <v>44983</v>
      </c>
      <c r="C136" s="4" t="s">
        <v>148</v>
      </c>
      <c r="D136" s="4" t="s">
        <v>10</v>
      </c>
      <c r="E136" s="4">
        <v>20</v>
      </c>
      <c r="F136" s="4" t="str">
        <f>IF(Table1567[[#This Row],[Age]]&lt;=19,"Teenager",IF(Table1567[[#This Row],[Age]]&lt;=40,"Median","Old"))</f>
        <v>Median</v>
      </c>
      <c r="G136" s="4" t="s">
        <v>14</v>
      </c>
      <c r="H136" s="4">
        <v>2</v>
      </c>
      <c r="I136" s="4">
        <v>25</v>
      </c>
      <c r="J136" s="4">
        <v>50</v>
      </c>
      <c r="K136" s="4" t="str" cm="1">
        <f t="array" ref="K136">_xlfn.IFS(AND(Table1567[[#This Row],[Total Amount]]&gt;=1500),"Critical",AND(Table1567[[#This Row],[Total Amount]]&gt;=1000),"High",TRUE,"Normal")</f>
        <v>Normal</v>
      </c>
      <c r="L136" s="4" t="str">
        <f>IF(Table1567[[#This Row],[Total Amount]]&gt;=1000,"High",(IF(Table1567[[#This Row],[Total Amount]]&gt;=500,"Medium","Low")))</f>
        <v>Low</v>
      </c>
      <c r="M136" s="4" t="str" cm="1">
        <f t="array" ref="M13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36" s="4" cm="1">
        <f t="array" ref="N13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36" s="4">
        <f>Table1567[[#This Row],[Total Amount]]-Table1567[[#This Row],[Discount Amount]]</f>
        <v>50</v>
      </c>
      <c r="P136" s="4" t="str">
        <f>IF(Table1567[[#This Row],[Total Amount]]&gt;=1000,"High","Low")</f>
        <v>Low</v>
      </c>
      <c r="Q136" s="4" t="str" cm="1">
        <f t="array" ref="Q136">_xlfn.IFS(AND(Table1567[[#This Row],[Total Amount]]&gt;=1500,"Critical"),AND(Table1567[[#This Row],[Total Amount]]&gt;=1000,"High"),TRUE,"Normal")</f>
        <v>Normal</v>
      </c>
      <c r="R136" s="4" t="str">
        <f>CONCATENATE(Table1567[[#This Row],[Customer ID]], "-",Table1567[[#This Row],[Age]])</f>
        <v>CUST135-20</v>
      </c>
      <c r="S136" s="4" t="str">
        <f>TEXT(Table1567[[#This Row],[Date]],"mmm")</f>
        <v>Feb</v>
      </c>
      <c r="T136" s="4" t="str">
        <f>TEXT(Table1567[[#This Row],[Date]],"DDD")</f>
        <v>Sun</v>
      </c>
    </row>
    <row r="137" spans="1:20" ht="29" x14ac:dyDescent="0.35">
      <c r="A137" s="4">
        <v>136</v>
      </c>
      <c r="B137" s="5">
        <v>45005</v>
      </c>
      <c r="C137" s="4" t="s">
        <v>149</v>
      </c>
      <c r="D137" s="4" t="s">
        <v>10</v>
      </c>
      <c r="E137" s="4">
        <v>44</v>
      </c>
      <c r="F137" s="4" t="str">
        <f>IF(Table1567[[#This Row],[Age]]&lt;=19,"Teenager",IF(Table1567[[#This Row],[Age]]&lt;=40,"Median","Old"))</f>
        <v>Old</v>
      </c>
      <c r="G137" s="4" t="s">
        <v>16</v>
      </c>
      <c r="H137" s="4">
        <v>2</v>
      </c>
      <c r="I137" s="4">
        <v>300</v>
      </c>
      <c r="J137" s="4">
        <v>600</v>
      </c>
      <c r="K137" s="4" t="str" cm="1">
        <f t="array" ref="K137">_xlfn.IFS(AND(Table1567[[#This Row],[Total Amount]]&gt;=1500),"Critical",AND(Table1567[[#This Row],[Total Amount]]&gt;=1000),"High",TRUE,"Normal")</f>
        <v>Normal</v>
      </c>
      <c r="L137" s="4" t="str">
        <f>IF(Table1567[[#This Row],[Total Amount]]&gt;=1000,"High",(IF(Table1567[[#This Row],[Total Amount]]&gt;=500,"Medium","Low")))</f>
        <v>Medium</v>
      </c>
      <c r="M137" s="4" t="str" cm="1">
        <f t="array" ref="M13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37" s="4" cm="1">
        <f t="array" ref="N13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137" s="4">
        <f>Table1567[[#This Row],[Total Amount]]-Table1567[[#This Row],[Discount Amount]]</f>
        <v>540</v>
      </c>
      <c r="P137" s="4" t="str">
        <f>IF(Table1567[[#This Row],[Total Amount]]&gt;=1000,"High","Low")</f>
        <v>Low</v>
      </c>
      <c r="Q137" s="4" t="str" cm="1">
        <f t="array" ref="Q137">_xlfn.IFS(AND(Table1567[[#This Row],[Total Amount]]&gt;=1500,"Critical"),AND(Table1567[[#This Row],[Total Amount]]&gt;=1000,"High"),TRUE,"Normal")</f>
        <v>Normal</v>
      </c>
      <c r="R137" s="4" t="str">
        <f>CONCATENATE(Table1567[[#This Row],[Customer ID]], "-",Table1567[[#This Row],[Age]])</f>
        <v>CUST136-44</v>
      </c>
      <c r="S137" s="4" t="str">
        <f>TEXT(Table1567[[#This Row],[Date]],"mmm")</f>
        <v>Mar</v>
      </c>
      <c r="T137" s="4" t="str">
        <f>TEXT(Table1567[[#This Row],[Date]],"DDD")</f>
        <v>Mon</v>
      </c>
    </row>
    <row r="138" spans="1:20" ht="29" x14ac:dyDescent="0.35">
      <c r="A138" s="4">
        <v>137</v>
      </c>
      <c r="B138" s="5">
        <v>45248</v>
      </c>
      <c r="C138" s="4" t="s">
        <v>150</v>
      </c>
      <c r="D138" s="4" t="s">
        <v>10</v>
      </c>
      <c r="E138" s="4">
        <v>46</v>
      </c>
      <c r="F138" s="4" t="str">
        <f>IF(Table1567[[#This Row],[Age]]&lt;=19,"Teenager",IF(Table1567[[#This Row],[Age]]&lt;=40,"Median","Old"))</f>
        <v>Old</v>
      </c>
      <c r="G138" s="4" t="s">
        <v>11</v>
      </c>
      <c r="H138" s="4">
        <v>2</v>
      </c>
      <c r="I138" s="4">
        <v>500</v>
      </c>
      <c r="J138" s="4">
        <v>1000</v>
      </c>
      <c r="K138" s="4" t="str" cm="1">
        <f t="array" ref="K138">_xlfn.IFS(AND(Table1567[[#This Row],[Total Amount]]&gt;=1500),"Critical",AND(Table1567[[#This Row],[Total Amount]]&gt;=1000),"High",TRUE,"Normal")</f>
        <v>High</v>
      </c>
      <c r="L138" s="4" t="str">
        <f>IF(Table1567[[#This Row],[Total Amount]]&gt;=1000,"High",(IF(Table1567[[#This Row],[Total Amount]]&gt;=500,"Medium","Low")))</f>
        <v>High</v>
      </c>
      <c r="M138" s="4" t="str" cm="1">
        <f t="array" ref="M13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38" s="4" cm="1">
        <f t="array" ref="N13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138" s="4">
        <f>Table1567[[#This Row],[Total Amount]]-Table1567[[#This Row],[Discount Amount]]</f>
        <v>900</v>
      </c>
      <c r="P138" s="4" t="str">
        <f>IF(Table1567[[#This Row],[Total Amount]]&gt;=1000,"High","Low")</f>
        <v>High</v>
      </c>
      <c r="Q138" s="4" t="str" cm="1">
        <f t="array" ref="Q138">_xlfn.IFS(AND(Table1567[[#This Row],[Total Amount]]&gt;=1500,"Critical"),AND(Table1567[[#This Row],[Total Amount]]&gt;=1000,"High"),TRUE,"Normal")</f>
        <v>Normal</v>
      </c>
      <c r="R138" s="4" t="str">
        <f>CONCATENATE(Table1567[[#This Row],[Customer ID]], "-",Table1567[[#This Row],[Age]])</f>
        <v>CUST137-46</v>
      </c>
      <c r="S138" s="4" t="str">
        <f>TEXT(Table1567[[#This Row],[Date]],"mmm")</f>
        <v>Nov</v>
      </c>
      <c r="T138" s="4" t="str">
        <f>TEXT(Table1567[[#This Row],[Date]],"DDD")</f>
        <v>Sat</v>
      </c>
    </row>
    <row r="139" spans="1:20" ht="29" x14ac:dyDescent="0.35">
      <c r="A139" s="4">
        <v>138</v>
      </c>
      <c r="B139" s="5">
        <v>45008</v>
      </c>
      <c r="C139" s="4" t="s">
        <v>151</v>
      </c>
      <c r="D139" s="4" t="s">
        <v>10</v>
      </c>
      <c r="E139" s="4">
        <v>49</v>
      </c>
      <c r="F139" s="4" t="str">
        <f>IF(Table1567[[#This Row],[Age]]&lt;=19,"Teenager",IF(Table1567[[#This Row],[Age]]&lt;=40,"Median","Old"))</f>
        <v>Old</v>
      </c>
      <c r="G139" s="4" t="s">
        <v>14</v>
      </c>
      <c r="H139" s="4">
        <v>4</v>
      </c>
      <c r="I139" s="4">
        <v>50</v>
      </c>
      <c r="J139" s="4">
        <v>200</v>
      </c>
      <c r="K139" s="4" t="str" cm="1">
        <f t="array" ref="K139">_xlfn.IFS(AND(Table1567[[#This Row],[Total Amount]]&gt;=1500),"Critical",AND(Table1567[[#This Row],[Total Amount]]&gt;=1000),"High",TRUE,"Normal")</f>
        <v>Normal</v>
      </c>
      <c r="L139" s="4" t="str">
        <f>IF(Table1567[[#This Row],[Total Amount]]&gt;=1000,"High",(IF(Table1567[[#This Row],[Total Amount]]&gt;=500,"Medium","Low")))</f>
        <v>Low</v>
      </c>
      <c r="M139" s="4" t="str" cm="1">
        <f t="array" ref="M13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39" s="4" cm="1">
        <f t="array" ref="N13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139" s="4">
        <f>Table1567[[#This Row],[Total Amount]]-Table1567[[#This Row],[Discount Amount]]</f>
        <v>180</v>
      </c>
      <c r="P139" s="4" t="str">
        <f>IF(Table1567[[#This Row],[Total Amount]]&gt;=1000,"High","Low")</f>
        <v>Low</v>
      </c>
      <c r="Q139" s="4" t="str" cm="1">
        <f t="array" ref="Q139">_xlfn.IFS(AND(Table1567[[#This Row],[Total Amount]]&gt;=1500,"Critical"),AND(Table1567[[#This Row],[Total Amount]]&gt;=1000,"High"),TRUE,"Normal")</f>
        <v>Normal</v>
      </c>
      <c r="R139" s="4" t="str">
        <f>CONCATENATE(Table1567[[#This Row],[Customer ID]], "-",Table1567[[#This Row],[Age]])</f>
        <v>CUST138-49</v>
      </c>
      <c r="S139" s="4" t="str">
        <f>TEXT(Table1567[[#This Row],[Date]],"mmm")</f>
        <v>Mar</v>
      </c>
      <c r="T139" s="4" t="str">
        <f>TEXT(Table1567[[#This Row],[Date]],"DDD")</f>
        <v>Thu</v>
      </c>
    </row>
    <row r="140" spans="1:20" ht="29" x14ac:dyDescent="0.35">
      <c r="A140" s="4">
        <v>139</v>
      </c>
      <c r="B140" s="5">
        <v>45275</v>
      </c>
      <c r="C140" s="4" t="s">
        <v>152</v>
      </c>
      <c r="D140" s="4" t="s">
        <v>10</v>
      </c>
      <c r="E140" s="4">
        <v>36</v>
      </c>
      <c r="F140" s="4" t="str">
        <f>IF(Table1567[[#This Row],[Age]]&lt;=19,"Teenager",IF(Table1567[[#This Row],[Age]]&lt;=40,"Median","Old"))</f>
        <v>Median</v>
      </c>
      <c r="G140" s="4" t="s">
        <v>11</v>
      </c>
      <c r="H140" s="4">
        <v>4</v>
      </c>
      <c r="I140" s="4">
        <v>500</v>
      </c>
      <c r="J140" s="4">
        <v>2000</v>
      </c>
      <c r="K140" s="4" t="str" cm="1">
        <f t="array" ref="K140">_xlfn.IFS(AND(Table1567[[#This Row],[Total Amount]]&gt;=1500),"Critical",AND(Table1567[[#This Row],[Total Amount]]&gt;=1000),"High",TRUE,"Normal")</f>
        <v>Critical</v>
      </c>
      <c r="L140" s="4" t="str">
        <f>IF(Table1567[[#This Row],[Total Amount]]&gt;=1000,"High",(IF(Table1567[[#This Row],[Total Amount]]&gt;=500,"Medium","Low")))</f>
        <v>High</v>
      </c>
      <c r="M140" s="4" t="str" cm="1">
        <f t="array" ref="M14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40" s="4" cm="1">
        <f t="array" ref="N14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140" s="4">
        <f>Table1567[[#This Row],[Total Amount]]-Table1567[[#This Row],[Discount Amount]]</f>
        <v>1800</v>
      </c>
      <c r="P140" s="4" t="str">
        <f>IF(Table1567[[#This Row],[Total Amount]]&gt;=1000,"High","Low")</f>
        <v>High</v>
      </c>
      <c r="Q140" s="4" t="b" cm="1">
        <f t="array" ref="Q140">_xlfn.IFS(AND(Table1567[[#This Row],[Total Amount]]&gt;=1500,"Critical"),AND(Table1567[[#This Row],[Total Amount]]&gt;=1000,"High"),TRUE,"Normal")</f>
        <v>1</v>
      </c>
      <c r="R140" s="4" t="str">
        <f>CONCATENATE(Table1567[[#This Row],[Customer ID]], "-",Table1567[[#This Row],[Age]])</f>
        <v>CUST139-36</v>
      </c>
      <c r="S140" s="4" t="str">
        <f>TEXT(Table1567[[#This Row],[Date]],"mmm")</f>
        <v>Dec</v>
      </c>
      <c r="T140" s="4" t="str">
        <f>TEXT(Table1567[[#This Row],[Date]],"DDD")</f>
        <v>Fri</v>
      </c>
    </row>
    <row r="141" spans="1:20" ht="29" x14ac:dyDescent="0.35">
      <c r="A141" s="4">
        <v>140</v>
      </c>
      <c r="B141" s="5">
        <v>45143</v>
      </c>
      <c r="C141" s="4" t="s">
        <v>153</v>
      </c>
      <c r="D141" s="4" t="s">
        <v>10</v>
      </c>
      <c r="E141" s="4">
        <v>38</v>
      </c>
      <c r="F141" s="4" t="str">
        <f>IF(Table1567[[#This Row],[Age]]&lt;=19,"Teenager",IF(Table1567[[#This Row],[Age]]&lt;=40,"Median","Old"))</f>
        <v>Median</v>
      </c>
      <c r="G141" s="4" t="s">
        <v>16</v>
      </c>
      <c r="H141" s="4">
        <v>1</v>
      </c>
      <c r="I141" s="4">
        <v>30</v>
      </c>
      <c r="J141" s="4">
        <v>30</v>
      </c>
      <c r="K141" s="4" t="str" cm="1">
        <f t="array" ref="K141">_xlfn.IFS(AND(Table1567[[#This Row],[Total Amount]]&gt;=1500),"Critical",AND(Table1567[[#This Row],[Total Amount]]&gt;=1000),"High",TRUE,"Normal")</f>
        <v>Normal</v>
      </c>
      <c r="L141" s="4" t="str">
        <f>IF(Table1567[[#This Row],[Total Amount]]&gt;=1000,"High",(IF(Table1567[[#This Row],[Total Amount]]&gt;=500,"Medium","Low")))</f>
        <v>Low</v>
      </c>
      <c r="M141" s="4" t="str" cm="1">
        <f t="array" ref="M14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41" s="4" cm="1">
        <f t="array" ref="N14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</v>
      </c>
      <c r="O141" s="4">
        <f>Table1567[[#This Row],[Total Amount]]-Table1567[[#This Row],[Discount Amount]]</f>
        <v>27</v>
      </c>
      <c r="P141" s="4" t="str">
        <f>IF(Table1567[[#This Row],[Total Amount]]&gt;=1000,"High","Low")</f>
        <v>Low</v>
      </c>
      <c r="Q141" s="4" t="str" cm="1">
        <f t="array" ref="Q141">_xlfn.IFS(AND(Table1567[[#This Row],[Total Amount]]&gt;=1500,"Critical"),AND(Table1567[[#This Row],[Total Amount]]&gt;=1000,"High"),TRUE,"Normal")</f>
        <v>Normal</v>
      </c>
      <c r="R141" s="4" t="str">
        <f>CONCATENATE(Table1567[[#This Row],[Customer ID]], "-",Table1567[[#This Row],[Age]])</f>
        <v>CUST140-38</v>
      </c>
      <c r="S141" s="4" t="str">
        <f>TEXT(Table1567[[#This Row],[Date]],"mmm")</f>
        <v>Aug</v>
      </c>
      <c r="T141" s="4" t="str">
        <f>TEXT(Table1567[[#This Row],[Date]],"DDD")</f>
        <v>Sat</v>
      </c>
    </row>
    <row r="142" spans="1:20" ht="29" x14ac:dyDescent="0.35">
      <c r="A142" s="4">
        <v>141</v>
      </c>
      <c r="B142" s="5">
        <v>45232</v>
      </c>
      <c r="C142" s="4" t="s">
        <v>154</v>
      </c>
      <c r="D142" s="4" t="s">
        <v>13</v>
      </c>
      <c r="E142" s="4">
        <v>22</v>
      </c>
      <c r="F142" s="4" t="str">
        <f>IF(Table1567[[#This Row],[Age]]&lt;=19,"Teenager",IF(Table1567[[#This Row],[Age]]&lt;=40,"Median","Old"))</f>
        <v>Median</v>
      </c>
      <c r="G142" s="4" t="s">
        <v>16</v>
      </c>
      <c r="H142" s="4">
        <v>1</v>
      </c>
      <c r="I142" s="4">
        <v>50</v>
      </c>
      <c r="J142" s="4">
        <v>50</v>
      </c>
      <c r="K142" s="4" t="str" cm="1">
        <f t="array" ref="K142">_xlfn.IFS(AND(Table1567[[#This Row],[Total Amount]]&gt;=1500),"Critical",AND(Table1567[[#This Row],[Total Amount]]&gt;=1000),"High",TRUE,"Normal")</f>
        <v>Normal</v>
      </c>
      <c r="L142" s="4" t="str">
        <f>IF(Table1567[[#This Row],[Total Amount]]&gt;=1000,"High",(IF(Table1567[[#This Row],[Total Amount]]&gt;=500,"Medium","Low")))</f>
        <v>Low</v>
      </c>
      <c r="M142" s="4" t="str" cm="1">
        <f t="array" ref="M14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42" s="4" cm="1">
        <f t="array" ref="N14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42" s="4">
        <f>Table1567[[#This Row],[Total Amount]]-Table1567[[#This Row],[Discount Amount]]</f>
        <v>50</v>
      </c>
      <c r="P142" s="4" t="str">
        <f>IF(Table1567[[#This Row],[Total Amount]]&gt;=1000,"High","Low")</f>
        <v>Low</v>
      </c>
      <c r="Q142" s="4" t="str" cm="1">
        <f t="array" ref="Q142">_xlfn.IFS(AND(Table1567[[#This Row],[Total Amount]]&gt;=1500,"Critical"),AND(Table1567[[#This Row],[Total Amount]]&gt;=1000,"High"),TRUE,"Normal")</f>
        <v>Normal</v>
      </c>
      <c r="R142" s="4" t="str">
        <f>CONCATENATE(Table1567[[#This Row],[Customer ID]], "-",Table1567[[#This Row],[Age]])</f>
        <v>CUST141-22</v>
      </c>
      <c r="S142" s="4" t="str">
        <f>TEXT(Table1567[[#This Row],[Date]],"mmm")</f>
        <v>Nov</v>
      </c>
      <c r="T142" s="4" t="str">
        <f>TEXT(Table1567[[#This Row],[Date]],"DDD")</f>
        <v>Thu</v>
      </c>
    </row>
    <row r="143" spans="1:20" ht="29" x14ac:dyDescent="0.35">
      <c r="A143" s="4">
        <v>142</v>
      </c>
      <c r="B143" s="5">
        <v>44959</v>
      </c>
      <c r="C143" s="4" t="s">
        <v>155</v>
      </c>
      <c r="D143" s="4" t="s">
        <v>10</v>
      </c>
      <c r="E143" s="4">
        <v>35</v>
      </c>
      <c r="F143" s="4" t="str">
        <f>IF(Table1567[[#This Row],[Age]]&lt;=19,"Teenager",IF(Table1567[[#This Row],[Age]]&lt;=40,"Median","Old"))</f>
        <v>Median</v>
      </c>
      <c r="G143" s="4" t="s">
        <v>16</v>
      </c>
      <c r="H143" s="4">
        <v>4</v>
      </c>
      <c r="I143" s="4">
        <v>300</v>
      </c>
      <c r="J143" s="4">
        <v>1200</v>
      </c>
      <c r="K143" s="4" t="str" cm="1">
        <f t="array" ref="K143">_xlfn.IFS(AND(Table1567[[#This Row],[Total Amount]]&gt;=1500),"Critical",AND(Table1567[[#This Row],[Total Amount]]&gt;=1000),"High",TRUE,"Normal")</f>
        <v>High</v>
      </c>
      <c r="L143" s="4" t="str">
        <f>IF(Table1567[[#This Row],[Total Amount]]&gt;=1000,"High",(IF(Table1567[[#This Row],[Total Amount]]&gt;=500,"Medium","Low")))</f>
        <v>High</v>
      </c>
      <c r="M143" s="4" t="str" cm="1">
        <f t="array" ref="M14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43" s="4" cm="1">
        <f t="array" ref="N14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143" s="4">
        <f>Table1567[[#This Row],[Total Amount]]-Table1567[[#This Row],[Discount Amount]]</f>
        <v>1080</v>
      </c>
      <c r="P143" s="4" t="str">
        <f>IF(Table1567[[#This Row],[Total Amount]]&gt;=1000,"High","Low")</f>
        <v>High</v>
      </c>
      <c r="Q143" s="4" t="str" cm="1">
        <f t="array" ref="Q143">_xlfn.IFS(AND(Table1567[[#This Row],[Total Amount]]&gt;=1500,"Critical"),AND(Table1567[[#This Row],[Total Amount]]&gt;=1000,"High"),TRUE,"Normal")</f>
        <v>Normal</v>
      </c>
      <c r="R143" s="4" t="str">
        <f>CONCATENATE(Table1567[[#This Row],[Customer ID]], "-",Table1567[[#This Row],[Age]])</f>
        <v>CUST142-35</v>
      </c>
      <c r="S143" s="4" t="str">
        <f>TEXT(Table1567[[#This Row],[Date]],"mmm")</f>
        <v>Feb</v>
      </c>
      <c r="T143" s="4" t="str">
        <f>TEXT(Table1567[[#This Row],[Date]],"DDD")</f>
        <v>Thu</v>
      </c>
    </row>
    <row r="144" spans="1:20" ht="29" x14ac:dyDescent="0.35">
      <c r="A144" s="4">
        <v>143</v>
      </c>
      <c r="B144" s="5">
        <v>45124</v>
      </c>
      <c r="C144" s="4" t="s">
        <v>156</v>
      </c>
      <c r="D144" s="4" t="s">
        <v>13</v>
      </c>
      <c r="E144" s="4">
        <v>45</v>
      </c>
      <c r="F144" s="4" t="str">
        <f>IF(Table1567[[#This Row],[Age]]&lt;=19,"Teenager",IF(Table1567[[#This Row],[Age]]&lt;=40,"Median","Old"))</f>
        <v>Old</v>
      </c>
      <c r="G144" s="4" t="s">
        <v>14</v>
      </c>
      <c r="H144" s="4">
        <v>1</v>
      </c>
      <c r="I144" s="4">
        <v>50</v>
      </c>
      <c r="J144" s="4">
        <v>50</v>
      </c>
      <c r="K144" s="4" t="str" cm="1">
        <f t="array" ref="K144">_xlfn.IFS(AND(Table1567[[#This Row],[Total Amount]]&gt;=1500),"Critical",AND(Table1567[[#This Row],[Total Amount]]&gt;=1000),"High",TRUE,"Normal")</f>
        <v>Normal</v>
      </c>
      <c r="L144" s="4" t="str">
        <f>IF(Table1567[[#This Row],[Total Amount]]&gt;=1000,"High",(IF(Table1567[[#This Row],[Total Amount]]&gt;=500,"Medium","Low")))</f>
        <v>Low</v>
      </c>
      <c r="M144" s="4" t="str" cm="1">
        <f t="array" ref="M14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44" s="4" cm="1">
        <f t="array" ref="N14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144" s="4">
        <f>Table1567[[#This Row],[Total Amount]]-Table1567[[#This Row],[Discount Amount]]</f>
        <v>40</v>
      </c>
      <c r="P144" s="4" t="str">
        <f>IF(Table1567[[#This Row],[Total Amount]]&gt;=1000,"High","Low")</f>
        <v>Low</v>
      </c>
      <c r="Q144" s="4" t="str" cm="1">
        <f t="array" ref="Q144">_xlfn.IFS(AND(Table1567[[#This Row],[Total Amount]]&gt;=1500,"Critical"),AND(Table1567[[#This Row],[Total Amount]]&gt;=1000,"High"),TRUE,"Normal")</f>
        <v>Normal</v>
      </c>
      <c r="R144" s="4" t="str">
        <f>CONCATENATE(Table1567[[#This Row],[Customer ID]], "-",Table1567[[#This Row],[Age]])</f>
        <v>CUST143-45</v>
      </c>
      <c r="S144" s="4" t="str">
        <f>TEXT(Table1567[[#This Row],[Date]],"mmm")</f>
        <v>Jul</v>
      </c>
      <c r="T144" s="4" t="str">
        <f>TEXT(Table1567[[#This Row],[Date]],"DDD")</f>
        <v>Mon</v>
      </c>
    </row>
    <row r="145" spans="1:20" ht="29" x14ac:dyDescent="0.35">
      <c r="A145" s="4">
        <v>144</v>
      </c>
      <c r="B145" s="5">
        <v>45122</v>
      </c>
      <c r="C145" s="4" t="s">
        <v>157</v>
      </c>
      <c r="D145" s="4" t="s">
        <v>13</v>
      </c>
      <c r="E145" s="4">
        <v>59</v>
      </c>
      <c r="F145" s="4" t="str">
        <f>IF(Table1567[[#This Row],[Age]]&lt;=19,"Teenager",IF(Table1567[[#This Row],[Age]]&lt;=40,"Median","Old"))</f>
        <v>Old</v>
      </c>
      <c r="G145" s="4" t="s">
        <v>11</v>
      </c>
      <c r="H145" s="4">
        <v>3</v>
      </c>
      <c r="I145" s="4">
        <v>500</v>
      </c>
      <c r="J145" s="4">
        <v>1500</v>
      </c>
      <c r="K145" s="4" t="str" cm="1">
        <f t="array" ref="K145">_xlfn.IFS(AND(Table1567[[#This Row],[Total Amount]]&gt;=1500),"Critical",AND(Table1567[[#This Row],[Total Amount]]&gt;=1000),"High",TRUE,"Normal")</f>
        <v>Critical</v>
      </c>
      <c r="L145" s="4" t="str">
        <f>IF(Table1567[[#This Row],[Total Amount]]&gt;=1000,"High",(IF(Table1567[[#This Row],[Total Amount]]&gt;=500,"Medium","Low")))</f>
        <v>High</v>
      </c>
      <c r="M145" s="4" t="str" cm="1">
        <f t="array" ref="M14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45" s="4" cm="1">
        <f t="array" ref="N14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145" s="4">
        <f>Table1567[[#This Row],[Total Amount]]-Table1567[[#This Row],[Discount Amount]]</f>
        <v>1200</v>
      </c>
      <c r="P145" s="4" t="str">
        <f>IF(Table1567[[#This Row],[Total Amount]]&gt;=1000,"High","Low")</f>
        <v>High</v>
      </c>
      <c r="Q145" s="4" t="b" cm="1">
        <f t="array" ref="Q145">_xlfn.IFS(AND(Table1567[[#This Row],[Total Amount]]&gt;=1500,"Critical"),AND(Table1567[[#This Row],[Total Amount]]&gt;=1000,"High"),TRUE,"Normal")</f>
        <v>1</v>
      </c>
      <c r="R145" s="4" t="str">
        <f>CONCATENATE(Table1567[[#This Row],[Customer ID]], "-",Table1567[[#This Row],[Age]])</f>
        <v>CUST144-59</v>
      </c>
      <c r="S145" s="4" t="str">
        <f>TEXT(Table1567[[#This Row],[Date]],"mmm")</f>
        <v>Jul</v>
      </c>
      <c r="T145" s="4" t="str">
        <f>TEXT(Table1567[[#This Row],[Date]],"DDD")</f>
        <v>Sat</v>
      </c>
    </row>
    <row r="146" spans="1:20" ht="29" x14ac:dyDescent="0.35">
      <c r="A146" s="4">
        <v>145</v>
      </c>
      <c r="B146" s="5">
        <v>45232</v>
      </c>
      <c r="C146" s="4" t="s">
        <v>158</v>
      </c>
      <c r="D146" s="4" t="s">
        <v>13</v>
      </c>
      <c r="E146" s="4">
        <v>39</v>
      </c>
      <c r="F146" s="4" t="str">
        <f>IF(Table1567[[#This Row],[Age]]&lt;=19,"Teenager",IF(Table1567[[#This Row],[Age]]&lt;=40,"Median","Old"))</f>
        <v>Median</v>
      </c>
      <c r="G146" s="4" t="s">
        <v>14</v>
      </c>
      <c r="H146" s="4">
        <v>3</v>
      </c>
      <c r="I146" s="4">
        <v>25</v>
      </c>
      <c r="J146" s="4">
        <v>75</v>
      </c>
      <c r="K146" s="4" t="str" cm="1">
        <f t="array" ref="K146">_xlfn.IFS(AND(Table1567[[#This Row],[Total Amount]]&gt;=1500),"Critical",AND(Table1567[[#This Row],[Total Amount]]&gt;=1000),"High",TRUE,"Normal")</f>
        <v>Normal</v>
      </c>
      <c r="L146" s="4" t="str">
        <f>IF(Table1567[[#This Row],[Total Amount]]&gt;=1000,"High",(IF(Table1567[[#This Row],[Total Amount]]&gt;=500,"Medium","Low")))</f>
        <v>Low</v>
      </c>
      <c r="M146" s="4" t="str" cm="1">
        <f t="array" ref="M14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46" s="4" cm="1">
        <f t="array" ref="N14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146" s="4">
        <f>Table1567[[#This Row],[Total Amount]]-Table1567[[#This Row],[Discount Amount]]</f>
        <v>60</v>
      </c>
      <c r="P146" s="4" t="str">
        <f>IF(Table1567[[#This Row],[Total Amount]]&gt;=1000,"High","Low")</f>
        <v>Low</v>
      </c>
      <c r="Q146" s="4" t="str" cm="1">
        <f t="array" ref="Q146">_xlfn.IFS(AND(Table1567[[#This Row],[Total Amount]]&gt;=1500,"Critical"),AND(Table1567[[#This Row],[Total Amount]]&gt;=1000,"High"),TRUE,"Normal")</f>
        <v>Normal</v>
      </c>
      <c r="R146" s="4" t="str">
        <f>CONCATENATE(Table1567[[#This Row],[Customer ID]], "-",Table1567[[#This Row],[Age]])</f>
        <v>CUST145-39</v>
      </c>
      <c r="S146" s="4" t="str">
        <f>TEXT(Table1567[[#This Row],[Date]],"mmm")</f>
        <v>Nov</v>
      </c>
      <c r="T146" s="4" t="str">
        <f>TEXT(Table1567[[#This Row],[Date]],"DDD")</f>
        <v>Thu</v>
      </c>
    </row>
    <row r="147" spans="1:20" ht="29" x14ac:dyDescent="0.35">
      <c r="A147" s="4">
        <v>146</v>
      </c>
      <c r="B147" s="5">
        <v>45166</v>
      </c>
      <c r="C147" s="4" t="s">
        <v>159</v>
      </c>
      <c r="D147" s="4" t="s">
        <v>10</v>
      </c>
      <c r="E147" s="4">
        <v>38</v>
      </c>
      <c r="F147" s="4" t="str">
        <f>IF(Table1567[[#This Row],[Age]]&lt;=19,"Teenager",IF(Table1567[[#This Row],[Age]]&lt;=40,"Median","Old"))</f>
        <v>Median</v>
      </c>
      <c r="G147" s="4" t="s">
        <v>14</v>
      </c>
      <c r="H147" s="4">
        <v>4</v>
      </c>
      <c r="I147" s="4">
        <v>50</v>
      </c>
      <c r="J147" s="4">
        <v>200</v>
      </c>
      <c r="K147" s="4" t="str" cm="1">
        <f t="array" ref="K147">_xlfn.IFS(AND(Table1567[[#This Row],[Total Amount]]&gt;=1500),"Critical",AND(Table1567[[#This Row],[Total Amount]]&gt;=1000),"High",TRUE,"Normal")</f>
        <v>Normal</v>
      </c>
      <c r="L147" s="4" t="str">
        <f>IF(Table1567[[#This Row],[Total Amount]]&gt;=1000,"High",(IF(Table1567[[#This Row],[Total Amount]]&gt;=500,"Medium","Low")))</f>
        <v>Low</v>
      </c>
      <c r="M147" s="4" t="str" cm="1">
        <f t="array" ref="M14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47" s="4" cm="1">
        <f t="array" ref="N14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147" s="4">
        <f>Table1567[[#This Row],[Total Amount]]-Table1567[[#This Row],[Discount Amount]]</f>
        <v>180</v>
      </c>
      <c r="P147" s="4" t="str">
        <f>IF(Table1567[[#This Row],[Total Amount]]&gt;=1000,"High","Low")</f>
        <v>Low</v>
      </c>
      <c r="Q147" s="4" t="str" cm="1">
        <f t="array" ref="Q147">_xlfn.IFS(AND(Table1567[[#This Row],[Total Amount]]&gt;=1500,"Critical"),AND(Table1567[[#This Row],[Total Amount]]&gt;=1000,"High"),TRUE,"Normal")</f>
        <v>Normal</v>
      </c>
      <c r="R147" s="4" t="str">
        <f>CONCATENATE(Table1567[[#This Row],[Customer ID]], "-",Table1567[[#This Row],[Age]])</f>
        <v>CUST146-38</v>
      </c>
      <c r="S147" s="4" t="str">
        <f>TEXT(Table1567[[#This Row],[Date]],"mmm")</f>
        <v>Aug</v>
      </c>
      <c r="T147" s="4" t="str">
        <f>TEXT(Table1567[[#This Row],[Date]],"DDD")</f>
        <v>Mon</v>
      </c>
    </row>
    <row r="148" spans="1:20" ht="29" x14ac:dyDescent="0.35">
      <c r="A148" s="4">
        <v>147</v>
      </c>
      <c r="B148" s="5">
        <v>45197</v>
      </c>
      <c r="C148" s="4" t="s">
        <v>160</v>
      </c>
      <c r="D148" s="4" t="s">
        <v>10</v>
      </c>
      <c r="E148" s="4">
        <v>23</v>
      </c>
      <c r="F148" s="4" t="str">
        <f>IF(Table1567[[#This Row],[Age]]&lt;=19,"Teenager",IF(Table1567[[#This Row],[Age]]&lt;=40,"Median","Old"))</f>
        <v>Median</v>
      </c>
      <c r="G148" s="4" t="s">
        <v>16</v>
      </c>
      <c r="H148" s="4">
        <v>1</v>
      </c>
      <c r="I148" s="4">
        <v>300</v>
      </c>
      <c r="J148" s="4">
        <v>300</v>
      </c>
      <c r="K148" s="4" t="str" cm="1">
        <f t="array" ref="K148">_xlfn.IFS(AND(Table1567[[#This Row],[Total Amount]]&gt;=1500),"Critical",AND(Table1567[[#This Row],[Total Amount]]&gt;=1000),"High",TRUE,"Normal")</f>
        <v>Normal</v>
      </c>
      <c r="L148" s="4" t="str">
        <f>IF(Table1567[[#This Row],[Total Amount]]&gt;=1000,"High",(IF(Table1567[[#This Row],[Total Amount]]&gt;=500,"Medium","Low")))</f>
        <v>Low</v>
      </c>
      <c r="M148" s="4" t="str" cm="1">
        <f t="array" ref="M14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48" s="4" cm="1">
        <f t="array" ref="N14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48" s="4">
        <f>Table1567[[#This Row],[Total Amount]]-Table1567[[#This Row],[Discount Amount]]</f>
        <v>300</v>
      </c>
      <c r="P148" s="4" t="str">
        <f>IF(Table1567[[#This Row],[Total Amount]]&gt;=1000,"High","Low")</f>
        <v>Low</v>
      </c>
      <c r="Q148" s="4" t="str" cm="1">
        <f t="array" ref="Q148">_xlfn.IFS(AND(Table1567[[#This Row],[Total Amount]]&gt;=1500,"Critical"),AND(Table1567[[#This Row],[Total Amount]]&gt;=1000,"High"),TRUE,"Normal")</f>
        <v>Normal</v>
      </c>
      <c r="R148" s="4" t="str">
        <f>CONCATENATE(Table1567[[#This Row],[Customer ID]], "-",Table1567[[#This Row],[Age]])</f>
        <v>CUST147-23</v>
      </c>
      <c r="S148" s="4" t="str">
        <f>TEXT(Table1567[[#This Row],[Date]],"mmm")</f>
        <v>Sep</v>
      </c>
      <c r="T148" s="4" t="str">
        <f>TEXT(Table1567[[#This Row],[Date]],"DDD")</f>
        <v>Thu</v>
      </c>
    </row>
    <row r="149" spans="1:20" ht="29" x14ac:dyDescent="0.35">
      <c r="A149" s="4">
        <v>148</v>
      </c>
      <c r="B149" s="5">
        <v>45055</v>
      </c>
      <c r="C149" s="4" t="s">
        <v>161</v>
      </c>
      <c r="D149" s="4" t="s">
        <v>10</v>
      </c>
      <c r="E149" s="4">
        <v>18</v>
      </c>
      <c r="F149" s="4" t="str">
        <f>IF(Table1567[[#This Row],[Age]]&lt;=19,"Teenager",IF(Table1567[[#This Row],[Age]]&lt;=40,"Median","Old"))</f>
        <v>Teenager</v>
      </c>
      <c r="G149" s="4" t="s">
        <v>14</v>
      </c>
      <c r="H149" s="4">
        <v>2</v>
      </c>
      <c r="I149" s="4">
        <v>30</v>
      </c>
      <c r="J149" s="4">
        <v>60</v>
      </c>
      <c r="K149" s="4" t="str" cm="1">
        <f t="array" ref="K149">_xlfn.IFS(AND(Table1567[[#This Row],[Total Amount]]&gt;=1500),"Critical",AND(Table1567[[#This Row],[Total Amount]]&gt;=1000),"High",TRUE,"Normal")</f>
        <v>Normal</v>
      </c>
      <c r="L149" s="4" t="str">
        <f>IF(Table1567[[#This Row],[Total Amount]]&gt;=1000,"High",(IF(Table1567[[#This Row],[Total Amount]]&gt;=500,"Medium","Low")))</f>
        <v>Low</v>
      </c>
      <c r="M149" s="4" t="str" cm="1">
        <f t="array" ref="M14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49" s="4" cm="1">
        <f t="array" ref="N14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49" s="4">
        <f>Table1567[[#This Row],[Total Amount]]-Table1567[[#This Row],[Discount Amount]]</f>
        <v>60</v>
      </c>
      <c r="P149" s="4" t="str">
        <f>IF(Table1567[[#This Row],[Total Amount]]&gt;=1000,"High","Low")</f>
        <v>Low</v>
      </c>
      <c r="Q149" s="4" t="str" cm="1">
        <f t="array" ref="Q149">_xlfn.IFS(AND(Table1567[[#This Row],[Total Amount]]&gt;=1500,"Critical"),AND(Table1567[[#This Row],[Total Amount]]&gt;=1000,"High"),TRUE,"Normal")</f>
        <v>Normal</v>
      </c>
      <c r="R149" s="4" t="str">
        <f>CONCATENATE(Table1567[[#This Row],[Customer ID]], "-",Table1567[[#This Row],[Age]])</f>
        <v>CUST148-18</v>
      </c>
      <c r="S149" s="4" t="str">
        <f>TEXT(Table1567[[#This Row],[Date]],"mmm")</f>
        <v>May</v>
      </c>
      <c r="T149" s="4" t="str">
        <f>TEXT(Table1567[[#This Row],[Date]],"DDD")</f>
        <v>Tue</v>
      </c>
    </row>
    <row r="150" spans="1:20" ht="29" x14ac:dyDescent="0.35">
      <c r="A150" s="4">
        <v>149</v>
      </c>
      <c r="B150" s="5">
        <v>45210</v>
      </c>
      <c r="C150" s="4" t="s">
        <v>162</v>
      </c>
      <c r="D150" s="4" t="s">
        <v>10</v>
      </c>
      <c r="E150" s="4">
        <v>22</v>
      </c>
      <c r="F150" s="4" t="str">
        <f>IF(Table1567[[#This Row],[Age]]&lt;=19,"Teenager",IF(Table1567[[#This Row],[Age]]&lt;=40,"Median","Old"))</f>
        <v>Median</v>
      </c>
      <c r="G150" s="4" t="s">
        <v>14</v>
      </c>
      <c r="H150" s="4">
        <v>3</v>
      </c>
      <c r="I150" s="4">
        <v>25</v>
      </c>
      <c r="J150" s="4">
        <v>75</v>
      </c>
      <c r="K150" s="4" t="str" cm="1">
        <f t="array" ref="K150">_xlfn.IFS(AND(Table1567[[#This Row],[Total Amount]]&gt;=1500),"Critical",AND(Table1567[[#This Row],[Total Amount]]&gt;=1000),"High",TRUE,"Normal")</f>
        <v>Normal</v>
      </c>
      <c r="L150" s="4" t="str">
        <f>IF(Table1567[[#This Row],[Total Amount]]&gt;=1000,"High",(IF(Table1567[[#This Row],[Total Amount]]&gt;=500,"Medium","Low")))</f>
        <v>Low</v>
      </c>
      <c r="M150" s="4" t="str" cm="1">
        <f t="array" ref="M15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50" s="4" cm="1">
        <f t="array" ref="N15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50" s="4">
        <f>Table1567[[#This Row],[Total Amount]]-Table1567[[#This Row],[Discount Amount]]</f>
        <v>75</v>
      </c>
      <c r="P150" s="4" t="str">
        <f>IF(Table1567[[#This Row],[Total Amount]]&gt;=1000,"High","Low")</f>
        <v>Low</v>
      </c>
      <c r="Q150" s="4" t="str" cm="1">
        <f t="array" ref="Q150">_xlfn.IFS(AND(Table1567[[#This Row],[Total Amount]]&gt;=1500,"Critical"),AND(Table1567[[#This Row],[Total Amount]]&gt;=1000,"High"),TRUE,"Normal")</f>
        <v>Normal</v>
      </c>
      <c r="R150" s="4" t="str">
        <f>CONCATENATE(Table1567[[#This Row],[Customer ID]], "-",Table1567[[#This Row],[Age]])</f>
        <v>CUST149-22</v>
      </c>
      <c r="S150" s="4" t="str">
        <f>TEXT(Table1567[[#This Row],[Date]],"mmm")</f>
        <v>Oct</v>
      </c>
      <c r="T150" s="4" t="str">
        <f>TEXT(Table1567[[#This Row],[Date]],"DDD")</f>
        <v>Wed</v>
      </c>
    </row>
    <row r="151" spans="1:20" ht="29" x14ac:dyDescent="0.35">
      <c r="A151" s="4">
        <v>150</v>
      </c>
      <c r="B151" s="5">
        <v>44932</v>
      </c>
      <c r="C151" s="4" t="s">
        <v>163</v>
      </c>
      <c r="D151" s="4" t="s">
        <v>13</v>
      </c>
      <c r="E151" s="4">
        <v>58</v>
      </c>
      <c r="F151" s="4" t="str">
        <f>IF(Table1567[[#This Row],[Age]]&lt;=19,"Teenager",IF(Table1567[[#This Row],[Age]]&lt;=40,"Median","Old"))</f>
        <v>Old</v>
      </c>
      <c r="G151" s="4" t="s">
        <v>16</v>
      </c>
      <c r="H151" s="4">
        <v>4</v>
      </c>
      <c r="I151" s="4">
        <v>30</v>
      </c>
      <c r="J151" s="4">
        <v>120</v>
      </c>
      <c r="K151" s="4" t="str" cm="1">
        <f t="array" ref="K151">_xlfn.IFS(AND(Table1567[[#This Row],[Total Amount]]&gt;=1500),"Critical",AND(Table1567[[#This Row],[Total Amount]]&gt;=1000),"High",TRUE,"Normal")</f>
        <v>Normal</v>
      </c>
      <c r="L151" s="4" t="str">
        <f>IF(Table1567[[#This Row],[Total Amount]]&gt;=1000,"High",(IF(Table1567[[#This Row],[Total Amount]]&gt;=500,"Medium","Low")))</f>
        <v>Low</v>
      </c>
      <c r="M151" s="4" t="str" cm="1">
        <f t="array" ref="M15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51" s="4" cm="1">
        <f t="array" ref="N15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</v>
      </c>
      <c r="O151" s="4">
        <f>Table1567[[#This Row],[Total Amount]]-Table1567[[#This Row],[Discount Amount]]</f>
        <v>96</v>
      </c>
      <c r="P151" s="4" t="str">
        <f>IF(Table1567[[#This Row],[Total Amount]]&gt;=1000,"High","Low")</f>
        <v>Low</v>
      </c>
      <c r="Q151" s="4" t="str" cm="1">
        <f t="array" ref="Q151">_xlfn.IFS(AND(Table1567[[#This Row],[Total Amount]]&gt;=1500,"Critical"),AND(Table1567[[#This Row],[Total Amount]]&gt;=1000,"High"),TRUE,"Normal")</f>
        <v>Normal</v>
      </c>
      <c r="R151" s="4" t="str">
        <f>CONCATENATE(Table1567[[#This Row],[Customer ID]], "-",Table1567[[#This Row],[Age]])</f>
        <v>CUST150-58</v>
      </c>
      <c r="S151" s="4" t="str">
        <f>TEXT(Table1567[[#This Row],[Date]],"mmm")</f>
        <v>Jan</v>
      </c>
      <c r="T151" s="4" t="str">
        <f>TEXT(Table1567[[#This Row],[Date]],"DDD")</f>
        <v>Fri</v>
      </c>
    </row>
    <row r="152" spans="1:20" ht="29" x14ac:dyDescent="0.35">
      <c r="A152" s="4">
        <v>151</v>
      </c>
      <c r="B152" s="5">
        <v>45275</v>
      </c>
      <c r="C152" s="4" t="s">
        <v>164</v>
      </c>
      <c r="D152" s="4" t="s">
        <v>10</v>
      </c>
      <c r="E152" s="4">
        <v>29</v>
      </c>
      <c r="F152" s="4" t="str">
        <f>IF(Table1567[[#This Row],[Age]]&lt;=19,"Teenager",IF(Table1567[[#This Row],[Age]]&lt;=40,"Median","Old"))</f>
        <v>Median</v>
      </c>
      <c r="G152" s="4" t="s">
        <v>14</v>
      </c>
      <c r="H152" s="4">
        <v>1</v>
      </c>
      <c r="I152" s="4">
        <v>50</v>
      </c>
      <c r="J152" s="4">
        <v>50</v>
      </c>
      <c r="K152" s="4" t="str" cm="1">
        <f t="array" ref="K152">_xlfn.IFS(AND(Table1567[[#This Row],[Total Amount]]&gt;=1500),"Critical",AND(Table1567[[#This Row],[Total Amount]]&gt;=1000),"High",TRUE,"Normal")</f>
        <v>Normal</v>
      </c>
      <c r="L152" s="4" t="str">
        <f>IF(Table1567[[#This Row],[Total Amount]]&gt;=1000,"High",(IF(Table1567[[#This Row],[Total Amount]]&gt;=500,"Medium","Low")))</f>
        <v>Low</v>
      </c>
      <c r="M152" s="4" t="str" cm="1">
        <f t="array" ref="M15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52" s="4" cm="1">
        <f t="array" ref="N15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152" s="4">
        <f>Table1567[[#This Row],[Total Amount]]-Table1567[[#This Row],[Discount Amount]]</f>
        <v>42.5</v>
      </c>
      <c r="P152" s="4" t="str">
        <f>IF(Table1567[[#This Row],[Total Amount]]&gt;=1000,"High","Low")</f>
        <v>Low</v>
      </c>
      <c r="Q152" s="4" t="str" cm="1">
        <f t="array" ref="Q152">_xlfn.IFS(AND(Table1567[[#This Row],[Total Amount]]&gt;=1500,"Critical"),AND(Table1567[[#This Row],[Total Amount]]&gt;=1000,"High"),TRUE,"Normal")</f>
        <v>Normal</v>
      </c>
      <c r="R152" s="4" t="str">
        <f>CONCATENATE(Table1567[[#This Row],[Customer ID]], "-",Table1567[[#This Row],[Age]])</f>
        <v>CUST151-29</v>
      </c>
      <c r="S152" s="4" t="str">
        <f>TEXT(Table1567[[#This Row],[Date]],"mmm")</f>
        <v>Dec</v>
      </c>
      <c r="T152" s="4" t="str">
        <f>TEXT(Table1567[[#This Row],[Date]],"DDD")</f>
        <v>Fri</v>
      </c>
    </row>
    <row r="153" spans="1:20" ht="29" x14ac:dyDescent="0.35">
      <c r="A153" s="4">
        <v>152</v>
      </c>
      <c r="B153" s="5">
        <v>44985</v>
      </c>
      <c r="C153" s="4" t="s">
        <v>165</v>
      </c>
      <c r="D153" s="4" t="s">
        <v>10</v>
      </c>
      <c r="E153" s="4">
        <v>43</v>
      </c>
      <c r="F153" s="4" t="str">
        <f>IF(Table1567[[#This Row],[Age]]&lt;=19,"Teenager",IF(Table1567[[#This Row],[Age]]&lt;=40,"Median","Old"))</f>
        <v>Old</v>
      </c>
      <c r="G153" s="4" t="s">
        <v>16</v>
      </c>
      <c r="H153" s="4">
        <v>4</v>
      </c>
      <c r="I153" s="4">
        <v>500</v>
      </c>
      <c r="J153" s="4">
        <v>2000</v>
      </c>
      <c r="K153" s="4" t="str" cm="1">
        <f t="array" ref="K153">_xlfn.IFS(AND(Table1567[[#This Row],[Total Amount]]&gt;=1500),"Critical",AND(Table1567[[#This Row],[Total Amount]]&gt;=1000),"High",TRUE,"Normal")</f>
        <v>Critical</v>
      </c>
      <c r="L153" s="4" t="str">
        <f>IF(Table1567[[#This Row],[Total Amount]]&gt;=1000,"High",(IF(Table1567[[#This Row],[Total Amount]]&gt;=500,"Medium","Low")))</f>
        <v>High</v>
      </c>
      <c r="M153" s="4" t="str" cm="1">
        <f t="array" ref="M15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53" s="4" cm="1">
        <f t="array" ref="N15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153" s="4">
        <f>Table1567[[#This Row],[Total Amount]]-Table1567[[#This Row],[Discount Amount]]</f>
        <v>1800</v>
      </c>
      <c r="P153" s="4" t="str">
        <f>IF(Table1567[[#This Row],[Total Amount]]&gt;=1000,"High","Low")</f>
        <v>High</v>
      </c>
      <c r="Q153" s="4" t="b" cm="1">
        <f t="array" ref="Q153">_xlfn.IFS(AND(Table1567[[#This Row],[Total Amount]]&gt;=1500,"Critical"),AND(Table1567[[#This Row],[Total Amount]]&gt;=1000,"High"),TRUE,"Normal")</f>
        <v>1</v>
      </c>
      <c r="R153" s="4" t="str">
        <f>CONCATENATE(Table1567[[#This Row],[Customer ID]], "-",Table1567[[#This Row],[Age]])</f>
        <v>CUST152-43</v>
      </c>
      <c r="S153" s="4" t="str">
        <f>TEXT(Table1567[[#This Row],[Date]],"mmm")</f>
        <v>Feb</v>
      </c>
      <c r="T153" s="4" t="str">
        <f>TEXT(Table1567[[#This Row],[Date]],"DDD")</f>
        <v>Tue</v>
      </c>
    </row>
    <row r="154" spans="1:20" ht="29" x14ac:dyDescent="0.35">
      <c r="A154" s="4">
        <v>153</v>
      </c>
      <c r="B154" s="5">
        <v>45276</v>
      </c>
      <c r="C154" s="4" t="s">
        <v>166</v>
      </c>
      <c r="D154" s="4" t="s">
        <v>10</v>
      </c>
      <c r="E154" s="4">
        <v>63</v>
      </c>
      <c r="F154" s="4" t="str">
        <f>IF(Table1567[[#This Row],[Age]]&lt;=19,"Teenager",IF(Table1567[[#This Row],[Age]]&lt;=40,"Median","Old"))</f>
        <v>Old</v>
      </c>
      <c r="G154" s="4" t="s">
        <v>16</v>
      </c>
      <c r="H154" s="4">
        <v>2</v>
      </c>
      <c r="I154" s="4">
        <v>500</v>
      </c>
      <c r="J154" s="4">
        <v>1000</v>
      </c>
      <c r="K154" s="4" t="str" cm="1">
        <f t="array" ref="K154">_xlfn.IFS(AND(Table1567[[#This Row],[Total Amount]]&gt;=1500),"Critical",AND(Table1567[[#This Row],[Total Amount]]&gt;=1000),"High",TRUE,"Normal")</f>
        <v>High</v>
      </c>
      <c r="L154" s="4" t="str">
        <f>IF(Table1567[[#This Row],[Total Amount]]&gt;=1000,"High",(IF(Table1567[[#This Row],[Total Amount]]&gt;=500,"Medium","Low")))</f>
        <v>High</v>
      </c>
      <c r="M154" s="4" t="str" cm="1">
        <f t="array" ref="M15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54" s="4" cm="1">
        <f t="array" ref="N15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154" s="4">
        <f>Table1567[[#This Row],[Total Amount]]-Table1567[[#This Row],[Discount Amount]]</f>
        <v>900</v>
      </c>
      <c r="P154" s="4" t="str">
        <f>IF(Table1567[[#This Row],[Total Amount]]&gt;=1000,"High","Low")</f>
        <v>High</v>
      </c>
      <c r="Q154" s="4" t="str" cm="1">
        <f t="array" ref="Q154">_xlfn.IFS(AND(Table1567[[#This Row],[Total Amount]]&gt;=1500,"Critical"),AND(Table1567[[#This Row],[Total Amount]]&gt;=1000,"High"),TRUE,"Normal")</f>
        <v>Normal</v>
      </c>
      <c r="R154" s="4" t="str">
        <f>CONCATENATE(Table1567[[#This Row],[Customer ID]], "-",Table1567[[#This Row],[Age]])</f>
        <v>CUST153-63</v>
      </c>
      <c r="S154" s="4" t="str">
        <f>TEXT(Table1567[[#This Row],[Date]],"mmm")</f>
        <v>Dec</v>
      </c>
      <c r="T154" s="4" t="str">
        <f>TEXT(Table1567[[#This Row],[Date]],"DDD")</f>
        <v>Sat</v>
      </c>
    </row>
    <row r="155" spans="1:20" ht="29" x14ac:dyDescent="0.35">
      <c r="A155" s="4">
        <v>154</v>
      </c>
      <c r="B155" s="5">
        <v>45201</v>
      </c>
      <c r="C155" s="4" t="s">
        <v>167</v>
      </c>
      <c r="D155" s="4" t="s">
        <v>10</v>
      </c>
      <c r="E155" s="4">
        <v>51</v>
      </c>
      <c r="F155" s="4" t="str">
        <f>IF(Table1567[[#This Row],[Age]]&lt;=19,"Teenager",IF(Table1567[[#This Row],[Age]]&lt;=40,"Median","Old"))</f>
        <v>Old</v>
      </c>
      <c r="G155" s="4" t="s">
        <v>16</v>
      </c>
      <c r="H155" s="4">
        <v>3</v>
      </c>
      <c r="I155" s="4">
        <v>300</v>
      </c>
      <c r="J155" s="4">
        <v>900</v>
      </c>
      <c r="K155" s="4" t="str" cm="1">
        <f t="array" ref="K155">_xlfn.IFS(AND(Table1567[[#This Row],[Total Amount]]&gt;=1500),"Critical",AND(Table1567[[#This Row],[Total Amount]]&gt;=1000),"High",TRUE,"Normal")</f>
        <v>Normal</v>
      </c>
      <c r="L155" s="4" t="str">
        <f>IF(Table1567[[#This Row],[Total Amount]]&gt;=1000,"High",(IF(Table1567[[#This Row],[Total Amount]]&gt;=500,"Medium","Low")))</f>
        <v>Medium</v>
      </c>
      <c r="M155" s="4" t="str" cm="1">
        <f t="array" ref="M15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55" s="4" cm="1">
        <f t="array" ref="N15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155" s="4">
        <f>Table1567[[#This Row],[Total Amount]]-Table1567[[#This Row],[Discount Amount]]</f>
        <v>810</v>
      </c>
      <c r="P155" s="4" t="str">
        <f>IF(Table1567[[#This Row],[Total Amount]]&gt;=1000,"High","Low")</f>
        <v>Low</v>
      </c>
      <c r="Q155" s="4" t="str" cm="1">
        <f t="array" ref="Q155">_xlfn.IFS(AND(Table1567[[#This Row],[Total Amount]]&gt;=1500,"Critical"),AND(Table1567[[#This Row],[Total Amount]]&gt;=1000,"High"),TRUE,"Normal")</f>
        <v>Normal</v>
      </c>
      <c r="R155" s="4" t="str">
        <f>CONCATENATE(Table1567[[#This Row],[Customer ID]], "-",Table1567[[#This Row],[Age]])</f>
        <v>CUST154-51</v>
      </c>
      <c r="S155" s="4" t="str">
        <f>TEXT(Table1567[[#This Row],[Date]],"mmm")</f>
        <v>Oct</v>
      </c>
      <c r="T155" s="4" t="str">
        <f>TEXT(Table1567[[#This Row],[Date]],"DDD")</f>
        <v>Mon</v>
      </c>
    </row>
    <row r="156" spans="1:20" ht="29" x14ac:dyDescent="0.35">
      <c r="A156" s="4">
        <v>155</v>
      </c>
      <c r="B156" s="5">
        <v>45063</v>
      </c>
      <c r="C156" s="4" t="s">
        <v>168</v>
      </c>
      <c r="D156" s="4" t="s">
        <v>10</v>
      </c>
      <c r="E156" s="4">
        <v>31</v>
      </c>
      <c r="F156" s="4" t="str">
        <f>IF(Table1567[[#This Row],[Age]]&lt;=19,"Teenager",IF(Table1567[[#This Row],[Age]]&lt;=40,"Median","Old"))</f>
        <v>Median</v>
      </c>
      <c r="G156" s="4" t="s">
        <v>16</v>
      </c>
      <c r="H156" s="4">
        <v>4</v>
      </c>
      <c r="I156" s="4">
        <v>500</v>
      </c>
      <c r="J156" s="4">
        <v>2000</v>
      </c>
      <c r="K156" s="4" t="str" cm="1">
        <f t="array" ref="K156">_xlfn.IFS(AND(Table1567[[#This Row],[Total Amount]]&gt;=1500),"Critical",AND(Table1567[[#This Row],[Total Amount]]&gt;=1000),"High",TRUE,"Normal")</f>
        <v>Critical</v>
      </c>
      <c r="L156" s="4" t="str">
        <f>IF(Table1567[[#This Row],[Total Amount]]&gt;=1000,"High",(IF(Table1567[[#This Row],[Total Amount]]&gt;=500,"Medium","Low")))</f>
        <v>High</v>
      </c>
      <c r="M156" s="4" t="str" cm="1">
        <f t="array" ref="M15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56" s="4" cm="1">
        <f t="array" ref="N15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156" s="4">
        <f>Table1567[[#This Row],[Total Amount]]-Table1567[[#This Row],[Discount Amount]]</f>
        <v>1700</v>
      </c>
      <c r="P156" s="4" t="str">
        <f>IF(Table1567[[#This Row],[Total Amount]]&gt;=1000,"High","Low")</f>
        <v>High</v>
      </c>
      <c r="Q156" s="4" t="b" cm="1">
        <f t="array" ref="Q156">_xlfn.IFS(AND(Table1567[[#This Row],[Total Amount]]&gt;=1500,"Critical"),AND(Table1567[[#This Row],[Total Amount]]&gt;=1000,"High"),TRUE,"Normal")</f>
        <v>1</v>
      </c>
      <c r="R156" s="4" t="str">
        <f>CONCATENATE(Table1567[[#This Row],[Customer ID]], "-",Table1567[[#This Row],[Age]])</f>
        <v>CUST155-31</v>
      </c>
      <c r="S156" s="4" t="str">
        <f>TEXT(Table1567[[#This Row],[Date]],"mmm")</f>
        <v>May</v>
      </c>
      <c r="T156" s="4" t="str">
        <f>TEXT(Table1567[[#This Row],[Date]],"DDD")</f>
        <v>Wed</v>
      </c>
    </row>
    <row r="157" spans="1:20" ht="29" x14ac:dyDescent="0.35">
      <c r="A157" s="4">
        <v>156</v>
      </c>
      <c r="B157" s="5">
        <v>45255</v>
      </c>
      <c r="C157" s="4" t="s">
        <v>169</v>
      </c>
      <c r="D157" s="4" t="s">
        <v>13</v>
      </c>
      <c r="E157" s="4">
        <v>43</v>
      </c>
      <c r="F157" s="4" t="str">
        <f>IF(Table1567[[#This Row],[Age]]&lt;=19,"Teenager",IF(Table1567[[#This Row],[Age]]&lt;=40,"Median","Old"))</f>
        <v>Old</v>
      </c>
      <c r="G157" s="4" t="s">
        <v>14</v>
      </c>
      <c r="H157" s="4">
        <v>4</v>
      </c>
      <c r="I157" s="4">
        <v>25</v>
      </c>
      <c r="J157" s="4">
        <v>100</v>
      </c>
      <c r="K157" s="4" t="str" cm="1">
        <f t="array" ref="K157">_xlfn.IFS(AND(Table1567[[#This Row],[Total Amount]]&gt;=1500),"Critical",AND(Table1567[[#This Row],[Total Amount]]&gt;=1000),"High",TRUE,"Normal")</f>
        <v>Normal</v>
      </c>
      <c r="L157" s="4" t="str">
        <f>IF(Table1567[[#This Row],[Total Amount]]&gt;=1000,"High",(IF(Table1567[[#This Row],[Total Amount]]&gt;=500,"Medium","Low")))</f>
        <v>Low</v>
      </c>
      <c r="M157" s="4" t="str" cm="1">
        <f t="array" ref="M15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57" s="4" cm="1">
        <f t="array" ref="N15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157" s="4">
        <f>Table1567[[#This Row],[Total Amount]]-Table1567[[#This Row],[Discount Amount]]</f>
        <v>80</v>
      </c>
      <c r="P157" s="4" t="str">
        <f>IF(Table1567[[#This Row],[Total Amount]]&gt;=1000,"High","Low")</f>
        <v>Low</v>
      </c>
      <c r="Q157" s="4" t="str" cm="1">
        <f t="array" ref="Q157">_xlfn.IFS(AND(Table1567[[#This Row],[Total Amount]]&gt;=1500,"Critical"),AND(Table1567[[#This Row],[Total Amount]]&gt;=1000,"High"),TRUE,"Normal")</f>
        <v>Normal</v>
      </c>
      <c r="R157" s="4" t="str">
        <f>CONCATENATE(Table1567[[#This Row],[Customer ID]], "-",Table1567[[#This Row],[Age]])</f>
        <v>CUST156-43</v>
      </c>
      <c r="S157" s="4" t="str">
        <f>TEXT(Table1567[[#This Row],[Date]],"mmm")</f>
        <v>Nov</v>
      </c>
      <c r="T157" s="4" t="str">
        <f>TEXT(Table1567[[#This Row],[Date]],"DDD")</f>
        <v>Sat</v>
      </c>
    </row>
    <row r="158" spans="1:20" ht="29" x14ac:dyDescent="0.35">
      <c r="A158" s="4">
        <v>157</v>
      </c>
      <c r="B158" s="5">
        <v>45101</v>
      </c>
      <c r="C158" s="4" t="s">
        <v>170</v>
      </c>
      <c r="D158" s="4" t="s">
        <v>10</v>
      </c>
      <c r="E158" s="4">
        <v>62</v>
      </c>
      <c r="F158" s="4" t="str">
        <f>IF(Table1567[[#This Row],[Age]]&lt;=19,"Teenager",IF(Table1567[[#This Row],[Age]]&lt;=40,"Median","Old"))</f>
        <v>Old</v>
      </c>
      <c r="G158" s="4" t="s">
        <v>16</v>
      </c>
      <c r="H158" s="4">
        <v>4</v>
      </c>
      <c r="I158" s="4">
        <v>500</v>
      </c>
      <c r="J158" s="4">
        <v>2000</v>
      </c>
      <c r="K158" s="4" t="str" cm="1">
        <f t="array" ref="K158">_xlfn.IFS(AND(Table1567[[#This Row],[Total Amount]]&gt;=1500),"Critical",AND(Table1567[[#This Row],[Total Amount]]&gt;=1000),"High",TRUE,"Normal")</f>
        <v>Critical</v>
      </c>
      <c r="L158" s="4" t="str">
        <f>IF(Table1567[[#This Row],[Total Amount]]&gt;=1000,"High",(IF(Table1567[[#This Row],[Total Amount]]&gt;=500,"Medium","Low")))</f>
        <v>High</v>
      </c>
      <c r="M158" s="4" t="str" cm="1">
        <f t="array" ref="M15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58" s="4" cm="1">
        <f t="array" ref="N15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158" s="4">
        <f>Table1567[[#This Row],[Total Amount]]-Table1567[[#This Row],[Discount Amount]]</f>
        <v>1800</v>
      </c>
      <c r="P158" s="4" t="str">
        <f>IF(Table1567[[#This Row],[Total Amount]]&gt;=1000,"High","Low")</f>
        <v>High</v>
      </c>
      <c r="Q158" s="4" t="b" cm="1">
        <f t="array" ref="Q158">_xlfn.IFS(AND(Table1567[[#This Row],[Total Amount]]&gt;=1500,"Critical"),AND(Table1567[[#This Row],[Total Amount]]&gt;=1000,"High"),TRUE,"Normal")</f>
        <v>1</v>
      </c>
      <c r="R158" s="4" t="str">
        <f>CONCATENATE(Table1567[[#This Row],[Customer ID]], "-",Table1567[[#This Row],[Age]])</f>
        <v>CUST157-62</v>
      </c>
      <c r="S158" s="4" t="str">
        <f>TEXT(Table1567[[#This Row],[Date]],"mmm")</f>
        <v>Jun</v>
      </c>
      <c r="T158" s="4" t="str">
        <f>TEXT(Table1567[[#This Row],[Date]],"DDD")</f>
        <v>Sat</v>
      </c>
    </row>
    <row r="159" spans="1:20" ht="29" x14ac:dyDescent="0.35">
      <c r="A159" s="4">
        <v>158</v>
      </c>
      <c r="B159" s="5">
        <v>44984</v>
      </c>
      <c r="C159" s="4" t="s">
        <v>171</v>
      </c>
      <c r="D159" s="4" t="s">
        <v>13</v>
      </c>
      <c r="E159" s="4">
        <v>44</v>
      </c>
      <c r="F159" s="4" t="str">
        <f>IF(Table1567[[#This Row],[Age]]&lt;=19,"Teenager",IF(Table1567[[#This Row],[Age]]&lt;=40,"Median","Old"))</f>
        <v>Old</v>
      </c>
      <c r="G159" s="4" t="s">
        <v>16</v>
      </c>
      <c r="H159" s="4">
        <v>2</v>
      </c>
      <c r="I159" s="4">
        <v>300</v>
      </c>
      <c r="J159" s="4">
        <v>600</v>
      </c>
      <c r="K159" s="4" t="str" cm="1">
        <f t="array" ref="K159">_xlfn.IFS(AND(Table1567[[#This Row],[Total Amount]]&gt;=1500),"Critical",AND(Table1567[[#This Row],[Total Amount]]&gt;=1000),"High",TRUE,"Normal")</f>
        <v>Normal</v>
      </c>
      <c r="L159" s="4" t="str">
        <f>IF(Table1567[[#This Row],[Total Amount]]&gt;=1000,"High",(IF(Table1567[[#This Row],[Total Amount]]&gt;=500,"Medium","Low")))</f>
        <v>Medium</v>
      </c>
      <c r="M159" s="4" t="str" cm="1">
        <f t="array" ref="M15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59" s="4" cm="1">
        <f t="array" ref="N15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159" s="4">
        <f>Table1567[[#This Row],[Total Amount]]-Table1567[[#This Row],[Discount Amount]]</f>
        <v>480</v>
      </c>
      <c r="P159" s="4" t="str">
        <f>IF(Table1567[[#This Row],[Total Amount]]&gt;=1000,"High","Low")</f>
        <v>Low</v>
      </c>
      <c r="Q159" s="4" t="str" cm="1">
        <f t="array" ref="Q159">_xlfn.IFS(AND(Table1567[[#This Row],[Total Amount]]&gt;=1500,"Critical"),AND(Table1567[[#This Row],[Total Amount]]&gt;=1000,"High"),TRUE,"Normal")</f>
        <v>Normal</v>
      </c>
      <c r="R159" s="4" t="str">
        <f>CONCATENATE(Table1567[[#This Row],[Customer ID]], "-",Table1567[[#This Row],[Age]])</f>
        <v>CUST158-44</v>
      </c>
      <c r="S159" s="4" t="str">
        <f>TEXT(Table1567[[#This Row],[Date]],"mmm")</f>
        <v>Feb</v>
      </c>
      <c r="T159" s="4" t="str">
        <f>TEXT(Table1567[[#This Row],[Date]],"DDD")</f>
        <v>Mon</v>
      </c>
    </row>
    <row r="160" spans="1:20" ht="29" x14ac:dyDescent="0.35">
      <c r="A160" s="4">
        <v>159</v>
      </c>
      <c r="B160" s="5">
        <v>45077</v>
      </c>
      <c r="C160" s="4" t="s">
        <v>172</v>
      </c>
      <c r="D160" s="4" t="s">
        <v>10</v>
      </c>
      <c r="E160" s="4">
        <v>26</v>
      </c>
      <c r="F160" s="4" t="str">
        <f>IF(Table1567[[#This Row],[Age]]&lt;=19,"Teenager",IF(Table1567[[#This Row],[Age]]&lt;=40,"Median","Old"))</f>
        <v>Median</v>
      </c>
      <c r="G160" s="4" t="s">
        <v>14</v>
      </c>
      <c r="H160" s="4">
        <v>4</v>
      </c>
      <c r="I160" s="4">
        <v>50</v>
      </c>
      <c r="J160" s="4">
        <v>200</v>
      </c>
      <c r="K160" s="4" t="str" cm="1">
        <f t="array" ref="K160">_xlfn.IFS(AND(Table1567[[#This Row],[Total Amount]]&gt;=1500),"Critical",AND(Table1567[[#This Row],[Total Amount]]&gt;=1000),"High",TRUE,"Normal")</f>
        <v>Normal</v>
      </c>
      <c r="L160" s="4" t="str">
        <f>IF(Table1567[[#This Row],[Total Amount]]&gt;=1000,"High",(IF(Table1567[[#This Row],[Total Amount]]&gt;=500,"Medium","Low")))</f>
        <v>Low</v>
      </c>
      <c r="M160" s="4" t="str" cm="1">
        <f t="array" ref="M16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60" s="4" cm="1">
        <f t="array" ref="N16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160" s="4">
        <f>Table1567[[#This Row],[Total Amount]]-Table1567[[#This Row],[Discount Amount]]</f>
        <v>170</v>
      </c>
      <c r="P160" s="4" t="str">
        <f>IF(Table1567[[#This Row],[Total Amount]]&gt;=1000,"High","Low")</f>
        <v>Low</v>
      </c>
      <c r="Q160" s="4" t="str" cm="1">
        <f t="array" ref="Q160">_xlfn.IFS(AND(Table1567[[#This Row],[Total Amount]]&gt;=1500,"Critical"),AND(Table1567[[#This Row],[Total Amount]]&gt;=1000,"High"),TRUE,"Normal")</f>
        <v>Normal</v>
      </c>
      <c r="R160" s="4" t="str">
        <f>CONCATENATE(Table1567[[#This Row],[Customer ID]], "-",Table1567[[#This Row],[Age]])</f>
        <v>CUST159-26</v>
      </c>
      <c r="S160" s="4" t="str">
        <f>TEXT(Table1567[[#This Row],[Date]],"mmm")</f>
        <v>May</v>
      </c>
      <c r="T160" s="4" t="str">
        <f>TEXT(Table1567[[#This Row],[Date]],"DDD")</f>
        <v>Wed</v>
      </c>
    </row>
    <row r="161" spans="1:20" ht="29" x14ac:dyDescent="0.35">
      <c r="A161" s="4">
        <v>160</v>
      </c>
      <c r="B161" s="5">
        <v>45149</v>
      </c>
      <c r="C161" s="4" t="s">
        <v>173</v>
      </c>
      <c r="D161" s="4" t="s">
        <v>13</v>
      </c>
      <c r="E161" s="4">
        <v>43</v>
      </c>
      <c r="F161" s="4" t="str">
        <f>IF(Table1567[[#This Row],[Age]]&lt;=19,"Teenager",IF(Table1567[[#This Row],[Age]]&lt;=40,"Median","Old"))</f>
        <v>Old</v>
      </c>
      <c r="G161" s="4" t="s">
        <v>14</v>
      </c>
      <c r="H161" s="4">
        <v>2</v>
      </c>
      <c r="I161" s="4">
        <v>50</v>
      </c>
      <c r="J161" s="4">
        <v>100</v>
      </c>
      <c r="K161" s="4" t="str" cm="1">
        <f t="array" ref="K161">_xlfn.IFS(AND(Table1567[[#This Row],[Total Amount]]&gt;=1500),"Critical",AND(Table1567[[#This Row],[Total Amount]]&gt;=1000),"High",TRUE,"Normal")</f>
        <v>Normal</v>
      </c>
      <c r="L161" s="4" t="str">
        <f>IF(Table1567[[#This Row],[Total Amount]]&gt;=1000,"High",(IF(Table1567[[#This Row],[Total Amount]]&gt;=500,"Medium","Low")))</f>
        <v>Low</v>
      </c>
      <c r="M161" s="4" t="str" cm="1">
        <f t="array" ref="M16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61" s="4" cm="1">
        <f t="array" ref="N16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161" s="4">
        <f>Table1567[[#This Row],[Total Amount]]-Table1567[[#This Row],[Discount Amount]]</f>
        <v>80</v>
      </c>
      <c r="P161" s="4" t="str">
        <f>IF(Table1567[[#This Row],[Total Amount]]&gt;=1000,"High","Low")</f>
        <v>Low</v>
      </c>
      <c r="Q161" s="4" t="str" cm="1">
        <f t="array" ref="Q161">_xlfn.IFS(AND(Table1567[[#This Row],[Total Amount]]&gt;=1500,"Critical"),AND(Table1567[[#This Row],[Total Amount]]&gt;=1000,"High"),TRUE,"Normal")</f>
        <v>Normal</v>
      </c>
      <c r="R161" s="4" t="str">
        <f>CONCATENATE(Table1567[[#This Row],[Customer ID]], "-",Table1567[[#This Row],[Age]])</f>
        <v>CUST160-43</v>
      </c>
      <c r="S161" s="4" t="str">
        <f>TEXT(Table1567[[#This Row],[Date]],"mmm")</f>
        <v>Aug</v>
      </c>
      <c r="T161" s="4" t="str">
        <f>TEXT(Table1567[[#This Row],[Date]],"DDD")</f>
        <v>Fri</v>
      </c>
    </row>
    <row r="162" spans="1:20" ht="29" x14ac:dyDescent="0.35">
      <c r="A162" s="4">
        <v>161</v>
      </c>
      <c r="B162" s="5">
        <v>45007</v>
      </c>
      <c r="C162" s="4" t="s">
        <v>174</v>
      </c>
      <c r="D162" s="4" t="s">
        <v>10</v>
      </c>
      <c r="E162" s="4">
        <v>64</v>
      </c>
      <c r="F162" s="4" t="str">
        <f>IF(Table1567[[#This Row],[Age]]&lt;=19,"Teenager",IF(Table1567[[#This Row],[Age]]&lt;=40,"Median","Old"))</f>
        <v>Old</v>
      </c>
      <c r="G162" s="4" t="s">
        <v>11</v>
      </c>
      <c r="H162" s="4">
        <v>2</v>
      </c>
      <c r="I162" s="4">
        <v>500</v>
      </c>
      <c r="J162" s="4">
        <v>1000</v>
      </c>
      <c r="K162" s="4" t="str" cm="1">
        <f t="array" ref="K162">_xlfn.IFS(AND(Table1567[[#This Row],[Total Amount]]&gt;=1500),"Critical",AND(Table1567[[#This Row],[Total Amount]]&gt;=1000),"High",TRUE,"Normal")</f>
        <v>High</v>
      </c>
      <c r="L162" s="4" t="str">
        <f>IF(Table1567[[#This Row],[Total Amount]]&gt;=1000,"High",(IF(Table1567[[#This Row],[Total Amount]]&gt;=500,"Medium","Low")))</f>
        <v>High</v>
      </c>
      <c r="M162" s="4" t="str" cm="1">
        <f t="array" ref="M16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62" s="4" cm="1">
        <f t="array" ref="N16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162" s="4">
        <f>Table1567[[#This Row],[Total Amount]]-Table1567[[#This Row],[Discount Amount]]</f>
        <v>900</v>
      </c>
      <c r="P162" s="4" t="str">
        <f>IF(Table1567[[#This Row],[Total Amount]]&gt;=1000,"High","Low")</f>
        <v>High</v>
      </c>
      <c r="Q162" s="4" t="str" cm="1">
        <f t="array" ref="Q162">_xlfn.IFS(AND(Table1567[[#This Row],[Total Amount]]&gt;=1500,"Critical"),AND(Table1567[[#This Row],[Total Amount]]&gt;=1000,"High"),TRUE,"Normal")</f>
        <v>Normal</v>
      </c>
      <c r="R162" s="4" t="str">
        <f>CONCATENATE(Table1567[[#This Row],[Customer ID]], "-",Table1567[[#This Row],[Age]])</f>
        <v>CUST161-64</v>
      </c>
      <c r="S162" s="4" t="str">
        <f>TEXT(Table1567[[#This Row],[Date]],"mmm")</f>
        <v>Mar</v>
      </c>
      <c r="T162" s="4" t="str">
        <f>TEXT(Table1567[[#This Row],[Date]],"DDD")</f>
        <v>Wed</v>
      </c>
    </row>
    <row r="163" spans="1:20" ht="29" x14ac:dyDescent="0.35">
      <c r="A163" s="4">
        <v>162</v>
      </c>
      <c r="B163" s="5">
        <v>45159</v>
      </c>
      <c r="C163" s="4" t="s">
        <v>175</v>
      </c>
      <c r="D163" s="4" t="s">
        <v>10</v>
      </c>
      <c r="E163" s="4">
        <v>39</v>
      </c>
      <c r="F163" s="4" t="str">
        <f>IF(Table1567[[#This Row],[Age]]&lt;=19,"Teenager",IF(Table1567[[#This Row],[Age]]&lt;=40,"Median","Old"))</f>
        <v>Median</v>
      </c>
      <c r="G163" s="4" t="s">
        <v>14</v>
      </c>
      <c r="H163" s="4">
        <v>2</v>
      </c>
      <c r="I163" s="4">
        <v>30</v>
      </c>
      <c r="J163" s="4">
        <v>60</v>
      </c>
      <c r="K163" s="4" t="str" cm="1">
        <f t="array" ref="K163">_xlfn.IFS(AND(Table1567[[#This Row],[Total Amount]]&gt;=1500),"Critical",AND(Table1567[[#This Row],[Total Amount]]&gt;=1000),"High",TRUE,"Normal")</f>
        <v>Normal</v>
      </c>
      <c r="L163" s="4" t="str">
        <f>IF(Table1567[[#This Row],[Total Amount]]&gt;=1000,"High",(IF(Table1567[[#This Row],[Total Amount]]&gt;=500,"Medium","Low")))</f>
        <v>Low</v>
      </c>
      <c r="M163" s="4" t="str" cm="1">
        <f t="array" ref="M16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63" s="4" cm="1">
        <f t="array" ref="N16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163" s="4">
        <f>Table1567[[#This Row],[Total Amount]]-Table1567[[#This Row],[Discount Amount]]</f>
        <v>54</v>
      </c>
      <c r="P163" s="4" t="str">
        <f>IF(Table1567[[#This Row],[Total Amount]]&gt;=1000,"High","Low")</f>
        <v>Low</v>
      </c>
      <c r="Q163" s="4" t="str" cm="1">
        <f t="array" ref="Q163">_xlfn.IFS(AND(Table1567[[#This Row],[Total Amount]]&gt;=1500,"Critical"),AND(Table1567[[#This Row],[Total Amount]]&gt;=1000,"High"),TRUE,"Normal")</f>
        <v>Normal</v>
      </c>
      <c r="R163" s="4" t="str">
        <f>CONCATENATE(Table1567[[#This Row],[Customer ID]], "-",Table1567[[#This Row],[Age]])</f>
        <v>CUST162-39</v>
      </c>
      <c r="S163" s="4" t="str">
        <f>TEXT(Table1567[[#This Row],[Date]],"mmm")</f>
        <v>Aug</v>
      </c>
      <c r="T163" s="4" t="str">
        <f>TEXT(Table1567[[#This Row],[Date]],"DDD")</f>
        <v>Mon</v>
      </c>
    </row>
    <row r="164" spans="1:20" ht="29" x14ac:dyDescent="0.35">
      <c r="A164" s="4">
        <v>163</v>
      </c>
      <c r="B164" s="5">
        <v>44928</v>
      </c>
      <c r="C164" s="4" t="s">
        <v>176</v>
      </c>
      <c r="D164" s="4" t="s">
        <v>13</v>
      </c>
      <c r="E164" s="4">
        <v>64</v>
      </c>
      <c r="F164" s="4" t="str">
        <f>IF(Table1567[[#This Row],[Age]]&lt;=19,"Teenager",IF(Table1567[[#This Row],[Age]]&lt;=40,"Median","Old"))</f>
        <v>Old</v>
      </c>
      <c r="G164" s="4" t="s">
        <v>14</v>
      </c>
      <c r="H164" s="4">
        <v>3</v>
      </c>
      <c r="I164" s="4">
        <v>50</v>
      </c>
      <c r="J164" s="4">
        <v>150</v>
      </c>
      <c r="K164" s="4" t="str" cm="1">
        <f t="array" ref="K164">_xlfn.IFS(AND(Table1567[[#This Row],[Total Amount]]&gt;=1500),"Critical",AND(Table1567[[#This Row],[Total Amount]]&gt;=1000),"High",TRUE,"Normal")</f>
        <v>Normal</v>
      </c>
      <c r="L164" s="4" t="str">
        <f>IF(Table1567[[#This Row],[Total Amount]]&gt;=1000,"High",(IF(Table1567[[#This Row],[Total Amount]]&gt;=500,"Medium","Low")))</f>
        <v>Low</v>
      </c>
      <c r="M164" s="4" t="str" cm="1">
        <f t="array" ref="M16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64" s="4" cm="1">
        <f t="array" ref="N16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164" s="4">
        <f>Table1567[[#This Row],[Total Amount]]-Table1567[[#This Row],[Discount Amount]]</f>
        <v>120</v>
      </c>
      <c r="P164" s="4" t="str">
        <f>IF(Table1567[[#This Row],[Total Amount]]&gt;=1000,"High","Low")</f>
        <v>Low</v>
      </c>
      <c r="Q164" s="4" t="str" cm="1">
        <f t="array" ref="Q164">_xlfn.IFS(AND(Table1567[[#This Row],[Total Amount]]&gt;=1500,"Critical"),AND(Table1567[[#This Row],[Total Amount]]&gt;=1000,"High"),TRUE,"Normal")</f>
        <v>Normal</v>
      </c>
      <c r="R164" s="4" t="str">
        <f>CONCATENATE(Table1567[[#This Row],[Customer ID]], "-",Table1567[[#This Row],[Age]])</f>
        <v>CUST163-64</v>
      </c>
      <c r="S164" s="4" t="str">
        <f>TEXT(Table1567[[#This Row],[Date]],"mmm")</f>
        <v>Jan</v>
      </c>
      <c r="T164" s="4" t="str">
        <f>TEXT(Table1567[[#This Row],[Date]],"DDD")</f>
        <v>Mon</v>
      </c>
    </row>
    <row r="165" spans="1:20" ht="29" x14ac:dyDescent="0.35">
      <c r="A165" s="4">
        <v>164</v>
      </c>
      <c r="B165" s="5">
        <v>45061</v>
      </c>
      <c r="C165" s="4" t="s">
        <v>177</v>
      </c>
      <c r="D165" s="4" t="s">
        <v>13</v>
      </c>
      <c r="E165" s="4">
        <v>47</v>
      </c>
      <c r="F165" s="4" t="str">
        <f>IF(Table1567[[#This Row],[Age]]&lt;=19,"Teenager",IF(Table1567[[#This Row],[Age]]&lt;=40,"Median","Old"))</f>
        <v>Old</v>
      </c>
      <c r="G165" s="4" t="s">
        <v>11</v>
      </c>
      <c r="H165" s="4">
        <v>3</v>
      </c>
      <c r="I165" s="4">
        <v>500</v>
      </c>
      <c r="J165" s="4">
        <v>1500</v>
      </c>
      <c r="K165" s="4" t="str" cm="1">
        <f t="array" ref="K165">_xlfn.IFS(AND(Table1567[[#This Row],[Total Amount]]&gt;=1500),"Critical",AND(Table1567[[#This Row],[Total Amount]]&gt;=1000),"High",TRUE,"Normal")</f>
        <v>Critical</v>
      </c>
      <c r="L165" s="4" t="str">
        <f>IF(Table1567[[#This Row],[Total Amount]]&gt;=1000,"High",(IF(Table1567[[#This Row],[Total Amount]]&gt;=500,"Medium","Low")))</f>
        <v>High</v>
      </c>
      <c r="M165" s="4" t="str" cm="1">
        <f t="array" ref="M16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65" s="4" cm="1">
        <f t="array" ref="N16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165" s="4">
        <f>Table1567[[#This Row],[Total Amount]]-Table1567[[#This Row],[Discount Amount]]</f>
        <v>1200</v>
      </c>
      <c r="P165" s="4" t="str">
        <f>IF(Table1567[[#This Row],[Total Amount]]&gt;=1000,"High","Low")</f>
        <v>High</v>
      </c>
      <c r="Q165" s="4" t="b" cm="1">
        <f t="array" ref="Q165">_xlfn.IFS(AND(Table1567[[#This Row],[Total Amount]]&gt;=1500,"Critical"),AND(Table1567[[#This Row],[Total Amount]]&gt;=1000,"High"),TRUE,"Normal")</f>
        <v>1</v>
      </c>
      <c r="R165" s="4" t="str">
        <f>CONCATENATE(Table1567[[#This Row],[Customer ID]], "-",Table1567[[#This Row],[Age]])</f>
        <v>CUST164-47</v>
      </c>
      <c r="S165" s="4" t="str">
        <f>TEXT(Table1567[[#This Row],[Date]],"mmm")</f>
        <v>May</v>
      </c>
      <c r="T165" s="4" t="str">
        <f>TEXT(Table1567[[#This Row],[Date]],"DDD")</f>
        <v>Mon</v>
      </c>
    </row>
    <row r="166" spans="1:20" ht="29" x14ac:dyDescent="0.35">
      <c r="A166" s="4">
        <v>165</v>
      </c>
      <c r="B166" s="5">
        <v>45183</v>
      </c>
      <c r="C166" s="4" t="s">
        <v>178</v>
      </c>
      <c r="D166" s="4" t="s">
        <v>13</v>
      </c>
      <c r="E166" s="4">
        <v>60</v>
      </c>
      <c r="F166" s="4" t="str">
        <f>IF(Table1567[[#This Row],[Age]]&lt;=19,"Teenager",IF(Table1567[[#This Row],[Age]]&lt;=40,"Median","Old"))</f>
        <v>Old</v>
      </c>
      <c r="G166" s="4" t="s">
        <v>14</v>
      </c>
      <c r="H166" s="4">
        <v>4</v>
      </c>
      <c r="I166" s="4">
        <v>300</v>
      </c>
      <c r="J166" s="4">
        <v>1200</v>
      </c>
      <c r="K166" s="4" t="str" cm="1">
        <f t="array" ref="K166">_xlfn.IFS(AND(Table1567[[#This Row],[Total Amount]]&gt;=1500),"Critical",AND(Table1567[[#This Row],[Total Amount]]&gt;=1000),"High",TRUE,"Normal")</f>
        <v>High</v>
      </c>
      <c r="L166" s="4" t="str">
        <f>IF(Table1567[[#This Row],[Total Amount]]&gt;=1000,"High",(IF(Table1567[[#This Row],[Total Amount]]&gt;=500,"Medium","Low")))</f>
        <v>High</v>
      </c>
      <c r="M166" s="4" t="str" cm="1">
        <f t="array" ref="M16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66" s="4" cm="1">
        <f t="array" ref="N16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240</v>
      </c>
      <c r="O166" s="4">
        <f>Table1567[[#This Row],[Total Amount]]-Table1567[[#This Row],[Discount Amount]]</f>
        <v>960</v>
      </c>
      <c r="P166" s="4" t="str">
        <f>IF(Table1567[[#This Row],[Total Amount]]&gt;=1000,"High","Low")</f>
        <v>High</v>
      </c>
      <c r="Q166" s="4" t="str" cm="1">
        <f t="array" ref="Q166">_xlfn.IFS(AND(Table1567[[#This Row],[Total Amount]]&gt;=1500,"Critical"),AND(Table1567[[#This Row],[Total Amount]]&gt;=1000,"High"),TRUE,"Normal")</f>
        <v>Normal</v>
      </c>
      <c r="R166" s="4" t="str">
        <f>CONCATENATE(Table1567[[#This Row],[Customer ID]], "-",Table1567[[#This Row],[Age]])</f>
        <v>CUST165-60</v>
      </c>
      <c r="S166" s="4" t="str">
        <f>TEXT(Table1567[[#This Row],[Date]],"mmm")</f>
        <v>Sep</v>
      </c>
      <c r="T166" s="4" t="str">
        <f>TEXT(Table1567[[#This Row],[Date]],"DDD")</f>
        <v>Thu</v>
      </c>
    </row>
    <row r="167" spans="1:20" ht="29" x14ac:dyDescent="0.35">
      <c r="A167" s="4">
        <v>166</v>
      </c>
      <c r="B167" s="5">
        <v>45018</v>
      </c>
      <c r="C167" s="4" t="s">
        <v>179</v>
      </c>
      <c r="D167" s="4" t="s">
        <v>10</v>
      </c>
      <c r="E167" s="4">
        <v>34</v>
      </c>
      <c r="F167" s="4" t="str">
        <f>IF(Table1567[[#This Row],[Age]]&lt;=19,"Teenager",IF(Table1567[[#This Row],[Age]]&lt;=40,"Median","Old"))</f>
        <v>Median</v>
      </c>
      <c r="G167" s="4" t="s">
        <v>14</v>
      </c>
      <c r="H167" s="4">
        <v>4</v>
      </c>
      <c r="I167" s="4">
        <v>500</v>
      </c>
      <c r="J167" s="4">
        <v>2000</v>
      </c>
      <c r="K167" s="4" t="str" cm="1">
        <f t="array" ref="K167">_xlfn.IFS(AND(Table1567[[#This Row],[Total Amount]]&gt;=1500),"Critical",AND(Table1567[[#This Row],[Total Amount]]&gt;=1000),"High",TRUE,"Normal")</f>
        <v>Critical</v>
      </c>
      <c r="L167" s="4" t="str">
        <f>IF(Table1567[[#This Row],[Total Amount]]&gt;=1000,"High",(IF(Table1567[[#This Row],[Total Amount]]&gt;=500,"Medium","Low")))</f>
        <v>High</v>
      </c>
      <c r="M167" s="4" t="str" cm="1">
        <f t="array" ref="M16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67" s="4" cm="1">
        <f t="array" ref="N16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167" s="4">
        <f>Table1567[[#This Row],[Total Amount]]-Table1567[[#This Row],[Discount Amount]]</f>
        <v>1700</v>
      </c>
      <c r="P167" s="4" t="str">
        <f>IF(Table1567[[#This Row],[Total Amount]]&gt;=1000,"High","Low")</f>
        <v>High</v>
      </c>
      <c r="Q167" s="4" t="b" cm="1">
        <f t="array" ref="Q167">_xlfn.IFS(AND(Table1567[[#This Row],[Total Amount]]&gt;=1500,"Critical"),AND(Table1567[[#This Row],[Total Amount]]&gt;=1000,"High"),TRUE,"Normal")</f>
        <v>1</v>
      </c>
      <c r="R167" s="4" t="str">
        <f>CONCATENATE(Table1567[[#This Row],[Customer ID]], "-",Table1567[[#This Row],[Age]])</f>
        <v>CUST166-34</v>
      </c>
      <c r="S167" s="4" t="str">
        <f>TEXT(Table1567[[#This Row],[Date]],"mmm")</f>
        <v>Apr</v>
      </c>
      <c r="T167" s="4" t="str">
        <f>TEXT(Table1567[[#This Row],[Date]],"DDD")</f>
        <v>Sun</v>
      </c>
    </row>
    <row r="168" spans="1:20" ht="29" x14ac:dyDescent="0.35">
      <c r="A168" s="4">
        <v>167</v>
      </c>
      <c r="B168" s="5">
        <v>45186</v>
      </c>
      <c r="C168" s="4" t="s">
        <v>180</v>
      </c>
      <c r="D168" s="4" t="s">
        <v>13</v>
      </c>
      <c r="E168" s="4">
        <v>43</v>
      </c>
      <c r="F168" s="4" t="str">
        <f>IF(Table1567[[#This Row],[Age]]&lt;=19,"Teenager",IF(Table1567[[#This Row],[Age]]&lt;=40,"Median","Old"))</f>
        <v>Old</v>
      </c>
      <c r="G168" s="4" t="s">
        <v>14</v>
      </c>
      <c r="H168" s="4">
        <v>3</v>
      </c>
      <c r="I168" s="4">
        <v>50</v>
      </c>
      <c r="J168" s="4">
        <v>150</v>
      </c>
      <c r="K168" s="4" t="str" cm="1">
        <f t="array" ref="K168">_xlfn.IFS(AND(Table1567[[#This Row],[Total Amount]]&gt;=1500),"Critical",AND(Table1567[[#This Row],[Total Amount]]&gt;=1000),"High",TRUE,"Normal")</f>
        <v>Normal</v>
      </c>
      <c r="L168" s="4" t="str">
        <f>IF(Table1567[[#This Row],[Total Amount]]&gt;=1000,"High",(IF(Table1567[[#This Row],[Total Amount]]&gt;=500,"Medium","Low")))</f>
        <v>Low</v>
      </c>
      <c r="M168" s="4" t="str" cm="1">
        <f t="array" ref="M16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68" s="4" cm="1">
        <f t="array" ref="N16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168" s="4">
        <f>Table1567[[#This Row],[Total Amount]]-Table1567[[#This Row],[Discount Amount]]</f>
        <v>120</v>
      </c>
      <c r="P168" s="4" t="str">
        <f>IF(Table1567[[#This Row],[Total Amount]]&gt;=1000,"High","Low")</f>
        <v>Low</v>
      </c>
      <c r="Q168" s="4" t="str" cm="1">
        <f t="array" ref="Q168">_xlfn.IFS(AND(Table1567[[#This Row],[Total Amount]]&gt;=1500,"Critical"),AND(Table1567[[#This Row],[Total Amount]]&gt;=1000,"High"),TRUE,"Normal")</f>
        <v>Normal</v>
      </c>
      <c r="R168" s="4" t="str">
        <f>CONCATENATE(Table1567[[#This Row],[Customer ID]], "-",Table1567[[#This Row],[Age]])</f>
        <v>CUST167-43</v>
      </c>
      <c r="S168" s="4" t="str">
        <f>TEXT(Table1567[[#This Row],[Date]],"mmm")</f>
        <v>Sep</v>
      </c>
      <c r="T168" s="4" t="str">
        <f>TEXT(Table1567[[#This Row],[Date]],"DDD")</f>
        <v>Sun</v>
      </c>
    </row>
    <row r="169" spans="1:20" ht="29" x14ac:dyDescent="0.35">
      <c r="A169" s="4">
        <v>168</v>
      </c>
      <c r="B169" s="5">
        <v>44981</v>
      </c>
      <c r="C169" s="4" t="s">
        <v>181</v>
      </c>
      <c r="D169" s="4" t="s">
        <v>10</v>
      </c>
      <c r="E169" s="4">
        <v>53</v>
      </c>
      <c r="F169" s="4" t="str">
        <f>IF(Table1567[[#This Row],[Age]]&lt;=19,"Teenager",IF(Table1567[[#This Row],[Age]]&lt;=40,"Median","Old"))</f>
        <v>Old</v>
      </c>
      <c r="G169" s="4" t="s">
        <v>14</v>
      </c>
      <c r="H169" s="4">
        <v>1</v>
      </c>
      <c r="I169" s="4">
        <v>300</v>
      </c>
      <c r="J169" s="4">
        <v>300</v>
      </c>
      <c r="K169" s="4" t="str" cm="1">
        <f t="array" ref="K169">_xlfn.IFS(AND(Table1567[[#This Row],[Total Amount]]&gt;=1500),"Critical",AND(Table1567[[#This Row],[Total Amount]]&gt;=1000),"High",TRUE,"Normal")</f>
        <v>Normal</v>
      </c>
      <c r="L169" s="4" t="str">
        <f>IF(Table1567[[#This Row],[Total Amount]]&gt;=1000,"High",(IF(Table1567[[#This Row],[Total Amount]]&gt;=500,"Medium","Low")))</f>
        <v>Low</v>
      </c>
      <c r="M169" s="4" t="str" cm="1">
        <f t="array" ref="M16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69" s="4" cm="1">
        <f t="array" ref="N16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169" s="4">
        <f>Table1567[[#This Row],[Total Amount]]-Table1567[[#This Row],[Discount Amount]]</f>
        <v>270</v>
      </c>
      <c r="P169" s="4" t="str">
        <f>IF(Table1567[[#This Row],[Total Amount]]&gt;=1000,"High","Low")</f>
        <v>Low</v>
      </c>
      <c r="Q169" s="4" t="str" cm="1">
        <f t="array" ref="Q169">_xlfn.IFS(AND(Table1567[[#This Row],[Total Amount]]&gt;=1500,"Critical"),AND(Table1567[[#This Row],[Total Amount]]&gt;=1000,"High"),TRUE,"Normal")</f>
        <v>Normal</v>
      </c>
      <c r="R169" s="4" t="str">
        <f>CONCATENATE(Table1567[[#This Row],[Customer ID]], "-",Table1567[[#This Row],[Age]])</f>
        <v>CUST168-53</v>
      </c>
      <c r="S169" s="4" t="str">
        <f>TEXT(Table1567[[#This Row],[Date]],"mmm")</f>
        <v>Feb</v>
      </c>
      <c r="T169" s="4" t="str">
        <f>TEXT(Table1567[[#This Row],[Date]],"DDD")</f>
        <v>Fri</v>
      </c>
    </row>
    <row r="170" spans="1:20" ht="29" x14ac:dyDescent="0.35">
      <c r="A170" s="4">
        <v>169</v>
      </c>
      <c r="B170" s="5">
        <v>45247</v>
      </c>
      <c r="C170" s="4" t="s">
        <v>182</v>
      </c>
      <c r="D170" s="4" t="s">
        <v>10</v>
      </c>
      <c r="E170" s="4">
        <v>18</v>
      </c>
      <c r="F170" s="4" t="str">
        <f>IF(Table1567[[#This Row],[Age]]&lt;=19,"Teenager",IF(Table1567[[#This Row],[Age]]&lt;=40,"Median","Old"))</f>
        <v>Teenager</v>
      </c>
      <c r="G170" s="4" t="s">
        <v>11</v>
      </c>
      <c r="H170" s="4">
        <v>3</v>
      </c>
      <c r="I170" s="4">
        <v>500</v>
      </c>
      <c r="J170" s="4">
        <v>1500</v>
      </c>
      <c r="K170" s="4" t="str" cm="1">
        <f t="array" ref="K170">_xlfn.IFS(AND(Table1567[[#This Row],[Total Amount]]&gt;=1500),"Critical",AND(Table1567[[#This Row],[Total Amount]]&gt;=1000),"High",TRUE,"Normal")</f>
        <v>Critical</v>
      </c>
      <c r="L170" s="4" t="str">
        <f>IF(Table1567[[#This Row],[Total Amount]]&gt;=1000,"High",(IF(Table1567[[#This Row],[Total Amount]]&gt;=500,"Medium","Low")))</f>
        <v>High</v>
      </c>
      <c r="M170" s="4" t="str" cm="1">
        <f t="array" ref="M17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70" s="4" cm="1">
        <f t="array" ref="N17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70" s="4">
        <f>Table1567[[#This Row],[Total Amount]]-Table1567[[#This Row],[Discount Amount]]</f>
        <v>1500</v>
      </c>
      <c r="P170" s="4" t="str">
        <f>IF(Table1567[[#This Row],[Total Amount]]&gt;=1000,"High","Low")</f>
        <v>High</v>
      </c>
      <c r="Q170" s="4" t="b" cm="1">
        <f t="array" ref="Q170">_xlfn.IFS(AND(Table1567[[#This Row],[Total Amount]]&gt;=1500,"Critical"),AND(Table1567[[#This Row],[Total Amount]]&gt;=1000,"High"),TRUE,"Normal")</f>
        <v>1</v>
      </c>
      <c r="R170" s="4" t="str">
        <f>CONCATENATE(Table1567[[#This Row],[Customer ID]], "-",Table1567[[#This Row],[Age]])</f>
        <v>CUST169-18</v>
      </c>
      <c r="S170" s="4" t="str">
        <f>TEXT(Table1567[[#This Row],[Date]],"mmm")</f>
        <v>Nov</v>
      </c>
      <c r="T170" s="4" t="str">
        <f>TEXT(Table1567[[#This Row],[Date]],"DDD")</f>
        <v>Fri</v>
      </c>
    </row>
    <row r="171" spans="1:20" ht="29" x14ac:dyDescent="0.35">
      <c r="A171" s="4">
        <v>170</v>
      </c>
      <c r="B171" s="5">
        <v>45079</v>
      </c>
      <c r="C171" s="4" t="s">
        <v>183</v>
      </c>
      <c r="D171" s="4" t="s">
        <v>13</v>
      </c>
      <c r="E171" s="4">
        <v>25</v>
      </c>
      <c r="F171" s="4" t="str">
        <f>IF(Table1567[[#This Row],[Age]]&lt;=19,"Teenager",IF(Table1567[[#This Row],[Age]]&lt;=40,"Median","Old"))</f>
        <v>Median</v>
      </c>
      <c r="G171" s="4" t="s">
        <v>14</v>
      </c>
      <c r="H171" s="4">
        <v>2</v>
      </c>
      <c r="I171" s="4">
        <v>25</v>
      </c>
      <c r="J171" s="4">
        <v>50</v>
      </c>
      <c r="K171" s="4" t="str" cm="1">
        <f t="array" ref="K171">_xlfn.IFS(AND(Table1567[[#This Row],[Total Amount]]&gt;=1500),"Critical",AND(Table1567[[#This Row],[Total Amount]]&gt;=1000),"High",TRUE,"Normal")</f>
        <v>Normal</v>
      </c>
      <c r="L171" s="4" t="str">
        <f>IF(Table1567[[#This Row],[Total Amount]]&gt;=1000,"High",(IF(Table1567[[#This Row],[Total Amount]]&gt;=500,"Medium","Low")))</f>
        <v>Low</v>
      </c>
      <c r="M171" s="4" t="str" cm="1">
        <f t="array" ref="M17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71" s="4" cm="1">
        <f t="array" ref="N17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171" s="4">
        <f>Table1567[[#This Row],[Total Amount]]-Table1567[[#This Row],[Discount Amount]]</f>
        <v>42.5</v>
      </c>
      <c r="P171" s="4" t="str">
        <f>IF(Table1567[[#This Row],[Total Amount]]&gt;=1000,"High","Low")</f>
        <v>Low</v>
      </c>
      <c r="Q171" s="4" t="str" cm="1">
        <f t="array" ref="Q171">_xlfn.IFS(AND(Table1567[[#This Row],[Total Amount]]&gt;=1500,"Critical"),AND(Table1567[[#This Row],[Total Amount]]&gt;=1000,"High"),TRUE,"Normal")</f>
        <v>Normal</v>
      </c>
      <c r="R171" s="4" t="str">
        <f>CONCATENATE(Table1567[[#This Row],[Customer ID]], "-",Table1567[[#This Row],[Age]])</f>
        <v>CUST170-25</v>
      </c>
      <c r="S171" s="4" t="str">
        <f>TEXT(Table1567[[#This Row],[Date]],"mmm")</f>
        <v>Jun</v>
      </c>
      <c r="T171" s="4" t="str">
        <f>TEXT(Table1567[[#This Row],[Date]],"DDD")</f>
        <v>Fri</v>
      </c>
    </row>
    <row r="172" spans="1:20" ht="29" x14ac:dyDescent="0.35">
      <c r="A172" s="4">
        <v>171</v>
      </c>
      <c r="B172" s="5">
        <v>45254</v>
      </c>
      <c r="C172" s="4" t="s">
        <v>184</v>
      </c>
      <c r="D172" s="4" t="s">
        <v>13</v>
      </c>
      <c r="E172" s="4">
        <v>52</v>
      </c>
      <c r="F172" s="4" t="str">
        <f>IF(Table1567[[#This Row],[Age]]&lt;=19,"Teenager",IF(Table1567[[#This Row],[Age]]&lt;=40,"Median","Old"))</f>
        <v>Old</v>
      </c>
      <c r="G172" s="4" t="s">
        <v>14</v>
      </c>
      <c r="H172" s="4">
        <v>3</v>
      </c>
      <c r="I172" s="4">
        <v>300</v>
      </c>
      <c r="J172" s="4">
        <v>900</v>
      </c>
      <c r="K172" s="4" t="str" cm="1">
        <f t="array" ref="K172">_xlfn.IFS(AND(Table1567[[#This Row],[Total Amount]]&gt;=1500),"Critical",AND(Table1567[[#This Row],[Total Amount]]&gt;=1000),"High",TRUE,"Normal")</f>
        <v>Normal</v>
      </c>
      <c r="L172" s="4" t="str">
        <f>IF(Table1567[[#This Row],[Total Amount]]&gt;=1000,"High",(IF(Table1567[[#This Row],[Total Amount]]&gt;=500,"Medium","Low")))</f>
        <v>Medium</v>
      </c>
      <c r="M172" s="4" t="str" cm="1">
        <f t="array" ref="M17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72" s="4" cm="1">
        <f t="array" ref="N17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172" s="4">
        <f>Table1567[[#This Row],[Total Amount]]-Table1567[[#This Row],[Discount Amount]]</f>
        <v>720</v>
      </c>
      <c r="P172" s="4" t="str">
        <f>IF(Table1567[[#This Row],[Total Amount]]&gt;=1000,"High","Low")</f>
        <v>Low</v>
      </c>
      <c r="Q172" s="4" t="str" cm="1">
        <f t="array" ref="Q172">_xlfn.IFS(AND(Table1567[[#This Row],[Total Amount]]&gt;=1500,"Critical"),AND(Table1567[[#This Row],[Total Amount]]&gt;=1000,"High"),TRUE,"Normal")</f>
        <v>Normal</v>
      </c>
      <c r="R172" s="4" t="str">
        <f>CONCATENATE(Table1567[[#This Row],[Customer ID]], "-",Table1567[[#This Row],[Age]])</f>
        <v>CUST171-52</v>
      </c>
      <c r="S172" s="4" t="str">
        <f>TEXT(Table1567[[#This Row],[Date]],"mmm")</f>
        <v>Nov</v>
      </c>
      <c r="T172" s="4" t="str">
        <f>TEXT(Table1567[[#This Row],[Date]],"DDD")</f>
        <v>Fri</v>
      </c>
    </row>
    <row r="173" spans="1:20" ht="29" x14ac:dyDescent="0.35">
      <c r="A173" s="4">
        <v>172</v>
      </c>
      <c r="B173" s="5">
        <v>45186</v>
      </c>
      <c r="C173" s="4" t="s">
        <v>185</v>
      </c>
      <c r="D173" s="4" t="s">
        <v>10</v>
      </c>
      <c r="E173" s="4">
        <v>32</v>
      </c>
      <c r="F173" s="4" t="str">
        <f>IF(Table1567[[#This Row],[Age]]&lt;=19,"Teenager",IF(Table1567[[#This Row],[Age]]&lt;=40,"Median","Old"))</f>
        <v>Median</v>
      </c>
      <c r="G173" s="4" t="s">
        <v>11</v>
      </c>
      <c r="H173" s="4">
        <v>2</v>
      </c>
      <c r="I173" s="4">
        <v>25</v>
      </c>
      <c r="J173" s="4">
        <v>50</v>
      </c>
      <c r="K173" s="4" t="str" cm="1">
        <f t="array" ref="K173">_xlfn.IFS(AND(Table1567[[#This Row],[Total Amount]]&gt;=1500),"Critical",AND(Table1567[[#This Row],[Total Amount]]&gt;=1000),"High",TRUE,"Normal")</f>
        <v>Normal</v>
      </c>
      <c r="L173" s="4" t="str">
        <f>IF(Table1567[[#This Row],[Total Amount]]&gt;=1000,"High",(IF(Table1567[[#This Row],[Total Amount]]&gt;=500,"Medium","Low")))</f>
        <v>Low</v>
      </c>
      <c r="M173" s="4" t="str" cm="1">
        <f t="array" ref="M17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73" s="4" cm="1">
        <f t="array" ref="N17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173" s="4">
        <f>Table1567[[#This Row],[Total Amount]]-Table1567[[#This Row],[Discount Amount]]</f>
        <v>42.5</v>
      </c>
      <c r="P173" s="4" t="str">
        <f>IF(Table1567[[#This Row],[Total Amount]]&gt;=1000,"High","Low")</f>
        <v>Low</v>
      </c>
      <c r="Q173" s="4" t="str" cm="1">
        <f t="array" ref="Q173">_xlfn.IFS(AND(Table1567[[#This Row],[Total Amount]]&gt;=1500,"Critical"),AND(Table1567[[#This Row],[Total Amount]]&gt;=1000,"High"),TRUE,"Normal")</f>
        <v>Normal</v>
      </c>
      <c r="R173" s="4" t="str">
        <f>CONCATENATE(Table1567[[#This Row],[Customer ID]], "-",Table1567[[#This Row],[Age]])</f>
        <v>CUST172-32</v>
      </c>
      <c r="S173" s="4" t="str">
        <f>TEXT(Table1567[[#This Row],[Date]],"mmm")</f>
        <v>Sep</v>
      </c>
      <c r="T173" s="4" t="str">
        <f>TEXT(Table1567[[#This Row],[Date]],"DDD")</f>
        <v>Sun</v>
      </c>
    </row>
    <row r="174" spans="1:20" ht="29" x14ac:dyDescent="0.35">
      <c r="A174" s="4">
        <v>173</v>
      </c>
      <c r="B174" s="5">
        <v>45238</v>
      </c>
      <c r="C174" s="4" t="s">
        <v>186</v>
      </c>
      <c r="D174" s="4" t="s">
        <v>10</v>
      </c>
      <c r="E174" s="4">
        <v>64</v>
      </c>
      <c r="F174" s="4" t="str">
        <f>IF(Table1567[[#This Row],[Age]]&lt;=19,"Teenager",IF(Table1567[[#This Row],[Age]]&lt;=40,"Median","Old"))</f>
        <v>Old</v>
      </c>
      <c r="G174" s="4" t="s">
        <v>16</v>
      </c>
      <c r="H174" s="4">
        <v>4</v>
      </c>
      <c r="I174" s="4">
        <v>30</v>
      </c>
      <c r="J174" s="4">
        <v>120</v>
      </c>
      <c r="K174" s="4" t="str" cm="1">
        <f t="array" ref="K174">_xlfn.IFS(AND(Table1567[[#This Row],[Total Amount]]&gt;=1500),"Critical",AND(Table1567[[#This Row],[Total Amount]]&gt;=1000),"High",TRUE,"Normal")</f>
        <v>Normal</v>
      </c>
      <c r="L174" s="4" t="str">
        <f>IF(Table1567[[#This Row],[Total Amount]]&gt;=1000,"High",(IF(Table1567[[#This Row],[Total Amount]]&gt;=500,"Medium","Low")))</f>
        <v>Low</v>
      </c>
      <c r="M174" s="4" t="str" cm="1">
        <f t="array" ref="M17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74" s="4" cm="1">
        <f t="array" ref="N17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174" s="4">
        <f>Table1567[[#This Row],[Total Amount]]-Table1567[[#This Row],[Discount Amount]]</f>
        <v>108</v>
      </c>
      <c r="P174" s="4" t="str">
        <f>IF(Table1567[[#This Row],[Total Amount]]&gt;=1000,"High","Low")</f>
        <v>Low</v>
      </c>
      <c r="Q174" s="4" t="str" cm="1">
        <f t="array" ref="Q174">_xlfn.IFS(AND(Table1567[[#This Row],[Total Amount]]&gt;=1500,"Critical"),AND(Table1567[[#This Row],[Total Amount]]&gt;=1000,"High"),TRUE,"Normal")</f>
        <v>Normal</v>
      </c>
      <c r="R174" s="4" t="str">
        <f>CONCATENATE(Table1567[[#This Row],[Customer ID]], "-",Table1567[[#This Row],[Age]])</f>
        <v>CUST173-64</v>
      </c>
      <c r="S174" s="4" t="str">
        <f>TEXT(Table1567[[#This Row],[Date]],"mmm")</f>
        <v>Nov</v>
      </c>
      <c r="T174" s="4" t="str">
        <f>TEXT(Table1567[[#This Row],[Date]],"DDD")</f>
        <v>Wed</v>
      </c>
    </row>
    <row r="175" spans="1:20" ht="29" x14ac:dyDescent="0.35">
      <c r="A175" s="4">
        <v>174</v>
      </c>
      <c r="B175" s="5">
        <v>45028</v>
      </c>
      <c r="C175" s="4" t="s">
        <v>187</v>
      </c>
      <c r="D175" s="4" t="s">
        <v>13</v>
      </c>
      <c r="E175" s="4">
        <v>39</v>
      </c>
      <c r="F175" s="4" t="str">
        <f>IF(Table1567[[#This Row],[Age]]&lt;=19,"Teenager",IF(Table1567[[#This Row],[Age]]&lt;=40,"Median","Old"))</f>
        <v>Median</v>
      </c>
      <c r="G175" s="4" t="s">
        <v>11</v>
      </c>
      <c r="H175" s="4">
        <v>1</v>
      </c>
      <c r="I175" s="4">
        <v>300</v>
      </c>
      <c r="J175" s="4">
        <v>300</v>
      </c>
      <c r="K175" s="4" t="str" cm="1">
        <f t="array" ref="K175">_xlfn.IFS(AND(Table1567[[#This Row],[Total Amount]]&gt;=1500),"Critical",AND(Table1567[[#This Row],[Total Amount]]&gt;=1000),"High",TRUE,"Normal")</f>
        <v>Normal</v>
      </c>
      <c r="L175" s="4" t="str">
        <f>IF(Table1567[[#This Row],[Total Amount]]&gt;=1000,"High",(IF(Table1567[[#This Row],[Total Amount]]&gt;=500,"Medium","Low")))</f>
        <v>Low</v>
      </c>
      <c r="M175" s="4" t="str" cm="1">
        <f t="array" ref="M17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75" s="4" cm="1">
        <f t="array" ref="N17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175" s="4">
        <f>Table1567[[#This Row],[Total Amount]]-Table1567[[#This Row],[Discount Amount]]</f>
        <v>240</v>
      </c>
      <c r="P175" s="4" t="str">
        <f>IF(Table1567[[#This Row],[Total Amount]]&gt;=1000,"High","Low")</f>
        <v>Low</v>
      </c>
      <c r="Q175" s="4" t="str" cm="1">
        <f t="array" ref="Q175">_xlfn.IFS(AND(Table1567[[#This Row],[Total Amount]]&gt;=1500,"Critical"),AND(Table1567[[#This Row],[Total Amount]]&gt;=1000,"High"),TRUE,"Normal")</f>
        <v>Normal</v>
      </c>
      <c r="R175" s="4" t="str">
        <f>CONCATENATE(Table1567[[#This Row],[Customer ID]], "-",Table1567[[#This Row],[Age]])</f>
        <v>CUST174-39</v>
      </c>
      <c r="S175" s="4" t="str">
        <f>TEXT(Table1567[[#This Row],[Date]],"mmm")</f>
        <v>Apr</v>
      </c>
      <c r="T175" s="4" t="str">
        <f>TEXT(Table1567[[#This Row],[Date]],"DDD")</f>
        <v>Wed</v>
      </c>
    </row>
    <row r="176" spans="1:20" ht="29" x14ac:dyDescent="0.35">
      <c r="A176" s="4">
        <v>175</v>
      </c>
      <c r="B176" s="5">
        <v>45005</v>
      </c>
      <c r="C176" s="4" t="s">
        <v>188</v>
      </c>
      <c r="D176" s="4" t="s">
        <v>13</v>
      </c>
      <c r="E176" s="4">
        <v>31</v>
      </c>
      <c r="F176" s="4" t="str">
        <f>IF(Table1567[[#This Row],[Age]]&lt;=19,"Teenager",IF(Table1567[[#This Row],[Age]]&lt;=40,"Median","Old"))</f>
        <v>Median</v>
      </c>
      <c r="G176" s="4" t="s">
        <v>16</v>
      </c>
      <c r="H176" s="4">
        <v>4</v>
      </c>
      <c r="I176" s="4">
        <v>25</v>
      </c>
      <c r="J176" s="4">
        <v>100</v>
      </c>
      <c r="K176" s="4" t="str" cm="1">
        <f t="array" ref="K176">_xlfn.IFS(AND(Table1567[[#This Row],[Total Amount]]&gt;=1500),"Critical",AND(Table1567[[#This Row],[Total Amount]]&gt;=1000),"High",TRUE,"Normal")</f>
        <v>Normal</v>
      </c>
      <c r="L176" s="4" t="str">
        <f>IF(Table1567[[#This Row],[Total Amount]]&gt;=1000,"High",(IF(Table1567[[#This Row],[Total Amount]]&gt;=500,"Medium","Low")))</f>
        <v>Low</v>
      </c>
      <c r="M176" s="4" t="str" cm="1">
        <f t="array" ref="M17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76" s="4" cm="1">
        <f t="array" ref="N17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176" s="4">
        <f>Table1567[[#This Row],[Total Amount]]-Table1567[[#This Row],[Discount Amount]]</f>
        <v>85</v>
      </c>
      <c r="P176" s="4" t="str">
        <f>IF(Table1567[[#This Row],[Total Amount]]&gt;=1000,"High","Low")</f>
        <v>Low</v>
      </c>
      <c r="Q176" s="4" t="str" cm="1">
        <f t="array" ref="Q176">_xlfn.IFS(AND(Table1567[[#This Row],[Total Amount]]&gt;=1500,"Critical"),AND(Table1567[[#This Row],[Total Amount]]&gt;=1000,"High"),TRUE,"Normal")</f>
        <v>Normal</v>
      </c>
      <c r="R176" s="4" t="str">
        <f>CONCATENATE(Table1567[[#This Row],[Customer ID]], "-",Table1567[[#This Row],[Age]])</f>
        <v>CUST175-31</v>
      </c>
      <c r="S176" s="4" t="str">
        <f>TEXT(Table1567[[#This Row],[Date]],"mmm")</f>
        <v>Mar</v>
      </c>
      <c r="T176" s="4" t="str">
        <f>TEXT(Table1567[[#This Row],[Date]],"DDD")</f>
        <v>Mon</v>
      </c>
    </row>
    <row r="177" spans="1:20" ht="29" x14ac:dyDescent="0.35">
      <c r="A177" s="4">
        <v>176</v>
      </c>
      <c r="B177" s="5">
        <v>45118</v>
      </c>
      <c r="C177" s="4" t="s">
        <v>189</v>
      </c>
      <c r="D177" s="4" t="s">
        <v>13</v>
      </c>
      <c r="E177" s="4">
        <v>43</v>
      </c>
      <c r="F177" s="4" t="str">
        <f>IF(Table1567[[#This Row],[Age]]&lt;=19,"Teenager",IF(Table1567[[#This Row],[Age]]&lt;=40,"Median","Old"))</f>
        <v>Old</v>
      </c>
      <c r="G177" s="4" t="s">
        <v>11</v>
      </c>
      <c r="H177" s="4">
        <v>2</v>
      </c>
      <c r="I177" s="4">
        <v>50</v>
      </c>
      <c r="J177" s="4">
        <v>100</v>
      </c>
      <c r="K177" s="4" t="str" cm="1">
        <f t="array" ref="K177">_xlfn.IFS(AND(Table1567[[#This Row],[Total Amount]]&gt;=1500),"Critical",AND(Table1567[[#This Row],[Total Amount]]&gt;=1000),"High",TRUE,"Normal")</f>
        <v>Normal</v>
      </c>
      <c r="L177" s="4" t="str">
        <f>IF(Table1567[[#This Row],[Total Amount]]&gt;=1000,"High",(IF(Table1567[[#This Row],[Total Amount]]&gt;=500,"Medium","Low")))</f>
        <v>Low</v>
      </c>
      <c r="M177" s="4" t="str" cm="1">
        <f t="array" ref="M17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77" s="4" cm="1">
        <f t="array" ref="N17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177" s="4">
        <f>Table1567[[#This Row],[Total Amount]]-Table1567[[#This Row],[Discount Amount]]</f>
        <v>80</v>
      </c>
      <c r="P177" s="4" t="str">
        <f>IF(Table1567[[#This Row],[Total Amount]]&gt;=1000,"High","Low")</f>
        <v>Low</v>
      </c>
      <c r="Q177" s="4" t="str" cm="1">
        <f t="array" ref="Q177">_xlfn.IFS(AND(Table1567[[#This Row],[Total Amount]]&gt;=1500,"Critical"),AND(Table1567[[#This Row],[Total Amount]]&gt;=1000,"High"),TRUE,"Normal")</f>
        <v>Normal</v>
      </c>
      <c r="R177" s="4" t="str">
        <f>CONCATENATE(Table1567[[#This Row],[Customer ID]], "-",Table1567[[#This Row],[Age]])</f>
        <v>CUST176-43</v>
      </c>
      <c r="S177" s="4" t="str">
        <f>TEXT(Table1567[[#This Row],[Date]],"mmm")</f>
        <v>Jul</v>
      </c>
      <c r="T177" s="4" t="str">
        <f>TEXT(Table1567[[#This Row],[Date]],"DDD")</f>
        <v>Tue</v>
      </c>
    </row>
    <row r="178" spans="1:20" ht="29" x14ac:dyDescent="0.35">
      <c r="A178" s="4">
        <v>177</v>
      </c>
      <c r="B178" s="5">
        <v>45009</v>
      </c>
      <c r="C178" s="4" t="s">
        <v>190</v>
      </c>
      <c r="D178" s="4" t="s">
        <v>10</v>
      </c>
      <c r="E178" s="4">
        <v>45</v>
      </c>
      <c r="F178" s="4" t="str">
        <f>IF(Table1567[[#This Row],[Age]]&lt;=19,"Teenager",IF(Table1567[[#This Row],[Age]]&lt;=40,"Median","Old"))</f>
        <v>Old</v>
      </c>
      <c r="G178" s="4" t="s">
        <v>11</v>
      </c>
      <c r="H178" s="4">
        <v>2</v>
      </c>
      <c r="I178" s="4">
        <v>50</v>
      </c>
      <c r="J178" s="4">
        <v>100</v>
      </c>
      <c r="K178" s="4" t="str" cm="1">
        <f t="array" ref="K178">_xlfn.IFS(AND(Table1567[[#This Row],[Total Amount]]&gt;=1500),"Critical",AND(Table1567[[#This Row],[Total Amount]]&gt;=1000),"High",TRUE,"Normal")</f>
        <v>Normal</v>
      </c>
      <c r="L178" s="4" t="str">
        <f>IF(Table1567[[#This Row],[Total Amount]]&gt;=1000,"High",(IF(Table1567[[#This Row],[Total Amount]]&gt;=500,"Medium","Low")))</f>
        <v>Low</v>
      </c>
      <c r="M178" s="4" t="str" cm="1">
        <f t="array" ref="M17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78" s="4" cm="1">
        <f t="array" ref="N17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178" s="4">
        <f>Table1567[[#This Row],[Total Amount]]-Table1567[[#This Row],[Discount Amount]]</f>
        <v>90</v>
      </c>
      <c r="P178" s="4" t="str">
        <f>IF(Table1567[[#This Row],[Total Amount]]&gt;=1000,"High","Low")</f>
        <v>Low</v>
      </c>
      <c r="Q178" s="4" t="str" cm="1">
        <f t="array" ref="Q178">_xlfn.IFS(AND(Table1567[[#This Row],[Total Amount]]&gt;=1500,"Critical"),AND(Table1567[[#This Row],[Total Amount]]&gt;=1000,"High"),TRUE,"Normal")</f>
        <v>Normal</v>
      </c>
      <c r="R178" s="4" t="str">
        <f>CONCATENATE(Table1567[[#This Row],[Customer ID]], "-",Table1567[[#This Row],[Age]])</f>
        <v>CUST177-45</v>
      </c>
      <c r="S178" s="4" t="str">
        <f>TEXT(Table1567[[#This Row],[Date]],"mmm")</f>
        <v>Mar</v>
      </c>
      <c r="T178" s="4" t="str">
        <f>TEXT(Table1567[[#This Row],[Date]],"DDD")</f>
        <v>Fri</v>
      </c>
    </row>
    <row r="179" spans="1:20" ht="29" x14ac:dyDescent="0.35">
      <c r="A179" s="4">
        <v>178</v>
      </c>
      <c r="B179" s="5">
        <v>45203</v>
      </c>
      <c r="C179" s="4" t="s">
        <v>191</v>
      </c>
      <c r="D179" s="4" t="s">
        <v>10</v>
      </c>
      <c r="E179" s="4">
        <v>40</v>
      </c>
      <c r="F179" s="4" t="str">
        <f>IF(Table1567[[#This Row],[Age]]&lt;=19,"Teenager",IF(Table1567[[#This Row],[Age]]&lt;=40,"Median","Old"))</f>
        <v>Median</v>
      </c>
      <c r="G179" s="4" t="s">
        <v>14</v>
      </c>
      <c r="H179" s="4">
        <v>2</v>
      </c>
      <c r="I179" s="4">
        <v>30</v>
      </c>
      <c r="J179" s="4">
        <v>60</v>
      </c>
      <c r="K179" s="4" t="str" cm="1">
        <f t="array" ref="K179">_xlfn.IFS(AND(Table1567[[#This Row],[Total Amount]]&gt;=1500),"Critical",AND(Table1567[[#This Row],[Total Amount]]&gt;=1000),"High",TRUE,"Normal")</f>
        <v>Normal</v>
      </c>
      <c r="L179" s="4" t="str">
        <f>IF(Table1567[[#This Row],[Total Amount]]&gt;=1000,"High",(IF(Table1567[[#This Row],[Total Amount]]&gt;=500,"Medium","Low")))</f>
        <v>Low</v>
      </c>
      <c r="M179" s="4" t="str" cm="1">
        <f t="array" ref="M17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79" s="4" cm="1">
        <f t="array" ref="N17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179" s="4">
        <f>Table1567[[#This Row],[Total Amount]]-Table1567[[#This Row],[Discount Amount]]</f>
        <v>54</v>
      </c>
      <c r="P179" s="4" t="str">
        <f>IF(Table1567[[#This Row],[Total Amount]]&gt;=1000,"High","Low")</f>
        <v>Low</v>
      </c>
      <c r="Q179" s="4" t="str" cm="1">
        <f t="array" ref="Q179">_xlfn.IFS(AND(Table1567[[#This Row],[Total Amount]]&gt;=1500,"Critical"),AND(Table1567[[#This Row],[Total Amount]]&gt;=1000,"High"),TRUE,"Normal")</f>
        <v>Normal</v>
      </c>
      <c r="R179" s="4" t="str">
        <f>CONCATENATE(Table1567[[#This Row],[Customer ID]], "-",Table1567[[#This Row],[Age]])</f>
        <v>CUST178-40</v>
      </c>
      <c r="S179" s="4" t="str">
        <f>TEXT(Table1567[[#This Row],[Date]],"mmm")</f>
        <v>Oct</v>
      </c>
      <c r="T179" s="4" t="str">
        <f>TEXT(Table1567[[#This Row],[Date]],"DDD")</f>
        <v>Wed</v>
      </c>
    </row>
    <row r="180" spans="1:20" ht="29" x14ac:dyDescent="0.35">
      <c r="A180" s="4">
        <v>179</v>
      </c>
      <c r="B180" s="5">
        <v>45198</v>
      </c>
      <c r="C180" s="4" t="s">
        <v>192</v>
      </c>
      <c r="D180" s="4" t="s">
        <v>10</v>
      </c>
      <c r="E180" s="4">
        <v>31</v>
      </c>
      <c r="F180" s="4" t="str">
        <f>IF(Table1567[[#This Row],[Age]]&lt;=19,"Teenager",IF(Table1567[[#This Row],[Age]]&lt;=40,"Median","Old"))</f>
        <v>Median</v>
      </c>
      <c r="G180" s="4" t="s">
        <v>16</v>
      </c>
      <c r="H180" s="4">
        <v>1</v>
      </c>
      <c r="I180" s="4">
        <v>300</v>
      </c>
      <c r="J180" s="4">
        <v>300</v>
      </c>
      <c r="K180" s="4" t="str" cm="1">
        <f t="array" ref="K180">_xlfn.IFS(AND(Table1567[[#This Row],[Total Amount]]&gt;=1500),"Critical",AND(Table1567[[#This Row],[Total Amount]]&gt;=1000),"High",TRUE,"Normal")</f>
        <v>Normal</v>
      </c>
      <c r="L180" s="4" t="str">
        <f>IF(Table1567[[#This Row],[Total Amount]]&gt;=1000,"High",(IF(Table1567[[#This Row],[Total Amount]]&gt;=500,"Medium","Low")))</f>
        <v>Low</v>
      </c>
      <c r="M180" s="4" t="str" cm="1">
        <f t="array" ref="M18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80" s="4" cm="1">
        <f t="array" ref="N18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45</v>
      </c>
      <c r="O180" s="4">
        <f>Table1567[[#This Row],[Total Amount]]-Table1567[[#This Row],[Discount Amount]]</f>
        <v>255</v>
      </c>
      <c r="P180" s="4" t="str">
        <f>IF(Table1567[[#This Row],[Total Amount]]&gt;=1000,"High","Low")</f>
        <v>Low</v>
      </c>
      <c r="Q180" s="4" t="str" cm="1">
        <f t="array" ref="Q180">_xlfn.IFS(AND(Table1567[[#This Row],[Total Amount]]&gt;=1500,"Critical"),AND(Table1567[[#This Row],[Total Amount]]&gt;=1000,"High"),TRUE,"Normal")</f>
        <v>Normal</v>
      </c>
      <c r="R180" s="4" t="str">
        <f>CONCATENATE(Table1567[[#This Row],[Customer ID]], "-",Table1567[[#This Row],[Age]])</f>
        <v>CUST179-31</v>
      </c>
      <c r="S180" s="4" t="str">
        <f>TEXT(Table1567[[#This Row],[Date]],"mmm")</f>
        <v>Sep</v>
      </c>
      <c r="T180" s="4" t="str">
        <f>TEXT(Table1567[[#This Row],[Date]],"DDD")</f>
        <v>Fri</v>
      </c>
    </row>
    <row r="181" spans="1:20" ht="29" x14ac:dyDescent="0.35">
      <c r="A181" s="4">
        <v>180</v>
      </c>
      <c r="B181" s="5">
        <v>44927</v>
      </c>
      <c r="C181" s="4" t="s">
        <v>193</v>
      </c>
      <c r="D181" s="4" t="s">
        <v>10</v>
      </c>
      <c r="E181" s="4">
        <v>41</v>
      </c>
      <c r="F181" s="4" t="str">
        <f>IF(Table1567[[#This Row],[Age]]&lt;=19,"Teenager",IF(Table1567[[#This Row],[Age]]&lt;=40,"Median","Old"))</f>
        <v>Old</v>
      </c>
      <c r="G181" s="4" t="s">
        <v>14</v>
      </c>
      <c r="H181" s="4">
        <v>3</v>
      </c>
      <c r="I181" s="4">
        <v>300</v>
      </c>
      <c r="J181" s="4">
        <v>900</v>
      </c>
      <c r="K181" s="4" t="str" cm="1">
        <f t="array" ref="K181">_xlfn.IFS(AND(Table1567[[#This Row],[Total Amount]]&gt;=1500),"Critical",AND(Table1567[[#This Row],[Total Amount]]&gt;=1000),"High",TRUE,"Normal")</f>
        <v>Normal</v>
      </c>
      <c r="L181" s="4" t="str">
        <f>IF(Table1567[[#This Row],[Total Amount]]&gt;=1000,"High",(IF(Table1567[[#This Row],[Total Amount]]&gt;=500,"Medium","Low")))</f>
        <v>Medium</v>
      </c>
      <c r="M181" s="4" t="str" cm="1">
        <f t="array" ref="M18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81" s="4" cm="1">
        <f t="array" ref="N18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181" s="4">
        <f>Table1567[[#This Row],[Total Amount]]-Table1567[[#This Row],[Discount Amount]]</f>
        <v>810</v>
      </c>
      <c r="P181" s="4" t="str">
        <f>IF(Table1567[[#This Row],[Total Amount]]&gt;=1000,"High","Low")</f>
        <v>Low</v>
      </c>
      <c r="Q181" s="4" t="str" cm="1">
        <f t="array" ref="Q181">_xlfn.IFS(AND(Table1567[[#This Row],[Total Amount]]&gt;=1500,"Critical"),AND(Table1567[[#This Row],[Total Amount]]&gt;=1000,"High"),TRUE,"Normal")</f>
        <v>Normal</v>
      </c>
      <c r="R181" s="4" t="str">
        <f>CONCATENATE(Table1567[[#This Row],[Customer ID]], "-",Table1567[[#This Row],[Age]])</f>
        <v>CUST180-41</v>
      </c>
      <c r="S181" s="4" t="str">
        <f>TEXT(Table1567[[#This Row],[Date]],"mmm")</f>
        <v>Jan</v>
      </c>
      <c r="T181" s="4" t="str">
        <f>TEXT(Table1567[[#This Row],[Date]],"DDD")</f>
        <v>Sun</v>
      </c>
    </row>
    <row r="182" spans="1:20" ht="29" x14ac:dyDescent="0.35">
      <c r="A182" s="4">
        <v>181</v>
      </c>
      <c r="B182" s="5">
        <v>45233</v>
      </c>
      <c r="C182" s="4" t="s">
        <v>194</v>
      </c>
      <c r="D182" s="4" t="s">
        <v>10</v>
      </c>
      <c r="E182" s="4">
        <v>19</v>
      </c>
      <c r="F182" s="4" t="str">
        <f>IF(Table1567[[#This Row],[Age]]&lt;=19,"Teenager",IF(Table1567[[#This Row],[Age]]&lt;=40,"Median","Old"))</f>
        <v>Teenager</v>
      </c>
      <c r="G182" s="4" t="s">
        <v>16</v>
      </c>
      <c r="H182" s="4">
        <v>4</v>
      </c>
      <c r="I182" s="4">
        <v>300</v>
      </c>
      <c r="J182" s="4">
        <v>1200</v>
      </c>
      <c r="K182" s="4" t="str" cm="1">
        <f t="array" ref="K182">_xlfn.IFS(AND(Table1567[[#This Row],[Total Amount]]&gt;=1500),"Critical",AND(Table1567[[#This Row],[Total Amount]]&gt;=1000),"High",TRUE,"Normal")</f>
        <v>High</v>
      </c>
      <c r="L182" s="4" t="str">
        <f>IF(Table1567[[#This Row],[Total Amount]]&gt;=1000,"High",(IF(Table1567[[#This Row],[Total Amount]]&gt;=500,"Medium","Low")))</f>
        <v>High</v>
      </c>
      <c r="M182" s="4" t="str" cm="1">
        <f t="array" ref="M18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82" s="4" cm="1">
        <f t="array" ref="N18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82" s="4">
        <f>Table1567[[#This Row],[Total Amount]]-Table1567[[#This Row],[Discount Amount]]</f>
        <v>1200</v>
      </c>
      <c r="P182" s="4" t="str">
        <f>IF(Table1567[[#This Row],[Total Amount]]&gt;=1000,"High","Low")</f>
        <v>High</v>
      </c>
      <c r="Q182" s="4" t="str" cm="1">
        <f t="array" ref="Q182">_xlfn.IFS(AND(Table1567[[#This Row],[Total Amount]]&gt;=1500,"Critical"),AND(Table1567[[#This Row],[Total Amount]]&gt;=1000,"High"),TRUE,"Normal")</f>
        <v>Normal</v>
      </c>
      <c r="R182" s="4" t="str">
        <f>CONCATENATE(Table1567[[#This Row],[Customer ID]], "-",Table1567[[#This Row],[Age]])</f>
        <v>CUST181-19</v>
      </c>
      <c r="S182" s="4" t="str">
        <f>TEXT(Table1567[[#This Row],[Date]],"mmm")</f>
        <v>Nov</v>
      </c>
      <c r="T182" s="4" t="str">
        <f>TEXT(Table1567[[#This Row],[Date]],"DDD")</f>
        <v>Fri</v>
      </c>
    </row>
    <row r="183" spans="1:20" ht="29" x14ac:dyDescent="0.35">
      <c r="A183" s="4">
        <v>182</v>
      </c>
      <c r="B183" s="5">
        <v>45092</v>
      </c>
      <c r="C183" s="4" t="s">
        <v>195</v>
      </c>
      <c r="D183" s="4" t="s">
        <v>10</v>
      </c>
      <c r="E183" s="4">
        <v>62</v>
      </c>
      <c r="F183" s="4" t="str">
        <f>IF(Table1567[[#This Row],[Age]]&lt;=19,"Teenager",IF(Table1567[[#This Row],[Age]]&lt;=40,"Median","Old"))</f>
        <v>Old</v>
      </c>
      <c r="G183" s="4" t="s">
        <v>11</v>
      </c>
      <c r="H183" s="4">
        <v>4</v>
      </c>
      <c r="I183" s="4">
        <v>30</v>
      </c>
      <c r="J183" s="4">
        <v>120</v>
      </c>
      <c r="K183" s="4" t="str" cm="1">
        <f t="array" ref="K183">_xlfn.IFS(AND(Table1567[[#This Row],[Total Amount]]&gt;=1500),"Critical",AND(Table1567[[#This Row],[Total Amount]]&gt;=1000),"High",TRUE,"Normal")</f>
        <v>Normal</v>
      </c>
      <c r="L183" s="4" t="str">
        <f>IF(Table1567[[#This Row],[Total Amount]]&gt;=1000,"High",(IF(Table1567[[#This Row],[Total Amount]]&gt;=500,"Medium","Low")))</f>
        <v>Low</v>
      </c>
      <c r="M183" s="4" t="str" cm="1">
        <f t="array" ref="M18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83" s="4" cm="1">
        <f t="array" ref="N18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183" s="4">
        <f>Table1567[[#This Row],[Total Amount]]-Table1567[[#This Row],[Discount Amount]]</f>
        <v>108</v>
      </c>
      <c r="P183" s="4" t="str">
        <f>IF(Table1567[[#This Row],[Total Amount]]&gt;=1000,"High","Low")</f>
        <v>Low</v>
      </c>
      <c r="Q183" s="4" t="str" cm="1">
        <f t="array" ref="Q183">_xlfn.IFS(AND(Table1567[[#This Row],[Total Amount]]&gt;=1500,"Critical"),AND(Table1567[[#This Row],[Total Amount]]&gt;=1000,"High"),TRUE,"Normal")</f>
        <v>Normal</v>
      </c>
      <c r="R183" s="4" t="str">
        <f>CONCATENATE(Table1567[[#This Row],[Customer ID]], "-",Table1567[[#This Row],[Age]])</f>
        <v>CUST182-62</v>
      </c>
      <c r="S183" s="4" t="str">
        <f>TEXT(Table1567[[#This Row],[Date]],"mmm")</f>
        <v>Jun</v>
      </c>
      <c r="T183" s="4" t="str">
        <f>TEXT(Table1567[[#This Row],[Date]],"DDD")</f>
        <v>Thu</v>
      </c>
    </row>
    <row r="184" spans="1:20" ht="29" x14ac:dyDescent="0.35">
      <c r="A184" s="4">
        <v>183</v>
      </c>
      <c r="B184" s="5">
        <v>45177</v>
      </c>
      <c r="C184" s="4" t="s">
        <v>196</v>
      </c>
      <c r="D184" s="4" t="s">
        <v>13</v>
      </c>
      <c r="E184" s="4">
        <v>43</v>
      </c>
      <c r="F184" s="4" t="str">
        <f>IF(Table1567[[#This Row],[Age]]&lt;=19,"Teenager",IF(Table1567[[#This Row],[Age]]&lt;=40,"Median","Old"))</f>
        <v>Old</v>
      </c>
      <c r="G184" s="4" t="s">
        <v>11</v>
      </c>
      <c r="H184" s="4">
        <v>3</v>
      </c>
      <c r="I184" s="4">
        <v>300</v>
      </c>
      <c r="J184" s="4">
        <v>900</v>
      </c>
      <c r="K184" s="4" t="str" cm="1">
        <f t="array" ref="K184">_xlfn.IFS(AND(Table1567[[#This Row],[Total Amount]]&gt;=1500),"Critical",AND(Table1567[[#This Row],[Total Amount]]&gt;=1000),"High",TRUE,"Normal")</f>
        <v>Normal</v>
      </c>
      <c r="L184" s="4" t="str">
        <f>IF(Table1567[[#This Row],[Total Amount]]&gt;=1000,"High",(IF(Table1567[[#This Row],[Total Amount]]&gt;=500,"Medium","Low")))</f>
        <v>Medium</v>
      </c>
      <c r="M184" s="4" t="str" cm="1">
        <f t="array" ref="M18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84" s="4" cm="1">
        <f t="array" ref="N18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184" s="4">
        <f>Table1567[[#This Row],[Total Amount]]-Table1567[[#This Row],[Discount Amount]]</f>
        <v>720</v>
      </c>
      <c r="P184" s="4" t="str">
        <f>IF(Table1567[[#This Row],[Total Amount]]&gt;=1000,"High","Low")</f>
        <v>Low</v>
      </c>
      <c r="Q184" s="4" t="str" cm="1">
        <f t="array" ref="Q184">_xlfn.IFS(AND(Table1567[[#This Row],[Total Amount]]&gt;=1500,"Critical"),AND(Table1567[[#This Row],[Total Amount]]&gt;=1000,"High"),TRUE,"Normal")</f>
        <v>Normal</v>
      </c>
      <c r="R184" s="4" t="str">
        <f>CONCATENATE(Table1567[[#This Row],[Customer ID]], "-",Table1567[[#This Row],[Age]])</f>
        <v>CUST183-43</v>
      </c>
      <c r="S184" s="4" t="str">
        <f>TEXT(Table1567[[#This Row],[Date]],"mmm")</f>
        <v>Sep</v>
      </c>
      <c r="T184" s="4" t="str">
        <f>TEXT(Table1567[[#This Row],[Date]],"DDD")</f>
        <v>Fri</v>
      </c>
    </row>
    <row r="185" spans="1:20" ht="29" x14ac:dyDescent="0.35">
      <c r="A185" s="4">
        <v>184</v>
      </c>
      <c r="B185" s="5">
        <v>44936</v>
      </c>
      <c r="C185" s="4" t="s">
        <v>197</v>
      </c>
      <c r="D185" s="4" t="s">
        <v>10</v>
      </c>
      <c r="E185" s="4">
        <v>31</v>
      </c>
      <c r="F185" s="4" t="str">
        <f>IF(Table1567[[#This Row],[Age]]&lt;=19,"Teenager",IF(Table1567[[#This Row],[Age]]&lt;=40,"Median","Old"))</f>
        <v>Median</v>
      </c>
      <c r="G185" s="4" t="s">
        <v>16</v>
      </c>
      <c r="H185" s="4">
        <v>4</v>
      </c>
      <c r="I185" s="4">
        <v>50</v>
      </c>
      <c r="J185" s="4">
        <v>200</v>
      </c>
      <c r="K185" s="4" t="str" cm="1">
        <f t="array" ref="K185">_xlfn.IFS(AND(Table1567[[#This Row],[Total Amount]]&gt;=1500),"Critical",AND(Table1567[[#This Row],[Total Amount]]&gt;=1000),"High",TRUE,"Normal")</f>
        <v>Normal</v>
      </c>
      <c r="L185" s="4" t="str">
        <f>IF(Table1567[[#This Row],[Total Amount]]&gt;=1000,"High",(IF(Table1567[[#This Row],[Total Amount]]&gt;=500,"Medium","Low")))</f>
        <v>Low</v>
      </c>
      <c r="M185" s="4" t="str" cm="1">
        <f t="array" ref="M18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85" s="4" cm="1">
        <f t="array" ref="N18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185" s="4">
        <f>Table1567[[#This Row],[Total Amount]]-Table1567[[#This Row],[Discount Amount]]</f>
        <v>170</v>
      </c>
      <c r="P185" s="4" t="str">
        <f>IF(Table1567[[#This Row],[Total Amount]]&gt;=1000,"High","Low")</f>
        <v>Low</v>
      </c>
      <c r="Q185" s="4" t="str" cm="1">
        <f t="array" ref="Q185">_xlfn.IFS(AND(Table1567[[#This Row],[Total Amount]]&gt;=1500,"Critical"),AND(Table1567[[#This Row],[Total Amount]]&gt;=1000,"High"),TRUE,"Normal")</f>
        <v>Normal</v>
      </c>
      <c r="R185" s="4" t="str">
        <f>CONCATENATE(Table1567[[#This Row],[Customer ID]], "-",Table1567[[#This Row],[Age]])</f>
        <v>CUST184-31</v>
      </c>
      <c r="S185" s="4" t="str">
        <f>TEXT(Table1567[[#This Row],[Date]],"mmm")</f>
        <v>Jan</v>
      </c>
      <c r="T185" s="4" t="str">
        <f>TEXT(Table1567[[#This Row],[Date]],"DDD")</f>
        <v>Tue</v>
      </c>
    </row>
    <row r="186" spans="1:20" ht="29" x14ac:dyDescent="0.35">
      <c r="A186" s="4">
        <v>185</v>
      </c>
      <c r="B186" s="5">
        <v>44984</v>
      </c>
      <c r="C186" s="4" t="s">
        <v>198</v>
      </c>
      <c r="D186" s="4" t="s">
        <v>10</v>
      </c>
      <c r="E186" s="4">
        <v>24</v>
      </c>
      <c r="F186" s="4" t="str">
        <f>IF(Table1567[[#This Row],[Age]]&lt;=19,"Teenager",IF(Table1567[[#This Row],[Age]]&lt;=40,"Median","Old"))</f>
        <v>Median</v>
      </c>
      <c r="G186" s="4" t="s">
        <v>14</v>
      </c>
      <c r="H186" s="4">
        <v>1</v>
      </c>
      <c r="I186" s="4">
        <v>25</v>
      </c>
      <c r="J186" s="4">
        <v>25</v>
      </c>
      <c r="K186" s="4" t="str" cm="1">
        <f t="array" ref="K186">_xlfn.IFS(AND(Table1567[[#This Row],[Total Amount]]&gt;=1500),"Critical",AND(Table1567[[#This Row],[Total Amount]]&gt;=1000),"High",TRUE,"Normal")</f>
        <v>Normal</v>
      </c>
      <c r="L186" s="4" t="str">
        <f>IF(Table1567[[#This Row],[Total Amount]]&gt;=1000,"High",(IF(Table1567[[#This Row],[Total Amount]]&gt;=500,"Medium","Low")))</f>
        <v>Low</v>
      </c>
      <c r="M186" s="4" t="str" cm="1">
        <f t="array" ref="M18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86" s="4" cm="1">
        <f t="array" ref="N18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86" s="4">
        <f>Table1567[[#This Row],[Total Amount]]-Table1567[[#This Row],[Discount Amount]]</f>
        <v>25</v>
      </c>
      <c r="P186" s="4" t="str">
        <f>IF(Table1567[[#This Row],[Total Amount]]&gt;=1000,"High","Low")</f>
        <v>Low</v>
      </c>
      <c r="Q186" s="4" t="str" cm="1">
        <f t="array" ref="Q186">_xlfn.IFS(AND(Table1567[[#This Row],[Total Amount]]&gt;=1500,"Critical"),AND(Table1567[[#This Row],[Total Amount]]&gt;=1000,"High"),TRUE,"Normal")</f>
        <v>Normal</v>
      </c>
      <c r="R186" s="4" t="str">
        <f>CONCATENATE(Table1567[[#This Row],[Customer ID]], "-",Table1567[[#This Row],[Age]])</f>
        <v>CUST185-24</v>
      </c>
      <c r="S186" s="4" t="str">
        <f>TEXT(Table1567[[#This Row],[Date]],"mmm")</f>
        <v>Feb</v>
      </c>
      <c r="T186" s="4" t="str">
        <f>TEXT(Table1567[[#This Row],[Date]],"DDD")</f>
        <v>Mon</v>
      </c>
    </row>
    <row r="187" spans="1:20" ht="29" x14ac:dyDescent="0.35">
      <c r="A187" s="4">
        <v>186</v>
      </c>
      <c r="B187" s="5">
        <v>45112</v>
      </c>
      <c r="C187" s="4" t="s">
        <v>199</v>
      </c>
      <c r="D187" s="4" t="s">
        <v>10</v>
      </c>
      <c r="E187" s="4">
        <v>20</v>
      </c>
      <c r="F187" s="4" t="str">
        <f>IF(Table1567[[#This Row],[Age]]&lt;=19,"Teenager",IF(Table1567[[#This Row],[Age]]&lt;=40,"Median","Old"))</f>
        <v>Median</v>
      </c>
      <c r="G187" s="4" t="s">
        <v>14</v>
      </c>
      <c r="H187" s="4">
        <v>4</v>
      </c>
      <c r="I187" s="4">
        <v>50</v>
      </c>
      <c r="J187" s="4">
        <v>200</v>
      </c>
      <c r="K187" s="4" t="str" cm="1">
        <f t="array" ref="K187">_xlfn.IFS(AND(Table1567[[#This Row],[Total Amount]]&gt;=1500),"Critical",AND(Table1567[[#This Row],[Total Amount]]&gt;=1000),"High",TRUE,"Normal")</f>
        <v>Normal</v>
      </c>
      <c r="L187" s="4" t="str">
        <f>IF(Table1567[[#This Row],[Total Amount]]&gt;=1000,"High",(IF(Table1567[[#This Row],[Total Amount]]&gt;=500,"Medium","Low")))</f>
        <v>Low</v>
      </c>
      <c r="M187" s="4" t="str" cm="1">
        <f t="array" ref="M18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87" s="4" cm="1">
        <f t="array" ref="N18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87" s="4">
        <f>Table1567[[#This Row],[Total Amount]]-Table1567[[#This Row],[Discount Amount]]</f>
        <v>200</v>
      </c>
      <c r="P187" s="4" t="str">
        <f>IF(Table1567[[#This Row],[Total Amount]]&gt;=1000,"High","Low")</f>
        <v>Low</v>
      </c>
      <c r="Q187" s="4" t="str" cm="1">
        <f t="array" ref="Q187">_xlfn.IFS(AND(Table1567[[#This Row],[Total Amount]]&gt;=1500,"Critical"),AND(Table1567[[#This Row],[Total Amount]]&gt;=1000,"High"),TRUE,"Normal")</f>
        <v>Normal</v>
      </c>
      <c r="R187" s="4" t="str">
        <f>CONCATENATE(Table1567[[#This Row],[Customer ID]], "-",Table1567[[#This Row],[Age]])</f>
        <v>CUST186-20</v>
      </c>
      <c r="S187" s="4" t="str">
        <f>TEXT(Table1567[[#This Row],[Date]],"mmm")</f>
        <v>Jul</v>
      </c>
      <c r="T187" s="4" t="str">
        <f>TEXT(Table1567[[#This Row],[Date]],"DDD")</f>
        <v>Wed</v>
      </c>
    </row>
    <row r="188" spans="1:20" ht="29" x14ac:dyDescent="0.35">
      <c r="A188" s="4">
        <v>187</v>
      </c>
      <c r="B188" s="5">
        <v>45084</v>
      </c>
      <c r="C188" s="4" t="s">
        <v>200</v>
      </c>
      <c r="D188" s="4" t="s">
        <v>13</v>
      </c>
      <c r="E188" s="4">
        <v>64</v>
      </c>
      <c r="F188" s="4" t="str">
        <f>IF(Table1567[[#This Row],[Age]]&lt;=19,"Teenager",IF(Table1567[[#This Row],[Age]]&lt;=40,"Median","Old"))</f>
        <v>Old</v>
      </c>
      <c r="G188" s="4" t="s">
        <v>14</v>
      </c>
      <c r="H188" s="4">
        <v>2</v>
      </c>
      <c r="I188" s="4">
        <v>50</v>
      </c>
      <c r="J188" s="4">
        <v>100</v>
      </c>
      <c r="K188" s="4" t="str" cm="1">
        <f t="array" ref="K188">_xlfn.IFS(AND(Table1567[[#This Row],[Total Amount]]&gt;=1500),"Critical",AND(Table1567[[#This Row],[Total Amount]]&gt;=1000),"High",TRUE,"Normal")</f>
        <v>Normal</v>
      </c>
      <c r="L188" s="4" t="str">
        <f>IF(Table1567[[#This Row],[Total Amount]]&gt;=1000,"High",(IF(Table1567[[#This Row],[Total Amount]]&gt;=500,"Medium","Low")))</f>
        <v>Low</v>
      </c>
      <c r="M188" s="4" t="str" cm="1">
        <f t="array" ref="M18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88" s="4" cm="1">
        <f t="array" ref="N18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188" s="4">
        <f>Table1567[[#This Row],[Total Amount]]-Table1567[[#This Row],[Discount Amount]]</f>
        <v>80</v>
      </c>
      <c r="P188" s="4" t="str">
        <f>IF(Table1567[[#This Row],[Total Amount]]&gt;=1000,"High","Low")</f>
        <v>Low</v>
      </c>
      <c r="Q188" s="4" t="str" cm="1">
        <f t="array" ref="Q188">_xlfn.IFS(AND(Table1567[[#This Row],[Total Amount]]&gt;=1500,"Critical"),AND(Table1567[[#This Row],[Total Amount]]&gt;=1000,"High"),TRUE,"Normal")</f>
        <v>Normal</v>
      </c>
      <c r="R188" s="4" t="str">
        <f>CONCATENATE(Table1567[[#This Row],[Customer ID]], "-",Table1567[[#This Row],[Age]])</f>
        <v>CUST187-64</v>
      </c>
      <c r="S188" s="4" t="str">
        <f>TEXT(Table1567[[#This Row],[Date]],"mmm")</f>
        <v>Jun</v>
      </c>
      <c r="T188" s="4" t="str">
        <f>TEXT(Table1567[[#This Row],[Date]],"DDD")</f>
        <v>Wed</v>
      </c>
    </row>
    <row r="189" spans="1:20" ht="29" x14ac:dyDescent="0.35">
      <c r="A189" s="4">
        <v>188</v>
      </c>
      <c r="B189" s="5">
        <v>45049</v>
      </c>
      <c r="C189" s="4" t="s">
        <v>201</v>
      </c>
      <c r="D189" s="4" t="s">
        <v>10</v>
      </c>
      <c r="E189" s="4">
        <v>40</v>
      </c>
      <c r="F189" s="4" t="str">
        <f>IF(Table1567[[#This Row],[Age]]&lt;=19,"Teenager",IF(Table1567[[#This Row],[Age]]&lt;=40,"Median","Old"))</f>
        <v>Median</v>
      </c>
      <c r="G189" s="4" t="s">
        <v>14</v>
      </c>
      <c r="H189" s="4">
        <v>3</v>
      </c>
      <c r="I189" s="4">
        <v>25</v>
      </c>
      <c r="J189" s="4">
        <v>75</v>
      </c>
      <c r="K189" s="4" t="str" cm="1">
        <f t="array" ref="K189">_xlfn.IFS(AND(Table1567[[#This Row],[Total Amount]]&gt;=1500),"Critical",AND(Table1567[[#This Row],[Total Amount]]&gt;=1000),"High",TRUE,"Normal")</f>
        <v>Normal</v>
      </c>
      <c r="L189" s="4" t="str">
        <f>IF(Table1567[[#This Row],[Total Amount]]&gt;=1000,"High",(IF(Table1567[[#This Row],[Total Amount]]&gt;=500,"Medium","Low")))</f>
        <v>Low</v>
      </c>
      <c r="M189" s="4" t="str" cm="1">
        <f t="array" ref="M18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89" s="4" cm="1">
        <f t="array" ref="N18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189" s="4">
        <f>Table1567[[#This Row],[Total Amount]]-Table1567[[#This Row],[Discount Amount]]</f>
        <v>67.5</v>
      </c>
      <c r="P189" s="4" t="str">
        <f>IF(Table1567[[#This Row],[Total Amount]]&gt;=1000,"High","Low")</f>
        <v>Low</v>
      </c>
      <c r="Q189" s="4" t="str" cm="1">
        <f t="array" ref="Q189">_xlfn.IFS(AND(Table1567[[#This Row],[Total Amount]]&gt;=1500,"Critical"),AND(Table1567[[#This Row],[Total Amount]]&gt;=1000,"High"),TRUE,"Normal")</f>
        <v>Normal</v>
      </c>
      <c r="R189" s="4" t="str">
        <f>CONCATENATE(Table1567[[#This Row],[Customer ID]], "-",Table1567[[#This Row],[Age]])</f>
        <v>CUST188-40</v>
      </c>
      <c r="S189" s="4" t="str">
        <f>TEXT(Table1567[[#This Row],[Date]],"mmm")</f>
        <v>May</v>
      </c>
      <c r="T189" s="4" t="str">
        <f>TEXT(Table1567[[#This Row],[Date]],"DDD")</f>
        <v>Wed</v>
      </c>
    </row>
    <row r="190" spans="1:20" ht="29" x14ac:dyDescent="0.35">
      <c r="A190" s="4">
        <v>189</v>
      </c>
      <c r="B190" s="5">
        <v>44956</v>
      </c>
      <c r="C190" s="4" t="s">
        <v>202</v>
      </c>
      <c r="D190" s="4" t="s">
        <v>10</v>
      </c>
      <c r="E190" s="4">
        <v>63</v>
      </c>
      <c r="F190" s="4" t="str">
        <f>IF(Table1567[[#This Row],[Age]]&lt;=19,"Teenager",IF(Table1567[[#This Row],[Age]]&lt;=40,"Median","Old"))</f>
        <v>Old</v>
      </c>
      <c r="G190" s="4" t="s">
        <v>11</v>
      </c>
      <c r="H190" s="4">
        <v>1</v>
      </c>
      <c r="I190" s="4">
        <v>50</v>
      </c>
      <c r="J190" s="4">
        <v>50</v>
      </c>
      <c r="K190" s="4" t="str" cm="1">
        <f t="array" ref="K190">_xlfn.IFS(AND(Table1567[[#This Row],[Total Amount]]&gt;=1500),"Critical",AND(Table1567[[#This Row],[Total Amount]]&gt;=1000),"High",TRUE,"Normal")</f>
        <v>Normal</v>
      </c>
      <c r="L190" s="4" t="str">
        <f>IF(Table1567[[#This Row],[Total Amount]]&gt;=1000,"High",(IF(Table1567[[#This Row],[Total Amount]]&gt;=500,"Medium","Low")))</f>
        <v>Low</v>
      </c>
      <c r="M190" s="4" t="str" cm="1">
        <f t="array" ref="M19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90" s="4" cm="1">
        <f t="array" ref="N19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190" s="4">
        <f>Table1567[[#This Row],[Total Amount]]-Table1567[[#This Row],[Discount Amount]]</f>
        <v>45</v>
      </c>
      <c r="P190" s="4" t="str">
        <f>IF(Table1567[[#This Row],[Total Amount]]&gt;=1000,"High","Low")</f>
        <v>Low</v>
      </c>
      <c r="Q190" s="4" t="str" cm="1">
        <f t="array" ref="Q190">_xlfn.IFS(AND(Table1567[[#This Row],[Total Amount]]&gt;=1500,"Critical"),AND(Table1567[[#This Row],[Total Amount]]&gt;=1000,"High"),TRUE,"Normal")</f>
        <v>Normal</v>
      </c>
      <c r="R190" s="4" t="str">
        <f>CONCATENATE(Table1567[[#This Row],[Customer ID]], "-",Table1567[[#This Row],[Age]])</f>
        <v>CUST189-63</v>
      </c>
      <c r="S190" s="4" t="str">
        <f>TEXT(Table1567[[#This Row],[Date]],"mmm")</f>
        <v>Jan</v>
      </c>
      <c r="T190" s="4" t="str">
        <f>TEXT(Table1567[[#This Row],[Date]],"DDD")</f>
        <v>Mon</v>
      </c>
    </row>
    <row r="191" spans="1:20" ht="29" x14ac:dyDescent="0.35">
      <c r="A191" s="4">
        <v>190</v>
      </c>
      <c r="B191" s="5">
        <v>45050</v>
      </c>
      <c r="C191" s="4" t="s">
        <v>203</v>
      </c>
      <c r="D191" s="4" t="s">
        <v>13</v>
      </c>
      <c r="E191" s="4">
        <v>60</v>
      </c>
      <c r="F191" s="4" t="str">
        <f>IF(Table1567[[#This Row],[Age]]&lt;=19,"Teenager",IF(Table1567[[#This Row],[Age]]&lt;=40,"Median","Old"))</f>
        <v>Old</v>
      </c>
      <c r="G191" s="4" t="s">
        <v>11</v>
      </c>
      <c r="H191" s="4">
        <v>3</v>
      </c>
      <c r="I191" s="4">
        <v>30</v>
      </c>
      <c r="J191" s="4">
        <v>90</v>
      </c>
      <c r="K191" s="4" t="str" cm="1">
        <f t="array" ref="K191">_xlfn.IFS(AND(Table1567[[#This Row],[Total Amount]]&gt;=1500),"Critical",AND(Table1567[[#This Row],[Total Amount]]&gt;=1000),"High",TRUE,"Normal")</f>
        <v>Normal</v>
      </c>
      <c r="L191" s="4" t="str">
        <f>IF(Table1567[[#This Row],[Total Amount]]&gt;=1000,"High",(IF(Table1567[[#This Row],[Total Amount]]&gt;=500,"Medium","Low")))</f>
        <v>Low</v>
      </c>
      <c r="M191" s="4" t="str" cm="1">
        <f t="array" ref="M19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91" s="4" cm="1">
        <f t="array" ref="N19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191" s="4">
        <f>Table1567[[#This Row],[Total Amount]]-Table1567[[#This Row],[Discount Amount]]</f>
        <v>72</v>
      </c>
      <c r="P191" s="4" t="str">
        <f>IF(Table1567[[#This Row],[Total Amount]]&gt;=1000,"High","Low")</f>
        <v>Low</v>
      </c>
      <c r="Q191" s="4" t="str" cm="1">
        <f t="array" ref="Q191">_xlfn.IFS(AND(Table1567[[#This Row],[Total Amount]]&gt;=1500,"Critical"),AND(Table1567[[#This Row],[Total Amount]]&gt;=1000,"High"),TRUE,"Normal")</f>
        <v>Normal</v>
      </c>
      <c r="R191" s="4" t="str">
        <f>CONCATENATE(Table1567[[#This Row],[Customer ID]], "-",Table1567[[#This Row],[Age]])</f>
        <v>CUST190-60</v>
      </c>
      <c r="S191" s="4" t="str">
        <f>TEXT(Table1567[[#This Row],[Date]],"mmm")</f>
        <v>May</v>
      </c>
      <c r="T191" s="4" t="str">
        <f>TEXT(Table1567[[#This Row],[Date]],"DDD")</f>
        <v>Thu</v>
      </c>
    </row>
    <row r="192" spans="1:20" ht="29" x14ac:dyDescent="0.35">
      <c r="A192" s="4">
        <v>191</v>
      </c>
      <c r="B192" s="5">
        <v>45217</v>
      </c>
      <c r="C192" s="4" t="s">
        <v>204</v>
      </c>
      <c r="D192" s="4" t="s">
        <v>10</v>
      </c>
      <c r="E192" s="4">
        <v>64</v>
      </c>
      <c r="F192" s="4" t="str">
        <f>IF(Table1567[[#This Row],[Age]]&lt;=19,"Teenager",IF(Table1567[[#This Row],[Age]]&lt;=40,"Median","Old"))</f>
        <v>Old</v>
      </c>
      <c r="G192" s="4" t="s">
        <v>11</v>
      </c>
      <c r="H192" s="4">
        <v>1</v>
      </c>
      <c r="I192" s="4">
        <v>25</v>
      </c>
      <c r="J192" s="4">
        <v>25</v>
      </c>
      <c r="K192" s="4" t="str" cm="1">
        <f t="array" ref="K192">_xlfn.IFS(AND(Table1567[[#This Row],[Total Amount]]&gt;=1500),"Critical",AND(Table1567[[#This Row],[Total Amount]]&gt;=1000),"High",TRUE,"Normal")</f>
        <v>Normal</v>
      </c>
      <c r="L192" s="4" t="str">
        <f>IF(Table1567[[#This Row],[Total Amount]]&gt;=1000,"High",(IF(Table1567[[#This Row],[Total Amount]]&gt;=500,"Medium","Low")))</f>
        <v>Low</v>
      </c>
      <c r="M192" s="4" t="str" cm="1">
        <f t="array" ref="M19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92" s="4" cm="1">
        <f t="array" ref="N19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192" s="4">
        <f>Table1567[[#This Row],[Total Amount]]-Table1567[[#This Row],[Discount Amount]]</f>
        <v>22.5</v>
      </c>
      <c r="P192" s="4" t="str">
        <f>IF(Table1567[[#This Row],[Total Amount]]&gt;=1000,"High","Low")</f>
        <v>Low</v>
      </c>
      <c r="Q192" s="4" t="str" cm="1">
        <f t="array" ref="Q192">_xlfn.IFS(AND(Table1567[[#This Row],[Total Amount]]&gt;=1500,"Critical"),AND(Table1567[[#This Row],[Total Amount]]&gt;=1000,"High"),TRUE,"Normal")</f>
        <v>Normal</v>
      </c>
      <c r="R192" s="4" t="str">
        <f>CONCATENATE(Table1567[[#This Row],[Customer ID]], "-",Table1567[[#This Row],[Age]])</f>
        <v>CUST191-64</v>
      </c>
      <c r="S192" s="4" t="str">
        <f>TEXT(Table1567[[#This Row],[Date]],"mmm")</f>
        <v>Oct</v>
      </c>
      <c r="T192" s="4" t="str">
        <f>TEXT(Table1567[[#This Row],[Date]],"DDD")</f>
        <v>Wed</v>
      </c>
    </row>
    <row r="193" spans="1:20" ht="29" x14ac:dyDescent="0.35">
      <c r="A193" s="4">
        <v>192</v>
      </c>
      <c r="B193" s="5">
        <v>44967</v>
      </c>
      <c r="C193" s="4" t="s">
        <v>205</v>
      </c>
      <c r="D193" s="4" t="s">
        <v>10</v>
      </c>
      <c r="E193" s="4">
        <v>62</v>
      </c>
      <c r="F193" s="4" t="str">
        <f>IF(Table1567[[#This Row],[Age]]&lt;=19,"Teenager",IF(Table1567[[#This Row],[Age]]&lt;=40,"Median","Old"))</f>
        <v>Old</v>
      </c>
      <c r="G193" s="4" t="s">
        <v>11</v>
      </c>
      <c r="H193" s="4">
        <v>2</v>
      </c>
      <c r="I193" s="4">
        <v>50</v>
      </c>
      <c r="J193" s="4">
        <v>100</v>
      </c>
      <c r="K193" s="4" t="str" cm="1">
        <f t="array" ref="K193">_xlfn.IFS(AND(Table1567[[#This Row],[Total Amount]]&gt;=1500),"Critical",AND(Table1567[[#This Row],[Total Amount]]&gt;=1000),"High",TRUE,"Normal")</f>
        <v>Normal</v>
      </c>
      <c r="L193" s="4" t="str">
        <f>IF(Table1567[[#This Row],[Total Amount]]&gt;=1000,"High",(IF(Table1567[[#This Row],[Total Amount]]&gt;=500,"Medium","Low")))</f>
        <v>Low</v>
      </c>
      <c r="M193" s="4" t="str" cm="1">
        <f t="array" ref="M19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93" s="4" cm="1">
        <f t="array" ref="N19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193" s="4">
        <f>Table1567[[#This Row],[Total Amount]]-Table1567[[#This Row],[Discount Amount]]</f>
        <v>90</v>
      </c>
      <c r="P193" s="4" t="str">
        <f>IF(Table1567[[#This Row],[Total Amount]]&gt;=1000,"High","Low")</f>
        <v>Low</v>
      </c>
      <c r="Q193" s="4" t="str" cm="1">
        <f t="array" ref="Q193">_xlfn.IFS(AND(Table1567[[#This Row],[Total Amount]]&gt;=1500,"Critical"),AND(Table1567[[#This Row],[Total Amount]]&gt;=1000,"High"),TRUE,"Normal")</f>
        <v>Normal</v>
      </c>
      <c r="R193" s="4" t="str">
        <f>CONCATENATE(Table1567[[#This Row],[Customer ID]], "-",Table1567[[#This Row],[Age]])</f>
        <v>CUST192-62</v>
      </c>
      <c r="S193" s="4" t="str">
        <f>TEXT(Table1567[[#This Row],[Date]],"mmm")</f>
        <v>Feb</v>
      </c>
      <c r="T193" s="4" t="str">
        <f>TEXT(Table1567[[#This Row],[Date]],"DDD")</f>
        <v>Fri</v>
      </c>
    </row>
    <row r="194" spans="1:20" ht="29" x14ac:dyDescent="0.35">
      <c r="A194" s="4">
        <v>193</v>
      </c>
      <c r="B194" s="5">
        <v>44970</v>
      </c>
      <c r="C194" s="4" t="s">
        <v>206</v>
      </c>
      <c r="D194" s="4" t="s">
        <v>10</v>
      </c>
      <c r="E194" s="4">
        <v>35</v>
      </c>
      <c r="F194" s="4" t="str">
        <f>IF(Table1567[[#This Row],[Age]]&lt;=19,"Teenager",IF(Table1567[[#This Row],[Age]]&lt;=40,"Median","Old"))</f>
        <v>Median</v>
      </c>
      <c r="G194" s="4" t="s">
        <v>11</v>
      </c>
      <c r="H194" s="4">
        <v>3</v>
      </c>
      <c r="I194" s="4">
        <v>500</v>
      </c>
      <c r="J194" s="4">
        <v>1500</v>
      </c>
      <c r="K194" s="4" t="str" cm="1">
        <f t="array" ref="K194">_xlfn.IFS(AND(Table1567[[#This Row],[Total Amount]]&gt;=1500),"Critical",AND(Table1567[[#This Row],[Total Amount]]&gt;=1000),"High",TRUE,"Normal")</f>
        <v>Critical</v>
      </c>
      <c r="L194" s="4" t="str">
        <f>IF(Table1567[[#This Row],[Total Amount]]&gt;=1000,"High",(IF(Table1567[[#This Row],[Total Amount]]&gt;=500,"Medium","Low")))</f>
        <v>High</v>
      </c>
      <c r="M194" s="4" t="str" cm="1">
        <f t="array" ref="M19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94" s="4" cm="1">
        <f t="array" ref="N19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194" s="4">
        <f>Table1567[[#This Row],[Total Amount]]-Table1567[[#This Row],[Discount Amount]]</f>
        <v>1350</v>
      </c>
      <c r="P194" s="4" t="str">
        <f>IF(Table1567[[#This Row],[Total Amount]]&gt;=1000,"High","Low")</f>
        <v>High</v>
      </c>
      <c r="Q194" s="4" t="b" cm="1">
        <f t="array" ref="Q194">_xlfn.IFS(AND(Table1567[[#This Row],[Total Amount]]&gt;=1500,"Critical"),AND(Table1567[[#This Row],[Total Amount]]&gt;=1000,"High"),TRUE,"Normal")</f>
        <v>1</v>
      </c>
      <c r="R194" s="4" t="str">
        <f>CONCATENATE(Table1567[[#This Row],[Customer ID]], "-",Table1567[[#This Row],[Age]])</f>
        <v>CUST193-35</v>
      </c>
      <c r="S194" s="4" t="str">
        <f>TEXT(Table1567[[#This Row],[Date]],"mmm")</f>
        <v>Feb</v>
      </c>
      <c r="T194" s="4" t="str">
        <f>TEXT(Table1567[[#This Row],[Date]],"DDD")</f>
        <v>Mon</v>
      </c>
    </row>
    <row r="195" spans="1:20" ht="29" x14ac:dyDescent="0.35">
      <c r="A195" s="4">
        <v>194</v>
      </c>
      <c r="B195" s="5">
        <v>45175</v>
      </c>
      <c r="C195" s="4" t="s">
        <v>207</v>
      </c>
      <c r="D195" s="4" t="s">
        <v>10</v>
      </c>
      <c r="E195" s="4">
        <v>55</v>
      </c>
      <c r="F195" s="4" t="str">
        <f>IF(Table1567[[#This Row],[Age]]&lt;=19,"Teenager",IF(Table1567[[#This Row],[Age]]&lt;=40,"Median","Old"))</f>
        <v>Old</v>
      </c>
      <c r="G195" s="4" t="s">
        <v>14</v>
      </c>
      <c r="H195" s="4">
        <v>4</v>
      </c>
      <c r="I195" s="4">
        <v>50</v>
      </c>
      <c r="J195" s="4">
        <v>200</v>
      </c>
      <c r="K195" s="4" t="str" cm="1">
        <f t="array" ref="K195">_xlfn.IFS(AND(Table1567[[#This Row],[Total Amount]]&gt;=1500),"Critical",AND(Table1567[[#This Row],[Total Amount]]&gt;=1000),"High",TRUE,"Normal")</f>
        <v>Normal</v>
      </c>
      <c r="L195" s="4" t="str">
        <f>IF(Table1567[[#This Row],[Total Amount]]&gt;=1000,"High",(IF(Table1567[[#This Row],[Total Amount]]&gt;=500,"Medium","Low")))</f>
        <v>Low</v>
      </c>
      <c r="M195" s="4" t="str" cm="1">
        <f t="array" ref="M19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95" s="4" cm="1">
        <f t="array" ref="N19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195" s="4">
        <f>Table1567[[#This Row],[Total Amount]]-Table1567[[#This Row],[Discount Amount]]</f>
        <v>180</v>
      </c>
      <c r="P195" s="4" t="str">
        <f>IF(Table1567[[#This Row],[Total Amount]]&gt;=1000,"High","Low")</f>
        <v>Low</v>
      </c>
      <c r="Q195" s="4" t="str" cm="1">
        <f t="array" ref="Q195">_xlfn.IFS(AND(Table1567[[#This Row],[Total Amount]]&gt;=1500,"Critical"),AND(Table1567[[#This Row],[Total Amount]]&gt;=1000,"High"),TRUE,"Normal")</f>
        <v>Normal</v>
      </c>
      <c r="R195" s="4" t="str">
        <f>CONCATENATE(Table1567[[#This Row],[Customer ID]], "-",Table1567[[#This Row],[Age]])</f>
        <v>CUST194-55</v>
      </c>
      <c r="S195" s="4" t="str">
        <f>TEXT(Table1567[[#This Row],[Date]],"mmm")</f>
        <v>Sep</v>
      </c>
      <c r="T195" s="4" t="str">
        <f>TEXT(Table1567[[#This Row],[Date]],"DDD")</f>
        <v>Wed</v>
      </c>
    </row>
    <row r="196" spans="1:20" ht="29" x14ac:dyDescent="0.35">
      <c r="A196" s="4">
        <v>195</v>
      </c>
      <c r="B196" s="5">
        <v>44962</v>
      </c>
      <c r="C196" s="4" t="s">
        <v>208</v>
      </c>
      <c r="D196" s="4" t="s">
        <v>10</v>
      </c>
      <c r="E196" s="4">
        <v>52</v>
      </c>
      <c r="F196" s="4" t="str">
        <f>IF(Table1567[[#This Row],[Age]]&lt;=19,"Teenager",IF(Table1567[[#This Row],[Age]]&lt;=40,"Median","Old"))</f>
        <v>Old</v>
      </c>
      <c r="G196" s="4" t="s">
        <v>14</v>
      </c>
      <c r="H196" s="4">
        <v>1</v>
      </c>
      <c r="I196" s="4">
        <v>30</v>
      </c>
      <c r="J196" s="4">
        <v>30</v>
      </c>
      <c r="K196" s="4" t="str" cm="1">
        <f t="array" ref="K196">_xlfn.IFS(AND(Table1567[[#This Row],[Total Amount]]&gt;=1500),"Critical",AND(Table1567[[#This Row],[Total Amount]]&gt;=1000),"High",TRUE,"Normal")</f>
        <v>Normal</v>
      </c>
      <c r="L196" s="4" t="str">
        <f>IF(Table1567[[#This Row],[Total Amount]]&gt;=1000,"High",(IF(Table1567[[#This Row],[Total Amount]]&gt;=500,"Medium","Low")))</f>
        <v>Low</v>
      </c>
      <c r="M196" s="4" t="str" cm="1">
        <f t="array" ref="M19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96" s="4" cm="1">
        <f t="array" ref="N19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</v>
      </c>
      <c r="O196" s="4">
        <f>Table1567[[#This Row],[Total Amount]]-Table1567[[#This Row],[Discount Amount]]</f>
        <v>27</v>
      </c>
      <c r="P196" s="4" t="str">
        <f>IF(Table1567[[#This Row],[Total Amount]]&gt;=1000,"High","Low")</f>
        <v>Low</v>
      </c>
      <c r="Q196" s="4" t="str" cm="1">
        <f t="array" ref="Q196">_xlfn.IFS(AND(Table1567[[#This Row],[Total Amount]]&gt;=1500,"Critical"),AND(Table1567[[#This Row],[Total Amount]]&gt;=1000,"High"),TRUE,"Normal")</f>
        <v>Normal</v>
      </c>
      <c r="R196" s="4" t="str">
        <f>CONCATENATE(Table1567[[#This Row],[Customer ID]], "-",Table1567[[#This Row],[Age]])</f>
        <v>CUST195-52</v>
      </c>
      <c r="S196" s="4" t="str">
        <f>TEXT(Table1567[[#This Row],[Date]],"mmm")</f>
        <v>Feb</v>
      </c>
      <c r="T196" s="4" t="str">
        <f>TEXT(Table1567[[#This Row],[Date]],"DDD")</f>
        <v>Sun</v>
      </c>
    </row>
    <row r="197" spans="1:20" ht="29" x14ac:dyDescent="0.35">
      <c r="A197" s="4">
        <v>196</v>
      </c>
      <c r="B197" s="5">
        <v>45199</v>
      </c>
      <c r="C197" s="4" t="s">
        <v>209</v>
      </c>
      <c r="D197" s="4" t="s">
        <v>13</v>
      </c>
      <c r="E197" s="4">
        <v>32</v>
      </c>
      <c r="F197" s="4" t="str">
        <f>IF(Table1567[[#This Row],[Age]]&lt;=19,"Teenager",IF(Table1567[[#This Row],[Age]]&lt;=40,"Median","Old"))</f>
        <v>Median</v>
      </c>
      <c r="G197" s="4" t="s">
        <v>14</v>
      </c>
      <c r="H197" s="4">
        <v>3</v>
      </c>
      <c r="I197" s="4">
        <v>300</v>
      </c>
      <c r="J197" s="4">
        <v>900</v>
      </c>
      <c r="K197" s="4" t="str" cm="1">
        <f t="array" ref="K197">_xlfn.IFS(AND(Table1567[[#This Row],[Total Amount]]&gt;=1500),"Critical",AND(Table1567[[#This Row],[Total Amount]]&gt;=1000),"High",TRUE,"Normal")</f>
        <v>Normal</v>
      </c>
      <c r="L197" s="4" t="str">
        <f>IF(Table1567[[#This Row],[Total Amount]]&gt;=1000,"High",(IF(Table1567[[#This Row],[Total Amount]]&gt;=500,"Medium","Low")))</f>
        <v>Medium</v>
      </c>
      <c r="M197" s="4" t="str" cm="1">
        <f t="array" ref="M19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97" s="4" cm="1">
        <f t="array" ref="N19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135</v>
      </c>
      <c r="O197" s="4">
        <f>Table1567[[#This Row],[Total Amount]]-Table1567[[#This Row],[Discount Amount]]</f>
        <v>765</v>
      </c>
      <c r="P197" s="4" t="str">
        <f>IF(Table1567[[#This Row],[Total Amount]]&gt;=1000,"High","Low")</f>
        <v>Low</v>
      </c>
      <c r="Q197" s="4" t="str" cm="1">
        <f t="array" ref="Q197">_xlfn.IFS(AND(Table1567[[#This Row],[Total Amount]]&gt;=1500,"Critical"),AND(Table1567[[#This Row],[Total Amount]]&gt;=1000,"High"),TRUE,"Normal")</f>
        <v>Normal</v>
      </c>
      <c r="R197" s="4" t="str">
        <f>CONCATENATE(Table1567[[#This Row],[Customer ID]], "-",Table1567[[#This Row],[Age]])</f>
        <v>CUST196-32</v>
      </c>
      <c r="S197" s="4" t="str">
        <f>TEXT(Table1567[[#This Row],[Date]],"mmm")</f>
        <v>Sep</v>
      </c>
      <c r="T197" s="4" t="str">
        <f>TEXT(Table1567[[#This Row],[Date]],"DDD")</f>
        <v>Sat</v>
      </c>
    </row>
    <row r="198" spans="1:20" ht="29" x14ac:dyDescent="0.35">
      <c r="A198" s="4">
        <v>197</v>
      </c>
      <c r="B198" s="5">
        <v>44991</v>
      </c>
      <c r="C198" s="4" t="s">
        <v>210</v>
      </c>
      <c r="D198" s="4" t="s">
        <v>13</v>
      </c>
      <c r="E198" s="4">
        <v>42</v>
      </c>
      <c r="F198" s="4" t="str">
        <f>IF(Table1567[[#This Row],[Age]]&lt;=19,"Teenager",IF(Table1567[[#This Row],[Age]]&lt;=40,"Median","Old"))</f>
        <v>Old</v>
      </c>
      <c r="G198" s="4" t="s">
        <v>14</v>
      </c>
      <c r="H198" s="4">
        <v>4</v>
      </c>
      <c r="I198" s="4">
        <v>50</v>
      </c>
      <c r="J198" s="4">
        <v>200</v>
      </c>
      <c r="K198" s="4" t="str" cm="1">
        <f t="array" ref="K198">_xlfn.IFS(AND(Table1567[[#This Row],[Total Amount]]&gt;=1500),"Critical",AND(Table1567[[#This Row],[Total Amount]]&gt;=1000),"High",TRUE,"Normal")</f>
        <v>Normal</v>
      </c>
      <c r="L198" s="4" t="str">
        <f>IF(Table1567[[#This Row],[Total Amount]]&gt;=1000,"High",(IF(Table1567[[#This Row],[Total Amount]]&gt;=500,"Medium","Low")))</f>
        <v>Low</v>
      </c>
      <c r="M198" s="4" t="str" cm="1">
        <f t="array" ref="M19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98" s="4" cm="1">
        <f t="array" ref="N19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</v>
      </c>
      <c r="O198" s="4">
        <f>Table1567[[#This Row],[Total Amount]]-Table1567[[#This Row],[Discount Amount]]</f>
        <v>160</v>
      </c>
      <c r="P198" s="4" t="str">
        <f>IF(Table1567[[#This Row],[Total Amount]]&gt;=1000,"High","Low")</f>
        <v>Low</v>
      </c>
      <c r="Q198" s="4" t="str" cm="1">
        <f t="array" ref="Q198">_xlfn.IFS(AND(Table1567[[#This Row],[Total Amount]]&gt;=1500,"Critical"),AND(Table1567[[#This Row],[Total Amount]]&gt;=1000,"High"),TRUE,"Normal")</f>
        <v>Normal</v>
      </c>
      <c r="R198" s="4" t="str">
        <f>CONCATENATE(Table1567[[#This Row],[Customer ID]], "-",Table1567[[#This Row],[Age]])</f>
        <v>CUST197-42</v>
      </c>
      <c r="S198" s="4" t="str">
        <f>TEXT(Table1567[[#This Row],[Date]],"mmm")</f>
        <v>Mar</v>
      </c>
      <c r="T198" s="4" t="str">
        <f>TEXT(Table1567[[#This Row],[Date]],"DDD")</f>
        <v>Mon</v>
      </c>
    </row>
    <row r="199" spans="1:20" ht="29" x14ac:dyDescent="0.35">
      <c r="A199" s="4">
        <v>198</v>
      </c>
      <c r="B199" s="5">
        <v>44992</v>
      </c>
      <c r="C199" s="4" t="s">
        <v>211</v>
      </c>
      <c r="D199" s="4" t="s">
        <v>13</v>
      </c>
      <c r="E199" s="4">
        <v>54</v>
      </c>
      <c r="F199" s="4" t="str">
        <f>IF(Table1567[[#This Row],[Age]]&lt;=19,"Teenager",IF(Table1567[[#This Row],[Age]]&lt;=40,"Median","Old"))</f>
        <v>Old</v>
      </c>
      <c r="G199" s="4" t="s">
        <v>11</v>
      </c>
      <c r="H199" s="4">
        <v>3</v>
      </c>
      <c r="I199" s="4">
        <v>300</v>
      </c>
      <c r="J199" s="4">
        <v>900</v>
      </c>
      <c r="K199" s="4" t="str" cm="1">
        <f t="array" ref="K199">_xlfn.IFS(AND(Table1567[[#This Row],[Total Amount]]&gt;=1500),"Critical",AND(Table1567[[#This Row],[Total Amount]]&gt;=1000),"High",TRUE,"Normal")</f>
        <v>Normal</v>
      </c>
      <c r="L199" s="4" t="str">
        <f>IF(Table1567[[#This Row],[Total Amount]]&gt;=1000,"High",(IF(Table1567[[#This Row],[Total Amount]]&gt;=500,"Medium","Low")))</f>
        <v>Medium</v>
      </c>
      <c r="M199" s="4" t="str" cm="1">
        <f t="array" ref="M19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99" s="4" cm="1">
        <f t="array" ref="N19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199" s="4">
        <f>Table1567[[#This Row],[Total Amount]]-Table1567[[#This Row],[Discount Amount]]</f>
        <v>720</v>
      </c>
      <c r="P199" s="4" t="str">
        <f>IF(Table1567[[#This Row],[Total Amount]]&gt;=1000,"High","Low")</f>
        <v>Low</v>
      </c>
      <c r="Q199" s="4" t="str" cm="1">
        <f t="array" ref="Q199">_xlfn.IFS(AND(Table1567[[#This Row],[Total Amount]]&gt;=1500,"Critical"),AND(Table1567[[#This Row],[Total Amount]]&gt;=1000,"High"),TRUE,"Normal")</f>
        <v>Normal</v>
      </c>
      <c r="R199" s="4" t="str">
        <f>CONCATENATE(Table1567[[#This Row],[Customer ID]], "-",Table1567[[#This Row],[Age]])</f>
        <v>CUST198-54</v>
      </c>
      <c r="S199" s="4" t="str">
        <f>TEXT(Table1567[[#This Row],[Date]],"mmm")</f>
        <v>Mar</v>
      </c>
      <c r="T199" s="4" t="str">
        <f>TEXT(Table1567[[#This Row],[Date]],"DDD")</f>
        <v>Tue</v>
      </c>
    </row>
    <row r="200" spans="1:20" ht="29" x14ac:dyDescent="0.35">
      <c r="A200" s="4">
        <v>199</v>
      </c>
      <c r="B200" s="5">
        <v>45264</v>
      </c>
      <c r="C200" s="4" t="s">
        <v>212</v>
      </c>
      <c r="D200" s="4" t="s">
        <v>10</v>
      </c>
      <c r="E200" s="4">
        <v>45</v>
      </c>
      <c r="F200" s="4" t="str">
        <f>IF(Table1567[[#This Row],[Age]]&lt;=19,"Teenager",IF(Table1567[[#This Row],[Age]]&lt;=40,"Median","Old"))</f>
        <v>Old</v>
      </c>
      <c r="G200" s="4" t="s">
        <v>11</v>
      </c>
      <c r="H200" s="4">
        <v>3</v>
      </c>
      <c r="I200" s="4">
        <v>500</v>
      </c>
      <c r="J200" s="4">
        <v>1500</v>
      </c>
      <c r="K200" s="4" t="str" cm="1">
        <f t="array" ref="K200">_xlfn.IFS(AND(Table1567[[#This Row],[Total Amount]]&gt;=1500),"Critical",AND(Table1567[[#This Row],[Total Amount]]&gt;=1000),"High",TRUE,"Normal")</f>
        <v>Critical</v>
      </c>
      <c r="L200" s="4" t="str">
        <f>IF(Table1567[[#This Row],[Total Amount]]&gt;=1000,"High",(IF(Table1567[[#This Row],[Total Amount]]&gt;=500,"Medium","Low")))</f>
        <v>High</v>
      </c>
      <c r="M200" s="4" t="str" cm="1">
        <f t="array" ref="M20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00" s="4" cm="1">
        <f t="array" ref="N20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200" s="4">
        <f>Table1567[[#This Row],[Total Amount]]-Table1567[[#This Row],[Discount Amount]]</f>
        <v>1350</v>
      </c>
      <c r="P200" s="4" t="str">
        <f>IF(Table1567[[#This Row],[Total Amount]]&gt;=1000,"High","Low")</f>
        <v>High</v>
      </c>
      <c r="Q200" s="4" t="b" cm="1">
        <f t="array" ref="Q200">_xlfn.IFS(AND(Table1567[[#This Row],[Total Amount]]&gt;=1500,"Critical"),AND(Table1567[[#This Row],[Total Amount]]&gt;=1000,"High"),TRUE,"Normal")</f>
        <v>1</v>
      </c>
      <c r="R200" s="4" t="str">
        <f>CONCATENATE(Table1567[[#This Row],[Customer ID]], "-",Table1567[[#This Row],[Age]])</f>
        <v>CUST199-45</v>
      </c>
      <c r="S200" s="4" t="str">
        <f>TEXT(Table1567[[#This Row],[Date]],"mmm")</f>
        <v>Dec</v>
      </c>
      <c r="T200" s="4" t="str">
        <f>TEXT(Table1567[[#This Row],[Date]],"DDD")</f>
        <v>Mon</v>
      </c>
    </row>
    <row r="201" spans="1:20" ht="29" x14ac:dyDescent="0.35">
      <c r="A201" s="4">
        <v>200</v>
      </c>
      <c r="B201" s="5">
        <v>45170</v>
      </c>
      <c r="C201" s="4" t="s">
        <v>213</v>
      </c>
      <c r="D201" s="4" t="s">
        <v>10</v>
      </c>
      <c r="E201" s="4">
        <v>27</v>
      </c>
      <c r="F201" s="4" t="str">
        <f>IF(Table1567[[#This Row],[Age]]&lt;=19,"Teenager",IF(Table1567[[#This Row],[Age]]&lt;=40,"Median","Old"))</f>
        <v>Median</v>
      </c>
      <c r="G201" s="4" t="s">
        <v>11</v>
      </c>
      <c r="H201" s="4">
        <v>3</v>
      </c>
      <c r="I201" s="4">
        <v>50</v>
      </c>
      <c r="J201" s="4">
        <v>150</v>
      </c>
      <c r="K201" s="4" t="str" cm="1">
        <f t="array" ref="K201">_xlfn.IFS(AND(Table1567[[#This Row],[Total Amount]]&gt;=1500),"Critical",AND(Table1567[[#This Row],[Total Amount]]&gt;=1000),"High",TRUE,"Normal")</f>
        <v>Normal</v>
      </c>
      <c r="L201" s="4" t="str">
        <f>IF(Table1567[[#This Row],[Total Amount]]&gt;=1000,"High",(IF(Table1567[[#This Row],[Total Amount]]&gt;=500,"Medium","Low")))</f>
        <v>Low</v>
      </c>
      <c r="M201" s="4" t="str" cm="1">
        <f t="array" ref="M20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01" s="4" cm="1">
        <f t="array" ref="N20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22.5</v>
      </c>
      <c r="O201" s="4">
        <f>Table1567[[#This Row],[Total Amount]]-Table1567[[#This Row],[Discount Amount]]</f>
        <v>127.5</v>
      </c>
      <c r="P201" s="4" t="str">
        <f>IF(Table1567[[#This Row],[Total Amount]]&gt;=1000,"High","Low")</f>
        <v>Low</v>
      </c>
      <c r="Q201" s="4" t="str" cm="1">
        <f t="array" ref="Q201">_xlfn.IFS(AND(Table1567[[#This Row],[Total Amount]]&gt;=1500,"Critical"),AND(Table1567[[#This Row],[Total Amount]]&gt;=1000,"High"),TRUE,"Normal")</f>
        <v>Normal</v>
      </c>
      <c r="R201" s="4" t="str">
        <f>CONCATENATE(Table1567[[#This Row],[Customer ID]], "-",Table1567[[#This Row],[Age]])</f>
        <v>CUST200-27</v>
      </c>
      <c r="S201" s="4" t="str">
        <f>TEXT(Table1567[[#This Row],[Date]],"mmm")</f>
        <v>Sep</v>
      </c>
      <c r="T201" s="4" t="str">
        <f>TEXT(Table1567[[#This Row],[Date]],"DDD")</f>
        <v>Fri</v>
      </c>
    </row>
    <row r="202" spans="1:20" ht="29" x14ac:dyDescent="0.35">
      <c r="A202" s="4">
        <v>201</v>
      </c>
      <c r="B202" s="5">
        <v>45208</v>
      </c>
      <c r="C202" s="4" t="s">
        <v>214</v>
      </c>
      <c r="D202" s="4" t="s">
        <v>10</v>
      </c>
      <c r="E202" s="4">
        <v>56</v>
      </c>
      <c r="F202" s="4" t="str">
        <f>IF(Table1567[[#This Row],[Age]]&lt;=19,"Teenager",IF(Table1567[[#This Row],[Age]]&lt;=40,"Median","Old"))</f>
        <v>Old</v>
      </c>
      <c r="G202" s="4" t="s">
        <v>16</v>
      </c>
      <c r="H202" s="4">
        <v>1</v>
      </c>
      <c r="I202" s="4">
        <v>25</v>
      </c>
      <c r="J202" s="4">
        <v>25</v>
      </c>
      <c r="K202" s="4" t="str" cm="1">
        <f t="array" ref="K202">_xlfn.IFS(AND(Table1567[[#This Row],[Total Amount]]&gt;=1500),"Critical",AND(Table1567[[#This Row],[Total Amount]]&gt;=1000),"High",TRUE,"Normal")</f>
        <v>Normal</v>
      </c>
      <c r="L202" s="4" t="str">
        <f>IF(Table1567[[#This Row],[Total Amount]]&gt;=1000,"High",(IF(Table1567[[#This Row],[Total Amount]]&gt;=500,"Medium","Low")))</f>
        <v>Low</v>
      </c>
      <c r="M202" s="4" t="str" cm="1">
        <f t="array" ref="M20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02" s="4" cm="1">
        <f t="array" ref="N20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202" s="4">
        <f>Table1567[[#This Row],[Total Amount]]-Table1567[[#This Row],[Discount Amount]]</f>
        <v>22.5</v>
      </c>
      <c r="P202" s="4" t="str">
        <f>IF(Table1567[[#This Row],[Total Amount]]&gt;=1000,"High","Low")</f>
        <v>Low</v>
      </c>
      <c r="Q202" s="4" t="str" cm="1">
        <f t="array" ref="Q202">_xlfn.IFS(AND(Table1567[[#This Row],[Total Amount]]&gt;=1500,"Critical"),AND(Table1567[[#This Row],[Total Amount]]&gt;=1000,"High"),TRUE,"Normal")</f>
        <v>Normal</v>
      </c>
      <c r="R202" s="4" t="str">
        <f>CONCATENATE(Table1567[[#This Row],[Customer ID]], "-",Table1567[[#This Row],[Age]])</f>
        <v>CUST201-56</v>
      </c>
      <c r="S202" s="4" t="str">
        <f>TEXT(Table1567[[#This Row],[Date]],"mmm")</f>
        <v>Oct</v>
      </c>
      <c r="T202" s="4" t="str">
        <f>TEXT(Table1567[[#This Row],[Date]],"DDD")</f>
        <v>Mon</v>
      </c>
    </row>
    <row r="203" spans="1:20" ht="29" x14ac:dyDescent="0.35">
      <c r="A203" s="4">
        <v>202</v>
      </c>
      <c r="B203" s="5">
        <v>45011</v>
      </c>
      <c r="C203" s="4" t="s">
        <v>215</v>
      </c>
      <c r="D203" s="4" t="s">
        <v>13</v>
      </c>
      <c r="E203" s="4">
        <v>34</v>
      </c>
      <c r="F203" s="4" t="str">
        <f>IF(Table1567[[#This Row],[Age]]&lt;=19,"Teenager",IF(Table1567[[#This Row],[Age]]&lt;=40,"Median","Old"))</f>
        <v>Median</v>
      </c>
      <c r="G203" s="4" t="s">
        <v>14</v>
      </c>
      <c r="H203" s="4">
        <v>4</v>
      </c>
      <c r="I203" s="4">
        <v>300</v>
      </c>
      <c r="J203" s="4">
        <v>1200</v>
      </c>
      <c r="K203" s="4" t="str" cm="1">
        <f t="array" ref="K203">_xlfn.IFS(AND(Table1567[[#This Row],[Total Amount]]&gt;=1500),"Critical",AND(Table1567[[#This Row],[Total Amount]]&gt;=1000),"High",TRUE,"Normal")</f>
        <v>High</v>
      </c>
      <c r="L203" s="4" t="str">
        <f>IF(Table1567[[#This Row],[Total Amount]]&gt;=1000,"High",(IF(Table1567[[#This Row],[Total Amount]]&gt;=500,"Medium","Low")))</f>
        <v>High</v>
      </c>
      <c r="M203" s="4" t="str" cm="1">
        <f t="array" ref="M20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03" s="4" cm="1">
        <f t="array" ref="N20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203" s="4">
        <f>Table1567[[#This Row],[Total Amount]]-Table1567[[#This Row],[Discount Amount]]</f>
        <v>1020</v>
      </c>
      <c r="P203" s="4" t="str">
        <f>IF(Table1567[[#This Row],[Total Amount]]&gt;=1000,"High","Low")</f>
        <v>High</v>
      </c>
      <c r="Q203" s="4" t="str" cm="1">
        <f t="array" ref="Q203">_xlfn.IFS(AND(Table1567[[#This Row],[Total Amount]]&gt;=1500,"Critical"),AND(Table1567[[#This Row],[Total Amount]]&gt;=1000,"High"),TRUE,"Normal")</f>
        <v>Normal</v>
      </c>
      <c r="R203" s="4" t="str">
        <f>CONCATENATE(Table1567[[#This Row],[Customer ID]], "-",Table1567[[#This Row],[Age]])</f>
        <v>CUST202-34</v>
      </c>
      <c r="S203" s="4" t="str">
        <f>TEXT(Table1567[[#This Row],[Date]],"mmm")</f>
        <v>Mar</v>
      </c>
      <c r="T203" s="4" t="str">
        <f>TEXT(Table1567[[#This Row],[Date]],"DDD")</f>
        <v>Sun</v>
      </c>
    </row>
    <row r="204" spans="1:20" ht="29" x14ac:dyDescent="0.35">
      <c r="A204" s="4">
        <v>203</v>
      </c>
      <c r="B204" s="5">
        <v>45062</v>
      </c>
      <c r="C204" s="4" t="s">
        <v>216</v>
      </c>
      <c r="D204" s="4" t="s">
        <v>10</v>
      </c>
      <c r="E204" s="4">
        <v>56</v>
      </c>
      <c r="F204" s="4" t="str">
        <f>IF(Table1567[[#This Row],[Age]]&lt;=19,"Teenager",IF(Table1567[[#This Row],[Age]]&lt;=40,"Median","Old"))</f>
        <v>Old</v>
      </c>
      <c r="G204" s="4" t="s">
        <v>14</v>
      </c>
      <c r="H204" s="4">
        <v>2</v>
      </c>
      <c r="I204" s="4">
        <v>500</v>
      </c>
      <c r="J204" s="4">
        <v>1000</v>
      </c>
      <c r="K204" s="4" t="str" cm="1">
        <f t="array" ref="K204">_xlfn.IFS(AND(Table1567[[#This Row],[Total Amount]]&gt;=1500),"Critical",AND(Table1567[[#This Row],[Total Amount]]&gt;=1000),"High",TRUE,"Normal")</f>
        <v>High</v>
      </c>
      <c r="L204" s="4" t="str">
        <f>IF(Table1567[[#This Row],[Total Amount]]&gt;=1000,"High",(IF(Table1567[[#This Row],[Total Amount]]&gt;=500,"Medium","Low")))</f>
        <v>High</v>
      </c>
      <c r="M204" s="4" t="str" cm="1">
        <f t="array" ref="M20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04" s="4" cm="1">
        <f t="array" ref="N20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204" s="4">
        <f>Table1567[[#This Row],[Total Amount]]-Table1567[[#This Row],[Discount Amount]]</f>
        <v>900</v>
      </c>
      <c r="P204" s="4" t="str">
        <f>IF(Table1567[[#This Row],[Total Amount]]&gt;=1000,"High","Low")</f>
        <v>High</v>
      </c>
      <c r="Q204" s="4" t="str" cm="1">
        <f t="array" ref="Q204">_xlfn.IFS(AND(Table1567[[#This Row],[Total Amount]]&gt;=1500,"Critical"),AND(Table1567[[#This Row],[Total Amount]]&gt;=1000,"High"),TRUE,"Normal")</f>
        <v>Normal</v>
      </c>
      <c r="R204" s="4" t="str">
        <f>CONCATENATE(Table1567[[#This Row],[Customer ID]], "-",Table1567[[#This Row],[Age]])</f>
        <v>CUST203-56</v>
      </c>
      <c r="S204" s="4" t="str">
        <f>TEXT(Table1567[[#This Row],[Date]],"mmm")</f>
        <v>May</v>
      </c>
      <c r="T204" s="4" t="str">
        <f>TEXT(Table1567[[#This Row],[Date]],"DDD")</f>
        <v>Tue</v>
      </c>
    </row>
    <row r="205" spans="1:20" ht="29" x14ac:dyDescent="0.35">
      <c r="A205" s="4">
        <v>204</v>
      </c>
      <c r="B205" s="5">
        <v>45197</v>
      </c>
      <c r="C205" s="4" t="s">
        <v>217</v>
      </c>
      <c r="D205" s="4" t="s">
        <v>10</v>
      </c>
      <c r="E205" s="4">
        <v>39</v>
      </c>
      <c r="F205" s="4" t="str">
        <f>IF(Table1567[[#This Row],[Age]]&lt;=19,"Teenager",IF(Table1567[[#This Row],[Age]]&lt;=40,"Median","Old"))</f>
        <v>Median</v>
      </c>
      <c r="G205" s="4" t="s">
        <v>11</v>
      </c>
      <c r="H205" s="4">
        <v>1</v>
      </c>
      <c r="I205" s="4">
        <v>25</v>
      </c>
      <c r="J205" s="4">
        <v>25</v>
      </c>
      <c r="K205" s="4" t="str" cm="1">
        <f t="array" ref="K205">_xlfn.IFS(AND(Table1567[[#This Row],[Total Amount]]&gt;=1500),"Critical",AND(Table1567[[#This Row],[Total Amount]]&gt;=1000),"High",TRUE,"Normal")</f>
        <v>Normal</v>
      </c>
      <c r="L205" s="4" t="str">
        <f>IF(Table1567[[#This Row],[Total Amount]]&gt;=1000,"High",(IF(Table1567[[#This Row],[Total Amount]]&gt;=500,"Medium","Low")))</f>
        <v>Low</v>
      </c>
      <c r="M205" s="4" t="str" cm="1">
        <f t="array" ref="M20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05" s="4" cm="1">
        <f t="array" ref="N20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205" s="4">
        <f>Table1567[[#This Row],[Total Amount]]-Table1567[[#This Row],[Discount Amount]]</f>
        <v>22.5</v>
      </c>
      <c r="P205" s="4" t="str">
        <f>IF(Table1567[[#This Row],[Total Amount]]&gt;=1000,"High","Low")</f>
        <v>Low</v>
      </c>
      <c r="Q205" s="4" t="str" cm="1">
        <f t="array" ref="Q205">_xlfn.IFS(AND(Table1567[[#This Row],[Total Amount]]&gt;=1500,"Critical"),AND(Table1567[[#This Row],[Total Amount]]&gt;=1000,"High"),TRUE,"Normal")</f>
        <v>Normal</v>
      </c>
      <c r="R205" s="4" t="str">
        <f>CONCATENATE(Table1567[[#This Row],[Customer ID]], "-",Table1567[[#This Row],[Age]])</f>
        <v>CUST204-39</v>
      </c>
      <c r="S205" s="4" t="str">
        <f>TEXT(Table1567[[#This Row],[Date]],"mmm")</f>
        <v>Sep</v>
      </c>
      <c r="T205" s="4" t="str">
        <f>TEXT(Table1567[[#This Row],[Date]],"DDD")</f>
        <v>Thu</v>
      </c>
    </row>
    <row r="206" spans="1:20" ht="29" x14ac:dyDescent="0.35">
      <c r="A206" s="4">
        <v>205</v>
      </c>
      <c r="B206" s="5">
        <v>45237</v>
      </c>
      <c r="C206" s="4" t="s">
        <v>218</v>
      </c>
      <c r="D206" s="4" t="s">
        <v>13</v>
      </c>
      <c r="E206" s="4">
        <v>43</v>
      </c>
      <c r="F206" s="4" t="str">
        <f>IF(Table1567[[#This Row],[Age]]&lt;=19,"Teenager",IF(Table1567[[#This Row],[Age]]&lt;=40,"Median","Old"))</f>
        <v>Old</v>
      </c>
      <c r="G206" s="4" t="s">
        <v>14</v>
      </c>
      <c r="H206" s="4">
        <v>1</v>
      </c>
      <c r="I206" s="4">
        <v>25</v>
      </c>
      <c r="J206" s="4">
        <v>25</v>
      </c>
      <c r="K206" s="4" t="str" cm="1">
        <f t="array" ref="K206">_xlfn.IFS(AND(Table1567[[#This Row],[Total Amount]]&gt;=1500),"Critical",AND(Table1567[[#This Row],[Total Amount]]&gt;=1000),"High",TRUE,"Normal")</f>
        <v>Normal</v>
      </c>
      <c r="L206" s="4" t="str">
        <f>IF(Table1567[[#This Row],[Total Amount]]&gt;=1000,"High",(IF(Table1567[[#This Row],[Total Amount]]&gt;=500,"Medium","Low")))</f>
        <v>Low</v>
      </c>
      <c r="M206" s="4" t="str" cm="1">
        <f t="array" ref="M20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06" s="4" cm="1">
        <f t="array" ref="N20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206" s="4">
        <f>Table1567[[#This Row],[Total Amount]]-Table1567[[#This Row],[Discount Amount]]</f>
        <v>20</v>
      </c>
      <c r="P206" s="4" t="str">
        <f>IF(Table1567[[#This Row],[Total Amount]]&gt;=1000,"High","Low")</f>
        <v>Low</v>
      </c>
      <c r="Q206" s="4" t="str" cm="1">
        <f t="array" ref="Q206">_xlfn.IFS(AND(Table1567[[#This Row],[Total Amount]]&gt;=1500,"Critical"),AND(Table1567[[#This Row],[Total Amount]]&gt;=1000,"High"),TRUE,"Normal")</f>
        <v>Normal</v>
      </c>
      <c r="R206" s="4" t="str">
        <f>CONCATENATE(Table1567[[#This Row],[Customer ID]], "-",Table1567[[#This Row],[Age]])</f>
        <v>CUST205-43</v>
      </c>
      <c r="S206" s="4" t="str">
        <f>TEXT(Table1567[[#This Row],[Date]],"mmm")</f>
        <v>Nov</v>
      </c>
      <c r="T206" s="4" t="str">
        <f>TEXT(Table1567[[#This Row],[Date]],"DDD")</f>
        <v>Tue</v>
      </c>
    </row>
    <row r="207" spans="1:20" ht="29" x14ac:dyDescent="0.35">
      <c r="A207" s="4">
        <v>206</v>
      </c>
      <c r="B207" s="5">
        <v>45143</v>
      </c>
      <c r="C207" s="4" t="s">
        <v>219</v>
      </c>
      <c r="D207" s="4" t="s">
        <v>10</v>
      </c>
      <c r="E207" s="4">
        <v>61</v>
      </c>
      <c r="F207" s="4" t="str">
        <f>IF(Table1567[[#This Row],[Age]]&lt;=19,"Teenager",IF(Table1567[[#This Row],[Age]]&lt;=40,"Median","Old"))</f>
        <v>Old</v>
      </c>
      <c r="G207" s="4" t="s">
        <v>14</v>
      </c>
      <c r="H207" s="4">
        <v>1</v>
      </c>
      <c r="I207" s="4">
        <v>25</v>
      </c>
      <c r="J207" s="4">
        <v>25</v>
      </c>
      <c r="K207" s="4" t="str" cm="1">
        <f t="array" ref="K207">_xlfn.IFS(AND(Table1567[[#This Row],[Total Amount]]&gt;=1500),"Critical",AND(Table1567[[#This Row],[Total Amount]]&gt;=1000),"High",TRUE,"Normal")</f>
        <v>Normal</v>
      </c>
      <c r="L207" s="4" t="str">
        <f>IF(Table1567[[#This Row],[Total Amount]]&gt;=1000,"High",(IF(Table1567[[#This Row],[Total Amount]]&gt;=500,"Medium","Low")))</f>
        <v>Low</v>
      </c>
      <c r="M207" s="4" t="str" cm="1">
        <f t="array" ref="M20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07" s="4" cm="1">
        <f t="array" ref="N20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207" s="4">
        <f>Table1567[[#This Row],[Total Amount]]-Table1567[[#This Row],[Discount Amount]]</f>
        <v>22.5</v>
      </c>
      <c r="P207" s="4" t="str">
        <f>IF(Table1567[[#This Row],[Total Amount]]&gt;=1000,"High","Low")</f>
        <v>Low</v>
      </c>
      <c r="Q207" s="4" t="str" cm="1">
        <f t="array" ref="Q207">_xlfn.IFS(AND(Table1567[[#This Row],[Total Amount]]&gt;=1500,"Critical"),AND(Table1567[[#This Row],[Total Amount]]&gt;=1000,"High"),TRUE,"Normal")</f>
        <v>Normal</v>
      </c>
      <c r="R207" s="4" t="str">
        <f>CONCATENATE(Table1567[[#This Row],[Customer ID]], "-",Table1567[[#This Row],[Age]])</f>
        <v>CUST206-61</v>
      </c>
      <c r="S207" s="4" t="str">
        <f>TEXT(Table1567[[#This Row],[Date]],"mmm")</f>
        <v>Aug</v>
      </c>
      <c r="T207" s="4" t="str">
        <f>TEXT(Table1567[[#This Row],[Date]],"DDD")</f>
        <v>Sat</v>
      </c>
    </row>
    <row r="208" spans="1:20" ht="29" x14ac:dyDescent="0.35">
      <c r="A208" s="4">
        <v>207</v>
      </c>
      <c r="B208" s="5">
        <v>45035</v>
      </c>
      <c r="C208" s="4" t="s">
        <v>220</v>
      </c>
      <c r="D208" s="4" t="s">
        <v>13</v>
      </c>
      <c r="E208" s="4">
        <v>42</v>
      </c>
      <c r="F208" s="4" t="str">
        <f>IF(Table1567[[#This Row],[Age]]&lt;=19,"Teenager",IF(Table1567[[#This Row],[Age]]&lt;=40,"Median","Old"))</f>
        <v>Old</v>
      </c>
      <c r="G208" s="4" t="s">
        <v>11</v>
      </c>
      <c r="H208" s="4">
        <v>2</v>
      </c>
      <c r="I208" s="4">
        <v>25</v>
      </c>
      <c r="J208" s="4">
        <v>50</v>
      </c>
      <c r="K208" s="4" t="str" cm="1">
        <f t="array" ref="K208">_xlfn.IFS(AND(Table1567[[#This Row],[Total Amount]]&gt;=1500),"Critical",AND(Table1567[[#This Row],[Total Amount]]&gt;=1000),"High",TRUE,"Normal")</f>
        <v>Normal</v>
      </c>
      <c r="L208" s="4" t="str">
        <f>IF(Table1567[[#This Row],[Total Amount]]&gt;=1000,"High",(IF(Table1567[[#This Row],[Total Amount]]&gt;=500,"Medium","Low")))</f>
        <v>Low</v>
      </c>
      <c r="M208" s="4" t="str" cm="1">
        <f t="array" ref="M20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08" s="4" cm="1">
        <f t="array" ref="N20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208" s="4">
        <f>Table1567[[#This Row],[Total Amount]]-Table1567[[#This Row],[Discount Amount]]</f>
        <v>40</v>
      </c>
      <c r="P208" s="4" t="str">
        <f>IF(Table1567[[#This Row],[Total Amount]]&gt;=1000,"High","Low")</f>
        <v>Low</v>
      </c>
      <c r="Q208" s="4" t="str" cm="1">
        <f t="array" ref="Q208">_xlfn.IFS(AND(Table1567[[#This Row],[Total Amount]]&gt;=1500,"Critical"),AND(Table1567[[#This Row],[Total Amount]]&gt;=1000,"High"),TRUE,"Normal")</f>
        <v>Normal</v>
      </c>
      <c r="R208" s="4" t="str">
        <f>CONCATENATE(Table1567[[#This Row],[Customer ID]], "-",Table1567[[#This Row],[Age]])</f>
        <v>CUST207-42</v>
      </c>
      <c r="S208" s="4" t="str">
        <f>TEXT(Table1567[[#This Row],[Date]],"mmm")</f>
        <v>Apr</v>
      </c>
      <c r="T208" s="4" t="str">
        <f>TEXT(Table1567[[#This Row],[Date]],"DDD")</f>
        <v>Wed</v>
      </c>
    </row>
    <row r="209" spans="1:20" ht="29" x14ac:dyDescent="0.35">
      <c r="A209" s="4">
        <v>208</v>
      </c>
      <c r="B209" s="5">
        <v>45203</v>
      </c>
      <c r="C209" s="4" t="s">
        <v>221</v>
      </c>
      <c r="D209" s="4" t="s">
        <v>13</v>
      </c>
      <c r="E209" s="4">
        <v>34</v>
      </c>
      <c r="F209" s="4" t="str">
        <f>IF(Table1567[[#This Row],[Age]]&lt;=19,"Teenager",IF(Table1567[[#This Row],[Age]]&lt;=40,"Median","Old"))</f>
        <v>Median</v>
      </c>
      <c r="G209" s="4" t="s">
        <v>16</v>
      </c>
      <c r="H209" s="4">
        <v>4</v>
      </c>
      <c r="I209" s="4">
        <v>50</v>
      </c>
      <c r="J209" s="4">
        <v>200</v>
      </c>
      <c r="K209" s="4" t="str" cm="1">
        <f t="array" ref="K209">_xlfn.IFS(AND(Table1567[[#This Row],[Total Amount]]&gt;=1500),"Critical",AND(Table1567[[#This Row],[Total Amount]]&gt;=1000),"High",TRUE,"Normal")</f>
        <v>Normal</v>
      </c>
      <c r="L209" s="4" t="str">
        <f>IF(Table1567[[#This Row],[Total Amount]]&gt;=1000,"High",(IF(Table1567[[#This Row],[Total Amount]]&gt;=500,"Medium","Low")))</f>
        <v>Low</v>
      </c>
      <c r="M209" s="4" t="str" cm="1">
        <f t="array" ref="M20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09" s="4" cm="1">
        <f t="array" ref="N20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209" s="4">
        <f>Table1567[[#This Row],[Total Amount]]-Table1567[[#This Row],[Discount Amount]]</f>
        <v>170</v>
      </c>
      <c r="P209" s="4" t="str">
        <f>IF(Table1567[[#This Row],[Total Amount]]&gt;=1000,"High","Low")</f>
        <v>Low</v>
      </c>
      <c r="Q209" s="4" t="str" cm="1">
        <f t="array" ref="Q209">_xlfn.IFS(AND(Table1567[[#This Row],[Total Amount]]&gt;=1500,"Critical"),AND(Table1567[[#This Row],[Total Amount]]&gt;=1000,"High"),TRUE,"Normal")</f>
        <v>Normal</v>
      </c>
      <c r="R209" s="4" t="str">
        <f>CONCATENATE(Table1567[[#This Row],[Customer ID]], "-",Table1567[[#This Row],[Age]])</f>
        <v>CUST208-34</v>
      </c>
      <c r="S209" s="4" t="str">
        <f>TEXT(Table1567[[#This Row],[Date]],"mmm")</f>
        <v>Oct</v>
      </c>
      <c r="T209" s="4" t="str">
        <f>TEXT(Table1567[[#This Row],[Date]],"DDD")</f>
        <v>Wed</v>
      </c>
    </row>
    <row r="210" spans="1:20" ht="29" x14ac:dyDescent="0.35">
      <c r="A210" s="4">
        <v>209</v>
      </c>
      <c r="B210" s="5">
        <v>45280</v>
      </c>
      <c r="C210" s="4" t="s">
        <v>222</v>
      </c>
      <c r="D210" s="4" t="s">
        <v>13</v>
      </c>
      <c r="E210" s="4">
        <v>30</v>
      </c>
      <c r="F210" s="4" t="str">
        <f>IF(Table1567[[#This Row],[Age]]&lt;=19,"Teenager",IF(Table1567[[#This Row],[Age]]&lt;=40,"Median","Old"))</f>
        <v>Median</v>
      </c>
      <c r="G210" s="4" t="s">
        <v>16</v>
      </c>
      <c r="H210" s="4">
        <v>4</v>
      </c>
      <c r="I210" s="4">
        <v>50</v>
      </c>
      <c r="J210" s="4">
        <v>200</v>
      </c>
      <c r="K210" s="4" t="str" cm="1">
        <f t="array" ref="K210">_xlfn.IFS(AND(Table1567[[#This Row],[Total Amount]]&gt;=1500),"Critical",AND(Table1567[[#This Row],[Total Amount]]&gt;=1000),"High",TRUE,"Normal")</f>
        <v>Normal</v>
      </c>
      <c r="L210" s="4" t="str">
        <f>IF(Table1567[[#This Row],[Total Amount]]&gt;=1000,"High",(IF(Table1567[[#This Row],[Total Amount]]&gt;=500,"Medium","Low")))</f>
        <v>Low</v>
      </c>
      <c r="M210" s="4" t="str" cm="1">
        <f t="array" ref="M21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10" s="4" cm="1">
        <f t="array" ref="N21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210" s="4">
        <f>Table1567[[#This Row],[Total Amount]]-Table1567[[#This Row],[Discount Amount]]</f>
        <v>170</v>
      </c>
      <c r="P210" s="4" t="str">
        <f>IF(Table1567[[#This Row],[Total Amount]]&gt;=1000,"High","Low")</f>
        <v>Low</v>
      </c>
      <c r="Q210" s="4" t="str" cm="1">
        <f t="array" ref="Q210">_xlfn.IFS(AND(Table1567[[#This Row],[Total Amount]]&gt;=1500,"Critical"),AND(Table1567[[#This Row],[Total Amount]]&gt;=1000,"High"),TRUE,"Normal")</f>
        <v>Normal</v>
      </c>
      <c r="R210" s="4" t="str">
        <f>CONCATENATE(Table1567[[#This Row],[Customer ID]], "-",Table1567[[#This Row],[Age]])</f>
        <v>CUST209-30</v>
      </c>
      <c r="S210" s="4" t="str">
        <f>TEXT(Table1567[[#This Row],[Date]],"mmm")</f>
        <v>Dec</v>
      </c>
      <c r="T210" s="4" t="str">
        <f>TEXT(Table1567[[#This Row],[Date]],"DDD")</f>
        <v>Wed</v>
      </c>
    </row>
    <row r="211" spans="1:20" ht="29" x14ac:dyDescent="0.35">
      <c r="A211" s="4">
        <v>210</v>
      </c>
      <c r="B211" s="5">
        <v>45029</v>
      </c>
      <c r="C211" s="4" t="s">
        <v>223</v>
      </c>
      <c r="D211" s="4" t="s">
        <v>10</v>
      </c>
      <c r="E211" s="4">
        <v>37</v>
      </c>
      <c r="F211" s="4" t="str">
        <f>IF(Table1567[[#This Row],[Age]]&lt;=19,"Teenager",IF(Table1567[[#This Row],[Age]]&lt;=40,"Median","Old"))</f>
        <v>Median</v>
      </c>
      <c r="G211" s="4" t="s">
        <v>16</v>
      </c>
      <c r="H211" s="4">
        <v>4</v>
      </c>
      <c r="I211" s="4">
        <v>50</v>
      </c>
      <c r="J211" s="4">
        <v>200</v>
      </c>
      <c r="K211" s="4" t="str" cm="1">
        <f t="array" ref="K211">_xlfn.IFS(AND(Table1567[[#This Row],[Total Amount]]&gt;=1500),"Critical",AND(Table1567[[#This Row],[Total Amount]]&gt;=1000),"High",TRUE,"Normal")</f>
        <v>Normal</v>
      </c>
      <c r="L211" s="4" t="str">
        <f>IF(Table1567[[#This Row],[Total Amount]]&gt;=1000,"High",(IF(Table1567[[#This Row],[Total Amount]]&gt;=500,"Medium","Low")))</f>
        <v>Low</v>
      </c>
      <c r="M211" s="4" t="str" cm="1">
        <f t="array" ref="M21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11" s="4" cm="1">
        <f t="array" ref="N21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211" s="4">
        <f>Table1567[[#This Row],[Total Amount]]-Table1567[[#This Row],[Discount Amount]]</f>
        <v>180</v>
      </c>
      <c r="P211" s="4" t="str">
        <f>IF(Table1567[[#This Row],[Total Amount]]&gt;=1000,"High","Low")</f>
        <v>Low</v>
      </c>
      <c r="Q211" s="4" t="str" cm="1">
        <f t="array" ref="Q211">_xlfn.IFS(AND(Table1567[[#This Row],[Total Amount]]&gt;=1500,"Critical"),AND(Table1567[[#This Row],[Total Amount]]&gt;=1000,"High"),TRUE,"Normal")</f>
        <v>Normal</v>
      </c>
      <c r="R211" s="4" t="str">
        <f>CONCATENATE(Table1567[[#This Row],[Customer ID]], "-",Table1567[[#This Row],[Age]])</f>
        <v>CUST210-37</v>
      </c>
      <c r="S211" s="4" t="str">
        <f>TEXT(Table1567[[#This Row],[Date]],"mmm")</f>
        <v>Apr</v>
      </c>
      <c r="T211" s="4" t="str">
        <f>TEXT(Table1567[[#This Row],[Date]],"DDD")</f>
        <v>Thu</v>
      </c>
    </row>
    <row r="212" spans="1:20" ht="29" x14ac:dyDescent="0.35">
      <c r="A212" s="4">
        <v>211</v>
      </c>
      <c r="B212" s="5">
        <v>45292</v>
      </c>
      <c r="C212" s="4" t="s">
        <v>224</v>
      </c>
      <c r="D212" s="4" t="s">
        <v>10</v>
      </c>
      <c r="E212" s="4">
        <v>42</v>
      </c>
      <c r="F212" s="4" t="str">
        <f>IF(Table1567[[#This Row],[Age]]&lt;=19,"Teenager",IF(Table1567[[#This Row],[Age]]&lt;=40,"Median","Old"))</f>
        <v>Old</v>
      </c>
      <c r="G212" s="4" t="s">
        <v>11</v>
      </c>
      <c r="H212" s="4">
        <v>3</v>
      </c>
      <c r="I212" s="4">
        <v>500</v>
      </c>
      <c r="J212" s="4">
        <v>1500</v>
      </c>
      <c r="K212" s="4" t="str" cm="1">
        <f t="array" ref="K212">_xlfn.IFS(AND(Table1567[[#This Row],[Total Amount]]&gt;=1500),"Critical",AND(Table1567[[#This Row],[Total Amount]]&gt;=1000),"High",TRUE,"Normal")</f>
        <v>Critical</v>
      </c>
      <c r="L212" s="4" t="str">
        <f>IF(Table1567[[#This Row],[Total Amount]]&gt;=1000,"High",(IF(Table1567[[#This Row],[Total Amount]]&gt;=500,"Medium","Low")))</f>
        <v>High</v>
      </c>
      <c r="M212" s="4" t="str" cm="1">
        <f t="array" ref="M21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12" s="4" cm="1">
        <f t="array" ref="N21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212" s="4">
        <f>Table1567[[#This Row],[Total Amount]]-Table1567[[#This Row],[Discount Amount]]</f>
        <v>1350</v>
      </c>
      <c r="P212" s="4" t="str">
        <f>IF(Table1567[[#This Row],[Total Amount]]&gt;=1000,"High","Low")</f>
        <v>High</v>
      </c>
      <c r="Q212" s="4" t="b" cm="1">
        <f t="array" ref="Q212">_xlfn.IFS(AND(Table1567[[#This Row],[Total Amount]]&gt;=1500,"Critical"),AND(Table1567[[#This Row],[Total Amount]]&gt;=1000,"High"),TRUE,"Normal")</f>
        <v>1</v>
      </c>
      <c r="R212" s="4" t="str">
        <f>CONCATENATE(Table1567[[#This Row],[Customer ID]], "-",Table1567[[#This Row],[Age]])</f>
        <v>CUST211-42</v>
      </c>
      <c r="S212" s="4" t="str">
        <f>TEXT(Table1567[[#This Row],[Date]],"mmm")</f>
        <v>Jan</v>
      </c>
      <c r="T212" s="4" t="str">
        <f>TEXT(Table1567[[#This Row],[Date]],"DDD")</f>
        <v>Mon</v>
      </c>
    </row>
    <row r="213" spans="1:20" ht="29" x14ac:dyDescent="0.35">
      <c r="A213" s="4">
        <v>212</v>
      </c>
      <c r="B213" s="5">
        <v>45086</v>
      </c>
      <c r="C213" s="4" t="s">
        <v>225</v>
      </c>
      <c r="D213" s="4" t="s">
        <v>10</v>
      </c>
      <c r="E213" s="4">
        <v>21</v>
      </c>
      <c r="F213" s="4" t="str">
        <f>IF(Table1567[[#This Row],[Age]]&lt;=19,"Teenager",IF(Table1567[[#This Row],[Age]]&lt;=40,"Median","Old"))</f>
        <v>Median</v>
      </c>
      <c r="G213" s="4" t="s">
        <v>14</v>
      </c>
      <c r="H213" s="4">
        <v>3</v>
      </c>
      <c r="I213" s="4">
        <v>500</v>
      </c>
      <c r="J213" s="4">
        <v>1500</v>
      </c>
      <c r="K213" s="4" t="str" cm="1">
        <f t="array" ref="K213">_xlfn.IFS(AND(Table1567[[#This Row],[Total Amount]]&gt;=1500),"Critical",AND(Table1567[[#This Row],[Total Amount]]&gt;=1000),"High",TRUE,"Normal")</f>
        <v>Critical</v>
      </c>
      <c r="L213" s="4" t="str">
        <f>IF(Table1567[[#This Row],[Total Amount]]&gt;=1000,"High",(IF(Table1567[[#This Row],[Total Amount]]&gt;=500,"Medium","Low")))</f>
        <v>High</v>
      </c>
      <c r="M213" s="4" t="str" cm="1">
        <f t="array" ref="M21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13" s="4" cm="1">
        <f t="array" ref="N21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13" s="4">
        <f>Table1567[[#This Row],[Total Amount]]-Table1567[[#This Row],[Discount Amount]]</f>
        <v>1500</v>
      </c>
      <c r="P213" s="4" t="str">
        <f>IF(Table1567[[#This Row],[Total Amount]]&gt;=1000,"High","Low")</f>
        <v>High</v>
      </c>
      <c r="Q213" s="4" t="b" cm="1">
        <f t="array" ref="Q213">_xlfn.IFS(AND(Table1567[[#This Row],[Total Amount]]&gt;=1500,"Critical"),AND(Table1567[[#This Row],[Total Amount]]&gt;=1000,"High"),TRUE,"Normal")</f>
        <v>1</v>
      </c>
      <c r="R213" s="4" t="str">
        <f>CONCATENATE(Table1567[[#This Row],[Customer ID]], "-",Table1567[[#This Row],[Age]])</f>
        <v>CUST212-21</v>
      </c>
      <c r="S213" s="4" t="str">
        <f>TEXT(Table1567[[#This Row],[Date]],"mmm")</f>
        <v>Jun</v>
      </c>
      <c r="T213" s="4" t="str">
        <f>TEXT(Table1567[[#This Row],[Date]],"DDD")</f>
        <v>Fri</v>
      </c>
    </row>
    <row r="214" spans="1:20" ht="29" x14ac:dyDescent="0.35">
      <c r="A214" s="4">
        <v>213</v>
      </c>
      <c r="B214" s="5">
        <v>45131</v>
      </c>
      <c r="C214" s="4" t="s">
        <v>226</v>
      </c>
      <c r="D214" s="4" t="s">
        <v>10</v>
      </c>
      <c r="E214" s="4">
        <v>27</v>
      </c>
      <c r="F214" s="4" t="str">
        <f>IF(Table1567[[#This Row],[Age]]&lt;=19,"Teenager",IF(Table1567[[#This Row],[Age]]&lt;=40,"Median","Old"))</f>
        <v>Median</v>
      </c>
      <c r="G214" s="4" t="s">
        <v>11</v>
      </c>
      <c r="H214" s="4">
        <v>3</v>
      </c>
      <c r="I214" s="4">
        <v>500</v>
      </c>
      <c r="J214" s="4">
        <v>1500</v>
      </c>
      <c r="K214" s="4" t="str" cm="1">
        <f t="array" ref="K214">_xlfn.IFS(AND(Table1567[[#This Row],[Total Amount]]&gt;=1500),"Critical",AND(Table1567[[#This Row],[Total Amount]]&gt;=1000),"High",TRUE,"Normal")</f>
        <v>Critical</v>
      </c>
      <c r="L214" s="4" t="str">
        <f>IF(Table1567[[#This Row],[Total Amount]]&gt;=1000,"High",(IF(Table1567[[#This Row],[Total Amount]]&gt;=500,"Medium","Low")))</f>
        <v>High</v>
      </c>
      <c r="M214" s="4" t="str" cm="1">
        <f t="array" ref="M21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14" s="4" cm="1">
        <f t="array" ref="N21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225</v>
      </c>
      <c r="O214" s="4">
        <f>Table1567[[#This Row],[Total Amount]]-Table1567[[#This Row],[Discount Amount]]</f>
        <v>1275</v>
      </c>
      <c r="P214" s="4" t="str">
        <f>IF(Table1567[[#This Row],[Total Amount]]&gt;=1000,"High","Low")</f>
        <v>High</v>
      </c>
      <c r="Q214" s="4" t="b" cm="1">
        <f t="array" ref="Q214">_xlfn.IFS(AND(Table1567[[#This Row],[Total Amount]]&gt;=1500,"Critical"),AND(Table1567[[#This Row],[Total Amount]]&gt;=1000,"High"),TRUE,"Normal")</f>
        <v>1</v>
      </c>
      <c r="R214" s="4" t="str">
        <f>CONCATENATE(Table1567[[#This Row],[Customer ID]], "-",Table1567[[#This Row],[Age]])</f>
        <v>CUST213-27</v>
      </c>
      <c r="S214" s="4" t="str">
        <f>TEXT(Table1567[[#This Row],[Date]],"mmm")</f>
        <v>Jul</v>
      </c>
      <c r="T214" s="4" t="str">
        <f>TEXT(Table1567[[#This Row],[Date]],"DDD")</f>
        <v>Mon</v>
      </c>
    </row>
    <row r="215" spans="1:20" ht="29" x14ac:dyDescent="0.35">
      <c r="A215" s="4">
        <v>214</v>
      </c>
      <c r="B215" s="5">
        <v>45270</v>
      </c>
      <c r="C215" s="4" t="s">
        <v>227</v>
      </c>
      <c r="D215" s="4" t="s">
        <v>10</v>
      </c>
      <c r="E215" s="4">
        <v>20</v>
      </c>
      <c r="F215" s="4" t="str">
        <f>IF(Table1567[[#This Row],[Age]]&lt;=19,"Teenager",IF(Table1567[[#This Row],[Age]]&lt;=40,"Median","Old"))</f>
        <v>Median</v>
      </c>
      <c r="G215" s="4" t="s">
        <v>11</v>
      </c>
      <c r="H215" s="4">
        <v>2</v>
      </c>
      <c r="I215" s="4">
        <v>30</v>
      </c>
      <c r="J215" s="4">
        <v>60</v>
      </c>
      <c r="K215" s="4" t="str" cm="1">
        <f t="array" ref="K215">_xlfn.IFS(AND(Table1567[[#This Row],[Total Amount]]&gt;=1500),"Critical",AND(Table1567[[#This Row],[Total Amount]]&gt;=1000),"High",TRUE,"Normal")</f>
        <v>Normal</v>
      </c>
      <c r="L215" s="4" t="str">
        <f>IF(Table1567[[#This Row],[Total Amount]]&gt;=1000,"High",(IF(Table1567[[#This Row],[Total Amount]]&gt;=500,"Medium","Low")))</f>
        <v>Low</v>
      </c>
      <c r="M215" s="4" t="str" cm="1">
        <f t="array" ref="M21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15" s="4" cm="1">
        <f t="array" ref="N21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15" s="4">
        <f>Table1567[[#This Row],[Total Amount]]-Table1567[[#This Row],[Discount Amount]]</f>
        <v>60</v>
      </c>
      <c r="P215" s="4" t="str">
        <f>IF(Table1567[[#This Row],[Total Amount]]&gt;=1000,"High","Low")</f>
        <v>Low</v>
      </c>
      <c r="Q215" s="4" t="str" cm="1">
        <f t="array" ref="Q215">_xlfn.IFS(AND(Table1567[[#This Row],[Total Amount]]&gt;=1500,"Critical"),AND(Table1567[[#This Row],[Total Amount]]&gt;=1000,"High"),TRUE,"Normal")</f>
        <v>Normal</v>
      </c>
      <c r="R215" s="4" t="str">
        <f>CONCATENATE(Table1567[[#This Row],[Customer ID]], "-",Table1567[[#This Row],[Age]])</f>
        <v>CUST214-20</v>
      </c>
      <c r="S215" s="4" t="str">
        <f>TEXT(Table1567[[#This Row],[Date]],"mmm")</f>
        <v>Dec</v>
      </c>
      <c r="T215" s="4" t="str">
        <f>TEXT(Table1567[[#This Row],[Date]],"DDD")</f>
        <v>Sun</v>
      </c>
    </row>
    <row r="216" spans="1:20" ht="29" x14ac:dyDescent="0.35">
      <c r="A216" s="4">
        <v>215</v>
      </c>
      <c r="B216" s="5">
        <v>45259</v>
      </c>
      <c r="C216" s="4" t="s">
        <v>228</v>
      </c>
      <c r="D216" s="4" t="s">
        <v>10</v>
      </c>
      <c r="E216" s="4">
        <v>58</v>
      </c>
      <c r="F216" s="4" t="str">
        <f>IF(Table1567[[#This Row],[Age]]&lt;=19,"Teenager",IF(Table1567[[#This Row],[Age]]&lt;=40,"Median","Old"))</f>
        <v>Old</v>
      </c>
      <c r="G216" s="4" t="s">
        <v>14</v>
      </c>
      <c r="H216" s="4">
        <v>3</v>
      </c>
      <c r="I216" s="4">
        <v>500</v>
      </c>
      <c r="J216" s="4">
        <v>1500</v>
      </c>
      <c r="K216" s="4" t="str" cm="1">
        <f t="array" ref="K216">_xlfn.IFS(AND(Table1567[[#This Row],[Total Amount]]&gt;=1500),"Critical",AND(Table1567[[#This Row],[Total Amount]]&gt;=1000),"High",TRUE,"Normal")</f>
        <v>Critical</v>
      </c>
      <c r="L216" s="4" t="str">
        <f>IF(Table1567[[#This Row],[Total Amount]]&gt;=1000,"High",(IF(Table1567[[#This Row],[Total Amount]]&gt;=500,"Medium","Low")))</f>
        <v>High</v>
      </c>
      <c r="M216" s="4" t="str" cm="1">
        <f t="array" ref="M21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16" s="4" cm="1">
        <f t="array" ref="N21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216" s="4">
        <f>Table1567[[#This Row],[Total Amount]]-Table1567[[#This Row],[Discount Amount]]</f>
        <v>1350</v>
      </c>
      <c r="P216" s="4" t="str">
        <f>IF(Table1567[[#This Row],[Total Amount]]&gt;=1000,"High","Low")</f>
        <v>High</v>
      </c>
      <c r="Q216" s="4" t="b" cm="1">
        <f t="array" ref="Q216">_xlfn.IFS(AND(Table1567[[#This Row],[Total Amount]]&gt;=1500,"Critical"),AND(Table1567[[#This Row],[Total Amount]]&gt;=1000,"High"),TRUE,"Normal")</f>
        <v>1</v>
      </c>
      <c r="R216" s="4" t="str">
        <f>CONCATENATE(Table1567[[#This Row],[Customer ID]], "-",Table1567[[#This Row],[Age]])</f>
        <v>CUST215-58</v>
      </c>
      <c r="S216" s="4" t="str">
        <f>TEXT(Table1567[[#This Row],[Date]],"mmm")</f>
        <v>Nov</v>
      </c>
      <c r="T216" s="4" t="str">
        <f>TEXT(Table1567[[#This Row],[Date]],"DDD")</f>
        <v>Wed</v>
      </c>
    </row>
    <row r="217" spans="1:20" ht="29" x14ac:dyDescent="0.35">
      <c r="A217" s="4">
        <v>216</v>
      </c>
      <c r="B217" s="5">
        <v>45118</v>
      </c>
      <c r="C217" s="4" t="s">
        <v>229</v>
      </c>
      <c r="D217" s="4" t="s">
        <v>10</v>
      </c>
      <c r="E217" s="4">
        <v>62</v>
      </c>
      <c r="F217" s="4" t="str">
        <f>IF(Table1567[[#This Row],[Age]]&lt;=19,"Teenager",IF(Table1567[[#This Row],[Age]]&lt;=40,"Median","Old"))</f>
        <v>Old</v>
      </c>
      <c r="G217" s="4" t="s">
        <v>16</v>
      </c>
      <c r="H217" s="4">
        <v>2</v>
      </c>
      <c r="I217" s="4">
        <v>50</v>
      </c>
      <c r="J217" s="4">
        <v>100</v>
      </c>
      <c r="K217" s="4" t="str" cm="1">
        <f t="array" ref="K217">_xlfn.IFS(AND(Table1567[[#This Row],[Total Amount]]&gt;=1500),"Critical",AND(Table1567[[#This Row],[Total Amount]]&gt;=1000),"High",TRUE,"Normal")</f>
        <v>Normal</v>
      </c>
      <c r="L217" s="4" t="str">
        <f>IF(Table1567[[#This Row],[Total Amount]]&gt;=1000,"High",(IF(Table1567[[#This Row],[Total Amount]]&gt;=500,"Medium","Low")))</f>
        <v>Low</v>
      </c>
      <c r="M217" s="4" t="str" cm="1">
        <f t="array" ref="M21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17" s="4" cm="1">
        <f t="array" ref="N21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217" s="4">
        <f>Table1567[[#This Row],[Total Amount]]-Table1567[[#This Row],[Discount Amount]]</f>
        <v>90</v>
      </c>
      <c r="P217" s="4" t="str">
        <f>IF(Table1567[[#This Row],[Total Amount]]&gt;=1000,"High","Low")</f>
        <v>Low</v>
      </c>
      <c r="Q217" s="4" t="str" cm="1">
        <f t="array" ref="Q217">_xlfn.IFS(AND(Table1567[[#This Row],[Total Amount]]&gt;=1500,"Critical"),AND(Table1567[[#This Row],[Total Amount]]&gt;=1000,"High"),TRUE,"Normal")</f>
        <v>Normal</v>
      </c>
      <c r="R217" s="4" t="str">
        <f>CONCATENATE(Table1567[[#This Row],[Customer ID]], "-",Table1567[[#This Row],[Age]])</f>
        <v>CUST216-62</v>
      </c>
      <c r="S217" s="4" t="str">
        <f>TEXT(Table1567[[#This Row],[Date]],"mmm")</f>
        <v>Jul</v>
      </c>
      <c r="T217" s="4" t="str">
        <f>TEXT(Table1567[[#This Row],[Date]],"DDD")</f>
        <v>Tue</v>
      </c>
    </row>
    <row r="218" spans="1:20" ht="29" x14ac:dyDescent="0.35">
      <c r="A218" s="4">
        <v>217</v>
      </c>
      <c r="B218" s="5">
        <v>45151</v>
      </c>
      <c r="C218" s="4" t="s">
        <v>230</v>
      </c>
      <c r="D218" s="4" t="s">
        <v>13</v>
      </c>
      <c r="E218" s="4">
        <v>35</v>
      </c>
      <c r="F218" s="4" t="str">
        <f>IF(Table1567[[#This Row],[Age]]&lt;=19,"Teenager",IF(Table1567[[#This Row],[Age]]&lt;=40,"Median","Old"))</f>
        <v>Median</v>
      </c>
      <c r="G218" s="4" t="s">
        <v>16</v>
      </c>
      <c r="H218" s="4">
        <v>4</v>
      </c>
      <c r="I218" s="4">
        <v>50</v>
      </c>
      <c r="J218" s="4">
        <v>200</v>
      </c>
      <c r="K218" s="4" t="str" cm="1">
        <f t="array" ref="K218">_xlfn.IFS(AND(Table1567[[#This Row],[Total Amount]]&gt;=1500),"Critical",AND(Table1567[[#This Row],[Total Amount]]&gt;=1000),"High",TRUE,"Normal")</f>
        <v>Normal</v>
      </c>
      <c r="L218" s="4" t="str">
        <f>IF(Table1567[[#This Row],[Total Amount]]&gt;=1000,"High",(IF(Table1567[[#This Row],[Total Amount]]&gt;=500,"Medium","Low")))</f>
        <v>Low</v>
      </c>
      <c r="M218" s="4" t="str" cm="1">
        <f t="array" ref="M21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18" s="4" cm="1">
        <f t="array" ref="N21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</v>
      </c>
      <c r="O218" s="4">
        <f>Table1567[[#This Row],[Total Amount]]-Table1567[[#This Row],[Discount Amount]]</f>
        <v>160</v>
      </c>
      <c r="P218" s="4" t="str">
        <f>IF(Table1567[[#This Row],[Total Amount]]&gt;=1000,"High","Low")</f>
        <v>Low</v>
      </c>
      <c r="Q218" s="4" t="str" cm="1">
        <f t="array" ref="Q218">_xlfn.IFS(AND(Table1567[[#This Row],[Total Amount]]&gt;=1500,"Critical"),AND(Table1567[[#This Row],[Total Amount]]&gt;=1000,"High"),TRUE,"Normal")</f>
        <v>Normal</v>
      </c>
      <c r="R218" s="4" t="str">
        <f>CONCATENATE(Table1567[[#This Row],[Customer ID]], "-",Table1567[[#This Row],[Age]])</f>
        <v>CUST217-35</v>
      </c>
      <c r="S218" s="4" t="str">
        <f>TEXT(Table1567[[#This Row],[Date]],"mmm")</f>
        <v>Aug</v>
      </c>
      <c r="T218" s="4" t="str">
        <f>TEXT(Table1567[[#This Row],[Date]],"DDD")</f>
        <v>Sun</v>
      </c>
    </row>
    <row r="219" spans="1:20" ht="29" x14ac:dyDescent="0.35">
      <c r="A219" s="4">
        <v>218</v>
      </c>
      <c r="B219" s="5">
        <v>45191</v>
      </c>
      <c r="C219" s="4" t="s">
        <v>231</v>
      </c>
      <c r="D219" s="4" t="s">
        <v>10</v>
      </c>
      <c r="E219" s="4">
        <v>64</v>
      </c>
      <c r="F219" s="4" t="str">
        <f>IF(Table1567[[#This Row],[Age]]&lt;=19,"Teenager",IF(Table1567[[#This Row],[Age]]&lt;=40,"Median","Old"))</f>
        <v>Old</v>
      </c>
      <c r="G219" s="4" t="s">
        <v>11</v>
      </c>
      <c r="H219" s="4">
        <v>3</v>
      </c>
      <c r="I219" s="4">
        <v>30</v>
      </c>
      <c r="J219" s="4">
        <v>90</v>
      </c>
      <c r="K219" s="4" t="str" cm="1">
        <f t="array" ref="K219">_xlfn.IFS(AND(Table1567[[#This Row],[Total Amount]]&gt;=1500),"Critical",AND(Table1567[[#This Row],[Total Amount]]&gt;=1000),"High",TRUE,"Normal")</f>
        <v>Normal</v>
      </c>
      <c r="L219" s="4" t="str">
        <f>IF(Table1567[[#This Row],[Total Amount]]&gt;=1000,"High",(IF(Table1567[[#This Row],[Total Amount]]&gt;=500,"Medium","Low")))</f>
        <v>Low</v>
      </c>
      <c r="M219" s="4" t="str" cm="1">
        <f t="array" ref="M21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19" s="4" cm="1">
        <f t="array" ref="N21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</v>
      </c>
      <c r="O219" s="4">
        <f>Table1567[[#This Row],[Total Amount]]-Table1567[[#This Row],[Discount Amount]]</f>
        <v>81</v>
      </c>
      <c r="P219" s="4" t="str">
        <f>IF(Table1567[[#This Row],[Total Amount]]&gt;=1000,"High","Low")</f>
        <v>Low</v>
      </c>
      <c r="Q219" s="4" t="str" cm="1">
        <f t="array" ref="Q219">_xlfn.IFS(AND(Table1567[[#This Row],[Total Amount]]&gt;=1500,"Critical"),AND(Table1567[[#This Row],[Total Amount]]&gt;=1000,"High"),TRUE,"Normal")</f>
        <v>Normal</v>
      </c>
      <c r="R219" s="4" t="str">
        <f>CONCATENATE(Table1567[[#This Row],[Customer ID]], "-",Table1567[[#This Row],[Age]])</f>
        <v>CUST218-64</v>
      </c>
      <c r="S219" s="4" t="str">
        <f>TEXT(Table1567[[#This Row],[Date]],"mmm")</f>
        <v>Sep</v>
      </c>
      <c r="T219" s="4" t="str">
        <f>TEXT(Table1567[[#This Row],[Date]],"DDD")</f>
        <v>Fri</v>
      </c>
    </row>
    <row r="220" spans="1:20" ht="29" x14ac:dyDescent="0.35">
      <c r="A220" s="4">
        <v>219</v>
      </c>
      <c r="B220" s="5">
        <v>45158</v>
      </c>
      <c r="C220" s="4" t="s">
        <v>232</v>
      </c>
      <c r="D220" s="4" t="s">
        <v>13</v>
      </c>
      <c r="E220" s="4">
        <v>53</v>
      </c>
      <c r="F220" s="4" t="str">
        <f>IF(Table1567[[#This Row],[Age]]&lt;=19,"Teenager",IF(Table1567[[#This Row],[Age]]&lt;=40,"Median","Old"))</f>
        <v>Old</v>
      </c>
      <c r="G220" s="4" t="s">
        <v>16</v>
      </c>
      <c r="H220" s="4">
        <v>3</v>
      </c>
      <c r="I220" s="4">
        <v>30</v>
      </c>
      <c r="J220" s="4">
        <v>90</v>
      </c>
      <c r="K220" s="4" t="str" cm="1">
        <f t="array" ref="K220">_xlfn.IFS(AND(Table1567[[#This Row],[Total Amount]]&gt;=1500),"Critical",AND(Table1567[[#This Row],[Total Amount]]&gt;=1000),"High",TRUE,"Normal")</f>
        <v>Normal</v>
      </c>
      <c r="L220" s="4" t="str">
        <f>IF(Table1567[[#This Row],[Total Amount]]&gt;=1000,"High",(IF(Table1567[[#This Row],[Total Amount]]&gt;=500,"Medium","Low")))</f>
        <v>Low</v>
      </c>
      <c r="M220" s="4" t="str" cm="1">
        <f t="array" ref="M22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20" s="4" cm="1">
        <f t="array" ref="N22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220" s="4">
        <f>Table1567[[#This Row],[Total Amount]]-Table1567[[#This Row],[Discount Amount]]</f>
        <v>72</v>
      </c>
      <c r="P220" s="4" t="str">
        <f>IF(Table1567[[#This Row],[Total Amount]]&gt;=1000,"High","Low")</f>
        <v>Low</v>
      </c>
      <c r="Q220" s="4" t="str" cm="1">
        <f t="array" ref="Q220">_xlfn.IFS(AND(Table1567[[#This Row],[Total Amount]]&gt;=1500,"Critical"),AND(Table1567[[#This Row],[Total Amount]]&gt;=1000,"High"),TRUE,"Normal")</f>
        <v>Normal</v>
      </c>
      <c r="R220" s="4" t="str">
        <f>CONCATENATE(Table1567[[#This Row],[Customer ID]], "-",Table1567[[#This Row],[Age]])</f>
        <v>CUST219-53</v>
      </c>
      <c r="S220" s="4" t="str">
        <f>TEXT(Table1567[[#This Row],[Date]],"mmm")</f>
        <v>Aug</v>
      </c>
      <c r="T220" s="4" t="str">
        <f>TEXT(Table1567[[#This Row],[Date]],"DDD")</f>
        <v>Sun</v>
      </c>
    </row>
    <row r="221" spans="1:20" ht="29" x14ac:dyDescent="0.35">
      <c r="A221" s="4">
        <v>220</v>
      </c>
      <c r="B221" s="5">
        <v>44988</v>
      </c>
      <c r="C221" s="4" t="s">
        <v>233</v>
      </c>
      <c r="D221" s="4" t="s">
        <v>10</v>
      </c>
      <c r="E221" s="4">
        <v>64</v>
      </c>
      <c r="F221" s="4" t="str">
        <f>IF(Table1567[[#This Row],[Age]]&lt;=19,"Teenager",IF(Table1567[[#This Row],[Age]]&lt;=40,"Median","Old"))</f>
        <v>Old</v>
      </c>
      <c r="G221" s="4" t="s">
        <v>11</v>
      </c>
      <c r="H221" s="4">
        <v>1</v>
      </c>
      <c r="I221" s="4">
        <v>500</v>
      </c>
      <c r="J221" s="4">
        <v>500</v>
      </c>
      <c r="K221" s="4" t="str" cm="1">
        <f t="array" ref="K221">_xlfn.IFS(AND(Table1567[[#This Row],[Total Amount]]&gt;=1500),"Critical",AND(Table1567[[#This Row],[Total Amount]]&gt;=1000),"High",TRUE,"Normal")</f>
        <v>Normal</v>
      </c>
      <c r="L221" s="4" t="str">
        <f>IF(Table1567[[#This Row],[Total Amount]]&gt;=1000,"High",(IF(Table1567[[#This Row],[Total Amount]]&gt;=500,"Medium","Low")))</f>
        <v>Medium</v>
      </c>
      <c r="M221" s="4" t="str" cm="1">
        <f t="array" ref="M22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21" s="4" cm="1">
        <f t="array" ref="N22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50</v>
      </c>
      <c r="O221" s="4">
        <f>Table1567[[#This Row],[Total Amount]]-Table1567[[#This Row],[Discount Amount]]</f>
        <v>450</v>
      </c>
      <c r="P221" s="4" t="str">
        <f>IF(Table1567[[#This Row],[Total Amount]]&gt;=1000,"High","Low")</f>
        <v>Low</v>
      </c>
      <c r="Q221" s="4" t="str" cm="1">
        <f t="array" ref="Q221">_xlfn.IFS(AND(Table1567[[#This Row],[Total Amount]]&gt;=1500,"Critical"),AND(Table1567[[#This Row],[Total Amount]]&gt;=1000,"High"),TRUE,"Normal")</f>
        <v>Normal</v>
      </c>
      <c r="R221" s="4" t="str">
        <f>CONCATENATE(Table1567[[#This Row],[Customer ID]], "-",Table1567[[#This Row],[Age]])</f>
        <v>CUST220-64</v>
      </c>
      <c r="S221" s="4" t="str">
        <f>TEXT(Table1567[[#This Row],[Date]],"mmm")</f>
        <v>Mar</v>
      </c>
      <c r="T221" s="4" t="str">
        <f>TEXT(Table1567[[#This Row],[Date]],"DDD")</f>
        <v>Fri</v>
      </c>
    </row>
    <row r="222" spans="1:20" ht="29" x14ac:dyDescent="0.35">
      <c r="A222" s="4">
        <v>221</v>
      </c>
      <c r="B222" s="5">
        <v>45053</v>
      </c>
      <c r="C222" s="4" t="s">
        <v>234</v>
      </c>
      <c r="D222" s="4" t="s">
        <v>10</v>
      </c>
      <c r="E222" s="4">
        <v>39</v>
      </c>
      <c r="F222" s="4" t="str">
        <f>IF(Table1567[[#This Row],[Age]]&lt;=19,"Teenager",IF(Table1567[[#This Row],[Age]]&lt;=40,"Median","Old"))</f>
        <v>Median</v>
      </c>
      <c r="G222" s="4" t="s">
        <v>11</v>
      </c>
      <c r="H222" s="4">
        <v>2</v>
      </c>
      <c r="I222" s="4">
        <v>300</v>
      </c>
      <c r="J222" s="4">
        <v>600</v>
      </c>
      <c r="K222" s="4" t="str" cm="1">
        <f t="array" ref="K222">_xlfn.IFS(AND(Table1567[[#This Row],[Total Amount]]&gt;=1500),"Critical",AND(Table1567[[#This Row],[Total Amount]]&gt;=1000),"High",TRUE,"Normal")</f>
        <v>Normal</v>
      </c>
      <c r="L222" s="4" t="str">
        <f>IF(Table1567[[#This Row],[Total Amount]]&gt;=1000,"High",(IF(Table1567[[#This Row],[Total Amount]]&gt;=500,"Medium","Low")))</f>
        <v>Medium</v>
      </c>
      <c r="M222" s="4" t="str" cm="1">
        <f t="array" ref="M22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22" s="4" cm="1">
        <f t="array" ref="N22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222" s="4">
        <f>Table1567[[#This Row],[Total Amount]]-Table1567[[#This Row],[Discount Amount]]</f>
        <v>540</v>
      </c>
      <c r="P222" s="4" t="str">
        <f>IF(Table1567[[#This Row],[Total Amount]]&gt;=1000,"High","Low")</f>
        <v>Low</v>
      </c>
      <c r="Q222" s="4" t="str" cm="1">
        <f t="array" ref="Q222">_xlfn.IFS(AND(Table1567[[#This Row],[Total Amount]]&gt;=1500,"Critical"),AND(Table1567[[#This Row],[Total Amount]]&gt;=1000,"High"),TRUE,"Normal")</f>
        <v>Normal</v>
      </c>
      <c r="R222" s="4" t="str">
        <f>CONCATENATE(Table1567[[#This Row],[Customer ID]], "-",Table1567[[#This Row],[Age]])</f>
        <v>CUST221-39</v>
      </c>
      <c r="S222" s="4" t="str">
        <f>TEXT(Table1567[[#This Row],[Date]],"mmm")</f>
        <v>May</v>
      </c>
      <c r="T222" s="4" t="str">
        <f>TEXT(Table1567[[#This Row],[Date]],"DDD")</f>
        <v>Sun</v>
      </c>
    </row>
    <row r="223" spans="1:20" ht="29" x14ac:dyDescent="0.35">
      <c r="A223" s="4">
        <v>222</v>
      </c>
      <c r="B223" s="5">
        <v>45042</v>
      </c>
      <c r="C223" s="4" t="s">
        <v>235</v>
      </c>
      <c r="D223" s="4" t="s">
        <v>10</v>
      </c>
      <c r="E223" s="4">
        <v>51</v>
      </c>
      <c r="F223" s="4" t="str">
        <f>IF(Table1567[[#This Row],[Age]]&lt;=19,"Teenager",IF(Table1567[[#This Row],[Age]]&lt;=40,"Median","Old"))</f>
        <v>Old</v>
      </c>
      <c r="G223" s="4" t="s">
        <v>14</v>
      </c>
      <c r="H223" s="4">
        <v>4</v>
      </c>
      <c r="I223" s="4">
        <v>30</v>
      </c>
      <c r="J223" s="4">
        <v>120</v>
      </c>
      <c r="K223" s="4" t="str" cm="1">
        <f t="array" ref="K223">_xlfn.IFS(AND(Table1567[[#This Row],[Total Amount]]&gt;=1500),"Critical",AND(Table1567[[#This Row],[Total Amount]]&gt;=1000),"High",TRUE,"Normal")</f>
        <v>Normal</v>
      </c>
      <c r="L223" s="4" t="str">
        <f>IF(Table1567[[#This Row],[Total Amount]]&gt;=1000,"High",(IF(Table1567[[#This Row],[Total Amount]]&gt;=500,"Medium","Low")))</f>
        <v>Low</v>
      </c>
      <c r="M223" s="4" t="str" cm="1">
        <f t="array" ref="M22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23" s="4" cm="1">
        <f t="array" ref="N22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223" s="4">
        <f>Table1567[[#This Row],[Total Amount]]-Table1567[[#This Row],[Discount Amount]]</f>
        <v>108</v>
      </c>
      <c r="P223" s="4" t="str">
        <f>IF(Table1567[[#This Row],[Total Amount]]&gt;=1000,"High","Low")</f>
        <v>Low</v>
      </c>
      <c r="Q223" s="4" t="str" cm="1">
        <f t="array" ref="Q223">_xlfn.IFS(AND(Table1567[[#This Row],[Total Amount]]&gt;=1500,"Critical"),AND(Table1567[[#This Row],[Total Amount]]&gt;=1000,"High"),TRUE,"Normal")</f>
        <v>Normal</v>
      </c>
      <c r="R223" s="4" t="str">
        <f>CONCATENATE(Table1567[[#This Row],[Customer ID]], "-",Table1567[[#This Row],[Age]])</f>
        <v>CUST222-51</v>
      </c>
      <c r="S223" s="4" t="str">
        <f>TEXT(Table1567[[#This Row],[Date]],"mmm")</f>
        <v>Apr</v>
      </c>
      <c r="T223" s="4" t="str">
        <f>TEXT(Table1567[[#This Row],[Date]],"DDD")</f>
        <v>Wed</v>
      </c>
    </row>
    <row r="224" spans="1:20" ht="29" x14ac:dyDescent="0.35">
      <c r="A224" s="4">
        <v>223</v>
      </c>
      <c r="B224" s="5">
        <v>44959</v>
      </c>
      <c r="C224" s="4" t="s">
        <v>236</v>
      </c>
      <c r="D224" s="4" t="s">
        <v>13</v>
      </c>
      <c r="E224" s="4">
        <v>64</v>
      </c>
      <c r="F224" s="4" t="str">
        <f>IF(Table1567[[#This Row],[Age]]&lt;=19,"Teenager",IF(Table1567[[#This Row],[Age]]&lt;=40,"Median","Old"))</f>
        <v>Old</v>
      </c>
      <c r="G224" s="4" t="s">
        <v>14</v>
      </c>
      <c r="H224" s="4">
        <v>1</v>
      </c>
      <c r="I224" s="4">
        <v>25</v>
      </c>
      <c r="J224" s="4">
        <v>25</v>
      </c>
      <c r="K224" s="4" t="str" cm="1">
        <f t="array" ref="K224">_xlfn.IFS(AND(Table1567[[#This Row],[Total Amount]]&gt;=1500),"Critical",AND(Table1567[[#This Row],[Total Amount]]&gt;=1000),"High",TRUE,"Normal")</f>
        <v>Normal</v>
      </c>
      <c r="L224" s="4" t="str">
        <f>IF(Table1567[[#This Row],[Total Amount]]&gt;=1000,"High",(IF(Table1567[[#This Row],[Total Amount]]&gt;=500,"Medium","Low")))</f>
        <v>Low</v>
      </c>
      <c r="M224" s="4" t="str" cm="1">
        <f t="array" ref="M22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24" s="4" cm="1">
        <f t="array" ref="N22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224" s="4">
        <f>Table1567[[#This Row],[Total Amount]]-Table1567[[#This Row],[Discount Amount]]</f>
        <v>20</v>
      </c>
      <c r="P224" s="4" t="str">
        <f>IF(Table1567[[#This Row],[Total Amount]]&gt;=1000,"High","Low")</f>
        <v>Low</v>
      </c>
      <c r="Q224" s="4" t="str" cm="1">
        <f t="array" ref="Q224">_xlfn.IFS(AND(Table1567[[#This Row],[Total Amount]]&gt;=1500,"Critical"),AND(Table1567[[#This Row],[Total Amount]]&gt;=1000,"High"),TRUE,"Normal")</f>
        <v>Normal</v>
      </c>
      <c r="R224" s="4" t="str">
        <f>CONCATENATE(Table1567[[#This Row],[Customer ID]], "-",Table1567[[#This Row],[Age]])</f>
        <v>CUST223-64</v>
      </c>
      <c r="S224" s="4" t="str">
        <f>TEXT(Table1567[[#This Row],[Date]],"mmm")</f>
        <v>Feb</v>
      </c>
      <c r="T224" s="4" t="str">
        <f>TEXT(Table1567[[#This Row],[Date]],"DDD")</f>
        <v>Thu</v>
      </c>
    </row>
    <row r="225" spans="1:20" ht="29" x14ac:dyDescent="0.35">
      <c r="A225" s="4">
        <v>224</v>
      </c>
      <c r="B225" s="5">
        <v>45100</v>
      </c>
      <c r="C225" s="4" t="s">
        <v>237</v>
      </c>
      <c r="D225" s="4" t="s">
        <v>13</v>
      </c>
      <c r="E225" s="4">
        <v>25</v>
      </c>
      <c r="F225" s="4" t="str">
        <f>IF(Table1567[[#This Row],[Age]]&lt;=19,"Teenager",IF(Table1567[[#This Row],[Age]]&lt;=40,"Median","Old"))</f>
        <v>Median</v>
      </c>
      <c r="G225" s="4" t="s">
        <v>14</v>
      </c>
      <c r="H225" s="4">
        <v>1</v>
      </c>
      <c r="I225" s="4">
        <v>50</v>
      </c>
      <c r="J225" s="4">
        <v>50</v>
      </c>
      <c r="K225" s="4" t="str" cm="1">
        <f t="array" ref="K225">_xlfn.IFS(AND(Table1567[[#This Row],[Total Amount]]&gt;=1500),"Critical",AND(Table1567[[#This Row],[Total Amount]]&gt;=1000),"High",TRUE,"Normal")</f>
        <v>Normal</v>
      </c>
      <c r="L225" s="4" t="str">
        <f>IF(Table1567[[#This Row],[Total Amount]]&gt;=1000,"High",(IF(Table1567[[#This Row],[Total Amount]]&gt;=500,"Medium","Low")))</f>
        <v>Low</v>
      </c>
      <c r="M225" s="4" t="str" cm="1">
        <f t="array" ref="M22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25" s="4" cm="1">
        <f t="array" ref="N22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225" s="4">
        <f>Table1567[[#This Row],[Total Amount]]-Table1567[[#This Row],[Discount Amount]]</f>
        <v>42.5</v>
      </c>
      <c r="P225" s="4" t="str">
        <f>IF(Table1567[[#This Row],[Total Amount]]&gt;=1000,"High","Low")</f>
        <v>Low</v>
      </c>
      <c r="Q225" s="4" t="str" cm="1">
        <f t="array" ref="Q225">_xlfn.IFS(AND(Table1567[[#This Row],[Total Amount]]&gt;=1500,"Critical"),AND(Table1567[[#This Row],[Total Amount]]&gt;=1000,"High"),TRUE,"Normal")</f>
        <v>Normal</v>
      </c>
      <c r="R225" s="4" t="str">
        <f>CONCATENATE(Table1567[[#This Row],[Customer ID]], "-",Table1567[[#This Row],[Age]])</f>
        <v>CUST224-25</v>
      </c>
      <c r="S225" s="4" t="str">
        <f>TEXT(Table1567[[#This Row],[Date]],"mmm")</f>
        <v>Jun</v>
      </c>
      <c r="T225" s="4" t="str">
        <f>TEXT(Table1567[[#This Row],[Date]],"DDD")</f>
        <v>Fri</v>
      </c>
    </row>
    <row r="226" spans="1:20" ht="29" x14ac:dyDescent="0.35">
      <c r="A226" s="4">
        <v>225</v>
      </c>
      <c r="B226" s="5">
        <v>44937</v>
      </c>
      <c r="C226" s="4" t="s">
        <v>238</v>
      </c>
      <c r="D226" s="4" t="s">
        <v>13</v>
      </c>
      <c r="E226" s="4">
        <v>57</v>
      </c>
      <c r="F226" s="4" t="str">
        <f>IF(Table1567[[#This Row],[Age]]&lt;=19,"Teenager",IF(Table1567[[#This Row],[Age]]&lt;=40,"Median","Old"))</f>
        <v>Old</v>
      </c>
      <c r="G226" s="4" t="s">
        <v>11</v>
      </c>
      <c r="H226" s="4">
        <v>4</v>
      </c>
      <c r="I226" s="4">
        <v>25</v>
      </c>
      <c r="J226" s="4">
        <v>100</v>
      </c>
      <c r="K226" s="4" t="str" cm="1">
        <f t="array" ref="K226">_xlfn.IFS(AND(Table1567[[#This Row],[Total Amount]]&gt;=1500),"Critical",AND(Table1567[[#This Row],[Total Amount]]&gt;=1000),"High",TRUE,"Normal")</f>
        <v>Normal</v>
      </c>
      <c r="L226" s="4" t="str">
        <f>IF(Table1567[[#This Row],[Total Amount]]&gt;=1000,"High",(IF(Table1567[[#This Row],[Total Amount]]&gt;=500,"Medium","Low")))</f>
        <v>Low</v>
      </c>
      <c r="M226" s="4" t="str" cm="1">
        <f t="array" ref="M22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26" s="4" cm="1">
        <f t="array" ref="N22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226" s="4">
        <f>Table1567[[#This Row],[Total Amount]]-Table1567[[#This Row],[Discount Amount]]</f>
        <v>80</v>
      </c>
      <c r="P226" s="4" t="str">
        <f>IF(Table1567[[#This Row],[Total Amount]]&gt;=1000,"High","Low")</f>
        <v>Low</v>
      </c>
      <c r="Q226" s="4" t="str" cm="1">
        <f t="array" ref="Q226">_xlfn.IFS(AND(Table1567[[#This Row],[Total Amount]]&gt;=1500,"Critical"),AND(Table1567[[#This Row],[Total Amount]]&gt;=1000,"High"),TRUE,"Normal")</f>
        <v>Normal</v>
      </c>
      <c r="R226" s="4" t="str">
        <f>CONCATENATE(Table1567[[#This Row],[Customer ID]], "-",Table1567[[#This Row],[Age]])</f>
        <v>CUST225-57</v>
      </c>
      <c r="S226" s="4" t="str">
        <f>TEXT(Table1567[[#This Row],[Date]],"mmm")</f>
        <v>Jan</v>
      </c>
      <c r="T226" s="4" t="str">
        <f>TEXT(Table1567[[#This Row],[Date]],"DDD")</f>
        <v>Wed</v>
      </c>
    </row>
    <row r="227" spans="1:20" ht="29" x14ac:dyDescent="0.35">
      <c r="A227" s="4">
        <v>226</v>
      </c>
      <c r="B227" s="5">
        <v>45228</v>
      </c>
      <c r="C227" s="4" t="s">
        <v>239</v>
      </c>
      <c r="D227" s="4" t="s">
        <v>13</v>
      </c>
      <c r="E227" s="4">
        <v>61</v>
      </c>
      <c r="F227" s="4" t="str">
        <f>IF(Table1567[[#This Row],[Age]]&lt;=19,"Teenager",IF(Table1567[[#This Row],[Age]]&lt;=40,"Median","Old"))</f>
        <v>Old</v>
      </c>
      <c r="G227" s="4" t="s">
        <v>14</v>
      </c>
      <c r="H227" s="4">
        <v>1</v>
      </c>
      <c r="I227" s="4">
        <v>50</v>
      </c>
      <c r="J227" s="4">
        <v>50</v>
      </c>
      <c r="K227" s="4" t="str" cm="1">
        <f t="array" ref="K227">_xlfn.IFS(AND(Table1567[[#This Row],[Total Amount]]&gt;=1500),"Critical",AND(Table1567[[#This Row],[Total Amount]]&gt;=1000),"High",TRUE,"Normal")</f>
        <v>Normal</v>
      </c>
      <c r="L227" s="4" t="str">
        <f>IF(Table1567[[#This Row],[Total Amount]]&gt;=1000,"High",(IF(Table1567[[#This Row],[Total Amount]]&gt;=500,"Medium","Low")))</f>
        <v>Low</v>
      </c>
      <c r="M227" s="4" t="str" cm="1">
        <f t="array" ref="M22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27" s="4" cm="1">
        <f t="array" ref="N22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227" s="4">
        <f>Table1567[[#This Row],[Total Amount]]-Table1567[[#This Row],[Discount Amount]]</f>
        <v>40</v>
      </c>
      <c r="P227" s="4" t="str">
        <f>IF(Table1567[[#This Row],[Total Amount]]&gt;=1000,"High","Low")</f>
        <v>Low</v>
      </c>
      <c r="Q227" s="4" t="str" cm="1">
        <f t="array" ref="Q227">_xlfn.IFS(AND(Table1567[[#This Row],[Total Amount]]&gt;=1500,"Critical"),AND(Table1567[[#This Row],[Total Amount]]&gt;=1000,"High"),TRUE,"Normal")</f>
        <v>Normal</v>
      </c>
      <c r="R227" s="4" t="str">
        <f>CONCATENATE(Table1567[[#This Row],[Customer ID]], "-",Table1567[[#This Row],[Age]])</f>
        <v>CUST226-61</v>
      </c>
      <c r="S227" s="4" t="str">
        <f>TEXT(Table1567[[#This Row],[Date]],"mmm")</f>
        <v>Oct</v>
      </c>
      <c r="T227" s="4" t="str">
        <f>TEXT(Table1567[[#This Row],[Date]],"DDD")</f>
        <v>Sun</v>
      </c>
    </row>
    <row r="228" spans="1:20" ht="29" x14ac:dyDescent="0.35">
      <c r="A228" s="4">
        <v>227</v>
      </c>
      <c r="B228" s="5">
        <v>45210</v>
      </c>
      <c r="C228" s="4" t="s">
        <v>240</v>
      </c>
      <c r="D228" s="4" t="s">
        <v>10</v>
      </c>
      <c r="E228" s="4">
        <v>36</v>
      </c>
      <c r="F228" s="4" t="str">
        <f>IF(Table1567[[#This Row],[Age]]&lt;=19,"Teenager",IF(Table1567[[#This Row],[Age]]&lt;=40,"Median","Old"))</f>
        <v>Median</v>
      </c>
      <c r="G228" s="4" t="s">
        <v>16</v>
      </c>
      <c r="H228" s="4">
        <v>2</v>
      </c>
      <c r="I228" s="4">
        <v>50</v>
      </c>
      <c r="J228" s="4">
        <v>100</v>
      </c>
      <c r="K228" s="4" t="str" cm="1">
        <f t="array" ref="K228">_xlfn.IFS(AND(Table1567[[#This Row],[Total Amount]]&gt;=1500),"Critical",AND(Table1567[[#This Row],[Total Amount]]&gt;=1000),"High",TRUE,"Normal")</f>
        <v>Normal</v>
      </c>
      <c r="L228" s="4" t="str">
        <f>IF(Table1567[[#This Row],[Total Amount]]&gt;=1000,"High",(IF(Table1567[[#This Row],[Total Amount]]&gt;=500,"Medium","Low")))</f>
        <v>Low</v>
      </c>
      <c r="M228" s="4" t="str" cm="1">
        <f t="array" ref="M22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28" s="4" cm="1">
        <f t="array" ref="N22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228" s="4">
        <f>Table1567[[#This Row],[Total Amount]]-Table1567[[#This Row],[Discount Amount]]</f>
        <v>90</v>
      </c>
      <c r="P228" s="4" t="str">
        <f>IF(Table1567[[#This Row],[Total Amount]]&gt;=1000,"High","Low")</f>
        <v>Low</v>
      </c>
      <c r="Q228" s="4" t="str" cm="1">
        <f t="array" ref="Q228">_xlfn.IFS(AND(Table1567[[#This Row],[Total Amount]]&gt;=1500,"Critical"),AND(Table1567[[#This Row],[Total Amount]]&gt;=1000,"High"),TRUE,"Normal")</f>
        <v>Normal</v>
      </c>
      <c r="R228" s="4" t="str">
        <f>CONCATENATE(Table1567[[#This Row],[Customer ID]], "-",Table1567[[#This Row],[Age]])</f>
        <v>CUST227-36</v>
      </c>
      <c r="S228" s="4" t="str">
        <f>TEXT(Table1567[[#This Row],[Date]],"mmm")</f>
        <v>Oct</v>
      </c>
      <c r="T228" s="4" t="str">
        <f>TEXT(Table1567[[#This Row],[Date]],"DDD")</f>
        <v>Wed</v>
      </c>
    </row>
    <row r="229" spans="1:20" ht="29" x14ac:dyDescent="0.35">
      <c r="A229" s="4">
        <v>228</v>
      </c>
      <c r="B229" s="5">
        <v>45044</v>
      </c>
      <c r="C229" s="4" t="s">
        <v>241</v>
      </c>
      <c r="D229" s="4" t="s">
        <v>13</v>
      </c>
      <c r="E229" s="4">
        <v>59</v>
      </c>
      <c r="F229" s="4" t="str">
        <f>IF(Table1567[[#This Row],[Age]]&lt;=19,"Teenager",IF(Table1567[[#This Row],[Age]]&lt;=40,"Median","Old"))</f>
        <v>Old</v>
      </c>
      <c r="G229" s="4" t="s">
        <v>16</v>
      </c>
      <c r="H229" s="4">
        <v>2</v>
      </c>
      <c r="I229" s="4">
        <v>30</v>
      </c>
      <c r="J229" s="4">
        <v>60</v>
      </c>
      <c r="K229" s="4" t="str" cm="1">
        <f t="array" ref="K229">_xlfn.IFS(AND(Table1567[[#This Row],[Total Amount]]&gt;=1500),"Critical",AND(Table1567[[#This Row],[Total Amount]]&gt;=1000),"High",TRUE,"Normal")</f>
        <v>Normal</v>
      </c>
      <c r="L229" s="4" t="str">
        <f>IF(Table1567[[#This Row],[Total Amount]]&gt;=1000,"High",(IF(Table1567[[#This Row],[Total Amount]]&gt;=500,"Medium","Low")))</f>
        <v>Low</v>
      </c>
      <c r="M229" s="4" t="str" cm="1">
        <f t="array" ref="M22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29" s="4" cm="1">
        <f t="array" ref="N22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229" s="4">
        <f>Table1567[[#This Row],[Total Amount]]-Table1567[[#This Row],[Discount Amount]]</f>
        <v>48</v>
      </c>
      <c r="P229" s="4" t="str">
        <f>IF(Table1567[[#This Row],[Total Amount]]&gt;=1000,"High","Low")</f>
        <v>Low</v>
      </c>
      <c r="Q229" s="4" t="str" cm="1">
        <f t="array" ref="Q229">_xlfn.IFS(AND(Table1567[[#This Row],[Total Amount]]&gt;=1500,"Critical"),AND(Table1567[[#This Row],[Total Amount]]&gt;=1000,"High"),TRUE,"Normal")</f>
        <v>Normal</v>
      </c>
      <c r="R229" s="4" t="str">
        <f>CONCATENATE(Table1567[[#This Row],[Customer ID]], "-",Table1567[[#This Row],[Age]])</f>
        <v>CUST228-59</v>
      </c>
      <c r="S229" s="4" t="str">
        <f>TEXT(Table1567[[#This Row],[Date]],"mmm")</f>
        <v>Apr</v>
      </c>
      <c r="T229" s="4" t="str">
        <f>TEXT(Table1567[[#This Row],[Date]],"DDD")</f>
        <v>Fri</v>
      </c>
    </row>
    <row r="230" spans="1:20" ht="29" x14ac:dyDescent="0.35">
      <c r="A230" s="4">
        <v>229</v>
      </c>
      <c r="B230" s="5">
        <v>45228</v>
      </c>
      <c r="C230" s="4" t="s">
        <v>242</v>
      </c>
      <c r="D230" s="4" t="s">
        <v>10</v>
      </c>
      <c r="E230" s="4">
        <v>58</v>
      </c>
      <c r="F230" s="4" t="str">
        <f>IF(Table1567[[#This Row],[Age]]&lt;=19,"Teenager",IF(Table1567[[#This Row],[Age]]&lt;=40,"Median","Old"))</f>
        <v>Old</v>
      </c>
      <c r="G230" s="4" t="s">
        <v>11</v>
      </c>
      <c r="H230" s="4">
        <v>3</v>
      </c>
      <c r="I230" s="4">
        <v>30</v>
      </c>
      <c r="J230" s="4">
        <v>90</v>
      </c>
      <c r="K230" s="4" t="str" cm="1">
        <f t="array" ref="K230">_xlfn.IFS(AND(Table1567[[#This Row],[Total Amount]]&gt;=1500),"Critical",AND(Table1567[[#This Row],[Total Amount]]&gt;=1000),"High",TRUE,"Normal")</f>
        <v>Normal</v>
      </c>
      <c r="L230" s="4" t="str">
        <f>IF(Table1567[[#This Row],[Total Amount]]&gt;=1000,"High",(IF(Table1567[[#This Row],[Total Amount]]&gt;=500,"Medium","Low")))</f>
        <v>Low</v>
      </c>
      <c r="M230" s="4" t="str" cm="1">
        <f t="array" ref="M23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30" s="4" cm="1">
        <f t="array" ref="N23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</v>
      </c>
      <c r="O230" s="4">
        <f>Table1567[[#This Row],[Total Amount]]-Table1567[[#This Row],[Discount Amount]]</f>
        <v>81</v>
      </c>
      <c r="P230" s="4" t="str">
        <f>IF(Table1567[[#This Row],[Total Amount]]&gt;=1000,"High","Low")</f>
        <v>Low</v>
      </c>
      <c r="Q230" s="4" t="str" cm="1">
        <f t="array" ref="Q230">_xlfn.IFS(AND(Table1567[[#This Row],[Total Amount]]&gt;=1500,"Critical"),AND(Table1567[[#This Row],[Total Amount]]&gt;=1000,"High"),TRUE,"Normal")</f>
        <v>Normal</v>
      </c>
      <c r="R230" s="4" t="str">
        <f>CONCATENATE(Table1567[[#This Row],[Customer ID]], "-",Table1567[[#This Row],[Age]])</f>
        <v>CUST229-58</v>
      </c>
      <c r="S230" s="4" t="str">
        <f>TEXT(Table1567[[#This Row],[Date]],"mmm")</f>
        <v>Oct</v>
      </c>
      <c r="T230" s="4" t="str">
        <f>TEXT(Table1567[[#This Row],[Date]],"DDD")</f>
        <v>Sun</v>
      </c>
    </row>
    <row r="231" spans="1:20" ht="29" x14ac:dyDescent="0.35">
      <c r="A231" s="4">
        <v>230</v>
      </c>
      <c r="B231" s="5">
        <v>45039</v>
      </c>
      <c r="C231" s="4" t="s">
        <v>243</v>
      </c>
      <c r="D231" s="4" t="s">
        <v>10</v>
      </c>
      <c r="E231" s="4">
        <v>54</v>
      </c>
      <c r="F231" s="4" t="str">
        <f>IF(Table1567[[#This Row],[Age]]&lt;=19,"Teenager",IF(Table1567[[#This Row],[Age]]&lt;=40,"Median","Old"))</f>
        <v>Old</v>
      </c>
      <c r="G231" s="4" t="s">
        <v>11</v>
      </c>
      <c r="H231" s="4">
        <v>1</v>
      </c>
      <c r="I231" s="4">
        <v>25</v>
      </c>
      <c r="J231" s="4">
        <v>25</v>
      </c>
      <c r="K231" s="4" t="str" cm="1">
        <f t="array" ref="K231">_xlfn.IFS(AND(Table1567[[#This Row],[Total Amount]]&gt;=1500),"Critical",AND(Table1567[[#This Row],[Total Amount]]&gt;=1000),"High",TRUE,"Normal")</f>
        <v>Normal</v>
      </c>
      <c r="L231" s="4" t="str">
        <f>IF(Table1567[[#This Row],[Total Amount]]&gt;=1000,"High",(IF(Table1567[[#This Row],[Total Amount]]&gt;=500,"Medium","Low")))</f>
        <v>Low</v>
      </c>
      <c r="M231" s="4" t="str" cm="1">
        <f t="array" ref="M23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31" s="4" cm="1">
        <f t="array" ref="N23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231" s="4">
        <f>Table1567[[#This Row],[Total Amount]]-Table1567[[#This Row],[Discount Amount]]</f>
        <v>22.5</v>
      </c>
      <c r="P231" s="4" t="str">
        <f>IF(Table1567[[#This Row],[Total Amount]]&gt;=1000,"High","Low")</f>
        <v>Low</v>
      </c>
      <c r="Q231" s="4" t="str" cm="1">
        <f t="array" ref="Q231">_xlfn.IFS(AND(Table1567[[#This Row],[Total Amount]]&gt;=1500,"Critical"),AND(Table1567[[#This Row],[Total Amount]]&gt;=1000,"High"),TRUE,"Normal")</f>
        <v>Normal</v>
      </c>
      <c r="R231" s="4" t="str">
        <f>CONCATENATE(Table1567[[#This Row],[Customer ID]], "-",Table1567[[#This Row],[Age]])</f>
        <v>CUST230-54</v>
      </c>
      <c r="S231" s="4" t="str">
        <f>TEXT(Table1567[[#This Row],[Date]],"mmm")</f>
        <v>Apr</v>
      </c>
      <c r="T231" s="4" t="str">
        <f>TEXT(Table1567[[#This Row],[Date]],"DDD")</f>
        <v>Sun</v>
      </c>
    </row>
    <row r="232" spans="1:20" ht="29" x14ac:dyDescent="0.35">
      <c r="A232" s="4">
        <v>231</v>
      </c>
      <c r="B232" s="5">
        <v>44930</v>
      </c>
      <c r="C232" s="4" t="s">
        <v>244</v>
      </c>
      <c r="D232" s="4" t="s">
        <v>13</v>
      </c>
      <c r="E232" s="4">
        <v>23</v>
      </c>
      <c r="F232" s="4" t="str">
        <f>IF(Table1567[[#This Row],[Age]]&lt;=19,"Teenager",IF(Table1567[[#This Row],[Age]]&lt;=40,"Median","Old"))</f>
        <v>Median</v>
      </c>
      <c r="G232" s="4" t="s">
        <v>14</v>
      </c>
      <c r="H232" s="4">
        <v>3</v>
      </c>
      <c r="I232" s="4">
        <v>50</v>
      </c>
      <c r="J232" s="4">
        <v>150</v>
      </c>
      <c r="K232" s="4" t="str" cm="1">
        <f t="array" ref="K232">_xlfn.IFS(AND(Table1567[[#This Row],[Total Amount]]&gt;=1500),"Critical",AND(Table1567[[#This Row],[Total Amount]]&gt;=1000),"High",TRUE,"Normal")</f>
        <v>Normal</v>
      </c>
      <c r="L232" s="4" t="str">
        <f>IF(Table1567[[#This Row],[Total Amount]]&gt;=1000,"High",(IF(Table1567[[#This Row],[Total Amount]]&gt;=500,"Medium","Low")))</f>
        <v>Low</v>
      </c>
      <c r="M232" s="4" t="str" cm="1">
        <f t="array" ref="M23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32" s="4" cm="1">
        <f t="array" ref="N23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32" s="4">
        <f>Table1567[[#This Row],[Total Amount]]-Table1567[[#This Row],[Discount Amount]]</f>
        <v>150</v>
      </c>
      <c r="P232" s="4" t="str">
        <f>IF(Table1567[[#This Row],[Total Amount]]&gt;=1000,"High","Low")</f>
        <v>Low</v>
      </c>
      <c r="Q232" s="4" t="str" cm="1">
        <f t="array" ref="Q232">_xlfn.IFS(AND(Table1567[[#This Row],[Total Amount]]&gt;=1500,"Critical"),AND(Table1567[[#This Row],[Total Amount]]&gt;=1000,"High"),TRUE,"Normal")</f>
        <v>Normal</v>
      </c>
      <c r="R232" s="4" t="str">
        <f>CONCATENATE(Table1567[[#This Row],[Customer ID]], "-",Table1567[[#This Row],[Age]])</f>
        <v>CUST231-23</v>
      </c>
      <c r="S232" s="4" t="str">
        <f>TEXT(Table1567[[#This Row],[Date]],"mmm")</f>
        <v>Jan</v>
      </c>
      <c r="T232" s="4" t="str">
        <f>TEXT(Table1567[[#This Row],[Date]],"DDD")</f>
        <v>Wed</v>
      </c>
    </row>
    <row r="233" spans="1:20" ht="29" x14ac:dyDescent="0.35">
      <c r="A233" s="4">
        <v>232</v>
      </c>
      <c r="B233" s="5">
        <v>44963</v>
      </c>
      <c r="C233" s="4" t="s">
        <v>245</v>
      </c>
      <c r="D233" s="4" t="s">
        <v>13</v>
      </c>
      <c r="E233" s="4">
        <v>43</v>
      </c>
      <c r="F233" s="4" t="str">
        <f>IF(Table1567[[#This Row],[Age]]&lt;=19,"Teenager",IF(Table1567[[#This Row],[Age]]&lt;=40,"Median","Old"))</f>
        <v>Old</v>
      </c>
      <c r="G233" s="4" t="s">
        <v>11</v>
      </c>
      <c r="H233" s="4">
        <v>1</v>
      </c>
      <c r="I233" s="4">
        <v>25</v>
      </c>
      <c r="J233" s="4">
        <v>25</v>
      </c>
      <c r="K233" s="4" t="str" cm="1">
        <f t="array" ref="K233">_xlfn.IFS(AND(Table1567[[#This Row],[Total Amount]]&gt;=1500),"Critical",AND(Table1567[[#This Row],[Total Amount]]&gt;=1000),"High",TRUE,"Normal")</f>
        <v>Normal</v>
      </c>
      <c r="L233" s="4" t="str">
        <f>IF(Table1567[[#This Row],[Total Amount]]&gt;=1000,"High",(IF(Table1567[[#This Row],[Total Amount]]&gt;=500,"Medium","Low")))</f>
        <v>Low</v>
      </c>
      <c r="M233" s="4" t="str" cm="1">
        <f t="array" ref="M23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33" s="4" cm="1">
        <f t="array" ref="N23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233" s="4">
        <f>Table1567[[#This Row],[Total Amount]]-Table1567[[#This Row],[Discount Amount]]</f>
        <v>20</v>
      </c>
      <c r="P233" s="4" t="str">
        <f>IF(Table1567[[#This Row],[Total Amount]]&gt;=1000,"High","Low")</f>
        <v>Low</v>
      </c>
      <c r="Q233" s="4" t="str" cm="1">
        <f t="array" ref="Q233">_xlfn.IFS(AND(Table1567[[#This Row],[Total Amount]]&gt;=1500,"Critical"),AND(Table1567[[#This Row],[Total Amount]]&gt;=1000,"High"),TRUE,"Normal")</f>
        <v>Normal</v>
      </c>
      <c r="R233" s="4" t="str">
        <f>CONCATENATE(Table1567[[#This Row],[Customer ID]], "-",Table1567[[#This Row],[Age]])</f>
        <v>CUST232-43</v>
      </c>
      <c r="S233" s="4" t="str">
        <f>TEXT(Table1567[[#This Row],[Date]],"mmm")</f>
        <v>Feb</v>
      </c>
      <c r="T233" s="4" t="str">
        <f>TEXT(Table1567[[#This Row],[Date]],"DDD")</f>
        <v>Mon</v>
      </c>
    </row>
    <row r="234" spans="1:20" ht="29" x14ac:dyDescent="0.35">
      <c r="A234" s="4">
        <v>233</v>
      </c>
      <c r="B234" s="5">
        <v>45289</v>
      </c>
      <c r="C234" s="4" t="s">
        <v>246</v>
      </c>
      <c r="D234" s="4" t="s">
        <v>13</v>
      </c>
      <c r="E234" s="4">
        <v>51</v>
      </c>
      <c r="F234" s="4" t="str">
        <f>IF(Table1567[[#This Row],[Age]]&lt;=19,"Teenager",IF(Table1567[[#This Row],[Age]]&lt;=40,"Median","Old"))</f>
        <v>Old</v>
      </c>
      <c r="G234" s="4" t="s">
        <v>11</v>
      </c>
      <c r="H234" s="4">
        <v>2</v>
      </c>
      <c r="I234" s="4">
        <v>300</v>
      </c>
      <c r="J234" s="4">
        <v>600</v>
      </c>
      <c r="K234" s="4" t="str" cm="1">
        <f t="array" ref="K234">_xlfn.IFS(AND(Table1567[[#This Row],[Total Amount]]&gt;=1500),"Critical",AND(Table1567[[#This Row],[Total Amount]]&gt;=1000),"High",TRUE,"Normal")</f>
        <v>Normal</v>
      </c>
      <c r="L234" s="4" t="str">
        <f>IF(Table1567[[#This Row],[Total Amount]]&gt;=1000,"High",(IF(Table1567[[#This Row],[Total Amount]]&gt;=500,"Medium","Low")))</f>
        <v>Medium</v>
      </c>
      <c r="M234" s="4" t="str" cm="1">
        <f t="array" ref="M23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34" s="4" cm="1">
        <f t="array" ref="N23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234" s="4">
        <f>Table1567[[#This Row],[Total Amount]]-Table1567[[#This Row],[Discount Amount]]</f>
        <v>480</v>
      </c>
      <c r="P234" s="4" t="str">
        <f>IF(Table1567[[#This Row],[Total Amount]]&gt;=1000,"High","Low")</f>
        <v>Low</v>
      </c>
      <c r="Q234" s="4" t="str" cm="1">
        <f t="array" ref="Q234">_xlfn.IFS(AND(Table1567[[#This Row],[Total Amount]]&gt;=1500,"Critical"),AND(Table1567[[#This Row],[Total Amount]]&gt;=1000,"High"),TRUE,"Normal")</f>
        <v>Normal</v>
      </c>
      <c r="R234" s="4" t="str">
        <f>CONCATENATE(Table1567[[#This Row],[Customer ID]], "-",Table1567[[#This Row],[Age]])</f>
        <v>CUST233-51</v>
      </c>
      <c r="S234" s="4" t="str">
        <f>TEXT(Table1567[[#This Row],[Date]],"mmm")</f>
        <v>Dec</v>
      </c>
      <c r="T234" s="4" t="str">
        <f>TEXT(Table1567[[#This Row],[Date]],"DDD")</f>
        <v>Fri</v>
      </c>
    </row>
    <row r="235" spans="1:20" ht="29" x14ac:dyDescent="0.35">
      <c r="A235" s="4">
        <v>234</v>
      </c>
      <c r="B235" s="5">
        <v>45250</v>
      </c>
      <c r="C235" s="4" t="s">
        <v>247</v>
      </c>
      <c r="D235" s="4" t="s">
        <v>13</v>
      </c>
      <c r="E235" s="4">
        <v>62</v>
      </c>
      <c r="F235" s="4" t="str">
        <f>IF(Table1567[[#This Row],[Age]]&lt;=19,"Teenager",IF(Table1567[[#This Row],[Age]]&lt;=40,"Median","Old"))</f>
        <v>Old</v>
      </c>
      <c r="G235" s="4" t="s">
        <v>16</v>
      </c>
      <c r="H235" s="4">
        <v>2</v>
      </c>
      <c r="I235" s="4">
        <v>25</v>
      </c>
      <c r="J235" s="4">
        <v>50</v>
      </c>
      <c r="K235" s="4" t="str" cm="1">
        <f t="array" ref="K235">_xlfn.IFS(AND(Table1567[[#This Row],[Total Amount]]&gt;=1500),"Critical",AND(Table1567[[#This Row],[Total Amount]]&gt;=1000),"High",TRUE,"Normal")</f>
        <v>Normal</v>
      </c>
      <c r="L235" s="4" t="str">
        <f>IF(Table1567[[#This Row],[Total Amount]]&gt;=1000,"High",(IF(Table1567[[#This Row],[Total Amount]]&gt;=500,"Medium","Low")))</f>
        <v>Low</v>
      </c>
      <c r="M235" s="4" t="str" cm="1">
        <f t="array" ref="M23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35" s="4" cm="1">
        <f t="array" ref="N23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235" s="4">
        <f>Table1567[[#This Row],[Total Amount]]-Table1567[[#This Row],[Discount Amount]]</f>
        <v>40</v>
      </c>
      <c r="P235" s="4" t="str">
        <f>IF(Table1567[[#This Row],[Total Amount]]&gt;=1000,"High","Low")</f>
        <v>Low</v>
      </c>
      <c r="Q235" s="4" t="str" cm="1">
        <f t="array" ref="Q235">_xlfn.IFS(AND(Table1567[[#This Row],[Total Amount]]&gt;=1500,"Critical"),AND(Table1567[[#This Row],[Total Amount]]&gt;=1000,"High"),TRUE,"Normal")</f>
        <v>Normal</v>
      </c>
      <c r="R235" s="4" t="str">
        <f>CONCATENATE(Table1567[[#This Row],[Customer ID]], "-",Table1567[[#This Row],[Age]])</f>
        <v>CUST234-62</v>
      </c>
      <c r="S235" s="4" t="str">
        <f>TEXT(Table1567[[#This Row],[Date]],"mmm")</f>
        <v>Nov</v>
      </c>
      <c r="T235" s="4" t="str">
        <f>TEXT(Table1567[[#This Row],[Date]],"DDD")</f>
        <v>Mon</v>
      </c>
    </row>
    <row r="236" spans="1:20" ht="29" x14ac:dyDescent="0.35">
      <c r="A236" s="4">
        <v>235</v>
      </c>
      <c r="B236" s="5">
        <v>44957</v>
      </c>
      <c r="C236" s="4" t="s">
        <v>248</v>
      </c>
      <c r="D236" s="4" t="s">
        <v>13</v>
      </c>
      <c r="E236" s="4">
        <v>23</v>
      </c>
      <c r="F236" s="4" t="str">
        <f>IF(Table1567[[#This Row],[Age]]&lt;=19,"Teenager",IF(Table1567[[#This Row],[Age]]&lt;=40,"Median","Old"))</f>
        <v>Median</v>
      </c>
      <c r="G236" s="4" t="s">
        <v>16</v>
      </c>
      <c r="H236" s="4">
        <v>2</v>
      </c>
      <c r="I236" s="4">
        <v>500</v>
      </c>
      <c r="J236" s="4">
        <v>1000</v>
      </c>
      <c r="K236" s="4" t="str" cm="1">
        <f t="array" ref="K236">_xlfn.IFS(AND(Table1567[[#This Row],[Total Amount]]&gt;=1500),"Critical",AND(Table1567[[#This Row],[Total Amount]]&gt;=1000),"High",TRUE,"Normal")</f>
        <v>High</v>
      </c>
      <c r="L236" s="4" t="str">
        <f>IF(Table1567[[#This Row],[Total Amount]]&gt;=1000,"High",(IF(Table1567[[#This Row],[Total Amount]]&gt;=500,"Medium","Low")))</f>
        <v>High</v>
      </c>
      <c r="M236" s="4" t="str" cm="1">
        <f t="array" ref="M23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36" s="4" cm="1">
        <f t="array" ref="N23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36" s="4">
        <f>Table1567[[#This Row],[Total Amount]]-Table1567[[#This Row],[Discount Amount]]</f>
        <v>1000</v>
      </c>
      <c r="P236" s="4" t="str">
        <f>IF(Table1567[[#This Row],[Total Amount]]&gt;=1000,"High","Low")</f>
        <v>High</v>
      </c>
      <c r="Q236" s="4" t="str" cm="1">
        <f t="array" ref="Q236">_xlfn.IFS(AND(Table1567[[#This Row],[Total Amount]]&gt;=1500,"Critical"),AND(Table1567[[#This Row],[Total Amount]]&gt;=1000,"High"),TRUE,"Normal")</f>
        <v>Normal</v>
      </c>
      <c r="R236" s="4" t="str">
        <f>CONCATENATE(Table1567[[#This Row],[Customer ID]], "-",Table1567[[#This Row],[Age]])</f>
        <v>CUST235-23</v>
      </c>
      <c r="S236" s="4" t="str">
        <f>TEXT(Table1567[[#This Row],[Date]],"mmm")</f>
        <v>Jan</v>
      </c>
      <c r="T236" s="4" t="str">
        <f>TEXT(Table1567[[#This Row],[Date]],"DDD")</f>
        <v>Tue</v>
      </c>
    </row>
    <row r="237" spans="1:20" ht="29" x14ac:dyDescent="0.35">
      <c r="A237" s="4">
        <v>236</v>
      </c>
      <c r="B237" s="5">
        <v>45044</v>
      </c>
      <c r="C237" s="4" t="s">
        <v>249</v>
      </c>
      <c r="D237" s="4" t="s">
        <v>13</v>
      </c>
      <c r="E237" s="4">
        <v>54</v>
      </c>
      <c r="F237" s="4" t="str">
        <f>IF(Table1567[[#This Row],[Age]]&lt;=19,"Teenager",IF(Table1567[[#This Row],[Age]]&lt;=40,"Median","Old"))</f>
        <v>Old</v>
      </c>
      <c r="G237" s="4" t="s">
        <v>14</v>
      </c>
      <c r="H237" s="4">
        <v>1</v>
      </c>
      <c r="I237" s="4">
        <v>25</v>
      </c>
      <c r="J237" s="4">
        <v>25</v>
      </c>
      <c r="K237" s="4" t="str" cm="1">
        <f t="array" ref="K237">_xlfn.IFS(AND(Table1567[[#This Row],[Total Amount]]&gt;=1500),"Critical",AND(Table1567[[#This Row],[Total Amount]]&gt;=1000),"High",TRUE,"Normal")</f>
        <v>Normal</v>
      </c>
      <c r="L237" s="4" t="str">
        <f>IF(Table1567[[#This Row],[Total Amount]]&gt;=1000,"High",(IF(Table1567[[#This Row],[Total Amount]]&gt;=500,"Medium","Low")))</f>
        <v>Low</v>
      </c>
      <c r="M237" s="4" t="str" cm="1">
        <f t="array" ref="M23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37" s="4" cm="1">
        <f t="array" ref="N23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237" s="4">
        <f>Table1567[[#This Row],[Total Amount]]-Table1567[[#This Row],[Discount Amount]]</f>
        <v>20</v>
      </c>
      <c r="P237" s="4" t="str">
        <f>IF(Table1567[[#This Row],[Total Amount]]&gt;=1000,"High","Low")</f>
        <v>Low</v>
      </c>
      <c r="Q237" s="4" t="str" cm="1">
        <f t="array" ref="Q237">_xlfn.IFS(AND(Table1567[[#This Row],[Total Amount]]&gt;=1500,"Critical"),AND(Table1567[[#This Row],[Total Amount]]&gt;=1000,"High"),TRUE,"Normal")</f>
        <v>Normal</v>
      </c>
      <c r="R237" s="4" t="str">
        <f>CONCATENATE(Table1567[[#This Row],[Customer ID]], "-",Table1567[[#This Row],[Age]])</f>
        <v>CUST236-54</v>
      </c>
      <c r="S237" s="4" t="str">
        <f>TEXT(Table1567[[#This Row],[Date]],"mmm")</f>
        <v>Apr</v>
      </c>
      <c r="T237" s="4" t="str">
        <f>TEXT(Table1567[[#This Row],[Date]],"DDD")</f>
        <v>Fri</v>
      </c>
    </row>
    <row r="238" spans="1:20" ht="29" x14ac:dyDescent="0.35">
      <c r="A238" s="4">
        <v>237</v>
      </c>
      <c r="B238" s="5">
        <v>44961</v>
      </c>
      <c r="C238" s="4" t="s">
        <v>250</v>
      </c>
      <c r="D238" s="4" t="s">
        <v>13</v>
      </c>
      <c r="E238" s="4">
        <v>50</v>
      </c>
      <c r="F238" s="4" t="str">
        <f>IF(Table1567[[#This Row],[Age]]&lt;=19,"Teenager",IF(Table1567[[#This Row],[Age]]&lt;=40,"Median","Old"))</f>
        <v>Old</v>
      </c>
      <c r="G238" s="4" t="s">
        <v>11</v>
      </c>
      <c r="H238" s="4">
        <v>2</v>
      </c>
      <c r="I238" s="4">
        <v>500</v>
      </c>
      <c r="J238" s="4">
        <v>1000</v>
      </c>
      <c r="K238" s="4" t="str" cm="1">
        <f t="array" ref="K238">_xlfn.IFS(AND(Table1567[[#This Row],[Total Amount]]&gt;=1500),"Critical",AND(Table1567[[#This Row],[Total Amount]]&gt;=1000),"High",TRUE,"Normal")</f>
        <v>High</v>
      </c>
      <c r="L238" s="4" t="str">
        <f>IF(Table1567[[#This Row],[Total Amount]]&gt;=1000,"High",(IF(Table1567[[#This Row],[Total Amount]]&gt;=500,"Medium","Low")))</f>
        <v>High</v>
      </c>
      <c r="M238" s="4" t="str" cm="1">
        <f t="array" ref="M23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38" s="4" cm="1">
        <f t="array" ref="N23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238" s="4">
        <f>Table1567[[#This Row],[Total Amount]]-Table1567[[#This Row],[Discount Amount]]</f>
        <v>800</v>
      </c>
      <c r="P238" s="4" t="str">
        <f>IF(Table1567[[#This Row],[Total Amount]]&gt;=1000,"High","Low")</f>
        <v>High</v>
      </c>
      <c r="Q238" s="4" t="str" cm="1">
        <f t="array" ref="Q238">_xlfn.IFS(AND(Table1567[[#This Row],[Total Amount]]&gt;=1500,"Critical"),AND(Table1567[[#This Row],[Total Amount]]&gt;=1000,"High"),TRUE,"Normal")</f>
        <v>Normal</v>
      </c>
      <c r="R238" s="4" t="str">
        <f>CONCATENATE(Table1567[[#This Row],[Customer ID]], "-",Table1567[[#This Row],[Age]])</f>
        <v>CUST237-50</v>
      </c>
      <c r="S238" s="4" t="str">
        <f>TEXT(Table1567[[#This Row],[Date]],"mmm")</f>
        <v>Feb</v>
      </c>
      <c r="T238" s="4" t="str">
        <f>TEXT(Table1567[[#This Row],[Date]],"DDD")</f>
        <v>Sat</v>
      </c>
    </row>
    <row r="239" spans="1:20" ht="29" x14ac:dyDescent="0.35">
      <c r="A239" s="4">
        <v>238</v>
      </c>
      <c r="B239" s="5">
        <v>44943</v>
      </c>
      <c r="C239" s="4" t="s">
        <v>251</v>
      </c>
      <c r="D239" s="4" t="s">
        <v>13</v>
      </c>
      <c r="E239" s="4">
        <v>39</v>
      </c>
      <c r="F239" s="4" t="str">
        <f>IF(Table1567[[#This Row],[Age]]&lt;=19,"Teenager",IF(Table1567[[#This Row],[Age]]&lt;=40,"Median","Old"))</f>
        <v>Median</v>
      </c>
      <c r="G239" s="4" t="s">
        <v>11</v>
      </c>
      <c r="H239" s="4">
        <v>1</v>
      </c>
      <c r="I239" s="4">
        <v>500</v>
      </c>
      <c r="J239" s="4">
        <v>500</v>
      </c>
      <c r="K239" s="4" t="str" cm="1">
        <f t="array" ref="K239">_xlfn.IFS(AND(Table1567[[#This Row],[Total Amount]]&gt;=1500),"Critical",AND(Table1567[[#This Row],[Total Amount]]&gt;=1000),"High",TRUE,"Normal")</f>
        <v>Normal</v>
      </c>
      <c r="L239" s="4" t="str">
        <f>IF(Table1567[[#This Row],[Total Amount]]&gt;=1000,"High",(IF(Table1567[[#This Row],[Total Amount]]&gt;=500,"Medium","Low")))</f>
        <v>Medium</v>
      </c>
      <c r="M239" s="4" t="str" cm="1">
        <f t="array" ref="M23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39" s="4" cm="1">
        <f t="array" ref="N23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239" s="4">
        <f>Table1567[[#This Row],[Total Amount]]-Table1567[[#This Row],[Discount Amount]]</f>
        <v>400</v>
      </c>
      <c r="P239" s="4" t="str">
        <f>IF(Table1567[[#This Row],[Total Amount]]&gt;=1000,"High","Low")</f>
        <v>Low</v>
      </c>
      <c r="Q239" s="4" t="str" cm="1">
        <f t="array" ref="Q239">_xlfn.IFS(AND(Table1567[[#This Row],[Total Amount]]&gt;=1500,"Critical"),AND(Table1567[[#This Row],[Total Amount]]&gt;=1000,"High"),TRUE,"Normal")</f>
        <v>Normal</v>
      </c>
      <c r="R239" s="4" t="str">
        <f>CONCATENATE(Table1567[[#This Row],[Customer ID]], "-",Table1567[[#This Row],[Age]])</f>
        <v>CUST238-39</v>
      </c>
      <c r="S239" s="4" t="str">
        <f>TEXT(Table1567[[#This Row],[Date]],"mmm")</f>
        <v>Jan</v>
      </c>
      <c r="T239" s="4" t="str">
        <f>TEXT(Table1567[[#This Row],[Date]],"DDD")</f>
        <v>Tue</v>
      </c>
    </row>
    <row r="240" spans="1:20" ht="29" x14ac:dyDescent="0.35">
      <c r="A240" s="4">
        <v>239</v>
      </c>
      <c r="B240" s="5">
        <v>45096</v>
      </c>
      <c r="C240" s="4" t="s">
        <v>252</v>
      </c>
      <c r="D240" s="4" t="s">
        <v>10</v>
      </c>
      <c r="E240" s="4">
        <v>38</v>
      </c>
      <c r="F240" s="4" t="str">
        <f>IF(Table1567[[#This Row],[Age]]&lt;=19,"Teenager",IF(Table1567[[#This Row],[Age]]&lt;=40,"Median","Old"))</f>
        <v>Median</v>
      </c>
      <c r="G240" s="4" t="s">
        <v>16</v>
      </c>
      <c r="H240" s="4">
        <v>3</v>
      </c>
      <c r="I240" s="4">
        <v>500</v>
      </c>
      <c r="J240" s="4">
        <v>1500</v>
      </c>
      <c r="K240" s="4" t="str" cm="1">
        <f t="array" ref="K240">_xlfn.IFS(AND(Table1567[[#This Row],[Total Amount]]&gt;=1500),"Critical",AND(Table1567[[#This Row],[Total Amount]]&gt;=1000),"High",TRUE,"Normal")</f>
        <v>Critical</v>
      </c>
      <c r="L240" s="4" t="str">
        <f>IF(Table1567[[#This Row],[Total Amount]]&gt;=1000,"High",(IF(Table1567[[#This Row],[Total Amount]]&gt;=500,"Medium","Low")))</f>
        <v>High</v>
      </c>
      <c r="M240" s="4" t="str" cm="1">
        <f t="array" ref="M24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40" s="4" cm="1">
        <f t="array" ref="N24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240" s="4">
        <f>Table1567[[#This Row],[Total Amount]]-Table1567[[#This Row],[Discount Amount]]</f>
        <v>1350</v>
      </c>
      <c r="P240" s="4" t="str">
        <f>IF(Table1567[[#This Row],[Total Amount]]&gt;=1000,"High","Low")</f>
        <v>High</v>
      </c>
      <c r="Q240" s="4" t="b" cm="1">
        <f t="array" ref="Q240">_xlfn.IFS(AND(Table1567[[#This Row],[Total Amount]]&gt;=1500,"Critical"),AND(Table1567[[#This Row],[Total Amount]]&gt;=1000,"High"),TRUE,"Normal")</f>
        <v>1</v>
      </c>
      <c r="R240" s="4" t="str">
        <f>CONCATENATE(Table1567[[#This Row],[Customer ID]], "-",Table1567[[#This Row],[Age]])</f>
        <v>CUST239-38</v>
      </c>
      <c r="S240" s="4" t="str">
        <f>TEXT(Table1567[[#This Row],[Date]],"mmm")</f>
        <v>Jun</v>
      </c>
      <c r="T240" s="4" t="str">
        <f>TEXT(Table1567[[#This Row],[Date]],"DDD")</f>
        <v>Mon</v>
      </c>
    </row>
    <row r="241" spans="1:20" ht="29" x14ac:dyDescent="0.35">
      <c r="A241" s="4">
        <v>240</v>
      </c>
      <c r="B241" s="5">
        <v>44963</v>
      </c>
      <c r="C241" s="4" t="s">
        <v>253</v>
      </c>
      <c r="D241" s="4" t="s">
        <v>13</v>
      </c>
      <c r="E241" s="4">
        <v>23</v>
      </c>
      <c r="F241" s="4" t="str">
        <f>IF(Table1567[[#This Row],[Age]]&lt;=19,"Teenager",IF(Table1567[[#This Row],[Age]]&lt;=40,"Median","Old"))</f>
        <v>Median</v>
      </c>
      <c r="G241" s="4" t="s">
        <v>11</v>
      </c>
      <c r="H241" s="4">
        <v>1</v>
      </c>
      <c r="I241" s="4">
        <v>300</v>
      </c>
      <c r="J241" s="4">
        <v>300</v>
      </c>
      <c r="K241" s="4" t="str" cm="1">
        <f t="array" ref="K241">_xlfn.IFS(AND(Table1567[[#This Row],[Total Amount]]&gt;=1500),"Critical",AND(Table1567[[#This Row],[Total Amount]]&gt;=1000),"High",TRUE,"Normal")</f>
        <v>Normal</v>
      </c>
      <c r="L241" s="4" t="str">
        <f>IF(Table1567[[#This Row],[Total Amount]]&gt;=1000,"High",(IF(Table1567[[#This Row],[Total Amount]]&gt;=500,"Medium","Low")))</f>
        <v>Low</v>
      </c>
      <c r="M241" s="4" t="str" cm="1">
        <f t="array" ref="M24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41" s="4" cm="1">
        <f t="array" ref="N24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41" s="4">
        <f>Table1567[[#This Row],[Total Amount]]-Table1567[[#This Row],[Discount Amount]]</f>
        <v>300</v>
      </c>
      <c r="P241" s="4" t="str">
        <f>IF(Table1567[[#This Row],[Total Amount]]&gt;=1000,"High","Low")</f>
        <v>Low</v>
      </c>
      <c r="Q241" s="4" t="str" cm="1">
        <f t="array" ref="Q241">_xlfn.IFS(AND(Table1567[[#This Row],[Total Amount]]&gt;=1500,"Critical"),AND(Table1567[[#This Row],[Total Amount]]&gt;=1000,"High"),TRUE,"Normal")</f>
        <v>Normal</v>
      </c>
      <c r="R241" s="4" t="str">
        <f>CONCATENATE(Table1567[[#This Row],[Customer ID]], "-",Table1567[[#This Row],[Age]])</f>
        <v>CUST240-23</v>
      </c>
      <c r="S241" s="4" t="str">
        <f>TEXT(Table1567[[#This Row],[Date]],"mmm")</f>
        <v>Feb</v>
      </c>
      <c r="T241" s="4" t="str">
        <f>TEXT(Table1567[[#This Row],[Date]],"DDD")</f>
        <v>Mon</v>
      </c>
    </row>
    <row r="242" spans="1:20" ht="29" x14ac:dyDescent="0.35">
      <c r="A242" s="4">
        <v>241</v>
      </c>
      <c r="B242" s="5">
        <v>45190</v>
      </c>
      <c r="C242" s="4" t="s">
        <v>254</v>
      </c>
      <c r="D242" s="4" t="s">
        <v>13</v>
      </c>
      <c r="E242" s="4">
        <v>23</v>
      </c>
      <c r="F242" s="4" t="str">
        <f>IF(Table1567[[#This Row],[Age]]&lt;=19,"Teenager",IF(Table1567[[#This Row],[Age]]&lt;=40,"Median","Old"))</f>
        <v>Median</v>
      </c>
      <c r="G242" s="4" t="s">
        <v>16</v>
      </c>
      <c r="H242" s="4">
        <v>3</v>
      </c>
      <c r="I242" s="4">
        <v>25</v>
      </c>
      <c r="J242" s="4">
        <v>75</v>
      </c>
      <c r="K242" s="4" t="str" cm="1">
        <f t="array" ref="K242">_xlfn.IFS(AND(Table1567[[#This Row],[Total Amount]]&gt;=1500),"Critical",AND(Table1567[[#This Row],[Total Amount]]&gt;=1000),"High",TRUE,"Normal")</f>
        <v>Normal</v>
      </c>
      <c r="L242" s="4" t="str">
        <f>IF(Table1567[[#This Row],[Total Amount]]&gt;=1000,"High",(IF(Table1567[[#This Row],[Total Amount]]&gt;=500,"Medium","Low")))</f>
        <v>Low</v>
      </c>
      <c r="M242" s="4" t="str" cm="1">
        <f t="array" ref="M24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42" s="4" cm="1">
        <f t="array" ref="N24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42" s="4">
        <f>Table1567[[#This Row],[Total Amount]]-Table1567[[#This Row],[Discount Amount]]</f>
        <v>75</v>
      </c>
      <c r="P242" s="4" t="str">
        <f>IF(Table1567[[#This Row],[Total Amount]]&gt;=1000,"High","Low")</f>
        <v>Low</v>
      </c>
      <c r="Q242" s="4" t="str" cm="1">
        <f t="array" ref="Q242">_xlfn.IFS(AND(Table1567[[#This Row],[Total Amount]]&gt;=1500,"Critical"),AND(Table1567[[#This Row],[Total Amount]]&gt;=1000,"High"),TRUE,"Normal")</f>
        <v>Normal</v>
      </c>
      <c r="R242" s="4" t="str">
        <f>CONCATENATE(Table1567[[#This Row],[Customer ID]], "-",Table1567[[#This Row],[Age]])</f>
        <v>CUST241-23</v>
      </c>
      <c r="S242" s="4" t="str">
        <f>TEXT(Table1567[[#This Row],[Date]],"mmm")</f>
        <v>Sep</v>
      </c>
      <c r="T242" s="4" t="str">
        <f>TEXT(Table1567[[#This Row],[Date]],"DDD")</f>
        <v>Thu</v>
      </c>
    </row>
    <row r="243" spans="1:20" ht="29" x14ac:dyDescent="0.35">
      <c r="A243" s="4">
        <v>242</v>
      </c>
      <c r="B243" s="5">
        <v>45048</v>
      </c>
      <c r="C243" s="4" t="s">
        <v>255</v>
      </c>
      <c r="D243" s="4" t="s">
        <v>10</v>
      </c>
      <c r="E243" s="4">
        <v>21</v>
      </c>
      <c r="F243" s="4" t="str">
        <f>IF(Table1567[[#This Row],[Age]]&lt;=19,"Teenager",IF(Table1567[[#This Row],[Age]]&lt;=40,"Median","Old"))</f>
        <v>Median</v>
      </c>
      <c r="G243" s="4" t="s">
        <v>14</v>
      </c>
      <c r="H243" s="4">
        <v>1</v>
      </c>
      <c r="I243" s="4">
        <v>25</v>
      </c>
      <c r="J243" s="4">
        <v>25</v>
      </c>
      <c r="K243" s="4" t="str" cm="1">
        <f t="array" ref="K243">_xlfn.IFS(AND(Table1567[[#This Row],[Total Amount]]&gt;=1500),"Critical",AND(Table1567[[#This Row],[Total Amount]]&gt;=1000),"High",TRUE,"Normal")</f>
        <v>Normal</v>
      </c>
      <c r="L243" s="4" t="str">
        <f>IF(Table1567[[#This Row],[Total Amount]]&gt;=1000,"High",(IF(Table1567[[#This Row],[Total Amount]]&gt;=500,"Medium","Low")))</f>
        <v>Low</v>
      </c>
      <c r="M243" s="4" t="str" cm="1">
        <f t="array" ref="M24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43" s="4" cm="1">
        <f t="array" ref="N24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43" s="4">
        <f>Table1567[[#This Row],[Total Amount]]-Table1567[[#This Row],[Discount Amount]]</f>
        <v>25</v>
      </c>
      <c r="P243" s="4" t="str">
        <f>IF(Table1567[[#This Row],[Total Amount]]&gt;=1000,"High","Low")</f>
        <v>Low</v>
      </c>
      <c r="Q243" s="4" t="str" cm="1">
        <f t="array" ref="Q243">_xlfn.IFS(AND(Table1567[[#This Row],[Total Amount]]&gt;=1500,"Critical"),AND(Table1567[[#This Row],[Total Amount]]&gt;=1000,"High"),TRUE,"Normal")</f>
        <v>Normal</v>
      </c>
      <c r="R243" s="4" t="str">
        <f>CONCATENATE(Table1567[[#This Row],[Customer ID]], "-",Table1567[[#This Row],[Age]])</f>
        <v>CUST242-21</v>
      </c>
      <c r="S243" s="4" t="str">
        <f>TEXT(Table1567[[#This Row],[Date]],"mmm")</f>
        <v>May</v>
      </c>
      <c r="T243" s="4" t="str">
        <f>TEXT(Table1567[[#This Row],[Date]],"DDD")</f>
        <v>Tue</v>
      </c>
    </row>
    <row r="244" spans="1:20" ht="29" x14ac:dyDescent="0.35">
      <c r="A244" s="4">
        <v>243</v>
      </c>
      <c r="B244" s="5">
        <v>45069</v>
      </c>
      <c r="C244" s="4" t="s">
        <v>256</v>
      </c>
      <c r="D244" s="4" t="s">
        <v>13</v>
      </c>
      <c r="E244" s="4">
        <v>47</v>
      </c>
      <c r="F244" s="4" t="str">
        <f>IF(Table1567[[#This Row],[Age]]&lt;=19,"Teenager",IF(Table1567[[#This Row],[Age]]&lt;=40,"Median","Old"))</f>
        <v>Old</v>
      </c>
      <c r="G244" s="4" t="s">
        <v>16</v>
      </c>
      <c r="H244" s="4">
        <v>3</v>
      </c>
      <c r="I244" s="4">
        <v>300</v>
      </c>
      <c r="J244" s="4">
        <v>900</v>
      </c>
      <c r="K244" s="4" t="str" cm="1">
        <f t="array" ref="K244">_xlfn.IFS(AND(Table1567[[#This Row],[Total Amount]]&gt;=1500),"Critical",AND(Table1567[[#This Row],[Total Amount]]&gt;=1000),"High",TRUE,"Normal")</f>
        <v>Normal</v>
      </c>
      <c r="L244" s="4" t="str">
        <f>IF(Table1567[[#This Row],[Total Amount]]&gt;=1000,"High",(IF(Table1567[[#This Row],[Total Amount]]&gt;=500,"Medium","Low")))</f>
        <v>Medium</v>
      </c>
      <c r="M244" s="4" t="str" cm="1">
        <f t="array" ref="M24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44" s="4" cm="1">
        <f t="array" ref="N24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244" s="4">
        <f>Table1567[[#This Row],[Total Amount]]-Table1567[[#This Row],[Discount Amount]]</f>
        <v>720</v>
      </c>
      <c r="P244" s="4" t="str">
        <f>IF(Table1567[[#This Row],[Total Amount]]&gt;=1000,"High","Low")</f>
        <v>Low</v>
      </c>
      <c r="Q244" s="4" t="str" cm="1">
        <f t="array" ref="Q244">_xlfn.IFS(AND(Table1567[[#This Row],[Total Amount]]&gt;=1500,"Critical"),AND(Table1567[[#This Row],[Total Amount]]&gt;=1000,"High"),TRUE,"Normal")</f>
        <v>Normal</v>
      </c>
      <c r="R244" s="4" t="str">
        <f>CONCATENATE(Table1567[[#This Row],[Customer ID]], "-",Table1567[[#This Row],[Age]])</f>
        <v>CUST243-47</v>
      </c>
      <c r="S244" s="4" t="str">
        <f>TEXT(Table1567[[#This Row],[Date]],"mmm")</f>
        <v>May</v>
      </c>
      <c r="T244" s="4" t="str">
        <f>TEXT(Table1567[[#This Row],[Date]],"DDD")</f>
        <v>Tue</v>
      </c>
    </row>
    <row r="245" spans="1:20" ht="29" x14ac:dyDescent="0.35">
      <c r="A245" s="4">
        <v>244</v>
      </c>
      <c r="B245" s="5">
        <v>45269</v>
      </c>
      <c r="C245" s="4" t="s">
        <v>257</v>
      </c>
      <c r="D245" s="4" t="s">
        <v>10</v>
      </c>
      <c r="E245" s="4">
        <v>28</v>
      </c>
      <c r="F245" s="4" t="str">
        <f>IF(Table1567[[#This Row],[Age]]&lt;=19,"Teenager",IF(Table1567[[#This Row],[Age]]&lt;=40,"Median","Old"))</f>
        <v>Median</v>
      </c>
      <c r="G245" s="4" t="s">
        <v>11</v>
      </c>
      <c r="H245" s="4">
        <v>2</v>
      </c>
      <c r="I245" s="4">
        <v>50</v>
      </c>
      <c r="J245" s="4">
        <v>100</v>
      </c>
      <c r="K245" s="4" t="str" cm="1">
        <f t="array" ref="K245">_xlfn.IFS(AND(Table1567[[#This Row],[Total Amount]]&gt;=1500),"Critical",AND(Table1567[[#This Row],[Total Amount]]&gt;=1000),"High",TRUE,"Normal")</f>
        <v>Normal</v>
      </c>
      <c r="L245" s="4" t="str">
        <f>IF(Table1567[[#This Row],[Total Amount]]&gt;=1000,"High",(IF(Table1567[[#This Row],[Total Amount]]&gt;=500,"Medium","Low")))</f>
        <v>Low</v>
      </c>
      <c r="M245" s="4" t="str" cm="1">
        <f t="array" ref="M24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45" s="4" cm="1">
        <f t="array" ref="N24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245" s="4">
        <f>Table1567[[#This Row],[Total Amount]]-Table1567[[#This Row],[Discount Amount]]</f>
        <v>85</v>
      </c>
      <c r="P245" s="4" t="str">
        <f>IF(Table1567[[#This Row],[Total Amount]]&gt;=1000,"High","Low")</f>
        <v>Low</v>
      </c>
      <c r="Q245" s="4" t="str" cm="1">
        <f t="array" ref="Q245">_xlfn.IFS(AND(Table1567[[#This Row],[Total Amount]]&gt;=1500,"Critical"),AND(Table1567[[#This Row],[Total Amount]]&gt;=1000,"High"),TRUE,"Normal")</f>
        <v>Normal</v>
      </c>
      <c r="R245" s="4" t="str">
        <f>CONCATENATE(Table1567[[#This Row],[Customer ID]], "-",Table1567[[#This Row],[Age]])</f>
        <v>CUST244-28</v>
      </c>
      <c r="S245" s="4" t="str">
        <f>TEXT(Table1567[[#This Row],[Date]],"mmm")</f>
        <v>Dec</v>
      </c>
      <c r="T245" s="4" t="str">
        <f>TEXT(Table1567[[#This Row],[Date]],"DDD")</f>
        <v>Sat</v>
      </c>
    </row>
    <row r="246" spans="1:20" ht="29" x14ac:dyDescent="0.35">
      <c r="A246" s="4">
        <v>245</v>
      </c>
      <c r="B246" s="5">
        <v>45175</v>
      </c>
      <c r="C246" s="4" t="s">
        <v>258</v>
      </c>
      <c r="D246" s="4" t="s">
        <v>10</v>
      </c>
      <c r="E246" s="4">
        <v>47</v>
      </c>
      <c r="F246" s="4" t="str">
        <f>IF(Table1567[[#This Row],[Age]]&lt;=19,"Teenager",IF(Table1567[[#This Row],[Age]]&lt;=40,"Median","Old"))</f>
        <v>Old</v>
      </c>
      <c r="G246" s="4" t="s">
        <v>14</v>
      </c>
      <c r="H246" s="4">
        <v>3</v>
      </c>
      <c r="I246" s="4">
        <v>30</v>
      </c>
      <c r="J246" s="4">
        <v>90</v>
      </c>
      <c r="K246" s="4" t="str" cm="1">
        <f t="array" ref="K246">_xlfn.IFS(AND(Table1567[[#This Row],[Total Amount]]&gt;=1500),"Critical",AND(Table1567[[#This Row],[Total Amount]]&gt;=1000),"High",TRUE,"Normal")</f>
        <v>Normal</v>
      </c>
      <c r="L246" s="4" t="str">
        <f>IF(Table1567[[#This Row],[Total Amount]]&gt;=1000,"High",(IF(Table1567[[#This Row],[Total Amount]]&gt;=500,"Medium","Low")))</f>
        <v>Low</v>
      </c>
      <c r="M246" s="4" t="str" cm="1">
        <f t="array" ref="M24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46" s="4" cm="1">
        <f t="array" ref="N24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</v>
      </c>
      <c r="O246" s="4">
        <f>Table1567[[#This Row],[Total Amount]]-Table1567[[#This Row],[Discount Amount]]</f>
        <v>81</v>
      </c>
      <c r="P246" s="4" t="str">
        <f>IF(Table1567[[#This Row],[Total Amount]]&gt;=1000,"High","Low")</f>
        <v>Low</v>
      </c>
      <c r="Q246" s="4" t="str" cm="1">
        <f t="array" ref="Q246">_xlfn.IFS(AND(Table1567[[#This Row],[Total Amount]]&gt;=1500,"Critical"),AND(Table1567[[#This Row],[Total Amount]]&gt;=1000,"High"),TRUE,"Normal")</f>
        <v>Normal</v>
      </c>
      <c r="R246" s="4" t="str">
        <f>CONCATENATE(Table1567[[#This Row],[Customer ID]], "-",Table1567[[#This Row],[Age]])</f>
        <v>CUST245-47</v>
      </c>
      <c r="S246" s="4" t="str">
        <f>TEXT(Table1567[[#This Row],[Date]],"mmm")</f>
        <v>Sep</v>
      </c>
      <c r="T246" s="4" t="str">
        <f>TEXT(Table1567[[#This Row],[Date]],"DDD")</f>
        <v>Wed</v>
      </c>
    </row>
    <row r="247" spans="1:20" ht="29" x14ac:dyDescent="0.35">
      <c r="A247" s="4">
        <v>246</v>
      </c>
      <c r="B247" s="5">
        <v>45036</v>
      </c>
      <c r="C247" s="4" t="s">
        <v>259</v>
      </c>
      <c r="D247" s="4" t="s">
        <v>13</v>
      </c>
      <c r="E247" s="4">
        <v>48</v>
      </c>
      <c r="F247" s="4" t="str">
        <f>IF(Table1567[[#This Row],[Age]]&lt;=19,"Teenager",IF(Table1567[[#This Row],[Age]]&lt;=40,"Median","Old"))</f>
        <v>Old</v>
      </c>
      <c r="G247" s="4" t="s">
        <v>16</v>
      </c>
      <c r="H247" s="4">
        <v>2</v>
      </c>
      <c r="I247" s="4">
        <v>25</v>
      </c>
      <c r="J247" s="4">
        <v>50</v>
      </c>
      <c r="K247" s="4" t="str" cm="1">
        <f t="array" ref="K247">_xlfn.IFS(AND(Table1567[[#This Row],[Total Amount]]&gt;=1500),"Critical",AND(Table1567[[#This Row],[Total Amount]]&gt;=1000),"High",TRUE,"Normal")</f>
        <v>Normal</v>
      </c>
      <c r="L247" s="4" t="str">
        <f>IF(Table1567[[#This Row],[Total Amount]]&gt;=1000,"High",(IF(Table1567[[#This Row],[Total Amount]]&gt;=500,"Medium","Low")))</f>
        <v>Low</v>
      </c>
      <c r="M247" s="4" t="str" cm="1">
        <f t="array" ref="M24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47" s="4" cm="1">
        <f t="array" ref="N24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247" s="4">
        <f>Table1567[[#This Row],[Total Amount]]-Table1567[[#This Row],[Discount Amount]]</f>
        <v>40</v>
      </c>
      <c r="P247" s="4" t="str">
        <f>IF(Table1567[[#This Row],[Total Amount]]&gt;=1000,"High","Low")</f>
        <v>Low</v>
      </c>
      <c r="Q247" s="4" t="str" cm="1">
        <f t="array" ref="Q247">_xlfn.IFS(AND(Table1567[[#This Row],[Total Amount]]&gt;=1500,"Critical"),AND(Table1567[[#This Row],[Total Amount]]&gt;=1000,"High"),TRUE,"Normal")</f>
        <v>Normal</v>
      </c>
      <c r="R247" s="4" t="str">
        <f>CONCATENATE(Table1567[[#This Row],[Customer ID]], "-",Table1567[[#This Row],[Age]])</f>
        <v>CUST246-48</v>
      </c>
      <c r="S247" s="4" t="str">
        <f>TEXT(Table1567[[#This Row],[Date]],"mmm")</f>
        <v>Apr</v>
      </c>
      <c r="T247" s="4" t="str">
        <f>TEXT(Table1567[[#This Row],[Date]],"DDD")</f>
        <v>Thu</v>
      </c>
    </row>
    <row r="248" spans="1:20" ht="29" x14ac:dyDescent="0.35">
      <c r="A248" s="4">
        <v>247</v>
      </c>
      <c r="B248" s="5">
        <v>45203</v>
      </c>
      <c r="C248" s="4" t="s">
        <v>260</v>
      </c>
      <c r="D248" s="4" t="s">
        <v>10</v>
      </c>
      <c r="E248" s="4">
        <v>41</v>
      </c>
      <c r="F248" s="4" t="str">
        <f>IF(Table1567[[#This Row],[Age]]&lt;=19,"Teenager",IF(Table1567[[#This Row],[Age]]&lt;=40,"Median","Old"))</f>
        <v>Old</v>
      </c>
      <c r="G248" s="4" t="s">
        <v>16</v>
      </c>
      <c r="H248" s="4">
        <v>2</v>
      </c>
      <c r="I248" s="4">
        <v>30</v>
      </c>
      <c r="J248" s="4">
        <v>60</v>
      </c>
      <c r="K248" s="4" t="str" cm="1">
        <f t="array" ref="K248">_xlfn.IFS(AND(Table1567[[#This Row],[Total Amount]]&gt;=1500),"Critical",AND(Table1567[[#This Row],[Total Amount]]&gt;=1000),"High",TRUE,"Normal")</f>
        <v>Normal</v>
      </c>
      <c r="L248" s="4" t="str">
        <f>IF(Table1567[[#This Row],[Total Amount]]&gt;=1000,"High",(IF(Table1567[[#This Row],[Total Amount]]&gt;=500,"Medium","Low")))</f>
        <v>Low</v>
      </c>
      <c r="M248" s="4" t="str" cm="1">
        <f t="array" ref="M24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48" s="4" cm="1">
        <f t="array" ref="N24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248" s="4">
        <f>Table1567[[#This Row],[Total Amount]]-Table1567[[#This Row],[Discount Amount]]</f>
        <v>54</v>
      </c>
      <c r="P248" s="4" t="str">
        <f>IF(Table1567[[#This Row],[Total Amount]]&gt;=1000,"High","Low")</f>
        <v>Low</v>
      </c>
      <c r="Q248" s="4" t="str" cm="1">
        <f t="array" ref="Q248">_xlfn.IFS(AND(Table1567[[#This Row],[Total Amount]]&gt;=1500,"Critical"),AND(Table1567[[#This Row],[Total Amount]]&gt;=1000,"High"),TRUE,"Normal")</f>
        <v>Normal</v>
      </c>
      <c r="R248" s="4" t="str">
        <f>CONCATENATE(Table1567[[#This Row],[Customer ID]], "-",Table1567[[#This Row],[Age]])</f>
        <v>CUST247-41</v>
      </c>
      <c r="S248" s="4" t="str">
        <f>TEXT(Table1567[[#This Row],[Date]],"mmm")</f>
        <v>Oct</v>
      </c>
      <c r="T248" s="4" t="str">
        <f>TEXT(Table1567[[#This Row],[Date]],"DDD")</f>
        <v>Wed</v>
      </c>
    </row>
    <row r="249" spans="1:20" ht="29" x14ac:dyDescent="0.35">
      <c r="A249" s="4">
        <v>248</v>
      </c>
      <c r="B249" s="5">
        <v>44994</v>
      </c>
      <c r="C249" s="4" t="s">
        <v>261</v>
      </c>
      <c r="D249" s="4" t="s">
        <v>10</v>
      </c>
      <c r="E249" s="4">
        <v>26</v>
      </c>
      <c r="F249" s="4" t="str">
        <f>IF(Table1567[[#This Row],[Age]]&lt;=19,"Teenager",IF(Table1567[[#This Row],[Age]]&lt;=40,"Median","Old"))</f>
        <v>Median</v>
      </c>
      <c r="G249" s="4" t="s">
        <v>14</v>
      </c>
      <c r="H249" s="4">
        <v>3</v>
      </c>
      <c r="I249" s="4">
        <v>300</v>
      </c>
      <c r="J249" s="4">
        <v>900</v>
      </c>
      <c r="K249" s="4" t="str" cm="1">
        <f t="array" ref="K249">_xlfn.IFS(AND(Table1567[[#This Row],[Total Amount]]&gt;=1500),"Critical",AND(Table1567[[#This Row],[Total Amount]]&gt;=1000),"High",TRUE,"Normal")</f>
        <v>Normal</v>
      </c>
      <c r="L249" s="4" t="str">
        <f>IF(Table1567[[#This Row],[Total Amount]]&gt;=1000,"High",(IF(Table1567[[#This Row],[Total Amount]]&gt;=500,"Medium","Low")))</f>
        <v>Medium</v>
      </c>
      <c r="M249" s="4" t="str" cm="1">
        <f t="array" ref="M24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49" s="4" cm="1">
        <f t="array" ref="N24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135</v>
      </c>
      <c r="O249" s="4">
        <f>Table1567[[#This Row],[Total Amount]]-Table1567[[#This Row],[Discount Amount]]</f>
        <v>765</v>
      </c>
      <c r="P249" s="4" t="str">
        <f>IF(Table1567[[#This Row],[Total Amount]]&gt;=1000,"High","Low")</f>
        <v>Low</v>
      </c>
      <c r="Q249" s="4" t="str" cm="1">
        <f t="array" ref="Q249">_xlfn.IFS(AND(Table1567[[#This Row],[Total Amount]]&gt;=1500,"Critical"),AND(Table1567[[#This Row],[Total Amount]]&gt;=1000,"High"),TRUE,"Normal")</f>
        <v>Normal</v>
      </c>
      <c r="R249" s="4" t="str">
        <f>CONCATENATE(Table1567[[#This Row],[Customer ID]], "-",Table1567[[#This Row],[Age]])</f>
        <v>CUST248-26</v>
      </c>
      <c r="S249" s="4" t="str">
        <f>TEXT(Table1567[[#This Row],[Date]],"mmm")</f>
        <v>Mar</v>
      </c>
      <c r="T249" s="4" t="str">
        <f>TEXT(Table1567[[#This Row],[Date]],"DDD")</f>
        <v>Thu</v>
      </c>
    </row>
    <row r="250" spans="1:20" ht="29" x14ac:dyDescent="0.35">
      <c r="A250" s="4">
        <v>249</v>
      </c>
      <c r="B250" s="5">
        <v>45219</v>
      </c>
      <c r="C250" s="4" t="s">
        <v>262</v>
      </c>
      <c r="D250" s="4" t="s">
        <v>10</v>
      </c>
      <c r="E250" s="4">
        <v>20</v>
      </c>
      <c r="F250" s="4" t="str">
        <f>IF(Table1567[[#This Row],[Age]]&lt;=19,"Teenager",IF(Table1567[[#This Row],[Age]]&lt;=40,"Median","Old"))</f>
        <v>Median</v>
      </c>
      <c r="G250" s="4" t="s">
        <v>14</v>
      </c>
      <c r="H250" s="4">
        <v>1</v>
      </c>
      <c r="I250" s="4">
        <v>50</v>
      </c>
      <c r="J250" s="4">
        <v>50</v>
      </c>
      <c r="K250" s="4" t="str" cm="1">
        <f t="array" ref="K250">_xlfn.IFS(AND(Table1567[[#This Row],[Total Amount]]&gt;=1500),"Critical",AND(Table1567[[#This Row],[Total Amount]]&gt;=1000),"High",TRUE,"Normal")</f>
        <v>Normal</v>
      </c>
      <c r="L250" s="4" t="str">
        <f>IF(Table1567[[#This Row],[Total Amount]]&gt;=1000,"High",(IF(Table1567[[#This Row],[Total Amount]]&gt;=500,"Medium","Low")))</f>
        <v>Low</v>
      </c>
      <c r="M250" s="4" t="str" cm="1">
        <f t="array" ref="M25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50" s="4" cm="1">
        <f t="array" ref="N25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50" s="4">
        <f>Table1567[[#This Row],[Total Amount]]-Table1567[[#This Row],[Discount Amount]]</f>
        <v>50</v>
      </c>
      <c r="P250" s="4" t="str">
        <f>IF(Table1567[[#This Row],[Total Amount]]&gt;=1000,"High","Low")</f>
        <v>Low</v>
      </c>
      <c r="Q250" s="4" t="str" cm="1">
        <f t="array" ref="Q250">_xlfn.IFS(AND(Table1567[[#This Row],[Total Amount]]&gt;=1500,"Critical"),AND(Table1567[[#This Row],[Total Amount]]&gt;=1000,"High"),TRUE,"Normal")</f>
        <v>Normal</v>
      </c>
      <c r="R250" s="4" t="str">
        <f>CONCATENATE(Table1567[[#This Row],[Customer ID]], "-",Table1567[[#This Row],[Age]])</f>
        <v>CUST249-20</v>
      </c>
      <c r="S250" s="4" t="str">
        <f>TEXT(Table1567[[#This Row],[Date]],"mmm")</f>
        <v>Oct</v>
      </c>
      <c r="T250" s="4" t="str">
        <f>TEXT(Table1567[[#This Row],[Date]],"DDD")</f>
        <v>Fri</v>
      </c>
    </row>
    <row r="251" spans="1:20" ht="29" x14ac:dyDescent="0.35">
      <c r="A251" s="4">
        <v>250</v>
      </c>
      <c r="B251" s="5">
        <v>45222</v>
      </c>
      <c r="C251" s="4" t="s">
        <v>263</v>
      </c>
      <c r="D251" s="4" t="s">
        <v>10</v>
      </c>
      <c r="E251" s="4">
        <v>48</v>
      </c>
      <c r="F251" s="4" t="str">
        <f>IF(Table1567[[#This Row],[Age]]&lt;=19,"Teenager",IF(Table1567[[#This Row],[Age]]&lt;=40,"Median","Old"))</f>
        <v>Old</v>
      </c>
      <c r="G251" s="4" t="s">
        <v>16</v>
      </c>
      <c r="H251" s="4">
        <v>1</v>
      </c>
      <c r="I251" s="4">
        <v>50</v>
      </c>
      <c r="J251" s="4">
        <v>50</v>
      </c>
      <c r="K251" s="4" t="str" cm="1">
        <f t="array" ref="K251">_xlfn.IFS(AND(Table1567[[#This Row],[Total Amount]]&gt;=1500),"Critical",AND(Table1567[[#This Row],[Total Amount]]&gt;=1000),"High",TRUE,"Normal")</f>
        <v>Normal</v>
      </c>
      <c r="L251" s="4" t="str">
        <f>IF(Table1567[[#This Row],[Total Amount]]&gt;=1000,"High",(IF(Table1567[[#This Row],[Total Amount]]&gt;=500,"Medium","Low")))</f>
        <v>Low</v>
      </c>
      <c r="M251" s="4" t="str" cm="1">
        <f t="array" ref="M25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51" s="4" cm="1">
        <f t="array" ref="N25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251" s="4">
        <f>Table1567[[#This Row],[Total Amount]]-Table1567[[#This Row],[Discount Amount]]</f>
        <v>45</v>
      </c>
      <c r="P251" s="4" t="str">
        <f>IF(Table1567[[#This Row],[Total Amount]]&gt;=1000,"High","Low")</f>
        <v>Low</v>
      </c>
      <c r="Q251" s="4" t="str" cm="1">
        <f t="array" ref="Q251">_xlfn.IFS(AND(Table1567[[#This Row],[Total Amount]]&gt;=1500,"Critical"),AND(Table1567[[#This Row],[Total Amount]]&gt;=1000,"High"),TRUE,"Normal")</f>
        <v>Normal</v>
      </c>
      <c r="R251" s="4" t="str">
        <f>CONCATENATE(Table1567[[#This Row],[Customer ID]], "-",Table1567[[#This Row],[Age]])</f>
        <v>CUST250-48</v>
      </c>
      <c r="S251" s="4" t="str">
        <f>TEXT(Table1567[[#This Row],[Date]],"mmm")</f>
        <v>Oct</v>
      </c>
      <c r="T251" s="4" t="str">
        <f>TEXT(Table1567[[#This Row],[Date]],"DDD")</f>
        <v>Mon</v>
      </c>
    </row>
    <row r="252" spans="1:20" ht="29" x14ac:dyDescent="0.35">
      <c r="A252" s="4">
        <v>251</v>
      </c>
      <c r="B252" s="5">
        <v>45169</v>
      </c>
      <c r="C252" s="4" t="s">
        <v>264</v>
      </c>
      <c r="D252" s="4" t="s">
        <v>13</v>
      </c>
      <c r="E252" s="4">
        <v>57</v>
      </c>
      <c r="F252" s="4" t="str">
        <f>IF(Table1567[[#This Row],[Age]]&lt;=19,"Teenager",IF(Table1567[[#This Row],[Age]]&lt;=40,"Median","Old"))</f>
        <v>Old</v>
      </c>
      <c r="G252" s="4" t="s">
        <v>11</v>
      </c>
      <c r="H252" s="4">
        <v>4</v>
      </c>
      <c r="I252" s="4">
        <v>50</v>
      </c>
      <c r="J252" s="4">
        <v>200</v>
      </c>
      <c r="K252" s="4" t="str" cm="1">
        <f t="array" ref="K252">_xlfn.IFS(AND(Table1567[[#This Row],[Total Amount]]&gt;=1500),"Critical",AND(Table1567[[#This Row],[Total Amount]]&gt;=1000),"High",TRUE,"Normal")</f>
        <v>Normal</v>
      </c>
      <c r="L252" s="4" t="str">
        <f>IF(Table1567[[#This Row],[Total Amount]]&gt;=1000,"High",(IF(Table1567[[#This Row],[Total Amount]]&gt;=500,"Medium","Low")))</f>
        <v>Low</v>
      </c>
      <c r="M252" s="4" t="str" cm="1">
        <f t="array" ref="M25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52" s="4" cm="1">
        <f t="array" ref="N25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</v>
      </c>
      <c r="O252" s="4">
        <f>Table1567[[#This Row],[Total Amount]]-Table1567[[#This Row],[Discount Amount]]</f>
        <v>160</v>
      </c>
      <c r="P252" s="4" t="str">
        <f>IF(Table1567[[#This Row],[Total Amount]]&gt;=1000,"High","Low")</f>
        <v>Low</v>
      </c>
      <c r="Q252" s="4" t="str" cm="1">
        <f t="array" ref="Q252">_xlfn.IFS(AND(Table1567[[#This Row],[Total Amount]]&gt;=1500,"Critical"),AND(Table1567[[#This Row],[Total Amount]]&gt;=1000,"High"),TRUE,"Normal")</f>
        <v>Normal</v>
      </c>
      <c r="R252" s="4" t="str">
        <f>CONCATENATE(Table1567[[#This Row],[Customer ID]], "-",Table1567[[#This Row],[Age]])</f>
        <v>CUST251-57</v>
      </c>
      <c r="S252" s="4" t="str">
        <f>TEXT(Table1567[[#This Row],[Date]],"mmm")</f>
        <v>Aug</v>
      </c>
      <c r="T252" s="4" t="str">
        <f>TEXT(Table1567[[#This Row],[Date]],"DDD")</f>
        <v>Thu</v>
      </c>
    </row>
    <row r="253" spans="1:20" ht="29" x14ac:dyDescent="0.35">
      <c r="A253" s="4">
        <v>252</v>
      </c>
      <c r="B253" s="5">
        <v>45051</v>
      </c>
      <c r="C253" s="4" t="s">
        <v>265</v>
      </c>
      <c r="D253" s="4" t="s">
        <v>10</v>
      </c>
      <c r="E253" s="4">
        <v>54</v>
      </c>
      <c r="F253" s="4" t="str">
        <f>IF(Table1567[[#This Row],[Age]]&lt;=19,"Teenager",IF(Table1567[[#This Row],[Age]]&lt;=40,"Median","Old"))</f>
        <v>Old</v>
      </c>
      <c r="G253" s="4" t="s">
        <v>16</v>
      </c>
      <c r="H253" s="4">
        <v>1</v>
      </c>
      <c r="I253" s="4">
        <v>300</v>
      </c>
      <c r="J253" s="4">
        <v>300</v>
      </c>
      <c r="K253" s="4" t="str" cm="1">
        <f t="array" ref="K253">_xlfn.IFS(AND(Table1567[[#This Row],[Total Amount]]&gt;=1500),"Critical",AND(Table1567[[#This Row],[Total Amount]]&gt;=1000),"High",TRUE,"Normal")</f>
        <v>Normal</v>
      </c>
      <c r="L253" s="4" t="str">
        <f>IF(Table1567[[#This Row],[Total Amount]]&gt;=1000,"High",(IF(Table1567[[#This Row],[Total Amount]]&gt;=500,"Medium","Low")))</f>
        <v>Low</v>
      </c>
      <c r="M253" s="4" t="str" cm="1">
        <f t="array" ref="M25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53" s="4" cm="1">
        <f t="array" ref="N25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253" s="4">
        <f>Table1567[[#This Row],[Total Amount]]-Table1567[[#This Row],[Discount Amount]]</f>
        <v>270</v>
      </c>
      <c r="P253" s="4" t="str">
        <f>IF(Table1567[[#This Row],[Total Amount]]&gt;=1000,"High","Low")</f>
        <v>Low</v>
      </c>
      <c r="Q253" s="4" t="str" cm="1">
        <f t="array" ref="Q253">_xlfn.IFS(AND(Table1567[[#This Row],[Total Amount]]&gt;=1500,"Critical"),AND(Table1567[[#This Row],[Total Amount]]&gt;=1000,"High"),TRUE,"Normal")</f>
        <v>Normal</v>
      </c>
      <c r="R253" s="4" t="str">
        <f>CONCATENATE(Table1567[[#This Row],[Customer ID]], "-",Table1567[[#This Row],[Age]])</f>
        <v>CUST252-54</v>
      </c>
      <c r="S253" s="4" t="str">
        <f>TEXT(Table1567[[#This Row],[Date]],"mmm")</f>
        <v>May</v>
      </c>
      <c r="T253" s="4" t="str">
        <f>TEXT(Table1567[[#This Row],[Date]],"DDD")</f>
        <v>Fri</v>
      </c>
    </row>
    <row r="254" spans="1:20" ht="29" x14ac:dyDescent="0.35">
      <c r="A254" s="4">
        <v>253</v>
      </c>
      <c r="B254" s="5">
        <v>45169</v>
      </c>
      <c r="C254" s="4" t="s">
        <v>266</v>
      </c>
      <c r="D254" s="4" t="s">
        <v>13</v>
      </c>
      <c r="E254" s="4">
        <v>53</v>
      </c>
      <c r="F254" s="4" t="str">
        <f>IF(Table1567[[#This Row],[Age]]&lt;=19,"Teenager",IF(Table1567[[#This Row],[Age]]&lt;=40,"Median","Old"))</f>
        <v>Old</v>
      </c>
      <c r="G254" s="4" t="s">
        <v>14</v>
      </c>
      <c r="H254" s="4">
        <v>4</v>
      </c>
      <c r="I254" s="4">
        <v>500</v>
      </c>
      <c r="J254" s="4">
        <v>2000</v>
      </c>
      <c r="K254" s="4" t="str" cm="1">
        <f t="array" ref="K254">_xlfn.IFS(AND(Table1567[[#This Row],[Total Amount]]&gt;=1500),"Critical",AND(Table1567[[#This Row],[Total Amount]]&gt;=1000),"High",TRUE,"Normal")</f>
        <v>Critical</v>
      </c>
      <c r="L254" s="4" t="str">
        <f>IF(Table1567[[#This Row],[Total Amount]]&gt;=1000,"High",(IF(Table1567[[#This Row],[Total Amount]]&gt;=500,"Medium","Low")))</f>
        <v>High</v>
      </c>
      <c r="M254" s="4" t="str" cm="1">
        <f t="array" ref="M25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54" s="4" cm="1">
        <f t="array" ref="N25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400</v>
      </c>
      <c r="O254" s="4">
        <f>Table1567[[#This Row],[Total Amount]]-Table1567[[#This Row],[Discount Amount]]</f>
        <v>1600</v>
      </c>
      <c r="P254" s="4" t="str">
        <f>IF(Table1567[[#This Row],[Total Amount]]&gt;=1000,"High","Low")</f>
        <v>High</v>
      </c>
      <c r="Q254" s="4" t="b" cm="1">
        <f t="array" ref="Q254">_xlfn.IFS(AND(Table1567[[#This Row],[Total Amount]]&gt;=1500,"Critical"),AND(Table1567[[#This Row],[Total Amount]]&gt;=1000,"High"),TRUE,"Normal")</f>
        <v>1</v>
      </c>
      <c r="R254" s="4" t="str">
        <f>CONCATENATE(Table1567[[#This Row],[Customer ID]], "-",Table1567[[#This Row],[Age]])</f>
        <v>CUST253-53</v>
      </c>
      <c r="S254" s="4" t="str">
        <f>TEXT(Table1567[[#This Row],[Date]],"mmm")</f>
        <v>Aug</v>
      </c>
      <c r="T254" s="4" t="str">
        <f>TEXT(Table1567[[#This Row],[Date]],"DDD")</f>
        <v>Thu</v>
      </c>
    </row>
    <row r="255" spans="1:20" ht="29" x14ac:dyDescent="0.35">
      <c r="A255" s="4">
        <v>254</v>
      </c>
      <c r="B255" s="5">
        <v>45135</v>
      </c>
      <c r="C255" s="4" t="s">
        <v>267</v>
      </c>
      <c r="D255" s="4" t="s">
        <v>10</v>
      </c>
      <c r="E255" s="4">
        <v>41</v>
      </c>
      <c r="F255" s="4" t="str">
        <f>IF(Table1567[[#This Row],[Age]]&lt;=19,"Teenager",IF(Table1567[[#This Row],[Age]]&lt;=40,"Median","Old"))</f>
        <v>Old</v>
      </c>
      <c r="G255" s="4" t="s">
        <v>16</v>
      </c>
      <c r="H255" s="4">
        <v>1</v>
      </c>
      <c r="I255" s="4">
        <v>500</v>
      </c>
      <c r="J255" s="4">
        <v>500</v>
      </c>
      <c r="K255" s="4" t="str" cm="1">
        <f t="array" ref="K255">_xlfn.IFS(AND(Table1567[[#This Row],[Total Amount]]&gt;=1500),"Critical",AND(Table1567[[#This Row],[Total Amount]]&gt;=1000),"High",TRUE,"Normal")</f>
        <v>Normal</v>
      </c>
      <c r="L255" s="4" t="str">
        <f>IF(Table1567[[#This Row],[Total Amount]]&gt;=1000,"High",(IF(Table1567[[#This Row],[Total Amount]]&gt;=500,"Medium","Low")))</f>
        <v>Medium</v>
      </c>
      <c r="M255" s="4" t="str" cm="1">
        <f t="array" ref="M25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55" s="4" cm="1">
        <f t="array" ref="N25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50</v>
      </c>
      <c r="O255" s="4">
        <f>Table1567[[#This Row],[Total Amount]]-Table1567[[#This Row],[Discount Amount]]</f>
        <v>450</v>
      </c>
      <c r="P255" s="4" t="str">
        <f>IF(Table1567[[#This Row],[Total Amount]]&gt;=1000,"High","Low")</f>
        <v>Low</v>
      </c>
      <c r="Q255" s="4" t="str" cm="1">
        <f t="array" ref="Q255">_xlfn.IFS(AND(Table1567[[#This Row],[Total Amount]]&gt;=1500,"Critical"),AND(Table1567[[#This Row],[Total Amount]]&gt;=1000,"High"),TRUE,"Normal")</f>
        <v>Normal</v>
      </c>
      <c r="R255" s="4" t="str">
        <f>CONCATENATE(Table1567[[#This Row],[Customer ID]], "-",Table1567[[#This Row],[Age]])</f>
        <v>CUST254-41</v>
      </c>
      <c r="S255" s="4" t="str">
        <f>TEXT(Table1567[[#This Row],[Date]],"mmm")</f>
        <v>Jul</v>
      </c>
      <c r="T255" s="4" t="str">
        <f>TEXT(Table1567[[#This Row],[Date]],"DDD")</f>
        <v>Fri</v>
      </c>
    </row>
    <row r="256" spans="1:20" ht="29" x14ac:dyDescent="0.35">
      <c r="A256" s="4">
        <v>255</v>
      </c>
      <c r="B256" s="5">
        <v>45024</v>
      </c>
      <c r="C256" s="4" t="s">
        <v>268</v>
      </c>
      <c r="D256" s="4" t="s">
        <v>10</v>
      </c>
      <c r="E256" s="4">
        <v>48</v>
      </c>
      <c r="F256" s="4" t="str">
        <f>IF(Table1567[[#This Row],[Age]]&lt;=19,"Teenager",IF(Table1567[[#This Row],[Age]]&lt;=40,"Median","Old"))</f>
        <v>Old</v>
      </c>
      <c r="G256" s="4" t="s">
        <v>14</v>
      </c>
      <c r="H256" s="4">
        <v>1</v>
      </c>
      <c r="I256" s="4">
        <v>30</v>
      </c>
      <c r="J256" s="4">
        <v>30</v>
      </c>
      <c r="K256" s="4" t="str" cm="1">
        <f t="array" ref="K256">_xlfn.IFS(AND(Table1567[[#This Row],[Total Amount]]&gt;=1500),"Critical",AND(Table1567[[#This Row],[Total Amount]]&gt;=1000),"High",TRUE,"Normal")</f>
        <v>Normal</v>
      </c>
      <c r="L256" s="4" t="str">
        <f>IF(Table1567[[#This Row],[Total Amount]]&gt;=1000,"High",(IF(Table1567[[#This Row],[Total Amount]]&gt;=500,"Medium","Low")))</f>
        <v>Low</v>
      </c>
      <c r="M256" s="4" t="str" cm="1">
        <f t="array" ref="M25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56" s="4" cm="1">
        <f t="array" ref="N25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</v>
      </c>
      <c r="O256" s="4">
        <f>Table1567[[#This Row],[Total Amount]]-Table1567[[#This Row],[Discount Amount]]</f>
        <v>27</v>
      </c>
      <c r="P256" s="4" t="str">
        <f>IF(Table1567[[#This Row],[Total Amount]]&gt;=1000,"High","Low")</f>
        <v>Low</v>
      </c>
      <c r="Q256" s="4" t="str" cm="1">
        <f t="array" ref="Q256">_xlfn.IFS(AND(Table1567[[#This Row],[Total Amount]]&gt;=1500,"Critical"),AND(Table1567[[#This Row],[Total Amount]]&gt;=1000,"High"),TRUE,"Normal")</f>
        <v>Normal</v>
      </c>
      <c r="R256" s="4" t="str">
        <f>CONCATENATE(Table1567[[#This Row],[Customer ID]], "-",Table1567[[#This Row],[Age]])</f>
        <v>CUST255-48</v>
      </c>
      <c r="S256" s="4" t="str">
        <f>TEXT(Table1567[[#This Row],[Date]],"mmm")</f>
        <v>Apr</v>
      </c>
      <c r="T256" s="4" t="str">
        <f>TEXT(Table1567[[#This Row],[Date]],"DDD")</f>
        <v>Sat</v>
      </c>
    </row>
    <row r="257" spans="1:20" ht="29" x14ac:dyDescent="0.35">
      <c r="A257" s="4">
        <v>256</v>
      </c>
      <c r="B257" s="5">
        <v>44975</v>
      </c>
      <c r="C257" s="4" t="s">
        <v>269</v>
      </c>
      <c r="D257" s="4" t="s">
        <v>10</v>
      </c>
      <c r="E257" s="4">
        <v>23</v>
      </c>
      <c r="F257" s="4" t="str">
        <f>IF(Table1567[[#This Row],[Age]]&lt;=19,"Teenager",IF(Table1567[[#This Row],[Age]]&lt;=40,"Median","Old"))</f>
        <v>Median</v>
      </c>
      <c r="G257" s="4" t="s">
        <v>14</v>
      </c>
      <c r="H257" s="4">
        <v>2</v>
      </c>
      <c r="I257" s="4">
        <v>500</v>
      </c>
      <c r="J257" s="4">
        <v>1000</v>
      </c>
      <c r="K257" s="4" t="str" cm="1">
        <f t="array" ref="K257">_xlfn.IFS(AND(Table1567[[#This Row],[Total Amount]]&gt;=1500),"Critical",AND(Table1567[[#This Row],[Total Amount]]&gt;=1000),"High",TRUE,"Normal")</f>
        <v>High</v>
      </c>
      <c r="L257" s="4" t="str">
        <f>IF(Table1567[[#This Row],[Total Amount]]&gt;=1000,"High",(IF(Table1567[[#This Row],[Total Amount]]&gt;=500,"Medium","Low")))</f>
        <v>High</v>
      </c>
      <c r="M257" s="4" t="str" cm="1">
        <f t="array" ref="M25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57" s="4" cm="1">
        <f t="array" ref="N25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57" s="4">
        <f>Table1567[[#This Row],[Total Amount]]-Table1567[[#This Row],[Discount Amount]]</f>
        <v>1000</v>
      </c>
      <c r="P257" s="4" t="str">
        <f>IF(Table1567[[#This Row],[Total Amount]]&gt;=1000,"High","Low")</f>
        <v>High</v>
      </c>
      <c r="Q257" s="4" t="str" cm="1">
        <f t="array" ref="Q257">_xlfn.IFS(AND(Table1567[[#This Row],[Total Amount]]&gt;=1500,"Critical"),AND(Table1567[[#This Row],[Total Amount]]&gt;=1000,"High"),TRUE,"Normal")</f>
        <v>Normal</v>
      </c>
      <c r="R257" s="4" t="str">
        <f>CONCATENATE(Table1567[[#This Row],[Customer ID]], "-",Table1567[[#This Row],[Age]])</f>
        <v>CUST256-23</v>
      </c>
      <c r="S257" s="4" t="str">
        <f>TEXT(Table1567[[#This Row],[Date]],"mmm")</f>
        <v>Feb</v>
      </c>
      <c r="T257" s="4" t="str">
        <f>TEXT(Table1567[[#This Row],[Date]],"DDD")</f>
        <v>Sat</v>
      </c>
    </row>
    <row r="258" spans="1:20" ht="29" x14ac:dyDescent="0.35">
      <c r="A258" s="4">
        <v>257</v>
      </c>
      <c r="B258" s="5">
        <v>44976</v>
      </c>
      <c r="C258" s="4" t="s">
        <v>270</v>
      </c>
      <c r="D258" s="4" t="s">
        <v>10</v>
      </c>
      <c r="E258" s="4">
        <v>19</v>
      </c>
      <c r="F258" s="4" t="str">
        <f>IF(Table1567[[#This Row],[Age]]&lt;=19,"Teenager",IF(Table1567[[#This Row],[Age]]&lt;=40,"Median","Old"))</f>
        <v>Teenager</v>
      </c>
      <c r="G258" s="4" t="s">
        <v>11</v>
      </c>
      <c r="H258" s="4">
        <v>4</v>
      </c>
      <c r="I258" s="4">
        <v>500</v>
      </c>
      <c r="J258" s="4">
        <v>2000</v>
      </c>
      <c r="K258" s="4" t="str" cm="1">
        <f t="array" ref="K258">_xlfn.IFS(AND(Table1567[[#This Row],[Total Amount]]&gt;=1500),"Critical",AND(Table1567[[#This Row],[Total Amount]]&gt;=1000),"High",TRUE,"Normal")</f>
        <v>Critical</v>
      </c>
      <c r="L258" s="4" t="str">
        <f>IF(Table1567[[#This Row],[Total Amount]]&gt;=1000,"High",(IF(Table1567[[#This Row],[Total Amount]]&gt;=500,"Medium","Low")))</f>
        <v>High</v>
      </c>
      <c r="M258" s="4" t="str" cm="1">
        <f t="array" ref="M25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58" s="4" cm="1">
        <f t="array" ref="N25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58" s="4">
        <f>Table1567[[#This Row],[Total Amount]]-Table1567[[#This Row],[Discount Amount]]</f>
        <v>2000</v>
      </c>
      <c r="P258" s="4" t="str">
        <f>IF(Table1567[[#This Row],[Total Amount]]&gt;=1000,"High","Low")</f>
        <v>High</v>
      </c>
      <c r="Q258" s="4" t="b" cm="1">
        <f t="array" ref="Q258">_xlfn.IFS(AND(Table1567[[#This Row],[Total Amount]]&gt;=1500,"Critical"),AND(Table1567[[#This Row],[Total Amount]]&gt;=1000,"High"),TRUE,"Normal")</f>
        <v>1</v>
      </c>
      <c r="R258" s="4" t="str">
        <f>CONCATENATE(Table1567[[#This Row],[Customer ID]], "-",Table1567[[#This Row],[Age]])</f>
        <v>CUST257-19</v>
      </c>
      <c r="S258" s="4" t="str">
        <f>TEXT(Table1567[[#This Row],[Date]],"mmm")</f>
        <v>Feb</v>
      </c>
      <c r="T258" s="4" t="str">
        <f>TEXT(Table1567[[#This Row],[Date]],"DDD")</f>
        <v>Sun</v>
      </c>
    </row>
    <row r="259" spans="1:20" ht="29" x14ac:dyDescent="0.35">
      <c r="A259" s="4">
        <v>258</v>
      </c>
      <c r="B259" s="5">
        <v>45264</v>
      </c>
      <c r="C259" s="4" t="s">
        <v>271</v>
      </c>
      <c r="D259" s="4" t="s">
        <v>13</v>
      </c>
      <c r="E259" s="4">
        <v>37</v>
      </c>
      <c r="F259" s="4" t="str">
        <f>IF(Table1567[[#This Row],[Age]]&lt;=19,"Teenager",IF(Table1567[[#This Row],[Age]]&lt;=40,"Median","Old"))</f>
        <v>Median</v>
      </c>
      <c r="G259" s="4" t="s">
        <v>14</v>
      </c>
      <c r="H259" s="4">
        <v>1</v>
      </c>
      <c r="I259" s="4">
        <v>50</v>
      </c>
      <c r="J259" s="4">
        <v>50</v>
      </c>
      <c r="K259" s="4" t="str" cm="1">
        <f t="array" ref="K259">_xlfn.IFS(AND(Table1567[[#This Row],[Total Amount]]&gt;=1500),"Critical",AND(Table1567[[#This Row],[Total Amount]]&gt;=1000),"High",TRUE,"Normal")</f>
        <v>Normal</v>
      </c>
      <c r="L259" s="4" t="str">
        <f>IF(Table1567[[#This Row],[Total Amount]]&gt;=1000,"High",(IF(Table1567[[#This Row],[Total Amount]]&gt;=500,"Medium","Low")))</f>
        <v>Low</v>
      </c>
      <c r="M259" s="4" t="str" cm="1">
        <f t="array" ref="M25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59" s="4" cm="1">
        <f t="array" ref="N25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259" s="4">
        <f>Table1567[[#This Row],[Total Amount]]-Table1567[[#This Row],[Discount Amount]]</f>
        <v>40</v>
      </c>
      <c r="P259" s="4" t="str">
        <f>IF(Table1567[[#This Row],[Total Amount]]&gt;=1000,"High","Low")</f>
        <v>Low</v>
      </c>
      <c r="Q259" s="4" t="str" cm="1">
        <f t="array" ref="Q259">_xlfn.IFS(AND(Table1567[[#This Row],[Total Amount]]&gt;=1500,"Critical"),AND(Table1567[[#This Row],[Total Amount]]&gt;=1000,"High"),TRUE,"Normal")</f>
        <v>Normal</v>
      </c>
      <c r="R259" s="4" t="str">
        <f>CONCATENATE(Table1567[[#This Row],[Customer ID]], "-",Table1567[[#This Row],[Age]])</f>
        <v>CUST258-37</v>
      </c>
      <c r="S259" s="4" t="str">
        <f>TEXT(Table1567[[#This Row],[Date]],"mmm")</f>
        <v>Dec</v>
      </c>
      <c r="T259" s="4" t="str">
        <f>TEXT(Table1567[[#This Row],[Date]],"DDD")</f>
        <v>Mon</v>
      </c>
    </row>
    <row r="260" spans="1:20" ht="29" x14ac:dyDescent="0.35">
      <c r="A260" s="4">
        <v>259</v>
      </c>
      <c r="B260" s="5">
        <v>45147</v>
      </c>
      <c r="C260" s="4" t="s">
        <v>272</v>
      </c>
      <c r="D260" s="4" t="s">
        <v>13</v>
      </c>
      <c r="E260" s="4">
        <v>45</v>
      </c>
      <c r="F260" s="4" t="str">
        <f>IF(Table1567[[#This Row],[Age]]&lt;=19,"Teenager",IF(Table1567[[#This Row],[Age]]&lt;=40,"Median","Old"))</f>
        <v>Old</v>
      </c>
      <c r="G260" s="4" t="s">
        <v>14</v>
      </c>
      <c r="H260" s="4">
        <v>4</v>
      </c>
      <c r="I260" s="4">
        <v>50</v>
      </c>
      <c r="J260" s="4">
        <v>200</v>
      </c>
      <c r="K260" s="4" t="str" cm="1">
        <f t="array" ref="K260">_xlfn.IFS(AND(Table1567[[#This Row],[Total Amount]]&gt;=1500),"Critical",AND(Table1567[[#This Row],[Total Amount]]&gt;=1000),"High",TRUE,"Normal")</f>
        <v>Normal</v>
      </c>
      <c r="L260" s="4" t="str">
        <f>IF(Table1567[[#This Row],[Total Amount]]&gt;=1000,"High",(IF(Table1567[[#This Row],[Total Amount]]&gt;=500,"Medium","Low")))</f>
        <v>Low</v>
      </c>
      <c r="M260" s="4" t="str" cm="1">
        <f t="array" ref="M26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60" s="4" cm="1">
        <f t="array" ref="N26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</v>
      </c>
      <c r="O260" s="4">
        <f>Table1567[[#This Row],[Total Amount]]-Table1567[[#This Row],[Discount Amount]]</f>
        <v>160</v>
      </c>
      <c r="P260" s="4" t="str">
        <f>IF(Table1567[[#This Row],[Total Amount]]&gt;=1000,"High","Low")</f>
        <v>Low</v>
      </c>
      <c r="Q260" s="4" t="str" cm="1">
        <f t="array" ref="Q260">_xlfn.IFS(AND(Table1567[[#This Row],[Total Amount]]&gt;=1500,"Critical"),AND(Table1567[[#This Row],[Total Amount]]&gt;=1000,"High"),TRUE,"Normal")</f>
        <v>Normal</v>
      </c>
      <c r="R260" s="4" t="str">
        <f>CONCATENATE(Table1567[[#This Row],[Customer ID]], "-",Table1567[[#This Row],[Age]])</f>
        <v>CUST259-45</v>
      </c>
      <c r="S260" s="4" t="str">
        <f>TEXT(Table1567[[#This Row],[Date]],"mmm")</f>
        <v>Aug</v>
      </c>
      <c r="T260" s="4" t="str">
        <f>TEXT(Table1567[[#This Row],[Date]],"DDD")</f>
        <v>Wed</v>
      </c>
    </row>
    <row r="261" spans="1:20" ht="29" x14ac:dyDescent="0.35">
      <c r="A261" s="4">
        <v>260</v>
      </c>
      <c r="B261" s="5">
        <v>45108</v>
      </c>
      <c r="C261" s="4" t="s">
        <v>273</v>
      </c>
      <c r="D261" s="4" t="s">
        <v>10</v>
      </c>
      <c r="E261" s="4">
        <v>28</v>
      </c>
      <c r="F261" s="4" t="str">
        <f>IF(Table1567[[#This Row],[Age]]&lt;=19,"Teenager",IF(Table1567[[#This Row],[Age]]&lt;=40,"Median","Old"))</f>
        <v>Median</v>
      </c>
      <c r="G261" s="4" t="s">
        <v>11</v>
      </c>
      <c r="H261" s="4">
        <v>2</v>
      </c>
      <c r="I261" s="4">
        <v>30</v>
      </c>
      <c r="J261" s="4">
        <v>60</v>
      </c>
      <c r="K261" s="4" t="str" cm="1">
        <f t="array" ref="K261">_xlfn.IFS(AND(Table1567[[#This Row],[Total Amount]]&gt;=1500),"Critical",AND(Table1567[[#This Row],[Total Amount]]&gt;=1000),"High",TRUE,"Normal")</f>
        <v>Normal</v>
      </c>
      <c r="L261" s="4" t="str">
        <f>IF(Table1567[[#This Row],[Total Amount]]&gt;=1000,"High",(IF(Table1567[[#This Row],[Total Amount]]&gt;=500,"Medium","Low")))</f>
        <v>Low</v>
      </c>
      <c r="M261" s="4" t="str" cm="1">
        <f t="array" ref="M26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61" s="4" cm="1">
        <f t="array" ref="N26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</v>
      </c>
      <c r="O261" s="4">
        <f>Table1567[[#This Row],[Total Amount]]-Table1567[[#This Row],[Discount Amount]]</f>
        <v>51</v>
      </c>
      <c r="P261" s="4" t="str">
        <f>IF(Table1567[[#This Row],[Total Amount]]&gt;=1000,"High","Low")</f>
        <v>Low</v>
      </c>
      <c r="Q261" s="4" t="str" cm="1">
        <f t="array" ref="Q261">_xlfn.IFS(AND(Table1567[[#This Row],[Total Amount]]&gt;=1500,"Critical"),AND(Table1567[[#This Row],[Total Amount]]&gt;=1000,"High"),TRUE,"Normal")</f>
        <v>Normal</v>
      </c>
      <c r="R261" s="4" t="str">
        <f>CONCATENATE(Table1567[[#This Row],[Customer ID]], "-",Table1567[[#This Row],[Age]])</f>
        <v>CUST260-28</v>
      </c>
      <c r="S261" s="4" t="str">
        <f>TEXT(Table1567[[#This Row],[Date]],"mmm")</f>
        <v>Jul</v>
      </c>
      <c r="T261" s="4" t="str">
        <f>TEXT(Table1567[[#This Row],[Date]],"DDD")</f>
        <v>Sat</v>
      </c>
    </row>
    <row r="262" spans="1:20" ht="29" x14ac:dyDescent="0.35">
      <c r="A262" s="4">
        <v>261</v>
      </c>
      <c r="B262" s="5">
        <v>45143</v>
      </c>
      <c r="C262" s="4" t="s">
        <v>274</v>
      </c>
      <c r="D262" s="4" t="s">
        <v>10</v>
      </c>
      <c r="E262" s="4">
        <v>21</v>
      </c>
      <c r="F262" s="4" t="str">
        <f>IF(Table1567[[#This Row],[Age]]&lt;=19,"Teenager",IF(Table1567[[#This Row],[Age]]&lt;=40,"Median","Old"))</f>
        <v>Median</v>
      </c>
      <c r="G262" s="4" t="s">
        <v>14</v>
      </c>
      <c r="H262" s="4">
        <v>2</v>
      </c>
      <c r="I262" s="4">
        <v>25</v>
      </c>
      <c r="J262" s="4">
        <v>50</v>
      </c>
      <c r="K262" s="4" t="str" cm="1">
        <f t="array" ref="K262">_xlfn.IFS(AND(Table1567[[#This Row],[Total Amount]]&gt;=1500),"Critical",AND(Table1567[[#This Row],[Total Amount]]&gt;=1000),"High",TRUE,"Normal")</f>
        <v>Normal</v>
      </c>
      <c r="L262" s="4" t="str">
        <f>IF(Table1567[[#This Row],[Total Amount]]&gt;=1000,"High",(IF(Table1567[[#This Row],[Total Amount]]&gt;=500,"Medium","Low")))</f>
        <v>Low</v>
      </c>
      <c r="M262" s="4" t="str" cm="1">
        <f t="array" ref="M26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62" s="4" cm="1">
        <f t="array" ref="N26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62" s="4">
        <f>Table1567[[#This Row],[Total Amount]]-Table1567[[#This Row],[Discount Amount]]</f>
        <v>50</v>
      </c>
      <c r="P262" s="4" t="str">
        <f>IF(Table1567[[#This Row],[Total Amount]]&gt;=1000,"High","Low")</f>
        <v>Low</v>
      </c>
      <c r="Q262" s="4" t="str" cm="1">
        <f t="array" ref="Q262">_xlfn.IFS(AND(Table1567[[#This Row],[Total Amount]]&gt;=1500,"Critical"),AND(Table1567[[#This Row],[Total Amount]]&gt;=1000,"High"),TRUE,"Normal")</f>
        <v>Normal</v>
      </c>
      <c r="R262" s="4" t="str">
        <f>CONCATENATE(Table1567[[#This Row],[Customer ID]], "-",Table1567[[#This Row],[Age]])</f>
        <v>CUST261-21</v>
      </c>
      <c r="S262" s="4" t="str">
        <f>TEXT(Table1567[[#This Row],[Date]],"mmm")</f>
        <v>Aug</v>
      </c>
      <c r="T262" s="4" t="str">
        <f>TEXT(Table1567[[#This Row],[Date]],"DDD")</f>
        <v>Sat</v>
      </c>
    </row>
    <row r="263" spans="1:20" ht="29" x14ac:dyDescent="0.35">
      <c r="A263" s="4">
        <v>262</v>
      </c>
      <c r="B263" s="5">
        <v>45137</v>
      </c>
      <c r="C263" s="4" t="s">
        <v>275</v>
      </c>
      <c r="D263" s="4" t="s">
        <v>13</v>
      </c>
      <c r="E263" s="4">
        <v>32</v>
      </c>
      <c r="F263" s="4" t="str">
        <f>IF(Table1567[[#This Row],[Age]]&lt;=19,"Teenager",IF(Table1567[[#This Row],[Age]]&lt;=40,"Median","Old"))</f>
        <v>Median</v>
      </c>
      <c r="G263" s="4" t="s">
        <v>11</v>
      </c>
      <c r="H263" s="4">
        <v>4</v>
      </c>
      <c r="I263" s="4">
        <v>30</v>
      </c>
      <c r="J263" s="4">
        <v>120</v>
      </c>
      <c r="K263" s="4" t="str" cm="1">
        <f t="array" ref="K263">_xlfn.IFS(AND(Table1567[[#This Row],[Total Amount]]&gt;=1500),"Critical",AND(Table1567[[#This Row],[Total Amount]]&gt;=1000),"High",TRUE,"Normal")</f>
        <v>Normal</v>
      </c>
      <c r="L263" s="4" t="str">
        <f>IF(Table1567[[#This Row],[Total Amount]]&gt;=1000,"High",(IF(Table1567[[#This Row],[Total Amount]]&gt;=500,"Medium","Low")))</f>
        <v>Low</v>
      </c>
      <c r="M263" s="4" t="str" cm="1">
        <f t="array" ref="M26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63" s="4" cm="1">
        <f t="array" ref="N26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263" s="4">
        <f>Table1567[[#This Row],[Total Amount]]-Table1567[[#This Row],[Discount Amount]]</f>
        <v>102</v>
      </c>
      <c r="P263" s="4" t="str">
        <f>IF(Table1567[[#This Row],[Total Amount]]&gt;=1000,"High","Low")</f>
        <v>Low</v>
      </c>
      <c r="Q263" s="4" t="str" cm="1">
        <f t="array" ref="Q263">_xlfn.IFS(AND(Table1567[[#This Row],[Total Amount]]&gt;=1500,"Critical"),AND(Table1567[[#This Row],[Total Amount]]&gt;=1000,"High"),TRUE,"Normal")</f>
        <v>Normal</v>
      </c>
      <c r="R263" s="4" t="str">
        <f>CONCATENATE(Table1567[[#This Row],[Customer ID]], "-",Table1567[[#This Row],[Age]])</f>
        <v>CUST262-32</v>
      </c>
      <c r="S263" s="4" t="str">
        <f>TEXT(Table1567[[#This Row],[Date]],"mmm")</f>
        <v>Jul</v>
      </c>
      <c r="T263" s="4" t="str">
        <f>TEXT(Table1567[[#This Row],[Date]],"DDD")</f>
        <v>Sun</v>
      </c>
    </row>
    <row r="264" spans="1:20" ht="29" x14ac:dyDescent="0.35">
      <c r="A264" s="4">
        <v>263</v>
      </c>
      <c r="B264" s="5">
        <v>45166</v>
      </c>
      <c r="C264" s="4" t="s">
        <v>276</v>
      </c>
      <c r="D264" s="4" t="s">
        <v>10</v>
      </c>
      <c r="E264" s="4">
        <v>23</v>
      </c>
      <c r="F264" s="4" t="str">
        <f>IF(Table1567[[#This Row],[Age]]&lt;=19,"Teenager",IF(Table1567[[#This Row],[Age]]&lt;=40,"Median","Old"))</f>
        <v>Median</v>
      </c>
      <c r="G264" s="4" t="s">
        <v>11</v>
      </c>
      <c r="H264" s="4">
        <v>2</v>
      </c>
      <c r="I264" s="4">
        <v>30</v>
      </c>
      <c r="J264" s="4">
        <v>60</v>
      </c>
      <c r="K264" s="4" t="str" cm="1">
        <f t="array" ref="K264">_xlfn.IFS(AND(Table1567[[#This Row],[Total Amount]]&gt;=1500),"Critical",AND(Table1567[[#This Row],[Total Amount]]&gt;=1000),"High",TRUE,"Normal")</f>
        <v>Normal</v>
      </c>
      <c r="L264" s="4" t="str">
        <f>IF(Table1567[[#This Row],[Total Amount]]&gt;=1000,"High",(IF(Table1567[[#This Row],[Total Amount]]&gt;=500,"Medium","Low")))</f>
        <v>Low</v>
      </c>
      <c r="M264" s="4" t="str" cm="1">
        <f t="array" ref="M26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64" s="4" cm="1">
        <f t="array" ref="N26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64" s="4">
        <f>Table1567[[#This Row],[Total Amount]]-Table1567[[#This Row],[Discount Amount]]</f>
        <v>60</v>
      </c>
      <c r="P264" s="4" t="str">
        <f>IF(Table1567[[#This Row],[Total Amount]]&gt;=1000,"High","Low")</f>
        <v>Low</v>
      </c>
      <c r="Q264" s="4" t="str" cm="1">
        <f t="array" ref="Q264">_xlfn.IFS(AND(Table1567[[#This Row],[Total Amount]]&gt;=1500,"Critical"),AND(Table1567[[#This Row],[Total Amount]]&gt;=1000,"High"),TRUE,"Normal")</f>
        <v>Normal</v>
      </c>
      <c r="R264" s="4" t="str">
        <f>CONCATENATE(Table1567[[#This Row],[Customer ID]], "-",Table1567[[#This Row],[Age]])</f>
        <v>CUST263-23</v>
      </c>
      <c r="S264" s="4" t="str">
        <f>TEXT(Table1567[[#This Row],[Date]],"mmm")</f>
        <v>Aug</v>
      </c>
      <c r="T264" s="4" t="str">
        <f>TEXT(Table1567[[#This Row],[Date]],"DDD")</f>
        <v>Mon</v>
      </c>
    </row>
    <row r="265" spans="1:20" ht="29" x14ac:dyDescent="0.35">
      <c r="A265" s="4">
        <v>264</v>
      </c>
      <c r="B265" s="5">
        <v>44954</v>
      </c>
      <c r="C265" s="4" t="s">
        <v>277</v>
      </c>
      <c r="D265" s="4" t="s">
        <v>10</v>
      </c>
      <c r="E265" s="4">
        <v>47</v>
      </c>
      <c r="F265" s="4" t="str">
        <f>IF(Table1567[[#This Row],[Age]]&lt;=19,"Teenager",IF(Table1567[[#This Row],[Age]]&lt;=40,"Median","Old"))</f>
        <v>Old</v>
      </c>
      <c r="G265" s="4" t="s">
        <v>14</v>
      </c>
      <c r="H265" s="4">
        <v>3</v>
      </c>
      <c r="I265" s="4">
        <v>300</v>
      </c>
      <c r="J265" s="4">
        <v>900</v>
      </c>
      <c r="K265" s="4" t="str" cm="1">
        <f t="array" ref="K265">_xlfn.IFS(AND(Table1567[[#This Row],[Total Amount]]&gt;=1500),"Critical",AND(Table1567[[#This Row],[Total Amount]]&gt;=1000),"High",TRUE,"Normal")</f>
        <v>Normal</v>
      </c>
      <c r="L265" s="4" t="str">
        <f>IF(Table1567[[#This Row],[Total Amount]]&gt;=1000,"High",(IF(Table1567[[#This Row],[Total Amount]]&gt;=500,"Medium","Low")))</f>
        <v>Medium</v>
      </c>
      <c r="M265" s="4" t="str" cm="1">
        <f t="array" ref="M26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65" s="4" cm="1">
        <f t="array" ref="N26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265" s="4">
        <f>Table1567[[#This Row],[Total Amount]]-Table1567[[#This Row],[Discount Amount]]</f>
        <v>810</v>
      </c>
      <c r="P265" s="4" t="str">
        <f>IF(Table1567[[#This Row],[Total Amount]]&gt;=1000,"High","Low")</f>
        <v>Low</v>
      </c>
      <c r="Q265" s="4" t="str" cm="1">
        <f t="array" ref="Q265">_xlfn.IFS(AND(Table1567[[#This Row],[Total Amount]]&gt;=1500,"Critical"),AND(Table1567[[#This Row],[Total Amount]]&gt;=1000,"High"),TRUE,"Normal")</f>
        <v>Normal</v>
      </c>
      <c r="R265" s="4" t="str">
        <f>CONCATENATE(Table1567[[#This Row],[Customer ID]], "-",Table1567[[#This Row],[Age]])</f>
        <v>CUST264-47</v>
      </c>
      <c r="S265" s="4" t="str">
        <f>TEXT(Table1567[[#This Row],[Date]],"mmm")</f>
        <v>Jan</v>
      </c>
      <c r="T265" s="4" t="str">
        <f>TEXT(Table1567[[#This Row],[Date]],"DDD")</f>
        <v>Sat</v>
      </c>
    </row>
    <row r="266" spans="1:20" ht="29" x14ac:dyDescent="0.35">
      <c r="A266" s="4">
        <v>265</v>
      </c>
      <c r="B266" s="5">
        <v>45271</v>
      </c>
      <c r="C266" s="4" t="s">
        <v>278</v>
      </c>
      <c r="D266" s="4" t="s">
        <v>10</v>
      </c>
      <c r="E266" s="4">
        <v>55</v>
      </c>
      <c r="F266" s="4" t="str">
        <f>IF(Table1567[[#This Row],[Age]]&lt;=19,"Teenager",IF(Table1567[[#This Row],[Age]]&lt;=40,"Median","Old"))</f>
        <v>Old</v>
      </c>
      <c r="G266" s="4" t="s">
        <v>14</v>
      </c>
      <c r="H266" s="4">
        <v>3</v>
      </c>
      <c r="I266" s="4">
        <v>300</v>
      </c>
      <c r="J266" s="4">
        <v>900</v>
      </c>
      <c r="K266" s="4" t="str" cm="1">
        <f t="array" ref="K266">_xlfn.IFS(AND(Table1567[[#This Row],[Total Amount]]&gt;=1500),"Critical",AND(Table1567[[#This Row],[Total Amount]]&gt;=1000),"High",TRUE,"Normal")</f>
        <v>Normal</v>
      </c>
      <c r="L266" s="4" t="str">
        <f>IF(Table1567[[#This Row],[Total Amount]]&gt;=1000,"High",(IF(Table1567[[#This Row],[Total Amount]]&gt;=500,"Medium","Low")))</f>
        <v>Medium</v>
      </c>
      <c r="M266" s="4" t="str" cm="1">
        <f t="array" ref="M26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66" s="4" cm="1">
        <f t="array" ref="N26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266" s="4">
        <f>Table1567[[#This Row],[Total Amount]]-Table1567[[#This Row],[Discount Amount]]</f>
        <v>810</v>
      </c>
      <c r="P266" s="4" t="str">
        <f>IF(Table1567[[#This Row],[Total Amount]]&gt;=1000,"High","Low")</f>
        <v>Low</v>
      </c>
      <c r="Q266" s="4" t="str" cm="1">
        <f t="array" ref="Q266">_xlfn.IFS(AND(Table1567[[#This Row],[Total Amount]]&gt;=1500,"Critical"),AND(Table1567[[#This Row],[Total Amount]]&gt;=1000,"High"),TRUE,"Normal")</f>
        <v>Normal</v>
      </c>
      <c r="R266" s="4" t="str">
        <f>CONCATENATE(Table1567[[#This Row],[Customer ID]], "-",Table1567[[#This Row],[Age]])</f>
        <v>CUST265-55</v>
      </c>
      <c r="S266" s="4" t="str">
        <f>TEXT(Table1567[[#This Row],[Date]],"mmm")</f>
        <v>Dec</v>
      </c>
      <c r="T266" s="4" t="str">
        <f>TEXT(Table1567[[#This Row],[Date]],"DDD")</f>
        <v>Mon</v>
      </c>
    </row>
    <row r="267" spans="1:20" ht="29" x14ac:dyDescent="0.35">
      <c r="A267" s="4">
        <v>266</v>
      </c>
      <c r="B267" s="5">
        <v>45261</v>
      </c>
      <c r="C267" s="4" t="s">
        <v>279</v>
      </c>
      <c r="D267" s="4" t="s">
        <v>13</v>
      </c>
      <c r="E267" s="4">
        <v>19</v>
      </c>
      <c r="F267" s="4" t="str">
        <f>IF(Table1567[[#This Row],[Age]]&lt;=19,"Teenager",IF(Table1567[[#This Row],[Age]]&lt;=40,"Median","Old"))</f>
        <v>Teenager</v>
      </c>
      <c r="G267" s="4" t="s">
        <v>16</v>
      </c>
      <c r="H267" s="4">
        <v>2</v>
      </c>
      <c r="I267" s="4">
        <v>30</v>
      </c>
      <c r="J267" s="4">
        <v>60</v>
      </c>
      <c r="K267" s="4" t="str" cm="1">
        <f t="array" ref="K267">_xlfn.IFS(AND(Table1567[[#This Row],[Total Amount]]&gt;=1500),"Critical",AND(Table1567[[#This Row],[Total Amount]]&gt;=1000),"High",TRUE,"Normal")</f>
        <v>Normal</v>
      </c>
      <c r="L267" s="4" t="str">
        <f>IF(Table1567[[#This Row],[Total Amount]]&gt;=1000,"High",(IF(Table1567[[#This Row],[Total Amount]]&gt;=500,"Medium","Low")))</f>
        <v>Low</v>
      </c>
      <c r="M267" s="4" t="str" cm="1">
        <f t="array" ref="M26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67" s="4" cm="1">
        <f t="array" ref="N26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67" s="4">
        <f>Table1567[[#This Row],[Total Amount]]-Table1567[[#This Row],[Discount Amount]]</f>
        <v>60</v>
      </c>
      <c r="P267" s="4" t="str">
        <f>IF(Table1567[[#This Row],[Total Amount]]&gt;=1000,"High","Low")</f>
        <v>Low</v>
      </c>
      <c r="Q267" s="4" t="str" cm="1">
        <f t="array" ref="Q267">_xlfn.IFS(AND(Table1567[[#This Row],[Total Amount]]&gt;=1500,"Critical"),AND(Table1567[[#This Row],[Total Amount]]&gt;=1000,"High"),TRUE,"Normal")</f>
        <v>Normal</v>
      </c>
      <c r="R267" s="4" t="str">
        <f>CONCATENATE(Table1567[[#This Row],[Customer ID]], "-",Table1567[[#This Row],[Age]])</f>
        <v>CUST266-19</v>
      </c>
      <c r="S267" s="4" t="str">
        <f>TEXT(Table1567[[#This Row],[Date]],"mmm")</f>
        <v>Dec</v>
      </c>
      <c r="T267" s="4" t="str">
        <f>TEXT(Table1567[[#This Row],[Date]],"DDD")</f>
        <v>Fri</v>
      </c>
    </row>
    <row r="268" spans="1:20" ht="29" x14ac:dyDescent="0.35">
      <c r="A268" s="4">
        <v>267</v>
      </c>
      <c r="B268" s="5">
        <v>45257</v>
      </c>
      <c r="C268" s="4" t="s">
        <v>280</v>
      </c>
      <c r="D268" s="4" t="s">
        <v>13</v>
      </c>
      <c r="E268" s="4">
        <v>32</v>
      </c>
      <c r="F268" s="4" t="str">
        <f>IF(Table1567[[#This Row],[Age]]&lt;=19,"Teenager",IF(Table1567[[#This Row],[Age]]&lt;=40,"Median","Old"))</f>
        <v>Median</v>
      </c>
      <c r="G268" s="4" t="s">
        <v>11</v>
      </c>
      <c r="H268" s="4">
        <v>3</v>
      </c>
      <c r="I268" s="4">
        <v>30</v>
      </c>
      <c r="J268" s="4">
        <v>90</v>
      </c>
      <c r="K268" s="4" t="str" cm="1">
        <f t="array" ref="K268">_xlfn.IFS(AND(Table1567[[#This Row],[Total Amount]]&gt;=1500),"Critical",AND(Table1567[[#This Row],[Total Amount]]&gt;=1000),"High",TRUE,"Normal")</f>
        <v>Normal</v>
      </c>
      <c r="L268" s="4" t="str">
        <f>IF(Table1567[[#This Row],[Total Amount]]&gt;=1000,"High",(IF(Table1567[[#This Row],[Total Amount]]&gt;=500,"Medium","Low")))</f>
        <v>Low</v>
      </c>
      <c r="M268" s="4" t="str" cm="1">
        <f t="array" ref="M26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68" s="4" cm="1">
        <f t="array" ref="N26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13.5</v>
      </c>
      <c r="O268" s="4">
        <f>Table1567[[#This Row],[Total Amount]]-Table1567[[#This Row],[Discount Amount]]</f>
        <v>76.5</v>
      </c>
      <c r="P268" s="4" t="str">
        <f>IF(Table1567[[#This Row],[Total Amount]]&gt;=1000,"High","Low")</f>
        <v>Low</v>
      </c>
      <c r="Q268" s="4" t="str" cm="1">
        <f t="array" ref="Q268">_xlfn.IFS(AND(Table1567[[#This Row],[Total Amount]]&gt;=1500,"Critical"),AND(Table1567[[#This Row],[Total Amount]]&gt;=1000,"High"),TRUE,"Normal")</f>
        <v>Normal</v>
      </c>
      <c r="R268" s="4" t="str">
        <f>CONCATENATE(Table1567[[#This Row],[Customer ID]], "-",Table1567[[#This Row],[Age]])</f>
        <v>CUST267-32</v>
      </c>
      <c r="S268" s="4" t="str">
        <f>TEXT(Table1567[[#This Row],[Date]],"mmm")</f>
        <v>Nov</v>
      </c>
      <c r="T268" s="4" t="str">
        <f>TEXT(Table1567[[#This Row],[Date]],"DDD")</f>
        <v>Mon</v>
      </c>
    </row>
    <row r="269" spans="1:20" ht="29" x14ac:dyDescent="0.35">
      <c r="A269" s="4">
        <v>268</v>
      </c>
      <c r="B269" s="5">
        <v>44977</v>
      </c>
      <c r="C269" s="4" t="s">
        <v>281</v>
      </c>
      <c r="D269" s="4" t="s">
        <v>13</v>
      </c>
      <c r="E269" s="4">
        <v>28</v>
      </c>
      <c r="F269" s="4" t="str">
        <f>IF(Table1567[[#This Row],[Age]]&lt;=19,"Teenager",IF(Table1567[[#This Row],[Age]]&lt;=40,"Median","Old"))</f>
        <v>Median</v>
      </c>
      <c r="G269" s="4" t="s">
        <v>16</v>
      </c>
      <c r="H269" s="4">
        <v>1</v>
      </c>
      <c r="I269" s="4">
        <v>30</v>
      </c>
      <c r="J269" s="4">
        <v>30</v>
      </c>
      <c r="K269" s="4" t="str" cm="1">
        <f t="array" ref="K269">_xlfn.IFS(AND(Table1567[[#This Row],[Total Amount]]&gt;=1500),"Critical",AND(Table1567[[#This Row],[Total Amount]]&gt;=1000),"High",TRUE,"Normal")</f>
        <v>Normal</v>
      </c>
      <c r="L269" s="4" t="str">
        <f>IF(Table1567[[#This Row],[Total Amount]]&gt;=1000,"High",(IF(Table1567[[#This Row],[Total Amount]]&gt;=500,"Medium","Low")))</f>
        <v>Low</v>
      </c>
      <c r="M269" s="4" t="str" cm="1">
        <f t="array" ref="M26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69" s="4" cm="1">
        <f t="array" ref="N26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4.5</v>
      </c>
      <c r="O269" s="4">
        <f>Table1567[[#This Row],[Total Amount]]-Table1567[[#This Row],[Discount Amount]]</f>
        <v>25.5</v>
      </c>
      <c r="P269" s="4" t="str">
        <f>IF(Table1567[[#This Row],[Total Amount]]&gt;=1000,"High","Low")</f>
        <v>Low</v>
      </c>
      <c r="Q269" s="4" t="str" cm="1">
        <f t="array" ref="Q269">_xlfn.IFS(AND(Table1567[[#This Row],[Total Amount]]&gt;=1500,"Critical"),AND(Table1567[[#This Row],[Total Amount]]&gt;=1000,"High"),TRUE,"Normal")</f>
        <v>Normal</v>
      </c>
      <c r="R269" s="4" t="str">
        <f>CONCATENATE(Table1567[[#This Row],[Customer ID]], "-",Table1567[[#This Row],[Age]])</f>
        <v>CUST268-28</v>
      </c>
      <c r="S269" s="4" t="str">
        <f>TEXT(Table1567[[#This Row],[Date]],"mmm")</f>
        <v>Feb</v>
      </c>
      <c r="T269" s="4" t="str">
        <f>TEXT(Table1567[[#This Row],[Date]],"DDD")</f>
        <v>Mon</v>
      </c>
    </row>
    <row r="270" spans="1:20" ht="29" x14ac:dyDescent="0.35">
      <c r="A270" s="4">
        <v>269</v>
      </c>
      <c r="B270" s="5">
        <v>44958</v>
      </c>
      <c r="C270" s="4" t="s">
        <v>282</v>
      </c>
      <c r="D270" s="4" t="s">
        <v>10</v>
      </c>
      <c r="E270" s="4">
        <v>25</v>
      </c>
      <c r="F270" s="4" t="str">
        <f>IF(Table1567[[#This Row],[Age]]&lt;=19,"Teenager",IF(Table1567[[#This Row],[Age]]&lt;=40,"Median","Old"))</f>
        <v>Median</v>
      </c>
      <c r="G270" s="4" t="s">
        <v>14</v>
      </c>
      <c r="H270" s="4">
        <v>4</v>
      </c>
      <c r="I270" s="4">
        <v>500</v>
      </c>
      <c r="J270" s="4">
        <v>2000</v>
      </c>
      <c r="K270" s="4" t="str" cm="1">
        <f t="array" ref="K270">_xlfn.IFS(AND(Table1567[[#This Row],[Total Amount]]&gt;=1500),"Critical",AND(Table1567[[#This Row],[Total Amount]]&gt;=1000),"High",TRUE,"Normal")</f>
        <v>Critical</v>
      </c>
      <c r="L270" s="4" t="str">
        <f>IF(Table1567[[#This Row],[Total Amount]]&gt;=1000,"High",(IF(Table1567[[#This Row],[Total Amount]]&gt;=500,"Medium","Low")))</f>
        <v>High</v>
      </c>
      <c r="M270" s="4" t="str" cm="1">
        <f t="array" ref="M27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70" s="4" cm="1">
        <f t="array" ref="N27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270" s="4">
        <f>Table1567[[#This Row],[Total Amount]]-Table1567[[#This Row],[Discount Amount]]</f>
        <v>1700</v>
      </c>
      <c r="P270" s="4" t="str">
        <f>IF(Table1567[[#This Row],[Total Amount]]&gt;=1000,"High","Low")</f>
        <v>High</v>
      </c>
      <c r="Q270" s="4" t="b" cm="1">
        <f t="array" ref="Q270">_xlfn.IFS(AND(Table1567[[#This Row],[Total Amount]]&gt;=1500,"Critical"),AND(Table1567[[#This Row],[Total Amount]]&gt;=1000,"High"),TRUE,"Normal")</f>
        <v>1</v>
      </c>
      <c r="R270" s="4" t="str">
        <f>CONCATENATE(Table1567[[#This Row],[Customer ID]], "-",Table1567[[#This Row],[Age]])</f>
        <v>CUST269-25</v>
      </c>
      <c r="S270" s="4" t="str">
        <f>TEXT(Table1567[[#This Row],[Date]],"mmm")</f>
        <v>Feb</v>
      </c>
      <c r="T270" s="4" t="str">
        <f>TEXT(Table1567[[#This Row],[Date]],"DDD")</f>
        <v>Wed</v>
      </c>
    </row>
    <row r="271" spans="1:20" ht="29" x14ac:dyDescent="0.35">
      <c r="A271" s="4">
        <v>270</v>
      </c>
      <c r="B271" s="5">
        <v>45133</v>
      </c>
      <c r="C271" s="4" t="s">
        <v>283</v>
      </c>
      <c r="D271" s="4" t="s">
        <v>10</v>
      </c>
      <c r="E271" s="4">
        <v>43</v>
      </c>
      <c r="F271" s="4" t="str">
        <f>IF(Table1567[[#This Row],[Age]]&lt;=19,"Teenager",IF(Table1567[[#This Row],[Age]]&lt;=40,"Median","Old"))</f>
        <v>Old</v>
      </c>
      <c r="G271" s="4" t="s">
        <v>16</v>
      </c>
      <c r="H271" s="4">
        <v>1</v>
      </c>
      <c r="I271" s="4">
        <v>300</v>
      </c>
      <c r="J271" s="4">
        <v>300</v>
      </c>
      <c r="K271" s="4" t="str" cm="1">
        <f t="array" ref="K271">_xlfn.IFS(AND(Table1567[[#This Row],[Total Amount]]&gt;=1500),"Critical",AND(Table1567[[#This Row],[Total Amount]]&gt;=1000),"High",TRUE,"Normal")</f>
        <v>Normal</v>
      </c>
      <c r="L271" s="4" t="str">
        <f>IF(Table1567[[#This Row],[Total Amount]]&gt;=1000,"High",(IF(Table1567[[#This Row],[Total Amount]]&gt;=500,"Medium","Low")))</f>
        <v>Low</v>
      </c>
      <c r="M271" s="4" t="str" cm="1">
        <f t="array" ref="M27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71" s="4" cm="1">
        <f t="array" ref="N27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271" s="4">
        <f>Table1567[[#This Row],[Total Amount]]-Table1567[[#This Row],[Discount Amount]]</f>
        <v>270</v>
      </c>
      <c r="P271" s="4" t="str">
        <f>IF(Table1567[[#This Row],[Total Amount]]&gt;=1000,"High","Low")</f>
        <v>Low</v>
      </c>
      <c r="Q271" s="4" t="str" cm="1">
        <f t="array" ref="Q271">_xlfn.IFS(AND(Table1567[[#This Row],[Total Amount]]&gt;=1500,"Critical"),AND(Table1567[[#This Row],[Total Amount]]&gt;=1000,"High"),TRUE,"Normal")</f>
        <v>Normal</v>
      </c>
      <c r="R271" s="4" t="str">
        <f>CONCATENATE(Table1567[[#This Row],[Customer ID]], "-",Table1567[[#This Row],[Age]])</f>
        <v>CUST270-43</v>
      </c>
      <c r="S271" s="4" t="str">
        <f>TEXT(Table1567[[#This Row],[Date]],"mmm")</f>
        <v>Jul</v>
      </c>
      <c r="T271" s="4" t="str">
        <f>TEXT(Table1567[[#This Row],[Date]],"DDD")</f>
        <v>Wed</v>
      </c>
    </row>
    <row r="272" spans="1:20" ht="29" x14ac:dyDescent="0.35">
      <c r="A272" s="4">
        <v>271</v>
      </c>
      <c r="B272" s="5">
        <v>45100</v>
      </c>
      <c r="C272" s="4" t="s">
        <v>284</v>
      </c>
      <c r="D272" s="4" t="s">
        <v>13</v>
      </c>
      <c r="E272" s="4">
        <v>62</v>
      </c>
      <c r="F272" s="4" t="str">
        <f>IF(Table1567[[#This Row],[Age]]&lt;=19,"Teenager",IF(Table1567[[#This Row],[Age]]&lt;=40,"Median","Old"))</f>
        <v>Old</v>
      </c>
      <c r="G272" s="4" t="s">
        <v>11</v>
      </c>
      <c r="H272" s="4">
        <v>4</v>
      </c>
      <c r="I272" s="4">
        <v>30</v>
      </c>
      <c r="J272" s="4">
        <v>120</v>
      </c>
      <c r="K272" s="4" t="str" cm="1">
        <f t="array" ref="K272">_xlfn.IFS(AND(Table1567[[#This Row],[Total Amount]]&gt;=1500),"Critical",AND(Table1567[[#This Row],[Total Amount]]&gt;=1000),"High",TRUE,"Normal")</f>
        <v>Normal</v>
      </c>
      <c r="L272" s="4" t="str">
        <f>IF(Table1567[[#This Row],[Total Amount]]&gt;=1000,"High",(IF(Table1567[[#This Row],[Total Amount]]&gt;=500,"Medium","Low")))</f>
        <v>Low</v>
      </c>
      <c r="M272" s="4" t="str" cm="1">
        <f t="array" ref="M27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72" s="4" cm="1">
        <f t="array" ref="N27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</v>
      </c>
      <c r="O272" s="4">
        <f>Table1567[[#This Row],[Total Amount]]-Table1567[[#This Row],[Discount Amount]]</f>
        <v>96</v>
      </c>
      <c r="P272" s="4" t="str">
        <f>IF(Table1567[[#This Row],[Total Amount]]&gt;=1000,"High","Low")</f>
        <v>Low</v>
      </c>
      <c r="Q272" s="4" t="str" cm="1">
        <f t="array" ref="Q272">_xlfn.IFS(AND(Table1567[[#This Row],[Total Amount]]&gt;=1500,"Critical"),AND(Table1567[[#This Row],[Total Amount]]&gt;=1000,"High"),TRUE,"Normal")</f>
        <v>Normal</v>
      </c>
      <c r="R272" s="4" t="str">
        <f>CONCATENATE(Table1567[[#This Row],[Customer ID]], "-",Table1567[[#This Row],[Age]])</f>
        <v>CUST271-62</v>
      </c>
      <c r="S272" s="4" t="str">
        <f>TEXT(Table1567[[#This Row],[Date]],"mmm")</f>
        <v>Jun</v>
      </c>
      <c r="T272" s="4" t="str">
        <f>TEXT(Table1567[[#This Row],[Date]],"DDD")</f>
        <v>Fri</v>
      </c>
    </row>
    <row r="273" spans="1:20" ht="29" x14ac:dyDescent="0.35">
      <c r="A273" s="4">
        <v>272</v>
      </c>
      <c r="B273" s="5">
        <v>44982</v>
      </c>
      <c r="C273" s="4" t="s">
        <v>285</v>
      </c>
      <c r="D273" s="4" t="s">
        <v>13</v>
      </c>
      <c r="E273" s="4">
        <v>61</v>
      </c>
      <c r="F273" s="4" t="str">
        <f>IF(Table1567[[#This Row],[Age]]&lt;=19,"Teenager",IF(Table1567[[#This Row],[Age]]&lt;=40,"Median","Old"))</f>
        <v>Old</v>
      </c>
      <c r="G273" s="4" t="s">
        <v>16</v>
      </c>
      <c r="H273" s="4">
        <v>2</v>
      </c>
      <c r="I273" s="4">
        <v>50</v>
      </c>
      <c r="J273" s="4">
        <v>100</v>
      </c>
      <c r="K273" s="4" t="str" cm="1">
        <f t="array" ref="K273">_xlfn.IFS(AND(Table1567[[#This Row],[Total Amount]]&gt;=1500),"Critical",AND(Table1567[[#This Row],[Total Amount]]&gt;=1000),"High",TRUE,"Normal")</f>
        <v>Normal</v>
      </c>
      <c r="L273" s="4" t="str">
        <f>IF(Table1567[[#This Row],[Total Amount]]&gt;=1000,"High",(IF(Table1567[[#This Row],[Total Amount]]&gt;=500,"Medium","Low")))</f>
        <v>Low</v>
      </c>
      <c r="M273" s="4" t="str" cm="1">
        <f t="array" ref="M27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73" s="4" cm="1">
        <f t="array" ref="N27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273" s="4">
        <f>Table1567[[#This Row],[Total Amount]]-Table1567[[#This Row],[Discount Amount]]</f>
        <v>80</v>
      </c>
      <c r="P273" s="4" t="str">
        <f>IF(Table1567[[#This Row],[Total Amount]]&gt;=1000,"High","Low")</f>
        <v>Low</v>
      </c>
      <c r="Q273" s="4" t="str" cm="1">
        <f t="array" ref="Q273">_xlfn.IFS(AND(Table1567[[#This Row],[Total Amount]]&gt;=1500,"Critical"),AND(Table1567[[#This Row],[Total Amount]]&gt;=1000,"High"),TRUE,"Normal")</f>
        <v>Normal</v>
      </c>
      <c r="R273" s="4" t="str">
        <f>CONCATENATE(Table1567[[#This Row],[Customer ID]], "-",Table1567[[#This Row],[Age]])</f>
        <v>CUST272-61</v>
      </c>
      <c r="S273" s="4" t="str">
        <f>TEXT(Table1567[[#This Row],[Date]],"mmm")</f>
        <v>Feb</v>
      </c>
      <c r="T273" s="4" t="str">
        <f>TEXT(Table1567[[#This Row],[Date]],"DDD")</f>
        <v>Sat</v>
      </c>
    </row>
    <row r="274" spans="1:20" ht="29" x14ac:dyDescent="0.35">
      <c r="A274" s="4">
        <v>273</v>
      </c>
      <c r="B274" s="5">
        <v>45054</v>
      </c>
      <c r="C274" s="4" t="s">
        <v>286</v>
      </c>
      <c r="D274" s="4" t="s">
        <v>13</v>
      </c>
      <c r="E274" s="4">
        <v>22</v>
      </c>
      <c r="F274" s="4" t="str">
        <f>IF(Table1567[[#This Row],[Age]]&lt;=19,"Teenager",IF(Table1567[[#This Row],[Age]]&lt;=40,"Median","Old"))</f>
        <v>Median</v>
      </c>
      <c r="G274" s="4" t="s">
        <v>11</v>
      </c>
      <c r="H274" s="4">
        <v>1</v>
      </c>
      <c r="I274" s="4">
        <v>50</v>
      </c>
      <c r="J274" s="4">
        <v>50</v>
      </c>
      <c r="K274" s="4" t="str" cm="1">
        <f t="array" ref="K274">_xlfn.IFS(AND(Table1567[[#This Row],[Total Amount]]&gt;=1500),"Critical",AND(Table1567[[#This Row],[Total Amount]]&gt;=1000),"High",TRUE,"Normal")</f>
        <v>Normal</v>
      </c>
      <c r="L274" s="4" t="str">
        <f>IF(Table1567[[#This Row],[Total Amount]]&gt;=1000,"High",(IF(Table1567[[#This Row],[Total Amount]]&gt;=500,"Medium","Low")))</f>
        <v>Low</v>
      </c>
      <c r="M274" s="4" t="str" cm="1">
        <f t="array" ref="M27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74" s="4" cm="1">
        <f t="array" ref="N27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74" s="4">
        <f>Table1567[[#This Row],[Total Amount]]-Table1567[[#This Row],[Discount Amount]]</f>
        <v>50</v>
      </c>
      <c r="P274" s="4" t="str">
        <f>IF(Table1567[[#This Row],[Total Amount]]&gt;=1000,"High","Low")</f>
        <v>Low</v>
      </c>
      <c r="Q274" s="4" t="str" cm="1">
        <f t="array" ref="Q274">_xlfn.IFS(AND(Table1567[[#This Row],[Total Amount]]&gt;=1500,"Critical"),AND(Table1567[[#This Row],[Total Amount]]&gt;=1000,"High"),TRUE,"Normal")</f>
        <v>Normal</v>
      </c>
      <c r="R274" s="4" t="str">
        <f>CONCATENATE(Table1567[[#This Row],[Customer ID]], "-",Table1567[[#This Row],[Age]])</f>
        <v>CUST273-22</v>
      </c>
      <c r="S274" s="4" t="str">
        <f>TEXT(Table1567[[#This Row],[Date]],"mmm")</f>
        <v>May</v>
      </c>
      <c r="T274" s="4" t="str">
        <f>TEXT(Table1567[[#This Row],[Date]],"DDD")</f>
        <v>Mon</v>
      </c>
    </row>
    <row r="275" spans="1:20" ht="29" x14ac:dyDescent="0.35">
      <c r="A275" s="4">
        <v>274</v>
      </c>
      <c r="B275" s="5">
        <v>45025</v>
      </c>
      <c r="C275" s="4" t="s">
        <v>287</v>
      </c>
      <c r="D275" s="4" t="s">
        <v>13</v>
      </c>
      <c r="E275" s="4">
        <v>23</v>
      </c>
      <c r="F275" s="4" t="str">
        <f>IF(Table1567[[#This Row],[Age]]&lt;=19,"Teenager",IF(Table1567[[#This Row],[Age]]&lt;=40,"Median","Old"))</f>
        <v>Median</v>
      </c>
      <c r="G275" s="4" t="s">
        <v>14</v>
      </c>
      <c r="H275" s="4">
        <v>2</v>
      </c>
      <c r="I275" s="4">
        <v>500</v>
      </c>
      <c r="J275" s="4">
        <v>1000</v>
      </c>
      <c r="K275" s="4" t="str" cm="1">
        <f t="array" ref="K275">_xlfn.IFS(AND(Table1567[[#This Row],[Total Amount]]&gt;=1500),"Critical",AND(Table1567[[#This Row],[Total Amount]]&gt;=1000),"High",TRUE,"Normal")</f>
        <v>High</v>
      </c>
      <c r="L275" s="4" t="str">
        <f>IF(Table1567[[#This Row],[Total Amount]]&gt;=1000,"High",(IF(Table1567[[#This Row],[Total Amount]]&gt;=500,"Medium","Low")))</f>
        <v>High</v>
      </c>
      <c r="M275" s="4" t="str" cm="1">
        <f t="array" ref="M27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75" s="4" cm="1">
        <f t="array" ref="N27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75" s="4">
        <f>Table1567[[#This Row],[Total Amount]]-Table1567[[#This Row],[Discount Amount]]</f>
        <v>1000</v>
      </c>
      <c r="P275" s="4" t="str">
        <f>IF(Table1567[[#This Row],[Total Amount]]&gt;=1000,"High","Low")</f>
        <v>High</v>
      </c>
      <c r="Q275" s="4" t="str" cm="1">
        <f t="array" ref="Q275">_xlfn.IFS(AND(Table1567[[#This Row],[Total Amount]]&gt;=1500,"Critical"),AND(Table1567[[#This Row],[Total Amount]]&gt;=1000,"High"),TRUE,"Normal")</f>
        <v>Normal</v>
      </c>
      <c r="R275" s="4" t="str">
        <f>CONCATENATE(Table1567[[#This Row],[Customer ID]], "-",Table1567[[#This Row],[Age]])</f>
        <v>CUST274-23</v>
      </c>
      <c r="S275" s="4" t="str">
        <f>TEXT(Table1567[[#This Row],[Date]],"mmm")</f>
        <v>Apr</v>
      </c>
      <c r="T275" s="4" t="str">
        <f>TEXT(Table1567[[#This Row],[Date]],"DDD")</f>
        <v>Sun</v>
      </c>
    </row>
    <row r="276" spans="1:20" ht="29" x14ac:dyDescent="0.35">
      <c r="A276" s="4">
        <v>275</v>
      </c>
      <c r="B276" s="5">
        <v>45024</v>
      </c>
      <c r="C276" s="4" t="s">
        <v>288</v>
      </c>
      <c r="D276" s="4" t="s">
        <v>10</v>
      </c>
      <c r="E276" s="4">
        <v>43</v>
      </c>
      <c r="F276" s="4" t="str">
        <f>IF(Table1567[[#This Row],[Age]]&lt;=19,"Teenager",IF(Table1567[[#This Row],[Age]]&lt;=40,"Median","Old"))</f>
        <v>Old</v>
      </c>
      <c r="G276" s="4" t="s">
        <v>14</v>
      </c>
      <c r="H276" s="4">
        <v>2</v>
      </c>
      <c r="I276" s="4">
        <v>500</v>
      </c>
      <c r="J276" s="4">
        <v>1000</v>
      </c>
      <c r="K276" s="4" t="str" cm="1">
        <f t="array" ref="K276">_xlfn.IFS(AND(Table1567[[#This Row],[Total Amount]]&gt;=1500),"Critical",AND(Table1567[[#This Row],[Total Amount]]&gt;=1000),"High",TRUE,"Normal")</f>
        <v>High</v>
      </c>
      <c r="L276" s="4" t="str">
        <f>IF(Table1567[[#This Row],[Total Amount]]&gt;=1000,"High",(IF(Table1567[[#This Row],[Total Amount]]&gt;=500,"Medium","Low")))</f>
        <v>High</v>
      </c>
      <c r="M276" s="4" t="str" cm="1">
        <f t="array" ref="M27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76" s="4" cm="1">
        <f t="array" ref="N27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276" s="4">
        <f>Table1567[[#This Row],[Total Amount]]-Table1567[[#This Row],[Discount Amount]]</f>
        <v>900</v>
      </c>
      <c r="P276" s="4" t="str">
        <f>IF(Table1567[[#This Row],[Total Amount]]&gt;=1000,"High","Low")</f>
        <v>High</v>
      </c>
      <c r="Q276" s="4" t="str" cm="1">
        <f t="array" ref="Q276">_xlfn.IFS(AND(Table1567[[#This Row],[Total Amount]]&gt;=1500,"Critical"),AND(Table1567[[#This Row],[Total Amount]]&gt;=1000,"High"),TRUE,"Normal")</f>
        <v>Normal</v>
      </c>
      <c r="R276" s="4" t="str">
        <f>CONCATENATE(Table1567[[#This Row],[Customer ID]], "-",Table1567[[#This Row],[Age]])</f>
        <v>CUST275-43</v>
      </c>
      <c r="S276" s="4" t="str">
        <f>TEXT(Table1567[[#This Row],[Date]],"mmm")</f>
        <v>Apr</v>
      </c>
      <c r="T276" s="4" t="str">
        <f>TEXT(Table1567[[#This Row],[Date]],"DDD")</f>
        <v>Sat</v>
      </c>
    </row>
    <row r="277" spans="1:20" ht="29" x14ac:dyDescent="0.35">
      <c r="A277" s="4">
        <v>276</v>
      </c>
      <c r="B277" s="5">
        <v>45201</v>
      </c>
      <c r="C277" s="4" t="s">
        <v>289</v>
      </c>
      <c r="D277" s="4" t="s">
        <v>13</v>
      </c>
      <c r="E277" s="4">
        <v>21</v>
      </c>
      <c r="F277" s="4" t="str">
        <f>IF(Table1567[[#This Row],[Age]]&lt;=19,"Teenager",IF(Table1567[[#This Row],[Age]]&lt;=40,"Median","Old"))</f>
        <v>Median</v>
      </c>
      <c r="G277" s="4" t="s">
        <v>11</v>
      </c>
      <c r="H277" s="4">
        <v>4</v>
      </c>
      <c r="I277" s="4">
        <v>25</v>
      </c>
      <c r="J277" s="4">
        <v>100</v>
      </c>
      <c r="K277" s="4" t="str" cm="1">
        <f t="array" ref="K277">_xlfn.IFS(AND(Table1567[[#This Row],[Total Amount]]&gt;=1500),"Critical",AND(Table1567[[#This Row],[Total Amount]]&gt;=1000),"High",TRUE,"Normal")</f>
        <v>Normal</v>
      </c>
      <c r="L277" s="4" t="str">
        <f>IF(Table1567[[#This Row],[Total Amount]]&gt;=1000,"High",(IF(Table1567[[#This Row],[Total Amount]]&gt;=500,"Medium","Low")))</f>
        <v>Low</v>
      </c>
      <c r="M277" s="4" t="str" cm="1">
        <f t="array" ref="M27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77" s="4" cm="1">
        <f t="array" ref="N27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77" s="4">
        <f>Table1567[[#This Row],[Total Amount]]-Table1567[[#This Row],[Discount Amount]]</f>
        <v>100</v>
      </c>
      <c r="P277" s="4" t="str">
        <f>IF(Table1567[[#This Row],[Total Amount]]&gt;=1000,"High","Low")</f>
        <v>Low</v>
      </c>
      <c r="Q277" s="4" t="str" cm="1">
        <f t="array" ref="Q277">_xlfn.IFS(AND(Table1567[[#This Row],[Total Amount]]&gt;=1500,"Critical"),AND(Table1567[[#This Row],[Total Amount]]&gt;=1000,"High"),TRUE,"Normal")</f>
        <v>Normal</v>
      </c>
      <c r="R277" s="4" t="str">
        <f>CONCATENATE(Table1567[[#This Row],[Customer ID]], "-",Table1567[[#This Row],[Age]])</f>
        <v>CUST276-21</v>
      </c>
      <c r="S277" s="4" t="str">
        <f>TEXT(Table1567[[#This Row],[Date]],"mmm")</f>
        <v>Oct</v>
      </c>
      <c r="T277" s="4" t="str">
        <f>TEXT(Table1567[[#This Row],[Date]],"DDD")</f>
        <v>Mon</v>
      </c>
    </row>
    <row r="278" spans="1:20" ht="29" x14ac:dyDescent="0.35">
      <c r="A278" s="4">
        <v>277</v>
      </c>
      <c r="B278" s="5">
        <v>45156</v>
      </c>
      <c r="C278" s="4" t="s">
        <v>290</v>
      </c>
      <c r="D278" s="4" t="s">
        <v>10</v>
      </c>
      <c r="E278" s="4">
        <v>36</v>
      </c>
      <c r="F278" s="4" t="str">
        <f>IF(Table1567[[#This Row],[Age]]&lt;=19,"Teenager",IF(Table1567[[#This Row],[Age]]&lt;=40,"Median","Old"))</f>
        <v>Median</v>
      </c>
      <c r="G278" s="4" t="s">
        <v>14</v>
      </c>
      <c r="H278" s="4">
        <v>4</v>
      </c>
      <c r="I278" s="4">
        <v>25</v>
      </c>
      <c r="J278" s="4">
        <v>100</v>
      </c>
      <c r="K278" s="4" t="str" cm="1">
        <f t="array" ref="K278">_xlfn.IFS(AND(Table1567[[#This Row],[Total Amount]]&gt;=1500),"Critical",AND(Table1567[[#This Row],[Total Amount]]&gt;=1000),"High",TRUE,"Normal")</f>
        <v>Normal</v>
      </c>
      <c r="L278" s="4" t="str">
        <f>IF(Table1567[[#This Row],[Total Amount]]&gt;=1000,"High",(IF(Table1567[[#This Row],[Total Amount]]&gt;=500,"Medium","Low")))</f>
        <v>Low</v>
      </c>
      <c r="M278" s="4" t="str" cm="1">
        <f t="array" ref="M27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78" s="4" cm="1">
        <f t="array" ref="N27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278" s="4">
        <f>Table1567[[#This Row],[Total Amount]]-Table1567[[#This Row],[Discount Amount]]</f>
        <v>90</v>
      </c>
      <c r="P278" s="4" t="str">
        <f>IF(Table1567[[#This Row],[Total Amount]]&gt;=1000,"High","Low")</f>
        <v>Low</v>
      </c>
      <c r="Q278" s="4" t="str" cm="1">
        <f t="array" ref="Q278">_xlfn.IFS(AND(Table1567[[#This Row],[Total Amount]]&gt;=1500,"Critical"),AND(Table1567[[#This Row],[Total Amount]]&gt;=1000,"High"),TRUE,"Normal")</f>
        <v>Normal</v>
      </c>
      <c r="R278" s="4" t="str">
        <f>CONCATENATE(Table1567[[#This Row],[Customer ID]], "-",Table1567[[#This Row],[Age]])</f>
        <v>CUST277-36</v>
      </c>
      <c r="S278" s="4" t="str">
        <f>TEXT(Table1567[[#This Row],[Date]],"mmm")</f>
        <v>Aug</v>
      </c>
      <c r="T278" s="4" t="str">
        <f>TEXT(Table1567[[#This Row],[Date]],"DDD")</f>
        <v>Fri</v>
      </c>
    </row>
    <row r="279" spans="1:20" ht="29" x14ac:dyDescent="0.35">
      <c r="A279" s="4">
        <v>278</v>
      </c>
      <c r="B279" s="5">
        <v>44998</v>
      </c>
      <c r="C279" s="4" t="s">
        <v>291</v>
      </c>
      <c r="D279" s="4" t="s">
        <v>13</v>
      </c>
      <c r="E279" s="4">
        <v>37</v>
      </c>
      <c r="F279" s="4" t="str">
        <f>IF(Table1567[[#This Row],[Age]]&lt;=19,"Teenager",IF(Table1567[[#This Row],[Age]]&lt;=40,"Median","Old"))</f>
        <v>Median</v>
      </c>
      <c r="G279" s="4" t="s">
        <v>14</v>
      </c>
      <c r="H279" s="4">
        <v>4</v>
      </c>
      <c r="I279" s="4">
        <v>25</v>
      </c>
      <c r="J279" s="4">
        <v>100</v>
      </c>
      <c r="K279" s="4" t="str" cm="1">
        <f t="array" ref="K279">_xlfn.IFS(AND(Table1567[[#This Row],[Total Amount]]&gt;=1500),"Critical",AND(Table1567[[#This Row],[Total Amount]]&gt;=1000),"High",TRUE,"Normal")</f>
        <v>Normal</v>
      </c>
      <c r="L279" s="4" t="str">
        <f>IF(Table1567[[#This Row],[Total Amount]]&gt;=1000,"High",(IF(Table1567[[#This Row],[Total Amount]]&gt;=500,"Medium","Low")))</f>
        <v>Low</v>
      </c>
      <c r="M279" s="4" t="str" cm="1">
        <f t="array" ref="M27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79" s="4" cm="1">
        <f t="array" ref="N27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279" s="4">
        <f>Table1567[[#This Row],[Total Amount]]-Table1567[[#This Row],[Discount Amount]]</f>
        <v>80</v>
      </c>
      <c r="P279" s="4" t="str">
        <f>IF(Table1567[[#This Row],[Total Amount]]&gt;=1000,"High","Low")</f>
        <v>Low</v>
      </c>
      <c r="Q279" s="4" t="str" cm="1">
        <f t="array" ref="Q279">_xlfn.IFS(AND(Table1567[[#This Row],[Total Amount]]&gt;=1500,"Critical"),AND(Table1567[[#This Row],[Total Amount]]&gt;=1000,"High"),TRUE,"Normal")</f>
        <v>Normal</v>
      </c>
      <c r="R279" s="4" t="str">
        <f>CONCATENATE(Table1567[[#This Row],[Customer ID]], "-",Table1567[[#This Row],[Age]])</f>
        <v>CUST278-37</v>
      </c>
      <c r="S279" s="4" t="str">
        <f>TEXT(Table1567[[#This Row],[Date]],"mmm")</f>
        <v>Mar</v>
      </c>
      <c r="T279" s="4" t="str">
        <f>TEXT(Table1567[[#This Row],[Date]],"DDD")</f>
        <v>Mon</v>
      </c>
    </row>
    <row r="280" spans="1:20" ht="29" x14ac:dyDescent="0.35">
      <c r="A280" s="4">
        <v>279</v>
      </c>
      <c r="B280" s="5">
        <v>45143</v>
      </c>
      <c r="C280" s="4" t="s">
        <v>292</v>
      </c>
      <c r="D280" s="4" t="s">
        <v>10</v>
      </c>
      <c r="E280" s="4">
        <v>50</v>
      </c>
      <c r="F280" s="4" t="str">
        <f>IF(Table1567[[#This Row],[Age]]&lt;=19,"Teenager",IF(Table1567[[#This Row],[Age]]&lt;=40,"Median","Old"))</f>
        <v>Old</v>
      </c>
      <c r="G280" s="4" t="s">
        <v>14</v>
      </c>
      <c r="H280" s="4">
        <v>1</v>
      </c>
      <c r="I280" s="4">
        <v>500</v>
      </c>
      <c r="J280" s="4">
        <v>500</v>
      </c>
      <c r="K280" s="4" t="str" cm="1">
        <f t="array" ref="K280">_xlfn.IFS(AND(Table1567[[#This Row],[Total Amount]]&gt;=1500),"Critical",AND(Table1567[[#This Row],[Total Amount]]&gt;=1000),"High",TRUE,"Normal")</f>
        <v>Normal</v>
      </c>
      <c r="L280" s="4" t="str">
        <f>IF(Table1567[[#This Row],[Total Amount]]&gt;=1000,"High",(IF(Table1567[[#This Row],[Total Amount]]&gt;=500,"Medium","Low")))</f>
        <v>Medium</v>
      </c>
      <c r="M280" s="4" t="str" cm="1">
        <f t="array" ref="M28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80" s="4" cm="1">
        <f t="array" ref="N28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50</v>
      </c>
      <c r="O280" s="4">
        <f>Table1567[[#This Row],[Total Amount]]-Table1567[[#This Row],[Discount Amount]]</f>
        <v>450</v>
      </c>
      <c r="P280" s="4" t="str">
        <f>IF(Table1567[[#This Row],[Total Amount]]&gt;=1000,"High","Low")</f>
        <v>Low</v>
      </c>
      <c r="Q280" s="4" t="str" cm="1">
        <f t="array" ref="Q280">_xlfn.IFS(AND(Table1567[[#This Row],[Total Amount]]&gt;=1500,"Critical"),AND(Table1567[[#This Row],[Total Amount]]&gt;=1000,"High"),TRUE,"Normal")</f>
        <v>Normal</v>
      </c>
      <c r="R280" s="4" t="str">
        <f>CONCATENATE(Table1567[[#This Row],[Customer ID]], "-",Table1567[[#This Row],[Age]])</f>
        <v>CUST279-50</v>
      </c>
      <c r="S280" s="4" t="str">
        <f>TEXT(Table1567[[#This Row],[Date]],"mmm")</f>
        <v>Aug</v>
      </c>
      <c r="T280" s="4" t="str">
        <f>TEXT(Table1567[[#This Row],[Date]],"DDD")</f>
        <v>Sat</v>
      </c>
    </row>
    <row r="281" spans="1:20" ht="29" x14ac:dyDescent="0.35">
      <c r="A281" s="4">
        <v>280</v>
      </c>
      <c r="B281" s="5">
        <v>45020</v>
      </c>
      <c r="C281" s="4" t="s">
        <v>293</v>
      </c>
      <c r="D281" s="4" t="s">
        <v>13</v>
      </c>
      <c r="E281" s="4">
        <v>37</v>
      </c>
      <c r="F281" s="4" t="str">
        <f>IF(Table1567[[#This Row],[Age]]&lt;=19,"Teenager",IF(Table1567[[#This Row],[Age]]&lt;=40,"Median","Old"))</f>
        <v>Median</v>
      </c>
      <c r="G281" s="4" t="s">
        <v>14</v>
      </c>
      <c r="H281" s="4">
        <v>3</v>
      </c>
      <c r="I281" s="4">
        <v>500</v>
      </c>
      <c r="J281" s="4">
        <v>1500</v>
      </c>
      <c r="K281" s="4" t="str" cm="1">
        <f t="array" ref="K281">_xlfn.IFS(AND(Table1567[[#This Row],[Total Amount]]&gt;=1500),"Critical",AND(Table1567[[#This Row],[Total Amount]]&gt;=1000),"High",TRUE,"Normal")</f>
        <v>Critical</v>
      </c>
      <c r="L281" s="4" t="str">
        <f>IF(Table1567[[#This Row],[Total Amount]]&gt;=1000,"High",(IF(Table1567[[#This Row],[Total Amount]]&gt;=500,"Medium","Low")))</f>
        <v>High</v>
      </c>
      <c r="M281" s="4" t="str" cm="1">
        <f t="array" ref="M28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81" s="4" cm="1">
        <f t="array" ref="N28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281" s="4">
        <f>Table1567[[#This Row],[Total Amount]]-Table1567[[#This Row],[Discount Amount]]</f>
        <v>1200</v>
      </c>
      <c r="P281" s="4" t="str">
        <f>IF(Table1567[[#This Row],[Total Amount]]&gt;=1000,"High","Low")</f>
        <v>High</v>
      </c>
      <c r="Q281" s="4" t="b" cm="1">
        <f t="array" ref="Q281">_xlfn.IFS(AND(Table1567[[#This Row],[Total Amount]]&gt;=1500,"Critical"),AND(Table1567[[#This Row],[Total Amount]]&gt;=1000,"High"),TRUE,"Normal")</f>
        <v>1</v>
      </c>
      <c r="R281" s="4" t="str">
        <f>CONCATENATE(Table1567[[#This Row],[Customer ID]], "-",Table1567[[#This Row],[Age]])</f>
        <v>CUST280-37</v>
      </c>
      <c r="S281" s="4" t="str">
        <f>TEXT(Table1567[[#This Row],[Date]],"mmm")</f>
        <v>Apr</v>
      </c>
      <c r="T281" s="4" t="str">
        <f>TEXT(Table1567[[#This Row],[Date]],"DDD")</f>
        <v>Tue</v>
      </c>
    </row>
    <row r="282" spans="1:20" ht="29" x14ac:dyDescent="0.35">
      <c r="A282" s="4">
        <v>281</v>
      </c>
      <c r="B282" s="5">
        <v>45069</v>
      </c>
      <c r="C282" s="4" t="s">
        <v>294</v>
      </c>
      <c r="D282" s="4" t="s">
        <v>13</v>
      </c>
      <c r="E282" s="4">
        <v>29</v>
      </c>
      <c r="F282" s="4" t="str">
        <f>IF(Table1567[[#This Row],[Age]]&lt;=19,"Teenager",IF(Table1567[[#This Row],[Age]]&lt;=40,"Median","Old"))</f>
        <v>Median</v>
      </c>
      <c r="G282" s="4" t="s">
        <v>11</v>
      </c>
      <c r="H282" s="4">
        <v>4</v>
      </c>
      <c r="I282" s="4">
        <v>500</v>
      </c>
      <c r="J282" s="4">
        <v>2000</v>
      </c>
      <c r="K282" s="4" t="str" cm="1">
        <f t="array" ref="K282">_xlfn.IFS(AND(Table1567[[#This Row],[Total Amount]]&gt;=1500),"Critical",AND(Table1567[[#This Row],[Total Amount]]&gt;=1000),"High",TRUE,"Normal")</f>
        <v>Critical</v>
      </c>
      <c r="L282" s="4" t="str">
        <f>IF(Table1567[[#This Row],[Total Amount]]&gt;=1000,"High",(IF(Table1567[[#This Row],[Total Amount]]&gt;=500,"Medium","Low")))</f>
        <v>High</v>
      </c>
      <c r="M282" s="4" t="str" cm="1">
        <f t="array" ref="M28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82" s="4" cm="1">
        <f t="array" ref="N28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282" s="4">
        <f>Table1567[[#This Row],[Total Amount]]-Table1567[[#This Row],[Discount Amount]]</f>
        <v>1700</v>
      </c>
      <c r="P282" s="4" t="str">
        <f>IF(Table1567[[#This Row],[Total Amount]]&gt;=1000,"High","Low")</f>
        <v>High</v>
      </c>
      <c r="Q282" s="4" t="b" cm="1">
        <f t="array" ref="Q282">_xlfn.IFS(AND(Table1567[[#This Row],[Total Amount]]&gt;=1500,"Critical"),AND(Table1567[[#This Row],[Total Amount]]&gt;=1000,"High"),TRUE,"Normal")</f>
        <v>1</v>
      </c>
      <c r="R282" s="4" t="str">
        <f>CONCATENATE(Table1567[[#This Row],[Customer ID]], "-",Table1567[[#This Row],[Age]])</f>
        <v>CUST281-29</v>
      </c>
      <c r="S282" s="4" t="str">
        <f>TEXT(Table1567[[#This Row],[Date]],"mmm")</f>
        <v>May</v>
      </c>
      <c r="T282" s="4" t="str">
        <f>TEXT(Table1567[[#This Row],[Date]],"DDD")</f>
        <v>Tue</v>
      </c>
    </row>
    <row r="283" spans="1:20" ht="29" x14ac:dyDescent="0.35">
      <c r="A283" s="4">
        <v>282</v>
      </c>
      <c r="B283" s="5">
        <v>45163</v>
      </c>
      <c r="C283" s="4" t="s">
        <v>295</v>
      </c>
      <c r="D283" s="4" t="s">
        <v>13</v>
      </c>
      <c r="E283" s="4">
        <v>64</v>
      </c>
      <c r="F283" s="4" t="str">
        <f>IF(Table1567[[#This Row],[Age]]&lt;=19,"Teenager",IF(Table1567[[#This Row],[Age]]&lt;=40,"Median","Old"))</f>
        <v>Old</v>
      </c>
      <c r="G283" s="4" t="s">
        <v>16</v>
      </c>
      <c r="H283" s="4">
        <v>4</v>
      </c>
      <c r="I283" s="4">
        <v>50</v>
      </c>
      <c r="J283" s="4">
        <v>200</v>
      </c>
      <c r="K283" s="4" t="str" cm="1">
        <f t="array" ref="K283">_xlfn.IFS(AND(Table1567[[#This Row],[Total Amount]]&gt;=1500),"Critical",AND(Table1567[[#This Row],[Total Amount]]&gt;=1000),"High",TRUE,"Normal")</f>
        <v>Normal</v>
      </c>
      <c r="L283" s="4" t="str">
        <f>IF(Table1567[[#This Row],[Total Amount]]&gt;=1000,"High",(IF(Table1567[[#This Row],[Total Amount]]&gt;=500,"Medium","Low")))</f>
        <v>Low</v>
      </c>
      <c r="M283" s="4" t="str" cm="1">
        <f t="array" ref="M28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83" s="4" cm="1">
        <f t="array" ref="N28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</v>
      </c>
      <c r="O283" s="4">
        <f>Table1567[[#This Row],[Total Amount]]-Table1567[[#This Row],[Discount Amount]]</f>
        <v>160</v>
      </c>
      <c r="P283" s="4" t="str">
        <f>IF(Table1567[[#This Row],[Total Amount]]&gt;=1000,"High","Low")</f>
        <v>Low</v>
      </c>
      <c r="Q283" s="4" t="str" cm="1">
        <f t="array" ref="Q283">_xlfn.IFS(AND(Table1567[[#This Row],[Total Amount]]&gt;=1500,"Critical"),AND(Table1567[[#This Row],[Total Amount]]&gt;=1000,"High"),TRUE,"Normal")</f>
        <v>Normal</v>
      </c>
      <c r="R283" s="4" t="str">
        <f>CONCATENATE(Table1567[[#This Row],[Customer ID]], "-",Table1567[[#This Row],[Age]])</f>
        <v>CUST282-64</v>
      </c>
      <c r="S283" s="4" t="str">
        <f>TEXT(Table1567[[#This Row],[Date]],"mmm")</f>
        <v>Aug</v>
      </c>
      <c r="T283" s="4" t="str">
        <f>TEXT(Table1567[[#This Row],[Date]],"DDD")</f>
        <v>Fri</v>
      </c>
    </row>
    <row r="284" spans="1:20" ht="29" x14ac:dyDescent="0.35">
      <c r="A284" s="4">
        <v>283</v>
      </c>
      <c r="B284" s="5">
        <v>45054</v>
      </c>
      <c r="C284" s="4" t="s">
        <v>296</v>
      </c>
      <c r="D284" s="4" t="s">
        <v>13</v>
      </c>
      <c r="E284" s="4">
        <v>18</v>
      </c>
      <c r="F284" s="4" t="str">
        <f>IF(Table1567[[#This Row],[Age]]&lt;=19,"Teenager",IF(Table1567[[#This Row],[Age]]&lt;=40,"Median","Old"))</f>
        <v>Teenager</v>
      </c>
      <c r="G284" s="4" t="s">
        <v>16</v>
      </c>
      <c r="H284" s="4">
        <v>1</v>
      </c>
      <c r="I284" s="4">
        <v>500</v>
      </c>
      <c r="J284" s="4">
        <v>500</v>
      </c>
      <c r="K284" s="4" t="str" cm="1">
        <f t="array" ref="K284">_xlfn.IFS(AND(Table1567[[#This Row],[Total Amount]]&gt;=1500),"Critical",AND(Table1567[[#This Row],[Total Amount]]&gt;=1000),"High",TRUE,"Normal")</f>
        <v>Normal</v>
      </c>
      <c r="L284" s="4" t="str">
        <f>IF(Table1567[[#This Row],[Total Amount]]&gt;=1000,"High",(IF(Table1567[[#This Row],[Total Amount]]&gt;=500,"Medium","Low")))</f>
        <v>Medium</v>
      </c>
      <c r="M284" s="4" t="str" cm="1">
        <f t="array" ref="M28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84" s="4" cm="1">
        <f t="array" ref="N28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84" s="4">
        <f>Table1567[[#This Row],[Total Amount]]-Table1567[[#This Row],[Discount Amount]]</f>
        <v>500</v>
      </c>
      <c r="P284" s="4" t="str">
        <f>IF(Table1567[[#This Row],[Total Amount]]&gt;=1000,"High","Low")</f>
        <v>Low</v>
      </c>
      <c r="Q284" s="4" t="str" cm="1">
        <f t="array" ref="Q284">_xlfn.IFS(AND(Table1567[[#This Row],[Total Amount]]&gt;=1500,"Critical"),AND(Table1567[[#This Row],[Total Amount]]&gt;=1000,"High"),TRUE,"Normal")</f>
        <v>Normal</v>
      </c>
      <c r="R284" s="4" t="str">
        <f>CONCATENATE(Table1567[[#This Row],[Customer ID]], "-",Table1567[[#This Row],[Age]])</f>
        <v>CUST283-18</v>
      </c>
      <c r="S284" s="4" t="str">
        <f>TEXT(Table1567[[#This Row],[Date]],"mmm")</f>
        <v>May</v>
      </c>
      <c r="T284" s="4" t="str">
        <f>TEXT(Table1567[[#This Row],[Date]],"DDD")</f>
        <v>Mon</v>
      </c>
    </row>
    <row r="285" spans="1:20" ht="29" x14ac:dyDescent="0.35">
      <c r="A285" s="4">
        <v>284</v>
      </c>
      <c r="B285" s="5">
        <v>44965</v>
      </c>
      <c r="C285" s="4" t="s">
        <v>297</v>
      </c>
      <c r="D285" s="4" t="s">
        <v>10</v>
      </c>
      <c r="E285" s="4">
        <v>43</v>
      </c>
      <c r="F285" s="4" t="str">
        <f>IF(Table1567[[#This Row],[Age]]&lt;=19,"Teenager",IF(Table1567[[#This Row],[Age]]&lt;=40,"Median","Old"))</f>
        <v>Old</v>
      </c>
      <c r="G285" s="4" t="s">
        <v>14</v>
      </c>
      <c r="H285" s="4">
        <v>4</v>
      </c>
      <c r="I285" s="4">
        <v>50</v>
      </c>
      <c r="J285" s="4">
        <v>200</v>
      </c>
      <c r="K285" s="4" t="str" cm="1">
        <f t="array" ref="K285">_xlfn.IFS(AND(Table1567[[#This Row],[Total Amount]]&gt;=1500),"Critical",AND(Table1567[[#This Row],[Total Amount]]&gt;=1000),"High",TRUE,"Normal")</f>
        <v>Normal</v>
      </c>
      <c r="L285" s="4" t="str">
        <f>IF(Table1567[[#This Row],[Total Amount]]&gt;=1000,"High",(IF(Table1567[[#This Row],[Total Amount]]&gt;=500,"Medium","Low")))</f>
        <v>Low</v>
      </c>
      <c r="M285" s="4" t="str" cm="1">
        <f t="array" ref="M28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85" s="4" cm="1">
        <f t="array" ref="N28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285" s="4">
        <f>Table1567[[#This Row],[Total Amount]]-Table1567[[#This Row],[Discount Amount]]</f>
        <v>180</v>
      </c>
      <c r="P285" s="4" t="str">
        <f>IF(Table1567[[#This Row],[Total Amount]]&gt;=1000,"High","Low")</f>
        <v>Low</v>
      </c>
      <c r="Q285" s="4" t="str" cm="1">
        <f t="array" ref="Q285">_xlfn.IFS(AND(Table1567[[#This Row],[Total Amount]]&gt;=1500,"Critical"),AND(Table1567[[#This Row],[Total Amount]]&gt;=1000,"High"),TRUE,"Normal")</f>
        <v>Normal</v>
      </c>
      <c r="R285" s="4" t="str">
        <f>CONCATENATE(Table1567[[#This Row],[Customer ID]], "-",Table1567[[#This Row],[Age]])</f>
        <v>CUST284-43</v>
      </c>
      <c r="S285" s="4" t="str">
        <f>TEXT(Table1567[[#This Row],[Date]],"mmm")</f>
        <v>Feb</v>
      </c>
      <c r="T285" s="4" t="str">
        <f>TEXT(Table1567[[#This Row],[Date]],"DDD")</f>
        <v>Wed</v>
      </c>
    </row>
    <row r="286" spans="1:20" ht="29" x14ac:dyDescent="0.35">
      <c r="A286" s="4">
        <v>285</v>
      </c>
      <c r="B286" s="5">
        <v>45153</v>
      </c>
      <c r="C286" s="4" t="s">
        <v>298</v>
      </c>
      <c r="D286" s="4" t="s">
        <v>13</v>
      </c>
      <c r="E286" s="4">
        <v>31</v>
      </c>
      <c r="F286" s="4" t="str">
        <f>IF(Table1567[[#This Row],[Age]]&lt;=19,"Teenager",IF(Table1567[[#This Row],[Age]]&lt;=40,"Median","Old"))</f>
        <v>Median</v>
      </c>
      <c r="G286" s="4" t="s">
        <v>16</v>
      </c>
      <c r="H286" s="4">
        <v>1</v>
      </c>
      <c r="I286" s="4">
        <v>25</v>
      </c>
      <c r="J286" s="4">
        <v>25</v>
      </c>
      <c r="K286" s="4" t="str" cm="1">
        <f t="array" ref="K286">_xlfn.IFS(AND(Table1567[[#This Row],[Total Amount]]&gt;=1500),"Critical",AND(Table1567[[#This Row],[Total Amount]]&gt;=1000),"High",TRUE,"Normal")</f>
        <v>Normal</v>
      </c>
      <c r="L286" s="4" t="str">
        <f>IF(Table1567[[#This Row],[Total Amount]]&gt;=1000,"High",(IF(Table1567[[#This Row],[Total Amount]]&gt;=500,"Medium","Low")))</f>
        <v>Low</v>
      </c>
      <c r="M286" s="4" t="str" cm="1">
        <f t="array" ref="M28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86" s="4" cm="1">
        <f t="array" ref="N28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3.75</v>
      </c>
      <c r="O286" s="4">
        <f>Table1567[[#This Row],[Total Amount]]-Table1567[[#This Row],[Discount Amount]]</f>
        <v>21.25</v>
      </c>
      <c r="P286" s="4" t="str">
        <f>IF(Table1567[[#This Row],[Total Amount]]&gt;=1000,"High","Low")</f>
        <v>Low</v>
      </c>
      <c r="Q286" s="4" t="str" cm="1">
        <f t="array" ref="Q286">_xlfn.IFS(AND(Table1567[[#This Row],[Total Amount]]&gt;=1500,"Critical"),AND(Table1567[[#This Row],[Total Amount]]&gt;=1000,"High"),TRUE,"Normal")</f>
        <v>Normal</v>
      </c>
      <c r="R286" s="4" t="str">
        <f>CONCATENATE(Table1567[[#This Row],[Customer ID]], "-",Table1567[[#This Row],[Age]])</f>
        <v>CUST285-31</v>
      </c>
      <c r="S286" s="4" t="str">
        <f>TEXT(Table1567[[#This Row],[Date]],"mmm")</f>
        <v>Aug</v>
      </c>
      <c r="T286" s="4" t="str">
        <f>TEXT(Table1567[[#This Row],[Date]],"DDD")</f>
        <v>Tue</v>
      </c>
    </row>
    <row r="287" spans="1:20" ht="29" x14ac:dyDescent="0.35">
      <c r="A287" s="4">
        <v>286</v>
      </c>
      <c r="B287" s="5">
        <v>45208</v>
      </c>
      <c r="C287" s="4" t="s">
        <v>299</v>
      </c>
      <c r="D287" s="4" t="s">
        <v>10</v>
      </c>
      <c r="E287" s="4">
        <v>55</v>
      </c>
      <c r="F287" s="4" t="str">
        <f>IF(Table1567[[#This Row],[Age]]&lt;=19,"Teenager",IF(Table1567[[#This Row],[Age]]&lt;=40,"Median","Old"))</f>
        <v>Old</v>
      </c>
      <c r="G287" s="4" t="s">
        <v>16</v>
      </c>
      <c r="H287" s="4">
        <v>2</v>
      </c>
      <c r="I287" s="4">
        <v>25</v>
      </c>
      <c r="J287" s="4">
        <v>50</v>
      </c>
      <c r="K287" s="4" t="str" cm="1">
        <f t="array" ref="K287">_xlfn.IFS(AND(Table1567[[#This Row],[Total Amount]]&gt;=1500),"Critical",AND(Table1567[[#This Row],[Total Amount]]&gt;=1000),"High",TRUE,"Normal")</f>
        <v>Normal</v>
      </c>
      <c r="L287" s="4" t="str">
        <f>IF(Table1567[[#This Row],[Total Amount]]&gt;=1000,"High",(IF(Table1567[[#This Row],[Total Amount]]&gt;=500,"Medium","Low")))</f>
        <v>Low</v>
      </c>
      <c r="M287" s="4" t="str" cm="1">
        <f t="array" ref="M28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87" s="4" cm="1">
        <f t="array" ref="N28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287" s="4">
        <f>Table1567[[#This Row],[Total Amount]]-Table1567[[#This Row],[Discount Amount]]</f>
        <v>45</v>
      </c>
      <c r="P287" s="4" t="str">
        <f>IF(Table1567[[#This Row],[Total Amount]]&gt;=1000,"High","Low")</f>
        <v>Low</v>
      </c>
      <c r="Q287" s="4" t="str" cm="1">
        <f t="array" ref="Q287">_xlfn.IFS(AND(Table1567[[#This Row],[Total Amount]]&gt;=1500,"Critical"),AND(Table1567[[#This Row],[Total Amount]]&gt;=1000,"High"),TRUE,"Normal")</f>
        <v>Normal</v>
      </c>
      <c r="R287" s="4" t="str">
        <f>CONCATENATE(Table1567[[#This Row],[Customer ID]], "-",Table1567[[#This Row],[Age]])</f>
        <v>CUST286-55</v>
      </c>
      <c r="S287" s="4" t="str">
        <f>TEXT(Table1567[[#This Row],[Date]],"mmm")</f>
        <v>Oct</v>
      </c>
      <c r="T287" s="4" t="str">
        <f>TEXT(Table1567[[#This Row],[Date]],"DDD")</f>
        <v>Mon</v>
      </c>
    </row>
    <row r="288" spans="1:20" ht="29" x14ac:dyDescent="0.35">
      <c r="A288" s="4">
        <v>287</v>
      </c>
      <c r="B288" s="5">
        <v>44977</v>
      </c>
      <c r="C288" s="4" t="s">
        <v>300</v>
      </c>
      <c r="D288" s="4" t="s">
        <v>10</v>
      </c>
      <c r="E288" s="4">
        <v>54</v>
      </c>
      <c r="F288" s="4" t="str">
        <f>IF(Table1567[[#This Row],[Age]]&lt;=19,"Teenager",IF(Table1567[[#This Row],[Age]]&lt;=40,"Median","Old"))</f>
        <v>Old</v>
      </c>
      <c r="G288" s="4" t="s">
        <v>14</v>
      </c>
      <c r="H288" s="4">
        <v>4</v>
      </c>
      <c r="I288" s="4">
        <v>25</v>
      </c>
      <c r="J288" s="4">
        <v>100</v>
      </c>
      <c r="K288" s="4" t="str" cm="1">
        <f t="array" ref="K288">_xlfn.IFS(AND(Table1567[[#This Row],[Total Amount]]&gt;=1500),"Critical",AND(Table1567[[#This Row],[Total Amount]]&gt;=1000),"High",TRUE,"Normal")</f>
        <v>Normal</v>
      </c>
      <c r="L288" s="4" t="str">
        <f>IF(Table1567[[#This Row],[Total Amount]]&gt;=1000,"High",(IF(Table1567[[#This Row],[Total Amount]]&gt;=500,"Medium","Low")))</f>
        <v>Low</v>
      </c>
      <c r="M288" s="4" t="str" cm="1">
        <f t="array" ref="M28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88" s="4" cm="1">
        <f t="array" ref="N28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288" s="4">
        <f>Table1567[[#This Row],[Total Amount]]-Table1567[[#This Row],[Discount Amount]]</f>
        <v>90</v>
      </c>
      <c r="P288" s="4" t="str">
        <f>IF(Table1567[[#This Row],[Total Amount]]&gt;=1000,"High","Low")</f>
        <v>Low</v>
      </c>
      <c r="Q288" s="4" t="str" cm="1">
        <f t="array" ref="Q288">_xlfn.IFS(AND(Table1567[[#This Row],[Total Amount]]&gt;=1500,"Critical"),AND(Table1567[[#This Row],[Total Amount]]&gt;=1000,"High"),TRUE,"Normal")</f>
        <v>Normal</v>
      </c>
      <c r="R288" s="4" t="str">
        <f>CONCATENATE(Table1567[[#This Row],[Customer ID]], "-",Table1567[[#This Row],[Age]])</f>
        <v>CUST287-54</v>
      </c>
      <c r="S288" s="4" t="str">
        <f>TEXT(Table1567[[#This Row],[Date]],"mmm")</f>
        <v>Feb</v>
      </c>
      <c r="T288" s="4" t="str">
        <f>TEXT(Table1567[[#This Row],[Date]],"DDD")</f>
        <v>Mon</v>
      </c>
    </row>
    <row r="289" spans="1:20" ht="29" x14ac:dyDescent="0.35">
      <c r="A289" s="4">
        <v>288</v>
      </c>
      <c r="B289" s="5">
        <v>44952</v>
      </c>
      <c r="C289" s="4" t="s">
        <v>301</v>
      </c>
      <c r="D289" s="4" t="s">
        <v>10</v>
      </c>
      <c r="E289" s="4">
        <v>28</v>
      </c>
      <c r="F289" s="4" t="str">
        <f>IF(Table1567[[#This Row],[Age]]&lt;=19,"Teenager",IF(Table1567[[#This Row],[Age]]&lt;=40,"Median","Old"))</f>
        <v>Median</v>
      </c>
      <c r="G289" s="4" t="s">
        <v>14</v>
      </c>
      <c r="H289" s="4">
        <v>4</v>
      </c>
      <c r="I289" s="4">
        <v>30</v>
      </c>
      <c r="J289" s="4">
        <v>120</v>
      </c>
      <c r="K289" s="4" t="str" cm="1">
        <f t="array" ref="K289">_xlfn.IFS(AND(Table1567[[#This Row],[Total Amount]]&gt;=1500),"Critical",AND(Table1567[[#This Row],[Total Amount]]&gt;=1000),"High",TRUE,"Normal")</f>
        <v>Normal</v>
      </c>
      <c r="L289" s="4" t="str">
        <f>IF(Table1567[[#This Row],[Total Amount]]&gt;=1000,"High",(IF(Table1567[[#This Row],[Total Amount]]&gt;=500,"Medium","Low")))</f>
        <v>Low</v>
      </c>
      <c r="M289" s="4" t="str" cm="1">
        <f t="array" ref="M28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89" s="4" cm="1">
        <f t="array" ref="N28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289" s="4">
        <f>Table1567[[#This Row],[Total Amount]]-Table1567[[#This Row],[Discount Amount]]</f>
        <v>102</v>
      </c>
      <c r="P289" s="4" t="str">
        <f>IF(Table1567[[#This Row],[Total Amount]]&gt;=1000,"High","Low")</f>
        <v>Low</v>
      </c>
      <c r="Q289" s="4" t="str" cm="1">
        <f t="array" ref="Q289">_xlfn.IFS(AND(Table1567[[#This Row],[Total Amount]]&gt;=1500,"Critical"),AND(Table1567[[#This Row],[Total Amount]]&gt;=1000,"High"),TRUE,"Normal")</f>
        <v>Normal</v>
      </c>
      <c r="R289" s="4" t="str">
        <f>CONCATENATE(Table1567[[#This Row],[Customer ID]], "-",Table1567[[#This Row],[Age]])</f>
        <v>CUST288-28</v>
      </c>
      <c r="S289" s="4" t="str">
        <f>TEXT(Table1567[[#This Row],[Date]],"mmm")</f>
        <v>Jan</v>
      </c>
      <c r="T289" s="4" t="str">
        <f>TEXT(Table1567[[#This Row],[Date]],"DDD")</f>
        <v>Thu</v>
      </c>
    </row>
    <row r="290" spans="1:20" ht="29" x14ac:dyDescent="0.35">
      <c r="A290" s="4">
        <v>289</v>
      </c>
      <c r="B290" s="5">
        <v>45260</v>
      </c>
      <c r="C290" s="4" t="s">
        <v>302</v>
      </c>
      <c r="D290" s="4" t="s">
        <v>10</v>
      </c>
      <c r="E290" s="4">
        <v>53</v>
      </c>
      <c r="F290" s="4" t="str">
        <f>IF(Table1567[[#This Row],[Age]]&lt;=19,"Teenager",IF(Table1567[[#This Row],[Age]]&lt;=40,"Median","Old"))</f>
        <v>Old</v>
      </c>
      <c r="G290" s="4" t="s">
        <v>16</v>
      </c>
      <c r="H290" s="4">
        <v>2</v>
      </c>
      <c r="I290" s="4">
        <v>30</v>
      </c>
      <c r="J290" s="4">
        <v>60</v>
      </c>
      <c r="K290" s="4" t="str" cm="1">
        <f t="array" ref="K290">_xlfn.IFS(AND(Table1567[[#This Row],[Total Amount]]&gt;=1500),"Critical",AND(Table1567[[#This Row],[Total Amount]]&gt;=1000),"High",TRUE,"Normal")</f>
        <v>Normal</v>
      </c>
      <c r="L290" s="4" t="str">
        <f>IF(Table1567[[#This Row],[Total Amount]]&gt;=1000,"High",(IF(Table1567[[#This Row],[Total Amount]]&gt;=500,"Medium","Low")))</f>
        <v>Low</v>
      </c>
      <c r="M290" s="4" t="str" cm="1">
        <f t="array" ref="M29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90" s="4" cm="1">
        <f t="array" ref="N29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290" s="4">
        <f>Table1567[[#This Row],[Total Amount]]-Table1567[[#This Row],[Discount Amount]]</f>
        <v>54</v>
      </c>
      <c r="P290" s="4" t="str">
        <f>IF(Table1567[[#This Row],[Total Amount]]&gt;=1000,"High","Low")</f>
        <v>Low</v>
      </c>
      <c r="Q290" s="4" t="str" cm="1">
        <f t="array" ref="Q290">_xlfn.IFS(AND(Table1567[[#This Row],[Total Amount]]&gt;=1500,"Critical"),AND(Table1567[[#This Row],[Total Amount]]&gt;=1000,"High"),TRUE,"Normal")</f>
        <v>Normal</v>
      </c>
      <c r="R290" s="4" t="str">
        <f>CONCATENATE(Table1567[[#This Row],[Customer ID]], "-",Table1567[[#This Row],[Age]])</f>
        <v>CUST289-53</v>
      </c>
      <c r="S290" s="4" t="str">
        <f>TEXT(Table1567[[#This Row],[Date]],"mmm")</f>
        <v>Nov</v>
      </c>
      <c r="T290" s="4" t="str">
        <f>TEXT(Table1567[[#This Row],[Date]],"DDD")</f>
        <v>Thu</v>
      </c>
    </row>
    <row r="291" spans="1:20" ht="29" x14ac:dyDescent="0.35">
      <c r="A291" s="4">
        <v>290</v>
      </c>
      <c r="B291" s="5">
        <v>45203</v>
      </c>
      <c r="C291" s="4" t="s">
        <v>303</v>
      </c>
      <c r="D291" s="4" t="s">
        <v>13</v>
      </c>
      <c r="E291" s="4">
        <v>30</v>
      </c>
      <c r="F291" s="4" t="str">
        <f>IF(Table1567[[#This Row],[Age]]&lt;=19,"Teenager",IF(Table1567[[#This Row],[Age]]&lt;=40,"Median","Old"))</f>
        <v>Median</v>
      </c>
      <c r="G291" s="4" t="s">
        <v>11</v>
      </c>
      <c r="H291" s="4">
        <v>2</v>
      </c>
      <c r="I291" s="4">
        <v>300</v>
      </c>
      <c r="J291" s="4">
        <v>600</v>
      </c>
      <c r="K291" s="4" t="str" cm="1">
        <f t="array" ref="K291">_xlfn.IFS(AND(Table1567[[#This Row],[Total Amount]]&gt;=1500),"Critical",AND(Table1567[[#This Row],[Total Amount]]&gt;=1000),"High",TRUE,"Normal")</f>
        <v>Normal</v>
      </c>
      <c r="L291" s="4" t="str">
        <f>IF(Table1567[[#This Row],[Total Amount]]&gt;=1000,"High",(IF(Table1567[[#This Row],[Total Amount]]&gt;=500,"Medium","Low")))</f>
        <v>Medium</v>
      </c>
      <c r="M291" s="4" t="str" cm="1">
        <f t="array" ref="M29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91" s="4" cm="1">
        <f t="array" ref="N29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291" s="4">
        <f>Table1567[[#This Row],[Total Amount]]-Table1567[[#This Row],[Discount Amount]]</f>
        <v>510</v>
      </c>
      <c r="P291" s="4" t="str">
        <f>IF(Table1567[[#This Row],[Total Amount]]&gt;=1000,"High","Low")</f>
        <v>Low</v>
      </c>
      <c r="Q291" s="4" t="str" cm="1">
        <f t="array" ref="Q291">_xlfn.IFS(AND(Table1567[[#This Row],[Total Amount]]&gt;=1500,"Critical"),AND(Table1567[[#This Row],[Total Amount]]&gt;=1000,"High"),TRUE,"Normal")</f>
        <v>Normal</v>
      </c>
      <c r="R291" s="4" t="str">
        <f>CONCATENATE(Table1567[[#This Row],[Customer ID]], "-",Table1567[[#This Row],[Age]])</f>
        <v>CUST290-30</v>
      </c>
      <c r="S291" s="4" t="str">
        <f>TEXT(Table1567[[#This Row],[Date]],"mmm")</f>
        <v>Oct</v>
      </c>
      <c r="T291" s="4" t="str">
        <f>TEXT(Table1567[[#This Row],[Date]],"DDD")</f>
        <v>Wed</v>
      </c>
    </row>
    <row r="292" spans="1:20" ht="29" x14ac:dyDescent="0.35">
      <c r="A292" s="4">
        <v>291</v>
      </c>
      <c r="B292" s="5">
        <v>44934</v>
      </c>
      <c r="C292" s="4" t="s">
        <v>304</v>
      </c>
      <c r="D292" s="4" t="s">
        <v>10</v>
      </c>
      <c r="E292" s="4">
        <v>60</v>
      </c>
      <c r="F292" s="4" t="str">
        <f>IF(Table1567[[#This Row],[Age]]&lt;=19,"Teenager",IF(Table1567[[#This Row],[Age]]&lt;=40,"Median","Old"))</f>
        <v>Old</v>
      </c>
      <c r="G292" s="4" t="s">
        <v>14</v>
      </c>
      <c r="H292" s="4">
        <v>2</v>
      </c>
      <c r="I292" s="4">
        <v>300</v>
      </c>
      <c r="J292" s="4">
        <v>600</v>
      </c>
      <c r="K292" s="4" t="str" cm="1">
        <f t="array" ref="K292">_xlfn.IFS(AND(Table1567[[#This Row],[Total Amount]]&gt;=1500),"Critical",AND(Table1567[[#This Row],[Total Amount]]&gt;=1000),"High",TRUE,"Normal")</f>
        <v>Normal</v>
      </c>
      <c r="L292" s="4" t="str">
        <f>IF(Table1567[[#This Row],[Total Amount]]&gt;=1000,"High",(IF(Table1567[[#This Row],[Total Amount]]&gt;=500,"Medium","Low")))</f>
        <v>Medium</v>
      </c>
      <c r="M292" s="4" t="str" cm="1">
        <f t="array" ref="M29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92" s="4" cm="1">
        <f t="array" ref="N29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292" s="4">
        <f>Table1567[[#This Row],[Total Amount]]-Table1567[[#This Row],[Discount Amount]]</f>
        <v>540</v>
      </c>
      <c r="P292" s="4" t="str">
        <f>IF(Table1567[[#This Row],[Total Amount]]&gt;=1000,"High","Low")</f>
        <v>Low</v>
      </c>
      <c r="Q292" s="4" t="str" cm="1">
        <f t="array" ref="Q292">_xlfn.IFS(AND(Table1567[[#This Row],[Total Amount]]&gt;=1500,"Critical"),AND(Table1567[[#This Row],[Total Amount]]&gt;=1000,"High"),TRUE,"Normal")</f>
        <v>Normal</v>
      </c>
      <c r="R292" s="4" t="str">
        <f>CONCATENATE(Table1567[[#This Row],[Customer ID]], "-",Table1567[[#This Row],[Age]])</f>
        <v>CUST291-60</v>
      </c>
      <c r="S292" s="4" t="str">
        <f>TEXT(Table1567[[#This Row],[Date]],"mmm")</f>
        <v>Jan</v>
      </c>
      <c r="T292" s="4" t="str">
        <f>TEXT(Table1567[[#This Row],[Date]],"DDD")</f>
        <v>Sun</v>
      </c>
    </row>
    <row r="293" spans="1:20" ht="29" x14ac:dyDescent="0.35">
      <c r="A293" s="4">
        <v>292</v>
      </c>
      <c r="B293" s="5">
        <v>44974</v>
      </c>
      <c r="C293" s="4" t="s">
        <v>305</v>
      </c>
      <c r="D293" s="4" t="s">
        <v>10</v>
      </c>
      <c r="E293" s="4">
        <v>20</v>
      </c>
      <c r="F293" s="4" t="str">
        <f>IF(Table1567[[#This Row],[Age]]&lt;=19,"Teenager",IF(Table1567[[#This Row],[Age]]&lt;=40,"Median","Old"))</f>
        <v>Median</v>
      </c>
      <c r="G293" s="4" t="s">
        <v>11</v>
      </c>
      <c r="H293" s="4">
        <v>4</v>
      </c>
      <c r="I293" s="4">
        <v>300</v>
      </c>
      <c r="J293" s="4">
        <v>1200</v>
      </c>
      <c r="K293" s="4" t="str" cm="1">
        <f t="array" ref="K293">_xlfn.IFS(AND(Table1567[[#This Row],[Total Amount]]&gt;=1500),"Critical",AND(Table1567[[#This Row],[Total Amount]]&gt;=1000),"High",TRUE,"Normal")</f>
        <v>High</v>
      </c>
      <c r="L293" s="4" t="str">
        <f>IF(Table1567[[#This Row],[Total Amount]]&gt;=1000,"High",(IF(Table1567[[#This Row],[Total Amount]]&gt;=500,"Medium","Low")))</f>
        <v>High</v>
      </c>
      <c r="M293" s="4" t="str" cm="1">
        <f t="array" ref="M29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93" s="4" cm="1">
        <f t="array" ref="N29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93" s="4">
        <f>Table1567[[#This Row],[Total Amount]]-Table1567[[#This Row],[Discount Amount]]</f>
        <v>1200</v>
      </c>
      <c r="P293" s="4" t="str">
        <f>IF(Table1567[[#This Row],[Total Amount]]&gt;=1000,"High","Low")</f>
        <v>High</v>
      </c>
      <c r="Q293" s="4" t="str" cm="1">
        <f t="array" ref="Q293">_xlfn.IFS(AND(Table1567[[#This Row],[Total Amount]]&gt;=1500,"Critical"),AND(Table1567[[#This Row],[Total Amount]]&gt;=1000,"High"),TRUE,"Normal")</f>
        <v>Normal</v>
      </c>
      <c r="R293" s="4" t="str">
        <f>CONCATENATE(Table1567[[#This Row],[Customer ID]], "-",Table1567[[#This Row],[Age]])</f>
        <v>CUST292-20</v>
      </c>
      <c r="S293" s="4" t="str">
        <f>TEXT(Table1567[[#This Row],[Date]],"mmm")</f>
        <v>Feb</v>
      </c>
      <c r="T293" s="4" t="str">
        <f>TEXT(Table1567[[#This Row],[Date]],"DDD")</f>
        <v>Fri</v>
      </c>
    </row>
    <row r="294" spans="1:20" ht="29" x14ac:dyDescent="0.35">
      <c r="A294" s="4">
        <v>293</v>
      </c>
      <c r="B294" s="5">
        <v>45048</v>
      </c>
      <c r="C294" s="4" t="s">
        <v>306</v>
      </c>
      <c r="D294" s="4" t="s">
        <v>10</v>
      </c>
      <c r="E294" s="4">
        <v>50</v>
      </c>
      <c r="F294" s="4" t="str">
        <f>IF(Table1567[[#This Row],[Age]]&lt;=19,"Teenager",IF(Table1567[[#This Row],[Age]]&lt;=40,"Median","Old"))</f>
        <v>Old</v>
      </c>
      <c r="G294" s="4" t="s">
        <v>16</v>
      </c>
      <c r="H294" s="4">
        <v>3</v>
      </c>
      <c r="I294" s="4">
        <v>30</v>
      </c>
      <c r="J294" s="4">
        <v>90</v>
      </c>
      <c r="K294" s="4" t="str" cm="1">
        <f t="array" ref="K294">_xlfn.IFS(AND(Table1567[[#This Row],[Total Amount]]&gt;=1500),"Critical",AND(Table1567[[#This Row],[Total Amount]]&gt;=1000),"High",TRUE,"Normal")</f>
        <v>Normal</v>
      </c>
      <c r="L294" s="4" t="str">
        <f>IF(Table1567[[#This Row],[Total Amount]]&gt;=1000,"High",(IF(Table1567[[#This Row],[Total Amount]]&gt;=500,"Medium","Low")))</f>
        <v>Low</v>
      </c>
      <c r="M294" s="4" t="str" cm="1">
        <f t="array" ref="M29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94" s="4" cm="1">
        <f t="array" ref="N29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</v>
      </c>
      <c r="O294" s="4">
        <f>Table1567[[#This Row],[Total Amount]]-Table1567[[#This Row],[Discount Amount]]</f>
        <v>81</v>
      </c>
      <c r="P294" s="4" t="str">
        <f>IF(Table1567[[#This Row],[Total Amount]]&gt;=1000,"High","Low")</f>
        <v>Low</v>
      </c>
      <c r="Q294" s="4" t="str" cm="1">
        <f t="array" ref="Q294">_xlfn.IFS(AND(Table1567[[#This Row],[Total Amount]]&gt;=1500,"Critical"),AND(Table1567[[#This Row],[Total Amount]]&gt;=1000,"High"),TRUE,"Normal")</f>
        <v>Normal</v>
      </c>
      <c r="R294" s="4" t="str">
        <f>CONCATENATE(Table1567[[#This Row],[Customer ID]], "-",Table1567[[#This Row],[Age]])</f>
        <v>CUST293-50</v>
      </c>
      <c r="S294" s="4" t="str">
        <f>TEXT(Table1567[[#This Row],[Date]],"mmm")</f>
        <v>May</v>
      </c>
      <c r="T294" s="4" t="str">
        <f>TEXT(Table1567[[#This Row],[Date]],"DDD")</f>
        <v>Tue</v>
      </c>
    </row>
    <row r="295" spans="1:20" ht="29" x14ac:dyDescent="0.35">
      <c r="A295" s="4">
        <v>294</v>
      </c>
      <c r="B295" s="5">
        <v>45012</v>
      </c>
      <c r="C295" s="4" t="s">
        <v>307</v>
      </c>
      <c r="D295" s="4" t="s">
        <v>13</v>
      </c>
      <c r="E295" s="4">
        <v>23</v>
      </c>
      <c r="F295" s="4" t="str">
        <f>IF(Table1567[[#This Row],[Age]]&lt;=19,"Teenager",IF(Table1567[[#This Row],[Age]]&lt;=40,"Median","Old"))</f>
        <v>Median</v>
      </c>
      <c r="G295" s="4" t="s">
        <v>14</v>
      </c>
      <c r="H295" s="4">
        <v>3</v>
      </c>
      <c r="I295" s="4">
        <v>30</v>
      </c>
      <c r="J295" s="4">
        <v>90</v>
      </c>
      <c r="K295" s="4" t="str" cm="1">
        <f t="array" ref="K295">_xlfn.IFS(AND(Table1567[[#This Row],[Total Amount]]&gt;=1500),"Critical",AND(Table1567[[#This Row],[Total Amount]]&gt;=1000),"High",TRUE,"Normal")</f>
        <v>Normal</v>
      </c>
      <c r="L295" s="4" t="str">
        <f>IF(Table1567[[#This Row],[Total Amount]]&gt;=1000,"High",(IF(Table1567[[#This Row],[Total Amount]]&gt;=500,"Medium","Low")))</f>
        <v>Low</v>
      </c>
      <c r="M295" s="4" t="str" cm="1">
        <f t="array" ref="M29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95" s="4" cm="1">
        <f t="array" ref="N29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95" s="4">
        <f>Table1567[[#This Row],[Total Amount]]-Table1567[[#This Row],[Discount Amount]]</f>
        <v>90</v>
      </c>
      <c r="P295" s="4" t="str">
        <f>IF(Table1567[[#This Row],[Total Amount]]&gt;=1000,"High","Low")</f>
        <v>Low</v>
      </c>
      <c r="Q295" s="4" t="str" cm="1">
        <f t="array" ref="Q295">_xlfn.IFS(AND(Table1567[[#This Row],[Total Amount]]&gt;=1500,"Critical"),AND(Table1567[[#This Row],[Total Amount]]&gt;=1000,"High"),TRUE,"Normal")</f>
        <v>Normal</v>
      </c>
      <c r="R295" s="4" t="str">
        <f>CONCATENATE(Table1567[[#This Row],[Customer ID]], "-",Table1567[[#This Row],[Age]])</f>
        <v>CUST294-23</v>
      </c>
      <c r="S295" s="4" t="str">
        <f>TEXT(Table1567[[#This Row],[Date]],"mmm")</f>
        <v>Mar</v>
      </c>
      <c r="T295" s="4" t="str">
        <f>TEXT(Table1567[[#This Row],[Date]],"DDD")</f>
        <v>Mon</v>
      </c>
    </row>
    <row r="296" spans="1:20" ht="29" x14ac:dyDescent="0.35">
      <c r="A296" s="4">
        <v>295</v>
      </c>
      <c r="B296" s="5">
        <v>45135</v>
      </c>
      <c r="C296" s="4" t="s">
        <v>308</v>
      </c>
      <c r="D296" s="4" t="s">
        <v>13</v>
      </c>
      <c r="E296" s="4">
        <v>27</v>
      </c>
      <c r="F296" s="4" t="str">
        <f>IF(Table1567[[#This Row],[Age]]&lt;=19,"Teenager",IF(Table1567[[#This Row],[Age]]&lt;=40,"Median","Old"))</f>
        <v>Median</v>
      </c>
      <c r="G296" s="4" t="s">
        <v>11</v>
      </c>
      <c r="H296" s="4">
        <v>3</v>
      </c>
      <c r="I296" s="4">
        <v>300</v>
      </c>
      <c r="J296" s="4">
        <v>900</v>
      </c>
      <c r="K296" s="4" t="str" cm="1">
        <f t="array" ref="K296">_xlfn.IFS(AND(Table1567[[#This Row],[Total Amount]]&gt;=1500),"Critical",AND(Table1567[[#This Row],[Total Amount]]&gt;=1000),"High",TRUE,"Normal")</f>
        <v>Normal</v>
      </c>
      <c r="L296" s="4" t="str">
        <f>IF(Table1567[[#This Row],[Total Amount]]&gt;=1000,"High",(IF(Table1567[[#This Row],[Total Amount]]&gt;=500,"Medium","Low")))</f>
        <v>Medium</v>
      </c>
      <c r="M296" s="4" t="str" cm="1">
        <f t="array" ref="M29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96" s="4" cm="1">
        <f t="array" ref="N29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135</v>
      </c>
      <c r="O296" s="4">
        <f>Table1567[[#This Row],[Total Amount]]-Table1567[[#This Row],[Discount Amount]]</f>
        <v>765</v>
      </c>
      <c r="P296" s="4" t="str">
        <f>IF(Table1567[[#This Row],[Total Amount]]&gt;=1000,"High","Low")</f>
        <v>Low</v>
      </c>
      <c r="Q296" s="4" t="str" cm="1">
        <f t="array" ref="Q296">_xlfn.IFS(AND(Table1567[[#This Row],[Total Amount]]&gt;=1500,"Critical"),AND(Table1567[[#This Row],[Total Amount]]&gt;=1000,"High"),TRUE,"Normal")</f>
        <v>Normal</v>
      </c>
      <c r="R296" s="4" t="str">
        <f>CONCATENATE(Table1567[[#This Row],[Customer ID]], "-",Table1567[[#This Row],[Age]])</f>
        <v>CUST295-27</v>
      </c>
      <c r="S296" s="4" t="str">
        <f>TEXT(Table1567[[#This Row],[Date]],"mmm")</f>
        <v>Jul</v>
      </c>
      <c r="T296" s="4" t="str">
        <f>TEXT(Table1567[[#This Row],[Date]],"DDD")</f>
        <v>Fri</v>
      </c>
    </row>
    <row r="297" spans="1:20" ht="29" x14ac:dyDescent="0.35">
      <c r="A297" s="4">
        <v>296</v>
      </c>
      <c r="B297" s="5">
        <v>45175</v>
      </c>
      <c r="C297" s="4" t="s">
        <v>309</v>
      </c>
      <c r="D297" s="4" t="s">
        <v>13</v>
      </c>
      <c r="E297" s="4">
        <v>22</v>
      </c>
      <c r="F297" s="4" t="str">
        <f>IF(Table1567[[#This Row],[Age]]&lt;=19,"Teenager",IF(Table1567[[#This Row],[Age]]&lt;=40,"Median","Old"))</f>
        <v>Median</v>
      </c>
      <c r="G297" s="4" t="s">
        <v>14</v>
      </c>
      <c r="H297" s="4">
        <v>4</v>
      </c>
      <c r="I297" s="4">
        <v>300</v>
      </c>
      <c r="J297" s="4">
        <v>1200</v>
      </c>
      <c r="K297" s="4" t="str" cm="1">
        <f t="array" ref="K297">_xlfn.IFS(AND(Table1567[[#This Row],[Total Amount]]&gt;=1500),"Critical",AND(Table1567[[#This Row],[Total Amount]]&gt;=1000),"High",TRUE,"Normal")</f>
        <v>High</v>
      </c>
      <c r="L297" s="4" t="str">
        <f>IF(Table1567[[#This Row],[Total Amount]]&gt;=1000,"High",(IF(Table1567[[#This Row],[Total Amount]]&gt;=500,"Medium","Low")))</f>
        <v>High</v>
      </c>
      <c r="M297" s="4" t="str" cm="1">
        <f t="array" ref="M29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97" s="4" cm="1">
        <f t="array" ref="N29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97" s="4">
        <f>Table1567[[#This Row],[Total Amount]]-Table1567[[#This Row],[Discount Amount]]</f>
        <v>1200</v>
      </c>
      <c r="P297" s="4" t="str">
        <f>IF(Table1567[[#This Row],[Total Amount]]&gt;=1000,"High","Low")</f>
        <v>High</v>
      </c>
      <c r="Q297" s="4" t="str" cm="1">
        <f t="array" ref="Q297">_xlfn.IFS(AND(Table1567[[#This Row],[Total Amount]]&gt;=1500,"Critical"),AND(Table1567[[#This Row],[Total Amount]]&gt;=1000,"High"),TRUE,"Normal")</f>
        <v>Normal</v>
      </c>
      <c r="R297" s="4" t="str">
        <f>CONCATENATE(Table1567[[#This Row],[Customer ID]], "-",Table1567[[#This Row],[Age]])</f>
        <v>CUST296-22</v>
      </c>
      <c r="S297" s="4" t="str">
        <f>TEXT(Table1567[[#This Row],[Date]],"mmm")</f>
        <v>Sep</v>
      </c>
      <c r="T297" s="4" t="str">
        <f>TEXT(Table1567[[#This Row],[Date]],"DDD")</f>
        <v>Wed</v>
      </c>
    </row>
    <row r="298" spans="1:20" ht="29" x14ac:dyDescent="0.35">
      <c r="A298" s="4">
        <v>297</v>
      </c>
      <c r="B298" s="5">
        <v>45173</v>
      </c>
      <c r="C298" s="4" t="s">
        <v>310</v>
      </c>
      <c r="D298" s="4" t="s">
        <v>13</v>
      </c>
      <c r="E298" s="4">
        <v>40</v>
      </c>
      <c r="F298" s="4" t="str">
        <f>IF(Table1567[[#This Row],[Age]]&lt;=19,"Teenager",IF(Table1567[[#This Row],[Age]]&lt;=40,"Median","Old"))</f>
        <v>Median</v>
      </c>
      <c r="G298" s="4" t="s">
        <v>16</v>
      </c>
      <c r="H298" s="4">
        <v>2</v>
      </c>
      <c r="I298" s="4">
        <v>500</v>
      </c>
      <c r="J298" s="4">
        <v>1000</v>
      </c>
      <c r="K298" s="4" t="str" cm="1">
        <f t="array" ref="K298">_xlfn.IFS(AND(Table1567[[#This Row],[Total Amount]]&gt;=1500),"Critical",AND(Table1567[[#This Row],[Total Amount]]&gt;=1000),"High",TRUE,"Normal")</f>
        <v>High</v>
      </c>
      <c r="L298" s="4" t="str">
        <f>IF(Table1567[[#This Row],[Total Amount]]&gt;=1000,"High",(IF(Table1567[[#This Row],[Total Amount]]&gt;=500,"Medium","Low")))</f>
        <v>High</v>
      </c>
      <c r="M298" s="4" t="str" cm="1">
        <f t="array" ref="M29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98" s="4" cm="1">
        <f t="array" ref="N29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298" s="4">
        <f>Table1567[[#This Row],[Total Amount]]-Table1567[[#This Row],[Discount Amount]]</f>
        <v>800</v>
      </c>
      <c r="P298" s="4" t="str">
        <f>IF(Table1567[[#This Row],[Total Amount]]&gt;=1000,"High","Low")</f>
        <v>High</v>
      </c>
      <c r="Q298" s="4" t="str" cm="1">
        <f t="array" ref="Q298">_xlfn.IFS(AND(Table1567[[#This Row],[Total Amount]]&gt;=1500,"Critical"),AND(Table1567[[#This Row],[Total Amount]]&gt;=1000,"High"),TRUE,"Normal")</f>
        <v>Normal</v>
      </c>
      <c r="R298" s="4" t="str">
        <f>CONCATENATE(Table1567[[#This Row],[Customer ID]], "-",Table1567[[#This Row],[Age]])</f>
        <v>CUST297-40</v>
      </c>
      <c r="S298" s="4" t="str">
        <f>TEXT(Table1567[[#This Row],[Date]],"mmm")</f>
        <v>Sep</v>
      </c>
      <c r="T298" s="4" t="str">
        <f>TEXT(Table1567[[#This Row],[Date]],"DDD")</f>
        <v>Mon</v>
      </c>
    </row>
    <row r="299" spans="1:20" ht="29" x14ac:dyDescent="0.35">
      <c r="A299" s="4">
        <v>298</v>
      </c>
      <c r="B299" s="5">
        <v>45036</v>
      </c>
      <c r="C299" s="4" t="s">
        <v>311</v>
      </c>
      <c r="D299" s="4" t="s">
        <v>10</v>
      </c>
      <c r="E299" s="4">
        <v>27</v>
      </c>
      <c r="F299" s="4" t="str">
        <f>IF(Table1567[[#This Row],[Age]]&lt;=19,"Teenager",IF(Table1567[[#This Row],[Age]]&lt;=40,"Median","Old"))</f>
        <v>Median</v>
      </c>
      <c r="G299" s="4" t="s">
        <v>11</v>
      </c>
      <c r="H299" s="4">
        <v>4</v>
      </c>
      <c r="I299" s="4">
        <v>300</v>
      </c>
      <c r="J299" s="4">
        <v>1200</v>
      </c>
      <c r="K299" s="4" t="str" cm="1">
        <f t="array" ref="K299">_xlfn.IFS(AND(Table1567[[#This Row],[Total Amount]]&gt;=1500),"Critical",AND(Table1567[[#This Row],[Total Amount]]&gt;=1000),"High",TRUE,"Normal")</f>
        <v>High</v>
      </c>
      <c r="L299" s="4" t="str">
        <f>IF(Table1567[[#This Row],[Total Amount]]&gt;=1000,"High",(IF(Table1567[[#This Row],[Total Amount]]&gt;=500,"Medium","Low")))</f>
        <v>High</v>
      </c>
      <c r="M299" s="4" t="str" cm="1">
        <f t="array" ref="M29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99" s="4" cm="1">
        <f t="array" ref="N29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299" s="4">
        <f>Table1567[[#This Row],[Total Amount]]-Table1567[[#This Row],[Discount Amount]]</f>
        <v>1020</v>
      </c>
      <c r="P299" s="4" t="str">
        <f>IF(Table1567[[#This Row],[Total Amount]]&gt;=1000,"High","Low")</f>
        <v>High</v>
      </c>
      <c r="Q299" s="4" t="str" cm="1">
        <f t="array" ref="Q299">_xlfn.IFS(AND(Table1567[[#This Row],[Total Amount]]&gt;=1500,"Critical"),AND(Table1567[[#This Row],[Total Amount]]&gt;=1000,"High"),TRUE,"Normal")</f>
        <v>Normal</v>
      </c>
      <c r="R299" s="4" t="str">
        <f>CONCATENATE(Table1567[[#This Row],[Customer ID]], "-",Table1567[[#This Row],[Age]])</f>
        <v>CUST298-27</v>
      </c>
      <c r="S299" s="4" t="str">
        <f>TEXT(Table1567[[#This Row],[Date]],"mmm")</f>
        <v>Apr</v>
      </c>
      <c r="T299" s="4" t="str">
        <f>TEXT(Table1567[[#This Row],[Date]],"DDD")</f>
        <v>Thu</v>
      </c>
    </row>
    <row r="300" spans="1:20" ht="29" x14ac:dyDescent="0.35">
      <c r="A300" s="4">
        <v>299</v>
      </c>
      <c r="B300" s="5">
        <v>45132</v>
      </c>
      <c r="C300" s="4" t="s">
        <v>312</v>
      </c>
      <c r="D300" s="4" t="s">
        <v>10</v>
      </c>
      <c r="E300" s="4">
        <v>61</v>
      </c>
      <c r="F300" s="4" t="str">
        <f>IF(Table1567[[#This Row],[Age]]&lt;=19,"Teenager",IF(Table1567[[#This Row],[Age]]&lt;=40,"Median","Old"))</f>
        <v>Old</v>
      </c>
      <c r="G300" s="4" t="s">
        <v>16</v>
      </c>
      <c r="H300" s="4">
        <v>2</v>
      </c>
      <c r="I300" s="4">
        <v>500</v>
      </c>
      <c r="J300" s="4">
        <v>1000</v>
      </c>
      <c r="K300" s="4" t="str" cm="1">
        <f t="array" ref="K300">_xlfn.IFS(AND(Table1567[[#This Row],[Total Amount]]&gt;=1500),"Critical",AND(Table1567[[#This Row],[Total Amount]]&gt;=1000),"High",TRUE,"Normal")</f>
        <v>High</v>
      </c>
      <c r="L300" s="4" t="str">
        <f>IF(Table1567[[#This Row],[Total Amount]]&gt;=1000,"High",(IF(Table1567[[#This Row],[Total Amount]]&gt;=500,"Medium","Low")))</f>
        <v>High</v>
      </c>
      <c r="M300" s="4" t="str" cm="1">
        <f t="array" ref="M30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00" s="4" cm="1">
        <f t="array" ref="N30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300" s="4">
        <f>Table1567[[#This Row],[Total Amount]]-Table1567[[#This Row],[Discount Amount]]</f>
        <v>900</v>
      </c>
      <c r="P300" s="4" t="str">
        <f>IF(Table1567[[#This Row],[Total Amount]]&gt;=1000,"High","Low")</f>
        <v>High</v>
      </c>
      <c r="Q300" s="4" t="str" cm="1">
        <f t="array" ref="Q300">_xlfn.IFS(AND(Table1567[[#This Row],[Total Amount]]&gt;=1500,"Critical"),AND(Table1567[[#This Row],[Total Amount]]&gt;=1000,"High"),TRUE,"Normal")</f>
        <v>Normal</v>
      </c>
      <c r="R300" s="4" t="str">
        <f>CONCATENATE(Table1567[[#This Row],[Customer ID]], "-",Table1567[[#This Row],[Age]])</f>
        <v>CUST299-61</v>
      </c>
      <c r="S300" s="4" t="str">
        <f>TEXT(Table1567[[#This Row],[Date]],"mmm")</f>
        <v>Jul</v>
      </c>
      <c r="T300" s="4" t="str">
        <f>TEXT(Table1567[[#This Row],[Date]],"DDD")</f>
        <v>Tue</v>
      </c>
    </row>
    <row r="301" spans="1:20" ht="29" x14ac:dyDescent="0.35">
      <c r="A301" s="4">
        <v>300</v>
      </c>
      <c r="B301" s="5">
        <v>44957</v>
      </c>
      <c r="C301" s="4" t="s">
        <v>313</v>
      </c>
      <c r="D301" s="4" t="s">
        <v>13</v>
      </c>
      <c r="E301" s="4">
        <v>19</v>
      </c>
      <c r="F301" s="4" t="str">
        <f>IF(Table1567[[#This Row],[Age]]&lt;=19,"Teenager",IF(Table1567[[#This Row],[Age]]&lt;=40,"Median","Old"))</f>
        <v>Teenager</v>
      </c>
      <c r="G301" s="4" t="s">
        <v>16</v>
      </c>
      <c r="H301" s="4">
        <v>4</v>
      </c>
      <c r="I301" s="4">
        <v>50</v>
      </c>
      <c r="J301" s="4">
        <v>200</v>
      </c>
      <c r="K301" s="4" t="str" cm="1">
        <f t="array" ref="K301">_xlfn.IFS(AND(Table1567[[#This Row],[Total Amount]]&gt;=1500),"Critical",AND(Table1567[[#This Row],[Total Amount]]&gt;=1000),"High",TRUE,"Normal")</f>
        <v>Normal</v>
      </c>
      <c r="L301" s="4" t="str">
        <f>IF(Table1567[[#This Row],[Total Amount]]&gt;=1000,"High",(IF(Table1567[[#This Row],[Total Amount]]&gt;=500,"Medium","Low")))</f>
        <v>Low</v>
      </c>
      <c r="M301" s="4" t="str" cm="1">
        <f t="array" ref="M30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301" s="4" cm="1">
        <f t="array" ref="N30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301" s="4">
        <f>Table1567[[#This Row],[Total Amount]]-Table1567[[#This Row],[Discount Amount]]</f>
        <v>200</v>
      </c>
      <c r="P301" s="4" t="str">
        <f>IF(Table1567[[#This Row],[Total Amount]]&gt;=1000,"High","Low")</f>
        <v>Low</v>
      </c>
      <c r="Q301" s="4" t="str" cm="1">
        <f t="array" ref="Q301">_xlfn.IFS(AND(Table1567[[#This Row],[Total Amount]]&gt;=1500,"Critical"),AND(Table1567[[#This Row],[Total Amount]]&gt;=1000,"High"),TRUE,"Normal")</f>
        <v>Normal</v>
      </c>
      <c r="R301" s="4" t="str">
        <f>CONCATENATE(Table1567[[#This Row],[Customer ID]], "-",Table1567[[#This Row],[Age]])</f>
        <v>CUST300-19</v>
      </c>
      <c r="S301" s="4" t="str">
        <f>TEXT(Table1567[[#This Row],[Date]],"mmm")</f>
        <v>Jan</v>
      </c>
      <c r="T301" s="4" t="str">
        <f>TEXT(Table1567[[#This Row],[Date]],"DDD")</f>
        <v>Tue</v>
      </c>
    </row>
    <row r="302" spans="1:20" ht="29" x14ac:dyDescent="0.35">
      <c r="A302" s="4">
        <v>301</v>
      </c>
      <c r="B302" s="5">
        <v>45011</v>
      </c>
      <c r="C302" s="4" t="s">
        <v>314</v>
      </c>
      <c r="D302" s="4" t="s">
        <v>10</v>
      </c>
      <c r="E302" s="4">
        <v>30</v>
      </c>
      <c r="F302" s="4" t="str">
        <f>IF(Table1567[[#This Row],[Age]]&lt;=19,"Teenager",IF(Table1567[[#This Row],[Age]]&lt;=40,"Median","Old"))</f>
        <v>Median</v>
      </c>
      <c r="G302" s="4" t="s">
        <v>14</v>
      </c>
      <c r="H302" s="4">
        <v>4</v>
      </c>
      <c r="I302" s="4">
        <v>30</v>
      </c>
      <c r="J302" s="4">
        <v>120</v>
      </c>
      <c r="K302" s="4" t="str" cm="1">
        <f t="array" ref="K302">_xlfn.IFS(AND(Table1567[[#This Row],[Total Amount]]&gt;=1500),"Critical",AND(Table1567[[#This Row],[Total Amount]]&gt;=1000),"High",TRUE,"Normal")</f>
        <v>Normal</v>
      </c>
      <c r="L302" s="4" t="str">
        <f>IF(Table1567[[#This Row],[Total Amount]]&gt;=1000,"High",(IF(Table1567[[#This Row],[Total Amount]]&gt;=500,"Medium","Low")))</f>
        <v>Low</v>
      </c>
      <c r="M302" s="4" t="str" cm="1">
        <f t="array" ref="M30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02" s="4" cm="1">
        <f t="array" ref="N30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302" s="4">
        <f>Table1567[[#This Row],[Total Amount]]-Table1567[[#This Row],[Discount Amount]]</f>
        <v>102</v>
      </c>
      <c r="P302" s="4" t="str">
        <f>IF(Table1567[[#This Row],[Total Amount]]&gt;=1000,"High","Low")</f>
        <v>Low</v>
      </c>
      <c r="Q302" s="4" t="str" cm="1">
        <f t="array" ref="Q302">_xlfn.IFS(AND(Table1567[[#This Row],[Total Amount]]&gt;=1500,"Critical"),AND(Table1567[[#This Row],[Total Amount]]&gt;=1000,"High"),TRUE,"Normal")</f>
        <v>Normal</v>
      </c>
      <c r="R302" s="4" t="str">
        <f>CONCATENATE(Table1567[[#This Row],[Customer ID]], "-",Table1567[[#This Row],[Age]])</f>
        <v>CUST301-30</v>
      </c>
      <c r="S302" s="4" t="str">
        <f>TEXT(Table1567[[#This Row],[Date]],"mmm")</f>
        <v>Mar</v>
      </c>
      <c r="T302" s="4" t="str">
        <f>TEXT(Table1567[[#This Row],[Date]],"DDD")</f>
        <v>Sun</v>
      </c>
    </row>
    <row r="303" spans="1:20" ht="29" x14ac:dyDescent="0.35">
      <c r="A303" s="4">
        <v>302</v>
      </c>
      <c r="B303" s="5">
        <v>45121</v>
      </c>
      <c r="C303" s="4" t="s">
        <v>315</v>
      </c>
      <c r="D303" s="4" t="s">
        <v>10</v>
      </c>
      <c r="E303" s="4">
        <v>57</v>
      </c>
      <c r="F303" s="4" t="str">
        <f>IF(Table1567[[#This Row],[Age]]&lt;=19,"Teenager",IF(Table1567[[#This Row],[Age]]&lt;=40,"Median","Old"))</f>
        <v>Old</v>
      </c>
      <c r="G303" s="4" t="s">
        <v>11</v>
      </c>
      <c r="H303" s="4">
        <v>2</v>
      </c>
      <c r="I303" s="4">
        <v>300</v>
      </c>
      <c r="J303" s="4">
        <v>600</v>
      </c>
      <c r="K303" s="4" t="str" cm="1">
        <f t="array" ref="K303">_xlfn.IFS(AND(Table1567[[#This Row],[Total Amount]]&gt;=1500),"Critical",AND(Table1567[[#This Row],[Total Amount]]&gt;=1000),"High",TRUE,"Normal")</f>
        <v>Normal</v>
      </c>
      <c r="L303" s="4" t="str">
        <f>IF(Table1567[[#This Row],[Total Amount]]&gt;=1000,"High",(IF(Table1567[[#This Row],[Total Amount]]&gt;=500,"Medium","Low")))</f>
        <v>Medium</v>
      </c>
      <c r="M303" s="4" t="str" cm="1">
        <f t="array" ref="M30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03" s="4" cm="1">
        <f t="array" ref="N30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303" s="4">
        <f>Table1567[[#This Row],[Total Amount]]-Table1567[[#This Row],[Discount Amount]]</f>
        <v>540</v>
      </c>
      <c r="P303" s="4" t="str">
        <f>IF(Table1567[[#This Row],[Total Amount]]&gt;=1000,"High","Low")</f>
        <v>Low</v>
      </c>
      <c r="Q303" s="4" t="str" cm="1">
        <f t="array" ref="Q303">_xlfn.IFS(AND(Table1567[[#This Row],[Total Amount]]&gt;=1500,"Critical"),AND(Table1567[[#This Row],[Total Amount]]&gt;=1000,"High"),TRUE,"Normal")</f>
        <v>Normal</v>
      </c>
      <c r="R303" s="4" t="str">
        <f>CONCATENATE(Table1567[[#This Row],[Customer ID]], "-",Table1567[[#This Row],[Age]])</f>
        <v>CUST302-57</v>
      </c>
      <c r="S303" s="4" t="str">
        <f>TEXT(Table1567[[#This Row],[Date]],"mmm")</f>
        <v>Jul</v>
      </c>
      <c r="T303" s="4" t="str">
        <f>TEXT(Table1567[[#This Row],[Date]],"DDD")</f>
        <v>Fri</v>
      </c>
    </row>
    <row r="304" spans="1:20" ht="29" x14ac:dyDescent="0.35">
      <c r="A304" s="4">
        <v>303</v>
      </c>
      <c r="B304" s="5">
        <v>44928</v>
      </c>
      <c r="C304" s="4" t="s">
        <v>316</v>
      </c>
      <c r="D304" s="4" t="s">
        <v>10</v>
      </c>
      <c r="E304" s="4">
        <v>19</v>
      </c>
      <c r="F304" s="4" t="str">
        <f>IF(Table1567[[#This Row],[Age]]&lt;=19,"Teenager",IF(Table1567[[#This Row],[Age]]&lt;=40,"Median","Old"))</f>
        <v>Teenager</v>
      </c>
      <c r="G304" s="4" t="s">
        <v>16</v>
      </c>
      <c r="H304" s="4">
        <v>3</v>
      </c>
      <c r="I304" s="4">
        <v>30</v>
      </c>
      <c r="J304" s="4">
        <v>90</v>
      </c>
      <c r="K304" s="4" t="str" cm="1">
        <f t="array" ref="K304">_xlfn.IFS(AND(Table1567[[#This Row],[Total Amount]]&gt;=1500),"Critical",AND(Table1567[[#This Row],[Total Amount]]&gt;=1000),"High",TRUE,"Normal")</f>
        <v>Normal</v>
      </c>
      <c r="L304" s="4" t="str">
        <f>IF(Table1567[[#This Row],[Total Amount]]&gt;=1000,"High",(IF(Table1567[[#This Row],[Total Amount]]&gt;=500,"Medium","Low")))</f>
        <v>Low</v>
      </c>
      <c r="M304" s="4" t="str" cm="1">
        <f t="array" ref="M30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304" s="4" cm="1">
        <f t="array" ref="N30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304" s="4">
        <f>Table1567[[#This Row],[Total Amount]]-Table1567[[#This Row],[Discount Amount]]</f>
        <v>90</v>
      </c>
      <c r="P304" s="4" t="str">
        <f>IF(Table1567[[#This Row],[Total Amount]]&gt;=1000,"High","Low")</f>
        <v>Low</v>
      </c>
      <c r="Q304" s="4" t="str" cm="1">
        <f t="array" ref="Q304">_xlfn.IFS(AND(Table1567[[#This Row],[Total Amount]]&gt;=1500,"Critical"),AND(Table1567[[#This Row],[Total Amount]]&gt;=1000,"High"),TRUE,"Normal")</f>
        <v>Normal</v>
      </c>
      <c r="R304" s="4" t="str">
        <f>CONCATENATE(Table1567[[#This Row],[Customer ID]], "-",Table1567[[#This Row],[Age]])</f>
        <v>CUST303-19</v>
      </c>
      <c r="S304" s="4" t="str">
        <f>TEXT(Table1567[[#This Row],[Date]],"mmm")</f>
        <v>Jan</v>
      </c>
      <c r="T304" s="4" t="str">
        <f>TEXT(Table1567[[#This Row],[Date]],"DDD")</f>
        <v>Mon</v>
      </c>
    </row>
    <row r="305" spans="1:20" ht="29" x14ac:dyDescent="0.35">
      <c r="A305" s="4">
        <v>304</v>
      </c>
      <c r="B305" s="5">
        <v>45126</v>
      </c>
      <c r="C305" s="4" t="s">
        <v>317</v>
      </c>
      <c r="D305" s="4" t="s">
        <v>13</v>
      </c>
      <c r="E305" s="4">
        <v>37</v>
      </c>
      <c r="F305" s="4" t="str">
        <f>IF(Table1567[[#This Row],[Age]]&lt;=19,"Teenager",IF(Table1567[[#This Row],[Age]]&lt;=40,"Median","Old"))</f>
        <v>Median</v>
      </c>
      <c r="G305" s="4" t="s">
        <v>16</v>
      </c>
      <c r="H305" s="4">
        <v>2</v>
      </c>
      <c r="I305" s="4">
        <v>30</v>
      </c>
      <c r="J305" s="4">
        <v>60</v>
      </c>
      <c r="K305" s="4" t="str" cm="1">
        <f t="array" ref="K305">_xlfn.IFS(AND(Table1567[[#This Row],[Total Amount]]&gt;=1500),"Critical",AND(Table1567[[#This Row],[Total Amount]]&gt;=1000),"High",TRUE,"Normal")</f>
        <v>Normal</v>
      </c>
      <c r="L305" s="4" t="str">
        <f>IF(Table1567[[#This Row],[Total Amount]]&gt;=1000,"High",(IF(Table1567[[#This Row],[Total Amount]]&gt;=500,"Medium","Low")))</f>
        <v>Low</v>
      </c>
      <c r="M305" s="4" t="str" cm="1">
        <f t="array" ref="M30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05" s="4" cm="1">
        <f t="array" ref="N30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305" s="4">
        <f>Table1567[[#This Row],[Total Amount]]-Table1567[[#This Row],[Discount Amount]]</f>
        <v>48</v>
      </c>
      <c r="P305" s="4" t="str">
        <f>IF(Table1567[[#This Row],[Total Amount]]&gt;=1000,"High","Low")</f>
        <v>Low</v>
      </c>
      <c r="Q305" s="4" t="str" cm="1">
        <f t="array" ref="Q305">_xlfn.IFS(AND(Table1567[[#This Row],[Total Amount]]&gt;=1500,"Critical"),AND(Table1567[[#This Row],[Total Amount]]&gt;=1000,"High"),TRUE,"Normal")</f>
        <v>Normal</v>
      </c>
      <c r="R305" s="4" t="str">
        <f>CONCATENATE(Table1567[[#This Row],[Customer ID]], "-",Table1567[[#This Row],[Age]])</f>
        <v>CUST304-37</v>
      </c>
      <c r="S305" s="4" t="str">
        <f>TEXT(Table1567[[#This Row],[Date]],"mmm")</f>
        <v>Jul</v>
      </c>
      <c r="T305" s="4" t="str">
        <f>TEXT(Table1567[[#This Row],[Date]],"DDD")</f>
        <v>Wed</v>
      </c>
    </row>
    <row r="306" spans="1:20" ht="29" x14ac:dyDescent="0.35">
      <c r="A306" s="4">
        <v>305</v>
      </c>
      <c r="B306" s="5">
        <v>45062</v>
      </c>
      <c r="C306" s="4" t="s">
        <v>318</v>
      </c>
      <c r="D306" s="4" t="s">
        <v>13</v>
      </c>
      <c r="E306" s="4">
        <v>18</v>
      </c>
      <c r="F306" s="4" t="str">
        <f>IF(Table1567[[#This Row],[Age]]&lt;=19,"Teenager",IF(Table1567[[#This Row],[Age]]&lt;=40,"Median","Old"))</f>
        <v>Teenager</v>
      </c>
      <c r="G306" s="4" t="s">
        <v>11</v>
      </c>
      <c r="H306" s="4">
        <v>1</v>
      </c>
      <c r="I306" s="4">
        <v>30</v>
      </c>
      <c r="J306" s="4">
        <v>30</v>
      </c>
      <c r="K306" s="4" t="str" cm="1">
        <f t="array" ref="K306">_xlfn.IFS(AND(Table1567[[#This Row],[Total Amount]]&gt;=1500),"Critical",AND(Table1567[[#This Row],[Total Amount]]&gt;=1000),"High",TRUE,"Normal")</f>
        <v>Normal</v>
      </c>
      <c r="L306" s="4" t="str">
        <f>IF(Table1567[[#This Row],[Total Amount]]&gt;=1000,"High",(IF(Table1567[[#This Row],[Total Amount]]&gt;=500,"Medium","Low")))</f>
        <v>Low</v>
      </c>
      <c r="M306" s="4" t="str" cm="1">
        <f t="array" ref="M30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306" s="4" cm="1">
        <f t="array" ref="N30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306" s="4">
        <f>Table1567[[#This Row],[Total Amount]]-Table1567[[#This Row],[Discount Amount]]</f>
        <v>30</v>
      </c>
      <c r="P306" s="4" t="str">
        <f>IF(Table1567[[#This Row],[Total Amount]]&gt;=1000,"High","Low")</f>
        <v>Low</v>
      </c>
      <c r="Q306" s="4" t="str" cm="1">
        <f t="array" ref="Q306">_xlfn.IFS(AND(Table1567[[#This Row],[Total Amount]]&gt;=1500,"Critical"),AND(Table1567[[#This Row],[Total Amount]]&gt;=1000,"High"),TRUE,"Normal")</f>
        <v>Normal</v>
      </c>
      <c r="R306" s="4" t="str">
        <f>CONCATENATE(Table1567[[#This Row],[Customer ID]], "-",Table1567[[#This Row],[Age]])</f>
        <v>CUST305-18</v>
      </c>
      <c r="S306" s="4" t="str">
        <f>TEXT(Table1567[[#This Row],[Date]],"mmm")</f>
        <v>May</v>
      </c>
      <c r="T306" s="4" t="str">
        <f>TEXT(Table1567[[#This Row],[Date]],"DDD")</f>
        <v>Tue</v>
      </c>
    </row>
    <row r="307" spans="1:20" ht="29" x14ac:dyDescent="0.35">
      <c r="A307" s="4">
        <v>306</v>
      </c>
      <c r="B307" s="5">
        <v>45159</v>
      </c>
      <c r="C307" s="4" t="s">
        <v>319</v>
      </c>
      <c r="D307" s="4" t="s">
        <v>10</v>
      </c>
      <c r="E307" s="4">
        <v>54</v>
      </c>
      <c r="F307" s="4" t="str">
        <f>IF(Table1567[[#This Row],[Age]]&lt;=19,"Teenager",IF(Table1567[[#This Row],[Age]]&lt;=40,"Median","Old"))</f>
        <v>Old</v>
      </c>
      <c r="G307" s="4" t="s">
        <v>16</v>
      </c>
      <c r="H307" s="4">
        <v>1</v>
      </c>
      <c r="I307" s="4">
        <v>50</v>
      </c>
      <c r="J307" s="4">
        <v>50</v>
      </c>
      <c r="K307" s="4" t="str" cm="1">
        <f t="array" ref="K307">_xlfn.IFS(AND(Table1567[[#This Row],[Total Amount]]&gt;=1500),"Critical",AND(Table1567[[#This Row],[Total Amount]]&gt;=1000),"High",TRUE,"Normal")</f>
        <v>Normal</v>
      </c>
      <c r="L307" s="4" t="str">
        <f>IF(Table1567[[#This Row],[Total Amount]]&gt;=1000,"High",(IF(Table1567[[#This Row],[Total Amount]]&gt;=500,"Medium","Low")))</f>
        <v>Low</v>
      </c>
      <c r="M307" s="4" t="str" cm="1">
        <f t="array" ref="M30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07" s="4" cm="1">
        <f t="array" ref="N30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307" s="4">
        <f>Table1567[[#This Row],[Total Amount]]-Table1567[[#This Row],[Discount Amount]]</f>
        <v>45</v>
      </c>
      <c r="P307" s="4" t="str">
        <f>IF(Table1567[[#This Row],[Total Amount]]&gt;=1000,"High","Low")</f>
        <v>Low</v>
      </c>
      <c r="Q307" s="4" t="str" cm="1">
        <f t="array" ref="Q307">_xlfn.IFS(AND(Table1567[[#This Row],[Total Amount]]&gt;=1500,"Critical"),AND(Table1567[[#This Row],[Total Amount]]&gt;=1000,"High"),TRUE,"Normal")</f>
        <v>Normal</v>
      </c>
      <c r="R307" s="4" t="str">
        <f>CONCATENATE(Table1567[[#This Row],[Customer ID]], "-",Table1567[[#This Row],[Age]])</f>
        <v>CUST306-54</v>
      </c>
      <c r="S307" s="4" t="str">
        <f>TEXT(Table1567[[#This Row],[Date]],"mmm")</f>
        <v>Aug</v>
      </c>
      <c r="T307" s="4" t="str">
        <f>TEXT(Table1567[[#This Row],[Date]],"DDD")</f>
        <v>Mon</v>
      </c>
    </row>
    <row r="308" spans="1:20" ht="29" x14ac:dyDescent="0.35">
      <c r="A308" s="4">
        <v>307</v>
      </c>
      <c r="B308" s="5">
        <v>45073</v>
      </c>
      <c r="C308" s="4" t="s">
        <v>320</v>
      </c>
      <c r="D308" s="4" t="s">
        <v>13</v>
      </c>
      <c r="E308" s="4">
        <v>26</v>
      </c>
      <c r="F308" s="4" t="str">
        <f>IF(Table1567[[#This Row],[Age]]&lt;=19,"Teenager",IF(Table1567[[#This Row],[Age]]&lt;=40,"Median","Old"))</f>
        <v>Median</v>
      </c>
      <c r="G308" s="4" t="s">
        <v>16</v>
      </c>
      <c r="H308" s="4">
        <v>2</v>
      </c>
      <c r="I308" s="4">
        <v>25</v>
      </c>
      <c r="J308" s="4">
        <v>50</v>
      </c>
      <c r="K308" s="4" t="str" cm="1">
        <f t="array" ref="K308">_xlfn.IFS(AND(Table1567[[#This Row],[Total Amount]]&gt;=1500),"Critical",AND(Table1567[[#This Row],[Total Amount]]&gt;=1000),"High",TRUE,"Normal")</f>
        <v>Normal</v>
      </c>
      <c r="L308" s="4" t="str">
        <f>IF(Table1567[[#This Row],[Total Amount]]&gt;=1000,"High",(IF(Table1567[[#This Row],[Total Amount]]&gt;=500,"Medium","Low")))</f>
        <v>Low</v>
      </c>
      <c r="M308" s="4" t="str" cm="1">
        <f t="array" ref="M30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08" s="4" cm="1">
        <f t="array" ref="N30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308" s="4">
        <f>Table1567[[#This Row],[Total Amount]]-Table1567[[#This Row],[Discount Amount]]</f>
        <v>42.5</v>
      </c>
      <c r="P308" s="4" t="str">
        <f>IF(Table1567[[#This Row],[Total Amount]]&gt;=1000,"High","Low")</f>
        <v>Low</v>
      </c>
      <c r="Q308" s="4" t="str" cm="1">
        <f t="array" ref="Q308">_xlfn.IFS(AND(Table1567[[#This Row],[Total Amount]]&gt;=1500,"Critical"),AND(Table1567[[#This Row],[Total Amount]]&gt;=1000,"High"),TRUE,"Normal")</f>
        <v>Normal</v>
      </c>
      <c r="R308" s="4" t="str">
        <f>CONCATENATE(Table1567[[#This Row],[Customer ID]], "-",Table1567[[#This Row],[Age]])</f>
        <v>CUST307-26</v>
      </c>
      <c r="S308" s="4" t="str">
        <f>TEXT(Table1567[[#This Row],[Date]],"mmm")</f>
        <v>May</v>
      </c>
      <c r="T308" s="4" t="str">
        <f>TEXT(Table1567[[#This Row],[Date]],"DDD")</f>
        <v>Sat</v>
      </c>
    </row>
    <row r="309" spans="1:20" ht="29" x14ac:dyDescent="0.35">
      <c r="A309" s="4">
        <v>308</v>
      </c>
      <c r="B309" s="5">
        <v>45143</v>
      </c>
      <c r="C309" s="4" t="s">
        <v>321</v>
      </c>
      <c r="D309" s="4" t="s">
        <v>13</v>
      </c>
      <c r="E309" s="4">
        <v>34</v>
      </c>
      <c r="F309" s="4" t="str">
        <f>IF(Table1567[[#This Row],[Age]]&lt;=19,"Teenager",IF(Table1567[[#This Row],[Age]]&lt;=40,"Median","Old"))</f>
        <v>Median</v>
      </c>
      <c r="G309" s="4" t="s">
        <v>11</v>
      </c>
      <c r="H309" s="4">
        <v>4</v>
      </c>
      <c r="I309" s="4">
        <v>300</v>
      </c>
      <c r="J309" s="4">
        <v>1200</v>
      </c>
      <c r="K309" s="4" t="str" cm="1">
        <f t="array" ref="K309">_xlfn.IFS(AND(Table1567[[#This Row],[Total Amount]]&gt;=1500),"Critical",AND(Table1567[[#This Row],[Total Amount]]&gt;=1000),"High",TRUE,"Normal")</f>
        <v>High</v>
      </c>
      <c r="L309" s="4" t="str">
        <f>IF(Table1567[[#This Row],[Total Amount]]&gt;=1000,"High",(IF(Table1567[[#This Row],[Total Amount]]&gt;=500,"Medium","Low")))</f>
        <v>High</v>
      </c>
      <c r="M309" s="4" t="str" cm="1">
        <f t="array" ref="M30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09" s="4" cm="1">
        <f t="array" ref="N30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309" s="4">
        <f>Table1567[[#This Row],[Total Amount]]-Table1567[[#This Row],[Discount Amount]]</f>
        <v>1020</v>
      </c>
      <c r="P309" s="4" t="str">
        <f>IF(Table1567[[#This Row],[Total Amount]]&gt;=1000,"High","Low")</f>
        <v>High</v>
      </c>
      <c r="Q309" s="4" t="str" cm="1">
        <f t="array" ref="Q309">_xlfn.IFS(AND(Table1567[[#This Row],[Total Amount]]&gt;=1500,"Critical"),AND(Table1567[[#This Row],[Total Amount]]&gt;=1000,"High"),TRUE,"Normal")</f>
        <v>Normal</v>
      </c>
      <c r="R309" s="4" t="str">
        <f>CONCATENATE(Table1567[[#This Row],[Customer ID]], "-",Table1567[[#This Row],[Age]])</f>
        <v>CUST308-34</v>
      </c>
      <c r="S309" s="4" t="str">
        <f>TEXT(Table1567[[#This Row],[Date]],"mmm")</f>
        <v>Aug</v>
      </c>
      <c r="T309" s="4" t="str">
        <f>TEXT(Table1567[[#This Row],[Date]],"DDD")</f>
        <v>Sat</v>
      </c>
    </row>
    <row r="310" spans="1:20" ht="29" x14ac:dyDescent="0.35">
      <c r="A310" s="4">
        <v>309</v>
      </c>
      <c r="B310" s="5">
        <v>45283</v>
      </c>
      <c r="C310" s="4" t="s">
        <v>322</v>
      </c>
      <c r="D310" s="4" t="s">
        <v>13</v>
      </c>
      <c r="E310" s="4">
        <v>26</v>
      </c>
      <c r="F310" s="4" t="str">
        <f>IF(Table1567[[#This Row],[Age]]&lt;=19,"Teenager",IF(Table1567[[#This Row],[Age]]&lt;=40,"Median","Old"))</f>
        <v>Median</v>
      </c>
      <c r="G310" s="4" t="s">
        <v>11</v>
      </c>
      <c r="H310" s="4">
        <v>1</v>
      </c>
      <c r="I310" s="4">
        <v>25</v>
      </c>
      <c r="J310" s="4">
        <v>25</v>
      </c>
      <c r="K310" s="4" t="str" cm="1">
        <f t="array" ref="K310">_xlfn.IFS(AND(Table1567[[#This Row],[Total Amount]]&gt;=1500),"Critical",AND(Table1567[[#This Row],[Total Amount]]&gt;=1000),"High",TRUE,"Normal")</f>
        <v>Normal</v>
      </c>
      <c r="L310" s="4" t="str">
        <f>IF(Table1567[[#This Row],[Total Amount]]&gt;=1000,"High",(IF(Table1567[[#This Row],[Total Amount]]&gt;=500,"Medium","Low")))</f>
        <v>Low</v>
      </c>
      <c r="M310" s="4" t="str" cm="1">
        <f t="array" ref="M31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10" s="4" cm="1">
        <f t="array" ref="N31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3.75</v>
      </c>
      <c r="O310" s="4">
        <f>Table1567[[#This Row],[Total Amount]]-Table1567[[#This Row],[Discount Amount]]</f>
        <v>21.25</v>
      </c>
      <c r="P310" s="4" t="str">
        <f>IF(Table1567[[#This Row],[Total Amount]]&gt;=1000,"High","Low")</f>
        <v>Low</v>
      </c>
      <c r="Q310" s="4" t="str" cm="1">
        <f t="array" ref="Q310">_xlfn.IFS(AND(Table1567[[#This Row],[Total Amount]]&gt;=1500,"Critical"),AND(Table1567[[#This Row],[Total Amount]]&gt;=1000,"High"),TRUE,"Normal")</f>
        <v>Normal</v>
      </c>
      <c r="R310" s="4" t="str">
        <f>CONCATENATE(Table1567[[#This Row],[Customer ID]], "-",Table1567[[#This Row],[Age]])</f>
        <v>CUST309-26</v>
      </c>
      <c r="S310" s="4" t="str">
        <f>TEXT(Table1567[[#This Row],[Date]],"mmm")</f>
        <v>Dec</v>
      </c>
      <c r="T310" s="4" t="str">
        <f>TEXT(Table1567[[#This Row],[Date]],"DDD")</f>
        <v>Sat</v>
      </c>
    </row>
    <row r="311" spans="1:20" ht="29" x14ac:dyDescent="0.35">
      <c r="A311" s="4">
        <v>310</v>
      </c>
      <c r="B311" s="5">
        <v>45211</v>
      </c>
      <c r="C311" s="4" t="s">
        <v>323</v>
      </c>
      <c r="D311" s="4" t="s">
        <v>13</v>
      </c>
      <c r="E311" s="4">
        <v>28</v>
      </c>
      <c r="F311" s="4" t="str">
        <f>IF(Table1567[[#This Row],[Age]]&lt;=19,"Teenager",IF(Table1567[[#This Row],[Age]]&lt;=40,"Median","Old"))</f>
        <v>Median</v>
      </c>
      <c r="G311" s="4" t="s">
        <v>11</v>
      </c>
      <c r="H311" s="4">
        <v>1</v>
      </c>
      <c r="I311" s="4">
        <v>25</v>
      </c>
      <c r="J311" s="4">
        <v>25</v>
      </c>
      <c r="K311" s="4" t="str" cm="1">
        <f t="array" ref="K311">_xlfn.IFS(AND(Table1567[[#This Row],[Total Amount]]&gt;=1500),"Critical",AND(Table1567[[#This Row],[Total Amount]]&gt;=1000),"High",TRUE,"Normal")</f>
        <v>Normal</v>
      </c>
      <c r="L311" s="4" t="str">
        <f>IF(Table1567[[#This Row],[Total Amount]]&gt;=1000,"High",(IF(Table1567[[#This Row],[Total Amount]]&gt;=500,"Medium","Low")))</f>
        <v>Low</v>
      </c>
      <c r="M311" s="4" t="str" cm="1">
        <f t="array" ref="M31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11" s="4" cm="1">
        <f t="array" ref="N31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3.75</v>
      </c>
      <c r="O311" s="4">
        <f>Table1567[[#This Row],[Total Amount]]-Table1567[[#This Row],[Discount Amount]]</f>
        <v>21.25</v>
      </c>
      <c r="P311" s="4" t="str">
        <f>IF(Table1567[[#This Row],[Total Amount]]&gt;=1000,"High","Low")</f>
        <v>Low</v>
      </c>
      <c r="Q311" s="4" t="str" cm="1">
        <f t="array" ref="Q311">_xlfn.IFS(AND(Table1567[[#This Row],[Total Amount]]&gt;=1500,"Critical"),AND(Table1567[[#This Row],[Total Amount]]&gt;=1000,"High"),TRUE,"Normal")</f>
        <v>Normal</v>
      </c>
      <c r="R311" s="4" t="str">
        <f>CONCATENATE(Table1567[[#This Row],[Customer ID]], "-",Table1567[[#This Row],[Age]])</f>
        <v>CUST310-28</v>
      </c>
      <c r="S311" s="4" t="str">
        <f>TEXT(Table1567[[#This Row],[Date]],"mmm")</f>
        <v>Oct</v>
      </c>
      <c r="T311" s="4" t="str">
        <f>TEXT(Table1567[[#This Row],[Date]],"DDD")</f>
        <v>Thu</v>
      </c>
    </row>
    <row r="312" spans="1:20" ht="29" x14ac:dyDescent="0.35">
      <c r="A312" s="4">
        <v>311</v>
      </c>
      <c r="B312" s="5">
        <v>45265</v>
      </c>
      <c r="C312" s="4" t="s">
        <v>324</v>
      </c>
      <c r="D312" s="4" t="s">
        <v>13</v>
      </c>
      <c r="E312" s="4">
        <v>32</v>
      </c>
      <c r="F312" s="4" t="str">
        <f>IF(Table1567[[#This Row],[Age]]&lt;=19,"Teenager",IF(Table1567[[#This Row],[Age]]&lt;=40,"Median","Old"))</f>
        <v>Median</v>
      </c>
      <c r="G312" s="4" t="s">
        <v>11</v>
      </c>
      <c r="H312" s="4">
        <v>4</v>
      </c>
      <c r="I312" s="4">
        <v>25</v>
      </c>
      <c r="J312" s="4">
        <v>100</v>
      </c>
      <c r="K312" s="4" t="str" cm="1">
        <f t="array" ref="K312">_xlfn.IFS(AND(Table1567[[#This Row],[Total Amount]]&gt;=1500),"Critical",AND(Table1567[[#This Row],[Total Amount]]&gt;=1000),"High",TRUE,"Normal")</f>
        <v>Normal</v>
      </c>
      <c r="L312" s="4" t="str">
        <f>IF(Table1567[[#This Row],[Total Amount]]&gt;=1000,"High",(IF(Table1567[[#This Row],[Total Amount]]&gt;=500,"Medium","Low")))</f>
        <v>Low</v>
      </c>
      <c r="M312" s="4" t="str" cm="1">
        <f t="array" ref="M31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12" s="4" cm="1">
        <f t="array" ref="N31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312" s="4">
        <f>Table1567[[#This Row],[Total Amount]]-Table1567[[#This Row],[Discount Amount]]</f>
        <v>85</v>
      </c>
      <c r="P312" s="4" t="str">
        <f>IF(Table1567[[#This Row],[Total Amount]]&gt;=1000,"High","Low")</f>
        <v>Low</v>
      </c>
      <c r="Q312" s="4" t="str" cm="1">
        <f t="array" ref="Q312">_xlfn.IFS(AND(Table1567[[#This Row],[Total Amount]]&gt;=1500,"Critical"),AND(Table1567[[#This Row],[Total Amount]]&gt;=1000,"High"),TRUE,"Normal")</f>
        <v>Normal</v>
      </c>
      <c r="R312" s="4" t="str">
        <f>CONCATENATE(Table1567[[#This Row],[Customer ID]], "-",Table1567[[#This Row],[Age]])</f>
        <v>CUST311-32</v>
      </c>
      <c r="S312" s="4" t="str">
        <f>TEXT(Table1567[[#This Row],[Date]],"mmm")</f>
        <v>Dec</v>
      </c>
      <c r="T312" s="4" t="str">
        <f>TEXT(Table1567[[#This Row],[Date]],"DDD")</f>
        <v>Tue</v>
      </c>
    </row>
    <row r="313" spans="1:20" ht="29" x14ac:dyDescent="0.35">
      <c r="A313" s="4">
        <v>312</v>
      </c>
      <c r="B313" s="5">
        <v>45176</v>
      </c>
      <c r="C313" s="4" t="s">
        <v>325</v>
      </c>
      <c r="D313" s="4" t="s">
        <v>10</v>
      </c>
      <c r="E313" s="4">
        <v>41</v>
      </c>
      <c r="F313" s="4" t="str">
        <f>IF(Table1567[[#This Row],[Age]]&lt;=19,"Teenager",IF(Table1567[[#This Row],[Age]]&lt;=40,"Median","Old"))</f>
        <v>Old</v>
      </c>
      <c r="G313" s="4" t="s">
        <v>14</v>
      </c>
      <c r="H313" s="4">
        <v>4</v>
      </c>
      <c r="I313" s="4">
        <v>30</v>
      </c>
      <c r="J313" s="4">
        <v>120</v>
      </c>
      <c r="K313" s="4" t="str" cm="1">
        <f t="array" ref="K313">_xlfn.IFS(AND(Table1567[[#This Row],[Total Amount]]&gt;=1500),"Critical",AND(Table1567[[#This Row],[Total Amount]]&gt;=1000),"High",TRUE,"Normal")</f>
        <v>Normal</v>
      </c>
      <c r="L313" s="4" t="str">
        <f>IF(Table1567[[#This Row],[Total Amount]]&gt;=1000,"High",(IF(Table1567[[#This Row],[Total Amount]]&gt;=500,"Medium","Low")))</f>
        <v>Low</v>
      </c>
      <c r="M313" s="4" t="str" cm="1">
        <f t="array" ref="M31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13" s="4" cm="1">
        <f t="array" ref="N31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313" s="4">
        <f>Table1567[[#This Row],[Total Amount]]-Table1567[[#This Row],[Discount Amount]]</f>
        <v>108</v>
      </c>
      <c r="P313" s="4" t="str">
        <f>IF(Table1567[[#This Row],[Total Amount]]&gt;=1000,"High","Low")</f>
        <v>Low</v>
      </c>
      <c r="Q313" s="4" t="str" cm="1">
        <f t="array" ref="Q313">_xlfn.IFS(AND(Table1567[[#This Row],[Total Amount]]&gt;=1500,"Critical"),AND(Table1567[[#This Row],[Total Amount]]&gt;=1000,"High"),TRUE,"Normal")</f>
        <v>Normal</v>
      </c>
      <c r="R313" s="4" t="str">
        <f>CONCATENATE(Table1567[[#This Row],[Customer ID]], "-",Table1567[[#This Row],[Age]])</f>
        <v>CUST312-41</v>
      </c>
      <c r="S313" s="4" t="str">
        <f>TEXT(Table1567[[#This Row],[Date]],"mmm")</f>
        <v>Sep</v>
      </c>
      <c r="T313" s="4" t="str">
        <f>TEXT(Table1567[[#This Row],[Date]],"DDD")</f>
        <v>Thu</v>
      </c>
    </row>
    <row r="314" spans="1:20" ht="29" x14ac:dyDescent="0.35">
      <c r="A314" s="4">
        <v>313</v>
      </c>
      <c r="B314" s="5">
        <v>45006</v>
      </c>
      <c r="C314" s="4" t="s">
        <v>326</v>
      </c>
      <c r="D314" s="4" t="s">
        <v>13</v>
      </c>
      <c r="E314" s="4">
        <v>55</v>
      </c>
      <c r="F314" s="4" t="str">
        <f>IF(Table1567[[#This Row],[Age]]&lt;=19,"Teenager",IF(Table1567[[#This Row],[Age]]&lt;=40,"Median","Old"))</f>
        <v>Old</v>
      </c>
      <c r="G314" s="4" t="s">
        <v>11</v>
      </c>
      <c r="H314" s="4">
        <v>3</v>
      </c>
      <c r="I314" s="4">
        <v>500</v>
      </c>
      <c r="J314" s="4">
        <v>1500</v>
      </c>
      <c r="K314" s="4" t="str" cm="1">
        <f t="array" ref="K314">_xlfn.IFS(AND(Table1567[[#This Row],[Total Amount]]&gt;=1500),"Critical",AND(Table1567[[#This Row],[Total Amount]]&gt;=1000),"High",TRUE,"Normal")</f>
        <v>Critical</v>
      </c>
      <c r="L314" s="4" t="str">
        <f>IF(Table1567[[#This Row],[Total Amount]]&gt;=1000,"High",(IF(Table1567[[#This Row],[Total Amount]]&gt;=500,"Medium","Low")))</f>
        <v>High</v>
      </c>
      <c r="M314" s="4" t="str" cm="1">
        <f t="array" ref="M31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14" s="4" cm="1">
        <f t="array" ref="N31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314" s="4">
        <f>Table1567[[#This Row],[Total Amount]]-Table1567[[#This Row],[Discount Amount]]</f>
        <v>1200</v>
      </c>
      <c r="P314" s="4" t="str">
        <f>IF(Table1567[[#This Row],[Total Amount]]&gt;=1000,"High","Low")</f>
        <v>High</v>
      </c>
      <c r="Q314" s="4" t="b" cm="1">
        <f t="array" ref="Q314">_xlfn.IFS(AND(Table1567[[#This Row],[Total Amount]]&gt;=1500,"Critical"),AND(Table1567[[#This Row],[Total Amount]]&gt;=1000,"High"),TRUE,"Normal")</f>
        <v>1</v>
      </c>
      <c r="R314" s="4" t="str">
        <f>CONCATENATE(Table1567[[#This Row],[Customer ID]], "-",Table1567[[#This Row],[Age]])</f>
        <v>CUST313-55</v>
      </c>
      <c r="S314" s="4" t="str">
        <f>TEXT(Table1567[[#This Row],[Date]],"mmm")</f>
        <v>Mar</v>
      </c>
      <c r="T314" s="4" t="str">
        <f>TEXT(Table1567[[#This Row],[Date]],"DDD")</f>
        <v>Tue</v>
      </c>
    </row>
    <row r="315" spans="1:20" ht="29" x14ac:dyDescent="0.35">
      <c r="A315" s="4">
        <v>314</v>
      </c>
      <c r="B315" s="5">
        <v>45024</v>
      </c>
      <c r="C315" s="4" t="s">
        <v>327</v>
      </c>
      <c r="D315" s="4" t="s">
        <v>10</v>
      </c>
      <c r="E315" s="4">
        <v>52</v>
      </c>
      <c r="F315" s="4" t="str">
        <f>IF(Table1567[[#This Row],[Age]]&lt;=19,"Teenager",IF(Table1567[[#This Row],[Age]]&lt;=40,"Median","Old"))</f>
        <v>Old</v>
      </c>
      <c r="G315" s="4" t="s">
        <v>14</v>
      </c>
      <c r="H315" s="4">
        <v>4</v>
      </c>
      <c r="I315" s="4">
        <v>30</v>
      </c>
      <c r="J315" s="4">
        <v>120</v>
      </c>
      <c r="K315" s="4" t="str" cm="1">
        <f t="array" ref="K315">_xlfn.IFS(AND(Table1567[[#This Row],[Total Amount]]&gt;=1500),"Critical",AND(Table1567[[#This Row],[Total Amount]]&gt;=1000),"High",TRUE,"Normal")</f>
        <v>Normal</v>
      </c>
      <c r="L315" s="4" t="str">
        <f>IF(Table1567[[#This Row],[Total Amount]]&gt;=1000,"High",(IF(Table1567[[#This Row],[Total Amount]]&gt;=500,"Medium","Low")))</f>
        <v>Low</v>
      </c>
      <c r="M315" s="4" t="str" cm="1">
        <f t="array" ref="M31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15" s="4" cm="1">
        <f t="array" ref="N31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315" s="4">
        <f>Table1567[[#This Row],[Total Amount]]-Table1567[[#This Row],[Discount Amount]]</f>
        <v>108</v>
      </c>
      <c r="P315" s="4" t="str">
        <f>IF(Table1567[[#This Row],[Total Amount]]&gt;=1000,"High","Low")</f>
        <v>Low</v>
      </c>
      <c r="Q315" s="4" t="str" cm="1">
        <f t="array" ref="Q315">_xlfn.IFS(AND(Table1567[[#This Row],[Total Amount]]&gt;=1500,"Critical"),AND(Table1567[[#This Row],[Total Amount]]&gt;=1000,"High"),TRUE,"Normal")</f>
        <v>Normal</v>
      </c>
      <c r="R315" s="4" t="str">
        <f>CONCATENATE(Table1567[[#This Row],[Customer ID]], "-",Table1567[[#This Row],[Age]])</f>
        <v>CUST314-52</v>
      </c>
      <c r="S315" s="4" t="str">
        <f>TEXT(Table1567[[#This Row],[Date]],"mmm")</f>
        <v>Apr</v>
      </c>
      <c r="T315" s="4" t="str">
        <f>TEXT(Table1567[[#This Row],[Date]],"DDD")</f>
        <v>Sat</v>
      </c>
    </row>
    <row r="316" spans="1:20" ht="29" x14ac:dyDescent="0.35">
      <c r="A316" s="4">
        <v>315</v>
      </c>
      <c r="B316" s="5">
        <v>45078</v>
      </c>
      <c r="C316" s="4" t="s">
        <v>328</v>
      </c>
      <c r="D316" s="4" t="s">
        <v>10</v>
      </c>
      <c r="E316" s="4">
        <v>47</v>
      </c>
      <c r="F316" s="4" t="str">
        <f>IF(Table1567[[#This Row],[Age]]&lt;=19,"Teenager",IF(Table1567[[#This Row],[Age]]&lt;=40,"Median","Old"))</f>
        <v>Old</v>
      </c>
      <c r="G316" s="4" t="s">
        <v>14</v>
      </c>
      <c r="H316" s="4">
        <v>2</v>
      </c>
      <c r="I316" s="4">
        <v>30</v>
      </c>
      <c r="J316" s="4">
        <v>60</v>
      </c>
      <c r="K316" s="4" t="str" cm="1">
        <f t="array" ref="K316">_xlfn.IFS(AND(Table1567[[#This Row],[Total Amount]]&gt;=1500),"Critical",AND(Table1567[[#This Row],[Total Amount]]&gt;=1000),"High",TRUE,"Normal")</f>
        <v>Normal</v>
      </c>
      <c r="L316" s="4" t="str">
        <f>IF(Table1567[[#This Row],[Total Amount]]&gt;=1000,"High",(IF(Table1567[[#This Row],[Total Amount]]&gt;=500,"Medium","Low")))</f>
        <v>Low</v>
      </c>
      <c r="M316" s="4" t="str" cm="1">
        <f t="array" ref="M31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16" s="4" cm="1">
        <f t="array" ref="N31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316" s="4">
        <f>Table1567[[#This Row],[Total Amount]]-Table1567[[#This Row],[Discount Amount]]</f>
        <v>54</v>
      </c>
      <c r="P316" s="4" t="str">
        <f>IF(Table1567[[#This Row],[Total Amount]]&gt;=1000,"High","Low")</f>
        <v>Low</v>
      </c>
      <c r="Q316" s="4" t="str" cm="1">
        <f t="array" ref="Q316">_xlfn.IFS(AND(Table1567[[#This Row],[Total Amount]]&gt;=1500,"Critical"),AND(Table1567[[#This Row],[Total Amount]]&gt;=1000,"High"),TRUE,"Normal")</f>
        <v>Normal</v>
      </c>
      <c r="R316" s="4" t="str">
        <f>CONCATENATE(Table1567[[#This Row],[Customer ID]], "-",Table1567[[#This Row],[Age]])</f>
        <v>CUST315-47</v>
      </c>
      <c r="S316" s="4" t="str">
        <f>TEXT(Table1567[[#This Row],[Date]],"mmm")</f>
        <v>Jun</v>
      </c>
      <c r="T316" s="4" t="str">
        <f>TEXT(Table1567[[#This Row],[Date]],"DDD")</f>
        <v>Thu</v>
      </c>
    </row>
    <row r="317" spans="1:20" ht="29" x14ac:dyDescent="0.35">
      <c r="A317" s="4">
        <v>316</v>
      </c>
      <c r="B317" s="5">
        <v>45038</v>
      </c>
      <c r="C317" s="4" t="s">
        <v>329</v>
      </c>
      <c r="D317" s="4" t="s">
        <v>13</v>
      </c>
      <c r="E317" s="4">
        <v>48</v>
      </c>
      <c r="F317" s="4" t="str">
        <f>IF(Table1567[[#This Row],[Age]]&lt;=19,"Teenager",IF(Table1567[[#This Row],[Age]]&lt;=40,"Median","Old"))</f>
        <v>Old</v>
      </c>
      <c r="G317" s="4" t="s">
        <v>14</v>
      </c>
      <c r="H317" s="4">
        <v>2</v>
      </c>
      <c r="I317" s="4">
        <v>25</v>
      </c>
      <c r="J317" s="4">
        <v>50</v>
      </c>
      <c r="K317" s="4" t="str" cm="1">
        <f t="array" ref="K317">_xlfn.IFS(AND(Table1567[[#This Row],[Total Amount]]&gt;=1500),"Critical",AND(Table1567[[#This Row],[Total Amount]]&gt;=1000),"High",TRUE,"Normal")</f>
        <v>Normal</v>
      </c>
      <c r="L317" s="4" t="str">
        <f>IF(Table1567[[#This Row],[Total Amount]]&gt;=1000,"High",(IF(Table1567[[#This Row],[Total Amount]]&gt;=500,"Medium","Low")))</f>
        <v>Low</v>
      </c>
      <c r="M317" s="4" t="str" cm="1">
        <f t="array" ref="M31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17" s="4" cm="1">
        <f t="array" ref="N31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317" s="4">
        <f>Table1567[[#This Row],[Total Amount]]-Table1567[[#This Row],[Discount Amount]]</f>
        <v>40</v>
      </c>
      <c r="P317" s="4" t="str">
        <f>IF(Table1567[[#This Row],[Total Amount]]&gt;=1000,"High","Low")</f>
        <v>Low</v>
      </c>
      <c r="Q317" s="4" t="str" cm="1">
        <f t="array" ref="Q317">_xlfn.IFS(AND(Table1567[[#This Row],[Total Amount]]&gt;=1500,"Critical"),AND(Table1567[[#This Row],[Total Amount]]&gt;=1000,"High"),TRUE,"Normal")</f>
        <v>Normal</v>
      </c>
      <c r="R317" s="4" t="str">
        <f>CONCATENATE(Table1567[[#This Row],[Customer ID]], "-",Table1567[[#This Row],[Age]])</f>
        <v>CUST316-48</v>
      </c>
      <c r="S317" s="4" t="str">
        <f>TEXT(Table1567[[#This Row],[Date]],"mmm")</f>
        <v>Apr</v>
      </c>
      <c r="T317" s="4" t="str">
        <f>TEXT(Table1567[[#This Row],[Date]],"DDD")</f>
        <v>Sat</v>
      </c>
    </row>
    <row r="318" spans="1:20" ht="29" x14ac:dyDescent="0.35">
      <c r="A318" s="4">
        <v>317</v>
      </c>
      <c r="B318" s="5">
        <v>44956</v>
      </c>
      <c r="C318" s="4" t="s">
        <v>330</v>
      </c>
      <c r="D318" s="4" t="s">
        <v>10</v>
      </c>
      <c r="E318" s="4">
        <v>22</v>
      </c>
      <c r="F318" s="4" t="str">
        <f>IF(Table1567[[#This Row],[Age]]&lt;=19,"Teenager",IF(Table1567[[#This Row],[Age]]&lt;=40,"Median","Old"))</f>
        <v>Median</v>
      </c>
      <c r="G318" s="4" t="s">
        <v>16</v>
      </c>
      <c r="H318" s="4">
        <v>3</v>
      </c>
      <c r="I318" s="4">
        <v>30</v>
      </c>
      <c r="J318" s="4">
        <v>90</v>
      </c>
      <c r="K318" s="4" t="str" cm="1">
        <f t="array" ref="K318">_xlfn.IFS(AND(Table1567[[#This Row],[Total Amount]]&gt;=1500),"Critical",AND(Table1567[[#This Row],[Total Amount]]&gt;=1000),"High",TRUE,"Normal")</f>
        <v>Normal</v>
      </c>
      <c r="L318" s="4" t="str">
        <f>IF(Table1567[[#This Row],[Total Amount]]&gt;=1000,"High",(IF(Table1567[[#This Row],[Total Amount]]&gt;=500,"Medium","Low")))</f>
        <v>Low</v>
      </c>
      <c r="M318" s="4" t="str" cm="1">
        <f t="array" ref="M31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318" s="4" cm="1">
        <f t="array" ref="N31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318" s="4">
        <f>Table1567[[#This Row],[Total Amount]]-Table1567[[#This Row],[Discount Amount]]</f>
        <v>90</v>
      </c>
      <c r="P318" s="4" t="str">
        <f>IF(Table1567[[#This Row],[Total Amount]]&gt;=1000,"High","Low")</f>
        <v>Low</v>
      </c>
      <c r="Q318" s="4" t="str" cm="1">
        <f t="array" ref="Q318">_xlfn.IFS(AND(Table1567[[#This Row],[Total Amount]]&gt;=1500,"Critical"),AND(Table1567[[#This Row],[Total Amount]]&gt;=1000,"High"),TRUE,"Normal")</f>
        <v>Normal</v>
      </c>
      <c r="R318" s="4" t="str">
        <f>CONCATENATE(Table1567[[#This Row],[Customer ID]], "-",Table1567[[#This Row],[Age]])</f>
        <v>CUST317-22</v>
      </c>
      <c r="S318" s="4" t="str">
        <f>TEXT(Table1567[[#This Row],[Date]],"mmm")</f>
        <v>Jan</v>
      </c>
      <c r="T318" s="4" t="str">
        <f>TEXT(Table1567[[#This Row],[Date]],"DDD")</f>
        <v>Mon</v>
      </c>
    </row>
    <row r="319" spans="1:20" ht="29" x14ac:dyDescent="0.35">
      <c r="A319" s="4">
        <v>318</v>
      </c>
      <c r="B319" s="5">
        <v>45223</v>
      </c>
      <c r="C319" s="4" t="s">
        <v>331</v>
      </c>
      <c r="D319" s="4" t="s">
        <v>10</v>
      </c>
      <c r="E319" s="4">
        <v>61</v>
      </c>
      <c r="F319" s="4" t="str">
        <f>IF(Table1567[[#This Row],[Age]]&lt;=19,"Teenager",IF(Table1567[[#This Row],[Age]]&lt;=40,"Median","Old"))</f>
        <v>Old</v>
      </c>
      <c r="G319" s="4" t="s">
        <v>14</v>
      </c>
      <c r="H319" s="4">
        <v>1</v>
      </c>
      <c r="I319" s="4">
        <v>25</v>
      </c>
      <c r="J319" s="4">
        <v>25</v>
      </c>
      <c r="K319" s="4" t="str" cm="1">
        <f t="array" ref="K319">_xlfn.IFS(AND(Table1567[[#This Row],[Total Amount]]&gt;=1500),"Critical",AND(Table1567[[#This Row],[Total Amount]]&gt;=1000),"High",TRUE,"Normal")</f>
        <v>Normal</v>
      </c>
      <c r="L319" s="4" t="str">
        <f>IF(Table1567[[#This Row],[Total Amount]]&gt;=1000,"High",(IF(Table1567[[#This Row],[Total Amount]]&gt;=500,"Medium","Low")))</f>
        <v>Low</v>
      </c>
      <c r="M319" s="4" t="str" cm="1">
        <f t="array" ref="M31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19" s="4" cm="1">
        <f t="array" ref="N31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319" s="4">
        <f>Table1567[[#This Row],[Total Amount]]-Table1567[[#This Row],[Discount Amount]]</f>
        <v>22.5</v>
      </c>
      <c r="P319" s="4" t="str">
        <f>IF(Table1567[[#This Row],[Total Amount]]&gt;=1000,"High","Low")</f>
        <v>Low</v>
      </c>
      <c r="Q319" s="4" t="str" cm="1">
        <f t="array" ref="Q319">_xlfn.IFS(AND(Table1567[[#This Row],[Total Amount]]&gt;=1500,"Critical"),AND(Table1567[[#This Row],[Total Amount]]&gt;=1000,"High"),TRUE,"Normal")</f>
        <v>Normal</v>
      </c>
      <c r="R319" s="4" t="str">
        <f>CONCATENATE(Table1567[[#This Row],[Customer ID]], "-",Table1567[[#This Row],[Age]])</f>
        <v>CUST318-61</v>
      </c>
      <c r="S319" s="4" t="str">
        <f>TEXT(Table1567[[#This Row],[Date]],"mmm")</f>
        <v>Oct</v>
      </c>
      <c r="T319" s="4" t="str">
        <f>TEXT(Table1567[[#This Row],[Date]],"DDD")</f>
        <v>Tue</v>
      </c>
    </row>
    <row r="320" spans="1:20" ht="29" x14ac:dyDescent="0.35">
      <c r="A320" s="4">
        <v>319</v>
      </c>
      <c r="B320" s="5">
        <v>45204</v>
      </c>
      <c r="C320" s="4" t="s">
        <v>332</v>
      </c>
      <c r="D320" s="4" t="s">
        <v>10</v>
      </c>
      <c r="E320" s="4">
        <v>31</v>
      </c>
      <c r="F320" s="4" t="str">
        <f>IF(Table1567[[#This Row],[Age]]&lt;=19,"Teenager",IF(Table1567[[#This Row],[Age]]&lt;=40,"Median","Old"))</f>
        <v>Median</v>
      </c>
      <c r="G320" s="4" t="s">
        <v>14</v>
      </c>
      <c r="H320" s="4">
        <v>1</v>
      </c>
      <c r="I320" s="4">
        <v>500</v>
      </c>
      <c r="J320" s="4">
        <v>500</v>
      </c>
      <c r="K320" s="4" t="str" cm="1">
        <f t="array" ref="K320">_xlfn.IFS(AND(Table1567[[#This Row],[Total Amount]]&gt;=1500),"Critical",AND(Table1567[[#This Row],[Total Amount]]&gt;=1000),"High",TRUE,"Normal")</f>
        <v>Normal</v>
      </c>
      <c r="L320" s="4" t="str">
        <f>IF(Table1567[[#This Row],[Total Amount]]&gt;=1000,"High",(IF(Table1567[[#This Row],[Total Amount]]&gt;=500,"Medium","Low")))</f>
        <v>Medium</v>
      </c>
      <c r="M320" s="4" t="str" cm="1">
        <f t="array" ref="M32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20" s="4" cm="1">
        <f t="array" ref="N32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75</v>
      </c>
      <c r="O320" s="4">
        <f>Table1567[[#This Row],[Total Amount]]-Table1567[[#This Row],[Discount Amount]]</f>
        <v>425</v>
      </c>
      <c r="P320" s="4" t="str">
        <f>IF(Table1567[[#This Row],[Total Amount]]&gt;=1000,"High","Low")</f>
        <v>Low</v>
      </c>
      <c r="Q320" s="4" t="str" cm="1">
        <f t="array" ref="Q320">_xlfn.IFS(AND(Table1567[[#This Row],[Total Amount]]&gt;=1500,"Critical"),AND(Table1567[[#This Row],[Total Amount]]&gt;=1000,"High"),TRUE,"Normal")</f>
        <v>Normal</v>
      </c>
      <c r="R320" s="4" t="str">
        <f>CONCATENATE(Table1567[[#This Row],[Customer ID]], "-",Table1567[[#This Row],[Age]])</f>
        <v>CUST319-31</v>
      </c>
      <c r="S320" s="4" t="str">
        <f>TEXT(Table1567[[#This Row],[Date]],"mmm")</f>
        <v>Oct</v>
      </c>
      <c r="T320" s="4" t="str">
        <f>TEXT(Table1567[[#This Row],[Date]],"DDD")</f>
        <v>Thu</v>
      </c>
    </row>
    <row r="321" spans="1:20" ht="29" x14ac:dyDescent="0.35">
      <c r="A321" s="4">
        <v>320</v>
      </c>
      <c r="B321" s="5">
        <v>44958</v>
      </c>
      <c r="C321" s="4" t="s">
        <v>333</v>
      </c>
      <c r="D321" s="4" t="s">
        <v>13</v>
      </c>
      <c r="E321" s="4">
        <v>28</v>
      </c>
      <c r="F321" s="4" t="str">
        <f>IF(Table1567[[#This Row],[Age]]&lt;=19,"Teenager",IF(Table1567[[#This Row],[Age]]&lt;=40,"Median","Old"))</f>
        <v>Median</v>
      </c>
      <c r="G321" s="4" t="s">
        <v>16</v>
      </c>
      <c r="H321" s="4">
        <v>4</v>
      </c>
      <c r="I321" s="4">
        <v>300</v>
      </c>
      <c r="J321" s="4">
        <v>1200</v>
      </c>
      <c r="K321" s="4" t="str" cm="1">
        <f t="array" ref="K321">_xlfn.IFS(AND(Table1567[[#This Row],[Total Amount]]&gt;=1500),"Critical",AND(Table1567[[#This Row],[Total Amount]]&gt;=1000),"High",TRUE,"Normal")</f>
        <v>High</v>
      </c>
      <c r="L321" s="4" t="str">
        <f>IF(Table1567[[#This Row],[Total Amount]]&gt;=1000,"High",(IF(Table1567[[#This Row],[Total Amount]]&gt;=500,"Medium","Low")))</f>
        <v>High</v>
      </c>
      <c r="M321" s="4" t="str" cm="1">
        <f t="array" ref="M32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21" s="4" cm="1">
        <f t="array" ref="N32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321" s="4">
        <f>Table1567[[#This Row],[Total Amount]]-Table1567[[#This Row],[Discount Amount]]</f>
        <v>1020</v>
      </c>
      <c r="P321" s="4" t="str">
        <f>IF(Table1567[[#This Row],[Total Amount]]&gt;=1000,"High","Low")</f>
        <v>High</v>
      </c>
      <c r="Q321" s="4" t="str" cm="1">
        <f t="array" ref="Q321">_xlfn.IFS(AND(Table1567[[#This Row],[Total Amount]]&gt;=1500,"Critical"),AND(Table1567[[#This Row],[Total Amount]]&gt;=1000,"High"),TRUE,"Normal")</f>
        <v>Normal</v>
      </c>
      <c r="R321" s="4" t="str">
        <f>CONCATENATE(Table1567[[#This Row],[Customer ID]], "-",Table1567[[#This Row],[Age]])</f>
        <v>CUST320-28</v>
      </c>
      <c r="S321" s="4" t="str">
        <f>TEXT(Table1567[[#This Row],[Date]],"mmm")</f>
        <v>Feb</v>
      </c>
      <c r="T321" s="4" t="str">
        <f>TEXT(Table1567[[#This Row],[Date]],"DDD")</f>
        <v>Wed</v>
      </c>
    </row>
    <row r="322" spans="1:20" ht="29" x14ac:dyDescent="0.35">
      <c r="A322" s="4">
        <v>321</v>
      </c>
      <c r="B322" s="5">
        <v>45087</v>
      </c>
      <c r="C322" s="4" t="s">
        <v>334</v>
      </c>
      <c r="D322" s="4" t="s">
        <v>13</v>
      </c>
      <c r="E322" s="4">
        <v>26</v>
      </c>
      <c r="F322" s="4" t="str">
        <f>IF(Table1567[[#This Row],[Age]]&lt;=19,"Teenager",IF(Table1567[[#This Row],[Age]]&lt;=40,"Median","Old"))</f>
        <v>Median</v>
      </c>
      <c r="G322" s="4" t="s">
        <v>16</v>
      </c>
      <c r="H322" s="4">
        <v>2</v>
      </c>
      <c r="I322" s="4">
        <v>25</v>
      </c>
      <c r="J322" s="4">
        <v>50</v>
      </c>
      <c r="K322" s="4" t="str" cm="1">
        <f t="array" ref="K322">_xlfn.IFS(AND(Table1567[[#This Row],[Total Amount]]&gt;=1500),"Critical",AND(Table1567[[#This Row],[Total Amount]]&gt;=1000),"High",TRUE,"Normal")</f>
        <v>Normal</v>
      </c>
      <c r="L322" s="4" t="str">
        <f>IF(Table1567[[#This Row],[Total Amount]]&gt;=1000,"High",(IF(Table1567[[#This Row],[Total Amount]]&gt;=500,"Medium","Low")))</f>
        <v>Low</v>
      </c>
      <c r="M322" s="4" t="str" cm="1">
        <f t="array" ref="M32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22" s="4" cm="1">
        <f t="array" ref="N32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322" s="4">
        <f>Table1567[[#This Row],[Total Amount]]-Table1567[[#This Row],[Discount Amount]]</f>
        <v>42.5</v>
      </c>
      <c r="P322" s="4" t="str">
        <f>IF(Table1567[[#This Row],[Total Amount]]&gt;=1000,"High","Low")</f>
        <v>Low</v>
      </c>
      <c r="Q322" s="4" t="str" cm="1">
        <f t="array" ref="Q322">_xlfn.IFS(AND(Table1567[[#This Row],[Total Amount]]&gt;=1500,"Critical"),AND(Table1567[[#This Row],[Total Amount]]&gt;=1000,"High"),TRUE,"Normal")</f>
        <v>Normal</v>
      </c>
      <c r="R322" s="4" t="str">
        <f>CONCATENATE(Table1567[[#This Row],[Customer ID]], "-",Table1567[[#This Row],[Age]])</f>
        <v>CUST321-26</v>
      </c>
      <c r="S322" s="4" t="str">
        <f>TEXT(Table1567[[#This Row],[Date]],"mmm")</f>
        <v>Jun</v>
      </c>
      <c r="T322" s="4" t="str">
        <f>TEXT(Table1567[[#This Row],[Date]],"DDD")</f>
        <v>Sat</v>
      </c>
    </row>
    <row r="323" spans="1:20" ht="29" x14ac:dyDescent="0.35">
      <c r="A323" s="4">
        <v>322</v>
      </c>
      <c r="B323" s="5">
        <v>44956</v>
      </c>
      <c r="C323" s="4" t="s">
        <v>335</v>
      </c>
      <c r="D323" s="4" t="s">
        <v>10</v>
      </c>
      <c r="E323" s="4">
        <v>51</v>
      </c>
      <c r="F323" s="4" t="str">
        <f>IF(Table1567[[#This Row],[Age]]&lt;=19,"Teenager",IF(Table1567[[#This Row],[Age]]&lt;=40,"Median","Old"))</f>
        <v>Old</v>
      </c>
      <c r="G323" s="4" t="s">
        <v>16</v>
      </c>
      <c r="H323" s="4">
        <v>1</v>
      </c>
      <c r="I323" s="4">
        <v>500</v>
      </c>
      <c r="J323" s="4">
        <v>500</v>
      </c>
      <c r="K323" s="4" t="str" cm="1">
        <f t="array" ref="K323">_xlfn.IFS(AND(Table1567[[#This Row],[Total Amount]]&gt;=1500),"Critical",AND(Table1567[[#This Row],[Total Amount]]&gt;=1000),"High",TRUE,"Normal")</f>
        <v>Normal</v>
      </c>
      <c r="L323" s="4" t="str">
        <f>IF(Table1567[[#This Row],[Total Amount]]&gt;=1000,"High",(IF(Table1567[[#This Row],[Total Amount]]&gt;=500,"Medium","Low")))</f>
        <v>Medium</v>
      </c>
      <c r="M323" s="4" t="str" cm="1">
        <f t="array" ref="M32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23" s="4" cm="1">
        <f t="array" ref="N32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50</v>
      </c>
      <c r="O323" s="4">
        <f>Table1567[[#This Row],[Total Amount]]-Table1567[[#This Row],[Discount Amount]]</f>
        <v>450</v>
      </c>
      <c r="P323" s="4" t="str">
        <f>IF(Table1567[[#This Row],[Total Amount]]&gt;=1000,"High","Low")</f>
        <v>Low</v>
      </c>
      <c r="Q323" s="4" t="str" cm="1">
        <f t="array" ref="Q323">_xlfn.IFS(AND(Table1567[[#This Row],[Total Amount]]&gt;=1500,"Critical"),AND(Table1567[[#This Row],[Total Amount]]&gt;=1000,"High"),TRUE,"Normal")</f>
        <v>Normal</v>
      </c>
      <c r="R323" s="4" t="str">
        <f>CONCATENATE(Table1567[[#This Row],[Customer ID]], "-",Table1567[[#This Row],[Age]])</f>
        <v>CUST322-51</v>
      </c>
      <c r="S323" s="4" t="str">
        <f>TEXT(Table1567[[#This Row],[Date]],"mmm")</f>
        <v>Jan</v>
      </c>
      <c r="T323" s="4" t="str">
        <f>TEXT(Table1567[[#This Row],[Date]],"DDD")</f>
        <v>Mon</v>
      </c>
    </row>
    <row r="324" spans="1:20" ht="29" x14ac:dyDescent="0.35">
      <c r="A324" s="4">
        <v>323</v>
      </c>
      <c r="B324" s="5">
        <v>44952</v>
      </c>
      <c r="C324" s="4" t="s">
        <v>336</v>
      </c>
      <c r="D324" s="4" t="s">
        <v>13</v>
      </c>
      <c r="E324" s="4">
        <v>29</v>
      </c>
      <c r="F324" s="4" t="str">
        <f>IF(Table1567[[#This Row],[Age]]&lt;=19,"Teenager",IF(Table1567[[#This Row],[Age]]&lt;=40,"Median","Old"))</f>
        <v>Median</v>
      </c>
      <c r="G324" s="4" t="s">
        <v>11</v>
      </c>
      <c r="H324" s="4">
        <v>3</v>
      </c>
      <c r="I324" s="4">
        <v>300</v>
      </c>
      <c r="J324" s="4">
        <v>900</v>
      </c>
      <c r="K324" s="4" t="str" cm="1">
        <f t="array" ref="K324">_xlfn.IFS(AND(Table1567[[#This Row],[Total Amount]]&gt;=1500),"Critical",AND(Table1567[[#This Row],[Total Amount]]&gt;=1000),"High",TRUE,"Normal")</f>
        <v>Normal</v>
      </c>
      <c r="L324" s="4" t="str">
        <f>IF(Table1567[[#This Row],[Total Amount]]&gt;=1000,"High",(IF(Table1567[[#This Row],[Total Amount]]&gt;=500,"Medium","Low")))</f>
        <v>Medium</v>
      </c>
      <c r="M324" s="4" t="str" cm="1">
        <f t="array" ref="M32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24" s="4" cm="1">
        <f t="array" ref="N32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135</v>
      </c>
      <c r="O324" s="4">
        <f>Table1567[[#This Row],[Total Amount]]-Table1567[[#This Row],[Discount Amount]]</f>
        <v>765</v>
      </c>
      <c r="P324" s="4" t="str">
        <f>IF(Table1567[[#This Row],[Total Amount]]&gt;=1000,"High","Low")</f>
        <v>Low</v>
      </c>
      <c r="Q324" s="4" t="str" cm="1">
        <f t="array" ref="Q324">_xlfn.IFS(AND(Table1567[[#This Row],[Total Amount]]&gt;=1500,"Critical"),AND(Table1567[[#This Row],[Total Amount]]&gt;=1000,"High"),TRUE,"Normal")</f>
        <v>Normal</v>
      </c>
      <c r="R324" s="4" t="str">
        <f>CONCATENATE(Table1567[[#This Row],[Customer ID]], "-",Table1567[[#This Row],[Age]])</f>
        <v>CUST323-29</v>
      </c>
      <c r="S324" s="4" t="str">
        <f>TEXT(Table1567[[#This Row],[Date]],"mmm")</f>
        <v>Jan</v>
      </c>
      <c r="T324" s="4" t="str">
        <f>TEXT(Table1567[[#This Row],[Date]],"DDD")</f>
        <v>Thu</v>
      </c>
    </row>
    <row r="325" spans="1:20" ht="29" x14ac:dyDescent="0.35">
      <c r="A325" s="4">
        <v>324</v>
      </c>
      <c r="B325" s="5">
        <v>45226</v>
      </c>
      <c r="C325" s="4" t="s">
        <v>337</v>
      </c>
      <c r="D325" s="4" t="s">
        <v>13</v>
      </c>
      <c r="E325" s="4">
        <v>52</v>
      </c>
      <c r="F325" s="4" t="str">
        <f>IF(Table1567[[#This Row],[Age]]&lt;=19,"Teenager",IF(Table1567[[#This Row],[Age]]&lt;=40,"Median","Old"))</f>
        <v>Old</v>
      </c>
      <c r="G325" s="4" t="s">
        <v>16</v>
      </c>
      <c r="H325" s="4">
        <v>3</v>
      </c>
      <c r="I325" s="4">
        <v>50</v>
      </c>
      <c r="J325" s="4">
        <v>150</v>
      </c>
      <c r="K325" s="4" t="str" cm="1">
        <f t="array" ref="K325">_xlfn.IFS(AND(Table1567[[#This Row],[Total Amount]]&gt;=1500),"Critical",AND(Table1567[[#This Row],[Total Amount]]&gt;=1000),"High",TRUE,"Normal")</f>
        <v>Normal</v>
      </c>
      <c r="L325" s="4" t="str">
        <f>IF(Table1567[[#This Row],[Total Amount]]&gt;=1000,"High",(IF(Table1567[[#This Row],[Total Amount]]&gt;=500,"Medium","Low")))</f>
        <v>Low</v>
      </c>
      <c r="M325" s="4" t="str" cm="1">
        <f t="array" ref="M32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25" s="4" cm="1">
        <f t="array" ref="N32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325" s="4">
        <f>Table1567[[#This Row],[Total Amount]]-Table1567[[#This Row],[Discount Amount]]</f>
        <v>120</v>
      </c>
      <c r="P325" s="4" t="str">
        <f>IF(Table1567[[#This Row],[Total Amount]]&gt;=1000,"High","Low")</f>
        <v>Low</v>
      </c>
      <c r="Q325" s="4" t="str" cm="1">
        <f t="array" ref="Q325">_xlfn.IFS(AND(Table1567[[#This Row],[Total Amount]]&gt;=1500,"Critical"),AND(Table1567[[#This Row],[Total Amount]]&gt;=1000,"High"),TRUE,"Normal")</f>
        <v>Normal</v>
      </c>
      <c r="R325" s="4" t="str">
        <f>CONCATENATE(Table1567[[#This Row],[Customer ID]], "-",Table1567[[#This Row],[Age]])</f>
        <v>CUST324-52</v>
      </c>
      <c r="S325" s="4" t="str">
        <f>TEXT(Table1567[[#This Row],[Date]],"mmm")</f>
        <v>Oct</v>
      </c>
      <c r="T325" s="4" t="str">
        <f>TEXT(Table1567[[#This Row],[Date]],"DDD")</f>
        <v>Fri</v>
      </c>
    </row>
    <row r="326" spans="1:20" ht="29" x14ac:dyDescent="0.35">
      <c r="A326" s="4">
        <v>325</v>
      </c>
      <c r="B326" s="5">
        <v>45171</v>
      </c>
      <c r="C326" s="4" t="s">
        <v>338</v>
      </c>
      <c r="D326" s="4" t="s">
        <v>13</v>
      </c>
      <c r="E326" s="4">
        <v>52</v>
      </c>
      <c r="F326" s="4" t="str">
        <f>IF(Table1567[[#This Row],[Age]]&lt;=19,"Teenager",IF(Table1567[[#This Row],[Age]]&lt;=40,"Median","Old"))</f>
        <v>Old</v>
      </c>
      <c r="G326" s="4" t="s">
        <v>16</v>
      </c>
      <c r="H326" s="4">
        <v>2</v>
      </c>
      <c r="I326" s="4">
        <v>25</v>
      </c>
      <c r="J326" s="4">
        <v>50</v>
      </c>
      <c r="K326" s="4" t="str" cm="1">
        <f t="array" ref="K326">_xlfn.IFS(AND(Table1567[[#This Row],[Total Amount]]&gt;=1500),"Critical",AND(Table1567[[#This Row],[Total Amount]]&gt;=1000),"High",TRUE,"Normal")</f>
        <v>Normal</v>
      </c>
      <c r="L326" s="4" t="str">
        <f>IF(Table1567[[#This Row],[Total Amount]]&gt;=1000,"High",(IF(Table1567[[#This Row],[Total Amount]]&gt;=500,"Medium","Low")))</f>
        <v>Low</v>
      </c>
      <c r="M326" s="4" t="str" cm="1">
        <f t="array" ref="M32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26" s="4" cm="1">
        <f t="array" ref="N32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326" s="4">
        <f>Table1567[[#This Row],[Total Amount]]-Table1567[[#This Row],[Discount Amount]]</f>
        <v>40</v>
      </c>
      <c r="P326" s="4" t="str">
        <f>IF(Table1567[[#This Row],[Total Amount]]&gt;=1000,"High","Low")</f>
        <v>Low</v>
      </c>
      <c r="Q326" s="4" t="str" cm="1">
        <f t="array" ref="Q326">_xlfn.IFS(AND(Table1567[[#This Row],[Total Amount]]&gt;=1500,"Critical"),AND(Table1567[[#This Row],[Total Amount]]&gt;=1000,"High"),TRUE,"Normal")</f>
        <v>Normal</v>
      </c>
      <c r="R326" s="4" t="str">
        <f>CONCATENATE(Table1567[[#This Row],[Customer ID]], "-",Table1567[[#This Row],[Age]])</f>
        <v>CUST325-52</v>
      </c>
      <c r="S326" s="4" t="str">
        <f>TEXT(Table1567[[#This Row],[Date]],"mmm")</f>
        <v>Sep</v>
      </c>
      <c r="T326" s="4" t="str">
        <f>TEXT(Table1567[[#This Row],[Date]],"DDD")</f>
        <v>Sat</v>
      </c>
    </row>
    <row r="327" spans="1:20" ht="29" x14ac:dyDescent="0.35">
      <c r="A327" s="4">
        <v>326</v>
      </c>
      <c r="B327" s="5">
        <v>45184</v>
      </c>
      <c r="C327" s="4" t="s">
        <v>339</v>
      </c>
      <c r="D327" s="4" t="s">
        <v>13</v>
      </c>
      <c r="E327" s="4">
        <v>18</v>
      </c>
      <c r="F327" s="4" t="str">
        <f>IF(Table1567[[#This Row],[Age]]&lt;=19,"Teenager",IF(Table1567[[#This Row],[Age]]&lt;=40,"Median","Old"))</f>
        <v>Teenager</v>
      </c>
      <c r="G327" s="4" t="s">
        <v>14</v>
      </c>
      <c r="H327" s="4">
        <v>3</v>
      </c>
      <c r="I327" s="4">
        <v>25</v>
      </c>
      <c r="J327" s="4">
        <v>75</v>
      </c>
      <c r="K327" s="4" t="str" cm="1">
        <f t="array" ref="K327">_xlfn.IFS(AND(Table1567[[#This Row],[Total Amount]]&gt;=1500),"Critical",AND(Table1567[[#This Row],[Total Amount]]&gt;=1000),"High",TRUE,"Normal")</f>
        <v>Normal</v>
      </c>
      <c r="L327" s="4" t="str">
        <f>IF(Table1567[[#This Row],[Total Amount]]&gt;=1000,"High",(IF(Table1567[[#This Row],[Total Amount]]&gt;=500,"Medium","Low")))</f>
        <v>Low</v>
      </c>
      <c r="M327" s="4" t="str" cm="1">
        <f t="array" ref="M32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327" s="4" cm="1">
        <f t="array" ref="N32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327" s="4">
        <f>Table1567[[#This Row],[Total Amount]]-Table1567[[#This Row],[Discount Amount]]</f>
        <v>75</v>
      </c>
      <c r="P327" s="4" t="str">
        <f>IF(Table1567[[#This Row],[Total Amount]]&gt;=1000,"High","Low")</f>
        <v>Low</v>
      </c>
      <c r="Q327" s="4" t="str" cm="1">
        <f t="array" ref="Q327">_xlfn.IFS(AND(Table1567[[#This Row],[Total Amount]]&gt;=1500,"Critical"),AND(Table1567[[#This Row],[Total Amount]]&gt;=1000,"High"),TRUE,"Normal")</f>
        <v>Normal</v>
      </c>
      <c r="R327" s="4" t="str">
        <f>CONCATENATE(Table1567[[#This Row],[Customer ID]], "-",Table1567[[#This Row],[Age]])</f>
        <v>CUST326-18</v>
      </c>
      <c r="S327" s="4" t="str">
        <f>TEXT(Table1567[[#This Row],[Date]],"mmm")</f>
        <v>Sep</v>
      </c>
      <c r="T327" s="4" t="str">
        <f>TEXT(Table1567[[#This Row],[Date]],"DDD")</f>
        <v>Fri</v>
      </c>
    </row>
    <row r="328" spans="1:20" ht="29" x14ac:dyDescent="0.35">
      <c r="A328" s="4">
        <v>327</v>
      </c>
      <c r="B328" s="5">
        <v>45198</v>
      </c>
      <c r="C328" s="4" t="s">
        <v>340</v>
      </c>
      <c r="D328" s="4" t="s">
        <v>10</v>
      </c>
      <c r="E328" s="4">
        <v>57</v>
      </c>
      <c r="F328" s="4" t="str">
        <f>IF(Table1567[[#This Row],[Age]]&lt;=19,"Teenager",IF(Table1567[[#This Row],[Age]]&lt;=40,"Median","Old"))</f>
        <v>Old</v>
      </c>
      <c r="G328" s="4" t="s">
        <v>16</v>
      </c>
      <c r="H328" s="4">
        <v>3</v>
      </c>
      <c r="I328" s="4">
        <v>50</v>
      </c>
      <c r="J328" s="4">
        <v>150</v>
      </c>
      <c r="K328" s="4" t="str" cm="1">
        <f t="array" ref="K328">_xlfn.IFS(AND(Table1567[[#This Row],[Total Amount]]&gt;=1500),"Critical",AND(Table1567[[#This Row],[Total Amount]]&gt;=1000),"High",TRUE,"Normal")</f>
        <v>Normal</v>
      </c>
      <c r="L328" s="4" t="str">
        <f>IF(Table1567[[#This Row],[Total Amount]]&gt;=1000,"High",(IF(Table1567[[#This Row],[Total Amount]]&gt;=500,"Medium","Low")))</f>
        <v>Low</v>
      </c>
      <c r="M328" s="4" t="str" cm="1">
        <f t="array" ref="M32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28" s="4" cm="1">
        <f t="array" ref="N32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328" s="4">
        <f>Table1567[[#This Row],[Total Amount]]-Table1567[[#This Row],[Discount Amount]]</f>
        <v>135</v>
      </c>
      <c r="P328" s="4" t="str">
        <f>IF(Table1567[[#This Row],[Total Amount]]&gt;=1000,"High","Low")</f>
        <v>Low</v>
      </c>
      <c r="Q328" s="4" t="str" cm="1">
        <f t="array" ref="Q328">_xlfn.IFS(AND(Table1567[[#This Row],[Total Amount]]&gt;=1500,"Critical"),AND(Table1567[[#This Row],[Total Amount]]&gt;=1000,"High"),TRUE,"Normal")</f>
        <v>Normal</v>
      </c>
      <c r="R328" s="4" t="str">
        <f>CONCATENATE(Table1567[[#This Row],[Customer ID]], "-",Table1567[[#This Row],[Age]])</f>
        <v>CUST327-57</v>
      </c>
      <c r="S328" s="4" t="str">
        <f>TEXT(Table1567[[#This Row],[Date]],"mmm")</f>
        <v>Sep</v>
      </c>
      <c r="T328" s="4" t="str">
        <f>TEXT(Table1567[[#This Row],[Date]],"DDD")</f>
        <v>Fri</v>
      </c>
    </row>
    <row r="329" spans="1:20" ht="29" x14ac:dyDescent="0.35">
      <c r="A329" s="4">
        <v>328</v>
      </c>
      <c r="B329" s="5">
        <v>45007</v>
      </c>
      <c r="C329" s="4" t="s">
        <v>341</v>
      </c>
      <c r="D329" s="4" t="s">
        <v>10</v>
      </c>
      <c r="E329" s="4">
        <v>39</v>
      </c>
      <c r="F329" s="4" t="str">
        <f>IF(Table1567[[#This Row],[Age]]&lt;=19,"Teenager",IF(Table1567[[#This Row],[Age]]&lt;=40,"Median","Old"))</f>
        <v>Median</v>
      </c>
      <c r="G329" s="4" t="s">
        <v>11</v>
      </c>
      <c r="H329" s="4">
        <v>2</v>
      </c>
      <c r="I329" s="4">
        <v>50</v>
      </c>
      <c r="J329" s="4">
        <v>100</v>
      </c>
      <c r="K329" s="4" t="str" cm="1">
        <f t="array" ref="K329">_xlfn.IFS(AND(Table1567[[#This Row],[Total Amount]]&gt;=1500),"Critical",AND(Table1567[[#This Row],[Total Amount]]&gt;=1000),"High",TRUE,"Normal")</f>
        <v>Normal</v>
      </c>
      <c r="L329" s="4" t="str">
        <f>IF(Table1567[[#This Row],[Total Amount]]&gt;=1000,"High",(IF(Table1567[[#This Row],[Total Amount]]&gt;=500,"Medium","Low")))</f>
        <v>Low</v>
      </c>
      <c r="M329" s="4" t="str" cm="1">
        <f t="array" ref="M32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29" s="4" cm="1">
        <f t="array" ref="N32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329" s="4">
        <f>Table1567[[#This Row],[Total Amount]]-Table1567[[#This Row],[Discount Amount]]</f>
        <v>90</v>
      </c>
      <c r="P329" s="4" t="str">
        <f>IF(Table1567[[#This Row],[Total Amount]]&gt;=1000,"High","Low")</f>
        <v>Low</v>
      </c>
      <c r="Q329" s="4" t="str" cm="1">
        <f t="array" ref="Q329">_xlfn.IFS(AND(Table1567[[#This Row],[Total Amount]]&gt;=1500,"Critical"),AND(Table1567[[#This Row],[Total Amount]]&gt;=1000,"High"),TRUE,"Normal")</f>
        <v>Normal</v>
      </c>
      <c r="R329" s="4" t="str">
        <f>CONCATENATE(Table1567[[#This Row],[Customer ID]], "-",Table1567[[#This Row],[Age]])</f>
        <v>CUST328-39</v>
      </c>
      <c r="S329" s="4" t="str">
        <f>TEXT(Table1567[[#This Row],[Date]],"mmm")</f>
        <v>Mar</v>
      </c>
      <c r="T329" s="4" t="str">
        <f>TEXT(Table1567[[#This Row],[Date]],"DDD")</f>
        <v>Wed</v>
      </c>
    </row>
    <row r="330" spans="1:20" ht="29" x14ac:dyDescent="0.35">
      <c r="A330" s="4">
        <v>329</v>
      </c>
      <c r="B330" s="5">
        <v>44956</v>
      </c>
      <c r="C330" s="4" t="s">
        <v>342</v>
      </c>
      <c r="D330" s="4" t="s">
        <v>13</v>
      </c>
      <c r="E330" s="4">
        <v>46</v>
      </c>
      <c r="F330" s="4" t="str">
        <f>IF(Table1567[[#This Row],[Age]]&lt;=19,"Teenager",IF(Table1567[[#This Row],[Age]]&lt;=40,"Median","Old"))</f>
        <v>Old</v>
      </c>
      <c r="G330" s="4" t="s">
        <v>16</v>
      </c>
      <c r="H330" s="4">
        <v>4</v>
      </c>
      <c r="I330" s="4">
        <v>25</v>
      </c>
      <c r="J330" s="4">
        <v>100</v>
      </c>
      <c r="K330" s="4" t="str" cm="1">
        <f t="array" ref="K330">_xlfn.IFS(AND(Table1567[[#This Row],[Total Amount]]&gt;=1500),"Critical",AND(Table1567[[#This Row],[Total Amount]]&gt;=1000),"High",TRUE,"Normal")</f>
        <v>Normal</v>
      </c>
      <c r="L330" s="4" t="str">
        <f>IF(Table1567[[#This Row],[Total Amount]]&gt;=1000,"High",(IF(Table1567[[#This Row],[Total Amount]]&gt;=500,"Medium","Low")))</f>
        <v>Low</v>
      </c>
      <c r="M330" s="4" t="str" cm="1">
        <f t="array" ref="M33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30" s="4" cm="1">
        <f t="array" ref="N33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330" s="4">
        <f>Table1567[[#This Row],[Total Amount]]-Table1567[[#This Row],[Discount Amount]]</f>
        <v>80</v>
      </c>
      <c r="P330" s="4" t="str">
        <f>IF(Table1567[[#This Row],[Total Amount]]&gt;=1000,"High","Low")</f>
        <v>Low</v>
      </c>
      <c r="Q330" s="4" t="str" cm="1">
        <f t="array" ref="Q330">_xlfn.IFS(AND(Table1567[[#This Row],[Total Amount]]&gt;=1500,"Critical"),AND(Table1567[[#This Row],[Total Amount]]&gt;=1000,"High"),TRUE,"Normal")</f>
        <v>Normal</v>
      </c>
      <c r="R330" s="4" t="str">
        <f>CONCATENATE(Table1567[[#This Row],[Customer ID]], "-",Table1567[[#This Row],[Age]])</f>
        <v>CUST329-46</v>
      </c>
      <c r="S330" s="4" t="str">
        <f>TEXT(Table1567[[#This Row],[Date]],"mmm")</f>
        <v>Jan</v>
      </c>
      <c r="T330" s="4" t="str">
        <f>TEXT(Table1567[[#This Row],[Date]],"DDD")</f>
        <v>Mon</v>
      </c>
    </row>
    <row r="331" spans="1:20" ht="29" x14ac:dyDescent="0.35">
      <c r="A331" s="4">
        <v>330</v>
      </c>
      <c r="B331" s="5">
        <v>45187</v>
      </c>
      <c r="C331" s="4" t="s">
        <v>343</v>
      </c>
      <c r="D331" s="4" t="s">
        <v>13</v>
      </c>
      <c r="E331" s="4">
        <v>25</v>
      </c>
      <c r="F331" s="4" t="str">
        <f>IF(Table1567[[#This Row],[Age]]&lt;=19,"Teenager",IF(Table1567[[#This Row],[Age]]&lt;=40,"Median","Old"))</f>
        <v>Median</v>
      </c>
      <c r="G331" s="4" t="s">
        <v>11</v>
      </c>
      <c r="H331" s="4">
        <v>4</v>
      </c>
      <c r="I331" s="4">
        <v>50</v>
      </c>
      <c r="J331" s="4">
        <v>200</v>
      </c>
      <c r="K331" s="4" t="str" cm="1">
        <f t="array" ref="K331">_xlfn.IFS(AND(Table1567[[#This Row],[Total Amount]]&gt;=1500),"Critical",AND(Table1567[[#This Row],[Total Amount]]&gt;=1000),"High",TRUE,"Normal")</f>
        <v>Normal</v>
      </c>
      <c r="L331" s="4" t="str">
        <f>IF(Table1567[[#This Row],[Total Amount]]&gt;=1000,"High",(IF(Table1567[[#This Row],[Total Amount]]&gt;=500,"Medium","Low")))</f>
        <v>Low</v>
      </c>
      <c r="M331" s="4" t="str" cm="1">
        <f t="array" ref="M33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31" s="4" cm="1">
        <f t="array" ref="N33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331" s="4">
        <f>Table1567[[#This Row],[Total Amount]]-Table1567[[#This Row],[Discount Amount]]</f>
        <v>170</v>
      </c>
      <c r="P331" s="4" t="str">
        <f>IF(Table1567[[#This Row],[Total Amount]]&gt;=1000,"High","Low")</f>
        <v>Low</v>
      </c>
      <c r="Q331" s="4" t="str" cm="1">
        <f t="array" ref="Q331">_xlfn.IFS(AND(Table1567[[#This Row],[Total Amount]]&gt;=1500,"Critical"),AND(Table1567[[#This Row],[Total Amount]]&gt;=1000,"High"),TRUE,"Normal")</f>
        <v>Normal</v>
      </c>
      <c r="R331" s="4" t="str">
        <f>CONCATENATE(Table1567[[#This Row],[Customer ID]], "-",Table1567[[#This Row],[Age]])</f>
        <v>CUST330-25</v>
      </c>
      <c r="S331" s="4" t="str">
        <f>TEXT(Table1567[[#This Row],[Date]],"mmm")</f>
        <v>Sep</v>
      </c>
      <c r="T331" s="4" t="str">
        <f>TEXT(Table1567[[#This Row],[Date]],"DDD")</f>
        <v>Mon</v>
      </c>
    </row>
    <row r="332" spans="1:20" ht="29" x14ac:dyDescent="0.35">
      <c r="A332" s="4">
        <v>331</v>
      </c>
      <c r="B332" s="5">
        <v>44968</v>
      </c>
      <c r="C332" s="4" t="s">
        <v>344</v>
      </c>
      <c r="D332" s="4" t="s">
        <v>10</v>
      </c>
      <c r="E332" s="4">
        <v>28</v>
      </c>
      <c r="F332" s="4" t="str">
        <f>IF(Table1567[[#This Row],[Age]]&lt;=19,"Teenager",IF(Table1567[[#This Row],[Age]]&lt;=40,"Median","Old"))</f>
        <v>Median</v>
      </c>
      <c r="G332" s="4" t="s">
        <v>16</v>
      </c>
      <c r="H332" s="4">
        <v>3</v>
      </c>
      <c r="I332" s="4">
        <v>30</v>
      </c>
      <c r="J332" s="4">
        <v>90</v>
      </c>
      <c r="K332" s="4" t="str" cm="1">
        <f t="array" ref="K332">_xlfn.IFS(AND(Table1567[[#This Row],[Total Amount]]&gt;=1500),"Critical",AND(Table1567[[#This Row],[Total Amount]]&gt;=1000),"High",TRUE,"Normal")</f>
        <v>Normal</v>
      </c>
      <c r="L332" s="4" t="str">
        <f>IF(Table1567[[#This Row],[Total Amount]]&gt;=1000,"High",(IF(Table1567[[#This Row],[Total Amount]]&gt;=500,"Medium","Low")))</f>
        <v>Low</v>
      </c>
      <c r="M332" s="4" t="str" cm="1">
        <f t="array" ref="M33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32" s="4" cm="1">
        <f t="array" ref="N33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13.5</v>
      </c>
      <c r="O332" s="4">
        <f>Table1567[[#This Row],[Total Amount]]-Table1567[[#This Row],[Discount Amount]]</f>
        <v>76.5</v>
      </c>
      <c r="P332" s="4" t="str">
        <f>IF(Table1567[[#This Row],[Total Amount]]&gt;=1000,"High","Low")</f>
        <v>Low</v>
      </c>
      <c r="Q332" s="4" t="str" cm="1">
        <f t="array" ref="Q332">_xlfn.IFS(AND(Table1567[[#This Row],[Total Amount]]&gt;=1500,"Critical"),AND(Table1567[[#This Row],[Total Amount]]&gt;=1000,"High"),TRUE,"Normal")</f>
        <v>Normal</v>
      </c>
      <c r="R332" s="4" t="str">
        <f>CONCATENATE(Table1567[[#This Row],[Customer ID]], "-",Table1567[[#This Row],[Age]])</f>
        <v>CUST331-28</v>
      </c>
      <c r="S332" s="4" t="str">
        <f>TEXT(Table1567[[#This Row],[Date]],"mmm")</f>
        <v>Feb</v>
      </c>
      <c r="T332" s="4" t="str">
        <f>TEXT(Table1567[[#This Row],[Date]],"DDD")</f>
        <v>Sat</v>
      </c>
    </row>
    <row r="333" spans="1:20" ht="29" x14ac:dyDescent="0.35">
      <c r="A333" s="4">
        <v>332</v>
      </c>
      <c r="B333" s="5">
        <v>45022</v>
      </c>
      <c r="C333" s="4" t="s">
        <v>345</v>
      </c>
      <c r="D333" s="4" t="s">
        <v>10</v>
      </c>
      <c r="E333" s="4">
        <v>58</v>
      </c>
      <c r="F333" s="4" t="str">
        <f>IF(Table1567[[#This Row],[Age]]&lt;=19,"Teenager",IF(Table1567[[#This Row],[Age]]&lt;=40,"Median","Old"))</f>
        <v>Old</v>
      </c>
      <c r="G333" s="4" t="s">
        <v>16</v>
      </c>
      <c r="H333" s="4">
        <v>4</v>
      </c>
      <c r="I333" s="4">
        <v>300</v>
      </c>
      <c r="J333" s="4">
        <v>1200</v>
      </c>
      <c r="K333" s="4" t="str" cm="1">
        <f t="array" ref="K333">_xlfn.IFS(AND(Table1567[[#This Row],[Total Amount]]&gt;=1500),"Critical",AND(Table1567[[#This Row],[Total Amount]]&gt;=1000),"High",TRUE,"Normal")</f>
        <v>High</v>
      </c>
      <c r="L333" s="4" t="str">
        <f>IF(Table1567[[#This Row],[Total Amount]]&gt;=1000,"High",(IF(Table1567[[#This Row],[Total Amount]]&gt;=500,"Medium","Low")))</f>
        <v>High</v>
      </c>
      <c r="M333" s="4" t="str" cm="1">
        <f t="array" ref="M33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33" s="4" cm="1">
        <f t="array" ref="N33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333" s="4">
        <f>Table1567[[#This Row],[Total Amount]]-Table1567[[#This Row],[Discount Amount]]</f>
        <v>1080</v>
      </c>
      <c r="P333" s="4" t="str">
        <f>IF(Table1567[[#This Row],[Total Amount]]&gt;=1000,"High","Low")</f>
        <v>High</v>
      </c>
      <c r="Q333" s="4" t="str" cm="1">
        <f t="array" ref="Q333">_xlfn.IFS(AND(Table1567[[#This Row],[Total Amount]]&gt;=1500,"Critical"),AND(Table1567[[#This Row],[Total Amount]]&gt;=1000,"High"),TRUE,"Normal")</f>
        <v>Normal</v>
      </c>
      <c r="R333" s="4" t="str">
        <f>CONCATENATE(Table1567[[#This Row],[Customer ID]], "-",Table1567[[#This Row],[Age]])</f>
        <v>CUST332-58</v>
      </c>
      <c r="S333" s="4" t="str">
        <f>TEXT(Table1567[[#This Row],[Date]],"mmm")</f>
        <v>Apr</v>
      </c>
      <c r="T333" s="4" t="str">
        <f>TEXT(Table1567[[#This Row],[Date]],"DDD")</f>
        <v>Thu</v>
      </c>
    </row>
    <row r="334" spans="1:20" ht="29" x14ac:dyDescent="0.35">
      <c r="A334" s="4">
        <v>333</v>
      </c>
      <c r="B334" s="5">
        <v>44962</v>
      </c>
      <c r="C334" s="4" t="s">
        <v>346</v>
      </c>
      <c r="D334" s="4" t="s">
        <v>13</v>
      </c>
      <c r="E334" s="4">
        <v>54</v>
      </c>
      <c r="F334" s="4" t="str">
        <f>IF(Table1567[[#This Row],[Age]]&lt;=19,"Teenager",IF(Table1567[[#This Row],[Age]]&lt;=40,"Median","Old"))</f>
        <v>Old</v>
      </c>
      <c r="G334" s="4" t="s">
        <v>16</v>
      </c>
      <c r="H334" s="4">
        <v>4</v>
      </c>
      <c r="I334" s="4">
        <v>300</v>
      </c>
      <c r="J334" s="4">
        <v>1200</v>
      </c>
      <c r="K334" s="4" t="str" cm="1">
        <f t="array" ref="K334">_xlfn.IFS(AND(Table1567[[#This Row],[Total Amount]]&gt;=1500),"Critical",AND(Table1567[[#This Row],[Total Amount]]&gt;=1000),"High",TRUE,"Normal")</f>
        <v>High</v>
      </c>
      <c r="L334" s="4" t="str">
        <f>IF(Table1567[[#This Row],[Total Amount]]&gt;=1000,"High",(IF(Table1567[[#This Row],[Total Amount]]&gt;=500,"Medium","Low")))</f>
        <v>High</v>
      </c>
      <c r="M334" s="4" t="str" cm="1">
        <f t="array" ref="M33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34" s="4" cm="1">
        <f t="array" ref="N33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240</v>
      </c>
      <c r="O334" s="4">
        <f>Table1567[[#This Row],[Total Amount]]-Table1567[[#This Row],[Discount Amount]]</f>
        <v>960</v>
      </c>
      <c r="P334" s="4" t="str">
        <f>IF(Table1567[[#This Row],[Total Amount]]&gt;=1000,"High","Low")</f>
        <v>High</v>
      </c>
      <c r="Q334" s="4" t="str" cm="1">
        <f t="array" ref="Q334">_xlfn.IFS(AND(Table1567[[#This Row],[Total Amount]]&gt;=1500,"Critical"),AND(Table1567[[#This Row],[Total Amount]]&gt;=1000,"High"),TRUE,"Normal")</f>
        <v>Normal</v>
      </c>
      <c r="R334" s="4" t="str">
        <f>CONCATENATE(Table1567[[#This Row],[Customer ID]], "-",Table1567[[#This Row],[Age]])</f>
        <v>CUST333-54</v>
      </c>
      <c r="S334" s="4" t="str">
        <f>TEXT(Table1567[[#This Row],[Date]],"mmm")</f>
        <v>Feb</v>
      </c>
      <c r="T334" s="4" t="str">
        <f>TEXT(Table1567[[#This Row],[Date]],"DDD")</f>
        <v>Sun</v>
      </c>
    </row>
    <row r="335" spans="1:20" ht="29" x14ac:dyDescent="0.35">
      <c r="A335" s="4">
        <v>334</v>
      </c>
      <c r="B335" s="5">
        <v>45231</v>
      </c>
      <c r="C335" s="4" t="s">
        <v>347</v>
      </c>
      <c r="D335" s="4" t="s">
        <v>10</v>
      </c>
      <c r="E335" s="4">
        <v>31</v>
      </c>
      <c r="F335" s="4" t="str">
        <f>IF(Table1567[[#This Row],[Age]]&lt;=19,"Teenager",IF(Table1567[[#This Row],[Age]]&lt;=40,"Median","Old"))</f>
        <v>Median</v>
      </c>
      <c r="G335" s="4" t="s">
        <v>16</v>
      </c>
      <c r="H335" s="4">
        <v>3</v>
      </c>
      <c r="I335" s="4">
        <v>300</v>
      </c>
      <c r="J335" s="4">
        <v>900</v>
      </c>
      <c r="K335" s="4" t="str" cm="1">
        <f t="array" ref="K335">_xlfn.IFS(AND(Table1567[[#This Row],[Total Amount]]&gt;=1500),"Critical",AND(Table1567[[#This Row],[Total Amount]]&gt;=1000),"High",TRUE,"Normal")</f>
        <v>Normal</v>
      </c>
      <c r="L335" s="4" t="str">
        <f>IF(Table1567[[#This Row],[Total Amount]]&gt;=1000,"High",(IF(Table1567[[#This Row],[Total Amount]]&gt;=500,"Medium","Low")))</f>
        <v>Medium</v>
      </c>
      <c r="M335" s="4" t="str" cm="1">
        <f t="array" ref="M33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35" s="4" cm="1">
        <f t="array" ref="N33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135</v>
      </c>
      <c r="O335" s="4">
        <f>Table1567[[#This Row],[Total Amount]]-Table1567[[#This Row],[Discount Amount]]</f>
        <v>765</v>
      </c>
      <c r="P335" s="4" t="str">
        <f>IF(Table1567[[#This Row],[Total Amount]]&gt;=1000,"High","Low")</f>
        <v>Low</v>
      </c>
      <c r="Q335" s="4" t="str" cm="1">
        <f t="array" ref="Q335">_xlfn.IFS(AND(Table1567[[#This Row],[Total Amount]]&gt;=1500,"Critical"),AND(Table1567[[#This Row],[Total Amount]]&gt;=1000,"High"),TRUE,"Normal")</f>
        <v>Normal</v>
      </c>
      <c r="R335" s="4" t="str">
        <f>CONCATENATE(Table1567[[#This Row],[Customer ID]], "-",Table1567[[#This Row],[Age]])</f>
        <v>CUST334-31</v>
      </c>
      <c r="S335" s="4" t="str">
        <f>TEXT(Table1567[[#This Row],[Date]],"mmm")</f>
        <v>Nov</v>
      </c>
      <c r="T335" s="4" t="str">
        <f>TEXT(Table1567[[#This Row],[Date]],"DDD")</f>
        <v>Wed</v>
      </c>
    </row>
    <row r="336" spans="1:20" ht="29" x14ac:dyDescent="0.35">
      <c r="A336" s="4">
        <v>335</v>
      </c>
      <c r="B336" s="5">
        <v>44961</v>
      </c>
      <c r="C336" s="4" t="s">
        <v>348</v>
      </c>
      <c r="D336" s="4" t="s">
        <v>13</v>
      </c>
      <c r="E336" s="4">
        <v>47</v>
      </c>
      <c r="F336" s="4" t="str">
        <f>IF(Table1567[[#This Row],[Age]]&lt;=19,"Teenager",IF(Table1567[[#This Row],[Age]]&lt;=40,"Median","Old"))</f>
        <v>Old</v>
      </c>
      <c r="G336" s="4" t="s">
        <v>11</v>
      </c>
      <c r="H336" s="4">
        <v>4</v>
      </c>
      <c r="I336" s="4">
        <v>30</v>
      </c>
      <c r="J336" s="4">
        <v>120</v>
      </c>
      <c r="K336" s="4" t="str" cm="1">
        <f t="array" ref="K336">_xlfn.IFS(AND(Table1567[[#This Row],[Total Amount]]&gt;=1500),"Critical",AND(Table1567[[#This Row],[Total Amount]]&gt;=1000),"High",TRUE,"Normal")</f>
        <v>Normal</v>
      </c>
      <c r="L336" s="4" t="str">
        <f>IF(Table1567[[#This Row],[Total Amount]]&gt;=1000,"High",(IF(Table1567[[#This Row],[Total Amount]]&gt;=500,"Medium","Low")))</f>
        <v>Low</v>
      </c>
      <c r="M336" s="4" t="str" cm="1">
        <f t="array" ref="M33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36" s="4" cm="1">
        <f t="array" ref="N33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</v>
      </c>
      <c r="O336" s="4">
        <f>Table1567[[#This Row],[Total Amount]]-Table1567[[#This Row],[Discount Amount]]</f>
        <v>96</v>
      </c>
      <c r="P336" s="4" t="str">
        <f>IF(Table1567[[#This Row],[Total Amount]]&gt;=1000,"High","Low")</f>
        <v>Low</v>
      </c>
      <c r="Q336" s="4" t="str" cm="1">
        <f t="array" ref="Q336">_xlfn.IFS(AND(Table1567[[#This Row],[Total Amount]]&gt;=1500,"Critical"),AND(Table1567[[#This Row],[Total Amount]]&gt;=1000,"High"),TRUE,"Normal")</f>
        <v>Normal</v>
      </c>
      <c r="R336" s="4" t="str">
        <f>CONCATENATE(Table1567[[#This Row],[Customer ID]], "-",Table1567[[#This Row],[Age]])</f>
        <v>CUST335-47</v>
      </c>
      <c r="S336" s="4" t="str">
        <f>TEXT(Table1567[[#This Row],[Date]],"mmm")</f>
        <v>Feb</v>
      </c>
      <c r="T336" s="4" t="str">
        <f>TEXT(Table1567[[#This Row],[Date]],"DDD")</f>
        <v>Sat</v>
      </c>
    </row>
    <row r="337" spans="1:20" ht="29" x14ac:dyDescent="0.35">
      <c r="A337" s="4">
        <v>336</v>
      </c>
      <c r="B337" s="5">
        <v>45272</v>
      </c>
      <c r="C337" s="4" t="s">
        <v>349</v>
      </c>
      <c r="D337" s="4" t="s">
        <v>13</v>
      </c>
      <c r="E337" s="4">
        <v>52</v>
      </c>
      <c r="F337" s="4" t="str">
        <f>IF(Table1567[[#This Row],[Age]]&lt;=19,"Teenager",IF(Table1567[[#This Row],[Age]]&lt;=40,"Median","Old"))</f>
        <v>Old</v>
      </c>
      <c r="G337" s="4" t="s">
        <v>11</v>
      </c>
      <c r="H337" s="4">
        <v>3</v>
      </c>
      <c r="I337" s="4">
        <v>50</v>
      </c>
      <c r="J337" s="4">
        <v>150</v>
      </c>
      <c r="K337" s="4" t="str" cm="1">
        <f t="array" ref="K337">_xlfn.IFS(AND(Table1567[[#This Row],[Total Amount]]&gt;=1500),"Critical",AND(Table1567[[#This Row],[Total Amount]]&gt;=1000),"High",TRUE,"Normal")</f>
        <v>Normal</v>
      </c>
      <c r="L337" s="4" t="str">
        <f>IF(Table1567[[#This Row],[Total Amount]]&gt;=1000,"High",(IF(Table1567[[#This Row],[Total Amount]]&gt;=500,"Medium","Low")))</f>
        <v>Low</v>
      </c>
      <c r="M337" s="4" t="str" cm="1">
        <f t="array" ref="M33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37" s="4" cm="1">
        <f t="array" ref="N33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337" s="4">
        <f>Table1567[[#This Row],[Total Amount]]-Table1567[[#This Row],[Discount Amount]]</f>
        <v>120</v>
      </c>
      <c r="P337" s="4" t="str">
        <f>IF(Table1567[[#This Row],[Total Amount]]&gt;=1000,"High","Low")</f>
        <v>Low</v>
      </c>
      <c r="Q337" s="4" t="str" cm="1">
        <f t="array" ref="Q337">_xlfn.IFS(AND(Table1567[[#This Row],[Total Amount]]&gt;=1500,"Critical"),AND(Table1567[[#This Row],[Total Amount]]&gt;=1000,"High"),TRUE,"Normal")</f>
        <v>Normal</v>
      </c>
      <c r="R337" s="4" t="str">
        <f>CONCATENATE(Table1567[[#This Row],[Customer ID]], "-",Table1567[[#This Row],[Age]])</f>
        <v>CUST336-52</v>
      </c>
      <c r="S337" s="4" t="str">
        <f>TEXT(Table1567[[#This Row],[Date]],"mmm")</f>
        <v>Dec</v>
      </c>
      <c r="T337" s="4" t="str">
        <f>TEXT(Table1567[[#This Row],[Date]],"DDD")</f>
        <v>Tue</v>
      </c>
    </row>
    <row r="338" spans="1:20" ht="29" x14ac:dyDescent="0.35">
      <c r="A338" s="4">
        <v>337</v>
      </c>
      <c r="B338" s="5">
        <v>45047</v>
      </c>
      <c r="C338" s="4" t="s">
        <v>350</v>
      </c>
      <c r="D338" s="4" t="s">
        <v>10</v>
      </c>
      <c r="E338" s="4">
        <v>38</v>
      </c>
      <c r="F338" s="4" t="str">
        <f>IF(Table1567[[#This Row],[Age]]&lt;=19,"Teenager",IF(Table1567[[#This Row],[Age]]&lt;=40,"Median","Old"))</f>
        <v>Median</v>
      </c>
      <c r="G338" s="4" t="s">
        <v>14</v>
      </c>
      <c r="H338" s="4">
        <v>1</v>
      </c>
      <c r="I338" s="4">
        <v>500</v>
      </c>
      <c r="J338" s="4">
        <v>500</v>
      </c>
      <c r="K338" s="4" t="str" cm="1">
        <f t="array" ref="K338">_xlfn.IFS(AND(Table1567[[#This Row],[Total Amount]]&gt;=1500),"Critical",AND(Table1567[[#This Row],[Total Amount]]&gt;=1000),"High",TRUE,"Normal")</f>
        <v>Normal</v>
      </c>
      <c r="L338" s="4" t="str">
        <f>IF(Table1567[[#This Row],[Total Amount]]&gt;=1000,"High",(IF(Table1567[[#This Row],[Total Amount]]&gt;=500,"Medium","Low")))</f>
        <v>Medium</v>
      </c>
      <c r="M338" s="4" t="str" cm="1">
        <f t="array" ref="M33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38" s="4" cm="1">
        <f t="array" ref="N33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50</v>
      </c>
      <c r="O338" s="4">
        <f>Table1567[[#This Row],[Total Amount]]-Table1567[[#This Row],[Discount Amount]]</f>
        <v>450</v>
      </c>
      <c r="P338" s="4" t="str">
        <f>IF(Table1567[[#This Row],[Total Amount]]&gt;=1000,"High","Low")</f>
        <v>Low</v>
      </c>
      <c r="Q338" s="4" t="str" cm="1">
        <f t="array" ref="Q338">_xlfn.IFS(AND(Table1567[[#This Row],[Total Amount]]&gt;=1500,"Critical"),AND(Table1567[[#This Row],[Total Amount]]&gt;=1000,"High"),TRUE,"Normal")</f>
        <v>Normal</v>
      </c>
      <c r="R338" s="4" t="str">
        <f>CONCATENATE(Table1567[[#This Row],[Customer ID]], "-",Table1567[[#This Row],[Age]])</f>
        <v>CUST337-38</v>
      </c>
      <c r="S338" s="4" t="str">
        <f>TEXT(Table1567[[#This Row],[Date]],"mmm")</f>
        <v>May</v>
      </c>
      <c r="T338" s="4" t="str">
        <f>TEXT(Table1567[[#This Row],[Date]],"DDD")</f>
        <v>Mon</v>
      </c>
    </row>
    <row r="339" spans="1:20" ht="29" x14ac:dyDescent="0.35">
      <c r="A339" s="4">
        <v>338</v>
      </c>
      <c r="B339" s="5">
        <v>45133</v>
      </c>
      <c r="C339" s="4" t="s">
        <v>351</v>
      </c>
      <c r="D339" s="4" t="s">
        <v>10</v>
      </c>
      <c r="E339" s="4">
        <v>54</v>
      </c>
      <c r="F339" s="4" t="str">
        <f>IF(Table1567[[#This Row],[Age]]&lt;=19,"Teenager",IF(Table1567[[#This Row],[Age]]&lt;=40,"Median","Old"))</f>
        <v>Old</v>
      </c>
      <c r="G339" s="4" t="s">
        <v>11</v>
      </c>
      <c r="H339" s="4">
        <v>2</v>
      </c>
      <c r="I339" s="4">
        <v>50</v>
      </c>
      <c r="J339" s="4">
        <v>100</v>
      </c>
      <c r="K339" s="4" t="str" cm="1">
        <f t="array" ref="K339">_xlfn.IFS(AND(Table1567[[#This Row],[Total Amount]]&gt;=1500),"Critical",AND(Table1567[[#This Row],[Total Amount]]&gt;=1000),"High",TRUE,"Normal")</f>
        <v>Normal</v>
      </c>
      <c r="L339" s="4" t="str">
        <f>IF(Table1567[[#This Row],[Total Amount]]&gt;=1000,"High",(IF(Table1567[[#This Row],[Total Amount]]&gt;=500,"Medium","Low")))</f>
        <v>Low</v>
      </c>
      <c r="M339" s="4" t="str" cm="1">
        <f t="array" ref="M33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39" s="4" cm="1">
        <f t="array" ref="N33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339" s="4">
        <f>Table1567[[#This Row],[Total Amount]]-Table1567[[#This Row],[Discount Amount]]</f>
        <v>90</v>
      </c>
      <c r="P339" s="4" t="str">
        <f>IF(Table1567[[#This Row],[Total Amount]]&gt;=1000,"High","Low")</f>
        <v>Low</v>
      </c>
      <c r="Q339" s="4" t="str" cm="1">
        <f t="array" ref="Q339">_xlfn.IFS(AND(Table1567[[#This Row],[Total Amount]]&gt;=1500,"Critical"),AND(Table1567[[#This Row],[Total Amount]]&gt;=1000,"High"),TRUE,"Normal")</f>
        <v>Normal</v>
      </c>
      <c r="R339" s="4" t="str">
        <f>CONCATENATE(Table1567[[#This Row],[Customer ID]], "-",Table1567[[#This Row],[Age]])</f>
        <v>CUST338-54</v>
      </c>
      <c r="S339" s="4" t="str">
        <f>TEXT(Table1567[[#This Row],[Date]],"mmm")</f>
        <v>Jul</v>
      </c>
      <c r="T339" s="4" t="str">
        <f>TEXT(Table1567[[#This Row],[Date]],"DDD")</f>
        <v>Wed</v>
      </c>
    </row>
    <row r="340" spans="1:20" ht="29" x14ac:dyDescent="0.35">
      <c r="A340" s="4">
        <v>339</v>
      </c>
      <c r="B340" s="5">
        <v>44988</v>
      </c>
      <c r="C340" s="4" t="s">
        <v>352</v>
      </c>
      <c r="D340" s="4" t="s">
        <v>13</v>
      </c>
      <c r="E340" s="4">
        <v>22</v>
      </c>
      <c r="F340" s="4" t="str">
        <f>IF(Table1567[[#This Row],[Age]]&lt;=19,"Teenager",IF(Table1567[[#This Row],[Age]]&lt;=40,"Median","Old"))</f>
        <v>Median</v>
      </c>
      <c r="G340" s="4" t="s">
        <v>16</v>
      </c>
      <c r="H340" s="4">
        <v>2</v>
      </c>
      <c r="I340" s="4">
        <v>25</v>
      </c>
      <c r="J340" s="4">
        <v>50</v>
      </c>
      <c r="K340" s="4" t="str" cm="1">
        <f t="array" ref="K340">_xlfn.IFS(AND(Table1567[[#This Row],[Total Amount]]&gt;=1500),"Critical",AND(Table1567[[#This Row],[Total Amount]]&gt;=1000),"High",TRUE,"Normal")</f>
        <v>Normal</v>
      </c>
      <c r="L340" s="4" t="str">
        <f>IF(Table1567[[#This Row],[Total Amount]]&gt;=1000,"High",(IF(Table1567[[#This Row],[Total Amount]]&gt;=500,"Medium","Low")))</f>
        <v>Low</v>
      </c>
      <c r="M340" s="4" t="str" cm="1">
        <f t="array" ref="M34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340" s="4" cm="1">
        <f t="array" ref="N34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340" s="4">
        <f>Table1567[[#This Row],[Total Amount]]-Table1567[[#This Row],[Discount Amount]]</f>
        <v>50</v>
      </c>
      <c r="P340" s="4" t="str">
        <f>IF(Table1567[[#This Row],[Total Amount]]&gt;=1000,"High","Low")</f>
        <v>Low</v>
      </c>
      <c r="Q340" s="4" t="str" cm="1">
        <f t="array" ref="Q340">_xlfn.IFS(AND(Table1567[[#This Row],[Total Amount]]&gt;=1500,"Critical"),AND(Table1567[[#This Row],[Total Amount]]&gt;=1000,"High"),TRUE,"Normal")</f>
        <v>Normal</v>
      </c>
      <c r="R340" s="4" t="str">
        <f>CONCATENATE(Table1567[[#This Row],[Customer ID]], "-",Table1567[[#This Row],[Age]])</f>
        <v>CUST339-22</v>
      </c>
      <c r="S340" s="4" t="str">
        <f>TEXT(Table1567[[#This Row],[Date]],"mmm")</f>
        <v>Mar</v>
      </c>
      <c r="T340" s="4" t="str">
        <f>TEXT(Table1567[[#This Row],[Date]],"DDD")</f>
        <v>Fri</v>
      </c>
    </row>
    <row r="341" spans="1:20" ht="29" x14ac:dyDescent="0.35">
      <c r="A341" s="4">
        <v>340</v>
      </c>
      <c r="B341" s="5">
        <v>45218</v>
      </c>
      <c r="C341" s="4" t="s">
        <v>353</v>
      </c>
      <c r="D341" s="4" t="s">
        <v>13</v>
      </c>
      <c r="E341" s="4">
        <v>36</v>
      </c>
      <c r="F341" s="4" t="str">
        <f>IF(Table1567[[#This Row],[Age]]&lt;=19,"Teenager",IF(Table1567[[#This Row],[Age]]&lt;=40,"Median","Old"))</f>
        <v>Median</v>
      </c>
      <c r="G341" s="4" t="s">
        <v>14</v>
      </c>
      <c r="H341" s="4">
        <v>4</v>
      </c>
      <c r="I341" s="4">
        <v>300</v>
      </c>
      <c r="J341" s="4">
        <v>1200</v>
      </c>
      <c r="K341" s="4" t="str" cm="1">
        <f t="array" ref="K341">_xlfn.IFS(AND(Table1567[[#This Row],[Total Amount]]&gt;=1500),"Critical",AND(Table1567[[#This Row],[Total Amount]]&gt;=1000),"High",TRUE,"Normal")</f>
        <v>High</v>
      </c>
      <c r="L341" s="4" t="str">
        <f>IF(Table1567[[#This Row],[Total Amount]]&gt;=1000,"High",(IF(Table1567[[#This Row],[Total Amount]]&gt;=500,"Medium","Low")))</f>
        <v>High</v>
      </c>
      <c r="M341" s="4" t="str" cm="1">
        <f t="array" ref="M34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41" s="4" cm="1">
        <f t="array" ref="N34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240</v>
      </c>
      <c r="O341" s="4">
        <f>Table1567[[#This Row],[Total Amount]]-Table1567[[#This Row],[Discount Amount]]</f>
        <v>960</v>
      </c>
      <c r="P341" s="4" t="str">
        <f>IF(Table1567[[#This Row],[Total Amount]]&gt;=1000,"High","Low")</f>
        <v>High</v>
      </c>
      <c r="Q341" s="4" t="str" cm="1">
        <f t="array" ref="Q341">_xlfn.IFS(AND(Table1567[[#This Row],[Total Amount]]&gt;=1500,"Critical"),AND(Table1567[[#This Row],[Total Amount]]&gt;=1000,"High"),TRUE,"Normal")</f>
        <v>Normal</v>
      </c>
      <c r="R341" s="4" t="str">
        <f>CONCATENATE(Table1567[[#This Row],[Customer ID]], "-",Table1567[[#This Row],[Age]])</f>
        <v>CUST340-36</v>
      </c>
      <c r="S341" s="4" t="str">
        <f>TEXT(Table1567[[#This Row],[Date]],"mmm")</f>
        <v>Oct</v>
      </c>
      <c r="T341" s="4" t="str">
        <f>TEXT(Table1567[[#This Row],[Date]],"DDD")</f>
        <v>Thu</v>
      </c>
    </row>
    <row r="342" spans="1:20" ht="29" x14ac:dyDescent="0.35">
      <c r="A342" s="4">
        <v>341</v>
      </c>
      <c r="B342" s="5">
        <v>45053</v>
      </c>
      <c r="C342" s="4" t="s">
        <v>354</v>
      </c>
      <c r="D342" s="4" t="s">
        <v>10</v>
      </c>
      <c r="E342" s="4">
        <v>31</v>
      </c>
      <c r="F342" s="4" t="str">
        <f>IF(Table1567[[#This Row],[Age]]&lt;=19,"Teenager",IF(Table1567[[#This Row],[Age]]&lt;=40,"Median","Old"))</f>
        <v>Median</v>
      </c>
      <c r="G342" s="4" t="s">
        <v>14</v>
      </c>
      <c r="H342" s="4">
        <v>4</v>
      </c>
      <c r="I342" s="4">
        <v>50</v>
      </c>
      <c r="J342" s="4">
        <v>200</v>
      </c>
      <c r="K342" s="4" t="str" cm="1">
        <f t="array" ref="K342">_xlfn.IFS(AND(Table1567[[#This Row],[Total Amount]]&gt;=1500),"Critical",AND(Table1567[[#This Row],[Total Amount]]&gt;=1000),"High",TRUE,"Normal")</f>
        <v>Normal</v>
      </c>
      <c r="L342" s="4" t="str">
        <f>IF(Table1567[[#This Row],[Total Amount]]&gt;=1000,"High",(IF(Table1567[[#This Row],[Total Amount]]&gt;=500,"Medium","Low")))</f>
        <v>Low</v>
      </c>
      <c r="M342" s="4" t="str" cm="1">
        <f t="array" ref="M34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42" s="4" cm="1">
        <f t="array" ref="N34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342" s="4">
        <f>Table1567[[#This Row],[Total Amount]]-Table1567[[#This Row],[Discount Amount]]</f>
        <v>170</v>
      </c>
      <c r="P342" s="4" t="str">
        <f>IF(Table1567[[#This Row],[Total Amount]]&gt;=1000,"High","Low")</f>
        <v>Low</v>
      </c>
      <c r="Q342" s="4" t="str" cm="1">
        <f t="array" ref="Q342">_xlfn.IFS(AND(Table1567[[#This Row],[Total Amount]]&gt;=1500,"Critical"),AND(Table1567[[#This Row],[Total Amount]]&gt;=1000,"High"),TRUE,"Normal")</f>
        <v>Normal</v>
      </c>
      <c r="R342" s="4" t="str">
        <f>CONCATENATE(Table1567[[#This Row],[Customer ID]], "-",Table1567[[#This Row],[Age]])</f>
        <v>CUST341-31</v>
      </c>
      <c r="S342" s="4" t="str">
        <f>TEXT(Table1567[[#This Row],[Date]],"mmm")</f>
        <v>May</v>
      </c>
      <c r="T342" s="4" t="str">
        <f>TEXT(Table1567[[#This Row],[Date]],"DDD")</f>
        <v>Sun</v>
      </c>
    </row>
    <row r="343" spans="1:20" ht="29" x14ac:dyDescent="0.35">
      <c r="A343" s="4">
        <v>342</v>
      </c>
      <c r="B343" s="5">
        <v>45223</v>
      </c>
      <c r="C343" s="4" t="s">
        <v>355</v>
      </c>
      <c r="D343" s="4" t="s">
        <v>13</v>
      </c>
      <c r="E343" s="4">
        <v>43</v>
      </c>
      <c r="F343" s="4" t="str">
        <f>IF(Table1567[[#This Row],[Age]]&lt;=19,"Teenager",IF(Table1567[[#This Row],[Age]]&lt;=40,"Median","Old"))</f>
        <v>Old</v>
      </c>
      <c r="G343" s="4" t="s">
        <v>14</v>
      </c>
      <c r="H343" s="4">
        <v>4</v>
      </c>
      <c r="I343" s="4">
        <v>500</v>
      </c>
      <c r="J343" s="4">
        <v>2000</v>
      </c>
      <c r="K343" s="4" t="str" cm="1">
        <f t="array" ref="K343">_xlfn.IFS(AND(Table1567[[#This Row],[Total Amount]]&gt;=1500),"Critical",AND(Table1567[[#This Row],[Total Amount]]&gt;=1000),"High",TRUE,"Normal")</f>
        <v>Critical</v>
      </c>
      <c r="L343" s="4" t="str">
        <f>IF(Table1567[[#This Row],[Total Amount]]&gt;=1000,"High",(IF(Table1567[[#This Row],[Total Amount]]&gt;=500,"Medium","Low")))</f>
        <v>High</v>
      </c>
      <c r="M343" s="4" t="str" cm="1">
        <f t="array" ref="M34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43" s="4" cm="1">
        <f t="array" ref="N34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400</v>
      </c>
      <c r="O343" s="4">
        <f>Table1567[[#This Row],[Total Amount]]-Table1567[[#This Row],[Discount Amount]]</f>
        <v>1600</v>
      </c>
      <c r="P343" s="4" t="str">
        <f>IF(Table1567[[#This Row],[Total Amount]]&gt;=1000,"High","Low")</f>
        <v>High</v>
      </c>
      <c r="Q343" s="4" t="b" cm="1">
        <f t="array" ref="Q343">_xlfn.IFS(AND(Table1567[[#This Row],[Total Amount]]&gt;=1500,"Critical"),AND(Table1567[[#This Row],[Total Amount]]&gt;=1000,"High"),TRUE,"Normal")</f>
        <v>1</v>
      </c>
      <c r="R343" s="4" t="str">
        <f>CONCATENATE(Table1567[[#This Row],[Customer ID]], "-",Table1567[[#This Row],[Age]])</f>
        <v>CUST342-43</v>
      </c>
      <c r="S343" s="4" t="str">
        <f>TEXT(Table1567[[#This Row],[Date]],"mmm")</f>
        <v>Oct</v>
      </c>
      <c r="T343" s="4" t="str">
        <f>TEXT(Table1567[[#This Row],[Date]],"DDD")</f>
        <v>Tue</v>
      </c>
    </row>
    <row r="344" spans="1:20" ht="29" x14ac:dyDescent="0.35">
      <c r="A344" s="4">
        <v>343</v>
      </c>
      <c r="B344" s="5">
        <v>45231</v>
      </c>
      <c r="C344" s="4" t="s">
        <v>356</v>
      </c>
      <c r="D344" s="4" t="s">
        <v>10</v>
      </c>
      <c r="E344" s="4">
        <v>21</v>
      </c>
      <c r="F344" s="4" t="str">
        <f>IF(Table1567[[#This Row],[Age]]&lt;=19,"Teenager",IF(Table1567[[#This Row],[Age]]&lt;=40,"Median","Old"))</f>
        <v>Median</v>
      </c>
      <c r="G344" s="4" t="s">
        <v>16</v>
      </c>
      <c r="H344" s="4">
        <v>2</v>
      </c>
      <c r="I344" s="4">
        <v>25</v>
      </c>
      <c r="J344" s="4">
        <v>50</v>
      </c>
      <c r="K344" s="4" t="str" cm="1">
        <f t="array" ref="K344">_xlfn.IFS(AND(Table1567[[#This Row],[Total Amount]]&gt;=1500),"Critical",AND(Table1567[[#This Row],[Total Amount]]&gt;=1000),"High",TRUE,"Normal")</f>
        <v>Normal</v>
      </c>
      <c r="L344" s="4" t="str">
        <f>IF(Table1567[[#This Row],[Total Amount]]&gt;=1000,"High",(IF(Table1567[[#This Row],[Total Amount]]&gt;=500,"Medium","Low")))</f>
        <v>Low</v>
      </c>
      <c r="M344" s="4" t="str" cm="1">
        <f t="array" ref="M34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344" s="4" cm="1">
        <f t="array" ref="N34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344" s="4">
        <f>Table1567[[#This Row],[Total Amount]]-Table1567[[#This Row],[Discount Amount]]</f>
        <v>50</v>
      </c>
      <c r="P344" s="4" t="str">
        <f>IF(Table1567[[#This Row],[Total Amount]]&gt;=1000,"High","Low")</f>
        <v>Low</v>
      </c>
      <c r="Q344" s="4" t="str" cm="1">
        <f t="array" ref="Q344">_xlfn.IFS(AND(Table1567[[#This Row],[Total Amount]]&gt;=1500,"Critical"),AND(Table1567[[#This Row],[Total Amount]]&gt;=1000,"High"),TRUE,"Normal")</f>
        <v>Normal</v>
      </c>
      <c r="R344" s="4" t="str">
        <f>CONCATENATE(Table1567[[#This Row],[Customer ID]], "-",Table1567[[#This Row],[Age]])</f>
        <v>CUST343-21</v>
      </c>
      <c r="S344" s="4" t="str">
        <f>TEXT(Table1567[[#This Row],[Date]],"mmm")</f>
        <v>Nov</v>
      </c>
      <c r="T344" s="4" t="str">
        <f>TEXT(Table1567[[#This Row],[Date]],"DDD")</f>
        <v>Wed</v>
      </c>
    </row>
    <row r="345" spans="1:20" ht="29" x14ac:dyDescent="0.35">
      <c r="A345" s="4">
        <v>344</v>
      </c>
      <c r="B345" s="5">
        <v>44947</v>
      </c>
      <c r="C345" s="4" t="s">
        <v>357</v>
      </c>
      <c r="D345" s="4" t="s">
        <v>13</v>
      </c>
      <c r="E345" s="4">
        <v>42</v>
      </c>
      <c r="F345" s="4" t="str">
        <f>IF(Table1567[[#This Row],[Age]]&lt;=19,"Teenager",IF(Table1567[[#This Row],[Age]]&lt;=40,"Median","Old"))</f>
        <v>Old</v>
      </c>
      <c r="G345" s="4" t="s">
        <v>11</v>
      </c>
      <c r="H345" s="4">
        <v>1</v>
      </c>
      <c r="I345" s="4">
        <v>30</v>
      </c>
      <c r="J345" s="4">
        <v>30</v>
      </c>
      <c r="K345" s="4" t="str" cm="1">
        <f t="array" ref="K345">_xlfn.IFS(AND(Table1567[[#This Row],[Total Amount]]&gt;=1500),"Critical",AND(Table1567[[#This Row],[Total Amount]]&gt;=1000),"High",TRUE,"Normal")</f>
        <v>Normal</v>
      </c>
      <c r="L345" s="4" t="str">
        <f>IF(Table1567[[#This Row],[Total Amount]]&gt;=1000,"High",(IF(Table1567[[#This Row],[Total Amount]]&gt;=500,"Medium","Low")))</f>
        <v>Low</v>
      </c>
      <c r="M345" s="4" t="str" cm="1">
        <f t="array" ref="M34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45" s="4" cm="1">
        <f t="array" ref="N34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345" s="4">
        <f>Table1567[[#This Row],[Total Amount]]-Table1567[[#This Row],[Discount Amount]]</f>
        <v>24</v>
      </c>
      <c r="P345" s="4" t="str">
        <f>IF(Table1567[[#This Row],[Total Amount]]&gt;=1000,"High","Low")</f>
        <v>Low</v>
      </c>
      <c r="Q345" s="4" t="str" cm="1">
        <f t="array" ref="Q345">_xlfn.IFS(AND(Table1567[[#This Row],[Total Amount]]&gt;=1500,"Critical"),AND(Table1567[[#This Row],[Total Amount]]&gt;=1000,"High"),TRUE,"Normal")</f>
        <v>Normal</v>
      </c>
      <c r="R345" s="4" t="str">
        <f>CONCATENATE(Table1567[[#This Row],[Customer ID]], "-",Table1567[[#This Row],[Age]])</f>
        <v>CUST344-42</v>
      </c>
      <c r="S345" s="4" t="str">
        <f>TEXT(Table1567[[#This Row],[Date]],"mmm")</f>
        <v>Jan</v>
      </c>
      <c r="T345" s="4" t="str">
        <f>TEXT(Table1567[[#This Row],[Date]],"DDD")</f>
        <v>Sat</v>
      </c>
    </row>
    <row r="346" spans="1:20" ht="29" x14ac:dyDescent="0.35">
      <c r="A346" s="4">
        <v>345</v>
      </c>
      <c r="B346" s="5">
        <v>45244</v>
      </c>
      <c r="C346" s="4" t="s">
        <v>358</v>
      </c>
      <c r="D346" s="4" t="s">
        <v>10</v>
      </c>
      <c r="E346" s="4">
        <v>62</v>
      </c>
      <c r="F346" s="4" t="str">
        <f>IF(Table1567[[#This Row],[Age]]&lt;=19,"Teenager",IF(Table1567[[#This Row],[Age]]&lt;=40,"Median","Old"))</f>
        <v>Old</v>
      </c>
      <c r="G346" s="4" t="s">
        <v>16</v>
      </c>
      <c r="H346" s="4">
        <v>1</v>
      </c>
      <c r="I346" s="4">
        <v>30</v>
      </c>
      <c r="J346" s="4">
        <v>30</v>
      </c>
      <c r="K346" s="4" t="str" cm="1">
        <f t="array" ref="K346">_xlfn.IFS(AND(Table1567[[#This Row],[Total Amount]]&gt;=1500),"Critical",AND(Table1567[[#This Row],[Total Amount]]&gt;=1000),"High",TRUE,"Normal")</f>
        <v>Normal</v>
      </c>
      <c r="L346" s="4" t="str">
        <f>IF(Table1567[[#This Row],[Total Amount]]&gt;=1000,"High",(IF(Table1567[[#This Row],[Total Amount]]&gt;=500,"Medium","Low")))</f>
        <v>Low</v>
      </c>
      <c r="M346" s="4" t="str" cm="1">
        <f t="array" ref="M34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46" s="4" cm="1">
        <f t="array" ref="N34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</v>
      </c>
      <c r="O346" s="4">
        <f>Table1567[[#This Row],[Total Amount]]-Table1567[[#This Row],[Discount Amount]]</f>
        <v>27</v>
      </c>
      <c r="P346" s="4" t="str">
        <f>IF(Table1567[[#This Row],[Total Amount]]&gt;=1000,"High","Low")</f>
        <v>Low</v>
      </c>
      <c r="Q346" s="4" t="str" cm="1">
        <f t="array" ref="Q346">_xlfn.IFS(AND(Table1567[[#This Row],[Total Amount]]&gt;=1500,"Critical"),AND(Table1567[[#This Row],[Total Amount]]&gt;=1000,"High"),TRUE,"Normal")</f>
        <v>Normal</v>
      </c>
      <c r="R346" s="4" t="str">
        <f>CONCATENATE(Table1567[[#This Row],[Customer ID]], "-",Table1567[[#This Row],[Age]])</f>
        <v>CUST345-62</v>
      </c>
      <c r="S346" s="4" t="str">
        <f>TEXT(Table1567[[#This Row],[Date]],"mmm")</f>
        <v>Nov</v>
      </c>
      <c r="T346" s="4" t="str">
        <f>TEXT(Table1567[[#This Row],[Date]],"DDD")</f>
        <v>Tue</v>
      </c>
    </row>
    <row r="347" spans="1:20" ht="29" x14ac:dyDescent="0.35">
      <c r="A347" s="4">
        <v>346</v>
      </c>
      <c r="B347" s="5">
        <v>44968</v>
      </c>
      <c r="C347" s="4" t="s">
        <v>359</v>
      </c>
      <c r="D347" s="4" t="s">
        <v>10</v>
      </c>
      <c r="E347" s="4">
        <v>59</v>
      </c>
      <c r="F347" s="4" t="str">
        <f>IF(Table1567[[#This Row],[Age]]&lt;=19,"Teenager",IF(Table1567[[#This Row],[Age]]&lt;=40,"Median","Old"))</f>
        <v>Old</v>
      </c>
      <c r="G347" s="4" t="s">
        <v>14</v>
      </c>
      <c r="H347" s="4">
        <v>2</v>
      </c>
      <c r="I347" s="4">
        <v>500</v>
      </c>
      <c r="J347" s="4">
        <v>1000</v>
      </c>
      <c r="K347" s="4" t="str" cm="1">
        <f t="array" ref="K347">_xlfn.IFS(AND(Table1567[[#This Row],[Total Amount]]&gt;=1500),"Critical",AND(Table1567[[#This Row],[Total Amount]]&gt;=1000),"High",TRUE,"Normal")</f>
        <v>High</v>
      </c>
      <c r="L347" s="4" t="str">
        <f>IF(Table1567[[#This Row],[Total Amount]]&gt;=1000,"High",(IF(Table1567[[#This Row],[Total Amount]]&gt;=500,"Medium","Low")))</f>
        <v>High</v>
      </c>
      <c r="M347" s="4" t="str" cm="1">
        <f t="array" ref="M34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47" s="4" cm="1">
        <f t="array" ref="N34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347" s="4">
        <f>Table1567[[#This Row],[Total Amount]]-Table1567[[#This Row],[Discount Amount]]</f>
        <v>900</v>
      </c>
      <c r="P347" s="4" t="str">
        <f>IF(Table1567[[#This Row],[Total Amount]]&gt;=1000,"High","Low")</f>
        <v>High</v>
      </c>
      <c r="Q347" s="4" t="str" cm="1">
        <f t="array" ref="Q347">_xlfn.IFS(AND(Table1567[[#This Row],[Total Amount]]&gt;=1500,"Critical"),AND(Table1567[[#This Row],[Total Amount]]&gt;=1000,"High"),TRUE,"Normal")</f>
        <v>Normal</v>
      </c>
      <c r="R347" s="4" t="str">
        <f>CONCATENATE(Table1567[[#This Row],[Customer ID]], "-",Table1567[[#This Row],[Age]])</f>
        <v>CUST346-59</v>
      </c>
      <c r="S347" s="4" t="str">
        <f>TEXT(Table1567[[#This Row],[Date]],"mmm")</f>
        <v>Feb</v>
      </c>
      <c r="T347" s="4" t="str">
        <f>TEXT(Table1567[[#This Row],[Date]],"DDD")</f>
        <v>Sat</v>
      </c>
    </row>
    <row r="348" spans="1:20" ht="29" x14ac:dyDescent="0.35">
      <c r="A348" s="4">
        <v>347</v>
      </c>
      <c r="B348" s="5">
        <v>45141</v>
      </c>
      <c r="C348" s="4" t="s">
        <v>360</v>
      </c>
      <c r="D348" s="4" t="s">
        <v>10</v>
      </c>
      <c r="E348" s="4">
        <v>42</v>
      </c>
      <c r="F348" s="4" t="str">
        <f>IF(Table1567[[#This Row],[Age]]&lt;=19,"Teenager",IF(Table1567[[#This Row],[Age]]&lt;=40,"Median","Old"))</f>
        <v>Old</v>
      </c>
      <c r="G348" s="4" t="s">
        <v>16</v>
      </c>
      <c r="H348" s="4">
        <v>1</v>
      </c>
      <c r="I348" s="4">
        <v>25</v>
      </c>
      <c r="J348" s="4">
        <v>25</v>
      </c>
      <c r="K348" s="4" t="str" cm="1">
        <f t="array" ref="K348">_xlfn.IFS(AND(Table1567[[#This Row],[Total Amount]]&gt;=1500),"Critical",AND(Table1567[[#This Row],[Total Amount]]&gt;=1000),"High",TRUE,"Normal")</f>
        <v>Normal</v>
      </c>
      <c r="L348" s="4" t="str">
        <f>IF(Table1567[[#This Row],[Total Amount]]&gt;=1000,"High",(IF(Table1567[[#This Row],[Total Amount]]&gt;=500,"Medium","Low")))</f>
        <v>Low</v>
      </c>
      <c r="M348" s="4" t="str" cm="1">
        <f t="array" ref="M34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48" s="4" cm="1">
        <f t="array" ref="N34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348" s="4">
        <f>Table1567[[#This Row],[Total Amount]]-Table1567[[#This Row],[Discount Amount]]</f>
        <v>22.5</v>
      </c>
      <c r="P348" s="4" t="str">
        <f>IF(Table1567[[#This Row],[Total Amount]]&gt;=1000,"High","Low")</f>
        <v>Low</v>
      </c>
      <c r="Q348" s="4" t="str" cm="1">
        <f t="array" ref="Q348">_xlfn.IFS(AND(Table1567[[#This Row],[Total Amount]]&gt;=1500,"Critical"),AND(Table1567[[#This Row],[Total Amount]]&gt;=1000,"High"),TRUE,"Normal")</f>
        <v>Normal</v>
      </c>
      <c r="R348" s="4" t="str">
        <f>CONCATENATE(Table1567[[#This Row],[Customer ID]], "-",Table1567[[#This Row],[Age]])</f>
        <v>CUST347-42</v>
      </c>
      <c r="S348" s="4" t="str">
        <f>TEXT(Table1567[[#This Row],[Date]],"mmm")</f>
        <v>Aug</v>
      </c>
      <c r="T348" s="4" t="str">
        <f>TEXT(Table1567[[#This Row],[Date]],"DDD")</f>
        <v>Thu</v>
      </c>
    </row>
    <row r="349" spans="1:20" ht="29" x14ac:dyDescent="0.35">
      <c r="A349" s="4">
        <v>348</v>
      </c>
      <c r="B349" s="5">
        <v>45263</v>
      </c>
      <c r="C349" s="4" t="s">
        <v>361</v>
      </c>
      <c r="D349" s="4" t="s">
        <v>13</v>
      </c>
      <c r="E349" s="4">
        <v>35</v>
      </c>
      <c r="F349" s="4" t="str">
        <f>IF(Table1567[[#This Row],[Age]]&lt;=19,"Teenager",IF(Table1567[[#This Row],[Age]]&lt;=40,"Median","Old"))</f>
        <v>Median</v>
      </c>
      <c r="G349" s="4" t="s">
        <v>16</v>
      </c>
      <c r="H349" s="4">
        <v>2</v>
      </c>
      <c r="I349" s="4">
        <v>300</v>
      </c>
      <c r="J349" s="4">
        <v>600</v>
      </c>
      <c r="K349" s="4" t="str" cm="1">
        <f t="array" ref="K349">_xlfn.IFS(AND(Table1567[[#This Row],[Total Amount]]&gt;=1500),"Critical",AND(Table1567[[#This Row],[Total Amount]]&gt;=1000),"High",TRUE,"Normal")</f>
        <v>Normal</v>
      </c>
      <c r="L349" s="4" t="str">
        <f>IF(Table1567[[#This Row],[Total Amount]]&gt;=1000,"High",(IF(Table1567[[#This Row],[Total Amount]]&gt;=500,"Medium","Low")))</f>
        <v>Medium</v>
      </c>
      <c r="M349" s="4" t="str" cm="1">
        <f t="array" ref="M34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49" s="4" cm="1">
        <f t="array" ref="N34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349" s="4">
        <f>Table1567[[#This Row],[Total Amount]]-Table1567[[#This Row],[Discount Amount]]</f>
        <v>480</v>
      </c>
      <c r="P349" s="4" t="str">
        <f>IF(Table1567[[#This Row],[Total Amount]]&gt;=1000,"High","Low")</f>
        <v>Low</v>
      </c>
      <c r="Q349" s="4" t="str" cm="1">
        <f t="array" ref="Q349">_xlfn.IFS(AND(Table1567[[#This Row],[Total Amount]]&gt;=1500,"Critical"),AND(Table1567[[#This Row],[Total Amount]]&gt;=1000,"High"),TRUE,"Normal")</f>
        <v>Normal</v>
      </c>
      <c r="R349" s="4" t="str">
        <f>CONCATENATE(Table1567[[#This Row],[Customer ID]], "-",Table1567[[#This Row],[Age]])</f>
        <v>CUST348-35</v>
      </c>
      <c r="S349" s="4" t="str">
        <f>TEXT(Table1567[[#This Row],[Date]],"mmm")</f>
        <v>Dec</v>
      </c>
      <c r="T349" s="4" t="str">
        <f>TEXT(Table1567[[#This Row],[Date]],"DDD")</f>
        <v>Sun</v>
      </c>
    </row>
    <row r="350" spans="1:20" ht="29" x14ac:dyDescent="0.35">
      <c r="A350" s="4">
        <v>349</v>
      </c>
      <c r="B350" s="5">
        <v>45225</v>
      </c>
      <c r="C350" s="4" t="s">
        <v>362</v>
      </c>
      <c r="D350" s="4" t="s">
        <v>13</v>
      </c>
      <c r="E350" s="4">
        <v>57</v>
      </c>
      <c r="F350" s="4" t="str">
        <f>IF(Table1567[[#This Row],[Age]]&lt;=19,"Teenager",IF(Table1567[[#This Row],[Age]]&lt;=40,"Median","Old"))</f>
        <v>Old</v>
      </c>
      <c r="G350" s="4" t="s">
        <v>11</v>
      </c>
      <c r="H350" s="4">
        <v>1</v>
      </c>
      <c r="I350" s="4">
        <v>50</v>
      </c>
      <c r="J350" s="4">
        <v>50</v>
      </c>
      <c r="K350" s="4" t="str" cm="1">
        <f t="array" ref="K350">_xlfn.IFS(AND(Table1567[[#This Row],[Total Amount]]&gt;=1500),"Critical",AND(Table1567[[#This Row],[Total Amount]]&gt;=1000),"High",TRUE,"Normal")</f>
        <v>Normal</v>
      </c>
      <c r="L350" s="4" t="str">
        <f>IF(Table1567[[#This Row],[Total Amount]]&gt;=1000,"High",(IF(Table1567[[#This Row],[Total Amount]]&gt;=500,"Medium","Low")))</f>
        <v>Low</v>
      </c>
      <c r="M350" s="4" t="str" cm="1">
        <f t="array" ref="M35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50" s="4" cm="1">
        <f t="array" ref="N35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350" s="4">
        <f>Table1567[[#This Row],[Total Amount]]-Table1567[[#This Row],[Discount Amount]]</f>
        <v>40</v>
      </c>
      <c r="P350" s="4" t="str">
        <f>IF(Table1567[[#This Row],[Total Amount]]&gt;=1000,"High","Low")</f>
        <v>Low</v>
      </c>
      <c r="Q350" s="4" t="str" cm="1">
        <f t="array" ref="Q350">_xlfn.IFS(AND(Table1567[[#This Row],[Total Amount]]&gt;=1500,"Critical"),AND(Table1567[[#This Row],[Total Amount]]&gt;=1000,"High"),TRUE,"Normal")</f>
        <v>Normal</v>
      </c>
      <c r="R350" s="4" t="str">
        <f>CONCATENATE(Table1567[[#This Row],[Customer ID]], "-",Table1567[[#This Row],[Age]])</f>
        <v>CUST349-57</v>
      </c>
      <c r="S350" s="4" t="str">
        <f>TEXT(Table1567[[#This Row],[Date]],"mmm")</f>
        <v>Oct</v>
      </c>
      <c r="T350" s="4" t="str">
        <f>TEXT(Table1567[[#This Row],[Date]],"DDD")</f>
        <v>Thu</v>
      </c>
    </row>
    <row r="351" spans="1:20" ht="29" x14ac:dyDescent="0.35">
      <c r="A351" s="4">
        <v>350</v>
      </c>
      <c r="B351" s="5">
        <v>45216</v>
      </c>
      <c r="C351" s="4" t="s">
        <v>363</v>
      </c>
      <c r="D351" s="4" t="s">
        <v>10</v>
      </c>
      <c r="E351" s="4">
        <v>25</v>
      </c>
      <c r="F351" s="4" t="str">
        <f>IF(Table1567[[#This Row],[Age]]&lt;=19,"Teenager",IF(Table1567[[#This Row],[Age]]&lt;=40,"Median","Old"))</f>
        <v>Median</v>
      </c>
      <c r="G351" s="4" t="s">
        <v>11</v>
      </c>
      <c r="H351" s="4">
        <v>3</v>
      </c>
      <c r="I351" s="4">
        <v>25</v>
      </c>
      <c r="J351" s="4">
        <v>75</v>
      </c>
      <c r="K351" s="4" t="str" cm="1">
        <f t="array" ref="K351">_xlfn.IFS(AND(Table1567[[#This Row],[Total Amount]]&gt;=1500),"Critical",AND(Table1567[[#This Row],[Total Amount]]&gt;=1000),"High",TRUE,"Normal")</f>
        <v>Normal</v>
      </c>
      <c r="L351" s="4" t="str">
        <f>IF(Table1567[[#This Row],[Total Amount]]&gt;=1000,"High",(IF(Table1567[[#This Row],[Total Amount]]&gt;=500,"Medium","Low")))</f>
        <v>Low</v>
      </c>
      <c r="M351" s="4" t="str" cm="1">
        <f t="array" ref="M35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51" s="4" cm="1">
        <f t="array" ref="N35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11.25</v>
      </c>
      <c r="O351" s="4">
        <f>Table1567[[#This Row],[Total Amount]]-Table1567[[#This Row],[Discount Amount]]</f>
        <v>63.75</v>
      </c>
      <c r="P351" s="4" t="str">
        <f>IF(Table1567[[#This Row],[Total Amount]]&gt;=1000,"High","Low")</f>
        <v>Low</v>
      </c>
      <c r="Q351" s="4" t="str" cm="1">
        <f t="array" ref="Q351">_xlfn.IFS(AND(Table1567[[#This Row],[Total Amount]]&gt;=1500,"Critical"),AND(Table1567[[#This Row],[Total Amount]]&gt;=1000,"High"),TRUE,"Normal")</f>
        <v>Normal</v>
      </c>
      <c r="R351" s="4" t="str">
        <f>CONCATENATE(Table1567[[#This Row],[Customer ID]], "-",Table1567[[#This Row],[Age]])</f>
        <v>CUST350-25</v>
      </c>
      <c r="S351" s="4" t="str">
        <f>TEXT(Table1567[[#This Row],[Date]],"mmm")</f>
        <v>Oct</v>
      </c>
      <c r="T351" s="4" t="str">
        <f>TEXT(Table1567[[#This Row],[Date]],"DDD")</f>
        <v>Tue</v>
      </c>
    </row>
    <row r="352" spans="1:20" ht="29" x14ac:dyDescent="0.35">
      <c r="A352" s="4">
        <v>351</v>
      </c>
      <c r="B352" s="5">
        <v>45194</v>
      </c>
      <c r="C352" s="4" t="s">
        <v>364</v>
      </c>
      <c r="D352" s="4" t="s">
        <v>13</v>
      </c>
      <c r="E352" s="4">
        <v>56</v>
      </c>
      <c r="F352" s="4" t="str">
        <f>IF(Table1567[[#This Row],[Age]]&lt;=19,"Teenager",IF(Table1567[[#This Row],[Age]]&lt;=40,"Median","Old"))</f>
        <v>Old</v>
      </c>
      <c r="G352" s="4" t="s">
        <v>14</v>
      </c>
      <c r="H352" s="4">
        <v>3</v>
      </c>
      <c r="I352" s="4">
        <v>30</v>
      </c>
      <c r="J352" s="4">
        <v>90</v>
      </c>
      <c r="K352" s="4" t="str" cm="1">
        <f t="array" ref="K352">_xlfn.IFS(AND(Table1567[[#This Row],[Total Amount]]&gt;=1500),"Critical",AND(Table1567[[#This Row],[Total Amount]]&gt;=1000),"High",TRUE,"Normal")</f>
        <v>Normal</v>
      </c>
      <c r="L352" s="4" t="str">
        <f>IF(Table1567[[#This Row],[Total Amount]]&gt;=1000,"High",(IF(Table1567[[#This Row],[Total Amount]]&gt;=500,"Medium","Low")))</f>
        <v>Low</v>
      </c>
      <c r="M352" s="4" t="str" cm="1">
        <f t="array" ref="M35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52" s="4" cm="1">
        <f t="array" ref="N35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352" s="4">
        <f>Table1567[[#This Row],[Total Amount]]-Table1567[[#This Row],[Discount Amount]]</f>
        <v>72</v>
      </c>
      <c r="P352" s="4" t="str">
        <f>IF(Table1567[[#This Row],[Total Amount]]&gt;=1000,"High","Low")</f>
        <v>Low</v>
      </c>
      <c r="Q352" s="4" t="str" cm="1">
        <f t="array" ref="Q352">_xlfn.IFS(AND(Table1567[[#This Row],[Total Amount]]&gt;=1500,"Critical"),AND(Table1567[[#This Row],[Total Amount]]&gt;=1000,"High"),TRUE,"Normal")</f>
        <v>Normal</v>
      </c>
      <c r="R352" s="4" t="str">
        <f>CONCATENATE(Table1567[[#This Row],[Customer ID]], "-",Table1567[[#This Row],[Age]])</f>
        <v>CUST351-56</v>
      </c>
      <c r="S352" s="4" t="str">
        <f>TEXT(Table1567[[#This Row],[Date]],"mmm")</f>
        <v>Sep</v>
      </c>
      <c r="T352" s="4" t="str">
        <f>TEXT(Table1567[[#This Row],[Date]],"DDD")</f>
        <v>Mon</v>
      </c>
    </row>
    <row r="353" spans="1:20" ht="29" x14ac:dyDescent="0.35">
      <c r="A353" s="4">
        <v>352</v>
      </c>
      <c r="B353" s="5">
        <v>45088</v>
      </c>
      <c r="C353" s="4" t="s">
        <v>365</v>
      </c>
      <c r="D353" s="4" t="s">
        <v>10</v>
      </c>
      <c r="E353" s="4">
        <v>57</v>
      </c>
      <c r="F353" s="4" t="str">
        <f>IF(Table1567[[#This Row],[Age]]&lt;=19,"Teenager",IF(Table1567[[#This Row],[Age]]&lt;=40,"Median","Old"))</f>
        <v>Old</v>
      </c>
      <c r="G353" s="4" t="s">
        <v>16</v>
      </c>
      <c r="H353" s="4">
        <v>2</v>
      </c>
      <c r="I353" s="4">
        <v>500</v>
      </c>
      <c r="J353" s="4">
        <v>1000</v>
      </c>
      <c r="K353" s="4" t="str" cm="1">
        <f t="array" ref="K353">_xlfn.IFS(AND(Table1567[[#This Row],[Total Amount]]&gt;=1500),"Critical",AND(Table1567[[#This Row],[Total Amount]]&gt;=1000),"High",TRUE,"Normal")</f>
        <v>High</v>
      </c>
      <c r="L353" s="4" t="str">
        <f>IF(Table1567[[#This Row],[Total Amount]]&gt;=1000,"High",(IF(Table1567[[#This Row],[Total Amount]]&gt;=500,"Medium","Low")))</f>
        <v>High</v>
      </c>
      <c r="M353" s="4" t="str" cm="1">
        <f t="array" ref="M35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53" s="4" cm="1">
        <f t="array" ref="N35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353" s="4">
        <f>Table1567[[#This Row],[Total Amount]]-Table1567[[#This Row],[Discount Amount]]</f>
        <v>900</v>
      </c>
      <c r="P353" s="4" t="str">
        <f>IF(Table1567[[#This Row],[Total Amount]]&gt;=1000,"High","Low")</f>
        <v>High</v>
      </c>
      <c r="Q353" s="4" t="str" cm="1">
        <f t="array" ref="Q353">_xlfn.IFS(AND(Table1567[[#This Row],[Total Amount]]&gt;=1500,"Critical"),AND(Table1567[[#This Row],[Total Amount]]&gt;=1000,"High"),TRUE,"Normal")</f>
        <v>Normal</v>
      </c>
      <c r="R353" s="4" t="str">
        <f>CONCATENATE(Table1567[[#This Row],[Customer ID]], "-",Table1567[[#This Row],[Age]])</f>
        <v>CUST352-57</v>
      </c>
      <c r="S353" s="4" t="str">
        <f>TEXT(Table1567[[#This Row],[Date]],"mmm")</f>
        <v>Jun</v>
      </c>
      <c r="T353" s="4" t="str">
        <f>TEXT(Table1567[[#This Row],[Date]],"DDD")</f>
        <v>Sun</v>
      </c>
    </row>
    <row r="354" spans="1:20" ht="29" x14ac:dyDescent="0.35">
      <c r="A354" s="4">
        <v>353</v>
      </c>
      <c r="B354" s="5">
        <v>45060</v>
      </c>
      <c r="C354" s="4" t="s">
        <v>366</v>
      </c>
      <c r="D354" s="4" t="s">
        <v>10</v>
      </c>
      <c r="E354" s="4">
        <v>31</v>
      </c>
      <c r="F354" s="4" t="str">
        <f>IF(Table1567[[#This Row],[Age]]&lt;=19,"Teenager",IF(Table1567[[#This Row],[Age]]&lt;=40,"Median","Old"))</f>
        <v>Median</v>
      </c>
      <c r="G354" s="4" t="s">
        <v>16</v>
      </c>
      <c r="H354" s="4">
        <v>1</v>
      </c>
      <c r="I354" s="4">
        <v>500</v>
      </c>
      <c r="J354" s="4">
        <v>500</v>
      </c>
      <c r="K354" s="4" t="str" cm="1">
        <f t="array" ref="K354">_xlfn.IFS(AND(Table1567[[#This Row],[Total Amount]]&gt;=1500),"Critical",AND(Table1567[[#This Row],[Total Amount]]&gt;=1000),"High",TRUE,"Normal")</f>
        <v>Normal</v>
      </c>
      <c r="L354" s="4" t="str">
        <f>IF(Table1567[[#This Row],[Total Amount]]&gt;=1000,"High",(IF(Table1567[[#This Row],[Total Amount]]&gt;=500,"Medium","Low")))</f>
        <v>Medium</v>
      </c>
      <c r="M354" s="4" t="str" cm="1">
        <f t="array" ref="M35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54" s="4" cm="1">
        <f t="array" ref="N35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75</v>
      </c>
      <c r="O354" s="4">
        <f>Table1567[[#This Row],[Total Amount]]-Table1567[[#This Row],[Discount Amount]]</f>
        <v>425</v>
      </c>
      <c r="P354" s="4" t="str">
        <f>IF(Table1567[[#This Row],[Total Amount]]&gt;=1000,"High","Low")</f>
        <v>Low</v>
      </c>
      <c r="Q354" s="4" t="str" cm="1">
        <f t="array" ref="Q354">_xlfn.IFS(AND(Table1567[[#This Row],[Total Amount]]&gt;=1500,"Critical"),AND(Table1567[[#This Row],[Total Amount]]&gt;=1000,"High"),TRUE,"Normal")</f>
        <v>Normal</v>
      </c>
      <c r="R354" s="4" t="str">
        <f>CONCATENATE(Table1567[[#This Row],[Customer ID]], "-",Table1567[[#This Row],[Age]])</f>
        <v>CUST353-31</v>
      </c>
      <c r="S354" s="4" t="str">
        <f>TEXT(Table1567[[#This Row],[Date]],"mmm")</f>
        <v>May</v>
      </c>
      <c r="T354" s="4" t="str">
        <f>TEXT(Table1567[[#This Row],[Date]],"DDD")</f>
        <v>Sun</v>
      </c>
    </row>
    <row r="355" spans="1:20" ht="29" x14ac:dyDescent="0.35">
      <c r="A355" s="4">
        <v>354</v>
      </c>
      <c r="B355" s="5">
        <v>45031</v>
      </c>
      <c r="C355" s="4" t="s">
        <v>367</v>
      </c>
      <c r="D355" s="4" t="s">
        <v>13</v>
      </c>
      <c r="E355" s="4">
        <v>49</v>
      </c>
      <c r="F355" s="4" t="str">
        <f>IF(Table1567[[#This Row],[Age]]&lt;=19,"Teenager",IF(Table1567[[#This Row],[Age]]&lt;=40,"Median","Old"))</f>
        <v>Old</v>
      </c>
      <c r="G355" s="4" t="s">
        <v>11</v>
      </c>
      <c r="H355" s="4">
        <v>4</v>
      </c>
      <c r="I355" s="4">
        <v>50</v>
      </c>
      <c r="J355" s="4">
        <v>200</v>
      </c>
      <c r="K355" s="4" t="str" cm="1">
        <f t="array" ref="K355">_xlfn.IFS(AND(Table1567[[#This Row],[Total Amount]]&gt;=1500),"Critical",AND(Table1567[[#This Row],[Total Amount]]&gt;=1000),"High",TRUE,"Normal")</f>
        <v>Normal</v>
      </c>
      <c r="L355" s="4" t="str">
        <f>IF(Table1567[[#This Row],[Total Amount]]&gt;=1000,"High",(IF(Table1567[[#This Row],[Total Amount]]&gt;=500,"Medium","Low")))</f>
        <v>Low</v>
      </c>
      <c r="M355" s="4" t="str" cm="1">
        <f t="array" ref="M35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55" s="4" cm="1">
        <f t="array" ref="N35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</v>
      </c>
      <c r="O355" s="4">
        <f>Table1567[[#This Row],[Total Amount]]-Table1567[[#This Row],[Discount Amount]]</f>
        <v>160</v>
      </c>
      <c r="P355" s="4" t="str">
        <f>IF(Table1567[[#This Row],[Total Amount]]&gt;=1000,"High","Low")</f>
        <v>Low</v>
      </c>
      <c r="Q355" s="4" t="str" cm="1">
        <f t="array" ref="Q355">_xlfn.IFS(AND(Table1567[[#This Row],[Total Amount]]&gt;=1500,"Critical"),AND(Table1567[[#This Row],[Total Amount]]&gt;=1000,"High"),TRUE,"Normal")</f>
        <v>Normal</v>
      </c>
      <c r="R355" s="4" t="str">
        <f>CONCATENATE(Table1567[[#This Row],[Customer ID]], "-",Table1567[[#This Row],[Age]])</f>
        <v>CUST354-49</v>
      </c>
      <c r="S355" s="4" t="str">
        <f>TEXT(Table1567[[#This Row],[Date]],"mmm")</f>
        <v>Apr</v>
      </c>
      <c r="T355" s="4" t="str">
        <f>TEXT(Table1567[[#This Row],[Date]],"DDD")</f>
        <v>Sat</v>
      </c>
    </row>
    <row r="356" spans="1:20" ht="29" x14ac:dyDescent="0.35">
      <c r="A356" s="4">
        <v>355</v>
      </c>
      <c r="B356" s="5">
        <v>45269</v>
      </c>
      <c r="C356" s="4" t="s">
        <v>368</v>
      </c>
      <c r="D356" s="4" t="s">
        <v>13</v>
      </c>
      <c r="E356" s="4">
        <v>55</v>
      </c>
      <c r="F356" s="4" t="str">
        <f>IF(Table1567[[#This Row],[Age]]&lt;=19,"Teenager",IF(Table1567[[#This Row],[Age]]&lt;=40,"Median","Old"))</f>
        <v>Old</v>
      </c>
      <c r="G356" s="4" t="s">
        <v>16</v>
      </c>
      <c r="H356" s="4">
        <v>1</v>
      </c>
      <c r="I356" s="4">
        <v>500</v>
      </c>
      <c r="J356" s="4">
        <v>500</v>
      </c>
      <c r="K356" s="4" t="str" cm="1">
        <f t="array" ref="K356">_xlfn.IFS(AND(Table1567[[#This Row],[Total Amount]]&gt;=1500),"Critical",AND(Table1567[[#This Row],[Total Amount]]&gt;=1000),"High",TRUE,"Normal")</f>
        <v>Normal</v>
      </c>
      <c r="L356" s="4" t="str">
        <f>IF(Table1567[[#This Row],[Total Amount]]&gt;=1000,"High",(IF(Table1567[[#This Row],[Total Amount]]&gt;=500,"Medium","Low")))</f>
        <v>Medium</v>
      </c>
      <c r="M356" s="4" t="str" cm="1">
        <f t="array" ref="M35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56" s="4" cm="1">
        <f t="array" ref="N35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356" s="4">
        <f>Table1567[[#This Row],[Total Amount]]-Table1567[[#This Row],[Discount Amount]]</f>
        <v>400</v>
      </c>
      <c r="P356" s="4" t="str">
        <f>IF(Table1567[[#This Row],[Total Amount]]&gt;=1000,"High","Low")</f>
        <v>Low</v>
      </c>
      <c r="Q356" s="4" t="str" cm="1">
        <f t="array" ref="Q356">_xlfn.IFS(AND(Table1567[[#This Row],[Total Amount]]&gt;=1500,"Critical"),AND(Table1567[[#This Row],[Total Amount]]&gt;=1000,"High"),TRUE,"Normal")</f>
        <v>Normal</v>
      </c>
      <c r="R356" s="4" t="str">
        <f>CONCATENATE(Table1567[[#This Row],[Customer ID]], "-",Table1567[[#This Row],[Age]])</f>
        <v>CUST355-55</v>
      </c>
      <c r="S356" s="4" t="str">
        <f>TEXT(Table1567[[#This Row],[Date]],"mmm")</f>
        <v>Dec</v>
      </c>
      <c r="T356" s="4" t="str">
        <f>TEXT(Table1567[[#This Row],[Date]],"DDD")</f>
        <v>Sat</v>
      </c>
    </row>
    <row r="357" spans="1:20" ht="29" x14ac:dyDescent="0.35">
      <c r="A357" s="4">
        <v>356</v>
      </c>
      <c r="B357" s="5">
        <v>45087</v>
      </c>
      <c r="C357" s="4" t="s">
        <v>369</v>
      </c>
      <c r="D357" s="4" t="s">
        <v>10</v>
      </c>
      <c r="E357" s="4">
        <v>50</v>
      </c>
      <c r="F357" s="4" t="str">
        <f>IF(Table1567[[#This Row],[Age]]&lt;=19,"Teenager",IF(Table1567[[#This Row],[Age]]&lt;=40,"Median","Old"))</f>
        <v>Old</v>
      </c>
      <c r="G357" s="4" t="s">
        <v>16</v>
      </c>
      <c r="H357" s="4">
        <v>3</v>
      </c>
      <c r="I357" s="4">
        <v>500</v>
      </c>
      <c r="J357" s="4">
        <v>1500</v>
      </c>
      <c r="K357" s="4" t="str" cm="1">
        <f t="array" ref="K357">_xlfn.IFS(AND(Table1567[[#This Row],[Total Amount]]&gt;=1500),"Critical",AND(Table1567[[#This Row],[Total Amount]]&gt;=1000),"High",TRUE,"Normal")</f>
        <v>Critical</v>
      </c>
      <c r="L357" s="4" t="str">
        <f>IF(Table1567[[#This Row],[Total Amount]]&gt;=1000,"High",(IF(Table1567[[#This Row],[Total Amount]]&gt;=500,"Medium","Low")))</f>
        <v>High</v>
      </c>
      <c r="M357" s="4" t="str" cm="1">
        <f t="array" ref="M35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57" s="4" cm="1">
        <f t="array" ref="N35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357" s="4">
        <f>Table1567[[#This Row],[Total Amount]]-Table1567[[#This Row],[Discount Amount]]</f>
        <v>1350</v>
      </c>
      <c r="P357" s="4" t="str">
        <f>IF(Table1567[[#This Row],[Total Amount]]&gt;=1000,"High","Low")</f>
        <v>High</v>
      </c>
      <c r="Q357" s="4" t="b" cm="1">
        <f t="array" ref="Q357">_xlfn.IFS(AND(Table1567[[#This Row],[Total Amount]]&gt;=1500,"Critical"),AND(Table1567[[#This Row],[Total Amount]]&gt;=1000,"High"),TRUE,"Normal")</f>
        <v>1</v>
      </c>
      <c r="R357" s="4" t="str">
        <f>CONCATENATE(Table1567[[#This Row],[Customer ID]], "-",Table1567[[#This Row],[Age]])</f>
        <v>CUST356-50</v>
      </c>
      <c r="S357" s="4" t="str">
        <f>TEXT(Table1567[[#This Row],[Date]],"mmm")</f>
        <v>Jun</v>
      </c>
      <c r="T357" s="4" t="str">
        <f>TEXT(Table1567[[#This Row],[Date]],"DDD")</f>
        <v>Sat</v>
      </c>
    </row>
    <row r="358" spans="1:20" ht="29" x14ac:dyDescent="0.35">
      <c r="A358" s="4">
        <v>357</v>
      </c>
      <c r="B358" s="5">
        <v>45049</v>
      </c>
      <c r="C358" s="4" t="s">
        <v>370</v>
      </c>
      <c r="D358" s="4" t="s">
        <v>13</v>
      </c>
      <c r="E358" s="4">
        <v>40</v>
      </c>
      <c r="F358" s="4" t="str">
        <f>IF(Table1567[[#This Row],[Age]]&lt;=19,"Teenager",IF(Table1567[[#This Row],[Age]]&lt;=40,"Median","Old"))</f>
        <v>Median</v>
      </c>
      <c r="G358" s="4" t="s">
        <v>16</v>
      </c>
      <c r="H358" s="4">
        <v>3</v>
      </c>
      <c r="I358" s="4">
        <v>25</v>
      </c>
      <c r="J358" s="4">
        <v>75</v>
      </c>
      <c r="K358" s="4" t="str" cm="1">
        <f t="array" ref="K358">_xlfn.IFS(AND(Table1567[[#This Row],[Total Amount]]&gt;=1500),"Critical",AND(Table1567[[#This Row],[Total Amount]]&gt;=1000),"High",TRUE,"Normal")</f>
        <v>Normal</v>
      </c>
      <c r="L358" s="4" t="str">
        <f>IF(Table1567[[#This Row],[Total Amount]]&gt;=1000,"High",(IF(Table1567[[#This Row],[Total Amount]]&gt;=500,"Medium","Low")))</f>
        <v>Low</v>
      </c>
      <c r="M358" s="4" t="str" cm="1">
        <f t="array" ref="M35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58" s="4" cm="1">
        <f t="array" ref="N35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358" s="4">
        <f>Table1567[[#This Row],[Total Amount]]-Table1567[[#This Row],[Discount Amount]]</f>
        <v>60</v>
      </c>
      <c r="P358" s="4" t="str">
        <f>IF(Table1567[[#This Row],[Total Amount]]&gt;=1000,"High","Low")</f>
        <v>Low</v>
      </c>
      <c r="Q358" s="4" t="str" cm="1">
        <f t="array" ref="Q358">_xlfn.IFS(AND(Table1567[[#This Row],[Total Amount]]&gt;=1500,"Critical"),AND(Table1567[[#This Row],[Total Amount]]&gt;=1000,"High"),TRUE,"Normal")</f>
        <v>Normal</v>
      </c>
      <c r="R358" s="4" t="str">
        <f>CONCATENATE(Table1567[[#This Row],[Customer ID]], "-",Table1567[[#This Row],[Age]])</f>
        <v>CUST357-40</v>
      </c>
      <c r="S358" s="4" t="str">
        <f>TEXT(Table1567[[#This Row],[Date]],"mmm")</f>
        <v>May</v>
      </c>
      <c r="T358" s="4" t="str">
        <f>TEXT(Table1567[[#This Row],[Date]],"DDD")</f>
        <v>Wed</v>
      </c>
    </row>
    <row r="359" spans="1:20" ht="29" x14ac:dyDescent="0.35">
      <c r="A359" s="4">
        <v>358</v>
      </c>
      <c r="B359" s="5">
        <v>45062</v>
      </c>
      <c r="C359" s="4" t="s">
        <v>371</v>
      </c>
      <c r="D359" s="4" t="s">
        <v>13</v>
      </c>
      <c r="E359" s="4">
        <v>32</v>
      </c>
      <c r="F359" s="4" t="str">
        <f>IF(Table1567[[#This Row],[Age]]&lt;=19,"Teenager",IF(Table1567[[#This Row],[Age]]&lt;=40,"Median","Old"))</f>
        <v>Median</v>
      </c>
      <c r="G359" s="4" t="s">
        <v>11</v>
      </c>
      <c r="H359" s="4">
        <v>1</v>
      </c>
      <c r="I359" s="4">
        <v>300</v>
      </c>
      <c r="J359" s="4">
        <v>300</v>
      </c>
      <c r="K359" s="4" t="str" cm="1">
        <f t="array" ref="K359">_xlfn.IFS(AND(Table1567[[#This Row],[Total Amount]]&gt;=1500),"Critical",AND(Table1567[[#This Row],[Total Amount]]&gt;=1000),"High",TRUE,"Normal")</f>
        <v>Normal</v>
      </c>
      <c r="L359" s="4" t="str">
        <f>IF(Table1567[[#This Row],[Total Amount]]&gt;=1000,"High",(IF(Table1567[[#This Row],[Total Amount]]&gt;=500,"Medium","Low")))</f>
        <v>Low</v>
      </c>
      <c r="M359" s="4" t="str" cm="1">
        <f t="array" ref="M35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59" s="4" cm="1">
        <f t="array" ref="N35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45</v>
      </c>
      <c r="O359" s="4">
        <f>Table1567[[#This Row],[Total Amount]]-Table1567[[#This Row],[Discount Amount]]</f>
        <v>255</v>
      </c>
      <c r="P359" s="4" t="str">
        <f>IF(Table1567[[#This Row],[Total Amount]]&gt;=1000,"High","Low")</f>
        <v>Low</v>
      </c>
      <c r="Q359" s="4" t="str" cm="1">
        <f t="array" ref="Q359">_xlfn.IFS(AND(Table1567[[#This Row],[Total Amount]]&gt;=1500,"Critical"),AND(Table1567[[#This Row],[Total Amount]]&gt;=1000,"High"),TRUE,"Normal")</f>
        <v>Normal</v>
      </c>
      <c r="R359" s="4" t="str">
        <f>CONCATENATE(Table1567[[#This Row],[Customer ID]], "-",Table1567[[#This Row],[Age]])</f>
        <v>CUST358-32</v>
      </c>
      <c r="S359" s="4" t="str">
        <f>TEXT(Table1567[[#This Row],[Date]],"mmm")</f>
        <v>May</v>
      </c>
      <c r="T359" s="4" t="str">
        <f>TEXT(Table1567[[#This Row],[Date]],"DDD")</f>
        <v>Tue</v>
      </c>
    </row>
    <row r="360" spans="1:20" ht="29" x14ac:dyDescent="0.35">
      <c r="A360" s="4">
        <v>359</v>
      </c>
      <c r="B360" s="5">
        <v>45129</v>
      </c>
      <c r="C360" s="4" t="s">
        <v>372</v>
      </c>
      <c r="D360" s="4" t="s">
        <v>10</v>
      </c>
      <c r="E360" s="4">
        <v>50</v>
      </c>
      <c r="F360" s="4" t="str">
        <f>IF(Table1567[[#This Row],[Age]]&lt;=19,"Teenager",IF(Table1567[[#This Row],[Age]]&lt;=40,"Median","Old"))</f>
        <v>Old</v>
      </c>
      <c r="G360" s="4" t="s">
        <v>14</v>
      </c>
      <c r="H360" s="4">
        <v>1</v>
      </c>
      <c r="I360" s="4">
        <v>50</v>
      </c>
      <c r="J360" s="4">
        <v>50</v>
      </c>
      <c r="K360" s="4" t="str" cm="1">
        <f t="array" ref="K360">_xlfn.IFS(AND(Table1567[[#This Row],[Total Amount]]&gt;=1500),"Critical",AND(Table1567[[#This Row],[Total Amount]]&gt;=1000),"High",TRUE,"Normal")</f>
        <v>Normal</v>
      </c>
      <c r="L360" s="4" t="str">
        <f>IF(Table1567[[#This Row],[Total Amount]]&gt;=1000,"High",(IF(Table1567[[#This Row],[Total Amount]]&gt;=500,"Medium","Low")))</f>
        <v>Low</v>
      </c>
      <c r="M360" s="4" t="str" cm="1">
        <f t="array" ref="M36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60" s="4" cm="1">
        <f t="array" ref="N36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360" s="4">
        <f>Table1567[[#This Row],[Total Amount]]-Table1567[[#This Row],[Discount Amount]]</f>
        <v>45</v>
      </c>
      <c r="P360" s="4" t="str">
        <f>IF(Table1567[[#This Row],[Total Amount]]&gt;=1000,"High","Low")</f>
        <v>Low</v>
      </c>
      <c r="Q360" s="4" t="str" cm="1">
        <f t="array" ref="Q360">_xlfn.IFS(AND(Table1567[[#This Row],[Total Amount]]&gt;=1500,"Critical"),AND(Table1567[[#This Row],[Total Amount]]&gt;=1000,"High"),TRUE,"Normal")</f>
        <v>Normal</v>
      </c>
      <c r="R360" s="4" t="str">
        <f>CONCATENATE(Table1567[[#This Row],[Customer ID]], "-",Table1567[[#This Row],[Age]])</f>
        <v>CUST359-50</v>
      </c>
      <c r="S360" s="4" t="str">
        <f>TEXT(Table1567[[#This Row],[Date]],"mmm")</f>
        <v>Jul</v>
      </c>
      <c r="T360" s="4" t="str">
        <f>TEXT(Table1567[[#This Row],[Date]],"DDD")</f>
        <v>Sat</v>
      </c>
    </row>
    <row r="361" spans="1:20" ht="29" x14ac:dyDescent="0.35">
      <c r="A361" s="4">
        <v>360</v>
      </c>
      <c r="B361" s="5">
        <v>44994</v>
      </c>
      <c r="C361" s="4" t="s">
        <v>373</v>
      </c>
      <c r="D361" s="4" t="s">
        <v>10</v>
      </c>
      <c r="E361" s="4">
        <v>42</v>
      </c>
      <c r="F361" s="4" t="str">
        <f>IF(Table1567[[#This Row],[Age]]&lt;=19,"Teenager",IF(Table1567[[#This Row],[Age]]&lt;=40,"Median","Old"))</f>
        <v>Old</v>
      </c>
      <c r="G361" s="4" t="s">
        <v>14</v>
      </c>
      <c r="H361" s="4">
        <v>4</v>
      </c>
      <c r="I361" s="4">
        <v>25</v>
      </c>
      <c r="J361" s="4">
        <v>100</v>
      </c>
      <c r="K361" s="4" t="str" cm="1">
        <f t="array" ref="K361">_xlfn.IFS(AND(Table1567[[#This Row],[Total Amount]]&gt;=1500),"Critical",AND(Table1567[[#This Row],[Total Amount]]&gt;=1000),"High",TRUE,"Normal")</f>
        <v>Normal</v>
      </c>
      <c r="L361" s="4" t="str">
        <f>IF(Table1567[[#This Row],[Total Amount]]&gt;=1000,"High",(IF(Table1567[[#This Row],[Total Amount]]&gt;=500,"Medium","Low")))</f>
        <v>Low</v>
      </c>
      <c r="M361" s="4" t="str" cm="1">
        <f t="array" ref="M36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61" s="4" cm="1">
        <f t="array" ref="N36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361" s="4">
        <f>Table1567[[#This Row],[Total Amount]]-Table1567[[#This Row],[Discount Amount]]</f>
        <v>90</v>
      </c>
      <c r="P361" s="4" t="str">
        <f>IF(Table1567[[#This Row],[Total Amount]]&gt;=1000,"High","Low")</f>
        <v>Low</v>
      </c>
      <c r="Q361" s="4" t="str" cm="1">
        <f t="array" ref="Q361">_xlfn.IFS(AND(Table1567[[#This Row],[Total Amount]]&gt;=1500,"Critical"),AND(Table1567[[#This Row],[Total Amount]]&gt;=1000,"High"),TRUE,"Normal")</f>
        <v>Normal</v>
      </c>
      <c r="R361" s="4" t="str">
        <f>CONCATENATE(Table1567[[#This Row],[Customer ID]], "-",Table1567[[#This Row],[Age]])</f>
        <v>CUST360-42</v>
      </c>
      <c r="S361" s="4" t="str">
        <f>TEXT(Table1567[[#This Row],[Date]],"mmm")</f>
        <v>Mar</v>
      </c>
      <c r="T361" s="4" t="str">
        <f>TEXT(Table1567[[#This Row],[Date]],"DDD")</f>
        <v>Thu</v>
      </c>
    </row>
    <row r="362" spans="1:20" ht="29" x14ac:dyDescent="0.35">
      <c r="A362" s="4">
        <v>361</v>
      </c>
      <c r="B362" s="5">
        <v>45270</v>
      </c>
      <c r="C362" s="4" t="s">
        <v>374</v>
      </c>
      <c r="D362" s="4" t="s">
        <v>13</v>
      </c>
      <c r="E362" s="4">
        <v>34</v>
      </c>
      <c r="F362" s="4" t="str">
        <f>IF(Table1567[[#This Row],[Age]]&lt;=19,"Teenager",IF(Table1567[[#This Row],[Age]]&lt;=40,"Median","Old"))</f>
        <v>Median</v>
      </c>
      <c r="G362" s="4" t="s">
        <v>16</v>
      </c>
      <c r="H362" s="4">
        <v>4</v>
      </c>
      <c r="I362" s="4">
        <v>300</v>
      </c>
      <c r="J362" s="4">
        <v>1200</v>
      </c>
      <c r="K362" s="4" t="str" cm="1">
        <f t="array" ref="K362">_xlfn.IFS(AND(Table1567[[#This Row],[Total Amount]]&gt;=1500),"Critical",AND(Table1567[[#This Row],[Total Amount]]&gt;=1000),"High",TRUE,"Normal")</f>
        <v>High</v>
      </c>
      <c r="L362" s="4" t="str">
        <f>IF(Table1567[[#This Row],[Total Amount]]&gt;=1000,"High",(IF(Table1567[[#This Row],[Total Amount]]&gt;=500,"Medium","Low")))</f>
        <v>High</v>
      </c>
      <c r="M362" s="4" t="str" cm="1">
        <f t="array" ref="M36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62" s="4" cm="1">
        <f t="array" ref="N36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362" s="4">
        <f>Table1567[[#This Row],[Total Amount]]-Table1567[[#This Row],[Discount Amount]]</f>
        <v>1020</v>
      </c>
      <c r="P362" s="4" t="str">
        <f>IF(Table1567[[#This Row],[Total Amount]]&gt;=1000,"High","Low")</f>
        <v>High</v>
      </c>
      <c r="Q362" s="4" t="str" cm="1">
        <f t="array" ref="Q362">_xlfn.IFS(AND(Table1567[[#This Row],[Total Amount]]&gt;=1500,"Critical"),AND(Table1567[[#This Row],[Total Amount]]&gt;=1000,"High"),TRUE,"Normal")</f>
        <v>Normal</v>
      </c>
      <c r="R362" s="4" t="str">
        <f>CONCATENATE(Table1567[[#This Row],[Customer ID]], "-",Table1567[[#This Row],[Age]])</f>
        <v>CUST361-34</v>
      </c>
      <c r="S362" s="4" t="str">
        <f>TEXT(Table1567[[#This Row],[Date]],"mmm")</f>
        <v>Dec</v>
      </c>
      <c r="T362" s="4" t="str">
        <f>TEXT(Table1567[[#This Row],[Date]],"DDD")</f>
        <v>Sun</v>
      </c>
    </row>
    <row r="363" spans="1:20" ht="29" x14ac:dyDescent="0.35">
      <c r="A363" s="4">
        <v>362</v>
      </c>
      <c r="B363" s="5">
        <v>45257</v>
      </c>
      <c r="C363" s="4" t="s">
        <v>375</v>
      </c>
      <c r="D363" s="4" t="s">
        <v>10</v>
      </c>
      <c r="E363" s="4">
        <v>50</v>
      </c>
      <c r="F363" s="4" t="str">
        <f>IF(Table1567[[#This Row],[Age]]&lt;=19,"Teenager",IF(Table1567[[#This Row],[Age]]&lt;=40,"Median","Old"))</f>
        <v>Old</v>
      </c>
      <c r="G363" s="4" t="s">
        <v>14</v>
      </c>
      <c r="H363" s="4">
        <v>1</v>
      </c>
      <c r="I363" s="4">
        <v>25</v>
      </c>
      <c r="J363" s="4">
        <v>25</v>
      </c>
      <c r="K363" s="4" t="str" cm="1">
        <f t="array" ref="K363">_xlfn.IFS(AND(Table1567[[#This Row],[Total Amount]]&gt;=1500),"Critical",AND(Table1567[[#This Row],[Total Amount]]&gt;=1000),"High",TRUE,"Normal")</f>
        <v>Normal</v>
      </c>
      <c r="L363" s="4" t="str">
        <f>IF(Table1567[[#This Row],[Total Amount]]&gt;=1000,"High",(IF(Table1567[[#This Row],[Total Amount]]&gt;=500,"Medium","Low")))</f>
        <v>Low</v>
      </c>
      <c r="M363" s="4" t="str" cm="1">
        <f t="array" ref="M36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63" s="4" cm="1">
        <f t="array" ref="N36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363" s="4">
        <f>Table1567[[#This Row],[Total Amount]]-Table1567[[#This Row],[Discount Amount]]</f>
        <v>22.5</v>
      </c>
      <c r="P363" s="4" t="str">
        <f>IF(Table1567[[#This Row],[Total Amount]]&gt;=1000,"High","Low")</f>
        <v>Low</v>
      </c>
      <c r="Q363" s="4" t="str" cm="1">
        <f t="array" ref="Q363">_xlfn.IFS(AND(Table1567[[#This Row],[Total Amount]]&gt;=1500,"Critical"),AND(Table1567[[#This Row],[Total Amount]]&gt;=1000,"High"),TRUE,"Normal")</f>
        <v>Normal</v>
      </c>
      <c r="R363" s="4" t="str">
        <f>CONCATENATE(Table1567[[#This Row],[Customer ID]], "-",Table1567[[#This Row],[Age]])</f>
        <v>CUST362-50</v>
      </c>
      <c r="S363" s="4" t="str">
        <f>TEXT(Table1567[[#This Row],[Date]],"mmm")</f>
        <v>Nov</v>
      </c>
      <c r="T363" s="4" t="str">
        <f>TEXT(Table1567[[#This Row],[Date]],"DDD")</f>
        <v>Mon</v>
      </c>
    </row>
    <row r="364" spans="1:20" ht="29" x14ac:dyDescent="0.35">
      <c r="A364" s="4">
        <v>363</v>
      </c>
      <c r="B364" s="5">
        <v>45080</v>
      </c>
      <c r="C364" s="4" t="s">
        <v>376</v>
      </c>
      <c r="D364" s="4" t="s">
        <v>10</v>
      </c>
      <c r="E364" s="4">
        <v>64</v>
      </c>
      <c r="F364" s="4" t="str">
        <f>IF(Table1567[[#This Row],[Age]]&lt;=19,"Teenager",IF(Table1567[[#This Row],[Age]]&lt;=40,"Median","Old"))</f>
        <v>Old</v>
      </c>
      <c r="G364" s="4" t="s">
        <v>11</v>
      </c>
      <c r="H364" s="4">
        <v>1</v>
      </c>
      <c r="I364" s="4">
        <v>25</v>
      </c>
      <c r="J364" s="4">
        <v>25</v>
      </c>
      <c r="K364" s="4" t="str" cm="1">
        <f t="array" ref="K364">_xlfn.IFS(AND(Table1567[[#This Row],[Total Amount]]&gt;=1500),"Critical",AND(Table1567[[#This Row],[Total Amount]]&gt;=1000),"High",TRUE,"Normal")</f>
        <v>Normal</v>
      </c>
      <c r="L364" s="4" t="str">
        <f>IF(Table1567[[#This Row],[Total Amount]]&gt;=1000,"High",(IF(Table1567[[#This Row],[Total Amount]]&gt;=500,"Medium","Low")))</f>
        <v>Low</v>
      </c>
      <c r="M364" s="4" t="str" cm="1">
        <f t="array" ref="M36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64" s="4" cm="1">
        <f t="array" ref="N36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364" s="4">
        <f>Table1567[[#This Row],[Total Amount]]-Table1567[[#This Row],[Discount Amount]]</f>
        <v>22.5</v>
      </c>
      <c r="P364" s="4" t="str">
        <f>IF(Table1567[[#This Row],[Total Amount]]&gt;=1000,"High","Low")</f>
        <v>Low</v>
      </c>
      <c r="Q364" s="4" t="str" cm="1">
        <f t="array" ref="Q364">_xlfn.IFS(AND(Table1567[[#This Row],[Total Amount]]&gt;=1500,"Critical"),AND(Table1567[[#This Row],[Total Amount]]&gt;=1000,"High"),TRUE,"Normal")</f>
        <v>Normal</v>
      </c>
      <c r="R364" s="4" t="str">
        <f>CONCATENATE(Table1567[[#This Row],[Customer ID]], "-",Table1567[[#This Row],[Age]])</f>
        <v>CUST363-64</v>
      </c>
      <c r="S364" s="4" t="str">
        <f>TEXT(Table1567[[#This Row],[Date]],"mmm")</f>
        <v>Jun</v>
      </c>
      <c r="T364" s="4" t="str">
        <f>TEXT(Table1567[[#This Row],[Date]],"DDD")</f>
        <v>Sat</v>
      </c>
    </row>
    <row r="365" spans="1:20" ht="29" x14ac:dyDescent="0.35">
      <c r="A365" s="4">
        <v>364</v>
      </c>
      <c r="B365" s="5">
        <v>45161</v>
      </c>
      <c r="C365" s="4" t="s">
        <v>377</v>
      </c>
      <c r="D365" s="4" t="s">
        <v>13</v>
      </c>
      <c r="E365" s="4">
        <v>19</v>
      </c>
      <c r="F365" s="4" t="str">
        <f>IF(Table1567[[#This Row],[Age]]&lt;=19,"Teenager",IF(Table1567[[#This Row],[Age]]&lt;=40,"Median","Old"))</f>
        <v>Teenager</v>
      </c>
      <c r="G365" s="4" t="s">
        <v>11</v>
      </c>
      <c r="H365" s="4">
        <v>1</v>
      </c>
      <c r="I365" s="4">
        <v>500</v>
      </c>
      <c r="J365" s="4">
        <v>500</v>
      </c>
      <c r="K365" s="4" t="str" cm="1">
        <f t="array" ref="K365">_xlfn.IFS(AND(Table1567[[#This Row],[Total Amount]]&gt;=1500),"Critical",AND(Table1567[[#This Row],[Total Amount]]&gt;=1000),"High",TRUE,"Normal")</f>
        <v>Normal</v>
      </c>
      <c r="L365" s="4" t="str">
        <f>IF(Table1567[[#This Row],[Total Amount]]&gt;=1000,"High",(IF(Table1567[[#This Row],[Total Amount]]&gt;=500,"Medium","Low")))</f>
        <v>Medium</v>
      </c>
      <c r="M365" s="4" t="str" cm="1">
        <f t="array" ref="M36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365" s="4" cm="1">
        <f t="array" ref="N36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365" s="4">
        <f>Table1567[[#This Row],[Total Amount]]-Table1567[[#This Row],[Discount Amount]]</f>
        <v>500</v>
      </c>
      <c r="P365" s="4" t="str">
        <f>IF(Table1567[[#This Row],[Total Amount]]&gt;=1000,"High","Low")</f>
        <v>Low</v>
      </c>
      <c r="Q365" s="4" t="str" cm="1">
        <f t="array" ref="Q365">_xlfn.IFS(AND(Table1567[[#This Row],[Total Amount]]&gt;=1500,"Critical"),AND(Table1567[[#This Row],[Total Amount]]&gt;=1000,"High"),TRUE,"Normal")</f>
        <v>Normal</v>
      </c>
      <c r="R365" s="4" t="str">
        <f>CONCATENATE(Table1567[[#This Row],[Customer ID]], "-",Table1567[[#This Row],[Age]])</f>
        <v>CUST364-19</v>
      </c>
      <c r="S365" s="4" t="str">
        <f>TEXT(Table1567[[#This Row],[Date]],"mmm")</f>
        <v>Aug</v>
      </c>
      <c r="T365" s="4" t="str">
        <f>TEXT(Table1567[[#This Row],[Date]],"DDD")</f>
        <v>Wed</v>
      </c>
    </row>
    <row r="366" spans="1:20" ht="29" x14ac:dyDescent="0.35">
      <c r="A366" s="4">
        <v>365</v>
      </c>
      <c r="B366" s="5">
        <v>45088</v>
      </c>
      <c r="C366" s="4" t="s">
        <v>378</v>
      </c>
      <c r="D366" s="4" t="s">
        <v>10</v>
      </c>
      <c r="E366" s="4">
        <v>31</v>
      </c>
      <c r="F366" s="4" t="str">
        <f>IF(Table1567[[#This Row],[Age]]&lt;=19,"Teenager",IF(Table1567[[#This Row],[Age]]&lt;=40,"Median","Old"))</f>
        <v>Median</v>
      </c>
      <c r="G366" s="4" t="s">
        <v>14</v>
      </c>
      <c r="H366" s="4">
        <v>1</v>
      </c>
      <c r="I366" s="4">
        <v>300</v>
      </c>
      <c r="J366" s="4">
        <v>300</v>
      </c>
      <c r="K366" s="4" t="str" cm="1">
        <f t="array" ref="K366">_xlfn.IFS(AND(Table1567[[#This Row],[Total Amount]]&gt;=1500),"Critical",AND(Table1567[[#This Row],[Total Amount]]&gt;=1000),"High",TRUE,"Normal")</f>
        <v>Normal</v>
      </c>
      <c r="L366" s="4" t="str">
        <f>IF(Table1567[[#This Row],[Total Amount]]&gt;=1000,"High",(IF(Table1567[[#This Row],[Total Amount]]&gt;=500,"Medium","Low")))</f>
        <v>Low</v>
      </c>
      <c r="M366" s="4" t="str" cm="1">
        <f t="array" ref="M36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66" s="4" cm="1">
        <f t="array" ref="N36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45</v>
      </c>
      <c r="O366" s="4">
        <f>Table1567[[#This Row],[Total Amount]]-Table1567[[#This Row],[Discount Amount]]</f>
        <v>255</v>
      </c>
      <c r="P366" s="4" t="str">
        <f>IF(Table1567[[#This Row],[Total Amount]]&gt;=1000,"High","Low")</f>
        <v>Low</v>
      </c>
      <c r="Q366" s="4" t="str" cm="1">
        <f t="array" ref="Q366">_xlfn.IFS(AND(Table1567[[#This Row],[Total Amount]]&gt;=1500,"Critical"),AND(Table1567[[#This Row],[Total Amount]]&gt;=1000,"High"),TRUE,"Normal")</f>
        <v>Normal</v>
      </c>
      <c r="R366" s="4" t="str">
        <f>CONCATENATE(Table1567[[#This Row],[Customer ID]], "-",Table1567[[#This Row],[Age]])</f>
        <v>CUST365-31</v>
      </c>
      <c r="S366" s="4" t="str">
        <f>TEXT(Table1567[[#This Row],[Date]],"mmm")</f>
        <v>Jun</v>
      </c>
      <c r="T366" s="4" t="str">
        <f>TEXT(Table1567[[#This Row],[Date]],"DDD")</f>
        <v>Sun</v>
      </c>
    </row>
    <row r="367" spans="1:20" ht="29" x14ac:dyDescent="0.35">
      <c r="A367" s="4">
        <v>366</v>
      </c>
      <c r="B367" s="5">
        <v>44964</v>
      </c>
      <c r="C367" s="4" t="s">
        <v>379</v>
      </c>
      <c r="D367" s="4" t="s">
        <v>10</v>
      </c>
      <c r="E367" s="4">
        <v>57</v>
      </c>
      <c r="F367" s="4" t="str">
        <f>IF(Table1567[[#This Row],[Age]]&lt;=19,"Teenager",IF(Table1567[[#This Row],[Age]]&lt;=40,"Median","Old"))</f>
        <v>Old</v>
      </c>
      <c r="G367" s="4" t="s">
        <v>14</v>
      </c>
      <c r="H367" s="4">
        <v>2</v>
      </c>
      <c r="I367" s="4">
        <v>50</v>
      </c>
      <c r="J367" s="4">
        <v>100</v>
      </c>
      <c r="K367" s="4" t="str" cm="1">
        <f t="array" ref="K367">_xlfn.IFS(AND(Table1567[[#This Row],[Total Amount]]&gt;=1500),"Critical",AND(Table1567[[#This Row],[Total Amount]]&gt;=1000),"High",TRUE,"Normal")</f>
        <v>Normal</v>
      </c>
      <c r="L367" s="4" t="str">
        <f>IF(Table1567[[#This Row],[Total Amount]]&gt;=1000,"High",(IF(Table1567[[#This Row],[Total Amount]]&gt;=500,"Medium","Low")))</f>
        <v>Low</v>
      </c>
      <c r="M367" s="4" t="str" cm="1">
        <f t="array" ref="M36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67" s="4" cm="1">
        <f t="array" ref="N36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367" s="4">
        <f>Table1567[[#This Row],[Total Amount]]-Table1567[[#This Row],[Discount Amount]]</f>
        <v>90</v>
      </c>
      <c r="P367" s="4" t="str">
        <f>IF(Table1567[[#This Row],[Total Amount]]&gt;=1000,"High","Low")</f>
        <v>Low</v>
      </c>
      <c r="Q367" s="4" t="str" cm="1">
        <f t="array" ref="Q367">_xlfn.IFS(AND(Table1567[[#This Row],[Total Amount]]&gt;=1500,"Critical"),AND(Table1567[[#This Row],[Total Amount]]&gt;=1000,"High"),TRUE,"Normal")</f>
        <v>Normal</v>
      </c>
      <c r="R367" s="4" t="str">
        <f>CONCATENATE(Table1567[[#This Row],[Customer ID]], "-",Table1567[[#This Row],[Age]])</f>
        <v>CUST366-57</v>
      </c>
      <c r="S367" s="4" t="str">
        <f>TEXT(Table1567[[#This Row],[Date]],"mmm")</f>
        <v>Feb</v>
      </c>
      <c r="T367" s="4" t="str">
        <f>TEXT(Table1567[[#This Row],[Date]],"DDD")</f>
        <v>Tue</v>
      </c>
    </row>
    <row r="368" spans="1:20" ht="29" x14ac:dyDescent="0.35">
      <c r="A368" s="4">
        <v>367</v>
      </c>
      <c r="B368" s="5">
        <v>44931</v>
      </c>
      <c r="C368" s="4" t="s">
        <v>380</v>
      </c>
      <c r="D368" s="4" t="s">
        <v>13</v>
      </c>
      <c r="E368" s="4">
        <v>57</v>
      </c>
      <c r="F368" s="4" t="str">
        <f>IF(Table1567[[#This Row],[Age]]&lt;=19,"Teenager",IF(Table1567[[#This Row],[Age]]&lt;=40,"Median","Old"))</f>
        <v>Old</v>
      </c>
      <c r="G368" s="4" t="s">
        <v>16</v>
      </c>
      <c r="H368" s="4">
        <v>1</v>
      </c>
      <c r="I368" s="4">
        <v>50</v>
      </c>
      <c r="J368" s="4">
        <v>50</v>
      </c>
      <c r="K368" s="4" t="str" cm="1">
        <f t="array" ref="K368">_xlfn.IFS(AND(Table1567[[#This Row],[Total Amount]]&gt;=1500),"Critical",AND(Table1567[[#This Row],[Total Amount]]&gt;=1000),"High",TRUE,"Normal")</f>
        <v>Normal</v>
      </c>
      <c r="L368" s="4" t="str">
        <f>IF(Table1567[[#This Row],[Total Amount]]&gt;=1000,"High",(IF(Table1567[[#This Row],[Total Amount]]&gt;=500,"Medium","Low")))</f>
        <v>Low</v>
      </c>
      <c r="M368" s="4" t="str" cm="1">
        <f t="array" ref="M36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68" s="4" cm="1">
        <f t="array" ref="N36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368" s="4">
        <f>Table1567[[#This Row],[Total Amount]]-Table1567[[#This Row],[Discount Amount]]</f>
        <v>40</v>
      </c>
      <c r="P368" s="4" t="str">
        <f>IF(Table1567[[#This Row],[Total Amount]]&gt;=1000,"High","Low")</f>
        <v>Low</v>
      </c>
      <c r="Q368" s="4" t="str" cm="1">
        <f t="array" ref="Q368">_xlfn.IFS(AND(Table1567[[#This Row],[Total Amount]]&gt;=1500,"Critical"),AND(Table1567[[#This Row],[Total Amount]]&gt;=1000,"High"),TRUE,"Normal")</f>
        <v>Normal</v>
      </c>
      <c r="R368" s="4" t="str">
        <f>CONCATENATE(Table1567[[#This Row],[Customer ID]], "-",Table1567[[#This Row],[Age]])</f>
        <v>CUST367-57</v>
      </c>
      <c r="S368" s="4" t="str">
        <f>TEXT(Table1567[[#This Row],[Date]],"mmm")</f>
        <v>Jan</v>
      </c>
      <c r="T368" s="4" t="str">
        <f>TEXT(Table1567[[#This Row],[Date]],"DDD")</f>
        <v>Thu</v>
      </c>
    </row>
    <row r="369" spans="1:20" ht="29" x14ac:dyDescent="0.35">
      <c r="A369" s="4">
        <v>368</v>
      </c>
      <c r="B369" s="5">
        <v>45161</v>
      </c>
      <c r="C369" s="4" t="s">
        <v>381</v>
      </c>
      <c r="D369" s="4" t="s">
        <v>13</v>
      </c>
      <c r="E369" s="4">
        <v>56</v>
      </c>
      <c r="F369" s="4" t="str">
        <f>IF(Table1567[[#This Row],[Age]]&lt;=19,"Teenager",IF(Table1567[[#This Row],[Age]]&lt;=40,"Median","Old"))</f>
        <v>Old</v>
      </c>
      <c r="G369" s="4" t="s">
        <v>14</v>
      </c>
      <c r="H369" s="4">
        <v>4</v>
      </c>
      <c r="I369" s="4">
        <v>300</v>
      </c>
      <c r="J369" s="4">
        <v>1200</v>
      </c>
      <c r="K369" s="4" t="str" cm="1">
        <f t="array" ref="K369">_xlfn.IFS(AND(Table1567[[#This Row],[Total Amount]]&gt;=1500),"Critical",AND(Table1567[[#This Row],[Total Amount]]&gt;=1000),"High",TRUE,"Normal")</f>
        <v>High</v>
      </c>
      <c r="L369" s="4" t="str">
        <f>IF(Table1567[[#This Row],[Total Amount]]&gt;=1000,"High",(IF(Table1567[[#This Row],[Total Amount]]&gt;=500,"Medium","Low")))</f>
        <v>High</v>
      </c>
      <c r="M369" s="4" t="str" cm="1">
        <f t="array" ref="M36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69" s="4" cm="1">
        <f t="array" ref="N36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240</v>
      </c>
      <c r="O369" s="4">
        <f>Table1567[[#This Row],[Total Amount]]-Table1567[[#This Row],[Discount Amount]]</f>
        <v>960</v>
      </c>
      <c r="P369" s="4" t="str">
        <f>IF(Table1567[[#This Row],[Total Amount]]&gt;=1000,"High","Low")</f>
        <v>High</v>
      </c>
      <c r="Q369" s="4" t="str" cm="1">
        <f t="array" ref="Q369">_xlfn.IFS(AND(Table1567[[#This Row],[Total Amount]]&gt;=1500,"Critical"),AND(Table1567[[#This Row],[Total Amount]]&gt;=1000,"High"),TRUE,"Normal")</f>
        <v>Normal</v>
      </c>
      <c r="R369" s="4" t="str">
        <f>CONCATENATE(Table1567[[#This Row],[Customer ID]], "-",Table1567[[#This Row],[Age]])</f>
        <v>CUST368-56</v>
      </c>
      <c r="S369" s="4" t="str">
        <f>TEXT(Table1567[[#This Row],[Date]],"mmm")</f>
        <v>Aug</v>
      </c>
      <c r="T369" s="4" t="str">
        <f>TEXT(Table1567[[#This Row],[Date]],"DDD")</f>
        <v>Wed</v>
      </c>
    </row>
    <row r="370" spans="1:20" ht="29" x14ac:dyDescent="0.35">
      <c r="A370" s="4">
        <v>369</v>
      </c>
      <c r="B370" s="5">
        <v>45245</v>
      </c>
      <c r="C370" s="4" t="s">
        <v>382</v>
      </c>
      <c r="D370" s="4" t="s">
        <v>10</v>
      </c>
      <c r="E370" s="4">
        <v>23</v>
      </c>
      <c r="F370" s="4" t="str">
        <f>IF(Table1567[[#This Row],[Age]]&lt;=19,"Teenager",IF(Table1567[[#This Row],[Age]]&lt;=40,"Median","Old"))</f>
        <v>Median</v>
      </c>
      <c r="G370" s="4" t="s">
        <v>16</v>
      </c>
      <c r="H370" s="4">
        <v>3</v>
      </c>
      <c r="I370" s="4">
        <v>500</v>
      </c>
      <c r="J370" s="4">
        <v>1500</v>
      </c>
      <c r="K370" s="4" t="str" cm="1">
        <f t="array" ref="K370">_xlfn.IFS(AND(Table1567[[#This Row],[Total Amount]]&gt;=1500),"Critical",AND(Table1567[[#This Row],[Total Amount]]&gt;=1000),"High",TRUE,"Normal")</f>
        <v>Critical</v>
      </c>
      <c r="L370" s="4" t="str">
        <f>IF(Table1567[[#This Row],[Total Amount]]&gt;=1000,"High",(IF(Table1567[[#This Row],[Total Amount]]&gt;=500,"Medium","Low")))</f>
        <v>High</v>
      </c>
      <c r="M370" s="4" t="str" cm="1">
        <f t="array" ref="M37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370" s="4" cm="1">
        <f t="array" ref="N37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370" s="4">
        <f>Table1567[[#This Row],[Total Amount]]-Table1567[[#This Row],[Discount Amount]]</f>
        <v>1500</v>
      </c>
      <c r="P370" s="4" t="str">
        <f>IF(Table1567[[#This Row],[Total Amount]]&gt;=1000,"High","Low")</f>
        <v>High</v>
      </c>
      <c r="Q370" s="4" t="b" cm="1">
        <f t="array" ref="Q370">_xlfn.IFS(AND(Table1567[[#This Row],[Total Amount]]&gt;=1500,"Critical"),AND(Table1567[[#This Row],[Total Amount]]&gt;=1000,"High"),TRUE,"Normal")</f>
        <v>1</v>
      </c>
      <c r="R370" s="4" t="str">
        <f>CONCATENATE(Table1567[[#This Row],[Customer ID]], "-",Table1567[[#This Row],[Age]])</f>
        <v>CUST369-23</v>
      </c>
      <c r="S370" s="4" t="str">
        <f>TEXT(Table1567[[#This Row],[Date]],"mmm")</f>
        <v>Nov</v>
      </c>
      <c r="T370" s="4" t="str">
        <f>TEXT(Table1567[[#This Row],[Date]],"DDD")</f>
        <v>Wed</v>
      </c>
    </row>
    <row r="371" spans="1:20" ht="29" x14ac:dyDescent="0.35">
      <c r="A371" s="4">
        <v>370</v>
      </c>
      <c r="B371" s="5">
        <v>45215</v>
      </c>
      <c r="C371" s="4" t="s">
        <v>383</v>
      </c>
      <c r="D371" s="4" t="s">
        <v>10</v>
      </c>
      <c r="E371" s="4">
        <v>23</v>
      </c>
      <c r="F371" s="4" t="str">
        <f>IF(Table1567[[#This Row],[Age]]&lt;=19,"Teenager",IF(Table1567[[#This Row],[Age]]&lt;=40,"Median","Old"))</f>
        <v>Median</v>
      </c>
      <c r="G371" s="4" t="s">
        <v>16</v>
      </c>
      <c r="H371" s="4">
        <v>2</v>
      </c>
      <c r="I371" s="4">
        <v>30</v>
      </c>
      <c r="J371" s="4">
        <v>60</v>
      </c>
      <c r="K371" s="4" t="str" cm="1">
        <f t="array" ref="K371">_xlfn.IFS(AND(Table1567[[#This Row],[Total Amount]]&gt;=1500),"Critical",AND(Table1567[[#This Row],[Total Amount]]&gt;=1000),"High",TRUE,"Normal")</f>
        <v>Normal</v>
      </c>
      <c r="L371" s="4" t="str">
        <f>IF(Table1567[[#This Row],[Total Amount]]&gt;=1000,"High",(IF(Table1567[[#This Row],[Total Amount]]&gt;=500,"Medium","Low")))</f>
        <v>Low</v>
      </c>
      <c r="M371" s="4" t="str" cm="1">
        <f t="array" ref="M37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371" s="4" cm="1">
        <f t="array" ref="N37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371" s="4">
        <f>Table1567[[#This Row],[Total Amount]]-Table1567[[#This Row],[Discount Amount]]</f>
        <v>60</v>
      </c>
      <c r="P371" s="4" t="str">
        <f>IF(Table1567[[#This Row],[Total Amount]]&gt;=1000,"High","Low")</f>
        <v>Low</v>
      </c>
      <c r="Q371" s="4" t="str" cm="1">
        <f t="array" ref="Q371">_xlfn.IFS(AND(Table1567[[#This Row],[Total Amount]]&gt;=1500,"Critical"),AND(Table1567[[#This Row],[Total Amount]]&gt;=1000,"High"),TRUE,"Normal")</f>
        <v>Normal</v>
      </c>
      <c r="R371" s="4" t="str">
        <f>CONCATENATE(Table1567[[#This Row],[Customer ID]], "-",Table1567[[#This Row],[Age]])</f>
        <v>CUST370-23</v>
      </c>
      <c r="S371" s="4" t="str">
        <f>TEXT(Table1567[[#This Row],[Date]],"mmm")</f>
        <v>Oct</v>
      </c>
      <c r="T371" s="4" t="str">
        <f>TEXT(Table1567[[#This Row],[Date]],"DDD")</f>
        <v>Mon</v>
      </c>
    </row>
    <row r="372" spans="1:20" ht="29" x14ac:dyDescent="0.35">
      <c r="A372" s="4">
        <v>371</v>
      </c>
      <c r="B372" s="5">
        <v>44978</v>
      </c>
      <c r="C372" s="4" t="s">
        <v>384</v>
      </c>
      <c r="D372" s="4" t="s">
        <v>13</v>
      </c>
      <c r="E372" s="4">
        <v>20</v>
      </c>
      <c r="F372" s="4" t="str">
        <f>IF(Table1567[[#This Row],[Age]]&lt;=19,"Teenager",IF(Table1567[[#This Row],[Age]]&lt;=40,"Median","Old"))</f>
        <v>Median</v>
      </c>
      <c r="G372" s="4" t="s">
        <v>11</v>
      </c>
      <c r="H372" s="4">
        <v>1</v>
      </c>
      <c r="I372" s="4">
        <v>25</v>
      </c>
      <c r="J372" s="4">
        <v>25</v>
      </c>
      <c r="K372" s="4" t="str" cm="1">
        <f t="array" ref="K372">_xlfn.IFS(AND(Table1567[[#This Row],[Total Amount]]&gt;=1500),"Critical",AND(Table1567[[#This Row],[Total Amount]]&gt;=1000),"High",TRUE,"Normal")</f>
        <v>Normal</v>
      </c>
      <c r="L372" s="4" t="str">
        <f>IF(Table1567[[#This Row],[Total Amount]]&gt;=1000,"High",(IF(Table1567[[#This Row],[Total Amount]]&gt;=500,"Medium","Low")))</f>
        <v>Low</v>
      </c>
      <c r="M372" s="4" t="str" cm="1">
        <f t="array" ref="M37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372" s="4" cm="1">
        <f t="array" ref="N37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372" s="4">
        <f>Table1567[[#This Row],[Total Amount]]-Table1567[[#This Row],[Discount Amount]]</f>
        <v>25</v>
      </c>
      <c r="P372" s="4" t="str">
        <f>IF(Table1567[[#This Row],[Total Amount]]&gt;=1000,"High","Low")</f>
        <v>Low</v>
      </c>
      <c r="Q372" s="4" t="str" cm="1">
        <f t="array" ref="Q372">_xlfn.IFS(AND(Table1567[[#This Row],[Total Amount]]&gt;=1500,"Critical"),AND(Table1567[[#This Row],[Total Amount]]&gt;=1000,"High"),TRUE,"Normal")</f>
        <v>Normal</v>
      </c>
      <c r="R372" s="4" t="str">
        <f>CONCATENATE(Table1567[[#This Row],[Customer ID]], "-",Table1567[[#This Row],[Age]])</f>
        <v>CUST371-20</v>
      </c>
      <c r="S372" s="4" t="str">
        <f>TEXT(Table1567[[#This Row],[Date]],"mmm")</f>
        <v>Feb</v>
      </c>
      <c r="T372" s="4" t="str">
        <f>TEXT(Table1567[[#This Row],[Date]],"DDD")</f>
        <v>Tue</v>
      </c>
    </row>
    <row r="373" spans="1:20" ht="29" x14ac:dyDescent="0.35">
      <c r="A373" s="4">
        <v>372</v>
      </c>
      <c r="B373" s="5">
        <v>44964</v>
      </c>
      <c r="C373" s="4" t="s">
        <v>385</v>
      </c>
      <c r="D373" s="4" t="s">
        <v>13</v>
      </c>
      <c r="E373" s="4">
        <v>24</v>
      </c>
      <c r="F373" s="4" t="str">
        <f>IF(Table1567[[#This Row],[Age]]&lt;=19,"Teenager",IF(Table1567[[#This Row],[Age]]&lt;=40,"Median","Old"))</f>
        <v>Median</v>
      </c>
      <c r="G373" s="4" t="s">
        <v>11</v>
      </c>
      <c r="H373" s="4">
        <v>3</v>
      </c>
      <c r="I373" s="4">
        <v>500</v>
      </c>
      <c r="J373" s="4">
        <v>1500</v>
      </c>
      <c r="K373" s="4" t="str" cm="1">
        <f t="array" ref="K373">_xlfn.IFS(AND(Table1567[[#This Row],[Total Amount]]&gt;=1500),"Critical",AND(Table1567[[#This Row],[Total Amount]]&gt;=1000),"High",TRUE,"Normal")</f>
        <v>Critical</v>
      </c>
      <c r="L373" s="4" t="str">
        <f>IF(Table1567[[#This Row],[Total Amount]]&gt;=1000,"High",(IF(Table1567[[#This Row],[Total Amount]]&gt;=500,"Medium","Low")))</f>
        <v>High</v>
      </c>
      <c r="M373" s="4" t="str" cm="1">
        <f t="array" ref="M37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373" s="4" cm="1">
        <f t="array" ref="N37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373" s="4">
        <f>Table1567[[#This Row],[Total Amount]]-Table1567[[#This Row],[Discount Amount]]</f>
        <v>1500</v>
      </c>
      <c r="P373" s="4" t="str">
        <f>IF(Table1567[[#This Row],[Total Amount]]&gt;=1000,"High","Low")</f>
        <v>High</v>
      </c>
      <c r="Q373" s="4" t="b" cm="1">
        <f t="array" ref="Q373">_xlfn.IFS(AND(Table1567[[#This Row],[Total Amount]]&gt;=1500,"Critical"),AND(Table1567[[#This Row],[Total Amount]]&gt;=1000,"High"),TRUE,"Normal")</f>
        <v>1</v>
      </c>
      <c r="R373" s="4" t="str">
        <f>CONCATENATE(Table1567[[#This Row],[Customer ID]], "-",Table1567[[#This Row],[Age]])</f>
        <v>CUST372-24</v>
      </c>
      <c r="S373" s="4" t="str">
        <f>TEXT(Table1567[[#This Row],[Date]],"mmm")</f>
        <v>Feb</v>
      </c>
      <c r="T373" s="4" t="str">
        <f>TEXT(Table1567[[#This Row],[Date]],"DDD")</f>
        <v>Tue</v>
      </c>
    </row>
    <row r="374" spans="1:20" ht="29" x14ac:dyDescent="0.35">
      <c r="A374" s="4">
        <v>373</v>
      </c>
      <c r="B374" s="5">
        <v>45202</v>
      </c>
      <c r="C374" s="4" t="s">
        <v>386</v>
      </c>
      <c r="D374" s="4" t="s">
        <v>13</v>
      </c>
      <c r="E374" s="4">
        <v>25</v>
      </c>
      <c r="F374" s="4" t="str">
        <f>IF(Table1567[[#This Row],[Age]]&lt;=19,"Teenager",IF(Table1567[[#This Row],[Age]]&lt;=40,"Median","Old"))</f>
        <v>Median</v>
      </c>
      <c r="G374" s="4" t="s">
        <v>11</v>
      </c>
      <c r="H374" s="4">
        <v>2</v>
      </c>
      <c r="I374" s="4">
        <v>300</v>
      </c>
      <c r="J374" s="4">
        <v>600</v>
      </c>
      <c r="K374" s="4" t="str" cm="1">
        <f t="array" ref="K374">_xlfn.IFS(AND(Table1567[[#This Row],[Total Amount]]&gt;=1500),"Critical",AND(Table1567[[#This Row],[Total Amount]]&gt;=1000),"High",TRUE,"Normal")</f>
        <v>Normal</v>
      </c>
      <c r="L374" s="4" t="str">
        <f>IF(Table1567[[#This Row],[Total Amount]]&gt;=1000,"High",(IF(Table1567[[#This Row],[Total Amount]]&gt;=500,"Medium","Low")))</f>
        <v>Medium</v>
      </c>
      <c r="M374" s="4" t="str" cm="1">
        <f t="array" ref="M37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74" s="4" cm="1">
        <f t="array" ref="N37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374" s="4">
        <f>Table1567[[#This Row],[Total Amount]]-Table1567[[#This Row],[Discount Amount]]</f>
        <v>510</v>
      </c>
      <c r="P374" s="4" t="str">
        <f>IF(Table1567[[#This Row],[Total Amount]]&gt;=1000,"High","Low")</f>
        <v>Low</v>
      </c>
      <c r="Q374" s="4" t="str" cm="1">
        <f t="array" ref="Q374">_xlfn.IFS(AND(Table1567[[#This Row],[Total Amount]]&gt;=1500,"Critical"),AND(Table1567[[#This Row],[Total Amount]]&gt;=1000,"High"),TRUE,"Normal")</f>
        <v>Normal</v>
      </c>
      <c r="R374" s="4" t="str">
        <f>CONCATENATE(Table1567[[#This Row],[Customer ID]], "-",Table1567[[#This Row],[Age]])</f>
        <v>CUST373-25</v>
      </c>
      <c r="S374" s="4" t="str">
        <f>TEXT(Table1567[[#This Row],[Date]],"mmm")</f>
        <v>Oct</v>
      </c>
      <c r="T374" s="4" t="str">
        <f>TEXT(Table1567[[#This Row],[Date]],"DDD")</f>
        <v>Tue</v>
      </c>
    </row>
    <row r="375" spans="1:20" ht="29" x14ac:dyDescent="0.35">
      <c r="A375" s="4">
        <v>374</v>
      </c>
      <c r="B375" s="5">
        <v>45036</v>
      </c>
      <c r="C375" s="4" t="s">
        <v>387</v>
      </c>
      <c r="D375" s="4" t="s">
        <v>13</v>
      </c>
      <c r="E375" s="4">
        <v>59</v>
      </c>
      <c r="F375" s="4" t="str">
        <f>IF(Table1567[[#This Row],[Age]]&lt;=19,"Teenager",IF(Table1567[[#This Row],[Age]]&lt;=40,"Median","Old"))</f>
        <v>Old</v>
      </c>
      <c r="G375" s="4" t="s">
        <v>11</v>
      </c>
      <c r="H375" s="4">
        <v>3</v>
      </c>
      <c r="I375" s="4">
        <v>25</v>
      </c>
      <c r="J375" s="4">
        <v>75</v>
      </c>
      <c r="K375" s="4" t="str" cm="1">
        <f t="array" ref="K375">_xlfn.IFS(AND(Table1567[[#This Row],[Total Amount]]&gt;=1500),"Critical",AND(Table1567[[#This Row],[Total Amount]]&gt;=1000),"High",TRUE,"Normal")</f>
        <v>Normal</v>
      </c>
      <c r="L375" s="4" t="str">
        <f>IF(Table1567[[#This Row],[Total Amount]]&gt;=1000,"High",(IF(Table1567[[#This Row],[Total Amount]]&gt;=500,"Medium","Low")))</f>
        <v>Low</v>
      </c>
      <c r="M375" s="4" t="str" cm="1">
        <f t="array" ref="M37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75" s="4" cm="1">
        <f t="array" ref="N37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375" s="4">
        <f>Table1567[[#This Row],[Total Amount]]-Table1567[[#This Row],[Discount Amount]]</f>
        <v>60</v>
      </c>
      <c r="P375" s="4" t="str">
        <f>IF(Table1567[[#This Row],[Total Amount]]&gt;=1000,"High","Low")</f>
        <v>Low</v>
      </c>
      <c r="Q375" s="4" t="str" cm="1">
        <f t="array" ref="Q375">_xlfn.IFS(AND(Table1567[[#This Row],[Total Amount]]&gt;=1500,"Critical"),AND(Table1567[[#This Row],[Total Amount]]&gt;=1000,"High"),TRUE,"Normal")</f>
        <v>Normal</v>
      </c>
      <c r="R375" s="4" t="str">
        <f>CONCATENATE(Table1567[[#This Row],[Customer ID]], "-",Table1567[[#This Row],[Age]])</f>
        <v>CUST374-59</v>
      </c>
      <c r="S375" s="4" t="str">
        <f>TEXT(Table1567[[#This Row],[Date]],"mmm")</f>
        <v>Apr</v>
      </c>
      <c r="T375" s="4" t="str">
        <f>TEXT(Table1567[[#This Row],[Date]],"DDD")</f>
        <v>Thu</v>
      </c>
    </row>
    <row r="376" spans="1:20" ht="29" x14ac:dyDescent="0.35">
      <c r="A376" s="4">
        <v>375</v>
      </c>
      <c r="B376" s="5">
        <v>45186</v>
      </c>
      <c r="C376" s="4" t="s">
        <v>388</v>
      </c>
      <c r="D376" s="4" t="s">
        <v>10</v>
      </c>
      <c r="E376" s="4">
        <v>32</v>
      </c>
      <c r="F376" s="4" t="str">
        <f>IF(Table1567[[#This Row],[Age]]&lt;=19,"Teenager",IF(Table1567[[#This Row],[Age]]&lt;=40,"Median","Old"))</f>
        <v>Median</v>
      </c>
      <c r="G376" s="4" t="s">
        <v>14</v>
      </c>
      <c r="H376" s="4">
        <v>1</v>
      </c>
      <c r="I376" s="4">
        <v>50</v>
      </c>
      <c r="J376" s="4">
        <v>50</v>
      </c>
      <c r="K376" s="4" t="str" cm="1">
        <f t="array" ref="K376">_xlfn.IFS(AND(Table1567[[#This Row],[Total Amount]]&gt;=1500),"Critical",AND(Table1567[[#This Row],[Total Amount]]&gt;=1000),"High",TRUE,"Normal")</f>
        <v>Normal</v>
      </c>
      <c r="L376" s="4" t="str">
        <f>IF(Table1567[[#This Row],[Total Amount]]&gt;=1000,"High",(IF(Table1567[[#This Row],[Total Amount]]&gt;=500,"Medium","Low")))</f>
        <v>Low</v>
      </c>
      <c r="M376" s="4" t="str" cm="1">
        <f t="array" ref="M37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76" s="4" cm="1">
        <f t="array" ref="N37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376" s="4">
        <f>Table1567[[#This Row],[Total Amount]]-Table1567[[#This Row],[Discount Amount]]</f>
        <v>42.5</v>
      </c>
      <c r="P376" s="4" t="str">
        <f>IF(Table1567[[#This Row],[Total Amount]]&gt;=1000,"High","Low")</f>
        <v>Low</v>
      </c>
      <c r="Q376" s="4" t="str" cm="1">
        <f t="array" ref="Q376">_xlfn.IFS(AND(Table1567[[#This Row],[Total Amount]]&gt;=1500,"Critical"),AND(Table1567[[#This Row],[Total Amount]]&gt;=1000,"High"),TRUE,"Normal")</f>
        <v>Normal</v>
      </c>
      <c r="R376" s="4" t="str">
        <f>CONCATENATE(Table1567[[#This Row],[Customer ID]], "-",Table1567[[#This Row],[Age]])</f>
        <v>CUST375-32</v>
      </c>
      <c r="S376" s="4" t="str">
        <f>TEXT(Table1567[[#This Row],[Date]],"mmm")</f>
        <v>Sep</v>
      </c>
      <c r="T376" s="4" t="str">
        <f>TEXT(Table1567[[#This Row],[Date]],"DDD")</f>
        <v>Sun</v>
      </c>
    </row>
    <row r="377" spans="1:20" ht="29" x14ac:dyDescent="0.35">
      <c r="A377" s="4">
        <v>376</v>
      </c>
      <c r="B377" s="5">
        <v>45062</v>
      </c>
      <c r="C377" s="4" t="s">
        <v>389</v>
      </c>
      <c r="D377" s="4" t="s">
        <v>13</v>
      </c>
      <c r="E377" s="4">
        <v>64</v>
      </c>
      <c r="F377" s="4" t="str">
        <f>IF(Table1567[[#This Row],[Age]]&lt;=19,"Teenager",IF(Table1567[[#This Row],[Age]]&lt;=40,"Median","Old"))</f>
        <v>Old</v>
      </c>
      <c r="G377" s="4" t="s">
        <v>11</v>
      </c>
      <c r="H377" s="4">
        <v>1</v>
      </c>
      <c r="I377" s="4">
        <v>30</v>
      </c>
      <c r="J377" s="4">
        <v>30</v>
      </c>
      <c r="K377" s="4" t="str" cm="1">
        <f t="array" ref="K377">_xlfn.IFS(AND(Table1567[[#This Row],[Total Amount]]&gt;=1500),"Critical",AND(Table1567[[#This Row],[Total Amount]]&gt;=1000),"High",TRUE,"Normal")</f>
        <v>Normal</v>
      </c>
      <c r="L377" s="4" t="str">
        <f>IF(Table1567[[#This Row],[Total Amount]]&gt;=1000,"High",(IF(Table1567[[#This Row],[Total Amount]]&gt;=500,"Medium","Low")))</f>
        <v>Low</v>
      </c>
      <c r="M377" s="4" t="str" cm="1">
        <f t="array" ref="M37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77" s="4" cm="1">
        <f t="array" ref="N37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377" s="4">
        <f>Table1567[[#This Row],[Total Amount]]-Table1567[[#This Row],[Discount Amount]]</f>
        <v>24</v>
      </c>
      <c r="P377" s="4" t="str">
        <f>IF(Table1567[[#This Row],[Total Amount]]&gt;=1000,"High","Low")</f>
        <v>Low</v>
      </c>
      <c r="Q377" s="4" t="str" cm="1">
        <f t="array" ref="Q377">_xlfn.IFS(AND(Table1567[[#This Row],[Total Amount]]&gt;=1500,"Critical"),AND(Table1567[[#This Row],[Total Amount]]&gt;=1000,"High"),TRUE,"Normal")</f>
        <v>Normal</v>
      </c>
      <c r="R377" s="4" t="str">
        <f>CONCATENATE(Table1567[[#This Row],[Customer ID]], "-",Table1567[[#This Row],[Age]])</f>
        <v>CUST376-64</v>
      </c>
      <c r="S377" s="4" t="str">
        <f>TEXT(Table1567[[#This Row],[Date]],"mmm")</f>
        <v>May</v>
      </c>
      <c r="T377" s="4" t="str">
        <f>TEXT(Table1567[[#This Row],[Date]],"DDD")</f>
        <v>Tue</v>
      </c>
    </row>
    <row r="378" spans="1:20" ht="29" x14ac:dyDescent="0.35">
      <c r="A378" s="4">
        <v>377</v>
      </c>
      <c r="B378" s="5">
        <v>44994</v>
      </c>
      <c r="C378" s="4" t="s">
        <v>390</v>
      </c>
      <c r="D378" s="4" t="s">
        <v>13</v>
      </c>
      <c r="E378" s="4">
        <v>46</v>
      </c>
      <c r="F378" s="4" t="str">
        <f>IF(Table1567[[#This Row],[Age]]&lt;=19,"Teenager",IF(Table1567[[#This Row],[Age]]&lt;=40,"Median","Old"))</f>
        <v>Old</v>
      </c>
      <c r="G378" s="4" t="s">
        <v>14</v>
      </c>
      <c r="H378" s="4">
        <v>4</v>
      </c>
      <c r="I378" s="4">
        <v>50</v>
      </c>
      <c r="J378" s="4">
        <v>200</v>
      </c>
      <c r="K378" s="4" t="str" cm="1">
        <f t="array" ref="K378">_xlfn.IFS(AND(Table1567[[#This Row],[Total Amount]]&gt;=1500),"Critical",AND(Table1567[[#This Row],[Total Amount]]&gt;=1000),"High",TRUE,"Normal")</f>
        <v>Normal</v>
      </c>
      <c r="L378" s="4" t="str">
        <f>IF(Table1567[[#This Row],[Total Amount]]&gt;=1000,"High",(IF(Table1567[[#This Row],[Total Amount]]&gt;=500,"Medium","Low")))</f>
        <v>Low</v>
      </c>
      <c r="M378" s="4" t="str" cm="1">
        <f t="array" ref="M37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78" s="4" cm="1">
        <f t="array" ref="N37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</v>
      </c>
      <c r="O378" s="4">
        <f>Table1567[[#This Row],[Total Amount]]-Table1567[[#This Row],[Discount Amount]]</f>
        <v>160</v>
      </c>
      <c r="P378" s="4" t="str">
        <f>IF(Table1567[[#This Row],[Total Amount]]&gt;=1000,"High","Low")</f>
        <v>Low</v>
      </c>
      <c r="Q378" s="4" t="str" cm="1">
        <f t="array" ref="Q378">_xlfn.IFS(AND(Table1567[[#This Row],[Total Amount]]&gt;=1500,"Critical"),AND(Table1567[[#This Row],[Total Amount]]&gt;=1000,"High"),TRUE,"Normal")</f>
        <v>Normal</v>
      </c>
      <c r="R378" s="4" t="str">
        <f>CONCATENATE(Table1567[[#This Row],[Customer ID]], "-",Table1567[[#This Row],[Age]])</f>
        <v>CUST377-46</v>
      </c>
      <c r="S378" s="4" t="str">
        <f>TEXT(Table1567[[#This Row],[Date]],"mmm")</f>
        <v>Mar</v>
      </c>
      <c r="T378" s="4" t="str">
        <f>TEXT(Table1567[[#This Row],[Date]],"DDD")</f>
        <v>Thu</v>
      </c>
    </row>
    <row r="379" spans="1:20" ht="29" x14ac:dyDescent="0.35">
      <c r="A379" s="4">
        <v>378</v>
      </c>
      <c r="B379" s="5">
        <v>45105</v>
      </c>
      <c r="C379" s="4" t="s">
        <v>391</v>
      </c>
      <c r="D379" s="4" t="s">
        <v>10</v>
      </c>
      <c r="E379" s="4">
        <v>50</v>
      </c>
      <c r="F379" s="4" t="str">
        <f>IF(Table1567[[#This Row],[Age]]&lt;=19,"Teenager",IF(Table1567[[#This Row],[Age]]&lt;=40,"Median","Old"))</f>
        <v>Old</v>
      </c>
      <c r="G379" s="4" t="s">
        <v>11</v>
      </c>
      <c r="H379" s="4">
        <v>1</v>
      </c>
      <c r="I379" s="4">
        <v>300</v>
      </c>
      <c r="J379" s="4">
        <v>300</v>
      </c>
      <c r="K379" s="4" t="str" cm="1">
        <f t="array" ref="K379">_xlfn.IFS(AND(Table1567[[#This Row],[Total Amount]]&gt;=1500),"Critical",AND(Table1567[[#This Row],[Total Amount]]&gt;=1000),"High",TRUE,"Normal")</f>
        <v>Normal</v>
      </c>
      <c r="L379" s="4" t="str">
        <f>IF(Table1567[[#This Row],[Total Amount]]&gt;=1000,"High",(IF(Table1567[[#This Row],[Total Amount]]&gt;=500,"Medium","Low")))</f>
        <v>Low</v>
      </c>
      <c r="M379" s="4" t="str" cm="1">
        <f t="array" ref="M37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79" s="4" cm="1">
        <f t="array" ref="N37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379" s="4">
        <f>Table1567[[#This Row],[Total Amount]]-Table1567[[#This Row],[Discount Amount]]</f>
        <v>270</v>
      </c>
      <c r="P379" s="4" t="str">
        <f>IF(Table1567[[#This Row],[Total Amount]]&gt;=1000,"High","Low")</f>
        <v>Low</v>
      </c>
      <c r="Q379" s="4" t="str" cm="1">
        <f t="array" ref="Q379">_xlfn.IFS(AND(Table1567[[#This Row],[Total Amount]]&gt;=1500,"Critical"),AND(Table1567[[#This Row],[Total Amount]]&gt;=1000,"High"),TRUE,"Normal")</f>
        <v>Normal</v>
      </c>
      <c r="R379" s="4" t="str">
        <f>CONCATENATE(Table1567[[#This Row],[Customer ID]], "-",Table1567[[#This Row],[Age]])</f>
        <v>CUST378-50</v>
      </c>
      <c r="S379" s="4" t="str">
        <f>TEXT(Table1567[[#This Row],[Date]],"mmm")</f>
        <v>Jun</v>
      </c>
      <c r="T379" s="4" t="str">
        <f>TEXT(Table1567[[#This Row],[Date]],"DDD")</f>
        <v>Wed</v>
      </c>
    </row>
    <row r="380" spans="1:20" ht="29" x14ac:dyDescent="0.35">
      <c r="A380" s="4">
        <v>379</v>
      </c>
      <c r="B380" s="5">
        <v>44962</v>
      </c>
      <c r="C380" s="4" t="s">
        <v>392</v>
      </c>
      <c r="D380" s="4" t="s">
        <v>13</v>
      </c>
      <c r="E380" s="4">
        <v>47</v>
      </c>
      <c r="F380" s="4" t="str">
        <f>IF(Table1567[[#This Row],[Age]]&lt;=19,"Teenager",IF(Table1567[[#This Row],[Age]]&lt;=40,"Median","Old"))</f>
        <v>Old</v>
      </c>
      <c r="G380" s="4" t="s">
        <v>14</v>
      </c>
      <c r="H380" s="4">
        <v>1</v>
      </c>
      <c r="I380" s="4">
        <v>25</v>
      </c>
      <c r="J380" s="4">
        <v>25</v>
      </c>
      <c r="K380" s="4" t="str" cm="1">
        <f t="array" ref="K380">_xlfn.IFS(AND(Table1567[[#This Row],[Total Amount]]&gt;=1500),"Critical",AND(Table1567[[#This Row],[Total Amount]]&gt;=1000),"High",TRUE,"Normal")</f>
        <v>Normal</v>
      </c>
      <c r="L380" s="4" t="str">
        <f>IF(Table1567[[#This Row],[Total Amount]]&gt;=1000,"High",(IF(Table1567[[#This Row],[Total Amount]]&gt;=500,"Medium","Low")))</f>
        <v>Low</v>
      </c>
      <c r="M380" s="4" t="str" cm="1">
        <f t="array" ref="M38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80" s="4" cm="1">
        <f t="array" ref="N38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380" s="4">
        <f>Table1567[[#This Row],[Total Amount]]-Table1567[[#This Row],[Discount Amount]]</f>
        <v>20</v>
      </c>
      <c r="P380" s="4" t="str">
        <f>IF(Table1567[[#This Row],[Total Amount]]&gt;=1000,"High","Low")</f>
        <v>Low</v>
      </c>
      <c r="Q380" s="4" t="str" cm="1">
        <f t="array" ref="Q380">_xlfn.IFS(AND(Table1567[[#This Row],[Total Amount]]&gt;=1500,"Critical"),AND(Table1567[[#This Row],[Total Amount]]&gt;=1000,"High"),TRUE,"Normal")</f>
        <v>Normal</v>
      </c>
      <c r="R380" s="4" t="str">
        <f>CONCATENATE(Table1567[[#This Row],[Customer ID]], "-",Table1567[[#This Row],[Age]])</f>
        <v>CUST379-47</v>
      </c>
      <c r="S380" s="4" t="str">
        <f>TEXT(Table1567[[#This Row],[Date]],"mmm")</f>
        <v>Feb</v>
      </c>
      <c r="T380" s="4" t="str">
        <f>TEXT(Table1567[[#This Row],[Date]],"DDD")</f>
        <v>Sun</v>
      </c>
    </row>
    <row r="381" spans="1:20" ht="29" x14ac:dyDescent="0.35">
      <c r="A381" s="4">
        <v>380</v>
      </c>
      <c r="B381" s="5">
        <v>45052</v>
      </c>
      <c r="C381" s="4" t="s">
        <v>393</v>
      </c>
      <c r="D381" s="4" t="s">
        <v>10</v>
      </c>
      <c r="E381" s="4">
        <v>56</v>
      </c>
      <c r="F381" s="4" t="str">
        <f>IF(Table1567[[#This Row],[Age]]&lt;=19,"Teenager",IF(Table1567[[#This Row],[Age]]&lt;=40,"Median","Old"))</f>
        <v>Old</v>
      </c>
      <c r="G381" s="4" t="s">
        <v>16</v>
      </c>
      <c r="H381" s="4">
        <v>2</v>
      </c>
      <c r="I381" s="4">
        <v>300</v>
      </c>
      <c r="J381" s="4">
        <v>600</v>
      </c>
      <c r="K381" s="4" t="str" cm="1">
        <f t="array" ref="K381">_xlfn.IFS(AND(Table1567[[#This Row],[Total Amount]]&gt;=1500),"Critical",AND(Table1567[[#This Row],[Total Amount]]&gt;=1000),"High",TRUE,"Normal")</f>
        <v>Normal</v>
      </c>
      <c r="L381" s="4" t="str">
        <f>IF(Table1567[[#This Row],[Total Amount]]&gt;=1000,"High",(IF(Table1567[[#This Row],[Total Amount]]&gt;=500,"Medium","Low")))</f>
        <v>Medium</v>
      </c>
      <c r="M381" s="4" t="str" cm="1">
        <f t="array" ref="M38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81" s="4" cm="1">
        <f t="array" ref="N38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381" s="4">
        <f>Table1567[[#This Row],[Total Amount]]-Table1567[[#This Row],[Discount Amount]]</f>
        <v>540</v>
      </c>
      <c r="P381" s="4" t="str">
        <f>IF(Table1567[[#This Row],[Total Amount]]&gt;=1000,"High","Low")</f>
        <v>Low</v>
      </c>
      <c r="Q381" s="4" t="str" cm="1">
        <f t="array" ref="Q381">_xlfn.IFS(AND(Table1567[[#This Row],[Total Amount]]&gt;=1500,"Critical"),AND(Table1567[[#This Row],[Total Amount]]&gt;=1000,"High"),TRUE,"Normal")</f>
        <v>Normal</v>
      </c>
      <c r="R381" s="4" t="str">
        <f>CONCATENATE(Table1567[[#This Row],[Customer ID]], "-",Table1567[[#This Row],[Age]])</f>
        <v>CUST380-56</v>
      </c>
      <c r="S381" s="4" t="str">
        <f>TEXT(Table1567[[#This Row],[Date]],"mmm")</f>
        <v>May</v>
      </c>
      <c r="T381" s="4" t="str">
        <f>TEXT(Table1567[[#This Row],[Date]],"DDD")</f>
        <v>Sat</v>
      </c>
    </row>
    <row r="382" spans="1:20" ht="29" x14ac:dyDescent="0.35">
      <c r="A382" s="4">
        <v>381</v>
      </c>
      <c r="B382" s="5">
        <v>45116</v>
      </c>
      <c r="C382" s="4" t="s">
        <v>394</v>
      </c>
      <c r="D382" s="4" t="s">
        <v>13</v>
      </c>
      <c r="E382" s="4">
        <v>44</v>
      </c>
      <c r="F382" s="4" t="str">
        <f>IF(Table1567[[#This Row],[Age]]&lt;=19,"Teenager",IF(Table1567[[#This Row],[Age]]&lt;=40,"Median","Old"))</f>
        <v>Old</v>
      </c>
      <c r="G382" s="4" t="s">
        <v>14</v>
      </c>
      <c r="H382" s="4">
        <v>4</v>
      </c>
      <c r="I382" s="4">
        <v>25</v>
      </c>
      <c r="J382" s="4">
        <v>100</v>
      </c>
      <c r="K382" s="4" t="str" cm="1">
        <f t="array" ref="K382">_xlfn.IFS(AND(Table1567[[#This Row],[Total Amount]]&gt;=1500),"Critical",AND(Table1567[[#This Row],[Total Amount]]&gt;=1000),"High",TRUE,"Normal")</f>
        <v>Normal</v>
      </c>
      <c r="L382" s="4" t="str">
        <f>IF(Table1567[[#This Row],[Total Amount]]&gt;=1000,"High",(IF(Table1567[[#This Row],[Total Amount]]&gt;=500,"Medium","Low")))</f>
        <v>Low</v>
      </c>
      <c r="M382" s="4" t="str" cm="1">
        <f t="array" ref="M38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82" s="4" cm="1">
        <f t="array" ref="N38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382" s="4">
        <f>Table1567[[#This Row],[Total Amount]]-Table1567[[#This Row],[Discount Amount]]</f>
        <v>80</v>
      </c>
      <c r="P382" s="4" t="str">
        <f>IF(Table1567[[#This Row],[Total Amount]]&gt;=1000,"High","Low")</f>
        <v>Low</v>
      </c>
      <c r="Q382" s="4" t="str" cm="1">
        <f t="array" ref="Q382">_xlfn.IFS(AND(Table1567[[#This Row],[Total Amount]]&gt;=1500,"Critical"),AND(Table1567[[#This Row],[Total Amount]]&gt;=1000,"High"),TRUE,"Normal")</f>
        <v>Normal</v>
      </c>
      <c r="R382" s="4" t="str">
        <f>CONCATENATE(Table1567[[#This Row],[Customer ID]], "-",Table1567[[#This Row],[Age]])</f>
        <v>CUST381-44</v>
      </c>
      <c r="S382" s="4" t="str">
        <f>TEXT(Table1567[[#This Row],[Date]],"mmm")</f>
        <v>Jul</v>
      </c>
      <c r="T382" s="4" t="str">
        <f>TEXT(Table1567[[#This Row],[Date]],"DDD")</f>
        <v>Sun</v>
      </c>
    </row>
    <row r="383" spans="1:20" ht="29" x14ac:dyDescent="0.35">
      <c r="A383" s="4">
        <v>382</v>
      </c>
      <c r="B383" s="5">
        <v>45072</v>
      </c>
      <c r="C383" s="4" t="s">
        <v>395</v>
      </c>
      <c r="D383" s="4" t="s">
        <v>13</v>
      </c>
      <c r="E383" s="4">
        <v>53</v>
      </c>
      <c r="F383" s="4" t="str">
        <f>IF(Table1567[[#This Row],[Age]]&lt;=19,"Teenager",IF(Table1567[[#This Row],[Age]]&lt;=40,"Median","Old"))</f>
        <v>Old</v>
      </c>
      <c r="G383" s="4" t="s">
        <v>14</v>
      </c>
      <c r="H383" s="4">
        <v>2</v>
      </c>
      <c r="I383" s="4">
        <v>500</v>
      </c>
      <c r="J383" s="4">
        <v>1000</v>
      </c>
      <c r="K383" s="4" t="str" cm="1">
        <f t="array" ref="K383">_xlfn.IFS(AND(Table1567[[#This Row],[Total Amount]]&gt;=1500),"Critical",AND(Table1567[[#This Row],[Total Amount]]&gt;=1000),"High",TRUE,"Normal")</f>
        <v>High</v>
      </c>
      <c r="L383" s="4" t="str">
        <f>IF(Table1567[[#This Row],[Total Amount]]&gt;=1000,"High",(IF(Table1567[[#This Row],[Total Amount]]&gt;=500,"Medium","Low")))</f>
        <v>High</v>
      </c>
      <c r="M383" s="4" t="str" cm="1">
        <f t="array" ref="M38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83" s="4" cm="1">
        <f t="array" ref="N38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383" s="4">
        <f>Table1567[[#This Row],[Total Amount]]-Table1567[[#This Row],[Discount Amount]]</f>
        <v>800</v>
      </c>
      <c r="P383" s="4" t="str">
        <f>IF(Table1567[[#This Row],[Total Amount]]&gt;=1000,"High","Low")</f>
        <v>High</v>
      </c>
      <c r="Q383" s="4" t="str" cm="1">
        <f t="array" ref="Q383">_xlfn.IFS(AND(Table1567[[#This Row],[Total Amount]]&gt;=1500,"Critical"),AND(Table1567[[#This Row],[Total Amount]]&gt;=1000,"High"),TRUE,"Normal")</f>
        <v>Normal</v>
      </c>
      <c r="R383" s="4" t="str">
        <f>CONCATENATE(Table1567[[#This Row],[Customer ID]], "-",Table1567[[#This Row],[Age]])</f>
        <v>CUST382-53</v>
      </c>
      <c r="S383" s="4" t="str">
        <f>TEXT(Table1567[[#This Row],[Date]],"mmm")</f>
        <v>May</v>
      </c>
      <c r="T383" s="4" t="str">
        <f>TEXT(Table1567[[#This Row],[Date]],"DDD")</f>
        <v>Fri</v>
      </c>
    </row>
    <row r="384" spans="1:20" ht="29" x14ac:dyDescent="0.35">
      <c r="A384" s="4">
        <v>383</v>
      </c>
      <c r="B384" s="5">
        <v>45007</v>
      </c>
      <c r="C384" s="4" t="s">
        <v>396</v>
      </c>
      <c r="D384" s="4" t="s">
        <v>13</v>
      </c>
      <c r="E384" s="4">
        <v>46</v>
      </c>
      <c r="F384" s="4" t="str">
        <f>IF(Table1567[[#This Row],[Age]]&lt;=19,"Teenager",IF(Table1567[[#This Row],[Age]]&lt;=40,"Median","Old"))</f>
        <v>Old</v>
      </c>
      <c r="G384" s="4" t="s">
        <v>11</v>
      </c>
      <c r="H384" s="4">
        <v>3</v>
      </c>
      <c r="I384" s="4">
        <v>30</v>
      </c>
      <c r="J384" s="4">
        <v>90</v>
      </c>
      <c r="K384" s="4" t="str" cm="1">
        <f t="array" ref="K384">_xlfn.IFS(AND(Table1567[[#This Row],[Total Amount]]&gt;=1500),"Critical",AND(Table1567[[#This Row],[Total Amount]]&gt;=1000),"High",TRUE,"Normal")</f>
        <v>Normal</v>
      </c>
      <c r="L384" s="4" t="str">
        <f>IF(Table1567[[#This Row],[Total Amount]]&gt;=1000,"High",(IF(Table1567[[#This Row],[Total Amount]]&gt;=500,"Medium","Low")))</f>
        <v>Low</v>
      </c>
      <c r="M384" s="4" t="str" cm="1">
        <f t="array" ref="M38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84" s="4" cm="1">
        <f t="array" ref="N38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384" s="4">
        <f>Table1567[[#This Row],[Total Amount]]-Table1567[[#This Row],[Discount Amount]]</f>
        <v>72</v>
      </c>
      <c r="P384" s="4" t="str">
        <f>IF(Table1567[[#This Row],[Total Amount]]&gt;=1000,"High","Low")</f>
        <v>Low</v>
      </c>
      <c r="Q384" s="4" t="str" cm="1">
        <f t="array" ref="Q384">_xlfn.IFS(AND(Table1567[[#This Row],[Total Amount]]&gt;=1500,"Critical"),AND(Table1567[[#This Row],[Total Amount]]&gt;=1000,"High"),TRUE,"Normal")</f>
        <v>Normal</v>
      </c>
      <c r="R384" s="4" t="str">
        <f>CONCATENATE(Table1567[[#This Row],[Customer ID]], "-",Table1567[[#This Row],[Age]])</f>
        <v>CUST383-46</v>
      </c>
      <c r="S384" s="4" t="str">
        <f>TEXT(Table1567[[#This Row],[Date]],"mmm")</f>
        <v>Mar</v>
      </c>
      <c r="T384" s="4" t="str">
        <f>TEXT(Table1567[[#This Row],[Date]],"DDD")</f>
        <v>Wed</v>
      </c>
    </row>
    <row r="385" spans="1:20" ht="29" x14ac:dyDescent="0.35">
      <c r="A385" s="4">
        <v>384</v>
      </c>
      <c r="B385" s="5">
        <v>45151</v>
      </c>
      <c r="C385" s="4" t="s">
        <v>397</v>
      </c>
      <c r="D385" s="4" t="s">
        <v>10</v>
      </c>
      <c r="E385" s="4">
        <v>55</v>
      </c>
      <c r="F385" s="4" t="str">
        <f>IF(Table1567[[#This Row],[Age]]&lt;=19,"Teenager",IF(Table1567[[#This Row],[Age]]&lt;=40,"Median","Old"))</f>
        <v>Old</v>
      </c>
      <c r="G385" s="4" t="s">
        <v>14</v>
      </c>
      <c r="H385" s="4">
        <v>1</v>
      </c>
      <c r="I385" s="4">
        <v>500</v>
      </c>
      <c r="J385" s="4">
        <v>500</v>
      </c>
      <c r="K385" s="4" t="str" cm="1">
        <f t="array" ref="K385">_xlfn.IFS(AND(Table1567[[#This Row],[Total Amount]]&gt;=1500),"Critical",AND(Table1567[[#This Row],[Total Amount]]&gt;=1000),"High",TRUE,"Normal")</f>
        <v>Normal</v>
      </c>
      <c r="L385" s="4" t="str">
        <f>IF(Table1567[[#This Row],[Total Amount]]&gt;=1000,"High",(IF(Table1567[[#This Row],[Total Amount]]&gt;=500,"Medium","Low")))</f>
        <v>Medium</v>
      </c>
      <c r="M385" s="4" t="str" cm="1">
        <f t="array" ref="M38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85" s="4" cm="1">
        <f t="array" ref="N38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50</v>
      </c>
      <c r="O385" s="4">
        <f>Table1567[[#This Row],[Total Amount]]-Table1567[[#This Row],[Discount Amount]]</f>
        <v>450</v>
      </c>
      <c r="P385" s="4" t="str">
        <f>IF(Table1567[[#This Row],[Total Amount]]&gt;=1000,"High","Low")</f>
        <v>Low</v>
      </c>
      <c r="Q385" s="4" t="str" cm="1">
        <f t="array" ref="Q385">_xlfn.IFS(AND(Table1567[[#This Row],[Total Amount]]&gt;=1500,"Critical"),AND(Table1567[[#This Row],[Total Amount]]&gt;=1000,"High"),TRUE,"Normal")</f>
        <v>Normal</v>
      </c>
      <c r="R385" s="4" t="str">
        <f>CONCATENATE(Table1567[[#This Row],[Customer ID]], "-",Table1567[[#This Row],[Age]])</f>
        <v>CUST384-55</v>
      </c>
      <c r="S385" s="4" t="str">
        <f>TEXT(Table1567[[#This Row],[Date]],"mmm")</f>
        <v>Aug</v>
      </c>
      <c r="T385" s="4" t="str">
        <f>TEXT(Table1567[[#This Row],[Date]],"DDD")</f>
        <v>Sun</v>
      </c>
    </row>
    <row r="386" spans="1:20" ht="29" x14ac:dyDescent="0.35">
      <c r="A386" s="4">
        <v>385</v>
      </c>
      <c r="B386" s="5">
        <v>45205</v>
      </c>
      <c r="C386" s="4" t="s">
        <v>398</v>
      </c>
      <c r="D386" s="4" t="s">
        <v>10</v>
      </c>
      <c r="E386" s="4">
        <v>50</v>
      </c>
      <c r="F386" s="4" t="str">
        <f>IF(Table1567[[#This Row],[Age]]&lt;=19,"Teenager",IF(Table1567[[#This Row],[Age]]&lt;=40,"Median","Old"))</f>
        <v>Old</v>
      </c>
      <c r="G386" s="4" t="s">
        <v>16</v>
      </c>
      <c r="H386" s="4">
        <v>3</v>
      </c>
      <c r="I386" s="4">
        <v>500</v>
      </c>
      <c r="J386" s="4">
        <v>1500</v>
      </c>
      <c r="K386" s="4" t="str" cm="1">
        <f t="array" ref="K386">_xlfn.IFS(AND(Table1567[[#This Row],[Total Amount]]&gt;=1500),"Critical",AND(Table1567[[#This Row],[Total Amount]]&gt;=1000),"High",TRUE,"Normal")</f>
        <v>Critical</v>
      </c>
      <c r="L386" s="4" t="str">
        <f>IF(Table1567[[#This Row],[Total Amount]]&gt;=1000,"High",(IF(Table1567[[#This Row],[Total Amount]]&gt;=500,"Medium","Low")))</f>
        <v>High</v>
      </c>
      <c r="M386" s="4" t="str" cm="1">
        <f t="array" ref="M38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86" s="4" cm="1">
        <f t="array" ref="N38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386" s="4">
        <f>Table1567[[#This Row],[Total Amount]]-Table1567[[#This Row],[Discount Amount]]</f>
        <v>1350</v>
      </c>
      <c r="P386" s="4" t="str">
        <f>IF(Table1567[[#This Row],[Total Amount]]&gt;=1000,"High","Low")</f>
        <v>High</v>
      </c>
      <c r="Q386" s="4" t="b" cm="1">
        <f t="array" ref="Q386">_xlfn.IFS(AND(Table1567[[#This Row],[Total Amount]]&gt;=1500,"Critical"),AND(Table1567[[#This Row],[Total Amount]]&gt;=1000,"High"),TRUE,"Normal")</f>
        <v>1</v>
      </c>
      <c r="R386" s="4" t="str">
        <f>CONCATENATE(Table1567[[#This Row],[Customer ID]], "-",Table1567[[#This Row],[Age]])</f>
        <v>CUST385-50</v>
      </c>
      <c r="S386" s="4" t="str">
        <f>TEXT(Table1567[[#This Row],[Date]],"mmm")</f>
        <v>Oct</v>
      </c>
      <c r="T386" s="4" t="str">
        <f>TEXT(Table1567[[#This Row],[Date]],"DDD")</f>
        <v>Fri</v>
      </c>
    </row>
    <row r="387" spans="1:20" ht="29" x14ac:dyDescent="0.35">
      <c r="A387" s="4">
        <v>386</v>
      </c>
      <c r="B387" s="5">
        <v>45287</v>
      </c>
      <c r="C387" s="4" t="s">
        <v>399</v>
      </c>
      <c r="D387" s="4" t="s">
        <v>13</v>
      </c>
      <c r="E387" s="4">
        <v>54</v>
      </c>
      <c r="F387" s="4" t="str">
        <f>IF(Table1567[[#This Row],[Age]]&lt;=19,"Teenager",IF(Table1567[[#This Row],[Age]]&lt;=40,"Median","Old"))</f>
        <v>Old</v>
      </c>
      <c r="G387" s="4" t="s">
        <v>16</v>
      </c>
      <c r="H387" s="4">
        <v>2</v>
      </c>
      <c r="I387" s="4">
        <v>300</v>
      </c>
      <c r="J387" s="4">
        <v>600</v>
      </c>
      <c r="K387" s="4" t="str" cm="1">
        <f t="array" ref="K387">_xlfn.IFS(AND(Table1567[[#This Row],[Total Amount]]&gt;=1500),"Critical",AND(Table1567[[#This Row],[Total Amount]]&gt;=1000),"High",TRUE,"Normal")</f>
        <v>Normal</v>
      </c>
      <c r="L387" s="4" t="str">
        <f>IF(Table1567[[#This Row],[Total Amount]]&gt;=1000,"High",(IF(Table1567[[#This Row],[Total Amount]]&gt;=500,"Medium","Low")))</f>
        <v>Medium</v>
      </c>
      <c r="M387" s="4" t="str" cm="1">
        <f t="array" ref="M38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87" s="4" cm="1">
        <f t="array" ref="N38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387" s="4">
        <f>Table1567[[#This Row],[Total Amount]]-Table1567[[#This Row],[Discount Amount]]</f>
        <v>480</v>
      </c>
      <c r="P387" s="4" t="str">
        <f>IF(Table1567[[#This Row],[Total Amount]]&gt;=1000,"High","Low")</f>
        <v>Low</v>
      </c>
      <c r="Q387" s="4" t="str" cm="1">
        <f t="array" ref="Q387">_xlfn.IFS(AND(Table1567[[#This Row],[Total Amount]]&gt;=1500,"Critical"),AND(Table1567[[#This Row],[Total Amount]]&gt;=1000,"High"),TRUE,"Normal")</f>
        <v>Normal</v>
      </c>
      <c r="R387" s="4" t="str">
        <f>CONCATENATE(Table1567[[#This Row],[Customer ID]], "-",Table1567[[#This Row],[Age]])</f>
        <v>CUST386-54</v>
      </c>
      <c r="S387" s="4" t="str">
        <f>TEXT(Table1567[[#This Row],[Date]],"mmm")</f>
        <v>Dec</v>
      </c>
      <c r="T387" s="4" t="str">
        <f>TEXT(Table1567[[#This Row],[Date]],"DDD")</f>
        <v>Wed</v>
      </c>
    </row>
    <row r="388" spans="1:20" ht="29" x14ac:dyDescent="0.35">
      <c r="A388" s="4">
        <v>387</v>
      </c>
      <c r="B388" s="5">
        <v>45081</v>
      </c>
      <c r="C388" s="4" t="s">
        <v>400</v>
      </c>
      <c r="D388" s="4" t="s">
        <v>10</v>
      </c>
      <c r="E388" s="4">
        <v>44</v>
      </c>
      <c r="F388" s="4" t="str">
        <f>IF(Table1567[[#This Row],[Age]]&lt;=19,"Teenager",IF(Table1567[[#This Row],[Age]]&lt;=40,"Median","Old"))</f>
        <v>Old</v>
      </c>
      <c r="G388" s="4" t="s">
        <v>11</v>
      </c>
      <c r="H388" s="4">
        <v>1</v>
      </c>
      <c r="I388" s="4">
        <v>30</v>
      </c>
      <c r="J388" s="4">
        <v>30</v>
      </c>
      <c r="K388" s="4" t="str" cm="1">
        <f t="array" ref="K388">_xlfn.IFS(AND(Table1567[[#This Row],[Total Amount]]&gt;=1500),"Critical",AND(Table1567[[#This Row],[Total Amount]]&gt;=1000),"High",TRUE,"Normal")</f>
        <v>Normal</v>
      </c>
      <c r="L388" s="4" t="str">
        <f>IF(Table1567[[#This Row],[Total Amount]]&gt;=1000,"High",(IF(Table1567[[#This Row],[Total Amount]]&gt;=500,"Medium","Low")))</f>
        <v>Low</v>
      </c>
      <c r="M388" s="4" t="str" cm="1">
        <f t="array" ref="M38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88" s="4" cm="1">
        <f t="array" ref="N38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</v>
      </c>
      <c r="O388" s="4">
        <f>Table1567[[#This Row],[Total Amount]]-Table1567[[#This Row],[Discount Amount]]</f>
        <v>27</v>
      </c>
      <c r="P388" s="4" t="str">
        <f>IF(Table1567[[#This Row],[Total Amount]]&gt;=1000,"High","Low")</f>
        <v>Low</v>
      </c>
      <c r="Q388" s="4" t="str" cm="1">
        <f t="array" ref="Q388">_xlfn.IFS(AND(Table1567[[#This Row],[Total Amount]]&gt;=1500,"Critical"),AND(Table1567[[#This Row],[Total Amount]]&gt;=1000,"High"),TRUE,"Normal")</f>
        <v>Normal</v>
      </c>
      <c r="R388" s="4" t="str">
        <f>CONCATENATE(Table1567[[#This Row],[Customer ID]], "-",Table1567[[#This Row],[Age]])</f>
        <v>CUST387-44</v>
      </c>
      <c r="S388" s="4" t="str">
        <f>TEXT(Table1567[[#This Row],[Date]],"mmm")</f>
        <v>Jun</v>
      </c>
      <c r="T388" s="4" t="str">
        <f>TEXT(Table1567[[#This Row],[Date]],"DDD")</f>
        <v>Sun</v>
      </c>
    </row>
    <row r="389" spans="1:20" ht="29" x14ac:dyDescent="0.35">
      <c r="A389" s="4">
        <v>388</v>
      </c>
      <c r="B389" s="5">
        <v>45240</v>
      </c>
      <c r="C389" s="4" t="s">
        <v>401</v>
      </c>
      <c r="D389" s="4" t="s">
        <v>10</v>
      </c>
      <c r="E389" s="4">
        <v>50</v>
      </c>
      <c r="F389" s="4" t="str">
        <f>IF(Table1567[[#This Row],[Age]]&lt;=19,"Teenager",IF(Table1567[[#This Row],[Age]]&lt;=40,"Median","Old"))</f>
        <v>Old</v>
      </c>
      <c r="G389" s="4" t="s">
        <v>16</v>
      </c>
      <c r="H389" s="4">
        <v>1</v>
      </c>
      <c r="I389" s="4">
        <v>25</v>
      </c>
      <c r="J389" s="4">
        <v>25</v>
      </c>
      <c r="K389" s="4" t="str" cm="1">
        <f t="array" ref="K389">_xlfn.IFS(AND(Table1567[[#This Row],[Total Amount]]&gt;=1500),"Critical",AND(Table1567[[#This Row],[Total Amount]]&gt;=1000),"High",TRUE,"Normal")</f>
        <v>Normal</v>
      </c>
      <c r="L389" s="4" t="str">
        <f>IF(Table1567[[#This Row],[Total Amount]]&gt;=1000,"High",(IF(Table1567[[#This Row],[Total Amount]]&gt;=500,"Medium","Low")))</f>
        <v>Low</v>
      </c>
      <c r="M389" s="4" t="str" cm="1">
        <f t="array" ref="M38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89" s="4" cm="1">
        <f t="array" ref="N38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389" s="4">
        <f>Table1567[[#This Row],[Total Amount]]-Table1567[[#This Row],[Discount Amount]]</f>
        <v>22.5</v>
      </c>
      <c r="P389" s="4" t="str">
        <f>IF(Table1567[[#This Row],[Total Amount]]&gt;=1000,"High","Low")</f>
        <v>Low</v>
      </c>
      <c r="Q389" s="4" t="str" cm="1">
        <f t="array" ref="Q389">_xlfn.IFS(AND(Table1567[[#This Row],[Total Amount]]&gt;=1500,"Critical"),AND(Table1567[[#This Row],[Total Amount]]&gt;=1000,"High"),TRUE,"Normal")</f>
        <v>Normal</v>
      </c>
      <c r="R389" s="4" t="str">
        <f>CONCATENATE(Table1567[[#This Row],[Customer ID]], "-",Table1567[[#This Row],[Age]])</f>
        <v>CUST388-50</v>
      </c>
      <c r="S389" s="4" t="str">
        <f>TEXT(Table1567[[#This Row],[Date]],"mmm")</f>
        <v>Nov</v>
      </c>
      <c r="T389" s="4" t="str">
        <f>TEXT(Table1567[[#This Row],[Date]],"DDD")</f>
        <v>Fri</v>
      </c>
    </row>
    <row r="390" spans="1:20" ht="29" x14ac:dyDescent="0.35">
      <c r="A390" s="4">
        <v>389</v>
      </c>
      <c r="B390" s="5">
        <v>45261</v>
      </c>
      <c r="C390" s="4" t="s">
        <v>402</v>
      </c>
      <c r="D390" s="4" t="s">
        <v>10</v>
      </c>
      <c r="E390" s="4">
        <v>21</v>
      </c>
      <c r="F390" s="4" t="str">
        <f>IF(Table1567[[#This Row],[Age]]&lt;=19,"Teenager",IF(Table1567[[#This Row],[Age]]&lt;=40,"Median","Old"))</f>
        <v>Median</v>
      </c>
      <c r="G390" s="4" t="s">
        <v>14</v>
      </c>
      <c r="H390" s="4">
        <v>2</v>
      </c>
      <c r="I390" s="4">
        <v>25</v>
      </c>
      <c r="J390" s="4">
        <v>50</v>
      </c>
      <c r="K390" s="4" t="str" cm="1">
        <f t="array" ref="K390">_xlfn.IFS(AND(Table1567[[#This Row],[Total Amount]]&gt;=1500),"Critical",AND(Table1567[[#This Row],[Total Amount]]&gt;=1000),"High",TRUE,"Normal")</f>
        <v>Normal</v>
      </c>
      <c r="L390" s="4" t="str">
        <f>IF(Table1567[[#This Row],[Total Amount]]&gt;=1000,"High",(IF(Table1567[[#This Row],[Total Amount]]&gt;=500,"Medium","Low")))</f>
        <v>Low</v>
      </c>
      <c r="M390" s="4" t="str" cm="1">
        <f t="array" ref="M39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390" s="4" cm="1">
        <f t="array" ref="N39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390" s="4">
        <f>Table1567[[#This Row],[Total Amount]]-Table1567[[#This Row],[Discount Amount]]</f>
        <v>50</v>
      </c>
      <c r="P390" s="4" t="str">
        <f>IF(Table1567[[#This Row],[Total Amount]]&gt;=1000,"High","Low")</f>
        <v>Low</v>
      </c>
      <c r="Q390" s="4" t="str" cm="1">
        <f t="array" ref="Q390">_xlfn.IFS(AND(Table1567[[#This Row],[Total Amount]]&gt;=1500,"Critical"),AND(Table1567[[#This Row],[Total Amount]]&gt;=1000,"High"),TRUE,"Normal")</f>
        <v>Normal</v>
      </c>
      <c r="R390" s="4" t="str">
        <f>CONCATENATE(Table1567[[#This Row],[Customer ID]], "-",Table1567[[#This Row],[Age]])</f>
        <v>CUST389-21</v>
      </c>
      <c r="S390" s="4" t="str">
        <f>TEXT(Table1567[[#This Row],[Date]],"mmm")</f>
        <v>Dec</v>
      </c>
      <c r="T390" s="4" t="str">
        <f>TEXT(Table1567[[#This Row],[Date]],"DDD")</f>
        <v>Fri</v>
      </c>
    </row>
    <row r="391" spans="1:20" ht="29" x14ac:dyDescent="0.35">
      <c r="A391" s="4">
        <v>390</v>
      </c>
      <c r="B391" s="5">
        <v>45197</v>
      </c>
      <c r="C391" s="4" t="s">
        <v>403</v>
      </c>
      <c r="D391" s="4" t="s">
        <v>10</v>
      </c>
      <c r="E391" s="4">
        <v>39</v>
      </c>
      <c r="F391" s="4" t="str">
        <f>IF(Table1567[[#This Row],[Age]]&lt;=19,"Teenager",IF(Table1567[[#This Row],[Age]]&lt;=40,"Median","Old"))</f>
        <v>Median</v>
      </c>
      <c r="G391" s="4" t="s">
        <v>16</v>
      </c>
      <c r="H391" s="4">
        <v>2</v>
      </c>
      <c r="I391" s="4">
        <v>50</v>
      </c>
      <c r="J391" s="4">
        <v>100</v>
      </c>
      <c r="K391" s="4" t="str" cm="1">
        <f t="array" ref="K391">_xlfn.IFS(AND(Table1567[[#This Row],[Total Amount]]&gt;=1500),"Critical",AND(Table1567[[#This Row],[Total Amount]]&gt;=1000),"High",TRUE,"Normal")</f>
        <v>Normal</v>
      </c>
      <c r="L391" s="4" t="str">
        <f>IF(Table1567[[#This Row],[Total Amount]]&gt;=1000,"High",(IF(Table1567[[#This Row],[Total Amount]]&gt;=500,"Medium","Low")))</f>
        <v>Low</v>
      </c>
      <c r="M391" s="4" t="str" cm="1">
        <f t="array" ref="M39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91" s="4" cm="1">
        <f t="array" ref="N39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391" s="4">
        <f>Table1567[[#This Row],[Total Amount]]-Table1567[[#This Row],[Discount Amount]]</f>
        <v>90</v>
      </c>
      <c r="P391" s="4" t="str">
        <f>IF(Table1567[[#This Row],[Total Amount]]&gt;=1000,"High","Low")</f>
        <v>Low</v>
      </c>
      <c r="Q391" s="4" t="str" cm="1">
        <f t="array" ref="Q391">_xlfn.IFS(AND(Table1567[[#This Row],[Total Amount]]&gt;=1500,"Critical"),AND(Table1567[[#This Row],[Total Amount]]&gt;=1000,"High"),TRUE,"Normal")</f>
        <v>Normal</v>
      </c>
      <c r="R391" s="4" t="str">
        <f>CONCATENATE(Table1567[[#This Row],[Customer ID]], "-",Table1567[[#This Row],[Age]])</f>
        <v>CUST390-39</v>
      </c>
      <c r="S391" s="4" t="str">
        <f>TEXT(Table1567[[#This Row],[Date]],"mmm")</f>
        <v>Sep</v>
      </c>
      <c r="T391" s="4" t="str">
        <f>TEXT(Table1567[[#This Row],[Date]],"DDD")</f>
        <v>Thu</v>
      </c>
    </row>
    <row r="392" spans="1:20" ht="29" x14ac:dyDescent="0.35">
      <c r="A392" s="4">
        <v>391</v>
      </c>
      <c r="B392" s="5">
        <v>44931</v>
      </c>
      <c r="C392" s="4" t="s">
        <v>404</v>
      </c>
      <c r="D392" s="4" t="s">
        <v>10</v>
      </c>
      <c r="E392" s="4">
        <v>19</v>
      </c>
      <c r="F392" s="4" t="str">
        <f>IF(Table1567[[#This Row],[Age]]&lt;=19,"Teenager",IF(Table1567[[#This Row],[Age]]&lt;=40,"Median","Old"))</f>
        <v>Teenager</v>
      </c>
      <c r="G392" s="4" t="s">
        <v>11</v>
      </c>
      <c r="H392" s="4">
        <v>2</v>
      </c>
      <c r="I392" s="4">
        <v>25</v>
      </c>
      <c r="J392" s="4">
        <v>50</v>
      </c>
      <c r="K392" s="4" t="str" cm="1">
        <f t="array" ref="K392">_xlfn.IFS(AND(Table1567[[#This Row],[Total Amount]]&gt;=1500),"Critical",AND(Table1567[[#This Row],[Total Amount]]&gt;=1000),"High",TRUE,"Normal")</f>
        <v>Normal</v>
      </c>
      <c r="L392" s="4" t="str">
        <f>IF(Table1567[[#This Row],[Total Amount]]&gt;=1000,"High",(IF(Table1567[[#This Row],[Total Amount]]&gt;=500,"Medium","Low")))</f>
        <v>Low</v>
      </c>
      <c r="M392" s="4" t="str" cm="1">
        <f t="array" ref="M39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392" s="4" cm="1">
        <f t="array" ref="N39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392" s="4">
        <f>Table1567[[#This Row],[Total Amount]]-Table1567[[#This Row],[Discount Amount]]</f>
        <v>50</v>
      </c>
      <c r="P392" s="4" t="str">
        <f>IF(Table1567[[#This Row],[Total Amount]]&gt;=1000,"High","Low")</f>
        <v>Low</v>
      </c>
      <c r="Q392" s="4" t="str" cm="1">
        <f t="array" ref="Q392">_xlfn.IFS(AND(Table1567[[#This Row],[Total Amount]]&gt;=1500,"Critical"),AND(Table1567[[#This Row],[Total Amount]]&gt;=1000,"High"),TRUE,"Normal")</f>
        <v>Normal</v>
      </c>
      <c r="R392" s="4" t="str">
        <f>CONCATENATE(Table1567[[#This Row],[Customer ID]], "-",Table1567[[#This Row],[Age]])</f>
        <v>CUST391-19</v>
      </c>
      <c r="S392" s="4" t="str">
        <f>TEXT(Table1567[[#This Row],[Date]],"mmm")</f>
        <v>Jan</v>
      </c>
      <c r="T392" s="4" t="str">
        <f>TEXT(Table1567[[#This Row],[Date]],"DDD")</f>
        <v>Thu</v>
      </c>
    </row>
    <row r="393" spans="1:20" ht="29" x14ac:dyDescent="0.35">
      <c r="A393" s="4">
        <v>392</v>
      </c>
      <c r="B393" s="5">
        <v>45268</v>
      </c>
      <c r="C393" s="4" t="s">
        <v>405</v>
      </c>
      <c r="D393" s="4" t="s">
        <v>10</v>
      </c>
      <c r="E393" s="4">
        <v>27</v>
      </c>
      <c r="F393" s="4" t="str">
        <f>IF(Table1567[[#This Row],[Age]]&lt;=19,"Teenager",IF(Table1567[[#This Row],[Age]]&lt;=40,"Median","Old"))</f>
        <v>Median</v>
      </c>
      <c r="G393" s="4" t="s">
        <v>14</v>
      </c>
      <c r="H393" s="4">
        <v>2</v>
      </c>
      <c r="I393" s="4">
        <v>300</v>
      </c>
      <c r="J393" s="4">
        <v>600</v>
      </c>
      <c r="K393" s="4" t="str" cm="1">
        <f t="array" ref="K393">_xlfn.IFS(AND(Table1567[[#This Row],[Total Amount]]&gt;=1500),"Critical",AND(Table1567[[#This Row],[Total Amount]]&gt;=1000),"High",TRUE,"Normal")</f>
        <v>Normal</v>
      </c>
      <c r="L393" s="4" t="str">
        <f>IF(Table1567[[#This Row],[Total Amount]]&gt;=1000,"High",(IF(Table1567[[#This Row],[Total Amount]]&gt;=500,"Medium","Low")))</f>
        <v>Medium</v>
      </c>
      <c r="M393" s="4" t="str" cm="1">
        <f t="array" ref="M39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93" s="4" cm="1">
        <f t="array" ref="N39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393" s="4">
        <f>Table1567[[#This Row],[Total Amount]]-Table1567[[#This Row],[Discount Amount]]</f>
        <v>510</v>
      </c>
      <c r="P393" s="4" t="str">
        <f>IF(Table1567[[#This Row],[Total Amount]]&gt;=1000,"High","Low")</f>
        <v>Low</v>
      </c>
      <c r="Q393" s="4" t="str" cm="1">
        <f t="array" ref="Q393">_xlfn.IFS(AND(Table1567[[#This Row],[Total Amount]]&gt;=1500,"Critical"),AND(Table1567[[#This Row],[Total Amount]]&gt;=1000,"High"),TRUE,"Normal")</f>
        <v>Normal</v>
      </c>
      <c r="R393" s="4" t="str">
        <f>CONCATENATE(Table1567[[#This Row],[Customer ID]], "-",Table1567[[#This Row],[Age]])</f>
        <v>CUST392-27</v>
      </c>
      <c r="S393" s="4" t="str">
        <f>TEXT(Table1567[[#This Row],[Date]],"mmm")</f>
        <v>Dec</v>
      </c>
      <c r="T393" s="4" t="str">
        <f>TEXT(Table1567[[#This Row],[Date]],"DDD")</f>
        <v>Fri</v>
      </c>
    </row>
    <row r="394" spans="1:20" ht="29" x14ac:dyDescent="0.35">
      <c r="A394" s="4">
        <v>393</v>
      </c>
      <c r="B394" s="5">
        <v>45210</v>
      </c>
      <c r="C394" s="4" t="s">
        <v>406</v>
      </c>
      <c r="D394" s="4" t="s">
        <v>13</v>
      </c>
      <c r="E394" s="4">
        <v>22</v>
      </c>
      <c r="F394" s="4" t="str">
        <f>IF(Table1567[[#This Row],[Age]]&lt;=19,"Teenager",IF(Table1567[[#This Row],[Age]]&lt;=40,"Median","Old"))</f>
        <v>Median</v>
      </c>
      <c r="G394" s="4" t="s">
        <v>11</v>
      </c>
      <c r="H394" s="4">
        <v>2</v>
      </c>
      <c r="I394" s="4">
        <v>500</v>
      </c>
      <c r="J394" s="4">
        <v>1000</v>
      </c>
      <c r="K394" s="4" t="str" cm="1">
        <f t="array" ref="K394">_xlfn.IFS(AND(Table1567[[#This Row],[Total Amount]]&gt;=1500),"Critical",AND(Table1567[[#This Row],[Total Amount]]&gt;=1000),"High",TRUE,"Normal")</f>
        <v>High</v>
      </c>
      <c r="L394" s="4" t="str">
        <f>IF(Table1567[[#This Row],[Total Amount]]&gt;=1000,"High",(IF(Table1567[[#This Row],[Total Amount]]&gt;=500,"Medium","Low")))</f>
        <v>High</v>
      </c>
      <c r="M394" s="4" t="str" cm="1">
        <f t="array" ref="M39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394" s="4" cm="1">
        <f t="array" ref="N39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394" s="4">
        <f>Table1567[[#This Row],[Total Amount]]-Table1567[[#This Row],[Discount Amount]]</f>
        <v>1000</v>
      </c>
      <c r="P394" s="4" t="str">
        <f>IF(Table1567[[#This Row],[Total Amount]]&gt;=1000,"High","Low")</f>
        <v>High</v>
      </c>
      <c r="Q394" s="4" t="str" cm="1">
        <f t="array" ref="Q394">_xlfn.IFS(AND(Table1567[[#This Row],[Total Amount]]&gt;=1500,"Critical"),AND(Table1567[[#This Row],[Total Amount]]&gt;=1000,"High"),TRUE,"Normal")</f>
        <v>Normal</v>
      </c>
      <c r="R394" s="4" t="str">
        <f>CONCATENATE(Table1567[[#This Row],[Customer ID]], "-",Table1567[[#This Row],[Age]])</f>
        <v>CUST393-22</v>
      </c>
      <c r="S394" s="4" t="str">
        <f>TEXT(Table1567[[#This Row],[Date]],"mmm")</f>
        <v>Oct</v>
      </c>
      <c r="T394" s="4" t="str">
        <f>TEXT(Table1567[[#This Row],[Date]],"DDD")</f>
        <v>Wed</v>
      </c>
    </row>
    <row r="395" spans="1:20" ht="29" x14ac:dyDescent="0.35">
      <c r="A395" s="4">
        <v>394</v>
      </c>
      <c r="B395" s="5">
        <v>45080</v>
      </c>
      <c r="C395" s="4" t="s">
        <v>407</v>
      </c>
      <c r="D395" s="4" t="s">
        <v>13</v>
      </c>
      <c r="E395" s="4">
        <v>27</v>
      </c>
      <c r="F395" s="4" t="str">
        <f>IF(Table1567[[#This Row],[Age]]&lt;=19,"Teenager",IF(Table1567[[#This Row],[Age]]&lt;=40,"Median","Old"))</f>
        <v>Median</v>
      </c>
      <c r="G395" s="4" t="s">
        <v>14</v>
      </c>
      <c r="H395" s="4">
        <v>1</v>
      </c>
      <c r="I395" s="4">
        <v>500</v>
      </c>
      <c r="J395" s="4">
        <v>500</v>
      </c>
      <c r="K395" s="4" t="str" cm="1">
        <f t="array" ref="K395">_xlfn.IFS(AND(Table1567[[#This Row],[Total Amount]]&gt;=1500),"Critical",AND(Table1567[[#This Row],[Total Amount]]&gt;=1000),"High",TRUE,"Normal")</f>
        <v>Normal</v>
      </c>
      <c r="L395" s="4" t="str">
        <f>IF(Table1567[[#This Row],[Total Amount]]&gt;=1000,"High",(IF(Table1567[[#This Row],[Total Amount]]&gt;=500,"Medium","Low")))</f>
        <v>Medium</v>
      </c>
      <c r="M395" s="4" t="str" cm="1">
        <f t="array" ref="M39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95" s="4" cm="1">
        <f t="array" ref="N39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75</v>
      </c>
      <c r="O395" s="4">
        <f>Table1567[[#This Row],[Total Amount]]-Table1567[[#This Row],[Discount Amount]]</f>
        <v>425</v>
      </c>
      <c r="P395" s="4" t="str">
        <f>IF(Table1567[[#This Row],[Total Amount]]&gt;=1000,"High","Low")</f>
        <v>Low</v>
      </c>
      <c r="Q395" s="4" t="str" cm="1">
        <f t="array" ref="Q395">_xlfn.IFS(AND(Table1567[[#This Row],[Total Amount]]&gt;=1500,"Critical"),AND(Table1567[[#This Row],[Total Amount]]&gt;=1000,"High"),TRUE,"Normal")</f>
        <v>Normal</v>
      </c>
      <c r="R395" s="4" t="str">
        <f>CONCATENATE(Table1567[[#This Row],[Customer ID]], "-",Table1567[[#This Row],[Age]])</f>
        <v>CUST394-27</v>
      </c>
      <c r="S395" s="4" t="str">
        <f>TEXT(Table1567[[#This Row],[Date]],"mmm")</f>
        <v>Jun</v>
      </c>
      <c r="T395" s="4" t="str">
        <f>TEXT(Table1567[[#This Row],[Date]],"DDD")</f>
        <v>Sat</v>
      </c>
    </row>
    <row r="396" spans="1:20" ht="29" x14ac:dyDescent="0.35">
      <c r="A396" s="4">
        <v>395</v>
      </c>
      <c r="B396" s="5">
        <v>45266</v>
      </c>
      <c r="C396" s="4" t="s">
        <v>408</v>
      </c>
      <c r="D396" s="4" t="s">
        <v>10</v>
      </c>
      <c r="E396" s="4">
        <v>50</v>
      </c>
      <c r="F396" s="4" t="str">
        <f>IF(Table1567[[#This Row],[Age]]&lt;=19,"Teenager",IF(Table1567[[#This Row],[Age]]&lt;=40,"Median","Old"))</f>
        <v>Old</v>
      </c>
      <c r="G396" s="4" t="s">
        <v>16</v>
      </c>
      <c r="H396" s="4">
        <v>2</v>
      </c>
      <c r="I396" s="4">
        <v>500</v>
      </c>
      <c r="J396" s="4">
        <v>1000</v>
      </c>
      <c r="K396" s="4" t="str" cm="1">
        <f t="array" ref="K396">_xlfn.IFS(AND(Table1567[[#This Row],[Total Amount]]&gt;=1500),"Critical",AND(Table1567[[#This Row],[Total Amount]]&gt;=1000),"High",TRUE,"Normal")</f>
        <v>High</v>
      </c>
      <c r="L396" s="4" t="str">
        <f>IF(Table1567[[#This Row],[Total Amount]]&gt;=1000,"High",(IF(Table1567[[#This Row],[Total Amount]]&gt;=500,"Medium","Low")))</f>
        <v>High</v>
      </c>
      <c r="M396" s="4" t="str" cm="1">
        <f t="array" ref="M39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96" s="4" cm="1">
        <f t="array" ref="N39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396" s="4">
        <f>Table1567[[#This Row],[Total Amount]]-Table1567[[#This Row],[Discount Amount]]</f>
        <v>900</v>
      </c>
      <c r="P396" s="4" t="str">
        <f>IF(Table1567[[#This Row],[Total Amount]]&gt;=1000,"High","Low")</f>
        <v>High</v>
      </c>
      <c r="Q396" s="4" t="str" cm="1">
        <f t="array" ref="Q396">_xlfn.IFS(AND(Table1567[[#This Row],[Total Amount]]&gt;=1500,"Critical"),AND(Table1567[[#This Row],[Total Amount]]&gt;=1000,"High"),TRUE,"Normal")</f>
        <v>Normal</v>
      </c>
      <c r="R396" s="4" t="str">
        <f>CONCATENATE(Table1567[[#This Row],[Customer ID]], "-",Table1567[[#This Row],[Age]])</f>
        <v>CUST395-50</v>
      </c>
      <c r="S396" s="4" t="str">
        <f>TEXT(Table1567[[#This Row],[Date]],"mmm")</f>
        <v>Dec</v>
      </c>
      <c r="T396" s="4" t="str">
        <f>TEXT(Table1567[[#This Row],[Date]],"DDD")</f>
        <v>Wed</v>
      </c>
    </row>
    <row r="397" spans="1:20" ht="29" x14ac:dyDescent="0.35">
      <c r="A397" s="4">
        <v>396</v>
      </c>
      <c r="B397" s="5">
        <v>44980</v>
      </c>
      <c r="C397" s="4" t="s">
        <v>409</v>
      </c>
      <c r="D397" s="4" t="s">
        <v>13</v>
      </c>
      <c r="E397" s="4">
        <v>55</v>
      </c>
      <c r="F397" s="4" t="str">
        <f>IF(Table1567[[#This Row],[Age]]&lt;=19,"Teenager",IF(Table1567[[#This Row],[Age]]&lt;=40,"Median","Old"))</f>
        <v>Old</v>
      </c>
      <c r="G397" s="4" t="s">
        <v>11</v>
      </c>
      <c r="H397" s="4">
        <v>1</v>
      </c>
      <c r="I397" s="4">
        <v>30</v>
      </c>
      <c r="J397" s="4">
        <v>30</v>
      </c>
      <c r="K397" s="4" t="str" cm="1">
        <f t="array" ref="K397">_xlfn.IFS(AND(Table1567[[#This Row],[Total Amount]]&gt;=1500),"Critical",AND(Table1567[[#This Row],[Total Amount]]&gt;=1000),"High",TRUE,"Normal")</f>
        <v>Normal</v>
      </c>
      <c r="L397" s="4" t="str">
        <f>IF(Table1567[[#This Row],[Total Amount]]&gt;=1000,"High",(IF(Table1567[[#This Row],[Total Amount]]&gt;=500,"Medium","Low")))</f>
        <v>Low</v>
      </c>
      <c r="M397" s="4" t="str" cm="1">
        <f t="array" ref="M39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97" s="4" cm="1">
        <f t="array" ref="N39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397" s="4">
        <f>Table1567[[#This Row],[Total Amount]]-Table1567[[#This Row],[Discount Amount]]</f>
        <v>24</v>
      </c>
      <c r="P397" s="4" t="str">
        <f>IF(Table1567[[#This Row],[Total Amount]]&gt;=1000,"High","Low")</f>
        <v>Low</v>
      </c>
      <c r="Q397" s="4" t="str" cm="1">
        <f t="array" ref="Q397">_xlfn.IFS(AND(Table1567[[#This Row],[Total Amount]]&gt;=1500,"Critical"),AND(Table1567[[#This Row],[Total Amount]]&gt;=1000,"High"),TRUE,"Normal")</f>
        <v>Normal</v>
      </c>
      <c r="R397" s="4" t="str">
        <f>CONCATENATE(Table1567[[#This Row],[Customer ID]], "-",Table1567[[#This Row],[Age]])</f>
        <v>CUST396-55</v>
      </c>
      <c r="S397" s="4" t="str">
        <f>TEXT(Table1567[[#This Row],[Date]],"mmm")</f>
        <v>Feb</v>
      </c>
      <c r="T397" s="4" t="str">
        <f>TEXT(Table1567[[#This Row],[Date]],"DDD")</f>
        <v>Thu</v>
      </c>
    </row>
    <row r="398" spans="1:20" ht="29" x14ac:dyDescent="0.35">
      <c r="A398" s="4">
        <v>397</v>
      </c>
      <c r="B398" s="5">
        <v>44995</v>
      </c>
      <c r="C398" s="4" t="s">
        <v>410</v>
      </c>
      <c r="D398" s="4" t="s">
        <v>13</v>
      </c>
      <c r="E398" s="4">
        <v>30</v>
      </c>
      <c r="F398" s="4" t="str">
        <f>IF(Table1567[[#This Row],[Age]]&lt;=19,"Teenager",IF(Table1567[[#This Row],[Age]]&lt;=40,"Median","Old"))</f>
        <v>Median</v>
      </c>
      <c r="G398" s="4" t="s">
        <v>11</v>
      </c>
      <c r="H398" s="4">
        <v>1</v>
      </c>
      <c r="I398" s="4">
        <v>25</v>
      </c>
      <c r="J398" s="4">
        <v>25</v>
      </c>
      <c r="K398" s="4" t="str" cm="1">
        <f t="array" ref="K398">_xlfn.IFS(AND(Table1567[[#This Row],[Total Amount]]&gt;=1500),"Critical",AND(Table1567[[#This Row],[Total Amount]]&gt;=1000),"High",TRUE,"Normal")</f>
        <v>Normal</v>
      </c>
      <c r="L398" s="4" t="str">
        <f>IF(Table1567[[#This Row],[Total Amount]]&gt;=1000,"High",(IF(Table1567[[#This Row],[Total Amount]]&gt;=500,"Medium","Low")))</f>
        <v>Low</v>
      </c>
      <c r="M398" s="4" t="str" cm="1">
        <f t="array" ref="M39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98" s="4" cm="1">
        <f t="array" ref="N39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3.75</v>
      </c>
      <c r="O398" s="4">
        <f>Table1567[[#This Row],[Total Amount]]-Table1567[[#This Row],[Discount Amount]]</f>
        <v>21.25</v>
      </c>
      <c r="P398" s="4" t="str">
        <f>IF(Table1567[[#This Row],[Total Amount]]&gt;=1000,"High","Low")</f>
        <v>Low</v>
      </c>
      <c r="Q398" s="4" t="str" cm="1">
        <f t="array" ref="Q398">_xlfn.IFS(AND(Table1567[[#This Row],[Total Amount]]&gt;=1500,"Critical"),AND(Table1567[[#This Row],[Total Amount]]&gt;=1000,"High"),TRUE,"Normal")</f>
        <v>Normal</v>
      </c>
      <c r="R398" s="4" t="str">
        <f>CONCATENATE(Table1567[[#This Row],[Customer ID]], "-",Table1567[[#This Row],[Age]])</f>
        <v>CUST397-30</v>
      </c>
      <c r="S398" s="4" t="str">
        <f>TEXT(Table1567[[#This Row],[Date]],"mmm")</f>
        <v>Mar</v>
      </c>
      <c r="T398" s="4" t="str">
        <f>TEXT(Table1567[[#This Row],[Date]],"DDD")</f>
        <v>Fri</v>
      </c>
    </row>
    <row r="399" spans="1:20" ht="29" x14ac:dyDescent="0.35">
      <c r="A399" s="4">
        <v>398</v>
      </c>
      <c r="B399" s="5">
        <v>45062</v>
      </c>
      <c r="C399" s="4" t="s">
        <v>411</v>
      </c>
      <c r="D399" s="4" t="s">
        <v>13</v>
      </c>
      <c r="E399" s="4">
        <v>48</v>
      </c>
      <c r="F399" s="4" t="str">
        <f>IF(Table1567[[#This Row],[Age]]&lt;=19,"Teenager",IF(Table1567[[#This Row],[Age]]&lt;=40,"Median","Old"))</f>
        <v>Old</v>
      </c>
      <c r="G399" s="4" t="s">
        <v>14</v>
      </c>
      <c r="H399" s="4">
        <v>2</v>
      </c>
      <c r="I399" s="4">
        <v>300</v>
      </c>
      <c r="J399" s="4">
        <v>600</v>
      </c>
      <c r="K399" s="4" t="str" cm="1">
        <f t="array" ref="K399">_xlfn.IFS(AND(Table1567[[#This Row],[Total Amount]]&gt;=1500),"Critical",AND(Table1567[[#This Row],[Total Amount]]&gt;=1000),"High",TRUE,"Normal")</f>
        <v>Normal</v>
      </c>
      <c r="L399" s="4" t="str">
        <f>IF(Table1567[[#This Row],[Total Amount]]&gt;=1000,"High",(IF(Table1567[[#This Row],[Total Amount]]&gt;=500,"Medium","Low")))</f>
        <v>Medium</v>
      </c>
      <c r="M399" s="4" t="str" cm="1">
        <f t="array" ref="M39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99" s="4" cm="1">
        <f t="array" ref="N39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399" s="4">
        <f>Table1567[[#This Row],[Total Amount]]-Table1567[[#This Row],[Discount Amount]]</f>
        <v>480</v>
      </c>
      <c r="P399" s="4" t="str">
        <f>IF(Table1567[[#This Row],[Total Amount]]&gt;=1000,"High","Low")</f>
        <v>Low</v>
      </c>
      <c r="Q399" s="4" t="str" cm="1">
        <f t="array" ref="Q399">_xlfn.IFS(AND(Table1567[[#This Row],[Total Amount]]&gt;=1500,"Critical"),AND(Table1567[[#This Row],[Total Amount]]&gt;=1000,"High"),TRUE,"Normal")</f>
        <v>Normal</v>
      </c>
      <c r="R399" s="4" t="str">
        <f>CONCATENATE(Table1567[[#This Row],[Customer ID]], "-",Table1567[[#This Row],[Age]])</f>
        <v>CUST398-48</v>
      </c>
      <c r="S399" s="4" t="str">
        <f>TEXT(Table1567[[#This Row],[Date]],"mmm")</f>
        <v>May</v>
      </c>
      <c r="T399" s="4" t="str">
        <f>TEXT(Table1567[[#This Row],[Date]],"DDD")</f>
        <v>Tue</v>
      </c>
    </row>
    <row r="400" spans="1:20" ht="29" x14ac:dyDescent="0.35">
      <c r="A400" s="4">
        <v>399</v>
      </c>
      <c r="B400" s="5">
        <v>44986</v>
      </c>
      <c r="C400" s="4" t="s">
        <v>412</v>
      </c>
      <c r="D400" s="4" t="s">
        <v>13</v>
      </c>
      <c r="E400" s="4">
        <v>64</v>
      </c>
      <c r="F400" s="4" t="str">
        <f>IF(Table1567[[#This Row],[Age]]&lt;=19,"Teenager",IF(Table1567[[#This Row],[Age]]&lt;=40,"Median","Old"))</f>
        <v>Old</v>
      </c>
      <c r="G400" s="4" t="s">
        <v>11</v>
      </c>
      <c r="H400" s="4">
        <v>2</v>
      </c>
      <c r="I400" s="4">
        <v>30</v>
      </c>
      <c r="J400" s="4">
        <v>60</v>
      </c>
      <c r="K400" s="4" t="str" cm="1">
        <f t="array" ref="K400">_xlfn.IFS(AND(Table1567[[#This Row],[Total Amount]]&gt;=1500),"Critical",AND(Table1567[[#This Row],[Total Amount]]&gt;=1000),"High",TRUE,"Normal")</f>
        <v>Normal</v>
      </c>
      <c r="L400" s="4" t="str">
        <f>IF(Table1567[[#This Row],[Total Amount]]&gt;=1000,"High",(IF(Table1567[[#This Row],[Total Amount]]&gt;=500,"Medium","Low")))</f>
        <v>Low</v>
      </c>
      <c r="M400" s="4" t="str" cm="1">
        <f t="array" ref="M40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00" s="4" cm="1">
        <f t="array" ref="N40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400" s="4">
        <f>Table1567[[#This Row],[Total Amount]]-Table1567[[#This Row],[Discount Amount]]</f>
        <v>48</v>
      </c>
      <c r="P400" s="4" t="str">
        <f>IF(Table1567[[#This Row],[Total Amount]]&gt;=1000,"High","Low")</f>
        <v>Low</v>
      </c>
      <c r="Q400" s="4" t="str" cm="1">
        <f t="array" ref="Q400">_xlfn.IFS(AND(Table1567[[#This Row],[Total Amount]]&gt;=1500,"Critical"),AND(Table1567[[#This Row],[Total Amount]]&gt;=1000,"High"),TRUE,"Normal")</f>
        <v>Normal</v>
      </c>
      <c r="R400" s="4" t="str">
        <f>CONCATENATE(Table1567[[#This Row],[Customer ID]], "-",Table1567[[#This Row],[Age]])</f>
        <v>CUST399-64</v>
      </c>
      <c r="S400" s="4" t="str">
        <f>TEXT(Table1567[[#This Row],[Date]],"mmm")</f>
        <v>Mar</v>
      </c>
      <c r="T400" s="4" t="str">
        <f>TEXT(Table1567[[#This Row],[Date]],"DDD")</f>
        <v>Wed</v>
      </c>
    </row>
    <row r="401" spans="1:20" ht="29" x14ac:dyDescent="0.35">
      <c r="A401" s="4">
        <v>400</v>
      </c>
      <c r="B401" s="5">
        <v>44981</v>
      </c>
      <c r="C401" s="4" t="s">
        <v>413</v>
      </c>
      <c r="D401" s="4" t="s">
        <v>10</v>
      </c>
      <c r="E401" s="4">
        <v>53</v>
      </c>
      <c r="F401" s="4" t="str">
        <f>IF(Table1567[[#This Row],[Age]]&lt;=19,"Teenager",IF(Table1567[[#This Row],[Age]]&lt;=40,"Median","Old"))</f>
        <v>Old</v>
      </c>
      <c r="G401" s="4" t="s">
        <v>14</v>
      </c>
      <c r="H401" s="4">
        <v>4</v>
      </c>
      <c r="I401" s="4">
        <v>50</v>
      </c>
      <c r="J401" s="4">
        <v>200</v>
      </c>
      <c r="K401" s="4" t="str" cm="1">
        <f t="array" ref="K401">_xlfn.IFS(AND(Table1567[[#This Row],[Total Amount]]&gt;=1500),"Critical",AND(Table1567[[#This Row],[Total Amount]]&gt;=1000),"High",TRUE,"Normal")</f>
        <v>Normal</v>
      </c>
      <c r="L401" s="4" t="str">
        <f>IF(Table1567[[#This Row],[Total Amount]]&gt;=1000,"High",(IF(Table1567[[#This Row],[Total Amount]]&gt;=500,"Medium","Low")))</f>
        <v>Low</v>
      </c>
      <c r="M401" s="4" t="str" cm="1">
        <f t="array" ref="M40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01" s="4" cm="1">
        <f t="array" ref="N40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401" s="4">
        <f>Table1567[[#This Row],[Total Amount]]-Table1567[[#This Row],[Discount Amount]]</f>
        <v>180</v>
      </c>
      <c r="P401" s="4" t="str">
        <f>IF(Table1567[[#This Row],[Total Amount]]&gt;=1000,"High","Low")</f>
        <v>Low</v>
      </c>
      <c r="Q401" s="4" t="str" cm="1">
        <f t="array" ref="Q401">_xlfn.IFS(AND(Table1567[[#This Row],[Total Amount]]&gt;=1500,"Critical"),AND(Table1567[[#This Row],[Total Amount]]&gt;=1000,"High"),TRUE,"Normal")</f>
        <v>Normal</v>
      </c>
      <c r="R401" s="4" t="str">
        <f>CONCATENATE(Table1567[[#This Row],[Customer ID]], "-",Table1567[[#This Row],[Age]])</f>
        <v>CUST400-53</v>
      </c>
      <c r="S401" s="4" t="str">
        <f>TEXT(Table1567[[#This Row],[Date]],"mmm")</f>
        <v>Feb</v>
      </c>
      <c r="T401" s="4" t="str">
        <f>TEXT(Table1567[[#This Row],[Date]],"DDD")</f>
        <v>Fri</v>
      </c>
    </row>
    <row r="402" spans="1:20" ht="29" x14ac:dyDescent="0.35">
      <c r="A402" s="4">
        <v>401</v>
      </c>
      <c r="B402" s="5">
        <v>45210</v>
      </c>
      <c r="C402" s="4" t="s">
        <v>414</v>
      </c>
      <c r="D402" s="4" t="s">
        <v>13</v>
      </c>
      <c r="E402" s="4">
        <v>62</v>
      </c>
      <c r="F402" s="4" t="str">
        <f>IF(Table1567[[#This Row],[Age]]&lt;=19,"Teenager",IF(Table1567[[#This Row],[Age]]&lt;=40,"Median","Old"))</f>
        <v>Old</v>
      </c>
      <c r="G402" s="4" t="s">
        <v>14</v>
      </c>
      <c r="H402" s="4">
        <v>1</v>
      </c>
      <c r="I402" s="4">
        <v>300</v>
      </c>
      <c r="J402" s="4">
        <v>300</v>
      </c>
      <c r="K402" s="4" t="str" cm="1">
        <f t="array" ref="K402">_xlfn.IFS(AND(Table1567[[#This Row],[Total Amount]]&gt;=1500),"Critical",AND(Table1567[[#This Row],[Total Amount]]&gt;=1000),"High",TRUE,"Normal")</f>
        <v>Normal</v>
      </c>
      <c r="L402" s="4" t="str">
        <f>IF(Table1567[[#This Row],[Total Amount]]&gt;=1000,"High",(IF(Table1567[[#This Row],[Total Amount]]&gt;=500,"Medium","Low")))</f>
        <v>Low</v>
      </c>
      <c r="M402" s="4" t="str" cm="1">
        <f t="array" ref="M40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02" s="4" cm="1">
        <f t="array" ref="N40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402" s="4">
        <f>Table1567[[#This Row],[Total Amount]]-Table1567[[#This Row],[Discount Amount]]</f>
        <v>240</v>
      </c>
      <c r="P402" s="4" t="str">
        <f>IF(Table1567[[#This Row],[Total Amount]]&gt;=1000,"High","Low")</f>
        <v>Low</v>
      </c>
      <c r="Q402" s="4" t="str" cm="1">
        <f t="array" ref="Q402">_xlfn.IFS(AND(Table1567[[#This Row],[Total Amount]]&gt;=1500,"Critical"),AND(Table1567[[#This Row],[Total Amount]]&gt;=1000,"High"),TRUE,"Normal")</f>
        <v>Normal</v>
      </c>
      <c r="R402" s="4" t="str">
        <f>CONCATENATE(Table1567[[#This Row],[Customer ID]], "-",Table1567[[#This Row],[Age]])</f>
        <v>CUST401-62</v>
      </c>
      <c r="S402" s="4" t="str">
        <f>TEXT(Table1567[[#This Row],[Date]],"mmm")</f>
        <v>Oct</v>
      </c>
      <c r="T402" s="4" t="str">
        <f>TEXT(Table1567[[#This Row],[Date]],"DDD")</f>
        <v>Wed</v>
      </c>
    </row>
    <row r="403" spans="1:20" ht="29" x14ac:dyDescent="0.35">
      <c r="A403" s="4">
        <v>402</v>
      </c>
      <c r="B403" s="5">
        <v>45006</v>
      </c>
      <c r="C403" s="4" t="s">
        <v>415</v>
      </c>
      <c r="D403" s="4" t="s">
        <v>13</v>
      </c>
      <c r="E403" s="4">
        <v>41</v>
      </c>
      <c r="F403" s="4" t="str">
        <f>IF(Table1567[[#This Row],[Age]]&lt;=19,"Teenager",IF(Table1567[[#This Row],[Age]]&lt;=40,"Median","Old"))</f>
        <v>Old</v>
      </c>
      <c r="G403" s="4" t="s">
        <v>14</v>
      </c>
      <c r="H403" s="4">
        <v>2</v>
      </c>
      <c r="I403" s="4">
        <v>300</v>
      </c>
      <c r="J403" s="4">
        <v>600</v>
      </c>
      <c r="K403" s="4" t="str" cm="1">
        <f t="array" ref="K403">_xlfn.IFS(AND(Table1567[[#This Row],[Total Amount]]&gt;=1500),"Critical",AND(Table1567[[#This Row],[Total Amount]]&gt;=1000),"High",TRUE,"Normal")</f>
        <v>Normal</v>
      </c>
      <c r="L403" s="4" t="str">
        <f>IF(Table1567[[#This Row],[Total Amount]]&gt;=1000,"High",(IF(Table1567[[#This Row],[Total Amount]]&gt;=500,"Medium","Low")))</f>
        <v>Medium</v>
      </c>
      <c r="M403" s="4" t="str" cm="1">
        <f t="array" ref="M40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03" s="4" cm="1">
        <f t="array" ref="N40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403" s="4">
        <f>Table1567[[#This Row],[Total Amount]]-Table1567[[#This Row],[Discount Amount]]</f>
        <v>480</v>
      </c>
      <c r="P403" s="4" t="str">
        <f>IF(Table1567[[#This Row],[Total Amount]]&gt;=1000,"High","Low")</f>
        <v>Low</v>
      </c>
      <c r="Q403" s="4" t="str" cm="1">
        <f t="array" ref="Q403">_xlfn.IFS(AND(Table1567[[#This Row],[Total Amount]]&gt;=1500,"Critical"),AND(Table1567[[#This Row],[Total Amount]]&gt;=1000,"High"),TRUE,"Normal")</f>
        <v>Normal</v>
      </c>
      <c r="R403" s="4" t="str">
        <f>CONCATENATE(Table1567[[#This Row],[Customer ID]], "-",Table1567[[#This Row],[Age]])</f>
        <v>CUST402-41</v>
      </c>
      <c r="S403" s="4" t="str">
        <f>TEXT(Table1567[[#This Row],[Date]],"mmm")</f>
        <v>Mar</v>
      </c>
      <c r="T403" s="4" t="str">
        <f>TEXT(Table1567[[#This Row],[Date]],"DDD")</f>
        <v>Tue</v>
      </c>
    </row>
    <row r="404" spans="1:20" ht="29" x14ac:dyDescent="0.35">
      <c r="A404" s="4">
        <v>403</v>
      </c>
      <c r="B404" s="5">
        <v>45066</v>
      </c>
      <c r="C404" s="4" t="s">
        <v>416</v>
      </c>
      <c r="D404" s="4" t="s">
        <v>10</v>
      </c>
      <c r="E404" s="4">
        <v>32</v>
      </c>
      <c r="F404" s="4" t="str">
        <f>IF(Table1567[[#This Row],[Age]]&lt;=19,"Teenager",IF(Table1567[[#This Row],[Age]]&lt;=40,"Median","Old"))</f>
        <v>Median</v>
      </c>
      <c r="G404" s="4" t="s">
        <v>14</v>
      </c>
      <c r="H404" s="4">
        <v>2</v>
      </c>
      <c r="I404" s="4">
        <v>300</v>
      </c>
      <c r="J404" s="4">
        <v>600</v>
      </c>
      <c r="K404" s="4" t="str" cm="1">
        <f t="array" ref="K404">_xlfn.IFS(AND(Table1567[[#This Row],[Total Amount]]&gt;=1500),"Critical",AND(Table1567[[#This Row],[Total Amount]]&gt;=1000),"High",TRUE,"Normal")</f>
        <v>Normal</v>
      </c>
      <c r="L404" s="4" t="str">
        <f>IF(Table1567[[#This Row],[Total Amount]]&gt;=1000,"High",(IF(Table1567[[#This Row],[Total Amount]]&gt;=500,"Medium","Low")))</f>
        <v>Medium</v>
      </c>
      <c r="M404" s="4" t="str" cm="1">
        <f t="array" ref="M40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04" s="4" cm="1">
        <f t="array" ref="N40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404" s="4">
        <f>Table1567[[#This Row],[Total Amount]]-Table1567[[#This Row],[Discount Amount]]</f>
        <v>510</v>
      </c>
      <c r="P404" s="4" t="str">
        <f>IF(Table1567[[#This Row],[Total Amount]]&gt;=1000,"High","Low")</f>
        <v>Low</v>
      </c>
      <c r="Q404" s="4" t="str" cm="1">
        <f t="array" ref="Q404">_xlfn.IFS(AND(Table1567[[#This Row],[Total Amount]]&gt;=1500,"Critical"),AND(Table1567[[#This Row],[Total Amount]]&gt;=1000,"High"),TRUE,"Normal")</f>
        <v>Normal</v>
      </c>
      <c r="R404" s="4" t="str">
        <f>CONCATENATE(Table1567[[#This Row],[Customer ID]], "-",Table1567[[#This Row],[Age]])</f>
        <v>CUST403-32</v>
      </c>
      <c r="S404" s="4" t="str">
        <f>TEXT(Table1567[[#This Row],[Date]],"mmm")</f>
        <v>May</v>
      </c>
      <c r="T404" s="4" t="str">
        <f>TEXT(Table1567[[#This Row],[Date]],"DDD")</f>
        <v>Sat</v>
      </c>
    </row>
    <row r="405" spans="1:20" ht="29" x14ac:dyDescent="0.35">
      <c r="A405" s="4">
        <v>404</v>
      </c>
      <c r="B405" s="5">
        <v>45071</v>
      </c>
      <c r="C405" s="4" t="s">
        <v>417</v>
      </c>
      <c r="D405" s="4" t="s">
        <v>10</v>
      </c>
      <c r="E405" s="4">
        <v>46</v>
      </c>
      <c r="F405" s="4" t="str">
        <f>IF(Table1567[[#This Row],[Age]]&lt;=19,"Teenager",IF(Table1567[[#This Row],[Age]]&lt;=40,"Median","Old"))</f>
        <v>Old</v>
      </c>
      <c r="G405" s="4" t="s">
        <v>16</v>
      </c>
      <c r="H405" s="4">
        <v>2</v>
      </c>
      <c r="I405" s="4">
        <v>500</v>
      </c>
      <c r="J405" s="4">
        <v>1000</v>
      </c>
      <c r="K405" s="4" t="str" cm="1">
        <f t="array" ref="K405">_xlfn.IFS(AND(Table1567[[#This Row],[Total Amount]]&gt;=1500),"Critical",AND(Table1567[[#This Row],[Total Amount]]&gt;=1000),"High",TRUE,"Normal")</f>
        <v>High</v>
      </c>
      <c r="L405" s="4" t="str">
        <f>IF(Table1567[[#This Row],[Total Amount]]&gt;=1000,"High",(IF(Table1567[[#This Row],[Total Amount]]&gt;=500,"Medium","Low")))</f>
        <v>High</v>
      </c>
      <c r="M405" s="4" t="str" cm="1">
        <f t="array" ref="M40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05" s="4" cm="1">
        <f t="array" ref="N40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405" s="4">
        <f>Table1567[[#This Row],[Total Amount]]-Table1567[[#This Row],[Discount Amount]]</f>
        <v>900</v>
      </c>
      <c r="P405" s="4" t="str">
        <f>IF(Table1567[[#This Row],[Total Amount]]&gt;=1000,"High","Low")</f>
        <v>High</v>
      </c>
      <c r="Q405" s="4" t="str" cm="1">
        <f t="array" ref="Q405">_xlfn.IFS(AND(Table1567[[#This Row],[Total Amount]]&gt;=1500,"Critical"),AND(Table1567[[#This Row],[Total Amount]]&gt;=1000,"High"),TRUE,"Normal")</f>
        <v>Normal</v>
      </c>
      <c r="R405" s="4" t="str">
        <f>CONCATENATE(Table1567[[#This Row],[Customer ID]], "-",Table1567[[#This Row],[Age]])</f>
        <v>CUST404-46</v>
      </c>
      <c r="S405" s="4" t="str">
        <f>TEXT(Table1567[[#This Row],[Date]],"mmm")</f>
        <v>May</v>
      </c>
      <c r="T405" s="4" t="str">
        <f>TEXT(Table1567[[#This Row],[Date]],"DDD")</f>
        <v>Thu</v>
      </c>
    </row>
    <row r="406" spans="1:20" ht="29" x14ac:dyDescent="0.35">
      <c r="A406" s="4">
        <v>405</v>
      </c>
      <c r="B406" s="5">
        <v>45236</v>
      </c>
      <c r="C406" s="4" t="s">
        <v>418</v>
      </c>
      <c r="D406" s="4" t="s">
        <v>13</v>
      </c>
      <c r="E406" s="4">
        <v>25</v>
      </c>
      <c r="F406" s="4" t="str">
        <f>IF(Table1567[[#This Row],[Age]]&lt;=19,"Teenager",IF(Table1567[[#This Row],[Age]]&lt;=40,"Median","Old"))</f>
        <v>Median</v>
      </c>
      <c r="G406" s="4" t="s">
        <v>14</v>
      </c>
      <c r="H406" s="4">
        <v>4</v>
      </c>
      <c r="I406" s="4">
        <v>300</v>
      </c>
      <c r="J406" s="4">
        <v>1200</v>
      </c>
      <c r="K406" s="4" t="str" cm="1">
        <f t="array" ref="K406">_xlfn.IFS(AND(Table1567[[#This Row],[Total Amount]]&gt;=1500),"Critical",AND(Table1567[[#This Row],[Total Amount]]&gt;=1000),"High",TRUE,"Normal")</f>
        <v>High</v>
      </c>
      <c r="L406" s="4" t="str">
        <f>IF(Table1567[[#This Row],[Total Amount]]&gt;=1000,"High",(IF(Table1567[[#This Row],[Total Amount]]&gt;=500,"Medium","Low")))</f>
        <v>High</v>
      </c>
      <c r="M406" s="4" t="str" cm="1">
        <f t="array" ref="M40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06" s="4" cm="1">
        <f t="array" ref="N40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406" s="4">
        <f>Table1567[[#This Row],[Total Amount]]-Table1567[[#This Row],[Discount Amount]]</f>
        <v>1020</v>
      </c>
      <c r="P406" s="4" t="str">
        <f>IF(Table1567[[#This Row],[Total Amount]]&gt;=1000,"High","Low")</f>
        <v>High</v>
      </c>
      <c r="Q406" s="4" t="str" cm="1">
        <f t="array" ref="Q406">_xlfn.IFS(AND(Table1567[[#This Row],[Total Amount]]&gt;=1500,"Critical"),AND(Table1567[[#This Row],[Total Amount]]&gt;=1000,"High"),TRUE,"Normal")</f>
        <v>Normal</v>
      </c>
      <c r="R406" s="4" t="str">
        <f>CONCATENATE(Table1567[[#This Row],[Customer ID]], "-",Table1567[[#This Row],[Age]])</f>
        <v>CUST405-25</v>
      </c>
      <c r="S406" s="4" t="str">
        <f>TEXT(Table1567[[#This Row],[Date]],"mmm")</f>
        <v>Nov</v>
      </c>
      <c r="T406" s="4" t="str">
        <f>TEXT(Table1567[[#This Row],[Date]],"DDD")</f>
        <v>Mon</v>
      </c>
    </row>
    <row r="407" spans="1:20" ht="29" x14ac:dyDescent="0.35">
      <c r="A407" s="4">
        <v>406</v>
      </c>
      <c r="B407" s="5">
        <v>45034</v>
      </c>
      <c r="C407" s="4" t="s">
        <v>419</v>
      </c>
      <c r="D407" s="4" t="s">
        <v>13</v>
      </c>
      <c r="E407" s="4">
        <v>22</v>
      </c>
      <c r="F407" s="4" t="str">
        <f>IF(Table1567[[#This Row],[Age]]&lt;=19,"Teenager",IF(Table1567[[#This Row],[Age]]&lt;=40,"Median","Old"))</f>
        <v>Median</v>
      </c>
      <c r="G407" s="4" t="s">
        <v>11</v>
      </c>
      <c r="H407" s="4">
        <v>4</v>
      </c>
      <c r="I407" s="4">
        <v>25</v>
      </c>
      <c r="J407" s="4">
        <v>100</v>
      </c>
      <c r="K407" s="4" t="str" cm="1">
        <f t="array" ref="K407">_xlfn.IFS(AND(Table1567[[#This Row],[Total Amount]]&gt;=1500),"Critical",AND(Table1567[[#This Row],[Total Amount]]&gt;=1000),"High",TRUE,"Normal")</f>
        <v>Normal</v>
      </c>
      <c r="L407" s="4" t="str">
        <f>IF(Table1567[[#This Row],[Total Amount]]&gt;=1000,"High",(IF(Table1567[[#This Row],[Total Amount]]&gt;=500,"Medium","Low")))</f>
        <v>Low</v>
      </c>
      <c r="M407" s="4" t="str" cm="1">
        <f t="array" ref="M40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407" s="4" cm="1">
        <f t="array" ref="N40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407" s="4">
        <f>Table1567[[#This Row],[Total Amount]]-Table1567[[#This Row],[Discount Amount]]</f>
        <v>100</v>
      </c>
      <c r="P407" s="4" t="str">
        <f>IF(Table1567[[#This Row],[Total Amount]]&gt;=1000,"High","Low")</f>
        <v>Low</v>
      </c>
      <c r="Q407" s="4" t="str" cm="1">
        <f t="array" ref="Q407">_xlfn.IFS(AND(Table1567[[#This Row],[Total Amount]]&gt;=1500,"Critical"),AND(Table1567[[#This Row],[Total Amount]]&gt;=1000,"High"),TRUE,"Normal")</f>
        <v>Normal</v>
      </c>
      <c r="R407" s="4" t="str">
        <f>CONCATENATE(Table1567[[#This Row],[Customer ID]], "-",Table1567[[#This Row],[Age]])</f>
        <v>CUST406-22</v>
      </c>
      <c r="S407" s="4" t="str">
        <f>TEXT(Table1567[[#This Row],[Date]],"mmm")</f>
        <v>Apr</v>
      </c>
      <c r="T407" s="4" t="str">
        <f>TEXT(Table1567[[#This Row],[Date]],"DDD")</f>
        <v>Tue</v>
      </c>
    </row>
    <row r="408" spans="1:20" ht="29" x14ac:dyDescent="0.35">
      <c r="A408" s="4">
        <v>407</v>
      </c>
      <c r="B408" s="5">
        <v>45102</v>
      </c>
      <c r="C408" s="4" t="s">
        <v>420</v>
      </c>
      <c r="D408" s="4" t="s">
        <v>13</v>
      </c>
      <c r="E408" s="4">
        <v>46</v>
      </c>
      <c r="F408" s="4" t="str">
        <f>IF(Table1567[[#This Row],[Age]]&lt;=19,"Teenager",IF(Table1567[[#This Row],[Age]]&lt;=40,"Median","Old"))</f>
        <v>Old</v>
      </c>
      <c r="G408" s="4" t="s">
        <v>16</v>
      </c>
      <c r="H408" s="4">
        <v>3</v>
      </c>
      <c r="I408" s="4">
        <v>300</v>
      </c>
      <c r="J408" s="4">
        <v>900</v>
      </c>
      <c r="K408" s="4" t="str" cm="1">
        <f t="array" ref="K408">_xlfn.IFS(AND(Table1567[[#This Row],[Total Amount]]&gt;=1500),"Critical",AND(Table1567[[#This Row],[Total Amount]]&gt;=1000),"High",TRUE,"Normal")</f>
        <v>Normal</v>
      </c>
      <c r="L408" s="4" t="str">
        <f>IF(Table1567[[#This Row],[Total Amount]]&gt;=1000,"High",(IF(Table1567[[#This Row],[Total Amount]]&gt;=500,"Medium","Low")))</f>
        <v>Medium</v>
      </c>
      <c r="M408" s="4" t="str" cm="1">
        <f t="array" ref="M40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08" s="4" cm="1">
        <f t="array" ref="N40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408" s="4">
        <f>Table1567[[#This Row],[Total Amount]]-Table1567[[#This Row],[Discount Amount]]</f>
        <v>720</v>
      </c>
      <c r="P408" s="4" t="str">
        <f>IF(Table1567[[#This Row],[Total Amount]]&gt;=1000,"High","Low")</f>
        <v>Low</v>
      </c>
      <c r="Q408" s="4" t="str" cm="1">
        <f t="array" ref="Q408">_xlfn.IFS(AND(Table1567[[#This Row],[Total Amount]]&gt;=1500,"Critical"),AND(Table1567[[#This Row],[Total Amount]]&gt;=1000,"High"),TRUE,"Normal")</f>
        <v>Normal</v>
      </c>
      <c r="R408" s="4" t="str">
        <f>CONCATENATE(Table1567[[#This Row],[Customer ID]], "-",Table1567[[#This Row],[Age]])</f>
        <v>CUST407-46</v>
      </c>
      <c r="S408" s="4" t="str">
        <f>TEXT(Table1567[[#This Row],[Date]],"mmm")</f>
        <v>Jun</v>
      </c>
      <c r="T408" s="4" t="str">
        <f>TEXT(Table1567[[#This Row],[Date]],"DDD")</f>
        <v>Sun</v>
      </c>
    </row>
    <row r="409" spans="1:20" ht="29" x14ac:dyDescent="0.35">
      <c r="A409" s="4">
        <v>408</v>
      </c>
      <c r="B409" s="5">
        <v>45031</v>
      </c>
      <c r="C409" s="4" t="s">
        <v>421</v>
      </c>
      <c r="D409" s="4" t="s">
        <v>13</v>
      </c>
      <c r="E409" s="4">
        <v>64</v>
      </c>
      <c r="F409" s="4" t="str">
        <f>IF(Table1567[[#This Row],[Age]]&lt;=19,"Teenager",IF(Table1567[[#This Row],[Age]]&lt;=40,"Median","Old"))</f>
        <v>Old</v>
      </c>
      <c r="G409" s="4" t="s">
        <v>11</v>
      </c>
      <c r="H409" s="4">
        <v>1</v>
      </c>
      <c r="I409" s="4">
        <v>500</v>
      </c>
      <c r="J409" s="4">
        <v>500</v>
      </c>
      <c r="K409" s="4" t="str" cm="1">
        <f t="array" ref="K409">_xlfn.IFS(AND(Table1567[[#This Row],[Total Amount]]&gt;=1500),"Critical",AND(Table1567[[#This Row],[Total Amount]]&gt;=1000),"High",TRUE,"Normal")</f>
        <v>Normal</v>
      </c>
      <c r="L409" s="4" t="str">
        <f>IF(Table1567[[#This Row],[Total Amount]]&gt;=1000,"High",(IF(Table1567[[#This Row],[Total Amount]]&gt;=500,"Medium","Low")))</f>
        <v>Medium</v>
      </c>
      <c r="M409" s="4" t="str" cm="1">
        <f t="array" ref="M40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09" s="4" cm="1">
        <f t="array" ref="N40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409" s="4">
        <f>Table1567[[#This Row],[Total Amount]]-Table1567[[#This Row],[Discount Amount]]</f>
        <v>400</v>
      </c>
      <c r="P409" s="4" t="str">
        <f>IF(Table1567[[#This Row],[Total Amount]]&gt;=1000,"High","Low")</f>
        <v>Low</v>
      </c>
      <c r="Q409" s="4" t="str" cm="1">
        <f t="array" ref="Q409">_xlfn.IFS(AND(Table1567[[#This Row],[Total Amount]]&gt;=1500,"Critical"),AND(Table1567[[#This Row],[Total Amount]]&gt;=1000,"High"),TRUE,"Normal")</f>
        <v>Normal</v>
      </c>
      <c r="R409" s="4" t="str">
        <f>CONCATENATE(Table1567[[#This Row],[Customer ID]], "-",Table1567[[#This Row],[Age]])</f>
        <v>CUST408-64</v>
      </c>
      <c r="S409" s="4" t="str">
        <f>TEXT(Table1567[[#This Row],[Date]],"mmm")</f>
        <v>Apr</v>
      </c>
      <c r="T409" s="4" t="str">
        <f>TEXT(Table1567[[#This Row],[Date]],"DDD")</f>
        <v>Sat</v>
      </c>
    </row>
    <row r="410" spans="1:20" ht="29" x14ac:dyDescent="0.35">
      <c r="A410" s="4">
        <v>409</v>
      </c>
      <c r="B410" s="5">
        <v>45278</v>
      </c>
      <c r="C410" s="4" t="s">
        <v>422</v>
      </c>
      <c r="D410" s="4" t="s">
        <v>13</v>
      </c>
      <c r="E410" s="4">
        <v>21</v>
      </c>
      <c r="F410" s="4" t="str">
        <f>IF(Table1567[[#This Row],[Age]]&lt;=19,"Teenager",IF(Table1567[[#This Row],[Age]]&lt;=40,"Median","Old"))</f>
        <v>Median</v>
      </c>
      <c r="G410" s="4" t="s">
        <v>16</v>
      </c>
      <c r="H410" s="4">
        <v>3</v>
      </c>
      <c r="I410" s="4">
        <v>300</v>
      </c>
      <c r="J410" s="4">
        <v>900</v>
      </c>
      <c r="K410" s="4" t="str" cm="1">
        <f t="array" ref="K410">_xlfn.IFS(AND(Table1567[[#This Row],[Total Amount]]&gt;=1500),"Critical",AND(Table1567[[#This Row],[Total Amount]]&gt;=1000),"High",TRUE,"Normal")</f>
        <v>Normal</v>
      </c>
      <c r="L410" s="4" t="str">
        <f>IF(Table1567[[#This Row],[Total Amount]]&gt;=1000,"High",(IF(Table1567[[#This Row],[Total Amount]]&gt;=500,"Medium","Low")))</f>
        <v>Medium</v>
      </c>
      <c r="M410" s="4" t="str" cm="1">
        <f t="array" ref="M41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410" s="4" cm="1">
        <f t="array" ref="N41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410" s="4">
        <f>Table1567[[#This Row],[Total Amount]]-Table1567[[#This Row],[Discount Amount]]</f>
        <v>900</v>
      </c>
      <c r="P410" s="4" t="str">
        <f>IF(Table1567[[#This Row],[Total Amount]]&gt;=1000,"High","Low")</f>
        <v>Low</v>
      </c>
      <c r="Q410" s="4" t="str" cm="1">
        <f t="array" ref="Q410">_xlfn.IFS(AND(Table1567[[#This Row],[Total Amount]]&gt;=1500,"Critical"),AND(Table1567[[#This Row],[Total Amount]]&gt;=1000,"High"),TRUE,"Normal")</f>
        <v>Normal</v>
      </c>
      <c r="R410" s="4" t="str">
        <f>CONCATENATE(Table1567[[#This Row],[Customer ID]], "-",Table1567[[#This Row],[Age]])</f>
        <v>CUST409-21</v>
      </c>
      <c r="S410" s="4" t="str">
        <f>TEXT(Table1567[[#This Row],[Date]],"mmm")</f>
        <v>Dec</v>
      </c>
      <c r="T410" s="4" t="str">
        <f>TEXT(Table1567[[#This Row],[Date]],"DDD")</f>
        <v>Mon</v>
      </c>
    </row>
    <row r="411" spans="1:20" ht="29" x14ac:dyDescent="0.35">
      <c r="A411" s="4">
        <v>410</v>
      </c>
      <c r="B411" s="5">
        <v>45251</v>
      </c>
      <c r="C411" s="4" t="s">
        <v>423</v>
      </c>
      <c r="D411" s="4" t="s">
        <v>13</v>
      </c>
      <c r="E411" s="4">
        <v>29</v>
      </c>
      <c r="F411" s="4" t="str">
        <f>IF(Table1567[[#This Row],[Age]]&lt;=19,"Teenager",IF(Table1567[[#This Row],[Age]]&lt;=40,"Median","Old"))</f>
        <v>Median</v>
      </c>
      <c r="G411" s="4" t="s">
        <v>14</v>
      </c>
      <c r="H411" s="4">
        <v>2</v>
      </c>
      <c r="I411" s="4">
        <v>50</v>
      </c>
      <c r="J411" s="4">
        <v>100</v>
      </c>
      <c r="K411" s="4" t="str" cm="1">
        <f t="array" ref="K411">_xlfn.IFS(AND(Table1567[[#This Row],[Total Amount]]&gt;=1500),"Critical",AND(Table1567[[#This Row],[Total Amount]]&gt;=1000),"High",TRUE,"Normal")</f>
        <v>Normal</v>
      </c>
      <c r="L411" s="4" t="str">
        <f>IF(Table1567[[#This Row],[Total Amount]]&gt;=1000,"High",(IF(Table1567[[#This Row],[Total Amount]]&gt;=500,"Medium","Low")))</f>
        <v>Low</v>
      </c>
      <c r="M411" s="4" t="str" cm="1">
        <f t="array" ref="M41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11" s="4" cm="1">
        <f t="array" ref="N41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411" s="4">
        <f>Table1567[[#This Row],[Total Amount]]-Table1567[[#This Row],[Discount Amount]]</f>
        <v>85</v>
      </c>
      <c r="P411" s="4" t="str">
        <f>IF(Table1567[[#This Row],[Total Amount]]&gt;=1000,"High","Low")</f>
        <v>Low</v>
      </c>
      <c r="Q411" s="4" t="str" cm="1">
        <f t="array" ref="Q411">_xlfn.IFS(AND(Table1567[[#This Row],[Total Amount]]&gt;=1500,"Critical"),AND(Table1567[[#This Row],[Total Amount]]&gt;=1000,"High"),TRUE,"Normal")</f>
        <v>Normal</v>
      </c>
      <c r="R411" s="4" t="str">
        <f>CONCATENATE(Table1567[[#This Row],[Customer ID]], "-",Table1567[[#This Row],[Age]])</f>
        <v>CUST410-29</v>
      </c>
      <c r="S411" s="4" t="str">
        <f>TEXT(Table1567[[#This Row],[Date]],"mmm")</f>
        <v>Nov</v>
      </c>
      <c r="T411" s="4" t="str">
        <f>TEXT(Table1567[[#This Row],[Date]],"DDD")</f>
        <v>Tue</v>
      </c>
    </row>
    <row r="412" spans="1:20" ht="29" x14ac:dyDescent="0.35">
      <c r="A412" s="4">
        <v>411</v>
      </c>
      <c r="B412" s="5">
        <v>45062</v>
      </c>
      <c r="C412" s="4" t="s">
        <v>424</v>
      </c>
      <c r="D412" s="4" t="s">
        <v>10</v>
      </c>
      <c r="E412" s="4">
        <v>62</v>
      </c>
      <c r="F412" s="4" t="str">
        <f>IF(Table1567[[#This Row],[Age]]&lt;=19,"Teenager",IF(Table1567[[#This Row],[Age]]&lt;=40,"Median","Old"))</f>
        <v>Old</v>
      </c>
      <c r="G412" s="4" t="s">
        <v>16</v>
      </c>
      <c r="H412" s="4">
        <v>4</v>
      </c>
      <c r="I412" s="4">
        <v>50</v>
      </c>
      <c r="J412" s="4">
        <v>200</v>
      </c>
      <c r="K412" s="4" t="str" cm="1">
        <f t="array" ref="K412">_xlfn.IFS(AND(Table1567[[#This Row],[Total Amount]]&gt;=1500),"Critical",AND(Table1567[[#This Row],[Total Amount]]&gt;=1000),"High",TRUE,"Normal")</f>
        <v>Normal</v>
      </c>
      <c r="L412" s="4" t="str">
        <f>IF(Table1567[[#This Row],[Total Amount]]&gt;=1000,"High",(IF(Table1567[[#This Row],[Total Amount]]&gt;=500,"Medium","Low")))</f>
        <v>Low</v>
      </c>
      <c r="M412" s="4" t="str" cm="1">
        <f t="array" ref="M41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12" s="4" cm="1">
        <f t="array" ref="N41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412" s="4">
        <f>Table1567[[#This Row],[Total Amount]]-Table1567[[#This Row],[Discount Amount]]</f>
        <v>180</v>
      </c>
      <c r="P412" s="4" t="str">
        <f>IF(Table1567[[#This Row],[Total Amount]]&gt;=1000,"High","Low")</f>
        <v>Low</v>
      </c>
      <c r="Q412" s="4" t="str" cm="1">
        <f t="array" ref="Q412">_xlfn.IFS(AND(Table1567[[#This Row],[Total Amount]]&gt;=1500,"Critical"),AND(Table1567[[#This Row],[Total Amount]]&gt;=1000,"High"),TRUE,"Normal")</f>
        <v>Normal</v>
      </c>
      <c r="R412" s="4" t="str">
        <f>CONCATENATE(Table1567[[#This Row],[Customer ID]], "-",Table1567[[#This Row],[Age]])</f>
        <v>CUST411-62</v>
      </c>
      <c r="S412" s="4" t="str">
        <f>TEXT(Table1567[[#This Row],[Date]],"mmm")</f>
        <v>May</v>
      </c>
      <c r="T412" s="4" t="str">
        <f>TEXT(Table1567[[#This Row],[Date]],"DDD")</f>
        <v>Tue</v>
      </c>
    </row>
    <row r="413" spans="1:20" ht="29" x14ac:dyDescent="0.35">
      <c r="A413" s="4">
        <v>412</v>
      </c>
      <c r="B413" s="5">
        <v>45185</v>
      </c>
      <c r="C413" s="4" t="s">
        <v>425</v>
      </c>
      <c r="D413" s="4" t="s">
        <v>13</v>
      </c>
      <c r="E413" s="4">
        <v>19</v>
      </c>
      <c r="F413" s="4" t="str">
        <f>IF(Table1567[[#This Row],[Age]]&lt;=19,"Teenager",IF(Table1567[[#This Row],[Age]]&lt;=40,"Median","Old"))</f>
        <v>Teenager</v>
      </c>
      <c r="G413" s="4" t="s">
        <v>16</v>
      </c>
      <c r="H413" s="4">
        <v>4</v>
      </c>
      <c r="I413" s="4">
        <v>500</v>
      </c>
      <c r="J413" s="4">
        <v>2000</v>
      </c>
      <c r="K413" s="4" t="str" cm="1">
        <f t="array" ref="K413">_xlfn.IFS(AND(Table1567[[#This Row],[Total Amount]]&gt;=1500),"Critical",AND(Table1567[[#This Row],[Total Amount]]&gt;=1000),"High",TRUE,"Normal")</f>
        <v>Critical</v>
      </c>
      <c r="L413" s="4" t="str">
        <f>IF(Table1567[[#This Row],[Total Amount]]&gt;=1000,"High",(IF(Table1567[[#This Row],[Total Amount]]&gt;=500,"Medium","Low")))</f>
        <v>High</v>
      </c>
      <c r="M413" s="4" t="str" cm="1">
        <f t="array" ref="M41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413" s="4" cm="1">
        <f t="array" ref="N41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413" s="4">
        <f>Table1567[[#This Row],[Total Amount]]-Table1567[[#This Row],[Discount Amount]]</f>
        <v>2000</v>
      </c>
      <c r="P413" s="4" t="str">
        <f>IF(Table1567[[#This Row],[Total Amount]]&gt;=1000,"High","Low")</f>
        <v>High</v>
      </c>
      <c r="Q413" s="4" t="b" cm="1">
        <f t="array" ref="Q413">_xlfn.IFS(AND(Table1567[[#This Row],[Total Amount]]&gt;=1500,"Critical"),AND(Table1567[[#This Row],[Total Amount]]&gt;=1000,"High"),TRUE,"Normal")</f>
        <v>1</v>
      </c>
      <c r="R413" s="4" t="str">
        <f>CONCATENATE(Table1567[[#This Row],[Customer ID]], "-",Table1567[[#This Row],[Age]])</f>
        <v>CUST412-19</v>
      </c>
      <c r="S413" s="4" t="str">
        <f>TEXT(Table1567[[#This Row],[Date]],"mmm")</f>
        <v>Sep</v>
      </c>
      <c r="T413" s="4" t="str">
        <f>TEXT(Table1567[[#This Row],[Date]],"DDD")</f>
        <v>Sat</v>
      </c>
    </row>
    <row r="414" spans="1:20" ht="29" x14ac:dyDescent="0.35">
      <c r="A414" s="4">
        <v>413</v>
      </c>
      <c r="B414" s="5">
        <v>45177</v>
      </c>
      <c r="C414" s="4" t="s">
        <v>426</v>
      </c>
      <c r="D414" s="4" t="s">
        <v>13</v>
      </c>
      <c r="E414" s="4">
        <v>44</v>
      </c>
      <c r="F414" s="4" t="str">
        <f>IF(Table1567[[#This Row],[Age]]&lt;=19,"Teenager",IF(Table1567[[#This Row],[Age]]&lt;=40,"Median","Old"))</f>
        <v>Old</v>
      </c>
      <c r="G414" s="4" t="s">
        <v>11</v>
      </c>
      <c r="H414" s="4">
        <v>3</v>
      </c>
      <c r="I414" s="4">
        <v>25</v>
      </c>
      <c r="J414" s="4">
        <v>75</v>
      </c>
      <c r="K414" s="4" t="str" cm="1">
        <f t="array" ref="K414">_xlfn.IFS(AND(Table1567[[#This Row],[Total Amount]]&gt;=1500),"Critical",AND(Table1567[[#This Row],[Total Amount]]&gt;=1000),"High",TRUE,"Normal")</f>
        <v>Normal</v>
      </c>
      <c r="L414" s="4" t="str">
        <f>IF(Table1567[[#This Row],[Total Amount]]&gt;=1000,"High",(IF(Table1567[[#This Row],[Total Amount]]&gt;=500,"Medium","Low")))</f>
        <v>Low</v>
      </c>
      <c r="M414" s="4" t="str" cm="1">
        <f t="array" ref="M41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14" s="4" cm="1">
        <f t="array" ref="N41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414" s="4">
        <f>Table1567[[#This Row],[Total Amount]]-Table1567[[#This Row],[Discount Amount]]</f>
        <v>60</v>
      </c>
      <c r="P414" s="4" t="str">
        <f>IF(Table1567[[#This Row],[Total Amount]]&gt;=1000,"High","Low")</f>
        <v>Low</v>
      </c>
      <c r="Q414" s="4" t="str" cm="1">
        <f t="array" ref="Q414">_xlfn.IFS(AND(Table1567[[#This Row],[Total Amount]]&gt;=1500,"Critical"),AND(Table1567[[#This Row],[Total Amount]]&gt;=1000,"High"),TRUE,"Normal")</f>
        <v>Normal</v>
      </c>
      <c r="R414" s="4" t="str">
        <f>CONCATENATE(Table1567[[#This Row],[Customer ID]], "-",Table1567[[#This Row],[Age]])</f>
        <v>CUST413-44</v>
      </c>
      <c r="S414" s="4" t="str">
        <f>TEXT(Table1567[[#This Row],[Date]],"mmm")</f>
        <v>Sep</v>
      </c>
      <c r="T414" s="4" t="str">
        <f>TEXT(Table1567[[#This Row],[Date]],"DDD")</f>
        <v>Fri</v>
      </c>
    </row>
    <row r="415" spans="1:20" ht="29" x14ac:dyDescent="0.35">
      <c r="A415" s="4">
        <v>414</v>
      </c>
      <c r="B415" s="5">
        <v>45055</v>
      </c>
      <c r="C415" s="4" t="s">
        <v>427</v>
      </c>
      <c r="D415" s="4" t="s">
        <v>10</v>
      </c>
      <c r="E415" s="4">
        <v>48</v>
      </c>
      <c r="F415" s="4" t="str">
        <f>IF(Table1567[[#This Row],[Age]]&lt;=19,"Teenager",IF(Table1567[[#This Row],[Age]]&lt;=40,"Median","Old"))</f>
        <v>Old</v>
      </c>
      <c r="G415" s="4" t="s">
        <v>11</v>
      </c>
      <c r="H415" s="4">
        <v>4</v>
      </c>
      <c r="I415" s="4">
        <v>25</v>
      </c>
      <c r="J415" s="4">
        <v>100</v>
      </c>
      <c r="K415" s="4" t="str" cm="1">
        <f t="array" ref="K415">_xlfn.IFS(AND(Table1567[[#This Row],[Total Amount]]&gt;=1500),"Critical",AND(Table1567[[#This Row],[Total Amount]]&gt;=1000),"High",TRUE,"Normal")</f>
        <v>Normal</v>
      </c>
      <c r="L415" s="4" t="str">
        <f>IF(Table1567[[#This Row],[Total Amount]]&gt;=1000,"High",(IF(Table1567[[#This Row],[Total Amount]]&gt;=500,"Medium","Low")))</f>
        <v>Low</v>
      </c>
      <c r="M415" s="4" t="str" cm="1">
        <f t="array" ref="M41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15" s="4" cm="1">
        <f t="array" ref="N41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415" s="4">
        <f>Table1567[[#This Row],[Total Amount]]-Table1567[[#This Row],[Discount Amount]]</f>
        <v>90</v>
      </c>
      <c r="P415" s="4" t="str">
        <f>IF(Table1567[[#This Row],[Total Amount]]&gt;=1000,"High","Low")</f>
        <v>Low</v>
      </c>
      <c r="Q415" s="4" t="str" cm="1">
        <f t="array" ref="Q415">_xlfn.IFS(AND(Table1567[[#This Row],[Total Amount]]&gt;=1500,"Critical"),AND(Table1567[[#This Row],[Total Amount]]&gt;=1000,"High"),TRUE,"Normal")</f>
        <v>Normal</v>
      </c>
      <c r="R415" s="4" t="str">
        <f>CONCATENATE(Table1567[[#This Row],[Customer ID]], "-",Table1567[[#This Row],[Age]])</f>
        <v>CUST414-48</v>
      </c>
      <c r="S415" s="4" t="str">
        <f>TEXT(Table1567[[#This Row],[Date]],"mmm")</f>
        <v>May</v>
      </c>
      <c r="T415" s="4" t="str">
        <f>TEXT(Table1567[[#This Row],[Date]],"DDD")</f>
        <v>Tue</v>
      </c>
    </row>
    <row r="416" spans="1:20" ht="29" x14ac:dyDescent="0.35">
      <c r="A416" s="4">
        <v>415</v>
      </c>
      <c r="B416" s="5">
        <v>44953</v>
      </c>
      <c r="C416" s="4" t="s">
        <v>428</v>
      </c>
      <c r="D416" s="4" t="s">
        <v>10</v>
      </c>
      <c r="E416" s="4">
        <v>53</v>
      </c>
      <c r="F416" s="4" t="str">
        <f>IF(Table1567[[#This Row],[Age]]&lt;=19,"Teenager",IF(Table1567[[#This Row],[Age]]&lt;=40,"Median","Old"))</f>
        <v>Old</v>
      </c>
      <c r="G416" s="4" t="s">
        <v>14</v>
      </c>
      <c r="H416" s="4">
        <v>2</v>
      </c>
      <c r="I416" s="4">
        <v>30</v>
      </c>
      <c r="J416" s="4">
        <v>60</v>
      </c>
      <c r="K416" s="4" t="str" cm="1">
        <f t="array" ref="K416">_xlfn.IFS(AND(Table1567[[#This Row],[Total Amount]]&gt;=1500),"Critical",AND(Table1567[[#This Row],[Total Amount]]&gt;=1000),"High",TRUE,"Normal")</f>
        <v>Normal</v>
      </c>
      <c r="L416" s="4" t="str">
        <f>IF(Table1567[[#This Row],[Total Amount]]&gt;=1000,"High",(IF(Table1567[[#This Row],[Total Amount]]&gt;=500,"Medium","Low")))</f>
        <v>Low</v>
      </c>
      <c r="M416" s="4" t="str" cm="1">
        <f t="array" ref="M41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16" s="4" cm="1">
        <f t="array" ref="N41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416" s="4">
        <f>Table1567[[#This Row],[Total Amount]]-Table1567[[#This Row],[Discount Amount]]</f>
        <v>54</v>
      </c>
      <c r="P416" s="4" t="str">
        <f>IF(Table1567[[#This Row],[Total Amount]]&gt;=1000,"High","Low")</f>
        <v>Low</v>
      </c>
      <c r="Q416" s="4" t="str" cm="1">
        <f t="array" ref="Q416">_xlfn.IFS(AND(Table1567[[#This Row],[Total Amount]]&gt;=1500,"Critical"),AND(Table1567[[#This Row],[Total Amount]]&gt;=1000,"High"),TRUE,"Normal")</f>
        <v>Normal</v>
      </c>
      <c r="R416" s="4" t="str">
        <f>CONCATENATE(Table1567[[#This Row],[Customer ID]], "-",Table1567[[#This Row],[Age]])</f>
        <v>CUST415-53</v>
      </c>
      <c r="S416" s="4" t="str">
        <f>TEXT(Table1567[[#This Row],[Date]],"mmm")</f>
        <v>Jan</v>
      </c>
      <c r="T416" s="4" t="str">
        <f>TEXT(Table1567[[#This Row],[Date]],"DDD")</f>
        <v>Fri</v>
      </c>
    </row>
    <row r="417" spans="1:20" ht="29" x14ac:dyDescent="0.35">
      <c r="A417" s="4">
        <v>416</v>
      </c>
      <c r="B417" s="5">
        <v>44974</v>
      </c>
      <c r="C417" s="4" t="s">
        <v>429</v>
      </c>
      <c r="D417" s="4" t="s">
        <v>10</v>
      </c>
      <c r="E417" s="4">
        <v>53</v>
      </c>
      <c r="F417" s="4" t="str">
        <f>IF(Table1567[[#This Row],[Age]]&lt;=19,"Teenager",IF(Table1567[[#This Row],[Age]]&lt;=40,"Median","Old"))</f>
        <v>Old</v>
      </c>
      <c r="G417" s="4" t="s">
        <v>16</v>
      </c>
      <c r="H417" s="4">
        <v>4</v>
      </c>
      <c r="I417" s="4">
        <v>500</v>
      </c>
      <c r="J417" s="4">
        <v>2000</v>
      </c>
      <c r="K417" s="4" t="str" cm="1">
        <f t="array" ref="K417">_xlfn.IFS(AND(Table1567[[#This Row],[Total Amount]]&gt;=1500),"Critical",AND(Table1567[[#This Row],[Total Amount]]&gt;=1000),"High",TRUE,"Normal")</f>
        <v>Critical</v>
      </c>
      <c r="L417" s="4" t="str">
        <f>IF(Table1567[[#This Row],[Total Amount]]&gt;=1000,"High",(IF(Table1567[[#This Row],[Total Amount]]&gt;=500,"Medium","Low")))</f>
        <v>High</v>
      </c>
      <c r="M417" s="4" t="str" cm="1">
        <f t="array" ref="M41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17" s="4" cm="1">
        <f t="array" ref="N41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417" s="4">
        <f>Table1567[[#This Row],[Total Amount]]-Table1567[[#This Row],[Discount Amount]]</f>
        <v>1800</v>
      </c>
      <c r="P417" s="4" t="str">
        <f>IF(Table1567[[#This Row],[Total Amount]]&gt;=1000,"High","Low")</f>
        <v>High</v>
      </c>
      <c r="Q417" s="4" t="b" cm="1">
        <f t="array" ref="Q417">_xlfn.IFS(AND(Table1567[[#This Row],[Total Amount]]&gt;=1500,"Critical"),AND(Table1567[[#This Row],[Total Amount]]&gt;=1000,"High"),TRUE,"Normal")</f>
        <v>1</v>
      </c>
      <c r="R417" s="4" t="str">
        <f>CONCATENATE(Table1567[[#This Row],[Customer ID]], "-",Table1567[[#This Row],[Age]])</f>
        <v>CUST416-53</v>
      </c>
      <c r="S417" s="4" t="str">
        <f>TEXT(Table1567[[#This Row],[Date]],"mmm")</f>
        <v>Feb</v>
      </c>
      <c r="T417" s="4" t="str">
        <f>TEXT(Table1567[[#This Row],[Date]],"DDD")</f>
        <v>Fri</v>
      </c>
    </row>
    <row r="418" spans="1:20" ht="29" x14ac:dyDescent="0.35">
      <c r="A418" s="4">
        <v>417</v>
      </c>
      <c r="B418" s="5">
        <v>45251</v>
      </c>
      <c r="C418" s="4" t="s">
        <v>430</v>
      </c>
      <c r="D418" s="4" t="s">
        <v>10</v>
      </c>
      <c r="E418" s="4">
        <v>43</v>
      </c>
      <c r="F418" s="4" t="str">
        <f>IF(Table1567[[#This Row],[Age]]&lt;=19,"Teenager",IF(Table1567[[#This Row],[Age]]&lt;=40,"Median","Old"))</f>
        <v>Old</v>
      </c>
      <c r="G418" s="4" t="s">
        <v>16</v>
      </c>
      <c r="H418" s="4">
        <v>3</v>
      </c>
      <c r="I418" s="4">
        <v>300</v>
      </c>
      <c r="J418" s="4">
        <v>900</v>
      </c>
      <c r="K418" s="4" t="str" cm="1">
        <f t="array" ref="K418">_xlfn.IFS(AND(Table1567[[#This Row],[Total Amount]]&gt;=1500),"Critical",AND(Table1567[[#This Row],[Total Amount]]&gt;=1000),"High",TRUE,"Normal")</f>
        <v>Normal</v>
      </c>
      <c r="L418" s="4" t="str">
        <f>IF(Table1567[[#This Row],[Total Amount]]&gt;=1000,"High",(IF(Table1567[[#This Row],[Total Amount]]&gt;=500,"Medium","Low")))</f>
        <v>Medium</v>
      </c>
      <c r="M418" s="4" t="str" cm="1">
        <f t="array" ref="M41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18" s="4" cm="1">
        <f t="array" ref="N41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418" s="4">
        <f>Table1567[[#This Row],[Total Amount]]-Table1567[[#This Row],[Discount Amount]]</f>
        <v>810</v>
      </c>
      <c r="P418" s="4" t="str">
        <f>IF(Table1567[[#This Row],[Total Amount]]&gt;=1000,"High","Low")</f>
        <v>Low</v>
      </c>
      <c r="Q418" s="4" t="str" cm="1">
        <f t="array" ref="Q418">_xlfn.IFS(AND(Table1567[[#This Row],[Total Amount]]&gt;=1500,"Critical"),AND(Table1567[[#This Row],[Total Amount]]&gt;=1000,"High"),TRUE,"Normal")</f>
        <v>Normal</v>
      </c>
      <c r="R418" s="4" t="str">
        <f>CONCATENATE(Table1567[[#This Row],[Customer ID]], "-",Table1567[[#This Row],[Age]])</f>
        <v>CUST417-43</v>
      </c>
      <c r="S418" s="4" t="str">
        <f>TEXT(Table1567[[#This Row],[Date]],"mmm")</f>
        <v>Nov</v>
      </c>
      <c r="T418" s="4" t="str">
        <f>TEXT(Table1567[[#This Row],[Date]],"DDD")</f>
        <v>Tue</v>
      </c>
    </row>
    <row r="419" spans="1:20" ht="29" x14ac:dyDescent="0.35">
      <c r="A419" s="4">
        <v>418</v>
      </c>
      <c r="B419" s="5">
        <v>45143</v>
      </c>
      <c r="C419" s="4" t="s">
        <v>431</v>
      </c>
      <c r="D419" s="4" t="s">
        <v>13</v>
      </c>
      <c r="E419" s="4">
        <v>60</v>
      </c>
      <c r="F419" s="4" t="str">
        <f>IF(Table1567[[#This Row],[Age]]&lt;=19,"Teenager",IF(Table1567[[#This Row],[Age]]&lt;=40,"Median","Old"))</f>
        <v>Old</v>
      </c>
      <c r="G419" s="4" t="s">
        <v>16</v>
      </c>
      <c r="H419" s="4">
        <v>2</v>
      </c>
      <c r="I419" s="4">
        <v>500</v>
      </c>
      <c r="J419" s="4">
        <v>1000</v>
      </c>
      <c r="K419" s="4" t="str" cm="1">
        <f t="array" ref="K419">_xlfn.IFS(AND(Table1567[[#This Row],[Total Amount]]&gt;=1500),"Critical",AND(Table1567[[#This Row],[Total Amount]]&gt;=1000),"High",TRUE,"Normal")</f>
        <v>High</v>
      </c>
      <c r="L419" s="4" t="str">
        <f>IF(Table1567[[#This Row],[Total Amount]]&gt;=1000,"High",(IF(Table1567[[#This Row],[Total Amount]]&gt;=500,"Medium","Low")))</f>
        <v>High</v>
      </c>
      <c r="M419" s="4" t="str" cm="1">
        <f t="array" ref="M41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19" s="4" cm="1">
        <f t="array" ref="N41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419" s="4">
        <f>Table1567[[#This Row],[Total Amount]]-Table1567[[#This Row],[Discount Amount]]</f>
        <v>800</v>
      </c>
      <c r="P419" s="4" t="str">
        <f>IF(Table1567[[#This Row],[Total Amount]]&gt;=1000,"High","Low")</f>
        <v>High</v>
      </c>
      <c r="Q419" s="4" t="str" cm="1">
        <f t="array" ref="Q419">_xlfn.IFS(AND(Table1567[[#This Row],[Total Amount]]&gt;=1500,"Critical"),AND(Table1567[[#This Row],[Total Amount]]&gt;=1000,"High"),TRUE,"Normal")</f>
        <v>Normal</v>
      </c>
      <c r="R419" s="4" t="str">
        <f>CONCATENATE(Table1567[[#This Row],[Customer ID]], "-",Table1567[[#This Row],[Age]])</f>
        <v>CUST418-60</v>
      </c>
      <c r="S419" s="4" t="str">
        <f>TEXT(Table1567[[#This Row],[Date]],"mmm")</f>
        <v>Aug</v>
      </c>
      <c r="T419" s="4" t="str">
        <f>TEXT(Table1567[[#This Row],[Date]],"DDD")</f>
        <v>Sat</v>
      </c>
    </row>
    <row r="420" spans="1:20" ht="29" x14ac:dyDescent="0.35">
      <c r="A420" s="4">
        <v>419</v>
      </c>
      <c r="B420" s="5">
        <v>45068</v>
      </c>
      <c r="C420" s="4" t="s">
        <v>432</v>
      </c>
      <c r="D420" s="4" t="s">
        <v>13</v>
      </c>
      <c r="E420" s="4">
        <v>44</v>
      </c>
      <c r="F420" s="4" t="str">
        <f>IF(Table1567[[#This Row],[Age]]&lt;=19,"Teenager",IF(Table1567[[#This Row],[Age]]&lt;=40,"Median","Old"))</f>
        <v>Old</v>
      </c>
      <c r="G420" s="4" t="s">
        <v>14</v>
      </c>
      <c r="H420" s="4">
        <v>3</v>
      </c>
      <c r="I420" s="4">
        <v>30</v>
      </c>
      <c r="J420" s="4">
        <v>90</v>
      </c>
      <c r="K420" s="4" t="str" cm="1">
        <f t="array" ref="K420">_xlfn.IFS(AND(Table1567[[#This Row],[Total Amount]]&gt;=1500),"Critical",AND(Table1567[[#This Row],[Total Amount]]&gt;=1000),"High",TRUE,"Normal")</f>
        <v>Normal</v>
      </c>
      <c r="L420" s="4" t="str">
        <f>IF(Table1567[[#This Row],[Total Amount]]&gt;=1000,"High",(IF(Table1567[[#This Row],[Total Amount]]&gt;=500,"Medium","Low")))</f>
        <v>Low</v>
      </c>
      <c r="M420" s="4" t="str" cm="1">
        <f t="array" ref="M42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20" s="4" cm="1">
        <f t="array" ref="N42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420" s="4">
        <f>Table1567[[#This Row],[Total Amount]]-Table1567[[#This Row],[Discount Amount]]</f>
        <v>72</v>
      </c>
      <c r="P420" s="4" t="str">
        <f>IF(Table1567[[#This Row],[Total Amount]]&gt;=1000,"High","Low")</f>
        <v>Low</v>
      </c>
      <c r="Q420" s="4" t="str" cm="1">
        <f t="array" ref="Q420">_xlfn.IFS(AND(Table1567[[#This Row],[Total Amount]]&gt;=1500,"Critical"),AND(Table1567[[#This Row],[Total Amount]]&gt;=1000,"High"),TRUE,"Normal")</f>
        <v>Normal</v>
      </c>
      <c r="R420" s="4" t="str">
        <f>CONCATENATE(Table1567[[#This Row],[Customer ID]], "-",Table1567[[#This Row],[Age]])</f>
        <v>CUST419-44</v>
      </c>
      <c r="S420" s="4" t="str">
        <f>TEXT(Table1567[[#This Row],[Date]],"mmm")</f>
        <v>May</v>
      </c>
      <c r="T420" s="4" t="str">
        <f>TEXT(Table1567[[#This Row],[Date]],"DDD")</f>
        <v>Mon</v>
      </c>
    </row>
    <row r="421" spans="1:20" ht="29" x14ac:dyDescent="0.35">
      <c r="A421" s="4">
        <v>420</v>
      </c>
      <c r="B421" s="5">
        <v>44949</v>
      </c>
      <c r="C421" s="4" t="s">
        <v>433</v>
      </c>
      <c r="D421" s="4" t="s">
        <v>13</v>
      </c>
      <c r="E421" s="4">
        <v>22</v>
      </c>
      <c r="F421" s="4" t="str">
        <f>IF(Table1567[[#This Row],[Age]]&lt;=19,"Teenager",IF(Table1567[[#This Row],[Age]]&lt;=40,"Median","Old"))</f>
        <v>Median</v>
      </c>
      <c r="G421" s="4" t="s">
        <v>14</v>
      </c>
      <c r="H421" s="4">
        <v>4</v>
      </c>
      <c r="I421" s="4">
        <v>500</v>
      </c>
      <c r="J421" s="4">
        <v>2000</v>
      </c>
      <c r="K421" s="4" t="str" cm="1">
        <f t="array" ref="K421">_xlfn.IFS(AND(Table1567[[#This Row],[Total Amount]]&gt;=1500),"Critical",AND(Table1567[[#This Row],[Total Amount]]&gt;=1000),"High",TRUE,"Normal")</f>
        <v>Critical</v>
      </c>
      <c r="L421" s="4" t="str">
        <f>IF(Table1567[[#This Row],[Total Amount]]&gt;=1000,"High",(IF(Table1567[[#This Row],[Total Amount]]&gt;=500,"Medium","Low")))</f>
        <v>High</v>
      </c>
      <c r="M421" s="4" t="str" cm="1">
        <f t="array" ref="M42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421" s="4" cm="1">
        <f t="array" ref="N42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421" s="4">
        <f>Table1567[[#This Row],[Total Amount]]-Table1567[[#This Row],[Discount Amount]]</f>
        <v>2000</v>
      </c>
      <c r="P421" s="4" t="str">
        <f>IF(Table1567[[#This Row],[Total Amount]]&gt;=1000,"High","Low")</f>
        <v>High</v>
      </c>
      <c r="Q421" s="4" t="b" cm="1">
        <f t="array" ref="Q421">_xlfn.IFS(AND(Table1567[[#This Row],[Total Amount]]&gt;=1500,"Critical"),AND(Table1567[[#This Row],[Total Amount]]&gt;=1000,"High"),TRUE,"Normal")</f>
        <v>1</v>
      </c>
      <c r="R421" s="4" t="str">
        <f>CONCATENATE(Table1567[[#This Row],[Customer ID]], "-",Table1567[[#This Row],[Age]])</f>
        <v>CUST420-22</v>
      </c>
      <c r="S421" s="4" t="str">
        <f>TEXT(Table1567[[#This Row],[Date]],"mmm")</f>
        <v>Jan</v>
      </c>
      <c r="T421" s="4" t="str">
        <f>TEXT(Table1567[[#This Row],[Date]],"DDD")</f>
        <v>Mon</v>
      </c>
    </row>
    <row r="422" spans="1:20" ht="29" x14ac:dyDescent="0.35">
      <c r="A422" s="4">
        <v>421</v>
      </c>
      <c r="B422" s="5">
        <v>44928</v>
      </c>
      <c r="C422" s="4" t="s">
        <v>434</v>
      </c>
      <c r="D422" s="4" t="s">
        <v>13</v>
      </c>
      <c r="E422" s="4">
        <v>37</v>
      </c>
      <c r="F422" s="4" t="str">
        <f>IF(Table1567[[#This Row],[Age]]&lt;=19,"Teenager",IF(Table1567[[#This Row],[Age]]&lt;=40,"Median","Old"))</f>
        <v>Median</v>
      </c>
      <c r="G422" s="4" t="s">
        <v>14</v>
      </c>
      <c r="H422" s="4">
        <v>3</v>
      </c>
      <c r="I422" s="4">
        <v>500</v>
      </c>
      <c r="J422" s="4">
        <v>1500</v>
      </c>
      <c r="K422" s="4" t="str" cm="1">
        <f t="array" ref="K422">_xlfn.IFS(AND(Table1567[[#This Row],[Total Amount]]&gt;=1500),"Critical",AND(Table1567[[#This Row],[Total Amount]]&gt;=1000),"High",TRUE,"Normal")</f>
        <v>Critical</v>
      </c>
      <c r="L422" s="4" t="str">
        <f>IF(Table1567[[#This Row],[Total Amount]]&gt;=1000,"High",(IF(Table1567[[#This Row],[Total Amount]]&gt;=500,"Medium","Low")))</f>
        <v>High</v>
      </c>
      <c r="M422" s="4" t="str" cm="1">
        <f t="array" ref="M42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22" s="4" cm="1">
        <f t="array" ref="N42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422" s="4">
        <f>Table1567[[#This Row],[Total Amount]]-Table1567[[#This Row],[Discount Amount]]</f>
        <v>1200</v>
      </c>
      <c r="P422" s="4" t="str">
        <f>IF(Table1567[[#This Row],[Total Amount]]&gt;=1000,"High","Low")</f>
        <v>High</v>
      </c>
      <c r="Q422" s="4" t="b" cm="1">
        <f t="array" ref="Q422">_xlfn.IFS(AND(Table1567[[#This Row],[Total Amount]]&gt;=1500,"Critical"),AND(Table1567[[#This Row],[Total Amount]]&gt;=1000,"High"),TRUE,"Normal")</f>
        <v>1</v>
      </c>
      <c r="R422" s="4" t="str">
        <f>CONCATENATE(Table1567[[#This Row],[Customer ID]], "-",Table1567[[#This Row],[Age]])</f>
        <v>CUST421-37</v>
      </c>
      <c r="S422" s="4" t="str">
        <f>TEXT(Table1567[[#This Row],[Date]],"mmm")</f>
        <v>Jan</v>
      </c>
      <c r="T422" s="4" t="str">
        <f>TEXT(Table1567[[#This Row],[Date]],"DDD")</f>
        <v>Mon</v>
      </c>
    </row>
    <row r="423" spans="1:20" ht="29" x14ac:dyDescent="0.35">
      <c r="A423" s="4">
        <v>422</v>
      </c>
      <c r="B423" s="5">
        <v>45097</v>
      </c>
      <c r="C423" s="4" t="s">
        <v>435</v>
      </c>
      <c r="D423" s="4" t="s">
        <v>13</v>
      </c>
      <c r="E423" s="4">
        <v>28</v>
      </c>
      <c r="F423" s="4" t="str">
        <f>IF(Table1567[[#This Row],[Age]]&lt;=19,"Teenager",IF(Table1567[[#This Row],[Age]]&lt;=40,"Median","Old"))</f>
        <v>Median</v>
      </c>
      <c r="G423" s="4" t="s">
        <v>14</v>
      </c>
      <c r="H423" s="4">
        <v>3</v>
      </c>
      <c r="I423" s="4">
        <v>30</v>
      </c>
      <c r="J423" s="4">
        <v>90</v>
      </c>
      <c r="K423" s="4" t="str" cm="1">
        <f t="array" ref="K423">_xlfn.IFS(AND(Table1567[[#This Row],[Total Amount]]&gt;=1500),"Critical",AND(Table1567[[#This Row],[Total Amount]]&gt;=1000),"High",TRUE,"Normal")</f>
        <v>Normal</v>
      </c>
      <c r="L423" s="4" t="str">
        <f>IF(Table1567[[#This Row],[Total Amount]]&gt;=1000,"High",(IF(Table1567[[#This Row],[Total Amount]]&gt;=500,"Medium","Low")))</f>
        <v>Low</v>
      </c>
      <c r="M423" s="4" t="str" cm="1">
        <f t="array" ref="M42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23" s="4" cm="1">
        <f t="array" ref="N42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13.5</v>
      </c>
      <c r="O423" s="4">
        <f>Table1567[[#This Row],[Total Amount]]-Table1567[[#This Row],[Discount Amount]]</f>
        <v>76.5</v>
      </c>
      <c r="P423" s="4" t="str">
        <f>IF(Table1567[[#This Row],[Total Amount]]&gt;=1000,"High","Low")</f>
        <v>Low</v>
      </c>
      <c r="Q423" s="4" t="str" cm="1">
        <f t="array" ref="Q423">_xlfn.IFS(AND(Table1567[[#This Row],[Total Amount]]&gt;=1500,"Critical"),AND(Table1567[[#This Row],[Total Amount]]&gt;=1000,"High"),TRUE,"Normal")</f>
        <v>Normal</v>
      </c>
      <c r="R423" s="4" t="str">
        <f>CONCATENATE(Table1567[[#This Row],[Customer ID]], "-",Table1567[[#This Row],[Age]])</f>
        <v>CUST422-28</v>
      </c>
      <c r="S423" s="4" t="str">
        <f>TEXT(Table1567[[#This Row],[Date]],"mmm")</f>
        <v>Jun</v>
      </c>
      <c r="T423" s="4" t="str">
        <f>TEXT(Table1567[[#This Row],[Date]],"DDD")</f>
        <v>Tue</v>
      </c>
    </row>
    <row r="424" spans="1:20" ht="29" x14ac:dyDescent="0.35">
      <c r="A424" s="4">
        <v>423</v>
      </c>
      <c r="B424" s="5">
        <v>44993</v>
      </c>
      <c r="C424" s="4" t="s">
        <v>436</v>
      </c>
      <c r="D424" s="4" t="s">
        <v>13</v>
      </c>
      <c r="E424" s="4">
        <v>27</v>
      </c>
      <c r="F424" s="4" t="str">
        <f>IF(Table1567[[#This Row],[Age]]&lt;=19,"Teenager",IF(Table1567[[#This Row],[Age]]&lt;=40,"Median","Old"))</f>
        <v>Median</v>
      </c>
      <c r="G424" s="4" t="s">
        <v>14</v>
      </c>
      <c r="H424" s="4">
        <v>1</v>
      </c>
      <c r="I424" s="4">
        <v>25</v>
      </c>
      <c r="J424" s="4">
        <v>25</v>
      </c>
      <c r="K424" s="4" t="str" cm="1">
        <f t="array" ref="K424">_xlfn.IFS(AND(Table1567[[#This Row],[Total Amount]]&gt;=1500),"Critical",AND(Table1567[[#This Row],[Total Amount]]&gt;=1000),"High",TRUE,"Normal")</f>
        <v>Normal</v>
      </c>
      <c r="L424" s="4" t="str">
        <f>IF(Table1567[[#This Row],[Total Amount]]&gt;=1000,"High",(IF(Table1567[[#This Row],[Total Amount]]&gt;=500,"Medium","Low")))</f>
        <v>Low</v>
      </c>
      <c r="M424" s="4" t="str" cm="1">
        <f t="array" ref="M42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24" s="4" cm="1">
        <f t="array" ref="N42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3.75</v>
      </c>
      <c r="O424" s="4">
        <f>Table1567[[#This Row],[Total Amount]]-Table1567[[#This Row],[Discount Amount]]</f>
        <v>21.25</v>
      </c>
      <c r="P424" s="4" t="str">
        <f>IF(Table1567[[#This Row],[Total Amount]]&gt;=1000,"High","Low")</f>
        <v>Low</v>
      </c>
      <c r="Q424" s="4" t="str" cm="1">
        <f t="array" ref="Q424">_xlfn.IFS(AND(Table1567[[#This Row],[Total Amount]]&gt;=1500,"Critical"),AND(Table1567[[#This Row],[Total Amount]]&gt;=1000,"High"),TRUE,"Normal")</f>
        <v>Normal</v>
      </c>
      <c r="R424" s="4" t="str">
        <f>CONCATENATE(Table1567[[#This Row],[Customer ID]], "-",Table1567[[#This Row],[Age]])</f>
        <v>CUST423-27</v>
      </c>
      <c r="S424" s="4" t="str">
        <f>TEXT(Table1567[[#This Row],[Date]],"mmm")</f>
        <v>Mar</v>
      </c>
      <c r="T424" s="4" t="str">
        <f>TEXT(Table1567[[#This Row],[Date]],"DDD")</f>
        <v>Wed</v>
      </c>
    </row>
    <row r="425" spans="1:20" ht="29" x14ac:dyDescent="0.35">
      <c r="A425" s="4">
        <v>424</v>
      </c>
      <c r="B425" s="5">
        <v>45253</v>
      </c>
      <c r="C425" s="4" t="s">
        <v>437</v>
      </c>
      <c r="D425" s="4" t="s">
        <v>10</v>
      </c>
      <c r="E425" s="4">
        <v>57</v>
      </c>
      <c r="F425" s="4" t="str">
        <f>IF(Table1567[[#This Row],[Age]]&lt;=19,"Teenager",IF(Table1567[[#This Row],[Age]]&lt;=40,"Median","Old"))</f>
        <v>Old</v>
      </c>
      <c r="G425" s="4" t="s">
        <v>11</v>
      </c>
      <c r="H425" s="4">
        <v>4</v>
      </c>
      <c r="I425" s="4">
        <v>300</v>
      </c>
      <c r="J425" s="4">
        <v>1200</v>
      </c>
      <c r="K425" s="4" t="str" cm="1">
        <f t="array" ref="K425">_xlfn.IFS(AND(Table1567[[#This Row],[Total Amount]]&gt;=1500),"Critical",AND(Table1567[[#This Row],[Total Amount]]&gt;=1000),"High",TRUE,"Normal")</f>
        <v>High</v>
      </c>
      <c r="L425" s="4" t="str">
        <f>IF(Table1567[[#This Row],[Total Amount]]&gt;=1000,"High",(IF(Table1567[[#This Row],[Total Amount]]&gt;=500,"Medium","Low")))</f>
        <v>High</v>
      </c>
      <c r="M425" s="4" t="str" cm="1">
        <f t="array" ref="M42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25" s="4" cm="1">
        <f t="array" ref="N42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425" s="4">
        <f>Table1567[[#This Row],[Total Amount]]-Table1567[[#This Row],[Discount Amount]]</f>
        <v>1080</v>
      </c>
      <c r="P425" s="4" t="str">
        <f>IF(Table1567[[#This Row],[Total Amount]]&gt;=1000,"High","Low")</f>
        <v>High</v>
      </c>
      <c r="Q425" s="4" t="str" cm="1">
        <f t="array" ref="Q425">_xlfn.IFS(AND(Table1567[[#This Row],[Total Amount]]&gt;=1500,"Critical"),AND(Table1567[[#This Row],[Total Amount]]&gt;=1000,"High"),TRUE,"Normal")</f>
        <v>Normal</v>
      </c>
      <c r="R425" s="4" t="str">
        <f>CONCATENATE(Table1567[[#This Row],[Customer ID]], "-",Table1567[[#This Row],[Age]])</f>
        <v>CUST424-57</v>
      </c>
      <c r="S425" s="4" t="str">
        <f>TEXT(Table1567[[#This Row],[Date]],"mmm")</f>
        <v>Nov</v>
      </c>
      <c r="T425" s="4" t="str">
        <f>TEXT(Table1567[[#This Row],[Date]],"DDD")</f>
        <v>Thu</v>
      </c>
    </row>
    <row r="426" spans="1:20" ht="29" x14ac:dyDescent="0.35">
      <c r="A426" s="4">
        <v>425</v>
      </c>
      <c r="B426" s="5">
        <v>45061</v>
      </c>
      <c r="C426" s="4" t="s">
        <v>438</v>
      </c>
      <c r="D426" s="4" t="s">
        <v>13</v>
      </c>
      <c r="E426" s="4">
        <v>55</v>
      </c>
      <c r="F426" s="4" t="str">
        <f>IF(Table1567[[#This Row],[Age]]&lt;=19,"Teenager",IF(Table1567[[#This Row],[Age]]&lt;=40,"Median","Old"))</f>
        <v>Old</v>
      </c>
      <c r="G426" s="4" t="s">
        <v>16</v>
      </c>
      <c r="H426" s="4">
        <v>4</v>
      </c>
      <c r="I426" s="4">
        <v>30</v>
      </c>
      <c r="J426" s="4">
        <v>120</v>
      </c>
      <c r="K426" s="4" t="str" cm="1">
        <f t="array" ref="K426">_xlfn.IFS(AND(Table1567[[#This Row],[Total Amount]]&gt;=1500),"Critical",AND(Table1567[[#This Row],[Total Amount]]&gt;=1000),"High",TRUE,"Normal")</f>
        <v>Normal</v>
      </c>
      <c r="L426" s="4" t="str">
        <f>IF(Table1567[[#This Row],[Total Amount]]&gt;=1000,"High",(IF(Table1567[[#This Row],[Total Amount]]&gt;=500,"Medium","Low")))</f>
        <v>Low</v>
      </c>
      <c r="M426" s="4" t="str" cm="1">
        <f t="array" ref="M42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26" s="4" cm="1">
        <f t="array" ref="N42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</v>
      </c>
      <c r="O426" s="4">
        <f>Table1567[[#This Row],[Total Amount]]-Table1567[[#This Row],[Discount Amount]]</f>
        <v>96</v>
      </c>
      <c r="P426" s="4" t="str">
        <f>IF(Table1567[[#This Row],[Total Amount]]&gt;=1000,"High","Low")</f>
        <v>Low</v>
      </c>
      <c r="Q426" s="4" t="str" cm="1">
        <f t="array" ref="Q426">_xlfn.IFS(AND(Table1567[[#This Row],[Total Amount]]&gt;=1500,"Critical"),AND(Table1567[[#This Row],[Total Amount]]&gt;=1000,"High"),TRUE,"Normal")</f>
        <v>Normal</v>
      </c>
      <c r="R426" s="4" t="str">
        <f>CONCATENATE(Table1567[[#This Row],[Customer ID]], "-",Table1567[[#This Row],[Age]])</f>
        <v>CUST425-55</v>
      </c>
      <c r="S426" s="4" t="str">
        <f>TEXT(Table1567[[#This Row],[Date]],"mmm")</f>
        <v>May</v>
      </c>
      <c r="T426" s="4" t="str">
        <f>TEXT(Table1567[[#This Row],[Date]],"DDD")</f>
        <v>Mon</v>
      </c>
    </row>
    <row r="427" spans="1:20" ht="29" x14ac:dyDescent="0.35">
      <c r="A427" s="4">
        <v>426</v>
      </c>
      <c r="B427" s="5">
        <v>45009</v>
      </c>
      <c r="C427" s="4" t="s">
        <v>439</v>
      </c>
      <c r="D427" s="4" t="s">
        <v>10</v>
      </c>
      <c r="E427" s="4">
        <v>23</v>
      </c>
      <c r="F427" s="4" t="str">
        <f>IF(Table1567[[#This Row],[Age]]&lt;=19,"Teenager",IF(Table1567[[#This Row],[Age]]&lt;=40,"Median","Old"))</f>
        <v>Median</v>
      </c>
      <c r="G427" s="4" t="s">
        <v>16</v>
      </c>
      <c r="H427" s="4">
        <v>3</v>
      </c>
      <c r="I427" s="4">
        <v>50</v>
      </c>
      <c r="J427" s="4">
        <v>150</v>
      </c>
      <c r="K427" s="4" t="str" cm="1">
        <f t="array" ref="K427">_xlfn.IFS(AND(Table1567[[#This Row],[Total Amount]]&gt;=1500),"Critical",AND(Table1567[[#This Row],[Total Amount]]&gt;=1000),"High",TRUE,"Normal")</f>
        <v>Normal</v>
      </c>
      <c r="L427" s="4" t="str">
        <f>IF(Table1567[[#This Row],[Total Amount]]&gt;=1000,"High",(IF(Table1567[[#This Row],[Total Amount]]&gt;=500,"Medium","Low")))</f>
        <v>Low</v>
      </c>
      <c r="M427" s="4" t="str" cm="1">
        <f t="array" ref="M42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427" s="4" cm="1">
        <f t="array" ref="N42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427" s="4">
        <f>Table1567[[#This Row],[Total Amount]]-Table1567[[#This Row],[Discount Amount]]</f>
        <v>150</v>
      </c>
      <c r="P427" s="4" t="str">
        <f>IF(Table1567[[#This Row],[Total Amount]]&gt;=1000,"High","Low")</f>
        <v>Low</v>
      </c>
      <c r="Q427" s="4" t="str" cm="1">
        <f t="array" ref="Q427">_xlfn.IFS(AND(Table1567[[#This Row],[Total Amount]]&gt;=1500,"Critical"),AND(Table1567[[#This Row],[Total Amount]]&gt;=1000,"High"),TRUE,"Normal")</f>
        <v>Normal</v>
      </c>
      <c r="R427" s="4" t="str">
        <f>CONCATENATE(Table1567[[#This Row],[Customer ID]], "-",Table1567[[#This Row],[Age]])</f>
        <v>CUST426-23</v>
      </c>
      <c r="S427" s="4" t="str">
        <f>TEXT(Table1567[[#This Row],[Date]],"mmm")</f>
        <v>Mar</v>
      </c>
      <c r="T427" s="4" t="str">
        <f>TEXT(Table1567[[#This Row],[Date]],"DDD")</f>
        <v>Fri</v>
      </c>
    </row>
    <row r="428" spans="1:20" ht="29" x14ac:dyDescent="0.35">
      <c r="A428" s="4">
        <v>427</v>
      </c>
      <c r="B428" s="5">
        <v>45153</v>
      </c>
      <c r="C428" s="4" t="s">
        <v>440</v>
      </c>
      <c r="D428" s="4" t="s">
        <v>10</v>
      </c>
      <c r="E428" s="4">
        <v>25</v>
      </c>
      <c r="F428" s="4" t="str">
        <f>IF(Table1567[[#This Row],[Age]]&lt;=19,"Teenager",IF(Table1567[[#This Row],[Age]]&lt;=40,"Median","Old"))</f>
        <v>Median</v>
      </c>
      <c r="G428" s="4" t="s">
        <v>16</v>
      </c>
      <c r="H428" s="4">
        <v>1</v>
      </c>
      <c r="I428" s="4">
        <v>25</v>
      </c>
      <c r="J428" s="4">
        <v>25</v>
      </c>
      <c r="K428" s="4" t="str" cm="1">
        <f t="array" ref="K428">_xlfn.IFS(AND(Table1567[[#This Row],[Total Amount]]&gt;=1500),"Critical",AND(Table1567[[#This Row],[Total Amount]]&gt;=1000),"High",TRUE,"Normal")</f>
        <v>Normal</v>
      </c>
      <c r="L428" s="4" t="str">
        <f>IF(Table1567[[#This Row],[Total Amount]]&gt;=1000,"High",(IF(Table1567[[#This Row],[Total Amount]]&gt;=500,"Medium","Low")))</f>
        <v>Low</v>
      </c>
      <c r="M428" s="4" t="str" cm="1">
        <f t="array" ref="M42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28" s="4" cm="1">
        <f t="array" ref="N42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3.75</v>
      </c>
      <c r="O428" s="4">
        <f>Table1567[[#This Row],[Total Amount]]-Table1567[[#This Row],[Discount Amount]]</f>
        <v>21.25</v>
      </c>
      <c r="P428" s="4" t="str">
        <f>IF(Table1567[[#This Row],[Total Amount]]&gt;=1000,"High","Low")</f>
        <v>Low</v>
      </c>
      <c r="Q428" s="4" t="str" cm="1">
        <f t="array" ref="Q428">_xlfn.IFS(AND(Table1567[[#This Row],[Total Amount]]&gt;=1500,"Critical"),AND(Table1567[[#This Row],[Total Amount]]&gt;=1000,"High"),TRUE,"Normal")</f>
        <v>Normal</v>
      </c>
      <c r="R428" s="4" t="str">
        <f>CONCATENATE(Table1567[[#This Row],[Customer ID]], "-",Table1567[[#This Row],[Age]])</f>
        <v>CUST427-25</v>
      </c>
      <c r="S428" s="4" t="str">
        <f>TEXT(Table1567[[#This Row],[Date]],"mmm")</f>
        <v>Aug</v>
      </c>
      <c r="T428" s="4" t="str">
        <f>TEXT(Table1567[[#This Row],[Date]],"DDD")</f>
        <v>Tue</v>
      </c>
    </row>
    <row r="429" spans="1:20" ht="29" x14ac:dyDescent="0.35">
      <c r="A429" s="4">
        <v>428</v>
      </c>
      <c r="B429" s="5">
        <v>45209</v>
      </c>
      <c r="C429" s="4" t="s">
        <v>441</v>
      </c>
      <c r="D429" s="4" t="s">
        <v>13</v>
      </c>
      <c r="E429" s="4">
        <v>40</v>
      </c>
      <c r="F429" s="4" t="str">
        <f>IF(Table1567[[#This Row],[Age]]&lt;=19,"Teenager",IF(Table1567[[#This Row],[Age]]&lt;=40,"Median","Old"))</f>
        <v>Median</v>
      </c>
      <c r="G429" s="4" t="s">
        <v>16</v>
      </c>
      <c r="H429" s="4">
        <v>4</v>
      </c>
      <c r="I429" s="4">
        <v>50</v>
      </c>
      <c r="J429" s="4">
        <v>200</v>
      </c>
      <c r="K429" s="4" t="str" cm="1">
        <f t="array" ref="K429">_xlfn.IFS(AND(Table1567[[#This Row],[Total Amount]]&gt;=1500),"Critical",AND(Table1567[[#This Row],[Total Amount]]&gt;=1000),"High",TRUE,"Normal")</f>
        <v>Normal</v>
      </c>
      <c r="L429" s="4" t="str">
        <f>IF(Table1567[[#This Row],[Total Amount]]&gt;=1000,"High",(IF(Table1567[[#This Row],[Total Amount]]&gt;=500,"Medium","Low")))</f>
        <v>Low</v>
      </c>
      <c r="M429" s="4" t="str" cm="1">
        <f t="array" ref="M42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29" s="4" cm="1">
        <f t="array" ref="N42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</v>
      </c>
      <c r="O429" s="4">
        <f>Table1567[[#This Row],[Total Amount]]-Table1567[[#This Row],[Discount Amount]]</f>
        <v>160</v>
      </c>
      <c r="P429" s="4" t="str">
        <f>IF(Table1567[[#This Row],[Total Amount]]&gt;=1000,"High","Low")</f>
        <v>Low</v>
      </c>
      <c r="Q429" s="4" t="str" cm="1">
        <f t="array" ref="Q429">_xlfn.IFS(AND(Table1567[[#This Row],[Total Amount]]&gt;=1500,"Critical"),AND(Table1567[[#This Row],[Total Amount]]&gt;=1000,"High"),TRUE,"Normal")</f>
        <v>Normal</v>
      </c>
      <c r="R429" s="4" t="str">
        <f>CONCATENATE(Table1567[[#This Row],[Customer ID]], "-",Table1567[[#This Row],[Age]])</f>
        <v>CUST428-40</v>
      </c>
      <c r="S429" s="4" t="str">
        <f>TEXT(Table1567[[#This Row],[Date]],"mmm")</f>
        <v>Oct</v>
      </c>
      <c r="T429" s="4" t="str">
        <f>TEXT(Table1567[[#This Row],[Date]],"DDD")</f>
        <v>Tue</v>
      </c>
    </row>
    <row r="430" spans="1:20" ht="29" x14ac:dyDescent="0.35">
      <c r="A430" s="4">
        <v>429</v>
      </c>
      <c r="B430" s="5">
        <v>45288</v>
      </c>
      <c r="C430" s="4" t="s">
        <v>442</v>
      </c>
      <c r="D430" s="4" t="s">
        <v>10</v>
      </c>
      <c r="E430" s="4">
        <v>64</v>
      </c>
      <c r="F430" s="4" t="str">
        <f>IF(Table1567[[#This Row],[Age]]&lt;=19,"Teenager",IF(Table1567[[#This Row],[Age]]&lt;=40,"Median","Old"))</f>
        <v>Old</v>
      </c>
      <c r="G430" s="4" t="s">
        <v>16</v>
      </c>
      <c r="H430" s="4">
        <v>2</v>
      </c>
      <c r="I430" s="4">
        <v>25</v>
      </c>
      <c r="J430" s="4">
        <v>50</v>
      </c>
      <c r="K430" s="4" t="str" cm="1">
        <f t="array" ref="K430">_xlfn.IFS(AND(Table1567[[#This Row],[Total Amount]]&gt;=1500),"Critical",AND(Table1567[[#This Row],[Total Amount]]&gt;=1000),"High",TRUE,"Normal")</f>
        <v>Normal</v>
      </c>
      <c r="L430" s="4" t="str">
        <f>IF(Table1567[[#This Row],[Total Amount]]&gt;=1000,"High",(IF(Table1567[[#This Row],[Total Amount]]&gt;=500,"Medium","Low")))</f>
        <v>Low</v>
      </c>
      <c r="M430" s="4" t="str" cm="1">
        <f t="array" ref="M43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30" s="4" cm="1">
        <f t="array" ref="N43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430" s="4">
        <f>Table1567[[#This Row],[Total Amount]]-Table1567[[#This Row],[Discount Amount]]</f>
        <v>45</v>
      </c>
      <c r="P430" s="4" t="str">
        <f>IF(Table1567[[#This Row],[Total Amount]]&gt;=1000,"High","Low")</f>
        <v>Low</v>
      </c>
      <c r="Q430" s="4" t="str" cm="1">
        <f t="array" ref="Q430">_xlfn.IFS(AND(Table1567[[#This Row],[Total Amount]]&gt;=1500,"Critical"),AND(Table1567[[#This Row],[Total Amount]]&gt;=1000,"High"),TRUE,"Normal")</f>
        <v>Normal</v>
      </c>
      <c r="R430" s="4" t="str">
        <f>CONCATENATE(Table1567[[#This Row],[Customer ID]], "-",Table1567[[#This Row],[Age]])</f>
        <v>CUST429-64</v>
      </c>
      <c r="S430" s="4" t="str">
        <f>TEXT(Table1567[[#This Row],[Date]],"mmm")</f>
        <v>Dec</v>
      </c>
      <c r="T430" s="4" t="str">
        <f>TEXT(Table1567[[#This Row],[Date]],"DDD")</f>
        <v>Thu</v>
      </c>
    </row>
    <row r="431" spans="1:20" ht="29" x14ac:dyDescent="0.35">
      <c r="A431" s="4">
        <v>430</v>
      </c>
      <c r="B431" s="5">
        <v>45145</v>
      </c>
      <c r="C431" s="4" t="s">
        <v>443</v>
      </c>
      <c r="D431" s="4" t="s">
        <v>13</v>
      </c>
      <c r="E431" s="4">
        <v>43</v>
      </c>
      <c r="F431" s="4" t="str">
        <f>IF(Table1567[[#This Row],[Age]]&lt;=19,"Teenager",IF(Table1567[[#This Row],[Age]]&lt;=40,"Median","Old"))</f>
        <v>Old</v>
      </c>
      <c r="G431" s="4" t="s">
        <v>16</v>
      </c>
      <c r="H431" s="4">
        <v>3</v>
      </c>
      <c r="I431" s="4">
        <v>300</v>
      </c>
      <c r="J431" s="4">
        <v>900</v>
      </c>
      <c r="K431" s="4" t="str" cm="1">
        <f t="array" ref="K431">_xlfn.IFS(AND(Table1567[[#This Row],[Total Amount]]&gt;=1500),"Critical",AND(Table1567[[#This Row],[Total Amount]]&gt;=1000),"High",TRUE,"Normal")</f>
        <v>Normal</v>
      </c>
      <c r="L431" s="4" t="str">
        <f>IF(Table1567[[#This Row],[Total Amount]]&gt;=1000,"High",(IF(Table1567[[#This Row],[Total Amount]]&gt;=500,"Medium","Low")))</f>
        <v>Medium</v>
      </c>
      <c r="M431" s="4" t="str" cm="1">
        <f t="array" ref="M43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31" s="4" cm="1">
        <f t="array" ref="N43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431" s="4">
        <f>Table1567[[#This Row],[Total Amount]]-Table1567[[#This Row],[Discount Amount]]</f>
        <v>720</v>
      </c>
      <c r="P431" s="4" t="str">
        <f>IF(Table1567[[#This Row],[Total Amount]]&gt;=1000,"High","Low")</f>
        <v>Low</v>
      </c>
      <c r="Q431" s="4" t="str" cm="1">
        <f t="array" ref="Q431">_xlfn.IFS(AND(Table1567[[#This Row],[Total Amount]]&gt;=1500,"Critical"),AND(Table1567[[#This Row],[Total Amount]]&gt;=1000,"High"),TRUE,"Normal")</f>
        <v>Normal</v>
      </c>
      <c r="R431" s="4" t="str">
        <f>CONCATENATE(Table1567[[#This Row],[Customer ID]], "-",Table1567[[#This Row],[Age]])</f>
        <v>CUST430-43</v>
      </c>
      <c r="S431" s="4" t="str">
        <f>TEXT(Table1567[[#This Row],[Date]],"mmm")</f>
        <v>Aug</v>
      </c>
      <c r="T431" s="4" t="str">
        <f>TEXT(Table1567[[#This Row],[Date]],"DDD")</f>
        <v>Mon</v>
      </c>
    </row>
    <row r="432" spans="1:20" ht="29" x14ac:dyDescent="0.35">
      <c r="A432" s="4">
        <v>431</v>
      </c>
      <c r="B432" s="5">
        <v>45214</v>
      </c>
      <c r="C432" s="4" t="s">
        <v>444</v>
      </c>
      <c r="D432" s="4" t="s">
        <v>10</v>
      </c>
      <c r="E432" s="4">
        <v>63</v>
      </c>
      <c r="F432" s="4" t="str">
        <f>IF(Table1567[[#This Row],[Age]]&lt;=19,"Teenager",IF(Table1567[[#This Row],[Age]]&lt;=40,"Median","Old"))</f>
        <v>Old</v>
      </c>
      <c r="G432" s="4" t="s">
        <v>16</v>
      </c>
      <c r="H432" s="4">
        <v>4</v>
      </c>
      <c r="I432" s="4">
        <v>300</v>
      </c>
      <c r="J432" s="4">
        <v>1200</v>
      </c>
      <c r="K432" s="4" t="str" cm="1">
        <f t="array" ref="K432">_xlfn.IFS(AND(Table1567[[#This Row],[Total Amount]]&gt;=1500),"Critical",AND(Table1567[[#This Row],[Total Amount]]&gt;=1000),"High",TRUE,"Normal")</f>
        <v>High</v>
      </c>
      <c r="L432" s="4" t="str">
        <f>IF(Table1567[[#This Row],[Total Amount]]&gt;=1000,"High",(IF(Table1567[[#This Row],[Total Amount]]&gt;=500,"Medium","Low")))</f>
        <v>High</v>
      </c>
      <c r="M432" s="4" t="str" cm="1">
        <f t="array" ref="M43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32" s="4" cm="1">
        <f t="array" ref="N43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432" s="4">
        <f>Table1567[[#This Row],[Total Amount]]-Table1567[[#This Row],[Discount Amount]]</f>
        <v>1080</v>
      </c>
      <c r="P432" s="4" t="str">
        <f>IF(Table1567[[#This Row],[Total Amount]]&gt;=1000,"High","Low")</f>
        <v>High</v>
      </c>
      <c r="Q432" s="4" t="str" cm="1">
        <f t="array" ref="Q432">_xlfn.IFS(AND(Table1567[[#This Row],[Total Amount]]&gt;=1500,"Critical"),AND(Table1567[[#This Row],[Total Amount]]&gt;=1000,"High"),TRUE,"Normal")</f>
        <v>Normal</v>
      </c>
      <c r="R432" s="4" t="str">
        <f>CONCATENATE(Table1567[[#This Row],[Customer ID]], "-",Table1567[[#This Row],[Age]])</f>
        <v>CUST431-63</v>
      </c>
      <c r="S432" s="4" t="str">
        <f>TEXT(Table1567[[#This Row],[Date]],"mmm")</f>
        <v>Oct</v>
      </c>
      <c r="T432" s="4" t="str">
        <f>TEXT(Table1567[[#This Row],[Date]],"DDD")</f>
        <v>Sun</v>
      </c>
    </row>
    <row r="433" spans="1:20" ht="29" x14ac:dyDescent="0.35">
      <c r="A433" s="4">
        <v>432</v>
      </c>
      <c r="B433" s="5">
        <v>44931</v>
      </c>
      <c r="C433" s="4" t="s">
        <v>445</v>
      </c>
      <c r="D433" s="4" t="s">
        <v>13</v>
      </c>
      <c r="E433" s="4">
        <v>60</v>
      </c>
      <c r="F433" s="4" t="str">
        <f>IF(Table1567[[#This Row],[Age]]&lt;=19,"Teenager",IF(Table1567[[#This Row],[Age]]&lt;=40,"Median","Old"))</f>
        <v>Old</v>
      </c>
      <c r="G433" s="4" t="s">
        <v>16</v>
      </c>
      <c r="H433" s="4">
        <v>2</v>
      </c>
      <c r="I433" s="4">
        <v>500</v>
      </c>
      <c r="J433" s="4">
        <v>1000</v>
      </c>
      <c r="K433" s="4" t="str" cm="1">
        <f t="array" ref="K433">_xlfn.IFS(AND(Table1567[[#This Row],[Total Amount]]&gt;=1500),"Critical",AND(Table1567[[#This Row],[Total Amount]]&gt;=1000),"High",TRUE,"Normal")</f>
        <v>High</v>
      </c>
      <c r="L433" s="4" t="str">
        <f>IF(Table1567[[#This Row],[Total Amount]]&gt;=1000,"High",(IF(Table1567[[#This Row],[Total Amount]]&gt;=500,"Medium","Low")))</f>
        <v>High</v>
      </c>
      <c r="M433" s="4" t="str" cm="1">
        <f t="array" ref="M43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33" s="4" cm="1">
        <f t="array" ref="N43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433" s="4">
        <f>Table1567[[#This Row],[Total Amount]]-Table1567[[#This Row],[Discount Amount]]</f>
        <v>800</v>
      </c>
      <c r="P433" s="4" t="str">
        <f>IF(Table1567[[#This Row],[Total Amount]]&gt;=1000,"High","Low")</f>
        <v>High</v>
      </c>
      <c r="Q433" s="4" t="str" cm="1">
        <f t="array" ref="Q433">_xlfn.IFS(AND(Table1567[[#This Row],[Total Amount]]&gt;=1500,"Critical"),AND(Table1567[[#This Row],[Total Amount]]&gt;=1000,"High"),TRUE,"Normal")</f>
        <v>Normal</v>
      </c>
      <c r="R433" s="4" t="str">
        <f>CONCATENATE(Table1567[[#This Row],[Customer ID]], "-",Table1567[[#This Row],[Age]])</f>
        <v>CUST432-60</v>
      </c>
      <c r="S433" s="4" t="str">
        <f>TEXT(Table1567[[#This Row],[Date]],"mmm")</f>
        <v>Jan</v>
      </c>
      <c r="T433" s="4" t="str">
        <f>TEXT(Table1567[[#This Row],[Date]],"DDD")</f>
        <v>Thu</v>
      </c>
    </row>
    <row r="434" spans="1:20" ht="29" x14ac:dyDescent="0.35">
      <c r="A434" s="4">
        <v>433</v>
      </c>
      <c r="B434" s="5">
        <v>44984</v>
      </c>
      <c r="C434" s="4" t="s">
        <v>446</v>
      </c>
      <c r="D434" s="4" t="s">
        <v>10</v>
      </c>
      <c r="E434" s="4">
        <v>29</v>
      </c>
      <c r="F434" s="4" t="str">
        <f>IF(Table1567[[#This Row],[Age]]&lt;=19,"Teenager",IF(Table1567[[#This Row],[Age]]&lt;=40,"Median","Old"))</f>
        <v>Median</v>
      </c>
      <c r="G434" s="4" t="s">
        <v>11</v>
      </c>
      <c r="H434" s="4">
        <v>4</v>
      </c>
      <c r="I434" s="4">
        <v>50</v>
      </c>
      <c r="J434" s="4">
        <v>200</v>
      </c>
      <c r="K434" s="4" t="str" cm="1">
        <f t="array" ref="K434">_xlfn.IFS(AND(Table1567[[#This Row],[Total Amount]]&gt;=1500),"Critical",AND(Table1567[[#This Row],[Total Amount]]&gt;=1000),"High",TRUE,"Normal")</f>
        <v>Normal</v>
      </c>
      <c r="L434" s="4" t="str">
        <f>IF(Table1567[[#This Row],[Total Amount]]&gt;=1000,"High",(IF(Table1567[[#This Row],[Total Amount]]&gt;=500,"Medium","Low")))</f>
        <v>Low</v>
      </c>
      <c r="M434" s="4" t="str" cm="1">
        <f t="array" ref="M43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34" s="4" cm="1">
        <f t="array" ref="N43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434" s="4">
        <f>Table1567[[#This Row],[Total Amount]]-Table1567[[#This Row],[Discount Amount]]</f>
        <v>170</v>
      </c>
      <c r="P434" s="4" t="str">
        <f>IF(Table1567[[#This Row],[Total Amount]]&gt;=1000,"High","Low")</f>
        <v>Low</v>
      </c>
      <c r="Q434" s="4" t="str" cm="1">
        <f t="array" ref="Q434">_xlfn.IFS(AND(Table1567[[#This Row],[Total Amount]]&gt;=1500,"Critical"),AND(Table1567[[#This Row],[Total Amount]]&gt;=1000,"High"),TRUE,"Normal")</f>
        <v>Normal</v>
      </c>
      <c r="R434" s="4" t="str">
        <f>CONCATENATE(Table1567[[#This Row],[Customer ID]], "-",Table1567[[#This Row],[Age]])</f>
        <v>CUST433-29</v>
      </c>
      <c r="S434" s="4" t="str">
        <f>TEXT(Table1567[[#This Row],[Date]],"mmm")</f>
        <v>Feb</v>
      </c>
      <c r="T434" s="4" t="str">
        <f>TEXT(Table1567[[#This Row],[Date]],"DDD")</f>
        <v>Mon</v>
      </c>
    </row>
    <row r="435" spans="1:20" ht="29" x14ac:dyDescent="0.35">
      <c r="A435" s="4">
        <v>434</v>
      </c>
      <c r="B435" s="5">
        <v>44965</v>
      </c>
      <c r="C435" s="4" t="s">
        <v>447</v>
      </c>
      <c r="D435" s="4" t="s">
        <v>13</v>
      </c>
      <c r="E435" s="4">
        <v>43</v>
      </c>
      <c r="F435" s="4" t="str">
        <f>IF(Table1567[[#This Row],[Age]]&lt;=19,"Teenager",IF(Table1567[[#This Row],[Age]]&lt;=40,"Median","Old"))</f>
        <v>Old</v>
      </c>
      <c r="G435" s="4" t="s">
        <v>16</v>
      </c>
      <c r="H435" s="4">
        <v>2</v>
      </c>
      <c r="I435" s="4">
        <v>25</v>
      </c>
      <c r="J435" s="4">
        <v>50</v>
      </c>
      <c r="K435" s="4" t="str" cm="1">
        <f t="array" ref="K435">_xlfn.IFS(AND(Table1567[[#This Row],[Total Amount]]&gt;=1500),"Critical",AND(Table1567[[#This Row],[Total Amount]]&gt;=1000),"High",TRUE,"Normal")</f>
        <v>Normal</v>
      </c>
      <c r="L435" s="4" t="str">
        <f>IF(Table1567[[#This Row],[Total Amount]]&gt;=1000,"High",(IF(Table1567[[#This Row],[Total Amount]]&gt;=500,"Medium","Low")))</f>
        <v>Low</v>
      </c>
      <c r="M435" s="4" t="str" cm="1">
        <f t="array" ref="M43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35" s="4" cm="1">
        <f t="array" ref="N43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435" s="4">
        <f>Table1567[[#This Row],[Total Amount]]-Table1567[[#This Row],[Discount Amount]]</f>
        <v>40</v>
      </c>
      <c r="P435" s="4" t="str">
        <f>IF(Table1567[[#This Row],[Total Amount]]&gt;=1000,"High","Low")</f>
        <v>Low</v>
      </c>
      <c r="Q435" s="4" t="str" cm="1">
        <f t="array" ref="Q435">_xlfn.IFS(AND(Table1567[[#This Row],[Total Amount]]&gt;=1500,"Critical"),AND(Table1567[[#This Row],[Total Amount]]&gt;=1000,"High"),TRUE,"Normal")</f>
        <v>Normal</v>
      </c>
      <c r="R435" s="4" t="str">
        <f>CONCATENATE(Table1567[[#This Row],[Customer ID]], "-",Table1567[[#This Row],[Age]])</f>
        <v>CUST434-43</v>
      </c>
      <c r="S435" s="4" t="str">
        <f>TEXT(Table1567[[#This Row],[Date]],"mmm")</f>
        <v>Feb</v>
      </c>
      <c r="T435" s="4" t="str">
        <f>TEXT(Table1567[[#This Row],[Date]],"DDD")</f>
        <v>Wed</v>
      </c>
    </row>
    <row r="436" spans="1:20" ht="29" x14ac:dyDescent="0.35">
      <c r="A436" s="4">
        <v>435</v>
      </c>
      <c r="B436" s="5">
        <v>45280</v>
      </c>
      <c r="C436" s="4" t="s">
        <v>448</v>
      </c>
      <c r="D436" s="4" t="s">
        <v>13</v>
      </c>
      <c r="E436" s="4">
        <v>30</v>
      </c>
      <c r="F436" s="4" t="str">
        <f>IF(Table1567[[#This Row],[Age]]&lt;=19,"Teenager",IF(Table1567[[#This Row],[Age]]&lt;=40,"Median","Old"))</f>
        <v>Median</v>
      </c>
      <c r="G436" s="4" t="s">
        <v>11</v>
      </c>
      <c r="H436" s="4">
        <v>3</v>
      </c>
      <c r="I436" s="4">
        <v>300</v>
      </c>
      <c r="J436" s="4">
        <v>900</v>
      </c>
      <c r="K436" s="4" t="str" cm="1">
        <f t="array" ref="K436">_xlfn.IFS(AND(Table1567[[#This Row],[Total Amount]]&gt;=1500),"Critical",AND(Table1567[[#This Row],[Total Amount]]&gt;=1000),"High",TRUE,"Normal")</f>
        <v>Normal</v>
      </c>
      <c r="L436" s="4" t="str">
        <f>IF(Table1567[[#This Row],[Total Amount]]&gt;=1000,"High",(IF(Table1567[[#This Row],[Total Amount]]&gt;=500,"Medium","Low")))</f>
        <v>Medium</v>
      </c>
      <c r="M436" s="4" t="str" cm="1">
        <f t="array" ref="M43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36" s="4" cm="1">
        <f t="array" ref="N43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135</v>
      </c>
      <c r="O436" s="4">
        <f>Table1567[[#This Row],[Total Amount]]-Table1567[[#This Row],[Discount Amount]]</f>
        <v>765</v>
      </c>
      <c r="P436" s="4" t="str">
        <f>IF(Table1567[[#This Row],[Total Amount]]&gt;=1000,"High","Low")</f>
        <v>Low</v>
      </c>
      <c r="Q436" s="4" t="str" cm="1">
        <f t="array" ref="Q436">_xlfn.IFS(AND(Table1567[[#This Row],[Total Amount]]&gt;=1500,"Critical"),AND(Table1567[[#This Row],[Total Amount]]&gt;=1000,"High"),TRUE,"Normal")</f>
        <v>Normal</v>
      </c>
      <c r="R436" s="4" t="str">
        <f>CONCATENATE(Table1567[[#This Row],[Customer ID]], "-",Table1567[[#This Row],[Age]])</f>
        <v>CUST435-30</v>
      </c>
      <c r="S436" s="4" t="str">
        <f>TEXT(Table1567[[#This Row],[Date]],"mmm")</f>
        <v>Dec</v>
      </c>
      <c r="T436" s="4" t="str">
        <f>TEXT(Table1567[[#This Row],[Date]],"DDD")</f>
        <v>Wed</v>
      </c>
    </row>
    <row r="437" spans="1:20" ht="29" x14ac:dyDescent="0.35">
      <c r="A437" s="4">
        <v>436</v>
      </c>
      <c r="B437" s="5">
        <v>45003</v>
      </c>
      <c r="C437" s="4" t="s">
        <v>449</v>
      </c>
      <c r="D437" s="4" t="s">
        <v>13</v>
      </c>
      <c r="E437" s="4">
        <v>57</v>
      </c>
      <c r="F437" s="4" t="str">
        <f>IF(Table1567[[#This Row],[Age]]&lt;=19,"Teenager",IF(Table1567[[#This Row],[Age]]&lt;=40,"Median","Old"))</f>
        <v>Old</v>
      </c>
      <c r="G437" s="4" t="s">
        <v>14</v>
      </c>
      <c r="H437" s="4">
        <v>4</v>
      </c>
      <c r="I437" s="4">
        <v>30</v>
      </c>
      <c r="J437" s="4">
        <v>120</v>
      </c>
      <c r="K437" s="4" t="str" cm="1">
        <f t="array" ref="K437">_xlfn.IFS(AND(Table1567[[#This Row],[Total Amount]]&gt;=1500),"Critical",AND(Table1567[[#This Row],[Total Amount]]&gt;=1000),"High",TRUE,"Normal")</f>
        <v>Normal</v>
      </c>
      <c r="L437" s="4" t="str">
        <f>IF(Table1567[[#This Row],[Total Amount]]&gt;=1000,"High",(IF(Table1567[[#This Row],[Total Amount]]&gt;=500,"Medium","Low")))</f>
        <v>Low</v>
      </c>
      <c r="M437" s="4" t="str" cm="1">
        <f t="array" ref="M43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37" s="4" cm="1">
        <f t="array" ref="N43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</v>
      </c>
      <c r="O437" s="4">
        <f>Table1567[[#This Row],[Total Amount]]-Table1567[[#This Row],[Discount Amount]]</f>
        <v>96</v>
      </c>
      <c r="P437" s="4" t="str">
        <f>IF(Table1567[[#This Row],[Total Amount]]&gt;=1000,"High","Low")</f>
        <v>Low</v>
      </c>
      <c r="Q437" s="4" t="str" cm="1">
        <f t="array" ref="Q437">_xlfn.IFS(AND(Table1567[[#This Row],[Total Amount]]&gt;=1500,"Critical"),AND(Table1567[[#This Row],[Total Amount]]&gt;=1000,"High"),TRUE,"Normal")</f>
        <v>Normal</v>
      </c>
      <c r="R437" s="4" t="str">
        <f>CONCATENATE(Table1567[[#This Row],[Customer ID]], "-",Table1567[[#This Row],[Age]])</f>
        <v>CUST436-57</v>
      </c>
      <c r="S437" s="4" t="str">
        <f>TEXT(Table1567[[#This Row],[Date]],"mmm")</f>
        <v>Mar</v>
      </c>
      <c r="T437" s="4" t="str">
        <f>TEXT(Table1567[[#This Row],[Date]],"DDD")</f>
        <v>Sat</v>
      </c>
    </row>
    <row r="438" spans="1:20" ht="29" x14ac:dyDescent="0.35">
      <c r="A438" s="4">
        <v>437</v>
      </c>
      <c r="B438" s="5">
        <v>45206</v>
      </c>
      <c r="C438" s="4" t="s">
        <v>450</v>
      </c>
      <c r="D438" s="4" t="s">
        <v>13</v>
      </c>
      <c r="E438" s="4">
        <v>35</v>
      </c>
      <c r="F438" s="4" t="str">
        <f>IF(Table1567[[#This Row],[Age]]&lt;=19,"Teenager",IF(Table1567[[#This Row],[Age]]&lt;=40,"Median","Old"))</f>
        <v>Median</v>
      </c>
      <c r="G438" s="4" t="s">
        <v>16</v>
      </c>
      <c r="H438" s="4">
        <v>4</v>
      </c>
      <c r="I438" s="4">
        <v>300</v>
      </c>
      <c r="J438" s="4">
        <v>1200</v>
      </c>
      <c r="K438" s="4" t="str" cm="1">
        <f t="array" ref="K438">_xlfn.IFS(AND(Table1567[[#This Row],[Total Amount]]&gt;=1500),"Critical",AND(Table1567[[#This Row],[Total Amount]]&gt;=1000),"High",TRUE,"Normal")</f>
        <v>High</v>
      </c>
      <c r="L438" s="4" t="str">
        <f>IF(Table1567[[#This Row],[Total Amount]]&gt;=1000,"High",(IF(Table1567[[#This Row],[Total Amount]]&gt;=500,"Medium","Low")))</f>
        <v>High</v>
      </c>
      <c r="M438" s="4" t="str" cm="1">
        <f t="array" ref="M43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38" s="4" cm="1">
        <f t="array" ref="N43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240</v>
      </c>
      <c r="O438" s="4">
        <f>Table1567[[#This Row],[Total Amount]]-Table1567[[#This Row],[Discount Amount]]</f>
        <v>960</v>
      </c>
      <c r="P438" s="4" t="str">
        <f>IF(Table1567[[#This Row],[Total Amount]]&gt;=1000,"High","Low")</f>
        <v>High</v>
      </c>
      <c r="Q438" s="4" t="str" cm="1">
        <f t="array" ref="Q438">_xlfn.IFS(AND(Table1567[[#This Row],[Total Amount]]&gt;=1500,"Critical"),AND(Table1567[[#This Row],[Total Amount]]&gt;=1000,"High"),TRUE,"Normal")</f>
        <v>Normal</v>
      </c>
      <c r="R438" s="4" t="str">
        <f>CONCATENATE(Table1567[[#This Row],[Customer ID]], "-",Table1567[[#This Row],[Age]])</f>
        <v>CUST437-35</v>
      </c>
      <c r="S438" s="4" t="str">
        <f>TEXT(Table1567[[#This Row],[Date]],"mmm")</f>
        <v>Oct</v>
      </c>
      <c r="T438" s="4" t="str">
        <f>TEXT(Table1567[[#This Row],[Date]],"DDD")</f>
        <v>Sat</v>
      </c>
    </row>
    <row r="439" spans="1:20" ht="29" x14ac:dyDescent="0.35">
      <c r="A439" s="4">
        <v>438</v>
      </c>
      <c r="B439" s="5">
        <v>44945</v>
      </c>
      <c r="C439" s="4" t="s">
        <v>451</v>
      </c>
      <c r="D439" s="4" t="s">
        <v>13</v>
      </c>
      <c r="E439" s="4">
        <v>42</v>
      </c>
      <c r="F439" s="4" t="str">
        <f>IF(Table1567[[#This Row],[Age]]&lt;=19,"Teenager",IF(Table1567[[#This Row],[Age]]&lt;=40,"Median","Old"))</f>
        <v>Old</v>
      </c>
      <c r="G439" s="4" t="s">
        <v>14</v>
      </c>
      <c r="H439" s="4">
        <v>1</v>
      </c>
      <c r="I439" s="4">
        <v>30</v>
      </c>
      <c r="J439" s="4">
        <v>30</v>
      </c>
      <c r="K439" s="4" t="str" cm="1">
        <f t="array" ref="K439">_xlfn.IFS(AND(Table1567[[#This Row],[Total Amount]]&gt;=1500),"Critical",AND(Table1567[[#This Row],[Total Amount]]&gt;=1000),"High",TRUE,"Normal")</f>
        <v>Normal</v>
      </c>
      <c r="L439" s="4" t="str">
        <f>IF(Table1567[[#This Row],[Total Amount]]&gt;=1000,"High",(IF(Table1567[[#This Row],[Total Amount]]&gt;=500,"Medium","Low")))</f>
        <v>Low</v>
      </c>
      <c r="M439" s="4" t="str" cm="1">
        <f t="array" ref="M43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39" s="4" cm="1">
        <f t="array" ref="N43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439" s="4">
        <f>Table1567[[#This Row],[Total Amount]]-Table1567[[#This Row],[Discount Amount]]</f>
        <v>24</v>
      </c>
      <c r="P439" s="4" t="str">
        <f>IF(Table1567[[#This Row],[Total Amount]]&gt;=1000,"High","Low")</f>
        <v>Low</v>
      </c>
      <c r="Q439" s="4" t="str" cm="1">
        <f t="array" ref="Q439">_xlfn.IFS(AND(Table1567[[#This Row],[Total Amount]]&gt;=1500,"Critical"),AND(Table1567[[#This Row],[Total Amount]]&gt;=1000,"High"),TRUE,"Normal")</f>
        <v>Normal</v>
      </c>
      <c r="R439" s="4" t="str">
        <f>CONCATENATE(Table1567[[#This Row],[Customer ID]], "-",Table1567[[#This Row],[Age]])</f>
        <v>CUST438-42</v>
      </c>
      <c r="S439" s="4" t="str">
        <f>TEXT(Table1567[[#This Row],[Date]],"mmm")</f>
        <v>Jan</v>
      </c>
      <c r="T439" s="4" t="str">
        <f>TEXT(Table1567[[#This Row],[Date]],"DDD")</f>
        <v>Thu</v>
      </c>
    </row>
    <row r="440" spans="1:20" ht="29" x14ac:dyDescent="0.35">
      <c r="A440" s="4">
        <v>439</v>
      </c>
      <c r="B440" s="5">
        <v>45116</v>
      </c>
      <c r="C440" s="4" t="s">
        <v>452</v>
      </c>
      <c r="D440" s="4" t="s">
        <v>10</v>
      </c>
      <c r="E440" s="4">
        <v>50</v>
      </c>
      <c r="F440" s="4" t="str">
        <f>IF(Table1567[[#This Row],[Age]]&lt;=19,"Teenager",IF(Table1567[[#This Row],[Age]]&lt;=40,"Median","Old"))</f>
        <v>Old</v>
      </c>
      <c r="G440" s="4" t="s">
        <v>14</v>
      </c>
      <c r="H440" s="4">
        <v>3</v>
      </c>
      <c r="I440" s="4">
        <v>25</v>
      </c>
      <c r="J440" s="4">
        <v>75</v>
      </c>
      <c r="K440" s="4" t="str" cm="1">
        <f t="array" ref="K440">_xlfn.IFS(AND(Table1567[[#This Row],[Total Amount]]&gt;=1500),"Critical",AND(Table1567[[#This Row],[Total Amount]]&gt;=1000),"High",TRUE,"Normal")</f>
        <v>Normal</v>
      </c>
      <c r="L440" s="4" t="str">
        <f>IF(Table1567[[#This Row],[Total Amount]]&gt;=1000,"High",(IF(Table1567[[#This Row],[Total Amount]]&gt;=500,"Medium","Low")))</f>
        <v>Low</v>
      </c>
      <c r="M440" s="4" t="str" cm="1">
        <f t="array" ref="M44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40" s="4" cm="1">
        <f t="array" ref="N44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440" s="4">
        <f>Table1567[[#This Row],[Total Amount]]-Table1567[[#This Row],[Discount Amount]]</f>
        <v>67.5</v>
      </c>
      <c r="P440" s="4" t="str">
        <f>IF(Table1567[[#This Row],[Total Amount]]&gt;=1000,"High","Low")</f>
        <v>Low</v>
      </c>
      <c r="Q440" s="4" t="str" cm="1">
        <f t="array" ref="Q440">_xlfn.IFS(AND(Table1567[[#This Row],[Total Amount]]&gt;=1500,"Critical"),AND(Table1567[[#This Row],[Total Amount]]&gt;=1000,"High"),TRUE,"Normal")</f>
        <v>Normal</v>
      </c>
      <c r="R440" s="4" t="str">
        <f>CONCATENATE(Table1567[[#This Row],[Customer ID]], "-",Table1567[[#This Row],[Age]])</f>
        <v>CUST439-50</v>
      </c>
      <c r="S440" s="4" t="str">
        <f>TEXT(Table1567[[#This Row],[Date]],"mmm")</f>
        <v>Jul</v>
      </c>
      <c r="T440" s="4" t="str">
        <f>TEXT(Table1567[[#This Row],[Date]],"DDD")</f>
        <v>Sun</v>
      </c>
    </row>
    <row r="441" spans="1:20" ht="29" x14ac:dyDescent="0.35">
      <c r="A441" s="4">
        <v>440</v>
      </c>
      <c r="B441" s="5">
        <v>45225</v>
      </c>
      <c r="C441" s="4" t="s">
        <v>453</v>
      </c>
      <c r="D441" s="4" t="s">
        <v>10</v>
      </c>
      <c r="E441" s="4">
        <v>64</v>
      </c>
      <c r="F441" s="4" t="str">
        <f>IF(Table1567[[#This Row],[Age]]&lt;=19,"Teenager",IF(Table1567[[#This Row],[Age]]&lt;=40,"Median","Old"))</f>
        <v>Old</v>
      </c>
      <c r="G441" s="4" t="s">
        <v>14</v>
      </c>
      <c r="H441" s="4">
        <v>2</v>
      </c>
      <c r="I441" s="4">
        <v>300</v>
      </c>
      <c r="J441" s="4">
        <v>600</v>
      </c>
      <c r="K441" s="4" t="str" cm="1">
        <f t="array" ref="K441">_xlfn.IFS(AND(Table1567[[#This Row],[Total Amount]]&gt;=1500),"Critical",AND(Table1567[[#This Row],[Total Amount]]&gt;=1000),"High",TRUE,"Normal")</f>
        <v>Normal</v>
      </c>
      <c r="L441" s="4" t="str">
        <f>IF(Table1567[[#This Row],[Total Amount]]&gt;=1000,"High",(IF(Table1567[[#This Row],[Total Amount]]&gt;=500,"Medium","Low")))</f>
        <v>Medium</v>
      </c>
      <c r="M441" s="4" t="str" cm="1">
        <f t="array" ref="M44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41" s="4" cm="1">
        <f t="array" ref="N44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441" s="4">
        <f>Table1567[[#This Row],[Total Amount]]-Table1567[[#This Row],[Discount Amount]]</f>
        <v>540</v>
      </c>
      <c r="P441" s="4" t="str">
        <f>IF(Table1567[[#This Row],[Total Amount]]&gt;=1000,"High","Low")</f>
        <v>Low</v>
      </c>
      <c r="Q441" s="4" t="str" cm="1">
        <f t="array" ref="Q441">_xlfn.IFS(AND(Table1567[[#This Row],[Total Amount]]&gt;=1500,"Critical"),AND(Table1567[[#This Row],[Total Amount]]&gt;=1000,"High"),TRUE,"Normal")</f>
        <v>Normal</v>
      </c>
      <c r="R441" s="4" t="str">
        <f>CONCATENATE(Table1567[[#This Row],[Customer ID]], "-",Table1567[[#This Row],[Age]])</f>
        <v>CUST440-64</v>
      </c>
      <c r="S441" s="4" t="str">
        <f>TEXT(Table1567[[#This Row],[Date]],"mmm")</f>
        <v>Oct</v>
      </c>
      <c r="T441" s="4" t="str">
        <f>TEXT(Table1567[[#This Row],[Date]],"DDD")</f>
        <v>Thu</v>
      </c>
    </row>
    <row r="442" spans="1:20" ht="29" x14ac:dyDescent="0.35">
      <c r="A442" s="4">
        <v>441</v>
      </c>
      <c r="B442" s="5">
        <v>45209</v>
      </c>
      <c r="C442" s="4" t="s">
        <v>454</v>
      </c>
      <c r="D442" s="4" t="s">
        <v>10</v>
      </c>
      <c r="E442" s="4">
        <v>57</v>
      </c>
      <c r="F442" s="4" t="str">
        <f>IF(Table1567[[#This Row],[Age]]&lt;=19,"Teenager",IF(Table1567[[#This Row],[Age]]&lt;=40,"Median","Old"))</f>
        <v>Old</v>
      </c>
      <c r="G442" s="4" t="s">
        <v>11</v>
      </c>
      <c r="H442" s="4">
        <v>4</v>
      </c>
      <c r="I442" s="4">
        <v>300</v>
      </c>
      <c r="J442" s="4">
        <v>1200</v>
      </c>
      <c r="K442" s="4" t="str" cm="1">
        <f t="array" ref="K442">_xlfn.IFS(AND(Table1567[[#This Row],[Total Amount]]&gt;=1500),"Critical",AND(Table1567[[#This Row],[Total Amount]]&gt;=1000),"High",TRUE,"Normal")</f>
        <v>High</v>
      </c>
      <c r="L442" s="4" t="str">
        <f>IF(Table1567[[#This Row],[Total Amount]]&gt;=1000,"High",(IF(Table1567[[#This Row],[Total Amount]]&gt;=500,"Medium","Low")))</f>
        <v>High</v>
      </c>
      <c r="M442" s="4" t="str" cm="1">
        <f t="array" ref="M44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42" s="4" cm="1">
        <f t="array" ref="N44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442" s="4">
        <f>Table1567[[#This Row],[Total Amount]]-Table1567[[#This Row],[Discount Amount]]</f>
        <v>1080</v>
      </c>
      <c r="P442" s="4" t="str">
        <f>IF(Table1567[[#This Row],[Total Amount]]&gt;=1000,"High","Low")</f>
        <v>High</v>
      </c>
      <c r="Q442" s="4" t="str" cm="1">
        <f t="array" ref="Q442">_xlfn.IFS(AND(Table1567[[#This Row],[Total Amount]]&gt;=1500,"Critical"),AND(Table1567[[#This Row],[Total Amount]]&gt;=1000,"High"),TRUE,"Normal")</f>
        <v>Normal</v>
      </c>
      <c r="R442" s="4" t="str">
        <f>CONCATENATE(Table1567[[#This Row],[Customer ID]], "-",Table1567[[#This Row],[Age]])</f>
        <v>CUST441-57</v>
      </c>
      <c r="S442" s="4" t="str">
        <f>TEXT(Table1567[[#This Row],[Date]],"mmm")</f>
        <v>Oct</v>
      </c>
      <c r="T442" s="4" t="str">
        <f>TEXT(Table1567[[#This Row],[Date]],"DDD")</f>
        <v>Tue</v>
      </c>
    </row>
    <row r="443" spans="1:20" ht="29" x14ac:dyDescent="0.35">
      <c r="A443" s="4">
        <v>442</v>
      </c>
      <c r="B443" s="5">
        <v>45002</v>
      </c>
      <c r="C443" s="4" t="s">
        <v>455</v>
      </c>
      <c r="D443" s="4" t="s">
        <v>13</v>
      </c>
      <c r="E443" s="4">
        <v>60</v>
      </c>
      <c r="F443" s="4" t="str">
        <f>IF(Table1567[[#This Row],[Age]]&lt;=19,"Teenager",IF(Table1567[[#This Row],[Age]]&lt;=40,"Median","Old"))</f>
        <v>Old</v>
      </c>
      <c r="G443" s="4" t="s">
        <v>14</v>
      </c>
      <c r="H443" s="4">
        <v>4</v>
      </c>
      <c r="I443" s="4">
        <v>25</v>
      </c>
      <c r="J443" s="4">
        <v>100</v>
      </c>
      <c r="K443" s="4" t="str" cm="1">
        <f t="array" ref="K443">_xlfn.IFS(AND(Table1567[[#This Row],[Total Amount]]&gt;=1500),"Critical",AND(Table1567[[#This Row],[Total Amount]]&gt;=1000),"High",TRUE,"Normal")</f>
        <v>Normal</v>
      </c>
      <c r="L443" s="4" t="str">
        <f>IF(Table1567[[#This Row],[Total Amount]]&gt;=1000,"High",(IF(Table1567[[#This Row],[Total Amount]]&gt;=500,"Medium","Low")))</f>
        <v>Low</v>
      </c>
      <c r="M443" s="4" t="str" cm="1">
        <f t="array" ref="M44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43" s="4" cm="1">
        <f t="array" ref="N44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443" s="4">
        <f>Table1567[[#This Row],[Total Amount]]-Table1567[[#This Row],[Discount Amount]]</f>
        <v>80</v>
      </c>
      <c r="P443" s="4" t="str">
        <f>IF(Table1567[[#This Row],[Total Amount]]&gt;=1000,"High","Low")</f>
        <v>Low</v>
      </c>
      <c r="Q443" s="4" t="str" cm="1">
        <f t="array" ref="Q443">_xlfn.IFS(AND(Table1567[[#This Row],[Total Amount]]&gt;=1500,"Critical"),AND(Table1567[[#This Row],[Total Amount]]&gt;=1000,"High"),TRUE,"Normal")</f>
        <v>Normal</v>
      </c>
      <c r="R443" s="4" t="str">
        <f>CONCATENATE(Table1567[[#This Row],[Customer ID]], "-",Table1567[[#This Row],[Age]])</f>
        <v>CUST442-60</v>
      </c>
      <c r="S443" s="4" t="str">
        <f>TEXT(Table1567[[#This Row],[Date]],"mmm")</f>
        <v>Mar</v>
      </c>
      <c r="T443" s="4" t="str">
        <f>TEXT(Table1567[[#This Row],[Date]],"DDD")</f>
        <v>Fri</v>
      </c>
    </row>
    <row r="444" spans="1:20" ht="29" x14ac:dyDescent="0.35">
      <c r="A444" s="4">
        <v>443</v>
      </c>
      <c r="B444" s="5">
        <v>45147</v>
      </c>
      <c r="C444" s="4" t="s">
        <v>456</v>
      </c>
      <c r="D444" s="4" t="s">
        <v>10</v>
      </c>
      <c r="E444" s="4">
        <v>29</v>
      </c>
      <c r="F444" s="4" t="str">
        <f>IF(Table1567[[#This Row],[Age]]&lt;=19,"Teenager",IF(Table1567[[#This Row],[Age]]&lt;=40,"Median","Old"))</f>
        <v>Median</v>
      </c>
      <c r="G444" s="4" t="s">
        <v>14</v>
      </c>
      <c r="H444" s="4">
        <v>2</v>
      </c>
      <c r="I444" s="4">
        <v>300</v>
      </c>
      <c r="J444" s="4">
        <v>600</v>
      </c>
      <c r="K444" s="4" t="str" cm="1">
        <f t="array" ref="K444">_xlfn.IFS(AND(Table1567[[#This Row],[Total Amount]]&gt;=1500),"Critical",AND(Table1567[[#This Row],[Total Amount]]&gt;=1000),"High",TRUE,"Normal")</f>
        <v>Normal</v>
      </c>
      <c r="L444" s="4" t="str">
        <f>IF(Table1567[[#This Row],[Total Amount]]&gt;=1000,"High",(IF(Table1567[[#This Row],[Total Amount]]&gt;=500,"Medium","Low")))</f>
        <v>Medium</v>
      </c>
      <c r="M444" s="4" t="str" cm="1">
        <f t="array" ref="M44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44" s="4" cm="1">
        <f t="array" ref="N44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444" s="4">
        <f>Table1567[[#This Row],[Total Amount]]-Table1567[[#This Row],[Discount Amount]]</f>
        <v>510</v>
      </c>
      <c r="P444" s="4" t="str">
        <f>IF(Table1567[[#This Row],[Total Amount]]&gt;=1000,"High","Low")</f>
        <v>Low</v>
      </c>
      <c r="Q444" s="4" t="str" cm="1">
        <f t="array" ref="Q444">_xlfn.IFS(AND(Table1567[[#This Row],[Total Amount]]&gt;=1500,"Critical"),AND(Table1567[[#This Row],[Total Amount]]&gt;=1000,"High"),TRUE,"Normal")</f>
        <v>Normal</v>
      </c>
      <c r="R444" s="4" t="str">
        <f>CONCATENATE(Table1567[[#This Row],[Customer ID]], "-",Table1567[[#This Row],[Age]])</f>
        <v>CUST443-29</v>
      </c>
      <c r="S444" s="4" t="str">
        <f>TEXT(Table1567[[#This Row],[Date]],"mmm")</f>
        <v>Aug</v>
      </c>
      <c r="T444" s="4" t="str">
        <f>TEXT(Table1567[[#This Row],[Date]],"DDD")</f>
        <v>Wed</v>
      </c>
    </row>
    <row r="445" spans="1:20" ht="29" x14ac:dyDescent="0.35">
      <c r="A445" s="4">
        <v>444</v>
      </c>
      <c r="B445" s="5">
        <v>44992</v>
      </c>
      <c r="C445" s="4" t="s">
        <v>457</v>
      </c>
      <c r="D445" s="4" t="s">
        <v>13</v>
      </c>
      <c r="E445" s="4">
        <v>61</v>
      </c>
      <c r="F445" s="4" t="str">
        <f>IF(Table1567[[#This Row],[Age]]&lt;=19,"Teenager",IF(Table1567[[#This Row],[Age]]&lt;=40,"Median","Old"))</f>
        <v>Old</v>
      </c>
      <c r="G445" s="4" t="s">
        <v>14</v>
      </c>
      <c r="H445" s="4">
        <v>3</v>
      </c>
      <c r="I445" s="4">
        <v>30</v>
      </c>
      <c r="J445" s="4">
        <v>90</v>
      </c>
      <c r="K445" s="4" t="str" cm="1">
        <f t="array" ref="K445">_xlfn.IFS(AND(Table1567[[#This Row],[Total Amount]]&gt;=1500),"Critical",AND(Table1567[[#This Row],[Total Amount]]&gt;=1000),"High",TRUE,"Normal")</f>
        <v>Normal</v>
      </c>
      <c r="L445" s="4" t="str">
        <f>IF(Table1567[[#This Row],[Total Amount]]&gt;=1000,"High",(IF(Table1567[[#This Row],[Total Amount]]&gt;=500,"Medium","Low")))</f>
        <v>Low</v>
      </c>
      <c r="M445" s="4" t="str" cm="1">
        <f t="array" ref="M44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45" s="4" cm="1">
        <f t="array" ref="N44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445" s="4">
        <f>Table1567[[#This Row],[Total Amount]]-Table1567[[#This Row],[Discount Amount]]</f>
        <v>72</v>
      </c>
      <c r="P445" s="4" t="str">
        <f>IF(Table1567[[#This Row],[Total Amount]]&gt;=1000,"High","Low")</f>
        <v>Low</v>
      </c>
      <c r="Q445" s="4" t="str" cm="1">
        <f t="array" ref="Q445">_xlfn.IFS(AND(Table1567[[#This Row],[Total Amount]]&gt;=1500,"Critical"),AND(Table1567[[#This Row],[Total Amount]]&gt;=1000,"High"),TRUE,"Normal")</f>
        <v>Normal</v>
      </c>
      <c r="R445" s="4" t="str">
        <f>CONCATENATE(Table1567[[#This Row],[Customer ID]], "-",Table1567[[#This Row],[Age]])</f>
        <v>CUST444-61</v>
      </c>
      <c r="S445" s="4" t="str">
        <f>TEXT(Table1567[[#This Row],[Date]],"mmm")</f>
        <v>Mar</v>
      </c>
      <c r="T445" s="4" t="str">
        <f>TEXT(Table1567[[#This Row],[Date]],"DDD")</f>
        <v>Tue</v>
      </c>
    </row>
    <row r="446" spans="1:20" ht="29" x14ac:dyDescent="0.35">
      <c r="A446" s="4">
        <v>445</v>
      </c>
      <c r="B446" s="5">
        <v>44948</v>
      </c>
      <c r="C446" s="4" t="s">
        <v>458</v>
      </c>
      <c r="D446" s="4" t="s">
        <v>13</v>
      </c>
      <c r="E446" s="4">
        <v>53</v>
      </c>
      <c r="F446" s="4" t="str">
        <f>IF(Table1567[[#This Row],[Age]]&lt;=19,"Teenager",IF(Table1567[[#This Row],[Age]]&lt;=40,"Median","Old"))</f>
        <v>Old</v>
      </c>
      <c r="G446" s="4" t="s">
        <v>16</v>
      </c>
      <c r="H446" s="4">
        <v>1</v>
      </c>
      <c r="I446" s="4">
        <v>300</v>
      </c>
      <c r="J446" s="4">
        <v>300</v>
      </c>
      <c r="K446" s="4" t="str" cm="1">
        <f t="array" ref="K446">_xlfn.IFS(AND(Table1567[[#This Row],[Total Amount]]&gt;=1500),"Critical",AND(Table1567[[#This Row],[Total Amount]]&gt;=1000),"High",TRUE,"Normal")</f>
        <v>Normal</v>
      </c>
      <c r="L446" s="4" t="str">
        <f>IF(Table1567[[#This Row],[Total Amount]]&gt;=1000,"High",(IF(Table1567[[#This Row],[Total Amount]]&gt;=500,"Medium","Low")))</f>
        <v>Low</v>
      </c>
      <c r="M446" s="4" t="str" cm="1">
        <f t="array" ref="M44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46" s="4" cm="1">
        <f t="array" ref="N44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446" s="4">
        <f>Table1567[[#This Row],[Total Amount]]-Table1567[[#This Row],[Discount Amount]]</f>
        <v>240</v>
      </c>
      <c r="P446" s="4" t="str">
        <f>IF(Table1567[[#This Row],[Total Amount]]&gt;=1000,"High","Low")</f>
        <v>Low</v>
      </c>
      <c r="Q446" s="4" t="str" cm="1">
        <f t="array" ref="Q446">_xlfn.IFS(AND(Table1567[[#This Row],[Total Amount]]&gt;=1500,"Critical"),AND(Table1567[[#This Row],[Total Amount]]&gt;=1000,"High"),TRUE,"Normal")</f>
        <v>Normal</v>
      </c>
      <c r="R446" s="4" t="str">
        <f>CONCATENATE(Table1567[[#This Row],[Customer ID]], "-",Table1567[[#This Row],[Age]])</f>
        <v>CUST445-53</v>
      </c>
      <c r="S446" s="4" t="str">
        <f>TEXT(Table1567[[#This Row],[Date]],"mmm")</f>
        <v>Jan</v>
      </c>
      <c r="T446" s="4" t="str">
        <f>TEXT(Table1567[[#This Row],[Date]],"DDD")</f>
        <v>Sun</v>
      </c>
    </row>
    <row r="447" spans="1:20" ht="29" x14ac:dyDescent="0.35">
      <c r="A447" s="4">
        <v>446</v>
      </c>
      <c r="B447" s="5">
        <v>45084</v>
      </c>
      <c r="C447" s="4" t="s">
        <v>459</v>
      </c>
      <c r="D447" s="4" t="s">
        <v>10</v>
      </c>
      <c r="E447" s="4">
        <v>21</v>
      </c>
      <c r="F447" s="4" t="str">
        <f>IF(Table1567[[#This Row],[Age]]&lt;=19,"Teenager",IF(Table1567[[#This Row],[Age]]&lt;=40,"Median","Old"))</f>
        <v>Median</v>
      </c>
      <c r="G447" s="4" t="s">
        <v>16</v>
      </c>
      <c r="H447" s="4">
        <v>1</v>
      </c>
      <c r="I447" s="4">
        <v>50</v>
      </c>
      <c r="J447" s="4">
        <v>50</v>
      </c>
      <c r="K447" s="4" t="str" cm="1">
        <f t="array" ref="K447">_xlfn.IFS(AND(Table1567[[#This Row],[Total Amount]]&gt;=1500),"Critical",AND(Table1567[[#This Row],[Total Amount]]&gt;=1000),"High",TRUE,"Normal")</f>
        <v>Normal</v>
      </c>
      <c r="L447" s="4" t="str">
        <f>IF(Table1567[[#This Row],[Total Amount]]&gt;=1000,"High",(IF(Table1567[[#This Row],[Total Amount]]&gt;=500,"Medium","Low")))</f>
        <v>Low</v>
      </c>
      <c r="M447" s="4" t="str" cm="1">
        <f t="array" ref="M44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447" s="4" cm="1">
        <f t="array" ref="N44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447" s="4">
        <f>Table1567[[#This Row],[Total Amount]]-Table1567[[#This Row],[Discount Amount]]</f>
        <v>50</v>
      </c>
      <c r="P447" s="4" t="str">
        <f>IF(Table1567[[#This Row],[Total Amount]]&gt;=1000,"High","Low")</f>
        <v>Low</v>
      </c>
      <c r="Q447" s="4" t="str" cm="1">
        <f t="array" ref="Q447">_xlfn.IFS(AND(Table1567[[#This Row],[Total Amount]]&gt;=1500,"Critical"),AND(Table1567[[#This Row],[Total Amount]]&gt;=1000,"High"),TRUE,"Normal")</f>
        <v>Normal</v>
      </c>
      <c r="R447" s="4" t="str">
        <f>CONCATENATE(Table1567[[#This Row],[Customer ID]], "-",Table1567[[#This Row],[Age]])</f>
        <v>CUST446-21</v>
      </c>
      <c r="S447" s="4" t="str">
        <f>TEXT(Table1567[[#This Row],[Date]],"mmm")</f>
        <v>Jun</v>
      </c>
      <c r="T447" s="4" t="str">
        <f>TEXT(Table1567[[#This Row],[Date]],"DDD")</f>
        <v>Wed</v>
      </c>
    </row>
    <row r="448" spans="1:20" ht="29" x14ac:dyDescent="0.35">
      <c r="A448" s="4">
        <v>447</v>
      </c>
      <c r="B448" s="5">
        <v>45113</v>
      </c>
      <c r="C448" s="4" t="s">
        <v>460</v>
      </c>
      <c r="D448" s="4" t="s">
        <v>10</v>
      </c>
      <c r="E448" s="4">
        <v>22</v>
      </c>
      <c r="F448" s="4" t="str">
        <f>IF(Table1567[[#This Row],[Age]]&lt;=19,"Teenager",IF(Table1567[[#This Row],[Age]]&lt;=40,"Median","Old"))</f>
        <v>Median</v>
      </c>
      <c r="G448" s="4" t="s">
        <v>11</v>
      </c>
      <c r="H448" s="4">
        <v>4</v>
      </c>
      <c r="I448" s="4">
        <v>500</v>
      </c>
      <c r="J448" s="4">
        <v>2000</v>
      </c>
      <c r="K448" s="4" t="str" cm="1">
        <f t="array" ref="K448">_xlfn.IFS(AND(Table1567[[#This Row],[Total Amount]]&gt;=1500),"Critical",AND(Table1567[[#This Row],[Total Amount]]&gt;=1000),"High",TRUE,"Normal")</f>
        <v>Critical</v>
      </c>
      <c r="L448" s="4" t="str">
        <f>IF(Table1567[[#This Row],[Total Amount]]&gt;=1000,"High",(IF(Table1567[[#This Row],[Total Amount]]&gt;=500,"Medium","Low")))</f>
        <v>High</v>
      </c>
      <c r="M448" s="4" t="str" cm="1">
        <f t="array" ref="M44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448" s="4" cm="1">
        <f t="array" ref="N44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448" s="4">
        <f>Table1567[[#This Row],[Total Amount]]-Table1567[[#This Row],[Discount Amount]]</f>
        <v>2000</v>
      </c>
      <c r="P448" s="4" t="str">
        <f>IF(Table1567[[#This Row],[Total Amount]]&gt;=1000,"High","Low")</f>
        <v>High</v>
      </c>
      <c r="Q448" s="4" t="b" cm="1">
        <f t="array" ref="Q448">_xlfn.IFS(AND(Table1567[[#This Row],[Total Amount]]&gt;=1500,"Critical"),AND(Table1567[[#This Row],[Total Amount]]&gt;=1000,"High"),TRUE,"Normal")</f>
        <v>1</v>
      </c>
      <c r="R448" s="4" t="str">
        <f>CONCATENATE(Table1567[[#This Row],[Customer ID]], "-",Table1567[[#This Row],[Age]])</f>
        <v>CUST447-22</v>
      </c>
      <c r="S448" s="4" t="str">
        <f>TEXT(Table1567[[#This Row],[Date]],"mmm")</f>
        <v>Jul</v>
      </c>
      <c r="T448" s="4" t="str">
        <f>TEXT(Table1567[[#This Row],[Date]],"DDD")</f>
        <v>Thu</v>
      </c>
    </row>
    <row r="449" spans="1:20" ht="29" x14ac:dyDescent="0.35">
      <c r="A449" s="4">
        <v>448</v>
      </c>
      <c r="B449" s="5">
        <v>44947</v>
      </c>
      <c r="C449" s="4" t="s">
        <v>461</v>
      </c>
      <c r="D449" s="4" t="s">
        <v>13</v>
      </c>
      <c r="E449" s="4">
        <v>54</v>
      </c>
      <c r="F449" s="4" t="str">
        <f>IF(Table1567[[#This Row],[Age]]&lt;=19,"Teenager",IF(Table1567[[#This Row],[Age]]&lt;=40,"Median","Old"))</f>
        <v>Old</v>
      </c>
      <c r="G449" s="4" t="s">
        <v>11</v>
      </c>
      <c r="H449" s="4">
        <v>2</v>
      </c>
      <c r="I449" s="4">
        <v>30</v>
      </c>
      <c r="J449" s="4">
        <v>60</v>
      </c>
      <c r="K449" s="4" t="str" cm="1">
        <f t="array" ref="K449">_xlfn.IFS(AND(Table1567[[#This Row],[Total Amount]]&gt;=1500),"Critical",AND(Table1567[[#This Row],[Total Amount]]&gt;=1000),"High",TRUE,"Normal")</f>
        <v>Normal</v>
      </c>
      <c r="L449" s="4" t="str">
        <f>IF(Table1567[[#This Row],[Total Amount]]&gt;=1000,"High",(IF(Table1567[[#This Row],[Total Amount]]&gt;=500,"Medium","Low")))</f>
        <v>Low</v>
      </c>
      <c r="M449" s="4" t="str" cm="1">
        <f t="array" ref="M44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49" s="4" cm="1">
        <f t="array" ref="N44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449" s="4">
        <f>Table1567[[#This Row],[Total Amount]]-Table1567[[#This Row],[Discount Amount]]</f>
        <v>48</v>
      </c>
      <c r="P449" s="4" t="str">
        <f>IF(Table1567[[#This Row],[Total Amount]]&gt;=1000,"High","Low")</f>
        <v>Low</v>
      </c>
      <c r="Q449" s="4" t="str" cm="1">
        <f t="array" ref="Q449">_xlfn.IFS(AND(Table1567[[#This Row],[Total Amount]]&gt;=1500,"Critical"),AND(Table1567[[#This Row],[Total Amount]]&gt;=1000,"High"),TRUE,"Normal")</f>
        <v>Normal</v>
      </c>
      <c r="R449" s="4" t="str">
        <f>CONCATENATE(Table1567[[#This Row],[Customer ID]], "-",Table1567[[#This Row],[Age]])</f>
        <v>CUST448-54</v>
      </c>
      <c r="S449" s="4" t="str">
        <f>TEXT(Table1567[[#This Row],[Date]],"mmm")</f>
        <v>Jan</v>
      </c>
      <c r="T449" s="4" t="str">
        <f>TEXT(Table1567[[#This Row],[Date]],"DDD")</f>
        <v>Sat</v>
      </c>
    </row>
    <row r="450" spans="1:20" ht="29" x14ac:dyDescent="0.35">
      <c r="A450" s="4">
        <v>449</v>
      </c>
      <c r="B450" s="5">
        <v>45110</v>
      </c>
      <c r="C450" s="4" t="s">
        <v>462</v>
      </c>
      <c r="D450" s="4" t="s">
        <v>10</v>
      </c>
      <c r="E450" s="4">
        <v>25</v>
      </c>
      <c r="F450" s="4" t="str">
        <f>IF(Table1567[[#This Row],[Age]]&lt;=19,"Teenager",IF(Table1567[[#This Row],[Age]]&lt;=40,"Median","Old"))</f>
        <v>Median</v>
      </c>
      <c r="G450" s="4" t="s">
        <v>16</v>
      </c>
      <c r="H450" s="4">
        <v>4</v>
      </c>
      <c r="I450" s="4">
        <v>50</v>
      </c>
      <c r="J450" s="4">
        <v>200</v>
      </c>
      <c r="K450" s="4" t="str" cm="1">
        <f t="array" ref="K450">_xlfn.IFS(AND(Table1567[[#This Row],[Total Amount]]&gt;=1500),"Critical",AND(Table1567[[#This Row],[Total Amount]]&gt;=1000),"High",TRUE,"Normal")</f>
        <v>Normal</v>
      </c>
      <c r="L450" s="4" t="str">
        <f>IF(Table1567[[#This Row],[Total Amount]]&gt;=1000,"High",(IF(Table1567[[#This Row],[Total Amount]]&gt;=500,"Medium","Low")))</f>
        <v>Low</v>
      </c>
      <c r="M450" s="4" t="str" cm="1">
        <f t="array" ref="M45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50" s="4" cm="1">
        <f t="array" ref="N45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450" s="4">
        <f>Table1567[[#This Row],[Total Amount]]-Table1567[[#This Row],[Discount Amount]]</f>
        <v>170</v>
      </c>
      <c r="P450" s="4" t="str">
        <f>IF(Table1567[[#This Row],[Total Amount]]&gt;=1000,"High","Low")</f>
        <v>Low</v>
      </c>
      <c r="Q450" s="4" t="str" cm="1">
        <f t="array" ref="Q450">_xlfn.IFS(AND(Table1567[[#This Row],[Total Amount]]&gt;=1500,"Critical"),AND(Table1567[[#This Row],[Total Amount]]&gt;=1000,"High"),TRUE,"Normal")</f>
        <v>Normal</v>
      </c>
      <c r="R450" s="4" t="str">
        <f>CONCATENATE(Table1567[[#This Row],[Customer ID]], "-",Table1567[[#This Row],[Age]])</f>
        <v>CUST449-25</v>
      </c>
      <c r="S450" s="4" t="str">
        <f>TEXT(Table1567[[#This Row],[Date]],"mmm")</f>
        <v>Jul</v>
      </c>
      <c r="T450" s="4" t="str">
        <f>TEXT(Table1567[[#This Row],[Date]],"DDD")</f>
        <v>Mon</v>
      </c>
    </row>
    <row r="451" spans="1:20" ht="29" x14ac:dyDescent="0.35">
      <c r="A451" s="4">
        <v>450</v>
      </c>
      <c r="B451" s="5">
        <v>45034</v>
      </c>
      <c r="C451" s="4" t="s">
        <v>463</v>
      </c>
      <c r="D451" s="4" t="s">
        <v>13</v>
      </c>
      <c r="E451" s="4">
        <v>59</v>
      </c>
      <c r="F451" s="4" t="str">
        <f>IF(Table1567[[#This Row],[Age]]&lt;=19,"Teenager",IF(Table1567[[#This Row],[Age]]&lt;=40,"Median","Old"))</f>
        <v>Old</v>
      </c>
      <c r="G451" s="4" t="s">
        <v>11</v>
      </c>
      <c r="H451" s="4">
        <v>2</v>
      </c>
      <c r="I451" s="4">
        <v>25</v>
      </c>
      <c r="J451" s="4">
        <v>50</v>
      </c>
      <c r="K451" s="4" t="str" cm="1">
        <f t="array" ref="K451">_xlfn.IFS(AND(Table1567[[#This Row],[Total Amount]]&gt;=1500),"Critical",AND(Table1567[[#This Row],[Total Amount]]&gt;=1000),"High",TRUE,"Normal")</f>
        <v>Normal</v>
      </c>
      <c r="L451" s="4" t="str">
        <f>IF(Table1567[[#This Row],[Total Amount]]&gt;=1000,"High",(IF(Table1567[[#This Row],[Total Amount]]&gt;=500,"Medium","Low")))</f>
        <v>Low</v>
      </c>
      <c r="M451" s="4" t="str" cm="1">
        <f t="array" ref="M45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51" s="4" cm="1">
        <f t="array" ref="N45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451" s="4">
        <f>Table1567[[#This Row],[Total Amount]]-Table1567[[#This Row],[Discount Amount]]</f>
        <v>40</v>
      </c>
      <c r="P451" s="4" t="str">
        <f>IF(Table1567[[#This Row],[Total Amount]]&gt;=1000,"High","Low")</f>
        <v>Low</v>
      </c>
      <c r="Q451" s="4" t="str" cm="1">
        <f t="array" ref="Q451">_xlfn.IFS(AND(Table1567[[#This Row],[Total Amount]]&gt;=1500,"Critical"),AND(Table1567[[#This Row],[Total Amount]]&gt;=1000,"High"),TRUE,"Normal")</f>
        <v>Normal</v>
      </c>
      <c r="R451" s="4" t="str">
        <f>CONCATENATE(Table1567[[#This Row],[Customer ID]], "-",Table1567[[#This Row],[Age]])</f>
        <v>CUST450-59</v>
      </c>
      <c r="S451" s="4" t="str">
        <f>TEXT(Table1567[[#This Row],[Date]],"mmm")</f>
        <v>Apr</v>
      </c>
      <c r="T451" s="4" t="str">
        <f>TEXT(Table1567[[#This Row],[Date]],"DDD")</f>
        <v>Tue</v>
      </c>
    </row>
    <row r="452" spans="1:20" ht="29" x14ac:dyDescent="0.35">
      <c r="A452" s="4">
        <v>451</v>
      </c>
      <c r="B452" s="5">
        <v>45276</v>
      </c>
      <c r="C452" s="4" t="s">
        <v>464</v>
      </c>
      <c r="D452" s="4" t="s">
        <v>13</v>
      </c>
      <c r="E452" s="4">
        <v>45</v>
      </c>
      <c r="F452" s="4" t="str">
        <f>IF(Table1567[[#This Row],[Age]]&lt;=19,"Teenager",IF(Table1567[[#This Row],[Age]]&lt;=40,"Median","Old"))</f>
        <v>Old</v>
      </c>
      <c r="G452" s="4" t="s">
        <v>16</v>
      </c>
      <c r="H452" s="4">
        <v>1</v>
      </c>
      <c r="I452" s="4">
        <v>30</v>
      </c>
      <c r="J452" s="4">
        <v>30</v>
      </c>
      <c r="K452" s="4" t="str" cm="1">
        <f t="array" ref="K452">_xlfn.IFS(AND(Table1567[[#This Row],[Total Amount]]&gt;=1500),"Critical",AND(Table1567[[#This Row],[Total Amount]]&gt;=1000),"High",TRUE,"Normal")</f>
        <v>Normal</v>
      </c>
      <c r="L452" s="4" t="str">
        <f>IF(Table1567[[#This Row],[Total Amount]]&gt;=1000,"High",(IF(Table1567[[#This Row],[Total Amount]]&gt;=500,"Medium","Low")))</f>
        <v>Low</v>
      </c>
      <c r="M452" s="4" t="str" cm="1">
        <f t="array" ref="M45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52" s="4" cm="1">
        <f t="array" ref="N45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452" s="4">
        <f>Table1567[[#This Row],[Total Amount]]-Table1567[[#This Row],[Discount Amount]]</f>
        <v>24</v>
      </c>
      <c r="P452" s="4" t="str">
        <f>IF(Table1567[[#This Row],[Total Amount]]&gt;=1000,"High","Low")</f>
        <v>Low</v>
      </c>
      <c r="Q452" s="4" t="str" cm="1">
        <f t="array" ref="Q452">_xlfn.IFS(AND(Table1567[[#This Row],[Total Amount]]&gt;=1500,"Critical"),AND(Table1567[[#This Row],[Total Amount]]&gt;=1000,"High"),TRUE,"Normal")</f>
        <v>Normal</v>
      </c>
      <c r="R452" s="4" t="str">
        <f>CONCATENATE(Table1567[[#This Row],[Customer ID]], "-",Table1567[[#This Row],[Age]])</f>
        <v>CUST451-45</v>
      </c>
      <c r="S452" s="4" t="str">
        <f>TEXT(Table1567[[#This Row],[Date]],"mmm")</f>
        <v>Dec</v>
      </c>
      <c r="T452" s="4" t="str">
        <f>TEXT(Table1567[[#This Row],[Date]],"DDD")</f>
        <v>Sat</v>
      </c>
    </row>
    <row r="453" spans="1:20" ht="29" x14ac:dyDescent="0.35">
      <c r="A453" s="4">
        <v>452</v>
      </c>
      <c r="B453" s="5">
        <v>45054</v>
      </c>
      <c r="C453" s="4" t="s">
        <v>465</v>
      </c>
      <c r="D453" s="4" t="s">
        <v>13</v>
      </c>
      <c r="E453" s="4">
        <v>48</v>
      </c>
      <c r="F453" s="4" t="str">
        <f>IF(Table1567[[#This Row],[Age]]&lt;=19,"Teenager",IF(Table1567[[#This Row],[Age]]&lt;=40,"Median","Old"))</f>
        <v>Old</v>
      </c>
      <c r="G453" s="4" t="s">
        <v>14</v>
      </c>
      <c r="H453" s="4">
        <v>3</v>
      </c>
      <c r="I453" s="4">
        <v>500</v>
      </c>
      <c r="J453" s="4">
        <v>1500</v>
      </c>
      <c r="K453" s="4" t="str" cm="1">
        <f t="array" ref="K453">_xlfn.IFS(AND(Table1567[[#This Row],[Total Amount]]&gt;=1500),"Critical",AND(Table1567[[#This Row],[Total Amount]]&gt;=1000),"High",TRUE,"Normal")</f>
        <v>Critical</v>
      </c>
      <c r="L453" s="4" t="str">
        <f>IF(Table1567[[#This Row],[Total Amount]]&gt;=1000,"High",(IF(Table1567[[#This Row],[Total Amount]]&gt;=500,"Medium","Low")))</f>
        <v>High</v>
      </c>
      <c r="M453" s="4" t="str" cm="1">
        <f t="array" ref="M45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53" s="4" cm="1">
        <f t="array" ref="N45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453" s="4">
        <f>Table1567[[#This Row],[Total Amount]]-Table1567[[#This Row],[Discount Amount]]</f>
        <v>1200</v>
      </c>
      <c r="P453" s="4" t="str">
        <f>IF(Table1567[[#This Row],[Total Amount]]&gt;=1000,"High","Low")</f>
        <v>High</v>
      </c>
      <c r="Q453" s="4" t="b" cm="1">
        <f t="array" ref="Q453">_xlfn.IFS(AND(Table1567[[#This Row],[Total Amount]]&gt;=1500,"Critical"),AND(Table1567[[#This Row],[Total Amount]]&gt;=1000,"High"),TRUE,"Normal")</f>
        <v>1</v>
      </c>
      <c r="R453" s="4" t="str">
        <f>CONCATENATE(Table1567[[#This Row],[Customer ID]], "-",Table1567[[#This Row],[Age]])</f>
        <v>CUST452-48</v>
      </c>
      <c r="S453" s="4" t="str">
        <f>TEXT(Table1567[[#This Row],[Date]],"mmm")</f>
        <v>May</v>
      </c>
      <c r="T453" s="4" t="str">
        <f>TEXT(Table1567[[#This Row],[Date]],"DDD")</f>
        <v>Mon</v>
      </c>
    </row>
    <row r="454" spans="1:20" ht="29" x14ac:dyDescent="0.35">
      <c r="A454" s="4">
        <v>453</v>
      </c>
      <c r="B454" s="5">
        <v>45268</v>
      </c>
      <c r="C454" s="4" t="s">
        <v>466</v>
      </c>
      <c r="D454" s="4" t="s">
        <v>13</v>
      </c>
      <c r="E454" s="4">
        <v>26</v>
      </c>
      <c r="F454" s="4" t="str">
        <f>IF(Table1567[[#This Row],[Age]]&lt;=19,"Teenager",IF(Table1567[[#This Row],[Age]]&lt;=40,"Median","Old"))</f>
        <v>Median</v>
      </c>
      <c r="G454" s="4" t="s">
        <v>14</v>
      </c>
      <c r="H454" s="4">
        <v>2</v>
      </c>
      <c r="I454" s="4">
        <v>500</v>
      </c>
      <c r="J454" s="4">
        <v>1000</v>
      </c>
      <c r="K454" s="4" t="str" cm="1">
        <f t="array" ref="K454">_xlfn.IFS(AND(Table1567[[#This Row],[Total Amount]]&gt;=1500),"Critical",AND(Table1567[[#This Row],[Total Amount]]&gt;=1000),"High",TRUE,"Normal")</f>
        <v>High</v>
      </c>
      <c r="L454" s="4" t="str">
        <f>IF(Table1567[[#This Row],[Total Amount]]&gt;=1000,"High",(IF(Table1567[[#This Row],[Total Amount]]&gt;=500,"Medium","Low")))</f>
        <v>High</v>
      </c>
      <c r="M454" s="4" t="str" cm="1">
        <f t="array" ref="M45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54" s="4" cm="1">
        <f t="array" ref="N45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454" s="4">
        <f>Table1567[[#This Row],[Total Amount]]-Table1567[[#This Row],[Discount Amount]]</f>
        <v>850</v>
      </c>
      <c r="P454" s="4" t="str">
        <f>IF(Table1567[[#This Row],[Total Amount]]&gt;=1000,"High","Low")</f>
        <v>High</v>
      </c>
      <c r="Q454" s="4" t="str" cm="1">
        <f t="array" ref="Q454">_xlfn.IFS(AND(Table1567[[#This Row],[Total Amount]]&gt;=1500,"Critical"),AND(Table1567[[#This Row],[Total Amount]]&gt;=1000,"High"),TRUE,"Normal")</f>
        <v>Normal</v>
      </c>
      <c r="R454" s="4" t="str">
        <f>CONCATENATE(Table1567[[#This Row],[Customer ID]], "-",Table1567[[#This Row],[Age]])</f>
        <v>CUST453-26</v>
      </c>
      <c r="S454" s="4" t="str">
        <f>TEXT(Table1567[[#This Row],[Date]],"mmm")</f>
        <v>Dec</v>
      </c>
      <c r="T454" s="4" t="str">
        <f>TEXT(Table1567[[#This Row],[Date]],"DDD")</f>
        <v>Fri</v>
      </c>
    </row>
    <row r="455" spans="1:20" ht="29" x14ac:dyDescent="0.35">
      <c r="A455" s="4">
        <v>454</v>
      </c>
      <c r="B455" s="5">
        <v>44979</v>
      </c>
      <c r="C455" s="4" t="s">
        <v>467</v>
      </c>
      <c r="D455" s="4" t="s">
        <v>13</v>
      </c>
      <c r="E455" s="4">
        <v>46</v>
      </c>
      <c r="F455" s="4" t="str">
        <f>IF(Table1567[[#This Row],[Age]]&lt;=19,"Teenager",IF(Table1567[[#This Row],[Age]]&lt;=40,"Median","Old"))</f>
        <v>Old</v>
      </c>
      <c r="G455" s="4" t="s">
        <v>11</v>
      </c>
      <c r="H455" s="4">
        <v>1</v>
      </c>
      <c r="I455" s="4">
        <v>25</v>
      </c>
      <c r="J455" s="4">
        <v>25</v>
      </c>
      <c r="K455" s="4" t="str" cm="1">
        <f t="array" ref="K455">_xlfn.IFS(AND(Table1567[[#This Row],[Total Amount]]&gt;=1500),"Critical",AND(Table1567[[#This Row],[Total Amount]]&gt;=1000),"High",TRUE,"Normal")</f>
        <v>Normal</v>
      </c>
      <c r="L455" s="4" t="str">
        <f>IF(Table1567[[#This Row],[Total Amount]]&gt;=1000,"High",(IF(Table1567[[#This Row],[Total Amount]]&gt;=500,"Medium","Low")))</f>
        <v>Low</v>
      </c>
      <c r="M455" s="4" t="str" cm="1">
        <f t="array" ref="M45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55" s="4" cm="1">
        <f t="array" ref="N45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455" s="4">
        <f>Table1567[[#This Row],[Total Amount]]-Table1567[[#This Row],[Discount Amount]]</f>
        <v>20</v>
      </c>
      <c r="P455" s="4" t="str">
        <f>IF(Table1567[[#This Row],[Total Amount]]&gt;=1000,"High","Low")</f>
        <v>Low</v>
      </c>
      <c r="Q455" s="4" t="str" cm="1">
        <f t="array" ref="Q455">_xlfn.IFS(AND(Table1567[[#This Row],[Total Amount]]&gt;=1500,"Critical"),AND(Table1567[[#This Row],[Total Amount]]&gt;=1000,"High"),TRUE,"Normal")</f>
        <v>Normal</v>
      </c>
      <c r="R455" s="4" t="str">
        <f>CONCATENATE(Table1567[[#This Row],[Customer ID]], "-",Table1567[[#This Row],[Age]])</f>
        <v>CUST454-46</v>
      </c>
      <c r="S455" s="4" t="str">
        <f>TEXT(Table1567[[#This Row],[Date]],"mmm")</f>
        <v>Feb</v>
      </c>
      <c r="T455" s="4" t="str">
        <f>TEXT(Table1567[[#This Row],[Date]],"DDD")</f>
        <v>Wed</v>
      </c>
    </row>
    <row r="456" spans="1:20" ht="29" x14ac:dyDescent="0.35">
      <c r="A456" s="4">
        <v>455</v>
      </c>
      <c r="B456" s="5">
        <v>45108</v>
      </c>
      <c r="C456" s="4" t="s">
        <v>468</v>
      </c>
      <c r="D456" s="4" t="s">
        <v>10</v>
      </c>
      <c r="E456" s="4">
        <v>31</v>
      </c>
      <c r="F456" s="4" t="str">
        <f>IF(Table1567[[#This Row],[Age]]&lt;=19,"Teenager",IF(Table1567[[#This Row],[Age]]&lt;=40,"Median","Old"))</f>
        <v>Median</v>
      </c>
      <c r="G456" s="4" t="s">
        <v>16</v>
      </c>
      <c r="H456" s="4">
        <v>4</v>
      </c>
      <c r="I456" s="4">
        <v>25</v>
      </c>
      <c r="J456" s="4">
        <v>100</v>
      </c>
      <c r="K456" s="4" t="str" cm="1">
        <f t="array" ref="K456">_xlfn.IFS(AND(Table1567[[#This Row],[Total Amount]]&gt;=1500),"Critical",AND(Table1567[[#This Row],[Total Amount]]&gt;=1000),"High",TRUE,"Normal")</f>
        <v>Normal</v>
      </c>
      <c r="L456" s="4" t="str">
        <f>IF(Table1567[[#This Row],[Total Amount]]&gt;=1000,"High",(IF(Table1567[[#This Row],[Total Amount]]&gt;=500,"Medium","Low")))</f>
        <v>Low</v>
      </c>
      <c r="M456" s="4" t="str" cm="1">
        <f t="array" ref="M45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56" s="4" cm="1">
        <f t="array" ref="N45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456" s="4">
        <f>Table1567[[#This Row],[Total Amount]]-Table1567[[#This Row],[Discount Amount]]</f>
        <v>85</v>
      </c>
      <c r="P456" s="4" t="str">
        <f>IF(Table1567[[#This Row],[Total Amount]]&gt;=1000,"High","Low")</f>
        <v>Low</v>
      </c>
      <c r="Q456" s="4" t="str" cm="1">
        <f t="array" ref="Q456">_xlfn.IFS(AND(Table1567[[#This Row],[Total Amount]]&gt;=1500,"Critical"),AND(Table1567[[#This Row],[Total Amount]]&gt;=1000,"High"),TRUE,"Normal")</f>
        <v>Normal</v>
      </c>
      <c r="R456" s="4" t="str">
        <f>CONCATENATE(Table1567[[#This Row],[Customer ID]], "-",Table1567[[#This Row],[Age]])</f>
        <v>CUST455-31</v>
      </c>
      <c r="S456" s="4" t="str">
        <f>TEXT(Table1567[[#This Row],[Date]],"mmm")</f>
        <v>Jul</v>
      </c>
      <c r="T456" s="4" t="str">
        <f>TEXT(Table1567[[#This Row],[Date]],"DDD")</f>
        <v>Sat</v>
      </c>
    </row>
    <row r="457" spans="1:20" ht="29" x14ac:dyDescent="0.35">
      <c r="A457" s="4">
        <v>456</v>
      </c>
      <c r="B457" s="5">
        <v>45213</v>
      </c>
      <c r="C457" s="4" t="s">
        <v>469</v>
      </c>
      <c r="D457" s="4" t="s">
        <v>10</v>
      </c>
      <c r="E457" s="4">
        <v>57</v>
      </c>
      <c r="F457" s="4" t="str">
        <f>IF(Table1567[[#This Row],[Age]]&lt;=19,"Teenager",IF(Table1567[[#This Row],[Age]]&lt;=40,"Median","Old"))</f>
        <v>Old</v>
      </c>
      <c r="G457" s="4" t="s">
        <v>16</v>
      </c>
      <c r="H457" s="4">
        <v>2</v>
      </c>
      <c r="I457" s="4">
        <v>30</v>
      </c>
      <c r="J457" s="4">
        <v>60</v>
      </c>
      <c r="K457" s="4" t="str" cm="1">
        <f t="array" ref="K457">_xlfn.IFS(AND(Table1567[[#This Row],[Total Amount]]&gt;=1500),"Critical",AND(Table1567[[#This Row],[Total Amount]]&gt;=1000),"High",TRUE,"Normal")</f>
        <v>Normal</v>
      </c>
      <c r="L457" s="4" t="str">
        <f>IF(Table1567[[#This Row],[Total Amount]]&gt;=1000,"High",(IF(Table1567[[#This Row],[Total Amount]]&gt;=500,"Medium","Low")))</f>
        <v>Low</v>
      </c>
      <c r="M457" s="4" t="str" cm="1">
        <f t="array" ref="M45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57" s="4" cm="1">
        <f t="array" ref="N45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457" s="4">
        <f>Table1567[[#This Row],[Total Amount]]-Table1567[[#This Row],[Discount Amount]]</f>
        <v>54</v>
      </c>
      <c r="P457" s="4" t="str">
        <f>IF(Table1567[[#This Row],[Total Amount]]&gt;=1000,"High","Low")</f>
        <v>Low</v>
      </c>
      <c r="Q457" s="4" t="str" cm="1">
        <f t="array" ref="Q457">_xlfn.IFS(AND(Table1567[[#This Row],[Total Amount]]&gt;=1500,"Critical"),AND(Table1567[[#This Row],[Total Amount]]&gt;=1000,"High"),TRUE,"Normal")</f>
        <v>Normal</v>
      </c>
      <c r="R457" s="4" t="str">
        <f>CONCATENATE(Table1567[[#This Row],[Customer ID]], "-",Table1567[[#This Row],[Age]])</f>
        <v>CUST456-57</v>
      </c>
      <c r="S457" s="4" t="str">
        <f>TEXT(Table1567[[#This Row],[Date]],"mmm")</f>
        <v>Oct</v>
      </c>
      <c r="T457" s="4" t="str">
        <f>TEXT(Table1567[[#This Row],[Date]],"DDD")</f>
        <v>Sat</v>
      </c>
    </row>
    <row r="458" spans="1:20" ht="29" x14ac:dyDescent="0.35">
      <c r="A458" s="4">
        <v>457</v>
      </c>
      <c r="B458" s="5">
        <v>45135</v>
      </c>
      <c r="C458" s="4" t="s">
        <v>470</v>
      </c>
      <c r="D458" s="4" t="s">
        <v>13</v>
      </c>
      <c r="E458" s="4">
        <v>58</v>
      </c>
      <c r="F458" s="4" t="str">
        <f>IF(Table1567[[#This Row],[Age]]&lt;=19,"Teenager",IF(Table1567[[#This Row],[Age]]&lt;=40,"Median","Old"))</f>
        <v>Old</v>
      </c>
      <c r="G458" s="4" t="s">
        <v>11</v>
      </c>
      <c r="H458" s="4">
        <v>3</v>
      </c>
      <c r="I458" s="4">
        <v>300</v>
      </c>
      <c r="J458" s="4">
        <v>900</v>
      </c>
      <c r="K458" s="4" t="str" cm="1">
        <f t="array" ref="K458">_xlfn.IFS(AND(Table1567[[#This Row],[Total Amount]]&gt;=1500),"Critical",AND(Table1567[[#This Row],[Total Amount]]&gt;=1000),"High",TRUE,"Normal")</f>
        <v>Normal</v>
      </c>
      <c r="L458" s="4" t="str">
        <f>IF(Table1567[[#This Row],[Total Amount]]&gt;=1000,"High",(IF(Table1567[[#This Row],[Total Amount]]&gt;=500,"Medium","Low")))</f>
        <v>Medium</v>
      </c>
      <c r="M458" s="4" t="str" cm="1">
        <f t="array" ref="M45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58" s="4" cm="1">
        <f t="array" ref="N45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458" s="4">
        <f>Table1567[[#This Row],[Total Amount]]-Table1567[[#This Row],[Discount Amount]]</f>
        <v>720</v>
      </c>
      <c r="P458" s="4" t="str">
        <f>IF(Table1567[[#This Row],[Total Amount]]&gt;=1000,"High","Low")</f>
        <v>Low</v>
      </c>
      <c r="Q458" s="4" t="str" cm="1">
        <f t="array" ref="Q458">_xlfn.IFS(AND(Table1567[[#This Row],[Total Amount]]&gt;=1500,"Critical"),AND(Table1567[[#This Row],[Total Amount]]&gt;=1000,"High"),TRUE,"Normal")</f>
        <v>Normal</v>
      </c>
      <c r="R458" s="4" t="str">
        <f>CONCATENATE(Table1567[[#This Row],[Customer ID]], "-",Table1567[[#This Row],[Age]])</f>
        <v>CUST457-58</v>
      </c>
      <c r="S458" s="4" t="str">
        <f>TEXT(Table1567[[#This Row],[Date]],"mmm")</f>
        <v>Jul</v>
      </c>
      <c r="T458" s="4" t="str">
        <f>TEXT(Table1567[[#This Row],[Date]],"DDD")</f>
        <v>Fri</v>
      </c>
    </row>
    <row r="459" spans="1:20" ht="29" x14ac:dyDescent="0.35">
      <c r="A459" s="4">
        <v>458</v>
      </c>
      <c r="B459" s="5">
        <v>45244</v>
      </c>
      <c r="C459" s="4" t="s">
        <v>471</v>
      </c>
      <c r="D459" s="4" t="s">
        <v>13</v>
      </c>
      <c r="E459" s="4">
        <v>39</v>
      </c>
      <c r="F459" s="4" t="str">
        <f>IF(Table1567[[#This Row],[Age]]&lt;=19,"Teenager",IF(Table1567[[#This Row],[Age]]&lt;=40,"Median","Old"))</f>
        <v>Median</v>
      </c>
      <c r="G459" s="4" t="s">
        <v>16</v>
      </c>
      <c r="H459" s="4">
        <v>4</v>
      </c>
      <c r="I459" s="4">
        <v>25</v>
      </c>
      <c r="J459" s="4">
        <v>100</v>
      </c>
      <c r="K459" s="4" t="str" cm="1">
        <f t="array" ref="K459">_xlfn.IFS(AND(Table1567[[#This Row],[Total Amount]]&gt;=1500),"Critical",AND(Table1567[[#This Row],[Total Amount]]&gt;=1000),"High",TRUE,"Normal")</f>
        <v>Normal</v>
      </c>
      <c r="L459" s="4" t="str">
        <f>IF(Table1567[[#This Row],[Total Amount]]&gt;=1000,"High",(IF(Table1567[[#This Row],[Total Amount]]&gt;=500,"Medium","Low")))</f>
        <v>Low</v>
      </c>
      <c r="M459" s="4" t="str" cm="1">
        <f t="array" ref="M45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59" s="4" cm="1">
        <f t="array" ref="N45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459" s="4">
        <f>Table1567[[#This Row],[Total Amount]]-Table1567[[#This Row],[Discount Amount]]</f>
        <v>80</v>
      </c>
      <c r="P459" s="4" t="str">
        <f>IF(Table1567[[#This Row],[Total Amount]]&gt;=1000,"High","Low")</f>
        <v>Low</v>
      </c>
      <c r="Q459" s="4" t="str" cm="1">
        <f t="array" ref="Q459">_xlfn.IFS(AND(Table1567[[#This Row],[Total Amount]]&gt;=1500,"Critical"),AND(Table1567[[#This Row],[Total Amount]]&gt;=1000,"High"),TRUE,"Normal")</f>
        <v>Normal</v>
      </c>
      <c r="R459" s="4" t="str">
        <f>CONCATENATE(Table1567[[#This Row],[Customer ID]], "-",Table1567[[#This Row],[Age]])</f>
        <v>CUST458-39</v>
      </c>
      <c r="S459" s="4" t="str">
        <f>TEXT(Table1567[[#This Row],[Date]],"mmm")</f>
        <v>Nov</v>
      </c>
      <c r="T459" s="4" t="str">
        <f>TEXT(Table1567[[#This Row],[Date]],"DDD")</f>
        <v>Tue</v>
      </c>
    </row>
    <row r="460" spans="1:20" ht="29" x14ac:dyDescent="0.35">
      <c r="A460" s="4">
        <v>459</v>
      </c>
      <c r="B460" s="5">
        <v>45006</v>
      </c>
      <c r="C460" s="4" t="s">
        <v>472</v>
      </c>
      <c r="D460" s="4" t="s">
        <v>10</v>
      </c>
      <c r="E460" s="4">
        <v>28</v>
      </c>
      <c r="F460" s="4" t="str">
        <f>IF(Table1567[[#This Row],[Age]]&lt;=19,"Teenager",IF(Table1567[[#This Row],[Age]]&lt;=40,"Median","Old"))</f>
        <v>Median</v>
      </c>
      <c r="G460" s="4" t="s">
        <v>14</v>
      </c>
      <c r="H460" s="4">
        <v>4</v>
      </c>
      <c r="I460" s="4">
        <v>300</v>
      </c>
      <c r="J460" s="4">
        <v>1200</v>
      </c>
      <c r="K460" s="4" t="str" cm="1">
        <f t="array" ref="K460">_xlfn.IFS(AND(Table1567[[#This Row],[Total Amount]]&gt;=1500),"Critical",AND(Table1567[[#This Row],[Total Amount]]&gt;=1000),"High",TRUE,"Normal")</f>
        <v>High</v>
      </c>
      <c r="L460" s="4" t="str">
        <f>IF(Table1567[[#This Row],[Total Amount]]&gt;=1000,"High",(IF(Table1567[[#This Row],[Total Amount]]&gt;=500,"Medium","Low")))</f>
        <v>High</v>
      </c>
      <c r="M460" s="4" t="str" cm="1">
        <f t="array" ref="M46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60" s="4" cm="1">
        <f t="array" ref="N46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460" s="4">
        <f>Table1567[[#This Row],[Total Amount]]-Table1567[[#This Row],[Discount Amount]]</f>
        <v>1020</v>
      </c>
      <c r="P460" s="4" t="str">
        <f>IF(Table1567[[#This Row],[Total Amount]]&gt;=1000,"High","Low")</f>
        <v>High</v>
      </c>
      <c r="Q460" s="4" t="str" cm="1">
        <f t="array" ref="Q460">_xlfn.IFS(AND(Table1567[[#This Row],[Total Amount]]&gt;=1500,"Critical"),AND(Table1567[[#This Row],[Total Amount]]&gt;=1000,"High"),TRUE,"Normal")</f>
        <v>Normal</v>
      </c>
      <c r="R460" s="4" t="str">
        <f>CONCATENATE(Table1567[[#This Row],[Customer ID]], "-",Table1567[[#This Row],[Age]])</f>
        <v>CUST459-28</v>
      </c>
      <c r="S460" s="4" t="str">
        <f>TEXT(Table1567[[#This Row],[Date]],"mmm")</f>
        <v>Mar</v>
      </c>
      <c r="T460" s="4" t="str">
        <f>TEXT(Table1567[[#This Row],[Date]],"DDD")</f>
        <v>Tue</v>
      </c>
    </row>
    <row r="461" spans="1:20" ht="29" x14ac:dyDescent="0.35">
      <c r="A461" s="4">
        <v>460</v>
      </c>
      <c r="B461" s="5">
        <v>45048</v>
      </c>
      <c r="C461" s="4" t="s">
        <v>473</v>
      </c>
      <c r="D461" s="4" t="s">
        <v>10</v>
      </c>
      <c r="E461" s="4">
        <v>40</v>
      </c>
      <c r="F461" s="4" t="str">
        <f>IF(Table1567[[#This Row],[Age]]&lt;=19,"Teenager",IF(Table1567[[#This Row],[Age]]&lt;=40,"Median","Old"))</f>
        <v>Median</v>
      </c>
      <c r="G461" s="4" t="s">
        <v>11</v>
      </c>
      <c r="H461" s="4">
        <v>1</v>
      </c>
      <c r="I461" s="4">
        <v>50</v>
      </c>
      <c r="J461" s="4">
        <v>50</v>
      </c>
      <c r="K461" s="4" t="str" cm="1">
        <f t="array" ref="K461">_xlfn.IFS(AND(Table1567[[#This Row],[Total Amount]]&gt;=1500),"Critical",AND(Table1567[[#This Row],[Total Amount]]&gt;=1000),"High",TRUE,"Normal")</f>
        <v>Normal</v>
      </c>
      <c r="L461" s="4" t="str">
        <f>IF(Table1567[[#This Row],[Total Amount]]&gt;=1000,"High",(IF(Table1567[[#This Row],[Total Amount]]&gt;=500,"Medium","Low")))</f>
        <v>Low</v>
      </c>
      <c r="M461" s="4" t="str" cm="1">
        <f t="array" ref="M46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61" s="4" cm="1">
        <f t="array" ref="N46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461" s="4">
        <f>Table1567[[#This Row],[Total Amount]]-Table1567[[#This Row],[Discount Amount]]</f>
        <v>45</v>
      </c>
      <c r="P461" s="4" t="str">
        <f>IF(Table1567[[#This Row],[Total Amount]]&gt;=1000,"High","Low")</f>
        <v>Low</v>
      </c>
      <c r="Q461" s="4" t="str" cm="1">
        <f t="array" ref="Q461">_xlfn.IFS(AND(Table1567[[#This Row],[Total Amount]]&gt;=1500,"Critical"),AND(Table1567[[#This Row],[Total Amount]]&gt;=1000,"High"),TRUE,"Normal")</f>
        <v>Normal</v>
      </c>
      <c r="R461" s="4" t="str">
        <f>CONCATENATE(Table1567[[#This Row],[Customer ID]], "-",Table1567[[#This Row],[Age]])</f>
        <v>CUST460-40</v>
      </c>
      <c r="S461" s="4" t="str">
        <f>TEXT(Table1567[[#This Row],[Date]],"mmm")</f>
        <v>May</v>
      </c>
      <c r="T461" s="4" t="str">
        <f>TEXT(Table1567[[#This Row],[Date]],"DDD")</f>
        <v>Tue</v>
      </c>
    </row>
    <row r="462" spans="1:20" ht="29" x14ac:dyDescent="0.35">
      <c r="A462" s="4">
        <v>461</v>
      </c>
      <c r="B462" s="5">
        <v>45010</v>
      </c>
      <c r="C462" s="4" t="s">
        <v>474</v>
      </c>
      <c r="D462" s="4" t="s">
        <v>13</v>
      </c>
      <c r="E462" s="4">
        <v>18</v>
      </c>
      <c r="F462" s="4" t="str">
        <f>IF(Table1567[[#This Row],[Age]]&lt;=19,"Teenager",IF(Table1567[[#This Row],[Age]]&lt;=40,"Median","Old"))</f>
        <v>Teenager</v>
      </c>
      <c r="G462" s="4" t="s">
        <v>11</v>
      </c>
      <c r="H462" s="4">
        <v>2</v>
      </c>
      <c r="I462" s="4">
        <v>500</v>
      </c>
      <c r="J462" s="4">
        <v>1000</v>
      </c>
      <c r="K462" s="4" t="str" cm="1">
        <f t="array" ref="K462">_xlfn.IFS(AND(Table1567[[#This Row],[Total Amount]]&gt;=1500),"Critical",AND(Table1567[[#This Row],[Total Amount]]&gt;=1000),"High",TRUE,"Normal")</f>
        <v>High</v>
      </c>
      <c r="L462" s="4" t="str">
        <f>IF(Table1567[[#This Row],[Total Amount]]&gt;=1000,"High",(IF(Table1567[[#This Row],[Total Amount]]&gt;=500,"Medium","Low")))</f>
        <v>High</v>
      </c>
      <c r="M462" s="4" t="str" cm="1">
        <f t="array" ref="M46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462" s="4" cm="1">
        <f t="array" ref="N46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462" s="4">
        <f>Table1567[[#This Row],[Total Amount]]-Table1567[[#This Row],[Discount Amount]]</f>
        <v>1000</v>
      </c>
      <c r="P462" s="4" t="str">
        <f>IF(Table1567[[#This Row],[Total Amount]]&gt;=1000,"High","Low")</f>
        <v>High</v>
      </c>
      <c r="Q462" s="4" t="str" cm="1">
        <f t="array" ref="Q462">_xlfn.IFS(AND(Table1567[[#This Row],[Total Amount]]&gt;=1500,"Critical"),AND(Table1567[[#This Row],[Total Amount]]&gt;=1000,"High"),TRUE,"Normal")</f>
        <v>Normal</v>
      </c>
      <c r="R462" s="4" t="str">
        <f>CONCATENATE(Table1567[[#This Row],[Customer ID]], "-",Table1567[[#This Row],[Age]])</f>
        <v>CUST461-18</v>
      </c>
      <c r="S462" s="4" t="str">
        <f>TEXT(Table1567[[#This Row],[Date]],"mmm")</f>
        <v>Mar</v>
      </c>
      <c r="T462" s="4" t="str">
        <f>TEXT(Table1567[[#This Row],[Date]],"DDD")</f>
        <v>Sat</v>
      </c>
    </row>
    <row r="463" spans="1:20" ht="29" x14ac:dyDescent="0.35">
      <c r="A463" s="4">
        <v>462</v>
      </c>
      <c r="B463" s="5">
        <v>45017</v>
      </c>
      <c r="C463" s="4" t="s">
        <v>475</v>
      </c>
      <c r="D463" s="4" t="s">
        <v>10</v>
      </c>
      <c r="E463" s="4">
        <v>63</v>
      </c>
      <c r="F463" s="4" t="str">
        <f>IF(Table1567[[#This Row],[Age]]&lt;=19,"Teenager",IF(Table1567[[#This Row],[Age]]&lt;=40,"Median","Old"))</f>
        <v>Old</v>
      </c>
      <c r="G463" s="4" t="s">
        <v>16</v>
      </c>
      <c r="H463" s="4">
        <v>4</v>
      </c>
      <c r="I463" s="4">
        <v>300</v>
      </c>
      <c r="J463" s="4">
        <v>1200</v>
      </c>
      <c r="K463" s="4" t="str" cm="1">
        <f t="array" ref="K463">_xlfn.IFS(AND(Table1567[[#This Row],[Total Amount]]&gt;=1500),"Critical",AND(Table1567[[#This Row],[Total Amount]]&gt;=1000),"High",TRUE,"Normal")</f>
        <v>High</v>
      </c>
      <c r="L463" s="4" t="str">
        <f>IF(Table1567[[#This Row],[Total Amount]]&gt;=1000,"High",(IF(Table1567[[#This Row],[Total Amount]]&gt;=500,"Medium","Low")))</f>
        <v>High</v>
      </c>
      <c r="M463" s="4" t="str" cm="1">
        <f t="array" ref="M46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63" s="4" cm="1">
        <f t="array" ref="N46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463" s="4">
        <f>Table1567[[#This Row],[Total Amount]]-Table1567[[#This Row],[Discount Amount]]</f>
        <v>1080</v>
      </c>
      <c r="P463" s="4" t="str">
        <f>IF(Table1567[[#This Row],[Total Amount]]&gt;=1000,"High","Low")</f>
        <v>High</v>
      </c>
      <c r="Q463" s="4" t="str" cm="1">
        <f t="array" ref="Q463">_xlfn.IFS(AND(Table1567[[#This Row],[Total Amount]]&gt;=1500,"Critical"),AND(Table1567[[#This Row],[Total Amount]]&gt;=1000,"High"),TRUE,"Normal")</f>
        <v>Normal</v>
      </c>
      <c r="R463" s="4" t="str">
        <f>CONCATENATE(Table1567[[#This Row],[Customer ID]], "-",Table1567[[#This Row],[Age]])</f>
        <v>CUST462-63</v>
      </c>
      <c r="S463" s="4" t="str">
        <f>TEXT(Table1567[[#This Row],[Date]],"mmm")</f>
        <v>Apr</v>
      </c>
      <c r="T463" s="4" t="str">
        <f>TEXT(Table1567[[#This Row],[Date]],"DDD")</f>
        <v>Sat</v>
      </c>
    </row>
    <row r="464" spans="1:20" ht="29" x14ac:dyDescent="0.35">
      <c r="A464" s="4">
        <v>463</v>
      </c>
      <c r="B464" s="5">
        <v>45138</v>
      </c>
      <c r="C464" s="4" t="s">
        <v>476</v>
      </c>
      <c r="D464" s="4" t="s">
        <v>13</v>
      </c>
      <c r="E464" s="4">
        <v>54</v>
      </c>
      <c r="F464" s="4" t="str">
        <f>IF(Table1567[[#This Row],[Age]]&lt;=19,"Teenager",IF(Table1567[[#This Row],[Age]]&lt;=40,"Median","Old"))</f>
        <v>Old</v>
      </c>
      <c r="G464" s="4" t="s">
        <v>11</v>
      </c>
      <c r="H464" s="4">
        <v>3</v>
      </c>
      <c r="I464" s="4">
        <v>500</v>
      </c>
      <c r="J464" s="4">
        <v>1500</v>
      </c>
      <c r="K464" s="4" t="str" cm="1">
        <f t="array" ref="K464">_xlfn.IFS(AND(Table1567[[#This Row],[Total Amount]]&gt;=1500),"Critical",AND(Table1567[[#This Row],[Total Amount]]&gt;=1000),"High",TRUE,"Normal")</f>
        <v>Critical</v>
      </c>
      <c r="L464" s="4" t="str">
        <f>IF(Table1567[[#This Row],[Total Amount]]&gt;=1000,"High",(IF(Table1567[[#This Row],[Total Amount]]&gt;=500,"Medium","Low")))</f>
        <v>High</v>
      </c>
      <c r="M464" s="4" t="str" cm="1">
        <f t="array" ref="M46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64" s="4" cm="1">
        <f t="array" ref="N46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464" s="4">
        <f>Table1567[[#This Row],[Total Amount]]-Table1567[[#This Row],[Discount Amount]]</f>
        <v>1200</v>
      </c>
      <c r="P464" s="4" t="str">
        <f>IF(Table1567[[#This Row],[Total Amount]]&gt;=1000,"High","Low")</f>
        <v>High</v>
      </c>
      <c r="Q464" s="4" t="b" cm="1">
        <f t="array" ref="Q464">_xlfn.IFS(AND(Table1567[[#This Row],[Total Amount]]&gt;=1500,"Critical"),AND(Table1567[[#This Row],[Total Amount]]&gt;=1000,"High"),TRUE,"Normal")</f>
        <v>1</v>
      </c>
      <c r="R464" s="4" t="str">
        <f>CONCATENATE(Table1567[[#This Row],[Customer ID]], "-",Table1567[[#This Row],[Age]])</f>
        <v>CUST463-54</v>
      </c>
      <c r="S464" s="4" t="str">
        <f>TEXT(Table1567[[#This Row],[Date]],"mmm")</f>
        <v>Jul</v>
      </c>
      <c r="T464" s="4" t="str">
        <f>TEXT(Table1567[[#This Row],[Date]],"DDD")</f>
        <v>Mon</v>
      </c>
    </row>
    <row r="465" spans="1:20" ht="29" x14ac:dyDescent="0.35">
      <c r="A465" s="4">
        <v>464</v>
      </c>
      <c r="B465" s="5">
        <v>44939</v>
      </c>
      <c r="C465" s="4" t="s">
        <v>477</v>
      </c>
      <c r="D465" s="4" t="s">
        <v>10</v>
      </c>
      <c r="E465" s="4">
        <v>38</v>
      </c>
      <c r="F465" s="4" t="str">
        <f>IF(Table1567[[#This Row],[Age]]&lt;=19,"Teenager",IF(Table1567[[#This Row],[Age]]&lt;=40,"Median","Old"))</f>
        <v>Median</v>
      </c>
      <c r="G465" s="4" t="s">
        <v>16</v>
      </c>
      <c r="H465" s="4">
        <v>2</v>
      </c>
      <c r="I465" s="4">
        <v>300</v>
      </c>
      <c r="J465" s="4">
        <v>600</v>
      </c>
      <c r="K465" s="4" t="str" cm="1">
        <f t="array" ref="K465">_xlfn.IFS(AND(Table1567[[#This Row],[Total Amount]]&gt;=1500),"Critical",AND(Table1567[[#This Row],[Total Amount]]&gt;=1000),"High",TRUE,"Normal")</f>
        <v>Normal</v>
      </c>
      <c r="L465" s="4" t="str">
        <f>IF(Table1567[[#This Row],[Total Amount]]&gt;=1000,"High",(IF(Table1567[[#This Row],[Total Amount]]&gt;=500,"Medium","Low")))</f>
        <v>Medium</v>
      </c>
      <c r="M465" s="4" t="str" cm="1">
        <f t="array" ref="M46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65" s="4" cm="1">
        <f t="array" ref="N46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465" s="4">
        <f>Table1567[[#This Row],[Total Amount]]-Table1567[[#This Row],[Discount Amount]]</f>
        <v>540</v>
      </c>
      <c r="P465" s="4" t="str">
        <f>IF(Table1567[[#This Row],[Total Amount]]&gt;=1000,"High","Low")</f>
        <v>Low</v>
      </c>
      <c r="Q465" s="4" t="str" cm="1">
        <f t="array" ref="Q465">_xlfn.IFS(AND(Table1567[[#This Row],[Total Amount]]&gt;=1500,"Critical"),AND(Table1567[[#This Row],[Total Amount]]&gt;=1000,"High"),TRUE,"Normal")</f>
        <v>Normal</v>
      </c>
      <c r="R465" s="4" t="str">
        <f>CONCATENATE(Table1567[[#This Row],[Customer ID]], "-",Table1567[[#This Row],[Age]])</f>
        <v>CUST464-38</v>
      </c>
      <c r="S465" s="4" t="str">
        <f>TEXT(Table1567[[#This Row],[Date]],"mmm")</f>
        <v>Jan</v>
      </c>
      <c r="T465" s="4" t="str">
        <f>TEXT(Table1567[[#This Row],[Date]],"DDD")</f>
        <v>Fri</v>
      </c>
    </row>
    <row r="466" spans="1:20" ht="29" x14ac:dyDescent="0.35">
      <c r="A466" s="4">
        <v>465</v>
      </c>
      <c r="B466" s="5">
        <v>45018</v>
      </c>
      <c r="C466" s="4" t="s">
        <v>478</v>
      </c>
      <c r="D466" s="4" t="s">
        <v>13</v>
      </c>
      <c r="E466" s="4">
        <v>43</v>
      </c>
      <c r="F466" s="4" t="str">
        <f>IF(Table1567[[#This Row],[Age]]&lt;=19,"Teenager",IF(Table1567[[#This Row],[Age]]&lt;=40,"Median","Old"))</f>
        <v>Old</v>
      </c>
      <c r="G466" s="4" t="s">
        <v>16</v>
      </c>
      <c r="H466" s="4">
        <v>3</v>
      </c>
      <c r="I466" s="4">
        <v>50</v>
      </c>
      <c r="J466" s="4">
        <v>150</v>
      </c>
      <c r="K466" s="4" t="str" cm="1">
        <f t="array" ref="K466">_xlfn.IFS(AND(Table1567[[#This Row],[Total Amount]]&gt;=1500),"Critical",AND(Table1567[[#This Row],[Total Amount]]&gt;=1000),"High",TRUE,"Normal")</f>
        <v>Normal</v>
      </c>
      <c r="L466" s="4" t="str">
        <f>IF(Table1567[[#This Row],[Total Amount]]&gt;=1000,"High",(IF(Table1567[[#This Row],[Total Amount]]&gt;=500,"Medium","Low")))</f>
        <v>Low</v>
      </c>
      <c r="M466" s="4" t="str" cm="1">
        <f t="array" ref="M46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66" s="4" cm="1">
        <f t="array" ref="N46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466" s="4">
        <f>Table1567[[#This Row],[Total Amount]]-Table1567[[#This Row],[Discount Amount]]</f>
        <v>120</v>
      </c>
      <c r="P466" s="4" t="str">
        <f>IF(Table1567[[#This Row],[Total Amount]]&gt;=1000,"High","Low")</f>
        <v>Low</v>
      </c>
      <c r="Q466" s="4" t="str" cm="1">
        <f t="array" ref="Q466">_xlfn.IFS(AND(Table1567[[#This Row],[Total Amount]]&gt;=1500,"Critical"),AND(Table1567[[#This Row],[Total Amount]]&gt;=1000,"High"),TRUE,"Normal")</f>
        <v>Normal</v>
      </c>
      <c r="R466" s="4" t="str">
        <f>CONCATENATE(Table1567[[#This Row],[Customer ID]], "-",Table1567[[#This Row],[Age]])</f>
        <v>CUST465-43</v>
      </c>
      <c r="S466" s="4" t="str">
        <f>TEXT(Table1567[[#This Row],[Date]],"mmm")</f>
        <v>Apr</v>
      </c>
      <c r="T466" s="4" t="str">
        <f>TEXT(Table1567[[#This Row],[Date]],"DDD")</f>
        <v>Sun</v>
      </c>
    </row>
    <row r="467" spans="1:20" ht="29" x14ac:dyDescent="0.35">
      <c r="A467" s="4">
        <v>466</v>
      </c>
      <c r="B467" s="5">
        <v>45097</v>
      </c>
      <c r="C467" s="4" t="s">
        <v>479</v>
      </c>
      <c r="D467" s="4" t="s">
        <v>10</v>
      </c>
      <c r="E467" s="4">
        <v>63</v>
      </c>
      <c r="F467" s="4" t="str">
        <f>IF(Table1567[[#This Row],[Age]]&lt;=19,"Teenager",IF(Table1567[[#This Row],[Age]]&lt;=40,"Median","Old"))</f>
        <v>Old</v>
      </c>
      <c r="G467" s="4" t="s">
        <v>16</v>
      </c>
      <c r="H467" s="4">
        <v>4</v>
      </c>
      <c r="I467" s="4">
        <v>25</v>
      </c>
      <c r="J467" s="4">
        <v>100</v>
      </c>
      <c r="K467" s="4" t="str" cm="1">
        <f t="array" ref="K467">_xlfn.IFS(AND(Table1567[[#This Row],[Total Amount]]&gt;=1500),"Critical",AND(Table1567[[#This Row],[Total Amount]]&gt;=1000),"High",TRUE,"Normal")</f>
        <v>Normal</v>
      </c>
      <c r="L467" s="4" t="str">
        <f>IF(Table1567[[#This Row],[Total Amount]]&gt;=1000,"High",(IF(Table1567[[#This Row],[Total Amount]]&gt;=500,"Medium","Low")))</f>
        <v>Low</v>
      </c>
      <c r="M467" s="4" t="str" cm="1">
        <f t="array" ref="M46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67" s="4" cm="1">
        <f t="array" ref="N46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467" s="4">
        <f>Table1567[[#This Row],[Total Amount]]-Table1567[[#This Row],[Discount Amount]]</f>
        <v>90</v>
      </c>
      <c r="P467" s="4" t="str">
        <f>IF(Table1567[[#This Row],[Total Amount]]&gt;=1000,"High","Low")</f>
        <v>Low</v>
      </c>
      <c r="Q467" s="4" t="str" cm="1">
        <f t="array" ref="Q467">_xlfn.IFS(AND(Table1567[[#This Row],[Total Amount]]&gt;=1500,"Critical"),AND(Table1567[[#This Row],[Total Amount]]&gt;=1000,"High"),TRUE,"Normal")</f>
        <v>Normal</v>
      </c>
      <c r="R467" s="4" t="str">
        <f>CONCATENATE(Table1567[[#This Row],[Customer ID]], "-",Table1567[[#This Row],[Age]])</f>
        <v>CUST466-63</v>
      </c>
      <c r="S467" s="4" t="str">
        <f>TEXT(Table1567[[#This Row],[Date]],"mmm")</f>
        <v>Jun</v>
      </c>
      <c r="T467" s="4" t="str">
        <f>TEXT(Table1567[[#This Row],[Date]],"DDD")</f>
        <v>Tue</v>
      </c>
    </row>
    <row r="468" spans="1:20" ht="29" x14ac:dyDescent="0.35">
      <c r="A468" s="4">
        <v>467</v>
      </c>
      <c r="B468" s="5">
        <v>45137</v>
      </c>
      <c r="C468" s="4" t="s">
        <v>480</v>
      </c>
      <c r="D468" s="4" t="s">
        <v>13</v>
      </c>
      <c r="E468" s="4">
        <v>53</v>
      </c>
      <c r="F468" s="4" t="str">
        <f>IF(Table1567[[#This Row],[Age]]&lt;=19,"Teenager",IF(Table1567[[#This Row],[Age]]&lt;=40,"Median","Old"))</f>
        <v>Old</v>
      </c>
      <c r="G468" s="4" t="s">
        <v>16</v>
      </c>
      <c r="H468" s="4">
        <v>3</v>
      </c>
      <c r="I468" s="4">
        <v>50</v>
      </c>
      <c r="J468" s="4">
        <v>150</v>
      </c>
      <c r="K468" s="4" t="str" cm="1">
        <f t="array" ref="K468">_xlfn.IFS(AND(Table1567[[#This Row],[Total Amount]]&gt;=1500),"Critical",AND(Table1567[[#This Row],[Total Amount]]&gt;=1000),"High",TRUE,"Normal")</f>
        <v>Normal</v>
      </c>
      <c r="L468" s="4" t="str">
        <f>IF(Table1567[[#This Row],[Total Amount]]&gt;=1000,"High",(IF(Table1567[[#This Row],[Total Amount]]&gt;=500,"Medium","Low")))</f>
        <v>Low</v>
      </c>
      <c r="M468" s="4" t="str" cm="1">
        <f t="array" ref="M46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68" s="4" cm="1">
        <f t="array" ref="N46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468" s="4">
        <f>Table1567[[#This Row],[Total Amount]]-Table1567[[#This Row],[Discount Amount]]</f>
        <v>120</v>
      </c>
      <c r="P468" s="4" t="str">
        <f>IF(Table1567[[#This Row],[Total Amount]]&gt;=1000,"High","Low")</f>
        <v>Low</v>
      </c>
      <c r="Q468" s="4" t="str" cm="1">
        <f t="array" ref="Q468">_xlfn.IFS(AND(Table1567[[#This Row],[Total Amount]]&gt;=1500,"Critical"),AND(Table1567[[#This Row],[Total Amount]]&gt;=1000,"High"),TRUE,"Normal")</f>
        <v>Normal</v>
      </c>
      <c r="R468" s="4" t="str">
        <f>CONCATENATE(Table1567[[#This Row],[Customer ID]], "-",Table1567[[#This Row],[Age]])</f>
        <v>CUST467-53</v>
      </c>
      <c r="S468" s="4" t="str">
        <f>TEXT(Table1567[[#This Row],[Date]],"mmm")</f>
        <v>Jul</v>
      </c>
      <c r="T468" s="4" t="str">
        <f>TEXT(Table1567[[#This Row],[Date]],"DDD")</f>
        <v>Sun</v>
      </c>
    </row>
    <row r="469" spans="1:20" ht="29" x14ac:dyDescent="0.35">
      <c r="A469" s="4">
        <v>468</v>
      </c>
      <c r="B469" s="5">
        <v>45269</v>
      </c>
      <c r="C469" s="4" t="s">
        <v>481</v>
      </c>
      <c r="D469" s="4" t="s">
        <v>10</v>
      </c>
      <c r="E469" s="4">
        <v>40</v>
      </c>
      <c r="F469" s="4" t="str">
        <f>IF(Table1567[[#This Row],[Age]]&lt;=19,"Teenager",IF(Table1567[[#This Row],[Age]]&lt;=40,"Median","Old"))</f>
        <v>Median</v>
      </c>
      <c r="G469" s="4" t="s">
        <v>16</v>
      </c>
      <c r="H469" s="4">
        <v>1</v>
      </c>
      <c r="I469" s="4">
        <v>25</v>
      </c>
      <c r="J469" s="4">
        <v>25</v>
      </c>
      <c r="K469" s="4" t="str" cm="1">
        <f t="array" ref="K469">_xlfn.IFS(AND(Table1567[[#This Row],[Total Amount]]&gt;=1500),"Critical",AND(Table1567[[#This Row],[Total Amount]]&gt;=1000),"High",TRUE,"Normal")</f>
        <v>Normal</v>
      </c>
      <c r="L469" s="4" t="str">
        <f>IF(Table1567[[#This Row],[Total Amount]]&gt;=1000,"High",(IF(Table1567[[#This Row],[Total Amount]]&gt;=500,"Medium","Low")))</f>
        <v>Low</v>
      </c>
      <c r="M469" s="4" t="str" cm="1">
        <f t="array" ref="M46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69" s="4" cm="1">
        <f t="array" ref="N46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469" s="4">
        <f>Table1567[[#This Row],[Total Amount]]-Table1567[[#This Row],[Discount Amount]]</f>
        <v>22.5</v>
      </c>
      <c r="P469" s="4" t="str">
        <f>IF(Table1567[[#This Row],[Total Amount]]&gt;=1000,"High","Low")</f>
        <v>Low</v>
      </c>
      <c r="Q469" s="4" t="str" cm="1">
        <f t="array" ref="Q469">_xlfn.IFS(AND(Table1567[[#This Row],[Total Amount]]&gt;=1500,"Critical"),AND(Table1567[[#This Row],[Total Amount]]&gt;=1000,"High"),TRUE,"Normal")</f>
        <v>Normal</v>
      </c>
      <c r="R469" s="4" t="str">
        <f>CONCATENATE(Table1567[[#This Row],[Customer ID]], "-",Table1567[[#This Row],[Age]])</f>
        <v>CUST468-40</v>
      </c>
      <c r="S469" s="4" t="str">
        <f>TEXT(Table1567[[#This Row],[Date]],"mmm")</f>
        <v>Dec</v>
      </c>
      <c r="T469" s="4" t="str">
        <f>TEXT(Table1567[[#This Row],[Date]],"DDD")</f>
        <v>Sat</v>
      </c>
    </row>
    <row r="470" spans="1:20" ht="29" x14ac:dyDescent="0.35">
      <c r="A470" s="4">
        <v>469</v>
      </c>
      <c r="B470" s="5">
        <v>45054</v>
      </c>
      <c r="C470" s="4" t="s">
        <v>482</v>
      </c>
      <c r="D470" s="4" t="s">
        <v>10</v>
      </c>
      <c r="E470" s="4">
        <v>18</v>
      </c>
      <c r="F470" s="4" t="str">
        <f>IF(Table1567[[#This Row],[Age]]&lt;=19,"Teenager",IF(Table1567[[#This Row],[Age]]&lt;=40,"Median","Old"))</f>
        <v>Teenager</v>
      </c>
      <c r="G470" s="4" t="s">
        <v>11</v>
      </c>
      <c r="H470" s="4">
        <v>3</v>
      </c>
      <c r="I470" s="4">
        <v>25</v>
      </c>
      <c r="J470" s="4">
        <v>75</v>
      </c>
      <c r="K470" s="4" t="str" cm="1">
        <f t="array" ref="K470">_xlfn.IFS(AND(Table1567[[#This Row],[Total Amount]]&gt;=1500),"Critical",AND(Table1567[[#This Row],[Total Amount]]&gt;=1000),"High",TRUE,"Normal")</f>
        <v>Normal</v>
      </c>
      <c r="L470" s="4" t="str">
        <f>IF(Table1567[[#This Row],[Total Amount]]&gt;=1000,"High",(IF(Table1567[[#This Row],[Total Amount]]&gt;=500,"Medium","Low")))</f>
        <v>Low</v>
      </c>
      <c r="M470" s="4" t="str" cm="1">
        <f t="array" ref="M47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470" s="4" cm="1">
        <f t="array" ref="N47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470" s="4">
        <f>Table1567[[#This Row],[Total Amount]]-Table1567[[#This Row],[Discount Amount]]</f>
        <v>75</v>
      </c>
      <c r="P470" s="4" t="str">
        <f>IF(Table1567[[#This Row],[Total Amount]]&gt;=1000,"High","Low")</f>
        <v>Low</v>
      </c>
      <c r="Q470" s="4" t="str" cm="1">
        <f t="array" ref="Q470">_xlfn.IFS(AND(Table1567[[#This Row],[Total Amount]]&gt;=1500,"Critical"),AND(Table1567[[#This Row],[Total Amount]]&gt;=1000,"High"),TRUE,"Normal")</f>
        <v>Normal</v>
      </c>
      <c r="R470" s="4" t="str">
        <f>CONCATENATE(Table1567[[#This Row],[Customer ID]], "-",Table1567[[#This Row],[Age]])</f>
        <v>CUST469-18</v>
      </c>
      <c r="S470" s="4" t="str">
        <f>TEXT(Table1567[[#This Row],[Date]],"mmm")</f>
        <v>May</v>
      </c>
      <c r="T470" s="4" t="str">
        <f>TEXT(Table1567[[#This Row],[Date]],"DDD")</f>
        <v>Mon</v>
      </c>
    </row>
    <row r="471" spans="1:20" ht="29" x14ac:dyDescent="0.35">
      <c r="A471" s="4">
        <v>470</v>
      </c>
      <c r="B471" s="5">
        <v>45063</v>
      </c>
      <c r="C471" s="4" t="s">
        <v>483</v>
      </c>
      <c r="D471" s="4" t="s">
        <v>13</v>
      </c>
      <c r="E471" s="4">
        <v>57</v>
      </c>
      <c r="F471" s="4" t="str">
        <f>IF(Table1567[[#This Row],[Age]]&lt;=19,"Teenager",IF(Table1567[[#This Row],[Age]]&lt;=40,"Median","Old"))</f>
        <v>Old</v>
      </c>
      <c r="G471" s="4" t="s">
        <v>14</v>
      </c>
      <c r="H471" s="4">
        <v>2</v>
      </c>
      <c r="I471" s="4">
        <v>500</v>
      </c>
      <c r="J471" s="4">
        <v>1000</v>
      </c>
      <c r="K471" s="4" t="str" cm="1">
        <f t="array" ref="K471">_xlfn.IFS(AND(Table1567[[#This Row],[Total Amount]]&gt;=1500),"Critical",AND(Table1567[[#This Row],[Total Amount]]&gt;=1000),"High",TRUE,"Normal")</f>
        <v>High</v>
      </c>
      <c r="L471" s="4" t="str">
        <f>IF(Table1567[[#This Row],[Total Amount]]&gt;=1000,"High",(IF(Table1567[[#This Row],[Total Amount]]&gt;=500,"Medium","Low")))</f>
        <v>High</v>
      </c>
      <c r="M471" s="4" t="str" cm="1">
        <f t="array" ref="M47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71" s="4" cm="1">
        <f t="array" ref="N47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471" s="4">
        <f>Table1567[[#This Row],[Total Amount]]-Table1567[[#This Row],[Discount Amount]]</f>
        <v>800</v>
      </c>
      <c r="P471" s="4" t="str">
        <f>IF(Table1567[[#This Row],[Total Amount]]&gt;=1000,"High","Low")</f>
        <v>High</v>
      </c>
      <c r="Q471" s="4" t="str" cm="1">
        <f t="array" ref="Q471">_xlfn.IFS(AND(Table1567[[#This Row],[Total Amount]]&gt;=1500,"Critical"),AND(Table1567[[#This Row],[Total Amount]]&gt;=1000,"High"),TRUE,"Normal")</f>
        <v>Normal</v>
      </c>
      <c r="R471" s="4" t="str">
        <f>CONCATENATE(Table1567[[#This Row],[Customer ID]], "-",Table1567[[#This Row],[Age]])</f>
        <v>CUST470-57</v>
      </c>
      <c r="S471" s="4" t="str">
        <f>TEXT(Table1567[[#This Row],[Date]],"mmm")</f>
        <v>May</v>
      </c>
      <c r="T471" s="4" t="str">
        <f>TEXT(Table1567[[#This Row],[Date]],"DDD")</f>
        <v>Wed</v>
      </c>
    </row>
    <row r="472" spans="1:20" ht="29" x14ac:dyDescent="0.35">
      <c r="A472" s="4">
        <v>471</v>
      </c>
      <c r="B472" s="5">
        <v>45008</v>
      </c>
      <c r="C472" s="4" t="s">
        <v>484</v>
      </c>
      <c r="D472" s="4" t="s">
        <v>10</v>
      </c>
      <c r="E472" s="4">
        <v>32</v>
      </c>
      <c r="F472" s="4" t="str">
        <f>IF(Table1567[[#This Row],[Age]]&lt;=19,"Teenager",IF(Table1567[[#This Row],[Age]]&lt;=40,"Median","Old"))</f>
        <v>Median</v>
      </c>
      <c r="G472" s="4" t="s">
        <v>14</v>
      </c>
      <c r="H472" s="4">
        <v>3</v>
      </c>
      <c r="I472" s="4">
        <v>50</v>
      </c>
      <c r="J472" s="4">
        <v>150</v>
      </c>
      <c r="K472" s="4" t="str" cm="1">
        <f t="array" ref="K472">_xlfn.IFS(AND(Table1567[[#This Row],[Total Amount]]&gt;=1500),"Critical",AND(Table1567[[#This Row],[Total Amount]]&gt;=1000),"High",TRUE,"Normal")</f>
        <v>Normal</v>
      </c>
      <c r="L472" s="4" t="str">
        <f>IF(Table1567[[#This Row],[Total Amount]]&gt;=1000,"High",(IF(Table1567[[#This Row],[Total Amount]]&gt;=500,"Medium","Low")))</f>
        <v>Low</v>
      </c>
      <c r="M472" s="4" t="str" cm="1">
        <f t="array" ref="M47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72" s="4" cm="1">
        <f t="array" ref="N47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22.5</v>
      </c>
      <c r="O472" s="4">
        <f>Table1567[[#This Row],[Total Amount]]-Table1567[[#This Row],[Discount Amount]]</f>
        <v>127.5</v>
      </c>
      <c r="P472" s="4" t="str">
        <f>IF(Table1567[[#This Row],[Total Amount]]&gt;=1000,"High","Low")</f>
        <v>Low</v>
      </c>
      <c r="Q472" s="4" t="str" cm="1">
        <f t="array" ref="Q472">_xlfn.IFS(AND(Table1567[[#This Row],[Total Amount]]&gt;=1500,"Critical"),AND(Table1567[[#This Row],[Total Amount]]&gt;=1000,"High"),TRUE,"Normal")</f>
        <v>Normal</v>
      </c>
      <c r="R472" s="4" t="str">
        <f>CONCATENATE(Table1567[[#This Row],[Customer ID]], "-",Table1567[[#This Row],[Age]])</f>
        <v>CUST471-32</v>
      </c>
      <c r="S472" s="4" t="str">
        <f>TEXT(Table1567[[#This Row],[Date]],"mmm")</f>
        <v>Mar</v>
      </c>
      <c r="T472" s="4" t="str">
        <f>TEXT(Table1567[[#This Row],[Date]],"DDD")</f>
        <v>Thu</v>
      </c>
    </row>
    <row r="473" spans="1:20" ht="29" x14ac:dyDescent="0.35">
      <c r="A473" s="4">
        <v>472</v>
      </c>
      <c r="B473" s="5">
        <v>45286</v>
      </c>
      <c r="C473" s="4" t="s">
        <v>485</v>
      </c>
      <c r="D473" s="4" t="s">
        <v>13</v>
      </c>
      <c r="E473" s="4">
        <v>38</v>
      </c>
      <c r="F473" s="4" t="str">
        <f>IF(Table1567[[#This Row],[Age]]&lt;=19,"Teenager",IF(Table1567[[#This Row],[Age]]&lt;=40,"Median","Old"))</f>
        <v>Median</v>
      </c>
      <c r="G473" s="4" t="s">
        <v>11</v>
      </c>
      <c r="H473" s="4">
        <v>3</v>
      </c>
      <c r="I473" s="4">
        <v>300</v>
      </c>
      <c r="J473" s="4">
        <v>900</v>
      </c>
      <c r="K473" s="4" t="str" cm="1">
        <f t="array" ref="K473">_xlfn.IFS(AND(Table1567[[#This Row],[Total Amount]]&gt;=1500),"Critical",AND(Table1567[[#This Row],[Total Amount]]&gt;=1000),"High",TRUE,"Normal")</f>
        <v>Normal</v>
      </c>
      <c r="L473" s="4" t="str">
        <f>IF(Table1567[[#This Row],[Total Amount]]&gt;=1000,"High",(IF(Table1567[[#This Row],[Total Amount]]&gt;=500,"Medium","Low")))</f>
        <v>Medium</v>
      </c>
      <c r="M473" s="4" t="str" cm="1">
        <f t="array" ref="M47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73" s="4" cm="1">
        <f t="array" ref="N47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473" s="4">
        <f>Table1567[[#This Row],[Total Amount]]-Table1567[[#This Row],[Discount Amount]]</f>
        <v>720</v>
      </c>
      <c r="P473" s="4" t="str">
        <f>IF(Table1567[[#This Row],[Total Amount]]&gt;=1000,"High","Low")</f>
        <v>Low</v>
      </c>
      <c r="Q473" s="4" t="str" cm="1">
        <f t="array" ref="Q473">_xlfn.IFS(AND(Table1567[[#This Row],[Total Amount]]&gt;=1500,"Critical"),AND(Table1567[[#This Row],[Total Amount]]&gt;=1000,"High"),TRUE,"Normal")</f>
        <v>Normal</v>
      </c>
      <c r="R473" s="4" t="str">
        <f>CONCATENATE(Table1567[[#This Row],[Customer ID]], "-",Table1567[[#This Row],[Age]])</f>
        <v>CUST472-38</v>
      </c>
      <c r="S473" s="4" t="str">
        <f>TEXT(Table1567[[#This Row],[Date]],"mmm")</f>
        <v>Dec</v>
      </c>
      <c r="T473" s="4" t="str">
        <f>TEXT(Table1567[[#This Row],[Date]],"DDD")</f>
        <v>Tue</v>
      </c>
    </row>
    <row r="474" spans="1:20" ht="29" x14ac:dyDescent="0.35">
      <c r="A474" s="4">
        <v>473</v>
      </c>
      <c r="B474" s="5">
        <v>44982</v>
      </c>
      <c r="C474" s="4" t="s">
        <v>486</v>
      </c>
      <c r="D474" s="4" t="s">
        <v>10</v>
      </c>
      <c r="E474" s="4">
        <v>64</v>
      </c>
      <c r="F474" s="4" t="str">
        <f>IF(Table1567[[#This Row],[Age]]&lt;=19,"Teenager",IF(Table1567[[#This Row],[Age]]&lt;=40,"Median","Old"))</f>
        <v>Old</v>
      </c>
      <c r="G474" s="4" t="s">
        <v>11</v>
      </c>
      <c r="H474" s="4">
        <v>1</v>
      </c>
      <c r="I474" s="4">
        <v>50</v>
      </c>
      <c r="J474" s="4">
        <v>50</v>
      </c>
      <c r="K474" s="4" t="str" cm="1">
        <f t="array" ref="K474">_xlfn.IFS(AND(Table1567[[#This Row],[Total Amount]]&gt;=1500),"Critical",AND(Table1567[[#This Row],[Total Amount]]&gt;=1000),"High",TRUE,"Normal")</f>
        <v>Normal</v>
      </c>
      <c r="L474" s="4" t="str">
        <f>IF(Table1567[[#This Row],[Total Amount]]&gt;=1000,"High",(IF(Table1567[[#This Row],[Total Amount]]&gt;=500,"Medium","Low")))</f>
        <v>Low</v>
      </c>
      <c r="M474" s="4" t="str" cm="1">
        <f t="array" ref="M47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74" s="4" cm="1">
        <f t="array" ref="N47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474" s="4">
        <f>Table1567[[#This Row],[Total Amount]]-Table1567[[#This Row],[Discount Amount]]</f>
        <v>45</v>
      </c>
      <c r="P474" s="4" t="str">
        <f>IF(Table1567[[#This Row],[Total Amount]]&gt;=1000,"High","Low")</f>
        <v>Low</v>
      </c>
      <c r="Q474" s="4" t="str" cm="1">
        <f t="array" ref="Q474">_xlfn.IFS(AND(Table1567[[#This Row],[Total Amount]]&gt;=1500,"Critical"),AND(Table1567[[#This Row],[Total Amount]]&gt;=1000,"High"),TRUE,"Normal")</f>
        <v>Normal</v>
      </c>
      <c r="R474" s="4" t="str">
        <f>CONCATENATE(Table1567[[#This Row],[Customer ID]], "-",Table1567[[#This Row],[Age]])</f>
        <v>CUST473-64</v>
      </c>
      <c r="S474" s="4" t="str">
        <f>TEXT(Table1567[[#This Row],[Date]],"mmm")</f>
        <v>Feb</v>
      </c>
      <c r="T474" s="4" t="str">
        <f>TEXT(Table1567[[#This Row],[Date]],"DDD")</f>
        <v>Sat</v>
      </c>
    </row>
    <row r="475" spans="1:20" ht="29" x14ac:dyDescent="0.35">
      <c r="A475" s="4">
        <v>474</v>
      </c>
      <c r="B475" s="5">
        <v>45122</v>
      </c>
      <c r="C475" s="4" t="s">
        <v>487</v>
      </c>
      <c r="D475" s="4" t="s">
        <v>13</v>
      </c>
      <c r="E475" s="4">
        <v>26</v>
      </c>
      <c r="F475" s="4" t="str">
        <f>IF(Table1567[[#This Row],[Age]]&lt;=19,"Teenager",IF(Table1567[[#This Row],[Age]]&lt;=40,"Median","Old"))</f>
        <v>Median</v>
      </c>
      <c r="G475" s="4" t="s">
        <v>14</v>
      </c>
      <c r="H475" s="4">
        <v>3</v>
      </c>
      <c r="I475" s="4">
        <v>500</v>
      </c>
      <c r="J475" s="4">
        <v>1500</v>
      </c>
      <c r="K475" s="4" t="str" cm="1">
        <f t="array" ref="K475">_xlfn.IFS(AND(Table1567[[#This Row],[Total Amount]]&gt;=1500),"Critical",AND(Table1567[[#This Row],[Total Amount]]&gt;=1000),"High",TRUE,"Normal")</f>
        <v>Critical</v>
      </c>
      <c r="L475" s="4" t="str">
        <f>IF(Table1567[[#This Row],[Total Amount]]&gt;=1000,"High",(IF(Table1567[[#This Row],[Total Amount]]&gt;=500,"Medium","Low")))</f>
        <v>High</v>
      </c>
      <c r="M475" s="4" t="str" cm="1">
        <f t="array" ref="M47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75" s="4" cm="1">
        <f t="array" ref="N47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225</v>
      </c>
      <c r="O475" s="4">
        <f>Table1567[[#This Row],[Total Amount]]-Table1567[[#This Row],[Discount Amount]]</f>
        <v>1275</v>
      </c>
      <c r="P475" s="4" t="str">
        <f>IF(Table1567[[#This Row],[Total Amount]]&gt;=1000,"High","Low")</f>
        <v>High</v>
      </c>
      <c r="Q475" s="4" t="b" cm="1">
        <f t="array" ref="Q475">_xlfn.IFS(AND(Table1567[[#This Row],[Total Amount]]&gt;=1500,"Critical"),AND(Table1567[[#This Row],[Total Amount]]&gt;=1000,"High"),TRUE,"Normal")</f>
        <v>1</v>
      </c>
      <c r="R475" s="4" t="str">
        <f>CONCATENATE(Table1567[[#This Row],[Customer ID]], "-",Table1567[[#This Row],[Age]])</f>
        <v>CUST474-26</v>
      </c>
      <c r="S475" s="4" t="str">
        <f>TEXT(Table1567[[#This Row],[Date]],"mmm")</f>
        <v>Jul</v>
      </c>
      <c r="T475" s="4" t="str">
        <f>TEXT(Table1567[[#This Row],[Date]],"DDD")</f>
        <v>Sat</v>
      </c>
    </row>
    <row r="476" spans="1:20" ht="29" x14ac:dyDescent="0.35">
      <c r="A476" s="4">
        <v>475</v>
      </c>
      <c r="B476" s="5">
        <v>44946</v>
      </c>
      <c r="C476" s="4" t="s">
        <v>488</v>
      </c>
      <c r="D476" s="4" t="s">
        <v>10</v>
      </c>
      <c r="E476" s="4">
        <v>26</v>
      </c>
      <c r="F476" s="4" t="str">
        <f>IF(Table1567[[#This Row],[Age]]&lt;=19,"Teenager",IF(Table1567[[#This Row],[Age]]&lt;=40,"Median","Old"))</f>
        <v>Median</v>
      </c>
      <c r="G476" s="4" t="s">
        <v>14</v>
      </c>
      <c r="H476" s="4">
        <v>3</v>
      </c>
      <c r="I476" s="4">
        <v>25</v>
      </c>
      <c r="J476" s="4">
        <v>75</v>
      </c>
      <c r="K476" s="4" t="str" cm="1">
        <f t="array" ref="K476">_xlfn.IFS(AND(Table1567[[#This Row],[Total Amount]]&gt;=1500),"Critical",AND(Table1567[[#This Row],[Total Amount]]&gt;=1000),"High",TRUE,"Normal")</f>
        <v>Normal</v>
      </c>
      <c r="L476" s="4" t="str">
        <f>IF(Table1567[[#This Row],[Total Amount]]&gt;=1000,"High",(IF(Table1567[[#This Row],[Total Amount]]&gt;=500,"Medium","Low")))</f>
        <v>Low</v>
      </c>
      <c r="M476" s="4" t="str" cm="1">
        <f t="array" ref="M47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76" s="4" cm="1">
        <f t="array" ref="N47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11.25</v>
      </c>
      <c r="O476" s="4">
        <f>Table1567[[#This Row],[Total Amount]]-Table1567[[#This Row],[Discount Amount]]</f>
        <v>63.75</v>
      </c>
      <c r="P476" s="4" t="str">
        <f>IF(Table1567[[#This Row],[Total Amount]]&gt;=1000,"High","Low")</f>
        <v>Low</v>
      </c>
      <c r="Q476" s="4" t="str" cm="1">
        <f t="array" ref="Q476">_xlfn.IFS(AND(Table1567[[#This Row],[Total Amount]]&gt;=1500,"Critical"),AND(Table1567[[#This Row],[Total Amount]]&gt;=1000,"High"),TRUE,"Normal")</f>
        <v>Normal</v>
      </c>
      <c r="R476" s="4" t="str">
        <f>CONCATENATE(Table1567[[#This Row],[Customer ID]], "-",Table1567[[#This Row],[Age]])</f>
        <v>CUST475-26</v>
      </c>
      <c r="S476" s="4" t="str">
        <f>TEXT(Table1567[[#This Row],[Date]],"mmm")</f>
        <v>Jan</v>
      </c>
      <c r="T476" s="4" t="str">
        <f>TEXT(Table1567[[#This Row],[Date]],"DDD")</f>
        <v>Fri</v>
      </c>
    </row>
    <row r="477" spans="1:20" ht="29" x14ac:dyDescent="0.35">
      <c r="A477" s="4">
        <v>476</v>
      </c>
      <c r="B477" s="5">
        <v>45167</v>
      </c>
      <c r="C477" s="4" t="s">
        <v>489</v>
      </c>
      <c r="D477" s="4" t="s">
        <v>13</v>
      </c>
      <c r="E477" s="4">
        <v>27</v>
      </c>
      <c r="F477" s="4" t="str">
        <f>IF(Table1567[[#This Row],[Age]]&lt;=19,"Teenager",IF(Table1567[[#This Row],[Age]]&lt;=40,"Median","Old"))</f>
        <v>Median</v>
      </c>
      <c r="G477" s="4" t="s">
        <v>14</v>
      </c>
      <c r="H477" s="4">
        <v>4</v>
      </c>
      <c r="I477" s="4">
        <v>500</v>
      </c>
      <c r="J477" s="4">
        <v>2000</v>
      </c>
      <c r="K477" s="4" t="str" cm="1">
        <f t="array" ref="K477">_xlfn.IFS(AND(Table1567[[#This Row],[Total Amount]]&gt;=1500),"Critical",AND(Table1567[[#This Row],[Total Amount]]&gt;=1000),"High",TRUE,"Normal")</f>
        <v>Critical</v>
      </c>
      <c r="L477" s="4" t="str">
        <f>IF(Table1567[[#This Row],[Total Amount]]&gt;=1000,"High",(IF(Table1567[[#This Row],[Total Amount]]&gt;=500,"Medium","Low")))</f>
        <v>High</v>
      </c>
      <c r="M477" s="4" t="str" cm="1">
        <f t="array" ref="M47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77" s="4" cm="1">
        <f t="array" ref="N47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477" s="4">
        <f>Table1567[[#This Row],[Total Amount]]-Table1567[[#This Row],[Discount Amount]]</f>
        <v>1700</v>
      </c>
      <c r="P477" s="4" t="str">
        <f>IF(Table1567[[#This Row],[Total Amount]]&gt;=1000,"High","Low")</f>
        <v>High</v>
      </c>
      <c r="Q477" s="4" t="b" cm="1">
        <f t="array" ref="Q477">_xlfn.IFS(AND(Table1567[[#This Row],[Total Amount]]&gt;=1500,"Critical"),AND(Table1567[[#This Row],[Total Amount]]&gt;=1000,"High"),TRUE,"Normal")</f>
        <v>1</v>
      </c>
      <c r="R477" s="4" t="str">
        <f>CONCATENATE(Table1567[[#This Row],[Customer ID]], "-",Table1567[[#This Row],[Age]])</f>
        <v>CUST476-27</v>
      </c>
      <c r="S477" s="4" t="str">
        <f>TEXT(Table1567[[#This Row],[Date]],"mmm")</f>
        <v>Aug</v>
      </c>
      <c r="T477" s="4" t="str">
        <f>TEXT(Table1567[[#This Row],[Date]],"DDD")</f>
        <v>Tue</v>
      </c>
    </row>
    <row r="478" spans="1:20" ht="29" x14ac:dyDescent="0.35">
      <c r="A478" s="4">
        <v>477</v>
      </c>
      <c r="B478" s="5">
        <v>45040</v>
      </c>
      <c r="C478" s="4" t="s">
        <v>490</v>
      </c>
      <c r="D478" s="4" t="s">
        <v>10</v>
      </c>
      <c r="E478" s="4">
        <v>43</v>
      </c>
      <c r="F478" s="4" t="str">
        <f>IF(Table1567[[#This Row],[Age]]&lt;=19,"Teenager",IF(Table1567[[#This Row],[Age]]&lt;=40,"Median","Old"))</f>
        <v>Old</v>
      </c>
      <c r="G478" s="4" t="s">
        <v>14</v>
      </c>
      <c r="H478" s="4">
        <v>4</v>
      </c>
      <c r="I478" s="4">
        <v>30</v>
      </c>
      <c r="J478" s="4">
        <v>120</v>
      </c>
      <c r="K478" s="4" t="str" cm="1">
        <f t="array" ref="K478">_xlfn.IFS(AND(Table1567[[#This Row],[Total Amount]]&gt;=1500),"Critical",AND(Table1567[[#This Row],[Total Amount]]&gt;=1000),"High",TRUE,"Normal")</f>
        <v>Normal</v>
      </c>
      <c r="L478" s="4" t="str">
        <f>IF(Table1567[[#This Row],[Total Amount]]&gt;=1000,"High",(IF(Table1567[[#This Row],[Total Amount]]&gt;=500,"Medium","Low")))</f>
        <v>Low</v>
      </c>
      <c r="M478" s="4" t="str" cm="1">
        <f t="array" ref="M47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78" s="4" cm="1">
        <f t="array" ref="N47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478" s="4">
        <f>Table1567[[#This Row],[Total Amount]]-Table1567[[#This Row],[Discount Amount]]</f>
        <v>108</v>
      </c>
      <c r="P478" s="4" t="str">
        <f>IF(Table1567[[#This Row],[Total Amount]]&gt;=1000,"High","Low")</f>
        <v>Low</v>
      </c>
      <c r="Q478" s="4" t="str" cm="1">
        <f t="array" ref="Q478">_xlfn.IFS(AND(Table1567[[#This Row],[Total Amount]]&gt;=1500,"Critical"),AND(Table1567[[#This Row],[Total Amount]]&gt;=1000,"High"),TRUE,"Normal")</f>
        <v>Normal</v>
      </c>
      <c r="R478" s="4" t="str">
        <f>CONCATENATE(Table1567[[#This Row],[Customer ID]], "-",Table1567[[#This Row],[Age]])</f>
        <v>CUST477-43</v>
      </c>
      <c r="S478" s="4" t="str">
        <f>TEXT(Table1567[[#This Row],[Date]],"mmm")</f>
        <v>Apr</v>
      </c>
      <c r="T478" s="4" t="str">
        <f>TEXT(Table1567[[#This Row],[Date]],"DDD")</f>
        <v>Mon</v>
      </c>
    </row>
    <row r="479" spans="1:20" ht="29" x14ac:dyDescent="0.35">
      <c r="A479" s="4">
        <v>478</v>
      </c>
      <c r="B479" s="5">
        <v>45029</v>
      </c>
      <c r="C479" s="4" t="s">
        <v>491</v>
      </c>
      <c r="D479" s="4" t="s">
        <v>13</v>
      </c>
      <c r="E479" s="4">
        <v>58</v>
      </c>
      <c r="F479" s="4" t="str">
        <f>IF(Table1567[[#This Row],[Age]]&lt;=19,"Teenager",IF(Table1567[[#This Row],[Age]]&lt;=40,"Median","Old"))</f>
        <v>Old</v>
      </c>
      <c r="G479" s="4" t="s">
        <v>14</v>
      </c>
      <c r="H479" s="4">
        <v>2</v>
      </c>
      <c r="I479" s="4">
        <v>30</v>
      </c>
      <c r="J479" s="4">
        <v>60</v>
      </c>
      <c r="K479" s="4" t="str" cm="1">
        <f t="array" ref="K479">_xlfn.IFS(AND(Table1567[[#This Row],[Total Amount]]&gt;=1500),"Critical",AND(Table1567[[#This Row],[Total Amount]]&gt;=1000),"High",TRUE,"Normal")</f>
        <v>Normal</v>
      </c>
      <c r="L479" s="4" t="str">
        <f>IF(Table1567[[#This Row],[Total Amount]]&gt;=1000,"High",(IF(Table1567[[#This Row],[Total Amount]]&gt;=500,"Medium","Low")))</f>
        <v>Low</v>
      </c>
      <c r="M479" s="4" t="str" cm="1">
        <f t="array" ref="M47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79" s="4" cm="1">
        <f t="array" ref="N47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479" s="4">
        <f>Table1567[[#This Row],[Total Amount]]-Table1567[[#This Row],[Discount Amount]]</f>
        <v>48</v>
      </c>
      <c r="P479" s="4" t="str">
        <f>IF(Table1567[[#This Row],[Total Amount]]&gt;=1000,"High","Low")</f>
        <v>Low</v>
      </c>
      <c r="Q479" s="4" t="str" cm="1">
        <f t="array" ref="Q479">_xlfn.IFS(AND(Table1567[[#This Row],[Total Amount]]&gt;=1500,"Critical"),AND(Table1567[[#This Row],[Total Amount]]&gt;=1000,"High"),TRUE,"Normal")</f>
        <v>Normal</v>
      </c>
      <c r="R479" s="4" t="str">
        <f>CONCATENATE(Table1567[[#This Row],[Customer ID]], "-",Table1567[[#This Row],[Age]])</f>
        <v>CUST478-58</v>
      </c>
      <c r="S479" s="4" t="str">
        <f>TEXT(Table1567[[#This Row],[Date]],"mmm")</f>
        <v>Apr</v>
      </c>
      <c r="T479" s="4" t="str">
        <f>TEXT(Table1567[[#This Row],[Date]],"DDD")</f>
        <v>Thu</v>
      </c>
    </row>
    <row r="480" spans="1:20" ht="29" x14ac:dyDescent="0.35">
      <c r="A480" s="4">
        <v>479</v>
      </c>
      <c r="B480" s="5">
        <v>45162</v>
      </c>
      <c r="C480" s="4" t="s">
        <v>492</v>
      </c>
      <c r="D480" s="4" t="s">
        <v>10</v>
      </c>
      <c r="E480" s="4">
        <v>52</v>
      </c>
      <c r="F480" s="4" t="str">
        <f>IF(Table1567[[#This Row],[Age]]&lt;=19,"Teenager",IF(Table1567[[#This Row],[Age]]&lt;=40,"Median","Old"))</f>
        <v>Old</v>
      </c>
      <c r="G480" s="4" t="s">
        <v>16</v>
      </c>
      <c r="H480" s="4">
        <v>4</v>
      </c>
      <c r="I480" s="4">
        <v>300</v>
      </c>
      <c r="J480" s="4">
        <v>1200</v>
      </c>
      <c r="K480" s="4" t="str" cm="1">
        <f t="array" ref="K480">_xlfn.IFS(AND(Table1567[[#This Row],[Total Amount]]&gt;=1500),"Critical",AND(Table1567[[#This Row],[Total Amount]]&gt;=1000),"High",TRUE,"Normal")</f>
        <v>High</v>
      </c>
      <c r="L480" s="4" t="str">
        <f>IF(Table1567[[#This Row],[Total Amount]]&gt;=1000,"High",(IF(Table1567[[#This Row],[Total Amount]]&gt;=500,"Medium","Low")))</f>
        <v>High</v>
      </c>
      <c r="M480" s="4" t="str" cm="1">
        <f t="array" ref="M48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80" s="4" cm="1">
        <f t="array" ref="N48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480" s="4">
        <f>Table1567[[#This Row],[Total Amount]]-Table1567[[#This Row],[Discount Amount]]</f>
        <v>1080</v>
      </c>
      <c r="P480" s="4" t="str">
        <f>IF(Table1567[[#This Row],[Total Amount]]&gt;=1000,"High","Low")</f>
        <v>High</v>
      </c>
      <c r="Q480" s="4" t="str" cm="1">
        <f t="array" ref="Q480">_xlfn.IFS(AND(Table1567[[#This Row],[Total Amount]]&gt;=1500,"Critical"),AND(Table1567[[#This Row],[Total Amount]]&gt;=1000,"High"),TRUE,"Normal")</f>
        <v>Normal</v>
      </c>
      <c r="R480" s="4" t="str">
        <f>CONCATENATE(Table1567[[#This Row],[Customer ID]], "-",Table1567[[#This Row],[Age]])</f>
        <v>CUST479-52</v>
      </c>
      <c r="S480" s="4" t="str">
        <f>TEXT(Table1567[[#This Row],[Date]],"mmm")</f>
        <v>Aug</v>
      </c>
      <c r="T480" s="4" t="str">
        <f>TEXT(Table1567[[#This Row],[Date]],"DDD")</f>
        <v>Thu</v>
      </c>
    </row>
    <row r="481" spans="1:20" ht="29" x14ac:dyDescent="0.35">
      <c r="A481" s="4">
        <v>480</v>
      </c>
      <c r="B481" s="5">
        <v>45106</v>
      </c>
      <c r="C481" s="4" t="s">
        <v>493</v>
      </c>
      <c r="D481" s="4" t="s">
        <v>13</v>
      </c>
      <c r="E481" s="4">
        <v>42</v>
      </c>
      <c r="F481" s="4" t="str">
        <f>IF(Table1567[[#This Row],[Age]]&lt;=19,"Teenager",IF(Table1567[[#This Row],[Age]]&lt;=40,"Median","Old"))</f>
        <v>Old</v>
      </c>
      <c r="G481" s="4" t="s">
        <v>11</v>
      </c>
      <c r="H481" s="4">
        <v>4</v>
      </c>
      <c r="I481" s="4">
        <v>500</v>
      </c>
      <c r="J481" s="4">
        <v>2000</v>
      </c>
      <c r="K481" s="4" t="str" cm="1">
        <f t="array" ref="K481">_xlfn.IFS(AND(Table1567[[#This Row],[Total Amount]]&gt;=1500),"Critical",AND(Table1567[[#This Row],[Total Amount]]&gt;=1000),"High",TRUE,"Normal")</f>
        <v>Critical</v>
      </c>
      <c r="L481" s="4" t="str">
        <f>IF(Table1567[[#This Row],[Total Amount]]&gt;=1000,"High",(IF(Table1567[[#This Row],[Total Amount]]&gt;=500,"Medium","Low")))</f>
        <v>High</v>
      </c>
      <c r="M481" s="4" t="str" cm="1">
        <f t="array" ref="M48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81" s="4" cm="1">
        <f t="array" ref="N48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400</v>
      </c>
      <c r="O481" s="4">
        <f>Table1567[[#This Row],[Total Amount]]-Table1567[[#This Row],[Discount Amount]]</f>
        <v>1600</v>
      </c>
      <c r="P481" s="4" t="str">
        <f>IF(Table1567[[#This Row],[Total Amount]]&gt;=1000,"High","Low")</f>
        <v>High</v>
      </c>
      <c r="Q481" s="4" t="b" cm="1">
        <f t="array" ref="Q481">_xlfn.IFS(AND(Table1567[[#This Row],[Total Amount]]&gt;=1500,"Critical"),AND(Table1567[[#This Row],[Total Amount]]&gt;=1000,"High"),TRUE,"Normal")</f>
        <v>1</v>
      </c>
      <c r="R481" s="4" t="str">
        <f>CONCATENATE(Table1567[[#This Row],[Customer ID]], "-",Table1567[[#This Row],[Age]])</f>
        <v>CUST480-42</v>
      </c>
      <c r="S481" s="4" t="str">
        <f>TEXT(Table1567[[#This Row],[Date]],"mmm")</f>
        <v>Jun</v>
      </c>
      <c r="T481" s="4" t="str">
        <f>TEXT(Table1567[[#This Row],[Date]],"DDD")</f>
        <v>Thu</v>
      </c>
    </row>
    <row r="482" spans="1:20" ht="29" x14ac:dyDescent="0.35">
      <c r="A482" s="4">
        <v>481</v>
      </c>
      <c r="B482" s="5">
        <v>45083</v>
      </c>
      <c r="C482" s="4" t="s">
        <v>494</v>
      </c>
      <c r="D482" s="4" t="s">
        <v>13</v>
      </c>
      <c r="E482" s="4">
        <v>43</v>
      </c>
      <c r="F482" s="4" t="str">
        <f>IF(Table1567[[#This Row],[Age]]&lt;=19,"Teenager",IF(Table1567[[#This Row],[Age]]&lt;=40,"Median","Old"))</f>
        <v>Old</v>
      </c>
      <c r="G482" s="4" t="s">
        <v>16</v>
      </c>
      <c r="H482" s="4">
        <v>4</v>
      </c>
      <c r="I482" s="4">
        <v>300</v>
      </c>
      <c r="J482" s="4">
        <v>1200</v>
      </c>
      <c r="K482" s="4" t="str" cm="1">
        <f t="array" ref="K482">_xlfn.IFS(AND(Table1567[[#This Row],[Total Amount]]&gt;=1500),"Critical",AND(Table1567[[#This Row],[Total Amount]]&gt;=1000),"High",TRUE,"Normal")</f>
        <v>High</v>
      </c>
      <c r="L482" s="4" t="str">
        <f>IF(Table1567[[#This Row],[Total Amount]]&gt;=1000,"High",(IF(Table1567[[#This Row],[Total Amount]]&gt;=500,"Medium","Low")))</f>
        <v>High</v>
      </c>
      <c r="M482" s="4" t="str" cm="1">
        <f t="array" ref="M48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82" s="4" cm="1">
        <f t="array" ref="N48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240</v>
      </c>
      <c r="O482" s="4">
        <f>Table1567[[#This Row],[Total Amount]]-Table1567[[#This Row],[Discount Amount]]</f>
        <v>960</v>
      </c>
      <c r="P482" s="4" t="str">
        <f>IF(Table1567[[#This Row],[Total Amount]]&gt;=1000,"High","Low")</f>
        <v>High</v>
      </c>
      <c r="Q482" s="4" t="str" cm="1">
        <f t="array" ref="Q482">_xlfn.IFS(AND(Table1567[[#This Row],[Total Amount]]&gt;=1500,"Critical"),AND(Table1567[[#This Row],[Total Amount]]&gt;=1000,"High"),TRUE,"Normal")</f>
        <v>Normal</v>
      </c>
      <c r="R482" s="4" t="str">
        <f>CONCATENATE(Table1567[[#This Row],[Customer ID]], "-",Table1567[[#This Row],[Age]])</f>
        <v>CUST481-43</v>
      </c>
      <c r="S482" s="4" t="str">
        <f>TEXT(Table1567[[#This Row],[Date]],"mmm")</f>
        <v>Jun</v>
      </c>
      <c r="T482" s="4" t="str">
        <f>TEXT(Table1567[[#This Row],[Date]],"DDD")</f>
        <v>Tue</v>
      </c>
    </row>
    <row r="483" spans="1:20" ht="29" x14ac:dyDescent="0.35">
      <c r="A483" s="4">
        <v>482</v>
      </c>
      <c r="B483" s="5">
        <v>45043</v>
      </c>
      <c r="C483" s="4" t="s">
        <v>495</v>
      </c>
      <c r="D483" s="4" t="s">
        <v>13</v>
      </c>
      <c r="E483" s="4">
        <v>28</v>
      </c>
      <c r="F483" s="4" t="str">
        <f>IF(Table1567[[#This Row],[Age]]&lt;=19,"Teenager",IF(Table1567[[#This Row],[Age]]&lt;=40,"Median","Old"))</f>
        <v>Median</v>
      </c>
      <c r="G483" s="4" t="s">
        <v>14</v>
      </c>
      <c r="H483" s="4">
        <v>4</v>
      </c>
      <c r="I483" s="4">
        <v>300</v>
      </c>
      <c r="J483" s="4">
        <v>1200</v>
      </c>
      <c r="K483" s="4" t="str" cm="1">
        <f t="array" ref="K483">_xlfn.IFS(AND(Table1567[[#This Row],[Total Amount]]&gt;=1500),"Critical",AND(Table1567[[#This Row],[Total Amount]]&gt;=1000),"High",TRUE,"Normal")</f>
        <v>High</v>
      </c>
      <c r="L483" s="4" t="str">
        <f>IF(Table1567[[#This Row],[Total Amount]]&gt;=1000,"High",(IF(Table1567[[#This Row],[Total Amount]]&gt;=500,"Medium","Low")))</f>
        <v>High</v>
      </c>
      <c r="M483" s="4" t="str" cm="1">
        <f t="array" ref="M48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83" s="4" cm="1">
        <f t="array" ref="N48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483" s="4">
        <f>Table1567[[#This Row],[Total Amount]]-Table1567[[#This Row],[Discount Amount]]</f>
        <v>1020</v>
      </c>
      <c r="P483" s="4" t="str">
        <f>IF(Table1567[[#This Row],[Total Amount]]&gt;=1000,"High","Low")</f>
        <v>High</v>
      </c>
      <c r="Q483" s="4" t="str" cm="1">
        <f t="array" ref="Q483">_xlfn.IFS(AND(Table1567[[#This Row],[Total Amount]]&gt;=1500,"Critical"),AND(Table1567[[#This Row],[Total Amount]]&gt;=1000,"High"),TRUE,"Normal")</f>
        <v>Normal</v>
      </c>
      <c r="R483" s="4" t="str">
        <f>CONCATENATE(Table1567[[#This Row],[Customer ID]], "-",Table1567[[#This Row],[Age]])</f>
        <v>CUST482-28</v>
      </c>
      <c r="S483" s="4" t="str">
        <f>TEXT(Table1567[[#This Row],[Date]],"mmm")</f>
        <v>Apr</v>
      </c>
      <c r="T483" s="4" t="str">
        <f>TEXT(Table1567[[#This Row],[Date]],"DDD")</f>
        <v>Thu</v>
      </c>
    </row>
    <row r="484" spans="1:20" ht="29" x14ac:dyDescent="0.35">
      <c r="A484" s="4">
        <v>483</v>
      </c>
      <c r="B484" s="5">
        <v>45041</v>
      </c>
      <c r="C484" s="4" t="s">
        <v>496</v>
      </c>
      <c r="D484" s="4" t="s">
        <v>10</v>
      </c>
      <c r="E484" s="4">
        <v>55</v>
      </c>
      <c r="F484" s="4" t="str">
        <f>IF(Table1567[[#This Row],[Age]]&lt;=19,"Teenager",IF(Table1567[[#This Row],[Age]]&lt;=40,"Median","Old"))</f>
        <v>Old</v>
      </c>
      <c r="G484" s="4" t="s">
        <v>14</v>
      </c>
      <c r="H484" s="4">
        <v>1</v>
      </c>
      <c r="I484" s="4">
        <v>30</v>
      </c>
      <c r="J484" s="4">
        <v>30</v>
      </c>
      <c r="K484" s="4" t="str" cm="1">
        <f t="array" ref="K484">_xlfn.IFS(AND(Table1567[[#This Row],[Total Amount]]&gt;=1500),"Critical",AND(Table1567[[#This Row],[Total Amount]]&gt;=1000),"High",TRUE,"Normal")</f>
        <v>Normal</v>
      </c>
      <c r="L484" s="4" t="str">
        <f>IF(Table1567[[#This Row],[Total Amount]]&gt;=1000,"High",(IF(Table1567[[#This Row],[Total Amount]]&gt;=500,"Medium","Low")))</f>
        <v>Low</v>
      </c>
      <c r="M484" s="4" t="str" cm="1">
        <f t="array" ref="M48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84" s="4" cm="1">
        <f t="array" ref="N48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</v>
      </c>
      <c r="O484" s="4">
        <f>Table1567[[#This Row],[Total Amount]]-Table1567[[#This Row],[Discount Amount]]</f>
        <v>27</v>
      </c>
      <c r="P484" s="4" t="str">
        <f>IF(Table1567[[#This Row],[Total Amount]]&gt;=1000,"High","Low")</f>
        <v>Low</v>
      </c>
      <c r="Q484" s="4" t="str" cm="1">
        <f t="array" ref="Q484">_xlfn.IFS(AND(Table1567[[#This Row],[Total Amount]]&gt;=1500,"Critical"),AND(Table1567[[#This Row],[Total Amount]]&gt;=1000,"High"),TRUE,"Normal")</f>
        <v>Normal</v>
      </c>
      <c r="R484" s="4" t="str">
        <f>CONCATENATE(Table1567[[#This Row],[Customer ID]], "-",Table1567[[#This Row],[Age]])</f>
        <v>CUST483-55</v>
      </c>
      <c r="S484" s="4" t="str">
        <f>TEXT(Table1567[[#This Row],[Date]],"mmm")</f>
        <v>Apr</v>
      </c>
      <c r="T484" s="4" t="str">
        <f>TEXT(Table1567[[#This Row],[Date]],"DDD")</f>
        <v>Tue</v>
      </c>
    </row>
    <row r="485" spans="1:20" ht="29" x14ac:dyDescent="0.35">
      <c r="A485" s="4">
        <v>484</v>
      </c>
      <c r="B485" s="5">
        <v>44939</v>
      </c>
      <c r="C485" s="4" t="s">
        <v>497</v>
      </c>
      <c r="D485" s="4" t="s">
        <v>13</v>
      </c>
      <c r="E485" s="4">
        <v>19</v>
      </c>
      <c r="F485" s="4" t="str">
        <f>IF(Table1567[[#This Row],[Age]]&lt;=19,"Teenager",IF(Table1567[[#This Row],[Age]]&lt;=40,"Median","Old"))</f>
        <v>Teenager</v>
      </c>
      <c r="G485" s="4" t="s">
        <v>14</v>
      </c>
      <c r="H485" s="4">
        <v>4</v>
      </c>
      <c r="I485" s="4">
        <v>300</v>
      </c>
      <c r="J485" s="4">
        <v>1200</v>
      </c>
      <c r="K485" s="4" t="str" cm="1">
        <f t="array" ref="K485">_xlfn.IFS(AND(Table1567[[#This Row],[Total Amount]]&gt;=1500),"Critical",AND(Table1567[[#This Row],[Total Amount]]&gt;=1000),"High",TRUE,"Normal")</f>
        <v>High</v>
      </c>
      <c r="L485" s="4" t="str">
        <f>IF(Table1567[[#This Row],[Total Amount]]&gt;=1000,"High",(IF(Table1567[[#This Row],[Total Amount]]&gt;=500,"Medium","Low")))</f>
        <v>High</v>
      </c>
      <c r="M485" s="4" t="str" cm="1">
        <f t="array" ref="M48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485" s="4" cm="1">
        <f t="array" ref="N48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485" s="4">
        <f>Table1567[[#This Row],[Total Amount]]-Table1567[[#This Row],[Discount Amount]]</f>
        <v>1200</v>
      </c>
      <c r="P485" s="4" t="str">
        <f>IF(Table1567[[#This Row],[Total Amount]]&gt;=1000,"High","Low")</f>
        <v>High</v>
      </c>
      <c r="Q485" s="4" t="str" cm="1">
        <f t="array" ref="Q485">_xlfn.IFS(AND(Table1567[[#This Row],[Total Amount]]&gt;=1500,"Critical"),AND(Table1567[[#This Row],[Total Amount]]&gt;=1000,"High"),TRUE,"Normal")</f>
        <v>Normal</v>
      </c>
      <c r="R485" s="4" t="str">
        <f>CONCATENATE(Table1567[[#This Row],[Customer ID]], "-",Table1567[[#This Row],[Age]])</f>
        <v>CUST484-19</v>
      </c>
      <c r="S485" s="4" t="str">
        <f>TEXT(Table1567[[#This Row],[Date]],"mmm")</f>
        <v>Jan</v>
      </c>
      <c r="T485" s="4" t="str">
        <f>TEXT(Table1567[[#This Row],[Date]],"DDD")</f>
        <v>Fri</v>
      </c>
    </row>
    <row r="486" spans="1:20" ht="29" x14ac:dyDescent="0.35">
      <c r="A486" s="4">
        <v>485</v>
      </c>
      <c r="B486" s="5">
        <v>45264</v>
      </c>
      <c r="C486" s="4" t="s">
        <v>498</v>
      </c>
      <c r="D486" s="4" t="s">
        <v>10</v>
      </c>
      <c r="E486" s="4">
        <v>24</v>
      </c>
      <c r="F486" s="4" t="str">
        <f>IF(Table1567[[#This Row],[Age]]&lt;=19,"Teenager",IF(Table1567[[#This Row],[Age]]&lt;=40,"Median","Old"))</f>
        <v>Median</v>
      </c>
      <c r="G486" s="4" t="s">
        <v>16</v>
      </c>
      <c r="H486" s="4">
        <v>1</v>
      </c>
      <c r="I486" s="4">
        <v>30</v>
      </c>
      <c r="J486" s="4">
        <v>30</v>
      </c>
      <c r="K486" s="4" t="str" cm="1">
        <f t="array" ref="K486">_xlfn.IFS(AND(Table1567[[#This Row],[Total Amount]]&gt;=1500),"Critical",AND(Table1567[[#This Row],[Total Amount]]&gt;=1000),"High",TRUE,"Normal")</f>
        <v>Normal</v>
      </c>
      <c r="L486" s="4" t="str">
        <f>IF(Table1567[[#This Row],[Total Amount]]&gt;=1000,"High",(IF(Table1567[[#This Row],[Total Amount]]&gt;=500,"Medium","Low")))</f>
        <v>Low</v>
      </c>
      <c r="M486" s="4" t="str" cm="1">
        <f t="array" ref="M48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486" s="4" cm="1">
        <f t="array" ref="N48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486" s="4">
        <f>Table1567[[#This Row],[Total Amount]]-Table1567[[#This Row],[Discount Amount]]</f>
        <v>30</v>
      </c>
      <c r="P486" s="4" t="str">
        <f>IF(Table1567[[#This Row],[Total Amount]]&gt;=1000,"High","Low")</f>
        <v>Low</v>
      </c>
      <c r="Q486" s="4" t="str" cm="1">
        <f t="array" ref="Q486">_xlfn.IFS(AND(Table1567[[#This Row],[Total Amount]]&gt;=1500,"Critical"),AND(Table1567[[#This Row],[Total Amount]]&gt;=1000,"High"),TRUE,"Normal")</f>
        <v>Normal</v>
      </c>
      <c r="R486" s="4" t="str">
        <f>CONCATENATE(Table1567[[#This Row],[Customer ID]], "-",Table1567[[#This Row],[Age]])</f>
        <v>CUST485-24</v>
      </c>
      <c r="S486" s="4" t="str">
        <f>TEXT(Table1567[[#This Row],[Date]],"mmm")</f>
        <v>Dec</v>
      </c>
      <c r="T486" s="4" t="str">
        <f>TEXT(Table1567[[#This Row],[Date]],"DDD")</f>
        <v>Mon</v>
      </c>
    </row>
    <row r="487" spans="1:20" ht="29" x14ac:dyDescent="0.35">
      <c r="A487" s="4">
        <v>486</v>
      </c>
      <c r="B487" s="5">
        <v>45025</v>
      </c>
      <c r="C487" s="4" t="s">
        <v>499</v>
      </c>
      <c r="D487" s="4" t="s">
        <v>13</v>
      </c>
      <c r="E487" s="4">
        <v>35</v>
      </c>
      <c r="F487" s="4" t="str">
        <f>IF(Table1567[[#This Row],[Age]]&lt;=19,"Teenager",IF(Table1567[[#This Row],[Age]]&lt;=40,"Median","Old"))</f>
        <v>Median</v>
      </c>
      <c r="G487" s="4" t="s">
        <v>16</v>
      </c>
      <c r="H487" s="4">
        <v>1</v>
      </c>
      <c r="I487" s="4">
        <v>25</v>
      </c>
      <c r="J487" s="4">
        <v>25</v>
      </c>
      <c r="K487" s="4" t="str" cm="1">
        <f t="array" ref="K487">_xlfn.IFS(AND(Table1567[[#This Row],[Total Amount]]&gt;=1500),"Critical",AND(Table1567[[#This Row],[Total Amount]]&gt;=1000),"High",TRUE,"Normal")</f>
        <v>Normal</v>
      </c>
      <c r="L487" s="4" t="str">
        <f>IF(Table1567[[#This Row],[Total Amount]]&gt;=1000,"High",(IF(Table1567[[#This Row],[Total Amount]]&gt;=500,"Medium","Low")))</f>
        <v>Low</v>
      </c>
      <c r="M487" s="4" t="str" cm="1">
        <f t="array" ref="M48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87" s="4" cm="1">
        <f t="array" ref="N48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487" s="4">
        <f>Table1567[[#This Row],[Total Amount]]-Table1567[[#This Row],[Discount Amount]]</f>
        <v>20</v>
      </c>
      <c r="P487" s="4" t="str">
        <f>IF(Table1567[[#This Row],[Total Amount]]&gt;=1000,"High","Low")</f>
        <v>Low</v>
      </c>
      <c r="Q487" s="4" t="str" cm="1">
        <f t="array" ref="Q487">_xlfn.IFS(AND(Table1567[[#This Row],[Total Amount]]&gt;=1500,"Critical"),AND(Table1567[[#This Row],[Total Amount]]&gt;=1000,"High"),TRUE,"Normal")</f>
        <v>Normal</v>
      </c>
      <c r="R487" s="4" t="str">
        <f>CONCATENATE(Table1567[[#This Row],[Customer ID]], "-",Table1567[[#This Row],[Age]])</f>
        <v>CUST486-35</v>
      </c>
      <c r="S487" s="4" t="str">
        <f>TEXT(Table1567[[#This Row],[Date]],"mmm")</f>
        <v>Apr</v>
      </c>
      <c r="T487" s="4" t="str">
        <f>TEXT(Table1567[[#This Row],[Date]],"DDD")</f>
        <v>Sun</v>
      </c>
    </row>
    <row r="488" spans="1:20" ht="29" x14ac:dyDescent="0.35">
      <c r="A488" s="4">
        <v>487</v>
      </c>
      <c r="B488" s="5">
        <v>45131</v>
      </c>
      <c r="C488" s="4" t="s">
        <v>500</v>
      </c>
      <c r="D488" s="4" t="s">
        <v>10</v>
      </c>
      <c r="E488" s="4">
        <v>44</v>
      </c>
      <c r="F488" s="4" t="str">
        <f>IF(Table1567[[#This Row],[Age]]&lt;=19,"Teenager",IF(Table1567[[#This Row],[Age]]&lt;=40,"Median","Old"))</f>
        <v>Old</v>
      </c>
      <c r="G488" s="4" t="s">
        <v>14</v>
      </c>
      <c r="H488" s="4">
        <v>4</v>
      </c>
      <c r="I488" s="4">
        <v>500</v>
      </c>
      <c r="J488" s="4">
        <v>2000</v>
      </c>
      <c r="K488" s="4" t="str" cm="1">
        <f t="array" ref="K488">_xlfn.IFS(AND(Table1567[[#This Row],[Total Amount]]&gt;=1500),"Critical",AND(Table1567[[#This Row],[Total Amount]]&gt;=1000),"High",TRUE,"Normal")</f>
        <v>Critical</v>
      </c>
      <c r="L488" s="4" t="str">
        <f>IF(Table1567[[#This Row],[Total Amount]]&gt;=1000,"High",(IF(Table1567[[#This Row],[Total Amount]]&gt;=500,"Medium","Low")))</f>
        <v>High</v>
      </c>
      <c r="M488" s="4" t="str" cm="1">
        <f t="array" ref="M48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88" s="4" cm="1">
        <f t="array" ref="N48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488" s="4">
        <f>Table1567[[#This Row],[Total Amount]]-Table1567[[#This Row],[Discount Amount]]</f>
        <v>1800</v>
      </c>
      <c r="P488" s="4" t="str">
        <f>IF(Table1567[[#This Row],[Total Amount]]&gt;=1000,"High","Low")</f>
        <v>High</v>
      </c>
      <c r="Q488" s="4" t="b" cm="1">
        <f t="array" ref="Q488">_xlfn.IFS(AND(Table1567[[#This Row],[Total Amount]]&gt;=1500,"Critical"),AND(Table1567[[#This Row],[Total Amount]]&gt;=1000,"High"),TRUE,"Normal")</f>
        <v>1</v>
      </c>
      <c r="R488" s="4" t="str">
        <f>CONCATENATE(Table1567[[#This Row],[Customer ID]], "-",Table1567[[#This Row],[Age]])</f>
        <v>CUST487-44</v>
      </c>
      <c r="S488" s="4" t="str">
        <f>TEXT(Table1567[[#This Row],[Date]],"mmm")</f>
        <v>Jul</v>
      </c>
      <c r="T488" s="4" t="str">
        <f>TEXT(Table1567[[#This Row],[Date]],"DDD")</f>
        <v>Mon</v>
      </c>
    </row>
    <row r="489" spans="1:20" ht="29" x14ac:dyDescent="0.35">
      <c r="A489" s="4">
        <v>488</v>
      </c>
      <c r="B489" s="5">
        <v>45095</v>
      </c>
      <c r="C489" s="4" t="s">
        <v>501</v>
      </c>
      <c r="D489" s="4" t="s">
        <v>13</v>
      </c>
      <c r="E489" s="4">
        <v>51</v>
      </c>
      <c r="F489" s="4" t="str">
        <f>IF(Table1567[[#This Row],[Age]]&lt;=19,"Teenager",IF(Table1567[[#This Row],[Age]]&lt;=40,"Median","Old"))</f>
        <v>Old</v>
      </c>
      <c r="G489" s="4" t="s">
        <v>16</v>
      </c>
      <c r="H489" s="4">
        <v>3</v>
      </c>
      <c r="I489" s="4">
        <v>300</v>
      </c>
      <c r="J489" s="4">
        <v>900</v>
      </c>
      <c r="K489" s="4" t="str" cm="1">
        <f t="array" ref="K489">_xlfn.IFS(AND(Table1567[[#This Row],[Total Amount]]&gt;=1500),"Critical",AND(Table1567[[#This Row],[Total Amount]]&gt;=1000),"High",TRUE,"Normal")</f>
        <v>Normal</v>
      </c>
      <c r="L489" s="4" t="str">
        <f>IF(Table1567[[#This Row],[Total Amount]]&gt;=1000,"High",(IF(Table1567[[#This Row],[Total Amount]]&gt;=500,"Medium","Low")))</f>
        <v>Medium</v>
      </c>
      <c r="M489" s="4" t="str" cm="1">
        <f t="array" ref="M48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89" s="4" cm="1">
        <f t="array" ref="N48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489" s="4">
        <f>Table1567[[#This Row],[Total Amount]]-Table1567[[#This Row],[Discount Amount]]</f>
        <v>720</v>
      </c>
      <c r="P489" s="4" t="str">
        <f>IF(Table1567[[#This Row],[Total Amount]]&gt;=1000,"High","Low")</f>
        <v>Low</v>
      </c>
      <c r="Q489" s="4" t="str" cm="1">
        <f t="array" ref="Q489">_xlfn.IFS(AND(Table1567[[#This Row],[Total Amount]]&gt;=1500,"Critical"),AND(Table1567[[#This Row],[Total Amount]]&gt;=1000,"High"),TRUE,"Normal")</f>
        <v>Normal</v>
      </c>
      <c r="R489" s="4" t="str">
        <f>CONCATENATE(Table1567[[#This Row],[Customer ID]], "-",Table1567[[#This Row],[Age]])</f>
        <v>CUST488-51</v>
      </c>
      <c r="S489" s="4" t="str">
        <f>TEXT(Table1567[[#This Row],[Date]],"mmm")</f>
        <v>Jun</v>
      </c>
      <c r="T489" s="4" t="str">
        <f>TEXT(Table1567[[#This Row],[Date]],"DDD")</f>
        <v>Sun</v>
      </c>
    </row>
    <row r="490" spans="1:20" ht="29" x14ac:dyDescent="0.35">
      <c r="A490" s="4">
        <v>489</v>
      </c>
      <c r="B490" s="5">
        <v>45069</v>
      </c>
      <c r="C490" s="4" t="s">
        <v>502</v>
      </c>
      <c r="D490" s="4" t="s">
        <v>10</v>
      </c>
      <c r="E490" s="4">
        <v>44</v>
      </c>
      <c r="F490" s="4" t="str">
        <f>IF(Table1567[[#This Row],[Age]]&lt;=19,"Teenager",IF(Table1567[[#This Row],[Age]]&lt;=40,"Median","Old"))</f>
        <v>Old</v>
      </c>
      <c r="G490" s="4" t="s">
        <v>16</v>
      </c>
      <c r="H490" s="4">
        <v>1</v>
      </c>
      <c r="I490" s="4">
        <v>30</v>
      </c>
      <c r="J490" s="4">
        <v>30</v>
      </c>
      <c r="K490" s="4" t="str" cm="1">
        <f t="array" ref="K490">_xlfn.IFS(AND(Table1567[[#This Row],[Total Amount]]&gt;=1500),"Critical",AND(Table1567[[#This Row],[Total Amount]]&gt;=1000),"High",TRUE,"Normal")</f>
        <v>Normal</v>
      </c>
      <c r="L490" s="4" t="str">
        <f>IF(Table1567[[#This Row],[Total Amount]]&gt;=1000,"High",(IF(Table1567[[#This Row],[Total Amount]]&gt;=500,"Medium","Low")))</f>
        <v>Low</v>
      </c>
      <c r="M490" s="4" t="str" cm="1">
        <f t="array" ref="M49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90" s="4" cm="1">
        <f t="array" ref="N49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</v>
      </c>
      <c r="O490" s="4">
        <f>Table1567[[#This Row],[Total Amount]]-Table1567[[#This Row],[Discount Amount]]</f>
        <v>27</v>
      </c>
      <c r="P490" s="4" t="str">
        <f>IF(Table1567[[#This Row],[Total Amount]]&gt;=1000,"High","Low")</f>
        <v>Low</v>
      </c>
      <c r="Q490" s="4" t="str" cm="1">
        <f t="array" ref="Q490">_xlfn.IFS(AND(Table1567[[#This Row],[Total Amount]]&gt;=1500,"Critical"),AND(Table1567[[#This Row],[Total Amount]]&gt;=1000,"High"),TRUE,"Normal")</f>
        <v>Normal</v>
      </c>
      <c r="R490" s="4" t="str">
        <f>CONCATENATE(Table1567[[#This Row],[Customer ID]], "-",Table1567[[#This Row],[Age]])</f>
        <v>CUST489-44</v>
      </c>
      <c r="S490" s="4" t="str">
        <f>TEXT(Table1567[[#This Row],[Date]],"mmm")</f>
        <v>May</v>
      </c>
      <c r="T490" s="4" t="str">
        <f>TEXT(Table1567[[#This Row],[Date]],"DDD")</f>
        <v>Tue</v>
      </c>
    </row>
    <row r="491" spans="1:20" ht="29" x14ac:dyDescent="0.35">
      <c r="A491" s="4">
        <v>490</v>
      </c>
      <c r="B491" s="5">
        <v>44962</v>
      </c>
      <c r="C491" s="4" t="s">
        <v>503</v>
      </c>
      <c r="D491" s="4" t="s">
        <v>10</v>
      </c>
      <c r="E491" s="4">
        <v>34</v>
      </c>
      <c r="F491" s="4" t="str">
        <f>IF(Table1567[[#This Row],[Age]]&lt;=19,"Teenager",IF(Table1567[[#This Row],[Age]]&lt;=40,"Median","Old"))</f>
        <v>Median</v>
      </c>
      <c r="G491" s="4" t="s">
        <v>14</v>
      </c>
      <c r="H491" s="4">
        <v>3</v>
      </c>
      <c r="I491" s="4">
        <v>50</v>
      </c>
      <c r="J491" s="4">
        <v>150</v>
      </c>
      <c r="K491" s="4" t="str" cm="1">
        <f t="array" ref="K491">_xlfn.IFS(AND(Table1567[[#This Row],[Total Amount]]&gt;=1500),"Critical",AND(Table1567[[#This Row],[Total Amount]]&gt;=1000),"High",TRUE,"Normal")</f>
        <v>Normal</v>
      </c>
      <c r="L491" s="4" t="str">
        <f>IF(Table1567[[#This Row],[Total Amount]]&gt;=1000,"High",(IF(Table1567[[#This Row],[Total Amount]]&gt;=500,"Medium","Low")))</f>
        <v>Low</v>
      </c>
      <c r="M491" s="4" t="str" cm="1">
        <f t="array" ref="M49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91" s="4" cm="1">
        <f t="array" ref="N49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22.5</v>
      </c>
      <c r="O491" s="4">
        <f>Table1567[[#This Row],[Total Amount]]-Table1567[[#This Row],[Discount Amount]]</f>
        <v>127.5</v>
      </c>
      <c r="P491" s="4" t="str">
        <f>IF(Table1567[[#This Row],[Total Amount]]&gt;=1000,"High","Low")</f>
        <v>Low</v>
      </c>
      <c r="Q491" s="4" t="str" cm="1">
        <f t="array" ref="Q491">_xlfn.IFS(AND(Table1567[[#This Row],[Total Amount]]&gt;=1500,"Critical"),AND(Table1567[[#This Row],[Total Amount]]&gt;=1000,"High"),TRUE,"Normal")</f>
        <v>Normal</v>
      </c>
      <c r="R491" s="4" t="str">
        <f>CONCATENATE(Table1567[[#This Row],[Customer ID]], "-",Table1567[[#This Row],[Age]])</f>
        <v>CUST490-34</v>
      </c>
      <c r="S491" s="4" t="str">
        <f>TEXT(Table1567[[#This Row],[Date]],"mmm")</f>
        <v>Feb</v>
      </c>
      <c r="T491" s="4" t="str">
        <f>TEXT(Table1567[[#This Row],[Date]],"DDD")</f>
        <v>Sun</v>
      </c>
    </row>
    <row r="492" spans="1:20" ht="29" x14ac:dyDescent="0.35">
      <c r="A492" s="4">
        <v>491</v>
      </c>
      <c r="B492" s="5">
        <v>45069</v>
      </c>
      <c r="C492" s="4" t="s">
        <v>504</v>
      </c>
      <c r="D492" s="4" t="s">
        <v>13</v>
      </c>
      <c r="E492" s="4">
        <v>60</v>
      </c>
      <c r="F492" s="4" t="str">
        <f>IF(Table1567[[#This Row],[Age]]&lt;=19,"Teenager",IF(Table1567[[#This Row],[Age]]&lt;=40,"Median","Old"))</f>
        <v>Old</v>
      </c>
      <c r="G492" s="4" t="s">
        <v>16</v>
      </c>
      <c r="H492" s="4">
        <v>3</v>
      </c>
      <c r="I492" s="4">
        <v>300</v>
      </c>
      <c r="J492" s="4">
        <v>900</v>
      </c>
      <c r="K492" s="4" t="str" cm="1">
        <f t="array" ref="K492">_xlfn.IFS(AND(Table1567[[#This Row],[Total Amount]]&gt;=1500),"Critical",AND(Table1567[[#This Row],[Total Amount]]&gt;=1000),"High",TRUE,"Normal")</f>
        <v>Normal</v>
      </c>
      <c r="L492" s="4" t="str">
        <f>IF(Table1567[[#This Row],[Total Amount]]&gt;=1000,"High",(IF(Table1567[[#This Row],[Total Amount]]&gt;=500,"Medium","Low")))</f>
        <v>Medium</v>
      </c>
      <c r="M492" s="4" t="str" cm="1">
        <f t="array" ref="M49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92" s="4" cm="1">
        <f t="array" ref="N49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492" s="4">
        <f>Table1567[[#This Row],[Total Amount]]-Table1567[[#This Row],[Discount Amount]]</f>
        <v>720</v>
      </c>
      <c r="P492" s="4" t="str">
        <f>IF(Table1567[[#This Row],[Total Amount]]&gt;=1000,"High","Low")</f>
        <v>Low</v>
      </c>
      <c r="Q492" s="4" t="str" cm="1">
        <f t="array" ref="Q492">_xlfn.IFS(AND(Table1567[[#This Row],[Total Amount]]&gt;=1500,"Critical"),AND(Table1567[[#This Row],[Total Amount]]&gt;=1000,"High"),TRUE,"Normal")</f>
        <v>Normal</v>
      </c>
      <c r="R492" s="4" t="str">
        <f>CONCATENATE(Table1567[[#This Row],[Customer ID]], "-",Table1567[[#This Row],[Age]])</f>
        <v>CUST491-60</v>
      </c>
      <c r="S492" s="4" t="str">
        <f>TEXT(Table1567[[#This Row],[Date]],"mmm")</f>
        <v>May</v>
      </c>
      <c r="T492" s="4" t="str">
        <f>TEXT(Table1567[[#This Row],[Date]],"DDD")</f>
        <v>Tue</v>
      </c>
    </row>
    <row r="493" spans="1:20" ht="29" x14ac:dyDescent="0.35">
      <c r="A493" s="4">
        <v>492</v>
      </c>
      <c r="B493" s="5">
        <v>45106</v>
      </c>
      <c r="C493" s="4" t="s">
        <v>505</v>
      </c>
      <c r="D493" s="4" t="s">
        <v>10</v>
      </c>
      <c r="E493" s="4">
        <v>61</v>
      </c>
      <c r="F493" s="4" t="str">
        <f>IF(Table1567[[#This Row],[Age]]&lt;=19,"Teenager",IF(Table1567[[#This Row],[Age]]&lt;=40,"Median","Old"))</f>
        <v>Old</v>
      </c>
      <c r="G493" s="4" t="s">
        <v>11</v>
      </c>
      <c r="H493" s="4">
        <v>4</v>
      </c>
      <c r="I493" s="4">
        <v>25</v>
      </c>
      <c r="J493" s="4">
        <v>100</v>
      </c>
      <c r="K493" s="4" t="str" cm="1">
        <f t="array" ref="K493">_xlfn.IFS(AND(Table1567[[#This Row],[Total Amount]]&gt;=1500),"Critical",AND(Table1567[[#This Row],[Total Amount]]&gt;=1000),"High",TRUE,"Normal")</f>
        <v>Normal</v>
      </c>
      <c r="L493" s="4" t="str">
        <f>IF(Table1567[[#This Row],[Total Amount]]&gt;=1000,"High",(IF(Table1567[[#This Row],[Total Amount]]&gt;=500,"Medium","Low")))</f>
        <v>Low</v>
      </c>
      <c r="M493" s="4" t="str" cm="1">
        <f t="array" ref="M49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93" s="4" cm="1">
        <f t="array" ref="N49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493" s="4">
        <f>Table1567[[#This Row],[Total Amount]]-Table1567[[#This Row],[Discount Amount]]</f>
        <v>90</v>
      </c>
      <c r="P493" s="4" t="str">
        <f>IF(Table1567[[#This Row],[Total Amount]]&gt;=1000,"High","Low")</f>
        <v>Low</v>
      </c>
      <c r="Q493" s="4" t="str" cm="1">
        <f t="array" ref="Q493">_xlfn.IFS(AND(Table1567[[#This Row],[Total Amount]]&gt;=1500,"Critical"),AND(Table1567[[#This Row],[Total Amount]]&gt;=1000,"High"),TRUE,"Normal")</f>
        <v>Normal</v>
      </c>
      <c r="R493" s="4" t="str">
        <f>CONCATENATE(Table1567[[#This Row],[Customer ID]], "-",Table1567[[#This Row],[Age]])</f>
        <v>CUST492-61</v>
      </c>
      <c r="S493" s="4" t="str">
        <f>TEXT(Table1567[[#This Row],[Date]],"mmm")</f>
        <v>Jun</v>
      </c>
      <c r="T493" s="4" t="str">
        <f>TEXT(Table1567[[#This Row],[Date]],"DDD")</f>
        <v>Thu</v>
      </c>
    </row>
    <row r="494" spans="1:20" ht="29" x14ac:dyDescent="0.35">
      <c r="A494" s="4">
        <v>493</v>
      </c>
      <c r="B494" s="5">
        <v>45255</v>
      </c>
      <c r="C494" s="4" t="s">
        <v>506</v>
      </c>
      <c r="D494" s="4" t="s">
        <v>10</v>
      </c>
      <c r="E494" s="4">
        <v>41</v>
      </c>
      <c r="F494" s="4" t="str">
        <f>IF(Table1567[[#This Row],[Age]]&lt;=19,"Teenager",IF(Table1567[[#This Row],[Age]]&lt;=40,"Median","Old"))</f>
        <v>Old</v>
      </c>
      <c r="G494" s="4" t="s">
        <v>11</v>
      </c>
      <c r="H494" s="4">
        <v>2</v>
      </c>
      <c r="I494" s="4">
        <v>25</v>
      </c>
      <c r="J494" s="4">
        <v>50</v>
      </c>
      <c r="K494" s="4" t="str" cm="1">
        <f t="array" ref="K494">_xlfn.IFS(AND(Table1567[[#This Row],[Total Amount]]&gt;=1500),"Critical",AND(Table1567[[#This Row],[Total Amount]]&gt;=1000),"High",TRUE,"Normal")</f>
        <v>Normal</v>
      </c>
      <c r="L494" s="4" t="str">
        <f>IF(Table1567[[#This Row],[Total Amount]]&gt;=1000,"High",(IF(Table1567[[#This Row],[Total Amount]]&gt;=500,"Medium","Low")))</f>
        <v>Low</v>
      </c>
      <c r="M494" s="4" t="str" cm="1">
        <f t="array" ref="M49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94" s="4" cm="1">
        <f t="array" ref="N49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494" s="4">
        <f>Table1567[[#This Row],[Total Amount]]-Table1567[[#This Row],[Discount Amount]]</f>
        <v>45</v>
      </c>
      <c r="P494" s="4" t="str">
        <f>IF(Table1567[[#This Row],[Total Amount]]&gt;=1000,"High","Low")</f>
        <v>Low</v>
      </c>
      <c r="Q494" s="4" t="str" cm="1">
        <f t="array" ref="Q494">_xlfn.IFS(AND(Table1567[[#This Row],[Total Amount]]&gt;=1500,"Critical"),AND(Table1567[[#This Row],[Total Amount]]&gt;=1000,"High"),TRUE,"Normal")</f>
        <v>Normal</v>
      </c>
      <c r="R494" s="4" t="str">
        <f>CONCATENATE(Table1567[[#This Row],[Customer ID]], "-",Table1567[[#This Row],[Age]])</f>
        <v>CUST493-41</v>
      </c>
      <c r="S494" s="4" t="str">
        <f>TEXT(Table1567[[#This Row],[Date]],"mmm")</f>
        <v>Nov</v>
      </c>
      <c r="T494" s="4" t="str">
        <f>TEXT(Table1567[[#This Row],[Date]],"DDD")</f>
        <v>Sat</v>
      </c>
    </row>
    <row r="495" spans="1:20" ht="29" x14ac:dyDescent="0.35">
      <c r="A495" s="4">
        <v>494</v>
      </c>
      <c r="B495" s="5">
        <v>45187</v>
      </c>
      <c r="C495" s="4" t="s">
        <v>507</v>
      </c>
      <c r="D495" s="4" t="s">
        <v>13</v>
      </c>
      <c r="E495" s="4">
        <v>42</v>
      </c>
      <c r="F495" s="4" t="str">
        <f>IF(Table1567[[#This Row],[Age]]&lt;=19,"Teenager",IF(Table1567[[#This Row],[Age]]&lt;=40,"Median","Old"))</f>
        <v>Old</v>
      </c>
      <c r="G495" s="4" t="s">
        <v>11</v>
      </c>
      <c r="H495" s="4">
        <v>4</v>
      </c>
      <c r="I495" s="4">
        <v>50</v>
      </c>
      <c r="J495" s="4">
        <v>200</v>
      </c>
      <c r="K495" s="4" t="str" cm="1">
        <f t="array" ref="K495">_xlfn.IFS(AND(Table1567[[#This Row],[Total Amount]]&gt;=1500),"Critical",AND(Table1567[[#This Row],[Total Amount]]&gt;=1000),"High",TRUE,"Normal")</f>
        <v>Normal</v>
      </c>
      <c r="L495" s="4" t="str">
        <f>IF(Table1567[[#This Row],[Total Amount]]&gt;=1000,"High",(IF(Table1567[[#This Row],[Total Amount]]&gt;=500,"Medium","Low")))</f>
        <v>Low</v>
      </c>
      <c r="M495" s="4" t="str" cm="1">
        <f t="array" ref="M49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95" s="4" cm="1">
        <f t="array" ref="N49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</v>
      </c>
      <c r="O495" s="4">
        <f>Table1567[[#This Row],[Total Amount]]-Table1567[[#This Row],[Discount Amount]]</f>
        <v>160</v>
      </c>
      <c r="P495" s="4" t="str">
        <f>IF(Table1567[[#This Row],[Total Amount]]&gt;=1000,"High","Low")</f>
        <v>Low</v>
      </c>
      <c r="Q495" s="4" t="str" cm="1">
        <f t="array" ref="Q495">_xlfn.IFS(AND(Table1567[[#This Row],[Total Amount]]&gt;=1500,"Critical"),AND(Table1567[[#This Row],[Total Amount]]&gt;=1000,"High"),TRUE,"Normal")</f>
        <v>Normal</v>
      </c>
      <c r="R495" s="4" t="str">
        <f>CONCATENATE(Table1567[[#This Row],[Customer ID]], "-",Table1567[[#This Row],[Age]])</f>
        <v>CUST494-42</v>
      </c>
      <c r="S495" s="4" t="str">
        <f>TEXT(Table1567[[#This Row],[Date]],"mmm")</f>
        <v>Sep</v>
      </c>
      <c r="T495" s="4" t="str">
        <f>TEXT(Table1567[[#This Row],[Date]],"DDD")</f>
        <v>Mon</v>
      </c>
    </row>
    <row r="496" spans="1:20" ht="29" x14ac:dyDescent="0.35">
      <c r="A496" s="4">
        <v>495</v>
      </c>
      <c r="B496" s="5">
        <v>45131</v>
      </c>
      <c r="C496" s="4" t="s">
        <v>508</v>
      </c>
      <c r="D496" s="4" t="s">
        <v>10</v>
      </c>
      <c r="E496" s="4">
        <v>24</v>
      </c>
      <c r="F496" s="4" t="str">
        <f>IF(Table1567[[#This Row],[Age]]&lt;=19,"Teenager",IF(Table1567[[#This Row],[Age]]&lt;=40,"Median","Old"))</f>
        <v>Median</v>
      </c>
      <c r="G496" s="4" t="s">
        <v>11</v>
      </c>
      <c r="H496" s="4">
        <v>2</v>
      </c>
      <c r="I496" s="4">
        <v>30</v>
      </c>
      <c r="J496" s="4">
        <v>60</v>
      </c>
      <c r="K496" s="4" t="str" cm="1">
        <f t="array" ref="K496">_xlfn.IFS(AND(Table1567[[#This Row],[Total Amount]]&gt;=1500),"Critical",AND(Table1567[[#This Row],[Total Amount]]&gt;=1000),"High",TRUE,"Normal")</f>
        <v>Normal</v>
      </c>
      <c r="L496" s="4" t="str">
        <f>IF(Table1567[[#This Row],[Total Amount]]&gt;=1000,"High",(IF(Table1567[[#This Row],[Total Amount]]&gt;=500,"Medium","Low")))</f>
        <v>Low</v>
      </c>
      <c r="M496" s="4" t="str" cm="1">
        <f t="array" ref="M49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496" s="4" cm="1">
        <f t="array" ref="N49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496" s="4">
        <f>Table1567[[#This Row],[Total Amount]]-Table1567[[#This Row],[Discount Amount]]</f>
        <v>60</v>
      </c>
      <c r="P496" s="4" t="str">
        <f>IF(Table1567[[#This Row],[Total Amount]]&gt;=1000,"High","Low")</f>
        <v>Low</v>
      </c>
      <c r="Q496" s="4" t="str" cm="1">
        <f t="array" ref="Q496">_xlfn.IFS(AND(Table1567[[#This Row],[Total Amount]]&gt;=1500,"Critical"),AND(Table1567[[#This Row],[Total Amount]]&gt;=1000,"High"),TRUE,"Normal")</f>
        <v>Normal</v>
      </c>
      <c r="R496" s="4" t="str">
        <f>CONCATENATE(Table1567[[#This Row],[Customer ID]], "-",Table1567[[#This Row],[Age]])</f>
        <v>CUST495-24</v>
      </c>
      <c r="S496" s="4" t="str">
        <f>TEXT(Table1567[[#This Row],[Date]],"mmm")</f>
        <v>Jul</v>
      </c>
      <c r="T496" s="4" t="str">
        <f>TEXT(Table1567[[#This Row],[Date]],"DDD")</f>
        <v>Mon</v>
      </c>
    </row>
    <row r="497" spans="1:20" ht="29" x14ac:dyDescent="0.35">
      <c r="A497" s="4">
        <v>496</v>
      </c>
      <c r="B497" s="5">
        <v>45274</v>
      </c>
      <c r="C497" s="4" t="s">
        <v>509</v>
      </c>
      <c r="D497" s="4" t="s">
        <v>10</v>
      </c>
      <c r="E497" s="4">
        <v>23</v>
      </c>
      <c r="F497" s="4" t="str">
        <f>IF(Table1567[[#This Row],[Age]]&lt;=19,"Teenager",IF(Table1567[[#This Row],[Age]]&lt;=40,"Median","Old"))</f>
        <v>Median</v>
      </c>
      <c r="G497" s="4" t="s">
        <v>14</v>
      </c>
      <c r="H497" s="4">
        <v>2</v>
      </c>
      <c r="I497" s="4">
        <v>300</v>
      </c>
      <c r="J497" s="4">
        <v>600</v>
      </c>
      <c r="K497" s="4" t="str" cm="1">
        <f t="array" ref="K497">_xlfn.IFS(AND(Table1567[[#This Row],[Total Amount]]&gt;=1500),"Critical",AND(Table1567[[#This Row],[Total Amount]]&gt;=1000),"High",TRUE,"Normal")</f>
        <v>Normal</v>
      </c>
      <c r="L497" s="4" t="str">
        <f>IF(Table1567[[#This Row],[Total Amount]]&gt;=1000,"High",(IF(Table1567[[#This Row],[Total Amount]]&gt;=500,"Medium","Low")))</f>
        <v>Medium</v>
      </c>
      <c r="M497" s="4" t="str" cm="1">
        <f t="array" ref="M49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497" s="4" cm="1">
        <f t="array" ref="N49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497" s="4">
        <f>Table1567[[#This Row],[Total Amount]]-Table1567[[#This Row],[Discount Amount]]</f>
        <v>600</v>
      </c>
      <c r="P497" s="4" t="str">
        <f>IF(Table1567[[#This Row],[Total Amount]]&gt;=1000,"High","Low")</f>
        <v>Low</v>
      </c>
      <c r="Q497" s="4" t="str" cm="1">
        <f t="array" ref="Q497">_xlfn.IFS(AND(Table1567[[#This Row],[Total Amount]]&gt;=1500,"Critical"),AND(Table1567[[#This Row],[Total Amount]]&gt;=1000,"High"),TRUE,"Normal")</f>
        <v>Normal</v>
      </c>
      <c r="R497" s="4" t="str">
        <f>CONCATENATE(Table1567[[#This Row],[Customer ID]], "-",Table1567[[#This Row],[Age]])</f>
        <v>CUST496-23</v>
      </c>
      <c r="S497" s="4" t="str">
        <f>TEXT(Table1567[[#This Row],[Date]],"mmm")</f>
        <v>Dec</v>
      </c>
      <c r="T497" s="4" t="str">
        <f>TEXT(Table1567[[#This Row],[Date]],"DDD")</f>
        <v>Thu</v>
      </c>
    </row>
    <row r="498" spans="1:20" ht="29" x14ac:dyDescent="0.35">
      <c r="A498" s="4">
        <v>497</v>
      </c>
      <c r="B498" s="5">
        <v>45201</v>
      </c>
      <c r="C498" s="4" t="s">
        <v>510</v>
      </c>
      <c r="D498" s="4" t="s">
        <v>10</v>
      </c>
      <c r="E498" s="4">
        <v>41</v>
      </c>
      <c r="F498" s="4" t="str">
        <f>IF(Table1567[[#This Row],[Age]]&lt;=19,"Teenager",IF(Table1567[[#This Row],[Age]]&lt;=40,"Median","Old"))</f>
        <v>Old</v>
      </c>
      <c r="G498" s="4" t="s">
        <v>14</v>
      </c>
      <c r="H498" s="4">
        <v>4</v>
      </c>
      <c r="I498" s="4">
        <v>30</v>
      </c>
      <c r="J498" s="4">
        <v>120</v>
      </c>
      <c r="K498" s="4" t="str" cm="1">
        <f t="array" ref="K498">_xlfn.IFS(AND(Table1567[[#This Row],[Total Amount]]&gt;=1500),"Critical",AND(Table1567[[#This Row],[Total Amount]]&gt;=1000),"High",TRUE,"Normal")</f>
        <v>Normal</v>
      </c>
      <c r="L498" s="4" t="str">
        <f>IF(Table1567[[#This Row],[Total Amount]]&gt;=1000,"High",(IF(Table1567[[#This Row],[Total Amount]]&gt;=500,"Medium","Low")))</f>
        <v>Low</v>
      </c>
      <c r="M498" s="4" t="str" cm="1">
        <f t="array" ref="M49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98" s="4" cm="1">
        <f t="array" ref="N49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498" s="4">
        <f>Table1567[[#This Row],[Total Amount]]-Table1567[[#This Row],[Discount Amount]]</f>
        <v>108</v>
      </c>
      <c r="P498" s="4" t="str">
        <f>IF(Table1567[[#This Row],[Total Amount]]&gt;=1000,"High","Low")</f>
        <v>Low</v>
      </c>
      <c r="Q498" s="4" t="str" cm="1">
        <f t="array" ref="Q498">_xlfn.IFS(AND(Table1567[[#This Row],[Total Amount]]&gt;=1500,"Critical"),AND(Table1567[[#This Row],[Total Amount]]&gt;=1000,"High"),TRUE,"Normal")</f>
        <v>Normal</v>
      </c>
      <c r="R498" s="4" t="str">
        <f>CONCATENATE(Table1567[[#This Row],[Customer ID]], "-",Table1567[[#This Row],[Age]])</f>
        <v>CUST497-41</v>
      </c>
      <c r="S498" s="4" t="str">
        <f>TEXT(Table1567[[#This Row],[Date]],"mmm")</f>
        <v>Oct</v>
      </c>
      <c r="T498" s="4" t="str">
        <f>TEXT(Table1567[[#This Row],[Date]],"DDD")</f>
        <v>Mon</v>
      </c>
    </row>
    <row r="499" spans="1:20" ht="29" x14ac:dyDescent="0.35">
      <c r="A499" s="4">
        <v>498</v>
      </c>
      <c r="B499" s="5">
        <v>45096</v>
      </c>
      <c r="C499" s="4" t="s">
        <v>511</v>
      </c>
      <c r="D499" s="4" t="s">
        <v>13</v>
      </c>
      <c r="E499" s="4">
        <v>50</v>
      </c>
      <c r="F499" s="4" t="str">
        <f>IF(Table1567[[#This Row],[Age]]&lt;=19,"Teenager",IF(Table1567[[#This Row],[Age]]&lt;=40,"Median","Old"))</f>
        <v>Old</v>
      </c>
      <c r="G499" s="4" t="s">
        <v>14</v>
      </c>
      <c r="H499" s="4">
        <v>4</v>
      </c>
      <c r="I499" s="4">
        <v>25</v>
      </c>
      <c r="J499" s="4">
        <v>100</v>
      </c>
      <c r="K499" s="4" t="str" cm="1">
        <f t="array" ref="K499">_xlfn.IFS(AND(Table1567[[#This Row],[Total Amount]]&gt;=1500),"Critical",AND(Table1567[[#This Row],[Total Amount]]&gt;=1000),"High",TRUE,"Normal")</f>
        <v>Normal</v>
      </c>
      <c r="L499" s="4" t="str">
        <f>IF(Table1567[[#This Row],[Total Amount]]&gt;=1000,"High",(IF(Table1567[[#This Row],[Total Amount]]&gt;=500,"Medium","Low")))</f>
        <v>Low</v>
      </c>
      <c r="M499" s="4" t="str" cm="1">
        <f t="array" ref="M49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99" s="4" cm="1">
        <f t="array" ref="N49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499" s="4">
        <f>Table1567[[#This Row],[Total Amount]]-Table1567[[#This Row],[Discount Amount]]</f>
        <v>80</v>
      </c>
      <c r="P499" s="4" t="str">
        <f>IF(Table1567[[#This Row],[Total Amount]]&gt;=1000,"High","Low")</f>
        <v>Low</v>
      </c>
      <c r="Q499" s="4" t="str" cm="1">
        <f t="array" ref="Q499">_xlfn.IFS(AND(Table1567[[#This Row],[Total Amount]]&gt;=1500,"Critical"),AND(Table1567[[#This Row],[Total Amount]]&gt;=1000,"High"),TRUE,"Normal")</f>
        <v>Normal</v>
      </c>
      <c r="R499" s="4" t="str">
        <f>CONCATENATE(Table1567[[#This Row],[Customer ID]], "-",Table1567[[#This Row],[Age]])</f>
        <v>CUST498-50</v>
      </c>
      <c r="S499" s="4" t="str">
        <f>TEXT(Table1567[[#This Row],[Date]],"mmm")</f>
        <v>Jun</v>
      </c>
      <c r="T499" s="4" t="str">
        <f>TEXT(Table1567[[#This Row],[Date]],"DDD")</f>
        <v>Mon</v>
      </c>
    </row>
    <row r="500" spans="1:20" ht="29" x14ac:dyDescent="0.35">
      <c r="A500" s="4">
        <v>499</v>
      </c>
      <c r="B500" s="5">
        <v>44941</v>
      </c>
      <c r="C500" s="4" t="s">
        <v>512</v>
      </c>
      <c r="D500" s="4" t="s">
        <v>10</v>
      </c>
      <c r="E500" s="4">
        <v>46</v>
      </c>
      <c r="F500" s="4" t="str">
        <f>IF(Table1567[[#This Row],[Age]]&lt;=19,"Teenager",IF(Table1567[[#This Row],[Age]]&lt;=40,"Median","Old"))</f>
        <v>Old</v>
      </c>
      <c r="G500" s="4" t="s">
        <v>11</v>
      </c>
      <c r="H500" s="4">
        <v>2</v>
      </c>
      <c r="I500" s="4">
        <v>30</v>
      </c>
      <c r="J500" s="4">
        <v>60</v>
      </c>
      <c r="K500" s="4" t="str" cm="1">
        <f t="array" ref="K500">_xlfn.IFS(AND(Table1567[[#This Row],[Total Amount]]&gt;=1500),"Critical",AND(Table1567[[#This Row],[Total Amount]]&gt;=1000),"High",TRUE,"Normal")</f>
        <v>Normal</v>
      </c>
      <c r="L500" s="4" t="str">
        <f>IF(Table1567[[#This Row],[Total Amount]]&gt;=1000,"High",(IF(Table1567[[#This Row],[Total Amount]]&gt;=500,"Medium","Low")))</f>
        <v>Low</v>
      </c>
      <c r="M500" s="4" t="str" cm="1">
        <f t="array" ref="M50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00" s="4" cm="1">
        <f t="array" ref="N50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500" s="4">
        <f>Table1567[[#This Row],[Total Amount]]-Table1567[[#This Row],[Discount Amount]]</f>
        <v>54</v>
      </c>
      <c r="P500" s="4" t="str">
        <f>IF(Table1567[[#This Row],[Total Amount]]&gt;=1000,"High","Low")</f>
        <v>Low</v>
      </c>
      <c r="Q500" s="4" t="str" cm="1">
        <f t="array" ref="Q500">_xlfn.IFS(AND(Table1567[[#This Row],[Total Amount]]&gt;=1500,"Critical"),AND(Table1567[[#This Row],[Total Amount]]&gt;=1000,"High"),TRUE,"Normal")</f>
        <v>Normal</v>
      </c>
      <c r="R500" s="4" t="str">
        <f>CONCATENATE(Table1567[[#This Row],[Customer ID]], "-",Table1567[[#This Row],[Age]])</f>
        <v>CUST499-46</v>
      </c>
      <c r="S500" s="4" t="str">
        <f>TEXT(Table1567[[#This Row],[Date]],"mmm")</f>
        <v>Jan</v>
      </c>
      <c r="T500" s="4" t="str">
        <f>TEXT(Table1567[[#This Row],[Date]],"DDD")</f>
        <v>Sun</v>
      </c>
    </row>
    <row r="501" spans="1:20" ht="29" x14ac:dyDescent="0.35">
      <c r="A501" s="4">
        <v>500</v>
      </c>
      <c r="B501" s="5">
        <v>44986</v>
      </c>
      <c r="C501" s="4" t="s">
        <v>513</v>
      </c>
      <c r="D501" s="4" t="s">
        <v>13</v>
      </c>
      <c r="E501" s="4">
        <v>60</v>
      </c>
      <c r="F501" s="4" t="str">
        <f>IF(Table1567[[#This Row],[Age]]&lt;=19,"Teenager",IF(Table1567[[#This Row],[Age]]&lt;=40,"Median","Old"))</f>
        <v>Old</v>
      </c>
      <c r="G501" s="4" t="s">
        <v>11</v>
      </c>
      <c r="H501" s="4">
        <v>4</v>
      </c>
      <c r="I501" s="4">
        <v>25</v>
      </c>
      <c r="J501" s="4">
        <v>100</v>
      </c>
      <c r="K501" s="4" t="str" cm="1">
        <f t="array" ref="K501">_xlfn.IFS(AND(Table1567[[#This Row],[Total Amount]]&gt;=1500),"Critical",AND(Table1567[[#This Row],[Total Amount]]&gt;=1000),"High",TRUE,"Normal")</f>
        <v>Normal</v>
      </c>
      <c r="L501" s="4" t="str">
        <f>IF(Table1567[[#This Row],[Total Amount]]&gt;=1000,"High",(IF(Table1567[[#This Row],[Total Amount]]&gt;=500,"Medium","Low")))</f>
        <v>Low</v>
      </c>
      <c r="M501" s="4" t="str" cm="1">
        <f t="array" ref="M50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01" s="4" cm="1">
        <f t="array" ref="N50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501" s="4">
        <f>Table1567[[#This Row],[Total Amount]]-Table1567[[#This Row],[Discount Amount]]</f>
        <v>80</v>
      </c>
      <c r="P501" s="4" t="str">
        <f>IF(Table1567[[#This Row],[Total Amount]]&gt;=1000,"High","Low")</f>
        <v>Low</v>
      </c>
      <c r="Q501" s="4" t="str" cm="1">
        <f t="array" ref="Q501">_xlfn.IFS(AND(Table1567[[#This Row],[Total Amount]]&gt;=1500,"Critical"),AND(Table1567[[#This Row],[Total Amount]]&gt;=1000,"High"),TRUE,"Normal")</f>
        <v>Normal</v>
      </c>
      <c r="R501" s="4" t="str">
        <f>CONCATENATE(Table1567[[#This Row],[Customer ID]], "-",Table1567[[#This Row],[Age]])</f>
        <v>CUST500-60</v>
      </c>
      <c r="S501" s="4" t="str">
        <f>TEXT(Table1567[[#This Row],[Date]],"mmm")</f>
        <v>Mar</v>
      </c>
      <c r="T501" s="4" t="str">
        <f>TEXT(Table1567[[#This Row],[Date]],"DDD")</f>
        <v>Wed</v>
      </c>
    </row>
    <row r="502" spans="1:20" ht="29" x14ac:dyDescent="0.35">
      <c r="A502" s="4">
        <v>501</v>
      </c>
      <c r="B502" s="5">
        <v>45060</v>
      </c>
      <c r="C502" s="4" t="s">
        <v>514</v>
      </c>
      <c r="D502" s="4" t="s">
        <v>10</v>
      </c>
      <c r="E502" s="4">
        <v>39</v>
      </c>
      <c r="F502" s="4" t="str">
        <f>IF(Table1567[[#This Row],[Age]]&lt;=19,"Teenager",IF(Table1567[[#This Row],[Age]]&lt;=40,"Median","Old"))</f>
        <v>Median</v>
      </c>
      <c r="G502" s="4" t="s">
        <v>16</v>
      </c>
      <c r="H502" s="4">
        <v>2</v>
      </c>
      <c r="I502" s="4">
        <v>30</v>
      </c>
      <c r="J502" s="4">
        <v>60</v>
      </c>
      <c r="K502" s="4" t="str" cm="1">
        <f t="array" ref="K502">_xlfn.IFS(AND(Table1567[[#This Row],[Total Amount]]&gt;=1500),"Critical",AND(Table1567[[#This Row],[Total Amount]]&gt;=1000),"High",TRUE,"Normal")</f>
        <v>Normal</v>
      </c>
      <c r="L502" s="4" t="str">
        <f>IF(Table1567[[#This Row],[Total Amount]]&gt;=1000,"High",(IF(Table1567[[#This Row],[Total Amount]]&gt;=500,"Medium","Low")))</f>
        <v>Low</v>
      </c>
      <c r="M502" s="4" t="str" cm="1">
        <f t="array" ref="M50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02" s="4" cm="1">
        <f t="array" ref="N50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502" s="4">
        <f>Table1567[[#This Row],[Total Amount]]-Table1567[[#This Row],[Discount Amount]]</f>
        <v>54</v>
      </c>
      <c r="P502" s="4" t="str">
        <f>IF(Table1567[[#This Row],[Total Amount]]&gt;=1000,"High","Low")</f>
        <v>Low</v>
      </c>
      <c r="Q502" s="4" t="str" cm="1">
        <f t="array" ref="Q502">_xlfn.IFS(AND(Table1567[[#This Row],[Total Amount]]&gt;=1500,"Critical"),AND(Table1567[[#This Row],[Total Amount]]&gt;=1000,"High"),TRUE,"Normal")</f>
        <v>Normal</v>
      </c>
      <c r="R502" s="4" t="str">
        <f>CONCATENATE(Table1567[[#This Row],[Customer ID]], "-",Table1567[[#This Row],[Age]])</f>
        <v>CUST501-39</v>
      </c>
      <c r="S502" s="4" t="str">
        <f>TEXT(Table1567[[#This Row],[Date]],"mmm")</f>
        <v>May</v>
      </c>
      <c r="T502" s="4" t="str">
        <f>TEXT(Table1567[[#This Row],[Date]],"DDD")</f>
        <v>Sun</v>
      </c>
    </row>
    <row r="503" spans="1:20" ht="29" x14ac:dyDescent="0.35">
      <c r="A503" s="4">
        <v>502</v>
      </c>
      <c r="B503" s="5">
        <v>45018</v>
      </c>
      <c r="C503" s="4" t="s">
        <v>515</v>
      </c>
      <c r="D503" s="4" t="s">
        <v>10</v>
      </c>
      <c r="E503" s="4">
        <v>43</v>
      </c>
      <c r="F503" s="4" t="str">
        <f>IF(Table1567[[#This Row],[Age]]&lt;=19,"Teenager",IF(Table1567[[#This Row],[Age]]&lt;=40,"Median","Old"))</f>
        <v>Old</v>
      </c>
      <c r="G503" s="4" t="s">
        <v>16</v>
      </c>
      <c r="H503" s="4">
        <v>3</v>
      </c>
      <c r="I503" s="4">
        <v>50</v>
      </c>
      <c r="J503" s="4">
        <v>150</v>
      </c>
      <c r="K503" s="4" t="str" cm="1">
        <f t="array" ref="K503">_xlfn.IFS(AND(Table1567[[#This Row],[Total Amount]]&gt;=1500),"Critical",AND(Table1567[[#This Row],[Total Amount]]&gt;=1000),"High",TRUE,"Normal")</f>
        <v>Normal</v>
      </c>
      <c r="L503" s="4" t="str">
        <f>IF(Table1567[[#This Row],[Total Amount]]&gt;=1000,"High",(IF(Table1567[[#This Row],[Total Amount]]&gt;=500,"Medium","Low")))</f>
        <v>Low</v>
      </c>
      <c r="M503" s="4" t="str" cm="1">
        <f t="array" ref="M50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03" s="4" cm="1">
        <f t="array" ref="N50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503" s="4">
        <f>Table1567[[#This Row],[Total Amount]]-Table1567[[#This Row],[Discount Amount]]</f>
        <v>135</v>
      </c>
      <c r="P503" s="4" t="str">
        <f>IF(Table1567[[#This Row],[Total Amount]]&gt;=1000,"High","Low")</f>
        <v>Low</v>
      </c>
      <c r="Q503" s="4" t="str" cm="1">
        <f t="array" ref="Q503">_xlfn.IFS(AND(Table1567[[#This Row],[Total Amount]]&gt;=1500,"Critical"),AND(Table1567[[#This Row],[Total Amount]]&gt;=1000,"High"),TRUE,"Normal")</f>
        <v>Normal</v>
      </c>
      <c r="R503" s="4" t="str">
        <f>CONCATENATE(Table1567[[#This Row],[Customer ID]], "-",Table1567[[#This Row],[Age]])</f>
        <v>CUST502-43</v>
      </c>
      <c r="S503" s="4" t="str">
        <f>TEXT(Table1567[[#This Row],[Date]],"mmm")</f>
        <v>Apr</v>
      </c>
      <c r="T503" s="4" t="str">
        <f>TEXT(Table1567[[#This Row],[Date]],"DDD")</f>
        <v>Sun</v>
      </c>
    </row>
    <row r="504" spans="1:20" ht="29" x14ac:dyDescent="0.35">
      <c r="A504" s="4">
        <v>503</v>
      </c>
      <c r="B504" s="5">
        <v>45224</v>
      </c>
      <c r="C504" s="4" t="s">
        <v>516</v>
      </c>
      <c r="D504" s="4" t="s">
        <v>10</v>
      </c>
      <c r="E504" s="4">
        <v>45</v>
      </c>
      <c r="F504" s="4" t="str">
        <f>IF(Table1567[[#This Row],[Age]]&lt;=19,"Teenager",IF(Table1567[[#This Row],[Age]]&lt;=40,"Median","Old"))</f>
        <v>Old</v>
      </c>
      <c r="G504" s="4" t="s">
        <v>11</v>
      </c>
      <c r="H504" s="4">
        <v>4</v>
      </c>
      <c r="I504" s="4">
        <v>500</v>
      </c>
      <c r="J504" s="4">
        <v>2000</v>
      </c>
      <c r="K504" s="4" t="str" cm="1">
        <f t="array" ref="K504">_xlfn.IFS(AND(Table1567[[#This Row],[Total Amount]]&gt;=1500),"Critical",AND(Table1567[[#This Row],[Total Amount]]&gt;=1000),"High",TRUE,"Normal")</f>
        <v>Critical</v>
      </c>
      <c r="L504" s="4" t="str">
        <f>IF(Table1567[[#This Row],[Total Amount]]&gt;=1000,"High",(IF(Table1567[[#This Row],[Total Amount]]&gt;=500,"Medium","Low")))</f>
        <v>High</v>
      </c>
      <c r="M504" s="4" t="str" cm="1">
        <f t="array" ref="M50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04" s="4" cm="1">
        <f t="array" ref="N50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504" s="4">
        <f>Table1567[[#This Row],[Total Amount]]-Table1567[[#This Row],[Discount Amount]]</f>
        <v>1800</v>
      </c>
      <c r="P504" s="4" t="str">
        <f>IF(Table1567[[#This Row],[Total Amount]]&gt;=1000,"High","Low")</f>
        <v>High</v>
      </c>
      <c r="Q504" s="4" t="b" cm="1">
        <f t="array" ref="Q504">_xlfn.IFS(AND(Table1567[[#This Row],[Total Amount]]&gt;=1500,"Critical"),AND(Table1567[[#This Row],[Total Amount]]&gt;=1000,"High"),TRUE,"Normal")</f>
        <v>1</v>
      </c>
      <c r="R504" s="4" t="str">
        <f>CONCATENATE(Table1567[[#This Row],[Customer ID]], "-",Table1567[[#This Row],[Age]])</f>
        <v>CUST503-45</v>
      </c>
      <c r="S504" s="4" t="str">
        <f>TEXT(Table1567[[#This Row],[Date]],"mmm")</f>
        <v>Oct</v>
      </c>
      <c r="T504" s="4" t="str">
        <f>TEXT(Table1567[[#This Row],[Date]],"DDD")</f>
        <v>Wed</v>
      </c>
    </row>
    <row r="505" spans="1:20" ht="29" x14ac:dyDescent="0.35">
      <c r="A505" s="4">
        <v>504</v>
      </c>
      <c r="B505" s="5">
        <v>45062</v>
      </c>
      <c r="C505" s="4" t="s">
        <v>517</v>
      </c>
      <c r="D505" s="4" t="s">
        <v>13</v>
      </c>
      <c r="E505" s="4">
        <v>38</v>
      </c>
      <c r="F505" s="4" t="str">
        <f>IF(Table1567[[#This Row],[Age]]&lt;=19,"Teenager",IF(Table1567[[#This Row],[Age]]&lt;=40,"Median","Old"))</f>
        <v>Median</v>
      </c>
      <c r="G505" s="4" t="s">
        <v>11</v>
      </c>
      <c r="H505" s="4">
        <v>3</v>
      </c>
      <c r="I505" s="4">
        <v>50</v>
      </c>
      <c r="J505" s="4">
        <v>150</v>
      </c>
      <c r="K505" s="4" t="str" cm="1">
        <f t="array" ref="K505">_xlfn.IFS(AND(Table1567[[#This Row],[Total Amount]]&gt;=1500),"Critical",AND(Table1567[[#This Row],[Total Amount]]&gt;=1000),"High",TRUE,"Normal")</f>
        <v>Normal</v>
      </c>
      <c r="L505" s="4" t="str">
        <f>IF(Table1567[[#This Row],[Total Amount]]&gt;=1000,"High",(IF(Table1567[[#This Row],[Total Amount]]&gt;=500,"Medium","Low")))</f>
        <v>Low</v>
      </c>
      <c r="M505" s="4" t="str" cm="1">
        <f t="array" ref="M50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05" s="4" cm="1">
        <f t="array" ref="N50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505" s="4">
        <f>Table1567[[#This Row],[Total Amount]]-Table1567[[#This Row],[Discount Amount]]</f>
        <v>120</v>
      </c>
      <c r="P505" s="4" t="str">
        <f>IF(Table1567[[#This Row],[Total Amount]]&gt;=1000,"High","Low")</f>
        <v>Low</v>
      </c>
      <c r="Q505" s="4" t="str" cm="1">
        <f t="array" ref="Q505">_xlfn.IFS(AND(Table1567[[#This Row],[Total Amount]]&gt;=1500,"Critical"),AND(Table1567[[#This Row],[Total Amount]]&gt;=1000,"High"),TRUE,"Normal")</f>
        <v>Normal</v>
      </c>
      <c r="R505" s="4" t="str">
        <f>CONCATENATE(Table1567[[#This Row],[Customer ID]], "-",Table1567[[#This Row],[Age]])</f>
        <v>CUST504-38</v>
      </c>
      <c r="S505" s="4" t="str">
        <f>TEXT(Table1567[[#This Row],[Date]],"mmm")</f>
        <v>May</v>
      </c>
      <c r="T505" s="4" t="str">
        <f>TEXT(Table1567[[#This Row],[Date]],"DDD")</f>
        <v>Tue</v>
      </c>
    </row>
    <row r="506" spans="1:20" ht="29" x14ac:dyDescent="0.35">
      <c r="A506" s="4">
        <v>505</v>
      </c>
      <c r="B506" s="5">
        <v>44946</v>
      </c>
      <c r="C506" s="4" t="s">
        <v>518</v>
      </c>
      <c r="D506" s="4" t="s">
        <v>10</v>
      </c>
      <c r="E506" s="4">
        <v>24</v>
      </c>
      <c r="F506" s="4" t="str">
        <f>IF(Table1567[[#This Row],[Age]]&lt;=19,"Teenager",IF(Table1567[[#This Row],[Age]]&lt;=40,"Median","Old"))</f>
        <v>Median</v>
      </c>
      <c r="G506" s="4" t="s">
        <v>11</v>
      </c>
      <c r="H506" s="4">
        <v>1</v>
      </c>
      <c r="I506" s="4">
        <v>50</v>
      </c>
      <c r="J506" s="4">
        <v>50</v>
      </c>
      <c r="K506" s="4" t="str" cm="1">
        <f t="array" ref="K506">_xlfn.IFS(AND(Table1567[[#This Row],[Total Amount]]&gt;=1500),"Critical",AND(Table1567[[#This Row],[Total Amount]]&gt;=1000),"High",TRUE,"Normal")</f>
        <v>Normal</v>
      </c>
      <c r="L506" s="4" t="str">
        <f>IF(Table1567[[#This Row],[Total Amount]]&gt;=1000,"High",(IF(Table1567[[#This Row],[Total Amount]]&gt;=500,"Medium","Low")))</f>
        <v>Low</v>
      </c>
      <c r="M506" s="4" t="str" cm="1">
        <f t="array" ref="M50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506" s="4" cm="1">
        <f t="array" ref="N50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506" s="4">
        <f>Table1567[[#This Row],[Total Amount]]-Table1567[[#This Row],[Discount Amount]]</f>
        <v>50</v>
      </c>
      <c r="P506" s="4" t="str">
        <f>IF(Table1567[[#This Row],[Total Amount]]&gt;=1000,"High","Low")</f>
        <v>Low</v>
      </c>
      <c r="Q506" s="4" t="str" cm="1">
        <f t="array" ref="Q506">_xlfn.IFS(AND(Table1567[[#This Row],[Total Amount]]&gt;=1500,"Critical"),AND(Table1567[[#This Row],[Total Amount]]&gt;=1000,"High"),TRUE,"Normal")</f>
        <v>Normal</v>
      </c>
      <c r="R506" s="4" t="str">
        <f>CONCATENATE(Table1567[[#This Row],[Customer ID]], "-",Table1567[[#This Row],[Age]])</f>
        <v>CUST505-24</v>
      </c>
      <c r="S506" s="4" t="str">
        <f>TEXT(Table1567[[#This Row],[Date]],"mmm")</f>
        <v>Jan</v>
      </c>
      <c r="T506" s="4" t="str">
        <f>TEXT(Table1567[[#This Row],[Date]],"DDD")</f>
        <v>Fri</v>
      </c>
    </row>
    <row r="507" spans="1:20" ht="29" x14ac:dyDescent="0.35">
      <c r="A507" s="4">
        <v>506</v>
      </c>
      <c r="B507" s="5">
        <v>44982</v>
      </c>
      <c r="C507" s="4" t="s">
        <v>519</v>
      </c>
      <c r="D507" s="4" t="s">
        <v>10</v>
      </c>
      <c r="E507" s="4">
        <v>34</v>
      </c>
      <c r="F507" s="4" t="str">
        <f>IF(Table1567[[#This Row],[Age]]&lt;=19,"Teenager",IF(Table1567[[#This Row],[Age]]&lt;=40,"Median","Old"))</f>
        <v>Median</v>
      </c>
      <c r="G507" s="4" t="s">
        <v>11</v>
      </c>
      <c r="H507" s="4">
        <v>3</v>
      </c>
      <c r="I507" s="4">
        <v>500</v>
      </c>
      <c r="J507" s="4">
        <v>1500</v>
      </c>
      <c r="K507" s="4" t="str" cm="1">
        <f t="array" ref="K507">_xlfn.IFS(AND(Table1567[[#This Row],[Total Amount]]&gt;=1500),"Critical",AND(Table1567[[#This Row],[Total Amount]]&gt;=1000),"High",TRUE,"Normal")</f>
        <v>Critical</v>
      </c>
      <c r="L507" s="4" t="str">
        <f>IF(Table1567[[#This Row],[Total Amount]]&gt;=1000,"High",(IF(Table1567[[#This Row],[Total Amount]]&gt;=500,"Medium","Low")))</f>
        <v>High</v>
      </c>
      <c r="M507" s="4" t="str" cm="1">
        <f t="array" ref="M50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07" s="4" cm="1">
        <f t="array" ref="N50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225</v>
      </c>
      <c r="O507" s="4">
        <f>Table1567[[#This Row],[Total Amount]]-Table1567[[#This Row],[Discount Amount]]</f>
        <v>1275</v>
      </c>
      <c r="P507" s="4" t="str">
        <f>IF(Table1567[[#This Row],[Total Amount]]&gt;=1000,"High","Low")</f>
        <v>High</v>
      </c>
      <c r="Q507" s="4" t="b" cm="1">
        <f t="array" ref="Q507">_xlfn.IFS(AND(Table1567[[#This Row],[Total Amount]]&gt;=1500,"Critical"),AND(Table1567[[#This Row],[Total Amount]]&gt;=1000,"High"),TRUE,"Normal")</f>
        <v>1</v>
      </c>
      <c r="R507" s="4" t="str">
        <f>CONCATENATE(Table1567[[#This Row],[Customer ID]], "-",Table1567[[#This Row],[Age]])</f>
        <v>CUST506-34</v>
      </c>
      <c r="S507" s="4" t="str">
        <f>TEXT(Table1567[[#This Row],[Date]],"mmm")</f>
        <v>Feb</v>
      </c>
      <c r="T507" s="4" t="str">
        <f>TEXT(Table1567[[#This Row],[Date]],"DDD")</f>
        <v>Sat</v>
      </c>
    </row>
    <row r="508" spans="1:20" ht="29" x14ac:dyDescent="0.35">
      <c r="A508" s="4">
        <v>507</v>
      </c>
      <c r="B508" s="5">
        <v>45232</v>
      </c>
      <c r="C508" s="4" t="s">
        <v>520</v>
      </c>
      <c r="D508" s="4" t="s">
        <v>13</v>
      </c>
      <c r="E508" s="4">
        <v>37</v>
      </c>
      <c r="F508" s="4" t="str">
        <f>IF(Table1567[[#This Row],[Age]]&lt;=19,"Teenager",IF(Table1567[[#This Row],[Age]]&lt;=40,"Median","Old"))</f>
        <v>Median</v>
      </c>
      <c r="G508" s="4" t="s">
        <v>16</v>
      </c>
      <c r="H508" s="4">
        <v>3</v>
      </c>
      <c r="I508" s="4">
        <v>500</v>
      </c>
      <c r="J508" s="4">
        <v>1500</v>
      </c>
      <c r="K508" s="4" t="str" cm="1">
        <f t="array" ref="K508">_xlfn.IFS(AND(Table1567[[#This Row],[Total Amount]]&gt;=1500),"Critical",AND(Table1567[[#This Row],[Total Amount]]&gt;=1000),"High",TRUE,"Normal")</f>
        <v>Critical</v>
      </c>
      <c r="L508" s="4" t="str">
        <f>IF(Table1567[[#This Row],[Total Amount]]&gt;=1000,"High",(IF(Table1567[[#This Row],[Total Amount]]&gt;=500,"Medium","Low")))</f>
        <v>High</v>
      </c>
      <c r="M508" s="4" t="str" cm="1">
        <f t="array" ref="M50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08" s="4" cm="1">
        <f t="array" ref="N50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508" s="4">
        <f>Table1567[[#This Row],[Total Amount]]-Table1567[[#This Row],[Discount Amount]]</f>
        <v>1200</v>
      </c>
      <c r="P508" s="4" t="str">
        <f>IF(Table1567[[#This Row],[Total Amount]]&gt;=1000,"High","Low")</f>
        <v>High</v>
      </c>
      <c r="Q508" s="4" t="b" cm="1">
        <f t="array" ref="Q508">_xlfn.IFS(AND(Table1567[[#This Row],[Total Amount]]&gt;=1500,"Critical"),AND(Table1567[[#This Row],[Total Amount]]&gt;=1000,"High"),TRUE,"Normal")</f>
        <v>1</v>
      </c>
      <c r="R508" s="4" t="str">
        <f>CONCATENATE(Table1567[[#This Row],[Customer ID]], "-",Table1567[[#This Row],[Age]])</f>
        <v>CUST507-37</v>
      </c>
      <c r="S508" s="4" t="str">
        <f>TEXT(Table1567[[#This Row],[Date]],"mmm")</f>
        <v>Nov</v>
      </c>
      <c r="T508" s="4" t="str">
        <f>TEXT(Table1567[[#This Row],[Date]],"DDD")</f>
        <v>Thu</v>
      </c>
    </row>
    <row r="509" spans="1:20" ht="29" x14ac:dyDescent="0.35">
      <c r="A509" s="4">
        <v>508</v>
      </c>
      <c r="B509" s="5">
        <v>45149</v>
      </c>
      <c r="C509" s="4" t="s">
        <v>521</v>
      </c>
      <c r="D509" s="4" t="s">
        <v>10</v>
      </c>
      <c r="E509" s="4">
        <v>58</v>
      </c>
      <c r="F509" s="4" t="str">
        <f>IF(Table1567[[#This Row],[Age]]&lt;=19,"Teenager",IF(Table1567[[#This Row],[Age]]&lt;=40,"Median","Old"))</f>
        <v>Old</v>
      </c>
      <c r="G509" s="4" t="s">
        <v>11</v>
      </c>
      <c r="H509" s="4">
        <v>2</v>
      </c>
      <c r="I509" s="4">
        <v>300</v>
      </c>
      <c r="J509" s="4">
        <v>600</v>
      </c>
      <c r="K509" s="4" t="str" cm="1">
        <f t="array" ref="K509">_xlfn.IFS(AND(Table1567[[#This Row],[Total Amount]]&gt;=1500),"Critical",AND(Table1567[[#This Row],[Total Amount]]&gt;=1000),"High",TRUE,"Normal")</f>
        <v>Normal</v>
      </c>
      <c r="L509" s="4" t="str">
        <f>IF(Table1567[[#This Row],[Total Amount]]&gt;=1000,"High",(IF(Table1567[[#This Row],[Total Amount]]&gt;=500,"Medium","Low")))</f>
        <v>Medium</v>
      </c>
      <c r="M509" s="4" t="str" cm="1">
        <f t="array" ref="M50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09" s="4" cm="1">
        <f t="array" ref="N50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509" s="4">
        <f>Table1567[[#This Row],[Total Amount]]-Table1567[[#This Row],[Discount Amount]]</f>
        <v>540</v>
      </c>
      <c r="P509" s="4" t="str">
        <f>IF(Table1567[[#This Row],[Total Amount]]&gt;=1000,"High","Low")</f>
        <v>Low</v>
      </c>
      <c r="Q509" s="4" t="str" cm="1">
        <f t="array" ref="Q509">_xlfn.IFS(AND(Table1567[[#This Row],[Total Amount]]&gt;=1500,"Critical"),AND(Table1567[[#This Row],[Total Amount]]&gt;=1000,"High"),TRUE,"Normal")</f>
        <v>Normal</v>
      </c>
      <c r="R509" s="4" t="str">
        <f>CONCATENATE(Table1567[[#This Row],[Customer ID]], "-",Table1567[[#This Row],[Age]])</f>
        <v>CUST508-58</v>
      </c>
      <c r="S509" s="4" t="str">
        <f>TEXT(Table1567[[#This Row],[Date]],"mmm")</f>
        <v>Aug</v>
      </c>
      <c r="T509" s="4" t="str">
        <f>TEXT(Table1567[[#This Row],[Date]],"DDD")</f>
        <v>Fri</v>
      </c>
    </row>
    <row r="510" spans="1:20" ht="29" x14ac:dyDescent="0.35">
      <c r="A510" s="4">
        <v>509</v>
      </c>
      <c r="B510" s="5">
        <v>45103</v>
      </c>
      <c r="C510" s="4" t="s">
        <v>522</v>
      </c>
      <c r="D510" s="4" t="s">
        <v>13</v>
      </c>
      <c r="E510" s="4">
        <v>37</v>
      </c>
      <c r="F510" s="4" t="str">
        <f>IF(Table1567[[#This Row],[Age]]&lt;=19,"Teenager",IF(Table1567[[#This Row],[Age]]&lt;=40,"Median","Old"))</f>
        <v>Median</v>
      </c>
      <c r="G510" s="4" t="s">
        <v>16</v>
      </c>
      <c r="H510" s="4">
        <v>3</v>
      </c>
      <c r="I510" s="4">
        <v>300</v>
      </c>
      <c r="J510" s="4">
        <v>900</v>
      </c>
      <c r="K510" s="4" t="str" cm="1">
        <f t="array" ref="K510">_xlfn.IFS(AND(Table1567[[#This Row],[Total Amount]]&gt;=1500),"Critical",AND(Table1567[[#This Row],[Total Amount]]&gt;=1000),"High",TRUE,"Normal")</f>
        <v>Normal</v>
      </c>
      <c r="L510" s="4" t="str">
        <f>IF(Table1567[[#This Row],[Total Amount]]&gt;=1000,"High",(IF(Table1567[[#This Row],[Total Amount]]&gt;=500,"Medium","Low")))</f>
        <v>Medium</v>
      </c>
      <c r="M510" s="4" t="str" cm="1">
        <f t="array" ref="M51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10" s="4" cm="1">
        <f t="array" ref="N51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510" s="4">
        <f>Table1567[[#This Row],[Total Amount]]-Table1567[[#This Row],[Discount Amount]]</f>
        <v>720</v>
      </c>
      <c r="P510" s="4" t="str">
        <f>IF(Table1567[[#This Row],[Total Amount]]&gt;=1000,"High","Low")</f>
        <v>Low</v>
      </c>
      <c r="Q510" s="4" t="str" cm="1">
        <f t="array" ref="Q510">_xlfn.IFS(AND(Table1567[[#This Row],[Total Amount]]&gt;=1500,"Critical"),AND(Table1567[[#This Row],[Total Amount]]&gt;=1000,"High"),TRUE,"Normal")</f>
        <v>Normal</v>
      </c>
      <c r="R510" s="4" t="str">
        <f>CONCATENATE(Table1567[[#This Row],[Customer ID]], "-",Table1567[[#This Row],[Age]])</f>
        <v>CUST509-37</v>
      </c>
      <c r="S510" s="4" t="str">
        <f>TEXT(Table1567[[#This Row],[Date]],"mmm")</f>
        <v>Jun</v>
      </c>
      <c r="T510" s="4" t="str">
        <f>TEXT(Table1567[[#This Row],[Date]],"DDD")</f>
        <v>Mon</v>
      </c>
    </row>
    <row r="511" spans="1:20" ht="29" x14ac:dyDescent="0.35">
      <c r="A511" s="4">
        <v>510</v>
      </c>
      <c r="B511" s="5">
        <v>45087</v>
      </c>
      <c r="C511" s="4" t="s">
        <v>523</v>
      </c>
      <c r="D511" s="4" t="s">
        <v>13</v>
      </c>
      <c r="E511" s="4">
        <v>39</v>
      </c>
      <c r="F511" s="4" t="str">
        <f>IF(Table1567[[#This Row],[Age]]&lt;=19,"Teenager",IF(Table1567[[#This Row],[Age]]&lt;=40,"Median","Old"))</f>
        <v>Median</v>
      </c>
      <c r="G511" s="4" t="s">
        <v>11</v>
      </c>
      <c r="H511" s="4">
        <v>4</v>
      </c>
      <c r="I511" s="4">
        <v>50</v>
      </c>
      <c r="J511" s="4">
        <v>200</v>
      </c>
      <c r="K511" s="4" t="str" cm="1">
        <f t="array" ref="K511">_xlfn.IFS(AND(Table1567[[#This Row],[Total Amount]]&gt;=1500),"Critical",AND(Table1567[[#This Row],[Total Amount]]&gt;=1000),"High",TRUE,"Normal")</f>
        <v>Normal</v>
      </c>
      <c r="L511" s="4" t="str">
        <f>IF(Table1567[[#This Row],[Total Amount]]&gt;=1000,"High",(IF(Table1567[[#This Row],[Total Amount]]&gt;=500,"Medium","Low")))</f>
        <v>Low</v>
      </c>
      <c r="M511" s="4" t="str" cm="1">
        <f t="array" ref="M51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11" s="4" cm="1">
        <f t="array" ref="N51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</v>
      </c>
      <c r="O511" s="4">
        <f>Table1567[[#This Row],[Total Amount]]-Table1567[[#This Row],[Discount Amount]]</f>
        <v>160</v>
      </c>
      <c r="P511" s="4" t="str">
        <f>IF(Table1567[[#This Row],[Total Amount]]&gt;=1000,"High","Low")</f>
        <v>Low</v>
      </c>
      <c r="Q511" s="4" t="str" cm="1">
        <f t="array" ref="Q511">_xlfn.IFS(AND(Table1567[[#This Row],[Total Amount]]&gt;=1500,"Critical"),AND(Table1567[[#This Row],[Total Amount]]&gt;=1000,"High"),TRUE,"Normal")</f>
        <v>Normal</v>
      </c>
      <c r="R511" s="4" t="str">
        <f>CONCATENATE(Table1567[[#This Row],[Customer ID]], "-",Table1567[[#This Row],[Age]])</f>
        <v>CUST510-39</v>
      </c>
      <c r="S511" s="4" t="str">
        <f>TEXT(Table1567[[#This Row],[Date]],"mmm")</f>
        <v>Jun</v>
      </c>
      <c r="T511" s="4" t="str">
        <f>TEXT(Table1567[[#This Row],[Date]],"DDD")</f>
        <v>Sat</v>
      </c>
    </row>
    <row r="512" spans="1:20" ht="29" x14ac:dyDescent="0.35">
      <c r="A512" s="4">
        <v>511</v>
      </c>
      <c r="B512" s="5">
        <v>45150</v>
      </c>
      <c r="C512" s="4" t="s">
        <v>524</v>
      </c>
      <c r="D512" s="4" t="s">
        <v>10</v>
      </c>
      <c r="E512" s="4">
        <v>45</v>
      </c>
      <c r="F512" s="4" t="str">
        <f>IF(Table1567[[#This Row],[Age]]&lt;=19,"Teenager",IF(Table1567[[#This Row],[Age]]&lt;=40,"Median","Old"))</f>
        <v>Old</v>
      </c>
      <c r="G512" s="4" t="s">
        <v>11</v>
      </c>
      <c r="H512" s="4">
        <v>2</v>
      </c>
      <c r="I512" s="4">
        <v>50</v>
      </c>
      <c r="J512" s="4">
        <v>100</v>
      </c>
      <c r="K512" s="4" t="str" cm="1">
        <f t="array" ref="K512">_xlfn.IFS(AND(Table1567[[#This Row],[Total Amount]]&gt;=1500),"Critical",AND(Table1567[[#This Row],[Total Amount]]&gt;=1000),"High",TRUE,"Normal")</f>
        <v>Normal</v>
      </c>
      <c r="L512" s="4" t="str">
        <f>IF(Table1567[[#This Row],[Total Amount]]&gt;=1000,"High",(IF(Table1567[[#This Row],[Total Amount]]&gt;=500,"Medium","Low")))</f>
        <v>Low</v>
      </c>
      <c r="M512" s="4" t="str" cm="1">
        <f t="array" ref="M51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12" s="4" cm="1">
        <f t="array" ref="N51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512" s="4">
        <f>Table1567[[#This Row],[Total Amount]]-Table1567[[#This Row],[Discount Amount]]</f>
        <v>90</v>
      </c>
      <c r="P512" s="4" t="str">
        <f>IF(Table1567[[#This Row],[Total Amount]]&gt;=1000,"High","Low")</f>
        <v>Low</v>
      </c>
      <c r="Q512" s="4" t="str" cm="1">
        <f t="array" ref="Q512">_xlfn.IFS(AND(Table1567[[#This Row],[Total Amount]]&gt;=1500,"Critical"),AND(Table1567[[#This Row],[Total Amount]]&gt;=1000,"High"),TRUE,"Normal")</f>
        <v>Normal</v>
      </c>
      <c r="R512" s="4" t="str">
        <f>CONCATENATE(Table1567[[#This Row],[Customer ID]], "-",Table1567[[#This Row],[Age]])</f>
        <v>CUST511-45</v>
      </c>
      <c r="S512" s="4" t="str">
        <f>TEXT(Table1567[[#This Row],[Date]],"mmm")</f>
        <v>Aug</v>
      </c>
      <c r="T512" s="4" t="str">
        <f>TEXT(Table1567[[#This Row],[Date]],"DDD")</f>
        <v>Sat</v>
      </c>
    </row>
    <row r="513" spans="1:20" ht="29" x14ac:dyDescent="0.35">
      <c r="A513" s="4">
        <v>512</v>
      </c>
      <c r="B513" s="5">
        <v>45237</v>
      </c>
      <c r="C513" s="4" t="s">
        <v>525</v>
      </c>
      <c r="D513" s="4" t="s">
        <v>13</v>
      </c>
      <c r="E513" s="4">
        <v>57</v>
      </c>
      <c r="F513" s="4" t="str">
        <f>IF(Table1567[[#This Row],[Age]]&lt;=19,"Teenager",IF(Table1567[[#This Row],[Age]]&lt;=40,"Median","Old"))</f>
        <v>Old</v>
      </c>
      <c r="G513" s="4" t="s">
        <v>11</v>
      </c>
      <c r="H513" s="4">
        <v>1</v>
      </c>
      <c r="I513" s="4">
        <v>25</v>
      </c>
      <c r="J513" s="4">
        <v>25</v>
      </c>
      <c r="K513" s="4" t="str" cm="1">
        <f t="array" ref="K513">_xlfn.IFS(AND(Table1567[[#This Row],[Total Amount]]&gt;=1500),"Critical",AND(Table1567[[#This Row],[Total Amount]]&gt;=1000),"High",TRUE,"Normal")</f>
        <v>Normal</v>
      </c>
      <c r="L513" s="4" t="str">
        <f>IF(Table1567[[#This Row],[Total Amount]]&gt;=1000,"High",(IF(Table1567[[#This Row],[Total Amount]]&gt;=500,"Medium","Low")))</f>
        <v>Low</v>
      </c>
      <c r="M513" s="4" t="str" cm="1">
        <f t="array" ref="M51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13" s="4" cm="1">
        <f t="array" ref="N51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513" s="4">
        <f>Table1567[[#This Row],[Total Amount]]-Table1567[[#This Row],[Discount Amount]]</f>
        <v>20</v>
      </c>
      <c r="P513" s="4" t="str">
        <f>IF(Table1567[[#This Row],[Total Amount]]&gt;=1000,"High","Low")</f>
        <v>Low</v>
      </c>
      <c r="Q513" s="4" t="str" cm="1">
        <f t="array" ref="Q513">_xlfn.IFS(AND(Table1567[[#This Row],[Total Amount]]&gt;=1500,"Critical"),AND(Table1567[[#This Row],[Total Amount]]&gt;=1000,"High"),TRUE,"Normal")</f>
        <v>Normal</v>
      </c>
      <c r="R513" s="4" t="str">
        <f>CONCATENATE(Table1567[[#This Row],[Customer ID]], "-",Table1567[[#This Row],[Age]])</f>
        <v>CUST512-57</v>
      </c>
      <c r="S513" s="4" t="str">
        <f>TEXT(Table1567[[#This Row],[Date]],"mmm")</f>
        <v>Nov</v>
      </c>
      <c r="T513" s="4" t="str">
        <f>TEXT(Table1567[[#This Row],[Date]],"DDD")</f>
        <v>Tue</v>
      </c>
    </row>
    <row r="514" spans="1:20" ht="29" x14ac:dyDescent="0.35">
      <c r="A514" s="4">
        <v>513</v>
      </c>
      <c r="B514" s="5">
        <v>45188</v>
      </c>
      <c r="C514" s="4" t="s">
        <v>526</v>
      </c>
      <c r="D514" s="4" t="s">
        <v>10</v>
      </c>
      <c r="E514" s="4">
        <v>24</v>
      </c>
      <c r="F514" s="4" t="str">
        <f>IF(Table1567[[#This Row],[Age]]&lt;=19,"Teenager",IF(Table1567[[#This Row],[Age]]&lt;=40,"Median","Old"))</f>
        <v>Median</v>
      </c>
      <c r="G514" s="4" t="s">
        <v>16</v>
      </c>
      <c r="H514" s="4">
        <v>4</v>
      </c>
      <c r="I514" s="4">
        <v>25</v>
      </c>
      <c r="J514" s="4">
        <v>100</v>
      </c>
      <c r="K514" s="4" t="str" cm="1">
        <f t="array" ref="K514">_xlfn.IFS(AND(Table1567[[#This Row],[Total Amount]]&gt;=1500),"Critical",AND(Table1567[[#This Row],[Total Amount]]&gt;=1000),"High",TRUE,"Normal")</f>
        <v>Normal</v>
      </c>
      <c r="L514" s="4" t="str">
        <f>IF(Table1567[[#This Row],[Total Amount]]&gt;=1000,"High",(IF(Table1567[[#This Row],[Total Amount]]&gt;=500,"Medium","Low")))</f>
        <v>Low</v>
      </c>
      <c r="M514" s="4" t="str" cm="1">
        <f t="array" ref="M51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514" s="4" cm="1">
        <f t="array" ref="N51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514" s="4">
        <f>Table1567[[#This Row],[Total Amount]]-Table1567[[#This Row],[Discount Amount]]</f>
        <v>100</v>
      </c>
      <c r="P514" s="4" t="str">
        <f>IF(Table1567[[#This Row],[Total Amount]]&gt;=1000,"High","Low")</f>
        <v>Low</v>
      </c>
      <c r="Q514" s="4" t="str" cm="1">
        <f t="array" ref="Q514">_xlfn.IFS(AND(Table1567[[#This Row],[Total Amount]]&gt;=1500,"Critical"),AND(Table1567[[#This Row],[Total Amount]]&gt;=1000,"High"),TRUE,"Normal")</f>
        <v>Normal</v>
      </c>
      <c r="R514" s="4" t="str">
        <f>CONCATENATE(Table1567[[#This Row],[Customer ID]], "-",Table1567[[#This Row],[Age]])</f>
        <v>CUST513-24</v>
      </c>
      <c r="S514" s="4" t="str">
        <f>TEXT(Table1567[[#This Row],[Date]],"mmm")</f>
        <v>Sep</v>
      </c>
      <c r="T514" s="4" t="str">
        <f>TEXT(Table1567[[#This Row],[Date]],"DDD")</f>
        <v>Tue</v>
      </c>
    </row>
    <row r="515" spans="1:20" ht="29" x14ac:dyDescent="0.35">
      <c r="A515" s="4">
        <v>514</v>
      </c>
      <c r="B515" s="5">
        <v>44986</v>
      </c>
      <c r="C515" s="4" t="s">
        <v>527</v>
      </c>
      <c r="D515" s="4" t="s">
        <v>13</v>
      </c>
      <c r="E515" s="4">
        <v>18</v>
      </c>
      <c r="F515" s="4" t="str">
        <f>IF(Table1567[[#This Row],[Age]]&lt;=19,"Teenager",IF(Table1567[[#This Row],[Age]]&lt;=40,"Median","Old"))</f>
        <v>Teenager</v>
      </c>
      <c r="G515" s="4" t="s">
        <v>16</v>
      </c>
      <c r="H515" s="4">
        <v>1</v>
      </c>
      <c r="I515" s="4">
        <v>300</v>
      </c>
      <c r="J515" s="4">
        <v>300</v>
      </c>
      <c r="K515" s="4" t="str" cm="1">
        <f t="array" ref="K515">_xlfn.IFS(AND(Table1567[[#This Row],[Total Amount]]&gt;=1500),"Critical",AND(Table1567[[#This Row],[Total Amount]]&gt;=1000),"High",TRUE,"Normal")</f>
        <v>Normal</v>
      </c>
      <c r="L515" s="4" t="str">
        <f>IF(Table1567[[#This Row],[Total Amount]]&gt;=1000,"High",(IF(Table1567[[#This Row],[Total Amount]]&gt;=500,"Medium","Low")))</f>
        <v>Low</v>
      </c>
      <c r="M515" s="4" t="str" cm="1">
        <f t="array" ref="M51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515" s="4" cm="1">
        <f t="array" ref="N51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515" s="4">
        <f>Table1567[[#This Row],[Total Amount]]-Table1567[[#This Row],[Discount Amount]]</f>
        <v>300</v>
      </c>
      <c r="P515" s="4" t="str">
        <f>IF(Table1567[[#This Row],[Total Amount]]&gt;=1000,"High","Low")</f>
        <v>Low</v>
      </c>
      <c r="Q515" s="4" t="str" cm="1">
        <f t="array" ref="Q515">_xlfn.IFS(AND(Table1567[[#This Row],[Total Amount]]&gt;=1500,"Critical"),AND(Table1567[[#This Row],[Total Amount]]&gt;=1000,"High"),TRUE,"Normal")</f>
        <v>Normal</v>
      </c>
      <c r="R515" s="4" t="str">
        <f>CONCATENATE(Table1567[[#This Row],[Customer ID]], "-",Table1567[[#This Row],[Age]])</f>
        <v>CUST514-18</v>
      </c>
      <c r="S515" s="4" t="str">
        <f>TEXT(Table1567[[#This Row],[Date]],"mmm")</f>
        <v>Mar</v>
      </c>
      <c r="T515" s="4" t="str">
        <f>TEXT(Table1567[[#This Row],[Date]],"DDD")</f>
        <v>Wed</v>
      </c>
    </row>
    <row r="516" spans="1:20" ht="29" x14ac:dyDescent="0.35">
      <c r="A516" s="4">
        <v>515</v>
      </c>
      <c r="B516" s="5">
        <v>45124</v>
      </c>
      <c r="C516" s="4" t="s">
        <v>528</v>
      </c>
      <c r="D516" s="4" t="s">
        <v>13</v>
      </c>
      <c r="E516" s="4">
        <v>49</v>
      </c>
      <c r="F516" s="4" t="str">
        <f>IF(Table1567[[#This Row],[Age]]&lt;=19,"Teenager",IF(Table1567[[#This Row],[Age]]&lt;=40,"Median","Old"))</f>
        <v>Old</v>
      </c>
      <c r="G516" s="4" t="s">
        <v>14</v>
      </c>
      <c r="H516" s="4">
        <v>3</v>
      </c>
      <c r="I516" s="4">
        <v>300</v>
      </c>
      <c r="J516" s="4">
        <v>900</v>
      </c>
      <c r="K516" s="4" t="str" cm="1">
        <f t="array" ref="K516">_xlfn.IFS(AND(Table1567[[#This Row],[Total Amount]]&gt;=1500),"Critical",AND(Table1567[[#This Row],[Total Amount]]&gt;=1000),"High",TRUE,"Normal")</f>
        <v>Normal</v>
      </c>
      <c r="L516" s="4" t="str">
        <f>IF(Table1567[[#This Row],[Total Amount]]&gt;=1000,"High",(IF(Table1567[[#This Row],[Total Amount]]&gt;=500,"Medium","Low")))</f>
        <v>Medium</v>
      </c>
      <c r="M516" s="4" t="str" cm="1">
        <f t="array" ref="M51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16" s="4" cm="1">
        <f t="array" ref="N51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516" s="4">
        <f>Table1567[[#This Row],[Total Amount]]-Table1567[[#This Row],[Discount Amount]]</f>
        <v>720</v>
      </c>
      <c r="P516" s="4" t="str">
        <f>IF(Table1567[[#This Row],[Total Amount]]&gt;=1000,"High","Low")</f>
        <v>Low</v>
      </c>
      <c r="Q516" s="4" t="str" cm="1">
        <f t="array" ref="Q516">_xlfn.IFS(AND(Table1567[[#This Row],[Total Amount]]&gt;=1500,"Critical"),AND(Table1567[[#This Row],[Total Amount]]&gt;=1000,"High"),TRUE,"Normal")</f>
        <v>Normal</v>
      </c>
      <c r="R516" s="4" t="str">
        <f>CONCATENATE(Table1567[[#This Row],[Customer ID]], "-",Table1567[[#This Row],[Age]])</f>
        <v>CUST515-49</v>
      </c>
      <c r="S516" s="4" t="str">
        <f>TEXT(Table1567[[#This Row],[Date]],"mmm")</f>
        <v>Jul</v>
      </c>
      <c r="T516" s="4" t="str">
        <f>TEXT(Table1567[[#This Row],[Date]],"DDD")</f>
        <v>Mon</v>
      </c>
    </row>
    <row r="517" spans="1:20" ht="29" x14ac:dyDescent="0.35">
      <c r="A517" s="4">
        <v>516</v>
      </c>
      <c r="B517" s="5">
        <v>45222</v>
      </c>
      <c r="C517" s="4" t="s">
        <v>529</v>
      </c>
      <c r="D517" s="4" t="s">
        <v>10</v>
      </c>
      <c r="E517" s="4">
        <v>30</v>
      </c>
      <c r="F517" s="4" t="str">
        <f>IF(Table1567[[#This Row],[Age]]&lt;=19,"Teenager",IF(Table1567[[#This Row],[Age]]&lt;=40,"Median","Old"))</f>
        <v>Median</v>
      </c>
      <c r="G517" s="4" t="s">
        <v>11</v>
      </c>
      <c r="H517" s="4">
        <v>4</v>
      </c>
      <c r="I517" s="4">
        <v>25</v>
      </c>
      <c r="J517" s="4">
        <v>100</v>
      </c>
      <c r="K517" s="4" t="str" cm="1">
        <f t="array" ref="K517">_xlfn.IFS(AND(Table1567[[#This Row],[Total Amount]]&gt;=1500),"Critical",AND(Table1567[[#This Row],[Total Amount]]&gt;=1000),"High",TRUE,"Normal")</f>
        <v>Normal</v>
      </c>
      <c r="L517" s="4" t="str">
        <f>IF(Table1567[[#This Row],[Total Amount]]&gt;=1000,"High",(IF(Table1567[[#This Row],[Total Amount]]&gt;=500,"Medium","Low")))</f>
        <v>Low</v>
      </c>
      <c r="M517" s="4" t="str" cm="1">
        <f t="array" ref="M51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17" s="4" cm="1">
        <f t="array" ref="N51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517" s="4">
        <f>Table1567[[#This Row],[Total Amount]]-Table1567[[#This Row],[Discount Amount]]</f>
        <v>85</v>
      </c>
      <c r="P517" s="4" t="str">
        <f>IF(Table1567[[#This Row],[Total Amount]]&gt;=1000,"High","Low")</f>
        <v>Low</v>
      </c>
      <c r="Q517" s="4" t="str" cm="1">
        <f t="array" ref="Q517">_xlfn.IFS(AND(Table1567[[#This Row],[Total Amount]]&gt;=1500,"Critical"),AND(Table1567[[#This Row],[Total Amount]]&gt;=1000,"High"),TRUE,"Normal")</f>
        <v>Normal</v>
      </c>
      <c r="R517" s="4" t="str">
        <f>CONCATENATE(Table1567[[#This Row],[Customer ID]], "-",Table1567[[#This Row],[Age]])</f>
        <v>CUST516-30</v>
      </c>
      <c r="S517" s="4" t="str">
        <f>TEXT(Table1567[[#This Row],[Date]],"mmm")</f>
        <v>Oct</v>
      </c>
      <c r="T517" s="4" t="str">
        <f>TEXT(Table1567[[#This Row],[Date]],"DDD")</f>
        <v>Mon</v>
      </c>
    </row>
    <row r="518" spans="1:20" ht="29" x14ac:dyDescent="0.35">
      <c r="A518" s="4">
        <v>517</v>
      </c>
      <c r="B518" s="5">
        <v>45024</v>
      </c>
      <c r="C518" s="4" t="s">
        <v>530</v>
      </c>
      <c r="D518" s="4" t="s">
        <v>13</v>
      </c>
      <c r="E518" s="4">
        <v>47</v>
      </c>
      <c r="F518" s="4" t="str">
        <f>IF(Table1567[[#This Row],[Age]]&lt;=19,"Teenager",IF(Table1567[[#This Row],[Age]]&lt;=40,"Median","Old"))</f>
        <v>Old</v>
      </c>
      <c r="G518" s="4" t="s">
        <v>14</v>
      </c>
      <c r="H518" s="4">
        <v>4</v>
      </c>
      <c r="I518" s="4">
        <v>25</v>
      </c>
      <c r="J518" s="4">
        <v>100</v>
      </c>
      <c r="K518" s="4" t="str" cm="1">
        <f t="array" ref="K518">_xlfn.IFS(AND(Table1567[[#This Row],[Total Amount]]&gt;=1500),"Critical",AND(Table1567[[#This Row],[Total Amount]]&gt;=1000),"High",TRUE,"Normal")</f>
        <v>Normal</v>
      </c>
      <c r="L518" s="4" t="str">
        <f>IF(Table1567[[#This Row],[Total Amount]]&gt;=1000,"High",(IF(Table1567[[#This Row],[Total Amount]]&gt;=500,"Medium","Low")))</f>
        <v>Low</v>
      </c>
      <c r="M518" s="4" t="str" cm="1">
        <f t="array" ref="M51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18" s="4" cm="1">
        <f t="array" ref="N51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518" s="4">
        <f>Table1567[[#This Row],[Total Amount]]-Table1567[[#This Row],[Discount Amount]]</f>
        <v>80</v>
      </c>
      <c r="P518" s="4" t="str">
        <f>IF(Table1567[[#This Row],[Total Amount]]&gt;=1000,"High","Low")</f>
        <v>Low</v>
      </c>
      <c r="Q518" s="4" t="str" cm="1">
        <f t="array" ref="Q518">_xlfn.IFS(AND(Table1567[[#This Row],[Total Amount]]&gt;=1500,"Critical"),AND(Table1567[[#This Row],[Total Amount]]&gt;=1000,"High"),TRUE,"Normal")</f>
        <v>Normal</v>
      </c>
      <c r="R518" s="4" t="str">
        <f>CONCATENATE(Table1567[[#This Row],[Customer ID]], "-",Table1567[[#This Row],[Age]])</f>
        <v>CUST517-47</v>
      </c>
      <c r="S518" s="4" t="str">
        <f>TEXT(Table1567[[#This Row],[Date]],"mmm")</f>
        <v>Apr</v>
      </c>
      <c r="T518" s="4" t="str">
        <f>TEXT(Table1567[[#This Row],[Date]],"DDD")</f>
        <v>Sat</v>
      </c>
    </row>
    <row r="519" spans="1:20" ht="29" x14ac:dyDescent="0.35">
      <c r="A519" s="4">
        <v>518</v>
      </c>
      <c r="B519" s="5">
        <v>45057</v>
      </c>
      <c r="C519" s="4" t="s">
        <v>531</v>
      </c>
      <c r="D519" s="4" t="s">
        <v>13</v>
      </c>
      <c r="E519" s="4">
        <v>40</v>
      </c>
      <c r="F519" s="4" t="str">
        <f>IF(Table1567[[#This Row],[Age]]&lt;=19,"Teenager",IF(Table1567[[#This Row],[Age]]&lt;=40,"Median","Old"))</f>
        <v>Median</v>
      </c>
      <c r="G519" s="4" t="s">
        <v>14</v>
      </c>
      <c r="H519" s="4">
        <v>1</v>
      </c>
      <c r="I519" s="4">
        <v>30</v>
      </c>
      <c r="J519" s="4">
        <v>30</v>
      </c>
      <c r="K519" s="4" t="str" cm="1">
        <f t="array" ref="K519">_xlfn.IFS(AND(Table1567[[#This Row],[Total Amount]]&gt;=1500),"Critical",AND(Table1567[[#This Row],[Total Amount]]&gt;=1000),"High",TRUE,"Normal")</f>
        <v>Normal</v>
      </c>
      <c r="L519" s="4" t="str">
        <f>IF(Table1567[[#This Row],[Total Amount]]&gt;=1000,"High",(IF(Table1567[[#This Row],[Total Amount]]&gt;=500,"Medium","Low")))</f>
        <v>Low</v>
      </c>
      <c r="M519" s="4" t="str" cm="1">
        <f t="array" ref="M51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19" s="4" cm="1">
        <f t="array" ref="N51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519" s="4">
        <f>Table1567[[#This Row],[Total Amount]]-Table1567[[#This Row],[Discount Amount]]</f>
        <v>24</v>
      </c>
      <c r="P519" s="4" t="str">
        <f>IF(Table1567[[#This Row],[Total Amount]]&gt;=1000,"High","Low")</f>
        <v>Low</v>
      </c>
      <c r="Q519" s="4" t="str" cm="1">
        <f t="array" ref="Q519">_xlfn.IFS(AND(Table1567[[#This Row],[Total Amount]]&gt;=1500,"Critical"),AND(Table1567[[#This Row],[Total Amount]]&gt;=1000,"High"),TRUE,"Normal")</f>
        <v>Normal</v>
      </c>
      <c r="R519" s="4" t="str">
        <f>CONCATENATE(Table1567[[#This Row],[Customer ID]], "-",Table1567[[#This Row],[Age]])</f>
        <v>CUST518-40</v>
      </c>
      <c r="S519" s="4" t="str">
        <f>TEXT(Table1567[[#This Row],[Date]],"mmm")</f>
        <v>May</v>
      </c>
      <c r="T519" s="4" t="str">
        <f>TEXT(Table1567[[#This Row],[Date]],"DDD")</f>
        <v>Thu</v>
      </c>
    </row>
    <row r="520" spans="1:20" ht="29" x14ac:dyDescent="0.35">
      <c r="A520" s="4">
        <v>519</v>
      </c>
      <c r="B520" s="5">
        <v>44949</v>
      </c>
      <c r="C520" s="4" t="s">
        <v>532</v>
      </c>
      <c r="D520" s="4" t="s">
        <v>13</v>
      </c>
      <c r="E520" s="4">
        <v>36</v>
      </c>
      <c r="F520" s="4" t="str">
        <f>IF(Table1567[[#This Row],[Age]]&lt;=19,"Teenager",IF(Table1567[[#This Row],[Age]]&lt;=40,"Median","Old"))</f>
        <v>Median</v>
      </c>
      <c r="G520" s="4" t="s">
        <v>16</v>
      </c>
      <c r="H520" s="4">
        <v>4</v>
      </c>
      <c r="I520" s="4">
        <v>30</v>
      </c>
      <c r="J520" s="4">
        <v>120</v>
      </c>
      <c r="K520" s="4" t="str" cm="1">
        <f t="array" ref="K520">_xlfn.IFS(AND(Table1567[[#This Row],[Total Amount]]&gt;=1500),"Critical",AND(Table1567[[#This Row],[Total Amount]]&gt;=1000),"High",TRUE,"Normal")</f>
        <v>Normal</v>
      </c>
      <c r="L520" s="4" t="str">
        <f>IF(Table1567[[#This Row],[Total Amount]]&gt;=1000,"High",(IF(Table1567[[#This Row],[Total Amount]]&gt;=500,"Medium","Low")))</f>
        <v>Low</v>
      </c>
      <c r="M520" s="4" t="str" cm="1">
        <f t="array" ref="M52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20" s="4" cm="1">
        <f t="array" ref="N52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</v>
      </c>
      <c r="O520" s="4">
        <f>Table1567[[#This Row],[Total Amount]]-Table1567[[#This Row],[Discount Amount]]</f>
        <v>96</v>
      </c>
      <c r="P520" s="4" t="str">
        <f>IF(Table1567[[#This Row],[Total Amount]]&gt;=1000,"High","Low")</f>
        <v>Low</v>
      </c>
      <c r="Q520" s="4" t="str" cm="1">
        <f t="array" ref="Q520">_xlfn.IFS(AND(Table1567[[#This Row],[Total Amount]]&gt;=1500,"Critical"),AND(Table1567[[#This Row],[Total Amount]]&gt;=1000,"High"),TRUE,"Normal")</f>
        <v>Normal</v>
      </c>
      <c r="R520" s="4" t="str">
        <f>CONCATENATE(Table1567[[#This Row],[Customer ID]], "-",Table1567[[#This Row],[Age]])</f>
        <v>CUST519-36</v>
      </c>
      <c r="S520" s="4" t="str">
        <f>TEXT(Table1567[[#This Row],[Date]],"mmm")</f>
        <v>Jan</v>
      </c>
      <c r="T520" s="4" t="str">
        <f>TEXT(Table1567[[#This Row],[Date]],"DDD")</f>
        <v>Mon</v>
      </c>
    </row>
    <row r="521" spans="1:20" ht="29" x14ac:dyDescent="0.35">
      <c r="A521" s="4">
        <v>520</v>
      </c>
      <c r="B521" s="5">
        <v>45289</v>
      </c>
      <c r="C521" s="4" t="s">
        <v>533</v>
      </c>
      <c r="D521" s="4" t="s">
        <v>13</v>
      </c>
      <c r="E521" s="4">
        <v>49</v>
      </c>
      <c r="F521" s="4" t="str">
        <f>IF(Table1567[[#This Row],[Age]]&lt;=19,"Teenager",IF(Table1567[[#This Row],[Age]]&lt;=40,"Median","Old"))</f>
        <v>Old</v>
      </c>
      <c r="G521" s="4" t="s">
        <v>16</v>
      </c>
      <c r="H521" s="4">
        <v>4</v>
      </c>
      <c r="I521" s="4">
        <v>25</v>
      </c>
      <c r="J521" s="4">
        <v>100</v>
      </c>
      <c r="K521" s="4" t="str" cm="1">
        <f t="array" ref="K521">_xlfn.IFS(AND(Table1567[[#This Row],[Total Amount]]&gt;=1500),"Critical",AND(Table1567[[#This Row],[Total Amount]]&gt;=1000),"High",TRUE,"Normal")</f>
        <v>Normal</v>
      </c>
      <c r="L521" s="4" t="str">
        <f>IF(Table1567[[#This Row],[Total Amount]]&gt;=1000,"High",(IF(Table1567[[#This Row],[Total Amount]]&gt;=500,"Medium","Low")))</f>
        <v>Low</v>
      </c>
      <c r="M521" s="4" t="str" cm="1">
        <f t="array" ref="M52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21" s="4" cm="1">
        <f t="array" ref="N52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521" s="4">
        <f>Table1567[[#This Row],[Total Amount]]-Table1567[[#This Row],[Discount Amount]]</f>
        <v>80</v>
      </c>
      <c r="P521" s="4" t="str">
        <f>IF(Table1567[[#This Row],[Total Amount]]&gt;=1000,"High","Low")</f>
        <v>Low</v>
      </c>
      <c r="Q521" s="4" t="str" cm="1">
        <f t="array" ref="Q521">_xlfn.IFS(AND(Table1567[[#This Row],[Total Amount]]&gt;=1500,"Critical"),AND(Table1567[[#This Row],[Total Amount]]&gt;=1000,"High"),TRUE,"Normal")</f>
        <v>Normal</v>
      </c>
      <c r="R521" s="4" t="str">
        <f>CONCATENATE(Table1567[[#This Row],[Customer ID]], "-",Table1567[[#This Row],[Age]])</f>
        <v>CUST520-49</v>
      </c>
      <c r="S521" s="4" t="str">
        <f>TEXT(Table1567[[#This Row],[Date]],"mmm")</f>
        <v>Dec</v>
      </c>
      <c r="T521" s="4" t="str">
        <f>TEXT(Table1567[[#This Row],[Date]],"DDD")</f>
        <v>Fri</v>
      </c>
    </row>
    <row r="522" spans="1:20" ht="29" x14ac:dyDescent="0.35">
      <c r="A522" s="4">
        <v>521</v>
      </c>
      <c r="B522" s="5">
        <v>45150</v>
      </c>
      <c r="C522" s="4" t="s">
        <v>534</v>
      </c>
      <c r="D522" s="4" t="s">
        <v>13</v>
      </c>
      <c r="E522" s="4">
        <v>47</v>
      </c>
      <c r="F522" s="4" t="str">
        <f>IF(Table1567[[#This Row],[Age]]&lt;=19,"Teenager",IF(Table1567[[#This Row],[Age]]&lt;=40,"Median","Old"))</f>
        <v>Old</v>
      </c>
      <c r="G522" s="4" t="s">
        <v>14</v>
      </c>
      <c r="H522" s="4">
        <v>4</v>
      </c>
      <c r="I522" s="4">
        <v>30</v>
      </c>
      <c r="J522" s="4">
        <v>120</v>
      </c>
      <c r="K522" s="4" t="str" cm="1">
        <f t="array" ref="K522">_xlfn.IFS(AND(Table1567[[#This Row],[Total Amount]]&gt;=1500),"Critical",AND(Table1567[[#This Row],[Total Amount]]&gt;=1000),"High",TRUE,"Normal")</f>
        <v>Normal</v>
      </c>
      <c r="L522" s="4" t="str">
        <f>IF(Table1567[[#This Row],[Total Amount]]&gt;=1000,"High",(IF(Table1567[[#This Row],[Total Amount]]&gt;=500,"Medium","Low")))</f>
        <v>Low</v>
      </c>
      <c r="M522" s="4" t="str" cm="1">
        <f t="array" ref="M52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22" s="4" cm="1">
        <f t="array" ref="N52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</v>
      </c>
      <c r="O522" s="4">
        <f>Table1567[[#This Row],[Total Amount]]-Table1567[[#This Row],[Discount Amount]]</f>
        <v>96</v>
      </c>
      <c r="P522" s="4" t="str">
        <f>IF(Table1567[[#This Row],[Total Amount]]&gt;=1000,"High","Low")</f>
        <v>Low</v>
      </c>
      <c r="Q522" s="4" t="str" cm="1">
        <f t="array" ref="Q522">_xlfn.IFS(AND(Table1567[[#This Row],[Total Amount]]&gt;=1500,"Critical"),AND(Table1567[[#This Row],[Total Amount]]&gt;=1000,"High"),TRUE,"Normal")</f>
        <v>Normal</v>
      </c>
      <c r="R522" s="4" t="str">
        <f>CONCATENATE(Table1567[[#This Row],[Customer ID]], "-",Table1567[[#This Row],[Age]])</f>
        <v>CUST521-47</v>
      </c>
      <c r="S522" s="4" t="str">
        <f>TEXT(Table1567[[#This Row],[Date]],"mmm")</f>
        <v>Aug</v>
      </c>
      <c r="T522" s="4" t="str">
        <f>TEXT(Table1567[[#This Row],[Date]],"DDD")</f>
        <v>Sat</v>
      </c>
    </row>
    <row r="523" spans="1:20" ht="29" x14ac:dyDescent="0.35">
      <c r="A523" s="4">
        <v>522</v>
      </c>
      <c r="B523" s="5">
        <v>44927</v>
      </c>
      <c r="C523" s="4" t="s">
        <v>535</v>
      </c>
      <c r="D523" s="4" t="s">
        <v>10</v>
      </c>
      <c r="E523" s="4">
        <v>46</v>
      </c>
      <c r="F523" s="4" t="str">
        <f>IF(Table1567[[#This Row],[Age]]&lt;=19,"Teenager",IF(Table1567[[#This Row],[Age]]&lt;=40,"Median","Old"))</f>
        <v>Old</v>
      </c>
      <c r="G523" s="4" t="s">
        <v>11</v>
      </c>
      <c r="H523" s="4">
        <v>3</v>
      </c>
      <c r="I523" s="4">
        <v>500</v>
      </c>
      <c r="J523" s="4">
        <v>1500</v>
      </c>
      <c r="K523" s="4" t="str" cm="1">
        <f t="array" ref="K523">_xlfn.IFS(AND(Table1567[[#This Row],[Total Amount]]&gt;=1500),"Critical",AND(Table1567[[#This Row],[Total Amount]]&gt;=1000),"High",TRUE,"Normal")</f>
        <v>Critical</v>
      </c>
      <c r="L523" s="4" t="str">
        <f>IF(Table1567[[#This Row],[Total Amount]]&gt;=1000,"High",(IF(Table1567[[#This Row],[Total Amount]]&gt;=500,"Medium","Low")))</f>
        <v>High</v>
      </c>
      <c r="M523" s="4" t="str" cm="1">
        <f t="array" ref="M52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23" s="4" cm="1">
        <f t="array" ref="N52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523" s="4">
        <f>Table1567[[#This Row],[Total Amount]]-Table1567[[#This Row],[Discount Amount]]</f>
        <v>1350</v>
      </c>
      <c r="P523" s="4" t="str">
        <f>IF(Table1567[[#This Row],[Total Amount]]&gt;=1000,"High","Low")</f>
        <v>High</v>
      </c>
      <c r="Q523" s="4" t="b" cm="1">
        <f t="array" ref="Q523">_xlfn.IFS(AND(Table1567[[#This Row],[Total Amount]]&gt;=1500,"Critical"),AND(Table1567[[#This Row],[Total Amount]]&gt;=1000,"High"),TRUE,"Normal")</f>
        <v>1</v>
      </c>
      <c r="R523" s="4" t="str">
        <f>CONCATENATE(Table1567[[#This Row],[Customer ID]], "-",Table1567[[#This Row],[Age]])</f>
        <v>CUST522-46</v>
      </c>
      <c r="S523" s="4" t="str">
        <f>TEXT(Table1567[[#This Row],[Date]],"mmm")</f>
        <v>Jan</v>
      </c>
      <c r="T523" s="4" t="str">
        <f>TEXT(Table1567[[#This Row],[Date]],"DDD")</f>
        <v>Sun</v>
      </c>
    </row>
    <row r="524" spans="1:20" ht="29" x14ac:dyDescent="0.35">
      <c r="A524" s="4">
        <v>523</v>
      </c>
      <c r="B524" s="5">
        <v>45193</v>
      </c>
      <c r="C524" s="4" t="s">
        <v>536</v>
      </c>
      <c r="D524" s="4" t="s">
        <v>13</v>
      </c>
      <c r="E524" s="4">
        <v>62</v>
      </c>
      <c r="F524" s="4" t="str">
        <f>IF(Table1567[[#This Row],[Age]]&lt;=19,"Teenager",IF(Table1567[[#This Row],[Age]]&lt;=40,"Median","Old"))</f>
        <v>Old</v>
      </c>
      <c r="G524" s="4" t="s">
        <v>16</v>
      </c>
      <c r="H524" s="4">
        <v>1</v>
      </c>
      <c r="I524" s="4">
        <v>300</v>
      </c>
      <c r="J524" s="4">
        <v>300</v>
      </c>
      <c r="K524" s="4" t="str" cm="1">
        <f t="array" ref="K524">_xlfn.IFS(AND(Table1567[[#This Row],[Total Amount]]&gt;=1500),"Critical",AND(Table1567[[#This Row],[Total Amount]]&gt;=1000),"High",TRUE,"Normal")</f>
        <v>Normal</v>
      </c>
      <c r="L524" s="4" t="str">
        <f>IF(Table1567[[#This Row],[Total Amount]]&gt;=1000,"High",(IF(Table1567[[#This Row],[Total Amount]]&gt;=500,"Medium","Low")))</f>
        <v>Low</v>
      </c>
      <c r="M524" s="4" t="str" cm="1">
        <f t="array" ref="M52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24" s="4" cm="1">
        <f t="array" ref="N52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524" s="4">
        <f>Table1567[[#This Row],[Total Amount]]-Table1567[[#This Row],[Discount Amount]]</f>
        <v>240</v>
      </c>
      <c r="P524" s="4" t="str">
        <f>IF(Table1567[[#This Row],[Total Amount]]&gt;=1000,"High","Low")</f>
        <v>Low</v>
      </c>
      <c r="Q524" s="4" t="str" cm="1">
        <f t="array" ref="Q524">_xlfn.IFS(AND(Table1567[[#This Row],[Total Amount]]&gt;=1500,"Critical"),AND(Table1567[[#This Row],[Total Amount]]&gt;=1000,"High"),TRUE,"Normal")</f>
        <v>Normal</v>
      </c>
      <c r="R524" s="4" t="str">
        <f>CONCATENATE(Table1567[[#This Row],[Customer ID]], "-",Table1567[[#This Row],[Age]])</f>
        <v>CUST523-62</v>
      </c>
      <c r="S524" s="4" t="str">
        <f>TEXT(Table1567[[#This Row],[Date]],"mmm")</f>
        <v>Sep</v>
      </c>
      <c r="T524" s="4" t="str">
        <f>TEXT(Table1567[[#This Row],[Date]],"DDD")</f>
        <v>Sun</v>
      </c>
    </row>
    <row r="525" spans="1:20" ht="29" x14ac:dyDescent="0.35">
      <c r="A525" s="4">
        <v>524</v>
      </c>
      <c r="B525" s="5">
        <v>45202</v>
      </c>
      <c r="C525" s="4" t="s">
        <v>537</v>
      </c>
      <c r="D525" s="4" t="s">
        <v>10</v>
      </c>
      <c r="E525" s="4">
        <v>46</v>
      </c>
      <c r="F525" s="4" t="str">
        <f>IF(Table1567[[#This Row],[Age]]&lt;=19,"Teenager",IF(Table1567[[#This Row],[Age]]&lt;=40,"Median","Old"))</f>
        <v>Old</v>
      </c>
      <c r="G525" s="4" t="s">
        <v>11</v>
      </c>
      <c r="H525" s="4">
        <v>4</v>
      </c>
      <c r="I525" s="4">
        <v>300</v>
      </c>
      <c r="J525" s="4">
        <v>1200</v>
      </c>
      <c r="K525" s="4" t="str" cm="1">
        <f t="array" ref="K525">_xlfn.IFS(AND(Table1567[[#This Row],[Total Amount]]&gt;=1500),"Critical",AND(Table1567[[#This Row],[Total Amount]]&gt;=1000),"High",TRUE,"Normal")</f>
        <v>High</v>
      </c>
      <c r="L525" s="4" t="str">
        <f>IF(Table1567[[#This Row],[Total Amount]]&gt;=1000,"High",(IF(Table1567[[#This Row],[Total Amount]]&gt;=500,"Medium","Low")))</f>
        <v>High</v>
      </c>
      <c r="M525" s="4" t="str" cm="1">
        <f t="array" ref="M52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25" s="4" cm="1">
        <f t="array" ref="N52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525" s="4">
        <f>Table1567[[#This Row],[Total Amount]]-Table1567[[#This Row],[Discount Amount]]</f>
        <v>1080</v>
      </c>
      <c r="P525" s="4" t="str">
        <f>IF(Table1567[[#This Row],[Total Amount]]&gt;=1000,"High","Low")</f>
        <v>High</v>
      </c>
      <c r="Q525" s="4" t="str" cm="1">
        <f t="array" ref="Q525">_xlfn.IFS(AND(Table1567[[#This Row],[Total Amount]]&gt;=1500,"Critical"),AND(Table1567[[#This Row],[Total Amount]]&gt;=1000,"High"),TRUE,"Normal")</f>
        <v>Normal</v>
      </c>
      <c r="R525" s="4" t="str">
        <f>CONCATENATE(Table1567[[#This Row],[Customer ID]], "-",Table1567[[#This Row],[Age]])</f>
        <v>CUST524-46</v>
      </c>
      <c r="S525" s="4" t="str">
        <f>TEXT(Table1567[[#This Row],[Date]],"mmm")</f>
        <v>Oct</v>
      </c>
      <c r="T525" s="4" t="str">
        <f>TEXT(Table1567[[#This Row],[Date]],"DDD")</f>
        <v>Tue</v>
      </c>
    </row>
    <row r="526" spans="1:20" ht="29" x14ac:dyDescent="0.35">
      <c r="A526" s="4">
        <v>525</v>
      </c>
      <c r="B526" s="5">
        <v>45278</v>
      </c>
      <c r="C526" s="4" t="s">
        <v>538</v>
      </c>
      <c r="D526" s="4" t="s">
        <v>13</v>
      </c>
      <c r="E526" s="4">
        <v>47</v>
      </c>
      <c r="F526" s="4" t="str">
        <f>IF(Table1567[[#This Row],[Age]]&lt;=19,"Teenager",IF(Table1567[[#This Row],[Age]]&lt;=40,"Median","Old"))</f>
        <v>Old</v>
      </c>
      <c r="G526" s="4" t="s">
        <v>11</v>
      </c>
      <c r="H526" s="4">
        <v>2</v>
      </c>
      <c r="I526" s="4">
        <v>25</v>
      </c>
      <c r="J526" s="4">
        <v>50</v>
      </c>
      <c r="K526" s="4" t="str" cm="1">
        <f t="array" ref="K526">_xlfn.IFS(AND(Table1567[[#This Row],[Total Amount]]&gt;=1500),"Critical",AND(Table1567[[#This Row],[Total Amount]]&gt;=1000),"High",TRUE,"Normal")</f>
        <v>Normal</v>
      </c>
      <c r="L526" s="4" t="str">
        <f>IF(Table1567[[#This Row],[Total Amount]]&gt;=1000,"High",(IF(Table1567[[#This Row],[Total Amount]]&gt;=500,"Medium","Low")))</f>
        <v>Low</v>
      </c>
      <c r="M526" s="4" t="str" cm="1">
        <f t="array" ref="M52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26" s="4" cm="1">
        <f t="array" ref="N52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526" s="4">
        <f>Table1567[[#This Row],[Total Amount]]-Table1567[[#This Row],[Discount Amount]]</f>
        <v>40</v>
      </c>
      <c r="P526" s="4" t="str">
        <f>IF(Table1567[[#This Row],[Total Amount]]&gt;=1000,"High","Low")</f>
        <v>Low</v>
      </c>
      <c r="Q526" s="4" t="str" cm="1">
        <f t="array" ref="Q526">_xlfn.IFS(AND(Table1567[[#This Row],[Total Amount]]&gt;=1500,"Critical"),AND(Table1567[[#This Row],[Total Amount]]&gt;=1000,"High"),TRUE,"Normal")</f>
        <v>Normal</v>
      </c>
      <c r="R526" s="4" t="str">
        <f>CONCATENATE(Table1567[[#This Row],[Customer ID]], "-",Table1567[[#This Row],[Age]])</f>
        <v>CUST525-47</v>
      </c>
      <c r="S526" s="4" t="str">
        <f>TEXT(Table1567[[#This Row],[Date]],"mmm")</f>
        <v>Dec</v>
      </c>
      <c r="T526" s="4" t="str">
        <f>TEXT(Table1567[[#This Row],[Date]],"DDD")</f>
        <v>Mon</v>
      </c>
    </row>
    <row r="527" spans="1:20" ht="29" x14ac:dyDescent="0.35">
      <c r="A527" s="4">
        <v>526</v>
      </c>
      <c r="B527" s="5">
        <v>45270</v>
      </c>
      <c r="C527" s="4" t="s">
        <v>539</v>
      </c>
      <c r="D527" s="4" t="s">
        <v>10</v>
      </c>
      <c r="E527" s="4">
        <v>33</v>
      </c>
      <c r="F527" s="4" t="str">
        <f>IF(Table1567[[#This Row],[Age]]&lt;=19,"Teenager",IF(Table1567[[#This Row],[Age]]&lt;=40,"Median","Old"))</f>
        <v>Median</v>
      </c>
      <c r="G527" s="4" t="s">
        <v>14</v>
      </c>
      <c r="H527" s="4">
        <v>2</v>
      </c>
      <c r="I527" s="4">
        <v>50</v>
      </c>
      <c r="J527" s="4">
        <v>100</v>
      </c>
      <c r="K527" s="4" t="str" cm="1">
        <f t="array" ref="K527">_xlfn.IFS(AND(Table1567[[#This Row],[Total Amount]]&gt;=1500),"Critical",AND(Table1567[[#This Row],[Total Amount]]&gt;=1000),"High",TRUE,"Normal")</f>
        <v>Normal</v>
      </c>
      <c r="L527" s="4" t="str">
        <f>IF(Table1567[[#This Row],[Total Amount]]&gt;=1000,"High",(IF(Table1567[[#This Row],[Total Amount]]&gt;=500,"Medium","Low")))</f>
        <v>Low</v>
      </c>
      <c r="M527" s="4" t="str" cm="1">
        <f t="array" ref="M52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27" s="4" cm="1">
        <f t="array" ref="N52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527" s="4">
        <f>Table1567[[#This Row],[Total Amount]]-Table1567[[#This Row],[Discount Amount]]</f>
        <v>85</v>
      </c>
      <c r="P527" s="4" t="str">
        <f>IF(Table1567[[#This Row],[Total Amount]]&gt;=1000,"High","Low")</f>
        <v>Low</v>
      </c>
      <c r="Q527" s="4" t="str" cm="1">
        <f t="array" ref="Q527">_xlfn.IFS(AND(Table1567[[#This Row],[Total Amount]]&gt;=1500,"Critical"),AND(Table1567[[#This Row],[Total Amount]]&gt;=1000,"High"),TRUE,"Normal")</f>
        <v>Normal</v>
      </c>
      <c r="R527" s="4" t="str">
        <f>CONCATENATE(Table1567[[#This Row],[Customer ID]], "-",Table1567[[#This Row],[Age]])</f>
        <v>CUST526-33</v>
      </c>
      <c r="S527" s="4" t="str">
        <f>TEXT(Table1567[[#This Row],[Date]],"mmm")</f>
        <v>Dec</v>
      </c>
      <c r="T527" s="4" t="str">
        <f>TEXT(Table1567[[#This Row],[Date]],"DDD")</f>
        <v>Sun</v>
      </c>
    </row>
    <row r="528" spans="1:20" ht="29" x14ac:dyDescent="0.35">
      <c r="A528" s="4">
        <v>527</v>
      </c>
      <c r="B528" s="5">
        <v>45027</v>
      </c>
      <c r="C528" s="4" t="s">
        <v>540</v>
      </c>
      <c r="D528" s="4" t="s">
        <v>10</v>
      </c>
      <c r="E528" s="4">
        <v>57</v>
      </c>
      <c r="F528" s="4" t="str">
        <f>IF(Table1567[[#This Row],[Age]]&lt;=19,"Teenager",IF(Table1567[[#This Row],[Age]]&lt;=40,"Median","Old"))</f>
        <v>Old</v>
      </c>
      <c r="G528" s="4" t="s">
        <v>14</v>
      </c>
      <c r="H528" s="4">
        <v>2</v>
      </c>
      <c r="I528" s="4">
        <v>25</v>
      </c>
      <c r="J528" s="4">
        <v>50</v>
      </c>
      <c r="K528" s="4" t="str" cm="1">
        <f t="array" ref="K528">_xlfn.IFS(AND(Table1567[[#This Row],[Total Amount]]&gt;=1500),"Critical",AND(Table1567[[#This Row],[Total Amount]]&gt;=1000),"High",TRUE,"Normal")</f>
        <v>Normal</v>
      </c>
      <c r="L528" s="4" t="str">
        <f>IF(Table1567[[#This Row],[Total Amount]]&gt;=1000,"High",(IF(Table1567[[#This Row],[Total Amount]]&gt;=500,"Medium","Low")))</f>
        <v>Low</v>
      </c>
      <c r="M528" s="4" t="str" cm="1">
        <f t="array" ref="M52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28" s="4" cm="1">
        <f t="array" ref="N52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528" s="4">
        <f>Table1567[[#This Row],[Total Amount]]-Table1567[[#This Row],[Discount Amount]]</f>
        <v>45</v>
      </c>
      <c r="P528" s="4" t="str">
        <f>IF(Table1567[[#This Row],[Total Amount]]&gt;=1000,"High","Low")</f>
        <v>Low</v>
      </c>
      <c r="Q528" s="4" t="str" cm="1">
        <f t="array" ref="Q528">_xlfn.IFS(AND(Table1567[[#This Row],[Total Amount]]&gt;=1500,"Critical"),AND(Table1567[[#This Row],[Total Amount]]&gt;=1000,"High"),TRUE,"Normal")</f>
        <v>Normal</v>
      </c>
      <c r="R528" s="4" t="str">
        <f>CONCATENATE(Table1567[[#This Row],[Customer ID]], "-",Table1567[[#This Row],[Age]])</f>
        <v>CUST527-57</v>
      </c>
      <c r="S528" s="4" t="str">
        <f>TEXT(Table1567[[#This Row],[Date]],"mmm")</f>
        <v>Apr</v>
      </c>
      <c r="T528" s="4" t="str">
        <f>TEXT(Table1567[[#This Row],[Date]],"DDD")</f>
        <v>Tue</v>
      </c>
    </row>
    <row r="529" spans="1:20" ht="29" x14ac:dyDescent="0.35">
      <c r="A529" s="4">
        <v>528</v>
      </c>
      <c r="B529" s="5">
        <v>45113</v>
      </c>
      <c r="C529" s="4" t="s">
        <v>541</v>
      </c>
      <c r="D529" s="4" t="s">
        <v>13</v>
      </c>
      <c r="E529" s="4">
        <v>36</v>
      </c>
      <c r="F529" s="4" t="str">
        <f>IF(Table1567[[#This Row],[Age]]&lt;=19,"Teenager",IF(Table1567[[#This Row],[Age]]&lt;=40,"Median","Old"))</f>
        <v>Median</v>
      </c>
      <c r="G529" s="4" t="s">
        <v>14</v>
      </c>
      <c r="H529" s="4">
        <v>2</v>
      </c>
      <c r="I529" s="4">
        <v>30</v>
      </c>
      <c r="J529" s="4">
        <v>60</v>
      </c>
      <c r="K529" s="4" t="str" cm="1">
        <f t="array" ref="K529">_xlfn.IFS(AND(Table1567[[#This Row],[Total Amount]]&gt;=1500),"Critical",AND(Table1567[[#This Row],[Total Amount]]&gt;=1000),"High",TRUE,"Normal")</f>
        <v>Normal</v>
      </c>
      <c r="L529" s="4" t="str">
        <f>IF(Table1567[[#This Row],[Total Amount]]&gt;=1000,"High",(IF(Table1567[[#This Row],[Total Amount]]&gt;=500,"Medium","Low")))</f>
        <v>Low</v>
      </c>
      <c r="M529" s="4" t="str" cm="1">
        <f t="array" ref="M52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29" s="4" cm="1">
        <f t="array" ref="N52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529" s="4">
        <f>Table1567[[#This Row],[Total Amount]]-Table1567[[#This Row],[Discount Amount]]</f>
        <v>48</v>
      </c>
      <c r="P529" s="4" t="str">
        <f>IF(Table1567[[#This Row],[Total Amount]]&gt;=1000,"High","Low")</f>
        <v>Low</v>
      </c>
      <c r="Q529" s="4" t="str" cm="1">
        <f t="array" ref="Q529">_xlfn.IFS(AND(Table1567[[#This Row],[Total Amount]]&gt;=1500,"Critical"),AND(Table1567[[#This Row],[Total Amount]]&gt;=1000,"High"),TRUE,"Normal")</f>
        <v>Normal</v>
      </c>
      <c r="R529" s="4" t="str">
        <f>CONCATENATE(Table1567[[#This Row],[Customer ID]], "-",Table1567[[#This Row],[Age]])</f>
        <v>CUST528-36</v>
      </c>
      <c r="S529" s="4" t="str">
        <f>TEXT(Table1567[[#This Row],[Date]],"mmm")</f>
        <v>Jul</v>
      </c>
      <c r="T529" s="4" t="str">
        <f>TEXT(Table1567[[#This Row],[Date]],"DDD")</f>
        <v>Thu</v>
      </c>
    </row>
    <row r="530" spans="1:20" ht="29" x14ac:dyDescent="0.35">
      <c r="A530" s="4">
        <v>529</v>
      </c>
      <c r="B530" s="5">
        <v>45147</v>
      </c>
      <c r="C530" s="4" t="s">
        <v>542</v>
      </c>
      <c r="D530" s="4" t="s">
        <v>13</v>
      </c>
      <c r="E530" s="4">
        <v>35</v>
      </c>
      <c r="F530" s="4" t="str">
        <f>IF(Table1567[[#This Row],[Age]]&lt;=19,"Teenager",IF(Table1567[[#This Row],[Age]]&lt;=40,"Median","Old"))</f>
        <v>Median</v>
      </c>
      <c r="G530" s="4" t="s">
        <v>14</v>
      </c>
      <c r="H530" s="4">
        <v>3</v>
      </c>
      <c r="I530" s="4">
        <v>50</v>
      </c>
      <c r="J530" s="4">
        <v>150</v>
      </c>
      <c r="K530" s="4" t="str" cm="1">
        <f t="array" ref="K530">_xlfn.IFS(AND(Table1567[[#This Row],[Total Amount]]&gt;=1500),"Critical",AND(Table1567[[#This Row],[Total Amount]]&gt;=1000),"High",TRUE,"Normal")</f>
        <v>Normal</v>
      </c>
      <c r="L530" s="4" t="str">
        <f>IF(Table1567[[#This Row],[Total Amount]]&gt;=1000,"High",(IF(Table1567[[#This Row],[Total Amount]]&gt;=500,"Medium","Low")))</f>
        <v>Low</v>
      </c>
      <c r="M530" s="4" t="str" cm="1">
        <f t="array" ref="M53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30" s="4" cm="1">
        <f t="array" ref="N53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530" s="4">
        <f>Table1567[[#This Row],[Total Amount]]-Table1567[[#This Row],[Discount Amount]]</f>
        <v>120</v>
      </c>
      <c r="P530" s="4" t="str">
        <f>IF(Table1567[[#This Row],[Total Amount]]&gt;=1000,"High","Low")</f>
        <v>Low</v>
      </c>
      <c r="Q530" s="4" t="str" cm="1">
        <f t="array" ref="Q530">_xlfn.IFS(AND(Table1567[[#This Row],[Total Amount]]&gt;=1500,"Critical"),AND(Table1567[[#This Row],[Total Amount]]&gt;=1000,"High"),TRUE,"Normal")</f>
        <v>Normal</v>
      </c>
      <c r="R530" s="4" t="str">
        <f>CONCATENATE(Table1567[[#This Row],[Customer ID]], "-",Table1567[[#This Row],[Age]])</f>
        <v>CUST529-35</v>
      </c>
      <c r="S530" s="4" t="str">
        <f>TEXT(Table1567[[#This Row],[Date]],"mmm")</f>
        <v>Aug</v>
      </c>
      <c r="T530" s="4" t="str">
        <f>TEXT(Table1567[[#This Row],[Date]],"DDD")</f>
        <v>Wed</v>
      </c>
    </row>
    <row r="531" spans="1:20" ht="29" x14ac:dyDescent="0.35">
      <c r="A531" s="4">
        <v>530</v>
      </c>
      <c r="B531" s="5">
        <v>44962</v>
      </c>
      <c r="C531" s="4" t="s">
        <v>543</v>
      </c>
      <c r="D531" s="4" t="s">
        <v>13</v>
      </c>
      <c r="E531" s="4">
        <v>18</v>
      </c>
      <c r="F531" s="4" t="str">
        <f>IF(Table1567[[#This Row],[Age]]&lt;=19,"Teenager",IF(Table1567[[#This Row],[Age]]&lt;=40,"Median","Old"))</f>
        <v>Teenager</v>
      </c>
      <c r="G531" s="4" t="s">
        <v>16</v>
      </c>
      <c r="H531" s="4">
        <v>4</v>
      </c>
      <c r="I531" s="4">
        <v>30</v>
      </c>
      <c r="J531" s="4">
        <v>120</v>
      </c>
      <c r="K531" s="4" t="str" cm="1">
        <f t="array" ref="K531">_xlfn.IFS(AND(Table1567[[#This Row],[Total Amount]]&gt;=1500),"Critical",AND(Table1567[[#This Row],[Total Amount]]&gt;=1000),"High",TRUE,"Normal")</f>
        <v>Normal</v>
      </c>
      <c r="L531" s="4" t="str">
        <f>IF(Table1567[[#This Row],[Total Amount]]&gt;=1000,"High",(IF(Table1567[[#This Row],[Total Amount]]&gt;=500,"Medium","Low")))</f>
        <v>Low</v>
      </c>
      <c r="M531" s="4" t="str" cm="1">
        <f t="array" ref="M53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531" s="4" cm="1">
        <f t="array" ref="N53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531" s="4">
        <f>Table1567[[#This Row],[Total Amount]]-Table1567[[#This Row],[Discount Amount]]</f>
        <v>120</v>
      </c>
      <c r="P531" s="4" t="str">
        <f>IF(Table1567[[#This Row],[Total Amount]]&gt;=1000,"High","Low")</f>
        <v>Low</v>
      </c>
      <c r="Q531" s="4" t="str" cm="1">
        <f t="array" ref="Q531">_xlfn.IFS(AND(Table1567[[#This Row],[Total Amount]]&gt;=1500,"Critical"),AND(Table1567[[#This Row],[Total Amount]]&gt;=1000,"High"),TRUE,"Normal")</f>
        <v>Normal</v>
      </c>
      <c r="R531" s="4" t="str">
        <f>CONCATENATE(Table1567[[#This Row],[Customer ID]], "-",Table1567[[#This Row],[Age]])</f>
        <v>CUST530-18</v>
      </c>
      <c r="S531" s="4" t="str">
        <f>TEXT(Table1567[[#This Row],[Date]],"mmm")</f>
        <v>Feb</v>
      </c>
      <c r="T531" s="4" t="str">
        <f>TEXT(Table1567[[#This Row],[Date]],"DDD")</f>
        <v>Sun</v>
      </c>
    </row>
    <row r="532" spans="1:20" ht="29" x14ac:dyDescent="0.35">
      <c r="A532" s="4">
        <v>531</v>
      </c>
      <c r="B532" s="5">
        <v>45267</v>
      </c>
      <c r="C532" s="4" t="s">
        <v>544</v>
      </c>
      <c r="D532" s="4" t="s">
        <v>10</v>
      </c>
      <c r="E532" s="4">
        <v>31</v>
      </c>
      <c r="F532" s="4" t="str">
        <f>IF(Table1567[[#This Row],[Age]]&lt;=19,"Teenager",IF(Table1567[[#This Row],[Age]]&lt;=40,"Median","Old"))</f>
        <v>Median</v>
      </c>
      <c r="G532" s="4" t="s">
        <v>16</v>
      </c>
      <c r="H532" s="4">
        <v>1</v>
      </c>
      <c r="I532" s="4">
        <v>500</v>
      </c>
      <c r="J532" s="4">
        <v>500</v>
      </c>
      <c r="K532" s="4" t="str" cm="1">
        <f t="array" ref="K532">_xlfn.IFS(AND(Table1567[[#This Row],[Total Amount]]&gt;=1500),"Critical",AND(Table1567[[#This Row],[Total Amount]]&gt;=1000),"High",TRUE,"Normal")</f>
        <v>Normal</v>
      </c>
      <c r="L532" s="4" t="str">
        <f>IF(Table1567[[#This Row],[Total Amount]]&gt;=1000,"High",(IF(Table1567[[#This Row],[Total Amount]]&gt;=500,"Medium","Low")))</f>
        <v>Medium</v>
      </c>
      <c r="M532" s="4" t="str" cm="1">
        <f t="array" ref="M53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32" s="4" cm="1">
        <f t="array" ref="N53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75</v>
      </c>
      <c r="O532" s="4">
        <f>Table1567[[#This Row],[Total Amount]]-Table1567[[#This Row],[Discount Amount]]</f>
        <v>425</v>
      </c>
      <c r="P532" s="4" t="str">
        <f>IF(Table1567[[#This Row],[Total Amount]]&gt;=1000,"High","Low")</f>
        <v>Low</v>
      </c>
      <c r="Q532" s="4" t="str" cm="1">
        <f t="array" ref="Q532">_xlfn.IFS(AND(Table1567[[#This Row],[Total Amount]]&gt;=1500,"Critical"),AND(Table1567[[#This Row],[Total Amount]]&gt;=1000,"High"),TRUE,"Normal")</f>
        <v>Normal</v>
      </c>
      <c r="R532" s="4" t="str">
        <f>CONCATENATE(Table1567[[#This Row],[Customer ID]], "-",Table1567[[#This Row],[Age]])</f>
        <v>CUST531-31</v>
      </c>
      <c r="S532" s="4" t="str">
        <f>TEXT(Table1567[[#This Row],[Date]],"mmm")</f>
        <v>Dec</v>
      </c>
      <c r="T532" s="4" t="str">
        <f>TEXT(Table1567[[#This Row],[Date]],"DDD")</f>
        <v>Thu</v>
      </c>
    </row>
    <row r="533" spans="1:20" ht="29" x14ac:dyDescent="0.35">
      <c r="A533" s="4">
        <v>532</v>
      </c>
      <c r="B533" s="5">
        <v>45096</v>
      </c>
      <c r="C533" s="4" t="s">
        <v>545</v>
      </c>
      <c r="D533" s="4" t="s">
        <v>13</v>
      </c>
      <c r="E533" s="4">
        <v>64</v>
      </c>
      <c r="F533" s="4" t="str">
        <f>IF(Table1567[[#This Row],[Age]]&lt;=19,"Teenager",IF(Table1567[[#This Row],[Age]]&lt;=40,"Median","Old"))</f>
        <v>Old</v>
      </c>
      <c r="G533" s="4" t="s">
        <v>14</v>
      </c>
      <c r="H533" s="4">
        <v>4</v>
      </c>
      <c r="I533" s="4">
        <v>30</v>
      </c>
      <c r="J533" s="4">
        <v>120</v>
      </c>
      <c r="K533" s="4" t="str" cm="1">
        <f t="array" ref="K533">_xlfn.IFS(AND(Table1567[[#This Row],[Total Amount]]&gt;=1500),"Critical",AND(Table1567[[#This Row],[Total Amount]]&gt;=1000),"High",TRUE,"Normal")</f>
        <v>Normal</v>
      </c>
      <c r="L533" s="4" t="str">
        <f>IF(Table1567[[#This Row],[Total Amount]]&gt;=1000,"High",(IF(Table1567[[#This Row],[Total Amount]]&gt;=500,"Medium","Low")))</f>
        <v>Low</v>
      </c>
      <c r="M533" s="4" t="str" cm="1">
        <f t="array" ref="M53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33" s="4" cm="1">
        <f t="array" ref="N53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</v>
      </c>
      <c r="O533" s="4">
        <f>Table1567[[#This Row],[Total Amount]]-Table1567[[#This Row],[Discount Amount]]</f>
        <v>96</v>
      </c>
      <c r="P533" s="4" t="str">
        <f>IF(Table1567[[#This Row],[Total Amount]]&gt;=1000,"High","Low")</f>
        <v>Low</v>
      </c>
      <c r="Q533" s="4" t="str" cm="1">
        <f t="array" ref="Q533">_xlfn.IFS(AND(Table1567[[#This Row],[Total Amount]]&gt;=1500,"Critical"),AND(Table1567[[#This Row],[Total Amount]]&gt;=1000,"High"),TRUE,"Normal")</f>
        <v>Normal</v>
      </c>
      <c r="R533" s="4" t="str">
        <f>CONCATENATE(Table1567[[#This Row],[Customer ID]], "-",Table1567[[#This Row],[Age]])</f>
        <v>CUST532-64</v>
      </c>
      <c r="S533" s="4" t="str">
        <f>TEXT(Table1567[[#This Row],[Date]],"mmm")</f>
        <v>Jun</v>
      </c>
      <c r="T533" s="4" t="str">
        <f>TEXT(Table1567[[#This Row],[Date]],"DDD")</f>
        <v>Mon</v>
      </c>
    </row>
    <row r="534" spans="1:20" ht="29" x14ac:dyDescent="0.35">
      <c r="A534" s="4">
        <v>533</v>
      </c>
      <c r="B534" s="5">
        <v>45246</v>
      </c>
      <c r="C534" s="4" t="s">
        <v>546</v>
      </c>
      <c r="D534" s="4" t="s">
        <v>10</v>
      </c>
      <c r="E534" s="4">
        <v>19</v>
      </c>
      <c r="F534" s="4" t="str">
        <f>IF(Table1567[[#This Row],[Age]]&lt;=19,"Teenager",IF(Table1567[[#This Row],[Age]]&lt;=40,"Median","Old"))</f>
        <v>Teenager</v>
      </c>
      <c r="G534" s="4" t="s">
        <v>16</v>
      </c>
      <c r="H534" s="4">
        <v>3</v>
      </c>
      <c r="I534" s="4">
        <v>500</v>
      </c>
      <c r="J534" s="4">
        <v>1500</v>
      </c>
      <c r="K534" s="4" t="str" cm="1">
        <f t="array" ref="K534">_xlfn.IFS(AND(Table1567[[#This Row],[Total Amount]]&gt;=1500),"Critical",AND(Table1567[[#This Row],[Total Amount]]&gt;=1000),"High",TRUE,"Normal")</f>
        <v>Critical</v>
      </c>
      <c r="L534" s="4" t="str">
        <f>IF(Table1567[[#This Row],[Total Amount]]&gt;=1000,"High",(IF(Table1567[[#This Row],[Total Amount]]&gt;=500,"Medium","Low")))</f>
        <v>High</v>
      </c>
      <c r="M534" s="4" t="str" cm="1">
        <f t="array" ref="M53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534" s="4" cm="1">
        <f t="array" ref="N53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534" s="4">
        <f>Table1567[[#This Row],[Total Amount]]-Table1567[[#This Row],[Discount Amount]]</f>
        <v>1500</v>
      </c>
      <c r="P534" s="4" t="str">
        <f>IF(Table1567[[#This Row],[Total Amount]]&gt;=1000,"High","Low")</f>
        <v>High</v>
      </c>
      <c r="Q534" s="4" t="b" cm="1">
        <f t="array" ref="Q534">_xlfn.IFS(AND(Table1567[[#This Row],[Total Amount]]&gt;=1500,"Critical"),AND(Table1567[[#This Row],[Total Amount]]&gt;=1000,"High"),TRUE,"Normal")</f>
        <v>1</v>
      </c>
      <c r="R534" s="4" t="str">
        <f>CONCATENATE(Table1567[[#This Row],[Customer ID]], "-",Table1567[[#This Row],[Age]])</f>
        <v>CUST533-19</v>
      </c>
      <c r="S534" s="4" t="str">
        <f>TEXT(Table1567[[#This Row],[Date]],"mmm")</f>
        <v>Nov</v>
      </c>
      <c r="T534" s="4" t="str">
        <f>TEXT(Table1567[[#This Row],[Date]],"DDD")</f>
        <v>Thu</v>
      </c>
    </row>
    <row r="535" spans="1:20" ht="29" x14ac:dyDescent="0.35">
      <c r="A535" s="4">
        <v>534</v>
      </c>
      <c r="B535" s="5">
        <v>45087</v>
      </c>
      <c r="C535" s="4" t="s">
        <v>547</v>
      </c>
      <c r="D535" s="4" t="s">
        <v>10</v>
      </c>
      <c r="E535" s="4">
        <v>45</v>
      </c>
      <c r="F535" s="4" t="str">
        <f>IF(Table1567[[#This Row],[Age]]&lt;=19,"Teenager",IF(Table1567[[#This Row],[Age]]&lt;=40,"Median","Old"))</f>
        <v>Old</v>
      </c>
      <c r="G535" s="4" t="s">
        <v>14</v>
      </c>
      <c r="H535" s="4">
        <v>2</v>
      </c>
      <c r="I535" s="4">
        <v>500</v>
      </c>
      <c r="J535" s="4">
        <v>1000</v>
      </c>
      <c r="K535" s="4" t="str" cm="1">
        <f t="array" ref="K535">_xlfn.IFS(AND(Table1567[[#This Row],[Total Amount]]&gt;=1500),"Critical",AND(Table1567[[#This Row],[Total Amount]]&gt;=1000),"High",TRUE,"Normal")</f>
        <v>High</v>
      </c>
      <c r="L535" s="4" t="str">
        <f>IF(Table1567[[#This Row],[Total Amount]]&gt;=1000,"High",(IF(Table1567[[#This Row],[Total Amount]]&gt;=500,"Medium","Low")))</f>
        <v>High</v>
      </c>
      <c r="M535" s="4" t="str" cm="1">
        <f t="array" ref="M53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35" s="4" cm="1">
        <f t="array" ref="N53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535" s="4">
        <f>Table1567[[#This Row],[Total Amount]]-Table1567[[#This Row],[Discount Amount]]</f>
        <v>900</v>
      </c>
      <c r="P535" s="4" t="str">
        <f>IF(Table1567[[#This Row],[Total Amount]]&gt;=1000,"High","Low")</f>
        <v>High</v>
      </c>
      <c r="Q535" s="4" t="str" cm="1">
        <f t="array" ref="Q535">_xlfn.IFS(AND(Table1567[[#This Row],[Total Amount]]&gt;=1500,"Critical"),AND(Table1567[[#This Row],[Total Amount]]&gt;=1000,"High"),TRUE,"Normal")</f>
        <v>Normal</v>
      </c>
      <c r="R535" s="4" t="str">
        <f>CONCATENATE(Table1567[[#This Row],[Customer ID]], "-",Table1567[[#This Row],[Age]])</f>
        <v>CUST534-45</v>
      </c>
      <c r="S535" s="4" t="str">
        <f>TEXT(Table1567[[#This Row],[Date]],"mmm")</f>
        <v>Jun</v>
      </c>
      <c r="T535" s="4" t="str">
        <f>TEXT(Table1567[[#This Row],[Date]],"DDD")</f>
        <v>Sat</v>
      </c>
    </row>
    <row r="536" spans="1:20" ht="29" x14ac:dyDescent="0.35">
      <c r="A536" s="4">
        <v>535</v>
      </c>
      <c r="B536" s="5">
        <v>45266</v>
      </c>
      <c r="C536" s="4" t="s">
        <v>548</v>
      </c>
      <c r="D536" s="4" t="s">
        <v>10</v>
      </c>
      <c r="E536" s="4">
        <v>47</v>
      </c>
      <c r="F536" s="4" t="str">
        <f>IF(Table1567[[#This Row],[Age]]&lt;=19,"Teenager",IF(Table1567[[#This Row],[Age]]&lt;=40,"Median","Old"))</f>
        <v>Old</v>
      </c>
      <c r="G536" s="4" t="s">
        <v>11</v>
      </c>
      <c r="H536" s="4">
        <v>3</v>
      </c>
      <c r="I536" s="4">
        <v>30</v>
      </c>
      <c r="J536" s="4">
        <v>90</v>
      </c>
      <c r="K536" s="4" t="str" cm="1">
        <f t="array" ref="K536">_xlfn.IFS(AND(Table1567[[#This Row],[Total Amount]]&gt;=1500),"Critical",AND(Table1567[[#This Row],[Total Amount]]&gt;=1000),"High",TRUE,"Normal")</f>
        <v>Normal</v>
      </c>
      <c r="L536" s="4" t="str">
        <f>IF(Table1567[[#This Row],[Total Amount]]&gt;=1000,"High",(IF(Table1567[[#This Row],[Total Amount]]&gt;=500,"Medium","Low")))</f>
        <v>Low</v>
      </c>
      <c r="M536" s="4" t="str" cm="1">
        <f t="array" ref="M53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36" s="4" cm="1">
        <f t="array" ref="N53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</v>
      </c>
      <c r="O536" s="4">
        <f>Table1567[[#This Row],[Total Amount]]-Table1567[[#This Row],[Discount Amount]]</f>
        <v>81</v>
      </c>
      <c r="P536" s="4" t="str">
        <f>IF(Table1567[[#This Row],[Total Amount]]&gt;=1000,"High","Low")</f>
        <v>Low</v>
      </c>
      <c r="Q536" s="4" t="str" cm="1">
        <f t="array" ref="Q536">_xlfn.IFS(AND(Table1567[[#This Row],[Total Amount]]&gt;=1500,"Critical"),AND(Table1567[[#This Row],[Total Amount]]&gt;=1000,"High"),TRUE,"Normal")</f>
        <v>Normal</v>
      </c>
      <c r="R536" s="4" t="str">
        <f>CONCATENATE(Table1567[[#This Row],[Customer ID]], "-",Table1567[[#This Row],[Age]])</f>
        <v>CUST535-47</v>
      </c>
      <c r="S536" s="4" t="str">
        <f>TEXT(Table1567[[#This Row],[Date]],"mmm")</f>
        <v>Dec</v>
      </c>
      <c r="T536" s="4" t="str">
        <f>TEXT(Table1567[[#This Row],[Date]],"DDD")</f>
        <v>Wed</v>
      </c>
    </row>
    <row r="537" spans="1:20" ht="29" x14ac:dyDescent="0.35">
      <c r="A537" s="4">
        <v>536</v>
      </c>
      <c r="B537" s="5">
        <v>44990</v>
      </c>
      <c r="C537" s="4" t="s">
        <v>549</v>
      </c>
      <c r="D537" s="4" t="s">
        <v>13</v>
      </c>
      <c r="E537" s="4">
        <v>55</v>
      </c>
      <c r="F537" s="4" t="str">
        <f>IF(Table1567[[#This Row],[Age]]&lt;=19,"Teenager",IF(Table1567[[#This Row],[Age]]&lt;=40,"Median","Old"))</f>
        <v>Old</v>
      </c>
      <c r="G537" s="4" t="s">
        <v>11</v>
      </c>
      <c r="H537" s="4">
        <v>4</v>
      </c>
      <c r="I537" s="4">
        <v>30</v>
      </c>
      <c r="J537" s="4">
        <v>120</v>
      </c>
      <c r="K537" s="4" t="str" cm="1">
        <f t="array" ref="K537">_xlfn.IFS(AND(Table1567[[#This Row],[Total Amount]]&gt;=1500),"Critical",AND(Table1567[[#This Row],[Total Amount]]&gt;=1000),"High",TRUE,"Normal")</f>
        <v>Normal</v>
      </c>
      <c r="L537" s="4" t="str">
        <f>IF(Table1567[[#This Row],[Total Amount]]&gt;=1000,"High",(IF(Table1567[[#This Row],[Total Amount]]&gt;=500,"Medium","Low")))</f>
        <v>Low</v>
      </c>
      <c r="M537" s="4" t="str" cm="1">
        <f t="array" ref="M53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37" s="4" cm="1">
        <f t="array" ref="N53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</v>
      </c>
      <c r="O537" s="4">
        <f>Table1567[[#This Row],[Total Amount]]-Table1567[[#This Row],[Discount Amount]]</f>
        <v>96</v>
      </c>
      <c r="P537" s="4" t="str">
        <f>IF(Table1567[[#This Row],[Total Amount]]&gt;=1000,"High","Low")</f>
        <v>Low</v>
      </c>
      <c r="Q537" s="4" t="str" cm="1">
        <f t="array" ref="Q537">_xlfn.IFS(AND(Table1567[[#This Row],[Total Amount]]&gt;=1500,"Critical"),AND(Table1567[[#This Row],[Total Amount]]&gt;=1000,"High"),TRUE,"Normal")</f>
        <v>Normal</v>
      </c>
      <c r="R537" s="4" t="str">
        <f>CONCATENATE(Table1567[[#This Row],[Customer ID]], "-",Table1567[[#This Row],[Age]])</f>
        <v>CUST536-55</v>
      </c>
      <c r="S537" s="4" t="str">
        <f>TEXT(Table1567[[#This Row],[Date]],"mmm")</f>
        <v>Mar</v>
      </c>
      <c r="T537" s="4" t="str">
        <f>TEXT(Table1567[[#This Row],[Date]],"DDD")</f>
        <v>Sun</v>
      </c>
    </row>
    <row r="538" spans="1:20" ht="29" x14ac:dyDescent="0.35">
      <c r="A538" s="4">
        <v>537</v>
      </c>
      <c r="B538" s="5">
        <v>45080</v>
      </c>
      <c r="C538" s="4" t="s">
        <v>550</v>
      </c>
      <c r="D538" s="4" t="s">
        <v>13</v>
      </c>
      <c r="E538" s="4">
        <v>21</v>
      </c>
      <c r="F538" s="4" t="str">
        <f>IF(Table1567[[#This Row],[Age]]&lt;=19,"Teenager",IF(Table1567[[#This Row],[Age]]&lt;=40,"Median","Old"))</f>
        <v>Median</v>
      </c>
      <c r="G538" s="4" t="s">
        <v>11</v>
      </c>
      <c r="H538" s="4">
        <v>1</v>
      </c>
      <c r="I538" s="4">
        <v>500</v>
      </c>
      <c r="J538" s="4">
        <v>500</v>
      </c>
      <c r="K538" s="4" t="str" cm="1">
        <f t="array" ref="K538">_xlfn.IFS(AND(Table1567[[#This Row],[Total Amount]]&gt;=1500),"Critical",AND(Table1567[[#This Row],[Total Amount]]&gt;=1000),"High",TRUE,"Normal")</f>
        <v>Normal</v>
      </c>
      <c r="L538" s="4" t="str">
        <f>IF(Table1567[[#This Row],[Total Amount]]&gt;=1000,"High",(IF(Table1567[[#This Row],[Total Amount]]&gt;=500,"Medium","Low")))</f>
        <v>Medium</v>
      </c>
      <c r="M538" s="4" t="str" cm="1">
        <f t="array" ref="M53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538" s="4" cm="1">
        <f t="array" ref="N53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538" s="4">
        <f>Table1567[[#This Row],[Total Amount]]-Table1567[[#This Row],[Discount Amount]]</f>
        <v>500</v>
      </c>
      <c r="P538" s="4" t="str">
        <f>IF(Table1567[[#This Row],[Total Amount]]&gt;=1000,"High","Low")</f>
        <v>Low</v>
      </c>
      <c r="Q538" s="4" t="str" cm="1">
        <f t="array" ref="Q538">_xlfn.IFS(AND(Table1567[[#This Row],[Total Amount]]&gt;=1500,"Critical"),AND(Table1567[[#This Row],[Total Amount]]&gt;=1000,"High"),TRUE,"Normal")</f>
        <v>Normal</v>
      </c>
      <c r="R538" s="4" t="str">
        <f>CONCATENATE(Table1567[[#This Row],[Customer ID]], "-",Table1567[[#This Row],[Age]])</f>
        <v>CUST537-21</v>
      </c>
      <c r="S538" s="4" t="str">
        <f>TEXT(Table1567[[#This Row],[Date]],"mmm")</f>
        <v>Jun</v>
      </c>
      <c r="T538" s="4" t="str">
        <f>TEXT(Table1567[[#This Row],[Date]],"DDD")</f>
        <v>Sat</v>
      </c>
    </row>
    <row r="539" spans="1:20" ht="29" x14ac:dyDescent="0.35">
      <c r="A539" s="4">
        <v>538</v>
      </c>
      <c r="B539" s="5">
        <v>45186</v>
      </c>
      <c r="C539" s="4" t="s">
        <v>551</v>
      </c>
      <c r="D539" s="4" t="s">
        <v>10</v>
      </c>
      <c r="E539" s="4">
        <v>18</v>
      </c>
      <c r="F539" s="4" t="str">
        <f>IF(Table1567[[#This Row],[Age]]&lt;=19,"Teenager",IF(Table1567[[#This Row],[Age]]&lt;=40,"Median","Old"))</f>
        <v>Teenager</v>
      </c>
      <c r="G539" s="4" t="s">
        <v>14</v>
      </c>
      <c r="H539" s="4">
        <v>3</v>
      </c>
      <c r="I539" s="4">
        <v>50</v>
      </c>
      <c r="J539" s="4">
        <v>150</v>
      </c>
      <c r="K539" s="4" t="str" cm="1">
        <f t="array" ref="K539">_xlfn.IFS(AND(Table1567[[#This Row],[Total Amount]]&gt;=1500),"Critical",AND(Table1567[[#This Row],[Total Amount]]&gt;=1000),"High",TRUE,"Normal")</f>
        <v>Normal</v>
      </c>
      <c r="L539" s="4" t="str">
        <f>IF(Table1567[[#This Row],[Total Amount]]&gt;=1000,"High",(IF(Table1567[[#This Row],[Total Amount]]&gt;=500,"Medium","Low")))</f>
        <v>Low</v>
      </c>
      <c r="M539" s="4" t="str" cm="1">
        <f t="array" ref="M53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539" s="4" cm="1">
        <f t="array" ref="N53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539" s="4">
        <f>Table1567[[#This Row],[Total Amount]]-Table1567[[#This Row],[Discount Amount]]</f>
        <v>150</v>
      </c>
      <c r="P539" s="4" t="str">
        <f>IF(Table1567[[#This Row],[Total Amount]]&gt;=1000,"High","Low")</f>
        <v>Low</v>
      </c>
      <c r="Q539" s="4" t="str" cm="1">
        <f t="array" ref="Q539">_xlfn.IFS(AND(Table1567[[#This Row],[Total Amount]]&gt;=1500,"Critical"),AND(Table1567[[#This Row],[Total Amount]]&gt;=1000,"High"),TRUE,"Normal")</f>
        <v>Normal</v>
      </c>
      <c r="R539" s="4" t="str">
        <f>CONCATENATE(Table1567[[#This Row],[Customer ID]], "-",Table1567[[#This Row],[Age]])</f>
        <v>CUST538-18</v>
      </c>
      <c r="S539" s="4" t="str">
        <f>TEXT(Table1567[[#This Row],[Date]],"mmm")</f>
        <v>Sep</v>
      </c>
      <c r="T539" s="4" t="str">
        <f>TEXT(Table1567[[#This Row],[Date]],"DDD")</f>
        <v>Sun</v>
      </c>
    </row>
    <row r="540" spans="1:20" ht="29" x14ac:dyDescent="0.35">
      <c r="A540" s="4">
        <v>539</v>
      </c>
      <c r="B540" s="5">
        <v>45085</v>
      </c>
      <c r="C540" s="4" t="s">
        <v>552</v>
      </c>
      <c r="D540" s="4" t="s">
        <v>10</v>
      </c>
      <c r="E540" s="4">
        <v>25</v>
      </c>
      <c r="F540" s="4" t="str">
        <f>IF(Table1567[[#This Row],[Age]]&lt;=19,"Teenager",IF(Table1567[[#This Row],[Age]]&lt;=40,"Median","Old"))</f>
        <v>Median</v>
      </c>
      <c r="G540" s="4" t="s">
        <v>11</v>
      </c>
      <c r="H540" s="4">
        <v>1</v>
      </c>
      <c r="I540" s="4">
        <v>500</v>
      </c>
      <c r="J540" s="4">
        <v>500</v>
      </c>
      <c r="K540" s="4" t="str" cm="1">
        <f t="array" ref="K540">_xlfn.IFS(AND(Table1567[[#This Row],[Total Amount]]&gt;=1500),"Critical",AND(Table1567[[#This Row],[Total Amount]]&gt;=1000),"High",TRUE,"Normal")</f>
        <v>Normal</v>
      </c>
      <c r="L540" s="4" t="str">
        <f>IF(Table1567[[#This Row],[Total Amount]]&gt;=1000,"High",(IF(Table1567[[#This Row],[Total Amount]]&gt;=500,"Medium","Low")))</f>
        <v>Medium</v>
      </c>
      <c r="M540" s="4" t="str" cm="1">
        <f t="array" ref="M54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40" s="4" cm="1">
        <f t="array" ref="N54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75</v>
      </c>
      <c r="O540" s="4">
        <f>Table1567[[#This Row],[Total Amount]]-Table1567[[#This Row],[Discount Amount]]</f>
        <v>425</v>
      </c>
      <c r="P540" s="4" t="str">
        <f>IF(Table1567[[#This Row],[Total Amount]]&gt;=1000,"High","Low")</f>
        <v>Low</v>
      </c>
      <c r="Q540" s="4" t="str" cm="1">
        <f t="array" ref="Q540">_xlfn.IFS(AND(Table1567[[#This Row],[Total Amount]]&gt;=1500,"Critical"),AND(Table1567[[#This Row],[Total Amount]]&gt;=1000,"High"),TRUE,"Normal")</f>
        <v>Normal</v>
      </c>
      <c r="R540" s="4" t="str">
        <f>CONCATENATE(Table1567[[#This Row],[Customer ID]], "-",Table1567[[#This Row],[Age]])</f>
        <v>CUST539-25</v>
      </c>
      <c r="S540" s="4" t="str">
        <f>TEXT(Table1567[[#This Row],[Date]],"mmm")</f>
        <v>Jun</v>
      </c>
      <c r="T540" s="4" t="str">
        <f>TEXT(Table1567[[#This Row],[Date]],"DDD")</f>
        <v>Thu</v>
      </c>
    </row>
    <row r="541" spans="1:20" ht="29" x14ac:dyDescent="0.35">
      <c r="A541" s="4">
        <v>540</v>
      </c>
      <c r="B541" s="5">
        <v>45268</v>
      </c>
      <c r="C541" s="4" t="s">
        <v>553</v>
      </c>
      <c r="D541" s="4" t="s">
        <v>13</v>
      </c>
      <c r="E541" s="4">
        <v>46</v>
      </c>
      <c r="F541" s="4" t="str">
        <f>IF(Table1567[[#This Row],[Age]]&lt;=19,"Teenager",IF(Table1567[[#This Row],[Age]]&lt;=40,"Median","Old"))</f>
        <v>Old</v>
      </c>
      <c r="G541" s="4" t="s">
        <v>16</v>
      </c>
      <c r="H541" s="4">
        <v>3</v>
      </c>
      <c r="I541" s="4">
        <v>300</v>
      </c>
      <c r="J541" s="4">
        <v>900</v>
      </c>
      <c r="K541" s="4" t="str" cm="1">
        <f t="array" ref="K541">_xlfn.IFS(AND(Table1567[[#This Row],[Total Amount]]&gt;=1500),"Critical",AND(Table1567[[#This Row],[Total Amount]]&gt;=1000),"High",TRUE,"Normal")</f>
        <v>Normal</v>
      </c>
      <c r="L541" s="4" t="str">
        <f>IF(Table1567[[#This Row],[Total Amount]]&gt;=1000,"High",(IF(Table1567[[#This Row],[Total Amount]]&gt;=500,"Medium","Low")))</f>
        <v>Medium</v>
      </c>
      <c r="M541" s="4" t="str" cm="1">
        <f t="array" ref="M54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41" s="4" cm="1">
        <f t="array" ref="N54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541" s="4">
        <f>Table1567[[#This Row],[Total Amount]]-Table1567[[#This Row],[Discount Amount]]</f>
        <v>720</v>
      </c>
      <c r="P541" s="4" t="str">
        <f>IF(Table1567[[#This Row],[Total Amount]]&gt;=1000,"High","Low")</f>
        <v>Low</v>
      </c>
      <c r="Q541" s="4" t="str" cm="1">
        <f t="array" ref="Q541">_xlfn.IFS(AND(Table1567[[#This Row],[Total Amount]]&gt;=1500,"Critical"),AND(Table1567[[#This Row],[Total Amount]]&gt;=1000,"High"),TRUE,"Normal")</f>
        <v>Normal</v>
      </c>
      <c r="R541" s="4" t="str">
        <f>CONCATENATE(Table1567[[#This Row],[Customer ID]], "-",Table1567[[#This Row],[Age]])</f>
        <v>CUST540-46</v>
      </c>
      <c r="S541" s="4" t="str">
        <f>TEXT(Table1567[[#This Row],[Date]],"mmm")</f>
        <v>Dec</v>
      </c>
      <c r="T541" s="4" t="str">
        <f>TEXT(Table1567[[#This Row],[Date]],"DDD")</f>
        <v>Fri</v>
      </c>
    </row>
    <row r="542" spans="1:20" ht="29" x14ac:dyDescent="0.35">
      <c r="A542" s="4">
        <v>541</v>
      </c>
      <c r="B542" s="5">
        <v>45136</v>
      </c>
      <c r="C542" s="4" t="s">
        <v>554</v>
      </c>
      <c r="D542" s="4" t="s">
        <v>10</v>
      </c>
      <c r="E542" s="4">
        <v>56</v>
      </c>
      <c r="F542" s="4" t="str">
        <f>IF(Table1567[[#This Row],[Age]]&lt;=19,"Teenager",IF(Table1567[[#This Row],[Age]]&lt;=40,"Median","Old"))</f>
        <v>Old</v>
      </c>
      <c r="G542" s="4" t="s">
        <v>11</v>
      </c>
      <c r="H542" s="4">
        <v>1</v>
      </c>
      <c r="I542" s="4">
        <v>500</v>
      </c>
      <c r="J542" s="4">
        <v>500</v>
      </c>
      <c r="K542" s="4" t="str" cm="1">
        <f t="array" ref="K542">_xlfn.IFS(AND(Table1567[[#This Row],[Total Amount]]&gt;=1500),"Critical",AND(Table1567[[#This Row],[Total Amount]]&gt;=1000),"High",TRUE,"Normal")</f>
        <v>Normal</v>
      </c>
      <c r="L542" s="4" t="str">
        <f>IF(Table1567[[#This Row],[Total Amount]]&gt;=1000,"High",(IF(Table1567[[#This Row],[Total Amount]]&gt;=500,"Medium","Low")))</f>
        <v>Medium</v>
      </c>
      <c r="M542" s="4" t="str" cm="1">
        <f t="array" ref="M54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42" s="4" cm="1">
        <f t="array" ref="N54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50</v>
      </c>
      <c r="O542" s="4">
        <f>Table1567[[#This Row],[Total Amount]]-Table1567[[#This Row],[Discount Amount]]</f>
        <v>450</v>
      </c>
      <c r="P542" s="4" t="str">
        <f>IF(Table1567[[#This Row],[Total Amount]]&gt;=1000,"High","Low")</f>
        <v>Low</v>
      </c>
      <c r="Q542" s="4" t="str" cm="1">
        <f t="array" ref="Q542">_xlfn.IFS(AND(Table1567[[#This Row],[Total Amount]]&gt;=1500,"Critical"),AND(Table1567[[#This Row],[Total Amount]]&gt;=1000,"High"),TRUE,"Normal")</f>
        <v>Normal</v>
      </c>
      <c r="R542" s="4" t="str">
        <f>CONCATENATE(Table1567[[#This Row],[Customer ID]], "-",Table1567[[#This Row],[Age]])</f>
        <v>CUST541-56</v>
      </c>
      <c r="S542" s="4" t="str">
        <f>TEXT(Table1567[[#This Row],[Date]],"mmm")</f>
        <v>Jul</v>
      </c>
      <c r="T542" s="4" t="str">
        <f>TEXT(Table1567[[#This Row],[Date]],"DDD")</f>
        <v>Sat</v>
      </c>
    </row>
    <row r="543" spans="1:20" ht="29" x14ac:dyDescent="0.35">
      <c r="A543" s="4">
        <v>542</v>
      </c>
      <c r="B543" s="5">
        <v>45094</v>
      </c>
      <c r="C543" s="4" t="s">
        <v>555</v>
      </c>
      <c r="D543" s="4" t="s">
        <v>13</v>
      </c>
      <c r="E543" s="4">
        <v>20</v>
      </c>
      <c r="F543" s="4" t="str">
        <f>IF(Table1567[[#This Row],[Age]]&lt;=19,"Teenager",IF(Table1567[[#This Row],[Age]]&lt;=40,"Median","Old"))</f>
        <v>Median</v>
      </c>
      <c r="G543" s="4" t="s">
        <v>11</v>
      </c>
      <c r="H543" s="4">
        <v>1</v>
      </c>
      <c r="I543" s="4">
        <v>50</v>
      </c>
      <c r="J543" s="4">
        <v>50</v>
      </c>
      <c r="K543" s="4" t="str" cm="1">
        <f t="array" ref="K543">_xlfn.IFS(AND(Table1567[[#This Row],[Total Amount]]&gt;=1500),"Critical",AND(Table1567[[#This Row],[Total Amount]]&gt;=1000),"High",TRUE,"Normal")</f>
        <v>Normal</v>
      </c>
      <c r="L543" s="4" t="str">
        <f>IF(Table1567[[#This Row],[Total Amount]]&gt;=1000,"High",(IF(Table1567[[#This Row],[Total Amount]]&gt;=500,"Medium","Low")))</f>
        <v>Low</v>
      </c>
      <c r="M543" s="4" t="str" cm="1">
        <f t="array" ref="M54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543" s="4" cm="1">
        <f t="array" ref="N54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543" s="4">
        <f>Table1567[[#This Row],[Total Amount]]-Table1567[[#This Row],[Discount Amount]]</f>
        <v>50</v>
      </c>
      <c r="P543" s="4" t="str">
        <f>IF(Table1567[[#This Row],[Total Amount]]&gt;=1000,"High","Low")</f>
        <v>Low</v>
      </c>
      <c r="Q543" s="4" t="str" cm="1">
        <f t="array" ref="Q543">_xlfn.IFS(AND(Table1567[[#This Row],[Total Amount]]&gt;=1500,"Critical"),AND(Table1567[[#This Row],[Total Amount]]&gt;=1000,"High"),TRUE,"Normal")</f>
        <v>Normal</v>
      </c>
      <c r="R543" s="4" t="str">
        <f>CONCATENATE(Table1567[[#This Row],[Customer ID]], "-",Table1567[[#This Row],[Age]])</f>
        <v>CUST542-20</v>
      </c>
      <c r="S543" s="4" t="str">
        <f>TEXT(Table1567[[#This Row],[Date]],"mmm")</f>
        <v>Jun</v>
      </c>
      <c r="T543" s="4" t="str">
        <f>TEXT(Table1567[[#This Row],[Date]],"DDD")</f>
        <v>Sat</v>
      </c>
    </row>
    <row r="544" spans="1:20" ht="29" x14ac:dyDescent="0.35">
      <c r="A544" s="4">
        <v>543</v>
      </c>
      <c r="B544" s="5">
        <v>45133</v>
      </c>
      <c r="C544" s="4" t="s">
        <v>556</v>
      </c>
      <c r="D544" s="4" t="s">
        <v>10</v>
      </c>
      <c r="E544" s="4">
        <v>49</v>
      </c>
      <c r="F544" s="4" t="str">
        <f>IF(Table1567[[#This Row],[Age]]&lt;=19,"Teenager",IF(Table1567[[#This Row],[Age]]&lt;=40,"Median","Old"))</f>
        <v>Old</v>
      </c>
      <c r="G544" s="4" t="s">
        <v>11</v>
      </c>
      <c r="H544" s="4">
        <v>2</v>
      </c>
      <c r="I544" s="4">
        <v>300</v>
      </c>
      <c r="J544" s="4">
        <v>600</v>
      </c>
      <c r="K544" s="4" t="str" cm="1">
        <f t="array" ref="K544">_xlfn.IFS(AND(Table1567[[#This Row],[Total Amount]]&gt;=1500),"Critical",AND(Table1567[[#This Row],[Total Amount]]&gt;=1000),"High",TRUE,"Normal")</f>
        <v>Normal</v>
      </c>
      <c r="L544" s="4" t="str">
        <f>IF(Table1567[[#This Row],[Total Amount]]&gt;=1000,"High",(IF(Table1567[[#This Row],[Total Amount]]&gt;=500,"Medium","Low")))</f>
        <v>Medium</v>
      </c>
      <c r="M544" s="4" t="str" cm="1">
        <f t="array" ref="M54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44" s="4" cm="1">
        <f t="array" ref="N54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544" s="4">
        <f>Table1567[[#This Row],[Total Amount]]-Table1567[[#This Row],[Discount Amount]]</f>
        <v>540</v>
      </c>
      <c r="P544" s="4" t="str">
        <f>IF(Table1567[[#This Row],[Total Amount]]&gt;=1000,"High","Low")</f>
        <v>Low</v>
      </c>
      <c r="Q544" s="4" t="str" cm="1">
        <f t="array" ref="Q544">_xlfn.IFS(AND(Table1567[[#This Row],[Total Amount]]&gt;=1500,"Critical"),AND(Table1567[[#This Row],[Total Amount]]&gt;=1000,"High"),TRUE,"Normal")</f>
        <v>Normal</v>
      </c>
      <c r="R544" s="4" t="str">
        <f>CONCATENATE(Table1567[[#This Row],[Customer ID]], "-",Table1567[[#This Row],[Age]])</f>
        <v>CUST543-49</v>
      </c>
      <c r="S544" s="4" t="str">
        <f>TEXT(Table1567[[#This Row],[Date]],"mmm")</f>
        <v>Jul</v>
      </c>
      <c r="T544" s="4" t="str">
        <f>TEXT(Table1567[[#This Row],[Date]],"DDD")</f>
        <v>Wed</v>
      </c>
    </row>
    <row r="545" spans="1:20" ht="29" x14ac:dyDescent="0.35">
      <c r="A545" s="4">
        <v>544</v>
      </c>
      <c r="B545" s="5">
        <v>45283</v>
      </c>
      <c r="C545" s="4" t="s">
        <v>557</v>
      </c>
      <c r="D545" s="4" t="s">
        <v>13</v>
      </c>
      <c r="E545" s="4">
        <v>27</v>
      </c>
      <c r="F545" s="4" t="str">
        <f>IF(Table1567[[#This Row],[Age]]&lt;=19,"Teenager",IF(Table1567[[#This Row],[Age]]&lt;=40,"Median","Old"))</f>
        <v>Median</v>
      </c>
      <c r="G545" s="4" t="s">
        <v>16</v>
      </c>
      <c r="H545" s="4">
        <v>1</v>
      </c>
      <c r="I545" s="4">
        <v>25</v>
      </c>
      <c r="J545" s="4">
        <v>25</v>
      </c>
      <c r="K545" s="4" t="str" cm="1">
        <f t="array" ref="K545">_xlfn.IFS(AND(Table1567[[#This Row],[Total Amount]]&gt;=1500),"Critical",AND(Table1567[[#This Row],[Total Amount]]&gt;=1000),"High",TRUE,"Normal")</f>
        <v>Normal</v>
      </c>
      <c r="L545" s="4" t="str">
        <f>IF(Table1567[[#This Row],[Total Amount]]&gt;=1000,"High",(IF(Table1567[[#This Row],[Total Amount]]&gt;=500,"Medium","Low")))</f>
        <v>Low</v>
      </c>
      <c r="M545" s="4" t="str" cm="1">
        <f t="array" ref="M54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45" s="4" cm="1">
        <f t="array" ref="N54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3.75</v>
      </c>
      <c r="O545" s="4">
        <f>Table1567[[#This Row],[Total Amount]]-Table1567[[#This Row],[Discount Amount]]</f>
        <v>21.25</v>
      </c>
      <c r="P545" s="4" t="str">
        <f>IF(Table1567[[#This Row],[Total Amount]]&gt;=1000,"High","Low")</f>
        <v>Low</v>
      </c>
      <c r="Q545" s="4" t="str" cm="1">
        <f t="array" ref="Q545">_xlfn.IFS(AND(Table1567[[#This Row],[Total Amount]]&gt;=1500,"Critical"),AND(Table1567[[#This Row],[Total Amount]]&gt;=1000,"High"),TRUE,"Normal")</f>
        <v>Normal</v>
      </c>
      <c r="R545" s="4" t="str">
        <f>CONCATENATE(Table1567[[#This Row],[Customer ID]], "-",Table1567[[#This Row],[Age]])</f>
        <v>CUST544-27</v>
      </c>
      <c r="S545" s="4" t="str">
        <f>TEXT(Table1567[[#This Row],[Date]],"mmm")</f>
        <v>Dec</v>
      </c>
      <c r="T545" s="4" t="str">
        <f>TEXT(Table1567[[#This Row],[Date]],"DDD")</f>
        <v>Sat</v>
      </c>
    </row>
    <row r="546" spans="1:20" ht="29" x14ac:dyDescent="0.35">
      <c r="A546" s="4">
        <v>545</v>
      </c>
      <c r="B546" s="5">
        <v>45078</v>
      </c>
      <c r="C546" s="4" t="s">
        <v>558</v>
      </c>
      <c r="D546" s="4" t="s">
        <v>10</v>
      </c>
      <c r="E546" s="4">
        <v>27</v>
      </c>
      <c r="F546" s="4" t="str">
        <f>IF(Table1567[[#This Row],[Age]]&lt;=19,"Teenager",IF(Table1567[[#This Row],[Age]]&lt;=40,"Median","Old"))</f>
        <v>Median</v>
      </c>
      <c r="G546" s="4" t="s">
        <v>14</v>
      </c>
      <c r="H546" s="4">
        <v>2</v>
      </c>
      <c r="I546" s="4">
        <v>25</v>
      </c>
      <c r="J546" s="4">
        <v>50</v>
      </c>
      <c r="K546" s="4" t="str" cm="1">
        <f t="array" ref="K546">_xlfn.IFS(AND(Table1567[[#This Row],[Total Amount]]&gt;=1500),"Critical",AND(Table1567[[#This Row],[Total Amount]]&gt;=1000),"High",TRUE,"Normal")</f>
        <v>Normal</v>
      </c>
      <c r="L546" s="4" t="str">
        <f>IF(Table1567[[#This Row],[Total Amount]]&gt;=1000,"High",(IF(Table1567[[#This Row],[Total Amount]]&gt;=500,"Medium","Low")))</f>
        <v>Low</v>
      </c>
      <c r="M546" s="4" t="str" cm="1">
        <f t="array" ref="M54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46" s="4" cm="1">
        <f t="array" ref="N54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546" s="4">
        <f>Table1567[[#This Row],[Total Amount]]-Table1567[[#This Row],[Discount Amount]]</f>
        <v>42.5</v>
      </c>
      <c r="P546" s="4" t="str">
        <f>IF(Table1567[[#This Row],[Total Amount]]&gt;=1000,"High","Low")</f>
        <v>Low</v>
      </c>
      <c r="Q546" s="4" t="str" cm="1">
        <f t="array" ref="Q546">_xlfn.IFS(AND(Table1567[[#This Row],[Total Amount]]&gt;=1500,"Critical"),AND(Table1567[[#This Row],[Total Amount]]&gt;=1000,"High"),TRUE,"Normal")</f>
        <v>Normal</v>
      </c>
      <c r="R546" s="4" t="str">
        <f>CONCATENATE(Table1567[[#This Row],[Customer ID]], "-",Table1567[[#This Row],[Age]])</f>
        <v>CUST545-27</v>
      </c>
      <c r="S546" s="4" t="str">
        <f>TEXT(Table1567[[#This Row],[Date]],"mmm")</f>
        <v>Jun</v>
      </c>
      <c r="T546" s="4" t="str">
        <f>TEXT(Table1567[[#This Row],[Date]],"DDD")</f>
        <v>Thu</v>
      </c>
    </row>
    <row r="547" spans="1:20" ht="29" x14ac:dyDescent="0.35">
      <c r="A547" s="4">
        <v>546</v>
      </c>
      <c r="B547" s="5">
        <v>45210</v>
      </c>
      <c r="C547" s="4" t="s">
        <v>559</v>
      </c>
      <c r="D547" s="4" t="s">
        <v>13</v>
      </c>
      <c r="E547" s="4">
        <v>36</v>
      </c>
      <c r="F547" s="4" t="str">
        <f>IF(Table1567[[#This Row],[Age]]&lt;=19,"Teenager",IF(Table1567[[#This Row],[Age]]&lt;=40,"Median","Old"))</f>
        <v>Median</v>
      </c>
      <c r="G547" s="4" t="s">
        <v>16</v>
      </c>
      <c r="H547" s="4">
        <v>4</v>
      </c>
      <c r="I547" s="4">
        <v>50</v>
      </c>
      <c r="J547" s="4">
        <v>200</v>
      </c>
      <c r="K547" s="4" t="str" cm="1">
        <f t="array" ref="K547">_xlfn.IFS(AND(Table1567[[#This Row],[Total Amount]]&gt;=1500),"Critical",AND(Table1567[[#This Row],[Total Amount]]&gt;=1000),"High",TRUE,"Normal")</f>
        <v>Normal</v>
      </c>
      <c r="L547" s="4" t="str">
        <f>IF(Table1567[[#This Row],[Total Amount]]&gt;=1000,"High",(IF(Table1567[[#This Row],[Total Amount]]&gt;=500,"Medium","Low")))</f>
        <v>Low</v>
      </c>
      <c r="M547" s="4" t="str" cm="1">
        <f t="array" ref="M54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47" s="4" cm="1">
        <f t="array" ref="N54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</v>
      </c>
      <c r="O547" s="4">
        <f>Table1567[[#This Row],[Total Amount]]-Table1567[[#This Row],[Discount Amount]]</f>
        <v>160</v>
      </c>
      <c r="P547" s="4" t="str">
        <f>IF(Table1567[[#This Row],[Total Amount]]&gt;=1000,"High","Low")</f>
        <v>Low</v>
      </c>
      <c r="Q547" s="4" t="str" cm="1">
        <f t="array" ref="Q547">_xlfn.IFS(AND(Table1567[[#This Row],[Total Amount]]&gt;=1500,"Critical"),AND(Table1567[[#This Row],[Total Amount]]&gt;=1000,"High"),TRUE,"Normal")</f>
        <v>Normal</v>
      </c>
      <c r="R547" s="4" t="str">
        <f>CONCATENATE(Table1567[[#This Row],[Customer ID]], "-",Table1567[[#This Row],[Age]])</f>
        <v>CUST546-36</v>
      </c>
      <c r="S547" s="4" t="str">
        <f>TEXT(Table1567[[#This Row],[Date]],"mmm")</f>
        <v>Oct</v>
      </c>
      <c r="T547" s="4" t="str">
        <f>TEXT(Table1567[[#This Row],[Date]],"DDD")</f>
        <v>Wed</v>
      </c>
    </row>
    <row r="548" spans="1:20" ht="29" x14ac:dyDescent="0.35">
      <c r="A548" s="4">
        <v>547</v>
      </c>
      <c r="B548" s="5">
        <v>44992</v>
      </c>
      <c r="C548" s="4" t="s">
        <v>560</v>
      </c>
      <c r="D548" s="4" t="s">
        <v>10</v>
      </c>
      <c r="E548" s="4">
        <v>63</v>
      </c>
      <c r="F548" s="4" t="str">
        <f>IF(Table1567[[#This Row],[Age]]&lt;=19,"Teenager",IF(Table1567[[#This Row],[Age]]&lt;=40,"Median","Old"))</f>
        <v>Old</v>
      </c>
      <c r="G548" s="4" t="s">
        <v>14</v>
      </c>
      <c r="H548" s="4">
        <v>4</v>
      </c>
      <c r="I548" s="4">
        <v>500</v>
      </c>
      <c r="J548" s="4">
        <v>2000</v>
      </c>
      <c r="K548" s="4" t="str" cm="1">
        <f t="array" ref="K548">_xlfn.IFS(AND(Table1567[[#This Row],[Total Amount]]&gt;=1500),"Critical",AND(Table1567[[#This Row],[Total Amount]]&gt;=1000),"High",TRUE,"Normal")</f>
        <v>Critical</v>
      </c>
      <c r="L548" s="4" t="str">
        <f>IF(Table1567[[#This Row],[Total Amount]]&gt;=1000,"High",(IF(Table1567[[#This Row],[Total Amount]]&gt;=500,"Medium","Low")))</f>
        <v>High</v>
      </c>
      <c r="M548" s="4" t="str" cm="1">
        <f t="array" ref="M54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48" s="4" cm="1">
        <f t="array" ref="N54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548" s="4">
        <f>Table1567[[#This Row],[Total Amount]]-Table1567[[#This Row],[Discount Amount]]</f>
        <v>1800</v>
      </c>
      <c r="P548" s="4" t="str">
        <f>IF(Table1567[[#This Row],[Total Amount]]&gt;=1000,"High","Low")</f>
        <v>High</v>
      </c>
      <c r="Q548" s="4" t="b" cm="1">
        <f t="array" ref="Q548">_xlfn.IFS(AND(Table1567[[#This Row],[Total Amount]]&gt;=1500,"Critical"),AND(Table1567[[#This Row],[Total Amount]]&gt;=1000,"High"),TRUE,"Normal")</f>
        <v>1</v>
      </c>
      <c r="R548" s="4" t="str">
        <f>CONCATENATE(Table1567[[#This Row],[Customer ID]], "-",Table1567[[#This Row],[Age]])</f>
        <v>CUST547-63</v>
      </c>
      <c r="S548" s="4" t="str">
        <f>TEXT(Table1567[[#This Row],[Date]],"mmm")</f>
        <v>Mar</v>
      </c>
      <c r="T548" s="4" t="str">
        <f>TEXT(Table1567[[#This Row],[Date]],"DDD")</f>
        <v>Tue</v>
      </c>
    </row>
    <row r="549" spans="1:20" ht="29" x14ac:dyDescent="0.35">
      <c r="A549" s="4">
        <v>548</v>
      </c>
      <c r="B549" s="5">
        <v>45025</v>
      </c>
      <c r="C549" s="4" t="s">
        <v>561</v>
      </c>
      <c r="D549" s="4" t="s">
        <v>13</v>
      </c>
      <c r="E549" s="4">
        <v>51</v>
      </c>
      <c r="F549" s="4" t="str">
        <f>IF(Table1567[[#This Row],[Age]]&lt;=19,"Teenager",IF(Table1567[[#This Row],[Age]]&lt;=40,"Median","Old"))</f>
        <v>Old</v>
      </c>
      <c r="G549" s="4" t="s">
        <v>14</v>
      </c>
      <c r="H549" s="4">
        <v>2</v>
      </c>
      <c r="I549" s="4">
        <v>30</v>
      </c>
      <c r="J549" s="4">
        <v>60</v>
      </c>
      <c r="K549" s="4" t="str" cm="1">
        <f t="array" ref="K549">_xlfn.IFS(AND(Table1567[[#This Row],[Total Amount]]&gt;=1500),"Critical",AND(Table1567[[#This Row],[Total Amount]]&gt;=1000),"High",TRUE,"Normal")</f>
        <v>Normal</v>
      </c>
      <c r="L549" s="4" t="str">
        <f>IF(Table1567[[#This Row],[Total Amount]]&gt;=1000,"High",(IF(Table1567[[#This Row],[Total Amount]]&gt;=500,"Medium","Low")))</f>
        <v>Low</v>
      </c>
      <c r="M549" s="4" t="str" cm="1">
        <f t="array" ref="M54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49" s="4" cm="1">
        <f t="array" ref="N54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549" s="4">
        <f>Table1567[[#This Row],[Total Amount]]-Table1567[[#This Row],[Discount Amount]]</f>
        <v>48</v>
      </c>
      <c r="P549" s="4" t="str">
        <f>IF(Table1567[[#This Row],[Total Amount]]&gt;=1000,"High","Low")</f>
        <v>Low</v>
      </c>
      <c r="Q549" s="4" t="str" cm="1">
        <f t="array" ref="Q549">_xlfn.IFS(AND(Table1567[[#This Row],[Total Amount]]&gt;=1500,"Critical"),AND(Table1567[[#This Row],[Total Amount]]&gt;=1000,"High"),TRUE,"Normal")</f>
        <v>Normal</v>
      </c>
      <c r="R549" s="4" t="str">
        <f>CONCATENATE(Table1567[[#This Row],[Customer ID]], "-",Table1567[[#This Row],[Age]])</f>
        <v>CUST548-51</v>
      </c>
      <c r="S549" s="4" t="str">
        <f>TEXT(Table1567[[#This Row],[Date]],"mmm")</f>
        <v>Apr</v>
      </c>
      <c r="T549" s="4" t="str">
        <f>TEXT(Table1567[[#This Row],[Date]],"DDD")</f>
        <v>Sun</v>
      </c>
    </row>
    <row r="550" spans="1:20" ht="29" x14ac:dyDescent="0.35">
      <c r="A550" s="4">
        <v>549</v>
      </c>
      <c r="B550" s="5">
        <v>45142</v>
      </c>
      <c r="C550" s="4" t="s">
        <v>562</v>
      </c>
      <c r="D550" s="4" t="s">
        <v>13</v>
      </c>
      <c r="E550" s="4">
        <v>50</v>
      </c>
      <c r="F550" s="4" t="str">
        <f>IF(Table1567[[#This Row],[Age]]&lt;=19,"Teenager",IF(Table1567[[#This Row],[Age]]&lt;=40,"Median","Old"))</f>
        <v>Old</v>
      </c>
      <c r="G550" s="4" t="s">
        <v>11</v>
      </c>
      <c r="H550" s="4">
        <v>2</v>
      </c>
      <c r="I550" s="4">
        <v>50</v>
      </c>
      <c r="J550" s="4">
        <v>100</v>
      </c>
      <c r="K550" s="4" t="str" cm="1">
        <f t="array" ref="K550">_xlfn.IFS(AND(Table1567[[#This Row],[Total Amount]]&gt;=1500),"Critical",AND(Table1567[[#This Row],[Total Amount]]&gt;=1000),"High",TRUE,"Normal")</f>
        <v>Normal</v>
      </c>
      <c r="L550" s="4" t="str">
        <f>IF(Table1567[[#This Row],[Total Amount]]&gt;=1000,"High",(IF(Table1567[[#This Row],[Total Amount]]&gt;=500,"Medium","Low")))</f>
        <v>Low</v>
      </c>
      <c r="M550" s="4" t="str" cm="1">
        <f t="array" ref="M55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50" s="4" cm="1">
        <f t="array" ref="N55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550" s="4">
        <f>Table1567[[#This Row],[Total Amount]]-Table1567[[#This Row],[Discount Amount]]</f>
        <v>80</v>
      </c>
      <c r="P550" s="4" t="str">
        <f>IF(Table1567[[#This Row],[Total Amount]]&gt;=1000,"High","Low")</f>
        <v>Low</v>
      </c>
      <c r="Q550" s="4" t="str" cm="1">
        <f t="array" ref="Q550">_xlfn.IFS(AND(Table1567[[#This Row],[Total Amount]]&gt;=1500,"Critical"),AND(Table1567[[#This Row],[Total Amount]]&gt;=1000,"High"),TRUE,"Normal")</f>
        <v>Normal</v>
      </c>
      <c r="R550" s="4" t="str">
        <f>CONCATENATE(Table1567[[#This Row],[Customer ID]], "-",Table1567[[#This Row],[Age]])</f>
        <v>CUST549-50</v>
      </c>
      <c r="S550" s="4" t="str">
        <f>TEXT(Table1567[[#This Row],[Date]],"mmm")</f>
        <v>Aug</v>
      </c>
      <c r="T550" s="4" t="str">
        <f>TEXT(Table1567[[#This Row],[Date]],"DDD")</f>
        <v>Fri</v>
      </c>
    </row>
    <row r="551" spans="1:20" ht="29" x14ac:dyDescent="0.35">
      <c r="A551" s="4">
        <v>550</v>
      </c>
      <c r="B551" s="5">
        <v>45267</v>
      </c>
      <c r="C551" s="4" t="s">
        <v>563</v>
      </c>
      <c r="D551" s="4" t="s">
        <v>10</v>
      </c>
      <c r="E551" s="4">
        <v>40</v>
      </c>
      <c r="F551" s="4" t="str">
        <f>IF(Table1567[[#This Row],[Age]]&lt;=19,"Teenager",IF(Table1567[[#This Row],[Age]]&lt;=40,"Median","Old"))</f>
        <v>Median</v>
      </c>
      <c r="G551" s="4" t="s">
        <v>14</v>
      </c>
      <c r="H551" s="4">
        <v>3</v>
      </c>
      <c r="I551" s="4">
        <v>300</v>
      </c>
      <c r="J551" s="4">
        <v>900</v>
      </c>
      <c r="K551" s="4" t="str" cm="1">
        <f t="array" ref="K551">_xlfn.IFS(AND(Table1567[[#This Row],[Total Amount]]&gt;=1500),"Critical",AND(Table1567[[#This Row],[Total Amount]]&gt;=1000),"High",TRUE,"Normal")</f>
        <v>Normal</v>
      </c>
      <c r="L551" s="4" t="str">
        <f>IF(Table1567[[#This Row],[Total Amount]]&gt;=1000,"High",(IF(Table1567[[#This Row],[Total Amount]]&gt;=500,"Medium","Low")))</f>
        <v>Medium</v>
      </c>
      <c r="M551" s="4" t="str" cm="1">
        <f t="array" ref="M55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51" s="4" cm="1">
        <f t="array" ref="N55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551" s="4">
        <f>Table1567[[#This Row],[Total Amount]]-Table1567[[#This Row],[Discount Amount]]</f>
        <v>810</v>
      </c>
      <c r="P551" s="4" t="str">
        <f>IF(Table1567[[#This Row],[Total Amount]]&gt;=1000,"High","Low")</f>
        <v>Low</v>
      </c>
      <c r="Q551" s="4" t="str" cm="1">
        <f t="array" ref="Q551">_xlfn.IFS(AND(Table1567[[#This Row],[Total Amount]]&gt;=1500,"Critical"),AND(Table1567[[#This Row],[Total Amount]]&gt;=1000,"High"),TRUE,"Normal")</f>
        <v>Normal</v>
      </c>
      <c r="R551" s="4" t="str">
        <f>CONCATENATE(Table1567[[#This Row],[Customer ID]], "-",Table1567[[#This Row],[Age]])</f>
        <v>CUST550-40</v>
      </c>
      <c r="S551" s="4" t="str">
        <f>TEXT(Table1567[[#This Row],[Date]],"mmm")</f>
        <v>Dec</v>
      </c>
      <c r="T551" s="4" t="str">
        <f>TEXT(Table1567[[#This Row],[Date]],"DDD")</f>
        <v>Thu</v>
      </c>
    </row>
    <row r="552" spans="1:20" ht="29" x14ac:dyDescent="0.35">
      <c r="A552" s="4">
        <v>551</v>
      </c>
      <c r="B552" s="5">
        <v>45121</v>
      </c>
      <c r="C552" s="4" t="s">
        <v>564</v>
      </c>
      <c r="D552" s="4" t="s">
        <v>10</v>
      </c>
      <c r="E552" s="4">
        <v>45</v>
      </c>
      <c r="F552" s="4" t="str">
        <f>IF(Table1567[[#This Row],[Age]]&lt;=19,"Teenager",IF(Table1567[[#This Row],[Age]]&lt;=40,"Median","Old"))</f>
        <v>Old</v>
      </c>
      <c r="G552" s="4" t="s">
        <v>16</v>
      </c>
      <c r="H552" s="4">
        <v>3</v>
      </c>
      <c r="I552" s="4">
        <v>300</v>
      </c>
      <c r="J552" s="4">
        <v>900</v>
      </c>
      <c r="K552" s="4" t="str" cm="1">
        <f t="array" ref="K552">_xlfn.IFS(AND(Table1567[[#This Row],[Total Amount]]&gt;=1500),"Critical",AND(Table1567[[#This Row],[Total Amount]]&gt;=1000),"High",TRUE,"Normal")</f>
        <v>Normal</v>
      </c>
      <c r="L552" s="4" t="str">
        <f>IF(Table1567[[#This Row],[Total Amount]]&gt;=1000,"High",(IF(Table1567[[#This Row],[Total Amount]]&gt;=500,"Medium","Low")))</f>
        <v>Medium</v>
      </c>
      <c r="M552" s="4" t="str" cm="1">
        <f t="array" ref="M55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52" s="4" cm="1">
        <f t="array" ref="N55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552" s="4">
        <f>Table1567[[#This Row],[Total Amount]]-Table1567[[#This Row],[Discount Amount]]</f>
        <v>810</v>
      </c>
      <c r="P552" s="4" t="str">
        <f>IF(Table1567[[#This Row],[Total Amount]]&gt;=1000,"High","Low")</f>
        <v>Low</v>
      </c>
      <c r="Q552" s="4" t="str" cm="1">
        <f t="array" ref="Q552">_xlfn.IFS(AND(Table1567[[#This Row],[Total Amount]]&gt;=1500,"Critical"),AND(Table1567[[#This Row],[Total Amount]]&gt;=1000,"High"),TRUE,"Normal")</f>
        <v>Normal</v>
      </c>
      <c r="R552" s="4" t="str">
        <f>CONCATENATE(Table1567[[#This Row],[Customer ID]], "-",Table1567[[#This Row],[Age]])</f>
        <v>CUST551-45</v>
      </c>
      <c r="S552" s="4" t="str">
        <f>TEXT(Table1567[[#This Row],[Date]],"mmm")</f>
        <v>Jul</v>
      </c>
      <c r="T552" s="4" t="str">
        <f>TEXT(Table1567[[#This Row],[Date]],"DDD")</f>
        <v>Fri</v>
      </c>
    </row>
    <row r="553" spans="1:20" ht="29" x14ac:dyDescent="0.35">
      <c r="A553" s="4">
        <v>552</v>
      </c>
      <c r="B553" s="5">
        <v>45273</v>
      </c>
      <c r="C553" s="4" t="s">
        <v>565</v>
      </c>
      <c r="D553" s="4" t="s">
        <v>13</v>
      </c>
      <c r="E553" s="4">
        <v>49</v>
      </c>
      <c r="F553" s="4" t="str">
        <f>IF(Table1567[[#This Row],[Age]]&lt;=19,"Teenager",IF(Table1567[[#This Row],[Age]]&lt;=40,"Median","Old"))</f>
        <v>Old</v>
      </c>
      <c r="G553" s="4" t="s">
        <v>16</v>
      </c>
      <c r="H553" s="4">
        <v>3</v>
      </c>
      <c r="I553" s="4">
        <v>25</v>
      </c>
      <c r="J553" s="4">
        <v>75</v>
      </c>
      <c r="K553" s="4" t="str" cm="1">
        <f t="array" ref="K553">_xlfn.IFS(AND(Table1567[[#This Row],[Total Amount]]&gt;=1500),"Critical",AND(Table1567[[#This Row],[Total Amount]]&gt;=1000),"High",TRUE,"Normal")</f>
        <v>Normal</v>
      </c>
      <c r="L553" s="4" t="str">
        <f>IF(Table1567[[#This Row],[Total Amount]]&gt;=1000,"High",(IF(Table1567[[#This Row],[Total Amount]]&gt;=500,"Medium","Low")))</f>
        <v>Low</v>
      </c>
      <c r="M553" s="4" t="str" cm="1">
        <f t="array" ref="M55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53" s="4" cm="1">
        <f t="array" ref="N55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553" s="4">
        <f>Table1567[[#This Row],[Total Amount]]-Table1567[[#This Row],[Discount Amount]]</f>
        <v>60</v>
      </c>
      <c r="P553" s="4" t="str">
        <f>IF(Table1567[[#This Row],[Total Amount]]&gt;=1000,"High","Low")</f>
        <v>Low</v>
      </c>
      <c r="Q553" s="4" t="str" cm="1">
        <f t="array" ref="Q553">_xlfn.IFS(AND(Table1567[[#This Row],[Total Amount]]&gt;=1500,"Critical"),AND(Table1567[[#This Row],[Total Amount]]&gt;=1000,"High"),TRUE,"Normal")</f>
        <v>Normal</v>
      </c>
      <c r="R553" s="4" t="str">
        <f>CONCATENATE(Table1567[[#This Row],[Customer ID]], "-",Table1567[[#This Row],[Age]])</f>
        <v>CUST552-49</v>
      </c>
      <c r="S553" s="4" t="str">
        <f>TEXT(Table1567[[#This Row],[Date]],"mmm")</f>
        <v>Dec</v>
      </c>
      <c r="T553" s="4" t="str">
        <f>TEXT(Table1567[[#This Row],[Date]],"DDD")</f>
        <v>Wed</v>
      </c>
    </row>
    <row r="554" spans="1:20" ht="29" x14ac:dyDescent="0.35">
      <c r="A554" s="4">
        <v>553</v>
      </c>
      <c r="B554" s="5">
        <v>45016</v>
      </c>
      <c r="C554" s="4" t="s">
        <v>566</v>
      </c>
      <c r="D554" s="4" t="s">
        <v>10</v>
      </c>
      <c r="E554" s="4">
        <v>24</v>
      </c>
      <c r="F554" s="4" t="str">
        <f>IF(Table1567[[#This Row],[Age]]&lt;=19,"Teenager",IF(Table1567[[#This Row],[Age]]&lt;=40,"Median","Old"))</f>
        <v>Median</v>
      </c>
      <c r="G554" s="4" t="s">
        <v>14</v>
      </c>
      <c r="H554" s="4">
        <v>4</v>
      </c>
      <c r="I554" s="4">
        <v>300</v>
      </c>
      <c r="J554" s="4">
        <v>1200</v>
      </c>
      <c r="K554" s="4" t="str" cm="1">
        <f t="array" ref="K554">_xlfn.IFS(AND(Table1567[[#This Row],[Total Amount]]&gt;=1500),"Critical",AND(Table1567[[#This Row],[Total Amount]]&gt;=1000),"High",TRUE,"Normal")</f>
        <v>High</v>
      </c>
      <c r="L554" s="4" t="str">
        <f>IF(Table1567[[#This Row],[Total Amount]]&gt;=1000,"High",(IF(Table1567[[#This Row],[Total Amount]]&gt;=500,"Medium","Low")))</f>
        <v>High</v>
      </c>
      <c r="M554" s="4" t="str" cm="1">
        <f t="array" ref="M55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554" s="4" cm="1">
        <f t="array" ref="N55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554" s="4">
        <f>Table1567[[#This Row],[Total Amount]]-Table1567[[#This Row],[Discount Amount]]</f>
        <v>1200</v>
      </c>
      <c r="P554" s="4" t="str">
        <f>IF(Table1567[[#This Row],[Total Amount]]&gt;=1000,"High","Low")</f>
        <v>High</v>
      </c>
      <c r="Q554" s="4" t="str" cm="1">
        <f t="array" ref="Q554">_xlfn.IFS(AND(Table1567[[#This Row],[Total Amount]]&gt;=1500,"Critical"),AND(Table1567[[#This Row],[Total Amount]]&gt;=1000,"High"),TRUE,"Normal")</f>
        <v>Normal</v>
      </c>
      <c r="R554" s="4" t="str">
        <f>CONCATENATE(Table1567[[#This Row],[Customer ID]], "-",Table1567[[#This Row],[Age]])</f>
        <v>CUST553-24</v>
      </c>
      <c r="S554" s="4" t="str">
        <f>TEXT(Table1567[[#This Row],[Date]],"mmm")</f>
        <v>Mar</v>
      </c>
      <c r="T554" s="4" t="str">
        <f>TEXT(Table1567[[#This Row],[Date]],"DDD")</f>
        <v>Fri</v>
      </c>
    </row>
    <row r="555" spans="1:20" ht="29" x14ac:dyDescent="0.35">
      <c r="A555" s="4">
        <v>554</v>
      </c>
      <c r="B555" s="5">
        <v>45242</v>
      </c>
      <c r="C555" s="4" t="s">
        <v>567</v>
      </c>
      <c r="D555" s="4" t="s">
        <v>13</v>
      </c>
      <c r="E555" s="4">
        <v>46</v>
      </c>
      <c r="F555" s="4" t="str">
        <f>IF(Table1567[[#This Row],[Age]]&lt;=19,"Teenager",IF(Table1567[[#This Row],[Age]]&lt;=40,"Median","Old"))</f>
        <v>Old</v>
      </c>
      <c r="G555" s="4" t="s">
        <v>11</v>
      </c>
      <c r="H555" s="4">
        <v>3</v>
      </c>
      <c r="I555" s="4">
        <v>50</v>
      </c>
      <c r="J555" s="4">
        <v>150</v>
      </c>
      <c r="K555" s="4" t="str" cm="1">
        <f t="array" ref="K555">_xlfn.IFS(AND(Table1567[[#This Row],[Total Amount]]&gt;=1500),"Critical",AND(Table1567[[#This Row],[Total Amount]]&gt;=1000),"High",TRUE,"Normal")</f>
        <v>Normal</v>
      </c>
      <c r="L555" s="4" t="str">
        <f>IF(Table1567[[#This Row],[Total Amount]]&gt;=1000,"High",(IF(Table1567[[#This Row],[Total Amount]]&gt;=500,"Medium","Low")))</f>
        <v>Low</v>
      </c>
      <c r="M555" s="4" t="str" cm="1">
        <f t="array" ref="M55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55" s="4" cm="1">
        <f t="array" ref="N55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555" s="4">
        <f>Table1567[[#This Row],[Total Amount]]-Table1567[[#This Row],[Discount Amount]]</f>
        <v>120</v>
      </c>
      <c r="P555" s="4" t="str">
        <f>IF(Table1567[[#This Row],[Total Amount]]&gt;=1000,"High","Low")</f>
        <v>Low</v>
      </c>
      <c r="Q555" s="4" t="str" cm="1">
        <f t="array" ref="Q555">_xlfn.IFS(AND(Table1567[[#This Row],[Total Amount]]&gt;=1500,"Critical"),AND(Table1567[[#This Row],[Total Amount]]&gt;=1000,"High"),TRUE,"Normal")</f>
        <v>Normal</v>
      </c>
      <c r="R555" s="4" t="str">
        <f>CONCATENATE(Table1567[[#This Row],[Customer ID]], "-",Table1567[[#This Row],[Age]])</f>
        <v>CUST554-46</v>
      </c>
      <c r="S555" s="4" t="str">
        <f>TEXT(Table1567[[#This Row],[Date]],"mmm")</f>
        <v>Nov</v>
      </c>
      <c r="T555" s="4" t="str">
        <f>TEXT(Table1567[[#This Row],[Date]],"DDD")</f>
        <v>Sun</v>
      </c>
    </row>
    <row r="556" spans="1:20" ht="29" x14ac:dyDescent="0.35">
      <c r="A556" s="4">
        <v>555</v>
      </c>
      <c r="B556" s="5">
        <v>45218</v>
      </c>
      <c r="C556" s="4" t="s">
        <v>568</v>
      </c>
      <c r="D556" s="4" t="s">
        <v>10</v>
      </c>
      <c r="E556" s="4">
        <v>25</v>
      </c>
      <c r="F556" s="4" t="str">
        <f>IF(Table1567[[#This Row],[Age]]&lt;=19,"Teenager",IF(Table1567[[#This Row],[Age]]&lt;=40,"Median","Old"))</f>
        <v>Median</v>
      </c>
      <c r="G556" s="4" t="s">
        <v>11</v>
      </c>
      <c r="H556" s="4">
        <v>1</v>
      </c>
      <c r="I556" s="4">
        <v>300</v>
      </c>
      <c r="J556" s="4">
        <v>300</v>
      </c>
      <c r="K556" s="4" t="str" cm="1">
        <f t="array" ref="K556">_xlfn.IFS(AND(Table1567[[#This Row],[Total Amount]]&gt;=1500),"Critical",AND(Table1567[[#This Row],[Total Amount]]&gt;=1000),"High",TRUE,"Normal")</f>
        <v>Normal</v>
      </c>
      <c r="L556" s="4" t="str">
        <f>IF(Table1567[[#This Row],[Total Amount]]&gt;=1000,"High",(IF(Table1567[[#This Row],[Total Amount]]&gt;=500,"Medium","Low")))</f>
        <v>Low</v>
      </c>
      <c r="M556" s="4" t="str" cm="1">
        <f t="array" ref="M55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56" s="4" cm="1">
        <f t="array" ref="N55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45</v>
      </c>
      <c r="O556" s="4">
        <f>Table1567[[#This Row],[Total Amount]]-Table1567[[#This Row],[Discount Amount]]</f>
        <v>255</v>
      </c>
      <c r="P556" s="4" t="str">
        <f>IF(Table1567[[#This Row],[Total Amount]]&gt;=1000,"High","Low")</f>
        <v>Low</v>
      </c>
      <c r="Q556" s="4" t="str" cm="1">
        <f t="array" ref="Q556">_xlfn.IFS(AND(Table1567[[#This Row],[Total Amount]]&gt;=1500,"Critical"),AND(Table1567[[#This Row],[Total Amount]]&gt;=1000,"High"),TRUE,"Normal")</f>
        <v>Normal</v>
      </c>
      <c r="R556" s="4" t="str">
        <f>CONCATENATE(Table1567[[#This Row],[Customer ID]], "-",Table1567[[#This Row],[Age]])</f>
        <v>CUST555-25</v>
      </c>
      <c r="S556" s="4" t="str">
        <f>TEXT(Table1567[[#This Row],[Date]],"mmm")</f>
        <v>Oct</v>
      </c>
      <c r="T556" s="4" t="str">
        <f>TEXT(Table1567[[#This Row],[Date]],"DDD")</f>
        <v>Thu</v>
      </c>
    </row>
    <row r="557" spans="1:20" ht="29" x14ac:dyDescent="0.35">
      <c r="A557" s="4">
        <v>556</v>
      </c>
      <c r="B557" s="5">
        <v>45081</v>
      </c>
      <c r="C557" s="4" t="s">
        <v>569</v>
      </c>
      <c r="D557" s="4" t="s">
        <v>13</v>
      </c>
      <c r="E557" s="4">
        <v>18</v>
      </c>
      <c r="F557" s="4" t="str">
        <f>IF(Table1567[[#This Row],[Age]]&lt;=19,"Teenager",IF(Table1567[[#This Row],[Age]]&lt;=40,"Median","Old"))</f>
        <v>Teenager</v>
      </c>
      <c r="G557" s="4" t="s">
        <v>16</v>
      </c>
      <c r="H557" s="4">
        <v>1</v>
      </c>
      <c r="I557" s="4">
        <v>50</v>
      </c>
      <c r="J557" s="4">
        <v>50</v>
      </c>
      <c r="K557" s="4" t="str" cm="1">
        <f t="array" ref="K557">_xlfn.IFS(AND(Table1567[[#This Row],[Total Amount]]&gt;=1500),"Critical",AND(Table1567[[#This Row],[Total Amount]]&gt;=1000),"High",TRUE,"Normal")</f>
        <v>Normal</v>
      </c>
      <c r="L557" s="4" t="str">
        <f>IF(Table1567[[#This Row],[Total Amount]]&gt;=1000,"High",(IF(Table1567[[#This Row],[Total Amount]]&gt;=500,"Medium","Low")))</f>
        <v>Low</v>
      </c>
      <c r="M557" s="4" t="str" cm="1">
        <f t="array" ref="M55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557" s="4" cm="1">
        <f t="array" ref="N55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557" s="4">
        <f>Table1567[[#This Row],[Total Amount]]-Table1567[[#This Row],[Discount Amount]]</f>
        <v>50</v>
      </c>
      <c r="P557" s="4" t="str">
        <f>IF(Table1567[[#This Row],[Total Amount]]&gt;=1000,"High","Low")</f>
        <v>Low</v>
      </c>
      <c r="Q557" s="4" t="str" cm="1">
        <f t="array" ref="Q557">_xlfn.IFS(AND(Table1567[[#This Row],[Total Amount]]&gt;=1500,"Critical"),AND(Table1567[[#This Row],[Total Amount]]&gt;=1000,"High"),TRUE,"Normal")</f>
        <v>Normal</v>
      </c>
      <c r="R557" s="4" t="str">
        <f>CONCATENATE(Table1567[[#This Row],[Customer ID]], "-",Table1567[[#This Row],[Age]])</f>
        <v>CUST556-18</v>
      </c>
      <c r="S557" s="4" t="str">
        <f>TEXT(Table1567[[#This Row],[Date]],"mmm")</f>
        <v>Jun</v>
      </c>
      <c r="T557" s="4" t="str">
        <f>TEXT(Table1567[[#This Row],[Date]],"DDD")</f>
        <v>Sun</v>
      </c>
    </row>
    <row r="558" spans="1:20" ht="29" x14ac:dyDescent="0.35">
      <c r="A558" s="4">
        <v>557</v>
      </c>
      <c r="B558" s="5">
        <v>45134</v>
      </c>
      <c r="C558" s="4" t="s">
        <v>570</v>
      </c>
      <c r="D558" s="4" t="s">
        <v>13</v>
      </c>
      <c r="E558" s="4">
        <v>20</v>
      </c>
      <c r="F558" s="4" t="str">
        <f>IF(Table1567[[#This Row],[Age]]&lt;=19,"Teenager",IF(Table1567[[#This Row],[Age]]&lt;=40,"Median","Old"))</f>
        <v>Median</v>
      </c>
      <c r="G558" s="4" t="s">
        <v>11</v>
      </c>
      <c r="H558" s="4">
        <v>3</v>
      </c>
      <c r="I558" s="4">
        <v>30</v>
      </c>
      <c r="J558" s="4">
        <v>90</v>
      </c>
      <c r="K558" s="4" t="str" cm="1">
        <f t="array" ref="K558">_xlfn.IFS(AND(Table1567[[#This Row],[Total Amount]]&gt;=1500),"Critical",AND(Table1567[[#This Row],[Total Amount]]&gt;=1000),"High",TRUE,"Normal")</f>
        <v>Normal</v>
      </c>
      <c r="L558" s="4" t="str">
        <f>IF(Table1567[[#This Row],[Total Amount]]&gt;=1000,"High",(IF(Table1567[[#This Row],[Total Amount]]&gt;=500,"Medium","Low")))</f>
        <v>Low</v>
      </c>
      <c r="M558" s="4" t="str" cm="1">
        <f t="array" ref="M55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558" s="4" cm="1">
        <f t="array" ref="N55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558" s="4">
        <f>Table1567[[#This Row],[Total Amount]]-Table1567[[#This Row],[Discount Amount]]</f>
        <v>90</v>
      </c>
      <c r="P558" s="4" t="str">
        <f>IF(Table1567[[#This Row],[Total Amount]]&gt;=1000,"High","Low")</f>
        <v>Low</v>
      </c>
      <c r="Q558" s="4" t="str" cm="1">
        <f t="array" ref="Q558">_xlfn.IFS(AND(Table1567[[#This Row],[Total Amount]]&gt;=1500,"Critical"),AND(Table1567[[#This Row],[Total Amount]]&gt;=1000,"High"),TRUE,"Normal")</f>
        <v>Normal</v>
      </c>
      <c r="R558" s="4" t="str">
        <f>CONCATENATE(Table1567[[#This Row],[Customer ID]], "-",Table1567[[#This Row],[Age]])</f>
        <v>CUST557-20</v>
      </c>
      <c r="S558" s="4" t="str">
        <f>TEXT(Table1567[[#This Row],[Date]],"mmm")</f>
        <v>Jul</v>
      </c>
      <c r="T558" s="4" t="str">
        <f>TEXT(Table1567[[#This Row],[Date]],"DDD")</f>
        <v>Thu</v>
      </c>
    </row>
    <row r="559" spans="1:20" ht="29" x14ac:dyDescent="0.35">
      <c r="A559" s="4">
        <v>558</v>
      </c>
      <c r="B559" s="5">
        <v>45207</v>
      </c>
      <c r="C559" s="4" t="s">
        <v>571</v>
      </c>
      <c r="D559" s="4" t="s">
        <v>13</v>
      </c>
      <c r="E559" s="4">
        <v>41</v>
      </c>
      <c r="F559" s="4" t="str">
        <f>IF(Table1567[[#This Row],[Age]]&lt;=19,"Teenager",IF(Table1567[[#This Row],[Age]]&lt;=40,"Median","Old"))</f>
        <v>Old</v>
      </c>
      <c r="G559" s="4" t="s">
        <v>14</v>
      </c>
      <c r="H559" s="4">
        <v>1</v>
      </c>
      <c r="I559" s="4">
        <v>25</v>
      </c>
      <c r="J559" s="4">
        <v>25</v>
      </c>
      <c r="K559" s="4" t="str" cm="1">
        <f t="array" ref="K559">_xlfn.IFS(AND(Table1567[[#This Row],[Total Amount]]&gt;=1500),"Critical",AND(Table1567[[#This Row],[Total Amount]]&gt;=1000),"High",TRUE,"Normal")</f>
        <v>Normal</v>
      </c>
      <c r="L559" s="4" t="str">
        <f>IF(Table1567[[#This Row],[Total Amount]]&gt;=1000,"High",(IF(Table1567[[#This Row],[Total Amount]]&gt;=500,"Medium","Low")))</f>
        <v>Low</v>
      </c>
      <c r="M559" s="4" t="str" cm="1">
        <f t="array" ref="M55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59" s="4" cm="1">
        <f t="array" ref="N55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559" s="4">
        <f>Table1567[[#This Row],[Total Amount]]-Table1567[[#This Row],[Discount Amount]]</f>
        <v>20</v>
      </c>
      <c r="P559" s="4" t="str">
        <f>IF(Table1567[[#This Row],[Total Amount]]&gt;=1000,"High","Low")</f>
        <v>Low</v>
      </c>
      <c r="Q559" s="4" t="str" cm="1">
        <f t="array" ref="Q559">_xlfn.IFS(AND(Table1567[[#This Row],[Total Amount]]&gt;=1500,"Critical"),AND(Table1567[[#This Row],[Total Amount]]&gt;=1000,"High"),TRUE,"Normal")</f>
        <v>Normal</v>
      </c>
      <c r="R559" s="4" t="str">
        <f>CONCATENATE(Table1567[[#This Row],[Customer ID]], "-",Table1567[[#This Row],[Age]])</f>
        <v>CUST558-41</v>
      </c>
      <c r="S559" s="4" t="str">
        <f>TEXT(Table1567[[#This Row],[Date]],"mmm")</f>
        <v>Oct</v>
      </c>
      <c r="T559" s="4" t="str">
        <f>TEXT(Table1567[[#This Row],[Date]],"DDD")</f>
        <v>Sun</v>
      </c>
    </row>
    <row r="560" spans="1:20" ht="29" x14ac:dyDescent="0.35">
      <c r="A560" s="4">
        <v>559</v>
      </c>
      <c r="B560" s="5">
        <v>44927</v>
      </c>
      <c r="C560" s="4" t="s">
        <v>572</v>
      </c>
      <c r="D560" s="4" t="s">
        <v>13</v>
      </c>
      <c r="E560" s="4">
        <v>40</v>
      </c>
      <c r="F560" s="4" t="str">
        <f>IF(Table1567[[#This Row],[Age]]&lt;=19,"Teenager",IF(Table1567[[#This Row],[Age]]&lt;=40,"Median","Old"))</f>
        <v>Median</v>
      </c>
      <c r="G560" s="4" t="s">
        <v>14</v>
      </c>
      <c r="H560" s="4">
        <v>4</v>
      </c>
      <c r="I560" s="4">
        <v>300</v>
      </c>
      <c r="J560" s="4">
        <v>1200</v>
      </c>
      <c r="K560" s="4" t="str" cm="1">
        <f t="array" ref="K560">_xlfn.IFS(AND(Table1567[[#This Row],[Total Amount]]&gt;=1500),"Critical",AND(Table1567[[#This Row],[Total Amount]]&gt;=1000),"High",TRUE,"Normal")</f>
        <v>High</v>
      </c>
      <c r="L560" s="4" t="str">
        <f>IF(Table1567[[#This Row],[Total Amount]]&gt;=1000,"High",(IF(Table1567[[#This Row],[Total Amount]]&gt;=500,"Medium","Low")))</f>
        <v>High</v>
      </c>
      <c r="M560" s="4" t="str" cm="1">
        <f t="array" ref="M56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60" s="4" cm="1">
        <f t="array" ref="N56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240</v>
      </c>
      <c r="O560" s="4">
        <f>Table1567[[#This Row],[Total Amount]]-Table1567[[#This Row],[Discount Amount]]</f>
        <v>960</v>
      </c>
      <c r="P560" s="4" t="str">
        <f>IF(Table1567[[#This Row],[Total Amount]]&gt;=1000,"High","Low")</f>
        <v>High</v>
      </c>
      <c r="Q560" s="4" t="str" cm="1">
        <f t="array" ref="Q560">_xlfn.IFS(AND(Table1567[[#This Row],[Total Amount]]&gt;=1500,"Critical"),AND(Table1567[[#This Row],[Total Amount]]&gt;=1000,"High"),TRUE,"Normal")</f>
        <v>Normal</v>
      </c>
      <c r="R560" s="4" t="str">
        <f>CONCATENATE(Table1567[[#This Row],[Customer ID]], "-",Table1567[[#This Row],[Age]])</f>
        <v>CUST559-40</v>
      </c>
      <c r="S560" s="4" t="str">
        <f>TEXT(Table1567[[#This Row],[Date]],"mmm")</f>
        <v>Jan</v>
      </c>
      <c r="T560" s="4" t="str">
        <f>TEXT(Table1567[[#This Row],[Date]],"DDD")</f>
        <v>Sun</v>
      </c>
    </row>
    <row r="561" spans="1:20" ht="29" x14ac:dyDescent="0.35">
      <c r="A561" s="4">
        <v>560</v>
      </c>
      <c r="B561" s="5">
        <v>45082</v>
      </c>
      <c r="C561" s="4" t="s">
        <v>573</v>
      </c>
      <c r="D561" s="4" t="s">
        <v>13</v>
      </c>
      <c r="E561" s="4">
        <v>25</v>
      </c>
      <c r="F561" s="4" t="str">
        <f>IF(Table1567[[#This Row],[Age]]&lt;=19,"Teenager",IF(Table1567[[#This Row],[Age]]&lt;=40,"Median","Old"))</f>
        <v>Median</v>
      </c>
      <c r="G561" s="4" t="s">
        <v>16</v>
      </c>
      <c r="H561" s="4">
        <v>1</v>
      </c>
      <c r="I561" s="4">
        <v>50</v>
      </c>
      <c r="J561" s="4">
        <v>50</v>
      </c>
      <c r="K561" s="4" t="str" cm="1">
        <f t="array" ref="K561">_xlfn.IFS(AND(Table1567[[#This Row],[Total Amount]]&gt;=1500),"Critical",AND(Table1567[[#This Row],[Total Amount]]&gt;=1000),"High",TRUE,"Normal")</f>
        <v>Normal</v>
      </c>
      <c r="L561" s="4" t="str">
        <f>IF(Table1567[[#This Row],[Total Amount]]&gt;=1000,"High",(IF(Table1567[[#This Row],[Total Amount]]&gt;=500,"Medium","Low")))</f>
        <v>Low</v>
      </c>
      <c r="M561" s="4" t="str" cm="1">
        <f t="array" ref="M56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61" s="4" cm="1">
        <f t="array" ref="N56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561" s="4">
        <f>Table1567[[#This Row],[Total Amount]]-Table1567[[#This Row],[Discount Amount]]</f>
        <v>42.5</v>
      </c>
      <c r="P561" s="4" t="str">
        <f>IF(Table1567[[#This Row],[Total Amount]]&gt;=1000,"High","Low")</f>
        <v>Low</v>
      </c>
      <c r="Q561" s="4" t="str" cm="1">
        <f t="array" ref="Q561">_xlfn.IFS(AND(Table1567[[#This Row],[Total Amount]]&gt;=1500,"Critical"),AND(Table1567[[#This Row],[Total Amount]]&gt;=1000,"High"),TRUE,"Normal")</f>
        <v>Normal</v>
      </c>
      <c r="R561" s="4" t="str">
        <f>CONCATENATE(Table1567[[#This Row],[Customer ID]], "-",Table1567[[#This Row],[Age]])</f>
        <v>CUST560-25</v>
      </c>
      <c r="S561" s="4" t="str">
        <f>TEXT(Table1567[[#This Row],[Date]],"mmm")</f>
        <v>Jun</v>
      </c>
      <c r="T561" s="4" t="str">
        <f>TEXT(Table1567[[#This Row],[Date]],"DDD")</f>
        <v>Mon</v>
      </c>
    </row>
    <row r="562" spans="1:20" ht="29" x14ac:dyDescent="0.35">
      <c r="A562" s="4">
        <v>561</v>
      </c>
      <c r="B562" s="5">
        <v>45073</v>
      </c>
      <c r="C562" s="4" t="s">
        <v>574</v>
      </c>
      <c r="D562" s="4" t="s">
        <v>13</v>
      </c>
      <c r="E562" s="4">
        <v>64</v>
      </c>
      <c r="F562" s="4" t="str">
        <f>IF(Table1567[[#This Row],[Age]]&lt;=19,"Teenager",IF(Table1567[[#This Row],[Age]]&lt;=40,"Median","Old"))</f>
        <v>Old</v>
      </c>
      <c r="G562" s="4" t="s">
        <v>14</v>
      </c>
      <c r="H562" s="4">
        <v>4</v>
      </c>
      <c r="I562" s="4">
        <v>500</v>
      </c>
      <c r="J562" s="4">
        <v>2000</v>
      </c>
      <c r="K562" s="4" t="str" cm="1">
        <f t="array" ref="K562">_xlfn.IFS(AND(Table1567[[#This Row],[Total Amount]]&gt;=1500),"Critical",AND(Table1567[[#This Row],[Total Amount]]&gt;=1000),"High",TRUE,"Normal")</f>
        <v>Critical</v>
      </c>
      <c r="L562" s="4" t="str">
        <f>IF(Table1567[[#This Row],[Total Amount]]&gt;=1000,"High",(IF(Table1567[[#This Row],[Total Amount]]&gt;=500,"Medium","Low")))</f>
        <v>High</v>
      </c>
      <c r="M562" s="4" t="str" cm="1">
        <f t="array" ref="M56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62" s="4" cm="1">
        <f t="array" ref="N56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400</v>
      </c>
      <c r="O562" s="4">
        <f>Table1567[[#This Row],[Total Amount]]-Table1567[[#This Row],[Discount Amount]]</f>
        <v>1600</v>
      </c>
      <c r="P562" s="4" t="str">
        <f>IF(Table1567[[#This Row],[Total Amount]]&gt;=1000,"High","Low")</f>
        <v>High</v>
      </c>
      <c r="Q562" s="4" t="b" cm="1">
        <f t="array" ref="Q562">_xlfn.IFS(AND(Table1567[[#This Row],[Total Amount]]&gt;=1500,"Critical"),AND(Table1567[[#This Row],[Total Amount]]&gt;=1000,"High"),TRUE,"Normal")</f>
        <v>1</v>
      </c>
      <c r="R562" s="4" t="str">
        <f>CONCATENATE(Table1567[[#This Row],[Customer ID]], "-",Table1567[[#This Row],[Age]])</f>
        <v>CUST561-64</v>
      </c>
      <c r="S562" s="4" t="str">
        <f>TEXT(Table1567[[#This Row],[Date]],"mmm")</f>
        <v>May</v>
      </c>
      <c r="T562" s="4" t="str">
        <f>TEXT(Table1567[[#This Row],[Date]],"DDD")</f>
        <v>Sat</v>
      </c>
    </row>
    <row r="563" spans="1:20" ht="29" x14ac:dyDescent="0.35">
      <c r="A563" s="4">
        <v>562</v>
      </c>
      <c r="B563" s="5">
        <v>45034</v>
      </c>
      <c r="C563" s="4" t="s">
        <v>575</v>
      </c>
      <c r="D563" s="4" t="s">
        <v>10</v>
      </c>
      <c r="E563" s="4">
        <v>54</v>
      </c>
      <c r="F563" s="4" t="str">
        <f>IF(Table1567[[#This Row],[Age]]&lt;=19,"Teenager",IF(Table1567[[#This Row],[Age]]&lt;=40,"Median","Old"))</f>
        <v>Old</v>
      </c>
      <c r="G563" s="4" t="s">
        <v>16</v>
      </c>
      <c r="H563" s="4">
        <v>2</v>
      </c>
      <c r="I563" s="4">
        <v>25</v>
      </c>
      <c r="J563" s="4">
        <v>50</v>
      </c>
      <c r="K563" s="4" t="str" cm="1">
        <f t="array" ref="K563">_xlfn.IFS(AND(Table1567[[#This Row],[Total Amount]]&gt;=1500),"Critical",AND(Table1567[[#This Row],[Total Amount]]&gt;=1000),"High",TRUE,"Normal")</f>
        <v>Normal</v>
      </c>
      <c r="L563" s="4" t="str">
        <f>IF(Table1567[[#This Row],[Total Amount]]&gt;=1000,"High",(IF(Table1567[[#This Row],[Total Amount]]&gt;=500,"Medium","Low")))</f>
        <v>Low</v>
      </c>
      <c r="M563" s="4" t="str" cm="1">
        <f t="array" ref="M56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63" s="4" cm="1">
        <f t="array" ref="N56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563" s="4">
        <f>Table1567[[#This Row],[Total Amount]]-Table1567[[#This Row],[Discount Amount]]</f>
        <v>45</v>
      </c>
      <c r="P563" s="4" t="str">
        <f>IF(Table1567[[#This Row],[Total Amount]]&gt;=1000,"High","Low")</f>
        <v>Low</v>
      </c>
      <c r="Q563" s="4" t="str" cm="1">
        <f t="array" ref="Q563">_xlfn.IFS(AND(Table1567[[#This Row],[Total Amount]]&gt;=1500,"Critical"),AND(Table1567[[#This Row],[Total Amount]]&gt;=1000,"High"),TRUE,"Normal")</f>
        <v>Normal</v>
      </c>
      <c r="R563" s="4" t="str">
        <f>CONCATENATE(Table1567[[#This Row],[Customer ID]], "-",Table1567[[#This Row],[Age]])</f>
        <v>CUST562-54</v>
      </c>
      <c r="S563" s="4" t="str">
        <f>TEXT(Table1567[[#This Row],[Date]],"mmm")</f>
        <v>Apr</v>
      </c>
      <c r="T563" s="4" t="str">
        <f>TEXT(Table1567[[#This Row],[Date]],"DDD")</f>
        <v>Tue</v>
      </c>
    </row>
    <row r="564" spans="1:20" ht="29" x14ac:dyDescent="0.35">
      <c r="A564" s="4">
        <v>563</v>
      </c>
      <c r="B564" s="5">
        <v>45147</v>
      </c>
      <c r="C564" s="4" t="s">
        <v>576</v>
      </c>
      <c r="D564" s="4" t="s">
        <v>10</v>
      </c>
      <c r="E564" s="4">
        <v>20</v>
      </c>
      <c r="F564" s="4" t="str">
        <f>IF(Table1567[[#This Row],[Age]]&lt;=19,"Teenager",IF(Table1567[[#This Row],[Age]]&lt;=40,"Median","Old"))</f>
        <v>Median</v>
      </c>
      <c r="G564" s="4" t="s">
        <v>14</v>
      </c>
      <c r="H564" s="4">
        <v>2</v>
      </c>
      <c r="I564" s="4">
        <v>30</v>
      </c>
      <c r="J564" s="4">
        <v>60</v>
      </c>
      <c r="K564" s="4" t="str" cm="1">
        <f t="array" ref="K564">_xlfn.IFS(AND(Table1567[[#This Row],[Total Amount]]&gt;=1500),"Critical",AND(Table1567[[#This Row],[Total Amount]]&gt;=1000),"High",TRUE,"Normal")</f>
        <v>Normal</v>
      </c>
      <c r="L564" s="4" t="str">
        <f>IF(Table1567[[#This Row],[Total Amount]]&gt;=1000,"High",(IF(Table1567[[#This Row],[Total Amount]]&gt;=500,"Medium","Low")))</f>
        <v>Low</v>
      </c>
      <c r="M564" s="4" t="str" cm="1">
        <f t="array" ref="M56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564" s="4" cm="1">
        <f t="array" ref="N56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564" s="4">
        <f>Table1567[[#This Row],[Total Amount]]-Table1567[[#This Row],[Discount Amount]]</f>
        <v>60</v>
      </c>
      <c r="P564" s="4" t="str">
        <f>IF(Table1567[[#This Row],[Total Amount]]&gt;=1000,"High","Low")</f>
        <v>Low</v>
      </c>
      <c r="Q564" s="4" t="str" cm="1">
        <f t="array" ref="Q564">_xlfn.IFS(AND(Table1567[[#This Row],[Total Amount]]&gt;=1500,"Critical"),AND(Table1567[[#This Row],[Total Amount]]&gt;=1000,"High"),TRUE,"Normal")</f>
        <v>Normal</v>
      </c>
      <c r="R564" s="4" t="str">
        <f>CONCATENATE(Table1567[[#This Row],[Customer ID]], "-",Table1567[[#This Row],[Age]])</f>
        <v>CUST563-20</v>
      </c>
      <c r="S564" s="4" t="str">
        <f>TEXT(Table1567[[#This Row],[Date]],"mmm")</f>
        <v>Aug</v>
      </c>
      <c r="T564" s="4" t="str">
        <f>TEXT(Table1567[[#This Row],[Date]],"DDD")</f>
        <v>Wed</v>
      </c>
    </row>
    <row r="565" spans="1:20" ht="29" x14ac:dyDescent="0.35">
      <c r="A565" s="4">
        <v>564</v>
      </c>
      <c r="B565" s="5">
        <v>45223</v>
      </c>
      <c r="C565" s="4" t="s">
        <v>577</v>
      </c>
      <c r="D565" s="4" t="s">
        <v>10</v>
      </c>
      <c r="E565" s="4">
        <v>50</v>
      </c>
      <c r="F565" s="4" t="str">
        <f>IF(Table1567[[#This Row],[Age]]&lt;=19,"Teenager",IF(Table1567[[#This Row],[Age]]&lt;=40,"Median","Old"))</f>
        <v>Old</v>
      </c>
      <c r="G565" s="4" t="s">
        <v>16</v>
      </c>
      <c r="H565" s="4">
        <v>2</v>
      </c>
      <c r="I565" s="4">
        <v>50</v>
      </c>
      <c r="J565" s="4">
        <v>100</v>
      </c>
      <c r="K565" s="4" t="str" cm="1">
        <f t="array" ref="K565">_xlfn.IFS(AND(Table1567[[#This Row],[Total Amount]]&gt;=1500),"Critical",AND(Table1567[[#This Row],[Total Amount]]&gt;=1000),"High",TRUE,"Normal")</f>
        <v>Normal</v>
      </c>
      <c r="L565" s="4" t="str">
        <f>IF(Table1567[[#This Row],[Total Amount]]&gt;=1000,"High",(IF(Table1567[[#This Row],[Total Amount]]&gt;=500,"Medium","Low")))</f>
        <v>Low</v>
      </c>
      <c r="M565" s="4" t="str" cm="1">
        <f t="array" ref="M56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65" s="4" cm="1">
        <f t="array" ref="N56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565" s="4">
        <f>Table1567[[#This Row],[Total Amount]]-Table1567[[#This Row],[Discount Amount]]</f>
        <v>90</v>
      </c>
      <c r="P565" s="4" t="str">
        <f>IF(Table1567[[#This Row],[Total Amount]]&gt;=1000,"High","Low")</f>
        <v>Low</v>
      </c>
      <c r="Q565" s="4" t="str" cm="1">
        <f t="array" ref="Q565">_xlfn.IFS(AND(Table1567[[#This Row],[Total Amount]]&gt;=1500,"Critical"),AND(Table1567[[#This Row],[Total Amount]]&gt;=1000,"High"),TRUE,"Normal")</f>
        <v>Normal</v>
      </c>
      <c r="R565" s="4" t="str">
        <f>CONCATENATE(Table1567[[#This Row],[Customer ID]], "-",Table1567[[#This Row],[Age]])</f>
        <v>CUST564-50</v>
      </c>
      <c r="S565" s="4" t="str">
        <f>TEXT(Table1567[[#This Row],[Date]],"mmm")</f>
        <v>Oct</v>
      </c>
      <c r="T565" s="4" t="str">
        <f>TEXT(Table1567[[#This Row],[Date]],"DDD")</f>
        <v>Tue</v>
      </c>
    </row>
    <row r="566" spans="1:20" ht="29" x14ac:dyDescent="0.35">
      <c r="A566" s="4">
        <v>565</v>
      </c>
      <c r="B566" s="5">
        <v>45237</v>
      </c>
      <c r="C566" s="4" t="s">
        <v>578</v>
      </c>
      <c r="D566" s="4" t="s">
        <v>13</v>
      </c>
      <c r="E566" s="4">
        <v>45</v>
      </c>
      <c r="F566" s="4" t="str">
        <f>IF(Table1567[[#This Row],[Age]]&lt;=19,"Teenager",IF(Table1567[[#This Row],[Age]]&lt;=40,"Median","Old"))</f>
        <v>Old</v>
      </c>
      <c r="G566" s="4" t="s">
        <v>11</v>
      </c>
      <c r="H566" s="4">
        <v>2</v>
      </c>
      <c r="I566" s="4">
        <v>30</v>
      </c>
      <c r="J566" s="4">
        <v>60</v>
      </c>
      <c r="K566" s="4" t="str" cm="1">
        <f t="array" ref="K566">_xlfn.IFS(AND(Table1567[[#This Row],[Total Amount]]&gt;=1500),"Critical",AND(Table1567[[#This Row],[Total Amount]]&gt;=1000),"High",TRUE,"Normal")</f>
        <v>Normal</v>
      </c>
      <c r="L566" s="4" t="str">
        <f>IF(Table1567[[#This Row],[Total Amount]]&gt;=1000,"High",(IF(Table1567[[#This Row],[Total Amount]]&gt;=500,"Medium","Low")))</f>
        <v>Low</v>
      </c>
      <c r="M566" s="4" t="str" cm="1">
        <f t="array" ref="M56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66" s="4" cm="1">
        <f t="array" ref="N56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566" s="4">
        <f>Table1567[[#This Row],[Total Amount]]-Table1567[[#This Row],[Discount Amount]]</f>
        <v>48</v>
      </c>
      <c r="P566" s="4" t="str">
        <f>IF(Table1567[[#This Row],[Total Amount]]&gt;=1000,"High","Low")</f>
        <v>Low</v>
      </c>
      <c r="Q566" s="4" t="str" cm="1">
        <f t="array" ref="Q566">_xlfn.IFS(AND(Table1567[[#This Row],[Total Amount]]&gt;=1500,"Critical"),AND(Table1567[[#This Row],[Total Amount]]&gt;=1000,"High"),TRUE,"Normal")</f>
        <v>Normal</v>
      </c>
      <c r="R566" s="4" t="str">
        <f>CONCATENATE(Table1567[[#This Row],[Customer ID]], "-",Table1567[[#This Row],[Age]])</f>
        <v>CUST565-45</v>
      </c>
      <c r="S566" s="4" t="str">
        <f>TEXT(Table1567[[#This Row],[Date]],"mmm")</f>
        <v>Nov</v>
      </c>
      <c r="T566" s="4" t="str">
        <f>TEXT(Table1567[[#This Row],[Date]],"DDD")</f>
        <v>Tue</v>
      </c>
    </row>
    <row r="567" spans="1:20" ht="29" x14ac:dyDescent="0.35">
      <c r="A567" s="4">
        <v>566</v>
      </c>
      <c r="B567" s="5">
        <v>45262</v>
      </c>
      <c r="C567" s="4" t="s">
        <v>579</v>
      </c>
      <c r="D567" s="4" t="s">
        <v>13</v>
      </c>
      <c r="E567" s="4">
        <v>64</v>
      </c>
      <c r="F567" s="4" t="str">
        <f>IF(Table1567[[#This Row],[Age]]&lt;=19,"Teenager",IF(Table1567[[#This Row],[Age]]&lt;=40,"Median","Old"))</f>
        <v>Old</v>
      </c>
      <c r="G567" s="4" t="s">
        <v>14</v>
      </c>
      <c r="H567" s="4">
        <v>1</v>
      </c>
      <c r="I567" s="4">
        <v>30</v>
      </c>
      <c r="J567" s="4">
        <v>30</v>
      </c>
      <c r="K567" s="4" t="str" cm="1">
        <f t="array" ref="K567">_xlfn.IFS(AND(Table1567[[#This Row],[Total Amount]]&gt;=1500),"Critical",AND(Table1567[[#This Row],[Total Amount]]&gt;=1000),"High",TRUE,"Normal")</f>
        <v>Normal</v>
      </c>
      <c r="L567" s="4" t="str">
        <f>IF(Table1567[[#This Row],[Total Amount]]&gt;=1000,"High",(IF(Table1567[[#This Row],[Total Amount]]&gt;=500,"Medium","Low")))</f>
        <v>Low</v>
      </c>
      <c r="M567" s="4" t="str" cm="1">
        <f t="array" ref="M56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67" s="4" cm="1">
        <f t="array" ref="N56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567" s="4">
        <f>Table1567[[#This Row],[Total Amount]]-Table1567[[#This Row],[Discount Amount]]</f>
        <v>24</v>
      </c>
      <c r="P567" s="4" t="str">
        <f>IF(Table1567[[#This Row],[Total Amount]]&gt;=1000,"High","Low")</f>
        <v>Low</v>
      </c>
      <c r="Q567" s="4" t="str" cm="1">
        <f t="array" ref="Q567">_xlfn.IFS(AND(Table1567[[#This Row],[Total Amount]]&gt;=1500,"Critical"),AND(Table1567[[#This Row],[Total Amount]]&gt;=1000,"High"),TRUE,"Normal")</f>
        <v>Normal</v>
      </c>
      <c r="R567" s="4" t="str">
        <f>CONCATENATE(Table1567[[#This Row],[Customer ID]], "-",Table1567[[#This Row],[Age]])</f>
        <v>CUST566-64</v>
      </c>
      <c r="S567" s="4" t="str">
        <f>TEXT(Table1567[[#This Row],[Date]],"mmm")</f>
        <v>Dec</v>
      </c>
      <c r="T567" s="4" t="str">
        <f>TEXT(Table1567[[#This Row],[Date]],"DDD")</f>
        <v>Sat</v>
      </c>
    </row>
    <row r="568" spans="1:20" ht="29" x14ac:dyDescent="0.35">
      <c r="A568" s="4">
        <v>567</v>
      </c>
      <c r="B568" s="5">
        <v>45091</v>
      </c>
      <c r="C568" s="4" t="s">
        <v>580</v>
      </c>
      <c r="D568" s="4" t="s">
        <v>13</v>
      </c>
      <c r="E568" s="4">
        <v>25</v>
      </c>
      <c r="F568" s="4" t="str">
        <f>IF(Table1567[[#This Row],[Age]]&lt;=19,"Teenager",IF(Table1567[[#This Row],[Age]]&lt;=40,"Median","Old"))</f>
        <v>Median</v>
      </c>
      <c r="G568" s="4" t="s">
        <v>14</v>
      </c>
      <c r="H568" s="4">
        <v>3</v>
      </c>
      <c r="I568" s="4">
        <v>300</v>
      </c>
      <c r="J568" s="4">
        <v>900</v>
      </c>
      <c r="K568" s="4" t="str" cm="1">
        <f t="array" ref="K568">_xlfn.IFS(AND(Table1567[[#This Row],[Total Amount]]&gt;=1500),"Critical",AND(Table1567[[#This Row],[Total Amount]]&gt;=1000),"High",TRUE,"Normal")</f>
        <v>Normal</v>
      </c>
      <c r="L568" s="4" t="str">
        <f>IF(Table1567[[#This Row],[Total Amount]]&gt;=1000,"High",(IF(Table1567[[#This Row],[Total Amount]]&gt;=500,"Medium","Low")))</f>
        <v>Medium</v>
      </c>
      <c r="M568" s="4" t="str" cm="1">
        <f t="array" ref="M56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68" s="4" cm="1">
        <f t="array" ref="N56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135</v>
      </c>
      <c r="O568" s="4">
        <f>Table1567[[#This Row],[Total Amount]]-Table1567[[#This Row],[Discount Amount]]</f>
        <v>765</v>
      </c>
      <c r="P568" s="4" t="str">
        <f>IF(Table1567[[#This Row],[Total Amount]]&gt;=1000,"High","Low")</f>
        <v>Low</v>
      </c>
      <c r="Q568" s="4" t="str" cm="1">
        <f t="array" ref="Q568">_xlfn.IFS(AND(Table1567[[#This Row],[Total Amount]]&gt;=1500,"Critical"),AND(Table1567[[#This Row],[Total Amount]]&gt;=1000,"High"),TRUE,"Normal")</f>
        <v>Normal</v>
      </c>
      <c r="R568" s="4" t="str">
        <f>CONCATENATE(Table1567[[#This Row],[Customer ID]], "-",Table1567[[#This Row],[Age]])</f>
        <v>CUST567-25</v>
      </c>
      <c r="S568" s="4" t="str">
        <f>TEXT(Table1567[[#This Row],[Date]],"mmm")</f>
        <v>Jun</v>
      </c>
      <c r="T568" s="4" t="str">
        <f>TEXT(Table1567[[#This Row],[Date]],"DDD")</f>
        <v>Wed</v>
      </c>
    </row>
    <row r="569" spans="1:20" ht="29" x14ac:dyDescent="0.35">
      <c r="A569" s="4">
        <v>568</v>
      </c>
      <c r="B569" s="5">
        <v>45165</v>
      </c>
      <c r="C569" s="4" t="s">
        <v>581</v>
      </c>
      <c r="D569" s="4" t="s">
        <v>13</v>
      </c>
      <c r="E569" s="4">
        <v>51</v>
      </c>
      <c r="F569" s="4" t="str">
        <f>IF(Table1567[[#This Row],[Age]]&lt;=19,"Teenager",IF(Table1567[[#This Row],[Age]]&lt;=40,"Median","Old"))</f>
        <v>Old</v>
      </c>
      <c r="G569" s="4" t="s">
        <v>16</v>
      </c>
      <c r="H569" s="4">
        <v>1</v>
      </c>
      <c r="I569" s="4">
        <v>300</v>
      </c>
      <c r="J569" s="4">
        <v>300</v>
      </c>
      <c r="K569" s="4" t="str" cm="1">
        <f t="array" ref="K569">_xlfn.IFS(AND(Table1567[[#This Row],[Total Amount]]&gt;=1500),"Critical",AND(Table1567[[#This Row],[Total Amount]]&gt;=1000),"High",TRUE,"Normal")</f>
        <v>Normal</v>
      </c>
      <c r="L569" s="4" t="str">
        <f>IF(Table1567[[#This Row],[Total Amount]]&gt;=1000,"High",(IF(Table1567[[#This Row],[Total Amount]]&gt;=500,"Medium","Low")))</f>
        <v>Low</v>
      </c>
      <c r="M569" s="4" t="str" cm="1">
        <f t="array" ref="M56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69" s="4" cm="1">
        <f t="array" ref="N56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569" s="4">
        <f>Table1567[[#This Row],[Total Amount]]-Table1567[[#This Row],[Discount Amount]]</f>
        <v>240</v>
      </c>
      <c r="P569" s="4" t="str">
        <f>IF(Table1567[[#This Row],[Total Amount]]&gt;=1000,"High","Low")</f>
        <v>Low</v>
      </c>
      <c r="Q569" s="4" t="str" cm="1">
        <f t="array" ref="Q569">_xlfn.IFS(AND(Table1567[[#This Row],[Total Amount]]&gt;=1500,"Critical"),AND(Table1567[[#This Row],[Total Amount]]&gt;=1000,"High"),TRUE,"Normal")</f>
        <v>Normal</v>
      </c>
      <c r="R569" s="4" t="str">
        <f>CONCATENATE(Table1567[[#This Row],[Customer ID]], "-",Table1567[[#This Row],[Age]])</f>
        <v>CUST568-51</v>
      </c>
      <c r="S569" s="4" t="str">
        <f>TEXT(Table1567[[#This Row],[Date]],"mmm")</f>
        <v>Aug</v>
      </c>
      <c r="T569" s="4" t="str">
        <f>TEXT(Table1567[[#This Row],[Date]],"DDD")</f>
        <v>Sun</v>
      </c>
    </row>
    <row r="570" spans="1:20" ht="29" x14ac:dyDescent="0.35">
      <c r="A570" s="4">
        <v>569</v>
      </c>
      <c r="B570" s="5">
        <v>45153</v>
      </c>
      <c r="C570" s="4" t="s">
        <v>582</v>
      </c>
      <c r="D570" s="4" t="s">
        <v>10</v>
      </c>
      <c r="E570" s="4">
        <v>52</v>
      </c>
      <c r="F570" s="4" t="str">
        <f>IF(Table1567[[#This Row],[Age]]&lt;=19,"Teenager",IF(Table1567[[#This Row],[Age]]&lt;=40,"Median","Old"))</f>
        <v>Old</v>
      </c>
      <c r="G570" s="4" t="s">
        <v>16</v>
      </c>
      <c r="H570" s="4">
        <v>4</v>
      </c>
      <c r="I570" s="4">
        <v>50</v>
      </c>
      <c r="J570" s="4">
        <v>200</v>
      </c>
      <c r="K570" s="4" t="str" cm="1">
        <f t="array" ref="K570">_xlfn.IFS(AND(Table1567[[#This Row],[Total Amount]]&gt;=1500),"Critical",AND(Table1567[[#This Row],[Total Amount]]&gt;=1000),"High",TRUE,"Normal")</f>
        <v>Normal</v>
      </c>
      <c r="L570" s="4" t="str">
        <f>IF(Table1567[[#This Row],[Total Amount]]&gt;=1000,"High",(IF(Table1567[[#This Row],[Total Amount]]&gt;=500,"Medium","Low")))</f>
        <v>Low</v>
      </c>
      <c r="M570" s="4" t="str" cm="1">
        <f t="array" ref="M57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70" s="4" cm="1">
        <f t="array" ref="N57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570" s="4">
        <f>Table1567[[#This Row],[Total Amount]]-Table1567[[#This Row],[Discount Amount]]</f>
        <v>180</v>
      </c>
      <c r="P570" s="4" t="str">
        <f>IF(Table1567[[#This Row],[Total Amount]]&gt;=1000,"High","Low")</f>
        <v>Low</v>
      </c>
      <c r="Q570" s="4" t="str" cm="1">
        <f t="array" ref="Q570">_xlfn.IFS(AND(Table1567[[#This Row],[Total Amount]]&gt;=1500,"Critical"),AND(Table1567[[#This Row],[Total Amount]]&gt;=1000,"High"),TRUE,"Normal")</f>
        <v>Normal</v>
      </c>
      <c r="R570" s="4" t="str">
        <f>CONCATENATE(Table1567[[#This Row],[Customer ID]], "-",Table1567[[#This Row],[Age]])</f>
        <v>CUST569-52</v>
      </c>
      <c r="S570" s="4" t="str">
        <f>TEXT(Table1567[[#This Row],[Date]],"mmm")</f>
        <v>Aug</v>
      </c>
      <c r="T570" s="4" t="str">
        <f>TEXT(Table1567[[#This Row],[Date]],"DDD")</f>
        <v>Tue</v>
      </c>
    </row>
    <row r="571" spans="1:20" ht="29" x14ac:dyDescent="0.35">
      <c r="A571" s="4">
        <v>570</v>
      </c>
      <c r="B571" s="5">
        <v>45153</v>
      </c>
      <c r="C571" s="4" t="s">
        <v>583</v>
      </c>
      <c r="D571" s="4" t="s">
        <v>10</v>
      </c>
      <c r="E571" s="4">
        <v>49</v>
      </c>
      <c r="F571" s="4" t="str">
        <f>IF(Table1567[[#This Row],[Age]]&lt;=19,"Teenager",IF(Table1567[[#This Row],[Age]]&lt;=40,"Median","Old"))</f>
        <v>Old</v>
      </c>
      <c r="G571" s="4" t="s">
        <v>14</v>
      </c>
      <c r="H571" s="4">
        <v>1</v>
      </c>
      <c r="I571" s="4">
        <v>500</v>
      </c>
      <c r="J571" s="4">
        <v>500</v>
      </c>
      <c r="K571" s="4" t="str" cm="1">
        <f t="array" ref="K571">_xlfn.IFS(AND(Table1567[[#This Row],[Total Amount]]&gt;=1500),"Critical",AND(Table1567[[#This Row],[Total Amount]]&gt;=1000),"High",TRUE,"Normal")</f>
        <v>Normal</v>
      </c>
      <c r="L571" s="4" t="str">
        <f>IF(Table1567[[#This Row],[Total Amount]]&gt;=1000,"High",(IF(Table1567[[#This Row],[Total Amount]]&gt;=500,"Medium","Low")))</f>
        <v>Medium</v>
      </c>
      <c r="M571" s="4" t="str" cm="1">
        <f t="array" ref="M57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71" s="4" cm="1">
        <f t="array" ref="N57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50</v>
      </c>
      <c r="O571" s="4">
        <f>Table1567[[#This Row],[Total Amount]]-Table1567[[#This Row],[Discount Amount]]</f>
        <v>450</v>
      </c>
      <c r="P571" s="4" t="str">
        <f>IF(Table1567[[#This Row],[Total Amount]]&gt;=1000,"High","Low")</f>
        <v>Low</v>
      </c>
      <c r="Q571" s="4" t="str" cm="1">
        <f t="array" ref="Q571">_xlfn.IFS(AND(Table1567[[#This Row],[Total Amount]]&gt;=1500,"Critical"),AND(Table1567[[#This Row],[Total Amount]]&gt;=1000,"High"),TRUE,"Normal")</f>
        <v>Normal</v>
      </c>
      <c r="R571" s="4" t="str">
        <f>CONCATENATE(Table1567[[#This Row],[Customer ID]], "-",Table1567[[#This Row],[Age]])</f>
        <v>CUST570-49</v>
      </c>
      <c r="S571" s="4" t="str">
        <f>TEXT(Table1567[[#This Row],[Date]],"mmm")</f>
        <v>Aug</v>
      </c>
      <c r="T571" s="4" t="str">
        <f>TEXT(Table1567[[#This Row],[Date]],"DDD")</f>
        <v>Tue</v>
      </c>
    </row>
    <row r="572" spans="1:20" ht="29" x14ac:dyDescent="0.35">
      <c r="A572" s="4">
        <v>571</v>
      </c>
      <c r="B572" s="5">
        <v>45272</v>
      </c>
      <c r="C572" s="4" t="s">
        <v>584</v>
      </c>
      <c r="D572" s="4" t="s">
        <v>13</v>
      </c>
      <c r="E572" s="4">
        <v>41</v>
      </c>
      <c r="F572" s="4" t="str">
        <f>IF(Table1567[[#This Row],[Age]]&lt;=19,"Teenager",IF(Table1567[[#This Row],[Age]]&lt;=40,"Median","Old"))</f>
        <v>Old</v>
      </c>
      <c r="G572" s="4" t="s">
        <v>16</v>
      </c>
      <c r="H572" s="4">
        <v>1</v>
      </c>
      <c r="I572" s="4">
        <v>50</v>
      </c>
      <c r="J572" s="4">
        <v>50</v>
      </c>
      <c r="K572" s="4" t="str" cm="1">
        <f t="array" ref="K572">_xlfn.IFS(AND(Table1567[[#This Row],[Total Amount]]&gt;=1500),"Critical",AND(Table1567[[#This Row],[Total Amount]]&gt;=1000),"High",TRUE,"Normal")</f>
        <v>Normal</v>
      </c>
      <c r="L572" s="4" t="str">
        <f>IF(Table1567[[#This Row],[Total Amount]]&gt;=1000,"High",(IF(Table1567[[#This Row],[Total Amount]]&gt;=500,"Medium","Low")))</f>
        <v>Low</v>
      </c>
      <c r="M572" s="4" t="str" cm="1">
        <f t="array" ref="M57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72" s="4" cm="1">
        <f t="array" ref="N57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572" s="4">
        <f>Table1567[[#This Row],[Total Amount]]-Table1567[[#This Row],[Discount Amount]]</f>
        <v>40</v>
      </c>
      <c r="P572" s="4" t="str">
        <f>IF(Table1567[[#This Row],[Total Amount]]&gt;=1000,"High","Low")</f>
        <v>Low</v>
      </c>
      <c r="Q572" s="4" t="str" cm="1">
        <f t="array" ref="Q572">_xlfn.IFS(AND(Table1567[[#This Row],[Total Amount]]&gt;=1500,"Critical"),AND(Table1567[[#This Row],[Total Amount]]&gt;=1000,"High"),TRUE,"Normal")</f>
        <v>Normal</v>
      </c>
      <c r="R572" s="4" t="str">
        <f>CONCATENATE(Table1567[[#This Row],[Customer ID]], "-",Table1567[[#This Row],[Age]])</f>
        <v>CUST571-41</v>
      </c>
      <c r="S572" s="4" t="str">
        <f>TEXT(Table1567[[#This Row],[Date]],"mmm")</f>
        <v>Dec</v>
      </c>
      <c r="T572" s="4" t="str">
        <f>TEXT(Table1567[[#This Row],[Date]],"DDD")</f>
        <v>Tue</v>
      </c>
    </row>
    <row r="573" spans="1:20" ht="29" x14ac:dyDescent="0.35">
      <c r="A573" s="4">
        <v>572</v>
      </c>
      <c r="B573" s="5">
        <v>45036</v>
      </c>
      <c r="C573" s="4" t="s">
        <v>585</v>
      </c>
      <c r="D573" s="4" t="s">
        <v>10</v>
      </c>
      <c r="E573" s="4">
        <v>31</v>
      </c>
      <c r="F573" s="4" t="str">
        <f>IF(Table1567[[#This Row],[Age]]&lt;=19,"Teenager",IF(Table1567[[#This Row],[Age]]&lt;=40,"Median","Old"))</f>
        <v>Median</v>
      </c>
      <c r="G573" s="4" t="s">
        <v>14</v>
      </c>
      <c r="H573" s="4">
        <v>4</v>
      </c>
      <c r="I573" s="4">
        <v>500</v>
      </c>
      <c r="J573" s="4">
        <v>2000</v>
      </c>
      <c r="K573" s="4" t="str" cm="1">
        <f t="array" ref="K573">_xlfn.IFS(AND(Table1567[[#This Row],[Total Amount]]&gt;=1500),"Critical",AND(Table1567[[#This Row],[Total Amount]]&gt;=1000),"High",TRUE,"Normal")</f>
        <v>Critical</v>
      </c>
      <c r="L573" s="4" t="str">
        <f>IF(Table1567[[#This Row],[Total Amount]]&gt;=1000,"High",(IF(Table1567[[#This Row],[Total Amount]]&gt;=500,"Medium","Low")))</f>
        <v>High</v>
      </c>
      <c r="M573" s="4" t="str" cm="1">
        <f t="array" ref="M57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73" s="4" cm="1">
        <f t="array" ref="N57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573" s="4">
        <f>Table1567[[#This Row],[Total Amount]]-Table1567[[#This Row],[Discount Amount]]</f>
        <v>1700</v>
      </c>
      <c r="P573" s="4" t="str">
        <f>IF(Table1567[[#This Row],[Total Amount]]&gt;=1000,"High","Low")</f>
        <v>High</v>
      </c>
      <c r="Q573" s="4" t="b" cm="1">
        <f t="array" ref="Q573">_xlfn.IFS(AND(Table1567[[#This Row],[Total Amount]]&gt;=1500,"Critical"),AND(Table1567[[#This Row],[Total Amount]]&gt;=1000,"High"),TRUE,"Normal")</f>
        <v>1</v>
      </c>
      <c r="R573" s="4" t="str">
        <f>CONCATENATE(Table1567[[#This Row],[Customer ID]], "-",Table1567[[#This Row],[Age]])</f>
        <v>CUST572-31</v>
      </c>
      <c r="S573" s="4" t="str">
        <f>TEXT(Table1567[[#This Row],[Date]],"mmm")</f>
        <v>Apr</v>
      </c>
      <c r="T573" s="4" t="str">
        <f>TEXT(Table1567[[#This Row],[Date]],"DDD")</f>
        <v>Thu</v>
      </c>
    </row>
    <row r="574" spans="1:20" ht="29" x14ac:dyDescent="0.35">
      <c r="A574" s="4">
        <v>573</v>
      </c>
      <c r="B574" s="5">
        <v>45188</v>
      </c>
      <c r="C574" s="4" t="s">
        <v>586</v>
      </c>
      <c r="D574" s="4" t="s">
        <v>10</v>
      </c>
      <c r="E574" s="4">
        <v>49</v>
      </c>
      <c r="F574" s="4" t="str">
        <f>IF(Table1567[[#This Row],[Age]]&lt;=19,"Teenager",IF(Table1567[[#This Row],[Age]]&lt;=40,"Median","Old"))</f>
        <v>Old</v>
      </c>
      <c r="G574" s="4" t="s">
        <v>11</v>
      </c>
      <c r="H574" s="4">
        <v>2</v>
      </c>
      <c r="I574" s="4">
        <v>30</v>
      </c>
      <c r="J574" s="4">
        <v>60</v>
      </c>
      <c r="K574" s="4" t="str" cm="1">
        <f t="array" ref="K574">_xlfn.IFS(AND(Table1567[[#This Row],[Total Amount]]&gt;=1500),"Critical",AND(Table1567[[#This Row],[Total Amount]]&gt;=1000),"High",TRUE,"Normal")</f>
        <v>Normal</v>
      </c>
      <c r="L574" s="4" t="str">
        <f>IF(Table1567[[#This Row],[Total Amount]]&gt;=1000,"High",(IF(Table1567[[#This Row],[Total Amount]]&gt;=500,"Medium","Low")))</f>
        <v>Low</v>
      </c>
      <c r="M574" s="4" t="str" cm="1">
        <f t="array" ref="M57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74" s="4" cm="1">
        <f t="array" ref="N57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574" s="4">
        <f>Table1567[[#This Row],[Total Amount]]-Table1567[[#This Row],[Discount Amount]]</f>
        <v>54</v>
      </c>
      <c r="P574" s="4" t="str">
        <f>IF(Table1567[[#This Row],[Total Amount]]&gt;=1000,"High","Low")</f>
        <v>Low</v>
      </c>
      <c r="Q574" s="4" t="str" cm="1">
        <f t="array" ref="Q574">_xlfn.IFS(AND(Table1567[[#This Row],[Total Amount]]&gt;=1500,"Critical"),AND(Table1567[[#This Row],[Total Amount]]&gt;=1000,"High"),TRUE,"Normal")</f>
        <v>Normal</v>
      </c>
      <c r="R574" s="4" t="str">
        <f>CONCATENATE(Table1567[[#This Row],[Customer ID]], "-",Table1567[[#This Row],[Age]])</f>
        <v>CUST573-49</v>
      </c>
      <c r="S574" s="4" t="str">
        <f>TEXT(Table1567[[#This Row],[Date]],"mmm")</f>
        <v>Sep</v>
      </c>
      <c r="T574" s="4" t="str">
        <f>TEXT(Table1567[[#This Row],[Date]],"DDD")</f>
        <v>Tue</v>
      </c>
    </row>
    <row r="575" spans="1:20" ht="29" x14ac:dyDescent="0.35">
      <c r="A575" s="4">
        <v>574</v>
      </c>
      <c r="B575" s="5">
        <v>45169</v>
      </c>
      <c r="C575" s="4" t="s">
        <v>587</v>
      </c>
      <c r="D575" s="4" t="s">
        <v>13</v>
      </c>
      <c r="E575" s="4">
        <v>63</v>
      </c>
      <c r="F575" s="4" t="str">
        <f>IF(Table1567[[#This Row],[Age]]&lt;=19,"Teenager",IF(Table1567[[#This Row],[Age]]&lt;=40,"Median","Old"))</f>
        <v>Old</v>
      </c>
      <c r="G575" s="4" t="s">
        <v>16</v>
      </c>
      <c r="H575" s="4">
        <v>2</v>
      </c>
      <c r="I575" s="4">
        <v>25</v>
      </c>
      <c r="J575" s="4">
        <v>50</v>
      </c>
      <c r="K575" s="4" t="str" cm="1">
        <f t="array" ref="K575">_xlfn.IFS(AND(Table1567[[#This Row],[Total Amount]]&gt;=1500),"Critical",AND(Table1567[[#This Row],[Total Amount]]&gt;=1000),"High",TRUE,"Normal")</f>
        <v>Normal</v>
      </c>
      <c r="L575" s="4" t="str">
        <f>IF(Table1567[[#This Row],[Total Amount]]&gt;=1000,"High",(IF(Table1567[[#This Row],[Total Amount]]&gt;=500,"Medium","Low")))</f>
        <v>Low</v>
      </c>
      <c r="M575" s="4" t="str" cm="1">
        <f t="array" ref="M57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75" s="4" cm="1">
        <f t="array" ref="N57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575" s="4">
        <f>Table1567[[#This Row],[Total Amount]]-Table1567[[#This Row],[Discount Amount]]</f>
        <v>40</v>
      </c>
      <c r="P575" s="4" t="str">
        <f>IF(Table1567[[#This Row],[Total Amount]]&gt;=1000,"High","Low")</f>
        <v>Low</v>
      </c>
      <c r="Q575" s="4" t="str" cm="1">
        <f t="array" ref="Q575">_xlfn.IFS(AND(Table1567[[#This Row],[Total Amount]]&gt;=1500,"Critical"),AND(Table1567[[#This Row],[Total Amount]]&gt;=1000,"High"),TRUE,"Normal")</f>
        <v>Normal</v>
      </c>
      <c r="R575" s="4" t="str">
        <f>CONCATENATE(Table1567[[#This Row],[Customer ID]], "-",Table1567[[#This Row],[Age]])</f>
        <v>CUST574-63</v>
      </c>
      <c r="S575" s="4" t="str">
        <f>TEXT(Table1567[[#This Row],[Date]],"mmm")</f>
        <v>Aug</v>
      </c>
      <c r="T575" s="4" t="str">
        <f>TEXT(Table1567[[#This Row],[Date]],"DDD")</f>
        <v>Thu</v>
      </c>
    </row>
    <row r="576" spans="1:20" ht="29" x14ac:dyDescent="0.35">
      <c r="A576" s="4">
        <v>575</v>
      </c>
      <c r="B576" s="5">
        <v>45013</v>
      </c>
      <c r="C576" s="4" t="s">
        <v>588</v>
      </c>
      <c r="D576" s="4" t="s">
        <v>10</v>
      </c>
      <c r="E576" s="4">
        <v>60</v>
      </c>
      <c r="F576" s="4" t="str">
        <f>IF(Table1567[[#This Row],[Age]]&lt;=19,"Teenager",IF(Table1567[[#This Row],[Age]]&lt;=40,"Median","Old"))</f>
        <v>Old</v>
      </c>
      <c r="G576" s="4" t="s">
        <v>14</v>
      </c>
      <c r="H576" s="4">
        <v>2</v>
      </c>
      <c r="I576" s="4">
        <v>50</v>
      </c>
      <c r="J576" s="4">
        <v>100</v>
      </c>
      <c r="K576" s="4" t="str" cm="1">
        <f t="array" ref="K576">_xlfn.IFS(AND(Table1567[[#This Row],[Total Amount]]&gt;=1500),"Critical",AND(Table1567[[#This Row],[Total Amount]]&gt;=1000),"High",TRUE,"Normal")</f>
        <v>Normal</v>
      </c>
      <c r="L576" s="4" t="str">
        <f>IF(Table1567[[#This Row],[Total Amount]]&gt;=1000,"High",(IF(Table1567[[#This Row],[Total Amount]]&gt;=500,"Medium","Low")))</f>
        <v>Low</v>
      </c>
      <c r="M576" s="4" t="str" cm="1">
        <f t="array" ref="M57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76" s="4" cm="1">
        <f t="array" ref="N57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576" s="4">
        <f>Table1567[[#This Row],[Total Amount]]-Table1567[[#This Row],[Discount Amount]]</f>
        <v>90</v>
      </c>
      <c r="P576" s="4" t="str">
        <f>IF(Table1567[[#This Row],[Total Amount]]&gt;=1000,"High","Low")</f>
        <v>Low</v>
      </c>
      <c r="Q576" s="4" t="str" cm="1">
        <f t="array" ref="Q576">_xlfn.IFS(AND(Table1567[[#This Row],[Total Amount]]&gt;=1500,"Critical"),AND(Table1567[[#This Row],[Total Amount]]&gt;=1000,"High"),TRUE,"Normal")</f>
        <v>Normal</v>
      </c>
      <c r="R576" s="4" t="str">
        <f>CONCATENATE(Table1567[[#This Row],[Customer ID]], "-",Table1567[[#This Row],[Age]])</f>
        <v>CUST575-60</v>
      </c>
      <c r="S576" s="4" t="str">
        <f>TEXT(Table1567[[#This Row],[Date]],"mmm")</f>
        <v>Mar</v>
      </c>
      <c r="T576" s="4" t="str">
        <f>TEXT(Table1567[[#This Row],[Date]],"DDD")</f>
        <v>Tue</v>
      </c>
    </row>
    <row r="577" spans="1:20" ht="29" x14ac:dyDescent="0.35">
      <c r="A577" s="4">
        <v>576</v>
      </c>
      <c r="B577" s="5">
        <v>45264</v>
      </c>
      <c r="C577" s="4" t="s">
        <v>589</v>
      </c>
      <c r="D577" s="4" t="s">
        <v>13</v>
      </c>
      <c r="E577" s="4">
        <v>33</v>
      </c>
      <c r="F577" s="4" t="str">
        <f>IF(Table1567[[#This Row],[Age]]&lt;=19,"Teenager",IF(Table1567[[#This Row],[Age]]&lt;=40,"Median","Old"))</f>
        <v>Median</v>
      </c>
      <c r="G577" s="4" t="s">
        <v>11</v>
      </c>
      <c r="H577" s="4">
        <v>3</v>
      </c>
      <c r="I577" s="4">
        <v>50</v>
      </c>
      <c r="J577" s="4">
        <v>150</v>
      </c>
      <c r="K577" s="4" t="str" cm="1">
        <f t="array" ref="K577">_xlfn.IFS(AND(Table1567[[#This Row],[Total Amount]]&gt;=1500),"Critical",AND(Table1567[[#This Row],[Total Amount]]&gt;=1000),"High",TRUE,"Normal")</f>
        <v>Normal</v>
      </c>
      <c r="L577" s="4" t="str">
        <f>IF(Table1567[[#This Row],[Total Amount]]&gt;=1000,"High",(IF(Table1567[[#This Row],[Total Amount]]&gt;=500,"Medium","Low")))</f>
        <v>Low</v>
      </c>
      <c r="M577" s="4" t="str" cm="1">
        <f t="array" ref="M57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77" s="4" cm="1">
        <f t="array" ref="N57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22.5</v>
      </c>
      <c r="O577" s="4">
        <f>Table1567[[#This Row],[Total Amount]]-Table1567[[#This Row],[Discount Amount]]</f>
        <v>127.5</v>
      </c>
      <c r="P577" s="4" t="str">
        <f>IF(Table1567[[#This Row],[Total Amount]]&gt;=1000,"High","Low")</f>
        <v>Low</v>
      </c>
      <c r="Q577" s="4" t="str" cm="1">
        <f t="array" ref="Q577">_xlfn.IFS(AND(Table1567[[#This Row],[Total Amount]]&gt;=1500,"Critical"),AND(Table1567[[#This Row],[Total Amount]]&gt;=1000,"High"),TRUE,"Normal")</f>
        <v>Normal</v>
      </c>
      <c r="R577" s="4" t="str">
        <f>CONCATENATE(Table1567[[#This Row],[Customer ID]], "-",Table1567[[#This Row],[Age]])</f>
        <v>CUST576-33</v>
      </c>
      <c r="S577" s="4" t="str">
        <f>TEXT(Table1567[[#This Row],[Date]],"mmm")</f>
        <v>Dec</v>
      </c>
      <c r="T577" s="4" t="str">
        <f>TEXT(Table1567[[#This Row],[Date]],"DDD")</f>
        <v>Mon</v>
      </c>
    </row>
    <row r="578" spans="1:20" ht="29" x14ac:dyDescent="0.35">
      <c r="A578" s="4">
        <v>577</v>
      </c>
      <c r="B578" s="5">
        <v>44970</v>
      </c>
      <c r="C578" s="4" t="s">
        <v>590</v>
      </c>
      <c r="D578" s="4" t="s">
        <v>10</v>
      </c>
      <c r="E578" s="4">
        <v>21</v>
      </c>
      <c r="F578" s="4" t="str">
        <f>IF(Table1567[[#This Row],[Age]]&lt;=19,"Teenager",IF(Table1567[[#This Row],[Age]]&lt;=40,"Median","Old"))</f>
        <v>Median</v>
      </c>
      <c r="G578" s="4" t="s">
        <v>11</v>
      </c>
      <c r="H578" s="4">
        <v>4</v>
      </c>
      <c r="I578" s="4">
        <v>500</v>
      </c>
      <c r="J578" s="4">
        <v>2000</v>
      </c>
      <c r="K578" s="4" t="str" cm="1">
        <f t="array" ref="K578">_xlfn.IFS(AND(Table1567[[#This Row],[Total Amount]]&gt;=1500),"Critical",AND(Table1567[[#This Row],[Total Amount]]&gt;=1000),"High",TRUE,"Normal")</f>
        <v>Critical</v>
      </c>
      <c r="L578" s="4" t="str">
        <f>IF(Table1567[[#This Row],[Total Amount]]&gt;=1000,"High",(IF(Table1567[[#This Row],[Total Amount]]&gt;=500,"Medium","Low")))</f>
        <v>High</v>
      </c>
      <c r="M578" s="4" t="str" cm="1">
        <f t="array" ref="M57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578" s="4" cm="1">
        <f t="array" ref="N57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578" s="4">
        <f>Table1567[[#This Row],[Total Amount]]-Table1567[[#This Row],[Discount Amount]]</f>
        <v>2000</v>
      </c>
      <c r="P578" s="4" t="str">
        <f>IF(Table1567[[#This Row],[Total Amount]]&gt;=1000,"High","Low")</f>
        <v>High</v>
      </c>
      <c r="Q578" s="4" t="b" cm="1">
        <f t="array" ref="Q578">_xlfn.IFS(AND(Table1567[[#This Row],[Total Amount]]&gt;=1500,"Critical"),AND(Table1567[[#This Row],[Total Amount]]&gt;=1000,"High"),TRUE,"Normal")</f>
        <v>1</v>
      </c>
      <c r="R578" s="4" t="str">
        <f>CONCATENATE(Table1567[[#This Row],[Customer ID]], "-",Table1567[[#This Row],[Age]])</f>
        <v>CUST577-21</v>
      </c>
      <c r="S578" s="4" t="str">
        <f>TEXT(Table1567[[#This Row],[Date]],"mmm")</f>
        <v>Feb</v>
      </c>
      <c r="T578" s="4" t="str">
        <f>TEXT(Table1567[[#This Row],[Date]],"DDD")</f>
        <v>Mon</v>
      </c>
    </row>
    <row r="579" spans="1:20" ht="29" x14ac:dyDescent="0.35">
      <c r="A579" s="4">
        <v>578</v>
      </c>
      <c r="B579" s="5">
        <v>45072</v>
      </c>
      <c r="C579" s="4" t="s">
        <v>591</v>
      </c>
      <c r="D579" s="4" t="s">
        <v>13</v>
      </c>
      <c r="E579" s="4">
        <v>54</v>
      </c>
      <c r="F579" s="4" t="str">
        <f>IF(Table1567[[#This Row],[Age]]&lt;=19,"Teenager",IF(Table1567[[#This Row],[Age]]&lt;=40,"Median","Old"))</f>
        <v>Old</v>
      </c>
      <c r="G579" s="4" t="s">
        <v>14</v>
      </c>
      <c r="H579" s="4">
        <v>4</v>
      </c>
      <c r="I579" s="4">
        <v>30</v>
      </c>
      <c r="J579" s="4">
        <v>120</v>
      </c>
      <c r="K579" s="4" t="str" cm="1">
        <f t="array" ref="K579">_xlfn.IFS(AND(Table1567[[#This Row],[Total Amount]]&gt;=1500),"Critical",AND(Table1567[[#This Row],[Total Amount]]&gt;=1000),"High",TRUE,"Normal")</f>
        <v>Normal</v>
      </c>
      <c r="L579" s="4" t="str">
        <f>IF(Table1567[[#This Row],[Total Amount]]&gt;=1000,"High",(IF(Table1567[[#This Row],[Total Amount]]&gt;=500,"Medium","Low")))</f>
        <v>Low</v>
      </c>
      <c r="M579" s="4" t="str" cm="1">
        <f t="array" ref="M57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79" s="4" cm="1">
        <f t="array" ref="N57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</v>
      </c>
      <c r="O579" s="4">
        <f>Table1567[[#This Row],[Total Amount]]-Table1567[[#This Row],[Discount Amount]]</f>
        <v>96</v>
      </c>
      <c r="P579" s="4" t="str">
        <f>IF(Table1567[[#This Row],[Total Amount]]&gt;=1000,"High","Low")</f>
        <v>Low</v>
      </c>
      <c r="Q579" s="4" t="str" cm="1">
        <f t="array" ref="Q579">_xlfn.IFS(AND(Table1567[[#This Row],[Total Amount]]&gt;=1500,"Critical"),AND(Table1567[[#This Row],[Total Amount]]&gt;=1000,"High"),TRUE,"Normal")</f>
        <v>Normal</v>
      </c>
      <c r="R579" s="4" t="str">
        <f>CONCATENATE(Table1567[[#This Row],[Customer ID]], "-",Table1567[[#This Row],[Age]])</f>
        <v>CUST578-54</v>
      </c>
      <c r="S579" s="4" t="str">
        <f>TEXT(Table1567[[#This Row],[Date]],"mmm")</f>
        <v>May</v>
      </c>
      <c r="T579" s="4" t="str">
        <f>TEXT(Table1567[[#This Row],[Date]],"DDD")</f>
        <v>Fri</v>
      </c>
    </row>
    <row r="580" spans="1:20" ht="29" x14ac:dyDescent="0.35">
      <c r="A580" s="4">
        <v>579</v>
      </c>
      <c r="B580" s="5">
        <v>45190</v>
      </c>
      <c r="C580" s="4" t="s">
        <v>592</v>
      </c>
      <c r="D580" s="4" t="s">
        <v>13</v>
      </c>
      <c r="E580" s="4">
        <v>38</v>
      </c>
      <c r="F580" s="4" t="str">
        <f>IF(Table1567[[#This Row],[Age]]&lt;=19,"Teenager",IF(Table1567[[#This Row],[Age]]&lt;=40,"Median","Old"))</f>
        <v>Median</v>
      </c>
      <c r="G580" s="4" t="s">
        <v>16</v>
      </c>
      <c r="H580" s="4">
        <v>1</v>
      </c>
      <c r="I580" s="4">
        <v>30</v>
      </c>
      <c r="J580" s="4">
        <v>30</v>
      </c>
      <c r="K580" s="4" t="str" cm="1">
        <f t="array" ref="K580">_xlfn.IFS(AND(Table1567[[#This Row],[Total Amount]]&gt;=1500),"Critical",AND(Table1567[[#This Row],[Total Amount]]&gt;=1000),"High",TRUE,"Normal")</f>
        <v>Normal</v>
      </c>
      <c r="L580" s="4" t="str">
        <f>IF(Table1567[[#This Row],[Total Amount]]&gt;=1000,"High",(IF(Table1567[[#This Row],[Total Amount]]&gt;=500,"Medium","Low")))</f>
        <v>Low</v>
      </c>
      <c r="M580" s="4" t="str" cm="1">
        <f t="array" ref="M58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80" s="4" cm="1">
        <f t="array" ref="N58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580" s="4">
        <f>Table1567[[#This Row],[Total Amount]]-Table1567[[#This Row],[Discount Amount]]</f>
        <v>24</v>
      </c>
      <c r="P580" s="4" t="str">
        <f>IF(Table1567[[#This Row],[Total Amount]]&gt;=1000,"High","Low")</f>
        <v>Low</v>
      </c>
      <c r="Q580" s="4" t="str" cm="1">
        <f t="array" ref="Q580">_xlfn.IFS(AND(Table1567[[#This Row],[Total Amount]]&gt;=1500,"Critical"),AND(Table1567[[#This Row],[Total Amount]]&gt;=1000,"High"),TRUE,"Normal")</f>
        <v>Normal</v>
      </c>
      <c r="R580" s="4" t="str">
        <f>CONCATENATE(Table1567[[#This Row],[Customer ID]], "-",Table1567[[#This Row],[Age]])</f>
        <v>CUST579-38</v>
      </c>
      <c r="S580" s="4" t="str">
        <f>TEXT(Table1567[[#This Row],[Date]],"mmm")</f>
        <v>Sep</v>
      </c>
      <c r="T580" s="4" t="str">
        <f>TEXT(Table1567[[#This Row],[Date]],"DDD")</f>
        <v>Thu</v>
      </c>
    </row>
    <row r="581" spans="1:20" ht="29" x14ac:dyDescent="0.35">
      <c r="A581" s="4">
        <v>580</v>
      </c>
      <c r="B581" s="5">
        <v>45266</v>
      </c>
      <c r="C581" s="4" t="s">
        <v>593</v>
      </c>
      <c r="D581" s="4" t="s">
        <v>13</v>
      </c>
      <c r="E581" s="4">
        <v>31</v>
      </c>
      <c r="F581" s="4" t="str">
        <f>IF(Table1567[[#This Row],[Age]]&lt;=19,"Teenager",IF(Table1567[[#This Row],[Age]]&lt;=40,"Median","Old"))</f>
        <v>Median</v>
      </c>
      <c r="G581" s="4" t="s">
        <v>14</v>
      </c>
      <c r="H581" s="4">
        <v>3</v>
      </c>
      <c r="I581" s="4">
        <v>500</v>
      </c>
      <c r="J581" s="4">
        <v>1500</v>
      </c>
      <c r="K581" s="4" t="str" cm="1">
        <f t="array" ref="K581">_xlfn.IFS(AND(Table1567[[#This Row],[Total Amount]]&gt;=1500),"Critical",AND(Table1567[[#This Row],[Total Amount]]&gt;=1000),"High",TRUE,"Normal")</f>
        <v>Critical</v>
      </c>
      <c r="L581" s="4" t="str">
        <f>IF(Table1567[[#This Row],[Total Amount]]&gt;=1000,"High",(IF(Table1567[[#This Row],[Total Amount]]&gt;=500,"Medium","Low")))</f>
        <v>High</v>
      </c>
      <c r="M581" s="4" t="str" cm="1">
        <f t="array" ref="M58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81" s="4" cm="1">
        <f t="array" ref="N58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225</v>
      </c>
      <c r="O581" s="4">
        <f>Table1567[[#This Row],[Total Amount]]-Table1567[[#This Row],[Discount Amount]]</f>
        <v>1275</v>
      </c>
      <c r="P581" s="4" t="str">
        <f>IF(Table1567[[#This Row],[Total Amount]]&gt;=1000,"High","Low")</f>
        <v>High</v>
      </c>
      <c r="Q581" s="4" t="b" cm="1">
        <f t="array" ref="Q581">_xlfn.IFS(AND(Table1567[[#This Row],[Total Amount]]&gt;=1500,"Critical"),AND(Table1567[[#This Row],[Total Amount]]&gt;=1000,"High"),TRUE,"Normal")</f>
        <v>1</v>
      </c>
      <c r="R581" s="4" t="str">
        <f>CONCATENATE(Table1567[[#This Row],[Customer ID]], "-",Table1567[[#This Row],[Age]])</f>
        <v>CUST580-31</v>
      </c>
      <c r="S581" s="4" t="str">
        <f>TEXT(Table1567[[#This Row],[Date]],"mmm")</f>
        <v>Dec</v>
      </c>
      <c r="T581" s="4" t="str">
        <f>TEXT(Table1567[[#This Row],[Date]],"DDD")</f>
        <v>Wed</v>
      </c>
    </row>
    <row r="582" spans="1:20" ht="29" x14ac:dyDescent="0.35">
      <c r="A582" s="4">
        <v>581</v>
      </c>
      <c r="B582" s="5">
        <v>45251</v>
      </c>
      <c r="C582" s="4" t="s">
        <v>594</v>
      </c>
      <c r="D582" s="4" t="s">
        <v>13</v>
      </c>
      <c r="E582" s="4">
        <v>48</v>
      </c>
      <c r="F582" s="4" t="str">
        <f>IF(Table1567[[#This Row],[Age]]&lt;=19,"Teenager",IF(Table1567[[#This Row],[Age]]&lt;=40,"Median","Old"))</f>
        <v>Old</v>
      </c>
      <c r="G582" s="4" t="s">
        <v>11</v>
      </c>
      <c r="H582" s="4">
        <v>2</v>
      </c>
      <c r="I582" s="4">
        <v>30</v>
      </c>
      <c r="J582" s="4">
        <v>60</v>
      </c>
      <c r="K582" s="4" t="str" cm="1">
        <f t="array" ref="K582">_xlfn.IFS(AND(Table1567[[#This Row],[Total Amount]]&gt;=1500),"Critical",AND(Table1567[[#This Row],[Total Amount]]&gt;=1000),"High",TRUE,"Normal")</f>
        <v>Normal</v>
      </c>
      <c r="L582" s="4" t="str">
        <f>IF(Table1567[[#This Row],[Total Amount]]&gt;=1000,"High",(IF(Table1567[[#This Row],[Total Amount]]&gt;=500,"Medium","Low")))</f>
        <v>Low</v>
      </c>
      <c r="M582" s="4" t="str" cm="1">
        <f t="array" ref="M58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82" s="4" cm="1">
        <f t="array" ref="N58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582" s="4">
        <f>Table1567[[#This Row],[Total Amount]]-Table1567[[#This Row],[Discount Amount]]</f>
        <v>48</v>
      </c>
      <c r="P582" s="4" t="str">
        <f>IF(Table1567[[#This Row],[Total Amount]]&gt;=1000,"High","Low")</f>
        <v>Low</v>
      </c>
      <c r="Q582" s="4" t="str" cm="1">
        <f t="array" ref="Q582">_xlfn.IFS(AND(Table1567[[#This Row],[Total Amount]]&gt;=1500,"Critical"),AND(Table1567[[#This Row],[Total Amount]]&gt;=1000,"High"),TRUE,"Normal")</f>
        <v>Normal</v>
      </c>
      <c r="R582" s="4" t="str">
        <f>CONCATENATE(Table1567[[#This Row],[Customer ID]], "-",Table1567[[#This Row],[Age]])</f>
        <v>CUST581-48</v>
      </c>
      <c r="S582" s="4" t="str">
        <f>TEXT(Table1567[[#This Row],[Date]],"mmm")</f>
        <v>Nov</v>
      </c>
      <c r="T582" s="4" t="str">
        <f>TEXT(Table1567[[#This Row],[Date]],"DDD")</f>
        <v>Tue</v>
      </c>
    </row>
    <row r="583" spans="1:20" ht="29" x14ac:dyDescent="0.35">
      <c r="A583" s="4">
        <v>582</v>
      </c>
      <c r="B583" s="5">
        <v>45244</v>
      </c>
      <c r="C583" s="4" t="s">
        <v>595</v>
      </c>
      <c r="D583" s="4" t="s">
        <v>10</v>
      </c>
      <c r="E583" s="4">
        <v>35</v>
      </c>
      <c r="F583" s="4" t="str">
        <f>IF(Table1567[[#This Row],[Age]]&lt;=19,"Teenager",IF(Table1567[[#This Row],[Age]]&lt;=40,"Median","Old"))</f>
        <v>Median</v>
      </c>
      <c r="G583" s="4" t="s">
        <v>14</v>
      </c>
      <c r="H583" s="4">
        <v>3</v>
      </c>
      <c r="I583" s="4">
        <v>300</v>
      </c>
      <c r="J583" s="4">
        <v>900</v>
      </c>
      <c r="K583" s="4" t="str" cm="1">
        <f t="array" ref="K583">_xlfn.IFS(AND(Table1567[[#This Row],[Total Amount]]&gt;=1500),"Critical",AND(Table1567[[#This Row],[Total Amount]]&gt;=1000),"High",TRUE,"Normal")</f>
        <v>Normal</v>
      </c>
      <c r="L583" s="4" t="str">
        <f>IF(Table1567[[#This Row],[Total Amount]]&gt;=1000,"High",(IF(Table1567[[#This Row],[Total Amount]]&gt;=500,"Medium","Low")))</f>
        <v>Medium</v>
      </c>
      <c r="M583" s="4" t="str" cm="1">
        <f t="array" ref="M58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83" s="4" cm="1">
        <f t="array" ref="N58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583" s="4">
        <f>Table1567[[#This Row],[Total Amount]]-Table1567[[#This Row],[Discount Amount]]</f>
        <v>810</v>
      </c>
      <c r="P583" s="4" t="str">
        <f>IF(Table1567[[#This Row],[Total Amount]]&gt;=1000,"High","Low")</f>
        <v>Low</v>
      </c>
      <c r="Q583" s="4" t="str" cm="1">
        <f t="array" ref="Q583">_xlfn.IFS(AND(Table1567[[#This Row],[Total Amount]]&gt;=1500,"Critical"),AND(Table1567[[#This Row],[Total Amount]]&gt;=1000,"High"),TRUE,"Normal")</f>
        <v>Normal</v>
      </c>
      <c r="R583" s="4" t="str">
        <f>CONCATENATE(Table1567[[#This Row],[Customer ID]], "-",Table1567[[#This Row],[Age]])</f>
        <v>CUST582-35</v>
      </c>
      <c r="S583" s="4" t="str">
        <f>TEXT(Table1567[[#This Row],[Date]],"mmm")</f>
        <v>Nov</v>
      </c>
      <c r="T583" s="4" t="str">
        <f>TEXT(Table1567[[#This Row],[Date]],"DDD")</f>
        <v>Tue</v>
      </c>
    </row>
    <row r="584" spans="1:20" ht="29" x14ac:dyDescent="0.35">
      <c r="A584" s="4">
        <v>583</v>
      </c>
      <c r="B584" s="5">
        <v>45098</v>
      </c>
      <c r="C584" s="4" t="s">
        <v>596</v>
      </c>
      <c r="D584" s="4" t="s">
        <v>13</v>
      </c>
      <c r="E584" s="4">
        <v>24</v>
      </c>
      <c r="F584" s="4" t="str">
        <f>IF(Table1567[[#This Row],[Age]]&lt;=19,"Teenager",IF(Table1567[[#This Row],[Age]]&lt;=40,"Median","Old"))</f>
        <v>Median</v>
      </c>
      <c r="G584" s="4" t="s">
        <v>16</v>
      </c>
      <c r="H584" s="4">
        <v>4</v>
      </c>
      <c r="I584" s="4">
        <v>25</v>
      </c>
      <c r="J584" s="4">
        <v>100</v>
      </c>
      <c r="K584" s="4" t="str" cm="1">
        <f t="array" ref="K584">_xlfn.IFS(AND(Table1567[[#This Row],[Total Amount]]&gt;=1500),"Critical",AND(Table1567[[#This Row],[Total Amount]]&gt;=1000),"High",TRUE,"Normal")</f>
        <v>Normal</v>
      </c>
      <c r="L584" s="4" t="str">
        <f>IF(Table1567[[#This Row],[Total Amount]]&gt;=1000,"High",(IF(Table1567[[#This Row],[Total Amount]]&gt;=500,"Medium","Low")))</f>
        <v>Low</v>
      </c>
      <c r="M584" s="4" t="str" cm="1">
        <f t="array" ref="M58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584" s="4" cm="1">
        <f t="array" ref="N58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584" s="4">
        <f>Table1567[[#This Row],[Total Amount]]-Table1567[[#This Row],[Discount Amount]]</f>
        <v>100</v>
      </c>
      <c r="P584" s="4" t="str">
        <f>IF(Table1567[[#This Row],[Total Amount]]&gt;=1000,"High","Low")</f>
        <v>Low</v>
      </c>
      <c r="Q584" s="4" t="str" cm="1">
        <f t="array" ref="Q584">_xlfn.IFS(AND(Table1567[[#This Row],[Total Amount]]&gt;=1500,"Critical"),AND(Table1567[[#This Row],[Total Amount]]&gt;=1000,"High"),TRUE,"Normal")</f>
        <v>Normal</v>
      </c>
      <c r="R584" s="4" t="str">
        <f>CONCATENATE(Table1567[[#This Row],[Customer ID]], "-",Table1567[[#This Row],[Age]])</f>
        <v>CUST583-24</v>
      </c>
      <c r="S584" s="4" t="str">
        <f>TEXT(Table1567[[#This Row],[Date]],"mmm")</f>
        <v>Jun</v>
      </c>
      <c r="T584" s="4" t="str">
        <f>TEXT(Table1567[[#This Row],[Date]],"DDD")</f>
        <v>Wed</v>
      </c>
    </row>
    <row r="585" spans="1:20" ht="29" x14ac:dyDescent="0.35">
      <c r="A585" s="4">
        <v>584</v>
      </c>
      <c r="B585" s="5">
        <v>44974</v>
      </c>
      <c r="C585" s="4" t="s">
        <v>597</v>
      </c>
      <c r="D585" s="4" t="s">
        <v>13</v>
      </c>
      <c r="E585" s="4">
        <v>27</v>
      </c>
      <c r="F585" s="4" t="str">
        <f>IF(Table1567[[#This Row],[Age]]&lt;=19,"Teenager",IF(Table1567[[#This Row],[Age]]&lt;=40,"Median","Old"))</f>
        <v>Median</v>
      </c>
      <c r="G585" s="4" t="s">
        <v>11</v>
      </c>
      <c r="H585" s="4">
        <v>4</v>
      </c>
      <c r="I585" s="4">
        <v>50</v>
      </c>
      <c r="J585" s="4">
        <v>200</v>
      </c>
      <c r="K585" s="4" t="str" cm="1">
        <f t="array" ref="K585">_xlfn.IFS(AND(Table1567[[#This Row],[Total Amount]]&gt;=1500),"Critical",AND(Table1567[[#This Row],[Total Amount]]&gt;=1000),"High",TRUE,"Normal")</f>
        <v>Normal</v>
      </c>
      <c r="L585" s="4" t="str">
        <f>IF(Table1567[[#This Row],[Total Amount]]&gt;=1000,"High",(IF(Table1567[[#This Row],[Total Amount]]&gt;=500,"Medium","Low")))</f>
        <v>Low</v>
      </c>
      <c r="M585" s="4" t="str" cm="1">
        <f t="array" ref="M58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85" s="4" cm="1">
        <f t="array" ref="N58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585" s="4">
        <f>Table1567[[#This Row],[Total Amount]]-Table1567[[#This Row],[Discount Amount]]</f>
        <v>170</v>
      </c>
      <c r="P585" s="4" t="str">
        <f>IF(Table1567[[#This Row],[Total Amount]]&gt;=1000,"High","Low")</f>
        <v>Low</v>
      </c>
      <c r="Q585" s="4" t="str" cm="1">
        <f t="array" ref="Q585">_xlfn.IFS(AND(Table1567[[#This Row],[Total Amount]]&gt;=1500,"Critical"),AND(Table1567[[#This Row],[Total Amount]]&gt;=1000,"High"),TRUE,"Normal")</f>
        <v>Normal</v>
      </c>
      <c r="R585" s="4" t="str">
        <f>CONCATENATE(Table1567[[#This Row],[Customer ID]], "-",Table1567[[#This Row],[Age]])</f>
        <v>CUST584-27</v>
      </c>
      <c r="S585" s="4" t="str">
        <f>TEXT(Table1567[[#This Row],[Date]],"mmm")</f>
        <v>Feb</v>
      </c>
      <c r="T585" s="4" t="str">
        <f>TEXT(Table1567[[#This Row],[Date]],"DDD")</f>
        <v>Fri</v>
      </c>
    </row>
    <row r="586" spans="1:20" ht="29" x14ac:dyDescent="0.35">
      <c r="A586" s="4">
        <v>585</v>
      </c>
      <c r="B586" s="5">
        <v>45047</v>
      </c>
      <c r="C586" s="4" t="s">
        <v>598</v>
      </c>
      <c r="D586" s="4" t="s">
        <v>13</v>
      </c>
      <c r="E586" s="4">
        <v>24</v>
      </c>
      <c r="F586" s="4" t="str">
        <f>IF(Table1567[[#This Row],[Age]]&lt;=19,"Teenager",IF(Table1567[[#This Row],[Age]]&lt;=40,"Median","Old"))</f>
        <v>Median</v>
      </c>
      <c r="G586" s="4" t="s">
        <v>14</v>
      </c>
      <c r="H586" s="4">
        <v>1</v>
      </c>
      <c r="I586" s="4">
        <v>25</v>
      </c>
      <c r="J586" s="4">
        <v>25</v>
      </c>
      <c r="K586" s="4" t="str" cm="1">
        <f t="array" ref="K586">_xlfn.IFS(AND(Table1567[[#This Row],[Total Amount]]&gt;=1500),"Critical",AND(Table1567[[#This Row],[Total Amount]]&gt;=1000),"High",TRUE,"Normal")</f>
        <v>Normal</v>
      </c>
      <c r="L586" s="4" t="str">
        <f>IF(Table1567[[#This Row],[Total Amount]]&gt;=1000,"High",(IF(Table1567[[#This Row],[Total Amount]]&gt;=500,"Medium","Low")))</f>
        <v>Low</v>
      </c>
      <c r="M586" s="4" t="str" cm="1">
        <f t="array" ref="M58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586" s="4" cm="1">
        <f t="array" ref="N58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586" s="4">
        <f>Table1567[[#This Row],[Total Amount]]-Table1567[[#This Row],[Discount Amount]]</f>
        <v>25</v>
      </c>
      <c r="P586" s="4" t="str">
        <f>IF(Table1567[[#This Row],[Total Amount]]&gt;=1000,"High","Low")</f>
        <v>Low</v>
      </c>
      <c r="Q586" s="4" t="str" cm="1">
        <f t="array" ref="Q586">_xlfn.IFS(AND(Table1567[[#This Row],[Total Amount]]&gt;=1500,"Critical"),AND(Table1567[[#This Row],[Total Amount]]&gt;=1000,"High"),TRUE,"Normal")</f>
        <v>Normal</v>
      </c>
      <c r="R586" s="4" t="str">
        <f>CONCATENATE(Table1567[[#This Row],[Customer ID]], "-",Table1567[[#This Row],[Age]])</f>
        <v>CUST585-24</v>
      </c>
      <c r="S586" s="4" t="str">
        <f>TEXT(Table1567[[#This Row],[Date]],"mmm")</f>
        <v>May</v>
      </c>
      <c r="T586" s="4" t="str">
        <f>TEXT(Table1567[[#This Row],[Date]],"DDD")</f>
        <v>Mon</v>
      </c>
    </row>
    <row r="587" spans="1:20" ht="29" x14ac:dyDescent="0.35">
      <c r="A587" s="4">
        <v>586</v>
      </c>
      <c r="B587" s="5">
        <v>45271</v>
      </c>
      <c r="C587" s="4" t="s">
        <v>599</v>
      </c>
      <c r="D587" s="4" t="s">
        <v>10</v>
      </c>
      <c r="E587" s="4">
        <v>50</v>
      </c>
      <c r="F587" s="4" t="str">
        <f>IF(Table1567[[#This Row],[Age]]&lt;=19,"Teenager",IF(Table1567[[#This Row],[Age]]&lt;=40,"Median","Old"))</f>
        <v>Old</v>
      </c>
      <c r="G587" s="4" t="s">
        <v>16</v>
      </c>
      <c r="H587" s="4">
        <v>1</v>
      </c>
      <c r="I587" s="4">
        <v>50</v>
      </c>
      <c r="J587" s="4">
        <v>50</v>
      </c>
      <c r="K587" s="4" t="str" cm="1">
        <f t="array" ref="K587">_xlfn.IFS(AND(Table1567[[#This Row],[Total Amount]]&gt;=1500),"Critical",AND(Table1567[[#This Row],[Total Amount]]&gt;=1000),"High",TRUE,"Normal")</f>
        <v>Normal</v>
      </c>
      <c r="L587" s="4" t="str">
        <f>IF(Table1567[[#This Row],[Total Amount]]&gt;=1000,"High",(IF(Table1567[[#This Row],[Total Amount]]&gt;=500,"Medium","Low")))</f>
        <v>Low</v>
      </c>
      <c r="M587" s="4" t="str" cm="1">
        <f t="array" ref="M58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87" s="4" cm="1">
        <f t="array" ref="N58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587" s="4">
        <f>Table1567[[#This Row],[Total Amount]]-Table1567[[#This Row],[Discount Amount]]</f>
        <v>45</v>
      </c>
      <c r="P587" s="4" t="str">
        <f>IF(Table1567[[#This Row],[Total Amount]]&gt;=1000,"High","Low")</f>
        <v>Low</v>
      </c>
      <c r="Q587" s="4" t="str" cm="1">
        <f t="array" ref="Q587">_xlfn.IFS(AND(Table1567[[#This Row],[Total Amount]]&gt;=1500,"Critical"),AND(Table1567[[#This Row],[Total Amount]]&gt;=1000,"High"),TRUE,"Normal")</f>
        <v>Normal</v>
      </c>
      <c r="R587" s="4" t="str">
        <f>CONCATENATE(Table1567[[#This Row],[Customer ID]], "-",Table1567[[#This Row],[Age]])</f>
        <v>CUST586-50</v>
      </c>
      <c r="S587" s="4" t="str">
        <f>TEXT(Table1567[[#This Row],[Date]],"mmm")</f>
        <v>Dec</v>
      </c>
      <c r="T587" s="4" t="str">
        <f>TEXT(Table1567[[#This Row],[Date]],"DDD")</f>
        <v>Mon</v>
      </c>
    </row>
    <row r="588" spans="1:20" ht="29" x14ac:dyDescent="0.35">
      <c r="A588" s="4">
        <v>587</v>
      </c>
      <c r="B588" s="5">
        <v>45085</v>
      </c>
      <c r="C588" s="4" t="s">
        <v>600</v>
      </c>
      <c r="D588" s="4" t="s">
        <v>13</v>
      </c>
      <c r="E588" s="4">
        <v>40</v>
      </c>
      <c r="F588" s="4" t="str">
        <f>IF(Table1567[[#This Row],[Age]]&lt;=19,"Teenager",IF(Table1567[[#This Row],[Age]]&lt;=40,"Median","Old"))</f>
        <v>Median</v>
      </c>
      <c r="G588" s="4" t="s">
        <v>11</v>
      </c>
      <c r="H588" s="4">
        <v>4</v>
      </c>
      <c r="I588" s="4">
        <v>300</v>
      </c>
      <c r="J588" s="4">
        <v>1200</v>
      </c>
      <c r="K588" s="4" t="str" cm="1">
        <f t="array" ref="K588">_xlfn.IFS(AND(Table1567[[#This Row],[Total Amount]]&gt;=1500),"Critical",AND(Table1567[[#This Row],[Total Amount]]&gt;=1000),"High",TRUE,"Normal")</f>
        <v>High</v>
      </c>
      <c r="L588" s="4" t="str">
        <f>IF(Table1567[[#This Row],[Total Amount]]&gt;=1000,"High",(IF(Table1567[[#This Row],[Total Amount]]&gt;=500,"Medium","Low")))</f>
        <v>High</v>
      </c>
      <c r="M588" s="4" t="str" cm="1">
        <f t="array" ref="M58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88" s="4" cm="1">
        <f t="array" ref="N58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240</v>
      </c>
      <c r="O588" s="4">
        <f>Table1567[[#This Row],[Total Amount]]-Table1567[[#This Row],[Discount Amount]]</f>
        <v>960</v>
      </c>
      <c r="P588" s="4" t="str">
        <f>IF(Table1567[[#This Row],[Total Amount]]&gt;=1000,"High","Low")</f>
        <v>High</v>
      </c>
      <c r="Q588" s="4" t="str" cm="1">
        <f t="array" ref="Q588">_xlfn.IFS(AND(Table1567[[#This Row],[Total Amount]]&gt;=1500,"Critical"),AND(Table1567[[#This Row],[Total Amount]]&gt;=1000,"High"),TRUE,"Normal")</f>
        <v>Normal</v>
      </c>
      <c r="R588" s="4" t="str">
        <f>CONCATENATE(Table1567[[#This Row],[Customer ID]], "-",Table1567[[#This Row],[Age]])</f>
        <v>CUST587-40</v>
      </c>
      <c r="S588" s="4" t="str">
        <f>TEXT(Table1567[[#This Row],[Date]],"mmm")</f>
        <v>Jun</v>
      </c>
      <c r="T588" s="4" t="str">
        <f>TEXT(Table1567[[#This Row],[Date]],"DDD")</f>
        <v>Thu</v>
      </c>
    </row>
    <row r="589" spans="1:20" ht="29" x14ac:dyDescent="0.35">
      <c r="A589" s="4">
        <v>588</v>
      </c>
      <c r="B589" s="5">
        <v>45042</v>
      </c>
      <c r="C589" s="4" t="s">
        <v>601</v>
      </c>
      <c r="D589" s="4" t="s">
        <v>10</v>
      </c>
      <c r="E589" s="4">
        <v>38</v>
      </c>
      <c r="F589" s="4" t="str">
        <f>IF(Table1567[[#This Row],[Age]]&lt;=19,"Teenager",IF(Table1567[[#This Row],[Age]]&lt;=40,"Median","Old"))</f>
        <v>Median</v>
      </c>
      <c r="G589" s="4" t="s">
        <v>16</v>
      </c>
      <c r="H589" s="4">
        <v>2</v>
      </c>
      <c r="I589" s="4">
        <v>30</v>
      </c>
      <c r="J589" s="4">
        <v>60</v>
      </c>
      <c r="K589" s="4" t="str" cm="1">
        <f t="array" ref="K589">_xlfn.IFS(AND(Table1567[[#This Row],[Total Amount]]&gt;=1500),"Critical",AND(Table1567[[#This Row],[Total Amount]]&gt;=1000),"High",TRUE,"Normal")</f>
        <v>Normal</v>
      </c>
      <c r="L589" s="4" t="str">
        <f>IF(Table1567[[#This Row],[Total Amount]]&gt;=1000,"High",(IF(Table1567[[#This Row],[Total Amount]]&gt;=500,"Medium","Low")))</f>
        <v>Low</v>
      </c>
      <c r="M589" s="4" t="str" cm="1">
        <f t="array" ref="M58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89" s="4" cm="1">
        <f t="array" ref="N58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589" s="4">
        <f>Table1567[[#This Row],[Total Amount]]-Table1567[[#This Row],[Discount Amount]]</f>
        <v>54</v>
      </c>
      <c r="P589" s="4" t="str">
        <f>IF(Table1567[[#This Row],[Total Amount]]&gt;=1000,"High","Low")</f>
        <v>Low</v>
      </c>
      <c r="Q589" s="4" t="str" cm="1">
        <f t="array" ref="Q589">_xlfn.IFS(AND(Table1567[[#This Row],[Total Amount]]&gt;=1500,"Critical"),AND(Table1567[[#This Row],[Total Amount]]&gt;=1000,"High"),TRUE,"Normal")</f>
        <v>Normal</v>
      </c>
      <c r="R589" s="4" t="str">
        <f>CONCATENATE(Table1567[[#This Row],[Customer ID]], "-",Table1567[[#This Row],[Age]])</f>
        <v>CUST588-38</v>
      </c>
      <c r="S589" s="4" t="str">
        <f>TEXT(Table1567[[#This Row],[Date]],"mmm")</f>
        <v>Apr</v>
      </c>
      <c r="T589" s="4" t="str">
        <f>TEXT(Table1567[[#This Row],[Date]],"DDD")</f>
        <v>Wed</v>
      </c>
    </row>
    <row r="590" spans="1:20" ht="29" x14ac:dyDescent="0.35">
      <c r="A590" s="4">
        <v>589</v>
      </c>
      <c r="B590" s="5">
        <v>45028</v>
      </c>
      <c r="C590" s="4" t="s">
        <v>602</v>
      </c>
      <c r="D590" s="4" t="s">
        <v>13</v>
      </c>
      <c r="E590" s="4">
        <v>36</v>
      </c>
      <c r="F590" s="4" t="str">
        <f>IF(Table1567[[#This Row],[Age]]&lt;=19,"Teenager",IF(Table1567[[#This Row],[Age]]&lt;=40,"Median","Old"))</f>
        <v>Median</v>
      </c>
      <c r="G590" s="4" t="s">
        <v>11</v>
      </c>
      <c r="H590" s="4">
        <v>2</v>
      </c>
      <c r="I590" s="4">
        <v>500</v>
      </c>
      <c r="J590" s="4">
        <v>1000</v>
      </c>
      <c r="K590" s="4" t="str" cm="1">
        <f t="array" ref="K590">_xlfn.IFS(AND(Table1567[[#This Row],[Total Amount]]&gt;=1500),"Critical",AND(Table1567[[#This Row],[Total Amount]]&gt;=1000),"High",TRUE,"Normal")</f>
        <v>High</v>
      </c>
      <c r="L590" s="4" t="str">
        <f>IF(Table1567[[#This Row],[Total Amount]]&gt;=1000,"High",(IF(Table1567[[#This Row],[Total Amount]]&gt;=500,"Medium","Low")))</f>
        <v>High</v>
      </c>
      <c r="M590" s="4" t="str" cm="1">
        <f t="array" ref="M59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90" s="4" cm="1">
        <f t="array" ref="N59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590" s="4">
        <f>Table1567[[#This Row],[Total Amount]]-Table1567[[#This Row],[Discount Amount]]</f>
        <v>800</v>
      </c>
      <c r="P590" s="4" t="str">
        <f>IF(Table1567[[#This Row],[Total Amount]]&gt;=1000,"High","Low")</f>
        <v>High</v>
      </c>
      <c r="Q590" s="4" t="str" cm="1">
        <f t="array" ref="Q590">_xlfn.IFS(AND(Table1567[[#This Row],[Total Amount]]&gt;=1500,"Critical"),AND(Table1567[[#This Row],[Total Amount]]&gt;=1000,"High"),TRUE,"Normal")</f>
        <v>Normal</v>
      </c>
      <c r="R590" s="4" t="str">
        <f>CONCATENATE(Table1567[[#This Row],[Customer ID]], "-",Table1567[[#This Row],[Age]])</f>
        <v>CUST589-36</v>
      </c>
      <c r="S590" s="4" t="str">
        <f>TEXT(Table1567[[#This Row],[Date]],"mmm")</f>
        <v>Apr</v>
      </c>
      <c r="T590" s="4" t="str">
        <f>TEXT(Table1567[[#This Row],[Date]],"DDD")</f>
        <v>Wed</v>
      </c>
    </row>
    <row r="591" spans="1:20" ht="29" x14ac:dyDescent="0.35">
      <c r="A591" s="4">
        <v>590</v>
      </c>
      <c r="B591" s="5">
        <v>45002</v>
      </c>
      <c r="C591" s="4" t="s">
        <v>603</v>
      </c>
      <c r="D591" s="4" t="s">
        <v>10</v>
      </c>
      <c r="E591" s="4">
        <v>36</v>
      </c>
      <c r="F591" s="4" t="str">
        <f>IF(Table1567[[#This Row],[Age]]&lt;=19,"Teenager",IF(Table1567[[#This Row],[Age]]&lt;=40,"Median","Old"))</f>
        <v>Median</v>
      </c>
      <c r="G591" s="4" t="s">
        <v>14</v>
      </c>
      <c r="H591" s="4">
        <v>3</v>
      </c>
      <c r="I591" s="4">
        <v>300</v>
      </c>
      <c r="J591" s="4">
        <v>900</v>
      </c>
      <c r="K591" s="4" t="str" cm="1">
        <f t="array" ref="K591">_xlfn.IFS(AND(Table1567[[#This Row],[Total Amount]]&gt;=1500),"Critical",AND(Table1567[[#This Row],[Total Amount]]&gt;=1000),"High",TRUE,"Normal")</f>
        <v>Normal</v>
      </c>
      <c r="L591" s="4" t="str">
        <f>IF(Table1567[[#This Row],[Total Amount]]&gt;=1000,"High",(IF(Table1567[[#This Row],[Total Amount]]&gt;=500,"Medium","Low")))</f>
        <v>Medium</v>
      </c>
      <c r="M591" s="4" t="str" cm="1">
        <f t="array" ref="M59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91" s="4" cm="1">
        <f t="array" ref="N59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591" s="4">
        <f>Table1567[[#This Row],[Total Amount]]-Table1567[[#This Row],[Discount Amount]]</f>
        <v>810</v>
      </c>
      <c r="P591" s="4" t="str">
        <f>IF(Table1567[[#This Row],[Total Amount]]&gt;=1000,"High","Low")</f>
        <v>Low</v>
      </c>
      <c r="Q591" s="4" t="str" cm="1">
        <f t="array" ref="Q591">_xlfn.IFS(AND(Table1567[[#This Row],[Total Amount]]&gt;=1500,"Critical"),AND(Table1567[[#This Row],[Total Amount]]&gt;=1000,"High"),TRUE,"Normal")</f>
        <v>Normal</v>
      </c>
      <c r="R591" s="4" t="str">
        <f>CONCATENATE(Table1567[[#This Row],[Customer ID]], "-",Table1567[[#This Row],[Age]])</f>
        <v>CUST590-36</v>
      </c>
      <c r="S591" s="4" t="str">
        <f>TEXT(Table1567[[#This Row],[Date]],"mmm")</f>
        <v>Mar</v>
      </c>
      <c r="T591" s="4" t="str">
        <f>TEXT(Table1567[[#This Row],[Date]],"DDD")</f>
        <v>Fri</v>
      </c>
    </row>
    <row r="592" spans="1:20" ht="29" x14ac:dyDescent="0.35">
      <c r="A592" s="4">
        <v>591</v>
      </c>
      <c r="B592" s="5">
        <v>44939</v>
      </c>
      <c r="C592" s="4" t="s">
        <v>604</v>
      </c>
      <c r="D592" s="4" t="s">
        <v>10</v>
      </c>
      <c r="E592" s="4">
        <v>53</v>
      </c>
      <c r="F592" s="4" t="str">
        <f>IF(Table1567[[#This Row],[Age]]&lt;=19,"Teenager",IF(Table1567[[#This Row],[Age]]&lt;=40,"Median","Old"))</f>
        <v>Old</v>
      </c>
      <c r="G592" s="4" t="s">
        <v>16</v>
      </c>
      <c r="H592" s="4">
        <v>4</v>
      </c>
      <c r="I592" s="4">
        <v>25</v>
      </c>
      <c r="J592" s="4">
        <v>100</v>
      </c>
      <c r="K592" s="4" t="str" cm="1">
        <f t="array" ref="K592">_xlfn.IFS(AND(Table1567[[#This Row],[Total Amount]]&gt;=1500),"Critical",AND(Table1567[[#This Row],[Total Amount]]&gt;=1000),"High",TRUE,"Normal")</f>
        <v>Normal</v>
      </c>
      <c r="L592" s="4" t="str">
        <f>IF(Table1567[[#This Row],[Total Amount]]&gt;=1000,"High",(IF(Table1567[[#This Row],[Total Amount]]&gt;=500,"Medium","Low")))</f>
        <v>Low</v>
      </c>
      <c r="M592" s="4" t="str" cm="1">
        <f t="array" ref="M59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92" s="4" cm="1">
        <f t="array" ref="N59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592" s="4">
        <f>Table1567[[#This Row],[Total Amount]]-Table1567[[#This Row],[Discount Amount]]</f>
        <v>90</v>
      </c>
      <c r="P592" s="4" t="str">
        <f>IF(Table1567[[#This Row],[Total Amount]]&gt;=1000,"High","Low")</f>
        <v>Low</v>
      </c>
      <c r="Q592" s="4" t="str" cm="1">
        <f t="array" ref="Q592">_xlfn.IFS(AND(Table1567[[#This Row],[Total Amount]]&gt;=1500,"Critical"),AND(Table1567[[#This Row],[Total Amount]]&gt;=1000,"High"),TRUE,"Normal")</f>
        <v>Normal</v>
      </c>
      <c r="R592" s="4" t="str">
        <f>CONCATENATE(Table1567[[#This Row],[Customer ID]], "-",Table1567[[#This Row],[Age]])</f>
        <v>CUST591-53</v>
      </c>
      <c r="S592" s="4" t="str">
        <f>TEXT(Table1567[[#This Row],[Date]],"mmm")</f>
        <v>Jan</v>
      </c>
      <c r="T592" s="4" t="str">
        <f>TEXT(Table1567[[#This Row],[Date]],"DDD")</f>
        <v>Fri</v>
      </c>
    </row>
    <row r="593" spans="1:20" ht="29" x14ac:dyDescent="0.35">
      <c r="A593" s="4">
        <v>592</v>
      </c>
      <c r="B593" s="5">
        <v>44950</v>
      </c>
      <c r="C593" s="4" t="s">
        <v>605</v>
      </c>
      <c r="D593" s="4" t="s">
        <v>13</v>
      </c>
      <c r="E593" s="4">
        <v>46</v>
      </c>
      <c r="F593" s="4" t="str">
        <f>IF(Table1567[[#This Row],[Age]]&lt;=19,"Teenager",IF(Table1567[[#This Row],[Age]]&lt;=40,"Median","Old"))</f>
        <v>Old</v>
      </c>
      <c r="G593" s="4" t="s">
        <v>11</v>
      </c>
      <c r="H593" s="4">
        <v>4</v>
      </c>
      <c r="I593" s="4">
        <v>500</v>
      </c>
      <c r="J593" s="4">
        <v>2000</v>
      </c>
      <c r="K593" s="4" t="str" cm="1">
        <f t="array" ref="K593">_xlfn.IFS(AND(Table1567[[#This Row],[Total Amount]]&gt;=1500),"Critical",AND(Table1567[[#This Row],[Total Amount]]&gt;=1000),"High",TRUE,"Normal")</f>
        <v>Critical</v>
      </c>
      <c r="L593" s="4" t="str">
        <f>IF(Table1567[[#This Row],[Total Amount]]&gt;=1000,"High",(IF(Table1567[[#This Row],[Total Amount]]&gt;=500,"Medium","Low")))</f>
        <v>High</v>
      </c>
      <c r="M593" s="4" t="str" cm="1">
        <f t="array" ref="M59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93" s="4" cm="1">
        <f t="array" ref="N59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400</v>
      </c>
      <c r="O593" s="4">
        <f>Table1567[[#This Row],[Total Amount]]-Table1567[[#This Row],[Discount Amount]]</f>
        <v>1600</v>
      </c>
      <c r="P593" s="4" t="str">
        <f>IF(Table1567[[#This Row],[Total Amount]]&gt;=1000,"High","Low")</f>
        <v>High</v>
      </c>
      <c r="Q593" s="4" t="b" cm="1">
        <f t="array" ref="Q593">_xlfn.IFS(AND(Table1567[[#This Row],[Total Amount]]&gt;=1500,"Critical"),AND(Table1567[[#This Row],[Total Amount]]&gt;=1000,"High"),TRUE,"Normal")</f>
        <v>1</v>
      </c>
      <c r="R593" s="4" t="str">
        <f>CONCATENATE(Table1567[[#This Row],[Customer ID]], "-",Table1567[[#This Row],[Age]])</f>
        <v>CUST592-46</v>
      </c>
      <c r="S593" s="4" t="str">
        <f>TEXT(Table1567[[#This Row],[Date]],"mmm")</f>
        <v>Jan</v>
      </c>
      <c r="T593" s="4" t="str">
        <f>TEXT(Table1567[[#This Row],[Date]],"DDD")</f>
        <v>Tue</v>
      </c>
    </row>
    <row r="594" spans="1:20" ht="29" x14ac:dyDescent="0.35">
      <c r="A594" s="4">
        <v>593</v>
      </c>
      <c r="B594" s="5">
        <v>45052</v>
      </c>
      <c r="C594" s="4" t="s">
        <v>606</v>
      </c>
      <c r="D594" s="4" t="s">
        <v>10</v>
      </c>
      <c r="E594" s="4">
        <v>35</v>
      </c>
      <c r="F594" s="4" t="str">
        <f>IF(Table1567[[#This Row],[Age]]&lt;=19,"Teenager",IF(Table1567[[#This Row],[Age]]&lt;=40,"Median","Old"))</f>
        <v>Median</v>
      </c>
      <c r="G594" s="4" t="s">
        <v>16</v>
      </c>
      <c r="H594" s="4">
        <v>2</v>
      </c>
      <c r="I594" s="4">
        <v>30</v>
      </c>
      <c r="J594" s="4">
        <v>60</v>
      </c>
      <c r="K594" s="4" t="str" cm="1">
        <f t="array" ref="K594">_xlfn.IFS(AND(Table1567[[#This Row],[Total Amount]]&gt;=1500),"Critical",AND(Table1567[[#This Row],[Total Amount]]&gt;=1000),"High",TRUE,"Normal")</f>
        <v>Normal</v>
      </c>
      <c r="L594" s="4" t="str">
        <f>IF(Table1567[[#This Row],[Total Amount]]&gt;=1000,"High",(IF(Table1567[[#This Row],[Total Amount]]&gt;=500,"Medium","Low")))</f>
        <v>Low</v>
      </c>
      <c r="M594" s="4" t="str" cm="1">
        <f t="array" ref="M59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94" s="4" cm="1">
        <f t="array" ref="N59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594" s="4">
        <f>Table1567[[#This Row],[Total Amount]]-Table1567[[#This Row],[Discount Amount]]</f>
        <v>54</v>
      </c>
      <c r="P594" s="4" t="str">
        <f>IF(Table1567[[#This Row],[Total Amount]]&gt;=1000,"High","Low")</f>
        <v>Low</v>
      </c>
      <c r="Q594" s="4" t="str" cm="1">
        <f t="array" ref="Q594">_xlfn.IFS(AND(Table1567[[#This Row],[Total Amount]]&gt;=1500,"Critical"),AND(Table1567[[#This Row],[Total Amount]]&gt;=1000,"High"),TRUE,"Normal")</f>
        <v>Normal</v>
      </c>
      <c r="R594" s="4" t="str">
        <f>CONCATENATE(Table1567[[#This Row],[Customer ID]], "-",Table1567[[#This Row],[Age]])</f>
        <v>CUST593-35</v>
      </c>
      <c r="S594" s="4" t="str">
        <f>TEXT(Table1567[[#This Row],[Date]],"mmm")</f>
        <v>May</v>
      </c>
      <c r="T594" s="4" t="str">
        <f>TEXT(Table1567[[#This Row],[Date]],"DDD")</f>
        <v>Sat</v>
      </c>
    </row>
    <row r="595" spans="1:20" ht="29" x14ac:dyDescent="0.35">
      <c r="A595" s="4">
        <v>594</v>
      </c>
      <c r="B595" s="5">
        <v>45170</v>
      </c>
      <c r="C595" s="4" t="s">
        <v>607</v>
      </c>
      <c r="D595" s="4" t="s">
        <v>13</v>
      </c>
      <c r="E595" s="4">
        <v>19</v>
      </c>
      <c r="F595" s="4" t="str">
        <f>IF(Table1567[[#This Row],[Age]]&lt;=19,"Teenager",IF(Table1567[[#This Row],[Age]]&lt;=40,"Median","Old"))</f>
        <v>Teenager</v>
      </c>
      <c r="G595" s="4" t="s">
        <v>16</v>
      </c>
      <c r="H595" s="4">
        <v>2</v>
      </c>
      <c r="I595" s="4">
        <v>300</v>
      </c>
      <c r="J595" s="4">
        <v>600</v>
      </c>
      <c r="K595" s="4" t="str" cm="1">
        <f t="array" ref="K595">_xlfn.IFS(AND(Table1567[[#This Row],[Total Amount]]&gt;=1500),"Critical",AND(Table1567[[#This Row],[Total Amount]]&gt;=1000),"High",TRUE,"Normal")</f>
        <v>Normal</v>
      </c>
      <c r="L595" s="4" t="str">
        <f>IF(Table1567[[#This Row],[Total Amount]]&gt;=1000,"High",(IF(Table1567[[#This Row],[Total Amount]]&gt;=500,"Medium","Low")))</f>
        <v>Medium</v>
      </c>
      <c r="M595" s="4" t="str" cm="1">
        <f t="array" ref="M59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595" s="4" cm="1">
        <f t="array" ref="N59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595" s="4">
        <f>Table1567[[#This Row],[Total Amount]]-Table1567[[#This Row],[Discount Amount]]</f>
        <v>600</v>
      </c>
      <c r="P595" s="4" t="str">
        <f>IF(Table1567[[#This Row],[Total Amount]]&gt;=1000,"High","Low")</f>
        <v>Low</v>
      </c>
      <c r="Q595" s="4" t="str" cm="1">
        <f t="array" ref="Q595">_xlfn.IFS(AND(Table1567[[#This Row],[Total Amount]]&gt;=1500,"Critical"),AND(Table1567[[#This Row],[Total Amount]]&gt;=1000,"High"),TRUE,"Normal")</f>
        <v>Normal</v>
      </c>
      <c r="R595" s="4" t="str">
        <f>CONCATENATE(Table1567[[#This Row],[Customer ID]], "-",Table1567[[#This Row],[Age]])</f>
        <v>CUST594-19</v>
      </c>
      <c r="S595" s="4" t="str">
        <f>TEXT(Table1567[[#This Row],[Date]],"mmm")</f>
        <v>Sep</v>
      </c>
      <c r="T595" s="4" t="str">
        <f>TEXT(Table1567[[#This Row],[Date]],"DDD")</f>
        <v>Fri</v>
      </c>
    </row>
    <row r="596" spans="1:20" ht="29" x14ac:dyDescent="0.35">
      <c r="A596" s="4">
        <v>595</v>
      </c>
      <c r="B596" s="5">
        <v>45239</v>
      </c>
      <c r="C596" s="4" t="s">
        <v>608</v>
      </c>
      <c r="D596" s="4" t="s">
        <v>13</v>
      </c>
      <c r="E596" s="4">
        <v>18</v>
      </c>
      <c r="F596" s="4" t="str">
        <f>IF(Table1567[[#This Row],[Age]]&lt;=19,"Teenager",IF(Table1567[[#This Row],[Age]]&lt;=40,"Median","Old"))</f>
        <v>Teenager</v>
      </c>
      <c r="G596" s="4" t="s">
        <v>14</v>
      </c>
      <c r="H596" s="4">
        <v>4</v>
      </c>
      <c r="I596" s="4">
        <v>500</v>
      </c>
      <c r="J596" s="4">
        <v>2000</v>
      </c>
      <c r="K596" s="4" t="str" cm="1">
        <f t="array" ref="K596">_xlfn.IFS(AND(Table1567[[#This Row],[Total Amount]]&gt;=1500),"Critical",AND(Table1567[[#This Row],[Total Amount]]&gt;=1000),"High",TRUE,"Normal")</f>
        <v>Critical</v>
      </c>
      <c r="L596" s="4" t="str">
        <f>IF(Table1567[[#This Row],[Total Amount]]&gt;=1000,"High",(IF(Table1567[[#This Row],[Total Amount]]&gt;=500,"Medium","Low")))</f>
        <v>High</v>
      </c>
      <c r="M596" s="4" t="str" cm="1">
        <f t="array" ref="M59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596" s="4" cm="1">
        <f t="array" ref="N59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596" s="4">
        <f>Table1567[[#This Row],[Total Amount]]-Table1567[[#This Row],[Discount Amount]]</f>
        <v>2000</v>
      </c>
      <c r="P596" s="4" t="str">
        <f>IF(Table1567[[#This Row],[Total Amount]]&gt;=1000,"High","Low")</f>
        <v>High</v>
      </c>
      <c r="Q596" s="4" t="b" cm="1">
        <f t="array" ref="Q596">_xlfn.IFS(AND(Table1567[[#This Row],[Total Amount]]&gt;=1500,"Critical"),AND(Table1567[[#This Row],[Total Amount]]&gt;=1000,"High"),TRUE,"Normal")</f>
        <v>1</v>
      </c>
      <c r="R596" s="4" t="str">
        <f>CONCATENATE(Table1567[[#This Row],[Customer ID]], "-",Table1567[[#This Row],[Age]])</f>
        <v>CUST595-18</v>
      </c>
      <c r="S596" s="4" t="str">
        <f>TEXT(Table1567[[#This Row],[Date]],"mmm")</f>
        <v>Nov</v>
      </c>
      <c r="T596" s="4" t="str">
        <f>TEXT(Table1567[[#This Row],[Date]],"DDD")</f>
        <v>Thu</v>
      </c>
    </row>
    <row r="597" spans="1:20" ht="29" x14ac:dyDescent="0.35">
      <c r="A597" s="4">
        <v>596</v>
      </c>
      <c r="B597" s="5">
        <v>44964</v>
      </c>
      <c r="C597" s="4" t="s">
        <v>609</v>
      </c>
      <c r="D597" s="4" t="s">
        <v>13</v>
      </c>
      <c r="E597" s="4">
        <v>64</v>
      </c>
      <c r="F597" s="4" t="str">
        <f>IF(Table1567[[#This Row],[Age]]&lt;=19,"Teenager",IF(Table1567[[#This Row],[Age]]&lt;=40,"Median","Old"))</f>
        <v>Old</v>
      </c>
      <c r="G597" s="4" t="s">
        <v>16</v>
      </c>
      <c r="H597" s="4">
        <v>1</v>
      </c>
      <c r="I597" s="4">
        <v>300</v>
      </c>
      <c r="J597" s="4">
        <v>300</v>
      </c>
      <c r="K597" s="4" t="str" cm="1">
        <f t="array" ref="K597">_xlfn.IFS(AND(Table1567[[#This Row],[Total Amount]]&gt;=1500),"Critical",AND(Table1567[[#This Row],[Total Amount]]&gt;=1000),"High",TRUE,"Normal")</f>
        <v>Normal</v>
      </c>
      <c r="L597" s="4" t="str">
        <f>IF(Table1567[[#This Row],[Total Amount]]&gt;=1000,"High",(IF(Table1567[[#This Row],[Total Amount]]&gt;=500,"Medium","Low")))</f>
        <v>Low</v>
      </c>
      <c r="M597" s="4" t="str" cm="1">
        <f t="array" ref="M59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97" s="4" cm="1">
        <f t="array" ref="N59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597" s="4">
        <f>Table1567[[#This Row],[Total Amount]]-Table1567[[#This Row],[Discount Amount]]</f>
        <v>240</v>
      </c>
      <c r="P597" s="4" t="str">
        <f>IF(Table1567[[#This Row],[Total Amount]]&gt;=1000,"High","Low")</f>
        <v>Low</v>
      </c>
      <c r="Q597" s="4" t="str" cm="1">
        <f t="array" ref="Q597">_xlfn.IFS(AND(Table1567[[#This Row],[Total Amount]]&gt;=1500,"Critical"),AND(Table1567[[#This Row],[Total Amount]]&gt;=1000,"High"),TRUE,"Normal")</f>
        <v>Normal</v>
      </c>
      <c r="R597" s="4" t="str">
        <f>CONCATENATE(Table1567[[#This Row],[Customer ID]], "-",Table1567[[#This Row],[Age]])</f>
        <v>CUST596-64</v>
      </c>
      <c r="S597" s="4" t="str">
        <f>TEXT(Table1567[[#This Row],[Date]],"mmm")</f>
        <v>Feb</v>
      </c>
      <c r="T597" s="4" t="str">
        <f>TEXT(Table1567[[#This Row],[Date]],"DDD")</f>
        <v>Tue</v>
      </c>
    </row>
    <row r="598" spans="1:20" ht="29" x14ac:dyDescent="0.35">
      <c r="A598" s="4">
        <v>597</v>
      </c>
      <c r="B598" s="5">
        <v>45160</v>
      </c>
      <c r="C598" s="4" t="s">
        <v>610</v>
      </c>
      <c r="D598" s="4" t="s">
        <v>10</v>
      </c>
      <c r="E598" s="4">
        <v>22</v>
      </c>
      <c r="F598" s="4" t="str">
        <f>IF(Table1567[[#This Row],[Age]]&lt;=19,"Teenager",IF(Table1567[[#This Row],[Age]]&lt;=40,"Median","Old"))</f>
        <v>Median</v>
      </c>
      <c r="G598" s="4" t="s">
        <v>11</v>
      </c>
      <c r="H598" s="4">
        <v>4</v>
      </c>
      <c r="I598" s="4">
        <v>300</v>
      </c>
      <c r="J598" s="4">
        <v>1200</v>
      </c>
      <c r="K598" s="4" t="str" cm="1">
        <f t="array" ref="K598">_xlfn.IFS(AND(Table1567[[#This Row],[Total Amount]]&gt;=1500),"Critical",AND(Table1567[[#This Row],[Total Amount]]&gt;=1000),"High",TRUE,"Normal")</f>
        <v>High</v>
      </c>
      <c r="L598" s="4" t="str">
        <f>IF(Table1567[[#This Row],[Total Amount]]&gt;=1000,"High",(IF(Table1567[[#This Row],[Total Amount]]&gt;=500,"Medium","Low")))</f>
        <v>High</v>
      </c>
      <c r="M598" s="4" t="str" cm="1">
        <f t="array" ref="M59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598" s="4" cm="1">
        <f t="array" ref="N59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598" s="4">
        <f>Table1567[[#This Row],[Total Amount]]-Table1567[[#This Row],[Discount Amount]]</f>
        <v>1200</v>
      </c>
      <c r="P598" s="4" t="str">
        <f>IF(Table1567[[#This Row],[Total Amount]]&gt;=1000,"High","Low")</f>
        <v>High</v>
      </c>
      <c r="Q598" s="4" t="str" cm="1">
        <f t="array" ref="Q598">_xlfn.IFS(AND(Table1567[[#This Row],[Total Amount]]&gt;=1500,"Critical"),AND(Table1567[[#This Row],[Total Amount]]&gt;=1000,"High"),TRUE,"Normal")</f>
        <v>Normal</v>
      </c>
      <c r="R598" s="4" t="str">
        <f>CONCATENATE(Table1567[[#This Row],[Customer ID]], "-",Table1567[[#This Row],[Age]])</f>
        <v>CUST597-22</v>
      </c>
      <c r="S598" s="4" t="str">
        <f>TEXT(Table1567[[#This Row],[Date]],"mmm")</f>
        <v>Aug</v>
      </c>
      <c r="T598" s="4" t="str">
        <f>TEXT(Table1567[[#This Row],[Date]],"DDD")</f>
        <v>Tue</v>
      </c>
    </row>
    <row r="599" spans="1:20" ht="29" x14ac:dyDescent="0.35">
      <c r="A599" s="4">
        <v>598</v>
      </c>
      <c r="B599" s="5">
        <v>45139</v>
      </c>
      <c r="C599" s="4" t="s">
        <v>611</v>
      </c>
      <c r="D599" s="4" t="s">
        <v>10</v>
      </c>
      <c r="E599" s="4">
        <v>37</v>
      </c>
      <c r="F599" s="4" t="str">
        <f>IF(Table1567[[#This Row],[Age]]&lt;=19,"Teenager",IF(Table1567[[#This Row],[Age]]&lt;=40,"Median","Old"))</f>
        <v>Median</v>
      </c>
      <c r="G599" s="4" t="s">
        <v>11</v>
      </c>
      <c r="H599" s="4">
        <v>4</v>
      </c>
      <c r="I599" s="4">
        <v>30</v>
      </c>
      <c r="J599" s="4">
        <v>120</v>
      </c>
      <c r="K599" s="4" t="str" cm="1">
        <f t="array" ref="K599">_xlfn.IFS(AND(Table1567[[#This Row],[Total Amount]]&gt;=1500),"Critical",AND(Table1567[[#This Row],[Total Amount]]&gt;=1000),"High",TRUE,"Normal")</f>
        <v>Normal</v>
      </c>
      <c r="L599" s="4" t="str">
        <f>IF(Table1567[[#This Row],[Total Amount]]&gt;=1000,"High",(IF(Table1567[[#This Row],[Total Amount]]&gt;=500,"Medium","Low")))</f>
        <v>Low</v>
      </c>
      <c r="M599" s="4" t="str" cm="1">
        <f t="array" ref="M59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99" s="4" cm="1">
        <f t="array" ref="N59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599" s="4">
        <f>Table1567[[#This Row],[Total Amount]]-Table1567[[#This Row],[Discount Amount]]</f>
        <v>108</v>
      </c>
      <c r="P599" s="4" t="str">
        <f>IF(Table1567[[#This Row],[Total Amount]]&gt;=1000,"High","Low")</f>
        <v>Low</v>
      </c>
      <c r="Q599" s="4" t="str" cm="1">
        <f t="array" ref="Q599">_xlfn.IFS(AND(Table1567[[#This Row],[Total Amount]]&gt;=1500,"Critical"),AND(Table1567[[#This Row],[Total Amount]]&gt;=1000,"High"),TRUE,"Normal")</f>
        <v>Normal</v>
      </c>
      <c r="R599" s="4" t="str">
        <f>CONCATENATE(Table1567[[#This Row],[Customer ID]], "-",Table1567[[#This Row],[Age]])</f>
        <v>CUST598-37</v>
      </c>
      <c r="S599" s="4" t="str">
        <f>TEXT(Table1567[[#This Row],[Date]],"mmm")</f>
        <v>Aug</v>
      </c>
      <c r="T599" s="4" t="str">
        <f>TEXT(Table1567[[#This Row],[Date]],"DDD")</f>
        <v>Tue</v>
      </c>
    </row>
    <row r="600" spans="1:20" ht="29" x14ac:dyDescent="0.35">
      <c r="A600" s="4">
        <v>599</v>
      </c>
      <c r="B600" s="5">
        <v>45249</v>
      </c>
      <c r="C600" s="4" t="s">
        <v>612</v>
      </c>
      <c r="D600" s="4" t="s">
        <v>13</v>
      </c>
      <c r="E600" s="4">
        <v>28</v>
      </c>
      <c r="F600" s="4" t="str">
        <f>IF(Table1567[[#This Row],[Age]]&lt;=19,"Teenager",IF(Table1567[[#This Row],[Age]]&lt;=40,"Median","Old"))</f>
        <v>Median</v>
      </c>
      <c r="G600" s="4" t="s">
        <v>11</v>
      </c>
      <c r="H600" s="4">
        <v>2</v>
      </c>
      <c r="I600" s="4">
        <v>50</v>
      </c>
      <c r="J600" s="4">
        <v>100</v>
      </c>
      <c r="K600" s="4" t="str" cm="1">
        <f t="array" ref="K600">_xlfn.IFS(AND(Table1567[[#This Row],[Total Amount]]&gt;=1500),"Critical",AND(Table1567[[#This Row],[Total Amount]]&gt;=1000),"High",TRUE,"Normal")</f>
        <v>Normal</v>
      </c>
      <c r="L600" s="4" t="str">
        <f>IF(Table1567[[#This Row],[Total Amount]]&gt;=1000,"High",(IF(Table1567[[#This Row],[Total Amount]]&gt;=500,"Medium","Low")))</f>
        <v>Low</v>
      </c>
      <c r="M600" s="4" t="str" cm="1">
        <f t="array" ref="M60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00" s="4" cm="1">
        <f t="array" ref="N60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600" s="4">
        <f>Table1567[[#This Row],[Total Amount]]-Table1567[[#This Row],[Discount Amount]]</f>
        <v>85</v>
      </c>
      <c r="P600" s="4" t="str">
        <f>IF(Table1567[[#This Row],[Total Amount]]&gt;=1000,"High","Low")</f>
        <v>Low</v>
      </c>
      <c r="Q600" s="4" t="str" cm="1">
        <f t="array" ref="Q600">_xlfn.IFS(AND(Table1567[[#This Row],[Total Amount]]&gt;=1500,"Critical"),AND(Table1567[[#This Row],[Total Amount]]&gt;=1000,"High"),TRUE,"Normal")</f>
        <v>Normal</v>
      </c>
      <c r="R600" s="4" t="str">
        <f>CONCATENATE(Table1567[[#This Row],[Customer ID]], "-",Table1567[[#This Row],[Age]])</f>
        <v>CUST599-28</v>
      </c>
      <c r="S600" s="4" t="str">
        <f>TEXT(Table1567[[#This Row],[Date]],"mmm")</f>
        <v>Nov</v>
      </c>
      <c r="T600" s="4" t="str">
        <f>TEXT(Table1567[[#This Row],[Date]],"DDD")</f>
        <v>Sun</v>
      </c>
    </row>
    <row r="601" spans="1:20" ht="29" x14ac:dyDescent="0.35">
      <c r="A601" s="4">
        <v>600</v>
      </c>
      <c r="B601" s="5">
        <v>45221</v>
      </c>
      <c r="C601" s="4" t="s">
        <v>613</v>
      </c>
      <c r="D601" s="4" t="s">
        <v>13</v>
      </c>
      <c r="E601" s="4">
        <v>59</v>
      </c>
      <c r="F601" s="4" t="str">
        <f>IF(Table1567[[#This Row],[Age]]&lt;=19,"Teenager",IF(Table1567[[#This Row],[Age]]&lt;=40,"Median","Old"))</f>
        <v>Old</v>
      </c>
      <c r="G601" s="4" t="s">
        <v>11</v>
      </c>
      <c r="H601" s="4">
        <v>2</v>
      </c>
      <c r="I601" s="4">
        <v>500</v>
      </c>
      <c r="J601" s="4">
        <v>1000</v>
      </c>
      <c r="K601" s="4" t="str" cm="1">
        <f t="array" ref="K601">_xlfn.IFS(AND(Table1567[[#This Row],[Total Amount]]&gt;=1500),"Critical",AND(Table1567[[#This Row],[Total Amount]]&gt;=1000),"High",TRUE,"Normal")</f>
        <v>High</v>
      </c>
      <c r="L601" s="4" t="str">
        <f>IF(Table1567[[#This Row],[Total Amount]]&gt;=1000,"High",(IF(Table1567[[#This Row],[Total Amount]]&gt;=500,"Medium","Low")))</f>
        <v>High</v>
      </c>
      <c r="M601" s="4" t="str" cm="1">
        <f t="array" ref="M60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01" s="4" cm="1">
        <f t="array" ref="N60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601" s="4">
        <f>Table1567[[#This Row],[Total Amount]]-Table1567[[#This Row],[Discount Amount]]</f>
        <v>800</v>
      </c>
      <c r="P601" s="4" t="str">
        <f>IF(Table1567[[#This Row],[Total Amount]]&gt;=1000,"High","Low")</f>
        <v>High</v>
      </c>
      <c r="Q601" s="4" t="str" cm="1">
        <f t="array" ref="Q601">_xlfn.IFS(AND(Table1567[[#This Row],[Total Amount]]&gt;=1500,"Critical"),AND(Table1567[[#This Row],[Total Amount]]&gt;=1000,"High"),TRUE,"Normal")</f>
        <v>Normal</v>
      </c>
      <c r="R601" s="4" t="str">
        <f>CONCATENATE(Table1567[[#This Row],[Customer ID]], "-",Table1567[[#This Row],[Age]])</f>
        <v>CUST600-59</v>
      </c>
      <c r="S601" s="4" t="str">
        <f>TEXT(Table1567[[#This Row],[Date]],"mmm")</f>
        <v>Oct</v>
      </c>
      <c r="T601" s="4" t="str">
        <f>TEXT(Table1567[[#This Row],[Date]],"DDD")</f>
        <v>Sun</v>
      </c>
    </row>
    <row r="602" spans="1:20" ht="29" x14ac:dyDescent="0.35">
      <c r="A602" s="4">
        <v>601</v>
      </c>
      <c r="B602" s="5">
        <v>45026</v>
      </c>
      <c r="C602" s="4" t="s">
        <v>614</v>
      </c>
      <c r="D602" s="4" t="s">
        <v>10</v>
      </c>
      <c r="E602" s="4">
        <v>19</v>
      </c>
      <c r="F602" s="4" t="str">
        <f>IF(Table1567[[#This Row],[Age]]&lt;=19,"Teenager",IF(Table1567[[#This Row],[Age]]&lt;=40,"Median","Old"))</f>
        <v>Teenager</v>
      </c>
      <c r="G602" s="4" t="s">
        <v>14</v>
      </c>
      <c r="H602" s="4">
        <v>1</v>
      </c>
      <c r="I602" s="4">
        <v>30</v>
      </c>
      <c r="J602" s="4">
        <v>30</v>
      </c>
      <c r="K602" s="4" t="str" cm="1">
        <f t="array" ref="K602">_xlfn.IFS(AND(Table1567[[#This Row],[Total Amount]]&gt;=1500),"Critical",AND(Table1567[[#This Row],[Total Amount]]&gt;=1000),"High",TRUE,"Normal")</f>
        <v>Normal</v>
      </c>
      <c r="L602" s="4" t="str">
        <f>IF(Table1567[[#This Row],[Total Amount]]&gt;=1000,"High",(IF(Table1567[[#This Row],[Total Amount]]&gt;=500,"Medium","Low")))</f>
        <v>Low</v>
      </c>
      <c r="M602" s="4" t="str" cm="1">
        <f t="array" ref="M60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602" s="4" cm="1">
        <f t="array" ref="N60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602" s="4">
        <f>Table1567[[#This Row],[Total Amount]]-Table1567[[#This Row],[Discount Amount]]</f>
        <v>30</v>
      </c>
      <c r="P602" s="4" t="str">
        <f>IF(Table1567[[#This Row],[Total Amount]]&gt;=1000,"High","Low")</f>
        <v>Low</v>
      </c>
      <c r="Q602" s="4" t="str" cm="1">
        <f t="array" ref="Q602">_xlfn.IFS(AND(Table1567[[#This Row],[Total Amount]]&gt;=1500,"Critical"),AND(Table1567[[#This Row],[Total Amount]]&gt;=1000,"High"),TRUE,"Normal")</f>
        <v>Normal</v>
      </c>
      <c r="R602" s="4" t="str">
        <f>CONCATENATE(Table1567[[#This Row],[Customer ID]], "-",Table1567[[#This Row],[Age]])</f>
        <v>CUST601-19</v>
      </c>
      <c r="S602" s="4" t="str">
        <f>TEXT(Table1567[[#This Row],[Date]],"mmm")</f>
        <v>Apr</v>
      </c>
      <c r="T602" s="4" t="str">
        <f>TEXT(Table1567[[#This Row],[Date]],"DDD")</f>
        <v>Mon</v>
      </c>
    </row>
    <row r="603" spans="1:20" ht="29" x14ac:dyDescent="0.35">
      <c r="A603" s="4">
        <v>602</v>
      </c>
      <c r="B603" s="5">
        <v>45283</v>
      </c>
      <c r="C603" s="4" t="s">
        <v>615</v>
      </c>
      <c r="D603" s="4" t="s">
        <v>13</v>
      </c>
      <c r="E603" s="4">
        <v>20</v>
      </c>
      <c r="F603" s="4" t="str">
        <f>IF(Table1567[[#This Row],[Age]]&lt;=19,"Teenager",IF(Table1567[[#This Row],[Age]]&lt;=40,"Median","Old"))</f>
        <v>Median</v>
      </c>
      <c r="G603" s="4" t="s">
        <v>16</v>
      </c>
      <c r="H603" s="4">
        <v>1</v>
      </c>
      <c r="I603" s="4">
        <v>300</v>
      </c>
      <c r="J603" s="4">
        <v>300</v>
      </c>
      <c r="K603" s="4" t="str" cm="1">
        <f t="array" ref="K603">_xlfn.IFS(AND(Table1567[[#This Row],[Total Amount]]&gt;=1500),"Critical",AND(Table1567[[#This Row],[Total Amount]]&gt;=1000),"High",TRUE,"Normal")</f>
        <v>Normal</v>
      </c>
      <c r="L603" s="4" t="str">
        <f>IF(Table1567[[#This Row],[Total Amount]]&gt;=1000,"High",(IF(Table1567[[#This Row],[Total Amount]]&gt;=500,"Medium","Low")))</f>
        <v>Low</v>
      </c>
      <c r="M603" s="4" t="str" cm="1">
        <f t="array" ref="M60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603" s="4" cm="1">
        <f t="array" ref="N60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603" s="4">
        <f>Table1567[[#This Row],[Total Amount]]-Table1567[[#This Row],[Discount Amount]]</f>
        <v>300</v>
      </c>
      <c r="P603" s="4" t="str">
        <f>IF(Table1567[[#This Row],[Total Amount]]&gt;=1000,"High","Low")</f>
        <v>Low</v>
      </c>
      <c r="Q603" s="4" t="str" cm="1">
        <f t="array" ref="Q603">_xlfn.IFS(AND(Table1567[[#This Row],[Total Amount]]&gt;=1500,"Critical"),AND(Table1567[[#This Row],[Total Amount]]&gt;=1000,"High"),TRUE,"Normal")</f>
        <v>Normal</v>
      </c>
      <c r="R603" s="4" t="str">
        <f>CONCATENATE(Table1567[[#This Row],[Customer ID]], "-",Table1567[[#This Row],[Age]])</f>
        <v>CUST602-20</v>
      </c>
      <c r="S603" s="4" t="str">
        <f>TEXT(Table1567[[#This Row],[Date]],"mmm")</f>
        <v>Dec</v>
      </c>
      <c r="T603" s="4" t="str">
        <f>TEXT(Table1567[[#This Row],[Date]],"DDD")</f>
        <v>Sat</v>
      </c>
    </row>
    <row r="604" spans="1:20" ht="29" x14ac:dyDescent="0.35">
      <c r="A604" s="4">
        <v>603</v>
      </c>
      <c r="B604" s="5">
        <v>45123</v>
      </c>
      <c r="C604" s="4" t="s">
        <v>616</v>
      </c>
      <c r="D604" s="4" t="s">
        <v>13</v>
      </c>
      <c r="E604" s="4">
        <v>40</v>
      </c>
      <c r="F604" s="4" t="str">
        <f>IF(Table1567[[#This Row],[Age]]&lt;=19,"Teenager",IF(Table1567[[#This Row],[Age]]&lt;=40,"Median","Old"))</f>
        <v>Median</v>
      </c>
      <c r="G604" s="4" t="s">
        <v>14</v>
      </c>
      <c r="H604" s="4">
        <v>3</v>
      </c>
      <c r="I604" s="4">
        <v>30</v>
      </c>
      <c r="J604" s="4">
        <v>90</v>
      </c>
      <c r="K604" s="4" t="str" cm="1">
        <f t="array" ref="K604">_xlfn.IFS(AND(Table1567[[#This Row],[Total Amount]]&gt;=1500),"Critical",AND(Table1567[[#This Row],[Total Amount]]&gt;=1000),"High",TRUE,"Normal")</f>
        <v>Normal</v>
      </c>
      <c r="L604" s="4" t="str">
        <f>IF(Table1567[[#This Row],[Total Amount]]&gt;=1000,"High",(IF(Table1567[[#This Row],[Total Amount]]&gt;=500,"Medium","Low")))</f>
        <v>Low</v>
      </c>
      <c r="M604" s="4" t="str" cm="1">
        <f t="array" ref="M60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04" s="4" cm="1">
        <f t="array" ref="N60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604" s="4">
        <f>Table1567[[#This Row],[Total Amount]]-Table1567[[#This Row],[Discount Amount]]</f>
        <v>72</v>
      </c>
      <c r="P604" s="4" t="str">
        <f>IF(Table1567[[#This Row],[Total Amount]]&gt;=1000,"High","Low")</f>
        <v>Low</v>
      </c>
      <c r="Q604" s="4" t="str" cm="1">
        <f t="array" ref="Q604">_xlfn.IFS(AND(Table1567[[#This Row],[Total Amount]]&gt;=1500,"Critical"),AND(Table1567[[#This Row],[Total Amount]]&gt;=1000,"High"),TRUE,"Normal")</f>
        <v>Normal</v>
      </c>
      <c r="R604" s="4" t="str">
        <f>CONCATENATE(Table1567[[#This Row],[Customer ID]], "-",Table1567[[#This Row],[Age]])</f>
        <v>CUST603-40</v>
      </c>
      <c r="S604" s="4" t="str">
        <f>TEXT(Table1567[[#This Row],[Date]],"mmm")</f>
        <v>Jul</v>
      </c>
      <c r="T604" s="4" t="str">
        <f>TEXT(Table1567[[#This Row],[Date]],"DDD")</f>
        <v>Sun</v>
      </c>
    </row>
    <row r="605" spans="1:20" ht="29" x14ac:dyDescent="0.35">
      <c r="A605" s="4">
        <v>604</v>
      </c>
      <c r="B605" s="5">
        <v>45180</v>
      </c>
      <c r="C605" s="4" t="s">
        <v>617</v>
      </c>
      <c r="D605" s="4" t="s">
        <v>13</v>
      </c>
      <c r="E605" s="4">
        <v>29</v>
      </c>
      <c r="F605" s="4" t="str">
        <f>IF(Table1567[[#This Row],[Age]]&lt;=19,"Teenager",IF(Table1567[[#This Row],[Age]]&lt;=40,"Median","Old"))</f>
        <v>Median</v>
      </c>
      <c r="G605" s="4" t="s">
        <v>16</v>
      </c>
      <c r="H605" s="4">
        <v>4</v>
      </c>
      <c r="I605" s="4">
        <v>50</v>
      </c>
      <c r="J605" s="4">
        <v>200</v>
      </c>
      <c r="K605" s="4" t="str" cm="1">
        <f t="array" ref="K605">_xlfn.IFS(AND(Table1567[[#This Row],[Total Amount]]&gt;=1500),"Critical",AND(Table1567[[#This Row],[Total Amount]]&gt;=1000),"High",TRUE,"Normal")</f>
        <v>Normal</v>
      </c>
      <c r="L605" s="4" t="str">
        <f>IF(Table1567[[#This Row],[Total Amount]]&gt;=1000,"High",(IF(Table1567[[#This Row],[Total Amount]]&gt;=500,"Medium","Low")))</f>
        <v>Low</v>
      </c>
      <c r="M605" s="4" t="str" cm="1">
        <f t="array" ref="M60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05" s="4" cm="1">
        <f t="array" ref="N60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605" s="4">
        <f>Table1567[[#This Row],[Total Amount]]-Table1567[[#This Row],[Discount Amount]]</f>
        <v>170</v>
      </c>
      <c r="P605" s="4" t="str">
        <f>IF(Table1567[[#This Row],[Total Amount]]&gt;=1000,"High","Low")</f>
        <v>Low</v>
      </c>
      <c r="Q605" s="4" t="str" cm="1">
        <f t="array" ref="Q605">_xlfn.IFS(AND(Table1567[[#This Row],[Total Amount]]&gt;=1500,"Critical"),AND(Table1567[[#This Row],[Total Amount]]&gt;=1000,"High"),TRUE,"Normal")</f>
        <v>Normal</v>
      </c>
      <c r="R605" s="4" t="str">
        <f>CONCATENATE(Table1567[[#This Row],[Customer ID]], "-",Table1567[[#This Row],[Age]])</f>
        <v>CUST604-29</v>
      </c>
      <c r="S605" s="4" t="str">
        <f>TEXT(Table1567[[#This Row],[Date]],"mmm")</f>
        <v>Sep</v>
      </c>
      <c r="T605" s="4" t="str">
        <f>TEXT(Table1567[[#This Row],[Date]],"DDD")</f>
        <v>Mon</v>
      </c>
    </row>
    <row r="606" spans="1:20" ht="29" x14ac:dyDescent="0.35">
      <c r="A606" s="4">
        <v>605</v>
      </c>
      <c r="B606" s="5">
        <v>45131</v>
      </c>
      <c r="C606" s="4" t="s">
        <v>618</v>
      </c>
      <c r="D606" s="4" t="s">
        <v>10</v>
      </c>
      <c r="E606" s="4">
        <v>37</v>
      </c>
      <c r="F606" s="4" t="str">
        <f>IF(Table1567[[#This Row],[Age]]&lt;=19,"Teenager",IF(Table1567[[#This Row],[Age]]&lt;=40,"Median","Old"))</f>
        <v>Median</v>
      </c>
      <c r="G606" s="4" t="s">
        <v>16</v>
      </c>
      <c r="H606" s="4">
        <v>2</v>
      </c>
      <c r="I606" s="4">
        <v>500</v>
      </c>
      <c r="J606" s="4">
        <v>1000</v>
      </c>
      <c r="K606" s="4" t="str" cm="1">
        <f t="array" ref="K606">_xlfn.IFS(AND(Table1567[[#This Row],[Total Amount]]&gt;=1500),"Critical",AND(Table1567[[#This Row],[Total Amount]]&gt;=1000),"High",TRUE,"Normal")</f>
        <v>High</v>
      </c>
      <c r="L606" s="4" t="str">
        <f>IF(Table1567[[#This Row],[Total Amount]]&gt;=1000,"High",(IF(Table1567[[#This Row],[Total Amount]]&gt;=500,"Medium","Low")))</f>
        <v>High</v>
      </c>
      <c r="M606" s="4" t="str" cm="1">
        <f t="array" ref="M60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06" s="4" cm="1">
        <f t="array" ref="N60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606" s="4">
        <f>Table1567[[#This Row],[Total Amount]]-Table1567[[#This Row],[Discount Amount]]</f>
        <v>900</v>
      </c>
      <c r="P606" s="4" t="str">
        <f>IF(Table1567[[#This Row],[Total Amount]]&gt;=1000,"High","Low")</f>
        <v>High</v>
      </c>
      <c r="Q606" s="4" t="str" cm="1">
        <f t="array" ref="Q606">_xlfn.IFS(AND(Table1567[[#This Row],[Total Amount]]&gt;=1500,"Critical"),AND(Table1567[[#This Row],[Total Amount]]&gt;=1000,"High"),TRUE,"Normal")</f>
        <v>Normal</v>
      </c>
      <c r="R606" s="4" t="str">
        <f>CONCATENATE(Table1567[[#This Row],[Customer ID]], "-",Table1567[[#This Row],[Age]])</f>
        <v>CUST605-37</v>
      </c>
      <c r="S606" s="4" t="str">
        <f>TEXT(Table1567[[#This Row],[Date]],"mmm")</f>
        <v>Jul</v>
      </c>
      <c r="T606" s="4" t="str">
        <f>TEXT(Table1567[[#This Row],[Date]],"DDD")</f>
        <v>Mon</v>
      </c>
    </row>
    <row r="607" spans="1:20" ht="29" x14ac:dyDescent="0.35">
      <c r="A607" s="4">
        <v>606</v>
      </c>
      <c r="B607" s="5">
        <v>45051</v>
      </c>
      <c r="C607" s="4" t="s">
        <v>619</v>
      </c>
      <c r="D607" s="4" t="s">
        <v>10</v>
      </c>
      <c r="E607" s="4">
        <v>22</v>
      </c>
      <c r="F607" s="4" t="str">
        <f>IF(Table1567[[#This Row],[Age]]&lt;=19,"Teenager",IF(Table1567[[#This Row],[Age]]&lt;=40,"Median","Old"))</f>
        <v>Median</v>
      </c>
      <c r="G607" s="4" t="s">
        <v>16</v>
      </c>
      <c r="H607" s="4">
        <v>1</v>
      </c>
      <c r="I607" s="4">
        <v>50</v>
      </c>
      <c r="J607" s="4">
        <v>50</v>
      </c>
      <c r="K607" s="4" t="str" cm="1">
        <f t="array" ref="K607">_xlfn.IFS(AND(Table1567[[#This Row],[Total Amount]]&gt;=1500),"Critical",AND(Table1567[[#This Row],[Total Amount]]&gt;=1000),"High",TRUE,"Normal")</f>
        <v>Normal</v>
      </c>
      <c r="L607" s="4" t="str">
        <f>IF(Table1567[[#This Row],[Total Amount]]&gt;=1000,"High",(IF(Table1567[[#This Row],[Total Amount]]&gt;=500,"Medium","Low")))</f>
        <v>Low</v>
      </c>
      <c r="M607" s="4" t="str" cm="1">
        <f t="array" ref="M60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607" s="4" cm="1">
        <f t="array" ref="N60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607" s="4">
        <f>Table1567[[#This Row],[Total Amount]]-Table1567[[#This Row],[Discount Amount]]</f>
        <v>50</v>
      </c>
      <c r="P607" s="4" t="str">
        <f>IF(Table1567[[#This Row],[Total Amount]]&gt;=1000,"High","Low")</f>
        <v>Low</v>
      </c>
      <c r="Q607" s="4" t="str" cm="1">
        <f t="array" ref="Q607">_xlfn.IFS(AND(Table1567[[#This Row],[Total Amount]]&gt;=1500,"Critical"),AND(Table1567[[#This Row],[Total Amount]]&gt;=1000,"High"),TRUE,"Normal")</f>
        <v>Normal</v>
      </c>
      <c r="R607" s="4" t="str">
        <f>CONCATENATE(Table1567[[#This Row],[Customer ID]], "-",Table1567[[#This Row],[Age]])</f>
        <v>CUST606-22</v>
      </c>
      <c r="S607" s="4" t="str">
        <f>TEXT(Table1567[[#This Row],[Date]],"mmm")</f>
        <v>May</v>
      </c>
      <c r="T607" s="4" t="str">
        <f>TEXT(Table1567[[#This Row],[Date]],"DDD")</f>
        <v>Fri</v>
      </c>
    </row>
    <row r="608" spans="1:20" ht="29" x14ac:dyDescent="0.35">
      <c r="A608" s="4">
        <v>607</v>
      </c>
      <c r="B608" s="5">
        <v>45002</v>
      </c>
      <c r="C608" s="4" t="s">
        <v>620</v>
      </c>
      <c r="D608" s="4" t="s">
        <v>10</v>
      </c>
      <c r="E608" s="4">
        <v>54</v>
      </c>
      <c r="F608" s="4" t="str">
        <f>IF(Table1567[[#This Row],[Age]]&lt;=19,"Teenager",IF(Table1567[[#This Row],[Age]]&lt;=40,"Median","Old"))</f>
        <v>Old</v>
      </c>
      <c r="G608" s="4" t="s">
        <v>14</v>
      </c>
      <c r="H608" s="4">
        <v>3</v>
      </c>
      <c r="I608" s="4">
        <v>25</v>
      </c>
      <c r="J608" s="4">
        <v>75</v>
      </c>
      <c r="K608" s="4" t="str" cm="1">
        <f t="array" ref="K608">_xlfn.IFS(AND(Table1567[[#This Row],[Total Amount]]&gt;=1500),"Critical",AND(Table1567[[#This Row],[Total Amount]]&gt;=1000),"High",TRUE,"Normal")</f>
        <v>Normal</v>
      </c>
      <c r="L608" s="4" t="str">
        <f>IF(Table1567[[#This Row],[Total Amount]]&gt;=1000,"High",(IF(Table1567[[#This Row],[Total Amount]]&gt;=500,"Medium","Low")))</f>
        <v>Low</v>
      </c>
      <c r="M608" s="4" t="str" cm="1">
        <f t="array" ref="M60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08" s="4" cm="1">
        <f t="array" ref="N60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608" s="4">
        <f>Table1567[[#This Row],[Total Amount]]-Table1567[[#This Row],[Discount Amount]]</f>
        <v>67.5</v>
      </c>
      <c r="P608" s="4" t="str">
        <f>IF(Table1567[[#This Row],[Total Amount]]&gt;=1000,"High","Low")</f>
        <v>Low</v>
      </c>
      <c r="Q608" s="4" t="str" cm="1">
        <f t="array" ref="Q608">_xlfn.IFS(AND(Table1567[[#This Row],[Total Amount]]&gt;=1500,"Critical"),AND(Table1567[[#This Row],[Total Amount]]&gt;=1000,"High"),TRUE,"Normal")</f>
        <v>Normal</v>
      </c>
      <c r="R608" s="4" t="str">
        <f>CONCATENATE(Table1567[[#This Row],[Customer ID]], "-",Table1567[[#This Row],[Age]])</f>
        <v>CUST607-54</v>
      </c>
      <c r="S608" s="4" t="str">
        <f>TEXT(Table1567[[#This Row],[Date]],"mmm")</f>
        <v>Mar</v>
      </c>
      <c r="T608" s="4" t="str">
        <f>TEXT(Table1567[[#This Row],[Date]],"DDD")</f>
        <v>Fri</v>
      </c>
    </row>
    <row r="609" spans="1:20" ht="29" x14ac:dyDescent="0.35">
      <c r="A609" s="4">
        <v>608</v>
      </c>
      <c r="B609" s="5">
        <v>45262</v>
      </c>
      <c r="C609" s="4" t="s">
        <v>621</v>
      </c>
      <c r="D609" s="4" t="s">
        <v>13</v>
      </c>
      <c r="E609" s="4">
        <v>55</v>
      </c>
      <c r="F609" s="4" t="str">
        <f>IF(Table1567[[#This Row],[Age]]&lt;=19,"Teenager",IF(Table1567[[#This Row],[Age]]&lt;=40,"Median","Old"))</f>
        <v>Old</v>
      </c>
      <c r="G609" s="4" t="s">
        <v>16</v>
      </c>
      <c r="H609" s="4">
        <v>3</v>
      </c>
      <c r="I609" s="4">
        <v>500</v>
      </c>
      <c r="J609" s="4">
        <v>1500</v>
      </c>
      <c r="K609" s="4" t="str" cm="1">
        <f t="array" ref="K609">_xlfn.IFS(AND(Table1567[[#This Row],[Total Amount]]&gt;=1500),"Critical",AND(Table1567[[#This Row],[Total Amount]]&gt;=1000),"High",TRUE,"Normal")</f>
        <v>Critical</v>
      </c>
      <c r="L609" s="4" t="str">
        <f>IF(Table1567[[#This Row],[Total Amount]]&gt;=1000,"High",(IF(Table1567[[#This Row],[Total Amount]]&gt;=500,"Medium","Low")))</f>
        <v>High</v>
      </c>
      <c r="M609" s="4" t="str" cm="1">
        <f t="array" ref="M60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09" s="4" cm="1">
        <f t="array" ref="N60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609" s="4">
        <f>Table1567[[#This Row],[Total Amount]]-Table1567[[#This Row],[Discount Amount]]</f>
        <v>1200</v>
      </c>
      <c r="P609" s="4" t="str">
        <f>IF(Table1567[[#This Row],[Total Amount]]&gt;=1000,"High","Low")</f>
        <v>High</v>
      </c>
      <c r="Q609" s="4" t="b" cm="1">
        <f t="array" ref="Q609">_xlfn.IFS(AND(Table1567[[#This Row],[Total Amount]]&gt;=1500,"Critical"),AND(Table1567[[#This Row],[Total Amount]]&gt;=1000,"High"),TRUE,"Normal")</f>
        <v>1</v>
      </c>
      <c r="R609" s="4" t="str">
        <f>CONCATENATE(Table1567[[#This Row],[Customer ID]], "-",Table1567[[#This Row],[Age]])</f>
        <v>CUST608-55</v>
      </c>
      <c r="S609" s="4" t="str">
        <f>TEXT(Table1567[[#This Row],[Date]],"mmm")</f>
        <v>Dec</v>
      </c>
      <c r="T609" s="4" t="str">
        <f>TEXT(Table1567[[#This Row],[Date]],"DDD")</f>
        <v>Sat</v>
      </c>
    </row>
    <row r="610" spans="1:20" ht="29" x14ac:dyDescent="0.35">
      <c r="A610" s="4">
        <v>609</v>
      </c>
      <c r="B610" s="5">
        <v>45279</v>
      </c>
      <c r="C610" s="4" t="s">
        <v>622</v>
      </c>
      <c r="D610" s="4" t="s">
        <v>13</v>
      </c>
      <c r="E610" s="4">
        <v>47</v>
      </c>
      <c r="F610" s="4" t="str">
        <f>IF(Table1567[[#This Row],[Age]]&lt;=19,"Teenager",IF(Table1567[[#This Row],[Age]]&lt;=40,"Median","Old"))</f>
        <v>Old</v>
      </c>
      <c r="G610" s="4" t="s">
        <v>14</v>
      </c>
      <c r="H610" s="4">
        <v>2</v>
      </c>
      <c r="I610" s="4">
        <v>50</v>
      </c>
      <c r="J610" s="4">
        <v>100</v>
      </c>
      <c r="K610" s="4" t="str" cm="1">
        <f t="array" ref="K610">_xlfn.IFS(AND(Table1567[[#This Row],[Total Amount]]&gt;=1500),"Critical",AND(Table1567[[#This Row],[Total Amount]]&gt;=1000),"High",TRUE,"Normal")</f>
        <v>Normal</v>
      </c>
      <c r="L610" s="4" t="str">
        <f>IF(Table1567[[#This Row],[Total Amount]]&gt;=1000,"High",(IF(Table1567[[#This Row],[Total Amount]]&gt;=500,"Medium","Low")))</f>
        <v>Low</v>
      </c>
      <c r="M610" s="4" t="str" cm="1">
        <f t="array" ref="M61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10" s="4" cm="1">
        <f t="array" ref="N61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610" s="4">
        <f>Table1567[[#This Row],[Total Amount]]-Table1567[[#This Row],[Discount Amount]]</f>
        <v>80</v>
      </c>
      <c r="P610" s="4" t="str">
        <f>IF(Table1567[[#This Row],[Total Amount]]&gt;=1000,"High","Low")</f>
        <v>Low</v>
      </c>
      <c r="Q610" s="4" t="str" cm="1">
        <f t="array" ref="Q610">_xlfn.IFS(AND(Table1567[[#This Row],[Total Amount]]&gt;=1500,"Critical"),AND(Table1567[[#This Row],[Total Amount]]&gt;=1000,"High"),TRUE,"Normal")</f>
        <v>Normal</v>
      </c>
      <c r="R610" s="4" t="str">
        <f>CONCATENATE(Table1567[[#This Row],[Customer ID]], "-",Table1567[[#This Row],[Age]])</f>
        <v>CUST609-47</v>
      </c>
      <c r="S610" s="4" t="str">
        <f>TEXT(Table1567[[#This Row],[Date]],"mmm")</f>
        <v>Dec</v>
      </c>
      <c r="T610" s="4" t="str">
        <f>TEXT(Table1567[[#This Row],[Date]],"DDD")</f>
        <v>Tue</v>
      </c>
    </row>
    <row r="611" spans="1:20" ht="29" x14ac:dyDescent="0.35">
      <c r="A611" s="4">
        <v>610</v>
      </c>
      <c r="B611" s="5">
        <v>44929</v>
      </c>
      <c r="C611" s="4" t="s">
        <v>623</v>
      </c>
      <c r="D611" s="4" t="s">
        <v>13</v>
      </c>
      <c r="E611" s="4">
        <v>26</v>
      </c>
      <c r="F611" s="4" t="str">
        <f>IF(Table1567[[#This Row],[Age]]&lt;=19,"Teenager",IF(Table1567[[#This Row],[Age]]&lt;=40,"Median","Old"))</f>
        <v>Median</v>
      </c>
      <c r="G611" s="4" t="s">
        <v>11</v>
      </c>
      <c r="H611" s="4">
        <v>2</v>
      </c>
      <c r="I611" s="4">
        <v>300</v>
      </c>
      <c r="J611" s="4">
        <v>600</v>
      </c>
      <c r="K611" s="4" t="str" cm="1">
        <f t="array" ref="K611">_xlfn.IFS(AND(Table1567[[#This Row],[Total Amount]]&gt;=1500),"Critical",AND(Table1567[[#This Row],[Total Amount]]&gt;=1000),"High",TRUE,"Normal")</f>
        <v>Normal</v>
      </c>
      <c r="L611" s="4" t="str">
        <f>IF(Table1567[[#This Row],[Total Amount]]&gt;=1000,"High",(IF(Table1567[[#This Row],[Total Amount]]&gt;=500,"Medium","Low")))</f>
        <v>Medium</v>
      </c>
      <c r="M611" s="4" t="str" cm="1">
        <f t="array" ref="M61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11" s="4" cm="1">
        <f t="array" ref="N61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611" s="4">
        <f>Table1567[[#This Row],[Total Amount]]-Table1567[[#This Row],[Discount Amount]]</f>
        <v>510</v>
      </c>
      <c r="P611" s="4" t="str">
        <f>IF(Table1567[[#This Row],[Total Amount]]&gt;=1000,"High","Low")</f>
        <v>Low</v>
      </c>
      <c r="Q611" s="4" t="str" cm="1">
        <f t="array" ref="Q611">_xlfn.IFS(AND(Table1567[[#This Row],[Total Amount]]&gt;=1500,"Critical"),AND(Table1567[[#This Row],[Total Amount]]&gt;=1000,"High"),TRUE,"Normal")</f>
        <v>Normal</v>
      </c>
      <c r="R611" s="4" t="str">
        <f>CONCATENATE(Table1567[[#This Row],[Customer ID]], "-",Table1567[[#This Row],[Age]])</f>
        <v>CUST610-26</v>
      </c>
      <c r="S611" s="4" t="str">
        <f>TEXT(Table1567[[#This Row],[Date]],"mmm")</f>
        <v>Jan</v>
      </c>
      <c r="T611" s="4" t="str">
        <f>TEXT(Table1567[[#This Row],[Date]],"DDD")</f>
        <v>Tue</v>
      </c>
    </row>
    <row r="612" spans="1:20" ht="29" x14ac:dyDescent="0.35">
      <c r="A612" s="4">
        <v>611</v>
      </c>
      <c r="B612" s="5">
        <v>44981</v>
      </c>
      <c r="C612" s="4" t="s">
        <v>624</v>
      </c>
      <c r="D612" s="4" t="s">
        <v>10</v>
      </c>
      <c r="E612" s="4">
        <v>51</v>
      </c>
      <c r="F612" s="4" t="str">
        <f>IF(Table1567[[#This Row],[Age]]&lt;=19,"Teenager",IF(Table1567[[#This Row],[Age]]&lt;=40,"Median","Old"))</f>
        <v>Old</v>
      </c>
      <c r="G612" s="4" t="s">
        <v>11</v>
      </c>
      <c r="H612" s="4">
        <v>3</v>
      </c>
      <c r="I612" s="4">
        <v>500</v>
      </c>
      <c r="J612" s="4">
        <v>1500</v>
      </c>
      <c r="K612" s="4" t="str" cm="1">
        <f t="array" ref="K612">_xlfn.IFS(AND(Table1567[[#This Row],[Total Amount]]&gt;=1500),"Critical",AND(Table1567[[#This Row],[Total Amount]]&gt;=1000),"High",TRUE,"Normal")</f>
        <v>Critical</v>
      </c>
      <c r="L612" s="4" t="str">
        <f>IF(Table1567[[#This Row],[Total Amount]]&gt;=1000,"High",(IF(Table1567[[#This Row],[Total Amount]]&gt;=500,"Medium","Low")))</f>
        <v>High</v>
      </c>
      <c r="M612" s="4" t="str" cm="1">
        <f t="array" ref="M61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12" s="4" cm="1">
        <f t="array" ref="N61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612" s="4">
        <f>Table1567[[#This Row],[Total Amount]]-Table1567[[#This Row],[Discount Amount]]</f>
        <v>1350</v>
      </c>
      <c r="P612" s="4" t="str">
        <f>IF(Table1567[[#This Row],[Total Amount]]&gt;=1000,"High","Low")</f>
        <v>High</v>
      </c>
      <c r="Q612" s="4" t="b" cm="1">
        <f t="array" ref="Q612">_xlfn.IFS(AND(Table1567[[#This Row],[Total Amount]]&gt;=1500,"Critical"),AND(Table1567[[#This Row],[Total Amount]]&gt;=1000,"High"),TRUE,"Normal")</f>
        <v>1</v>
      </c>
      <c r="R612" s="4" t="str">
        <f>CONCATENATE(Table1567[[#This Row],[Customer ID]], "-",Table1567[[#This Row],[Age]])</f>
        <v>CUST611-51</v>
      </c>
      <c r="S612" s="4" t="str">
        <f>TEXT(Table1567[[#This Row],[Date]],"mmm")</f>
        <v>Feb</v>
      </c>
      <c r="T612" s="4" t="str">
        <f>TEXT(Table1567[[#This Row],[Date]],"DDD")</f>
        <v>Fri</v>
      </c>
    </row>
    <row r="613" spans="1:20" ht="29" x14ac:dyDescent="0.35">
      <c r="A613" s="4">
        <v>612</v>
      </c>
      <c r="B613" s="5">
        <v>45144</v>
      </c>
      <c r="C613" s="4" t="s">
        <v>625</v>
      </c>
      <c r="D613" s="4" t="s">
        <v>13</v>
      </c>
      <c r="E613" s="4">
        <v>61</v>
      </c>
      <c r="F613" s="4" t="str">
        <f>IF(Table1567[[#This Row],[Age]]&lt;=19,"Teenager",IF(Table1567[[#This Row],[Age]]&lt;=40,"Median","Old"))</f>
        <v>Old</v>
      </c>
      <c r="G613" s="4" t="s">
        <v>16</v>
      </c>
      <c r="H613" s="4">
        <v>1</v>
      </c>
      <c r="I613" s="4">
        <v>500</v>
      </c>
      <c r="J613" s="4">
        <v>500</v>
      </c>
      <c r="K613" s="4" t="str" cm="1">
        <f t="array" ref="K613">_xlfn.IFS(AND(Table1567[[#This Row],[Total Amount]]&gt;=1500),"Critical",AND(Table1567[[#This Row],[Total Amount]]&gt;=1000),"High",TRUE,"Normal")</f>
        <v>Normal</v>
      </c>
      <c r="L613" s="4" t="str">
        <f>IF(Table1567[[#This Row],[Total Amount]]&gt;=1000,"High",(IF(Table1567[[#This Row],[Total Amount]]&gt;=500,"Medium","Low")))</f>
        <v>Medium</v>
      </c>
      <c r="M613" s="4" t="str" cm="1">
        <f t="array" ref="M61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13" s="4" cm="1">
        <f t="array" ref="N61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613" s="4">
        <f>Table1567[[#This Row],[Total Amount]]-Table1567[[#This Row],[Discount Amount]]</f>
        <v>400</v>
      </c>
      <c r="P613" s="4" t="str">
        <f>IF(Table1567[[#This Row],[Total Amount]]&gt;=1000,"High","Low")</f>
        <v>Low</v>
      </c>
      <c r="Q613" s="4" t="str" cm="1">
        <f t="array" ref="Q613">_xlfn.IFS(AND(Table1567[[#This Row],[Total Amount]]&gt;=1500,"Critical"),AND(Table1567[[#This Row],[Total Amount]]&gt;=1000,"High"),TRUE,"Normal")</f>
        <v>Normal</v>
      </c>
      <c r="R613" s="4" t="str">
        <f>CONCATENATE(Table1567[[#This Row],[Customer ID]], "-",Table1567[[#This Row],[Age]])</f>
        <v>CUST612-61</v>
      </c>
      <c r="S613" s="4" t="str">
        <f>TEXT(Table1567[[#This Row],[Date]],"mmm")</f>
        <v>Aug</v>
      </c>
      <c r="T613" s="4" t="str">
        <f>TEXT(Table1567[[#This Row],[Date]],"DDD")</f>
        <v>Sun</v>
      </c>
    </row>
    <row r="614" spans="1:20" ht="29" x14ac:dyDescent="0.35">
      <c r="A614" s="4">
        <v>613</v>
      </c>
      <c r="B614" s="5">
        <v>45039</v>
      </c>
      <c r="C614" s="4" t="s">
        <v>626</v>
      </c>
      <c r="D614" s="4" t="s">
        <v>13</v>
      </c>
      <c r="E614" s="4">
        <v>52</v>
      </c>
      <c r="F614" s="4" t="str">
        <f>IF(Table1567[[#This Row],[Age]]&lt;=19,"Teenager",IF(Table1567[[#This Row],[Age]]&lt;=40,"Median","Old"))</f>
        <v>Old</v>
      </c>
      <c r="G614" s="4" t="s">
        <v>14</v>
      </c>
      <c r="H614" s="4">
        <v>3</v>
      </c>
      <c r="I614" s="4">
        <v>30</v>
      </c>
      <c r="J614" s="4">
        <v>90</v>
      </c>
      <c r="K614" s="4" t="str" cm="1">
        <f t="array" ref="K614">_xlfn.IFS(AND(Table1567[[#This Row],[Total Amount]]&gt;=1500),"Critical",AND(Table1567[[#This Row],[Total Amount]]&gt;=1000),"High",TRUE,"Normal")</f>
        <v>Normal</v>
      </c>
      <c r="L614" s="4" t="str">
        <f>IF(Table1567[[#This Row],[Total Amount]]&gt;=1000,"High",(IF(Table1567[[#This Row],[Total Amount]]&gt;=500,"Medium","Low")))</f>
        <v>Low</v>
      </c>
      <c r="M614" s="4" t="str" cm="1">
        <f t="array" ref="M61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14" s="4" cm="1">
        <f t="array" ref="N61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614" s="4">
        <f>Table1567[[#This Row],[Total Amount]]-Table1567[[#This Row],[Discount Amount]]</f>
        <v>72</v>
      </c>
      <c r="P614" s="4" t="str">
        <f>IF(Table1567[[#This Row],[Total Amount]]&gt;=1000,"High","Low")</f>
        <v>Low</v>
      </c>
      <c r="Q614" s="4" t="str" cm="1">
        <f t="array" ref="Q614">_xlfn.IFS(AND(Table1567[[#This Row],[Total Amount]]&gt;=1500,"Critical"),AND(Table1567[[#This Row],[Total Amount]]&gt;=1000,"High"),TRUE,"Normal")</f>
        <v>Normal</v>
      </c>
      <c r="R614" s="4" t="str">
        <f>CONCATENATE(Table1567[[#This Row],[Customer ID]], "-",Table1567[[#This Row],[Age]])</f>
        <v>CUST613-52</v>
      </c>
      <c r="S614" s="4" t="str">
        <f>TEXT(Table1567[[#This Row],[Date]],"mmm")</f>
        <v>Apr</v>
      </c>
      <c r="T614" s="4" t="str">
        <f>TEXT(Table1567[[#This Row],[Date]],"DDD")</f>
        <v>Sun</v>
      </c>
    </row>
    <row r="615" spans="1:20" ht="29" x14ac:dyDescent="0.35">
      <c r="A615" s="4">
        <v>614</v>
      </c>
      <c r="B615" s="5">
        <v>45017</v>
      </c>
      <c r="C615" s="4" t="s">
        <v>627</v>
      </c>
      <c r="D615" s="4" t="s">
        <v>13</v>
      </c>
      <c r="E615" s="4">
        <v>39</v>
      </c>
      <c r="F615" s="4" t="str">
        <f>IF(Table1567[[#This Row],[Age]]&lt;=19,"Teenager",IF(Table1567[[#This Row],[Age]]&lt;=40,"Median","Old"))</f>
        <v>Median</v>
      </c>
      <c r="G615" s="4" t="s">
        <v>11</v>
      </c>
      <c r="H615" s="4">
        <v>4</v>
      </c>
      <c r="I615" s="4">
        <v>300</v>
      </c>
      <c r="J615" s="4">
        <v>1200</v>
      </c>
      <c r="K615" s="4" t="str" cm="1">
        <f t="array" ref="K615">_xlfn.IFS(AND(Table1567[[#This Row],[Total Amount]]&gt;=1500),"Critical",AND(Table1567[[#This Row],[Total Amount]]&gt;=1000),"High",TRUE,"Normal")</f>
        <v>High</v>
      </c>
      <c r="L615" s="4" t="str">
        <f>IF(Table1567[[#This Row],[Total Amount]]&gt;=1000,"High",(IF(Table1567[[#This Row],[Total Amount]]&gt;=500,"Medium","Low")))</f>
        <v>High</v>
      </c>
      <c r="M615" s="4" t="str" cm="1">
        <f t="array" ref="M61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15" s="4" cm="1">
        <f t="array" ref="N61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240</v>
      </c>
      <c r="O615" s="4">
        <f>Table1567[[#This Row],[Total Amount]]-Table1567[[#This Row],[Discount Amount]]</f>
        <v>960</v>
      </c>
      <c r="P615" s="4" t="str">
        <f>IF(Table1567[[#This Row],[Total Amount]]&gt;=1000,"High","Low")</f>
        <v>High</v>
      </c>
      <c r="Q615" s="4" t="str" cm="1">
        <f t="array" ref="Q615">_xlfn.IFS(AND(Table1567[[#This Row],[Total Amount]]&gt;=1500,"Critical"),AND(Table1567[[#This Row],[Total Amount]]&gt;=1000,"High"),TRUE,"Normal")</f>
        <v>Normal</v>
      </c>
      <c r="R615" s="4" t="str">
        <f>CONCATENATE(Table1567[[#This Row],[Customer ID]], "-",Table1567[[#This Row],[Age]])</f>
        <v>CUST614-39</v>
      </c>
      <c r="S615" s="4" t="str">
        <f>TEXT(Table1567[[#This Row],[Date]],"mmm")</f>
        <v>Apr</v>
      </c>
      <c r="T615" s="4" t="str">
        <f>TEXT(Table1567[[#This Row],[Date]],"DDD")</f>
        <v>Sat</v>
      </c>
    </row>
    <row r="616" spans="1:20" ht="29" x14ac:dyDescent="0.35">
      <c r="A616" s="4">
        <v>615</v>
      </c>
      <c r="B616" s="5">
        <v>45283</v>
      </c>
      <c r="C616" s="4" t="s">
        <v>628</v>
      </c>
      <c r="D616" s="4" t="s">
        <v>13</v>
      </c>
      <c r="E616" s="4">
        <v>61</v>
      </c>
      <c r="F616" s="4" t="str">
        <f>IF(Table1567[[#This Row],[Age]]&lt;=19,"Teenager",IF(Table1567[[#This Row],[Age]]&lt;=40,"Median","Old"))</f>
        <v>Old</v>
      </c>
      <c r="G616" s="4" t="s">
        <v>14</v>
      </c>
      <c r="H616" s="4">
        <v>4</v>
      </c>
      <c r="I616" s="4">
        <v>25</v>
      </c>
      <c r="J616" s="4">
        <v>100</v>
      </c>
      <c r="K616" s="4" t="str" cm="1">
        <f t="array" ref="K616">_xlfn.IFS(AND(Table1567[[#This Row],[Total Amount]]&gt;=1500),"Critical",AND(Table1567[[#This Row],[Total Amount]]&gt;=1000),"High",TRUE,"Normal")</f>
        <v>Normal</v>
      </c>
      <c r="L616" s="4" t="str">
        <f>IF(Table1567[[#This Row],[Total Amount]]&gt;=1000,"High",(IF(Table1567[[#This Row],[Total Amount]]&gt;=500,"Medium","Low")))</f>
        <v>Low</v>
      </c>
      <c r="M616" s="4" t="str" cm="1">
        <f t="array" ref="M61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16" s="4" cm="1">
        <f t="array" ref="N61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616" s="4">
        <f>Table1567[[#This Row],[Total Amount]]-Table1567[[#This Row],[Discount Amount]]</f>
        <v>80</v>
      </c>
      <c r="P616" s="4" t="str">
        <f>IF(Table1567[[#This Row],[Total Amount]]&gt;=1000,"High","Low")</f>
        <v>Low</v>
      </c>
      <c r="Q616" s="4" t="str" cm="1">
        <f t="array" ref="Q616">_xlfn.IFS(AND(Table1567[[#This Row],[Total Amount]]&gt;=1500,"Critical"),AND(Table1567[[#This Row],[Total Amount]]&gt;=1000,"High"),TRUE,"Normal")</f>
        <v>Normal</v>
      </c>
      <c r="R616" s="4" t="str">
        <f>CONCATENATE(Table1567[[#This Row],[Customer ID]], "-",Table1567[[#This Row],[Age]])</f>
        <v>CUST615-61</v>
      </c>
      <c r="S616" s="4" t="str">
        <f>TEXT(Table1567[[#This Row],[Date]],"mmm")</f>
        <v>Dec</v>
      </c>
      <c r="T616" s="4" t="str">
        <f>TEXT(Table1567[[#This Row],[Date]],"DDD")</f>
        <v>Sat</v>
      </c>
    </row>
    <row r="617" spans="1:20" ht="29" x14ac:dyDescent="0.35">
      <c r="A617" s="4">
        <v>616</v>
      </c>
      <c r="B617" s="5">
        <v>45192</v>
      </c>
      <c r="C617" s="4" t="s">
        <v>629</v>
      </c>
      <c r="D617" s="4" t="s">
        <v>10</v>
      </c>
      <c r="E617" s="4">
        <v>41</v>
      </c>
      <c r="F617" s="4" t="str">
        <f>IF(Table1567[[#This Row],[Age]]&lt;=19,"Teenager",IF(Table1567[[#This Row],[Age]]&lt;=40,"Median","Old"))</f>
        <v>Old</v>
      </c>
      <c r="G617" s="4" t="s">
        <v>14</v>
      </c>
      <c r="H617" s="4">
        <v>2</v>
      </c>
      <c r="I617" s="4">
        <v>50</v>
      </c>
      <c r="J617" s="4">
        <v>100</v>
      </c>
      <c r="K617" s="4" t="str" cm="1">
        <f t="array" ref="K617">_xlfn.IFS(AND(Table1567[[#This Row],[Total Amount]]&gt;=1500),"Critical",AND(Table1567[[#This Row],[Total Amount]]&gt;=1000),"High",TRUE,"Normal")</f>
        <v>Normal</v>
      </c>
      <c r="L617" s="4" t="str">
        <f>IF(Table1567[[#This Row],[Total Amount]]&gt;=1000,"High",(IF(Table1567[[#This Row],[Total Amount]]&gt;=500,"Medium","Low")))</f>
        <v>Low</v>
      </c>
      <c r="M617" s="4" t="str" cm="1">
        <f t="array" ref="M61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17" s="4" cm="1">
        <f t="array" ref="N61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617" s="4">
        <f>Table1567[[#This Row],[Total Amount]]-Table1567[[#This Row],[Discount Amount]]</f>
        <v>90</v>
      </c>
      <c r="P617" s="4" t="str">
        <f>IF(Table1567[[#This Row],[Total Amount]]&gt;=1000,"High","Low")</f>
        <v>Low</v>
      </c>
      <c r="Q617" s="4" t="str" cm="1">
        <f t="array" ref="Q617">_xlfn.IFS(AND(Table1567[[#This Row],[Total Amount]]&gt;=1500,"Critical"),AND(Table1567[[#This Row],[Total Amount]]&gt;=1000,"High"),TRUE,"Normal")</f>
        <v>Normal</v>
      </c>
      <c r="R617" s="4" t="str">
        <f>CONCATENATE(Table1567[[#This Row],[Customer ID]], "-",Table1567[[#This Row],[Age]])</f>
        <v>CUST616-41</v>
      </c>
      <c r="S617" s="4" t="str">
        <f>TEXT(Table1567[[#This Row],[Date]],"mmm")</f>
        <v>Sep</v>
      </c>
      <c r="T617" s="4" t="str">
        <f>TEXT(Table1567[[#This Row],[Date]],"DDD")</f>
        <v>Sat</v>
      </c>
    </row>
    <row r="618" spans="1:20" ht="29" x14ac:dyDescent="0.35">
      <c r="A618" s="4">
        <v>617</v>
      </c>
      <c r="B618" s="5">
        <v>45164</v>
      </c>
      <c r="C618" s="4" t="s">
        <v>630</v>
      </c>
      <c r="D618" s="4" t="s">
        <v>10</v>
      </c>
      <c r="E618" s="4">
        <v>34</v>
      </c>
      <c r="F618" s="4" t="str">
        <f>IF(Table1567[[#This Row],[Age]]&lt;=19,"Teenager",IF(Table1567[[#This Row],[Age]]&lt;=40,"Median","Old"))</f>
        <v>Median</v>
      </c>
      <c r="G618" s="4" t="s">
        <v>16</v>
      </c>
      <c r="H618" s="4">
        <v>1</v>
      </c>
      <c r="I618" s="4">
        <v>30</v>
      </c>
      <c r="J618" s="4">
        <v>30</v>
      </c>
      <c r="K618" s="4" t="str" cm="1">
        <f t="array" ref="K618">_xlfn.IFS(AND(Table1567[[#This Row],[Total Amount]]&gt;=1500),"Critical",AND(Table1567[[#This Row],[Total Amount]]&gt;=1000),"High",TRUE,"Normal")</f>
        <v>Normal</v>
      </c>
      <c r="L618" s="4" t="str">
        <f>IF(Table1567[[#This Row],[Total Amount]]&gt;=1000,"High",(IF(Table1567[[#This Row],[Total Amount]]&gt;=500,"Medium","Low")))</f>
        <v>Low</v>
      </c>
      <c r="M618" s="4" t="str" cm="1">
        <f t="array" ref="M61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18" s="4" cm="1">
        <f t="array" ref="N61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4.5</v>
      </c>
      <c r="O618" s="4">
        <f>Table1567[[#This Row],[Total Amount]]-Table1567[[#This Row],[Discount Amount]]</f>
        <v>25.5</v>
      </c>
      <c r="P618" s="4" t="str">
        <f>IF(Table1567[[#This Row],[Total Amount]]&gt;=1000,"High","Low")</f>
        <v>Low</v>
      </c>
      <c r="Q618" s="4" t="str" cm="1">
        <f t="array" ref="Q618">_xlfn.IFS(AND(Table1567[[#This Row],[Total Amount]]&gt;=1500,"Critical"),AND(Table1567[[#This Row],[Total Amount]]&gt;=1000,"High"),TRUE,"Normal")</f>
        <v>Normal</v>
      </c>
      <c r="R618" s="4" t="str">
        <f>CONCATENATE(Table1567[[#This Row],[Customer ID]], "-",Table1567[[#This Row],[Age]])</f>
        <v>CUST617-34</v>
      </c>
      <c r="S618" s="4" t="str">
        <f>TEXT(Table1567[[#This Row],[Date]],"mmm")</f>
        <v>Aug</v>
      </c>
      <c r="T618" s="4" t="str">
        <f>TEXT(Table1567[[#This Row],[Date]],"DDD")</f>
        <v>Sat</v>
      </c>
    </row>
    <row r="619" spans="1:20" ht="29" x14ac:dyDescent="0.35">
      <c r="A619" s="4">
        <v>618</v>
      </c>
      <c r="B619" s="5">
        <v>44952</v>
      </c>
      <c r="C619" s="4" t="s">
        <v>631</v>
      </c>
      <c r="D619" s="4" t="s">
        <v>13</v>
      </c>
      <c r="E619" s="4">
        <v>27</v>
      </c>
      <c r="F619" s="4" t="str">
        <f>IF(Table1567[[#This Row],[Age]]&lt;=19,"Teenager",IF(Table1567[[#This Row],[Age]]&lt;=40,"Median","Old"))</f>
        <v>Median</v>
      </c>
      <c r="G619" s="4" t="s">
        <v>11</v>
      </c>
      <c r="H619" s="4">
        <v>1</v>
      </c>
      <c r="I619" s="4">
        <v>50</v>
      </c>
      <c r="J619" s="4">
        <v>50</v>
      </c>
      <c r="K619" s="4" t="str" cm="1">
        <f t="array" ref="K619">_xlfn.IFS(AND(Table1567[[#This Row],[Total Amount]]&gt;=1500),"Critical",AND(Table1567[[#This Row],[Total Amount]]&gt;=1000),"High",TRUE,"Normal")</f>
        <v>Normal</v>
      </c>
      <c r="L619" s="4" t="str">
        <f>IF(Table1567[[#This Row],[Total Amount]]&gt;=1000,"High",(IF(Table1567[[#This Row],[Total Amount]]&gt;=500,"Medium","Low")))</f>
        <v>Low</v>
      </c>
      <c r="M619" s="4" t="str" cm="1">
        <f t="array" ref="M61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19" s="4" cm="1">
        <f t="array" ref="N61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619" s="4">
        <f>Table1567[[#This Row],[Total Amount]]-Table1567[[#This Row],[Discount Amount]]</f>
        <v>42.5</v>
      </c>
      <c r="P619" s="4" t="str">
        <f>IF(Table1567[[#This Row],[Total Amount]]&gt;=1000,"High","Low")</f>
        <v>Low</v>
      </c>
      <c r="Q619" s="4" t="str" cm="1">
        <f t="array" ref="Q619">_xlfn.IFS(AND(Table1567[[#This Row],[Total Amount]]&gt;=1500,"Critical"),AND(Table1567[[#This Row],[Total Amount]]&gt;=1000,"High"),TRUE,"Normal")</f>
        <v>Normal</v>
      </c>
      <c r="R619" s="4" t="str">
        <f>CONCATENATE(Table1567[[#This Row],[Customer ID]], "-",Table1567[[#This Row],[Age]])</f>
        <v>CUST618-27</v>
      </c>
      <c r="S619" s="4" t="str">
        <f>TEXT(Table1567[[#This Row],[Date]],"mmm")</f>
        <v>Jan</v>
      </c>
      <c r="T619" s="4" t="str">
        <f>TEXT(Table1567[[#This Row],[Date]],"DDD")</f>
        <v>Thu</v>
      </c>
    </row>
    <row r="620" spans="1:20" ht="29" x14ac:dyDescent="0.35">
      <c r="A620" s="4">
        <v>619</v>
      </c>
      <c r="B620" s="5">
        <v>45212</v>
      </c>
      <c r="C620" s="4" t="s">
        <v>632</v>
      </c>
      <c r="D620" s="4" t="s">
        <v>10</v>
      </c>
      <c r="E620" s="4">
        <v>47</v>
      </c>
      <c r="F620" s="4" t="str">
        <f>IF(Table1567[[#This Row],[Age]]&lt;=19,"Teenager",IF(Table1567[[#This Row],[Age]]&lt;=40,"Median","Old"))</f>
        <v>Old</v>
      </c>
      <c r="G620" s="4" t="s">
        <v>16</v>
      </c>
      <c r="H620" s="4">
        <v>4</v>
      </c>
      <c r="I620" s="4">
        <v>25</v>
      </c>
      <c r="J620" s="4">
        <v>100</v>
      </c>
      <c r="K620" s="4" t="str" cm="1">
        <f t="array" ref="K620">_xlfn.IFS(AND(Table1567[[#This Row],[Total Amount]]&gt;=1500),"Critical",AND(Table1567[[#This Row],[Total Amount]]&gt;=1000),"High",TRUE,"Normal")</f>
        <v>Normal</v>
      </c>
      <c r="L620" s="4" t="str">
        <f>IF(Table1567[[#This Row],[Total Amount]]&gt;=1000,"High",(IF(Table1567[[#This Row],[Total Amount]]&gt;=500,"Medium","Low")))</f>
        <v>Low</v>
      </c>
      <c r="M620" s="4" t="str" cm="1">
        <f t="array" ref="M62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20" s="4" cm="1">
        <f t="array" ref="N62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620" s="4">
        <f>Table1567[[#This Row],[Total Amount]]-Table1567[[#This Row],[Discount Amount]]</f>
        <v>90</v>
      </c>
      <c r="P620" s="4" t="str">
        <f>IF(Table1567[[#This Row],[Total Amount]]&gt;=1000,"High","Low")</f>
        <v>Low</v>
      </c>
      <c r="Q620" s="4" t="str" cm="1">
        <f t="array" ref="Q620">_xlfn.IFS(AND(Table1567[[#This Row],[Total Amount]]&gt;=1500,"Critical"),AND(Table1567[[#This Row],[Total Amount]]&gt;=1000,"High"),TRUE,"Normal")</f>
        <v>Normal</v>
      </c>
      <c r="R620" s="4" t="str">
        <f>CONCATENATE(Table1567[[#This Row],[Customer ID]], "-",Table1567[[#This Row],[Age]])</f>
        <v>CUST619-47</v>
      </c>
      <c r="S620" s="4" t="str">
        <f>TEXT(Table1567[[#This Row],[Date]],"mmm")</f>
        <v>Oct</v>
      </c>
      <c r="T620" s="4" t="str">
        <f>TEXT(Table1567[[#This Row],[Date]],"DDD")</f>
        <v>Fri</v>
      </c>
    </row>
    <row r="621" spans="1:20" ht="29" x14ac:dyDescent="0.35">
      <c r="A621" s="4">
        <v>620</v>
      </c>
      <c r="B621" s="5">
        <v>45054</v>
      </c>
      <c r="C621" s="4" t="s">
        <v>633</v>
      </c>
      <c r="D621" s="4" t="s">
        <v>10</v>
      </c>
      <c r="E621" s="4">
        <v>63</v>
      </c>
      <c r="F621" s="4" t="str">
        <f>IF(Table1567[[#This Row],[Age]]&lt;=19,"Teenager",IF(Table1567[[#This Row],[Age]]&lt;=40,"Median","Old"))</f>
        <v>Old</v>
      </c>
      <c r="G621" s="4" t="s">
        <v>16</v>
      </c>
      <c r="H621" s="4">
        <v>3</v>
      </c>
      <c r="I621" s="4">
        <v>25</v>
      </c>
      <c r="J621" s="4">
        <v>75</v>
      </c>
      <c r="K621" s="4" t="str" cm="1">
        <f t="array" ref="K621">_xlfn.IFS(AND(Table1567[[#This Row],[Total Amount]]&gt;=1500),"Critical",AND(Table1567[[#This Row],[Total Amount]]&gt;=1000),"High",TRUE,"Normal")</f>
        <v>Normal</v>
      </c>
      <c r="L621" s="4" t="str">
        <f>IF(Table1567[[#This Row],[Total Amount]]&gt;=1000,"High",(IF(Table1567[[#This Row],[Total Amount]]&gt;=500,"Medium","Low")))</f>
        <v>Low</v>
      </c>
      <c r="M621" s="4" t="str" cm="1">
        <f t="array" ref="M62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21" s="4" cm="1">
        <f t="array" ref="N62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621" s="4">
        <f>Table1567[[#This Row],[Total Amount]]-Table1567[[#This Row],[Discount Amount]]</f>
        <v>67.5</v>
      </c>
      <c r="P621" s="4" t="str">
        <f>IF(Table1567[[#This Row],[Total Amount]]&gt;=1000,"High","Low")</f>
        <v>Low</v>
      </c>
      <c r="Q621" s="4" t="str" cm="1">
        <f t="array" ref="Q621">_xlfn.IFS(AND(Table1567[[#This Row],[Total Amount]]&gt;=1500,"Critical"),AND(Table1567[[#This Row],[Total Amount]]&gt;=1000,"High"),TRUE,"Normal")</f>
        <v>Normal</v>
      </c>
      <c r="R621" s="4" t="str">
        <f>CONCATENATE(Table1567[[#This Row],[Customer ID]], "-",Table1567[[#This Row],[Age]])</f>
        <v>CUST620-63</v>
      </c>
      <c r="S621" s="4" t="str">
        <f>TEXT(Table1567[[#This Row],[Date]],"mmm")</f>
        <v>May</v>
      </c>
      <c r="T621" s="4" t="str">
        <f>TEXT(Table1567[[#This Row],[Date]],"DDD")</f>
        <v>Mon</v>
      </c>
    </row>
    <row r="622" spans="1:20" ht="29" x14ac:dyDescent="0.35">
      <c r="A622" s="4">
        <v>621</v>
      </c>
      <c r="B622" s="5">
        <v>44989</v>
      </c>
      <c r="C622" s="4" t="s">
        <v>634</v>
      </c>
      <c r="D622" s="4" t="s">
        <v>13</v>
      </c>
      <c r="E622" s="4">
        <v>40</v>
      </c>
      <c r="F622" s="4" t="str">
        <f>IF(Table1567[[#This Row],[Age]]&lt;=19,"Teenager",IF(Table1567[[#This Row],[Age]]&lt;=40,"Median","Old"))</f>
        <v>Median</v>
      </c>
      <c r="G622" s="4" t="s">
        <v>11</v>
      </c>
      <c r="H622" s="4">
        <v>2</v>
      </c>
      <c r="I622" s="4">
        <v>500</v>
      </c>
      <c r="J622" s="4">
        <v>1000</v>
      </c>
      <c r="K622" s="4" t="str" cm="1">
        <f t="array" ref="K622">_xlfn.IFS(AND(Table1567[[#This Row],[Total Amount]]&gt;=1500),"Critical",AND(Table1567[[#This Row],[Total Amount]]&gt;=1000),"High",TRUE,"Normal")</f>
        <v>High</v>
      </c>
      <c r="L622" s="4" t="str">
        <f>IF(Table1567[[#This Row],[Total Amount]]&gt;=1000,"High",(IF(Table1567[[#This Row],[Total Amount]]&gt;=500,"Medium","Low")))</f>
        <v>High</v>
      </c>
      <c r="M622" s="4" t="str" cm="1">
        <f t="array" ref="M62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22" s="4" cm="1">
        <f t="array" ref="N62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622" s="4">
        <f>Table1567[[#This Row],[Total Amount]]-Table1567[[#This Row],[Discount Amount]]</f>
        <v>800</v>
      </c>
      <c r="P622" s="4" t="str">
        <f>IF(Table1567[[#This Row],[Total Amount]]&gt;=1000,"High","Low")</f>
        <v>High</v>
      </c>
      <c r="Q622" s="4" t="str" cm="1">
        <f t="array" ref="Q622">_xlfn.IFS(AND(Table1567[[#This Row],[Total Amount]]&gt;=1500,"Critical"),AND(Table1567[[#This Row],[Total Amount]]&gt;=1000,"High"),TRUE,"Normal")</f>
        <v>Normal</v>
      </c>
      <c r="R622" s="4" t="str">
        <f>CONCATENATE(Table1567[[#This Row],[Customer ID]], "-",Table1567[[#This Row],[Age]])</f>
        <v>CUST621-40</v>
      </c>
      <c r="S622" s="4" t="str">
        <f>TEXT(Table1567[[#This Row],[Date]],"mmm")</f>
        <v>Mar</v>
      </c>
      <c r="T622" s="4" t="str">
        <f>TEXT(Table1567[[#This Row],[Date]],"DDD")</f>
        <v>Sat</v>
      </c>
    </row>
    <row r="623" spans="1:20" ht="29" x14ac:dyDescent="0.35">
      <c r="A623" s="4">
        <v>622</v>
      </c>
      <c r="B623" s="5">
        <v>45160</v>
      </c>
      <c r="C623" s="4" t="s">
        <v>635</v>
      </c>
      <c r="D623" s="4" t="s">
        <v>13</v>
      </c>
      <c r="E623" s="4">
        <v>49</v>
      </c>
      <c r="F623" s="4" t="str">
        <f>IF(Table1567[[#This Row],[Age]]&lt;=19,"Teenager",IF(Table1567[[#This Row],[Age]]&lt;=40,"Median","Old"))</f>
        <v>Old</v>
      </c>
      <c r="G623" s="4" t="s">
        <v>11</v>
      </c>
      <c r="H623" s="4">
        <v>3</v>
      </c>
      <c r="I623" s="4">
        <v>25</v>
      </c>
      <c r="J623" s="4">
        <v>75</v>
      </c>
      <c r="K623" s="4" t="str" cm="1">
        <f t="array" ref="K623">_xlfn.IFS(AND(Table1567[[#This Row],[Total Amount]]&gt;=1500),"Critical",AND(Table1567[[#This Row],[Total Amount]]&gt;=1000),"High",TRUE,"Normal")</f>
        <v>Normal</v>
      </c>
      <c r="L623" s="4" t="str">
        <f>IF(Table1567[[#This Row],[Total Amount]]&gt;=1000,"High",(IF(Table1567[[#This Row],[Total Amount]]&gt;=500,"Medium","Low")))</f>
        <v>Low</v>
      </c>
      <c r="M623" s="4" t="str" cm="1">
        <f t="array" ref="M62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23" s="4" cm="1">
        <f t="array" ref="N62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623" s="4">
        <f>Table1567[[#This Row],[Total Amount]]-Table1567[[#This Row],[Discount Amount]]</f>
        <v>60</v>
      </c>
      <c r="P623" s="4" t="str">
        <f>IF(Table1567[[#This Row],[Total Amount]]&gt;=1000,"High","Low")</f>
        <v>Low</v>
      </c>
      <c r="Q623" s="4" t="str" cm="1">
        <f t="array" ref="Q623">_xlfn.IFS(AND(Table1567[[#This Row],[Total Amount]]&gt;=1500,"Critical"),AND(Table1567[[#This Row],[Total Amount]]&gt;=1000,"High"),TRUE,"Normal")</f>
        <v>Normal</v>
      </c>
      <c r="R623" s="4" t="str">
        <f>CONCATENATE(Table1567[[#This Row],[Customer ID]], "-",Table1567[[#This Row],[Age]])</f>
        <v>CUST622-49</v>
      </c>
      <c r="S623" s="4" t="str">
        <f>TEXT(Table1567[[#This Row],[Date]],"mmm")</f>
        <v>Aug</v>
      </c>
      <c r="T623" s="4" t="str">
        <f>TEXT(Table1567[[#This Row],[Date]],"DDD")</f>
        <v>Tue</v>
      </c>
    </row>
    <row r="624" spans="1:20" ht="29" x14ac:dyDescent="0.35">
      <c r="A624" s="4">
        <v>623</v>
      </c>
      <c r="B624" s="5">
        <v>44995</v>
      </c>
      <c r="C624" s="4" t="s">
        <v>636</v>
      </c>
      <c r="D624" s="4" t="s">
        <v>10</v>
      </c>
      <c r="E624" s="4">
        <v>34</v>
      </c>
      <c r="F624" s="4" t="str">
        <f>IF(Table1567[[#This Row],[Age]]&lt;=19,"Teenager",IF(Table1567[[#This Row],[Age]]&lt;=40,"Median","Old"))</f>
        <v>Median</v>
      </c>
      <c r="G624" s="4" t="s">
        <v>14</v>
      </c>
      <c r="H624" s="4">
        <v>3</v>
      </c>
      <c r="I624" s="4">
        <v>50</v>
      </c>
      <c r="J624" s="4">
        <v>150</v>
      </c>
      <c r="K624" s="4" t="str" cm="1">
        <f t="array" ref="K624">_xlfn.IFS(AND(Table1567[[#This Row],[Total Amount]]&gt;=1500),"Critical",AND(Table1567[[#This Row],[Total Amount]]&gt;=1000),"High",TRUE,"Normal")</f>
        <v>Normal</v>
      </c>
      <c r="L624" s="4" t="str">
        <f>IF(Table1567[[#This Row],[Total Amount]]&gt;=1000,"High",(IF(Table1567[[#This Row],[Total Amount]]&gt;=500,"Medium","Low")))</f>
        <v>Low</v>
      </c>
      <c r="M624" s="4" t="str" cm="1">
        <f t="array" ref="M62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24" s="4" cm="1">
        <f t="array" ref="N62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22.5</v>
      </c>
      <c r="O624" s="4">
        <f>Table1567[[#This Row],[Total Amount]]-Table1567[[#This Row],[Discount Amount]]</f>
        <v>127.5</v>
      </c>
      <c r="P624" s="4" t="str">
        <f>IF(Table1567[[#This Row],[Total Amount]]&gt;=1000,"High","Low")</f>
        <v>Low</v>
      </c>
      <c r="Q624" s="4" t="str" cm="1">
        <f t="array" ref="Q624">_xlfn.IFS(AND(Table1567[[#This Row],[Total Amount]]&gt;=1500,"Critical"),AND(Table1567[[#This Row],[Total Amount]]&gt;=1000,"High"),TRUE,"Normal")</f>
        <v>Normal</v>
      </c>
      <c r="R624" s="4" t="str">
        <f>CONCATENATE(Table1567[[#This Row],[Customer ID]], "-",Table1567[[#This Row],[Age]])</f>
        <v>CUST623-34</v>
      </c>
      <c r="S624" s="4" t="str">
        <f>TEXT(Table1567[[#This Row],[Date]],"mmm")</f>
        <v>Mar</v>
      </c>
      <c r="T624" s="4" t="str">
        <f>TEXT(Table1567[[#This Row],[Date]],"DDD")</f>
        <v>Fri</v>
      </c>
    </row>
    <row r="625" spans="1:20" ht="29" x14ac:dyDescent="0.35">
      <c r="A625" s="4">
        <v>624</v>
      </c>
      <c r="B625" s="5">
        <v>45164</v>
      </c>
      <c r="C625" s="4" t="s">
        <v>637</v>
      </c>
      <c r="D625" s="4" t="s">
        <v>13</v>
      </c>
      <c r="E625" s="4">
        <v>34</v>
      </c>
      <c r="F625" s="4" t="str">
        <f>IF(Table1567[[#This Row],[Age]]&lt;=19,"Teenager",IF(Table1567[[#This Row],[Age]]&lt;=40,"Median","Old"))</f>
        <v>Median</v>
      </c>
      <c r="G625" s="4" t="s">
        <v>11</v>
      </c>
      <c r="H625" s="4">
        <v>3</v>
      </c>
      <c r="I625" s="4">
        <v>300</v>
      </c>
      <c r="J625" s="4">
        <v>900</v>
      </c>
      <c r="K625" s="4" t="str" cm="1">
        <f t="array" ref="K625">_xlfn.IFS(AND(Table1567[[#This Row],[Total Amount]]&gt;=1500),"Critical",AND(Table1567[[#This Row],[Total Amount]]&gt;=1000),"High",TRUE,"Normal")</f>
        <v>Normal</v>
      </c>
      <c r="L625" s="4" t="str">
        <f>IF(Table1567[[#This Row],[Total Amount]]&gt;=1000,"High",(IF(Table1567[[#This Row],[Total Amount]]&gt;=500,"Medium","Low")))</f>
        <v>Medium</v>
      </c>
      <c r="M625" s="4" t="str" cm="1">
        <f t="array" ref="M62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25" s="4" cm="1">
        <f t="array" ref="N62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135</v>
      </c>
      <c r="O625" s="4">
        <f>Table1567[[#This Row],[Total Amount]]-Table1567[[#This Row],[Discount Amount]]</f>
        <v>765</v>
      </c>
      <c r="P625" s="4" t="str">
        <f>IF(Table1567[[#This Row],[Total Amount]]&gt;=1000,"High","Low")</f>
        <v>Low</v>
      </c>
      <c r="Q625" s="4" t="str" cm="1">
        <f t="array" ref="Q625">_xlfn.IFS(AND(Table1567[[#This Row],[Total Amount]]&gt;=1500,"Critical"),AND(Table1567[[#This Row],[Total Amount]]&gt;=1000,"High"),TRUE,"Normal")</f>
        <v>Normal</v>
      </c>
      <c r="R625" s="4" t="str">
        <f>CONCATENATE(Table1567[[#This Row],[Customer ID]], "-",Table1567[[#This Row],[Age]])</f>
        <v>CUST624-34</v>
      </c>
      <c r="S625" s="4" t="str">
        <f>TEXT(Table1567[[#This Row],[Date]],"mmm")</f>
        <v>Aug</v>
      </c>
      <c r="T625" s="4" t="str">
        <f>TEXT(Table1567[[#This Row],[Date]],"DDD")</f>
        <v>Sat</v>
      </c>
    </row>
    <row r="626" spans="1:20" ht="29" x14ac:dyDescent="0.35">
      <c r="A626" s="4">
        <v>625</v>
      </c>
      <c r="B626" s="5">
        <v>45268</v>
      </c>
      <c r="C626" s="4" t="s">
        <v>638</v>
      </c>
      <c r="D626" s="4" t="s">
        <v>10</v>
      </c>
      <c r="E626" s="4">
        <v>31</v>
      </c>
      <c r="F626" s="4" t="str">
        <f>IF(Table1567[[#This Row],[Age]]&lt;=19,"Teenager",IF(Table1567[[#This Row],[Age]]&lt;=40,"Median","Old"))</f>
        <v>Median</v>
      </c>
      <c r="G626" s="4" t="s">
        <v>14</v>
      </c>
      <c r="H626" s="4">
        <v>1</v>
      </c>
      <c r="I626" s="4">
        <v>300</v>
      </c>
      <c r="J626" s="4">
        <v>300</v>
      </c>
      <c r="K626" s="4" t="str" cm="1">
        <f t="array" ref="K626">_xlfn.IFS(AND(Table1567[[#This Row],[Total Amount]]&gt;=1500),"Critical",AND(Table1567[[#This Row],[Total Amount]]&gt;=1000),"High",TRUE,"Normal")</f>
        <v>Normal</v>
      </c>
      <c r="L626" s="4" t="str">
        <f>IF(Table1567[[#This Row],[Total Amount]]&gt;=1000,"High",(IF(Table1567[[#This Row],[Total Amount]]&gt;=500,"Medium","Low")))</f>
        <v>Low</v>
      </c>
      <c r="M626" s="4" t="str" cm="1">
        <f t="array" ref="M62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26" s="4" cm="1">
        <f t="array" ref="N62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45</v>
      </c>
      <c r="O626" s="4">
        <f>Table1567[[#This Row],[Total Amount]]-Table1567[[#This Row],[Discount Amount]]</f>
        <v>255</v>
      </c>
      <c r="P626" s="4" t="str">
        <f>IF(Table1567[[#This Row],[Total Amount]]&gt;=1000,"High","Low")</f>
        <v>Low</v>
      </c>
      <c r="Q626" s="4" t="str" cm="1">
        <f t="array" ref="Q626">_xlfn.IFS(AND(Table1567[[#This Row],[Total Amount]]&gt;=1500,"Critical"),AND(Table1567[[#This Row],[Total Amount]]&gt;=1000,"High"),TRUE,"Normal")</f>
        <v>Normal</v>
      </c>
      <c r="R626" s="4" t="str">
        <f>CONCATENATE(Table1567[[#This Row],[Customer ID]], "-",Table1567[[#This Row],[Age]])</f>
        <v>CUST625-31</v>
      </c>
      <c r="S626" s="4" t="str">
        <f>TEXT(Table1567[[#This Row],[Date]],"mmm")</f>
        <v>Dec</v>
      </c>
      <c r="T626" s="4" t="str">
        <f>TEXT(Table1567[[#This Row],[Date]],"DDD")</f>
        <v>Fri</v>
      </c>
    </row>
    <row r="627" spans="1:20" ht="29" x14ac:dyDescent="0.35">
      <c r="A627" s="4">
        <v>626</v>
      </c>
      <c r="B627" s="5">
        <v>45198</v>
      </c>
      <c r="C627" s="4" t="s">
        <v>639</v>
      </c>
      <c r="D627" s="4" t="s">
        <v>13</v>
      </c>
      <c r="E627" s="4">
        <v>26</v>
      </c>
      <c r="F627" s="4" t="str">
        <f>IF(Table1567[[#This Row],[Age]]&lt;=19,"Teenager",IF(Table1567[[#This Row],[Age]]&lt;=40,"Median","Old"))</f>
        <v>Median</v>
      </c>
      <c r="G627" s="4" t="s">
        <v>14</v>
      </c>
      <c r="H627" s="4">
        <v>4</v>
      </c>
      <c r="I627" s="4">
        <v>500</v>
      </c>
      <c r="J627" s="4">
        <v>2000</v>
      </c>
      <c r="K627" s="4" t="str" cm="1">
        <f t="array" ref="K627">_xlfn.IFS(AND(Table1567[[#This Row],[Total Amount]]&gt;=1500),"Critical",AND(Table1567[[#This Row],[Total Amount]]&gt;=1000),"High",TRUE,"Normal")</f>
        <v>Critical</v>
      </c>
      <c r="L627" s="4" t="str">
        <f>IF(Table1567[[#This Row],[Total Amount]]&gt;=1000,"High",(IF(Table1567[[#This Row],[Total Amount]]&gt;=500,"Medium","Low")))</f>
        <v>High</v>
      </c>
      <c r="M627" s="4" t="str" cm="1">
        <f t="array" ref="M62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27" s="4" cm="1">
        <f t="array" ref="N62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627" s="4">
        <f>Table1567[[#This Row],[Total Amount]]-Table1567[[#This Row],[Discount Amount]]</f>
        <v>1700</v>
      </c>
      <c r="P627" s="4" t="str">
        <f>IF(Table1567[[#This Row],[Total Amount]]&gt;=1000,"High","Low")</f>
        <v>High</v>
      </c>
      <c r="Q627" s="4" t="b" cm="1">
        <f t="array" ref="Q627">_xlfn.IFS(AND(Table1567[[#This Row],[Total Amount]]&gt;=1500,"Critical"),AND(Table1567[[#This Row],[Total Amount]]&gt;=1000,"High"),TRUE,"Normal")</f>
        <v>1</v>
      </c>
      <c r="R627" s="4" t="str">
        <f>CONCATENATE(Table1567[[#This Row],[Customer ID]], "-",Table1567[[#This Row],[Age]])</f>
        <v>CUST626-26</v>
      </c>
      <c r="S627" s="4" t="str">
        <f>TEXT(Table1567[[#This Row],[Date]],"mmm")</f>
        <v>Sep</v>
      </c>
      <c r="T627" s="4" t="str">
        <f>TEXT(Table1567[[#This Row],[Date]],"DDD")</f>
        <v>Fri</v>
      </c>
    </row>
    <row r="628" spans="1:20" ht="29" x14ac:dyDescent="0.35">
      <c r="A628" s="4">
        <v>627</v>
      </c>
      <c r="B628" s="5">
        <v>45213</v>
      </c>
      <c r="C628" s="4" t="s">
        <v>640</v>
      </c>
      <c r="D628" s="4" t="s">
        <v>10</v>
      </c>
      <c r="E628" s="4">
        <v>57</v>
      </c>
      <c r="F628" s="4" t="str">
        <f>IF(Table1567[[#This Row],[Age]]&lt;=19,"Teenager",IF(Table1567[[#This Row],[Age]]&lt;=40,"Median","Old"))</f>
        <v>Old</v>
      </c>
      <c r="G628" s="4" t="s">
        <v>14</v>
      </c>
      <c r="H628" s="4">
        <v>1</v>
      </c>
      <c r="I628" s="4">
        <v>50</v>
      </c>
      <c r="J628" s="4">
        <v>50</v>
      </c>
      <c r="K628" s="4" t="str" cm="1">
        <f t="array" ref="K628">_xlfn.IFS(AND(Table1567[[#This Row],[Total Amount]]&gt;=1500),"Critical",AND(Table1567[[#This Row],[Total Amount]]&gt;=1000),"High",TRUE,"Normal")</f>
        <v>Normal</v>
      </c>
      <c r="L628" s="4" t="str">
        <f>IF(Table1567[[#This Row],[Total Amount]]&gt;=1000,"High",(IF(Table1567[[#This Row],[Total Amount]]&gt;=500,"Medium","Low")))</f>
        <v>Low</v>
      </c>
      <c r="M628" s="4" t="str" cm="1">
        <f t="array" ref="M62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28" s="4" cm="1">
        <f t="array" ref="N62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628" s="4">
        <f>Table1567[[#This Row],[Total Amount]]-Table1567[[#This Row],[Discount Amount]]</f>
        <v>45</v>
      </c>
      <c r="P628" s="4" t="str">
        <f>IF(Table1567[[#This Row],[Total Amount]]&gt;=1000,"High","Low")</f>
        <v>Low</v>
      </c>
      <c r="Q628" s="4" t="str" cm="1">
        <f t="array" ref="Q628">_xlfn.IFS(AND(Table1567[[#This Row],[Total Amount]]&gt;=1500,"Critical"),AND(Table1567[[#This Row],[Total Amount]]&gt;=1000,"High"),TRUE,"Normal")</f>
        <v>Normal</v>
      </c>
      <c r="R628" s="4" t="str">
        <f>CONCATENATE(Table1567[[#This Row],[Customer ID]], "-",Table1567[[#This Row],[Age]])</f>
        <v>CUST627-57</v>
      </c>
      <c r="S628" s="4" t="str">
        <f>TEXT(Table1567[[#This Row],[Date]],"mmm")</f>
        <v>Oct</v>
      </c>
      <c r="T628" s="4" t="str">
        <f>TEXT(Table1567[[#This Row],[Date]],"DDD")</f>
        <v>Sat</v>
      </c>
    </row>
    <row r="629" spans="1:20" ht="29" x14ac:dyDescent="0.35">
      <c r="A629" s="4">
        <v>628</v>
      </c>
      <c r="B629" s="5">
        <v>45231</v>
      </c>
      <c r="C629" s="4" t="s">
        <v>641</v>
      </c>
      <c r="D629" s="4" t="s">
        <v>13</v>
      </c>
      <c r="E629" s="4">
        <v>19</v>
      </c>
      <c r="F629" s="4" t="str">
        <f>IF(Table1567[[#This Row],[Age]]&lt;=19,"Teenager",IF(Table1567[[#This Row],[Age]]&lt;=40,"Median","Old"))</f>
        <v>Teenager</v>
      </c>
      <c r="G629" s="4" t="s">
        <v>11</v>
      </c>
      <c r="H629" s="4">
        <v>4</v>
      </c>
      <c r="I629" s="4">
        <v>50</v>
      </c>
      <c r="J629" s="4">
        <v>200</v>
      </c>
      <c r="K629" s="4" t="str" cm="1">
        <f t="array" ref="K629">_xlfn.IFS(AND(Table1567[[#This Row],[Total Amount]]&gt;=1500),"Critical",AND(Table1567[[#This Row],[Total Amount]]&gt;=1000),"High",TRUE,"Normal")</f>
        <v>Normal</v>
      </c>
      <c r="L629" s="4" t="str">
        <f>IF(Table1567[[#This Row],[Total Amount]]&gt;=1000,"High",(IF(Table1567[[#This Row],[Total Amount]]&gt;=500,"Medium","Low")))</f>
        <v>Low</v>
      </c>
      <c r="M629" s="4" t="str" cm="1">
        <f t="array" ref="M62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629" s="4" cm="1">
        <f t="array" ref="N62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629" s="4">
        <f>Table1567[[#This Row],[Total Amount]]-Table1567[[#This Row],[Discount Amount]]</f>
        <v>200</v>
      </c>
      <c r="P629" s="4" t="str">
        <f>IF(Table1567[[#This Row],[Total Amount]]&gt;=1000,"High","Low")</f>
        <v>Low</v>
      </c>
      <c r="Q629" s="4" t="str" cm="1">
        <f t="array" ref="Q629">_xlfn.IFS(AND(Table1567[[#This Row],[Total Amount]]&gt;=1500,"Critical"),AND(Table1567[[#This Row],[Total Amount]]&gt;=1000,"High"),TRUE,"Normal")</f>
        <v>Normal</v>
      </c>
      <c r="R629" s="4" t="str">
        <f>CONCATENATE(Table1567[[#This Row],[Customer ID]], "-",Table1567[[#This Row],[Age]])</f>
        <v>CUST628-19</v>
      </c>
      <c r="S629" s="4" t="str">
        <f>TEXT(Table1567[[#This Row],[Date]],"mmm")</f>
        <v>Nov</v>
      </c>
      <c r="T629" s="4" t="str">
        <f>TEXT(Table1567[[#This Row],[Date]],"DDD")</f>
        <v>Wed</v>
      </c>
    </row>
    <row r="630" spans="1:20" ht="29" x14ac:dyDescent="0.35">
      <c r="A630" s="4">
        <v>629</v>
      </c>
      <c r="B630" s="5">
        <v>45089</v>
      </c>
      <c r="C630" s="4" t="s">
        <v>642</v>
      </c>
      <c r="D630" s="4" t="s">
        <v>10</v>
      </c>
      <c r="E630" s="4">
        <v>62</v>
      </c>
      <c r="F630" s="4" t="str">
        <f>IF(Table1567[[#This Row],[Age]]&lt;=19,"Teenager",IF(Table1567[[#This Row],[Age]]&lt;=40,"Median","Old"))</f>
        <v>Old</v>
      </c>
      <c r="G630" s="4" t="s">
        <v>16</v>
      </c>
      <c r="H630" s="4">
        <v>2</v>
      </c>
      <c r="I630" s="4">
        <v>25</v>
      </c>
      <c r="J630" s="4">
        <v>50</v>
      </c>
      <c r="K630" s="4" t="str" cm="1">
        <f t="array" ref="K630">_xlfn.IFS(AND(Table1567[[#This Row],[Total Amount]]&gt;=1500),"Critical",AND(Table1567[[#This Row],[Total Amount]]&gt;=1000),"High",TRUE,"Normal")</f>
        <v>Normal</v>
      </c>
      <c r="L630" s="4" t="str">
        <f>IF(Table1567[[#This Row],[Total Amount]]&gt;=1000,"High",(IF(Table1567[[#This Row],[Total Amount]]&gt;=500,"Medium","Low")))</f>
        <v>Low</v>
      </c>
      <c r="M630" s="4" t="str" cm="1">
        <f t="array" ref="M63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30" s="4" cm="1">
        <f t="array" ref="N63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630" s="4">
        <f>Table1567[[#This Row],[Total Amount]]-Table1567[[#This Row],[Discount Amount]]</f>
        <v>45</v>
      </c>
      <c r="P630" s="4" t="str">
        <f>IF(Table1567[[#This Row],[Total Amount]]&gt;=1000,"High","Low")</f>
        <v>Low</v>
      </c>
      <c r="Q630" s="4" t="str" cm="1">
        <f t="array" ref="Q630">_xlfn.IFS(AND(Table1567[[#This Row],[Total Amount]]&gt;=1500,"Critical"),AND(Table1567[[#This Row],[Total Amount]]&gt;=1000,"High"),TRUE,"Normal")</f>
        <v>Normal</v>
      </c>
      <c r="R630" s="4" t="str">
        <f>CONCATENATE(Table1567[[#This Row],[Customer ID]], "-",Table1567[[#This Row],[Age]])</f>
        <v>CUST629-62</v>
      </c>
      <c r="S630" s="4" t="str">
        <f>TEXT(Table1567[[#This Row],[Date]],"mmm")</f>
        <v>Jun</v>
      </c>
      <c r="T630" s="4" t="str">
        <f>TEXT(Table1567[[#This Row],[Date]],"DDD")</f>
        <v>Mon</v>
      </c>
    </row>
    <row r="631" spans="1:20" ht="29" x14ac:dyDescent="0.35">
      <c r="A631" s="4">
        <v>630</v>
      </c>
      <c r="B631" s="5">
        <v>45153</v>
      </c>
      <c r="C631" s="4" t="s">
        <v>643</v>
      </c>
      <c r="D631" s="4" t="s">
        <v>10</v>
      </c>
      <c r="E631" s="4">
        <v>42</v>
      </c>
      <c r="F631" s="4" t="str">
        <f>IF(Table1567[[#This Row],[Age]]&lt;=19,"Teenager",IF(Table1567[[#This Row],[Age]]&lt;=40,"Median","Old"))</f>
        <v>Old</v>
      </c>
      <c r="G631" s="4" t="s">
        <v>14</v>
      </c>
      <c r="H631" s="4">
        <v>2</v>
      </c>
      <c r="I631" s="4">
        <v>50</v>
      </c>
      <c r="J631" s="4">
        <v>100</v>
      </c>
      <c r="K631" s="4" t="str" cm="1">
        <f t="array" ref="K631">_xlfn.IFS(AND(Table1567[[#This Row],[Total Amount]]&gt;=1500),"Critical",AND(Table1567[[#This Row],[Total Amount]]&gt;=1000),"High",TRUE,"Normal")</f>
        <v>Normal</v>
      </c>
      <c r="L631" s="4" t="str">
        <f>IF(Table1567[[#This Row],[Total Amount]]&gt;=1000,"High",(IF(Table1567[[#This Row],[Total Amount]]&gt;=500,"Medium","Low")))</f>
        <v>Low</v>
      </c>
      <c r="M631" s="4" t="str" cm="1">
        <f t="array" ref="M63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31" s="4" cm="1">
        <f t="array" ref="N63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631" s="4">
        <f>Table1567[[#This Row],[Total Amount]]-Table1567[[#This Row],[Discount Amount]]</f>
        <v>90</v>
      </c>
      <c r="P631" s="4" t="str">
        <f>IF(Table1567[[#This Row],[Total Amount]]&gt;=1000,"High","Low")</f>
        <v>Low</v>
      </c>
      <c r="Q631" s="4" t="str" cm="1">
        <f t="array" ref="Q631">_xlfn.IFS(AND(Table1567[[#This Row],[Total Amount]]&gt;=1500,"Critical"),AND(Table1567[[#This Row],[Total Amount]]&gt;=1000,"High"),TRUE,"Normal")</f>
        <v>Normal</v>
      </c>
      <c r="R631" s="4" t="str">
        <f>CONCATENATE(Table1567[[#This Row],[Customer ID]], "-",Table1567[[#This Row],[Age]])</f>
        <v>CUST630-42</v>
      </c>
      <c r="S631" s="4" t="str">
        <f>TEXT(Table1567[[#This Row],[Date]],"mmm")</f>
        <v>Aug</v>
      </c>
      <c r="T631" s="4" t="str">
        <f>TEXT(Table1567[[#This Row],[Date]],"DDD")</f>
        <v>Tue</v>
      </c>
    </row>
    <row r="632" spans="1:20" ht="29" x14ac:dyDescent="0.35">
      <c r="A632" s="4">
        <v>631</v>
      </c>
      <c r="B632" s="5">
        <v>45240</v>
      </c>
      <c r="C632" s="4" t="s">
        <v>644</v>
      </c>
      <c r="D632" s="4" t="s">
        <v>10</v>
      </c>
      <c r="E632" s="4">
        <v>56</v>
      </c>
      <c r="F632" s="4" t="str">
        <f>IF(Table1567[[#This Row],[Age]]&lt;=19,"Teenager",IF(Table1567[[#This Row],[Age]]&lt;=40,"Median","Old"))</f>
        <v>Old</v>
      </c>
      <c r="G632" s="4" t="s">
        <v>16</v>
      </c>
      <c r="H632" s="4">
        <v>3</v>
      </c>
      <c r="I632" s="4">
        <v>30</v>
      </c>
      <c r="J632" s="4">
        <v>90</v>
      </c>
      <c r="K632" s="4" t="str" cm="1">
        <f t="array" ref="K632">_xlfn.IFS(AND(Table1567[[#This Row],[Total Amount]]&gt;=1500),"Critical",AND(Table1567[[#This Row],[Total Amount]]&gt;=1000),"High",TRUE,"Normal")</f>
        <v>Normal</v>
      </c>
      <c r="L632" s="4" t="str">
        <f>IF(Table1567[[#This Row],[Total Amount]]&gt;=1000,"High",(IF(Table1567[[#This Row],[Total Amount]]&gt;=500,"Medium","Low")))</f>
        <v>Low</v>
      </c>
      <c r="M632" s="4" t="str" cm="1">
        <f t="array" ref="M63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32" s="4" cm="1">
        <f t="array" ref="N63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</v>
      </c>
      <c r="O632" s="4">
        <f>Table1567[[#This Row],[Total Amount]]-Table1567[[#This Row],[Discount Amount]]</f>
        <v>81</v>
      </c>
      <c r="P632" s="4" t="str">
        <f>IF(Table1567[[#This Row],[Total Amount]]&gt;=1000,"High","Low")</f>
        <v>Low</v>
      </c>
      <c r="Q632" s="4" t="str" cm="1">
        <f t="array" ref="Q632">_xlfn.IFS(AND(Table1567[[#This Row],[Total Amount]]&gt;=1500,"Critical"),AND(Table1567[[#This Row],[Total Amount]]&gt;=1000,"High"),TRUE,"Normal")</f>
        <v>Normal</v>
      </c>
      <c r="R632" s="4" t="str">
        <f>CONCATENATE(Table1567[[#This Row],[Customer ID]], "-",Table1567[[#This Row],[Age]])</f>
        <v>CUST631-56</v>
      </c>
      <c r="S632" s="4" t="str">
        <f>TEXT(Table1567[[#This Row],[Date]],"mmm")</f>
        <v>Nov</v>
      </c>
      <c r="T632" s="4" t="str">
        <f>TEXT(Table1567[[#This Row],[Date]],"DDD")</f>
        <v>Fri</v>
      </c>
    </row>
    <row r="633" spans="1:20" ht="29" x14ac:dyDescent="0.35">
      <c r="A633" s="4">
        <v>632</v>
      </c>
      <c r="B633" s="5">
        <v>45185</v>
      </c>
      <c r="C633" s="4" t="s">
        <v>645</v>
      </c>
      <c r="D633" s="4" t="s">
        <v>13</v>
      </c>
      <c r="E633" s="4">
        <v>26</v>
      </c>
      <c r="F633" s="4" t="str">
        <f>IF(Table1567[[#This Row],[Age]]&lt;=19,"Teenager",IF(Table1567[[#This Row],[Age]]&lt;=40,"Median","Old"))</f>
        <v>Median</v>
      </c>
      <c r="G633" s="4" t="s">
        <v>16</v>
      </c>
      <c r="H633" s="4">
        <v>4</v>
      </c>
      <c r="I633" s="4">
        <v>25</v>
      </c>
      <c r="J633" s="4">
        <v>100</v>
      </c>
      <c r="K633" s="4" t="str" cm="1">
        <f t="array" ref="K633">_xlfn.IFS(AND(Table1567[[#This Row],[Total Amount]]&gt;=1500),"Critical",AND(Table1567[[#This Row],[Total Amount]]&gt;=1000),"High",TRUE,"Normal")</f>
        <v>Normal</v>
      </c>
      <c r="L633" s="4" t="str">
        <f>IF(Table1567[[#This Row],[Total Amount]]&gt;=1000,"High",(IF(Table1567[[#This Row],[Total Amount]]&gt;=500,"Medium","Low")))</f>
        <v>Low</v>
      </c>
      <c r="M633" s="4" t="str" cm="1">
        <f t="array" ref="M63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33" s="4" cm="1">
        <f t="array" ref="N63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633" s="4">
        <f>Table1567[[#This Row],[Total Amount]]-Table1567[[#This Row],[Discount Amount]]</f>
        <v>85</v>
      </c>
      <c r="P633" s="4" t="str">
        <f>IF(Table1567[[#This Row],[Total Amount]]&gt;=1000,"High","Low")</f>
        <v>Low</v>
      </c>
      <c r="Q633" s="4" t="str" cm="1">
        <f t="array" ref="Q633">_xlfn.IFS(AND(Table1567[[#This Row],[Total Amount]]&gt;=1500,"Critical"),AND(Table1567[[#This Row],[Total Amount]]&gt;=1000,"High"),TRUE,"Normal")</f>
        <v>Normal</v>
      </c>
      <c r="R633" s="4" t="str">
        <f>CONCATENATE(Table1567[[#This Row],[Customer ID]], "-",Table1567[[#This Row],[Age]])</f>
        <v>CUST632-26</v>
      </c>
      <c r="S633" s="4" t="str">
        <f>TEXT(Table1567[[#This Row],[Date]],"mmm")</f>
        <v>Sep</v>
      </c>
      <c r="T633" s="4" t="str">
        <f>TEXT(Table1567[[#This Row],[Date]],"DDD")</f>
        <v>Sat</v>
      </c>
    </row>
    <row r="634" spans="1:20" ht="29" x14ac:dyDescent="0.35">
      <c r="A634" s="4">
        <v>633</v>
      </c>
      <c r="B634" s="5">
        <v>45145</v>
      </c>
      <c r="C634" s="4" t="s">
        <v>646</v>
      </c>
      <c r="D634" s="4" t="s">
        <v>10</v>
      </c>
      <c r="E634" s="4">
        <v>39</v>
      </c>
      <c r="F634" s="4" t="str">
        <f>IF(Table1567[[#This Row],[Age]]&lt;=19,"Teenager",IF(Table1567[[#This Row],[Age]]&lt;=40,"Median","Old"))</f>
        <v>Median</v>
      </c>
      <c r="G634" s="4" t="s">
        <v>11</v>
      </c>
      <c r="H634" s="4">
        <v>4</v>
      </c>
      <c r="I634" s="4">
        <v>30</v>
      </c>
      <c r="J634" s="4">
        <v>120</v>
      </c>
      <c r="K634" s="4" t="str" cm="1">
        <f t="array" ref="K634">_xlfn.IFS(AND(Table1567[[#This Row],[Total Amount]]&gt;=1500),"Critical",AND(Table1567[[#This Row],[Total Amount]]&gt;=1000),"High",TRUE,"Normal")</f>
        <v>Normal</v>
      </c>
      <c r="L634" s="4" t="str">
        <f>IF(Table1567[[#This Row],[Total Amount]]&gt;=1000,"High",(IF(Table1567[[#This Row],[Total Amount]]&gt;=500,"Medium","Low")))</f>
        <v>Low</v>
      </c>
      <c r="M634" s="4" t="str" cm="1">
        <f t="array" ref="M63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34" s="4" cm="1">
        <f t="array" ref="N63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634" s="4">
        <f>Table1567[[#This Row],[Total Amount]]-Table1567[[#This Row],[Discount Amount]]</f>
        <v>108</v>
      </c>
      <c r="P634" s="4" t="str">
        <f>IF(Table1567[[#This Row],[Total Amount]]&gt;=1000,"High","Low")</f>
        <v>Low</v>
      </c>
      <c r="Q634" s="4" t="str" cm="1">
        <f t="array" ref="Q634">_xlfn.IFS(AND(Table1567[[#This Row],[Total Amount]]&gt;=1500,"Critical"),AND(Table1567[[#This Row],[Total Amount]]&gt;=1000,"High"),TRUE,"Normal")</f>
        <v>Normal</v>
      </c>
      <c r="R634" s="4" t="str">
        <f>CONCATENATE(Table1567[[#This Row],[Customer ID]], "-",Table1567[[#This Row],[Age]])</f>
        <v>CUST633-39</v>
      </c>
      <c r="S634" s="4" t="str">
        <f>TEXT(Table1567[[#This Row],[Date]],"mmm")</f>
        <v>Aug</v>
      </c>
      <c r="T634" s="4" t="str">
        <f>TEXT(Table1567[[#This Row],[Date]],"DDD")</f>
        <v>Mon</v>
      </c>
    </row>
    <row r="635" spans="1:20" ht="29" x14ac:dyDescent="0.35">
      <c r="A635" s="4">
        <v>634</v>
      </c>
      <c r="B635" s="5">
        <v>45207</v>
      </c>
      <c r="C635" s="4" t="s">
        <v>647</v>
      </c>
      <c r="D635" s="4" t="s">
        <v>10</v>
      </c>
      <c r="E635" s="4">
        <v>60</v>
      </c>
      <c r="F635" s="4" t="str">
        <f>IF(Table1567[[#This Row],[Age]]&lt;=19,"Teenager",IF(Table1567[[#This Row],[Age]]&lt;=40,"Median","Old"))</f>
        <v>Old</v>
      </c>
      <c r="G635" s="4" t="s">
        <v>16</v>
      </c>
      <c r="H635" s="4">
        <v>4</v>
      </c>
      <c r="I635" s="4">
        <v>500</v>
      </c>
      <c r="J635" s="4">
        <v>2000</v>
      </c>
      <c r="K635" s="4" t="str" cm="1">
        <f t="array" ref="K635">_xlfn.IFS(AND(Table1567[[#This Row],[Total Amount]]&gt;=1500),"Critical",AND(Table1567[[#This Row],[Total Amount]]&gt;=1000),"High",TRUE,"Normal")</f>
        <v>Critical</v>
      </c>
      <c r="L635" s="4" t="str">
        <f>IF(Table1567[[#This Row],[Total Amount]]&gt;=1000,"High",(IF(Table1567[[#This Row],[Total Amount]]&gt;=500,"Medium","Low")))</f>
        <v>High</v>
      </c>
      <c r="M635" s="4" t="str" cm="1">
        <f t="array" ref="M63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35" s="4" cm="1">
        <f t="array" ref="N63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635" s="4">
        <f>Table1567[[#This Row],[Total Amount]]-Table1567[[#This Row],[Discount Amount]]</f>
        <v>1800</v>
      </c>
      <c r="P635" s="4" t="str">
        <f>IF(Table1567[[#This Row],[Total Amount]]&gt;=1000,"High","Low")</f>
        <v>High</v>
      </c>
      <c r="Q635" s="4" t="b" cm="1">
        <f t="array" ref="Q635">_xlfn.IFS(AND(Table1567[[#This Row],[Total Amount]]&gt;=1500,"Critical"),AND(Table1567[[#This Row],[Total Amount]]&gt;=1000,"High"),TRUE,"Normal")</f>
        <v>1</v>
      </c>
      <c r="R635" s="4" t="str">
        <f>CONCATENATE(Table1567[[#This Row],[Customer ID]], "-",Table1567[[#This Row],[Age]])</f>
        <v>CUST634-60</v>
      </c>
      <c r="S635" s="4" t="str">
        <f>TEXT(Table1567[[#This Row],[Date]],"mmm")</f>
        <v>Oct</v>
      </c>
      <c r="T635" s="4" t="str">
        <f>TEXT(Table1567[[#This Row],[Date]],"DDD")</f>
        <v>Sun</v>
      </c>
    </row>
    <row r="636" spans="1:20" ht="29" x14ac:dyDescent="0.35">
      <c r="A636" s="4">
        <v>635</v>
      </c>
      <c r="B636" s="5">
        <v>45155</v>
      </c>
      <c r="C636" s="4" t="s">
        <v>648</v>
      </c>
      <c r="D636" s="4" t="s">
        <v>13</v>
      </c>
      <c r="E636" s="4">
        <v>63</v>
      </c>
      <c r="F636" s="4" t="str">
        <f>IF(Table1567[[#This Row],[Age]]&lt;=19,"Teenager",IF(Table1567[[#This Row],[Age]]&lt;=40,"Median","Old"))</f>
        <v>Old</v>
      </c>
      <c r="G636" s="4" t="s">
        <v>16</v>
      </c>
      <c r="H636" s="4">
        <v>3</v>
      </c>
      <c r="I636" s="4">
        <v>300</v>
      </c>
      <c r="J636" s="4">
        <v>900</v>
      </c>
      <c r="K636" s="4" t="str" cm="1">
        <f t="array" ref="K636">_xlfn.IFS(AND(Table1567[[#This Row],[Total Amount]]&gt;=1500),"Critical",AND(Table1567[[#This Row],[Total Amount]]&gt;=1000),"High",TRUE,"Normal")</f>
        <v>Normal</v>
      </c>
      <c r="L636" s="4" t="str">
        <f>IF(Table1567[[#This Row],[Total Amount]]&gt;=1000,"High",(IF(Table1567[[#This Row],[Total Amount]]&gt;=500,"Medium","Low")))</f>
        <v>Medium</v>
      </c>
      <c r="M636" s="4" t="str" cm="1">
        <f t="array" ref="M63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36" s="4" cm="1">
        <f t="array" ref="N63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636" s="4">
        <f>Table1567[[#This Row],[Total Amount]]-Table1567[[#This Row],[Discount Amount]]</f>
        <v>720</v>
      </c>
      <c r="P636" s="4" t="str">
        <f>IF(Table1567[[#This Row],[Total Amount]]&gt;=1000,"High","Low")</f>
        <v>Low</v>
      </c>
      <c r="Q636" s="4" t="str" cm="1">
        <f t="array" ref="Q636">_xlfn.IFS(AND(Table1567[[#This Row],[Total Amount]]&gt;=1500,"Critical"),AND(Table1567[[#This Row],[Total Amount]]&gt;=1000,"High"),TRUE,"Normal")</f>
        <v>Normal</v>
      </c>
      <c r="R636" s="4" t="str">
        <f>CONCATENATE(Table1567[[#This Row],[Customer ID]], "-",Table1567[[#This Row],[Age]])</f>
        <v>CUST635-63</v>
      </c>
      <c r="S636" s="4" t="str">
        <f>TEXT(Table1567[[#This Row],[Date]],"mmm")</f>
        <v>Aug</v>
      </c>
      <c r="T636" s="4" t="str">
        <f>TEXT(Table1567[[#This Row],[Date]],"DDD")</f>
        <v>Thu</v>
      </c>
    </row>
    <row r="637" spans="1:20" ht="29" x14ac:dyDescent="0.35">
      <c r="A637" s="4">
        <v>636</v>
      </c>
      <c r="B637" s="5">
        <v>45008</v>
      </c>
      <c r="C637" s="4" t="s">
        <v>649</v>
      </c>
      <c r="D637" s="4" t="s">
        <v>13</v>
      </c>
      <c r="E637" s="4">
        <v>21</v>
      </c>
      <c r="F637" s="4" t="str">
        <f>IF(Table1567[[#This Row],[Age]]&lt;=19,"Teenager",IF(Table1567[[#This Row],[Age]]&lt;=40,"Median","Old"))</f>
        <v>Median</v>
      </c>
      <c r="G637" s="4" t="s">
        <v>11</v>
      </c>
      <c r="H637" s="4">
        <v>3</v>
      </c>
      <c r="I637" s="4">
        <v>500</v>
      </c>
      <c r="J637" s="4">
        <v>1500</v>
      </c>
      <c r="K637" s="4" t="str" cm="1">
        <f t="array" ref="K637">_xlfn.IFS(AND(Table1567[[#This Row],[Total Amount]]&gt;=1500),"Critical",AND(Table1567[[#This Row],[Total Amount]]&gt;=1000),"High",TRUE,"Normal")</f>
        <v>Critical</v>
      </c>
      <c r="L637" s="4" t="str">
        <f>IF(Table1567[[#This Row],[Total Amount]]&gt;=1000,"High",(IF(Table1567[[#This Row],[Total Amount]]&gt;=500,"Medium","Low")))</f>
        <v>High</v>
      </c>
      <c r="M637" s="4" t="str" cm="1">
        <f t="array" ref="M63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637" s="4" cm="1">
        <f t="array" ref="N63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637" s="4">
        <f>Table1567[[#This Row],[Total Amount]]-Table1567[[#This Row],[Discount Amount]]</f>
        <v>1500</v>
      </c>
      <c r="P637" s="4" t="str">
        <f>IF(Table1567[[#This Row],[Total Amount]]&gt;=1000,"High","Low")</f>
        <v>High</v>
      </c>
      <c r="Q637" s="4" t="b" cm="1">
        <f t="array" ref="Q637">_xlfn.IFS(AND(Table1567[[#This Row],[Total Amount]]&gt;=1500,"Critical"),AND(Table1567[[#This Row],[Total Amount]]&gt;=1000,"High"),TRUE,"Normal")</f>
        <v>1</v>
      </c>
      <c r="R637" s="4" t="str">
        <f>CONCATENATE(Table1567[[#This Row],[Customer ID]], "-",Table1567[[#This Row],[Age]])</f>
        <v>CUST636-21</v>
      </c>
      <c r="S637" s="4" t="str">
        <f>TEXT(Table1567[[#This Row],[Date]],"mmm")</f>
        <v>Mar</v>
      </c>
      <c r="T637" s="4" t="str">
        <f>TEXT(Table1567[[#This Row],[Date]],"DDD")</f>
        <v>Thu</v>
      </c>
    </row>
    <row r="638" spans="1:20" ht="29" x14ac:dyDescent="0.35">
      <c r="A638" s="4">
        <v>637</v>
      </c>
      <c r="B638" s="5">
        <v>45170</v>
      </c>
      <c r="C638" s="4" t="s">
        <v>650</v>
      </c>
      <c r="D638" s="4" t="s">
        <v>10</v>
      </c>
      <c r="E638" s="4">
        <v>43</v>
      </c>
      <c r="F638" s="4" t="str">
        <f>IF(Table1567[[#This Row],[Age]]&lt;=19,"Teenager",IF(Table1567[[#This Row],[Age]]&lt;=40,"Median","Old"))</f>
        <v>Old</v>
      </c>
      <c r="G638" s="4" t="s">
        <v>14</v>
      </c>
      <c r="H638" s="4">
        <v>2</v>
      </c>
      <c r="I638" s="4">
        <v>300</v>
      </c>
      <c r="J638" s="4">
        <v>600</v>
      </c>
      <c r="K638" s="4" t="str" cm="1">
        <f t="array" ref="K638">_xlfn.IFS(AND(Table1567[[#This Row],[Total Amount]]&gt;=1500),"Critical",AND(Table1567[[#This Row],[Total Amount]]&gt;=1000),"High",TRUE,"Normal")</f>
        <v>Normal</v>
      </c>
      <c r="L638" s="4" t="str">
        <f>IF(Table1567[[#This Row],[Total Amount]]&gt;=1000,"High",(IF(Table1567[[#This Row],[Total Amount]]&gt;=500,"Medium","Low")))</f>
        <v>Medium</v>
      </c>
      <c r="M638" s="4" t="str" cm="1">
        <f t="array" ref="M63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38" s="4" cm="1">
        <f t="array" ref="N63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638" s="4">
        <f>Table1567[[#This Row],[Total Amount]]-Table1567[[#This Row],[Discount Amount]]</f>
        <v>540</v>
      </c>
      <c r="P638" s="4" t="str">
        <f>IF(Table1567[[#This Row],[Total Amount]]&gt;=1000,"High","Low")</f>
        <v>Low</v>
      </c>
      <c r="Q638" s="4" t="str" cm="1">
        <f t="array" ref="Q638">_xlfn.IFS(AND(Table1567[[#This Row],[Total Amount]]&gt;=1500,"Critical"),AND(Table1567[[#This Row],[Total Amount]]&gt;=1000,"High"),TRUE,"Normal")</f>
        <v>Normal</v>
      </c>
      <c r="R638" s="4" t="str">
        <f>CONCATENATE(Table1567[[#This Row],[Customer ID]], "-",Table1567[[#This Row],[Age]])</f>
        <v>CUST637-43</v>
      </c>
      <c r="S638" s="4" t="str">
        <f>TEXT(Table1567[[#This Row],[Date]],"mmm")</f>
        <v>Sep</v>
      </c>
      <c r="T638" s="4" t="str">
        <f>TEXT(Table1567[[#This Row],[Date]],"DDD")</f>
        <v>Fri</v>
      </c>
    </row>
    <row r="639" spans="1:20" ht="29" x14ac:dyDescent="0.35">
      <c r="A639" s="4">
        <v>638</v>
      </c>
      <c r="B639" s="5">
        <v>45157</v>
      </c>
      <c r="C639" s="4" t="s">
        <v>651</v>
      </c>
      <c r="D639" s="4" t="s">
        <v>10</v>
      </c>
      <c r="E639" s="4">
        <v>46</v>
      </c>
      <c r="F639" s="4" t="str">
        <f>IF(Table1567[[#This Row],[Age]]&lt;=19,"Teenager",IF(Table1567[[#This Row],[Age]]&lt;=40,"Median","Old"))</f>
        <v>Old</v>
      </c>
      <c r="G639" s="4" t="s">
        <v>16</v>
      </c>
      <c r="H639" s="4">
        <v>1</v>
      </c>
      <c r="I639" s="4">
        <v>500</v>
      </c>
      <c r="J639" s="4">
        <v>500</v>
      </c>
      <c r="K639" s="4" t="str" cm="1">
        <f t="array" ref="K639">_xlfn.IFS(AND(Table1567[[#This Row],[Total Amount]]&gt;=1500),"Critical",AND(Table1567[[#This Row],[Total Amount]]&gt;=1000),"High",TRUE,"Normal")</f>
        <v>Normal</v>
      </c>
      <c r="L639" s="4" t="str">
        <f>IF(Table1567[[#This Row],[Total Amount]]&gt;=1000,"High",(IF(Table1567[[#This Row],[Total Amount]]&gt;=500,"Medium","Low")))</f>
        <v>Medium</v>
      </c>
      <c r="M639" s="4" t="str" cm="1">
        <f t="array" ref="M63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39" s="4" cm="1">
        <f t="array" ref="N63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50</v>
      </c>
      <c r="O639" s="4">
        <f>Table1567[[#This Row],[Total Amount]]-Table1567[[#This Row],[Discount Amount]]</f>
        <v>450</v>
      </c>
      <c r="P639" s="4" t="str">
        <f>IF(Table1567[[#This Row],[Total Amount]]&gt;=1000,"High","Low")</f>
        <v>Low</v>
      </c>
      <c r="Q639" s="4" t="str" cm="1">
        <f t="array" ref="Q639">_xlfn.IFS(AND(Table1567[[#This Row],[Total Amount]]&gt;=1500,"Critical"),AND(Table1567[[#This Row],[Total Amount]]&gt;=1000,"High"),TRUE,"Normal")</f>
        <v>Normal</v>
      </c>
      <c r="R639" s="4" t="str">
        <f>CONCATENATE(Table1567[[#This Row],[Customer ID]], "-",Table1567[[#This Row],[Age]])</f>
        <v>CUST638-46</v>
      </c>
      <c r="S639" s="4" t="str">
        <f>TEXT(Table1567[[#This Row],[Date]],"mmm")</f>
        <v>Aug</v>
      </c>
      <c r="T639" s="4" t="str">
        <f>TEXT(Table1567[[#This Row],[Date]],"DDD")</f>
        <v>Sat</v>
      </c>
    </row>
    <row r="640" spans="1:20" ht="29" x14ac:dyDescent="0.35">
      <c r="A640" s="4">
        <v>639</v>
      </c>
      <c r="B640" s="5">
        <v>45059</v>
      </c>
      <c r="C640" s="4" t="s">
        <v>652</v>
      </c>
      <c r="D640" s="4" t="s">
        <v>13</v>
      </c>
      <c r="E640" s="4">
        <v>62</v>
      </c>
      <c r="F640" s="4" t="str">
        <f>IF(Table1567[[#This Row],[Age]]&lt;=19,"Teenager",IF(Table1567[[#This Row],[Age]]&lt;=40,"Median","Old"))</f>
        <v>Old</v>
      </c>
      <c r="G640" s="4" t="s">
        <v>11</v>
      </c>
      <c r="H640" s="4">
        <v>4</v>
      </c>
      <c r="I640" s="4">
        <v>50</v>
      </c>
      <c r="J640" s="4">
        <v>200</v>
      </c>
      <c r="K640" s="4" t="str" cm="1">
        <f t="array" ref="K640">_xlfn.IFS(AND(Table1567[[#This Row],[Total Amount]]&gt;=1500),"Critical",AND(Table1567[[#This Row],[Total Amount]]&gt;=1000),"High",TRUE,"Normal")</f>
        <v>Normal</v>
      </c>
      <c r="L640" s="4" t="str">
        <f>IF(Table1567[[#This Row],[Total Amount]]&gt;=1000,"High",(IF(Table1567[[#This Row],[Total Amount]]&gt;=500,"Medium","Low")))</f>
        <v>Low</v>
      </c>
      <c r="M640" s="4" t="str" cm="1">
        <f t="array" ref="M64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40" s="4" cm="1">
        <f t="array" ref="N64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</v>
      </c>
      <c r="O640" s="4">
        <f>Table1567[[#This Row],[Total Amount]]-Table1567[[#This Row],[Discount Amount]]</f>
        <v>160</v>
      </c>
      <c r="P640" s="4" t="str">
        <f>IF(Table1567[[#This Row],[Total Amount]]&gt;=1000,"High","Low")</f>
        <v>Low</v>
      </c>
      <c r="Q640" s="4" t="str" cm="1">
        <f t="array" ref="Q640">_xlfn.IFS(AND(Table1567[[#This Row],[Total Amount]]&gt;=1500,"Critical"),AND(Table1567[[#This Row],[Total Amount]]&gt;=1000,"High"),TRUE,"Normal")</f>
        <v>Normal</v>
      </c>
      <c r="R640" s="4" t="str">
        <f>CONCATENATE(Table1567[[#This Row],[Customer ID]], "-",Table1567[[#This Row],[Age]])</f>
        <v>CUST639-62</v>
      </c>
      <c r="S640" s="4" t="str">
        <f>TEXT(Table1567[[#This Row],[Date]],"mmm")</f>
        <v>May</v>
      </c>
      <c r="T640" s="4" t="str">
        <f>TEXT(Table1567[[#This Row],[Date]],"DDD")</f>
        <v>Sat</v>
      </c>
    </row>
    <row r="641" spans="1:20" ht="29" x14ac:dyDescent="0.35">
      <c r="A641" s="4">
        <v>640</v>
      </c>
      <c r="B641" s="5">
        <v>45053</v>
      </c>
      <c r="C641" s="4" t="s">
        <v>653</v>
      </c>
      <c r="D641" s="4" t="s">
        <v>13</v>
      </c>
      <c r="E641" s="4">
        <v>51</v>
      </c>
      <c r="F641" s="4" t="str">
        <f>IF(Table1567[[#This Row],[Age]]&lt;=19,"Teenager",IF(Table1567[[#This Row],[Age]]&lt;=40,"Median","Old"))</f>
        <v>Old</v>
      </c>
      <c r="G641" s="4" t="s">
        <v>16</v>
      </c>
      <c r="H641" s="4">
        <v>4</v>
      </c>
      <c r="I641" s="4">
        <v>30</v>
      </c>
      <c r="J641" s="4">
        <v>120</v>
      </c>
      <c r="K641" s="4" t="str" cm="1">
        <f t="array" ref="K641">_xlfn.IFS(AND(Table1567[[#This Row],[Total Amount]]&gt;=1500),"Critical",AND(Table1567[[#This Row],[Total Amount]]&gt;=1000),"High",TRUE,"Normal")</f>
        <v>Normal</v>
      </c>
      <c r="L641" s="4" t="str">
        <f>IF(Table1567[[#This Row],[Total Amount]]&gt;=1000,"High",(IF(Table1567[[#This Row],[Total Amount]]&gt;=500,"Medium","Low")))</f>
        <v>Low</v>
      </c>
      <c r="M641" s="4" t="str" cm="1">
        <f t="array" ref="M64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41" s="4" cm="1">
        <f t="array" ref="N64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</v>
      </c>
      <c r="O641" s="4">
        <f>Table1567[[#This Row],[Total Amount]]-Table1567[[#This Row],[Discount Amount]]</f>
        <v>96</v>
      </c>
      <c r="P641" s="4" t="str">
        <f>IF(Table1567[[#This Row],[Total Amount]]&gt;=1000,"High","Low")</f>
        <v>Low</v>
      </c>
      <c r="Q641" s="4" t="str" cm="1">
        <f t="array" ref="Q641">_xlfn.IFS(AND(Table1567[[#This Row],[Total Amount]]&gt;=1500,"Critical"),AND(Table1567[[#This Row],[Total Amount]]&gt;=1000,"High"),TRUE,"Normal")</f>
        <v>Normal</v>
      </c>
      <c r="R641" s="4" t="str">
        <f>CONCATENATE(Table1567[[#This Row],[Customer ID]], "-",Table1567[[#This Row],[Age]])</f>
        <v>CUST640-51</v>
      </c>
      <c r="S641" s="4" t="str">
        <f>TEXT(Table1567[[#This Row],[Date]],"mmm")</f>
        <v>May</v>
      </c>
      <c r="T641" s="4" t="str">
        <f>TEXT(Table1567[[#This Row],[Date]],"DDD")</f>
        <v>Sun</v>
      </c>
    </row>
    <row r="642" spans="1:20" ht="29" x14ac:dyDescent="0.35">
      <c r="A642" s="4">
        <v>641</v>
      </c>
      <c r="B642" s="5">
        <v>45253</v>
      </c>
      <c r="C642" s="4" t="s">
        <v>654</v>
      </c>
      <c r="D642" s="4" t="s">
        <v>13</v>
      </c>
      <c r="E642" s="4">
        <v>40</v>
      </c>
      <c r="F642" s="4" t="str">
        <f>IF(Table1567[[#This Row],[Age]]&lt;=19,"Teenager",IF(Table1567[[#This Row],[Age]]&lt;=40,"Median","Old"))</f>
        <v>Median</v>
      </c>
      <c r="G642" s="4" t="s">
        <v>16</v>
      </c>
      <c r="H642" s="4">
        <v>1</v>
      </c>
      <c r="I642" s="4">
        <v>300</v>
      </c>
      <c r="J642" s="4">
        <v>300</v>
      </c>
      <c r="K642" s="4" t="str" cm="1">
        <f t="array" ref="K642">_xlfn.IFS(AND(Table1567[[#This Row],[Total Amount]]&gt;=1500),"Critical",AND(Table1567[[#This Row],[Total Amount]]&gt;=1000),"High",TRUE,"Normal")</f>
        <v>Normal</v>
      </c>
      <c r="L642" s="4" t="str">
        <f>IF(Table1567[[#This Row],[Total Amount]]&gt;=1000,"High",(IF(Table1567[[#This Row],[Total Amount]]&gt;=500,"Medium","Low")))</f>
        <v>Low</v>
      </c>
      <c r="M642" s="4" t="str" cm="1">
        <f t="array" ref="M64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42" s="4" cm="1">
        <f t="array" ref="N64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642" s="4">
        <f>Table1567[[#This Row],[Total Amount]]-Table1567[[#This Row],[Discount Amount]]</f>
        <v>240</v>
      </c>
      <c r="P642" s="4" t="str">
        <f>IF(Table1567[[#This Row],[Total Amount]]&gt;=1000,"High","Low")</f>
        <v>Low</v>
      </c>
      <c r="Q642" s="4" t="str" cm="1">
        <f t="array" ref="Q642">_xlfn.IFS(AND(Table1567[[#This Row],[Total Amount]]&gt;=1500,"Critical"),AND(Table1567[[#This Row],[Total Amount]]&gt;=1000,"High"),TRUE,"Normal")</f>
        <v>Normal</v>
      </c>
      <c r="R642" s="4" t="str">
        <f>CONCATENATE(Table1567[[#This Row],[Customer ID]], "-",Table1567[[#This Row],[Age]])</f>
        <v>CUST641-40</v>
      </c>
      <c r="S642" s="4" t="str">
        <f>TEXT(Table1567[[#This Row],[Date]],"mmm")</f>
        <v>Nov</v>
      </c>
      <c r="T642" s="4" t="str">
        <f>TEXT(Table1567[[#This Row],[Date]],"DDD")</f>
        <v>Thu</v>
      </c>
    </row>
    <row r="643" spans="1:20" ht="29" x14ac:dyDescent="0.35">
      <c r="A643" s="4">
        <v>642</v>
      </c>
      <c r="B643" s="5">
        <v>45068</v>
      </c>
      <c r="C643" s="4" t="s">
        <v>655</v>
      </c>
      <c r="D643" s="4" t="s">
        <v>13</v>
      </c>
      <c r="E643" s="4">
        <v>54</v>
      </c>
      <c r="F643" s="4" t="str">
        <f>IF(Table1567[[#This Row],[Age]]&lt;=19,"Teenager",IF(Table1567[[#This Row],[Age]]&lt;=40,"Median","Old"))</f>
        <v>Old</v>
      </c>
      <c r="G643" s="4" t="s">
        <v>14</v>
      </c>
      <c r="H643" s="4">
        <v>4</v>
      </c>
      <c r="I643" s="4">
        <v>25</v>
      </c>
      <c r="J643" s="4">
        <v>100</v>
      </c>
      <c r="K643" s="4" t="str" cm="1">
        <f t="array" ref="K643">_xlfn.IFS(AND(Table1567[[#This Row],[Total Amount]]&gt;=1500),"Critical",AND(Table1567[[#This Row],[Total Amount]]&gt;=1000),"High",TRUE,"Normal")</f>
        <v>Normal</v>
      </c>
      <c r="L643" s="4" t="str">
        <f>IF(Table1567[[#This Row],[Total Amount]]&gt;=1000,"High",(IF(Table1567[[#This Row],[Total Amount]]&gt;=500,"Medium","Low")))</f>
        <v>Low</v>
      </c>
      <c r="M643" s="4" t="str" cm="1">
        <f t="array" ref="M64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43" s="4" cm="1">
        <f t="array" ref="N64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643" s="4">
        <f>Table1567[[#This Row],[Total Amount]]-Table1567[[#This Row],[Discount Amount]]</f>
        <v>80</v>
      </c>
      <c r="P643" s="4" t="str">
        <f>IF(Table1567[[#This Row],[Total Amount]]&gt;=1000,"High","Low")</f>
        <v>Low</v>
      </c>
      <c r="Q643" s="4" t="str" cm="1">
        <f t="array" ref="Q643">_xlfn.IFS(AND(Table1567[[#This Row],[Total Amount]]&gt;=1500,"Critical"),AND(Table1567[[#This Row],[Total Amount]]&gt;=1000,"High"),TRUE,"Normal")</f>
        <v>Normal</v>
      </c>
      <c r="R643" s="4" t="str">
        <f>CONCATENATE(Table1567[[#This Row],[Customer ID]], "-",Table1567[[#This Row],[Age]])</f>
        <v>CUST642-54</v>
      </c>
      <c r="S643" s="4" t="str">
        <f>TEXT(Table1567[[#This Row],[Date]],"mmm")</f>
        <v>May</v>
      </c>
      <c r="T643" s="4" t="str">
        <f>TEXT(Table1567[[#This Row],[Date]],"DDD")</f>
        <v>Mon</v>
      </c>
    </row>
    <row r="644" spans="1:20" ht="29" x14ac:dyDescent="0.35">
      <c r="A644" s="4">
        <v>643</v>
      </c>
      <c r="B644" s="5">
        <v>45193</v>
      </c>
      <c r="C644" s="4" t="s">
        <v>656</v>
      </c>
      <c r="D644" s="4" t="s">
        <v>13</v>
      </c>
      <c r="E644" s="4">
        <v>28</v>
      </c>
      <c r="F644" s="4" t="str">
        <f>IF(Table1567[[#This Row],[Age]]&lt;=19,"Teenager",IF(Table1567[[#This Row],[Age]]&lt;=40,"Median","Old"))</f>
        <v>Median</v>
      </c>
      <c r="G644" s="4" t="s">
        <v>16</v>
      </c>
      <c r="H644" s="4">
        <v>3</v>
      </c>
      <c r="I644" s="4">
        <v>30</v>
      </c>
      <c r="J644" s="4">
        <v>90</v>
      </c>
      <c r="K644" s="4" t="str" cm="1">
        <f t="array" ref="K644">_xlfn.IFS(AND(Table1567[[#This Row],[Total Amount]]&gt;=1500),"Critical",AND(Table1567[[#This Row],[Total Amount]]&gt;=1000),"High",TRUE,"Normal")</f>
        <v>Normal</v>
      </c>
      <c r="L644" s="4" t="str">
        <f>IF(Table1567[[#This Row],[Total Amount]]&gt;=1000,"High",(IF(Table1567[[#This Row],[Total Amount]]&gt;=500,"Medium","Low")))</f>
        <v>Low</v>
      </c>
      <c r="M644" s="4" t="str" cm="1">
        <f t="array" ref="M64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44" s="4" cm="1">
        <f t="array" ref="N64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13.5</v>
      </c>
      <c r="O644" s="4">
        <f>Table1567[[#This Row],[Total Amount]]-Table1567[[#This Row],[Discount Amount]]</f>
        <v>76.5</v>
      </c>
      <c r="P644" s="4" t="str">
        <f>IF(Table1567[[#This Row],[Total Amount]]&gt;=1000,"High","Low")</f>
        <v>Low</v>
      </c>
      <c r="Q644" s="4" t="str" cm="1">
        <f t="array" ref="Q644">_xlfn.IFS(AND(Table1567[[#This Row],[Total Amount]]&gt;=1500,"Critical"),AND(Table1567[[#This Row],[Total Amount]]&gt;=1000,"High"),TRUE,"Normal")</f>
        <v>Normal</v>
      </c>
      <c r="R644" s="4" t="str">
        <f>CONCATENATE(Table1567[[#This Row],[Customer ID]], "-",Table1567[[#This Row],[Age]])</f>
        <v>CUST643-28</v>
      </c>
      <c r="S644" s="4" t="str">
        <f>TEXT(Table1567[[#This Row],[Date]],"mmm")</f>
        <v>Sep</v>
      </c>
      <c r="T644" s="4" t="str">
        <f>TEXT(Table1567[[#This Row],[Date]],"DDD")</f>
        <v>Sun</v>
      </c>
    </row>
    <row r="645" spans="1:20" ht="29" x14ac:dyDescent="0.35">
      <c r="A645" s="4">
        <v>644</v>
      </c>
      <c r="B645" s="5">
        <v>45175</v>
      </c>
      <c r="C645" s="4" t="s">
        <v>657</v>
      </c>
      <c r="D645" s="4" t="s">
        <v>10</v>
      </c>
      <c r="E645" s="4">
        <v>23</v>
      </c>
      <c r="F645" s="4" t="str">
        <f>IF(Table1567[[#This Row],[Age]]&lt;=19,"Teenager",IF(Table1567[[#This Row],[Age]]&lt;=40,"Median","Old"))</f>
        <v>Median</v>
      </c>
      <c r="G645" s="4" t="s">
        <v>11</v>
      </c>
      <c r="H645" s="4">
        <v>3</v>
      </c>
      <c r="I645" s="4">
        <v>25</v>
      </c>
      <c r="J645" s="4">
        <v>75</v>
      </c>
      <c r="K645" s="4" t="str" cm="1">
        <f t="array" ref="K645">_xlfn.IFS(AND(Table1567[[#This Row],[Total Amount]]&gt;=1500),"Critical",AND(Table1567[[#This Row],[Total Amount]]&gt;=1000),"High",TRUE,"Normal")</f>
        <v>Normal</v>
      </c>
      <c r="L645" s="4" t="str">
        <f>IF(Table1567[[#This Row],[Total Amount]]&gt;=1000,"High",(IF(Table1567[[#This Row],[Total Amount]]&gt;=500,"Medium","Low")))</f>
        <v>Low</v>
      </c>
      <c r="M645" s="4" t="str" cm="1">
        <f t="array" ref="M64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645" s="4" cm="1">
        <f t="array" ref="N64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645" s="4">
        <f>Table1567[[#This Row],[Total Amount]]-Table1567[[#This Row],[Discount Amount]]</f>
        <v>75</v>
      </c>
      <c r="P645" s="4" t="str">
        <f>IF(Table1567[[#This Row],[Total Amount]]&gt;=1000,"High","Low")</f>
        <v>Low</v>
      </c>
      <c r="Q645" s="4" t="str" cm="1">
        <f t="array" ref="Q645">_xlfn.IFS(AND(Table1567[[#This Row],[Total Amount]]&gt;=1500,"Critical"),AND(Table1567[[#This Row],[Total Amount]]&gt;=1000,"High"),TRUE,"Normal")</f>
        <v>Normal</v>
      </c>
      <c r="R645" s="4" t="str">
        <f>CONCATENATE(Table1567[[#This Row],[Customer ID]], "-",Table1567[[#This Row],[Age]])</f>
        <v>CUST644-23</v>
      </c>
      <c r="S645" s="4" t="str">
        <f>TEXT(Table1567[[#This Row],[Date]],"mmm")</f>
        <v>Sep</v>
      </c>
      <c r="T645" s="4" t="str">
        <f>TEXT(Table1567[[#This Row],[Date]],"DDD")</f>
        <v>Wed</v>
      </c>
    </row>
    <row r="646" spans="1:20" ht="29" x14ac:dyDescent="0.35">
      <c r="A646" s="4">
        <v>645</v>
      </c>
      <c r="B646" s="5">
        <v>45247</v>
      </c>
      <c r="C646" s="4" t="s">
        <v>658</v>
      </c>
      <c r="D646" s="4" t="s">
        <v>13</v>
      </c>
      <c r="E646" s="4">
        <v>35</v>
      </c>
      <c r="F646" s="4" t="str">
        <f>IF(Table1567[[#This Row],[Age]]&lt;=19,"Teenager",IF(Table1567[[#This Row],[Age]]&lt;=40,"Median","Old"))</f>
        <v>Median</v>
      </c>
      <c r="G646" s="4" t="s">
        <v>16</v>
      </c>
      <c r="H646" s="4">
        <v>4</v>
      </c>
      <c r="I646" s="4">
        <v>30</v>
      </c>
      <c r="J646" s="4">
        <v>120</v>
      </c>
      <c r="K646" s="4" t="str" cm="1">
        <f t="array" ref="K646">_xlfn.IFS(AND(Table1567[[#This Row],[Total Amount]]&gt;=1500),"Critical",AND(Table1567[[#This Row],[Total Amount]]&gt;=1000),"High",TRUE,"Normal")</f>
        <v>Normal</v>
      </c>
      <c r="L646" s="4" t="str">
        <f>IF(Table1567[[#This Row],[Total Amount]]&gt;=1000,"High",(IF(Table1567[[#This Row],[Total Amount]]&gt;=500,"Medium","Low")))</f>
        <v>Low</v>
      </c>
      <c r="M646" s="4" t="str" cm="1">
        <f t="array" ref="M64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46" s="4" cm="1">
        <f t="array" ref="N64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</v>
      </c>
      <c r="O646" s="4">
        <f>Table1567[[#This Row],[Total Amount]]-Table1567[[#This Row],[Discount Amount]]</f>
        <v>96</v>
      </c>
      <c r="P646" s="4" t="str">
        <f>IF(Table1567[[#This Row],[Total Amount]]&gt;=1000,"High","Low")</f>
        <v>Low</v>
      </c>
      <c r="Q646" s="4" t="str" cm="1">
        <f t="array" ref="Q646">_xlfn.IFS(AND(Table1567[[#This Row],[Total Amount]]&gt;=1500,"Critical"),AND(Table1567[[#This Row],[Total Amount]]&gt;=1000,"High"),TRUE,"Normal")</f>
        <v>Normal</v>
      </c>
      <c r="R646" s="4" t="str">
        <f>CONCATENATE(Table1567[[#This Row],[Customer ID]], "-",Table1567[[#This Row],[Age]])</f>
        <v>CUST645-35</v>
      </c>
      <c r="S646" s="4" t="str">
        <f>TEXT(Table1567[[#This Row],[Date]],"mmm")</f>
        <v>Nov</v>
      </c>
      <c r="T646" s="4" t="str">
        <f>TEXT(Table1567[[#This Row],[Date]],"DDD")</f>
        <v>Fri</v>
      </c>
    </row>
    <row r="647" spans="1:20" ht="29" x14ac:dyDescent="0.35">
      <c r="A647" s="4">
        <v>646</v>
      </c>
      <c r="B647" s="5">
        <v>45049</v>
      </c>
      <c r="C647" s="4" t="s">
        <v>659</v>
      </c>
      <c r="D647" s="4" t="s">
        <v>10</v>
      </c>
      <c r="E647" s="4">
        <v>38</v>
      </c>
      <c r="F647" s="4" t="str">
        <f>IF(Table1567[[#This Row],[Age]]&lt;=19,"Teenager",IF(Table1567[[#This Row],[Age]]&lt;=40,"Median","Old"))</f>
        <v>Median</v>
      </c>
      <c r="G647" s="4" t="s">
        <v>14</v>
      </c>
      <c r="H647" s="4">
        <v>3</v>
      </c>
      <c r="I647" s="4">
        <v>30</v>
      </c>
      <c r="J647" s="4">
        <v>90</v>
      </c>
      <c r="K647" s="4" t="str" cm="1">
        <f t="array" ref="K647">_xlfn.IFS(AND(Table1567[[#This Row],[Total Amount]]&gt;=1500),"Critical",AND(Table1567[[#This Row],[Total Amount]]&gt;=1000),"High",TRUE,"Normal")</f>
        <v>Normal</v>
      </c>
      <c r="L647" s="4" t="str">
        <f>IF(Table1567[[#This Row],[Total Amount]]&gt;=1000,"High",(IF(Table1567[[#This Row],[Total Amount]]&gt;=500,"Medium","Low")))</f>
        <v>Low</v>
      </c>
      <c r="M647" s="4" t="str" cm="1">
        <f t="array" ref="M64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47" s="4" cm="1">
        <f t="array" ref="N64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</v>
      </c>
      <c r="O647" s="4">
        <f>Table1567[[#This Row],[Total Amount]]-Table1567[[#This Row],[Discount Amount]]</f>
        <v>81</v>
      </c>
      <c r="P647" s="4" t="str">
        <f>IF(Table1567[[#This Row],[Total Amount]]&gt;=1000,"High","Low")</f>
        <v>Low</v>
      </c>
      <c r="Q647" s="4" t="str" cm="1">
        <f t="array" ref="Q647">_xlfn.IFS(AND(Table1567[[#This Row],[Total Amount]]&gt;=1500,"Critical"),AND(Table1567[[#This Row],[Total Amount]]&gt;=1000,"High"),TRUE,"Normal")</f>
        <v>Normal</v>
      </c>
      <c r="R647" s="4" t="str">
        <f>CONCATENATE(Table1567[[#This Row],[Customer ID]], "-",Table1567[[#This Row],[Age]])</f>
        <v>CUST646-38</v>
      </c>
      <c r="S647" s="4" t="str">
        <f>TEXT(Table1567[[#This Row],[Date]],"mmm")</f>
        <v>May</v>
      </c>
      <c r="T647" s="4" t="str">
        <f>TEXT(Table1567[[#This Row],[Date]],"DDD")</f>
        <v>Wed</v>
      </c>
    </row>
    <row r="648" spans="1:20" ht="29" x14ac:dyDescent="0.35">
      <c r="A648" s="4">
        <v>647</v>
      </c>
      <c r="B648" s="5">
        <v>45067</v>
      </c>
      <c r="C648" s="4" t="s">
        <v>660</v>
      </c>
      <c r="D648" s="4" t="s">
        <v>10</v>
      </c>
      <c r="E648" s="4">
        <v>59</v>
      </c>
      <c r="F648" s="4" t="str">
        <f>IF(Table1567[[#This Row],[Age]]&lt;=19,"Teenager",IF(Table1567[[#This Row],[Age]]&lt;=40,"Median","Old"))</f>
        <v>Old</v>
      </c>
      <c r="G648" s="4" t="s">
        <v>14</v>
      </c>
      <c r="H648" s="4">
        <v>3</v>
      </c>
      <c r="I648" s="4">
        <v>500</v>
      </c>
      <c r="J648" s="4">
        <v>1500</v>
      </c>
      <c r="K648" s="4" t="str" cm="1">
        <f t="array" ref="K648">_xlfn.IFS(AND(Table1567[[#This Row],[Total Amount]]&gt;=1500),"Critical",AND(Table1567[[#This Row],[Total Amount]]&gt;=1000),"High",TRUE,"Normal")</f>
        <v>Critical</v>
      </c>
      <c r="L648" s="4" t="str">
        <f>IF(Table1567[[#This Row],[Total Amount]]&gt;=1000,"High",(IF(Table1567[[#This Row],[Total Amount]]&gt;=500,"Medium","Low")))</f>
        <v>High</v>
      </c>
      <c r="M648" s="4" t="str" cm="1">
        <f t="array" ref="M64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48" s="4" cm="1">
        <f t="array" ref="N64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648" s="4">
        <f>Table1567[[#This Row],[Total Amount]]-Table1567[[#This Row],[Discount Amount]]</f>
        <v>1350</v>
      </c>
      <c r="P648" s="4" t="str">
        <f>IF(Table1567[[#This Row],[Total Amount]]&gt;=1000,"High","Low")</f>
        <v>High</v>
      </c>
      <c r="Q648" s="4" t="b" cm="1">
        <f t="array" ref="Q648">_xlfn.IFS(AND(Table1567[[#This Row],[Total Amount]]&gt;=1500,"Critical"),AND(Table1567[[#This Row],[Total Amount]]&gt;=1000,"High"),TRUE,"Normal")</f>
        <v>1</v>
      </c>
      <c r="R648" s="4" t="str">
        <f>CONCATENATE(Table1567[[#This Row],[Customer ID]], "-",Table1567[[#This Row],[Age]])</f>
        <v>CUST647-59</v>
      </c>
      <c r="S648" s="4" t="str">
        <f>TEXT(Table1567[[#This Row],[Date]],"mmm")</f>
        <v>May</v>
      </c>
      <c r="T648" s="4" t="str">
        <f>TEXT(Table1567[[#This Row],[Date]],"DDD")</f>
        <v>Sun</v>
      </c>
    </row>
    <row r="649" spans="1:20" ht="29" x14ac:dyDescent="0.35">
      <c r="A649" s="4">
        <v>648</v>
      </c>
      <c r="B649" s="5">
        <v>45152</v>
      </c>
      <c r="C649" s="4" t="s">
        <v>661</v>
      </c>
      <c r="D649" s="4" t="s">
        <v>10</v>
      </c>
      <c r="E649" s="4">
        <v>53</v>
      </c>
      <c r="F649" s="4" t="str">
        <f>IF(Table1567[[#This Row],[Age]]&lt;=19,"Teenager",IF(Table1567[[#This Row],[Age]]&lt;=40,"Median","Old"))</f>
        <v>Old</v>
      </c>
      <c r="G649" s="4" t="s">
        <v>11</v>
      </c>
      <c r="H649" s="4">
        <v>4</v>
      </c>
      <c r="I649" s="4">
        <v>300</v>
      </c>
      <c r="J649" s="4">
        <v>1200</v>
      </c>
      <c r="K649" s="4" t="str" cm="1">
        <f t="array" ref="K649">_xlfn.IFS(AND(Table1567[[#This Row],[Total Amount]]&gt;=1500),"Critical",AND(Table1567[[#This Row],[Total Amount]]&gt;=1000),"High",TRUE,"Normal")</f>
        <v>High</v>
      </c>
      <c r="L649" s="4" t="str">
        <f>IF(Table1567[[#This Row],[Total Amount]]&gt;=1000,"High",(IF(Table1567[[#This Row],[Total Amount]]&gt;=500,"Medium","Low")))</f>
        <v>High</v>
      </c>
      <c r="M649" s="4" t="str" cm="1">
        <f t="array" ref="M64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49" s="4" cm="1">
        <f t="array" ref="N64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649" s="4">
        <f>Table1567[[#This Row],[Total Amount]]-Table1567[[#This Row],[Discount Amount]]</f>
        <v>1080</v>
      </c>
      <c r="P649" s="4" t="str">
        <f>IF(Table1567[[#This Row],[Total Amount]]&gt;=1000,"High","Low")</f>
        <v>High</v>
      </c>
      <c r="Q649" s="4" t="str" cm="1">
        <f t="array" ref="Q649">_xlfn.IFS(AND(Table1567[[#This Row],[Total Amount]]&gt;=1500,"Critical"),AND(Table1567[[#This Row],[Total Amount]]&gt;=1000,"High"),TRUE,"Normal")</f>
        <v>Normal</v>
      </c>
      <c r="R649" s="4" t="str">
        <f>CONCATENATE(Table1567[[#This Row],[Customer ID]], "-",Table1567[[#This Row],[Age]])</f>
        <v>CUST648-53</v>
      </c>
      <c r="S649" s="4" t="str">
        <f>TEXT(Table1567[[#This Row],[Date]],"mmm")</f>
        <v>Aug</v>
      </c>
      <c r="T649" s="4" t="str">
        <f>TEXT(Table1567[[#This Row],[Date]],"DDD")</f>
        <v>Mon</v>
      </c>
    </row>
    <row r="650" spans="1:20" ht="29" x14ac:dyDescent="0.35">
      <c r="A650" s="4">
        <v>649</v>
      </c>
      <c r="B650" s="5">
        <v>44966</v>
      </c>
      <c r="C650" s="4" t="s">
        <v>662</v>
      </c>
      <c r="D650" s="4" t="s">
        <v>13</v>
      </c>
      <c r="E650" s="4">
        <v>58</v>
      </c>
      <c r="F650" s="4" t="str">
        <f>IF(Table1567[[#This Row],[Age]]&lt;=19,"Teenager",IF(Table1567[[#This Row],[Age]]&lt;=40,"Median","Old"))</f>
        <v>Old</v>
      </c>
      <c r="G650" s="4" t="s">
        <v>14</v>
      </c>
      <c r="H650" s="4">
        <v>2</v>
      </c>
      <c r="I650" s="4">
        <v>300</v>
      </c>
      <c r="J650" s="4">
        <v>600</v>
      </c>
      <c r="K650" s="4" t="str" cm="1">
        <f t="array" ref="K650">_xlfn.IFS(AND(Table1567[[#This Row],[Total Amount]]&gt;=1500),"Critical",AND(Table1567[[#This Row],[Total Amount]]&gt;=1000),"High",TRUE,"Normal")</f>
        <v>Normal</v>
      </c>
      <c r="L650" s="4" t="str">
        <f>IF(Table1567[[#This Row],[Total Amount]]&gt;=1000,"High",(IF(Table1567[[#This Row],[Total Amount]]&gt;=500,"Medium","Low")))</f>
        <v>Medium</v>
      </c>
      <c r="M650" s="4" t="str" cm="1">
        <f t="array" ref="M65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50" s="4" cm="1">
        <f t="array" ref="N65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650" s="4">
        <f>Table1567[[#This Row],[Total Amount]]-Table1567[[#This Row],[Discount Amount]]</f>
        <v>480</v>
      </c>
      <c r="P650" s="4" t="str">
        <f>IF(Table1567[[#This Row],[Total Amount]]&gt;=1000,"High","Low")</f>
        <v>Low</v>
      </c>
      <c r="Q650" s="4" t="str" cm="1">
        <f t="array" ref="Q650">_xlfn.IFS(AND(Table1567[[#This Row],[Total Amount]]&gt;=1500,"Critical"),AND(Table1567[[#This Row],[Total Amount]]&gt;=1000,"High"),TRUE,"Normal")</f>
        <v>Normal</v>
      </c>
      <c r="R650" s="4" t="str">
        <f>CONCATENATE(Table1567[[#This Row],[Customer ID]], "-",Table1567[[#This Row],[Age]])</f>
        <v>CUST649-58</v>
      </c>
      <c r="S650" s="4" t="str">
        <f>TEXT(Table1567[[#This Row],[Date]],"mmm")</f>
        <v>Feb</v>
      </c>
      <c r="T650" s="4" t="str">
        <f>TEXT(Table1567[[#This Row],[Date]],"DDD")</f>
        <v>Thu</v>
      </c>
    </row>
    <row r="651" spans="1:20" ht="29" x14ac:dyDescent="0.35">
      <c r="A651" s="4">
        <v>650</v>
      </c>
      <c r="B651" s="5">
        <v>45292</v>
      </c>
      <c r="C651" s="4" t="s">
        <v>663</v>
      </c>
      <c r="D651" s="4" t="s">
        <v>10</v>
      </c>
      <c r="E651" s="4">
        <v>55</v>
      </c>
      <c r="F651" s="4" t="str">
        <f>IF(Table1567[[#This Row],[Age]]&lt;=19,"Teenager",IF(Table1567[[#This Row],[Age]]&lt;=40,"Median","Old"))</f>
        <v>Old</v>
      </c>
      <c r="G651" s="4" t="s">
        <v>16</v>
      </c>
      <c r="H651" s="4">
        <v>1</v>
      </c>
      <c r="I651" s="4">
        <v>30</v>
      </c>
      <c r="J651" s="4">
        <v>30</v>
      </c>
      <c r="K651" s="4" t="str" cm="1">
        <f t="array" ref="K651">_xlfn.IFS(AND(Table1567[[#This Row],[Total Amount]]&gt;=1500),"Critical",AND(Table1567[[#This Row],[Total Amount]]&gt;=1000),"High",TRUE,"Normal")</f>
        <v>Normal</v>
      </c>
      <c r="L651" s="4" t="str">
        <f>IF(Table1567[[#This Row],[Total Amount]]&gt;=1000,"High",(IF(Table1567[[#This Row],[Total Amount]]&gt;=500,"Medium","Low")))</f>
        <v>Low</v>
      </c>
      <c r="M651" s="4" t="str" cm="1">
        <f t="array" ref="M65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51" s="4" cm="1">
        <f t="array" ref="N65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</v>
      </c>
      <c r="O651" s="4">
        <f>Table1567[[#This Row],[Total Amount]]-Table1567[[#This Row],[Discount Amount]]</f>
        <v>27</v>
      </c>
      <c r="P651" s="4" t="str">
        <f>IF(Table1567[[#This Row],[Total Amount]]&gt;=1000,"High","Low")</f>
        <v>Low</v>
      </c>
      <c r="Q651" s="4" t="str" cm="1">
        <f t="array" ref="Q651">_xlfn.IFS(AND(Table1567[[#This Row],[Total Amount]]&gt;=1500,"Critical"),AND(Table1567[[#This Row],[Total Amount]]&gt;=1000,"High"),TRUE,"Normal")</f>
        <v>Normal</v>
      </c>
      <c r="R651" s="4" t="str">
        <f>CONCATENATE(Table1567[[#This Row],[Customer ID]], "-",Table1567[[#This Row],[Age]])</f>
        <v>CUST650-55</v>
      </c>
      <c r="S651" s="4" t="str">
        <f>TEXT(Table1567[[#This Row],[Date]],"mmm")</f>
        <v>Jan</v>
      </c>
      <c r="T651" s="4" t="str">
        <f>TEXT(Table1567[[#This Row],[Date]],"DDD")</f>
        <v>Mon</v>
      </c>
    </row>
    <row r="652" spans="1:20" ht="29" x14ac:dyDescent="0.35">
      <c r="A652" s="4">
        <v>651</v>
      </c>
      <c r="B652" s="5">
        <v>45073</v>
      </c>
      <c r="C652" s="4" t="s">
        <v>664</v>
      </c>
      <c r="D652" s="4" t="s">
        <v>10</v>
      </c>
      <c r="E652" s="4">
        <v>51</v>
      </c>
      <c r="F652" s="4" t="str">
        <f>IF(Table1567[[#This Row],[Age]]&lt;=19,"Teenager",IF(Table1567[[#This Row],[Age]]&lt;=40,"Median","Old"))</f>
        <v>Old</v>
      </c>
      <c r="G652" s="4" t="s">
        <v>14</v>
      </c>
      <c r="H652" s="4">
        <v>3</v>
      </c>
      <c r="I652" s="4">
        <v>50</v>
      </c>
      <c r="J652" s="4">
        <v>150</v>
      </c>
      <c r="K652" s="4" t="str" cm="1">
        <f t="array" ref="K652">_xlfn.IFS(AND(Table1567[[#This Row],[Total Amount]]&gt;=1500),"Critical",AND(Table1567[[#This Row],[Total Amount]]&gt;=1000),"High",TRUE,"Normal")</f>
        <v>Normal</v>
      </c>
      <c r="L652" s="4" t="str">
        <f>IF(Table1567[[#This Row],[Total Amount]]&gt;=1000,"High",(IF(Table1567[[#This Row],[Total Amount]]&gt;=500,"Medium","Low")))</f>
        <v>Low</v>
      </c>
      <c r="M652" s="4" t="str" cm="1">
        <f t="array" ref="M65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52" s="4" cm="1">
        <f t="array" ref="N65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652" s="4">
        <f>Table1567[[#This Row],[Total Amount]]-Table1567[[#This Row],[Discount Amount]]</f>
        <v>135</v>
      </c>
      <c r="P652" s="4" t="str">
        <f>IF(Table1567[[#This Row],[Total Amount]]&gt;=1000,"High","Low")</f>
        <v>Low</v>
      </c>
      <c r="Q652" s="4" t="str" cm="1">
        <f t="array" ref="Q652">_xlfn.IFS(AND(Table1567[[#This Row],[Total Amount]]&gt;=1500,"Critical"),AND(Table1567[[#This Row],[Total Amount]]&gt;=1000,"High"),TRUE,"Normal")</f>
        <v>Normal</v>
      </c>
      <c r="R652" s="4" t="str">
        <f>CONCATENATE(Table1567[[#This Row],[Customer ID]], "-",Table1567[[#This Row],[Age]])</f>
        <v>CUST651-51</v>
      </c>
      <c r="S652" s="4" t="str">
        <f>TEXT(Table1567[[#This Row],[Date]],"mmm")</f>
        <v>May</v>
      </c>
      <c r="T652" s="4" t="str">
        <f>TEXT(Table1567[[#This Row],[Date]],"DDD")</f>
        <v>Sat</v>
      </c>
    </row>
    <row r="653" spans="1:20" ht="29" x14ac:dyDescent="0.35">
      <c r="A653" s="4">
        <v>652</v>
      </c>
      <c r="B653" s="5">
        <v>45047</v>
      </c>
      <c r="C653" s="4" t="s">
        <v>665</v>
      </c>
      <c r="D653" s="4" t="s">
        <v>13</v>
      </c>
      <c r="E653" s="4">
        <v>34</v>
      </c>
      <c r="F653" s="4" t="str">
        <f>IF(Table1567[[#This Row],[Age]]&lt;=19,"Teenager",IF(Table1567[[#This Row],[Age]]&lt;=40,"Median","Old"))</f>
        <v>Median</v>
      </c>
      <c r="G653" s="4" t="s">
        <v>11</v>
      </c>
      <c r="H653" s="4">
        <v>2</v>
      </c>
      <c r="I653" s="4">
        <v>50</v>
      </c>
      <c r="J653" s="4">
        <v>100</v>
      </c>
      <c r="K653" s="4" t="str" cm="1">
        <f t="array" ref="K653">_xlfn.IFS(AND(Table1567[[#This Row],[Total Amount]]&gt;=1500),"Critical",AND(Table1567[[#This Row],[Total Amount]]&gt;=1000),"High",TRUE,"Normal")</f>
        <v>Normal</v>
      </c>
      <c r="L653" s="4" t="str">
        <f>IF(Table1567[[#This Row],[Total Amount]]&gt;=1000,"High",(IF(Table1567[[#This Row],[Total Amount]]&gt;=500,"Medium","Low")))</f>
        <v>Low</v>
      </c>
      <c r="M653" s="4" t="str" cm="1">
        <f t="array" ref="M65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53" s="4" cm="1">
        <f t="array" ref="N65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653" s="4">
        <f>Table1567[[#This Row],[Total Amount]]-Table1567[[#This Row],[Discount Amount]]</f>
        <v>85</v>
      </c>
      <c r="P653" s="4" t="str">
        <f>IF(Table1567[[#This Row],[Total Amount]]&gt;=1000,"High","Low")</f>
        <v>Low</v>
      </c>
      <c r="Q653" s="4" t="str" cm="1">
        <f t="array" ref="Q653">_xlfn.IFS(AND(Table1567[[#This Row],[Total Amount]]&gt;=1500,"Critical"),AND(Table1567[[#This Row],[Total Amount]]&gt;=1000,"High"),TRUE,"Normal")</f>
        <v>Normal</v>
      </c>
      <c r="R653" s="4" t="str">
        <f>CONCATENATE(Table1567[[#This Row],[Customer ID]], "-",Table1567[[#This Row],[Age]])</f>
        <v>CUST652-34</v>
      </c>
      <c r="S653" s="4" t="str">
        <f>TEXT(Table1567[[#This Row],[Date]],"mmm")</f>
        <v>May</v>
      </c>
      <c r="T653" s="4" t="str">
        <f>TEXT(Table1567[[#This Row],[Date]],"DDD")</f>
        <v>Mon</v>
      </c>
    </row>
    <row r="654" spans="1:20" ht="29" x14ac:dyDescent="0.35">
      <c r="A654" s="4">
        <v>653</v>
      </c>
      <c r="B654" s="5">
        <v>45066</v>
      </c>
      <c r="C654" s="4" t="s">
        <v>666</v>
      </c>
      <c r="D654" s="4" t="s">
        <v>10</v>
      </c>
      <c r="E654" s="4">
        <v>54</v>
      </c>
      <c r="F654" s="4" t="str">
        <f>IF(Table1567[[#This Row],[Age]]&lt;=19,"Teenager",IF(Table1567[[#This Row],[Age]]&lt;=40,"Median","Old"))</f>
        <v>Old</v>
      </c>
      <c r="G654" s="4" t="s">
        <v>14</v>
      </c>
      <c r="H654" s="4">
        <v>3</v>
      </c>
      <c r="I654" s="4">
        <v>25</v>
      </c>
      <c r="J654" s="4">
        <v>75</v>
      </c>
      <c r="K654" s="4" t="str" cm="1">
        <f t="array" ref="K654">_xlfn.IFS(AND(Table1567[[#This Row],[Total Amount]]&gt;=1500),"Critical",AND(Table1567[[#This Row],[Total Amount]]&gt;=1000),"High",TRUE,"Normal")</f>
        <v>Normal</v>
      </c>
      <c r="L654" s="4" t="str">
        <f>IF(Table1567[[#This Row],[Total Amount]]&gt;=1000,"High",(IF(Table1567[[#This Row],[Total Amount]]&gt;=500,"Medium","Low")))</f>
        <v>Low</v>
      </c>
      <c r="M654" s="4" t="str" cm="1">
        <f t="array" ref="M65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54" s="4" cm="1">
        <f t="array" ref="N65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654" s="4">
        <f>Table1567[[#This Row],[Total Amount]]-Table1567[[#This Row],[Discount Amount]]</f>
        <v>67.5</v>
      </c>
      <c r="P654" s="4" t="str">
        <f>IF(Table1567[[#This Row],[Total Amount]]&gt;=1000,"High","Low")</f>
        <v>Low</v>
      </c>
      <c r="Q654" s="4" t="str" cm="1">
        <f t="array" ref="Q654">_xlfn.IFS(AND(Table1567[[#This Row],[Total Amount]]&gt;=1500,"Critical"),AND(Table1567[[#This Row],[Total Amount]]&gt;=1000,"High"),TRUE,"Normal")</f>
        <v>Normal</v>
      </c>
      <c r="R654" s="4" t="str">
        <f>CONCATENATE(Table1567[[#This Row],[Customer ID]], "-",Table1567[[#This Row],[Age]])</f>
        <v>CUST653-54</v>
      </c>
      <c r="S654" s="4" t="str">
        <f>TEXT(Table1567[[#This Row],[Date]],"mmm")</f>
        <v>May</v>
      </c>
      <c r="T654" s="4" t="str">
        <f>TEXT(Table1567[[#This Row],[Date]],"DDD")</f>
        <v>Sat</v>
      </c>
    </row>
    <row r="655" spans="1:20" ht="29" x14ac:dyDescent="0.35">
      <c r="A655" s="4">
        <v>654</v>
      </c>
      <c r="B655" s="5">
        <v>45098</v>
      </c>
      <c r="C655" s="4" t="s">
        <v>667</v>
      </c>
      <c r="D655" s="4" t="s">
        <v>10</v>
      </c>
      <c r="E655" s="4">
        <v>42</v>
      </c>
      <c r="F655" s="4" t="str">
        <f>IF(Table1567[[#This Row],[Age]]&lt;=19,"Teenager",IF(Table1567[[#This Row],[Age]]&lt;=40,"Median","Old"))</f>
        <v>Old</v>
      </c>
      <c r="G655" s="4" t="s">
        <v>14</v>
      </c>
      <c r="H655" s="4">
        <v>3</v>
      </c>
      <c r="I655" s="4">
        <v>25</v>
      </c>
      <c r="J655" s="4">
        <v>75</v>
      </c>
      <c r="K655" s="4" t="str" cm="1">
        <f t="array" ref="K655">_xlfn.IFS(AND(Table1567[[#This Row],[Total Amount]]&gt;=1500),"Critical",AND(Table1567[[#This Row],[Total Amount]]&gt;=1000),"High",TRUE,"Normal")</f>
        <v>Normal</v>
      </c>
      <c r="L655" s="4" t="str">
        <f>IF(Table1567[[#This Row],[Total Amount]]&gt;=1000,"High",(IF(Table1567[[#This Row],[Total Amount]]&gt;=500,"Medium","Low")))</f>
        <v>Low</v>
      </c>
      <c r="M655" s="4" t="str" cm="1">
        <f t="array" ref="M65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55" s="4" cm="1">
        <f t="array" ref="N65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655" s="4">
        <f>Table1567[[#This Row],[Total Amount]]-Table1567[[#This Row],[Discount Amount]]</f>
        <v>67.5</v>
      </c>
      <c r="P655" s="4" t="str">
        <f>IF(Table1567[[#This Row],[Total Amount]]&gt;=1000,"High","Low")</f>
        <v>Low</v>
      </c>
      <c r="Q655" s="4" t="str" cm="1">
        <f t="array" ref="Q655">_xlfn.IFS(AND(Table1567[[#This Row],[Total Amount]]&gt;=1500,"Critical"),AND(Table1567[[#This Row],[Total Amount]]&gt;=1000,"High"),TRUE,"Normal")</f>
        <v>Normal</v>
      </c>
      <c r="R655" s="4" t="str">
        <f>CONCATENATE(Table1567[[#This Row],[Customer ID]], "-",Table1567[[#This Row],[Age]])</f>
        <v>CUST654-42</v>
      </c>
      <c r="S655" s="4" t="str">
        <f>TEXT(Table1567[[#This Row],[Date]],"mmm")</f>
        <v>Jun</v>
      </c>
      <c r="T655" s="4" t="str">
        <f>TEXT(Table1567[[#This Row],[Date]],"DDD")</f>
        <v>Wed</v>
      </c>
    </row>
    <row r="656" spans="1:20" ht="29" x14ac:dyDescent="0.35">
      <c r="A656" s="4">
        <v>655</v>
      </c>
      <c r="B656" s="5">
        <v>45090</v>
      </c>
      <c r="C656" s="4" t="s">
        <v>668</v>
      </c>
      <c r="D656" s="4" t="s">
        <v>13</v>
      </c>
      <c r="E656" s="4">
        <v>55</v>
      </c>
      <c r="F656" s="4" t="str">
        <f>IF(Table1567[[#This Row],[Age]]&lt;=19,"Teenager",IF(Table1567[[#This Row],[Age]]&lt;=40,"Median","Old"))</f>
        <v>Old</v>
      </c>
      <c r="G656" s="4" t="s">
        <v>14</v>
      </c>
      <c r="H656" s="4">
        <v>1</v>
      </c>
      <c r="I656" s="4">
        <v>500</v>
      </c>
      <c r="J656" s="4">
        <v>500</v>
      </c>
      <c r="K656" s="4" t="str" cm="1">
        <f t="array" ref="K656">_xlfn.IFS(AND(Table1567[[#This Row],[Total Amount]]&gt;=1500),"Critical",AND(Table1567[[#This Row],[Total Amount]]&gt;=1000),"High",TRUE,"Normal")</f>
        <v>Normal</v>
      </c>
      <c r="L656" s="4" t="str">
        <f>IF(Table1567[[#This Row],[Total Amount]]&gt;=1000,"High",(IF(Table1567[[#This Row],[Total Amount]]&gt;=500,"Medium","Low")))</f>
        <v>Medium</v>
      </c>
      <c r="M656" s="4" t="str" cm="1">
        <f t="array" ref="M65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56" s="4" cm="1">
        <f t="array" ref="N65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656" s="4">
        <f>Table1567[[#This Row],[Total Amount]]-Table1567[[#This Row],[Discount Amount]]</f>
        <v>400</v>
      </c>
      <c r="P656" s="4" t="str">
        <f>IF(Table1567[[#This Row],[Total Amount]]&gt;=1000,"High","Low")</f>
        <v>Low</v>
      </c>
      <c r="Q656" s="4" t="str" cm="1">
        <f t="array" ref="Q656">_xlfn.IFS(AND(Table1567[[#This Row],[Total Amount]]&gt;=1500,"Critical"),AND(Table1567[[#This Row],[Total Amount]]&gt;=1000,"High"),TRUE,"Normal")</f>
        <v>Normal</v>
      </c>
      <c r="R656" s="4" t="str">
        <f>CONCATENATE(Table1567[[#This Row],[Customer ID]], "-",Table1567[[#This Row],[Age]])</f>
        <v>CUST655-55</v>
      </c>
      <c r="S656" s="4" t="str">
        <f>TEXT(Table1567[[#This Row],[Date]],"mmm")</f>
        <v>Jun</v>
      </c>
      <c r="T656" s="4" t="str">
        <f>TEXT(Table1567[[#This Row],[Date]],"DDD")</f>
        <v>Tue</v>
      </c>
    </row>
    <row r="657" spans="1:20" ht="29" x14ac:dyDescent="0.35">
      <c r="A657" s="4">
        <v>656</v>
      </c>
      <c r="B657" s="5">
        <v>45203</v>
      </c>
      <c r="C657" s="4" t="s">
        <v>669</v>
      </c>
      <c r="D657" s="4" t="s">
        <v>10</v>
      </c>
      <c r="E657" s="4">
        <v>29</v>
      </c>
      <c r="F657" s="4" t="str">
        <f>IF(Table1567[[#This Row],[Age]]&lt;=19,"Teenager",IF(Table1567[[#This Row],[Age]]&lt;=40,"Median","Old"))</f>
        <v>Median</v>
      </c>
      <c r="G657" s="4" t="s">
        <v>11</v>
      </c>
      <c r="H657" s="4">
        <v>3</v>
      </c>
      <c r="I657" s="4">
        <v>30</v>
      </c>
      <c r="J657" s="4">
        <v>90</v>
      </c>
      <c r="K657" s="4" t="str" cm="1">
        <f t="array" ref="K657">_xlfn.IFS(AND(Table1567[[#This Row],[Total Amount]]&gt;=1500),"Critical",AND(Table1567[[#This Row],[Total Amount]]&gt;=1000),"High",TRUE,"Normal")</f>
        <v>Normal</v>
      </c>
      <c r="L657" s="4" t="str">
        <f>IF(Table1567[[#This Row],[Total Amount]]&gt;=1000,"High",(IF(Table1567[[#This Row],[Total Amount]]&gt;=500,"Medium","Low")))</f>
        <v>Low</v>
      </c>
      <c r="M657" s="4" t="str" cm="1">
        <f t="array" ref="M65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57" s="4" cm="1">
        <f t="array" ref="N65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13.5</v>
      </c>
      <c r="O657" s="4">
        <f>Table1567[[#This Row],[Total Amount]]-Table1567[[#This Row],[Discount Amount]]</f>
        <v>76.5</v>
      </c>
      <c r="P657" s="4" t="str">
        <f>IF(Table1567[[#This Row],[Total Amount]]&gt;=1000,"High","Low")</f>
        <v>Low</v>
      </c>
      <c r="Q657" s="4" t="str" cm="1">
        <f t="array" ref="Q657">_xlfn.IFS(AND(Table1567[[#This Row],[Total Amount]]&gt;=1500,"Critical"),AND(Table1567[[#This Row],[Total Amount]]&gt;=1000,"High"),TRUE,"Normal")</f>
        <v>Normal</v>
      </c>
      <c r="R657" s="4" t="str">
        <f>CONCATENATE(Table1567[[#This Row],[Customer ID]], "-",Table1567[[#This Row],[Age]])</f>
        <v>CUST656-29</v>
      </c>
      <c r="S657" s="4" t="str">
        <f>TEXT(Table1567[[#This Row],[Date]],"mmm")</f>
        <v>Oct</v>
      </c>
      <c r="T657" s="4" t="str">
        <f>TEXT(Table1567[[#This Row],[Date]],"DDD")</f>
        <v>Wed</v>
      </c>
    </row>
    <row r="658" spans="1:20" ht="29" x14ac:dyDescent="0.35">
      <c r="A658" s="4">
        <v>657</v>
      </c>
      <c r="B658" s="5">
        <v>44968</v>
      </c>
      <c r="C658" s="4" t="s">
        <v>670</v>
      </c>
      <c r="D658" s="4" t="s">
        <v>10</v>
      </c>
      <c r="E658" s="4">
        <v>40</v>
      </c>
      <c r="F658" s="4" t="str">
        <f>IF(Table1567[[#This Row],[Age]]&lt;=19,"Teenager",IF(Table1567[[#This Row],[Age]]&lt;=40,"Median","Old"))</f>
        <v>Median</v>
      </c>
      <c r="G658" s="4" t="s">
        <v>14</v>
      </c>
      <c r="H658" s="4">
        <v>1</v>
      </c>
      <c r="I658" s="4">
        <v>25</v>
      </c>
      <c r="J658" s="4">
        <v>25</v>
      </c>
      <c r="K658" s="4" t="str" cm="1">
        <f t="array" ref="K658">_xlfn.IFS(AND(Table1567[[#This Row],[Total Amount]]&gt;=1500),"Critical",AND(Table1567[[#This Row],[Total Amount]]&gt;=1000),"High",TRUE,"Normal")</f>
        <v>Normal</v>
      </c>
      <c r="L658" s="4" t="str">
        <f>IF(Table1567[[#This Row],[Total Amount]]&gt;=1000,"High",(IF(Table1567[[#This Row],[Total Amount]]&gt;=500,"Medium","Low")))</f>
        <v>Low</v>
      </c>
      <c r="M658" s="4" t="str" cm="1">
        <f t="array" ref="M65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58" s="4" cm="1">
        <f t="array" ref="N65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658" s="4">
        <f>Table1567[[#This Row],[Total Amount]]-Table1567[[#This Row],[Discount Amount]]</f>
        <v>22.5</v>
      </c>
      <c r="P658" s="4" t="str">
        <f>IF(Table1567[[#This Row],[Total Amount]]&gt;=1000,"High","Low")</f>
        <v>Low</v>
      </c>
      <c r="Q658" s="4" t="str" cm="1">
        <f t="array" ref="Q658">_xlfn.IFS(AND(Table1567[[#This Row],[Total Amount]]&gt;=1500,"Critical"),AND(Table1567[[#This Row],[Total Amount]]&gt;=1000,"High"),TRUE,"Normal")</f>
        <v>Normal</v>
      </c>
      <c r="R658" s="4" t="str">
        <f>CONCATENATE(Table1567[[#This Row],[Customer ID]], "-",Table1567[[#This Row],[Age]])</f>
        <v>CUST657-40</v>
      </c>
      <c r="S658" s="4" t="str">
        <f>TEXT(Table1567[[#This Row],[Date]],"mmm")</f>
        <v>Feb</v>
      </c>
      <c r="T658" s="4" t="str">
        <f>TEXT(Table1567[[#This Row],[Date]],"DDD")</f>
        <v>Sat</v>
      </c>
    </row>
    <row r="659" spans="1:20" ht="29" x14ac:dyDescent="0.35">
      <c r="A659" s="4">
        <v>658</v>
      </c>
      <c r="B659" s="5">
        <v>44997</v>
      </c>
      <c r="C659" s="4" t="s">
        <v>671</v>
      </c>
      <c r="D659" s="4" t="s">
        <v>10</v>
      </c>
      <c r="E659" s="4">
        <v>59</v>
      </c>
      <c r="F659" s="4" t="str">
        <f>IF(Table1567[[#This Row],[Age]]&lt;=19,"Teenager",IF(Table1567[[#This Row],[Age]]&lt;=40,"Median","Old"))</f>
        <v>Old</v>
      </c>
      <c r="G659" s="4" t="s">
        <v>14</v>
      </c>
      <c r="H659" s="4">
        <v>1</v>
      </c>
      <c r="I659" s="4">
        <v>25</v>
      </c>
      <c r="J659" s="4">
        <v>25</v>
      </c>
      <c r="K659" s="4" t="str" cm="1">
        <f t="array" ref="K659">_xlfn.IFS(AND(Table1567[[#This Row],[Total Amount]]&gt;=1500),"Critical",AND(Table1567[[#This Row],[Total Amount]]&gt;=1000),"High",TRUE,"Normal")</f>
        <v>Normal</v>
      </c>
      <c r="L659" s="4" t="str">
        <f>IF(Table1567[[#This Row],[Total Amount]]&gt;=1000,"High",(IF(Table1567[[#This Row],[Total Amount]]&gt;=500,"Medium","Low")))</f>
        <v>Low</v>
      </c>
      <c r="M659" s="4" t="str" cm="1">
        <f t="array" ref="M65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59" s="4" cm="1">
        <f t="array" ref="N65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659" s="4">
        <f>Table1567[[#This Row],[Total Amount]]-Table1567[[#This Row],[Discount Amount]]</f>
        <v>22.5</v>
      </c>
      <c r="P659" s="4" t="str">
        <f>IF(Table1567[[#This Row],[Total Amount]]&gt;=1000,"High","Low")</f>
        <v>Low</v>
      </c>
      <c r="Q659" s="4" t="str" cm="1">
        <f t="array" ref="Q659">_xlfn.IFS(AND(Table1567[[#This Row],[Total Amount]]&gt;=1500,"Critical"),AND(Table1567[[#This Row],[Total Amount]]&gt;=1000,"High"),TRUE,"Normal")</f>
        <v>Normal</v>
      </c>
      <c r="R659" s="4" t="str">
        <f>CONCATENATE(Table1567[[#This Row],[Customer ID]], "-",Table1567[[#This Row],[Age]])</f>
        <v>CUST658-59</v>
      </c>
      <c r="S659" s="4" t="str">
        <f>TEXT(Table1567[[#This Row],[Date]],"mmm")</f>
        <v>Mar</v>
      </c>
      <c r="T659" s="4" t="str">
        <f>TEXT(Table1567[[#This Row],[Date]],"DDD")</f>
        <v>Sun</v>
      </c>
    </row>
    <row r="660" spans="1:20" ht="29" x14ac:dyDescent="0.35">
      <c r="A660" s="4">
        <v>659</v>
      </c>
      <c r="B660" s="5">
        <v>45004</v>
      </c>
      <c r="C660" s="4" t="s">
        <v>672</v>
      </c>
      <c r="D660" s="4" t="s">
        <v>13</v>
      </c>
      <c r="E660" s="4">
        <v>39</v>
      </c>
      <c r="F660" s="4" t="str">
        <f>IF(Table1567[[#This Row],[Age]]&lt;=19,"Teenager",IF(Table1567[[#This Row],[Age]]&lt;=40,"Median","Old"))</f>
        <v>Median</v>
      </c>
      <c r="G660" s="4" t="s">
        <v>16</v>
      </c>
      <c r="H660" s="4">
        <v>1</v>
      </c>
      <c r="I660" s="4">
        <v>30</v>
      </c>
      <c r="J660" s="4">
        <v>30</v>
      </c>
      <c r="K660" s="4" t="str" cm="1">
        <f t="array" ref="K660">_xlfn.IFS(AND(Table1567[[#This Row],[Total Amount]]&gt;=1500),"Critical",AND(Table1567[[#This Row],[Total Amount]]&gt;=1000),"High",TRUE,"Normal")</f>
        <v>Normal</v>
      </c>
      <c r="L660" s="4" t="str">
        <f>IF(Table1567[[#This Row],[Total Amount]]&gt;=1000,"High",(IF(Table1567[[#This Row],[Total Amount]]&gt;=500,"Medium","Low")))</f>
        <v>Low</v>
      </c>
      <c r="M660" s="4" t="str" cm="1">
        <f t="array" ref="M66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60" s="4" cm="1">
        <f t="array" ref="N66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660" s="4">
        <f>Table1567[[#This Row],[Total Amount]]-Table1567[[#This Row],[Discount Amount]]</f>
        <v>24</v>
      </c>
      <c r="P660" s="4" t="str">
        <f>IF(Table1567[[#This Row],[Total Amount]]&gt;=1000,"High","Low")</f>
        <v>Low</v>
      </c>
      <c r="Q660" s="4" t="str" cm="1">
        <f t="array" ref="Q660">_xlfn.IFS(AND(Table1567[[#This Row],[Total Amount]]&gt;=1500,"Critical"),AND(Table1567[[#This Row],[Total Amount]]&gt;=1000,"High"),TRUE,"Normal")</f>
        <v>Normal</v>
      </c>
      <c r="R660" s="4" t="str">
        <f>CONCATENATE(Table1567[[#This Row],[Customer ID]], "-",Table1567[[#This Row],[Age]])</f>
        <v>CUST659-39</v>
      </c>
      <c r="S660" s="4" t="str">
        <f>TEXT(Table1567[[#This Row],[Date]],"mmm")</f>
        <v>Mar</v>
      </c>
      <c r="T660" s="4" t="str">
        <f>TEXT(Table1567[[#This Row],[Date]],"DDD")</f>
        <v>Sun</v>
      </c>
    </row>
    <row r="661" spans="1:20" ht="29" x14ac:dyDescent="0.35">
      <c r="A661" s="4">
        <v>660</v>
      </c>
      <c r="B661" s="5">
        <v>45045</v>
      </c>
      <c r="C661" s="4" t="s">
        <v>673</v>
      </c>
      <c r="D661" s="4" t="s">
        <v>13</v>
      </c>
      <c r="E661" s="4">
        <v>38</v>
      </c>
      <c r="F661" s="4" t="str">
        <f>IF(Table1567[[#This Row],[Age]]&lt;=19,"Teenager",IF(Table1567[[#This Row],[Age]]&lt;=40,"Median","Old"))</f>
        <v>Median</v>
      </c>
      <c r="G661" s="4" t="s">
        <v>11</v>
      </c>
      <c r="H661" s="4">
        <v>2</v>
      </c>
      <c r="I661" s="4">
        <v>500</v>
      </c>
      <c r="J661" s="4">
        <v>1000</v>
      </c>
      <c r="K661" s="4" t="str" cm="1">
        <f t="array" ref="K661">_xlfn.IFS(AND(Table1567[[#This Row],[Total Amount]]&gt;=1500),"Critical",AND(Table1567[[#This Row],[Total Amount]]&gt;=1000),"High",TRUE,"Normal")</f>
        <v>High</v>
      </c>
      <c r="L661" s="4" t="str">
        <f>IF(Table1567[[#This Row],[Total Amount]]&gt;=1000,"High",(IF(Table1567[[#This Row],[Total Amount]]&gt;=500,"Medium","Low")))</f>
        <v>High</v>
      </c>
      <c r="M661" s="4" t="str" cm="1">
        <f t="array" ref="M66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61" s="4" cm="1">
        <f t="array" ref="N66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661" s="4">
        <f>Table1567[[#This Row],[Total Amount]]-Table1567[[#This Row],[Discount Amount]]</f>
        <v>800</v>
      </c>
      <c r="P661" s="4" t="str">
        <f>IF(Table1567[[#This Row],[Total Amount]]&gt;=1000,"High","Low")</f>
        <v>High</v>
      </c>
      <c r="Q661" s="4" t="str" cm="1">
        <f t="array" ref="Q661">_xlfn.IFS(AND(Table1567[[#This Row],[Total Amount]]&gt;=1500,"Critical"),AND(Table1567[[#This Row],[Total Amount]]&gt;=1000,"High"),TRUE,"Normal")</f>
        <v>Normal</v>
      </c>
      <c r="R661" s="4" t="str">
        <f>CONCATENATE(Table1567[[#This Row],[Customer ID]], "-",Table1567[[#This Row],[Age]])</f>
        <v>CUST660-38</v>
      </c>
      <c r="S661" s="4" t="str">
        <f>TEXT(Table1567[[#This Row],[Date]],"mmm")</f>
        <v>Apr</v>
      </c>
      <c r="T661" s="4" t="str">
        <f>TEXT(Table1567[[#This Row],[Date]],"DDD")</f>
        <v>Sat</v>
      </c>
    </row>
    <row r="662" spans="1:20" ht="29" x14ac:dyDescent="0.35">
      <c r="A662" s="4">
        <v>661</v>
      </c>
      <c r="B662" s="5">
        <v>45123</v>
      </c>
      <c r="C662" s="4" t="s">
        <v>674</v>
      </c>
      <c r="D662" s="4" t="s">
        <v>13</v>
      </c>
      <c r="E662" s="4">
        <v>44</v>
      </c>
      <c r="F662" s="4" t="str">
        <f>IF(Table1567[[#This Row],[Age]]&lt;=19,"Teenager",IF(Table1567[[#This Row],[Age]]&lt;=40,"Median","Old"))</f>
        <v>Old</v>
      </c>
      <c r="G662" s="4" t="s">
        <v>14</v>
      </c>
      <c r="H662" s="4">
        <v>4</v>
      </c>
      <c r="I662" s="4">
        <v>25</v>
      </c>
      <c r="J662" s="4">
        <v>100</v>
      </c>
      <c r="K662" s="4" t="str" cm="1">
        <f t="array" ref="K662">_xlfn.IFS(AND(Table1567[[#This Row],[Total Amount]]&gt;=1500),"Critical",AND(Table1567[[#This Row],[Total Amount]]&gt;=1000),"High",TRUE,"Normal")</f>
        <v>Normal</v>
      </c>
      <c r="L662" s="4" t="str">
        <f>IF(Table1567[[#This Row],[Total Amount]]&gt;=1000,"High",(IF(Table1567[[#This Row],[Total Amount]]&gt;=500,"Medium","Low")))</f>
        <v>Low</v>
      </c>
      <c r="M662" s="4" t="str" cm="1">
        <f t="array" ref="M66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62" s="4" cm="1">
        <f t="array" ref="N66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662" s="4">
        <f>Table1567[[#This Row],[Total Amount]]-Table1567[[#This Row],[Discount Amount]]</f>
        <v>80</v>
      </c>
      <c r="P662" s="4" t="str">
        <f>IF(Table1567[[#This Row],[Total Amount]]&gt;=1000,"High","Low")</f>
        <v>Low</v>
      </c>
      <c r="Q662" s="4" t="str" cm="1">
        <f t="array" ref="Q662">_xlfn.IFS(AND(Table1567[[#This Row],[Total Amount]]&gt;=1500,"Critical"),AND(Table1567[[#This Row],[Total Amount]]&gt;=1000,"High"),TRUE,"Normal")</f>
        <v>Normal</v>
      </c>
      <c r="R662" s="4" t="str">
        <f>CONCATENATE(Table1567[[#This Row],[Customer ID]], "-",Table1567[[#This Row],[Age]])</f>
        <v>CUST661-44</v>
      </c>
      <c r="S662" s="4" t="str">
        <f>TEXT(Table1567[[#This Row],[Date]],"mmm")</f>
        <v>Jul</v>
      </c>
      <c r="T662" s="4" t="str">
        <f>TEXT(Table1567[[#This Row],[Date]],"DDD")</f>
        <v>Sun</v>
      </c>
    </row>
    <row r="663" spans="1:20" ht="29" x14ac:dyDescent="0.35">
      <c r="A663" s="4">
        <v>662</v>
      </c>
      <c r="B663" s="5">
        <v>45282</v>
      </c>
      <c r="C663" s="4" t="s">
        <v>675</v>
      </c>
      <c r="D663" s="4" t="s">
        <v>10</v>
      </c>
      <c r="E663" s="4">
        <v>48</v>
      </c>
      <c r="F663" s="4" t="str">
        <f>IF(Table1567[[#This Row],[Age]]&lt;=19,"Teenager",IF(Table1567[[#This Row],[Age]]&lt;=40,"Median","Old"))</f>
        <v>Old</v>
      </c>
      <c r="G663" s="4" t="s">
        <v>11</v>
      </c>
      <c r="H663" s="4">
        <v>2</v>
      </c>
      <c r="I663" s="4">
        <v>500</v>
      </c>
      <c r="J663" s="4">
        <v>1000</v>
      </c>
      <c r="K663" s="4" t="str" cm="1">
        <f t="array" ref="K663">_xlfn.IFS(AND(Table1567[[#This Row],[Total Amount]]&gt;=1500),"Critical",AND(Table1567[[#This Row],[Total Amount]]&gt;=1000),"High",TRUE,"Normal")</f>
        <v>High</v>
      </c>
      <c r="L663" s="4" t="str">
        <f>IF(Table1567[[#This Row],[Total Amount]]&gt;=1000,"High",(IF(Table1567[[#This Row],[Total Amount]]&gt;=500,"Medium","Low")))</f>
        <v>High</v>
      </c>
      <c r="M663" s="4" t="str" cm="1">
        <f t="array" ref="M66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63" s="4" cm="1">
        <f t="array" ref="N66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663" s="4">
        <f>Table1567[[#This Row],[Total Amount]]-Table1567[[#This Row],[Discount Amount]]</f>
        <v>900</v>
      </c>
      <c r="P663" s="4" t="str">
        <f>IF(Table1567[[#This Row],[Total Amount]]&gt;=1000,"High","Low")</f>
        <v>High</v>
      </c>
      <c r="Q663" s="4" t="str" cm="1">
        <f t="array" ref="Q663">_xlfn.IFS(AND(Table1567[[#This Row],[Total Amount]]&gt;=1500,"Critical"),AND(Table1567[[#This Row],[Total Amount]]&gt;=1000,"High"),TRUE,"Normal")</f>
        <v>Normal</v>
      </c>
      <c r="R663" s="4" t="str">
        <f>CONCATENATE(Table1567[[#This Row],[Customer ID]], "-",Table1567[[#This Row],[Age]])</f>
        <v>CUST662-48</v>
      </c>
      <c r="S663" s="4" t="str">
        <f>TEXT(Table1567[[#This Row],[Date]],"mmm")</f>
        <v>Dec</v>
      </c>
      <c r="T663" s="4" t="str">
        <f>TEXT(Table1567[[#This Row],[Date]],"DDD")</f>
        <v>Fri</v>
      </c>
    </row>
    <row r="664" spans="1:20" ht="29" x14ac:dyDescent="0.35">
      <c r="A664" s="4">
        <v>663</v>
      </c>
      <c r="B664" s="5">
        <v>45005</v>
      </c>
      <c r="C664" s="4" t="s">
        <v>676</v>
      </c>
      <c r="D664" s="4" t="s">
        <v>10</v>
      </c>
      <c r="E664" s="4">
        <v>23</v>
      </c>
      <c r="F664" s="4" t="str">
        <f>IF(Table1567[[#This Row],[Age]]&lt;=19,"Teenager",IF(Table1567[[#This Row],[Age]]&lt;=40,"Median","Old"))</f>
        <v>Median</v>
      </c>
      <c r="G664" s="4" t="s">
        <v>14</v>
      </c>
      <c r="H664" s="4">
        <v>4</v>
      </c>
      <c r="I664" s="4">
        <v>300</v>
      </c>
      <c r="J664" s="4">
        <v>1200</v>
      </c>
      <c r="K664" s="4" t="str" cm="1">
        <f t="array" ref="K664">_xlfn.IFS(AND(Table1567[[#This Row],[Total Amount]]&gt;=1500),"Critical",AND(Table1567[[#This Row],[Total Amount]]&gt;=1000),"High",TRUE,"Normal")</f>
        <v>High</v>
      </c>
      <c r="L664" s="4" t="str">
        <f>IF(Table1567[[#This Row],[Total Amount]]&gt;=1000,"High",(IF(Table1567[[#This Row],[Total Amount]]&gt;=500,"Medium","Low")))</f>
        <v>High</v>
      </c>
      <c r="M664" s="4" t="str" cm="1">
        <f t="array" ref="M66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664" s="4" cm="1">
        <f t="array" ref="N66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664" s="4">
        <f>Table1567[[#This Row],[Total Amount]]-Table1567[[#This Row],[Discount Amount]]</f>
        <v>1200</v>
      </c>
      <c r="P664" s="4" t="str">
        <f>IF(Table1567[[#This Row],[Total Amount]]&gt;=1000,"High","Low")</f>
        <v>High</v>
      </c>
      <c r="Q664" s="4" t="str" cm="1">
        <f t="array" ref="Q664">_xlfn.IFS(AND(Table1567[[#This Row],[Total Amount]]&gt;=1500,"Critical"),AND(Table1567[[#This Row],[Total Amount]]&gt;=1000,"High"),TRUE,"Normal")</f>
        <v>Normal</v>
      </c>
      <c r="R664" s="4" t="str">
        <f>CONCATENATE(Table1567[[#This Row],[Customer ID]], "-",Table1567[[#This Row],[Age]])</f>
        <v>CUST663-23</v>
      </c>
      <c r="S664" s="4" t="str">
        <f>TEXT(Table1567[[#This Row],[Date]],"mmm")</f>
        <v>Mar</v>
      </c>
      <c r="T664" s="4" t="str">
        <f>TEXT(Table1567[[#This Row],[Date]],"DDD")</f>
        <v>Mon</v>
      </c>
    </row>
    <row r="665" spans="1:20" ht="29" x14ac:dyDescent="0.35">
      <c r="A665" s="4">
        <v>664</v>
      </c>
      <c r="B665" s="5">
        <v>45288</v>
      </c>
      <c r="C665" s="4" t="s">
        <v>677</v>
      </c>
      <c r="D665" s="4" t="s">
        <v>13</v>
      </c>
      <c r="E665" s="4">
        <v>44</v>
      </c>
      <c r="F665" s="4" t="str">
        <f>IF(Table1567[[#This Row],[Age]]&lt;=19,"Teenager",IF(Table1567[[#This Row],[Age]]&lt;=40,"Median","Old"))</f>
        <v>Old</v>
      </c>
      <c r="G665" s="4" t="s">
        <v>14</v>
      </c>
      <c r="H665" s="4">
        <v>4</v>
      </c>
      <c r="I665" s="4">
        <v>500</v>
      </c>
      <c r="J665" s="4">
        <v>2000</v>
      </c>
      <c r="K665" s="4" t="str" cm="1">
        <f t="array" ref="K665">_xlfn.IFS(AND(Table1567[[#This Row],[Total Amount]]&gt;=1500),"Critical",AND(Table1567[[#This Row],[Total Amount]]&gt;=1000),"High",TRUE,"Normal")</f>
        <v>Critical</v>
      </c>
      <c r="L665" s="4" t="str">
        <f>IF(Table1567[[#This Row],[Total Amount]]&gt;=1000,"High",(IF(Table1567[[#This Row],[Total Amount]]&gt;=500,"Medium","Low")))</f>
        <v>High</v>
      </c>
      <c r="M665" s="4" t="str" cm="1">
        <f t="array" ref="M66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65" s="4" cm="1">
        <f t="array" ref="N66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400</v>
      </c>
      <c r="O665" s="4">
        <f>Table1567[[#This Row],[Total Amount]]-Table1567[[#This Row],[Discount Amount]]</f>
        <v>1600</v>
      </c>
      <c r="P665" s="4" t="str">
        <f>IF(Table1567[[#This Row],[Total Amount]]&gt;=1000,"High","Low")</f>
        <v>High</v>
      </c>
      <c r="Q665" s="4" t="b" cm="1">
        <f t="array" ref="Q665">_xlfn.IFS(AND(Table1567[[#This Row],[Total Amount]]&gt;=1500,"Critical"),AND(Table1567[[#This Row],[Total Amount]]&gt;=1000,"High"),TRUE,"Normal")</f>
        <v>1</v>
      </c>
      <c r="R665" s="4" t="str">
        <f>CONCATENATE(Table1567[[#This Row],[Customer ID]], "-",Table1567[[#This Row],[Age]])</f>
        <v>CUST664-44</v>
      </c>
      <c r="S665" s="4" t="str">
        <f>TEXT(Table1567[[#This Row],[Date]],"mmm")</f>
        <v>Dec</v>
      </c>
      <c r="T665" s="4" t="str">
        <f>TEXT(Table1567[[#This Row],[Date]],"DDD")</f>
        <v>Thu</v>
      </c>
    </row>
    <row r="666" spans="1:20" ht="29" x14ac:dyDescent="0.35">
      <c r="A666" s="4">
        <v>665</v>
      </c>
      <c r="B666" s="5">
        <v>45036</v>
      </c>
      <c r="C666" s="4" t="s">
        <v>678</v>
      </c>
      <c r="D666" s="4" t="s">
        <v>10</v>
      </c>
      <c r="E666" s="4">
        <v>57</v>
      </c>
      <c r="F666" s="4" t="str">
        <f>IF(Table1567[[#This Row],[Age]]&lt;=19,"Teenager",IF(Table1567[[#This Row],[Age]]&lt;=40,"Median","Old"))</f>
        <v>Old</v>
      </c>
      <c r="G666" s="4" t="s">
        <v>14</v>
      </c>
      <c r="H666" s="4">
        <v>1</v>
      </c>
      <c r="I666" s="4">
        <v>50</v>
      </c>
      <c r="J666" s="4">
        <v>50</v>
      </c>
      <c r="K666" s="4" t="str" cm="1">
        <f t="array" ref="K666">_xlfn.IFS(AND(Table1567[[#This Row],[Total Amount]]&gt;=1500),"Critical",AND(Table1567[[#This Row],[Total Amount]]&gt;=1000),"High",TRUE,"Normal")</f>
        <v>Normal</v>
      </c>
      <c r="L666" s="4" t="str">
        <f>IF(Table1567[[#This Row],[Total Amount]]&gt;=1000,"High",(IF(Table1567[[#This Row],[Total Amount]]&gt;=500,"Medium","Low")))</f>
        <v>Low</v>
      </c>
      <c r="M666" s="4" t="str" cm="1">
        <f t="array" ref="M66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66" s="4" cm="1">
        <f t="array" ref="N66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666" s="4">
        <f>Table1567[[#This Row],[Total Amount]]-Table1567[[#This Row],[Discount Amount]]</f>
        <v>45</v>
      </c>
      <c r="P666" s="4" t="str">
        <f>IF(Table1567[[#This Row],[Total Amount]]&gt;=1000,"High","Low")</f>
        <v>Low</v>
      </c>
      <c r="Q666" s="4" t="str" cm="1">
        <f t="array" ref="Q666">_xlfn.IFS(AND(Table1567[[#This Row],[Total Amount]]&gt;=1500,"Critical"),AND(Table1567[[#This Row],[Total Amount]]&gt;=1000,"High"),TRUE,"Normal")</f>
        <v>Normal</v>
      </c>
      <c r="R666" s="4" t="str">
        <f>CONCATENATE(Table1567[[#This Row],[Customer ID]], "-",Table1567[[#This Row],[Age]])</f>
        <v>CUST665-57</v>
      </c>
      <c r="S666" s="4" t="str">
        <f>TEXT(Table1567[[#This Row],[Date]],"mmm")</f>
        <v>Apr</v>
      </c>
      <c r="T666" s="4" t="str">
        <f>TEXT(Table1567[[#This Row],[Date]],"DDD")</f>
        <v>Thu</v>
      </c>
    </row>
    <row r="667" spans="1:20" ht="29" x14ac:dyDescent="0.35">
      <c r="A667" s="4">
        <v>666</v>
      </c>
      <c r="B667" s="5">
        <v>44959</v>
      </c>
      <c r="C667" s="4" t="s">
        <v>679</v>
      </c>
      <c r="D667" s="4" t="s">
        <v>10</v>
      </c>
      <c r="E667" s="4">
        <v>51</v>
      </c>
      <c r="F667" s="4" t="str">
        <f>IF(Table1567[[#This Row],[Age]]&lt;=19,"Teenager",IF(Table1567[[#This Row],[Age]]&lt;=40,"Median","Old"))</f>
        <v>Old</v>
      </c>
      <c r="G667" s="4" t="s">
        <v>16</v>
      </c>
      <c r="H667" s="4">
        <v>3</v>
      </c>
      <c r="I667" s="4">
        <v>50</v>
      </c>
      <c r="J667" s="4">
        <v>150</v>
      </c>
      <c r="K667" s="4" t="str" cm="1">
        <f t="array" ref="K667">_xlfn.IFS(AND(Table1567[[#This Row],[Total Amount]]&gt;=1500),"Critical",AND(Table1567[[#This Row],[Total Amount]]&gt;=1000),"High",TRUE,"Normal")</f>
        <v>Normal</v>
      </c>
      <c r="L667" s="4" t="str">
        <f>IF(Table1567[[#This Row],[Total Amount]]&gt;=1000,"High",(IF(Table1567[[#This Row],[Total Amount]]&gt;=500,"Medium","Low")))</f>
        <v>Low</v>
      </c>
      <c r="M667" s="4" t="str" cm="1">
        <f t="array" ref="M66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67" s="4" cm="1">
        <f t="array" ref="N66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667" s="4">
        <f>Table1567[[#This Row],[Total Amount]]-Table1567[[#This Row],[Discount Amount]]</f>
        <v>135</v>
      </c>
      <c r="P667" s="4" t="str">
        <f>IF(Table1567[[#This Row],[Total Amount]]&gt;=1000,"High","Low")</f>
        <v>Low</v>
      </c>
      <c r="Q667" s="4" t="str" cm="1">
        <f t="array" ref="Q667">_xlfn.IFS(AND(Table1567[[#This Row],[Total Amount]]&gt;=1500,"Critical"),AND(Table1567[[#This Row],[Total Amount]]&gt;=1000,"High"),TRUE,"Normal")</f>
        <v>Normal</v>
      </c>
      <c r="R667" s="4" t="str">
        <f>CONCATENATE(Table1567[[#This Row],[Customer ID]], "-",Table1567[[#This Row],[Age]])</f>
        <v>CUST666-51</v>
      </c>
      <c r="S667" s="4" t="str">
        <f>TEXT(Table1567[[#This Row],[Date]],"mmm")</f>
        <v>Feb</v>
      </c>
      <c r="T667" s="4" t="str">
        <f>TEXT(Table1567[[#This Row],[Date]],"DDD")</f>
        <v>Thu</v>
      </c>
    </row>
    <row r="668" spans="1:20" ht="29" x14ac:dyDescent="0.35">
      <c r="A668" s="4">
        <v>667</v>
      </c>
      <c r="B668" s="5">
        <v>45139</v>
      </c>
      <c r="C668" s="4" t="s">
        <v>680</v>
      </c>
      <c r="D668" s="4" t="s">
        <v>13</v>
      </c>
      <c r="E668" s="4">
        <v>29</v>
      </c>
      <c r="F668" s="4" t="str">
        <f>IF(Table1567[[#This Row],[Age]]&lt;=19,"Teenager",IF(Table1567[[#This Row],[Age]]&lt;=40,"Median","Old"))</f>
        <v>Median</v>
      </c>
      <c r="G668" s="4" t="s">
        <v>16</v>
      </c>
      <c r="H668" s="4">
        <v>1</v>
      </c>
      <c r="I668" s="4">
        <v>500</v>
      </c>
      <c r="J668" s="4">
        <v>500</v>
      </c>
      <c r="K668" s="4" t="str" cm="1">
        <f t="array" ref="K668">_xlfn.IFS(AND(Table1567[[#This Row],[Total Amount]]&gt;=1500),"Critical",AND(Table1567[[#This Row],[Total Amount]]&gt;=1000),"High",TRUE,"Normal")</f>
        <v>Normal</v>
      </c>
      <c r="L668" s="4" t="str">
        <f>IF(Table1567[[#This Row],[Total Amount]]&gt;=1000,"High",(IF(Table1567[[#This Row],[Total Amount]]&gt;=500,"Medium","Low")))</f>
        <v>Medium</v>
      </c>
      <c r="M668" s="4" t="str" cm="1">
        <f t="array" ref="M66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68" s="4" cm="1">
        <f t="array" ref="N66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75</v>
      </c>
      <c r="O668" s="4">
        <f>Table1567[[#This Row],[Total Amount]]-Table1567[[#This Row],[Discount Amount]]</f>
        <v>425</v>
      </c>
      <c r="P668" s="4" t="str">
        <f>IF(Table1567[[#This Row],[Total Amount]]&gt;=1000,"High","Low")</f>
        <v>Low</v>
      </c>
      <c r="Q668" s="4" t="str" cm="1">
        <f t="array" ref="Q668">_xlfn.IFS(AND(Table1567[[#This Row],[Total Amount]]&gt;=1500,"Critical"),AND(Table1567[[#This Row],[Total Amount]]&gt;=1000,"High"),TRUE,"Normal")</f>
        <v>Normal</v>
      </c>
      <c r="R668" s="4" t="str">
        <f>CONCATENATE(Table1567[[#This Row],[Customer ID]], "-",Table1567[[#This Row],[Age]])</f>
        <v>CUST667-29</v>
      </c>
      <c r="S668" s="4" t="str">
        <f>TEXT(Table1567[[#This Row],[Date]],"mmm")</f>
        <v>Aug</v>
      </c>
      <c r="T668" s="4" t="str">
        <f>TEXT(Table1567[[#This Row],[Date]],"DDD")</f>
        <v>Tue</v>
      </c>
    </row>
    <row r="669" spans="1:20" ht="29" x14ac:dyDescent="0.35">
      <c r="A669" s="4">
        <v>668</v>
      </c>
      <c r="B669" s="5">
        <v>45135</v>
      </c>
      <c r="C669" s="4" t="s">
        <v>681</v>
      </c>
      <c r="D669" s="4" t="s">
        <v>13</v>
      </c>
      <c r="E669" s="4">
        <v>62</v>
      </c>
      <c r="F669" s="4" t="str">
        <f>IF(Table1567[[#This Row],[Age]]&lt;=19,"Teenager",IF(Table1567[[#This Row],[Age]]&lt;=40,"Median","Old"))</f>
        <v>Old</v>
      </c>
      <c r="G669" s="4" t="s">
        <v>16</v>
      </c>
      <c r="H669" s="4">
        <v>3</v>
      </c>
      <c r="I669" s="4">
        <v>50</v>
      </c>
      <c r="J669" s="4">
        <v>150</v>
      </c>
      <c r="K669" s="4" t="str" cm="1">
        <f t="array" ref="K669">_xlfn.IFS(AND(Table1567[[#This Row],[Total Amount]]&gt;=1500),"Critical",AND(Table1567[[#This Row],[Total Amount]]&gt;=1000),"High",TRUE,"Normal")</f>
        <v>Normal</v>
      </c>
      <c r="L669" s="4" t="str">
        <f>IF(Table1567[[#This Row],[Total Amount]]&gt;=1000,"High",(IF(Table1567[[#This Row],[Total Amount]]&gt;=500,"Medium","Low")))</f>
        <v>Low</v>
      </c>
      <c r="M669" s="4" t="str" cm="1">
        <f t="array" ref="M66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69" s="4" cm="1">
        <f t="array" ref="N66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669" s="4">
        <f>Table1567[[#This Row],[Total Amount]]-Table1567[[#This Row],[Discount Amount]]</f>
        <v>120</v>
      </c>
      <c r="P669" s="4" t="str">
        <f>IF(Table1567[[#This Row],[Total Amount]]&gt;=1000,"High","Low")</f>
        <v>Low</v>
      </c>
      <c r="Q669" s="4" t="str" cm="1">
        <f t="array" ref="Q669">_xlfn.IFS(AND(Table1567[[#This Row],[Total Amount]]&gt;=1500,"Critical"),AND(Table1567[[#This Row],[Total Amount]]&gt;=1000,"High"),TRUE,"Normal")</f>
        <v>Normal</v>
      </c>
      <c r="R669" s="4" t="str">
        <f>CONCATENATE(Table1567[[#This Row],[Customer ID]], "-",Table1567[[#This Row],[Age]])</f>
        <v>CUST668-62</v>
      </c>
      <c r="S669" s="4" t="str">
        <f>TEXT(Table1567[[#This Row],[Date]],"mmm")</f>
        <v>Jul</v>
      </c>
      <c r="T669" s="4" t="str">
        <f>TEXT(Table1567[[#This Row],[Date]],"DDD")</f>
        <v>Fri</v>
      </c>
    </row>
    <row r="670" spans="1:20" ht="29" x14ac:dyDescent="0.35">
      <c r="A670" s="4">
        <v>669</v>
      </c>
      <c r="B670" s="5">
        <v>45096</v>
      </c>
      <c r="C670" s="4" t="s">
        <v>682</v>
      </c>
      <c r="D670" s="4" t="s">
        <v>10</v>
      </c>
      <c r="E670" s="4">
        <v>24</v>
      </c>
      <c r="F670" s="4" t="str">
        <f>IF(Table1567[[#This Row],[Age]]&lt;=19,"Teenager",IF(Table1567[[#This Row],[Age]]&lt;=40,"Median","Old"))</f>
        <v>Median</v>
      </c>
      <c r="G670" s="4" t="s">
        <v>11</v>
      </c>
      <c r="H670" s="4">
        <v>4</v>
      </c>
      <c r="I670" s="4">
        <v>300</v>
      </c>
      <c r="J670" s="4">
        <v>1200</v>
      </c>
      <c r="K670" s="4" t="str" cm="1">
        <f t="array" ref="K670">_xlfn.IFS(AND(Table1567[[#This Row],[Total Amount]]&gt;=1500),"Critical",AND(Table1567[[#This Row],[Total Amount]]&gt;=1000),"High",TRUE,"Normal")</f>
        <v>High</v>
      </c>
      <c r="L670" s="4" t="str">
        <f>IF(Table1567[[#This Row],[Total Amount]]&gt;=1000,"High",(IF(Table1567[[#This Row],[Total Amount]]&gt;=500,"Medium","Low")))</f>
        <v>High</v>
      </c>
      <c r="M670" s="4" t="str" cm="1">
        <f t="array" ref="M67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670" s="4" cm="1">
        <f t="array" ref="N67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670" s="4">
        <f>Table1567[[#This Row],[Total Amount]]-Table1567[[#This Row],[Discount Amount]]</f>
        <v>1200</v>
      </c>
      <c r="P670" s="4" t="str">
        <f>IF(Table1567[[#This Row],[Total Amount]]&gt;=1000,"High","Low")</f>
        <v>High</v>
      </c>
      <c r="Q670" s="4" t="str" cm="1">
        <f t="array" ref="Q670">_xlfn.IFS(AND(Table1567[[#This Row],[Total Amount]]&gt;=1500,"Critical"),AND(Table1567[[#This Row],[Total Amount]]&gt;=1000,"High"),TRUE,"Normal")</f>
        <v>Normal</v>
      </c>
      <c r="R670" s="4" t="str">
        <f>CONCATENATE(Table1567[[#This Row],[Customer ID]], "-",Table1567[[#This Row],[Age]])</f>
        <v>CUST669-24</v>
      </c>
      <c r="S670" s="4" t="str">
        <f>TEXT(Table1567[[#This Row],[Date]],"mmm")</f>
        <v>Jun</v>
      </c>
      <c r="T670" s="4" t="str">
        <f>TEXT(Table1567[[#This Row],[Date]],"DDD")</f>
        <v>Mon</v>
      </c>
    </row>
    <row r="671" spans="1:20" ht="29" x14ac:dyDescent="0.35">
      <c r="A671" s="4">
        <v>670</v>
      </c>
      <c r="B671" s="5">
        <v>45204</v>
      </c>
      <c r="C671" s="4" t="s">
        <v>683</v>
      </c>
      <c r="D671" s="4" t="s">
        <v>10</v>
      </c>
      <c r="E671" s="4">
        <v>27</v>
      </c>
      <c r="F671" s="4" t="str">
        <f>IF(Table1567[[#This Row],[Age]]&lt;=19,"Teenager",IF(Table1567[[#This Row],[Age]]&lt;=40,"Median","Old"))</f>
        <v>Median</v>
      </c>
      <c r="G671" s="4" t="s">
        <v>11</v>
      </c>
      <c r="H671" s="4">
        <v>1</v>
      </c>
      <c r="I671" s="4">
        <v>30</v>
      </c>
      <c r="J671" s="4">
        <v>30</v>
      </c>
      <c r="K671" s="4" t="str" cm="1">
        <f t="array" ref="K671">_xlfn.IFS(AND(Table1567[[#This Row],[Total Amount]]&gt;=1500),"Critical",AND(Table1567[[#This Row],[Total Amount]]&gt;=1000),"High",TRUE,"Normal")</f>
        <v>Normal</v>
      </c>
      <c r="L671" s="4" t="str">
        <f>IF(Table1567[[#This Row],[Total Amount]]&gt;=1000,"High",(IF(Table1567[[#This Row],[Total Amount]]&gt;=500,"Medium","Low")))</f>
        <v>Low</v>
      </c>
      <c r="M671" s="4" t="str" cm="1">
        <f t="array" ref="M67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71" s="4" cm="1">
        <f t="array" ref="N67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4.5</v>
      </c>
      <c r="O671" s="4">
        <f>Table1567[[#This Row],[Total Amount]]-Table1567[[#This Row],[Discount Amount]]</f>
        <v>25.5</v>
      </c>
      <c r="P671" s="4" t="str">
        <f>IF(Table1567[[#This Row],[Total Amount]]&gt;=1000,"High","Low")</f>
        <v>Low</v>
      </c>
      <c r="Q671" s="4" t="str" cm="1">
        <f t="array" ref="Q671">_xlfn.IFS(AND(Table1567[[#This Row],[Total Amount]]&gt;=1500,"Critical"),AND(Table1567[[#This Row],[Total Amount]]&gt;=1000,"High"),TRUE,"Normal")</f>
        <v>Normal</v>
      </c>
      <c r="R671" s="4" t="str">
        <f>CONCATENATE(Table1567[[#This Row],[Customer ID]], "-",Table1567[[#This Row],[Age]])</f>
        <v>CUST670-27</v>
      </c>
      <c r="S671" s="4" t="str">
        <f>TEXT(Table1567[[#This Row],[Date]],"mmm")</f>
        <v>Oct</v>
      </c>
      <c r="T671" s="4" t="str">
        <f>TEXT(Table1567[[#This Row],[Date]],"DDD")</f>
        <v>Thu</v>
      </c>
    </row>
    <row r="672" spans="1:20" ht="29" x14ac:dyDescent="0.35">
      <c r="A672" s="4">
        <v>671</v>
      </c>
      <c r="B672" s="5">
        <v>45165</v>
      </c>
      <c r="C672" s="4" t="s">
        <v>684</v>
      </c>
      <c r="D672" s="4" t="s">
        <v>10</v>
      </c>
      <c r="E672" s="4">
        <v>62</v>
      </c>
      <c r="F672" s="4" t="str">
        <f>IF(Table1567[[#This Row],[Age]]&lt;=19,"Teenager",IF(Table1567[[#This Row],[Age]]&lt;=40,"Median","Old"))</f>
        <v>Old</v>
      </c>
      <c r="G672" s="4" t="s">
        <v>16</v>
      </c>
      <c r="H672" s="4">
        <v>3</v>
      </c>
      <c r="I672" s="4">
        <v>50</v>
      </c>
      <c r="J672" s="4">
        <v>150</v>
      </c>
      <c r="K672" s="4" t="str" cm="1">
        <f t="array" ref="K672">_xlfn.IFS(AND(Table1567[[#This Row],[Total Amount]]&gt;=1500),"Critical",AND(Table1567[[#This Row],[Total Amount]]&gt;=1000),"High",TRUE,"Normal")</f>
        <v>Normal</v>
      </c>
      <c r="L672" s="4" t="str">
        <f>IF(Table1567[[#This Row],[Total Amount]]&gt;=1000,"High",(IF(Table1567[[#This Row],[Total Amount]]&gt;=500,"Medium","Low")))</f>
        <v>Low</v>
      </c>
      <c r="M672" s="4" t="str" cm="1">
        <f t="array" ref="M67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72" s="4" cm="1">
        <f t="array" ref="N67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672" s="4">
        <f>Table1567[[#This Row],[Total Amount]]-Table1567[[#This Row],[Discount Amount]]</f>
        <v>135</v>
      </c>
      <c r="P672" s="4" t="str">
        <f>IF(Table1567[[#This Row],[Total Amount]]&gt;=1000,"High","Low")</f>
        <v>Low</v>
      </c>
      <c r="Q672" s="4" t="str" cm="1">
        <f t="array" ref="Q672">_xlfn.IFS(AND(Table1567[[#This Row],[Total Amount]]&gt;=1500,"Critical"),AND(Table1567[[#This Row],[Total Amount]]&gt;=1000,"High"),TRUE,"Normal")</f>
        <v>Normal</v>
      </c>
      <c r="R672" s="4" t="str">
        <f>CONCATENATE(Table1567[[#This Row],[Customer ID]], "-",Table1567[[#This Row],[Age]])</f>
        <v>CUST671-62</v>
      </c>
      <c r="S672" s="4" t="str">
        <f>TEXT(Table1567[[#This Row],[Date]],"mmm")</f>
        <v>Aug</v>
      </c>
      <c r="T672" s="4" t="str">
        <f>TEXT(Table1567[[#This Row],[Date]],"DDD")</f>
        <v>Sun</v>
      </c>
    </row>
    <row r="673" spans="1:20" ht="29" x14ac:dyDescent="0.35">
      <c r="A673" s="4">
        <v>672</v>
      </c>
      <c r="B673" s="5">
        <v>45139</v>
      </c>
      <c r="C673" s="4" t="s">
        <v>685</v>
      </c>
      <c r="D673" s="4" t="s">
        <v>13</v>
      </c>
      <c r="E673" s="4">
        <v>34</v>
      </c>
      <c r="F673" s="4" t="str">
        <f>IF(Table1567[[#This Row],[Age]]&lt;=19,"Teenager",IF(Table1567[[#This Row],[Age]]&lt;=40,"Median","Old"))</f>
        <v>Median</v>
      </c>
      <c r="G673" s="4" t="s">
        <v>11</v>
      </c>
      <c r="H673" s="4">
        <v>2</v>
      </c>
      <c r="I673" s="4">
        <v>50</v>
      </c>
      <c r="J673" s="4">
        <v>100</v>
      </c>
      <c r="K673" s="4" t="str" cm="1">
        <f t="array" ref="K673">_xlfn.IFS(AND(Table1567[[#This Row],[Total Amount]]&gt;=1500),"Critical",AND(Table1567[[#This Row],[Total Amount]]&gt;=1000),"High",TRUE,"Normal")</f>
        <v>Normal</v>
      </c>
      <c r="L673" s="4" t="str">
        <f>IF(Table1567[[#This Row],[Total Amount]]&gt;=1000,"High",(IF(Table1567[[#This Row],[Total Amount]]&gt;=500,"Medium","Low")))</f>
        <v>Low</v>
      </c>
      <c r="M673" s="4" t="str" cm="1">
        <f t="array" ref="M67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73" s="4" cm="1">
        <f t="array" ref="N67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673" s="4">
        <f>Table1567[[#This Row],[Total Amount]]-Table1567[[#This Row],[Discount Amount]]</f>
        <v>85</v>
      </c>
      <c r="P673" s="4" t="str">
        <f>IF(Table1567[[#This Row],[Total Amount]]&gt;=1000,"High","Low")</f>
        <v>Low</v>
      </c>
      <c r="Q673" s="4" t="str" cm="1">
        <f t="array" ref="Q673">_xlfn.IFS(AND(Table1567[[#This Row],[Total Amount]]&gt;=1500,"Critical"),AND(Table1567[[#This Row],[Total Amount]]&gt;=1000,"High"),TRUE,"Normal")</f>
        <v>Normal</v>
      </c>
      <c r="R673" s="4" t="str">
        <f>CONCATENATE(Table1567[[#This Row],[Customer ID]], "-",Table1567[[#This Row],[Age]])</f>
        <v>CUST672-34</v>
      </c>
      <c r="S673" s="4" t="str">
        <f>TEXT(Table1567[[#This Row],[Date]],"mmm")</f>
        <v>Aug</v>
      </c>
      <c r="T673" s="4" t="str">
        <f>TEXT(Table1567[[#This Row],[Date]],"DDD")</f>
        <v>Tue</v>
      </c>
    </row>
    <row r="674" spans="1:20" ht="29" x14ac:dyDescent="0.35">
      <c r="A674" s="4">
        <v>673</v>
      </c>
      <c r="B674" s="5">
        <v>44958</v>
      </c>
      <c r="C674" s="4" t="s">
        <v>686</v>
      </c>
      <c r="D674" s="4" t="s">
        <v>13</v>
      </c>
      <c r="E674" s="4">
        <v>43</v>
      </c>
      <c r="F674" s="4" t="str">
        <f>IF(Table1567[[#This Row],[Age]]&lt;=19,"Teenager",IF(Table1567[[#This Row],[Age]]&lt;=40,"Median","Old"))</f>
        <v>Old</v>
      </c>
      <c r="G674" s="4" t="s">
        <v>14</v>
      </c>
      <c r="H674" s="4">
        <v>3</v>
      </c>
      <c r="I674" s="4">
        <v>500</v>
      </c>
      <c r="J674" s="4">
        <v>1500</v>
      </c>
      <c r="K674" s="4" t="str" cm="1">
        <f t="array" ref="K674">_xlfn.IFS(AND(Table1567[[#This Row],[Total Amount]]&gt;=1500),"Critical",AND(Table1567[[#This Row],[Total Amount]]&gt;=1000),"High",TRUE,"Normal")</f>
        <v>Critical</v>
      </c>
      <c r="L674" s="4" t="str">
        <f>IF(Table1567[[#This Row],[Total Amount]]&gt;=1000,"High",(IF(Table1567[[#This Row],[Total Amount]]&gt;=500,"Medium","Low")))</f>
        <v>High</v>
      </c>
      <c r="M674" s="4" t="str" cm="1">
        <f t="array" ref="M67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74" s="4" cm="1">
        <f t="array" ref="N67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674" s="4">
        <f>Table1567[[#This Row],[Total Amount]]-Table1567[[#This Row],[Discount Amount]]</f>
        <v>1200</v>
      </c>
      <c r="P674" s="4" t="str">
        <f>IF(Table1567[[#This Row],[Total Amount]]&gt;=1000,"High","Low")</f>
        <v>High</v>
      </c>
      <c r="Q674" s="4" t="b" cm="1">
        <f t="array" ref="Q674">_xlfn.IFS(AND(Table1567[[#This Row],[Total Amount]]&gt;=1500,"Critical"),AND(Table1567[[#This Row],[Total Amount]]&gt;=1000,"High"),TRUE,"Normal")</f>
        <v>1</v>
      </c>
      <c r="R674" s="4" t="str">
        <f>CONCATENATE(Table1567[[#This Row],[Customer ID]], "-",Table1567[[#This Row],[Age]])</f>
        <v>CUST673-43</v>
      </c>
      <c r="S674" s="4" t="str">
        <f>TEXT(Table1567[[#This Row],[Date]],"mmm")</f>
        <v>Feb</v>
      </c>
      <c r="T674" s="4" t="str">
        <f>TEXT(Table1567[[#This Row],[Date]],"DDD")</f>
        <v>Wed</v>
      </c>
    </row>
    <row r="675" spans="1:20" ht="29" x14ac:dyDescent="0.35">
      <c r="A675" s="4">
        <v>674</v>
      </c>
      <c r="B675" s="5">
        <v>45032</v>
      </c>
      <c r="C675" s="4" t="s">
        <v>687</v>
      </c>
      <c r="D675" s="4" t="s">
        <v>13</v>
      </c>
      <c r="E675" s="4">
        <v>38</v>
      </c>
      <c r="F675" s="4" t="str">
        <f>IF(Table1567[[#This Row],[Age]]&lt;=19,"Teenager",IF(Table1567[[#This Row],[Age]]&lt;=40,"Median","Old"))</f>
        <v>Median</v>
      </c>
      <c r="G675" s="4" t="s">
        <v>14</v>
      </c>
      <c r="H675" s="4">
        <v>1</v>
      </c>
      <c r="I675" s="4">
        <v>300</v>
      </c>
      <c r="J675" s="4">
        <v>300</v>
      </c>
      <c r="K675" s="4" t="str" cm="1">
        <f t="array" ref="K675">_xlfn.IFS(AND(Table1567[[#This Row],[Total Amount]]&gt;=1500),"Critical",AND(Table1567[[#This Row],[Total Amount]]&gt;=1000),"High",TRUE,"Normal")</f>
        <v>Normal</v>
      </c>
      <c r="L675" s="4" t="str">
        <f>IF(Table1567[[#This Row],[Total Amount]]&gt;=1000,"High",(IF(Table1567[[#This Row],[Total Amount]]&gt;=500,"Medium","Low")))</f>
        <v>Low</v>
      </c>
      <c r="M675" s="4" t="str" cm="1">
        <f t="array" ref="M67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75" s="4" cm="1">
        <f t="array" ref="N67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675" s="4">
        <f>Table1567[[#This Row],[Total Amount]]-Table1567[[#This Row],[Discount Amount]]</f>
        <v>240</v>
      </c>
      <c r="P675" s="4" t="str">
        <f>IF(Table1567[[#This Row],[Total Amount]]&gt;=1000,"High","Low")</f>
        <v>Low</v>
      </c>
      <c r="Q675" s="4" t="str" cm="1">
        <f t="array" ref="Q675">_xlfn.IFS(AND(Table1567[[#This Row],[Total Amount]]&gt;=1500,"Critical"),AND(Table1567[[#This Row],[Total Amount]]&gt;=1000,"High"),TRUE,"Normal")</f>
        <v>Normal</v>
      </c>
      <c r="R675" s="4" t="str">
        <f>CONCATENATE(Table1567[[#This Row],[Customer ID]], "-",Table1567[[#This Row],[Age]])</f>
        <v>CUST674-38</v>
      </c>
      <c r="S675" s="4" t="str">
        <f>TEXT(Table1567[[#This Row],[Date]],"mmm")</f>
        <v>Apr</v>
      </c>
      <c r="T675" s="4" t="str">
        <f>TEXT(Table1567[[#This Row],[Date]],"DDD")</f>
        <v>Sun</v>
      </c>
    </row>
    <row r="676" spans="1:20" ht="29" x14ac:dyDescent="0.35">
      <c r="A676" s="4">
        <v>675</v>
      </c>
      <c r="B676" s="5">
        <v>45142</v>
      </c>
      <c r="C676" s="4" t="s">
        <v>688</v>
      </c>
      <c r="D676" s="4" t="s">
        <v>13</v>
      </c>
      <c r="E676" s="4">
        <v>45</v>
      </c>
      <c r="F676" s="4" t="str">
        <f>IF(Table1567[[#This Row],[Age]]&lt;=19,"Teenager",IF(Table1567[[#This Row],[Age]]&lt;=40,"Median","Old"))</f>
        <v>Old</v>
      </c>
      <c r="G676" s="4" t="s">
        <v>14</v>
      </c>
      <c r="H676" s="4">
        <v>2</v>
      </c>
      <c r="I676" s="4">
        <v>30</v>
      </c>
      <c r="J676" s="4">
        <v>60</v>
      </c>
      <c r="K676" s="4" t="str" cm="1">
        <f t="array" ref="K676">_xlfn.IFS(AND(Table1567[[#This Row],[Total Amount]]&gt;=1500),"Critical",AND(Table1567[[#This Row],[Total Amount]]&gt;=1000),"High",TRUE,"Normal")</f>
        <v>Normal</v>
      </c>
      <c r="L676" s="4" t="str">
        <f>IF(Table1567[[#This Row],[Total Amount]]&gt;=1000,"High",(IF(Table1567[[#This Row],[Total Amount]]&gt;=500,"Medium","Low")))</f>
        <v>Low</v>
      </c>
      <c r="M676" s="4" t="str" cm="1">
        <f t="array" ref="M67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76" s="4" cm="1">
        <f t="array" ref="N67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676" s="4">
        <f>Table1567[[#This Row],[Total Amount]]-Table1567[[#This Row],[Discount Amount]]</f>
        <v>48</v>
      </c>
      <c r="P676" s="4" t="str">
        <f>IF(Table1567[[#This Row],[Total Amount]]&gt;=1000,"High","Low")</f>
        <v>Low</v>
      </c>
      <c r="Q676" s="4" t="str" cm="1">
        <f t="array" ref="Q676">_xlfn.IFS(AND(Table1567[[#This Row],[Total Amount]]&gt;=1500,"Critical"),AND(Table1567[[#This Row],[Total Amount]]&gt;=1000,"High"),TRUE,"Normal")</f>
        <v>Normal</v>
      </c>
      <c r="R676" s="4" t="str">
        <f>CONCATENATE(Table1567[[#This Row],[Customer ID]], "-",Table1567[[#This Row],[Age]])</f>
        <v>CUST675-45</v>
      </c>
      <c r="S676" s="4" t="str">
        <f>TEXT(Table1567[[#This Row],[Date]],"mmm")</f>
        <v>Aug</v>
      </c>
      <c r="T676" s="4" t="str">
        <f>TEXT(Table1567[[#This Row],[Date]],"DDD")</f>
        <v>Fri</v>
      </c>
    </row>
    <row r="677" spans="1:20" ht="29" x14ac:dyDescent="0.35">
      <c r="A677" s="4">
        <v>676</v>
      </c>
      <c r="B677" s="5">
        <v>45126</v>
      </c>
      <c r="C677" s="4" t="s">
        <v>689</v>
      </c>
      <c r="D677" s="4" t="s">
        <v>10</v>
      </c>
      <c r="E677" s="4">
        <v>63</v>
      </c>
      <c r="F677" s="4" t="str">
        <f>IF(Table1567[[#This Row],[Age]]&lt;=19,"Teenager",IF(Table1567[[#This Row],[Age]]&lt;=40,"Median","Old"))</f>
        <v>Old</v>
      </c>
      <c r="G677" s="4" t="s">
        <v>16</v>
      </c>
      <c r="H677" s="4">
        <v>3</v>
      </c>
      <c r="I677" s="4">
        <v>500</v>
      </c>
      <c r="J677" s="4">
        <v>1500</v>
      </c>
      <c r="K677" s="4" t="str" cm="1">
        <f t="array" ref="K677">_xlfn.IFS(AND(Table1567[[#This Row],[Total Amount]]&gt;=1500),"Critical",AND(Table1567[[#This Row],[Total Amount]]&gt;=1000),"High",TRUE,"Normal")</f>
        <v>Critical</v>
      </c>
      <c r="L677" s="4" t="str">
        <f>IF(Table1567[[#This Row],[Total Amount]]&gt;=1000,"High",(IF(Table1567[[#This Row],[Total Amount]]&gt;=500,"Medium","Low")))</f>
        <v>High</v>
      </c>
      <c r="M677" s="4" t="str" cm="1">
        <f t="array" ref="M67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77" s="4" cm="1">
        <f t="array" ref="N67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677" s="4">
        <f>Table1567[[#This Row],[Total Amount]]-Table1567[[#This Row],[Discount Amount]]</f>
        <v>1350</v>
      </c>
      <c r="P677" s="4" t="str">
        <f>IF(Table1567[[#This Row],[Total Amount]]&gt;=1000,"High","Low")</f>
        <v>High</v>
      </c>
      <c r="Q677" s="4" t="b" cm="1">
        <f t="array" ref="Q677">_xlfn.IFS(AND(Table1567[[#This Row],[Total Amount]]&gt;=1500,"Critical"),AND(Table1567[[#This Row],[Total Amount]]&gt;=1000,"High"),TRUE,"Normal")</f>
        <v>1</v>
      </c>
      <c r="R677" s="4" t="str">
        <f>CONCATENATE(Table1567[[#This Row],[Customer ID]], "-",Table1567[[#This Row],[Age]])</f>
        <v>CUST676-63</v>
      </c>
      <c r="S677" s="4" t="str">
        <f>TEXT(Table1567[[#This Row],[Date]],"mmm")</f>
        <v>Jul</v>
      </c>
      <c r="T677" s="4" t="str">
        <f>TEXT(Table1567[[#This Row],[Date]],"DDD")</f>
        <v>Wed</v>
      </c>
    </row>
    <row r="678" spans="1:20" ht="29" x14ac:dyDescent="0.35">
      <c r="A678" s="4">
        <v>677</v>
      </c>
      <c r="B678" s="5">
        <v>45226</v>
      </c>
      <c r="C678" s="4" t="s">
        <v>690</v>
      </c>
      <c r="D678" s="4" t="s">
        <v>13</v>
      </c>
      <c r="E678" s="4">
        <v>19</v>
      </c>
      <c r="F678" s="4" t="str">
        <f>IF(Table1567[[#This Row],[Age]]&lt;=19,"Teenager",IF(Table1567[[#This Row],[Age]]&lt;=40,"Median","Old"))</f>
        <v>Teenager</v>
      </c>
      <c r="G678" s="4" t="s">
        <v>11</v>
      </c>
      <c r="H678" s="4">
        <v>3</v>
      </c>
      <c r="I678" s="4">
        <v>500</v>
      </c>
      <c r="J678" s="4">
        <v>1500</v>
      </c>
      <c r="K678" s="4" t="str" cm="1">
        <f t="array" ref="K678">_xlfn.IFS(AND(Table1567[[#This Row],[Total Amount]]&gt;=1500),"Critical",AND(Table1567[[#This Row],[Total Amount]]&gt;=1000),"High",TRUE,"Normal")</f>
        <v>Critical</v>
      </c>
      <c r="L678" s="4" t="str">
        <f>IF(Table1567[[#This Row],[Total Amount]]&gt;=1000,"High",(IF(Table1567[[#This Row],[Total Amount]]&gt;=500,"Medium","Low")))</f>
        <v>High</v>
      </c>
      <c r="M678" s="4" t="str" cm="1">
        <f t="array" ref="M67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678" s="4" cm="1">
        <f t="array" ref="N67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678" s="4">
        <f>Table1567[[#This Row],[Total Amount]]-Table1567[[#This Row],[Discount Amount]]</f>
        <v>1500</v>
      </c>
      <c r="P678" s="4" t="str">
        <f>IF(Table1567[[#This Row],[Total Amount]]&gt;=1000,"High","Low")</f>
        <v>High</v>
      </c>
      <c r="Q678" s="4" t="b" cm="1">
        <f t="array" ref="Q678">_xlfn.IFS(AND(Table1567[[#This Row],[Total Amount]]&gt;=1500,"Critical"),AND(Table1567[[#This Row],[Total Amount]]&gt;=1000,"High"),TRUE,"Normal")</f>
        <v>1</v>
      </c>
      <c r="R678" s="4" t="str">
        <f>CONCATENATE(Table1567[[#This Row],[Customer ID]], "-",Table1567[[#This Row],[Age]])</f>
        <v>CUST677-19</v>
      </c>
      <c r="S678" s="4" t="str">
        <f>TEXT(Table1567[[#This Row],[Date]],"mmm")</f>
        <v>Oct</v>
      </c>
      <c r="T678" s="4" t="str">
        <f>TEXT(Table1567[[#This Row],[Date]],"DDD")</f>
        <v>Fri</v>
      </c>
    </row>
    <row r="679" spans="1:20" ht="29" x14ac:dyDescent="0.35">
      <c r="A679" s="4">
        <v>678</v>
      </c>
      <c r="B679" s="5">
        <v>45283</v>
      </c>
      <c r="C679" s="4" t="s">
        <v>691</v>
      </c>
      <c r="D679" s="4" t="s">
        <v>13</v>
      </c>
      <c r="E679" s="4">
        <v>60</v>
      </c>
      <c r="F679" s="4" t="str">
        <f>IF(Table1567[[#This Row],[Age]]&lt;=19,"Teenager",IF(Table1567[[#This Row],[Age]]&lt;=40,"Median","Old"))</f>
        <v>Old</v>
      </c>
      <c r="G679" s="4" t="s">
        <v>16</v>
      </c>
      <c r="H679" s="4">
        <v>3</v>
      </c>
      <c r="I679" s="4">
        <v>300</v>
      </c>
      <c r="J679" s="4">
        <v>900</v>
      </c>
      <c r="K679" s="4" t="str" cm="1">
        <f t="array" ref="K679">_xlfn.IFS(AND(Table1567[[#This Row],[Total Amount]]&gt;=1500),"Critical",AND(Table1567[[#This Row],[Total Amount]]&gt;=1000),"High",TRUE,"Normal")</f>
        <v>Normal</v>
      </c>
      <c r="L679" s="4" t="str">
        <f>IF(Table1567[[#This Row],[Total Amount]]&gt;=1000,"High",(IF(Table1567[[#This Row],[Total Amount]]&gt;=500,"Medium","Low")))</f>
        <v>Medium</v>
      </c>
      <c r="M679" s="4" t="str" cm="1">
        <f t="array" ref="M67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79" s="4" cm="1">
        <f t="array" ref="N67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679" s="4">
        <f>Table1567[[#This Row],[Total Amount]]-Table1567[[#This Row],[Discount Amount]]</f>
        <v>720</v>
      </c>
      <c r="P679" s="4" t="str">
        <f>IF(Table1567[[#This Row],[Total Amount]]&gt;=1000,"High","Low")</f>
        <v>Low</v>
      </c>
      <c r="Q679" s="4" t="str" cm="1">
        <f t="array" ref="Q679">_xlfn.IFS(AND(Table1567[[#This Row],[Total Amount]]&gt;=1500,"Critical"),AND(Table1567[[#This Row],[Total Amount]]&gt;=1000,"High"),TRUE,"Normal")</f>
        <v>Normal</v>
      </c>
      <c r="R679" s="4" t="str">
        <f>CONCATENATE(Table1567[[#This Row],[Customer ID]], "-",Table1567[[#This Row],[Age]])</f>
        <v>CUST678-60</v>
      </c>
      <c r="S679" s="4" t="str">
        <f>TEXT(Table1567[[#This Row],[Date]],"mmm")</f>
        <v>Dec</v>
      </c>
      <c r="T679" s="4" t="str">
        <f>TEXT(Table1567[[#This Row],[Date]],"DDD")</f>
        <v>Sat</v>
      </c>
    </row>
    <row r="680" spans="1:20" ht="29" x14ac:dyDescent="0.35">
      <c r="A680" s="4">
        <v>679</v>
      </c>
      <c r="B680" s="5">
        <v>44937</v>
      </c>
      <c r="C680" s="4" t="s">
        <v>692</v>
      </c>
      <c r="D680" s="4" t="s">
        <v>13</v>
      </c>
      <c r="E680" s="4">
        <v>18</v>
      </c>
      <c r="F680" s="4" t="str">
        <f>IF(Table1567[[#This Row],[Age]]&lt;=19,"Teenager",IF(Table1567[[#This Row],[Age]]&lt;=40,"Median","Old"))</f>
        <v>Teenager</v>
      </c>
      <c r="G680" s="4" t="s">
        <v>11</v>
      </c>
      <c r="H680" s="4">
        <v>3</v>
      </c>
      <c r="I680" s="4">
        <v>30</v>
      </c>
      <c r="J680" s="4">
        <v>90</v>
      </c>
      <c r="K680" s="4" t="str" cm="1">
        <f t="array" ref="K680">_xlfn.IFS(AND(Table1567[[#This Row],[Total Amount]]&gt;=1500),"Critical",AND(Table1567[[#This Row],[Total Amount]]&gt;=1000),"High",TRUE,"Normal")</f>
        <v>Normal</v>
      </c>
      <c r="L680" s="4" t="str">
        <f>IF(Table1567[[#This Row],[Total Amount]]&gt;=1000,"High",(IF(Table1567[[#This Row],[Total Amount]]&gt;=500,"Medium","Low")))</f>
        <v>Low</v>
      </c>
      <c r="M680" s="4" t="str" cm="1">
        <f t="array" ref="M68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680" s="4" cm="1">
        <f t="array" ref="N68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680" s="4">
        <f>Table1567[[#This Row],[Total Amount]]-Table1567[[#This Row],[Discount Amount]]</f>
        <v>90</v>
      </c>
      <c r="P680" s="4" t="str">
        <f>IF(Table1567[[#This Row],[Total Amount]]&gt;=1000,"High","Low")</f>
        <v>Low</v>
      </c>
      <c r="Q680" s="4" t="str" cm="1">
        <f t="array" ref="Q680">_xlfn.IFS(AND(Table1567[[#This Row],[Total Amount]]&gt;=1500,"Critical"),AND(Table1567[[#This Row],[Total Amount]]&gt;=1000,"High"),TRUE,"Normal")</f>
        <v>Normal</v>
      </c>
      <c r="R680" s="4" t="str">
        <f>CONCATENATE(Table1567[[#This Row],[Customer ID]], "-",Table1567[[#This Row],[Age]])</f>
        <v>CUST679-18</v>
      </c>
      <c r="S680" s="4" t="str">
        <f>TEXT(Table1567[[#This Row],[Date]],"mmm")</f>
        <v>Jan</v>
      </c>
      <c r="T680" s="4" t="str">
        <f>TEXT(Table1567[[#This Row],[Date]],"DDD")</f>
        <v>Wed</v>
      </c>
    </row>
    <row r="681" spans="1:20" ht="29" x14ac:dyDescent="0.35">
      <c r="A681" s="4">
        <v>680</v>
      </c>
      <c r="B681" s="5">
        <v>45221</v>
      </c>
      <c r="C681" s="4" t="s">
        <v>693</v>
      </c>
      <c r="D681" s="4" t="s">
        <v>13</v>
      </c>
      <c r="E681" s="4">
        <v>53</v>
      </c>
      <c r="F681" s="4" t="str">
        <f>IF(Table1567[[#This Row],[Age]]&lt;=19,"Teenager",IF(Table1567[[#This Row],[Age]]&lt;=40,"Median","Old"))</f>
        <v>Old</v>
      </c>
      <c r="G681" s="4" t="s">
        <v>14</v>
      </c>
      <c r="H681" s="4">
        <v>3</v>
      </c>
      <c r="I681" s="4">
        <v>300</v>
      </c>
      <c r="J681" s="4">
        <v>900</v>
      </c>
      <c r="K681" s="4" t="str" cm="1">
        <f t="array" ref="K681">_xlfn.IFS(AND(Table1567[[#This Row],[Total Amount]]&gt;=1500),"Critical",AND(Table1567[[#This Row],[Total Amount]]&gt;=1000),"High",TRUE,"Normal")</f>
        <v>Normal</v>
      </c>
      <c r="L681" s="4" t="str">
        <f>IF(Table1567[[#This Row],[Total Amount]]&gt;=1000,"High",(IF(Table1567[[#This Row],[Total Amount]]&gt;=500,"Medium","Low")))</f>
        <v>Medium</v>
      </c>
      <c r="M681" s="4" t="str" cm="1">
        <f t="array" ref="M68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81" s="4" cm="1">
        <f t="array" ref="N68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681" s="4">
        <f>Table1567[[#This Row],[Total Amount]]-Table1567[[#This Row],[Discount Amount]]</f>
        <v>720</v>
      </c>
      <c r="P681" s="4" t="str">
        <f>IF(Table1567[[#This Row],[Total Amount]]&gt;=1000,"High","Low")</f>
        <v>Low</v>
      </c>
      <c r="Q681" s="4" t="str" cm="1">
        <f t="array" ref="Q681">_xlfn.IFS(AND(Table1567[[#This Row],[Total Amount]]&gt;=1500,"Critical"),AND(Table1567[[#This Row],[Total Amount]]&gt;=1000,"High"),TRUE,"Normal")</f>
        <v>Normal</v>
      </c>
      <c r="R681" s="4" t="str">
        <f>CONCATENATE(Table1567[[#This Row],[Customer ID]], "-",Table1567[[#This Row],[Age]])</f>
        <v>CUST680-53</v>
      </c>
      <c r="S681" s="4" t="str">
        <f>TEXT(Table1567[[#This Row],[Date]],"mmm")</f>
        <v>Oct</v>
      </c>
      <c r="T681" s="4" t="str">
        <f>TEXT(Table1567[[#This Row],[Date]],"DDD")</f>
        <v>Sun</v>
      </c>
    </row>
    <row r="682" spans="1:20" ht="29" x14ac:dyDescent="0.35">
      <c r="A682" s="4">
        <v>681</v>
      </c>
      <c r="B682" s="5">
        <v>45121</v>
      </c>
      <c r="C682" s="4" t="s">
        <v>694</v>
      </c>
      <c r="D682" s="4" t="s">
        <v>13</v>
      </c>
      <c r="E682" s="4">
        <v>43</v>
      </c>
      <c r="F682" s="4" t="str">
        <f>IF(Table1567[[#This Row],[Age]]&lt;=19,"Teenager",IF(Table1567[[#This Row],[Age]]&lt;=40,"Median","Old"))</f>
        <v>Old</v>
      </c>
      <c r="G682" s="4" t="s">
        <v>16</v>
      </c>
      <c r="H682" s="4">
        <v>2</v>
      </c>
      <c r="I682" s="4">
        <v>30</v>
      </c>
      <c r="J682" s="4">
        <v>60</v>
      </c>
      <c r="K682" s="4" t="str" cm="1">
        <f t="array" ref="K682">_xlfn.IFS(AND(Table1567[[#This Row],[Total Amount]]&gt;=1500),"Critical",AND(Table1567[[#This Row],[Total Amount]]&gt;=1000),"High",TRUE,"Normal")</f>
        <v>Normal</v>
      </c>
      <c r="L682" s="4" t="str">
        <f>IF(Table1567[[#This Row],[Total Amount]]&gt;=1000,"High",(IF(Table1567[[#This Row],[Total Amount]]&gt;=500,"Medium","Low")))</f>
        <v>Low</v>
      </c>
      <c r="M682" s="4" t="str" cm="1">
        <f t="array" ref="M68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82" s="4" cm="1">
        <f t="array" ref="N68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682" s="4">
        <f>Table1567[[#This Row],[Total Amount]]-Table1567[[#This Row],[Discount Amount]]</f>
        <v>48</v>
      </c>
      <c r="P682" s="4" t="str">
        <f>IF(Table1567[[#This Row],[Total Amount]]&gt;=1000,"High","Low")</f>
        <v>Low</v>
      </c>
      <c r="Q682" s="4" t="str" cm="1">
        <f t="array" ref="Q682">_xlfn.IFS(AND(Table1567[[#This Row],[Total Amount]]&gt;=1500,"Critical"),AND(Table1567[[#This Row],[Total Amount]]&gt;=1000,"High"),TRUE,"Normal")</f>
        <v>Normal</v>
      </c>
      <c r="R682" s="4" t="str">
        <f>CONCATENATE(Table1567[[#This Row],[Customer ID]], "-",Table1567[[#This Row],[Age]])</f>
        <v>CUST681-43</v>
      </c>
      <c r="S682" s="4" t="str">
        <f>TEXT(Table1567[[#This Row],[Date]],"mmm")</f>
        <v>Jul</v>
      </c>
      <c r="T682" s="4" t="str">
        <f>TEXT(Table1567[[#This Row],[Date]],"DDD")</f>
        <v>Fri</v>
      </c>
    </row>
    <row r="683" spans="1:20" ht="29" x14ac:dyDescent="0.35">
      <c r="A683" s="4">
        <v>682</v>
      </c>
      <c r="B683" s="5">
        <v>45171</v>
      </c>
      <c r="C683" s="4" t="s">
        <v>695</v>
      </c>
      <c r="D683" s="4" t="s">
        <v>10</v>
      </c>
      <c r="E683" s="4">
        <v>46</v>
      </c>
      <c r="F683" s="4" t="str">
        <f>IF(Table1567[[#This Row],[Age]]&lt;=19,"Teenager",IF(Table1567[[#This Row],[Age]]&lt;=40,"Median","Old"))</f>
        <v>Old</v>
      </c>
      <c r="G683" s="4" t="s">
        <v>11</v>
      </c>
      <c r="H683" s="4">
        <v>4</v>
      </c>
      <c r="I683" s="4">
        <v>300</v>
      </c>
      <c r="J683" s="4">
        <v>1200</v>
      </c>
      <c r="K683" s="4" t="str" cm="1">
        <f t="array" ref="K683">_xlfn.IFS(AND(Table1567[[#This Row],[Total Amount]]&gt;=1500),"Critical",AND(Table1567[[#This Row],[Total Amount]]&gt;=1000),"High",TRUE,"Normal")</f>
        <v>High</v>
      </c>
      <c r="L683" s="4" t="str">
        <f>IF(Table1567[[#This Row],[Total Amount]]&gt;=1000,"High",(IF(Table1567[[#This Row],[Total Amount]]&gt;=500,"Medium","Low")))</f>
        <v>High</v>
      </c>
      <c r="M683" s="4" t="str" cm="1">
        <f t="array" ref="M68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83" s="4" cm="1">
        <f t="array" ref="N68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683" s="4">
        <f>Table1567[[#This Row],[Total Amount]]-Table1567[[#This Row],[Discount Amount]]</f>
        <v>1080</v>
      </c>
      <c r="P683" s="4" t="str">
        <f>IF(Table1567[[#This Row],[Total Amount]]&gt;=1000,"High","Low")</f>
        <v>High</v>
      </c>
      <c r="Q683" s="4" t="str" cm="1">
        <f t="array" ref="Q683">_xlfn.IFS(AND(Table1567[[#This Row],[Total Amount]]&gt;=1500,"Critical"),AND(Table1567[[#This Row],[Total Amount]]&gt;=1000,"High"),TRUE,"Normal")</f>
        <v>Normal</v>
      </c>
      <c r="R683" s="4" t="str">
        <f>CONCATENATE(Table1567[[#This Row],[Customer ID]], "-",Table1567[[#This Row],[Age]])</f>
        <v>CUST682-46</v>
      </c>
      <c r="S683" s="4" t="str">
        <f>TEXT(Table1567[[#This Row],[Date]],"mmm")</f>
        <v>Sep</v>
      </c>
      <c r="T683" s="4" t="str">
        <f>TEXT(Table1567[[#This Row],[Date]],"DDD")</f>
        <v>Sat</v>
      </c>
    </row>
    <row r="684" spans="1:20" ht="29" x14ac:dyDescent="0.35">
      <c r="A684" s="4">
        <v>683</v>
      </c>
      <c r="B684" s="5">
        <v>44930</v>
      </c>
      <c r="C684" s="4" t="s">
        <v>696</v>
      </c>
      <c r="D684" s="4" t="s">
        <v>10</v>
      </c>
      <c r="E684" s="4">
        <v>38</v>
      </c>
      <c r="F684" s="4" t="str">
        <f>IF(Table1567[[#This Row],[Age]]&lt;=19,"Teenager",IF(Table1567[[#This Row],[Age]]&lt;=40,"Median","Old"))</f>
        <v>Median</v>
      </c>
      <c r="G684" s="4" t="s">
        <v>11</v>
      </c>
      <c r="H684" s="4">
        <v>2</v>
      </c>
      <c r="I684" s="4">
        <v>500</v>
      </c>
      <c r="J684" s="4">
        <v>1000</v>
      </c>
      <c r="K684" s="4" t="str" cm="1">
        <f t="array" ref="K684">_xlfn.IFS(AND(Table1567[[#This Row],[Total Amount]]&gt;=1500),"Critical",AND(Table1567[[#This Row],[Total Amount]]&gt;=1000),"High",TRUE,"Normal")</f>
        <v>High</v>
      </c>
      <c r="L684" s="4" t="str">
        <f>IF(Table1567[[#This Row],[Total Amount]]&gt;=1000,"High",(IF(Table1567[[#This Row],[Total Amount]]&gt;=500,"Medium","Low")))</f>
        <v>High</v>
      </c>
      <c r="M684" s="4" t="str" cm="1">
        <f t="array" ref="M68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84" s="4" cm="1">
        <f t="array" ref="N68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684" s="4">
        <f>Table1567[[#This Row],[Total Amount]]-Table1567[[#This Row],[Discount Amount]]</f>
        <v>900</v>
      </c>
      <c r="P684" s="4" t="str">
        <f>IF(Table1567[[#This Row],[Total Amount]]&gt;=1000,"High","Low")</f>
        <v>High</v>
      </c>
      <c r="Q684" s="4" t="str" cm="1">
        <f t="array" ref="Q684">_xlfn.IFS(AND(Table1567[[#This Row],[Total Amount]]&gt;=1500,"Critical"),AND(Table1567[[#This Row],[Total Amount]]&gt;=1000,"High"),TRUE,"Normal")</f>
        <v>Normal</v>
      </c>
      <c r="R684" s="4" t="str">
        <f>CONCATENATE(Table1567[[#This Row],[Customer ID]], "-",Table1567[[#This Row],[Age]])</f>
        <v>CUST683-38</v>
      </c>
      <c r="S684" s="4" t="str">
        <f>TEXT(Table1567[[#This Row],[Date]],"mmm")</f>
        <v>Jan</v>
      </c>
      <c r="T684" s="4" t="str">
        <f>TEXT(Table1567[[#This Row],[Date]],"DDD")</f>
        <v>Wed</v>
      </c>
    </row>
    <row r="685" spans="1:20" ht="29" x14ac:dyDescent="0.35">
      <c r="A685" s="4">
        <v>684</v>
      </c>
      <c r="B685" s="5">
        <v>45107</v>
      </c>
      <c r="C685" s="4" t="s">
        <v>697</v>
      </c>
      <c r="D685" s="4" t="s">
        <v>13</v>
      </c>
      <c r="E685" s="4">
        <v>28</v>
      </c>
      <c r="F685" s="4" t="str">
        <f>IF(Table1567[[#This Row],[Age]]&lt;=19,"Teenager",IF(Table1567[[#This Row],[Age]]&lt;=40,"Median","Old"))</f>
        <v>Median</v>
      </c>
      <c r="G685" s="4" t="s">
        <v>14</v>
      </c>
      <c r="H685" s="4">
        <v>2</v>
      </c>
      <c r="I685" s="4">
        <v>500</v>
      </c>
      <c r="J685" s="4">
        <v>1000</v>
      </c>
      <c r="K685" s="4" t="str" cm="1">
        <f t="array" ref="K685">_xlfn.IFS(AND(Table1567[[#This Row],[Total Amount]]&gt;=1500),"Critical",AND(Table1567[[#This Row],[Total Amount]]&gt;=1000),"High",TRUE,"Normal")</f>
        <v>High</v>
      </c>
      <c r="L685" s="4" t="str">
        <f>IF(Table1567[[#This Row],[Total Amount]]&gt;=1000,"High",(IF(Table1567[[#This Row],[Total Amount]]&gt;=500,"Medium","Low")))</f>
        <v>High</v>
      </c>
      <c r="M685" s="4" t="str" cm="1">
        <f t="array" ref="M68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85" s="4" cm="1">
        <f t="array" ref="N68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685" s="4">
        <f>Table1567[[#This Row],[Total Amount]]-Table1567[[#This Row],[Discount Amount]]</f>
        <v>850</v>
      </c>
      <c r="P685" s="4" t="str">
        <f>IF(Table1567[[#This Row],[Total Amount]]&gt;=1000,"High","Low")</f>
        <v>High</v>
      </c>
      <c r="Q685" s="4" t="str" cm="1">
        <f t="array" ref="Q685">_xlfn.IFS(AND(Table1567[[#This Row],[Total Amount]]&gt;=1500,"Critical"),AND(Table1567[[#This Row],[Total Amount]]&gt;=1000,"High"),TRUE,"Normal")</f>
        <v>Normal</v>
      </c>
      <c r="R685" s="4" t="str">
        <f>CONCATENATE(Table1567[[#This Row],[Customer ID]], "-",Table1567[[#This Row],[Age]])</f>
        <v>CUST684-28</v>
      </c>
      <c r="S685" s="4" t="str">
        <f>TEXT(Table1567[[#This Row],[Date]],"mmm")</f>
        <v>Jun</v>
      </c>
      <c r="T685" s="4" t="str">
        <f>TEXT(Table1567[[#This Row],[Date]],"DDD")</f>
        <v>Fri</v>
      </c>
    </row>
    <row r="686" spans="1:20" ht="29" x14ac:dyDescent="0.35">
      <c r="A686" s="4">
        <v>685</v>
      </c>
      <c r="B686" s="5">
        <v>45079</v>
      </c>
      <c r="C686" s="4" t="s">
        <v>698</v>
      </c>
      <c r="D686" s="4" t="s">
        <v>10</v>
      </c>
      <c r="E686" s="4">
        <v>57</v>
      </c>
      <c r="F686" s="4" t="str">
        <f>IF(Table1567[[#This Row],[Age]]&lt;=19,"Teenager",IF(Table1567[[#This Row],[Age]]&lt;=40,"Median","Old"))</f>
        <v>Old</v>
      </c>
      <c r="G686" s="4" t="s">
        <v>16</v>
      </c>
      <c r="H686" s="4">
        <v>2</v>
      </c>
      <c r="I686" s="4">
        <v>25</v>
      </c>
      <c r="J686" s="4">
        <v>50</v>
      </c>
      <c r="K686" s="4" t="str" cm="1">
        <f t="array" ref="K686">_xlfn.IFS(AND(Table1567[[#This Row],[Total Amount]]&gt;=1500),"Critical",AND(Table1567[[#This Row],[Total Amount]]&gt;=1000),"High",TRUE,"Normal")</f>
        <v>Normal</v>
      </c>
      <c r="L686" s="4" t="str">
        <f>IF(Table1567[[#This Row],[Total Amount]]&gt;=1000,"High",(IF(Table1567[[#This Row],[Total Amount]]&gt;=500,"Medium","Low")))</f>
        <v>Low</v>
      </c>
      <c r="M686" s="4" t="str" cm="1">
        <f t="array" ref="M68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86" s="4" cm="1">
        <f t="array" ref="N68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686" s="4">
        <f>Table1567[[#This Row],[Total Amount]]-Table1567[[#This Row],[Discount Amount]]</f>
        <v>45</v>
      </c>
      <c r="P686" s="4" t="str">
        <f>IF(Table1567[[#This Row],[Total Amount]]&gt;=1000,"High","Low")</f>
        <v>Low</v>
      </c>
      <c r="Q686" s="4" t="str" cm="1">
        <f t="array" ref="Q686">_xlfn.IFS(AND(Table1567[[#This Row],[Total Amount]]&gt;=1500,"Critical"),AND(Table1567[[#This Row],[Total Amount]]&gt;=1000,"High"),TRUE,"Normal")</f>
        <v>Normal</v>
      </c>
      <c r="R686" s="4" t="str">
        <f>CONCATENATE(Table1567[[#This Row],[Customer ID]], "-",Table1567[[#This Row],[Age]])</f>
        <v>CUST685-57</v>
      </c>
      <c r="S686" s="4" t="str">
        <f>TEXT(Table1567[[#This Row],[Date]],"mmm")</f>
        <v>Jun</v>
      </c>
      <c r="T686" s="4" t="str">
        <f>TEXT(Table1567[[#This Row],[Date]],"DDD")</f>
        <v>Fri</v>
      </c>
    </row>
    <row r="687" spans="1:20" ht="29" x14ac:dyDescent="0.35">
      <c r="A687" s="4">
        <v>686</v>
      </c>
      <c r="B687" s="5">
        <v>45126</v>
      </c>
      <c r="C687" s="4" t="s">
        <v>699</v>
      </c>
      <c r="D687" s="4" t="s">
        <v>13</v>
      </c>
      <c r="E687" s="4">
        <v>28</v>
      </c>
      <c r="F687" s="4" t="str">
        <f>IF(Table1567[[#This Row],[Age]]&lt;=19,"Teenager",IF(Table1567[[#This Row],[Age]]&lt;=40,"Median","Old"))</f>
        <v>Median</v>
      </c>
      <c r="G687" s="4" t="s">
        <v>16</v>
      </c>
      <c r="H687" s="4">
        <v>4</v>
      </c>
      <c r="I687" s="4">
        <v>50</v>
      </c>
      <c r="J687" s="4">
        <v>200</v>
      </c>
      <c r="K687" s="4" t="str" cm="1">
        <f t="array" ref="K687">_xlfn.IFS(AND(Table1567[[#This Row],[Total Amount]]&gt;=1500),"Critical",AND(Table1567[[#This Row],[Total Amount]]&gt;=1000),"High",TRUE,"Normal")</f>
        <v>Normal</v>
      </c>
      <c r="L687" s="4" t="str">
        <f>IF(Table1567[[#This Row],[Total Amount]]&gt;=1000,"High",(IF(Table1567[[#This Row],[Total Amount]]&gt;=500,"Medium","Low")))</f>
        <v>Low</v>
      </c>
      <c r="M687" s="4" t="str" cm="1">
        <f t="array" ref="M68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87" s="4" cm="1">
        <f t="array" ref="N68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687" s="4">
        <f>Table1567[[#This Row],[Total Amount]]-Table1567[[#This Row],[Discount Amount]]</f>
        <v>170</v>
      </c>
      <c r="P687" s="4" t="str">
        <f>IF(Table1567[[#This Row],[Total Amount]]&gt;=1000,"High","Low")</f>
        <v>Low</v>
      </c>
      <c r="Q687" s="4" t="str" cm="1">
        <f t="array" ref="Q687">_xlfn.IFS(AND(Table1567[[#This Row],[Total Amount]]&gt;=1500,"Critical"),AND(Table1567[[#This Row],[Total Amount]]&gt;=1000,"High"),TRUE,"Normal")</f>
        <v>Normal</v>
      </c>
      <c r="R687" s="4" t="str">
        <f>CONCATENATE(Table1567[[#This Row],[Customer ID]], "-",Table1567[[#This Row],[Age]])</f>
        <v>CUST686-28</v>
      </c>
      <c r="S687" s="4" t="str">
        <f>TEXT(Table1567[[#This Row],[Date]],"mmm")</f>
        <v>Jul</v>
      </c>
      <c r="T687" s="4" t="str">
        <f>TEXT(Table1567[[#This Row],[Date]],"DDD")</f>
        <v>Wed</v>
      </c>
    </row>
    <row r="688" spans="1:20" ht="29" x14ac:dyDescent="0.35">
      <c r="A688" s="4">
        <v>687</v>
      </c>
      <c r="B688" s="5">
        <v>45141</v>
      </c>
      <c r="C688" s="4" t="s">
        <v>700</v>
      </c>
      <c r="D688" s="4" t="s">
        <v>13</v>
      </c>
      <c r="E688" s="4">
        <v>53</v>
      </c>
      <c r="F688" s="4" t="str">
        <f>IF(Table1567[[#This Row],[Age]]&lt;=19,"Teenager",IF(Table1567[[#This Row],[Age]]&lt;=40,"Median","Old"))</f>
        <v>Old</v>
      </c>
      <c r="G688" s="4" t="s">
        <v>16</v>
      </c>
      <c r="H688" s="4">
        <v>1</v>
      </c>
      <c r="I688" s="4">
        <v>300</v>
      </c>
      <c r="J688" s="4">
        <v>300</v>
      </c>
      <c r="K688" s="4" t="str" cm="1">
        <f t="array" ref="K688">_xlfn.IFS(AND(Table1567[[#This Row],[Total Amount]]&gt;=1500),"Critical",AND(Table1567[[#This Row],[Total Amount]]&gt;=1000),"High",TRUE,"Normal")</f>
        <v>Normal</v>
      </c>
      <c r="L688" s="4" t="str">
        <f>IF(Table1567[[#This Row],[Total Amount]]&gt;=1000,"High",(IF(Table1567[[#This Row],[Total Amount]]&gt;=500,"Medium","Low")))</f>
        <v>Low</v>
      </c>
      <c r="M688" s="4" t="str" cm="1">
        <f t="array" ref="M68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88" s="4" cm="1">
        <f t="array" ref="N68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688" s="4">
        <f>Table1567[[#This Row],[Total Amount]]-Table1567[[#This Row],[Discount Amount]]</f>
        <v>240</v>
      </c>
      <c r="P688" s="4" t="str">
        <f>IF(Table1567[[#This Row],[Total Amount]]&gt;=1000,"High","Low")</f>
        <v>Low</v>
      </c>
      <c r="Q688" s="4" t="str" cm="1">
        <f t="array" ref="Q688">_xlfn.IFS(AND(Table1567[[#This Row],[Total Amount]]&gt;=1500,"Critical"),AND(Table1567[[#This Row],[Total Amount]]&gt;=1000,"High"),TRUE,"Normal")</f>
        <v>Normal</v>
      </c>
      <c r="R688" s="4" t="str">
        <f>CONCATENATE(Table1567[[#This Row],[Customer ID]], "-",Table1567[[#This Row],[Age]])</f>
        <v>CUST687-53</v>
      </c>
      <c r="S688" s="4" t="str">
        <f>TEXT(Table1567[[#This Row],[Date]],"mmm")</f>
        <v>Aug</v>
      </c>
      <c r="T688" s="4" t="str">
        <f>TEXT(Table1567[[#This Row],[Date]],"DDD")</f>
        <v>Thu</v>
      </c>
    </row>
    <row r="689" spans="1:20" ht="29" x14ac:dyDescent="0.35">
      <c r="A689" s="4">
        <v>688</v>
      </c>
      <c r="B689" s="5">
        <v>45202</v>
      </c>
      <c r="C689" s="4" t="s">
        <v>701</v>
      </c>
      <c r="D689" s="4" t="s">
        <v>10</v>
      </c>
      <c r="E689" s="4">
        <v>56</v>
      </c>
      <c r="F689" s="4" t="str">
        <f>IF(Table1567[[#This Row],[Age]]&lt;=19,"Teenager",IF(Table1567[[#This Row],[Age]]&lt;=40,"Median","Old"))</f>
        <v>Old</v>
      </c>
      <c r="G689" s="4" t="s">
        <v>14</v>
      </c>
      <c r="H689" s="4">
        <v>4</v>
      </c>
      <c r="I689" s="4">
        <v>25</v>
      </c>
      <c r="J689" s="4">
        <v>100</v>
      </c>
      <c r="K689" s="4" t="str" cm="1">
        <f t="array" ref="K689">_xlfn.IFS(AND(Table1567[[#This Row],[Total Amount]]&gt;=1500),"Critical",AND(Table1567[[#This Row],[Total Amount]]&gt;=1000),"High",TRUE,"Normal")</f>
        <v>Normal</v>
      </c>
      <c r="L689" s="4" t="str">
        <f>IF(Table1567[[#This Row],[Total Amount]]&gt;=1000,"High",(IF(Table1567[[#This Row],[Total Amount]]&gt;=500,"Medium","Low")))</f>
        <v>Low</v>
      </c>
      <c r="M689" s="4" t="str" cm="1">
        <f t="array" ref="M68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89" s="4" cm="1">
        <f t="array" ref="N68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689" s="4">
        <f>Table1567[[#This Row],[Total Amount]]-Table1567[[#This Row],[Discount Amount]]</f>
        <v>90</v>
      </c>
      <c r="P689" s="4" t="str">
        <f>IF(Table1567[[#This Row],[Total Amount]]&gt;=1000,"High","Low")</f>
        <v>Low</v>
      </c>
      <c r="Q689" s="4" t="str" cm="1">
        <f t="array" ref="Q689">_xlfn.IFS(AND(Table1567[[#This Row],[Total Amount]]&gt;=1500,"Critical"),AND(Table1567[[#This Row],[Total Amount]]&gt;=1000,"High"),TRUE,"Normal")</f>
        <v>Normal</v>
      </c>
      <c r="R689" s="4" t="str">
        <f>CONCATENATE(Table1567[[#This Row],[Customer ID]], "-",Table1567[[#This Row],[Age]])</f>
        <v>CUST688-56</v>
      </c>
      <c r="S689" s="4" t="str">
        <f>TEXT(Table1567[[#This Row],[Date]],"mmm")</f>
        <v>Oct</v>
      </c>
      <c r="T689" s="4" t="str">
        <f>TEXT(Table1567[[#This Row],[Date]],"DDD")</f>
        <v>Tue</v>
      </c>
    </row>
    <row r="690" spans="1:20" ht="29" x14ac:dyDescent="0.35">
      <c r="A690" s="4">
        <v>689</v>
      </c>
      <c r="B690" s="5">
        <v>45206</v>
      </c>
      <c r="C690" s="4" t="s">
        <v>702</v>
      </c>
      <c r="D690" s="4" t="s">
        <v>10</v>
      </c>
      <c r="E690" s="4">
        <v>57</v>
      </c>
      <c r="F690" s="4" t="str">
        <f>IF(Table1567[[#This Row],[Age]]&lt;=19,"Teenager",IF(Table1567[[#This Row],[Age]]&lt;=40,"Median","Old"))</f>
        <v>Old</v>
      </c>
      <c r="G690" s="4" t="s">
        <v>16</v>
      </c>
      <c r="H690" s="4">
        <v>2</v>
      </c>
      <c r="I690" s="4">
        <v>50</v>
      </c>
      <c r="J690" s="4">
        <v>100</v>
      </c>
      <c r="K690" s="4" t="str" cm="1">
        <f t="array" ref="K690">_xlfn.IFS(AND(Table1567[[#This Row],[Total Amount]]&gt;=1500),"Critical",AND(Table1567[[#This Row],[Total Amount]]&gt;=1000),"High",TRUE,"Normal")</f>
        <v>Normal</v>
      </c>
      <c r="L690" s="4" t="str">
        <f>IF(Table1567[[#This Row],[Total Amount]]&gt;=1000,"High",(IF(Table1567[[#This Row],[Total Amount]]&gt;=500,"Medium","Low")))</f>
        <v>Low</v>
      </c>
      <c r="M690" s="4" t="str" cm="1">
        <f t="array" ref="M69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90" s="4" cm="1">
        <f t="array" ref="N69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690" s="4">
        <f>Table1567[[#This Row],[Total Amount]]-Table1567[[#This Row],[Discount Amount]]</f>
        <v>90</v>
      </c>
      <c r="P690" s="4" t="str">
        <f>IF(Table1567[[#This Row],[Total Amount]]&gt;=1000,"High","Low")</f>
        <v>Low</v>
      </c>
      <c r="Q690" s="4" t="str" cm="1">
        <f t="array" ref="Q690">_xlfn.IFS(AND(Table1567[[#This Row],[Total Amount]]&gt;=1500,"Critical"),AND(Table1567[[#This Row],[Total Amount]]&gt;=1000,"High"),TRUE,"Normal")</f>
        <v>Normal</v>
      </c>
      <c r="R690" s="4" t="str">
        <f>CONCATENATE(Table1567[[#This Row],[Customer ID]], "-",Table1567[[#This Row],[Age]])</f>
        <v>CUST689-57</v>
      </c>
      <c r="S690" s="4" t="str">
        <f>TEXT(Table1567[[#This Row],[Date]],"mmm")</f>
        <v>Oct</v>
      </c>
      <c r="T690" s="4" t="str">
        <f>TEXT(Table1567[[#This Row],[Date]],"DDD")</f>
        <v>Sat</v>
      </c>
    </row>
    <row r="691" spans="1:20" ht="29" x14ac:dyDescent="0.35">
      <c r="A691" s="4">
        <v>690</v>
      </c>
      <c r="B691" s="5">
        <v>45235</v>
      </c>
      <c r="C691" s="4" t="s">
        <v>703</v>
      </c>
      <c r="D691" s="4" t="s">
        <v>13</v>
      </c>
      <c r="E691" s="4">
        <v>52</v>
      </c>
      <c r="F691" s="4" t="str">
        <f>IF(Table1567[[#This Row],[Age]]&lt;=19,"Teenager",IF(Table1567[[#This Row],[Age]]&lt;=40,"Median","Old"))</f>
        <v>Old</v>
      </c>
      <c r="G691" s="4" t="s">
        <v>14</v>
      </c>
      <c r="H691" s="4">
        <v>3</v>
      </c>
      <c r="I691" s="4">
        <v>300</v>
      </c>
      <c r="J691" s="4">
        <v>900</v>
      </c>
      <c r="K691" s="4" t="str" cm="1">
        <f t="array" ref="K691">_xlfn.IFS(AND(Table1567[[#This Row],[Total Amount]]&gt;=1500),"Critical",AND(Table1567[[#This Row],[Total Amount]]&gt;=1000),"High",TRUE,"Normal")</f>
        <v>Normal</v>
      </c>
      <c r="L691" s="4" t="str">
        <f>IF(Table1567[[#This Row],[Total Amount]]&gt;=1000,"High",(IF(Table1567[[#This Row],[Total Amount]]&gt;=500,"Medium","Low")))</f>
        <v>Medium</v>
      </c>
      <c r="M691" s="4" t="str" cm="1">
        <f t="array" ref="M69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91" s="4" cm="1">
        <f t="array" ref="N69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691" s="4">
        <f>Table1567[[#This Row],[Total Amount]]-Table1567[[#This Row],[Discount Amount]]</f>
        <v>720</v>
      </c>
      <c r="P691" s="4" t="str">
        <f>IF(Table1567[[#This Row],[Total Amount]]&gt;=1000,"High","Low")</f>
        <v>Low</v>
      </c>
      <c r="Q691" s="4" t="str" cm="1">
        <f t="array" ref="Q691">_xlfn.IFS(AND(Table1567[[#This Row],[Total Amount]]&gt;=1500,"Critical"),AND(Table1567[[#This Row],[Total Amount]]&gt;=1000,"High"),TRUE,"Normal")</f>
        <v>Normal</v>
      </c>
      <c r="R691" s="4" t="str">
        <f>CONCATENATE(Table1567[[#This Row],[Customer ID]], "-",Table1567[[#This Row],[Age]])</f>
        <v>CUST690-52</v>
      </c>
      <c r="S691" s="4" t="str">
        <f>TEXT(Table1567[[#This Row],[Date]],"mmm")</f>
        <v>Nov</v>
      </c>
      <c r="T691" s="4" t="str">
        <f>TEXT(Table1567[[#This Row],[Date]],"DDD")</f>
        <v>Sun</v>
      </c>
    </row>
    <row r="692" spans="1:20" ht="29" x14ac:dyDescent="0.35">
      <c r="A692" s="4">
        <v>691</v>
      </c>
      <c r="B692" s="5">
        <v>45039</v>
      </c>
      <c r="C692" s="4" t="s">
        <v>704</v>
      </c>
      <c r="D692" s="4" t="s">
        <v>13</v>
      </c>
      <c r="E692" s="4">
        <v>51</v>
      </c>
      <c r="F692" s="4" t="str">
        <f>IF(Table1567[[#This Row],[Age]]&lt;=19,"Teenager",IF(Table1567[[#This Row],[Age]]&lt;=40,"Median","Old"))</f>
        <v>Old</v>
      </c>
      <c r="G692" s="4" t="s">
        <v>14</v>
      </c>
      <c r="H692" s="4">
        <v>3</v>
      </c>
      <c r="I692" s="4">
        <v>30</v>
      </c>
      <c r="J692" s="4">
        <v>90</v>
      </c>
      <c r="K692" s="4" t="str" cm="1">
        <f t="array" ref="K692">_xlfn.IFS(AND(Table1567[[#This Row],[Total Amount]]&gt;=1500),"Critical",AND(Table1567[[#This Row],[Total Amount]]&gt;=1000),"High",TRUE,"Normal")</f>
        <v>Normal</v>
      </c>
      <c r="L692" s="4" t="str">
        <f>IF(Table1567[[#This Row],[Total Amount]]&gt;=1000,"High",(IF(Table1567[[#This Row],[Total Amount]]&gt;=500,"Medium","Low")))</f>
        <v>Low</v>
      </c>
      <c r="M692" s="4" t="str" cm="1">
        <f t="array" ref="M69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92" s="4" cm="1">
        <f t="array" ref="N69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692" s="4">
        <f>Table1567[[#This Row],[Total Amount]]-Table1567[[#This Row],[Discount Amount]]</f>
        <v>72</v>
      </c>
      <c r="P692" s="4" t="str">
        <f>IF(Table1567[[#This Row],[Total Amount]]&gt;=1000,"High","Low")</f>
        <v>Low</v>
      </c>
      <c r="Q692" s="4" t="str" cm="1">
        <f t="array" ref="Q692">_xlfn.IFS(AND(Table1567[[#This Row],[Total Amount]]&gt;=1500,"Critical"),AND(Table1567[[#This Row],[Total Amount]]&gt;=1000,"High"),TRUE,"Normal")</f>
        <v>Normal</v>
      </c>
      <c r="R692" s="4" t="str">
        <f>CONCATENATE(Table1567[[#This Row],[Customer ID]], "-",Table1567[[#This Row],[Age]])</f>
        <v>CUST691-51</v>
      </c>
      <c r="S692" s="4" t="str">
        <f>TEXT(Table1567[[#This Row],[Date]],"mmm")</f>
        <v>Apr</v>
      </c>
      <c r="T692" s="4" t="str">
        <f>TEXT(Table1567[[#This Row],[Date]],"DDD")</f>
        <v>Sun</v>
      </c>
    </row>
    <row r="693" spans="1:20" ht="29" x14ac:dyDescent="0.35">
      <c r="A693" s="4">
        <v>692</v>
      </c>
      <c r="B693" s="5">
        <v>45176</v>
      </c>
      <c r="C693" s="4" t="s">
        <v>705</v>
      </c>
      <c r="D693" s="4" t="s">
        <v>13</v>
      </c>
      <c r="E693" s="4">
        <v>64</v>
      </c>
      <c r="F693" s="4" t="str">
        <f>IF(Table1567[[#This Row],[Age]]&lt;=19,"Teenager",IF(Table1567[[#This Row],[Age]]&lt;=40,"Median","Old"))</f>
        <v>Old</v>
      </c>
      <c r="G693" s="4" t="s">
        <v>14</v>
      </c>
      <c r="H693" s="4">
        <v>2</v>
      </c>
      <c r="I693" s="4">
        <v>50</v>
      </c>
      <c r="J693" s="4">
        <v>100</v>
      </c>
      <c r="K693" s="4" t="str" cm="1">
        <f t="array" ref="K693">_xlfn.IFS(AND(Table1567[[#This Row],[Total Amount]]&gt;=1500),"Critical",AND(Table1567[[#This Row],[Total Amount]]&gt;=1000),"High",TRUE,"Normal")</f>
        <v>Normal</v>
      </c>
      <c r="L693" s="4" t="str">
        <f>IF(Table1567[[#This Row],[Total Amount]]&gt;=1000,"High",(IF(Table1567[[#This Row],[Total Amount]]&gt;=500,"Medium","Low")))</f>
        <v>Low</v>
      </c>
      <c r="M693" s="4" t="str" cm="1">
        <f t="array" ref="M69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93" s="4" cm="1">
        <f t="array" ref="N69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693" s="4">
        <f>Table1567[[#This Row],[Total Amount]]-Table1567[[#This Row],[Discount Amount]]</f>
        <v>80</v>
      </c>
      <c r="P693" s="4" t="str">
        <f>IF(Table1567[[#This Row],[Total Amount]]&gt;=1000,"High","Low")</f>
        <v>Low</v>
      </c>
      <c r="Q693" s="4" t="str" cm="1">
        <f t="array" ref="Q693">_xlfn.IFS(AND(Table1567[[#This Row],[Total Amount]]&gt;=1500,"Critical"),AND(Table1567[[#This Row],[Total Amount]]&gt;=1000,"High"),TRUE,"Normal")</f>
        <v>Normal</v>
      </c>
      <c r="R693" s="4" t="str">
        <f>CONCATENATE(Table1567[[#This Row],[Customer ID]], "-",Table1567[[#This Row],[Age]])</f>
        <v>CUST692-64</v>
      </c>
      <c r="S693" s="4" t="str">
        <f>TEXT(Table1567[[#This Row],[Date]],"mmm")</f>
        <v>Sep</v>
      </c>
      <c r="T693" s="4" t="str">
        <f>TEXT(Table1567[[#This Row],[Date]],"DDD")</f>
        <v>Thu</v>
      </c>
    </row>
    <row r="694" spans="1:20" ht="29" x14ac:dyDescent="0.35">
      <c r="A694" s="4">
        <v>693</v>
      </c>
      <c r="B694" s="5">
        <v>45039</v>
      </c>
      <c r="C694" s="4" t="s">
        <v>706</v>
      </c>
      <c r="D694" s="4" t="s">
        <v>10</v>
      </c>
      <c r="E694" s="4">
        <v>41</v>
      </c>
      <c r="F694" s="4" t="str">
        <f>IF(Table1567[[#This Row],[Age]]&lt;=19,"Teenager",IF(Table1567[[#This Row],[Age]]&lt;=40,"Median","Old"))</f>
        <v>Old</v>
      </c>
      <c r="G694" s="4" t="s">
        <v>11</v>
      </c>
      <c r="H694" s="4">
        <v>3</v>
      </c>
      <c r="I694" s="4">
        <v>500</v>
      </c>
      <c r="J694" s="4">
        <v>1500</v>
      </c>
      <c r="K694" s="4" t="str" cm="1">
        <f t="array" ref="K694">_xlfn.IFS(AND(Table1567[[#This Row],[Total Amount]]&gt;=1500),"Critical",AND(Table1567[[#This Row],[Total Amount]]&gt;=1000),"High",TRUE,"Normal")</f>
        <v>Critical</v>
      </c>
      <c r="L694" s="4" t="str">
        <f>IF(Table1567[[#This Row],[Total Amount]]&gt;=1000,"High",(IF(Table1567[[#This Row],[Total Amount]]&gt;=500,"Medium","Low")))</f>
        <v>High</v>
      </c>
      <c r="M694" s="4" t="str" cm="1">
        <f t="array" ref="M69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94" s="4" cm="1">
        <f t="array" ref="N69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694" s="4">
        <f>Table1567[[#This Row],[Total Amount]]-Table1567[[#This Row],[Discount Amount]]</f>
        <v>1350</v>
      </c>
      <c r="P694" s="4" t="str">
        <f>IF(Table1567[[#This Row],[Total Amount]]&gt;=1000,"High","Low")</f>
        <v>High</v>
      </c>
      <c r="Q694" s="4" t="b" cm="1">
        <f t="array" ref="Q694">_xlfn.IFS(AND(Table1567[[#This Row],[Total Amount]]&gt;=1500,"Critical"),AND(Table1567[[#This Row],[Total Amount]]&gt;=1000,"High"),TRUE,"Normal")</f>
        <v>1</v>
      </c>
      <c r="R694" s="4" t="str">
        <f>CONCATENATE(Table1567[[#This Row],[Customer ID]], "-",Table1567[[#This Row],[Age]])</f>
        <v>CUST693-41</v>
      </c>
      <c r="S694" s="4" t="str">
        <f>TEXT(Table1567[[#This Row],[Date]],"mmm")</f>
        <v>Apr</v>
      </c>
      <c r="T694" s="4" t="str">
        <f>TEXT(Table1567[[#This Row],[Date]],"DDD")</f>
        <v>Sun</v>
      </c>
    </row>
    <row r="695" spans="1:20" ht="29" x14ac:dyDescent="0.35">
      <c r="A695" s="4">
        <v>694</v>
      </c>
      <c r="B695" s="5">
        <v>45066</v>
      </c>
      <c r="C695" s="4" t="s">
        <v>707</v>
      </c>
      <c r="D695" s="4" t="s">
        <v>13</v>
      </c>
      <c r="E695" s="4">
        <v>39</v>
      </c>
      <c r="F695" s="4" t="str">
        <f>IF(Table1567[[#This Row],[Age]]&lt;=19,"Teenager",IF(Table1567[[#This Row],[Age]]&lt;=40,"Median","Old"))</f>
        <v>Median</v>
      </c>
      <c r="G695" s="4" t="s">
        <v>16</v>
      </c>
      <c r="H695" s="4">
        <v>2</v>
      </c>
      <c r="I695" s="4">
        <v>25</v>
      </c>
      <c r="J695" s="4">
        <v>50</v>
      </c>
      <c r="K695" s="4" t="str" cm="1">
        <f t="array" ref="K695">_xlfn.IFS(AND(Table1567[[#This Row],[Total Amount]]&gt;=1500),"Critical",AND(Table1567[[#This Row],[Total Amount]]&gt;=1000),"High",TRUE,"Normal")</f>
        <v>Normal</v>
      </c>
      <c r="L695" s="4" t="str">
        <f>IF(Table1567[[#This Row],[Total Amount]]&gt;=1000,"High",(IF(Table1567[[#This Row],[Total Amount]]&gt;=500,"Medium","Low")))</f>
        <v>Low</v>
      </c>
      <c r="M695" s="4" t="str" cm="1">
        <f t="array" ref="M69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95" s="4" cm="1">
        <f t="array" ref="N69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695" s="4">
        <f>Table1567[[#This Row],[Total Amount]]-Table1567[[#This Row],[Discount Amount]]</f>
        <v>40</v>
      </c>
      <c r="P695" s="4" t="str">
        <f>IF(Table1567[[#This Row],[Total Amount]]&gt;=1000,"High","Low")</f>
        <v>Low</v>
      </c>
      <c r="Q695" s="4" t="str" cm="1">
        <f t="array" ref="Q695">_xlfn.IFS(AND(Table1567[[#This Row],[Total Amount]]&gt;=1500,"Critical"),AND(Table1567[[#This Row],[Total Amount]]&gt;=1000,"High"),TRUE,"Normal")</f>
        <v>Normal</v>
      </c>
      <c r="R695" s="4" t="str">
        <f>CONCATENATE(Table1567[[#This Row],[Customer ID]], "-",Table1567[[#This Row],[Age]])</f>
        <v>CUST694-39</v>
      </c>
      <c r="S695" s="4" t="str">
        <f>TEXT(Table1567[[#This Row],[Date]],"mmm")</f>
        <v>May</v>
      </c>
      <c r="T695" s="4" t="str">
        <f>TEXT(Table1567[[#This Row],[Date]],"DDD")</f>
        <v>Sat</v>
      </c>
    </row>
    <row r="696" spans="1:20" ht="29" x14ac:dyDescent="0.35">
      <c r="A696" s="4">
        <v>695</v>
      </c>
      <c r="B696" s="5">
        <v>45150</v>
      </c>
      <c r="C696" s="4" t="s">
        <v>708</v>
      </c>
      <c r="D696" s="4" t="s">
        <v>13</v>
      </c>
      <c r="E696" s="4">
        <v>22</v>
      </c>
      <c r="F696" s="4" t="str">
        <f>IF(Table1567[[#This Row],[Age]]&lt;=19,"Teenager",IF(Table1567[[#This Row],[Age]]&lt;=40,"Median","Old"))</f>
        <v>Median</v>
      </c>
      <c r="G696" s="4" t="s">
        <v>16</v>
      </c>
      <c r="H696" s="4">
        <v>3</v>
      </c>
      <c r="I696" s="4">
        <v>50</v>
      </c>
      <c r="J696" s="4">
        <v>150</v>
      </c>
      <c r="K696" s="4" t="str" cm="1">
        <f t="array" ref="K696">_xlfn.IFS(AND(Table1567[[#This Row],[Total Amount]]&gt;=1500),"Critical",AND(Table1567[[#This Row],[Total Amount]]&gt;=1000),"High",TRUE,"Normal")</f>
        <v>Normal</v>
      </c>
      <c r="L696" s="4" t="str">
        <f>IF(Table1567[[#This Row],[Total Amount]]&gt;=1000,"High",(IF(Table1567[[#This Row],[Total Amount]]&gt;=500,"Medium","Low")))</f>
        <v>Low</v>
      </c>
      <c r="M696" s="4" t="str" cm="1">
        <f t="array" ref="M69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696" s="4" cm="1">
        <f t="array" ref="N69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696" s="4">
        <f>Table1567[[#This Row],[Total Amount]]-Table1567[[#This Row],[Discount Amount]]</f>
        <v>150</v>
      </c>
      <c r="P696" s="4" t="str">
        <f>IF(Table1567[[#This Row],[Total Amount]]&gt;=1000,"High","Low")</f>
        <v>Low</v>
      </c>
      <c r="Q696" s="4" t="str" cm="1">
        <f t="array" ref="Q696">_xlfn.IFS(AND(Table1567[[#This Row],[Total Amount]]&gt;=1500,"Critical"),AND(Table1567[[#This Row],[Total Amount]]&gt;=1000,"High"),TRUE,"Normal")</f>
        <v>Normal</v>
      </c>
      <c r="R696" s="4" t="str">
        <f>CONCATENATE(Table1567[[#This Row],[Customer ID]], "-",Table1567[[#This Row],[Age]])</f>
        <v>CUST695-22</v>
      </c>
      <c r="S696" s="4" t="str">
        <f>TEXT(Table1567[[#This Row],[Date]],"mmm")</f>
        <v>Aug</v>
      </c>
      <c r="T696" s="4" t="str">
        <f>TEXT(Table1567[[#This Row],[Date]],"DDD")</f>
        <v>Sat</v>
      </c>
    </row>
    <row r="697" spans="1:20" ht="29" x14ac:dyDescent="0.35">
      <c r="A697" s="4">
        <v>696</v>
      </c>
      <c r="B697" s="5">
        <v>45175</v>
      </c>
      <c r="C697" s="4" t="s">
        <v>709</v>
      </c>
      <c r="D697" s="4" t="s">
        <v>13</v>
      </c>
      <c r="E697" s="4">
        <v>50</v>
      </c>
      <c r="F697" s="4" t="str">
        <f>IF(Table1567[[#This Row],[Age]]&lt;=19,"Teenager",IF(Table1567[[#This Row],[Age]]&lt;=40,"Median","Old"))</f>
        <v>Old</v>
      </c>
      <c r="G697" s="4" t="s">
        <v>14</v>
      </c>
      <c r="H697" s="4">
        <v>4</v>
      </c>
      <c r="I697" s="4">
        <v>50</v>
      </c>
      <c r="J697" s="4">
        <v>200</v>
      </c>
      <c r="K697" s="4" t="str" cm="1">
        <f t="array" ref="K697">_xlfn.IFS(AND(Table1567[[#This Row],[Total Amount]]&gt;=1500),"Critical",AND(Table1567[[#This Row],[Total Amount]]&gt;=1000),"High",TRUE,"Normal")</f>
        <v>Normal</v>
      </c>
      <c r="L697" s="4" t="str">
        <f>IF(Table1567[[#This Row],[Total Amount]]&gt;=1000,"High",(IF(Table1567[[#This Row],[Total Amount]]&gt;=500,"Medium","Low")))</f>
        <v>Low</v>
      </c>
      <c r="M697" s="4" t="str" cm="1">
        <f t="array" ref="M69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97" s="4" cm="1">
        <f t="array" ref="N69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</v>
      </c>
      <c r="O697" s="4">
        <f>Table1567[[#This Row],[Total Amount]]-Table1567[[#This Row],[Discount Amount]]</f>
        <v>160</v>
      </c>
      <c r="P697" s="4" t="str">
        <f>IF(Table1567[[#This Row],[Total Amount]]&gt;=1000,"High","Low")</f>
        <v>Low</v>
      </c>
      <c r="Q697" s="4" t="str" cm="1">
        <f t="array" ref="Q697">_xlfn.IFS(AND(Table1567[[#This Row],[Total Amount]]&gt;=1500,"Critical"),AND(Table1567[[#This Row],[Total Amount]]&gt;=1000,"High"),TRUE,"Normal")</f>
        <v>Normal</v>
      </c>
      <c r="R697" s="4" t="str">
        <f>CONCATENATE(Table1567[[#This Row],[Customer ID]], "-",Table1567[[#This Row],[Age]])</f>
        <v>CUST696-50</v>
      </c>
      <c r="S697" s="4" t="str">
        <f>TEXT(Table1567[[#This Row],[Date]],"mmm")</f>
        <v>Sep</v>
      </c>
      <c r="T697" s="4" t="str">
        <f>TEXT(Table1567[[#This Row],[Date]],"DDD")</f>
        <v>Wed</v>
      </c>
    </row>
    <row r="698" spans="1:20" ht="29" x14ac:dyDescent="0.35">
      <c r="A698" s="4">
        <v>697</v>
      </c>
      <c r="B698" s="5">
        <v>44941</v>
      </c>
      <c r="C698" s="4" t="s">
        <v>710</v>
      </c>
      <c r="D698" s="4" t="s">
        <v>10</v>
      </c>
      <c r="E698" s="4">
        <v>53</v>
      </c>
      <c r="F698" s="4" t="str">
        <f>IF(Table1567[[#This Row],[Age]]&lt;=19,"Teenager",IF(Table1567[[#This Row],[Age]]&lt;=40,"Median","Old"))</f>
        <v>Old</v>
      </c>
      <c r="G698" s="4" t="s">
        <v>14</v>
      </c>
      <c r="H698" s="4">
        <v>1</v>
      </c>
      <c r="I698" s="4">
        <v>500</v>
      </c>
      <c r="J698" s="4">
        <v>500</v>
      </c>
      <c r="K698" s="4" t="str" cm="1">
        <f t="array" ref="K698">_xlfn.IFS(AND(Table1567[[#This Row],[Total Amount]]&gt;=1500),"Critical",AND(Table1567[[#This Row],[Total Amount]]&gt;=1000),"High",TRUE,"Normal")</f>
        <v>Normal</v>
      </c>
      <c r="L698" s="4" t="str">
        <f>IF(Table1567[[#This Row],[Total Amount]]&gt;=1000,"High",(IF(Table1567[[#This Row],[Total Amount]]&gt;=500,"Medium","Low")))</f>
        <v>Medium</v>
      </c>
      <c r="M698" s="4" t="str" cm="1">
        <f t="array" ref="M69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98" s="4" cm="1">
        <f t="array" ref="N69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50</v>
      </c>
      <c r="O698" s="4">
        <f>Table1567[[#This Row],[Total Amount]]-Table1567[[#This Row],[Discount Amount]]</f>
        <v>450</v>
      </c>
      <c r="P698" s="4" t="str">
        <f>IF(Table1567[[#This Row],[Total Amount]]&gt;=1000,"High","Low")</f>
        <v>Low</v>
      </c>
      <c r="Q698" s="4" t="str" cm="1">
        <f t="array" ref="Q698">_xlfn.IFS(AND(Table1567[[#This Row],[Total Amount]]&gt;=1500,"Critical"),AND(Table1567[[#This Row],[Total Amount]]&gt;=1000,"High"),TRUE,"Normal")</f>
        <v>Normal</v>
      </c>
      <c r="R698" s="4" t="str">
        <f>CONCATENATE(Table1567[[#This Row],[Customer ID]], "-",Table1567[[#This Row],[Age]])</f>
        <v>CUST697-53</v>
      </c>
      <c r="S698" s="4" t="str">
        <f>TEXT(Table1567[[#This Row],[Date]],"mmm")</f>
        <v>Jan</v>
      </c>
      <c r="T698" s="4" t="str">
        <f>TEXT(Table1567[[#This Row],[Date]],"DDD")</f>
        <v>Sun</v>
      </c>
    </row>
    <row r="699" spans="1:20" ht="29" x14ac:dyDescent="0.35">
      <c r="A699" s="4">
        <v>698</v>
      </c>
      <c r="B699" s="5">
        <v>45126</v>
      </c>
      <c r="C699" s="4" t="s">
        <v>711</v>
      </c>
      <c r="D699" s="4" t="s">
        <v>13</v>
      </c>
      <c r="E699" s="4">
        <v>64</v>
      </c>
      <c r="F699" s="4" t="str">
        <f>IF(Table1567[[#This Row],[Age]]&lt;=19,"Teenager",IF(Table1567[[#This Row],[Age]]&lt;=40,"Median","Old"))</f>
        <v>Old</v>
      </c>
      <c r="G699" s="4" t="s">
        <v>16</v>
      </c>
      <c r="H699" s="4">
        <v>1</v>
      </c>
      <c r="I699" s="4">
        <v>300</v>
      </c>
      <c r="J699" s="4">
        <v>300</v>
      </c>
      <c r="K699" s="4" t="str" cm="1">
        <f t="array" ref="K699">_xlfn.IFS(AND(Table1567[[#This Row],[Total Amount]]&gt;=1500),"Critical",AND(Table1567[[#This Row],[Total Amount]]&gt;=1000),"High",TRUE,"Normal")</f>
        <v>Normal</v>
      </c>
      <c r="L699" s="4" t="str">
        <f>IF(Table1567[[#This Row],[Total Amount]]&gt;=1000,"High",(IF(Table1567[[#This Row],[Total Amount]]&gt;=500,"Medium","Low")))</f>
        <v>Low</v>
      </c>
      <c r="M699" s="4" t="str" cm="1">
        <f t="array" ref="M69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99" s="4" cm="1">
        <f t="array" ref="N69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699" s="4">
        <f>Table1567[[#This Row],[Total Amount]]-Table1567[[#This Row],[Discount Amount]]</f>
        <v>240</v>
      </c>
      <c r="P699" s="4" t="str">
        <f>IF(Table1567[[#This Row],[Total Amount]]&gt;=1000,"High","Low")</f>
        <v>Low</v>
      </c>
      <c r="Q699" s="4" t="str" cm="1">
        <f t="array" ref="Q699">_xlfn.IFS(AND(Table1567[[#This Row],[Total Amount]]&gt;=1500,"Critical"),AND(Table1567[[#This Row],[Total Amount]]&gt;=1000,"High"),TRUE,"Normal")</f>
        <v>Normal</v>
      </c>
      <c r="R699" s="4" t="str">
        <f>CONCATENATE(Table1567[[#This Row],[Customer ID]], "-",Table1567[[#This Row],[Age]])</f>
        <v>CUST698-64</v>
      </c>
      <c r="S699" s="4" t="str">
        <f>TEXT(Table1567[[#This Row],[Date]],"mmm")</f>
        <v>Jul</v>
      </c>
      <c r="T699" s="4" t="str">
        <f>TEXT(Table1567[[#This Row],[Date]],"DDD")</f>
        <v>Wed</v>
      </c>
    </row>
    <row r="700" spans="1:20" ht="29" x14ac:dyDescent="0.35">
      <c r="A700" s="4">
        <v>699</v>
      </c>
      <c r="B700" s="5">
        <v>45099</v>
      </c>
      <c r="C700" s="4" t="s">
        <v>712</v>
      </c>
      <c r="D700" s="4" t="s">
        <v>13</v>
      </c>
      <c r="E700" s="4">
        <v>37</v>
      </c>
      <c r="F700" s="4" t="str">
        <f>IF(Table1567[[#This Row],[Age]]&lt;=19,"Teenager",IF(Table1567[[#This Row],[Age]]&lt;=40,"Median","Old"))</f>
        <v>Median</v>
      </c>
      <c r="G700" s="4" t="s">
        <v>14</v>
      </c>
      <c r="H700" s="4">
        <v>4</v>
      </c>
      <c r="I700" s="4">
        <v>30</v>
      </c>
      <c r="J700" s="4">
        <v>120</v>
      </c>
      <c r="K700" s="4" t="str" cm="1">
        <f t="array" ref="K700">_xlfn.IFS(AND(Table1567[[#This Row],[Total Amount]]&gt;=1500),"Critical",AND(Table1567[[#This Row],[Total Amount]]&gt;=1000),"High",TRUE,"Normal")</f>
        <v>Normal</v>
      </c>
      <c r="L700" s="4" t="str">
        <f>IF(Table1567[[#This Row],[Total Amount]]&gt;=1000,"High",(IF(Table1567[[#This Row],[Total Amount]]&gt;=500,"Medium","Low")))</f>
        <v>Low</v>
      </c>
      <c r="M700" s="4" t="str" cm="1">
        <f t="array" ref="M70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00" s="4" cm="1">
        <f t="array" ref="N70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</v>
      </c>
      <c r="O700" s="4">
        <f>Table1567[[#This Row],[Total Amount]]-Table1567[[#This Row],[Discount Amount]]</f>
        <v>96</v>
      </c>
      <c r="P700" s="4" t="str">
        <f>IF(Table1567[[#This Row],[Total Amount]]&gt;=1000,"High","Low")</f>
        <v>Low</v>
      </c>
      <c r="Q700" s="4" t="str" cm="1">
        <f t="array" ref="Q700">_xlfn.IFS(AND(Table1567[[#This Row],[Total Amount]]&gt;=1500,"Critical"),AND(Table1567[[#This Row],[Total Amount]]&gt;=1000,"High"),TRUE,"Normal")</f>
        <v>Normal</v>
      </c>
      <c r="R700" s="4" t="str">
        <f>CONCATENATE(Table1567[[#This Row],[Customer ID]], "-",Table1567[[#This Row],[Age]])</f>
        <v>CUST699-37</v>
      </c>
      <c r="S700" s="4" t="str">
        <f>TEXT(Table1567[[#This Row],[Date]],"mmm")</f>
        <v>Jun</v>
      </c>
      <c r="T700" s="4" t="str">
        <f>TEXT(Table1567[[#This Row],[Date]],"DDD")</f>
        <v>Thu</v>
      </c>
    </row>
    <row r="701" spans="1:20" ht="29" x14ac:dyDescent="0.35">
      <c r="A701" s="4">
        <v>700</v>
      </c>
      <c r="B701" s="5">
        <v>45269</v>
      </c>
      <c r="C701" s="4" t="s">
        <v>713</v>
      </c>
      <c r="D701" s="4" t="s">
        <v>10</v>
      </c>
      <c r="E701" s="4">
        <v>36</v>
      </c>
      <c r="F701" s="4" t="str">
        <f>IF(Table1567[[#This Row],[Age]]&lt;=19,"Teenager",IF(Table1567[[#This Row],[Age]]&lt;=40,"Median","Old"))</f>
        <v>Median</v>
      </c>
      <c r="G701" s="4" t="s">
        <v>16</v>
      </c>
      <c r="H701" s="4">
        <v>4</v>
      </c>
      <c r="I701" s="4">
        <v>500</v>
      </c>
      <c r="J701" s="4">
        <v>2000</v>
      </c>
      <c r="K701" s="4" t="str" cm="1">
        <f t="array" ref="K701">_xlfn.IFS(AND(Table1567[[#This Row],[Total Amount]]&gt;=1500),"Critical",AND(Table1567[[#This Row],[Total Amount]]&gt;=1000),"High",TRUE,"Normal")</f>
        <v>Critical</v>
      </c>
      <c r="L701" s="4" t="str">
        <f>IF(Table1567[[#This Row],[Total Amount]]&gt;=1000,"High",(IF(Table1567[[#This Row],[Total Amount]]&gt;=500,"Medium","Low")))</f>
        <v>High</v>
      </c>
      <c r="M701" s="4" t="str" cm="1">
        <f t="array" ref="M70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01" s="4" cm="1">
        <f t="array" ref="N70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701" s="4">
        <f>Table1567[[#This Row],[Total Amount]]-Table1567[[#This Row],[Discount Amount]]</f>
        <v>1800</v>
      </c>
      <c r="P701" s="4" t="str">
        <f>IF(Table1567[[#This Row],[Total Amount]]&gt;=1000,"High","Low")</f>
        <v>High</v>
      </c>
      <c r="Q701" s="4" t="b" cm="1">
        <f t="array" ref="Q701">_xlfn.IFS(AND(Table1567[[#This Row],[Total Amount]]&gt;=1500,"Critical"),AND(Table1567[[#This Row],[Total Amount]]&gt;=1000,"High"),TRUE,"Normal")</f>
        <v>1</v>
      </c>
      <c r="R701" s="4" t="str">
        <f>CONCATENATE(Table1567[[#This Row],[Customer ID]], "-",Table1567[[#This Row],[Age]])</f>
        <v>CUST700-36</v>
      </c>
      <c r="S701" s="4" t="str">
        <f>TEXT(Table1567[[#This Row],[Date]],"mmm")</f>
        <v>Dec</v>
      </c>
      <c r="T701" s="4" t="str">
        <f>TEXT(Table1567[[#This Row],[Date]],"DDD")</f>
        <v>Sat</v>
      </c>
    </row>
    <row r="702" spans="1:20" ht="29" x14ac:dyDescent="0.35">
      <c r="A702" s="4">
        <v>701</v>
      </c>
      <c r="B702" s="5">
        <v>45274</v>
      </c>
      <c r="C702" s="4" t="s">
        <v>714</v>
      </c>
      <c r="D702" s="4" t="s">
        <v>13</v>
      </c>
      <c r="E702" s="4">
        <v>52</v>
      </c>
      <c r="F702" s="4" t="str">
        <f>IF(Table1567[[#This Row],[Age]]&lt;=19,"Teenager",IF(Table1567[[#This Row],[Age]]&lt;=40,"Median","Old"))</f>
        <v>Old</v>
      </c>
      <c r="G702" s="4" t="s">
        <v>11</v>
      </c>
      <c r="H702" s="4">
        <v>2</v>
      </c>
      <c r="I702" s="4">
        <v>30</v>
      </c>
      <c r="J702" s="4">
        <v>60</v>
      </c>
      <c r="K702" s="4" t="str" cm="1">
        <f t="array" ref="K702">_xlfn.IFS(AND(Table1567[[#This Row],[Total Amount]]&gt;=1500),"Critical",AND(Table1567[[#This Row],[Total Amount]]&gt;=1000),"High",TRUE,"Normal")</f>
        <v>Normal</v>
      </c>
      <c r="L702" s="4" t="str">
        <f>IF(Table1567[[#This Row],[Total Amount]]&gt;=1000,"High",(IF(Table1567[[#This Row],[Total Amount]]&gt;=500,"Medium","Low")))</f>
        <v>Low</v>
      </c>
      <c r="M702" s="4" t="str" cm="1">
        <f t="array" ref="M70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02" s="4" cm="1">
        <f t="array" ref="N70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702" s="4">
        <f>Table1567[[#This Row],[Total Amount]]-Table1567[[#This Row],[Discount Amount]]</f>
        <v>48</v>
      </c>
      <c r="P702" s="4" t="str">
        <f>IF(Table1567[[#This Row],[Total Amount]]&gt;=1000,"High","Low")</f>
        <v>Low</v>
      </c>
      <c r="Q702" s="4" t="str" cm="1">
        <f t="array" ref="Q702">_xlfn.IFS(AND(Table1567[[#This Row],[Total Amount]]&gt;=1500,"Critical"),AND(Table1567[[#This Row],[Total Amount]]&gt;=1000,"High"),TRUE,"Normal")</f>
        <v>Normal</v>
      </c>
      <c r="R702" s="4" t="str">
        <f>CONCATENATE(Table1567[[#This Row],[Customer ID]], "-",Table1567[[#This Row],[Age]])</f>
        <v>CUST701-52</v>
      </c>
      <c r="S702" s="4" t="str">
        <f>TEXT(Table1567[[#This Row],[Date]],"mmm")</f>
        <v>Dec</v>
      </c>
      <c r="T702" s="4" t="str">
        <f>TEXT(Table1567[[#This Row],[Date]],"DDD")</f>
        <v>Thu</v>
      </c>
    </row>
    <row r="703" spans="1:20" ht="29" x14ac:dyDescent="0.35">
      <c r="A703" s="4">
        <v>702</v>
      </c>
      <c r="B703" s="5">
        <v>45134</v>
      </c>
      <c r="C703" s="4" t="s">
        <v>715</v>
      </c>
      <c r="D703" s="4" t="s">
        <v>13</v>
      </c>
      <c r="E703" s="4">
        <v>60</v>
      </c>
      <c r="F703" s="4" t="str">
        <f>IF(Table1567[[#This Row],[Age]]&lt;=19,"Teenager",IF(Table1567[[#This Row],[Age]]&lt;=40,"Median","Old"))</f>
        <v>Old</v>
      </c>
      <c r="G703" s="4" t="s">
        <v>14</v>
      </c>
      <c r="H703" s="4">
        <v>2</v>
      </c>
      <c r="I703" s="4">
        <v>300</v>
      </c>
      <c r="J703" s="4">
        <v>600</v>
      </c>
      <c r="K703" s="4" t="str" cm="1">
        <f t="array" ref="K703">_xlfn.IFS(AND(Table1567[[#This Row],[Total Amount]]&gt;=1500),"Critical",AND(Table1567[[#This Row],[Total Amount]]&gt;=1000),"High",TRUE,"Normal")</f>
        <v>Normal</v>
      </c>
      <c r="L703" s="4" t="str">
        <f>IF(Table1567[[#This Row],[Total Amount]]&gt;=1000,"High",(IF(Table1567[[#This Row],[Total Amount]]&gt;=500,"Medium","Low")))</f>
        <v>Medium</v>
      </c>
      <c r="M703" s="4" t="str" cm="1">
        <f t="array" ref="M70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03" s="4" cm="1">
        <f t="array" ref="N70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703" s="4">
        <f>Table1567[[#This Row],[Total Amount]]-Table1567[[#This Row],[Discount Amount]]</f>
        <v>480</v>
      </c>
      <c r="P703" s="4" t="str">
        <f>IF(Table1567[[#This Row],[Total Amount]]&gt;=1000,"High","Low")</f>
        <v>Low</v>
      </c>
      <c r="Q703" s="4" t="str" cm="1">
        <f t="array" ref="Q703">_xlfn.IFS(AND(Table1567[[#This Row],[Total Amount]]&gt;=1500,"Critical"),AND(Table1567[[#This Row],[Total Amount]]&gt;=1000,"High"),TRUE,"Normal")</f>
        <v>Normal</v>
      </c>
      <c r="R703" s="4" t="str">
        <f>CONCATENATE(Table1567[[#This Row],[Customer ID]], "-",Table1567[[#This Row],[Age]])</f>
        <v>CUST702-60</v>
      </c>
      <c r="S703" s="4" t="str">
        <f>TEXT(Table1567[[#This Row],[Date]],"mmm")</f>
        <v>Jul</v>
      </c>
      <c r="T703" s="4" t="str">
        <f>TEXT(Table1567[[#This Row],[Date]],"DDD")</f>
        <v>Thu</v>
      </c>
    </row>
    <row r="704" spans="1:20" ht="29" x14ac:dyDescent="0.35">
      <c r="A704" s="4">
        <v>703</v>
      </c>
      <c r="B704" s="5">
        <v>45011</v>
      </c>
      <c r="C704" s="4" t="s">
        <v>716</v>
      </c>
      <c r="D704" s="4" t="s">
        <v>10</v>
      </c>
      <c r="E704" s="4">
        <v>34</v>
      </c>
      <c r="F704" s="4" t="str">
        <f>IF(Table1567[[#This Row],[Age]]&lt;=19,"Teenager",IF(Table1567[[#This Row],[Age]]&lt;=40,"Median","Old"))</f>
        <v>Median</v>
      </c>
      <c r="G704" s="4" t="s">
        <v>16</v>
      </c>
      <c r="H704" s="4">
        <v>2</v>
      </c>
      <c r="I704" s="4">
        <v>50</v>
      </c>
      <c r="J704" s="4">
        <v>100</v>
      </c>
      <c r="K704" s="4" t="str" cm="1">
        <f t="array" ref="K704">_xlfn.IFS(AND(Table1567[[#This Row],[Total Amount]]&gt;=1500),"Critical",AND(Table1567[[#This Row],[Total Amount]]&gt;=1000),"High",TRUE,"Normal")</f>
        <v>Normal</v>
      </c>
      <c r="L704" s="4" t="str">
        <f>IF(Table1567[[#This Row],[Total Amount]]&gt;=1000,"High",(IF(Table1567[[#This Row],[Total Amount]]&gt;=500,"Medium","Low")))</f>
        <v>Low</v>
      </c>
      <c r="M704" s="4" t="str" cm="1">
        <f t="array" ref="M70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04" s="4" cm="1">
        <f t="array" ref="N70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704" s="4">
        <f>Table1567[[#This Row],[Total Amount]]-Table1567[[#This Row],[Discount Amount]]</f>
        <v>85</v>
      </c>
      <c r="P704" s="4" t="str">
        <f>IF(Table1567[[#This Row],[Total Amount]]&gt;=1000,"High","Low")</f>
        <v>Low</v>
      </c>
      <c r="Q704" s="4" t="str" cm="1">
        <f t="array" ref="Q704">_xlfn.IFS(AND(Table1567[[#This Row],[Total Amount]]&gt;=1500,"Critical"),AND(Table1567[[#This Row],[Total Amount]]&gt;=1000,"High"),TRUE,"Normal")</f>
        <v>Normal</v>
      </c>
      <c r="R704" s="4" t="str">
        <f>CONCATENATE(Table1567[[#This Row],[Customer ID]], "-",Table1567[[#This Row],[Age]])</f>
        <v>CUST703-34</v>
      </c>
      <c r="S704" s="4" t="str">
        <f>TEXT(Table1567[[#This Row],[Date]],"mmm")</f>
        <v>Mar</v>
      </c>
      <c r="T704" s="4" t="str">
        <f>TEXT(Table1567[[#This Row],[Date]],"DDD")</f>
        <v>Sun</v>
      </c>
    </row>
    <row r="705" spans="1:20" ht="29" x14ac:dyDescent="0.35">
      <c r="A705" s="4">
        <v>704</v>
      </c>
      <c r="B705" s="5">
        <v>45166</v>
      </c>
      <c r="C705" s="4" t="s">
        <v>717</v>
      </c>
      <c r="D705" s="4" t="s">
        <v>13</v>
      </c>
      <c r="E705" s="4">
        <v>62</v>
      </c>
      <c r="F705" s="4" t="str">
        <f>IF(Table1567[[#This Row],[Age]]&lt;=19,"Teenager",IF(Table1567[[#This Row],[Age]]&lt;=40,"Median","Old"))</f>
        <v>Old</v>
      </c>
      <c r="G705" s="4" t="s">
        <v>14</v>
      </c>
      <c r="H705" s="4">
        <v>3</v>
      </c>
      <c r="I705" s="4">
        <v>30</v>
      </c>
      <c r="J705" s="4">
        <v>90</v>
      </c>
      <c r="K705" s="4" t="str" cm="1">
        <f t="array" ref="K705">_xlfn.IFS(AND(Table1567[[#This Row],[Total Amount]]&gt;=1500),"Critical",AND(Table1567[[#This Row],[Total Amount]]&gt;=1000),"High",TRUE,"Normal")</f>
        <v>Normal</v>
      </c>
      <c r="L705" s="4" t="str">
        <f>IF(Table1567[[#This Row],[Total Amount]]&gt;=1000,"High",(IF(Table1567[[#This Row],[Total Amount]]&gt;=500,"Medium","Low")))</f>
        <v>Low</v>
      </c>
      <c r="M705" s="4" t="str" cm="1">
        <f t="array" ref="M70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05" s="4" cm="1">
        <f t="array" ref="N70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705" s="4">
        <f>Table1567[[#This Row],[Total Amount]]-Table1567[[#This Row],[Discount Amount]]</f>
        <v>72</v>
      </c>
      <c r="P705" s="4" t="str">
        <f>IF(Table1567[[#This Row],[Total Amount]]&gt;=1000,"High","Low")</f>
        <v>Low</v>
      </c>
      <c r="Q705" s="4" t="str" cm="1">
        <f t="array" ref="Q705">_xlfn.IFS(AND(Table1567[[#This Row],[Total Amount]]&gt;=1500,"Critical"),AND(Table1567[[#This Row],[Total Amount]]&gt;=1000,"High"),TRUE,"Normal")</f>
        <v>Normal</v>
      </c>
      <c r="R705" s="4" t="str">
        <f>CONCATENATE(Table1567[[#This Row],[Customer ID]], "-",Table1567[[#This Row],[Age]])</f>
        <v>CUST704-62</v>
      </c>
      <c r="S705" s="4" t="str">
        <f>TEXT(Table1567[[#This Row],[Date]],"mmm")</f>
        <v>Aug</v>
      </c>
      <c r="T705" s="4" t="str">
        <f>TEXT(Table1567[[#This Row],[Date]],"DDD")</f>
        <v>Mon</v>
      </c>
    </row>
    <row r="706" spans="1:20" ht="29" x14ac:dyDescent="0.35">
      <c r="A706" s="4">
        <v>705</v>
      </c>
      <c r="B706" s="5">
        <v>44992</v>
      </c>
      <c r="C706" s="4" t="s">
        <v>718</v>
      </c>
      <c r="D706" s="4" t="s">
        <v>10</v>
      </c>
      <c r="E706" s="4">
        <v>60</v>
      </c>
      <c r="F706" s="4" t="str">
        <f>IF(Table1567[[#This Row],[Age]]&lt;=19,"Teenager",IF(Table1567[[#This Row],[Age]]&lt;=40,"Median","Old"))</f>
        <v>Old</v>
      </c>
      <c r="G706" s="4" t="s">
        <v>16</v>
      </c>
      <c r="H706" s="4">
        <v>2</v>
      </c>
      <c r="I706" s="4">
        <v>25</v>
      </c>
      <c r="J706" s="4">
        <v>50</v>
      </c>
      <c r="K706" s="4" t="str" cm="1">
        <f t="array" ref="K706">_xlfn.IFS(AND(Table1567[[#This Row],[Total Amount]]&gt;=1500),"Critical",AND(Table1567[[#This Row],[Total Amount]]&gt;=1000),"High",TRUE,"Normal")</f>
        <v>Normal</v>
      </c>
      <c r="L706" s="4" t="str">
        <f>IF(Table1567[[#This Row],[Total Amount]]&gt;=1000,"High",(IF(Table1567[[#This Row],[Total Amount]]&gt;=500,"Medium","Low")))</f>
        <v>Low</v>
      </c>
      <c r="M706" s="4" t="str" cm="1">
        <f t="array" ref="M70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06" s="4" cm="1">
        <f t="array" ref="N70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706" s="4">
        <f>Table1567[[#This Row],[Total Amount]]-Table1567[[#This Row],[Discount Amount]]</f>
        <v>45</v>
      </c>
      <c r="P706" s="4" t="str">
        <f>IF(Table1567[[#This Row],[Total Amount]]&gt;=1000,"High","Low")</f>
        <v>Low</v>
      </c>
      <c r="Q706" s="4" t="str" cm="1">
        <f t="array" ref="Q706">_xlfn.IFS(AND(Table1567[[#This Row],[Total Amount]]&gt;=1500,"Critical"),AND(Table1567[[#This Row],[Total Amount]]&gt;=1000,"High"),TRUE,"Normal")</f>
        <v>Normal</v>
      </c>
      <c r="R706" s="4" t="str">
        <f>CONCATENATE(Table1567[[#This Row],[Customer ID]], "-",Table1567[[#This Row],[Age]])</f>
        <v>CUST705-60</v>
      </c>
      <c r="S706" s="4" t="str">
        <f>TEXT(Table1567[[#This Row],[Date]],"mmm")</f>
        <v>Mar</v>
      </c>
      <c r="T706" s="4" t="str">
        <f>TEXT(Table1567[[#This Row],[Date]],"DDD")</f>
        <v>Tue</v>
      </c>
    </row>
    <row r="707" spans="1:20" ht="29" x14ac:dyDescent="0.35">
      <c r="A707" s="4">
        <v>706</v>
      </c>
      <c r="B707" s="5">
        <v>45245</v>
      </c>
      <c r="C707" s="4" t="s">
        <v>719</v>
      </c>
      <c r="D707" s="4" t="s">
        <v>10</v>
      </c>
      <c r="E707" s="4">
        <v>51</v>
      </c>
      <c r="F707" s="4" t="str">
        <f>IF(Table1567[[#This Row],[Age]]&lt;=19,"Teenager",IF(Table1567[[#This Row],[Age]]&lt;=40,"Median","Old"))</f>
        <v>Old</v>
      </c>
      <c r="G707" s="4" t="s">
        <v>16</v>
      </c>
      <c r="H707" s="4">
        <v>4</v>
      </c>
      <c r="I707" s="4">
        <v>25</v>
      </c>
      <c r="J707" s="4">
        <v>100</v>
      </c>
      <c r="K707" s="4" t="str" cm="1">
        <f t="array" ref="K707">_xlfn.IFS(AND(Table1567[[#This Row],[Total Amount]]&gt;=1500),"Critical",AND(Table1567[[#This Row],[Total Amount]]&gt;=1000),"High",TRUE,"Normal")</f>
        <v>Normal</v>
      </c>
      <c r="L707" s="4" t="str">
        <f>IF(Table1567[[#This Row],[Total Amount]]&gt;=1000,"High",(IF(Table1567[[#This Row],[Total Amount]]&gt;=500,"Medium","Low")))</f>
        <v>Low</v>
      </c>
      <c r="M707" s="4" t="str" cm="1">
        <f t="array" ref="M70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07" s="4" cm="1">
        <f t="array" ref="N70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707" s="4">
        <f>Table1567[[#This Row],[Total Amount]]-Table1567[[#This Row],[Discount Amount]]</f>
        <v>90</v>
      </c>
      <c r="P707" s="4" t="str">
        <f>IF(Table1567[[#This Row],[Total Amount]]&gt;=1000,"High","Low")</f>
        <v>Low</v>
      </c>
      <c r="Q707" s="4" t="str" cm="1">
        <f t="array" ref="Q707">_xlfn.IFS(AND(Table1567[[#This Row],[Total Amount]]&gt;=1500,"Critical"),AND(Table1567[[#This Row],[Total Amount]]&gt;=1000,"High"),TRUE,"Normal")</f>
        <v>Normal</v>
      </c>
      <c r="R707" s="4" t="str">
        <f>CONCATENATE(Table1567[[#This Row],[Customer ID]], "-",Table1567[[#This Row],[Age]])</f>
        <v>CUST706-51</v>
      </c>
      <c r="S707" s="4" t="str">
        <f>TEXT(Table1567[[#This Row],[Date]],"mmm")</f>
        <v>Nov</v>
      </c>
      <c r="T707" s="4" t="str">
        <f>TEXT(Table1567[[#This Row],[Date]],"DDD")</f>
        <v>Wed</v>
      </c>
    </row>
    <row r="708" spans="1:20" ht="29" x14ac:dyDescent="0.35">
      <c r="A708" s="4">
        <v>707</v>
      </c>
      <c r="B708" s="5">
        <v>45200</v>
      </c>
      <c r="C708" s="4" t="s">
        <v>720</v>
      </c>
      <c r="D708" s="4" t="s">
        <v>13</v>
      </c>
      <c r="E708" s="4">
        <v>26</v>
      </c>
      <c r="F708" s="4" t="str">
        <f>IF(Table1567[[#This Row],[Age]]&lt;=19,"Teenager",IF(Table1567[[#This Row],[Age]]&lt;=40,"Median","Old"))</f>
        <v>Median</v>
      </c>
      <c r="G708" s="4" t="s">
        <v>14</v>
      </c>
      <c r="H708" s="4">
        <v>1</v>
      </c>
      <c r="I708" s="4">
        <v>500</v>
      </c>
      <c r="J708" s="4">
        <v>500</v>
      </c>
      <c r="K708" s="4" t="str" cm="1">
        <f t="array" ref="K708">_xlfn.IFS(AND(Table1567[[#This Row],[Total Amount]]&gt;=1500),"Critical",AND(Table1567[[#This Row],[Total Amount]]&gt;=1000),"High",TRUE,"Normal")</f>
        <v>Normal</v>
      </c>
      <c r="L708" s="4" t="str">
        <f>IF(Table1567[[#This Row],[Total Amount]]&gt;=1000,"High",(IF(Table1567[[#This Row],[Total Amount]]&gt;=500,"Medium","Low")))</f>
        <v>Medium</v>
      </c>
      <c r="M708" s="4" t="str" cm="1">
        <f t="array" ref="M70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08" s="4" cm="1">
        <f t="array" ref="N70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75</v>
      </c>
      <c r="O708" s="4">
        <f>Table1567[[#This Row],[Total Amount]]-Table1567[[#This Row],[Discount Amount]]</f>
        <v>425</v>
      </c>
      <c r="P708" s="4" t="str">
        <f>IF(Table1567[[#This Row],[Total Amount]]&gt;=1000,"High","Low")</f>
        <v>Low</v>
      </c>
      <c r="Q708" s="4" t="str" cm="1">
        <f t="array" ref="Q708">_xlfn.IFS(AND(Table1567[[#This Row],[Total Amount]]&gt;=1500,"Critical"),AND(Table1567[[#This Row],[Total Amount]]&gt;=1000,"High"),TRUE,"Normal")</f>
        <v>Normal</v>
      </c>
      <c r="R708" s="4" t="str">
        <f>CONCATENATE(Table1567[[#This Row],[Customer ID]], "-",Table1567[[#This Row],[Age]])</f>
        <v>CUST707-26</v>
      </c>
      <c r="S708" s="4" t="str">
        <f>TEXT(Table1567[[#This Row],[Date]],"mmm")</f>
        <v>Oct</v>
      </c>
      <c r="T708" s="4" t="str">
        <f>TEXT(Table1567[[#This Row],[Date]],"DDD")</f>
        <v>Sun</v>
      </c>
    </row>
    <row r="709" spans="1:20" ht="29" x14ac:dyDescent="0.35">
      <c r="A709" s="4">
        <v>708</v>
      </c>
      <c r="B709" s="5">
        <v>44940</v>
      </c>
      <c r="C709" s="4" t="s">
        <v>721</v>
      </c>
      <c r="D709" s="4" t="s">
        <v>13</v>
      </c>
      <c r="E709" s="4">
        <v>43</v>
      </c>
      <c r="F709" s="4" t="str">
        <f>IF(Table1567[[#This Row],[Age]]&lt;=19,"Teenager",IF(Table1567[[#This Row],[Age]]&lt;=40,"Median","Old"))</f>
        <v>Old</v>
      </c>
      <c r="G709" s="4" t="s">
        <v>11</v>
      </c>
      <c r="H709" s="4">
        <v>3</v>
      </c>
      <c r="I709" s="4">
        <v>300</v>
      </c>
      <c r="J709" s="4">
        <v>900</v>
      </c>
      <c r="K709" s="4" t="str" cm="1">
        <f t="array" ref="K709">_xlfn.IFS(AND(Table1567[[#This Row],[Total Amount]]&gt;=1500),"Critical",AND(Table1567[[#This Row],[Total Amount]]&gt;=1000),"High",TRUE,"Normal")</f>
        <v>Normal</v>
      </c>
      <c r="L709" s="4" t="str">
        <f>IF(Table1567[[#This Row],[Total Amount]]&gt;=1000,"High",(IF(Table1567[[#This Row],[Total Amount]]&gt;=500,"Medium","Low")))</f>
        <v>Medium</v>
      </c>
      <c r="M709" s="4" t="str" cm="1">
        <f t="array" ref="M70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09" s="4" cm="1">
        <f t="array" ref="N70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709" s="4">
        <f>Table1567[[#This Row],[Total Amount]]-Table1567[[#This Row],[Discount Amount]]</f>
        <v>720</v>
      </c>
      <c r="P709" s="4" t="str">
        <f>IF(Table1567[[#This Row],[Total Amount]]&gt;=1000,"High","Low")</f>
        <v>Low</v>
      </c>
      <c r="Q709" s="4" t="str" cm="1">
        <f t="array" ref="Q709">_xlfn.IFS(AND(Table1567[[#This Row],[Total Amount]]&gt;=1500,"Critical"),AND(Table1567[[#This Row],[Total Amount]]&gt;=1000,"High"),TRUE,"Normal")</f>
        <v>Normal</v>
      </c>
      <c r="R709" s="4" t="str">
        <f>CONCATENATE(Table1567[[#This Row],[Customer ID]], "-",Table1567[[#This Row],[Age]])</f>
        <v>CUST708-43</v>
      </c>
      <c r="S709" s="4" t="str">
        <f>TEXT(Table1567[[#This Row],[Date]],"mmm")</f>
        <v>Jan</v>
      </c>
      <c r="T709" s="4" t="str">
        <f>TEXT(Table1567[[#This Row],[Date]],"DDD")</f>
        <v>Sat</v>
      </c>
    </row>
    <row r="710" spans="1:20" ht="29" x14ac:dyDescent="0.35">
      <c r="A710" s="4">
        <v>709</v>
      </c>
      <c r="B710" s="5">
        <v>45128</v>
      </c>
      <c r="C710" s="4" t="s">
        <v>722</v>
      </c>
      <c r="D710" s="4" t="s">
        <v>13</v>
      </c>
      <c r="E710" s="4">
        <v>19</v>
      </c>
      <c r="F710" s="4" t="str">
        <f>IF(Table1567[[#This Row],[Age]]&lt;=19,"Teenager",IF(Table1567[[#This Row],[Age]]&lt;=40,"Median","Old"))</f>
        <v>Teenager</v>
      </c>
      <c r="G710" s="4" t="s">
        <v>16</v>
      </c>
      <c r="H710" s="4">
        <v>2</v>
      </c>
      <c r="I710" s="4">
        <v>500</v>
      </c>
      <c r="J710" s="4">
        <v>1000</v>
      </c>
      <c r="K710" s="4" t="str" cm="1">
        <f t="array" ref="K710">_xlfn.IFS(AND(Table1567[[#This Row],[Total Amount]]&gt;=1500),"Critical",AND(Table1567[[#This Row],[Total Amount]]&gt;=1000),"High",TRUE,"Normal")</f>
        <v>High</v>
      </c>
      <c r="L710" s="4" t="str">
        <f>IF(Table1567[[#This Row],[Total Amount]]&gt;=1000,"High",(IF(Table1567[[#This Row],[Total Amount]]&gt;=500,"Medium","Low")))</f>
        <v>High</v>
      </c>
      <c r="M710" s="4" t="str" cm="1">
        <f t="array" ref="M71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710" s="4" cm="1">
        <f t="array" ref="N71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710" s="4">
        <f>Table1567[[#This Row],[Total Amount]]-Table1567[[#This Row],[Discount Amount]]</f>
        <v>1000</v>
      </c>
      <c r="P710" s="4" t="str">
        <f>IF(Table1567[[#This Row],[Total Amount]]&gt;=1000,"High","Low")</f>
        <v>High</v>
      </c>
      <c r="Q710" s="4" t="str" cm="1">
        <f t="array" ref="Q710">_xlfn.IFS(AND(Table1567[[#This Row],[Total Amount]]&gt;=1500,"Critical"),AND(Table1567[[#This Row],[Total Amount]]&gt;=1000,"High"),TRUE,"Normal")</f>
        <v>Normal</v>
      </c>
      <c r="R710" s="4" t="str">
        <f>CONCATENATE(Table1567[[#This Row],[Customer ID]], "-",Table1567[[#This Row],[Age]])</f>
        <v>CUST709-19</v>
      </c>
      <c r="S710" s="4" t="str">
        <f>TEXT(Table1567[[#This Row],[Date]],"mmm")</f>
        <v>Jul</v>
      </c>
      <c r="T710" s="4" t="str">
        <f>TEXT(Table1567[[#This Row],[Date]],"DDD")</f>
        <v>Fri</v>
      </c>
    </row>
    <row r="711" spans="1:20" ht="29" x14ac:dyDescent="0.35">
      <c r="A711" s="4">
        <v>710</v>
      </c>
      <c r="B711" s="5">
        <v>45230</v>
      </c>
      <c r="C711" s="4" t="s">
        <v>723</v>
      </c>
      <c r="D711" s="4" t="s">
        <v>13</v>
      </c>
      <c r="E711" s="4">
        <v>26</v>
      </c>
      <c r="F711" s="4" t="str">
        <f>IF(Table1567[[#This Row],[Age]]&lt;=19,"Teenager",IF(Table1567[[#This Row],[Age]]&lt;=40,"Median","Old"))</f>
        <v>Median</v>
      </c>
      <c r="G711" s="4" t="s">
        <v>16</v>
      </c>
      <c r="H711" s="4">
        <v>3</v>
      </c>
      <c r="I711" s="4">
        <v>500</v>
      </c>
      <c r="J711" s="4">
        <v>1500</v>
      </c>
      <c r="K711" s="4" t="str" cm="1">
        <f t="array" ref="K711">_xlfn.IFS(AND(Table1567[[#This Row],[Total Amount]]&gt;=1500),"Critical",AND(Table1567[[#This Row],[Total Amount]]&gt;=1000),"High",TRUE,"Normal")</f>
        <v>Critical</v>
      </c>
      <c r="L711" s="4" t="str">
        <f>IF(Table1567[[#This Row],[Total Amount]]&gt;=1000,"High",(IF(Table1567[[#This Row],[Total Amount]]&gt;=500,"Medium","Low")))</f>
        <v>High</v>
      </c>
      <c r="M711" s="4" t="str" cm="1">
        <f t="array" ref="M71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11" s="4" cm="1">
        <f t="array" ref="N71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225</v>
      </c>
      <c r="O711" s="4">
        <f>Table1567[[#This Row],[Total Amount]]-Table1567[[#This Row],[Discount Amount]]</f>
        <v>1275</v>
      </c>
      <c r="P711" s="4" t="str">
        <f>IF(Table1567[[#This Row],[Total Amount]]&gt;=1000,"High","Low")</f>
        <v>High</v>
      </c>
      <c r="Q711" s="4" t="b" cm="1">
        <f t="array" ref="Q711">_xlfn.IFS(AND(Table1567[[#This Row],[Total Amount]]&gt;=1500,"Critical"),AND(Table1567[[#This Row],[Total Amount]]&gt;=1000,"High"),TRUE,"Normal")</f>
        <v>1</v>
      </c>
      <c r="R711" s="4" t="str">
        <f>CONCATENATE(Table1567[[#This Row],[Customer ID]], "-",Table1567[[#This Row],[Age]])</f>
        <v>CUST710-26</v>
      </c>
      <c r="S711" s="4" t="str">
        <f>TEXT(Table1567[[#This Row],[Date]],"mmm")</f>
        <v>Oct</v>
      </c>
      <c r="T711" s="4" t="str">
        <f>TEXT(Table1567[[#This Row],[Date]],"DDD")</f>
        <v>Tue</v>
      </c>
    </row>
    <row r="712" spans="1:20" ht="29" x14ac:dyDescent="0.35">
      <c r="A712" s="4">
        <v>711</v>
      </c>
      <c r="B712" s="5">
        <v>45215</v>
      </c>
      <c r="C712" s="4" t="s">
        <v>724</v>
      </c>
      <c r="D712" s="4" t="s">
        <v>10</v>
      </c>
      <c r="E712" s="4">
        <v>26</v>
      </c>
      <c r="F712" s="4" t="str">
        <f>IF(Table1567[[#This Row],[Age]]&lt;=19,"Teenager",IF(Table1567[[#This Row],[Age]]&lt;=40,"Median","Old"))</f>
        <v>Median</v>
      </c>
      <c r="G712" s="4" t="s">
        <v>16</v>
      </c>
      <c r="H712" s="4">
        <v>3</v>
      </c>
      <c r="I712" s="4">
        <v>500</v>
      </c>
      <c r="J712" s="4">
        <v>1500</v>
      </c>
      <c r="K712" s="4" t="str" cm="1">
        <f t="array" ref="K712">_xlfn.IFS(AND(Table1567[[#This Row],[Total Amount]]&gt;=1500),"Critical",AND(Table1567[[#This Row],[Total Amount]]&gt;=1000),"High",TRUE,"Normal")</f>
        <v>Critical</v>
      </c>
      <c r="L712" s="4" t="str">
        <f>IF(Table1567[[#This Row],[Total Amount]]&gt;=1000,"High",(IF(Table1567[[#This Row],[Total Amount]]&gt;=500,"Medium","Low")))</f>
        <v>High</v>
      </c>
      <c r="M712" s="4" t="str" cm="1">
        <f t="array" ref="M71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12" s="4" cm="1">
        <f t="array" ref="N71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225</v>
      </c>
      <c r="O712" s="4">
        <f>Table1567[[#This Row],[Total Amount]]-Table1567[[#This Row],[Discount Amount]]</f>
        <v>1275</v>
      </c>
      <c r="P712" s="4" t="str">
        <f>IF(Table1567[[#This Row],[Total Amount]]&gt;=1000,"High","Low")</f>
        <v>High</v>
      </c>
      <c r="Q712" s="4" t="b" cm="1">
        <f t="array" ref="Q712">_xlfn.IFS(AND(Table1567[[#This Row],[Total Amount]]&gt;=1500,"Critical"),AND(Table1567[[#This Row],[Total Amount]]&gt;=1000,"High"),TRUE,"Normal")</f>
        <v>1</v>
      </c>
      <c r="R712" s="4" t="str">
        <f>CONCATENATE(Table1567[[#This Row],[Customer ID]], "-",Table1567[[#This Row],[Age]])</f>
        <v>CUST711-26</v>
      </c>
      <c r="S712" s="4" t="str">
        <f>TEXT(Table1567[[#This Row],[Date]],"mmm")</f>
        <v>Oct</v>
      </c>
      <c r="T712" s="4" t="str">
        <f>TEXT(Table1567[[#This Row],[Date]],"DDD")</f>
        <v>Mon</v>
      </c>
    </row>
    <row r="713" spans="1:20" ht="29" x14ac:dyDescent="0.35">
      <c r="A713" s="4">
        <v>712</v>
      </c>
      <c r="B713" s="5">
        <v>45266</v>
      </c>
      <c r="C713" s="4" t="s">
        <v>725</v>
      </c>
      <c r="D713" s="4" t="s">
        <v>13</v>
      </c>
      <c r="E713" s="4">
        <v>57</v>
      </c>
      <c r="F713" s="4" t="str">
        <f>IF(Table1567[[#This Row],[Age]]&lt;=19,"Teenager",IF(Table1567[[#This Row],[Age]]&lt;=40,"Median","Old"))</f>
        <v>Old</v>
      </c>
      <c r="G713" s="4" t="s">
        <v>11</v>
      </c>
      <c r="H713" s="4">
        <v>2</v>
      </c>
      <c r="I713" s="4">
        <v>25</v>
      </c>
      <c r="J713" s="4">
        <v>50</v>
      </c>
      <c r="K713" s="4" t="str" cm="1">
        <f t="array" ref="K713">_xlfn.IFS(AND(Table1567[[#This Row],[Total Amount]]&gt;=1500),"Critical",AND(Table1567[[#This Row],[Total Amount]]&gt;=1000),"High",TRUE,"Normal")</f>
        <v>Normal</v>
      </c>
      <c r="L713" s="4" t="str">
        <f>IF(Table1567[[#This Row],[Total Amount]]&gt;=1000,"High",(IF(Table1567[[#This Row],[Total Amount]]&gt;=500,"Medium","Low")))</f>
        <v>Low</v>
      </c>
      <c r="M713" s="4" t="str" cm="1">
        <f t="array" ref="M71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13" s="4" cm="1">
        <f t="array" ref="N71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713" s="4">
        <f>Table1567[[#This Row],[Total Amount]]-Table1567[[#This Row],[Discount Amount]]</f>
        <v>40</v>
      </c>
      <c r="P713" s="4" t="str">
        <f>IF(Table1567[[#This Row],[Total Amount]]&gt;=1000,"High","Low")</f>
        <v>Low</v>
      </c>
      <c r="Q713" s="4" t="str" cm="1">
        <f t="array" ref="Q713">_xlfn.IFS(AND(Table1567[[#This Row],[Total Amount]]&gt;=1500,"Critical"),AND(Table1567[[#This Row],[Total Amount]]&gt;=1000,"High"),TRUE,"Normal")</f>
        <v>Normal</v>
      </c>
      <c r="R713" s="4" t="str">
        <f>CONCATENATE(Table1567[[#This Row],[Customer ID]], "-",Table1567[[#This Row],[Age]])</f>
        <v>CUST712-57</v>
      </c>
      <c r="S713" s="4" t="str">
        <f>TEXT(Table1567[[#This Row],[Date]],"mmm")</f>
        <v>Dec</v>
      </c>
      <c r="T713" s="4" t="str">
        <f>TEXT(Table1567[[#This Row],[Date]],"DDD")</f>
        <v>Wed</v>
      </c>
    </row>
    <row r="714" spans="1:20" ht="29" x14ac:dyDescent="0.35">
      <c r="A714" s="4">
        <v>713</v>
      </c>
      <c r="B714" s="5">
        <v>44940</v>
      </c>
      <c r="C714" s="4" t="s">
        <v>726</v>
      </c>
      <c r="D714" s="4" t="s">
        <v>10</v>
      </c>
      <c r="E714" s="4">
        <v>34</v>
      </c>
      <c r="F714" s="4" t="str">
        <f>IF(Table1567[[#This Row],[Age]]&lt;=19,"Teenager",IF(Table1567[[#This Row],[Age]]&lt;=40,"Median","Old"))</f>
        <v>Median</v>
      </c>
      <c r="G714" s="4" t="s">
        <v>11</v>
      </c>
      <c r="H714" s="4">
        <v>3</v>
      </c>
      <c r="I714" s="4">
        <v>25</v>
      </c>
      <c r="J714" s="4">
        <v>75</v>
      </c>
      <c r="K714" s="4" t="str" cm="1">
        <f t="array" ref="K714">_xlfn.IFS(AND(Table1567[[#This Row],[Total Amount]]&gt;=1500),"Critical",AND(Table1567[[#This Row],[Total Amount]]&gt;=1000),"High",TRUE,"Normal")</f>
        <v>Normal</v>
      </c>
      <c r="L714" s="4" t="str">
        <f>IF(Table1567[[#This Row],[Total Amount]]&gt;=1000,"High",(IF(Table1567[[#This Row],[Total Amount]]&gt;=500,"Medium","Low")))</f>
        <v>Low</v>
      </c>
      <c r="M714" s="4" t="str" cm="1">
        <f t="array" ref="M71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14" s="4" cm="1">
        <f t="array" ref="N71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11.25</v>
      </c>
      <c r="O714" s="4">
        <f>Table1567[[#This Row],[Total Amount]]-Table1567[[#This Row],[Discount Amount]]</f>
        <v>63.75</v>
      </c>
      <c r="P714" s="4" t="str">
        <f>IF(Table1567[[#This Row],[Total Amount]]&gt;=1000,"High","Low")</f>
        <v>Low</v>
      </c>
      <c r="Q714" s="4" t="str" cm="1">
        <f t="array" ref="Q714">_xlfn.IFS(AND(Table1567[[#This Row],[Total Amount]]&gt;=1500,"Critical"),AND(Table1567[[#This Row],[Total Amount]]&gt;=1000,"High"),TRUE,"Normal")</f>
        <v>Normal</v>
      </c>
      <c r="R714" s="4" t="str">
        <f>CONCATENATE(Table1567[[#This Row],[Customer ID]], "-",Table1567[[#This Row],[Age]])</f>
        <v>CUST713-34</v>
      </c>
      <c r="S714" s="4" t="str">
        <f>TEXT(Table1567[[#This Row],[Date]],"mmm")</f>
        <v>Jan</v>
      </c>
      <c r="T714" s="4" t="str">
        <f>TEXT(Table1567[[#This Row],[Date]],"DDD")</f>
        <v>Sat</v>
      </c>
    </row>
    <row r="715" spans="1:20" ht="29" x14ac:dyDescent="0.35">
      <c r="A715" s="4">
        <v>714</v>
      </c>
      <c r="B715" s="5">
        <v>44969</v>
      </c>
      <c r="C715" s="4" t="s">
        <v>727</v>
      </c>
      <c r="D715" s="4" t="s">
        <v>13</v>
      </c>
      <c r="E715" s="4">
        <v>18</v>
      </c>
      <c r="F715" s="4" t="str">
        <f>IF(Table1567[[#This Row],[Age]]&lt;=19,"Teenager",IF(Table1567[[#This Row],[Age]]&lt;=40,"Median","Old"))</f>
        <v>Teenager</v>
      </c>
      <c r="G715" s="4" t="s">
        <v>14</v>
      </c>
      <c r="H715" s="4">
        <v>1</v>
      </c>
      <c r="I715" s="4">
        <v>500</v>
      </c>
      <c r="J715" s="4">
        <v>500</v>
      </c>
      <c r="K715" s="4" t="str" cm="1">
        <f t="array" ref="K715">_xlfn.IFS(AND(Table1567[[#This Row],[Total Amount]]&gt;=1500),"Critical",AND(Table1567[[#This Row],[Total Amount]]&gt;=1000),"High",TRUE,"Normal")</f>
        <v>Normal</v>
      </c>
      <c r="L715" s="4" t="str">
        <f>IF(Table1567[[#This Row],[Total Amount]]&gt;=1000,"High",(IF(Table1567[[#This Row],[Total Amount]]&gt;=500,"Medium","Low")))</f>
        <v>Medium</v>
      </c>
      <c r="M715" s="4" t="str" cm="1">
        <f t="array" ref="M71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715" s="4" cm="1">
        <f t="array" ref="N71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715" s="4">
        <f>Table1567[[#This Row],[Total Amount]]-Table1567[[#This Row],[Discount Amount]]</f>
        <v>500</v>
      </c>
      <c r="P715" s="4" t="str">
        <f>IF(Table1567[[#This Row],[Total Amount]]&gt;=1000,"High","Low")</f>
        <v>Low</v>
      </c>
      <c r="Q715" s="4" t="str" cm="1">
        <f t="array" ref="Q715">_xlfn.IFS(AND(Table1567[[#This Row],[Total Amount]]&gt;=1500,"Critical"),AND(Table1567[[#This Row],[Total Amount]]&gt;=1000,"High"),TRUE,"Normal")</f>
        <v>Normal</v>
      </c>
      <c r="R715" s="4" t="str">
        <f>CONCATENATE(Table1567[[#This Row],[Customer ID]], "-",Table1567[[#This Row],[Age]])</f>
        <v>CUST714-18</v>
      </c>
      <c r="S715" s="4" t="str">
        <f>TEXT(Table1567[[#This Row],[Date]],"mmm")</f>
        <v>Feb</v>
      </c>
      <c r="T715" s="4" t="str">
        <f>TEXT(Table1567[[#This Row],[Date]],"DDD")</f>
        <v>Sun</v>
      </c>
    </row>
    <row r="716" spans="1:20" ht="29" x14ac:dyDescent="0.35">
      <c r="A716" s="4">
        <v>715</v>
      </c>
      <c r="B716" s="5">
        <v>45256</v>
      </c>
      <c r="C716" s="4" t="s">
        <v>728</v>
      </c>
      <c r="D716" s="4" t="s">
        <v>13</v>
      </c>
      <c r="E716" s="4">
        <v>42</v>
      </c>
      <c r="F716" s="4" t="str">
        <f>IF(Table1567[[#This Row],[Age]]&lt;=19,"Teenager",IF(Table1567[[#This Row],[Age]]&lt;=40,"Median","Old"))</f>
        <v>Old</v>
      </c>
      <c r="G716" s="4" t="s">
        <v>11</v>
      </c>
      <c r="H716" s="4">
        <v>4</v>
      </c>
      <c r="I716" s="4">
        <v>25</v>
      </c>
      <c r="J716" s="4">
        <v>100</v>
      </c>
      <c r="K716" s="4" t="str" cm="1">
        <f t="array" ref="K716">_xlfn.IFS(AND(Table1567[[#This Row],[Total Amount]]&gt;=1500),"Critical",AND(Table1567[[#This Row],[Total Amount]]&gt;=1000),"High",TRUE,"Normal")</f>
        <v>Normal</v>
      </c>
      <c r="L716" s="4" t="str">
        <f>IF(Table1567[[#This Row],[Total Amount]]&gt;=1000,"High",(IF(Table1567[[#This Row],[Total Amount]]&gt;=500,"Medium","Low")))</f>
        <v>Low</v>
      </c>
      <c r="M716" s="4" t="str" cm="1">
        <f t="array" ref="M71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16" s="4" cm="1">
        <f t="array" ref="N71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716" s="4">
        <f>Table1567[[#This Row],[Total Amount]]-Table1567[[#This Row],[Discount Amount]]</f>
        <v>80</v>
      </c>
      <c r="P716" s="4" t="str">
        <f>IF(Table1567[[#This Row],[Total Amount]]&gt;=1000,"High","Low")</f>
        <v>Low</v>
      </c>
      <c r="Q716" s="4" t="str" cm="1">
        <f t="array" ref="Q716">_xlfn.IFS(AND(Table1567[[#This Row],[Total Amount]]&gt;=1500,"Critical"),AND(Table1567[[#This Row],[Total Amount]]&gt;=1000,"High"),TRUE,"Normal")</f>
        <v>Normal</v>
      </c>
      <c r="R716" s="4" t="str">
        <f>CONCATENATE(Table1567[[#This Row],[Customer ID]], "-",Table1567[[#This Row],[Age]])</f>
        <v>CUST715-42</v>
      </c>
      <c r="S716" s="4" t="str">
        <f>TEXT(Table1567[[#This Row],[Date]],"mmm")</f>
        <v>Nov</v>
      </c>
      <c r="T716" s="4" t="str">
        <f>TEXT(Table1567[[#This Row],[Date]],"DDD")</f>
        <v>Sun</v>
      </c>
    </row>
    <row r="717" spans="1:20" ht="29" x14ac:dyDescent="0.35">
      <c r="A717" s="4">
        <v>716</v>
      </c>
      <c r="B717" s="5">
        <v>45146</v>
      </c>
      <c r="C717" s="4" t="s">
        <v>729</v>
      </c>
      <c r="D717" s="4" t="s">
        <v>13</v>
      </c>
      <c r="E717" s="4">
        <v>60</v>
      </c>
      <c r="F717" s="4" t="str">
        <f>IF(Table1567[[#This Row],[Age]]&lt;=19,"Teenager",IF(Table1567[[#This Row],[Age]]&lt;=40,"Median","Old"))</f>
        <v>Old</v>
      </c>
      <c r="G717" s="4" t="s">
        <v>14</v>
      </c>
      <c r="H717" s="4">
        <v>4</v>
      </c>
      <c r="I717" s="4">
        <v>300</v>
      </c>
      <c r="J717" s="4">
        <v>1200</v>
      </c>
      <c r="K717" s="4" t="str" cm="1">
        <f t="array" ref="K717">_xlfn.IFS(AND(Table1567[[#This Row],[Total Amount]]&gt;=1500),"Critical",AND(Table1567[[#This Row],[Total Amount]]&gt;=1000),"High",TRUE,"Normal")</f>
        <v>High</v>
      </c>
      <c r="L717" s="4" t="str">
        <f>IF(Table1567[[#This Row],[Total Amount]]&gt;=1000,"High",(IF(Table1567[[#This Row],[Total Amount]]&gt;=500,"Medium","Low")))</f>
        <v>High</v>
      </c>
      <c r="M717" s="4" t="str" cm="1">
        <f t="array" ref="M71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17" s="4" cm="1">
        <f t="array" ref="N71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240</v>
      </c>
      <c r="O717" s="4">
        <f>Table1567[[#This Row],[Total Amount]]-Table1567[[#This Row],[Discount Amount]]</f>
        <v>960</v>
      </c>
      <c r="P717" s="4" t="str">
        <f>IF(Table1567[[#This Row],[Total Amount]]&gt;=1000,"High","Low")</f>
        <v>High</v>
      </c>
      <c r="Q717" s="4" t="str" cm="1">
        <f t="array" ref="Q717">_xlfn.IFS(AND(Table1567[[#This Row],[Total Amount]]&gt;=1500,"Critical"),AND(Table1567[[#This Row],[Total Amount]]&gt;=1000,"High"),TRUE,"Normal")</f>
        <v>Normal</v>
      </c>
      <c r="R717" s="4" t="str">
        <f>CONCATENATE(Table1567[[#This Row],[Customer ID]], "-",Table1567[[#This Row],[Age]])</f>
        <v>CUST716-60</v>
      </c>
      <c r="S717" s="4" t="str">
        <f>TEXT(Table1567[[#This Row],[Date]],"mmm")</f>
        <v>Aug</v>
      </c>
      <c r="T717" s="4" t="str">
        <f>TEXT(Table1567[[#This Row],[Date]],"DDD")</f>
        <v>Tue</v>
      </c>
    </row>
    <row r="718" spans="1:20" ht="29" x14ac:dyDescent="0.35">
      <c r="A718" s="4">
        <v>717</v>
      </c>
      <c r="B718" s="5">
        <v>44996</v>
      </c>
      <c r="C718" s="4" t="s">
        <v>730</v>
      </c>
      <c r="D718" s="4" t="s">
        <v>10</v>
      </c>
      <c r="E718" s="4">
        <v>57</v>
      </c>
      <c r="F718" s="4" t="str">
        <f>IF(Table1567[[#This Row],[Age]]&lt;=19,"Teenager",IF(Table1567[[#This Row],[Age]]&lt;=40,"Median","Old"))</f>
        <v>Old</v>
      </c>
      <c r="G718" s="4" t="s">
        <v>14</v>
      </c>
      <c r="H718" s="4">
        <v>1</v>
      </c>
      <c r="I718" s="4">
        <v>500</v>
      </c>
      <c r="J718" s="4">
        <v>500</v>
      </c>
      <c r="K718" s="4" t="str" cm="1">
        <f t="array" ref="K718">_xlfn.IFS(AND(Table1567[[#This Row],[Total Amount]]&gt;=1500),"Critical",AND(Table1567[[#This Row],[Total Amount]]&gt;=1000),"High",TRUE,"Normal")</f>
        <v>Normal</v>
      </c>
      <c r="L718" s="4" t="str">
        <f>IF(Table1567[[#This Row],[Total Amount]]&gt;=1000,"High",(IF(Table1567[[#This Row],[Total Amount]]&gt;=500,"Medium","Low")))</f>
        <v>Medium</v>
      </c>
      <c r="M718" s="4" t="str" cm="1">
        <f t="array" ref="M71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18" s="4" cm="1">
        <f t="array" ref="N71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50</v>
      </c>
      <c r="O718" s="4">
        <f>Table1567[[#This Row],[Total Amount]]-Table1567[[#This Row],[Discount Amount]]</f>
        <v>450</v>
      </c>
      <c r="P718" s="4" t="str">
        <f>IF(Table1567[[#This Row],[Total Amount]]&gt;=1000,"High","Low")</f>
        <v>Low</v>
      </c>
      <c r="Q718" s="4" t="str" cm="1">
        <f t="array" ref="Q718">_xlfn.IFS(AND(Table1567[[#This Row],[Total Amount]]&gt;=1500,"Critical"),AND(Table1567[[#This Row],[Total Amount]]&gt;=1000,"High"),TRUE,"Normal")</f>
        <v>Normal</v>
      </c>
      <c r="R718" s="4" t="str">
        <f>CONCATENATE(Table1567[[#This Row],[Customer ID]], "-",Table1567[[#This Row],[Age]])</f>
        <v>CUST717-57</v>
      </c>
      <c r="S718" s="4" t="str">
        <f>TEXT(Table1567[[#This Row],[Date]],"mmm")</f>
        <v>Mar</v>
      </c>
      <c r="T718" s="4" t="str">
        <f>TEXT(Table1567[[#This Row],[Date]],"DDD")</f>
        <v>Sat</v>
      </c>
    </row>
    <row r="719" spans="1:20" ht="29" x14ac:dyDescent="0.35">
      <c r="A719" s="4">
        <v>718</v>
      </c>
      <c r="B719" s="5">
        <v>45163</v>
      </c>
      <c r="C719" s="4" t="s">
        <v>731</v>
      </c>
      <c r="D719" s="4" t="s">
        <v>13</v>
      </c>
      <c r="E719" s="4">
        <v>59</v>
      </c>
      <c r="F719" s="4" t="str">
        <f>IF(Table1567[[#This Row],[Age]]&lt;=19,"Teenager",IF(Table1567[[#This Row],[Age]]&lt;=40,"Median","Old"))</f>
        <v>Old</v>
      </c>
      <c r="G719" s="4" t="s">
        <v>11</v>
      </c>
      <c r="H719" s="4">
        <v>3</v>
      </c>
      <c r="I719" s="4">
        <v>25</v>
      </c>
      <c r="J719" s="4">
        <v>75</v>
      </c>
      <c r="K719" s="4" t="str" cm="1">
        <f t="array" ref="K719">_xlfn.IFS(AND(Table1567[[#This Row],[Total Amount]]&gt;=1500),"Critical",AND(Table1567[[#This Row],[Total Amount]]&gt;=1000),"High",TRUE,"Normal")</f>
        <v>Normal</v>
      </c>
      <c r="L719" s="4" t="str">
        <f>IF(Table1567[[#This Row],[Total Amount]]&gt;=1000,"High",(IF(Table1567[[#This Row],[Total Amount]]&gt;=500,"Medium","Low")))</f>
        <v>Low</v>
      </c>
      <c r="M719" s="4" t="str" cm="1">
        <f t="array" ref="M71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19" s="4" cm="1">
        <f t="array" ref="N71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719" s="4">
        <f>Table1567[[#This Row],[Total Amount]]-Table1567[[#This Row],[Discount Amount]]</f>
        <v>60</v>
      </c>
      <c r="P719" s="4" t="str">
        <f>IF(Table1567[[#This Row],[Total Amount]]&gt;=1000,"High","Low")</f>
        <v>Low</v>
      </c>
      <c r="Q719" s="4" t="str" cm="1">
        <f t="array" ref="Q719">_xlfn.IFS(AND(Table1567[[#This Row],[Total Amount]]&gt;=1500,"Critical"),AND(Table1567[[#This Row],[Total Amount]]&gt;=1000,"High"),TRUE,"Normal")</f>
        <v>Normal</v>
      </c>
      <c r="R719" s="4" t="str">
        <f>CONCATENATE(Table1567[[#This Row],[Customer ID]], "-",Table1567[[#This Row],[Age]])</f>
        <v>CUST718-59</v>
      </c>
      <c r="S719" s="4" t="str">
        <f>TEXT(Table1567[[#This Row],[Date]],"mmm")</f>
        <v>Aug</v>
      </c>
      <c r="T719" s="4" t="str">
        <f>TEXT(Table1567[[#This Row],[Date]],"DDD")</f>
        <v>Fri</v>
      </c>
    </row>
    <row r="720" spans="1:20" ht="29" x14ac:dyDescent="0.35">
      <c r="A720" s="4">
        <v>719</v>
      </c>
      <c r="B720" s="5">
        <v>45020</v>
      </c>
      <c r="C720" s="4" t="s">
        <v>732</v>
      </c>
      <c r="D720" s="4" t="s">
        <v>13</v>
      </c>
      <c r="E720" s="4">
        <v>42</v>
      </c>
      <c r="F720" s="4" t="str">
        <f>IF(Table1567[[#This Row],[Age]]&lt;=19,"Teenager",IF(Table1567[[#This Row],[Age]]&lt;=40,"Median","Old"))</f>
        <v>Old</v>
      </c>
      <c r="G720" s="4" t="s">
        <v>14</v>
      </c>
      <c r="H720" s="4">
        <v>2</v>
      </c>
      <c r="I720" s="4">
        <v>30</v>
      </c>
      <c r="J720" s="4">
        <v>60</v>
      </c>
      <c r="K720" s="4" t="str" cm="1">
        <f t="array" ref="K720">_xlfn.IFS(AND(Table1567[[#This Row],[Total Amount]]&gt;=1500),"Critical",AND(Table1567[[#This Row],[Total Amount]]&gt;=1000),"High",TRUE,"Normal")</f>
        <v>Normal</v>
      </c>
      <c r="L720" s="4" t="str">
        <f>IF(Table1567[[#This Row],[Total Amount]]&gt;=1000,"High",(IF(Table1567[[#This Row],[Total Amount]]&gt;=500,"Medium","Low")))</f>
        <v>Low</v>
      </c>
      <c r="M720" s="4" t="str" cm="1">
        <f t="array" ref="M72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20" s="4" cm="1">
        <f t="array" ref="N72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720" s="4">
        <f>Table1567[[#This Row],[Total Amount]]-Table1567[[#This Row],[Discount Amount]]</f>
        <v>48</v>
      </c>
      <c r="P720" s="4" t="str">
        <f>IF(Table1567[[#This Row],[Total Amount]]&gt;=1000,"High","Low")</f>
        <v>Low</v>
      </c>
      <c r="Q720" s="4" t="str" cm="1">
        <f t="array" ref="Q720">_xlfn.IFS(AND(Table1567[[#This Row],[Total Amount]]&gt;=1500,"Critical"),AND(Table1567[[#This Row],[Total Amount]]&gt;=1000,"High"),TRUE,"Normal")</f>
        <v>Normal</v>
      </c>
      <c r="R720" s="4" t="str">
        <f>CONCATENATE(Table1567[[#This Row],[Customer ID]], "-",Table1567[[#This Row],[Age]])</f>
        <v>CUST719-42</v>
      </c>
      <c r="S720" s="4" t="str">
        <f>TEXT(Table1567[[#This Row],[Date]],"mmm")</f>
        <v>Apr</v>
      </c>
      <c r="T720" s="4" t="str">
        <f>TEXT(Table1567[[#This Row],[Date]],"DDD")</f>
        <v>Tue</v>
      </c>
    </row>
    <row r="721" spans="1:20" ht="29" x14ac:dyDescent="0.35">
      <c r="A721" s="4">
        <v>720</v>
      </c>
      <c r="B721" s="5">
        <v>44952</v>
      </c>
      <c r="C721" s="4" t="s">
        <v>733</v>
      </c>
      <c r="D721" s="4" t="s">
        <v>13</v>
      </c>
      <c r="E721" s="4">
        <v>56</v>
      </c>
      <c r="F721" s="4" t="str">
        <f>IF(Table1567[[#This Row],[Age]]&lt;=19,"Teenager",IF(Table1567[[#This Row],[Age]]&lt;=40,"Median","Old"))</f>
        <v>Old</v>
      </c>
      <c r="G721" s="4" t="s">
        <v>11</v>
      </c>
      <c r="H721" s="4">
        <v>3</v>
      </c>
      <c r="I721" s="4">
        <v>500</v>
      </c>
      <c r="J721" s="4">
        <v>1500</v>
      </c>
      <c r="K721" s="4" t="str" cm="1">
        <f t="array" ref="K721">_xlfn.IFS(AND(Table1567[[#This Row],[Total Amount]]&gt;=1500),"Critical",AND(Table1567[[#This Row],[Total Amount]]&gt;=1000),"High",TRUE,"Normal")</f>
        <v>Critical</v>
      </c>
      <c r="L721" s="4" t="str">
        <f>IF(Table1567[[#This Row],[Total Amount]]&gt;=1000,"High",(IF(Table1567[[#This Row],[Total Amount]]&gt;=500,"Medium","Low")))</f>
        <v>High</v>
      </c>
      <c r="M721" s="4" t="str" cm="1">
        <f t="array" ref="M72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21" s="4" cm="1">
        <f t="array" ref="N72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721" s="4">
        <f>Table1567[[#This Row],[Total Amount]]-Table1567[[#This Row],[Discount Amount]]</f>
        <v>1200</v>
      </c>
      <c r="P721" s="4" t="str">
        <f>IF(Table1567[[#This Row],[Total Amount]]&gt;=1000,"High","Low")</f>
        <v>High</v>
      </c>
      <c r="Q721" s="4" t="b" cm="1">
        <f t="array" ref="Q721">_xlfn.IFS(AND(Table1567[[#This Row],[Total Amount]]&gt;=1500,"Critical"),AND(Table1567[[#This Row],[Total Amount]]&gt;=1000,"High"),TRUE,"Normal")</f>
        <v>1</v>
      </c>
      <c r="R721" s="4" t="str">
        <f>CONCATENATE(Table1567[[#This Row],[Customer ID]], "-",Table1567[[#This Row],[Age]])</f>
        <v>CUST720-56</v>
      </c>
      <c r="S721" s="4" t="str">
        <f>TEXT(Table1567[[#This Row],[Date]],"mmm")</f>
        <v>Jan</v>
      </c>
      <c r="T721" s="4" t="str">
        <f>TEXT(Table1567[[#This Row],[Date]],"DDD")</f>
        <v>Thu</v>
      </c>
    </row>
    <row r="722" spans="1:20" ht="29" x14ac:dyDescent="0.35">
      <c r="A722" s="4">
        <v>721</v>
      </c>
      <c r="B722" s="5">
        <v>45060</v>
      </c>
      <c r="C722" s="4" t="s">
        <v>734</v>
      </c>
      <c r="D722" s="4" t="s">
        <v>13</v>
      </c>
      <c r="E722" s="4">
        <v>52</v>
      </c>
      <c r="F722" s="4" t="str">
        <f>IF(Table1567[[#This Row],[Age]]&lt;=19,"Teenager",IF(Table1567[[#This Row],[Age]]&lt;=40,"Median","Old"))</f>
        <v>Old</v>
      </c>
      <c r="G722" s="4" t="s">
        <v>14</v>
      </c>
      <c r="H722" s="4">
        <v>1</v>
      </c>
      <c r="I722" s="4">
        <v>500</v>
      </c>
      <c r="J722" s="4">
        <v>500</v>
      </c>
      <c r="K722" s="4" t="str" cm="1">
        <f t="array" ref="K722">_xlfn.IFS(AND(Table1567[[#This Row],[Total Amount]]&gt;=1500),"Critical",AND(Table1567[[#This Row],[Total Amount]]&gt;=1000),"High",TRUE,"Normal")</f>
        <v>Normal</v>
      </c>
      <c r="L722" s="4" t="str">
        <f>IF(Table1567[[#This Row],[Total Amount]]&gt;=1000,"High",(IF(Table1567[[#This Row],[Total Amount]]&gt;=500,"Medium","Low")))</f>
        <v>Medium</v>
      </c>
      <c r="M722" s="4" t="str" cm="1">
        <f t="array" ref="M72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22" s="4" cm="1">
        <f t="array" ref="N72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722" s="4">
        <f>Table1567[[#This Row],[Total Amount]]-Table1567[[#This Row],[Discount Amount]]</f>
        <v>400</v>
      </c>
      <c r="P722" s="4" t="str">
        <f>IF(Table1567[[#This Row],[Total Amount]]&gt;=1000,"High","Low")</f>
        <v>Low</v>
      </c>
      <c r="Q722" s="4" t="str" cm="1">
        <f t="array" ref="Q722">_xlfn.IFS(AND(Table1567[[#This Row],[Total Amount]]&gt;=1500,"Critical"),AND(Table1567[[#This Row],[Total Amount]]&gt;=1000,"High"),TRUE,"Normal")</f>
        <v>Normal</v>
      </c>
      <c r="R722" s="4" t="str">
        <f>CONCATENATE(Table1567[[#This Row],[Customer ID]], "-",Table1567[[#This Row],[Age]])</f>
        <v>CUST721-52</v>
      </c>
      <c r="S722" s="4" t="str">
        <f>TEXT(Table1567[[#This Row],[Date]],"mmm")</f>
        <v>May</v>
      </c>
      <c r="T722" s="4" t="str">
        <f>TEXT(Table1567[[#This Row],[Date]],"DDD")</f>
        <v>Sun</v>
      </c>
    </row>
    <row r="723" spans="1:20" ht="29" x14ac:dyDescent="0.35">
      <c r="A723" s="4">
        <v>722</v>
      </c>
      <c r="B723" s="5">
        <v>45121</v>
      </c>
      <c r="C723" s="4" t="s">
        <v>735</v>
      </c>
      <c r="D723" s="4" t="s">
        <v>10</v>
      </c>
      <c r="E723" s="4">
        <v>20</v>
      </c>
      <c r="F723" s="4" t="str">
        <f>IF(Table1567[[#This Row],[Age]]&lt;=19,"Teenager",IF(Table1567[[#This Row],[Age]]&lt;=40,"Median","Old"))</f>
        <v>Median</v>
      </c>
      <c r="G723" s="4" t="s">
        <v>11</v>
      </c>
      <c r="H723" s="4">
        <v>3</v>
      </c>
      <c r="I723" s="4">
        <v>300</v>
      </c>
      <c r="J723" s="4">
        <v>900</v>
      </c>
      <c r="K723" s="4" t="str" cm="1">
        <f t="array" ref="K723">_xlfn.IFS(AND(Table1567[[#This Row],[Total Amount]]&gt;=1500),"Critical",AND(Table1567[[#This Row],[Total Amount]]&gt;=1000),"High",TRUE,"Normal")</f>
        <v>Normal</v>
      </c>
      <c r="L723" s="4" t="str">
        <f>IF(Table1567[[#This Row],[Total Amount]]&gt;=1000,"High",(IF(Table1567[[#This Row],[Total Amount]]&gt;=500,"Medium","Low")))</f>
        <v>Medium</v>
      </c>
      <c r="M723" s="4" t="str" cm="1">
        <f t="array" ref="M72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723" s="4" cm="1">
        <f t="array" ref="N72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723" s="4">
        <f>Table1567[[#This Row],[Total Amount]]-Table1567[[#This Row],[Discount Amount]]</f>
        <v>900</v>
      </c>
      <c r="P723" s="4" t="str">
        <f>IF(Table1567[[#This Row],[Total Amount]]&gt;=1000,"High","Low")</f>
        <v>Low</v>
      </c>
      <c r="Q723" s="4" t="str" cm="1">
        <f t="array" ref="Q723">_xlfn.IFS(AND(Table1567[[#This Row],[Total Amount]]&gt;=1500,"Critical"),AND(Table1567[[#This Row],[Total Amount]]&gt;=1000,"High"),TRUE,"Normal")</f>
        <v>Normal</v>
      </c>
      <c r="R723" s="4" t="str">
        <f>CONCATENATE(Table1567[[#This Row],[Customer ID]], "-",Table1567[[#This Row],[Age]])</f>
        <v>CUST722-20</v>
      </c>
      <c r="S723" s="4" t="str">
        <f>TEXT(Table1567[[#This Row],[Date]],"mmm")</f>
        <v>Jul</v>
      </c>
      <c r="T723" s="4" t="str">
        <f>TEXT(Table1567[[#This Row],[Date]],"DDD")</f>
        <v>Fri</v>
      </c>
    </row>
    <row r="724" spans="1:20" ht="29" x14ac:dyDescent="0.35">
      <c r="A724" s="4">
        <v>723</v>
      </c>
      <c r="B724" s="5">
        <v>45094</v>
      </c>
      <c r="C724" s="4" t="s">
        <v>736</v>
      </c>
      <c r="D724" s="4" t="s">
        <v>13</v>
      </c>
      <c r="E724" s="4">
        <v>54</v>
      </c>
      <c r="F724" s="4" t="str">
        <f>IF(Table1567[[#This Row],[Age]]&lt;=19,"Teenager",IF(Table1567[[#This Row],[Age]]&lt;=40,"Median","Old"))</f>
        <v>Old</v>
      </c>
      <c r="G724" s="4" t="s">
        <v>11</v>
      </c>
      <c r="H724" s="4">
        <v>4</v>
      </c>
      <c r="I724" s="4">
        <v>50</v>
      </c>
      <c r="J724" s="4">
        <v>200</v>
      </c>
      <c r="K724" s="4" t="str" cm="1">
        <f t="array" ref="K724">_xlfn.IFS(AND(Table1567[[#This Row],[Total Amount]]&gt;=1500),"Critical",AND(Table1567[[#This Row],[Total Amount]]&gt;=1000),"High",TRUE,"Normal")</f>
        <v>Normal</v>
      </c>
      <c r="L724" s="4" t="str">
        <f>IF(Table1567[[#This Row],[Total Amount]]&gt;=1000,"High",(IF(Table1567[[#This Row],[Total Amount]]&gt;=500,"Medium","Low")))</f>
        <v>Low</v>
      </c>
      <c r="M724" s="4" t="str" cm="1">
        <f t="array" ref="M72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24" s="4" cm="1">
        <f t="array" ref="N72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</v>
      </c>
      <c r="O724" s="4">
        <f>Table1567[[#This Row],[Total Amount]]-Table1567[[#This Row],[Discount Amount]]</f>
        <v>160</v>
      </c>
      <c r="P724" s="4" t="str">
        <f>IF(Table1567[[#This Row],[Total Amount]]&gt;=1000,"High","Low")</f>
        <v>Low</v>
      </c>
      <c r="Q724" s="4" t="str" cm="1">
        <f t="array" ref="Q724">_xlfn.IFS(AND(Table1567[[#This Row],[Total Amount]]&gt;=1500,"Critical"),AND(Table1567[[#This Row],[Total Amount]]&gt;=1000,"High"),TRUE,"Normal")</f>
        <v>Normal</v>
      </c>
      <c r="R724" s="4" t="str">
        <f>CONCATENATE(Table1567[[#This Row],[Customer ID]], "-",Table1567[[#This Row],[Age]])</f>
        <v>CUST723-54</v>
      </c>
      <c r="S724" s="4" t="str">
        <f>TEXT(Table1567[[#This Row],[Date]],"mmm")</f>
        <v>Jun</v>
      </c>
      <c r="T724" s="4" t="str">
        <f>TEXT(Table1567[[#This Row],[Date]],"DDD")</f>
        <v>Sat</v>
      </c>
    </row>
    <row r="725" spans="1:20" ht="29" x14ac:dyDescent="0.35">
      <c r="A725" s="4">
        <v>724</v>
      </c>
      <c r="B725" s="5">
        <v>45035</v>
      </c>
      <c r="C725" s="4" t="s">
        <v>737</v>
      </c>
      <c r="D725" s="4" t="s">
        <v>10</v>
      </c>
      <c r="E725" s="4">
        <v>61</v>
      </c>
      <c r="F725" s="4" t="str">
        <f>IF(Table1567[[#This Row],[Age]]&lt;=19,"Teenager",IF(Table1567[[#This Row],[Age]]&lt;=40,"Median","Old"))</f>
        <v>Old</v>
      </c>
      <c r="G725" s="4" t="s">
        <v>14</v>
      </c>
      <c r="H725" s="4">
        <v>3</v>
      </c>
      <c r="I725" s="4">
        <v>50</v>
      </c>
      <c r="J725" s="4">
        <v>150</v>
      </c>
      <c r="K725" s="4" t="str" cm="1">
        <f t="array" ref="K725">_xlfn.IFS(AND(Table1567[[#This Row],[Total Amount]]&gt;=1500),"Critical",AND(Table1567[[#This Row],[Total Amount]]&gt;=1000),"High",TRUE,"Normal")</f>
        <v>Normal</v>
      </c>
      <c r="L725" s="4" t="str">
        <f>IF(Table1567[[#This Row],[Total Amount]]&gt;=1000,"High",(IF(Table1567[[#This Row],[Total Amount]]&gt;=500,"Medium","Low")))</f>
        <v>Low</v>
      </c>
      <c r="M725" s="4" t="str" cm="1">
        <f t="array" ref="M72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25" s="4" cm="1">
        <f t="array" ref="N72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725" s="4">
        <f>Table1567[[#This Row],[Total Amount]]-Table1567[[#This Row],[Discount Amount]]</f>
        <v>135</v>
      </c>
      <c r="P725" s="4" t="str">
        <f>IF(Table1567[[#This Row],[Total Amount]]&gt;=1000,"High","Low")</f>
        <v>Low</v>
      </c>
      <c r="Q725" s="4" t="str" cm="1">
        <f t="array" ref="Q725">_xlfn.IFS(AND(Table1567[[#This Row],[Total Amount]]&gt;=1500,"Critical"),AND(Table1567[[#This Row],[Total Amount]]&gt;=1000,"High"),TRUE,"Normal")</f>
        <v>Normal</v>
      </c>
      <c r="R725" s="4" t="str">
        <f>CONCATENATE(Table1567[[#This Row],[Customer ID]], "-",Table1567[[#This Row],[Age]])</f>
        <v>CUST724-61</v>
      </c>
      <c r="S725" s="4" t="str">
        <f>TEXT(Table1567[[#This Row],[Date]],"mmm")</f>
        <v>Apr</v>
      </c>
      <c r="T725" s="4" t="str">
        <f>TEXT(Table1567[[#This Row],[Date]],"DDD")</f>
        <v>Wed</v>
      </c>
    </row>
    <row r="726" spans="1:20" ht="29" x14ac:dyDescent="0.35">
      <c r="A726" s="4">
        <v>725</v>
      </c>
      <c r="B726" s="5">
        <v>45159</v>
      </c>
      <c r="C726" s="4" t="s">
        <v>738</v>
      </c>
      <c r="D726" s="4" t="s">
        <v>10</v>
      </c>
      <c r="E726" s="4">
        <v>61</v>
      </c>
      <c r="F726" s="4" t="str">
        <f>IF(Table1567[[#This Row],[Age]]&lt;=19,"Teenager",IF(Table1567[[#This Row],[Age]]&lt;=40,"Median","Old"))</f>
        <v>Old</v>
      </c>
      <c r="G726" s="4" t="s">
        <v>16</v>
      </c>
      <c r="H726" s="4">
        <v>1</v>
      </c>
      <c r="I726" s="4">
        <v>300</v>
      </c>
      <c r="J726" s="4">
        <v>300</v>
      </c>
      <c r="K726" s="4" t="str" cm="1">
        <f t="array" ref="K726">_xlfn.IFS(AND(Table1567[[#This Row],[Total Amount]]&gt;=1500),"Critical",AND(Table1567[[#This Row],[Total Amount]]&gt;=1000),"High",TRUE,"Normal")</f>
        <v>Normal</v>
      </c>
      <c r="L726" s="4" t="str">
        <f>IF(Table1567[[#This Row],[Total Amount]]&gt;=1000,"High",(IF(Table1567[[#This Row],[Total Amount]]&gt;=500,"Medium","Low")))</f>
        <v>Low</v>
      </c>
      <c r="M726" s="4" t="str" cm="1">
        <f t="array" ref="M72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26" s="4" cm="1">
        <f t="array" ref="N72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726" s="4">
        <f>Table1567[[#This Row],[Total Amount]]-Table1567[[#This Row],[Discount Amount]]</f>
        <v>270</v>
      </c>
      <c r="P726" s="4" t="str">
        <f>IF(Table1567[[#This Row],[Total Amount]]&gt;=1000,"High","Low")</f>
        <v>Low</v>
      </c>
      <c r="Q726" s="4" t="str" cm="1">
        <f t="array" ref="Q726">_xlfn.IFS(AND(Table1567[[#This Row],[Total Amount]]&gt;=1500,"Critical"),AND(Table1567[[#This Row],[Total Amount]]&gt;=1000,"High"),TRUE,"Normal")</f>
        <v>Normal</v>
      </c>
      <c r="R726" s="4" t="str">
        <f>CONCATENATE(Table1567[[#This Row],[Customer ID]], "-",Table1567[[#This Row],[Age]])</f>
        <v>CUST725-61</v>
      </c>
      <c r="S726" s="4" t="str">
        <f>TEXT(Table1567[[#This Row],[Date]],"mmm")</f>
        <v>Aug</v>
      </c>
      <c r="T726" s="4" t="str">
        <f>TEXT(Table1567[[#This Row],[Date]],"DDD")</f>
        <v>Mon</v>
      </c>
    </row>
    <row r="727" spans="1:20" ht="29" x14ac:dyDescent="0.35">
      <c r="A727" s="4">
        <v>726</v>
      </c>
      <c r="B727" s="5">
        <v>45094</v>
      </c>
      <c r="C727" s="4" t="s">
        <v>739</v>
      </c>
      <c r="D727" s="4" t="s">
        <v>10</v>
      </c>
      <c r="E727" s="4">
        <v>47</v>
      </c>
      <c r="F727" s="4" t="str">
        <f>IF(Table1567[[#This Row],[Age]]&lt;=19,"Teenager",IF(Table1567[[#This Row],[Age]]&lt;=40,"Median","Old"))</f>
        <v>Old</v>
      </c>
      <c r="G727" s="4" t="s">
        <v>14</v>
      </c>
      <c r="H727" s="4">
        <v>4</v>
      </c>
      <c r="I727" s="4">
        <v>300</v>
      </c>
      <c r="J727" s="4">
        <v>1200</v>
      </c>
      <c r="K727" s="4" t="str" cm="1">
        <f t="array" ref="K727">_xlfn.IFS(AND(Table1567[[#This Row],[Total Amount]]&gt;=1500),"Critical",AND(Table1567[[#This Row],[Total Amount]]&gt;=1000),"High",TRUE,"Normal")</f>
        <v>High</v>
      </c>
      <c r="L727" s="4" t="str">
        <f>IF(Table1567[[#This Row],[Total Amount]]&gt;=1000,"High",(IF(Table1567[[#This Row],[Total Amount]]&gt;=500,"Medium","Low")))</f>
        <v>High</v>
      </c>
      <c r="M727" s="4" t="str" cm="1">
        <f t="array" ref="M72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27" s="4" cm="1">
        <f t="array" ref="N72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727" s="4">
        <f>Table1567[[#This Row],[Total Amount]]-Table1567[[#This Row],[Discount Amount]]</f>
        <v>1080</v>
      </c>
      <c r="P727" s="4" t="str">
        <f>IF(Table1567[[#This Row],[Total Amount]]&gt;=1000,"High","Low")</f>
        <v>High</v>
      </c>
      <c r="Q727" s="4" t="str" cm="1">
        <f t="array" ref="Q727">_xlfn.IFS(AND(Table1567[[#This Row],[Total Amount]]&gt;=1500,"Critical"),AND(Table1567[[#This Row],[Total Amount]]&gt;=1000,"High"),TRUE,"Normal")</f>
        <v>Normal</v>
      </c>
      <c r="R727" s="4" t="str">
        <f>CONCATENATE(Table1567[[#This Row],[Customer ID]], "-",Table1567[[#This Row],[Age]])</f>
        <v>CUST726-47</v>
      </c>
      <c r="S727" s="4" t="str">
        <f>TEXT(Table1567[[#This Row],[Date]],"mmm")</f>
        <v>Jun</v>
      </c>
      <c r="T727" s="4" t="str">
        <f>TEXT(Table1567[[#This Row],[Date]],"DDD")</f>
        <v>Sat</v>
      </c>
    </row>
    <row r="728" spans="1:20" ht="29" x14ac:dyDescent="0.35">
      <c r="A728" s="4">
        <v>727</v>
      </c>
      <c r="B728" s="5">
        <v>45099</v>
      </c>
      <c r="C728" s="4" t="s">
        <v>740</v>
      </c>
      <c r="D728" s="4" t="s">
        <v>10</v>
      </c>
      <c r="E728" s="4">
        <v>55</v>
      </c>
      <c r="F728" s="4" t="str">
        <f>IF(Table1567[[#This Row],[Age]]&lt;=19,"Teenager",IF(Table1567[[#This Row],[Age]]&lt;=40,"Median","Old"))</f>
        <v>Old</v>
      </c>
      <c r="G728" s="4" t="s">
        <v>11</v>
      </c>
      <c r="H728" s="4">
        <v>3</v>
      </c>
      <c r="I728" s="4">
        <v>300</v>
      </c>
      <c r="J728" s="4">
        <v>900</v>
      </c>
      <c r="K728" s="4" t="str" cm="1">
        <f t="array" ref="K728">_xlfn.IFS(AND(Table1567[[#This Row],[Total Amount]]&gt;=1500),"Critical",AND(Table1567[[#This Row],[Total Amount]]&gt;=1000),"High",TRUE,"Normal")</f>
        <v>Normal</v>
      </c>
      <c r="L728" s="4" t="str">
        <f>IF(Table1567[[#This Row],[Total Amount]]&gt;=1000,"High",(IF(Table1567[[#This Row],[Total Amount]]&gt;=500,"Medium","Low")))</f>
        <v>Medium</v>
      </c>
      <c r="M728" s="4" t="str" cm="1">
        <f t="array" ref="M72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28" s="4" cm="1">
        <f t="array" ref="N72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728" s="4">
        <f>Table1567[[#This Row],[Total Amount]]-Table1567[[#This Row],[Discount Amount]]</f>
        <v>810</v>
      </c>
      <c r="P728" s="4" t="str">
        <f>IF(Table1567[[#This Row],[Total Amount]]&gt;=1000,"High","Low")</f>
        <v>Low</v>
      </c>
      <c r="Q728" s="4" t="str" cm="1">
        <f t="array" ref="Q728">_xlfn.IFS(AND(Table1567[[#This Row],[Total Amount]]&gt;=1500,"Critical"),AND(Table1567[[#This Row],[Total Amount]]&gt;=1000,"High"),TRUE,"Normal")</f>
        <v>Normal</v>
      </c>
      <c r="R728" s="4" t="str">
        <f>CONCATENATE(Table1567[[#This Row],[Customer ID]], "-",Table1567[[#This Row],[Age]])</f>
        <v>CUST727-55</v>
      </c>
      <c r="S728" s="4" t="str">
        <f>TEXT(Table1567[[#This Row],[Date]],"mmm")</f>
        <v>Jun</v>
      </c>
      <c r="T728" s="4" t="str">
        <f>TEXT(Table1567[[#This Row],[Date]],"DDD")</f>
        <v>Thu</v>
      </c>
    </row>
    <row r="729" spans="1:20" ht="29" x14ac:dyDescent="0.35">
      <c r="A729" s="4">
        <v>728</v>
      </c>
      <c r="B729" s="5">
        <v>45121</v>
      </c>
      <c r="C729" s="4" t="s">
        <v>741</v>
      </c>
      <c r="D729" s="4" t="s">
        <v>10</v>
      </c>
      <c r="E729" s="4">
        <v>51</v>
      </c>
      <c r="F729" s="4" t="str">
        <f>IF(Table1567[[#This Row],[Age]]&lt;=19,"Teenager",IF(Table1567[[#This Row],[Age]]&lt;=40,"Median","Old"))</f>
        <v>Old</v>
      </c>
      <c r="G729" s="4" t="s">
        <v>16</v>
      </c>
      <c r="H729" s="4">
        <v>3</v>
      </c>
      <c r="I729" s="4">
        <v>50</v>
      </c>
      <c r="J729" s="4">
        <v>150</v>
      </c>
      <c r="K729" s="4" t="str" cm="1">
        <f t="array" ref="K729">_xlfn.IFS(AND(Table1567[[#This Row],[Total Amount]]&gt;=1500),"Critical",AND(Table1567[[#This Row],[Total Amount]]&gt;=1000),"High",TRUE,"Normal")</f>
        <v>Normal</v>
      </c>
      <c r="L729" s="4" t="str">
        <f>IF(Table1567[[#This Row],[Total Amount]]&gt;=1000,"High",(IF(Table1567[[#This Row],[Total Amount]]&gt;=500,"Medium","Low")))</f>
        <v>Low</v>
      </c>
      <c r="M729" s="4" t="str" cm="1">
        <f t="array" ref="M72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29" s="4" cm="1">
        <f t="array" ref="N72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729" s="4">
        <f>Table1567[[#This Row],[Total Amount]]-Table1567[[#This Row],[Discount Amount]]</f>
        <v>135</v>
      </c>
      <c r="P729" s="4" t="str">
        <f>IF(Table1567[[#This Row],[Total Amount]]&gt;=1000,"High","Low")</f>
        <v>Low</v>
      </c>
      <c r="Q729" s="4" t="str" cm="1">
        <f t="array" ref="Q729">_xlfn.IFS(AND(Table1567[[#This Row],[Total Amount]]&gt;=1500,"Critical"),AND(Table1567[[#This Row],[Total Amount]]&gt;=1000,"High"),TRUE,"Normal")</f>
        <v>Normal</v>
      </c>
      <c r="R729" s="4" t="str">
        <f>CONCATENATE(Table1567[[#This Row],[Customer ID]], "-",Table1567[[#This Row],[Age]])</f>
        <v>CUST728-51</v>
      </c>
      <c r="S729" s="4" t="str">
        <f>TEXT(Table1567[[#This Row],[Date]],"mmm")</f>
        <v>Jul</v>
      </c>
      <c r="T729" s="4" t="str">
        <f>TEXT(Table1567[[#This Row],[Date]],"DDD")</f>
        <v>Fri</v>
      </c>
    </row>
    <row r="730" spans="1:20" ht="29" x14ac:dyDescent="0.35">
      <c r="A730" s="4">
        <v>729</v>
      </c>
      <c r="B730" s="5">
        <v>45069</v>
      </c>
      <c r="C730" s="4" t="s">
        <v>742</v>
      </c>
      <c r="D730" s="4" t="s">
        <v>10</v>
      </c>
      <c r="E730" s="4">
        <v>29</v>
      </c>
      <c r="F730" s="4" t="str">
        <f>IF(Table1567[[#This Row],[Age]]&lt;=19,"Teenager",IF(Table1567[[#This Row],[Age]]&lt;=40,"Median","Old"))</f>
        <v>Median</v>
      </c>
      <c r="G730" s="4" t="s">
        <v>14</v>
      </c>
      <c r="H730" s="4">
        <v>4</v>
      </c>
      <c r="I730" s="4">
        <v>300</v>
      </c>
      <c r="J730" s="4">
        <v>1200</v>
      </c>
      <c r="K730" s="4" t="str" cm="1">
        <f t="array" ref="K730">_xlfn.IFS(AND(Table1567[[#This Row],[Total Amount]]&gt;=1500),"Critical",AND(Table1567[[#This Row],[Total Amount]]&gt;=1000),"High",TRUE,"Normal")</f>
        <v>High</v>
      </c>
      <c r="L730" s="4" t="str">
        <f>IF(Table1567[[#This Row],[Total Amount]]&gt;=1000,"High",(IF(Table1567[[#This Row],[Total Amount]]&gt;=500,"Medium","Low")))</f>
        <v>High</v>
      </c>
      <c r="M730" s="4" t="str" cm="1">
        <f t="array" ref="M73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30" s="4" cm="1">
        <f t="array" ref="N73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730" s="4">
        <f>Table1567[[#This Row],[Total Amount]]-Table1567[[#This Row],[Discount Amount]]</f>
        <v>1020</v>
      </c>
      <c r="P730" s="4" t="str">
        <f>IF(Table1567[[#This Row],[Total Amount]]&gt;=1000,"High","Low")</f>
        <v>High</v>
      </c>
      <c r="Q730" s="4" t="str" cm="1">
        <f t="array" ref="Q730">_xlfn.IFS(AND(Table1567[[#This Row],[Total Amount]]&gt;=1500,"Critical"),AND(Table1567[[#This Row],[Total Amount]]&gt;=1000,"High"),TRUE,"Normal")</f>
        <v>Normal</v>
      </c>
      <c r="R730" s="4" t="str">
        <f>CONCATENATE(Table1567[[#This Row],[Customer ID]], "-",Table1567[[#This Row],[Age]])</f>
        <v>CUST729-29</v>
      </c>
      <c r="S730" s="4" t="str">
        <f>TEXT(Table1567[[#This Row],[Date]],"mmm")</f>
        <v>May</v>
      </c>
      <c r="T730" s="4" t="str">
        <f>TEXT(Table1567[[#This Row],[Date]],"DDD")</f>
        <v>Tue</v>
      </c>
    </row>
    <row r="731" spans="1:20" ht="29" x14ac:dyDescent="0.35">
      <c r="A731" s="4">
        <v>730</v>
      </c>
      <c r="B731" s="5">
        <v>45142</v>
      </c>
      <c r="C731" s="4" t="s">
        <v>743</v>
      </c>
      <c r="D731" s="4" t="s">
        <v>13</v>
      </c>
      <c r="E731" s="4">
        <v>36</v>
      </c>
      <c r="F731" s="4" t="str">
        <f>IF(Table1567[[#This Row],[Age]]&lt;=19,"Teenager",IF(Table1567[[#This Row],[Age]]&lt;=40,"Median","Old"))</f>
        <v>Median</v>
      </c>
      <c r="G731" s="4" t="s">
        <v>14</v>
      </c>
      <c r="H731" s="4">
        <v>2</v>
      </c>
      <c r="I731" s="4">
        <v>25</v>
      </c>
      <c r="J731" s="4">
        <v>50</v>
      </c>
      <c r="K731" s="4" t="str" cm="1">
        <f t="array" ref="K731">_xlfn.IFS(AND(Table1567[[#This Row],[Total Amount]]&gt;=1500),"Critical",AND(Table1567[[#This Row],[Total Amount]]&gt;=1000),"High",TRUE,"Normal")</f>
        <v>Normal</v>
      </c>
      <c r="L731" s="4" t="str">
        <f>IF(Table1567[[#This Row],[Total Amount]]&gt;=1000,"High",(IF(Table1567[[#This Row],[Total Amount]]&gt;=500,"Medium","Low")))</f>
        <v>Low</v>
      </c>
      <c r="M731" s="4" t="str" cm="1">
        <f t="array" ref="M73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31" s="4" cm="1">
        <f t="array" ref="N73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731" s="4">
        <f>Table1567[[#This Row],[Total Amount]]-Table1567[[#This Row],[Discount Amount]]</f>
        <v>40</v>
      </c>
      <c r="P731" s="4" t="str">
        <f>IF(Table1567[[#This Row],[Total Amount]]&gt;=1000,"High","Low")</f>
        <v>Low</v>
      </c>
      <c r="Q731" s="4" t="str" cm="1">
        <f t="array" ref="Q731">_xlfn.IFS(AND(Table1567[[#This Row],[Total Amount]]&gt;=1500,"Critical"),AND(Table1567[[#This Row],[Total Amount]]&gt;=1000,"High"),TRUE,"Normal")</f>
        <v>Normal</v>
      </c>
      <c r="R731" s="4" t="str">
        <f>CONCATENATE(Table1567[[#This Row],[Customer ID]], "-",Table1567[[#This Row],[Age]])</f>
        <v>CUST730-36</v>
      </c>
      <c r="S731" s="4" t="str">
        <f>TEXT(Table1567[[#This Row],[Date]],"mmm")</f>
        <v>Aug</v>
      </c>
      <c r="T731" s="4" t="str">
        <f>TEXT(Table1567[[#This Row],[Date]],"DDD")</f>
        <v>Fri</v>
      </c>
    </row>
    <row r="732" spans="1:20" ht="29" x14ac:dyDescent="0.35">
      <c r="A732" s="4">
        <v>731</v>
      </c>
      <c r="B732" s="5">
        <v>45056</v>
      </c>
      <c r="C732" s="4" t="s">
        <v>744</v>
      </c>
      <c r="D732" s="4" t="s">
        <v>10</v>
      </c>
      <c r="E732" s="4">
        <v>54</v>
      </c>
      <c r="F732" s="4" t="str">
        <f>IF(Table1567[[#This Row],[Age]]&lt;=19,"Teenager",IF(Table1567[[#This Row],[Age]]&lt;=40,"Median","Old"))</f>
        <v>Old</v>
      </c>
      <c r="G732" s="4" t="s">
        <v>14</v>
      </c>
      <c r="H732" s="4">
        <v>4</v>
      </c>
      <c r="I732" s="4">
        <v>500</v>
      </c>
      <c r="J732" s="4">
        <v>2000</v>
      </c>
      <c r="K732" s="4" t="str" cm="1">
        <f t="array" ref="K732">_xlfn.IFS(AND(Table1567[[#This Row],[Total Amount]]&gt;=1500),"Critical",AND(Table1567[[#This Row],[Total Amount]]&gt;=1000),"High",TRUE,"Normal")</f>
        <v>Critical</v>
      </c>
      <c r="L732" s="4" t="str">
        <f>IF(Table1567[[#This Row],[Total Amount]]&gt;=1000,"High",(IF(Table1567[[#This Row],[Total Amount]]&gt;=500,"Medium","Low")))</f>
        <v>High</v>
      </c>
      <c r="M732" s="4" t="str" cm="1">
        <f t="array" ref="M73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32" s="4" cm="1">
        <f t="array" ref="N73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732" s="4">
        <f>Table1567[[#This Row],[Total Amount]]-Table1567[[#This Row],[Discount Amount]]</f>
        <v>1800</v>
      </c>
      <c r="P732" s="4" t="str">
        <f>IF(Table1567[[#This Row],[Total Amount]]&gt;=1000,"High","Low")</f>
        <v>High</v>
      </c>
      <c r="Q732" s="4" t="b" cm="1">
        <f t="array" ref="Q732">_xlfn.IFS(AND(Table1567[[#This Row],[Total Amount]]&gt;=1500,"Critical"),AND(Table1567[[#This Row],[Total Amount]]&gt;=1000,"High"),TRUE,"Normal")</f>
        <v>1</v>
      </c>
      <c r="R732" s="4" t="str">
        <f>CONCATENATE(Table1567[[#This Row],[Customer ID]], "-",Table1567[[#This Row],[Age]])</f>
        <v>CUST731-54</v>
      </c>
      <c r="S732" s="4" t="str">
        <f>TEXT(Table1567[[#This Row],[Date]],"mmm")</f>
        <v>May</v>
      </c>
      <c r="T732" s="4" t="str">
        <f>TEXT(Table1567[[#This Row],[Date]],"DDD")</f>
        <v>Wed</v>
      </c>
    </row>
    <row r="733" spans="1:20" ht="29" x14ac:dyDescent="0.35">
      <c r="A733" s="4">
        <v>732</v>
      </c>
      <c r="B733" s="5">
        <v>44968</v>
      </c>
      <c r="C733" s="4" t="s">
        <v>745</v>
      </c>
      <c r="D733" s="4" t="s">
        <v>10</v>
      </c>
      <c r="E733" s="4">
        <v>61</v>
      </c>
      <c r="F733" s="4" t="str">
        <f>IF(Table1567[[#This Row],[Age]]&lt;=19,"Teenager",IF(Table1567[[#This Row],[Age]]&lt;=40,"Median","Old"))</f>
        <v>Old</v>
      </c>
      <c r="G733" s="4" t="s">
        <v>16</v>
      </c>
      <c r="H733" s="4">
        <v>2</v>
      </c>
      <c r="I733" s="4">
        <v>500</v>
      </c>
      <c r="J733" s="4">
        <v>1000</v>
      </c>
      <c r="K733" s="4" t="str" cm="1">
        <f t="array" ref="K733">_xlfn.IFS(AND(Table1567[[#This Row],[Total Amount]]&gt;=1500),"Critical",AND(Table1567[[#This Row],[Total Amount]]&gt;=1000),"High",TRUE,"Normal")</f>
        <v>High</v>
      </c>
      <c r="L733" s="4" t="str">
        <f>IF(Table1567[[#This Row],[Total Amount]]&gt;=1000,"High",(IF(Table1567[[#This Row],[Total Amount]]&gt;=500,"Medium","Low")))</f>
        <v>High</v>
      </c>
      <c r="M733" s="4" t="str" cm="1">
        <f t="array" ref="M73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33" s="4" cm="1">
        <f t="array" ref="N73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733" s="4">
        <f>Table1567[[#This Row],[Total Amount]]-Table1567[[#This Row],[Discount Amount]]</f>
        <v>900</v>
      </c>
      <c r="P733" s="4" t="str">
        <f>IF(Table1567[[#This Row],[Total Amount]]&gt;=1000,"High","Low")</f>
        <v>High</v>
      </c>
      <c r="Q733" s="4" t="str" cm="1">
        <f t="array" ref="Q733">_xlfn.IFS(AND(Table1567[[#This Row],[Total Amount]]&gt;=1500,"Critical"),AND(Table1567[[#This Row],[Total Amount]]&gt;=1000,"High"),TRUE,"Normal")</f>
        <v>Normal</v>
      </c>
      <c r="R733" s="4" t="str">
        <f>CONCATENATE(Table1567[[#This Row],[Customer ID]], "-",Table1567[[#This Row],[Age]])</f>
        <v>CUST732-61</v>
      </c>
      <c r="S733" s="4" t="str">
        <f>TEXT(Table1567[[#This Row],[Date]],"mmm")</f>
        <v>Feb</v>
      </c>
      <c r="T733" s="4" t="str">
        <f>TEXT(Table1567[[#This Row],[Date]],"DDD")</f>
        <v>Sat</v>
      </c>
    </row>
    <row r="734" spans="1:20" ht="29" x14ac:dyDescent="0.35">
      <c r="A734" s="4">
        <v>733</v>
      </c>
      <c r="B734" s="5">
        <v>45167</v>
      </c>
      <c r="C734" s="4" t="s">
        <v>746</v>
      </c>
      <c r="D734" s="4" t="s">
        <v>10</v>
      </c>
      <c r="E734" s="4">
        <v>34</v>
      </c>
      <c r="F734" s="4" t="str">
        <f>IF(Table1567[[#This Row],[Age]]&lt;=19,"Teenager",IF(Table1567[[#This Row],[Age]]&lt;=40,"Median","Old"))</f>
        <v>Median</v>
      </c>
      <c r="G734" s="4" t="s">
        <v>11</v>
      </c>
      <c r="H734" s="4">
        <v>1</v>
      </c>
      <c r="I734" s="4">
        <v>30</v>
      </c>
      <c r="J734" s="4">
        <v>30</v>
      </c>
      <c r="K734" s="4" t="str" cm="1">
        <f t="array" ref="K734">_xlfn.IFS(AND(Table1567[[#This Row],[Total Amount]]&gt;=1500),"Critical",AND(Table1567[[#This Row],[Total Amount]]&gt;=1000),"High",TRUE,"Normal")</f>
        <v>Normal</v>
      </c>
      <c r="L734" s="4" t="str">
        <f>IF(Table1567[[#This Row],[Total Amount]]&gt;=1000,"High",(IF(Table1567[[#This Row],[Total Amount]]&gt;=500,"Medium","Low")))</f>
        <v>Low</v>
      </c>
      <c r="M734" s="4" t="str" cm="1">
        <f t="array" ref="M73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34" s="4" cm="1">
        <f t="array" ref="N73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4.5</v>
      </c>
      <c r="O734" s="4">
        <f>Table1567[[#This Row],[Total Amount]]-Table1567[[#This Row],[Discount Amount]]</f>
        <v>25.5</v>
      </c>
      <c r="P734" s="4" t="str">
        <f>IF(Table1567[[#This Row],[Total Amount]]&gt;=1000,"High","Low")</f>
        <v>Low</v>
      </c>
      <c r="Q734" s="4" t="str" cm="1">
        <f t="array" ref="Q734">_xlfn.IFS(AND(Table1567[[#This Row],[Total Amount]]&gt;=1500,"Critical"),AND(Table1567[[#This Row],[Total Amount]]&gt;=1000,"High"),TRUE,"Normal")</f>
        <v>Normal</v>
      </c>
      <c r="R734" s="4" t="str">
        <f>CONCATENATE(Table1567[[#This Row],[Customer ID]], "-",Table1567[[#This Row],[Age]])</f>
        <v>CUST733-34</v>
      </c>
      <c r="S734" s="4" t="str">
        <f>TEXT(Table1567[[#This Row],[Date]],"mmm")</f>
        <v>Aug</v>
      </c>
      <c r="T734" s="4" t="str">
        <f>TEXT(Table1567[[#This Row],[Date]],"DDD")</f>
        <v>Tue</v>
      </c>
    </row>
    <row r="735" spans="1:20" ht="29" x14ac:dyDescent="0.35">
      <c r="A735" s="4">
        <v>734</v>
      </c>
      <c r="B735" s="5">
        <v>44936</v>
      </c>
      <c r="C735" s="4" t="s">
        <v>747</v>
      </c>
      <c r="D735" s="4" t="s">
        <v>13</v>
      </c>
      <c r="E735" s="4">
        <v>27</v>
      </c>
      <c r="F735" s="4" t="str">
        <f>IF(Table1567[[#This Row],[Age]]&lt;=19,"Teenager",IF(Table1567[[#This Row],[Age]]&lt;=40,"Median","Old"))</f>
        <v>Median</v>
      </c>
      <c r="G735" s="4" t="s">
        <v>14</v>
      </c>
      <c r="H735" s="4">
        <v>1</v>
      </c>
      <c r="I735" s="4">
        <v>30</v>
      </c>
      <c r="J735" s="4">
        <v>30</v>
      </c>
      <c r="K735" s="4" t="str" cm="1">
        <f t="array" ref="K735">_xlfn.IFS(AND(Table1567[[#This Row],[Total Amount]]&gt;=1500),"Critical",AND(Table1567[[#This Row],[Total Amount]]&gt;=1000),"High",TRUE,"Normal")</f>
        <v>Normal</v>
      </c>
      <c r="L735" s="4" t="str">
        <f>IF(Table1567[[#This Row],[Total Amount]]&gt;=1000,"High",(IF(Table1567[[#This Row],[Total Amount]]&gt;=500,"Medium","Low")))</f>
        <v>Low</v>
      </c>
      <c r="M735" s="4" t="str" cm="1">
        <f t="array" ref="M73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35" s="4" cm="1">
        <f t="array" ref="N73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4.5</v>
      </c>
      <c r="O735" s="4">
        <f>Table1567[[#This Row],[Total Amount]]-Table1567[[#This Row],[Discount Amount]]</f>
        <v>25.5</v>
      </c>
      <c r="P735" s="4" t="str">
        <f>IF(Table1567[[#This Row],[Total Amount]]&gt;=1000,"High","Low")</f>
        <v>Low</v>
      </c>
      <c r="Q735" s="4" t="str" cm="1">
        <f t="array" ref="Q735">_xlfn.IFS(AND(Table1567[[#This Row],[Total Amount]]&gt;=1500,"Critical"),AND(Table1567[[#This Row],[Total Amount]]&gt;=1000,"High"),TRUE,"Normal")</f>
        <v>Normal</v>
      </c>
      <c r="R735" s="4" t="str">
        <f>CONCATENATE(Table1567[[#This Row],[Customer ID]], "-",Table1567[[#This Row],[Age]])</f>
        <v>CUST734-27</v>
      </c>
      <c r="S735" s="4" t="str">
        <f>TEXT(Table1567[[#This Row],[Date]],"mmm")</f>
        <v>Jan</v>
      </c>
      <c r="T735" s="4" t="str">
        <f>TEXT(Table1567[[#This Row],[Date]],"DDD")</f>
        <v>Tue</v>
      </c>
    </row>
    <row r="736" spans="1:20" ht="29" x14ac:dyDescent="0.35">
      <c r="A736" s="4">
        <v>735</v>
      </c>
      <c r="B736" s="5">
        <v>45203</v>
      </c>
      <c r="C736" s="4" t="s">
        <v>748</v>
      </c>
      <c r="D736" s="4" t="s">
        <v>13</v>
      </c>
      <c r="E736" s="4">
        <v>64</v>
      </c>
      <c r="F736" s="4" t="str">
        <f>IF(Table1567[[#This Row],[Age]]&lt;=19,"Teenager",IF(Table1567[[#This Row],[Age]]&lt;=40,"Median","Old"))</f>
        <v>Old</v>
      </c>
      <c r="G736" s="4" t="s">
        <v>14</v>
      </c>
      <c r="H736" s="4">
        <v>4</v>
      </c>
      <c r="I736" s="4">
        <v>500</v>
      </c>
      <c r="J736" s="4">
        <v>2000</v>
      </c>
      <c r="K736" s="4" t="str" cm="1">
        <f t="array" ref="K736">_xlfn.IFS(AND(Table1567[[#This Row],[Total Amount]]&gt;=1500),"Critical",AND(Table1567[[#This Row],[Total Amount]]&gt;=1000),"High",TRUE,"Normal")</f>
        <v>Critical</v>
      </c>
      <c r="L736" s="4" t="str">
        <f>IF(Table1567[[#This Row],[Total Amount]]&gt;=1000,"High",(IF(Table1567[[#This Row],[Total Amount]]&gt;=500,"Medium","Low")))</f>
        <v>High</v>
      </c>
      <c r="M736" s="4" t="str" cm="1">
        <f t="array" ref="M73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36" s="4" cm="1">
        <f t="array" ref="N73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400</v>
      </c>
      <c r="O736" s="4">
        <f>Table1567[[#This Row],[Total Amount]]-Table1567[[#This Row],[Discount Amount]]</f>
        <v>1600</v>
      </c>
      <c r="P736" s="4" t="str">
        <f>IF(Table1567[[#This Row],[Total Amount]]&gt;=1000,"High","Low")</f>
        <v>High</v>
      </c>
      <c r="Q736" s="4" t="b" cm="1">
        <f t="array" ref="Q736">_xlfn.IFS(AND(Table1567[[#This Row],[Total Amount]]&gt;=1500,"Critical"),AND(Table1567[[#This Row],[Total Amount]]&gt;=1000,"High"),TRUE,"Normal")</f>
        <v>1</v>
      </c>
      <c r="R736" s="4" t="str">
        <f>CONCATENATE(Table1567[[#This Row],[Customer ID]], "-",Table1567[[#This Row],[Age]])</f>
        <v>CUST735-64</v>
      </c>
      <c r="S736" s="4" t="str">
        <f>TEXT(Table1567[[#This Row],[Date]],"mmm")</f>
        <v>Oct</v>
      </c>
      <c r="T736" s="4" t="str">
        <f>TEXT(Table1567[[#This Row],[Date]],"DDD")</f>
        <v>Wed</v>
      </c>
    </row>
    <row r="737" spans="1:20" ht="29" x14ac:dyDescent="0.35">
      <c r="A737" s="4">
        <v>736</v>
      </c>
      <c r="B737" s="5">
        <v>44953</v>
      </c>
      <c r="C737" s="4" t="s">
        <v>749</v>
      </c>
      <c r="D737" s="4" t="s">
        <v>10</v>
      </c>
      <c r="E737" s="4">
        <v>29</v>
      </c>
      <c r="F737" s="4" t="str">
        <f>IF(Table1567[[#This Row],[Age]]&lt;=19,"Teenager",IF(Table1567[[#This Row],[Age]]&lt;=40,"Median","Old"))</f>
        <v>Median</v>
      </c>
      <c r="G737" s="4" t="s">
        <v>14</v>
      </c>
      <c r="H737" s="4">
        <v>4</v>
      </c>
      <c r="I737" s="4">
        <v>25</v>
      </c>
      <c r="J737" s="4">
        <v>100</v>
      </c>
      <c r="K737" s="4" t="str" cm="1">
        <f t="array" ref="K737">_xlfn.IFS(AND(Table1567[[#This Row],[Total Amount]]&gt;=1500),"Critical",AND(Table1567[[#This Row],[Total Amount]]&gt;=1000),"High",TRUE,"Normal")</f>
        <v>Normal</v>
      </c>
      <c r="L737" s="4" t="str">
        <f>IF(Table1567[[#This Row],[Total Amount]]&gt;=1000,"High",(IF(Table1567[[#This Row],[Total Amount]]&gt;=500,"Medium","Low")))</f>
        <v>Low</v>
      </c>
      <c r="M737" s="4" t="str" cm="1">
        <f t="array" ref="M73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37" s="4" cm="1">
        <f t="array" ref="N73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737" s="4">
        <f>Table1567[[#This Row],[Total Amount]]-Table1567[[#This Row],[Discount Amount]]</f>
        <v>85</v>
      </c>
      <c r="P737" s="4" t="str">
        <f>IF(Table1567[[#This Row],[Total Amount]]&gt;=1000,"High","Low")</f>
        <v>Low</v>
      </c>
      <c r="Q737" s="4" t="str" cm="1">
        <f t="array" ref="Q737">_xlfn.IFS(AND(Table1567[[#This Row],[Total Amount]]&gt;=1500,"Critical"),AND(Table1567[[#This Row],[Total Amount]]&gt;=1000,"High"),TRUE,"Normal")</f>
        <v>Normal</v>
      </c>
      <c r="R737" s="4" t="str">
        <f>CONCATENATE(Table1567[[#This Row],[Customer ID]], "-",Table1567[[#This Row],[Age]])</f>
        <v>CUST736-29</v>
      </c>
      <c r="S737" s="4" t="str">
        <f>TEXT(Table1567[[#This Row],[Date]],"mmm")</f>
        <v>Jan</v>
      </c>
      <c r="T737" s="4" t="str">
        <f>TEXT(Table1567[[#This Row],[Date]],"DDD")</f>
        <v>Fri</v>
      </c>
    </row>
    <row r="738" spans="1:20" ht="29" x14ac:dyDescent="0.35">
      <c r="A738" s="4">
        <v>737</v>
      </c>
      <c r="B738" s="5">
        <v>45106</v>
      </c>
      <c r="C738" s="4" t="s">
        <v>750</v>
      </c>
      <c r="D738" s="4" t="s">
        <v>13</v>
      </c>
      <c r="E738" s="4">
        <v>33</v>
      </c>
      <c r="F738" s="4" t="str">
        <f>IF(Table1567[[#This Row],[Age]]&lt;=19,"Teenager",IF(Table1567[[#This Row],[Age]]&lt;=40,"Median","Old"))</f>
        <v>Median</v>
      </c>
      <c r="G738" s="4" t="s">
        <v>14</v>
      </c>
      <c r="H738" s="4">
        <v>1</v>
      </c>
      <c r="I738" s="4">
        <v>50</v>
      </c>
      <c r="J738" s="4">
        <v>50</v>
      </c>
      <c r="K738" s="4" t="str" cm="1">
        <f t="array" ref="K738">_xlfn.IFS(AND(Table1567[[#This Row],[Total Amount]]&gt;=1500),"Critical",AND(Table1567[[#This Row],[Total Amount]]&gt;=1000),"High",TRUE,"Normal")</f>
        <v>Normal</v>
      </c>
      <c r="L738" s="4" t="str">
        <f>IF(Table1567[[#This Row],[Total Amount]]&gt;=1000,"High",(IF(Table1567[[#This Row],[Total Amount]]&gt;=500,"Medium","Low")))</f>
        <v>Low</v>
      </c>
      <c r="M738" s="4" t="str" cm="1">
        <f t="array" ref="M73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38" s="4" cm="1">
        <f t="array" ref="N73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738" s="4">
        <f>Table1567[[#This Row],[Total Amount]]-Table1567[[#This Row],[Discount Amount]]</f>
        <v>42.5</v>
      </c>
      <c r="P738" s="4" t="str">
        <f>IF(Table1567[[#This Row],[Total Amount]]&gt;=1000,"High","Low")</f>
        <v>Low</v>
      </c>
      <c r="Q738" s="4" t="str" cm="1">
        <f t="array" ref="Q738">_xlfn.IFS(AND(Table1567[[#This Row],[Total Amount]]&gt;=1500,"Critical"),AND(Table1567[[#This Row],[Total Amount]]&gt;=1000,"High"),TRUE,"Normal")</f>
        <v>Normal</v>
      </c>
      <c r="R738" s="4" t="str">
        <f>CONCATENATE(Table1567[[#This Row],[Customer ID]], "-",Table1567[[#This Row],[Age]])</f>
        <v>CUST737-33</v>
      </c>
      <c r="S738" s="4" t="str">
        <f>TEXT(Table1567[[#This Row],[Date]],"mmm")</f>
        <v>Jun</v>
      </c>
      <c r="T738" s="4" t="str">
        <f>TEXT(Table1567[[#This Row],[Date]],"DDD")</f>
        <v>Thu</v>
      </c>
    </row>
    <row r="739" spans="1:20" ht="29" x14ac:dyDescent="0.35">
      <c r="A739" s="4">
        <v>738</v>
      </c>
      <c r="B739" s="5">
        <v>45041</v>
      </c>
      <c r="C739" s="4" t="s">
        <v>751</v>
      </c>
      <c r="D739" s="4" t="s">
        <v>10</v>
      </c>
      <c r="E739" s="4">
        <v>41</v>
      </c>
      <c r="F739" s="4" t="str">
        <f>IF(Table1567[[#This Row],[Age]]&lt;=19,"Teenager",IF(Table1567[[#This Row],[Age]]&lt;=40,"Median","Old"))</f>
        <v>Old</v>
      </c>
      <c r="G739" s="4" t="s">
        <v>14</v>
      </c>
      <c r="H739" s="4">
        <v>2</v>
      </c>
      <c r="I739" s="4">
        <v>50</v>
      </c>
      <c r="J739" s="4">
        <v>100</v>
      </c>
      <c r="K739" s="4" t="str" cm="1">
        <f t="array" ref="K739">_xlfn.IFS(AND(Table1567[[#This Row],[Total Amount]]&gt;=1500),"Critical",AND(Table1567[[#This Row],[Total Amount]]&gt;=1000),"High",TRUE,"Normal")</f>
        <v>Normal</v>
      </c>
      <c r="L739" s="4" t="str">
        <f>IF(Table1567[[#This Row],[Total Amount]]&gt;=1000,"High",(IF(Table1567[[#This Row],[Total Amount]]&gt;=500,"Medium","Low")))</f>
        <v>Low</v>
      </c>
      <c r="M739" s="4" t="str" cm="1">
        <f t="array" ref="M73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39" s="4" cm="1">
        <f t="array" ref="N73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739" s="4">
        <f>Table1567[[#This Row],[Total Amount]]-Table1567[[#This Row],[Discount Amount]]</f>
        <v>90</v>
      </c>
      <c r="P739" s="4" t="str">
        <f>IF(Table1567[[#This Row],[Total Amount]]&gt;=1000,"High","Low")</f>
        <v>Low</v>
      </c>
      <c r="Q739" s="4" t="str" cm="1">
        <f t="array" ref="Q739">_xlfn.IFS(AND(Table1567[[#This Row],[Total Amount]]&gt;=1500,"Critical"),AND(Table1567[[#This Row],[Total Amount]]&gt;=1000,"High"),TRUE,"Normal")</f>
        <v>Normal</v>
      </c>
      <c r="R739" s="4" t="str">
        <f>CONCATENATE(Table1567[[#This Row],[Customer ID]], "-",Table1567[[#This Row],[Age]])</f>
        <v>CUST738-41</v>
      </c>
      <c r="S739" s="4" t="str">
        <f>TEXT(Table1567[[#This Row],[Date]],"mmm")</f>
        <v>Apr</v>
      </c>
      <c r="T739" s="4" t="str">
        <f>TEXT(Table1567[[#This Row],[Date]],"DDD")</f>
        <v>Tue</v>
      </c>
    </row>
    <row r="740" spans="1:20" ht="29" x14ac:dyDescent="0.35">
      <c r="A740" s="4">
        <v>739</v>
      </c>
      <c r="B740" s="5">
        <v>45259</v>
      </c>
      <c r="C740" s="4" t="s">
        <v>752</v>
      </c>
      <c r="D740" s="4" t="s">
        <v>10</v>
      </c>
      <c r="E740" s="4">
        <v>36</v>
      </c>
      <c r="F740" s="4" t="str">
        <f>IF(Table1567[[#This Row],[Age]]&lt;=19,"Teenager",IF(Table1567[[#This Row],[Age]]&lt;=40,"Median","Old"))</f>
        <v>Median</v>
      </c>
      <c r="G740" s="4" t="s">
        <v>11</v>
      </c>
      <c r="H740" s="4">
        <v>1</v>
      </c>
      <c r="I740" s="4">
        <v>25</v>
      </c>
      <c r="J740" s="4">
        <v>25</v>
      </c>
      <c r="K740" s="4" t="str" cm="1">
        <f t="array" ref="K740">_xlfn.IFS(AND(Table1567[[#This Row],[Total Amount]]&gt;=1500),"Critical",AND(Table1567[[#This Row],[Total Amount]]&gt;=1000),"High",TRUE,"Normal")</f>
        <v>Normal</v>
      </c>
      <c r="L740" s="4" t="str">
        <f>IF(Table1567[[#This Row],[Total Amount]]&gt;=1000,"High",(IF(Table1567[[#This Row],[Total Amount]]&gt;=500,"Medium","Low")))</f>
        <v>Low</v>
      </c>
      <c r="M740" s="4" t="str" cm="1">
        <f t="array" ref="M74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40" s="4" cm="1">
        <f t="array" ref="N74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740" s="4">
        <f>Table1567[[#This Row],[Total Amount]]-Table1567[[#This Row],[Discount Amount]]</f>
        <v>22.5</v>
      </c>
      <c r="P740" s="4" t="str">
        <f>IF(Table1567[[#This Row],[Total Amount]]&gt;=1000,"High","Low")</f>
        <v>Low</v>
      </c>
      <c r="Q740" s="4" t="str" cm="1">
        <f t="array" ref="Q740">_xlfn.IFS(AND(Table1567[[#This Row],[Total Amount]]&gt;=1500,"Critical"),AND(Table1567[[#This Row],[Total Amount]]&gt;=1000,"High"),TRUE,"Normal")</f>
        <v>Normal</v>
      </c>
      <c r="R740" s="4" t="str">
        <f>CONCATENATE(Table1567[[#This Row],[Customer ID]], "-",Table1567[[#This Row],[Age]])</f>
        <v>CUST739-36</v>
      </c>
      <c r="S740" s="4" t="str">
        <f>TEXT(Table1567[[#This Row],[Date]],"mmm")</f>
        <v>Nov</v>
      </c>
      <c r="T740" s="4" t="str">
        <f>TEXT(Table1567[[#This Row],[Date]],"DDD")</f>
        <v>Wed</v>
      </c>
    </row>
    <row r="741" spans="1:20" ht="29" x14ac:dyDescent="0.35">
      <c r="A741" s="4">
        <v>740</v>
      </c>
      <c r="B741" s="5">
        <v>44962</v>
      </c>
      <c r="C741" s="4" t="s">
        <v>753</v>
      </c>
      <c r="D741" s="4" t="s">
        <v>13</v>
      </c>
      <c r="E741" s="4">
        <v>25</v>
      </c>
      <c r="F741" s="4" t="str">
        <f>IF(Table1567[[#This Row],[Age]]&lt;=19,"Teenager",IF(Table1567[[#This Row],[Age]]&lt;=40,"Median","Old"))</f>
        <v>Median</v>
      </c>
      <c r="G741" s="4" t="s">
        <v>11</v>
      </c>
      <c r="H741" s="4">
        <v>4</v>
      </c>
      <c r="I741" s="4">
        <v>50</v>
      </c>
      <c r="J741" s="4">
        <v>200</v>
      </c>
      <c r="K741" s="4" t="str" cm="1">
        <f t="array" ref="K741">_xlfn.IFS(AND(Table1567[[#This Row],[Total Amount]]&gt;=1500),"Critical",AND(Table1567[[#This Row],[Total Amount]]&gt;=1000),"High",TRUE,"Normal")</f>
        <v>Normal</v>
      </c>
      <c r="L741" s="4" t="str">
        <f>IF(Table1567[[#This Row],[Total Amount]]&gt;=1000,"High",(IF(Table1567[[#This Row],[Total Amount]]&gt;=500,"Medium","Low")))</f>
        <v>Low</v>
      </c>
      <c r="M741" s="4" t="str" cm="1">
        <f t="array" ref="M74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41" s="4" cm="1">
        <f t="array" ref="N74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741" s="4">
        <f>Table1567[[#This Row],[Total Amount]]-Table1567[[#This Row],[Discount Amount]]</f>
        <v>170</v>
      </c>
      <c r="P741" s="4" t="str">
        <f>IF(Table1567[[#This Row],[Total Amount]]&gt;=1000,"High","Low")</f>
        <v>Low</v>
      </c>
      <c r="Q741" s="4" t="str" cm="1">
        <f t="array" ref="Q741">_xlfn.IFS(AND(Table1567[[#This Row],[Total Amount]]&gt;=1500,"Critical"),AND(Table1567[[#This Row],[Total Amount]]&gt;=1000,"High"),TRUE,"Normal")</f>
        <v>Normal</v>
      </c>
      <c r="R741" s="4" t="str">
        <f>CONCATENATE(Table1567[[#This Row],[Customer ID]], "-",Table1567[[#This Row],[Age]])</f>
        <v>CUST740-25</v>
      </c>
      <c r="S741" s="4" t="str">
        <f>TEXT(Table1567[[#This Row],[Date]],"mmm")</f>
        <v>Feb</v>
      </c>
      <c r="T741" s="4" t="str">
        <f>TEXT(Table1567[[#This Row],[Date]],"DDD")</f>
        <v>Sun</v>
      </c>
    </row>
    <row r="742" spans="1:20" ht="29" x14ac:dyDescent="0.35">
      <c r="A742" s="4">
        <v>741</v>
      </c>
      <c r="B742" s="5">
        <v>45260</v>
      </c>
      <c r="C742" s="4" t="s">
        <v>754</v>
      </c>
      <c r="D742" s="4" t="s">
        <v>10</v>
      </c>
      <c r="E742" s="4">
        <v>48</v>
      </c>
      <c r="F742" s="4" t="str">
        <f>IF(Table1567[[#This Row],[Age]]&lt;=19,"Teenager",IF(Table1567[[#This Row],[Age]]&lt;=40,"Median","Old"))</f>
        <v>Old</v>
      </c>
      <c r="G742" s="4" t="s">
        <v>14</v>
      </c>
      <c r="H742" s="4">
        <v>1</v>
      </c>
      <c r="I742" s="4">
        <v>300</v>
      </c>
      <c r="J742" s="4">
        <v>300</v>
      </c>
      <c r="K742" s="4" t="str" cm="1">
        <f t="array" ref="K742">_xlfn.IFS(AND(Table1567[[#This Row],[Total Amount]]&gt;=1500),"Critical",AND(Table1567[[#This Row],[Total Amount]]&gt;=1000),"High",TRUE,"Normal")</f>
        <v>Normal</v>
      </c>
      <c r="L742" s="4" t="str">
        <f>IF(Table1567[[#This Row],[Total Amount]]&gt;=1000,"High",(IF(Table1567[[#This Row],[Total Amount]]&gt;=500,"Medium","Low")))</f>
        <v>Low</v>
      </c>
      <c r="M742" s="4" t="str" cm="1">
        <f t="array" ref="M74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42" s="4" cm="1">
        <f t="array" ref="N74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742" s="4">
        <f>Table1567[[#This Row],[Total Amount]]-Table1567[[#This Row],[Discount Amount]]</f>
        <v>270</v>
      </c>
      <c r="P742" s="4" t="str">
        <f>IF(Table1567[[#This Row],[Total Amount]]&gt;=1000,"High","Low")</f>
        <v>Low</v>
      </c>
      <c r="Q742" s="4" t="str" cm="1">
        <f t="array" ref="Q742">_xlfn.IFS(AND(Table1567[[#This Row],[Total Amount]]&gt;=1500,"Critical"),AND(Table1567[[#This Row],[Total Amount]]&gt;=1000,"High"),TRUE,"Normal")</f>
        <v>Normal</v>
      </c>
      <c r="R742" s="4" t="str">
        <f>CONCATENATE(Table1567[[#This Row],[Customer ID]], "-",Table1567[[#This Row],[Age]])</f>
        <v>CUST741-48</v>
      </c>
      <c r="S742" s="4" t="str">
        <f>TEXT(Table1567[[#This Row],[Date]],"mmm")</f>
        <v>Nov</v>
      </c>
      <c r="T742" s="4" t="str">
        <f>TEXT(Table1567[[#This Row],[Date]],"DDD")</f>
        <v>Thu</v>
      </c>
    </row>
    <row r="743" spans="1:20" ht="29" x14ac:dyDescent="0.35">
      <c r="A743" s="4">
        <v>742</v>
      </c>
      <c r="B743" s="5">
        <v>44947</v>
      </c>
      <c r="C743" s="4" t="s">
        <v>755</v>
      </c>
      <c r="D743" s="4" t="s">
        <v>13</v>
      </c>
      <c r="E743" s="4">
        <v>38</v>
      </c>
      <c r="F743" s="4" t="str">
        <f>IF(Table1567[[#This Row],[Age]]&lt;=19,"Teenager",IF(Table1567[[#This Row],[Age]]&lt;=40,"Median","Old"))</f>
        <v>Median</v>
      </c>
      <c r="G743" s="4" t="s">
        <v>16</v>
      </c>
      <c r="H743" s="4">
        <v>4</v>
      </c>
      <c r="I743" s="4">
        <v>500</v>
      </c>
      <c r="J743" s="4">
        <v>2000</v>
      </c>
      <c r="K743" s="4" t="str" cm="1">
        <f t="array" ref="K743">_xlfn.IFS(AND(Table1567[[#This Row],[Total Amount]]&gt;=1500),"Critical",AND(Table1567[[#This Row],[Total Amount]]&gt;=1000),"High",TRUE,"Normal")</f>
        <v>Critical</v>
      </c>
      <c r="L743" s="4" t="str">
        <f>IF(Table1567[[#This Row],[Total Amount]]&gt;=1000,"High",(IF(Table1567[[#This Row],[Total Amount]]&gt;=500,"Medium","Low")))</f>
        <v>High</v>
      </c>
      <c r="M743" s="4" t="str" cm="1">
        <f t="array" ref="M74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43" s="4" cm="1">
        <f t="array" ref="N74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400</v>
      </c>
      <c r="O743" s="4">
        <f>Table1567[[#This Row],[Total Amount]]-Table1567[[#This Row],[Discount Amount]]</f>
        <v>1600</v>
      </c>
      <c r="P743" s="4" t="str">
        <f>IF(Table1567[[#This Row],[Total Amount]]&gt;=1000,"High","Low")</f>
        <v>High</v>
      </c>
      <c r="Q743" s="4" t="b" cm="1">
        <f t="array" ref="Q743">_xlfn.IFS(AND(Table1567[[#This Row],[Total Amount]]&gt;=1500,"Critical"),AND(Table1567[[#This Row],[Total Amount]]&gt;=1000,"High"),TRUE,"Normal")</f>
        <v>1</v>
      </c>
      <c r="R743" s="4" t="str">
        <f>CONCATENATE(Table1567[[#This Row],[Customer ID]], "-",Table1567[[#This Row],[Age]])</f>
        <v>CUST742-38</v>
      </c>
      <c r="S743" s="4" t="str">
        <f>TEXT(Table1567[[#This Row],[Date]],"mmm")</f>
        <v>Jan</v>
      </c>
      <c r="T743" s="4" t="str">
        <f>TEXT(Table1567[[#This Row],[Date]],"DDD")</f>
        <v>Sat</v>
      </c>
    </row>
    <row r="744" spans="1:20" ht="29" x14ac:dyDescent="0.35">
      <c r="A744" s="4">
        <v>743</v>
      </c>
      <c r="B744" s="5">
        <v>44942</v>
      </c>
      <c r="C744" s="4" t="s">
        <v>756</v>
      </c>
      <c r="D744" s="4" t="s">
        <v>13</v>
      </c>
      <c r="E744" s="4">
        <v>34</v>
      </c>
      <c r="F744" s="4" t="str">
        <f>IF(Table1567[[#This Row],[Age]]&lt;=19,"Teenager",IF(Table1567[[#This Row],[Age]]&lt;=40,"Median","Old"))</f>
        <v>Median</v>
      </c>
      <c r="G744" s="4" t="s">
        <v>11</v>
      </c>
      <c r="H744" s="4">
        <v>4</v>
      </c>
      <c r="I744" s="4">
        <v>500</v>
      </c>
      <c r="J744" s="4">
        <v>2000</v>
      </c>
      <c r="K744" s="4" t="str" cm="1">
        <f t="array" ref="K744">_xlfn.IFS(AND(Table1567[[#This Row],[Total Amount]]&gt;=1500),"Critical",AND(Table1567[[#This Row],[Total Amount]]&gt;=1000),"High",TRUE,"Normal")</f>
        <v>Critical</v>
      </c>
      <c r="L744" s="4" t="str">
        <f>IF(Table1567[[#This Row],[Total Amount]]&gt;=1000,"High",(IF(Table1567[[#This Row],[Total Amount]]&gt;=500,"Medium","Low")))</f>
        <v>High</v>
      </c>
      <c r="M744" s="4" t="str" cm="1">
        <f t="array" ref="M74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44" s="4" cm="1">
        <f t="array" ref="N74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744" s="4">
        <f>Table1567[[#This Row],[Total Amount]]-Table1567[[#This Row],[Discount Amount]]</f>
        <v>1700</v>
      </c>
      <c r="P744" s="4" t="str">
        <f>IF(Table1567[[#This Row],[Total Amount]]&gt;=1000,"High","Low")</f>
        <v>High</v>
      </c>
      <c r="Q744" s="4" t="b" cm="1">
        <f t="array" ref="Q744">_xlfn.IFS(AND(Table1567[[#This Row],[Total Amount]]&gt;=1500,"Critical"),AND(Table1567[[#This Row],[Total Amount]]&gt;=1000,"High"),TRUE,"Normal")</f>
        <v>1</v>
      </c>
      <c r="R744" s="4" t="str">
        <f>CONCATENATE(Table1567[[#This Row],[Customer ID]], "-",Table1567[[#This Row],[Age]])</f>
        <v>CUST743-34</v>
      </c>
      <c r="S744" s="4" t="str">
        <f>TEXT(Table1567[[#This Row],[Date]],"mmm")</f>
        <v>Jan</v>
      </c>
      <c r="T744" s="4" t="str">
        <f>TEXT(Table1567[[#This Row],[Date]],"DDD")</f>
        <v>Mon</v>
      </c>
    </row>
    <row r="745" spans="1:20" ht="29" x14ac:dyDescent="0.35">
      <c r="A745" s="4">
        <v>744</v>
      </c>
      <c r="B745" s="5">
        <v>45053</v>
      </c>
      <c r="C745" s="4" t="s">
        <v>757</v>
      </c>
      <c r="D745" s="4" t="s">
        <v>10</v>
      </c>
      <c r="E745" s="4">
        <v>40</v>
      </c>
      <c r="F745" s="4" t="str">
        <f>IF(Table1567[[#This Row],[Age]]&lt;=19,"Teenager",IF(Table1567[[#This Row],[Age]]&lt;=40,"Median","Old"))</f>
        <v>Median</v>
      </c>
      <c r="G745" s="4" t="s">
        <v>16</v>
      </c>
      <c r="H745" s="4">
        <v>1</v>
      </c>
      <c r="I745" s="4">
        <v>25</v>
      </c>
      <c r="J745" s="4">
        <v>25</v>
      </c>
      <c r="K745" s="4" t="str" cm="1">
        <f t="array" ref="K745">_xlfn.IFS(AND(Table1567[[#This Row],[Total Amount]]&gt;=1500),"Critical",AND(Table1567[[#This Row],[Total Amount]]&gt;=1000),"High",TRUE,"Normal")</f>
        <v>Normal</v>
      </c>
      <c r="L745" s="4" t="str">
        <f>IF(Table1567[[#This Row],[Total Amount]]&gt;=1000,"High",(IF(Table1567[[#This Row],[Total Amount]]&gt;=500,"Medium","Low")))</f>
        <v>Low</v>
      </c>
      <c r="M745" s="4" t="str" cm="1">
        <f t="array" ref="M74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45" s="4" cm="1">
        <f t="array" ref="N74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745" s="4">
        <f>Table1567[[#This Row],[Total Amount]]-Table1567[[#This Row],[Discount Amount]]</f>
        <v>22.5</v>
      </c>
      <c r="P745" s="4" t="str">
        <f>IF(Table1567[[#This Row],[Total Amount]]&gt;=1000,"High","Low")</f>
        <v>Low</v>
      </c>
      <c r="Q745" s="4" t="str" cm="1">
        <f t="array" ref="Q745">_xlfn.IFS(AND(Table1567[[#This Row],[Total Amount]]&gt;=1500,"Critical"),AND(Table1567[[#This Row],[Total Amount]]&gt;=1000,"High"),TRUE,"Normal")</f>
        <v>Normal</v>
      </c>
      <c r="R745" s="4" t="str">
        <f>CONCATENATE(Table1567[[#This Row],[Customer ID]], "-",Table1567[[#This Row],[Age]])</f>
        <v>CUST744-40</v>
      </c>
      <c r="S745" s="4" t="str">
        <f>TEXT(Table1567[[#This Row],[Date]],"mmm")</f>
        <v>May</v>
      </c>
      <c r="T745" s="4" t="str">
        <f>TEXT(Table1567[[#This Row],[Date]],"DDD")</f>
        <v>Sun</v>
      </c>
    </row>
    <row r="746" spans="1:20" ht="29" x14ac:dyDescent="0.35">
      <c r="A746" s="4">
        <v>745</v>
      </c>
      <c r="B746" s="5">
        <v>45029</v>
      </c>
      <c r="C746" s="4" t="s">
        <v>758</v>
      </c>
      <c r="D746" s="4" t="s">
        <v>10</v>
      </c>
      <c r="E746" s="4">
        <v>54</v>
      </c>
      <c r="F746" s="4" t="str">
        <f>IF(Table1567[[#This Row],[Age]]&lt;=19,"Teenager",IF(Table1567[[#This Row],[Age]]&lt;=40,"Median","Old"))</f>
        <v>Old</v>
      </c>
      <c r="G746" s="4" t="s">
        <v>11</v>
      </c>
      <c r="H746" s="4">
        <v>2</v>
      </c>
      <c r="I746" s="4">
        <v>50</v>
      </c>
      <c r="J746" s="4">
        <v>100</v>
      </c>
      <c r="K746" s="4" t="str" cm="1">
        <f t="array" ref="K746">_xlfn.IFS(AND(Table1567[[#This Row],[Total Amount]]&gt;=1500),"Critical",AND(Table1567[[#This Row],[Total Amount]]&gt;=1000),"High",TRUE,"Normal")</f>
        <v>Normal</v>
      </c>
      <c r="L746" s="4" t="str">
        <f>IF(Table1567[[#This Row],[Total Amount]]&gt;=1000,"High",(IF(Table1567[[#This Row],[Total Amount]]&gt;=500,"Medium","Low")))</f>
        <v>Low</v>
      </c>
      <c r="M746" s="4" t="str" cm="1">
        <f t="array" ref="M74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46" s="4" cm="1">
        <f t="array" ref="N74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746" s="4">
        <f>Table1567[[#This Row],[Total Amount]]-Table1567[[#This Row],[Discount Amount]]</f>
        <v>90</v>
      </c>
      <c r="P746" s="4" t="str">
        <f>IF(Table1567[[#This Row],[Total Amount]]&gt;=1000,"High","Low")</f>
        <v>Low</v>
      </c>
      <c r="Q746" s="4" t="str" cm="1">
        <f t="array" ref="Q746">_xlfn.IFS(AND(Table1567[[#This Row],[Total Amount]]&gt;=1500,"Critical"),AND(Table1567[[#This Row],[Total Amount]]&gt;=1000,"High"),TRUE,"Normal")</f>
        <v>Normal</v>
      </c>
      <c r="R746" s="4" t="str">
        <f>CONCATENATE(Table1567[[#This Row],[Customer ID]], "-",Table1567[[#This Row],[Age]])</f>
        <v>CUST745-54</v>
      </c>
      <c r="S746" s="4" t="str">
        <f>TEXT(Table1567[[#This Row],[Date]],"mmm")</f>
        <v>Apr</v>
      </c>
      <c r="T746" s="4" t="str">
        <f>TEXT(Table1567[[#This Row],[Date]],"DDD")</f>
        <v>Thu</v>
      </c>
    </row>
    <row r="747" spans="1:20" ht="29" x14ac:dyDescent="0.35">
      <c r="A747" s="4">
        <v>746</v>
      </c>
      <c r="B747" s="5">
        <v>44937</v>
      </c>
      <c r="C747" s="4" t="s">
        <v>759</v>
      </c>
      <c r="D747" s="4" t="s">
        <v>13</v>
      </c>
      <c r="E747" s="4">
        <v>33</v>
      </c>
      <c r="F747" s="4" t="str">
        <f>IF(Table1567[[#This Row],[Age]]&lt;=19,"Teenager",IF(Table1567[[#This Row],[Age]]&lt;=40,"Median","Old"))</f>
        <v>Median</v>
      </c>
      <c r="G747" s="4" t="s">
        <v>14</v>
      </c>
      <c r="H747" s="4">
        <v>3</v>
      </c>
      <c r="I747" s="4">
        <v>30</v>
      </c>
      <c r="J747" s="4">
        <v>90</v>
      </c>
      <c r="K747" s="4" t="str" cm="1">
        <f t="array" ref="K747">_xlfn.IFS(AND(Table1567[[#This Row],[Total Amount]]&gt;=1500),"Critical",AND(Table1567[[#This Row],[Total Amount]]&gt;=1000),"High",TRUE,"Normal")</f>
        <v>Normal</v>
      </c>
      <c r="L747" s="4" t="str">
        <f>IF(Table1567[[#This Row],[Total Amount]]&gt;=1000,"High",(IF(Table1567[[#This Row],[Total Amount]]&gt;=500,"Medium","Low")))</f>
        <v>Low</v>
      </c>
      <c r="M747" s="4" t="str" cm="1">
        <f t="array" ref="M74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47" s="4" cm="1">
        <f t="array" ref="N74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13.5</v>
      </c>
      <c r="O747" s="4">
        <f>Table1567[[#This Row],[Total Amount]]-Table1567[[#This Row],[Discount Amount]]</f>
        <v>76.5</v>
      </c>
      <c r="P747" s="4" t="str">
        <f>IF(Table1567[[#This Row],[Total Amount]]&gt;=1000,"High","Low")</f>
        <v>Low</v>
      </c>
      <c r="Q747" s="4" t="str" cm="1">
        <f t="array" ref="Q747">_xlfn.IFS(AND(Table1567[[#This Row],[Total Amount]]&gt;=1500,"Critical"),AND(Table1567[[#This Row],[Total Amount]]&gt;=1000,"High"),TRUE,"Normal")</f>
        <v>Normal</v>
      </c>
      <c r="R747" s="4" t="str">
        <f>CONCATENATE(Table1567[[#This Row],[Customer ID]], "-",Table1567[[#This Row],[Age]])</f>
        <v>CUST746-33</v>
      </c>
      <c r="S747" s="4" t="str">
        <f>TEXT(Table1567[[#This Row],[Date]],"mmm")</f>
        <v>Jan</v>
      </c>
      <c r="T747" s="4" t="str">
        <f>TEXT(Table1567[[#This Row],[Date]],"DDD")</f>
        <v>Wed</v>
      </c>
    </row>
    <row r="748" spans="1:20" ht="29" x14ac:dyDescent="0.35">
      <c r="A748" s="4">
        <v>747</v>
      </c>
      <c r="B748" s="5">
        <v>45245</v>
      </c>
      <c r="C748" s="4" t="s">
        <v>760</v>
      </c>
      <c r="D748" s="4" t="s">
        <v>10</v>
      </c>
      <c r="E748" s="4">
        <v>23</v>
      </c>
      <c r="F748" s="4" t="str">
        <f>IF(Table1567[[#This Row],[Age]]&lt;=19,"Teenager",IF(Table1567[[#This Row],[Age]]&lt;=40,"Median","Old"))</f>
        <v>Median</v>
      </c>
      <c r="G748" s="4" t="s">
        <v>11</v>
      </c>
      <c r="H748" s="4">
        <v>1</v>
      </c>
      <c r="I748" s="4">
        <v>30</v>
      </c>
      <c r="J748" s="4">
        <v>30</v>
      </c>
      <c r="K748" s="4" t="str" cm="1">
        <f t="array" ref="K748">_xlfn.IFS(AND(Table1567[[#This Row],[Total Amount]]&gt;=1500),"Critical",AND(Table1567[[#This Row],[Total Amount]]&gt;=1000),"High",TRUE,"Normal")</f>
        <v>Normal</v>
      </c>
      <c r="L748" s="4" t="str">
        <f>IF(Table1567[[#This Row],[Total Amount]]&gt;=1000,"High",(IF(Table1567[[#This Row],[Total Amount]]&gt;=500,"Medium","Low")))</f>
        <v>Low</v>
      </c>
      <c r="M748" s="4" t="str" cm="1">
        <f t="array" ref="M74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748" s="4" cm="1">
        <f t="array" ref="N74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748" s="4">
        <f>Table1567[[#This Row],[Total Amount]]-Table1567[[#This Row],[Discount Amount]]</f>
        <v>30</v>
      </c>
      <c r="P748" s="4" t="str">
        <f>IF(Table1567[[#This Row],[Total Amount]]&gt;=1000,"High","Low")</f>
        <v>Low</v>
      </c>
      <c r="Q748" s="4" t="str" cm="1">
        <f t="array" ref="Q748">_xlfn.IFS(AND(Table1567[[#This Row],[Total Amount]]&gt;=1500,"Critical"),AND(Table1567[[#This Row],[Total Amount]]&gt;=1000,"High"),TRUE,"Normal")</f>
        <v>Normal</v>
      </c>
      <c r="R748" s="4" t="str">
        <f>CONCATENATE(Table1567[[#This Row],[Customer ID]], "-",Table1567[[#This Row],[Age]])</f>
        <v>CUST747-23</v>
      </c>
      <c r="S748" s="4" t="str">
        <f>TEXT(Table1567[[#This Row],[Date]],"mmm")</f>
        <v>Nov</v>
      </c>
      <c r="T748" s="4" t="str">
        <f>TEXT(Table1567[[#This Row],[Date]],"DDD")</f>
        <v>Wed</v>
      </c>
    </row>
    <row r="749" spans="1:20" ht="29" x14ac:dyDescent="0.35">
      <c r="A749" s="4">
        <v>748</v>
      </c>
      <c r="B749" s="5">
        <v>45005</v>
      </c>
      <c r="C749" s="4" t="s">
        <v>761</v>
      </c>
      <c r="D749" s="4" t="s">
        <v>10</v>
      </c>
      <c r="E749" s="4">
        <v>25</v>
      </c>
      <c r="F749" s="4" t="str">
        <f>IF(Table1567[[#This Row],[Age]]&lt;=19,"Teenager",IF(Table1567[[#This Row],[Age]]&lt;=40,"Median","Old"))</f>
        <v>Median</v>
      </c>
      <c r="G749" s="4" t="s">
        <v>14</v>
      </c>
      <c r="H749" s="4">
        <v>3</v>
      </c>
      <c r="I749" s="4">
        <v>50</v>
      </c>
      <c r="J749" s="4">
        <v>150</v>
      </c>
      <c r="K749" s="4" t="str" cm="1">
        <f t="array" ref="K749">_xlfn.IFS(AND(Table1567[[#This Row],[Total Amount]]&gt;=1500),"Critical",AND(Table1567[[#This Row],[Total Amount]]&gt;=1000),"High",TRUE,"Normal")</f>
        <v>Normal</v>
      </c>
      <c r="L749" s="4" t="str">
        <f>IF(Table1567[[#This Row],[Total Amount]]&gt;=1000,"High",(IF(Table1567[[#This Row],[Total Amount]]&gt;=500,"Medium","Low")))</f>
        <v>Low</v>
      </c>
      <c r="M749" s="4" t="str" cm="1">
        <f t="array" ref="M74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49" s="4" cm="1">
        <f t="array" ref="N74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22.5</v>
      </c>
      <c r="O749" s="4">
        <f>Table1567[[#This Row],[Total Amount]]-Table1567[[#This Row],[Discount Amount]]</f>
        <v>127.5</v>
      </c>
      <c r="P749" s="4" t="str">
        <f>IF(Table1567[[#This Row],[Total Amount]]&gt;=1000,"High","Low")</f>
        <v>Low</v>
      </c>
      <c r="Q749" s="4" t="str" cm="1">
        <f t="array" ref="Q749">_xlfn.IFS(AND(Table1567[[#This Row],[Total Amount]]&gt;=1500,"Critical"),AND(Table1567[[#This Row],[Total Amount]]&gt;=1000,"High"),TRUE,"Normal")</f>
        <v>Normal</v>
      </c>
      <c r="R749" s="4" t="str">
        <f>CONCATENATE(Table1567[[#This Row],[Customer ID]], "-",Table1567[[#This Row],[Age]])</f>
        <v>CUST748-25</v>
      </c>
      <c r="S749" s="4" t="str">
        <f>TEXT(Table1567[[#This Row],[Date]],"mmm")</f>
        <v>Mar</v>
      </c>
      <c r="T749" s="4" t="str">
        <f>TEXT(Table1567[[#This Row],[Date]],"DDD")</f>
        <v>Mon</v>
      </c>
    </row>
    <row r="750" spans="1:20" ht="29" x14ac:dyDescent="0.35">
      <c r="A750" s="4">
        <v>749</v>
      </c>
      <c r="B750" s="5">
        <v>45049</v>
      </c>
      <c r="C750" s="4" t="s">
        <v>762</v>
      </c>
      <c r="D750" s="4" t="s">
        <v>10</v>
      </c>
      <c r="E750" s="4">
        <v>42</v>
      </c>
      <c r="F750" s="4" t="str">
        <f>IF(Table1567[[#This Row],[Age]]&lt;=19,"Teenager",IF(Table1567[[#This Row],[Age]]&lt;=40,"Median","Old"))</f>
        <v>Old</v>
      </c>
      <c r="G750" s="4" t="s">
        <v>11</v>
      </c>
      <c r="H750" s="4">
        <v>1</v>
      </c>
      <c r="I750" s="4">
        <v>30</v>
      </c>
      <c r="J750" s="4">
        <v>30</v>
      </c>
      <c r="K750" s="4" t="str" cm="1">
        <f t="array" ref="K750">_xlfn.IFS(AND(Table1567[[#This Row],[Total Amount]]&gt;=1500),"Critical",AND(Table1567[[#This Row],[Total Amount]]&gt;=1000),"High",TRUE,"Normal")</f>
        <v>Normal</v>
      </c>
      <c r="L750" s="4" t="str">
        <f>IF(Table1567[[#This Row],[Total Amount]]&gt;=1000,"High",(IF(Table1567[[#This Row],[Total Amount]]&gt;=500,"Medium","Low")))</f>
        <v>Low</v>
      </c>
      <c r="M750" s="4" t="str" cm="1">
        <f t="array" ref="M75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50" s="4" cm="1">
        <f t="array" ref="N75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</v>
      </c>
      <c r="O750" s="4">
        <f>Table1567[[#This Row],[Total Amount]]-Table1567[[#This Row],[Discount Amount]]</f>
        <v>27</v>
      </c>
      <c r="P750" s="4" t="str">
        <f>IF(Table1567[[#This Row],[Total Amount]]&gt;=1000,"High","Low")</f>
        <v>Low</v>
      </c>
      <c r="Q750" s="4" t="str" cm="1">
        <f t="array" ref="Q750">_xlfn.IFS(AND(Table1567[[#This Row],[Total Amount]]&gt;=1500,"Critical"),AND(Table1567[[#This Row],[Total Amount]]&gt;=1000,"High"),TRUE,"Normal")</f>
        <v>Normal</v>
      </c>
      <c r="R750" s="4" t="str">
        <f>CONCATENATE(Table1567[[#This Row],[Customer ID]], "-",Table1567[[#This Row],[Age]])</f>
        <v>CUST749-42</v>
      </c>
      <c r="S750" s="4" t="str">
        <f>TEXT(Table1567[[#This Row],[Date]],"mmm")</f>
        <v>May</v>
      </c>
      <c r="T750" s="4" t="str">
        <f>TEXT(Table1567[[#This Row],[Date]],"DDD")</f>
        <v>Wed</v>
      </c>
    </row>
    <row r="751" spans="1:20" ht="29" x14ac:dyDescent="0.35">
      <c r="A751" s="4">
        <v>750</v>
      </c>
      <c r="B751" s="5">
        <v>44991</v>
      </c>
      <c r="C751" s="4" t="s">
        <v>763</v>
      </c>
      <c r="D751" s="4" t="s">
        <v>13</v>
      </c>
      <c r="E751" s="4">
        <v>35</v>
      </c>
      <c r="F751" s="4" t="str">
        <f>IF(Table1567[[#This Row],[Age]]&lt;=19,"Teenager",IF(Table1567[[#This Row],[Age]]&lt;=40,"Median","Old"))</f>
        <v>Median</v>
      </c>
      <c r="G751" s="4" t="s">
        <v>14</v>
      </c>
      <c r="H751" s="4">
        <v>3</v>
      </c>
      <c r="I751" s="4">
        <v>25</v>
      </c>
      <c r="J751" s="4">
        <v>75</v>
      </c>
      <c r="K751" s="4" t="str" cm="1">
        <f t="array" ref="K751">_xlfn.IFS(AND(Table1567[[#This Row],[Total Amount]]&gt;=1500),"Critical",AND(Table1567[[#This Row],[Total Amount]]&gt;=1000),"High",TRUE,"Normal")</f>
        <v>Normal</v>
      </c>
      <c r="L751" s="4" t="str">
        <f>IF(Table1567[[#This Row],[Total Amount]]&gt;=1000,"High",(IF(Table1567[[#This Row],[Total Amount]]&gt;=500,"Medium","Low")))</f>
        <v>Low</v>
      </c>
      <c r="M751" s="4" t="str" cm="1">
        <f t="array" ref="M75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51" s="4" cm="1">
        <f t="array" ref="N75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751" s="4">
        <f>Table1567[[#This Row],[Total Amount]]-Table1567[[#This Row],[Discount Amount]]</f>
        <v>60</v>
      </c>
      <c r="P751" s="4" t="str">
        <f>IF(Table1567[[#This Row],[Total Amount]]&gt;=1000,"High","Low")</f>
        <v>Low</v>
      </c>
      <c r="Q751" s="4" t="str" cm="1">
        <f t="array" ref="Q751">_xlfn.IFS(AND(Table1567[[#This Row],[Total Amount]]&gt;=1500,"Critical"),AND(Table1567[[#This Row],[Total Amount]]&gt;=1000,"High"),TRUE,"Normal")</f>
        <v>Normal</v>
      </c>
      <c r="R751" s="4" t="str">
        <f>CONCATENATE(Table1567[[#This Row],[Customer ID]], "-",Table1567[[#This Row],[Age]])</f>
        <v>CUST750-35</v>
      </c>
      <c r="S751" s="4" t="str">
        <f>TEXT(Table1567[[#This Row],[Date]],"mmm")</f>
        <v>Mar</v>
      </c>
      <c r="T751" s="4" t="str">
        <f>TEXT(Table1567[[#This Row],[Date]],"DDD")</f>
        <v>Mon</v>
      </c>
    </row>
    <row r="752" spans="1:20" ht="29" x14ac:dyDescent="0.35">
      <c r="A752" s="4">
        <v>751</v>
      </c>
      <c r="B752" s="5">
        <v>45169</v>
      </c>
      <c r="C752" s="4" t="s">
        <v>764</v>
      </c>
      <c r="D752" s="4" t="s">
        <v>13</v>
      </c>
      <c r="E752" s="4">
        <v>42</v>
      </c>
      <c r="F752" s="4" t="str">
        <f>IF(Table1567[[#This Row],[Age]]&lt;=19,"Teenager",IF(Table1567[[#This Row],[Age]]&lt;=40,"Median","Old"))</f>
        <v>Old</v>
      </c>
      <c r="G752" s="4" t="s">
        <v>14</v>
      </c>
      <c r="H752" s="4">
        <v>2</v>
      </c>
      <c r="I752" s="4">
        <v>25</v>
      </c>
      <c r="J752" s="4">
        <v>50</v>
      </c>
      <c r="K752" s="4" t="str" cm="1">
        <f t="array" ref="K752">_xlfn.IFS(AND(Table1567[[#This Row],[Total Amount]]&gt;=1500),"Critical",AND(Table1567[[#This Row],[Total Amount]]&gt;=1000),"High",TRUE,"Normal")</f>
        <v>Normal</v>
      </c>
      <c r="L752" s="4" t="str">
        <f>IF(Table1567[[#This Row],[Total Amount]]&gt;=1000,"High",(IF(Table1567[[#This Row],[Total Amount]]&gt;=500,"Medium","Low")))</f>
        <v>Low</v>
      </c>
      <c r="M752" s="4" t="str" cm="1">
        <f t="array" ref="M75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52" s="4" cm="1">
        <f t="array" ref="N75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752" s="4">
        <f>Table1567[[#This Row],[Total Amount]]-Table1567[[#This Row],[Discount Amount]]</f>
        <v>40</v>
      </c>
      <c r="P752" s="4" t="str">
        <f>IF(Table1567[[#This Row],[Total Amount]]&gt;=1000,"High","Low")</f>
        <v>Low</v>
      </c>
      <c r="Q752" s="4" t="str" cm="1">
        <f t="array" ref="Q752">_xlfn.IFS(AND(Table1567[[#This Row],[Total Amount]]&gt;=1500,"Critical"),AND(Table1567[[#This Row],[Total Amount]]&gt;=1000,"High"),TRUE,"Normal")</f>
        <v>Normal</v>
      </c>
      <c r="R752" s="4" t="str">
        <f>CONCATENATE(Table1567[[#This Row],[Customer ID]], "-",Table1567[[#This Row],[Age]])</f>
        <v>CUST751-42</v>
      </c>
      <c r="S752" s="4" t="str">
        <f>TEXT(Table1567[[#This Row],[Date]],"mmm")</f>
        <v>Aug</v>
      </c>
      <c r="T752" s="4" t="str">
        <f>TEXT(Table1567[[#This Row],[Date]],"DDD")</f>
        <v>Thu</v>
      </c>
    </row>
    <row r="753" spans="1:20" ht="29" x14ac:dyDescent="0.35">
      <c r="A753" s="4">
        <v>752</v>
      </c>
      <c r="B753" s="5">
        <v>45269</v>
      </c>
      <c r="C753" s="4" t="s">
        <v>765</v>
      </c>
      <c r="D753" s="4" t="s">
        <v>10</v>
      </c>
      <c r="E753" s="4">
        <v>29</v>
      </c>
      <c r="F753" s="4" t="str">
        <f>IF(Table1567[[#This Row],[Age]]&lt;=19,"Teenager",IF(Table1567[[#This Row],[Age]]&lt;=40,"Median","Old"))</f>
        <v>Median</v>
      </c>
      <c r="G753" s="4" t="s">
        <v>14</v>
      </c>
      <c r="H753" s="4">
        <v>2</v>
      </c>
      <c r="I753" s="4">
        <v>50</v>
      </c>
      <c r="J753" s="4">
        <v>100</v>
      </c>
      <c r="K753" s="4" t="str" cm="1">
        <f t="array" ref="K753">_xlfn.IFS(AND(Table1567[[#This Row],[Total Amount]]&gt;=1500),"Critical",AND(Table1567[[#This Row],[Total Amount]]&gt;=1000),"High",TRUE,"Normal")</f>
        <v>Normal</v>
      </c>
      <c r="L753" s="4" t="str">
        <f>IF(Table1567[[#This Row],[Total Amount]]&gt;=1000,"High",(IF(Table1567[[#This Row],[Total Amount]]&gt;=500,"Medium","Low")))</f>
        <v>Low</v>
      </c>
      <c r="M753" s="4" t="str" cm="1">
        <f t="array" ref="M75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53" s="4" cm="1">
        <f t="array" ref="N75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753" s="4">
        <f>Table1567[[#This Row],[Total Amount]]-Table1567[[#This Row],[Discount Amount]]</f>
        <v>85</v>
      </c>
      <c r="P753" s="4" t="str">
        <f>IF(Table1567[[#This Row],[Total Amount]]&gt;=1000,"High","Low")</f>
        <v>Low</v>
      </c>
      <c r="Q753" s="4" t="str" cm="1">
        <f t="array" ref="Q753">_xlfn.IFS(AND(Table1567[[#This Row],[Total Amount]]&gt;=1500,"Critical"),AND(Table1567[[#This Row],[Total Amount]]&gt;=1000,"High"),TRUE,"Normal")</f>
        <v>Normal</v>
      </c>
      <c r="R753" s="4" t="str">
        <f>CONCATENATE(Table1567[[#This Row],[Customer ID]], "-",Table1567[[#This Row],[Age]])</f>
        <v>CUST752-29</v>
      </c>
      <c r="S753" s="4" t="str">
        <f>TEXT(Table1567[[#This Row],[Date]],"mmm")</f>
        <v>Dec</v>
      </c>
      <c r="T753" s="4" t="str">
        <f>TEXT(Table1567[[#This Row],[Date]],"DDD")</f>
        <v>Sat</v>
      </c>
    </row>
    <row r="754" spans="1:20" ht="29" x14ac:dyDescent="0.35">
      <c r="A754" s="4">
        <v>753</v>
      </c>
      <c r="B754" s="5">
        <v>44985</v>
      </c>
      <c r="C754" s="4" t="s">
        <v>766</v>
      </c>
      <c r="D754" s="4" t="s">
        <v>13</v>
      </c>
      <c r="E754" s="4">
        <v>32</v>
      </c>
      <c r="F754" s="4" t="str">
        <f>IF(Table1567[[#This Row],[Age]]&lt;=19,"Teenager",IF(Table1567[[#This Row],[Age]]&lt;=40,"Median","Old"))</f>
        <v>Median</v>
      </c>
      <c r="G754" s="4" t="s">
        <v>14</v>
      </c>
      <c r="H754" s="4">
        <v>1</v>
      </c>
      <c r="I754" s="4">
        <v>30</v>
      </c>
      <c r="J754" s="4">
        <v>30</v>
      </c>
      <c r="K754" s="4" t="str" cm="1">
        <f t="array" ref="K754">_xlfn.IFS(AND(Table1567[[#This Row],[Total Amount]]&gt;=1500),"Critical",AND(Table1567[[#This Row],[Total Amount]]&gt;=1000),"High",TRUE,"Normal")</f>
        <v>Normal</v>
      </c>
      <c r="L754" s="4" t="str">
        <f>IF(Table1567[[#This Row],[Total Amount]]&gt;=1000,"High",(IF(Table1567[[#This Row],[Total Amount]]&gt;=500,"Medium","Low")))</f>
        <v>Low</v>
      </c>
      <c r="M754" s="4" t="str" cm="1">
        <f t="array" ref="M75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54" s="4" cm="1">
        <f t="array" ref="N75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4.5</v>
      </c>
      <c r="O754" s="4">
        <f>Table1567[[#This Row],[Total Amount]]-Table1567[[#This Row],[Discount Amount]]</f>
        <v>25.5</v>
      </c>
      <c r="P754" s="4" t="str">
        <f>IF(Table1567[[#This Row],[Total Amount]]&gt;=1000,"High","Low")</f>
        <v>Low</v>
      </c>
      <c r="Q754" s="4" t="str" cm="1">
        <f t="array" ref="Q754">_xlfn.IFS(AND(Table1567[[#This Row],[Total Amount]]&gt;=1500,"Critical"),AND(Table1567[[#This Row],[Total Amount]]&gt;=1000,"High"),TRUE,"Normal")</f>
        <v>Normal</v>
      </c>
      <c r="R754" s="4" t="str">
        <f>CONCATENATE(Table1567[[#This Row],[Customer ID]], "-",Table1567[[#This Row],[Age]])</f>
        <v>CUST753-32</v>
      </c>
      <c r="S754" s="4" t="str">
        <f>TEXT(Table1567[[#This Row],[Date]],"mmm")</f>
        <v>Feb</v>
      </c>
      <c r="T754" s="4" t="str">
        <f>TEXT(Table1567[[#This Row],[Date]],"DDD")</f>
        <v>Tue</v>
      </c>
    </row>
    <row r="755" spans="1:20" ht="29" x14ac:dyDescent="0.35">
      <c r="A755" s="4">
        <v>754</v>
      </c>
      <c r="B755" s="5">
        <v>45215</v>
      </c>
      <c r="C755" s="4" t="s">
        <v>767</v>
      </c>
      <c r="D755" s="4" t="s">
        <v>13</v>
      </c>
      <c r="E755" s="4">
        <v>43</v>
      </c>
      <c r="F755" s="4" t="str">
        <f>IF(Table1567[[#This Row],[Age]]&lt;=19,"Teenager",IF(Table1567[[#This Row],[Age]]&lt;=40,"Median","Old"))</f>
        <v>Old</v>
      </c>
      <c r="G755" s="4" t="s">
        <v>16</v>
      </c>
      <c r="H755" s="4">
        <v>4</v>
      </c>
      <c r="I755" s="4">
        <v>25</v>
      </c>
      <c r="J755" s="4">
        <v>100</v>
      </c>
      <c r="K755" s="4" t="str" cm="1">
        <f t="array" ref="K755">_xlfn.IFS(AND(Table1567[[#This Row],[Total Amount]]&gt;=1500),"Critical",AND(Table1567[[#This Row],[Total Amount]]&gt;=1000),"High",TRUE,"Normal")</f>
        <v>Normal</v>
      </c>
      <c r="L755" s="4" t="str">
        <f>IF(Table1567[[#This Row],[Total Amount]]&gt;=1000,"High",(IF(Table1567[[#This Row],[Total Amount]]&gt;=500,"Medium","Low")))</f>
        <v>Low</v>
      </c>
      <c r="M755" s="4" t="str" cm="1">
        <f t="array" ref="M75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55" s="4" cm="1">
        <f t="array" ref="N75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755" s="4">
        <f>Table1567[[#This Row],[Total Amount]]-Table1567[[#This Row],[Discount Amount]]</f>
        <v>80</v>
      </c>
      <c r="P755" s="4" t="str">
        <f>IF(Table1567[[#This Row],[Total Amount]]&gt;=1000,"High","Low")</f>
        <v>Low</v>
      </c>
      <c r="Q755" s="4" t="str" cm="1">
        <f t="array" ref="Q755">_xlfn.IFS(AND(Table1567[[#This Row],[Total Amount]]&gt;=1500,"Critical"),AND(Table1567[[#This Row],[Total Amount]]&gt;=1000,"High"),TRUE,"Normal")</f>
        <v>Normal</v>
      </c>
      <c r="R755" s="4" t="str">
        <f>CONCATENATE(Table1567[[#This Row],[Customer ID]], "-",Table1567[[#This Row],[Age]])</f>
        <v>CUST754-43</v>
      </c>
      <c r="S755" s="4" t="str">
        <f>TEXT(Table1567[[#This Row],[Date]],"mmm")</f>
        <v>Oct</v>
      </c>
      <c r="T755" s="4" t="str">
        <f>TEXT(Table1567[[#This Row],[Date]],"DDD")</f>
        <v>Mon</v>
      </c>
    </row>
    <row r="756" spans="1:20" ht="29" x14ac:dyDescent="0.35">
      <c r="A756" s="4">
        <v>755</v>
      </c>
      <c r="B756" s="5">
        <v>45038</v>
      </c>
      <c r="C756" s="4" t="s">
        <v>768</v>
      </c>
      <c r="D756" s="4" t="s">
        <v>13</v>
      </c>
      <c r="E756" s="4">
        <v>58</v>
      </c>
      <c r="F756" s="4" t="str">
        <f>IF(Table1567[[#This Row],[Age]]&lt;=19,"Teenager",IF(Table1567[[#This Row],[Age]]&lt;=40,"Median","Old"))</f>
        <v>Old</v>
      </c>
      <c r="G756" s="4" t="s">
        <v>14</v>
      </c>
      <c r="H756" s="4">
        <v>3</v>
      </c>
      <c r="I756" s="4">
        <v>25</v>
      </c>
      <c r="J756" s="4">
        <v>75</v>
      </c>
      <c r="K756" s="4" t="str" cm="1">
        <f t="array" ref="K756">_xlfn.IFS(AND(Table1567[[#This Row],[Total Amount]]&gt;=1500),"Critical",AND(Table1567[[#This Row],[Total Amount]]&gt;=1000),"High",TRUE,"Normal")</f>
        <v>Normal</v>
      </c>
      <c r="L756" s="4" t="str">
        <f>IF(Table1567[[#This Row],[Total Amount]]&gt;=1000,"High",(IF(Table1567[[#This Row],[Total Amount]]&gt;=500,"Medium","Low")))</f>
        <v>Low</v>
      </c>
      <c r="M756" s="4" t="str" cm="1">
        <f t="array" ref="M75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56" s="4" cm="1">
        <f t="array" ref="N75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756" s="4">
        <f>Table1567[[#This Row],[Total Amount]]-Table1567[[#This Row],[Discount Amount]]</f>
        <v>60</v>
      </c>
      <c r="P756" s="4" t="str">
        <f>IF(Table1567[[#This Row],[Total Amount]]&gt;=1000,"High","Low")</f>
        <v>Low</v>
      </c>
      <c r="Q756" s="4" t="str" cm="1">
        <f t="array" ref="Q756">_xlfn.IFS(AND(Table1567[[#This Row],[Total Amount]]&gt;=1500,"Critical"),AND(Table1567[[#This Row],[Total Amount]]&gt;=1000,"High"),TRUE,"Normal")</f>
        <v>Normal</v>
      </c>
      <c r="R756" s="4" t="str">
        <f>CONCATENATE(Table1567[[#This Row],[Customer ID]], "-",Table1567[[#This Row],[Age]])</f>
        <v>CUST755-58</v>
      </c>
      <c r="S756" s="4" t="str">
        <f>TEXT(Table1567[[#This Row],[Date]],"mmm")</f>
        <v>Apr</v>
      </c>
      <c r="T756" s="4" t="str">
        <f>TEXT(Table1567[[#This Row],[Date]],"DDD")</f>
        <v>Sat</v>
      </c>
    </row>
    <row r="757" spans="1:20" ht="29" x14ac:dyDescent="0.35">
      <c r="A757" s="4">
        <v>756</v>
      </c>
      <c r="B757" s="5">
        <v>45165</v>
      </c>
      <c r="C757" s="4" t="s">
        <v>769</v>
      </c>
      <c r="D757" s="4" t="s">
        <v>13</v>
      </c>
      <c r="E757" s="4">
        <v>62</v>
      </c>
      <c r="F757" s="4" t="str">
        <f>IF(Table1567[[#This Row],[Age]]&lt;=19,"Teenager",IF(Table1567[[#This Row],[Age]]&lt;=40,"Median","Old"))</f>
        <v>Old</v>
      </c>
      <c r="G757" s="4" t="s">
        <v>16</v>
      </c>
      <c r="H757" s="4">
        <v>4</v>
      </c>
      <c r="I757" s="4">
        <v>300</v>
      </c>
      <c r="J757" s="4">
        <v>1200</v>
      </c>
      <c r="K757" s="4" t="str" cm="1">
        <f t="array" ref="K757">_xlfn.IFS(AND(Table1567[[#This Row],[Total Amount]]&gt;=1500),"Critical",AND(Table1567[[#This Row],[Total Amount]]&gt;=1000),"High",TRUE,"Normal")</f>
        <v>High</v>
      </c>
      <c r="L757" s="4" t="str">
        <f>IF(Table1567[[#This Row],[Total Amount]]&gt;=1000,"High",(IF(Table1567[[#This Row],[Total Amount]]&gt;=500,"Medium","Low")))</f>
        <v>High</v>
      </c>
      <c r="M757" s="4" t="str" cm="1">
        <f t="array" ref="M75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57" s="4" cm="1">
        <f t="array" ref="N75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240</v>
      </c>
      <c r="O757" s="4">
        <f>Table1567[[#This Row],[Total Amount]]-Table1567[[#This Row],[Discount Amount]]</f>
        <v>960</v>
      </c>
      <c r="P757" s="4" t="str">
        <f>IF(Table1567[[#This Row],[Total Amount]]&gt;=1000,"High","Low")</f>
        <v>High</v>
      </c>
      <c r="Q757" s="4" t="str" cm="1">
        <f t="array" ref="Q757">_xlfn.IFS(AND(Table1567[[#This Row],[Total Amount]]&gt;=1500,"Critical"),AND(Table1567[[#This Row],[Total Amount]]&gt;=1000,"High"),TRUE,"Normal")</f>
        <v>Normal</v>
      </c>
      <c r="R757" s="4" t="str">
        <f>CONCATENATE(Table1567[[#This Row],[Customer ID]], "-",Table1567[[#This Row],[Age]])</f>
        <v>CUST756-62</v>
      </c>
      <c r="S757" s="4" t="str">
        <f>TEXT(Table1567[[#This Row],[Date]],"mmm")</f>
        <v>Aug</v>
      </c>
      <c r="T757" s="4" t="str">
        <f>TEXT(Table1567[[#This Row],[Date]],"DDD")</f>
        <v>Sun</v>
      </c>
    </row>
    <row r="758" spans="1:20" ht="29" x14ac:dyDescent="0.35">
      <c r="A758" s="4">
        <v>757</v>
      </c>
      <c r="B758" s="5">
        <v>45285</v>
      </c>
      <c r="C758" s="4" t="s">
        <v>770</v>
      </c>
      <c r="D758" s="4" t="s">
        <v>13</v>
      </c>
      <c r="E758" s="4">
        <v>43</v>
      </c>
      <c r="F758" s="4" t="str">
        <f>IF(Table1567[[#This Row],[Age]]&lt;=19,"Teenager",IF(Table1567[[#This Row],[Age]]&lt;=40,"Median","Old"))</f>
        <v>Old</v>
      </c>
      <c r="G758" s="4" t="s">
        <v>16</v>
      </c>
      <c r="H758" s="4">
        <v>4</v>
      </c>
      <c r="I758" s="4">
        <v>300</v>
      </c>
      <c r="J758" s="4">
        <v>1200</v>
      </c>
      <c r="K758" s="4" t="str" cm="1">
        <f t="array" ref="K758">_xlfn.IFS(AND(Table1567[[#This Row],[Total Amount]]&gt;=1500),"Critical",AND(Table1567[[#This Row],[Total Amount]]&gt;=1000),"High",TRUE,"Normal")</f>
        <v>High</v>
      </c>
      <c r="L758" s="4" t="str">
        <f>IF(Table1567[[#This Row],[Total Amount]]&gt;=1000,"High",(IF(Table1567[[#This Row],[Total Amount]]&gt;=500,"Medium","Low")))</f>
        <v>High</v>
      </c>
      <c r="M758" s="4" t="str" cm="1">
        <f t="array" ref="M75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58" s="4" cm="1">
        <f t="array" ref="N75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240</v>
      </c>
      <c r="O758" s="4">
        <f>Table1567[[#This Row],[Total Amount]]-Table1567[[#This Row],[Discount Amount]]</f>
        <v>960</v>
      </c>
      <c r="P758" s="4" t="str">
        <f>IF(Table1567[[#This Row],[Total Amount]]&gt;=1000,"High","Low")</f>
        <v>High</v>
      </c>
      <c r="Q758" s="4" t="str" cm="1">
        <f t="array" ref="Q758">_xlfn.IFS(AND(Table1567[[#This Row],[Total Amount]]&gt;=1500,"Critical"),AND(Table1567[[#This Row],[Total Amount]]&gt;=1000,"High"),TRUE,"Normal")</f>
        <v>Normal</v>
      </c>
      <c r="R758" s="4" t="str">
        <f>CONCATENATE(Table1567[[#This Row],[Customer ID]], "-",Table1567[[#This Row],[Age]])</f>
        <v>CUST757-43</v>
      </c>
      <c r="S758" s="4" t="str">
        <f>TEXT(Table1567[[#This Row],[Date]],"mmm")</f>
        <v>Dec</v>
      </c>
      <c r="T758" s="4" t="str">
        <f>TEXT(Table1567[[#This Row],[Date]],"DDD")</f>
        <v>Mon</v>
      </c>
    </row>
    <row r="759" spans="1:20" ht="29" x14ac:dyDescent="0.35">
      <c r="A759" s="4">
        <v>758</v>
      </c>
      <c r="B759" s="5">
        <v>45058</v>
      </c>
      <c r="C759" s="4" t="s">
        <v>771</v>
      </c>
      <c r="D759" s="4" t="s">
        <v>10</v>
      </c>
      <c r="E759" s="4">
        <v>64</v>
      </c>
      <c r="F759" s="4" t="str">
        <f>IF(Table1567[[#This Row],[Age]]&lt;=19,"Teenager",IF(Table1567[[#This Row],[Age]]&lt;=40,"Median","Old"))</f>
        <v>Old</v>
      </c>
      <c r="G759" s="4" t="s">
        <v>14</v>
      </c>
      <c r="H759" s="4">
        <v>4</v>
      </c>
      <c r="I759" s="4">
        <v>25</v>
      </c>
      <c r="J759" s="4">
        <v>100</v>
      </c>
      <c r="K759" s="4" t="str" cm="1">
        <f t="array" ref="K759">_xlfn.IFS(AND(Table1567[[#This Row],[Total Amount]]&gt;=1500),"Critical",AND(Table1567[[#This Row],[Total Amount]]&gt;=1000),"High",TRUE,"Normal")</f>
        <v>Normal</v>
      </c>
      <c r="L759" s="4" t="str">
        <f>IF(Table1567[[#This Row],[Total Amount]]&gt;=1000,"High",(IF(Table1567[[#This Row],[Total Amount]]&gt;=500,"Medium","Low")))</f>
        <v>Low</v>
      </c>
      <c r="M759" s="4" t="str" cm="1">
        <f t="array" ref="M75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59" s="4" cm="1">
        <f t="array" ref="N75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759" s="4">
        <f>Table1567[[#This Row],[Total Amount]]-Table1567[[#This Row],[Discount Amount]]</f>
        <v>90</v>
      </c>
      <c r="P759" s="4" t="str">
        <f>IF(Table1567[[#This Row],[Total Amount]]&gt;=1000,"High","Low")</f>
        <v>Low</v>
      </c>
      <c r="Q759" s="4" t="str" cm="1">
        <f t="array" ref="Q759">_xlfn.IFS(AND(Table1567[[#This Row],[Total Amount]]&gt;=1500,"Critical"),AND(Table1567[[#This Row],[Total Amount]]&gt;=1000,"High"),TRUE,"Normal")</f>
        <v>Normal</v>
      </c>
      <c r="R759" s="4" t="str">
        <f>CONCATENATE(Table1567[[#This Row],[Customer ID]], "-",Table1567[[#This Row],[Age]])</f>
        <v>CUST758-64</v>
      </c>
      <c r="S759" s="4" t="str">
        <f>TEXT(Table1567[[#This Row],[Date]],"mmm")</f>
        <v>May</v>
      </c>
      <c r="T759" s="4" t="str">
        <f>TEXT(Table1567[[#This Row],[Date]],"DDD")</f>
        <v>Fri</v>
      </c>
    </row>
    <row r="760" spans="1:20" ht="29" x14ac:dyDescent="0.35">
      <c r="A760" s="4">
        <v>759</v>
      </c>
      <c r="B760" s="5">
        <v>45115</v>
      </c>
      <c r="C760" s="4" t="s">
        <v>772</v>
      </c>
      <c r="D760" s="4" t="s">
        <v>10</v>
      </c>
      <c r="E760" s="4">
        <v>49</v>
      </c>
      <c r="F760" s="4" t="str">
        <f>IF(Table1567[[#This Row],[Age]]&lt;=19,"Teenager",IF(Table1567[[#This Row],[Age]]&lt;=40,"Median","Old"))</f>
        <v>Old</v>
      </c>
      <c r="G760" s="4" t="s">
        <v>16</v>
      </c>
      <c r="H760" s="4">
        <v>2</v>
      </c>
      <c r="I760" s="4">
        <v>50</v>
      </c>
      <c r="J760" s="4">
        <v>100</v>
      </c>
      <c r="K760" s="4" t="str" cm="1">
        <f t="array" ref="K760">_xlfn.IFS(AND(Table1567[[#This Row],[Total Amount]]&gt;=1500),"Critical",AND(Table1567[[#This Row],[Total Amount]]&gt;=1000),"High",TRUE,"Normal")</f>
        <v>Normal</v>
      </c>
      <c r="L760" s="4" t="str">
        <f>IF(Table1567[[#This Row],[Total Amount]]&gt;=1000,"High",(IF(Table1567[[#This Row],[Total Amount]]&gt;=500,"Medium","Low")))</f>
        <v>Low</v>
      </c>
      <c r="M760" s="4" t="str" cm="1">
        <f t="array" ref="M76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60" s="4" cm="1">
        <f t="array" ref="N76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760" s="4">
        <f>Table1567[[#This Row],[Total Amount]]-Table1567[[#This Row],[Discount Amount]]</f>
        <v>90</v>
      </c>
      <c r="P760" s="4" t="str">
        <f>IF(Table1567[[#This Row],[Total Amount]]&gt;=1000,"High","Low")</f>
        <v>Low</v>
      </c>
      <c r="Q760" s="4" t="str" cm="1">
        <f t="array" ref="Q760">_xlfn.IFS(AND(Table1567[[#This Row],[Total Amount]]&gt;=1500,"Critical"),AND(Table1567[[#This Row],[Total Amount]]&gt;=1000,"High"),TRUE,"Normal")</f>
        <v>Normal</v>
      </c>
      <c r="R760" s="4" t="str">
        <f>CONCATENATE(Table1567[[#This Row],[Customer ID]], "-",Table1567[[#This Row],[Age]])</f>
        <v>CUST759-49</v>
      </c>
      <c r="S760" s="4" t="str">
        <f>TEXT(Table1567[[#This Row],[Date]],"mmm")</f>
        <v>Jul</v>
      </c>
      <c r="T760" s="4" t="str">
        <f>TEXT(Table1567[[#This Row],[Date]],"DDD")</f>
        <v>Sat</v>
      </c>
    </row>
    <row r="761" spans="1:20" ht="29" x14ac:dyDescent="0.35">
      <c r="A761" s="4">
        <v>760</v>
      </c>
      <c r="B761" s="5">
        <v>45012</v>
      </c>
      <c r="C761" s="4" t="s">
        <v>773</v>
      </c>
      <c r="D761" s="4" t="s">
        <v>10</v>
      </c>
      <c r="E761" s="4">
        <v>27</v>
      </c>
      <c r="F761" s="4" t="str">
        <f>IF(Table1567[[#This Row],[Age]]&lt;=19,"Teenager",IF(Table1567[[#This Row],[Age]]&lt;=40,"Median","Old"))</f>
        <v>Median</v>
      </c>
      <c r="G761" s="4" t="s">
        <v>11</v>
      </c>
      <c r="H761" s="4">
        <v>1</v>
      </c>
      <c r="I761" s="4">
        <v>500</v>
      </c>
      <c r="J761" s="4">
        <v>500</v>
      </c>
      <c r="K761" s="4" t="str" cm="1">
        <f t="array" ref="K761">_xlfn.IFS(AND(Table1567[[#This Row],[Total Amount]]&gt;=1500),"Critical",AND(Table1567[[#This Row],[Total Amount]]&gt;=1000),"High",TRUE,"Normal")</f>
        <v>Normal</v>
      </c>
      <c r="L761" s="4" t="str">
        <f>IF(Table1567[[#This Row],[Total Amount]]&gt;=1000,"High",(IF(Table1567[[#This Row],[Total Amount]]&gt;=500,"Medium","Low")))</f>
        <v>Medium</v>
      </c>
      <c r="M761" s="4" t="str" cm="1">
        <f t="array" ref="M76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61" s="4" cm="1">
        <f t="array" ref="N76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75</v>
      </c>
      <c r="O761" s="4">
        <f>Table1567[[#This Row],[Total Amount]]-Table1567[[#This Row],[Discount Amount]]</f>
        <v>425</v>
      </c>
      <c r="P761" s="4" t="str">
        <f>IF(Table1567[[#This Row],[Total Amount]]&gt;=1000,"High","Low")</f>
        <v>Low</v>
      </c>
      <c r="Q761" s="4" t="str" cm="1">
        <f t="array" ref="Q761">_xlfn.IFS(AND(Table1567[[#This Row],[Total Amount]]&gt;=1500,"Critical"),AND(Table1567[[#This Row],[Total Amount]]&gt;=1000,"High"),TRUE,"Normal")</f>
        <v>Normal</v>
      </c>
      <c r="R761" s="4" t="str">
        <f>CONCATENATE(Table1567[[#This Row],[Customer ID]], "-",Table1567[[#This Row],[Age]])</f>
        <v>CUST760-27</v>
      </c>
      <c r="S761" s="4" t="str">
        <f>TEXT(Table1567[[#This Row],[Date]],"mmm")</f>
        <v>Mar</v>
      </c>
      <c r="T761" s="4" t="str">
        <f>TEXT(Table1567[[#This Row],[Date]],"DDD")</f>
        <v>Mon</v>
      </c>
    </row>
    <row r="762" spans="1:20" ht="29" x14ac:dyDescent="0.35">
      <c r="A762" s="4">
        <v>761</v>
      </c>
      <c r="B762" s="5">
        <v>45237</v>
      </c>
      <c r="C762" s="4" t="s">
        <v>774</v>
      </c>
      <c r="D762" s="4" t="s">
        <v>13</v>
      </c>
      <c r="E762" s="4">
        <v>33</v>
      </c>
      <c r="F762" s="4" t="str">
        <f>IF(Table1567[[#This Row],[Age]]&lt;=19,"Teenager",IF(Table1567[[#This Row],[Age]]&lt;=40,"Median","Old"))</f>
        <v>Median</v>
      </c>
      <c r="G762" s="4" t="s">
        <v>14</v>
      </c>
      <c r="H762" s="4">
        <v>1</v>
      </c>
      <c r="I762" s="4">
        <v>500</v>
      </c>
      <c r="J762" s="4">
        <v>500</v>
      </c>
      <c r="K762" s="4" t="str" cm="1">
        <f t="array" ref="K762">_xlfn.IFS(AND(Table1567[[#This Row],[Total Amount]]&gt;=1500),"Critical",AND(Table1567[[#This Row],[Total Amount]]&gt;=1000),"High",TRUE,"Normal")</f>
        <v>Normal</v>
      </c>
      <c r="L762" s="4" t="str">
        <f>IF(Table1567[[#This Row],[Total Amount]]&gt;=1000,"High",(IF(Table1567[[#This Row],[Total Amount]]&gt;=500,"Medium","Low")))</f>
        <v>Medium</v>
      </c>
      <c r="M762" s="4" t="str" cm="1">
        <f t="array" ref="M76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62" s="4" cm="1">
        <f t="array" ref="N76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75</v>
      </c>
      <c r="O762" s="4">
        <f>Table1567[[#This Row],[Total Amount]]-Table1567[[#This Row],[Discount Amount]]</f>
        <v>425</v>
      </c>
      <c r="P762" s="4" t="str">
        <f>IF(Table1567[[#This Row],[Total Amount]]&gt;=1000,"High","Low")</f>
        <v>Low</v>
      </c>
      <c r="Q762" s="4" t="str" cm="1">
        <f t="array" ref="Q762">_xlfn.IFS(AND(Table1567[[#This Row],[Total Amount]]&gt;=1500,"Critical"),AND(Table1567[[#This Row],[Total Amount]]&gt;=1000,"High"),TRUE,"Normal")</f>
        <v>Normal</v>
      </c>
      <c r="R762" s="4" t="str">
        <f>CONCATENATE(Table1567[[#This Row],[Customer ID]], "-",Table1567[[#This Row],[Age]])</f>
        <v>CUST761-33</v>
      </c>
      <c r="S762" s="4" t="str">
        <f>TEXT(Table1567[[#This Row],[Date]],"mmm")</f>
        <v>Nov</v>
      </c>
      <c r="T762" s="4" t="str">
        <f>TEXT(Table1567[[#This Row],[Date]],"DDD")</f>
        <v>Tue</v>
      </c>
    </row>
    <row r="763" spans="1:20" ht="29" x14ac:dyDescent="0.35">
      <c r="A763" s="4">
        <v>762</v>
      </c>
      <c r="B763" s="5">
        <v>45237</v>
      </c>
      <c r="C763" s="4" t="s">
        <v>775</v>
      </c>
      <c r="D763" s="4" t="s">
        <v>13</v>
      </c>
      <c r="E763" s="4">
        <v>24</v>
      </c>
      <c r="F763" s="4" t="str">
        <f>IF(Table1567[[#This Row],[Age]]&lt;=19,"Teenager",IF(Table1567[[#This Row],[Age]]&lt;=40,"Median","Old"))</f>
        <v>Median</v>
      </c>
      <c r="G763" s="4" t="s">
        <v>16</v>
      </c>
      <c r="H763" s="4">
        <v>2</v>
      </c>
      <c r="I763" s="4">
        <v>25</v>
      </c>
      <c r="J763" s="4">
        <v>50</v>
      </c>
      <c r="K763" s="4" t="str" cm="1">
        <f t="array" ref="K763">_xlfn.IFS(AND(Table1567[[#This Row],[Total Amount]]&gt;=1500),"Critical",AND(Table1567[[#This Row],[Total Amount]]&gt;=1000),"High",TRUE,"Normal")</f>
        <v>Normal</v>
      </c>
      <c r="L763" s="4" t="str">
        <f>IF(Table1567[[#This Row],[Total Amount]]&gt;=1000,"High",(IF(Table1567[[#This Row],[Total Amount]]&gt;=500,"Medium","Low")))</f>
        <v>Low</v>
      </c>
      <c r="M763" s="4" t="str" cm="1">
        <f t="array" ref="M76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763" s="4" cm="1">
        <f t="array" ref="N76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763" s="4">
        <f>Table1567[[#This Row],[Total Amount]]-Table1567[[#This Row],[Discount Amount]]</f>
        <v>50</v>
      </c>
      <c r="P763" s="4" t="str">
        <f>IF(Table1567[[#This Row],[Total Amount]]&gt;=1000,"High","Low")</f>
        <v>Low</v>
      </c>
      <c r="Q763" s="4" t="str" cm="1">
        <f t="array" ref="Q763">_xlfn.IFS(AND(Table1567[[#This Row],[Total Amount]]&gt;=1500,"Critical"),AND(Table1567[[#This Row],[Total Amount]]&gt;=1000,"High"),TRUE,"Normal")</f>
        <v>Normal</v>
      </c>
      <c r="R763" s="4" t="str">
        <f>CONCATENATE(Table1567[[#This Row],[Customer ID]], "-",Table1567[[#This Row],[Age]])</f>
        <v>CUST762-24</v>
      </c>
      <c r="S763" s="4" t="str">
        <f>TEXT(Table1567[[#This Row],[Date]],"mmm")</f>
        <v>Nov</v>
      </c>
      <c r="T763" s="4" t="str">
        <f>TEXT(Table1567[[#This Row],[Date]],"DDD")</f>
        <v>Tue</v>
      </c>
    </row>
    <row r="764" spans="1:20" ht="29" x14ac:dyDescent="0.35">
      <c r="A764" s="4">
        <v>763</v>
      </c>
      <c r="B764" s="5">
        <v>44985</v>
      </c>
      <c r="C764" s="4" t="s">
        <v>776</v>
      </c>
      <c r="D764" s="4" t="s">
        <v>10</v>
      </c>
      <c r="E764" s="4">
        <v>34</v>
      </c>
      <c r="F764" s="4" t="str">
        <f>IF(Table1567[[#This Row],[Age]]&lt;=19,"Teenager",IF(Table1567[[#This Row],[Age]]&lt;=40,"Median","Old"))</f>
        <v>Median</v>
      </c>
      <c r="G764" s="4" t="s">
        <v>14</v>
      </c>
      <c r="H764" s="4">
        <v>2</v>
      </c>
      <c r="I764" s="4">
        <v>25</v>
      </c>
      <c r="J764" s="4">
        <v>50</v>
      </c>
      <c r="K764" s="4" t="str" cm="1">
        <f t="array" ref="K764">_xlfn.IFS(AND(Table1567[[#This Row],[Total Amount]]&gt;=1500),"Critical",AND(Table1567[[#This Row],[Total Amount]]&gt;=1000),"High",TRUE,"Normal")</f>
        <v>Normal</v>
      </c>
      <c r="L764" s="4" t="str">
        <f>IF(Table1567[[#This Row],[Total Amount]]&gt;=1000,"High",(IF(Table1567[[#This Row],[Total Amount]]&gt;=500,"Medium","Low")))</f>
        <v>Low</v>
      </c>
      <c r="M764" s="4" t="str" cm="1">
        <f t="array" ref="M76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64" s="4" cm="1">
        <f t="array" ref="N76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764" s="4">
        <f>Table1567[[#This Row],[Total Amount]]-Table1567[[#This Row],[Discount Amount]]</f>
        <v>42.5</v>
      </c>
      <c r="P764" s="4" t="str">
        <f>IF(Table1567[[#This Row],[Total Amount]]&gt;=1000,"High","Low")</f>
        <v>Low</v>
      </c>
      <c r="Q764" s="4" t="str" cm="1">
        <f t="array" ref="Q764">_xlfn.IFS(AND(Table1567[[#This Row],[Total Amount]]&gt;=1500,"Critical"),AND(Table1567[[#This Row],[Total Amount]]&gt;=1000,"High"),TRUE,"Normal")</f>
        <v>Normal</v>
      </c>
      <c r="R764" s="4" t="str">
        <f>CONCATENATE(Table1567[[#This Row],[Customer ID]], "-",Table1567[[#This Row],[Age]])</f>
        <v>CUST763-34</v>
      </c>
      <c r="S764" s="4" t="str">
        <f>TEXT(Table1567[[#This Row],[Date]],"mmm")</f>
        <v>Feb</v>
      </c>
      <c r="T764" s="4" t="str">
        <f>TEXT(Table1567[[#This Row],[Date]],"DDD")</f>
        <v>Tue</v>
      </c>
    </row>
    <row r="765" spans="1:20" ht="29" x14ac:dyDescent="0.35">
      <c r="A765" s="4">
        <v>764</v>
      </c>
      <c r="B765" s="5">
        <v>45010</v>
      </c>
      <c r="C765" s="4" t="s">
        <v>777</v>
      </c>
      <c r="D765" s="4" t="s">
        <v>13</v>
      </c>
      <c r="E765" s="4">
        <v>40</v>
      </c>
      <c r="F765" s="4" t="str">
        <f>IF(Table1567[[#This Row],[Age]]&lt;=19,"Teenager",IF(Table1567[[#This Row],[Age]]&lt;=40,"Median","Old"))</f>
        <v>Median</v>
      </c>
      <c r="G765" s="4" t="s">
        <v>14</v>
      </c>
      <c r="H765" s="4">
        <v>1</v>
      </c>
      <c r="I765" s="4">
        <v>25</v>
      </c>
      <c r="J765" s="4">
        <v>25</v>
      </c>
      <c r="K765" s="4" t="str" cm="1">
        <f t="array" ref="K765">_xlfn.IFS(AND(Table1567[[#This Row],[Total Amount]]&gt;=1500),"Critical",AND(Table1567[[#This Row],[Total Amount]]&gt;=1000),"High",TRUE,"Normal")</f>
        <v>Normal</v>
      </c>
      <c r="L765" s="4" t="str">
        <f>IF(Table1567[[#This Row],[Total Amount]]&gt;=1000,"High",(IF(Table1567[[#This Row],[Total Amount]]&gt;=500,"Medium","Low")))</f>
        <v>Low</v>
      </c>
      <c r="M765" s="4" t="str" cm="1">
        <f t="array" ref="M76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65" s="4" cm="1">
        <f t="array" ref="N76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765" s="4">
        <f>Table1567[[#This Row],[Total Amount]]-Table1567[[#This Row],[Discount Amount]]</f>
        <v>20</v>
      </c>
      <c r="P765" s="4" t="str">
        <f>IF(Table1567[[#This Row],[Total Amount]]&gt;=1000,"High","Low")</f>
        <v>Low</v>
      </c>
      <c r="Q765" s="4" t="str" cm="1">
        <f t="array" ref="Q765">_xlfn.IFS(AND(Table1567[[#This Row],[Total Amount]]&gt;=1500,"Critical"),AND(Table1567[[#This Row],[Total Amount]]&gt;=1000,"High"),TRUE,"Normal")</f>
        <v>Normal</v>
      </c>
      <c r="R765" s="4" t="str">
        <f>CONCATENATE(Table1567[[#This Row],[Customer ID]], "-",Table1567[[#This Row],[Age]])</f>
        <v>CUST764-40</v>
      </c>
      <c r="S765" s="4" t="str">
        <f>TEXT(Table1567[[#This Row],[Date]],"mmm")</f>
        <v>Mar</v>
      </c>
      <c r="T765" s="4" t="str">
        <f>TEXT(Table1567[[#This Row],[Date]],"DDD")</f>
        <v>Sat</v>
      </c>
    </row>
    <row r="766" spans="1:20" ht="29" x14ac:dyDescent="0.35">
      <c r="A766" s="4">
        <v>765</v>
      </c>
      <c r="B766" s="5">
        <v>45086</v>
      </c>
      <c r="C766" s="4" t="s">
        <v>778</v>
      </c>
      <c r="D766" s="4" t="s">
        <v>10</v>
      </c>
      <c r="E766" s="4">
        <v>43</v>
      </c>
      <c r="F766" s="4" t="str">
        <f>IF(Table1567[[#This Row],[Age]]&lt;=19,"Teenager",IF(Table1567[[#This Row],[Age]]&lt;=40,"Median","Old"))</f>
        <v>Old</v>
      </c>
      <c r="G766" s="4" t="s">
        <v>14</v>
      </c>
      <c r="H766" s="4">
        <v>4</v>
      </c>
      <c r="I766" s="4">
        <v>50</v>
      </c>
      <c r="J766" s="4">
        <v>200</v>
      </c>
      <c r="K766" s="4" t="str" cm="1">
        <f t="array" ref="K766">_xlfn.IFS(AND(Table1567[[#This Row],[Total Amount]]&gt;=1500),"Critical",AND(Table1567[[#This Row],[Total Amount]]&gt;=1000),"High",TRUE,"Normal")</f>
        <v>Normal</v>
      </c>
      <c r="L766" s="4" t="str">
        <f>IF(Table1567[[#This Row],[Total Amount]]&gt;=1000,"High",(IF(Table1567[[#This Row],[Total Amount]]&gt;=500,"Medium","Low")))</f>
        <v>Low</v>
      </c>
      <c r="M766" s="4" t="str" cm="1">
        <f t="array" ref="M76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66" s="4" cm="1">
        <f t="array" ref="N76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766" s="4">
        <f>Table1567[[#This Row],[Total Amount]]-Table1567[[#This Row],[Discount Amount]]</f>
        <v>180</v>
      </c>
      <c r="P766" s="4" t="str">
        <f>IF(Table1567[[#This Row],[Total Amount]]&gt;=1000,"High","Low")</f>
        <v>Low</v>
      </c>
      <c r="Q766" s="4" t="str" cm="1">
        <f t="array" ref="Q766">_xlfn.IFS(AND(Table1567[[#This Row],[Total Amount]]&gt;=1500,"Critical"),AND(Table1567[[#This Row],[Total Amount]]&gt;=1000,"High"),TRUE,"Normal")</f>
        <v>Normal</v>
      </c>
      <c r="R766" s="4" t="str">
        <f>CONCATENATE(Table1567[[#This Row],[Customer ID]], "-",Table1567[[#This Row],[Age]])</f>
        <v>CUST765-43</v>
      </c>
      <c r="S766" s="4" t="str">
        <f>TEXT(Table1567[[#This Row],[Date]],"mmm")</f>
        <v>Jun</v>
      </c>
      <c r="T766" s="4" t="str">
        <f>TEXT(Table1567[[#This Row],[Date]],"DDD")</f>
        <v>Fri</v>
      </c>
    </row>
    <row r="767" spans="1:20" ht="29" x14ac:dyDescent="0.35">
      <c r="A767" s="4">
        <v>766</v>
      </c>
      <c r="B767" s="5">
        <v>44982</v>
      </c>
      <c r="C767" s="4" t="s">
        <v>779</v>
      </c>
      <c r="D767" s="4" t="s">
        <v>10</v>
      </c>
      <c r="E767" s="4">
        <v>38</v>
      </c>
      <c r="F767" s="4" t="str">
        <f>IF(Table1567[[#This Row],[Age]]&lt;=19,"Teenager",IF(Table1567[[#This Row],[Age]]&lt;=40,"Median","Old"))</f>
        <v>Median</v>
      </c>
      <c r="G767" s="4" t="s">
        <v>16</v>
      </c>
      <c r="H767" s="4">
        <v>3</v>
      </c>
      <c r="I767" s="4">
        <v>300</v>
      </c>
      <c r="J767" s="4">
        <v>900</v>
      </c>
      <c r="K767" s="4" t="str" cm="1">
        <f t="array" ref="K767">_xlfn.IFS(AND(Table1567[[#This Row],[Total Amount]]&gt;=1500),"Critical",AND(Table1567[[#This Row],[Total Amount]]&gt;=1000),"High",TRUE,"Normal")</f>
        <v>Normal</v>
      </c>
      <c r="L767" s="4" t="str">
        <f>IF(Table1567[[#This Row],[Total Amount]]&gt;=1000,"High",(IF(Table1567[[#This Row],[Total Amount]]&gt;=500,"Medium","Low")))</f>
        <v>Medium</v>
      </c>
      <c r="M767" s="4" t="str" cm="1">
        <f t="array" ref="M76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67" s="4" cm="1">
        <f t="array" ref="N76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767" s="4">
        <f>Table1567[[#This Row],[Total Amount]]-Table1567[[#This Row],[Discount Amount]]</f>
        <v>810</v>
      </c>
      <c r="P767" s="4" t="str">
        <f>IF(Table1567[[#This Row],[Total Amount]]&gt;=1000,"High","Low")</f>
        <v>Low</v>
      </c>
      <c r="Q767" s="4" t="str" cm="1">
        <f t="array" ref="Q767">_xlfn.IFS(AND(Table1567[[#This Row],[Total Amount]]&gt;=1500,"Critical"),AND(Table1567[[#This Row],[Total Amount]]&gt;=1000,"High"),TRUE,"Normal")</f>
        <v>Normal</v>
      </c>
      <c r="R767" s="4" t="str">
        <f>CONCATENATE(Table1567[[#This Row],[Customer ID]], "-",Table1567[[#This Row],[Age]])</f>
        <v>CUST766-38</v>
      </c>
      <c r="S767" s="4" t="str">
        <f>TEXT(Table1567[[#This Row],[Date]],"mmm")</f>
        <v>Feb</v>
      </c>
      <c r="T767" s="4" t="str">
        <f>TEXT(Table1567[[#This Row],[Date]],"DDD")</f>
        <v>Sat</v>
      </c>
    </row>
    <row r="768" spans="1:20" ht="29" x14ac:dyDescent="0.35">
      <c r="A768" s="4">
        <v>767</v>
      </c>
      <c r="B768" s="5">
        <v>45223</v>
      </c>
      <c r="C768" s="4" t="s">
        <v>780</v>
      </c>
      <c r="D768" s="4" t="s">
        <v>10</v>
      </c>
      <c r="E768" s="4">
        <v>39</v>
      </c>
      <c r="F768" s="4" t="str">
        <f>IF(Table1567[[#This Row],[Age]]&lt;=19,"Teenager",IF(Table1567[[#This Row],[Age]]&lt;=40,"Median","Old"))</f>
        <v>Median</v>
      </c>
      <c r="G768" s="4" t="s">
        <v>11</v>
      </c>
      <c r="H768" s="4">
        <v>3</v>
      </c>
      <c r="I768" s="4">
        <v>25</v>
      </c>
      <c r="J768" s="4">
        <v>75</v>
      </c>
      <c r="K768" s="4" t="str" cm="1">
        <f t="array" ref="K768">_xlfn.IFS(AND(Table1567[[#This Row],[Total Amount]]&gt;=1500),"Critical",AND(Table1567[[#This Row],[Total Amount]]&gt;=1000),"High",TRUE,"Normal")</f>
        <v>Normal</v>
      </c>
      <c r="L768" s="4" t="str">
        <f>IF(Table1567[[#This Row],[Total Amount]]&gt;=1000,"High",(IF(Table1567[[#This Row],[Total Amount]]&gt;=500,"Medium","Low")))</f>
        <v>Low</v>
      </c>
      <c r="M768" s="4" t="str" cm="1">
        <f t="array" ref="M76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68" s="4" cm="1">
        <f t="array" ref="N76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768" s="4">
        <f>Table1567[[#This Row],[Total Amount]]-Table1567[[#This Row],[Discount Amount]]</f>
        <v>67.5</v>
      </c>
      <c r="P768" s="4" t="str">
        <f>IF(Table1567[[#This Row],[Total Amount]]&gt;=1000,"High","Low")</f>
        <v>Low</v>
      </c>
      <c r="Q768" s="4" t="str" cm="1">
        <f t="array" ref="Q768">_xlfn.IFS(AND(Table1567[[#This Row],[Total Amount]]&gt;=1500,"Critical"),AND(Table1567[[#This Row],[Total Amount]]&gt;=1000,"High"),TRUE,"Normal")</f>
        <v>Normal</v>
      </c>
      <c r="R768" s="4" t="str">
        <f>CONCATENATE(Table1567[[#This Row],[Customer ID]], "-",Table1567[[#This Row],[Age]])</f>
        <v>CUST767-39</v>
      </c>
      <c r="S768" s="4" t="str">
        <f>TEXT(Table1567[[#This Row],[Date]],"mmm")</f>
        <v>Oct</v>
      </c>
      <c r="T768" s="4" t="str">
        <f>TEXT(Table1567[[#This Row],[Date]],"DDD")</f>
        <v>Tue</v>
      </c>
    </row>
    <row r="769" spans="1:20" ht="29" x14ac:dyDescent="0.35">
      <c r="A769" s="4">
        <v>768</v>
      </c>
      <c r="B769" s="5">
        <v>44940</v>
      </c>
      <c r="C769" s="4" t="s">
        <v>781</v>
      </c>
      <c r="D769" s="4" t="s">
        <v>13</v>
      </c>
      <c r="E769" s="4">
        <v>24</v>
      </c>
      <c r="F769" s="4" t="str">
        <f>IF(Table1567[[#This Row],[Age]]&lt;=19,"Teenager",IF(Table1567[[#This Row],[Age]]&lt;=40,"Median","Old"))</f>
        <v>Median</v>
      </c>
      <c r="G769" s="4" t="s">
        <v>11</v>
      </c>
      <c r="H769" s="4">
        <v>3</v>
      </c>
      <c r="I769" s="4">
        <v>25</v>
      </c>
      <c r="J769" s="4">
        <v>75</v>
      </c>
      <c r="K769" s="4" t="str" cm="1">
        <f t="array" ref="K769">_xlfn.IFS(AND(Table1567[[#This Row],[Total Amount]]&gt;=1500),"Critical",AND(Table1567[[#This Row],[Total Amount]]&gt;=1000),"High",TRUE,"Normal")</f>
        <v>Normal</v>
      </c>
      <c r="L769" s="4" t="str">
        <f>IF(Table1567[[#This Row],[Total Amount]]&gt;=1000,"High",(IF(Table1567[[#This Row],[Total Amount]]&gt;=500,"Medium","Low")))</f>
        <v>Low</v>
      </c>
      <c r="M769" s="4" t="str" cm="1">
        <f t="array" ref="M76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769" s="4" cm="1">
        <f t="array" ref="N76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769" s="4">
        <f>Table1567[[#This Row],[Total Amount]]-Table1567[[#This Row],[Discount Amount]]</f>
        <v>75</v>
      </c>
      <c r="P769" s="4" t="str">
        <f>IF(Table1567[[#This Row],[Total Amount]]&gt;=1000,"High","Low")</f>
        <v>Low</v>
      </c>
      <c r="Q769" s="4" t="str" cm="1">
        <f t="array" ref="Q769">_xlfn.IFS(AND(Table1567[[#This Row],[Total Amount]]&gt;=1500,"Critical"),AND(Table1567[[#This Row],[Total Amount]]&gt;=1000,"High"),TRUE,"Normal")</f>
        <v>Normal</v>
      </c>
      <c r="R769" s="4" t="str">
        <f>CONCATENATE(Table1567[[#This Row],[Customer ID]], "-",Table1567[[#This Row],[Age]])</f>
        <v>CUST768-24</v>
      </c>
      <c r="S769" s="4" t="str">
        <f>TEXT(Table1567[[#This Row],[Date]],"mmm")</f>
        <v>Jan</v>
      </c>
      <c r="T769" s="4" t="str">
        <f>TEXT(Table1567[[#This Row],[Date]],"DDD")</f>
        <v>Sat</v>
      </c>
    </row>
    <row r="770" spans="1:20" ht="29" x14ac:dyDescent="0.35">
      <c r="A770" s="4">
        <v>769</v>
      </c>
      <c r="B770" s="5">
        <v>45086</v>
      </c>
      <c r="C770" s="4" t="s">
        <v>782</v>
      </c>
      <c r="D770" s="4" t="s">
        <v>13</v>
      </c>
      <c r="E770" s="4">
        <v>31</v>
      </c>
      <c r="F770" s="4" t="str">
        <f>IF(Table1567[[#This Row],[Age]]&lt;=19,"Teenager",IF(Table1567[[#This Row],[Age]]&lt;=40,"Median","Old"))</f>
        <v>Median</v>
      </c>
      <c r="G770" s="4" t="s">
        <v>16</v>
      </c>
      <c r="H770" s="4">
        <v>4</v>
      </c>
      <c r="I770" s="4">
        <v>30</v>
      </c>
      <c r="J770" s="4">
        <v>120</v>
      </c>
      <c r="K770" s="4" t="str" cm="1">
        <f t="array" ref="K770">_xlfn.IFS(AND(Table1567[[#This Row],[Total Amount]]&gt;=1500),"Critical",AND(Table1567[[#This Row],[Total Amount]]&gt;=1000),"High",TRUE,"Normal")</f>
        <v>Normal</v>
      </c>
      <c r="L770" s="4" t="str">
        <f>IF(Table1567[[#This Row],[Total Amount]]&gt;=1000,"High",(IF(Table1567[[#This Row],[Total Amount]]&gt;=500,"Medium","Low")))</f>
        <v>Low</v>
      </c>
      <c r="M770" s="4" t="str" cm="1">
        <f t="array" ref="M77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70" s="4" cm="1">
        <f t="array" ref="N77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770" s="4">
        <f>Table1567[[#This Row],[Total Amount]]-Table1567[[#This Row],[Discount Amount]]</f>
        <v>102</v>
      </c>
      <c r="P770" s="4" t="str">
        <f>IF(Table1567[[#This Row],[Total Amount]]&gt;=1000,"High","Low")</f>
        <v>Low</v>
      </c>
      <c r="Q770" s="4" t="str" cm="1">
        <f t="array" ref="Q770">_xlfn.IFS(AND(Table1567[[#This Row],[Total Amount]]&gt;=1500,"Critical"),AND(Table1567[[#This Row],[Total Amount]]&gt;=1000,"High"),TRUE,"Normal")</f>
        <v>Normal</v>
      </c>
      <c r="R770" s="4" t="str">
        <f>CONCATENATE(Table1567[[#This Row],[Customer ID]], "-",Table1567[[#This Row],[Age]])</f>
        <v>CUST769-31</v>
      </c>
      <c r="S770" s="4" t="str">
        <f>TEXT(Table1567[[#This Row],[Date]],"mmm")</f>
        <v>Jun</v>
      </c>
      <c r="T770" s="4" t="str">
        <f>TEXT(Table1567[[#This Row],[Date]],"DDD")</f>
        <v>Fri</v>
      </c>
    </row>
    <row r="771" spans="1:20" ht="29" x14ac:dyDescent="0.35">
      <c r="A771" s="4">
        <v>770</v>
      </c>
      <c r="B771" s="5">
        <v>45221</v>
      </c>
      <c r="C771" s="4" t="s">
        <v>783</v>
      </c>
      <c r="D771" s="4" t="s">
        <v>10</v>
      </c>
      <c r="E771" s="4">
        <v>32</v>
      </c>
      <c r="F771" s="4" t="str">
        <f>IF(Table1567[[#This Row],[Age]]&lt;=19,"Teenager",IF(Table1567[[#This Row],[Age]]&lt;=40,"Median","Old"))</f>
        <v>Median</v>
      </c>
      <c r="G771" s="4" t="s">
        <v>14</v>
      </c>
      <c r="H771" s="4">
        <v>1</v>
      </c>
      <c r="I771" s="4">
        <v>50</v>
      </c>
      <c r="J771" s="4">
        <v>50</v>
      </c>
      <c r="K771" s="4" t="str" cm="1">
        <f t="array" ref="K771">_xlfn.IFS(AND(Table1567[[#This Row],[Total Amount]]&gt;=1500),"Critical",AND(Table1567[[#This Row],[Total Amount]]&gt;=1000),"High",TRUE,"Normal")</f>
        <v>Normal</v>
      </c>
      <c r="L771" s="4" t="str">
        <f>IF(Table1567[[#This Row],[Total Amount]]&gt;=1000,"High",(IF(Table1567[[#This Row],[Total Amount]]&gt;=500,"Medium","Low")))</f>
        <v>Low</v>
      </c>
      <c r="M771" s="4" t="str" cm="1">
        <f t="array" ref="M77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71" s="4" cm="1">
        <f t="array" ref="N77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771" s="4">
        <f>Table1567[[#This Row],[Total Amount]]-Table1567[[#This Row],[Discount Amount]]</f>
        <v>42.5</v>
      </c>
      <c r="P771" s="4" t="str">
        <f>IF(Table1567[[#This Row],[Total Amount]]&gt;=1000,"High","Low")</f>
        <v>Low</v>
      </c>
      <c r="Q771" s="4" t="str" cm="1">
        <f t="array" ref="Q771">_xlfn.IFS(AND(Table1567[[#This Row],[Total Amount]]&gt;=1500,"Critical"),AND(Table1567[[#This Row],[Total Amount]]&gt;=1000,"High"),TRUE,"Normal")</f>
        <v>Normal</v>
      </c>
      <c r="R771" s="4" t="str">
        <f>CONCATENATE(Table1567[[#This Row],[Customer ID]], "-",Table1567[[#This Row],[Age]])</f>
        <v>CUST770-32</v>
      </c>
      <c r="S771" s="4" t="str">
        <f>TEXT(Table1567[[#This Row],[Date]],"mmm")</f>
        <v>Oct</v>
      </c>
      <c r="T771" s="4" t="str">
        <f>TEXT(Table1567[[#This Row],[Date]],"DDD")</f>
        <v>Sun</v>
      </c>
    </row>
    <row r="772" spans="1:20" ht="29" x14ac:dyDescent="0.35">
      <c r="A772" s="4">
        <v>771</v>
      </c>
      <c r="B772" s="5">
        <v>45273</v>
      </c>
      <c r="C772" s="4" t="s">
        <v>784</v>
      </c>
      <c r="D772" s="4" t="s">
        <v>10</v>
      </c>
      <c r="E772" s="4">
        <v>24</v>
      </c>
      <c r="F772" s="4" t="str">
        <f>IF(Table1567[[#This Row],[Age]]&lt;=19,"Teenager",IF(Table1567[[#This Row],[Age]]&lt;=40,"Median","Old"))</f>
        <v>Median</v>
      </c>
      <c r="G772" s="4" t="s">
        <v>16</v>
      </c>
      <c r="H772" s="4">
        <v>2</v>
      </c>
      <c r="I772" s="4">
        <v>25</v>
      </c>
      <c r="J772" s="4">
        <v>50</v>
      </c>
      <c r="K772" s="4" t="str" cm="1">
        <f t="array" ref="K772">_xlfn.IFS(AND(Table1567[[#This Row],[Total Amount]]&gt;=1500),"Critical",AND(Table1567[[#This Row],[Total Amount]]&gt;=1000),"High",TRUE,"Normal")</f>
        <v>Normal</v>
      </c>
      <c r="L772" s="4" t="str">
        <f>IF(Table1567[[#This Row],[Total Amount]]&gt;=1000,"High",(IF(Table1567[[#This Row],[Total Amount]]&gt;=500,"Medium","Low")))</f>
        <v>Low</v>
      </c>
      <c r="M772" s="4" t="str" cm="1">
        <f t="array" ref="M77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772" s="4" cm="1">
        <f t="array" ref="N77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772" s="4">
        <f>Table1567[[#This Row],[Total Amount]]-Table1567[[#This Row],[Discount Amount]]</f>
        <v>50</v>
      </c>
      <c r="P772" s="4" t="str">
        <f>IF(Table1567[[#This Row],[Total Amount]]&gt;=1000,"High","Low")</f>
        <v>Low</v>
      </c>
      <c r="Q772" s="4" t="str" cm="1">
        <f t="array" ref="Q772">_xlfn.IFS(AND(Table1567[[#This Row],[Total Amount]]&gt;=1500,"Critical"),AND(Table1567[[#This Row],[Total Amount]]&gt;=1000,"High"),TRUE,"Normal")</f>
        <v>Normal</v>
      </c>
      <c r="R772" s="4" t="str">
        <f>CONCATENATE(Table1567[[#This Row],[Customer ID]], "-",Table1567[[#This Row],[Age]])</f>
        <v>CUST771-24</v>
      </c>
      <c r="S772" s="4" t="str">
        <f>TEXT(Table1567[[#This Row],[Date]],"mmm")</f>
        <v>Dec</v>
      </c>
      <c r="T772" s="4" t="str">
        <f>TEXT(Table1567[[#This Row],[Date]],"DDD")</f>
        <v>Wed</v>
      </c>
    </row>
    <row r="773" spans="1:20" ht="29" x14ac:dyDescent="0.35">
      <c r="A773" s="4">
        <v>772</v>
      </c>
      <c r="B773" s="5">
        <v>45119</v>
      </c>
      <c r="C773" s="4" t="s">
        <v>785</v>
      </c>
      <c r="D773" s="4" t="s">
        <v>10</v>
      </c>
      <c r="E773" s="4">
        <v>26</v>
      </c>
      <c r="F773" s="4" t="str">
        <f>IF(Table1567[[#This Row],[Age]]&lt;=19,"Teenager",IF(Table1567[[#This Row],[Age]]&lt;=40,"Median","Old"))</f>
        <v>Median</v>
      </c>
      <c r="G773" s="4" t="s">
        <v>16</v>
      </c>
      <c r="H773" s="4">
        <v>1</v>
      </c>
      <c r="I773" s="4">
        <v>30</v>
      </c>
      <c r="J773" s="4">
        <v>30</v>
      </c>
      <c r="K773" s="4" t="str" cm="1">
        <f t="array" ref="K773">_xlfn.IFS(AND(Table1567[[#This Row],[Total Amount]]&gt;=1500),"Critical",AND(Table1567[[#This Row],[Total Amount]]&gt;=1000),"High",TRUE,"Normal")</f>
        <v>Normal</v>
      </c>
      <c r="L773" s="4" t="str">
        <f>IF(Table1567[[#This Row],[Total Amount]]&gt;=1000,"High",(IF(Table1567[[#This Row],[Total Amount]]&gt;=500,"Medium","Low")))</f>
        <v>Low</v>
      </c>
      <c r="M773" s="4" t="str" cm="1">
        <f t="array" ref="M77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73" s="4" cm="1">
        <f t="array" ref="N77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4.5</v>
      </c>
      <c r="O773" s="4">
        <f>Table1567[[#This Row],[Total Amount]]-Table1567[[#This Row],[Discount Amount]]</f>
        <v>25.5</v>
      </c>
      <c r="P773" s="4" t="str">
        <f>IF(Table1567[[#This Row],[Total Amount]]&gt;=1000,"High","Low")</f>
        <v>Low</v>
      </c>
      <c r="Q773" s="4" t="str" cm="1">
        <f t="array" ref="Q773">_xlfn.IFS(AND(Table1567[[#This Row],[Total Amount]]&gt;=1500,"Critical"),AND(Table1567[[#This Row],[Total Amount]]&gt;=1000,"High"),TRUE,"Normal")</f>
        <v>Normal</v>
      </c>
      <c r="R773" s="4" t="str">
        <f>CONCATENATE(Table1567[[#This Row],[Customer ID]], "-",Table1567[[#This Row],[Age]])</f>
        <v>CUST772-26</v>
      </c>
      <c r="S773" s="4" t="str">
        <f>TEXT(Table1567[[#This Row],[Date]],"mmm")</f>
        <v>Jul</v>
      </c>
      <c r="T773" s="4" t="str">
        <f>TEXT(Table1567[[#This Row],[Date]],"DDD")</f>
        <v>Wed</v>
      </c>
    </row>
    <row r="774" spans="1:20" ht="29" x14ac:dyDescent="0.35">
      <c r="A774" s="4">
        <v>773</v>
      </c>
      <c r="B774" s="5">
        <v>45130</v>
      </c>
      <c r="C774" s="4" t="s">
        <v>786</v>
      </c>
      <c r="D774" s="4" t="s">
        <v>10</v>
      </c>
      <c r="E774" s="4">
        <v>25</v>
      </c>
      <c r="F774" s="4" t="str">
        <f>IF(Table1567[[#This Row],[Age]]&lt;=19,"Teenager",IF(Table1567[[#This Row],[Age]]&lt;=40,"Median","Old"))</f>
        <v>Median</v>
      </c>
      <c r="G774" s="4" t="s">
        <v>16</v>
      </c>
      <c r="H774" s="4">
        <v>4</v>
      </c>
      <c r="I774" s="4">
        <v>500</v>
      </c>
      <c r="J774" s="4">
        <v>2000</v>
      </c>
      <c r="K774" s="4" t="str" cm="1">
        <f t="array" ref="K774">_xlfn.IFS(AND(Table1567[[#This Row],[Total Amount]]&gt;=1500),"Critical",AND(Table1567[[#This Row],[Total Amount]]&gt;=1000),"High",TRUE,"Normal")</f>
        <v>Critical</v>
      </c>
      <c r="L774" s="4" t="str">
        <f>IF(Table1567[[#This Row],[Total Amount]]&gt;=1000,"High",(IF(Table1567[[#This Row],[Total Amount]]&gt;=500,"Medium","Low")))</f>
        <v>High</v>
      </c>
      <c r="M774" s="4" t="str" cm="1">
        <f t="array" ref="M77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74" s="4" cm="1">
        <f t="array" ref="N77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774" s="4">
        <f>Table1567[[#This Row],[Total Amount]]-Table1567[[#This Row],[Discount Amount]]</f>
        <v>1700</v>
      </c>
      <c r="P774" s="4" t="str">
        <f>IF(Table1567[[#This Row],[Total Amount]]&gt;=1000,"High","Low")</f>
        <v>High</v>
      </c>
      <c r="Q774" s="4" t="b" cm="1">
        <f t="array" ref="Q774">_xlfn.IFS(AND(Table1567[[#This Row],[Total Amount]]&gt;=1500,"Critical"),AND(Table1567[[#This Row],[Total Amount]]&gt;=1000,"High"),TRUE,"Normal")</f>
        <v>1</v>
      </c>
      <c r="R774" s="4" t="str">
        <f>CONCATENATE(Table1567[[#This Row],[Customer ID]], "-",Table1567[[#This Row],[Age]])</f>
        <v>CUST773-25</v>
      </c>
      <c r="S774" s="4" t="str">
        <f>TEXT(Table1567[[#This Row],[Date]],"mmm")</f>
        <v>Jul</v>
      </c>
      <c r="T774" s="4" t="str">
        <f>TEXT(Table1567[[#This Row],[Date]],"DDD")</f>
        <v>Sun</v>
      </c>
    </row>
    <row r="775" spans="1:20" ht="29" x14ac:dyDescent="0.35">
      <c r="A775" s="4">
        <v>774</v>
      </c>
      <c r="B775" s="5">
        <v>45028</v>
      </c>
      <c r="C775" s="4" t="s">
        <v>787</v>
      </c>
      <c r="D775" s="4" t="s">
        <v>13</v>
      </c>
      <c r="E775" s="4">
        <v>40</v>
      </c>
      <c r="F775" s="4" t="str">
        <f>IF(Table1567[[#This Row],[Age]]&lt;=19,"Teenager",IF(Table1567[[#This Row],[Age]]&lt;=40,"Median","Old"))</f>
        <v>Median</v>
      </c>
      <c r="G775" s="4" t="s">
        <v>14</v>
      </c>
      <c r="H775" s="4">
        <v>2</v>
      </c>
      <c r="I775" s="4">
        <v>25</v>
      </c>
      <c r="J775" s="4">
        <v>50</v>
      </c>
      <c r="K775" s="4" t="str" cm="1">
        <f t="array" ref="K775">_xlfn.IFS(AND(Table1567[[#This Row],[Total Amount]]&gt;=1500),"Critical",AND(Table1567[[#This Row],[Total Amount]]&gt;=1000),"High",TRUE,"Normal")</f>
        <v>Normal</v>
      </c>
      <c r="L775" s="4" t="str">
        <f>IF(Table1567[[#This Row],[Total Amount]]&gt;=1000,"High",(IF(Table1567[[#This Row],[Total Amount]]&gt;=500,"Medium","Low")))</f>
        <v>Low</v>
      </c>
      <c r="M775" s="4" t="str" cm="1">
        <f t="array" ref="M77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75" s="4" cm="1">
        <f t="array" ref="N77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775" s="4">
        <f>Table1567[[#This Row],[Total Amount]]-Table1567[[#This Row],[Discount Amount]]</f>
        <v>40</v>
      </c>
      <c r="P775" s="4" t="str">
        <f>IF(Table1567[[#This Row],[Total Amount]]&gt;=1000,"High","Low")</f>
        <v>Low</v>
      </c>
      <c r="Q775" s="4" t="str" cm="1">
        <f t="array" ref="Q775">_xlfn.IFS(AND(Table1567[[#This Row],[Total Amount]]&gt;=1500,"Critical"),AND(Table1567[[#This Row],[Total Amount]]&gt;=1000,"High"),TRUE,"Normal")</f>
        <v>Normal</v>
      </c>
      <c r="R775" s="4" t="str">
        <f>CONCATENATE(Table1567[[#This Row],[Customer ID]], "-",Table1567[[#This Row],[Age]])</f>
        <v>CUST774-40</v>
      </c>
      <c r="S775" s="4" t="str">
        <f>TEXT(Table1567[[#This Row],[Date]],"mmm")</f>
        <v>Apr</v>
      </c>
      <c r="T775" s="4" t="str">
        <f>TEXT(Table1567[[#This Row],[Date]],"DDD")</f>
        <v>Wed</v>
      </c>
    </row>
    <row r="776" spans="1:20" ht="29" x14ac:dyDescent="0.35">
      <c r="A776" s="4">
        <v>775</v>
      </c>
      <c r="B776" s="5">
        <v>44965</v>
      </c>
      <c r="C776" s="4" t="s">
        <v>788</v>
      </c>
      <c r="D776" s="4" t="s">
        <v>13</v>
      </c>
      <c r="E776" s="4">
        <v>46</v>
      </c>
      <c r="F776" s="4" t="str">
        <f>IF(Table1567[[#This Row],[Age]]&lt;=19,"Teenager",IF(Table1567[[#This Row],[Age]]&lt;=40,"Median","Old"))</f>
        <v>Old</v>
      </c>
      <c r="G776" s="4" t="s">
        <v>16</v>
      </c>
      <c r="H776" s="4">
        <v>4</v>
      </c>
      <c r="I776" s="4">
        <v>25</v>
      </c>
      <c r="J776" s="4">
        <v>100</v>
      </c>
      <c r="K776" s="4" t="str" cm="1">
        <f t="array" ref="K776">_xlfn.IFS(AND(Table1567[[#This Row],[Total Amount]]&gt;=1500),"Critical",AND(Table1567[[#This Row],[Total Amount]]&gt;=1000),"High",TRUE,"Normal")</f>
        <v>Normal</v>
      </c>
      <c r="L776" s="4" t="str">
        <f>IF(Table1567[[#This Row],[Total Amount]]&gt;=1000,"High",(IF(Table1567[[#This Row],[Total Amount]]&gt;=500,"Medium","Low")))</f>
        <v>Low</v>
      </c>
      <c r="M776" s="4" t="str" cm="1">
        <f t="array" ref="M77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76" s="4" cm="1">
        <f t="array" ref="N77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776" s="4">
        <f>Table1567[[#This Row],[Total Amount]]-Table1567[[#This Row],[Discount Amount]]</f>
        <v>80</v>
      </c>
      <c r="P776" s="4" t="str">
        <f>IF(Table1567[[#This Row],[Total Amount]]&gt;=1000,"High","Low")</f>
        <v>Low</v>
      </c>
      <c r="Q776" s="4" t="str" cm="1">
        <f t="array" ref="Q776">_xlfn.IFS(AND(Table1567[[#This Row],[Total Amount]]&gt;=1500,"Critical"),AND(Table1567[[#This Row],[Total Amount]]&gt;=1000,"High"),TRUE,"Normal")</f>
        <v>Normal</v>
      </c>
      <c r="R776" s="4" t="str">
        <f>CONCATENATE(Table1567[[#This Row],[Customer ID]], "-",Table1567[[#This Row],[Age]])</f>
        <v>CUST775-46</v>
      </c>
      <c r="S776" s="4" t="str">
        <f>TEXT(Table1567[[#This Row],[Date]],"mmm")</f>
        <v>Feb</v>
      </c>
      <c r="T776" s="4" t="str">
        <f>TEXT(Table1567[[#This Row],[Date]],"DDD")</f>
        <v>Wed</v>
      </c>
    </row>
    <row r="777" spans="1:20" ht="29" x14ac:dyDescent="0.35">
      <c r="A777" s="4">
        <v>776</v>
      </c>
      <c r="B777" s="5">
        <v>45230</v>
      </c>
      <c r="C777" s="4" t="s">
        <v>789</v>
      </c>
      <c r="D777" s="4" t="s">
        <v>10</v>
      </c>
      <c r="E777" s="4">
        <v>35</v>
      </c>
      <c r="F777" s="4" t="str">
        <f>IF(Table1567[[#This Row],[Age]]&lt;=19,"Teenager",IF(Table1567[[#This Row],[Age]]&lt;=40,"Median","Old"))</f>
        <v>Median</v>
      </c>
      <c r="G777" s="4" t="s">
        <v>14</v>
      </c>
      <c r="H777" s="4">
        <v>3</v>
      </c>
      <c r="I777" s="4">
        <v>30</v>
      </c>
      <c r="J777" s="4">
        <v>90</v>
      </c>
      <c r="K777" s="4" t="str" cm="1">
        <f t="array" ref="K777">_xlfn.IFS(AND(Table1567[[#This Row],[Total Amount]]&gt;=1500),"Critical",AND(Table1567[[#This Row],[Total Amount]]&gt;=1000),"High",TRUE,"Normal")</f>
        <v>Normal</v>
      </c>
      <c r="L777" s="4" t="str">
        <f>IF(Table1567[[#This Row],[Total Amount]]&gt;=1000,"High",(IF(Table1567[[#This Row],[Total Amount]]&gt;=500,"Medium","Low")))</f>
        <v>Low</v>
      </c>
      <c r="M777" s="4" t="str" cm="1">
        <f t="array" ref="M77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77" s="4" cm="1">
        <f t="array" ref="N77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</v>
      </c>
      <c r="O777" s="4">
        <f>Table1567[[#This Row],[Total Amount]]-Table1567[[#This Row],[Discount Amount]]</f>
        <v>81</v>
      </c>
      <c r="P777" s="4" t="str">
        <f>IF(Table1567[[#This Row],[Total Amount]]&gt;=1000,"High","Low")</f>
        <v>Low</v>
      </c>
      <c r="Q777" s="4" t="str" cm="1">
        <f t="array" ref="Q777">_xlfn.IFS(AND(Table1567[[#This Row],[Total Amount]]&gt;=1500,"Critical"),AND(Table1567[[#This Row],[Total Amount]]&gt;=1000,"High"),TRUE,"Normal")</f>
        <v>Normal</v>
      </c>
      <c r="R777" s="4" t="str">
        <f>CONCATENATE(Table1567[[#This Row],[Customer ID]], "-",Table1567[[#This Row],[Age]])</f>
        <v>CUST776-35</v>
      </c>
      <c r="S777" s="4" t="str">
        <f>TEXT(Table1567[[#This Row],[Date]],"mmm")</f>
        <v>Oct</v>
      </c>
      <c r="T777" s="4" t="str">
        <f>TEXT(Table1567[[#This Row],[Date]],"DDD")</f>
        <v>Tue</v>
      </c>
    </row>
    <row r="778" spans="1:20" ht="29" x14ac:dyDescent="0.35">
      <c r="A778" s="4">
        <v>777</v>
      </c>
      <c r="B778" s="5">
        <v>45280</v>
      </c>
      <c r="C778" s="4" t="s">
        <v>790</v>
      </c>
      <c r="D778" s="4" t="s">
        <v>10</v>
      </c>
      <c r="E778" s="4">
        <v>48</v>
      </c>
      <c r="F778" s="4" t="str">
        <f>IF(Table1567[[#This Row],[Age]]&lt;=19,"Teenager",IF(Table1567[[#This Row],[Age]]&lt;=40,"Median","Old"))</f>
        <v>Old</v>
      </c>
      <c r="G778" s="4" t="s">
        <v>16</v>
      </c>
      <c r="H778" s="4">
        <v>3</v>
      </c>
      <c r="I778" s="4">
        <v>50</v>
      </c>
      <c r="J778" s="4">
        <v>150</v>
      </c>
      <c r="K778" s="4" t="str" cm="1">
        <f t="array" ref="K778">_xlfn.IFS(AND(Table1567[[#This Row],[Total Amount]]&gt;=1500),"Critical",AND(Table1567[[#This Row],[Total Amount]]&gt;=1000),"High",TRUE,"Normal")</f>
        <v>Normal</v>
      </c>
      <c r="L778" s="4" t="str">
        <f>IF(Table1567[[#This Row],[Total Amount]]&gt;=1000,"High",(IF(Table1567[[#This Row],[Total Amount]]&gt;=500,"Medium","Low")))</f>
        <v>Low</v>
      </c>
      <c r="M778" s="4" t="str" cm="1">
        <f t="array" ref="M77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78" s="4" cm="1">
        <f t="array" ref="N77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778" s="4">
        <f>Table1567[[#This Row],[Total Amount]]-Table1567[[#This Row],[Discount Amount]]</f>
        <v>135</v>
      </c>
      <c r="P778" s="4" t="str">
        <f>IF(Table1567[[#This Row],[Total Amount]]&gt;=1000,"High","Low")</f>
        <v>Low</v>
      </c>
      <c r="Q778" s="4" t="str" cm="1">
        <f t="array" ref="Q778">_xlfn.IFS(AND(Table1567[[#This Row],[Total Amount]]&gt;=1500,"Critical"),AND(Table1567[[#This Row],[Total Amount]]&gt;=1000,"High"),TRUE,"Normal")</f>
        <v>Normal</v>
      </c>
      <c r="R778" s="4" t="str">
        <f>CONCATENATE(Table1567[[#This Row],[Customer ID]], "-",Table1567[[#This Row],[Age]])</f>
        <v>CUST777-48</v>
      </c>
      <c r="S778" s="4" t="str">
        <f>TEXT(Table1567[[#This Row],[Date]],"mmm")</f>
        <v>Dec</v>
      </c>
      <c r="T778" s="4" t="str">
        <f>TEXT(Table1567[[#This Row],[Date]],"DDD")</f>
        <v>Wed</v>
      </c>
    </row>
    <row r="779" spans="1:20" ht="29" x14ac:dyDescent="0.35">
      <c r="A779" s="4">
        <v>778</v>
      </c>
      <c r="B779" s="5">
        <v>45248</v>
      </c>
      <c r="C779" s="4" t="s">
        <v>791</v>
      </c>
      <c r="D779" s="4" t="s">
        <v>13</v>
      </c>
      <c r="E779" s="4">
        <v>47</v>
      </c>
      <c r="F779" s="4" t="str">
        <f>IF(Table1567[[#This Row],[Age]]&lt;=19,"Teenager",IF(Table1567[[#This Row],[Age]]&lt;=40,"Median","Old"))</f>
        <v>Old</v>
      </c>
      <c r="G779" s="4" t="s">
        <v>11</v>
      </c>
      <c r="H779" s="4">
        <v>4</v>
      </c>
      <c r="I779" s="4">
        <v>25</v>
      </c>
      <c r="J779" s="4">
        <v>100</v>
      </c>
      <c r="K779" s="4" t="str" cm="1">
        <f t="array" ref="K779">_xlfn.IFS(AND(Table1567[[#This Row],[Total Amount]]&gt;=1500),"Critical",AND(Table1567[[#This Row],[Total Amount]]&gt;=1000),"High",TRUE,"Normal")</f>
        <v>Normal</v>
      </c>
      <c r="L779" s="4" t="str">
        <f>IF(Table1567[[#This Row],[Total Amount]]&gt;=1000,"High",(IF(Table1567[[#This Row],[Total Amount]]&gt;=500,"Medium","Low")))</f>
        <v>Low</v>
      </c>
      <c r="M779" s="4" t="str" cm="1">
        <f t="array" ref="M77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79" s="4" cm="1">
        <f t="array" ref="N77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779" s="4">
        <f>Table1567[[#This Row],[Total Amount]]-Table1567[[#This Row],[Discount Amount]]</f>
        <v>80</v>
      </c>
      <c r="P779" s="4" t="str">
        <f>IF(Table1567[[#This Row],[Total Amount]]&gt;=1000,"High","Low")</f>
        <v>Low</v>
      </c>
      <c r="Q779" s="4" t="str" cm="1">
        <f t="array" ref="Q779">_xlfn.IFS(AND(Table1567[[#This Row],[Total Amount]]&gt;=1500,"Critical"),AND(Table1567[[#This Row],[Total Amount]]&gt;=1000,"High"),TRUE,"Normal")</f>
        <v>Normal</v>
      </c>
      <c r="R779" s="4" t="str">
        <f>CONCATENATE(Table1567[[#This Row],[Customer ID]], "-",Table1567[[#This Row],[Age]])</f>
        <v>CUST778-47</v>
      </c>
      <c r="S779" s="4" t="str">
        <f>TEXT(Table1567[[#This Row],[Date]],"mmm")</f>
        <v>Nov</v>
      </c>
      <c r="T779" s="4" t="str">
        <f>TEXT(Table1567[[#This Row],[Date]],"DDD")</f>
        <v>Sat</v>
      </c>
    </row>
    <row r="780" spans="1:20" ht="29" x14ac:dyDescent="0.35">
      <c r="A780" s="4">
        <v>779</v>
      </c>
      <c r="B780" s="5">
        <v>45051</v>
      </c>
      <c r="C780" s="4" t="s">
        <v>792</v>
      </c>
      <c r="D780" s="4" t="s">
        <v>13</v>
      </c>
      <c r="E780" s="4">
        <v>56</v>
      </c>
      <c r="F780" s="4" t="str">
        <f>IF(Table1567[[#This Row],[Age]]&lt;=19,"Teenager",IF(Table1567[[#This Row],[Age]]&lt;=40,"Median","Old"))</f>
        <v>Old</v>
      </c>
      <c r="G780" s="4" t="s">
        <v>16</v>
      </c>
      <c r="H780" s="4">
        <v>2</v>
      </c>
      <c r="I780" s="4">
        <v>500</v>
      </c>
      <c r="J780" s="4">
        <v>1000</v>
      </c>
      <c r="K780" s="4" t="str" cm="1">
        <f t="array" ref="K780">_xlfn.IFS(AND(Table1567[[#This Row],[Total Amount]]&gt;=1500),"Critical",AND(Table1567[[#This Row],[Total Amount]]&gt;=1000),"High",TRUE,"Normal")</f>
        <v>High</v>
      </c>
      <c r="L780" s="4" t="str">
        <f>IF(Table1567[[#This Row],[Total Amount]]&gt;=1000,"High",(IF(Table1567[[#This Row],[Total Amount]]&gt;=500,"Medium","Low")))</f>
        <v>High</v>
      </c>
      <c r="M780" s="4" t="str" cm="1">
        <f t="array" ref="M78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80" s="4" cm="1">
        <f t="array" ref="N78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780" s="4">
        <f>Table1567[[#This Row],[Total Amount]]-Table1567[[#This Row],[Discount Amount]]</f>
        <v>800</v>
      </c>
      <c r="P780" s="4" t="str">
        <f>IF(Table1567[[#This Row],[Total Amount]]&gt;=1000,"High","Low")</f>
        <v>High</v>
      </c>
      <c r="Q780" s="4" t="str" cm="1">
        <f t="array" ref="Q780">_xlfn.IFS(AND(Table1567[[#This Row],[Total Amount]]&gt;=1500,"Critical"),AND(Table1567[[#This Row],[Total Amount]]&gt;=1000,"High"),TRUE,"Normal")</f>
        <v>Normal</v>
      </c>
      <c r="R780" s="4" t="str">
        <f>CONCATENATE(Table1567[[#This Row],[Customer ID]], "-",Table1567[[#This Row],[Age]])</f>
        <v>CUST779-56</v>
      </c>
      <c r="S780" s="4" t="str">
        <f>TEXT(Table1567[[#This Row],[Date]],"mmm")</f>
        <v>May</v>
      </c>
      <c r="T780" s="4" t="str">
        <f>TEXT(Table1567[[#This Row],[Date]],"DDD")</f>
        <v>Fri</v>
      </c>
    </row>
    <row r="781" spans="1:20" ht="29" x14ac:dyDescent="0.35">
      <c r="A781" s="4">
        <v>780</v>
      </c>
      <c r="B781" s="5">
        <v>44979</v>
      </c>
      <c r="C781" s="4" t="s">
        <v>793</v>
      </c>
      <c r="D781" s="4" t="s">
        <v>10</v>
      </c>
      <c r="E781" s="4">
        <v>52</v>
      </c>
      <c r="F781" s="4" t="str">
        <f>IF(Table1567[[#This Row],[Age]]&lt;=19,"Teenager",IF(Table1567[[#This Row],[Age]]&lt;=40,"Median","Old"))</f>
        <v>Old</v>
      </c>
      <c r="G781" s="4" t="s">
        <v>16</v>
      </c>
      <c r="H781" s="4">
        <v>2</v>
      </c>
      <c r="I781" s="4">
        <v>25</v>
      </c>
      <c r="J781" s="4">
        <v>50</v>
      </c>
      <c r="K781" s="4" t="str" cm="1">
        <f t="array" ref="K781">_xlfn.IFS(AND(Table1567[[#This Row],[Total Amount]]&gt;=1500),"Critical",AND(Table1567[[#This Row],[Total Amount]]&gt;=1000),"High",TRUE,"Normal")</f>
        <v>Normal</v>
      </c>
      <c r="L781" s="4" t="str">
        <f>IF(Table1567[[#This Row],[Total Amount]]&gt;=1000,"High",(IF(Table1567[[#This Row],[Total Amount]]&gt;=500,"Medium","Low")))</f>
        <v>Low</v>
      </c>
      <c r="M781" s="4" t="str" cm="1">
        <f t="array" ref="M78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81" s="4" cm="1">
        <f t="array" ref="N78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781" s="4">
        <f>Table1567[[#This Row],[Total Amount]]-Table1567[[#This Row],[Discount Amount]]</f>
        <v>45</v>
      </c>
      <c r="P781" s="4" t="str">
        <f>IF(Table1567[[#This Row],[Total Amount]]&gt;=1000,"High","Low")</f>
        <v>Low</v>
      </c>
      <c r="Q781" s="4" t="str" cm="1">
        <f t="array" ref="Q781">_xlfn.IFS(AND(Table1567[[#This Row],[Total Amount]]&gt;=1500,"Critical"),AND(Table1567[[#This Row],[Total Amount]]&gt;=1000,"High"),TRUE,"Normal")</f>
        <v>Normal</v>
      </c>
      <c r="R781" s="4" t="str">
        <f>CONCATENATE(Table1567[[#This Row],[Customer ID]], "-",Table1567[[#This Row],[Age]])</f>
        <v>CUST780-52</v>
      </c>
      <c r="S781" s="4" t="str">
        <f>TEXT(Table1567[[#This Row],[Date]],"mmm")</f>
        <v>Feb</v>
      </c>
      <c r="T781" s="4" t="str">
        <f>TEXT(Table1567[[#This Row],[Date]],"DDD")</f>
        <v>Wed</v>
      </c>
    </row>
    <row r="782" spans="1:20" ht="29" x14ac:dyDescent="0.35">
      <c r="A782" s="4">
        <v>781</v>
      </c>
      <c r="B782" s="5">
        <v>45283</v>
      </c>
      <c r="C782" s="4" t="s">
        <v>794</v>
      </c>
      <c r="D782" s="4" t="s">
        <v>10</v>
      </c>
      <c r="E782" s="4">
        <v>35</v>
      </c>
      <c r="F782" s="4" t="str">
        <f>IF(Table1567[[#This Row],[Age]]&lt;=19,"Teenager",IF(Table1567[[#This Row],[Age]]&lt;=40,"Median","Old"))</f>
        <v>Median</v>
      </c>
      <c r="G782" s="4" t="s">
        <v>11</v>
      </c>
      <c r="H782" s="4">
        <v>1</v>
      </c>
      <c r="I782" s="4">
        <v>500</v>
      </c>
      <c r="J782" s="4">
        <v>500</v>
      </c>
      <c r="K782" s="4" t="str" cm="1">
        <f t="array" ref="K782">_xlfn.IFS(AND(Table1567[[#This Row],[Total Amount]]&gt;=1500),"Critical",AND(Table1567[[#This Row],[Total Amount]]&gt;=1000),"High",TRUE,"Normal")</f>
        <v>Normal</v>
      </c>
      <c r="L782" s="4" t="str">
        <f>IF(Table1567[[#This Row],[Total Amount]]&gt;=1000,"High",(IF(Table1567[[#This Row],[Total Amount]]&gt;=500,"Medium","Low")))</f>
        <v>Medium</v>
      </c>
      <c r="M782" s="4" t="str" cm="1">
        <f t="array" ref="M78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82" s="4" cm="1">
        <f t="array" ref="N78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50</v>
      </c>
      <c r="O782" s="4">
        <f>Table1567[[#This Row],[Total Amount]]-Table1567[[#This Row],[Discount Amount]]</f>
        <v>450</v>
      </c>
      <c r="P782" s="4" t="str">
        <f>IF(Table1567[[#This Row],[Total Amount]]&gt;=1000,"High","Low")</f>
        <v>Low</v>
      </c>
      <c r="Q782" s="4" t="str" cm="1">
        <f t="array" ref="Q782">_xlfn.IFS(AND(Table1567[[#This Row],[Total Amount]]&gt;=1500,"Critical"),AND(Table1567[[#This Row],[Total Amount]]&gt;=1000,"High"),TRUE,"Normal")</f>
        <v>Normal</v>
      </c>
      <c r="R782" s="4" t="str">
        <f>CONCATENATE(Table1567[[#This Row],[Customer ID]], "-",Table1567[[#This Row],[Age]])</f>
        <v>CUST781-35</v>
      </c>
      <c r="S782" s="4" t="str">
        <f>TEXT(Table1567[[#This Row],[Date]],"mmm")</f>
        <v>Dec</v>
      </c>
      <c r="T782" s="4" t="str">
        <f>TEXT(Table1567[[#This Row],[Date]],"DDD")</f>
        <v>Sat</v>
      </c>
    </row>
    <row r="783" spans="1:20" ht="29" x14ac:dyDescent="0.35">
      <c r="A783" s="4">
        <v>782</v>
      </c>
      <c r="B783" s="5">
        <v>45081</v>
      </c>
      <c r="C783" s="4" t="s">
        <v>795</v>
      </c>
      <c r="D783" s="4" t="s">
        <v>10</v>
      </c>
      <c r="E783" s="4">
        <v>59</v>
      </c>
      <c r="F783" s="4" t="str">
        <f>IF(Table1567[[#This Row],[Age]]&lt;=19,"Teenager",IF(Table1567[[#This Row],[Age]]&lt;=40,"Median","Old"))</f>
        <v>Old</v>
      </c>
      <c r="G783" s="4" t="s">
        <v>14</v>
      </c>
      <c r="H783" s="4">
        <v>3</v>
      </c>
      <c r="I783" s="4">
        <v>300</v>
      </c>
      <c r="J783" s="4">
        <v>900</v>
      </c>
      <c r="K783" s="4" t="str" cm="1">
        <f t="array" ref="K783">_xlfn.IFS(AND(Table1567[[#This Row],[Total Amount]]&gt;=1500),"Critical",AND(Table1567[[#This Row],[Total Amount]]&gt;=1000),"High",TRUE,"Normal")</f>
        <v>Normal</v>
      </c>
      <c r="L783" s="4" t="str">
        <f>IF(Table1567[[#This Row],[Total Amount]]&gt;=1000,"High",(IF(Table1567[[#This Row],[Total Amount]]&gt;=500,"Medium","Low")))</f>
        <v>Medium</v>
      </c>
      <c r="M783" s="4" t="str" cm="1">
        <f t="array" ref="M78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83" s="4" cm="1">
        <f t="array" ref="N78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783" s="4">
        <f>Table1567[[#This Row],[Total Amount]]-Table1567[[#This Row],[Discount Amount]]</f>
        <v>810</v>
      </c>
      <c r="P783" s="4" t="str">
        <f>IF(Table1567[[#This Row],[Total Amount]]&gt;=1000,"High","Low")</f>
        <v>Low</v>
      </c>
      <c r="Q783" s="4" t="str" cm="1">
        <f t="array" ref="Q783">_xlfn.IFS(AND(Table1567[[#This Row],[Total Amount]]&gt;=1500,"Critical"),AND(Table1567[[#This Row],[Total Amount]]&gt;=1000,"High"),TRUE,"Normal")</f>
        <v>Normal</v>
      </c>
      <c r="R783" s="4" t="str">
        <f>CONCATENATE(Table1567[[#This Row],[Customer ID]], "-",Table1567[[#This Row],[Age]])</f>
        <v>CUST782-59</v>
      </c>
      <c r="S783" s="4" t="str">
        <f>TEXT(Table1567[[#This Row],[Date]],"mmm")</f>
        <v>Jun</v>
      </c>
      <c r="T783" s="4" t="str">
        <f>TEXT(Table1567[[#This Row],[Date]],"DDD")</f>
        <v>Sun</v>
      </c>
    </row>
    <row r="784" spans="1:20" ht="29" x14ac:dyDescent="0.35">
      <c r="A784" s="4">
        <v>783</v>
      </c>
      <c r="B784" s="5">
        <v>45277</v>
      </c>
      <c r="C784" s="4" t="s">
        <v>796</v>
      </c>
      <c r="D784" s="4" t="s">
        <v>13</v>
      </c>
      <c r="E784" s="4">
        <v>56</v>
      </c>
      <c r="F784" s="4" t="str">
        <f>IF(Table1567[[#This Row],[Age]]&lt;=19,"Teenager",IF(Table1567[[#This Row],[Age]]&lt;=40,"Median","Old"))</f>
        <v>Old</v>
      </c>
      <c r="G784" s="4" t="s">
        <v>14</v>
      </c>
      <c r="H784" s="4">
        <v>1</v>
      </c>
      <c r="I784" s="4">
        <v>300</v>
      </c>
      <c r="J784" s="4">
        <v>300</v>
      </c>
      <c r="K784" s="4" t="str" cm="1">
        <f t="array" ref="K784">_xlfn.IFS(AND(Table1567[[#This Row],[Total Amount]]&gt;=1500),"Critical",AND(Table1567[[#This Row],[Total Amount]]&gt;=1000),"High",TRUE,"Normal")</f>
        <v>Normal</v>
      </c>
      <c r="L784" s="4" t="str">
        <f>IF(Table1567[[#This Row],[Total Amount]]&gt;=1000,"High",(IF(Table1567[[#This Row],[Total Amount]]&gt;=500,"Medium","Low")))</f>
        <v>Low</v>
      </c>
      <c r="M784" s="4" t="str" cm="1">
        <f t="array" ref="M78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84" s="4" cm="1">
        <f t="array" ref="N78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784" s="4">
        <f>Table1567[[#This Row],[Total Amount]]-Table1567[[#This Row],[Discount Amount]]</f>
        <v>240</v>
      </c>
      <c r="P784" s="4" t="str">
        <f>IF(Table1567[[#This Row],[Total Amount]]&gt;=1000,"High","Low")</f>
        <v>Low</v>
      </c>
      <c r="Q784" s="4" t="str" cm="1">
        <f t="array" ref="Q784">_xlfn.IFS(AND(Table1567[[#This Row],[Total Amount]]&gt;=1500,"Critical"),AND(Table1567[[#This Row],[Total Amount]]&gt;=1000,"High"),TRUE,"Normal")</f>
        <v>Normal</v>
      </c>
      <c r="R784" s="4" t="str">
        <f>CONCATENATE(Table1567[[#This Row],[Customer ID]], "-",Table1567[[#This Row],[Age]])</f>
        <v>CUST783-56</v>
      </c>
      <c r="S784" s="4" t="str">
        <f>TEXT(Table1567[[#This Row],[Date]],"mmm")</f>
        <v>Dec</v>
      </c>
      <c r="T784" s="4" t="str">
        <f>TEXT(Table1567[[#This Row],[Date]],"DDD")</f>
        <v>Sun</v>
      </c>
    </row>
    <row r="785" spans="1:20" ht="29" x14ac:dyDescent="0.35">
      <c r="A785" s="4">
        <v>784</v>
      </c>
      <c r="B785" s="5">
        <v>45234</v>
      </c>
      <c r="C785" s="4" t="s">
        <v>797</v>
      </c>
      <c r="D785" s="4" t="s">
        <v>13</v>
      </c>
      <c r="E785" s="4">
        <v>34</v>
      </c>
      <c r="F785" s="4" t="str">
        <f>IF(Table1567[[#This Row],[Age]]&lt;=19,"Teenager",IF(Table1567[[#This Row],[Age]]&lt;=40,"Median","Old"))</f>
        <v>Median</v>
      </c>
      <c r="G785" s="4" t="s">
        <v>16</v>
      </c>
      <c r="H785" s="4">
        <v>1</v>
      </c>
      <c r="I785" s="4">
        <v>500</v>
      </c>
      <c r="J785" s="4">
        <v>500</v>
      </c>
      <c r="K785" s="4" t="str" cm="1">
        <f t="array" ref="K785">_xlfn.IFS(AND(Table1567[[#This Row],[Total Amount]]&gt;=1500),"Critical",AND(Table1567[[#This Row],[Total Amount]]&gt;=1000),"High",TRUE,"Normal")</f>
        <v>Normal</v>
      </c>
      <c r="L785" s="4" t="str">
        <f>IF(Table1567[[#This Row],[Total Amount]]&gt;=1000,"High",(IF(Table1567[[#This Row],[Total Amount]]&gt;=500,"Medium","Low")))</f>
        <v>Medium</v>
      </c>
      <c r="M785" s="4" t="str" cm="1">
        <f t="array" ref="M78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85" s="4" cm="1">
        <f t="array" ref="N78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75</v>
      </c>
      <c r="O785" s="4">
        <f>Table1567[[#This Row],[Total Amount]]-Table1567[[#This Row],[Discount Amount]]</f>
        <v>425</v>
      </c>
      <c r="P785" s="4" t="str">
        <f>IF(Table1567[[#This Row],[Total Amount]]&gt;=1000,"High","Low")</f>
        <v>Low</v>
      </c>
      <c r="Q785" s="4" t="str" cm="1">
        <f t="array" ref="Q785">_xlfn.IFS(AND(Table1567[[#This Row],[Total Amount]]&gt;=1500,"Critical"),AND(Table1567[[#This Row],[Total Amount]]&gt;=1000,"High"),TRUE,"Normal")</f>
        <v>Normal</v>
      </c>
      <c r="R785" s="4" t="str">
        <f>CONCATENATE(Table1567[[#This Row],[Customer ID]], "-",Table1567[[#This Row],[Age]])</f>
        <v>CUST784-34</v>
      </c>
      <c r="S785" s="4" t="str">
        <f>TEXT(Table1567[[#This Row],[Date]],"mmm")</f>
        <v>Nov</v>
      </c>
      <c r="T785" s="4" t="str">
        <f>TEXT(Table1567[[#This Row],[Date]],"DDD")</f>
        <v>Sat</v>
      </c>
    </row>
    <row r="786" spans="1:20" ht="29" x14ac:dyDescent="0.35">
      <c r="A786" s="4">
        <v>785</v>
      </c>
      <c r="B786" s="5">
        <v>44988</v>
      </c>
      <c r="C786" s="4" t="s">
        <v>798</v>
      </c>
      <c r="D786" s="4" t="s">
        <v>13</v>
      </c>
      <c r="E786" s="4">
        <v>31</v>
      </c>
      <c r="F786" s="4" t="str">
        <f>IF(Table1567[[#This Row],[Age]]&lt;=19,"Teenager",IF(Table1567[[#This Row],[Age]]&lt;=40,"Median","Old"))</f>
        <v>Median</v>
      </c>
      <c r="G786" s="4" t="s">
        <v>11</v>
      </c>
      <c r="H786" s="4">
        <v>4</v>
      </c>
      <c r="I786" s="4">
        <v>50</v>
      </c>
      <c r="J786" s="4">
        <v>200</v>
      </c>
      <c r="K786" s="4" t="str" cm="1">
        <f t="array" ref="K786">_xlfn.IFS(AND(Table1567[[#This Row],[Total Amount]]&gt;=1500),"Critical",AND(Table1567[[#This Row],[Total Amount]]&gt;=1000),"High",TRUE,"Normal")</f>
        <v>Normal</v>
      </c>
      <c r="L786" s="4" t="str">
        <f>IF(Table1567[[#This Row],[Total Amount]]&gt;=1000,"High",(IF(Table1567[[#This Row],[Total Amount]]&gt;=500,"Medium","Low")))</f>
        <v>Low</v>
      </c>
      <c r="M786" s="4" t="str" cm="1">
        <f t="array" ref="M78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86" s="4" cm="1">
        <f t="array" ref="N78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786" s="4">
        <f>Table1567[[#This Row],[Total Amount]]-Table1567[[#This Row],[Discount Amount]]</f>
        <v>170</v>
      </c>
      <c r="P786" s="4" t="str">
        <f>IF(Table1567[[#This Row],[Total Amount]]&gt;=1000,"High","Low")</f>
        <v>Low</v>
      </c>
      <c r="Q786" s="4" t="str" cm="1">
        <f t="array" ref="Q786">_xlfn.IFS(AND(Table1567[[#This Row],[Total Amount]]&gt;=1500,"Critical"),AND(Table1567[[#This Row],[Total Amount]]&gt;=1000,"High"),TRUE,"Normal")</f>
        <v>Normal</v>
      </c>
      <c r="R786" s="4" t="str">
        <f>CONCATENATE(Table1567[[#This Row],[Customer ID]], "-",Table1567[[#This Row],[Age]])</f>
        <v>CUST785-31</v>
      </c>
      <c r="S786" s="4" t="str">
        <f>TEXT(Table1567[[#This Row],[Date]],"mmm")</f>
        <v>Mar</v>
      </c>
      <c r="T786" s="4" t="str">
        <f>TEXT(Table1567[[#This Row],[Date]],"DDD")</f>
        <v>Fri</v>
      </c>
    </row>
    <row r="787" spans="1:20" ht="29" x14ac:dyDescent="0.35">
      <c r="A787" s="4">
        <v>786</v>
      </c>
      <c r="B787" s="5">
        <v>45216</v>
      </c>
      <c r="C787" s="4" t="s">
        <v>799</v>
      </c>
      <c r="D787" s="4" t="s">
        <v>10</v>
      </c>
      <c r="E787" s="4">
        <v>48</v>
      </c>
      <c r="F787" s="4" t="str">
        <f>IF(Table1567[[#This Row],[Age]]&lt;=19,"Teenager",IF(Table1567[[#This Row],[Age]]&lt;=40,"Median","Old"))</f>
        <v>Old</v>
      </c>
      <c r="G787" s="4" t="s">
        <v>14</v>
      </c>
      <c r="H787" s="4">
        <v>4</v>
      </c>
      <c r="I787" s="4">
        <v>25</v>
      </c>
      <c r="J787" s="4">
        <v>100</v>
      </c>
      <c r="K787" s="4" t="str" cm="1">
        <f t="array" ref="K787">_xlfn.IFS(AND(Table1567[[#This Row],[Total Amount]]&gt;=1500),"Critical",AND(Table1567[[#This Row],[Total Amount]]&gt;=1000),"High",TRUE,"Normal")</f>
        <v>Normal</v>
      </c>
      <c r="L787" s="4" t="str">
        <f>IF(Table1567[[#This Row],[Total Amount]]&gt;=1000,"High",(IF(Table1567[[#This Row],[Total Amount]]&gt;=500,"Medium","Low")))</f>
        <v>Low</v>
      </c>
      <c r="M787" s="4" t="str" cm="1">
        <f t="array" ref="M78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87" s="4" cm="1">
        <f t="array" ref="N78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787" s="4">
        <f>Table1567[[#This Row],[Total Amount]]-Table1567[[#This Row],[Discount Amount]]</f>
        <v>90</v>
      </c>
      <c r="P787" s="4" t="str">
        <f>IF(Table1567[[#This Row],[Total Amount]]&gt;=1000,"High","Low")</f>
        <v>Low</v>
      </c>
      <c r="Q787" s="4" t="str" cm="1">
        <f t="array" ref="Q787">_xlfn.IFS(AND(Table1567[[#This Row],[Total Amount]]&gt;=1500,"Critical"),AND(Table1567[[#This Row],[Total Amount]]&gt;=1000,"High"),TRUE,"Normal")</f>
        <v>Normal</v>
      </c>
      <c r="R787" s="4" t="str">
        <f>CONCATENATE(Table1567[[#This Row],[Customer ID]], "-",Table1567[[#This Row],[Age]])</f>
        <v>CUST786-48</v>
      </c>
      <c r="S787" s="4" t="str">
        <f>TEXT(Table1567[[#This Row],[Date]],"mmm")</f>
        <v>Oct</v>
      </c>
      <c r="T787" s="4" t="str">
        <f>TEXT(Table1567[[#This Row],[Date]],"DDD")</f>
        <v>Tue</v>
      </c>
    </row>
    <row r="788" spans="1:20" ht="29" x14ac:dyDescent="0.35">
      <c r="A788" s="4">
        <v>787</v>
      </c>
      <c r="B788" s="5">
        <v>44948</v>
      </c>
      <c r="C788" s="4" t="s">
        <v>800</v>
      </c>
      <c r="D788" s="4" t="s">
        <v>10</v>
      </c>
      <c r="E788" s="4">
        <v>41</v>
      </c>
      <c r="F788" s="4" t="str">
        <f>IF(Table1567[[#This Row],[Age]]&lt;=19,"Teenager",IF(Table1567[[#This Row],[Age]]&lt;=40,"Median","Old"))</f>
        <v>Old</v>
      </c>
      <c r="G788" s="4" t="s">
        <v>16</v>
      </c>
      <c r="H788" s="4">
        <v>1</v>
      </c>
      <c r="I788" s="4">
        <v>25</v>
      </c>
      <c r="J788" s="4">
        <v>25</v>
      </c>
      <c r="K788" s="4" t="str" cm="1">
        <f t="array" ref="K788">_xlfn.IFS(AND(Table1567[[#This Row],[Total Amount]]&gt;=1500),"Critical",AND(Table1567[[#This Row],[Total Amount]]&gt;=1000),"High",TRUE,"Normal")</f>
        <v>Normal</v>
      </c>
      <c r="L788" s="4" t="str">
        <f>IF(Table1567[[#This Row],[Total Amount]]&gt;=1000,"High",(IF(Table1567[[#This Row],[Total Amount]]&gt;=500,"Medium","Low")))</f>
        <v>Low</v>
      </c>
      <c r="M788" s="4" t="str" cm="1">
        <f t="array" ref="M78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88" s="4" cm="1">
        <f t="array" ref="N78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788" s="4">
        <f>Table1567[[#This Row],[Total Amount]]-Table1567[[#This Row],[Discount Amount]]</f>
        <v>22.5</v>
      </c>
      <c r="P788" s="4" t="str">
        <f>IF(Table1567[[#This Row],[Total Amount]]&gt;=1000,"High","Low")</f>
        <v>Low</v>
      </c>
      <c r="Q788" s="4" t="str" cm="1">
        <f t="array" ref="Q788">_xlfn.IFS(AND(Table1567[[#This Row],[Total Amount]]&gt;=1500,"Critical"),AND(Table1567[[#This Row],[Total Amount]]&gt;=1000,"High"),TRUE,"Normal")</f>
        <v>Normal</v>
      </c>
      <c r="R788" s="4" t="str">
        <f>CONCATENATE(Table1567[[#This Row],[Customer ID]], "-",Table1567[[#This Row],[Age]])</f>
        <v>CUST787-41</v>
      </c>
      <c r="S788" s="4" t="str">
        <f>TEXT(Table1567[[#This Row],[Date]],"mmm")</f>
        <v>Jan</v>
      </c>
      <c r="T788" s="4" t="str">
        <f>TEXT(Table1567[[#This Row],[Date]],"DDD")</f>
        <v>Sun</v>
      </c>
    </row>
    <row r="789" spans="1:20" ht="29" x14ac:dyDescent="0.35">
      <c r="A789" s="4">
        <v>788</v>
      </c>
      <c r="B789" s="5">
        <v>45104</v>
      </c>
      <c r="C789" s="4" t="s">
        <v>801</v>
      </c>
      <c r="D789" s="4" t="s">
        <v>13</v>
      </c>
      <c r="E789" s="4">
        <v>52</v>
      </c>
      <c r="F789" s="4" t="str">
        <f>IF(Table1567[[#This Row],[Age]]&lt;=19,"Teenager",IF(Table1567[[#This Row],[Age]]&lt;=40,"Median","Old"))</f>
        <v>Old</v>
      </c>
      <c r="G789" s="4" t="s">
        <v>11</v>
      </c>
      <c r="H789" s="4">
        <v>3</v>
      </c>
      <c r="I789" s="4">
        <v>300</v>
      </c>
      <c r="J789" s="4">
        <v>900</v>
      </c>
      <c r="K789" s="4" t="str" cm="1">
        <f t="array" ref="K789">_xlfn.IFS(AND(Table1567[[#This Row],[Total Amount]]&gt;=1500),"Critical",AND(Table1567[[#This Row],[Total Amount]]&gt;=1000),"High",TRUE,"Normal")</f>
        <v>Normal</v>
      </c>
      <c r="L789" s="4" t="str">
        <f>IF(Table1567[[#This Row],[Total Amount]]&gt;=1000,"High",(IF(Table1567[[#This Row],[Total Amount]]&gt;=500,"Medium","Low")))</f>
        <v>Medium</v>
      </c>
      <c r="M789" s="4" t="str" cm="1">
        <f t="array" ref="M78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89" s="4" cm="1">
        <f t="array" ref="N78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789" s="4">
        <f>Table1567[[#This Row],[Total Amount]]-Table1567[[#This Row],[Discount Amount]]</f>
        <v>720</v>
      </c>
      <c r="P789" s="4" t="str">
        <f>IF(Table1567[[#This Row],[Total Amount]]&gt;=1000,"High","Low")</f>
        <v>Low</v>
      </c>
      <c r="Q789" s="4" t="str" cm="1">
        <f t="array" ref="Q789">_xlfn.IFS(AND(Table1567[[#This Row],[Total Amount]]&gt;=1500,"Critical"),AND(Table1567[[#This Row],[Total Amount]]&gt;=1000,"High"),TRUE,"Normal")</f>
        <v>Normal</v>
      </c>
      <c r="R789" s="4" t="str">
        <f>CONCATENATE(Table1567[[#This Row],[Customer ID]], "-",Table1567[[#This Row],[Age]])</f>
        <v>CUST788-52</v>
      </c>
      <c r="S789" s="4" t="str">
        <f>TEXT(Table1567[[#This Row],[Date]],"mmm")</f>
        <v>Jun</v>
      </c>
      <c r="T789" s="4" t="str">
        <f>TEXT(Table1567[[#This Row],[Date]],"DDD")</f>
        <v>Tue</v>
      </c>
    </row>
    <row r="790" spans="1:20" ht="29" x14ac:dyDescent="0.35">
      <c r="A790" s="4">
        <v>789</v>
      </c>
      <c r="B790" s="5">
        <v>45199</v>
      </c>
      <c r="C790" s="4" t="s">
        <v>802</v>
      </c>
      <c r="D790" s="4" t="s">
        <v>13</v>
      </c>
      <c r="E790" s="4">
        <v>61</v>
      </c>
      <c r="F790" s="4" t="str">
        <f>IF(Table1567[[#This Row],[Age]]&lt;=19,"Teenager",IF(Table1567[[#This Row],[Age]]&lt;=40,"Median","Old"))</f>
        <v>Old</v>
      </c>
      <c r="G790" s="4" t="s">
        <v>14</v>
      </c>
      <c r="H790" s="4">
        <v>4</v>
      </c>
      <c r="I790" s="4">
        <v>500</v>
      </c>
      <c r="J790" s="4">
        <v>2000</v>
      </c>
      <c r="K790" s="4" t="str" cm="1">
        <f t="array" ref="K790">_xlfn.IFS(AND(Table1567[[#This Row],[Total Amount]]&gt;=1500),"Critical",AND(Table1567[[#This Row],[Total Amount]]&gt;=1000),"High",TRUE,"Normal")</f>
        <v>Critical</v>
      </c>
      <c r="L790" s="4" t="str">
        <f>IF(Table1567[[#This Row],[Total Amount]]&gt;=1000,"High",(IF(Table1567[[#This Row],[Total Amount]]&gt;=500,"Medium","Low")))</f>
        <v>High</v>
      </c>
      <c r="M790" s="4" t="str" cm="1">
        <f t="array" ref="M79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90" s="4" cm="1">
        <f t="array" ref="N79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400</v>
      </c>
      <c r="O790" s="4">
        <f>Table1567[[#This Row],[Total Amount]]-Table1567[[#This Row],[Discount Amount]]</f>
        <v>1600</v>
      </c>
      <c r="P790" s="4" t="str">
        <f>IF(Table1567[[#This Row],[Total Amount]]&gt;=1000,"High","Low")</f>
        <v>High</v>
      </c>
      <c r="Q790" s="4" t="b" cm="1">
        <f t="array" ref="Q790">_xlfn.IFS(AND(Table1567[[#This Row],[Total Amount]]&gt;=1500,"Critical"),AND(Table1567[[#This Row],[Total Amount]]&gt;=1000,"High"),TRUE,"Normal")</f>
        <v>1</v>
      </c>
      <c r="R790" s="4" t="str">
        <f>CONCATENATE(Table1567[[#This Row],[Customer ID]], "-",Table1567[[#This Row],[Age]])</f>
        <v>CUST789-61</v>
      </c>
      <c r="S790" s="4" t="str">
        <f>TEXT(Table1567[[#This Row],[Date]],"mmm")</f>
        <v>Sep</v>
      </c>
      <c r="T790" s="4" t="str">
        <f>TEXT(Table1567[[#This Row],[Date]],"DDD")</f>
        <v>Sat</v>
      </c>
    </row>
    <row r="791" spans="1:20" ht="29" x14ac:dyDescent="0.35">
      <c r="A791" s="4">
        <v>790</v>
      </c>
      <c r="B791" s="5">
        <v>45146</v>
      </c>
      <c r="C791" s="4" t="s">
        <v>803</v>
      </c>
      <c r="D791" s="4" t="s">
        <v>10</v>
      </c>
      <c r="E791" s="4">
        <v>62</v>
      </c>
      <c r="F791" s="4" t="str">
        <f>IF(Table1567[[#This Row],[Age]]&lt;=19,"Teenager",IF(Table1567[[#This Row],[Age]]&lt;=40,"Median","Old"))</f>
        <v>Old</v>
      </c>
      <c r="G791" s="4" t="s">
        <v>14</v>
      </c>
      <c r="H791" s="4">
        <v>1</v>
      </c>
      <c r="I791" s="4">
        <v>25</v>
      </c>
      <c r="J791" s="4">
        <v>25</v>
      </c>
      <c r="K791" s="4" t="str" cm="1">
        <f t="array" ref="K791">_xlfn.IFS(AND(Table1567[[#This Row],[Total Amount]]&gt;=1500),"Critical",AND(Table1567[[#This Row],[Total Amount]]&gt;=1000),"High",TRUE,"Normal")</f>
        <v>Normal</v>
      </c>
      <c r="L791" s="4" t="str">
        <f>IF(Table1567[[#This Row],[Total Amount]]&gt;=1000,"High",(IF(Table1567[[#This Row],[Total Amount]]&gt;=500,"Medium","Low")))</f>
        <v>Low</v>
      </c>
      <c r="M791" s="4" t="str" cm="1">
        <f t="array" ref="M79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91" s="4" cm="1">
        <f t="array" ref="N79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791" s="4">
        <f>Table1567[[#This Row],[Total Amount]]-Table1567[[#This Row],[Discount Amount]]</f>
        <v>22.5</v>
      </c>
      <c r="P791" s="4" t="str">
        <f>IF(Table1567[[#This Row],[Total Amount]]&gt;=1000,"High","Low")</f>
        <v>Low</v>
      </c>
      <c r="Q791" s="4" t="str" cm="1">
        <f t="array" ref="Q791">_xlfn.IFS(AND(Table1567[[#This Row],[Total Amount]]&gt;=1500,"Critical"),AND(Table1567[[#This Row],[Total Amount]]&gt;=1000,"High"),TRUE,"Normal")</f>
        <v>Normal</v>
      </c>
      <c r="R791" s="4" t="str">
        <f>CONCATENATE(Table1567[[#This Row],[Customer ID]], "-",Table1567[[#This Row],[Age]])</f>
        <v>CUST790-62</v>
      </c>
      <c r="S791" s="4" t="str">
        <f>TEXT(Table1567[[#This Row],[Date]],"mmm")</f>
        <v>Aug</v>
      </c>
      <c r="T791" s="4" t="str">
        <f>TEXT(Table1567[[#This Row],[Date]],"DDD")</f>
        <v>Tue</v>
      </c>
    </row>
    <row r="792" spans="1:20" ht="29" x14ac:dyDescent="0.35">
      <c r="A792" s="4">
        <v>791</v>
      </c>
      <c r="B792" s="5">
        <v>45265</v>
      </c>
      <c r="C792" s="4" t="s">
        <v>804</v>
      </c>
      <c r="D792" s="4" t="s">
        <v>13</v>
      </c>
      <c r="E792" s="4">
        <v>51</v>
      </c>
      <c r="F792" s="4" t="str">
        <f>IF(Table1567[[#This Row],[Age]]&lt;=19,"Teenager",IF(Table1567[[#This Row],[Age]]&lt;=40,"Median","Old"))</f>
        <v>Old</v>
      </c>
      <c r="G792" s="4" t="s">
        <v>11</v>
      </c>
      <c r="H792" s="4">
        <v>1</v>
      </c>
      <c r="I792" s="4">
        <v>25</v>
      </c>
      <c r="J792" s="4">
        <v>25</v>
      </c>
      <c r="K792" s="4" t="str" cm="1">
        <f t="array" ref="K792">_xlfn.IFS(AND(Table1567[[#This Row],[Total Amount]]&gt;=1500),"Critical",AND(Table1567[[#This Row],[Total Amount]]&gt;=1000),"High",TRUE,"Normal")</f>
        <v>Normal</v>
      </c>
      <c r="L792" s="4" t="str">
        <f>IF(Table1567[[#This Row],[Total Amount]]&gt;=1000,"High",(IF(Table1567[[#This Row],[Total Amount]]&gt;=500,"Medium","Low")))</f>
        <v>Low</v>
      </c>
      <c r="M792" s="4" t="str" cm="1">
        <f t="array" ref="M79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92" s="4" cm="1">
        <f t="array" ref="N79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792" s="4">
        <f>Table1567[[#This Row],[Total Amount]]-Table1567[[#This Row],[Discount Amount]]</f>
        <v>20</v>
      </c>
      <c r="P792" s="4" t="str">
        <f>IF(Table1567[[#This Row],[Total Amount]]&gt;=1000,"High","Low")</f>
        <v>Low</v>
      </c>
      <c r="Q792" s="4" t="str" cm="1">
        <f t="array" ref="Q792">_xlfn.IFS(AND(Table1567[[#This Row],[Total Amount]]&gt;=1500,"Critical"),AND(Table1567[[#This Row],[Total Amount]]&gt;=1000,"High"),TRUE,"Normal")</f>
        <v>Normal</v>
      </c>
      <c r="R792" s="4" t="str">
        <f>CONCATENATE(Table1567[[#This Row],[Customer ID]], "-",Table1567[[#This Row],[Age]])</f>
        <v>CUST791-51</v>
      </c>
      <c r="S792" s="4" t="str">
        <f>TEXT(Table1567[[#This Row],[Date]],"mmm")</f>
        <v>Dec</v>
      </c>
      <c r="T792" s="4" t="str">
        <f>TEXT(Table1567[[#This Row],[Date]],"DDD")</f>
        <v>Tue</v>
      </c>
    </row>
    <row r="793" spans="1:20" ht="29" x14ac:dyDescent="0.35">
      <c r="A793" s="4">
        <v>792</v>
      </c>
      <c r="B793" s="5">
        <v>45116</v>
      </c>
      <c r="C793" s="4" t="s">
        <v>805</v>
      </c>
      <c r="D793" s="4" t="s">
        <v>13</v>
      </c>
      <c r="E793" s="4">
        <v>20</v>
      </c>
      <c r="F793" s="4" t="str">
        <f>IF(Table1567[[#This Row],[Age]]&lt;=19,"Teenager",IF(Table1567[[#This Row],[Age]]&lt;=40,"Median","Old"))</f>
        <v>Median</v>
      </c>
      <c r="G793" s="4" t="s">
        <v>11</v>
      </c>
      <c r="H793" s="4">
        <v>1</v>
      </c>
      <c r="I793" s="4">
        <v>50</v>
      </c>
      <c r="J793" s="4">
        <v>50</v>
      </c>
      <c r="K793" s="4" t="str" cm="1">
        <f t="array" ref="K793">_xlfn.IFS(AND(Table1567[[#This Row],[Total Amount]]&gt;=1500),"Critical",AND(Table1567[[#This Row],[Total Amount]]&gt;=1000),"High",TRUE,"Normal")</f>
        <v>Normal</v>
      </c>
      <c r="L793" s="4" t="str">
        <f>IF(Table1567[[#This Row],[Total Amount]]&gt;=1000,"High",(IF(Table1567[[#This Row],[Total Amount]]&gt;=500,"Medium","Low")))</f>
        <v>Low</v>
      </c>
      <c r="M793" s="4" t="str" cm="1">
        <f t="array" ref="M79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793" s="4" cm="1">
        <f t="array" ref="N79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793" s="4">
        <f>Table1567[[#This Row],[Total Amount]]-Table1567[[#This Row],[Discount Amount]]</f>
        <v>50</v>
      </c>
      <c r="P793" s="4" t="str">
        <f>IF(Table1567[[#This Row],[Total Amount]]&gt;=1000,"High","Low")</f>
        <v>Low</v>
      </c>
      <c r="Q793" s="4" t="str" cm="1">
        <f t="array" ref="Q793">_xlfn.IFS(AND(Table1567[[#This Row],[Total Amount]]&gt;=1500,"Critical"),AND(Table1567[[#This Row],[Total Amount]]&gt;=1000,"High"),TRUE,"Normal")</f>
        <v>Normal</v>
      </c>
      <c r="R793" s="4" t="str">
        <f>CONCATENATE(Table1567[[#This Row],[Customer ID]], "-",Table1567[[#This Row],[Age]])</f>
        <v>CUST792-20</v>
      </c>
      <c r="S793" s="4" t="str">
        <f>TEXT(Table1567[[#This Row],[Date]],"mmm")</f>
        <v>Jul</v>
      </c>
      <c r="T793" s="4" t="str">
        <f>TEXT(Table1567[[#This Row],[Date]],"DDD")</f>
        <v>Sun</v>
      </c>
    </row>
    <row r="794" spans="1:20" ht="29" x14ac:dyDescent="0.35">
      <c r="A794" s="4">
        <v>793</v>
      </c>
      <c r="B794" s="5">
        <v>44962</v>
      </c>
      <c r="C794" s="4" t="s">
        <v>806</v>
      </c>
      <c r="D794" s="4" t="s">
        <v>10</v>
      </c>
      <c r="E794" s="4">
        <v>54</v>
      </c>
      <c r="F794" s="4" t="str">
        <f>IF(Table1567[[#This Row],[Age]]&lt;=19,"Teenager",IF(Table1567[[#This Row],[Age]]&lt;=40,"Median","Old"))</f>
        <v>Old</v>
      </c>
      <c r="G794" s="4" t="s">
        <v>11</v>
      </c>
      <c r="H794" s="4">
        <v>1</v>
      </c>
      <c r="I794" s="4">
        <v>30</v>
      </c>
      <c r="J794" s="4">
        <v>30</v>
      </c>
      <c r="K794" s="4" t="str" cm="1">
        <f t="array" ref="K794">_xlfn.IFS(AND(Table1567[[#This Row],[Total Amount]]&gt;=1500),"Critical",AND(Table1567[[#This Row],[Total Amount]]&gt;=1000),"High",TRUE,"Normal")</f>
        <v>Normal</v>
      </c>
      <c r="L794" s="4" t="str">
        <f>IF(Table1567[[#This Row],[Total Amount]]&gt;=1000,"High",(IF(Table1567[[#This Row],[Total Amount]]&gt;=500,"Medium","Low")))</f>
        <v>Low</v>
      </c>
      <c r="M794" s="4" t="str" cm="1">
        <f t="array" ref="M79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94" s="4" cm="1">
        <f t="array" ref="N79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</v>
      </c>
      <c r="O794" s="4">
        <f>Table1567[[#This Row],[Total Amount]]-Table1567[[#This Row],[Discount Amount]]</f>
        <v>27</v>
      </c>
      <c r="P794" s="4" t="str">
        <f>IF(Table1567[[#This Row],[Total Amount]]&gt;=1000,"High","Low")</f>
        <v>Low</v>
      </c>
      <c r="Q794" s="4" t="str" cm="1">
        <f t="array" ref="Q794">_xlfn.IFS(AND(Table1567[[#This Row],[Total Amount]]&gt;=1500,"Critical"),AND(Table1567[[#This Row],[Total Amount]]&gt;=1000,"High"),TRUE,"Normal")</f>
        <v>Normal</v>
      </c>
      <c r="R794" s="4" t="str">
        <f>CONCATENATE(Table1567[[#This Row],[Customer ID]], "-",Table1567[[#This Row],[Age]])</f>
        <v>CUST793-54</v>
      </c>
      <c r="S794" s="4" t="str">
        <f>TEXT(Table1567[[#This Row],[Date]],"mmm")</f>
        <v>Feb</v>
      </c>
      <c r="T794" s="4" t="str">
        <f>TEXT(Table1567[[#This Row],[Date]],"DDD")</f>
        <v>Sun</v>
      </c>
    </row>
    <row r="795" spans="1:20" ht="29" x14ac:dyDescent="0.35">
      <c r="A795" s="4">
        <v>794</v>
      </c>
      <c r="B795" s="5">
        <v>45186</v>
      </c>
      <c r="C795" s="4" t="s">
        <v>807</v>
      </c>
      <c r="D795" s="4" t="s">
        <v>13</v>
      </c>
      <c r="E795" s="4">
        <v>60</v>
      </c>
      <c r="F795" s="4" t="str">
        <f>IF(Table1567[[#This Row],[Age]]&lt;=19,"Teenager",IF(Table1567[[#This Row],[Age]]&lt;=40,"Median","Old"))</f>
        <v>Old</v>
      </c>
      <c r="G795" s="4" t="s">
        <v>11</v>
      </c>
      <c r="H795" s="4">
        <v>1</v>
      </c>
      <c r="I795" s="4">
        <v>300</v>
      </c>
      <c r="J795" s="4">
        <v>300</v>
      </c>
      <c r="K795" s="4" t="str" cm="1">
        <f t="array" ref="K795">_xlfn.IFS(AND(Table1567[[#This Row],[Total Amount]]&gt;=1500),"Critical",AND(Table1567[[#This Row],[Total Amount]]&gt;=1000),"High",TRUE,"Normal")</f>
        <v>Normal</v>
      </c>
      <c r="L795" s="4" t="str">
        <f>IF(Table1567[[#This Row],[Total Amount]]&gt;=1000,"High",(IF(Table1567[[#This Row],[Total Amount]]&gt;=500,"Medium","Low")))</f>
        <v>Low</v>
      </c>
      <c r="M795" s="4" t="str" cm="1">
        <f t="array" ref="M79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95" s="4" cm="1">
        <f t="array" ref="N79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795" s="4">
        <f>Table1567[[#This Row],[Total Amount]]-Table1567[[#This Row],[Discount Amount]]</f>
        <v>240</v>
      </c>
      <c r="P795" s="4" t="str">
        <f>IF(Table1567[[#This Row],[Total Amount]]&gt;=1000,"High","Low")</f>
        <v>Low</v>
      </c>
      <c r="Q795" s="4" t="str" cm="1">
        <f t="array" ref="Q795">_xlfn.IFS(AND(Table1567[[#This Row],[Total Amount]]&gt;=1500,"Critical"),AND(Table1567[[#This Row],[Total Amount]]&gt;=1000,"High"),TRUE,"Normal")</f>
        <v>Normal</v>
      </c>
      <c r="R795" s="4" t="str">
        <f>CONCATENATE(Table1567[[#This Row],[Customer ID]], "-",Table1567[[#This Row],[Age]])</f>
        <v>CUST794-60</v>
      </c>
      <c r="S795" s="4" t="str">
        <f>TEXT(Table1567[[#This Row],[Date]],"mmm")</f>
        <v>Sep</v>
      </c>
      <c r="T795" s="4" t="str">
        <f>TEXT(Table1567[[#This Row],[Date]],"DDD")</f>
        <v>Sun</v>
      </c>
    </row>
    <row r="796" spans="1:20" ht="29" x14ac:dyDescent="0.35">
      <c r="A796" s="4">
        <v>795</v>
      </c>
      <c r="B796" s="5">
        <v>45258</v>
      </c>
      <c r="C796" s="4" t="s">
        <v>808</v>
      </c>
      <c r="D796" s="4" t="s">
        <v>10</v>
      </c>
      <c r="E796" s="4">
        <v>57</v>
      </c>
      <c r="F796" s="4" t="str">
        <f>IF(Table1567[[#This Row],[Age]]&lt;=19,"Teenager",IF(Table1567[[#This Row],[Age]]&lt;=40,"Median","Old"))</f>
        <v>Old</v>
      </c>
      <c r="G796" s="4" t="s">
        <v>16</v>
      </c>
      <c r="H796" s="4">
        <v>1</v>
      </c>
      <c r="I796" s="4">
        <v>300</v>
      </c>
      <c r="J796" s="4">
        <v>300</v>
      </c>
      <c r="K796" s="4" t="str" cm="1">
        <f t="array" ref="K796">_xlfn.IFS(AND(Table1567[[#This Row],[Total Amount]]&gt;=1500),"Critical",AND(Table1567[[#This Row],[Total Amount]]&gt;=1000),"High",TRUE,"Normal")</f>
        <v>Normal</v>
      </c>
      <c r="L796" s="4" t="str">
        <f>IF(Table1567[[#This Row],[Total Amount]]&gt;=1000,"High",(IF(Table1567[[#This Row],[Total Amount]]&gt;=500,"Medium","Low")))</f>
        <v>Low</v>
      </c>
      <c r="M796" s="4" t="str" cm="1">
        <f t="array" ref="M79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96" s="4" cm="1">
        <f t="array" ref="N79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796" s="4">
        <f>Table1567[[#This Row],[Total Amount]]-Table1567[[#This Row],[Discount Amount]]</f>
        <v>270</v>
      </c>
      <c r="P796" s="4" t="str">
        <f>IF(Table1567[[#This Row],[Total Amount]]&gt;=1000,"High","Low")</f>
        <v>Low</v>
      </c>
      <c r="Q796" s="4" t="str" cm="1">
        <f t="array" ref="Q796">_xlfn.IFS(AND(Table1567[[#This Row],[Total Amount]]&gt;=1500,"Critical"),AND(Table1567[[#This Row],[Total Amount]]&gt;=1000,"High"),TRUE,"Normal")</f>
        <v>Normal</v>
      </c>
      <c r="R796" s="4" t="str">
        <f>CONCATENATE(Table1567[[#This Row],[Customer ID]], "-",Table1567[[#This Row],[Age]])</f>
        <v>CUST795-57</v>
      </c>
      <c r="S796" s="4" t="str">
        <f>TEXT(Table1567[[#This Row],[Date]],"mmm")</f>
        <v>Nov</v>
      </c>
      <c r="T796" s="4" t="str">
        <f>TEXT(Table1567[[#This Row],[Date]],"DDD")</f>
        <v>Tue</v>
      </c>
    </row>
    <row r="797" spans="1:20" ht="29" x14ac:dyDescent="0.35">
      <c r="A797" s="4">
        <v>796</v>
      </c>
      <c r="B797" s="5">
        <v>45101</v>
      </c>
      <c r="C797" s="4" t="s">
        <v>809</v>
      </c>
      <c r="D797" s="4" t="s">
        <v>10</v>
      </c>
      <c r="E797" s="4">
        <v>43</v>
      </c>
      <c r="F797" s="4" t="str">
        <f>IF(Table1567[[#This Row],[Age]]&lt;=19,"Teenager",IF(Table1567[[#This Row],[Age]]&lt;=40,"Median","Old"))</f>
        <v>Old</v>
      </c>
      <c r="G797" s="4" t="s">
        <v>11</v>
      </c>
      <c r="H797" s="4">
        <v>4</v>
      </c>
      <c r="I797" s="4">
        <v>30</v>
      </c>
      <c r="J797" s="4">
        <v>120</v>
      </c>
      <c r="K797" s="4" t="str" cm="1">
        <f t="array" ref="K797">_xlfn.IFS(AND(Table1567[[#This Row],[Total Amount]]&gt;=1500),"Critical",AND(Table1567[[#This Row],[Total Amount]]&gt;=1000),"High",TRUE,"Normal")</f>
        <v>Normal</v>
      </c>
      <c r="L797" s="4" t="str">
        <f>IF(Table1567[[#This Row],[Total Amount]]&gt;=1000,"High",(IF(Table1567[[#This Row],[Total Amount]]&gt;=500,"Medium","Low")))</f>
        <v>Low</v>
      </c>
      <c r="M797" s="4" t="str" cm="1">
        <f t="array" ref="M79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97" s="4" cm="1">
        <f t="array" ref="N79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797" s="4">
        <f>Table1567[[#This Row],[Total Amount]]-Table1567[[#This Row],[Discount Amount]]</f>
        <v>108</v>
      </c>
      <c r="P797" s="4" t="str">
        <f>IF(Table1567[[#This Row],[Total Amount]]&gt;=1000,"High","Low")</f>
        <v>Low</v>
      </c>
      <c r="Q797" s="4" t="str" cm="1">
        <f t="array" ref="Q797">_xlfn.IFS(AND(Table1567[[#This Row],[Total Amount]]&gt;=1500,"Critical"),AND(Table1567[[#This Row],[Total Amount]]&gt;=1000,"High"),TRUE,"Normal")</f>
        <v>Normal</v>
      </c>
      <c r="R797" s="4" t="str">
        <f>CONCATENATE(Table1567[[#This Row],[Customer ID]], "-",Table1567[[#This Row],[Age]])</f>
        <v>CUST796-43</v>
      </c>
      <c r="S797" s="4" t="str">
        <f>TEXT(Table1567[[#This Row],[Date]],"mmm")</f>
        <v>Jun</v>
      </c>
      <c r="T797" s="4" t="str">
        <f>TEXT(Table1567[[#This Row],[Date]],"DDD")</f>
        <v>Sat</v>
      </c>
    </row>
    <row r="798" spans="1:20" ht="29" x14ac:dyDescent="0.35">
      <c r="A798" s="4">
        <v>797</v>
      </c>
      <c r="B798" s="5">
        <v>44933</v>
      </c>
      <c r="C798" s="4" t="s">
        <v>810</v>
      </c>
      <c r="D798" s="4" t="s">
        <v>10</v>
      </c>
      <c r="E798" s="4">
        <v>40</v>
      </c>
      <c r="F798" s="4" t="str">
        <f>IF(Table1567[[#This Row],[Age]]&lt;=19,"Teenager",IF(Table1567[[#This Row],[Age]]&lt;=40,"Median","Old"))</f>
        <v>Median</v>
      </c>
      <c r="G798" s="4" t="s">
        <v>14</v>
      </c>
      <c r="H798" s="4">
        <v>3</v>
      </c>
      <c r="I798" s="4">
        <v>25</v>
      </c>
      <c r="J798" s="4">
        <v>75</v>
      </c>
      <c r="K798" s="4" t="str" cm="1">
        <f t="array" ref="K798">_xlfn.IFS(AND(Table1567[[#This Row],[Total Amount]]&gt;=1500),"Critical",AND(Table1567[[#This Row],[Total Amount]]&gt;=1000),"High",TRUE,"Normal")</f>
        <v>Normal</v>
      </c>
      <c r="L798" s="4" t="str">
        <f>IF(Table1567[[#This Row],[Total Amount]]&gt;=1000,"High",(IF(Table1567[[#This Row],[Total Amount]]&gt;=500,"Medium","Low")))</f>
        <v>Low</v>
      </c>
      <c r="M798" s="4" t="str" cm="1">
        <f t="array" ref="M79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98" s="4" cm="1">
        <f t="array" ref="N79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798" s="4">
        <f>Table1567[[#This Row],[Total Amount]]-Table1567[[#This Row],[Discount Amount]]</f>
        <v>67.5</v>
      </c>
      <c r="P798" s="4" t="str">
        <f>IF(Table1567[[#This Row],[Total Amount]]&gt;=1000,"High","Low")</f>
        <v>Low</v>
      </c>
      <c r="Q798" s="4" t="str" cm="1">
        <f t="array" ref="Q798">_xlfn.IFS(AND(Table1567[[#This Row],[Total Amount]]&gt;=1500,"Critical"),AND(Table1567[[#This Row],[Total Amount]]&gt;=1000,"High"),TRUE,"Normal")</f>
        <v>Normal</v>
      </c>
      <c r="R798" s="4" t="str">
        <f>CONCATENATE(Table1567[[#This Row],[Customer ID]], "-",Table1567[[#This Row],[Age]])</f>
        <v>CUST797-40</v>
      </c>
      <c r="S798" s="4" t="str">
        <f>TEXT(Table1567[[#This Row],[Date]],"mmm")</f>
        <v>Jan</v>
      </c>
      <c r="T798" s="4" t="str">
        <f>TEXT(Table1567[[#This Row],[Date]],"DDD")</f>
        <v>Sat</v>
      </c>
    </row>
    <row r="799" spans="1:20" ht="29" x14ac:dyDescent="0.35">
      <c r="A799" s="4">
        <v>798</v>
      </c>
      <c r="B799" s="5">
        <v>45142</v>
      </c>
      <c r="C799" s="4" t="s">
        <v>811</v>
      </c>
      <c r="D799" s="4" t="s">
        <v>10</v>
      </c>
      <c r="E799" s="4">
        <v>61</v>
      </c>
      <c r="F799" s="4" t="str">
        <f>IF(Table1567[[#This Row],[Age]]&lt;=19,"Teenager",IF(Table1567[[#This Row],[Age]]&lt;=40,"Median","Old"))</f>
        <v>Old</v>
      </c>
      <c r="G799" s="4" t="s">
        <v>14</v>
      </c>
      <c r="H799" s="4">
        <v>1</v>
      </c>
      <c r="I799" s="4">
        <v>50</v>
      </c>
      <c r="J799" s="4">
        <v>50</v>
      </c>
      <c r="K799" s="4" t="str" cm="1">
        <f t="array" ref="K799">_xlfn.IFS(AND(Table1567[[#This Row],[Total Amount]]&gt;=1500),"Critical",AND(Table1567[[#This Row],[Total Amount]]&gt;=1000),"High",TRUE,"Normal")</f>
        <v>Normal</v>
      </c>
      <c r="L799" s="4" t="str">
        <f>IF(Table1567[[#This Row],[Total Amount]]&gt;=1000,"High",(IF(Table1567[[#This Row],[Total Amount]]&gt;=500,"Medium","Low")))</f>
        <v>Low</v>
      </c>
      <c r="M799" s="4" t="str" cm="1">
        <f t="array" ref="M79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99" s="4" cm="1">
        <f t="array" ref="N79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799" s="4">
        <f>Table1567[[#This Row],[Total Amount]]-Table1567[[#This Row],[Discount Amount]]</f>
        <v>45</v>
      </c>
      <c r="P799" s="4" t="str">
        <f>IF(Table1567[[#This Row],[Total Amount]]&gt;=1000,"High","Low")</f>
        <v>Low</v>
      </c>
      <c r="Q799" s="4" t="str" cm="1">
        <f t="array" ref="Q799">_xlfn.IFS(AND(Table1567[[#This Row],[Total Amount]]&gt;=1500,"Critical"),AND(Table1567[[#This Row],[Total Amount]]&gt;=1000,"High"),TRUE,"Normal")</f>
        <v>Normal</v>
      </c>
      <c r="R799" s="4" t="str">
        <f>CONCATENATE(Table1567[[#This Row],[Customer ID]], "-",Table1567[[#This Row],[Age]])</f>
        <v>CUST798-61</v>
      </c>
      <c r="S799" s="4" t="str">
        <f>TEXT(Table1567[[#This Row],[Date]],"mmm")</f>
        <v>Aug</v>
      </c>
      <c r="T799" s="4" t="str">
        <f>TEXT(Table1567[[#This Row],[Date]],"DDD")</f>
        <v>Fri</v>
      </c>
    </row>
    <row r="800" spans="1:20" ht="29" x14ac:dyDescent="0.35">
      <c r="A800" s="4">
        <v>799</v>
      </c>
      <c r="B800" s="5">
        <v>45177</v>
      </c>
      <c r="C800" s="4" t="s">
        <v>812</v>
      </c>
      <c r="D800" s="4" t="s">
        <v>10</v>
      </c>
      <c r="E800" s="4">
        <v>56</v>
      </c>
      <c r="F800" s="4" t="str">
        <f>IF(Table1567[[#This Row],[Age]]&lt;=19,"Teenager",IF(Table1567[[#This Row],[Age]]&lt;=40,"Median","Old"))</f>
        <v>Old</v>
      </c>
      <c r="G800" s="4" t="s">
        <v>16</v>
      </c>
      <c r="H800" s="4">
        <v>2</v>
      </c>
      <c r="I800" s="4">
        <v>50</v>
      </c>
      <c r="J800" s="4">
        <v>100</v>
      </c>
      <c r="K800" s="4" t="str" cm="1">
        <f t="array" ref="K800">_xlfn.IFS(AND(Table1567[[#This Row],[Total Amount]]&gt;=1500),"Critical",AND(Table1567[[#This Row],[Total Amount]]&gt;=1000),"High",TRUE,"Normal")</f>
        <v>Normal</v>
      </c>
      <c r="L800" s="4" t="str">
        <f>IF(Table1567[[#This Row],[Total Amount]]&gt;=1000,"High",(IF(Table1567[[#This Row],[Total Amount]]&gt;=500,"Medium","Low")))</f>
        <v>Low</v>
      </c>
      <c r="M800" s="4" t="str" cm="1">
        <f t="array" ref="M80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00" s="4" cm="1">
        <f t="array" ref="N80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800" s="4">
        <f>Table1567[[#This Row],[Total Amount]]-Table1567[[#This Row],[Discount Amount]]</f>
        <v>90</v>
      </c>
      <c r="P800" s="4" t="str">
        <f>IF(Table1567[[#This Row],[Total Amount]]&gt;=1000,"High","Low")</f>
        <v>Low</v>
      </c>
      <c r="Q800" s="4" t="str" cm="1">
        <f t="array" ref="Q800">_xlfn.IFS(AND(Table1567[[#This Row],[Total Amount]]&gt;=1500,"Critical"),AND(Table1567[[#This Row],[Total Amount]]&gt;=1000,"High"),TRUE,"Normal")</f>
        <v>Normal</v>
      </c>
      <c r="R800" s="4" t="str">
        <f>CONCATENATE(Table1567[[#This Row],[Customer ID]], "-",Table1567[[#This Row],[Age]])</f>
        <v>CUST799-56</v>
      </c>
      <c r="S800" s="4" t="str">
        <f>TEXT(Table1567[[#This Row],[Date]],"mmm")</f>
        <v>Sep</v>
      </c>
      <c r="T800" s="4" t="str">
        <f>TEXT(Table1567[[#This Row],[Date]],"DDD")</f>
        <v>Fri</v>
      </c>
    </row>
    <row r="801" spans="1:20" ht="29" x14ac:dyDescent="0.35">
      <c r="A801" s="4">
        <v>800</v>
      </c>
      <c r="B801" s="5">
        <v>44981</v>
      </c>
      <c r="C801" s="4" t="s">
        <v>813</v>
      </c>
      <c r="D801" s="4" t="s">
        <v>10</v>
      </c>
      <c r="E801" s="4">
        <v>32</v>
      </c>
      <c r="F801" s="4" t="str">
        <f>IF(Table1567[[#This Row],[Age]]&lt;=19,"Teenager",IF(Table1567[[#This Row],[Age]]&lt;=40,"Median","Old"))</f>
        <v>Median</v>
      </c>
      <c r="G801" s="4" t="s">
        <v>14</v>
      </c>
      <c r="H801" s="4">
        <v>4</v>
      </c>
      <c r="I801" s="4">
        <v>300</v>
      </c>
      <c r="J801" s="4">
        <v>1200</v>
      </c>
      <c r="K801" s="4" t="str" cm="1">
        <f t="array" ref="K801">_xlfn.IFS(AND(Table1567[[#This Row],[Total Amount]]&gt;=1500),"Critical",AND(Table1567[[#This Row],[Total Amount]]&gt;=1000),"High",TRUE,"Normal")</f>
        <v>High</v>
      </c>
      <c r="L801" s="4" t="str">
        <f>IF(Table1567[[#This Row],[Total Amount]]&gt;=1000,"High",(IF(Table1567[[#This Row],[Total Amount]]&gt;=500,"Medium","Low")))</f>
        <v>High</v>
      </c>
      <c r="M801" s="4" t="str" cm="1">
        <f t="array" ref="M80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01" s="4" cm="1">
        <f t="array" ref="N80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801" s="4">
        <f>Table1567[[#This Row],[Total Amount]]-Table1567[[#This Row],[Discount Amount]]</f>
        <v>1020</v>
      </c>
      <c r="P801" s="4" t="str">
        <f>IF(Table1567[[#This Row],[Total Amount]]&gt;=1000,"High","Low")</f>
        <v>High</v>
      </c>
      <c r="Q801" s="4" t="str" cm="1">
        <f t="array" ref="Q801">_xlfn.IFS(AND(Table1567[[#This Row],[Total Amount]]&gt;=1500,"Critical"),AND(Table1567[[#This Row],[Total Amount]]&gt;=1000,"High"),TRUE,"Normal")</f>
        <v>Normal</v>
      </c>
      <c r="R801" s="4" t="str">
        <f>CONCATENATE(Table1567[[#This Row],[Customer ID]], "-",Table1567[[#This Row],[Age]])</f>
        <v>CUST800-32</v>
      </c>
      <c r="S801" s="4" t="str">
        <f>TEXT(Table1567[[#This Row],[Date]],"mmm")</f>
        <v>Feb</v>
      </c>
      <c r="T801" s="4" t="str">
        <f>TEXT(Table1567[[#This Row],[Date]],"DDD")</f>
        <v>Fri</v>
      </c>
    </row>
    <row r="802" spans="1:20" ht="29" x14ac:dyDescent="0.35">
      <c r="A802" s="4">
        <v>801</v>
      </c>
      <c r="B802" s="5">
        <v>45148</v>
      </c>
      <c r="C802" s="4" t="s">
        <v>814</v>
      </c>
      <c r="D802" s="4" t="s">
        <v>10</v>
      </c>
      <c r="E802" s="4">
        <v>21</v>
      </c>
      <c r="F802" s="4" t="str">
        <f>IF(Table1567[[#This Row],[Age]]&lt;=19,"Teenager",IF(Table1567[[#This Row],[Age]]&lt;=40,"Median","Old"))</f>
        <v>Median</v>
      </c>
      <c r="G802" s="4" t="s">
        <v>14</v>
      </c>
      <c r="H802" s="4">
        <v>4</v>
      </c>
      <c r="I802" s="4">
        <v>50</v>
      </c>
      <c r="J802" s="4">
        <v>200</v>
      </c>
      <c r="K802" s="4" t="str" cm="1">
        <f t="array" ref="K802">_xlfn.IFS(AND(Table1567[[#This Row],[Total Amount]]&gt;=1500),"Critical",AND(Table1567[[#This Row],[Total Amount]]&gt;=1000),"High",TRUE,"Normal")</f>
        <v>Normal</v>
      </c>
      <c r="L802" s="4" t="str">
        <f>IF(Table1567[[#This Row],[Total Amount]]&gt;=1000,"High",(IF(Table1567[[#This Row],[Total Amount]]&gt;=500,"Medium","Low")))</f>
        <v>Low</v>
      </c>
      <c r="M802" s="4" t="str" cm="1">
        <f t="array" ref="M80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802" s="4" cm="1">
        <f t="array" ref="N80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802" s="4">
        <f>Table1567[[#This Row],[Total Amount]]-Table1567[[#This Row],[Discount Amount]]</f>
        <v>200</v>
      </c>
      <c r="P802" s="4" t="str">
        <f>IF(Table1567[[#This Row],[Total Amount]]&gt;=1000,"High","Low")</f>
        <v>Low</v>
      </c>
      <c r="Q802" s="4" t="str" cm="1">
        <f t="array" ref="Q802">_xlfn.IFS(AND(Table1567[[#This Row],[Total Amount]]&gt;=1500,"Critical"),AND(Table1567[[#This Row],[Total Amount]]&gt;=1000,"High"),TRUE,"Normal")</f>
        <v>Normal</v>
      </c>
      <c r="R802" s="4" t="str">
        <f>CONCATENATE(Table1567[[#This Row],[Customer ID]], "-",Table1567[[#This Row],[Age]])</f>
        <v>CUST801-21</v>
      </c>
      <c r="S802" s="4" t="str">
        <f>TEXT(Table1567[[#This Row],[Date]],"mmm")</f>
        <v>Aug</v>
      </c>
      <c r="T802" s="4" t="str">
        <f>TEXT(Table1567[[#This Row],[Date]],"DDD")</f>
        <v>Thu</v>
      </c>
    </row>
    <row r="803" spans="1:20" ht="29" x14ac:dyDescent="0.35">
      <c r="A803" s="4">
        <v>802</v>
      </c>
      <c r="B803" s="5">
        <v>45112</v>
      </c>
      <c r="C803" s="4" t="s">
        <v>815</v>
      </c>
      <c r="D803" s="4" t="s">
        <v>13</v>
      </c>
      <c r="E803" s="4">
        <v>46</v>
      </c>
      <c r="F803" s="4" t="str">
        <f>IF(Table1567[[#This Row],[Age]]&lt;=19,"Teenager",IF(Table1567[[#This Row],[Age]]&lt;=40,"Median","Old"))</f>
        <v>Old</v>
      </c>
      <c r="G803" s="4" t="s">
        <v>11</v>
      </c>
      <c r="H803" s="4">
        <v>1</v>
      </c>
      <c r="I803" s="4">
        <v>30</v>
      </c>
      <c r="J803" s="4">
        <v>30</v>
      </c>
      <c r="K803" s="4" t="str" cm="1">
        <f t="array" ref="K803">_xlfn.IFS(AND(Table1567[[#This Row],[Total Amount]]&gt;=1500),"Critical",AND(Table1567[[#This Row],[Total Amount]]&gt;=1000),"High",TRUE,"Normal")</f>
        <v>Normal</v>
      </c>
      <c r="L803" s="4" t="str">
        <f>IF(Table1567[[#This Row],[Total Amount]]&gt;=1000,"High",(IF(Table1567[[#This Row],[Total Amount]]&gt;=500,"Medium","Low")))</f>
        <v>Low</v>
      </c>
      <c r="M803" s="4" t="str" cm="1">
        <f t="array" ref="M80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03" s="4" cm="1">
        <f t="array" ref="N80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803" s="4">
        <f>Table1567[[#This Row],[Total Amount]]-Table1567[[#This Row],[Discount Amount]]</f>
        <v>24</v>
      </c>
      <c r="P803" s="4" t="str">
        <f>IF(Table1567[[#This Row],[Total Amount]]&gt;=1000,"High","Low")</f>
        <v>Low</v>
      </c>
      <c r="Q803" s="4" t="str" cm="1">
        <f t="array" ref="Q803">_xlfn.IFS(AND(Table1567[[#This Row],[Total Amount]]&gt;=1500,"Critical"),AND(Table1567[[#This Row],[Total Amount]]&gt;=1000,"High"),TRUE,"Normal")</f>
        <v>Normal</v>
      </c>
      <c r="R803" s="4" t="str">
        <f>CONCATENATE(Table1567[[#This Row],[Customer ID]], "-",Table1567[[#This Row],[Age]])</f>
        <v>CUST802-46</v>
      </c>
      <c r="S803" s="4" t="str">
        <f>TEXT(Table1567[[#This Row],[Date]],"mmm")</f>
        <v>Jul</v>
      </c>
      <c r="T803" s="4" t="str">
        <f>TEXT(Table1567[[#This Row],[Date]],"DDD")</f>
        <v>Wed</v>
      </c>
    </row>
    <row r="804" spans="1:20" ht="29" x14ac:dyDescent="0.35">
      <c r="A804" s="4">
        <v>803</v>
      </c>
      <c r="B804" s="5">
        <v>45252</v>
      </c>
      <c r="C804" s="4" t="s">
        <v>816</v>
      </c>
      <c r="D804" s="4" t="s">
        <v>10</v>
      </c>
      <c r="E804" s="4">
        <v>39</v>
      </c>
      <c r="F804" s="4" t="str">
        <f>IF(Table1567[[#This Row],[Age]]&lt;=19,"Teenager",IF(Table1567[[#This Row],[Age]]&lt;=40,"Median","Old"))</f>
        <v>Median</v>
      </c>
      <c r="G804" s="4" t="s">
        <v>14</v>
      </c>
      <c r="H804" s="4">
        <v>4</v>
      </c>
      <c r="I804" s="4">
        <v>25</v>
      </c>
      <c r="J804" s="4">
        <v>100</v>
      </c>
      <c r="K804" s="4" t="str" cm="1">
        <f t="array" ref="K804">_xlfn.IFS(AND(Table1567[[#This Row],[Total Amount]]&gt;=1500),"Critical",AND(Table1567[[#This Row],[Total Amount]]&gt;=1000),"High",TRUE,"Normal")</f>
        <v>Normal</v>
      </c>
      <c r="L804" s="4" t="str">
        <f>IF(Table1567[[#This Row],[Total Amount]]&gt;=1000,"High",(IF(Table1567[[#This Row],[Total Amount]]&gt;=500,"Medium","Low")))</f>
        <v>Low</v>
      </c>
      <c r="M804" s="4" t="str" cm="1">
        <f t="array" ref="M80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04" s="4" cm="1">
        <f t="array" ref="N80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804" s="4">
        <f>Table1567[[#This Row],[Total Amount]]-Table1567[[#This Row],[Discount Amount]]</f>
        <v>90</v>
      </c>
      <c r="P804" s="4" t="str">
        <f>IF(Table1567[[#This Row],[Total Amount]]&gt;=1000,"High","Low")</f>
        <v>Low</v>
      </c>
      <c r="Q804" s="4" t="str" cm="1">
        <f t="array" ref="Q804">_xlfn.IFS(AND(Table1567[[#This Row],[Total Amount]]&gt;=1500,"Critical"),AND(Table1567[[#This Row],[Total Amount]]&gt;=1000,"High"),TRUE,"Normal")</f>
        <v>Normal</v>
      </c>
      <c r="R804" s="4" t="str">
        <f>CONCATENATE(Table1567[[#This Row],[Customer ID]], "-",Table1567[[#This Row],[Age]])</f>
        <v>CUST803-39</v>
      </c>
      <c r="S804" s="4" t="str">
        <f>TEXT(Table1567[[#This Row],[Date]],"mmm")</f>
        <v>Nov</v>
      </c>
      <c r="T804" s="4" t="str">
        <f>TEXT(Table1567[[#This Row],[Date]],"DDD")</f>
        <v>Wed</v>
      </c>
    </row>
    <row r="805" spans="1:20" ht="29" x14ac:dyDescent="0.35">
      <c r="A805" s="4">
        <v>804</v>
      </c>
      <c r="B805" s="5">
        <v>45162</v>
      </c>
      <c r="C805" s="4" t="s">
        <v>817</v>
      </c>
      <c r="D805" s="4" t="s">
        <v>10</v>
      </c>
      <c r="E805" s="4">
        <v>42</v>
      </c>
      <c r="F805" s="4" t="str">
        <f>IF(Table1567[[#This Row],[Age]]&lt;=19,"Teenager",IF(Table1567[[#This Row],[Age]]&lt;=40,"Median","Old"))</f>
        <v>Old</v>
      </c>
      <c r="G805" s="4" t="s">
        <v>16</v>
      </c>
      <c r="H805" s="4">
        <v>1</v>
      </c>
      <c r="I805" s="4">
        <v>30</v>
      </c>
      <c r="J805" s="4">
        <v>30</v>
      </c>
      <c r="K805" s="4" t="str" cm="1">
        <f t="array" ref="K805">_xlfn.IFS(AND(Table1567[[#This Row],[Total Amount]]&gt;=1500),"Critical",AND(Table1567[[#This Row],[Total Amount]]&gt;=1000),"High",TRUE,"Normal")</f>
        <v>Normal</v>
      </c>
      <c r="L805" s="4" t="str">
        <f>IF(Table1567[[#This Row],[Total Amount]]&gt;=1000,"High",(IF(Table1567[[#This Row],[Total Amount]]&gt;=500,"Medium","Low")))</f>
        <v>Low</v>
      </c>
      <c r="M805" s="4" t="str" cm="1">
        <f t="array" ref="M80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05" s="4" cm="1">
        <f t="array" ref="N80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</v>
      </c>
      <c r="O805" s="4">
        <f>Table1567[[#This Row],[Total Amount]]-Table1567[[#This Row],[Discount Amount]]</f>
        <v>27</v>
      </c>
      <c r="P805" s="4" t="str">
        <f>IF(Table1567[[#This Row],[Total Amount]]&gt;=1000,"High","Low")</f>
        <v>Low</v>
      </c>
      <c r="Q805" s="4" t="str" cm="1">
        <f t="array" ref="Q805">_xlfn.IFS(AND(Table1567[[#This Row],[Total Amount]]&gt;=1500,"Critical"),AND(Table1567[[#This Row],[Total Amount]]&gt;=1000,"High"),TRUE,"Normal")</f>
        <v>Normal</v>
      </c>
      <c r="R805" s="4" t="str">
        <f>CONCATENATE(Table1567[[#This Row],[Customer ID]], "-",Table1567[[#This Row],[Age]])</f>
        <v>CUST804-42</v>
      </c>
      <c r="S805" s="4" t="str">
        <f>TEXT(Table1567[[#This Row],[Date]],"mmm")</f>
        <v>Aug</v>
      </c>
      <c r="T805" s="4" t="str">
        <f>TEXT(Table1567[[#This Row],[Date]],"DDD")</f>
        <v>Thu</v>
      </c>
    </row>
    <row r="806" spans="1:20" ht="29" x14ac:dyDescent="0.35">
      <c r="A806" s="4">
        <v>805</v>
      </c>
      <c r="B806" s="5">
        <v>45289</v>
      </c>
      <c r="C806" s="4" t="s">
        <v>818</v>
      </c>
      <c r="D806" s="4" t="s">
        <v>13</v>
      </c>
      <c r="E806" s="4">
        <v>30</v>
      </c>
      <c r="F806" s="4" t="str">
        <f>IF(Table1567[[#This Row],[Age]]&lt;=19,"Teenager",IF(Table1567[[#This Row],[Age]]&lt;=40,"Median","Old"))</f>
        <v>Median</v>
      </c>
      <c r="G806" s="4" t="s">
        <v>11</v>
      </c>
      <c r="H806" s="4">
        <v>3</v>
      </c>
      <c r="I806" s="4">
        <v>500</v>
      </c>
      <c r="J806" s="4">
        <v>1500</v>
      </c>
      <c r="K806" s="4" t="str" cm="1">
        <f t="array" ref="K806">_xlfn.IFS(AND(Table1567[[#This Row],[Total Amount]]&gt;=1500),"Critical",AND(Table1567[[#This Row],[Total Amount]]&gt;=1000),"High",TRUE,"Normal")</f>
        <v>Critical</v>
      </c>
      <c r="L806" s="4" t="str">
        <f>IF(Table1567[[#This Row],[Total Amount]]&gt;=1000,"High",(IF(Table1567[[#This Row],[Total Amount]]&gt;=500,"Medium","Low")))</f>
        <v>High</v>
      </c>
      <c r="M806" s="4" t="str" cm="1">
        <f t="array" ref="M80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06" s="4" cm="1">
        <f t="array" ref="N80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225</v>
      </c>
      <c r="O806" s="4">
        <f>Table1567[[#This Row],[Total Amount]]-Table1567[[#This Row],[Discount Amount]]</f>
        <v>1275</v>
      </c>
      <c r="P806" s="4" t="str">
        <f>IF(Table1567[[#This Row],[Total Amount]]&gt;=1000,"High","Low")</f>
        <v>High</v>
      </c>
      <c r="Q806" s="4" t="b" cm="1">
        <f t="array" ref="Q806">_xlfn.IFS(AND(Table1567[[#This Row],[Total Amount]]&gt;=1500,"Critical"),AND(Table1567[[#This Row],[Total Amount]]&gt;=1000,"High"),TRUE,"Normal")</f>
        <v>1</v>
      </c>
      <c r="R806" s="4" t="str">
        <f>CONCATENATE(Table1567[[#This Row],[Customer ID]], "-",Table1567[[#This Row],[Age]])</f>
        <v>CUST805-30</v>
      </c>
      <c r="S806" s="4" t="str">
        <f>TEXT(Table1567[[#This Row],[Date]],"mmm")</f>
        <v>Dec</v>
      </c>
      <c r="T806" s="4" t="str">
        <f>TEXT(Table1567[[#This Row],[Date]],"DDD")</f>
        <v>Fri</v>
      </c>
    </row>
    <row r="807" spans="1:20" ht="29" x14ac:dyDescent="0.35">
      <c r="A807" s="4">
        <v>806</v>
      </c>
      <c r="B807" s="5">
        <v>45005</v>
      </c>
      <c r="C807" s="4" t="s">
        <v>819</v>
      </c>
      <c r="D807" s="4" t="s">
        <v>13</v>
      </c>
      <c r="E807" s="4">
        <v>35</v>
      </c>
      <c r="F807" s="4" t="str">
        <f>IF(Table1567[[#This Row],[Age]]&lt;=19,"Teenager",IF(Table1567[[#This Row],[Age]]&lt;=40,"Median","Old"))</f>
        <v>Median</v>
      </c>
      <c r="G807" s="4" t="s">
        <v>11</v>
      </c>
      <c r="H807" s="4">
        <v>3</v>
      </c>
      <c r="I807" s="4">
        <v>300</v>
      </c>
      <c r="J807" s="4">
        <v>900</v>
      </c>
      <c r="K807" s="4" t="str" cm="1">
        <f t="array" ref="K807">_xlfn.IFS(AND(Table1567[[#This Row],[Total Amount]]&gt;=1500),"Critical",AND(Table1567[[#This Row],[Total Amount]]&gt;=1000),"High",TRUE,"Normal")</f>
        <v>Normal</v>
      </c>
      <c r="L807" s="4" t="str">
        <f>IF(Table1567[[#This Row],[Total Amount]]&gt;=1000,"High",(IF(Table1567[[#This Row],[Total Amount]]&gt;=500,"Medium","Low")))</f>
        <v>Medium</v>
      </c>
      <c r="M807" s="4" t="str" cm="1">
        <f t="array" ref="M80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07" s="4" cm="1">
        <f t="array" ref="N80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807" s="4">
        <f>Table1567[[#This Row],[Total Amount]]-Table1567[[#This Row],[Discount Amount]]</f>
        <v>720</v>
      </c>
      <c r="P807" s="4" t="str">
        <f>IF(Table1567[[#This Row],[Total Amount]]&gt;=1000,"High","Low")</f>
        <v>Low</v>
      </c>
      <c r="Q807" s="4" t="str" cm="1">
        <f t="array" ref="Q807">_xlfn.IFS(AND(Table1567[[#This Row],[Total Amount]]&gt;=1500,"Critical"),AND(Table1567[[#This Row],[Total Amount]]&gt;=1000,"High"),TRUE,"Normal")</f>
        <v>Normal</v>
      </c>
      <c r="R807" s="4" t="str">
        <f>CONCATENATE(Table1567[[#This Row],[Customer ID]], "-",Table1567[[#This Row],[Age]])</f>
        <v>CUST806-35</v>
      </c>
      <c r="S807" s="4" t="str">
        <f>TEXT(Table1567[[#This Row],[Date]],"mmm")</f>
        <v>Mar</v>
      </c>
      <c r="T807" s="4" t="str">
        <f>TEXT(Table1567[[#This Row],[Date]],"DDD")</f>
        <v>Mon</v>
      </c>
    </row>
    <row r="808" spans="1:20" ht="29" x14ac:dyDescent="0.35">
      <c r="A808" s="4">
        <v>807</v>
      </c>
      <c r="B808" s="5">
        <v>45149</v>
      </c>
      <c r="C808" s="4" t="s">
        <v>820</v>
      </c>
      <c r="D808" s="4" t="s">
        <v>13</v>
      </c>
      <c r="E808" s="4">
        <v>50</v>
      </c>
      <c r="F808" s="4" t="str">
        <f>IF(Table1567[[#This Row],[Age]]&lt;=19,"Teenager",IF(Table1567[[#This Row],[Age]]&lt;=40,"Median","Old"))</f>
        <v>Old</v>
      </c>
      <c r="G808" s="4" t="s">
        <v>16</v>
      </c>
      <c r="H808" s="4">
        <v>4</v>
      </c>
      <c r="I808" s="4">
        <v>50</v>
      </c>
      <c r="J808" s="4">
        <v>200</v>
      </c>
      <c r="K808" s="4" t="str" cm="1">
        <f t="array" ref="K808">_xlfn.IFS(AND(Table1567[[#This Row],[Total Amount]]&gt;=1500),"Critical",AND(Table1567[[#This Row],[Total Amount]]&gt;=1000),"High",TRUE,"Normal")</f>
        <v>Normal</v>
      </c>
      <c r="L808" s="4" t="str">
        <f>IF(Table1567[[#This Row],[Total Amount]]&gt;=1000,"High",(IF(Table1567[[#This Row],[Total Amount]]&gt;=500,"Medium","Low")))</f>
        <v>Low</v>
      </c>
      <c r="M808" s="4" t="str" cm="1">
        <f t="array" ref="M80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08" s="4" cm="1">
        <f t="array" ref="N80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</v>
      </c>
      <c r="O808" s="4">
        <f>Table1567[[#This Row],[Total Amount]]-Table1567[[#This Row],[Discount Amount]]</f>
        <v>160</v>
      </c>
      <c r="P808" s="4" t="str">
        <f>IF(Table1567[[#This Row],[Total Amount]]&gt;=1000,"High","Low")</f>
        <v>Low</v>
      </c>
      <c r="Q808" s="4" t="str" cm="1">
        <f t="array" ref="Q808">_xlfn.IFS(AND(Table1567[[#This Row],[Total Amount]]&gt;=1500,"Critical"),AND(Table1567[[#This Row],[Total Amount]]&gt;=1000,"High"),TRUE,"Normal")</f>
        <v>Normal</v>
      </c>
      <c r="R808" s="4" t="str">
        <f>CONCATENATE(Table1567[[#This Row],[Customer ID]], "-",Table1567[[#This Row],[Age]])</f>
        <v>CUST807-50</v>
      </c>
      <c r="S808" s="4" t="str">
        <f>TEXT(Table1567[[#This Row],[Date]],"mmm")</f>
        <v>Aug</v>
      </c>
      <c r="T808" s="4" t="str">
        <f>TEXT(Table1567[[#This Row],[Date]],"DDD")</f>
        <v>Fri</v>
      </c>
    </row>
    <row r="809" spans="1:20" ht="29" x14ac:dyDescent="0.35">
      <c r="A809" s="4">
        <v>808</v>
      </c>
      <c r="B809" s="5">
        <v>45017</v>
      </c>
      <c r="C809" s="4" t="s">
        <v>821</v>
      </c>
      <c r="D809" s="4" t="s">
        <v>10</v>
      </c>
      <c r="E809" s="4">
        <v>33</v>
      </c>
      <c r="F809" s="4" t="str">
        <f>IF(Table1567[[#This Row],[Age]]&lt;=19,"Teenager",IF(Table1567[[#This Row],[Age]]&lt;=40,"Median","Old"))</f>
        <v>Median</v>
      </c>
      <c r="G809" s="4" t="s">
        <v>11</v>
      </c>
      <c r="H809" s="4">
        <v>4</v>
      </c>
      <c r="I809" s="4">
        <v>500</v>
      </c>
      <c r="J809" s="4">
        <v>2000</v>
      </c>
      <c r="K809" s="4" t="str" cm="1">
        <f t="array" ref="K809">_xlfn.IFS(AND(Table1567[[#This Row],[Total Amount]]&gt;=1500),"Critical",AND(Table1567[[#This Row],[Total Amount]]&gt;=1000),"High",TRUE,"Normal")</f>
        <v>Critical</v>
      </c>
      <c r="L809" s="4" t="str">
        <f>IF(Table1567[[#This Row],[Total Amount]]&gt;=1000,"High",(IF(Table1567[[#This Row],[Total Amount]]&gt;=500,"Medium","Low")))</f>
        <v>High</v>
      </c>
      <c r="M809" s="4" t="str" cm="1">
        <f t="array" ref="M80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09" s="4" cm="1">
        <f t="array" ref="N80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809" s="4">
        <f>Table1567[[#This Row],[Total Amount]]-Table1567[[#This Row],[Discount Amount]]</f>
        <v>1700</v>
      </c>
      <c r="P809" s="4" t="str">
        <f>IF(Table1567[[#This Row],[Total Amount]]&gt;=1000,"High","Low")</f>
        <v>High</v>
      </c>
      <c r="Q809" s="4" t="b" cm="1">
        <f t="array" ref="Q809">_xlfn.IFS(AND(Table1567[[#This Row],[Total Amount]]&gt;=1500,"Critical"),AND(Table1567[[#This Row],[Total Amount]]&gt;=1000,"High"),TRUE,"Normal")</f>
        <v>1</v>
      </c>
      <c r="R809" s="4" t="str">
        <f>CONCATENATE(Table1567[[#This Row],[Customer ID]], "-",Table1567[[#This Row],[Age]])</f>
        <v>CUST808-33</v>
      </c>
      <c r="S809" s="4" t="str">
        <f>TEXT(Table1567[[#This Row],[Date]],"mmm")</f>
        <v>Apr</v>
      </c>
      <c r="T809" s="4" t="str">
        <f>TEXT(Table1567[[#This Row],[Date]],"DDD")</f>
        <v>Sat</v>
      </c>
    </row>
    <row r="810" spans="1:20" ht="29" x14ac:dyDescent="0.35">
      <c r="A810" s="4">
        <v>809</v>
      </c>
      <c r="B810" s="5">
        <v>45194</v>
      </c>
      <c r="C810" s="4" t="s">
        <v>822</v>
      </c>
      <c r="D810" s="4" t="s">
        <v>13</v>
      </c>
      <c r="E810" s="4">
        <v>62</v>
      </c>
      <c r="F810" s="4" t="str">
        <f>IF(Table1567[[#This Row],[Age]]&lt;=19,"Teenager",IF(Table1567[[#This Row],[Age]]&lt;=40,"Median","Old"))</f>
        <v>Old</v>
      </c>
      <c r="G810" s="4" t="s">
        <v>11</v>
      </c>
      <c r="H810" s="4">
        <v>2</v>
      </c>
      <c r="I810" s="4">
        <v>50</v>
      </c>
      <c r="J810" s="4">
        <v>100</v>
      </c>
      <c r="K810" s="4" t="str" cm="1">
        <f t="array" ref="K810">_xlfn.IFS(AND(Table1567[[#This Row],[Total Amount]]&gt;=1500),"Critical",AND(Table1567[[#This Row],[Total Amount]]&gt;=1000),"High",TRUE,"Normal")</f>
        <v>Normal</v>
      </c>
      <c r="L810" s="4" t="str">
        <f>IF(Table1567[[#This Row],[Total Amount]]&gt;=1000,"High",(IF(Table1567[[#This Row],[Total Amount]]&gt;=500,"Medium","Low")))</f>
        <v>Low</v>
      </c>
      <c r="M810" s="4" t="str" cm="1">
        <f t="array" ref="M81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10" s="4" cm="1">
        <f t="array" ref="N81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810" s="4">
        <f>Table1567[[#This Row],[Total Amount]]-Table1567[[#This Row],[Discount Amount]]</f>
        <v>80</v>
      </c>
      <c r="P810" s="4" t="str">
        <f>IF(Table1567[[#This Row],[Total Amount]]&gt;=1000,"High","Low")</f>
        <v>Low</v>
      </c>
      <c r="Q810" s="4" t="str" cm="1">
        <f t="array" ref="Q810">_xlfn.IFS(AND(Table1567[[#This Row],[Total Amount]]&gt;=1500,"Critical"),AND(Table1567[[#This Row],[Total Amount]]&gt;=1000,"High"),TRUE,"Normal")</f>
        <v>Normal</v>
      </c>
      <c r="R810" s="4" t="str">
        <f>CONCATENATE(Table1567[[#This Row],[Customer ID]], "-",Table1567[[#This Row],[Age]])</f>
        <v>CUST809-62</v>
      </c>
      <c r="S810" s="4" t="str">
        <f>TEXT(Table1567[[#This Row],[Date]],"mmm")</f>
        <v>Sep</v>
      </c>
      <c r="T810" s="4" t="str">
        <f>TEXT(Table1567[[#This Row],[Date]],"DDD")</f>
        <v>Mon</v>
      </c>
    </row>
    <row r="811" spans="1:20" ht="29" x14ac:dyDescent="0.35">
      <c r="A811" s="4">
        <v>810</v>
      </c>
      <c r="B811" s="5">
        <v>45260</v>
      </c>
      <c r="C811" s="4" t="s">
        <v>823</v>
      </c>
      <c r="D811" s="4" t="s">
        <v>10</v>
      </c>
      <c r="E811" s="4">
        <v>59</v>
      </c>
      <c r="F811" s="4" t="str">
        <f>IF(Table1567[[#This Row],[Age]]&lt;=19,"Teenager",IF(Table1567[[#This Row],[Age]]&lt;=40,"Median","Old"))</f>
        <v>Old</v>
      </c>
      <c r="G811" s="4" t="s">
        <v>16</v>
      </c>
      <c r="H811" s="4">
        <v>4</v>
      </c>
      <c r="I811" s="4">
        <v>25</v>
      </c>
      <c r="J811" s="4">
        <v>100</v>
      </c>
      <c r="K811" s="4" t="str" cm="1">
        <f t="array" ref="K811">_xlfn.IFS(AND(Table1567[[#This Row],[Total Amount]]&gt;=1500),"Critical",AND(Table1567[[#This Row],[Total Amount]]&gt;=1000),"High",TRUE,"Normal")</f>
        <v>Normal</v>
      </c>
      <c r="L811" s="4" t="str">
        <f>IF(Table1567[[#This Row],[Total Amount]]&gt;=1000,"High",(IF(Table1567[[#This Row],[Total Amount]]&gt;=500,"Medium","Low")))</f>
        <v>Low</v>
      </c>
      <c r="M811" s="4" t="str" cm="1">
        <f t="array" ref="M81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11" s="4" cm="1">
        <f t="array" ref="N81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811" s="4">
        <f>Table1567[[#This Row],[Total Amount]]-Table1567[[#This Row],[Discount Amount]]</f>
        <v>90</v>
      </c>
      <c r="P811" s="4" t="str">
        <f>IF(Table1567[[#This Row],[Total Amount]]&gt;=1000,"High","Low")</f>
        <v>Low</v>
      </c>
      <c r="Q811" s="4" t="str" cm="1">
        <f t="array" ref="Q811">_xlfn.IFS(AND(Table1567[[#This Row],[Total Amount]]&gt;=1500,"Critical"),AND(Table1567[[#This Row],[Total Amount]]&gt;=1000,"High"),TRUE,"Normal")</f>
        <v>Normal</v>
      </c>
      <c r="R811" s="4" t="str">
        <f>CONCATENATE(Table1567[[#This Row],[Customer ID]], "-",Table1567[[#This Row],[Age]])</f>
        <v>CUST810-59</v>
      </c>
      <c r="S811" s="4" t="str">
        <f>TEXT(Table1567[[#This Row],[Date]],"mmm")</f>
        <v>Nov</v>
      </c>
      <c r="T811" s="4" t="str">
        <f>TEXT(Table1567[[#This Row],[Date]],"DDD")</f>
        <v>Thu</v>
      </c>
    </row>
    <row r="812" spans="1:20" ht="29" x14ac:dyDescent="0.35">
      <c r="A812" s="4">
        <v>811</v>
      </c>
      <c r="B812" s="5">
        <v>45065</v>
      </c>
      <c r="C812" s="4" t="s">
        <v>824</v>
      </c>
      <c r="D812" s="4" t="s">
        <v>10</v>
      </c>
      <c r="E812" s="4">
        <v>61</v>
      </c>
      <c r="F812" s="4" t="str">
        <f>IF(Table1567[[#This Row],[Age]]&lt;=19,"Teenager",IF(Table1567[[#This Row],[Age]]&lt;=40,"Median","Old"))</f>
        <v>Old</v>
      </c>
      <c r="G812" s="4" t="s">
        <v>11</v>
      </c>
      <c r="H812" s="4">
        <v>2</v>
      </c>
      <c r="I812" s="4">
        <v>25</v>
      </c>
      <c r="J812" s="4">
        <v>50</v>
      </c>
      <c r="K812" s="4" t="str" cm="1">
        <f t="array" ref="K812">_xlfn.IFS(AND(Table1567[[#This Row],[Total Amount]]&gt;=1500),"Critical",AND(Table1567[[#This Row],[Total Amount]]&gt;=1000),"High",TRUE,"Normal")</f>
        <v>Normal</v>
      </c>
      <c r="L812" s="4" t="str">
        <f>IF(Table1567[[#This Row],[Total Amount]]&gt;=1000,"High",(IF(Table1567[[#This Row],[Total Amount]]&gt;=500,"Medium","Low")))</f>
        <v>Low</v>
      </c>
      <c r="M812" s="4" t="str" cm="1">
        <f t="array" ref="M81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12" s="4" cm="1">
        <f t="array" ref="N81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812" s="4">
        <f>Table1567[[#This Row],[Total Amount]]-Table1567[[#This Row],[Discount Amount]]</f>
        <v>45</v>
      </c>
      <c r="P812" s="4" t="str">
        <f>IF(Table1567[[#This Row],[Total Amount]]&gt;=1000,"High","Low")</f>
        <v>Low</v>
      </c>
      <c r="Q812" s="4" t="str" cm="1">
        <f t="array" ref="Q812">_xlfn.IFS(AND(Table1567[[#This Row],[Total Amount]]&gt;=1500,"Critical"),AND(Table1567[[#This Row],[Total Amount]]&gt;=1000,"High"),TRUE,"Normal")</f>
        <v>Normal</v>
      </c>
      <c r="R812" s="4" t="str">
        <f>CONCATENATE(Table1567[[#This Row],[Customer ID]], "-",Table1567[[#This Row],[Age]])</f>
        <v>CUST811-61</v>
      </c>
      <c r="S812" s="4" t="str">
        <f>TEXT(Table1567[[#This Row],[Date]],"mmm")</f>
        <v>May</v>
      </c>
      <c r="T812" s="4" t="str">
        <f>TEXT(Table1567[[#This Row],[Date]],"DDD")</f>
        <v>Fri</v>
      </c>
    </row>
    <row r="813" spans="1:20" ht="29" x14ac:dyDescent="0.35">
      <c r="A813" s="4">
        <v>812</v>
      </c>
      <c r="B813" s="5">
        <v>45242</v>
      </c>
      <c r="C813" s="4" t="s">
        <v>825</v>
      </c>
      <c r="D813" s="4" t="s">
        <v>10</v>
      </c>
      <c r="E813" s="4">
        <v>19</v>
      </c>
      <c r="F813" s="4" t="str">
        <f>IF(Table1567[[#This Row],[Age]]&lt;=19,"Teenager",IF(Table1567[[#This Row],[Age]]&lt;=40,"Median","Old"))</f>
        <v>Teenager</v>
      </c>
      <c r="G813" s="4" t="s">
        <v>16</v>
      </c>
      <c r="H813" s="4">
        <v>3</v>
      </c>
      <c r="I813" s="4">
        <v>25</v>
      </c>
      <c r="J813" s="4">
        <v>75</v>
      </c>
      <c r="K813" s="4" t="str" cm="1">
        <f t="array" ref="K813">_xlfn.IFS(AND(Table1567[[#This Row],[Total Amount]]&gt;=1500),"Critical",AND(Table1567[[#This Row],[Total Amount]]&gt;=1000),"High",TRUE,"Normal")</f>
        <v>Normal</v>
      </c>
      <c r="L813" s="4" t="str">
        <f>IF(Table1567[[#This Row],[Total Amount]]&gt;=1000,"High",(IF(Table1567[[#This Row],[Total Amount]]&gt;=500,"Medium","Low")))</f>
        <v>Low</v>
      </c>
      <c r="M813" s="4" t="str" cm="1">
        <f t="array" ref="M81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813" s="4" cm="1">
        <f t="array" ref="N81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813" s="4">
        <f>Table1567[[#This Row],[Total Amount]]-Table1567[[#This Row],[Discount Amount]]</f>
        <v>75</v>
      </c>
      <c r="P813" s="4" t="str">
        <f>IF(Table1567[[#This Row],[Total Amount]]&gt;=1000,"High","Low")</f>
        <v>Low</v>
      </c>
      <c r="Q813" s="4" t="str" cm="1">
        <f t="array" ref="Q813">_xlfn.IFS(AND(Table1567[[#This Row],[Total Amount]]&gt;=1500,"Critical"),AND(Table1567[[#This Row],[Total Amount]]&gt;=1000,"High"),TRUE,"Normal")</f>
        <v>Normal</v>
      </c>
      <c r="R813" s="4" t="str">
        <f>CONCATENATE(Table1567[[#This Row],[Customer ID]], "-",Table1567[[#This Row],[Age]])</f>
        <v>CUST812-19</v>
      </c>
      <c r="S813" s="4" t="str">
        <f>TEXT(Table1567[[#This Row],[Date]],"mmm")</f>
        <v>Nov</v>
      </c>
      <c r="T813" s="4" t="str">
        <f>TEXT(Table1567[[#This Row],[Date]],"DDD")</f>
        <v>Sun</v>
      </c>
    </row>
    <row r="814" spans="1:20" ht="29" x14ac:dyDescent="0.35">
      <c r="A814" s="4">
        <v>813</v>
      </c>
      <c r="B814" s="5">
        <v>45202</v>
      </c>
      <c r="C814" s="4" t="s">
        <v>826</v>
      </c>
      <c r="D814" s="4" t="s">
        <v>10</v>
      </c>
      <c r="E814" s="4">
        <v>52</v>
      </c>
      <c r="F814" s="4" t="str">
        <f>IF(Table1567[[#This Row],[Age]]&lt;=19,"Teenager",IF(Table1567[[#This Row],[Age]]&lt;=40,"Median","Old"))</f>
        <v>Old</v>
      </c>
      <c r="G814" s="4" t="s">
        <v>16</v>
      </c>
      <c r="H814" s="4">
        <v>3</v>
      </c>
      <c r="I814" s="4">
        <v>50</v>
      </c>
      <c r="J814" s="4">
        <v>150</v>
      </c>
      <c r="K814" s="4" t="str" cm="1">
        <f t="array" ref="K814">_xlfn.IFS(AND(Table1567[[#This Row],[Total Amount]]&gt;=1500),"Critical",AND(Table1567[[#This Row],[Total Amount]]&gt;=1000),"High",TRUE,"Normal")</f>
        <v>Normal</v>
      </c>
      <c r="L814" s="4" t="str">
        <f>IF(Table1567[[#This Row],[Total Amount]]&gt;=1000,"High",(IF(Table1567[[#This Row],[Total Amount]]&gt;=500,"Medium","Low")))</f>
        <v>Low</v>
      </c>
      <c r="M814" s="4" t="str" cm="1">
        <f t="array" ref="M81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14" s="4" cm="1">
        <f t="array" ref="N81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814" s="4">
        <f>Table1567[[#This Row],[Total Amount]]-Table1567[[#This Row],[Discount Amount]]</f>
        <v>135</v>
      </c>
      <c r="P814" s="4" t="str">
        <f>IF(Table1567[[#This Row],[Total Amount]]&gt;=1000,"High","Low")</f>
        <v>Low</v>
      </c>
      <c r="Q814" s="4" t="str" cm="1">
        <f t="array" ref="Q814">_xlfn.IFS(AND(Table1567[[#This Row],[Total Amount]]&gt;=1500,"Critical"),AND(Table1567[[#This Row],[Total Amount]]&gt;=1000,"High"),TRUE,"Normal")</f>
        <v>Normal</v>
      </c>
      <c r="R814" s="4" t="str">
        <f>CONCATENATE(Table1567[[#This Row],[Customer ID]], "-",Table1567[[#This Row],[Age]])</f>
        <v>CUST813-52</v>
      </c>
      <c r="S814" s="4" t="str">
        <f>TEXT(Table1567[[#This Row],[Date]],"mmm")</f>
        <v>Oct</v>
      </c>
      <c r="T814" s="4" t="str">
        <f>TEXT(Table1567[[#This Row],[Date]],"DDD")</f>
        <v>Tue</v>
      </c>
    </row>
    <row r="815" spans="1:20" ht="29" x14ac:dyDescent="0.35">
      <c r="A815" s="4">
        <v>814</v>
      </c>
      <c r="B815" s="5">
        <v>45174</v>
      </c>
      <c r="C815" s="4" t="s">
        <v>827</v>
      </c>
      <c r="D815" s="4" t="s">
        <v>13</v>
      </c>
      <c r="E815" s="4">
        <v>59</v>
      </c>
      <c r="F815" s="4" t="str">
        <f>IF(Table1567[[#This Row],[Age]]&lt;=19,"Teenager",IF(Table1567[[#This Row],[Age]]&lt;=40,"Median","Old"))</f>
        <v>Old</v>
      </c>
      <c r="G815" s="4" t="s">
        <v>14</v>
      </c>
      <c r="H815" s="4">
        <v>1</v>
      </c>
      <c r="I815" s="4">
        <v>500</v>
      </c>
      <c r="J815" s="4">
        <v>500</v>
      </c>
      <c r="K815" s="4" t="str" cm="1">
        <f t="array" ref="K815">_xlfn.IFS(AND(Table1567[[#This Row],[Total Amount]]&gt;=1500),"Critical",AND(Table1567[[#This Row],[Total Amount]]&gt;=1000),"High",TRUE,"Normal")</f>
        <v>Normal</v>
      </c>
      <c r="L815" s="4" t="str">
        <f>IF(Table1567[[#This Row],[Total Amount]]&gt;=1000,"High",(IF(Table1567[[#This Row],[Total Amount]]&gt;=500,"Medium","Low")))</f>
        <v>Medium</v>
      </c>
      <c r="M815" s="4" t="str" cm="1">
        <f t="array" ref="M81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15" s="4" cm="1">
        <f t="array" ref="N81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815" s="4">
        <f>Table1567[[#This Row],[Total Amount]]-Table1567[[#This Row],[Discount Amount]]</f>
        <v>400</v>
      </c>
      <c r="P815" s="4" t="str">
        <f>IF(Table1567[[#This Row],[Total Amount]]&gt;=1000,"High","Low")</f>
        <v>Low</v>
      </c>
      <c r="Q815" s="4" t="str" cm="1">
        <f t="array" ref="Q815">_xlfn.IFS(AND(Table1567[[#This Row],[Total Amount]]&gt;=1500,"Critical"),AND(Table1567[[#This Row],[Total Amount]]&gt;=1000,"High"),TRUE,"Normal")</f>
        <v>Normal</v>
      </c>
      <c r="R815" s="4" t="str">
        <f>CONCATENATE(Table1567[[#This Row],[Customer ID]], "-",Table1567[[#This Row],[Age]])</f>
        <v>CUST814-59</v>
      </c>
      <c r="S815" s="4" t="str">
        <f>TEXT(Table1567[[#This Row],[Date]],"mmm")</f>
        <v>Sep</v>
      </c>
      <c r="T815" s="4" t="str">
        <f>TEXT(Table1567[[#This Row],[Date]],"DDD")</f>
        <v>Tue</v>
      </c>
    </row>
    <row r="816" spans="1:20" ht="29" x14ac:dyDescent="0.35">
      <c r="A816" s="4">
        <v>815</v>
      </c>
      <c r="B816" s="5">
        <v>45165</v>
      </c>
      <c r="C816" s="4" t="s">
        <v>828</v>
      </c>
      <c r="D816" s="4" t="s">
        <v>13</v>
      </c>
      <c r="E816" s="4">
        <v>51</v>
      </c>
      <c r="F816" s="4" t="str">
        <f>IF(Table1567[[#This Row],[Age]]&lt;=19,"Teenager",IF(Table1567[[#This Row],[Age]]&lt;=40,"Median","Old"))</f>
        <v>Old</v>
      </c>
      <c r="G816" s="4" t="s">
        <v>14</v>
      </c>
      <c r="H816" s="4">
        <v>3</v>
      </c>
      <c r="I816" s="4">
        <v>25</v>
      </c>
      <c r="J816" s="4">
        <v>75</v>
      </c>
      <c r="K816" s="4" t="str" cm="1">
        <f t="array" ref="K816">_xlfn.IFS(AND(Table1567[[#This Row],[Total Amount]]&gt;=1500),"Critical",AND(Table1567[[#This Row],[Total Amount]]&gt;=1000),"High",TRUE,"Normal")</f>
        <v>Normal</v>
      </c>
      <c r="L816" s="4" t="str">
        <f>IF(Table1567[[#This Row],[Total Amount]]&gt;=1000,"High",(IF(Table1567[[#This Row],[Total Amount]]&gt;=500,"Medium","Low")))</f>
        <v>Low</v>
      </c>
      <c r="M816" s="4" t="str" cm="1">
        <f t="array" ref="M81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16" s="4" cm="1">
        <f t="array" ref="N81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816" s="4">
        <f>Table1567[[#This Row],[Total Amount]]-Table1567[[#This Row],[Discount Amount]]</f>
        <v>60</v>
      </c>
      <c r="P816" s="4" t="str">
        <f>IF(Table1567[[#This Row],[Total Amount]]&gt;=1000,"High","Low")</f>
        <v>Low</v>
      </c>
      <c r="Q816" s="4" t="str" cm="1">
        <f t="array" ref="Q816">_xlfn.IFS(AND(Table1567[[#This Row],[Total Amount]]&gt;=1500,"Critical"),AND(Table1567[[#This Row],[Total Amount]]&gt;=1000,"High"),TRUE,"Normal")</f>
        <v>Normal</v>
      </c>
      <c r="R816" s="4" t="str">
        <f>CONCATENATE(Table1567[[#This Row],[Customer ID]], "-",Table1567[[#This Row],[Age]])</f>
        <v>CUST815-51</v>
      </c>
      <c r="S816" s="4" t="str">
        <f>TEXT(Table1567[[#This Row],[Date]],"mmm")</f>
        <v>Aug</v>
      </c>
      <c r="T816" s="4" t="str">
        <f>TEXT(Table1567[[#This Row],[Date]],"DDD")</f>
        <v>Sun</v>
      </c>
    </row>
    <row r="817" spans="1:20" ht="29" x14ac:dyDescent="0.35">
      <c r="A817" s="4">
        <v>816</v>
      </c>
      <c r="B817" s="5">
        <v>45150</v>
      </c>
      <c r="C817" s="4" t="s">
        <v>829</v>
      </c>
      <c r="D817" s="4" t="s">
        <v>10</v>
      </c>
      <c r="E817" s="4">
        <v>47</v>
      </c>
      <c r="F817" s="4" t="str">
        <f>IF(Table1567[[#This Row],[Age]]&lt;=19,"Teenager",IF(Table1567[[#This Row],[Age]]&lt;=40,"Median","Old"))</f>
        <v>Old</v>
      </c>
      <c r="G817" s="4" t="s">
        <v>11</v>
      </c>
      <c r="H817" s="4">
        <v>2</v>
      </c>
      <c r="I817" s="4">
        <v>500</v>
      </c>
      <c r="J817" s="4">
        <v>1000</v>
      </c>
      <c r="K817" s="4" t="str" cm="1">
        <f t="array" ref="K817">_xlfn.IFS(AND(Table1567[[#This Row],[Total Amount]]&gt;=1500),"Critical",AND(Table1567[[#This Row],[Total Amount]]&gt;=1000),"High",TRUE,"Normal")</f>
        <v>High</v>
      </c>
      <c r="L817" s="4" t="str">
        <f>IF(Table1567[[#This Row],[Total Amount]]&gt;=1000,"High",(IF(Table1567[[#This Row],[Total Amount]]&gt;=500,"Medium","Low")))</f>
        <v>High</v>
      </c>
      <c r="M817" s="4" t="str" cm="1">
        <f t="array" ref="M81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17" s="4" cm="1">
        <f t="array" ref="N81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817" s="4">
        <f>Table1567[[#This Row],[Total Amount]]-Table1567[[#This Row],[Discount Amount]]</f>
        <v>900</v>
      </c>
      <c r="P817" s="4" t="str">
        <f>IF(Table1567[[#This Row],[Total Amount]]&gt;=1000,"High","Low")</f>
        <v>High</v>
      </c>
      <c r="Q817" s="4" t="str" cm="1">
        <f t="array" ref="Q817">_xlfn.IFS(AND(Table1567[[#This Row],[Total Amount]]&gt;=1500,"Critical"),AND(Table1567[[#This Row],[Total Amount]]&gt;=1000,"High"),TRUE,"Normal")</f>
        <v>Normal</v>
      </c>
      <c r="R817" s="4" t="str">
        <f>CONCATENATE(Table1567[[#This Row],[Customer ID]], "-",Table1567[[#This Row],[Age]])</f>
        <v>CUST816-47</v>
      </c>
      <c r="S817" s="4" t="str">
        <f>TEXT(Table1567[[#This Row],[Date]],"mmm")</f>
        <v>Aug</v>
      </c>
      <c r="T817" s="4" t="str">
        <f>TEXT(Table1567[[#This Row],[Date]],"DDD")</f>
        <v>Sat</v>
      </c>
    </row>
    <row r="818" spans="1:20" ht="29" x14ac:dyDescent="0.35">
      <c r="A818" s="4">
        <v>817</v>
      </c>
      <c r="B818" s="5">
        <v>45230</v>
      </c>
      <c r="C818" s="4" t="s">
        <v>830</v>
      </c>
      <c r="D818" s="4" t="s">
        <v>10</v>
      </c>
      <c r="E818" s="4">
        <v>30</v>
      </c>
      <c r="F818" s="4" t="str">
        <f>IF(Table1567[[#This Row],[Age]]&lt;=19,"Teenager",IF(Table1567[[#This Row],[Age]]&lt;=40,"Median","Old"))</f>
        <v>Median</v>
      </c>
      <c r="G818" s="4" t="s">
        <v>11</v>
      </c>
      <c r="H818" s="4">
        <v>4</v>
      </c>
      <c r="I818" s="4">
        <v>50</v>
      </c>
      <c r="J818" s="4">
        <v>200</v>
      </c>
      <c r="K818" s="4" t="str" cm="1">
        <f t="array" ref="K818">_xlfn.IFS(AND(Table1567[[#This Row],[Total Amount]]&gt;=1500),"Critical",AND(Table1567[[#This Row],[Total Amount]]&gt;=1000),"High",TRUE,"Normal")</f>
        <v>Normal</v>
      </c>
      <c r="L818" s="4" t="str">
        <f>IF(Table1567[[#This Row],[Total Amount]]&gt;=1000,"High",(IF(Table1567[[#This Row],[Total Amount]]&gt;=500,"Medium","Low")))</f>
        <v>Low</v>
      </c>
      <c r="M818" s="4" t="str" cm="1">
        <f t="array" ref="M81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18" s="4" cm="1">
        <f t="array" ref="N81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818" s="4">
        <f>Table1567[[#This Row],[Total Amount]]-Table1567[[#This Row],[Discount Amount]]</f>
        <v>170</v>
      </c>
      <c r="P818" s="4" t="str">
        <f>IF(Table1567[[#This Row],[Total Amount]]&gt;=1000,"High","Low")</f>
        <v>Low</v>
      </c>
      <c r="Q818" s="4" t="str" cm="1">
        <f t="array" ref="Q818">_xlfn.IFS(AND(Table1567[[#This Row],[Total Amount]]&gt;=1500,"Critical"),AND(Table1567[[#This Row],[Total Amount]]&gt;=1000,"High"),TRUE,"Normal")</f>
        <v>Normal</v>
      </c>
      <c r="R818" s="4" t="str">
        <f>CONCATENATE(Table1567[[#This Row],[Customer ID]], "-",Table1567[[#This Row],[Age]])</f>
        <v>CUST817-30</v>
      </c>
      <c r="S818" s="4" t="str">
        <f>TEXT(Table1567[[#This Row],[Date]],"mmm")</f>
        <v>Oct</v>
      </c>
      <c r="T818" s="4" t="str">
        <f>TEXT(Table1567[[#This Row],[Date]],"DDD")</f>
        <v>Tue</v>
      </c>
    </row>
    <row r="819" spans="1:20" ht="29" x14ac:dyDescent="0.35">
      <c r="A819" s="4">
        <v>818</v>
      </c>
      <c r="B819" s="5">
        <v>45064</v>
      </c>
      <c r="C819" s="4" t="s">
        <v>831</v>
      </c>
      <c r="D819" s="4" t="s">
        <v>10</v>
      </c>
      <c r="E819" s="4">
        <v>30</v>
      </c>
      <c r="F819" s="4" t="str">
        <f>IF(Table1567[[#This Row],[Age]]&lt;=19,"Teenager",IF(Table1567[[#This Row],[Age]]&lt;=40,"Median","Old"))</f>
        <v>Median</v>
      </c>
      <c r="G819" s="4" t="s">
        <v>16</v>
      </c>
      <c r="H819" s="4">
        <v>1</v>
      </c>
      <c r="I819" s="4">
        <v>500</v>
      </c>
      <c r="J819" s="4">
        <v>500</v>
      </c>
      <c r="K819" s="4" t="str" cm="1">
        <f t="array" ref="K819">_xlfn.IFS(AND(Table1567[[#This Row],[Total Amount]]&gt;=1500),"Critical",AND(Table1567[[#This Row],[Total Amount]]&gt;=1000),"High",TRUE,"Normal")</f>
        <v>Normal</v>
      </c>
      <c r="L819" s="4" t="str">
        <f>IF(Table1567[[#This Row],[Total Amount]]&gt;=1000,"High",(IF(Table1567[[#This Row],[Total Amount]]&gt;=500,"Medium","Low")))</f>
        <v>Medium</v>
      </c>
      <c r="M819" s="4" t="str" cm="1">
        <f t="array" ref="M81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19" s="4" cm="1">
        <f t="array" ref="N81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75</v>
      </c>
      <c r="O819" s="4">
        <f>Table1567[[#This Row],[Total Amount]]-Table1567[[#This Row],[Discount Amount]]</f>
        <v>425</v>
      </c>
      <c r="P819" s="4" t="str">
        <f>IF(Table1567[[#This Row],[Total Amount]]&gt;=1000,"High","Low")</f>
        <v>Low</v>
      </c>
      <c r="Q819" s="4" t="str" cm="1">
        <f t="array" ref="Q819">_xlfn.IFS(AND(Table1567[[#This Row],[Total Amount]]&gt;=1500,"Critical"),AND(Table1567[[#This Row],[Total Amount]]&gt;=1000,"High"),TRUE,"Normal")</f>
        <v>Normal</v>
      </c>
      <c r="R819" s="4" t="str">
        <f>CONCATENATE(Table1567[[#This Row],[Customer ID]], "-",Table1567[[#This Row],[Age]])</f>
        <v>CUST818-30</v>
      </c>
      <c r="S819" s="4" t="str">
        <f>TEXT(Table1567[[#This Row],[Date]],"mmm")</f>
        <v>May</v>
      </c>
      <c r="T819" s="4" t="str">
        <f>TEXT(Table1567[[#This Row],[Date]],"DDD")</f>
        <v>Thu</v>
      </c>
    </row>
    <row r="820" spans="1:20" ht="29" x14ac:dyDescent="0.35">
      <c r="A820" s="4">
        <v>819</v>
      </c>
      <c r="B820" s="5">
        <v>45092</v>
      </c>
      <c r="C820" s="4" t="s">
        <v>832</v>
      </c>
      <c r="D820" s="4" t="s">
        <v>13</v>
      </c>
      <c r="E820" s="4">
        <v>35</v>
      </c>
      <c r="F820" s="4" t="str">
        <f>IF(Table1567[[#This Row],[Age]]&lt;=19,"Teenager",IF(Table1567[[#This Row],[Age]]&lt;=40,"Median","Old"))</f>
        <v>Median</v>
      </c>
      <c r="G820" s="4" t="s">
        <v>11</v>
      </c>
      <c r="H820" s="4">
        <v>2</v>
      </c>
      <c r="I820" s="4">
        <v>50</v>
      </c>
      <c r="J820" s="4">
        <v>100</v>
      </c>
      <c r="K820" s="4" t="str" cm="1">
        <f t="array" ref="K820">_xlfn.IFS(AND(Table1567[[#This Row],[Total Amount]]&gt;=1500),"Critical",AND(Table1567[[#This Row],[Total Amount]]&gt;=1000),"High",TRUE,"Normal")</f>
        <v>Normal</v>
      </c>
      <c r="L820" s="4" t="str">
        <f>IF(Table1567[[#This Row],[Total Amount]]&gt;=1000,"High",(IF(Table1567[[#This Row],[Total Amount]]&gt;=500,"Medium","Low")))</f>
        <v>Low</v>
      </c>
      <c r="M820" s="4" t="str" cm="1">
        <f t="array" ref="M82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20" s="4" cm="1">
        <f t="array" ref="N82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820" s="4">
        <f>Table1567[[#This Row],[Total Amount]]-Table1567[[#This Row],[Discount Amount]]</f>
        <v>80</v>
      </c>
      <c r="P820" s="4" t="str">
        <f>IF(Table1567[[#This Row],[Total Amount]]&gt;=1000,"High","Low")</f>
        <v>Low</v>
      </c>
      <c r="Q820" s="4" t="str" cm="1">
        <f t="array" ref="Q820">_xlfn.IFS(AND(Table1567[[#This Row],[Total Amount]]&gt;=1500,"Critical"),AND(Table1567[[#This Row],[Total Amount]]&gt;=1000,"High"),TRUE,"Normal")</f>
        <v>Normal</v>
      </c>
      <c r="R820" s="4" t="str">
        <f>CONCATENATE(Table1567[[#This Row],[Customer ID]], "-",Table1567[[#This Row],[Age]])</f>
        <v>CUST819-35</v>
      </c>
      <c r="S820" s="4" t="str">
        <f>TEXT(Table1567[[#This Row],[Date]],"mmm")</f>
        <v>Jun</v>
      </c>
      <c r="T820" s="4" t="str">
        <f>TEXT(Table1567[[#This Row],[Date]],"DDD")</f>
        <v>Thu</v>
      </c>
    </row>
    <row r="821" spans="1:20" ht="29" x14ac:dyDescent="0.35">
      <c r="A821" s="4">
        <v>820</v>
      </c>
      <c r="B821" s="5">
        <v>45052</v>
      </c>
      <c r="C821" s="4" t="s">
        <v>833</v>
      </c>
      <c r="D821" s="4" t="s">
        <v>10</v>
      </c>
      <c r="E821" s="4">
        <v>49</v>
      </c>
      <c r="F821" s="4" t="str">
        <f>IF(Table1567[[#This Row],[Age]]&lt;=19,"Teenager",IF(Table1567[[#This Row],[Age]]&lt;=40,"Median","Old"))</f>
        <v>Old</v>
      </c>
      <c r="G821" s="4" t="s">
        <v>16</v>
      </c>
      <c r="H821" s="4">
        <v>4</v>
      </c>
      <c r="I821" s="4">
        <v>50</v>
      </c>
      <c r="J821" s="4">
        <v>200</v>
      </c>
      <c r="K821" s="4" t="str" cm="1">
        <f t="array" ref="K821">_xlfn.IFS(AND(Table1567[[#This Row],[Total Amount]]&gt;=1500),"Critical",AND(Table1567[[#This Row],[Total Amount]]&gt;=1000),"High",TRUE,"Normal")</f>
        <v>Normal</v>
      </c>
      <c r="L821" s="4" t="str">
        <f>IF(Table1567[[#This Row],[Total Amount]]&gt;=1000,"High",(IF(Table1567[[#This Row],[Total Amount]]&gt;=500,"Medium","Low")))</f>
        <v>Low</v>
      </c>
      <c r="M821" s="4" t="str" cm="1">
        <f t="array" ref="M82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21" s="4" cm="1">
        <f t="array" ref="N82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821" s="4">
        <f>Table1567[[#This Row],[Total Amount]]-Table1567[[#This Row],[Discount Amount]]</f>
        <v>180</v>
      </c>
      <c r="P821" s="4" t="str">
        <f>IF(Table1567[[#This Row],[Total Amount]]&gt;=1000,"High","Low")</f>
        <v>Low</v>
      </c>
      <c r="Q821" s="4" t="str" cm="1">
        <f t="array" ref="Q821">_xlfn.IFS(AND(Table1567[[#This Row],[Total Amount]]&gt;=1500,"Critical"),AND(Table1567[[#This Row],[Total Amount]]&gt;=1000,"High"),TRUE,"Normal")</f>
        <v>Normal</v>
      </c>
      <c r="R821" s="4" t="str">
        <f>CONCATENATE(Table1567[[#This Row],[Customer ID]], "-",Table1567[[#This Row],[Age]])</f>
        <v>CUST820-49</v>
      </c>
      <c r="S821" s="4" t="str">
        <f>TEXT(Table1567[[#This Row],[Date]],"mmm")</f>
        <v>May</v>
      </c>
      <c r="T821" s="4" t="str">
        <f>TEXT(Table1567[[#This Row],[Date]],"DDD")</f>
        <v>Sat</v>
      </c>
    </row>
    <row r="822" spans="1:20" ht="29" x14ac:dyDescent="0.35">
      <c r="A822" s="4">
        <v>821</v>
      </c>
      <c r="B822" s="5">
        <v>44971</v>
      </c>
      <c r="C822" s="4" t="s">
        <v>834</v>
      </c>
      <c r="D822" s="4" t="s">
        <v>10</v>
      </c>
      <c r="E822" s="4">
        <v>49</v>
      </c>
      <c r="F822" s="4" t="str">
        <f>IF(Table1567[[#This Row],[Age]]&lt;=19,"Teenager",IF(Table1567[[#This Row],[Age]]&lt;=40,"Median","Old"))</f>
        <v>Old</v>
      </c>
      <c r="G822" s="4" t="s">
        <v>16</v>
      </c>
      <c r="H822" s="4">
        <v>1</v>
      </c>
      <c r="I822" s="4">
        <v>300</v>
      </c>
      <c r="J822" s="4">
        <v>300</v>
      </c>
      <c r="K822" s="4" t="str" cm="1">
        <f t="array" ref="K822">_xlfn.IFS(AND(Table1567[[#This Row],[Total Amount]]&gt;=1500),"Critical",AND(Table1567[[#This Row],[Total Amount]]&gt;=1000),"High",TRUE,"Normal")</f>
        <v>Normal</v>
      </c>
      <c r="L822" s="4" t="str">
        <f>IF(Table1567[[#This Row],[Total Amount]]&gt;=1000,"High",(IF(Table1567[[#This Row],[Total Amount]]&gt;=500,"Medium","Low")))</f>
        <v>Low</v>
      </c>
      <c r="M822" s="4" t="str" cm="1">
        <f t="array" ref="M82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22" s="4" cm="1">
        <f t="array" ref="N82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822" s="4">
        <f>Table1567[[#This Row],[Total Amount]]-Table1567[[#This Row],[Discount Amount]]</f>
        <v>270</v>
      </c>
      <c r="P822" s="4" t="str">
        <f>IF(Table1567[[#This Row],[Total Amount]]&gt;=1000,"High","Low")</f>
        <v>Low</v>
      </c>
      <c r="Q822" s="4" t="str" cm="1">
        <f t="array" ref="Q822">_xlfn.IFS(AND(Table1567[[#This Row],[Total Amount]]&gt;=1500,"Critical"),AND(Table1567[[#This Row],[Total Amount]]&gt;=1000,"High"),TRUE,"Normal")</f>
        <v>Normal</v>
      </c>
      <c r="R822" s="4" t="str">
        <f>CONCATENATE(Table1567[[#This Row],[Customer ID]], "-",Table1567[[#This Row],[Age]])</f>
        <v>CUST821-49</v>
      </c>
      <c r="S822" s="4" t="str">
        <f>TEXT(Table1567[[#This Row],[Date]],"mmm")</f>
        <v>Feb</v>
      </c>
      <c r="T822" s="4" t="str">
        <f>TEXT(Table1567[[#This Row],[Date]],"DDD")</f>
        <v>Tue</v>
      </c>
    </row>
    <row r="823" spans="1:20" ht="29" x14ac:dyDescent="0.35">
      <c r="A823" s="4">
        <v>822</v>
      </c>
      <c r="B823" s="5">
        <v>45069</v>
      </c>
      <c r="C823" s="4" t="s">
        <v>835</v>
      </c>
      <c r="D823" s="4" t="s">
        <v>13</v>
      </c>
      <c r="E823" s="4">
        <v>52</v>
      </c>
      <c r="F823" s="4" t="str">
        <f>IF(Table1567[[#This Row],[Age]]&lt;=19,"Teenager",IF(Table1567[[#This Row],[Age]]&lt;=40,"Median","Old"))</f>
        <v>Old</v>
      </c>
      <c r="G823" s="4" t="s">
        <v>11</v>
      </c>
      <c r="H823" s="4">
        <v>3</v>
      </c>
      <c r="I823" s="4">
        <v>50</v>
      </c>
      <c r="J823" s="4">
        <v>150</v>
      </c>
      <c r="K823" s="4" t="str" cm="1">
        <f t="array" ref="K823">_xlfn.IFS(AND(Table1567[[#This Row],[Total Amount]]&gt;=1500),"Critical",AND(Table1567[[#This Row],[Total Amount]]&gt;=1000),"High",TRUE,"Normal")</f>
        <v>Normal</v>
      </c>
      <c r="L823" s="4" t="str">
        <f>IF(Table1567[[#This Row],[Total Amount]]&gt;=1000,"High",(IF(Table1567[[#This Row],[Total Amount]]&gt;=500,"Medium","Low")))</f>
        <v>Low</v>
      </c>
      <c r="M823" s="4" t="str" cm="1">
        <f t="array" ref="M82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23" s="4" cm="1">
        <f t="array" ref="N82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823" s="4">
        <f>Table1567[[#This Row],[Total Amount]]-Table1567[[#This Row],[Discount Amount]]</f>
        <v>120</v>
      </c>
      <c r="P823" s="4" t="str">
        <f>IF(Table1567[[#This Row],[Total Amount]]&gt;=1000,"High","Low")</f>
        <v>Low</v>
      </c>
      <c r="Q823" s="4" t="str" cm="1">
        <f t="array" ref="Q823">_xlfn.IFS(AND(Table1567[[#This Row],[Total Amount]]&gt;=1500,"Critical"),AND(Table1567[[#This Row],[Total Amount]]&gt;=1000,"High"),TRUE,"Normal")</f>
        <v>Normal</v>
      </c>
      <c r="R823" s="4" t="str">
        <f>CONCATENATE(Table1567[[#This Row],[Customer ID]], "-",Table1567[[#This Row],[Age]])</f>
        <v>CUST822-52</v>
      </c>
      <c r="S823" s="4" t="str">
        <f>TEXT(Table1567[[#This Row],[Date]],"mmm")</f>
        <v>May</v>
      </c>
      <c r="T823" s="4" t="str">
        <f>TEXT(Table1567[[#This Row],[Date]],"DDD")</f>
        <v>Tue</v>
      </c>
    </row>
    <row r="824" spans="1:20" ht="29" x14ac:dyDescent="0.35">
      <c r="A824" s="4">
        <v>823</v>
      </c>
      <c r="B824" s="5">
        <v>45157</v>
      </c>
      <c r="C824" s="4" t="s">
        <v>836</v>
      </c>
      <c r="D824" s="4" t="s">
        <v>13</v>
      </c>
      <c r="E824" s="4">
        <v>56</v>
      </c>
      <c r="F824" s="4" t="str">
        <f>IF(Table1567[[#This Row],[Age]]&lt;=19,"Teenager",IF(Table1567[[#This Row],[Age]]&lt;=40,"Median","Old"))</f>
        <v>Old</v>
      </c>
      <c r="G824" s="4" t="s">
        <v>16</v>
      </c>
      <c r="H824" s="4">
        <v>2</v>
      </c>
      <c r="I824" s="4">
        <v>50</v>
      </c>
      <c r="J824" s="4">
        <v>100</v>
      </c>
      <c r="K824" s="4" t="str" cm="1">
        <f t="array" ref="K824">_xlfn.IFS(AND(Table1567[[#This Row],[Total Amount]]&gt;=1500),"Critical",AND(Table1567[[#This Row],[Total Amount]]&gt;=1000),"High",TRUE,"Normal")</f>
        <v>Normal</v>
      </c>
      <c r="L824" s="4" t="str">
        <f>IF(Table1567[[#This Row],[Total Amount]]&gt;=1000,"High",(IF(Table1567[[#This Row],[Total Amount]]&gt;=500,"Medium","Low")))</f>
        <v>Low</v>
      </c>
      <c r="M824" s="4" t="str" cm="1">
        <f t="array" ref="M82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24" s="4" cm="1">
        <f t="array" ref="N82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824" s="4">
        <f>Table1567[[#This Row],[Total Amount]]-Table1567[[#This Row],[Discount Amount]]</f>
        <v>80</v>
      </c>
      <c r="P824" s="4" t="str">
        <f>IF(Table1567[[#This Row],[Total Amount]]&gt;=1000,"High","Low")</f>
        <v>Low</v>
      </c>
      <c r="Q824" s="4" t="str" cm="1">
        <f t="array" ref="Q824">_xlfn.IFS(AND(Table1567[[#This Row],[Total Amount]]&gt;=1500,"Critical"),AND(Table1567[[#This Row],[Total Amount]]&gt;=1000,"High"),TRUE,"Normal")</f>
        <v>Normal</v>
      </c>
      <c r="R824" s="4" t="str">
        <f>CONCATENATE(Table1567[[#This Row],[Customer ID]], "-",Table1567[[#This Row],[Age]])</f>
        <v>CUST823-56</v>
      </c>
      <c r="S824" s="4" t="str">
        <f>TEXT(Table1567[[#This Row],[Date]],"mmm")</f>
        <v>Aug</v>
      </c>
      <c r="T824" s="4" t="str">
        <f>TEXT(Table1567[[#This Row],[Date]],"DDD")</f>
        <v>Sat</v>
      </c>
    </row>
    <row r="825" spans="1:20" ht="29" x14ac:dyDescent="0.35">
      <c r="A825" s="4">
        <v>824</v>
      </c>
      <c r="B825" s="5">
        <v>45051</v>
      </c>
      <c r="C825" s="4" t="s">
        <v>837</v>
      </c>
      <c r="D825" s="4" t="s">
        <v>10</v>
      </c>
      <c r="E825" s="4">
        <v>63</v>
      </c>
      <c r="F825" s="4" t="str">
        <f>IF(Table1567[[#This Row],[Age]]&lt;=19,"Teenager",IF(Table1567[[#This Row],[Age]]&lt;=40,"Median","Old"))</f>
        <v>Old</v>
      </c>
      <c r="G825" s="4" t="s">
        <v>14</v>
      </c>
      <c r="H825" s="4">
        <v>4</v>
      </c>
      <c r="I825" s="4">
        <v>30</v>
      </c>
      <c r="J825" s="4">
        <v>120</v>
      </c>
      <c r="K825" s="4" t="str" cm="1">
        <f t="array" ref="K825">_xlfn.IFS(AND(Table1567[[#This Row],[Total Amount]]&gt;=1500),"Critical",AND(Table1567[[#This Row],[Total Amount]]&gt;=1000),"High",TRUE,"Normal")</f>
        <v>Normal</v>
      </c>
      <c r="L825" s="4" t="str">
        <f>IF(Table1567[[#This Row],[Total Amount]]&gt;=1000,"High",(IF(Table1567[[#This Row],[Total Amount]]&gt;=500,"Medium","Low")))</f>
        <v>Low</v>
      </c>
      <c r="M825" s="4" t="str" cm="1">
        <f t="array" ref="M82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25" s="4" cm="1">
        <f t="array" ref="N82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825" s="4">
        <f>Table1567[[#This Row],[Total Amount]]-Table1567[[#This Row],[Discount Amount]]</f>
        <v>108</v>
      </c>
      <c r="P825" s="4" t="str">
        <f>IF(Table1567[[#This Row],[Total Amount]]&gt;=1000,"High","Low")</f>
        <v>Low</v>
      </c>
      <c r="Q825" s="4" t="str" cm="1">
        <f t="array" ref="Q825">_xlfn.IFS(AND(Table1567[[#This Row],[Total Amount]]&gt;=1500,"Critical"),AND(Table1567[[#This Row],[Total Amount]]&gt;=1000,"High"),TRUE,"Normal")</f>
        <v>Normal</v>
      </c>
      <c r="R825" s="4" t="str">
        <f>CONCATENATE(Table1567[[#This Row],[Customer ID]], "-",Table1567[[#This Row],[Age]])</f>
        <v>CUST824-63</v>
      </c>
      <c r="S825" s="4" t="str">
        <f>TEXT(Table1567[[#This Row],[Date]],"mmm")</f>
        <v>May</v>
      </c>
      <c r="T825" s="4" t="str">
        <f>TEXT(Table1567[[#This Row],[Date]],"DDD")</f>
        <v>Fri</v>
      </c>
    </row>
    <row r="826" spans="1:20" ht="29" x14ac:dyDescent="0.35">
      <c r="A826" s="4">
        <v>825</v>
      </c>
      <c r="B826" s="5">
        <v>45164</v>
      </c>
      <c r="C826" s="4" t="s">
        <v>838</v>
      </c>
      <c r="D826" s="4" t="s">
        <v>13</v>
      </c>
      <c r="E826" s="4">
        <v>46</v>
      </c>
      <c r="F826" s="4" t="str">
        <f>IF(Table1567[[#This Row],[Age]]&lt;=19,"Teenager",IF(Table1567[[#This Row],[Age]]&lt;=40,"Median","Old"))</f>
        <v>Old</v>
      </c>
      <c r="G826" s="4" t="s">
        <v>11</v>
      </c>
      <c r="H826" s="4">
        <v>1</v>
      </c>
      <c r="I826" s="4">
        <v>25</v>
      </c>
      <c r="J826" s="4">
        <v>25</v>
      </c>
      <c r="K826" s="4" t="str" cm="1">
        <f t="array" ref="K826">_xlfn.IFS(AND(Table1567[[#This Row],[Total Amount]]&gt;=1500),"Critical",AND(Table1567[[#This Row],[Total Amount]]&gt;=1000),"High",TRUE,"Normal")</f>
        <v>Normal</v>
      </c>
      <c r="L826" s="4" t="str">
        <f>IF(Table1567[[#This Row],[Total Amount]]&gt;=1000,"High",(IF(Table1567[[#This Row],[Total Amount]]&gt;=500,"Medium","Low")))</f>
        <v>Low</v>
      </c>
      <c r="M826" s="4" t="str" cm="1">
        <f t="array" ref="M82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26" s="4" cm="1">
        <f t="array" ref="N82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826" s="4">
        <f>Table1567[[#This Row],[Total Amount]]-Table1567[[#This Row],[Discount Amount]]</f>
        <v>20</v>
      </c>
      <c r="P826" s="4" t="str">
        <f>IF(Table1567[[#This Row],[Total Amount]]&gt;=1000,"High","Low")</f>
        <v>Low</v>
      </c>
      <c r="Q826" s="4" t="str" cm="1">
        <f t="array" ref="Q826">_xlfn.IFS(AND(Table1567[[#This Row],[Total Amount]]&gt;=1500,"Critical"),AND(Table1567[[#This Row],[Total Amount]]&gt;=1000,"High"),TRUE,"Normal")</f>
        <v>Normal</v>
      </c>
      <c r="R826" s="4" t="str">
        <f>CONCATENATE(Table1567[[#This Row],[Customer ID]], "-",Table1567[[#This Row],[Age]])</f>
        <v>CUST825-46</v>
      </c>
      <c r="S826" s="4" t="str">
        <f>TEXT(Table1567[[#This Row],[Date]],"mmm")</f>
        <v>Aug</v>
      </c>
      <c r="T826" s="4" t="str">
        <f>TEXT(Table1567[[#This Row],[Date]],"DDD")</f>
        <v>Sat</v>
      </c>
    </row>
    <row r="827" spans="1:20" ht="29" x14ac:dyDescent="0.35">
      <c r="A827" s="4">
        <v>826</v>
      </c>
      <c r="B827" s="5">
        <v>45218</v>
      </c>
      <c r="C827" s="4" t="s">
        <v>839</v>
      </c>
      <c r="D827" s="4" t="s">
        <v>13</v>
      </c>
      <c r="E827" s="4">
        <v>46</v>
      </c>
      <c r="F827" s="4" t="str">
        <f>IF(Table1567[[#This Row],[Age]]&lt;=19,"Teenager",IF(Table1567[[#This Row],[Age]]&lt;=40,"Median","Old"))</f>
        <v>Old</v>
      </c>
      <c r="G827" s="4" t="s">
        <v>14</v>
      </c>
      <c r="H827" s="4">
        <v>1</v>
      </c>
      <c r="I827" s="4">
        <v>300</v>
      </c>
      <c r="J827" s="4">
        <v>300</v>
      </c>
      <c r="K827" s="4" t="str" cm="1">
        <f t="array" ref="K827">_xlfn.IFS(AND(Table1567[[#This Row],[Total Amount]]&gt;=1500),"Critical",AND(Table1567[[#This Row],[Total Amount]]&gt;=1000),"High",TRUE,"Normal")</f>
        <v>Normal</v>
      </c>
      <c r="L827" s="4" t="str">
        <f>IF(Table1567[[#This Row],[Total Amount]]&gt;=1000,"High",(IF(Table1567[[#This Row],[Total Amount]]&gt;=500,"Medium","Low")))</f>
        <v>Low</v>
      </c>
      <c r="M827" s="4" t="str" cm="1">
        <f t="array" ref="M82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27" s="4" cm="1">
        <f t="array" ref="N82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827" s="4">
        <f>Table1567[[#This Row],[Total Amount]]-Table1567[[#This Row],[Discount Amount]]</f>
        <v>240</v>
      </c>
      <c r="P827" s="4" t="str">
        <f>IF(Table1567[[#This Row],[Total Amount]]&gt;=1000,"High","Low")</f>
        <v>Low</v>
      </c>
      <c r="Q827" s="4" t="str" cm="1">
        <f t="array" ref="Q827">_xlfn.IFS(AND(Table1567[[#This Row],[Total Amount]]&gt;=1500,"Critical"),AND(Table1567[[#This Row],[Total Amount]]&gt;=1000,"High"),TRUE,"Normal")</f>
        <v>Normal</v>
      </c>
      <c r="R827" s="4" t="str">
        <f>CONCATENATE(Table1567[[#This Row],[Customer ID]], "-",Table1567[[#This Row],[Age]])</f>
        <v>CUST826-46</v>
      </c>
      <c r="S827" s="4" t="str">
        <f>TEXT(Table1567[[#This Row],[Date]],"mmm")</f>
        <v>Oct</v>
      </c>
      <c r="T827" s="4" t="str">
        <f>TEXT(Table1567[[#This Row],[Date]],"DDD")</f>
        <v>Thu</v>
      </c>
    </row>
    <row r="828" spans="1:20" ht="29" x14ac:dyDescent="0.35">
      <c r="A828" s="4">
        <v>827</v>
      </c>
      <c r="B828" s="5">
        <v>45239</v>
      </c>
      <c r="C828" s="4" t="s">
        <v>840</v>
      </c>
      <c r="D828" s="4" t="s">
        <v>10</v>
      </c>
      <c r="E828" s="4">
        <v>61</v>
      </c>
      <c r="F828" s="4" t="str">
        <f>IF(Table1567[[#This Row],[Age]]&lt;=19,"Teenager",IF(Table1567[[#This Row],[Age]]&lt;=40,"Median","Old"))</f>
        <v>Old</v>
      </c>
      <c r="G828" s="4" t="s">
        <v>11</v>
      </c>
      <c r="H828" s="4">
        <v>3</v>
      </c>
      <c r="I828" s="4">
        <v>300</v>
      </c>
      <c r="J828" s="4">
        <v>900</v>
      </c>
      <c r="K828" s="4" t="str" cm="1">
        <f t="array" ref="K828">_xlfn.IFS(AND(Table1567[[#This Row],[Total Amount]]&gt;=1500),"Critical",AND(Table1567[[#This Row],[Total Amount]]&gt;=1000),"High",TRUE,"Normal")</f>
        <v>Normal</v>
      </c>
      <c r="L828" s="4" t="str">
        <f>IF(Table1567[[#This Row],[Total Amount]]&gt;=1000,"High",(IF(Table1567[[#This Row],[Total Amount]]&gt;=500,"Medium","Low")))</f>
        <v>Medium</v>
      </c>
      <c r="M828" s="4" t="str" cm="1">
        <f t="array" ref="M82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28" s="4" cm="1">
        <f t="array" ref="N82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828" s="4">
        <f>Table1567[[#This Row],[Total Amount]]-Table1567[[#This Row],[Discount Amount]]</f>
        <v>810</v>
      </c>
      <c r="P828" s="4" t="str">
        <f>IF(Table1567[[#This Row],[Total Amount]]&gt;=1000,"High","Low")</f>
        <v>Low</v>
      </c>
      <c r="Q828" s="4" t="str" cm="1">
        <f t="array" ref="Q828">_xlfn.IFS(AND(Table1567[[#This Row],[Total Amount]]&gt;=1500,"Critical"),AND(Table1567[[#This Row],[Total Amount]]&gt;=1000,"High"),TRUE,"Normal")</f>
        <v>Normal</v>
      </c>
      <c r="R828" s="4" t="str">
        <f>CONCATENATE(Table1567[[#This Row],[Customer ID]], "-",Table1567[[#This Row],[Age]])</f>
        <v>CUST827-61</v>
      </c>
      <c r="S828" s="4" t="str">
        <f>TEXT(Table1567[[#This Row],[Date]],"mmm")</f>
        <v>Nov</v>
      </c>
      <c r="T828" s="4" t="str">
        <f>TEXT(Table1567[[#This Row],[Date]],"DDD")</f>
        <v>Thu</v>
      </c>
    </row>
    <row r="829" spans="1:20" ht="29" x14ac:dyDescent="0.35">
      <c r="A829" s="4">
        <v>828</v>
      </c>
      <c r="B829" s="5">
        <v>45269</v>
      </c>
      <c r="C829" s="4" t="s">
        <v>841</v>
      </c>
      <c r="D829" s="4" t="s">
        <v>13</v>
      </c>
      <c r="E829" s="4">
        <v>33</v>
      </c>
      <c r="F829" s="4" t="str">
        <f>IF(Table1567[[#This Row],[Age]]&lt;=19,"Teenager",IF(Table1567[[#This Row],[Age]]&lt;=40,"Median","Old"))</f>
        <v>Median</v>
      </c>
      <c r="G829" s="4" t="s">
        <v>16</v>
      </c>
      <c r="H829" s="4">
        <v>4</v>
      </c>
      <c r="I829" s="4">
        <v>300</v>
      </c>
      <c r="J829" s="4">
        <v>1200</v>
      </c>
      <c r="K829" s="4" t="str" cm="1">
        <f t="array" ref="K829">_xlfn.IFS(AND(Table1567[[#This Row],[Total Amount]]&gt;=1500),"Critical",AND(Table1567[[#This Row],[Total Amount]]&gt;=1000),"High",TRUE,"Normal")</f>
        <v>High</v>
      </c>
      <c r="L829" s="4" t="str">
        <f>IF(Table1567[[#This Row],[Total Amount]]&gt;=1000,"High",(IF(Table1567[[#This Row],[Total Amount]]&gt;=500,"Medium","Low")))</f>
        <v>High</v>
      </c>
      <c r="M829" s="4" t="str" cm="1">
        <f t="array" ref="M82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29" s="4" cm="1">
        <f t="array" ref="N82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829" s="4">
        <f>Table1567[[#This Row],[Total Amount]]-Table1567[[#This Row],[Discount Amount]]</f>
        <v>1020</v>
      </c>
      <c r="P829" s="4" t="str">
        <f>IF(Table1567[[#This Row],[Total Amount]]&gt;=1000,"High","Low")</f>
        <v>High</v>
      </c>
      <c r="Q829" s="4" t="str" cm="1">
        <f t="array" ref="Q829">_xlfn.IFS(AND(Table1567[[#This Row],[Total Amount]]&gt;=1500,"Critical"),AND(Table1567[[#This Row],[Total Amount]]&gt;=1000,"High"),TRUE,"Normal")</f>
        <v>Normal</v>
      </c>
      <c r="R829" s="4" t="str">
        <f>CONCATENATE(Table1567[[#This Row],[Customer ID]], "-",Table1567[[#This Row],[Age]])</f>
        <v>CUST828-33</v>
      </c>
      <c r="S829" s="4" t="str">
        <f>TEXT(Table1567[[#This Row],[Date]],"mmm")</f>
        <v>Dec</v>
      </c>
      <c r="T829" s="4" t="str">
        <f>TEXT(Table1567[[#This Row],[Date]],"DDD")</f>
        <v>Sat</v>
      </c>
    </row>
    <row r="830" spans="1:20" ht="29" x14ac:dyDescent="0.35">
      <c r="A830" s="4">
        <v>829</v>
      </c>
      <c r="B830" s="5">
        <v>45121</v>
      </c>
      <c r="C830" s="4" t="s">
        <v>842</v>
      </c>
      <c r="D830" s="4" t="s">
        <v>10</v>
      </c>
      <c r="E830" s="4">
        <v>61</v>
      </c>
      <c r="F830" s="4" t="str">
        <f>IF(Table1567[[#This Row],[Age]]&lt;=19,"Teenager",IF(Table1567[[#This Row],[Age]]&lt;=40,"Median","Old"))</f>
        <v>Old</v>
      </c>
      <c r="G830" s="4" t="s">
        <v>11</v>
      </c>
      <c r="H830" s="4">
        <v>3</v>
      </c>
      <c r="I830" s="4">
        <v>30</v>
      </c>
      <c r="J830" s="4">
        <v>90</v>
      </c>
      <c r="K830" s="4" t="str" cm="1">
        <f t="array" ref="K830">_xlfn.IFS(AND(Table1567[[#This Row],[Total Amount]]&gt;=1500),"Critical",AND(Table1567[[#This Row],[Total Amount]]&gt;=1000),"High",TRUE,"Normal")</f>
        <v>Normal</v>
      </c>
      <c r="L830" s="4" t="str">
        <f>IF(Table1567[[#This Row],[Total Amount]]&gt;=1000,"High",(IF(Table1567[[#This Row],[Total Amount]]&gt;=500,"Medium","Low")))</f>
        <v>Low</v>
      </c>
      <c r="M830" s="4" t="str" cm="1">
        <f t="array" ref="M83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30" s="4" cm="1">
        <f t="array" ref="N83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</v>
      </c>
      <c r="O830" s="4">
        <f>Table1567[[#This Row],[Total Amount]]-Table1567[[#This Row],[Discount Amount]]</f>
        <v>81</v>
      </c>
      <c r="P830" s="4" t="str">
        <f>IF(Table1567[[#This Row],[Total Amount]]&gt;=1000,"High","Low")</f>
        <v>Low</v>
      </c>
      <c r="Q830" s="4" t="str" cm="1">
        <f t="array" ref="Q830">_xlfn.IFS(AND(Table1567[[#This Row],[Total Amount]]&gt;=1500,"Critical"),AND(Table1567[[#This Row],[Total Amount]]&gt;=1000,"High"),TRUE,"Normal")</f>
        <v>Normal</v>
      </c>
      <c r="R830" s="4" t="str">
        <f>CONCATENATE(Table1567[[#This Row],[Customer ID]], "-",Table1567[[#This Row],[Age]])</f>
        <v>CUST829-61</v>
      </c>
      <c r="S830" s="4" t="str">
        <f>TEXT(Table1567[[#This Row],[Date]],"mmm")</f>
        <v>Jul</v>
      </c>
      <c r="T830" s="4" t="str">
        <f>TEXT(Table1567[[#This Row],[Date]],"DDD")</f>
        <v>Fri</v>
      </c>
    </row>
    <row r="831" spans="1:20" ht="29" x14ac:dyDescent="0.35">
      <c r="A831" s="4">
        <v>830</v>
      </c>
      <c r="B831" s="5">
        <v>45099</v>
      </c>
      <c r="C831" s="4" t="s">
        <v>843</v>
      </c>
      <c r="D831" s="4" t="s">
        <v>13</v>
      </c>
      <c r="E831" s="4">
        <v>64</v>
      </c>
      <c r="F831" s="4" t="str">
        <f>IF(Table1567[[#This Row],[Age]]&lt;=19,"Teenager",IF(Table1567[[#This Row],[Age]]&lt;=40,"Median","Old"))</f>
        <v>Old</v>
      </c>
      <c r="G831" s="4" t="s">
        <v>14</v>
      </c>
      <c r="H831" s="4">
        <v>3</v>
      </c>
      <c r="I831" s="4">
        <v>50</v>
      </c>
      <c r="J831" s="4">
        <v>150</v>
      </c>
      <c r="K831" s="4" t="str" cm="1">
        <f t="array" ref="K831">_xlfn.IFS(AND(Table1567[[#This Row],[Total Amount]]&gt;=1500),"Critical",AND(Table1567[[#This Row],[Total Amount]]&gt;=1000),"High",TRUE,"Normal")</f>
        <v>Normal</v>
      </c>
      <c r="L831" s="4" t="str">
        <f>IF(Table1567[[#This Row],[Total Amount]]&gt;=1000,"High",(IF(Table1567[[#This Row],[Total Amount]]&gt;=500,"Medium","Low")))</f>
        <v>Low</v>
      </c>
      <c r="M831" s="4" t="str" cm="1">
        <f t="array" ref="M83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31" s="4" cm="1">
        <f t="array" ref="N83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831" s="4">
        <f>Table1567[[#This Row],[Total Amount]]-Table1567[[#This Row],[Discount Amount]]</f>
        <v>120</v>
      </c>
      <c r="P831" s="4" t="str">
        <f>IF(Table1567[[#This Row],[Total Amount]]&gt;=1000,"High","Low")</f>
        <v>Low</v>
      </c>
      <c r="Q831" s="4" t="str" cm="1">
        <f t="array" ref="Q831">_xlfn.IFS(AND(Table1567[[#This Row],[Total Amount]]&gt;=1500,"Critical"),AND(Table1567[[#This Row],[Total Amount]]&gt;=1000,"High"),TRUE,"Normal")</f>
        <v>Normal</v>
      </c>
      <c r="R831" s="4" t="str">
        <f>CONCATENATE(Table1567[[#This Row],[Customer ID]], "-",Table1567[[#This Row],[Age]])</f>
        <v>CUST830-64</v>
      </c>
      <c r="S831" s="4" t="str">
        <f>TEXT(Table1567[[#This Row],[Date]],"mmm")</f>
        <v>Jun</v>
      </c>
      <c r="T831" s="4" t="str">
        <f>TEXT(Table1567[[#This Row],[Date]],"DDD")</f>
        <v>Thu</v>
      </c>
    </row>
    <row r="832" spans="1:20" ht="29" x14ac:dyDescent="0.35">
      <c r="A832" s="4">
        <v>831</v>
      </c>
      <c r="B832" s="5">
        <v>44941</v>
      </c>
      <c r="C832" s="4" t="s">
        <v>844</v>
      </c>
      <c r="D832" s="4" t="s">
        <v>10</v>
      </c>
      <c r="E832" s="4">
        <v>27</v>
      </c>
      <c r="F832" s="4" t="str">
        <f>IF(Table1567[[#This Row],[Age]]&lt;=19,"Teenager",IF(Table1567[[#This Row],[Age]]&lt;=40,"Median","Old"))</f>
        <v>Median</v>
      </c>
      <c r="G832" s="4" t="s">
        <v>16</v>
      </c>
      <c r="H832" s="4">
        <v>4</v>
      </c>
      <c r="I832" s="4">
        <v>25</v>
      </c>
      <c r="J832" s="4">
        <v>100</v>
      </c>
      <c r="K832" s="4" t="str" cm="1">
        <f t="array" ref="K832">_xlfn.IFS(AND(Table1567[[#This Row],[Total Amount]]&gt;=1500),"Critical",AND(Table1567[[#This Row],[Total Amount]]&gt;=1000),"High",TRUE,"Normal")</f>
        <v>Normal</v>
      </c>
      <c r="L832" s="4" t="str">
        <f>IF(Table1567[[#This Row],[Total Amount]]&gt;=1000,"High",(IF(Table1567[[#This Row],[Total Amount]]&gt;=500,"Medium","Low")))</f>
        <v>Low</v>
      </c>
      <c r="M832" s="4" t="str" cm="1">
        <f t="array" ref="M83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32" s="4" cm="1">
        <f t="array" ref="N83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832" s="4">
        <f>Table1567[[#This Row],[Total Amount]]-Table1567[[#This Row],[Discount Amount]]</f>
        <v>85</v>
      </c>
      <c r="P832" s="4" t="str">
        <f>IF(Table1567[[#This Row],[Total Amount]]&gt;=1000,"High","Low")</f>
        <v>Low</v>
      </c>
      <c r="Q832" s="4" t="str" cm="1">
        <f t="array" ref="Q832">_xlfn.IFS(AND(Table1567[[#This Row],[Total Amount]]&gt;=1500,"Critical"),AND(Table1567[[#This Row],[Total Amount]]&gt;=1000,"High"),TRUE,"Normal")</f>
        <v>Normal</v>
      </c>
      <c r="R832" s="4" t="str">
        <f>CONCATENATE(Table1567[[#This Row],[Customer ID]], "-",Table1567[[#This Row],[Age]])</f>
        <v>CUST831-27</v>
      </c>
      <c r="S832" s="4" t="str">
        <f>TEXT(Table1567[[#This Row],[Date]],"mmm")</f>
        <v>Jan</v>
      </c>
      <c r="T832" s="4" t="str">
        <f>TEXT(Table1567[[#This Row],[Date]],"DDD")</f>
        <v>Sun</v>
      </c>
    </row>
    <row r="833" spans="1:20" ht="29" x14ac:dyDescent="0.35">
      <c r="A833" s="4">
        <v>832</v>
      </c>
      <c r="B833" s="5">
        <v>45180</v>
      </c>
      <c r="C833" s="4" t="s">
        <v>845</v>
      </c>
      <c r="D833" s="4" t="s">
        <v>10</v>
      </c>
      <c r="E833" s="4">
        <v>47</v>
      </c>
      <c r="F833" s="4" t="str">
        <f>IF(Table1567[[#This Row],[Age]]&lt;=19,"Teenager",IF(Table1567[[#This Row],[Age]]&lt;=40,"Median","Old"))</f>
        <v>Old</v>
      </c>
      <c r="G833" s="4" t="s">
        <v>11</v>
      </c>
      <c r="H833" s="4">
        <v>4</v>
      </c>
      <c r="I833" s="4">
        <v>500</v>
      </c>
      <c r="J833" s="4">
        <v>2000</v>
      </c>
      <c r="K833" s="4" t="str" cm="1">
        <f t="array" ref="K833">_xlfn.IFS(AND(Table1567[[#This Row],[Total Amount]]&gt;=1500),"Critical",AND(Table1567[[#This Row],[Total Amount]]&gt;=1000),"High",TRUE,"Normal")</f>
        <v>Critical</v>
      </c>
      <c r="L833" s="4" t="str">
        <f>IF(Table1567[[#This Row],[Total Amount]]&gt;=1000,"High",(IF(Table1567[[#This Row],[Total Amount]]&gt;=500,"Medium","Low")))</f>
        <v>High</v>
      </c>
      <c r="M833" s="4" t="str" cm="1">
        <f t="array" ref="M83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33" s="4" cm="1">
        <f t="array" ref="N83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833" s="4">
        <f>Table1567[[#This Row],[Total Amount]]-Table1567[[#This Row],[Discount Amount]]</f>
        <v>1800</v>
      </c>
      <c r="P833" s="4" t="str">
        <f>IF(Table1567[[#This Row],[Total Amount]]&gt;=1000,"High","Low")</f>
        <v>High</v>
      </c>
      <c r="Q833" s="4" t="b" cm="1">
        <f t="array" ref="Q833">_xlfn.IFS(AND(Table1567[[#This Row],[Total Amount]]&gt;=1500,"Critical"),AND(Table1567[[#This Row],[Total Amount]]&gt;=1000,"High"),TRUE,"Normal")</f>
        <v>1</v>
      </c>
      <c r="R833" s="4" t="str">
        <f>CONCATENATE(Table1567[[#This Row],[Customer ID]], "-",Table1567[[#This Row],[Age]])</f>
        <v>CUST832-47</v>
      </c>
      <c r="S833" s="4" t="str">
        <f>TEXT(Table1567[[#This Row],[Date]],"mmm")</f>
        <v>Sep</v>
      </c>
      <c r="T833" s="4" t="str">
        <f>TEXT(Table1567[[#This Row],[Date]],"DDD")</f>
        <v>Mon</v>
      </c>
    </row>
    <row r="834" spans="1:20" ht="29" x14ac:dyDescent="0.35">
      <c r="A834" s="4">
        <v>833</v>
      </c>
      <c r="B834" s="5">
        <v>45093</v>
      </c>
      <c r="C834" s="4" t="s">
        <v>846</v>
      </c>
      <c r="D834" s="4" t="s">
        <v>10</v>
      </c>
      <c r="E834" s="4">
        <v>42</v>
      </c>
      <c r="F834" s="4" t="str">
        <f>IF(Table1567[[#This Row],[Age]]&lt;=19,"Teenager",IF(Table1567[[#This Row],[Age]]&lt;=40,"Median","Old"))</f>
        <v>Old</v>
      </c>
      <c r="G834" s="4" t="s">
        <v>11</v>
      </c>
      <c r="H834" s="4">
        <v>4</v>
      </c>
      <c r="I834" s="4">
        <v>50</v>
      </c>
      <c r="J834" s="4">
        <v>200</v>
      </c>
      <c r="K834" s="4" t="str" cm="1">
        <f t="array" ref="K834">_xlfn.IFS(AND(Table1567[[#This Row],[Total Amount]]&gt;=1500),"Critical",AND(Table1567[[#This Row],[Total Amount]]&gt;=1000),"High",TRUE,"Normal")</f>
        <v>Normal</v>
      </c>
      <c r="L834" s="4" t="str">
        <f>IF(Table1567[[#This Row],[Total Amount]]&gt;=1000,"High",(IF(Table1567[[#This Row],[Total Amount]]&gt;=500,"Medium","Low")))</f>
        <v>Low</v>
      </c>
      <c r="M834" s="4" t="str" cm="1">
        <f t="array" ref="M83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34" s="4" cm="1">
        <f t="array" ref="N83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834" s="4">
        <f>Table1567[[#This Row],[Total Amount]]-Table1567[[#This Row],[Discount Amount]]</f>
        <v>180</v>
      </c>
      <c r="P834" s="4" t="str">
        <f>IF(Table1567[[#This Row],[Total Amount]]&gt;=1000,"High","Low")</f>
        <v>Low</v>
      </c>
      <c r="Q834" s="4" t="str" cm="1">
        <f t="array" ref="Q834">_xlfn.IFS(AND(Table1567[[#This Row],[Total Amount]]&gt;=1500,"Critical"),AND(Table1567[[#This Row],[Total Amount]]&gt;=1000,"High"),TRUE,"Normal")</f>
        <v>Normal</v>
      </c>
      <c r="R834" s="4" t="str">
        <f>CONCATENATE(Table1567[[#This Row],[Customer ID]], "-",Table1567[[#This Row],[Age]])</f>
        <v>CUST833-42</v>
      </c>
      <c r="S834" s="4" t="str">
        <f>TEXT(Table1567[[#This Row],[Date]],"mmm")</f>
        <v>Jun</v>
      </c>
      <c r="T834" s="4" t="str">
        <f>TEXT(Table1567[[#This Row],[Date]],"DDD")</f>
        <v>Fri</v>
      </c>
    </row>
    <row r="835" spans="1:20" ht="29" x14ac:dyDescent="0.35">
      <c r="A835" s="4">
        <v>834</v>
      </c>
      <c r="B835" s="5">
        <v>45020</v>
      </c>
      <c r="C835" s="4" t="s">
        <v>847</v>
      </c>
      <c r="D835" s="4" t="s">
        <v>13</v>
      </c>
      <c r="E835" s="4">
        <v>56</v>
      </c>
      <c r="F835" s="4" t="str">
        <f>IF(Table1567[[#This Row],[Age]]&lt;=19,"Teenager",IF(Table1567[[#This Row],[Age]]&lt;=40,"Median","Old"))</f>
        <v>Old</v>
      </c>
      <c r="G835" s="4" t="s">
        <v>11</v>
      </c>
      <c r="H835" s="4">
        <v>2</v>
      </c>
      <c r="I835" s="4">
        <v>30</v>
      </c>
      <c r="J835" s="4">
        <v>60</v>
      </c>
      <c r="K835" s="4" t="str" cm="1">
        <f t="array" ref="K835">_xlfn.IFS(AND(Table1567[[#This Row],[Total Amount]]&gt;=1500),"Critical",AND(Table1567[[#This Row],[Total Amount]]&gt;=1000),"High",TRUE,"Normal")</f>
        <v>Normal</v>
      </c>
      <c r="L835" s="4" t="str">
        <f>IF(Table1567[[#This Row],[Total Amount]]&gt;=1000,"High",(IF(Table1567[[#This Row],[Total Amount]]&gt;=500,"Medium","Low")))</f>
        <v>Low</v>
      </c>
      <c r="M835" s="4" t="str" cm="1">
        <f t="array" ref="M83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35" s="4" cm="1">
        <f t="array" ref="N83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835" s="4">
        <f>Table1567[[#This Row],[Total Amount]]-Table1567[[#This Row],[Discount Amount]]</f>
        <v>48</v>
      </c>
      <c r="P835" s="4" t="str">
        <f>IF(Table1567[[#This Row],[Total Amount]]&gt;=1000,"High","Low")</f>
        <v>Low</v>
      </c>
      <c r="Q835" s="4" t="str" cm="1">
        <f t="array" ref="Q835">_xlfn.IFS(AND(Table1567[[#This Row],[Total Amount]]&gt;=1500,"Critical"),AND(Table1567[[#This Row],[Total Amount]]&gt;=1000,"High"),TRUE,"Normal")</f>
        <v>Normal</v>
      </c>
      <c r="R835" s="4" t="str">
        <f>CONCATENATE(Table1567[[#This Row],[Customer ID]], "-",Table1567[[#This Row],[Age]])</f>
        <v>CUST834-56</v>
      </c>
      <c r="S835" s="4" t="str">
        <f>TEXT(Table1567[[#This Row],[Date]],"mmm")</f>
        <v>Apr</v>
      </c>
      <c r="T835" s="4" t="str">
        <f>TEXT(Table1567[[#This Row],[Date]],"DDD")</f>
        <v>Tue</v>
      </c>
    </row>
    <row r="836" spans="1:20" ht="29" x14ac:dyDescent="0.35">
      <c r="A836" s="4">
        <v>835</v>
      </c>
      <c r="B836" s="5">
        <v>45176</v>
      </c>
      <c r="C836" s="4" t="s">
        <v>848</v>
      </c>
      <c r="D836" s="4" t="s">
        <v>10</v>
      </c>
      <c r="E836" s="4">
        <v>37</v>
      </c>
      <c r="F836" s="4" t="str">
        <f>IF(Table1567[[#This Row],[Age]]&lt;=19,"Teenager",IF(Table1567[[#This Row],[Age]]&lt;=40,"Median","Old"))</f>
        <v>Median</v>
      </c>
      <c r="G836" s="4" t="s">
        <v>14</v>
      </c>
      <c r="H836" s="4">
        <v>4</v>
      </c>
      <c r="I836" s="4">
        <v>50</v>
      </c>
      <c r="J836" s="4">
        <v>200</v>
      </c>
      <c r="K836" s="4" t="str" cm="1">
        <f t="array" ref="K836">_xlfn.IFS(AND(Table1567[[#This Row],[Total Amount]]&gt;=1500),"Critical",AND(Table1567[[#This Row],[Total Amount]]&gt;=1000),"High",TRUE,"Normal")</f>
        <v>Normal</v>
      </c>
      <c r="L836" s="4" t="str">
        <f>IF(Table1567[[#This Row],[Total Amount]]&gt;=1000,"High",(IF(Table1567[[#This Row],[Total Amount]]&gt;=500,"Medium","Low")))</f>
        <v>Low</v>
      </c>
      <c r="M836" s="4" t="str" cm="1">
        <f t="array" ref="M83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36" s="4" cm="1">
        <f t="array" ref="N83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836" s="4">
        <f>Table1567[[#This Row],[Total Amount]]-Table1567[[#This Row],[Discount Amount]]</f>
        <v>180</v>
      </c>
      <c r="P836" s="4" t="str">
        <f>IF(Table1567[[#This Row],[Total Amount]]&gt;=1000,"High","Low")</f>
        <v>Low</v>
      </c>
      <c r="Q836" s="4" t="str" cm="1">
        <f t="array" ref="Q836">_xlfn.IFS(AND(Table1567[[#This Row],[Total Amount]]&gt;=1500,"Critical"),AND(Table1567[[#This Row],[Total Amount]]&gt;=1000,"High"),TRUE,"Normal")</f>
        <v>Normal</v>
      </c>
      <c r="R836" s="4" t="str">
        <f>CONCATENATE(Table1567[[#This Row],[Customer ID]], "-",Table1567[[#This Row],[Age]])</f>
        <v>CUST835-37</v>
      </c>
      <c r="S836" s="4" t="str">
        <f>TEXT(Table1567[[#This Row],[Date]],"mmm")</f>
        <v>Sep</v>
      </c>
      <c r="T836" s="4" t="str">
        <f>TEXT(Table1567[[#This Row],[Date]],"DDD")</f>
        <v>Thu</v>
      </c>
    </row>
    <row r="837" spans="1:20" ht="29" x14ac:dyDescent="0.35">
      <c r="A837" s="4">
        <v>836</v>
      </c>
      <c r="B837" s="5">
        <v>45035</v>
      </c>
      <c r="C837" s="4" t="s">
        <v>849</v>
      </c>
      <c r="D837" s="4" t="s">
        <v>13</v>
      </c>
      <c r="E837" s="4">
        <v>22</v>
      </c>
      <c r="F837" s="4" t="str">
        <f>IF(Table1567[[#This Row],[Age]]&lt;=19,"Teenager",IF(Table1567[[#This Row],[Age]]&lt;=40,"Median","Old"))</f>
        <v>Median</v>
      </c>
      <c r="G837" s="4" t="s">
        <v>14</v>
      </c>
      <c r="H837" s="4">
        <v>1</v>
      </c>
      <c r="I837" s="4">
        <v>50</v>
      </c>
      <c r="J837" s="4">
        <v>50</v>
      </c>
      <c r="K837" s="4" t="str" cm="1">
        <f t="array" ref="K837">_xlfn.IFS(AND(Table1567[[#This Row],[Total Amount]]&gt;=1500),"Critical",AND(Table1567[[#This Row],[Total Amount]]&gt;=1000),"High",TRUE,"Normal")</f>
        <v>Normal</v>
      </c>
      <c r="L837" s="4" t="str">
        <f>IF(Table1567[[#This Row],[Total Amount]]&gt;=1000,"High",(IF(Table1567[[#This Row],[Total Amount]]&gt;=500,"Medium","Low")))</f>
        <v>Low</v>
      </c>
      <c r="M837" s="4" t="str" cm="1">
        <f t="array" ref="M83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837" s="4" cm="1">
        <f t="array" ref="N83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837" s="4">
        <f>Table1567[[#This Row],[Total Amount]]-Table1567[[#This Row],[Discount Amount]]</f>
        <v>50</v>
      </c>
      <c r="P837" s="4" t="str">
        <f>IF(Table1567[[#This Row],[Total Amount]]&gt;=1000,"High","Low")</f>
        <v>Low</v>
      </c>
      <c r="Q837" s="4" t="str" cm="1">
        <f t="array" ref="Q837">_xlfn.IFS(AND(Table1567[[#This Row],[Total Amount]]&gt;=1500,"Critical"),AND(Table1567[[#This Row],[Total Amount]]&gt;=1000,"High"),TRUE,"Normal")</f>
        <v>Normal</v>
      </c>
      <c r="R837" s="4" t="str">
        <f>CONCATENATE(Table1567[[#This Row],[Customer ID]], "-",Table1567[[#This Row],[Age]])</f>
        <v>CUST836-22</v>
      </c>
      <c r="S837" s="4" t="str">
        <f>TEXT(Table1567[[#This Row],[Date]],"mmm")</f>
        <v>Apr</v>
      </c>
      <c r="T837" s="4" t="str">
        <f>TEXT(Table1567[[#This Row],[Date]],"DDD")</f>
        <v>Wed</v>
      </c>
    </row>
    <row r="838" spans="1:20" ht="29" x14ac:dyDescent="0.35">
      <c r="A838" s="4">
        <v>837</v>
      </c>
      <c r="B838" s="5">
        <v>45108</v>
      </c>
      <c r="C838" s="4" t="s">
        <v>850</v>
      </c>
      <c r="D838" s="4" t="s">
        <v>10</v>
      </c>
      <c r="E838" s="4">
        <v>18</v>
      </c>
      <c r="F838" s="4" t="str">
        <f>IF(Table1567[[#This Row],[Age]]&lt;=19,"Teenager",IF(Table1567[[#This Row],[Age]]&lt;=40,"Median","Old"))</f>
        <v>Teenager</v>
      </c>
      <c r="G838" s="4" t="s">
        <v>11</v>
      </c>
      <c r="H838" s="4">
        <v>3</v>
      </c>
      <c r="I838" s="4">
        <v>30</v>
      </c>
      <c r="J838" s="4">
        <v>90</v>
      </c>
      <c r="K838" s="4" t="str" cm="1">
        <f t="array" ref="K838">_xlfn.IFS(AND(Table1567[[#This Row],[Total Amount]]&gt;=1500),"Critical",AND(Table1567[[#This Row],[Total Amount]]&gt;=1000),"High",TRUE,"Normal")</f>
        <v>Normal</v>
      </c>
      <c r="L838" s="4" t="str">
        <f>IF(Table1567[[#This Row],[Total Amount]]&gt;=1000,"High",(IF(Table1567[[#This Row],[Total Amount]]&gt;=500,"Medium","Low")))</f>
        <v>Low</v>
      </c>
      <c r="M838" s="4" t="str" cm="1">
        <f t="array" ref="M83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838" s="4" cm="1">
        <f t="array" ref="N83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838" s="4">
        <f>Table1567[[#This Row],[Total Amount]]-Table1567[[#This Row],[Discount Amount]]</f>
        <v>90</v>
      </c>
      <c r="P838" s="4" t="str">
        <f>IF(Table1567[[#This Row],[Total Amount]]&gt;=1000,"High","Low")</f>
        <v>Low</v>
      </c>
      <c r="Q838" s="4" t="str" cm="1">
        <f t="array" ref="Q838">_xlfn.IFS(AND(Table1567[[#This Row],[Total Amount]]&gt;=1500,"Critical"),AND(Table1567[[#This Row],[Total Amount]]&gt;=1000,"High"),TRUE,"Normal")</f>
        <v>Normal</v>
      </c>
      <c r="R838" s="4" t="str">
        <f>CONCATENATE(Table1567[[#This Row],[Customer ID]], "-",Table1567[[#This Row],[Age]])</f>
        <v>CUST837-18</v>
      </c>
      <c r="S838" s="4" t="str">
        <f>TEXT(Table1567[[#This Row],[Date]],"mmm")</f>
        <v>Jul</v>
      </c>
      <c r="T838" s="4" t="str">
        <f>TEXT(Table1567[[#This Row],[Date]],"DDD")</f>
        <v>Sat</v>
      </c>
    </row>
    <row r="839" spans="1:20" ht="29" x14ac:dyDescent="0.35">
      <c r="A839" s="4">
        <v>838</v>
      </c>
      <c r="B839" s="5">
        <v>45059</v>
      </c>
      <c r="C839" s="4" t="s">
        <v>851</v>
      </c>
      <c r="D839" s="4" t="s">
        <v>10</v>
      </c>
      <c r="E839" s="4">
        <v>47</v>
      </c>
      <c r="F839" s="4" t="str">
        <f>IF(Table1567[[#This Row],[Age]]&lt;=19,"Teenager",IF(Table1567[[#This Row],[Age]]&lt;=40,"Median","Old"))</f>
        <v>Old</v>
      </c>
      <c r="G839" s="4" t="s">
        <v>16</v>
      </c>
      <c r="H839" s="4">
        <v>2</v>
      </c>
      <c r="I839" s="4">
        <v>300</v>
      </c>
      <c r="J839" s="4">
        <v>600</v>
      </c>
      <c r="K839" s="4" t="str" cm="1">
        <f t="array" ref="K839">_xlfn.IFS(AND(Table1567[[#This Row],[Total Amount]]&gt;=1500),"Critical",AND(Table1567[[#This Row],[Total Amount]]&gt;=1000),"High",TRUE,"Normal")</f>
        <v>Normal</v>
      </c>
      <c r="L839" s="4" t="str">
        <f>IF(Table1567[[#This Row],[Total Amount]]&gt;=1000,"High",(IF(Table1567[[#This Row],[Total Amount]]&gt;=500,"Medium","Low")))</f>
        <v>Medium</v>
      </c>
      <c r="M839" s="4" t="str" cm="1">
        <f t="array" ref="M83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39" s="4" cm="1">
        <f t="array" ref="N83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839" s="4">
        <f>Table1567[[#This Row],[Total Amount]]-Table1567[[#This Row],[Discount Amount]]</f>
        <v>540</v>
      </c>
      <c r="P839" s="4" t="str">
        <f>IF(Table1567[[#This Row],[Total Amount]]&gt;=1000,"High","Low")</f>
        <v>Low</v>
      </c>
      <c r="Q839" s="4" t="str" cm="1">
        <f t="array" ref="Q839">_xlfn.IFS(AND(Table1567[[#This Row],[Total Amount]]&gt;=1500,"Critical"),AND(Table1567[[#This Row],[Total Amount]]&gt;=1000,"High"),TRUE,"Normal")</f>
        <v>Normal</v>
      </c>
      <c r="R839" s="4" t="str">
        <f>CONCATENATE(Table1567[[#This Row],[Customer ID]], "-",Table1567[[#This Row],[Age]])</f>
        <v>CUST838-47</v>
      </c>
      <c r="S839" s="4" t="str">
        <f>TEXT(Table1567[[#This Row],[Date]],"mmm")</f>
        <v>May</v>
      </c>
      <c r="T839" s="4" t="str">
        <f>TEXT(Table1567[[#This Row],[Date]],"DDD")</f>
        <v>Sat</v>
      </c>
    </row>
    <row r="840" spans="1:20" ht="29" x14ac:dyDescent="0.35">
      <c r="A840" s="4">
        <v>839</v>
      </c>
      <c r="B840" s="5">
        <v>45101</v>
      </c>
      <c r="C840" s="4" t="s">
        <v>852</v>
      </c>
      <c r="D840" s="4" t="s">
        <v>13</v>
      </c>
      <c r="E840" s="4">
        <v>20</v>
      </c>
      <c r="F840" s="4" t="str">
        <f>IF(Table1567[[#This Row],[Age]]&lt;=19,"Teenager",IF(Table1567[[#This Row],[Age]]&lt;=40,"Median","Old"))</f>
        <v>Median</v>
      </c>
      <c r="G840" s="4" t="s">
        <v>16</v>
      </c>
      <c r="H840" s="4">
        <v>4</v>
      </c>
      <c r="I840" s="4">
        <v>300</v>
      </c>
      <c r="J840" s="4">
        <v>1200</v>
      </c>
      <c r="K840" s="4" t="str" cm="1">
        <f t="array" ref="K840">_xlfn.IFS(AND(Table1567[[#This Row],[Total Amount]]&gt;=1500),"Critical",AND(Table1567[[#This Row],[Total Amount]]&gt;=1000),"High",TRUE,"Normal")</f>
        <v>High</v>
      </c>
      <c r="L840" s="4" t="str">
        <f>IF(Table1567[[#This Row],[Total Amount]]&gt;=1000,"High",(IF(Table1567[[#This Row],[Total Amount]]&gt;=500,"Medium","Low")))</f>
        <v>High</v>
      </c>
      <c r="M840" s="4" t="str" cm="1">
        <f t="array" ref="M84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840" s="4" cm="1">
        <f t="array" ref="N84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840" s="4">
        <f>Table1567[[#This Row],[Total Amount]]-Table1567[[#This Row],[Discount Amount]]</f>
        <v>1200</v>
      </c>
      <c r="P840" s="4" t="str">
        <f>IF(Table1567[[#This Row],[Total Amount]]&gt;=1000,"High","Low")</f>
        <v>High</v>
      </c>
      <c r="Q840" s="4" t="str" cm="1">
        <f t="array" ref="Q840">_xlfn.IFS(AND(Table1567[[#This Row],[Total Amount]]&gt;=1500,"Critical"),AND(Table1567[[#This Row],[Total Amount]]&gt;=1000,"High"),TRUE,"Normal")</f>
        <v>Normal</v>
      </c>
      <c r="R840" s="4" t="str">
        <f>CONCATENATE(Table1567[[#This Row],[Customer ID]], "-",Table1567[[#This Row],[Age]])</f>
        <v>CUST839-20</v>
      </c>
      <c r="S840" s="4" t="str">
        <f>TEXT(Table1567[[#This Row],[Date]],"mmm")</f>
        <v>Jun</v>
      </c>
      <c r="T840" s="4" t="str">
        <f>TEXT(Table1567[[#This Row],[Date]],"DDD")</f>
        <v>Sat</v>
      </c>
    </row>
    <row r="841" spans="1:20" ht="29" x14ac:dyDescent="0.35">
      <c r="A841" s="4">
        <v>840</v>
      </c>
      <c r="B841" s="5">
        <v>45070</v>
      </c>
      <c r="C841" s="4" t="s">
        <v>853</v>
      </c>
      <c r="D841" s="4" t="s">
        <v>10</v>
      </c>
      <c r="E841" s="4">
        <v>62</v>
      </c>
      <c r="F841" s="4" t="str">
        <f>IF(Table1567[[#This Row],[Age]]&lt;=19,"Teenager",IF(Table1567[[#This Row],[Age]]&lt;=40,"Median","Old"))</f>
        <v>Old</v>
      </c>
      <c r="G841" s="4" t="s">
        <v>14</v>
      </c>
      <c r="H841" s="4">
        <v>2</v>
      </c>
      <c r="I841" s="4">
        <v>25</v>
      </c>
      <c r="J841" s="4">
        <v>50</v>
      </c>
      <c r="K841" s="4" t="str" cm="1">
        <f t="array" ref="K841">_xlfn.IFS(AND(Table1567[[#This Row],[Total Amount]]&gt;=1500),"Critical",AND(Table1567[[#This Row],[Total Amount]]&gt;=1000),"High",TRUE,"Normal")</f>
        <v>Normal</v>
      </c>
      <c r="L841" s="4" t="str">
        <f>IF(Table1567[[#This Row],[Total Amount]]&gt;=1000,"High",(IF(Table1567[[#This Row],[Total Amount]]&gt;=500,"Medium","Low")))</f>
        <v>Low</v>
      </c>
      <c r="M841" s="4" t="str" cm="1">
        <f t="array" ref="M84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41" s="4" cm="1">
        <f t="array" ref="N84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841" s="4">
        <f>Table1567[[#This Row],[Total Amount]]-Table1567[[#This Row],[Discount Amount]]</f>
        <v>45</v>
      </c>
      <c r="P841" s="4" t="str">
        <f>IF(Table1567[[#This Row],[Total Amount]]&gt;=1000,"High","Low")</f>
        <v>Low</v>
      </c>
      <c r="Q841" s="4" t="str" cm="1">
        <f t="array" ref="Q841">_xlfn.IFS(AND(Table1567[[#This Row],[Total Amount]]&gt;=1500,"Critical"),AND(Table1567[[#This Row],[Total Amount]]&gt;=1000,"High"),TRUE,"Normal")</f>
        <v>Normal</v>
      </c>
      <c r="R841" s="4" t="str">
        <f>CONCATENATE(Table1567[[#This Row],[Customer ID]], "-",Table1567[[#This Row],[Age]])</f>
        <v>CUST840-62</v>
      </c>
      <c r="S841" s="4" t="str">
        <f>TEXT(Table1567[[#This Row],[Date]],"mmm")</f>
        <v>May</v>
      </c>
      <c r="T841" s="4" t="str">
        <f>TEXT(Table1567[[#This Row],[Date]],"DDD")</f>
        <v>Wed</v>
      </c>
    </row>
    <row r="842" spans="1:20" ht="29" x14ac:dyDescent="0.35">
      <c r="A842" s="4">
        <v>841</v>
      </c>
      <c r="B842" s="5">
        <v>45232</v>
      </c>
      <c r="C842" s="4" t="s">
        <v>854</v>
      </c>
      <c r="D842" s="4" t="s">
        <v>10</v>
      </c>
      <c r="E842" s="4">
        <v>31</v>
      </c>
      <c r="F842" s="4" t="str">
        <f>IF(Table1567[[#This Row],[Age]]&lt;=19,"Teenager",IF(Table1567[[#This Row],[Age]]&lt;=40,"Median","Old"))</f>
        <v>Median</v>
      </c>
      <c r="G842" s="4" t="s">
        <v>16</v>
      </c>
      <c r="H842" s="4">
        <v>4</v>
      </c>
      <c r="I842" s="4">
        <v>25</v>
      </c>
      <c r="J842" s="4">
        <v>100</v>
      </c>
      <c r="K842" s="4" t="str" cm="1">
        <f t="array" ref="K842">_xlfn.IFS(AND(Table1567[[#This Row],[Total Amount]]&gt;=1500),"Critical",AND(Table1567[[#This Row],[Total Amount]]&gt;=1000),"High",TRUE,"Normal")</f>
        <v>Normal</v>
      </c>
      <c r="L842" s="4" t="str">
        <f>IF(Table1567[[#This Row],[Total Amount]]&gt;=1000,"High",(IF(Table1567[[#This Row],[Total Amount]]&gt;=500,"Medium","Low")))</f>
        <v>Low</v>
      </c>
      <c r="M842" s="4" t="str" cm="1">
        <f t="array" ref="M84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42" s="4" cm="1">
        <f t="array" ref="N84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842" s="4">
        <f>Table1567[[#This Row],[Total Amount]]-Table1567[[#This Row],[Discount Amount]]</f>
        <v>85</v>
      </c>
      <c r="P842" s="4" t="str">
        <f>IF(Table1567[[#This Row],[Total Amount]]&gt;=1000,"High","Low")</f>
        <v>Low</v>
      </c>
      <c r="Q842" s="4" t="str" cm="1">
        <f t="array" ref="Q842">_xlfn.IFS(AND(Table1567[[#This Row],[Total Amount]]&gt;=1500,"Critical"),AND(Table1567[[#This Row],[Total Amount]]&gt;=1000,"High"),TRUE,"Normal")</f>
        <v>Normal</v>
      </c>
      <c r="R842" s="4" t="str">
        <f>CONCATENATE(Table1567[[#This Row],[Customer ID]], "-",Table1567[[#This Row],[Age]])</f>
        <v>CUST841-31</v>
      </c>
      <c r="S842" s="4" t="str">
        <f>TEXT(Table1567[[#This Row],[Date]],"mmm")</f>
        <v>Nov</v>
      </c>
      <c r="T842" s="4" t="str">
        <f>TEXT(Table1567[[#This Row],[Date]],"DDD")</f>
        <v>Thu</v>
      </c>
    </row>
    <row r="843" spans="1:20" ht="29" x14ac:dyDescent="0.35">
      <c r="A843" s="4">
        <v>842</v>
      </c>
      <c r="B843" s="5">
        <v>45286</v>
      </c>
      <c r="C843" s="4" t="s">
        <v>855</v>
      </c>
      <c r="D843" s="4" t="s">
        <v>13</v>
      </c>
      <c r="E843" s="4">
        <v>47</v>
      </c>
      <c r="F843" s="4" t="str">
        <f>IF(Table1567[[#This Row],[Age]]&lt;=19,"Teenager",IF(Table1567[[#This Row],[Age]]&lt;=40,"Median","Old"))</f>
        <v>Old</v>
      </c>
      <c r="G843" s="4" t="s">
        <v>14</v>
      </c>
      <c r="H843" s="4">
        <v>2</v>
      </c>
      <c r="I843" s="4">
        <v>300</v>
      </c>
      <c r="J843" s="4">
        <v>600</v>
      </c>
      <c r="K843" s="4" t="str" cm="1">
        <f t="array" ref="K843">_xlfn.IFS(AND(Table1567[[#This Row],[Total Amount]]&gt;=1500),"Critical",AND(Table1567[[#This Row],[Total Amount]]&gt;=1000),"High",TRUE,"Normal")</f>
        <v>Normal</v>
      </c>
      <c r="L843" s="4" t="str">
        <f>IF(Table1567[[#This Row],[Total Amount]]&gt;=1000,"High",(IF(Table1567[[#This Row],[Total Amount]]&gt;=500,"Medium","Low")))</f>
        <v>Medium</v>
      </c>
      <c r="M843" s="4" t="str" cm="1">
        <f t="array" ref="M84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43" s="4" cm="1">
        <f t="array" ref="N84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843" s="4">
        <f>Table1567[[#This Row],[Total Amount]]-Table1567[[#This Row],[Discount Amount]]</f>
        <v>480</v>
      </c>
      <c r="P843" s="4" t="str">
        <f>IF(Table1567[[#This Row],[Total Amount]]&gt;=1000,"High","Low")</f>
        <v>Low</v>
      </c>
      <c r="Q843" s="4" t="str" cm="1">
        <f t="array" ref="Q843">_xlfn.IFS(AND(Table1567[[#This Row],[Total Amount]]&gt;=1500,"Critical"),AND(Table1567[[#This Row],[Total Amount]]&gt;=1000,"High"),TRUE,"Normal")</f>
        <v>Normal</v>
      </c>
      <c r="R843" s="4" t="str">
        <f>CONCATENATE(Table1567[[#This Row],[Customer ID]], "-",Table1567[[#This Row],[Age]])</f>
        <v>CUST842-47</v>
      </c>
      <c r="S843" s="4" t="str">
        <f>TEXT(Table1567[[#This Row],[Date]],"mmm")</f>
        <v>Dec</v>
      </c>
      <c r="T843" s="4" t="str">
        <f>TEXT(Table1567[[#This Row],[Date]],"DDD")</f>
        <v>Tue</v>
      </c>
    </row>
    <row r="844" spans="1:20" ht="29" x14ac:dyDescent="0.35">
      <c r="A844" s="4">
        <v>843</v>
      </c>
      <c r="B844" s="5">
        <v>45068</v>
      </c>
      <c r="C844" s="4" t="s">
        <v>856</v>
      </c>
      <c r="D844" s="4" t="s">
        <v>10</v>
      </c>
      <c r="E844" s="4">
        <v>21</v>
      </c>
      <c r="F844" s="4" t="str">
        <f>IF(Table1567[[#This Row],[Age]]&lt;=19,"Teenager",IF(Table1567[[#This Row],[Age]]&lt;=40,"Median","Old"))</f>
        <v>Median</v>
      </c>
      <c r="G844" s="4" t="s">
        <v>11</v>
      </c>
      <c r="H844" s="4">
        <v>3</v>
      </c>
      <c r="I844" s="4">
        <v>500</v>
      </c>
      <c r="J844" s="4">
        <v>1500</v>
      </c>
      <c r="K844" s="4" t="str" cm="1">
        <f t="array" ref="K844">_xlfn.IFS(AND(Table1567[[#This Row],[Total Amount]]&gt;=1500),"Critical",AND(Table1567[[#This Row],[Total Amount]]&gt;=1000),"High",TRUE,"Normal")</f>
        <v>Critical</v>
      </c>
      <c r="L844" s="4" t="str">
        <f>IF(Table1567[[#This Row],[Total Amount]]&gt;=1000,"High",(IF(Table1567[[#This Row],[Total Amount]]&gt;=500,"Medium","Low")))</f>
        <v>High</v>
      </c>
      <c r="M844" s="4" t="str" cm="1">
        <f t="array" ref="M84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844" s="4" cm="1">
        <f t="array" ref="N84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844" s="4">
        <f>Table1567[[#This Row],[Total Amount]]-Table1567[[#This Row],[Discount Amount]]</f>
        <v>1500</v>
      </c>
      <c r="P844" s="4" t="str">
        <f>IF(Table1567[[#This Row],[Total Amount]]&gt;=1000,"High","Low")</f>
        <v>High</v>
      </c>
      <c r="Q844" s="4" t="b" cm="1">
        <f t="array" ref="Q844">_xlfn.IFS(AND(Table1567[[#This Row],[Total Amount]]&gt;=1500,"Critical"),AND(Table1567[[#This Row],[Total Amount]]&gt;=1000,"High"),TRUE,"Normal")</f>
        <v>1</v>
      </c>
      <c r="R844" s="4" t="str">
        <f>CONCATENATE(Table1567[[#This Row],[Customer ID]], "-",Table1567[[#This Row],[Age]])</f>
        <v>CUST843-21</v>
      </c>
      <c r="S844" s="4" t="str">
        <f>TEXT(Table1567[[#This Row],[Date]],"mmm")</f>
        <v>May</v>
      </c>
      <c r="T844" s="4" t="str">
        <f>TEXT(Table1567[[#This Row],[Date]],"DDD")</f>
        <v>Mon</v>
      </c>
    </row>
    <row r="845" spans="1:20" ht="29" x14ac:dyDescent="0.35">
      <c r="A845" s="4">
        <v>844</v>
      </c>
      <c r="B845" s="5">
        <v>45211</v>
      </c>
      <c r="C845" s="4" t="s">
        <v>857</v>
      </c>
      <c r="D845" s="4" t="s">
        <v>10</v>
      </c>
      <c r="E845" s="4">
        <v>35</v>
      </c>
      <c r="F845" s="4" t="str">
        <f>IF(Table1567[[#This Row],[Age]]&lt;=19,"Teenager",IF(Table1567[[#This Row],[Age]]&lt;=40,"Median","Old"))</f>
        <v>Median</v>
      </c>
      <c r="G845" s="4" t="s">
        <v>14</v>
      </c>
      <c r="H845" s="4">
        <v>3</v>
      </c>
      <c r="I845" s="4">
        <v>50</v>
      </c>
      <c r="J845" s="4">
        <v>150</v>
      </c>
      <c r="K845" s="4" t="str" cm="1">
        <f t="array" ref="K845">_xlfn.IFS(AND(Table1567[[#This Row],[Total Amount]]&gt;=1500),"Critical",AND(Table1567[[#This Row],[Total Amount]]&gt;=1000),"High",TRUE,"Normal")</f>
        <v>Normal</v>
      </c>
      <c r="L845" s="4" t="str">
        <f>IF(Table1567[[#This Row],[Total Amount]]&gt;=1000,"High",(IF(Table1567[[#This Row],[Total Amount]]&gt;=500,"Medium","Low")))</f>
        <v>Low</v>
      </c>
      <c r="M845" s="4" t="str" cm="1">
        <f t="array" ref="M84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45" s="4" cm="1">
        <f t="array" ref="N84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845" s="4">
        <f>Table1567[[#This Row],[Total Amount]]-Table1567[[#This Row],[Discount Amount]]</f>
        <v>135</v>
      </c>
      <c r="P845" s="4" t="str">
        <f>IF(Table1567[[#This Row],[Total Amount]]&gt;=1000,"High","Low")</f>
        <v>Low</v>
      </c>
      <c r="Q845" s="4" t="str" cm="1">
        <f t="array" ref="Q845">_xlfn.IFS(AND(Table1567[[#This Row],[Total Amount]]&gt;=1500,"Critical"),AND(Table1567[[#This Row],[Total Amount]]&gt;=1000,"High"),TRUE,"Normal")</f>
        <v>Normal</v>
      </c>
      <c r="R845" s="4" t="str">
        <f>CONCATENATE(Table1567[[#This Row],[Customer ID]], "-",Table1567[[#This Row],[Age]])</f>
        <v>CUST844-35</v>
      </c>
      <c r="S845" s="4" t="str">
        <f>TEXT(Table1567[[#This Row],[Date]],"mmm")</f>
        <v>Oct</v>
      </c>
      <c r="T845" s="4" t="str">
        <f>TEXT(Table1567[[#This Row],[Date]],"DDD")</f>
        <v>Thu</v>
      </c>
    </row>
    <row r="846" spans="1:20" ht="29" x14ac:dyDescent="0.35">
      <c r="A846" s="4">
        <v>845</v>
      </c>
      <c r="B846" s="5">
        <v>44932</v>
      </c>
      <c r="C846" s="4" t="s">
        <v>858</v>
      </c>
      <c r="D846" s="4" t="s">
        <v>10</v>
      </c>
      <c r="E846" s="4">
        <v>54</v>
      </c>
      <c r="F846" s="4" t="str">
        <f>IF(Table1567[[#This Row],[Age]]&lt;=19,"Teenager",IF(Table1567[[#This Row],[Age]]&lt;=40,"Median","Old"))</f>
        <v>Old</v>
      </c>
      <c r="G846" s="4" t="s">
        <v>14</v>
      </c>
      <c r="H846" s="4">
        <v>1</v>
      </c>
      <c r="I846" s="4">
        <v>500</v>
      </c>
      <c r="J846" s="4">
        <v>500</v>
      </c>
      <c r="K846" s="4" t="str" cm="1">
        <f t="array" ref="K846">_xlfn.IFS(AND(Table1567[[#This Row],[Total Amount]]&gt;=1500),"Critical",AND(Table1567[[#This Row],[Total Amount]]&gt;=1000),"High",TRUE,"Normal")</f>
        <v>Normal</v>
      </c>
      <c r="L846" s="4" t="str">
        <f>IF(Table1567[[#This Row],[Total Amount]]&gt;=1000,"High",(IF(Table1567[[#This Row],[Total Amount]]&gt;=500,"Medium","Low")))</f>
        <v>Medium</v>
      </c>
      <c r="M846" s="4" t="str" cm="1">
        <f t="array" ref="M84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46" s="4" cm="1">
        <f t="array" ref="N84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50</v>
      </c>
      <c r="O846" s="4">
        <f>Table1567[[#This Row],[Total Amount]]-Table1567[[#This Row],[Discount Amount]]</f>
        <v>450</v>
      </c>
      <c r="P846" s="4" t="str">
        <f>IF(Table1567[[#This Row],[Total Amount]]&gt;=1000,"High","Low")</f>
        <v>Low</v>
      </c>
      <c r="Q846" s="4" t="str" cm="1">
        <f t="array" ref="Q846">_xlfn.IFS(AND(Table1567[[#This Row],[Total Amount]]&gt;=1500,"Critical"),AND(Table1567[[#This Row],[Total Amount]]&gt;=1000,"High"),TRUE,"Normal")</f>
        <v>Normal</v>
      </c>
      <c r="R846" s="4" t="str">
        <f>CONCATENATE(Table1567[[#This Row],[Customer ID]], "-",Table1567[[#This Row],[Age]])</f>
        <v>CUST845-54</v>
      </c>
      <c r="S846" s="4" t="str">
        <f>TEXT(Table1567[[#This Row],[Date]],"mmm")</f>
        <v>Jan</v>
      </c>
      <c r="T846" s="4" t="str">
        <f>TEXT(Table1567[[#This Row],[Date]],"DDD")</f>
        <v>Fri</v>
      </c>
    </row>
    <row r="847" spans="1:20" ht="29" x14ac:dyDescent="0.35">
      <c r="A847" s="4">
        <v>846</v>
      </c>
      <c r="B847" s="5">
        <v>45191</v>
      </c>
      <c r="C847" s="4" t="s">
        <v>859</v>
      </c>
      <c r="D847" s="4" t="s">
        <v>10</v>
      </c>
      <c r="E847" s="4">
        <v>42</v>
      </c>
      <c r="F847" s="4" t="str">
        <f>IF(Table1567[[#This Row],[Age]]&lt;=19,"Teenager",IF(Table1567[[#This Row],[Age]]&lt;=40,"Median","Old"))</f>
        <v>Old</v>
      </c>
      <c r="G847" s="4" t="s">
        <v>11</v>
      </c>
      <c r="H847" s="4">
        <v>1</v>
      </c>
      <c r="I847" s="4">
        <v>50</v>
      </c>
      <c r="J847" s="4">
        <v>50</v>
      </c>
      <c r="K847" s="4" t="str" cm="1">
        <f t="array" ref="K847">_xlfn.IFS(AND(Table1567[[#This Row],[Total Amount]]&gt;=1500),"Critical",AND(Table1567[[#This Row],[Total Amount]]&gt;=1000),"High",TRUE,"Normal")</f>
        <v>Normal</v>
      </c>
      <c r="L847" s="4" t="str">
        <f>IF(Table1567[[#This Row],[Total Amount]]&gt;=1000,"High",(IF(Table1567[[#This Row],[Total Amount]]&gt;=500,"Medium","Low")))</f>
        <v>Low</v>
      </c>
      <c r="M847" s="4" t="str" cm="1">
        <f t="array" ref="M84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47" s="4" cm="1">
        <f t="array" ref="N84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847" s="4">
        <f>Table1567[[#This Row],[Total Amount]]-Table1567[[#This Row],[Discount Amount]]</f>
        <v>45</v>
      </c>
      <c r="P847" s="4" t="str">
        <f>IF(Table1567[[#This Row],[Total Amount]]&gt;=1000,"High","Low")</f>
        <v>Low</v>
      </c>
      <c r="Q847" s="4" t="str" cm="1">
        <f t="array" ref="Q847">_xlfn.IFS(AND(Table1567[[#This Row],[Total Amount]]&gt;=1500,"Critical"),AND(Table1567[[#This Row],[Total Amount]]&gt;=1000,"High"),TRUE,"Normal")</f>
        <v>Normal</v>
      </c>
      <c r="R847" s="4" t="str">
        <f>CONCATENATE(Table1567[[#This Row],[Customer ID]], "-",Table1567[[#This Row],[Age]])</f>
        <v>CUST846-42</v>
      </c>
      <c r="S847" s="4" t="str">
        <f>TEXT(Table1567[[#This Row],[Date]],"mmm")</f>
        <v>Sep</v>
      </c>
      <c r="T847" s="4" t="str">
        <f>TEXT(Table1567[[#This Row],[Date]],"DDD")</f>
        <v>Fri</v>
      </c>
    </row>
    <row r="848" spans="1:20" ht="29" x14ac:dyDescent="0.35">
      <c r="A848" s="4">
        <v>847</v>
      </c>
      <c r="B848" s="5">
        <v>45024</v>
      </c>
      <c r="C848" s="4" t="s">
        <v>860</v>
      </c>
      <c r="D848" s="4" t="s">
        <v>13</v>
      </c>
      <c r="E848" s="4">
        <v>18</v>
      </c>
      <c r="F848" s="4" t="str">
        <f>IF(Table1567[[#This Row],[Age]]&lt;=19,"Teenager",IF(Table1567[[#This Row],[Age]]&lt;=40,"Median","Old"))</f>
        <v>Teenager</v>
      </c>
      <c r="G848" s="4" t="s">
        <v>16</v>
      </c>
      <c r="H848" s="4">
        <v>4</v>
      </c>
      <c r="I848" s="4">
        <v>300</v>
      </c>
      <c r="J848" s="4">
        <v>1200</v>
      </c>
      <c r="K848" s="4" t="str" cm="1">
        <f t="array" ref="K848">_xlfn.IFS(AND(Table1567[[#This Row],[Total Amount]]&gt;=1500),"Critical",AND(Table1567[[#This Row],[Total Amount]]&gt;=1000),"High",TRUE,"Normal")</f>
        <v>High</v>
      </c>
      <c r="L848" s="4" t="str">
        <f>IF(Table1567[[#This Row],[Total Amount]]&gt;=1000,"High",(IF(Table1567[[#This Row],[Total Amount]]&gt;=500,"Medium","Low")))</f>
        <v>High</v>
      </c>
      <c r="M848" s="4" t="str" cm="1">
        <f t="array" ref="M84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848" s="4" cm="1">
        <f t="array" ref="N84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848" s="4">
        <f>Table1567[[#This Row],[Total Amount]]-Table1567[[#This Row],[Discount Amount]]</f>
        <v>1200</v>
      </c>
      <c r="P848" s="4" t="str">
        <f>IF(Table1567[[#This Row],[Total Amount]]&gt;=1000,"High","Low")</f>
        <v>High</v>
      </c>
      <c r="Q848" s="4" t="str" cm="1">
        <f t="array" ref="Q848">_xlfn.IFS(AND(Table1567[[#This Row],[Total Amount]]&gt;=1500,"Critical"),AND(Table1567[[#This Row],[Total Amount]]&gt;=1000,"High"),TRUE,"Normal")</f>
        <v>Normal</v>
      </c>
      <c r="R848" s="4" t="str">
        <f>CONCATENATE(Table1567[[#This Row],[Customer ID]], "-",Table1567[[#This Row],[Age]])</f>
        <v>CUST847-18</v>
      </c>
      <c r="S848" s="4" t="str">
        <f>TEXT(Table1567[[#This Row],[Date]],"mmm")</f>
        <v>Apr</v>
      </c>
      <c r="T848" s="4" t="str">
        <f>TEXT(Table1567[[#This Row],[Date]],"DDD")</f>
        <v>Sat</v>
      </c>
    </row>
    <row r="849" spans="1:20" ht="29" x14ac:dyDescent="0.35">
      <c r="A849" s="4">
        <v>848</v>
      </c>
      <c r="B849" s="5">
        <v>44970</v>
      </c>
      <c r="C849" s="4" t="s">
        <v>861</v>
      </c>
      <c r="D849" s="4" t="s">
        <v>13</v>
      </c>
      <c r="E849" s="4">
        <v>63</v>
      </c>
      <c r="F849" s="4" t="str">
        <f>IF(Table1567[[#This Row],[Age]]&lt;=19,"Teenager",IF(Table1567[[#This Row],[Age]]&lt;=40,"Median","Old"))</f>
        <v>Old</v>
      </c>
      <c r="G849" s="4" t="s">
        <v>14</v>
      </c>
      <c r="H849" s="4">
        <v>3</v>
      </c>
      <c r="I849" s="4">
        <v>25</v>
      </c>
      <c r="J849" s="4">
        <v>75</v>
      </c>
      <c r="K849" s="4" t="str" cm="1">
        <f t="array" ref="K849">_xlfn.IFS(AND(Table1567[[#This Row],[Total Amount]]&gt;=1500),"Critical",AND(Table1567[[#This Row],[Total Amount]]&gt;=1000),"High",TRUE,"Normal")</f>
        <v>Normal</v>
      </c>
      <c r="L849" s="4" t="str">
        <f>IF(Table1567[[#This Row],[Total Amount]]&gt;=1000,"High",(IF(Table1567[[#This Row],[Total Amount]]&gt;=500,"Medium","Low")))</f>
        <v>Low</v>
      </c>
      <c r="M849" s="4" t="str" cm="1">
        <f t="array" ref="M84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49" s="4" cm="1">
        <f t="array" ref="N84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849" s="4">
        <f>Table1567[[#This Row],[Total Amount]]-Table1567[[#This Row],[Discount Amount]]</f>
        <v>60</v>
      </c>
      <c r="P849" s="4" t="str">
        <f>IF(Table1567[[#This Row],[Total Amount]]&gt;=1000,"High","Low")</f>
        <v>Low</v>
      </c>
      <c r="Q849" s="4" t="str" cm="1">
        <f t="array" ref="Q849">_xlfn.IFS(AND(Table1567[[#This Row],[Total Amount]]&gt;=1500,"Critical"),AND(Table1567[[#This Row],[Total Amount]]&gt;=1000,"High"),TRUE,"Normal")</f>
        <v>Normal</v>
      </c>
      <c r="R849" s="4" t="str">
        <f>CONCATENATE(Table1567[[#This Row],[Customer ID]], "-",Table1567[[#This Row],[Age]])</f>
        <v>CUST848-63</v>
      </c>
      <c r="S849" s="4" t="str">
        <f>TEXT(Table1567[[#This Row],[Date]],"mmm")</f>
        <v>Feb</v>
      </c>
      <c r="T849" s="4" t="str">
        <f>TEXT(Table1567[[#This Row],[Date]],"DDD")</f>
        <v>Mon</v>
      </c>
    </row>
    <row r="850" spans="1:20" ht="29" x14ac:dyDescent="0.35">
      <c r="A850" s="4">
        <v>849</v>
      </c>
      <c r="B850" s="5">
        <v>45050</v>
      </c>
      <c r="C850" s="4" t="s">
        <v>862</v>
      </c>
      <c r="D850" s="4" t="s">
        <v>10</v>
      </c>
      <c r="E850" s="4">
        <v>32</v>
      </c>
      <c r="F850" s="4" t="str">
        <f>IF(Table1567[[#This Row],[Age]]&lt;=19,"Teenager",IF(Table1567[[#This Row],[Age]]&lt;=40,"Median","Old"))</f>
        <v>Median</v>
      </c>
      <c r="G850" s="4" t="s">
        <v>14</v>
      </c>
      <c r="H850" s="4">
        <v>2</v>
      </c>
      <c r="I850" s="4">
        <v>25</v>
      </c>
      <c r="J850" s="4">
        <v>50</v>
      </c>
      <c r="K850" s="4" t="str" cm="1">
        <f t="array" ref="K850">_xlfn.IFS(AND(Table1567[[#This Row],[Total Amount]]&gt;=1500),"Critical",AND(Table1567[[#This Row],[Total Amount]]&gt;=1000),"High",TRUE,"Normal")</f>
        <v>Normal</v>
      </c>
      <c r="L850" s="4" t="str">
        <f>IF(Table1567[[#This Row],[Total Amount]]&gt;=1000,"High",(IF(Table1567[[#This Row],[Total Amount]]&gt;=500,"Medium","Low")))</f>
        <v>Low</v>
      </c>
      <c r="M850" s="4" t="str" cm="1">
        <f t="array" ref="M85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50" s="4" cm="1">
        <f t="array" ref="N85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850" s="4">
        <f>Table1567[[#This Row],[Total Amount]]-Table1567[[#This Row],[Discount Amount]]</f>
        <v>42.5</v>
      </c>
      <c r="P850" s="4" t="str">
        <f>IF(Table1567[[#This Row],[Total Amount]]&gt;=1000,"High","Low")</f>
        <v>Low</v>
      </c>
      <c r="Q850" s="4" t="str" cm="1">
        <f t="array" ref="Q850">_xlfn.IFS(AND(Table1567[[#This Row],[Total Amount]]&gt;=1500,"Critical"),AND(Table1567[[#This Row],[Total Amount]]&gt;=1000,"High"),TRUE,"Normal")</f>
        <v>Normal</v>
      </c>
      <c r="R850" s="4" t="str">
        <f>CONCATENATE(Table1567[[#This Row],[Customer ID]], "-",Table1567[[#This Row],[Age]])</f>
        <v>CUST849-32</v>
      </c>
      <c r="S850" s="4" t="str">
        <f>TEXT(Table1567[[#This Row],[Date]],"mmm")</f>
        <v>May</v>
      </c>
      <c r="T850" s="4" t="str">
        <f>TEXT(Table1567[[#This Row],[Date]],"DDD")</f>
        <v>Thu</v>
      </c>
    </row>
    <row r="851" spans="1:20" ht="29" x14ac:dyDescent="0.35">
      <c r="A851" s="4">
        <v>850</v>
      </c>
      <c r="B851" s="5">
        <v>45135</v>
      </c>
      <c r="C851" s="4" t="s">
        <v>863</v>
      </c>
      <c r="D851" s="4" t="s">
        <v>13</v>
      </c>
      <c r="E851" s="4">
        <v>26</v>
      </c>
      <c r="F851" s="4" t="str">
        <f>IF(Table1567[[#This Row],[Age]]&lt;=19,"Teenager",IF(Table1567[[#This Row],[Age]]&lt;=40,"Median","Old"))</f>
        <v>Median</v>
      </c>
      <c r="G851" s="4" t="s">
        <v>11</v>
      </c>
      <c r="H851" s="4">
        <v>2</v>
      </c>
      <c r="I851" s="4">
        <v>500</v>
      </c>
      <c r="J851" s="4">
        <v>1000</v>
      </c>
      <c r="K851" s="4" t="str" cm="1">
        <f t="array" ref="K851">_xlfn.IFS(AND(Table1567[[#This Row],[Total Amount]]&gt;=1500),"Critical",AND(Table1567[[#This Row],[Total Amount]]&gt;=1000),"High",TRUE,"Normal")</f>
        <v>High</v>
      </c>
      <c r="L851" s="4" t="str">
        <f>IF(Table1567[[#This Row],[Total Amount]]&gt;=1000,"High",(IF(Table1567[[#This Row],[Total Amount]]&gt;=500,"Medium","Low")))</f>
        <v>High</v>
      </c>
      <c r="M851" s="4" t="str" cm="1">
        <f t="array" ref="M85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51" s="4" cm="1">
        <f t="array" ref="N85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851" s="4">
        <f>Table1567[[#This Row],[Total Amount]]-Table1567[[#This Row],[Discount Amount]]</f>
        <v>850</v>
      </c>
      <c r="P851" s="4" t="str">
        <f>IF(Table1567[[#This Row],[Total Amount]]&gt;=1000,"High","Low")</f>
        <v>High</v>
      </c>
      <c r="Q851" s="4" t="str" cm="1">
        <f t="array" ref="Q851">_xlfn.IFS(AND(Table1567[[#This Row],[Total Amount]]&gt;=1500,"Critical"),AND(Table1567[[#This Row],[Total Amount]]&gt;=1000,"High"),TRUE,"Normal")</f>
        <v>Normal</v>
      </c>
      <c r="R851" s="4" t="str">
        <f>CONCATENATE(Table1567[[#This Row],[Customer ID]], "-",Table1567[[#This Row],[Age]])</f>
        <v>CUST850-26</v>
      </c>
      <c r="S851" s="4" t="str">
        <f>TEXT(Table1567[[#This Row],[Date]],"mmm")</f>
        <v>Jul</v>
      </c>
      <c r="T851" s="4" t="str">
        <f>TEXT(Table1567[[#This Row],[Date]],"DDD")</f>
        <v>Fri</v>
      </c>
    </row>
    <row r="852" spans="1:20" ht="29" x14ac:dyDescent="0.35">
      <c r="A852" s="4">
        <v>851</v>
      </c>
      <c r="B852" s="5">
        <v>45177</v>
      </c>
      <c r="C852" s="4" t="s">
        <v>864</v>
      </c>
      <c r="D852" s="4" t="s">
        <v>10</v>
      </c>
      <c r="E852" s="4">
        <v>32</v>
      </c>
      <c r="F852" s="4" t="str">
        <f>IF(Table1567[[#This Row],[Age]]&lt;=19,"Teenager",IF(Table1567[[#This Row],[Age]]&lt;=40,"Median","Old"))</f>
        <v>Median</v>
      </c>
      <c r="G852" s="4" t="s">
        <v>16</v>
      </c>
      <c r="H852" s="4">
        <v>2</v>
      </c>
      <c r="I852" s="4">
        <v>25</v>
      </c>
      <c r="J852" s="4">
        <v>50</v>
      </c>
      <c r="K852" s="4" t="str" cm="1">
        <f t="array" ref="K852">_xlfn.IFS(AND(Table1567[[#This Row],[Total Amount]]&gt;=1500),"Critical",AND(Table1567[[#This Row],[Total Amount]]&gt;=1000),"High",TRUE,"Normal")</f>
        <v>Normal</v>
      </c>
      <c r="L852" s="4" t="str">
        <f>IF(Table1567[[#This Row],[Total Amount]]&gt;=1000,"High",(IF(Table1567[[#This Row],[Total Amount]]&gt;=500,"Medium","Low")))</f>
        <v>Low</v>
      </c>
      <c r="M852" s="4" t="str" cm="1">
        <f t="array" ref="M85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52" s="4" cm="1">
        <f t="array" ref="N85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852" s="4">
        <f>Table1567[[#This Row],[Total Amount]]-Table1567[[#This Row],[Discount Amount]]</f>
        <v>42.5</v>
      </c>
      <c r="P852" s="4" t="str">
        <f>IF(Table1567[[#This Row],[Total Amount]]&gt;=1000,"High","Low")</f>
        <v>Low</v>
      </c>
      <c r="Q852" s="4" t="str" cm="1">
        <f t="array" ref="Q852">_xlfn.IFS(AND(Table1567[[#This Row],[Total Amount]]&gt;=1500,"Critical"),AND(Table1567[[#This Row],[Total Amount]]&gt;=1000,"High"),TRUE,"Normal")</f>
        <v>Normal</v>
      </c>
      <c r="R852" s="4" t="str">
        <f>CONCATENATE(Table1567[[#This Row],[Customer ID]], "-",Table1567[[#This Row],[Age]])</f>
        <v>CUST851-32</v>
      </c>
      <c r="S852" s="4" t="str">
        <f>TEXT(Table1567[[#This Row],[Date]],"mmm")</f>
        <v>Sep</v>
      </c>
      <c r="T852" s="4" t="str">
        <f>TEXT(Table1567[[#This Row],[Date]],"DDD")</f>
        <v>Fri</v>
      </c>
    </row>
    <row r="853" spans="1:20" ht="29" x14ac:dyDescent="0.35">
      <c r="A853" s="4">
        <v>852</v>
      </c>
      <c r="B853" s="5">
        <v>45211</v>
      </c>
      <c r="C853" s="4" t="s">
        <v>865</v>
      </c>
      <c r="D853" s="4" t="s">
        <v>13</v>
      </c>
      <c r="E853" s="4">
        <v>41</v>
      </c>
      <c r="F853" s="4" t="str">
        <f>IF(Table1567[[#This Row],[Age]]&lt;=19,"Teenager",IF(Table1567[[#This Row],[Age]]&lt;=40,"Median","Old"))</f>
        <v>Old</v>
      </c>
      <c r="G853" s="4" t="s">
        <v>14</v>
      </c>
      <c r="H853" s="4">
        <v>1</v>
      </c>
      <c r="I853" s="4">
        <v>300</v>
      </c>
      <c r="J853" s="4">
        <v>300</v>
      </c>
      <c r="K853" s="4" t="str" cm="1">
        <f t="array" ref="K853">_xlfn.IFS(AND(Table1567[[#This Row],[Total Amount]]&gt;=1500),"Critical",AND(Table1567[[#This Row],[Total Amount]]&gt;=1000),"High",TRUE,"Normal")</f>
        <v>Normal</v>
      </c>
      <c r="L853" s="4" t="str">
        <f>IF(Table1567[[#This Row],[Total Amount]]&gt;=1000,"High",(IF(Table1567[[#This Row],[Total Amount]]&gt;=500,"Medium","Low")))</f>
        <v>Low</v>
      </c>
      <c r="M853" s="4" t="str" cm="1">
        <f t="array" ref="M85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53" s="4" cm="1">
        <f t="array" ref="N85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853" s="4">
        <f>Table1567[[#This Row],[Total Amount]]-Table1567[[#This Row],[Discount Amount]]</f>
        <v>240</v>
      </c>
      <c r="P853" s="4" t="str">
        <f>IF(Table1567[[#This Row],[Total Amount]]&gt;=1000,"High","Low")</f>
        <v>Low</v>
      </c>
      <c r="Q853" s="4" t="str" cm="1">
        <f t="array" ref="Q853">_xlfn.IFS(AND(Table1567[[#This Row],[Total Amount]]&gt;=1500,"Critical"),AND(Table1567[[#This Row],[Total Amount]]&gt;=1000,"High"),TRUE,"Normal")</f>
        <v>Normal</v>
      </c>
      <c r="R853" s="4" t="str">
        <f>CONCATENATE(Table1567[[#This Row],[Customer ID]], "-",Table1567[[#This Row],[Age]])</f>
        <v>CUST852-41</v>
      </c>
      <c r="S853" s="4" t="str">
        <f>TEXT(Table1567[[#This Row],[Date]],"mmm")</f>
        <v>Oct</v>
      </c>
      <c r="T853" s="4" t="str">
        <f>TEXT(Table1567[[#This Row],[Date]],"DDD")</f>
        <v>Thu</v>
      </c>
    </row>
    <row r="854" spans="1:20" ht="29" x14ac:dyDescent="0.35">
      <c r="A854" s="4">
        <v>853</v>
      </c>
      <c r="B854" s="5">
        <v>45050</v>
      </c>
      <c r="C854" s="4" t="s">
        <v>866</v>
      </c>
      <c r="D854" s="4" t="s">
        <v>10</v>
      </c>
      <c r="E854" s="4">
        <v>21</v>
      </c>
      <c r="F854" s="4" t="str">
        <f>IF(Table1567[[#This Row],[Age]]&lt;=19,"Teenager",IF(Table1567[[#This Row],[Age]]&lt;=40,"Median","Old"))</f>
        <v>Median</v>
      </c>
      <c r="G854" s="4" t="s">
        <v>11</v>
      </c>
      <c r="H854" s="4">
        <v>2</v>
      </c>
      <c r="I854" s="4">
        <v>500</v>
      </c>
      <c r="J854" s="4">
        <v>1000</v>
      </c>
      <c r="K854" s="4" t="str" cm="1">
        <f t="array" ref="K854">_xlfn.IFS(AND(Table1567[[#This Row],[Total Amount]]&gt;=1500),"Critical",AND(Table1567[[#This Row],[Total Amount]]&gt;=1000),"High",TRUE,"Normal")</f>
        <v>High</v>
      </c>
      <c r="L854" s="4" t="str">
        <f>IF(Table1567[[#This Row],[Total Amount]]&gt;=1000,"High",(IF(Table1567[[#This Row],[Total Amount]]&gt;=500,"Medium","Low")))</f>
        <v>High</v>
      </c>
      <c r="M854" s="4" t="str" cm="1">
        <f t="array" ref="M85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854" s="4" cm="1">
        <f t="array" ref="N85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854" s="4">
        <f>Table1567[[#This Row],[Total Amount]]-Table1567[[#This Row],[Discount Amount]]</f>
        <v>1000</v>
      </c>
      <c r="P854" s="4" t="str">
        <f>IF(Table1567[[#This Row],[Total Amount]]&gt;=1000,"High","Low")</f>
        <v>High</v>
      </c>
      <c r="Q854" s="4" t="str" cm="1">
        <f t="array" ref="Q854">_xlfn.IFS(AND(Table1567[[#This Row],[Total Amount]]&gt;=1500,"Critical"),AND(Table1567[[#This Row],[Total Amount]]&gt;=1000,"High"),TRUE,"Normal")</f>
        <v>Normal</v>
      </c>
      <c r="R854" s="4" t="str">
        <f>CONCATENATE(Table1567[[#This Row],[Customer ID]], "-",Table1567[[#This Row],[Age]])</f>
        <v>CUST853-21</v>
      </c>
      <c r="S854" s="4" t="str">
        <f>TEXT(Table1567[[#This Row],[Date]],"mmm")</f>
        <v>May</v>
      </c>
      <c r="T854" s="4" t="str">
        <f>TEXT(Table1567[[#This Row],[Date]],"DDD")</f>
        <v>Thu</v>
      </c>
    </row>
    <row r="855" spans="1:20" ht="29" x14ac:dyDescent="0.35">
      <c r="A855" s="4">
        <v>854</v>
      </c>
      <c r="B855" s="5">
        <v>45280</v>
      </c>
      <c r="C855" s="4" t="s">
        <v>867</v>
      </c>
      <c r="D855" s="4" t="s">
        <v>10</v>
      </c>
      <c r="E855" s="4">
        <v>29</v>
      </c>
      <c r="F855" s="4" t="str">
        <f>IF(Table1567[[#This Row],[Age]]&lt;=19,"Teenager",IF(Table1567[[#This Row],[Age]]&lt;=40,"Median","Old"))</f>
        <v>Median</v>
      </c>
      <c r="G855" s="4" t="s">
        <v>14</v>
      </c>
      <c r="H855" s="4">
        <v>1</v>
      </c>
      <c r="I855" s="4">
        <v>50</v>
      </c>
      <c r="J855" s="4">
        <v>50</v>
      </c>
      <c r="K855" s="4" t="str" cm="1">
        <f t="array" ref="K855">_xlfn.IFS(AND(Table1567[[#This Row],[Total Amount]]&gt;=1500),"Critical",AND(Table1567[[#This Row],[Total Amount]]&gt;=1000),"High",TRUE,"Normal")</f>
        <v>Normal</v>
      </c>
      <c r="L855" s="4" t="str">
        <f>IF(Table1567[[#This Row],[Total Amount]]&gt;=1000,"High",(IF(Table1567[[#This Row],[Total Amount]]&gt;=500,"Medium","Low")))</f>
        <v>Low</v>
      </c>
      <c r="M855" s="4" t="str" cm="1">
        <f t="array" ref="M85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55" s="4" cm="1">
        <f t="array" ref="N85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855" s="4">
        <f>Table1567[[#This Row],[Total Amount]]-Table1567[[#This Row],[Discount Amount]]</f>
        <v>42.5</v>
      </c>
      <c r="P855" s="4" t="str">
        <f>IF(Table1567[[#This Row],[Total Amount]]&gt;=1000,"High","Low")</f>
        <v>Low</v>
      </c>
      <c r="Q855" s="4" t="str" cm="1">
        <f t="array" ref="Q855">_xlfn.IFS(AND(Table1567[[#This Row],[Total Amount]]&gt;=1500,"Critical"),AND(Table1567[[#This Row],[Total Amount]]&gt;=1000,"High"),TRUE,"Normal")</f>
        <v>Normal</v>
      </c>
      <c r="R855" s="4" t="str">
        <f>CONCATENATE(Table1567[[#This Row],[Customer ID]], "-",Table1567[[#This Row],[Age]])</f>
        <v>CUST854-29</v>
      </c>
      <c r="S855" s="4" t="str">
        <f>TEXT(Table1567[[#This Row],[Date]],"mmm")</f>
        <v>Dec</v>
      </c>
      <c r="T855" s="4" t="str">
        <f>TEXT(Table1567[[#This Row],[Date]],"DDD")</f>
        <v>Wed</v>
      </c>
    </row>
    <row r="856" spans="1:20" ht="29" x14ac:dyDescent="0.35">
      <c r="A856" s="4">
        <v>855</v>
      </c>
      <c r="B856" s="5">
        <v>45170</v>
      </c>
      <c r="C856" s="4" t="s">
        <v>868</v>
      </c>
      <c r="D856" s="4" t="s">
        <v>10</v>
      </c>
      <c r="E856" s="4">
        <v>54</v>
      </c>
      <c r="F856" s="4" t="str">
        <f>IF(Table1567[[#This Row],[Age]]&lt;=19,"Teenager",IF(Table1567[[#This Row],[Age]]&lt;=40,"Median","Old"))</f>
        <v>Old</v>
      </c>
      <c r="G856" s="4" t="s">
        <v>11</v>
      </c>
      <c r="H856" s="4">
        <v>1</v>
      </c>
      <c r="I856" s="4">
        <v>25</v>
      </c>
      <c r="J856" s="4">
        <v>25</v>
      </c>
      <c r="K856" s="4" t="str" cm="1">
        <f t="array" ref="K856">_xlfn.IFS(AND(Table1567[[#This Row],[Total Amount]]&gt;=1500),"Critical",AND(Table1567[[#This Row],[Total Amount]]&gt;=1000),"High",TRUE,"Normal")</f>
        <v>Normal</v>
      </c>
      <c r="L856" s="4" t="str">
        <f>IF(Table1567[[#This Row],[Total Amount]]&gt;=1000,"High",(IF(Table1567[[#This Row],[Total Amount]]&gt;=500,"Medium","Low")))</f>
        <v>Low</v>
      </c>
      <c r="M856" s="4" t="str" cm="1">
        <f t="array" ref="M85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56" s="4" cm="1">
        <f t="array" ref="N85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856" s="4">
        <f>Table1567[[#This Row],[Total Amount]]-Table1567[[#This Row],[Discount Amount]]</f>
        <v>22.5</v>
      </c>
      <c r="P856" s="4" t="str">
        <f>IF(Table1567[[#This Row],[Total Amount]]&gt;=1000,"High","Low")</f>
        <v>Low</v>
      </c>
      <c r="Q856" s="4" t="str" cm="1">
        <f t="array" ref="Q856">_xlfn.IFS(AND(Table1567[[#This Row],[Total Amount]]&gt;=1500,"Critical"),AND(Table1567[[#This Row],[Total Amount]]&gt;=1000,"High"),TRUE,"Normal")</f>
        <v>Normal</v>
      </c>
      <c r="R856" s="4" t="str">
        <f>CONCATENATE(Table1567[[#This Row],[Customer ID]], "-",Table1567[[#This Row],[Age]])</f>
        <v>CUST855-54</v>
      </c>
      <c r="S856" s="4" t="str">
        <f>TEXT(Table1567[[#This Row],[Date]],"mmm")</f>
        <v>Sep</v>
      </c>
      <c r="T856" s="4" t="str">
        <f>TEXT(Table1567[[#This Row],[Date]],"DDD")</f>
        <v>Fri</v>
      </c>
    </row>
    <row r="857" spans="1:20" ht="29" x14ac:dyDescent="0.35">
      <c r="A857" s="4">
        <v>856</v>
      </c>
      <c r="B857" s="5">
        <v>45257</v>
      </c>
      <c r="C857" s="4" t="s">
        <v>869</v>
      </c>
      <c r="D857" s="4" t="s">
        <v>10</v>
      </c>
      <c r="E857" s="4">
        <v>54</v>
      </c>
      <c r="F857" s="4" t="str">
        <f>IF(Table1567[[#This Row],[Age]]&lt;=19,"Teenager",IF(Table1567[[#This Row],[Age]]&lt;=40,"Median","Old"))</f>
        <v>Old</v>
      </c>
      <c r="G857" s="4" t="s">
        <v>16</v>
      </c>
      <c r="H857" s="4">
        <v>4</v>
      </c>
      <c r="I857" s="4">
        <v>30</v>
      </c>
      <c r="J857" s="4">
        <v>120</v>
      </c>
      <c r="K857" s="4" t="str" cm="1">
        <f t="array" ref="K857">_xlfn.IFS(AND(Table1567[[#This Row],[Total Amount]]&gt;=1500),"Critical",AND(Table1567[[#This Row],[Total Amount]]&gt;=1000),"High",TRUE,"Normal")</f>
        <v>Normal</v>
      </c>
      <c r="L857" s="4" t="str">
        <f>IF(Table1567[[#This Row],[Total Amount]]&gt;=1000,"High",(IF(Table1567[[#This Row],[Total Amount]]&gt;=500,"Medium","Low")))</f>
        <v>Low</v>
      </c>
      <c r="M857" s="4" t="str" cm="1">
        <f t="array" ref="M85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57" s="4" cm="1">
        <f t="array" ref="N85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857" s="4">
        <f>Table1567[[#This Row],[Total Amount]]-Table1567[[#This Row],[Discount Amount]]</f>
        <v>108</v>
      </c>
      <c r="P857" s="4" t="str">
        <f>IF(Table1567[[#This Row],[Total Amount]]&gt;=1000,"High","Low")</f>
        <v>Low</v>
      </c>
      <c r="Q857" s="4" t="str" cm="1">
        <f t="array" ref="Q857">_xlfn.IFS(AND(Table1567[[#This Row],[Total Amount]]&gt;=1500,"Critical"),AND(Table1567[[#This Row],[Total Amount]]&gt;=1000,"High"),TRUE,"Normal")</f>
        <v>Normal</v>
      </c>
      <c r="R857" s="4" t="str">
        <f>CONCATENATE(Table1567[[#This Row],[Customer ID]], "-",Table1567[[#This Row],[Age]])</f>
        <v>CUST856-54</v>
      </c>
      <c r="S857" s="4" t="str">
        <f>TEXT(Table1567[[#This Row],[Date]],"mmm")</f>
        <v>Nov</v>
      </c>
      <c r="T857" s="4" t="str">
        <f>TEXT(Table1567[[#This Row],[Date]],"DDD")</f>
        <v>Mon</v>
      </c>
    </row>
    <row r="858" spans="1:20" ht="29" x14ac:dyDescent="0.35">
      <c r="A858" s="4">
        <v>857</v>
      </c>
      <c r="B858" s="5">
        <v>45291</v>
      </c>
      <c r="C858" s="4" t="s">
        <v>870</v>
      </c>
      <c r="D858" s="4" t="s">
        <v>10</v>
      </c>
      <c r="E858" s="4">
        <v>60</v>
      </c>
      <c r="F858" s="4" t="str">
        <f>IF(Table1567[[#This Row],[Age]]&lt;=19,"Teenager",IF(Table1567[[#This Row],[Age]]&lt;=40,"Median","Old"))</f>
        <v>Old</v>
      </c>
      <c r="G858" s="4" t="s">
        <v>16</v>
      </c>
      <c r="H858" s="4">
        <v>2</v>
      </c>
      <c r="I858" s="4">
        <v>25</v>
      </c>
      <c r="J858" s="4">
        <v>50</v>
      </c>
      <c r="K858" s="4" t="str" cm="1">
        <f t="array" ref="K858">_xlfn.IFS(AND(Table1567[[#This Row],[Total Amount]]&gt;=1500),"Critical",AND(Table1567[[#This Row],[Total Amount]]&gt;=1000),"High",TRUE,"Normal")</f>
        <v>Normal</v>
      </c>
      <c r="L858" s="4" t="str">
        <f>IF(Table1567[[#This Row],[Total Amount]]&gt;=1000,"High",(IF(Table1567[[#This Row],[Total Amount]]&gt;=500,"Medium","Low")))</f>
        <v>Low</v>
      </c>
      <c r="M858" s="4" t="str" cm="1">
        <f t="array" ref="M85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58" s="4" cm="1">
        <f t="array" ref="N85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858" s="4">
        <f>Table1567[[#This Row],[Total Amount]]-Table1567[[#This Row],[Discount Amount]]</f>
        <v>45</v>
      </c>
      <c r="P858" s="4" t="str">
        <f>IF(Table1567[[#This Row],[Total Amount]]&gt;=1000,"High","Low")</f>
        <v>Low</v>
      </c>
      <c r="Q858" s="4" t="str" cm="1">
        <f t="array" ref="Q858">_xlfn.IFS(AND(Table1567[[#This Row],[Total Amount]]&gt;=1500,"Critical"),AND(Table1567[[#This Row],[Total Amount]]&gt;=1000,"High"),TRUE,"Normal")</f>
        <v>Normal</v>
      </c>
      <c r="R858" s="4" t="str">
        <f>CONCATENATE(Table1567[[#This Row],[Customer ID]], "-",Table1567[[#This Row],[Age]])</f>
        <v>CUST857-60</v>
      </c>
      <c r="S858" s="4" t="str">
        <f>TEXT(Table1567[[#This Row],[Date]],"mmm")</f>
        <v>Dec</v>
      </c>
      <c r="T858" s="4" t="str">
        <f>TEXT(Table1567[[#This Row],[Date]],"DDD")</f>
        <v>Sun</v>
      </c>
    </row>
    <row r="859" spans="1:20" ht="29" x14ac:dyDescent="0.35">
      <c r="A859" s="4">
        <v>858</v>
      </c>
      <c r="B859" s="5">
        <v>45178</v>
      </c>
      <c r="C859" s="4" t="s">
        <v>871</v>
      </c>
      <c r="D859" s="4" t="s">
        <v>10</v>
      </c>
      <c r="E859" s="4">
        <v>23</v>
      </c>
      <c r="F859" s="4" t="str">
        <f>IF(Table1567[[#This Row],[Age]]&lt;=19,"Teenager",IF(Table1567[[#This Row],[Age]]&lt;=40,"Median","Old"))</f>
        <v>Median</v>
      </c>
      <c r="G859" s="4" t="s">
        <v>16</v>
      </c>
      <c r="H859" s="4">
        <v>2</v>
      </c>
      <c r="I859" s="4">
        <v>50</v>
      </c>
      <c r="J859" s="4">
        <v>100</v>
      </c>
      <c r="K859" s="4" t="str" cm="1">
        <f t="array" ref="K859">_xlfn.IFS(AND(Table1567[[#This Row],[Total Amount]]&gt;=1500),"Critical",AND(Table1567[[#This Row],[Total Amount]]&gt;=1000),"High",TRUE,"Normal")</f>
        <v>Normal</v>
      </c>
      <c r="L859" s="4" t="str">
        <f>IF(Table1567[[#This Row],[Total Amount]]&gt;=1000,"High",(IF(Table1567[[#This Row],[Total Amount]]&gt;=500,"Medium","Low")))</f>
        <v>Low</v>
      </c>
      <c r="M859" s="4" t="str" cm="1">
        <f t="array" ref="M85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859" s="4" cm="1">
        <f t="array" ref="N85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859" s="4">
        <f>Table1567[[#This Row],[Total Amount]]-Table1567[[#This Row],[Discount Amount]]</f>
        <v>100</v>
      </c>
      <c r="P859" s="4" t="str">
        <f>IF(Table1567[[#This Row],[Total Amount]]&gt;=1000,"High","Low")</f>
        <v>Low</v>
      </c>
      <c r="Q859" s="4" t="str" cm="1">
        <f t="array" ref="Q859">_xlfn.IFS(AND(Table1567[[#This Row],[Total Amount]]&gt;=1500,"Critical"),AND(Table1567[[#This Row],[Total Amount]]&gt;=1000,"High"),TRUE,"Normal")</f>
        <v>Normal</v>
      </c>
      <c r="R859" s="4" t="str">
        <f>CONCATENATE(Table1567[[#This Row],[Customer ID]], "-",Table1567[[#This Row],[Age]])</f>
        <v>CUST858-23</v>
      </c>
      <c r="S859" s="4" t="str">
        <f>TEXT(Table1567[[#This Row],[Date]],"mmm")</f>
        <v>Sep</v>
      </c>
      <c r="T859" s="4" t="str">
        <f>TEXT(Table1567[[#This Row],[Date]],"DDD")</f>
        <v>Sat</v>
      </c>
    </row>
    <row r="860" spans="1:20" ht="29" x14ac:dyDescent="0.35">
      <c r="A860" s="4">
        <v>859</v>
      </c>
      <c r="B860" s="5">
        <v>45156</v>
      </c>
      <c r="C860" s="4" t="s">
        <v>872</v>
      </c>
      <c r="D860" s="4" t="s">
        <v>13</v>
      </c>
      <c r="E860" s="4">
        <v>56</v>
      </c>
      <c r="F860" s="4" t="str">
        <f>IF(Table1567[[#This Row],[Age]]&lt;=19,"Teenager",IF(Table1567[[#This Row],[Age]]&lt;=40,"Median","Old"))</f>
        <v>Old</v>
      </c>
      <c r="G860" s="4" t="s">
        <v>16</v>
      </c>
      <c r="H860" s="4">
        <v>3</v>
      </c>
      <c r="I860" s="4">
        <v>500</v>
      </c>
      <c r="J860" s="4">
        <v>1500</v>
      </c>
      <c r="K860" s="4" t="str" cm="1">
        <f t="array" ref="K860">_xlfn.IFS(AND(Table1567[[#This Row],[Total Amount]]&gt;=1500),"Critical",AND(Table1567[[#This Row],[Total Amount]]&gt;=1000),"High",TRUE,"Normal")</f>
        <v>Critical</v>
      </c>
      <c r="L860" s="4" t="str">
        <f>IF(Table1567[[#This Row],[Total Amount]]&gt;=1000,"High",(IF(Table1567[[#This Row],[Total Amount]]&gt;=500,"Medium","Low")))</f>
        <v>High</v>
      </c>
      <c r="M860" s="4" t="str" cm="1">
        <f t="array" ref="M86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60" s="4" cm="1">
        <f t="array" ref="N86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860" s="4">
        <f>Table1567[[#This Row],[Total Amount]]-Table1567[[#This Row],[Discount Amount]]</f>
        <v>1200</v>
      </c>
      <c r="P860" s="4" t="str">
        <f>IF(Table1567[[#This Row],[Total Amount]]&gt;=1000,"High","Low")</f>
        <v>High</v>
      </c>
      <c r="Q860" s="4" t="b" cm="1">
        <f t="array" ref="Q860">_xlfn.IFS(AND(Table1567[[#This Row],[Total Amount]]&gt;=1500,"Critical"),AND(Table1567[[#This Row],[Total Amount]]&gt;=1000,"High"),TRUE,"Normal")</f>
        <v>1</v>
      </c>
      <c r="R860" s="4" t="str">
        <f>CONCATENATE(Table1567[[#This Row],[Customer ID]], "-",Table1567[[#This Row],[Age]])</f>
        <v>CUST859-56</v>
      </c>
      <c r="S860" s="4" t="str">
        <f>TEXT(Table1567[[#This Row],[Date]],"mmm")</f>
        <v>Aug</v>
      </c>
      <c r="T860" s="4" t="str">
        <f>TEXT(Table1567[[#This Row],[Date]],"DDD")</f>
        <v>Fri</v>
      </c>
    </row>
    <row r="861" spans="1:20" ht="29" x14ac:dyDescent="0.35">
      <c r="A861" s="4">
        <v>860</v>
      </c>
      <c r="B861" s="5">
        <v>44935</v>
      </c>
      <c r="C861" s="4" t="s">
        <v>873</v>
      </c>
      <c r="D861" s="4" t="s">
        <v>10</v>
      </c>
      <c r="E861" s="4">
        <v>63</v>
      </c>
      <c r="F861" s="4" t="str">
        <f>IF(Table1567[[#This Row],[Age]]&lt;=19,"Teenager",IF(Table1567[[#This Row],[Age]]&lt;=40,"Median","Old"))</f>
        <v>Old</v>
      </c>
      <c r="G861" s="4" t="s">
        <v>14</v>
      </c>
      <c r="H861" s="4">
        <v>4</v>
      </c>
      <c r="I861" s="4">
        <v>50</v>
      </c>
      <c r="J861" s="4">
        <v>200</v>
      </c>
      <c r="K861" s="4" t="str" cm="1">
        <f t="array" ref="K861">_xlfn.IFS(AND(Table1567[[#This Row],[Total Amount]]&gt;=1500),"Critical",AND(Table1567[[#This Row],[Total Amount]]&gt;=1000),"High",TRUE,"Normal")</f>
        <v>Normal</v>
      </c>
      <c r="L861" s="4" t="str">
        <f>IF(Table1567[[#This Row],[Total Amount]]&gt;=1000,"High",(IF(Table1567[[#This Row],[Total Amount]]&gt;=500,"Medium","Low")))</f>
        <v>Low</v>
      </c>
      <c r="M861" s="4" t="str" cm="1">
        <f t="array" ref="M86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61" s="4" cm="1">
        <f t="array" ref="N86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861" s="4">
        <f>Table1567[[#This Row],[Total Amount]]-Table1567[[#This Row],[Discount Amount]]</f>
        <v>180</v>
      </c>
      <c r="P861" s="4" t="str">
        <f>IF(Table1567[[#This Row],[Total Amount]]&gt;=1000,"High","Low")</f>
        <v>Low</v>
      </c>
      <c r="Q861" s="4" t="str" cm="1">
        <f t="array" ref="Q861">_xlfn.IFS(AND(Table1567[[#This Row],[Total Amount]]&gt;=1500,"Critical"),AND(Table1567[[#This Row],[Total Amount]]&gt;=1000,"High"),TRUE,"Normal")</f>
        <v>Normal</v>
      </c>
      <c r="R861" s="4" t="str">
        <f>CONCATENATE(Table1567[[#This Row],[Customer ID]], "-",Table1567[[#This Row],[Age]])</f>
        <v>CUST860-63</v>
      </c>
      <c r="S861" s="4" t="str">
        <f>TEXT(Table1567[[#This Row],[Date]],"mmm")</f>
        <v>Jan</v>
      </c>
      <c r="T861" s="4" t="str">
        <f>TEXT(Table1567[[#This Row],[Date]],"DDD")</f>
        <v>Mon</v>
      </c>
    </row>
    <row r="862" spans="1:20" ht="29" x14ac:dyDescent="0.35">
      <c r="A862" s="4">
        <v>861</v>
      </c>
      <c r="B862" s="5">
        <v>44974</v>
      </c>
      <c r="C862" s="4" t="s">
        <v>874</v>
      </c>
      <c r="D862" s="4" t="s">
        <v>13</v>
      </c>
      <c r="E862" s="4">
        <v>41</v>
      </c>
      <c r="F862" s="4" t="str">
        <f>IF(Table1567[[#This Row],[Age]]&lt;=19,"Teenager",IF(Table1567[[#This Row],[Age]]&lt;=40,"Median","Old"))</f>
        <v>Old</v>
      </c>
      <c r="G862" s="4" t="s">
        <v>14</v>
      </c>
      <c r="H862" s="4">
        <v>3</v>
      </c>
      <c r="I862" s="4">
        <v>30</v>
      </c>
      <c r="J862" s="4">
        <v>90</v>
      </c>
      <c r="K862" s="4" t="str" cm="1">
        <f t="array" ref="K862">_xlfn.IFS(AND(Table1567[[#This Row],[Total Amount]]&gt;=1500),"Critical",AND(Table1567[[#This Row],[Total Amount]]&gt;=1000),"High",TRUE,"Normal")</f>
        <v>Normal</v>
      </c>
      <c r="L862" s="4" t="str">
        <f>IF(Table1567[[#This Row],[Total Amount]]&gt;=1000,"High",(IF(Table1567[[#This Row],[Total Amount]]&gt;=500,"Medium","Low")))</f>
        <v>Low</v>
      </c>
      <c r="M862" s="4" t="str" cm="1">
        <f t="array" ref="M86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62" s="4" cm="1">
        <f t="array" ref="N86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862" s="4">
        <f>Table1567[[#This Row],[Total Amount]]-Table1567[[#This Row],[Discount Amount]]</f>
        <v>72</v>
      </c>
      <c r="P862" s="4" t="str">
        <f>IF(Table1567[[#This Row],[Total Amount]]&gt;=1000,"High","Low")</f>
        <v>Low</v>
      </c>
      <c r="Q862" s="4" t="str" cm="1">
        <f t="array" ref="Q862">_xlfn.IFS(AND(Table1567[[#This Row],[Total Amount]]&gt;=1500,"Critical"),AND(Table1567[[#This Row],[Total Amount]]&gt;=1000,"High"),TRUE,"Normal")</f>
        <v>Normal</v>
      </c>
      <c r="R862" s="4" t="str">
        <f>CONCATENATE(Table1567[[#This Row],[Customer ID]], "-",Table1567[[#This Row],[Age]])</f>
        <v>CUST861-41</v>
      </c>
      <c r="S862" s="4" t="str">
        <f>TEXT(Table1567[[#This Row],[Date]],"mmm")</f>
        <v>Feb</v>
      </c>
      <c r="T862" s="4" t="str">
        <f>TEXT(Table1567[[#This Row],[Date]],"DDD")</f>
        <v>Fri</v>
      </c>
    </row>
    <row r="863" spans="1:20" ht="29" x14ac:dyDescent="0.35">
      <c r="A863" s="4">
        <v>862</v>
      </c>
      <c r="B863" s="5">
        <v>45077</v>
      </c>
      <c r="C863" s="4" t="s">
        <v>875</v>
      </c>
      <c r="D863" s="4" t="s">
        <v>10</v>
      </c>
      <c r="E863" s="4">
        <v>28</v>
      </c>
      <c r="F863" s="4" t="str">
        <f>IF(Table1567[[#This Row],[Age]]&lt;=19,"Teenager",IF(Table1567[[#This Row],[Age]]&lt;=40,"Median","Old"))</f>
        <v>Median</v>
      </c>
      <c r="G863" s="4" t="s">
        <v>16</v>
      </c>
      <c r="H863" s="4">
        <v>4</v>
      </c>
      <c r="I863" s="4">
        <v>300</v>
      </c>
      <c r="J863" s="4">
        <v>1200</v>
      </c>
      <c r="K863" s="4" t="str" cm="1">
        <f t="array" ref="K863">_xlfn.IFS(AND(Table1567[[#This Row],[Total Amount]]&gt;=1500),"Critical",AND(Table1567[[#This Row],[Total Amount]]&gt;=1000),"High",TRUE,"Normal")</f>
        <v>High</v>
      </c>
      <c r="L863" s="4" t="str">
        <f>IF(Table1567[[#This Row],[Total Amount]]&gt;=1000,"High",(IF(Table1567[[#This Row],[Total Amount]]&gt;=500,"Medium","Low")))</f>
        <v>High</v>
      </c>
      <c r="M863" s="4" t="str" cm="1">
        <f t="array" ref="M86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63" s="4" cm="1">
        <f t="array" ref="N86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863" s="4">
        <f>Table1567[[#This Row],[Total Amount]]-Table1567[[#This Row],[Discount Amount]]</f>
        <v>1020</v>
      </c>
      <c r="P863" s="4" t="str">
        <f>IF(Table1567[[#This Row],[Total Amount]]&gt;=1000,"High","Low")</f>
        <v>High</v>
      </c>
      <c r="Q863" s="4" t="str" cm="1">
        <f t="array" ref="Q863">_xlfn.IFS(AND(Table1567[[#This Row],[Total Amount]]&gt;=1500,"Critical"),AND(Table1567[[#This Row],[Total Amount]]&gt;=1000,"High"),TRUE,"Normal")</f>
        <v>Normal</v>
      </c>
      <c r="R863" s="4" t="str">
        <f>CONCATENATE(Table1567[[#This Row],[Customer ID]], "-",Table1567[[#This Row],[Age]])</f>
        <v>CUST862-28</v>
      </c>
      <c r="S863" s="4" t="str">
        <f>TEXT(Table1567[[#This Row],[Date]],"mmm")</f>
        <v>May</v>
      </c>
      <c r="T863" s="4" t="str">
        <f>TEXT(Table1567[[#This Row],[Date]],"DDD")</f>
        <v>Wed</v>
      </c>
    </row>
    <row r="864" spans="1:20" ht="29" x14ac:dyDescent="0.35">
      <c r="A864" s="4">
        <v>863</v>
      </c>
      <c r="B864" s="5">
        <v>45040</v>
      </c>
      <c r="C864" s="4" t="s">
        <v>876</v>
      </c>
      <c r="D864" s="4" t="s">
        <v>13</v>
      </c>
      <c r="E864" s="4">
        <v>30</v>
      </c>
      <c r="F864" s="4" t="str">
        <f>IF(Table1567[[#This Row],[Age]]&lt;=19,"Teenager",IF(Table1567[[#This Row],[Age]]&lt;=40,"Median","Old"))</f>
        <v>Median</v>
      </c>
      <c r="G864" s="4" t="s">
        <v>16</v>
      </c>
      <c r="H864" s="4">
        <v>2</v>
      </c>
      <c r="I864" s="4">
        <v>25</v>
      </c>
      <c r="J864" s="4">
        <v>50</v>
      </c>
      <c r="K864" s="4" t="str" cm="1">
        <f t="array" ref="K864">_xlfn.IFS(AND(Table1567[[#This Row],[Total Amount]]&gt;=1500),"Critical",AND(Table1567[[#This Row],[Total Amount]]&gt;=1000),"High",TRUE,"Normal")</f>
        <v>Normal</v>
      </c>
      <c r="L864" s="4" t="str">
        <f>IF(Table1567[[#This Row],[Total Amount]]&gt;=1000,"High",(IF(Table1567[[#This Row],[Total Amount]]&gt;=500,"Medium","Low")))</f>
        <v>Low</v>
      </c>
      <c r="M864" s="4" t="str" cm="1">
        <f t="array" ref="M86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64" s="4" cm="1">
        <f t="array" ref="N86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864" s="4">
        <f>Table1567[[#This Row],[Total Amount]]-Table1567[[#This Row],[Discount Amount]]</f>
        <v>42.5</v>
      </c>
      <c r="P864" s="4" t="str">
        <f>IF(Table1567[[#This Row],[Total Amount]]&gt;=1000,"High","Low")</f>
        <v>Low</v>
      </c>
      <c r="Q864" s="4" t="str" cm="1">
        <f t="array" ref="Q864">_xlfn.IFS(AND(Table1567[[#This Row],[Total Amount]]&gt;=1500,"Critical"),AND(Table1567[[#This Row],[Total Amount]]&gt;=1000,"High"),TRUE,"Normal")</f>
        <v>Normal</v>
      </c>
      <c r="R864" s="4" t="str">
        <f>CONCATENATE(Table1567[[#This Row],[Customer ID]], "-",Table1567[[#This Row],[Age]])</f>
        <v>CUST863-30</v>
      </c>
      <c r="S864" s="4" t="str">
        <f>TEXT(Table1567[[#This Row],[Date]],"mmm")</f>
        <v>Apr</v>
      </c>
      <c r="T864" s="4" t="str">
        <f>TEXT(Table1567[[#This Row],[Date]],"DDD")</f>
        <v>Mon</v>
      </c>
    </row>
    <row r="865" spans="1:20" ht="29" x14ac:dyDescent="0.35">
      <c r="A865" s="4">
        <v>864</v>
      </c>
      <c r="B865" s="5">
        <v>45134</v>
      </c>
      <c r="C865" s="4" t="s">
        <v>877</v>
      </c>
      <c r="D865" s="4" t="s">
        <v>13</v>
      </c>
      <c r="E865" s="4">
        <v>51</v>
      </c>
      <c r="F865" s="4" t="str">
        <f>IF(Table1567[[#This Row],[Age]]&lt;=19,"Teenager",IF(Table1567[[#This Row],[Age]]&lt;=40,"Median","Old"))</f>
        <v>Old</v>
      </c>
      <c r="G865" s="4" t="s">
        <v>16</v>
      </c>
      <c r="H865" s="4">
        <v>1</v>
      </c>
      <c r="I865" s="4">
        <v>500</v>
      </c>
      <c r="J865" s="4">
        <v>500</v>
      </c>
      <c r="K865" s="4" t="str" cm="1">
        <f t="array" ref="K865">_xlfn.IFS(AND(Table1567[[#This Row],[Total Amount]]&gt;=1500),"Critical",AND(Table1567[[#This Row],[Total Amount]]&gt;=1000),"High",TRUE,"Normal")</f>
        <v>Normal</v>
      </c>
      <c r="L865" s="4" t="str">
        <f>IF(Table1567[[#This Row],[Total Amount]]&gt;=1000,"High",(IF(Table1567[[#This Row],[Total Amount]]&gt;=500,"Medium","Low")))</f>
        <v>Medium</v>
      </c>
      <c r="M865" s="4" t="str" cm="1">
        <f t="array" ref="M86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65" s="4" cm="1">
        <f t="array" ref="N86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865" s="4">
        <f>Table1567[[#This Row],[Total Amount]]-Table1567[[#This Row],[Discount Amount]]</f>
        <v>400</v>
      </c>
      <c r="P865" s="4" t="str">
        <f>IF(Table1567[[#This Row],[Total Amount]]&gt;=1000,"High","Low")</f>
        <v>Low</v>
      </c>
      <c r="Q865" s="4" t="str" cm="1">
        <f t="array" ref="Q865">_xlfn.IFS(AND(Table1567[[#This Row],[Total Amount]]&gt;=1500,"Critical"),AND(Table1567[[#This Row],[Total Amount]]&gt;=1000,"High"),TRUE,"Normal")</f>
        <v>Normal</v>
      </c>
      <c r="R865" s="4" t="str">
        <f>CONCATENATE(Table1567[[#This Row],[Customer ID]], "-",Table1567[[#This Row],[Age]])</f>
        <v>CUST864-51</v>
      </c>
      <c r="S865" s="4" t="str">
        <f>TEXT(Table1567[[#This Row],[Date]],"mmm")</f>
        <v>Jul</v>
      </c>
      <c r="T865" s="4" t="str">
        <f>TEXT(Table1567[[#This Row],[Date]],"DDD")</f>
        <v>Thu</v>
      </c>
    </row>
    <row r="866" spans="1:20" ht="29" x14ac:dyDescent="0.35">
      <c r="A866" s="4">
        <v>865</v>
      </c>
      <c r="B866" s="5">
        <v>45281</v>
      </c>
      <c r="C866" s="4" t="s">
        <v>878</v>
      </c>
      <c r="D866" s="4" t="s">
        <v>13</v>
      </c>
      <c r="E866" s="4">
        <v>42</v>
      </c>
      <c r="F866" s="4" t="str">
        <f>IF(Table1567[[#This Row],[Age]]&lt;=19,"Teenager",IF(Table1567[[#This Row],[Age]]&lt;=40,"Median","Old"))</f>
        <v>Old</v>
      </c>
      <c r="G866" s="4" t="s">
        <v>14</v>
      </c>
      <c r="H866" s="4">
        <v>1</v>
      </c>
      <c r="I866" s="4">
        <v>300</v>
      </c>
      <c r="J866" s="4">
        <v>300</v>
      </c>
      <c r="K866" s="4" t="str" cm="1">
        <f t="array" ref="K866">_xlfn.IFS(AND(Table1567[[#This Row],[Total Amount]]&gt;=1500),"Critical",AND(Table1567[[#This Row],[Total Amount]]&gt;=1000),"High",TRUE,"Normal")</f>
        <v>Normal</v>
      </c>
      <c r="L866" s="4" t="str">
        <f>IF(Table1567[[#This Row],[Total Amount]]&gt;=1000,"High",(IF(Table1567[[#This Row],[Total Amount]]&gt;=500,"Medium","Low")))</f>
        <v>Low</v>
      </c>
      <c r="M866" s="4" t="str" cm="1">
        <f t="array" ref="M86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66" s="4" cm="1">
        <f t="array" ref="N86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866" s="4">
        <f>Table1567[[#This Row],[Total Amount]]-Table1567[[#This Row],[Discount Amount]]</f>
        <v>240</v>
      </c>
      <c r="P866" s="4" t="str">
        <f>IF(Table1567[[#This Row],[Total Amount]]&gt;=1000,"High","Low")</f>
        <v>Low</v>
      </c>
      <c r="Q866" s="4" t="str" cm="1">
        <f t="array" ref="Q866">_xlfn.IFS(AND(Table1567[[#This Row],[Total Amount]]&gt;=1500,"Critical"),AND(Table1567[[#This Row],[Total Amount]]&gt;=1000,"High"),TRUE,"Normal")</f>
        <v>Normal</v>
      </c>
      <c r="R866" s="4" t="str">
        <f>CONCATENATE(Table1567[[#This Row],[Customer ID]], "-",Table1567[[#This Row],[Age]])</f>
        <v>CUST865-42</v>
      </c>
      <c r="S866" s="4" t="str">
        <f>TEXT(Table1567[[#This Row],[Date]],"mmm")</f>
        <v>Dec</v>
      </c>
      <c r="T866" s="4" t="str">
        <f>TEXT(Table1567[[#This Row],[Date]],"DDD")</f>
        <v>Thu</v>
      </c>
    </row>
    <row r="867" spans="1:20" ht="29" x14ac:dyDescent="0.35">
      <c r="A867" s="4">
        <v>866</v>
      </c>
      <c r="B867" s="5">
        <v>45051</v>
      </c>
      <c r="C867" s="4" t="s">
        <v>879</v>
      </c>
      <c r="D867" s="4" t="s">
        <v>10</v>
      </c>
      <c r="E867" s="4">
        <v>24</v>
      </c>
      <c r="F867" s="4" t="str">
        <f>IF(Table1567[[#This Row],[Age]]&lt;=19,"Teenager",IF(Table1567[[#This Row],[Age]]&lt;=40,"Median","Old"))</f>
        <v>Median</v>
      </c>
      <c r="G867" s="4" t="s">
        <v>16</v>
      </c>
      <c r="H867" s="4">
        <v>1</v>
      </c>
      <c r="I867" s="4">
        <v>50</v>
      </c>
      <c r="J867" s="4">
        <v>50</v>
      </c>
      <c r="K867" s="4" t="str" cm="1">
        <f t="array" ref="K867">_xlfn.IFS(AND(Table1567[[#This Row],[Total Amount]]&gt;=1500),"Critical",AND(Table1567[[#This Row],[Total Amount]]&gt;=1000),"High",TRUE,"Normal")</f>
        <v>Normal</v>
      </c>
      <c r="L867" s="4" t="str">
        <f>IF(Table1567[[#This Row],[Total Amount]]&gt;=1000,"High",(IF(Table1567[[#This Row],[Total Amount]]&gt;=500,"Medium","Low")))</f>
        <v>Low</v>
      </c>
      <c r="M867" s="4" t="str" cm="1">
        <f t="array" ref="M86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867" s="4" cm="1">
        <f t="array" ref="N86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867" s="4">
        <f>Table1567[[#This Row],[Total Amount]]-Table1567[[#This Row],[Discount Amount]]</f>
        <v>50</v>
      </c>
      <c r="P867" s="4" t="str">
        <f>IF(Table1567[[#This Row],[Total Amount]]&gt;=1000,"High","Low")</f>
        <v>Low</v>
      </c>
      <c r="Q867" s="4" t="str" cm="1">
        <f t="array" ref="Q867">_xlfn.IFS(AND(Table1567[[#This Row],[Total Amount]]&gt;=1500,"Critical"),AND(Table1567[[#This Row],[Total Amount]]&gt;=1000,"High"),TRUE,"Normal")</f>
        <v>Normal</v>
      </c>
      <c r="R867" s="4" t="str">
        <f>CONCATENATE(Table1567[[#This Row],[Customer ID]], "-",Table1567[[#This Row],[Age]])</f>
        <v>CUST866-24</v>
      </c>
      <c r="S867" s="4" t="str">
        <f>TEXT(Table1567[[#This Row],[Date]],"mmm")</f>
        <v>May</v>
      </c>
      <c r="T867" s="4" t="str">
        <f>TEXT(Table1567[[#This Row],[Date]],"DDD")</f>
        <v>Fri</v>
      </c>
    </row>
    <row r="868" spans="1:20" ht="29" x14ac:dyDescent="0.35">
      <c r="A868" s="4">
        <v>867</v>
      </c>
      <c r="B868" s="5">
        <v>45083</v>
      </c>
      <c r="C868" s="4" t="s">
        <v>880</v>
      </c>
      <c r="D868" s="4" t="s">
        <v>10</v>
      </c>
      <c r="E868" s="4">
        <v>21</v>
      </c>
      <c r="F868" s="4" t="str">
        <f>IF(Table1567[[#This Row],[Age]]&lt;=19,"Teenager",IF(Table1567[[#This Row],[Age]]&lt;=40,"Median","Old"))</f>
        <v>Median</v>
      </c>
      <c r="G868" s="4" t="s">
        <v>16</v>
      </c>
      <c r="H868" s="4">
        <v>1</v>
      </c>
      <c r="I868" s="4">
        <v>500</v>
      </c>
      <c r="J868" s="4">
        <v>500</v>
      </c>
      <c r="K868" s="4" t="str" cm="1">
        <f t="array" ref="K868">_xlfn.IFS(AND(Table1567[[#This Row],[Total Amount]]&gt;=1500),"Critical",AND(Table1567[[#This Row],[Total Amount]]&gt;=1000),"High",TRUE,"Normal")</f>
        <v>Normal</v>
      </c>
      <c r="L868" s="4" t="str">
        <f>IF(Table1567[[#This Row],[Total Amount]]&gt;=1000,"High",(IF(Table1567[[#This Row],[Total Amount]]&gt;=500,"Medium","Low")))</f>
        <v>Medium</v>
      </c>
      <c r="M868" s="4" t="str" cm="1">
        <f t="array" ref="M86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868" s="4" cm="1">
        <f t="array" ref="N86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868" s="4">
        <f>Table1567[[#This Row],[Total Amount]]-Table1567[[#This Row],[Discount Amount]]</f>
        <v>500</v>
      </c>
      <c r="P868" s="4" t="str">
        <f>IF(Table1567[[#This Row],[Total Amount]]&gt;=1000,"High","Low")</f>
        <v>Low</v>
      </c>
      <c r="Q868" s="4" t="str" cm="1">
        <f t="array" ref="Q868">_xlfn.IFS(AND(Table1567[[#This Row],[Total Amount]]&gt;=1500,"Critical"),AND(Table1567[[#This Row],[Total Amount]]&gt;=1000,"High"),TRUE,"Normal")</f>
        <v>Normal</v>
      </c>
      <c r="R868" s="4" t="str">
        <f>CONCATENATE(Table1567[[#This Row],[Customer ID]], "-",Table1567[[#This Row],[Age]])</f>
        <v>CUST867-21</v>
      </c>
      <c r="S868" s="4" t="str">
        <f>TEXT(Table1567[[#This Row],[Date]],"mmm")</f>
        <v>Jun</v>
      </c>
      <c r="T868" s="4" t="str">
        <f>TEXT(Table1567[[#This Row],[Date]],"DDD")</f>
        <v>Tue</v>
      </c>
    </row>
    <row r="869" spans="1:20" ht="29" x14ac:dyDescent="0.35">
      <c r="A869" s="4">
        <v>868</v>
      </c>
      <c r="B869" s="5">
        <v>45266</v>
      </c>
      <c r="C869" s="4" t="s">
        <v>881</v>
      </c>
      <c r="D869" s="4" t="s">
        <v>13</v>
      </c>
      <c r="E869" s="4">
        <v>25</v>
      </c>
      <c r="F869" s="4" t="str">
        <f>IF(Table1567[[#This Row],[Age]]&lt;=19,"Teenager",IF(Table1567[[#This Row],[Age]]&lt;=40,"Median","Old"))</f>
        <v>Median</v>
      </c>
      <c r="G869" s="4" t="s">
        <v>16</v>
      </c>
      <c r="H869" s="4">
        <v>1</v>
      </c>
      <c r="I869" s="4">
        <v>300</v>
      </c>
      <c r="J869" s="4">
        <v>300</v>
      </c>
      <c r="K869" s="4" t="str" cm="1">
        <f t="array" ref="K869">_xlfn.IFS(AND(Table1567[[#This Row],[Total Amount]]&gt;=1500),"Critical",AND(Table1567[[#This Row],[Total Amount]]&gt;=1000),"High",TRUE,"Normal")</f>
        <v>Normal</v>
      </c>
      <c r="L869" s="4" t="str">
        <f>IF(Table1567[[#This Row],[Total Amount]]&gt;=1000,"High",(IF(Table1567[[#This Row],[Total Amount]]&gt;=500,"Medium","Low")))</f>
        <v>Low</v>
      </c>
      <c r="M869" s="4" t="str" cm="1">
        <f t="array" ref="M86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69" s="4" cm="1">
        <f t="array" ref="N86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45</v>
      </c>
      <c r="O869" s="4">
        <f>Table1567[[#This Row],[Total Amount]]-Table1567[[#This Row],[Discount Amount]]</f>
        <v>255</v>
      </c>
      <c r="P869" s="4" t="str">
        <f>IF(Table1567[[#This Row],[Total Amount]]&gt;=1000,"High","Low")</f>
        <v>Low</v>
      </c>
      <c r="Q869" s="4" t="str" cm="1">
        <f t="array" ref="Q869">_xlfn.IFS(AND(Table1567[[#This Row],[Total Amount]]&gt;=1500,"Critical"),AND(Table1567[[#This Row],[Total Amount]]&gt;=1000,"High"),TRUE,"Normal")</f>
        <v>Normal</v>
      </c>
      <c r="R869" s="4" t="str">
        <f>CONCATENATE(Table1567[[#This Row],[Customer ID]], "-",Table1567[[#This Row],[Age]])</f>
        <v>CUST868-25</v>
      </c>
      <c r="S869" s="4" t="str">
        <f>TEXT(Table1567[[#This Row],[Date]],"mmm")</f>
        <v>Dec</v>
      </c>
      <c r="T869" s="4" t="str">
        <f>TEXT(Table1567[[#This Row],[Date]],"DDD")</f>
        <v>Wed</v>
      </c>
    </row>
    <row r="870" spans="1:20" ht="29" x14ac:dyDescent="0.35">
      <c r="A870" s="4">
        <v>869</v>
      </c>
      <c r="B870" s="5">
        <v>45224</v>
      </c>
      <c r="C870" s="4" t="s">
        <v>882</v>
      </c>
      <c r="D870" s="4" t="s">
        <v>10</v>
      </c>
      <c r="E870" s="4">
        <v>37</v>
      </c>
      <c r="F870" s="4" t="str">
        <f>IF(Table1567[[#This Row],[Age]]&lt;=19,"Teenager",IF(Table1567[[#This Row],[Age]]&lt;=40,"Median","Old"))</f>
        <v>Median</v>
      </c>
      <c r="G870" s="4" t="s">
        <v>11</v>
      </c>
      <c r="H870" s="4">
        <v>3</v>
      </c>
      <c r="I870" s="4">
        <v>500</v>
      </c>
      <c r="J870" s="4">
        <v>1500</v>
      </c>
      <c r="K870" s="4" t="str" cm="1">
        <f t="array" ref="K870">_xlfn.IFS(AND(Table1567[[#This Row],[Total Amount]]&gt;=1500),"Critical",AND(Table1567[[#This Row],[Total Amount]]&gt;=1000),"High",TRUE,"Normal")</f>
        <v>Critical</v>
      </c>
      <c r="L870" s="4" t="str">
        <f>IF(Table1567[[#This Row],[Total Amount]]&gt;=1000,"High",(IF(Table1567[[#This Row],[Total Amount]]&gt;=500,"Medium","Low")))</f>
        <v>High</v>
      </c>
      <c r="M870" s="4" t="str" cm="1">
        <f t="array" ref="M87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70" s="4" cm="1">
        <f t="array" ref="N87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870" s="4">
        <f>Table1567[[#This Row],[Total Amount]]-Table1567[[#This Row],[Discount Amount]]</f>
        <v>1350</v>
      </c>
      <c r="P870" s="4" t="str">
        <f>IF(Table1567[[#This Row],[Total Amount]]&gt;=1000,"High","Low")</f>
        <v>High</v>
      </c>
      <c r="Q870" s="4" t="b" cm="1">
        <f t="array" ref="Q870">_xlfn.IFS(AND(Table1567[[#This Row],[Total Amount]]&gt;=1500,"Critical"),AND(Table1567[[#This Row],[Total Amount]]&gt;=1000,"High"),TRUE,"Normal")</f>
        <v>1</v>
      </c>
      <c r="R870" s="4" t="str">
        <f>CONCATENATE(Table1567[[#This Row],[Customer ID]], "-",Table1567[[#This Row],[Age]])</f>
        <v>CUST869-37</v>
      </c>
      <c r="S870" s="4" t="str">
        <f>TEXT(Table1567[[#This Row],[Date]],"mmm")</f>
        <v>Oct</v>
      </c>
      <c r="T870" s="4" t="str">
        <f>TEXT(Table1567[[#This Row],[Date]],"DDD")</f>
        <v>Wed</v>
      </c>
    </row>
    <row r="871" spans="1:20" ht="29" x14ac:dyDescent="0.35">
      <c r="A871" s="4">
        <v>870</v>
      </c>
      <c r="B871" s="5">
        <v>45115</v>
      </c>
      <c r="C871" s="4" t="s">
        <v>883</v>
      </c>
      <c r="D871" s="4" t="s">
        <v>13</v>
      </c>
      <c r="E871" s="4">
        <v>46</v>
      </c>
      <c r="F871" s="4" t="str">
        <f>IF(Table1567[[#This Row],[Age]]&lt;=19,"Teenager",IF(Table1567[[#This Row],[Age]]&lt;=40,"Median","Old"))</f>
        <v>Old</v>
      </c>
      <c r="G871" s="4" t="s">
        <v>16</v>
      </c>
      <c r="H871" s="4">
        <v>4</v>
      </c>
      <c r="I871" s="4">
        <v>30</v>
      </c>
      <c r="J871" s="4">
        <v>120</v>
      </c>
      <c r="K871" s="4" t="str" cm="1">
        <f t="array" ref="K871">_xlfn.IFS(AND(Table1567[[#This Row],[Total Amount]]&gt;=1500),"Critical",AND(Table1567[[#This Row],[Total Amount]]&gt;=1000),"High",TRUE,"Normal")</f>
        <v>Normal</v>
      </c>
      <c r="L871" s="4" t="str">
        <f>IF(Table1567[[#This Row],[Total Amount]]&gt;=1000,"High",(IF(Table1567[[#This Row],[Total Amount]]&gt;=500,"Medium","Low")))</f>
        <v>Low</v>
      </c>
      <c r="M871" s="4" t="str" cm="1">
        <f t="array" ref="M87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71" s="4" cm="1">
        <f t="array" ref="N87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</v>
      </c>
      <c r="O871" s="4">
        <f>Table1567[[#This Row],[Total Amount]]-Table1567[[#This Row],[Discount Amount]]</f>
        <v>96</v>
      </c>
      <c r="P871" s="4" t="str">
        <f>IF(Table1567[[#This Row],[Total Amount]]&gt;=1000,"High","Low")</f>
        <v>Low</v>
      </c>
      <c r="Q871" s="4" t="str" cm="1">
        <f t="array" ref="Q871">_xlfn.IFS(AND(Table1567[[#This Row],[Total Amount]]&gt;=1500,"Critical"),AND(Table1567[[#This Row],[Total Amount]]&gt;=1000,"High"),TRUE,"Normal")</f>
        <v>Normal</v>
      </c>
      <c r="R871" s="4" t="str">
        <f>CONCATENATE(Table1567[[#This Row],[Customer ID]], "-",Table1567[[#This Row],[Age]])</f>
        <v>CUST870-46</v>
      </c>
      <c r="S871" s="4" t="str">
        <f>TEXT(Table1567[[#This Row],[Date]],"mmm")</f>
        <v>Jul</v>
      </c>
      <c r="T871" s="4" t="str">
        <f>TEXT(Table1567[[#This Row],[Date]],"DDD")</f>
        <v>Sat</v>
      </c>
    </row>
    <row r="872" spans="1:20" ht="29" x14ac:dyDescent="0.35">
      <c r="A872" s="4">
        <v>871</v>
      </c>
      <c r="B872" s="5">
        <v>45169</v>
      </c>
      <c r="C872" s="4" t="s">
        <v>884</v>
      </c>
      <c r="D872" s="4" t="s">
        <v>10</v>
      </c>
      <c r="E872" s="4">
        <v>62</v>
      </c>
      <c r="F872" s="4" t="str">
        <f>IF(Table1567[[#This Row],[Age]]&lt;=19,"Teenager",IF(Table1567[[#This Row],[Age]]&lt;=40,"Median","Old"))</f>
        <v>Old</v>
      </c>
      <c r="G872" s="4" t="s">
        <v>11</v>
      </c>
      <c r="H872" s="4">
        <v>2</v>
      </c>
      <c r="I872" s="4">
        <v>30</v>
      </c>
      <c r="J872" s="4">
        <v>60</v>
      </c>
      <c r="K872" s="4" t="str" cm="1">
        <f t="array" ref="K872">_xlfn.IFS(AND(Table1567[[#This Row],[Total Amount]]&gt;=1500),"Critical",AND(Table1567[[#This Row],[Total Amount]]&gt;=1000),"High",TRUE,"Normal")</f>
        <v>Normal</v>
      </c>
      <c r="L872" s="4" t="str">
        <f>IF(Table1567[[#This Row],[Total Amount]]&gt;=1000,"High",(IF(Table1567[[#This Row],[Total Amount]]&gt;=500,"Medium","Low")))</f>
        <v>Low</v>
      </c>
      <c r="M872" s="4" t="str" cm="1">
        <f t="array" ref="M87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72" s="4" cm="1">
        <f t="array" ref="N87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872" s="4">
        <f>Table1567[[#This Row],[Total Amount]]-Table1567[[#This Row],[Discount Amount]]</f>
        <v>54</v>
      </c>
      <c r="P872" s="4" t="str">
        <f>IF(Table1567[[#This Row],[Total Amount]]&gt;=1000,"High","Low")</f>
        <v>Low</v>
      </c>
      <c r="Q872" s="4" t="str" cm="1">
        <f t="array" ref="Q872">_xlfn.IFS(AND(Table1567[[#This Row],[Total Amount]]&gt;=1500,"Critical"),AND(Table1567[[#This Row],[Total Amount]]&gt;=1000,"High"),TRUE,"Normal")</f>
        <v>Normal</v>
      </c>
      <c r="R872" s="4" t="str">
        <f>CONCATENATE(Table1567[[#This Row],[Customer ID]], "-",Table1567[[#This Row],[Age]])</f>
        <v>CUST871-62</v>
      </c>
      <c r="S872" s="4" t="str">
        <f>TEXT(Table1567[[#This Row],[Date]],"mmm")</f>
        <v>Aug</v>
      </c>
      <c r="T872" s="4" t="str">
        <f>TEXT(Table1567[[#This Row],[Date]],"DDD")</f>
        <v>Thu</v>
      </c>
    </row>
    <row r="873" spans="1:20" ht="29" x14ac:dyDescent="0.35">
      <c r="A873" s="4">
        <v>872</v>
      </c>
      <c r="B873" s="5">
        <v>45210</v>
      </c>
      <c r="C873" s="4" t="s">
        <v>885</v>
      </c>
      <c r="D873" s="4" t="s">
        <v>13</v>
      </c>
      <c r="E873" s="4">
        <v>63</v>
      </c>
      <c r="F873" s="4" t="str">
        <f>IF(Table1567[[#This Row],[Age]]&lt;=19,"Teenager",IF(Table1567[[#This Row],[Age]]&lt;=40,"Median","Old"))</f>
        <v>Old</v>
      </c>
      <c r="G873" s="4" t="s">
        <v>11</v>
      </c>
      <c r="H873" s="4">
        <v>3</v>
      </c>
      <c r="I873" s="4">
        <v>25</v>
      </c>
      <c r="J873" s="4">
        <v>75</v>
      </c>
      <c r="K873" s="4" t="str" cm="1">
        <f t="array" ref="K873">_xlfn.IFS(AND(Table1567[[#This Row],[Total Amount]]&gt;=1500),"Critical",AND(Table1567[[#This Row],[Total Amount]]&gt;=1000),"High",TRUE,"Normal")</f>
        <v>Normal</v>
      </c>
      <c r="L873" s="4" t="str">
        <f>IF(Table1567[[#This Row],[Total Amount]]&gt;=1000,"High",(IF(Table1567[[#This Row],[Total Amount]]&gt;=500,"Medium","Low")))</f>
        <v>Low</v>
      </c>
      <c r="M873" s="4" t="str" cm="1">
        <f t="array" ref="M87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73" s="4" cm="1">
        <f t="array" ref="N87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873" s="4">
        <f>Table1567[[#This Row],[Total Amount]]-Table1567[[#This Row],[Discount Amount]]</f>
        <v>60</v>
      </c>
      <c r="P873" s="4" t="str">
        <f>IF(Table1567[[#This Row],[Total Amount]]&gt;=1000,"High","Low")</f>
        <v>Low</v>
      </c>
      <c r="Q873" s="4" t="str" cm="1">
        <f t="array" ref="Q873">_xlfn.IFS(AND(Table1567[[#This Row],[Total Amount]]&gt;=1500,"Critical"),AND(Table1567[[#This Row],[Total Amount]]&gt;=1000,"High"),TRUE,"Normal")</f>
        <v>Normal</v>
      </c>
      <c r="R873" s="4" t="str">
        <f>CONCATENATE(Table1567[[#This Row],[Customer ID]], "-",Table1567[[#This Row],[Age]])</f>
        <v>CUST872-63</v>
      </c>
      <c r="S873" s="4" t="str">
        <f>TEXT(Table1567[[#This Row],[Date]],"mmm")</f>
        <v>Oct</v>
      </c>
      <c r="T873" s="4" t="str">
        <f>TEXT(Table1567[[#This Row],[Date]],"DDD")</f>
        <v>Wed</v>
      </c>
    </row>
    <row r="874" spans="1:20" ht="29" x14ac:dyDescent="0.35">
      <c r="A874" s="4">
        <v>873</v>
      </c>
      <c r="B874" s="5">
        <v>45198</v>
      </c>
      <c r="C874" s="4" t="s">
        <v>886</v>
      </c>
      <c r="D874" s="4" t="s">
        <v>13</v>
      </c>
      <c r="E874" s="4">
        <v>27</v>
      </c>
      <c r="F874" s="4" t="str">
        <f>IF(Table1567[[#This Row],[Age]]&lt;=19,"Teenager",IF(Table1567[[#This Row],[Age]]&lt;=40,"Median","Old"))</f>
        <v>Median</v>
      </c>
      <c r="G874" s="4" t="s">
        <v>16</v>
      </c>
      <c r="H874" s="4">
        <v>4</v>
      </c>
      <c r="I874" s="4">
        <v>25</v>
      </c>
      <c r="J874" s="4">
        <v>100</v>
      </c>
      <c r="K874" s="4" t="str" cm="1">
        <f t="array" ref="K874">_xlfn.IFS(AND(Table1567[[#This Row],[Total Amount]]&gt;=1500),"Critical",AND(Table1567[[#This Row],[Total Amount]]&gt;=1000),"High",TRUE,"Normal")</f>
        <v>Normal</v>
      </c>
      <c r="L874" s="4" t="str">
        <f>IF(Table1567[[#This Row],[Total Amount]]&gt;=1000,"High",(IF(Table1567[[#This Row],[Total Amount]]&gt;=500,"Medium","Low")))</f>
        <v>Low</v>
      </c>
      <c r="M874" s="4" t="str" cm="1">
        <f t="array" ref="M87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74" s="4" cm="1">
        <f t="array" ref="N87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874" s="4">
        <f>Table1567[[#This Row],[Total Amount]]-Table1567[[#This Row],[Discount Amount]]</f>
        <v>85</v>
      </c>
      <c r="P874" s="4" t="str">
        <f>IF(Table1567[[#This Row],[Total Amount]]&gt;=1000,"High","Low")</f>
        <v>Low</v>
      </c>
      <c r="Q874" s="4" t="str" cm="1">
        <f t="array" ref="Q874">_xlfn.IFS(AND(Table1567[[#This Row],[Total Amount]]&gt;=1500,"Critical"),AND(Table1567[[#This Row],[Total Amount]]&gt;=1000,"High"),TRUE,"Normal")</f>
        <v>Normal</v>
      </c>
      <c r="R874" s="4" t="str">
        <f>CONCATENATE(Table1567[[#This Row],[Customer ID]], "-",Table1567[[#This Row],[Age]])</f>
        <v>CUST873-27</v>
      </c>
      <c r="S874" s="4" t="str">
        <f>TEXT(Table1567[[#This Row],[Date]],"mmm")</f>
        <v>Sep</v>
      </c>
      <c r="T874" s="4" t="str">
        <f>TEXT(Table1567[[#This Row],[Date]],"DDD")</f>
        <v>Fri</v>
      </c>
    </row>
    <row r="875" spans="1:20" ht="29" x14ac:dyDescent="0.35">
      <c r="A875" s="4">
        <v>874</v>
      </c>
      <c r="B875" s="5">
        <v>45103</v>
      </c>
      <c r="C875" s="4" t="s">
        <v>887</v>
      </c>
      <c r="D875" s="4" t="s">
        <v>10</v>
      </c>
      <c r="E875" s="4">
        <v>60</v>
      </c>
      <c r="F875" s="4" t="str">
        <f>IF(Table1567[[#This Row],[Age]]&lt;=19,"Teenager",IF(Table1567[[#This Row],[Age]]&lt;=40,"Median","Old"))</f>
        <v>Old</v>
      </c>
      <c r="G875" s="4" t="s">
        <v>11</v>
      </c>
      <c r="H875" s="4">
        <v>1</v>
      </c>
      <c r="I875" s="4">
        <v>30</v>
      </c>
      <c r="J875" s="4">
        <v>30</v>
      </c>
      <c r="K875" s="4" t="str" cm="1">
        <f t="array" ref="K875">_xlfn.IFS(AND(Table1567[[#This Row],[Total Amount]]&gt;=1500),"Critical",AND(Table1567[[#This Row],[Total Amount]]&gt;=1000),"High",TRUE,"Normal")</f>
        <v>Normal</v>
      </c>
      <c r="L875" s="4" t="str">
        <f>IF(Table1567[[#This Row],[Total Amount]]&gt;=1000,"High",(IF(Table1567[[#This Row],[Total Amount]]&gt;=500,"Medium","Low")))</f>
        <v>Low</v>
      </c>
      <c r="M875" s="4" t="str" cm="1">
        <f t="array" ref="M87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75" s="4" cm="1">
        <f t="array" ref="N87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</v>
      </c>
      <c r="O875" s="4">
        <f>Table1567[[#This Row],[Total Amount]]-Table1567[[#This Row],[Discount Amount]]</f>
        <v>27</v>
      </c>
      <c r="P875" s="4" t="str">
        <f>IF(Table1567[[#This Row],[Total Amount]]&gt;=1000,"High","Low")</f>
        <v>Low</v>
      </c>
      <c r="Q875" s="4" t="str" cm="1">
        <f t="array" ref="Q875">_xlfn.IFS(AND(Table1567[[#This Row],[Total Amount]]&gt;=1500,"Critical"),AND(Table1567[[#This Row],[Total Amount]]&gt;=1000,"High"),TRUE,"Normal")</f>
        <v>Normal</v>
      </c>
      <c r="R875" s="4" t="str">
        <f>CONCATENATE(Table1567[[#This Row],[Customer ID]], "-",Table1567[[#This Row],[Age]])</f>
        <v>CUST874-60</v>
      </c>
      <c r="S875" s="4" t="str">
        <f>TEXT(Table1567[[#This Row],[Date]],"mmm")</f>
        <v>Jun</v>
      </c>
      <c r="T875" s="4" t="str">
        <f>TEXT(Table1567[[#This Row],[Date]],"DDD")</f>
        <v>Mon</v>
      </c>
    </row>
    <row r="876" spans="1:20" ht="29" x14ac:dyDescent="0.35">
      <c r="A876" s="4">
        <v>875</v>
      </c>
      <c r="B876" s="5">
        <v>45144</v>
      </c>
      <c r="C876" s="4" t="s">
        <v>888</v>
      </c>
      <c r="D876" s="4" t="s">
        <v>13</v>
      </c>
      <c r="E876" s="4">
        <v>51</v>
      </c>
      <c r="F876" s="4" t="str">
        <f>IF(Table1567[[#This Row],[Age]]&lt;=19,"Teenager",IF(Table1567[[#This Row],[Age]]&lt;=40,"Median","Old"))</f>
        <v>Old</v>
      </c>
      <c r="G876" s="4" t="s">
        <v>16</v>
      </c>
      <c r="H876" s="4">
        <v>4</v>
      </c>
      <c r="I876" s="4">
        <v>500</v>
      </c>
      <c r="J876" s="4">
        <v>2000</v>
      </c>
      <c r="K876" s="4" t="str" cm="1">
        <f t="array" ref="K876">_xlfn.IFS(AND(Table1567[[#This Row],[Total Amount]]&gt;=1500),"Critical",AND(Table1567[[#This Row],[Total Amount]]&gt;=1000),"High",TRUE,"Normal")</f>
        <v>Critical</v>
      </c>
      <c r="L876" s="4" t="str">
        <f>IF(Table1567[[#This Row],[Total Amount]]&gt;=1000,"High",(IF(Table1567[[#This Row],[Total Amount]]&gt;=500,"Medium","Low")))</f>
        <v>High</v>
      </c>
      <c r="M876" s="4" t="str" cm="1">
        <f t="array" ref="M87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76" s="4" cm="1">
        <f t="array" ref="N87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400</v>
      </c>
      <c r="O876" s="4">
        <f>Table1567[[#This Row],[Total Amount]]-Table1567[[#This Row],[Discount Amount]]</f>
        <v>1600</v>
      </c>
      <c r="P876" s="4" t="str">
        <f>IF(Table1567[[#This Row],[Total Amount]]&gt;=1000,"High","Low")</f>
        <v>High</v>
      </c>
      <c r="Q876" s="4" t="b" cm="1">
        <f t="array" ref="Q876">_xlfn.IFS(AND(Table1567[[#This Row],[Total Amount]]&gt;=1500,"Critical"),AND(Table1567[[#This Row],[Total Amount]]&gt;=1000,"High"),TRUE,"Normal")</f>
        <v>1</v>
      </c>
      <c r="R876" s="4" t="str">
        <f>CONCATENATE(Table1567[[#This Row],[Customer ID]], "-",Table1567[[#This Row],[Age]])</f>
        <v>CUST875-51</v>
      </c>
      <c r="S876" s="4" t="str">
        <f>TEXT(Table1567[[#This Row],[Date]],"mmm")</f>
        <v>Aug</v>
      </c>
      <c r="T876" s="4" t="str">
        <f>TEXT(Table1567[[#This Row],[Date]],"DDD")</f>
        <v>Sun</v>
      </c>
    </row>
    <row r="877" spans="1:20" ht="29" x14ac:dyDescent="0.35">
      <c r="A877" s="4">
        <v>876</v>
      </c>
      <c r="B877" s="5">
        <v>45208</v>
      </c>
      <c r="C877" s="4" t="s">
        <v>889</v>
      </c>
      <c r="D877" s="4" t="s">
        <v>10</v>
      </c>
      <c r="E877" s="4">
        <v>43</v>
      </c>
      <c r="F877" s="4" t="str">
        <f>IF(Table1567[[#This Row],[Age]]&lt;=19,"Teenager",IF(Table1567[[#This Row],[Age]]&lt;=40,"Median","Old"))</f>
        <v>Old</v>
      </c>
      <c r="G877" s="4" t="s">
        <v>14</v>
      </c>
      <c r="H877" s="4">
        <v>4</v>
      </c>
      <c r="I877" s="4">
        <v>30</v>
      </c>
      <c r="J877" s="4">
        <v>120</v>
      </c>
      <c r="K877" s="4" t="str" cm="1">
        <f t="array" ref="K877">_xlfn.IFS(AND(Table1567[[#This Row],[Total Amount]]&gt;=1500),"Critical",AND(Table1567[[#This Row],[Total Amount]]&gt;=1000),"High",TRUE,"Normal")</f>
        <v>Normal</v>
      </c>
      <c r="L877" s="4" t="str">
        <f>IF(Table1567[[#This Row],[Total Amount]]&gt;=1000,"High",(IF(Table1567[[#This Row],[Total Amount]]&gt;=500,"Medium","Low")))</f>
        <v>Low</v>
      </c>
      <c r="M877" s="4" t="str" cm="1">
        <f t="array" ref="M87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77" s="4" cm="1">
        <f t="array" ref="N87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877" s="4">
        <f>Table1567[[#This Row],[Total Amount]]-Table1567[[#This Row],[Discount Amount]]</f>
        <v>108</v>
      </c>
      <c r="P877" s="4" t="str">
        <f>IF(Table1567[[#This Row],[Total Amount]]&gt;=1000,"High","Low")</f>
        <v>Low</v>
      </c>
      <c r="Q877" s="4" t="str" cm="1">
        <f t="array" ref="Q877">_xlfn.IFS(AND(Table1567[[#This Row],[Total Amount]]&gt;=1500,"Critical"),AND(Table1567[[#This Row],[Total Amount]]&gt;=1000,"High"),TRUE,"Normal")</f>
        <v>Normal</v>
      </c>
      <c r="R877" s="4" t="str">
        <f>CONCATENATE(Table1567[[#This Row],[Customer ID]], "-",Table1567[[#This Row],[Age]])</f>
        <v>CUST876-43</v>
      </c>
      <c r="S877" s="4" t="str">
        <f>TEXT(Table1567[[#This Row],[Date]],"mmm")</f>
        <v>Oct</v>
      </c>
      <c r="T877" s="4" t="str">
        <f>TEXT(Table1567[[#This Row],[Date]],"DDD")</f>
        <v>Mon</v>
      </c>
    </row>
    <row r="878" spans="1:20" ht="29" x14ac:dyDescent="0.35">
      <c r="A878" s="4">
        <v>877</v>
      </c>
      <c r="B878" s="5">
        <v>45096</v>
      </c>
      <c r="C878" s="4" t="s">
        <v>890</v>
      </c>
      <c r="D878" s="4" t="s">
        <v>13</v>
      </c>
      <c r="E878" s="4">
        <v>58</v>
      </c>
      <c r="F878" s="4" t="str">
        <f>IF(Table1567[[#This Row],[Age]]&lt;=19,"Teenager",IF(Table1567[[#This Row],[Age]]&lt;=40,"Median","Old"))</f>
        <v>Old</v>
      </c>
      <c r="G878" s="4" t="s">
        <v>14</v>
      </c>
      <c r="H878" s="4">
        <v>1</v>
      </c>
      <c r="I878" s="4">
        <v>25</v>
      </c>
      <c r="J878" s="4">
        <v>25</v>
      </c>
      <c r="K878" s="4" t="str" cm="1">
        <f t="array" ref="K878">_xlfn.IFS(AND(Table1567[[#This Row],[Total Amount]]&gt;=1500),"Critical",AND(Table1567[[#This Row],[Total Amount]]&gt;=1000),"High",TRUE,"Normal")</f>
        <v>Normal</v>
      </c>
      <c r="L878" s="4" t="str">
        <f>IF(Table1567[[#This Row],[Total Amount]]&gt;=1000,"High",(IF(Table1567[[#This Row],[Total Amount]]&gt;=500,"Medium","Low")))</f>
        <v>Low</v>
      </c>
      <c r="M878" s="4" t="str" cm="1">
        <f t="array" ref="M87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78" s="4" cm="1">
        <f t="array" ref="N87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878" s="4">
        <f>Table1567[[#This Row],[Total Amount]]-Table1567[[#This Row],[Discount Amount]]</f>
        <v>20</v>
      </c>
      <c r="P878" s="4" t="str">
        <f>IF(Table1567[[#This Row],[Total Amount]]&gt;=1000,"High","Low")</f>
        <v>Low</v>
      </c>
      <c r="Q878" s="4" t="str" cm="1">
        <f t="array" ref="Q878">_xlfn.IFS(AND(Table1567[[#This Row],[Total Amount]]&gt;=1500,"Critical"),AND(Table1567[[#This Row],[Total Amount]]&gt;=1000,"High"),TRUE,"Normal")</f>
        <v>Normal</v>
      </c>
      <c r="R878" s="4" t="str">
        <f>CONCATENATE(Table1567[[#This Row],[Customer ID]], "-",Table1567[[#This Row],[Age]])</f>
        <v>CUST877-58</v>
      </c>
      <c r="S878" s="4" t="str">
        <f>TEXT(Table1567[[#This Row],[Date]],"mmm")</f>
        <v>Jun</v>
      </c>
      <c r="T878" s="4" t="str">
        <f>TEXT(Table1567[[#This Row],[Date]],"DDD")</f>
        <v>Mon</v>
      </c>
    </row>
    <row r="879" spans="1:20" ht="29" x14ac:dyDescent="0.35">
      <c r="A879" s="4">
        <v>878</v>
      </c>
      <c r="B879" s="5">
        <v>45107</v>
      </c>
      <c r="C879" s="4" t="s">
        <v>891</v>
      </c>
      <c r="D879" s="4" t="s">
        <v>13</v>
      </c>
      <c r="E879" s="4">
        <v>20</v>
      </c>
      <c r="F879" s="4" t="str">
        <f>IF(Table1567[[#This Row],[Age]]&lt;=19,"Teenager",IF(Table1567[[#This Row],[Age]]&lt;=40,"Median","Old"))</f>
        <v>Median</v>
      </c>
      <c r="G879" s="4" t="s">
        <v>14</v>
      </c>
      <c r="H879" s="4">
        <v>1</v>
      </c>
      <c r="I879" s="4">
        <v>30</v>
      </c>
      <c r="J879" s="4">
        <v>30</v>
      </c>
      <c r="K879" s="4" t="str" cm="1">
        <f t="array" ref="K879">_xlfn.IFS(AND(Table1567[[#This Row],[Total Amount]]&gt;=1500),"Critical",AND(Table1567[[#This Row],[Total Amount]]&gt;=1000),"High",TRUE,"Normal")</f>
        <v>Normal</v>
      </c>
      <c r="L879" s="4" t="str">
        <f>IF(Table1567[[#This Row],[Total Amount]]&gt;=1000,"High",(IF(Table1567[[#This Row],[Total Amount]]&gt;=500,"Medium","Low")))</f>
        <v>Low</v>
      </c>
      <c r="M879" s="4" t="str" cm="1">
        <f t="array" ref="M87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879" s="4" cm="1">
        <f t="array" ref="N87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879" s="4">
        <f>Table1567[[#This Row],[Total Amount]]-Table1567[[#This Row],[Discount Amount]]</f>
        <v>30</v>
      </c>
      <c r="P879" s="4" t="str">
        <f>IF(Table1567[[#This Row],[Total Amount]]&gt;=1000,"High","Low")</f>
        <v>Low</v>
      </c>
      <c r="Q879" s="4" t="str" cm="1">
        <f t="array" ref="Q879">_xlfn.IFS(AND(Table1567[[#This Row],[Total Amount]]&gt;=1500,"Critical"),AND(Table1567[[#This Row],[Total Amount]]&gt;=1000,"High"),TRUE,"Normal")</f>
        <v>Normal</v>
      </c>
      <c r="R879" s="4" t="str">
        <f>CONCATENATE(Table1567[[#This Row],[Customer ID]], "-",Table1567[[#This Row],[Age]])</f>
        <v>CUST878-20</v>
      </c>
      <c r="S879" s="4" t="str">
        <f>TEXT(Table1567[[#This Row],[Date]],"mmm")</f>
        <v>Jun</v>
      </c>
      <c r="T879" s="4" t="str">
        <f>TEXT(Table1567[[#This Row],[Date]],"DDD")</f>
        <v>Fri</v>
      </c>
    </row>
    <row r="880" spans="1:20" ht="29" x14ac:dyDescent="0.35">
      <c r="A880" s="4">
        <v>879</v>
      </c>
      <c r="B880" s="5">
        <v>45286</v>
      </c>
      <c r="C880" s="4" t="s">
        <v>892</v>
      </c>
      <c r="D880" s="4" t="s">
        <v>10</v>
      </c>
      <c r="E880" s="4">
        <v>23</v>
      </c>
      <c r="F880" s="4" t="str">
        <f>IF(Table1567[[#This Row],[Age]]&lt;=19,"Teenager",IF(Table1567[[#This Row],[Age]]&lt;=40,"Median","Old"))</f>
        <v>Median</v>
      </c>
      <c r="G880" s="4" t="s">
        <v>14</v>
      </c>
      <c r="H880" s="4">
        <v>1</v>
      </c>
      <c r="I880" s="4">
        <v>30</v>
      </c>
      <c r="J880" s="4">
        <v>30</v>
      </c>
      <c r="K880" s="4" t="str" cm="1">
        <f t="array" ref="K880">_xlfn.IFS(AND(Table1567[[#This Row],[Total Amount]]&gt;=1500),"Critical",AND(Table1567[[#This Row],[Total Amount]]&gt;=1000),"High",TRUE,"Normal")</f>
        <v>Normal</v>
      </c>
      <c r="L880" s="4" t="str">
        <f>IF(Table1567[[#This Row],[Total Amount]]&gt;=1000,"High",(IF(Table1567[[#This Row],[Total Amount]]&gt;=500,"Medium","Low")))</f>
        <v>Low</v>
      </c>
      <c r="M880" s="4" t="str" cm="1">
        <f t="array" ref="M88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880" s="4" cm="1">
        <f t="array" ref="N88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880" s="4">
        <f>Table1567[[#This Row],[Total Amount]]-Table1567[[#This Row],[Discount Amount]]</f>
        <v>30</v>
      </c>
      <c r="P880" s="4" t="str">
        <f>IF(Table1567[[#This Row],[Total Amount]]&gt;=1000,"High","Low")</f>
        <v>Low</v>
      </c>
      <c r="Q880" s="4" t="str" cm="1">
        <f t="array" ref="Q880">_xlfn.IFS(AND(Table1567[[#This Row],[Total Amount]]&gt;=1500,"Critical"),AND(Table1567[[#This Row],[Total Amount]]&gt;=1000,"High"),TRUE,"Normal")</f>
        <v>Normal</v>
      </c>
      <c r="R880" s="4" t="str">
        <f>CONCATENATE(Table1567[[#This Row],[Customer ID]], "-",Table1567[[#This Row],[Age]])</f>
        <v>CUST879-23</v>
      </c>
      <c r="S880" s="4" t="str">
        <f>TEXT(Table1567[[#This Row],[Date]],"mmm")</f>
        <v>Dec</v>
      </c>
      <c r="T880" s="4" t="str">
        <f>TEXT(Table1567[[#This Row],[Date]],"DDD")</f>
        <v>Tue</v>
      </c>
    </row>
    <row r="881" spans="1:20" ht="29" x14ac:dyDescent="0.35">
      <c r="A881" s="4">
        <v>880</v>
      </c>
      <c r="B881" s="5">
        <v>45159</v>
      </c>
      <c r="C881" s="4" t="s">
        <v>893</v>
      </c>
      <c r="D881" s="4" t="s">
        <v>10</v>
      </c>
      <c r="E881" s="4">
        <v>22</v>
      </c>
      <c r="F881" s="4" t="str">
        <f>IF(Table1567[[#This Row],[Age]]&lt;=19,"Teenager",IF(Table1567[[#This Row],[Age]]&lt;=40,"Median","Old"))</f>
        <v>Median</v>
      </c>
      <c r="G881" s="4" t="s">
        <v>11</v>
      </c>
      <c r="H881" s="4">
        <v>2</v>
      </c>
      <c r="I881" s="4">
        <v>500</v>
      </c>
      <c r="J881" s="4">
        <v>1000</v>
      </c>
      <c r="K881" s="4" t="str" cm="1">
        <f t="array" ref="K881">_xlfn.IFS(AND(Table1567[[#This Row],[Total Amount]]&gt;=1500),"Critical",AND(Table1567[[#This Row],[Total Amount]]&gt;=1000),"High",TRUE,"Normal")</f>
        <v>High</v>
      </c>
      <c r="L881" s="4" t="str">
        <f>IF(Table1567[[#This Row],[Total Amount]]&gt;=1000,"High",(IF(Table1567[[#This Row],[Total Amount]]&gt;=500,"Medium","Low")))</f>
        <v>High</v>
      </c>
      <c r="M881" s="4" t="str" cm="1">
        <f t="array" ref="M88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881" s="4" cm="1">
        <f t="array" ref="N88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881" s="4">
        <f>Table1567[[#This Row],[Total Amount]]-Table1567[[#This Row],[Discount Amount]]</f>
        <v>1000</v>
      </c>
      <c r="P881" s="4" t="str">
        <f>IF(Table1567[[#This Row],[Total Amount]]&gt;=1000,"High","Low")</f>
        <v>High</v>
      </c>
      <c r="Q881" s="4" t="str" cm="1">
        <f t="array" ref="Q881">_xlfn.IFS(AND(Table1567[[#This Row],[Total Amount]]&gt;=1500,"Critical"),AND(Table1567[[#This Row],[Total Amount]]&gt;=1000,"High"),TRUE,"Normal")</f>
        <v>Normal</v>
      </c>
      <c r="R881" s="4" t="str">
        <f>CONCATENATE(Table1567[[#This Row],[Customer ID]], "-",Table1567[[#This Row],[Age]])</f>
        <v>CUST880-22</v>
      </c>
      <c r="S881" s="4" t="str">
        <f>TEXT(Table1567[[#This Row],[Date]],"mmm")</f>
        <v>Aug</v>
      </c>
      <c r="T881" s="4" t="str">
        <f>TEXT(Table1567[[#This Row],[Date]],"DDD")</f>
        <v>Mon</v>
      </c>
    </row>
    <row r="882" spans="1:20" ht="29" x14ac:dyDescent="0.35">
      <c r="A882" s="4">
        <v>881</v>
      </c>
      <c r="B882" s="5">
        <v>45065</v>
      </c>
      <c r="C882" s="4" t="s">
        <v>894</v>
      </c>
      <c r="D882" s="4" t="s">
        <v>10</v>
      </c>
      <c r="E882" s="4">
        <v>22</v>
      </c>
      <c r="F882" s="4" t="str">
        <f>IF(Table1567[[#This Row],[Age]]&lt;=19,"Teenager",IF(Table1567[[#This Row],[Age]]&lt;=40,"Median","Old"))</f>
        <v>Median</v>
      </c>
      <c r="G882" s="4" t="s">
        <v>16</v>
      </c>
      <c r="H882" s="4">
        <v>1</v>
      </c>
      <c r="I882" s="4">
        <v>300</v>
      </c>
      <c r="J882" s="4">
        <v>300</v>
      </c>
      <c r="K882" s="4" t="str" cm="1">
        <f t="array" ref="K882">_xlfn.IFS(AND(Table1567[[#This Row],[Total Amount]]&gt;=1500),"Critical",AND(Table1567[[#This Row],[Total Amount]]&gt;=1000),"High",TRUE,"Normal")</f>
        <v>Normal</v>
      </c>
      <c r="L882" s="4" t="str">
        <f>IF(Table1567[[#This Row],[Total Amount]]&gt;=1000,"High",(IF(Table1567[[#This Row],[Total Amount]]&gt;=500,"Medium","Low")))</f>
        <v>Low</v>
      </c>
      <c r="M882" s="4" t="str" cm="1">
        <f t="array" ref="M88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882" s="4" cm="1">
        <f t="array" ref="N88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882" s="4">
        <f>Table1567[[#This Row],[Total Amount]]-Table1567[[#This Row],[Discount Amount]]</f>
        <v>300</v>
      </c>
      <c r="P882" s="4" t="str">
        <f>IF(Table1567[[#This Row],[Total Amount]]&gt;=1000,"High","Low")</f>
        <v>Low</v>
      </c>
      <c r="Q882" s="4" t="str" cm="1">
        <f t="array" ref="Q882">_xlfn.IFS(AND(Table1567[[#This Row],[Total Amount]]&gt;=1500,"Critical"),AND(Table1567[[#This Row],[Total Amount]]&gt;=1000,"High"),TRUE,"Normal")</f>
        <v>Normal</v>
      </c>
      <c r="R882" s="4" t="str">
        <f>CONCATENATE(Table1567[[#This Row],[Customer ID]], "-",Table1567[[#This Row],[Age]])</f>
        <v>CUST881-22</v>
      </c>
      <c r="S882" s="4" t="str">
        <f>TEXT(Table1567[[#This Row],[Date]],"mmm")</f>
        <v>May</v>
      </c>
      <c r="T882" s="4" t="str">
        <f>TEXT(Table1567[[#This Row],[Date]],"DDD")</f>
        <v>Fri</v>
      </c>
    </row>
    <row r="883" spans="1:20" ht="29" x14ac:dyDescent="0.35">
      <c r="A883" s="4">
        <v>882</v>
      </c>
      <c r="B883" s="5">
        <v>45083</v>
      </c>
      <c r="C883" s="4" t="s">
        <v>895</v>
      </c>
      <c r="D883" s="4" t="s">
        <v>13</v>
      </c>
      <c r="E883" s="4">
        <v>64</v>
      </c>
      <c r="F883" s="4" t="str">
        <f>IF(Table1567[[#This Row],[Age]]&lt;=19,"Teenager",IF(Table1567[[#This Row],[Age]]&lt;=40,"Median","Old"))</f>
        <v>Old</v>
      </c>
      <c r="G883" s="4" t="s">
        <v>16</v>
      </c>
      <c r="H883" s="4">
        <v>2</v>
      </c>
      <c r="I883" s="4">
        <v>25</v>
      </c>
      <c r="J883" s="4">
        <v>50</v>
      </c>
      <c r="K883" s="4" t="str" cm="1">
        <f t="array" ref="K883">_xlfn.IFS(AND(Table1567[[#This Row],[Total Amount]]&gt;=1500),"Critical",AND(Table1567[[#This Row],[Total Amount]]&gt;=1000),"High",TRUE,"Normal")</f>
        <v>Normal</v>
      </c>
      <c r="L883" s="4" t="str">
        <f>IF(Table1567[[#This Row],[Total Amount]]&gt;=1000,"High",(IF(Table1567[[#This Row],[Total Amount]]&gt;=500,"Medium","Low")))</f>
        <v>Low</v>
      </c>
      <c r="M883" s="4" t="str" cm="1">
        <f t="array" ref="M88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83" s="4" cm="1">
        <f t="array" ref="N88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883" s="4">
        <f>Table1567[[#This Row],[Total Amount]]-Table1567[[#This Row],[Discount Amount]]</f>
        <v>40</v>
      </c>
      <c r="P883" s="4" t="str">
        <f>IF(Table1567[[#This Row],[Total Amount]]&gt;=1000,"High","Low")</f>
        <v>Low</v>
      </c>
      <c r="Q883" s="4" t="str" cm="1">
        <f t="array" ref="Q883">_xlfn.IFS(AND(Table1567[[#This Row],[Total Amount]]&gt;=1500,"Critical"),AND(Table1567[[#This Row],[Total Amount]]&gt;=1000,"High"),TRUE,"Normal")</f>
        <v>Normal</v>
      </c>
      <c r="R883" s="4" t="str">
        <f>CONCATENATE(Table1567[[#This Row],[Customer ID]], "-",Table1567[[#This Row],[Age]])</f>
        <v>CUST882-64</v>
      </c>
      <c r="S883" s="4" t="str">
        <f>TEXT(Table1567[[#This Row],[Date]],"mmm")</f>
        <v>Jun</v>
      </c>
      <c r="T883" s="4" t="str">
        <f>TEXT(Table1567[[#This Row],[Date]],"DDD")</f>
        <v>Tue</v>
      </c>
    </row>
    <row r="884" spans="1:20" ht="29" x14ac:dyDescent="0.35">
      <c r="A884" s="4">
        <v>883</v>
      </c>
      <c r="B884" s="5">
        <v>45055</v>
      </c>
      <c r="C884" s="4" t="s">
        <v>896</v>
      </c>
      <c r="D884" s="4" t="s">
        <v>10</v>
      </c>
      <c r="E884" s="4">
        <v>40</v>
      </c>
      <c r="F884" s="4" t="str">
        <f>IF(Table1567[[#This Row],[Age]]&lt;=19,"Teenager",IF(Table1567[[#This Row],[Age]]&lt;=40,"Median","Old"))</f>
        <v>Median</v>
      </c>
      <c r="G884" s="4" t="s">
        <v>16</v>
      </c>
      <c r="H884" s="4">
        <v>1</v>
      </c>
      <c r="I884" s="4">
        <v>500</v>
      </c>
      <c r="J884" s="4">
        <v>500</v>
      </c>
      <c r="K884" s="4" t="str" cm="1">
        <f t="array" ref="K884">_xlfn.IFS(AND(Table1567[[#This Row],[Total Amount]]&gt;=1500),"Critical",AND(Table1567[[#This Row],[Total Amount]]&gt;=1000),"High",TRUE,"Normal")</f>
        <v>Normal</v>
      </c>
      <c r="L884" s="4" t="str">
        <f>IF(Table1567[[#This Row],[Total Amount]]&gt;=1000,"High",(IF(Table1567[[#This Row],[Total Amount]]&gt;=500,"Medium","Low")))</f>
        <v>Medium</v>
      </c>
      <c r="M884" s="4" t="str" cm="1">
        <f t="array" ref="M88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84" s="4" cm="1">
        <f t="array" ref="N88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50</v>
      </c>
      <c r="O884" s="4">
        <f>Table1567[[#This Row],[Total Amount]]-Table1567[[#This Row],[Discount Amount]]</f>
        <v>450</v>
      </c>
      <c r="P884" s="4" t="str">
        <f>IF(Table1567[[#This Row],[Total Amount]]&gt;=1000,"High","Low")</f>
        <v>Low</v>
      </c>
      <c r="Q884" s="4" t="str" cm="1">
        <f t="array" ref="Q884">_xlfn.IFS(AND(Table1567[[#This Row],[Total Amount]]&gt;=1500,"Critical"),AND(Table1567[[#This Row],[Total Amount]]&gt;=1000,"High"),TRUE,"Normal")</f>
        <v>Normal</v>
      </c>
      <c r="R884" s="4" t="str">
        <f>CONCATENATE(Table1567[[#This Row],[Customer ID]], "-",Table1567[[#This Row],[Age]])</f>
        <v>CUST883-40</v>
      </c>
      <c r="S884" s="4" t="str">
        <f>TEXT(Table1567[[#This Row],[Date]],"mmm")</f>
        <v>May</v>
      </c>
      <c r="T884" s="4" t="str">
        <f>TEXT(Table1567[[#This Row],[Date]],"DDD")</f>
        <v>Tue</v>
      </c>
    </row>
    <row r="885" spans="1:20" ht="29" x14ac:dyDescent="0.35">
      <c r="A885" s="4">
        <v>884</v>
      </c>
      <c r="B885" s="5">
        <v>45045</v>
      </c>
      <c r="C885" s="4" t="s">
        <v>897</v>
      </c>
      <c r="D885" s="4" t="s">
        <v>13</v>
      </c>
      <c r="E885" s="4">
        <v>26</v>
      </c>
      <c r="F885" s="4" t="str">
        <f>IF(Table1567[[#This Row],[Age]]&lt;=19,"Teenager",IF(Table1567[[#This Row],[Age]]&lt;=40,"Median","Old"))</f>
        <v>Median</v>
      </c>
      <c r="G885" s="4" t="s">
        <v>14</v>
      </c>
      <c r="H885" s="4">
        <v>2</v>
      </c>
      <c r="I885" s="4">
        <v>30</v>
      </c>
      <c r="J885" s="4">
        <v>60</v>
      </c>
      <c r="K885" s="4" t="str" cm="1">
        <f t="array" ref="K885">_xlfn.IFS(AND(Table1567[[#This Row],[Total Amount]]&gt;=1500),"Critical",AND(Table1567[[#This Row],[Total Amount]]&gt;=1000),"High",TRUE,"Normal")</f>
        <v>Normal</v>
      </c>
      <c r="L885" s="4" t="str">
        <f>IF(Table1567[[#This Row],[Total Amount]]&gt;=1000,"High",(IF(Table1567[[#This Row],[Total Amount]]&gt;=500,"Medium","Low")))</f>
        <v>Low</v>
      </c>
      <c r="M885" s="4" t="str" cm="1">
        <f t="array" ref="M88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85" s="4" cm="1">
        <f t="array" ref="N88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</v>
      </c>
      <c r="O885" s="4">
        <f>Table1567[[#This Row],[Total Amount]]-Table1567[[#This Row],[Discount Amount]]</f>
        <v>51</v>
      </c>
      <c r="P885" s="4" t="str">
        <f>IF(Table1567[[#This Row],[Total Amount]]&gt;=1000,"High","Low")</f>
        <v>Low</v>
      </c>
      <c r="Q885" s="4" t="str" cm="1">
        <f t="array" ref="Q885">_xlfn.IFS(AND(Table1567[[#This Row],[Total Amount]]&gt;=1500,"Critical"),AND(Table1567[[#This Row],[Total Amount]]&gt;=1000,"High"),TRUE,"Normal")</f>
        <v>Normal</v>
      </c>
      <c r="R885" s="4" t="str">
        <f>CONCATENATE(Table1567[[#This Row],[Customer ID]], "-",Table1567[[#This Row],[Age]])</f>
        <v>CUST884-26</v>
      </c>
      <c r="S885" s="4" t="str">
        <f>TEXT(Table1567[[#This Row],[Date]],"mmm")</f>
        <v>Apr</v>
      </c>
      <c r="T885" s="4" t="str">
        <f>TEXT(Table1567[[#This Row],[Date]],"DDD")</f>
        <v>Sat</v>
      </c>
    </row>
    <row r="886" spans="1:20" ht="29" x14ac:dyDescent="0.35">
      <c r="A886" s="4">
        <v>885</v>
      </c>
      <c r="B886" s="5">
        <v>44988</v>
      </c>
      <c r="C886" s="4" t="s">
        <v>898</v>
      </c>
      <c r="D886" s="4" t="s">
        <v>13</v>
      </c>
      <c r="E886" s="4">
        <v>52</v>
      </c>
      <c r="F886" s="4" t="str">
        <f>IF(Table1567[[#This Row],[Age]]&lt;=19,"Teenager",IF(Table1567[[#This Row],[Age]]&lt;=40,"Median","Old"))</f>
        <v>Old</v>
      </c>
      <c r="G886" s="4" t="s">
        <v>14</v>
      </c>
      <c r="H886" s="4">
        <v>4</v>
      </c>
      <c r="I886" s="4">
        <v>30</v>
      </c>
      <c r="J886" s="4">
        <v>120</v>
      </c>
      <c r="K886" s="4" t="str" cm="1">
        <f t="array" ref="K886">_xlfn.IFS(AND(Table1567[[#This Row],[Total Amount]]&gt;=1500),"Critical",AND(Table1567[[#This Row],[Total Amount]]&gt;=1000),"High",TRUE,"Normal")</f>
        <v>Normal</v>
      </c>
      <c r="L886" s="4" t="str">
        <f>IF(Table1567[[#This Row],[Total Amount]]&gt;=1000,"High",(IF(Table1567[[#This Row],[Total Amount]]&gt;=500,"Medium","Low")))</f>
        <v>Low</v>
      </c>
      <c r="M886" s="4" t="str" cm="1">
        <f t="array" ref="M88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86" s="4" cm="1">
        <f t="array" ref="N88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</v>
      </c>
      <c r="O886" s="4">
        <f>Table1567[[#This Row],[Total Amount]]-Table1567[[#This Row],[Discount Amount]]</f>
        <v>96</v>
      </c>
      <c r="P886" s="4" t="str">
        <f>IF(Table1567[[#This Row],[Total Amount]]&gt;=1000,"High","Low")</f>
        <v>Low</v>
      </c>
      <c r="Q886" s="4" t="str" cm="1">
        <f t="array" ref="Q886">_xlfn.IFS(AND(Table1567[[#This Row],[Total Amount]]&gt;=1500,"Critical"),AND(Table1567[[#This Row],[Total Amount]]&gt;=1000,"High"),TRUE,"Normal")</f>
        <v>Normal</v>
      </c>
      <c r="R886" s="4" t="str">
        <f>CONCATENATE(Table1567[[#This Row],[Customer ID]], "-",Table1567[[#This Row],[Age]])</f>
        <v>CUST885-52</v>
      </c>
      <c r="S886" s="4" t="str">
        <f>TEXT(Table1567[[#This Row],[Date]],"mmm")</f>
        <v>Mar</v>
      </c>
      <c r="T886" s="4" t="str">
        <f>TEXT(Table1567[[#This Row],[Date]],"DDD")</f>
        <v>Fri</v>
      </c>
    </row>
    <row r="887" spans="1:20" ht="29" x14ac:dyDescent="0.35">
      <c r="A887" s="4">
        <v>886</v>
      </c>
      <c r="B887" s="5">
        <v>45025</v>
      </c>
      <c r="C887" s="4" t="s">
        <v>899</v>
      </c>
      <c r="D887" s="4" t="s">
        <v>10</v>
      </c>
      <c r="E887" s="4">
        <v>37</v>
      </c>
      <c r="F887" s="4" t="str">
        <f>IF(Table1567[[#This Row],[Age]]&lt;=19,"Teenager",IF(Table1567[[#This Row],[Age]]&lt;=40,"Median","Old"))</f>
        <v>Median</v>
      </c>
      <c r="G887" s="4" t="s">
        <v>16</v>
      </c>
      <c r="H887" s="4">
        <v>3</v>
      </c>
      <c r="I887" s="4">
        <v>300</v>
      </c>
      <c r="J887" s="4">
        <v>900</v>
      </c>
      <c r="K887" s="4" t="str" cm="1">
        <f t="array" ref="K887">_xlfn.IFS(AND(Table1567[[#This Row],[Total Amount]]&gt;=1500),"Critical",AND(Table1567[[#This Row],[Total Amount]]&gt;=1000),"High",TRUE,"Normal")</f>
        <v>Normal</v>
      </c>
      <c r="L887" s="4" t="str">
        <f>IF(Table1567[[#This Row],[Total Amount]]&gt;=1000,"High",(IF(Table1567[[#This Row],[Total Amount]]&gt;=500,"Medium","Low")))</f>
        <v>Medium</v>
      </c>
      <c r="M887" s="4" t="str" cm="1">
        <f t="array" ref="M88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87" s="4" cm="1">
        <f t="array" ref="N88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887" s="4">
        <f>Table1567[[#This Row],[Total Amount]]-Table1567[[#This Row],[Discount Amount]]</f>
        <v>810</v>
      </c>
      <c r="P887" s="4" t="str">
        <f>IF(Table1567[[#This Row],[Total Amount]]&gt;=1000,"High","Low")</f>
        <v>Low</v>
      </c>
      <c r="Q887" s="4" t="str" cm="1">
        <f t="array" ref="Q887">_xlfn.IFS(AND(Table1567[[#This Row],[Total Amount]]&gt;=1500,"Critical"),AND(Table1567[[#This Row],[Total Amount]]&gt;=1000,"High"),TRUE,"Normal")</f>
        <v>Normal</v>
      </c>
      <c r="R887" s="4" t="str">
        <f>CONCATENATE(Table1567[[#This Row],[Customer ID]], "-",Table1567[[#This Row],[Age]])</f>
        <v>CUST886-37</v>
      </c>
      <c r="S887" s="4" t="str">
        <f>TEXT(Table1567[[#This Row],[Date]],"mmm")</f>
        <v>Apr</v>
      </c>
      <c r="T887" s="4" t="str">
        <f>TEXT(Table1567[[#This Row],[Date]],"DDD")</f>
        <v>Sun</v>
      </c>
    </row>
    <row r="888" spans="1:20" ht="29" x14ac:dyDescent="0.35">
      <c r="A888" s="4">
        <v>887</v>
      </c>
      <c r="B888" s="5">
        <v>45088</v>
      </c>
      <c r="C888" s="4" t="s">
        <v>900</v>
      </c>
      <c r="D888" s="4" t="s">
        <v>10</v>
      </c>
      <c r="E888" s="4">
        <v>59</v>
      </c>
      <c r="F888" s="4" t="str">
        <f>IF(Table1567[[#This Row],[Age]]&lt;=19,"Teenager",IF(Table1567[[#This Row],[Age]]&lt;=40,"Median","Old"))</f>
        <v>Old</v>
      </c>
      <c r="G888" s="4" t="s">
        <v>14</v>
      </c>
      <c r="H888" s="4">
        <v>4</v>
      </c>
      <c r="I888" s="4">
        <v>25</v>
      </c>
      <c r="J888" s="4">
        <v>100</v>
      </c>
      <c r="K888" s="4" t="str" cm="1">
        <f t="array" ref="K888">_xlfn.IFS(AND(Table1567[[#This Row],[Total Amount]]&gt;=1500),"Critical",AND(Table1567[[#This Row],[Total Amount]]&gt;=1000),"High",TRUE,"Normal")</f>
        <v>Normal</v>
      </c>
      <c r="L888" s="4" t="str">
        <f>IF(Table1567[[#This Row],[Total Amount]]&gt;=1000,"High",(IF(Table1567[[#This Row],[Total Amount]]&gt;=500,"Medium","Low")))</f>
        <v>Low</v>
      </c>
      <c r="M888" s="4" t="str" cm="1">
        <f t="array" ref="M88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88" s="4" cm="1">
        <f t="array" ref="N88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888" s="4">
        <f>Table1567[[#This Row],[Total Amount]]-Table1567[[#This Row],[Discount Amount]]</f>
        <v>90</v>
      </c>
      <c r="P888" s="4" t="str">
        <f>IF(Table1567[[#This Row],[Total Amount]]&gt;=1000,"High","Low")</f>
        <v>Low</v>
      </c>
      <c r="Q888" s="4" t="str" cm="1">
        <f t="array" ref="Q888">_xlfn.IFS(AND(Table1567[[#This Row],[Total Amount]]&gt;=1500,"Critical"),AND(Table1567[[#This Row],[Total Amount]]&gt;=1000,"High"),TRUE,"Normal")</f>
        <v>Normal</v>
      </c>
      <c r="R888" s="4" t="str">
        <f>CONCATENATE(Table1567[[#This Row],[Customer ID]], "-",Table1567[[#This Row],[Age]])</f>
        <v>CUST887-59</v>
      </c>
      <c r="S888" s="4" t="str">
        <f>TEXT(Table1567[[#This Row],[Date]],"mmm")</f>
        <v>Jun</v>
      </c>
      <c r="T888" s="4" t="str">
        <f>TEXT(Table1567[[#This Row],[Date]],"DDD")</f>
        <v>Sun</v>
      </c>
    </row>
    <row r="889" spans="1:20" ht="29" x14ac:dyDescent="0.35">
      <c r="A889" s="4">
        <v>888</v>
      </c>
      <c r="B889" s="5">
        <v>44988</v>
      </c>
      <c r="C889" s="4" t="s">
        <v>901</v>
      </c>
      <c r="D889" s="4" t="s">
        <v>13</v>
      </c>
      <c r="E889" s="4">
        <v>52</v>
      </c>
      <c r="F889" s="4" t="str">
        <f>IF(Table1567[[#This Row],[Age]]&lt;=19,"Teenager",IF(Table1567[[#This Row],[Age]]&lt;=40,"Median","Old"))</f>
        <v>Old</v>
      </c>
      <c r="G889" s="4" t="s">
        <v>16</v>
      </c>
      <c r="H889" s="4">
        <v>4</v>
      </c>
      <c r="I889" s="4">
        <v>25</v>
      </c>
      <c r="J889" s="4">
        <v>100</v>
      </c>
      <c r="K889" s="4" t="str" cm="1">
        <f t="array" ref="K889">_xlfn.IFS(AND(Table1567[[#This Row],[Total Amount]]&gt;=1500),"Critical",AND(Table1567[[#This Row],[Total Amount]]&gt;=1000),"High",TRUE,"Normal")</f>
        <v>Normal</v>
      </c>
      <c r="L889" s="4" t="str">
        <f>IF(Table1567[[#This Row],[Total Amount]]&gt;=1000,"High",(IF(Table1567[[#This Row],[Total Amount]]&gt;=500,"Medium","Low")))</f>
        <v>Low</v>
      </c>
      <c r="M889" s="4" t="str" cm="1">
        <f t="array" ref="M88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89" s="4" cm="1">
        <f t="array" ref="N88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889" s="4">
        <f>Table1567[[#This Row],[Total Amount]]-Table1567[[#This Row],[Discount Amount]]</f>
        <v>80</v>
      </c>
      <c r="P889" s="4" t="str">
        <f>IF(Table1567[[#This Row],[Total Amount]]&gt;=1000,"High","Low")</f>
        <v>Low</v>
      </c>
      <c r="Q889" s="4" t="str" cm="1">
        <f t="array" ref="Q889">_xlfn.IFS(AND(Table1567[[#This Row],[Total Amount]]&gt;=1500,"Critical"),AND(Table1567[[#This Row],[Total Amount]]&gt;=1000,"High"),TRUE,"Normal")</f>
        <v>Normal</v>
      </c>
      <c r="R889" s="4" t="str">
        <f>CONCATENATE(Table1567[[#This Row],[Customer ID]], "-",Table1567[[#This Row],[Age]])</f>
        <v>CUST888-52</v>
      </c>
      <c r="S889" s="4" t="str">
        <f>TEXT(Table1567[[#This Row],[Date]],"mmm")</f>
        <v>Mar</v>
      </c>
      <c r="T889" s="4" t="str">
        <f>TEXT(Table1567[[#This Row],[Date]],"DDD")</f>
        <v>Fri</v>
      </c>
    </row>
    <row r="890" spans="1:20" ht="29" x14ac:dyDescent="0.35">
      <c r="A890" s="4">
        <v>889</v>
      </c>
      <c r="B890" s="5">
        <v>45201</v>
      </c>
      <c r="C890" s="4" t="s">
        <v>902</v>
      </c>
      <c r="D890" s="4" t="s">
        <v>13</v>
      </c>
      <c r="E890" s="4">
        <v>35</v>
      </c>
      <c r="F890" s="4" t="str">
        <f>IF(Table1567[[#This Row],[Age]]&lt;=19,"Teenager",IF(Table1567[[#This Row],[Age]]&lt;=40,"Median","Old"))</f>
        <v>Median</v>
      </c>
      <c r="G890" s="4" t="s">
        <v>16</v>
      </c>
      <c r="H890" s="4">
        <v>1</v>
      </c>
      <c r="I890" s="4">
        <v>50</v>
      </c>
      <c r="J890" s="4">
        <v>50</v>
      </c>
      <c r="K890" s="4" t="str" cm="1">
        <f t="array" ref="K890">_xlfn.IFS(AND(Table1567[[#This Row],[Total Amount]]&gt;=1500),"Critical",AND(Table1567[[#This Row],[Total Amount]]&gt;=1000),"High",TRUE,"Normal")</f>
        <v>Normal</v>
      </c>
      <c r="L890" s="4" t="str">
        <f>IF(Table1567[[#This Row],[Total Amount]]&gt;=1000,"High",(IF(Table1567[[#This Row],[Total Amount]]&gt;=500,"Medium","Low")))</f>
        <v>Low</v>
      </c>
      <c r="M890" s="4" t="str" cm="1">
        <f t="array" ref="M89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90" s="4" cm="1">
        <f t="array" ref="N89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890" s="4">
        <f>Table1567[[#This Row],[Total Amount]]-Table1567[[#This Row],[Discount Amount]]</f>
        <v>40</v>
      </c>
      <c r="P890" s="4" t="str">
        <f>IF(Table1567[[#This Row],[Total Amount]]&gt;=1000,"High","Low")</f>
        <v>Low</v>
      </c>
      <c r="Q890" s="4" t="str" cm="1">
        <f t="array" ref="Q890">_xlfn.IFS(AND(Table1567[[#This Row],[Total Amount]]&gt;=1500,"Critical"),AND(Table1567[[#This Row],[Total Amount]]&gt;=1000,"High"),TRUE,"Normal")</f>
        <v>Normal</v>
      </c>
      <c r="R890" s="4" t="str">
        <f>CONCATENATE(Table1567[[#This Row],[Customer ID]], "-",Table1567[[#This Row],[Age]])</f>
        <v>CUST889-35</v>
      </c>
      <c r="S890" s="4" t="str">
        <f>TEXT(Table1567[[#This Row],[Date]],"mmm")</f>
        <v>Oct</v>
      </c>
      <c r="T890" s="4" t="str">
        <f>TEXT(Table1567[[#This Row],[Date]],"DDD")</f>
        <v>Mon</v>
      </c>
    </row>
    <row r="891" spans="1:20" ht="29" x14ac:dyDescent="0.35">
      <c r="A891" s="4">
        <v>890</v>
      </c>
      <c r="B891" s="5">
        <v>45280</v>
      </c>
      <c r="C891" s="4" t="s">
        <v>903</v>
      </c>
      <c r="D891" s="4" t="s">
        <v>10</v>
      </c>
      <c r="E891" s="4">
        <v>34</v>
      </c>
      <c r="F891" s="4" t="str">
        <f>IF(Table1567[[#This Row],[Age]]&lt;=19,"Teenager",IF(Table1567[[#This Row],[Age]]&lt;=40,"Median","Old"))</f>
        <v>Median</v>
      </c>
      <c r="G891" s="4" t="s">
        <v>16</v>
      </c>
      <c r="H891" s="4">
        <v>2</v>
      </c>
      <c r="I891" s="4">
        <v>25</v>
      </c>
      <c r="J891" s="4">
        <v>50</v>
      </c>
      <c r="K891" s="4" t="str" cm="1">
        <f t="array" ref="K891">_xlfn.IFS(AND(Table1567[[#This Row],[Total Amount]]&gt;=1500),"Critical",AND(Table1567[[#This Row],[Total Amount]]&gt;=1000),"High",TRUE,"Normal")</f>
        <v>Normal</v>
      </c>
      <c r="L891" s="4" t="str">
        <f>IF(Table1567[[#This Row],[Total Amount]]&gt;=1000,"High",(IF(Table1567[[#This Row],[Total Amount]]&gt;=500,"Medium","Low")))</f>
        <v>Low</v>
      </c>
      <c r="M891" s="4" t="str" cm="1">
        <f t="array" ref="M89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91" s="4" cm="1">
        <f t="array" ref="N89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891" s="4">
        <f>Table1567[[#This Row],[Total Amount]]-Table1567[[#This Row],[Discount Amount]]</f>
        <v>42.5</v>
      </c>
      <c r="P891" s="4" t="str">
        <f>IF(Table1567[[#This Row],[Total Amount]]&gt;=1000,"High","Low")</f>
        <v>Low</v>
      </c>
      <c r="Q891" s="4" t="str" cm="1">
        <f t="array" ref="Q891">_xlfn.IFS(AND(Table1567[[#This Row],[Total Amount]]&gt;=1500,"Critical"),AND(Table1567[[#This Row],[Total Amount]]&gt;=1000,"High"),TRUE,"Normal")</f>
        <v>Normal</v>
      </c>
      <c r="R891" s="4" t="str">
        <f>CONCATENATE(Table1567[[#This Row],[Customer ID]], "-",Table1567[[#This Row],[Age]])</f>
        <v>CUST890-34</v>
      </c>
      <c r="S891" s="4" t="str">
        <f>TEXT(Table1567[[#This Row],[Date]],"mmm")</f>
        <v>Dec</v>
      </c>
      <c r="T891" s="4" t="str">
        <f>TEXT(Table1567[[#This Row],[Date]],"DDD")</f>
        <v>Wed</v>
      </c>
    </row>
    <row r="892" spans="1:20" ht="29" x14ac:dyDescent="0.35">
      <c r="A892" s="4">
        <v>891</v>
      </c>
      <c r="B892" s="5">
        <v>45021</v>
      </c>
      <c r="C892" s="4" t="s">
        <v>904</v>
      </c>
      <c r="D892" s="4" t="s">
        <v>10</v>
      </c>
      <c r="E892" s="4">
        <v>41</v>
      </c>
      <c r="F892" s="4" t="str">
        <f>IF(Table1567[[#This Row],[Age]]&lt;=19,"Teenager",IF(Table1567[[#This Row],[Age]]&lt;=40,"Median","Old"))</f>
        <v>Old</v>
      </c>
      <c r="G892" s="4" t="s">
        <v>16</v>
      </c>
      <c r="H892" s="4">
        <v>3</v>
      </c>
      <c r="I892" s="4">
        <v>300</v>
      </c>
      <c r="J892" s="4">
        <v>900</v>
      </c>
      <c r="K892" s="4" t="str" cm="1">
        <f t="array" ref="K892">_xlfn.IFS(AND(Table1567[[#This Row],[Total Amount]]&gt;=1500),"Critical",AND(Table1567[[#This Row],[Total Amount]]&gt;=1000),"High",TRUE,"Normal")</f>
        <v>Normal</v>
      </c>
      <c r="L892" s="4" t="str">
        <f>IF(Table1567[[#This Row],[Total Amount]]&gt;=1000,"High",(IF(Table1567[[#This Row],[Total Amount]]&gt;=500,"Medium","Low")))</f>
        <v>Medium</v>
      </c>
      <c r="M892" s="4" t="str" cm="1">
        <f t="array" ref="M89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92" s="4" cm="1">
        <f t="array" ref="N89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892" s="4">
        <f>Table1567[[#This Row],[Total Amount]]-Table1567[[#This Row],[Discount Amount]]</f>
        <v>810</v>
      </c>
      <c r="P892" s="4" t="str">
        <f>IF(Table1567[[#This Row],[Total Amount]]&gt;=1000,"High","Low")</f>
        <v>Low</v>
      </c>
      <c r="Q892" s="4" t="str" cm="1">
        <f t="array" ref="Q892">_xlfn.IFS(AND(Table1567[[#This Row],[Total Amount]]&gt;=1500,"Critical"),AND(Table1567[[#This Row],[Total Amount]]&gt;=1000,"High"),TRUE,"Normal")</f>
        <v>Normal</v>
      </c>
      <c r="R892" s="4" t="str">
        <f>CONCATENATE(Table1567[[#This Row],[Customer ID]], "-",Table1567[[#This Row],[Age]])</f>
        <v>CUST891-41</v>
      </c>
      <c r="S892" s="4" t="str">
        <f>TEXT(Table1567[[#This Row],[Date]],"mmm")</f>
        <v>Apr</v>
      </c>
      <c r="T892" s="4" t="str">
        <f>TEXT(Table1567[[#This Row],[Date]],"DDD")</f>
        <v>Wed</v>
      </c>
    </row>
    <row r="893" spans="1:20" ht="29" x14ac:dyDescent="0.35">
      <c r="A893" s="4">
        <v>892</v>
      </c>
      <c r="B893" s="5">
        <v>45025</v>
      </c>
      <c r="C893" s="4" t="s">
        <v>905</v>
      </c>
      <c r="D893" s="4" t="s">
        <v>10</v>
      </c>
      <c r="E893" s="4">
        <v>20</v>
      </c>
      <c r="F893" s="4" t="str">
        <f>IF(Table1567[[#This Row],[Age]]&lt;=19,"Teenager",IF(Table1567[[#This Row],[Age]]&lt;=40,"Median","Old"))</f>
        <v>Median</v>
      </c>
      <c r="G893" s="4" t="s">
        <v>16</v>
      </c>
      <c r="H893" s="4">
        <v>1</v>
      </c>
      <c r="I893" s="4">
        <v>50</v>
      </c>
      <c r="J893" s="4">
        <v>50</v>
      </c>
      <c r="K893" s="4" t="str" cm="1">
        <f t="array" ref="K893">_xlfn.IFS(AND(Table1567[[#This Row],[Total Amount]]&gt;=1500),"Critical",AND(Table1567[[#This Row],[Total Amount]]&gt;=1000),"High",TRUE,"Normal")</f>
        <v>Normal</v>
      </c>
      <c r="L893" s="4" t="str">
        <f>IF(Table1567[[#This Row],[Total Amount]]&gt;=1000,"High",(IF(Table1567[[#This Row],[Total Amount]]&gt;=500,"Medium","Low")))</f>
        <v>Low</v>
      </c>
      <c r="M893" s="4" t="str" cm="1">
        <f t="array" ref="M89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893" s="4" cm="1">
        <f t="array" ref="N89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893" s="4">
        <f>Table1567[[#This Row],[Total Amount]]-Table1567[[#This Row],[Discount Amount]]</f>
        <v>50</v>
      </c>
      <c r="P893" s="4" t="str">
        <f>IF(Table1567[[#This Row],[Total Amount]]&gt;=1000,"High","Low")</f>
        <v>Low</v>
      </c>
      <c r="Q893" s="4" t="str" cm="1">
        <f t="array" ref="Q893">_xlfn.IFS(AND(Table1567[[#This Row],[Total Amount]]&gt;=1500,"Critical"),AND(Table1567[[#This Row],[Total Amount]]&gt;=1000,"High"),TRUE,"Normal")</f>
        <v>Normal</v>
      </c>
      <c r="R893" s="4" t="str">
        <f>CONCATENATE(Table1567[[#This Row],[Customer ID]], "-",Table1567[[#This Row],[Age]])</f>
        <v>CUST892-20</v>
      </c>
      <c r="S893" s="4" t="str">
        <f>TEXT(Table1567[[#This Row],[Date]],"mmm")</f>
        <v>Apr</v>
      </c>
      <c r="T893" s="4" t="str">
        <f>TEXT(Table1567[[#This Row],[Date]],"DDD")</f>
        <v>Sun</v>
      </c>
    </row>
    <row r="894" spans="1:20" ht="29" x14ac:dyDescent="0.35">
      <c r="A894" s="4">
        <v>893</v>
      </c>
      <c r="B894" s="5">
        <v>45037</v>
      </c>
      <c r="C894" s="4" t="s">
        <v>906</v>
      </c>
      <c r="D894" s="4" t="s">
        <v>10</v>
      </c>
      <c r="E894" s="4">
        <v>49</v>
      </c>
      <c r="F894" s="4" t="str">
        <f>IF(Table1567[[#This Row],[Age]]&lt;=19,"Teenager",IF(Table1567[[#This Row],[Age]]&lt;=40,"Median","Old"))</f>
        <v>Old</v>
      </c>
      <c r="G894" s="4" t="s">
        <v>16</v>
      </c>
      <c r="H894" s="4">
        <v>1</v>
      </c>
      <c r="I894" s="4">
        <v>50</v>
      </c>
      <c r="J894" s="4">
        <v>50</v>
      </c>
      <c r="K894" s="4" t="str" cm="1">
        <f t="array" ref="K894">_xlfn.IFS(AND(Table1567[[#This Row],[Total Amount]]&gt;=1500),"Critical",AND(Table1567[[#This Row],[Total Amount]]&gt;=1000),"High",TRUE,"Normal")</f>
        <v>Normal</v>
      </c>
      <c r="L894" s="4" t="str">
        <f>IF(Table1567[[#This Row],[Total Amount]]&gt;=1000,"High",(IF(Table1567[[#This Row],[Total Amount]]&gt;=500,"Medium","Low")))</f>
        <v>Low</v>
      </c>
      <c r="M894" s="4" t="str" cm="1">
        <f t="array" ref="M89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94" s="4" cm="1">
        <f t="array" ref="N89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894" s="4">
        <f>Table1567[[#This Row],[Total Amount]]-Table1567[[#This Row],[Discount Amount]]</f>
        <v>45</v>
      </c>
      <c r="P894" s="4" t="str">
        <f>IF(Table1567[[#This Row],[Total Amount]]&gt;=1000,"High","Low")</f>
        <v>Low</v>
      </c>
      <c r="Q894" s="4" t="str" cm="1">
        <f t="array" ref="Q894">_xlfn.IFS(AND(Table1567[[#This Row],[Total Amount]]&gt;=1500,"Critical"),AND(Table1567[[#This Row],[Total Amount]]&gt;=1000,"High"),TRUE,"Normal")</f>
        <v>Normal</v>
      </c>
      <c r="R894" s="4" t="str">
        <f>CONCATENATE(Table1567[[#This Row],[Customer ID]], "-",Table1567[[#This Row],[Age]])</f>
        <v>CUST893-49</v>
      </c>
      <c r="S894" s="4" t="str">
        <f>TEXT(Table1567[[#This Row],[Date]],"mmm")</f>
        <v>Apr</v>
      </c>
      <c r="T894" s="4" t="str">
        <f>TEXT(Table1567[[#This Row],[Date]],"DDD")</f>
        <v>Fri</v>
      </c>
    </row>
    <row r="895" spans="1:20" ht="29" x14ac:dyDescent="0.35">
      <c r="A895" s="4">
        <v>894</v>
      </c>
      <c r="B895" s="5">
        <v>45174</v>
      </c>
      <c r="C895" s="4" t="s">
        <v>907</v>
      </c>
      <c r="D895" s="4" t="s">
        <v>10</v>
      </c>
      <c r="E895" s="4">
        <v>52</v>
      </c>
      <c r="F895" s="4" t="str">
        <f>IF(Table1567[[#This Row],[Age]]&lt;=19,"Teenager",IF(Table1567[[#This Row],[Age]]&lt;=40,"Median","Old"))</f>
        <v>Old</v>
      </c>
      <c r="G895" s="4" t="s">
        <v>16</v>
      </c>
      <c r="H895" s="4">
        <v>1</v>
      </c>
      <c r="I895" s="4">
        <v>30</v>
      </c>
      <c r="J895" s="4">
        <v>30</v>
      </c>
      <c r="K895" s="4" t="str" cm="1">
        <f t="array" ref="K895">_xlfn.IFS(AND(Table1567[[#This Row],[Total Amount]]&gt;=1500),"Critical",AND(Table1567[[#This Row],[Total Amount]]&gt;=1000),"High",TRUE,"Normal")</f>
        <v>Normal</v>
      </c>
      <c r="L895" s="4" t="str">
        <f>IF(Table1567[[#This Row],[Total Amount]]&gt;=1000,"High",(IF(Table1567[[#This Row],[Total Amount]]&gt;=500,"Medium","Low")))</f>
        <v>Low</v>
      </c>
      <c r="M895" s="4" t="str" cm="1">
        <f t="array" ref="M89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95" s="4" cm="1">
        <f t="array" ref="N89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</v>
      </c>
      <c r="O895" s="4">
        <f>Table1567[[#This Row],[Total Amount]]-Table1567[[#This Row],[Discount Amount]]</f>
        <v>27</v>
      </c>
      <c r="P895" s="4" t="str">
        <f>IF(Table1567[[#This Row],[Total Amount]]&gt;=1000,"High","Low")</f>
        <v>Low</v>
      </c>
      <c r="Q895" s="4" t="str" cm="1">
        <f t="array" ref="Q895">_xlfn.IFS(AND(Table1567[[#This Row],[Total Amount]]&gt;=1500,"Critical"),AND(Table1567[[#This Row],[Total Amount]]&gt;=1000,"High"),TRUE,"Normal")</f>
        <v>Normal</v>
      </c>
      <c r="R895" s="4" t="str">
        <f>CONCATENATE(Table1567[[#This Row],[Customer ID]], "-",Table1567[[#This Row],[Age]])</f>
        <v>CUST894-52</v>
      </c>
      <c r="S895" s="4" t="str">
        <f>TEXT(Table1567[[#This Row],[Date]],"mmm")</f>
        <v>Sep</v>
      </c>
      <c r="T895" s="4" t="str">
        <f>TEXT(Table1567[[#This Row],[Date]],"DDD")</f>
        <v>Tue</v>
      </c>
    </row>
    <row r="896" spans="1:20" ht="29" x14ac:dyDescent="0.35">
      <c r="A896" s="4">
        <v>895</v>
      </c>
      <c r="B896" s="5">
        <v>45068</v>
      </c>
      <c r="C896" s="4" t="s">
        <v>908</v>
      </c>
      <c r="D896" s="4" t="s">
        <v>13</v>
      </c>
      <c r="E896" s="4">
        <v>55</v>
      </c>
      <c r="F896" s="4" t="str">
        <f>IF(Table1567[[#This Row],[Age]]&lt;=19,"Teenager",IF(Table1567[[#This Row],[Age]]&lt;=40,"Median","Old"))</f>
        <v>Old</v>
      </c>
      <c r="G896" s="4" t="s">
        <v>14</v>
      </c>
      <c r="H896" s="4">
        <v>4</v>
      </c>
      <c r="I896" s="4">
        <v>30</v>
      </c>
      <c r="J896" s="4">
        <v>120</v>
      </c>
      <c r="K896" s="4" t="str" cm="1">
        <f t="array" ref="K896">_xlfn.IFS(AND(Table1567[[#This Row],[Total Amount]]&gt;=1500),"Critical",AND(Table1567[[#This Row],[Total Amount]]&gt;=1000),"High",TRUE,"Normal")</f>
        <v>Normal</v>
      </c>
      <c r="L896" s="4" t="str">
        <f>IF(Table1567[[#This Row],[Total Amount]]&gt;=1000,"High",(IF(Table1567[[#This Row],[Total Amount]]&gt;=500,"Medium","Low")))</f>
        <v>Low</v>
      </c>
      <c r="M896" s="4" t="str" cm="1">
        <f t="array" ref="M89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96" s="4" cm="1">
        <f t="array" ref="N89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</v>
      </c>
      <c r="O896" s="4">
        <f>Table1567[[#This Row],[Total Amount]]-Table1567[[#This Row],[Discount Amount]]</f>
        <v>96</v>
      </c>
      <c r="P896" s="4" t="str">
        <f>IF(Table1567[[#This Row],[Total Amount]]&gt;=1000,"High","Low")</f>
        <v>Low</v>
      </c>
      <c r="Q896" s="4" t="str" cm="1">
        <f t="array" ref="Q896">_xlfn.IFS(AND(Table1567[[#This Row],[Total Amount]]&gt;=1500,"Critical"),AND(Table1567[[#This Row],[Total Amount]]&gt;=1000,"High"),TRUE,"Normal")</f>
        <v>Normal</v>
      </c>
      <c r="R896" s="4" t="str">
        <f>CONCATENATE(Table1567[[#This Row],[Customer ID]], "-",Table1567[[#This Row],[Age]])</f>
        <v>CUST895-55</v>
      </c>
      <c r="S896" s="4" t="str">
        <f>TEXT(Table1567[[#This Row],[Date]],"mmm")</f>
        <v>May</v>
      </c>
      <c r="T896" s="4" t="str">
        <f>TEXT(Table1567[[#This Row],[Date]],"DDD")</f>
        <v>Mon</v>
      </c>
    </row>
    <row r="897" spans="1:20" ht="29" x14ac:dyDescent="0.35">
      <c r="A897" s="4">
        <v>896</v>
      </c>
      <c r="B897" s="5">
        <v>45228</v>
      </c>
      <c r="C897" s="4" t="s">
        <v>909</v>
      </c>
      <c r="D897" s="4" t="s">
        <v>13</v>
      </c>
      <c r="E897" s="4">
        <v>30</v>
      </c>
      <c r="F897" s="4" t="str">
        <f>IF(Table1567[[#This Row],[Age]]&lt;=19,"Teenager",IF(Table1567[[#This Row],[Age]]&lt;=40,"Median","Old"))</f>
        <v>Median</v>
      </c>
      <c r="G897" s="4" t="s">
        <v>16</v>
      </c>
      <c r="H897" s="4">
        <v>2</v>
      </c>
      <c r="I897" s="4">
        <v>25</v>
      </c>
      <c r="J897" s="4">
        <v>50</v>
      </c>
      <c r="K897" s="4" t="str" cm="1">
        <f t="array" ref="K897">_xlfn.IFS(AND(Table1567[[#This Row],[Total Amount]]&gt;=1500),"Critical",AND(Table1567[[#This Row],[Total Amount]]&gt;=1000),"High",TRUE,"Normal")</f>
        <v>Normal</v>
      </c>
      <c r="L897" s="4" t="str">
        <f>IF(Table1567[[#This Row],[Total Amount]]&gt;=1000,"High",(IF(Table1567[[#This Row],[Total Amount]]&gt;=500,"Medium","Low")))</f>
        <v>Low</v>
      </c>
      <c r="M897" s="4" t="str" cm="1">
        <f t="array" ref="M89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97" s="4" cm="1">
        <f t="array" ref="N89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897" s="4">
        <f>Table1567[[#This Row],[Total Amount]]-Table1567[[#This Row],[Discount Amount]]</f>
        <v>42.5</v>
      </c>
      <c r="P897" s="4" t="str">
        <f>IF(Table1567[[#This Row],[Total Amount]]&gt;=1000,"High","Low")</f>
        <v>Low</v>
      </c>
      <c r="Q897" s="4" t="str" cm="1">
        <f t="array" ref="Q897">_xlfn.IFS(AND(Table1567[[#This Row],[Total Amount]]&gt;=1500,"Critical"),AND(Table1567[[#This Row],[Total Amount]]&gt;=1000,"High"),TRUE,"Normal")</f>
        <v>Normal</v>
      </c>
      <c r="R897" s="4" t="str">
        <f>CONCATENATE(Table1567[[#This Row],[Customer ID]], "-",Table1567[[#This Row],[Age]])</f>
        <v>CUST896-30</v>
      </c>
      <c r="S897" s="4" t="str">
        <f>TEXT(Table1567[[#This Row],[Date]],"mmm")</f>
        <v>Oct</v>
      </c>
      <c r="T897" s="4" t="str">
        <f>TEXT(Table1567[[#This Row],[Date]],"DDD")</f>
        <v>Sun</v>
      </c>
    </row>
    <row r="898" spans="1:20" ht="29" x14ac:dyDescent="0.35">
      <c r="A898" s="4">
        <v>897</v>
      </c>
      <c r="B898" s="5">
        <v>45195</v>
      </c>
      <c r="C898" s="4" t="s">
        <v>910</v>
      </c>
      <c r="D898" s="4" t="s">
        <v>13</v>
      </c>
      <c r="E898" s="4">
        <v>64</v>
      </c>
      <c r="F898" s="4" t="str">
        <f>IF(Table1567[[#This Row],[Age]]&lt;=19,"Teenager",IF(Table1567[[#This Row],[Age]]&lt;=40,"Median","Old"))</f>
        <v>Old</v>
      </c>
      <c r="G898" s="4" t="s">
        <v>16</v>
      </c>
      <c r="H898" s="4">
        <v>2</v>
      </c>
      <c r="I898" s="4">
        <v>50</v>
      </c>
      <c r="J898" s="4">
        <v>100</v>
      </c>
      <c r="K898" s="4" t="str" cm="1">
        <f t="array" ref="K898">_xlfn.IFS(AND(Table1567[[#This Row],[Total Amount]]&gt;=1500),"Critical",AND(Table1567[[#This Row],[Total Amount]]&gt;=1000),"High",TRUE,"Normal")</f>
        <v>Normal</v>
      </c>
      <c r="L898" s="4" t="str">
        <f>IF(Table1567[[#This Row],[Total Amount]]&gt;=1000,"High",(IF(Table1567[[#This Row],[Total Amount]]&gt;=500,"Medium","Low")))</f>
        <v>Low</v>
      </c>
      <c r="M898" s="4" t="str" cm="1">
        <f t="array" ref="M89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98" s="4" cm="1">
        <f t="array" ref="N89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898" s="4">
        <f>Table1567[[#This Row],[Total Amount]]-Table1567[[#This Row],[Discount Amount]]</f>
        <v>80</v>
      </c>
      <c r="P898" s="4" t="str">
        <f>IF(Table1567[[#This Row],[Total Amount]]&gt;=1000,"High","Low")</f>
        <v>Low</v>
      </c>
      <c r="Q898" s="4" t="str" cm="1">
        <f t="array" ref="Q898">_xlfn.IFS(AND(Table1567[[#This Row],[Total Amount]]&gt;=1500,"Critical"),AND(Table1567[[#This Row],[Total Amount]]&gt;=1000,"High"),TRUE,"Normal")</f>
        <v>Normal</v>
      </c>
      <c r="R898" s="4" t="str">
        <f>CONCATENATE(Table1567[[#This Row],[Customer ID]], "-",Table1567[[#This Row],[Age]])</f>
        <v>CUST897-64</v>
      </c>
      <c r="S898" s="4" t="str">
        <f>TEXT(Table1567[[#This Row],[Date]],"mmm")</f>
        <v>Sep</v>
      </c>
      <c r="T898" s="4" t="str">
        <f>TEXT(Table1567[[#This Row],[Date]],"DDD")</f>
        <v>Tue</v>
      </c>
    </row>
    <row r="899" spans="1:20" ht="29" x14ac:dyDescent="0.35">
      <c r="A899" s="4">
        <v>898</v>
      </c>
      <c r="B899" s="5">
        <v>45232</v>
      </c>
      <c r="C899" s="4" t="s">
        <v>911</v>
      </c>
      <c r="D899" s="4" t="s">
        <v>13</v>
      </c>
      <c r="E899" s="4">
        <v>42</v>
      </c>
      <c r="F899" s="4" t="str">
        <f>IF(Table1567[[#This Row],[Age]]&lt;=19,"Teenager",IF(Table1567[[#This Row],[Age]]&lt;=40,"Median","Old"))</f>
        <v>Old</v>
      </c>
      <c r="G899" s="4" t="s">
        <v>14</v>
      </c>
      <c r="H899" s="4">
        <v>3</v>
      </c>
      <c r="I899" s="4">
        <v>30</v>
      </c>
      <c r="J899" s="4">
        <v>90</v>
      </c>
      <c r="K899" s="4" t="str" cm="1">
        <f t="array" ref="K899">_xlfn.IFS(AND(Table1567[[#This Row],[Total Amount]]&gt;=1500),"Critical",AND(Table1567[[#This Row],[Total Amount]]&gt;=1000),"High",TRUE,"Normal")</f>
        <v>Normal</v>
      </c>
      <c r="L899" s="4" t="str">
        <f>IF(Table1567[[#This Row],[Total Amount]]&gt;=1000,"High",(IF(Table1567[[#This Row],[Total Amount]]&gt;=500,"Medium","Low")))</f>
        <v>Low</v>
      </c>
      <c r="M899" s="4" t="str" cm="1">
        <f t="array" ref="M89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99" s="4" cm="1">
        <f t="array" ref="N89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899" s="4">
        <f>Table1567[[#This Row],[Total Amount]]-Table1567[[#This Row],[Discount Amount]]</f>
        <v>72</v>
      </c>
      <c r="P899" s="4" t="str">
        <f>IF(Table1567[[#This Row],[Total Amount]]&gt;=1000,"High","Low")</f>
        <v>Low</v>
      </c>
      <c r="Q899" s="4" t="str" cm="1">
        <f t="array" ref="Q899">_xlfn.IFS(AND(Table1567[[#This Row],[Total Amount]]&gt;=1500,"Critical"),AND(Table1567[[#This Row],[Total Amount]]&gt;=1000,"High"),TRUE,"Normal")</f>
        <v>Normal</v>
      </c>
      <c r="R899" s="4" t="str">
        <f>CONCATENATE(Table1567[[#This Row],[Customer ID]], "-",Table1567[[#This Row],[Age]])</f>
        <v>CUST898-42</v>
      </c>
      <c r="S899" s="4" t="str">
        <f>TEXT(Table1567[[#This Row],[Date]],"mmm")</f>
        <v>Nov</v>
      </c>
      <c r="T899" s="4" t="str">
        <f>TEXT(Table1567[[#This Row],[Date]],"DDD")</f>
        <v>Thu</v>
      </c>
    </row>
    <row r="900" spans="1:20" ht="29" x14ac:dyDescent="0.35">
      <c r="A900" s="4">
        <v>899</v>
      </c>
      <c r="B900" s="5">
        <v>45071</v>
      </c>
      <c r="C900" s="4" t="s">
        <v>912</v>
      </c>
      <c r="D900" s="4" t="s">
        <v>10</v>
      </c>
      <c r="E900" s="4">
        <v>26</v>
      </c>
      <c r="F900" s="4" t="str">
        <f>IF(Table1567[[#This Row],[Age]]&lt;=19,"Teenager",IF(Table1567[[#This Row],[Age]]&lt;=40,"Median","Old"))</f>
        <v>Median</v>
      </c>
      <c r="G900" s="4" t="s">
        <v>14</v>
      </c>
      <c r="H900" s="4">
        <v>2</v>
      </c>
      <c r="I900" s="4">
        <v>300</v>
      </c>
      <c r="J900" s="4">
        <v>600</v>
      </c>
      <c r="K900" s="4" t="str" cm="1">
        <f t="array" ref="K900">_xlfn.IFS(AND(Table1567[[#This Row],[Total Amount]]&gt;=1500),"Critical",AND(Table1567[[#This Row],[Total Amount]]&gt;=1000),"High",TRUE,"Normal")</f>
        <v>Normal</v>
      </c>
      <c r="L900" s="4" t="str">
        <f>IF(Table1567[[#This Row],[Total Amount]]&gt;=1000,"High",(IF(Table1567[[#This Row],[Total Amount]]&gt;=500,"Medium","Low")))</f>
        <v>Medium</v>
      </c>
      <c r="M900" s="4" t="str" cm="1">
        <f t="array" ref="M90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00" s="4" cm="1">
        <f t="array" ref="N90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900" s="4">
        <f>Table1567[[#This Row],[Total Amount]]-Table1567[[#This Row],[Discount Amount]]</f>
        <v>510</v>
      </c>
      <c r="P900" s="4" t="str">
        <f>IF(Table1567[[#This Row],[Total Amount]]&gt;=1000,"High","Low")</f>
        <v>Low</v>
      </c>
      <c r="Q900" s="4" t="str" cm="1">
        <f t="array" ref="Q900">_xlfn.IFS(AND(Table1567[[#This Row],[Total Amount]]&gt;=1500,"Critical"),AND(Table1567[[#This Row],[Total Amount]]&gt;=1000,"High"),TRUE,"Normal")</f>
        <v>Normal</v>
      </c>
      <c r="R900" s="4" t="str">
        <f>CONCATENATE(Table1567[[#This Row],[Customer ID]], "-",Table1567[[#This Row],[Age]])</f>
        <v>CUST899-26</v>
      </c>
      <c r="S900" s="4" t="str">
        <f>TEXT(Table1567[[#This Row],[Date]],"mmm")</f>
        <v>May</v>
      </c>
      <c r="T900" s="4" t="str">
        <f>TEXT(Table1567[[#This Row],[Date]],"DDD")</f>
        <v>Thu</v>
      </c>
    </row>
    <row r="901" spans="1:20" ht="29" x14ac:dyDescent="0.35">
      <c r="A901" s="4">
        <v>900</v>
      </c>
      <c r="B901" s="5">
        <v>44978</v>
      </c>
      <c r="C901" s="4" t="s">
        <v>913</v>
      </c>
      <c r="D901" s="4" t="s">
        <v>10</v>
      </c>
      <c r="E901" s="4">
        <v>21</v>
      </c>
      <c r="F901" s="4" t="str">
        <f>IF(Table1567[[#This Row],[Age]]&lt;=19,"Teenager",IF(Table1567[[#This Row],[Age]]&lt;=40,"Median","Old"))</f>
        <v>Median</v>
      </c>
      <c r="G901" s="4" t="s">
        <v>14</v>
      </c>
      <c r="H901" s="4">
        <v>2</v>
      </c>
      <c r="I901" s="4">
        <v>30</v>
      </c>
      <c r="J901" s="4">
        <v>60</v>
      </c>
      <c r="K901" s="4" t="str" cm="1">
        <f t="array" ref="K901">_xlfn.IFS(AND(Table1567[[#This Row],[Total Amount]]&gt;=1500),"Critical",AND(Table1567[[#This Row],[Total Amount]]&gt;=1000),"High",TRUE,"Normal")</f>
        <v>Normal</v>
      </c>
      <c r="L901" s="4" t="str">
        <f>IF(Table1567[[#This Row],[Total Amount]]&gt;=1000,"High",(IF(Table1567[[#This Row],[Total Amount]]&gt;=500,"Medium","Low")))</f>
        <v>Low</v>
      </c>
      <c r="M901" s="4" t="str" cm="1">
        <f t="array" ref="M90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901" s="4" cm="1">
        <f t="array" ref="N90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901" s="4">
        <f>Table1567[[#This Row],[Total Amount]]-Table1567[[#This Row],[Discount Amount]]</f>
        <v>60</v>
      </c>
      <c r="P901" s="4" t="str">
        <f>IF(Table1567[[#This Row],[Total Amount]]&gt;=1000,"High","Low")</f>
        <v>Low</v>
      </c>
      <c r="Q901" s="4" t="str" cm="1">
        <f t="array" ref="Q901">_xlfn.IFS(AND(Table1567[[#This Row],[Total Amount]]&gt;=1500,"Critical"),AND(Table1567[[#This Row],[Total Amount]]&gt;=1000,"High"),TRUE,"Normal")</f>
        <v>Normal</v>
      </c>
      <c r="R901" s="4" t="str">
        <f>CONCATENATE(Table1567[[#This Row],[Customer ID]], "-",Table1567[[#This Row],[Age]])</f>
        <v>CUST900-21</v>
      </c>
      <c r="S901" s="4" t="str">
        <f>TEXT(Table1567[[#This Row],[Date]],"mmm")</f>
        <v>Feb</v>
      </c>
      <c r="T901" s="4" t="str">
        <f>TEXT(Table1567[[#This Row],[Date]],"DDD")</f>
        <v>Tue</v>
      </c>
    </row>
    <row r="902" spans="1:20" ht="29" x14ac:dyDescent="0.35">
      <c r="A902" s="4">
        <v>901</v>
      </c>
      <c r="B902" s="5">
        <v>45026</v>
      </c>
      <c r="C902" s="4" t="s">
        <v>914</v>
      </c>
      <c r="D902" s="4" t="s">
        <v>10</v>
      </c>
      <c r="E902" s="4">
        <v>31</v>
      </c>
      <c r="F902" s="4" t="str">
        <f>IF(Table1567[[#This Row],[Age]]&lt;=19,"Teenager",IF(Table1567[[#This Row],[Age]]&lt;=40,"Median","Old"))</f>
        <v>Median</v>
      </c>
      <c r="G902" s="4" t="s">
        <v>16</v>
      </c>
      <c r="H902" s="4">
        <v>1</v>
      </c>
      <c r="I902" s="4">
        <v>30</v>
      </c>
      <c r="J902" s="4">
        <v>30</v>
      </c>
      <c r="K902" s="4" t="str" cm="1">
        <f t="array" ref="K902">_xlfn.IFS(AND(Table1567[[#This Row],[Total Amount]]&gt;=1500),"Critical",AND(Table1567[[#This Row],[Total Amount]]&gt;=1000),"High",TRUE,"Normal")</f>
        <v>Normal</v>
      </c>
      <c r="L902" s="4" t="str">
        <f>IF(Table1567[[#This Row],[Total Amount]]&gt;=1000,"High",(IF(Table1567[[#This Row],[Total Amount]]&gt;=500,"Medium","Low")))</f>
        <v>Low</v>
      </c>
      <c r="M902" s="4" t="str" cm="1">
        <f t="array" ref="M90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02" s="4" cm="1">
        <f t="array" ref="N90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4.5</v>
      </c>
      <c r="O902" s="4">
        <f>Table1567[[#This Row],[Total Amount]]-Table1567[[#This Row],[Discount Amount]]</f>
        <v>25.5</v>
      </c>
      <c r="P902" s="4" t="str">
        <f>IF(Table1567[[#This Row],[Total Amount]]&gt;=1000,"High","Low")</f>
        <v>Low</v>
      </c>
      <c r="Q902" s="4" t="str" cm="1">
        <f t="array" ref="Q902">_xlfn.IFS(AND(Table1567[[#This Row],[Total Amount]]&gt;=1500,"Critical"),AND(Table1567[[#This Row],[Total Amount]]&gt;=1000,"High"),TRUE,"Normal")</f>
        <v>Normal</v>
      </c>
      <c r="R902" s="4" t="str">
        <f>CONCATENATE(Table1567[[#This Row],[Customer ID]], "-",Table1567[[#This Row],[Age]])</f>
        <v>CUST901-31</v>
      </c>
      <c r="S902" s="4" t="str">
        <f>TEXT(Table1567[[#This Row],[Date]],"mmm")</f>
        <v>Apr</v>
      </c>
      <c r="T902" s="4" t="str">
        <f>TEXT(Table1567[[#This Row],[Date]],"DDD")</f>
        <v>Mon</v>
      </c>
    </row>
    <row r="903" spans="1:20" ht="29" x14ac:dyDescent="0.35">
      <c r="A903" s="4">
        <v>902</v>
      </c>
      <c r="B903" s="5">
        <v>45078</v>
      </c>
      <c r="C903" s="4" t="s">
        <v>915</v>
      </c>
      <c r="D903" s="4" t="s">
        <v>13</v>
      </c>
      <c r="E903" s="4">
        <v>54</v>
      </c>
      <c r="F903" s="4" t="str">
        <f>IF(Table1567[[#This Row],[Age]]&lt;=19,"Teenager",IF(Table1567[[#This Row],[Age]]&lt;=40,"Median","Old"))</f>
        <v>Old</v>
      </c>
      <c r="G903" s="4" t="s">
        <v>11</v>
      </c>
      <c r="H903" s="4">
        <v>1</v>
      </c>
      <c r="I903" s="4">
        <v>50</v>
      </c>
      <c r="J903" s="4">
        <v>50</v>
      </c>
      <c r="K903" s="4" t="str" cm="1">
        <f t="array" ref="K903">_xlfn.IFS(AND(Table1567[[#This Row],[Total Amount]]&gt;=1500),"Critical",AND(Table1567[[#This Row],[Total Amount]]&gt;=1000),"High",TRUE,"Normal")</f>
        <v>Normal</v>
      </c>
      <c r="L903" s="4" t="str">
        <f>IF(Table1567[[#This Row],[Total Amount]]&gt;=1000,"High",(IF(Table1567[[#This Row],[Total Amount]]&gt;=500,"Medium","Low")))</f>
        <v>Low</v>
      </c>
      <c r="M903" s="4" t="str" cm="1">
        <f t="array" ref="M90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03" s="4" cm="1">
        <f t="array" ref="N90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903" s="4">
        <f>Table1567[[#This Row],[Total Amount]]-Table1567[[#This Row],[Discount Amount]]</f>
        <v>40</v>
      </c>
      <c r="P903" s="4" t="str">
        <f>IF(Table1567[[#This Row],[Total Amount]]&gt;=1000,"High","Low")</f>
        <v>Low</v>
      </c>
      <c r="Q903" s="4" t="str" cm="1">
        <f t="array" ref="Q903">_xlfn.IFS(AND(Table1567[[#This Row],[Total Amount]]&gt;=1500,"Critical"),AND(Table1567[[#This Row],[Total Amount]]&gt;=1000,"High"),TRUE,"Normal")</f>
        <v>Normal</v>
      </c>
      <c r="R903" s="4" t="str">
        <f>CONCATENATE(Table1567[[#This Row],[Customer ID]], "-",Table1567[[#This Row],[Age]])</f>
        <v>CUST902-54</v>
      </c>
      <c r="S903" s="4" t="str">
        <f>TEXT(Table1567[[#This Row],[Date]],"mmm")</f>
        <v>Jun</v>
      </c>
      <c r="T903" s="4" t="str">
        <f>TEXT(Table1567[[#This Row],[Date]],"DDD")</f>
        <v>Thu</v>
      </c>
    </row>
    <row r="904" spans="1:20" ht="29" x14ac:dyDescent="0.35">
      <c r="A904" s="4">
        <v>903</v>
      </c>
      <c r="B904" s="5">
        <v>45043</v>
      </c>
      <c r="C904" s="4" t="s">
        <v>916</v>
      </c>
      <c r="D904" s="4" t="s">
        <v>13</v>
      </c>
      <c r="E904" s="4">
        <v>51</v>
      </c>
      <c r="F904" s="4" t="str">
        <f>IF(Table1567[[#This Row],[Age]]&lt;=19,"Teenager",IF(Table1567[[#This Row],[Age]]&lt;=40,"Median","Old"))</f>
        <v>Old</v>
      </c>
      <c r="G904" s="4" t="s">
        <v>11</v>
      </c>
      <c r="H904" s="4">
        <v>4</v>
      </c>
      <c r="I904" s="4">
        <v>50</v>
      </c>
      <c r="J904" s="4">
        <v>200</v>
      </c>
      <c r="K904" s="4" t="str" cm="1">
        <f t="array" ref="K904">_xlfn.IFS(AND(Table1567[[#This Row],[Total Amount]]&gt;=1500),"Critical",AND(Table1567[[#This Row],[Total Amount]]&gt;=1000),"High",TRUE,"Normal")</f>
        <v>Normal</v>
      </c>
      <c r="L904" s="4" t="str">
        <f>IF(Table1567[[#This Row],[Total Amount]]&gt;=1000,"High",(IF(Table1567[[#This Row],[Total Amount]]&gt;=500,"Medium","Low")))</f>
        <v>Low</v>
      </c>
      <c r="M904" s="4" t="str" cm="1">
        <f t="array" ref="M90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04" s="4" cm="1">
        <f t="array" ref="N90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</v>
      </c>
      <c r="O904" s="4">
        <f>Table1567[[#This Row],[Total Amount]]-Table1567[[#This Row],[Discount Amount]]</f>
        <v>160</v>
      </c>
      <c r="P904" s="4" t="str">
        <f>IF(Table1567[[#This Row],[Total Amount]]&gt;=1000,"High","Low")</f>
        <v>Low</v>
      </c>
      <c r="Q904" s="4" t="str" cm="1">
        <f t="array" ref="Q904">_xlfn.IFS(AND(Table1567[[#This Row],[Total Amount]]&gt;=1500,"Critical"),AND(Table1567[[#This Row],[Total Amount]]&gt;=1000,"High"),TRUE,"Normal")</f>
        <v>Normal</v>
      </c>
      <c r="R904" s="4" t="str">
        <f>CONCATENATE(Table1567[[#This Row],[Customer ID]], "-",Table1567[[#This Row],[Age]])</f>
        <v>CUST903-51</v>
      </c>
      <c r="S904" s="4" t="str">
        <f>TEXT(Table1567[[#This Row],[Date]],"mmm")</f>
        <v>Apr</v>
      </c>
      <c r="T904" s="4" t="str">
        <f>TEXT(Table1567[[#This Row],[Date]],"DDD")</f>
        <v>Thu</v>
      </c>
    </row>
    <row r="905" spans="1:20" ht="29" x14ac:dyDescent="0.35">
      <c r="A905" s="4">
        <v>904</v>
      </c>
      <c r="B905" s="5">
        <v>45111</v>
      </c>
      <c r="C905" s="4" t="s">
        <v>917</v>
      </c>
      <c r="D905" s="4" t="s">
        <v>10</v>
      </c>
      <c r="E905" s="4">
        <v>28</v>
      </c>
      <c r="F905" s="4" t="str">
        <f>IF(Table1567[[#This Row],[Age]]&lt;=19,"Teenager",IF(Table1567[[#This Row],[Age]]&lt;=40,"Median","Old"))</f>
        <v>Median</v>
      </c>
      <c r="G905" s="4" t="s">
        <v>14</v>
      </c>
      <c r="H905" s="4">
        <v>1</v>
      </c>
      <c r="I905" s="4">
        <v>500</v>
      </c>
      <c r="J905" s="4">
        <v>500</v>
      </c>
      <c r="K905" s="4" t="str" cm="1">
        <f t="array" ref="K905">_xlfn.IFS(AND(Table1567[[#This Row],[Total Amount]]&gt;=1500),"Critical",AND(Table1567[[#This Row],[Total Amount]]&gt;=1000),"High",TRUE,"Normal")</f>
        <v>Normal</v>
      </c>
      <c r="L905" s="4" t="str">
        <f>IF(Table1567[[#This Row],[Total Amount]]&gt;=1000,"High",(IF(Table1567[[#This Row],[Total Amount]]&gt;=500,"Medium","Low")))</f>
        <v>Medium</v>
      </c>
      <c r="M905" s="4" t="str" cm="1">
        <f t="array" ref="M90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05" s="4" cm="1">
        <f t="array" ref="N90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75</v>
      </c>
      <c r="O905" s="4">
        <f>Table1567[[#This Row],[Total Amount]]-Table1567[[#This Row],[Discount Amount]]</f>
        <v>425</v>
      </c>
      <c r="P905" s="4" t="str">
        <f>IF(Table1567[[#This Row],[Total Amount]]&gt;=1000,"High","Low")</f>
        <v>Low</v>
      </c>
      <c r="Q905" s="4" t="str" cm="1">
        <f t="array" ref="Q905">_xlfn.IFS(AND(Table1567[[#This Row],[Total Amount]]&gt;=1500,"Critical"),AND(Table1567[[#This Row],[Total Amount]]&gt;=1000,"High"),TRUE,"Normal")</f>
        <v>Normal</v>
      </c>
      <c r="R905" s="4" t="str">
        <f>CONCATENATE(Table1567[[#This Row],[Customer ID]], "-",Table1567[[#This Row],[Age]])</f>
        <v>CUST904-28</v>
      </c>
      <c r="S905" s="4" t="str">
        <f>TEXT(Table1567[[#This Row],[Date]],"mmm")</f>
        <v>Jul</v>
      </c>
      <c r="T905" s="4" t="str">
        <f>TEXT(Table1567[[#This Row],[Date]],"DDD")</f>
        <v>Tue</v>
      </c>
    </row>
    <row r="906" spans="1:20" ht="29" x14ac:dyDescent="0.35">
      <c r="A906" s="4">
        <v>905</v>
      </c>
      <c r="B906" s="5">
        <v>45018</v>
      </c>
      <c r="C906" s="4" t="s">
        <v>918</v>
      </c>
      <c r="D906" s="4" t="s">
        <v>10</v>
      </c>
      <c r="E906" s="4">
        <v>58</v>
      </c>
      <c r="F906" s="4" t="str">
        <f>IF(Table1567[[#This Row],[Age]]&lt;=19,"Teenager",IF(Table1567[[#This Row],[Age]]&lt;=40,"Median","Old"))</f>
        <v>Old</v>
      </c>
      <c r="G906" s="4" t="s">
        <v>11</v>
      </c>
      <c r="H906" s="4">
        <v>1</v>
      </c>
      <c r="I906" s="4">
        <v>300</v>
      </c>
      <c r="J906" s="4">
        <v>300</v>
      </c>
      <c r="K906" s="4" t="str" cm="1">
        <f t="array" ref="K906">_xlfn.IFS(AND(Table1567[[#This Row],[Total Amount]]&gt;=1500),"Critical",AND(Table1567[[#This Row],[Total Amount]]&gt;=1000),"High",TRUE,"Normal")</f>
        <v>Normal</v>
      </c>
      <c r="L906" s="4" t="str">
        <f>IF(Table1567[[#This Row],[Total Amount]]&gt;=1000,"High",(IF(Table1567[[#This Row],[Total Amount]]&gt;=500,"Medium","Low")))</f>
        <v>Low</v>
      </c>
      <c r="M906" s="4" t="str" cm="1">
        <f t="array" ref="M90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06" s="4" cm="1">
        <f t="array" ref="N90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906" s="4">
        <f>Table1567[[#This Row],[Total Amount]]-Table1567[[#This Row],[Discount Amount]]</f>
        <v>270</v>
      </c>
      <c r="P906" s="4" t="str">
        <f>IF(Table1567[[#This Row],[Total Amount]]&gt;=1000,"High","Low")</f>
        <v>Low</v>
      </c>
      <c r="Q906" s="4" t="str" cm="1">
        <f t="array" ref="Q906">_xlfn.IFS(AND(Table1567[[#This Row],[Total Amount]]&gt;=1500,"Critical"),AND(Table1567[[#This Row],[Total Amount]]&gt;=1000,"High"),TRUE,"Normal")</f>
        <v>Normal</v>
      </c>
      <c r="R906" s="4" t="str">
        <f>CONCATENATE(Table1567[[#This Row],[Customer ID]], "-",Table1567[[#This Row],[Age]])</f>
        <v>CUST905-58</v>
      </c>
      <c r="S906" s="4" t="str">
        <f>TEXT(Table1567[[#This Row],[Date]],"mmm")</f>
        <v>Apr</v>
      </c>
      <c r="T906" s="4" t="str">
        <f>TEXT(Table1567[[#This Row],[Date]],"DDD")</f>
        <v>Sun</v>
      </c>
    </row>
    <row r="907" spans="1:20" ht="29" x14ac:dyDescent="0.35">
      <c r="A907" s="4">
        <v>906</v>
      </c>
      <c r="B907" s="5">
        <v>45081</v>
      </c>
      <c r="C907" s="4" t="s">
        <v>919</v>
      </c>
      <c r="D907" s="4" t="s">
        <v>13</v>
      </c>
      <c r="E907" s="4">
        <v>20</v>
      </c>
      <c r="F907" s="4" t="str">
        <f>IF(Table1567[[#This Row],[Age]]&lt;=19,"Teenager",IF(Table1567[[#This Row],[Age]]&lt;=40,"Median","Old"))</f>
        <v>Median</v>
      </c>
      <c r="G907" s="4" t="s">
        <v>14</v>
      </c>
      <c r="H907" s="4">
        <v>1</v>
      </c>
      <c r="I907" s="4">
        <v>50</v>
      </c>
      <c r="J907" s="4">
        <v>50</v>
      </c>
      <c r="K907" s="4" t="str" cm="1">
        <f t="array" ref="K907">_xlfn.IFS(AND(Table1567[[#This Row],[Total Amount]]&gt;=1500),"Critical",AND(Table1567[[#This Row],[Total Amount]]&gt;=1000),"High",TRUE,"Normal")</f>
        <v>Normal</v>
      </c>
      <c r="L907" s="4" t="str">
        <f>IF(Table1567[[#This Row],[Total Amount]]&gt;=1000,"High",(IF(Table1567[[#This Row],[Total Amount]]&gt;=500,"Medium","Low")))</f>
        <v>Low</v>
      </c>
      <c r="M907" s="4" t="str" cm="1">
        <f t="array" ref="M90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907" s="4" cm="1">
        <f t="array" ref="N90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907" s="4">
        <f>Table1567[[#This Row],[Total Amount]]-Table1567[[#This Row],[Discount Amount]]</f>
        <v>50</v>
      </c>
      <c r="P907" s="4" t="str">
        <f>IF(Table1567[[#This Row],[Total Amount]]&gt;=1000,"High","Low")</f>
        <v>Low</v>
      </c>
      <c r="Q907" s="4" t="str" cm="1">
        <f t="array" ref="Q907">_xlfn.IFS(AND(Table1567[[#This Row],[Total Amount]]&gt;=1500,"Critical"),AND(Table1567[[#This Row],[Total Amount]]&gt;=1000,"High"),TRUE,"Normal")</f>
        <v>Normal</v>
      </c>
      <c r="R907" s="4" t="str">
        <f>CONCATENATE(Table1567[[#This Row],[Customer ID]], "-",Table1567[[#This Row],[Age]])</f>
        <v>CUST906-20</v>
      </c>
      <c r="S907" s="4" t="str">
        <f>TEXT(Table1567[[#This Row],[Date]],"mmm")</f>
        <v>Jun</v>
      </c>
      <c r="T907" s="4" t="str">
        <f>TEXT(Table1567[[#This Row],[Date]],"DDD")</f>
        <v>Sun</v>
      </c>
    </row>
    <row r="908" spans="1:20" ht="29" x14ac:dyDescent="0.35">
      <c r="A908" s="4">
        <v>907</v>
      </c>
      <c r="B908" s="5">
        <v>44934</v>
      </c>
      <c r="C908" s="4" t="s">
        <v>920</v>
      </c>
      <c r="D908" s="4" t="s">
        <v>13</v>
      </c>
      <c r="E908" s="4">
        <v>45</v>
      </c>
      <c r="F908" s="4" t="str">
        <f>IF(Table1567[[#This Row],[Age]]&lt;=19,"Teenager",IF(Table1567[[#This Row],[Age]]&lt;=40,"Median","Old"))</f>
        <v>Old</v>
      </c>
      <c r="G908" s="4" t="s">
        <v>16</v>
      </c>
      <c r="H908" s="4">
        <v>1</v>
      </c>
      <c r="I908" s="4">
        <v>25</v>
      </c>
      <c r="J908" s="4">
        <v>25</v>
      </c>
      <c r="K908" s="4" t="str" cm="1">
        <f t="array" ref="K908">_xlfn.IFS(AND(Table1567[[#This Row],[Total Amount]]&gt;=1500),"Critical",AND(Table1567[[#This Row],[Total Amount]]&gt;=1000),"High",TRUE,"Normal")</f>
        <v>Normal</v>
      </c>
      <c r="L908" s="4" t="str">
        <f>IF(Table1567[[#This Row],[Total Amount]]&gt;=1000,"High",(IF(Table1567[[#This Row],[Total Amount]]&gt;=500,"Medium","Low")))</f>
        <v>Low</v>
      </c>
      <c r="M908" s="4" t="str" cm="1">
        <f t="array" ref="M90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08" s="4" cm="1">
        <f t="array" ref="N90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908" s="4">
        <f>Table1567[[#This Row],[Total Amount]]-Table1567[[#This Row],[Discount Amount]]</f>
        <v>20</v>
      </c>
      <c r="P908" s="4" t="str">
        <f>IF(Table1567[[#This Row],[Total Amount]]&gt;=1000,"High","Low")</f>
        <v>Low</v>
      </c>
      <c r="Q908" s="4" t="str" cm="1">
        <f t="array" ref="Q908">_xlfn.IFS(AND(Table1567[[#This Row],[Total Amount]]&gt;=1500,"Critical"),AND(Table1567[[#This Row],[Total Amount]]&gt;=1000,"High"),TRUE,"Normal")</f>
        <v>Normal</v>
      </c>
      <c r="R908" s="4" t="str">
        <f>CONCATENATE(Table1567[[#This Row],[Customer ID]], "-",Table1567[[#This Row],[Age]])</f>
        <v>CUST907-45</v>
      </c>
      <c r="S908" s="4" t="str">
        <f>TEXT(Table1567[[#This Row],[Date]],"mmm")</f>
        <v>Jan</v>
      </c>
      <c r="T908" s="4" t="str">
        <f>TEXT(Table1567[[#This Row],[Date]],"DDD")</f>
        <v>Sun</v>
      </c>
    </row>
    <row r="909" spans="1:20" ht="29" x14ac:dyDescent="0.35">
      <c r="A909" s="4">
        <v>908</v>
      </c>
      <c r="B909" s="5">
        <v>45289</v>
      </c>
      <c r="C909" s="4" t="s">
        <v>921</v>
      </c>
      <c r="D909" s="4" t="s">
        <v>10</v>
      </c>
      <c r="E909" s="4">
        <v>46</v>
      </c>
      <c r="F909" s="4" t="str">
        <f>IF(Table1567[[#This Row],[Age]]&lt;=19,"Teenager",IF(Table1567[[#This Row],[Age]]&lt;=40,"Median","Old"))</f>
        <v>Old</v>
      </c>
      <c r="G909" s="4" t="s">
        <v>11</v>
      </c>
      <c r="H909" s="4">
        <v>4</v>
      </c>
      <c r="I909" s="4">
        <v>300</v>
      </c>
      <c r="J909" s="4">
        <v>1200</v>
      </c>
      <c r="K909" s="4" t="str" cm="1">
        <f t="array" ref="K909">_xlfn.IFS(AND(Table1567[[#This Row],[Total Amount]]&gt;=1500),"Critical",AND(Table1567[[#This Row],[Total Amount]]&gt;=1000),"High",TRUE,"Normal")</f>
        <v>High</v>
      </c>
      <c r="L909" s="4" t="str">
        <f>IF(Table1567[[#This Row],[Total Amount]]&gt;=1000,"High",(IF(Table1567[[#This Row],[Total Amount]]&gt;=500,"Medium","Low")))</f>
        <v>High</v>
      </c>
      <c r="M909" s="4" t="str" cm="1">
        <f t="array" ref="M90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09" s="4" cm="1">
        <f t="array" ref="N90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909" s="4">
        <f>Table1567[[#This Row],[Total Amount]]-Table1567[[#This Row],[Discount Amount]]</f>
        <v>1080</v>
      </c>
      <c r="P909" s="4" t="str">
        <f>IF(Table1567[[#This Row],[Total Amount]]&gt;=1000,"High","Low")</f>
        <v>High</v>
      </c>
      <c r="Q909" s="4" t="str" cm="1">
        <f t="array" ref="Q909">_xlfn.IFS(AND(Table1567[[#This Row],[Total Amount]]&gt;=1500,"Critical"),AND(Table1567[[#This Row],[Total Amount]]&gt;=1000,"High"),TRUE,"Normal")</f>
        <v>Normal</v>
      </c>
      <c r="R909" s="4" t="str">
        <f>CONCATENATE(Table1567[[#This Row],[Customer ID]], "-",Table1567[[#This Row],[Age]])</f>
        <v>CUST908-46</v>
      </c>
      <c r="S909" s="4" t="str">
        <f>TEXT(Table1567[[#This Row],[Date]],"mmm")</f>
        <v>Dec</v>
      </c>
      <c r="T909" s="4" t="str">
        <f>TEXT(Table1567[[#This Row],[Date]],"DDD")</f>
        <v>Fri</v>
      </c>
    </row>
    <row r="910" spans="1:20" ht="29" x14ac:dyDescent="0.35">
      <c r="A910" s="4">
        <v>909</v>
      </c>
      <c r="B910" s="5">
        <v>45200</v>
      </c>
      <c r="C910" s="4" t="s">
        <v>922</v>
      </c>
      <c r="D910" s="4" t="s">
        <v>10</v>
      </c>
      <c r="E910" s="4">
        <v>26</v>
      </c>
      <c r="F910" s="4" t="str">
        <f>IF(Table1567[[#This Row],[Age]]&lt;=19,"Teenager",IF(Table1567[[#This Row],[Age]]&lt;=40,"Median","Old"))</f>
        <v>Median</v>
      </c>
      <c r="G910" s="4" t="s">
        <v>16</v>
      </c>
      <c r="H910" s="4">
        <v>1</v>
      </c>
      <c r="I910" s="4">
        <v>300</v>
      </c>
      <c r="J910" s="4">
        <v>300</v>
      </c>
      <c r="K910" s="4" t="str" cm="1">
        <f t="array" ref="K910">_xlfn.IFS(AND(Table1567[[#This Row],[Total Amount]]&gt;=1500),"Critical",AND(Table1567[[#This Row],[Total Amount]]&gt;=1000),"High",TRUE,"Normal")</f>
        <v>Normal</v>
      </c>
      <c r="L910" s="4" t="str">
        <f>IF(Table1567[[#This Row],[Total Amount]]&gt;=1000,"High",(IF(Table1567[[#This Row],[Total Amount]]&gt;=500,"Medium","Low")))</f>
        <v>Low</v>
      </c>
      <c r="M910" s="4" t="str" cm="1">
        <f t="array" ref="M91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10" s="4" cm="1">
        <f t="array" ref="N91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45</v>
      </c>
      <c r="O910" s="4">
        <f>Table1567[[#This Row],[Total Amount]]-Table1567[[#This Row],[Discount Amount]]</f>
        <v>255</v>
      </c>
      <c r="P910" s="4" t="str">
        <f>IF(Table1567[[#This Row],[Total Amount]]&gt;=1000,"High","Low")</f>
        <v>Low</v>
      </c>
      <c r="Q910" s="4" t="str" cm="1">
        <f t="array" ref="Q910">_xlfn.IFS(AND(Table1567[[#This Row],[Total Amount]]&gt;=1500,"Critical"),AND(Table1567[[#This Row],[Total Amount]]&gt;=1000,"High"),TRUE,"Normal")</f>
        <v>Normal</v>
      </c>
      <c r="R910" s="4" t="str">
        <f>CONCATENATE(Table1567[[#This Row],[Customer ID]], "-",Table1567[[#This Row],[Age]])</f>
        <v>CUST909-26</v>
      </c>
      <c r="S910" s="4" t="str">
        <f>TEXT(Table1567[[#This Row],[Date]],"mmm")</f>
        <v>Oct</v>
      </c>
      <c r="T910" s="4" t="str">
        <f>TEXT(Table1567[[#This Row],[Date]],"DDD")</f>
        <v>Sun</v>
      </c>
    </row>
    <row r="911" spans="1:20" ht="29" x14ac:dyDescent="0.35">
      <c r="A911" s="4">
        <v>910</v>
      </c>
      <c r="B911" s="5">
        <v>44991</v>
      </c>
      <c r="C911" s="4" t="s">
        <v>923</v>
      </c>
      <c r="D911" s="4" t="s">
        <v>13</v>
      </c>
      <c r="E911" s="4">
        <v>20</v>
      </c>
      <c r="F911" s="4" t="str">
        <f>IF(Table1567[[#This Row],[Age]]&lt;=19,"Teenager",IF(Table1567[[#This Row],[Age]]&lt;=40,"Median","Old"))</f>
        <v>Median</v>
      </c>
      <c r="G911" s="4" t="s">
        <v>11</v>
      </c>
      <c r="H911" s="4">
        <v>3</v>
      </c>
      <c r="I911" s="4">
        <v>50</v>
      </c>
      <c r="J911" s="4">
        <v>150</v>
      </c>
      <c r="K911" s="4" t="str" cm="1">
        <f t="array" ref="K911">_xlfn.IFS(AND(Table1567[[#This Row],[Total Amount]]&gt;=1500),"Critical",AND(Table1567[[#This Row],[Total Amount]]&gt;=1000),"High",TRUE,"Normal")</f>
        <v>Normal</v>
      </c>
      <c r="L911" s="4" t="str">
        <f>IF(Table1567[[#This Row],[Total Amount]]&gt;=1000,"High",(IF(Table1567[[#This Row],[Total Amount]]&gt;=500,"Medium","Low")))</f>
        <v>Low</v>
      </c>
      <c r="M911" s="4" t="str" cm="1">
        <f t="array" ref="M91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911" s="4" cm="1">
        <f t="array" ref="N91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911" s="4">
        <f>Table1567[[#This Row],[Total Amount]]-Table1567[[#This Row],[Discount Amount]]</f>
        <v>150</v>
      </c>
      <c r="P911" s="4" t="str">
        <f>IF(Table1567[[#This Row],[Total Amount]]&gt;=1000,"High","Low")</f>
        <v>Low</v>
      </c>
      <c r="Q911" s="4" t="str" cm="1">
        <f t="array" ref="Q911">_xlfn.IFS(AND(Table1567[[#This Row],[Total Amount]]&gt;=1500,"Critical"),AND(Table1567[[#This Row],[Total Amount]]&gt;=1000,"High"),TRUE,"Normal")</f>
        <v>Normal</v>
      </c>
      <c r="R911" s="4" t="str">
        <f>CONCATENATE(Table1567[[#This Row],[Customer ID]], "-",Table1567[[#This Row],[Age]])</f>
        <v>CUST910-20</v>
      </c>
      <c r="S911" s="4" t="str">
        <f>TEXT(Table1567[[#This Row],[Date]],"mmm")</f>
        <v>Mar</v>
      </c>
      <c r="T911" s="4" t="str">
        <f>TEXT(Table1567[[#This Row],[Date]],"DDD")</f>
        <v>Mon</v>
      </c>
    </row>
    <row r="912" spans="1:20" ht="29" x14ac:dyDescent="0.35">
      <c r="A912" s="4">
        <v>911</v>
      </c>
      <c r="B912" s="5">
        <v>45067</v>
      </c>
      <c r="C912" s="4" t="s">
        <v>924</v>
      </c>
      <c r="D912" s="4" t="s">
        <v>10</v>
      </c>
      <c r="E912" s="4">
        <v>42</v>
      </c>
      <c r="F912" s="4" t="str">
        <f>IF(Table1567[[#This Row],[Age]]&lt;=19,"Teenager",IF(Table1567[[#This Row],[Age]]&lt;=40,"Median","Old"))</f>
        <v>Old</v>
      </c>
      <c r="G912" s="4" t="s">
        <v>16</v>
      </c>
      <c r="H912" s="4">
        <v>3</v>
      </c>
      <c r="I912" s="4">
        <v>300</v>
      </c>
      <c r="J912" s="4">
        <v>900</v>
      </c>
      <c r="K912" s="4" t="str" cm="1">
        <f t="array" ref="K912">_xlfn.IFS(AND(Table1567[[#This Row],[Total Amount]]&gt;=1500),"Critical",AND(Table1567[[#This Row],[Total Amount]]&gt;=1000),"High",TRUE,"Normal")</f>
        <v>Normal</v>
      </c>
      <c r="L912" s="4" t="str">
        <f>IF(Table1567[[#This Row],[Total Amount]]&gt;=1000,"High",(IF(Table1567[[#This Row],[Total Amount]]&gt;=500,"Medium","Low")))</f>
        <v>Medium</v>
      </c>
      <c r="M912" s="4" t="str" cm="1">
        <f t="array" ref="M91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12" s="4" cm="1">
        <f t="array" ref="N91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912" s="4">
        <f>Table1567[[#This Row],[Total Amount]]-Table1567[[#This Row],[Discount Amount]]</f>
        <v>810</v>
      </c>
      <c r="P912" s="4" t="str">
        <f>IF(Table1567[[#This Row],[Total Amount]]&gt;=1000,"High","Low")</f>
        <v>Low</v>
      </c>
      <c r="Q912" s="4" t="str" cm="1">
        <f t="array" ref="Q912">_xlfn.IFS(AND(Table1567[[#This Row],[Total Amount]]&gt;=1500,"Critical"),AND(Table1567[[#This Row],[Total Amount]]&gt;=1000,"High"),TRUE,"Normal")</f>
        <v>Normal</v>
      </c>
      <c r="R912" s="4" t="str">
        <f>CONCATENATE(Table1567[[#This Row],[Customer ID]], "-",Table1567[[#This Row],[Age]])</f>
        <v>CUST911-42</v>
      </c>
      <c r="S912" s="4" t="str">
        <f>TEXT(Table1567[[#This Row],[Date]],"mmm")</f>
        <v>May</v>
      </c>
      <c r="T912" s="4" t="str">
        <f>TEXT(Table1567[[#This Row],[Date]],"DDD")</f>
        <v>Sun</v>
      </c>
    </row>
    <row r="913" spans="1:20" ht="29" x14ac:dyDescent="0.35">
      <c r="A913" s="4">
        <v>912</v>
      </c>
      <c r="B913" s="5">
        <v>44950</v>
      </c>
      <c r="C913" s="4" t="s">
        <v>925</v>
      </c>
      <c r="D913" s="4" t="s">
        <v>10</v>
      </c>
      <c r="E913" s="4">
        <v>51</v>
      </c>
      <c r="F913" s="4" t="str">
        <f>IF(Table1567[[#This Row],[Age]]&lt;=19,"Teenager",IF(Table1567[[#This Row],[Age]]&lt;=40,"Median","Old"))</f>
        <v>Old</v>
      </c>
      <c r="G913" s="4" t="s">
        <v>11</v>
      </c>
      <c r="H913" s="4">
        <v>3</v>
      </c>
      <c r="I913" s="4">
        <v>50</v>
      </c>
      <c r="J913" s="4">
        <v>150</v>
      </c>
      <c r="K913" s="4" t="str" cm="1">
        <f t="array" ref="K913">_xlfn.IFS(AND(Table1567[[#This Row],[Total Amount]]&gt;=1500),"Critical",AND(Table1567[[#This Row],[Total Amount]]&gt;=1000),"High",TRUE,"Normal")</f>
        <v>Normal</v>
      </c>
      <c r="L913" s="4" t="str">
        <f>IF(Table1567[[#This Row],[Total Amount]]&gt;=1000,"High",(IF(Table1567[[#This Row],[Total Amount]]&gt;=500,"Medium","Low")))</f>
        <v>Low</v>
      </c>
      <c r="M913" s="4" t="str" cm="1">
        <f t="array" ref="M91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13" s="4" cm="1">
        <f t="array" ref="N91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913" s="4">
        <f>Table1567[[#This Row],[Total Amount]]-Table1567[[#This Row],[Discount Amount]]</f>
        <v>135</v>
      </c>
      <c r="P913" s="4" t="str">
        <f>IF(Table1567[[#This Row],[Total Amount]]&gt;=1000,"High","Low")</f>
        <v>Low</v>
      </c>
      <c r="Q913" s="4" t="str" cm="1">
        <f t="array" ref="Q913">_xlfn.IFS(AND(Table1567[[#This Row],[Total Amount]]&gt;=1500,"Critical"),AND(Table1567[[#This Row],[Total Amount]]&gt;=1000,"High"),TRUE,"Normal")</f>
        <v>Normal</v>
      </c>
      <c r="R913" s="4" t="str">
        <f>CONCATENATE(Table1567[[#This Row],[Customer ID]], "-",Table1567[[#This Row],[Age]])</f>
        <v>CUST912-51</v>
      </c>
      <c r="S913" s="4" t="str">
        <f>TEXT(Table1567[[#This Row],[Date]],"mmm")</f>
        <v>Jan</v>
      </c>
      <c r="T913" s="4" t="str">
        <f>TEXT(Table1567[[#This Row],[Date]],"DDD")</f>
        <v>Tue</v>
      </c>
    </row>
    <row r="914" spans="1:20" ht="29" x14ac:dyDescent="0.35">
      <c r="A914" s="4">
        <v>913</v>
      </c>
      <c r="B914" s="5">
        <v>44954</v>
      </c>
      <c r="C914" s="4" t="s">
        <v>926</v>
      </c>
      <c r="D914" s="4" t="s">
        <v>10</v>
      </c>
      <c r="E914" s="4">
        <v>29</v>
      </c>
      <c r="F914" s="4" t="str">
        <f>IF(Table1567[[#This Row],[Age]]&lt;=19,"Teenager",IF(Table1567[[#This Row],[Age]]&lt;=40,"Median","Old"))</f>
        <v>Median</v>
      </c>
      <c r="G914" s="4" t="s">
        <v>16</v>
      </c>
      <c r="H914" s="4">
        <v>3</v>
      </c>
      <c r="I914" s="4">
        <v>30</v>
      </c>
      <c r="J914" s="4">
        <v>90</v>
      </c>
      <c r="K914" s="4" t="str" cm="1">
        <f t="array" ref="K914">_xlfn.IFS(AND(Table1567[[#This Row],[Total Amount]]&gt;=1500),"Critical",AND(Table1567[[#This Row],[Total Amount]]&gt;=1000),"High",TRUE,"Normal")</f>
        <v>Normal</v>
      </c>
      <c r="L914" s="4" t="str">
        <f>IF(Table1567[[#This Row],[Total Amount]]&gt;=1000,"High",(IF(Table1567[[#This Row],[Total Amount]]&gt;=500,"Medium","Low")))</f>
        <v>Low</v>
      </c>
      <c r="M914" s="4" t="str" cm="1">
        <f t="array" ref="M91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14" s="4" cm="1">
        <f t="array" ref="N91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13.5</v>
      </c>
      <c r="O914" s="4">
        <f>Table1567[[#This Row],[Total Amount]]-Table1567[[#This Row],[Discount Amount]]</f>
        <v>76.5</v>
      </c>
      <c r="P914" s="4" t="str">
        <f>IF(Table1567[[#This Row],[Total Amount]]&gt;=1000,"High","Low")</f>
        <v>Low</v>
      </c>
      <c r="Q914" s="4" t="str" cm="1">
        <f t="array" ref="Q914">_xlfn.IFS(AND(Table1567[[#This Row],[Total Amount]]&gt;=1500,"Critical"),AND(Table1567[[#This Row],[Total Amount]]&gt;=1000,"High"),TRUE,"Normal")</f>
        <v>Normal</v>
      </c>
      <c r="R914" s="4" t="str">
        <f>CONCATENATE(Table1567[[#This Row],[Customer ID]], "-",Table1567[[#This Row],[Age]])</f>
        <v>CUST913-29</v>
      </c>
      <c r="S914" s="4" t="str">
        <f>TEXT(Table1567[[#This Row],[Date]],"mmm")</f>
        <v>Jan</v>
      </c>
      <c r="T914" s="4" t="str">
        <f>TEXT(Table1567[[#This Row],[Date]],"DDD")</f>
        <v>Sat</v>
      </c>
    </row>
    <row r="915" spans="1:20" ht="29" x14ac:dyDescent="0.35">
      <c r="A915" s="4">
        <v>914</v>
      </c>
      <c r="B915" s="5">
        <v>45210</v>
      </c>
      <c r="C915" s="4" t="s">
        <v>927</v>
      </c>
      <c r="D915" s="4" t="s">
        <v>13</v>
      </c>
      <c r="E915" s="4">
        <v>59</v>
      </c>
      <c r="F915" s="4" t="str">
        <f>IF(Table1567[[#This Row],[Age]]&lt;=19,"Teenager",IF(Table1567[[#This Row],[Age]]&lt;=40,"Median","Old"))</f>
        <v>Old</v>
      </c>
      <c r="G915" s="4" t="s">
        <v>16</v>
      </c>
      <c r="H915" s="4">
        <v>1</v>
      </c>
      <c r="I915" s="4">
        <v>500</v>
      </c>
      <c r="J915" s="4">
        <v>500</v>
      </c>
      <c r="K915" s="4" t="str" cm="1">
        <f t="array" ref="K915">_xlfn.IFS(AND(Table1567[[#This Row],[Total Amount]]&gt;=1500),"Critical",AND(Table1567[[#This Row],[Total Amount]]&gt;=1000),"High",TRUE,"Normal")</f>
        <v>Normal</v>
      </c>
      <c r="L915" s="4" t="str">
        <f>IF(Table1567[[#This Row],[Total Amount]]&gt;=1000,"High",(IF(Table1567[[#This Row],[Total Amount]]&gt;=500,"Medium","Low")))</f>
        <v>Medium</v>
      </c>
      <c r="M915" s="4" t="str" cm="1">
        <f t="array" ref="M91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15" s="4" cm="1">
        <f t="array" ref="N91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915" s="4">
        <f>Table1567[[#This Row],[Total Amount]]-Table1567[[#This Row],[Discount Amount]]</f>
        <v>400</v>
      </c>
      <c r="P915" s="4" t="str">
        <f>IF(Table1567[[#This Row],[Total Amount]]&gt;=1000,"High","Low")</f>
        <v>Low</v>
      </c>
      <c r="Q915" s="4" t="str" cm="1">
        <f t="array" ref="Q915">_xlfn.IFS(AND(Table1567[[#This Row],[Total Amount]]&gt;=1500,"Critical"),AND(Table1567[[#This Row],[Total Amount]]&gt;=1000,"High"),TRUE,"Normal")</f>
        <v>Normal</v>
      </c>
      <c r="R915" s="4" t="str">
        <f>CONCATENATE(Table1567[[#This Row],[Customer ID]], "-",Table1567[[#This Row],[Age]])</f>
        <v>CUST914-59</v>
      </c>
      <c r="S915" s="4" t="str">
        <f>TEXT(Table1567[[#This Row],[Date]],"mmm")</f>
        <v>Oct</v>
      </c>
      <c r="T915" s="4" t="str">
        <f>TEXT(Table1567[[#This Row],[Date]],"DDD")</f>
        <v>Wed</v>
      </c>
    </row>
    <row r="916" spans="1:20" ht="29" x14ac:dyDescent="0.35">
      <c r="A916" s="4">
        <v>915</v>
      </c>
      <c r="B916" s="5">
        <v>45076</v>
      </c>
      <c r="C916" s="4" t="s">
        <v>928</v>
      </c>
      <c r="D916" s="4" t="s">
        <v>13</v>
      </c>
      <c r="E916" s="4">
        <v>26</v>
      </c>
      <c r="F916" s="4" t="str">
        <f>IF(Table1567[[#This Row],[Age]]&lt;=19,"Teenager",IF(Table1567[[#This Row],[Age]]&lt;=40,"Median","Old"))</f>
        <v>Median</v>
      </c>
      <c r="G916" s="4" t="s">
        <v>11</v>
      </c>
      <c r="H916" s="4">
        <v>3</v>
      </c>
      <c r="I916" s="4">
        <v>30</v>
      </c>
      <c r="J916" s="4">
        <v>90</v>
      </c>
      <c r="K916" s="4" t="str" cm="1">
        <f t="array" ref="K916">_xlfn.IFS(AND(Table1567[[#This Row],[Total Amount]]&gt;=1500),"Critical",AND(Table1567[[#This Row],[Total Amount]]&gt;=1000),"High",TRUE,"Normal")</f>
        <v>Normal</v>
      </c>
      <c r="L916" s="4" t="str">
        <f>IF(Table1567[[#This Row],[Total Amount]]&gt;=1000,"High",(IF(Table1567[[#This Row],[Total Amount]]&gt;=500,"Medium","Low")))</f>
        <v>Low</v>
      </c>
      <c r="M916" s="4" t="str" cm="1">
        <f t="array" ref="M91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16" s="4" cm="1">
        <f t="array" ref="N91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13.5</v>
      </c>
      <c r="O916" s="4">
        <f>Table1567[[#This Row],[Total Amount]]-Table1567[[#This Row],[Discount Amount]]</f>
        <v>76.5</v>
      </c>
      <c r="P916" s="4" t="str">
        <f>IF(Table1567[[#This Row],[Total Amount]]&gt;=1000,"High","Low")</f>
        <v>Low</v>
      </c>
      <c r="Q916" s="4" t="str" cm="1">
        <f t="array" ref="Q916">_xlfn.IFS(AND(Table1567[[#This Row],[Total Amount]]&gt;=1500,"Critical"),AND(Table1567[[#This Row],[Total Amount]]&gt;=1000,"High"),TRUE,"Normal")</f>
        <v>Normal</v>
      </c>
      <c r="R916" s="4" t="str">
        <f>CONCATENATE(Table1567[[#This Row],[Customer ID]], "-",Table1567[[#This Row],[Age]])</f>
        <v>CUST915-26</v>
      </c>
      <c r="S916" s="4" t="str">
        <f>TEXT(Table1567[[#This Row],[Date]],"mmm")</f>
        <v>May</v>
      </c>
      <c r="T916" s="4" t="str">
        <f>TEXT(Table1567[[#This Row],[Date]],"DDD")</f>
        <v>Tue</v>
      </c>
    </row>
    <row r="917" spans="1:20" ht="29" x14ac:dyDescent="0.35">
      <c r="A917" s="4">
        <v>916</v>
      </c>
      <c r="B917" s="5">
        <v>45284</v>
      </c>
      <c r="C917" s="4" t="s">
        <v>929</v>
      </c>
      <c r="D917" s="4" t="s">
        <v>13</v>
      </c>
      <c r="E917" s="4">
        <v>32</v>
      </c>
      <c r="F917" s="4" t="str">
        <f>IF(Table1567[[#This Row],[Age]]&lt;=19,"Teenager",IF(Table1567[[#This Row],[Age]]&lt;=40,"Median","Old"))</f>
        <v>Median</v>
      </c>
      <c r="G917" s="4" t="s">
        <v>16</v>
      </c>
      <c r="H917" s="4">
        <v>1</v>
      </c>
      <c r="I917" s="4">
        <v>50</v>
      </c>
      <c r="J917" s="4">
        <v>50</v>
      </c>
      <c r="K917" s="4" t="str" cm="1">
        <f t="array" ref="K917">_xlfn.IFS(AND(Table1567[[#This Row],[Total Amount]]&gt;=1500),"Critical",AND(Table1567[[#This Row],[Total Amount]]&gt;=1000),"High",TRUE,"Normal")</f>
        <v>Normal</v>
      </c>
      <c r="L917" s="4" t="str">
        <f>IF(Table1567[[#This Row],[Total Amount]]&gt;=1000,"High",(IF(Table1567[[#This Row],[Total Amount]]&gt;=500,"Medium","Low")))</f>
        <v>Low</v>
      </c>
      <c r="M917" s="4" t="str" cm="1">
        <f t="array" ref="M91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17" s="4" cm="1">
        <f t="array" ref="N91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917" s="4">
        <f>Table1567[[#This Row],[Total Amount]]-Table1567[[#This Row],[Discount Amount]]</f>
        <v>42.5</v>
      </c>
      <c r="P917" s="4" t="str">
        <f>IF(Table1567[[#This Row],[Total Amount]]&gt;=1000,"High","Low")</f>
        <v>Low</v>
      </c>
      <c r="Q917" s="4" t="str" cm="1">
        <f t="array" ref="Q917">_xlfn.IFS(AND(Table1567[[#This Row],[Total Amount]]&gt;=1500,"Critical"),AND(Table1567[[#This Row],[Total Amount]]&gt;=1000,"High"),TRUE,"Normal")</f>
        <v>Normal</v>
      </c>
      <c r="R917" s="4" t="str">
        <f>CONCATENATE(Table1567[[#This Row],[Customer ID]], "-",Table1567[[#This Row],[Age]])</f>
        <v>CUST916-32</v>
      </c>
      <c r="S917" s="4" t="str">
        <f>TEXT(Table1567[[#This Row],[Date]],"mmm")</f>
        <v>Dec</v>
      </c>
      <c r="T917" s="4" t="str">
        <f>TEXT(Table1567[[#This Row],[Date]],"DDD")</f>
        <v>Sun</v>
      </c>
    </row>
    <row r="918" spans="1:20" ht="29" x14ac:dyDescent="0.35">
      <c r="A918" s="4">
        <v>917</v>
      </c>
      <c r="B918" s="5">
        <v>44991</v>
      </c>
      <c r="C918" s="4" t="s">
        <v>930</v>
      </c>
      <c r="D918" s="4" t="s">
        <v>13</v>
      </c>
      <c r="E918" s="4">
        <v>57</v>
      </c>
      <c r="F918" s="4" t="str">
        <f>IF(Table1567[[#This Row],[Age]]&lt;=19,"Teenager",IF(Table1567[[#This Row],[Age]]&lt;=40,"Median","Old"))</f>
        <v>Old</v>
      </c>
      <c r="G918" s="4" t="s">
        <v>16</v>
      </c>
      <c r="H918" s="4">
        <v>4</v>
      </c>
      <c r="I918" s="4">
        <v>50</v>
      </c>
      <c r="J918" s="4">
        <v>200</v>
      </c>
      <c r="K918" s="4" t="str" cm="1">
        <f t="array" ref="K918">_xlfn.IFS(AND(Table1567[[#This Row],[Total Amount]]&gt;=1500),"Critical",AND(Table1567[[#This Row],[Total Amount]]&gt;=1000),"High",TRUE,"Normal")</f>
        <v>Normal</v>
      </c>
      <c r="L918" s="4" t="str">
        <f>IF(Table1567[[#This Row],[Total Amount]]&gt;=1000,"High",(IF(Table1567[[#This Row],[Total Amount]]&gt;=500,"Medium","Low")))</f>
        <v>Low</v>
      </c>
      <c r="M918" s="4" t="str" cm="1">
        <f t="array" ref="M91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18" s="4" cm="1">
        <f t="array" ref="N91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</v>
      </c>
      <c r="O918" s="4">
        <f>Table1567[[#This Row],[Total Amount]]-Table1567[[#This Row],[Discount Amount]]</f>
        <v>160</v>
      </c>
      <c r="P918" s="4" t="str">
        <f>IF(Table1567[[#This Row],[Total Amount]]&gt;=1000,"High","Low")</f>
        <v>Low</v>
      </c>
      <c r="Q918" s="4" t="str" cm="1">
        <f t="array" ref="Q918">_xlfn.IFS(AND(Table1567[[#This Row],[Total Amount]]&gt;=1500,"Critical"),AND(Table1567[[#This Row],[Total Amount]]&gt;=1000,"High"),TRUE,"Normal")</f>
        <v>Normal</v>
      </c>
      <c r="R918" s="4" t="str">
        <f>CONCATENATE(Table1567[[#This Row],[Customer ID]], "-",Table1567[[#This Row],[Age]])</f>
        <v>CUST917-57</v>
      </c>
      <c r="S918" s="4" t="str">
        <f>TEXT(Table1567[[#This Row],[Date]],"mmm")</f>
        <v>Mar</v>
      </c>
      <c r="T918" s="4" t="str">
        <f>TEXT(Table1567[[#This Row],[Date]],"DDD")</f>
        <v>Mon</v>
      </c>
    </row>
    <row r="919" spans="1:20" ht="29" x14ac:dyDescent="0.35">
      <c r="A919" s="4">
        <v>918</v>
      </c>
      <c r="B919" s="5">
        <v>45253</v>
      </c>
      <c r="C919" s="4" t="s">
        <v>931</v>
      </c>
      <c r="D919" s="4" t="s">
        <v>13</v>
      </c>
      <c r="E919" s="4">
        <v>42</v>
      </c>
      <c r="F919" s="4" t="str">
        <f>IF(Table1567[[#This Row],[Age]]&lt;=19,"Teenager",IF(Table1567[[#This Row],[Age]]&lt;=40,"Median","Old"))</f>
        <v>Old</v>
      </c>
      <c r="G919" s="4" t="s">
        <v>16</v>
      </c>
      <c r="H919" s="4">
        <v>3</v>
      </c>
      <c r="I919" s="4">
        <v>30</v>
      </c>
      <c r="J919" s="4">
        <v>90</v>
      </c>
      <c r="K919" s="4" t="str" cm="1">
        <f t="array" ref="K919">_xlfn.IFS(AND(Table1567[[#This Row],[Total Amount]]&gt;=1500),"Critical",AND(Table1567[[#This Row],[Total Amount]]&gt;=1000),"High",TRUE,"Normal")</f>
        <v>Normal</v>
      </c>
      <c r="L919" s="4" t="str">
        <f>IF(Table1567[[#This Row],[Total Amount]]&gt;=1000,"High",(IF(Table1567[[#This Row],[Total Amount]]&gt;=500,"Medium","Low")))</f>
        <v>Low</v>
      </c>
      <c r="M919" s="4" t="str" cm="1">
        <f t="array" ref="M91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19" s="4" cm="1">
        <f t="array" ref="N91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919" s="4">
        <f>Table1567[[#This Row],[Total Amount]]-Table1567[[#This Row],[Discount Amount]]</f>
        <v>72</v>
      </c>
      <c r="P919" s="4" t="str">
        <f>IF(Table1567[[#This Row],[Total Amount]]&gt;=1000,"High","Low")</f>
        <v>Low</v>
      </c>
      <c r="Q919" s="4" t="str" cm="1">
        <f t="array" ref="Q919">_xlfn.IFS(AND(Table1567[[#This Row],[Total Amount]]&gt;=1500,"Critical"),AND(Table1567[[#This Row],[Total Amount]]&gt;=1000,"High"),TRUE,"Normal")</f>
        <v>Normal</v>
      </c>
      <c r="R919" s="4" t="str">
        <f>CONCATENATE(Table1567[[#This Row],[Customer ID]], "-",Table1567[[#This Row],[Age]])</f>
        <v>CUST918-42</v>
      </c>
      <c r="S919" s="4" t="str">
        <f>TEXT(Table1567[[#This Row],[Date]],"mmm")</f>
        <v>Nov</v>
      </c>
      <c r="T919" s="4" t="str">
        <f>TEXT(Table1567[[#This Row],[Date]],"DDD")</f>
        <v>Thu</v>
      </c>
    </row>
    <row r="920" spans="1:20" ht="29" x14ac:dyDescent="0.35">
      <c r="A920" s="4">
        <v>919</v>
      </c>
      <c r="B920" s="5">
        <v>45178</v>
      </c>
      <c r="C920" s="4" t="s">
        <v>932</v>
      </c>
      <c r="D920" s="4" t="s">
        <v>13</v>
      </c>
      <c r="E920" s="4">
        <v>22</v>
      </c>
      <c r="F920" s="4" t="str">
        <f>IF(Table1567[[#This Row],[Age]]&lt;=19,"Teenager",IF(Table1567[[#This Row],[Age]]&lt;=40,"Median","Old"))</f>
        <v>Median</v>
      </c>
      <c r="G920" s="4" t="s">
        <v>11</v>
      </c>
      <c r="H920" s="4">
        <v>2</v>
      </c>
      <c r="I920" s="4">
        <v>25</v>
      </c>
      <c r="J920" s="4">
        <v>50</v>
      </c>
      <c r="K920" s="4" t="str" cm="1">
        <f t="array" ref="K920">_xlfn.IFS(AND(Table1567[[#This Row],[Total Amount]]&gt;=1500),"Critical",AND(Table1567[[#This Row],[Total Amount]]&gt;=1000),"High",TRUE,"Normal")</f>
        <v>Normal</v>
      </c>
      <c r="L920" s="4" t="str">
        <f>IF(Table1567[[#This Row],[Total Amount]]&gt;=1000,"High",(IF(Table1567[[#This Row],[Total Amount]]&gt;=500,"Medium","Low")))</f>
        <v>Low</v>
      </c>
      <c r="M920" s="4" t="str" cm="1">
        <f t="array" ref="M92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920" s="4" cm="1">
        <f t="array" ref="N92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920" s="4">
        <f>Table1567[[#This Row],[Total Amount]]-Table1567[[#This Row],[Discount Amount]]</f>
        <v>50</v>
      </c>
      <c r="P920" s="4" t="str">
        <f>IF(Table1567[[#This Row],[Total Amount]]&gt;=1000,"High","Low")</f>
        <v>Low</v>
      </c>
      <c r="Q920" s="4" t="str" cm="1">
        <f t="array" ref="Q920">_xlfn.IFS(AND(Table1567[[#This Row],[Total Amount]]&gt;=1500,"Critical"),AND(Table1567[[#This Row],[Total Amount]]&gt;=1000,"High"),TRUE,"Normal")</f>
        <v>Normal</v>
      </c>
      <c r="R920" s="4" t="str">
        <f>CONCATENATE(Table1567[[#This Row],[Customer ID]], "-",Table1567[[#This Row],[Age]])</f>
        <v>CUST919-22</v>
      </c>
      <c r="S920" s="4" t="str">
        <f>TEXT(Table1567[[#This Row],[Date]],"mmm")</f>
        <v>Sep</v>
      </c>
      <c r="T920" s="4" t="str">
        <f>TEXT(Table1567[[#This Row],[Date]],"DDD")</f>
        <v>Sat</v>
      </c>
    </row>
    <row r="921" spans="1:20" ht="29" x14ac:dyDescent="0.35">
      <c r="A921" s="4">
        <v>920</v>
      </c>
      <c r="B921" s="5">
        <v>44979</v>
      </c>
      <c r="C921" s="4" t="s">
        <v>933</v>
      </c>
      <c r="D921" s="4" t="s">
        <v>13</v>
      </c>
      <c r="E921" s="4">
        <v>28</v>
      </c>
      <c r="F921" s="4" t="str">
        <f>IF(Table1567[[#This Row],[Age]]&lt;=19,"Teenager",IF(Table1567[[#This Row],[Age]]&lt;=40,"Median","Old"))</f>
        <v>Median</v>
      </c>
      <c r="G921" s="4" t="s">
        <v>11</v>
      </c>
      <c r="H921" s="4">
        <v>3</v>
      </c>
      <c r="I921" s="4">
        <v>25</v>
      </c>
      <c r="J921" s="4">
        <v>75</v>
      </c>
      <c r="K921" s="4" t="str" cm="1">
        <f t="array" ref="K921">_xlfn.IFS(AND(Table1567[[#This Row],[Total Amount]]&gt;=1500),"Critical",AND(Table1567[[#This Row],[Total Amount]]&gt;=1000),"High",TRUE,"Normal")</f>
        <v>Normal</v>
      </c>
      <c r="L921" s="4" t="str">
        <f>IF(Table1567[[#This Row],[Total Amount]]&gt;=1000,"High",(IF(Table1567[[#This Row],[Total Amount]]&gt;=500,"Medium","Low")))</f>
        <v>Low</v>
      </c>
      <c r="M921" s="4" t="str" cm="1">
        <f t="array" ref="M92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21" s="4" cm="1">
        <f t="array" ref="N92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11.25</v>
      </c>
      <c r="O921" s="4">
        <f>Table1567[[#This Row],[Total Amount]]-Table1567[[#This Row],[Discount Amount]]</f>
        <v>63.75</v>
      </c>
      <c r="P921" s="4" t="str">
        <f>IF(Table1567[[#This Row],[Total Amount]]&gt;=1000,"High","Low")</f>
        <v>Low</v>
      </c>
      <c r="Q921" s="4" t="str" cm="1">
        <f t="array" ref="Q921">_xlfn.IFS(AND(Table1567[[#This Row],[Total Amount]]&gt;=1500,"Critical"),AND(Table1567[[#This Row],[Total Amount]]&gt;=1000,"High"),TRUE,"Normal")</f>
        <v>Normal</v>
      </c>
      <c r="R921" s="4" t="str">
        <f>CONCATENATE(Table1567[[#This Row],[Customer ID]], "-",Table1567[[#This Row],[Age]])</f>
        <v>CUST920-28</v>
      </c>
      <c r="S921" s="4" t="str">
        <f>TEXT(Table1567[[#This Row],[Date]],"mmm")</f>
        <v>Feb</v>
      </c>
      <c r="T921" s="4" t="str">
        <f>TEXT(Table1567[[#This Row],[Date]],"DDD")</f>
        <v>Wed</v>
      </c>
    </row>
    <row r="922" spans="1:20" ht="29" x14ac:dyDescent="0.35">
      <c r="A922" s="4">
        <v>921</v>
      </c>
      <c r="B922" s="5">
        <v>44933</v>
      </c>
      <c r="C922" s="4" t="s">
        <v>934</v>
      </c>
      <c r="D922" s="4" t="s">
        <v>10</v>
      </c>
      <c r="E922" s="4">
        <v>51</v>
      </c>
      <c r="F922" s="4" t="str">
        <f>IF(Table1567[[#This Row],[Age]]&lt;=19,"Teenager",IF(Table1567[[#This Row],[Age]]&lt;=40,"Median","Old"))</f>
        <v>Old</v>
      </c>
      <c r="G922" s="4" t="s">
        <v>16</v>
      </c>
      <c r="H922" s="4">
        <v>3</v>
      </c>
      <c r="I922" s="4">
        <v>25</v>
      </c>
      <c r="J922" s="4">
        <v>75</v>
      </c>
      <c r="K922" s="4" t="str" cm="1">
        <f t="array" ref="K922">_xlfn.IFS(AND(Table1567[[#This Row],[Total Amount]]&gt;=1500),"Critical",AND(Table1567[[#This Row],[Total Amount]]&gt;=1000),"High",TRUE,"Normal")</f>
        <v>Normal</v>
      </c>
      <c r="L922" s="4" t="str">
        <f>IF(Table1567[[#This Row],[Total Amount]]&gt;=1000,"High",(IF(Table1567[[#This Row],[Total Amount]]&gt;=500,"Medium","Low")))</f>
        <v>Low</v>
      </c>
      <c r="M922" s="4" t="str" cm="1">
        <f t="array" ref="M92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22" s="4" cm="1">
        <f t="array" ref="N92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922" s="4">
        <f>Table1567[[#This Row],[Total Amount]]-Table1567[[#This Row],[Discount Amount]]</f>
        <v>67.5</v>
      </c>
      <c r="P922" s="4" t="str">
        <f>IF(Table1567[[#This Row],[Total Amount]]&gt;=1000,"High","Low")</f>
        <v>Low</v>
      </c>
      <c r="Q922" s="4" t="str" cm="1">
        <f t="array" ref="Q922">_xlfn.IFS(AND(Table1567[[#This Row],[Total Amount]]&gt;=1500,"Critical"),AND(Table1567[[#This Row],[Total Amount]]&gt;=1000,"High"),TRUE,"Normal")</f>
        <v>Normal</v>
      </c>
      <c r="R922" s="4" t="str">
        <f>CONCATENATE(Table1567[[#This Row],[Customer ID]], "-",Table1567[[#This Row],[Age]])</f>
        <v>CUST921-51</v>
      </c>
      <c r="S922" s="4" t="str">
        <f>TEXT(Table1567[[#This Row],[Date]],"mmm")</f>
        <v>Jan</v>
      </c>
      <c r="T922" s="4" t="str">
        <f>TEXT(Table1567[[#This Row],[Date]],"DDD")</f>
        <v>Sat</v>
      </c>
    </row>
    <row r="923" spans="1:20" ht="29" x14ac:dyDescent="0.35">
      <c r="A923" s="4">
        <v>922</v>
      </c>
      <c r="B923" s="5">
        <v>45220</v>
      </c>
      <c r="C923" s="4" t="s">
        <v>935</v>
      </c>
      <c r="D923" s="4" t="s">
        <v>10</v>
      </c>
      <c r="E923" s="4">
        <v>41</v>
      </c>
      <c r="F923" s="4" t="str">
        <f>IF(Table1567[[#This Row],[Age]]&lt;=19,"Teenager",IF(Table1567[[#This Row],[Age]]&lt;=40,"Median","Old"))</f>
        <v>Old</v>
      </c>
      <c r="G923" s="4" t="s">
        <v>16</v>
      </c>
      <c r="H923" s="4">
        <v>1</v>
      </c>
      <c r="I923" s="4">
        <v>50</v>
      </c>
      <c r="J923" s="4">
        <v>50</v>
      </c>
      <c r="K923" s="4" t="str" cm="1">
        <f t="array" ref="K923">_xlfn.IFS(AND(Table1567[[#This Row],[Total Amount]]&gt;=1500),"Critical",AND(Table1567[[#This Row],[Total Amount]]&gt;=1000),"High",TRUE,"Normal")</f>
        <v>Normal</v>
      </c>
      <c r="L923" s="4" t="str">
        <f>IF(Table1567[[#This Row],[Total Amount]]&gt;=1000,"High",(IF(Table1567[[#This Row],[Total Amount]]&gt;=500,"Medium","Low")))</f>
        <v>Low</v>
      </c>
      <c r="M923" s="4" t="str" cm="1">
        <f t="array" ref="M92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23" s="4" cm="1">
        <f t="array" ref="N92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923" s="4">
        <f>Table1567[[#This Row],[Total Amount]]-Table1567[[#This Row],[Discount Amount]]</f>
        <v>45</v>
      </c>
      <c r="P923" s="4" t="str">
        <f>IF(Table1567[[#This Row],[Total Amount]]&gt;=1000,"High","Low")</f>
        <v>Low</v>
      </c>
      <c r="Q923" s="4" t="str" cm="1">
        <f t="array" ref="Q923">_xlfn.IFS(AND(Table1567[[#This Row],[Total Amount]]&gt;=1500,"Critical"),AND(Table1567[[#This Row],[Total Amount]]&gt;=1000,"High"),TRUE,"Normal")</f>
        <v>Normal</v>
      </c>
      <c r="R923" s="4" t="str">
        <f>CONCATENATE(Table1567[[#This Row],[Customer ID]], "-",Table1567[[#This Row],[Age]])</f>
        <v>CUST922-41</v>
      </c>
      <c r="S923" s="4" t="str">
        <f>TEXT(Table1567[[#This Row],[Date]],"mmm")</f>
        <v>Oct</v>
      </c>
      <c r="T923" s="4" t="str">
        <f>TEXT(Table1567[[#This Row],[Date]],"DDD")</f>
        <v>Sat</v>
      </c>
    </row>
    <row r="924" spans="1:20" ht="29" x14ac:dyDescent="0.35">
      <c r="A924" s="4">
        <v>923</v>
      </c>
      <c r="B924" s="5">
        <v>45072</v>
      </c>
      <c r="C924" s="4" t="s">
        <v>936</v>
      </c>
      <c r="D924" s="4" t="s">
        <v>10</v>
      </c>
      <c r="E924" s="4">
        <v>32</v>
      </c>
      <c r="F924" s="4" t="str">
        <f>IF(Table1567[[#This Row],[Age]]&lt;=19,"Teenager",IF(Table1567[[#This Row],[Age]]&lt;=40,"Median","Old"))</f>
        <v>Median</v>
      </c>
      <c r="G924" s="4" t="s">
        <v>11</v>
      </c>
      <c r="H924" s="4">
        <v>3</v>
      </c>
      <c r="I924" s="4">
        <v>300</v>
      </c>
      <c r="J924" s="4">
        <v>900</v>
      </c>
      <c r="K924" s="4" t="str" cm="1">
        <f t="array" ref="K924">_xlfn.IFS(AND(Table1567[[#This Row],[Total Amount]]&gt;=1500),"Critical",AND(Table1567[[#This Row],[Total Amount]]&gt;=1000),"High",TRUE,"Normal")</f>
        <v>Normal</v>
      </c>
      <c r="L924" s="4" t="str">
        <f>IF(Table1567[[#This Row],[Total Amount]]&gt;=1000,"High",(IF(Table1567[[#This Row],[Total Amount]]&gt;=500,"Medium","Low")))</f>
        <v>Medium</v>
      </c>
      <c r="M924" s="4" t="str" cm="1">
        <f t="array" ref="M92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24" s="4" cm="1">
        <f t="array" ref="N92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135</v>
      </c>
      <c r="O924" s="4">
        <f>Table1567[[#This Row],[Total Amount]]-Table1567[[#This Row],[Discount Amount]]</f>
        <v>765</v>
      </c>
      <c r="P924" s="4" t="str">
        <f>IF(Table1567[[#This Row],[Total Amount]]&gt;=1000,"High","Low")</f>
        <v>Low</v>
      </c>
      <c r="Q924" s="4" t="str" cm="1">
        <f t="array" ref="Q924">_xlfn.IFS(AND(Table1567[[#This Row],[Total Amount]]&gt;=1500,"Critical"),AND(Table1567[[#This Row],[Total Amount]]&gt;=1000,"High"),TRUE,"Normal")</f>
        <v>Normal</v>
      </c>
      <c r="R924" s="4" t="str">
        <f>CONCATENATE(Table1567[[#This Row],[Customer ID]], "-",Table1567[[#This Row],[Age]])</f>
        <v>CUST923-32</v>
      </c>
      <c r="S924" s="4" t="str">
        <f>TEXT(Table1567[[#This Row],[Date]],"mmm")</f>
        <v>May</v>
      </c>
      <c r="T924" s="4" t="str">
        <f>TEXT(Table1567[[#This Row],[Date]],"DDD")</f>
        <v>Fri</v>
      </c>
    </row>
    <row r="925" spans="1:20" ht="29" x14ac:dyDescent="0.35">
      <c r="A925" s="4">
        <v>924</v>
      </c>
      <c r="B925" s="5">
        <v>45167</v>
      </c>
      <c r="C925" s="4" t="s">
        <v>937</v>
      </c>
      <c r="D925" s="4" t="s">
        <v>10</v>
      </c>
      <c r="E925" s="4">
        <v>55</v>
      </c>
      <c r="F925" s="4" t="str">
        <f>IF(Table1567[[#This Row],[Age]]&lt;=19,"Teenager",IF(Table1567[[#This Row],[Age]]&lt;=40,"Median","Old"))</f>
        <v>Old</v>
      </c>
      <c r="G925" s="4" t="s">
        <v>11</v>
      </c>
      <c r="H925" s="4">
        <v>2</v>
      </c>
      <c r="I925" s="4">
        <v>50</v>
      </c>
      <c r="J925" s="4">
        <v>100</v>
      </c>
      <c r="K925" s="4" t="str" cm="1">
        <f t="array" ref="K925">_xlfn.IFS(AND(Table1567[[#This Row],[Total Amount]]&gt;=1500),"Critical",AND(Table1567[[#This Row],[Total Amount]]&gt;=1000),"High",TRUE,"Normal")</f>
        <v>Normal</v>
      </c>
      <c r="L925" s="4" t="str">
        <f>IF(Table1567[[#This Row],[Total Amount]]&gt;=1000,"High",(IF(Table1567[[#This Row],[Total Amount]]&gt;=500,"Medium","Low")))</f>
        <v>Low</v>
      </c>
      <c r="M925" s="4" t="str" cm="1">
        <f t="array" ref="M92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25" s="4" cm="1">
        <f t="array" ref="N92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925" s="4">
        <f>Table1567[[#This Row],[Total Amount]]-Table1567[[#This Row],[Discount Amount]]</f>
        <v>90</v>
      </c>
      <c r="P925" s="4" t="str">
        <f>IF(Table1567[[#This Row],[Total Amount]]&gt;=1000,"High","Low")</f>
        <v>Low</v>
      </c>
      <c r="Q925" s="4" t="str" cm="1">
        <f t="array" ref="Q925">_xlfn.IFS(AND(Table1567[[#This Row],[Total Amount]]&gt;=1500,"Critical"),AND(Table1567[[#This Row],[Total Amount]]&gt;=1000,"High"),TRUE,"Normal")</f>
        <v>Normal</v>
      </c>
      <c r="R925" s="4" t="str">
        <f>CONCATENATE(Table1567[[#This Row],[Customer ID]], "-",Table1567[[#This Row],[Age]])</f>
        <v>CUST924-55</v>
      </c>
      <c r="S925" s="4" t="str">
        <f>TEXT(Table1567[[#This Row],[Date]],"mmm")</f>
        <v>Aug</v>
      </c>
      <c r="T925" s="4" t="str">
        <f>TEXT(Table1567[[#This Row],[Date]],"DDD")</f>
        <v>Tue</v>
      </c>
    </row>
    <row r="926" spans="1:20" ht="29" x14ac:dyDescent="0.35">
      <c r="A926" s="4">
        <v>925</v>
      </c>
      <c r="B926" s="5">
        <v>45172</v>
      </c>
      <c r="C926" s="4" t="s">
        <v>938</v>
      </c>
      <c r="D926" s="4" t="s">
        <v>10</v>
      </c>
      <c r="E926" s="4">
        <v>25</v>
      </c>
      <c r="F926" s="4" t="str">
        <f>IF(Table1567[[#This Row],[Age]]&lt;=19,"Teenager",IF(Table1567[[#This Row],[Age]]&lt;=40,"Median","Old"))</f>
        <v>Median</v>
      </c>
      <c r="G926" s="4" t="s">
        <v>16</v>
      </c>
      <c r="H926" s="4">
        <v>1</v>
      </c>
      <c r="I926" s="4">
        <v>300</v>
      </c>
      <c r="J926" s="4">
        <v>300</v>
      </c>
      <c r="K926" s="4" t="str" cm="1">
        <f t="array" ref="K926">_xlfn.IFS(AND(Table1567[[#This Row],[Total Amount]]&gt;=1500),"Critical",AND(Table1567[[#This Row],[Total Amount]]&gt;=1000),"High",TRUE,"Normal")</f>
        <v>Normal</v>
      </c>
      <c r="L926" s="4" t="str">
        <f>IF(Table1567[[#This Row],[Total Amount]]&gt;=1000,"High",(IF(Table1567[[#This Row],[Total Amount]]&gt;=500,"Medium","Low")))</f>
        <v>Low</v>
      </c>
      <c r="M926" s="4" t="str" cm="1">
        <f t="array" ref="M92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26" s="4" cm="1">
        <f t="array" ref="N92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45</v>
      </c>
      <c r="O926" s="4">
        <f>Table1567[[#This Row],[Total Amount]]-Table1567[[#This Row],[Discount Amount]]</f>
        <v>255</v>
      </c>
      <c r="P926" s="4" t="str">
        <f>IF(Table1567[[#This Row],[Total Amount]]&gt;=1000,"High","Low")</f>
        <v>Low</v>
      </c>
      <c r="Q926" s="4" t="str" cm="1">
        <f t="array" ref="Q926">_xlfn.IFS(AND(Table1567[[#This Row],[Total Amount]]&gt;=1500,"Critical"),AND(Table1567[[#This Row],[Total Amount]]&gt;=1000,"High"),TRUE,"Normal")</f>
        <v>Normal</v>
      </c>
      <c r="R926" s="4" t="str">
        <f>CONCATENATE(Table1567[[#This Row],[Customer ID]], "-",Table1567[[#This Row],[Age]])</f>
        <v>CUST925-25</v>
      </c>
      <c r="S926" s="4" t="str">
        <f>TEXT(Table1567[[#This Row],[Date]],"mmm")</f>
        <v>Sep</v>
      </c>
      <c r="T926" s="4" t="str">
        <f>TEXT(Table1567[[#This Row],[Date]],"DDD")</f>
        <v>Sun</v>
      </c>
    </row>
    <row r="927" spans="1:20" ht="29" x14ac:dyDescent="0.35">
      <c r="A927" s="4">
        <v>926</v>
      </c>
      <c r="B927" s="5">
        <v>45152</v>
      </c>
      <c r="C927" s="4" t="s">
        <v>939</v>
      </c>
      <c r="D927" s="4" t="s">
        <v>10</v>
      </c>
      <c r="E927" s="4">
        <v>22</v>
      </c>
      <c r="F927" s="4" t="str">
        <f>IF(Table1567[[#This Row],[Age]]&lt;=19,"Teenager",IF(Table1567[[#This Row],[Age]]&lt;=40,"Median","Old"))</f>
        <v>Median</v>
      </c>
      <c r="G927" s="4" t="s">
        <v>16</v>
      </c>
      <c r="H927" s="4">
        <v>1</v>
      </c>
      <c r="I927" s="4">
        <v>30</v>
      </c>
      <c r="J927" s="4">
        <v>30</v>
      </c>
      <c r="K927" s="4" t="str" cm="1">
        <f t="array" ref="K927">_xlfn.IFS(AND(Table1567[[#This Row],[Total Amount]]&gt;=1500),"Critical",AND(Table1567[[#This Row],[Total Amount]]&gt;=1000),"High",TRUE,"Normal")</f>
        <v>Normal</v>
      </c>
      <c r="L927" s="4" t="str">
        <f>IF(Table1567[[#This Row],[Total Amount]]&gt;=1000,"High",(IF(Table1567[[#This Row],[Total Amount]]&gt;=500,"Medium","Low")))</f>
        <v>Low</v>
      </c>
      <c r="M927" s="4" t="str" cm="1">
        <f t="array" ref="M92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927" s="4" cm="1">
        <f t="array" ref="N92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927" s="4">
        <f>Table1567[[#This Row],[Total Amount]]-Table1567[[#This Row],[Discount Amount]]</f>
        <v>30</v>
      </c>
      <c r="P927" s="4" t="str">
        <f>IF(Table1567[[#This Row],[Total Amount]]&gt;=1000,"High","Low")</f>
        <v>Low</v>
      </c>
      <c r="Q927" s="4" t="str" cm="1">
        <f t="array" ref="Q927">_xlfn.IFS(AND(Table1567[[#This Row],[Total Amount]]&gt;=1500,"Critical"),AND(Table1567[[#This Row],[Total Amount]]&gt;=1000,"High"),TRUE,"Normal")</f>
        <v>Normal</v>
      </c>
      <c r="R927" s="4" t="str">
        <f>CONCATENATE(Table1567[[#This Row],[Customer ID]], "-",Table1567[[#This Row],[Age]])</f>
        <v>CUST926-22</v>
      </c>
      <c r="S927" s="4" t="str">
        <f>TEXT(Table1567[[#This Row],[Date]],"mmm")</f>
        <v>Aug</v>
      </c>
      <c r="T927" s="4" t="str">
        <f>TEXT(Table1567[[#This Row],[Date]],"DDD")</f>
        <v>Mon</v>
      </c>
    </row>
    <row r="928" spans="1:20" ht="29" x14ac:dyDescent="0.35">
      <c r="A928" s="4">
        <v>927</v>
      </c>
      <c r="B928" s="5">
        <v>45101</v>
      </c>
      <c r="C928" s="4" t="s">
        <v>940</v>
      </c>
      <c r="D928" s="4" t="s">
        <v>10</v>
      </c>
      <c r="E928" s="4">
        <v>43</v>
      </c>
      <c r="F928" s="4" t="str">
        <f>IF(Table1567[[#This Row],[Age]]&lt;=19,"Teenager",IF(Table1567[[#This Row],[Age]]&lt;=40,"Median","Old"))</f>
        <v>Old</v>
      </c>
      <c r="G928" s="4" t="s">
        <v>16</v>
      </c>
      <c r="H928" s="4">
        <v>4</v>
      </c>
      <c r="I928" s="4">
        <v>500</v>
      </c>
      <c r="J928" s="4">
        <v>2000</v>
      </c>
      <c r="K928" s="4" t="str" cm="1">
        <f t="array" ref="K928">_xlfn.IFS(AND(Table1567[[#This Row],[Total Amount]]&gt;=1500),"Critical",AND(Table1567[[#This Row],[Total Amount]]&gt;=1000),"High",TRUE,"Normal")</f>
        <v>Critical</v>
      </c>
      <c r="L928" s="4" t="str">
        <f>IF(Table1567[[#This Row],[Total Amount]]&gt;=1000,"High",(IF(Table1567[[#This Row],[Total Amount]]&gt;=500,"Medium","Low")))</f>
        <v>High</v>
      </c>
      <c r="M928" s="4" t="str" cm="1">
        <f t="array" ref="M92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28" s="4" cm="1">
        <f t="array" ref="N92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928" s="4">
        <f>Table1567[[#This Row],[Total Amount]]-Table1567[[#This Row],[Discount Amount]]</f>
        <v>1800</v>
      </c>
      <c r="P928" s="4" t="str">
        <f>IF(Table1567[[#This Row],[Total Amount]]&gt;=1000,"High","Low")</f>
        <v>High</v>
      </c>
      <c r="Q928" s="4" t="b" cm="1">
        <f t="array" ref="Q928">_xlfn.IFS(AND(Table1567[[#This Row],[Total Amount]]&gt;=1500,"Critical"),AND(Table1567[[#This Row],[Total Amount]]&gt;=1000,"High"),TRUE,"Normal")</f>
        <v>1</v>
      </c>
      <c r="R928" s="4" t="str">
        <f>CONCATENATE(Table1567[[#This Row],[Customer ID]], "-",Table1567[[#This Row],[Age]])</f>
        <v>CUST927-43</v>
      </c>
      <c r="S928" s="4" t="str">
        <f>TEXT(Table1567[[#This Row],[Date]],"mmm")</f>
        <v>Jun</v>
      </c>
      <c r="T928" s="4" t="str">
        <f>TEXT(Table1567[[#This Row],[Date]],"DDD")</f>
        <v>Sat</v>
      </c>
    </row>
    <row r="929" spans="1:20" ht="29" x14ac:dyDescent="0.35">
      <c r="A929" s="4">
        <v>928</v>
      </c>
      <c r="B929" s="5">
        <v>45021</v>
      </c>
      <c r="C929" s="4" t="s">
        <v>941</v>
      </c>
      <c r="D929" s="4" t="s">
        <v>13</v>
      </c>
      <c r="E929" s="4">
        <v>35</v>
      </c>
      <c r="F929" s="4" t="str">
        <f>IF(Table1567[[#This Row],[Age]]&lt;=19,"Teenager",IF(Table1567[[#This Row],[Age]]&lt;=40,"Median","Old"))</f>
        <v>Median</v>
      </c>
      <c r="G929" s="4" t="s">
        <v>14</v>
      </c>
      <c r="H929" s="4">
        <v>4</v>
      </c>
      <c r="I929" s="4">
        <v>300</v>
      </c>
      <c r="J929" s="4">
        <v>1200</v>
      </c>
      <c r="K929" s="4" t="str" cm="1">
        <f t="array" ref="K929">_xlfn.IFS(AND(Table1567[[#This Row],[Total Amount]]&gt;=1500),"Critical",AND(Table1567[[#This Row],[Total Amount]]&gt;=1000),"High",TRUE,"Normal")</f>
        <v>High</v>
      </c>
      <c r="L929" s="4" t="str">
        <f>IF(Table1567[[#This Row],[Total Amount]]&gt;=1000,"High",(IF(Table1567[[#This Row],[Total Amount]]&gt;=500,"Medium","Low")))</f>
        <v>High</v>
      </c>
      <c r="M929" s="4" t="str" cm="1">
        <f t="array" ref="M92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29" s="4" cm="1">
        <f t="array" ref="N92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240</v>
      </c>
      <c r="O929" s="4">
        <f>Table1567[[#This Row],[Total Amount]]-Table1567[[#This Row],[Discount Amount]]</f>
        <v>960</v>
      </c>
      <c r="P929" s="4" t="str">
        <f>IF(Table1567[[#This Row],[Total Amount]]&gt;=1000,"High","Low")</f>
        <v>High</v>
      </c>
      <c r="Q929" s="4" t="str" cm="1">
        <f t="array" ref="Q929">_xlfn.IFS(AND(Table1567[[#This Row],[Total Amount]]&gt;=1500,"Critical"),AND(Table1567[[#This Row],[Total Amount]]&gt;=1000,"High"),TRUE,"Normal")</f>
        <v>Normal</v>
      </c>
      <c r="R929" s="4" t="str">
        <f>CONCATENATE(Table1567[[#This Row],[Customer ID]], "-",Table1567[[#This Row],[Age]])</f>
        <v>CUST928-35</v>
      </c>
      <c r="S929" s="4" t="str">
        <f>TEXT(Table1567[[#This Row],[Date]],"mmm")</f>
        <v>Apr</v>
      </c>
      <c r="T929" s="4" t="str">
        <f>TEXT(Table1567[[#This Row],[Date]],"DDD")</f>
        <v>Wed</v>
      </c>
    </row>
    <row r="930" spans="1:20" ht="29" x14ac:dyDescent="0.35">
      <c r="A930" s="4">
        <v>929</v>
      </c>
      <c r="B930" s="5">
        <v>44953</v>
      </c>
      <c r="C930" s="4" t="s">
        <v>942</v>
      </c>
      <c r="D930" s="4" t="s">
        <v>13</v>
      </c>
      <c r="E930" s="4">
        <v>23</v>
      </c>
      <c r="F930" s="4" t="str">
        <f>IF(Table1567[[#This Row],[Age]]&lt;=19,"Teenager",IF(Table1567[[#This Row],[Age]]&lt;=40,"Median","Old"))</f>
        <v>Median</v>
      </c>
      <c r="G930" s="4" t="s">
        <v>11</v>
      </c>
      <c r="H930" s="4">
        <v>3</v>
      </c>
      <c r="I930" s="4">
        <v>25</v>
      </c>
      <c r="J930" s="4">
        <v>75</v>
      </c>
      <c r="K930" s="4" t="str" cm="1">
        <f t="array" ref="K930">_xlfn.IFS(AND(Table1567[[#This Row],[Total Amount]]&gt;=1500),"Critical",AND(Table1567[[#This Row],[Total Amount]]&gt;=1000),"High",TRUE,"Normal")</f>
        <v>Normal</v>
      </c>
      <c r="L930" s="4" t="str">
        <f>IF(Table1567[[#This Row],[Total Amount]]&gt;=1000,"High",(IF(Table1567[[#This Row],[Total Amount]]&gt;=500,"Medium","Low")))</f>
        <v>Low</v>
      </c>
      <c r="M930" s="4" t="str" cm="1">
        <f t="array" ref="M93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930" s="4" cm="1">
        <f t="array" ref="N93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930" s="4">
        <f>Table1567[[#This Row],[Total Amount]]-Table1567[[#This Row],[Discount Amount]]</f>
        <v>75</v>
      </c>
      <c r="P930" s="4" t="str">
        <f>IF(Table1567[[#This Row],[Total Amount]]&gt;=1000,"High","Low")</f>
        <v>Low</v>
      </c>
      <c r="Q930" s="4" t="str" cm="1">
        <f t="array" ref="Q930">_xlfn.IFS(AND(Table1567[[#This Row],[Total Amount]]&gt;=1500,"Critical"),AND(Table1567[[#This Row],[Total Amount]]&gt;=1000,"High"),TRUE,"Normal")</f>
        <v>Normal</v>
      </c>
      <c r="R930" s="4" t="str">
        <f>CONCATENATE(Table1567[[#This Row],[Customer ID]], "-",Table1567[[#This Row],[Age]])</f>
        <v>CUST929-23</v>
      </c>
      <c r="S930" s="4" t="str">
        <f>TEXT(Table1567[[#This Row],[Date]],"mmm")</f>
        <v>Jan</v>
      </c>
      <c r="T930" s="4" t="str">
        <f>TEXT(Table1567[[#This Row],[Date]],"DDD")</f>
        <v>Fri</v>
      </c>
    </row>
    <row r="931" spans="1:20" ht="29" x14ac:dyDescent="0.35">
      <c r="A931" s="4">
        <v>930</v>
      </c>
      <c r="B931" s="5">
        <v>45056</v>
      </c>
      <c r="C931" s="4" t="s">
        <v>943</v>
      </c>
      <c r="D931" s="4" t="s">
        <v>10</v>
      </c>
      <c r="E931" s="4">
        <v>54</v>
      </c>
      <c r="F931" s="4" t="str">
        <f>IF(Table1567[[#This Row],[Age]]&lt;=19,"Teenager",IF(Table1567[[#This Row],[Age]]&lt;=40,"Median","Old"))</f>
        <v>Old</v>
      </c>
      <c r="G931" s="4" t="s">
        <v>14</v>
      </c>
      <c r="H931" s="4">
        <v>4</v>
      </c>
      <c r="I931" s="4">
        <v>50</v>
      </c>
      <c r="J931" s="4">
        <v>200</v>
      </c>
      <c r="K931" s="4" t="str" cm="1">
        <f t="array" ref="K931">_xlfn.IFS(AND(Table1567[[#This Row],[Total Amount]]&gt;=1500),"Critical",AND(Table1567[[#This Row],[Total Amount]]&gt;=1000),"High",TRUE,"Normal")</f>
        <v>Normal</v>
      </c>
      <c r="L931" s="4" t="str">
        <f>IF(Table1567[[#This Row],[Total Amount]]&gt;=1000,"High",(IF(Table1567[[#This Row],[Total Amount]]&gt;=500,"Medium","Low")))</f>
        <v>Low</v>
      </c>
      <c r="M931" s="4" t="str" cm="1">
        <f t="array" ref="M93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31" s="4" cm="1">
        <f t="array" ref="N93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931" s="4">
        <f>Table1567[[#This Row],[Total Amount]]-Table1567[[#This Row],[Discount Amount]]</f>
        <v>180</v>
      </c>
      <c r="P931" s="4" t="str">
        <f>IF(Table1567[[#This Row],[Total Amount]]&gt;=1000,"High","Low")</f>
        <v>Low</v>
      </c>
      <c r="Q931" s="4" t="str" cm="1">
        <f t="array" ref="Q931">_xlfn.IFS(AND(Table1567[[#This Row],[Total Amount]]&gt;=1500,"Critical"),AND(Table1567[[#This Row],[Total Amount]]&gt;=1000,"High"),TRUE,"Normal")</f>
        <v>Normal</v>
      </c>
      <c r="R931" s="4" t="str">
        <f>CONCATENATE(Table1567[[#This Row],[Customer ID]], "-",Table1567[[#This Row],[Age]])</f>
        <v>CUST930-54</v>
      </c>
      <c r="S931" s="4" t="str">
        <f>TEXT(Table1567[[#This Row],[Date]],"mmm")</f>
        <v>May</v>
      </c>
      <c r="T931" s="4" t="str">
        <f>TEXT(Table1567[[#This Row],[Date]],"DDD")</f>
        <v>Wed</v>
      </c>
    </row>
    <row r="932" spans="1:20" ht="29" x14ac:dyDescent="0.35">
      <c r="A932" s="4">
        <v>931</v>
      </c>
      <c r="B932" s="5">
        <v>45171</v>
      </c>
      <c r="C932" s="4" t="s">
        <v>944</v>
      </c>
      <c r="D932" s="4" t="s">
        <v>10</v>
      </c>
      <c r="E932" s="4">
        <v>30</v>
      </c>
      <c r="F932" s="4" t="str">
        <f>IF(Table1567[[#This Row],[Age]]&lt;=19,"Teenager",IF(Table1567[[#This Row],[Age]]&lt;=40,"Median","Old"))</f>
        <v>Median</v>
      </c>
      <c r="G932" s="4" t="s">
        <v>11</v>
      </c>
      <c r="H932" s="4">
        <v>4</v>
      </c>
      <c r="I932" s="4">
        <v>30</v>
      </c>
      <c r="J932" s="4">
        <v>120</v>
      </c>
      <c r="K932" s="4" t="str" cm="1">
        <f t="array" ref="K932">_xlfn.IFS(AND(Table1567[[#This Row],[Total Amount]]&gt;=1500),"Critical",AND(Table1567[[#This Row],[Total Amount]]&gt;=1000),"High",TRUE,"Normal")</f>
        <v>Normal</v>
      </c>
      <c r="L932" s="4" t="str">
        <f>IF(Table1567[[#This Row],[Total Amount]]&gt;=1000,"High",(IF(Table1567[[#This Row],[Total Amount]]&gt;=500,"Medium","Low")))</f>
        <v>Low</v>
      </c>
      <c r="M932" s="4" t="str" cm="1">
        <f t="array" ref="M93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32" s="4" cm="1">
        <f t="array" ref="N93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932" s="4">
        <f>Table1567[[#This Row],[Total Amount]]-Table1567[[#This Row],[Discount Amount]]</f>
        <v>102</v>
      </c>
      <c r="P932" s="4" t="str">
        <f>IF(Table1567[[#This Row],[Total Amount]]&gt;=1000,"High","Low")</f>
        <v>Low</v>
      </c>
      <c r="Q932" s="4" t="str" cm="1">
        <f t="array" ref="Q932">_xlfn.IFS(AND(Table1567[[#This Row],[Total Amount]]&gt;=1500,"Critical"),AND(Table1567[[#This Row],[Total Amount]]&gt;=1000,"High"),TRUE,"Normal")</f>
        <v>Normal</v>
      </c>
      <c r="R932" s="4" t="str">
        <f>CONCATENATE(Table1567[[#This Row],[Customer ID]], "-",Table1567[[#This Row],[Age]])</f>
        <v>CUST931-30</v>
      </c>
      <c r="S932" s="4" t="str">
        <f>TEXT(Table1567[[#This Row],[Date]],"mmm")</f>
        <v>Sep</v>
      </c>
      <c r="T932" s="4" t="str">
        <f>TEXT(Table1567[[#This Row],[Date]],"DDD")</f>
        <v>Sat</v>
      </c>
    </row>
    <row r="933" spans="1:20" ht="29" x14ac:dyDescent="0.35">
      <c r="A933" s="4">
        <v>932</v>
      </c>
      <c r="B933" s="5">
        <v>44985</v>
      </c>
      <c r="C933" s="4" t="s">
        <v>945</v>
      </c>
      <c r="D933" s="4" t="s">
        <v>13</v>
      </c>
      <c r="E933" s="4">
        <v>45</v>
      </c>
      <c r="F933" s="4" t="str">
        <f>IF(Table1567[[#This Row],[Age]]&lt;=19,"Teenager",IF(Table1567[[#This Row],[Age]]&lt;=40,"Median","Old"))</f>
        <v>Old</v>
      </c>
      <c r="G933" s="4" t="s">
        <v>11</v>
      </c>
      <c r="H933" s="4">
        <v>4</v>
      </c>
      <c r="I933" s="4">
        <v>25</v>
      </c>
      <c r="J933" s="4">
        <v>100</v>
      </c>
      <c r="K933" s="4" t="str" cm="1">
        <f t="array" ref="K933">_xlfn.IFS(AND(Table1567[[#This Row],[Total Amount]]&gt;=1500),"Critical",AND(Table1567[[#This Row],[Total Amount]]&gt;=1000),"High",TRUE,"Normal")</f>
        <v>Normal</v>
      </c>
      <c r="L933" s="4" t="str">
        <f>IF(Table1567[[#This Row],[Total Amount]]&gt;=1000,"High",(IF(Table1567[[#This Row],[Total Amount]]&gt;=500,"Medium","Low")))</f>
        <v>Low</v>
      </c>
      <c r="M933" s="4" t="str" cm="1">
        <f t="array" ref="M93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33" s="4" cm="1">
        <f t="array" ref="N93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933" s="4">
        <f>Table1567[[#This Row],[Total Amount]]-Table1567[[#This Row],[Discount Amount]]</f>
        <v>80</v>
      </c>
      <c r="P933" s="4" t="str">
        <f>IF(Table1567[[#This Row],[Total Amount]]&gt;=1000,"High","Low")</f>
        <v>Low</v>
      </c>
      <c r="Q933" s="4" t="str" cm="1">
        <f t="array" ref="Q933">_xlfn.IFS(AND(Table1567[[#This Row],[Total Amount]]&gt;=1500,"Critical"),AND(Table1567[[#This Row],[Total Amount]]&gt;=1000,"High"),TRUE,"Normal")</f>
        <v>Normal</v>
      </c>
      <c r="R933" s="4" t="str">
        <f>CONCATENATE(Table1567[[#This Row],[Customer ID]], "-",Table1567[[#This Row],[Age]])</f>
        <v>CUST932-45</v>
      </c>
      <c r="S933" s="4" t="str">
        <f>TEXT(Table1567[[#This Row],[Date]],"mmm")</f>
        <v>Feb</v>
      </c>
      <c r="T933" s="4" t="str">
        <f>TEXT(Table1567[[#This Row],[Date]],"DDD")</f>
        <v>Tue</v>
      </c>
    </row>
    <row r="934" spans="1:20" ht="29" x14ac:dyDescent="0.35">
      <c r="A934" s="4">
        <v>933</v>
      </c>
      <c r="B934" s="5">
        <v>44960</v>
      </c>
      <c r="C934" s="4" t="s">
        <v>946</v>
      </c>
      <c r="D934" s="4" t="s">
        <v>10</v>
      </c>
      <c r="E934" s="4">
        <v>22</v>
      </c>
      <c r="F934" s="4" t="str">
        <f>IF(Table1567[[#This Row],[Age]]&lt;=19,"Teenager",IF(Table1567[[#This Row],[Age]]&lt;=40,"Median","Old"))</f>
        <v>Median</v>
      </c>
      <c r="G934" s="4" t="s">
        <v>11</v>
      </c>
      <c r="H934" s="4">
        <v>1</v>
      </c>
      <c r="I934" s="4">
        <v>30</v>
      </c>
      <c r="J934" s="4">
        <v>30</v>
      </c>
      <c r="K934" s="4" t="str" cm="1">
        <f t="array" ref="K934">_xlfn.IFS(AND(Table1567[[#This Row],[Total Amount]]&gt;=1500),"Critical",AND(Table1567[[#This Row],[Total Amount]]&gt;=1000),"High",TRUE,"Normal")</f>
        <v>Normal</v>
      </c>
      <c r="L934" s="4" t="str">
        <f>IF(Table1567[[#This Row],[Total Amount]]&gt;=1000,"High",(IF(Table1567[[#This Row],[Total Amount]]&gt;=500,"Medium","Low")))</f>
        <v>Low</v>
      </c>
      <c r="M934" s="4" t="str" cm="1">
        <f t="array" ref="M93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934" s="4" cm="1">
        <f t="array" ref="N93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934" s="4">
        <f>Table1567[[#This Row],[Total Amount]]-Table1567[[#This Row],[Discount Amount]]</f>
        <v>30</v>
      </c>
      <c r="P934" s="4" t="str">
        <f>IF(Table1567[[#This Row],[Total Amount]]&gt;=1000,"High","Low")</f>
        <v>Low</v>
      </c>
      <c r="Q934" s="4" t="str" cm="1">
        <f t="array" ref="Q934">_xlfn.IFS(AND(Table1567[[#This Row],[Total Amount]]&gt;=1500,"Critical"),AND(Table1567[[#This Row],[Total Amount]]&gt;=1000,"High"),TRUE,"Normal")</f>
        <v>Normal</v>
      </c>
      <c r="R934" s="4" t="str">
        <f>CONCATENATE(Table1567[[#This Row],[Customer ID]], "-",Table1567[[#This Row],[Age]])</f>
        <v>CUST933-22</v>
      </c>
      <c r="S934" s="4" t="str">
        <f>TEXT(Table1567[[#This Row],[Date]],"mmm")</f>
        <v>Feb</v>
      </c>
      <c r="T934" s="4" t="str">
        <f>TEXT(Table1567[[#This Row],[Date]],"DDD")</f>
        <v>Fri</v>
      </c>
    </row>
    <row r="935" spans="1:20" ht="29" x14ac:dyDescent="0.35">
      <c r="A935" s="4">
        <v>934</v>
      </c>
      <c r="B935" s="5">
        <v>45132</v>
      </c>
      <c r="C935" s="4" t="s">
        <v>947</v>
      </c>
      <c r="D935" s="4" t="s">
        <v>10</v>
      </c>
      <c r="E935" s="4">
        <v>30</v>
      </c>
      <c r="F935" s="4" t="str">
        <f>IF(Table1567[[#This Row],[Age]]&lt;=19,"Teenager",IF(Table1567[[#This Row],[Age]]&lt;=40,"Median","Old"))</f>
        <v>Median</v>
      </c>
      <c r="G935" s="4" t="s">
        <v>11</v>
      </c>
      <c r="H935" s="4">
        <v>1</v>
      </c>
      <c r="I935" s="4">
        <v>500</v>
      </c>
      <c r="J935" s="4">
        <v>500</v>
      </c>
      <c r="K935" s="4" t="str" cm="1">
        <f t="array" ref="K935">_xlfn.IFS(AND(Table1567[[#This Row],[Total Amount]]&gt;=1500),"Critical",AND(Table1567[[#This Row],[Total Amount]]&gt;=1000),"High",TRUE,"Normal")</f>
        <v>Normal</v>
      </c>
      <c r="L935" s="4" t="str">
        <f>IF(Table1567[[#This Row],[Total Amount]]&gt;=1000,"High",(IF(Table1567[[#This Row],[Total Amount]]&gt;=500,"Medium","Low")))</f>
        <v>Medium</v>
      </c>
      <c r="M935" s="4" t="str" cm="1">
        <f t="array" ref="M93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35" s="4" cm="1">
        <f t="array" ref="N93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75</v>
      </c>
      <c r="O935" s="4">
        <f>Table1567[[#This Row],[Total Amount]]-Table1567[[#This Row],[Discount Amount]]</f>
        <v>425</v>
      </c>
      <c r="P935" s="4" t="str">
        <f>IF(Table1567[[#This Row],[Total Amount]]&gt;=1000,"High","Low")</f>
        <v>Low</v>
      </c>
      <c r="Q935" s="4" t="str" cm="1">
        <f t="array" ref="Q935">_xlfn.IFS(AND(Table1567[[#This Row],[Total Amount]]&gt;=1500,"Critical"),AND(Table1567[[#This Row],[Total Amount]]&gt;=1000,"High"),TRUE,"Normal")</f>
        <v>Normal</v>
      </c>
      <c r="R935" s="4" t="str">
        <f>CONCATENATE(Table1567[[#This Row],[Customer ID]], "-",Table1567[[#This Row],[Age]])</f>
        <v>CUST934-30</v>
      </c>
      <c r="S935" s="4" t="str">
        <f>TEXT(Table1567[[#This Row],[Date]],"mmm")</f>
        <v>Jul</v>
      </c>
      <c r="T935" s="4" t="str">
        <f>TEXT(Table1567[[#This Row],[Date]],"DDD")</f>
        <v>Tue</v>
      </c>
    </row>
    <row r="936" spans="1:20" ht="29" x14ac:dyDescent="0.35">
      <c r="A936" s="4">
        <v>935</v>
      </c>
      <c r="B936" s="5">
        <v>45178</v>
      </c>
      <c r="C936" s="4" t="s">
        <v>948</v>
      </c>
      <c r="D936" s="4" t="s">
        <v>13</v>
      </c>
      <c r="E936" s="4">
        <v>34</v>
      </c>
      <c r="F936" s="4" t="str">
        <f>IF(Table1567[[#This Row],[Age]]&lt;=19,"Teenager",IF(Table1567[[#This Row],[Age]]&lt;=40,"Median","Old"))</f>
        <v>Median</v>
      </c>
      <c r="G936" s="4" t="s">
        <v>11</v>
      </c>
      <c r="H936" s="4">
        <v>1</v>
      </c>
      <c r="I936" s="4">
        <v>50</v>
      </c>
      <c r="J936" s="4">
        <v>50</v>
      </c>
      <c r="K936" s="4" t="str" cm="1">
        <f t="array" ref="K936">_xlfn.IFS(AND(Table1567[[#This Row],[Total Amount]]&gt;=1500),"Critical",AND(Table1567[[#This Row],[Total Amount]]&gt;=1000),"High",TRUE,"Normal")</f>
        <v>Normal</v>
      </c>
      <c r="L936" s="4" t="str">
        <f>IF(Table1567[[#This Row],[Total Amount]]&gt;=1000,"High",(IF(Table1567[[#This Row],[Total Amount]]&gt;=500,"Medium","Low")))</f>
        <v>Low</v>
      </c>
      <c r="M936" s="4" t="str" cm="1">
        <f t="array" ref="M93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36" s="4" cm="1">
        <f t="array" ref="N93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936" s="4">
        <f>Table1567[[#This Row],[Total Amount]]-Table1567[[#This Row],[Discount Amount]]</f>
        <v>42.5</v>
      </c>
      <c r="P936" s="4" t="str">
        <f>IF(Table1567[[#This Row],[Total Amount]]&gt;=1000,"High","Low")</f>
        <v>Low</v>
      </c>
      <c r="Q936" s="4" t="str" cm="1">
        <f t="array" ref="Q936">_xlfn.IFS(AND(Table1567[[#This Row],[Total Amount]]&gt;=1500,"Critical"),AND(Table1567[[#This Row],[Total Amount]]&gt;=1000,"High"),TRUE,"Normal")</f>
        <v>Normal</v>
      </c>
      <c r="R936" s="4" t="str">
        <f>CONCATENATE(Table1567[[#This Row],[Customer ID]], "-",Table1567[[#This Row],[Age]])</f>
        <v>CUST935-34</v>
      </c>
      <c r="S936" s="4" t="str">
        <f>TEXT(Table1567[[#This Row],[Date]],"mmm")</f>
        <v>Sep</v>
      </c>
      <c r="T936" s="4" t="str">
        <f>TEXT(Table1567[[#This Row],[Date]],"DDD")</f>
        <v>Sat</v>
      </c>
    </row>
    <row r="937" spans="1:20" ht="29" x14ac:dyDescent="0.35">
      <c r="A937" s="4">
        <v>936</v>
      </c>
      <c r="B937" s="5">
        <v>44964</v>
      </c>
      <c r="C937" s="4" t="s">
        <v>949</v>
      </c>
      <c r="D937" s="4" t="s">
        <v>10</v>
      </c>
      <c r="E937" s="4">
        <v>57</v>
      </c>
      <c r="F937" s="4" t="str">
        <f>IF(Table1567[[#This Row],[Age]]&lt;=19,"Teenager",IF(Table1567[[#This Row],[Age]]&lt;=40,"Median","Old"))</f>
        <v>Old</v>
      </c>
      <c r="G937" s="4" t="s">
        <v>11</v>
      </c>
      <c r="H937" s="4">
        <v>4</v>
      </c>
      <c r="I937" s="4">
        <v>50</v>
      </c>
      <c r="J937" s="4">
        <v>200</v>
      </c>
      <c r="K937" s="4" t="str" cm="1">
        <f t="array" ref="K937">_xlfn.IFS(AND(Table1567[[#This Row],[Total Amount]]&gt;=1500),"Critical",AND(Table1567[[#This Row],[Total Amount]]&gt;=1000),"High",TRUE,"Normal")</f>
        <v>Normal</v>
      </c>
      <c r="L937" s="4" t="str">
        <f>IF(Table1567[[#This Row],[Total Amount]]&gt;=1000,"High",(IF(Table1567[[#This Row],[Total Amount]]&gt;=500,"Medium","Low")))</f>
        <v>Low</v>
      </c>
      <c r="M937" s="4" t="str" cm="1">
        <f t="array" ref="M93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37" s="4" cm="1">
        <f t="array" ref="N93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937" s="4">
        <f>Table1567[[#This Row],[Total Amount]]-Table1567[[#This Row],[Discount Amount]]</f>
        <v>180</v>
      </c>
      <c r="P937" s="4" t="str">
        <f>IF(Table1567[[#This Row],[Total Amount]]&gt;=1000,"High","Low")</f>
        <v>Low</v>
      </c>
      <c r="Q937" s="4" t="str" cm="1">
        <f t="array" ref="Q937">_xlfn.IFS(AND(Table1567[[#This Row],[Total Amount]]&gt;=1500,"Critical"),AND(Table1567[[#This Row],[Total Amount]]&gt;=1000,"High"),TRUE,"Normal")</f>
        <v>Normal</v>
      </c>
      <c r="R937" s="4" t="str">
        <f>CONCATENATE(Table1567[[#This Row],[Customer ID]], "-",Table1567[[#This Row],[Age]])</f>
        <v>CUST936-57</v>
      </c>
      <c r="S937" s="4" t="str">
        <f>TEXT(Table1567[[#This Row],[Date]],"mmm")</f>
        <v>Feb</v>
      </c>
      <c r="T937" s="4" t="str">
        <f>TEXT(Table1567[[#This Row],[Date]],"DDD")</f>
        <v>Tue</v>
      </c>
    </row>
    <row r="938" spans="1:20" ht="29" x14ac:dyDescent="0.35">
      <c r="A938" s="4">
        <v>937</v>
      </c>
      <c r="B938" s="5">
        <v>45222</v>
      </c>
      <c r="C938" s="4" t="s">
        <v>950</v>
      </c>
      <c r="D938" s="4" t="s">
        <v>13</v>
      </c>
      <c r="E938" s="4">
        <v>62</v>
      </c>
      <c r="F938" s="4" t="str">
        <f>IF(Table1567[[#This Row],[Age]]&lt;=19,"Teenager",IF(Table1567[[#This Row],[Age]]&lt;=40,"Median","Old"))</f>
        <v>Old</v>
      </c>
      <c r="G938" s="4" t="s">
        <v>11</v>
      </c>
      <c r="H938" s="4">
        <v>1</v>
      </c>
      <c r="I938" s="4">
        <v>500</v>
      </c>
      <c r="J938" s="4">
        <v>500</v>
      </c>
      <c r="K938" s="4" t="str" cm="1">
        <f t="array" ref="K938">_xlfn.IFS(AND(Table1567[[#This Row],[Total Amount]]&gt;=1500),"Critical",AND(Table1567[[#This Row],[Total Amount]]&gt;=1000),"High",TRUE,"Normal")</f>
        <v>Normal</v>
      </c>
      <c r="L938" s="4" t="str">
        <f>IF(Table1567[[#This Row],[Total Amount]]&gt;=1000,"High",(IF(Table1567[[#This Row],[Total Amount]]&gt;=500,"Medium","Low")))</f>
        <v>Medium</v>
      </c>
      <c r="M938" s="4" t="str" cm="1">
        <f t="array" ref="M93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38" s="4" cm="1">
        <f t="array" ref="N93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938" s="4">
        <f>Table1567[[#This Row],[Total Amount]]-Table1567[[#This Row],[Discount Amount]]</f>
        <v>400</v>
      </c>
      <c r="P938" s="4" t="str">
        <f>IF(Table1567[[#This Row],[Total Amount]]&gt;=1000,"High","Low")</f>
        <v>Low</v>
      </c>
      <c r="Q938" s="4" t="str" cm="1">
        <f t="array" ref="Q938">_xlfn.IFS(AND(Table1567[[#This Row],[Total Amount]]&gt;=1500,"Critical"),AND(Table1567[[#This Row],[Total Amount]]&gt;=1000,"High"),TRUE,"Normal")</f>
        <v>Normal</v>
      </c>
      <c r="R938" s="4" t="str">
        <f>CONCATENATE(Table1567[[#This Row],[Customer ID]], "-",Table1567[[#This Row],[Age]])</f>
        <v>CUST937-62</v>
      </c>
      <c r="S938" s="4" t="str">
        <f>TEXT(Table1567[[#This Row],[Date]],"mmm")</f>
        <v>Oct</v>
      </c>
      <c r="T938" s="4" t="str">
        <f>TEXT(Table1567[[#This Row],[Date]],"DDD")</f>
        <v>Mon</v>
      </c>
    </row>
    <row r="939" spans="1:20" ht="29" x14ac:dyDescent="0.35">
      <c r="A939" s="4">
        <v>938</v>
      </c>
      <c r="B939" s="5">
        <v>45249</v>
      </c>
      <c r="C939" s="4" t="s">
        <v>951</v>
      </c>
      <c r="D939" s="4" t="s">
        <v>10</v>
      </c>
      <c r="E939" s="4">
        <v>49</v>
      </c>
      <c r="F939" s="4" t="str">
        <f>IF(Table1567[[#This Row],[Age]]&lt;=19,"Teenager",IF(Table1567[[#This Row],[Age]]&lt;=40,"Median","Old"))</f>
        <v>Old</v>
      </c>
      <c r="G939" s="4" t="s">
        <v>14</v>
      </c>
      <c r="H939" s="4">
        <v>4</v>
      </c>
      <c r="I939" s="4">
        <v>50</v>
      </c>
      <c r="J939" s="4">
        <v>200</v>
      </c>
      <c r="K939" s="4" t="str" cm="1">
        <f t="array" ref="K939">_xlfn.IFS(AND(Table1567[[#This Row],[Total Amount]]&gt;=1500),"Critical",AND(Table1567[[#This Row],[Total Amount]]&gt;=1000),"High",TRUE,"Normal")</f>
        <v>Normal</v>
      </c>
      <c r="L939" s="4" t="str">
        <f>IF(Table1567[[#This Row],[Total Amount]]&gt;=1000,"High",(IF(Table1567[[#This Row],[Total Amount]]&gt;=500,"Medium","Low")))</f>
        <v>Low</v>
      </c>
      <c r="M939" s="4" t="str" cm="1">
        <f t="array" ref="M93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39" s="4" cm="1">
        <f t="array" ref="N93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939" s="4">
        <f>Table1567[[#This Row],[Total Amount]]-Table1567[[#This Row],[Discount Amount]]</f>
        <v>180</v>
      </c>
      <c r="P939" s="4" t="str">
        <f>IF(Table1567[[#This Row],[Total Amount]]&gt;=1000,"High","Low")</f>
        <v>Low</v>
      </c>
      <c r="Q939" s="4" t="str" cm="1">
        <f t="array" ref="Q939">_xlfn.IFS(AND(Table1567[[#This Row],[Total Amount]]&gt;=1500,"Critical"),AND(Table1567[[#This Row],[Total Amount]]&gt;=1000,"High"),TRUE,"Normal")</f>
        <v>Normal</v>
      </c>
      <c r="R939" s="4" t="str">
        <f>CONCATENATE(Table1567[[#This Row],[Customer ID]], "-",Table1567[[#This Row],[Age]])</f>
        <v>CUST938-49</v>
      </c>
      <c r="S939" s="4" t="str">
        <f>TEXT(Table1567[[#This Row],[Date]],"mmm")</f>
        <v>Nov</v>
      </c>
      <c r="T939" s="4" t="str">
        <f>TEXT(Table1567[[#This Row],[Date]],"DDD")</f>
        <v>Sun</v>
      </c>
    </row>
    <row r="940" spans="1:20" ht="29" x14ac:dyDescent="0.35">
      <c r="A940" s="4">
        <v>939</v>
      </c>
      <c r="B940" s="5">
        <v>45278</v>
      </c>
      <c r="C940" s="4" t="s">
        <v>952</v>
      </c>
      <c r="D940" s="4" t="s">
        <v>13</v>
      </c>
      <c r="E940" s="4">
        <v>46</v>
      </c>
      <c r="F940" s="4" t="str">
        <f>IF(Table1567[[#This Row],[Age]]&lt;=19,"Teenager",IF(Table1567[[#This Row],[Age]]&lt;=40,"Median","Old"))</f>
        <v>Old</v>
      </c>
      <c r="G940" s="4" t="s">
        <v>16</v>
      </c>
      <c r="H940" s="4">
        <v>1</v>
      </c>
      <c r="I940" s="4">
        <v>300</v>
      </c>
      <c r="J940" s="4">
        <v>300</v>
      </c>
      <c r="K940" s="4" t="str" cm="1">
        <f t="array" ref="K940">_xlfn.IFS(AND(Table1567[[#This Row],[Total Amount]]&gt;=1500),"Critical",AND(Table1567[[#This Row],[Total Amount]]&gt;=1000),"High",TRUE,"Normal")</f>
        <v>Normal</v>
      </c>
      <c r="L940" s="4" t="str">
        <f>IF(Table1567[[#This Row],[Total Amount]]&gt;=1000,"High",(IF(Table1567[[#This Row],[Total Amount]]&gt;=500,"Medium","Low")))</f>
        <v>Low</v>
      </c>
      <c r="M940" s="4" t="str" cm="1">
        <f t="array" ref="M94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40" s="4" cm="1">
        <f t="array" ref="N94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940" s="4">
        <f>Table1567[[#This Row],[Total Amount]]-Table1567[[#This Row],[Discount Amount]]</f>
        <v>240</v>
      </c>
      <c r="P940" s="4" t="str">
        <f>IF(Table1567[[#This Row],[Total Amount]]&gt;=1000,"High","Low")</f>
        <v>Low</v>
      </c>
      <c r="Q940" s="4" t="str" cm="1">
        <f t="array" ref="Q940">_xlfn.IFS(AND(Table1567[[#This Row],[Total Amount]]&gt;=1500,"Critical"),AND(Table1567[[#This Row],[Total Amount]]&gt;=1000,"High"),TRUE,"Normal")</f>
        <v>Normal</v>
      </c>
      <c r="R940" s="4" t="str">
        <f>CONCATENATE(Table1567[[#This Row],[Customer ID]], "-",Table1567[[#This Row],[Age]])</f>
        <v>CUST939-46</v>
      </c>
      <c r="S940" s="4" t="str">
        <f>TEXT(Table1567[[#This Row],[Date]],"mmm")</f>
        <v>Dec</v>
      </c>
      <c r="T940" s="4" t="str">
        <f>TEXT(Table1567[[#This Row],[Date]],"DDD")</f>
        <v>Mon</v>
      </c>
    </row>
    <row r="941" spans="1:20" ht="29" x14ac:dyDescent="0.35">
      <c r="A941" s="4">
        <v>940</v>
      </c>
      <c r="B941" s="5">
        <v>44954</v>
      </c>
      <c r="C941" s="4" t="s">
        <v>953</v>
      </c>
      <c r="D941" s="4" t="s">
        <v>13</v>
      </c>
      <c r="E941" s="4">
        <v>20</v>
      </c>
      <c r="F941" s="4" t="str">
        <f>IF(Table1567[[#This Row],[Age]]&lt;=19,"Teenager",IF(Table1567[[#This Row],[Age]]&lt;=40,"Median","Old"))</f>
        <v>Median</v>
      </c>
      <c r="G941" s="4" t="s">
        <v>16</v>
      </c>
      <c r="H941" s="4">
        <v>1</v>
      </c>
      <c r="I941" s="4">
        <v>30</v>
      </c>
      <c r="J941" s="4">
        <v>30</v>
      </c>
      <c r="K941" s="4" t="str" cm="1">
        <f t="array" ref="K941">_xlfn.IFS(AND(Table1567[[#This Row],[Total Amount]]&gt;=1500),"Critical",AND(Table1567[[#This Row],[Total Amount]]&gt;=1000),"High",TRUE,"Normal")</f>
        <v>Normal</v>
      </c>
      <c r="L941" s="4" t="str">
        <f>IF(Table1567[[#This Row],[Total Amount]]&gt;=1000,"High",(IF(Table1567[[#This Row],[Total Amount]]&gt;=500,"Medium","Low")))</f>
        <v>Low</v>
      </c>
      <c r="M941" s="4" t="str" cm="1">
        <f t="array" ref="M94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941" s="4" cm="1">
        <f t="array" ref="N94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941" s="4">
        <f>Table1567[[#This Row],[Total Amount]]-Table1567[[#This Row],[Discount Amount]]</f>
        <v>30</v>
      </c>
      <c r="P941" s="4" t="str">
        <f>IF(Table1567[[#This Row],[Total Amount]]&gt;=1000,"High","Low")</f>
        <v>Low</v>
      </c>
      <c r="Q941" s="4" t="str" cm="1">
        <f t="array" ref="Q941">_xlfn.IFS(AND(Table1567[[#This Row],[Total Amount]]&gt;=1500,"Critical"),AND(Table1567[[#This Row],[Total Amount]]&gt;=1000,"High"),TRUE,"Normal")</f>
        <v>Normal</v>
      </c>
      <c r="R941" s="4" t="str">
        <f>CONCATENATE(Table1567[[#This Row],[Customer ID]], "-",Table1567[[#This Row],[Age]])</f>
        <v>CUST940-20</v>
      </c>
      <c r="S941" s="4" t="str">
        <f>TEXT(Table1567[[#This Row],[Date]],"mmm")</f>
        <v>Jan</v>
      </c>
      <c r="T941" s="4" t="str">
        <f>TEXT(Table1567[[#This Row],[Date]],"DDD")</f>
        <v>Sat</v>
      </c>
    </row>
    <row r="942" spans="1:20" ht="29" x14ac:dyDescent="0.35">
      <c r="A942" s="4">
        <v>941</v>
      </c>
      <c r="B942" s="5">
        <v>45004</v>
      </c>
      <c r="C942" s="4" t="s">
        <v>954</v>
      </c>
      <c r="D942" s="4" t="s">
        <v>13</v>
      </c>
      <c r="E942" s="4">
        <v>57</v>
      </c>
      <c r="F942" s="4" t="str">
        <f>IF(Table1567[[#This Row],[Age]]&lt;=19,"Teenager",IF(Table1567[[#This Row],[Age]]&lt;=40,"Median","Old"))</f>
        <v>Old</v>
      </c>
      <c r="G942" s="4" t="s">
        <v>14</v>
      </c>
      <c r="H942" s="4">
        <v>2</v>
      </c>
      <c r="I942" s="4">
        <v>25</v>
      </c>
      <c r="J942" s="4">
        <v>50</v>
      </c>
      <c r="K942" s="4" t="str" cm="1">
        <f t="array" ref="K942">_xlfn.IFS(AND(Table1567[[#This Row],[Total Amount]]&gt;=1500),"Critical",AND(Table1567[[#This Row],[Total Amount]]&gt;=1000),"High",TRUE,"Normal")</f>
        <v>Normal</v>
      </c>
      <c r="L942" s="4" t="str">
        <f>IF(Table1567[[#This Row],[Total Amount]]&gt;=1000,"High",(IF(Table1567[[#This Row],[Total Amount]]&gt;=500,"Medium","Low")))</f>
        <v>Low</v>
      </c>
      <c r="M942" s="4" t="str" cm="1">
        <f t="array" ref="M94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42" s="4" cm="1">
        <f t="array" ref="N94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942" s="4">
        <f>Table1567[[#This Row],[Total Amount]]-Table1567[[#This Row],[Discount Amount]]</f>
        <v>40</v>
      </c>
      <c r="P942" s="4" t="str">
        <f>IF(Table1567[[#This Row],[Total Amount]]&gt;=1000,"High","Low")</f>
        <v>Low</v>
      </c>
      <c r="Q942" s="4" t="str" cm="1">
        <f t="array" ref="Q942">_xlfn.IFS(AND(Table1567[[#This Row],[Total Amount]]&gt;=1500,"Critical"),AND(Table1567[[#This Row],[Total Amount]]&gt;=1000,"High"),TRUE,"Normal")</f>
        <v>Normal</v>
      </c>
      <c r="R942" s="4" t="str">
        <f>CONCATENATE(Table1567[[#This Row],[Customer ID]], "-",Table1567[[#This Row],[Age]])</f>
        <v>CUST941-57</v>
      </c>
      <c r="S942" s="4" t="str">
        <f>TEXT(Table1567[[#This Row],[Date]],"mmm")</f>
        <v>Mar</v>
      </c>
      <c r="T942" s="4" t="str">
        <f>TEXT(Table1567[[#This Row],[Date]],"DDD")</f>
        <v>Sun</v>
      </c>
    </row>
    <row r="943" spans="1:20" ht="29" x14ac:dyDescent="0.35">
      <c r="A943" s="4">
        <v>942</v>
      </c>
      <c r="B943" s="5">
        <v>45003</v>
      </c>
      <c r="C943" s="4" t="s">
        <v>955</v>
      </c>
      <c r="D943" s="4" t="s">
        <v>10</v>
      </c>
      <c r="E943" s="4">
        <v>51</v>
      </c>
      <c r="F943" s="4" t="str">
        <f>IF(Table1567[[#This Row],[Age]]&lt;=19,"Teenager",IF(Table1567[[#This Row],[Age]]&lt;=40,"Median","Old"))</f>
        <v>Old</v>
      </c>
      <c r="G943" s="4" t="s">
        <v>14</v>
      </c>
      <c r="H943" s="4">
        <v>3</v>
      </c>
      <c r="I943" s="4">
        <v>500</v>
      </c>
      <c r="J943" s="4">
        <v>1500</v>
      </c>
      <c r="K943" s="4" t="str" cm="1">
        <f t="array" ref="K943">_xlfn.IFS(AND(Table1567[[#This Row],[Total Amount]]&gt;=1500),"Critical",AND(Table1567[[#This Row],[Total Amount]]&gt;=1000),"High",TRUE,"Normal")</f>
        <v>Critical</v>
      </c>
      <c r="L943" s="4" t="str">
        <f>IF(Table1567[[#This Row],[Total Amount]]&gt;=1000,"High",(IF(Table1567[[#This Row],[Total Amount]]&gt;=500,"Medium","Low")))</f>
        <v>High</v>
      </c>
      <c r="M943" s="4" t="str" cm="1">
        <f t="array" ref="M94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43" s="4" cm="1">
        <f t="array" ref="N94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943" s="4">
        <f>Table1567[[#This Row],[Total Amount]]-Table1567[[#This Row],[Discount Amount]]</f>
        <v>1350</v>
      </c>
      <c r="P943" s="4" t="str">
        <f>IF(Table1567[[#This Row],[Total Amount]]&gt;=1000,"High","Low")</f>
        <v>High</v>
      </c>
      <c r="Q943" s="4" t="b" cm="1">
        <f t="array" ref="Q943">_xlfn.IFS(AND(Table1567[[#This Row],[Total Amount]]&gt;=1500,"Critical"),AND(Table1567[[#This Row],[Total Amount]]&gt;=1000,"High"),TRUE,"Normal")</f>
        <v>1</v>
      </c>
      <c r="R943" s="4" t="str">
        <f>CONCATENATE(Table1567[[#This Row],[Customer ID]], "-",Table1567[[#This Row],[Age]])</f>
        <v>CUST942-51</v>
      </c>
      <c r="S943" s="4" t="str">
        <f>TEXT(Table1567[[#This Row],[Date]],"mmm")</f>
        <v>Mar</v>
      </c>
      <c r="T943" s="4" t="str">
        <f>TEXT(Table1567[[#This Row],[Date]],"DDD")</f>
        <v>Sat</v>
      </c>
    </row>
    <row r="944" spans="1:20" ht="29" x14ac:dyDescent="0.35">
      <c r="A944" s="4">
        <v>943</v>
      </c>
      <c r="B944" s="5">
        <v>45215</v>
      </c>
      <c r="C944" s="4" t="s">
        <v>956</v>
      </c>
      <c r="D944" s="4" t="s">
        <v>13</v>
      </c>
      <c r="E944" s="4">
        <v>57</v>
      </c>
      <c r="F944" s="4" t="str">
        <f>IF(Table1567[[#This Row],[Age]]&lt;=19,"Teenager",IF(Table1567[[#This Row],[Age]]&lt;=40,"Median","Old"))</f>
        <v>Old</v>
      </c>
      <c r="G944" s="4" t="s">
        <v>14</v>
      </c>
      <c r="H944" s="4">
        <v>4</v>
      </c>
      <c r="I944" s="4">
        <v>300</v>
      </c>
      <c r="J944" s="4">
        <v>1200</v>
      </c>
      <c r="K944" s="4" t="str" cm="1">
        <f t="array" ref="K944">_xlfn.IFS(AND(Table1567[[#This Row],[Total Amount]]&gt;=1500),"Critical",AND(Table1567[[#This Row],[Total Amount]]&gt;=1000),"High",TRUE,"Normal")</f>
        <v>High</v>
      </c>
      <c r="L944" s="4" t="str">
        <f>IF(Table1567[[#This Row],[Total Amount]]&gt;=1000,"High",(IF(Table1567[[#This Row],[Total Amount]]&gt;=500,"Medium","Low")))</f>
        <v>High</v>
      </c>
      <c r="M944" s="4" t="str" cm="1">
        <f t="array" ref="M94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44" s="4" cm="1">
        <f t="array" ref="N94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240</v>
      </c>
      <c r="O944" s="4">
        <f>Table1567[[#This Row],[Total Amount]]-Table1567[[#This Row],[Discount Amount]]</f>
        <v>960</v>
      </c>
      <c r="P944" s="4" t="str">
        <f>IF(Table1567[[#This Row],[Total Amount]]&gt;=1000,"High","Low")</f>
        <v>High</v>
      </c>
      <c r="Q944" s="4" t="str" cm="1">
        <f t="array" ref="Q944">_xlfn.IFS(AND(Table1567[[#This Row],[Total Amount]]&gt;=1500,"Critical"),AND(Table1567[[#This Row],[Total Amount]]&gt;=1000,"High"),TRUE,"Normal")</f>
        <v>Normal</v>
      </c>
      <c r="R944" s="4" t="str">
        <f>CONCATENATE(Table1567[[#This Row],[Customer ID]], "-",Table1567[[#This Row],[Age]])</f>
        <v>CUST943-57</v>
      </c>
      <c r="S944" s="4" t="str">
        <f>TEXT(Table1567[[#This Row],[Date]],"mmm")</f>
        <v>Oct</v>
      </c>
      <c r="T944" s="4" t="str">
        <f>TEXT(Table1567[[#This Row],[Date]],"DDD")</f>
        <v>Mon</v>
      </c>
    </row>
    <row r="945" spans="1:20" ht="29" x14ac:dyDescent="0.35">
      <c r="A945" s="4">
        <v>944</v>
      </c>
      <c r="B945" s="5">
        <v>45082</v>
      </c>
      <c r="C945" s="4" t="s">
        <v>957</v>
      </c>
      <c r="D945" s="4" t="s">
        <v>10</v>
      </c>
      <c r="E945" s="4">
        <v>44</v>
      </c>
      <c r="F945" s="4" t="str">
        <f>IF(Table1567[[#This Row],[Age]]&lt;=19,"Teenager",IF(Table1567[[#This Row],[Age]]&lt;=40,"Median","Old"))</f>
        <v>Old</v>
      </c>
      <c r="G945" s="4" t="s">
        <v>14</v>
      </c>
      <c r="H945" s="4">
        <v>2</v>
      </c>
      <c r="I945" s="4">
        <v>25</v>
      </c>
      <c r="J945" s="4">
        <v>50</v>
      </c>
      <c r="K945" s="4" t="str" cm="1">
        <f t="array" ref="K945">_xlfn.IFS(AND(Table1567[[#This Row],[Total Amount]]&gt;=1500),"Critical",AND(Table1567[[#This Row],[Total Amount]]&gt;=1000),"High",TRUE,"Normal")</f>
        <v>Normal</v>
      </c>
      <c r="L945" s="4" t="str">
        <f>IF(Table1567[[#This Row],[Total Amount]]&gt;=1000,"High",(IF(Table1567[[#This Row],[Total Amount]]&gt;=500,"Medium","Low")))</f>
        <v>Low</v>
      </c>
      <c r="M945" s="4" t="str" cm="1">
        <f t="array" ref="M94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45" s="4" cm="1">
        <f t="array" ref="N94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945" s="4">
        <f>Table1567[[#This Row],[Total Amount]]-Table1567[[#This Row],[Discount Amount]]</f>
        <v>45</v>
      </c>
      <c r="P945" s="4" t="str">
        <f>IF(Table1567[[#This Row],[Total Amount]]&gt;=1000,"High","Low")</f>
        <v>Low</v>
      </c>
      <c r="Q945" s="4" t="str" cm="1">
        <f t="array" ref="Q945">_xlfn.IFS(AND(Table1567[[#This Row],[Total Amount]]&gt;=1500,"Critical"),AND(Table1567[[#This Row],[Total Amount]]&gt;=1000,"High"),TRUE,"Normal")</f>
        <v>Normal</v>
      </c>
      <c r="R945" s="4" t="str">
        <f>CONCATENATE(Table1567[[#This Row],[Customer ID]], "-",Table1567[[#This Row],[Age]])</f>
        <v>CUST944-44</v>
      </c>
      <c r="S945" s="4" t="str">
        <f>TEXT(Table1567[[#This Row],[Date]],"mmm")</f>
        <v>Jun</v>
      </c>
      <c r="T945" s="4" t="str">
        <f>TEXT(Table1567[[#This Row],[Date]],"DDD")</f>
        <v>Mon</v>
      </c>
    </row>
    <row r="946" spans="1:20" ht="29" x14ac:dyDescent="0.35">
      <c r="A946" s="4">
        <v>945</v>
      </c>
      <c r="B946" s="5">
        <v>44970</v>
      </c>
      <c r="C946" s="4" t="s">
        <v>958</v>
      </c>
      <c r="D946" s="4" t="s">
        <v>10</v>
      </c>
      <c r="E946" s="4">
        <v>30</v>
      </c>
      <c r="F946" s="4" t="str">
        <f>IF(Table1567[[#This Row],[Age]]&lt;=19,"Teenager",IF(Table1567[[#This Row],[Age]]&lt;=40,"Median","Old"))</f>
        <v>Median</v>
      </c>
      <c r="G946" s="4" t="s">
        <v>11</v>
      </c>
      <c r="H946" s="4">
        <v>1</v>
      </c>
      <c r="I946" s="4">
        <v>25</v>
      </c>
      <c r="J946" s="4">
        <v>25</v>
      </c>
      <c r="K946" s="4" t="str" cm="1">
        <f t="array" ref="K946">_xlfn.IFS(AND(Table1567[[#This Row],[Total Amount]]&gt;=1500),"Critical",AND(Table1567[[#This Row],[Total Amount]]&gt;=1000),"High",TRUE,"Normal")</f>
        <v>Normal</v>
      </c>
      <c r="L946" s="4" t="str">
        <f>IF(Table1567[[#This Row],[Total Amount]]&gt;=1000,"High",(IF(Table1567[[#This Row],[Total Amount]]&gt;=500,"Medium","Low")))</f>
        <v>Low</v>
      </c>
      <c r="M946" s="4" t="str" cm="1">
        <f t="array" ref="M94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46" s="4" cm="1">
        <f t="array" ref="N94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3.75</v>
      </c>
      <c r="O946" s="4">
        <f>Table1567[[#This Row],[Total Amount]]-Table1567[[#This Row],[Discount Amount]]</f>
        <v>21.25</v>
      </c>
      <c r="P946" s="4" t="str">
        <f>IF(Table1567[[#This Row],[Total Amount]]&gt;=1000,"High","Low")</f>
        <v>Low</v>
      </c>
      <c r="Q946" s="4" t="str" cm="1">
        <f t="array" ref="Q946">_xlfn.IFS(AND(Table1567[[#This Row],[Total Amount]]&gt;=1500,"Critical"),AND(Table1567[[#This Row],[Total Amount]]&gt;=1000,"High"),TRUE,"Normal")</f>
        <v>Normal</v>
      </c>
      <c r="R946" s="4" t="str">
        <f>CONCATENATE(Table1567[[#This Row],[Customer ID]], "-",Table1567[[#This Row],[Age]])</f>
        <v>CUST945-30</v>
      </c>
      <c r="S946" s="4" t="str">
        <f>TEXT(Table1567[[#This Row],[Date]],"mmm")</f>
        <v>Feb</v>
      </c>
      <c r="T946" s="4" t="str">
        <f>TEXT(Table1567[[#This Row],[Date]],"DDD")</f>
        <v>Mon</v>
      </c>
    </row>
    <row r="947" spans="1:20" ht="29" x14ac:dyDescent="0.35">
      <c r="A947" s="4">
        <v>946</v>
      </c>
      <c r="B947" s="5">
        <v>45054</v>
      </c>
      <c r="C947" s="4" t="s">
        <v>959</v>
      </c>
      <c r="D947" s="4" t="s">
        <v>10</v>
      </c>
      <c r="E947" s="4">
        <v>62</v>
      </c>
      <c r="F947" s="4" t="str">
        <f>IF(Table1567[[#This Row],[Age]]&lt;=19,"Teenager",IF(Table1567[[#This Row],[Age]]&lt;=40,"Median","Old"))</f>
        <v>Old</v>
      </c>
      <c r="G947" s="4" t="s">
        <v>16</v>
      </c>
      <c r="H947" s="4">
        <v>4</v>
      </c>
      <c r="I947" s="4">
        <v>500</v>
      </c>
      <c r="J947" s="4">
        <v>2000</v>
      </c>
      <c r="K947" s="4" t="str" cm="1">
        <f t="array" ref="K947">_xlfn.IFS(AND(Table1567[[#This Row],[Total Amount]]&gt;=1500),"Critical",AND(Table1567[[#This Row],[Total Amount]]&gt;=1000),"High",TRUE,"Normal")</f>
        <v>Critical</v>
      </c>
      <c r="L947" s="4" t="str">
        <f>IF(Table1567[[#This Row],[Total Amount]]&gt;=1000,"High",(IF(Table1567[[#This Row],[Total Amount]]&gt;=500,"Medium","Low")))</f>
        <v>High</v>
      </c>
      <c r="M947" s="4" t="str" cm="1">
        <f t="array" ref="M94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47" s="4" cm="1">
        <f t="array" ref="N94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947" s="4">
        <f>Table1567[[#This Row],[Total Amount]]-Table1567[[#This Row],[Discount Amount]]</f>
        <v>1800</v>
      </c>
      <c r="P947" s="4" t="str">
        <f>IF(Table1567[[#This Row],[Total Amount]]&gt;=1000,"High","Low")</f>
        <v>High</v>
      </c>
      <c r="Q947" s="4" t="b" cm="1">
        <f t="array" ref="Q947">_xlfn.IFS(AND(Table1567[[#This Row],[Total Amount]]&gt;=1500,"Critical"),AND(Table1567[[#This Row],[Total Amount]]&gt;=1000,"High"),TRUE,"Normal")</f>
        <v>1</v>
      </c>
      <c r="R947" s="4" t="str">
        <f>CONCATENATE(Table1567[[#This Row],[Customer ID]], "-",Table1567[[#This Row],[Age]])</f>
        <v>CUST946-62</v>
      </c>
      <c r="S947" s="4" t="str">
        <f>TEXT(Table1567[[#This Row],[Date]],"mmm")</f>
        <v>May</v>
      </c>
      <c r="T947" s="4" t="str">
        <f>TEXT(Table1567[[#This Row],[Date]],"DDD")</f>
        <v>Mon</v>
      </c>
    </row>
    <row r="948" spans="1:20" ht="29" x14ac:dyDescent="0.35">
      <c r="A948" s="4">
        <v>947</v>
      </c>
      <c r="B948" s="5">
        <v>44987</v>
      </c>
      <c r="C948" s="4" t="s">
        <v>960</v>
      </c>
      <c r="D948" s="4" t="s">
        <v>10</v>
      </c>
      <c r="E948" s="4">
        <v>50</v>
      </c>
      <c r="F948" s="4" t="str">
        <f>IF(Table1567[[#This Row],[Age]]&lt;=19,"Teenager",IF(Table1567[[#This Row],[Age]]&lt;=40,"Median","Old"))</f>
        <v>Old</v>
      </c>
      <c r="G948" s="4" t="s">
        <v>11</v>
      </c>
      <c r="H948" s="4">
        <v>1</v>
      </c>
      <c r="I948" s="4">
        <v>300</v>
      </c>
      <c r="J948" s="4">
        <v>300</v>
      </c>
      <c r="K948" s="4" t="str" cm="1">
        <f t="array" ref="K948">_xlfn.IFS(AND(Table1567[[#This Row],[Total Amount]]&gt;=1500),"Critical",AND(Table1567[[#This Row],[Total Amount]]&gt;=1000),"High",TRUE,"Normal")</f>
        <v>Normal</v>
      </c>
      <c r="L948" s="4" t="str">
        <f>IF(Table1567[[#This Row],[Total Amount]]&gt;=1000,"High",(IF(Table1567[[#This Row],[Total Amount]]&gt;=500,"Medium","Low")))</f>
        <v>Low</v>
      </c>
      <c r="M948" s="4" t="str" cm="1">
        <f t="array" ref="M94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48" s="4" cm="1">
        <f t="array" ref="N94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948" s="4">
        <f>Table1567[[#This Row],[Total Amount]]-Table1567[[#This Row],[Discount Amount]]</f>
        <v>270</v>
      </c>
      <c r="P948" s="4" t="str">
        <f>IF(Table1567[[#This Row],[Total Amount]]&gt;=1000,"High","Low")</f>
        <v>Low</v>
      </c>
      <c r="Q948" s="4" t="str" cm="1">
        <f t="array" ref="Q948">_xlfn.IFS(AND(Table1567[[#This Row],[Total Amount]]&gt;=1500,"Critical"),AND(Table1567[[#This Row],[Total Amount]]&gt;=1000,"High"),TRUE,"Normal")</f>
        <v>Normal</v>
      </c>
      <c r="R948" s="4" t="str">
        <f>CONCATENATE(Table1567[[#This Row],[Customer ID]], "-",Table1567[[#This Row],[Age]])</f>
        <v>CUST947-50</v>
      </c>
      <c r="S948" s="4" t="str">
        <f>TEXT(Table1567[[#This Row],[Date]],"mmm")</f>
        <v>Mar</v>
      </c>
      <c r="T948" s="4" t="str">
        <f>TEXT(Table1567[[#This Row],[Date]],"DDD")</f>
        <v>Thu</v>
      </c>
    </row>
    <row r="949" spans="1:20" ht="29" x14ac:dyDescent="0.35">
      <c r="A949" s="4">
        <v>948</v>
      </c>
      <c r="B949" s="5">
        <v>45212</v>
      </c>
      <c r="C949" s="4" t="s">
        <v>961</v>
      </c>
      <c r="D949" s="4" t="s">
        <v>13</v>
      </c>
      <c r="E949" s="4">
        <v>23</v>
      </c>
      <c r="F949" s="4" t="str">
        <f>IF(Table1567[[#This Row],[Age]]&lt;=19,"Teenager",IF(Table1567[[#This Row],[Age]]&lt;=40,"Median","Old"))</f>
        <v>Median</v>
      </c>
      <c r="G949" s="4" t="s">
        <v>16</v>
      </c>
      <c r="H949" s="4">
        <v>3</v>
      </c>
      <c r="I949" s="4">
        <v>25</v>
      </c>
      <c r="J949" s="4">
        <v>75</v>
      </c>
      <c r="K949" s="4" t="str" cm="1">
        <f t="array" ref="K949">_xlfn.IFS(AND(Table1567[[#This Row],[Total Amount]]&gt;=1500),"Critical",AND(Table1567[[#This Row],[Total Amount]]&gt;=1000),"High",TRUE,"Normal")</f>
        <v>Normal</v>
      </c>
      <c r="L949" s="4" t="str">
        <f>IF(Table1567[[#This Row],[Total Amount]]&gt;=1000,"High",(IF(Table1567[[#This Row],[Total Amount]]&gt;=500,"Medium","Low")))</f>
        <v>Low</v>
      </c>
      <c r="M949" s="4" t="str" cm="1">
        <f t="array" ref="M94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949" s="4" cm="1">
        <f t="array" ref="N94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949" s="4">
        <f>Table1567[[#This Row],[Total Amount]]-Table1567[[#This Row],[Discount Amount]]</f>
        <v>75</v>
      </c>
      <c r="P949" s="4" t="str">
        <f>IF(Table1567[[#This Row],[Total Amount]]&gt;=1000,"High","Low")</f>
        <v>Low</v>
      </c>
      <c r="Q949" s="4" t="str" cm="1">
        <f t="array" ref="Q949">_xlfn.IFS(AND(Table1567[[#This Row],[Total Amount]]&gt;=1500,"Critical"),AND(Table1567[[#This Row],[Total Amount]]&gt;=1000,"High"),TRUE,"Normal")</f>
        <v>Normal</v>
      </c>
      <c r="R949" s="4" t="str">
        <f>CONCATENATE(Table1567[[#This Row],[Customer ID]], "-",Table1567[[#This Row],[Age]])</f>
        <v>CUST948-23</v>
      </c>
      <c r="S949" s="4" t="str">
        <f>TEXT(Table1567[[#This Row],[Date]],"mmm")</f>
        <v>Oct</v>
      </c>
      <c r="T949" s="4" t="str">
        <f>TEXT(Table1567[[#This Row],[Date]],"DDD")</f>
        <v>Fri</v>
      </c>
    </row>
    <row r="950" spans="1:20" ht="29" x14ac:dyDescent="0.35">
      <c r="A950" s="4">
        <v>949</v>
      </c>
      <c r="B950" s="5">
        <v>45140</v>
      </c>
      <c r="C950" s="4" t="s">
        <v>962</v>
      </c>
      <c r="D950" s="4" t="s">
        <v>13</v>
      </c>
      <c r="E950" s="4">
        <v>41</v>
      </c>
      <c r="F950" s="4" t="str">
        <f>IF(Table1567[[#This Row],[Age]]&lt;=19,"Teenager",IF(Table1567[[#This Row],[Age]]&lt;=40,"Median","Old"))</f>
        <v>Old</v>
      </c>
      <c r="G950" s="4" t="s">
        <v>16</v>
      </c>
      <c r="H950" s="4">
        <v>2</v>
      </c>
      <c r="I950" s="4">
        <v>25</v>
      </c>
      <c r="J950" s="4">
        <v>50</v>
      </c>
      <c r="K950" s="4" t="str" cm="1">
        <f t="array" ref="K950">_xlfn.IFS(AND(Table1567[[#This Row],[Total Amount]]&gt;=1500),"Critical",AND(Table1567[[#This Row],[Total Amount]]&gt;=1000),"High",TRUE,"Normal")</f>
        <v>Normal</v>
      </c>
      <c r="L950" s="4" t="str">
        <f>IF(Table1567[[#This Row],[Total Amount]]&gt;=1000,"High",(IF(Table1567[[#This Row],[Total Amount]]&gt;=500,"Medium","Low")))</f>
        <v>Low</v>
      </c>
      <c r="M950" s="4" t="str" cm="1">
        <f t="array" ref="M95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50" s="4" cm="1">
        <f t="array" ref="N95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950" s="4">
        <f>Table1567[[#This Row],[Total Amount]]-Table1567[[#This Row],[Discount Amount]]</f>
        <v>40</v>
      </c>
      <c r="P950" s="4" t="str">
        <f>IF(Table1567[[#This Row],[Total Amount]]&gt;=1000,"High","Low")</f>
        <v>Low</v>
      </c>
      <c r="Q950" s="4" t="str" cm="1">
        <f t="array" ref="Q950">_xlfn.IFS(AND(Table1567[[#This Row],[Total Amount]]&gt;=1500,"Critical"),AND(Table1567[[#This Row],[Total Amount]]&gt;=1000,"High"),TRUE,"Normal")</f>
        <v>Normal</v>
      </c>
      <c r="R950" s="4" t="str">
        <f>CONCATENATE(Table1567[[#This Row],[Customer ID]], "-",Table1567[[#This Row],[Age]])</f>
        <v>CUST949-41</v>
      </c>
      <c r="S950" s="4" t="str">
        <f>TEXT(Table1567[[#This Row],[Date]],"mmm")</f>
        <v>Aug</v>
      </c>
      <c r="T950" s="4" t="str">
        <f>TEXT(Table1567[[#This Row],[Date]],"DDD")</f>
        <v>Wed</v>
      </c>
    </row>
    <row r="951" spans="1:20" ht="29" x14ac:dyDescent="0.35">
      <c r="A951" s="4">
        <v>950</v>
      </c>
      <c r="B951" s="5">
        <v>45237</v>
      </c>
      <c r="C951" s="4" t="s">
        <v>963</v>
      </c>
      <c r="D951" s="4" t="s">
        <v>10</v>
      </c>
      <c r="E951" s="4">
        <v>36</v>
      </c>
      <c r="F951" s="4" t="str">
        <f>IF(Table1567[[#This Row],[Age]]&lt;=19,"Teenager",IF(Table1567[[#This Row],[Age]]&lt;=40,"Median","Old"))</f>
        <v>Median</v>
      </c>
      <c r="G951" s="4" t="s">
        <v>14</v>
      </c>
      <c r="H951" s="4">
        <v>3</v>
      </c>
      <c r="I951" s="4">
        <v>300</v>
      </c>
      <c r="J951" s="4">
        <v>900</v>
      </c>
      <c r="K951" s="4" t="str" cm="1">
        <f t="array" ref="K951">_xlfn.IFS(AND(Table1567[[#This Row],[Total Amount]]&gt;=1500),"Critical",AND(Table1567[[#This Row],[Total Amount]]&gt;=1000),"High",TRUE,"Normal")</f>
        <v>Normal</v>
      </c>
      <c r="L951" s="4" t="str">
        <f>IF(Table1567[[#This Row],[Total Amount]]&gt;=1000,"High",(IF(Table1567[[#This Row],[Total Amount]]&gt;=500,"Medium","Low")))</f>
        <v>Medium</v>
      </c>
      <c r="M951" s="4" t="str" cm="1">
        <f t="array" ref="M95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51" s="4" cm="1">
        <f t="array" ref="N95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951" s="4">
        <f>Table1567[[#This Row],[Total Amount]]-Table1567[[#This Row],[Discount Amount]]</f>
        <v>810</v>
      </c>
      <c r="P951" s="4" t="str">
        <f>IF(Table1567[[#This Row],[Total Amount]]&gt;=1000,"High","Low")</f>
        <v>Low</v>
      </c>
      <c r="Q951" s="4" t="str" cm="1">
        <f t="array" ref="Q951">_xlfn.IFS(AND(Table1567[[#This Row],[Total Amount]]&gt;=1500,"Critical"),AND(Table1567[[#This Row],[Total Amount]]&gt;=1000,"High"),TRUE,"Normal")</f>
        <v>Normal</v>
      </c>
      <c r="R951" s="4" t="str">
        <f>CONCATENATE(Table1567[[#This Row],[Customer ID]], "-",Table1567[[#This Row],[Age]])</f>
        <v>CUST950-36</v>
      </c>
      <c r="S951" s="4" t="str">
        <f>TEXT(Table1567[[#This Row],[Date]],"mmm")</f>
        <v>Nov</v>
      </c>
      <c r="T951" s="4" t="str">
        <f>TEXT(Table1567[[#This Row],[Date]],"DDD")</f>
        <v>Tue</v>
      </c>
    </row>
    <row r="952" spans="1:20" ht="29" x14ac:dyDescent="0.35">
      <c r="A952" s="4">
        <v>951</v>
      </c>
      <c r="B952" s="5">
        <v>45232</v>
      </c>
      <c r="C952" s="4" t="s">
        <v>964</v>
      </c>
      <c r="D952" s="4" t="s">
        <v>10</v>
      </c>
      <c r="E952" s="4">
        <v>33</v>
      </c>
      <c r="F952" s="4" t="str">
        <f>IF(Table1567[[#This Row],[Age]]&lt;=19,"Teenager",IF(Table1567[[#This Row],[Age]]&lt;=40,"Median","Old"))</f>
        <v>Median</v>
      </c>
      <c r="G952" s="4" t="s">
        <v>11</v>
      </c>
      <c r="H952" s="4">
        <v>2</v>
      </c>
      <c r="I952" s="4">
        <v>50</v>
      </c>
      <c r="J952" s="4">
        <v>100</v>
      </c>
      <c r="K952" s="4" t="str" cm="1">
        <f t="array" ref="K952">_xlfn.IFS(AND(Table1567[[#This Row],[Total Amount]]&gt;=1500),"Critical",AND(Table1567[[#This Row],[Total Amount]]&gt;=1000),"High",TRUE,"Normal")</f>
        <v>Normal</v>
      </c>
      <c r="L952" s="4" t="str">
        <f>IF(Table1567[[#This Row],[Total Amount]]&gt;=1000,"High",(IF(Table1567[[#This Row],[Total Amount]]&gt;=500,"Medium","Low")))</f>
        <v>Low</v>
      </c>
      <c r="M952" s="4" t="str" cm="1">
        <f t="array" ref="M95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52" s="4" cm="1">
        <f t="array" ref="N95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952" s="4">
        <f>Table1567[[#This Row],[Total Amount]]-Table1567[[#This Row],[Discount Amount]]</f>
        <v>85</v>
      </c>
      <c r="P952" s="4" t="str">
        <f>IF(Table1567[[#This Row],[Total Amount]]&gt;=1000,"High","Low")</f>
        <v>Low</v>
      </c>
      <c r="Q952" s="4" t="str" cm="1">
        <f t="array" ref="Q952">_xlfn.IFS(AND(Table1567[[#This Row],[Total Amount]]&gt;=1500,"Critical"),AND(Table1567[[#This Row],[Total Amount]]&gt;=1000,"High"),TRUE,"Normal")</f>
        <v>Normal</v>
      </c>
      <c r="R952" s="4" t="str">
        <f>CONCATENATE(Table1567[[#This Row],[Customer ID]], "-",Table1567[[#This Row],[Age]])</f>
        <v>CUST951-33</v>
      </c>
      <c r="S952" s="4" t="str">
        <f>TEXT(Table1567[[#This Row],[Date]],"mmm")</f>
        <v>Nov</v>
      </c>
      <c r="T952" s="4" t="str">
        <f>TEXT(Table1567[[#This Row],[Date]],"DDD")</f>
        <v>Thu</v>
      </c>
    </row>
    <row r="953" spans="1:20" ht="29" x14ac:dyDescent="0.35">
      <c r="A953" s="4">
        <v>952</v>
      </c>
      <c r="B953" s="5">
        <v>45243</v>
      </c>
      <c r="C953" s="4" t="s">
        <v>965</v>
      </c>
      <c r="D953" s="4" t="s">
        <v>13</v>
      </c>
      <c r="E953" s="4">
        <v>57</v>
      </c>
      <c r="F953" s="4" t="str">
        <f>IF(Table1567[[#This Row],[Age]]&lt;=19,"Teenager",IF(Table1567[[#This Row],[Age]]&lt;=40,"Median","Old"))</f>
        <v>Old</v>
      </c>
      <c r="G953" s="4" t="s">
        <v>14</v>
      </c>
      <c r="H953" s="4">
        <v>1</v>
      </c>
      <c r="I953" s="4">
        <v>25</v>
      </c>
      <c r="J953" s="4">
        <v>25</v>
      </c>
      <c r="K953" s="4" t="str" cm="1">
        <f t="array" ref="K953">_xlfn.IFS(AND(Table1567[[#This Row],[Total Amount]]&gt;=1500),"Critical",AND(Table1567[[#This Row],[Total Amount]]&gt;=1000),"High",TRUE,"Normal")</f>
        <v>Normal</v>
      </c>
      <c r="L953" s="4" t="str">
        <f>IF(Table1567[[#This Row],[Total Amount]]&gt;=1000,"High",(IF(Table1567[[#This Row],[Total Amount]]&gt;=500,"Medium","Low")))</f>
        <v>Low</v>
      </c>
      <c r="M953" s="4" t="str" cm="1">
        <f t="array" ref="M95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53" s="4" cm="1">
        <f t="array" ref="N95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953" s="4">
        <f>Table1567[[#This Row],[Total Amount]]-Table1567[[#This Row],[Discount Amount]]</f>
        <v>20</v>
      </c>
      <c r="P953" s="4" t="str">
        <f>IF(Table1567[[#This Row],[Total Amount]]&gt;=1000,"High","Low")</f>
        <v>Low</v>
      </c>
      <c r="Q953" s="4" t="str" cm="1">
        <f t="array" ref="Q953">_xlfn.IFS(AND(Table1567[[#This Row],[Total Amount]]&gt;=1500,"Critical"),AND(Table1567[[#This Row],[Total Amount]]&gt;=1000,"High"),TRUE,"Normal")</f>
        <v>Normal</v>
      </c>
      <c r="R953" s="4" t="str">
        <f>CONCATENATE(Table1567[[#This Row],[Customer ID]], "-",Table1567[[#This Row],[Age]])</f>
        <v>CUST952-57</v>
      </c>
      <c r="S953" s="4" t="str">
        <f>TEXT(Table1567[[#This Row],[Date]],"mmm")</f>
        <v>Nov</v>
      </c>
      <c r="T953" s="4" t="str">
        <f>TEXT(Table1567[[#This Row],[Date]],"DDD")</f>
        <v>Mon</v>
      </c>
    </row>
    <row r="954" spans="1:20" ht="29" x14ac:dyDescent="0.35">
      <c r="A954" s="4">
        <v>953</v>
      </c>
      <c r="B954" s="5">
        <v>45042</v>
      </c>
      <c r="C954" s="4" t="s">
        <v>966</v>
      </c>
      <c r="D954" s="4" t="s">
        <v>10</v>
      </c>
      <c r="E954" s="4">
        <v>45</v>
      </c>
      <c r="F954" s="4" t="str">
        <f>IF(Table1567[[#This Row],[Age]]&lt;=19,"Teenager",IF(Table1567[[#This Row],[Age]]&lt;=40,"Median","Old"))</f>
        <v>Old</v>
      </c>
      <c r="G954" s="4" t="s">
        <v>11</v>
      </c>
      <c r="H954" s="4">
        <v>3</v>
      </c>
      <c r="I954" s="4">
        <v>30</v>
      </c>
      <c r="J954" s="4">
        <v>90</v>
      </c>
      <c r="K954" s="4" t="str" cm="1">
        <f t="array" ref="K954">_xlfn.IFS(AND(Table1567[[#This Row],[Total Amount]]&gt;=1500),"Critical",AND(Table1567[[#This Row],[Total Amount]]&gt;=1000),"High",TRUE,"Normal")</f>
        <v>Normal</v>
      </c>
      <c r="L954" s="4" t="str">
        <f>IF(Table1567[[#This Row],[Total Amount]]&gt;=1000,"High",(IF(Table1567[[#This Row],[Total Amount]]&gt;=500,"Medium","Low")))</f>
        <v>Low</v>
      </c>
      <c r="M954" s="4" t="str" cm="1">
        <f t="array" ref="M95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54" s="4" cm="1">
        <f t="array" ref="N95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</v>
      </c>
      <c r="O954" s="4">
        <f>Table1567[[#This Row],[Total Amount]]-Table1567[[#This Row],[Discount Amount]]</f>
        <v>81</v>
      </c>
      <c r="P954" s="4" t="str">
        <f>IF(Table1567[[#This Row],[Total Amount]]&gt;=1000,"High","Low")</f>
        <v>Low</v>
      </c>
      <c r="Q954" s="4" t="str" cm="1">
        <f t="array" ref="Q954">_xlfn.IFS(AND(Table1567[[#This Row],[Total Amount]]&gt;=1500,"Critical"),AND(Table1567[[#This Row],[Total Amount]]&gt;=1000,"High"),TRUE,"Normal")</f>
        <v>Normal</v>
      </c>
      <c r="R954" s="4" t="str">
        <f>CONCATENATE(Table1567[[#This Row],[Customer ID]], "-",Table1567[[#This Row],[Age]])</f>
        <v>CUST953-45</v>
      </c>
      <c r="S954" s="4" t="str">
        <f>TEXT(Table1567[[#This Row],[Date]],"mmm")</f>
        <v>Apr</v>
      </c>
      <c r="T954" s="4" t="str">
        <f>TEXT(Table1567[[#This Row],[Date]],"DDD")</f>
        <v>Wed</v>
      </c>
    </row>
    <row r="955" spans="1:20" ht="29" x14ac:dyDescent="0.35">
      <c r="A955" s="4">
        <v>954</v>
      </c>
      <c r="B955" s="5">
        <v>45194</v>
      </c>
      <c r="C955" s="4" t="s">
        <v>967</v>
      </c>
      <c r="D955" s="4" t="s">
        <v>13</v>
      </c>
      <c r="E955" s="4">
        <v>50</v>
      </c>
      <c r="F955" s="4" t="str">
        <f>IF(Table1567[[#This Row],[Age]]&lt;=19,"Teenager",IF(Table1567[[#This Row],[Age]]&lt;=40,"Median","Old"))</f>
        <v>Old</v>
      </c>
      <c r="G955" s="4" t="s">
        <v>16</v>
      </c>
      <c r="H955" s="4">
        <v>3</v>
      </c>
      <c r="I955" s="4">
        <v>300</v>
      </c>
      <c r="J955" s="4">
        <v>900</v>
      </c>
      <c r="K955" s="4" t="str" cm="1">
        <f t="array" ref="K955">_xlfn.IFS(AND(Table1567[[#This Row],[Total Amount]]&gt;=1500),"Critical",AND(Table1567[[#This Row],[Total Amount]]&gt;=1000),"High",TRUE,"Normal")</f>
        <v>Normal</v>
      </c>
      <c r="L955" s="4" t="str">
        <f>IF(Table1567[[#This Row],[Total Amount]]&gt;=1000,"High",(IF(Table1567[[#This Row],[Total Amount]]&gt;=500,"Medium","Low")))</f>
        <v>Medium</v>
      </c>
      <c r="M955" s="4" t="str" cm="1">
        <f t="array" ref="M95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55" s="4" cm="1">
        <f t="array" ref="N95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955" s="4">
        <f>Table1567[[#This Row],[Total Amount]]-Table1567[[#This Row],[Discount Amount]]</f>
        <v>720</v>
      </c>
      <c r="P955" s="4" t="str">
        <f>IF(Table1567[[#This Row],[Total Amount]]&gt;=1000,"High","Low")</f>
        <v>Low</v>
      </c>
      <c r="Q955" s="4" t="str" cm="1">
        <f t="array" ref="Q955">_xlfn.IFS(AND(Table1567[[#This Row],[Total Amount]]&gt;=1500,"Critical"),AND(Table1567[[#This Row],[Total Amount]]&gt;=1000,"High"),TRUE,"Normal")</f>
        <v>Normal</v>
      </c>
      <c r="R955" s="4" t="str">
        <f>CONCATENATE(Table1567[[#This Row],[Customer ID]], "-",Table1567[[#This Row],[Age]])</f>
        <v>CUST954-50</v>
      </c>
      <c r="S955" s="4" t="str">
        <f>TEXT(Table1567[[#This Row],[Date]],"mmm")</f>
        <v>Sep</v>
      </c>
      <c r="T955" s="4" t="str">
        <f>TEXT(Table1567[[#This Row],[Date]],"DDD")</f>
        <v>Mon</v>
      </c>
    </row>
    <row r="956" spans="1:20" ht="29" x14ac:dyDescent="0.35">
      <c r="A956" s="4">
        <v>955</v>
      </c>
      <c r="B956" s="5">
        <v>45121</v>
      </c>
      <c r="C956" s="4" t="s">
        <v>968</v>
      </c>
      <c r="D956" s="4" t="s">
        <v>10</v>
      </c>
      <c r="E956" s="4">
        <v>58</v>
      </c>
      <c r="F956" s="4" t="str">
        <f>IF(Table1567[[#This Row],[Age]]&lt;=19,"Teenager",IF(Table1567[[#This Row],[Age]]&lt;=40,"Median","Old"))</f>
        <v>Old</v>
      </c>
      <c r="G956" s="4" t="s">
        <v>14</v>
      </c>
      <c r="H956" s="4">
        <v>1</v>
      </c>
      <c r="I956" s="4">
        <v>25</v>
      </c>
      <c r="J956" s="4">
        <v>25</v>
      </c>
      <c r="K956" s="4" t="str" cm="1">
        <f t="array" ref="K956">_xlfn.IFS(AND(Table1567[[#This Row],[Total Amount]]&gt;=1500),"Critical",AND(Table1567[[#This Row],[Total Amount]]&gt;=1000),"High",TRUE,"Normal")</f>
        <v>Normal</v>
      </c>
      <c r="L956" s="4" t="str">
        <f>IF(Table1567[[#This Row],[Total Amount]]&gt;=1000,"High",(IF(Table1567[[#This Row],[Total Amount]]&gt;=500,"Medium","Low")))</f>
        <v>Low</v>
      </c>
      <c r="M956" s="4" t="str" cm="1">
        <f t="array" ref="M95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56" s="4" cm="1">
        <f t="array" ref="N95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956" s="4">
        <f>Table1567[[#This Row],[Total Amount]]-Table1567[[#This Row],[Discount Amount]]</f>
        <v>22.5</v>
      </c>
      <c r="P956" s="4" t="str">
        <f>IF(Table1567[[#This Row],[Total Amount]]&gt;=1000,"High","Low")</f>
        <v>Low</v>
      </c>
      <c r="Q956" s="4" t="str" cm="1">
        <f t="array" ref="Q956">_xlfn.IFS(AND(Table1567[[#This Row],[Total Amount]]&gt;=1500,"Critical"),AND(Table1567[[#This Row],[Total Amount]]&gt;=1000,"High"),TRUE,"Normal")</f>
        <v>Normal</v>
      </c>
      <c r="R956" s="4" t="str">
        <f>CONCATENATE(Table1567[[#This Row],[Customer ID]], "-",Table1567[[#This Row],[Age]])</f>
        <v>CUST955-58</v>
      </c>
      <c r="S956" s="4" t="str">
        <f>TEXT(Table1567[[#This Row],[Date]],"mmm")</f>
        <v>Jul</v>
      </c>
      <c r="T956" s="4" t="str">
        <f>TEXT(Table1567[[#This Row],[Date]],"DDD")</f>
        <v>Fri</v>
      </c>
    </row>
    <row r="957" spans="1:20" ht="29" x14ac:dyDescent="0.35">
      <c r="A957" s="4">
        <v>956</v>
      </c>
      <c r="B957" s="5">
        <v>45157</v>
      </c>
      <c r="C957" s="4" t="s">
        <v>969</v>
      </c>
      <c r="D957" s="4" t="s">
        <v>10</v>
      </c>
      <c r="E957" s="4">
        <v>30</v>
      </c>
      <c r="F957" s="4" t="str">
        <f>IF(Table1567[[#This Row],[Age]]&lt;=19,"Teenager",IF(Table1567[[#This Row],[Age]]&lt;=40,"Median","Old"))</f>
        <v>Median</v>
      </c>
      <c r="G957" s="4" t="s">
        <v>14</v>
      </c>
      <c r="H957" s="4">
        <v>3</v>
      </c>
      <c r="I957" s="4">
        <v>500</v>
      </c>
      <c r="J957" s="4">
        <v>1500</v>
      </c>
      <c r="K957" s="4" t="str" cm="1">
        <f t="array" ref="K957">_xlfn.IFS(AND(Table1567[[#This Row],[Total Amount]]&gt;=1500),"Critical",AND(Table1567[[#This Row],[Total Amount]]&gt;=1000),"High",TRUE,"Normal")</f>
        <v>Critical</v>
      </c>
      <c r="L957" s="4" t="str">
        <f>IF(Table1567[[#This Row],[Total Amount]]&gt;=1000,"High",(IF(Table1567[[#This Row],[Total Amount]]&gt;=500,"Medium","Low")))</f>
        <v>High</v>
      </c>
      <c r="M957" s="4" t="str" cm="1">
        <f t="array" ref="M95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57" s="4" cm="1">
        <f t="array" ref="N95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225</v>
      </c>
      <c r="O957" s="4">
        <f>Table1567[[#This Row],[Total Amount]]-Table1567[[#This Row],[Discount Amount]]</f>
        <v>1275</v>
      </c>
      <c r="P957" s="4" t="str">
        <f>IF(Table1567[[#This Row],[Total Amount]]&gt;=1000,"High","Low")</f>
        <v>High</v>
      </c>
      <c r="Q957" s="4" t="b" cm="1">
        <f t="array" ref="Q957">_xlfn.IFS(AND(Table1567[[#This Row],[Total Amount]]&gt;=1500,"Critical"),AND(Table1567[[#This Row],[Total Amount]]&gt;=1000,"High"),TRUE,"Normal")</f>
        <v>1</v>
      </c>
      <c r="R957" s="4" t="str">
        <f>CONCATENATE(Table1567[[#This Row],[Customer ID]], "-",Table1567[[#This Row],[Age]])</f>
        <v>CUST956-30</v>
      </c>
      <c r="S957" s="4" t="str">
        <f>TEXT(Table1567[[#This Row],[Date]],"mmm")</f>
        <v>Aug</v>
      </c>
      <c r="T957" s="4" t="str">
        <f>TEXT(Table1567[[#This Row],[Date]],"DDD")</f>
        <v>Sat</v>
      </c>
    </row>
    <row r="958" spans="1:20" ht="29" x14ac:dyDescent="0.35">
      <c r="A958" s="4">
        <v>957</v>
      </c>
      <c r="B958" s="5">
        <v>45153</v>
      </c>
      <c r="C958" s="4" t="s">
        <v>970</v>
      </c>
      <c r="D958" s="4" t="s">
        <v>13</v>
      </c>
      <c r="E958" s="4">
        <v>60</v>
      </c>
      <c r="F958" s="4" t="str">
        <f>IF(Table1567[[#This Row],[Age]]&lt;=19,"Teenager",IF(Table1567[[#This Row],[Age]]&lt;=40,"Median","Old"))</f>
        <v>Old</v>
      </c>
      <c r="G958" s="4" t="s">
        <v>16</v>
      </c>
      <c r="H958" s="4">
        <v>4</v>
      </c>
      <c r="I958" s="4">
        <v>30</v>
      </c>
      <c r="J958" s="4">
        <v>120</v>
      </c>
      <c r="K958" s="4" t="str" cm="1">
        <f t="array" ref="K958">_xlfn.IFS(AND(Table1567[[#This Row],[Total Amount]]&gt;=1500),"Critical",AND(Table1567[[#This Row],[Total Amount]]&gt;=1000),"High",TRUE,"Normal")</f>
        <v>Normal</v>
      </c>
      <c r="L958" s="4" t="str">
        <f>IF(Table1567[[#This Row],[Total Amount]]&gt;=1000,"High",(IF(Table1567[[#This Row],[Total Amount]]&gt;=500,"Medium","Low")))</f>
        <v>Low</v>
      </c>
      <c r="M958" s="4" t="str" cm="1">
        <f t="array" ref="M95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58" s="4" cm="1">
        <f t="array" ref="N95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</v>
      </c>
      <c r="O958" s="4">
        <f>Table1567[[#This Row],[Total Amount]]-Table1567[[#This Row],[Discount Amount]]</f>
        <v>96</v>
      </c>
      <c r="P958" s="4" t="str">
        <f>IF(Table1567[[#This Row],[Total Amount]]&gt;=1000,"High","Low")</f>
        <v>Low</v>
      </c>
      <c r="Q958" s="4" t="str" cm="1">
        <f t="array" ref="Q958">_xlfn.IFS(AND(Table1567[[#This Row],[Total Amount]]&gt;=1500,"Critical"),AND(Table1567[[#This Row],[Total Amount]]&gt;=1000,"High"),TRUE,"Normal")</f>
        <v>Normal</v>
      </c>
      <c r="R958" s="4" t="str">
        <f>CONCATENATE(Table1567[[#This Row],[Customer ID]], "-",Table1567[[#This Row],[Age]])</f>
        <v>CUST957-60</v>
      </c>
      <c r="S958" s="4" t="str">
        <f>TEXT(Table1567[[#This Row],[Date]],"mmm")</f>
        <v>Aug</v>
      </c>
      <c r="T958" s="4" t="str">
        <f>TEXT(Table1567[[#This Row],[Date]],"DDD")</f>
        <v>Tue</v>
      </c>
    </row>
    <row r="959" spans="1:20" ht="29" x14ac:dyDescent="0.35">
      <c r="A959" s="4">
        <v>958</v>
      </c>
      <c r="B959" s="5">
        <v>45079</v>
      </c>
      <c r="C959" s="4" t="s">
        <v>971</v>
      </c>
      <c r="D959" s="4" t="s">
        <v>10</v>
      </c>
      <c r="E959" s="4">
        <v>62</v>
      </c>
      <c r="F959" s="4" t="str">
        <f>IF(Table1567[[#This Row],[Age]]&lt;=19,"Teenager",IF(Table1567[[#This Row],[Age]]&lt;=40,"Median","Old"))</f>
        <v>Old</v>
      </c>
      <c r="G959" s="4" t="s">
        <v>16</v>
      </c>
      <c r="H959" s="4">
        <v>2</v>
      </c>
      <c r="I959" s="4">
        <v>25</v>
      </c>
      <c r="J959" s="4">
        <v>50</v>
      </c>
      <c r="K959" s="4" t="str" cm="1">
        <f t="array" ref="K959">_xlfn.IFS(AND(Table1567[[#This Row],[Total Amount]]&gt;=1500),"Critical",AND(Table1567[[#This Row],[Total Amount]]&gt;=1000),"High",TRUE,"Normal")</f>
        <v>Normal</v>
      </c>
      <c r="L959" s="4" t="str">
        <f>IF(Table1567[[#This Row],[Total Amount]]&gt;=1000,"High",(IF(Table1567[[#This Row],[Total Amount]]&gt;=500,"Medium","Low")))</f>
        <v>Low</v>
      </c>
      <c r="M959" s="4" t="str" cm="1">
        <f t="array" ref="M95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59" s="4" cm="1">
        <f t="array" ref="N95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959" s="4">
        <f>Table1567[[#This Row],[Total Amount]]-Table1567[[#This Row],[Discount Amount]]</f>
        <v>45</v>
      </c>
      <c r="P959" s="4" t="str">
        <f>IF(Table1567[[#This Row],[Total Amount]]&gt;=1000,"High","Low")</f>
        <v>Low</v>
      </c>
      <c r="Q959" s="4" t="str" cm="1">
        <f t="array" ref="Q959">_xlfn.IFS(AND(Table1567[[#This Row],[Total Amount]]&gt;=1500,"Critical"),AND(Table1567[[#This Row],[Total Amount]]&gt;=1000,"High"),TRUE,"Normal")</f>
        <v>Normal</v>
      </c>
      <c r="R959" s="4" t="str">
        <f>CONCATENATE(Table1567[[#This Row],[Customer ID]], "-",Table1567[[#This Row],[Age]])</f>
        <v>CUST958-62</v>
      </c>
      <c r="S959" s="4" t="str">
        <f>TEXT(Table1567[[#This Row],[Date]],"mmm")</f>
        <v>Jun</v>
      </c>
      <c r="T959" s="4" t="str">
        <f>TEXT(Table1567[[#This Row],[Date]],"DDD")</f>
        <v>Fri</v>
      </c>
    </row>
    <row r="960" spans="1:20" ht="29" x14ac:dyDescent="0.35">
      <c r="A960" s="4">
        <v>959</v>
      </c>
      <c r="B960" s="5">
        <v>45228</v>
      </c>
      <c r="C960" s="4" t="s">
        <v>972</v>
      </c>
      <c r="D960" s="4" t="s">
        <v>13</v>
      </c>
      <c r="E960" s="4">
        <v>42</v>
      </c>
      <c r="F960" s="4" t="str">
        <f>IF(Table1567[[#This Row],[Age]]&lt;=19,"Teenager",IF(Table1567[[#This Row],[Age]]&lt;=40,"Median","Old"))</f>
        <v>Old</v>
      </c>
      <c r="G960" s="4" t="s">
        <v>16</v>
      </c>
      <c r="H960" s="4">
        <v>2</v>
      </c>
      <c r="I960" s="4">
        <v>30</v>
      </c>
      <c r="J960" s="4">
        <v>60</v>
      </c>
      <c r="K960" s="4" t="str" cm="1">
        <f t="array" ref="K960">_xlfn.IFS(AND(Table1567[[#This Row],[Total Amount]]&gt;=1500),"Critical",AND(Table1567[[#This Row],[Total Amount]]&gt;=1000),"High",TRUE,"Normal")</f>
        <v>Normal</v>
      </c>
      <c r="L960" s="4" t="str">
        <f>IF(Table1567[[#This Row],[Total Amount]]&gt;=1000,"High",(IF(Table1567[[#This Row],[Total Amount]]&gt;=500,"Medium","Low")))</f>
        <v>Low</v>
      </c>
      <c r="M960" s="4" t="str" cm="1">
        <f t="array" ref="M96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60" s="4" cm="1">
        <f t="array" ref="N96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960" s="4">
        <f>Table1567[[#This Row],[Total Amount]]-Table1567[[#This Row],[Discount Amount]]</f>
        <v>48</v>
      </c>
      <c r="P960" s="4" t="str">
        <f>IF(Table1567[[#This Row],[Total Amount]]&gt;=1000,"High","Low")</f>
        <v>Low</v>
      </c>
      <c r="Q960" s="4" t="str" cm="1">
        <f t="array" ref="Q960">_xlfn.IFS(AND(Table1567[[#This Row],[Total Amount]]&gt;=1500,"Critical"),AND(Table1567[[#This Row],[Total Amount]]&gt;=1000,"High"),TRUE,"Normal")</f>
        <v>Normal</v>
      </c>
      <c r="R960" s="4" t="str">
        <f>CONCATENATE(Table1567[[#This Row],[Customer ID]], "-",Table1567[[#This Row],[Age]])</f>
        <v>CUST959-42</v>
      </c>
      <c r="S960" s="4" t="str">
        <f>TEXT(Table1567[[#This Row],[Date]],"mmm")</f>
        <v>Oct</v>
      </c>
      <c r="T960" s="4" t="str">
        <f>TEXT(Table1567[[#This Row],[Date]],"DDD")</f>
        <v>Sun</v>
      </c>
    </row>
    <row r="961" spans="1:20" ht="29" x14ac:dyDescent="0.35">
      <c r="A961" s="4">
        <v>960</v>
      </c>
      <c r="B961" s="5">
        <v>45146</v>
      </c>
      <c r="C961" s="4" t="s">
        <v>973</v>
      </c>
      <c r="D961" s="4" t="s">
        <v>10</v>
      </c>
      <c r="E961" s="4">
        <v>59</v>
      </c>
      <c r="F961" s="4" t="str">
        <f>IF(Table1567[[#This Row],[Age]]&lt;=19,"Teenager",IF(Table1567[[#This Row],[Age]]&lt;=40,"Median","Old"))</f>
        <v>Old</v>
      </c>
      <c r="G961" s="4" t="s">
        <v>14</v>
      </c>
      <c r="H961" s="4">
        <v>2</v>
      </c>
      <c r="I961" s="4">
        <v>30</v>
      </c>
      <c r="J961" s="4">
        <v>60</v>
      </c>
      <c r="K961" s="4" t="str" cm="1">
        <f t="array" ref="K961">_xlfn.IFS(AND(Table1567[[#This Row],[Total Amount]]&gt;=1500),"Critical",AND(Table1567[[#This Row],[Total Amount]]&gt;=1000),"High",TRUE,"Normal")</f>
        <v>Normal</v>
      </c>
      <c r="L961" s="4" t="str">
        <f>IF(Table1567[[#This Row],[Total Amount]]&gt;=1000,"High",(IF(Table1567[[#This Row],[Total Amount]]&gt;=500,"Medium","Low")))</f>
        <v>Low</v>
      </c>
      <c r="M961" s="4" t="str" cm="1">
        <f t="array" ref="M96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61" s="4" cm="1">
        <f t="array" ref="N96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961" s="4">
        <f>Table1567[[#This Row],[Total Amount]]-Table1567[[#This Row],[Discount Amount]]</f>
        <v>54</v>
      </c>
      <c r="P961" s="4" t="str">
        <f>IF(Table1567[[#This Row],[Total Amount]]&gt;=1000,"High","Low")</f>
        <v>Low</v>
      </c>
      <c r="Q961" s="4" t="str" cm="1">
        <f t="array" ref="Q961">_xlfn.IFS(AND(Table1567[[#This Row],[Total Amount]]&gt;=1500,"Critical"),AND(Table1567[[#This Row],[Total Amount]]&gt;=1000,"High"),TRUE,"Normal")</f>
        <v>Normal</v>
      </c>
      <c r="R961" s="4" t="str">
        <f>CONCATENATE(Table1567[[#This Row],[Customer ID]], "-",Table1567[[#This Row],[Age]])</f>
        <v>CUST960-59</v>
      </c>
      <c r="S961" s="4" t="str">
        <f>TEXT(Table1567[[#This Row],[Date]],"mmm")</f>
        <v>Aug</v>
      </c>
      <c r="T961" s="4" t="str">
        <f>TEXT(Table1567[[#This Row],[Date]],"DDD")</f>
        <v>Tue</v>
      </c>
    </row>
    <row r="962" spans="1:20" ht="29" x14ac:dyDescent="0.35">
      <c r="A962" s="4">
        <v>961</v>
      </c>
      <c r="B962" s="5">
        <v>45083</v>
      </c>
      <c r="C962" s="4" t="s">
        <v>974</v>
      </c>
      <c r="D962" s="4" t="s">
        <v>10</v>
      </c>
      <c r="E962" s="4">
        <v>53</v>
      </c>
      <c r="F962" s="4" t="str">
        <f>IF(Table1567[[#This Row],[Age]]&lt;=19,"Teenager",IF(Table1567[[#This Row],[Age]]&lt;=40,"Median","Old"))</f>
        <v>Old</v>
      </c>
      <c r="G962" s="4" t="s">
        <v>11</v>
      </c>
      <c r="H962" s="4">
        <v>4</v>
      </c>
      <c r="I962" s="4">
        <v>50</v>
      </c>
      <c r="J962" s="4">
        <v>200</v>
      </c>
      <c r="K962" s="4" t="str" cm="1">
        <f t="array" ref="K962">_xlfn.IFS(AND(Table1567[[#This Row],[Total Amount]]&gt;=1500),"Critical",AND(Table1567[[#This Row],[Total Amount]]&gt;=1000),"High",TRUE,"Normal")</f>
        <v>Normal</v>
      </c>
      <c r="L962" s="4" t="str">
        <f>IF(Table1567[[#This Row],[Total Amount]]&gt;=1000,"High",(IF(Table1567[[#This Row],[Total Amount]]&gt;=500,"Medium","Low")))</f>
        <v>Low</v>
      </c>
      <c r="M962" s="4" t="str" cm="1">
        <f t="array" ref="M96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62" s="4" cm="1">
        <f t="array" ref="N96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962" s="4">
        <f>Table1567[[#This Row],[Total Amount]]-Table1567[[#This Row],[Discount Amount]]</f>
        <v>180</v>
      </c>
      <c r="P962" s="4" t="str">
        <f>IF(Table1567[[#This Row],[Total Amount]]&gt;=1000,"High","Low")</f>
        <v>Low</v>
      </c>
      <c r="Q962" s="4" t="str" cm="1">
        <f t="array" ref="Q962">_xlfn.IFS(AND(Table1567[[#This Row],[Total Amount]]&gt;=1500,"Critical"),AND(Table1567[[#This Row],[Total Amount]]&gt;=1000,"High"),TRUE,"Normal")</f>
        <v>Normal</v>
      </c>
      <c r="R962" s="4" t="str">
        <f>CONCATENATE(Table1567[[#This Row],[Customer ID]], "-",Table1567[[#This Row],[Age]])</f>
        <v>CUST961-53</v>
      </c>
      <c r="S962" s="4" t="str">
        <f>TEXT(Table1567[[#This Row],[Date]],"mmm")</f>
        <v>Jun</v>
      </c>
      <c r="T962" s="4" t="str">
        <f>TEXT(Table1567[[#This Row],[Date]],"DDD")</f>
        <v>Tue</v>
      </c>
    </row>
    <row r="963" spans="1:20" ht="29" x14ac:dyDescent="0.35">
      <c r="A963" s="4">
        <v>962</v>
      </c>
      <c r="B963" s="5">
        <v>45218</v>
      </c>
      <c r="C963" s="4" t="s">
        <v>975</v>
      </c>
      <c r="D963" s="4" t="s">
        <v>10</v>
      </c>
      <c r="E963" s="4">
        <v>44</v>
      </c>
      <c r="F963" s="4" t="str">
        <f>IF(Table1567[[#This Row],[Age]]&lt;=19,"Teenager",IF(Table1567[[#This Row],[Age]]&lt;=40,"Median","Old"))</f>
        <v>Old</v>
      </c>
      <c r="G963" s="4" t="s">
        <v>14</v>
      </c>
      <c r="H963" s="4">
        <v>2</v>
      </c>
      <c r="I963" s="4">
        <v>30</v>
      </c>
      <c r="J963" s="4">
        <v>60</v>
      </c>
      <c r="K963" s="4" t="str" cm="1">
        <f t="array" ref="K963">_xlfn.IFS(AND(Table1567[[#This Row],[Total Amount]]&gt;=1500),"Critical",AND(Table1567[[#This Row],[Total Amount]]&gt;=1000),"High",TRUE,"Normal")</f>
        <v>Normal</v>
      </c>
      <c r="L963" s="4" t="str">
        <f>IF(Table1567[[#This Row],[Total Amount]]&gt;=1000,"High",(IF(Table1567[[#This Row],[Total Amount]]&gt;=500,"Medium","Low")))</f>
        <v>Low</v>
      </c>
      <c r="M963" s="4" t="str" cm="1">
        <f t="array" ref="M96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63" s="4" cm="1">
        <f t="array" ref="N96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963" s="4">
        <f>Table1567[[#This Row],[Total Amount]]-Table1567[[#This Row],[Discount Amount]]</f>
        <v>54</v>
      </c>
      <c r="P963" s="4" t="str">
        <f>IF(Table1567[[#This Row],[Total Amount]]&gt;=1000,"High","Low")</f>
        <v>Low</v>
      </c>
      <c r="Q963" s="4" t="str" cm="1">
        <f t="array" ref="Q963">_xlfn.IFS(AND(Table1567[[#This Row],[Total Amount]]&gt;=1500,"Critical"),AND(Table1567[[#This Row],[Total Amount]]&gt;=1000,"High"),TRUE,"Normal")</f>
        <v>Normal</v>
      </c>
      <c r="R963" s="4" t="str">
        <f>CONCATENATE(Table1567[[#This Row],[Customer ID]], "-",Table1567[[#This Row],[Age]])</f>
        <v>CUST962-44</v>
      </c>
      <c r="S963" s="4" t="str">
        <f>TEXT(Table1567[[#This Row],[Date]],"mmm")</f>
        <v>Oct</v>
      </c>
      <c r="T963" s="4" t="str">
        <f>TEXT(Table1567[[#This Row],[Date]],"DDD")</f>
        <v>Thu</v>
      </c>
    </row>
    <row r="964" spans="1:20" ht="29" x14ac:dyDescent="0.35">
      <c r="A964" s="4">
        <v>963</v>
      </c>
      <c r="B964" s="5">
        <v>45244</v>
      </c>
      <c r="C964" s="4" t="s">
        <v>976</v>
      </c>
      <c r="D964" s="4" t="s">
        <v>13</v>
      </c>
      <c r="E964" s="4">
        <v>55</v>
      </c>
      <c r="F964" s="4" t="str">
        <f>IF(Table1567[[#This Row],[Age]]&lt;=19,"Teenager",IF(Table1567[[#This Row],[Age]]&lt;=40,"Median","Old"))</f>
        <v>Old</v>
      </c>
      <c r="G964" s="4" t="s">
        <v>11</v>
      </c>
      <c r="H964" s="4">
        <v>1</v>
      </c>
      <c r="I964" s="4">
        <v>50</v>
      </c>
      <c r="J964" s="4">
        <v>50</v>
      </c>
      <c r="K964" s="4" t="str" cm="1">
        <f t="array" ref="K964">_xlfn.IFS(AND(Table1567[[#This Row],[Total Amount]]&gt;=1500),"Critical",AND(Table1567[[#This Row],[Total Amount]]&gt;=1000),"High",TRUE,"Normal")</f>
        <v>Normal</v>
      </c>
      <c r="L964" s="4" t="str">
        <f>IF(Table1567[[#This Row],[Total Amount]]&gt;=1000,"High",(IF(Table1567[[#This Row],[Total Amount]]&gt;=500,"Medium","Low")))</f>
        <v>Low</v>
      </c>
      <c r="M964" s="4" t="str" cm="1">
        <f t="array" ref="M96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64" s="4" cm="1">
        <f t="array" ref="N96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964" s="4">
        <f>Table1567[[#This Row],[Total Amount]]-Table1567[[#This Row],[Discount Amount]]</f>
        <v>40</v>
      </c>
      <c r="P964" s="4" t="str">
        <f>IF(Table1567[[#This Row],[Total Amount]]&gt;=1000,"High","Low")</f>
        <v>Low</v>
      </c>
      <c r="Q964" s="4" t="str" cm="1">
        <f t="array" ref="Q964">_xlfn.IFS(AND(Table1567[[#This Row],[Total Amount]]&gt;=1500,"Critical"),AND(Table1567[[#This Row],[Total Amount]]&gt;=1000,"High"),TRUE,"Normal")</f>
        <v>Normal</v>
      </c>
      <c r="R964" s="4" t="str">
        <f>CONCATENATE(Table1567[[#This Row],[Customer ID]], "-",Table1567[[#This Row],[Age]])</f>
        <v>CUST963-55</v>
      </c>
      <c r="S964" s="4" t="str">
        <f>TEXT(Table1567[[#This Row],[Date]],"mmm")</f>
        <v>Nov</v>
      </c>
      <c r="T964" s="4" t="str">
        <f>TEXT(Table1567[[#This Row],[Date]],"DDD")</f>
        <v>Tue</v>
      </c>
    </row>
    <row r="965" spans="1:20" ht="29" x14ac:dyDescent="0.35">
      <c r="A965" s="4">
        <v>964</v>
      </c>
      <c r="B965" s="5">
        <v>44957</v>
      </c>
      <c r="C965" s="4" t="s">
        <v>977</v>
      </c>
      <c r="D965" s="4" t="s">
        <v>10</v>
      </c>
      <c r="E965" s="4">
        <v>24</v>
      </c>
      <c r="F965" s="4" t="str">
        <f>IF(Table1567[[#This Row],[Age]]&lt;=19,"Teenager",IF(Table1567[[#This Row],[Age]]&lt;=40,"Median","Old"))</f>
        <v>Median</v>
      </c>
      <c r="G965" s="4" t="s">
        <v>14</v>
      </c>
      <c r="H965" s="4">
        <v>3</v>
      </c>
      <c r="I965" s="4">
        <v>300</v>
      </c>
      <c r="J965" s="4">
        <v>900</v>
      </c>
      <c r="K965" s="4" t="str" cm="1">
        <f t="array" ref="K965">_xlfn.IFS(AND(Table1567[[#This Row],[Total Amount]]&gt;=1500),"Critical",AND(Table1567[[#This Row],[Total Amount]]&gt;=1000),"High",TRUE,"Normal")</f>
        <v>Normal</v>
      </c>
      <c r="L965" s="4" t="str">
        <f>IF(Table1567[[#This Row],[Total Amount]]&gt;=1000,"High",(IF(Table1567[[#This Row],[Total Amount]]&gt;=500,"Medium","Low")))</f>
        <v>Medium</v>
      </c>
      <c r="M965" s="4" t="str" cm="1">
        <f t="array" ref="M96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965" s="4" cm="1">
        <f t="array" ref="N96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965" s="4">
        <f>Table1567[[#This Row],[Total Amount]]-Table1567[[#This Row],[Discount Amount]]</f>
        <v>900</v>
      </c>
      <c r="P965" s="4" t="str">
        <f>IF(Table1567[[#This Row],[Total Amount]]&gt;=1000,"High","Low")</f>
        <v>Low</v>
      </c>
      <c r="Q965" s="4" t="str" cm="1">
        <f t="array" ref="Q965">_xlfn.IFS(AND(Table1567[[#This Row],[Total Amount]]&gt;=1500,"Critical"),AND(Table1567[[#This Row],[Total Amount]]&gt;=1000,"High"),TRUE,"Normal")</f>
        <v>Normal</v>
      </c>
      <c r="R965" s="4" t="str">
        <f>CONCATENATE(Table1567[[#This Row],[Customer ID]], "-",Table1567[[#This Row],[Age]])</f>
        <v>CUST964-24</v>
      </c>
      <c r="S965" s="4" t="str">
        <f>TEXT(Table1567[[#This Row],[Date]],"mmm")</f>
        <v>Jan</v>
      </c>
      <c r="T965" s="4" t="str">
        <f>TEXT(Table1567[[#This Row],[Date]],"DDD")</f>
        <v>Tue</v>
      </c>
    </row>
    <row r="966" spans="1:20" ht="29" x14ac:dyDescent="0.35">
      <c r="A966" s="4">
        <v>965</v>
      </c>
      <c r="B966" s="5">
        <v>45239</v>
      </c>
      <c r="C966" s="4" t="s">
        <v>978</v>
      </c>
      <c r="D966" s="4" t="s">
        <v>10</v>
      </c>
      <c r="E966" s="4">
        <v>22</v>
      </c>
      <c r="F966" s="4" t="str">
        <f>IF(Table1567[[#This Row],[Age]]&lt;=19,"Teenager",IF(Table1567[[#This Row],[Age]]&lt;=40,"Median","Old"))</f>
        <v>Median</v>
      </c>
      <c r="G966" s="4" t="s">
        <v>14</v>
      </c>
      <c r="H966" s="4">
        <v>4</v>
      </c>
      <c r="I966" s="4">
        <v>50</v>
      </c>
      <c r="J966" s="4">
        <v>200</v>
      </c>
      <c r="K966" s="4" t="str" cm="1">
        <f t="array" ref="K966">_xlfn.IFS(AND(Table1567[[#This Row],[Total Amount]]&gt;=1500),"Critical",AND(Table1567[[#This Row],[Total Amount]]&gt;=1000),"High",TRUE,"Normal")</f>
        <v>Normal</v>
      </c>
      <c r="L966" s="4" t="str">
        <f>IF(Table1567[[#This Row],[Total Amount]]&gt;=1000,"High",(IF(Table1567[[#This Row],[Total Amount]]&gt;=500,"Medium","Low")))</f>
        <v>Low</v>
      </c>
      <c r="M966" s="4" t="str" cm="1">
        <f t="array" ref="M96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966" s="4" cm="1">
        <f t="array" ref="N96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966" s="4">
        <f>Table1567[[#This Row],[Total Amount]]-Table1567[[#This Row],[Discount Amount]]</f>
        <v>200</v>
      </c>
      <c r="P966" s="4" t="str">
        <f>IF(Table1567[[#This Row],[Total Amount]]&gt;=1000,"High","Low")</f>
        <v>Low</v>
      </c>
      <c r="Q966" s="4" t="str" cm="1">
        <f t="array" ref="Q966">_xlfn.IFS(AND(Table1567[[#This Row],[Total Amount]]&gt;=1500,"Critical"),AND(Table1567[[#This Row],[Total Amount]]&gt;=1000,"High"),TRUE,"Normal")</f>
        <v>Normal</v>
      </c>
      <c r="R966" s="4" t="str">
        <f>CONCATENATE(Table1567[[#This Row],[Customer ID]], "-",Table1567[[#This Row],[Age]])</f>
        <v>CUST965-22</v>
      </c>
      <c r="S966" s="4" t="str">
        <f>TEXT(Table1567[[#This Row],[Date]],"mmm")</f>
        <v>Nov</v>
      </c>
      <c r="T966" s="4" t="str">
        <f>TEXT(Table1567[[#This Row],[Date]],"DDD")</f>
        <v>Thu</v>
      </c>
    </row>
    <row r="967" spans="1:20" ht="29" x14ac:dyDescent="0.35">
      <c r="A967" s="4">
        <v>966</v>
      </c>
      <c r="B967" s="5">
        <v>44977</v>
      </c>
      <c r="C967" s="4" t="s">
        <v>979</v>
      </c>
      <c r="D967" s="4" t="s">
        <v>10</v>
      </c>
      <c r="E967" s="4">
        <v>60</v>
      </c>
      <c r="F967" s="4" t="str">
        <f>IF(Table1567[[#This Row],[Age]]&lt;=19,"Teenager",IF(Table1567[[#This Row],[Age]]&lt;=40,"Median","Old"))</f>
        <v>Old</v>
      </c>
      <c r="G967" s="4" t="s">
        <v>16</v>
      </c>
      <c r="H967" s="4">
        <v>2</v>
      </c>
      <c r="I967" s="4">
        <v>500</v>
      </c>
      <c r="J967" s="4">
        <v>1000</v>
      </c>
      <c r="K967" s="4" t="str" cm="1">
        <f t="array" ref="K967">_xlfn.IFS(AND(Table1567[[#This Row],[Total Amount]]&gt;=1500),"Critical",AND(Table1567[[#This Row],[Total Amount]]&gt;=1000),"High",TRUE,"Normal")</f>
        <v>High</v>
      </c>
      <c r="L967" s="4" t="str">
        <f>IF(Table1567[[#This Row],[Total Amount]]&gt;=1000,"High",(IF(Table1567[[#This Row],[Total Amount]]&gt;=500,"Medium","Low")))</f>
        <v>High</v>
      </c>
      <c r="M967" s="4" t="str" cm="1">
        <f t="array" ref="M96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67" s="4" cm="1">
        <f t="array" ref="N96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967" s="4">
        <f>Table1567[[#This Row],[Total Amount]]-Table1567[[#This Row],[Discount Amount]]</f>
        <v>900</v>
      </c>
      <c r="P967" s="4" t="str">
        <f>IF(Table1567[[#This Row],[Total Amount]]&gt;=1000,"High","Low")</f>
        <v>High</v>
      </c>
      <c r="Q967" s="4" t="str" cm="1">
        <f t="array" ref="Q967">_xlfn.IFS(AND(Table1567[[#This Row],[Total Amount]]&gt;=1500,"Critical"),AND(Table1567[[#This Row],[Total Amount]]&gt;=1000,"High"),TRUE,"Normal")</f>
        <v>Normal</v>
      </c>
      <c r="R967" s="4" t="str">
        <f>CONCATENATE(Table1567[[#This Row],[Customer ID]], "-",Table1567[[#This Row],[Age]])</f>
        <v>CUST966-60</v>
      </c>
      <c r="S967" s="4" t="str">
        <f>TEXT(Table1567[[#This Row],[Date]],"mmm")</f>
        <v>Feb</v>
      </c>
      <c r="T967" s="4" t="str">
        <f>TEXT(Table1567[[#This Row],[Date]],"DDD")</f>
        <v>Mon</v>
      </c>
    </row>
    <row r="968" spans="1:20" ht="29" x14ac:dyDescent="0.35">
      <c r="A968" s="4">
        <v>967</v>
      </c>
      <c r="B968" s="5">
        <v>45033</v>
      </c>
      <c r="C968" s="4" t="s">
        <v>980</v>
      </c>
      <c r="D968" s="4" t="s">
        <v>10</v>
      </c>
      <c r="E968" s="4">
        <v>62</v>
      </c>
      <c r="F968" s="4" t="str">
        <f>IF(Table1567[[#This Row],[Age]]&lt;=19,"Teenager",IF(Table1567[[#This Row],[Age]]&lt;=40,"Median","Old"))</f>
        <v>Old</v>
      </c>
      <c r="G968" s="4" t="s">
        <v>11</v>
      </c>
      <c r="H968" s="4">
        <v>1</v>
      </c>
      <c r="I968" s="4">
        <v>25</v>
      </c>
      <c r="J968" s="4">
        <v>25</v>
      </c>
      <c r="K968" s="4" t="str" cm="1">
        <f t="array" ref="K968">_xlfn.IFS(AND(Table1567[[#This Row],[Total Amount]]&gt;=1500),"Critical",AND(Table1567[[#This Row],[Total Amount]]&gt;=1000),"High",TRUE,"Normal")</f>
        <v>Normal</v>
      </c>
      <c r="L968" s="4" t="str">
        <f>IF(Table1567[[#This Row],[Total Amount]]&gt;=1000,"High",(IF(Table1567[[#This Row],[Total Amount]]&gt;=500,"Medium","Low")))</f>
        <v>Low</v>
      </c>
      <c r="M968" s="4" t="str" cm="1">
        <f t="array" ref="M96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68" s="4" cm="1">
        <f t="array" ref="N96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968" s="4">
        <f>Table1567[[#This Row],[Total Amount]]-Table1567[[#This Row],[Discount Amount]]</f>
        <v>22.5</v>
      </c>
      <c r="P968" s="4" t="str">
        <f>IF(Table1567[[#This Row],[Total Amount]]&gt;=1000,"High","Low")</f>
        <v>Low</v>
      </c>
      <c r="Q968" s="4" t="str" cm="1">
        <f t="array" ref="Q968">_xlfn.IFS(AND(Table1567[[#This Row],[Total Amount]]&gt;=1500,"Critical"),AND(Table1567[[#This Row],[Total Amount]]&gt;=1000,"High"),TRUE,"Normal")</f>
        <v>Normal</v>
      </c>
      <c r="R968" s="4" t="str">
        <f>CONCATENATE(Table1567[[#This Row],[Customer ID]], "-",Table1567[[#This Row],[Age]])</f>
        <v>CUST967-62</v>
      </c>
      <c r="S968" s="4" t="str">
        <f>TEXT(Table1567[[#This Row],[Date]],"mmm")</f>
        <v>Apr</v>
      </c>
      <c r="T968" s="4" t="str">
        <f>TEXT(Table1567[[#This Row],[Date]],"DDD")</f>
        <v>Mon</v>
      </c>
    </row>
    <row r="969" spans="1:20" ht="29" x14ac:dyDescent="0.35">
      <c r="A969" s="4">
        <v>968</v>
      </c>
      <c r="B969" s="5">
        <v>45247</v>
      </c>
      <c r="C969" s="4" t="s">
        <v>981</v>
      </c>
      <c r="D969" s="4" t="s">
        <v>13</v>
      </c>
      <c r="E969" s="4">
        <v>48</v>
      </c>
      <c r="F969" s="4" t="str">
        <f>IF(Table1567[[#This Row],[Age]]&lt;=19,"Teenager",IF(Table1567[[#This Row],[Age]]&lt;=40,"Median","Old"))</f>
        <v>Old</v>
      </c>
      <c r="G969" s="4" t="s">
        <v>14</v>
      </c>
      <c r="H969" s="4">
        <v>3</v>
      </c>
      <c r="I969" s="4">
        <v>300</v>
      </c>
      <c r="J969" s="4">
        <v>900</v>
      </c>
      <c r="K969" s="4" t="str" cm="1">
        <f t="array" ref="K969">_xlfn.IFS(AND(Table1567[[#This Row],[Total Amount]]&gt;=1500),"Critical",AND(Table1567[[#This Row],[Total Amount]]&gt;=1000),"High",TRUE,"Normal")</f>
        <v>Normal</v>
      </c>
      <c r="L969" s="4" t="str">
        <f>IF(Table1567[[#This Row],[Total Amount]]&gt;=1000,"High",(IF(Table1567[[#This Row],[Total Amount]]&gt;=500,"Medium","Low")))</f>
        <v>Medium</v>
      </c>
      <c r="M969" s="4" t="str" cm="1">
        <f t="array" ref="M96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69" s="4" cm="1">
        <f t="array" ref="N96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969" s="4">
        <f>Table1567[[#This Row],[Total Amount]]-Table1567[[#This Row],[Discount Amount]]</f>
        <v>720</v>
      </c>
      <c r="P969" s="4" t="str">
        <f>IF(Table1567[[#This Row],[Total Amount]]&gt;=1000,"High","Low")</f>
        <v>Low</v>
      </c>
      <c r="Q969" s="4" t="str" cm="1">
        <f t="array" ref="Q969">_xlfn.IFS(AND(Table1567[[#This Row],[Total Amount]]&gt;=1500,"Critical"),AND(Table1567[[#This Row],[Total Amount]]&gt;=1000,"High"),TRUE,"Normal")</f>
        <v>Normal</v>
      </c>
      <c r="R969" s="4" t="str">
        <f>CONCATENATE(Table1567[[#This Row],[Customer ID]], "-",Table1567[[#This Row],[Age]])</f>
        <v>CUST968-48</v>
      </c>
      <c r="S969" s="4" t="str">
        <f>TEXT(Table1567[[#This Row],[Date]],"mmm")</f>
        <v>Nov</v>
      </c>
      <c r="T969" s="4" t="str">
        <f>TEXT(Table1567[[#This Row],[Date]],"DDD")</f>
        <v>Fri</v>
      </c>
    </row>
    <row r="970" spans="1:20" ht="29" x14ac:dyDescent="0.35">
      <c r="A970" s="4">
        <v>969</v>
      </c>
      <c r="B970" s="5">
        <v>45035</v>
      </c>
      <c r="C970" s="4" t="s">
        <v>982</v>
      </c>
      <c r="D970" s="4" t="s">
        <v>13</v>
      </c>
      <c r="E970" s="4">
        <v>40</v>
      </c>
      <c r="F970" s="4" t="str">
        <f>IF(Table1567[[#This Row],[Age]]&lt;=19,"Teenager",IF(Table1567[[#This Row],[Age]]&lt;=40,"Median","Old"))</f>
        <v>Median</v>
      </c>
      <c r="G970" s="4" t="s">
        <v>14</v>
      </c>
      <c r="H970" s="4">
        <v>3</v>
      </c>
      <c r="I970" s="4">
        <v>300</v>
      </c>
      <c r="J970" s="4">
        <v>900</v>
      </c>
      <c r="K970" s="4" t="str" cm="1">
        <f t="array" ref="K970">_xlfn.IFS(AND(Table1567[[#This Row],[Total Amount]]&gt;=1500),"Critical",AND(Table1567[[#This Row],[Total Amount]]&gt;=1000),"High",TRUE,"Normal")</f>
        <v>Normal</v>
      </c>
      <c r="L970" s="4" t="str">
        <f>IF(Table1567[[#This Row],[Total Amount]]&gt;=1000,"High",(IF(Table1567[[#This Row],[Total Amount]]&gt;=500,"Medium","Low")))</f>
        <v>Medium</v>
      </c>
      <c r="M970" s="4" t="str" cm="1">
        <f t="array" ref="M97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70" s="4" cm="1">
        <f t="array" ref="N97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970" s="4">
        <f>Table1567[[#This Row],[Total Amount]]-Table1567[[#This Row],[Discount Amount]]</f>
        <v>720</v>
      </c>
      <c r="P970" s="4" t="str">
        <f>IF(Table1567[[#This Row],[Total Amount]]&gt;=1000,"High","Low")</f>
        <v>Low</v>
      </c>
      <c r="Q970" s="4" t="str" cm="1">
        <f t="array" ref="Q970">_xlfn.IFS(AND(Table1567[[#This Row],[Total Amount]]&gt;=1500,"Critical"),AND(Table1567[[#This Row],[Total Amount]]&gt;=1000,"High"),TRUE,"Normal")</f>
        <v>Normal</v>
      </c>
      <c r="R970" s="4" t="str">
        <f>CONCATENATE(Table1567[[#This Row],[Customer ID]], "-",Table1567[[#This Row],[Age]])</f>
        <v>CUST969-40</v>
      </c>
      <c r="S970" s="4" t="str">
        <f>TEXT(Table1567[[#This Row],[Date]],"mmm")</f>
        <v>Apr</v>
      </c>
      <c r="T970" s="4" t="str">
        <f>TEXT(Table1567[[#This Row],[Date]],"DDD")</f>
        <v>Wed</v>
      </c>
    </row>
    <row r="971" spans="1:20" ht="29" x14ac:dyDescent="0.35">
      <c r="A971" s="4">
        <v>970</v>
      </c>
      <c r="B971" s="5">
        <v>45062</v>
      </c>
      <c r="C971" s="4" t="s">
        <v>983</v>
      </c>
      <c r="D971" s="4" t="s">
        <v>10</v>
      </c>
      <c r="E971" s="4">
        <v>59</v>
      </c>
      <c r="F971" s="4" t="str">
        <f>IF(Table1567[[#This Row],[Age]]&lt;=19,"Teenager",IF(Table1567[[#This Row],[Age]]&lt;=40,"Median","Old"))</f>
        <v>Old</v>
      </c>
      <c r="G971" s="4" t="s">
        <v>16</v>
      </c>
      <c r="H971" s="4">
        <v>4</v>
      </c>
      <c r="I971" s="4">
        <v>500</v>
      </c>
      <c r="J971" s="4">
        <v>2000</v>
      </c>
      <c r="K971" s="4" t="str" cm="1">
        <f t="array" ref="K971">_xlfn.IFS(AND(Table1567[[#This Row],[Total Amount]]&gt;=1500),"Critical",AND(Table1567[[#This Row],[Total Amount]]&gt;=1000),"High",TRUE,"Normal")</f>
        <v>Critical</v>
      </c>
      <c r="L971" s="4" t="str">
        <f>IF(Table1567[[#This Row],[Total Amount]]&gt;=1000,"High",(IF(Table1567[[#This Row],[Total Amount]]&gt;=500,"Medium","Low")))</f>
        <v>High</v>
      </c>
      <c r="M971" s="4" t="str" cm="1">
        <f t="array" ref="M97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71" s="4" cm="1">
        <f t="array" ref="N97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971" s="4">
        <f>Table1567[[#This Row],[Total Amount]]-Table1567[[#This Row],[Discount Amount]]</f>
        <v>1800</v>
      </c>
      <c r="P971" s="4" t="str">
        <f>IF(Table1567[[#This Row],[Total Amount]]&gt;=1000,"High","Low")</f>
        <v>High</v>
      </c>
      <c r="Q971" s="4" t="b" cm="1">
        <f t="array" ref="Q971">_xlfn.IFS(AND(Table1567[[#This Row],[Total Amount]]&gt;=1500,"Critical"),AND(Table1567[[#This Row],[Total Amount]]&gt;=1000,"High"),TRUE,"Normal")</f>
        <v>1</v>
      </c>
      <c r="R971" s="4" t="str">
        <f>CONCATENATE(Table1567[[#This Row],[Customer ID]], "-",Table1567[[#This Row],[Age]])</f>
        <v>CUST970-59</v>
      </c>
      <c r="S971" s="4" t="str">
        <f>TEXT(Table1567[[#This Row],[Date]],"mmm")</f>
        <v>May</v>
      </c>
      <c r="T971" s="4" t="str">
        <f>TEXT(Table1567[[#This Row],[Date]],"DDD")</f>
        <v>Tue</v>
      </c>
    </row>
    <row r="972" spans="1:20" ht="29" x14ac:dyDescent="0.35">
      <c r="A972" s="4">
        <v>971</v>
      </c>
      <c r="B972" s="5">
        <v>45265</v>
      </c>
      <c r="C972" s="4" t="s">
        <v>984</v>
      </c>
      <c r="D972" s="4" t="s">
        <v>13</v>
      </c>
      <c r="E972" s="4">
        <v>27</v>
      </c>
      <c r="F972" s="4" t="str">
        <f>IF(Table1567[[#This Row],[Age]]&lt;=19,"Teenager",IF(Table1567[[#This Row],[Age]]&lt;=40,"Median","Old"))</f>
        <v>Median</v>
      </c>
      <c r="G972" s="4" t="s">
        <v>16</v>
      </c>
      <c r="H972" s="4">
        <v>4</v>
      </c>
      <c r="I972" s="4">
        <v>50</v>
      </c>
      <c r="J972" s="4">
        <v>200</v>
      </c>
      <c r="K972" s="4" t="str" cm="1">
        <f t="array" ref="K972">_xlfn.IFS(AND(Table1567[[#This Row],[Total Amount]]&gt;=1500),"Critical",AND(Table1567[[#This Row],[Total Amount]]&gt;=1000),"High",TRUE,"Normal")</f>
        <v>Normal</v>
      </c>
      <c r="L972" s="4" t="str">
        <f>IF(Table1567[[#This Row],[Total Amount]]&gt;=1000,"High",(IF(Table1567[[#This Row],[Total Amount]]&gt;=500,"Medium","Low")))</f>
        <v>Low</v>
      </c>
      <c r="M972" s="4" t="str" cm="1">
        <f t="array" ref="M97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72" s="4" cm="1">
        <f t="array" ref="N97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972" s="4">
        <f>Table1567[[#This Row],[Total Amount]]-Table1567[[#This Row],[Discount Amount]]</f>
        <v>170</v>
      </c>
      <c r="P972" s="4" t="str">
        <f>IF(Table1567[[#This Row],[Total Amount]]&gt;=1000,"High","Low")</f>
        <v>Low</v>
      </c>
      <c r="Q972" s="4" t="str" cm="1">
        <f t="array" ref="Q972">_xlfn.IFS(AND(Table1567[[#This Row],[Total Amount]]&gt;=1500,"Critical"),AND(Table1567[[#This Row],[Total Amount]]&gt;=1000,"High"),TRUE,"Normal")</f>
        <v>Normal</v>
      </c>
      <c r="R972" s="4" t="str">
        <f>CONCATENATE(Table1567[[#This Row],[Customer ID]], "-",Table1567[[#This Row],[Age]])</f>
        <v>CUST971-27</v>
      </c>
      <c r="S972" s="4" t="str">
        <f>TEXT(Table1567[[#This Row],[Date]],"mmm")</f>
        <v>Dec</v>
      </c>
      <c r="T972" s="4" t="str">
        <f>TEXT(Table1567[[#This Row],[Date]],"DDD")</f>
        <v>Tue</v>
      </c>
    </row>
    <row r="973" spans="1:20" ht="29" x14ac:dyDescent="0.35">
      <c r="A973" s="4">
        <v>972</v>
      </c>
      <c r="B973" s="5">
        <v>44968</v>
      </c>
      <c r="C973" s="4" t="s">
        <v>985</v>
      </c>
      <c r="D973" s="4" t="s">
        <v>10</v>
      </c>
      <c r="E973" s="4">
        <v>49</v>
      </c>
      <c r="F973" s="4" t="str">
        <f>IF(Table1567[[#This Row],[Age]]&lt;=19,"Teenager",IF(Table1567[[#This Row],[Age]]&lt;=40,"Median","Old"))</f>
        <v>Old</v>
      </c>
      <c r="G973" s="4" t="s">
        <v>11</v>
      </c>
      <c r="H973" s="4">
        <v>4</v>
      </c>
      <c r="I973" s="4">
        <v>25</v>
      </c>
      <c r="J973" s="4">
        <v>100</v>
      </c>
      <c r="K973" s="4" t="str" cm="1">
        <f t="array" ref="K973">_xlfn.IFS(AND(Table1567[[#This Row],[Total Amount]]&gt;=1500),"Critical",AND(Table1567[[#This Row],[Total Amount]]&gt;=1000),"High",TRUE,"Normal")</f>
        <v>Normal</v>
      </c>
      <c r="L973" s="4" t="str">
        <f>IF(Table1567[[#This Row],[Total Amount]]&gt;=1000,"High",(IF(Table1567[[#This Row],[Total Amount]]&gt;=500,"Medium","Low")))</f>
        <v>Low</v>
      </c>
      <c r="M973" s="4" t="str" cm="1">
        <f t="array" ref="M97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73" s="4" cm="1">
        <f t="array" ref="N97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973" s="4">
        <f>Table1567[[#This Row],[Total Amount]]-Table1567[[#This Row],[Discount Amount]]</f>
        <v>90</v>
      </c>
      <c r="P973" s="4" t="str">
        <f>IF(Table1567[[#This Row],[Total Amount]]&gt;=1000,"High","Low")</f>
        <v>Low</v>
      </c>
      <c r="Q973" s="4" t="str" cm="1">
        <f t="array" ref="Q973">_xlfn.IFS(AND(Table1567[[#This Row],[Total Amount]]&gt;=1500,"Critical"),AND(Table1567[[#This Row],[Total Amount]]&gt;=1000,"High"),TRUE,"Normal")</f>
        <v>Normal</v>
      </c>
      <c r="R973" s="4" t="str">
        <f>CONCATENATE(Table1567[[#This Row],[Customer ID]], "-",Table1567[[#This Row],[Age]])</f>
        <v>CUST972-49</v>
      </c>
      <c r="S973" s="4" t="str">
        <f>TEXT(Table1567[[#This Row],[Date]],"mmm")</f>
        <v>Feb</v>
      </c>
      <c r="T973" s="4" t="str">
        <f>TEXT(Table1567[[#This Row],[Date]],"DDD")</f>
        <v>Sat</v>
      </c>
    </row>
    <row r="974" spans="1:20" ht="29" x14ac:dyDescent="0.35">
      <c r="A974" s="4">
        <v>973</v>
      </c>
      <c r="B974" s="5">
        <v>45007</v>
      </c>
      <c r="C974" s="4" t="s">
        <v>986</v>
      </c>
      <c r="D974" s="4" t="s">
        <v>10</v>
      </c>
      <c r="E974" s="4">
        <v>60</v>
      </c>
      <c r="F974" s="4" t="str">
        <f>IF(Table1567[[#This Row],[Age]]&lt;=19,"Teenager",IF(Table1567[[#This Row],[Age]]&lt;=40,"Median","Old"))</f>
        <v>Old</v>
      </c>
      <c r="G974" s="4" t="s">
        <v>14</v>
      </c>
      <c r="H974" s="4">
        <v>1</v>
      </c>
      <c r="I974" s="4">
        <v>50</v>
      </c>
      <c r="J974" s="4">
        <v>50</v>
      </c>
      <c r="K974" s="4" t="str" cm="1">
        <f t="array" ref="K974">_xlfn.IFS(AND(Table1567[[#This Row],[Total Amount]]&gt;=1500),"Critical",AND(Table1567[[#This Row],[Total Amount]]&gt;=1000),"High",TRUE,"Normal")</f>
        <v>Normal</v>
      </c>
      <c r="L974" s="4" t="str">
        <f>IF(Table1567[[#This Row],[Total Amount]]&gt;=1000,"High",(IF(Table1567[[#This Row],[Total Amount]]&gt;=500,"Medium","Low")))</f>
        <v>Low</v>
      </c>
      <c r="M974" s="4" t="str" cm="1">
        <f t="array" ref="M97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74" s="4" cm="1">
        <f t="array" ref="N97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974" s="4">
        <f>Table1567[[#This Row],[Total Amount]]-Table1567[[#This Row],[Discount Amount]]</f>
        <v>45</v>
      </c>
      <c r="P974" s="4" t="str">
        <f>IF(Table1567[[#This Row],[Total Amount]]&gt;=1000,"High","Low")</f>
        <v>Low</v>
      </c>
      <c r="Q974" s="4" t="str" cm="1">
        <f t="array" ref="Q974">_xlfn.IFS(AND(Table1567[[#This Row],[Total Amount]]&gt;=1500,"Critical"),AND(Table1567[[#This Row],[Total Amount]]&gt;=1000,"High"),TRUE,"Normal")</f>
        <v>Normal</v>
      </c>
      <c r="R974" s="4" t="str">
        <f>CONCATENATE(Table1567[[#This Row],[Customer ID]], "-",Table1567[[#This Row],[Age]])</f>
        <v>CUST973-60</v>
      </c>
      <c r="S974" s="4" t="str">
        <f>TEXT(Table1567[[#This Row],[Date]],"mmm")</f>
        <v>Mar</v>
      </c>
      <c r="T974" s="4" t="str">
        <f>TEXT(Table1567[[#This Row],[Date]],"DDD")</f>
        <v>Wed</v>
      </c>
    </row>
    <row r="975" spans="1:20" ht="29" x14ac:dyDescent="0.35">
      <c r="A975" s="4">
        <v>974</v>
      </c>
      <c r="B975" s="5">
        <v>45049</v>
      </c>
      <c r="C975" s="4" t="s">
        <v>987</v>
      </c>
      <c r="D975" s="4" t="s">
        <v>10</v>
      </c>
      <c r="E975" s="4">
        <v>47</v>
      </c>
      <c r="F975" s="4" t="str">
        <f>IF(Table1567[[#This Row],[Age]]&lt;=19,"Teenager",IF(Table1567[[#This Row],[Age]]&lt;=40,"Median","Old"))</f>
        <v>Old</v>
      </c>
      <c r="G975" s="4" t="s">
        <v>11</v>
      </c>
      <c r="H975" s="4">
        <v>1</v>
      </c>
      <c r="I975" s="4">
        <v>30</v>
      </c>
      <c r="J975" s="4">
        <v>30</v>
      </c>
      <c r="K975" s="4" t="str" cm="1">
        <f t="array" ref="K975">_xlfn.IFS(AND(Table1567[[#This Row],[Total Amount]]&gt;=1500),"Critical",AND(Table1567[[#This Row],[Total Amount]]&gt;=1000),"High",TRUE,"Normal")</f>
        <v>Normal</v>
      </c>
      <c r="L975" s="4" t="str">
        <f>IF(Table1567[[#This Row],[Total Amount]]&gt;=1000,"High",(IF(Table1567[[#This Row],[Total Amount]]&gt;=500,"Medium","Low")))</f>
        <v>Low</v>
      </c>
      <c r="M975" s="4" t="str" cm="1">
        <f t="array" ref="M97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75" s="4" cm="1">
        <f t="array" ref="N97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</v>
      </c>
      <c r="O975" s="4">
        <f>Table1567[[#This Row],[Total Amount]]-Table1567[[#This Row],[Discount Amount]]</f>
        <v>27</v>
      </c>
      <c r="P975" s="4" t="str">
        <f>IF(Table1567[[#This Row],[Total Amount]]&gt;=1000,"High","Low")</f>
        <v>Low</v>
      </c>
      <c r="Q975" s="4" t="str" cm="1">
        <f t="array" ref="Q975">_xlfn.IFS(AND(Table1567[[#This Row],[Total Amount]]&gt;=1500,"Critical"),AND(Table1567[[#This Row],[Total Amount]]&gt;=1000,"High"),TRUE,"Normal")</f>
        <v>Normal</v>
      </c>
      <c r="R975" s="4" t="str">
        <f>CONCATENATE(Table1567[[#This Row],[Customer ID]], "-",Table1567[[#This Row],[Age]])</f>
        <v>CUST974-47</v>
      </c>
      <c r="S975" s="4" t="str">
        <f>TEXT(Table1567[[#This Row],[Date]],"mmm")</f>
        <v>May</v>
      </c>
      <c r="T975" s="4" t="str">
        <f>TEXT(Table1567[[#This Row],[Date]],"DDD")</f>
        <v>Wed</v>
      </c>
    </row>
    <row r="976" spans="1:20" ht="29" x14ac:dyDescent="0.35">
      <c r="A976" s="4">
        <v>975</v>
      </c>
      <c r="B976" s="5">
        <v>45015</v>
      </c>
      <c r="C976" s="4" t="s">
        <v>988</v>
      </c>
      <c r="D976" s="4" t="s">
        <v>13</v>
      </c>
      <c r="E976" s="4">
        <v>56</v>
      </c>
      <c r="F976" s="4" t="str">
        <f>IF(Table1567[[#This Row],[Age]]&lt;=19,"Teenager",IF(Table1567[[#This Row],[Age]]&lt;=40,"Median","Old"))</f>
        <v>Old</v>
      </c>
      <c r="G976" s="4" t="s">
        <v>14</v>
      </c>
      <c r="H976" s="4">
        <v>4</v>
      </c>
      <c r="I976" s="4">
        <v>50</v>
      </c>
      <c r="J976" s="4">
        <v>200</v>
      </c>
      <c r="K976" s="4" t="str" cm="1">
        <f t="array" ref="K976">_xlfn.IFS(AND(Table1567[[#This Row],[Total Amount]]&gt;=1500),"Critical",AND(Table1567[[#This Row],[Total Amount]]&gt;=1000),"High",TRUE,"Normal")</f>
        <v>Normal</v>
      </c>
      <c r="L976" s="4" t="str">
        <f>IF(Table1567[[#This Row],[Total Amount]]&gt;=1000,"High",(IF(Table1567[[#This Row],[Total Amount]]&gt;=500,"Medium","Low")))</f>
        <v>Low</v>
      </c>
      <c r="M976" s="4" t="str" cm="1">
        <f t="array" ref="M97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76" s="4" cm="1">
        <f t="array" ref="N97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</v>
      </c>
      <c r="O976" s="4">
        <f>Table1567[[#This Row],[Total Amount]]-Table1567[[#This Row],[Discount Amount]]</f>
        <v>160</v>
      </c>
      <c r="P976" s="4" t="str">
        <f>IF(Table1567[[#This Row],[Total Amount]]&gt;=1000,"High","Low")</f>
        <v>Low</v>
      </c>
      <c r="Q976" s="4" t="str" cm="1">
        <f t="array" ref="Q976">_xlfn.IFS(AND(Table1567[[#This Row],[Total Amount]]&gt;=1500,"Critical"),AND(Table1567[[#This Row],[Total Amount]]&gt;=1000,"High"),TRUE,"Normal")</f>
        <v>Normal</v>
      </c>
      <c r="R976" s="4" t="str">
        <f>CONCATENATE(Table1567[[#This Row],[Customer ID]], "-",Table1567[[#This Row],[Age]])</f>
        <v>CUST975-56</v>
      </c>
      <c r="S976" s="4" t="str">
        <f>TEXT(Table1567[[#This Row],[Date]],"mmm")</f>
        <v>Mar</v>
      </c>
      <c r="T976" s="4" t="str">
        <f>TEXT(Table1567[[#This Row],[Date]],"DDD")</f>
        <v>Thu</v>
      </c>
    </row>
    <row r="977" spans="1:20" ht="29" x14ac:dyDescent="0.35">
      <c r="A977" s="4">
        <v>976</v>
      </c>
      <c r="B977" s="5">
        <v>45209</v>
      </c>
      <c r="C977" s="4" t="s">
        <v>989</v>
      </c>
      <c r="D977" s="4" t="s">
        <v>13</v>
      </c>
      <c r="E977" s="4">
        <v>48</v>
      </c>
      <c r="F977" s="4" t="str">
        <f>IF(Table1567[[#This Row],[Age]]&lt;=19,"Teenager",IF(Table1567[[#This Row],[Age]]&lt;=40,"Median","Old"))</f>
        <v>Old</v>
      </c>
      <c r="G977" s="4" t="s">
        <v>11</v>
      </c>
      <c r="H977" s="4">
        <v>2</v>
      </c>
      <c r="I977" s="4">
        <v>300</v>
      </c>
      <c r="J977" s="4">
        <v>600</v>
      </c>
      <c r="K977" s="4" t="str" cm="1">
        <f t="array" ref="K977">_xlfn.IFS(AND(Table1567[[#This Row],[Total Amount]]&gt;=1500),"Critical",AND(Table1567[[#This Row],[Total Amount]]&gt;=1000),"High",TRUE,"Normal")</f>
        <v>Normal</v>
      </c>
      <c r="L977" s="4" t="str">
        <f>IF(Table1567[[#This Row],[Total Amount]]&gt;=1000,"High",(IF(Table1567[[#This Row],[Total Amount]]&gt;=500,"Medium","Low")))</f>
        <v>Medium</v>
      </c>
      <c r="M977" s="4" t="str" cm="1">
        <f t="array" ref="M97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77" s="4" cm="1">
        <f t="array" ref="N97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977" s="4">
        <f>Table1567[[#This Row],[Total Amount]]-Table1567[[#This Row],[Discount Amount]]</f>
        <v>480</v>
      </c>
      <c r="P977" s="4" t="str">
        <f>IF(Table1567[[#This Row],[Total Amount]]&gt;=1000,"High","Low")</f>
        <v>Low</v>
      </c>
      <c r="Q977" s="4" t="str" cm="1">
        <f t="array" ref="Q977">_xlfn.IFS(AND(Table1567[[#This Row],[Total Amount]]&gt;=1500,"Critical"),AND(Table1567[[#This Row],[Total Amount]]&gt;=1000,"High"),TRUE,"Normal")</f>
        <v>Normal</v>
      </c>
      <c r="R977" s="4" t="str">
        <f>CONCATENATE(Table1567[[#This Row],[Customer ID]], "-",Table1567[[#This Row],[Age]])</f>
        <v>CUST976-48</v>
      </c>
      <c r="S977" s="4" t="str">
        <f>TEXT(Table1567[[#This Row],[Date]],"mmm")</f>
        <v>Oct</v>
      </c>
      <c r="T977" s="4" t="str">
        <f>TEXT(Table1567[[#This Row],[Date]],"DDD")</f>
        <v>Tue</v>
      </c>
    </row>
    <row r="978" spans="1:20" ht="29" x14ac:dyDescent="0.35">
      <c r="A978" s="4">
        <v>977</v>
      </c>
      <c r="B978" s="5">
        <v>44965</v>
      </c>
      <c r="C978" s="4" t="s">
        <v>990</v>
      </c>
      <c r="D978" s="4" t="s">
        <v>13</v>
      </c>
      <c r="E978" s="4">
        <v>35</v>
      </c>
      <c r="F978" s="4" t="str">
        <f>IF(Table1567[[#This Row],[Age]]&lt;=19,"Teenager",IF(Table1567[[#This Row],[Age]]&lt;=40,"Median","Old"))</f>
        <v>Median</v>
      </c>
      <c r="G978" s="4" t="s">
        <v>16</v>
      </c>
      <c r="H978" s="4">
        <v>3</v>
      </c>
      <c r="I978" s="4">
        <v>25</v>
      </c>
      <c r="J978" s="4">
        <v>75</v>
      </c>
      <c r="K978" s="4" t="str" cm="1">
        <f t="array" ref="K978">_xlfn.IFS(AND(Table1567[[#This Row],[Total Amount]]&gt;=1500),"Critical",AND(Table1567[[#This Row],[Total Amount]]&gt;=1000),"High",TRUE,"Normal")</f>
        <v>Normal</v>
      </c>
      <c r="L978" s="4" t="str">
        <f>IF(Table1567[[#This Row],[Total Amount]]&gt;=1000,"High",(IF(Table1567[[#This Row],[Total Amount]]&gt;=500,"Medium","Low")))</f>
        <v>Low</v>
      </c>
      <c r="M978" s="4" t="str" cm="1">
        <f t="array" ref="M97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78" s="4" cm="1">
        <f t="array" ref="N97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978" s="4">
        <f>Table1567[[#This Row],[Total Amount]]-Table1567[[#This Row],[Discount Amount]]</f>
        <v>60</v>
      </c>
      <c r="P978" s="4" t="str">
        <f>IF(Table1567[[#This Row],[Total Amount]]&gt;=1000,"High","Low")</f>
        <v>Low</v>
      </c>
      <c r="Q978" s="4" t="str" cm="1">
        <f t="array" ref="Q978">_xlfn.IFS(AND(Table1567[[#This Row],[Total Amount]]&gt;=1500,"Critical"),AND(Table1567[[#This Row],[Total Amount]]&gt;=1000,"High"),TRUE,"Normal")</f>
        <v>Normal</v>
      </c>
      <c r="R978" s="4" t="str">
        <f>CONCATENATE(Table1567[[#This Row],[Customer ID]], "-",Table1567[[#This Row],[Age]])</f>
        <v>CUST977-35</v>
      </c>
      <c r="S978" s="4" t="str">
        <f>TEXT(Table1567[[#This Row],[Date]],"mmm")</f>
        <v>Feb</v>
      </c>
      <c r="T978" s="4" t="str">
        <f>TEXT(Table1567[[#This Row],[Date]],"DDD")</f>
        <v>Wed</v>
      </c>
    </row>
    <row r="979" spans="1:20" ht="29" x14ac:dyDescent="0.35">
      <c r="A979" s="4">
        <v>978</v>
      </c>
      <c r="B979" s="5">
        <v>45007</v>
      </c>
      <c r="C979" s="4" t="s">
        <v>991</v>
      </c>
      <c r="D979" s="4" t="s">
        <v>13</v>
      </c>
      <c r="E979" s="4">
        <v>53</v>
      </c>
      <c r="F979" s="4" t="str">
        <f>IF(Table1567[[#This Row],[Age]]&lt;=19,"Teenager",IF(Table1567[[#This Row],[Age]]&lt;=40,"Median","Old"))</f>
        <v>Old</v>
      </c>
      <c r="G979" s="4" t="s">
        <v>14</v>
      </c>
      <c r="H979" s="4">
        <v>3</v>
      </c>
      <c r="I979" s="4">
        <v>50</v>
      </c>
      <c r="J979" s="4">
        <v>150</v>
      </c>
      <c r="K979" s="4" t="str" cm="1">
        <f t="array" ref="K979">_xlfn.IFS(AND(Table1567[[#This Row],[Total Amount]]&gt;=1500),"Critical",AND(Table1567[[#This Row],[Total Amount]]&gt;=1000),"High",TRUE,"Normal")</f>
        <v>Normal</v>
      </c>
      <c r="L979" s="4" t="str">
        <f>IF(Table1567[[#This Row],[Total Amount]]&gt;=1000,"High",(IF(Table1567[[#This Row],[Total Amount]]&gt;=500,"Medium","Low")))</f>
        <v>Low</v>
      </c>
      <c r="M979" s="4" t="str" cm="1">
        <f t="array" ref="M97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79" s="4" cm="1">
        <f t="array" ref="N97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979" s="4">
        <f>Table1567[[#This Row],[Total Amount]]-Table1567[[#This Row],[Discount Amount]]</f>
        <v>120</v>
      </c>
      <c r="P979" s="4" t="str">
        <f>IF(Table1567[[#This Row],[Total Amount]]&gt;=1000,"High","Low")</f>
        <v>Low</v>
      </c>
      <c r="Q979" s="4" t="str" cm="1">
        <f t="array" ref="Q979">_xlfn.IFS(AND(Table1567[[#This Row],[Total Amount]]&gt;=1500,"Critical"),AND(Table1567[[#This Row],[Total Amount]]&gt;=1000,"High"),TRUE,"Normal")</f>
        <v>Normal</v>
      </c>
      <c r="R979" s="4" t="str">
        <f>CONCATENATE(Table1567[[#This Row],[Customer ID]], "-",Table1567[[#This Row],[Age]])</f>
        <v>CUST978-53</v>
      </c>
      <c r="S979" s="4" t="str">
        <f>TEXT(Table1567[[#This Row],[Date]],"mmm")</f>
        <v>Mar</v>
      </c>
      <c r="T979" s="4" t="str">
        <f>TEXT(Table1567[[#This Row],[Date]],"DDD")</f>
        <v>Wed</v>
      </c>
    </row>
    <row r="980" spans="1:20" ht="29" x14ac:dyDescent="0.35">
      <c r="A980" s="4">
        <v>979</v>
      </c>
      <c r="B980" s="5">
        <v>44928</v>
      </c>
      <c r="C980" s="4" t="s">
        <v>992</v>
      </c>
      <c r="D980" s="4" t="s">
        <v>13</v>
      </c>
      <c r="E980" s="4">
        <v>19</v>
      </c>
      <c r="F980" s="4" t="str">
        <f>IF(Table1567[[#This Row],[Age]]&lt;=19,"Teenager",IF(Table1567[[#This Row],[Age]]&lt;=40,"Median","Old"))</f>
        <v>Teenager</v>
      </c>
      <c r="G980" s="4" t="s">
        <v>11</v>
      </c>
      <c r="H980" s="4">
        <v>1</v>
      </c>
      <c r="I980" s="4">
        <v>25</v>
      </c>
      <c r="J980" s="4">
        <v>25</v>
      </c>
      <c r="K980" s="4" t="str" cm="1">
        <f t="array" ref="K980">_xlfn.IFS(AND(Table1567[[#This Row],[Total Amount]]&gt;=1500),"Critical",AND(Table1567[[#This Row],[Total Amount]]&gt;=1000),"High",TRUE,"Normal")</f>
        <v>Normal</v>
      </c>
      <c r="L980" s="4" t="str">
        <f>IF(Table1567[[#This Row],[Total Amount]]&gt;=1000,"High",(IF(Table1567[[#This Row],[Total Amount]]&gt;=500,"Medium","Low")))</f>
        <v>Low</v>
      </c>
      <c r="M980" s="4" t="str" cm="1">
        <f t="array" ref="M98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980" s="4" cm="1">
        <f t="array" ref="N98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980" s="4">
        <f>Table1567[[#This Row],[Total Amount]]-Table1567[[#This Row],[Discount Amount]]</f>
        <v>25</v>
      </c>
      <c r="P980" s="4" t="str">
        <f>IF(Table1567[[#This Row],[Total Amount]]&gt;=1000,"High","Low")</f>
        <v>Low</v>
      </c>
      <c r="Q980" s="4" t="str" cm="1">
        <f t="array" ref="Q980">_xlfn.IFS(AND(Table1567[[#This Row],[Total Amount]]&gt;=1500,"Critical"),AND(Table1567[[#This Row],[Total Amount]]&gt;=1000,"High"),TRUE,"Normal")</f>
        <v>Normal</v>
      </c>
      <c r="R980" s="4" t="str">
        <f>CONCATENATE(Table1567[[#This Row],[Customer ID]], "-",Table1567[[#This Row],[Age]])</f>
        <v>CUST979-19</v>
      </c>
      <c r="S980" s="4" t="str">
        <f>TEXT(Table1567[[#This Row],[Date]],"mmm")</f>
        <v>Jan</v>
      </c>
      <c r="T980" s="4" t="str">
        <f>TEXT(Table1567[[#This Row],[Date]],"DDD")</f>
        <v>Mon</v>
      </c>
    </row>
    <row r="981" spans="1:20" ht="29" x14ac:dyDescent="0.35">
      <c r="A981" s="4">
        <v>980</v>
      </c>
      <c r="B981" s="5">
        <v>45136</v>
      </c>
      <c r="C981" s="4" t="s">
        <v>993</v>
      </c>
      <c r="D981" s="4" t="s">
        <v>13</v>
      </c>
      <c r="E981" s="4">
        <v>31</v>
      </c>
      <c r="F981" s="4" t="str">
        <f>IF(Table1567[[#This Row],[Age]]&lt;=19,"Teenager",IF(Table1567[[#This Row],[Age]]&lt;=40,"Median","Old"))</f>
        <v>Median</v>
      </c>
      <c r="G981" s="4" t="s">
        <v>16</v>
      </c>
      <c r="H981" s="4">
        <v>3</v>
      </c>
      <c r="I981" s="4">
        <v>25</v>
      </c>
      <c r="J981" s="4">
        <v>75</v>
      </c>
      <c r="K981" s="4" t="str" cm="1">
        <f t="array" ref="K981">_xlfn.IFS(AND(Table1567[[#This Row],[Total Amount]]&gt;=1500),"Critical",AND(Table1567[[#This Row],[Total Amount]]&gt;=1000),"High",TRUE,"Normal")</f>
        <v>Normal</v>
      </c>
      <c r="L981" s="4" t="str">
        <f>IF(Table1567[[#This Row],[Total Amount]]&gt;=1000,"High",(IF(Table1567[[#This Row],[Total Amount]]&gt;=500,"Medium","Low")))</f>
        <v>Low</v>
      </c>
      <c r="M981" s="4" t="str" cm="1">
        <f t="array" ref="M98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81" s="4" cm="1">
        <f t="array" ref="N98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11.25</v>
      </c>
      <c r="O981" s="4">
        <f>Table1567[[#This Row],[Total Amount]]-Table1567[[#This Row],[Discount Amount]]</f>
        <v>63.75</v>
      </c>
      <c r="P981" s="4" t="str">
        <f>IF(Table1567[[#This Row],[Total Amount]]&gt;=1000,"High","Low")</f>
        <v>Low</v>
      </c>
      <c r="Q981" s="4" t="str" cm="1">
        <f t="array" ref="Q981">_xlfn.IFS(AND(Table1567[[#This Row],[Total Amount]]&gt;=1500,"Critical"),AND(Table1567[[#This Row],[Total Amount]]&gt;=1000,"High"),TRUE,"Normal")</f>
        <v>Normal</v>
      </c>
      <c r="R981" s="4" t="str">
        <f>CONCATENATE(Table1567[[#This Row],[Customer ID]], "-",Table1567[[#This Row],[Age]])</f>
        <v>CUST980-31</v>
      </c>
      <c r="S981" s="4" t="str">
        <f>TEXT(Table1567[[#This Row],[Date]],"mmm")</f>
        <v>Jul</v>
      </c>
      <c r="T981" s="4" t="str">
        <f>TEXT(Table1567[[#This Row],[Date]],"DDD")</f>
        <v>Sat</v>
      </c>
    </row>
    <row r="982" spans="1:20" ht="29" x14ac:dyDescent="0.35">
      <c r="A982" s="4">
        <v>981</v>
      </c>
      <c r="B982" s="5">
        <v>45157</v>
      </c>
      <c r="C982" s="4" t="s">
        <v>994</v>
      </c>
      <c r="D982" s="4" t="s">
        <v>13</v>
      </c>
      <c r="E982" s="4">
        <v>30</v>
      </c>
      <c r="F982" s="4" t="str">
        <f>IF(Table1567[[#This Row],[Age]]&lt;=19,"Teenager",IF(Table1567[[#This Row],[Age]]&lt;=40,"Median","Old"))</f>
        <v>Median</v>
      </c>
      <c r="G982" s="4" t="s">
        <v>16</v>
      </c>
      <c r="H982" s="4">
        <v>2</v>
      </c>
      <c r="I982" s="4">
        <v>30</v>
      </c>
      <c r="J982" s="4">
        <v>60</v>
      </c>
      <c r="K982" s="4" t="str" cm="1">
        <f t="array" ref="K982">_xlfn.IFS(AND(Table1567[[#This Row],[Total Amount]]&gt;=1500),"Critical",AND(Table1567[[#This Row],[Total Amount]]&gt;=1000),"High",TRUE,"Normal")</f>
        <v>Normal</v>
      </c>
      <c r="L982" s="4" t="str">
        <f>IF(Table1567[[#This Row],[Total Amount]]&gt;=1000,"High",(IF(Table1567[[#This Row],[Total Amount]]&gt;=500,"Medium","Low")))</f>
        <v>Low</v>
      </c>
      <c r="M982" s="4" t="str" cm="1">
        <f t="array" ref="M98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82" s="4" cm="1">
        <f t="array" ref="N98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</v>
      </c>
      <c r="O982" s="4">
        <f>Table1567[[#This Row],[Total Amount]]-Table1567[[#This Row],[Discount Amount]]</f>
        <v>51</v>
      </c>
      <c r="P982" s="4" t="str">
        <f>IF(Table1567[[#This Row],[Total Amount]]&gt;=1000,"High","Low")</f>
        <v>Low</v>
      </c>
      <c r="Q982" s="4" t="str" cm="1">
        <f t="array" ref="Q982">_xlfn.IFS(AND(Table1567[[#This Row],[Total Amount]]&gt;=1500,"Critical"),AND(Table1567[[#This Row],[Total Amount]]&gt;=1000,"High"),TRUE,"Normal")</f>
        <v>Normal</v>
      </c>
      <c r="R982" s="4" t="str">
        <f>CONCATENATE(Table1567[[#This Row],[Customer ID]], "-",Table1567[[#This Row],[Age]])</f>
        <v>CUST981-30</v>
      </c>
      <c r="S982" s="4" t="str">
        <f>TEXT(Table1567[[#This Row],[Date]],"mmm")</f>
        <v>Aug</v>
      </c>
      <c r="T982" s="4" t="str">
        <f>TEXT(Table1567[[#This Row],[Date]],"DDD")</f>
        <v>Sat</v>
      </c>
    </row>
    <row r="983" spans="1:20" ht="29" x14ac:dyDescent="0.35">
      <c r="A983" s="4">
        <v>982</v>
      </c>
      <c r="B983" s="5">
        <v>45279</v>
      </c>
      <c r="C983" s="4" t="s">
        <v>995</v>
      </c>
      <c r="D983" s="4" t="s">
        <v>13</v>
      </c>
      <c r="E983" s="4">
        <v>46</v>
      </c>
      <c r="F983" s="4" t="str">
        <f>IF(Table1567[[#This Row],[Age]]&lt;=19,"Teenager",IF(Table1567[[#This Row],[Age]]&lt;=40,"Median","Old"))</f>
        <v>Old</v>
      </c>
      <c r="G983" s="4" t="s">
        <v>11</v>
      </c>
      <c r="H983" s="4">
        <v>3</v>
      </c>
      <c r="I983" s="4">
        <v>30</v>
      </c>
      <c r="J983" s="4">
        <v>90</v>
      </c>
      <c r="K983" s="4" t="str" cm="1">
        <f t="array" ref="K983">_xlfn.IFS(AND(Table1567[[#This Row],[Total Amount]]&gt;=1500),"Critical",AND(Table1567[[#This Row],[Total Amount]]&gt;=1000),"High",TRUE,"Normal")</f>
        <v>Normal</v>
      </c>
      <c r="L983" s="4" t="str">
        <f>IF(Table1567[[#This Row],[Total Amount]]&gt;=1000,"High",(IF(Table1567[[#This Row],[Total Amount]]&gt;=500,"Medium","Low")))</f>
        <v>Low</v>
      </c>
      <c r="M983" s="4" t="str" cm="1">
        <f t="array" ref="M98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83" s="4" cm="1">
        <f t="array" ref="N98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983" s="4">
        <f>Table1567[[#This Row],[Total Amount]]-Table1567[[#This Row],[Discount Amount]]</f>
        <v>72</v>
      </c>
      <c r="P983" s="4" t="str">
        <f>IF(Table1567[[#This Row],[Total Amount]]&gt;=1000,"High","Low")</f>
        <v>Low</v>
      </c>
      <c r="Q983" s="4" t="str" cm="1">
        <f t="array" ref="Q983">_xlfn.IFS(AND(Table1567[[#This Row],[Total Amount]]&gt;=1500,"Critical"),AND(Table1567[[#This Row],[Total Amount]]&gt;=1000,"High"),TRUE,"Normal")</f>
        <v>Normal</v>
      </c>
      <c r="R983" s="4" t="str">
        <f>CONCATENATE(Table1567[[#This Row],[Customer ID]], "-",Table1567[[#This Row],[Age]])</f>
        <v>CUST982-46</v>
      </c>
      <c r="S983" s="4" t="str">
        <f>TEXT(Table1567[[#This Row],[Date]],"mmm")</f>
        <v>Dec</v>
      </c>
      <c r="T983" s="4" t="str">
        <f>TEXT(Table1567[[#This Row],[Date]],"DDD")</f>
        <v>Tue</v>
      </c>
    </row>
    <row r="984" spans="1:20" ht="29" x14ac:dyDescent="0.35">
      <c r="A984" s="4">
        <v>983</v>
      </c>
      <c r="B984" s="5">
        <v>45231</v>
      </c>
      <c r="C984" s="4" t="s">
        <v>996</v>
      </c>
      <c r="D984" s="4" t="s">
        <v>13</v>
      </c>
      <c r="E984" s="4">
        <v>29</v>
      </c>
      <c r="F984" s="4" t="str">
        <f>IF(Table1567[[#This Row],[Age]]&lt;=19,"Teenager",IF(Table1567[[#This Row],[Age]]&lt;=40,"Median","Old"))</f>
        <v>Median</v>
      </c>
      <c r="G984" s="4" t="s">
        <v>14</v>
      </c>
      <c r="H984" s="4">
        <v>1</v>
      </c>
      <c r="I984" s="4">
        <v>300</v>
      </c>
      <c r="J984" s="4">
        <v>300</v>
      </c>
      <c r="K984" s="4" t="str" cm="1">
        <f t="array" ref="K984">_xlfn.IFS(AND(Table1567[[#This Row],[Total Amount]]&gt;=1500),"Critical",AND(Table1567[[#This Row],[Total Amount]]&gt;=1000),"High",TRUE,"Normal")</f>
        <v>Normal</v>
      </c>
      <c r="L984" s="4" t="str">
        <f>IF(Table1567[[#This Row],[Total Amount]]&gt;=1000,"High",(IF(Table1567[[#This Row],[Total Amount]]&gt;=500,"Medium","Low")))</f>
        <v>Low</v>
      </c>
      <c r="M984" s="4" t="str" cm="1">
        <f t="array" ref="M98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84" s="4" cm="1">
        <f t="array" ref="N98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45</v>
      </c>
      <c r="O984" s="4">
        <f>Table1567[[#This Row],[Total Amount]]-Table1567[[#This Row],[Discount Amount]]</f>
        <v>255</v>
      </c>
      <c r="P984" s="4" t="str">
        <f>IF(Table1567[[#This Row],[Total Amount]]&gt;=1000,"High","Low")</f>
        <v>Low</v>
      </c>
      <c r="Q984" s="4" t="str" cm="1">
        <f t="array" ref="Q984">_xlfn.IFS(AND(Table1567[[#This Row],[Total Amount]]&gt;=1500,"Critical"),AND(Table1567[[#This Row],[Total Amount]]&gt;=1000,"High"),TRUE,"Normal")</f>
        <v>Normal</v>
      </c>
      <c r="R984" s="4" t="str">
        <f>CONCATENATE(Table1567[[#This Row],[Customer ID]], "-",Table1567[[#This Row],[Age]])</f>
        <v>CUST983-29</v>
      </c>
      <c r="S984" s="4" t="str">
        <f>TEXT(Table1567[[#This Row],[Date]],"mmm")</f>
        <v>Nov</v>
      </c>
      <c r="T984" s="4" t="str">
        <f>TEXT(Table1567[[#This Row],[Date]],"DDD")</f>
        <v>Wed</v>
      </c>
    </row>
    <row r="985" spans="1:20" ht="29" x14ac:dyDescent="0.35">
      <c r="A985" s="4">
        <v>984</v>
      </c>
      <c r="B985" s="5">
        <v>45167</v>
      </c>
      <c r="C985" s="4" t="s">
        <v>997</v>
      </c>
      <c r="D985" s="4" t="s">
        <v>10</v>
      </c>
      <c r="E985" s="4">
        <v>56</v>
      </c>
      <c r="F985" s="4" t="str">
        <f>IF(Table1567[[#This Row],[Age]]&lt;=19,"Teenager",IF(Table1567[[#This Row],[Age]]&lt;=40,"Median","Old"))</f>
        <v>Old</v>
      </c>
      <c r="G985" s="4" t="s">
        <v>14</v>
      </c>
      <c r="H985" s="4">
        <v>1</v>
      </c>
      <c r="I985" s="4">
        <v>500</v>
      </c>
      <c r="J985" s="4">
        <v>500</v>
      </c>
      <c r="K985" s="4" t="str" cm="1">
        <f t="array" ref="K985">_xlfn.IFS(AND(Table1567[[#This Row],[Total Amount]]&gt;=1500),"Critical",AND(Table1567[[#This Row],[Total Amount]]&gt;=1000),"High",TRUE,"Normal")</f>
        <v>Normal</v>
      </c>
      <c r="L985" s="4" t="str">
        <f>IF(Table1567[[#This Row],[Total Amount]]&gt;=1000,"High",(IF(Table1567[[#This Row],[Total Amount]]&gt;=500,"Medium","Low")))</f>
        <v>Medium</v>
      </c>
      <c r="M985" s="4" t="str" cm="1">
        <f t="array" ref="M98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85" s="4" cm="1">
        <f t="array" ref="N98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50</v>
      </c>
      <c r="O985" s="4">
        <f>Table1567[[#This Row],[Total Amount]]-Table1567[[#This Row],[Discount Amount]]</f>
        <v>450</v>
      </c>
      <c r="P985" s="4" t="str">
        <f>IF(Table1567[[#This Row],[Total Amount]]&gt;=1000,"High","Low")</f>
        <v>Low</v>
      </c>
      <c r="Q985" s="4" t="str" cm="1">
        <f t="array" ref="Q985">_xlfn.IFS(AND(Table1567[[#This Row],[Total Amount]]&gt;=1500,"Critical"),AND(Table1567[[#This Row],[Total Amount]]&gt;=1000,"High"),TRUE,"Normal")</f>
        <v>Normal</v>
      </c>
      <c r="R985" s="4" t="str">
        <f>CONCATENATE(Table1567[[#This Row],[Customer ID]], "-",Table1567[[#This Row],[Age]])</f>
        <v>CUST984-56</v>
      </c>
      <c r="S985" s="4" t="str">
        <f>TEXT(Table1567[[#This Row],[Date]],"mmm")</f>
        <v>Aug</v>
      </c>
      <c r="T985" s="4" t="str">
        <f>TEXT(Table1567[[#This Row],[Date]],"DDD")</f>
        <v>Tue</v>
      </c>
    </row>
    <row r="986" spans="1:20" ht="29" x14ac:dyDescent="0.35">
      <c r="A986" s="4">
        <v>985</v>
      </c>
      <c r="B986" s="5">
        <v>45076</v>
      </c>
      <c r="C986" s="4" t="s">
        <v>998</v>
      </c>
      <c r="D986" s="4" t="s">
        <v>13</v>
      </c>
      <c r="E986" s="4">
        <v>19</v>
      </c>
      <c r="F986" s="4" t="str">
        <f>IF(Table1567[[#This Row],[Age]]&lt;=19,"Teenager",IF(Table1567[[#This Row],[Age]]&lt;=40,"Median","Old"))</f>
        <v>Teenager</v>
      </c>
      <c r="G986" s="4" t="s">
        <v>16</v>
      </c>
      <c r="H986" s="4">
        <v>2</v>
      </c>
      <c r="I986" s="4">
        <v>25</v>
      </c>
      <c r="J986" s="4">
        <v>50</v>
      </c>
      <c r="K986" s="4" t="str" cm="1">
        <f t="array" ref="K986">_xlfn.IFS(AND(Table1567[[#This Row],[Total Amount]]&gt;=1500),"Critical",AND(Table1567[[#This Row],[Total Amount]]&gt;=1000),"High",TRUE,"Normal")</f>
        <v>Normal</v>
      </c>
      <c r="L986" s="4" t="str">
        <f>IF(Table1567[[#This Row],[Total Amount]]&gt;=1000,"High",(IF(Table1567[[#This Row],[Total Amount]]&gt;=500,"Medium","Low")))</f>
        <v>Low</v>
      </c>
      <c r="M986" s="4" t="str" cm="1">
        <f t="array" ref="M98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986" s="4" cm="1">
        <f t="array" ref="N98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986" s="4">
        <f>Table1567[[#This Row],[Total Amount]]-Table1567[[#This Row],[Discount Amount]]</f>
        <v>50</v>
      </c>
      <c r="P986" s="4" t="str">
        <f>IF(Table1567[[#This Row],[Total Amount]]&gt;=1000,"High","Low")</f>
        <v>Low</v>
      </c>
      <c r="Q986" s="4" t="str" cm="1">
        <f t="array" ref="Q986">_xlfn.IFS(AND(Table1567[[#This Row],[Total Amount]]&gt;=1500,"Critical"),AND(Table1567[[#This Row],[Total Amount]]&gt;=1000,"High"),TRUE,"Normal")</f>
        <v>Normal</v>
      </c>
      <c r="R986" s="4" t="str">
        <f>CONCATENATE(Table1567[[#This Row],[Customer ID]], "-",Table1567[[#This Row],[Age]])</f>
        <v>CUST985-19</v>
      </c>
      <c r="S986" s="4" t="str">
        <f>TEXT(Table1567[[#This Row],[Date]],"mmm")</f>
        <v>May</v>
      </c>
      <c r="T986" s="4" t="str">
        <f>TEXT(Table1567[[#This Row],[Date]],"DDD")</f>
        <v>Tue</v>
      </c>
    </row>
    <row r="987" spans="1:20" ht="29" x14ac:dyDescent="0.35">
      <c r="A987" s="4">
        <v>986</v>
      </c>
      <c r="B987" s="5">
        <v>44943</v>
      </c>
      <c r="C987" s="4" t="s">
        <v>999</v>
      </c>
      <c r="D987" s="4" t="s">
        <v>13</v>
      </c>
      <c r="E987" s="4">
        <v>49</v>
      </c>
      <c r="F987" s="4" t="str">
        <f>IF(Table1567[[#This Row],[Age]]&lt;=19,"Teenager",IF(Table1567[[#This Row],[Age]]&lt;=40,"Median","Old"))</f>
        <v>Old</v>
      </c>
      <c r="G987" s="4" t="s">
        <v>14</v>
      </c>
      <c r="H987" s="4">
        <v>2</v>
      </c>
      <c r="I987" s="4">
        <v>500</v>
      </c>
      <c r="J987" s="4">
        <v>1000</v>
      </c>
      <c r="K987" s="4" t="str" cm="1">
        <f t="array" ref="K987">_xlfn.IFS(AND(Table1567[[#This Row],[Total Amount]]&gt;=1500),"Critical",AND(Table1567[[#This Row],[Total Amount]]&gt;=1000),"High",TRUE,"Normal")</f>
        <v>High</v>
      </c>
      <c r="L987" s="4" t="str">
        <f>IF(Table1567[[#This Row],[Total Amount]]&gt;=1000,"High",(IF(Table1567[[#This Row],[Total Amount]]&gt;=500,"Medium","Low")))</f>
        <v>High</v>
      </c>
      <c r="M987" s="4" t="str" cm="1">
        <f t="array" ref="M98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87" s="4" cm="1">
        <f t="array" ref="N98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987" s="4">
        <f>Table1567[[#This Row],[Total Amount]]-Table1567[[#This Row],[Discount Amount]]</f>
        <v>800</v>
      </c>
      <c r="P987" s="4" t="str">
        <f>IF(Table1567[[#This Row],[Total Amount]]&gt;=1000,"High","Low")</f>
        <v>High</v>
      </c>
      <c r="Q987" s="4" t="str" cm="1">
        <f t="array" ref="Q987">_xlfn.IFS(AND(Table1567[[#This Row],[Total Amount]]&gt;=1500,"Critical"),AND(Table1567[[#This Row],[Total Amount]]&gt;=1000,"High"),TRUE,"Normal")</f>
        <v>Normal</v>
      </c>
      <c r="R987" s="4" t="str">
        <f>CONCATENATE(Table1567[[#This Row],[Customer ID]], "-",Table1567[[#This Row],[Age]])</f>
        <v>CUST986-49</v>
      </c>
      <c r="S987" s="4" t="str">
        <f>TEXT(Table1567[[#This Row],[Date]],"mmm")</f>
        <v>Jan</v>
      </c>
      <c r="T987" s="4" t="str">
        <f>TEXT(Table1567[[#This Row],[Date]],"DDD")</f>
        <v>Tue</v>
      </c>
    </row>
    <row r="988" spans="1:20" ht="29" x14ac:dyDescent="0.35">
      <c r="A988" s="4">
        <v>987</v>
      </c>
      <c r="B988" s="5">
        <v>45045</v>
      </c>
      <c r="C988" s="4" t="s">
        <v>1000</v>
      </c>
      <c r="D988" s="4" t="s">
        <v>13</v>
      </c>
      <c r="E988" s="4">
        <v>30</v>
      </c>
      <c r="F988" s="4" t="str">
        <f>IF(Table1567[[#This Row],[Age]]&lt;=19,"Teenager",IF(Table1567[[#This Row],[Age]]&lt;=40,"Median","Old"))</f>
        <v>Median</v>
      </c>
      <c r="G988" s="4" t="s">
        <v>14</v>
      </c>
      <c r="H988" s="4">
        <v>3</v>
      </c>
      <c r="I988" s="4">
        <v>300</v>
      </c>
      <c r="J988" s="4">
        <v>900</v>
      </c>
      <c r="K988" s="4" t="str" cm="1">
        <f t="array" ref="K988">_xlfn.IFS(AND(Table1567[[#This Row],[Total Amount]]&gt;=1500),"Critical",AND(Table1567[[#This Row],[Total Amount]]&gt;=1000),"High",TRUE,"Normal")</f>
        <v>Normal</v>
      </c>
      <c r="L988" s="4" t="str">
        <f>IF(Table1567[[#This Row],[Total Amount]]&gt;=1000,"High",(IF(Table1567[[#This Row],[Total Amount]]&gt;=500,"Medium","Low")))</f>
        <v>Medium</v>
      </c>
      <c r="M988" s="4" t="str" cm="1">
        <f t="array" ref="M98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88" s="4" cm="1">
        <f t="array" ref="N98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135</v>
      </c>
      <c r="O988" s="4">
        <f>Table1567[[#This Row],[Total Amount]]-Table1567[[#This Row],[Discount Amount]]</f>
        <v>765</v>
      </c>
      <c r="P988" s="4" t="str">
        <f>IF(Table1567[[#This Row],[Total Amount]]&gt;=1000,"High","Low")</f>
        <v>Low</v>
      </c>
      <c r="Q988" s="4" t="str" cm="1">
        <f t="array" ref="Q988">_xlfn.IFS(AND(Table1567[[#This Row],[Total Amount]]&gt;=1500,"Critical"),AND(Table1567[[#This Row],[Total Amount]]&gt;=1000,"High"),TRUE,"Normal")</f>
        <v>Normal</v>
      </c>
      <c r="R988" s="4" t="str">
        <f>CONCATENATE(Table1567[[#This Row],[Customer ID]], "-",Table1567[[#This Row],[Age]])</f>
        <v>CUST987-30</v>
      </c>
      <c r="S988" s="4" t="str">
        <f>TEXT(Table1567[[#This Row],[Date]],"mmm")</f>
        <v>Apr</v>
      </c>
      <c r="T988" s="4" t="str">
        <f>TEXT(Table1567[[#This Row],[Date]],"DDD")</f>
        <v>Sat</v>
      </c>
    </row>
    <row r="989" spans="1:20" ht="29" x14ac:dyDescent="0.35">
      <c r="A989" s="4">
        <v>988</v>
      </c>
      <c r="B989" s="5">
        <v>45074</v>
      </c>
      <c r="C989" s="4" t="s">
        <v>1001</v>
      </c>
      <c r="D989" s="4" t="s">
        <v>13</v>
      </c>
      <c r="E989" s="4">
        <v>63</v>
      </c>
      <c r="F989" s="4" t="str">
        <f>IF(Table1567[[#This Row],[Age]]&lt;=19,"Teenager",IF(Table1567[[#This Row],[Age]]&lt;=40,"Median","Old"))</f>
        <v>Old</v>
      </c>
      <c r="G989" s="4" t="s">
        <v>14</v>
      </c>
      <c r="H989" s="4">
        <v>3</v>
      </c>
      <c r="I989" s="4">
        <v>25</v>
      </c>
      <c r="J989" s="4">
        <v>75</v>
      </c>
      <c r="K989" s="4" t="str" cm="1">
        <f t="array" ref="K989">_xlfn.IFS(AND(Table1567[[#This Row],[Total Amount]]&gt;=1500),"Critical",AND(Table1567[[#This Row],[Total Amount]]&gt;=1000),"High",TRUE,"Normal")</f>
        <v>Normal</v>
      </c>
      <c r="L989" s="4" t="str">
        <f>IF(Table1567[[#This Row],[Total Amount]]&gt;=1000,"High",(IF(Table1567[[#This Row],[Total Amount]]&gt;=500,"Medium","Low")))</f>
        <v>Low</v>
      </c>
      <c r="M989" s="4" t="str" cm="1">
        <f t="array" ref="M98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89" s="4" cm="1">
        <f t="array" ref="N98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989" s="4">
        <f>Table1567[[#This Row],[Total Amount]]-Table1567[[#This Row],[Discount Amount]]</f>
        <v>60</v>
      </c>
      <c r="P989" s="4" t="str">
        <f>IF(Table1567[[#This Row],[Total Amount]]&gt;=1000,"High","Low")</f>
        <v>Low</v>
      </c>
      <c r="Q989" s="4" t="str" cm="1">
        <f t="array" ref="Q989">_xlfn.IFS(AND(Table1567[[#This Row],[Total Amount]]&gt;=1500,"Critical"),AND(Table1567[[#This Row],[Total Amount]]&gt;=1000,"High"),TRUE,"Normal")</f>
        <v>Normal</v>
      </c>
      <c r="R989" s="4" t="str">
        <f>CONCATENATE(Table1567[[#This Row],[Customer ID]], "-",Table1567[[#This Row],[Age]])</f>
        <v>CUST988-63</v>
      </c>
      <c r="S989" s="4" t="str">
        <f>TEXT(Table1567[[#This Row],[Date]],"mmm")</f>
        <v>May</v>
      </c>
      <c r="T989" s="4" t="str">
        <f>TEXT(Table1567[[#This Row],[Date]],"DDD")</f>
        <v>Sun</v>
      </c>
    </row>
    <row r="990" spans="1:20" ht="29" x14ac:dyDescent="0.35">
      <c r="A990" s="4">
        <v>989</v>
      </c>
      <c r="B990" s="5">
        <v>45288</v>
      </c>
      <c r="C990" s="4" t="s">
        <v>1002</v>
      </c>
      <c r="D990" s="4" t="s">
        <v>13</v>
      </c>
      <c r="E990" s="4">
        <v>44</v>
      </c>
      <c r="F990" s="4" t="str">
        <f>IF(Table1567[[#This Row],[Age]]&lt;=19,"Teenager",IF(Table1567[[#This Row],[Age]]&lt;=40,"Median","Old"))</f>
        <v>Old</v>
      </c>
      <c r="G990" s="4" t="s">
        <v>16</v>
      </c>
      <c r="H990" s="4">
        <v>1</v>
      </c>
      <c r="I990" s="4">
        <v>25</v>
      </c>
      <c r="J990" s="4">
        <v>25</v>
      </c>
      <c r="K990" s="4" t="str" cm="1">
        <f t="array" ref="K990">_xlfn.IFS(AND(Table1567[[#This Row],[Total Amount]]&gt;=1500),"Critical",AND(Table1567[[#This Row],[Total Amount]]&gt;=1000),"High",TRUE,"Normal")</f>
        <v>Normal</v>
      </c>
      <c r="L990" s="4" t="str">
        <f>IF(Table1567[[#This Row],[Total Amount]]&gt;=1000,"High",(IF(Table1567[[#This Row],[Total Amount]]&gt;=500,"Medium","Low")))</f>
        <v>Low</v>
      </c>
      <c r="M990" s="4" t="str" cm="1">
        <f t="array" ref="M99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90" s="4" cm="1">
        <f t="array" ref="N99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990" s="4">
        <f>Table1567[[#This Row],[Total Amount]]-Table1567[[#This Row],[Discount Amount]]</f>
        <v>20</v>
      </c>
      <c r="P990" s="4" t="str">
        <f>IF(Table1567[[#This Row],[Total Amount]]&gt;=1000,"High","Low")</f>
        <v>Low</v>
      </c>
      <c r="Q990" s="4" t="str" cm="1">
        <f t="array" ref="Q990">_xlfn.IFS(AND(Table1567[[#This Row],[Total Amount]]&gt;=1500,"Critical"),AND(Table1567[[#This Row],[Total Amount]]&gt;=1000,"High"),TRUE,"Normal")</f>
        <v>Normal</v>
      </c>
      <c r="R990" s="4" t="str">
        <f>CONCATENATE(Table1567[[#This Row],[Customer ID]], "-",Table1567[[#This Row],[Age]])</f>
        <v>CUST989-44</v>
      </c>
      <c r="S990" s="4" t="str">
        <f>TEXT(Table1567[[#This Row],[Date]],"mmm")</f>
        <v>Dec</v>
      </c>
      <c r="T990" s="4" t="str">
        <f>TEXT(Table1567[[#This Row],[Date]],"DDD")</f>
        <v>Thu</v>
      </c>
    </row>
    <row r="991" spans="1:20" ht="29" x14ac:dyDescent="0.35">
      <c r="A991" s="4">
        <v>990</v>
      </c>
      <c r="B991" s="5">
        <v>45071</v>
      </c>
      <c r="C991" s="4" t="s">
        <v>1003</v>
      </c>
      <c r="D991" s="4" t="s">
        <v>13</v>
      </c>
      <c r="E991" s="4">
        <v>58</v>
      </c>
      <c r="F991" s="4" t="str">
        <f>IF(Table1567[[#This Row],[Age]]&lt;=19,"Teenager",IF(Table1567[[#This Row],[Age]]&lt;=40,"Median","Old"))</f>
        <v>Old</v>
      </c>
      <c r="G991" s="4" t="s">
        <v>11</v>
      </c>
      <c r="H991" s="4">
        <v>2</v>
      </c>
      <c r="I991" s="4">
        <v>500</v>
      </c>
      <c r="J991" s="4">
        <v>1000</v>
      </c>
      <c r="K991" s="4" t="str" cm="1">
        <f t="array" ref="K991">_xlfn.IFS(AND(Table1567[[#This Row],[Total Amount]]&gt;=1500),"Critical",AND(Table1567[[#This Row],[Total Amount]]&gt;=1000),"High",TRUE,"Normal")</f>
        <v>High</v>
      </c>
      <c r="L991" s="4" t="str">
        <f>IF(Table1567[[#This Row],[Total Amount]]&gt;=1000,"High",(IF(Table1567[[#This Row],[Total Amount]]&gt;=500,"Medium","Low")))</f>
        <v>High</v>
      </c>
      <c r="M991" s="4" t="str" cm="1">
        <f t="array" ref="M99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91" s="4" cm="1">
        <f t="array" ref="N99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991" s="4">
        <f>Table1567[[#This Row],[Total Amount]]-Table1567[[#This Row],[Discount Amount]]</f>
        <v>800</v>
      </c>
      <c r="P991" s="4" t="str">
        <f>IF(Table1567[[#This Row],[Total Amount]]&gt;=1000,"High","Low")</f>
        <v>High</v>
      </c>
      <c r="Q991" s="4" t="str" cm="1">
        <f t="array" ref="Q991">_xlfn.IFS(AND(Table1567[[#This Row],[Total Amount]]&gt;=1500,"Critical"),AND(Table1567[[#This Row],[Total Amount]]&gt;=1000,"High"),TRUE,"Normal")</f>
        <v>Normal</v>
      </c>
      <c r="R991" s="4" t="str">
        <f>CONCATENATE(Table1567[[#This Row],[Customer ID]], "-",Table1567[[#This Row],[Age]])</f>
        <v>CUST990-58</v>
      </c>
      <c r="S991" s="4" t="str">
        <f>TEXT(Table1567[[#This Row],[Date]],"mmm")</f>
        <v>May</v>
      </c>
      <c r="T991" s="4" t="str">
        <f>TEXT(Table1567[[#This Row],[Date]],"DDD")</f>
        <v>Thu</v>
      </c>
    </row>
    <row r="992" spans="1:20" ht="29" x14ac:dyDescent="0.35">
      <c r="A992" s="4">
        <v>991</v>
      </c>
      <c r="B992" s="5">
        <v>45286</v>
      </c>
      <c r="C992" s="4" t="s">
        <v>1004</v>
      </c>
      <c r="D992" s="4" t="s">
        <v>13</v>
      </c>
      <c r="E992" s="4">
        <v>34</v>
      </c>
      <c r="F992" s="4" t="str">
        <f>IF(Table1567[[#This Row],[Age]]&lt;=19,"Teenager",IF(Table1567[[#This Row],[Age]]&lt;=40,"Median","Old"))</f>
        <v>Median</v>
      </c>
      <c r="G992" s="4" t="s">
        <v>14</v>
      </c>
      <c r="H992" s="4">
        <v>2</v>
      </c>
      <c r="I992" s="4">
        <v>50</v>
      </c>
      <c r="J992" s="4">
        <v>100</v>
      </c>
      <c r="K992" s="4" t="str" cm="1">
        <f t="array" ref="K992">_xlfn.IFS(AND(Table1567[[#This Row],[Total Amount]]&gt;=1500),"Critical",AND(Table1567[[#This Row],[Total Amount]]&gt;=1000),"High",TRUE,"Normal")</f>
        <v>Normal</v>
      </c>
      <c r="L992" s="4" t="str">
        <f>IF(Table1567[[#This Row],[Total Amount]]&gt;=1000,"High",(IF(Table1567[[#This Row],[Total Amount]]&gt;=500,"Medium","Low")))</f>
        <v>Low</v>
      </c>
      <c r="M992" s="4" t="str" cm="1">
        <f t="array" ref="M99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92" s="4" cm="1">
        <f t="array" ref="N99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992" s="4">
        <f>Table1567[[#This Row],[Total Amount]]-Table1567[[#This Row],[Discount Amount]]</f>
        <v>85</v>
      </c>
      <c r="P992" s="4" t="str">
        <f>IF(Table1567[[#This Row],[Total Amount]]&gt;=1000,"High","Low")</f>
        <v>Low</v>
      </c>
      <c r="Q992" s="4" t="str" cm="1">
        <f t="array" ref="Q992">_xlfn.IFS(AND(Table1567[[#This Row],[Total Amount]]&gt;=1500,"Critical"),AND(Table1567[[#This Row],[Total Amount]]&gt;=1000,"High"),TRUE,"Normal")</f>
        <v>Normal</v>
      </c>
      <c r="R992" s="4" t="str">
        <f>CONCATENATE(Table1567[[#This Row],[Customer ID]], "-",Table1567[[#This Row],[Age]])</f>
        <v>CUST991-34</v>
      </c>
      <c r="S992" s="4" t="str">
        <f>TEXT(Table1567[[#This Row],[Date]],"mmm")</f>
        <v>Dec</v>
      </c>
      <c r="T992" s="4" t="str">
        <f>TEXT(Table1567[[#This Row],[Date]],"DDD")</f>
        <v>Tue</v>
      </c>
    </row>
    <row r="993" spans="1:20" ht="29" x14ac:dyDescent="0.35">
      <c r="A993" s="4">
        <v>992</v>
      </c>
      <c r="B993" s="5">
        <v>45159</v>
      </c>
      <c r="C993" s="4" t="s">
        <v>1005</v>
      </c>
      <c r="D993" s="4" t="s">
        <v>13</v>
      </c>
      <c r="E993" s="4">
        <v>57</v>
      </c>
      <c r="F993" s="4" t="str">
        <f>IF(Table1567[[#This Row],[Age]]&lt;=19,"Teenager",IF(Table1567[[#This Row],[Age]]&lt;=40,"Median","Old"))</f>
        <v>Old</v>
      </c>
      <c r="G993" s="4" t="s">
        <v>16</v>
      </c>
      <c r="H993" s="4">
        <v>2</v>
      </c>
      <c r="I993" s="4">
        <v>30</v>
      </c>
      <c r="J993" s="4">
        <v>60</v>
      </c>
      <c r="K993" s="4" t="str" cm="1">
        <f t="array" ref="K993">_xlfn.IFS(AND(Table1567[[#This Row],[Total Amount]]&gt;=1500),"Critical",AND(Table1567[[#This Row],[Total Amount]]&gt;=1000),"High",TRUE,"Normal")</f>
        <v>Normal</v>
      </c>
      <c r="L993" s="4" t="str">
        <f>IF(Table1567[[#This Row],[Total Amount]]&gt;=1000,"High",(IF(Table1567[[#This Row],[Total Amount]]&gt;=500,"Medium","Low")))</f>
        <v>Low</v>
      </c>
      <c r="M993" s="4" t="str" cm="1">
        <f t="array" ref="M99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93" s="4" cm="1">
        <f t="array" ref="N99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993" s="4">
        <f>Table1567[[#This Row],[Total Amount]]-Table1567[[#This Row],[Discount Amount]]</f>
        <v>48</v>
      </c>
      <c r="P993" s="4" t="str">
        <f>IF(Table1567[[#This Row],[Total Amount]]&gt;=1000,"High","Low")</f>
        <v>Low</v>
      </c>
      <c r="Q993" s="4" t="str" cm="1">
        <f t="array" ref="Q993">_xlfn.IFS(AND(Table1567[[#This Row],[Total Amount]]&gt;=1500,"Critical"),AND(Table1567[[#This Row],[Total Amount]]&gt;=1000,"High"),TRUE,"Normal")</f>
        <v>Normal</v>
      </c>
      <c r="R993" s="4" t="str">
        <f>CONCATENATE(Table1567[[#This Row],[Customer ID]], "-",Table1567[[#This Row],[Age]])</f>
        <v>CUST992-57</v>
      </c>
      <c r="S993" s="4" t="str">
        <f>TEXT(Table1567[[#This Row],[Date]],"mmm")</f>
        <v>Aug</v>
      </c>
      <c r="T993" s="4" t="str">
        <f>TEXT(Table1567[[#This Row],[Date]],"DDD")</f>
        <v>Mon</v>
      </c>
    </row>
    <row r="994" spans="1:20" ht="29" x14ac:dyDescent="0.35">
      <c r="A994" s="4">
        <v>993</v>
      </c>
      <c r="B994" s="5">
        <v>44963</v>
      </c>
      <c r="C994" s="4" t="s">
        <v>1006</v>
      </c>
      <c r="D994" s="4" t="s">
        <v>13</v>
      </c>
      <c r="E994" s="4">
        <v>48</v>
      </c>
      <c r="F994" s="4" t="str">
        <f>IF(Table1567[[#This Row],[Age]]&lt;=19,"Teenager",IF(Table1567[[#This Row],[Age]]&lt;=40,"Median","Old"))</f>
        <v>Old</v>
      </c>
      <c r="G994" s="4" t="s">
        <v>16</v>
      </c>
      <c r="H994" s="4">
        <v>3</v>
      </c>
      <c r="I994" s="4">
        <v>50</v>
      </c>
      <c r="J994" s="4">
        <v>150</v>
      </c>
      <c r="K994" s="4" t="str" cm="1">
        <f t="array" ref="K994">_xlfn.IFS(AND(Table1567[[#This Row],[Total Amount]]&gt;=1500),"Critical",AND(Table1567[[#This Row],[Total Amount]]&gt;=1000),"High",TRUE,"Normal")</f>
        <v>Normal</v>
      </c>
      <c r="L994" s="4" t="str">
        <f>IF(Table1567[[#This Row],[Total Amount]]&gt;=1000,"High",(IF(Table1567[[#This Row],[Total Amount]]&gt;=500,"Medium","Low")))</f>
        <v>Low</v>
      </c>
      <c r="M994" s="4" t="str" cm="1">
        <f t="array" ref="M99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94" s="4" cm="1">
        <f t="array" ref="N99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994" s="4">
        <f>Table1567[[#This Row],[Total Amount]]-Table1567[[#This Row],[Discount Amount]]</f>
        <v>120</v>
      </c>
      <c r="P994" s="4" t="str">
        <f>IF(Table1567[[#This Row],[Total Amount]]&gt;=1000,"High","Low")</f>
        <v>Low</v>
      </c>
      <c r="Q994" s="4" t="str" cm="1">
        <f t="array" ref="Q994">_xlfn.IFS(AND(Table1567[[#This Row],[Total Amount]]&gt;=1500,"Critical"),AND(Table1567[[#This Row],[Total Amount]]&gt;=1000,"High"),TRUE,"Normal")</f>
        <v>Normal</v>
      </c>
      <c r="R994" s="4" t="str">
        <f>CONCATENATE(Table1567[[#This Row],[Customer ID]], "-",Table1567[[#This Row],[Age]])</f>
        <v>CUST993-48</v>
      </c>
      <c r="S994" s="4" t="str">
        <f>TEXT(Table1567[[#This Row],[Date]],"mmm")</f>
        <v>Feb</v>
      </c>
      <c r="T994" s="4" t="str">
        <f>TEXT(Table1567[[#This Row],[Date]],"DDD")</f>
        <v>Mon</v>
      </c>
    </row>
    <row r="995" spans="1:20" ht="29" x14ac:dyDescent="0.35">
      <c r="A995" s="4">
        <v>994</v>
      </c>
      <c r="B995" s="5">
        <v>45278</v>
      </c>
      <c r="C995" s="4" t="s">
        <v>1007</v>
      </c>
      <c r="D995" s="4" t="s">
        <v>13</v>
      </c>
      <c r="E995" s="4">
        <v>51</v>
      </c>
      <c r="F995" s="4" t="str">
        <f>IF(Table1567[[#This Row],[Age]]&lt;=19,"Teenager",IF(Table1567[[#This Row],[Age]]&lt;=40,"Median","Old"))</f>
        <v>Old</v>
      </c>
      <c r="G995" s="4" t="s">
        <v>11</v>
      </c>
      <c r="H995" s="4">
        <v>2</v>
      </c>
      <c r="I995" s="4">
        <v>500</v>
      </c>
      <c r="J995" s="4">
        <v>1000</v>
      </c>
      <c r="K995" s="4" t="str" cm="1">
        <f t="array" ref="K995">_xlfn.IFS(AND(Table1567[[#This Row],[Total Amount]]&gt;=1500),"Critical",AND(Table1567[[#This Row],[Total Amount]]&gt;=1000),"High",TRUE,"Normal")</f>
        <v>High</v>
      </c>
      <c r="L995" s="4" t="str">
        <f>IF(Table1567[[#This Row],[Total Amount]]&gt;=1000,"High",(IF(Table1567[[#This Row],[Total Amount]]&gt;=500,"Medium","Low")))</f>
        <v>High</v>
      </c>
      <c r="M995" s="4" t="str" cm="1">
        <f t="array" ref="M99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95" s="4" cm="1">
        <f t="array" ref="N99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995" s="4">
        <f>Table1567[[#This Row],[Total Amount]]-Table1567[[#This Row],[Discount Amount]]</f>
        <v>800</v>
      </c>
      <c r="P995" s="4" t="str">
        <f>IF(Table1567[[#This Row],[Total Amount]]&gt;=1000,"High","Low")</f>
        <v>High</v>
      </c>
      <c r="Q995" s="4" t="str" cm="1">
        <f t="array" ref="Q995">_xlfn.IFS(AND(Table1567[[#This Row],[Total Amount]]&gt;=1500,"Critical"),AND(Table1567[[#This Row],[Total Amount]]&gt;=1000,"High"),TRUE,"Normal")</f>
        <v>Normal</v>
      </c>
      <c r="R995" s="4" t="str">
        <f>CONCATENATE(Table1567[[#This Row],[Customer ID]], "-",Table1567[[#This Row],[Age]])</f>
        <v>CUST994-51</v>
      </c>
      <c r="S995" s="4" t="str">
        <f>TEXT(Table1567[[#This Row],[Date]],"mmm")</f>
        <v>Dec</v>
      </c>
      <c r="T995" s="4" t="str">
        <f>TEXT(Table1567[[#This Row],[Date]],"DDD")</f>
        <v>Mon</v>
      </c>
    </row>
    <row r="996" spans="1:20" ht="29" x14ac:dyDescent="0.35">
      <c r="A996" s="4">
        <v>995</v>
      </c>
      <c r="B996" s="5">
        <v>45046</v>
      </c>
      <c r="C996" s="4" t="s">
        <v>1008</v>
      </c>
      <c r="D996" s="4" t="s">
        <v>13</v>
      </c>
      <c r="E996" s="4">
        <v>41</v>
      </c>
      <c r="F996" s="4" t="str">
        <f>IF(Table1567[[#This Row],[Age]]&lt;=19,"Teenager",IF(Table1567[[#This Row],[Age]]&lt;=40,"Median","Old"))</f>
        <v>Old</v>
      </c>
      <c r="G996" s="4" t="s">
        <v>14</v>
      </c>
      <c r="H996" s="4">
        <v>1</v>
      </c>
      <c r="I996" s="4">
        <v>30</v>
      </c>
      <c r="J996" s="4">
        <v>30</v>
      </c>
      <c r="K996" s="4" t="str" cm="1">
        <f t="array" ref="K996">_xlfn.IFS(AND(Table1567[[#This Row],[Total Amount]]&gt;=1500),"Critical",AND(Table1567[[#This Row],[Total Amount]]&gt;=1000),"High",TRUE,"Normal")</f>
        <v>Normal</v>
      </c>
      <c r="L996" s="4" t="str">
        <f>IF(Table1567[[#This Row],[Total Amount]]&gt;=1000,"High",(IF(Table1567[[#This Row],[Total Amount]]&gt;=500,"Medium","Low")))</f>
        <v>Low</v>
      </c>
      <c r="M996" s="4" t="str" cm="1">
        <f t="array" ref="M99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96" s="4" cm="1">
        <f t="array" ref="N99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996" s="4">
        <f>Table1567[[#This Row],[Total Amount]]-Table1567[[#This Row],[Discount Amount]]</f>
        <v>24</v>
      </c>
      <c r="P996" s="4" t="str">
        <f>IF(Table1567[[#This Row],[Total Amount]]&gt;=1000,"High","Low")</f>
        <v>Low</v>
      </c>
      <c r="Q996" s="4" t="str" cm="1">
        <f t="array" ref="Q996">_xlfn.IFS(AND(Table1567[[#This Row],[Total Amount]]&gt;=1500,"Critical"),AND(Table1567[[#This Row],[Total Amount]]&gt;=1000,"High"),TRUE,"Normal")</f>
        <v>Normal</v>
      </c>
      <c r="R996" s="4" t="str">
        <f>CONCATENATE(Table1567[[#This Row],[Customer ID]], "-",Table1567[[#This Row],[Age]])</f>
        <v>CUST995-41</v>
      </c>
      <c r="S996" s="4" t="str">
        <f>TEXT(Table1567[[#This Row],[Date]],"mmm")</f>
        <v>Apr</v>
      </c>
      <c r="T996" s="4" t="str">
        <f>TEXT(Table1567[[#This Row],[Date]],"DDD")</f>
        <v>Sun</v>
      </c>
    </row>
    <row r="997" spans="1:20" ht="29" x14ac:dyDescent="0.35">
      <c r="A997" s="4">
        <v>996</v>
      </c>
      <c r="B997" s="5">
        <v>45062</v>
      </c>
      <c r="C997" s="4" t="s">
        <v>1009</v>
      </c>
      <c r="D997" s="4" t="s">
        <v>10</v>
      </c>
      <c r="E997" s="4">
        <v>62</v>
      </c>
      <c r="F997" s="4" t="str">
        <f>IF(Table1567[[#This Row],[Age]]&lt;=19,"Teenager",IF(Table1567[[#This Row],[Age]]&lt;=40,"Median","Old"))</f>
        <v>Old</v>
      </c>
      <c r="G997" s="4" t="s">
        <v>14</v>
      </c>
      <c r="H997" s="4">
        <v>1</v>
      </c>
      <c r="I997" s="4">
        <v>50</v>
      </c>
      <c r="J997" s="4">
        <v>50</v>
      </c>
      <c r="K997" s="4" t="str" cm="1">
        <f t="array" ref="K997">_xlfn.IFS(AND(Table1567[[#This Row],[Total Amount]]&gt;=1500),"Critical",AND(Table1567[[#This Row],[Total Amount]]&gt;=1000),"High",TRUE,"Normal")</f>
        <v>Normal</v>
      </c>
      <c r="L997" s="4" t="str">
        <f>IF(Table1567[[#This Row],[Total Amount]]&gt;=1000,"High",(IF(Table1567[[#This Row],[Total Amount]]&gt;=500,"Medium","Low")))</f>
        <v>Low</v>
      </c>
      <c r="M997" s="4" t="str" cm="1">
        <f t="array" ref="M99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97" s="4" cm="1">
        <f t="array" ref="N99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997" s="4">
        <f>Table1567[[#This Row],[Total Amount]]-Table1567[[#This Row],[Discount Amount]]</f>
        <v>45</v>
      </c>
      <c r="P997" s="4" t="str">
        <f>IF(Table1567[[#This Row],[Total Amount]]&gt;=1000,"High","Low")</f>
        <v>Low</v>
      </c>
      <c r="Q997" s="4" t="str" cm="1">
        <f t="array" ref="Q997">_xlfn.IFS(AND(Table1567[[#This Row],[Total Amount]]&gt;=1500,"Critical"),AND(Table1567[[#This Row],[Total Amount]]&gt;=1000,"High"),TRUE,"Normal")</f>
        <v>Normal</v>
      </c>
      <c r="R997" s="4" t="str">
        <f>CONCATENATE(Table1567[[#This Row],[Customer ID]], "-",Table1567[[#This Row],[Age]])</f>
        <v>CUST996-62</v>
      </c>
      <c r="S997" s="4" t="str">
        <f>TEXT(Table1567[[#This Row],[Date]],"mmm")</f>
        <v>May</v>
      </c>
      <c r="T997" s="4" t="str">
        <f>TEXT(Table1567[[#This Row],[Date]],"DDD")</f>
        <v>Tue</v>
      </c>
    </row>
    <row r="998" spans="1:20" ht="29" x14ac:dyDescent="0.35">
      <c r="A998" s="4">
        <v>997</v>
      </c>
      <c r="B998" s="5">
        <v>45247</v>
      </c>
      <c r="C998" s="4" t="s">
        <v>1010</v>
      </c>
      <c r="D998" s="4" t="s">
        <v>10</v>
      </c>
      <c r="E998" s="4">
        <v>52</v>
      </c>
      <c r="F998" s="4" t="str">
        <f>IF(Table1567[[#This Row],[Age]]&lt;=19,"Teenager",IF(Table1567[[#This Row],[Age]]&lt;=40,"Median","Old"))</f>
        <v>Old</v>
      </c>
      <c r="G998" s="4" t="s">
        <v>11</v>
      </c>
      <c r="H998" s="4">
        <v>3</v>
      </c>
      <c r="I998" s="4">
        <v>30</v>
      </c>
      <c r="J998" s="4">
        <v>90</v>
      </c>
      <c r="K998" s="4" t="str" cm="1">
        <f t="array" ref="K998">_xlfn.IFS(AND(Table1567[[#This Row],[Total Amount]]&gt;=1500),"Critical",AND(Table1567[[#This Row],[Total Amount]]&gt;=1000),"High",TRUE,"Normal")</f>
        <v>Normal</v>
      </c>
      <c r="L998" s="4" t="str">
        <f>IF(Table1567[[#This Row],[Total Amount]]&gt;=1000,"High",(IF(Table1567[[#This Row],[Total Amount]]&gt;=500,"Medium","Low")))</f>
        <v>Low</v>
      </c>
      <c r="M998" s="4" t="str" cm="1">
        <f t="array" ref="M99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98" s="4" cm="1">
        <f t="array" ref="N99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</v>
      </c>
      <c r="O998" s="4">
        <f>Table1567[[#This Row],[Total Amount]]-Table1567[[#This Row],[Discount Amount]]</f>
        <v>81</v>
      </c>
      <c r="P998" s="4" t="str">
        <f>IF(Table1567[[#This Row],[Total Amount]]&gt;=1000,"High","Low")</f>
        <v>Low</v>
      </c>
      <c r="Q998" s="4" t="str" cm="1">
        <f t="array" ref="Q998">_xlfn.IFS(AND(Table1567[[#This Row],[Total Amount]]&gt;=1500,"Critical"),AND(Table1567[[#This Row],[Total Amount]]&gt;=1000,"High"),TRUE,"Normal")</f>
        <v>Normal</v>
      </c>
      <c r="R998" s="4" t="str">
        <f>CONCATENATE(Table1567[[#This Row],[Customer ID]], "-",Table1567[[#This Row],[Age]])</f>
        <v>CUST997-52</v>
      </c>
      <c r="S998" s="4" t="str">
        <f>TEXT(Table1567[[#This Row],[Date]],"mmm")</f>
        <v>Nov</v>
      </c>
      <c r="T998" s="4" t="str">
        <f>TEXT(Table1567[[#This Row],[Date]],"DDD")</f>
        <v>Fri</v>
      </c>
    </row>
    <row r="999" spans="1:20" ht="29" x14ac:dyDescent="0.35">
      <c r="A999" s="4">
        <v>998</v>
      </c>
      <c r="B999" s="5">
        <v>45228</v>
      </c>
      <c r="C999" s="4" t="s">
        <v>1011</v>
      </c>
      <c r="D999" s="4" t="s">
        <v>13</v>
      </c>
      <c r="E999" s="4">
        <v>23</v>
      </c>
      <c r="F999" s="4" t="str">
        <f>IF(Table1567[[#This Row],[Age]]&lt;=19,"Teenager",IF(Table1567[[#This Row],[Age]]&lt;=40,"Median","Old"))</f>
        <v>Median</v>
      </c>
      <c r="G999" s="4" t="s">
        <v>11</v>
      </c>
      <c r="H999" s="4">
        <v>4</v>
      </c>
      <c r="I999" s="4">
        <v>25</v>
      </c>
      <c r="J999" s="4">
        <v>100</v>
      </c>
      <c r="K999" s="4" t="str" cm="1">
        <f t="array" ref="K999">_xlfn.IFS(AND(Table1567[[#This Row],[Total Amount]]&gt;=1500),"Critical",AND(Table1567[[#This Row],[Total Amount]]&gt;=1000),"High",TRUE,"Normal")</f>
        <v>Normal</v>
      </c>
      <c r="L999" s="4" t="str">
        <f>IF(Table1567[[#This Row],[Total Amount]]&gt;=1000,"High",(IF(Table1567[[#This Row],[Total Amount]]&gt;=500,"Medium","Low")))</f>
        <v>Low</v>
      </c>
      <c r="M999" s="4" t="str" cm="1">
        <f t="array" ref="M99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999" s="4" cm="1">
        <f t="array" ref="N99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999" s="4">
        <f>Table1567[[#This Row],[Total Amount]]-Table1567[[#This Row],[Discount Amount]]</f>
        <v>100</v>
      </c>
      <c r="P999" s="4" t="str">
        <f>IF(Table1567[[#This Row],[Total Amount]]&gt;=1000,"High","Low")</f>
        <v>Low</v>
      </c>
      <c r="Q999" s="4" t="str" cm="1">
        <f t="array" ref="Q999">_xlfn.IFS(AND(Table1567[[#This Row],[Total Amount]]&gt;=1500,"Critical"),AND(Table1567[[#This Row],[Total Amount]]&gt;=1000,"High"),TRUE,"Normal")</f>
        <v>Normal</v>
      </c>
      <c r="R999" s="4" t="str">
        <f>CONCATENATE(Table1567[[#This Row],[Customer ID]], "-",Table1567[[#This Row],[Age]])</f>
        <v>CUST998-23</v>
      </c>
      <c r="S999" s="4" t="str">
        <f>TEXT(Table1567[[#This Row],[Date]],"mmm")</f>
        <v>Oct</v>
      </c>
      <c r="T999" s="4" t="str">
        <f>TEXT(Table1567[[#This Row],[Date]],"DDD")</f>
        <v>Sun</v>
      </c>
    </row>
    <row r="1000" spans="1:20" ht="29" x14ac:dyDescent="0.35">
      <c r="A1000" s="4">
        <v>999</v>
      </c>
      <c r="B1000" s="5">
        <v>45265</v>
      </c>
      <c r="C1000" s="4" t="s">
        <v>1012</v>
      </c>
      <c r="D1000" s="4" t="s">
        <v>13</v>
      </c>
      <c r="E1000" s="4">
        <v>36</v>
      </c>
      <c r="F1000" s="4" t="str">
        <f>IF(Table1567[[#This Row],[Age]]&lt;=19,"Teenager",IF(Table1567[[#This Row],[Age]]&lt;=40,"Median","Old"))</f>
        <v>Median</v>
      </c>
      <c r="G1000" s="4" t="s">
        <v>16</v>
      </c>
      <c r="H1000" s="4">
        <v>3</v>
      </c>
      <c r="I1000" s="4">
        <v>50</v>
      </c>
      <c r="J1000" s="4">
        <v>150</v>
      </c>
      <c r="K1000" s="4" t="str" cm="1">
        <f t="array" ref="K1000">_xlfn.IFS(AND(Table1567[[#This Row],[Total Amount]]&gt;=1500),"Critical",AND(Table1567[[#This Row],[Total Amount]]&gt;=1000),"High",TRUE,"Normal")</f>
        <v>Normal</v>
      </c>
      <c r="L1000" s="4" t="str">
        <f>IF(Table1567[[#This Row],[Total Amount]]&gt;=1000,"High",(IF(Table1567[[#This Row],[Total Amount]]&gt;=500,"Medium","Low")))</f>
        <v>Low</v>
      </c>
      <c r="M1000" s="4" t="str" cm="1">
        <f t="array" ref="M100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000" s="4" cm="1">
        <f t="array" ref="N100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1000" s="4">
        <f>Table1567[[#This Row],[Total Amount]]-Table1567[[#This Row],[Discount Amount]]</f>
        <v>120</v>
      </c>
      <c r="P1000" s="4" t="str">
        <f>IF(Table1567[[#This Row],[Total Amount]]&gt;=1000,"High","Low")</f>
        <v>Low</v>
      </c>
      <c r="Q1000" s="4" t="str" cm="1">
        <f t="array" ref="Q1000">_xlfn.IFS(AND(Table1567[[#This Row],[Total Amount]]&gt;=1500,"Critical"),AND(Table1567[[#This Row],[Total Amount]]&gt;=1000,"High"),TRUE,"Normal")</f>
        <v>Normal</v>
      </c>
      <c r="R1000" s="4" t="str">
        <f>CONCATENATE(Table1567[[#This Row],[Customer ID]], "-",Table1567[[#This Row],[Age]])</f>
        <v>CUST999-36</v>
      </c>
      <c r="S1000" s="4" t="str">
        <f>TEXT(Table1567[[#This Row],[Date]],"mmm")</f>
        <v>Dec</v>
      </c>
      <c r="T1000" s="4" t="str">
        <f>TEXT(Table1567[[#This Row],[Date]],"DDD")</f>
        <v>Tue</v>
      </c>
    </row>
    <row r="1001" spans="1:20" ht="29" x14ac:dyDescent="0.35">
      <c r="A1001" s="4">
        <v>1000</v>
      </c>
      <c r="B1001" s="5">
        <v>45028</v>
      </c>
      <c r="C1001" s="4" t="s">
        <v>1013</v>
      </c>
      <c r="D1001" s="4" t="s">
        <v>10</v>
      </c>
      <c r="E1001" s="4">
        <v>47</v>
      </c>
      <c r="F1001" s="4" t="str">
        <f>IF(Table1567[[#This Row],[Age]]&lt;=19,"Teenager",IF(Table1567[[#This Row],[Age]]&lt;=40,"Median","Old"))</f>
        <v>Old</v>
      </c>
      <c r="G1001" s="4" t="s">
        <v>16</v>
      </c>
      <c r="H1001" s="4">
        <v>4</v>
      </c>
      <c r="I1001" s="4">
        <v>30</v>
      </c>
      <c r="J1001" s="4">
        <v>120</v>
      </c>
      <c r="K1001" s="4" t="str" cm="1">
        <f t="array" ref="K1001">_xlfn.IFS(AND(Table1567[[#This Row],[Total Amount]]&gt;=1500),"Critical",AND(Table1567[[#This Row],[Total Amount]]&gt;=1000),"High",TRUE,"Normal")</f>
        <v>Normal</v>
      </c>
      <c r="L1001" s="4" t="str">
        <f>IF(Table1567[[#This Row],[Total Amount]]&gt;=1000,"High",(IF(Table1567[[#This Row],[Total Amount]]&gt;=500,"Medium","Low")))</f>
        <v>Low</v>
      </c>
      <c r="M1001" s="4" t="str" cm="1">
        <f t="array" ref="M100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001" s="4" cm="1">
        <f t="array" ref="N100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1001" s="4">
        <f>Table1567[[#This Row],[Total Amount]]-Table1567[[#This Row],[Discount Amount]]</f>
        <v>108</v>
      </c>
      <c r="P1001" s="4" t="str">
        <f>IF(Table1567[[#This Row],[Total Amount]]&gt;=1000,"High","Low")</f>
        <v>Low</v>
      </c>
      <c r="Q1001" s="4" t="str" cm="1">
        <f t="array" ref="Q1001">_xlfn.IFS(AND(Table1567[[#This Row],[Total Amount]]&gt;=1500,"Critical"),AND(Table1567[[#This Row],[Total Amount]]&gt;=1000,"High"),TRUE,"Normal")</f>
        <v>Normal</v>
      </c>
      <c r="R1001" s="4" t="str">
        <f>CONCATENATE(Table1567[[#This Row],[Customer ID]], "-",Table1567[[#This Row],[Age]])</f>
        <v>CUST1000-47</v>
      </c>
      <c r="S1001" s="4" t="str">
        <f>TEXT(Table1567[[#This Row],[Date]],"mmm")</f>
        <v>Apr</v>
      </c>
      <c r="T1001" s="4" t="str">
        <f>TEXT(Table1567[[#This Row],[Date]],"DDD")</f>
        <v>Wed</v>
      </c>
    </row>
    <row r="1002" spans="1:20" ht="101.5" x14ac:dyDescent="0.35">
      <c r="A1002" s="6"/>
      <c r="B1002" s="7"/>
      <c r="C1002" s="10" t="s">
        <v>1030</v>
      </c>
      <c r="D1002" s="6">
        <f>COUNTIF(Table1567[Gender],"Male")</f>
        <v>490</v>
      </c>
      <c r="E1002" s="6"/>
      <c r="F1002" s="6"/>
      <c r="G1002" s="6"/>
      <c r="H1002" s="6"/>
      <c r="I1002" s="10" t="s">
        <v>1032</v>
      </c>
      <c r="J1002" s="6">
        <f>COUNTIF(Table1567[Total Amount],"&gt;=1000")</f>
        <v>202</v>
      </c>
      <c r="K1002" s="12" t="s">
        <v>1037</v>
      </c>
      <c r="L1002" s="6">
        <f>COUNTIFS(Table1567[Gender],"Female",Table1567[Age],"&gt;=30")</f>
        <v>381</v>
      </c>
      <c r="M1002" s="6"/>
      <c r="N1002" s="6"/>
      <c r="O1002" s="6"/>
      <c r="P1002" s="6"/>
      <c r="Q1002" s="6"/>
      <c r="R1002" s="9"/>
      <c r="S1002" s="9"/>
      <c r="T1002" s="9"/>
    </row>
    <row r="1003" spans="1:20" ht="87" x14ac:dyDescent="0.35">
      <c r="A1003" s="8"/>
      <c r="B1003" s="8"/>
      <c r="C1003" s="11" t="s">
        <v>1031</v>
      </c>
      <c r="D1003" s="9">
        <f>COUNTIF(Table1567[Gender],"Female")</f>
        <v>510</v>
      </c>
      <c r="E1003" s="8"/>
      <c r="F1003" s="8"/>
      <c r="G1003" s="8"/>
      <c r="H1003" s="8"/>
      <c r="I1003" s="10" t="s">
        <v>1033</v>
      </c>
      <c r="J1003" s="8">
        <f>SUMIF(Table1567[Gender],"Female",Table1567[Total Amount])</f>
        <v>232840</v>
      </c>
      <c r="K1003" s="13" t="s">
        <v>1038</v>
      </c>
      <c r="L1003" s="14">
        <f>SUMIFS(Table1567[Total Amount],Table1567[Gender],"Male",Table1567[Product Category],"Electronics")</f>
        <v>80170</v>
      </c>
      <c r="M1003" s="8"/>
      <c r="N1003" s="8"/>
      <c r="O1003" s="8"/>
      <c r="P1003" s="8"/>
      <c r="Q1003" s="8"/>
    </row>
    <row r="1004" spans="1:20" s="6" customFormat="1" ht="101.5" x14ac:dyDescent="0.35">
      <c r="I1004" s="10" t="s">
        <v>1034</v>
      </c>
      <c r="J1004" s="6">
        <f>SUMIF(Table1567[Total Amount],"&gt;=1000",Table1567[Total Amount])</f>
        <v>286800</v>
      </c>
      <c r="K1004" s="12" t="s">
        <v>1039</v>
      </c>
      <c r="L1004" s="6">
        <f>AVERAGEIFS(Table1567[Total Amount],Table1567[Product Category],"Clothing",Table1567[Age],25)</f>
        <v>725</v>
      </c>
    </row>
    <row r="1005" spans="1:20" s="6" customFormat="1" ht="116" x14ac:dyDescent="0.35">
      <c r="I1005" s="10" t="s">
        <v>1035</v>
      </c>
      <c r="J1005" s="6">
        <f>COUNTIFS(Table1567[Age],"&gt;=30",Table1567[Total Amount],"&gt;=1000")</f>
        <v>141</v>
      </c>
    </row>
    <row r="1006" spans="1:20" s="6" customFormat="1" ht="101.5" x14ac:dyDescent="0.35">
      <c r="I1006" s="10" t="s">
        <v>1036</v>
      </c>
      <c r="J1006" s="6">
        <f>SUMIFS(Table1567[Total Amount],Table1567[Age],"&gt;=30",Table1567[Total Amount],"&gt;=1000")</f>
        <v>201800</v>
      </c>
    </row>
    <row r="1007" spans="1:20" s="6" customFormat="1" x14ac:dyDescent="0.35"/>
  </sheetData>
  <conditionalFormatting sqref="J2">
    <cfRule type="cellIs" dxfId="11" priority="5" operator="greaterThan">
      <formula>1000</formula>
    </cfRule>
  </conditionalFormatting>
  <conditionalFormatting sqref="L2:N1001">
    <cfRule type="containsText" dxfId="10" priority="1" operator="containsText" text="Low">
      <formula>NOT(ISERROR(SEARCH("Low",L2)))</formula>
    </cfRule>
    <cfRule type="containsText" dxfId="9" priority="2" operator="containsText" text="Medium">
      <formula>NOT(ISERROR(SEARCH("Medium",L2)))</formula>
    </cfRule>
    <cfRule type="containsText" dxfId="8" priority="4" operator="containsText" text="High">
      <formula>NOT(ISERROR(SEARCH("High",L2)))</formula>
    </cfRule>
  </conditionalFormatting>
  <conditionalFormatting sqref="L965:N965">
    <cfRule type="containsText" dxfId="7" priority="3" operator="containsText" text="Medium">
      <formula>NOT(ISERROR(SEARCH("Medium",L965)))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5B126-3C04-47BA-A826-CE7040E73014}">
  <dimension ref="A3:B7"/>
  <sheetViews>
    <sheetView workbookViewId="0">
      <selection activeCell="A3" sqref="A3:B7"/>
    </sheetView>
  </sheetViews>
  <sheetFormatPr defaultRowHeight="14.5" x14ac:dyDescent="0.35"/>
  <cols>
    <col min="1" max="1" width="12.453125" bestFit="1" customWidth="1"/>
    <col min="2" max="2" width="18.1796875" bestFit="1" customWidth="1"/>
  </cols>
  <sheetData>
    <row r="3" spans="1:2" x14ac:dyDescent="0.35">
      <c r="A3" s="15" t="s">
        <v>1043</v>
      </c>
      <c r="B3" t="s">
        <v>1045</v>
      </c>
    </row>
    <row r="4" spans="1:2" x14ac:dyDescent="0.35">
      <c r="A4" s="16" t="s">
        <v>1050</v>
      </c>
      <c r="B4" s="17">
        <v>202810</v>
      </c>
    </row>
    <row r="5" spans="1:2" x14ac:dyDescent="0.35">
      <c r="A5" s="16" t="s">
        <v>1051</v>
      </c>
      <c r="B5" s="17">
        <v>227105</v>
      </c>
    </row>
    <row r="6" spans="1:2" x14ac:dyDescent="0.35">
      <c r="A6" s="16" t="s">
        <v>1052</v>
      </c>
      <c r="B6" s="17">
        <v>26085</v>
      </c>
    </row>
    <row r="7" spans="1:2" x14ac:dyDescent="0.35">
      <c r="A7" s="16" t="s">
        <v>1044</v>
      </c>
      <c r="B7" s="17">
        <v>456000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DA4B0-3CF4-40B9-BE9E-DC3FE1BBC20E}">
  <dimension ref="A3:B16"/>
  <sheetViews>
    <sheetView workbookViewId="0">
      <selection activeCell="A3" sqref="A3:B16"/>
    </sheetView>
  </sheetViews>
  <sheetFormatPr defaultRowHeight="14.5" x14ac:dyDescent="0.35"/>
  <cols>
    <col min="1" max="1" width="12.453125" bestFit="1" customWidth="1"/>
    <col min="2" max="2" width="18.1796875" bestFit="1" customWidth="1"/>
  </cols>
  <sheetData>
    <row r="3" spans="1:2" x14ac:dyDescent="0.35">
      <c r="A3" s="15" t="s">
        <v>1043</v>
      </c>
      <c r="B3" t="s">
        <v>1045</v>
      </c>
    </row>
    <row r="4" spans="1:2" x14ac:dyDescent="0.35">
      <c r="A4" s="16" t="s">
        <v>1053</v>
      </c>
      <c r="B4" s="17">
        <v>36980</v>
      </c>
    </row>
    <row r="5" spans="1:2" x14ac:dyDescent="0.35">
      <c r="A5" s="16" t="s">
        <v>1054</v>
      </c>
      <c r="B5" s="17">
        <v>44060</v>
      </c>
    </row>
    <row r="6" spans="1:2" x14ac:dyDescent="0.35">
      <c r="A6" s="16" t="s">
        <v>1055</v>
      </c>
      <c r="B6" s="17">
        <v>28990</v>
      </c>
    </row>
    <row r="7" spans="1:2" x14ac:dyDescent="0.35">
      <c r="A7" s="16" t="s">
        <v>1056</v>
      </c>
      <c r="B7" s="17">
        <v>33870</v>
      </c>
    </row>
    <row r="8" spans="1:2" x14ac:dyDescent="0.35">
      <c r="A8" s="16" t="s">
        <v>1057</v>
      </c>
      <c r="B8" s="17">
        <v>53150</v>
      </c>
    </row>
    <row r="9" spans="1:2" x14ac:dyDescent="0.35">
      <c r="A9" s="16" t="s">
        <v>1058</v>
      </c>
      <c r="B9" s="17">
        <v>36715</v>
      </c>
    </row>
    <row r="10" spans="1:2" x14ac:dyDescent="0.35">
      <c r="A10" s="16" t="s">
        <v>1059</v>
      </c>
      <c r="B10" s="17">
        <v>35465</v>
      </c>
    </row>
    <row r="11" spans="1:2" x14ac:dyDescent="0.35">
      <c r="A11" s="16" t="s">
        <v>1060</v>
      </c>
      <c r="B11" s="17">
        <v>36960</v>
      </c>
    </row>
    <row r="12" spans="1:2" x14ac:dyDescent="0.35">
      <c r="A12" s="16" t="s">
        <v>1061</v>
      </c>
      <c r="B12" s="17">
        <v>23620</v>
      </c>
    </row>
    <row r="13" spans="1:2" x14ac:dyDescent="0.35">
      <c r="A13" s="16" t="s">
        <v>1062</v>
      </c>
      <c r="B13" s="17">
        <v>46580</v>
      </c>
    </row>
    <row r="14" spans="1:2" x14ac:dyDescent="0.35">
      <c r="A14" s="16" t="s">
        <v>1063</v>
      </c>
      <c r="B14" s="17">
        <v>34920</v>
      </c>
    </row>
    <row r="15" spans="1:2" x14ac:dyDescent="0.35">
      <c r="A15" s="16" t="s">
        <v>1064</v>
      </c>
      <c r="B15" s="17">
        <v>44690</v>
      </c>
    </row>
    <row r="16" spans="1:2" x14ac:dyDescent="0.35">
      <c r="A16" s="16" t="s">
        <v>1044</v>
      </c>
      <c r="B16" s="17">
        <v>456000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70F42-3B58-4AAF-AF08-6FC8095772BC}">
  <dimension ref="A1:T1007"/>
  <sheetViews>
    <sheetView workbookViewId="0">
      <pane ySplit="1" topLeftCell="A2" activePane="bottomLeft" state="frozen"/>
      <selection pane="bottomLeft" sqref="A1:T1001"/>
    </sheetView>
  </sheetViews>
  <sheetFormatPr defaultRowHeight="14.5" x14ac:dyDescent="0.35"/>
  <cols>
    <col min="1" max="1" width="7" customWidth="1"/>
    <col min="2" max="2" width="12.453125" customWidth="1"/>
    <col min="3" max="3" width="13.453125" customWidth="1"/>
    <col min="4" max="4" width="8.90625" customWidth="1"/>
    <col min="6" max="6" width="10.08984375" customWidth="1"/>
    <col min="7" max="7" width="17.08984375" customWidth="1"/>
    <col min="8" max="8" width="10" customWidth="1"/>
    <col min="9" max="9" width="14.08984375" customWidth="1"/>
    <col min="10" max="10" width="13.81640625" customWidth="1"/>
    <col min="11" max="11" width="20.6328125" customWidth="1"/>
    <col min="12" max="12" width="15.453125" customWidth="1"/>
    <col min="13" max="13" width="10.81640625" customWidth="1"/>
    <col min="14" max="14" width="11.6328125" customWidth="1"/>
    <col min="16" max="16" width="10.26953125" customWidth="1"/>
    <col min="17" max="17" width="10.08984375" customWidth="1"/>
    <col min="18" max="18" width="10.81640625" customWidth="1"/>
  </cols>
  <sheetData>
    <row r="1" spans="1:20" ht="43.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1025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1026</v>
      </c>
      <c r="L1" s="4" t="s">
        <v>1021</v>
      </c>
      <c r="M1" s="4" t="s">
        <v>1022</v>
      </c>
      <c r="N1" s="4" t="s">
        <v>1023</v>
      </c>
      <c r="O1" s="4" t="s">
        <v>1024</v>
      </c>
      <c r="P1" s="4" t="s">
        <v>1027</v>
      </c>
      <c r="Q1" s="4" t="s">
        <v>1028</v>
      </c>
      <c r="R1" s="4" t="s">
        <v>1040</v>
      </c>
      <c r="S1" s="4" t="s">
        <v>1041</v>
      </c>
      <c r="T1" s="4" t="s">
        <v>1042</v>
      </c>
    </row>
    <row r="2" spans="1:20" ht="29" x14ac:dyDescent="0.35">
      <c r="A2" s="4">
        <v>1</v>
      </c>
      <c r="B2" s="5">
        <v>45254</v>
      </c>
      <c r="C2" s="4" t="s">
        <v>9</v>
      </c>
      <c r="D2" s="4" t="s">
        <v>10</v>
      </c>
      <c r="E2" s="4">
        <v>34</v>
      </c>
      <c r="F2" s="4" t="str">
        <f>IF(Table15678[[#This Row],[Age]]&lt;=19,"Teenager",IF(Table15678[[#This Row],[Age]]&lt;=40,"Median","Old"))</f>
        <v>Median</v>
      </c>
      <c r="G2" s="4" t="s">
        <v>11</v>
      </c>
      <c r="H2" s="4">
        <v>3</v>
      </c>
      <c r="I2" s="4">
        <v>50</v>
      </c>
      <c r="J2" s="4">
        <v>150</v>
      </c>
      <c r="K2" s="4" t="str" cm="1">
        <f t="array" ref="K2">_xlfn.IFS(AND(Table15678[[#This Row],[Total Amount]]&gt;=1500),"Critical",AND(Table15678[[#This Row],[Total Amount]]&gt;=1000),"High",TRUE,"Normal")</f>
        <v>Normal</v>
      </c>
      <c r="L2" s="4" t="str">
        <f>IF(Table15678[[#This Row],[Total Amount]]&gt;=1000,"High",(IF(Table15678[[#This Row],[Total Amount]]&gt;=500,"Medium","Low")))</f>
        <v>Low</v>
      </c>
      <c r="M2" s="4" t="str" cm="1">
        <f t="array" ref="M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" s="4" cm="1">
        <f t="array" ref="N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22.5</v>
      </c>
      <c r="O2" s="4">
        <f>Table15678[[#This Row],[Total Amount]]-Table15678[[#This Row],[Discount Amount]]</f>
        <v>127.5</v>
      </c>
      <c r="P2" s="4" t="str">
        <f>IF(Table15678[[#This Row],[Total Amount]]&gt;=1000,"High","Low")</f>
        <v>Low</v>
      </c>
      <c r="Q2" s="4" t="str" cm="1">
        <f t="array" ref="Q2">_xlfn.IFS(AND(Table15678[[#This Row],[Total Amount]]&gt;=1500,"Critical"),AND(Table15678[[#This Row],[Total Amount]]&gt;=1000,"High"),TRUE,"Normal")</f>
        <v>Normal</v>
      </c>
      <c r="R2" s="4" t="str">
        <f>CONCATENATE(Table15678[[#This Row],[Customer ID]], "-",Table15678[[#This Row],[Age]])</f>
        <v>CUST001-34</v>
      </c>
      <c r="S2" s="4" t="str">
        <f>TEXT(Table15678[[#This Row],[Date]],"mmm")</f>
        <v>Nov</v>
      </c>
      <c r="T2" s="4" t="str">
        <f>TEXT(Table15678[[#This Row],[Date]],"DDD")</f>
        <v>Fri</v>
      </c>
    </row>
    <row r="3" spans="1:20" ht="29" x14ac:dyDescent="0.35">
      <c r="A3" s="4">
        <v>2</v>
      </c>
      <c r="B3" s="5">
        <v>44984</v>
      </c>
      <c r="C3" s="4" t="s">
        <v>12</v>
      </c>
      <c r="D3" s="4" t="s">
        <v>13</v>
      </c>
      <c r="E3" s="4">
        <v>26</v>
      </c>
      <c r="F3" s="4" t="str">
        <f>IF(Table15678[[#This Row],[Age]]&lt;=19,"Teenager",IF(Table15678[[#This Row],[Age]]&lt;=40,"Median","Old"))</f>
        <v>Median</v>
      </c>
      <c r="G3" s="4" t="s">
        <v>14</v>
      </c>
      <c r="H3" s="4">
        <v>2</v>
      </c>
      <c r="I3" s="4">
        <v>500</v>
      </c>
      <c r="J3" s="4">
        <v>1000</v>
      </c>
      <c r="K3" s="4" t="str" cm="1">
        <f t="array" ref="K3">_xlfn.IFS(AND(Table15678[[#This Row],[Total Amount]]&gt;=1500),"Critical",AND(Table15678[[#This Row],[Total Amount]]&gt;=1000),"High",TRUE,"Normal")</f>
        <v>High</v>
      </c>
      <c r="L3" s="4" t="str">
        <f>IF(Table15678[[#This Row],[Total Amount]]&gt;=1000,"High",(IF(Table15678[[#This Row],[Total Amount]]&gt;=500,"Medium","Low")))</f>
        <v>High</v>
      </c>
      <c r="M3" s="4" t="str" cm="1">
        <f t="array" ref="M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" s="4" cm="1">
        <f t="array" ref="N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150</v>
      </c>
      <c r="O3" s="4">
        <f>Table15678[[#This Row],[Total Amount]]-Table15678[[#This Row],[Discount Amount]]</f>
        <v>850</v>
      </c>
      <c r="P3" s="4" t="str">
        <f>IF(Table15678[[#This Row],[Total Amount]]&gt;=1000,"High","Low")</f>
        <v>High</v>
      </c>
      <c r="Q3" s="4" t="str" cm="1">
        <f t="array" ref="Q3">_xlfn.IFS(AND(Table15678[[#This Row],[Total Amount]]&gt;=1500,"Critical"),AND(Table15678[[#This Row],[Total Amount]]&gt;=1000,"High"),TRUE,"Normal")</f>
        <v>Normal</v>
      </c>
      <c r="R3" s="4" t="str">
        <f>CONCATENATE(Table15678[[#This Row],[Customer ID]], "-",Table15678[[#This Row],[Age]])</f>
        <v>CUST002-26</v>
      </c>
      <c r="S3" s="4" t="str">
        <f>TEXT(Table15678[[#This Row],[Date]],"mmm")</f>
        <v>Feb</v>
      </c>
      <c r="T3" s="4" t="str">
        <f>TEXT(Table15678[[#This Row],[Date]],"DDD")</f>
        <v>Mon</v>
      </c>
    </row>
    <row r="4" spans="1:20" ht="29" x14ac:dyDescent="0.35">
      <c r="A4" s="4">
        <v>3</v>
      </c>
      <c r="B4" s="5">
        <v>44939</v>
      </c>
      <c r="C4" s="4" t="s">
        <v>15</v>
      </c>
      <c r="D4" s="4" t="s">
        <v>10</v>
      </c>
      <c r="E4" s="4">
        <v>50</v>
      </c>
      <c r="F4" s="4" t="str">
        <f>IF(Table15678[[#This Row],[Age]]&lt;=19,"Teenager",IF(Table15678[[#This Row],[Age]]&lt;=40,"Median","Old"))</f>
        <v>Old</v>
      </c>
      <c r="G4" s="4" t="s">
        <v>16</v>
      </c>
      <c r="H4" s="4">
        <v>1</v>
      </c>
      <c r="I4" s="4">
        <v>30</v>
      </c>
      <c r="J4" s="4">
        <v>30</v>
      </c>
      <c r="K4" s="4" t="str" cm="1">
        <f t="array" ref="K4">_xlfn.IFS(AND(Table15678[[#This Row],[Total Amount]]&gt;=1500),"Critical",AND(Table15678[[#This Row],[Total Amount]]&gt;=1000),"High",TRUE,"Normal")</f>
        <v>Normal</v>
      </c>
      <c r="L4" s="4" t="str">
        <f>IF(Table15678[[#This Row],[Total Amount]]&gt;=1000,"High",(IF(Table15678[[#This Row],[Total Amount]]&gt;=500,"Medium","Low")))</f>
        <v>Low</v>
      </c>
      <c r="M4" s="4" t="str" cm="1">
        <f t="array" ref="M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" s="4" cm="1">
        <f t="array" ref="N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</v>
      </c>
      <c r="O4" s="4">
        <f>Table15678[[#This Row],[Total Amount]]-Table15678[[#This Row],[Discount Amount]]</f>
        <v>27</v>
      </c>
      <c r="P4" s="4" t="str">
        <f>IF(Table15678[[#This Row],[Total Amount]]&gt;=1000,"High","Low")</f>
        <v>Low</v>
      </c>
      <c r="Q4" s="4" t="str" cm="1">
        <f t="array" ref="Q4">_xlfn.IFS(AND(Table15678[[#This Row],[Total Amount]]&gt;=1500,"Critical"),AND(Table15678[[#This Row],[Total Amount]]&gt;=1000,"High"),TRUE,"Normal")</f>
        <v>Normal</v>
      </c>
      <c r="R4" s="4" t="str">
        <f>CONCATENATE(Table15678[[#This Row],[Customer ID]], "-",Table15678[[#This Row],[Age]])</f>
        <v>CUST003-50</v>
      </c>
      <c r="S4" s="4" t="str">
        <f>TEXT(Table15678[[#This Row],[Date]],"mmm")</f>
        <v>Jan</v>
      </c>
      <c r="T4" s="4" t="str">
        <f>TEXT(Table15678[[#This Row],[Date]],"DDD")</f>
        <v>Fri</v>
      </c>
    </row>
    <row r="5" spans="1:20" ht="29" x14ac:dyDescent="0.35">
      <c r="A5" s="4">
        <v>4</v>
      </c>
      <c r="B5" s="5">
        <v>45067</v>
      </c>
      <c r="C5" s="4" t="s">
        <v>17</v>
      </c>
      <c r="D5" s="4" t="s">
        <v>10</v>
      </c>
      <c r="E5" s="4">
        <v>37</v>
      </c>
      <c r="F5" s="4" t="str">
        <f>IF(Table15678[[#This Row],[Age]]&lt;=19,"Teenager",IF(Table15678[[#This Row],[Age]]&lt;=40,"Median","Old"))</f>
        <v>Median</v>
      </c>
      <c r="G5" s="4" t="s">
        <v>14</v>
      </c>
      <c r="H5" s="4">
        <v>1</v>
      </c>
      <c r="I5" s="4">
        <v>500</v>
      </c>
      <c r="J5" s="4">
        <v>500</v>
      </c>
      <c r="K5" s="4" t="str" cm="1">
        <f t="array" ref="K5">_xlfn.IFS(AND(Table15678[[#This Row],[Total Amount]]&gt;=1500),"Critical",AND(Table15678[[#This Row],[Total Amount]]&gt;=1000),"High",TRUE,"Normal")</f>
        <v>Normal</v>
      </c>
      <c r="L5" s="4" t="str">
        <f>IF(Table15678[[#This Row],[Total Amount]]&gt;=1000,"High",(IF(Table15678[[#This Row],[Total Amount]]&gt;=500,"Medium","Low")))</f>
        <v>Medium</v>
      </c>
      <c r="M5" s="4" t="str" cm="1">
        <f t="array" ref="M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" s="4" cm="1">
        <f t="array" ref="N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50</v>
      </c>
      <c r="O5" s="4">
        <f>Table15678[[#This Row],[Total Amount]]-Table15678[[#This Row],[Discount Amount]]</f>
        <v>450</v>
      </c>
      <c r="P5" s="4" t="str">
        <f>IF(Table15678[[#This Row],[Total Amount]]&gt;=1000,"High","Low")</f>
        <v>Low</v>
      </c>
      <c r="Q5" s="4" t="str" cm="1">
        <f t="array" ref="Q5">_xlfn.IFS(AND(Table15678[[#This Row],[Total Amount]]&gt;=1500,"Critical"),AND(Table15678[[#This Row],[Total Amount]]&gt;=1000,"High"),TRUE,"Normal")</f>
        <v>Normal</v>
      </c>
      <c r="R5" s="4" t="str">
        <f>CONCATENATE(Table15678[[#This Row],[Customer ID]], "-",Table15678[[#This Row],[Age]])</f>
        <v>CUST004-37</v>
      </c>
      <c r="S5" s="4" t="str">
        <f>TEXT(Table15678[[#This Row],[Date]],"mmm")</f>
        <v>May</v>
      </c>
      <c r="T5" s="4" t="str">
        <f>TEXT(Table15678[[#This Row],[Date]],"DDD")</f>
        <v>Sun</v>
      </c>
    </row>
    <row r="6" spans="1:20" ht="29" x14ac:dyDescent="0.35">
      <c r="A6" s="4">
        <v>5</v>
      </c>
      <c r="B6" s="5">
        <v>45052</v>
      </c>
      <c r="C6" s="4" t="s">
        <v>18</v>
      </c>
      <c r="D6" s="4" t="s">
        <v>10</v>
      </c>
      <c r="E6" s="4">
        <v>30</v>
      </c>
      <c r="F6" s="4" t="str">
        <f>IF(Table15678[[#This Row],[Age]]&lt;=19,"Teenager",IF(Table15678[[#This Row],[Age]]&lt;=40,"Median","Old"))</f>
        <v>Median</v>
      </c>
      <c r="G6" s="4" t="s">
        <v>11</v>
      </c>
      <c r="H6" s="4">
        <v>2</v>
      </c>
      <c r="I6" s="4">
        <v>50</v>
      </c>
      <c r="J6" s="4">
        <v>100</v>
      </c>
      <c r="K6" s="4" t="str" cm="1">
        <f t="array" ref="K6">_xlfn.IFS(AND(Table15678[[#This Row],[Total Amount]]&gt;=1500),"Critical",AND(Table15678[[#This Row],[Total Amount]]&gt;=1000),"High",TRUE,"Normal")</f>
        <v>Normal</v>
      </c>
      <c r="L6" s="4" t="str">
        <f>IF(Table15678[[#This Row],[Total Amount]]&gt;=1000,"High",(IF(Table15678[[#This Row],[Total Amount]]&gt;=500,"Medium","Low")))</f>
        <v>Low</v>
      </c>
      <c r="M6" s="4" t="str" cm="1">
        <f t="array" ref="M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" s="4" cm="1">
        <f t="array" ref="N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6" s="4">
        <f>Table15678[[#This Row],[Total Amount]]-Table15678[[#This Row],[Discount Amount]]</f>
        <v>85</v>
      </c>
      <c r="P6" s="4" t="str">
        <f>IF(Table15678[[#This Row],[Total Amount]]&gt;=1000,"High","Low")</f>
        <v>Low</v>
      </c>
      <c r="Q6" s="4" t="str" cm="1">
        <f t="array" ref="Q6">_xlfn.IFS(AND(Table15678[[#This Row],[Total Amount]]&gt;=1500,"Critical"),AND(Table15678[[#This Row],[Total Amount]]&gt;=1000,"High"),TRUE,"Normal")</f>
        <v>Normal</v>
      </c>
      <c r="R6" s="4" t="str">
        <f>CONCATENATE(Table15678[[#This Row],[Customer ID]], "-",Table15678[[#This Row],[Age]])</f>
        <v>CUST005-30</v>
      </c>
      <c r="S6" s="4" t="str">
        <f>TEXT(Table15678[[#This Row],[Date]],"mmm")</f>
        <v>May</v>
      </c>
      <c r="T6" s="4" t="str">
        <f>TEXT(Table15678[[#This Row],[Date]],"DDD")</f>
        <v>Sat</v>
      </c>
    </row>
    <row r="7" spans="1:20" ht="29" x14ac:dyDescent="0.35">
      <c r="A7" s="4">
        <v>6</v>
      </c>
      <c r="B7" s="5">
        <v>45041</v>
      </c>
      <c r="C7" s="4" t="s">
        <v>19</v>
      </c>
      <c r="D7" s="4" t="s">
        <v>13</v>
      </c>
      <c r="E7" s="4">
        <v>45</v>
      </c>
      <c r="F7" s="4" t="str">
        <f>IF(Table15678[[#This Row],[Age]]&lt;=19,"Teenager",IF(Table15678[[#This Row],[Age]]&lt;=40,"Median","Old"))</f>
        <v>Old</v>
      </c>
      <c r="G7" s="4" t="s">
        <v>11</v>
      </c>
      <c r="H7" s="4">
        <v>1</v>
      </c>
      <c r="I7" s="4">
        <v>30</v>
      </c>
      <c r="J7" s="4">
        <v>30</v>
      </c>
      <c r="K7" s="4" t="str" cm="1">
        <f t="array" ref="K7">_xlfn.IFS(AND(Table15678[[#This Row],[Total Amount]]&gt;=1500),"Critical",AND(Table15678[[#This Row],[Total Amount]]&gt;=1000),"High",TRUE,"Normal")</f>
        <v>Normal</v>
      </c>
      <c r="L7" s="4" t="str">
        <f>IF(Table15678[[#This Row],[Total Amount]]&gt;=1000,"High",(IF(Table15678[[#This Row],[Total Amount]]&gt;=500,"Medium","Low")))</f>
        <v>Low</v>
      </c>
      <c r="M7" s="4" t="str" cm="1">
        <f t="array" ref="M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" s="4" cm="1">
        <f t="array" ref="N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7" s="4">
        <f>Table15678[[#This Row],[Total Amount]]-Table15678[[#This Row],[Discount Amount]]</f>
        <v>24</v>
      </c>
      <c r="P7" s="4" t="str">
        <f>IF(Table15678[[#This Row],[Total Amount]]&gt;=1000,"High","Low")</f>
        <v>Low</v>
      </c>
      <c r="Q7" s="4" t="str" cm="1">
        <f t="array" ref="Q7">_xlfn.IFS(AND(Table15678[[#This Row],[Total Amount]]&gt;=1500,"Critical"),AND(Table15678[[#This Row],[Total Amount]]&gt;=1000,"High"),TRUE,"Normal")</f>
        <v>Normal</v>
      </c>
      <c r="R7" s="4" t="str">
        <f>CONCATENATE(Table15678[[#This Row],[Customer ID]], "-",Table15678[[#This Row],[Age]])</f>
        <v>CUST006-45</v>
      </c>
      <c r="S7" s="4" t="str">
        <f>TEXT(Table15678[[#This Row],[Date]],"mmm")</f>
        <v>Apr</v>
      </c>
      <c r="T7" s="4" t="str">
        <f>TEXT(Table15678[[#This Row],[Date]],"DDD")</f>
        <v>Tue</v>
      </c>
    </row>
    <row r="8" spans="1:20" ht="29" x14ac:dyDescent="0.35">
      <c r="A8" s="4">
        <v>7</v>
      </c>
      <c r="B8" s="5">
        <v>44998</v>
      </c>
      <c r="C8" s="4" t="s">
        <v>20</v>
      </c>
      <c r="D8" s="4" t="s">
        <v>10</v>
      </c>
      <c r="E8" s="4">
        <v>46</v>
      </c>
      <c r="F8" s="4" t="str">
        <f>IF(Table15678[[#This Row],[Age]]&lt;=19,"Teenager",IF(Table15678[[#This Row],[Age]]&lt;=40,"Median","Old"))</f>
        <v>Old</v>
      </c>
      <c r="G8" s="4" t="s">
        <v>14</v>
      </c>
      <c r="H8" s="4">
        <v>2</v>
      </c>
      <c r="I8" s="4">
        <v>25</v>
      </c>
      <c r="J8" s="4">
        <v>50</v>
      </c>
      <c r="K8" s="4" t="str" cm="1">
        <f t="array" ref="K8">_xlfn.IFS(AND(Table15678[[#This Row],[Total Amount]]&gt;=1500),"Critical",AND(Table15678[[#This Row],[Total Amount]]&gt;=1000),"High",TRUE,"Normal")</f>
        <v>Normal</v>
      </c>
      <c r="L8" s="4" t="str">
        <f>IF(Table15678[[#This Row],[Total Amount]]&gt;=1000,"High",(IF(Table15678[[#This Row],[Total Amount]]&gt;=500,"Medium","Low")))</f>
        <v>Low</v>
      </c>
      <c r="M8" s="4" t="str" cm="1">
        <f t="array" ref="M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" s="4" cm="1">
        <f t="array" ref="N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8" s="4">
        <f>Table15678[[#This Row],[Total Amount]]-Table15678[[#This Row],[Discount Amount]]</f>
        <v>45</v>
      </c>
      <c r="P8" s="4" t="str">
        <f>IF(Table15678[[#This Row],[Total Amount]]&gt;=1000,"High","Low")</f>
        <v>Low</v>
      </c>
      <c r="Q8" s="4" t="str" cm="1">
        <f t="array" ref="Q8">_xlfn.IFS(AND(Table15678[[#This Row],[Total Amount]]&gt;=1500,"Critical"),AND(Table15678[[#This Row],[Total Amount]]&gt;=1000,"High"),TRUE,"Normal")</f>
        <v>Normal</v>
      </c>
      <c r="R8" s="4" t="str">
        <f>CONCATENATE(Table15678[[#This Row],[Customer ID]], "-",Table15678[[#This Row],[Age]])</f>
        <v>CUST007-46</v>
      </c>
      <c r="S8" s="4" t="str">
        <f>TEXT(Table15678[[#This Row],[Date]],"mmm")</f>
        <v>Mar</v>
      </c>
      <c r="T8" s="4" t="str">
        <f>TEXT(Table15678[[#This Row],[Date]],"DDD")</f>
        <v>Mon</v>
      </c>
    </row>
    <row r="9" spans="1:20" ht="29" x14ac:dyDescent="0.35">
      <c r="A9" s="4">
        <v>8</v>
      </c>
      <c r="B9" s="5">
        <v>44979</v>
      </c>
      <c r="C9" s="4" t="s">
        <v>21</v>
      </c>
      <c r="D9" s="4" t="s">
        <v>10</v>
      </c>
      <c r="E9" s="4">
        <v>30</v>
      </c>
      <c r="F9" s="4" t="str">
        <f>IF(Table15678[[#This Row],[Age]]&lt;=19,"Teenager",IF(Table15678[[#This Row],[Age]]&lt;=40,"Median","Old"))</f>
        <v>Median</v>
      </c>
      <c r="G9" s="4" t="s">
        <v>16</v>
      </c>
      <c r="H9" s="4">
        <v>4</v>
      </c>
      <c r="I9" s="4">
        <v>25</v>
      </c>
      <c r="J9" s="4">
        <v>100</v>
      </c>
      <c r="K9" s="4" t="str" cm="1">
        <f t="array" ref="K9">_xlfn.IFS(AND(Table15678[[#This Row],[Total Amount]]&gt;=1500),"Critical",AND(Table15678[[#This Row],[Total Amount]]&gt;=1000),"High",TRUE,"Normal")</f>
        <v>Normal</v>
      </c>
      <c r="L9" s="4" t="str">
        <f>IF(Table15678[[#This Row],[Total Amount]]&gt;=1000,"High",(IF(Table15678[[#This Row],[Total Amount]]&gt;=500,"Medium","Low")))</f>
        <v>Low</v>
      </c>
      <c r="M9" s="4" t="str" cm="1">
        <f t="array" ref="M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" s="4" cm="1">
        <f t="array" ref="N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9" s="4">
        <f>Table15678[[#This Row],[Total Amount]]-Table15678[[#This Row],[Discount Amount]]</f>
        <v>85</v>
      </c>
      <c r="P9" s="4" t="str">
        <f>IF(Table15678[[#This Row],[Total Amount]]&gt;=1000,"High","Low")</f>
        <v>Low</v>
      </c>
      <c r="Q9" s="4" t="str" cm="1">
        <f t="array" ref="Q9">_xlfn.IFS(AND(Table15678[[#This Row],[Total Amount]]&gt;=1500,"Critical"),AND(Table15678[[#This Row],[Total Amount]]&gt;=1000,"High"),TRUE,"Normal")</f>
        <v>Normal</v>
      </c>
      <c r="R9" s="4" t="str">
        <f>CONCATENATE(Table15678[[#This Row],[Customer ID]], "-",Table15678[[#This Row],[Age]])</f>
        <v>CUST008-30</v>
      </c>
      <c r="S9" s="4" t="str">
        <f>TEXT(Table15678[[#This Row],[Date]],"mmm")</f>
        <v>Feb</v>
      </c>
      <c r="T9" s="4" t="str">
        <f>TEXT(Table15678[[#This Row],[Date]],"DDD")</f>
        <v>Wed</v>
      </c>
    </row>
    <row r="10" spans="1:20" ht="29" x14ac:dyDescent="0.35">
      <c r="A10" s="4">
        <v>9</v>
      </c>
      <c r="B10" s="5">
        <v>45273</v>
      </c>
      <c r="C10" s="4" t="s">
        <v>22</v>
      </c>
      <c r="D10" s="4" t="s">
        <v>10</v>
      </c>
      <c r="E10" s="4">
        <v>63</v>
      </c>
      <c r="F10" s="4" t="str">
        <f>IF(Table15678[[#This Row],[Age]]&lt;=19,"Teenager",IF(Table15678[[#This Row],[Age]]&lt;=40,"Median","Old"))</f>
        <v>Old</v>
      </c>
      <c r="G10" s="4" t="s">
        <v>16</v>
      </c>
      <c r="H10" s="4">
        <v>2</v>
      </c>
      <c r="I10" s="4">
        <v>300</v>
      </c>
      <c r="J10" s="4">
        <v>600</v>
      </c>
      <c r="K10" s="4" t="str" cm="1">
        <f t="array" ref="K10">_xlfn.IFS(AND(Table15678[[#This Row],[Total Amount]]&gt;=1500),"Critical",AND(Table15678[[#This Row],[Total Amount]]&gt;=1000),"High",TRUE,"Normal")</f>
        <v>Normal</v>
      </c>
      <c r="L10" s="4" t="str">
        <f>IF(Table15678[[#This Row],[Total Amount]]&gt;=1000,"High",(IF(Table15678[[#This Row],[Total Amount]]&gt;=500,"Medium","Low")))</f>
        <v>Medium</v>
      </c>
      <c r="M10" s="4" t="str" cm="1">
        <f t="array" ref="M1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0" s="4" cm="1">
        <f t="array" ref="N1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10" s="4">
        <f>Table15678[[#This Row],[Total Amount]]-Table15678[[#This Row],[Discount Amount]]</f>
        <v>540</v>
      </c>
      <c r="P10" s="4" t="str">
        <f>IF(Table15678[[#This Row],[Total Amount]]&gt;=1000,"High","Low")</f>
        <v>Low</v>
      </c>
      <c r="Q10" s="4" t="str" cm="1">
        <f t="array" ref="Q10">_xlfn.IFS(AND(Table15678[[#This Row],[Total Amount]]&gt;=1500,"Critical"),AND(Table15678[[#This Row],[Total Amount]]&gt;=1000,"High"),TRUE,"Normal")</f>
        <v>Normal</v>
      </c>
      <c r="R10" s="4" t="str">
        <f>CONCATENATE(Table15678[[#This Row],[Customer ID]], "-",Table15678[[#This Row],[Age]])</f>
        <v>CUST009-63</v>
      </c>
      <c r="S10" s="4" t="str">
        <f>TEXT(Table15678[[#This Row],[Date]],"mmm")</f>
        <v>Dec</v>
      </c>
      <c r="T10" s="4" t="str">
        <f>TEXT(Table15678[[#This Row],[Date]],"DDD")</f>
        <v>Wed</v>
      </c>
    </row>
    <row r="11" spans="1:20" ht="29" x14ac:dyDescent="0.35">
      <c r="A11" s="4">
        <v>10</v>
      </c>
      <c r="B11" s="5">
        <v>45206</v>
      </c>
      <c r="C11" s="4" t="s">
        <v>23</v>
      </c>
      <c r="D11" s="4" t="s">
        <v>13</v>
      </c>
      <c r="E11" s="4">
        <v>52</v>
      </c>
      <c r="F11" s="4" t="str">
        <f>IF(Table15678[[#This Row],[Age]]&lt;=19,"Teenager",IF(Table15678[[#This Row],[Age]]&lt;=40,"Median","Old"))</f>
        <v>Old</v>
      </c>
      <c r="G11" s="4" t="s">
        <v>14</v>
      </c>
      <c r="H11" s="4">
        <v>4</v>
      </c>
      <c r="I11" s="4">
        <v>50</v>
      </c>
      <c r="J11" s="4">
        <v>200</v>
      </c>
      <c r="K11" s="4" t="str" cm="1">
        <f t="array" ref="K11">_xlfn.IFS(AND(Table15678[[#This Row],[Total Amount]]&gt;=1500),"Critical",AND(Table15678[[#This Row],[Total Amount]]&gt;=1000),"High",TRUE,"Normal")</f>
        <v>Normal</v>
      </c>
      <c r="L11" s="4" t="str">
        <f>IF(Table15678[[#This Row],[Total Amount]]&gt;=1000,"High",(IF(Table15678[[#This Row],[Total Amount]]&gt;=500,"Medium","Low")))</f>
        <v>Low</v>
      </c>
      <c r="M11" s="4" t="str" cm="1">
        <f t="array" ref="M1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1" s="4" cm="1">
        <f t="array" ref="N1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</v>
      </c>
      <c r="O11" s="4">
        <f>Table15678[[#This Row],[Total Amount]]-Table15678[[#This Row],[Discount Amount]]</f>
        <v>160</v>
      </c>
      <c r="P11" s="4" t="str">
        <f>IF(Table15678[[#This Row],[Total Amount]]&gt;=1000,"High","Low")</f>
        <v>Low</v>
      </c>
      <c r="Q11" s="4" t="str" cm="1">
        <f t="array" ref="Q11">_xlfn.IFS(AND(Table15678[[#This Row],[Total Amount]]&gt;=1500,"Critical"),AND(Table15678[[#This Row],[Total Amount]]&gt;=1000,"High"),TRUE,"Normal")</f>
        <v>Normal</v>
      </c>
      <c r="R11" s="4" t="str">
        <f>CONCATENATE(Table15678[[#This Row],[Customer ID]], "-",Table15678[[#This Row],[Age]])</f>
        <v>CUST010-52</v>
      </c>
      <c r="S11" s="4" t="str">
        <f>TEXT(Table15678[[#This Row],[Date]],"mmm")</f>
        <v>Oct</v>
      </c>
      <c r="T11" s="4" t="str">
        <f>TEXT(Table15678[[#This Row],[Date]],"DDD")</f>
        <v>Sat</v>
      </c>
    </row>
    <row r="12" spans="1:20" ht="29" x14ac:dyDescent="0.35">
      <c r="A12" s="4">
        <v>11</v>
      </c>
      <c r="B12" s="5">
        <v>44971</v>
      </c>
      <c r="C12" s="4" t="s">
        <v>24</v>
      </c>
      <c r="D12" s="4" t="s">
        <v>10</v>
      </c>
      <c r="E12" s="4">
        <v>23</v>
      </c>
      <c r="F12" s="4" t="str">
        <f>IF(Table15678[[#This Row],[Age]]&lt;=19,"Teenager",IF(Table15678[[#This Row],[Age]]&lt;=40,"Median","Old"))</f>
        <v>Median</v>
      </c>
      <c r="G12" s="4" t="s">
        <v>14</v>
      </c>
      <c r="H12" s="4">
        <v>2</v>
      </c>
      <c r="I12" s="4">
        <v>50</v>
      </c>
      <c r="J12" s="4">
        <v>100</v>
      </c>
      <c r="K12" s="4" t="str" cm="1">
        <f t="array" ref="K12">_xlfn.IFS(AND(Table15678[[#This Row],[Total Amount]]&gt;=1500),"Critical",AND(Table15678[[#This Row],[Total Amount]]&gt;=1000),"High",TRUE,"Normal")</f>
        <v>Normal</v>
      </c>
      <c r="L12" s="4" t="str">
        <f>IF(Table15678[[#This Row],[Total Amount]]&gt;=1000,"High",(IF(Table15678[[#This Row],[Total Amount]]&gt;=500,"Medium","Low")))</f>
        <v>Low</v>
      </c>
      <c r="M12" s="4" t="str" cm="1">
        <f t="array" ref="M1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12" s="4" cm="1">
        <f t="array" ref="N1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12" s="4">
        <f>Table15678[[#This Row],[Total Amount]]-Table15678[[#This Row],[Discount Amount]]</f>
        <v>100</v>
      </c>
      <c r="P12" s="4" t="str">
        <f>IF(Table15678[[#This Row],[Total Amount]]&gt;=1000,"High","Low")</f>
        <v>Low</v>
      </c>
      <c r="Q12" s="4" t="str" cm="1">
        <f t="array" ref="Q12">_xlfn.IFS(AND(Table15678[[#This Row],[Total Amount]]&gt;=1500,"Critical"),AND(Table15678[[#This Row],[Total Amount]]&gt;=1000,"High"),TRUE,"Normal")</f>
        <v>Normal</v>
      </c>
      <c r="R12" s="4" t="str">
        <f>CONCATENATE(Table15678[[#This Row],[Customer ID]], "-",Table15678[[#This Row],[Age]])</f>
        <v>CUST011-23</v>
      </c>
      <c r="S12" s="4" t="str">
        <f>TEXT(Table15678[[#This Row],[Date]],"mmm")</f>
        <v>Feb</v>
      </c>
      <c r="T12" s="4" t="str">
        <f>TEXT(Table15678[[#This Row],[Date]],"DDD")</f>
        <v>Tue</v>
      </c>
    </row>
    <row r="13" spans="1:20" ht="29" x14ac:dyDescent="0.35">
      <c r="A13" s="4">
        <v>12</v>
      </c>
      <c r="B13" s="5">
        <v>45229</v>
      </c>
      <c r="C13" s="4" t="s">
        <v>25</v>
      </c>
      <c r="D13" s="4" t="s">
        <v>10</v>
      </c>
      <c r="E13" s="4">
        <v>35</v>
      </c>
      <c r="F13" s="4" t="str">
        <f>IF(Table15678[[#This Row],[Age]]&lt;=19,"Teenager",IF(Table15678[[#This Row],[Age]]&lt;=40,"Median","Old"))</f>
        <v>Median</v>
      </c>
      <c r="G13" s="4" t="s">
        <v>11</v>
      </c>
      <c r="H13" s="4">
        <v>3</v>
      </c>
      <c r="I13" s="4">
        <v>25</v>
      </c>
      <c r="J13" s="4">
        <v>75</v>
      </c>
      <c r="K13" s="4" t="str" cm="1">
        <f t="array" ref="K13">_xlfn.IFS(AND(Table15678[[#This Row],[Total Amount]]&gt;=1500),"Critical",AND(Table15678[[#This Row],[Total Amount]]&gt;=1000),"High",TRUE,"Normal")</f>
        <v>Normal</v>
      </c>
      <c r="L13" s="4" t="str">
        <f>IF(Table15678[[#This Row],[Total Amount]]&gt;=1000,"High",(IF(Table15678[[#This Row],[Total Amount]]&gt;=500,"Medium","Low")))</f>
        <v>Low</v>
      </c>
      <c r="M13" s="4" t="str" cm="1">
        <f t="array" ref="M1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3" s="4" cm="1">
        <f t="array" ref="N1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13" s="4">
        <f>Table15678[[#This Row],[Total Amount]]-Table15678[[#This Row],[Discount Amount]]</f>
        <v>67.5</v>
      </c>
      <c r="P13" s="4" t="str">
        <f>IF(Table15678[[#This Row],[Total Amount]]&gt;=1000,"High","Low")</f>
        <v>Low</v>
      </c>
      <c r="Q13" s="4" t="str" cm="1">
        <f t="array" ref="Q13">_xlfn.IFS(AND(Table15678[[#This Row],[Total Amount]]&gt;=1500,"Critical"),AND(Table15678[[#This Row],[Total Amount]]&gt;=1000,"High"),TRUE,"Normal")</f>
        <v>Normal</v>
      </c>
      <c r="R13" s="4" t="str">
        <f>CONCATENATE(Table15678[[#This Row],[Customer ID]], "-",Table15678[[#This Row],[Age]])</f>
        <v>CUST012-35</v>
      </c>
      <c r="S13" s="4" t="str">
        <f>TEXT(Table15678[[#This Row],[Date]],"mmm")</f>
        <v>Oct</v>
      </c>
      <c r="T13" s="4" t="str">
        <f>TEXT(Table15678[[#This Row],[Date]],"DDD")</f>
        <v>Mon</v>
      </c>
    </row>
    <row r="14" spans="1:20" ht="29" x14ac:dyDescent="0.35">
      <c r="A14" s="4">
        <v>13</v>
      </c>
      <c r="B14" s="5">
        <v>45143</v>
      </c>
      <c r="C14" s="4" t="s">
        <v>26</v>
      </c>
      <c r="D14" s="4" t="s">
        <v>10</v>
      </c>
      <c r="E14" s="4">
        <v>22</v>
      </c>
      <c r="F14" s="4" t="str">
        <f>IF(Table15678[[#This Row],[Age]]&lt;=19,"Teenager",IF(Table15678[[#This Row],[Age]]&lt;=40,"Median","Old"))</f>
        <v>Median</v>
      </c>
      <c r="G14" s="4" t="s">
        <v>16</v>
      </c>
      <c r="H14" s="4">
        <v>3</v>
      </c>
      <c r="I14" s="4">
        <v>500</v>
      </c>
      <c r="J14" s="4">
        <v>1500</v>
      </c>
      <c r="K14" s="4" t="str" cm="1">
        <f t="array" ref="K14">_xlfn.IFS(AND(Table15678[[#This Row],[Total Amount]]&gt;=1500),"Critical",AND(Table15678[[#This Row],[Total Amount]]&gt;=1000),"High",TRUE,"Normal")</f>
        <v>Critical</v>
      </c>
      <c r="L14" s="4" t="str">
        <f>IF(Table15678[[#This Row],[Total Amount]]&gt;=1000,"High",(IF(Table15678[[#This Row],[Total Amount]]&gt;=500,"Medium","Low")))</f>
        <v>High</v>
      </c>
      <c r="M14" s="4" t="str" cm="1">
        <f t="array" ref="M1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14" s="4" cm="1">
        <f t="array" ref="N1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14" s="4">
        <f>Table15678[[#This Row],[Total Amount]]-Table15678[[#This Row],[Discount Amount]]</f>
        <v>1500</v>
      </c>
      <c r="P14" s="4" t="str">
        <f>IF(Table15678[[#This Row],[Total Amount]]&gt;=1000,"High","Low")</f>
        <v>High</v>
      </c>
      <c r="Q14" s="4" t="b" cm="1">
        <f t="array" ref="Q14">_xlfn.IFS(AND(Table15678[[#This Row],[Total Amount]]&gt;=1500,"Critical"),AND(Table15678[[#This Row],[Total Amount]]&gt;=1000,"High"),TRUE,"Normal")</f>
        <v>1</v>
      </c>
      <c r="R14" s="4" t="str">
        <f>CONCATENATE(Table15678[[#This Row],[Customer ID]], "-",Table15678[[#This Row],[Age]])</f>
        <v>CUST013-22</v>
      </c>
      <c r="S14" s="4" t="str">
        <f>TEXT(Table15678[[#This Row],[Date]],"mmm")</f>
        <v>Aug</v>
      </c>
      <c r="T14" s="4" t="str">
        <f>TEXT(Table15678[[#This Row],[Date]],"DDD")</f>
        <v>Sat</v>
      </c>
    </row>
    <row r="15" spans="1:20" ht="29" x14ac:dyDescent="0.35">
      <c r="A15" s="4">
        <v>14</v>
      </c>
      <c r="B15" s="5">
        <v>44943</v>
      </c>
      <c r="C15" s="4" t="s">
        <v>27</v>
      </c>
      <c r="D15" s="4" t="s">
        <v>10</v>
      </c>
      <c r="E15" s="4">
        <v>64</v>
      </c>
      <c r="F15" s="4" t="str">
        <f>IF(Table15678[[#This Row],[Age]]&lt;=19,"Teenager",IF(Table15678[[#This Row],[Age]]&lt;=40,"Median","Old"))</f>
        <v>Old</v>
      </c>
      <c r="G15" s="4" t="s">
        <v>14</v>
      </c>
      <c r="H15" s="4">
        <v>4</v>
      </c>
      <c r="I15" s="4">
        <v>30</v>
      </c>
      <c r="J15" s="4">
        <v>120</v>
      </c>
      <c r="K15" s="4" t="str" cm="1">
        <f t="array" ref="K15">_xlfn.IFS(AND(Table15678[[#This Row],[Total Amount]]&gt;=1500),"Critical",AND(Table15678[[#This Row],[Total Amount]]&gt;=1000),"High",TRUE,"Normal")</f>
        <v>Normal</v>
      </c>
      <c r="L15" s="4" t="str">
        <f>IF(Table15678[[#This Row],[Total Amount]]&gt;=1000,"High",(IF(Table15678[[#This Row],[Total Amount]]&gt;=500,"Medium","Low")))</f>
        <v>Low</v>
      </c>
      <c r="M15" s="4" t="str" cm="1">
        <f t="array" ref="M1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5" s="4" cm="1">
        <f t="array" ref="N1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15" s="4">
        <f>Table15678[[#This Row],[Total Amount]]-Table15678[[#This Row],[Discount Amount]]</f>
        <v>108</v>
      </c>
      <c r="P15" s="4" t="str">
        <f>IF(Table15678[[#This Row],[Total Amount]]&gt;=1000,"High","Low")</f>
        <v>Low</v>
      </c>
      <c r="Q15" s="4" t="str" cm="1">
        <f t="array" ref="Q15">_xlfn.IFS(AND(Table15678[[#This Row],[Total Amount]]&gt;=1500,"Critical"),AND(Table15678[[#This Row],[Total Amount]]&gt;=1000,"High"),TRUE,"Normal")</f>
        <v>Normal</v>
      </c>
      <c r="R15" s="4" t="str">
        <f>CONCATENATE(Table15678[[#This Row],[Customer ID]], "-",Table15678[[#This Row],[Age]])</f>
        <v>CUST014-64</v>
      </c>
      <c r="S15" s="4" t="str">
        <f>TEXT(Table15678[[#This Row],[Date]],"mmm")</f>
        <v>Jan</v>
      </c>
      <c r="T15" s="4" t="str">
        <f>TEXT(Table15678[[#This Row],[Date]],"DDD")</f>
        <v>Tue</v>
      </c>
    </row>
    <row r="16" spans="1:20" ht="29" x14ac:dyDescent="0.35">
      <c r="A16" s="4">
        <v>15</v>
      </c>
      <c r="B16" s="5">
        <v>44942</v>
      </c>
      <c r="C16" s="4" t="s">
        <v>28</v>
      </c>
      <c r="D16" s="4" t="s">
        <v>13</v>
      </c>
      <c r="E16" s="4">
        <v>42</v>
      </c>
      <c r="F16" s="4" t="str">
        <f>IF(Table15678[[#This Row],[Age]]&lt;=19,"Teenager",IF(Table15678[[#This Row],[Age]]&lt;=40,"Median","Old"))</f>
        <v>Old</v>
      </c>
      <c r="G16" s="4" t="s">
        <v>16</v>
      </c>
      <c r="H16" s="4">
        <v>4</v>
      </c>
      <c r="I16" s="4">
        <v>500</v>
      </c>
      <c r="J16" s="4">
        <v>2000</v>
      </c>
      <c r="K16" s="4" t="str" cm="1">
        <f t="array" ref="K16">_xlfn.IFS(AND(Table15678[[#This Row],[Total Amount]]&gt;=1500),"Critical",AND(Table15678[[#This Row],[Total Amount]]&gt;=1000),"High",TRUE,"Normal")</f>
        <v>Critical</v>
      </c>
      <c r="L16" s="4" t="str">
        <f>IF(Table15678[[#This Row],[Total Amount]]&gt;=1000,"High",(IF(Table15678[[#This Row],[Total Amount]]&gt;=500,"Medium","Low")))</f>
        <v>High</v>
      </c>
      <c r="M16" s="4" t="str" cm="1">
        <f t="array" ref="M1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6" s="4" cm="1">
        <f t="array" ref="N1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400</v>
      </c>
      <c r="O16" s="4">
        <f>Table15678[[#This Row],[Total Amount]]-Table15678[[#This Row],[Discount Amount]]</f>
        <v>1600</v>
      </c>
      <c r="P16" s="4" t="str">
        <f>IF(Table15678[[#This Row],[Total Amount]]&gt;=1000,"High","Low")</f>
        <v>High</v>
      </c>
      <c r="Q16" s="4" t="b" cm="1">
        <f t="array" ref="Q16">_xlfn.IFS(AND(Table15678[[#This Row],[Total Amount]]&gt;=1500,"Critical"),AND(Table15678[[#This Row],[Total Amount]]&gt;=1000,"High"),TRUE,"Normal")</f>
        <v>1</v>
      </c>
      <c r="R16" s="4" t="str">
        <f>CONCATENATE(Table15678[[#This Row],[Customer ID]], "-",Table15678[[#This Row],[Age]])</f>
        <v>CUST015-42</v>
      </c>
      <c r="S16" s="4" t="str">
        <f>TEXT(Table15678[[#This Row],[Date]],"mmm")</f>
        <v>Jan</v>
      </c>
      <c r="T16" s="4" t="str">
        <f>TEXT(Table15678[[#This Row],[Date]],"DDD")</f>
        <v>Mon</v>
      </c>
    </row>
    <row r="17" spans="1:20" ht="29" x14ac:dyDescent="0.35">
      <c r="A17" s="4">
        <v>16</v>
      </c>
      <c r="B17" s="5">
        <v>44974</v>
      </c>
      <c r="C17" s="4" t="s">
        <v>29</v>
      </c>
      <c r="D17" s="4" t="s">
        <v>10</v>
      </c>
      <c r="E17" s="4">
        <v>19</v>
      </c>
      <c r="F17" s="4" t="str">
        <f>IF(Table15678[[#This Row],[Age]]&lt;=19,"Teenager",IF(Table15678[[#This Row],[Age]]&lt;=40,"Median","Old"))</f>
        <v>Teenager</v>
      </c>
      <c r="G17" s="4" t="s">
        <v>14</v>
      </c>
      <c r="H17" s="4">
        <v>3</v>
      </c>
      <c r="I17" s="4">
        <v>500</v>
      </c>
      <c r="J17" s="4">
        <v>1500</v>
      </c>
      <c r="K17" s="4" t="str" cm="1">
        <f t="array" ref="K17">_xlfn.IFS(AND(Table15678[[#This Row],[Total Amount]]&gt;=1500),"Critical",AND(Table15678[[#This Row],[Total Amount]]&gt;=1000),"High",TRUE,"Normal")</f>
        <v>Critical</v>
      </c>
      <c r="L17" s="4" t="str">
        <f>IF(Table15678[[#This Row],[Total Amount]]&gt;=1000,"High",(IF(Table15678[[#This Row],[Total Amount]]&gt;=500,"Medium","Low")))</f>
        <v>High</v>
      </c>
      <c r="M17" s="4" t="str" cm="1">
        <f t="array" ref="M1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17" s="4" cm="1">
        <f t="array" ref="N1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17" s="4">
        <f>Table15678[[#This Row],[Total Amount]]-Table15678[[#This Row],[Discount Amount]]</f>
        <v>1500</v>
      </c>
      <c r="P17" s="4" t="str">
        <f>IF(Table15678[[#This Row],[Total Amount]]&gt;=1000,"High","Low")</f>
        <v>High</v>
      </c>
      <c r="Q17" s="4" t="b" cm="1">
        <f t="array" ref="Q17">_xlfn.IFS(AND(Table15678[[#This Row],[Total Amount]]&gt;=1500,"Critical"),AND(Table15678[[#This Row],[Total Amount]]&gt;=1000,"High"),TRUE,"Normal")</f>
        <v>1</v>
      </c>
      <c r="R17" s="4" t="str">
        <f>CONCATENATE(Table15678[[#This Row],[Customer ID]], "-",Table15678[[#This Row],[Age]])</f>
        <v>CUST016-19</v>
      </c>
      <c r="S17" s="4" t="str">
        <f>TEXT(Table15678[[#This Row],[Date]],"mmm")</f>
        <v>Feb</v>
      </c>
      <c r="T17" s="4" t="str">
        <f>TEXT(Table15678[[#This Row],[Date]],"DDD")</f>
        <v>Fri</v>
      </c>
    </row>
    <row r="18" spans="1:20" ht="29" x14ac:dyDescent="0.35">
      <c r="A18" s="4">
        <v>17</v>
      </c>
      <c r="B18" s="5">
        <v>45038</v>
      </c>
      <c r="C18" s="4" t="s">
        <v>30</v>
      </c>
      <c r="D18" s="4" t="s">
        <v>13</v>
      </c>
      <c r="E18" s="4">
        <v>27</v>
      </c>
      <c r="F18" s="4" t="str">
        <f>IF(Table15678[[#This Row],[Age]]&lt;=19,"Teenager",IF(Table15678[[#This Row],[Age]]&lt;=40,"Median","Old"))</f>
        <v>Median</v>
      </c>
      <c r="G18" s="4" t="s">
        <v>14</v>
      </c>
      <c r="H18" s="4">
        <v>4</v>
      </c>
      <c r="I18" s="4">
        <v>25</v>
      </c>
      <c r="J18" s="4">
        <v>100</v>
      </c>
      <c r="K18" s="4" t="str" cm="1">
        <f t="array" ref="K18">_xlfn.IFS(AND(Table15678[[#This Row],[Total Amount]]&gt;=1500),"Critical",AND(Table15678[[#This Row],[Total Amount]]&gt;=1000),"High",TRUE,"Normal")</f>
        <v>Normal</v>
      </c>
      <c r="L18" s="4" t="str">
        <f>IF(Table15678[[#This Row],[Total Amount]]&gt;=1000,"High",(IF(Table15678[[#This Row],[Total Amount]]&gt;=500,"Medium","Low")))</f>
        <v>Low</v>
      </c>
      <c r="M18" s="4" t="str" cm="1">
        <f t="array" ref="M1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8" s="4" cm="1">
        <f t="array" ref="N1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18" s="4">
        <f>Table15678[[#This Row],[Total Amount]]-Table15678[[#This Row],[Discount Amount]]</f>
        <v>85</v>
      </c>
      <c r="P18" s="4" t="str">
        <f>IF(Table15678[[#This Row],[Total Amount]]&gt;=1000,"High","Low")</f>
        <v>Low</v>
      </c>
      <c r="Q18" s="4" t="str" cm="1">
        <f t="array" ref="Q18">_xlfn.IFS(AND(Table15678[[#This Row],[Total Amount]]&gt;=1500,"Critical"),AND(Table15678[[#This Row],[Total Amount]]&gt;=1000,"High"),TRUE,"Normal")</f>
        <v>Normal</v>
      </c>
      <c r="R18" s="4" t="str">
        <f>CONCATENATE(Table15678[[#This Row],[Customer ID]], "-",Table15678[[#This Row],[Age]])</f>
        <v>CUST017-27</v>
      </c>
      <c r="S18" s="4" t="str">
        <f>TEXT(Table15678[[#This Row],[Date]],"mmm")</f>
        <v>Apr</v>
      </c>
      <c r="T18" s="4" t="str">
        <f>TEXT(Table15678[[#This Row],[Date]],"DDD")</f>
        <v>Sat</v>
      </c>
    </row>
    <row r="19" spans="1:20" ht="29" x14ac:dyDescent="0.35">
      <c r="A19" s="4">
        <v>18</v>
      </c>
      <c r="B19" s="5">
        <v>45046</v>
      </c>
      <c r="C19" s="4" t="s">
        <v>31</v>
      </c>
      <c r="D19" s="4" t="s">
        <v>13</v>
      </c>
      <c r="E19" s="4">
        <v>47</v>
      </c>
      <c r="F19" s="4" t="str">
        <f>IF(Table15678[[#This Row],[Age]]&lt;=19,"Teenager",IF(Table15678[[#This Row],[Age]]&lt;=40,"Median","Old"))</f>
        <v>Old</v>
      </c>
      <c r="G19" s="4" t="s">
        <v>16</v>
      </c>
      <c r="H19" s="4">
        <v>2</v>
      </c>
      <c r="I19" s="4">
        <v>25</v>
      </c>
      <c r="J19" s="4">
        <v>50</v>
      </c>
      <c r="K19" s="4" t="str" cm="1">
        <f t="array" ref="K19">_xlfn.IFS(AND(Table15678[[#This Row],[Total Amount]]&gt;=1500),"Critical",AND(Table15678[[#This Row],[Total Amount]]&gt;=1000),"High",TRUE,"Normal")</f>
        <v>Normal</v>
      </c>
      <c r="L19" s="4" t="str">
        <f>IF(Table15678[[#This Row],[Total Amount]]&gt;=1000,"High",(IF(Table15678[[#This Row],[Total Amount]]&gt;=500,"Medium","Low")))</f>
        <v>Low</v>
      </c>
      <c r="M19" s="4" t="str" cm="1">
        <f t="array" ref="M1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9" s="4" cm="1">
        <f t="array" ref="N1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19" s="4">
        <f>Table15678[[#This Row],[Total Amount]]-Table15678[[#This Row],[Discount Amount]]</f>
        <v>40</v>
      </c>
      <c r="P19" s="4" t="str">
        <f>IF(Table15678[[#This Row],[Total Amount]]&gt;=1000,"High","Low")</f>
        <v>Low</v>
      </c>
      <c r="Q19" s="4" t="str" cm="1">
        <f t="array" ref="Q19">_xlfn.IFS(AND(Table15678[[#This Row],[Total Amount]]&gt;=1500,"Critical"),AND(Table15678[[#This Row],[Total Amount]]&gt;=1000,"High"),TRUE,"Normal")</f>
        <v>Normal</v>
      </c>
      <c r="R19" s="4" t="str">
        <f>CONCATENATE(Table15678[[#This Row],[Customer ID]], "-",Table15678[[#This Row],[Age]])</f>
        <v>CUST018-47</v>
      </c>
      <c r="S19" s="4" t="str">
        <f>TEXT(Table15678[[#This Row],[Date]],"mmm")</f>
        <v>Apr</v>
      </c>
      <c r="T19" s="4" t="str">
        <f>TEXT(Table15678[[#This Row],[Date]],"DDD")</f>
        <v>Sun</v>
      </c>
    </row>
    <row r="20" spans="1:20" ht="29" x14ac:dyDescent="0.35">
      <c r="A20" s="4">
        <v>19</v>
      </c>
      <c r="B20" s="5">
        <v>45185</v>
      </c>
      <c r="C20" s="4" t="s">
        <v>32</v>
      </c>
      <c r="D20" s="4" t="s">
        <v>13</v>
      </c>
      <c r="E20" s="4">
        <v>62</v>
      </c>
      <c r="F20" s="4" t="str">
        <f>IF(Table15678[[#This Row],[Age]]&lt;=19,"Teenager",IF(Table15678[[#This Row],[Age]]&lt;=40,"Median","Old"))</f>
        <v>Old</v>
      </c>
      <c r="G20" s="4" t="s">
        <v>14</v>
      </c>
      <c r="H20" s="4">
        <v>2</v>
      </c>
      <c r="I20" s="4">
        <v>25</v>
      </c>
      <c r="J20" s="4">
        <v>50</v>
      </c>
      <c r="K20" s="4" t="str" cm="1">
        <f t="array" ref="K20">_xlfn.IFS(AND(Table15678[[#This Row],[Total Amount]]&gt;=1500),"Critical",AND(Table15678[[#This Row],[Total Amount]]&gt;=1000),"High",TRUE,"Normal")</f>
        <v>Normal</v>
      </c>
      <c r="L20" s="4" t="str">
        <f>IF(Table15678[[#This Row],[Total Amount]]&gt;=1000,"High",(IF(Table15678[[#This Row],[Total Amount]]&gt;=500,"Medium","Low")))</f>
        <v>Low</v>
      </c>
      <c r="M20" s="4" t="str" cm="1">
        <f t="array" ref="M2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0" s="4" cm="1">
        <f t="array" ref="N2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20" s="4">
        <f>Table15678[[#This Row],[Total Amount]]-Table15678[[#This Row],[Discount Amount]]</f>
        <v>40</v>
      </c>
      <c r="P20" s="4" t="str">
        <f>IF(Table15678[[#This Row],[Total Amount]]&gt;=1000,"High","Low")</f>
        <v>Low</v>
      </c>
      <c r="Q20" s="4" t="str" cm="1">
        <f t="array" ref="Q20">_xlfn.IFS(AND(Table15678[[#This Row],[Total Amount]]&gt;=1500,"Critical"),AND(Table15678[[#This Row],[Total Amount]]&gt;=1000,"High"),TRUE,"Normal")</f>
        <v>Normal</v>
      </c>
      <c r="R20" s="4" t="str">
        <f>CONCATENATE(Table15678[[#This Row],[Customer ID]], "-",Table15678[[#This Row],[Age]])</f>
        <v>CUST019-62</v>
      </c>
      <c r="S20" s="4" t="str">
        <f>TEXT(Table15678[[#This Row],[Date]],"mmm")</f>
        <v>Sep</v>
      </c>
      <c r="T20" s="4" t="str">
        <f>TEXT(Table15678[[#This Row],[Date]],"DDD")</f>
        <v>Sat</v>
      </c>
    </row>
    <row r="21" spans="1:20" ht="29" x14ac:dyDescent="0.35">
      <c r="A21" s="4">
        <v>20</v>
      </c>
      <c r="B21" s="5">
        <v>45235</v>
      </c>
      <c r="C21" s="4" t="s">
        <v>33</v>
      </c>
      <c r="D21" s="4" t="s">
        <v>10</v>
      </c>
      <c r="E21" s="4">
        <v>22</v>
      </c>
      <c r="F21" s="4" t="str">
        <f>IF(Table15678[[#This Row],[Age]]&lt;=19,"Teenager",IF(Table15678[[#This Row],[Age]]&lt;=40,"Median","Old"))</f>
        <v>Median</v>
      </c>
      <c r="G21" s="4" t="s">
        <v>14</v>
      </c>
      <c r="H21" s="4">
        <v>3</v>
      </c>
      <c r="I21" s="4">
        <v>300</v>
      </c>
      <c r="J21" s="4">
        <v>900</v>
      </c>
      <c r="K21" s="4" t="str" cm="1">
        <f t="array" ref="K21">_xlfn.IFS(AND(Table15678[[#This Row],[Total Amount]]&gt;=1500),"Critical",AND(Table15678[[#This Row],[Total Amount]]&gt;=1000),"High",TRUE,"Normal")</f>
        <v>Normal</v>
      </c>
      <c r="L21" s="4" t="str">
        <f>IF(Table15678[[#This Row],[Total Amount]]&gt;=1000,"High",(IF(Table15678[[#This Row],[Total Amount]]&gt;=500,"Medium","Low")))</f>
        <v>Medium</v>
      </c>
      <c r="M21" s="4" t="str" cm="1">
        <f t="array" ref="M2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21" s="4" cm="1">
        <f t="array" ref="N2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21" s="4">
        <f>Table15678[[#This Row],[Total Amount]]-Table15678[[#This Row],[Discount Amount]]</f>
        <v>900</v>
      </c>
      <c r="P21" s="4" t="str">
        <f>IF(Table15678[[#This Row],[Total Amount]]&gt;=1000,"High","Low")</f>
        <v>Low</v>
      </c>
      <c r="Q21" s="4" t="str" cm="1">
        <f t="array" ref="Q21">_xlfn.IFS(AND(Table15678[[#This Row],[Total Amount]]&gt;=1500,"Critical"),AND(Table15678[[#This Row],[Total Amount]]&gt;=1000,"High"),TRUE,"Normal")</f>
        <v>Normal</v>
      </c>
      <c r="R21" s="4" t="str">
        <f>CONCATENATE(Table15678[[#This Row],[Customer ID]], "-",Table15678[[#This Row],[Age]])</f>
        <v>CUST020-22</v>
      </c>
      <c r="S21" s="4" t="str">
        <f>TEXT(Table15678[[#This Row],[Date]],"mmm")</f>
        <v>Nov</v>
      </c>
      <c r="T21" s="4" t="str">
        <f>TEXT(Table15678[[#This Row],[Date]],"DDD")</f>
        <v>Sun</v>
      </c>
    </row>
    <row r="22" spans="1:20" ht="29" x14ac:dyDescent="0.35">
      <c r="A22" s="4">
        <v>21</v>
      </c>
      <c r="B22" s="5">
        <v>44940</v>
      </c>
      <c r="C22" s="4" t="s">
        <v>34</v>
      </c>
      <c r="D22" s="4" t="s">
        <v>13</v>
      </c>
      <c r="E22" s="4">
        <v>50</v>
      </c>
      <c r="F22" s="4" t="str">
        <f>IF(Table15678[[#This Row],[Age]]&lt;=19,"Teenager",IF(Table15678[[#This Row],[Age]]&lt;=40,"Median","Old"))</f>
        <v>Old</v>
      </c>
      <c r="G22" s="4" t="s">
        <v>11</v>
      </c>
      <c r="H22" s="4">
        <v>1</v>
      </c>
      <c r="I22" s="4">
        <v>500</v>
      </c>
      <c r="J22" s="4">
        <v>500</v>
      </c>
      <c r="K22" s="4" t="str" cm="1">
        <f t="array" ref="K22">_xlfn.IFS(AND(Table15678[[#This Row],[Total Amount]]&gt;=1500),"Critical",AND(Table15678[[#This Row],[Total Amount]]&gt;=1000),"High",TRUE,"Normal")</f>
        <v>Normal</v>
      </c>
      <c r="L22" s="4" t="str">
        <f>IF(Table15678[[#This Row],[Total Amount]]&gt;=1000,"High",(IF(Table15678[[#This Row],[Total Amount]]&gt;=500,"Medium","Low")))</f>
        <v>Medium</v>
      </c>
      <c r="M22" s="4" t="str" cm="1">
        <f t="array" ref="M2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2" s="4" cm="1">
        <f t="array" ref="N2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22" s="4">
        <f>Table15678[[#This Row],[Total Amount]]-Table15678[[#This Row],[Discount Amount]]</f>
        <v>400</v>
      </c>
      <c r="P22" s="4" t="str">
        <f>IF(Table15678[[#This Row],[Total Amount]]&gt;=1000,"High","Low")</f>
        <v>Low</v>
      </c>
      <c r="Q22" s="4" t="str" cm="1">
        <f t="array" ref="Q22">_xlfn.IFS(AND(Table15678[[#This Row],[Total Amount]]&gt;=1500,"Critical"),AND(Table15678[[#This Row],[Total Amount]]&gt;=1000,"High"),TRUE,"Normal")</f>
        <v>Normal</v>
      </c>
      <c r="R22" s="4" t="str">
        <f>CONCATENATE(Table15678[[#This Row],[Customer ID]], "-",Table15678[[#This Row],[Age]])</f>
        <v>CUST021-50</v>
      </c>
      <c r="S22" s="4" t="str">
        <f>TEXT(Table15678[[#This Row],[Date]],"mmm")</f>
        <v>Jan</v>
      </c>
      <c r="T22" s="4" t="str">
        <f>TEXT(Table15678[[#This Row],[Date]],"DDD")</f>
        <v>Sat</v>
      </c>
    </row>
    <row r="23" spans="1:20" ht="29" x14ac:dyDescent="0.35">
      <c r="A23" s="4">
        <v>22</v>
      </c>
      <c r="B23" s="5">
        <v>45214</v>
      </c>
      <c r="C23" s="4" t="s">
        <v>35</v>
      </c>
      <c r="D23" s="4" t="s">
        <v>10</v>
      </c>
      <c r="E23" s="4">
        <v>18</v>
      </c>
      <c r="F23" s="4" t="str">
        <f>IF(Table15678[[#This Row],[Age]]&lt;=19,"Teenager",IF(Table15678[[#This Row],[Age]]&lt;=40,"Median","Old"))</f>
        <v>Teenager</v>
      </c>
      <c r="G23" s="4" t="s">
        <v>14</v>
      </c>
      <c r="H23" s="4">
        <v>2</v>
      </c>
      <c r="I23" s="4">
        <v>50</v>
      </c>
      <c r="J23" s="4">
        <v>100</v>
      </c>
      <c r="K23" s="4" t="str" cm="1">
        <f t="array" ref="K23">_xlfn.IFS(AND(Table15678[[#This Row],[Total Amount]]&gt;=1500),"Critical",AND(Table15678[[#This Row],[Total Amount]]&gt;=1000),"High",TRUE,"Normal")</f>
        <v>Normal</v>
      </c>
      <c r="L23" s="4" t="str">
        <f>IF(Table15678[[#This Row],[Total Amount]]&gt;=1000,"High",(IF(Table15678[[#This Row],[Total Amount]]&gt;=500,"Medium","Low")))</f>
        <v>Low</v>
      </c>
      <c r="M23" s="4" t="str" cm="1">
        <f t="array" ref="M2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23" s="4" cm="1">
        <f t="array" ref="N2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23" s="4">
        <f>Table15678[[#This Row],[Total Amount]]-Table15678[[#This Row],[Discount Amount]]</f>
        <v>100</v>
      </c>
      <c r="P23" s="4" t="str">
        <f>IF(Table15678[[#This Row],[Total Amount]]&gt;=1000,"High","Low")</f>
        <v>Low</v>
      </c>
      <c r="Q23" s="4" t="str" cm="1">
        <f t="array" ref="Q23">_xlfn.IFS(AND(Table15678[[#This Row],[Total Amount]]&gt;=1500,"Critical"),AND(Table15678[[#This Row],[Total Amount]]&gt;=1000,"High"),TRUE,"Normal")</f>
        <v>Normal</v>
      </c>
      <c r="R23" s="4" t="str">
        <f>CONCATENATE(Table15678[[#This Row],[Customer ID]], "-",Table15678[[#This Row],[Age]])</f>
        <v>CUST022-18</v>
      </c>
      <c r="S23" s="4" t="str">
        <f>TEXT(Table15678[[#This Row],[Date]],"mmm")</f>
        <v>Oct</v>
      </c>
      <c r="T23" s="4" t="str">
        <f>TEXT(Table15678[[#This Row],[Date]],"DDD")</f>
        <v>Sun</v>
      </c>
    </row>
    <row r="24" spans="1:20" ht="29" x14ac:dyDescent="0.35">
      <c r="A24" s="4">
        <v>23</v>
      </c>
      <c r="B24" s="5">
        <v>45028</v>
      </c>
      <c r="C24" s="4" t="s">
        <v>36</v>
      </c>
      <c r="D24" s="4" t="s">
        <v>13</v>
      </c>
      <c r="E24" s="4">
        <v>35</v>
      </c>
      <c r="F24" s="4" t="str">
        <f>IF(Table15678[[#This Row],[Age]]&lt;=19,"Teenager",IF(Table15678[[#This Row],[Age]]&lt;=40,"Median","Old"))</f>
        <v>Median</v>
      </c>
      <c r="G24" s="4" t="s">
        <v>14</v>
      </c>
      <c r="H24" s="4">
        <v>4</v>
      </c>
      <c r="I24" s="4">
        <v>30</v>
      </c>
      <c r="J24" s="4">
        <v>120</v>
      </c>
      <c r="K24" s="4" t="str" cm="1">
        <f t="array" ref="K24">_xlfn.IFS(AND(Table15678[[#This Row],[Total Amount]]&gt;=1500),"Critical",AND(Table15678[[#This Row],[Total Amount]]&gt;=1000),"High",TRUE,"Normal")</f>
        <v>Normal</v>
      </c>
      <c r="L24" s="4" t="str">
        <f>IF(Table15678[[#This Row],[Total Amount]]&gt;=1000,"High",(IF(Table15678[[#This Row],[Total Amount]]&gt;=500,"Medium","Low")))</f>
        <v>Low</v>
      </c>
      <c r="M24" s="4" t="str" cm="1">
        <f t="array" ref="M2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4" s="4" cm="1">
        <f t="array" ref="N2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</v>
      </c>
      <c r="O24" s="4">
        <f>Table15678[[#This Row],[Total Amount]]-Table15678[[#This Row],[Discount Amount]]</f>
        <v>96</v>
      </c>
      <c r="P24" s="4" t="str">
        <f>IF(Table15678[[#This Row],[Total Amount]]&gt;=1000,"High","Low")</f>
        <v>Low</v>
      </c>
      <c r="Q24" s="4" t="str" cm="1">
        <f t="array" ref="Q24">_xlfn.IFS(AND(Table15678[[#This Row],[Total Amount]]&gt;=1500,"Critical"),AND(Table15678[[#This Row],[Total Amount]]&gt;=1000,"High"),TRUE,"Normal")</f>
        <v>Normal</v>
      </c>
      <c r="R24" s="4" t="str">
        <f>CONCATENATE(Table15678[[#This Row],[Customer ID]], "-",Table15678[[#This Row],[Age]])</f>
        <v>CUST023-35</v>
      </c>
      <c r="S24" s="4" t="str">
        <f>TEXT(Table15678[[#This Row],[Date]],"mmm")</f>
        <v>Apr</v>
      </c>
      <c r="T24" s="4" t="str">
        <f>TEXT(Table15678[[#This Row],[Date]],"DDD")</f>
        <v>Wed</v>
      </c>
    </row>
    <row r="25" spans="1:20" ht="29" x14ac:dyDescent="0.35">
      <c r="A25" s="4">
        <v>24</v>
      </c>
      <c r="B25" s="5">
        <v>45259</v>
      </c>
      <c r="C25" s="4" t="s">
        <v>37</v>
      </c>
      <c r="D25" s="4" t="s">
        <v>13</v>
      </c>
      <c r="E25" s="4">
        <v>49</v>
      </c>
      <c r="F25" s="4" t="str">
        <f>IF(Table15678[[#This Row],[Age]]&lt;=19,"Teenager",IF(Table15678[[#This Row],[Age]]&lt;=40,"Median","Old"))</f>
        <v>Old</v>
      </c>
      <c r="G25" s="4" t="s">
        <v>14</v>
      </c>
      <c r="H25" s="4">
        <v>1</v>
      </c>
      <c r="I25" s="4">
        <v>300</v>
      </c>
      <c r="J25" s="4">
        <v>300</v>
      </c>
      <c r="K25" s="4" t="str" cm="1">
        <f t="array" ref="K25">_xlfn.IFS(AND(Table15678[[#This Row],[Total Amount]]&gt;=1500),"Critical",AND(Table15678[[#This Row],[Total Amount]]&gt;=1000),"High",TRUE,"Normal")</f>
        <v>Normal</v>
      </c>
      <c r="L25" s="4" t="str">
        <f>IF(Table15678[[#This Row],[Total Amount]]&gt;=1000,"High",(IF(Table15678[[#This Row],[Total Amount]]&gt;=500,"Medium","Low")))</f>
        <v>Low</v>
      </c>
      <c r="M25" s="4" t="str" cm="1">
        <f t="array" ref="M2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5" s="4" cm="1">
        <f t="array" ref="N2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25" s="4">
        <f>Table15678[[#This Row],[Total Amount]]-Table15678[[#This Row],[Discount Amount]]</f>
        <v>240</v>
      </c>
      <c r="P25" s="4" t="str">
        <f>IF(Table15678[[#This Row],[Total Amount]]&gt;=1000,"High","Low")</f>
        <v>Low</v>
      </c>
      <c r="Q25" s="4" t="str" cm="1">
        <f t="array" ref="Q25">_xlfn.IFS(AND(Table15678[[#This Row],[Total Amount]]&gt;=1500,"Critical"),AND(Table15678[[#This Row],[Total Amount]]&gt;=1000,"High"),TRUE,"Normal")</f>
        <v>Normal</v>
      </c>
      <c r="R25" s="4" t="str">
        <f>CONCATENATE(Table15678[[#This Row],[Customer ID]], "-",Table15678[[#This Row],[Age]])</f>
        <v>CUST024-49</v>
      </c>
      <c r="S25" s="4" t="str">
        <f>TEXT(Table15678[[#This Row],[Date]],"mmm")</f>
        <v>Nov</v>
      </c>
      <c r="T25" s="4" t="str">
        <f>TEXT(Table15678[[#This Row],[Date]],"DDD")</f>
        <v>Wed</v>
      </c>
    </row>
    <row r="26" spans="1:20" ht="29" x14ac:dyDescent="0.35">
      <c r="A26" s="4">
        <v>25</v>
      </c>
      <c r="B26" s="5">
        <v>45286</v>
      </c>
      <c r="C26" s="4" t="s">
        <v>38</v>
      </c>
      <c r="D26" s="4" t="s">
        <v>13</v>
      </c>
      <c r="E26" s="4">
        <v>64</v>
      </c>
      <c r="F26" s="4" t="str">
        <f>IF(Table15678[[#This Row],[Age]]&lt;=19,"Teenager",IF(Table15678[[#This Row],[Age]]&lt;=40,"Median","Old"))</f>
        <v>Old</v>
      </c>
      <c r="G26" s="4" t="s">
        <v>11</v>
      </c>
      <c r="H26" s="4">
        <v>1</v>
      </c>
      <c r="I26" s="4">
        <v>50</v>
      </c>
      <c r="J26" s="4">
        <v>50</v>
      </c>
      <c r="K26" s="4" t="str" cm="1">
        <f t="array" ref="K26">_xlfn.IFS(AND(Table15678[[#This Row],[Total Amount]]&gt;=1500),"Critical",AND(Table15678[[#This Row],[Total Amount]]&gt;=1000),"High",TRUE,"Normal")</f>
        <v>Normal</v>
      </c>
      <c r="L26" s="4" t="str">
        <f>IF(Table15678[[#This Row],[Total Amount]]&gt;=1000,"High",(IF(Table15678[[#This Row],[Total Amount]]&gt;=500,"Medium","Low")))</f>
        <v>Low</v>
      </c>
      <c r="M26" s="4" t="str" cm="1">
        <f t="array" ref="M2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6" s="4" cm="1">
        <f t="array" ref="N2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26" s="4">
        <f>Table15678[[#This Row],[Total Amount]]-Table15678[[#This Row],[Discount Amount]]</f>
        <v>40</v>
      </c>
      <c r="P26" s="4" t="str">
        <f>IF(Table15678[[#This Row],[Total Amount]]&gt;=1000,"High","Low")</f>
        <v>Low</v>
      </c>
      <c r="Q26" s="4" t="str" cm="1">
        <f t="array" ref="Q26">_xlfn.IFS(AND(Table15678[[#This Row],[Total Amount]]&gt;=1500,"Critical"),AND(Table15678[[#This Row],[Total Amount]]&gt;=1000,"High"),TRUE,"Normal")</f>
        <v>Normal</v>
      </c>
      <c r="R26" s="4" t="str">
        <f>CONCATENATE(Table15678[[#This Row],[Customer ID]], "-",Table15678[[#This Row],[Age]])</f>
        <v>CUST025-64</v>
      </c>
      <c r="S26" s="4" t="str">
        <f>TEXT(Table15678[[#This Row],[Date]],"mmm")</f>
        <v>Dec</v>
      </c>
      <c r="T26" s="4" t="str">
        <f>TEXT(Table15678[[#This Row],[Date]],"DDD")</f>
        <v>Tue</v>
      </c>
    </row>
    <row r="27" spans="1:20" ht="29" x14ac:dyDescent="0.35">
      <c r="A27" s="4">
        <v>26</v>
      </c>
      <c r="B27" s="5">
        <v>45206</v>
      </c>
      <c r="C27" s="4" t="s">
        <v>39</v>
      </c>
      <c r="D27" s="4" t="s">
        <v>13</v>
      </c>
      <c r="E27" s="4">
        <v>28</v>
      </c>
      <c r="F27" s="4" t="str">
        <f>IF(Table15678[[#This Row],[Age]]&lt;=19,"Teenager",IF(Table15678[[#This Row],[Age]]&lt;=40,"Median","Old"))</f>
        <v>Median</v>
      </c>
      <c r="G27" s="4" t="s">
        <v>16</v>
      </c>
      <c r="H27" s="4">
        <v>2</v>
      </c>
      <c r="I27" s="4">
        <v>500</v>
      </c>
      <c r="J27" s="4">
        <v>1000</v>
      </c>
      <c r="K27" s="4" t="str" cm="1">
        <f t="array" ref="K27">_xlfn.IFS(AND(Table15678[[#This Row],[Total Amount]]&gt;=1500),"Critical",AND(Table15678[[#This Row],[Total Amount]]&gt;=1000),"High",TRUE,"Normal")</f>
        <v>High</v>
      </c>
      <c r="L27" s="4" t="str">
        <f>IF(Table15678[[#This Row],[Total Amount]]&gt;=1000,"High",(IF(Table15678[[#This Row],[Total Amount]]&gt;=500,"Medium","Low")))</f>
        <v>High</v>
      </c>
      <c r="M27" s="4" t="str" cm="1">
        <f t="array" ref="M2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7" s="4" cm="1">
        <f t="array" ref="N2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150</v>
      </c>
      <c r="O27" s="4">
        <f>Table15678[[#This Row],[Total Amount]]-Table15678[[#This Row],[Discount Amount]]</f>
        <v>850</v>
      </c>
      <c r="P27" s="4" t="str">
        <f>IF(Table15678[[#This Row],[Total Amount]]&gt;=1000,"High","Low")</f>
        <v>High</v>
      </c>
      <c r="Q27" s="4" t="str" cm="1">
        <f t="array" ref="Q27">_xlfn.IFS(AND(Table15678[[#This Row],[Total Amount]]&gt;=1500,"Critical"),AND(Table15678[[#This Row],[Total Amount]]&gt;=1000,"High"),TRUE,"Normal")</f>
        <v>Normal</v>
      </c>
      <c r="R27" s="4" t="str">
        <f>CONCATENATE(Table15678[[#This Row],[Customer ID]], "-",Table15678[[#This Row],[Age]])</f>
        <v>CUST026-28</v>
      </c>
      <c r="S27" s="4" t="str">
        <f>TEXT(Table15678[[#This Row],[Date]],"mmm")</f>
        <v>Oct</v>
      </c>
      <c r="T27" s="4" t="str">
        <f>TEXT(Table15678[[#This Row],[Date]],"DDD")</f>
        <v>Sat</v>
      </c>
    </row>
    <row r="28" spans="1:20" ht="29" x14ac:dyDescent="0.35">
      <c r="A28" s="4">
        <v>27</v>
      </c>
      <c r="B28" s="5">
        <v>45141</v>
      </c>
      <c r="C28" s="4" t="s">
        <v>40</v>
      </c>
      <c r="D28" s="4" t="s">
        <v>13</v>
      </c>
      <c r="E28" s="4">
        <v>38</v>
      </c>
      <c r="F28" s="4" t="str">
        <f>IF(Table15678[[#This Row],[Age]]&lt;=19,"Teenager",IF(Table15678[[#This Row],[Age]]&lt;=40,"Median","Old"))</f>
        <v>Median</v>
      </c>
      <c r="G28" s="4" t="s">
        <v>11</v>
      </c>
      <c r="H28" s="4">
        <v>2</v>
      </c>
      <c r="I28" s="4">
        <v>25</v>
      </c>
      <c r="J28" s="4">
        <v>50</v>
      </c>
      <c r="K28" s="4" t="str" cm="1">
        <f t="array" ref="K28">_xlfn.IFS(AND(Table15678[[#This Row],[Total Amount]]&gt;=1500),"Critical",AND(Table15678[[#This Row],[Total Amount]]&gt;=1000),"High",TRUE,"Normal")</f>
        <v>Normal</v>
      </c>
      <c r="L28" s="4" t="str">
        <f>IF(Table15678[[#This Row],[Total Amount]]&gt;=1000,"High",(IF(Table15678[[#This Row],[Total Amount]]&gt;=500,"Medium","Low")))</f>
        <v>Low</v>
      </c>
      <c r="M28" s="4" t="str" cm="1">
        <f t="array" ref="M2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8" s="4" cm="1">
        <f t="array" ref="N2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28" s="4">
        <f>Table15678[[#This Row],[Total Amount]]-Table15678[[#This Row],[Discount Amount]]</f>
        <v>40</v>
      </c>
      <c r="P28" s="4" t="str">
        <f>IF(Table15678[[#This Row],[Total Amount]]&gt;=1000,"High","Low")</f>
        <v>Low</v>
      </c>
      <c r="Q28" s="4" t="str" cm="1">
        <f t="array" ref="Q28">_xlfn.IFS(AND(Table15678[[#This Row],[Total Amount]]&gt;=1500,"Critical"),AND(Table15678[[#This Row],[Total Amount]]&gt;=1000,"High"),TRUE,"Normal")</f>
        <v>Normal</v>
      </c>
      <c r="R28" s="4" t="str">
        <f>CONCATENATE(Table15678[[#This Row],[Customer ID]], "-",Table15678[[#This Row],[Age]])</f>
        <v>CUST027-38</v>
      </c>
      <c r="S28" s="4" t="str">
        <f>TEXT(Table15678[[#This Row],[Date]],"mmm")</f>
        <v>Aug</v>
      </c>
      <c r="T28" s="4" t="str">
        <f>TEXT(Table15678[[#This Row],[Date]],"DDD")</f>
        <v>Thu</v>
      </c>
    </row>
    <row r="29" spans="1:20" ht="29" x14ac:dyDescent="0.35">
      <c r="A29" s="4">
        <v>28</v>
      </c>
      <c r="B29" s="5">
        <v>45039</v>
      </c>
      <c r="C29" s="4" t="s">
        <v>41</v>
      </c>
      <c r="D29" s="4" t="s">
        <v>13</v>
      </c>
      <c r="E29" s="4">
        <v>43</v>
      </c>
      <c r="F29" s="4" t="str">
        <f>IF(Table15678[[#This Row],[Age]]&lt;=19,"Teenager",IF(Table15678[[#This Row],[Age]]&lt;=40,"Median","Old"))</f>
        <v>Old</v>
      </c>
      <c r="G29" s="4" t="s">
        <v>11</v>
      </c>
      <c r="H29" s="4">
        <v>1</v>
      </c>
      <c r="I29" s="4">
        <v>500</v>
      </c>
      <c r="J29" s="4">
        <v>500</v>
      </c>
      <c r="K29" s="4" t="str" cm="1">
        <f t="array" ref="K29">_xlfn.IFS(AND(Table15678[[#This Row],[Total Amount]]&gt;=1500),"Critical",AND(Table15678[[#This Row],[Total Amount]]&gt;=1000),"High",TRUE,"Normal")</f>
        <v>Normal</v>
      </c>
      <c r="L29" s="4" t="str">
        <f>IF(Table15678[[#This Row],[Total Amount]]&gt;=1000,"High",(IF(Table15678[[#This Row],[Total Amount]]&gt;=500,"Medium","Low")))</f>
        <v>Medium</v>
      </c>
      <c r="M29" s="4" t="str" cm="1">
        <f t="array" ref="M2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9" s="4" cm="1">
        <f t="array" ref="N2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29" s="4">
        <f>Table15678[[#This Row],[Total Amount]]-Table15678[[#This Row],[Discount Amount]]</f>
        <v>400</v>
      </c>
      <c r="P29" s="4" t="str">
        <f>IF(Table15678[[#This Row],[Total Amount]]&gt;=1000,"High","Low")</f>
        <v>Low</v>
      </c>
      <c r="Q29" s="4" t="str" cm="1">
        <f t="array" ref="Q29">_xlfn.IFS(AND(Table15678[[#This Row],[Total Amount]]&gt;=1500,"Critical"),AND(Table15678[[#This Row],[Total Amount]]&gt;=1000,"High"),TRUE,"Normal")</f>
        <v>Normal</v>
      </c>
      <c r="R29" s="4" t="str">
        <f>CONCATENATE(Table15678[[#This Row],[Customer ID]], "-",Table15678[[#This Row],[Age]])</f>
        <v>CUST028-43</v>
      </c>
      <c r="S29" s="4" t="str">
        <f>TEXT(Table15678[[#This Row],[Date]],"mmm")</f>
        <v>Apr</v>
      </c>
      <c r="T29" s="4" t="str">
        <f>TEXT(Table15678[[#This Row],[Date]],"DDD")</f>
        <v>Sun</v>
      </c>
    </row>
    <row r="30" spans="1:20" ht="29" x14ac:dyDescent="0.35">
      <c r="A30" s="4">
        <v>29</v>
      </c>
      <c r="B30" s="5">
        <v>45156</v>
      </c>
      <c r="C30" s="4" t="s">
        <v>42</v>
      </c>
      <c r="D30" s="4" t="s">
        <v>13</v>
      </c>
      <c r="E30" s="4">
        <v>42</v>
      </c>
      <c r="F30" s="4" t="str">
        <f>IF(Table15678[[#This Row],[Age]]&lt;=19,"Teenager",IF(Table15678[[#This Row],[Age]]&lt;=40,"Median","Old"))</f>
        <v>Old</v>
      </c>
      <c r="G30" s="4" t="s">
        <v>16</v>
      </c>
      <c r="H30" s="4">
        <v>1</v>
      </c>
      <c r="I30" s="4">
        <v>30</v>
      </c>
      <c r="J30" s="4">
        <v>30</v>
      </c>
      <c r="K30" s="4" t="str" cm="1">
        <f t="array" ref="K30">_xlfn.IFS(AND(Table15678[[#This Row],[Total Amount]]&gt;=1500),"Critical",AND(Table15678[[#This Row],[Total Amount]]&gt;=1000),"High",TRUE,"Normal")</f>
        <v>Normal</v>
      </c>
      <c r="L30" s="4" t="str">
        <f>IF(Table15678[[#This Row],[Total Amount]]&gt;=1000,"High",(IF(Table15678[[#This Row],[Total Amount]]&gt;=500,"Medium","Low")))</f>
        <v>Low</v>
      </c>
      <c r="M30" s="4" t="str" cm="1">
        <f t="array" ref="M3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0" s="4" cm="1">
        <f t="array" ref="N3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30" s="4">
        <f>Table15678[[#This Row],[Total Amount]]-Table15678[[#This Row],[Discount Amount]]</f>
        <v>24</v>
      </c>
      <c r="P30" s="4" t="str">
        <f>IF(Table15678[[#This Row],[Total Amount]]&gt;=1000,"High","Low")</f>
        <v>Low</v>
      </c>
      <c r="Q30" s="4" t="str" cm="1">
        <f t="array" ref="Q30">_xlfn.IFS(AND(Table15678[[#This Row],[Total Amount]]&gt;=1500,"Critical"),AND(Table15678[[#This Row],[Total Amount]]&gt;=1000,"High"),TRUE,"Normal")</f>
        <v>Normal</v>
      </c>
      <c r="R30" s="4" t="str">
        <f>CONCATENATE(Table15678[[#This Row],[Customer ID]], "-",Table15678[[#This Row],[Age]])</f>
        <v>CUST029-42</v>
      </c>
      <c r="S30" s="4" t="str">
        <f>TEXT(Table15678[[#This Row],[Date]],"mmm")</f>
        <v>Aug</v>
      </c>
      <c r="T30" s="4" t="str">
        <f>TEXT(Table15678[[#This Row],[Date]],"DDD")</f>
        <v>Fri</v>
      </c>
    </row>
    <row r="31" spans="1:20" ht="29" x14ac:dyDescent="0.35">
      <c r="A31" s="4">
        <v>30</v>
      </c>
      <c r="B31" s="5">
        <v>45228</v>
      </c>
      <c r="C31" s="4" t="s">
        <v>43</v>
      </c>
      <c r="D31" s="4" t="s">
        <v>13</v>
      </c>
      <c r="E31" s="4">
        <v>39</v>
      </c>
      <c r="F31" s="4" t="str">
        <f>IF(Table15678[[#This Row],[Age]]&lt;=19,"Teenager",IF(Table15678[[#This Row],[Age]]&lt;=40,"Median","Old"))</f>
        <v>Median</v>
      </c>
      <c r="G31" s="4" t="s">
        <v>11</v>
      </c>
      <c r="H31" s="4">
        <v>3</v>
      </c>
      <c r="I31" s="4">
        <v>300</v>
      </c>
      <c r="J31" s="4">
        <v>900</v>
      </c>
      <c r="K31" s="4" t="str" cm="1">
        <f t="array" ref="K31">_xlfn.IFS(AND(Table15678[[#This Row],[Total Amount]]&gt;=1500),"Critical",AND(Table15678[[#This Row],[Total Amount]]&gt;=1000),"High",TRUE,"Normal")</f>
        <v>Normal</v>
      </c>
      <c r="L31" s="4" t="str">
        <f>IF(Table15678[[#This Row],[Total Amount]]&gt;=1000,"High",(IF(Table15678[[#This Row],[Total Amount]]&gt;=500,"Medium","Low")))</f>
        <v>Medium</v>
      </c>
      <c r="M31" s="4" t="str" cm="1">
        <f t="array" ref="M3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1" s="4" cm="1">
        <f t="array" ref="N3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31" s="4">
        <f>Table15678[[#This Row],[Total Amount]]-Table15678[[#This Row],[Discount Amount]]</f>
        <v>720</v>
      </c>
      <c r="P31" s="4" t="str">
        <f>IF(Table15678[[#This Row],[Total Amount]]&gt;=1000,"High","Low")</f>
        <v>Low</v>
      </c>
      <c r="Q31" s="4" t="str" cm="1">
        <f t="array" ref="Q31">_xlfn.IFS(AND(Table15678[[#This Row],[Total Amount]]&gt;=1500,"Critical"),AND(Table15678[[#This Row],[Total Amount]]&gt;=1000,"High"),TRUE,"Normal")</f>
        <v>Normal</v>
      </c>
      <c r="R31" s="4" t="str">
        <f>CONCATENATE(Table15678[[#This Row],[Customer ID]], "-",Table15678[[#This Row],[Age]])</f>
        <v>CUST030-39</v>
      </c>
      <c r="S31" s="4" t="str">
        <f>TEXT(Table15678[[#This Row],[Date]],"mmm")</f>
        <v>Oct</v>
      </c>
      <c r="T31" s="4" t="str">
        <f>TEXT(Table15678[[#This Row],[Date]],"DDD")</f>
        <v>Sun</v>
      </c>
    </row>
    <row r="32" spans="1:20" ht="29" x14ac:dyDescent="0.35">
      <c r="A32" s="4">
        <v>31</v>
      </c>
      <c r="B32" s="5">
        <v>45069</v>
      </c>
      <c r="C32" s="4" t="s">
        <v>44</v>
      </c>
      <c r="D32" s="4" t="s">
        <v>10</v>
      </c>
      <c r="E32" s="4">
        <v>44</v>
      </c>
      <c r="F32" s="4" t="str">
        <f>IF(Table15678[[#This Row],[Age]]&lt;=19,"Teenager",IF(Table15678[[#This Row],[Age]]&lt;=40,"Median","Old"))</f>
        <v>Old</v>
      </c>
      <c r="G32" s="4" t="s">
        <v>16</v>
      </c>
      <c r="H32" s="4">
        <v>4</v>
      </c>
      <c r="I32" s="4">
        <v>300</v>
      </c>
      <c r="J32" s="4">
        <v>1200</v>
      </c>
      <c r="K32" s="4" t="str" cm="1">
        <f t="array" ref="K32">_xlfn.IFS(AND(Table15678[[#This Row],[Total Amount]]&gt;=1500),"Critical",AND(Table15678[[#This Row],[Total Amount]]&gt;=1000),"High",TRUE,"Normal")</f>
        <v>High</v>
      </c>
      <c r="L32" s="4" t="str">
        <f>IF(Table15678[[#This Row],[Total Amount]]&gt;=1000,"High",(IF(Table15678[[#This Row],[Total Amount]]&gt;=500,"Medium","Low")))</f>
        <v>High</v>
      </c>
      <c r="M32" s="4" t="str" cm="1">
        <f t="array" ref="M3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2" s="4" cm="1">
        <f t="array" ref="N3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120</v>
      </c>
      <c r="O32" s="4">
        <f>Table15678[[#This Row],[Total Amount]]-Table15678[[#This Row],[Discount Amount]]</f>
        <v>1080</v>
      </c>
      <c r="P32" s="4" t="str">
        <f>IF(Table15678[[#This Row],[Total Amount]]&gt;=1000,"High","Low")</f>
        <v>High</v>
      </c>
      <c r="Q32" s="4" t="str" cm="1">
        <f t="array" ref="Q32">_xlfn.IFS(AND(Table15678[[#This Row],[Total Amount]]&gt;=1500,"Critical"),AND(Table15678[[#This Row],[Total Amount]]&gt;=1000,"High"),TRUE,"Normal")</f>
        <v>Normal</v>
      </c>
      <c r="R32" s="4" t="str">
        <f>CONCATENATE(Table15678[[#This Row],[Customer ID]], "-",Table15678[[#This Row],[Age]])</f>
        <v>CUST031-44</v>
      </c>
      <c r="S32" s="4" t="str">
        <f>TEXT(Table15678[[#This Row],[Date]],"mmm")</f>
        <v>May</v>
      </c>
      <c r="T32" s="4" t="str">
        <f>TEXT(Table15678[[#This Row],[Date]],"DDD")</f>
        <v>Tue</v>
      </c>
    </row>
    <row r="33" spans="1:20" ht="29" x14ac:dyDescent="0.35">
      <c r="A33" s="4">
        <v>32</v>
      </c>
      <c r="B33" s="5">
        <v>44930</v>
      </c>
      <c r="C33" s="4" t="s">
        <v>45</v>
      </c>
      <c r="D33" s="4" t="s">
        <v>10</v>
      </c>
      <c r="E33" s="4">
        <v>30</v>
      </c>
      <c r="F33" s="4" t="str">
        <f>IF(Table15678[[#This Row],[Age]]&lt;=19,"Teenager",IF(Table15678[[#This Row],[Age]]&lt;=40,"Median","Old"))</f>
        <v>Median</v>
      </c>
      <c r="G33" s="4" t="s">
        <v>11</v>
      </c>
      <c r="H33" s="4">
        <v>3</v>
      </c>
      <c r="I33" s="4">
        <v>30</v>
      </c>
      <c r="J33" s="4">
        <v>90</v>
      </c>
      <c r="K33" s="4" t="str" cm="1">
        <f t="array" ref="K33">_xlfn.IFS(AND(Table15678[[#This Row],[Total Amount]]&gt;=1500),"Critical",AND(Table15678[[#This Row],[Total Amount]]&gt;=1000),"High",TRUE,"Normal")</f>
        <v>Normal</v>
      </c>
      <c r="L33" s="4" t="str">
        <f>IF(Table15678[[#This Row],[Total Amount]]&gt;=1000,"High",(IF(Table15678[[#This Row],[Total Amount]]&gt;=500,"Medium","Low")))</f>
        <v>Low</v>
      </c>
      <c r="M33" s="4" t="str" cm="1">
        <f t="array" ref="M3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3" s="4" cm="1">
        <f t="array" ref="N3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13.5</v>
      </c>
      <c r="O33" s="4">
        <f>Table15678[[#This Row],[Total Amount]]-Table15678[[#This Row],[Discount Amount]]</f>
        <v>76.5</v>
      </c>
      <c r="P33" s="4" t="str">
        <f>IF(Table15678[[#This Row],[Total Amount]]&gt;=1000,"High","Low")</f>
        <v>Low</v>
      </c>
      <c r="Q33" s="4" t="str" cm="1">
        <f t="array" ref="Q33">_xlfn.IFS(AND(Table15678[[#This Row],[Total Amount]]&gt;=1500,"Critical"),AND(Table15678[[#This Row],[Total Amount]]&gt;=1000,"High"),TRUE,"Normal")</f>
        <v>Normal</v>
      </c>
      <c r="R33" s="4" t="str">
        <f>CONCATENATE(Table15678[[#This Row],[Customer ID]], "-",Table15678[[#This Row],[Age]])</f>
        <v>CUST032-30</v>
      </c>
      <c r="S33" s="4" t="str">
        <f>TEXT(Table15678[[#This Row],[Date]],"mmm")</f>
        <v>Jan</v>
      </c>
      <c r="T33" s="4" t="str">
        <f>TEXT(Table15678[[#This Row],[Date]],"DDD")</f>
        <v>Wed</v>
      </c>
    </row>
    <row r="34" spans="1:20" ht="29" x14ac:dyDescent="0.35">
      <c r="A34" s="4">
        <v>33</v>
      </c>
      <c r="B34" s="5">
        <v>45008</v>
      </c>
      <c r="C34" s="4" t="s">
        <v>46</v>
      </c>
      <c r="D34" s="4" t="s">
        <v>13</v>
      </c>
      <c r="E34" s="4">
        <v>50</v>
      </c>
      <c r="F34" s="4" t="str">
        <f>IF(Table15678[[#This Row],[Age]]&lt;=19,"Teenager",IF(Table15678[[#This Row],[Age]]&lt;=40,"Median","Old"))</f>
        <v>Old</v>
      </c>
      <c r="G34" s="4" t="s">
        <v>16</v>
      </c>
      <c r="H34" s="4">
        <v>2</v>
      </c>
      <c r="I34" s="4">
        <v>50</v>
      </c>
      <c r="J34" s="4">
        <v>100</v>
      </c>
      <c r="K34" s="4" t="str" cm="1">
        <f t="array" ref="K34">_xlfn.IFS(AND(Table15678[[#This Row],[Total Amount]]&gt;=1500),"Critical",AND(Table15678[[#This Row],[Total Amount]]&gt;=1000),"High",TRUE,"Normal")</f>
        <v>Normal</v>
      </c>
      <c r="L34" s="4" t="str">
        <f>IF(Table15678[[#This Row],[Total Amount]]&gt;=1000,"High",(IF(Table15678[[#This Row],[Total Amount]]&gt;=500,"Medium","Low")))</f>
        <v>Low</v>
      </c>
      <c r="M34" s="4" t="str" cm="1">
        <f t="array" ref="M3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4" s="4" cm="1">
        <f t="array" ref="N3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34" s="4">
        <f>Table15678[[#This Row],[Total Amount]]-Table15678[[#This Row],[Discount Amount]]</f>
        <v>80</v>
      </c>
      <c r="P34" s="4" t="str">
        <f>IF(Table15678[[#This Row],[Total Amount]]&gt;=1000,"High","Low")</f>
        <v>Low</v>
      </c>
      <c r="Q34" s="4" t="str" cm="1">
        <f t="array" ref="Q34">_xlfn.IFS(AND(Table15678[[#This Row],[Total Amount]]&gt;=1500,"Critical"),AND(Table15678[[#This Row],[Total Amount]]&gt;=1000,"High"),TRUE,"Normal")</f>
        <v>Normal</v>
      </c>
      <c r="R34" s="4" t="str">
        <f>CONCATENATE(Table15678[[#This Row],[Customer ID]], "-",Table15678[[#This Row],[Age]])</f>
        <v>CUST033-50</v>
      </c>
      <c r="S34" s="4" t="str">
        <f>TEXT(Table15678[[#This Row],[Date]],"mmm")</f>
        <v>Mar</v>
      </c>
      <c r="T34" s="4" t="str">
        <f>TEXT(Table15678[[#This Row],[Date]],"DDD")</f>
        <v>Thu</v>
      </c>
    </row>
    <row r="35" spans="1:20" ht="29" x14ac:dyDescent="0.35">
      <c r="A35" s="4">
        <v>34</v>
      </c>
      <c r="B35" s="5">
        <v>45284</v>
      </c>
      <c r="C35" s="4" t="s">
        <v>47</v>
      </c>
      <c r="D35" s="4" t="s">
        <v>13</v>
      </c>
      <c r="E35" s="4">
        <v>51</v>
      </c>
      <c r="F35" s="4" t="str">
        <f>IF(Table15678[[#This Row],[Age]]&lt;=19,"Teenager",IF(Table15678[[#This Row],[Age]]&lt;=40,"Median","Old"))</f>
        <v>Old</v>
      </c>
      <c r="G35" s="4" t="s">
        <v>14</v>
      </c>
      <c r="H35" s="4">
        <v>3</v>
      </c>
      <c r="I35" s="4">
        <v>50</v>
      </c>
      <c r="J35" s="4">
        <v>150</v>
      </c>
      <c r="K35" s="4" t="str" cm="1">
        <f t="array" ref="K35">_xlfn.IFS(AND(Table15678[[#This Row],[Total Amount]]&gt;=1500),"Critical",AND(Table15678[[#This Row],[Total Amount]]&gt;=1000),"High",TRUE,"Normal")</f>
        <v>Normal</v>
      </c>
      <c r="L35" s="4" t="str">
        <f>IF(Table15678[[#This Row],[Total Amount]]&gt;=1000,"High",(IF(Table15678[[#This Row],[Total Amount]]&gt;=500,"Medium","Low")))</f>
        <v>Low</v>
      </c>
      <c r="M35" s="4" t="str" cm="1">
        <f t="array" ref="M3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5" s="4" cm="1">
        <f t="array" ref="N3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35" s="4">
        <f>Table15678[[#This Row],[Total Amount]]-Table15678[[#This Row],[Discount Amount]]</f>
        <v>120</v>
      </c>
      <c r="P35" s="4" t="str">
        <f>IF(Table15678[[#This Row],[Total Amount]]&gt;=1000,"High","Low")</f>
        <v>Low</v>
      </c>
      <c r="Q35" s="4" t="str" cm="1">
        <f t="array" ref="Q35">_xlfn.IFS(AND(Table15678[[#This Row],[Total Amount]]&gt;=1500,"Critical"),AND(Table15678[[#This Row],[Total Amount]]&gt;=1000,"High"),TRUE,"Normal")</f>
        <v>Normal</v>
      </c>
      <c r="R35" s="4" t="str">
        <f>CONCATENATE(Table15678[[#This Row],[Customer ID]], "-",Table15678[[#This Row],[Age]])</f>
        <v>CUST034-51</v>
      </c>
      <c r="S35" s="4" t="str">
        <f>TEXT(Table15678[[#This Row],[Date]],"mmm")</f>
        <v>Dec</v>
      </c>
      <c r="T35" s="4" t="str">
        <f>TEXT(Table15678[[#This Row],[Date]],"DDD")</f>
        <v>Sun</v>
      </c>
    </row>
    <row r="36" spans="1:20" ht="29" x14ac:dyDescent="0.35">
      <c r="A36" s="4">
        <v>35</v>
      </c>
      <c r="B36" s="5">
        <v>45143</v>
      </c>
      <c r="C36" s="4" t="s">
        <v>48</v>
      </c>
      <c r="D36" s="4" t="s">
        <v>13</v>
      </c>
      <c r="E36" s="4">
        <v>58</v>
      </c>
      <c r="F36" s="4" t="str">
        <f>IF(Table15678[[#This Row],[Age]]&lt;=19,"Teenager",IF(Table15678[[#This Row],[Age]]&lt;=40,"Median","Old"))</f>
        <v>Old</v>
      </c>
      <c r="G36" s="4" t="s">
        <v>11</v>
      </c>
      <c r="H36" s="4">
        <v>3</v>
      </c>
      <c r="I36" s="4">
        <v>300</v>
      </c>
      <c r="J36" s="4">
        <v>900</v>
      </c>
      <c r="K36" s="4" t="str" cm="1">
        <f t="array" ref="K36">_xlfn.IFS(AND(Table15678[[#This Row],[Total Amount]]&gt;=1500),"Critical",AND(Table15678[[#This Row],[Total Amount]]&gt;=1000),"High",TRUE,"Normal")</f>
        <v>Normal</v>
      </c>
      <c r="L36" s="4" t="str">
        <f>IF(Table15678[[#This Row],[Total Amount]]&gt;=1000,"High",(IF(Table15678[[#This Row],[Total Amount]]&gt;=500,"Medium","Low")))</f>
        <v>Medium</v>
      </c>
      <c r="M36" s="4" t="str" cm="1">
        <f t="array" ref="M3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6" s="4" cm="1">
        <f t="array" ref="N3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36" s="4">
        <f>Table15678[[#This Row],[Total Amount]]-Table15678[[#This Row],[Discount Amount]]</f>
        <v>720</v>
      </c>
      <c r="P36" s="4" t="str">
        <f>IF(Table15678[[#This Row],[Total Amount]]&gt;=1000,"High","Low")</f>
        <v>Low</v>
      </c>
      <c r="Q36" s="4" t="str" cm="1">
        <f t="array" ref="Q36">_xlfn.IFS(AND(Table15678[[#This Row],[Total Amount]]&gt;=1500,"Critical"),AND(Table15678[[#This Row],[Total Amount]]&gt;=1000,"High"),TRUE,"Normal")</f>
        <v>Normal</v>
      </c>
      <c r="R36" s="4" t="str">
        <f>CONCATENATE(Table15678[[#This Row],[Customer ID]], "-",Table15678[[#This Row],[Age]])</f>
        <v>CUST035-58</v>
      </c>
      <c r="S36" s="4" t="str">
        <f>TEXT(Table15678[[#This Row],[Date]],"mmm")</f>
        <v>Aug</v>
      </c>
      <c r="T36" s="4" t="str">
        <f>TEXT(Table15678[[#This Row],[Date]],"DDD")</f>
        <v>Sat</v>
      </c>
    </row>
    <row r="37" spans="1:20" ht="29" x14ac:dyDescent="0.35">
      <c r="A37" s="4">
        <v>36</v>
      </c>
      <c r="B37" s="5">
        <v>45101</v>
      </c>
      <c r="C37" s="4" t="s">
        <v>49</v>
      </c>
      <c r="D37" s="4" t="s">
        <v>10</v>
      </c>
      <c r="E37" s="4">
        <v>52</v>
      </c>
      <c r="F37" s="4" t="str">
        <f>IF(Table15678[[#This Row],[Age]]&lt;=19,"Teenager",IF(Table15678[[#This Row],[Age]]&lt;=40,"Median","Old"))</f>
        <v>Old</v>
      </c>
      <c r="G37" s="4" t="s">
        <v>11</v>
      </c>
      <c r="H37" s="4">
        <v>3</v>
      </c>
      <c r="I37" s="4">
        <v>300</v>
      </c>
      <c r="J37" s="4">
        <v>900</v>
      </c>
      <c r="K37" s="4" t="str" cm="1">
        <f t="array" ref="K37">_xlfn.IFS(AND(Table15678[[#This Row],[Total Amount]]&gt;=1500),"Critical",AND(Table15678[[#This Row],[Total Amount]]&gt;=1000),"High",TRUE,"Normal")</f>
        <v>Normal</v>
      </c>
      <c r="L37" s="4" t="str">
        <f>IF(Table15678[[#This Row],[Total Amount]]&gt;=1000,"High",(IF(Table15678[[#This Row],[Total Amount]]&gt;=500,"Medium","Low")))</f>
        <v>Medium</v>
      </c>
      <c r="M37" s="4" t="str" cm="1">
        <f t="array" ref="M3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7" s="4" cm="1">
        <f t="array" ref="N3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37" s="4">
        <f>Table15678[[#This Row],[Total Amount]]-Table15678[[#This Row],[Discount Amount]]</f>
        <v>810</v>
      </c>
      <c r="P37" s="4" t="str">
        <f>IF(Table15678[[#This Row],[Total Amount]]&gt;=1000,"High","Low")</f>
        <v>Low</v>
      </c>
      <c r="Q37" s="4" t="str" cm="1">
        <f t="array" ref="Q37">_xlfn.IFS(AND(Table15678[[#This Row],[Total Amount]]&gt;=1500,"Critical"),AND(Table15678[[#This Row],[Total Amount]]&gt;=1000,"High"),TRUE,"Normal")</f>
        <v>Normal</v>
      </c>
      <c r="R37" s="4" t="str">
        <f>CONCATENATE(Table15678[[#This Row],[Customer ID]], "-",Table15678[[#This Row],[Age]])</f>
        <v>CUST036-52</v>
      </c>
      <c r="S37" s="4" t="str">
        <f>TEXT(Table15678[[#This Row],[Date]],"mmm")</f>
        <v>Jun</v>
      </c>
      <c r="T37" s="4" t="str">
        <f>TEXT(Table15678[[#This Row],[Date]],"DDD")</f>
        <v>Sat</v>
      </c>
    </row>
    <row r="38" spans="1:20" ht="29" x14ac:dyDescent="0.35">
      <c r="A38" s="4">
        <v>37</v>
      </c>
      <c r="B38" s="5">
        <v>45069</v>
      </c>
      <c r="C38" s="4" t="s">
        <v>50</v>
      </c>
      <c r="D38" s="4" t="s">
        <v>13</v>
      </c>
      <c r="E38" s="4">
        <v>18</v>
      </c>
      <c r="F38" s="4" t="str">
        <f>IF(Table15678[[#This Row],[Age]]&lt;=19,"Teenager",IF(Table15678[[#This Row],[Age]]&lt;=40,"Median","Old"))</f>
        <v>Teenager</v>
      </c>
      <c r="G38" s="4" t="s">
        <v>11</v>
      </c>
      <c r="H38" s="4">
        <v>3</v>
      </c>
      <c r="I38" s="4">
        <v>25</v>
      </c>
      <c r="J38" s="4">
        <v>75</v>
      </c>
      <c r="K38" s="4" t="str" cm="1">
        <f t="array" ref="K38">_xlfn.IFS(AND(Table15678[[#This Row],[Total Amount]]&gt;=1500),"Critical",AND(Table15678[[#This Row],[Total Amount]]&gt;=1000),"High",TRUE,"Normal")</f>
        <v>Normal</v>
      </c>
      <c r="L38" s="4" t="str">
        <f>IF(Table15678[[#This Row],[Total Amount]]&gt;=1000,"High",(IF(Table15678[[#This Row],[Total Amount]]&gt;=500,"Medium","Low")))</f>
        <v>Low</v>
      </c>
      <c r="M38" s="4" t="str" cm="1">
        <f t="array" ref="M3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38" s="4" cm="1">
        <f t="array" ref="N3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38" s="4">
        <f>Table15678[[#This Row],[Total Amount]]-Table15678[[#This Row],[Discount Amount]]</f>
        <v>75</v>
      </c>
      <c r="P38" s="4" t="str">
        <f>IF(Table15678[[#This Row],[Total Amount]]&gt;=1000,"High","Low")</f>
        <v>Low</v>
      </c>
      <c r="Q38" s="4" t="str" cm="1">
        <f t="array" ref="Q38">_xlfn.IFS(AND(Table15678[[#This Row],[Total Amount]]&gt;=1500,"Critical"),AND(Table15678[[#This Row],[Total Amount]]&gt;=1000,"High"),TRUE,"Normal")</f>
        <v>Normal</v>
      </c>
      <c r="R38" s="4" t="str">
        <f>CONCATENATE(Table15678[[#This Row],[Customer ID]], "-",Table15678[[#This Row],[Age]])</f>
        <v>CUST037-18</v>
      </c>
      <c r="S38" s="4" t="str">
        <f>TEXT(Table15678[[#This Row],[Date]],"mmm")</f>
        <v>May</v>
      </c>
      <c r="T38" s="4" t="str">
        <f>TEXT(Table15678[[#This Row],[Date]],"DDD")</f>
        <v>Tue</v>
      </c>
    </row>
    <row r="39" spans="1:20" ht="29" x14ac:dyDescent="0.35">
      <c r="A39" s="4">
        <v>38</v>
      </c>
      <c r="B39" s="5">
        <v>45006</v>
      </c>
      <c r="C39" s="4" t="s">
        <v>51</v>
      </c>
      <c r="D39" s="4" t="s">
        <v>10</v>
      </c>
      <c r="E39" s="4">
        <v>38</v>
      </c>
      <c r="F39" s="4" t="str">
        <f>IF(Table15678[[#This Row],[Age]]&lt;=19,"Teenager",IF(Table15678[[#This Row],[Age]]&lt;=40,"Median","Old"))</f>
        <v>Median</v>
      </c>
      <c r="G39" s="4" t="s">
        <v>11</v>
      </c>
      <c r="H39" s="4">
        <v>4</v>
      </c>
      <c r="I39" s="4">
        <v>50</v>
      </c>
      <c r="J39" s="4">
        <v>200</v>
      </c>
      <c r="K39" s="4" t="str" cm="1">
        <f t="array" ref="K39">_xlfn.IFS(AND(Table15678[[#This Row],[Total Amount]]&gt;=1500),"Critical",AND(Table15678[[#This Row],[Total Amount]]&gt;=1000),"High",TRUE,"Normal")</f>
        <v>Normal</v>
      </c>
      <c r="L39" s="4" t="str">
        <f>IF(Table15678[[#This Row],[Total Amount]]&gt;=1000,"High",(IF(Table15678[[#This Row],[Total Amount]]&gt;=500,"Medium","Low")))</f>
        <v>Low</v>
      </c>
      <c r="M39" s="4" t="str" cm="1">
        <f t="array" ref="M3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9" s="4" cm="1">
        <f t="array" ref="N3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39" s="4">
        <f>Table15678[[#This Row],[Total Amount]]-Table15678[[#This Row],[Discount Amount]]</f>
        <v>180</v>
      </c>
      <c r="P39" s="4" t="str">
        <f>IF(Table15678[[#This Row],[Total Amount]]&gt;=1000,"High","Low")</f>
        <v>Low</v>
      </c>
      <c r="Q39" s="4" t="str" cm="1">
        <f t="array" ref="Q39">_xlfn.IFS(AND(Table15678[[#This Row],[Total Amount]]&gt;=1500,"Critical"),AND(Table15678[[#This Row],[Total Amount]]&gt;=1000,"High"),TRUE,"Normal")</f>
        <v>Normal</v>
      </c>
      <c r="R39" s="4" t="str">
        <f>CONCATENATE(Table15678[[#This Row],[Customer ID]], "-",Table15678[[#This Row],[Age]])</f>
        <v>CUST038-38</v>
      </c>
      <c r="S39" s="4" t="str">
        <f>TEXT(Table15678[[#This Row],[Date]],"mmm")</f>
        <v>Mar</v>
      </c>
      <c r="T39" s="4" t="str">
        <f>TEXT(Table15678[[#This Row],[Date]],"DDD")</f>
        <v>Tue</v>
      </c>
    </row>
    <row r="40" spans="1:20" ht="29" x14ac:dyDescent="0.35">
      <c r="A40" s="4">
        <v>39</v>
      </c>
      <c r="B40" s="5">
        <v>45037</v>
      </c>
      <c r="C40" s="4" t="s">
        <v>52</v>
      </c>
      <c r="D40" s="4" t="s">
        <v>10</v>
      </c>
      <c r="E40" s="4">
        <v>23</v>
      </c>
      <c r="F40" s="4" t="str">
        <f>IF(Table15678[[#This Row],[Age]]&lt;=19,"Teenager",IF(Table15678[[#This Row],[Age]]&lt;=40,"Median","Old"))</f>
        <v>Median</v>
      </c>
      <c r="G40" s="4" t="s">
        <v>14</v>
      </c>
      <c r="H40" s="4">
        <v>4</v>
      </c>
      <c r="I40" s="4">
        <v>30</v>
      </c>
      <c r="J40" s="4">
        <v>120</v>
      </c>
      <c r="K40" s="4" t="str" cm="1">
        <f t="array" ref="K40">_xlfn.IFS(AND(Table15678[[#This Row],[Total Amount]]&gt;=1500),"Critical",AND(Table15678[[#This Row],[Total Amount]]&gt;=1000),"High",TRUE,"Normal")</f>
        <v>Normal</v>
      </c>
      <c r="L40" s="4" t="str">
        <f>IF(Table15678[[#This Row],[Total Amount]]&gt;=1000,"High",(IF(Table15678[[#This Row],[Total Amount]]&gt;=500,"Medium","Low")))</f>
        <v>Low</v>
      </c>
      <c r="M40" s="4" t="str" cm="1">
        <f t="array" ref="M4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40" s="4" cm="1">
        <f t="array" ref="N4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40" s="4">
        <f>Table15678[[#This Row],[Total Amount]]-Table15678[[#This Row],[Discount Amount]]</f>
        <v>120</v>
      </c>
      <c r="P40" s="4" t="str">
        <f>IF(Table15678[[#This Row],[Total Amount]]&gt;=1000,"High","Low")</f>
        <v>Low</v>
      </c>
      <c r="Q40" s="4" t="str" cm="1">
        <f t="array" ref="Q40">_xlfn.IFS(AND(Table15678[[#This Row],[Total Amount]]&gt;=1500,"Critical"),AND(Table15678[[#This Row],[Total Amount]]&gt;=1000,"High"),TRUE,"Normal")</f>
        <v>Normal</v>
      </c>
      <c r="R40" s="4" t="str">
        <f>CONCATENATE(Table15678[[#This Row],[Customer ID]], "-",Table15678[[#This Row],[Age]])</f>
        <v>CUST039-23</v>
      </c>
      <c r="S40" s="4" t="str">
        <f>TEXT(Table15678[[#This Row],[Date]],"mmm")</f>
        <v>Apr</v>
      </c>
      <c r="T40" s="4" t="str">
        <f>TEXT(Table15678[[#This Row],[Date]],"DDD")</f>
        <v>Fri</v>
      </c>
    </row>
    <row r="41" spans="1:20" ht="29" x14ac:dyDescent="0.35">
      <c r="A41" s="4">
        <v>40</v>
      </c>
      <c r="B41" s="5">
        <v>45099</v>
      </c>
      <c r="C41" s="4" t="s">
        <v>53</v>
      </c>
      <c r="D41" s="4" t="s">
        <v>10</v>
      </c>
      <c r="E41" s="4">
        <v>45</v>
      </c>
      <c r="F41" s="4" t="str">
        <f>IF(Table15678[[#This Row],[Age]]&lt;=19,"Teenager",IF(Table15678[[#This Row],[Age]]&lt;=40,"Median","Old"))</f>
        <v>Old</v>
      </c>
      <c r="G41" s="4" t="s">
        <v>11</v>
      </c>
      <c r="H41" s="4">
        <v>1</v>
      </c>
      <c r="I41" s="4">
        <v>50</v>
      </c>
      <c r="J41" s="4">
        <v>50</v>
      </c>
      <c r="K41" s="4" t="str" cm="1">
        <f t="array" ref="K41">_xlfn.IFS(AND(Table15678[[#This Row],[Total Amount]]&gt;=1500),"Critical",AND(Table15678[[#This Row],[Total Amount]]&gt;=1000),"High",TRUE,"Normal")</f>
        <v>Normal</v>
      </c>
      <c r="L41" s="4" t="str">
        <f>IF(Table15678[[#This Row],[Total Amount]]&gt;=1000,"High",(IF(Table15678[[#This Row],[Total Amount]]&gt;=500,"Medium","Low")))</f>
        <v>Low</v>
      </c>
      <c r="M41" s="4" t="str" cm="1">
        <f t="array" ref="M4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1" s="4" cm="1">
        <f t="array" ref="N4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41" s="4">
        <f>Table15678[[#This Row],[Total Amount]]-Table15678[[#This Row],[Discount Amount]]</f>
        <v>45</v>
      </c>
      <c r="P41" s="4" t="str">
        <f>IF(Table15678[[#This Row],[Total Amount]]&gt;=1000,"High","Low")</f>
        <v>Low</v>
      </c>
      <c r="Q41" s="4" t="str" cm="1">
        <f t="array" ref="Q41">_xlfn.IFS(AND(Table15678[[#This Row],[Total Amount]]&gt;=1500,"Critical"),AND(Table15678[[#This Row],[Total Amount]]&gt;=1000,"High"),TRUE,"Normal")</f>
        <v>Normal</v>
      </c>
      <c r="R41" s="4" t="str">
        <f>CONCATENATE(Table15678[[#This Row],[Customer ID]], "-",Table15678[[#This Row],[Age]])</f>
        <v>CUST040-45</v>
      </c>
      <c r="S41" s="4" t="str">
        <f>TEXT(Table15678[[#This Row],[Date]],"mmm")</f>
        <v>Jun</v>
      </c>
      <c r="T41" s="4" t="str">
        <f>TEXT(Table15678[[#This Row],[Date]],"DDD")</f>
        <v>Thu</v>
      </c>
    </row>
    <row r="42" spans="1:20" ht="29" x14ac:dyDescent="0.35">
      <c r="A42" s="4">
        <v>41</v>
      </c>
      <c r="B42" s="5">
        <v>44979</v>
      </c>
      <c r="C42" s="4" t="s">
        <v>54</v>
      </c>
      <c r="D42" s="4" t="s">
        <v>10</v>
      </c>
      <c r="E42" s="4">
        <v>34</v>
      </c>
      <c r="F42" s="4" t="str">
        <f>IF(Table15678[[#This Row],[Age]]&lt;=19,"Teenager",IF(Table15678[[#This Row],[Age]]&lt;=40,"Median","Old"))</f>
        <v>Median</v>
      </c>
      <c r="G42" s="4" t="s">
        <v>14</v>
      </c>
      <c r="H42" s="4">
        <v>2</v>
      </c>
      <c r="I42" s="4">
        <v>25</v>
      </c>
      <c r="J42" s="4">
        <v>50</v>
      </c>
      <c r="K42" s="4" t="str" cm="1">
        <f t="array" ref="K42">_xlfn.IFS(AND(Table15678[[#This Row],[Total Amount]]&gt;=1500),"Critical",AND(Table15678[[#This Row],[Total Amount]]&gt;=1000),"High",TRUE,"Normal")</f>
        <v>Normal</v>
      </c>
      <c r="L42" s="4" t="str">
        <f>IF(Table15678[[#This Row],[Total Amount]]&gt;=1000,"High",(IF(Table15678[[#This Row],[Total Amount]]&gt;=500,"Medium","Low")))</f>
        <v>Low</v>
      </c>
      <c r="M42" s="4" t="str" cm="1">
        <f t="array" ref="M4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2" s="4" cm="1">
        <f t="array" ref="N4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42" s="4">
        <f>Table15678[[#This Row],[Total Amount]]-Table15678[[#This Row],[Discount Amount]]</f>
        <v>42.5</v>
      </c>
      <c r="P42" s="4" t="str">
        <f>IF(Table15678[[#This Row],[Total Amount]]&gt;=1000,"High","Low")</f>
        <v>Low</v>
      </c>
      <c r="Q42" s="4" t="str" cm="1">
        <f t="array" ref="Q42">_xlfn.IFS(AND(Table15678[[#This Row],[Total Amount]]&gt;=1500,"Critical"),AND(Table15678[[#This Row],[Total Amount]]&gt;=1000,"High"),TRUE,"Normal")</f>
        <v>Normal</v>
      </c>
      <c r="R42" s="4" t="str">
        <f>CONCATENATE(Table15678[[#This Row],[Customer ID]], "-",Table15678[[#This Row],[Age]])</f>
        <v>CUST041-34</v>
      </c>
      <c r="S42" s="4" t="str">
        <f>TEXT(Table15678[[#This Row],[Date]],"mmm")</f>
        <v>Feb</v>
      </c>
      <c r="T42" s="4" t="str">
        <f>TEXT(Table15678[[#This Row],[Date]],"DDD")</f>
        <v>Wed</v>
      </c>
    </row>
    <row r="43" spans="1:20" ht="29" x14ac:dyDescent="0.35">
      <c r="A43" s="4">
        <v>42</v>
      </c>
      <c r="B43" s="5">
        <v>44974</v>
      </c>
      <c r="C43" s="4" t="s">
        <v>55</v>
      </c>
      <c r="D43" s="4" t="s">
        <v>10</v>
      </c>
      <c r="E43" s="4">
        <v>22</v>
      </c>
      <c r="F43" s="4" t="str">
        <f>IF(Table15678[[#This Row],[Age]]&lt;=19,"Teenager",IF(Table15678[[#This Row],[Age]]&lt;=40,"Median","Old"))</f>
        <v>Median</v>
      </c>
      <c r="G43" s="4" t="s">
        <v>14</v>
      </c>
      <c r="H43" s="4">
        <v>3</v>
      </c>
      <c r="I43" s="4">
        <v>300</v>
      </c>
      <c r="J43" s="4">
        <v>900</v>
      </c>
      <c r="K43" s="4" t="str" cm="1">
        <f t="array" ref="K43">_xlfn.IFS(AND(Table15678[[#This Row],[Total Amount]]&gt;=1500),"Critical",AND(Table15678[[#This Row],[Total Amount]]&gt;=1000),"High",TRUE,"Normal")</f>
        <v>Normal</v>
      </c>
      <c r="L43" s="4" t="str">
        <f>IF(Table15678[[#This Row],[Total Amount]]&gt;=1000,"High",(IF(Table15678[[#This Row],[Total Amount]]&gt;=500,"Medium","Low")))</f>
        <v>Medium</v>
      </c>
      <c r="M43" s="4" t="str" cm="1">
        <f t="array" ref="M4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43" s="4" cm="1">
        <f t="array" ref="N4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43" s="4">
        <f>Table15678[[#This Row],[Total Amount]]-Table15678[[#This Row],[Discount Amount]]</f>
        <v>900</v>
      </c>
      <c r="P43" s="4" t="str">
        <f>IF(Table15678[[#This Row],[Total Amount]]&gt;=1000,"High","Low")</f>
        <v>Low</v>
      </c>
      <c r="Q43" s="4" t="str" cm="1">
        <f t="array" ref="Q43">_xlfn.IFS(AND(Table15678[[#This Row],[Total Amount]]&gt;=1500,"Critical"),AND(Table15678[[#This Row],[Total Amount]]&gt;=1000,"High"),TRUE,"Normal")</f>
        <v>Normal</v>
      </c>
      <c r="R43" s="4" t="str">
        <f>CONCATENATE(Table15678[[#This Row],[Customer ID]], "-",Table15678[[#This Row],[Age]])</f>
        <v>CUST042-22</v>
      </c>
      <c r="S43" s="4" t="str">
        <f>TEXT(Table15678[[#This Row],[Date]],"mmm")</f>
        <v>Feb</v>
      </c>
      <c r="T43" s="4" t="str">
        <f>TEXT(Table15678[[#This Row],[Date]],"DDD")</f>
        <v>Fri</v>
      </c>
    </row>
    <row r="44" spans="1:20" ht="29" x14ac:dyDescent="0.35">
      <c r="A44" s="4">
        <v>43</v>
      </c>
      <c r="B44" s="5">
        <v>45121</v>
      </c>
      <c r="C44" s="4" t="s">
        <v>56</v>
      </c>
      <c r="D44" s="4" t="s">
        <v>13</v>
      </c>
      <c r="E44" s="4">
        <v>48</v>
      </c>
      <c r="F44" s="4" t="str">
        <f>IF(Table15678[[#This Row],[Age]]&lt;=19,"Teenager",IF(Table15678[[#This Row],[Age]]&lt;=40,"Median","Old"))</f>
        <v>Old</v>
      </c>
      <c r="G44" s="4" t="s">
        <v>14</v>
      </c>
      <c r="H44" s="4">
        <v>1</v>
      </c>
      <c r="I44" s="4">
        <v>300</v>
      </c>
      <c r="J44" s="4">
        <v>300</v>
      </c>
      <c r="K44" s="4" t="str" cm="1">
        <f t="array" ref="K44">_xlfn.IFS(AND(Table15678[[#This Row],[Total Amount]]&gt;=1500),"Critical",AND(Table15678[[#This Row],[Total Amount]]&gt;=1000),"High",TRUE,"Normal")</f>
        <v>Normal</v>
      </c>
      <c r="L44" s="4" t="str">
        <f>IF(Table15678[[#This Row],[Total Amount]]&gt;=1000,"High",(IF(Table15678[[#This Row],[Total Amount]]&gt;=500,"Medium","Low")))</f>
        <v>Low</v>
      </c>
      <c r="M44" s="4" t="str" cm="1">
        <f t="array" ref="M4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4" s="4" cm="1">
        <f t="array" ref="N4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44" s="4">
        <f>Table15678[[#This Row],[Total Amount]]-Table15678[[#This Row],[Discount Amount]]</f>
        <v>240</v>
      </c>
      <c r="P44" s="4" t="str">
        <f>IF(Table15678[[#This Row],[Total Amount]]&gt;=1000,"High","Low")</f>
        <v>Low</v>
      </c>
      <c r="Q44" s="4" t="str" cm="1">
        <f t="array" ref="Q44">_xlfn.IFS(AND(Table15678[[#This Row],[Total Amount]]&gt;=1500,"Critical"),AND(Table15678[[#This Row],[Total Amount]]&gt;=1000,"High"),TRUE,"Normal")</f>
        <v>Normal</v>
      </c>
      <c r="R44" s="4" t="str">
        <f>CONCATENATE(Table15678[[#This Row],[Customer ID]], "-",Table15678[[#This Row],[Age]])</f>
        <v>CUST043-48</v>
      </c>
      <c r="S44" s="4" t="str">
        <f>TEXT(Table15678[[#This Row],[Date]],"mmm")</f>
        <v>Jul</v>
      </c>
      <c r="T44" s="4" t="str">
        <f>TEXT(Table15678[[#This Row],[Date]],"DDD")</f>
        <v>Fri</v>
      </c>
    </row>
    <row r="45" spans="1:20" ht="29" x14ac:dyDescent="0.35">
      <c r="A45" s="4">
        <v>44</v>
      </c>
      <c r="B45" s="5">
        <v>44976</v>
      </c>
      <c r="C45" s="4" t="s">
        <v>57</v>
      </c>
      <c r="D45" s="4" t="s">
        <v>13</v>
      </c>
      <c r="E45" s="4">
        <v>22</v>
      </c>
      <c r="F45" s="4" t="str">
        <f>IF(Table15678[[#This Row],[Age]]&lt;=19,"Teenager",IF(Table15678[[#This Row],[Age]]&lt;=40,"Median","Old"))</f>
        <v>Median</v>
      </c>
      <c r="G45" s="4" t="s">
        <v>14</v>
      </c>
      <c r="H45" s="4">
        <v>1</v>
      </c>
      <c r="I45" s="4">
        <v>25</v>
      </c>
      <c r="J45" s="4">
        <v>25</v>
      </c>
      <c r="K45" s="4" t="str" cm="1">
        <f t="array" ref="K45">_xlfn.IFS(AND(Table15678[[#This Row],[Total Amount]]&gt;=1500),"Critical",AND(Table15678[[#This Row],[Total Amount]]&gt;=1000),"High",TRUE,"Normal")</f>
        <v>Normal</v>
      </c>
      <c r="L45" s="4" t="str">
        <f>IF(Table15678[[#This Row],[Total Amount]]&gt;=1000,"High",(IF(Table15678[[#This Row],[Total Amount]]&gt;=500,"Medium","Low")))</f>
        <v>Low</v>
      </c>
      <c r="M45" s="4" t="str" cm="1">
        <f t="array" ref="M4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45" s="4" cm="1">
        <f t="array" ref="N4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45" s="4">
        <f>Table15678[[#This Row],[Total Amount]]-Table15678[[#This Row],[Discount Amount]]</f>
        <v>25</v>
      </c>
      <c r="P45" s="4" t="str">
        <f>IF(Table15678[[#This Row],[Total Amount]]&gt;=1000,"High","Low")</f>
        <v>Low</v>
      </c>
      <c r="Q45" s="4" t="str" cm="1">
        <f t="array" ref="Q45">_xlfn.IFS(AND(Table15678[[#This Row],[Total Amount]]&gt;=1500,"Critical"),AND(Table15678[[#This Row],[Total Amount]]&gt;=1000,"High"),TRUE,"Normal")</f>
        <v>Normal</v>
      </c>
      <c r="R45" s="4" t="str">
        <f>CONCATENATE(Table15678[[#This Row],[Customer ID]], "-",Table15678[[#This Row],[Age]])</f>
        <v>CUST044-22</v>
      </c>
      <c r="S45" s="4" t="str">
        <f>TEXT(Table15678[[#This Row],[Date]],"mmm")</f>
        <v>Feb</v>
      </c>
      <c r="T45" s="4" t="str">
        <f>TEXT(Table15678[[#This Row],[Date]],"DDD")</f>
        <v>Sun</v>
      </c>
    </row>
    <row r="46" spans="1:20" ht="29" x14ac:dyDescent="0.35">
      <c r="A46" s="4">
        <v>45</v>
      </c>
      <c r="B46" s="5">
        <v>45110</v>
      </c>
      <c r="C46" s="4" t="s">
        <v>58</v>
      </c>
      <c r="D46" s="4" t="s">
        <v>13</v>
      </c>
      <c r="E46" s="4">
        <v>55</v>
      </c>
      <c r="F46" s="4" t="str">
        <f>IF(Table15678[[#This Row],[Age]]&lt;=19,"Teenager",IF(Table15678[[#This Row],[Age]]&lt;=40,"Median","Old"))</f>
        <v>Old</v>
      </c>
      <c r="G46" s="4" t="s">
        <v>16</v>
      </c>
      <c r="H46" s="4">
        <v>1</v>
      </c>
      <c r="I46" s="4">
        <v>30</v>
      </c>
      <c r="J46" s="4">
        <v>30</v>
      </c>
      <c r="K46" s="4" t="str" cm="1">
        <f t="array" ref="K46">_xlfn.IFS(AND(Table15678[[#This Row],[Total Amount]]&gt;=1500),"Critical",AND(Table15678[[#This Row],[Total Amount]]&gt;=1000),"High",TRUE,"Normal")</f>
        <v>Normal</v>
      </c>
      <c r="L46" s="4" t="str">
        <f>IF(Table15678[[#This Row],[Total Amount]]&gt;=1000,"High",(IF(Table15678[[#This Row],[Total Amount]]&gt;=500,"Medium","Low")))</f>
        <v>Low</v>
      </c>
      <c r="M46" s="4" t="str" cm="1">
        <f t="array" ref="M4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6" s="4" cm="1">
        <f t="array" ref="N4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46" s="4">
        <f>Table15678[[#This Row],[Total Amount]]-Table15678[[#This Row],[Discount Amount]]</f>
        <v>24</v>
      </c>
      <c r="P46" s="4" t="str">
        <f>IF(Table15678[[#This Row],[Total Amount]]&gt;=1000,"High","Low")</f>
        <v>Low</v>
      </c>
      <c r="Q46" s="4" t="str" cm="1">
        <f t="array" ref="Q46">_xlfn.IFS(AND(Table15678[[#This Row],[Total Amount]]&gt;=1500,"Critical"),AND(Table15678[[#This Row],[Total Amount]]&gt;=1000,"High"),TRUE,"Normal")</f>
        <v>Normal</v>
      </c>
      <c r="R46" s="4" t="str">
        <f>CONCATENATE(Table15678[[#This Row],[Customer ID]], "-",Table15678[[#This Row],[Age]])</f>
        <v>CUST045-55</v>
      </c>
      <c r="S46" s="4" t="str">
        <f>TEXT(Table15678[[#This Row],[Date]],"mmm")</f>
        <v>Jul</v>
      </c>
      <c r="T46" s="4" t="str">
        <f>TEXT(Table15678[[#This Row],[Date]],"DDD")</f>
        <v>Mon</v>
      </c>
    </row>
    <row r="47" spans="1:20" ht="29" x14ac:dyDescent="0.35">
      <c r="A47" s="4">
        <v>46</v>
      </c>
      <c r="B47" s="5">
        <v>45103</v>
      </c>
      <c r="C47" s="4" t="s">
        <v>59</v>
      </c>
      <c r="D47" s="4" t="s">
        <v>13</v>
      </c>
      <c r="E47" s="4">
        <v>20</v>
      </c>
      <c r="F47" s="4" t="str">
        <f>IF(Table15678[[#This Row],[Age]]&lt;=19,"Teenager",IF(Table15678[[#This Row],[Age]]&lt;=40,"Median","Old"))</f>
        <v>Median</v>
      </c>
      <c r="G47" s="4" t="s">
        <v>16</v>
      </c>
      <c r="H47" s="4">
        <v>4</v>
      </c>
      <c r="I47" s="4">
        <v>300</v>
      </c>
      <c r="J47" s="4">
        <v>1200</v>
      </c>
      <c r="K47" s="4" t="str" cm="1">
        <f t="array" ref="K47">_xlfn.IFS(AND(Table15678[[#This Row],[Total Amount]]&gt;=1500),"Critical",AND(Table15678[[#This Row],[Total Amount]]&gt;=1000),"High",TRUE,"Normal")</f>
        <v>High</v>
      </c>
      <c r="L47" s="4" t="str">
        <f>IF(Table15678[[#This Row],[Total Amount]]&gt;=1000,"High",(IF(Table15678[[#This Row],[Total Amount]]&gt;=500,"Medium","Low")))</f>
        <v>High</v>
      </c>
      <c r="M47" s="4" t="str" cm="1">
        <f t="array" ref="M4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47" s="4" cm="1">
        <f t="array" ref="N4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47" s="4">
        <f>Table15678[[#This Row],[Total Amount]]-Table15678[[#This Row],[Discount Amount]]</f>
        <v>1200</v>
      </c>
      <c r="P47" s="4" t="str">
        <f>IF(Table15678[[#This Row],[Total Amount]]&gt;=1000,"High","Low")</f>
        <v>High</v>
      </c>
      <c r="Q47" s="4" t="str" cm="1">
        <f t="array" ref="Q47">_xlfn.IFS(AND(Table15678[[#This Row],[Total Amount]]&gt;=1500,"Critical"),AND(Table15678[[#This Row],[Total Amount]]&gt;=1000,"High"),TRUE,"Normal")</f>
        <v>Normal</v>
      </c>
      <c r="R47" s="4" t="str">
        <f>CONCATENATE(Table15678[[#This Row],[Customer ID]], "-",Table15678[[#This Row],[Age]])</f>
        <v>CUST046-20</v>
      </c>
      <c r="S47" s="4" t="str">
        <f>TEXT(Table15678[[#This Row],[Date]],"mmm")</f>
        <v>Jun</v>
      </c>
      <c r="T47" s="4" t="str">
        <f>TEXT(Table15678[[#This Row],[Date]],"DDD")</f>
        <v>Mon</v>
      </c>
    </row>
    <row r="48" spans="1:20" ht="29" x14ac:dyDescent="0.35">
      <c r="A48" s="4">
        <v>47</v>
      </c>
      <c r="B48" s="5">
        <v>45236</v>
      </c>
      <c r="C48" s="4" t="s">
        <v>60</v>
      </c>
      <c r="D48" s="4" t="s">
        <v>13</v>
      </c>
      <c r="E48" s="4">
        <v>40</v>
      </c>
      <c r="F48" s="4" t="str">
        <f>IF(Table15678[[#This Row],[Age]]&lt;=19,"Teenager",IF(Table15678[[#This Row],[Age]]&lt;=40,"Median","Old"))</f>
        <v>Median</v>
      </c>
      <c r="G48" s="4" t="s">
        <v>11</v>
      </c>
      <c r="H48" s="4">
        <v>3</v>
      </c>
      <c r="I48" s="4">
        <v>500</v>
      </c>
      <c r="J48" s="4">
        <v>1500</v>
      </c>
      <c r="K48" s="4" t="str" cm="1">
        <f t="array" ref="K48">_xlfn.IFS(AND(Table15678[[#This Row],[Total Amount]]&gt;=1500),"Critical",AND(Table15678[[#This Row],[Total Amount]]&gt;=1000),"High",TRUE,"Normal")</f>
        <v>Critical</v>
      </c>
      <c r="L48" s="4" t="str">
        <f>IF(Table15678[[#This Row],[Total Amount]]&gt;=1000,"High",(IF(Table15678[[#This Row],[Total Amount]]&gt;=500,"Medium","Low")))</f>
        <v>High</v>
      </c>
      <c r="M48" s="4" t="str" cm="1">
        <f t="array" ref="M4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8" s="4" cm="1">
        <f t="array" ref="N4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48" s="4">
        <f>Table15678[[#This Row],[Total Amount]]-Table15678[[#This Row],[Discount Amount]]</f>
        <v>1200</v>
      </c>
      <c r="P48" s="4" t="str">
        <f>IF(Table15678[[#This Row],[Total Amount]]&gt;=1000,"High","Low")</f>
        <v>High</v>
      </c>
      <c r="Q48" s="4" t="b" cm="1">
        <f t="array" ref="Q48">_xlfn.IFS(AND(Table15678[[#This Row],[Total Amount]]&gt;=1500,"Critical"),AND(Table15678[[#This Row],[Total Amount]]&gt;=1000,"High"),TRUE,"Normal")</f>
        <v>1</v>
      </c>
      <c r="R48" s="4" t="str">
        <f>CONCATENATE(Table15678[[#This Row],[Customer ID]], "-",Table15678[[#This Row],[Age]])</f>
        <v>CUST047-40</v>
      </c>
      <c r="S48" s="4" t="str">
        <f>TEXT(Table15678[[#This Row],[Date]],"mmm")</f>
        <v>Nov</v>
      </c>
      <c r="T48" s="4" t="str">
        <f>TEXT(Table15678[[#This Row],[Date]],"DDD")</f>
        <v>Mon</v>
      </c>
    </row>
    <row r="49" spans="1:20" ht="29" x14ac:dyDescent="0.35">
      <c r="A49" s="4">
        <v>48</v>
      </c>
      <c r="B49" s="5">
        <v>45062</v>
      </c>
      <c r="C49" s="4" t="s">
        <v>61</v>
      </c>
      <c r="D49" s="4" t="s">
        <v>10</v>
      </c>
      <c r="E49" s="4">
        <v>54</v>
      </c>
      <c r="F49" s="4" t="str">
        <f>IF(Table15678[[#This Row],[Age]]&lt;=19,"Teenager",IF(Table15678[[#This Row],[Age]]&lt;=40,"Median","Old"))</f>
        <v>Old</v>
      </c>
      <c r="G49" s="4" t="s">
        <v>16</v>
      </c>
      <c r="H49" s="4">
        <v>3</v>
      </c>
      <c r="I49" s="4">
        <v>300</v>
      </c>
      <c r="J49" s="4">
        <v>900</v>
      </c>
      <c r="K49" s="4" t="str" cm="1">
        <f t="array" ref="K49">_xlfn.IFS(AND(Table15678[[#This Row],[Total Amount]]&gt;=1500),"Critical",AND(Table15678[[#This Row],[Total Amount]]&gt;=1000),"High",TRUE,"Normal")</f>
        <v>Normal</v>
      </c>
      <c r="L49" s="4" t="str">
        <f>IF(Table15678[[#This Row],[Total Amount]]&gt;=1000,"High",(IF(Table15678[[#This Row],[Total Amount]]&gt;=500,"Medium","Low")))</f>
        <v>Medium</v>
      </c>
      <c r="M49" s="4" t="str" cm="1">
        <f t="array" ref="M4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9" s="4" cm="1">
        <f t="array" ref="N4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49" s="4">
        <f>Table15678[[#This Row],[Total Amount]]-Table15678[[#This Row],[Discount Amount]]</f>
        <v>810</v>
      </c>
      <c r="P49" s="4" t="str">
        <f>IF(Table15678[[#This Row],[Total Amount]]&gt;=1000,"High","Low")</f>
        <v>Low</v>
      </c>
      <c r="Q49" s="4" t="str" cm="1">
        <f t="array" ref="Q49">_xlfn.IFS(AND(Table15678[[#This Row],[Total Amount]]&gt;=1500,"Critical"),AND(Table15678[[#This Row],[Total Amount]]&gt;=1000,"High"),TRUE,"Normal")</f>
        <v>Normal</v>
      </c>
      <c r="R49" s="4" t="str">
        <f>CONCATENATE(Table15678[[#This Row],[Customer ID]], "-",Table15678[[#This Row],[Age]])</f>
        <v>CUST048-54</v>
      </c>
      <c r="S49" s="4" t="str">
        <f>TEXT(Table15678[[#This Row],[Date]],"mmm")</f>
        <v>May</v>
      </c>
      <c r="T49" s="4" t="str">
        <f>TEXT(Table15678[[#This Row],[Date]],"DDD")</f>
        <v>Tue</v>
      </c>
    </row>
    <row r="50" spans="1:20" ht="29" x14ac:dyDescent="0.35">
      <c r="A50" s="4">
        <v>49</v>
      </c>
      <c r="B50" s="5">
        <v>44949</v>
      </c>
      <c r="C50" s="4" t="s">
        <v>62</v>
      </c>
      <c r="D50" s="4" t="s">
        <v>13</v>
      </c>
      <c r="E50" s="4">
        <v>54</v>
      </c>
      <c r="F50" s="4" t="str">
        <f>IF(Table15678[[#This Row],[Age]]&lt;=19,"Teenager",IF(Table15678[[#This Row],[Age]]&lt;=40,"Median","Old"))</f>
        <v>Old</v>
      </c>
      <c r="G50" s="4" t="s">
        <v>16</v>
      </c>
      <c r="H50" s="4">
        <v>2</v>
      </c>
      <c r="I50" s="4">
        <v>500</v>
      </c>
      <c r="J50" s="4">
        <v>1000</v>
      </c>
      <c r="K50" s="4" t="str" cm="1">
        <f t="array" ref="K50">_xlfn.IFS(AND(Table15678[[#This Row],[Total Amount]]&gt;=1500),"Critical",AND(Table15678[[#This Row],[Total Amount]]&gt;=1000),"High",TRUE,"Normal")</f>
        <v>High</v>
      </c>
      <c r="L50" s="4" t="str">
        <f>IF(Table15678[[#This Row],[Total Amount]]&gt;=1000,"High",(IF(Table15678[[#This Row],[Total Amount]]&gt;=500,"Medium","Low")))</f>
        <v>High</v>
      </c>
      <c r="M50" s="4" t="str" cm="1">
        <f t="array" ref="M5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0" s="4" cm="1">
        <f t="array" ref="N5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50" s="4">
        <f>Table15678[[#This Row],[Total Amount]]-Table15678[[#This Row],[Discount Amount]]</f>
        <v>800</v>
      </c>
      <c r="P50" s="4" t="str">
        <f>IF(Table15678[[#This Row],[Total Amount]]&gt;=1000,"High","Low")</f>
        <v>High</v>
      </c>
      <c r="Q50" s="4" t="str" cm="1">
        <f t="array" ref="Q50">_xlfn.IFS(AND(Table15678[[#This Row],[Total Amount]]&gt;=1500,"Critical"),AND(Table15678[[#This Row],[Total Amount]]&gt;=1000,"High"),TRUE,"Normal")</f>
        <v>Normal</v>
      </c>
      <c r="R50" s="4" t="str">
        <f>CONCATENATE(Table15678[[#This Row],[Customer ID]], "-",Table15678[[#This Row],[Age]])</f>
        <v>CUST049-54</v>
      </c>
      <c r="S50" s="4" t="str">
        <f>TEXT(Table15678[[#This Row],[Date]],"mmm")</f>
        <v>Jan</v>
      </c>
      <c r="T50" s="4" t="str">
        <f>TEXT(Table15678[[#This Row],[Date]],"DDD")</f>
        <v>Mon</v>
      </c>
    </row>
    <row r="51" spans="1:20" ht="29" x14ac:dyDescent="0.35">
      <c r="A51" s="4">
        <v>50</v>
      </c>
      <c r="B51" s="5">
        <v>45162</v>
      </c>
      <c r="C51" s="4" t="s">
        <v>63</v>
      </c>
      <c r="D51" s="4" t="s">
        <v>13</v>
      </c>
      <c r="E51" s="4">
        <v>27</v>
      </c>
      <c r="F51" s="4" t="str">
        <f>IF(Table15678[[#This Row],[Age]]&lt;=19,"Teenager",IF(Table15678[[#This Row],[Age]]&lt;=40,"Median","Old"))</f>
        <v>Median</v>
      </c>
      <c r="G51" s="4" t="s">
        <v>11</v>
      </c>
      <c r="H51" s="4">
        <v>3</v>
      </c>
      <c r="I51" s="4">
        <v>25</v>
      </c>
      <c r="J51" s="4">
        <v>75</v>
      </c>
      <c r="K51" s="4" t="str" cm="1">
        <f t="array" ref="K51">_xlfn.IFS(AND(Table15678[[#This Row],[Total Amount]]&gt;=1500),"Critical",AND(Table15678[[#This Row],[Total Amount]]&gt;=1000),"High",TRUE,"Normal")</f>
        <v>Normal</v>
      </c>
      <c r="L51" s="4" t="str">
        <f>IF(Table15678[[#This Row],[Total Amount]]&gt;=1000,"High",(IF(Table15678[[#This Row],[Total Amount]]&gt;=500,"Medium","Low")))</f>
        <v>Low</v>
      </c>
      <c r="M51" s="4" t="str" cm="1">
        <f t="array" ref="M5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1" s="4" cm="1">
        <f t="array" ref="N5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11.25</v>
      </c>
      <c r="O51" s="4">
        <f>Table15678[[#This Row],[Total Amount]]-Table15678[[#This Row],[Discount Amount]]</f>
        <v>63.75</v>
      </c>
      <c r="P51" s="4" t="str">
        <f>IF(Table15678[[#This Row],[Total Amount]]&gt;=1000,"High","Low")</f>
        <v>Low</v>
      </c>
      <c r="Q51" s="4" t="str" cm="1">
        <f t="array" ref="Q51">_xlfn.IFS(AND(Table15678[[#This Row],[Total Amount]]&gt;=1500,"Critical"),AND(Table15678[[#This Row],[Total Amount]]&gt;=1000,"High"),TRUE,"Normal")</f>
        <v>Normal</v>
      </c>
      <c r="R51" s="4" t="str">
        <f>CONCATENATE(Table15678[[#This Row],[Customer ID]], "-",Table15678[[#This Row],[Age]])</f>
        <v>CUST050-27</v>
      </c>
      <c r="S51" s="4" t="str">
        <f>TEXT(Table15678[[#This Row],[Date]],"mmm")</f>
        <v>Aug</v>
      </c>
      <c r="T51" s="4" t="str">
        <f>TEXT(Table15678[[#This Row],[Date]],"DDD")</f>
        <v>Thu</v>
      </c>
    </row>
    <row r="52" spans="1:20" ht="29" x14ac:dyDescent="0.35">
      <c r="A52" s="4">
        <v>51</v>
      </c>
      <c r="B52" s="5">
        <v>45201</v>
      </c>
      <c r="C52" s="4" t="s">
        <v>64</v>
      </c>
      <c r="D52" s="4" t="s">
        <v>10</v>
      </c>
      <c r="E52" s="4">
        <v>27</v>
      </c>
      <c r="F52" s="4" t="str">
        <f>IF(Table15678[[#This Row],[Age]]&lt;=19,"Teenager",IF(Table15678[[#This Row],[Age]]&lt;=40,"Median","Old"))</f>
        <v>Median</v>
      </c>
      <c r="G52" s="4" t="s">
        <v>11</v>
      </c>
      <c r="H52" s="4">
        <v>3</v>
      </c>
      <c r="I52" s="4">
        <v>25</v>
      </c>
      <c r="J52" s="4">
        <v>75</v>
      </c>
      <c r="K52" s="4" t="str" cm="1">
        <f t="array" ref="K52">_xlfn.IFS(AND(Table15678[[#This Row],[Total Amount]]&gt;=1500),"Critical",AND(Table15678[[#This Row],[Total Amount]]&gt;=1000),"High",TRUE,"Normal")</f>
        <v>Normal</v>
      </c>
      <c r="L52" s="4" t="str">
        <f>IF(Table15678[[#This Row],[Total Amount]]&gt;=1000,"High",(IF(Table15678[[#This Row],[Total Amount]]&gt;=500,"Medium","Low")))</f>
        <v>Low</v>
      </c>
      <c r="M52" s="4" t="str" cm="1">
        <f t="array" ref="M5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2" s="4" cm="1">
        <f t="array" ref="N5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11.25</v>
      </c>
      <c r="O52" s="4">
        <f>Table15678[[#This Row],[Total Amount]]-Table15678[[#This Row],[Discount Amount]]</f>
        <v>63.75</v>
      </c>
      <c r="P52" s="4" t="str">
        <f>IF(Table15678[[#This Row],[Total Amount]]&gt;=1000,"High","Low")</f>
        <v>Low</v>
      </c>
      <c r="Q52" s="4" t="str" cm="1">
        <f t="array" ref="Q52">_xlfn.IFS(AND(Table15678[[#This Row],[Total Amount]]&gt;=1500,"Critical"),AND(Table15678[[#This Row],[Total Amount]]&gt;=1000,"High"),TRUE,"Normal")</f>
        <v>Normal</v>
      </c>
      <c r="R52" s="4" t="str">
        <f>CONCATENATE(Table15678[[#This Row],[Customer ID]], "-",Table15678[[#This Row],[Age]])</f>
        <v>CUST051-27</v>
      </c>
      <c r="S52" s="4" t="str">
        <f>TEXT(Table15678[[#This Row],[Date]],"mmm")</f>
        <v>Oct</v>
      </c>
      <c r="T52" s="4" t="str">
        <f>TEXT(Table15678[[#This Row],[Date]],"DDD")</f>
        <v>Mon</v>
      </c>
    </row>
    <row r="53" spans="1:20" ht="29" x14ac:dyDescent="0.35">
      <c r="A53" s="4">
        <v>52</v>
      </c>
      <c r="B53" s="5">
        <v>44990</v>
      </c>
      <c r="C53" s="4" t="s">
        <v>65</v>
      </c>
      <c r="D53" s="4" t="s">
        <v>13</v>
      </c>
      <c r="E53" s="4">
        <v>36</v>
      </c>
      <c r="F53" s="4" t="str">
        <f>IF(Table15678[[#This Row],[Age]]&lt;=19,"Teenager",IF(Table15678[[#This Row],[Age]]&lt;=40,"Median","Old"))</f>
        <v>Median</v>
      </c>
      <c r="G53" s="4" t="s">
        <v>11</v>
      </c>
      <c r="H53" s="4">
        <v>1</v>
      </c>
      <c r="I53" s="4">
        <v>300</v>
      </c>
      <c r="J53" s="4">
        <v>300</v>
      </c>
      <c r="K53" s="4" t="str" cm="1">
        <f t="array" ref="K53">_xlfn.IFS(AND(Table15678[[#This Row],[Total Amount]]&gt;=1500),"Critical",AND(Table15678[[#This Row],[Total Amount]]&gt;=1000),"High",TRUE,"Normal")</f>
        <v>Normal</v>
      </c>
      <c r="L53" s="4" t="str">
        <f>IF(Table15678[[#This Row],[Total Amount]]&gt;=1000,"High",(IF(Table15678[[#This Row],[Total Amount]]&gt;=500,"Medium","Low")))</f>
        <v>Low</v>
      </c>
      <c r="M53" s="4" t="str" cm="1">
        <f t="array" ref="M5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3" s="4" cm="1">
        <f t="array" ref="N5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53" s="4">
        <f>Table15678[[#This Row],[Total Amount]]-Table15678[[#This Row],[Discount Amount]]</f>
        <v>240</v>
      </c>
      <c r="P53" s="4" t="str">
        <f>IF(Table15678[[#This Row],[Total Amount]]&gt;=1000,"High","Low")</f>
        <v>Low</v>
      </c>
      <c r="Q53" s="4" t="str" cm="1">
        <f t="array" ref="Q53">_xlfn.IFS(AND(Table15678[[#This Row],[Total Amount]]&gt;=1500,"Critical"),AND(Table15678[[#This Row],[Total Amount]]&gt;=1000,"High"),TRUE,"Normal")</f>
        <v>Normal</v>
      </c>
      <c r="R53" s="4" t="str">
        <f>CONCATENATE(Table15678[[#This Row],[Customer ID]], "-",Table15678[[#This Row],[Age]])</f>
        <v>CUST052-36</v>
      </c>
      <c r="S53" s="4" t="str">
        <f>TEXT(Table15678[[#This Row],[Date]],"mmm")</f>
        <v>Mar</v>
      </c>
      <c r="T53" s="4" t="str">
        <f>TEXT(Table15678[[#This Row],[Date]],"DDD")</f>
        <v>Sun</v>
      </c>
    </row>
    <row r="54" spans="1:20" ht="29" x14ac:dyDescent="0.35">
      <c r="A54" s="4">
        <v>53</v>
      </c>
      <c r="B54" s="5">
        <v>45120</v>
      </c>
      <c r="C54" s="4" t="s">
        <v>66</v>
      </c>
      <c r="D54" s="4" t="s">
        <v>10</v>
      </c>
      <c r="E54" s="4">
        <v>34</v>
      </c>
      <c r="F54" s="4" t="str">
        <f>IF(Table15678[[#This Row],[Age]]&lt;=19,"Teenager",IF(Table15678[[#This Row],[Age]]&lt;=40,"Median","Old"))</f>
        <v>Median</v>
      </c>
      <c r="G54" s="4" t="s">
        <v>16</v>
      </c>
      <c r="H54" s="4">
        <v>2</v>
      </c>
      <c r="I54" s="4">
        <v>50</v>
      </c>
      <c r="J54" s="4">
        <v>100</v>
      </c>
      <c r="K54" s="4" t="str" cm="1">
        <f t="array" ref="K54">_xlfn.IFS(AND(Table15678[[#This Row],[Total Amount]]&gt;=1500),"Critical",AND(Table15678[[#This Row],[Total Amount]]&gt;=1000),"High",TRUE,"Normal")</f>
        <v>Normal</v>
      </c>
      <c r="L54" s="4" t="str">
        <f>IF(Table15678[[#This Row],[Total Amount]]&gt;=1000,"High",(IF(Table15678[[#This Row],[Total Amount]]&gt;=500,"Medium","Low")))</f>
        <v>Low</v>
      </c>
      <c r="M54" s="4" t="str" cm="1">
        <f t="array" ref="M5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4" s="4" cm="1">
        <f t="array" ref="N5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54" s="4">
        <f>Table15678[[#This Row],[Total Amount]]-Table15678[[#This Row],[Discount Amount]]</f>
        <v>85</v>
      </c>
      <c r="P54" s="4" t="str">
        <f>IF(Table15678[[#This Row],[Total Amount]]&gt;=1000,"High","Low")</f>
        <v>Low</v>
      </c>
      <c r="Q54" s="4" t="str" cm="1">
        <f t="array" ref="Q54">_xlfn.IFS(AND(Table15678[[#This Row],[Total Amount]]&gt;=1500,"Critical"),AND(Table15678[[#This Row],[Total Amount]]&gt;=1000,"High"),TRUE,"Normal")</f>
        <v>Normal</v>
      </c>
      <c r="R54" s="4" t="str">
        <f>CONCATENATE(Table15678[[#This Row],[Customer ID]], "-",Table15678[[#This Row],[Age]])</f>
        <v>CUST053-34</v>
      </c>
      <c r="S54" s="4" t="str">
        <f>TEXT(Table15678[[#This Row],[Date]],"mmm")</f>
        <v>Jul</v>
      </c>
      <c r="T54" s="4" t="str">
        <f>TEXT(Table15678[[#This Row],[Date]],"DDD")</f>
        <v>Thu</v>
      </c>
    </row>
    <row r="55" spans="1:20" ht="29" x14ac:dyDescent="0.35">
      <c r="A55" s="4">
        <v>54</v>
      </c>
      <c r="B55" s="5">
        <v>44967</v>
      </c>
      <c r="C55" s="4" t="s">
        <v>67</v>
      </c>
      <c r="D55" s="4" t="s">
        <v>13</v>
      </c>
      <c r="E55" s="4">
        <v>38</v>
      </c>
      <c r="F55" s="4" t="str">
        <f>IF(Table15678[[#This Row],[Age]]&lt;=19,"Teenager",IF(Table15678[[#This Row],[Age]]&lt;=40,"Median","Old"))</f>
        <v>Median</v>
      </c>
      <c r="G55" s="4" t="s">
        <v>16</v>
      </c>
      <c r="H55" s="4">
        <v>3</v>
      </c>
      <c r="I55" s="4">
        <v>500</v>
      </c>
      <c r="J55" s="4">
        <v>1500</v>
      </c>
      <c r="K55" s="4" t="str" cm="1">
        <f t="array" ref="K55">_xlfn.IFS(AND(Table15678[[#This Row],[Total Amount]]&gt;=1500),"Critical",AND(Table15678[[#This Row],[Total Amount]]&gt;=1000),"High",TRUE,"Normal")</f>
        <v>Critical</v>
      </c>
      <c r="L55" s="4" t="str">
        <f>IF(Table15678[[#This Row],[Total Amount]]&gt;=1000,"High",(IF(Table15678[[#This Row],[Total Amount]]&gt;=500,"Medium","Low")))</f>
        <v>High</v>
      </c>
      <c r="M55" s="4" t="str" cm="1">
        <f t="array" ref="M5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5" s="4" cm="1">
        <f t="array" ref="N5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55" s="4">
        <f>Table15678[[#This Row],[Total Amount]]-Table15678[[#This Row],[Discount Amount]]</f>
        <v>1200</v>
      </c>
      <c r="P55" s="4" t="str">
        <f>IF(Table15678[[#This Row],[Total Amount]]&gt;=1000,"High","Low")</f>
        <v>High</v>
      </c>
      <c r="Q55" s="4" t="b" cm="1">
        <f t="array" ref="Q55">_xlfn.IFS(AND(Table15678[[#This Row],[Total Amount]]&gt;=1500,"Critical"),AND(Table15678[[#This Row],[Total Amount]]&gt;=1000,"High"),TRUE,"Normal")</f>
        <v>1</v>
      </c>
      <c r="R55" s="4" t="str">
        <f>CONCATENATE(Table15678[[#This Row],[Customer ID]], "-",Table15678[[#This Row],[Age]])</f>
        <v>CUST054-38</v>
      </c>
      <c r="S55" s="4" t="str">
        <f>TEXT(Table15678[[#This Row],[Date]],"mmm")</f>
        <v>Feb</v>
      </c>
      <c r="T55" s="4" t="str">
        <f>TEXT(Table15678[[#This Row],[Date]],"DDD")</f>
        <v>Fri</v>
      </c>
    </row>
    <row r="56" spans="1:20" ht="29" x14ac:dyDescent="0.35">
      <c r="A56" s="4">
        <v>55</v>
      </c>
      <c r="B56" s="5">
        <v>45209</v>
      </c>
      <c r="C56" s="4" t="s">
        <v>68</v>
      </c>
      <c r="D56" s="4" t="s">
        <v>10</v>
      </c>
      <c r="E56" s="4">
        <v>31</v>
      </c>
      <c r="F56" s="4" t="str">
        <f>IF(Table15678[[#This Row],[Age]]&lt;=19,"Teenager",IF(Table15678[[#This Row],[Age]]&lt;=40,"Median","Old"))</f>
        <v>Median</v>
      </c>
      <c r="G56" s="4" t="s">
        <v>11</v>
      </c>
      <c r="H56" s="4">
        <v>4</v>
      </c>
      <c r="I56" s="4">
        <v>30</v>
      </c>
      <c r="J56" s="4">
        <v>120</v>
      </c>
      <c r="K56" s="4" t="str" cm="1">
        <f t="array" ref="K56">_xlfn.IFS(AND(Table15678[[#This Row],[Total Amount]]&gt;=1500),"Critical",AND(Table15678[[#This Row],[Total Amount]]&gt;=1000),"High",TRUE,"Normal")</f>
        <v>Normal</v>
      </c>
      <c r="L56" s="4" t="str">
        <f>IF(Table15678[[#This Row],[Total Amount]]&gt;=1000,"High",(IF(Table15678[[#This Row],[Total Amount]]&gt;=500,"Medium","Low")))</f>
        <v>Low</v>
      </c>
      <c r="M56" s="4" t="str" cm="1">
        <f t="array" ref="M5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6" s="4" cm="1">
        <f t="array" ref="N5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</v>
      </c>
      <c r="O56" s="4">
        <f>Table15678[[#This Row],[Total Amount]]-Table15678[[#This Row],[Discount Amount]]</f>
        <v>102</v>
      </c>
      <c r="P56" s="4" t="str">
        <f>IF(Table15678[[#This Row],[Total Amount]]&gt;=1000,"High","Low")</f>
        <v>Low</v>
      </c>
      <c r="Q56" s="4" t="str" cm="1">
        <f t="array" ref="Q56">_xlfn.IFS(AND(Table15678[[#This Row],[Total Amount]]&gt;=1500,"Critical"),AND(Table15678[[#This Row],[Total Amount]]&gt;=1000,"High"),TRUE,"Normal")</f>
        <v>Normal</v>
      </c>
      <c r="R56" s="4" t="str">
        <f>CONCATENATE(Table15678[[#This Row],[Customer ID]], "-",Table15678[[#This Row],[Age]])</f>
        <v>CUST055-31</v>
      </c>
      <c r="S56" s="4" t="str">
        <f>TEXT(Table15678[[#This Row],[Date]],"mmm")</f>
        <v>Oct</v>
      </c>
      <c r="T56" s="4" t="str">
        <f>TEXT(Table15678[[#This Row],[Date]],"DDD")</f>
        <v>Tue</v>
      </c>
    </row>
    <row r="57" spans="1:20" ht="29" x14ac:dyDescent="0.35">
      <c r="A57" s="4">
        <v>56</v>
      </c>
      <c r="B57" s="5">
        <v>45077</v>
      </c>
      <c r="C57" s="4" t="s">
        <v>69</v>
      </c>
      <c r="D57" s="4" t="s">
        <v>13</v>
      </c>
      <c r="E57" s="4">
        <v>26</v>
      </c>
      <c r="F57" s="4" t="str">
        <f>IF(Table15678[[#This Row],[Age]]&lt;=19,"Teenager",IF(Table15678[[#This Row],[Age]]&lt;=40,"Median","Old"))</f>
        <v>Median</v>
      </c>
      <c r="G57" s="4" t="s">
        <v>14</v>
      </c>
      <c r="H57" s="4">
        <v>3</v>
      </c>
      <c r="I57" s="4">
        <v>300</v>
      </c>
      <c r="J57" s="4">
        <v>900</v>
      </c>
      <c r="K57" s="4" t="str" cm="1">
        <f t="array" ref="K57">_xlfn.IFS(AND(Table15678[[#This Row],[Total Amount]]&gt;=1500),"Critical",AND(Table15678[[#This Row],[Total Amount]]&gt;=1000),"High",TRUE,"Normal")</f>
        <v>Normal</v>
      </c>
      <c r="L57" s="4" t="str">
        <f>IF(Table15678[[#This Row],[Total Amount]]&gt;=1000,"High",(IF(Table15678[[#This Row],[Total Amount]]&gt;=500,"Medium","Low")))</f>
        <v>Medium</v>
      </c>
      <c r="M57" s="4" t="str" cm="1">
        <f t="array" ref="M5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7" s="4" cm="1">
        <f t="array" ref="N5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135</v>
      </c>
      <c r="O57" s="4">
        <f>Table15678[[#This Row],[Total Amount]]-Table15678[[#This Row],[Discount Amount]]</f>
        <v>765</v>
      </c>
      <c r="P57" s="4" t="str">
        <f>IF(Table15678[[#This Row],[Total Amount]]&gt;=1000,"High","Low")</f>
        <v>Low</v>
      </c>
      <c r="Q57" s="4" t="str" cm="1">
        <f t="array" ref="Q57">_xlfn.IFS(AND(Table15678[[#This Row],[Total Amount]]&gt;=1500,"Critical"),AND(Table15678[[#This Row],[Total Amount]]&gt;=1000,"High"),TRUE,"Normal")</f>
        <v>Normal</v>
      </c>
      <c r="R57" s="4" t="str">
        <f>CONCATENATE(Table15678[[#This Row],[Customer ID]], "-",Table15678[[#This Row],[Age]])</f>
        <v>CUST056-26</v>
      </c>
      <c r="S57" s="4" t="str">
        <f>TEXT(Table15678[[#This Row],[Date]],"mmm")</f>
        <v>May</v>
      </c>
      <c r="T57" s="4" t="str">
        <f>TEXT(Table15678[[#This Row],[Date]],"DDD")</f>
        <v>Wed</v>
      </c>
    </row>
    <row r="58" spans="1:20" ht="29" x14ac:dyDescent="0.35">
      <c r="A58" s="4">
        <v>57</v>
      </c>
      <c r="B58" s="5">
        <v>45248</v>
      </c>
      <c r="C58" s="4" t="s">
        <v>70</v>
      </c>
      <c r="D58" s="4" t="s">
        <v>13</v>
      </c>
      <c r="E58" s="4">
        <v>63</v>
      </c>
      <c r="F58" s="4" t="str">
        <f>IF(Table15678[[#This Row],[Age]]&lt;=19,"Teenager",IF(Table15678[[#This Row],[Age]]&lt;=40,"Median","Old"))</f>
        <v>Old</v>
      </c>
      <c r="G58" s="4" t="s">
        <v>11</v>
      </c>
      <c r="H58" s="4">
        <v>1</v>
      </c>
      <c r="I58" s="4">
        <v>30</v>
      </c>
      <c r="J58" s="4">
        <v>30</v>
      </c>
      <c r="K58" s="4" t="str" cm="1">
        <f t="array" ref="K58">_xlfn.IFS(AND(Table15678[[#This Row],[Total Amount]]&gt;=1500),"Critical",AND(Table15678[[#This Row],[Total Amount]]&gt;=1000),"High",TRUE,"Normal")</f>
        <v>Normal</v>
      </c>
      <c r="L58" s="4" t="str">
        <f>IF(Table15678[[#This Row],[Total Amount]]&gt;=1000,"High",(IF(Table15678[[#This Row],[Total Amount]]&gt;=500,"Medium","Low")))</f>
        <v>Low</v>
      </c>
      <c r="M58" s="4" t="str" cm="1">
        <f t="array" ref="M5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8" s="4" cm="1">
        <f t="array" ref="N5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58" s="4">
        <f>Table15678[[#This Row],[Total Amount]]-Table15678[[#This Row],[Discount Amount]]</f>
        <v>24</v>
      </c>
      <c r="P58" s="4" t="str">
        <f>IF(Table15678[[#This Row],[Total Amount]]&gt;=1000,"High","Low")</f>
        <v>Low</v>
      </c>
      <c r="Q58" s="4" t="str" cm="1">
        <f t="array" ref="Q58">_xlfn.IFS(AND(Table15678[[#This Row],[Total Amount]]&gt;=1500,"Critical"),AND(Table15678[[#This Row],[Total Amount]]&gt;=1000,"High"),TRUE,"Normal")</f>
        <v>Normal</v>
      </c>
      <c r="R58" s="4" t="str">
        <f>CONCATENATE(Table15678[[#This Row],[Customer ID]], "-",Table15678[[#This Row],[Age]])</f>
        <v>CUST057-63</v>
      </c>
      <c r="S58" s="4" t="str">
        <f>TEXT(Table15678[[#This Row],[Date]],"mmm")</f>
        <v>Nov</v>
      </c>
      <c r="T58" s="4" t="str">
        <f>TEXT(Table15678[[#This Row],[Date]],"DDD")</f>
        <v>Sat</v>
      </c>
    </row>
    <row r="59" spans="1:20" ht="29" x14ac:dyDescent="0.35">
      <c r="A59" s="4">
        <v>58</v>
      </c>
      <c r="B59" s="5">
        <v>45243</v>
      </c>
      <c r="C59" s="4" t="s">
        <v>71</v>
      </c>
      <c r="D59" s="4" t="s">
        <v>10</v>
      </c>
      <c r="E59" s="4">
        <v>18</v>
      </c>
      <c r="F59" s="4" t="str">
        <f>IF(Table15678[[#This Row],[Age]]&lt;=19,"Teenager",IF(Table15678[[#This Row],[Age]]&lt;=40,"Median","Old"))</f>
        <v>Teenager</v>
      </c>
      <c r="G59" s="4" t="s">
        <v>14</v>
      </c>
      <c r="H59" s="4">
        <v>4</v>
      </c>
      <c r="I59" s="4">
        <v>300</v>
      </c>
      <c r="J59" s="4">
        <v>1200</v>
      </c>
      <c r="K59" s="4" t="str" cm="1">
        <f t="array" ref="K59">_xlfn.IFS(AND(Table15678[[#This Row],[Total Amount]]&gt;=1500),"Critical",AND(Table15678[[#This Row],[Total Amount]]&gt;=1000),"High",TRUE,"Normal")</f>
        <v>High</v>
      </c>
      <c r="L59" s="4" t="str">
        <f>IF(Table15678[[#This Row],[Total Amount]]&gt;=1000,"High",(IF(Table15678[[#This Row],[Total Amount]]&gt;=500,"Medium","Low")))</f>
        <v>High</v>
      </c>
      <c r="M59" s="4" t="str" cm="1">
        <f t="array" ref="M5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59" s="4" cm="1">
        <f t="array" ref="N5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59" s="4">
        <f>Table15678[[#This Row],[Total Amount]]-Table15678[[#This Row],[Discount Amount]]</f>
        <v>1200</v>
      </c>
      <c r="P59" s="4" t="str">
        <f>IF(Table15678[[#This Row],[Total Amount]]&gt;=1000,"High","Low")</f>
        <v>High</v>
      </c>
      <c r="Q59" s="4" t="str" cm="1">
        <f t="array" ref="Q59">_xlfn.IFS(AND(Table15678[[#This Row],[Total Amount]]&gt;=1500,"Critical"),AND(Table15678[[#This Row],[Total Amount]]&gt;=1000,"High"),TRUE,"Normal")</f>
        <v>Normal</v>
      </c>
      <c r="R59" s="4" t="str">
        <f>CONCATENATE(Table15678[[#This Row],[Customer ID]], "-",Table15678[[#This Row],[Age]])</f>
        <v>CUST058-18</v>
      </c>
      <c r="S59" s="4" t="str">
        <f>TEXT(Table15678[[#This Row],[Date]],"mmm")</f>
        <v>Nov</v>
      </c>
      <c r="T59" s="4" t="str">
        <f>TEXT(Table15678[[#This Row],[Date]],"DDD")</f>
        <v>Mon</v>
      </c>
    </row>
    <row r="60" spans="1:20" ht="29" x14ac:dyDescent="0.35">
      <c r="A60" s="4">
        <v>59</v>
      </c>
      <c r="B60" s="5">
        <v>45112</v>
      </c>
      <c r="C60" s="4" t="s">
        <v>72</v>
      </c>
      <c r="D60" s="4" t="s">
        <v>10</v>
      </c>
      <c r="E60" s="4">
        <v>62</v>
      </c>
      <c r="F60" s="4" t="str">
        <f>IF(Table15678[[#This Row],[Age]]&lt;=19,"Teenager",IF(Table15678[[#This Row],[Age]]&lt;=40,"Median","Old"))</f>
        <v>Old</v>
      </c>
      <c r="G60" s="4" t="s">
        <v>14</v>
      </c>
      <c r="H60" s="4">
        <v>1</v>
      </c>
      <c r="I60" s="4">
        <v>50</v>
      </c>
      <c r="J60" s="4">
        <v>50</v>
      </c>
      <c r="K60" s="4" t="str" cm="1">
        <f t="array" ref="K60">_xlfn.IFS(AND(Table15678[[#This Row],[Total Amount]]&gt;=1500),"Critical",AND(Table15678[[#This Row],[Total Amount]]&gt;=1000),"High",TRUE,"Normal")</f>
        <v>Normal</v>
      </c>
      <c r="L60" s="4" t="str">
        <f>IF(Table15678[[#This Row],[Total Amount]]&gt;=1000,"High",(IF(Table15678[[#This Row],[Total Amount]]&gt;=500,"Medium","Low")))</f>
        <v>Low</v>
      </c>
      <c r="M60" s="4" t="str" cm="1">
        <f t="array" ref="M6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0" s="4" cm="1">
        <f t="array" ref="N6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60" s="4">
        <f>Table15678[[#This Row],[Total Amount]]-Table15678[[#This Row],[Discount Amount]]</f>
        <v>45</v>
      </c>
      <c r="P60" s="4" t="str">
        <f>IF(Table15678[[#This Row],[Total Amount]]&gt;=1000,"High","Low")</f>
        <v>Low</v>
      </c>
      <c r="Q60" s="4" t="str" cm="1">
        <f t="array" ref="Q60">_xlfn.IFS(AND(Table15678[[#This Row],[Total Amount]]&gt;=1500,"Critical"),AND(Table15678[[#This Row],[Total Amount]]&gt;=1000,"High"),TRUE,"Normal")</f>
        <v>Normal</v>
      </c>
      <c r="R60" s="4" t="str">
        <f>CONCATENATE(Table15678[[#This Row],[Customer ID]], "-",Table15678[[#This Row],[Age]])</f>
        <v>CUST059-62</v>
      </c>
      <c r="S60" s="4" t="str">
        <f>TEXT(Table15678[[#This Row],[Date]],"mmm")</f>
        <v>Jul</v>
      </c>
      <c r="T60" s="4" t="str">
        <f>TEXT(Table15678[[#This Row],[Date]],"DDD")</f>
        <v>Wed</v>
      </c>
    </row>
    <row r="61" spans="1:20" ht="29" x14ac:dyDescent="0.35">
      <c r="A61" s="4">
        <v>60</v>
      </c>
      <c r="B61" s="5">
        <v>45222</v>
      </c>
      <c r="C61" s="4" t="s">
        <v>73</v>
      </c>
      <c r="D61" s="4" t="s">
        <v>10</v>
      </c>
      <c r="E61" s="4">
        <v>30</v>
      </c>
      <c r="F61" s="4" t="str">
        <f>IF(Table15678[[#This Row],[Age]]&lt;=19,"Teenager",IF(Table15678[[#This Row],[Age]]&lt;=40,"Median","Old"))</f>
        <v>Median</v>
      </c>
      <c r="G61" s="4" t="s">
        <v>11</v>
      </c>
      <c r="H61" s="4">
        <v>3</v>
      </c>
      <c r="I61" s="4">
        <v>50</v>
      </c>
      <c r="J61" s="4">
        <v>150</v>
      </c>
      <c r="K61" s="4" t="str" cm="1">
        <f t="array" ref="K61">_xlfn.IFS(AND(Table15678[[#This Row],[Total Amount]]&gt;=1500),"Critical",AND(Table15678[[#This Row],[Total Amount]]&gt;=1000),"High",TRUE,"Normal")</f>
        <v>Normal</v>
      </c>
      <c r="L61" s="4" t="str">
        <f>IF(Table15678[[#This Row],[Total Amount]]&gt;=1000,"High",(IF(Table15678[[#This Row],[Total Amount]]&gt;=500,"Medium","Low")))</f>
        <v>Low</v>
      </c>
      <c r="M61" s="4" t="str" cm="1">
        <f t="array" ref="M6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1" s="4" cm="1">
        <f t="array" ref="N6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22.5</v>
      </c>
      <c r="O61" s="4">
        <f>Table15678[[#This Row],[Total Amount]]-Table15678[[#This Row],[Discount Amount]]</f>
        <v>127.5</v>
      </c>
      <c r="P61" s="4" t="str">
        <f>IF(Table15678[[#This Row],[Total Amount]]&gt;=1000,"High","Low")</f>
        <v>Low</v>
      </c>
      <c r="Q61" s="4" t="str" cm="1">
        <f t="array" ref="Q61">_xlfn.IFS(AND(Table15678[[#This Row],[Total Amount]]&gt;=1500,"Critical"),AND(Table15678[[#This Row],[Total Amount]]&gt;=1000,"High"),TRUE,"Normal")</f>
        <v>Normal</v>
      </c>
      <c r="R61" s="4" t="str">
        <f>CONCATENATE(Table15678[[#This Row],[Customer ID]], "-",Table15678[[#This Row],[Age]])</f>
        <v>CUST060-30</v>
      </c>
      <c r="S61" s="4" t="str">
        <f>TEXT(Table15678[[#This Row],[Date]],"mmm")</f>
        <v>Oct</v>
      </c>
      <c r="T61" s="4" t="str">
        <f>TEXT(Table15678[[#This Row],[Date]],"DDD")</f>
        <v>Mon</v>
      </c>
    </row>
    <row r="62" spans="1:20" ht="29" x14ac:dyDescent="0.35">
      <c r="A62" s="4">
        <v>61</v>
      </c>
      <c r="B62" s="5">
        <v>45025</v>
      </c>
      <c r="C62" s="4" t="s">
        <v>74</v>
      </c>
      <c r="D62" s="4" t="s">
        <v>10</v>
      </c>
      <c r="E62" s="4">
        <v>21</v>
      </c>
      <c r="F62" s="4" t="str">
        <f>IF(Table15678[[#This Row],[Age]]&lt;=19,"Teenager",IF(Table15678[[#This Row],[Age]]&lt;=40,"Median","Old"))</f>
        <v>Median</v>
      </c>
      <c r="G62" s="4" t="s">
        <v>11</v>
      </c>
      <c r="H62" s="4">
        <v>4</v>
      </c>
      <c r="I62" s="4">
        <v>50</v>
      </c>
      <c r="J62" s="4">
        <v>200</v>
      </c>
      <c r="K62" s="4" t="str" cm="1">
        <f t="array" ref="K62">_xlfn.IFS(AND(Table15678[[#This Row],[Total Amount]]&gt;=1500),"Critical",AND(Table15678[[#This Row],[Total Amount]]&gt;=1000),"High",TRUE,"Normal")</f>
        <v>Normal</v>
      </c>
      <c r="L62" s="4" t="str">
        <f>IF(Table15678[[#This Row],[Total Amount]]&gt;=1000,"High",(IF(Table15678[[#This Row],[Total Amount]]&gt;=500,"Medium","Low")))</f>
        <v>Low</v>
      </c>
      <c r="M62" s="4" t="str" cm="1">
        <f t="array" ref="M6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62" s="4" cm="1">
        <f t="array" ref="N6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62" s="4">
        <f>Table15678[[#This Row],[Total Amount]]-Table15678[[#This Row],[Discount Amount]]</f>
        <v>200</v>
      </c>
      <c r="P62" s="4" t="str">
        <f>IF(Table15678[[#This Row],[Total Amount]]&gt;=1000,"High","Low")</f>
        <v>Low</v>
      </c>
      <c r="Q62" s="4" t="str" cm="1">
        <f t="array" ref="Q62">_xlfn.IFS(AND(Table15678[[#This Row],[Total Amount]]&gt;=1500,"Critical"),AND(Table15678[[#This Row],[Total Amount]]&gt;=1000,"High"),TRUE,"Normal")</f>
        <v>Normal</v>
      </c>
      <c r="R62" s="4" t="str">
        <f>CONCATENATE(Table15678[[#This Row],[Customer ID]], "-",Table15678[[#This Row],[Age]])</f>
        <v>CUST061-21</v>
      </c>
      <c r="S62" s="4" t="str">
        <f>TEXT(Table15678[[#This Row],[Date]],"mmm")</f>
        <v>Apr</v>
      </c>
      <c r="T62" s="4" t="str">
        <f>TEXT(Table15678[[#This Row],[Date]],"DDD")</f>
        <v>Sun</v>
      </c>
    </row>
    <row r="63" spans="1:20" ht="29" x14ac:dyDescent="0.35">
      <c r="A63" s="4">
        <v>62</v>
      </c>
      <c r="B63" s="5">
        <v>45287</v>
      </c>
      <c r="C63" s="4" t="s">
        <v>75</v>
      </c>
      <c r="D63" s="4" t="s">
        <v>10</v>
      </c>
      <c r="E63" s="4">
        <v>18</v>
      </c>
      <c r="F63" s="4" t="str">
        <f>IF(Table15678[[#This Row],[Age]]&lt;=19,"Teenager",IF(Table15678[[#This Row],[Age]]&lt;=40,"Median","Old"))</f>
        <v>Teenager</v>
      </c>
      <c r="G63" s="4" t="s">
        <v>11</v>
      </c>
      <c r="H63" s="4">
        <v>2</v>
      </c>
      <c r="I63" s="4">
        <v>50</v>
      </c>
      <c r="J63" s="4">
        <v>100</v>
      </c>
      <c r="K63" s="4" t="str" cm="1">
        <f t="array" ref="K63">_xlfn.IFS(AND(Table15678[[#This Row],[Total Amount]]&gt;=1500),"Critical",AND(Table15678[[#This Row],[Total Amount]]&gt;=1000),"High",TRUE,"Normal")</f>
        <v>Normal</v>
      </c>
      <c r="L63" s="4" t="str">
        <f>IF(Table15678[[#This Row],[Total Amount]]&gt;=1000,"High",(IF(Table15678[[#This Row],[Total Amount]]&gt;=500,"Medium","Low")))</f>
        <v>Low</v>
      </c>
      <c r="M63" s="4" t="str" cm="1">
        <f t="array" ref="M6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63" s="4" cm="1">
        <f t="array" ref="N6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63" s="4">
        <f>Table15678[[#This Row],[Total Amount]]-Table15678[[#This Row],[Discount Amount]]</f>
        <v>100</v>
      </c>
      <c r="P63" s="4" t="str">
        <f>IF(Table15678[[#This Row],[Total Amount]]&gt;=1000,"High","Low")</f>
        <v>Low</v>
      </c>
      <c r="Q63" s="4" t="str" cm="1">
        <f t="array" ref="Q63">_xlfn.IFS(AND(Table15678[[#This Row],[Total Amount]]&gt;=1500,"Critical"),AND(Table15678[[#This Row],[Total Amount]]&gt;=1000,"High"),TRUE,"Normal")</f>
        <v>Normal</v>
      </c>
      <c r="R63" s="4" t="str">
        <f>CONCATENATE(Table15678[[#This Row],[Customer ID]], "-",Table15678[[#This Row],[Age]])</f>
        <v>CUST062-18</v>
      </c>
      <c r="S63" s="4" t="str">
        <f>TEXT(Table15678[[#This Row],[Date]],"mmm")</f>
        <v>Dec</v>
      </c>
      <c r="T63" s="4" t="str">
        <f>TEXT(Table15678[[#This Row],[Date]],"DDD")</f>
        <v>Wed</v>
      </c>
    </row>
    <row r="64" spans="1:20" ht="29" x14ac:dyDescent="0.35">
      <c r="A64" s="4">
        <v>63</v>
      </c>
      <c r="B64" s="5">
        <v>44962</v>
      </c>
      <c r="C64" s="4" t="s">
        <v>76</v>
      </c>
      <c r="D64" s="4" t="s">
        <v>10</v>
      </c>
      <c r="E64" s="4">
        <v>57</v>
      </c>
      <c r="F64" s="4" t="str">
        <f>IF(Table15678[[#This Row],[Age]]&lt;=19,"Teenager",IF(Table15678[[#This Row],[Age]]&lt;=40,"Median","Old"))</f>
        <v>Old</v>
      </c>
      <c r="G64" s="4" t="s">
        <v>16</v>
      </c>
      <c r="H64" s="4">
        <v>2</v>
      </c>
      <c r="I64" s="4">
        <v>25</v>
      </c>
      <c r="J64" s="4">
        <v>50</v>
      </c>
      <c r="K64" s="4" t="str" cm="1">
        <f t="array" ref="K64">_xlfn.IFS(AND(Table15678[[#This Row],[Total Amount]]&gt;=1500),"Critical",AND(Table15678[[#This Row],[Total Amount]]&gt;=1000),"High",TRUE,"Normal")</f>
        <v>Normal</v>
      </c>
      <c r="L64" s="4" t="str">
        <f>IF(Table15678[[#This Row],[Total Amount]]&gt;=1000,"High",(IF(Table15678[[#This Row],[Total Amount]]&gt;=500,"Medium","Low")))</f>
        <v>Low</v>
      </c>
      <c r="M64" s="4" t="str" cm="1">
        <f t="array" ref="M6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4" s="4" cm="1">
        <f t="array" ref="N6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64" s="4">
        <f>Table15678[[#This Row],[Total Amount]]-Table15678[[#This Row],[Discount Amount]]</f>
        <v>45</v>
      </c>
      <c r="P64" s="4" t="str">
        <f>IF(Table15678[[#This Row],[Total Amount]]&gt;=1000,"High","Low")</f>
        <v>Low</v>
      </c>
      <c r="Q64" s="4" t="str" cm="1">
        <f t="array" ref="Q64">_xlfn.IFS(AND(Table15678[[#This Row],[Total Amount]]&gt;=1500,"Critical"),AND(Table15678[[#This Row],[Total Amount]]&gt;=1000,"High"),TRUE,"Normal")</f>
        <v>Normal</v>
      </c>
      <c r="R64" s="4" t="str">
        <f>CONCATENATE(Table15678[[#This Row],[Customer ID]], "-",Table15678[[#This Row],[Age]])</f>
        <v>CUST063-57</v>
      </c>
      <c r="S64" s="4" t="str">
        <f>TEXT(Table15678[[#This Row],[Date]],"mmm")</f>
        <v>Feb</v>
      </c>
      <c r="T64" s="4" t="str">
        <f>TEXT(Table15678[[#This Row],[Date]],"DDD")</f>
        <v>Sun</v>
      </c>
    </row>
    <row r="65" spans="1:20" ht="29" x14ac:dyDescent="0.35">
      <c r="A65" s="4">
        <v>64</v>
      </c>
      <c r="B65" s="5">
        <v>44950</v>
      </c>
      <c r="C65" s="4" t="s">
        <v>77</v>
      </c>
      <c r="D65" s="4" t="s">
        <v>10</v>
      </c>
      <c r="E65" s="4">
        <v>49</v>
      </c>
      <c r="F65" s="4" t="str">
        <f>IF(Table15678[[#This Row],[Age]]&lt;=19,"Teenager",IF(Table15678[[#This Row],[Age]]&lt;=40,"Median","Old"))</f>
        <v>Old</v>
      </c>
      <c r="G65" s="4" t="s">
        <v>14</v>
      </c>
      <c r="H65" s="4">
        <v>4</v>
      </c>
      <c r="I65" s="4">
        <v>25</v>
      </c>
      <c r="J65" s="4">
        <v>100</v>
      </c>
      <c r="K65" s="4" t="str" cm="1">
        <f t="array" ref="K65">_xlfn.IFS(AND(Table15678[[#This Row],[Total Amount]]&gt;=1500),"Critical",AND(Table15678[[#This Row],[Total Amount]]&gt;=1000),"High",TRUE,"Normal")</f>
        <v>Normal</v>
      </c>
      <c r="L65" s="4" t="str">
        <f>IF(Table15678[[#This Row],[Total Amount]]&gt;=1000,"High",(IF(Table15678[[#This Row],[Total Amount]]&gt;=500,"Medium","Low")))</f>
        <v>Low</v>
      </c>
      <c r="M65" s="4" t="str" cm="1">
        <f t="array" ref="M6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5" s="4" cm="1">
        <f t="array" ref="N6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65" s="4">
        <f>Table15678[[#This Row],[Total Amount]]-Table15678[[#This Row],[Discount Amount]]</f>
        <v>90</v>
      </c>
      <c r="P65" s="4" t="str">
        <f>IF(Table15678[[#This Row],[Total Amount]]&gt;=1000,"High","Low")</f>
        <v>Low</v>
      </c>
      <c r="Q65" s="4" t="str" cm="1">
        <f t="array" ref="Q65">_xlfn.IFS(AND(Table15678[[#This Row],[Total Amount]]&gt;=1500,"Critical"),AND(Table15678[[#This Row],[Total Amount]]&gt;=1000,"High"),TRUE,"Normal")</f>
        <v>Normal</v>
      </c>
      <c r="R65" s="4" t="str">
        <f>CONCATENATE(Table15678[[#This Row],[Customer ID]], "-",Table15678[[#This Row],[Age]])</f>
        <v>CUST064-49</v>
      </c>
      <c r="S65" s="4" t="str">
        <f>TEXT(Table15678[[#This Row],[Date]],"mmm")</f>
        <v>Jan</v>
      </c>
      <c r="T65" s="4" t="str">
        <f>TEXT(Table15678[[#This Row],[Date]],"DDD")</f>
        <v>Tue</v>
      </c>
    </row>
    <row r="66" spans="1:20" ht="29" x14ac:dyDescent="0.35">
      <c r="A66" s="4">
        <v>65</v>
      </c>
      <c r="B66" s="5">
        <v>45265</v>
      </c>
      <c r="C66" s="4" t="s">
        <v>78</v>
      </c>
      <c r="D66" s="4" t="s">
        <v>10</v>
      </c>
      <c r="E66" s="4">
        <v>51</v>
      </c>
      <c r="F66" s="4" t="str">
        <f>IF(Table15678[[#This Row],[Age]]&lt;=19,"Teenager",IF(Table15678[[#This Row],[Age]]&lt;=40,"Median","Old"))</f>
        <v>Old</v>
      </c>
      <c r="G66" s="4" t="s">
        <v>16</v>
      </c>
      <c r="H66" s="4">
        <v>4</v>
      </c>
      <c r="I66" s="4">
        <v>500</v>
      </c>
      <c r="J66" s="4">
        <v>2000</v>
      </c>
      <c r="K66" s="4" t="str" cm="1">
        <f t="array" ref="K66">_xlfn.IFS(AND(Table15678[[#This Row],[Total Amount]]&gt;=1500),"Critical",AND(Table15678[[#This Row],[Total Amount]]&gt;=1000),"High",TRUE,"Normal")</f>
        <v>Critical</v>
      </c>
      <c r="L66" s="4" t="str">
        <f>IF(Table15678[[#This Row],[Total Amount]]&gt;=1000,"High",(IF(Table15678[[#This Row],[Total Amount]]&gt;=500,"Medium","Low")))</f>
        <v>High</v>
      </c>
      <c r="M66" s="4" t="str" cm="1">
        <f t="array" ref="M6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6" s="4" cm="1">
        <f t="array" ref="N6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66" s="4">
        <f>Table15678[[#This Row],[Total Amount]]-Table15678[[#This Row],[Discount Amount]]</f>
        <v>1800</v>
      </c>
      <c r="P66" s="4" t="str">
        <f>IF(Table15678[[#This Row],[Total Amount]]&gt;=1000,"High","Low")</f>
        <v>High</v>
      </c>
      <c r="Q66" s="4" t="b" cm="1">
        <f t="array" ref="Q66">_xlfn.IFS(AND(Table15678[[#This Row],[Total Amount]]&gt;=1500,"Critical"),AND(Table15678[[#This Row],[Total Amount]]&gt;=1000,"High"),TRUE,"Normal")</f>
        <v>1</v>
      </c>
      <c r="R66" s="4" t="str">
        <f>CONCATENATE(Table15678[[#This Row],[Customer ID]], "-",Table15678[[#This Row],[Age]])</f>
        <v>CUST065-51</v>
      </c>
      <c r="S66" s="4" t="str">
        <f>TEXT(Table15678[[#This Row],[Date]],"mmm")</f>
        <v>Dec</v>
      </c>
      <c r="T66" s="4" t="str">
        <f>TEXT(Table15678[[#This Row],[Date]],"DDD")</f>
        <v>Tue</v>
      </c>
    </row>
    <row r="67" spans="1:20" ht="29" x14ac:dyDescent="0.35">
      <c r="A67" s="4">
        <v>66</v>
      </c>
      <c r="B67" s="5">
        <v>45043</v>
      </c>
      <c r="C67" s="4" t="s">
        <v>79</v>
      </c>
      <c r="D67" s="4" t="s">
        <v>13</v>
      </c>
      <c r="E67" s="4">
        <v>45</v>
      </c>
      <c r="F67" s="4" t="str">
        <f>IF(Table15678[[#This Row],[Age]]&lt;=19,"Teenager",IF(Table15678[[#This Row],[Age]]&lt;=40,"Median","Old"))</f>
        <v>Old</v>
      </c>
      <c r="G67" s="4" t="s">
        <v>16</v>
      </c>
      <c r="H67" s="4">
        <v>1</v>
      </c>
      <c r="I67" s="4">
        <v>30</v>
      </c>
      <c r="J67" s="4">
        <v>30</v>
      </c>
      <c r="K67" s="4" t="str" cm="1">
        <f t="array" ref="K67">_xlfn.IFS(AND(Table15678[[#This Row],[Total Amount]]&gt;=1500),"Critical",AND(Table15678[[#This Row],[Total Amount]]&gt;=1000),"High",TRUE,"Normal")</f>
        <v>Normal</v>
      </c>
      <c r="L67" s="4" t="str">
        <f>IF(Table15678[[#This Row],[Total Amount]]&gt;=1000,"High",(IF(Table15678[[#This Row],[Total Amount]]&gt;=500,"Medium","Low")))</f>
        <v>Low</v>
      </c>
      <c r="M67" s="4" t="str" cm="1">
        <f t="array" ref="M6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7" s="4" cm="1">
        <f t="array" ref="N6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67" s="4">
        <f>Table15678[[#This Row],[Total Amount]]-Table15678[[#This Row],[Discount Amount]]</f>
        <v>24</v>
      </c>
      <c r="P67" s="4" t="str">
        <f>IF(Table15678[[#This Row],[Total Amount]]&gt;=1000,"High","Low")</f>
        <v>Low</v>
      </c>
      <c r="Q67" s="4" t="str" cm="1">
        <f t="array" ref="Q67">_xlfn.IFS(AND(Table15678[[#This Row],[Total Amount]]&gt;=1500,"Critical"),AND(Table15678[[#This Row],[Total Amount]]&gt;=1000,"High"),TRUE,"Normal")</f>
        <v>Normal</v>
      </c>
      <c r="R67" s="4" t="str">
        <f>CONCATENATE(Table15678[[#This Row],[Customer ID]], "-",Table15678[[#This Row],[Age]])</f>
        <v>CUST066-45</v>
      </c>
      <c r="S67" s="4" t="str">
        <f>TEXT(Table15678[[#This Row],[Date]],"mmm")</f>
        <v>Apr</v>
      </c>
      <c r="T67" s="4" t="str">
        <f>TEXT(Table15678[[#This Row],[Date]],"DDD")</f>
        <v>Thu</v>
      </c>
    </row>
    <row r="68" spans="1:20" ht="29" x14ac:dyDescent="0.35">
      <c r="A68" s="4">
        <v>67</v>
      </c>
      <c r="B68" s="5">
        <v>45075</v>
      </c>
      <c r="C68" s="4" t="s">
        <v>80</v>
      </c>
      <c r="D68" s="4" t="s">
        <v>13</v>
      </c>
      <c r="E68" s="4">
        <v>48</v>
      </c>
      <c r="F68" s="4" t="str">
        <f>IF(Table15678[[#This Row],[Age]]&lt;=19,"Teenager",IF(Table15678[[#This Row],[Age]]&lt;=40,"Median","Old"))</f>
        <v>Old</v>
      </c>
      <c r="G68" s="4" t="s">
        <v>11</v>
      </c>
      <c r="H68" s="4">
        <v>4</v>
      </c>
      <c r="I68" s="4">
        <v>300</v>
      </c>
      <c r="J68" s="4">
        <v>1200</v>
      </c>
      <c r="K68" s="4" t="str" cm="1">
        <f t="array" ref="K68">_xlfn.IFS(AND(Table15678[[#This Row],[Total Amount]]&gt;=1500),"Critical",AND(Table15678[[#This Row],[Total Amount]]&gt;=1000),"High",TRUE,"Normal")</f>
        <v>High</v>
      </c>
      <c r="L68" s="4" t="str">
        <f>IF(Table15678[[#This Row],[Total Amount]]&gt;=1000,"High",(IF(Table15678[[#This Row],[Total Amount]]&gt;=500,"Medium","Low")))</f>
        <v>High</v>
      </c>
      <c r="M68" s="4" t="str" cm="1">
        <f t="array" ref="M6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8" s="4" cm="1">
        <f t="array" ref="N6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240</v>
      </c>
      <c r="O68" s="4">
        <f>Table15678[[#This Row],[Total Amount]]-Table15678[[#This Row],[Discount Amount]]</f>
        <v>960</v>
      </c>
      <c r="P68" s="4" t="str">
        <f>IF(Table15678[[#This Row],[Total Amount]]&gt;=1000,"High","Low")</f>
        <v>High</v>
      </c>
      <c r="Q68" s="4" t="str" cm="1">
        <f t="array" ref="Q68">_xlfn.IFS(AND(Table15678[[#This Row],[Total Amount]]&gt;=1500,"Critical"),AND(Table15678[[#This Row],[Total Amount]]&gt;=1000,"High"),TRUE,"Normal")</f>
        <v>Normal</v>
      </c>
      <c r="R68" s="4" t="str">
        <f>CONCATENATE(Table15678[[#This Row],[Customer ID]], "-",Table15678[[#This Row],[Age]])</f>
        <v>CUST067-48</v>
      </c>
      <c r="S68" s="4" t="str">
        <f>TEXT(Table15678[[#This Row],[Date]],"mmm")</f>
        <v>May</v>
      </c>
      <c r="T68" s="4" t="str">
        <f>TEXT(Table15678[[#This Row],[Date]],"DDD")</f>
        <v>Mon</v>
      </c>
    </row>
    <row r="69" spans="1:20" ht="29" x14ac:dyDescent="0.35">
      <c r="A69" s="4">
        <v>68</v>
      </c>
      <c r="B69" s="5">
        <v>44967</v>
      </c>
      <c r="C69" s="4" t="s">
        <v>81</v>
      </c>
      <c r="D69" s="4" t="s">
        <v>10</v>
      </c>
      <c r="E69" s="4">
        <v>25</v>
      </c>
      <c r="F69" s="4" t="str">
        <f>IF(Table15678[[#This Row],[Age]]&lt;=19,"Teenager",IF(Table15678[[#This Row],[Age]]&lt;=40,"Median","Old"))</f>
        <v>Median</v>
      </c>
      <c r="G69" s="4" t="s">
        <v>16</v>
      </c>
      <c r="H69" s="4">
        <v>1</v>
      </c>
      <c r="I69" s="4">
        <v>300</v>
      </c>
      <c r="J69" s="4">
        <v>300</v>
      </c>
      <c r="K69" s="4" t="str" cm="1">
        <f t="array" ref="K69">_xlfn.IFS(AND(Table15678[[#This Row],[Total Amount]]&gt;=1500),"Critical",AND(Table15678[[#This Row],[Total Amount]]&gt;=1000),"High",TRUE,"Normal")</f>
        <v>Normal</v>
      </c>
      <c r="L69" s="4" t="str">
        <f>IF(Table15678[[#This Row],[Total Amount]]&gt;=1000,"High",(IF(Table15678[[#This Row],[Total Amount]]&gt;=500,"Medium","Low")))</f>
        <v>Low</v>
      </c>
      <c r="M69" s="4" t="str" cm="1">
        <f t="array" ref="M6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9" s="4" cm="1">
        <f t="array" ref="N6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45</v>
      </c>
      <c r="O69" s="4">
        <f>Table15678[[#This Row],[Total Amount]]-Table15678[[#This Row],[Discount Amount]]</f>
        <v>255</v>
      </c>
      <c r="P69" s="4" t="str">
        <f>IF(Table15678[[#This Row],[Total Amount]]&gt;=1000,"High","Low")</f>
        <v>Low</v>
      </c>
      <c r="Q69" s="4" t="str" cm="1">
        <f t="array" ref="Q69">_xlfn.IFS(AND(Table15678[[#This Row],[Total Amount]]&gt;=1500,"Critical"),AND(Table15678[[#This Row],[Total Amount]]&gt;=1000,"High"),TRUE,"Normal")</f>
        <v>Normal</v>
      </c>
      <c r="R69" s="4" t="str">
        <f>CONCATENATE(Table15678[[#This Row],[Customer ID]], "-",Table15678[[#This Row],[Age]])</f>
        <v>CUST068-25</v>
      </c>
      <c r="S69" s="4" t="str">
        <f>TEXT(Table15678[[#This Row],[Date]],"mmm")</f>
        <v>Feb</v>
      </c>
      <c r="T69" s="4" t="str">
        <f>TEXT(Table15678[[#This Row],[Date]],"DDD")</f>
        <v>Fri</v>
      </c>
    </row>
    <row r="70" spans="1:20" ht="29" x14ac:dyDescent="0.35">
      <c r="A70" s="4">
        <v>69</v>
      </c>
      <c r="B70" s="5">
        <v>45046</v>
      </c>
      <c r="C70" s="4" t="s">
        <v>82</v>
      </c>
      <c r="D70" s="4" t="s">
        <v>13</v>
      </c>
      <c r="E70" s="4">
        <v>56</v>
      </c>
      <c r="F70" s="4" t="str">
        <f>IF(Table15678[[#This Row],[Age]]&lt;=19,"Teenager",IF(Table15678[[#This Row],[Age]]&lt;=40,"Median","Old"))</f>
        <v>Old</v>
      </c>
      <c r="G70" s="4" t="s">
        <v>11</v>
      </c>
      <c r="H70" s="4">
        <v>3</v>
      </c>
      <c r="I70" s="4">
        <v>25</v>
      </c>
      <c r="J70" s="4">
        <v>75</v>
      </c>
      <c r="K70" s="4" t="str" cm="1">
        <f t="array" ref="K70">_xlfn.IFS(AND(Table15678[[#This Row],[Total Amount]]&gt;=1500),"Critical",AND(Table15678[[#This Row],[Total Amount]]&gt;=1000),"High",TRUE,"Normal")</f>
        <v>Normal</v>
      </c>
      <c r="L70" s="4" t="str">
        <f>IF(Table15678[[#This Row],[Total Amount]]&gt;=1000,"High",(IF(Table15678[[#This Row],[Total Amount]]&gt;=500,"Medium","Low")))</f>
        <v>Low</v>
      </c>
      <c r="M70" s="4" t="str" cm="1">
        <f t="array" ref="M7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0" s="4" cm="1">
        <f t="array" ref="N7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70" s="4">
        <f>Table15678[[#This Row],[Total Amount]]-Table15678[[#This Row],[Discount Amount]]</f>
        <v>60</v>
      </c>
      <c r="P70" s="4" t="str">
        <f>IF(Table15678[[#This Row],[Total Amount]]&gt;=1000,"High","Low")</f>
        <v>Low</v>
      </c>
      <c r="Q70" s="4" t="str" cm="1">
        <f t="array" ref="Q70">_xlfn.IFS(AND(Table15678[[#This Row],[Total Amount]]&gt;=1500,"Critical"),AND(Table15678[[#This Row],[Total Amount]]&gt;=1000,"High"),TRUE,"Normal")</f>
        <v>Normal</v>
      </c>
      <c r="R70" s="4" t="str">
        <f>CONCATENATE(Table15678[[#This Row],[Customer ID]], "-",Table15678[[#This Row],[Age]])</f>
        <v>CUST069-56</v>
      </c>
      <c r="S70" s="4" t="str">
        <f>TEXT(Table15678[[#This Row],[Date]],"mmm")</f>
        <v>Apr</v>
      </c>
      <c r="T70" s="4" t="str">
        <f>TEXT(Table15678[[#This Row],[Date]],"DDD")</f>
        <v>Sun</v>
      </c>
    </row>
    <row r="71" spans="1:20" ht="29" x14ac:dyDescent="0.35">
      <c r="A71" s="4">
        <v>70</v>
      </c>
      <c r="B71" s="5">
        <v>44978</v>
      </c>
      <c r="C71" s="4" t="s">
        <v>83</v>
      </c>
      <c r="D71" s="4" t="s">
        <v>13</v>
      </c>
      <c r="E71" s="4">
        <v>43</v>
      </c>
      <c r="F71" s="4" t="str">
        <f>IF(Table15678[[#This Row],[Age]]&lt;=19,"Teenager",IF(Table15678[[#This Row],[Age]]&lt;=40,"Median","Old"))</f>
        <v>Old</v>
      </c>
      <c r="G71" s="4" t="s">
        <v>14</v>
      </c>
      <c r="H71" s="4">
        <v>1</v>
      </c>
      <c r="I71" s="4">
        <v>300</v>
      </c>
      <c r="J71" s="4">
        <v>300</v>
      </c>
      <c r="K71" s="4" t="str" cm="1">
        <f t="array" ref="K71">_xlfn.IFS(AND(Table15678[[#This Row],[Total Amount]]&gt;=1500),"Critical",AND(Table15678[[#This Row],[Total Amount]]&gt;=1000),"High",TRUE,"Normal")</f>
        <v>Normal</v>
      </c>
      <c r="L71" s="4" t="str">
        <f>IF(Table15678[[#This Row],[Total Amount]]&gt;=1000,"High",(IF(Table15678[[#This Row],[Total Amount]]&gt;=500,"Medium","Low")))</f>
        <v>Low</v>
      </c>
      <c r="M71" s="4" t="str" cm="1">
        <f t="array" ref="M7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1" s="4" cm="1">
        <f t="array" ref="N7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71" s="4">
        <f>Table15678[[#This Row],[Total Amount]]-Table15678[[#This Row],[Discount Amount]]</f>
        <v>240</v>
      </c>
      <c r="P71" s="4" t="str">
        <f>IF(Table15678[[#This Row],[Total Amount]]&gt;=1000,"High","Low")</f>
        <v>Low</v>
      </c>
      <c r="Q71" s="4" t="str" cm="1">
        <f t="array" ref="Q71">_xlfn.IFS(AND(Table15678[[#This Row],[Total Amount]]&gt;=1500,"Critical"),AND(Table15678[[#This Row],[Total Amount]]&gt;=1000,"High"),TRUE,"Normal")</f>
        <v>Normal</v>
      </c>
      <c r="R71" s="4" t="str">
        <f>CONCATENATE(Table15678[[#This Row],[Customer ID]], "-",Table15678[[#This Row],[Age]])</f>
        <v>CUST070-43</v>
      </c>
      <c r="S71" s="4" t="str">
        <f>TEXT(Table15678[[#This Row],[Date]],"mmm")</f>
        <v>Feb</v>
      </c>
      <c r="T71" s="4" t="str">
        <f>TEXT(Table15678[[#This Row],[Date]],"DDD")</f>
        <v>Tue</v>
      </c>
    </row>
    <row r="72" spans="1:20" ht="29" x14ac:dyDescent="0.35">
      <c r="A72" s="4">
        <v>71</v>
      </c>
      <c r="B72" s="5">
        <v>45121</v>
      </c>
      <c r="C72" s="4" t="s">
        <v>84</v>
      </c>
      <c r="D72" s="4" t="s">
        <v>13</v>
      </c>
      <c r="E72" s="4">
        <v>51</v>
      </c>
      <c r="F72" s="4" t="str">
        <f>IF(Table15678[[#This Row],[Age]]&lt;=19,"Teenager",IF(Table15678[[#This Row],[Age]]&lt;=40,"Median","Old"))</f>
        <v>Old</v>
      </c>
      <c r="G72" s="4" t="s">
        <v>11</v>
      </c>
      <c r="H72" s="4">
        <v>4</v>
      </c>
      <c r="I72" s="4">
        <v>25</v>
      </c>
      <c r="J72" s="4">
        <v>100</v>
      </c>
      <c r="K72" s="4" t="str" cm="1">
        <f t="array" ref="K72">_xlfn.IFS(AND(Table15678[[#This Row],[Total Amount]]&gt;=1500),"Critical",AND(Table15678[[#This Row],[Total Amount]]&gt;=1000),"High",TRUE,"Normal")</f>
        <v>Normal</v>
      </c>
      <c r="L72" s="4" t="str">
        <f>IF(Table15678[[#This Row],[Total Amount]]&gt;=1000,"High",(IF(Table15678[[#This Row],[Total Amount]]&gt;=500,"Medium","Low")))</f>
        <v>Low</v>
      </c>
      <c r="M72" s="4" t="str" cm="1">
        <f t="array" ref="M7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2" s="4" cm="1">
        <f t="array" ref="N7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72" s="4">
        <f>Table15678[[#This Row],[Total Amount]]-Table15678[[#This Row],[Discount Amount]]</f>
        <v>80</v>
      </c>
      <c r="P72" s="4" t="str">
        <f>IF(Table15678[[#This Row],[Total Amount]]&gt;=1000,"High","Low")</f>
        <v>Low</v>
      </c>
      <c r="Q72" s="4" t="str" cm="1">
        <f t="array" ref="Q72">_xlfn.IFS(AND(Table15678[[#This Row],[Total Amount]]&gt;=1500,"Critical"),AND(Table15678[[#This Row],[Total Amount]]&gt;=1000,"High"),TRUE,"Normal")</f>
        <v>Normal</v>
      </c>
      <c r="R72" s="4" t="str">
        <f>CONCATENATE(Table15678[[#This Row],[Customer ID]], "-",Table15678[[#This Row],[Age]])</f>
        <v>CUST071-51</v>
      </c>
      <c r="S72" s="4" t="str">
        <f>TEXT(Table15678[[#This Row],[Date]],"mmm")</f>
        <v>Jul</v>
      </c>
      <c r="T72" s="4" t="str">
        <f>TEXT(Table15678[[#This Row],[Date]],"DDD")</f>
        <v>Fri</v>
      </c>
    </row>
    <row r="73" spans="1:20" ht="29" x14ac:dyDescent="0.35">
      <c r="A73" s="4">
        <v>72</v>
      </c>
      <c r="B73" s="5">
        <v>45069</v>
      </c>
      <c r="C73" s="4" t="s">
        <v>85</v>
      </c>
      <c r="D73" s="4" t="s">
        <v>13</v>
      </c>
      <c r="E73" s="4">
        <v>20</v>
      </c>
      <c r="F73" s="4" t="str">
        <f>IF(Table15678[[#This Row],[Age]]&lt;=19,"Teenager",IF(Table15678[[#This Row],[Age]]&lt;=40,"Median","Old"))</f>
        <v>Median</v>
      </c>
      <c r="G73" s="4" t="s">
        <v>16</v>
      </c>
      <c r="H73" s="4">
        <v>4</v>
      </c>
      <c r="I73" s="4">
        <v>500</v>
      </c>
      <c r="J73" s="4">
        <v>2000</v>
      </c>
      <c r="K73" s="4" t="str" cm="1">
        <f t="array" ref="K73">_xlfn.IFS(AND(Table15678[[#This Row],[Total Amount]]&gt;=1500),"Critical",AND(Table15678[[#This Row],[Total Amount]]&gt;=1000),"High",TRUE,"Normal")</f>
        <v>Critical</v>
      </c>
      <c r="L73" s="4" t="str">
        <f>IF(Table15678[[#This Row],[Total Amount]]&gt;=1000,"High",(IF(Table15678[[#This Row],[Total Amount]]&gt;=500,"Medium","Low")))</f>
        <v>High</v>
      </c>
      <c r="M73" s="4" t="str" cm="1">
        <f t="array" ref="M7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73" s="4" cm="1">
        <f t="array" ref="N7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73" s="4">
        <f>Table15678[[#This Row],[Total Amount]]-Table15678[[#This Row],[Discount Amount]]</f>
        <v>2000</v>
      </c>
      <c r="P73" s="4" t="str">
        <f>IF(Table15678[[#This Row],[Total Amount]]&gt;=1000,"High","Low")</f>
        <v>High</v>
      </c>
      <c r="Q73" s="4" t="b" cm="1">
        <f t="array" ref="Q73">_xlfn.IFS(AND(Table15678[[#This Row],[Total Amount]]&gt;=1500,"Critical"),AND(Table15678[[#This Row],[Total Amount]]&gt;=1000,"High"),TRUE,"Normal")</f>
        <v>1</v>
      </c>
      <c r="R73" s="4" t="str">
        <f>CONCATENATE(Table15678[[#This Row],[Customer ID]], "-",Table15678[[#This Row],[Age]])</f>
        <v>CUST072-20</v>
      </c>
      <c r="S73" s="4" t="str">
        <f>TEXT(Table15678[[#This Row],[Date]],"mmm")</f>
        <v>May</v>
      </c>
      <c r="T73" s="4" t="str">
        <f>TEXT(Table15678[[#This Row],[Date]],"DDD")</f>
        <v>Tue</v>
      </c>
    </row>
    <row r="74" spans="1:20" ht="29" x14ac:dyDescent="0.35">
      <c r="A74" s="4">
        <v>73</v>
      </c>
      <c r="B74" s="5">
        <v>45159</v>
      </c>
      <c r="C74" s="4" t="s">
        <v>86</v>
      </c>
      <c r="D74" s="4" t="s">
        <v>10</v>
      </c>
      <c r="E74" s="4">
        <v>29</v>
      </c>
      <c r="F74" s="4" t="str">
        <f>IF(Table15678[[#This Row],[Age]]&lt;=19,"Teenager",IF(Table15678[[#This Row],[Age]]&lt;=40,"Median","Old"))</f>
        <v>Median</v>
      </c>
      <c r="G74" s="4" t="s">
        <v>16</v>
      </c>
      <c r="H74" s="4">
        <v>3</v>
      </c>
      <c r="I74" s="4">
        <v>30</v>
      </c>
      <c r="J74" s="4">
        <v>90</v>
      </c>
      <c r="K74" s="4" t="str" cm="1">
        <f t="array" ref="K74">_xlfn.IFS(AND(Table15678[[#This Row],[Total Amount]]&gt;=1500),"Critical",AND(Table15678[[#This Row],[Total Amount]]&gt;=1000),"High",TRUE,"Normal")</f>
        <v>Normal</v>
      </c>
      <c r="L74" s="4" t="str">
        <f>IF(Table15678[[#This Row],[Total Amount]]&gt;=1000,"High",(IF(Table15678[[#This Row],[Total Amount]]&gt;=500,"Medium","Low")))</f>
        <v>Low</v>
      </c>
      <c r="M74" s="4" t="str" cm="1">
        <f t="array" ref="M7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4" s="4" cm="1">
        <f t="array" ref="N7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13.5</v>
      </c>
      <c r="O74" s="4">
        <f>Table15678[[#This Row],[Total Amount]]-Table15678[[#This Row],[Discount Amount]]</f>
        <v>76.5</v>
      </c>
      <c r="P74" s="4" t="str">
        <f>IF(Table15678[[#This Row],[Total Amount]]&gt;=1000,"High","Low")</f>
        <v>Low</v>
      </c>
      <c r="Q74" s="4" t="str" cm="1">
        <f t="array" ref="Q74">_xlfn.IFS(AND(Table15678[[#This Row],[Total Amount]]&gt;=1500,"Critical"),AND(Table15678[[#This Row],[Total Amount]]&gt;=1000,"High"),TRUE,"Normal")</f>
        <v>Normal</v>
      </c>
      <c r="R74" s="4" t="str">
        <f>CONCATENATE(Table15678[[#This Row],[Customer ID]], "-",Table15678[[#This Row],[Age]])</f>
        <v>CUST073-29</v>
      </c>
      <c r="S74" s="4" t="str">
        <f>TEXT(Table15678[[#This Row],[Date]],"mmm")</f>
        <v>Aug</v>
      </c>
      <c r="T74" s="4" t="str">
        <f>TEXT(Table15678[[#This Row],[Date]],"DDD")</f>
        <v>Mon</v>
      </c>
    </row>
    <row r="75" spans="1:20" ht="29" x14ac:dyDescent="0.35">
      <c r="A75" s="4">
        <v>74</v>
      </c>
      <c r="B75" s="5">
        <v>45252</v>
      </c>
      <c r="C75" s="4" t="s">
        <v>87</v>
      </c>
      <c r="D75" s="4" t="s">
        <v>13</v>
      </c>
      <c r="E75" s="4">
        <v>18</v>
      </c>
      <c r="F75" s="4" t="str">
        <f>IF(Table15678[[#This Row],[Age]]&lt;=19,"Teenager",IF(Table15678[[#This Row],[Age]]&lt;=40,"Median","Old"))</f>
        <v>Teenager</v>
      </c>
      <c r="G75" s="4" t="s">
        <v>11</v>
      </c>
      <c r="H75" s="4">
        <v>4</v>
      </c>
      <c r="I75" s="4">
        <v>500</v>
      </c>
      <c r="J75" s="4">
        <v>2000</v>
      </c>
      <c r="K75" s="4" t="str" cm="1">
        <f t="array" ref="K75">_xlfn.IFS(AND(Table15678[[#This Row],[Total Amount]]&gt;=1500),"Critical",AND(Table15678[[#This Row],[Total Amount]]&gt;=1000),"High",TRUE,"Normal")</f>
        <v>Critical</v>
      </c>
      <c r="L75" s="4" t="str">
        <f>IF(Table15678[[#This Row],[Total Amount]]&gt;=1000,"High",(IF(Table15678[[#This Row],[Total Amount]]&gt;=500,"Medium","Low")))</f>
        <v>High</v>
      </c>
      <c r="M75" s="4" t="str" cm="1">
        <f t="array" ref="M7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75" s="4" cm="1">
        <f t="array" ref="N7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75" s="4">
        <f>Table15678[[#This Row],[Total Amount]]-Table15678[[#This Row],[Discount Amount]]</f>
        <v>2000</v>
      </c>
      <c r="P75" s="4" t="str">
        <f>IF(Table15678[[#This Row],[Total Amount]]&gt;=1000,"High","Low")</f>
        <v>High</v>
      </c>
      <c r="Q75" s="4" t="b" cm="1">
        <f t="array" ref="Q75">_xlfn.IFS(AND(Table15678[[#This Row],[Total Amount]]&gt;=1500,"Critical"),AND(Table15678[[#This Row],[Total Amount]]&gt;=1000,"High"),TRUE,"Normal")</f>
        <v>1</v>
      </c>
      <c r="R75" s="4" t="str">
        <f>CONCATENATE(Table15678[[#This Row],[Customer ID]], "-",Table15678[[#This Row],[Age]])</f>
        <v>CUST074-18</v>
      </c>
      <c r="S75" s="4" t="str">
        <f>TEXT(Table15678[[#This Row],[Date]],"mmm")</f>
        <v>Nov</v>
      </c>
      <c r="T75" s="4" t="str">
        <f>TEXT(Table15678[[#This Row],[Date]],"DDD")</f>
        <v>Wed</v>
      </c>
    </row>
    <row r="76" spans="1:20" ht="29" x14ac:dyDescent="0.35">
      <c r="A76" s="4">
        <v>75</v>
      </c>
      <c r="B76" s="5">
        <v>45113</v>
      </c>
      <c r="C76" s="4" t="s">
        <v>88</v>
      </c>
      <c r="D76" s="4" t="s">
        <v>10</v>
      </c>
      <c r="E76" s="4">
        <v>61</v>
      </c>
      <c r="F76" s="4" t="str">
        <f>IF(Table15678[[#This Row],[Age]]&lt;=19,"Teenager",IF(Table15678[[#This Row],[Age]]&lt;=40,"Median","Old"))</f>
        <v>Old</v>
      </c>
      <c r="G76" s="4" t="s">
        <v>11</v>
      </c>
      <c r="H76" s="4">
        <v>4</v>
      </c>
      <c r="I76" s="4">
        <v>50</v>
      </c>
      <c r="J76" s="4">
        <v>200</v>
      </c>
      <c r="K76" s="4" t="str" cm="1">
        <f t="array" ref="K76">_xlfn.IFS(AND(Table15678[[#This Row],[Total Amount]]&gt;=1500),"Critical",AND(Table15678[[#This Row],[Total Amount]]&gt;=1000),"High",TRUE,"Normal")</f>
        <v>Normal</v>
      </c>
      <c r="L76" s="4" t="str">
        <f>IF(Table15678[[#This Row],[Total Amount]]&gt;=1000,"High",(IF(Table15678[[#This Row],[Total Amount]]&gt;=500,"Medium","Low")))</f>
        <v>Low</v>
      </c>
      <c r="M76" s="4" t="str" cm="1">
        <f t="array" ref="M7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6" s="4" cm="1">
        <f t="array" ref="N7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76" s="4">
        <f>Table15678[[#This Row],[Total Amount]]-Table15678[[#This Row],[Discount Amount]]</f>
        <v>180</v>
      </c>
      <c r="P76" s="4" t="str">
        <f>IF(Table15678[[#This Row],[Total Amount]]&gt;=1000,"High","Low")</f>
        <v>Low</v>
      </c>
      <c r="Q76" s="4" t="str" cm="1">
        <f t="array" ref="Q76">_xlfn.IFS(AND(Table15678[[#This Row],[Total Amount]]&gt;=1500,"Critical"),AND(Table15678[[#This Row],[Total Amount]]&gt;=1000,"High"),TRUE,"Normal")</f>
        <v>Normal</v>
      </c>
      <c r="R76" s="4" t="str">
        <f>CONCATENATE(Table15678[[#This Row],[Customer ID]], "-",Table15678[[#This Row],[Age]])</f>
        <v>CUST075-61</v>
      </c>
      <c r="S76" s="4" t="str">
        <f>TEXT(Table15678[[#This Row],[Date]],"mmm")</f>
        <v>Jul</v>
      </c>
      <c r="T76" s="4" t="str">
        <f>TEXT(Table15678[[#This Row],[Date]],"DDD")</f>
        <v>Thu</v>
      </c>
    </row>
    <row r="77" spans="1:20" ht="29" x14ac:dyDescent="0.35">
      <c r="A77" s="4">
        <v>76</v>
      </c>
      <c r="B77" s="5">
        <v>45010</v>
      </c>
      <c r="C77" s="4" t="s">
        <v>89</v>
      </c>
      <c r="D77" s="4" t="s">
        <v>13</v>
      </c>
      <c r="E77" s="4">
        <v>22</v>
      </c>
      <c r="F77" s="4" t="str">
        <f>IF(Table15678[[#This Row],[Age]]&lt;=19,"Teenager",IF(Table15678[[#This Row],[Age]]&lt;=40,"Median","Old"))</f>
        <v>Median</v>
      </c>
      <c r="G77" s="4" t="s">
        <v>16</v>
      </c>
      <c r="H77" s="4">
        <v>2</v>
      </c>
      <c r="I77" s="4">
        <v>50</v>
      </c>
      <c r="J77" s="4">
        <v>100</v>
      </c>
      <c r="K77" s="4" t="str" cm="1">
        <f t="array" ref="K77">_xlfn.IFS(AND(Table15678[[#This Row],[Total Amount]]&gt;=1500),"Critical",AND(Table15678[[#This Row],[Total Amount]]&gt;=1000),"High",TRUE,"Normal")</f>
        <v>Normal</v>
      </c>
      <c r="L77" s="4" t="str">
        <f>IF(Table15678[[#This Row],[Total Amount]]&gt;=1000,"High",(IF(Table15678[[#This Row],[Total Amount]]&gt;=500,"Medium","Low")))</f>
        <v>Low</v>
      </c>
      <c r="M77" s="4" t="str" cm="1">
        <f t="array" ref="M7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77" s="4" cm="1">
        <f t="array" ref="N7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77" s="4">
        <f>Table15678[[#This Row],[Total Amount]]-Table15678[[#This Row],[Discount Amount]]</f>
        <v>100</v>
      </c>
      <c r="P77" s="4" t="str">
        <f>IF(Table15678[[#This Row],[Total Amount]]&gt;=1000,"High","Low")</f>
        <v>Low</v>
      </c>
      <c r="Q77" s="4" t="str" cm="1">
        <f t="array" ref="Q77">_xlfn.IFS(AND(Table15678[[#This Row],[Total Amount]]&gt;=1500,"Critical"),AND(Table15678[[#This Row],[Total Amount]]&gt;=1000,"High"),TRUE,"Normal")</f>
        <v>Normal</v>
      </c>
      <c r="R77" s="4" t="str">
        <f>CONCATENATE(Table15678[[#This Row],[Customer ID]], "-",Table15678[[#This Row],[Age]])</f>
        <v>CUST076-22</v>
      </c>
      <c r="S77" s="4" t="str">
        <f>TEXT(Table15678[[#This Row],[Date]],"mmm")</f>
        <v>Mar</v>
      </c>
      <c r="T77" s="4" t="str">
        <f>TEXT(Table15678[[#This Row],[Date]],"DDD")</f>
        <v>Sat</v>
      </c>
    </row>
    <row r="78" spans="1:20" ht="29" x14ac:dyDescent="0.35">
      <c r="A78" s="4">
        <v>77</v>
      </c>
      <c r="B78" s="5">
        <v>45116</v>
      </c>
      <c r="C78" s="4" t="s">
        <v>90</v>
      </c>
      <c r="D78" s="4" t="s">
        <v>13</v>
      </c>
      <c r="E78" s="4">
        <v>47</v>
      </c>
      <c r="F78" s="4" t="str">
        <f>IF(Table15678[[#This Row],[Age]]&lt;=19,"Teenager",IF(Table15678[[#This Row],[Age]]&lt;=40,"Median","Old"))</f>
        <v>Old</v>
      </c>
      <c r="G78" s="4" t="s">
        <v>14</v>
      </c>
      <c r="H78" s="4">
        <v>2</v>
      </c>
      <c r="I78" s="4">
        <v>50</v>
      </c>
      <c r="J78" s="4">
        <v>100</v>
      </c>
      <c r="K78" s="4" t="str" cm="1">
        <f t="array" ref="K78">_xlfn.IFS(AND(Table15678[[#This Row],[Total Amount]]&gt;=1500),"Critical",AND(Table15678[[#This Row],[Total Amount]]&gt;=1000),"High",TRUE,"Normal")</f>
        <v>Normal</v>
      </c>
      <c r="L78" s="4" t="str">
        <f>IF(Table15678[[#This Row],[Total Amount]]&gt;=1000,"High",(IF(Table15678[[#This Row],[Total Amount]]&gt;=500,"Medium","Low")))</f>
        <v>Low</v>
      </c>
      <c r="M78" s="4" t="str" cm="1">
        <f t="array" ref="M7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8" s="4" cm="1">
        <f t="array" ref="N7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78" s="4">
        <f>Table15678[[#This Row],[Total Amount]]-Table15678[[#This Row],[Discount Amount]]</f>
        <v>80</v>
      </c>
      <c r="P78" s="4" t="str">
        <f>IF(Table15678[[#This Row],[Total Amount]]&gt;=1000,"High","Low")</f>
        <v>Low</v>
      </c>
      <c r="Q78" s="4" t="str" cm="1">
        <f t="array" ref="Q78">_xlfn.IFS(AND(Table15678[[#This Row],[Total Amount]]&gt;=1500,"Critical"),AND(Table15678[[#This Row],[Total Amount]]&gt;=1000,"High"),TRUE,"Normal")</f>
        <v>Normal</v>
      </c>
      <c r="R78" s="4" t="str">
        <f>CONCATENATE(Table15678[[#This Row],[Customer ID]], "-",Table15678[[#This Row],[Age]])</f>
        <v>CUST077-47</v>
      </c>
      <c r="S78" s="4" t="str">
        <f>TEXT(Table15678[[#This Row],[Date]],"mmm")</f>
        <v>Jul</v>
      </c>
      <c r="T78" s="4" t="str">
        <f>TEXT(Table15678[[#This Row],[Date]],"DDD")</f>
        <v>Sun</v>
      </c>
    </row>
    <row r="79" spans="1:20" ht="29" x14ac:dyDescent="0.35">
      <c r="A79" s="4">
        <v>78</v>
      </c>
      <c r="B79" s="5">
        <v>45108</v>
      </c>
      <c r="C79" s="4" t="s">
        <v>91</v>
      </c>
      <c r="D79" s="4" t="s">
        <v>13</v>
      </c>
      <c r="E79" s="4">
        <v>47</v>
      </c>
      <c r="F79" s="4" t="str">
        <f>IF(Table15678[[#This Row],[Age]]&lt;=19,"Teenager",IF(Table15678[[#This Row],[Age]]&lt;=40,"Median","Old"))</f>
        <v>Old</v>
      </c>
      <c r="G79" s="4" t="s">
        <v>14</v>
      </c>
      <c r="H79" s="4">
        <v>3</v>
      </c>
      <c r="I79" s="4">
        <v>500</v>
      </c>
      <c r="J79" s="4">
        <v>1500</v>
      </c>
      <c r="K79" s="4" t="str" cm="1">
        <f t="array" ref="K79">_xlfn.IFS(AND(Table15678[[#This Row],[Total Amount]]&gt;=1500),"Critical",AND(Table15678[[#This Row],[Total Amount]]&gt;=1000),"High",TRUE,"Normal")</f>
        <v>Critical</v>
      </c>
      <c r="L79" s="4" t="str">
        <f>IF(Table15678[[#This Row],[Total Amount]]&gt;=1000,"High",(IF(Table15678[[#This Row],[Total Amount]]&gt;=500,"Medium","Low")))</f>
        <v>High</v>
      </c>
      <c r="M79" s="4" t="str" cm="1">
        <f t="array" ref="M7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9" s="4" cm="1">
        <f t="array" ref="N7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79" s="4">
        <f>Table15678[[#This Row],[Total Amount]]-Table15678[[#This Row],[Discount Amount]]</f>
        <v>1200</v>
      </c>
      <c r="P79" s="4" t="str">
        <f>IF(Table15678[[#This Row],[Total Amount]]&gt;=1000,"High","Low")</f>
        <v>High</v>
      </c>
      <c r="Q79" s="4" t="b" cm="1">
        <f t="array" ref="Q79">_xlfn.IFS(AND(Table15678[[#This Row],[Total Amount]]&gt;=1500,"Critical"),AND(Table15678[[#This Row],[Total Amount]]&gt;=1000,"High"),TRUE,"Normal")</f>
        <v>1</v>
      </c>
      <c r="R79" s="4" t="str">
        <f>CONCATENATE(Table15678[[#This Row],[Customer ID]], "-",Table15678[[#This Row],[Age]])</f>
        <v>CUST078-47</v>
      </c>
      <c r="S79" s="4" t="str">
        <f>TEXT(Table15678[[#This Row],[Date]],"mmm")</f>
        <v>Jul</v>
      </c>
      <c r="T79" s="4" t="str">
        <f>TEXT(Table15678[[#This Row],[Date]],"DDD")</f>
        <v>Sat</v>
      </c>
    </row>
    <row r="80" spans="1:20" ht="29" x14ac:dyDescent="0.35">
      <c r="A80" s="4">
        <v>79</v>
      </c>
      <c r="B80" s="5">
        <v>45034</v>
      </c>
      <c r="C80" s="4" t="s">
        <v>92</v>
      </c>
      <c r="D80" s="4" t="s">
        <v>10</v>
      </c>
      <c r="E80" s="4">
        <v>34</v>
      </c>
      <c r="F80" s="4" t="str">
        <f>IF(Table15678[[#This Row],[Age]]&lt;=19,"Teenager",IF(Table15678[[#This Row],[Age]]&lt;=40,"Median","Old"))</f>
        <v>Median</v>
      </c>
      <c r="G80" s="4" t="s">
        <v>11</v>
      </c>
      <c r="H80" s="4">
        <v>1</v>
      </c>
      <c r="I80" s="4">
        <v>300</v>
      </c>
      <c r="J80" s="4">
        <v>300</v>
      </c>
      <c r="K80" s="4" t="str" cm="1">
        <f t="array" ref="K80">_xlfn.IFS(AND(Table15678[[#This Row],[Total Amount]]&gt;=1500),"Critical",AND(Table15678[[#This Row],[Total Amount]]&gt;=1000),"High",TRUE,"Normal")</f>
        <v>Normal</v>
      </c>
      <c r="L80" s="4" t="str">
        <f>IF(Table15678[[#This Row],[Total Amount]]&gt;=1000,"High",(IF(Table15678[[#This Row],[Total Amount]]&gt;=500,"Medium","Low")))</f>
        <v>Low</v>
      </c>
      <c r="M80" s="4" t="str" cm="1">
        <f t="array" ref="M8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0" s="4" cm="1">
        <f t="array" ref="N8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45</v>
      </c>
      <c r="O80" s="4">
        <f>Table15678[[#This Row],[Total Amount]]-Table15678[[#This Row],[Discount Amount]]</f>
        <v>255</v>
      </c>
      <c r="P80" s="4" t="str">
        <f>IF(Table15678[[#This Row],[Total Amount]]&gt;=1000,"High","Low")</f>
        <v>Low</v>
      </c>
      <c r="Q80" s="4" t="str" cm="1">
        <f t="array" ref="Q80">_xlfn.IFS(AND(Table15678[[#This Row],[Total Amount]]&gt;=1500,"Critical"),AND(Table15678[[#This Row],[Total Amount]]&gt;=1000,"High"),TRUE,"Normal")</f>
        <v>Normal</v>
      </c>
      <c r="R80" s="4" t="str">
        <f>CONCATENATE(Table15678[[#This Row],[Customer ID]], "-",Table15678[[#This Row],[Age]])</f>
        <v>CUST079-34</v>
      </c>
      <c r="S80" s="4" t="str">
        <f>TEXT(Table15678[[#This Row],[Date]],"mmm")</f>
        <v>Apr</v>
      </c>
      <c r="T80" s="4" t="str">
        <f>TEXT(Table15678[[#This Row],[Date]],"DDD")</f>
        <v>Tue</v>
      </c>
    </row>
    <row r="81" spans="1:20" ht="29" x14ac:dyDescent="0.35">
      <c r="A81" s="4">
        <v>80</v>
      </c>
      <c r="B81" s="5">
        <v>45270</v>
      </c>
      <c r="C81" s="4" t="s">
        <v>93</v>
      </c>
      <c r="D81" s="4" t="s">
        <v>13</v>
      </c>
      <c r="E81" s="4">
        <v>64</v>
      </c>
      <c r="F81" s="4" t="str">
        <f>IF(Table15678[[#This Row],[Age]]&lt;=19,"Teenager",IF(Table15678[[#This Row],[Age]]&lt;=40,"Median","Old"))</f>
        <v>Old</v>
      </c>
      <c r="G81" s="4" t="s">
        <v>14</v>
      </c>
      <c r="H81" s="4">
        <v>2</v>
      </c>
      <c r="I81" s="4">
        <v>30</v>
      </c>
      <c r="J81" s="4">
        <v>60</v>
      </c>
      <c r="K81" s="4" t="str" cm="1">
        <f t="array" ref="K81">_xlfn.IFS(AND(Table15678[[#This Row],[Total Amount]]&gt;=1500),"Critical",AND(Table15678[[#This Row],[Total Amount]]&gt;=1000),"High",TRUE,"Normal")</f>
        <v>Normal</v>
      </c>
      <c r="L81" s="4" t="str">
        <f>IF(Table15678[[#This Row],[Total Amount]]&gt;=1000,"High",(IF(Table15678[[#This Row],[Total Amount]]&gt;=500,"Medium","Low")))</f>
        <v>Low</v>
      </c>
      <c r="M81" s="4" t="str" cm="1">
        <f t="array" ref="M8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1" s="4" cm="1">
        <f t="array" ref="N8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81" s="4">
        <f>Table15678[[#This Row],[Total Amount]]-Table15678[[#This Row],[Discount Amount]]</f>
        <v>48</v>
      </c>
      <c r="P81" s="4" t="str">
        <f>IF(Table15678[[#This Row],[Total Amount]]&gt;=1000,"High","Low")</f>
        <v>Low</v>
      </c>
      <c r="Q81" s="4" t="str" cm="1">
        <f t="array" ref="Q81">_xlfn.IFS(AND(Table15678[[#This Row],[Total Amount]]&gt;=1500,"Critical"),AND(Table15678[[#This Row],[Total Amount]]&gt;=1000,"High"),TRUE,"Normal")</f>
        <v>Normal</v>
      </c>
      <c r="R81" s="4" t="str">
        <f>CONCATENATE(Table15678[[#This Row],[Customer ID]], "-",Table15678[[#This Row],[Age]])</f>
        <v>CUST080-64</v>
      </c>
      <c r="S81" s="4" t="str">
        <f>TEXT(Table15678[[#This Row],[Date]],"mmm")</f>
        <v>Dec</v>
      </c>
      <c r="T81" s="4" t="str">
        <f>TEXT(Table15678[[#This Row],[Date]],"DDD")</f>
        <v>Sun</v>
      </c>
    </row>
    <row r="82" spans="1:20" ht="29" x14ac:dyDescent="0.35">
      <c r="A82" s="4">
        <v>81</v>
      </c>
      <c r="B82" s="5">
        <v>45063</v>
      </c>
      <c r="C82" s="4" t="s">
        <v>94</v>
      </c>
      <c r="D82" s="4" t="s">
        <v>10</v>
      </c>
      <c r="E82" s="4">
        <v>40</v>
      </c>
      <c r="F82" s="4" t="str">
        <f>IF(Table15678[[#This Row],[Age]]&lt;=19,"Teenager",IF(Table15678[[#This Row],[Age]]&lt;=40,"Median","Old"))</f>
        <v>Median</v>
      </c>
      <c r="G82" s="4" t="s">
        <v>16</v>
      </c>
      <c r="H82" s="4">
        <v>1</v>
      </c>
      <c r="I82" s="4">
        <v>50</v>
      </c>
      <c r="J82" s="4">
        <v>50</v>
      </c>
      <c r="K82" s="4" t="str" cm="1">
        <f t="array" ref="K82">_xlfn.IFS(AND(Table15678[[#This Row],[Total Amount]]&gt;=1500),"Critical",AND(Table15678[[#This Row],[Total Amount]]&gt;=1000),"High",TRUE,"Normal")</f>
        <v>Normal</v>
      </c>
      <c r="L82" s="4" t="str">
        <f>IF(Table15678[[#This Row],[Total Amount]]&gt;=1000,"High",(IF(Table15678[[#This Row],[Total Amount]]&gt;=500,"Medium","Low")))</f>
        <v>Low</v>
      </c>
      <c r="M82" s="4" t="str" cm="1">
        <f t="array" ref="M8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2" s="4" cm="1">
        <f t="array" ref="N8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82" s="4">
        <f>Table15678[[#This Row],[Total Amount]]-Table15678[[#This Row],[Discount Amount]]</f>
        <v>45</v>
      </c>
      <c r="P82" s="4" t="str">
        <f>IF(Table15678[[#This Row],[Total Amount]]&gt;=1000,"High","Low")</f>
        <v>Low</v>
      </c>
      <c r="Q82" s="4" t="str" cm="1">
        <f t="array" ref="Q82">_xlfn.IFS(AND(Table15678[[#This Row],[Total Amount]]&gt;=1500,"Critical"),AND(Table15678[[#This Row],[Total Amount]]&gt;=1000,"High"),TRUE,"Normal")</f>
        <v>Normal</v>
      </c>
      <c r="R82" s="4" t="str">
        <f>CONCATENATE(Table15678[[#This Row],[Customer ID]], "-",Table15678[[#This Row],[Age]])</f>
        <v>CUST081-40</v>
      </c>
      <c r="S82" s="4" t="str">
        <f>TEXT(Table15678[[#This Row],[Date]],"mmm")</f>
        <v>May</v>
      </c>
      <c r="T82" s="4" t="str">
        <f>TEXT(Table15678[[#This Row],[Date]],"DDD")</f>
        <v>Wed</v>
      </c>
    </row>
    <row r="83" spans="1:20" ht="29" x14ac:dyDescent="0.35">
      <c r="A83" s="4">
        <v>82</v>
      </c>
      <c r="B83" s="5">
        <v>45286</v>
      </c>
      <c r="C83" s="4" t="s">
        <v>95</v>
      </c>
      <c r="D83" s="4" t="s">
        <v>13</v>
      </c>
      <c r="E83" s="4">
        <v>32</v>
      </c>
      <c r="F83" s="4" t="str">
        <f>IF(Table15678[[#This Row],[Age]]&lt;=19,"Teenager",IF(Table15678[[#This Row],[Age]]&lt;=40,"Median","Old"))</f>
        <v>Median</v>
      </c>
      <c r="G83" s="4" t="s">
        <v>11</v>
      </c>
      <c r="H83" s="4">
        <v>4</v>
      </c>
      <c r="I83" s="4">
        <v>50</v>
      </c>
      <c r="J83" s="4">
        <v>200</v>
      </c>
      <c r="K83" s="4" t="str" cm="1">
        <f t="array" ref="K83">_xlfn.IFS(AND(Table15678[[#This Row],[Total Amount]]&gt;=1500),"Critical",AND(Table15678[[#This Row],[Total Amount]]&gt;=1000),"High",TRUE,"Normal")</f>
        <v>Normal</v>
      </c>
      <c r="L83" s="4" t="str">
        <f>IF(Table15678[[#This Row],[Total Amount]]&gt;=1000,"High",(IF(Table15678[[#This Row],[Total Amount]]&gt;=500,"Medium","Low")))</f>
        <v>Low</v>
      </c>
      <c r="M83" s="4" t="str" cm="1">
        <f t="array" ref="M8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3" s="4" cm="1">
        <f t="array" ref="N8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83" s="4">
        <f>Table15678[[#This Row],[Total Amount]]-Table15678[[#This Row],[Discount Amount]]</f>
        <v>170</v>
      </c>
      <c r="P83" s="4" t="str">
        <f>IF(Table15678[[#This Row],[Total Amount]]&gt;=1000,"High","Low")</f>
        <v>Low</v>
      </c>
      <c r="Q83" s="4" t="str" cm="1">
        <f t="array" ref="Q83">_xlfn.IFS(AND(Table15678[[#This Row],[Total Amount]]&gt;=1500,"Critical"),AND(Table15678[[#This Row],[Total Amount]]&gt;=1000,"High"),TRUE,"Normal")</f>
        <v>Normal</v>
      </c>
      <c r="R83" s="4" t="str">
        <f>CONCATENATE(Table15678[[#This Row],[Customer ID]], "-",Table15678[[#This Row],[Age]])</f>
        <v>CUST082-32</v>
      </c>
      <c r="S83" s="4" t="str">
        <f>TEXT(Table15678[[#This Row],[Date]],"mmm")</f>
        <v>Dec</v>
      </c>
      <c r="T83" s="4" t="str">
        <f>TEXT(Table15678[[#This Row],[Date]],"DDD")</f>
        <v>Tue</v>
      </c>
    </row>
    <row r="84" spans="1:20" ht="29" x14ac:dyDescent="0.35">
      <c r="A84" s="4">
        <v>83</v>
      </c>
      <c r="B84" s="5">
        <v>45276</v>
      </c>
      <c r="C84" s="4" t="s">
        <v>96</v>
      </c>
      <c r="D84" s="4" t="s">
        <v>10</v>
      </c>
      <c r="E84" s="4">
        <v>54</v>
      </c>
      <c r="F84" s="4" t="str">
        <f>IF(Table15678[[#This Row],[Age]]&lt;=19,"Teenager",IF(Table15678[[#This Row],[Age]]&lt;=40,"Median","Old"))</f>
        <v>Old</v>
      </c>
      <c r="G84" s="4" t="s">
        <v>16</v>
      </c>
      <c r="H84" s="4">
        <v>2</v>
      </c>
      <c r="I84" s="4">
        <v>50</v>
      </c>
      <c r="J84" s="4">
        <v>100</v>
      </c>
      <c r="K84" s="4" t="str" cm="1">
        <f t="array" ref="K84">_xlfn.IFS(AND(Table15678[[#This Row],[Total Amount]]&gt;=1500),"Critical",AND(Table15678[[#This Row],[Total Amount]]&gt;=1000),"High",TRUE,"Normal")</f>
        <v>Normal</v>
      </c>
      <c r="L84" s="4" t="str">
        <f>IF(Table15678[[#This Row],[Total Amount]]&gt;=1000,"High",(IF(Table15678[[#This Row],[Total Amount]]&gt;=500,"Medium","Low")))</f>
        <v>Low</v>
      </c>
      <c r="M84" s="4" t="str" cm="1">
        <f t="array" ref="M8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4" s="4" cm="1">
        <f t="array" ref="N8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84" s="4">
        <f>Table15678[[#This Row],[Total Amount]]-Table15678[[#This Row],[Discount Amount]]</f>
        <v>90</v>
      </c>
      <c r="P84" s="4" t="str">
        <f>IF(Table15678[[#This Row],[Total Amount]]&gt;=1000,"High","Low")</f>
        <v>Low</v>
      </c>
      <c r="Q84" s="4" t="str" cm="1">
        <f t="array" ref="Q84">_xlfn.IFS(AND(Table15678[[#This Row],[Total Amount]]&gt;=1500,"Critical"),AND(Table15678[[#This Row],[Total Amount]]&gt;=1000,"High"),TRUE,"Normal")</f>
        <v>Normal</v>
      </c>
      <c r="R84" s="4" t="str">
        <f>CONCATENATE(Table15678[[#This Row],[Customer ID]], "-",Table15678[[#This Row],[Age]])</f>
        <v>CUST083-54</v>
      </c>
      <c r="S84" s="4" t="str">
        <f>TEXT(Table15678[[#This Row],[Date]],"mmm")</f>
        <v>Dec</v>
      </c>
      <c r="T84" s="4" t="str">
        <f>TEXT(Table15678[[#This Row],[Date]],"DDD")</f>
        <v>Sat</v>
      </c>
    </row>
    <row r="85" spans="1:20" ht="29" x14ac:dyDescent="0.35">
      <c r="A85" s="4">
        <v>84</v>
      </c>
      <c r="B85" s="5">
        <v>45258</v>
      </c>
      <c r="C85" s="4" t="s">
        <v>97</v>
      </c>
      <c r="D85" s="4" t="s">
        <v>13</v>
      </c>
      <c r="E85" s="4">
        <v>38</v>
      </c>
      <c r="F85" s="4" t="str">
        <f>IF(Table15678[[#This Row],[Age]]&lt;=19,"Teenager",IF(Table15678[[#This Row],[Age]]&lt;=40,"Median","Old"))</f>
        <v>Median</v>
      </c>
      <c r="G85" s="4" t="s">
        <v>16</v>
      </c>
      <c r="H85" s="4">
        <v>3</v>
      </c>
      <c r="I85" s="4">
        <v>30</v>
      </c>
      <c r="J85" s="4">
        <v>90</v>
      </c>
      <c r="K85" s="4" t="str" cm="1">
        <f t="array" ref="K85">_xlfn.IFS(AND(Table15678[[#This Row],[Total Amount]]&gt;=1500),"Critical",AND(Table15678[[#This Row],[Total Amount]]&gt;=1000),"High",TRUE,"Normal")</f>
        <v>Normal</v>
      </c>
      <c r="L85" s="4" t="str">
        <f>IF(Table15678[[#This Row],[Total Amount]]&gt;=1000,"High",(IF(Table15678[[#This Row],[Total Amount]]&gt;=500,"Medium","Low")))</f>
        <v>Low</v>
      </c>
      <c r="M85" s="4" t="str" cm="1">
        <f t="array" ref="M8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5" s="4" cm="1">
        <f t="array" ref="N8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</v>
      </c>
      <c r="O85" s="4">
        <f>Table15678[[#This Row],[Total Amount]]-Table15678[[#This Row],[Discount Amount]]</f>
        <v>72</v>
      </c>
      <c r="P85" s="4" t="str">
        <f>IF(Table15678[[#This Row],[Total Amount]]&gt;=1000,"High","Low")</f>
        <v>Low</v>
      </c>
      <c r="Q85" s="4" t="str" cm="1">
        <f t="array" ref="Q85">_xlfn.IFS(AND(Table15678[[#This Row],[Total Amount]]&gt;=1500,"Critical"),AND(Table15678[[#This Row],[Total Amount]]&gt;=1000,"High"),TRUE,"Normal")</f>
        <v>Normal</v>
      </c>
      <c r="R85" s="4" t="str">
        <f>CONCATENATE(Table15678[[#This Row],[Customer ID]], "-",Table15678[[#This Row],[Age]])</f>
        <v>CUST084-38</v>
      </c>
      <c r="S85" s="4" t="str">
        <f>TEXT(Table15678[[#This Row],[Date]],"mmm")</f>
        <v>Nov</v>
      </c>
      <c r="T85" s="4" t="str">
        <f>TEXT(Table15678[[#This Row],[Date]],"DDD")</f>
        <v>Tue</v>
      </c>
    </row>
    <row r="86" spans="1:20" ht="29" x14ac:dyDescent="0.35">
      <c r="A86" s="4">
        <v>85</v>
      </c>
      <c r="B86" s="5">
        <v>44963</v>
      </c>
      <c r="C86" s="4" t="s">
        <v>98</v>
      </c>
      <c r="D86" s="4" t="s">
        <v>10</v>
      </c>
      <c r="E86" s="4">
        <v>31</v>
      </c>
      <c r="F86" s="4" t="str">
        <f>IF(Table15678[[#This Row],[Age]]&lt;=19,"Teenager",IF(Table15678[[#This Row],[Age]]&lt;=40,"Median","Old"))</f>
        <v>Median</v>
      </c>
      <c r="G86" s="4" t="s">
        <v>14</v>
      </c>
      <c r="H86" s="4">
        <v>3</v>
      </c>
      <c r="I86" s="4">
        <v>50</v>
      </c>
      <c r="J86" s="4">
        <v>150</v>
      </c>
      <c r="K86" s="4" t="str" cm="1">
        <f t="array" ref="K86">_xlfn.IFS(AND(Table15678[[#This Row],[Total Amount]]&gt;=1500),"Critical",AND(Table15678[[#This Row],[Total Amount]]&gt;=1000),"High",TRUE,"Normal")</f>
        <v>Normal</v>
      </c>
      <c r="L86" s="4" t="str">
        <f>IF(Table15678[[#This Row],[Total Amount]]&gt;=1000,"High",(IF(Table15678[[#This Row],[Total Amount]]&gt;=500,"Medium","Low")))</f>
        <v>Low</v>
      </c>
      <c r="M86" s="4" t="str" cm="1">
        <f t="array" ref="M8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6" s="4" cm="1">
        <f t="array" ref="N8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22.5</v>
      </c>
      <c r="O86" s="4">
        <f>Table15678[[#This Row],[Total Amount]]-Table15678[[#This Row],[Discount Amount]]</f>
        <v>127.5</v>
      </c>
      <c r="P86" s="4" t="str">
        <f>IF(Table15678[[#This Row],[Total Amount]]&gt;=1000,"High","Low")</f>
        <v>Low</v>
      </c>
      <c r="Q86" s="4" t="str" cm="1">
        <f t="array" ref="Q86">_xlfn.IFS(AND(Table15678[[#This Row],[Total Amount]]&gt;=1500,"Critical"),AND(Table15678[[#This Row],[Total Amount]]&gt;=1000,"High"),TRUE,"Normal")</f>
        <v>Normal</v>
      </c>
      <c r="R86" s="4" t="str">
        <f>CONCATENATE(Table15678[[#This Row],[Customer ID]], "-",Table15678[[#This Row],[Age]])</f>
        <v>CUST085-31</v>
      </c>
      <c r="S86" s="4" t="str">
        <f>TEXT(Table15678[[#This Row],[Date]],"mmm")</f>
        <v>Feb</v>
      </c>
      <c r="T86" s="4" t="str">
        <f>TEXT(Table15678[[#This Row],[Date]],"DDD")</f>
        <v>Mon</v>
      </c>
    </row>
    <row r="87" spans="1:20" ht="29" x14ac:dyDescent="0.35">
      <c r="A87" s="4">
        <v>86</v>
      </c>
      <c r="B87" s="5">
        <v>45238</v>
      </c>
      <c r="C87" s="4" t="s">
        <v>99</v>
      </c>
      <c r="D87" s="4" t="s">
        <v>10</v>
      </c>
      <c r="E87" s="4">
        <v>19</v>
      </c>
      <c r="F87" s="4" t="str">
        <f>IF(Table15678[[#This Row],[Age]]&lt;=19,"Teenager",IF(Table15678[[#This Row],[Age]]&lt;=40,"Median","Old"))</f>
        <v>Teenager</v>
      </c>
      <c r="G87" s="4" t="s">
        <v>11</v>
      </c>
      <c r="H87" s="4">
        <v>3</v>
      </c>
      <c r="I87" s="4">
        <v>30</v>
      </c>
      <c r="J87" s="4">
        <v>90</v>
      </c>
      <c r="K87" s="4" t="str" cm="1">
        <f t="array" ref="K87">_xlfn.IFS(AND(Table15678[[#This Row],[Total Amount]]&gt;=1500),"Critical",AND(Table15678[[#This Row],[Total Amount]]&gt;=1000),"High",TRUE,"Normal")</f>
        <v>Normal</v>
      </c>
      <c r="L87" s="4" t="str">
        <f>IF(Table15678[[#This Row],[Total Amount]]&gt;=1000,"High",(IF(Table15678[[#This Row],[Total Amount]]&gt;=500,"Medium","Low")))</f>
        <v>Low</v>
      </c>
      <c r="M87" s="4" t="str" cm="1">
        <f t="array" ref="M8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87" s="4" cm="1">
        <f t="array" ref="N8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87" s="4">
        <f>Table15678[[#This Row],[Total Amount]]-Table15678[[#This Row],[Discount Amount]]</f>
        <v>90</v>
      </c>
      <c r="P87" s="4" t="str">
        <f>IF(Table15678[[#This Row],[Total Amount]]&gt;=1000,"High","Low")</f>
        <v>Low</v>
      </c>
      <c r="Q87" s="4" t="str" cm="1">
        <f t="array" ref="Q87">_xlfn.IFS(AND(Table15678[[#This Row],[Total Amount]]&gt;=1500,"Critical"),AND(Table15678[[#This Row],[Total Amount]]&gt;=1000,"High"),TRUE,"Normal")</f>
        <v>Normal</v>
      </c>
      <c r="R87" s="4" t="str">
        <f>CONCATENATE(Table15678[[#This Row],[Customer ID]], "-",Table15678[[#This Row],[Age]])</f>
        <v>CUST086-19</v>
      </c>
      <c r="S87" s="4" t="str">
        <f>TEXT(Table15678[[#This Row],[Date]],"mmm")</f>
        <v>Nov</v>
      </c>
      <c r="T87" s="4" t="str">
        <f>TEXT(Table15678[[#This Row],[Date]],"DDD")</f>
        <v>Wed</v>
      </c>
    </row>
    <row r="88" spans="1:20" ht="29" x14ac:dyDescent="0.35">
      <c r="A88" s="4">
        <v>87</v>
      </c>
      <c r="B88" s="5">
        <v>45252</v>
      </c>
      <c r="C88" s="4" t="s">
        <v>100</v>
      </c>
      <c r="D88" s="4" t="s">
        <v>13</v>
      </c>
      <c r="E88" s="4">
        <v>28</v>
      </c>
      <c r="F88" s="4" t="str">
        <f>IF(Table15678[[#This Row],[Age]]&lt;=19,"Teenager",IF(Table15678[[#This Row],[Age]]&lt;=40,"Median","Old"))</f>
        <v>Median</v>
      </c>
      <c r="G88" s="4" t="s">
        <v>11</v>
      </c>
      <c r="H88" s="4">
        <v>2</v>
      </c>
      <c r="I88" s="4">
        <v>50</v>
      </c>
      <c r="J88" s="4">
        <v>100</v>
      </c>
      <c r="K88" s="4" t="str" cm="1">
        <f t="array" ref="K88">_xlfn.IFS(AND(Table15678[[#This Row],[Total Amount]]&gt;=1500),"Critical",AND(Table15678[[#This Row],[Total Amount]]&gt;=1000),"High",TRUE,"Normal")</f>
        <v>Normal</v>
      </c>
      <c r="L88" s="4" t="str">
        <f>IF(Table15678[[#This Row],[Total Amount]]&gt;=1000,"High",(IF(Table15678[[#This Row],[Total Amount]]&gt;=500,"Medium","Low")))</f>
        <v>Low</v>
      </c>
      <c r="M88" s="4" t="str" cm="1">
        <f t="array" ref="M8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8" s="4" cm="1">
        <f t="array" ref="N8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88" s="4">
        <f>Table15678[[#This Row],[Total Amount]]-Table15678[[#This Row],[Discount Amount]]</f>
        <v>85</v>
      </c>
      <c r="P88" s="4" t="str">
        <f>IF(Table15678[[#This Row],[Total Amount]]&gt;=1000,"High","Low")</f>
        <v>Low</v>
      </c>
      <c r="Q88" s="4" t="str" cm="1">
        <f t="array" ref="Q88">_xlfn.IFS(AND(Table15678[[#This Row],[Total Amount]]&gt;=1500,"Critical"),AND(Table15678[[#This Row],[Total Amount]]&gt;=1000,"High"),TRUE,"Normal")</f>
        <v>Normal</v>
      </c>
      <c r="R88" s="4" t="str">
        <f>CONCATENATE(Table15678[[#This Row],[Customer ID]], "-",Table15678[[#This Row],[Age]])</f>
        <v>CUST087-28</v>
      </c>
      <c r="S88" s="4" t="str">
        <f>TEXT(Table15678[[#This Row],[Date]],"mmm")</f>
        <v>Nov</v>
      </c>
      <c r="T88" s="4" t="str">
        <f>TEXT(Table15678[[#This Row],[Date]],"DDD")</f>
        <v>Wed</v>
      </c>
    </row>
    <row r="89" spans="1:20" ht="29" x14ac:dyDescent="0.35">
      <c r="A89" s="4">
        <v>88</v>
      </c>
      <c r="B89" s="5">
        <v>45014</v>
      </c>
      <c r="C89" s="4" t="s">
        <v>101</v>
      </c>
      <c r="D89" s="4" t="s">
        <v>10</v>
      </c>
      <c r="E89" s="4">
        <v>56</v>
      </c>
      <c r="F89" s="4" t="str">
        <f>IF(Table15678[[#This Row],[Age]]&lt;=19,"Teenager",IF(Table15678[[#This Row],[Age]]&lt;=40,"Median","Old"))</f>
        <v>Old</v>
      </c>
      <c r="G89" s="4" t="s">
        <v>14</v>
      </c>
      <c r="H89" s="4">
        <v>1</v>
      </c>
      <c r="I89" s="4">
        <v>500</v>
      </c>
      <c r="J89" s="4">
        <v>500</v>
      </c>
      <c r="K89" s="4" t="str" cm="1">
        <f t="array" ref="K89">_xlfn.IFS(AND(Table15678[[#This Row],[Total Amount]]&gt;=1500),"Critical",AND(Table15678[[#This Row],[Total Amount]]&gt;=1000),"High",TRUE,"Normal")</f>
        <v>Normal</v>
      </c>
      <c r="L89" s="4" t="str">
        <f>IF(Table15678[[#This Row],[Total Amount]]&gt;=1000,"High",(IF(Table15678[[#This Row],[Total Amount]]&gt;=500,"Medium","Low")))</f>
        <v>Medium</v>
      </c>
      <c r="M89" s="4" t="str" cm="1">
        <f t="array" ref="M8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9" s="4" cm="1">
        <f t="array" ref="N8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50</v>
      </c>
      <c r="O89" s="4">
        <f>Table15678[[#This Row],[Total Amount]]-Table15678[[#This Row],[Discount Amount]]</f>
        <v>450</v>
      </c>
      <c r="P89" s="4" t="str">
        <f>IF(Table15678[[#This Row],[Total Amount]]&gt;=1000,"High","Low")</f>
        <v>Low</v>
      </c>
      <c r="Q89" s="4" t="str" cm="1">
        <f t="array" ref="Q89">_xlfn.IFS(AND(Table15678[[#This Row],[Total Amount]]&gt;=1500,"Critical"),AND(Table15678[[#This Row],[Total Amount]]&gt;=1000,"High"),TRUE,"Normal")</f>
        <v>Normal</v>
      </c>
      <c r="R89" s="4" t="str">
        <f>CONCATENATE(Table15678[[#This Row],[Customer ID]], "-",Table15678[[#This Row],[Age]])</f>
        <v>CUST088-56</v>
      </c>
      <c r="S89" s="4" t="str">
        <f>TEXT(Table15678[[#This Row],[Date]],"mmm")</f>
        <v>Mar</v>
      </c>
      <c r="T89" s="4" t="str">
        <f>TEXT(Table15678[[#This Row],[Date]],"DDD")</f>
        <v>Wed</v>
      </c>
    </row>
    <row r="90" spans="1:20" ht="29" x14ac:dyDescent="0.35">
      <c r="A90" s="4">
        <v>89</v>
      </c>
      <c r="B90" s="5">
        <v>45200</v>
      </c>
      <c r="C90" s="4" t="s">
        <v>102</v>
      </c>
      <c r="D90" s="4" t="s">
        <v>13</v>
      </c>
      <c r="E90" s="4">
        <v>55</v>
      </c>
      <c r="F90" s="4" t="str">
        <f>IF(Table15678[[#This Row],[Age]]&lt;=19,"Teenager",IF(Table15678[[#This Row],[Age]]&lt;=40,"Median","Old"))</f>
        <v>Old</v>
      </c>
      <c r="G90" s="4" t="s">
        <v>16</v>
      </c>
      <c r="H90" s="4">
        <v>4</v>
      </c>
      <c r="I90" s="4">
        <v>500</v>
      </c>
      <c r="J90" s="4">
        <v>2000</v>
      </c>
      <c r="K90" s="4" t="str" cm="1">
        <f t="array" ref="K90">_xlfn.IFS(AND(Table15678[[#This Row],[Total Amount]]&gt;=1500),"Critical",AND(Table15678[[#This Row],[Total Amount]]&gt;=1000),"High",TRUE,"Normal")</f>
        <v>Critical</v>
      </c>
      <c r="L90" s="4" t="str">
        <f>IF(Table15678[[#This Row],[Total Amount]]&gt;=1000,"High",(IF(Table15678[[#This Row],[Total Amount]]&gt;=500,"Medium","Low")))</f>
        <v>High</v>
      </c>
      <c r="M90" s="4" t="str" cm="1">
        <f t="array" ref="M9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0" s="4" cm="1">
        <f t="array" ref="N9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400</v>
      </c>
      <c r="O90" s="4">
        <f>Table15678[[#This Row],[Total Amount]]-Table15678[[#This Row],[Discount Amount]]</f>
        <v>1600</v>
      </c>
      <c r="P90" s="4" t="str">
        <f>IF(Table15678[[#This Row],[Total Amount]]&gt;=1000,"High","Low")</f>
        <v>High</v>
      </c>
      <c r="Q90" s="4" t="b" cm="1">
        <f t="array" ref="Q90">_xlfn.IFS(AND(Table15678[[#This Row],[Total Amount]]&gt;=1500,"Critical"),AND(Table15678[[#This Row],[Total Amount]]&gt;=1000,"High"),TRUE,"Normal")</f>
        <v>1</v>
      </c>
      <c r="R90" s="4" t="str">
        <f>CONCATENATE(Table15678[[#This Row],[Customer ID]], "-",Table15678[[#This Row],[Age]])</f>
        <v>CUST089-55</v>
      </c>
      <c r="S90" s="4" t="str">
        <f>TEXT(Table15678[[#This Row],[Date]],"mmm")</f>
        <v>Oct</v>
      </c>
      <c r="T90" s="4" t="str">
        <f>TEXT(Table15678[[#This Row],[Date]],"DDD")</f>
        <v>Sun</v>
      </c>
    </row>
    <row r="91" spans="1:20" ht="29" x14ac:dyDescent="0.35">
      <c r="A91" s="4">
        <v>90</v>
      </c>
      <c r="B91" s="5">
        <v>45052</v>
      </c>
      <c r="C91" s="4" t="s">
        <v>103</v>
      </c>
      <c r="D91" s="4" t="s">
        <v>13</v>
      </c>
      <c r="E91" s="4">
        <v>51</v>
      </c>
      <c r="F91" s="4" t="str">
        <f>IF(Table15678[[#This Row],[Age]]&lt;=19,"Teenager",IF(Table15678[[#This Row],[Age]]&lt;=40,"Median","Old"))</f>
        <v>Old</v>
      </c>
      <c r="G91" s="4" t="s">
        <v>16</v>
      </c>
      <c r="H91" s="4">
        <v>1</v>
      </c>
      <c r="I91" s="4">
        <v>30</v>
      </c>
      <c r="J91" s="4">
        <v>30</v>
      </c>
      <c r="K91" s="4" t="str" cm="1">
        <f t="array" ref="K91">_xlfn.IFS(AND(Table15678[[#This Row],[Total Amount]]&gt;=1500),"Critical",AND(Table15678[[#This Row],[Total Amount]]&gt;=1000),"High",TRUE,"Normal")</f>
        <v>Normal</v>
      </c>
      <c r="L91" s="4" t="str">
        <f>IF(Table15678[[#This Row],[Total Amount]]&gt;=1000,"High",(IF(Table15678[[#This Row],[Total Amount]]&gt;=500,"Medium","Low")))</f>
        <v>Low</v>
      </c>
      <c r="M91" s="4" t="str" cm="1">
        <f t="array" ref="M9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1" s="4" cm="1">
        <f t="array" ref="N9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91" s="4">
        <f>Table15678[[#This Row],[Total Amount]]-Table15678[[#This Row],[Discount Amount]]</f>
        <v>24</v>
      </c>
      <c r="P91" s="4" t="str">
        <f>IF(Table15678[[#This Row],[Total Amount]]&gt;=1000,"High","Low")</f>
        <v>Low</v>
      </c>
      <c r="Q91" s="4" t="str" cm="1">
        <f t="array" ref="Q91">_xlfn.IFS(AND(Table15678[[#This Row],[Total Amount]]&gt;=1500,"Critical"),AND(Table15678[[#This Row],[Total Amount]]&gt;=1000,"High"),TRUE,"Normal")</f>
        <v>Normal</v>
      </c>
      <c r="R91" s="4" t="str">
        <f>CONCATENATE(Table15678[[#This Row],[Customer ID]], "-",Table15678[[#This Row],[Age]])</f>
        <v>CUST090-51</v>
      </c>
      <c r="S91" s="4" t="str">
        <f>TEXT(Table15678[[#This Row],[Date]],"mmm")</f>
        <v>May</v>
      </c>
      <c r="T91" s="4" t="str">
        <f>TEXT(Table15678[[#This Row],[Date]],"DDD")</f>
        <v>Sat</v>
      </c>
    </row>
    <row r="92" spans="1:20" ht="29" x14ac:dyDescent="0.35">
      <c r="A92" s="4">
        <v>91</v>
      </c>
      <c r="B92" s="5">
        <v>45010</v>
      </c>
      <c r="C92" s="4" t="s">
        <v>104</v>
      </c>
      <c r="D92" s="4" t="s">
        <v>13</v>
      </c>
      <c r="E92" s="4">
        <v>55</v>
      </c>
      <c r="F92" s="4" t="str">
        <f>IF(Table15678[[#This Row],[Age]]&lt;=19,"Teenager",IF(Table15678[[#This Row],[Age]]&lt;=40,"Median","Old"))</f>
        <v>Old</v>
      </c>
      <c r="G92" s="4" t="s">
        <v>16</v>
      </c>
      <c r="H92" s="4">
        <v>1</v>
      </c>
      <c r="I92" s="4">
        <v>500</v>
      </c>
      <c r="J92" s="4">
        <v>500</v>
      </c>
      <c r="K92" s="4" t="str" cm="1">
        <f t="array" ref="K92">_xlfn.IFS(AND(Table15678[[#This Row],[Total Amount]]&gt;=1500),"Critical",AND(Table15678[[#This Row],[Total Amount]]&gt;=1000),"High",TRUE,"Normal")</f>
        <v>Normal</v>
      </c>
      <c r="L92" s="4" t="str">
        <f>IF(Table15678[[#This Row],[Total Amount]]&gt;=1000,"High",(IF(Table15678[[#This Row],[Total Amount]]&gt;=500,"Medium","Low")))</f>
        <v>Medium</v>
      </c>
      <c r="M92" s="4" t="str" cm="1">
        <f t="array" ref="M9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2" s="4" cm="1">
        <f t="array" ref="N9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92" s="4">
        <f>Table15678[[#This Row],[Total Amount]]-Table15678[[#This Row],[Discount Amount]]</f>
        <v>400</v>
      </c>
      <c r="P92" s="4" t="str">
        <f>IF(Table15678[[#This Row],[Total Amount]]&gt;=1000,"High","Low")</f>
        <v>Low</v>
      </c>
      <c r="Q92" s="4" t="str" cm="1">
        <f t="array" ref="Q92">_xlfn.IFS(AND(Table15678[[#This Row],[Total Amount]]&gt;=1500,"Critical"),AND(Table15678[[#This Row],[Total Amount]]&gt;=1000,"High"),TRUE,"Normal")</f>
        <v>Normal</v>
      </c>
      <c r="R92" s="4" t="str">
        <f>CONCATENATE(Table15678[[#This Row],[Customer ID]], "-",Table15678[[#This Row],[Age]])</f>
        <v>CUST091-55</v>
      </c>
      <c r="S92" s="4" t="str">
        <f>TEXT(Table15678[[#This Row],[Date]],"mmm")</f>
        <v>Mar</v>
      </c>
      <c r="T92" s="4" t="str">
        <f>TEXT(Table15678[[#This Row],[Date]],"DDD")</f>
        <v>Sat</v>
      </c>
    </row>
    <row r="93" spans="1:20" ht="29" x14ac:dyDescent="0.35">
      <c r="A93" s="4">
        <v>92</v>
      </c>
      <c r="B93" s="5">
        <v>45163</v>
      </c>
      <c r="C93" s="4" t="s">
        <v>105</v>
      </c>
      <c r="D93" s="4" t="s">
        <v>13</v>
      </c>
      <c r="E93" s="4">
        <v>51</v>
      </c>
      <c r="F93" s="4" t="str">
        <f>IF(Table15678[[#This Row],[Age]]&lt;=19,"Teenager",IF(Table15678[[#This Row],[Age]]&lt;=40,"Median","Old"))</f>
        <v>Old</v>
      </c>
      <c r="G93" s="4" t="s">
        <v>16</v>
      </c>
      <c r="H93" s="4">
        <v>4</v>
      </c>
      <c r="I93" s="4">
        <v>30</v>
      </c>
      <c r="J93" s="4">
        <v>120</v>
      </c>
      <c r="K93" s="4" t="str" cm="1">
        <f t="array" ref="K93">_xlfn.IFS(AND(Table15678[[#This Row],[Total Amount]]&gt;=1500),"Critical",AND(Table15678[[#This Row],[Total Amount]]&gt;=1000),"High",TRUE,"Normal")</f>
        <v>Normal</v>
      </c>
      <c r="L93" s="4" t="str">
        <f>IF(Table15678[[#This Row],[Total Amount]]&gt;=1000,"High",(IF(Table15678[[#This Row],[Total Amount]]&gt;=500,"Medium","Low")))</f>
        <v>Low</v>
      </c>
      <c r="M93" s="4" t="str" cm="1">
        <f t="array" ref="M9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3" s="4" cm="1">
        <f t="array" ref="N9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</v>
      </c>
      <c r="O93" s="4">
        <f>Table15678[[#This Row],[Total Amount]]-Table15678[[#This Row],[Discount Amount]]</f>
        <v>96</v>
      </c>
      <c r="P93" s="4" t="str">
        <f>IF(Table15678[[#This Row],[Total Amount]]&gt;=1000,"High","Low")</f>
        <v>Low</v>
      </c>
      <c r="Q93" s="4" t="str" cm="1">
        <f t="array" ref="Q93">_xlfn.IFS(AND(Table15678[[#This Row],[Total Amount]]&gt;=1500,"Critical"),AND(Table15678[[#This Row],[Total Amount]]&gt;=1000,"High"),TRUE,"Normal")</f>
        <v>Normal</v>
      </c>
      <c r="R93" s="4" t="str">
        <f>CONCATENATE(Table15678[[#This Row],[Customer ID]], "-",Table15678[[#This Row],[Age]])</f>
        <v>CUST092-51</v>
      </c>
      <c r="S93" s="4" t="str">
        <f>TEXT(Table15678[[#This Row],[Date]],"mmm")</f>
        <v>Aug</v>
      </c>
      <c r="T93" s="4" t="str">
        <f>TEXT(Table15678[[#This Row],[Date]],"DDD")</f>
        <v>Fri</v>
      </c>
    </row>
    <row r="94" spans="1:20" ht="29" x14ac:dyDescent="0.35">
      <c r="A94" s="4">
        <v>93</v>
      </c>
      <c r="B94" s="5">
        <v>45121</v>
      </c>
      <c r="C94" s="4" t="s">
        <v>106</v>
      </c>
      <c r="D94" s="4" t="s">
        <v>13</v>
      </c>
      <c r="E94" s="4">
        <v>35</v>
      </c>
      <c r="F94" s="4" t="str">
        <f>IF(Table15678[[#This Row],[Age]]&lt;=19,"Teenager",IF(Table15678[[#This Row],[Age]]&lt;=40,"Median","Old"))</f>
        <v>Median</v>
      </c>
      <c r="G94" s="4" t="s">
        <v>11</v>
      </c>
      <c r="H94" s="4">
        <v>4</v>
      </c>
      <c r="I94" s="4">
        <v>500</v>
      </c>
      <c r="J94" s="4">
        <v>2000</v>
      </c>
      <c r="K94" s="4" t="str" cm="1">
        <f t="array" ref="K94">_xlfn.IFS(AND(Table15678[[#This Row],[Total Amount]]&gt;=1500),"Critical",AND(Table15678[[#This Row],[Total Amount]]&gt;=1000),"High",TRUE,"Normal")</f>
        <v>Critical</v>
      </c>
      <c r="L94" s="4" t="str">
        <f>IF(Table15678[[#This Row],[Total Amount]]&gt;=1000,"High",(IF(Table15678[[#This Row],[Total Amount]]&gt;=500,"Medium","Low")))</f>
        <v>High</v>
      </c>
      <c r="M94" s="4" t="str" cm="1">
        <f t="array" ref="M9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4" s="4" cm="1">
        <f t="array" ref="N9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400</v>
      </c>
      <c r="O94" s="4">
        <f>Table15678[[#This Row],[Total Amount]]-Table15678[[#This Row],[Discount Amount]]</f>
        <v>1600</v>
      </c>
      <c r="P94" s="4" t="str">
        <f>IF(Table15678[[#This Row],[Total Amount]]&gt;=1000,"High","Low")</f>
        <v>High</v>
      </c>
      <c r="Q94" s="4" t="b" cm="1">
        <f t="array" ref="Q94">_xlfn.IFS(AND(Table15678[[#This Row],[Total Amount]]&gt;=1500,"Critical"),AND(Table15678[[#This Row],[Total Amount]]&gt;=1000,"High"),TRUE,"Normal")</f>
        <v>1</v>
      </c>
      <c r="R94" s="4" t="str">
        <f>CONCATENATE(Table15678[[#This Row],[Customer ID]], "-",Table15678[[#This Row],[Age]])</f>
        <v>CUST093-35</v>
      </c>
      <c r="S94" s="4" t="str">
        <f>TEXT(Table15678[[#This Row],[Date]],"mmm")</f>
        <v>Jul</v>
      </c>
      <c r="T94" s="4" t="str">
        <f>TEXT(Table15678[[#This Row],[Date]],"DDD")</f>
        <v>Fri</v>
      </c>
    </row>
    <row r="95" spans="1:20" ht="29" x14ac:dyDescent="0.35">
      <c r="A95" s="4">
        <v>94</v>
      </c>
      <c r="B95" s="5">
        <v>45065</v>
      </c>
      <c r="C95" s="4" t="s">
        <v>107</v>
      </c>
      <c r="D95" s="4" t="s">
        <v>13</v>
      </c>
      <c r="E95" s="4">
        <v>47</v>
      </c>
      <c r="F95" s="4" t="str">
        <f>IF(Table15678[[#This Row],[Age]]&lt;=19,"Teenager",IF(Table15678[[#This Row],[Age]]&lt;=40,"Median","Old"))</f>
        <v>Old</v>
      </c>
      <c r="G95" s="4" t="s">
        <v>11</v>
      </c>
      <c r="H95" s="4">
        <v>2</v>
      </c>
      <c r="I95" s="4">
        <v>500</v>
      </c>
      <c r="J95" s="4">
        <v>1000</v>
      </c>
      <c r="K95" s="4" t="str" cm="1">
        <f t="array" ref="K95">_xlfn.IFS(AND(Table15678[[#This Row],[Total Amount]]&gt;=1500),"Critical",AND(Table15678[[#This Row],[Total Amount]]&gt;=1000),"High",TRUE,"Normal")</f>
        <v>High</v>
      </c>
      <c r="L95" s="4" t="str">
        <f>IF(Table15678[[#This Row],[Total Amount]]&gt;=1000,"High",(IF(Table15678[[#This Row],[Total Amount]]&gt;=500,"Medium","Low")))</f>
        <v>High</v>
      </c>
      <c r="M95" s="4" t="str" cm="1">
        <f t="array" ref="M9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5" s="4" cm="1">
        <f t="array" ref="N9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95" s="4">
        <f>Table15678[[#This Row],[Total Amount]]-Table15678[[#This Row],[Discount Amount]]</f>
        <v>800</v>
      </c>
      <c r="P95" s="4" t="str">
        <f>IF(Table15678[[#This Row],[Total Amount]]&gt;=1000,"High","Low")</f>
        <v>High</v>
      </c>
      <c r="Q95" s="4" t="str" cm="1">
        <f t="array" ref="Q95">_xlfn.IFS(AND(Table15678[[#This Row],[Total Amount]]&gt;=1500,"Critical"),AND(Table15678[[#This Row],[Total Amount]]&gt;=1000,"High"),TRUE,"Normal")</f>
        <v>Normal</v>
      </c>
      <c r="R95" s="4" t="str">
        <f>CONCATENATE(Table15678[[#This Row],[Customer ID]], "-",Table15678[[#This Row],[Age]])</f>
        <v>CUST094-47</v>
      </c>
      <c r="S95" s="4" t="str">
        <f>TEXT(Table15678[[#This Row],[Date]],"mmm")</f>
        <v>May</v>
      </c>
      <c r="T95" s="4" t="str">
        <f>TEXT(Table15678[[#This Row],[Date]],"DDD")</f>
        <v>Fri</v>
      </c>
    </row>
    <row r="96" spans="1:20" ht="29" x14ac:dyDescent="0.35">
      <c r="A96" s="4">
        <v>95</v>
      </c>
      <c r="B96" s="5">
        <v>45254</v>
      </c>
      <c r="C96" s="4" t="s">
        <v>108</v>
      </c>
      <c r="D96" s="4" t="s">
        <v>13</v>
      </c>
      <c r="E96" s="4">
        <v>32</v>
      </c>
      <c r="F96" s="4" t="str">
        <f>IF(Table15678[[#This Row],[Age]]&lt;=19,"Teenager",IF(Table15678[[#This Row],[Age]]&lt;=40,"Median","Old"))</f>
        <v>Median</v>
      </c>
      <c r="G96" s="4" t="s">
        <v>14</v>
      </c>
      <c r="H96" s="4">
        <v>2</v>
      </c>
      <c r="I96" s="4">
        <v>30</v>
      </c>
      <c r="J96" s="4">
        <v>60</v>
      </c>
      <c r="K96" s="4" t="str" cm="1">
        <f t="array" ref="K96">_xlfn.IFS(AND(Table15678[[#This Row],[Total Amount]]&gt;=1500),"Critical",AND(Table15678[[#This Row],[Total Amount]]&gt;=1000),"High",TRUE,"Normal")</f>
        <v>Normal</v>
      </c>
      <c r="L96" s="4" t="str">
        <f>IF(Table15678[[#This Row],[Total Amount]]&gt;=1000,"High",(IF(Table15678[[#This Row],[Total Amount]]&gt;=500,"Medium","Low")))</f>
        <v>Low</v>
      </c>
      <c r="M96" s="4" t="str" cm="1">
        <f t="array" ref="M9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6" s="4" cm="1">
        <f t="array" ref="N9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</v>
      </c>
      <c r="O96" s="4">
        <f>Table15678[[#This Row],[Total Amount]]-Table15678[[#This Row],[Discount Amount]]</f>
        <v>51</v>
      </c>
      <c r="P96" s="4" t="str">
        <f>IF(Table15678[[#This Row],[Total Amount]]&gt;=1000,"High","Low")</f>
        <v>Low</v>
      </c>
      <c r="Q96" s="4" t="str" cm="1">
        <f t="array" ref="Q96">_xlfn.IFS(AND(Table15678[[#This Row],[Total Amount]]&gt;=1500,"Critical"),AND(Table15678[[#This Row],[Total Amount]]&gt;=1000,"High"),TRUE,"Normal")</f>
        <v>Normal</v>
      </c>
      <c r="R96" s="4" t="str">
        <f>CONCATENATE(Table15678[[#This Row],[Customer ID]], "-",Table15678[[#This Row],[Age]])</f>
        <v>CUST095-32</v>
      </c>
      <c r="S96" s="4" t="str">
        <f>TEXT(Table15678[[#This Row],[Date]],"mmm")</f>
        <v>Nov</v>
      </c>
      <c r="T96" s="4" t="str">
        <f>TEXT(Table15678[[#This Row],[Date]],"DDD")</f>
        <v>Fri</v>
      </c>
    </row>
    <row r="97" spans="1:20" ht="29" x14ac:dyDescent="0.35">
      <c r="A97" s="4">
        <v>96</v>
      </c>
      <c r="B97" s="5">
        <v>45279</v>
      </c>
      <c r="C97" s="4" t="s">
        <v>109</v>
      </c>
      <c r="D97" s="4" t="s">
        <v>13</v>
      </c>
      <c r="E97" s="4">
        <v>44</v>
      </c>
      <c r="F97" s="4" t="str">
        <f>IF(Table15678[[#This Row],[Age]]&lt;=19,"Teenager",IF(Table15678[[#This Row],[Age]]&lt;=40,"Median","Old"))</f>
        <v>Old</v>
      </c>
      <c r="G97" s="4" t="s">
        <v>14</v>
      </c>
      <c r="H97" s="4">
        <v>2</v>
      </c>
      <c r="I97" s="4">
        <v>300</v>
      </c>
      <c r="J97" s="4">
        <v>600</v>
      </c>
      <c r="K97" s="4" t="str" cm="1">
        <f t="array" ref="K97">_xlfn.IFS(AND(Table15678[[#This Row],[Total Amount]]&gt;=1500),"Critical",AND(Table15678[[#This Row],[Total Amount]]&gt;=1000),"High",TRUE,"Normal")</f>
        <v>Normal</v>
      </c>
      <c r="L97" s="4" t="str">
        <f>IF(Table15678[[#This Row],[Total Amount]]&gt;=1000,"High",(IF(Table15678[[#This Row],[Total Amount]]&gt;=500,"Medium","Low")))</f>
        <v>Medium</v>
      </c>
      <c r="M97" s="4" t="str" cm="1">
        <f t="array" ref="M9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7" s="4" cm="1">
        <f t="array" ref="N9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120</v>
      </c>
      <c r="O97" s="4">
        <f>Table15678[[#This Row],[Total Amount]]-Table15678[[#This Row],[Discount Amount]]</f>
        <v>480</v>
      </c>
      <c r="P97" s="4" t="str">
        <f>IF(Table15678[[#This Row],[Total Amount]]&gt;=1000,"High","Low")</f>
        <v>Low</v>
      </c>
      <c r="Q97" s="4" t="str" cm="1">
        <f t="array" ref="Q97">_xlfn.IFS(AND(Table15678[[#This Row],[Total Amount]]&gt;=1500,"Critical"),AND(Table15678[[#This Row],[Total Amount]]&gt;=1000,"High"),TRUE,"Normal")</f>
        <v>Normal</v>
      </c>
      <c r="R97" s="4" t="str">
        <f>CONCATENATE(Table15678[[#This Row],[Customer ID]], "-",Table15678[[#This Row],[Age]])</f>
        <v>CUST096-44</v>
      </c>
      <c r="S97" s="4" t="str">
        <f>TEXT(Table15678[[#This Row],[Date]],"mmm")</f>
        <v>Dec</v>
      </c>
      <c r="T97" s="4" t="str">
        <f>TEXT(Table15678[[#This Row],[Date]],"DDD")</f>
        <v>Tue</v>
      </c>
    </row>
    <row r="98" spans="1:20" ht="29" x14ac:dyDescent="0.35">
      <c r="A98" s="4">
        <v>97</v>
      </c>
      <c r="B98" s="5">
        <v>45212</v>
      </c>
      <c r="C98" s="4" t="s">
        <v>110</v>
      </c>
      <c r="D98" s="4" t="s">
        <v>13</v>
      </c>
      <c r="E98" s="4">
        <v>51</v>
      </c>
      <c r="F98" s="4" t="str">
        <f>IF(Table15678[[#This Row],[Age]]&lt;=19,"Teenager",IF(Table15678[[#This Row],[Age]]&lt;=40,"Median","Old"))</f>
        <v>Old</v>
      </c>
      <c r="G98" s="4" t="s">
        <v>11</v>
      </c>
      <c r="H98" s="4">
        <v>2</v>
      </c>
      <c r="I98" s="4">
        <v>500</v>
      </c>
      <c r="J98" s="4">
        <v>1000</v>
      </c>
      <c r="K98" s="4" t="str" cm="1">
        <f t="array" ref="K98">_xlfn.IFS(AND(Table15678[[#This Row],[Total Amount]]&gt;=1500),"Critical",AND(Table15678[[#This Row],[Total Amount]]&gt;=1000),"High",TRUE,"Normal")</f>
        <v>High</v>
      </c>
      <c r="L98" s="4" t="str">
        <f>IF(Table15678[[#This Row],[Total Amount]]&gt;=1000,"High",(IF(Table15678[[#This Row],[Total Amount]]&gt;=500,"Medium","Low")))</f>
        <v>High</v>
      </c>
      <c r="M98" s="4" t="str" cm="1">
        <f t="array" ref="M9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8" s="4" cm="1">
        <f t="array" ref="N9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98" s="4">
        <f>Table15678[[#This Row],[Total Amount]]-Table15678[[#This Row],[Discount Amount]]</f>
        <v>800</v>
      </c>
      <c r="P98" s="4" t="str">
        <f>IF(Table15678[[#This Row],[Total Amount]]&gt;=1000,"High","Low")</f>
        <v>High</v>
      </c>
      <c r="Q98" s="4" t="str" cm="1">
        <f t="array" ref="Q98">_xlfn.IFS(AND(Table15678[[#This Row],[Total Amount]]&gt;=1500,"Critical"),AND(Table15678[[#This Row],[Total Amount]]&gt;=1000,"High"),TRUE,"Normal")</f>
        <v>Normal</v>
      </c>
      <c r="R98" s="4" t="str">
        <f>CONCATENATE(Table15678[[#This Row],[Customer ID]], "-",Table15678[[#This Row],[Age]])</f>
        <v>CUST097-51</v>
      </c>
      <c r="S98" s="4" t="str">
        <f>TEXT(Table15678[[#This Row],[Date]],"mmm")</f>
        <v>Oct</v>
      </c>
      <c r="T98" s="4" t="str">
        <f>TEXT(Table15678[[#This Row],[Date]],"DDD")</f>
        <v>Fri</v>
      </c>
    </row>
    <row r="99" spans="1:20" ht="29" x14ac:dyDescent="0.35">
      <c r="A99" s="4">
        <v>98</v>
      </c>
      <c r="B99" s="5">
        <v>45039</v>
      </c>
      <c r="C99" s="4" t="s">
        <v>111</v>
      </c>
      <c r="D99" s="4" t="s">
        <v>13</v>
      </c>
      <c r="E99" s="4">
        <v>55</v>
      </c>
      <c r="F99" s="4" t="str">
        <f>IF(Table15678[[#This Row],[Age]]&lt;=19,"Teenager",IF(Table15678[[#This Row],[Age]]&lt;=40,"Median","Old"))</f>
        <v>Old</v>
      </c>
      <c r="G99" s="4" t="s">
        <v>11</v>
      </c>
      <c r="H99" s="4">
        <v>2</v>
      </c>
      <c r="I99" s="4">
        <v>50</v>
      </c>
      <c r="J99" s="4">
        <v>100</v>
      </c>
      <c r="K99" s="4" t="str" cm="1">
        <f t="array" ref="K99">_xlfn.IFS(AND(Table15678[[#This Row],[Total Amount]]&gt;=1500),"Critical",AND(Table15678[[#This Row],[Total Amount]]&gt;=1000),"High",TRUE,"Normal")</f>
        <v>Normal</v>
      </c>
      <c r="L99" s="4" t="str">
        <f>IF(Table15678[[#This Row],[Total Amount]]&gt;=1000,"High",(IF(Table15678[[#This Row],[Total Amount]]&gt;=500,"Medium","Low")))</f>
        <v>Low</v>
      </c>
      <c r="M99" s="4" t="str" cm="1">
        <f t="array" ref="M9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9" s="4" cm="1">
        <f t="array" ref="N9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99" s="4">
        <f>Table15678[[#This Row],[Total Amount]]-Table15678[[#This Row],[Discount Amount]]</f>
        <v>80</v>
      </c>
      <c r="P99" s="4" t="str">
        <f>IF(Table15678[[#This Row],[Total Amount]]&gt;=1000,"High","Low")</f>
        <v>Low</v>
      </c>
      <c r="Q99" s="4" t="str" cm="1">
        <f t="array" ref="Q99">_xlfn.IFS(AND(Table15678[[#This Row],[Total Amount]]&gt;=1500,"Critical"),AND(Table15678[[#This Row],[Total Amount]]&gt;=1000,"High"),TRUE,"Normal")</f>
        <v>Normal</v>
      </c>
      <c r="R99" s="4" t="str">
        <f>CONCATENATE(Table15678[[#This Row],[Customer ID]], "-",Table15678[[#This Row],[Age]])</f>
        <v>CUST098-55</v>
      </c>
      <c r="S99" s="4" t="str">
        <f>TEXT(Table15678[[#This Row],[Date]],"mmm")</f>
        <v>Apr</v>
      </c>
      <c r="T99" s="4" t="str">
        <f>TEXT(Table15678[[#This Row],[Date]],"DDD")</f>
        <v>Sun</v>
      </c>
    </row>
    <row r="100" spans="1:20" ht="29" x14ac:dyDescent="0.35">
      <c r="A100" s="4">
        <v>99</v>
      </c>
      <c r="B100" s="5">
        <v>45277</v>
      </c>
      <c r="C100" s="4" t="s">
        <v>112</v>
      </c>
      <c r="D100" s="4" t="s">
        <v>13</v>
      </c>
      <c r="E100" s="4">
        <v>50</v>
      </c>
      <c r="F100" s="4" t="str">
        <f>IF(Table15678[[#This Row],[Age]]&lt;=19,"Teenager",IF(Table15678[[#This Row],[Age]]&lt;=40,"Median","Old"))</f>
        <v>Old</v>
      </c>
      <c r="G100" s="4" t="s">
        <v>16</v>
      </c>
      <c r="H100" s="4">
        <v>4</v>
      </c>
      <c r="I100" s="4">
        <v>300</v>
      </c>
      <c r="J100" s="4">
        <v>1200</v>
      </c>
      <c r="K100" s="4" t="str" cm="1">
        <f t="array" ref="K100">_xlfn.IFS(AND(Table15678[[#This Row],[Total Amount]]&gt;=1500),"Critical",AND(Table15678[[#This Row],[Total Amount]]&gt;=1000),"High",TRUE,"Normal")</f>
        <v>High</v>
      </c>
      <c r="L100" s="4" t="str">
        <f>IF(Table15678[[#This Row],[Total Amount]]&gt;=1000,"High",(IF(Table15678[[#This Row],[Total Amount]]&gt;=500,"Medium","Low")))</f>
        <v>High</v>
      </c>
      <c r="M100" s="4" t="str" cm="1">
        <f t="array" ref="M10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00" s="4" cm="1">
        <f t="array" ref="N10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240</v>
      </c>
      <c r="O100" s="4">
        <f>Table15678[[#This Row],[Total Amount]]-Table15678[[#This Row],[Discount Amount]]</f>
        <v>960</v>
      </c>
      <c r="P100" s="4" t="str">
        <f>IF(Table15678[[#This Row],[Total Amount]]&gt;=1000,"High","Low")</f>
        <v>High</v>
      </c>
      <c r="Q100" s="4" t="str" cm="1">
        <f t="array" ref="Q100">_xlfn.IFS(AND(Table15678[[#This Row],[Total Amount]]&gt;=1500,"Critical"),AND(Table15678[[#This Row],[Total Amount]]&gt;=1000,"High"),TRUE,"Normal")</f>
        <v>Normal</v>
      </c>
      <c r="R100" s="4" t="str">
        <f>CONCATENATE(Table15678[[#This Row],[Customer ID]], "-",Table15678[[#This Row],[Age]])</f>
        <v>CUST099-50</v>
      </c>
      <c r="S100" s="4" t="str">
        <f>TEXT(Table15678[[#This Row],[Date]],"mmm")</f>
        <v>Dec</v>
      </c>
      <c r="T100" s="4" t="str">
        <f>TEXT(Table15678[[#This Row],[Date]],"DDD")</f>
        <v>Sun</v>
      </c>
    </row>
    <row r="101" spans="1:20" ht="29" x14ac:dyDescent="0.35">
      <c r="A101" s="4">
        <v>100</v>
      </c>
      <c r="B101" s="5">
        <v>45093</v>
      </c>
      <c r="C101" s="4" t="s">
        <v>113</v>
      </c>
      <c r="D101" s="4" t="s">
        <v>10</v>
      </c>
      <c r="E101" s="4">
        <v>41</v>
      </c>
      <c r="F101" s="4" t="str">
        <f>IF(Table15678[[#This Row],[Age]]&lt;=19,"Teenager",IF(Table15678[[#This Row],[Age]]&lt;=40,"Median","Old"))</f>
        <v>Old</v>
      </c>
      <c r="G101" s="4" t="s">
        <v>16</v>
      </c>
      <c r="H101" s="4">
        <v>1</v>
      </c>
      <c r="I101" s="4">
        <v>30</v>
      </c>
      <c r="J101" s="4">
        <v>30</v>
      </c>
      <c r="K101" s="4" t="str" cm="1">
        <f t="array" ref="K101">_xlfn.IFS(AND(Table15678[[#This Row],[Total Amount]]&gt;=1500),"Critical",AND(Table15678[[#This Row],[Total Amount]]&gt;=1000),"High",TRUE,"Normal")</f>
        <v>Normal</v>
      </c>
      <c r="L101" s="4" t="str">
        <f>IF(Table15678[[#This Row],[Total Amount]]&gt;=1000,"High",(IF(Table15678[[#This Row],[Total Amount]]&gt;=500,"Medium","Low")))</f>
        <v>Low</v>
      </c>
      <c r="M101" s="4" t="str" cm="1">
        <f t="array" ref="M10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01" s="4" cm="1">
        <f t="array" ref="N10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</v>
      </c>
      <c r="O101" s="4">
        <f>Table15678[[#This Row],[Total Amount]]-Table15678[[#This Row],[Discount Amount]]</f>
        <v>27</v>
      </c>
      <c r="P101" s="4" t="str">
        <f>IF(Table15678[[#This Row],[Total Amount]]&gt;=1000,"High","Low")</f>
        <v>Low</v>
      </c>
      <c r="Q101" s="4" t="str" cm="1">
        <f t="array" ref="Q101">_xlfn.IFS(AND(Table15678[[#This Row],[Total Amount]]&gt;=1500,"Critical"),AND(Table15678[[#This Row],[Total Amount]]&gt;=1000,"High"),TRUE,"Normal")</f>
        <v>Normal</v>
      </c>
      <c r="R101" s="4" t="str">
        <f>CONCATENATE(Table15678[[#This Row],[Customer ID]], "-",Table15678[[#This Row],[Age]])</f>
        <v>CUST100-41</v>
      </c>
      <c r="S101" s="4" t="str">
        <f>TEXT(Table15678[[#This Row],[Date]],"mmm")</f>
        <v>Jun</v>
      </c>
      <c r="T101" s="4" t="str">
        <f>TEXT(Table15678[[#This Row],[Date]],"DDD")</f>
        <v>Fri</v>
      </c>
    </row>
    <row r="102" spans="1:20" ht="29" x14ac:dyDescent="0.35">
      <c r="A102" s="4">
        <v>101</v>
      </c>
      <c r="B102" s="5">
        <v>44955</v>
      </c>
      <c r="C102" s="4" t="s">
        <v>114</v>
      </c>
      <c r="D102" s="4" t="s">
        <v>10</v>
      </c>
      <c r="E102" s="4">
        <v>32</v>
      </c>
      <c r="F102" s="4" t="str">
        <f>IF(Table15678[[#This Row],[Age]]&lt;=19,"Teenager",IF(Table15678[[#This Row],[Age]]&lt;=40,"Median","Old"))</f>
        <v>Median</v>
      </c>
      <c r="G102" s="4" t="s">
        <v>14</v>
      </c>
      <c r="H102" s="4">
        <v>2</v>
      </c>
      <c r="I102" s="4">
        <v>300</v>
      </c>
      <c r="J102" s="4">
        <v>600</v>
      </c>
      <c r="K102" s="4" t="str" cm="1">
        <f t="array" ref="K102">_xlfn.IFS(AND(Table15678[[#This Row],[Total Amount]]&gt;=1500),"Critical",AND(Table15678[[#This Row],[Total Amount]]&gt;=1000),"High",TRUE,"Normal")</f>
        <v>Normal</v>
      </c>
      <c r="L102" s="4" t="str">
        <f>IF(Table15678[[#This Row],[Total Amount]]&gt;=1000,"High",(IF(Table15678[[#This Row],[Total Amount]]&gt;=500,"Medium","Low")))</f>
        <v>Medium</v>
      </c>
      <c r="M102" s="4" t="str" cm="1">
        <f t="array" ref="M10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02" s="4" cm="1">
        <f t="array" ref="N10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102" s="4">
        <f>Table15678[[#This Row],[Total Amount]]-Table15678[[#This Row],[Discount Amount]]</f>
        <v>510</v>
      </c>
      <c r="P102" s="4" t="str">
        <f>IF(Table15678[[#This Row],[Total Amount]]&gt;=1000,"High","Low")</f>
        <v>Low</v>
      </c>
      <c r="Q102" s="4" t="str" cm="1">
        <f t="array" ref="Q102">_xlfn.IFS(AND(Table15678[[#This Row],[Total Amount]]&gt;=1500,"Critical"),AND(Table15678[[#This Row],[Total Amount]]&gt;=1000,"High"),TRUE,"Normal")</f>
        <v>Normal</v>
      </c>
      <c r="R102" s="4" t="str">
        <f>CONCATENATE(Table15678[[#This Row],[Customer ID]], "-",Table15678[[#This Row],[Age]])</f>
        <v>CUST101-32</v>
      </c>
      <c r="S102" s="4" t="str">
        <f>TEXT(Table15678[[#This Row],[Date]],"mmm")</f>
        <v>Jan</v>
      </c>
      <c r="T102" s="4" t="str">
        <f>TEXT(Table15678[[#This Row],[Date]],"DDD")</f>
        <v>Sun</v>
      </c>
    </row>
    <row r="103" spans="1:20" ht="29" x14ac:dyDescent="0.35">
      <c r="A103" s="4">
        <v>102</v>
      </c>
      <c r="B103" s="5">
        <v>45044</v>
      </c>
      <c r="C103" s="4" t="s">
        <v>115</v>
      </c>
      <c r="D103" s="4" t="s">
        <v>13</v>
      </c>
      <c r="E103" s="4">
        <v>47</v>
      </c>
      <c r="F103" s="4" t="str">
        <f>IF(Table15678[[#This Row],[Age]]&lt;=19,"Teenager",IF(Table15678[[#This Row],[Age]]&lt;=40,"Median","Old"))</f>
        <v>Old</v>
      </c>
      <c r="G103" s="4" t="s">
        <v>11</v>
      </c>
      <c r="H103" s="4">
        <v>2</v>
      </c>
      <c r="I103" s="4">
        <v>25</v>
      </c>
      <c r="J103" s="4">
        <v>50</v>
      </c>
      <c r="K103" s="4" t="str" cm="1">
        <f t="array" ref="K103">_xlfn.IFS(AND(Table15678[[#This Row],[Total Amount]]&gt;=1500),"Critical",AND(Table15678[[#This Row],[Total Amount]]&gt;=1000),"High",TRUE,"Normal")</f>
        <v>Normal</v>
      </c>
      <c r="L103" s="4" t="str">
        <f>IF(Table15678[[#This Row],[Total Amount]]&gt;=1000,"High",(IF(Table15678[[#This Row],[Total Amount]]&gt;=500,"Medium","Low")))</f>
        <v>Low</v>
      </c>
      <c r="M103" s="4" t="str" cm="1">
        <f t="array" ref="M10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03" s="4" cm="1">
        <f t="array" ref="N10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103" s="4">
        <f>Table15678[[#This Row],[Total Amount]]-Table15678[[#This Row],[Discount Amount]]</f>
        <v>40</v>
      </c>
      <c r="P103" s="4" t="str">
        <f>IF(Table15678[[#This Row],[Total Amount]]&gt;=1000,"High","Low")</f>
        <v>Low</v>
      </c>
      <c r="Q103" s="4" t="str" cm="1">
        <f t="array" ref="Q103">_xlfn.IFS(AND(Table15678[[#This Row],[Total Amount]]&gt;=1500,"Critical"),AND(Table15678[[#This Row],[Total Amount]]&gt;=1000,"High"),TRUE,"Normal")</f>
        <v>Normal</v>
      </c>
      <c r="R103" s="4" t="str">
        <f>CONCATENATE(Table15678[[#This Row],[Customer ID]], "-",Table15678[[#This Row],[Age]])</f>
        <v>CUST102-47</v>
      </c>
      <c r="S103" s="4" t="str">
        <f>TEXT(Table15678[[#This Row],[Date]],"mmm")</f>
        <v>Apr</v>
      </c>
      <c r="T103" s="4" t="str">
        <f>TEXT(Table15678[[#This Row],[Date]],"DDD")</f>
        <v>Fri</v>
      </c>
    </row>
    <row r="104" spans="1:20" ht="29" x14ac:dyDescent="0.35">
      <c r="A104" s="4">
        <v>103</v>
      </c>
      <c r="B104" s="5">
        <v>44943</v>
      </c>
      <c r="C104" s="4" t="s">
        <v>116</v>
      </c>
      <c r="D104" s="4" t="s">
        <v>13</v>
      </c>
      <c r="E104" s="4">
        <v>59</v>
      </c>
      <c r="F104" s="4" t="str">
        <f>IF(Table15678[[#This Row],[Age]]&lt;=19,"Teenager",IF(Table15678[[#This Row],[Age]]&lt;=40,"Median","Old"))</f>
        <v>Old</v>
      </c>
      <c r="G104" s="4" t="s">
        <v>14</v>
      </c>
      <c r="H104" s="4">
        <v>1</v>
      </c>
      <c r="I104" s="4">
        <v>25</v>
      </c>
      <c r="J104" s="4">
        <v>25</v>
      </c>
      <c r="K104" s="4" t="str" cm="1">
        <f t="array" ref="K104">_xlfn.IFS(AND(Table15678[[#This Row],[Total Amount]]&gt;=1500),"Critical",AND(Table15678[[#This Row],[Total Amount]]&gt;=1000),"High",TRUE,"Normal")</f>
        <v>Normal</v>
      </c>
      <c r="L104" s="4" t="str">
        <f>IF(Table15678[[#This Row],[Total Amount]]&gt;=1000,"High",(IF(Table15678[[#This Row],[Total Amount]]&gt;=500,"Medium","Low")))</f>
        <v>Low</v>
      </c>
      <c r="M104" s="4" t="str" cm="1">
        <f t="array" ref="M10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04" s="4" cm="1">
        <f t="array" ref="N10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104" s="4">
        <f>Table15678[[#This Row],[Total Amount]]-Table15678[[#This Row],[Discount Amount]]</f>
        <v>20</v>
      </c>
      <c r="P104" s="4" t="str">
        <f>IF(Table15678[[#This Row],[Total Amount]]&gt;=1000,"High","Low")</f>
        <v>Low</v>
      </c>
      <c r="Q104" s="4" t="str" cm="1">
        <f t="array" ref="Q104">_xlfn.IFS(AND(Table15678[[#This Row],[Total Amount]]&gt;=1500,"Critical"),AND(Table15678[[#This Row],[Total Amount]]&gt;=1000,"High"),TRUE,"Normal")</f>
        <v>Normal</v>
      </c>
      <c r="R104" s="4" t="str">
        <f>CONCATENATE(Table15678[[#This Row],[Customer ID]], "-",Table15678[[#This Row],[Age]])</f>
        <v>CUST103-59</v>
      </c>
      <c r="S104" s="4" t="str">
        <f>TEXT(Table15678[[#This Row],[Date]],"mmm")</f>
        <v>Jan</v>
      </c>
      <c r="T104" s="4" t="str">
        <f>TEXT(Table15678[[#This Row],[Date]],"DDD")</f>
        <v>Tue</v>
      </c>
    </row>
    <row r="105" spans="1:20" ht="29" x14ac:dyDescent="0.35">
      <c r="A105" s="4">
        <v>104</v>
      </c>
      <c r="B105" s="5">
        <v>45088</v>
      </c>
      <c r="C105" s="4" t="s">
        <v>117</v>
      </c>
      <c r="D105" s="4" t="s">
        <v>13</v>
      </c>
      <c r="E105" s="4">
        <v>34</v>
      </c>
      <c r="F105" s="4" t="str">
        <f>IF(Table15678[[#This Row],[Age]]&lt;=19,"Teenager",IF(Table15678[[#This Row],[Age]]&lt;=40,"Median","Old"))</f>
        <v>Median</v>
      </c>
      <c r="G105" s="4" t="s">
        <v>11</v>
      </c>
      <c r="H105" s="4">
        <v>2</v>
      </c>
      <c r="I105" s="4">
        <v>500</v>
      </c>
      <c r="J105" s="4">
        <v>1000</v>
      </c>
      <c r="K105" s="4" t="str" cm="1">
        <f t="array" ref="K105">_xlfn.IFS(AND(Table15678[[#This Row],[Total Amount]]&gt;=1500),"Critical",AND(Table15678[[#This Row],[Total Amount]]&gt;=1000),"High",TRUE,"Normal")</f>
        <v>High</v>
      </c>
      <c r="L105" s="4" t="str">
        <f>IF(Table15678[[#This Row],[Total Amount]]&gt;=1000,"High",(IF(Table15678[[#This Row],[Total Amount]]&gt;=500,"Medium","Low")))</f>
        <v>High</v>
      </c>
      <c r="M105" s="4" t="str" cm="1">
        <f t="array" ref="M10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05" s="4" cm="1">
        <f t="array" ref="N10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150</v>
      </c>
      <c r="O105" s="4">
        <f>Table15678[[#This Row],[Total Amount]]-Table15678[[#This Row],[Discount Amount]]</f>
        <v>850</v>
      </c>
      <c r="P105" s="4" t="str">
        <f>IF(Table15678[[#This Row],[Total Amount]]&gt;=1000,"High","Low")</f>
        <v>High</v>
      </c>
      <c r="Q105" s="4" t="str" cm="1">
        <f t="array" ref="Q105">_xlfn.IFS(AND(Table15678[[#This Row],[Total Amount]]&gt;=1500,"Critical"),AND(Table15678[[#This Row],[Total Amount]]&gt;=1000,"High"),TRUE,"Normal")</f>
        <v>Normal</v>
      </c>
      <c r="R105" s="4" t="str">
        <f>CONCATENATE(Table15678[[#This Row],[Customer ID]], "-",Table15678[[#This Row],[Age]])</f>
        <v>CUST104-34</v>
      </c>
      <c r="S105" s="4" t="str">
        <f>TEXT(Table15678[[#This Row],[Date]],"mmm")</f>
        <v>Jun</v>
      </c>
      <c r="T105" s="4" t="str">
        <f>TEXT(Table15678[[#This Row],[Date]],"DDD")</f>
        <v>Sun</v>
      </c>
    </row>
    <row r="106" spans="1:20" ht="29" x14ac:dyDescent="0.35">
      <c r="A106" s="4">
        <v>105</v>
      </c>
      <c r="B106" s="5">
        <v>45132</v>
      </c>
      <c r="C106" s="4" t="s">
        <v>118</v>
      </c>
      <c r="D106" s="4" t="s">
        <v>13</v>
      </c>
      <c r="E106" s="4">
        <v>22</v>
      </c>
      <c r="F106" s="4" t="str">
        <f>IF(Table15678[[#This Row],[Age]]&lt;=19,"Teenager",IF(Table15678[[#This Row],[Age]]&lt;=40,"Median","Old"))</f>
        <v>Median</v>
      </c>
      <c r="G106" s="4" t="s">
        <v>16</v>
      </c>
      <c r="H106" s="4">
        <v>1</v>
      </c>
      <c r="I106" s="4">
        <v>500</v>
      </c>
      <c r="J106" s="4">
        <v>500</v>
      </c>
      <c r="K106" s="4" t="str" cm="1">
        <f t="array" ref="K106">_xlfn.IFS(AND(Table15678[[#This Row],[Total Amount]]&gt;=1500),"Critical",AND(Table15678[[#This Row],[Total Amount]]&gt;=1000),"High",TRUE,"Normal")</f>
        <v>Normal</v>
      </c>
      <c r="L106" s="4" t="str">
        <f>IF(Table15678[[#This Row],[Total Amount]]&gt;=1000,"High",(IF(Table15678[[#This Row],[Total Amount]]&gt;=500,"Medium","Low")))</f>
        <v>Medium</v>
      </c>
      <c r="M106" s="4" t="str" cm="1">
        <f t="array" ref="M10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106" s="4" cm="1">
        <f t="array" ref="N10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106" s="4">
        <f>Table15678[[#This Row],[Total Amount]]-Table15678[[#This Row],[Discount Amount]]</f>
        <v>500</v>
      </c>
      <c r="P106" s="4" t="str">
        <f>IF(Table15678[[#This Row],[Total Amount]]&gt;=1000,"High","Low")</f>
        <v>Low</v>
      </c>
      <c r="Q106" s="4" t="str" cm="1">
        <f t="array" ref="Q106">_xlfn.IFS(AND(Table15678[[#This Row],[Total Amount]]&gt;=1500,"Critical"),AND(Table15678[[#This Row],[Total Amount]]&gt;=1000,"High"),TRUE,"Normal")</f>
        <v>Normal</v>
      </c>
      <c r="R106" s="4" t="str">
        <f>CONCATENATE(Table15678[[#This Row],[Customer ID]], "-",Table15678[[#This Row],[Age]])</f>
        <v>CUST105-22</v>
      </c>
      <c r="S106" s="4" t="str">
        <f>TEXT(Table15678[[#This Row],[Date]],"mmm")</f>
        <v>Jul</v>
      </c>
      <c r="T106" s="4" t="str">
        <f>TEXT(Table15678[[#This Row],[Date]],"DDD")</f>
        <v>Tue</v>
      </c>
    </row>
    <row r="107" spans="1:20" ht="29" x14ac:dyDescent="0.35">
      <c r="A107" s="4">
        <v>106</v>
      </c>
      <c r="B107" s="5">
        <v>45064</v>
      </c>
      <c r="C107" s="4" t="s">
        <v>119</v>
      </c>
      <c r="D107" s="4" t="s">
        <v>13</v>
      </c>
      <c r="E107" s="4">
        <v>46</v>
      </c>
      <c r="F107" s="4" t="str">
        <f>IF(Table15678[[#This Row],[Age]]&lt;=19,"Teenager",IF(Table15678[[#This Row],[Age]]&lt;=40,"Median","Old"))</f>
        <v>Old</v>
      </c>
      <c r="G107" s="4" t="s">
        <v>14</v>
      </c>
      <c r="H107" s="4">
        <v>1</v>
      </c>
      <c r="I107" s="4">
        <v>50</v>
      </c>
      <c r="J107" s="4">
        <v>50</v>
      </c>
      <c r="K107" s="4" t="str" cm="1">
        <f t="array" ref="K107">_xlfn.IFS(AND(Table15678[[#This Row],[Total Amount]]&gt;=1500),"Critical",AND(Table15678[[#This Row],[Total Amount]]&gt;=1000),"High",TRUE,"Normal")</f>
        <v>Normal</v>
      </c>
      <c r="L107" s="4" t="str">
        <f>IF(Table15678[[#This Row],[Total Amount]]&gt;=1000,"High",(IF(Table15678[[#This Row],[Total Amount]]&gt;=500,"Medium","Low")))</f>
        <v>Low</v>
      </c>
      <c r="M107" s="4" t="str" cm="1">
        <f t="array" ref="M10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07" s="4" cm="1">
        <f t="array" ref="N10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107" s="4">
        <f>Table15678[[#This Row],[Total Amount]]-Table15678[[#This Row],[Discount Amount]]</f>
        <v>40</v>
      </c>
      <c r="P107" s="4" t="str">
        <f>IF(Table15678[[#This Row],[Total Amount]]&gt;=1000,"High","Low")</f>
        <v>Low</v>
      </c>
      <c r="Q107" s="4" t="str" cm="1">
        <f t="array" ref="Q107">_xlfn.IFS(AND(Table15678[[#This Row],[Total Amount]]&gt;=1500,"Critical"),AND(Table15678[[#This Row],[Total Amount]]&gt;=1000,"High"),TRUE,"Normal")</f>
        <v>Normal</v>
      </c>
      <c r="R107" s="4" t="str">
        <f>CONCATENATE(Table15678[[#This Row],[Customer ID]], "-",Table15678[[#This Row],[Age]])</f>
        <v>CUST106-46</v>
      </c>
      <c r="S107" s="4" t="str">
        <f>TEXT(Table15678[[#This Row],[Date]],"mmm")</f>
        <v>May</v>
      </c>
      <c r="T107" s="4" t="str">
        <f>TEXT(Table15678[[#This Row],[Date]],"DDD")</f>
        <v>Thu</v>
      </c>
    </row>
    <row r="108" spans="1:20" ht="29" x14ac:dyDescent="0.35">
      <c r="A108" s="4">
        <v>107</v>
      </c>
      <c r="B108" s="5">
        <v>44960</v>
      </c>
      <c r="C108" s="4" t="s">
        <v>120</v>
      </c>
      <c r="D108" s="4" t="s">
        <v>13</v>
      </c>
      <c r="E108" s="4">
        <v>21</v>
      </c>
      <c r="F108" s="4" t="str">
        <f>IF(Table15678[[#This Row],[Age]]&lt;=19,"Teenager",IF(Table15678[[#This Row],[Age]]&lt;=40,"Median","Old"))</f>
        <v>Median</v>
      </c>
      <c r="G108" s="4" t="s">
        <v>14</v>
      </c>
      <c r="H108" s="4">
        <v>4</v>
      </c>
      <c r="I108" s="4">
        <v>300</v>
      </c>
      <c r="J108" s="4">
        <v>1200</v>
      </c>
      <c r="K108" s="4" t="str" cm="1">
        <f t="array" ref="K108">_xlfn.IFS(AND(Table15678[[#This Row],[Total Amount]]&gt;=1500),"Critical",AND(Table15678[[#This Row],[Total Amount]]&gt;=1000),"High",TRUE,"Normal")</f>
        <v>High</v>
      </c>
      <c r="L108" s="4" t="str">
        <f>IF(Table15678[[#This Row],[Total Amount]]&gt;=1000,"High",(IF(Table15678[[#This Row],[Total Amount]]&gt;=500,"Medium","Low")))</f>
        <v>High</v>
      </c>
      <c r="M108" s="4" t="str" cm="1">
        <f t="array" ref="M10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108" s="4" cm="1">
        <f t="array" ref="N10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108" s="4">
        <f>Table15678[[#This Row],[Total Amount]]-Table15678[[#This Row],[Discount Amount]]</f>
        <v>1200</v>
      </c>
      <c r="P108" s="4" t="str">
        <f>IF(Table15678[[#This Row],[Total Amount]]&gt;=1000,"High","Low")</f>
        <v>High</v>
      </c>
      <c r="Q108" s="4" t="str" cm="1">
        <f t="array" ref="Q108">_xlfn.IFS(AND(Table15678[[#This Row],[Total Amount]]&gt;=1500,"Critical"),AND(Table15678[[#This Row],[Total Amount]]&gt;=1000,"High"),TRUE,"Normal")</f>
        <v>Normal</v>
      </c>
      <c r="R108" s="4" t="str">
        <f>CONCATENATE(Table15678[[#This Row],[Customer ID]], "-",Table15678[[#This Row],[Age]])</f>
        <v>CUST107-21</v>
      </c>
      <c r="S108" s="4" t="str">
        <f>TEXT(Table15678[[#This Row],[Date]],"mmm")</f>
        <v>Feb</v>
      </c>
      <c r="T108" s="4" t="str">
        <f>TEXT(Table15678[[#This Row],[Date]],"DDD")</f>
        <v>Fri</v>
      </c>
    </row>
    <row r="109" spans="1:20" ht="29" x14ac:dyDescent="0.35">
      <c r="A109" s="4">
        <v>108</v>
      </c>
      <c r="B109" s="5">
        <v>45035</v>
      </c>
      <c r="C109" s="4" t="s">
        <v>121</v>
      </c>
      <c r="D109" s="4" t="s">
        <v>13</v>
      </c>
      <c r="E109" s="4">
        <v>27</v>
      </c>
      <c r="F109" s="4" t="str">
        <f>IF(Table15678[[#This Row],[Age]]&lt;=19,"Teenager",IF(Table15678[[#This Row],[Age]]&lt;=40,"Median","Old"))</f>
        <v>Median</v>
      </c>
      <c r="G109" s="4" t="s">
        <v>11</v>
      </c>
      <c r="H109" s="4">
        <v>3</v>
      </c>
      <c r="I109" s="4">
        <v>25</v>
      </c>
      <c r="J109" s="4">
        <v>75</v>
      </c>
      <c r="K109" s="4" t="str" cm="1">
        <f t="array" ref="K109">_xlfn.IFS(AND(Table15678[[#This Row],[Total Amount]]&gt;=1500),"Critical",AND(Table15678[[#This Row],[Total Amount]]&gt;=1000),"High",TRUE,"Normal")</f>
        <v>Normal</v>
      </c>
      <c r="L109" s="4" t="str">
        <f>IF(Table15678[[#This Row],[Total Amount]]&gt;=1000,"High",(IF(Table15678[[#This Row],[Total Amount]]&gt;=500,"Medium","Low")))</f>
        <v>Low</v>
      </c>
      <c r="M109" s="4" t="str" cm="1">
        <f t="array" ref="M10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09" s="4" cm="1">
        <f t="array" ref="N10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11.25</v>
      </c>
      <c r="O109" s="4">
        <f>Table15678[[#This Row],[Total Amount]]-Table15678[[#This Row],[Discount Amount]]</f>
        <v>63.75</v>
      </c>
      <c r="P109" s="4" t="str">
        <f>IF(Table15678[[#This Row],[Total Amount]]&gt;=1000,"High","Low")</f>
        <v>Low</v>
      </c>
      <c r="Q109" s="4" t="str" cm="1">
        <f t="array" ref="Q109">_xlfn.IFS(AND(Table15678[[#This Row],[Total Amount]]&gt;=1500,"Critical"),AND(Table15678[[#This Row],[Total Amount]]&gt;=1000,"High"),TRUE,"Normal")</f>
        <v>Normal</v>
      </c>
      <c r="R109" s="4" t="str">
        <f>CONCATENATE(Table15678[[#This Row],[Customer ID]], "-",Table15678[[#This Row],[Age]])</f>
        <v>CUST108-27</v>
      </c>
      <c r="S109" s="4" t="str">
        <f>TEXT(Table15678[[#This Row],[Date]],"mmm")</f>
        <v>Apr</v>
      </c>
      <c r="T109" s="4" t="str">
        <f>TEXT(Table15678[[#This Row],[Date]],"DDD")</f>
        <v>Wed</v>
      </c>
    </row>
    <row r="110" spans="1:20" ht="29" x14ac:dyDescent="0.35">
      <c r="A110" s="4">
        <v>109</v>
      </c>
      <c r="B110" s="5">
        <v>45217</v>
      </c>
      <c r="C110" s="4" t="s">
        <v>122</v>
      </c>
      <c r="D110" s="4" t="s">
        <v>13</v>
      </c>
      <c r="E110" s="4">
        <v>34</v>
      </c>
      <c r="F110" s="4" t="str">
        <f>IF(Table15678[[#This Row],[Age]]&lt;=19,"Teenager",IF(Table15678[[#This Row],[Age]]&lt;=40,"Median","Old"))</f>
        <v>Median</v>
      </c>
      <c r="G110" s="4" t="s">
        <v>16</v>
      </c>
      <c r="H110" s="4">
        <v>4</v>
      </c>
      <c r="I110" s="4">
        <v>500</v>
      </c>
      <c r="J110" s="4">
        <v>2000</v>
      </c>
      <c r="K110" s="4" t="str" cm="1">
        <f t="array" ref="K110">_xlfn.IFS(AND(Table15678[[#This Row],[Total Amount]]&gt;=1500),"Critical",AND(Table15678[[#This Row],[Total Amount]]&gt;=1000),"High",TRUE,"Normal")</f>
        <v>Critical</v>
      </c>
      <c r="L110" s="4" t="str">
        <f>IF(Table15678[[#This Row],[Total Amount]]&gt;=1000,"High",(IF(Table15678[[#This Row],[Total Amount]]&gt;=500,"Medium","Low")))</f>
        <v>High</v>
      </c>
      <c r="M110" s="4" t="str" cm="1">
        <f t="array" ref="M11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10" s="4" cm="1">
        <f t="array" ref="N11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110" s="4">
        <f>Table15678[[#This Row],[Total Amount]]-Table15678[[#This Row],[Discount Amount]]</f>
        <v>1700</v>
      </c>
      <c r="P110" s="4" t="str">
        <f>IF(Table15678[[#This Row],[Total Amount]]&gt;=1000,"High","Low")</f>
        <v>High</v>
      </c>
      <c r="Q110" s="4" t="b" cm="1">
        <f t="array" ref="Q110">_xlfn.IFS(AND(Table15678[[#This Row],[Total Amount]]&gt;=1500,"Critical"),AND(Table15678[[#This Row],[Total Amount]]&gt;=1000,"High"),TRUE,"Normal")</f>
        <v>1</v>
      </c>
      <c r="R110" s="4" t="str">
        <f>CONCATENATE(Table15678[[#This Row],[Customer ID]], "-",Table15678[[#This Row],[Age]])</f>
        <v>CUST109-34</v>
      </c>
      <c r="S110" s="4" t="str">
        <f>TEXT(Table15678[[#This Row],[Date]],"mmm")</f>
        <v>Oct</v>
      </c>
      <c r="T110" s="4" t="str">
        <f>TEXT(Table15678[[#This Row],[Date]],"DDD")</f>
        <v>Wed</v>
      </c>
    </row>
    <row r="111" spans="1:20" ht="29" x14ac:dyDescent="0.35">
      <c r="A111" s="4">
        <v>110</v>
      </c>
      <c r="B111" s="5">
        <v>45088</v>
      </c>
      <c r="C111" s="4" t="s">
        <v>123</v>
      </c>
      <c r="D111" s="4" t="s">
        <v>10</v>
      </c>
      <c r="E111" s="4">
        <v>27</v>
      </c>
      <c r="F111" s="4" t="str">
        <f>IF(Table15678[[#This Row],[Age]]&lt;=19,"Teenager",IF(Table15678[[#This Row],[Age]]&lt;=40,"Median","Old"))</f>
        <v>Median</v>
      </c>
      <c r="G111" s="4" t="s">
        <v>14</v>
      </c>
      <c r="H111" s="4">
        <v>3</v>
      </c>
      <c r="I111" s="4">
        <v>300</v>
      </c>
      <c r="J111" s="4">
        <v>900</v>
      </c>
      <c r="K111" s="4" t="str" cm="1">
        <f t="array" ref="K111">_xlfn.IFS(AND(Table15678[[#This Row],[Total Amount]]&gt;=1500),"Critical",AND(Table15678[[#This Row],[Total Amount]]&gt;=1000),"High",TRUE,"Normal")</f>
        <v>Normal</v>
      </c>
      <c r="L111" s="4" t="str">
        <f>IF(Table15678[[#This Row],[Total Amount]]&gt;=1000,"High",(IF(Table15678[[#This Row],[Total Amount]]&gt;=500,"Medium","Low")))</f>
        <v>Medium</v>
      </c>
      <c r="M111" s="4" t="str" cm="1">
        <f t="array" ref="M11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11" s="4" cm="1">
        <f t="array" ref="N11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135</v>
      </c>
      <c r="O111" s="4">
        <f>Table15678[[#This Row],[Total Amount]]-Table15678[[#This Row],[Discount Amount]]</f>
        <v>765</v>
      </c>
      <c r="P111" s="4" t="str">
        <f>IF(Table15678[[#This Row],[Total Amount]]&gt;=1000,"High","Low")</f>
        <v>Low</v>
      </c>
      <c r="Q111" s="4" t="str" cm="1">
        <f t="array" ref="Q111">_xlfn.IFS(AND(Table15678[[#This Row],[Total Amount]]&gt;=1500,"Critical"),AND(Table15678[[#This Row],[Total Amount]]&gt;=1000,"High"),TRUE,"Normal")</f>
        <v>Normal</v>
      </c>
      <c r="R111" s="4" t="str">
        <f>CONCATENATE(Table15678[[#This Row],[Customer ID]], "-",Table15678[[#This Row],[Age]])</f>
        <v>CUST110-27</v>
      </c>
      <c r="S111" s="4" t="str">
        <f>TEXT(Table15678[[#This Row],[Date]],"mmm")</f>
        <v>Jun</v>
      </c>
      <c r="T111" s="4" t="str">
        <f>TEXT(Table15678[[#This Row],[Date]],"DDD")</f>
        <v>Sun</v>
      </c>
    </row>
    <row r="112" spans="1:20" ht="29" x14ac:dyDescent="0.35">
      <c r="A112" s="4">
        <v>111</v>
      </c>
      <c r="B112" s="5">
        <v>45035</v>
      </c>
      <c r="C112" s="4" t="s">
        <v>124</v>
      </c>
      <c r="D112" s="4" t="s">
        <v>13</v>
      </c>
      <c r="E112" s="4">
        <v>34</v>
      </c>
      <c r="F112" s="4" t="str">
        <f>IF(Table15678[[#This Row],[Age]]&lt;=19,"Teenager",IF(Table15678[[#This Row],[Age]]&lt;=40,"Median","Old"))</f>
        <v>Median</v>
      </c>
      <c r="G112" s="4" t="s">
        <v>16</v>
      </c>
      <c r="H112" s="4">
        <v>3</v>
      </c>
      <c r="I112" s="4">
        <v>500</v>
      </c>
      <c r="J112" s="4">
        <v>1500</v>
      </c>
      <c r="K112" s="4" t="str" cm="1">
        <f t="array" ref="K112">_xlfn.IFS(AND(Table15678[[#This Row],[Total Amount]]&gt;=1500),"Critical",AND(Table15678[[#This Row],[Total Amount]]&gt;=1000),"High",TRUE,"Normal")</f>
        <v>Critical</v>
      </c>
      <c r="L112" s="4" t="str">
        <f>IF(Table15678[[#This Row],[Total Amount]]&gt;=1000,"High",(IF(Table15678[[#This Row],[Total Amount]]&gt;=500,"Medium","Low")))</f>
        <v>High</v>
      </c>
      <c r="M112" s="4" t="str" cm="1">
        <f t="array" ref="M11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12" s="4" cm="1">
        <f t="array" ref="N11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225</v>
      </c>
      <c r="O112" s="4">
        <f>Table15678[[#This Row],[Total Amount]]-Table15678[[#This Row],[Discount Amount]]</f>
        <v>1275</v>
      </c>
      <c r="P112" s="4" t="str">
        <f>IF(Table15678[[#This Row],[Total Amount]]&gt;=1000,"High","Low")</f>
        <v>High</v>
      </c>
      <c r="Q112" s="4" t="b" cm="1">
        <f t="array" ref="Q112">_xlfn.IFS(AND(Table15678[[#This Row],[Total Amount]]&gt;=1500,"Critical"),AND(Table15678[[#This Row],[Total Amount]]&gt;=1000,"High"),TRUE,"Normal")</f>
        <v>1</v>
      </c>
      <c r="R112" s="4" t="str">
        <f>CONCATENATE(Table15678[[#This Row],[Customer ID]], "-",Table15678[[#This Row],[Age]])</f>
        <v>CUST111-34</v>
      </c>
      <c r="S112" s="4" t="str">
        <f>TEXT(Table15678[[#This Row],[Date]],"mmm")</f>
        <v>Apr</v>
      </c>
      <c r="T112" s="4" t="str">
        <f>TEXT(Table15678[[#This Row],[Date]],"DDD")</f>
        <v>Wed</v>
      </c>
    </row>
    <row r="113" spans="1:20" ht="29" x14ac:dyDescent="0.35">
      <c r="A113" s="4">
        <v>112</v>
      </c>
      <c r="B113" s="5">
        <v>45262</v>
      </c>
      <c r="C113" s="4" t="s">
        <v>125</v>
      </c>
      <c r="D113" s="4" t="s">
        <v>10</v>
      </c>
      <c r="E113" s="4">
        <v>37</v>
      </c>
      <c r="F113" s="4" t="str">
        <f>IF(Table15678[[#This Row],[Age]]&lt;=19,"Teenager",IF(Table15678[[#This Row],[Age]]&lt;=40,"Median","Old"))</f>
        <v>Median</v>
      </c>
      <c r="G113" s="4" t="s">
        <v>14</v>
      </c>
      <c r="H113" s="4">
        <v>3</v>
      </c>
      <c r="I113" s="4">
        <v>500</v>
      </c>
      <c r="J113" s="4">
        <v>1500</v>
      </c>
      <c r="K113" s="4" t="str" cm="1">
        <f t="array" ref="K113">_xlfn.IFS(AND(Table15678[[#This Row],[Total Amount]]&gt;=1500),"Critical",AND(Table15678[[#This Row],[Total Amount]]&gt;=1000),"High",TRUE,"Normal")</f>
        <v>Critical</v>
      </c>
      <c r="L113" s="4" t="str">
        <f>IF(Table15678[[#This Row],[Total Amount]]&gt;=1000,"High",(IF(Table15678[[#This Row],[Total Amount]]&gt;=500,"Medium","Low")))</f>
        <v>High</v>
      </c>
      <c r="M113" s="4" t="str" cm="1">
        <f t="array" ref="M11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13" s="4" cm="1">
        <f t="array" ref="N11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150</v>
      </c>
      <c r="O113" s="4">
        <f>Table15678[[#This Row],[Total Amount]]-Table15678[[#This Row],[Discount Amount]]</f>
        <v>1350</v>
      </c>
      <c r="P113" s="4" t="str">
        <f>IF(Table15678[[#This Row],[Total Amount]]&gt;=1000,"High","Low")</f>
        <v>High</v>
      </c>
      <c r="Q113" s="4" t="b" cm="1">
        <f t="array" ref="Q113">_xlfn.IFS(AND(Table15678[[#This Row],[Total Amount]]&gt;=1500,"Critical"),AND(Table15678[[#This Row],[Total Amount]]&gt;=1000,"High"),TRUE,"Normal")</f>
        <v>1</v>
      </c>
      <c r="R113" s="4" t="str">
        <f>CONCATENATE(Table15678[[#This Row],[Customer ID]], "-",Table15678[[#This Row],[Age]])</f>
        <v>CUST112-37</v>
      </c>
      <c r="S113" s="4" t="str">
        <f>TEXT(Table15678[[#This Row],[Date]],"mmm")</f>
        <v>Dec</v>
      </c>
      <c r="T113" s="4" t="str">
        <f>TEXT(Table15678[[#This Row],[Date]],"DDD")</f>
        <v>Sat</v>
      </c>
    </row>
    <row r="114" spans="1:20" ht="29" x14ac:dyDescent="0.35">
      <c r="A114" s="4">
        <v>113</v>
      </c>
      <c r="B114" s="5">
        <v>45182</v>
      </c>
      <c r="C114" s="4" t="s">
        <v>126</v>
      </c>
      <c r="D114" s="4" t="s">
        <v>13</v>
      </c>
      <c r="E114" s="4">
        <v>41</v>
      </c>
      <c r="F114" s="4" t="str">
        <f>IF(Table15678[[#This Row],[Age]]&lt;=19,"Teenager",IF(Table15678[[#This Row],[Age]]&lt;=40,"Median","Old"))</f>
        <v>Old</v>
      </c>
      <c r="G114" s="4" t="s">
        <v>16</v>
      </c>
      <c r="H114" s="4">
        <v>2</v>
      </c>
      <c r="I114" s="4">
        <v>25</v>
      </c>
      <c r="J114" s="4">
        <v>50</v>
      </c>
      <c r="K114" s="4" t="str" cm="1">
        <f t="array" ref="K114">_xlfn.IFS(AND(Table15678[[#This Row],[Total Amount]]&gt;=1500),"Critical",AND(Table15678[[#This Row],[Total Amount]]&gt;=1000),"High",TRUE,"Normal")</f>
        <v>Normal</v>
      </c>
      <c r="L114" s="4" t="str">
        <f>IF(Table15678[[#This Row],[Total Amount]]&gt;=1000,"High",(IF(Table15678[[#This Row],[Total Amount]]&gt;=500,"Medium","Low")))</f>
        <v>Low</v>
      </c>
      <c r="M114" s="4" t="str" cm="1">
        <f t="array" ref="M11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14" s="4" cm="1">
        <f t="array" ref="N11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114" s="4">
        <f>Table15678[[#This Row],[Total Amount]]-Table15678[[#This Row],[Discount Amount]]</f>
        <v>40</v>
      </c>
      <c r="P114" s="4" t="str">
        <f>IF(Table15678[[#This Row],[Total Amount]]&gt;=1000,"High","Low")</f>
        <v>Low</v>
      </c>
      <c r="Q114" s="4" t="str" cm="1">
        <f t="array" ref="Q114">_xlfn.IFS(AND(Table15678[[#This Row],[Total Amount]]&gt;=1500,"Critical"),AND(Table15678[[#This Row],[Total Amount]]&gt;=1000,"High"),TRUE,"Normal")</f>
        <v>Normal</v>
      </c>
      <c r="R114" s="4" t="str">
        <f>CONCATENATE(Table15678[[#This Row],[Customer ID]], "-",Table15678[[#This Row],[Age]])</f>
        <v>CUST113-41</v>
      </c>
      <c r="S114" s="4" t="str">
        <f>TEXT(Table15678[[#This Row],[Date]],"mmm")</f>
        <v>Sep</v>
      </c>
      <c r="T114" s="4" t="str">
        <f>TEXT(Table15678[[#This Row],[Date]],"DDD")</f>
        <v>Wed</v>
      </c>
    </row>
    <row r="115" spans="1:20" ht="29" x14ac:dyDescent="0.35">
      <c r="A115" s="4">
        <v>114</v>
      </c>
      <c r="B115" s="5">
        <v>45129</v>
      </c>
      <c r="C115" s="4" t="s">
        <v>127</v>
      </c>
      <c r="D115" s="4" t="s">
        <v>13</v>
      </c>
      <c r="E115" s="4">
        <v>22</v>
      </c>
      <c r="F115" s="4" t="str">
        <f>IF(Table15678[[#This Row],[Age]]&lt;=19,"Teenager",IF(Table15678[[#This Row],[Age]]&lt;=40,"Median","Old"))</f>
        <v>Median</v>
      </c>
      <c r="G115" s="4" t="s">
        <v>11</v>
      </c>
      <c r="H115" s="4">
        <v>4</v>
      </c>
      <c r="I115" s="4">
        <v>25</v>
      </c>
      <c r="J115" s="4">
        <v>100</v>
      </c>
      <c r="K115" s="4" t="str" cm="1">
        <f t="array" ref="K115">_xlfn.IFS(AND(Table15678[[#This Row],[Total Amount]]&gt;=1500),"Critical",AND(Table15678[[#This Row],[Total Amount]]&gt;=1000),"High",TRUE,"Normal")</f>
        <v>Normal</v>
      </c>
      <c r="L115" s="4" t="str">
        <f>IF(Table15678[[#This Row],[Total Amount]]&gt;=1000,"High",(IF(Table15678[[#This Row],[Total Amount]]&gt;=500,"Medium","Low")))</f>
        <v>Low</v>
      </c>
      <c r="M115" s="4" t="str" cm="1">
        <f t="array" ref="M11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115" s="4" cm="1">
        <f t="array" ref="N11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115" s="4">
        <f>Table15678[[#This Row],[Total Amount]]-Table15678[[#This Row],[Discount Amount]]</f>
        <v>100</v>
      </c>
      <c r="P115" s="4" t="str">
        <f>IF(Table15678[[#This Row],[Total Amount]]&gt;=1000,"High","Low")</f>
        <v>Low</v>
      </c>
      <c r="Q115" s="4" t="str" cm="1">
        <f t="array" ref="Q115">_xlfn.IFS(AND(Table15678[[#This Row],[Total Amount]]&gt;=1500,"Critical"),AND(Table15678[[#This Row],[Total Amount]]&gt;=1000,"High"),TRUE,"Normal")</f>
        <v>Normal</v>
      </c>
      <c r="R115" s="4" t="str">
        <f>CONCATENATE(Table15678[[#This Row],[Customer ID]], "-",Table15678[[#This Row],[Age]])</f>
        <v>CUST114-22</v>
      </c>
      <c r="S115" s="4" t="str">
        <f>TEXT(Table15678[[#This Row],[Date]],"mmm")</f>
        <v>Jul</v>
      </c>
      <c r="T115" s="4" t="str">
        <f>TEXT(Table15678[[#This Row],[Date]],"DDD")</f>
        <v>Sat</v>
      </c>
    </row>
    <row r="116" spans="1:20" ht="29" x14ac:dyDescent="0.35">
      <c r="A116" s="4">
        <v>115</v>
      </c>
      <c r="B116" s="5">
        <v>45256</v>
      </c>
      <c r="C116" s="4" t="s">
        <v>128</v>
      </c>
      <c r="D116" s="4" t="s">
        <v>10</v>
      </c>
      <c r="E116" s="4">
        <v>51</v>
      </c>
      <c r="F116" s="4" t="str">
        <f>IF(Table15678[[#This Row],[Age]]&lt;=19,"Teenager",IF(Table15678[[#This Row],[Age]]&lt;=40,"Median","Old"))</f>
        <v>Old</v>
      </c>
      <c r="G116" s="4" t="s">
        <v>14</v>
      </c>
      <c r="H116" s="4">
        <v>3</v>
      </c>
      <c r="I116" s="4">
        <v>500</v>
      </c>
      <c r="J116" s="4">
        <v>1500</v>
      </c>
      <c r="K116" s="4" t="str" cm="1">
        <f t="array" ref="K116">_xlfn.IFS(AND(Table15678[[#This Row],[Total Amount]]&gt;=1500),"Critical",AND(Table15678[[#This Row],[Total Amount]]&gt;=1000),"High",TRUE,"Normal")</f>
        <v>Critical</v>
      </c>
      <c r="L116" s="4" t="str">
        <f>IF(Table15678[[#This Row],[Total Amount]]&gt;=1000,"High",(IF(Table15678[[#This Row],[Total Amount]]&gt;=500,"Medium","Low")))</f>
        <v>High</v>
      </c>
      <c r="M116" s="4" t="str" cm="1">
        <f t="array" ref="M11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16" s="4" cm="1">
        <f t="array" ref="N11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150</v>
      </c>
      <c r="O116" s="4">
        <f>Table15678[[#This Row],[Total Amount]]-Table15678[[#This Row],[Discount Amount]]</f>
        <v>1350</v>
      </c>
      <c r="P116" s="4" t="str">
        <f>IF(Table15678[[#This Row],[Total Amount]]&gt;=1000,"High","Low")</f>
        <v>High</v>
      </c>
      <c r="Q116" s="4" t="b" cm="1">
        <f t="array" ref="Q116">_xlfn.IFS(AND(Table15678[[#This Row],[Total Amount]]&gt;=1500,"Critical"),AND(Table15678[[#This Row],[Total Amount]]&gt;=1000,"High"),TRUE,"Normal")</f>
        <v>1</v>
      </c>
      <c r="R116" s="4" t="str">
        <f>CONCATENATE(Table15678[[#This Row],[Customer ID]], "-",Table15678[[#This Row],[Age]])</f>
        <v>CUST115-51</v>
      </c>
      <c r="S116" s="4" t="str">
        <f>TEXT(Table15678[[#This Row],[Date]],"mmm")</f>
        <v>Nov</v>
      </c>
      <c r="T116" s="4" t="str">
        <f>TEXT(Table15678[[#This Row],[Date]],"DDD")</f>
        <v>Sun</v>
      </c>
    </row>
    <row r="117" spans="1:20" ht="29" x14ac:dyDescent="0.35">
      <c r="A117" s="4">
        <v>116</v>
      </c>
      <c r="B117" s="5">
        <v>45161</v>
      </c>
      <c r="C117" s="4" t="s">
        <v>129</v>
      </c>
      <c r="D117" s="4" t="s">
        <v>13</v>
      </c>
      <c r="E117" s="4">
        <v>23</v>
      </c>
      <c r="F117" s="4" t="str">
        <f>IF(Table15678[[#This Row],[Age]]&lt;=19,"Teenager",IF(Table15678[[#This Row],[Age]]&lt;=40,"Median","Old"))</f>
        <v>Median</v>
      </c>
      <c r="G117" s="4" t="s">
        <v>14</v>
      </c>
      <c r="H117" s="4">
        <v>1</v>
      </c>
      <c r="I117" s="4">
        <v>30</v>
      </c>
      <c r="J117" s="4">
        <v>30</v>
      </c>
      <c r="K117" s="4" t="str" cm="1">
        <f t="array" ref="K117">_xlfn.IFS(AND(Table15678[[#This Row],[Total Amount]]&gt;=1500),"Critical",AND(Table15678[[#This Row],[Total Amount]]&gt;=1000),"High",TRUE,"Normal")</f>
        <v>Normal</v>
      </c>
      <c r="L117" s="4" t="str">
        <f>IF(Table15678[[#This Row],[Total Amount]]&gt;=1000,"High",(IF(Table15678[[#This Row],[Total Amount]]&gt;=500,"Medium","Low")))</f>
        <v>Low</v>
      </c>
      <c r="M117" s="4" t="str" cm="1">
        <f t="array" ref="M11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117" s="4" cm="1">
        <f t="array" ref="N11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117" s="4">
        <f>Table15678[[#This Row],[Total Amount]]-Table15678[[#This Row],[Discount Amount]]</f>
        <v>30</v>
      </c>
      <c r="P117" s="4" t="str">
        <f>IF(Table15678[[#This Row],[Total Amount]]&gt;=1000,"High","Low")</f>
        <v>Low</v>
      </c>
      <c r="Q117" s="4" t="str" cm="1">
        <f t="array" ref="Q117">_xlfn.IFS(AND(Table15678[[#This Row],[Total Amount]]&gt;=1500,"Critical"),AND(Table15678[[#This Row],[Total Amount]]&gt;=1000,"High"),TRUE,"Normal")</f>
        <v>Normal</v>
      </c>
      <c r="R117" s="4" t="str">
        <f>CONCATENATE(Table15678[[#This Row],[Customer ID]], "-",Table15678[[#This Row],[Age]])</f>
        <v>CUST116-23</v>
      </c>
      <c r="S117" s="4" t="str">
        <f>TEXT(Table15678[[#This Row],[Date]],"mmm")</f>
        <v>Aug</v>
      </c>
      <c r="T117" s="4" t="str">
        <f>TEXT(Table15678[[#This Row],[Date]],"DDD")</f>
        <v>Wed</v>
      </c>
    </row>
    <row r="118" spans="1:20" ht="29" x14ac:dyDescent="0.35">
      <c r="A118" s="4">
        <v>117</v>
      </c>
      <c r="B118" s="5">
        <v>45000</v>
      </c>
      <c r="C118" s="4" t="s">
        <v>130</v>
      </c>
      <c r="D118" s="4" t="s">
        <v>10</v>
      </c>
      <c r="E118" s="4">
        <v>19</v>
      </c>
      <c r="F118" s="4" t="str">
        <f>IF(Table15678[[#This Row],[Age]]&lt;=19,"Teenager",IF(Table15678[[#This Row],[Age]]&lt;=40,"Median","Old"))</f>
        <v>Teenager</v>
      </c>
      <c r="G118" s="4" t="s">
        <v>16</v>
      </c>
      <c r="H118" s="4">
        <v>2</v>
      </c>
      <c r="I118" s="4">
        <v>500</v>
      </c>
      <c r="J118" s="4">
        <v>1000</v>
      </c>
      <c r="K118" s="4" t="str" cm="1">
        <f t="array" ref="K118">_xlfn.IFS(AND(Table15678[[#This Row],[Total Amount]]&gt;=1500),"Critical",AND(Table15678[[#This Row],[Total Amount]]&gt;=1000),"High",TRUE,"Normal")</f>
        <v>High</v>
      </c>
      <c r="L118" s="4" t="str">
        <f>IF(Table15678[[#This Row],[Total Amount]]&gt;=1000,"High",(IF(Table15678[[#This Row],[Total Amount]]&gt;=500,"Medium","Low")))</f>
        <v>High</v>
      </c>
      <c r="M118" s="4" t="str" cm="1">
        <f t="array" ref="M11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118" s="4" cm="1">
        <f t="array" ref="N11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118" s="4">
        <f>Table15678[[#This Row],[Total Amount]]-Table15678[[#This Row],[Discount Amount]]</f>
        <v>1000</v>
      </c>
      <c r="P118" s="4" t="str">
        <f>IF(Table15678[[#This Row],[Total Amount]]&gt;=1000,"High","Low")</f>
        <v>High</v>
      </c>
      <c r="Q118" s="4" t="str" cm="1">
        <f t="array" ref="Q118">_xlfn.IFS(AND(Table15678[[#This Row],[Total Amount]]&gt;=1500,"Critical"),AND(Table15678[[#This Row],[Total Amount]]&gt;=1000,"High"),TRUE,"Normal")</f>
        <v>Normal</v>
      </c>
      <c r="R118" s="4" t="str">
        <f>CONCATENATE(Table15678[[#This Row],[Customer ID]], "-",Table15678[[#This Row],[Age]])</f>
        <v>CUST117-19</v>
      </c>
      <c r="S118" s="4" t="str">
        <f>TEXT(Table15678[[#This Row],[Date]],"mmm")</f>
        <v>Mar</v>
      </c>
      <c r="T118" s="4" t="str">
        <f>TEXT(Table15678[[#This Row],[Date]],"DDD")</f>
        <v>Wed</v>
      </c>
    </row>
    <row r="119" spans="1:20" ht="29" x14ac:dyDescent="0.35">
      <c r="A119" s="4">
        <v>118</v>
      </c>
      <c r="B119" s="5">
        <v>45062</v>
      </c>
      <c r="C119" s="4" t="s">
        <v>131</v>
      </c>
      <c r="D119" s="4" t="s">
        <v>13</v>
      </c>
      <c r="E119" s="4">
        <v>30</v>
      </c>
      <c r="F119" s="4" t="str">
        <f>IF(Table15678[[#This Row],[Age]]&lt;=19,"Teenager",IF(Table15678[[#This Row],[Age]]&lt;=40,"Median","Old"))</f>
        <v>Median</v>
      </c>
      <c r="G119" s="4" t="s">
        <v>16</v>
      </c>
      <c r="H119" s="4">
        <v>4</v>
      </c>
      <c r="I119" s="4">
        <v>500</v>
      </c>
      <c r="J119" s="4">
        <v>2000</v>
      </c>
      <c r="K119" s="4" t="str" cm="1">
        <f t="array" ref="K119">_xlfn.IFS(AND(Table15678[[#This Row],[Total Amount]]&gt;=1500),"Critical",AND(Table15678[[#This Row],[Total Amount]]&gt;=1000),"High",TRUE,"Normal")</f>
        <v>Critical</v>
      </c>
      <c r="L119" s="4" t="str">
        <f>IF(Table15678[[#This Row],[Total Amount]]&gt;=1000,"High",(IF(Table15678[[#This Row],[Total Amount]]&gt;=500,"Medium","Low")))</f>
        <v>High</v>
      </c>
      <c r="M119" s="4" t="str" cm="1">
        <f t="array" ref="M11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19" s="4" cm="1">
        <f t="array" ref="N11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119" s="4">
        <f>Table15678[[#This Row],[Total Amount]]-Table15678[[#This Row],[Discount Amount]]</f>
        <v>1700</v>
      </c>
      <c r="P119" s="4" t="str">
        <f>IF(Table15678[[#This Row],[Total Amount]]&gt;=1000,"High","Low")</f>
        <v>High</v>
      </c>
      <c r="Q119" s="4" t="b" cm="1">
        <f t="array" ref="Q119">_xlfn.IFS(AND(Table15678[[#This Row],[Total Amount]]&gt;=1500,"Critical"),AND(Table15678[[#This Row],[Total Amount]]&gt;=1000,"High"),TRUE,"Normal")</f>
        <v>1</v>
      </c>
      <c r="R119" s="4" t="str">
        <f>CONCATENATE(Table15678[[#This Row],[Customer ID]], "-",Table15678[[#This Row],[Age]])</f>
        <v>CUST118-30</v>
      </c>
      <c r="S119" s="4" t="str">
        <f>TEXT(Table15678[[#This Row],[Date]],"mmm")</f>
        <v>May</v>
      </c>
      <c r="T119" s="4" t="str">
        <f>TEXT(Table15678[[#This Row],[Date]],"DDD")</f>
        <v>Tue</v>
      </c>
    </row>
    <row r="120" spans="1:20" ht="29" x14ac:dyDescent="0.35">
      <c r="A120" s="4">
        <v>119</v>
      </c>
      <c r="B120" s="5">
        <v>44998</v>
      </c>
      <c r="C120" s="4" t="s">
        <v>132</v>
      </c>
      <c r="D120" s="4" t="s">
        <v>13</v>
      </c>
      <c r="E120" s="4">
        <v>60</v>
      </c>
      <c r="F120" s="4" t="str">
        <f>IF(Table15678[[#This Row],[Age]]&lt;=19,"Teenager",IF(Table15678[[#This Row],[Age]]&lt;=40,"Median","Old"))</f>
        <v>Old</v>
      </c>
      <c r="G120" s="4" t="s">
        <v>14</v>
      </c>
      <c r="H120" s="4">
        <v>3</v>
      </c>
      <c r="I120" s="4">
        <v>50</v>
      </c>
      <c r="J120" s="4">
        <v>150</v>
      </c>
      <c r="K120" s="4" t="str" cm="1">
        <f t="array" ref="K120">_xlfn.IFS(AND(Table15678[[#This Row],[Total Amount]]&gt;=1500),"Critical",AND(Table15678[[#This Row],[Total Amount]]&gt;=1000),"High",TRUE,"Normal")</f>
        <v>Normal</v>
      </c>
      <c r="L120" s="4" t="str">
        <f>IF(Table15678[[#This Row],[Total Amount]]&gt;=1000,"High",(IF(Table15678[[#This Row],[Total Amount]]&gt;=500,"Medium","Low")))</f>
        <v>Low</v>
      </c>
      <c r="M120" s="4" t="str" cm="1">
        <f t="array" ref="M12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20" s="4" cm="1">
        <f t="array" ref="N12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120" s="4">
        <f>Table15678[[#This Row],[Total Amount]]-Table15678[[#This Row],[Discount Amount]]</f>
        <v>120</v>
      </c>
      <c r="P120" s="4" t="str">
        <f>IF(Table15678[[#This Row],[Total Amount]]&gt;=1000,"High","Low")</f>
        <v>Low</v>
      </c>
      <c r="Q120" s="4" t="str" cm="1">
        <f t="array" ref="Q120">_xlfn.IFS(AND(Table15678[[#This Row],[Total Amount]]&gt;=1500,"Critical"),AND(Table15678[[#This Row],[Total Amount]]&gt;=1000,"High"),TRUE,"Normal")</f>
        <v>Normal</v>
      </c>
      <c r="R120" s="4" t="str">
        <f>CONCATENATE(Table15678[[#This Row],[Customer ID]], "-",Table15678[[#This Row],[Age]])</f>
        <v>CUST119-60</v>
      </c>
      <c r="S120" s="4" t="str">
        <f>TEXT(Table15678[[#This Row],[Date]],"mmm")</f>
        <v>Mar</v>
      </c>
      <c r="T120" s="4" t="str">
        <f>TEXT(Table15678[[#This Row],[Date]],"DDD")</f>
        <v>Mon</v>
      </c>
    </row>
    <row r="121" spans="1:20" ht="29" x14ac:dyDescent="0.35">
      <c r="A121" s="4">
        <v>120</v>
      </c>
      <c r="B121" s="5">
        <v>45053</v>
      </c>
      <c r="C121" s="4" t="s">
        <v>133</v>
      </c>
      <c r="D121" s="4" t="s">
        <v>10</v>
      </c>
      <c r="E121" s="4">
        <v>60</v>
      </c>
      <c r="F121" s="4" t="str">
        <f>IF(Table15678[[#This Row],[Age]]&lt;=19,"Teenager",IF(Table15678[[#This Row],[Age]]&lt;=40,"Median","Old"))</f>
        <v>Old</v>
      </c>
      <c r="G121" s="4" t="s">
        <v>11</v>
      </c>
      <c r="H121" s="4">
        <v>1</v>
      </c>
      <c r="I121" s="4">
        <v>50</v>
      </c>
      <c r="J121" s="4">
        <v>50</v>
      </c>
      <c r="K121" s="4" t="str" cm="1">
        <f t="array" ref="K121">_xlfn.IFS(AND(Table15678[[#This Row],[Total Amount]]&gt;=1500),"Critical",AND(Table15678[[#This Row],[Total Amount]]&gt;=1000),"High",TRUE,"Normal")</f>
        <v>Normal</v>
      </c>
      <c r="L121" s="4" t="str">
        <f>IF(Table15678[[#This Row],[Total Amount]]&gt;=1000,"High",(IF(Table15678[[#This Row],[Total Amount]]&gt;=500,"Medium","Low")))</f>
        <v>Low</v>
      </c>
      <c r="M121" s="4" t="str" cm="1">
        <f t="array" ref="M12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21" s="4" cm="1">
        <f t="array" ref="N12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121" s="4">
        <f>Table15678[[#This Row],[Total Amount]]-Table15678[[#This Row],[Discount Amount]]</f>
        <v>45</v>
      </c>
      <c r="P121" s="4" t="str">
        <f>IF(Table15678[[#This Row],[Total Amount]]&gt;=1000,"High","Low")</f>
        <v>Low</v>
      </c>
      <c r="Q121" s="4" t="str" cm="1">
        <f t="array" ref="Q121">_xlfn.IFS(AND(Table15678[[#This Row],[Total Amount]]&gt;=1500,"Critical"),AND(Table15678[[#This Row],[Total Amount]]&gt;=1000,"High"),TRUE,"Normal")</f>
        <v>Normal</v>
      </c>
      <c r="R121" s="4" t="str">
        <f>CONCATENATE(Table15678[[#This Row],[Customer ID]], "-",Table15678[[#This Row],[Age]])</f>
        <v>CUST120-60</v>
      </c>
      <c r="S121" s="4" t="str">
        <f>TEXT(Table15678[[#This Row],[Date]],"mmm")</f>
        <v>May</v>
      </c>
      <c r="T121" s="4" t="str">
        <f>TEXT(Table15678[[#This Row],[Date]],"DDD")</f>
        <v>Sun</v>
      </c>
    </row>
    <row r="122" spans="1:20" ht="29" x14ac:dyDescent="0.35">
      <c r="A122" s="4">
        <v>121</v>
      </c>
      <c r="B122" s="5">
        <v>45214</v>
      </c>
      <c r="C122" s="4" t="s">
        <v>134</v>
      </c>
      <c r="D122" s="4" t="s">
        <v>13</v>
      </c>
      <c r="E122" s="4">
        <v>28</v>
      </c>
      <c r="F122" s="4" t="str">
        <f>IF(Table15678[[#This Row],[Age]]&lt;=19,"Teenager",IF(Table15678[[#This Row],[Age]]&lt;=40,"Median","Old"))</f>
        <v>Median</v>
      </c>
      <c r="G122" s="4" t="s">
        <v>16</v>
      </c>
      <c r="H122" s="4">
        <v>4</v>
      </c>
      <c r="I122" s="4">
        <v>50</v>
      </c>
      <c r="J122" s="4">
        <v>200</v>
      </c>
      <c r="K122" s="4" t="str" cm="1">
        <f t="array" ref="K122">_xlfn.IFS(AND(Table15678[[#This Row],[Total Amount]]&gt;=1500),"Critical",AND(Table15678[[#This Row],[Total Amount]]&gt;=1000),"High",TRUE,"Normal")</f>
        <v>Normal</v>
      </c>
      <c r="L122" s="4" t="str">
        <f>IF(Table15678[[#This Row],[Total Amount]]&gt;=1000,"High",(IF(Table15678[[#This Row],[Total Amount]]&gt;=500,"Medium","Low")))</f>
        <v>Low</v>
      </c>
      <c r="M122" s="4" t="str" cm="1">
        <f t="array" ref="M12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22" s="4" cm="1">
        <f t="array" ref="N12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122" s="4">
        <f>Table15678[[#This Row],[Total Amount]]-Table15678[[#This Row],[Discount Amount]]</f>
        <v>170</v>
      </c>
      <c r="P122" s="4" t="str">
        <f>IF(Table15678[[#This Row],[Total Amount]]&gt;=1000,"High","Low")</f>
        <v>Low</v>
      </c>
      <c r="Q122" s="4" t="str" cm="1">
        <f t="array" ref="Q122">_xlfn.IFS(AND(Table15678[[#This Row],[Total Amount]]&gt;=1500,"Critical"),AND(Table15678[[#This Row],[Total Amount]]&gt;=1000,"High"),TRUE,"Normal")</f>
        <v>Normal</v>
      </c>
      <c r="R122" s="4" t="str">
        <f>CONCATENATE(Table15678[[#This Row],[Customer ID]], "-",Table15678[[#This Row],[Age]])</f>
        <v>CUST121-28</v>
      </c>
      <c r="S122" s="4" t="str">
        <f>TEXT(Table15678[[#This Row],[Date]],"mmm")</f>
        <v>Oct</v>
      </c>
      <c r="T122" s="4" t="str">
        <f>TEXT(Table15678[[#This Row],[Date]],"DDD")</f>
        <v>Sun</v>
      </c>
    </row>
    <row r="123" spans="1:20" ht="29" x14ac:dyDescent="0.35">
      <c r="A123" s="4">
        <v>122</v>
      </c>
      <c r="B123" s="5">
        <v>45202</v>
      </c>
      <c r="C123" s="4" t="s">
        <v>135</v>
      </c>
      <c r="D123" s="4" t="s">
        <v>10</v>
      </c>
      <c r="E123" s="4">
        <v>64</v>
      </c>
      <c r="F123" s="4" t="str">
        <f>IF(Table15678[[#This Row],[Age]]&lt;=19,"Teenager",IF(Table15678[[#This Row],[Age]]&lt;=40,"Median","Old"))</f>
        <v>Old</v>
      </c>
      <c r="G123" s="4" t="s">
        <v>16</v>
      </c>
      <c r="H123" s="4">
        <v>4</v>
      </c>
      <c r="I123" s="4">
        <v>30</v>
      </c>
      <c r="J123" s="4">
        <v>120</v>
      </c>
      <c r="K123" s="4" t="str" cm="1">
        <f t="array" ref="K123">_xlfn.IFS(AND(Table15678[[#This Row],[Total Amount]]&gt;=1500),"Critical",AND(Table15678[[#This Row],[Total Amount]]&gt;=1000),"High",TRUE,"Normal")</f>
        <v>Normal</v>
      </c>
      <c r="L123" s="4" t="str">
        <f>IF(Table15678[[#This Row],[Total Amount]]&gt;=1000,"High",(IF(Table15678[[#This Row],[Total Amount]]&gt;=500,"Medium","Low")))</f>
        <v>Low</v>
      </c>
      <c r="M123" s="4" t="str" cm="1">
        <f t="array" ref="M12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23" s="4" cm="1">
        <f t="array" ref="N12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123" s="4">
        <f>Table15678[[#This Row],[Total Amount]]-Table15678[[#This Row],[Discount Amount]]</f>
        <v>108</v>
      </c>
      <c r="P123" s="4" t="str">
        <f>IF(Table15678[[#This Row],[Total Amount]]&gt;=1000,"High","Low")</f>
        <v>Low</v>
      </c>
      <c r="Q123" s="4" t="str" cm="1">
        <f t="array" ref="Q123">_xlfn.IFS(AND(Table15678[[#This Row],[Total Amount]]&gt;=1500,"Critical"),AND(Table15678[[#This Row],[Total Amount]]&gt;=1000,"High"),TRUE,"Normal")</f>
        <v>Normal</v>
      </c>
      <c r="R123" s="4" t="str">
        <f>CONCATENATE(Table15678[[#This Row],[Customer ID]], "-",Table15678[[#This Row],[Age]])</f>
        <v>CUST122-64</v>
      </c>
      <c r="S123" s="4" t="str">
        <f>TEXT(Table15678[[#This Row],[Date]],"mmm")</f>
        <v>Oct</v>
      </c>
      <c r="T123" s="4" t="str">
        <f>TEXT(Table15678[[#This Row],[Date]],"DDD")</f>
        <v>Tue</v>
      </c>
    </row>
    <row r="124" spans="1:20" ht="29" x14ac:dyDescent="0.35">
      <c r="A124" s="4">
        <v>123</v>
      </c>
      <c r="B124" s="5">
        <v>45061</v>
      </c>
      <c r="C124" s="4" t="s">
        <v>136</v>
      </c>
      <c r="D124" s="4" t="s">
        <v>13</v>
      </c>
      <c r="E124" s="4">
        <v>40</v>
      </c>
      <c r="F124" s="4" t="str">
        <f>IF(Table15678[[#This Row],[Age]]&lt;=19,"Teenager",IF(Table15678[[#This Row],[Age]]&lt;=40,"Median","Old"))</f>
        <v>Median</v>
      </c>
      <c r="G124" s="4" t="s">
        <v>16</v>
      </c>
      <c r="H124" s="4">
        <v>2</v>
      </c>
      <c r="I124" s="4">
        <v>30</v>
      </c>
      <c r="J124" s="4">
        <v>60</v>
      </c>
      <c r="K124" s="4" t="str" cm="1">
        <f t="array" ref="K124">_xlfn.IFS(AND(Table15678[[#This Row],[Total Amount]]&gt;=1500),"Critical",AND(Table15678[[#This Row],[Total Amount]]&gt;=1000),"High",TRUE,"Normal")</f>
        <v>Normal</v>
      </c>
      <c r="L124" s="4" t="str">
        <f>IF(Table15678[[#This Row],[Total Amount]]&gt;=1000,"High",(IF(Table15678[[#This Row],[Total Amount]]&gt;=500,"Medium","Low")))</f>
        <v>Low</v>
      </c>
      <c r="M124" s="4" t="str" cm="1">
        <f t="array" ref="M12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24" s="4" cm="1">
        <f t="array" ref="N12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124" s="4">
        <f>Table15678[[#This Row],[Total Amount]]-Table15678[[#This Row],[Discount Amount]]</f>
        <v>48</v>
      </c>
      <c r="P124" s="4" t="str">
        <f>IF(Table15678[[#This Row],[Total Amount]]&gt;=1000,"High","Low")</f>
        <v>Low</v>
      </c>
      <c r="Q124" s="4" t="str" cm="1">
        <f t="array" ref="Q124">_xlfn.IFS(AND(Table15678[[#This Row],[Total Amount]]&gt;=1500,"Critical"),AND(Table15678[[#This Row],[Total Amount]]&gt;=1000,"High"),TRUE,"Normal")</f>
        <v>Normal</v>
      </c>
      <c r="R124" s="4" t="str">
        <f>CONCATENATE(Table15678[[#This Row],[Customer ID]], "-",Table15678[[#This Row],[Age]])</f>
        <v>CUST123-40</v>
      </c>
      <c r="S124" s="4" t="str">
        <f>TEXT(Table15678[[#This Row],[Date]],"mmm")</f>
        <v>May</v>
      </c>
      <c r="T124" s="4" t="str">
        <f>TEXT(Table15678[[#This Row],[Date]],"DDD")</f>
        <v>Mon</v>
      </c>
    </row>
    <row r="125" spans="1:20" ht="29" x14ac:dyDescent="0.35">
      <c r="A125" s="4">
        <v>124</v>
      </c>
      <c r="B125" s="5">
        <v>45226</v>
      </c>
      <c r="C125" s="4" t="s">
        <v>137</v>
      </c>
      <c r="D125" s="4" t="s">
        <v>10</v>
      </c>
      <c r="E125" s="4">
        <v>33</v>
      </c>
      <c r="F125" s="4" t="str">
        <f>IF(Table15678[[#This Row],[Age]]&lt;=19,"Teenager",IF(Table15678[[#This Row],[Age]]&lt;=40,"Median","Old"))</f>
        <v>Median</v>
      </c>
      <c r="G125" s="4" t="s">
        <v>14</v>
      </c>
      <c r="H125" s="4">
        <v>4</v>
      </c>
      <c r="I125" s="4">
        <v>500</v>
      </c>
      <c r="J125" s="4">
        <v>2000</v>
      </c>
      <c r="K125" s="4" t="str" cm="1">
        <f t="array" ref="K125">_xlfn.IFS(AND(Table15678[[#This Row],[Total Amount]]&gt;=1500),"Critical",AND(Table15678[[#This Row],[Total Amount]]&gt;=1000),"High",TRUE,"Normal")</f>
        <v>Critical</v>
      </c>
      <c r="L125" s="4" t="str">
        <f>IF(Table15678[[#This Row],[Total Amount]]&gt;=1000,"High",(IF(Table15678[[#This Row],[Total Amount]]&gt;=500,"Medium","Low")))</f>
        <v>High</v>
      </c>
      <c r="M125" s="4" t="str" cm="1">
        <f t="array" ref="M12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25" s="4" cm="1">
        <f t="array" ref="N12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125" s="4">
        <f>Table15678[[#This Row],[Total Amount]]-Table15678[[#This Row],[Discount Amount]]</f>
        <v>1700</v>
      </c>
      <c r="P125" s="4" t="str">
        <f>IF(Table15678[[#This Row],[Total Amount]]&gt;=1000,"High","Low")</f>
        <v>High</v>
      </c>
      <c r="Q125" s="4" t="b" cm="1">
        <f t="array" ref="Q125">_xlfn.IFS(AND(Table15678[[#This Row],[Total Amount]]&gt;=1500,"Critical"),AND(Table15678[[#This Row],[Total Amount]]&gt;=1000,"High"),TRUE,"Normal")</f>
        <v>1</v>
      </c>
      <c r="R125" s="4" t="str">
        <f>CONCATENATE(Table15678[[#This Row],[Customer ID]], "-",Table15678[[#This Row],[Age]])</f>
        <v>CUST124-33</v>
      </c>
      <c r="S125" s="4" t="str">
        <f>TEXT(Table15678[[#This Row],[Date]],"mmm")</f>
        <v>Oct</v>
      </c>
      <c r="T125" s="4" t="str">
        <f>TEXT(Table15678[[#This Row],[Date]],"DDD")</f>
        <v>Fri</v>
      </c>
    </row>
    <row r="126" spans="1:20" ht="29" x14ac:dyDescent="0.35">
      <c r="A126" s="4">
        <v>125</v>
      </c>
      <c r="B126" s="5">
        <v>45146</v>
      </c>
      <c r="C126" s="4" t="s">
        <v>138</v>
      </c>
      <c r="D126" s="4" t="s">
        <v>10</v>
      </c>
      <c r="E126" s="4">
        <v>48</v>
      </c>
      <c r="F126" s="4" t="str">
        <f>IF(Table15678[[#This Row],[Age]]&lt;=19,"Teenager",IF(Table15678[[#This Row],[Age]]&lt;=40,"Median","Old"))</f>
        <v>Old</v>
      </c>
      <c r="G126" s="4" t="s">
        <v>14</v>
      </c>
      <c r="H126" s="4">
        <v>2</v>
      </c>
      <c r="I126" s="4">
        <v>50</v>
      </c>
      <c r="J126" s="4">
        <v>100</v>
      </c>
      <c r="K126" s="4" t="str" cm="1">
        <f t="array" ref="K126">_xlfn.IFS(AND(Table15678[[#This Row],[Total Amount]]&gt;=1500),"Critical",AND(Table15678[[#This Row],[Total Amount]]&gt;=1000),"High",TRUE,"Normal")</f>
        <v>Normal</v>
      </c>
      <c r="L126" s="4" t="str">
        <f>IF(Table15678[[#This Row],[Total Amount]]&gt;=1000,"High",(IF(Table15678[[#This Row],[Total Amount]]&gt;=500,"Medium","Low")))</f>
        <v>Low</v>
      </c>
      <c r="M126" s="4" t="str" cm="1">
        <f t="array" ref="M12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26" s="4" cm="1">
        <f t="array" ref="N12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126" s="4">
        <f>Table15678[[#This Row],[Total Amount]]-Table15678[[#This Row],[Discount Amount]]</f>
        <v>90</v>
      </c>
      <c r="P126" s="4" t="str">
        <f>IF(Table15678[[#This Row],[Total Amount]]&gt;=1000,"High","Low")</f>
        <v>Low</v>
      </c>
      <c r="Q126" s="4" t="str" cm="1">
        <f t="array" ref="Q126">_xlfn.IFS(AND(Table15678[[#This Row],[Total Amount]]&gt;=1500,"Critical"),AND(Table15678[[#This Row],[Total Amount]]&gt;=1000,"High"),TRUE,"Normal")</f>
        <v>Normal</v>
      </c>
      <c r="R126" s="4" t="str">
        <f>CONCATENATE(Table15678[[#This Row],[Customer ID]], "-",Table15678[[#This Row],[Age]])</f>
        <v>CUST125-48</v>
      </c>
      <c r="S126" s="4" t="str">
        <f>TEXT(Table15678[[#This Row],[Date]],"mmm")</f>
        <v>Aug</v>
      </c>
      <c r="T126" s="4" t="str">
        <f>TEXT(Table15678[[#This Row],[Date]],"DDD")</f>
        <v>Tue</v>
      </c>
    </row>
    <row r="127" spans="1:20" ht="29" x14ac:dyDescent="0.35">
      <c r="A127" s="4">
        <v>126</v>
      </c>
      <c r="B127" s="5">
        <v>45225</v>
      </c>
      <c r="C127" s="4" t="s">
        <v>139</v>
      </c>
      <c r="D127" s="4" t="s">
        <v>13</v>
      </c>
      <c r="E127" s="4">
        <v>28</v>
      </c>
      <c r="F127" s="4" t="str">
        <f>IF(Table15678[[#This Row],[Age]]&lt;=19,"Teenager",IF(Table15678[[#This Row],[Age]]&lt;=40,"Median","Old"))</f>
        <v>Median</v>
      </c>
      <c r="G127" s="4" t="s">
        <v>14</v>
      </c>
      <c r="H127" s="4">
        <v>3</v>
      </c>
      <c r="I127" s="4">
        <v>30</v>
      </c>
      <c r="J127" s="4">
        <v>90</v>
      </c>
      <c r="K127" s="4" t="str" cm="1">
        <f t="array" ref="K127">_xlfn.IFS(AND(Table15678[[#This Row],[Total Amount]]&gt;=1500),"Critical",AND(Table15678[[#This Row],[Total Amount]]&gt;=1000),"High",TRUE,"Normal")</f>
        <v>Normal</v>
      </c>
      <c r="L127" s="4" t="str">
        <f>IF(Table15678[[#This Row],[Total Amount]]&gt;=1000,"High",(IF(Table15678[[#This Row],[Total Amount]]&gt;=500,"Medium","Low")))</f>
        <v>Low</v>
      </c>
      <c r="M127" s="4" t="str" cm="1">
        <f t="array" ref="M12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27" s="4" cm="1">
        <f t="array" ref="N12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13.5</v>
      </c>
      <c r="O127" s="4">
        <f>Table15678[[#This Row],[Total Amount]]-Table15678[[#This Row],[Discount Amount]]</f>
        <v>76.5</v>
      </c>
      <c r="P127" s="4" t="str">
        <f>IF(Table15678[[#This Row],[Total Amount]]&gt;=1000,"High","Low")</f>
        <v>Low</v>
      </c>
      <c r="Q127" s="4" t="str" cm="1">
        <f t="array" ref="Q127">_xlfn.IFS(AND(Table15678[[#This Row],[Total Amount]]&gt;=1500,"Critical"),AND(Table15678[[#This Row],[Total Amount]]&gt;=1000,"High"),TRUE,"Normal")</f>
        <v>Normal</v>
      </c>
      <c r="R127" s="4" t="str">
        <f>CONCATENATE(Table15678[[#This Row],[Customer ID]], "-",Table15678[[#This Row],[Age]])</f>
        <v>CUST126-28</v>
      </c>
      <c r="S127" s="4" t="str">
        <f>TEXT(Table15678[[#This Row],[Date]],"mmm")</f>
        <v>Oct</v>
      </c>
      <c r="T127" s="4" t="str">
        <f>TEXT(Table15678[[#This Row],[Date]],"DDD")</f>
        <v>Thu</v>
      </c>
    </row>
    <row r="128" spans="1:20" ht="29" x14ac:dyDescent="0.35">
      <c r="A128" s="4">
        <v>127</v>
      </c>
      <c r="B128" s="5">
        <v>45131</v>
      </c>
      <c r="C128" s="4" t="s">
        <v>140</v>
      </c>
      <c r="D128" s="4" t="s">
        <v>13</v>
      </c>
      <c r="E128" s="4">
        <v>33</v>
      </c>
      <c r="F128" s="4" t="str">
        <f>IF(Table15678[[#This Row],[Age]]&lt;=19,"Teenager",IF(Table15678[[#This Row],[Age]]&lt;=40,"Median","Old"))</f>
        <v>Median</v>
      </c>
      <c r="G128" s="4" t="s">
        <v>14</v>
      </c>
      <c r="H128" s="4">
        <v>2</v>
      </c>
      <c r="I128" s="4">
        <v>25</v>
      </c>
      <c r="J128" s="4">
        <v>50</v>
      </c>
      <c r="K128" s="4" t="str" cm="1">
        <f t="array" ref="K128">_xlfn.IFS(AND(Table15678[[#This Row],[Total Amount]]&gt;=1500),"Critical",AND(Table15678[[#This Row],[Total Amount]]&gt;=1000),"High",TRUE,"Normal")</f>
        <v>Normal</v>
      </c>
      <c r="L128" s="4" t="str">
        <f>IF(Table15678[[#This Row],[Total Amount]]&gt;=1000,"High",(IF(Table15678[[#This Row],[Total Amount]]&gt;=500,"Medium","Low")))</f>
        <v>Low</v>
      </c>
      <c r="M128" s="4" t="str" cm="1">
        <f t="array" ref="M12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28" s="4" cm="1">
        <f t="array" ref="N12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128" s="4">
        <f>Table15678[[#This Row],[Total Amount]]-Table15678[[#This Row],[Discount Amount]]</f>
        <v>42.5</v>
      </c>
      <c r="P128" s="4" t="str">
        <f>IF(Table15678[[#This Row],[Total Amount]]&gt;=1000,"High","Low")</f>
        <v>Low</v>
      </c>
      <c r="Q128" s="4" t="str" cm="1">
        <f t="array" ref="Q128">_xlfn.IFS(AND(Table15678[[#This Row],[Total Amount]]&gt;=1500,"Critical"),AND(Table15678[[#This Row],[Total Amount]]&gt;=1000,"High"),TRUE,"Normal")</f>
        <v>Normal</v>
      </c>
      <c r="R128" s="4" t="str">
        <f>CONCATENATE(Table15678[[#This Row],[Customer ID]], "-",Table15678[[#This Row],[Age]])</f>
        <v>CUST127-33</v>
      </c>
      <c r="S128" s="4" t="str">
        <f>TEXT(Table15678[[#This Row],[Date]],"mmm")</f>
        <v>Jul</v>
      </c>
      <c r="T128" s="4" t="str">
        <f>TEXT(Table15678[[#This Row],[Date]],"DDD")</f>
        <v>Mon</v>
      </c>
    </row>
    <row r="129" spans="1:20" ht="29" x14ac:dyDescent="0.35">
      <c r="A129" s="4">
        <v>128</v>
      </c>
      <c r="B129" s="5">
        <v>45112</v>
      </c>
      <c r="C129" s="4" t="s">
        <v>141</v>
      </c>
      <c r="D129" s="4" t="s">
        <v>10</v>
      </c>
      <c r="E129" s="4">
        <v>25</v>
      </c>
      <c r="F129" s="4" t="str">
        <f>IF(Table15678[[#This Row],[Age]]&lt;=19,"Teenager",IF(Table15678[[#This Row],[Age]]&lt;=40,"Median","Old"))</f>
        <v>Median</v>
      </c>
      <c r="G129" s="4" t="s">
        <v>11</v>
      </c>
      <c r="H129" s="4">
        <v>1</v>
      </c>
      <c r="I129" s="4">
        <v>500</v>
      </c>
      <c r="J129" s="4">
        <v>500</v>
      </c>
      <c r="K129" s="4" t="str" cm="1">
        <f t="array" ref="K129">_xlfn.IFS(AND(Table15678[[#This Row],[Total Amount]]&gt;=1500),"Critical",AND(Table15678[[#This Row],[Total Amount]]&gt;=1000),"High",TRUE,"Normal")</f>
        <v>Normal</v>
      </c>
      <c r="L129" s="4" t="str">
        <f>IF(Table15678[[#This Row],[Total Amount]]&gt;=1000,"High",(IF(Table15678[[#This Row],[Total Amount]]&gt;=500,"Medium","Low")))</f>
        <v>Medium</v>
      </c>
      <c r="M129" s="4" t="str" cm="1">
        <f t="array" ref="M12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29" s="4" cm="1">
        <f t="array" ref="N12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75</v>
      </c>
      <c r="O129" s="4">
        <f>Table15678[[#This Row],[Total Amount]]-Table15678[[#This Row],[Discount Amount]]</f>
        <v>425</v>
      </c>
      <c r="P129" s="4" t="str">
        <f>IF(Table15678[[#This Row],[Total Amount]]&gt;=1000,"High","Low")</f>
        <v>Low</v>
      </c>
      <c r="Q129" s="4" t="str" cm="1">
        <f t="array" ref="Q129">_xlfn.IFS(AND(Table15678[[#This Row],[Total Amount]]&gt;=1500,"Critical"),AND(Table15678[[#This Row],[Total Amount]]&gt;=1000,"High"),TRUE,"Normal")</f>
        <v>Normal</v>
      </c>
      <c r="R129" s="4" t="str">
        <f>CONCATENATE(Table15678[[#This Row],[Customer ID]], "-",Table15678[[#This Row],[Age]])</f>
        <v>CUST128-25</v>
      </c>
      <c r="S129" s="4" t="str">
        <f>TEXT(Table15678[[#This Row],[Date]],"mmm")</f>
        <v>Jul</v>
      </c>
      <c r="T129" s="4" t="str">
        <f>TEXT(Table15678[[#This Row],[Date]],"DDD")</f>
        <v>Wed</v>
      </c>
    </row>
    <row r="130" spans="1:20" ht="29" x14ac:dyDescent="0.35">
      <c r="A130" s="4">
        <v>129</v>
      </c>
      <c r="B130" s="5">
        <v>45039</v>
      </c>
      <c r="C130" s="4" t="s">
        <v>142</v>
      </c>
      <c r="D130" s="4" t="s">
        <v>13</v>
      </c>
      <c r="E130" s="4">
        <v>21</v>
      </c>
      <c r="F130" s="4" t="str">
        <f>IF(Table15678[[#This Row],[Age]]&lt;=19,"Teenager",IF(Table15678[[#This Row],[Age]]&lt;=40,"Median","Old"))</f>
        <v>Median</v>
      </c>
      <c r="G130" s="4" t="s">
        <v>11</v>
      </c>
      <c r="H130" s="4">
        <v>2</v>
      </c>
      <c r="I130" s="4">
        <v>300</v>
      </c>
      <c r="J130" s="4">
        <v>600</v>
      </c>
      <c r="K130" s="4" t="str" cm="1">
        <f t="array" ref="K130">_xlfn.IFS(AND(Table15678[[#This Row],[Total Amount]]&gt;=1500),"Critical",AND(Table15678[[#This Row],[Total Amount]]&gt;=1000),"High",TRUE,"Normal")</f>
        <v>Normal</v>
      </c>
      <c r="L130" s="4" t="str">
        <f>IF(Table15678[[#This Row],[Total Amount]]&gt;=1000,"High",(IF(Table15678[[#This Row],[Total Amount]]&gt;=500,"Medium","Low")))</f>
        <v>Medium</v>
      </c>
      <c r="M130" s="4" t="str" cm="1">
        <f t="array" ref="M13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130" s="4" cm="1">
        <f t="array" ref="N13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130" s="4">
        <f>Table15678[[#This Row],[Total Amount]]-Table15678[[#This Row],[Discount Amount]]</f>
        <v>600</v>
      </c>
      <c r="P130" s="4" t="str">
        <f>IF(Table15678[[#This Row],[Total Amount]]&gt;=1000,"High","Low")</f>
        <v>Low</v>
      </c>
      <c r="Q130" s="4" t="str" cm="1">
        <f t="array" ref="Q130">_xlfn.IFS(AND(Table15678[[#This Row],[Total Amount]]&gt;=1500,"Critical"),AND(Table15678[[#This Row],[Total Amount]]&gt;=1000,"High"),TRUE,"Normal")</f>
        <v>Normal</v>
      </c>
      <c r="R130" s="4" t="str">
        <f>CONCATENATE(Table15678[[#This Row],[Customer ID]], "-",Table15678[[#This Row],[Age]])</f>
        <v>CUST129-21</v>
      </c>
      <c r="S130" s="4" t="str">
        <f>TEXT(Table15678[[#This Row],[Date]],"mmm")</f>
        <v>Apr</v>
      </c>
      <c r="T130" s="4" t="str">
        <f>TEXT(Table15678[[#This Row],[Date]],"DDD")</f>
        <v>Sun</v>
      </c>
    </row>
    <row r="131" spans="1:20" ht="29" x14ac:dyDescent="0.35">
      <c r="A131" s="4">
        <v>130</v>
      </c>
      <c r="B131" s="5">
        <v>44997</v>
      </c>
      <c r="C131" s="4" t="s">
        <v>143</v>
      </c>
      <c r="D131" s="4" t="s">
        <v>13</v>
      </c>
      <c r="E131" s="4">
        <v>57</v>
      </c>
      <c r="F131" s="4" t="str">
        <f>IF(Table15678[[#This Row],[Age]]&lt;=19,"Teenager",IF(Table15678[[#This Row],[Age]]&lt;=40,"Median","Old"))</f>
        <v>Old</v>
      </c>
      <c r="G131" s="4" t="s">
        <v>14</v>
      </c>
      <c r="H131" s="4">
        <v>1</v>
      </c>
      <c r="I131" s="4">
        <v>500</v>
      </c>
      <c r="J131" s="4">
        <v>500</v>
      </c>
      <c r="K131" s="4" t="str" cm="1">
        <f t="array" ref="K131">_xlfn.IFS(AND(Table15678[[#This Row],[Total Amount]]&gt;=1500),"Critical",AND(Table15678[[#This Row],[Total Amount]]&gt;=1000),"High",TRUE,"Normal")</f>
        <v>Normal</v>
      </c>
      <c r="L131" s="4" t="str">
        <f>IF(Table15678[[#This Row],[Total Amount]]&gt;=1000,"High",(IF(Table15678[[#This Row],[Total Amount]]&gt;=500,"Medium","Low")))</f>
        <v>Medium</v>
      </c>
      <c r="M131" s="4" t="str" cm="1">
        <f t="array" ref="M13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31" s="4" cm="1">
        <f t="array" ref="N13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131" s="4">
        <f>Table15678[[#This Row],[Total Amount]]-Table15678[[#This Row],[Discount Amount]]</f>
        <v>400</v>
      </c>
      <c r="P131" s="4" t="str">
        <f>IF(Table15678[[#This Row],[Total Amount]]&gt;=1000,"High","Low")</f>
        <v>Low</v>
      </c>
      <c r="Q131" s="4" t="str" cm="1">
        <f t="array" ref="Q131">_xlfn.IFS(AND(Table15678[[#This Row],[Total Amount]]&gt;=1500,"Critical"),AND(Table15678[[#This Row],[Total Amount]]&gt;=1000,"High"),TRUE,"Normal")</f>
        <v>Normal</v>
      </c>
      <c r="R131" s="4" t="str">
        <f>CONCATENATE(Table15678[[#This Row],[Customer ID]], "-",Table15678[[#This Row],[Age]])</f>
        <v>CUST130-57</v>
      </c>
      <c r="S131" s="4" t="str">
        <f>TEXT(Table15678[[#This Row],[Date]],"mmm")</f>
        <v>Mar</v>
      </c>
      <c r="T131" s="4" t="str">
        <f>TEXT(Table15678[[#This Row],[Date]],"DDD")</f>
        <v>Sun</v>
      </c>
    </row>
    <row r="132" spans="1:20" ht="29" x14ac:dyDescent="0.35">
      <c r="A132" s="4">
        <v>131</v>
      </c>
      <c r="B132" s="5">
        <v>45187</v>
      </c>
      <c r="C132" s="4" t="s">
        <v>144</v>
      </c>
      <c r="D132" s="4" t="s">
        <v>13</v>
      </c>
      <c r="E132" s="4">
        <v>21</v>
      </c>
      <c r="F132" s="4" t="str">
        <f>IF(Table15678[[#This Row],[Age]]&lt;=19,"Teenager",IF(Table15678[[#This Row],[Age]]&lt;=40,"Median","Old"))</f>
        <v>Median</v>
      </c>
      <c r="G132" s="4" t="s">
        <v>11</v>
      </c>
      <c r="H132" s="4">
        <v>2</v>
      </c>
      <c r="I132" s="4">
        <v>300</v>
      </c>
      <c r="J132" s="4">
        <v>600</v>
      </c>
      <c r="K132" s="4" t="str" cm="1">
        <f t="array" ref="K132">_xlfn.IFS(AND(Table15678[[#This Row],[Total Amount]]&gt;=1500),"Critical",AND(Table15678[[#This Row],[Total Amount]]&gt;=1000),"High",TRUE,"Normal")</f>
        <v>Normal</v>
      </c>
      <c r="L132" s="4" t="str">
        <f>IF(Table15678[[#This Row],[Total Amount]]&gt;=1000,"High",(IF(Table15678[[#This Row],[Total Amount]]&gt;=500,"Medium","Low")))</f>
        <v>Medium</v>
      </c>
      <c r="M132" s="4" t="str" cm="1">
        <f t="array" ref="M13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132" s="4" cm="1">
        <f t="array" ref="N13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132" s="4">
        <f>Table15678[[#This Row],[Total Amount]]-Table15678[[#This Row],[Discount Amount]]</f>
        <v>600</v>
      </c>
      <c r="P132" s="4" t="str">
        <f>IF(Table15678[[#This Row],[Total Amount]]&gt;=1000,"High","Low")</f>
        <v>Low</v>
      </c>
      <c r="Q132" s="4" t="str" cm="1">
        <f t="array" ref="Q132">_xlfn.IFS(AND(Table15678[[#This Row],[Total Amount]]&gt;=1500,"Critical"),AND(Table15678[[#This Row],[Total Amount]]&gt;=1000,"High"),TRUE,"Normal")</f>
        <v>Normal</v>
      </c>
      <c r="R132" s="4" t="str">
        <f>CONCATENATE(Table15678[[#This Row],[Customer ID]], "-",Table15678[[#This Row],[Age]])</f>
        <v>CUST131-21</v>
      </c>
      <c r="S132" s="4" t="str">
        <f>TEXT(Table15678[[#This Row],[Date]],"mmm")</f>
        <v>Sep</v>
      </c>
      <c r="T132" s="4" t="str">
        <f>TEXT(Table15678[[#This Row],[Date]],"DDD")</f>
        <v>Mon</v>
      </c>
    </row>
    <row r="133" spans="1:20" ht="29" x14ac:dyDescent="0.35">
      <c r="A133" s="4">
        <v>132</v>
      </c>
      <c r="B133" s="5">
        <v>45179</v>
      </c>
      <c r="C133" s="4" t="s">
        <v>145</v>
      </c>
      <c r="D133" s="4" t="s">
        <v>10</v>
      </c>
      <c r="E133" s="4">
        <v>42</v>
      </c>
      <c r="F133" s="4" t="str">
        <f>IF(Table15678[[#This Row],[Age]]&lt;=19,"Teenager",IF(Table15678[[#This Row],[Age]]&lt;=40,"Median","Old"))</f>
        <v>Old</v>
      </c>
      <c r="G133" s="4" t="s">
        <v>16</v>
      </c>
      <c r="H133" s="4">
        <v>4</v>
      </c>
      <c r="I133" s="4">
        <v>50</v>
      </c>
      <c r="J133" s="4">
        <v>200</v>
      </c>
      <c r="K133" s="4" t="str" cm="1">
        <f t="array" ref="K133">_xlfn.IFS(AND(Table15678[[#This Row],[Total Amount]]&gt;=1500),"Critical",AND(Table15678[[#This Row],[Total Amount]]&gt;=1000),"High",TRUE,"Normal")</f>
        <v>Normal</v>
      </c>
      <c r="L133" s="4" t="str">
        <f>IF(Table15678[[#This Row],[Total Amount]]&gt;=1000,"High",(IF(Table15678[[#This Row],[Total Amount]]&gt;=500,"Medium","Low")))</f>
        <v>Low</v>
      </c>
      <c r="M133" s="4" t="str" cm="1">
        <f t="array" ref="M13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33" s="4" cm="1">
        <f t="array" ref="N13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133" s="4">
        <f>Table15678[[#This Row],[Total Amount]]-Table15678[[#This Row],[Discount Amount]]</f>
        <v>180</v>
      </c>
      <c r="P133" s="4" t="str">
        <f>IF(Table15678[[#This Row],[Total Amount]]&gt;=1000,"High","Low")</f>
        <v>Low</v>
      </c>
      <c r="Q133" s="4" t="str" cm="1">
        <f t="array" ref="Q133">_xlfn.IFS(AND(Table15678[[#This Row],[Total Amount]]&gt;=1500,"Critical"),AND(Table15678[[#This Row],[Total Amount]]&gt;=1000,"High"),TRUE,"Normal")</f>
        <v>Normal</v>
      </c>
      <c r="R133" s="4" t="str">
        <f>CONCATENATE(Table15678[[#This Row],[Customer ID]], "-",Table15678[[#This Row],[Age]])</f>
        <v>CUST132-42</v>
      </c>
      <c r="S133" s="4" t="str">
        <f>TEXT(Table15678[[#This Row],[Date]],"mmm")</f>
        <v>Sep</v>
      </c>
      <c r="T133" s="4" t="str">
        <f>TEXT(Table15678[[#This Row],[Date]],"DDD")</f>
        <v>Sun</v>
      </c>
    </row>
    <row r="134" spans="1:20" ht="29" x14ac:dyDescent="0.35">
      <c r="A134" s="4">
        <v>133</v>
      </c>
      <c r="B134" s="5">
        <v>44973</v>
      </c>
      <c r="C134" s="4" t="s">
        <v>146</v>
      </c>
      <c r="D134" s="4" t="s">
        <v>10</v>
      </c>
      <c r="E134" s="4">
        <v>20</v>
      </c>
      <c r="F134" s="4" t="str">
        <f>IF(Table15678[[#This Row],[Age]]&lt;=19,"Teenager",IF(Table15678[[#This Row],[Age]]&lt;=40,"Median","Old"))</f>
        <v>Median</v>
      </c>
      <c r="G134" s="4" t="s">
        <v>16</v>
      </c>
      <c r="H134" s="4">
        <v>3</v>
      </c>
      <c r="I134" s="4">
        <v>300</v>
      </c>
      <c r="J134" s="4">
        <v>900</v>
      </c>
      <c r="K134" s="4" t="str" cm="1">
        <f t="array" ref="K134">_xlfn.IFS(AND(Table15678[[#This Row],[Total Amount]]&gt;=1500),"Critical",AND(Table15678[[#This Row],[Total Amount]]&gt;=1000),"High",TRUE,"Normal")</f>
        <v>Normal</v>
      </c>
      <c r="L134" s="4" t="str">
        <f>IF(Table15678[[#This Row],[Total Amount]]&gt;=1000,"High",(IF(Table15678[[#This Row],[Total Amount]]&gt;=500,"Medium","Low")))</f>
        <v>Medium</v>
      </c>
      <c r="M134" s="4" t="str" cm="1">
        <f t="array" ref="M13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134" s="4" cm="1">
        <f t="array" ref="N13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134" s="4">
        <f>Table15678[[#This Row],[Total Amount]]-Table15678[[#This Row],[Discount Amount]]</f>
        <v>900</v>
      </c>
      <c r="P134" s="4" t="str">
        <f>IF(Table15678[[#This Row],[Total Amount]]&gt;=1000,"High","Low")</f>
        <v>Low</v>
      </c>
      <c r="Q134" s="4" t="str" cm="1">
        <f t="array" ref="Q134">_xlfn.IFS(AND(Table15678[[#This Row],[Total Amount]]&gt;=1500,"Critical"),AND(Table15678[[#This Row],[Total Amount]]&gt;=1000,"High"),TRUE,"Normal")</f>
        <v>Normal</v>
      </c>
      <c r="R134" s="4" t="str">
        <f>CONCATENATE(Table15678[[#This Row],[Customer ID]], "-",Table15678[[#This Row],[Age]])</f>
        <v>CUST133-20</v>
      </c>
      <c r="S134" s="4" t="str">
        <f>TEXT(Table15678[[#This Row],[Date]],"mmm")</f>
        <v>Feb</v>
      </c>
      <c r="T134" s="4" t="str">
        <f>TEXT(Table15678[[#This Row],[Date]],"DDD")</f>
        <v>Thu</v>
      </c>
    </row>
    <row r="135" spans="1:20" ht="29" x14ac:dyDescent="0.35">
      <c r="A135" s="4">
        <v>134</v>
      </c>
      <c r="B135" s="5">
        <v>44951</v>
      </c>
      <c r="C135" s="4" t="s">
        <v>147</v>
      </c>
      <c r="D135" s="4" t="s">
        <v>10</v>
      </c>
      <c r="E135" s="4">
        <v>49</v>
      </c>
      <c r="F135" s="4" t="str">
        <f>IF(Table15678[[#This Row],[Age]]&lt;=19,"Teenager",IF(Table15678[[#This Row],[Age]]&lt;=40,"Median","Old"))</f>
        <v>Old</v>
      </c>
      <c r="G135" s="4" t="s">
        <v>16</v>
      </c>
      <c r="H135" s="4">
        <v>1</v>
      </c>
      <c r="I135" s="4">
        <v>50</v>
      </c>
      <c r="J135" s="4">
        <v>50</v>
      </c>
      <c r="K135" s="4" t="str" cm="1">
        <f t="array" ref="K135">_xlfn.IFS(AND(Table15678[[#This Row],[Total Amount]]&gt;=1500),"Critical",AND(Table15678[[#This Row],[Total Amount]]&gt;=1000),"High",TRUE,"Normal")</f>
        <v>Normal</v>
      </c>
      <c r="L135" s="4" t="str">
        <f>IF(Table15678[[#This Row],[Total Amount]]&gt;=1000,"High",(IF(Table15678[[#This Row],[Total Amount]]&gt;=500,"Medium","Low")))</f>
        <v>Low</v>
      </c>
      <c r="M135" s="4" t="str" cm="1">
        <f t="array" ref="M13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35" s="4" cm="1">
        <f t="array" ref="N13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135" s="4">
        <f>Table15678[[#This Row],[Total Amount]]-Table15678[[#This Row],[Discount Amount]]</f>
        <v>45</v>
      </c>
      <c r="P135" s="4" t="str">
        <f>IF(Table15678[[#This Row],[Total Amount]]&gt;=1000,"High","Low")</f>
        <v>Low</v>
      </c>
      <c r="Q135" s="4" t="str" cm="1">
        <f t="array" ref="Q135">_xlfn.IFS(AND(Table15678[[#This Row],[Total Amount]]&gt;=1500,"Critical"),AND(Table15678[[#This Row],[Total Amount]]&gt;=1000,"High"),TRUE,"Normal")</f>
        <v>Normal</v>
      </c>
      <c r="R135" s="4" t="str">
        <f>CONCATENATE(Table15678[[#This Row],[Customer ID]], "-",Table15678[[#This Row],[Age]])</f>
        <v>CUST134-49</v>
      </c>
      <c r="S135" s="4" t="str">
        <f>TEXT(Table15678[[#This Row],[Date]],"mmm")</f>
        <v>Jan</v>
      </c>
      <c r="T135" s="4" t="str">
        <f>TEXT(Table15678[[#This Row],[Date]],"DDD")</f>
        <v>Wed</v>
      </c>
    </row>
    <row r="136" spans="1:20" ht="29" x14ac:dyDescent="0.35">
      <c r="A136" s="4">
        <v>135</v>
      </c>
      <c r="B136" s="5">
        <v>44983</v>
      </c>
      <c r="C136" s="4" t="s">
        <v>148</v>
      </c>
      <c r="D136" s="4" t="s">
        <v>10</v>
      </c>
      <c r="E136" s="4">
        <v>20</v>
      </c>
      <c r="F136" s="4" t="str">
        <f>IF(Table15678[[#This Row],[Age]]&lt;=19,"Teenager",IF(Table15678[[#This Row],[Age]]&lt;=40,"Median","Old"))</f>
        <v>Median</v>
      </c>
      <c r="G136" s="4" t="s">
        <v>14</v>
      </c>
      <c r="H136" s="4">
        <v>2</v>
      </c>
      <c r="I136" s="4">
        <v>25</v>
      </c>
      <c r="J136" s="4">
        <v>50</v>
      </c>
      <c r="K136" s="4" t="str" cm="1">
        <f t="array" ref="K136">_xlfn.IFS(AND(Table15678[[#This Row],[Total Amount]]&gt;=1500),"Critical",AND(Table15678[[#This Row],[Total Amount]]&gt;=1000),"High",TRUE,"Normal")</f>
        <v>Normal</v>
      </c>
      <c r="L136" s="4" t="str">
        <f>IF(Table15678[[#This Row],[Total Amount]]&gt;=1000,"High",(IF(Table15678[[#This Row],[Total Amount]]&gt;=500,"Medium","Low")))</f>
        <v>Low</v>
      </c>
      <c r="M136" s="4" t="str" cm="1">
        <f t="array" ref="M13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136" s="4" cm="1">
        <f t="array" ref="N13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136" s="4">
        <f>Table15678[[#This Row],[Total Amount]]-Table15678[[#This Row],[Discount Amount]]</f>
        <v>50</v>
      </c>
      <c r="P136" s="4" t="str">
        <f>IF(Table15678[[#This Row],[Total Amount]]&gt;=1000,"High","Low")</f>
        <v>Low</v>
      </c>
      <c r="Q136" s="4" t="str" cm="1">
        <f t="array" ref="Q136">_xlfn.IFS(AND(Table15678[[#This Row],[Total Amount]]&gt;=1500,"Critical"),AND(Table15678[[#This Row],[Total Amount]]&gt;=1000,"High"),TRUE,"Normal")</f>
        <v>Normal</v>
      </c>
      <c r="R136" s="4" t="str">
        <f>CONCATENATE(Table15678[[#This Row],[Customer ID]], "-",Table15678[[#This Row],[Age]])</f>
        <v>CUST135-20</v>
      </c>
      <c r="S136" s="4" t="str">
        <f>TEXT(Table15678[[#This Row],[Date]],"mmm")</f>
        <v>Feb</v>
      </c>
      <c r="T136" s="4" t="str">
        <f>TEXT(Table15678[[#This Row],[Date]],"DDD")</f>
        <v>Sun</v>
      </c>
    </row>
    <row r="137" spans="1:20" ht="29" x14ac:dyDescent="0.35">
      <c r="A137" s="4">
        <v>136</v>
      </c>
      <c r="B137" s="5">
        <v>45005</v>
      </c>
      <c r="C137" s="4" t="s">
        <v>149</v>
      </c>
      <c r="D137" s="4" t="s">
        <v>10</v>
      </c>
      <c r="E137" s="4">
        <v>44</v>
      </c>
      <c r="F137" s="4" t="str">
        <f>IF(Table15678[[#This Row],[Age]]&lt;=19,"Teenager",IF(Table15678[[#This Row],[Age]]&lt;=40,"Median","Old"))</f>
        <v>Old</v>
      </c>
      <c r="G137" s="4" t="s">
        <v>16</v>
      </c>
      <c r="H137" s="4">
        <v>2</v>
      </c>
      <c r="I137" s="4">
        <v>300</v>
      </c>
      <c r="J137" s="4">
        <v>600</v>
      </c>
      <c r="K137" s="4" t="str" cm="1">
        <f t="array" ref="K137">_xlfn.IFS(AND(Table15678[[#This Row],[Total Amount]]&gt;=1500),"Critical",AND(Table15678[[#This Row],[Total Amount]]&gt;=1000),"High",TRUE,"Normal")</f>
        <v>Normal</v>
      </c>
      <c r="L137" s="4" t="str">
        <f>IF(Table15678[[#This Row],[Total Amount]]&gt;=1000,"High",(IF(Table15678[[#This Row],[Total Amount]]&gt;=500,"Medium","Low")))</f>
        <v>Medium</v>
      </c>
      <c r="M137" s="4" t="str" cm="1">
        <f t="array" ref="M13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37" s="4" cm="1">
        <f t="array" ref="N13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137" s="4">
        <f>Table15678[[#This Row],[Total Amount]]-Table15678[[#This Row],[Discount Amount]]</f>
        <v>540</v>
      </c>
      <c r="P137" s="4" t="str">
        <f>IF(Table15678[[#This Row],[Total Amount]]&gt;=1000,"High","Low")</f>
        <v>Low</v>
      </c>
      <c r="Q137" s="4" t="str" cm="1">
        <f t="array" ref="Q137">_xlfn.IFS(AND(Table15678[[#This Row],[Total Amount]]&gt;=1500,"Critical"),AND(Table15678[[#This Row],[Total Amount]]&gt;=1000,"High"),TRUE,"Normal")</f>
        <v>Normal</v>
      </c>
      <c r="R137" s="4" t="str">
        <f>CONCATENATE(Table15678[[#This Row],[Customer ID]], "-",Table15678[[#This Row],[Age]])</f>
        <v>CUST136-44</v>
      </c>
      <c r="S137" s="4" t="str">
        <f>TEXT(Table15678[[#This Row],[Date]],"mmm")</f>
        <v>Mar</v>
      </c>
      <c r="T137" s="4" t="str">
        <f>TEXT(Table15678[[#This Row],[Date]],"DDD")</f>
        <v>Mon</v>
      </c>
    </row>
    <row r="138" spans="1:20" ht="29" x14ac:dyDescent="0.35">
      <c r="A138" s="4">
        <v>137</v>
      </c>
      <c r="B138" s="5">
        <v>45248</v>
      </c>
      <c r="C138" s="4" t="s">
        <v>150</v>
      </c>
      <c r="D138" s="4" t="s">
        <v>10</v>
      </c>
      <c r="E138" s="4">
        <v>46</v>
      </c>
      <c r="F138" s="4" t="str">
        <f>IF(Table15678[[#This Row],[Age]]&lt;=19,"Teenager",IF(Table15678[[#This Row],[Age]]&lt;=40,"Median","Old"))</f>
        <v>Old</v>
      </c>
      <c r="G138" s="4" t="s">
        <v>11</v>
      </c>
      <c r="H138" s="4">
        <v>2</v>
      </c>
      <c r="I138" s="4">
        <v>500</v>
      </c>
      <c r="J138" s="4">
        <v>1000</v>
      </c>
      <c r="K138" s="4" t="str" cm="1">
        <f t="array" ref="K138">_xlfn.IFS(AND(Table15678[[#This Row],[Total Amount]]&gt;=1500),"Critical",AND(Table15678[[#This Row],[Total Amount]]&gt;=1000),"High",TRUE,"Normal")</f>
        <v>High</v>
      </c>
      <c r="L138" s="4" t="str">
        <f>IF(Table15678[[#This Row],[Total Amount]]&gt;=1000,"High",(IF(Table15678[[#This Row],[Total Amount]]&gt;=500,"Medium","Low")))</f>
        <v>High</v>
      </c>
      <c r="M138" s="4" t="str" cm="1">
        <f t="array" ref="M13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38" s="4" cm="1">
        <f t="array" ref="N13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138" s="4">
        <f>Table15678[[#This Row],[Total Amount]]-Table15678[[#This Row],[Discount Amount]]</f>
        <v>900</v>
      </c>
      <c r="P138" s="4" t="str">
        <f>IF(Table15678[[#This Row],[Total Amount]]&gt;=1000,"High","Low")</f>
        <v>High</v>
      </c>
      <c r="Q138" s="4" t="str" cm="1">
        <f t="array" ref="Q138">_xlfn.IFS(AND(Table15678[[#This Row],[Total Amount]]&gt;=1500,"Critical"),AND(Table15678[[#This Row],[Total Amount]]&gt;=1000,"High"),TRUE,"Normal")</f>
        <v>Normal</v>
      </c>
      <c r="R138" s="4" t="str">
        <f>CONCATENATE(Table15678[[#This Row],[Customer ID]], "-",Table15678[[#This Row],[Age]])</f>
        <v>CUST137-46</v>
      </c>
      <c r="S138" s="4" t="str">
        <f>TEXT(Table15678[[#This Row],[Date]],"mmm")</f>
        <v>Nov</v>
      </c>
      <c r="T138" s="4" t="str">
        <f>TEXT(Table15678[[#This Row],[Date]],"DDD")</f>
        <v>Sat</v>
      </c>
    </row>
    <row r="139" spans="1:20" ht="29" x14ac:dyDescent="0.35">
      <c r="A139" s="4">
        <v>138</v>
      </c>
      <c r="B139" s="5">
        <v>45008</v>
      </c>
      <c r="C139" s="4" t="s">
        <v>151</v>
      </c>
      <c r="D139" s="4" t="s">
        <v>10</v>
      </c>
      <c r="E139" s="4">
        <v>49</v>
      </c>
      <c r="F139" s="4" t="str">
        <f>IF(Table15678[[#This Row],[Age]]&lt;=19,"Teenager",IF(Table15678[[#This Row],[Age]]&lt;=40,"Median","Old"))</f>
        <v>Old</v>
      </c>
      <c r="G139" s="4" t="s">
        <v>14</v>
      </c>
      <c r="H139" s="4">
        <v>4</v>
      </c>
      <c r="I139" s="4">
        <v>50</v>
      </c>
      <c r="J139" s="4">
        <v>200</v>
      </c>
      <c r="K139" s="4" t="str" cm="1">
        <f t="array" ref="K139">_xlfn.IFS(AND(Table15678[[#This Row],[Total Amount]]&gt;=1500),"Critical",AND(Table15678[[#This Row],[Total Amount]]&gt;=1000),"High",TRUE,"Normal")</f>
        <v>Normal</v>
      </c>
      <c r="L139" s="4" t="str">
        <f>IF(Table15678[[#This Row],[Total Amount]]&gt;=1000,"High",(IF(Table15678[[#This Row],[Total Amount]]&gt;=500,"Medium","Low")))</f>
        <v>Low</v>
      </c>
      <c r="M139" s="4" t="str" cm="1">
        <f t="array" ref="M13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39" s="4" cm="1">
        <f t="array" ref="N13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139" s="4">
        <f>Table15678[[#This Row],[Total Amount]]-Table15678[[#This Row],[Discount Amount]]</f>
        <v>180</v>
      </c>
      <c r="P139" s="4" t="str">
        <f>IF(Table15678[[#This Row],[Total Amount]]&gt;=1000,"High","Low")</f>
        <v>Low</v>
      </c>
      <c r="Q139" s="4" t="str" cm="1">
        <f t="array" ref="Q139">_xlfn.IFS(AND(Table15678[[#This Row],[Total Amount]]&gt;=1500,"Critical"),AND(Table15678[[#This Row],[Total Amount]]&gt;=1000,"High"),TRUE,"Normal")</f>
        <v>Normal</v>
      </c>
      <c r="R139" s="4" t="str">
        <f>CONCATENATE(Table15678[[#This Row],[Customer ID]], "-",Table15678[[#This Row],[Age]])</f>
        <v>CUST138-49</v>
      </c>
      <c r="S139" s="4" t="str">
        <f>TEXT(Table15678[[#This Row],[Date]],"mmm")</f>
        <v>Mar</v>
      </c>
      <c r="T139" s="4" t="str">
        <f>TEXT(Table15678[[#This Row],[Date]],"DDD")</f>
        <v>Thu</v>
      </c>
    </row>
    <row r="140" spans="1:20" ht="29" x14ac:dyDescent="0.35">
      <c r="A140" s="4">
        <v>139</v>
      </c>
      <c r="B140" s="5">
        <v>45275</v>
      </c>
      <c r="C140" s="4" t="s">
        <v>152</v>
      </c>
      <c r="D140" s="4" t="s">
        <v>10</v>
      </c>
      <c r="E140" s="4">
        <v>36</v>
      </c>
      <c r="F140" s="4" t="str">
        <f>IF(Table15678[[#This Row],[Age]]&lt;=19,"Teenager",IF(Table15678[[#This Row],[Age]]&lt;=40,"Median","Old"))</f>
        <v>Median</v>
      </c>
      <c r="G140" s="4" t="s">
        <v>11</v>
      </c>
      <c r="H140" s="4">
        <v>4</v>
      </c>
      <c r="I140" s="4">
        <v>500</v>
      </c>
      <c r="J140" s="4">
        <v>2000</v>
      </c>
      <c r="K140" s="4" t="str" cm="1">
        <f t="array" ref="K140">_xlfn.IFS(AND(Table15678[[#This Row],[Total Amount]]&gt;=1500),"Critical",AND(Table15678[[#This Row],[Total Amount]]&gt;=1000),"High",TRUE,"Normal")</f>
        <v>Critical</v>
      </c>
      <c r="L140" s="4" t="str">
        <f>IF(Table15678[[#This Row],[Total Amount]]&gt;=1000,"High",(IF(Table15678[[#This Row],[Total Amount]]&gt;=500,"Medium","Low")))</f>
        <v>High</v>
      </c>
      <c r="M140" s="4" t="str" cm="1">
        <f t="array" ref="M14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40" s="4" cm="1">
        <f t="array" ref="N14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140" s="4">
        <f>Table15678[[#This Row],[Total Amount]]-Table15678[[#This Row],[Discount Amount]]</f>
        <v>1800</v>
      </c>
      <c r="P140" s="4" t="str">
        <f>IF(Table15678[[#This Row],[Total Amount]]&gt;=1000,"High","Low")</f>
        <v>High</v>
      </c>
      <c r="Q140" s="4" t="b" cm="1">
        <f t="array" ref="Q140">_xlfn.IFS(AND(Table15678[[#This Row],[Total Amount]]&gt;=1500,"Critical"),AND(Table15678[[#This Row],[Total Amount]]&gt;=1000,"High"),TRUE,"Normal")</f>
        <v>1</v>
      </c>
      <c r="R140" s="4" t="str">
        <f>CONCATENATE(Table15678[[#This Row],[Customer ID]], "-",Table15678[[#This Row],[Age]])</f>
        <v>CUST139-36</v>
      </c>
      <c r="S140" s="4" t="str">
        <f>TEXT(Table15678[[#This Row],[Date]],"mmm")</f>
        <v>Dec</v>
      </c>
      <c r="T140" s="4" t="str">
        <f>TEXT(Table15678[[#This Row],[Date]],"DDD")</f>
        <v>Fri</v>
      </c>
    </row>
    <row r="141" spans="1:20" ht="29" x14ac:dyDescent="0.35">
      <c r="A141" s="4">
        <v>140</v>
      </c>
      <c r="B141" s="5">
        <v>45143</v>
      </c>
      <c r="C141" s="4" t="s">
        <v>153</v>
      </c>
      <c r="D141" s="4" t="s">
        <v>10</v>
      </c>
      <c r="E141" s="4">
        <v>38</v>
      </c>
      <c r="F141" s="4" t="str">
        <f>IF(Table15678[[#This Row],[Age]]&lt;=19,"Teenager",IF(Table15678[[#This Row],[Age]]&lt;=40,"Median","Old"))</f>
        <v>Median</v>
      </c>
      <c r="G141" s="4" t="s">
        <v>16</v>
      </c>
      <c r="H141" s="4">
        <v>1</v>
      </c>
      <c r="I141" s="4">
        <v>30</v>
      </c>
      <c r="J141" s="4">
        <v>30</v>
      </c>
      <c r="K141" s="4" t="str" cm="1">
        <f t="array" ref="K141">_xlfn.IFS(AND(Table15678[[#This Row],[Total Amount]]&gt;=1500),"Critical",AND(Table15678[[#This Row],[Total Amount]]&gt;=1000),"High",TRUE,"Normal")</f>
        <v>Normal</v>
      </c>
      <c r="L141" s="4" t="str">
        <f>IF(Table15678[[#This Row],[Total Amount]]&gt;=1000,"High",(IF(Table15678[[#This Row],[Total Amount]]&gt;=500,"Medium","Low")))</f>
        <v>Low</v>
      </c>
      <c r="M141" s="4" t="str" cm="1">
        <f t="array" ref="M14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41" s="4" cm="1">
        <f t="array" ref="N14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</v>
      </c>
      <c r="O141" s="4">
        <f>Table15678[[#This Row],[Total Amount]]-Table15678[[#This Row],[Discount Amount]]</f>
        <v>27</v>
      </c>
      <c r="P141" s="4" t="str">
        <f>IF(Table15678[[#This Row],[Total Amount]]&gt;=1000,"High","Low")</f>
        <v>Low</v>
      </c>
      <c r="Q141" s="4" t="str" cm="1">
        <f t="array" ref="Q141">_xlfn.IFS(AND(Table15678[[#This Row],[Total Amount]]&gt;=1500,"Critical"),AND(Table15678[[#This Row],[Total Amount]]&gt;=1000,"High"),TRUE,"Normal")</f>
        <v>Normal</v>
      </c>
      <c r="R141" s="4" t="str">
        <f>CONCATENATE(Table15678[[#This Row],[Customer ID]], "-",Table15678[[#This Row],[Age]])</f>
        <v>CUST140-38</v>
      </c>
      <c r="S141" s="4" t="str">
        <f>TEXT(Table15678[[#This Row],[Date]],"mmm")</f>
        <v>Aug</v>
      </c>
      <c r="T141" s="4" t="str">
        <f>TEXT(Table15678[[#This Row],[Date]],"DDD")</f>
        <v>Sat</v>
      </c>
    </row>
    <row r="142" spans="1:20" ht="29" x14ac:dyDescent="0.35">
      <c r="A142" s="4">
        <v>141</v>
      </c>
      <c r="B142" s="5">
        <v>45232</v>
      </c>
      <c r="C142" s="4" t="s">
        <v>154</v>
      </c>
      <c r="D142" s="4" t="s">
        <v>13</v>
      </c>
      <c r="E142" s="4">
        <v>22</v>
      </c>
      <c r="F142" s="4" t="str">
        <f>IF(Table15678[[#This Row],[Age]]&lt;=19,"Teenager",IF(Table15678[[#This Row],[Age]]&lt;=40,"Median","Old"))</f>
        <v>Median</v>
      </c>
      <c r="G142" s="4" t="s">
        <v>16</v>
      </c>
      <c r="H142" s="4">
        <v>1</v>
      </c>
      <c r="I142" s="4">
        <v>50</v>
      </c>
      <c r="J142" s="4">
        <v>50</v>
      </c>
      <c r="K142" s="4" t="str" cm="1">
        <f t="array" ref="K142">_xlfn.IFS(AND(Table15678[[#This Row],[Total Amount]]&gt;=1500),"Critical",AND(Table15678[[#This Row],[Total Amount]]&gt;=1000),"High",TRUE,"Normal")</f>
        <v>Normal</v>
      </c>
      <c r="L142" s="4" t="str">
        <f>IF(Table15678[[#This Row],[Total Amount]]&gt;=1000,"High",(IF(Table15678[[#This Row],[Total Amount]]&gt;=500,"Medium","Low")))</f>
        <v>Low</v>
      </c>
      <c r="M142" s="4" t="str" cm="1">
        <f t="array" ref="M14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142" s="4" cm="1">
        <f t="array" ref="N14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142" s="4">
        <f>Table15678[[#This Row],[Total Amount]]-Table15678[[#This Row],[Discount Amount]]</f>
        <v>50</v>
      </c>
      <c r="P142" s="4" t="str">
        <f>IF(Table15678[[#This Row],[Total Amount]]&gt;=1000,"High","Low")</f>
        <v>Low</v>
      </c>
      <c r="Q142" s="4" t="str" cm="1">
        <f t="array" ref="Q142">_xlfn.IFS(AND(Table15678[[#This Row],[Total Amount]]&gt;=1500,"Critical"),AND(Table15678[[#This Row],[Total Amount]]&gt;=1000,"High"),TRUE,"Normal")</f>
        <v>Normal</v>
      </c>
      <c r="R142" s="4" t="str">
        <f>CONCATENATE(Table15678[[#This Row],[Customer ID]], "-",Table15678[[#This Row],[Age]])</f>
        <v>CUST141-22</v>
      </c>
      <c r="S142" s="4" t="str">
        <f>TEXT(Table15678[[#This Row],[Date]],"mmm")</f>
        <v>Nov</v>
      </c>
      <c r="T142" s="4" t="str">
        <f>TEXT(Table15678[[#This Row],[Date]],"DDD")</f>
        <v>Thu</v>
      </c>
    </row>
    <row r="143" spans="1:20" ht="29" x14ac:dyDescent="0.35">
      <c r="A143" s="4">
        <v>142</v>
      </c>
      <c r="B143" s="5">
        <v>44959</v>
      </c>
      <c r="C143" s="4" t="s">
        <v>155</v>
      </c>
      <c r="D143" s="4" t="s">
        <v>10</v>
      </c>
      <c r="E143" s="4">
        <v>35</v>
      </c>
      <c r="F143" s="4" t="str">
        <f>IF(Table15678[[#This Row],[Age]]&lt;=19,"Teenager",IF(Table15678[[#This Row],[Age]]&lt;=40,"Median","Old"))</f>
        <v>Median</v>
      </c>
      <c r="G143" s="4" t="s">
        <v>16</v>
      </c>
      <c r="H143" s="4">
        <v>4</v>
      </c>
      <c r="I143" s="4">
        <v>300</v>
      </c>
      <c r="J143" s="4">
        <v>1200</v>
      </c>
      <c r="K143" s="4" t="str" cm="1">
        <f t="array" ref="K143">_xlfn.IFS(AND(Table15678[[#This Row],[Total Amount]]&gt;=1500),"Critical",AND(Table15678[[#This Row],[Total Amount]]&gt;=1000),"High",TRUE,"Normal")</f>
        <v>High</v>
      </c>
      <c r="L143" s="4" t="str">
        <f>IF(Table15678[[#This Row],[Total Amount]]&gt;=1000,"High",(IF(Table15678[[#This Row],[Total Amount]]&gt;=500,"Medium","Low")))</f>
        <v>High</v>
      </c>
      <c r="M143" s="4" t="str" cm="1">
        <f t="array" ref="M14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43" s="4" cm="1">
        <f t="array" ref="N14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120</v>
      </c>
      <c r="O143" s="4">
        <f>Table15678[[#This Row],[Total Amount]]-Table15678[[#This Row],[Discount Amount]]</f>
        <v>1080</v>
      </c>
      <c r="P143" s="4" t="str">
        <f>IF(Table15678[[#This Row],[Total Amount]]&gt;=1000,"High","Low")</f>
        <v>High</v>
      </c>
      <c r="Q143" s="4" t="str" cm="1">
        <f t="array" ref="Q143">_xlfn.IFS(AND(Table15678[[#This Row],[Total Amount]]&gt;=1500,"Critical"),AND(Table15678[[#This Row],[Total Amount]]&gt;=1000,"High"),TRUE,"Normal")</f>
        <v>Normal</v>
      </c>
      <c r="R143" s="4" t="str">
        <f>CONCATENATE(Table15678[[#This Row],[Customer ID]], "-",Table15678[[#This Row],[Age]])</f>
        <v>CUST142-35</v>
      </c>
      <c r="S143" s="4" t="str">
        <f>TEXT(Table15678[[#This Row],[Date]],"mmm")</f>
        <v>Feb</v>
      </c>
      <c r="T143" s="4" t="str">
        <f>TEXT(Table15678[[#This Row],[Date]],"DDD")</f>
        <v>Thu</v>
      </c>
    </row>
    <row r="144" spans="1:20" ht="29" x14ac:dyDescent="0.35">
      <c r="A144" s="4">
        <v>143</v>
      </c>
      <c r="B144" s="5">
        <v>45124</v>
      </c>
      <c r="C144" s="4" t="s">
        <v>156</v>
      </c>
      <c r="D144" s="4" t="s">
        <v>13</v>
      </c>
      <c r="E144" s="4">
        <v>45</v>
      </c>
      <c r="F144" s="4" t="str">
        <f>IF(Table15678[[#This Row],[Age]]&lt;=19,"Teenager",IF(Table15678[[#This Row],[Age]]&lt;=40,"Median","Old"))</f>
        <v>Old</v>
      </c>
      <c r="G144" s="4" t="s">
        <v>14</v>
      </c>
      <c r="H144" s="4">
        <v>1</v>
      </c>
      <c r="I144" s="4">
        <v>50</v>
      </c>
      <c r="J144" s="4">
        <v>50</v>
      </c>
      <c r="K144" s="4" t="str" cm="1">
        <f t="array" ref="K144">_xlfn.IFS(AND(Table15678[[#This Row],[Total Amount]]&gt;=1500),"Critical",AND(Table15678[[#This Row],[Total Amount]]&gt;=1000),"High",TRUE,"Normal")</f>
        <v>Normal</v>
      </c>
      <c r="L144" s="4" t="str">
        <f>IF(Table15678[[#This Row],[Total Amount]]&gt;=1000,"High",(IF(Table15678[[#This Row],[Total Amount]]&gt;=500,"Medium","Low")))</f>
        <v>Low</v>
      </c>
      <c r="M144" s="4" t="str" cm="1">
        <f t="array" ref="M14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44" s="4" cm="1">
        <f t="array" ref="N14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144" s="4">
        <f>Table15678[[#This Row],[Total Amount]]-Table15678[[#This Row],[Discount Amount]]</f>
        <v>40</v>
      </c>
      <c r="P144" s="4" t="str">
        <f>IF(Table15678[[#This Row],[Total Amount]]&gt;=1000,"High","Low")</f>
        <v>Low</v>
      </c>
      <c r="Q144" s="4" t="str" cm="1">
        <f t="array" ref="Q144">_xlfn.IFS(AND(Table15678[[#This Row],[Total Amount]]&gt;=1500,"Critical"),AND(Table15678[[#This Row],[Total Amount]]&gt;=1000,"High"),TRUE,"Normal")</f>
        <v>Normal</v>
      </c>
      <c r="R144" s="4" t="str">
        <f>CONCATENATE(Table15678[[#This Row],[Customer ID]], "-",Table15678[[#This Row],[Age]])</f>
        <v>CUST143-45</v>
      </c>
      <c r="S144" s="4" t="str">
        <f>TEXT(Table15678[[#This Row],[Date]],"mmm")</f>
        <v>Jul</v>
      </c>
      <c r="T144" s="4" t="str">
        <f>TEXT(Table15678[[#This Row],[Date]],"DDD")</f>
        <v>Mon</v>
      </c>
    </row>
    <row r="145" spans="1:20" ht="29" x14ac:dyDescent="0.35">
      <c r="A145" s="4">
        <v>144</v>
      </c>
      <c r="B145" s="5">
        <v>45122</v>
      </c>
      <c r="C145" s="4" t="s">
        <v>157</v>
      </c>
      <c r="D145" s="4" t="s">
        <v>13</v>
      </c>
      <c r="E145" s="4">
        <v>59</v>
      </c>
      <c r="F145" s="4" t="str">
        <f>IF(Table15678[[#This Row],[Age]]&lt;=19,"Teenager",IF(Table15678[[#This Row],[Age]]&lt;=40,"Median","Old"))</f>
        <v>Old</v>
      </c>
      <c r="G145" s="4" t="s">
        <v>11</v>
      </c>
      <c r="H145" s="4">
        <v>3</v>
      </c>
      <c r="I145" s="4">
        <v>500</v>
      </c>
      <c r="J145" s="4">
        <v>1500</v>
      </c>
      <c r="K145" s="4" t="str" cm="1">
        <f t="array" ref="K145">_xlfn.IFS(AND(Table15678[[#This Row],[Total Amount]]&gt;=1500),"Critical",AND(Table15678[[#This Row],[Total Amount]]&gt;=1000),"High",TRUE,"Normal")</f>
        <v>Critical</v>
      </c>
      <c r="L145" s="4" t="str">
        <f>IF(Table15678[[#This Row],[Total Amount]]&gt;=1000,"High",(IF(Table15678[[#This Row],[Total Amount]]&gt;=500,"Medium","Low")))</f>
        <v>High</v>
      </c>
      <c r="M145" s="4" t="str" cm="1">
        <f t="array" ref="M14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45" s="4" cm="1">
        <f t="array" ref="N14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145" s="4">
        <f>Table15678[[#This Row],[Total Amount]]-Table15678[[#This Row],[Discount Amount]]</f>
        <v>1200</v>
      </c>
      <c r="P145" s="4" t="str">
        <f>IF(Table15678[[#This Row],[Total Amount]]&gt;=1000,"High","Low")</f>
        <v>High</v>
      </c>
      <c r="Q145" s="4" t="b" cm="1">
        <f t="array" ref="Q145">_xlfn.IFS(AND(Table15678[[#This Row],[Total Amount]]&gt;=1500,"Critical"),AND(Table15678[[#This Row],[Total Amount]]&gt;=1000,"High"),TRUE,"Normal")</f>
        <v>1</v>
      </c>
      <c r="R145" s="4" t="str">
        <f>CONCATENATE(Table15678[[#This Row],[Customer ID]], "-",Table15678[[#This Row],[Age]])</f>
        <v>CUST144-59</v>
      </c>
      <c r="S145" s="4" t="str">
        <f>TEXT(Table15678[[#This Row],[Date]],"mmm")</f>
        <v>Jul</v>
      </c>
      <c r="T145" s="4" t="str">
        <f>TEXT(Table15678[[#This Row],[Date]],"DDD")</f>
        <v>Sat</v>
      </c>
    </row>
    <row r="146" spans="1:20" ht="29" x14ac:dyDescent="0.35">
      <c r="A146" s="4">
        <v>145</v>
      </c>
      <c r="B146" s="5">
        <v>45232</v>
      </c>
      <c r="C146" s="4" t="s">
        <v>158</v>
      </c>
      <c r="D146" s="4" t="s">
        <v>13</v>
      </c>
      <c r="E146" s="4">
        <v>39</v>
      </c>
      <c r="F146" s="4" t="str">
        <f>IF(Table15678[[#This Row],[Age]]&lt;=19,"Teenager",IF(Table15678[[#This Row],[Age]]&lt;=40,"Median","Old"))</f>
        <v>Median</v>
      </c>
      <c r="G146" s="4" t="s">
        <v>14</v>
      </c>
      <c r="H146" s="4">
        <v>3</v>
      </c>
      <c r="I146" s="4">
        <v>25</v>
      </c>
      <c r="J146" s="4">
        <v>75</v>
      </c>
      <c r="K146" s="4" t="str" cm="1">
        <f t="array" ref="K146">_xlfn.IFS(AND(Table15678[[#This Row],[Total Amount]]&gt;=1500),"Critical",AND(Table15678[[#This Row],[Total Amount]]&gt;=1000),"High",TRUE,"Normal")</f>
        <v>Normal</v>
      </c>
      <c r="L146" s="4" t="str">
        <f>IF(Table15678[[#This Row],[Total Amount]]&gt;=1000,"High",(IF(Table15678[[#This Row],[Total Amount]]&gt;=500,"Medium","Low")))</f>
        <v>Low</v>
      </c>
      <c r="M146" s="4" t="str" cm="1">
        <f t="array" ref="M14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46" s="4" cm="1">
        <f t="array" ref="N14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146" s="4">
        <f>Table15678[[#This Row],[Total Amount]]-Table15678[[#This Row],[Discount Amount]]</f>
        <v>60</v>
      </c>
      <c r="P146" s="4" t="str">
        <f>IF(Table15678[[#This Row],[Total Amount]]&gt;=1000,"High","Low")</f>
        <v>Low</v>
      </c>
      <c r="Q146" s="4" t="str" cm="1">
        <f t="array" ref="Q146">_xlfn.IFS(AND(Table15678[[#This Row],[Total Amount]]&gt;=1500,"Critical"),AND(Table15678[[#This Row],[Total Amount]]&gt;=1000,"High"),TRUE,"Normal")</f>
        <v>Normal</v>
      </c>
      <c r="R146" s="4" t="str">
        <f>CONCATENATE(Table15678[[#This Row],[Customer ID]], "-",Table15678[[#This Row],[Age]])</f>
        <v>CUST145-39</v>
      </c>
      <c r="S146" s="4" t="str">
        <f>TEXT(Table15678[[#This Row],[Date]],"mmm")</f>
        <v>Nov</v>
      </c>
      <c r="T146" s="4" t="str">
        <f>TEXT(Table15678[[#This Row],[Date]],"DDD")</f>
        <v>Thu</v>
      </c>
    </row>
    <row r="147" spans="1:20" ht="29" x14ac:dyDescent="0.35">
      <c r="A147" s="4">
        <v>146</v>
      </c>
      <c r="B147" s="5">
        <v>45166</v>
      </c>
      <c r="C147" s="4" t="s">
        <v>159</v>
      </c>
      <c r="D147" s="4" t="s">
        <v>10</v>
      </c>
      <c r="E147" s="4">
        <v>38</v>
      </c>
      <c r="F147" s="4" t="str">
        <f>IF(Table15678[[#This Row],[Age]]&lt;=19,"Teenager",IF(Table15678[[#This Row],[Age]]&lt;=40,"Median","Old"))</f>
        <v>Median</v>
      </c>
      <c r="G147" s="4" t="s">
        <v>14</v>
      </c>
      <c r="H147" s="4">
        <v>4</v>
      </c>
      <c r="I147" s="4">
        <v>50</v>
      </c>
      <c r="J147" s="4">
        <v>200</v>
      </c>
      <c r="K147" s="4" t="str" cm="1">
        <f t="array" ref="K147">_xlfn.IFS(AND(Table15678[[#This Row],[Total Amount]]&gt;=1500),"Critical",AND(Table15678[[#This Row],[Total Amount]]&gt;=1000),"High",TRUE,"Normal")</f>
        <v>Normal</v>
      </c>
      <c r="L147" s="4" t="str">
        <f>IF(Table15678[[#This Row],[Total Amount]]&gt;=1000,"High",(IF(Table15678[[#This Row],[Total Amount]]&gt;=500,"Medium","Low")))</f>
        <v>Low</v>
      </c>
      <c r="M147" s="4" t="str" cm="1">
        <f t="array" ref="M14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47" s="4" cm="1">
        <f t="array" ref="N14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147" s="4">
        <f>Table15678[[#This Row],[Total Amount]]-Table15678[[#This Row],[Discount Amount]]</f>
        <v>180</v>
      </c>
      <c r="P147" s="4" t="str">
        <f>IF(Table15678[[#This Row],[Total Amount]]&gt;=1000,"High","Low")</f>
        <v>Low</v>
      </c>
      <c r="Q147" s="4" t="str" cm="1">
        <f t="array" ref="Q147">_xlfn.IFS(AND(Table15678[[#This Row],[Total Amount]]&gt;=1500,"Critical"),AND(Table15678[[#This Row],[Total Amount]]&gt;=1000,"High"),TRUE,"Normal")</f>
        <v>Normal</v>
      </c>
      <c r="R147" s="4" t="str">
        <f>CONCATENATE(Table15678[[#This Row],[Customer ID]], "-",Table15678[[#This Row],[Age]])</f>
        <v>CUST146-38</v>
      </c>
      <c r="S147" s="4" t="str">
        <f>TEXT(Table15678[[#This Row],[Date]],"mmm")</f>
        <v>Aug</v>
      </c>
      <c r="T147" s="4" t="str">
        <f>TEXT(Table15678[[#This Row],[Date]],"DDD")</f>
        <v>Mon</v>
      </c>
    </row>
    <row r="148" spans="1:20" ht="29" x14ac:dyDescent="0.35">
      <c r="A148" s="4">
        <v>147</v>
      </c>
      <c r="B148" s="5">
        <v>45197</v>
      </c>
      <c r="C148" s="4" t="s">
        <v>160</v>
      </c>
      <c r="D148" s="4" t="s">
        <v>10</v>
      </c>
      <c r="E148" s="4">
        <v>23</v>
      </c>
      <c r="F148" s="4" t="str">
        <f>IF(Table15678[[#This Row],[Age]]&lt;=19,"Teenager",IF(Table15678[[#This Row],[Age]]&lt;=40,"Median","Old"))</f>
        <v>Median</v>
      </c>
      <c r="G148" s="4" t="s">
        <v>16</v>
      </c>
      <c r="H148" s="4">
        <v>1</v>
      </c>
      <c r="I148" s="4">
        <v>300</v>
      </c>
      <c r="J148" s="4">
        <v>300</v>
      </c>
      <c r="K148" s="4" t="str" cm="1">
        <f t="array" ref="K148">_xlfn.IFS(AND(Table15678[[#This Row],[Total Amount]]&gt;=1500),"Critical",AND(Table15678[[#This Row],[Total Amount]]&gt;=1000),"High",TRUE,"Normal")</f>
        <v>Normal</v>
      </c>
      <c r="L148" s="4" t="str">
        <f>IF(Table15678[[#This Row],[Total Amount]]&gt;=1000,"High",(IF(Table15678[[#This Row],[Total Amount]]&gt;=500,"Medium","Low")))</f>
        <v>Low</v>
      </c>
      <c r="M148" s="4" t="str" cm="1">
        <f t="array" ref="M14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148" s="4" cm="1">
        <f t="array" ref="N14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148" s="4">
        <f>Table15678[[#This Row],[Total Amount]]-Table15678[[#This Row],[Discount Amount]]</f>
        <v>300</v>
      </c>
      <c r="P148" s="4" t="str">
        <f>IF(Table15678[[#This Row],[Total Amount]]&gt;=1000,"High","Low")</f>
        <v>Low</v>
      </c>
      <c r="Q148" s="4" t="str" cm="1">
        <f t="array" ref="Q148">_xlfn.IFS(AND(Table15678[[#This Row],[Total Amount]]&gt;=1500,"Critical"),AND(Table15678[[#This Row],[Total Amount]]&gt;=1000,"High"),TRUE,"Normal")</f>
        <v>Normal</v>
      </c>
      <c r="R148" s="4" t="str">
        <f>CONCATENATE(Table15678[[#This Row],[Customer ID]], "-",Table15678[[#This Row],[Age]])</f>
        <v>CUST147-23</v>
      </c>
      <c r="S148" s="4" t="str">
        <f>TEXT(Table15678[[#This Row],[Date]],"mmm")</f>
        <v>Sep</v>
      </c>
      <c r="T148" s="4" t="str">
        <f>TEXT(Table15678[[#This Row],[Date]],"DDD")</f>
        <v>Thu</v>
      </c>
    </row>
    <row r="149" spans="1:20" ht="29" x14ac:dyDescent="0.35">
      <c r="A149" s="4">
        <v>148</v>
      </c>
      <c r="B149" s="5">
        <v>45055</v>
      </c>
      <c r="C149" s="4" t="s">
        <v>161</v>
      </c>
      <c r="D149" s="4" t="s">
        <v>10</v>
      </c>
      <c r="E149" s="4">
        <v>18</v>
      </c>
      <c r="F149" s="4" t="str">
        <f>IF(Table15678[[#This Row],[Age]]&lt;=19,"Teenager",IF(Table15678[[#This Row],[Age]]&lt;=40,"Median","Old"))</f>
        <v>Teenager</v>
      </c>
      <c r="G149" s="4" t="s">
        <v>14</v>
      </c>
      <c r="H149" s="4">
        <v>2</v>
      </c>
      <c r="I149" s="4">
        <v>30</v>
      </c>
      <c r="J149" s="4">
        <v>60</v>
      </c>
      <c r="K149" s="4" t="str" cm="1">
        <f t="array" ref="K149">_xlfn.IFS(AND(Table15678[[#This Row],[Total Amount]]&gt;=1500),"Critical",AND(Table15678[[#This Row],[Total Amount]]&gt;=1000),"High",TRUE,"Normal")</f>
        <v>Normal</v>
      </c>
      <c r="L149" s="4" t="str">
        <f>IF(Table15678[[#This Row],[Total Amount]]&gt;=1000,"High",(IF(Table15678[[#This Row],[Total Amount]]&gt;=500,"Medium","Low")))</f>
        <v>Low</v>
      </c>
      <c r="M149" s="4" t="str" cm="1">
        <f t="array" ref="M14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149" s="4" cm="1">
        <f t="array" ref="N14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149" s="4">
        <f>Table15678[[#This Row],[Total Amount]]-Table15678[[#This Row],[Discount Amount]]</f>
        <v>60</v>
      </c>
      <c r="P149" s="4" t="str">
        <f>IF(Table15678[[#This Row],[Total Amount]]&gt;=1000,"High","Low")</f>
        <v>Low</v>
      </c>
      <c r="Q149" s="4" t="str" cm="1">
        <f t="array" ref="Q149">_xlfn.IFS(AND(Table15678[[#This Row],[Total Amount]]&gt;=1500,"Critical"),AND(Table15678[[#This Row],[Total Amount]]&gt;=1000,"High"),TRUE,"Normal")</f>
        <v>Normal</v>
      </c>
      <c r="R149" s="4" t="str">
        <f>CONCATENATE(Table15678[[#This Row],[Customer ID]], "-",Table15678[[#This Row],[Age]])</f>
        <v>CUST148-18</v>
      </c>
      <c r="S149" s="4" t="str">
        <f>TEXT(Table15678[[#This Row],[Date]],"mmm")</f>
        <v>May</v>
      </c>
      <c r="T149" s="4" t="str">
        <f>TEXT(Table15678[[#This Row],[Date]],"DDD")</f>
        <v>Tue</v>
      </c>
    </row>
    <row r="150" spans="1:20" ht="29" x14ac:dyDescent="0.35">
      <c r="A150" s="4">
        <v>149</v>
      </c>
      <c r="B150" s="5">
        <v>45210</v>
      </c>
      <c r="C150" s="4" t="s">
        <v>162</v>
      </c>
      <c r="D150" s="4" t="s">
        <v>10</v>
      </c>
      <c r="E150" s="4">
        <v>22</v>
      </c>
      <c r="F150" s="4" t="str">
        <f>IF(Table15678[[#This Row],[Age]]&lt;=19,"Teenager",IF(Table15678[[#This Row],[Age]]&lt;=40,"Median","Old"))</f>
        <v>Median</v>
      </c>
      <c r="G150" s="4" t="s">
        <v>14</v>
      </c>
      <c r="H150" s="4">
        <v>3</v>
      </c>
      <c r="I150" s="4">
        <v>25</v>
      </c>
      <c r="J150" s="4">
        <v>75</v>
      </c>
      <c r="K150" s="4" t="str" cm="1">
        <f t="array" ref="K150">_xlfn.IFS(AND(Table15678[[#This Row],[Total Amount]]&gt;=1500),"Critical",AND(Table15678[[#This Row],[Total Amount]]&gt;=1000),"High",TRUE,"Normal")</f>
        <v>Normal</v>
      </c>
      <c r="L150" s="4" t="str">
        <f>IF(Table15678[[#This Row],[Total Amount]]&gt;=1000,"High",(IF(Table15678[[#This Row],[Total Amount]]&gt;=500,"Medium","Low")))</f>
        <v>Low</v>
      </c>
      <c r="M150" s="4" t="str" cm="1">
        <f t="array" ref="M15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150" s="4" cm="1">
        <f t="array" ref="N15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150" s="4">
        <f>Table15678[[#This Row],[Total Amount]]-Table15678[[#This Row],[Discount Amount]]</f>
        <v>75</v>
      </c>
      <c r="P150" s="4" t="str">
        <f>IF(Table15678[[#This Row],[Total Amount]]&gt;=1000,"High","Low")</f>
        <v>Low</v>
      </c>
      <c r="Q150" s="4" t="str" cm="1">
        <f t="array" ref="Q150">_xlfn.IFS(AND(Table15678[[#This Row],[Total Amount]]&gt;=1500,"Critical"),AND(Table15678[[#This Row],[Total Amount]]&gt;=1000,"High"),TRUE,"Normal")</f>
        <v>Normal</v>
      </c>
      <c r="R150" s="4" t="str">
        <f>CONCATENATE(Table15678[[#This Row],[Customer ID]], "-",Table15678[[#This Row],[Age]])</f>
        <v>CUST149-22</v>
      </c>
      <c r="S150" s="4" t="str">
        <f>TEXT(Table15678[[#This Row],[Date]],"mmm")</f>
        <v>Oct</v>
      </c>
      <c r="T150" s="4" t="str">
        <f>TEXT(Table15678[[#This Row],[Date]],"DDD")</f>
        <v>Wed</v>
      </c>
    </row>
    <row r="151" spans="1:20" ht="29" x14ac:dyDescent="0.35">
      <c r="A151" s="4">
        <v>150</v>
      </c>
      <c r="B151" s="5">
        <v>44932</v>
      </c>
      <c r="C151" s="4" t="s">
        <v>163</v>
      </c>
      <c r="D151" s="4" t="s">
        <v>13</v>
      </c>
      <c r="E151" s="4">
        <v>58</v>
      </c>
      <c r="F151" s="4" t="str">
        <f>IF(Table15678[[#This Row],[Age]]&lt;=19,"Teenager",IF(Table15678[[#This Row],[Age]]&lt;=40,"Median","Old"))</f>
        <v>Old</v>
      </c>
      <c r="G151" s="4" t="s">
        <v>16</v>
      </c>
      <c r="H151" s="4">
        <v>4</v>
      </c>
      <c r="I151" s="4">
        <v>30</v>
      </c>
      <c r="J151" s="4">
        <v>120</v>
      </c>
      <c r="K151" s="4" t="str" cm="1">
        <f t="array" ref="K151">_xlfn.IFS(AND(Table15678[[#This Row],[Total Amount]]&gt;=1500),"Critical",AND(Table15678[[#This Row],[Total Amount]]&gt;=1000),"High",TRUE,"Normal")</f>
        <v>Normal</v>
      </c>
      <c r="L151" s="4" t="str">
        <f>IF(Table15678[[#This Row],[Total Amount]]&gt;=1000,"High",(IF(Table15678[[#This Row],[Total Amount]]&gt;=500,"Medium","Low")))</f>
        <v>Low</v>
      </c>
      <c r="M151" s="4" t="str" cm="1">
        <f t="array" ref="M15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51" s="4" cm="1">
        <f t="array" ref="N15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</v>
      </c>
      <c r="O151" s="4">
        <f>Table15678[[#This Row],[Total Amount]]-Table15678[[#This Row],[Discount Amount]]</f>
        <v>96</v>
      </c>
      <c r="P151" s="4" t="str">
        <f>IF(Table15678[[#This Row],[Total Amount]]&gt;=1000,"High","Low")</f>
        <v>Low</v>
      </c>
      <c r="Q151" s="4" t="str" cm="1">
        <f t="array" ref="Q151">_xlfn.IFS(AND(Table15678[[#This Row],[Total Amount]]&gt;=1500,"Critical"),AND(Table15678[[#This Row],[Total Amount]]&gt;=1000,"High"),TRUE,"Normal")</f>
        <v>Normal</v>
      </c>
      <c r="R151" s="4" t="str">
        <f>CONCATENATE(Table15678[[#This Row],[Customer ID]], "-",Table15678[[#This Row],[Age]])</f>
        <v>CUST150-58</v>
      </c>
      <c r="S151" s="4" t="str">
        <f>TEXT(Table15678[[#This Row],[Date]],"mmm")</f>
        <v>Jan</v>
      </c>
      <c r="T151" s="4" t="str">
        <f>TEXT(Table15678[[#This Row],[Date]],"DDD")</f>
        <v>Fri</v>
      </c>
    </row>
    <row r="152" spans="1:20" ht="29" x14ac:dyDescent="0.35">
      <c r="A152" s="4">
        <v>151</v>
      </c>
      <c r="B152" s="5">
        <v>45275</v>
      </c>
      <c r="C152" s="4" t="s">
        <v>164</v>
      </c>
      <c r="D152" s="4" t="s">
        <v>10</v>
      </c>
      <c r="E152" s="4">
        <v>29</v>
      </c>
      <c r="F152" s="4" t="str">
        <f>IF(Table15678[[#This Row],[Age]]&lt;=19,"Teenager",IF(Table15678[[#This Row],[Age]]&lt;=40,"Median","Old"))</f>
        <v>Median</v>
      </c>
      <c r="G152" s="4" t="s">
        <v>14</v>
      </c>
      <c r="H152" s="4">
        <v>1</v>
      </c>
      <c r="I152" s="4">
        <v>50</v>
      </c>
      <c r="J152" s="4">
        <v>50</v>
      </c>
      <c r="K152" s="4" t="str" cm="1">
        <f t="array" ref="K152">_xlfn.IFS(AND(Table15678[[#This Row],[Total Amount]]&gt;=1500),"Critical",AND(Table15678[[#This Row],[Total Amount]]&gt;=1000),"High",TRUE,"Normal")</f>
        <v>Normal</v>
      </c>
      <c r="L152" s="4" t="str">
        <f>IF(Table15678[[#This Row],[Total Amount]]&gt;=1000,"High",(IF(Table15678[[#This Row],[Total Amount]]&gt;=500,"Medium","Low")))</f>
        <v>Low</v>
      </c>
      <c r="M152" s="4" t="str" cm="1">
        <f t="array" ref="M15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52" s="4" cm="1">
        <f t="array" ref="N15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152" s="4">
        <f>Table15678[[#This Row],[Total Amount]]-Table15678[[#This Row],[Discount Amount]]</f>
        <v>42.5</v>
      </c>
      <c r="P152" s="4" t="str">
        <f>IF(Table15678[[#This Row],[Total Amount]]&gt;=1000,"High","Low")</f>
        <v>Low</v>
      </c>
      <c r="Q152" s="4" t="str" cm="1">
        <f t="array" ref="Q152">_xlfn.IFS(AND(Table15678[[#This Row],[Total Amount]]&gt;=1500,"Critical"),AND(Table15678[[#This Row],[Total Amount]]&gt;=1000,"High"),TRUE,"Normal")</f>
        <v>Normal</v>
      </c>
      <c r="R152" s="4" t="str">
        <f>CONCATENATE(Table15678[[#This Row],[Customer ID]], "-",Table15678[[#This Row],[Age]])</f>
        <v>CUST151-29</v>
      </c>
      <c r="S152" s="4" t="str">
        <f>TEXT(Table15678[[#This Row],[Date]],"mmm")</f>
        <v>Dec</v>
      </c>
      <c r="T152" s="4" t="str">
        <f>TEXT(Table15678[[#This Row],[Date]],"DDD")</f>
        <v>Fri</v>
      </c>
    </row>
    <row r="153" spans="1:20" ht="29" x14ac:dyDescent="0.35">
      <c r="A153" s="4">
        <v>152</v>
      </c>
      <c r="B153" s="5">
        <v>44985</v>
      </c>
      <c r="C153" s="4" t="s">
        <v>165</v>
      </c>
      <c r="D153" s="4" t="s">
        <v>10</v>
      </c>
      <c r="E153" s="4">
        <v>43</v>
      </c>
      <c r="F153" s="4" t="str">
        <f>IF(Table15678[[#This Row],[Age]]&lt;=19,"Teenager",IF(Table15678[[#This Row],[Age]]&lt;=40,"Median","Old"))</f>
        <v>Old</v>
      </c>
      <c r="G153" s="4" t="s">
        <v>16</v>
      </c>
      <c r="H153" s="4">
        <v>4</v>
      </c>
      <c r="I153" s="4">
        <v>500</v>
      </c>
      <c r="J153" s="4">
        <v>2000</v>
      </c>
      <c r="K153" s="4" t="str" cm="1">
        <f t="array" ref="K153">_xlfn.IFS(AND(Table15678[[#This Row],[Total Amount]]&gt;=1500),"Critical",AND(Table15678[[#This Row],[Total Amount]]&gt;=1000),"High",TRUE,"Normal")</f>
        <v>Critical</v>
      </c>
      <c r="L153" s="4" t="str">
        <f>IF(Table15678[[#This Row],[Total Amount]]&gt;=1000,"High",(IF(Table15678[[#This Row],[Total Amount]]&gt;=500,"Medium","Low")))</f>
        <v>High</v>
      </c>
      <c r="M153" s="4" t="str" cm="1">
        <f t="array" ref="M15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53" s="4" cm="1">
        <f t="array" ref="N15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153" s="4">
        <f>Table15678[[#This Row],[Total Amount]]-Table15678[[#This Row],[Discount Amount]]</f>
        <v>1800</v>
      </c>
      <c r="P153" s="4" t="str">
        <f>IF(Table15678[[#This Row],[Total Amount]]&gt;=1000,"High","Low")</f>
        <v>High</v>
      </c>
      <c r="Q153" s="4" t="b" cm="1">
        <f t="array" ref="Q153">_xlfn.IFS(AND(Table15678[[#This Row],[Total Amount]]&gt;=1500,"Critical"),AND(Table15678[[#This Row],[Total Amount]]&gt;=1000,"High"),TRUE,"Normal")</f>
        <v>1</v>
      </c>
      <c r="R153" s="4" t="str">
        <f>CONCATENATE(Table15678[[#This Row],[Customer ID]], "-",Table15678[[#This Row],[Age]])</f>
        <v>CUST152-43</v>
      </c>
      <c r="S153" s="4" t="str">
        <f>TEXT(Table15678[[#This Row],[Date]],"mmm")</f>
        <v>Feb</v>
      </c>
      <c r="T153" s="4" t="str">
        <f>TEXT(Table15678[[#This Row],[Date]],"DDD")</f>
        <v>Tue</v>
      </c>
    </row>
    <row r="154" spans="1:20" ht="29" x14ac:dyDescent="0.35">
      <c r="A154" s="4">
        <v>153</v>
      </c>
      <c r="B154" s="5">
        <v>45276</v>
      </c>
      <c r="C154" s="4" t="s">
        <v>166</v>
      </c>
      <c r="D154" s="4" t="s">
        <v>10</v>
      </c>
      <c r="E154" s="4">
        <v>63</v>
      </c>
      <c r="F154" s="4" t="str">
        <f>IF(Table15678[[#This Row],[Age]]&lt;=19,"Teenager",IF(Table15678[[#This Row],[Age]]&lt;=40,"Median","Old"))</f>
        <v>Old</v>
      </c>
      <c r="G154" s="4" t="s">
        <v>16</v>
      </c>
      <c r="H154" s="4">
        <v>2</v>
      </c>
      <c r="I154" s="4">
        <v>500</v>
      </c>
      <c r="J154" s="4">
        <v>1000</v>
      </c>
      <c r="K154" s="4" t="str" cm="1">
        <f t="array" ref="K154">_xlfn.IFS(AND(Table15678[[#This Row],[Total Amount]]&gt;=1500),"Critical",AND(Table15678[[#This Row],[Total Amount]]&gt;=1000),"High",TRUE,"Normal")</f>
        <v>High</v>
      </c>
      <c r="L154" s="4" t="str">
        <f>IF(Table15678[[#This Row],[Total Amount]]&gt;=1000,"High",(IF(Table15678[[#This Row],[Total Amount]]&gt;=500,"Medium","Low")))</f>
        <v>High</v>
      </c>
      <c r="M154" s="4" t="str" cm="1">
        <f t="array" ref="M15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54" s="4" cm="1">
        <f t="array" ref="N15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154" s="4">
        <f>Table15678[[#This Row],[Total Amount]]-Table15678[[#This Row],[Discount Amount]]</f>
        <v>900</v>
      </c>
      <c r="P154" s="4" t="str">
        <f>IF(Table15678[[#This Row],[Total Amount]]&gt;=1000,"High","Low")</f>
        <v>High</v>
      </c>
      <c r="Q154" s="4" t="str" cm="1">
        <f t="array" ref="Q154">_xlfn.IFS(AND(Table15678[[#This Row],[Total Amount]]&gt;=1500,"Critical"),AND(Table15678[[#This Row],[Total Amount]]&gt;=1000,"High"),TRUE,"Normal")</f>
        <v>Normal</v>
      </c>
      <c r="R154" s="4" t="str">
        <f>CONCATENATE(Table15678[[#This Row],[Customer ID]], "-",Table15678[[#This Row],[Age]])</f>
        <v>CUST153-63</v>
      </c>
      <c r="S154" s="4" t="str">
        <f>TEXT(Table15678[[#This Row],[Date]],"mmm")</f>
        <v>Dec</v>
      </c>
      <c r="T154" s="4" t="str">
        <f>TEXT(Table15678[[#This Row],[Date]],"DDD")</f>
        <v>Sat</v>
      </c>
    </row>
    <row r="155" spans="1:20" ht="29" x14ac:dyDescent="0.35">
      <c r="A155" s="4">
        <v>154</v>
      </c>
      <c r="B155" s="5">
        <v>45201</v>
      </c>
      <c r="C155" s="4" t="s">
        <v>167</v>
      </c>
      <c r="D155" s="4" t="s">
        <v>10</v>
      </c>
      <c r="E155" s="4">
        <v>51</v>
      </c>
      <c r="F155" s="4" t="str">
        <f>IF(Table15678[[#This Row],[Age]]&lt;=19,"Teenager",IF(Table15678[[#This Row],[Age]]&lt;=40,"Median","Old"))</f>
        <v>Old</v>
      </c>
      <c r="G155" s="4" t="s">
        <v>16</v>
      </c>
      <c r="H155" s="4">
        <v>3</v>
      </c>
      <c r="I155" s="4">
        <v>300</v>
      </c>
      <c r="J155" s="4">
        <v>900</v>
      </c>
      <c r="K155" s="4" t="str" cm="1">
        <f t="array" ref="K155">_xlfn.IFS(AND(Table15678[[#This Row],[Total Amount]]&gt;=1500),"Critical",AND(Table15678[[#This Row],[Total Amount]]&gt;=1000),"High",TRUE,"Normal")</f>
        <v>Normal</v>
      </c>
      <c r="L155" s="4" t="str">
        <f>IF(Table15678[[#This Row],[Total Amount]]&gt;=1000,"High",(IF(Table15678[[#This Row],[Total Amount]]&gt;=500,"Medium","Low")))</f>
        <v>Medium</v>
      </c>
      <c r="M155" s="4" t="str" cm="1">
        <f t="array" ref="M15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55" s="4" cm="1">
        <f t="array" ref="N15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155" s="4">
        <f>Table15678[[#This Row],[Total Amount]]-Table15678[[#This Row],[Discount Amount]]</f>
        <v>810</v>
      </c>
      <c r="P155" s="4" t="str">
        <f>IF(Table15678[[#This Row],[Total Amount]]&gt;=1000,"High","Low")</f>
        <v>Low</v>
      </c>
      <c r="Q155" s="4" t="str" cm="1">
        <f t="array" ref="Q155">_xlfn.IFS(AND(Table15678[[#This Row],[Total Amount]]&gt;=1500,"Critical"),AND(Table15678[[#This Row],[Total Amount]]&gt;=1000,"High"),TRUE,"Normal")</f>
        <v>Normal</v>
      </c>
      <c r="R155" s="4" t="str">
        <f>CONCATENATE(Table15678[[#This Row],[Customer ID]], "-",Table15678[[#This Row],[Age]])</f>
        <v>CUST154-51</v>
      </c>
      <c r="S155" s="4" t="str">
        <f>TEXT(Table15678[[#This Row],[Date]],"mmm")</f>
        <v>Oct</v>
      </c>
      <c r="T155" s="4" t="str">
        <f>TEXT(Table15678[[#This Row],[Date]],"DDD")</f>
        <v>Mon</v>
      </c>
    </row>
    <row r="156" spans="1:20" ht="29" x14ac:dyDescent="0.35">
      <c r="A156" s="4">
        <v>155</v>
      </c>
      <c r="B156" s="5">
        <v>45063</v>
      </c>
      <c r="C156" s="4" t="s">
        <v>168</v>
      </c>
      <c r="D156" s="4" t="s">
        <v>10</v>
      </c>
      <c r="E156" s="4">
        <v>31</v>
      </c>
      <c r="F156" s="4" t="str">
        <f>IF(Table15678[[#This Row],[Age]]&lt;=19,"Teenager",IF(Table15678[[#This Row],[Age]]&lt;=40,"Median","Old"))</f>
        <v>Median</v>
      </c>
      <c r="G156" s="4" t="s">
        <v>16</v>
      </c>
      <c r="H156" s="4">
        <v>4</v>
      </c>
      <c r="I156" s="4">
        <v>500</v>
      </c>
      <c r="J156" s="4">
        <v>2000</v>
      </c>
      <c r="K156" s="4" t="str" cm="1">
        <f t="array" ref="K156">_xlfn.IFS(AND(Table15678[[#This Row],[Total Amount]]&gt;=1500),"Critical",AND(Table15678[[#This Row],[Total Amount]]&gt;=1000),"High",TRUE,"Normal")</f>
        <v>Critical</v>
      </c>
      <c r="L156" s="4" t="str">
        <f>IF(Table15678[[#This Row],[Total Amount]]&gt;=1000,"High",(IF(Table15678[[#This Row],[Total Amount]]&gt;=500,"Medium","Low")))</f>
        <v>High</v>
      </c>
      <c r="M156" s="4" t="str" cm="1">
        <f t="array" ref="M15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56" s="4" cm="1">
        <f t="array" ref="N15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156" s="4">
        <f>Table15678[[#This Row],[Total Amount]]-Table15678[[#This Row],[Discount Amount]]</f>
        <v>1700</v>
      </c>
      <c r="P156" s="4" t="str">
        <f>IF(Table15678[[#This Row],[Total Amount]]&gt;=1000,"High","Low")</f>
        <v>High</v>
      </c>
      <c r="Q156" s="4" t="b" cm="1">
        <f t="array" ref="Q156">_xlfn.IFS(AND(Table15678[[#This Row],[Total Amount]]&gt;=1500,"Critical"),AND(Table15678[[#This Row],[Total Amount]]&gt;=1000,"High"),TRUE,"Normal")</f>
        <v>1</v>
      </c>
      <c r="R156" s="4" t="str">
        <f>CONCATENATE(Table15678[[#This Row],[Customer ID]], "-",Table15678[[#This Row],[Age]])</f>
        <v>CUST155-31</v>
      </c>
      <c r="S156" s="4" t="str">
        <f>TEXT(Table15678[[#This Row],[Date]],"mmm")</f>
        <v>May</v>
      </c>
      <c r="T156" s="4" t="str">
        <f>TEXT(Table15678[[#This Row],[Date]],"DDD")</f>
        <v>Wed</v>
      </c>
    </row>
    <row r="157" spans="1:20" ht="29" x14ac:dyDescent="0.35">
      <c r="A157" s="4">
        <v>156</v>
      </c>
      <c r="B157" s="5">
        <v>45255</v>
      </c>
      <c r="C157" s="4" t="s">
        <v>169</v>
      </c>
      <c r="D157" s="4" t="s">
        <v>13</v>
      </c>
      <c r="E157" s="4">
        <v>43</v>
      </c>
      <c r="F157" s="4" t="str">
        <f>IF(Table15678[[#This Row],[Age]]&lt;=19,"Teenager",IF(Table15678[[#This Row],[Age]]&lt;=40,"Median","Old"))</f>
        <v>Old</v>
      </c>
      <c r="G157" s="4" t="s">
        <v>14</v>
      </c>
      <c r="H157" s="4">
        <v>4</v>
      </c>
      <c r="I157" s="4">
        <v>25</v>
      </c>
      <c r="J157" s="4">
        <v>100</v>
      </c>
      <c r="K157" s="4" t="str" cm="1">
        <f t="array" ref="K157">_xlfn.IFS(AND(Table15678[[#This Row],[Total Amount]]&gt;=1500),"Critical",AND(Table15678[[#This Row],[Total Amount]]&gt;=1000),"High",TRUE,"Normal")</f>
        <v>Normal</v>
      </c>
      <c r="L157" s="4" t="str">
        <f>IF(Table15678[[#This Row],[Total Amount]]&gt;=1000,"High",(IF(Table15678[[#This Row],[Total Amount]]&gt;=500,"Medium","Low")))</f>
        <v>Low</v>
      </c>
      <c r="M157" s="4" t="str" cm="1">
        <f t="array" ref="M15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57" s="4" cm="1">
        <f t="array" ref="N15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157" s="4">
        <f>Table15678[[#This Row],[Total Amount]]-Table15678[[#This Row],[Discount Amount]]</f>
        <v>80</v>
      </c>
      <c r="P157" s="4" t="str">
        <f>IF(Table15678[[#This Row],[Total Amount]]&gt;=1000,"High","Low")</f>
        <v>Low</v>
      </c>
      <c r="Q157" s="4" t="str" cm="1">
        <f t="array" ref="Q157">_xlfn.IFS(AND(Table15678[[#This Row],[Total Amount]]&gt;=1500,"Critical"),AND(Table15678[[#This Row],[Total Amount]]&gt;=1000,"High"),TRUE,"Normal")</f>
        <v>Normal</v>
      </c>
      <c r="R157" s="4" t="str">
        <f>CONCATENATE(Table15678[[#This Row],[Customer ID]], "-",Table15678[[#This Row],[Age]])</f>
        <v>CUST156-43</v>
      </c>
      <c r="S157" s="4" t="str">
        <f>TEXT(Table15678[[#This Row],[Date]],"mmm")</f>
        <v>Nov</v>
      </c>
      <c r="T157" s="4" t="str">
        <f>TEXT(Table15678[[#This Row],[Date]],"DDD")</f>
        <v>Sat</v>
      </c>
    </row>
    <row r="158" spans="1:20" ht="29" x14ac:dyDescent="0.35">
      <c r="A158" s="4">
        <v>157</v>
      </c>
      <c r="B158" s="5">
        <v>45101</v>
      </c>
      <c r="C158" s="4" t="s">
        <v>170</v>
      </c>
      <c r="D158" s="4" t="s">
        <v>10</v>
      </c>
      <c r="E158" s="4">
        <v>62</v>
      </c>
      <c r="F158" s="4" t="str">
        <f>IF(Table15678[[#This Row],[Age]]&lt;=19,"Teenager",IF(Table15678[[#This Row],[Age]]&lt;=40,"Median","Old"))</f>
        <v>Old</v>
      </c>
      <c r="G158" s="4" t="s">
        <v>16</v>
      </c>
      <c r="H158" s="4">
        <v>4</v>
      </c>
      <c r="I158" s="4">
        <v>500</v>
      </c>
      <c r="J158" s="4">
        <v>2000</v>
      </c>
      <c r="K158" s="4" t="str" cm="1">
        <f t="array" ref="K158">_xlfn.IFS(AND(Table15678[[#This Row],[Total Amount]]&gt;=1500),"Critical",AND(Table15678[[#This Row],[Total Amount]]&gt;=1000),"High",TRUE,"Normal")</f>
        <v>Critical</v>
      </c>
      <c r="L158" s="4" t="str">
        <f>IF(Table15678[[#This Row],[Total Amount]]&gt;=1000,"High",(IF(Table15678[[#This Row],[Total Amount]]&gt;=500,"Medium","Low")))</f>
        <v>High</v>
      </c>
      <c r="M158" s="4" t="str" cm="1">
        <f t="array" ref="M15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58" s="4" cm="1">
        <f t="array" ref="N15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158" s="4">
        <f>Table15678[[#This Row],[Total Amount]]-Table15678[[#This Row],[Discount Amount]]</f>
        <v>1800</v>
      </c>
      <c r="P158" s="4" t="str">
        <f>IF(Table15678[[#This Row],[Total Amount]]&gt;=1000,"High","Low")</f>
        <v>High</v>
      </c>
      <c r="Q158" s="4" t="b" cm="1">
        <f t="array" ref="Q158">_xlfn.IFS(AND(Table15678[[#This Row],[Total Amount]]&gt;=1500,"Critical"),AND(Table15678[[#This Row],[Total Amount]]&gt;=1000,"High"),TRUE,"Normal")</f>
        <v>1</v>
      </c>
      <c r="R158" s="4" t="str">
        <f>CONCATENATE(Table15678[[#This Row],[Customer ID]], "-",Table15678[[#This Row],[Age]])</f>
        <v>CUST157-62</v>
      </c>
      <c r="S158" s="4" t="str">
        <f>TEXT(Table15678[[#This Row],[Date]],"mmm")</f>
        <v>Jun</v>
      </c>
      <c r="T158" s="4" t="str">
        <f>TEXT(Table15678[[#This Row],[Date]],"DDD")</f>
        <v>Sat</v>
      </c>
    </row>
    <row r="159" spans="1:20" ht="29" x14ac:dyDescent="0.35">
      <c r="A159" s="4">
        <v>158</v>
      </c>
      <c r="B159" s="5">
        <v>44984</v>
      </c>
      <c r="C159" s="4" t="s">
        <v>171</v>
      </c>
      <c r="D159" s="4" t="s">
        <v>13</v>
      </c>
      <c r="E159" s="4">
        <v>44</v>
      </c>
      <c r="F159" s="4" t="str">
        <f>IF(Table15678[[#This Row],[Age]]&lt;=19,"Teenager",IF(Table15678[[#This Row],[Age]]&lt;=40,"Median","Old"))</f>
        <v>Old</v>
      </c>
      <c r="G159" s="4" t="s">
        <v>16</v>
      </c>
      <c r="H159" s="4">
        <v>2</v>
      </c>
      <c r="I159" s="4">
        <v>300</v>
      </c>
      <c r="J159" s="4">
        <v>600</v>
      </c>
      <c r="K159" s="4" t="str" cm="1">
        <f t="array" ref="K159">_xlfn.IFS(AND(Table15678[[#This Row],[Total Amount]]&gt;=1500),"Critical",AND(Table15678[[#This Row],[Total Amount]]&gt;=1000),"High",TRUE,"Normal")</f>
        <v>Normal</v>
      </c>
      <c r="L159" s="4" t="str">
        <f>IF(Table15678[[#This Row],[Total Amount]]&gt;=1000,"High",(IF(Table15678[[#This Row],[Total Amount]]&gt;=500,"Medium","Low")))</f>
        <v>Medium</v>
      </c>
      <c r="M159" s="4" t="str" cm="1">
        <f t="array" ref="M15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59" s="4" cm="1">
        <f t="array" ref="N15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120</v>
      </c>
      <c r="O159" s="4">
        <f>Table15678[[#This Row],[Total Amount]]-Table15678[[#This Row],[Discount Amount]]</f>
        <v>480</v>
      </c>
      <c r="P159" s="4" t="str">
        <f>IF(Table15678[[#This Row],[Total Amount]]&gt;=1000,"High","Low")</f>
        <v>Low</v>
      </c>
      <c r="Q159" s="4" t="str" cm="1">
        <f t="array" ref="Q159">_xlfn.IFS(AND(Table15678[[#This Row],[Total Amount]]&gt;=1500,"Critical"),AND(Table15678[[#This Row],[Total Amount]]&gt;=1000,"High"),TRUE,"Normal")</f>
        <v>Normal</v>
      </c>
      <c r="R159" s="4" t="str">
        <f>CONCATENATE(Table15678[[#This Row],[Customer ID]], "-",Table15678[[#This Row],[Age]])</f>
        <v>CUST158-44</v>
      </c>
      <c r="S159" s="4" t="str">
        <f>TEXT(Table15678[[#This Row],[Date]],"mmm")</f>
        <v>Feb</v>
      </c>
      <c r="T159" s="4" t="str">
        <f>TEXT(Table15678[[#This Row],[Date]],"DDD")</f>
        <v>Mon</v>
      </c>
    </row>
    <row r="160" spans="1:20" ht="29" x14ac:dyDescent="0.35">
      <c r="A160" s="4">
        <v>159</v>
      </c>
      <c r="B160" s="5">
        <v>45077</v>
      </c>
      <c r="C160" s="4" t="s">
        <v>172</v>
      </c>
      <c r="D160" s="4" t="s">
        <v>10</v>
      </c>
      <c r="E160" s="4">
        <v>26</v>
      </c>
      <c r="F160" s="4" t="str">
        <f>IF(Table15678[[#This Row],[Age]]&lt;=19,"Teenager",IF(Table15678[[#This Row],[Age]]&lt;=40,"Median","Old"))</f>
        <v>Median</v>
      </c>
      <c r="G160" s="4" t="s">
        <v>14</v>
      </c>
      <c r="H160" s="4">
        <v>4</v>
      </c>
      <c r="I160" s="4">
        <v>50</v>
      </c>
      <c r="J160" s="4">
        <v>200</v>
      </c>
      <c r="K160" s="4" t="str" cm="1">
        <f t="array" ref="K160">_xlfn.IFS(AND(Table15678[[#This Row],[Total Amount]]&gt;=1500),"Critical",AND(Table15678[[#This Row],[Total Amount]]&gt;=1000),"High",TRUE,"Normal")</f>
        <v>Normal</v>
      </c>
      <c r="L160" s="4" t="str">
        <f>IF(Table15678[[#This Row],[Total Amount]]&gt;=1000,"High",(IF(Table15678[[#This Row],[Total Amount]]&gt;=500,"Medium","Low")))</f>
        <v>Low</v>
      </c>
      <c r="M160" s="4" t="str" cm="1">
        <f t="array" ref="M16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60" s="4" cm="1">
        <f t="array" ref="N16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160" s="4">
        <f>Table15678[[#This Row],[Total Amount]]-Table15678[[#This Row],[Discount Amount]]</f>
        <v>170</v>
      </c>
      <c r="P160" s="4" t="str">
        <f>IF(Table15678[[#This Row],[Total Amount]]&gt;=1000,"High","Low")</f>
        <v>Low</v>
      </c>
      <c r="Q160" s="4" t="str" cm="1">
        <f t="array" ref="Q160">_xlfn.IFS(AND(Table15678[[#This Row],[Total Amount]]&gt;=1500,"Critical"),AND(Table15678[[#This Row],[Total Amount]]&gt;=1000,"High"),TRUE,"Normal")</f>
        <v>Normal</v>
      </c>
      <c r="R160" s="4" t="str">
        <f>CONCATENATE(Table15678[[#This Row],[Customer ID]], "-",Table15678[[#This Row],[Age]])</f>
        <v>CUST159-26</v>
      </c>
      <c r="S160" s="4" t="str">
        <f>TEXT(Table15678[[#This Row],[Date]],"mmm")</f>
        <v>May</v>
      </c>
      <c r="T160" s="4" t="str">
        <f>TEXT(Table15678[[#This Row],[Date]],"DDD")</f>
        <v>Wed</v>
      </c>
    </row>
    <row r="161" spans="1:20" ht="29" x14ac:dyDescent="0.35">
      <c r="A161" s="4">
        <v>160</v>
      </c>
      <c r="B161" s="5">
        <v>45149</v>
      </c>
      <c r="C161" s="4" t="s">
        <v>173</v>
      </c>
      <c r="D161" s="4" t="s">
        <v>13</v>
      </c>
      <c r="E161" s="4">
        <v>43</v>
      </c>
      <c r="F161" s="4" t="str">
        <f>IF(Table15678[[#This Row],[Age]]&lt;=19,"Teenager",IF(Table15678[[#This Row],[Age]]&lt;=40,"Median","Old"))</f>
        <v>Old</v>
      </c>
      <c r="G161" s="4" t="s">
        <v>14</v>
      </c>
      <c r="H161" s="4">
        <v>2</v>
      </c>
      <c r="I161" s="4">
        <v>50</v>
      </c>
      <c r="J161" s="4">
        <v>100</v>
      </c>
      <c r="K161" s="4" t="str" cm="1">
        <f t="array" ref="K161">_xlfn.IFS(AND(Table15678[[#This Row],[Total Amount]]&gt;=1500),"Critical",AND(Table15678[[#This Row],[Total Amount]]&gt;=1000),"High",TRUE,"Normal")</f>
        <v>Normal</v>
      </c>
      <c r="L161" s="4" t="str">
        <f>IF(Table15678[[#This Row],[Total Amount]]&gt;=1000,"High",(IF(Table15678[[#This Row],[Total Amount]]&gt;=500,"Medium","Low")))</f>
        <v>Low</v>
      </c>
      <c r="M161" s="4" t="str" cm="1">
        <f t="array" ref="M16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61" s="4" cm="1">
        <f t="array" ref="N16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161" s="4">
        <f>Table15678[[#This Row],[Total Amount]]-Table15678[[#This Row],[Discount Amount]]</f>
        <v>80</v>
      </c>
      <c r="P161" s="4" t="str">
        <f>IF(Table15678[[#This Row],[Total Amount]]&gt;=1000,"High","Low")</f>
        <v>Low</v>
      </c>
      <c r="Q161" s="4" t="str" cm="1">
        <f t="array" ref="Q161">_xlfn.IFS(AND(Table15678[[#This Row],[Total Amount]]&gt;=1500,"Critical"),AND(Table15678[[#This Row],[Total Amount]]&gt;=1000,"High"),TRUE,"Normal")</f>
        <v>Normal</v>
      </c>
      <c r="R161" s="4" t="str">
        <f>CONCATENATE(Table15678[[#This Row],[Customer ID]], "-",Table15678[[#This Row],[Age]])</f>
        <v>CUST160-43</v>
      </c>
      <c r="S161" s="4" t="str">
        <f>TEXT(Table15678[[#This Row],[Date]],"mmm")</f>
        <v>Aug</v>
      </c>
      <c r="T161" s="4" t="str">
        <f>TEXT(Table15678[[#This Row],[Date]],"DDD")</f>
        <v>Fri</v>
      </c>
    </row>
    <row r="162" spans="1:20" ht="29" x14ac:dyDescent="0.35">
      <c r="A162" s="4">
        <v>161</v>
      </c>
      <c r="B162" s="5">
        <v>45007</v>
      </c>
      <c r="C162" s="4" t="s">
        <v>174</v>
      </c>
      <c r="D162" s="4" t="s">
        <v>10</v>
      </c>
      <c r="E162" s="4">
        <v>64</v>
      </c>
      <c r="F162" s="4" t="str">
        <f>IF(Table15678[[#This Row],[Age]]&lt;=19,"Teenager",IF(Table15678[[#This Row],[Age]]&lt;=40,"Median","Old"))</f>
        <v>Old</v>
      </c>
      <c r="G162" s="4" t="s">
        <v>11</v>
      </c>
      <c r="H162" s="4">
        <v>2</v>
      </c>
      <c r="I162" s="4">
        <v>500</v>
      </c>
      <c r="J162" s="4">
        <v>1000</v>
      </c>
      <c r="K162" s="4" t="str" cm="1">
        <f t="array" ref="K162">_xlfn.IFS(AND(Table15678[[#This Row],[Total Amount]]&gt;=1500),"Critical",AND(Table15678[[#This Row],[Total Amount]]&gt;=1000),"High",TRUE,"Normal")</f>
        <v>High</v>
      </c>
      <c r="L162" s="4" t="str">
        <f>IF(Table15678[[#This Row],[Total Amount]]&gt;=1000,"High",(IF(Table15678[[#This Row],[Total Amount]]&gt;=500,"Medium","Low")))</f>
        <v>High</v>
      </c>
      <c r="M162" s="4" t="str" cm="1">
        <f t="array" ref="M16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62" s="4" cm="1">
        <f t="array" ref="N16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162" s="4">
        <f>Table15678[[#This Row],[Total Amount]]-Table15678[[#This Row],[Discount Amount]]</f>
        <v>900</v>
      </c>
      <c r="P162" s="4" t="str">
        <f>IF(Table15678[[#This Row],[Total Amount]]&gt;=1000,"High","Low")</f>
        <v>High</v>
      </c>
      <c r="Q162" s="4" t="str" cm="1">
        <f t="array" ref="Q162">_xlfn.IFS(AND(Table15678[[#This Row],[Total Amount]]&gt;=1500,"Critical"),AND(Table15678[[#This Row],[Total Amount]]&gt;=1000,"High"),TRUE,"Normal")</f>
        <v>Normal</v>
      </c>
      <c r="R162" s="4" t="str">
        <f>CONCATENATE(Table15678[[#This Row],[Customer ID]], "-",Table15678[[#This Row],[Age]])</f>
        <v>CUST161-64</v>
      </c>
      <c r="S162" s="4" t="str">
        <f>TEXT(Table15678[[#This Row],[Date]],"mmm")</f>
        <v>Mar</v>
      </c>
      <c r="T162" s="4" t="str">
        <f>TEXT(Table15678[[#This Row],[Date]],"DDD")</f>
        <v>Wed</v>
      </c>
    </row>
    <row r="163" spans="1:20" ht="29" x14ac:dyDescent="0.35">
      <c r="A163" s="4">
        <v>162</v>
      </c>
      <c r="B163" s="5">
        <v>45159</v>
      </c>
      <c r="C163" s="4" t="s">
        <v>175</v>
      </c>
      <c r="D163" s="4" t="s">
        <v>10</v>
      </c>
      <c r="E163" s="4">
        <v>39</v>
      </c>
      <c r="F163" s="4" t="str">
        <f>IF(Table15678[[#This Row],[Age]]&lt;=19,"Teenager",IF(Table15678[[#This Row],[Age]]&lt;=40,"Median","Old"))</f>
        <v>Median</v>
      </c>
      <c r="G163" s="4" t="s">
        <v>14</v>
      </c>
      <c r="H163" s="4">
        <v>2</v>
      </c>
      <c r="I163" s="4">
        <v>30</v>
      </c>
      <c r="J163" s="4">
        <v>60</v>
      </c>
      <c r="K163" s="4" t="str" cm="1">
        <f t="array" ref="K163">_xlfn.IFS(AND(Table15678[[#This Row],[Total Amount]]&gt;=1500),"Critical",AND(Table15678[[#This Row],[Total Amount]]&gt;=1000),"High",TRUE,"Normal")</f>
        <v>Normal</v>
      </c>
      <c r="L163" s="4" t="str">
        <f>IF(Table15678[[#This Row],[Total Amount]]&gt;=1000,"High",(IF(Table15678[[#This Row],[Total Amount]]&gt;=500,"Medium","Low")))</f>
        <v>Low</v>
      </c>
      <c r="M163" s="4" t="str" cm="1">
        <f t="array" ref="M16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63" s="4" cm="1">
        <f t="array" ref="N16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163" s="4">
        <f>Table15678[[#This Row],[Total Amount]]-Table15678[[#This Row],[Discount Amount]]</f>
        <v>54</v>
      </c>
      <c r="P163" s="4" t="str">
        <f>IF(Table15678[[#This Row],[Total Amount]]&gt;=1000,"High","Low")</f>
        <v>Low</v>
      </c>
      <c r="Q163" s="4" t="str" cm="1">
        <f t="array" ref="Q163">_xlfn.IFS(AND(Table15678[[#This Row],[Total Amount]]&gt;=1500,"Critical"),AND(Table15678[[#This Row],[Total Amount]]&gt;=1000,"High"),TRUE,"Normal")</f>
        <v>Normal</v>
      </c>
      <c r="R163" s="4" t="str">
        <f>CONCATENATE(Table15678[[#This Row],[Customer ID]], "-",Table15678[[#This Row],[Age]])</f>
        <v>CUST162-39</v>
      </c>
      <c r="S163" s="4" t="str">
        <f>TEXT(Table15678[[#This Row],[Date]],"mmm")</f>
        <v>Aug</v>
      </c>
      <c r="T163" s="4" t="str">
        <f>TEXT(Table15678[[#This Row],[Date]],"DDD")</f>
        <v>Mon</v>
      </c>
    </row>
    <row r="164" spans="1:20" ht="29" x14ac:dyDescent="0.35">
      <c r="A164" s="4">
        <v>163</v>
      </c>
      <c r="B164" s="5">
        <v>44928</v>
      </c>
      <c r="C164" s="4" t="s">
        <v>176</v>
      </c>
      <c r="D164" s="4" t="s">
        <v>13</v>
      </c>
      <c r="E164" s="4">
        <v>64</v>
      </c>
      <c r="F164" s="4" t="str">
        <f>IF(Table15678[[#This Row],[Age]]&lt;=19,"Teenager",IF(Table15678[[#This Row],[Age]]&lt;=40,"Median","Old"))</f>
        <v>Old</v>
      </c>
      <c r="G164" s="4" t="s">
        <v>14</v>
      </c>
      <c r="H164" s="4">
        <v>3</v>
      </c>
      <c r="I164" s="4">
        <v>50</v>
      </c>
      <c r="J164" s="4">
        <v>150</v>
      </c>
      <c r="K164" s="4" t="str" cm="1">
        <f t="array" ref="K164">_xlfn.IFS(AND(Table15678[[#This Row],[Total Amount]]&gt;=1500),"Critical",AND(Table15678[[#This Row],[Total Amount]]&gt;=1000),"High",TRUE,"Normal")</f>
        <v>Normal</v>
      </c>
      <c r="L164" s="4" t="str">
        <f>IF(Table15678[[#This Row],[Total Amount]]&gt;=1000,"High",(IF(Table15678[[#This Row],[Total Amount]]&gt;=500,"Medium","Low")))</f>
        <v>Low</v>
      </c>
      <c r="M164" s="4" t="str" cm="1">
        <f t="array" ref="M16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64" s="4" cm="1">
        <f t="array" ref="N16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164" s="4">
        <f>Table15678[[#This Row],[Total Amount]]-Table15678[[#This Row],[Discount Amount]]</f>
        <v>120</v>
      </c>
      <c r="P164" s="4" t="str">
        <f>IF(Table15678[[#This Row],[Total Amount]]&gt;=1000,"High","Low")</f>
        <v>Low</v>
      </c>
      <c r="Q164" s="4" t="str" cm="1">
        <f t="array" ref="Q164">_xlfn.IFS(AND(Table15678[[#This Row],[Total Amount]]&gt;=1500,"Critical"),AND(Table15678[[#This Row],[Total Amount]]&gt;=1000,"High"),TRUE,"Normal")</f>
        <v>Normal</v>
      </c>
      <c r="R164" s="4" t="str">
        <f>CONCATENATE(Table15678[[#This Row],[Customer ID]], "-",Table15678[[#This Row],[Age]])</f>
        <v>CUST163-64</v>
      </c>
      <c r="S164" s="4" t="str">
        <f>TEXT(Table15678[[#This Row],[Date]],"mmm")</f>
        <v>Jan</v>
      </c>
      <c r="T164" s="4" t="str">
        <f>TEXT(Table15678[[#This Row],[Date]],"DDD")</f>
        <v>Mon</v>
      </c>
    </row>
    <row r="165" spans="1:20" ht="29" x14ac:dyDescent="0.35">
      <c r="A165" s="4">
        <v>164</v>
      </c>
      <c r="B165" s="5">
        <v>45061</v>
      </c>
      <c r="C165" s="4" t="s">
        <v>177</v>
      </c>
      <c r="D165" s="4" t="s">
        <v>13</v>
      </c>
      <c r="E165" s="4">
        <v>47</v>
      </c>
      <c r="F165" s="4" t="str">
        <f>IF(Table15678[[#This Row],[Age]]&lt;=19,"Teenager",IF(Table15678[[#This Row],[Age]]&lt;=40,"Median","Old"))</f>
        <v>Old</v>
      </c>
      <c r="G165" s="4" t="s">
        <v>11</v>
      </c>
      <c r="H165" s="4">
        <v>3</v>
      </c>
      <c r="I165" s="4">
        <v>500</v>
      </c>
      <c r="J165" s="4">
        <v>1500</v>
      </c>
      <c r="K165" s="4" t="str" cm="1">
        <f t="array" ref="K165">_xlfn.IFS(AND(Table15678[[#This Row],[Total Amount]]&gt;=1500),"Critical",AND(Table15678[[#This Row],[Total Amount]]&gt;=1000),"High",TRUE,"Normal")</f>
        <v>Critical</v>
      </c>
      <c r="L165" s="4" t="str">
        <f>IF(Table15678[[#This Row],[Total Amount]]&gt;=1000,"High",(IF(Table15678[[#This Row],[Total Amount]]&gt;=500,"Medium","Low")))</f>
        <v>High</v>
      </c>
      <c r="M165" s="4" t="str" cm="1">
        <f t="array" ref="M16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65" s="4" cm="1">
        <f t="array" ref="N16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165" s="4">
        <f>Table15678[[#This Row],[Total Amount]]-Table15678[[#This Row],[Discount Amount]]</f>
        <v>1200</v>
      </c>
      <c r="P165" s="4" t="str">
        <f>IF(Table15678[[#This Row],[Total Amount]]&gt;=1000,"High","Low")</f>
        <v>High</v>
      </c>
      <c r="Q165" s="4" t="b" cm="1">
        <f t="array" ref="Q165">_xlfn.IFS(AND(Table15678[[#This Row],[Total Amount]]&gt;=1500,"Critical"),AND(Table15678[[#This Row],[Total Amount]]&gt;=1000,"High"),TRUE,"Normal")</f>
        <v>1</v>
      </c>
      <c r="R165" s="4" t="str">
        <f>CONCATENATE(Table15678[[#This Row],[Customer ID]], "-",Table15678[[#This Row],[Age]])</f>
        <v>CUST164-47</v>
      </c>
      <c r="S165" s="4" t="str">
        <f>TEXT(Table15678[[#This Row],[Date]],"mmm")</f>
        <v>May</v>
      </c>
      <c r="T165" s="4" t="str">
        <f>TEXT(Table15678[[#This Row],[Date]],"DDD")</f>
        <v>Mon</v>
      </c>
    </row>
    <row r="166" spans="1:20" ht="29" x14ac:dyDescent="0.35">
      <c r="A166" s="4">
        <v>165</v>
      </c>
      <c r="B166" s="5">
        <v>45183</v>
      </c>
      <c r="C166" s="4" t="s">
        <v>178</v>
      </c>
      <c r="D166" s="4" t="s">
        <v>13</v>
      </c>
      <c r="E166" s="4">
        <v>60</v>
      </c>
      <c r="F166" s="4" t="str">
        <f>IF(Table15678[[#This Row],[Age]]&lt;=19,"Teenager",IF(Table15678[[#This Row],[Age]]&lt;=40,"Median","Old"))</f>
        <v>Old</v>
      </c>
      <c r="G166" s="4" t="s">
        <v>14</v>
      </c>
      <c r="H166" s="4">
        <v>4</v>
      </c>
      <c r="I166" s="4">
        <v>300</v>
      </c>
      <c r="J166" s="4">
        <v>1200</v>
      </c>
      <c r="K166" s="4" t="str" cm="1">
        <f t="array" ref="K166">_xlfn.IFS(AND(Table15678[[#This Row],[Total Amount]]&gt;=1500),"Critical",AND(Table15678[[#This Row],[Total Amount]]&gt;=1000),"High",TRUE,"Normal")</f>
        <v>High</v>
      </c>
      <c r="L166" s="4" t="str">
        <f>IF(Table15678[[#This Row],[Total Amount]]&gt;=1000,"High",(IF(Table15678[[#This Row],[Total Amount]]&gt;=500,"Medium","Low")))</f>
        <v>High</v>
      </c>
      <c r="M166" s="4" t="str" cm="1">
        <f t="array" ref="M16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66" s="4" cm="1">
        <f t="array" ref="N16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240</v>
      </c>
      <c r="O166" s="4">
        <f>Table15678[[#This Row],[Total Amount]]-Table15678[[#This Row],[Discount Amount]]</f>
        <v>960</v>
      </c>
      <c r="P166" s="4" t="str">
        <f>IF(Table15678[[#This Row],[Total Amount]]&gt;=1000,"High","Low")</f>
        <v>High</v>
      </c>
      <c r="Q166" s="4" t="str" cm="1">
        <f t="array" ref="Q166">_xlfn.IFS(AND(Table15678[[#This Row],[Total Amount]]&gt;=1500,"Critical"),AND(Table15678[[#This Row],[Total Amount]]&gt;=1000,"High"),TRUE,"Normal")</f>
        <v>Normal</v>
      </c>
      <c r="R166" s="4" t="str">
        <f>CONCATENATE(Table15678[[#This Row],[Customer ID]], "-",Table15678[[#This Row],[Age]])</f>
        <v>CUST165-60</v>
      </c>
      <c r="S166" s="4" t="str">
        <f>TEXT(Table15678[[#This Row],[Date]],"mmm")</f>
        <v>Sep</v>
      </c>
      <c r="T166" s="4" t="str">
        <f>TEXT(Table15678[[#This Row],[Date]],"DDD")</f>
        <v>Thu</v>
      </c>
    </row>
    <row r="167" spans="1:20" ht="29" x14ac:dyDescent="0.35">
      <c r="A167" s="4">
        <v>166</v>
      </c>
      <c r="B167" s="5">
        <v>45018</v>
      </c>
      <c r="C167" s="4" t="s">
        <v>179</v>
      </c>
      <c r="D167" s="4" t="s">
        <v>10</v>
      </c>
      <c r="E167" s="4">
        <v>34</v>
      </c>
      <c r="F167" s="4" t="str">
        <f>IF(Table15678[[#This Row],[Age]]&lt;=19,"Teenager",IF(Table15678[[#This Row],[Age]]&lt;=40,"Median","Old"))</f>
        <v>Median</v>
      </c>
      <c r="G167" s="4" t="s">
        <v>14</v>
      </c>
      <c r="H167" s="4">
        <v>4</v>
      </c>
      <c r="I167" s="4">
        <v>500</v>
      </c>
      <c r="J167" s="4">
        <v>2000</v>
      </c>
      <c r="K167" s="4" t="str" cm="1">
        <f t="array" ref="K167">_xlfn.IFS(AND(Table15678[[#This Row],[Total Amount]]&gt;=1500),"Critical",AND(Table15678[[#This Row],[Total Amount]]&gt;=1000),"High",TRUE,"Normal")</f>
        <v>Critical</v>
      </c>
      <c r="L167" s="4" t="str">
        <f>IF(Table15678[[#This Row],[Total Amount]]&gt;=1000,"High",(IF(Table15678[[#This Row],[Total Amount]]&gt;=500,"Medium","Low")))</f>
        <v>High</v>
      </c>
      <c r="M167" s="4" t="str" cm="1">
        <f t="array" ref="M16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67" s="4" cm="1">
        <f t="array" ref="N16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167" s="4">
        <f>Table15678[[#This Row],[Total Amount]]-Table15678[[#This Row],[Discount Amount]]</f>
        <v>1700</v>
      </c>
      <c r="P167" s="4" t="str">
        <f>IF(Table15678[[#This Row],[Total Amount]]&gt;=1000,"High","Low")</f>
        <v>High</v>
      </c>
      <c r="Q167" s="4" t="b" cm="1">
        <f t="array" ref="Q167">_xlfn.IFS(AND(Table15678[[#This Row],[Total Amount]]&gt;=1500,"Critical"),AND(Table15678[[#This Row],[Total Amount]]&gt;=1000,"High"),TRUE,"Normal")</f>
        <v>1</v>
      </c>
      <c r="R167" s="4" t="str">
        <f>CONCATENATE(Table15678[[#This Row],[Customer ID]], "-",Table15678[[#This Row],[Age]])</f>
        <v>CUST166-34</v>
      </c>
      <c r="S167" s="4" t="str">
        <f>TEXT(Table15678[[#This Row],[Date]],"mmm")</f>
        <v>Apr</v>
      </c>
      <c r="T167" s="4" t="str">
        <f>TEXT(Table15678[[#This Row],[Date]],"DDD")</f>
        <v>Sun</v>
      </c>
    </row>
    <row r="168" spans="1:20" ht="29" x14ac:dyDescent="0.35">
      <c r="A168" s="4">
        <v>167</v>
      </c>
      <c r="B168" s="5">
        <v>45186</v>
      </c>
      <c r="C168" s="4" t="s">
        <v>180</v>
      </c>
      <c r="D168" s="4" t="s">
        <v>13</v>
      </c>
      <c r="E168" s="4">
        <v>43</v>
      </c>
      <c r="F168" s="4" t="str">
        <f>IF(Table15678[[#This Row],[Age]]&lt;=19,"Teenager",IF(Table15678[[#This Row],[Age]]&lt;=40,"Median","Old"))</f>
        <v>Old</v>
      </c>
      <c r="G168" s="4" t="s">
        <v>14</v>
      </c>
      <c r="H168" s="4">
        <v>3</v>
      </c>
      <c r="I168" s="4">
        <v>50</v>
      </c>
      <c r="J168" s="4">
        <v>150</v>
      </c>
      <c r="K168" s="4" t="str" cm="1">
        <f t="array" ref="K168">_xlfn.IFS(AND(Table15678[[#This Row],[Total Amount]]&gt;=1500),"Critical",AND(Table15678[[#This Row],[Total Amount]]&gt;=1000),"High",TRUE,"Normal")</f>
        <v>Normal</v>
      </c>
      <c r="L168" s="4" t="str">
        <f>IF(Table15678[[#This Row],[Total Amount]]&gt;=1000,"High",(IF(Table15678[[#This Row],[Total Amount]]&gt;=500,"Medium","Low")))</f>
        <v>Low</v>
      </c>
      <c r="M168" s="4" t="str" cm="1">
        <f t="array" ref="M16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68" s="4" cm="1">
        <f t="array" ref="N16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168" s="4">
        <f>Table15678[[#This Row],[Total Amount]]-Table15678[[#This Row],[Discount Amount]]</f>
        <v>120</v>
      </c>
      <c r="P168" s="4" t="str">
        <f>IF(Table15678[[#This Row],[Total Amount]]&gt;=1000,"High","Low")</f>
        <v>Low</v>
      </c>
      <c r="Q168" s="4" t="str" cm="1">
        <f t="array" ref="Q168">_xlfn.IFS(AND(Table15678[[#This Row],[Total Amount]]&gt;=1500,"Critical"),AND(Table15678[[#This Row],[Total Amount]]&gt;=1000,"High"),TRUE,"Normal")</f>
        <v>Normal</v>
      </c>
      <c r="R168" s="4" t="str">
        <f>CONCATENATE(Table15678[[#This Row],[Customer ID]], "-",Table15678[[#This Row],[Age]])</f>
        <v>CUST167-43</v>
      </c>
      <c r="S168" s="4" t="str">
        <f>TEXT(Table15678[[#This Row],[Date]],"mmm")</f>
        <v>Sep</v>
      </c>
      <c r="T168" s="4" t="str">
        <f>TEXT(Table15678[[#This Row],[Date]],"DDD")</f>
        <v>Sun</v>
      </c>
    </row>
    <row r="169" spans="1:20" ht="29" x14ac:dyDescent="0.35">
      <c r="A169" s="4">
        <v>168</v>
      </c>
      <c r="B169" s="5">
        <v>44981</v>
      </c>
      <c r="C169" s="4" t="s">
        <v>181</v>
      </c>
      <c r="D169" s="4" t="s">
        <v>10</v>
      </c>
      <c r="E169" s="4">
        <v>53</v>
      </c>
      <c r="F169" s="4" t="str">
        <f>IF(Table15678[[#This Row],[Age]]&lt;=19,"Teenager",IF(Table15678[[#This Row],[Age]]&lt;=40,"Median","Old"))</f>
        <v>Old</v>
      </c>
      <c r="G169" s="4" t="s">
        <v>14</v>
      </c>
      <c r="H169" s="4">
        <v>1</v>
      </c>
      <c r="I169" s="4">
        <v>300</v>
      </c>
      <c r="J169" s="4">
        <v>300</v>
      </c>
      <c r="K169" s="4" t="str" cm="1">
        <f t="array" ref="K169">_xlfn.IFS(AND(Table15678[[#This Row],[Total Amount]]&gt;=1500),"Critical",AND(Table15678[[#This Row],[Total Amount]]&gt;=1000),"High",TRUE,"Normal")</f>
        <v>Normal</v>
      </c>
      <c r="L169" s="4" t="str">
        <f>IF(Table15678[[#This Row],[Total Amount]]&gt;=1000,"High",(IF(Table15678[[#This Row],[Total Amount]]&gt;=500,"Medium","Low")))</f>
        <v>Low</v>
      </c>
      <c r="M169" s="4" t="str" cm="1">
        <f t="array" ref="M16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69" s="4" cm="1">
        <f t="array" ref="N16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169" s="4">
        <f>Table15678[[#This Row],[Total Amount]]-Table15678[[#This Row],[Discount Amount]]</f>
        <v>270</v>
      </c>
      <c r="P169" s="4" t="str">
        <f>IF(Table15678[[#This Row],[Total Amount]]&gt;=1000,"High","Low")</f>
        <v>Low</v>
      </c>
      <c r="Q169" s="4" t="str" cm="1">
        <f t="array" ref="Q169">_xlfn.IFS(AND(Table15678[[#This Row],[Total Amount]]&gt;=1500,"Critical"),AND(Table15678[[#This Row],[Total Amount]]&gt;=1000,"High"),TRUE,"Normal")</f>
        <v>Normal</v>
      </c>
      <c r="R169" s="4" t="str">
        <f>CONCATENATE(Table15678[[#This Row],[Customer ID]], "-",Table15678[[#This Row],[Age]])</f>
        <v>CUST168-53</v>
      </c>
      <c r="S169" s="4" t="str">
        <f>TEXT(Table15678[[#This Row],[Date]],"mmm")</f>
        <v>Feb</v>
      </c>
      <c r="T169" s="4" t="str">
        <f>TEXT(Table15678[[#This Row],[Date]],"DDD")</f>
        <v>Fri</v>
      </c>
    </row>
    <row r="170" spans="1:20" ht="29" x14ac:dyDescent="0.35">
      <c r="A170" s="4">
        <v>169</v>
      </c>
      <c r="B170" s="5">
        <v>45247</v>
      </c>
      <c r="C170" s="4" t="s">
        <v>182</v>
      </c>
      <c r="D170" s="4" t="s">
        <v>10</v>
      </c>
      <c r="E170" s="4">
        <v>18</v>
      </c>
      <c r="F170" s="4" t="str">
        <f>IF(Table15678[[#This Row],[Age]]&lt;=19,"Teenager",IF(Table15678[[#This Row],[Age]]&lt;=40,"Median","Old"))</f>
        <v>Teenager</v>
      </c>
      <c r="G170" s="4" t="s">
        <v>11</v>
      </c>
      <c r="H170" s="4">
        <v>3</v>
      </c>
      <c r="I170" s="4">
        <v>500</v>
      </c>
      <c r="J170" s="4">
        <v>1500</v>
      </c>
      <c r="K170" s="4" t="str" cm="1">
        <f t="array" ref="K170">_xlfn.IFS(AND(Table15678[[#This Row],[Total Amount]]&gt;=1500),"Critical",AND(Table15678[[#This Row],[Total Amount]]&gt;=1000),"High",TRUE,"Normal")</f>
        <v>Critical</v>
      </c>
      <c r="L170" s="4" t="str">
        <f>IF(Table15678[[#This Row],[Total Amount]]&gt;=1000,"High",(IF(Table15678[[#This Row],[Total Amount]]&gt;=500,"Medium","Low")))</f>
        <v>High</v>
      </c>
      <c r="M170" s="4" t="str" cm="1">
        <f t="array" ref="M17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170" s="4" cm="1">
        <f t="array" ref="N17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170" s="4">
        <f>Table15678[[#This Row],[Total Amount]]-Table15678[[#This Row],[Discount Amount]]</f>
        <v>1500</v>
      </c>
      <c r="P170" s="4" t="str">
        <f>IF(Table15678[[#This Row],[Total Amount]]&gt;=1000,"High","Low")</f>
        <v>High</v>
      </c>
      <c r="Q170" s="4" t="b" cm="1">
        <f t="array" ref="Q170">_xlfn.IFS(AND(Table15678[[#This Row],[Total Amount]]&gt;=1500,"Critical"),AND(Table15678[[#This Row],[Total Amount]]&gt;=1000,"High"),TRUE,"Normal")</f>
        <v>1</v>
      </c>
      <c r="R170" s="4" t="str">
        <f>CONCATENATE(Table15678[[#This Row],[Customer ID]], "-",Table15678[[#This Row],[Age]])</f>
        <v>CUST169-18</v>
      </c>
      <c r="S170" s="4" t="str">
        <f>TEXT(Table15678[[#This Row],[Date]],"mmm")</f>
        <v>Nov</v>
      </c>
      <c r="T170" s="4" t="str">
        <f>TEXT(Table15678[[#This Row],[Date]],"DDD")</f>
        <v>Fri</v>
      </c>
    </row>
    <row r="171" spans="1:20" ht="29" x14ac:dyDescent="0.35">
      <c r="A171" s="4">
        <v>170</v>
      </c>
      <c r="B171" s="5">
        <v>45079</v>
      </c>
      <c r="C171" s="4" t="s">
        <v>183</v>
      </c>
      <c r="D171" s="4" t="s">
        <v>13</v>
      </c>
      <c r="E171" s="4">
        <v>25</v>
      </c>
      <c r="F171" s="4" t="str">
        <f>IF(Table15678[[#This Row],[Age]]&lt;=19,"Teenager",IF(Table15678[[#This Row],[Age]]&lt;=40,"Median","Old"))</f>
        <v>Median</v>
      </c>
      <c r="G171" s="4" t="s">
        <v>14</v>
      </c>
      <c r="H171" s="4">
        <v>2</v>
      </c>
      <c r="I171" s="4">
        <v>25</v>
      </c>
      <c r="J171" s="4">
        <v>50</v>
      </c>
      <c r="K171" s="4" t="str" cm="1">
        <f t="array" ref="K171">_xlfn.IFS(AND(Table15678[[#This Row],[Total Amount]]&gt;=1500),"Critical",AND(Table15678[[#This Row],[Total Amount]]&gt;=1000),"High",TRUE,"Normal")</f>
        <v>Normal</v>
      </c>
      <c r="L171" s="4" t="str">
        <f>IF(Table15678[[#This Row],[Total Amount]]&gt;=1000,"High",(IF(Table15678[[#This Row],[Total Amount]]&gt;=500,"Medium","Low")))</f>
        <v>Low</v>
      </c>
      <c r="M171" s="4" t="str" cm="1">
        <f t="array" ref="M17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71" s="4" cm="1">
        <f t="array" ref="N17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171" s="4">
        <f>Table15678[[#This Row],[Total Amount]]-Table15678[[#This Row],[Discount Amount]]</f>
        <v>42.5</v>
      </c>
      <c r="P171" s="4" t="str">
        <f>IF(Table15678[[#This Row],[Total Amount]]&gt;=1000,"High","Low")</f>
        <v>Low</v>
      </c>
      <c r="Q171" s="4" t="str" cm="1">
        <f t="array" ref="Q171">_xlfn.IFS(AND(Table15678[[#This Row],[Total Amount]]&gt;=1500,"Critical"),AND(Table15678[[#This Row],[Total Amount]]&gt;=1000,"High"),TRUE,"Normal")</f>
        <v>Normal</v>
      </c>
      <c r="R171" s="4" t="str">
        <f>CONCATENATE(Table15678[[#This Row],[Customer ID]], "-",Table15678[[#This Row],[Age]])</f>
        <v>CUST170-25</v>
      </c>
      <c r="S171" s="4" t="str">
        <f>TEXT(Table15678[[#This Row],[Date]],"mmm")</f>
        <v>Jun</v>
      </c>
      <c r="T171" s="4" t="str">
        <f>TEXT(Table15678[[#This Row],[Date]],"DDD")</f>
        <v>Fri</v>
      </c>
    </row>
    <row r="172" spans="1:20" ht="29" x14ac:dyDescent="0.35">
      <c r="A172" s="4">
        <v>171</v>
      </c>
      <c r="B172" s="5">
        <v>45254</v>
      </c>
      <c r="C172" s="4" t="s">
        <v>184</v>
      </c>
      <c r="D172" s="4" t="s">
        <v>13</v>
      </c>
      <c r="E172" s="4">
        <v>52</v>
      </c>
      <c r="F172" s="4" t="str">
        <f>IF(Table15678[[#This Row],[Age]]&lt;=19,"Teenager",IF(Table15678[[#This Row],[Age]]&lt;=40,"Median","Old"))</f>
        <v>Old</v>
      </c>
      <c r="G172" s="4" t="s">
        <v>14</v>
      </c>
      <c r="H172" s="4">
        <v>3</v>
      </c>
      <c r="I172" s="4">
        <v>300</v>
      </c>
      <c r="J172" s="4">
        <v>900</v>
      </c>
      <c r="K172" s="4" t="str" cm="1">
        <f t="array" ref="K172">_xlfn.IFS(AND(Table15678[[#This Row],[Total Amount]]&gt;=1500),"Critical",AND(Table15678[[#This Row],[Total Amount]]&gt;=1000),"High",TRUE,"Normal")</f>
        <v>Normal</v>
      </c>
      <c r="L172" s="4" t="str">
        <f>IF(Table15678[[#This Row],[Total Amount]]&gt;=1000,"High",(IF(Table15678[[#This Row],[Total Amount]]&gt;=500,"Medium","Low")))</f>
        <v>Medium</v>
      </c>
      <c r="M172" s="4" t="str" cm="1">
        <f t="array" ref="M17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72" s="4" cm="1">
        <f t="array" ref="N17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172" s="4">
        <f>Table15678[[#This Row],[Total Amount]]-Table15678[[#This Row],[Discount Amount]]</f>
        <v>720</v>
      </c>
      <c r="P172" s="4" t="str">
        <f>IF(Table15678[[#This Row],[Total Amount]]&gt;=1000,"High","Low")</f>
        <v>Low</v>
      </c>
      <c r="Q172" s="4" t="str" cm="1">
        <f t="array" ref="Q172">_xlfn.IFS(AND(Table15678[[#This Row],[Total Amount]]&gt;=1500,"Critical"),AND(Table15678[[#This Row],[Total Amount]]&gt;=1000,"High"),TRUE,"Normal")</f>
        <v>Normal</v>
      </c>
      <c r="R172" s="4" t="str">
        <f>CONCATENATE(Table15678[[#This Row],[Customer ID]], "-",Table15678[[#This Row],[Age]])</f>
        <v>CUST171-52</v>
      </c>
      <c r="S172" s="4" t="str">
        <f>TEXT(Table15678[[#This Row],[Date]],"mmm")</f>
        <v>Nov</v>
      </c>
      <c r="T172" s="4" t="str">
        <f>TEXT(Table15678[[#This Row],[Date]],"DDD")</f>
        <v>Fri</v>
      </c>
    </row>
    <row r="173" spans="1:20" ht="29" x14ac:dyDescent="0.35">
      <c r="A173" s="4">
        <v>172</v>
      </c>
      <c r="B173" s="5">
        <v>45186</v>
      </c>
      <c r="C173" s="4" t="s">
        <v>185</v>
      </c>
      <c r="D173" s="4" t="s">
        <v>10</v>
      </c>
      <c r="E173" s="4">
        <v>32</v>
      </c>
      <c r="F173" s="4" t="str">
        <f>IF(Table15678[[#This Row],[Age]]&lt;=19,"Teenager",IF(Table15678[[#This Row],[Age]]&lt;=40,"Median","Old"))</f>
        <v>Median</v>
      </c>
      <c r="G173" s="4" t="s">
        <v>11</v>
      </c>
      <c r="H173" s="4">
        <v>2</v>
      </c>
      <c r="I173" s="4">
        <v>25</v>
      </c>
      <c r="J173" s="4">
        <v>50</v>
      </c>
      <c r="K173" s="4" t="str" cm="1">
        <f t="array" ref="K173">_xlfn.IFS(AND(Table15678[[#This Row],[Total Amount]]&gt;=1500),"Critical",AND(Table15678[[#This Row],[Total Amount]]&gt;=1000),"High",TRUE,"Normal")</f>
        <v>Normal</v>
      </c>
      <c r="L173" s="4" t="str">
        <f>IF(Table15678[[#This Row],[Total Amount]]&gt;=1000,"High",(IF(Table15678[[#This Row],[Total Amount]]&gt;=500,"Medium","Low")))</f>
        <v>Low</v>
      </c>
      <c r="M173" s="4" t="str" cm="1">
        <f t="array" ref="M17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73" s="4" cm="1">
        <f t="array" ref="N17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173" s="4">
        <f>Table15678[[#This Row],[Total Amount]]-Table15678[[#This Row],[Discount Amount]]</f>
        <v>42.5</v>
      </c>
      <c r="P173" s="4" t="str">
        <f>IF(Table15678[[#This Row],[Total Amount]]&gt;=1000,"High","Low")</f>
        <v>Low</v>
      </c>
      <c r="Q173" s="4" t="str" cm="1">
        <f t="array" ref="Q173">_xlfn.IFS(AND(Table15678[[#This Row],[Total Amount]]&gt;=1500,"Critical"),AND(Table15678[[#This Row],[Total Amount]]&gt;=1000,"High"),TRUE,"Normal")</f>
        <v>Normal</v>
      </c>
      <c r="R173" s="4" t="str">
        <f>CONCATENATE(Table15678[[#This Row],[Customer ID]], "-",Table15678[[#This Row],[Age]])</f>
        <v>CUST172-32</v>
      </c>
      <c r="S173" s="4" t="str">
        <f>TEXT(Table15678[[#This Row],[Date]],"mmm")</f>
        <v>Sep</v>
      </c>
      <c r="T173" s="4" t="str">
        <f>TEXT(Table15678[[#This Row],[Date]],"DDD")</f>
        <v>Sun</v>
      </c>
    </row>
    <row r="174" spans="1:20" ht="29" x14ac:dyDescent="0.35">
      <c r="A174" s="4">
        <v>173</v>
      </c>
      <c r="B174" s="5">
        <v>45238</v>
      </c>
      <c r="C174" s="4" t="s">
        <v>186</v>
      </c>
      <c r="D174" s="4" t="s">
        <v>10</v>
      </c>
      <c r="E174" s="4">
        <v>64</v>
      </c>
      <c r="F174" s="4" t="str">
        <f>IF(Table15678[[#This Row],[Age]]&lt;=19,"Teenager",IF(Table15678[[#This Row],[Age]]&lt;=40,"Median","Old"))</f>
        <v>Old</v>
      </c>
      <c r="G174" s="4" t="s">
        <v>16</v>
      </c>
      <c r="H174" s="4">
        <v>4</v>
      </c>
      <c r="I174" s="4">
        <v>30</v>
      </c>
      <c r="J174" s="4">
        <v>120</v>
      </c>
      <c r="K174" s="4" t="str" cm="1">
        <f t="array" ref="K174">_xlfn.IFS(AND(Table15678[[#This Row],[Total Amount]]&gt;=1500),"Critical",AND(Table15678[[#This Row],[Total Amount]]&gt;=1000),"High",TRUE,"Normal")</f>
        <v>Normal</v>
      </c>
      <c r="L174" s="4" t="str">
        <f>IF(Table15678[[#This Row],[Total Amount]]&gt;=1000,"High",(IF(Table15678[[#This Row],[Total Amount]]&gt;=500,"Medium","Low")))</f>
        <v>Low</v>
      </c>
      <c r="M174" s="4" t="str" cm="1">
        <f t="array" ref="M17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74" s="4" cm="1">
        <f t="array" ref="N17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174" s="4">
        <f>Table15678[[#This Row],[Total Amount]]-Table15678[[#This Row],[Discount Amount]]</f>
        <v>108</v>
      </c>
      <c r="P174" s="4" t="str">
        <f>IF(Table15678[[#This Row],[Total Amount]]&gt;=1000,"High","Low")</f>
        <v>Low</v>
      </c>
      <c r="Q174" s="4" t="str" cm="1">
        <f t="array" ref="Q174">_xlfn.IFS(AND(Table15678[[#This Row],[Total Amount]]&gt;=1500,"Critical"),AND(Table15678[[#This Row],[Total Amount]]&gt;=1000,"High"),TRUE,"Normal")</f>
        <v>Normal</v>
      </c>
      <c r="R174" s="4" t="str">
        <f>CONCATENATE(Table15678[[#This Row],[Customer ID]], "-",Table15678[[#This Row],[Age]])</f>
        <v>CUST173-64</v>
      </c>
      <c r="S174" s="4" t="str">
        <f>TEXT(Table15678[[#This Row],[Date]],"mmm")</f>
        <v>Nov</v>
      </c>
      <c r="T174" s="4" t="str">
        <f>TEXT(Table15678[[#This Row],[Date]],"DDD")</f>
        <v>Wed</v>
      </c>
    </row>
    <row r="175" spans="1:20" ht="29" x14ac:dyDescent="0.35">
      <c r="A175" s="4">
        <v>174</v>
      </c>
      <c r="B175" s="5">
        <v>45028</v>
      </c>
      <c r="C175" s="4" t="s">
        <v>187</v>
      </c>
      <c r="D175" s="4" t="s">
        <v>13</v>
      </c>
      <c r="E175" s="4">
        <v>39</v>
      </c>
      <c r="F175" s="4" t="str">
        <f>IF(Table15678[[#This Row],[Age]]&lt;=19,"Teenager",IF(Table15678[[#This Row],[Age]]&lt;=40,"Median","Old"))</f>
        <v>Median</v>
      </c>
      <c r="G175" s="4" t="s">
        <v>11</v>
      </c>
      <c r="H175" s="4">
        <v>1</v>
      </c>
      <c r="I175" s="4">
        <v>300</v>
      </c>
      <c r="J175" s="4">
        <v>300</v>
      </c>
      <c r="K175" s="4" t="str" cm="1">
        <f t="array" ref="K175">_xlfn.IFS(AND(Table15678[[#This Row],[Total Amount]]&gt;=1500),"Critical",AND(Table15678[[#This Row],[Total Amount]]&gt;=1000),"High",TRUE,"Normal")</f>
        <v>Normal</v>
      </c>
      <c r="L175" s="4" t="str">
        <f>IF(Table15678[[#This Row],[Total Amount]]&gt;=1000,"High",(IF(Table15678[[#This Row],[Total Amount]]&gt;=500,"Medium","Low")))</f>
        <v>Low</v>
      </c>
      <c r="M175" s="4" t="str" cm="1">
        <f t="array" ref="M17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75" s="4" cm="1">
        <f t="array" ref="N17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175" s="4">
        <f>Table15678[[#This Row],[Total Amount]]-Table15678[[#This Row],[Discount Amount]]</f>
        <v>240</v>
      </c>
      <c r="P175" s="4" t="str">
        <f>IF(Table15678[[#This Row],[Total Amount]]&gt;=1000,"High","Low")</f>
        <v>Low</v>
      </c>
      <c r="Q175" s="4" t="str" cm="1">
        <f t="array" ref="Q175">_xlfn.IFS(AND(Table15678[[#This Row],[Total Amount]]&gt;=1500,"Critical"),AND(Table15678[[#This Row],[Total Amount]]&gt;=1000,"High"),TRUE,"Normal")</f>
        <v>Normal</v>
      </c>
      <c r="R175" s="4" t="str">
        <f>CONCATENATE(Table15678[[#This Row],[Customer ID]], "-",Table15678[[#This Row],[Age]])</f>
        <v>CUST174-39</v>
      </c>
      <c r="S175" s="4" t="str">
        <f>TEXT(Table15678[[#This Row],[Date]],"mmm")</f>
        <v>Apr</v>
      </c>
      <c r="T175" s="4" t="str">
        <f>TEXT(Table15678[[#This Row],[Date]],"DDD")</f>
        <v>Wed</v>
      </c>
    </row>
    <row r="176" spans="1:20" ht="29" x14ac:dyDescent="0.35">
      <c r="A176" s="4">
        <v>175</v>
      </c>
      <c r="B176" s="5">
        <v>45005</v>
      </c>
      <c r="C176" s="4" t="s">
        <v>188</v>
      </c>
      <c r="D176" s="4" t="s">
        <v>13</v>
      </c>
      <c r="E176" s="4">
        <v>31</v>
      </c>
      <c r="F176" s="4" t="str">
        <f>IF(Table15678[[#This Row],[Age]]&lt;=19,"Teenager",IF(Table15678[[#This Row],[Age]]&lt;=40,"Median","Old"))</f>
        <v>Median</v>
      </c>
      <c r="G176" s="4" t="s">
        <v>16</v>
      </c>
      <c r="H176" s="4">
        <v>4</v>
      </c>
      <c r="I176" s="4">
        <v>25</v>
      </c>
      <c r="J176" s="4">
        <v>100</v>
      </c>
      <c r="K176" s="4" t="str" cm="1">
        <f t="array" ref="K176">_xlfn.IFS(AND(Table15678[[#This Row],[Total Amount]]&gt;=1500),"Critical",AND(Table15678[[#This Row],[Total Amount]]&gt;=1000),"High",TRUE,"Normal")</f>
        <v>Normal</v>
      </c>
      <c r="L176" s="4" t="str">
        <f>IF(Table15678[[#This Row],[Total Amount]]&gt;=1000,"High",(IF(Table15678[[#This Row],[Total Amount]]&gt;=500,"Medium","Low")))</f>
        <v>Low</v>
      </c>
      <c r="M176" s="4" t="str" cm="1">
        <f t="array" ref="M17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76" s="4" cm="1">
        <f t="array" ref="N17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176" s="4">
        <f>Table15678[[#This Row],[Total Amount]]-Table15678[[#This Row],[Discount Amount]]</f>
        <v>85</v>
      </c>
      <c r="P176" s="4" t="str">
        <f>IF(Table15678[[#This Row],[Total Amount]]&gt;=1000,"High","Low")</f>
        <v>Low</v>
      </c>
      <c r="Q176" s="4" t="str" cm="1">
        <f t="array" ref="Q176">_xlfn.IFS(AND(Table15678[[#This Row],[Total Amount]]&gt;=1500,"Critical"),AND(Table15678[[#This Row],[Total Amount]]&gt;=1000,"High"),TRUE,"Normal")</f>
        <v>Normal</v>
      </c>
      <c r="R176" s="4" t="str">
        <f>CONCATENATE(Table15678[[#This Row],[Customer ID]], "-",Table15678[[#This Row],[Age]])</f>
        <v>CUST175-31</v>
      </c>
      <c r="S176" s="4" t="str">
        <f>TEXT(Table15678[[#This Row],[Date]],"mmm")</f>
        <v>Mar</v>
      </c>
      <c r="T176" s="4" t="str">
        <f>TEXT(Table15678[[#This Row],[Date]],"DDD")</f>
        <v>Mon</v>
      </c>
    </row>
    <row r="177" spans="1:20" ht="29" x14ac:dyDescent="0.35">
      <c r="A177" s="4">
        <v>176</v>
      </c>
      <c r="B177" s="5">
        <v>45118</v>
      </c>
      <c r="C177" s="4" t="s">
        <v>189</v>
      </c>
      <c r="D177" s="4" t="s">
        <v>13</v>
      </c>
      <c r="E177" s="4">
        <v>43</v>
      </c>
      <c r="F177" s="4" t="str">
        <f>IF(Table15678[[#This Row],[Age]]&lt;=19,"Teenager",IF(Table15678[[#This Row],[Age]]&lt;=40,"Median","Old"))</f>
        <v>Old</v>
      </c>
      <c r="G177" s="4" t="s">
        <v>11</v>
      </c>
      <c r="H177" s="4">
        <v>2</v>
      </c>
      <c r="I177" s="4">
        <v>50</v>
      </c>
      <c r="J177" s="4">
        <v>100</v>
      </c>
      <c r="K177" s="4" t="str" cm="1">
        <f t="array" ref="K177">_xlfn.IFS(AND(Table15678[[#This Row],[Total Amount]]&gt;=1500),"Critical",AND(Table15678[[#This Row],[Total Amount]]&gt;=1000),"High",TRUE,"Normal")</f>
        <v>Normal</v>
      </c>
      <c r="L177" s="4" t="str">
        <f>IF(Table15678[[#This Row],[Total Amount]]&gt;=1000,"High",(IF(Table15678[[#This Row],[Total Amount]]&gt;=500,"Medium","Low")))</f>
        <v>Low</v>
      </c>
      <c r="M177" s="4" t="str" cm="1">
        <f t="array" ref="M17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77" s="4" cm="1">
        <f t="array" ref="N17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177" s="4">
        <f>Table15678[[#This Row],[Total Amount]]-Table15678[[#This Row],[Discount Amount]]</f>
        <v>80</v>
      </c>
      <c r="P177" s="4" t="str">
        <f>IF(Table15678[[#This Row],[Total Amount]]&gt;=1000,"High","Low")</f>
        <v>Low</v>
      </c>
      <c r="Q177" s="4" t="str" cm="1">
        <f t="array" ref="Q177">_xlfn.IFS(AND(Table15678[[#This Row],[Total Amount]]&gt;=1500,"Critical"),AND(Table15678[[#This Row],[Total Amount]]&gt;=1000,"High"),TRUE,"Normal")</f>
        <v>Normal</v>
      </c>
      <c r="R177" s="4" t="str">
        <f>CONCATENATE(Table15678[[#This Row],[Customer ID]], "-",Table15678[[#This Row],[Age]])</f>
        <v>CUST176-43</v>
      </c>
      <c r="S177" s="4" t="str">
        <f>TEXT(Table15678[[#This Row],[Date]],"mmm")</f>
        <v>Jul</v>
      </c>
      <c r="T177" s="4" t="str">
        <f>TEXT(Table15678[[#This Row],[Date]],"DDD")</f>
        <v>Tue</v>
      </c>
    </row>
    <row r="178" spans="1:20" ht="29" x14ac:dyDescent="0.35">
      <c r="A178" s="4">
        <v>177</v>
      </c>
      <c r="B178" s="5">
        <v>45009</v>
      </c>
      <c r="C178" s="4" t="s">
        <v>190</v>
      </c>
      <c r="D178" s="4" t="s">
        <v>10</v>
      </c>
      <c r="E178" s="4">
        <v>45</v>
      </c>
      <c r="F178" s="4" t="str">
        <f>IF(Table15678[[#This Row],[Age]]&lt;=19,"Teenager",IF(Table15678[[#This Row],[Age]]&lt;=40,"Median","Old"))</f>
        <v>Old</v>
      </c>
      <c r="G178" s="4" t="s">
        <v>11</v>
      </c>
      <c r="H178" s="4">
        <v>2</v>
      </c>
      <c r="I178" s="4">
        <v>50</v>
      </c>
      <c r="J178" s="4">
        <v>100</v>
      </c>
      <c r="K178" s="4" t="str" cm="1">
        <f t="array" ref="K178">_xlfn.IFS(AND(Table15678[[#This Row],[Total Amount]]&gt;=1500),"Critical",AND(Table15678[[#This Row],[Total Amount]]&gt;=1000),"High",TRUE,"Normal")</f>
        <v>Normal</v>
      </c>
      <c r="L178" s="4" t="str">
        <f>IF(Table15678[[#This Row],[Total Amount]]&gt;=1000,"High",(IF(Table15678[[#This Row],[Total Amount]]&gt;=500,"Medium","Low")))</f>
        <v>Low</v>
      </c>
      <c r="M178" s="4" t="str" cm="1">
        <f t="array" ref="M17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78" s="4" cm="1">
        <f t="array" ref="N17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178" s="4">
        <f>Table15678[[#This Row],[Total Amount]]-Table15678[[#This Row],[Discount Amount]]</f>
        <v>90</v>
      </c>
      <c r="P178" s="4" t="str">
        <f>IF(Table15678[[#This Row],[Total Amount]]&gt;=1000,"High","Low")</f>
        <v>Low</v>
      </c>
      <c r="Q178" s="4" t="str" cm="1">
        <f t="array" ref="Q178">_xlfn.IFS(AND(Table15678[[#This Row],[Total Amount]]&gt;=1500,"Critical"),AND(Table15678[[#This Row],[Total Amount]]&gt;=1000,"High"),TRUE,"Normal")</f>
        <v>Normal</v>
      </c>
      <c r="R178" s="4" t="str">
        <f>CONCATENATE(Table15678[[#This Row],[Customer ID]], "-",Table15678[[#This Row],[Age]])</f>
        <v>CUST177-45</v>
      </c>
      <c r="S178" s="4" t="str">
        <f>TEXT(Table15678[[#This Row],[Date]],"mmm")</f>
        <v>Mar</v>
      </c>
      <c r="T178" s="4" t="str">
        <f>TEXT(Table15678[[#This Row],[Date]],"DDD")</f>
        <v>Fri</v>
      </c>
    </row>
    <row r="179" spans="1:20" ht="29" x14ac:dyDescent="0.35">
      <c r="A179" s="4">
        <v>178</v>
      </c>
      <c r="B179" s="5">
        <v>45203</v>
      </c>
      <c r="C179" s="4" t="s">
        <v>191</v>
      </c>
      <c r="D179" s="4" t="s">
        <v>10</v>
      </c>
      <c r="E179" s="4">
        <v>40</v>
      </c>
      <c r="F179" s="4" t="str">
        <f>IF(Table15678[[#This Row],[Age]]&lt;=19,"Teenager",IF(Table15678[[#This Row],[Age]]&lt;=40,"Median","Old"))</f>
        <v>Median</v>
      </c>
      <c r="G179" s="4" t="s">
        <v>14</v>
      </c>
      <c r="H179" s="4">
        <v>2</v>
      </c>
      <c r="I179" s="4">
        <v>30</v>
      </c>
      <c r="J179" s="4">
        <v>60</v>
      </c>
      <c r="K179" s="4" t="str" cm="1">
        <f t="array" ref="K179">_xlfn.IFS(AND(Table15678[[#This Row],[Total Amount]]&gt;=1500),"Critical",AND(Table15678[[#This Row],[Total Amount]]&gt;=1000),"High",TRUE,"Normal")</f>
        <v>Normal</v>
      </c>
      <c r="L179" s="4" t="str">
        <f>IF(Table15678[[#This Row],[Total Amount]]&gt;=1000,"High",(IF(Table15678[[#This Row],[Total Amount]]&gt;=500,"Medium","Low")))</f>
        <v>Low</v>
      </c>
      <c r="M179" s="4" t="str" cm="1">
        <f t="array" ref="M17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79" s="4" cm="1">
        <f t="array" ref="N17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179" s="4">
        <f>Table15678[[#This Row],[Total Amount]]-Table15678[[#This Row],[Discount Amount]]</f>
        <v>54</v>
      </c>
      <c r="P179" s="4" t="str">
        <f>IF(Table15678[[#This Row],[Total Amount]]&gt;=1000,"High","Low")</f>
        <v>Low</v>
      </c>
      <c r="Q179" s="4" t="str" cm="1">
        <f t="array" ref="Q179">_xlfn.IFS(AND(Table15678[[#This Row],[Total Amount]]&gt;=1500,"Critical"),AND(Table15678[[#This Row],[Total Amount]]&gt;=1000,"High"),TRUE,"Normal")</f>
        <v>Normal</v>
      </c>
      <c r="R179" s="4" t="str">
        <f>CONCATENATE(Table15678[[#This Row],[Customer ID]], "-",Table15678[[#This Row],[Age]])</f>
        <v>CUST178-40</v>
      </c>
      <c r="S179" s="4" t="str">
        <f>TEXT(Table15678[[#This Row],[Date]],"mmm")</f>
        <v>Oct</v>
      </c>
      <c r="T179" s="4" t="str">
        <f>TEXT(Table15678[[#This Row],[Date]],"DDD")</f>
        <v>Wed</v>
      </c>
    </row>
    <row r="180" spans="1:20" ht="29" x14ac:dyDescent="0.35">
      <c r="A180" s="4">
        <v>179</v>
      </c>
      <c r="B180" s="5">
        <v>45198</v>
      </c>
      <c r="C180" s="4" t="s">
        <v>192</v>
      </c>
      <c r="D180" s="4" t="s">
        <v>10</v>
      </c>
      <c r="E180" s="4">
        <v>31</v>
      </c>
      <c r="F180" s="4" t="str">
        <f>IF(Table15678[[#This Row],[Age]]&lt;=19,"Teenager",IF(Table15678[[#This Row],[Age]]&lt;=40,"Median","Old"))</f>
        <v>Median</v>
      </c>
      <c r="G180" s="4" t="s">
        <v>16</v>
      </c>
      <c r="H180" s="4">
        <v>1</v>
      </c>
      <c r="I180" s="4">
        <v>300</v>
      </c>
      <c r="J180" s="4">
        <v>300</v>
      </c>
      <c r="K180" s="4" t="str" cm="1">
        <f t="array" ref="K180">_xlfn.IFS(AND(Table15678[[#This Row],[Total Amount]]&gt;=1500),"Critical",AND(Table15678[[#This Row],[Total Amount]]&gt;=1000),"High",TRUE,"Normal")</f>
        <v>Normal</v>
      </c>
      <c r="L180" s="4" t="str">
        <f>IF(Table15678[[#This Row],[Total Amount]]&gt;=1000,"High",(IF(Table15678[[#This Row],[Total Amount]]&gt;=500,"Medium","Low")))</f>
        <v>Low</v>
      </c>
      <c r="M180" s="4" t="str" cm="1">
        <f t="array" ref="M18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80" s="4" cm="1">
        <f t="array" ref="N18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45</v>
      </c>
      <c r="O180" s="4">
        <f>Table15678[[#This Row],[Total Amount]]-Table15678[[#This Row],[Discount Amount]]</f>
        <v>255</v>
      </c>
      <c r="P180" s="4" t="str">
        <f>IF(Table15678[[#This Row],[Total Amount]]&gt;=1000,"High","Low")</f>
        <v>Low</v>
      </c>
      <c r="Q180" s="4" t="str" cm="1">
        <f t="array" ref="Q180">_xlfn.IFS(AND(Table15678[[#This Row],[Total Amount]]&gt;=1500,"Critical"),AND(Table15678[[#This Row],[Total Amount]]&gt;=1000,"High"),TRUE,"Normal")</f>
        <v>Normal</v>
      </c>
      <c r="R180" s="4" t="str">
        <f>CONCATENATE(Table15678[[#This Row],[Customer ID]], "-",Table15678[[#This Row],[Age]])</f>
        <v>CUST179-31</v>
      </c>
      <c r="S180" s="4" t="str">
        <f>TEXT(Table15678[[#This Row],[Date]],"mmm")</f>
        <v>Sep</v>
      </c>
      <c r="T180" s="4" t="str">
        <f>TEXT(Table15678[[#This Row],[Date]],"DDD")</f>
        <v>Fri</v>
      </c>
    </row>
    <row r="181" spans="1:20" ht="29" x14ac:dyDescent="0.35">
      <c r="A181" s="4">
        <v>180</v>
      </c>
      <c r="B181" s="5">
        <v>44927</v>
      </c>
      <c r="C181" s="4" t="s">
        <v>193</v>
      </c>
      <c r="D181" s="4" t="s">
        <v>10</v>
      </c>
      <c r="E181" s="4">
        <v>41</v>
      </c>
      <c r="F181" s="4" t="str">
        <f>IF(Table15678[[#This Row],[Age]]&lt;=19,"Teenager",IF(Table15678[[#This Row],[Age]]&lt;=40,"Median","Old"))</f>
        <v>Old</v>
      </c>
      <c r="G181" s="4" t="s">
        <v>14</v>
      </c>
      <c r="H181" s="4">
        <v>3</v>
      </c>
      <c r="I181" s="4">
        <v>300</v>
      </c>
      <c r="J181" s="4">
        <v>900</v>
      </c>
      <c r="K181" s="4" t="str" cm="1">
        <f t="array" ref="K181">_xlfn.IFS(AND(Table15678[[#This Row],[Total Amount]]&gt;=1500),"Critical",AND(Table15678[[#This Row],[Total Amount]]&gt;=1000),"High",TRUE,"Normal")</f>
        <v>Normal</v>
      </c>
      <c r="L181" s="4" t="str">
        <f>IF(Table15678[[#This Row],[Total Amount]]&gt;=1000,"High",(IF(Table15678[[#This Row],[Total Amount]]&gt;=500,"Medium","Low")))</f>
        <v>Medium</v>
      </c>
      <c r="M181" s="4" t="str" cm="1">
        <f t="array" ref="M18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81" s="4" cm="1">
        <f t="array" ref="N18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181" s="4">
        <f>Table15678[[#This Row],[Total Amount]]-Table15678[[#This Row],[Discount Amount]]</f>
        <v>810</v>
      </c>
      <c r="P181" s="4" t="str">
        <f>IF(Table15678[[#This Row],[Total Amount]]&gt;=1000,"High","Low")</f>
        <v>Low</v>
      </c>
      <c r="Q181" s="4" t="str" cm="1">
        <f t="array" ref="Q181">_xlfn.IFS(AND(Table15678[[#This Row],[Total Amount]]&gt;=1500,"Critical"),AND(Table15678[[#This Row],[Total Amount]]&gt;=1000,"High"),TRUE,"Normal")</f>
        <v>Normal</v>
      </c>
      <c r="R181" s="4" t="str">
        <f>CONCATENATE(Table15678[[#This Row],[Customer ID]], "-",Table15678[[#This Row],[Age]])</f>
        <v>CUST180-41</v>
      </c>
      <c r="S181" s="4" t="str">
        <f>TEXT(Table15678[[#This Row],[Date]],"mmm")</f>
        <v>Jan</v>
      </c>
      <c r="T181" s="4" t="str">
        <f>TEXT(Table15678[[#This Row],[Date]],"DDD")</f>
        <v>Sun</v>
      </c>
    </row>
    <row r="182" spans="1:20" ht="29" x14ac:dyDescent="0.35">
      <c r="A182" s="4">
        <v>181</v>
      </c>
      <c r="B182" s="5">
        <v>45233</v>
      </c>
      <c r="C182" s="4" t="s">
        <v>194</v>
      </c>
      <c r="D182" s="4" t="s">
        <v>10</v>
      </c>
      <c r="E182" s="4">
        <v>19</v>
      </c>
      <c r="F182" s="4" t="str">
        <f>IF(Table15678[[#This Row],[Age]]&lt;=19,"Teenager",IF(Table15678[[#This Row],[Age]]&lt;=40,"Median","Old"))</f>
        <v>Teenager</v>
      </c>
      <c r="G182" s="4" t="s">
        <v>16</v>
      </c>
      <c r="H182" s="4">
        <v>4</v>
      </c>
      <c r="I182" s="4">
        <v>300</v>
      </c>
      <c r="J182" s="4">
        <v>1200</v>
      </c>
      <c r="K182" s="4" t="str" cm="1">
        <f t="array" ref="K182">_xlfn.IFS(AND(Table15678[[#This Row],[Total Amount]]&gt;=1500),"Critical",AND(Table15678[[#This Row],[Total Amount]]&gt;=1000),"High",TRUE,"Normal")</f>
        <v>High</v>
      </c>
      <c r="L182" s="4" t="str">
        <f>IF(Table15678[[#This Row],[Total Amount]]&gt;=1000,"High",(IF(Table15678[[#This Row],[Total Amount]]&gt;=500,"Medium","Low")))</f>
        <v>High</v>
      </c>
      <c r="M182" s="4" t="str" cm="1">
        <f t="array" ref="M18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182" s="4" cm="1">
        <f t="array" ref="N18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182" s="4">
        <f>Table15678[[#This Row],[Total Amount]]-Table15678[[#This Row],[Discount Amount]]</f>
        <v>1200</v>
      </c>
      <c r="P182" s="4" t="str">
        <f>IF(Table15678[[#This Row],[Total Amount]]&gt;=1000,"High","Low")</f>
        <v>High</v>
      </c>
      <c r="Q182" s="4" t="str" cm="1">
        <f t="array" ref="Q182">_xlfn.IFS(AND(Table15678[[#This Row],[Total Amount]]&gt;=1500,"Critical"),AND(Table15678[[#This Row],[Total Amount]]&gt;=1000,"High"),TRUE,"Normal")</f>
        <v>Normal</v>
      </c>
      <c r="R182" s="4" t="str">
        <f>CONCATENATE(Table15678[[#This Row],[Customer ID]], "-",Table15678[[#This Row],[Age]])</f>
        <v>CUST181-19</v>
      </c>
      <c r="S182" s="4" t="str">
        <f>TEXT(Table15678[[#This Row],[Date]],"mmm")</f>
        <v>Nov</v>
      </c>
      <c r="T182" s="4" t="str">
        <f>TEXT(Table15678[[#This Row],[Date]],"DDD")</f>
        <v>Fri</v>
      </c>
    </row>
    <row r="183" spans="1:20" ht="29" x14ac:dyDescent="0.35">
      <c r="A183" s="4">
        <v>182</v>
      </c>
      <c r="B183" s="5">
        <v>45092</v>
      </c>
      <c r="C183" s="4" t="s">
        <v>195</v>
      </c>
      <c r="D183" s="4" t="s">
        <v>10</v>
      </c>
      <c r="E183" s="4">
        <v>62</v>
      </c>
      <c r="F183" s="4" t="str">
        <f>IF(Table15678[[#This Row],[Age]]&lt;=19,"Teenager",IF(Table15678[[#This Row],[Age]]&lt;=40,"Median","Old"))</f>
        <v>Old</v>
      </c>
      <c r="G183" s="4" t="s">
        <v>11</v>
      </c>
      <c r="H183" s="4">
        <v>4</v>
      </c>
      <c r="I183" s="4">
        <v>30</v>
      </c>
      <c r="J183" s="4">
        <v>120</v>
      </c>
      <c r="K183" s="4" t="str" cm="1">
        <f t="array" ref="K183">_xlfn.IFS(AND(Table15678[[#This Row],[Total Amount]]&gt;=1500),"Critical",AND(Table15678[[#This Row],[Total Amount]]&gt;=1000),"High",TRUE,"Normal")</f>
        <v>Normal</v>
      </c>
      <c r="L183" s="4" t="str">
        <f>IF(Table15678[[#This Row],[Total Amount]]&gt;=1000,"High",(IF(Table15678[[#This Row],[Total Amount]]&gt;=500,"Medium","Low")))</f>
        <v>Low</v>
      </c>
      <c r="M183" s="4" t="str" cm="1">
        <f t="array" ref="M18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83" s="4" cm="1">
        <f t="array" ref="N18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183" s="4">
        <f>Table15678[[#This Row],[Total Amount]]-Table15678[[#This Row],[Discount Amount]]</f>
        <v>108</v>
      </c>
      <c r="P183" s="4" t="str">
        <f>IF(Table15678[[#This Row],[Total Amount]]&gt;=1000,"High","Low")</f>
        <v>Low</v>
      </c>
      <c r="Q183" s="4" t="str" cm="1">
        <f t="array" ref="Q183">_xlfn.IFS(AND(Table15678[[#This Row],[Total Amount]]&gt;=1500,"Critical"),AND(Table15678[[#This Row],[Total Amount]]&gt;=1000,"High"),TRUE,"Normal")</f>
        <v>Normal</v>
      </c>
      <c r="R183" s="4" t="str">
        <f>CONCATENATE(Table15678[[#This Row],[Customer ID]], "-",Table15678[[#This Row],[Age]])</f>
        <v>CUST182-62</v>
      </c>
      <c r="S183" s="4" t="str">
        <f>TEXT(Table15678[[#This Row],[Date]],"mmm")</f>
        <v>Jun</v>
      </c>
      <c r="T183" s="4" t="str">
        <f>TEXT(Table15678[[#This Row],[Date]],"DDD")</f>
        <v>Thu</v>
      </c>
    </row>
    <row r="184" spans="1:20" ht="29" x14ac:dyDescent="0.35">
      <c r="A184" s="4">
        <v>183</v>
      </c>
      <c r="B184" s="5">
        <v>45177</v>
      </c>
      <c r="C184" s="4" t="s">
        <v>196</v>
      </c>
      <c r="D184" s="4" t="s">
        <v>13</v>
      </c>
      <c r="E184" s="4">
        <v>43</v>
      </c>
      <c r="F184" s="4" t="str">
        <f>IF(Table15678[[#This Row],[Age]]&lt;=19,"Teenager",IF(Table15678[[#This Row],[Age]]&lt;=40,"Median","Old"))</f>
        <v>Old</v>
      </c>
      <c r="G184" s="4" t="s">
        <v>11</v>
      </c>
      <c r="H184" s="4">
        <v>3</v>
      </c>
      <c r="I184" s="4">
        <v>300</v>
      </c>
      <c r="J184" s="4">
        <v>900</v>
      </c>
      <c r="K184" s="4" t="str" cm="1">
        <f t="array" ref="K184">_xlfn.IFS(AND(Table15678[[#This Row],[Total Amount]]&gt;=1500),"Critical",AND(Table15678[[#This Row],[Total Amount]]&gt;=1000),"High",TRUE,"Normal")</f>
        <v>Normal</v>
      </c>
      <c r="L184" s="4" t="str">
        <f>IF(Table15678[[#This Row],[Total Amount]]&gt;=1000,"High",(IF(Table15678[[#This Row],[Total Amount]]&gt;=500,"Medium","Low")))</f>
        <v>Medium</v>
      </c>
      <c r="M184" s="4" t="str" cm="1">
        <f t="array" ref="M18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84" s="4" cm="1">
        <f t="array" ref="N18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184" s="4">
        <f>Table15678[[#This Row],[Total Amount]]-Table15678[[#This Row],[Discount Amount]]</f>
        <v>720</v>
      </c>
      <c r="P184" s="4" t="str">
        <f>IF(Table15678[[#This Row],[Total Amount]]&gt;=1000,"High","Low")</f>
        <v>Low</v>
      </c>
      <c r="Q184" s="4" t="str" cm="1">
        <f t="array" ref="Q184">_xlfn.IFS(AND(Table15678[[#This Row],[Total Amount]]&gt;=1500,"Critical"),AND(Table15678[[#This Row],[Total Amount]]&gt;=1000,"High"),TRUE,"Normal")</f>
        <v>Normal</v>
      </c>
      <c r="R184" s="4" t="str">
        <f>CONCATENATE(Table15678[[#This Row],[Customer ID]], "-",Table15678[[#This Row],[Age]])</f>
        <v>CUST183-43</v>
      </c>
      <c r="S184" s="4" t="str">
        <f>TEXT(Table15678[[#This Row],[Date]],"mmm")</f>
        <v>Sep</v>
      </c>
      <c r="T184" s="4" t="str">
        <f>TEXT(Table15678[[#This Row],[Date]],"DDD")</f>
        <v>Fri</v>
      </c>
    </row>
    <row r="185" spans="1:20" ht="29" x14ac:dyDescent="0.35">
      <c r="A185" s="4">
        <v>184</v>
      </c>
      <c r="B185" s="5">
        <v>44936</v>
      </c>
      <c r="C185" s="4" t="s">
        <v>197</v>
      </c>
      <c r="D185" s="4" t="s">
        <v>10</v>
      </c>
      <c r="E185" s="4">
        <v>31</v>
      </c>
      <c r="F185" s="4" t="str">
        <f>IF(Table15678[[#This Row],[Age]]&lt;=19,"Teenager",IF(Table15678[[#This Row],[Age]]&lt;=40,"Median","Old"))</f>
        <v>Median</v>
      </c>
      <c r="G185" s="4" t="s">
        <v>16</v>
      </c>
      <c r="H185" s="4">
        <v>4</v>
      </c>
      <c r="I185" s="4">
        <v>50</v>
      </c>
      <c r="J185" s="4">
        <v>200</v>
      </c>
      <c r="K185" s="4" t="str" cm="1">
        <f t="array" ref="K185">_xlfn.IFS(AND(Table15678[[#This Row],[Total Amount]]&gt;=1500),"Critical",AND(Table15678[[#This Row],[Total Amount]]&gt;=1000),"High",TRUE,"Normal")</f>
        <v>Normal</v>
      </c>
      <c r="L185" s="4" t="str">
        <f>IF(Table15678[[#This Row],[Total Amount]]&gt;=1000,"High",(IF(Table15678[[#This Row],[Total Amount]]&gt;=500,"Medium","Low")))</f>
        <v>Low</v>
      </c>
      <c r="M185" s="4" t="str" cm="1">
        <f t="array" ref="M18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85" s="4" cm="1">
        <f t="array" ref="N18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185" s="4">
        <f>Table15678[[#This Row],[Total Amount]]-Table15678[[#This Row],[Discount Amount]]</f>
        <v>170</v>
      </c>
      <c r="P185" s="4" t="str">
        <f>IF(Table15678[[#This Row],[Total Amount]]&gt;=1000,"High","Low")</f>
        <v>Low</v>
      </c>
      <c r="Q185" s="4" t="str" cm="1">
        <f t="array" ref="Q185">_xlfn.IFS(AND(Table15678[[#This Row],[Total Amount]]&gt;=1500,"Critical"),AND(Table15678[[#This Row],[Total Amount]]&gt;=1000,"High"),TRUE,"Normal")</f>
        <v>Normal</v>
      </c>
      <c r="R185" s="4" t="str">
        <f>CONCATENATE(Table15678[[#This Row],[Customer ID]], "-",Table15678[[#This Row],[Age]])</f>
        <v>CUST184-31</v>
      </c>
      <c r="S185" s="4" t="str">
        <f>TEXT(Table15678[[#This Row],[Date]],"mmm")</f>
        <v>Jan</v>
      </c>
      <c r="T185" s="4" t="str">
        <f>TEXT(Table15678[[#This Row],[Date]],"DDD")</f>
        <v>Tue</v>
      </c>
    </row>
    <row r="186" spans="1:20" ht="29" x14ac:dyDescent="0.35">
      <c r="A186" s="4">
        <v>185</v>
      </c>
      <c r="B186" s="5">
        <v>44984</v>
      </c>
      <c r="C186" s="4" t="s">
        <v>198</v>
      </c>
      <c r="D186" s="4" t="s">
        <v>10</v>
      </c>
      <c r="E186" s="4">
        <v>24</v>
      </c>
      <c r="F186" s="4" t="str">
        <f>IF(Table15678[[#This Row],[Age]]&lt;=19,"Teenager",IF(Table15678[[#This Row],[Age]]&lt;=40,"Median","Old"))</f>
        <v>Median</v>
      </c>
      <c r="G186" s="4" t="s">
        <v>14</v>
      </c>
      <c r="H186" s="4">
        <v>1</v>
      </c>
      <c r="I186" s="4">
        <v>25</v>
      </c>
      <c r="J186" s="4">
        <v>25</v>
      </c>
      <c r="K186" s="4" t="str" cm="1">
        <f t="array" ref="K186">_xlfn.IFS(AND(Table15678[[#This Row],[Total Amount]]&gt;=1500),"Critical",AND(Table15678[[#This Row],[Total Amount]]&gt;=1000),"High",TRUE,"Normal")</f>
        <v>Normal</v>
      </c>
      <c r="L186" s="4" t="str">
        <f>IF(Table15678[[#This Row],[Total Amount]]&gt;=1000,"High",(IF(Table15678[[#This Row],[Total Amount]]&gt;=500,"Medium","Low")))</f>
        <v>Low</v>
      </c>
      <c r="M186" s="4" t="str" cm="1">
        <f t="array" ref="M18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186" s="4" cm="1">
        <f t="array" ref="N18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186" s="4">
        <f>Table15678[[#This Row],[Total Amount]]-Table15678[[#This Row],[Discount Amount]]</f>
        <v>25</v>
      </c>
      <c r="P186" s="4" t="str">
        <f>IF(Table15678[[#This Row],[Total Amount]]&gt;=1000,"High","Low")</f>
        <v>Low</v>
      </c>
      <c r="Q186" s="4" t="str" cm="1">
        <f t="array" ref="Q186">_xlfn.IFS(AND(Table15678[[#This Row],[Total Amount]]&gt;=1500,"Critical"),AND(Table15678[[#This Row],[Total Amount]]&gt;=1000,"High"),TRUE,"Normal")</f>
        <v>Normal</v>
      </c>
      <c r="R186" s="4" t="str">
        <f>CONCATENATE(Table15678[[#This Row],[Customer ID]], "-",Table15678[[#This Row],[Age]])</f>
        <v>CUST185-24</v>
      </c>
      <c r="S186" s="4" t="str">
        <f>TEXT(Table15678[[#This Row],[Date]],"mmm")</f>
        <v>Feb</v>
      </c>
      <c r="T186" s="4" t="str">
        <f>TEXT(Table15678[[#This Row],[Date]],"DDD")</f>
        <v>Mon</v>
      </c>
    </row>
    <row r="187" spans="1:20" ht="29" x14ac:dyDescent="0.35">
      <c r="A187" s="4">
        <v>186</v>
      </c>
      <c r="B187" s="5">
        <v>45112</v>
      </c>
      <c r="C187" s="4" t="s">
        <v>199</v>
      </c>
      <c r="D187" s="4" t="s">
        <v>10</v>
      </c>
      <c r="E187" s="4">
        <v>20</v>
      </c>
      <c r="F187" s="4" t="str">
        <f>IF(Table15678[[#This Row],[Age]]&lt;=19,"Teenager",IF(Table15678[[#This Row],[Age]]&lt;=40,"Median","Old"))</f>
        <v>Median</v>
      </c>
      <c r="G187" s="4" t="s">
        <v>14</v>
      </c>
      <c r="H187" s="4">
        <v>4</v>
      </c>
      <c r="I187" s="4">
        <v>50</v>
      </c>
      <c r="J187" s="4">
        <v>200</v>
      </c>
      <c r="K187" s="4" t="str" cm="1">
        <f t="array" ref="K187">_xlfn.IFS(AND(Table15678[[#This Row],[Total Amount]]&gt;=1500),"Critical",AND(Table15678[[#This Row],[Total Amount]]&gt;=1000),"High",TRUE,"Normal")</f>
        <v>Normal</v>
      </c>
      <c r="L187" s="4" t="str">
        <f>IF(Table15678[[#This Row],[Total Amount]]&gt;=1000,"High",(IF(Table15678[[#This Row],[Total Amount]]&gt;=500,"Medium","Low")))</f>
        <v>Low</v>
      </c>
      <c r="M187" s="4" t="str" cm="1">
        <f t="array" ref="M18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187" s="4" cm="1">
        <f t="array" ref="N18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187" s="4">
        <f>Table15678[[#This Row],[Total Amount]]-Table15678[[#This Row],[Discount Amount]]</f>
        <v>200</v>
      </c>
      <c r="P187" s="4" t="str">
        <f>IF(Table15678[[#This Row],[Total Amount]]&gt;=1000,"High","Low")</f>
        <v>Low</v>
      </c>
      <c r="Q187" s="4" t="str" cm="1">
        <f t="array" ref="Q187">_xlfn.IFS(AND(Table15678[[#This Row],[Total Amount]]&gt;=1500,"Critical"),AND(Table15678[[#This Row],[Total Amount]]&gt;=1000,"High"),TRUE,"Normal")</f>
        <v>Normal</v>
      </c>
      <c r="R187" s="4" t="str">
        <f>CONCATENATE(Table15678[[#This Row],[Customer ID]], "-",Table15678[[#This Row],[Age]])</f>
        <v>CUST186-20</v>
      </c>
      <c r="S187" s="4" t="str">
        <f>TEXT(Table15678[[#This Row],[Date]],"mmm")</f>
        <v>Jul</v>
      </c>
      <c r="T187" s="4" t="str">
        <f>TEXT(Table15678[[#This Row],[Date]],"DDD")</f>
        <v>Wed</v>
      </c>
    </row>
    <row r="188" spans="1:20" ht="29" x14ac:dyDescent="0.35">
      <c r="A188" s="4">
        <v>187</v>
      </c>
      <c r="B188" s="5">
        <v>45084</v>
      </c>
      <c r="C188" s="4" t="s">
        <v>200</v>
      </c>
      <c r="D188" s="4" t="s">
        <v>13</v>
      </c>
      <c r="E188" s="4">
        <v>64</v>
      </c>
      <c r="F188" s="4" t="str">
        <f>IF(Table15678[[#This Row],[Age]]&lt;=19,"Teenager",IF(Table15678[[#This Row],[Age]]&lt;=40,"Median","Old"))</f>
        <v>Old</v>
      </c>
      <c r="G188" s="4" t="s">
        <v>14</v>
      </c>
      <c r="H188" s="4">
        <v>2</v>
      </c>
      <c r="I188" s="4">
        <v>50</v>
      </c>
      <c r="J188" s="4">
        <v>100</v>
      </c>
      <c r="K188" s="4" t="str" cm="1">
        <f t="array" ref="K188">_xlfn.IFS(AND(Table15678[[#This Row],[Total Amount]]&gt;=1500),"Critical",AND(Table15678[[#This Row],[Total Amount]]&gt;=1000),"High",TRUE,"Normal")</f>
        <v>Normal</v>
      </c>
      <c r="L188" s="4" t="str">
        <f>IF(Table15678[[#This Row],[Total Amount]]&gt;=1000,"High",(IF(Table15678[[#This Row],[Total Amount]]&gt;=500,"Medium","Low")))</f>
        <v>Low</v>
      </c>
      <c r="M188" s="4" t="str" cm="1">
        <f t="array" ref="M18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88" s="4" cm="1">
        <f t="array" ref="N18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188" s="4">
        <f>Table15678[[#This Row],[Total Amount]]-Table15678[[#This Row],[Discount Amount]]</f>
        <v>80</v>
      </c>
      <c r="P188" s="4" t="str">
        <f>IF(Table15678[[#This Row],[Total Amount]]&gt;=1000,"High","Low")</f>
        <v>Low</v>
      </c>
      <c r="Q188" s="4" t="str" cm="1">
        <f t="array" ref="Q188">_xlfn.IFS(AND(Table15678[[#This Row],[Total Amount]]&gt;=1500,"Critical"),AND(Table15678[[#This Row],[Total Amount]]&gt;=1000,"High"),TRUE,"Normal")</f>
        <v>Normal</v>
      </c>
      <c r="R188" s="4" t="str">
        <f>CONCATENATE(Table15678[[#This Row],[Customer ID]], "-",Table15678[[#This Row],[Age]])</f>
        <v>CUST187-64</v>
      </c>
      <c r="S188" s="4" t="str">
        <f>TEXT(Table15678[[#This Row],[Date]],"mmm")</f>
        <v>Jun</v>
      </c>
      <c r="T188" s="4" t="str">
        <f>TEXT(Table15678[[#This Row],[Date]],"DDD")</f>
        <v>Wed</v>
      </c>
    </row>
    <row r="189" spans="1:20" ht="29" x14ac:dyDescent="0.35">
      <c r="A189" s="4">
        <v>188</v>
      </c>
      <c r="B189" s="5">
        <v>45049</v>
      </c>
      <c r="C189" s="4" t="s">
        <v>201</v>
      </c>
      <c r="D189" s="4" t="s">
        <v>10</v>
      </c>
      <c r="E189" s="4">
        <v>40</v>
      </c>
      <c r="F189" s="4" t="str">
        <f>IF(Table15678[[#This Row],[Age]]&lt;=19,"Teenager",IF(Table15678[[#This Row],[Age]]&lt;=40,"Median","Old"))</f>
        <v>Median</v>
      </c>
      <c r="G189" s="4" t="s">
        <v>14</v>
      </c>
      <c r="H189" s="4">
        <v>3</v>
      </c>
      <c r="I189" s="4">
        <v>25</v>
      </c>
      <c r="J189" s="4">
        <v>75</v>
      </c>
      <c r="K189" s="4" t="str" cm="1">
        <f t="array" ref="K189">_xlfn.IFS(AND(Table15678[[#This Row],[Total Amount]]&gt;=1500),"Critical",AND(Table15678[[#This Row],[Total Amount]]&gt;=1000),"High",TRUE,"Normal")</f>
        <v>Normal</v>
      </c>
      <c r="L189" s="4" t="str">
        <f>IF(Table15678[[#This Row],[Total Amount]]&gt;=1000,"High",(IF(Table15678[[#This Row],[Total Amount]]&gt;=500,"Medium","Low")))</f>
        <v>Low</v>
      </c>
      <c r="M189" s="4" t="str" cm="1">
        <f t="array" ref="M18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89" s="4" cm="1">
        <f t="array" ref="N18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189" s="4">
        <f>Table15678[[#This Row],[Total Amount]]-Table15678[[#This Row],[Discount Amount]]</f>
        <v>67.5</v>
      </c>
      <c r="P189" s="4" t="str">
        <f>IF(Table15678[[#This Row],[Total Amount]]&gt;=1000,"High","Low")</f>
        <v>Low</v>
      </c>
      <c r="Q189" s="4" t="str" cm="1">
        <f t="array" ref="Q189">_xlfn.IFS(AND(Table15678[[#This Row],[Total Amount]]&gt;=1500,"Critical"),AND(Table15678[[#This Row],[Total Amount]]&gt;=1000,"High"),TRUE,"Normal")</f>
        <v>Normal</v>
      </c>
      <c r="R189" s="4" t="str">
        <f>CONCATENATE(Table15678[[#This Row],[Customer ID]], "-",Table15678[[#This Row],[Age]])</f>
        <v>CUST188-40</v>
      </c>
      <c r="S189" s="4" t="str">
        <f>TEXT(Table15678[[#This Row],[Date]],"mmm")</f>
        <v>May</v>
      </c>
      <c r="T189" s="4" t="str">
        <f>TEXT(Table15678[[#This Row],[Date]],"DDD")</f>
        <v>Wed</v>
      </c>
    </row>
    <row r="190" spans="1:20" ht="29" x14ac:dyDescent="0.35">
      <c r="A190" s="4">
        <v>189</v>
      </c>
      <c r="B190" s="5">
        <v>44956</v>
      </c>
      <c r="C190" s="4" t="s">
        <v>202</v>
      </c>
      <c r="D190" s="4" t="s">
        <v>10</v>
      </c>
      <c r="E190" s="4">
        <v>63</v>
      </c>
      <c r="F190" s="4" t="str">
        <f>IF(Table15678[[#This Row],[Age]]&lt;=19,"Teenager",IF(Table15678[[#This Row],[Age]]&lt;=40,"Median","Old"))</f>
        <v>Old</v>
      </c>
      <c r="G190" s="4" t="s">
        <v>11</v>
      </c>
      <c r="H190" s="4">
        <v>1</v>
      </c>
      <c r="I190" s="4">
        <v>50</v>
      </c>
      <c r="J190" s="4">
        <v>50</v>
      </c>
      <c r="K190" s="4" t="str" cm="1">
        <f t="array" ref="K190">_xlfn.IFS(AND(Table15678[[#This Row],[Total Amount]]&gt;=1500),"Critical",AND(Table15678[[#This Row],[Total Amount]]&gt;=1000),"High",TRUE,"Normal")</f>
        <v>Normal</v>
      </c>
      <c r="L190" s="4" t="str">
        <f>IF(Table15678[[#This Row],[Total Amount]]&gt;=1000,"High",(IF(Table15678[[#This Row],[Total Amount]]&gt;=500,"Medium","Low")))</f>
        <v>Low</v>
      </c>
      <c r="M190" s="4" t="str" cm="1">
        <f t="array" ref="M19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90" s="4" cm="1">
        <f t="array" ref="N19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190" s="4">
        <f>Table15678[[#This Row],[Total Amount]]-Table15678[[#This Row],[Discount Amount]]</f>
        <v>45</v>
      </c>
      <c r="P190" s="4" t="str">
        <f>IF(Table15678[[#This Row],[Total Amount]]&gt;=1000,"High","Low")</f>
        <v>Low</v>
      </c>
      <c r="Q190" s="4" t="str" cm="1">
        <f t="array" ref="Q190">_xlfn.IFS(AND(Table15678[[#This Row],[Total Amount]]&gt;=1500,"Critical"),AND(Table15678[[#This Row],[Total Amount]]&gt;=1000,"High"),TRUE,"Normal")</f>
        <v>Normal</v>
      </c>
      <c r="R190" s="4" t="str">
        <f>CONCATENATE(Table15678[[#This Row],[Customer ID]], "-",Table15678[[#This Row],[Age]])</f>
        <v>CUST189-63</v>
      </c>
      <c r="S190" s="4" t="str">
        <f>TEXT(Table15678[[#This Row],[Date]],"mmm")</f>
        <v>Jan</v>
      </c>
      <c r="T190" s="4" t="str">
        <f>TEXT(Table15678[[#This Row],[Date]],"DDD")</f>
        <v>Mon</v>
      </c>
    </row>
    <row r="191" spans="1:20" ht="29" x14ac:dyDescent="0.35">
      <c r="A191" s="4">
        <v>190</v>
      </c>
      <c r="B191" s="5">
        <v>45050</v>
      </c>
      <c r="C191" s="4" t="s">
        <v>203</v>
      </c>
      <c r="D191" s="4" t="s">
        <v>13</v>
      </c>
      <c r="E191" s="4">
        <v>60</v>
      </c>
      <c r="F191" s="4" t="str">
        <f>IF(Table15678[[#This Row],[Age]]&lt;=19,"Teenager",IF(Table15678[[#This Row],[Age]]&lt;=40,"Median","Old"))</f>
        <v>Old</v>
      </c>
      <c r="G191" s="4" t="s">
        <v>11</v>
      </c>
      <c r="H191" s="4">
        <v>3</v>
      </c>
      <c r="I191" s="4">
        <v>30</v>
      </c>
      <c r="J191" s="4">
        <v>90</v>
      </c>
      <c r="K191" s="4" t="str" cm="1">
        <f t="array" ref="K191">_xlfn.IFS(AND(Table15678[[#This Row],[Total Amount]]&gt;=1500),"Critical",AND(Table15678[[#This Row],[Total Amount]]&gt;=1000),"High",TRUE,"Normal")</f>
        <v>Normal</v>
      </c>
      <c r="L191" s="4" t="str">
        <f>IF(Table15678[[#This Row],[Total Amount]]&gt;=1000,"High",(IF(Table15678[[#This Row],[Total Amount]]&gt;=500,"Medium","Low")))</f>
        <v>Low</v>
      </c>
      <c r="M191" s="4" t="str" cm="1">
        <f t="array" ref="M19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91" s="4" cm="1">
        <f t="array" ref="N19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</v>
      </c>
      <c r="O191" s="4">
        <f>Table15678[[#This Row],[Total Amount]]-Table15678[[#This Row],[Discount Amount]]</f>
        <v>72</v>
      </c>
      <c r="P191" s="4" t="str">
        <f>IF(Table15678[[#This Row],[Total Amount]]&gt;=1000,"High","Low")</f>
        <v>Low</v>
      </c>
      <c r="Q191" s="4" t="str" cm="1">
        <f t="array" ref="Q191">_xlfn.IFS(AND(Table15678[[#This Row],[Total Amount]]&gt;=1500,"Critical"),AND(Table15678[[#This Row],[Total Amount]]&gt;=1000,"High"),TRUE,"Normal")</f>
        <v>Normal</v>
      </c>
      <c r="R191" s="4" t="str">
        <f>CONCATENATE(Table15678[[#This Row],[Customer ID]], "-",Table15678[[#This Row],[Age]])</f>
        <v>CUST190-60</v>
      </c>
      <c r="S191" s="4" t="str">
        <f>TEXT(Table15678[[#This Row],[Date]],"mmm")</f>
        <v>May</v>
      </c>
      <c r="T191" s="4" t="str">
        <f>TEXT(Table15678[[#This Row],[Date]],"DDD")</f>
        <v>Thu</v>
      </c>
    </row>
    <row r="192" spans="1:20" ht="29" x14ac:dyDescent="0.35">
      <c r="A192" s="4">
        <v>191</v>
      </c>
      <c r="B192" s="5">
        <v>45217</v>
      </c>
      <c r="C192" s="4" t="s">
        <v>204</v>
      </c>
      <c r="D192" s="4" t="s">
        <v>10</v>
      </c>
      <c r="E192" s="4">
        <v>64</v>
      </c>
      <c r="F192" s="4" t="str">
        <f>IF(Table15678[[#This Row],[Age]]&lt;=19,"Teenager",IF(Table15678[[#This Row],[Age]]&lt;=40,"Median","Old"))</f>
        <v>Old</v>
      </c>
      <c r="G192" s="4" t="s">
        <v>11</v>
      </c>
      <c r="H192" s="4">
        <v>1</v>
      </c>
      <c r="I192" s="4">
        <v>25</v>
      </c>
      <c r="J192" s="4">
        <v>25</v>
      </c>
      <c r="K192" s="4" t="str" cm="1">
        <f t="array" ref="K192">_xlfn.IFS(AND(Table15678[[#This Row],[Total Amount]]&gt;=1500),"Critical",AND(Table15678[[#This Row],[Total Amount]]&gt;=1000),"High",TRUE,"Normal")</f>
        <v>Normal</v>
      </c>
      <c r="L192" s="4" t="str">
        <f>IF(Table15678[[#This Row],[Total Amount]]&gt;=1000,"High",(IF(Table15678[[#This Row],[Total Amount]]&gt;=500,"Medium","Low")))</f>
        <v>Low</v>
      </c>
      <c r="M192" s="4" t="str" cm="1">
        <f t="array" ref="M19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92" s="4" cm="1">
        <f t="array" ref="N19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2.5</v>
      </c>
      <c r="O192" s="4">
        <f>Table15678[[#This Row],[Total Amount]]-Table15678[[#This Row],[Discount Amount]]</f>
        <v>22.5</v>
      </c>
      <c r="P192" s="4" t="str">
        <f>IF(Table15678[[#This Row],[Total Amount]]&gt;=1000,"High","Low")</f>
        <v>Low</v>
      </c>
      <c r="Q192" s="4" t="str" cm="1">
        <f t="array" ref="Q192">_xlfn.IFS(AND(Table15678[[#This Row],[Total Amount]]&gt;=1500,"Critical"),AND(Table15678[[#This Row],[Total Amount]]&gt;=1000,"High"),TRUE,"Normal")</f>
        <v>Normal</v>
      </c>
      <c r="R192" s="4" t="str">
        <f>CONCATENATE(Table15678[[#This Row],[Customer ID]], "-",Table15678[[#This Row],[Age]])</f>
        <v>CUST191-64</v>
      </c>
      <c r="S192" s="4" t="str">
        <f>TEXT(Table15678[[#This Row],[Date]],"mmm")</f>
        <v>Oct</v>
      </c>
      <c r="T192" s="4" t="str">
        <f>TEXT(Table15678[[#This Row],[Date]],"DDD")</f>
        <v>Wed</v>
      </c>
    </row>
    <row r="193" spans="1:20" ht="29" x14ac:dyDescent="0.35">
      <c r="A193" s="4">
        <v>192</v>
      </c>
      <c r="B193" s="5">
        <v>44967</v>
      </c>
      <c r="C193" s="4" t="s">
        <v>205</v>
      </c>
      <c r="D193" s="4" t="s">
        <v>10</v>
      </c>
      <c r="E193" s="4">
        <v>62</v>
      </c>
      <c r="F193" s="4" t="str">
        <f>IF(Table15678[[#This Row],[Age]]&lt;=19,"Teenager",IF(Table15678[[#This Row],[Age]]&lt;=40,"Median","Old"))</f>
        <v>Old</v>
      </c>
      <c r="G193" s="4" t="s">
        <v>11</v>
      </c>
      <c r="H193" s="4">
        <v>2</v>
      </c>
      <c r="I193" s="4">
        <v>50</v>
      </c>
      <c r="J193" s="4">
        <v>100</v>
      </c>
      <c r="K193" s="4" t="str" cm="1">
        <f t="array" ref="K193">_xlfn.IFS(AND(Table15678[[#This Row],[Total Amount]]&gt;=1500),"Critical",AND(Table15678[[#This Row],[Total Amount]]&gt;=1000),"High",TRUE,"Normal")</f>
        <v>Normal</v>
      </c>
      <c r="L193" s="4" t="str">
        <f>IF(Table15678[[#This Row],[Total Amount]]&gt;=1000,"High",(IF(Table15678[[#This Row],[Total Amount]]&gt;=500,"Medium","Low")))</f>
        <v>Low</v>
      </c>
      <c r="M193" s="4" t="str" cm="1">
        <f t="array" ref="M19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93" s="4" cm="1">
        <f t="array" ref="N19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193" s="4">
        <f>Table15678[[#This Row],[Total Amount]]-Table15678[[#This Row],[Discount Amount]]</f>
        <v>90</v>
      </c>
      <c r="P193" s="4" t="str">
        <f>IF(Table15678[[#This Row],[Total Amount]]&gt;=1000,"High","Low")</f>
        <v>Low</v>
      </c>
      <c r="Q193" s="4" t="str" cm="1">
        <f t="array" ref="Q193">_xlfn.IFS(AND(Table15678[[#This Row],[Total Amount]]&gt;=1500,"Critical"),AND(Table15678[[#This Row],[Total Amount]]&gt;=1000,"High"),TRUE,"Normal")</f>
        <v>Normal</v>
      </c>
      <c r="R193" s="4" t="str">
        <f>CONCATENATE(Table15678[[#This Row],[Customer ID]], "-",Table15678[[#This Row],[Age]])</f>
        <v>CUST192-62</v>
      </c>
      <c r="S193" s="4" t="str">
        <f>TEXT(Table15678[[#This Row],[Date]],"mmm")</f>
        <v>Feb</v>
      </c>
      <c r="T193" s="4" t="str">
        <f>TEXT(Table15678[[#This Row],[Date]],"DDD")</f>
        <v>Fri</v>
      </c>
    </row>
    <row r="194" spans="1:20" ht="29" x14ac:dyDescent="0.35">
      <c r="A194" s="4">
        <v>193</v>
      </c>
      <c r="B194" s="5">
        <v>44970</v>
      </c>
      <c r="C194" s="4" t="s">
        <v>206</v>
      </c>
      <c r="D194" s="4" t="s">
        <v>10</v>
      </c>
      <c r="E194" s="4">
        <v>35</v>
      </c>
      <c r="F194" s="4" t="str">
        <f>IF(Table15678[[#This Row],[Age]]&lt;=19,"Teenager",IF(Table15678[[#This Row],[Age]]&lt;=40,"Median","Old"))</f>
        <v>Median</v>
      </c>
      <c r="G194" s="4" t="s">
        <v>11</v>
      </c>
      <c r="H194" s="4">
        <v>3</v>
      </c>
      <c r="I194" s="4">
        <v>500</v>
      </c>
      <c r="J194" s="4">
        <v>1500</v>
      </c>
      <c r="K194" s="4" t="str" cm="1">
        <f t="array" ref="K194">_xlfn.IFS(AND(Table15678[[#This Row],[Total Amount]]&gt;=1500),"Critical",AND(Table15678[[#This Row],[Total Amount]]&gt;=1000),"High",TRUE,"Normal")</f>
        <v>Critical</v>
      </c>
      <c r="L194" s="4" t="str">
        <f>IF(Table15678[[#This Row],[Total Amount]]&gt;=1000,"High",(IF(Table15678[[#This Row],[Total Amount]]&gt;=500,"Medium","Low")))</f>
        <v>High</v>
      </c>
      <c r="M194" s="4" t="str" cm="1">
        <f t="array" ref="M19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94" s="4" cm="1">
        <f t="array" ref="N19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150</v>
      </c>
      <c r="O194" s="4">
        <f>Table15678[[#This Row],[Total Amount]]-Table15678[[#This Row],[Discount Amount]]</f>
        <v>1350</v>
      </c>
      <c r="P194" s="4" t="str">
        <f>IF(Table15678[[#This Row],[Total Amount]]&gt;=1000,"High","Low")</f>
        <v>High</v>
      </c>
      <c r="Q194" s="4" t="b" cm="1">
        <f t="array" ref="Q194">_xlfn.IFS(AND(Table15678[[#This Row],[Total Amount]]&gt;=1500,"Critical"),AND(Table15678[[#This Row],[Total Amount]]&gt;=1000,"High"),TRUE,"Normal")</f>
        <v>1</v>
      </c>
      <c r="R194" s="4" t="str">
        <f>CONCATENATE(Table15678[[#This Row],[Customer ID]], "-",Table15678[[#This Row],[Age]])</f>
        <v>CUST193-35</v>
      </c>
      <c r="S194" s="4" t="str">
        <f>TEXT(Table15678[[#This Row],[Date]],"mmm")</f>
        <v>Feb</v>
      </c>
      <c r="T194" s="4" t="str">
        <f>TEXT(Table15678[[#This Row],[Date]],"DDD")</f>
        <v>Mon</v>
      </c>
    </row>
    <row r="195" spans="1:20" ht="29" x14ac:dyDescent="0.35">
      <c r="A195" s="4">
        <v>194</v>
      </c>
      <c r="B195" s="5">
        <v>45175</v>
      </c>
      <c r="C195" s="4" t="s">
        <v>207</v>
      </c>
      <c r="D195" s="4" t="s">
        <v>10</v>
      </c>
      <c r="E195" s="4">
        <v>55</v>
      </c>
      <c r="F195" s="4" t="str">
        <f>IF(Table15678[[#This Row],[Age]]&lt;=19,"Teenager",IF(Table15678[[#This Row],[Age]]&lt;=40,"Median","Old"))</f>
        <v>Old</v>
      </c>
      <c r="G195" s="4" t="s">
        <v>14</v>
      </c>
      <c r="H195" s="4">
        <v>4</v>
      </c>
      <c r="I195" s="4">
        <v>50</v>
      </c>
      <c r="J195" s="4">
        <v>200</v>
      </c>
      <c r="K195" s="4" t="str" cm="1">
        <f t="array" ref="K195">_xlfn.IFS(AND(Table15678[[#This Row],[Total Amount]]&gt;=1500),"Critical",AND(Table15678[[#This Row],[Total Amount]]&gt;=1000),"High",TRUE,"Normal")</f>
        <v>Normal</v>
      </c>
      <c r="L195" s="4" t="str">
        <f>IF(Table15678[[#This Row],[Total Amount]]&gt;=1000,"High",(IF(Table15678[[#This Row],[Total Amount]]&gt;=500,"Medium","Low")))</f>
        <v>Low</v>
      </c>
      <c r="M195" s="4" t="str" cm="1">
        <f t="array" ref="M19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95" s="4" cm="1">
        <f t="array" ref="N19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195" s="4">
        <f>Table15678[[#This Row],[Total Amount]]-Table15678[[#This Row],[Discount Amount]]</f>
        <v>180</v>
      </c>
      <c r="P195" s="4" t="str">
        <f>IF(Table15678[[#This Row],[Total Amount]]&gt;=1000,"High","Low")</f>
        <v>Low</v>
      </c>
      <c r="Q195" s="4" t="str" cm="1">
        <f t="array" ref="Q195">_xlfn.IFS(AND(Table15678[[#This Row],[Total Amount]]&gt;=1500,"Critical"),AND(Table15678[[#This Row],[Total Amount]]&gt;=1000,"High"),TRUE,"Normal")</f>
        <v>Normal</v>
      </c>
      <c r="R195" s="4" t="str">
        <f>CONCATENATE(Table15678[[#This Row],[Customer ID]], "-",Table15678[[#This Row],[Age]])</f>
        <v>CUST194-55</v>
      </c>
      <c r="S195" s="4" t="str">
        <f>TEXT(Table15678[[#This Row],[Date]],"mmm")</f>
        <v>Sep</v>
      </c>
      <c r="T195" s="4" t="str">
        <f>TEXT(Table15678[[#This Row],[Date]],"DDD")</f>
        <v>Wed</v>
      </c>
    </row>
    <row r="196" spans="1:20" ht="29" x14ac:dyDescent="0.35">
      <c r="A196" s="4">
        <v>195</v>
      </c>
      <c r="B196" s="5">
        <v>44962</v>
      </c>
      <c r="C196" s="4" t="s">
        <v>208</v>
      </c>
      <c r="D196" s="4" t="s">
        <v>10</v>
      </c>
      <c r="E196" s="4">
        <v>52</v>
      </c>
      <c r="F196" s="4" t="str">
        <f>IF(Table15678[[#This Row],[Age]]&lt;=19,"Teenager",IF(Table15678[[#This Row],[Age]]&lt;=40,"Median","Old"))</f>
        <v>Old</v>
      </c>
      <c r="G196" s="4" t="s">
        <v>14</v>
      </c>
      <c r="H196" s="4">
        <v>1</v>
      </c>
      <c r="I196" s="4">
        <v>30</v>
      </c>
      <c r="J196" s="4">
        <v>30</v>
      </c>
      <c r="K196" s="4" t="str" cm="1">
        <f t="array" ref="K196">_xlfn.IFS(AND(Table15678[[#This Row],[Total Amount]]&gt;=1500),"Critical",AND(Table15678[[#This Row],[Total Amount]]&gt;=1000),"High",TRUE,"Normal")</f>
        <v>Normal</v>
      </c>
      <c r="L196" s="4" t="str">
        <f>IF(Table15678[[#This Row],[Total Amount]]&gt;=1000,"High",(IF(Table15678[[#This Row],[Total Amount]]&gt;=500,"Medium","Low")))</f>
        <v>Low</v>
      </c>
      <c r="M196" s="4" t="str" cm="1">
        <f t="array" ref="M19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96" s="4" cm="1">
        <f t="array" ref="N19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</v>
      </c>
      <c r="O196" s="4">
        <f>Table15678[[#This Row],[Total Amount]]-Table15678[[#This Row],[Discount Amount]]</f>
        <v>27</v>
      </c>
      <c r="P196" s="4" t="str">
        <f>IF(Table15678[[#This Row],[Total Amount]]&gt;=1000,"High","Low")</f>
        <v>Low</v>
      </c>
      <c r="Q196" s="4" t="str" cm="1">
        <f t="array" ref="Q196">_xlfn.IFS(AND(Table15678[[#This Row],[Total Amount]]&gt;=1500,"Critical"),AND(Table15678[[#This Row],[Total Amount]]&gt;=1000,"High"),TRUE,"Normal")</f>
        <v>Normal</v>
      </c>
      <c r="R196" s="4" t="str">
        <f>CONCATENATE(Table15678[[#This Row],[Customer ID]], "-",Table15678[[#This Row],[Age]])</f>
        <v>CUST195-52</v>
      </c>
      <c r="S196" s="4" t="str">
        <f>TEXT(Table15678[[#This Row],[Date]],"mmm")</f>
        <v>Feb</v>
      </c>
      <c r="T196" s="4" t="str">
        <f>TEXT(Table15678[[#This Row],[Date]],"DDD")</f>
        <v>Sun</v>
      </c>
    </row>
    <row r="197" spans="1:20" ht="29" x14ac:dyDescent="0.35">
      <c r="A197" s="4">
        <v>196</v>
      </c>
      <c r="B197" s="5">
        <v>45199</v>
      </c>
      <c r="C197" s="4" t="s">
        <v>209</v>
      </c>
      <c r="D197" s="4" t="s">
        <v>13</v>
      </c>
      <c r="E197" s="4">
        <v>32</v>
      </c>
      <c r="F197" s="4" t="str">
        <f>IF(Table15678[[#This Row],[Age]]&lt;=19,"Teenager",IF(Table15678[[#This Row],[Age]]&lt;=40,"Median","Old"))</f>
        <v>Median</v>
      </c>
      <c r="G197" s="4" t="s">
        <v>14</v>
      </c>
      <c r="H197" s="4">
        <v>3</v>
      </c>
      <c r="I197" s="4">
        <v>300</v>
      </c>
      <c r="J197" s="4">
        <v>900</v>
      </c>
      <c r="K197" s="4" t="str" cm="1">
        <f t="array" ref="K197">_xlfn.IFS(AND(Table15678[[#This Row],[Total Amount]]&gt;=1500),"Critical",AND(Table15678[[#This Row],[Total Amount]]&gt;=1000),"High",TRUE,"Normal")</f>
        <v>Normal</v>
      </c>
      <c r="L197" s="4" t="str">
        <f>IF(Table15678[[#This Row],[Total Amount]]&gt;=1000,"High",(IF(Table15678[[#This Row],[Total Amount]]&gt;=500,"Medium","Low")))</f>
        <v>Medium</v>
      </c>
      <c r="M197" s="4" t="str" cm="1">
        <f t="array" ref="M19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97" s="4" cm="1">
        <f t="array" ref="N19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135</v>
      </c>
      <c r="O197" s="4">
        <f>Table15678[[#This Row],[Total Amount]]-Table15678[[#This Row],[Discount Amount]]</f>
        <v>765</v>
      </c>
      <c r="P197" s="4" t="str">
        <f>IF(Table15678[[#This Row],[Total Amount]]&gt;=1000,"High","Low")</f>
        <v>Low</v>
      </c>
      <c r="Q197" s="4" t="str" cm="1">
        <f t="array" ref="Q197">_xlfn.IFS(AND(Table15678[[#This Row],[Total Amount]]&gt;=1500,"Critical"),AND(Table15678[[#This Row],[Total Amount]]&gt;=1000,"High"),TRUE,"Normal")</f>
        <v>Normal</v>
      </c>
      <c r="R197" s="4" t="str">
        <f>CONCATENATE(Table15678[[#This Row],[Customer ID]], "-",Table15678[[#This Row],[Age]])</f>
        <v>CUST196-32</v>
      </c>
      <c r="S197" s="4" t="str">
        <f>TEXT(Table15678[[#This Row],[Date]],"mmm")</f>
        <v>Sep</v>
      </c>
      <c r="T197" s="4" t="str">
        <f>TEXT(Table15678[[#This Row],[Date]],"DDD")</f>
        <v>Sat</v>
      </c>
    </row>
    <row r="198" spans="1:20" ht="29" x14ac:dyDescent="0.35">
      <c r="A198" s="4">
        <v>197</v>
      </c>
      <c r="B198" s="5">
        <v>44991</v>
      </c>
      <c r="C198" s="4" t="s">
        <v>210</v>
      </c>
      <c r="D198" s="4" t="s">
        <v>13</v>
      </c>
      <c r="E198" s="4">
        <v>42</v>
      </c>
      <c r="F198" s="4" t="str">
        <f>IF(Table15678[[#This Row],[Age]]&lt;=19,"Teenager",IF(Table15678[[#This Row],[Age]]&lt;=40,"Median","Old"))</f>
        <v>Old</v>
      </c>
      <c r="G198" s="4" t="s">
        <v>14</v>
      </c>
      <c r="H198" s="4">
        <v>4</v>
      </c>
      <c r="I198" s="4">
        <v>50</v>
      </c>
      <c r="J198" s="4">
        <v>200</v>
      </c>
      <c r="K198" s="4" t="str" cm="1">
        <f t="array" ref="K198">_xlfn.IFS(AND(Table15678[[#This Row],[Total Amount]]&gt;=1500),"Critical",AND(Table15678[[#This Row],[Total Amount]]&gt;=1000),"High",TRUE,"Normal")</f>
        <v>Normal</v>
      </c>
      <c r="L198" s="4" t="str">
        <f>IF(Table15678[[#This Row],[Total Amount]]&gt;=1000,"High",(IF(Table15678[[#This Row],[Total Amount]]&gt;=500,"Medium","Low")))</f>
        <v>Low</v>
      </c>
      <c r="M198" s="4" t="str" cm="1">
        <f t="array" ref="M19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98" s="4" cm="1">
        <f t="array" ref="N19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</v>
      </c>
      <c r="O198" s="4">
        <f>Table15678[[#This Row],[Total Amount]]-Table15678[[#This Row],[Discount Amount]]</f>
        <v>160</v>
      </c>
      <c r="P198" s="4" t="str">
        <f>IF(Table15678[[#This Row],[Total Amount]]&gt;=1000,"High","Low")</f>
        <v>Low</v>
      </c>
      <c r="Q198" s="4" t="str" cm="1">
        <f t="array" ref="Q198">_xlfn.IFS(AND(Table15678[[#This Row],[Total Amount]]&gt;=1500,"Critical"),AND(Table15678[[#This Row],[Total Amount]]&gt;=1000,"High"),TRUE,"Normal")</f>
        <v>Normal</v>
      </c>
      <c r="R198" s="4" t="str">
        <f>CONCATENATE(Table15678[[#This Row],[Customer ID]], "-",Table15678[[#This Row],[Age]])</f>
        <v>CUST197-42</v>
      </c>
      <c r="S198" s="4" t="str">
        <f>TEXT(Table15678[[#This Row],[Date]],"mmm")</f>
        <v>Mar</v>
      </c>
      <c r="T198" s="4" t="str">
        <f>TEXT(Table15678[[#This Row],[Date]],"DDD")</f>
        <v>Mon</v>
      </c>
    </row>
    <row r="199" spans="1:20" ht="29" x14ac:dyDescent="0.35">
      <c r="A199" s="4">
        <v>198</v>
      </c>
      <c r="B199" s="5">
        <v>44992</v>
      </c>
      <c r="C199" s="4" t="s">
        <v>211</v>
      </c>
      <c r="D199" s="4" t="s">
        <v>13</v>
      </c>
      <c r="E199" s="4">
        <v>54</v>
      </c>
      <c r="F199" s="4" t="str">
        <f>IF(Table15678[[#This Row],[Age]]&lt;=19,"Teenager",IF(Table15678[[#This Row],[Age]]&lt;=40,"Median","Old"))</f>
        <v>Old</v>
      </c>
      <c r="G199" s="4" t="s">
        <v>11</v>
      </c>
      <c r="H199" s="4">
        <v>3</v>
      </c>
      <c r="I199" s="4">
        <v>300</v>
      </c>
      <c r="J199" s="4">
        <v>900</v>
      </c>
      <c r="K199" s="4" t="str" cm="1">
        <f t="array" ref="K199">_xlfn.IFS(AND(Table15678[[#This Row],[Total Amount]]&gt;=1500),"Critical",AND(Table15678[[#This Row],[Total Amount]]&gt;=1000),"High",TRUE,"Normal")</f>
        <v>Normal</v>
      </c>
      <c r="L199" s="4" t="str">
        <f>IF(Table15678[[#This Row],[Total Amount]]&gt;=1000,"High",(IF(Table15678[[#This Row],[Total Amount]]&gt;=500,"Medium","Low")))</f>
        <v>Medium</v>
      </c>
      <c r="M199" s="4" t="str" cm="1">
        <f t="array" ref="M19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99" s="4" cm="1">
        <f t="array" ref="N19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199" s="4">
        <f>Table15678[[#This Row],[Total Amount]]-Table15678[[#This Row],[Discount Amount]]</f>
        <v>720</v>
      </c>
      <c r="P199" s="4" t="str">
        <f>IF(Table15678[[#This Row],[Total Amount]]&gt;=1000,"High","Low")</f>
        <v>Low</v>
      </c>
      <c r="Q199" s="4" t="str" cm="1">
        <f t="array" ref="Q199">_xlfn.IFS(AND(Table15678[[#This Row],[Total Amount]]&gt;=1500,"Critical"),AND(Table15678[[#This Row],[Total Amount]]&gt;=1000,"High"),TRUE,"Normal")</f>
        <v>Normal</v>
      </c>
      <c r="R199" s="4" t="str">
        <f>CONCATENATE(Table15678[[#This Row],[Customer ID]], "-",Table15678[[#This Row],[Age]])</f>
        <v>CUST198-54</v>
      </c>
      <c r="S199" s="4" t="str">
        <f>TEXT(Table15678[[#This Row],[Date]],"mmm")</f>
        <v>Mar</v>
      </c>
      <c r="T199" s="4" t="str">
        <f>TEXT(Table15678[[#This Row],[Date]],"DDD")</f>
        <v>Tue</v>
      </c>
    </row>
    <row r="200" spans="1:20" ht="29" x14ac:dyDescent="0.35">
      <c r="A200" s="4">
        <v>199</v>
      </c>
      <c r="B200" s="5">
        <v>45264</v>
      </c>
      <c r="C200" s="4" t="s">
        <v>212</v>
      </c>
      <c r="D200" s="4" t="s">
        <v>10</v>
      </c>
      <c r="E200" s="4">
        <v>45</v>
      </c>
      <c r="F200" s="4" t="str">
        <f>IF(Table15678[[#This Row],[Age]]&lt;=19,"Teenager",IF(Table15678[[#This Row],[Age]]&lt;=40,"Median","Old"))</f>
        <v>Old</v>
      </c>
      <c r="G200" s="4" t="s">
        <v>11</v>
      </c>
      <c r="H200" s="4">
        <v>3</v>
      </c>
      <c r="I200" s="4">
        <v>500</v>
      </c>
      <c r="J200" s="4">
        <v>1500</v>
      </c>
      <c r="K200" s="4" t="str" cm="1">
        <f t="array" ref="K200">_xlfn.IFS(AND(Table15678[[#This Row],[Total Amount]]&gt;=1500),"Critical",AND(Table15678[[#This Row],[Total Amount]]&gt;=1000),"High",TRUE,"Normal")</f>
        <v>Critical</v>
      </c>
      <c r="L200" s="4" t="str">
        <f>IF(Table15678[[#This Row],[Total Amount]]&gt;=1000,"High",(IF(Table15678[[#This Row],[Total Amount]]&gt;=500,"Medium","Low")))</f>
        <v>High</v>
      </c>
      <c r="M200" s="4" t="str" cm="1">
        <f t="array" ref="M20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00" s="4" cm="1">
        <f t="array" ref="N20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150</v>
      </c>
      <c r="O200" s="4">
        <f>Table15678[[#This Row],[Total Amount]]-Table15678[[#This Row],[Discount Amount]]</f>
        <v>1350</v>
      </c>
      <c r="P200" s="4" t="str">
        <f>IF(Table15678[[#This Row],[Total Amount]]&gt;=1000,"High","Low")</f>
        <v>High</v>
      </c>
      <c r="Q200" s="4" t="b" cm="1">
        <f t="array" ref="Q200">_xlfn.IFS(AND(Table15678[[#This Row],[Total Amount]]&gt;=1500,"Critical"),AND(Table15678[[#This Row],[Total Amount]]&gt;=1000,"High"),TRUE,"Normal")</f>
        <v>1</v>
      </c>
      <c r="R200" s="4" t="str">
        <f>CONCATENATE(Table15678[[#This Row],[Customer ID]], "-",Table15678[[#This Row],[Age]])</f>
        <v>CUST199-45</v>
      </c>
      <c r="S200" s="4" t="str">
        <f>TEXT(Table15678[[#This Row],[Date]],"mmm")</f>
        <v>Dec</v>
      </c>
      <c r="T200" s="4" t="str">
        <f>TEXT(Table15678[[#This Row],[Date]],"DDD")</f>
        <v>Mon</v>
      </c>
    </row>
    <row r="201" spans="1:20" ht="29" x14ac:dyDescent="0.35">
      <c r="A201" s="4">
        <v>200</v>
      </c>
      <c r="B201" s="5">
        <v>45170</v>
      </c>
      <c r="C201" s="4" t="s">
        <v>213</v>
      </c>
      <c r="D201" s="4" t="s">
        <v>10</v>
      </c>
      <c r="E201" s="4">
        <v>27</v>
      </c>
      <c r="F201" s="4" t="str">
        <f>IF(Table15678[[#This Row],[Age]]&lt;=19,"Teenager",IF(Table15678[[#This Row],[Age]]&lt;=40,"Median","Old"))</f>
        <v>Median</v>
      </c>
      <c r="G201" s="4" t="s">
        <v>11</v>
      </c>
      <c r="H201" s="4">
        <v>3</v>
      </c>
      <c r="I201" s="4">
        <v>50</v>
      </c>
      <c r="J201" s="4">
        <v>150</v>
      </c>
      <c r="K201" s="4" t="str" cm="1">
        <f t="array" ref="K201">_xlfn.IFS(AND(Table15678[[#This Row],[Total Amount]]&gt;=1500),"Critical",AND(Table15678[[#This Row],[Total Amount]]&gt;=1000),"High",TRUE,"Normal")</f>
        <v>Normal</v>
      </c>
      <c r="L201" s="4" t="str">
        <f>IF(Table15678[[#This Row],[Total Amount]]&gt;=1000,"High",(IF(Table15678[[#This Row],[Total Amount]]&gt;=500,"Medium","Low")))</f>
        <v>Low</v>
      </c>
      <c r="M201" s="4" t="str" cm="1">
        <f t="array" ref="M20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01" s="4" cm="1">
        <f t="array" ref="N20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22.5</v>
      </c>
      <c r="O201" s="4">
        <f>Table15678[[#This Row],[Total Amount]]-Table15678[[#This Row],[Discount Amount]]</f>
        <v>127.5</v>
      </c>
      <c r="P201" s="4" t="str">
        <f>IF(Table15678[[#This Row],[Total Amount]]&gt;=1000,"High","Low")</f>
        <v>Low</v>
      </c>
      <c r="Q201" s="4" t="str" cm="1">
        <f t="array" ref="Q201">_xlfn.IFS(AND(Table15678[[#This Row],[Total Amount]]&gt;=1500,"Critical"),AND(Table15678[[#This Row],[Total Amount]]&gt;=1000,"High"),TRUE,"Normal")</f>
        <v>Normal</v>
      </c>
      <c r="R201" s="4" t="str">
        <f>CONCATENATE(Table15678[[#This Row],[Customer ID]], "-",Table15678[[#This Row],[Age]])</f>
        <v>CUST200-27</v>
      </c>
      <c r="S201" s="4" t="str">
        <f>TEXT(Table15678[[#This Row],[Date]],"mmm")</f>
        <v>Sep</v>
      </c>
      <c r="T201" s="4" t="str">
        <f>TEXT(Table15678[[#This Row],[Date]],"DDD")</f>
        <v>Fri</v>
      </c>
    </row>
    <row r="202" spans="1:20" ht="29" x14ac:dyDescent="0.35">
      <c r="A202" s="4">
        <v>201</v>
      </c>
      <c r="B202" s="5">
        <v>45208</v>
      </c>
      <c r="C202" s="4" t="s">
        <v>214</v>
      </c>
      <c r="D202" s="4" t="s">
        <v>10</v>
      </c>
      <c r="E202" s="4">
        <v>56</v>
      </c>
      <c r="F202" s="4" t="str">
        <f>IF(Table15678[[#This Row],[Age]]&lt;=19,"Teenager",IF(Table15678[[#This Row],[Age]]&lt;=40,"Median","Old"))</f>
        <v>Old</v>
      </c>
      <c r="G202" s="4" t="s">
        <v>16</v>
      </c>
      <c r="H202" s="4">
        <v>1</v>
      </c>
      <c r="I202" s="4">
        <v>25</v>
      </c>
      <c r="J202" s="4">
        <v>25</v>
      </c>
      <c r="K202" s="4" t="str" cm="1">
        <f t="array" ref="K202">_xlfn.IFS(AND(Table15678[[#This Row],[Total Amount]]&gt;=1500),"Critical",AND(Table15678[[#This Row],[Total Amount]]&gt;=1000),"High",TRUE,"Normal")</f>
        <v>Normal</v>
      </c>
      <c r="L202" s="4" t="str">
        <f>IF(Table15678[[#This Row],[Total Amount]]&gt;=1000,"High",(IF(Table15678[[#This Row],[Total Amount]]&gt;=500,"Medium","Low")))</f>
        <v>Low</v>
      </c>
      <c r="M202" s="4" t="str" cm="1">
        <f t="array" ref="M20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02" s="4" cm="1">
        <f t="array" ref="N20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2.5</v>
      </c>
      <c r="O202" s="4">
        <f>Table15678[[#This Row],[Total Amount]]-Table15678[[#This Row],[Discount Amount]]</f>
        <v>22.5</v>
      </c>
      <c r="P202" s="4" t="str">
        <f>IF(Table15678[[#This Row],[Total Amount]]&gt;=1000,"High","Low")</f>
        <v>Low</v>
      </c>
      <c r="Q202" s="4" t="str" cm="1">
        <f t="array" ref="Q202">_xlfn.IFS(AND(Table15678[[#This Row],[Total Amount]]&gt;=1500,"Critical"),AND(Table15678[[#This Row],[Total Amount]]&gt;=1000,"High"),TRUE,"Normal")</f>
        <v>Normal</v>
      </c>
      <c r="R202" s="4" t="str">
        <f>CONCATENATE(Table15678[[#This Row],[Customer ID]], "-",Table15678[[#This Row],[Age]])</f>
        <v>CUST201-56</v>
      </c>
      <c r="S202" s="4" t="str">
        <f>TEXT(Table15678[[#This Row],[Date]],"mmm")</f>
        <v>Oct</v>
      </c>
      <c r="T202" s="4" t="str">
        <f>TEXT(Table15678[[#This Row],[Date]],"DDD")</f>
        <v>Mon</v>
      </c>
    </row>
    <row r="203" spans="1:20" ht="29" x14ac:dyDescent="0.35">
      <c r="A203" s="4">
        <v>202</v>
      </c>
      <c r="B203" s="5">
        <v>45011</v>
      </c>
      <c r="C203" s="4" t="s">
        <v>215</v>
      </c>
      <c r="D203" s="4" t="s">
        <v>13</v>
      </c>
      <c r="E203" s="4">
        <v>34</v>
      </c>
      <c r="F203" s="4" t="str">
        <f>IF(Table15678[[#This Row],[Age]]&lt;=19,"Teenager",IF(Table15678[[#This Row],[Age]]&lt;=40,"Median","Old"))</f>
        <v>Median</v>
      </c>
      <c r="G203" s="4" t="s">
        <v>14</v>
      </c>
      <c r="H203" s="4">
        <v>4</v>
      </c>
      <c r="I203" s="4">
        <v>300</v>
      </c>
      <c r="J203" s="4">
        <v>1200</v>
      </c>
      <c r="K203" s="4" t="str" cm="1">
        <f t="array" ref="K203">_xlfn.IFS(AND(Table15678[[#This Row],[Total Amount]]&gt;=1500),"Critical",AND(Table15678[[#This Row],[Total Amount]]&gt;=1000),"High",TRUE,"Normal")</f>
        <v>High</v>
      </c>
      <c r="L203" s="4" t="str">
        <f>IF(Table15678[[#This Row],[Total Amount]]&gt;=1000,"High",(IF(Table15678[[#This Row],[Total Amount]]&gt;=500,"Medium","Low")))</f>
        <v>High</v>
      </c>
      <c r="M203" s="4" t="str" cm="1">
        <f t="array" ref="M20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03" s="4" cm="1">
        <f t="array" ref="N20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203" s="4">
        <f>Table15678[[#This Row],[Total Amount]]-Table15678[[#This Row],[Discount Amount]]</f>
        <v>1020</v>
      </c>
      <c r="P203" s="4" t="str">
        <f>IF(Table15678[[#This Row],[Total Amount]]&gt;=1000,"High","Low")</f>
        <v>High</v>
      </c>
      <c r="Q203" s="4" t="str" cm="1">
        <f t="array" ref="Q203">_xlfn.IFS(AND(Table15678[[#This Row],[Total Amount]]&gt;=1500,"Critical"),AND(Table15678[[#This Row],[Total Amount]]&gt;=1000,"High"),TRUE,"Normal")</f>
        <v>Normal</v>
      </c>
      <c r="R203" s="4" t="str">
        <f>CONCATENATE(Table15678[[#This Row],[Customer ID]], "-",Table15678[[#This Row],[Age]])</f>
        <v>CUST202-34</v>
      </c>
      <c r="S203" s="4" t="str">
        <f>TEXT(Table15678[[#This Row],[Date]],"mmm")</f>
        <v>Mar</v>
      </c>
      <c r="T203" s="4" t="str">
        <f>TEXT(Table15678[[#This Row],[Date]],"DDD")</f>
        <v>Sun</v>
      </c>
    </row>
    <row r="204" spans="1:20" ht="29" x14ac:dyDescent="0.35">
      <c r="A204" s="4">
        <v>203</v>
      </c>
      <c r="B204" s="5">
        <v>45062</v>
      </c>
      <c r="C204" s="4" t="s">
        <v>216</v>
      </c>
      <c r="D204" s="4" t="s">
        <v>10</v>
      </c>
      <c r="E204" s="4">
        <v>56</v>
      </c>
      <c r="F204" s="4" t="str">
        <f>IF(Table15678[[#This Row],[Age]]&lt;=19,"Teenager",IF(Table15678[[#This Row],[Age]]&lt;=40,"Median","Old"))</f>
        <v>Old</v>
      </c>
      <c r="G204" s="4" t="s">
        <v>14</v>
      </c>
      <c r="H204" s="4">
        <v>2</v>
      </c>
      <c r="I204" s="4">
        <v>500</v>
      </c>
      <c r="J204" s="4">
        <v>1000</v>
      </c>
      <c r="K204" s="4" t="str" cm="1">
        <f t="array" ref="K204">_xlfn.IFS(AND(Table15678[[#This Row],[Total Amount]]&gt;=1500),"Critical",AND(Table15678[[#This Row],[Total Amount]]&gt;=1000),"High",TRUE,"Normal")</f>
        <v>High</v>
      </c>
      <c r="L204" s="4" t="str">
        <f>IF(Table15678[[#This Row],[Total Amount]]&gt;=1000,"High",(IF(Table15678[[#This Row],[Total Amount]]&gt;=500,"Medium","Low")))</f>
        <v>High</v>
      </c>
      <c r="M204" s="4" t="str" cm="1">
        <f t="array" ref="M20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04" s="4" cm="1">
        <f t="array" ref="N20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204" s="4">
        <f>Table15678[[#This Row],[Total Amount]]-Table15678[[#This Row],[Discount Amount]]</f>
        <v>900</v>
      </c>
      <c r="P204" s="4" t="str">
        <f>IF(Table15678[[#This Row],[Total Amount]]&gt;=1000,"High","Low")</f>
        <v>High</v>
      </c>
      <c r="Q204" s="4" t="str" cm="1">
        <f t="array" ref="Q204">_xlfn.IFS(AND(Table15678[[#This Row],[Total Amount]]&gt;=1500,"Critical"),AND(Table15678[[#This Row],[Total Amount]]&gt;=1000,"High"),TRUE,"Normal")</f>
        <v>Normal</v>
      </c>
      <c r="R204" s="4" t="str">
        <f>CONCATENATE(Table15678[[#This Row],[Customer ID]], "-",Table15678[[#This Row],[Age]])</f>
        <v>CUST203-56</v>
      </c>
      <c r="S204" s="4" t="str">
        <f>TEXT(Table15678[[#This Row],[Date]],"mmm")</f>
        <v>May</v>
      </c>
      <c r="T204" s="4" t="str">
        <f>TEXT(Table15678[[#This Row],[Date]],"DDD")</f>
        <v>Tue</v>
      </c>
    </row>
    <row r="205" spans="1:20" ht="29" x14ac:dyDescent="0.35">
      <c r="A205" s="4">
        <v>204</v>
      </c>
      <c r="B205" s="5">
        <v>45197</v>
      </c>
      <c r="C205" s="4" t="s">
        <v>217</v>
      </c>
      <c r="D205" s="4" t="s">
        <v>10</v>
      </c>
      <c r="E205" s="4">
        <v>39</v>
      </c>
      <c r="F205" s="4" t="str">
        <f>IF(Table15678[[#This Row],[Age]]&lt;=19,"Teenager",IF(Table15678[[#This Row],[Age]]&lt;=40,"Median","Old"))</f>
        <v>Median</v>
      </c>
      <c r="G205" s="4" t="s">
        <v>11</v>
      </c>
      <c r="H205" s="4">
        <v>1</v>
      </c>
      <c r="I205" s="4">
        <v>25</v>
      </c>
      <c r="J205" s="4">
        <v>25</v>
      </c>
      <c r="K205" s="4" t="str" cm="1">
        <f t="array" ref="K205">_xlfn.IFS(AND(Table15678[[#This Row],[Total Amount]]&gt;=1500),"Critical",AND(Table15678[[#This Row],[Total Amount]]&gt;=1000),"High",TRUE,"Normal")</f>
        <v>Normal</v>
      </c>
      <c r="L205" s="4" t="str">
        <f>IF(Table15678[[#This Row],[Total Amount]]&gt;=1000,"High",(IF(Table15678[[#This Row],[Total Amount]]&gt;=500,"Medium","Low")))</f>
        <v>Low</v>
      </c>
      <c r="M205" s="4" t="str" cm="1">
        <f t="array" ref="M20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05" s="4" cm="1">
        <f t="array" ref="N20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2.5</v>
      </c>
      <c r="O205" s="4">
        <f>Table15678[[#This Row],[Total Amount]]-Table15678[[#This Row],[Discount Amount]]</f>
        <v>22.5</v>
      </c>
      <c r="P205" s="4" t="str">
        <f>IF(Table15678[[#This Row],[Total Amount]]&gt;=1000,"High","Low")</f>
        <v>Low</v>
      </c>
      <c r="Q205" s="4" t="str" cm="1">
        <f t="array" ref="Q205">_xlfn.IFS(AND(Table15678[[#This Row],[Total Amount]]&gt;=1500,"Critical"),AND(Table15678[[#This Row],[Total Amount]]&gt;=1000,"High"),TRUE,"Normal")</f>
        <v>Normal</v>
      </c>
      <c r="R205" s="4" t="str">
        <f>CONCATENATE(Table15678[[#This Row],[Customer ID]], "-",Table15678[[#This Row],[Age]])</f>
        <v>CUST204-39</v>
      </c>
      <c r="S205" s="4" t="str">
        <f>TEXT(Table15678[[#This Row],[Date]],"mmm")</f>
        <v>Sep</v>
      </c>
      <c r="T205" s="4" t="str">
        <f>TEXT(Table15678[[#This Row],[Date]],"DDD")</f>
        <v>Thu</v>
      </c>
    </row>
    <row r="206" spans="1:20" ht="29" x14ac:dyDescent="0.35">
      <c r="A206" s="4">
        <v>205</v>
      </c>
      <c r="B206" s="5">
        <v>45237</v>
      </c>
      <c r="C206" s="4" t="s">
        <v>218</v>
      </c>
      <c r="D206" s="4" t="s">
        <v>13</v>
      </c>
      <c r="E206" s="4">
        <v>43</v>
      </c>
      <c r="F206" s="4" t="str">
        <f>IF(Table15678[[#This Row],[Age]]&lt;=19,"Teenager",IF(Table15678[[#This Row],[Age]]&lt;=40,"Median","Old"))</f>
        <v>Old</v>
      </c>
      <c r="G206" s="4" t="s">
        <v>14</v>
      </c>
      <c r="H206" s="4">
        <v>1</v>
      </c>
      <c r="I206" s="4">
        <v>25</v>
      </c>
      <c r="J206" s="4">
        <v>25</v>
      </c>
      <c r="K206" s="4" t="str" cm="1">
        <f t="array" ref="K206">_xlfn.IFS(AND(Table15678[[#This Row],[Total Amount]]&gt;=1500),"Critical",AND(Table15678[[#This Row],[Total Amount]]&gt;=1000),"High",TRUE,"Normal")</f>
        <v>Normal</v>
      </c>
      <c r="L206" s="4" t="str">
        <f>IF(Table15678[[#This Row],[Total Amount]]&gt;=1000,"High",(IF(Table15678[[#This Row],[Total Amount]]&gt;=500,"Medium","Low")))</f>
        <v>Low</v>
      </c>
      <c r="M206" s="4" t="str" cm="1">
        <f t="array" ref="M20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06" s="4" cm="1">
        <f t="array" ref="N20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206" s="4">
        <f>Table15678[[#This Row],[Total Amount]]-Table15678[[#This Row],[Discount Amount]]</f>
        <v>20</v>
      </c>
      <c r="P206" s="4" t="str">
        <f>IF(Table15678[[#This Row],[Total Amount]]&gt;=1000,"High","Low")</f>
        <v>Low</v>
      </c>
      <c r="Q206" s="4" t="str" cm="1">
        <f t="array" ref="Q206">_xlfn.IFS(AND(Table15678[[#This Row],[Total Amount]]&gt;=1500,"Critical"),AND(Table15678[[#This Row],[Total Amount]]&gt;=1000,"High"),TRUE,"Normal")</f>
        <v>Normal</v>
      </c>
      <c r="R206" s="4" t="str">
        <f>CONCATENATE(Table15678[[#This Row],[Customer ID]], "-",Table15678[[#This Row],[Age]])</f>
        <v>CUST205-43</v>
      </c>
      <c r="S206" s="4" t="str">
        <f>TEXT(Table15678[[#This Row],[Date]],"mmm")</f>
        <v>Nov</v>
      </c>
      <c r="T206" s="4" t="str">
        <f>TEXT(Table15678[[#This Row],[Date]],"DDD")</f>
        <v>Tue</v>
      </c>
    </row>
    <row r="207" spans="1:20" ht="29" x14ac:dyDescent="0.35">
      <c r="A207" s="4">
        <v>206</v>
      </c>
      <c r="B207" s="5">
        <v>45143</v>
      </c>
      <c r="C207" s="4" t="s">
        <v>219</v>
      </c>
      <c r="D207" s="4" t="s">
        <v>10</v>
      </c>
      <c r="E207" s="4">
        <v>61</v>
      </c>
      <c r="F207" s="4" t="str">
        <f>IF(Table15678[[#This Row],[Age]]&lt;=19,"Teenager",IF(Table15678[[#This Row],[Age]]&lt;=40,"Median","Old"))</f>
        <v>Old</v>
      </c>
      <c r="G207" s="4" t="s">
        <v>14</v>
      </c>
      <c r="H207" s="4">
        <v>1</v>
      </c>
      <c r="I207" s="4">
        <v>25</v>
      </c>
      <c r="J207" s="4">
        <v>25</v>
      </c>
      <c r="K207" s="4" t="str" cm="1">
        <f t="array" ref="K207">_xlfn.IFS(AND(Table15678[[#This Row],[Total Amount]]&gt;=1500),"Critical",AND(Table15678[[#This Row],[Total Amount]]&gt;=1000),"High",TRUE,"Normal")</f>
        <v>Normal</v>
      </c>
      <c r="L207" s="4" t="str">
        <f>IF(Table15678[[#This Row],[Total Amount]]&gt;=1000,"High",(IF(Table15678[[#This Row],[Total Amount]]&gt;=500,"Medium","Low")))</f>
        <v>Low</v>
      </c>
      <c r="M207" s="4" t="str" cm="1">
        <f t="array" ref="M20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07" s="4" cm="1">
        <f t="array" ref="N20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2.5</v>
      </c>
      <c r="O207" s="4">
        <f>Table15678[[#This Row],[Total Amount]]-Table15678[[#This Row],[Discount Amount]]</f>
        <v>22.5</v>
      </c>
      <c r="P207" s="4" t="str">
        <f>IF(Table15678[[#This Row],[Total Amount]]&gt;=1000,"High","Low")</f>
        <v>Low</v>
      </c>
      <c r="Q207" s="4" t="str" cm="1">
        <f t="array" ref="Q207">_xlfn.IFS(AND(Table15678[[#This Row],[Total Amount]]&gt;=1500,"Critical"),AND(Table15678[[#This Row],[Total Amount]]&gt;=1000,"High"),TRUE,"Normal")</f>
        <v>Normal</v>
      </c>
      <c r="R207" s="4" t="str">
        <f>CONCATENATE(Table15678[[#This Row],[Customer ID]], "-",Table15678[[#This Row],[Age]])</f>
        <v>CUST206-61</v>
      </c>
      <c r="S207" s="4" t="str">
        <f>TEXT(Table15678[[#This Row],[Date]],"mmm")</f>
        <v>Aug</v>
      </c>
      <c r="T207" s="4" t="str">
        <f>TEXT(Table15678[[#This Row],[Date]],"DDD")</f>
        <v>Sat</v>
      </c>
    </row>
    <row r="208" spans="1:20" ht="29" x14ac:dyDescent="0.35">
      <c r="A208" s="4">
        <v>207</v>
      </c>
      <c r="B208" s="5">
        <v>45035</v>
      </c>
      <c r="C208" s="4" t="s">
        <v>220</v>
      </c>
      <c r="D208" s="4" t="s">
        <v>13</v>
      </c>
      <c r="E208" s="4">
        <v>42</v>
      </c>
      <c r="F208" s="4" t="str">
        <f>IF(Table15678[[#This Row],[Age]]&lt;=19,"Teenager",IF(Table15678[[#This Row],[Age]]&lt;=40,"Median","Old"))</f>
        <v>Old</v>
      </c>
      <c r="G208" s="4" t="s">
        <v>11</v>
      </c>
      <c r="H208" s="4">
        <v>2</v>
      </c>
      <c r="I208" s="4">
        <v>25</v>
      </c>
      <c r="J208" s="4">
        <v>50</v>
      </c>
      <c r="K208" s="4" t="str" cm="1">
        <f t="array" ref="K208">_xlfn.IFS(AND(Table15678[[#This Row],[Total Amount]]&gt;=1500),"Critical",AND(Table15678[[#This Row],[Total Amount]]&gt;=1000),"High",TRUE,"Normal")</f>
        <v>Normal</v>
      </c>
      <c r="L208" s="4" t="str">
        <f>IF(Table15678[[#This Row],[Total Amount]]&gt;=1000,"High",(IF(Table15678[[#This Row],[Total Amount]]&gt;=500,"Medium","Low")))</f>
        <v>Low</v>
      </c>
      <c r="M208" s="4" t="str" cm="1">
        <f t="array" ref="M20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08" s="4" cm="1">
        <f t="array" ref="N20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208" s="4">
        <f>Table15678[[#This Row],[Total Amount]]-Table15678[[#This Row],[Discount Amount]]</f>
        <v>40</v>
      </c>
      <c r="P208" s="4" t="str">
        <f>IF(Table15678[[#This Row],[Total Amount]]&gt;=1000,"High","Low")</f>
        <v>Low</v>
      </c>
      <c r="Q208" s="4" t="str" cm="1">
        <f t="array" ref="Q208">_xlfn.IFS(AND(Table15678[[#This Row],[Total Amount]]&gt;=1500,"Critical"),AND(Table15678[[#This Row],[Total Amount]]&gt;=1000,"High"),TRUE,"Normal")</f>
        <v>Normal</v>
      </c>
      <c r="R208" s="4" t="str">
        <f>CONCATENATE(Table15678[[#This Row],[Customer ID]], "-",Table15678[[#This Row],[Age]])</f>
        <v>CUST207-42</v>
      </c>
      <c r="S208" s="4" t="str">
        <f>TEXT(Table15678[[#This Row],[Date]],"mmm")</f>
        <v>Apr</v>
      </c>
      <c r="T208" s="4" t="str">
        <f>TEXT(Table15678[[#This Row],[Date]],"DDD")</f>
        <v>Wed</v>
      </c>
    </row>
    <row r="209" spans="1:20" ht="29" x14ac:dyDescent="0.35">
      <c r="A209" s="4">
        <v>208</v>
      </c>
      <c r="B209" s="5">
        <v>45203</v>
      </c>
      <c r="C209" s="4" t="s">
        <v>221</v>
      </c>
      <c r="D209" s="4" t="s">
        <v>13</v>
      </c>
      <c r="E209" s="4">
        <v>34</v>
      </c>
      <c r="F209" s="4" t="str">
        <f>IF(Table15678[[#This Row],[Age]]&lt;=19,"Teenager",IF(Table15678[[#This Row],[Age]]&lt;=40,"Median","Old"))</f>
        <v>Median</v>
      </c>
      <c r="G209" s="4" t="s">
        <v>16</v>
      </c>
      <c r="H209" s="4">
        <v>4</v>
      </c>
      <c r="I209" s="4">
        <v>50</v>
      </c>
      <c r="J209" s="4">
        <v>200</v>
      </c>
      <c r="K209" s="4" t="str" cm="1">
        <f t="array" ref="K209">_xlfn.IFS(AND(Table15678[[#This Row],[Total Amount]]&gt;=1500),"Critical",AND(Table15678[[#This Row],[Total Amount]]&gt;=1000),"High",TRUE,"Normal")</f>
        <v>Normal</v>
      </c>
      <c r="L209" s="4" t="str">
        <f>IF(Table15678[[#This Row],[Total Amount]]&gt;=1000,"High",(IF(Table15678[[#This Row],[Total Amount]]&gt;=500,"Medium","Low")))</f>
        <v>Low</v>
      </c>
      <c r="M209" s="4" t="str" cm="1">
        <f t="array" ref="M20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09" s="4" cm="1">
        <f t="array" ref="N20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209" s="4">
        <f>Table15678[[#This Row],[Total Amount]]-Table15678[[#This Row],[Discount Amount]]</f>
        <v>170</v>
      </c>
      <c r="P209" s="4" t="str">
        <f>IF(Table15678[[#This Row],[Total Amount]]&gt;=1000,"High","Low")</f>
        <v>Low</v>
      </c>
      <c r="Q209" s="4" t="str" cm="1">
        <f t="array" ref="Q209">_xlfn.IFS(AND(Table15678[[#This Row],[Total Amount]]&gt;=1500,"Critical"),AND(Table15678[[#This Row],[Total Amount]]&gt;=1000,"High"),TRUE,"Normal")</f>
        <v>Normal</v>
      </c>
      <c r="R209" s="4" t="str">
        <f>CONCATENATE(Table15678[[#This Row],[Customer ID]], "-",Table15678[[#This Row],[Age]])</f>
        <v>CUST208-34</v>
      </c>
      <c r="S209" s="4" t="str">
        <f>TEXT(Table15678[[#This Row],[Date]],"mmm")</f>
        <v>Oct</v>
      </c>
      <c r="T209" s="4" t="str">
        <f>TEXT(Table15678[[#This Row],[Date]],"DDD")</f>
        <v>Wed</v>
      </c>
    </row>
    <row r="210" spans="1:20" ht="29" x14ac:dyDescent="0.35">
      <c r="A210" s="4">
        <v>209</v>
      </c>
      <c r="B210" s="5">
        <v>45280</v>
      </c>
      <c r="C210" s="4" t="s">
        <v>222</v>
      </c>
      <c r="D210" s="4" t="s">
        <v>13</v>
      </c>
      <c r="E210" s="4">
        <v>30</v>
      </c>
      <c r="F210" s="4" t="str">
        <f>IF(Table15678[[#This Row],[Age]]&lt;=19,"Teenager",IF(Table15678[[#This Row],[Age]]&lt;=40,"Median","Old"))</f>
        <v>Median</v>
      </c>
      <c r="G210" s="4" t="s">
        <v>16</v>
      </c>
      <c r="H210" s="4">
        <v>4</v>
      </c>
      <c r="I210" s="4">
        <v>50</v>
      </c>
      <c r="J210" s="4">
        <v>200</v>
      </c>
      <c r="K210" s="4" t="str" cm="1">
        <f t="array" ref="K210">_xlfn.IFS(AND(Table15678[[#This Row],[Total Amount]]&gt;=1500),"Critical",AND(Table15678[[#This Row],[Total Amount]]&gt;=1000),"High",TRUE,"Normal")</f>
        <v>Normal</v>
      </c>
      <c r="L210" s="4" t="str">
        <f>IF(Table15678[[#This Row],[Total Amount]]&gt;=1000,"High",(IF(Table15678[[#This Row],[Total Amount]]&gt;=500,"Medium","Low")))</f>
        <v>Low</v>
      </c>
      <c r="M210" s="4" t="str" cm="1">
        <f t="array" ref="M21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10" s="4" cm="1">
        <f t="array" ref="N21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210" s="4">
        <f>Table15678[[#This Row],[Total Amount]]-Table15678[[#This Row],[Discount Amount]]</f>
        <v>170</v>
      </c>
      <c r="P210" s="4" t="str">
        <f>IF(Table15678[[#This Row],[Total Amount]]&gt;=1000,"High","Low")</f>
        <v>Low</v>
      </c>
      <c r="Q210" s="4" t="str" cm="1">
        <f t="array" ref="Q210">_xlfn.IFS(AND(Table15678[[#This Row],[Total Amount]]&gt;=1500,"Critical"),AND(Table15678[[#This Row],[Total Amount]]&gt;=1000,"High"),TRUE,"Normal")</f>
        <v>Normal</v>
      </c>
      <c r="R210" s="4" t="str">
        <f>CONCATENATE(Table15678[[#This Row],[Customer ID]], "-",Table15678[[#This Row],[Age]])</f>
        <v>CUST209-30</v>
      </c>
      <c r="S210" s="4" t="str">
        <f>TEXT(Table15678[[#This Row],[Date]],"mmm")</f>
        <v>Dec</v>
      </c>
      <c r="T210" s="4" t="str">
        <f>TEXT(Table15678[[#This Row],[Date]],"DDD")</f>
        <v>Wed</v>
      </c>
    </row>
    <row r="211" spans="1:20" ht="29" x14ac:dyDescent="0.35">
      <c r="A211" s="4">
        <v>210</v>
      </c>
      <c r="B211" s="5">
        <v>45029</v>
      </c>
      <c r="C211" s="4" t="s">
        <v>223</v>
      </c>
      <c r="D211" s="4" t="s">
        <v>10</v>
      </c>
      <c r="E211" s="4">
        <v>37</v>
      </c>
      <c r="F211" s="4" t="str">
        <f>IF(Table15678[[#This Row],[Age]]&lt;=19,"Teenager",IF(Table15678[[#This Row],[Age]]&lt;=40,"Median","Old"))</f>
        <v>Median</v>
      </c>
      <c r="G211" s="4" t="s">
        <v>16</v>
      </c>
      <c r="H211" s="4">
        <v>4</v>
      </c>
      <c r="I211" s="4">
        <v>50</v>
      </c>
      <c r="J211" s="4">
        <v>200</v>
      </c>
      <c r="K211" s="4" t="str" cm="1">
        <f t="array" ref="K211">_xlfn.IFS(AND(Table15678[[#This Row],[Total Amount]]&gt;=1500),"Critical",AND(Table15678[[#This Row],[Total Amount]]&gt;=1000),"High",TRUE,"Normal")</f>
        <v>Normal</v>
      </c>
      <c r="L211" s="4" t="str">
        <f>IF(Table15678[[#This Row],[Total Amount]]&gt;=1000,"High",(IF(Table15678[[#This Row],[Total Amount]]&gt;=500,"Medium","Low")))</f>
        <v>Low</v>
      </c>
      <c r="M211" s="4" t="str" cm="1">
        <f t="array" ref="M21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11" s="4" cm="1">
        <f t="array" ref="N21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211" s="4">
        <f>Table15678[[#This Row],[Total Amount]]-Table15678[[#This Row],[Discount Amount]]</f>
        <v>180</v>
      </c>
      <c r="P211" s="4" t="str">
        <f>IF(Table15678[[#This Row],[Total Amount]]&gt;=1000,"High","Low")</f>
        <v>Low</v>
      </c>
      <c r="Q211" s="4" t="str" cm="1">
        <f t="array" ref="Q211">_xlfn.IFS(AND(Table15678[[#This Row],[Total Amount]]&gt;=1500,"Critical"),AND(Table15678[[#This Row],[Total Amount]]&gt;=1000,"High"),TRUE,"Normal")</f>
        <v>Normal</v>
      </c>
      <c r="R211" s="4" t="str">
        <f>CONCATENATE(Table15678[[#This Row],[Customer ID]], "-",Table15678[[#This Row],[Age]])</f>
        <v>CUST210-37</v>
      </c>
      <c r="S211" s="4" t="str">
        <f>TEXT(Table15678[[#This Row],[Date]],"mmm")</f>
        <v>Apr</v>
      </c>
      <c r="T211" s="4" t="str">
        <f>TEXT(Table15678[[#This Row],[Date]],"DDD")</f>
        <v>Thu</v>
      </c>
    </row>
    <row r="212" spans="1:20" ht="29" x14ac:dyDescent="0.35">
      <c r="A212" s="4">
        <v>211</v>
      </c>
      <c r="B212" s="5">
        <v>45292</v>
      </c>
      <c r="C212" s="4" t="s">
        <v>224</v>
      </c>
      <c r="D212" s="4" t="s">
        <v>10</v>
      </c>
      <c r="E212" s="4">
        <v>42</v>
      </c>
      <c r="F212" s="4" t="str">
        <f>IF(Table15678[[#This Row],[Age]]&lt;=19,"Teenager",IF(Table15678[[#This Row],[Age]]&lt;=40,"Median","Old"))</f>
        <v>Old</v>
      </c>
      <c r="G212" s="4" t="s">
        <v>11</v>
      </c>
      <c r="H212" s="4">
        <v>3</v>
      </c>
      <c r="I212" s="4">
        <v>500</v>
      </c>
      <c r="J212" s="4">
        <v>1500</v>
      </c>
      <c r="K212" s="4" t="str" cm="1">
        <f t="array" ref="K212">_xlfn.IFS(AND(Table15678[[#This Row],[Total Amount]]&gt;=1500),"Critical",AND(Table15678[[#This Row],[Total Amount]]&gt;=1000),"High",TRUE,"Normal")</f>
        <v>Critical</v>
      </c>
      <c r="L212" s="4" t="str">
        <f>IF(Table15678[[#This Row],[Total Amount]]&gt;=1000,"High",(IF(Table15678[[#This Row],[Total Amount]]&gt;=500,"Medium","Low")))</f>
        <v>High</v>
      </c>
      <c r="M212" s="4" t="str" cm="1">
        <f t="array" ref="M21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12" s="4" cm="1">
        <f t="array" ref="N21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150</v>
      </c>
      <c r="O212" s="4">
        <f>Table15678[[#This Row],[Total Amount]]-Table15678[[#This Row],[Discount Amount]]</f>
        <v>1350</v>
      </c>
      <c r="P212" s="4" t="str">
        <f>IF(Table15678[[#This Row],[Total Amount]]&gt;=1000,"High","Low")</f>
        <v>High</v>
      </c>
      <c r="Q212" s="4" t="b" cm="1">
        <f t="array" ref="Q212">_xlfn.IFS(AND(Table15678[[#This Row],[Total Amount]]&gt;=1500,"Critical"),AND(Table15678[[#This Row],[Total Amount]]&gt;=1000,"High"),TRUE,"Normal")</f>
        <v>1</v>
      </c>
      <c r="R212" s="4" t="str">
        <f>CONCATENATE(Table15678[[#This Row],[Customer ID]], "-",Table15678[[#This Row],[Age]])</f>
        <v>CUST211-42</v>
      </c>
      <c r="S212" s="4" t="str">
        <f>TEXT(Table15678[[#This Row],[Date]],"mmm")</f>
        <v>Jan</v>
      </c>
      <c r="T212" s="4" t="str">
        <f>TEXT(Table15678[[#This Row],[Date]],"DDD")</f>
        <v>Mon</v>
      </c>
    </row>
    <row r="213" spans="1:20" ht="29" x14ac:dyDescent="0.35">
      <c r="A213" s="4">
        <v>212</v>
      </c>
      <c r="B213" s="5">
        <v>45086</v>
      </c>
      <c r="C213" s="4" t="s">
        <v>225</v>
      </c>
      <c r="D213" s="4" t="s">
        <v>10</v>
      </c>
      <c r="E213" s="4">
        <v>21</v>
      </c>
      <c r="F213" s="4" t="str">
        <f>IF(Table15678[[#This Row],[Age]]&lt;=19,"Teenager",IF(Table15678[[#This Row],[Age]]&lt;=40,"Median","Old"))</f>
        <v>Median</v>
      </c>
      <c r="G213" s="4" t="s">
        <v>14</v>
      </c>
      <c r="H213" s="4">
        <v>3</v>
      </c>
      <c r="I213" s="4">
        <v>500</v>
      </c>
      <c r="J213" s="4">
        <v>1500</v>
      </c>
      <c r="K213" s="4" t="str" cm="1">
        <f t="array" ref="K213">_xlfn.IFS(AND(Table15678[[#This Row],[Total Amount]]&gt;=1500),"Critical",AND(Table15678[[#This Row],[Total Amount]]&gt;=1000),"High",TRUE,"Normal")</f>
        <v>Critical</v>
      </c>
      <c r="L213" s="4" t="str">
        <f>IF(Table15678[[#This Row],[Total Amount]]&gt;=1000,"High",(IF(Table15678[[#This Row],[Total Amount]]&gt;=500,"Medium","Low")))</f>
        <v>High</v>
      </c>
      <c r="M213" s="4" t="str" cm="1">
        <f t="array" ref="M21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213" s="4" cm="1">
        <f t="array" ref="N21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213" s="4">
        <f>Table15678[[#This Row],[Total Amount]]-Table15678[[#This Row],[Discount Amount]]</f>
        <v>1500</v>
      </c>
      <c r="P213" s="4" t="str">
        <f>IF(Table15678[[#This Row],[Total Amount]]&gt;=1000,"High","Low")</f>
        <v>High</v>
      </c>
      <c r="Q213" s="4" t="b" cm="1">
        <f t="array" ref="Q213">_xlfn.IFS(AND(Table15678[[#This Row],[Total Amount]]&gt;=1500,"Critical"),AND(Table15678[[#This Row],[Total Amount]]&gt;=1000,"High"),TRUE,"Normal")</f>
        <v>1</v>
      </c>
      <c r="R213" s="4" t="str">
        <f>CONCATENATE(Table15678[[#This Row],[Customer ID]], "-",Table15678[[#This Row],[Age]])</f>
        <v>CUST212-21</v>
      </c>
      <c r="S213" s="4" t="str">
        <f>TEXT(Table15678[[#This Row],[Date]],"mmm")</f>
        <v>Jun</v>
      </c>
      <c r="T213" s="4" t="str">
        <f>TEXT(Table15678[[#This Row],[Date]],"DDD")</f>
        <v>Fri</v>
      </c>
    </row>
    <row r="214" spans="1:20" ht="29" x14ac:dyDescent="0.35">
      <c r="A214" s="4">
        <v>213</v>
      </c>
      <c r="B214" s="5">
        <v>45131</v>
      </c>
      <c r="C214" s="4" t="s">
        <v>226</v>
      </c>
      <c r="D214" s="4" t="s">
        <v>10</v>
      </c>
      <c r="E214" s="4">
        <v>27</v>
      </c>
      <c r="F214" s="4" t="str">
        <f>IF(Table15678[[#This Row],[Age]]&lt;=19,"Teenager",IF(Table15678[[#This Row],[Age]]&lt;=40,"Median","Old"))</f>
        <v>Median</v>
      </c>
      <c r="G214" s="4" t="s">
        <v>11</v>
      </c>
      <c r="H214" s="4">
        <v>3</v>
      </c>
      <c r="I214" s="4">
        <v>500</v>
      </c>
      <c r="J214" s="4">
        <v>1500</v>
      </c>
      <c r="K214" s="4" t="str" cm="1">
        <f t="array" ref="K214">_xlfn.IFS(AND(Table15678[[#This Row],[Total Amount]]&gt;=1500),"Critical",AND(Table15678[[#This Row],[Total Amount]]&gt;=1000),"High",TRUE,"Normal")</f>
        <v>Critical</v>
      </c>
      <c r="L214" s="4" t="str">
        <f>IF(Table15678[[#This Row],[Total Amount]]&gt;=1000,"High",(IF(Table15678[[#This Row],[Total Amount]]&gt;=500,"Medium","Low")))</f>
        <v>High</v>
      </c>
      <c r="M214" s="4" t="str" cm="1">
        <f t="array" ref="M21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14" s="4" cm="1">
        <f t="array" ref="N21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225</v>
      </c>
      <c r="O214" s="4">
        <f>Table15678[[#This Row],[Total Amount]]-Table15678[[#This Row],[Discount Amount]]</f>
        <v>1275</v>
      </c>
      <c r="P214" s="4" t="str">
        <f>IF(Table15678[[#This Row],[Total Amount]]&gt;=1000,"High","Low")</f>
        <v>High</v>
      </c>
      <c r="Q214" s="4" t="b" cm="1">
        <f t="array" ref="Q214">_xlfn.IFS(AND(Table15678[[#This Row],[Total Amount]]&gt;=1500,"Critical"),AND(Table15678[[#This Row],[Total Amount]]&gt;=1000,"High"),TRUE,"Normal")</f>
        <v>1</v>
      </c>
      <c r="R214" s="4" t="str">
        <f>CONCATENATE(Table15678[[#This Row],[Customer ID]], "-",Table15678[[#This Row],[Age]])</f>
        <v>CUST213-27</v>
      </c>
      <c r="S214" s="4" t="str">
        <f>TEXT(Table15678[[#This Row],[Date]],"mmm")</f>
        <v>Jul</v>
      </c>
      <c r="T214" s="4" t="str">
        <f>TEXT(Table15678[[#This Row],[Date]],"DDD")</f>
        <v>Mon</v>
      </c>
    </row>
    <row r="215" spans="1:20" ht="29" x14ac:dyDescent="0.35">
      <c r="A215" s="4">
        <v>214</v>
      </c>
      <c r="B215" s="5">
        <v>45270</v>
      </c>
      <c r="C215" s="4" t="s">
        <v>227</v>
      </c>
      <c r="D215" s="4" t="s">
        <v>10</v>
      </c>
      <c r="E215" s="4">
        <v>20</v>
      </c>
      <c r="F215" s="4" t="str">
        <f>IF(Table15678[[#This Row],[Age]]&lt;=19,"Teenager",IF(Table15678[[#This Row],[Age]]&lt;=40,"Median","Old"))</f>
        <v>Median</v>
      </c>
      <c r="G215" s="4" t="s">
        <v>11</v>
      </c>
      <c r="H215" s="4">
        <v>2</v>
      </c>
      <c r="I215" s="4">
        <v>30</v>
      </c>
      <c r="J215" s="4">
        <v>60</v>
      </c>
      <c r="K215" s="4" t="str" cm="1">
        <f t="array" ref="K215">_xlfn.IFS(AND(Table15678[[#This Row],[Total Amount]]&gt;=1500),"Critical",AND(Table15678[[#This Row],[Total Amount]]&gt;=1000),"High",TRUE,"Normal")</f>
        <v>Normal</v>
      </c>
      <c r="L215" s="4" t="str">
        <f>IF(Table15678[[#This Row],[Total Amount]]&gt;=1000,"High",(IF(Table15678[[#This Row],[Total Amount]]&gt;=500,"Medium","Low")))</f>
        <v>Low</v>
      </c>
      <c r="M215" s="4" t="str" cm="1">
        <f t="array" ref="M21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215" s="4" cm="1">
        <f t="array" ref="N21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215" s="4">
        <f>Table15678[[#This Row],[Total Amount]]-Table15678[[#This Row],[Discount Amount]]</f>
        <v>60</v>
      </c>
      <c r="P215" s="4" t="str">
        <f>IF(Table15678[[#This Row],[Total Amount]]&gt;=1000,"High","Low")</f>
        <v>Low</v>
      </c>
      <c r="Q215" s="4" t="str" cm="1">
        <f t="array" ref="Q215">_xlfn.IFS(AND(Table15678[[#This Row],[Total Amount]]&gt;=1500,"Critical"),AND(Table15678[[#This Row],[Total Amount]]&gt;=1000,"High"),TRUE,"Normal")</f>
        <v>Normal</v>
      </c>
      <c r="R215" s="4" t="str">
        <f>CONCATENATE(Table15678[[#This Row],[Customer ID]], "-",Table15678[[#This Row],[Age]])</f>
        <v>CUST214-20</v>
      </c>
      <c r="S215" s="4" t="str">
        <f>TEXT(Table15678[[#This Row],[Date]],"mmm")</f>
        <v>Dec</v>
      </c>
      <c r="T215" s="4" t="str">
        <f>TEXT(Table15678[[#This Row],[Date]],"DDD")</f>
        <v>Sun</v>
      </c>
    </row>
    <row r="216" spans="1:20" ht="29" x14ac:dyDescent="0.35">
      <c r="A216" s="4">
        <v>215</v>
      </c>
      <c r="B216" s="5">
        <v>45259</v>
      </c>
      <c r="C216" s="4" t="s">
        <v>228</v>
      </c>
      <c r="D216" s="4" t="s">
        <v>10</v>
      </c>
      <c r="E216" s="4">
        <v>58</v>
      </c>
      <c r="F216" s="4" t="str">
        <f>IF(Table15678[[#This Row],[Age]]&lt;=19,"Teenager",IF(Table15678[[#This Row],[Age]]&lt;=40,"Median","Old"))</f>
        <v>Old</v>
      </c>
      <c r="G216" s="4" t="s">
        <v>14</v>
      </c>
      <c r="H216" s="4">
        <v>3</v>
      </c>
      <c r="I216" s="4">
        <v>500</v>
      </c>
      <c r="J216" s="4">
        <v>1500</v>
      </c>
      <c r="K216" s="4" t="str" cm="1">
        <f t="array" ref="K216">_xlfn.IFS(AND(Table15678[[#This Row],[Total Amount]]&gt;=1500),"Critical",AND(Table15678[[#This Row],[Total Amount]]&gt;=1000),"High",TRUE,"Normal")</f>
        <v>Critical</v>
      </c>
      <c r="L216" s="4" t="str">
        <f>IF(Table15678[[#This Row],[Total Amount]]&gt;=1000,"High",(IF(Table15678[[#This Row],[Total Amount]]&gt;=500,"Medium","Low")))</f>
        <v>High</v>
      </c>
      <c r="M216" s="4" t="str" cm="1">
        <f t="array" ref="M21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16" s="4" cm="1">
        <f t="array" ref="N21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150</v>
      </c>
      <c r="O216" s="4">
        <f>Table15678[[#This Row],[Total Amount]]-Table15678[[#This Row],[Discount Amount]]</f>
        <v>1350</v>
      </c>
      <c r="P216" s="4" t="str">
        <f>IF(Table15678[[#This Row],[Total Amount]]&gt;=1000,"High","Low")</f>
        <v>High</v>
      </c>
      <c r="Q216" s="4" t="b" cm="1">
        <f t="array" ref="Q216">_xlfn.IFS(AND(Table15678[[#This Row],[Total Amount]]&gt;=1500,"Critical"),AND(Table15678[[#This Row],[Total Amount]]&gt;=1000,"High"),TRUE,"Normal")</f>
        <v>1</v>
      </c>
      <c r="R216" s="4" t="str">
        <f>CONCATENATE(Table15678[[#This Row],[Customer ID]], "-",Table15678[[#This Row],[Age]])</f>
        <v>CUST215-58</v>
      </c>
      <c r="S216" s="4" t="str">
        <f>TEXT(Table15678[[#This Row],[Date]],"mmm")</f>
        <v>Nov</v>
      </c>
      <c r="T216" s="4" t="str">
        <f>TEXT(Table15678[[#This Row],[Date]],"DDD")</f>
        <v>Wed</v>
      </c>
    </row>
    <row r="217" spans="1:20" ht="29" x14ac:dyDescent="0.35">
      <c r="A217" s="4">
        <v>216</v>
      </c>
      <c r="B217" s="5">
        <v>45118</v>
      </c>
      <c r="C217" s="4" t="s">
        <v>229</v>
      </c>
      <c r="D217" s="4" t="s">
        <v>10</v>
      </c>
      <c r="E217" s="4">
        <v>62</v>
      </c>
      <c r="F217" s="4" t="str">
        <f>IF(Table15678[[#This Row],[Age]]&lt;=19,"Teenager",IF(Table15678[[#This Row],[Age]]&lt;=40,"Median","Old"))</f>
        <v>Old</v>
      </c>
      <c r="G217" s="4" t="s">
        <v>16</v>
      </c>
      <c r="H217" s="4">
        <v>2</v>
      </c>
      <c r="I217" s="4">
        <v>50</v>
      </c>
      <c r="J217" s="4">
        <v>100</v>
      </c>
      <c r="K217" s="4" t="str" cm="1">
        <f t="array" ref="K217">_xlfn.IFS(AND(Table15678[[#This Row],[Total Amount]]&gt;=1500),"Critical",AND(Table15678[[#This Row],[Total Amount]]&gt;=1000),"High",TRUE,"Normal")</f>
        <v>Normal</v>
      </c>
      <c r="L217" s="4" t="str">
        <f>IF(Table15678[[#This Row],[Total Amount]]&gt;=1000,"High",(IF(Table15678[[#This Row],[Total Amount]]&gt;=500,"Medium","Low")))</f>
        <v>Low</v>
      </c>
      <c r="M217" s="4" t="str" cm="1">
        <f t="array" ref="M21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17" s="4" cm="1">
        <f t="array" ref="N21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217" s="4">
        <f>Table15678[[#This Row],[Total Amount]]-Table15678[[#This Row],[Discount Amount]]</f>
        <v>90</v>
      </c>
      <c r="P217" s="4" t="str">
        <f>IF(Table15678[[#This Row],[Total Amount]]&gt;=1000,"High","Low")</f>
        <v>Low</v>
      </c>
      <c r="Q217" s="4" t="str" cm="1">
        <f t="array" ref="Q217">_xlfn.IFS(AND(Table15678[[#This Row],[Total Amount]]&gt;=1500,"Critical"),AND(Table15678[[#This Row],[Total Amount]]&gt;=1000,"High"),TRUE,"Normal")</f>
        <v>Normal</v>
      </c>
      <c r="R217" s="4" t="str">
        <f>CONCATENATE(Table15678[[#This Row],[Customer ID]], "-",Table15678[[#This Row],[Age]])</f>
        <v>CUST216-62</v>
      </c>
      <c r="S217" s="4" t="str">
        <f>TEXT(Table15678[[#This Row],[Date]],"mmm")</f>
        <v>Jul</v>
      </c>
      <c r="T217" s="4" t="str">
        <f>TEXT(Table15678[[#This Row],[Date]],"DDD")</f>
        <v>Tue</v>
      </c>
    </row>
    <row r="218" spans="1:20" ht="29" x14ac:dyDescent="0.35">
      <c r="A218" s="4">
        <v>217</v>
      </c>
      <c r="B218" s="5">
        <v>45151</v>
      </c>
      <c r="C218" s="4" t="s">
        <v>230</v>
      </c>
      <c r="D218" s="4" t="s">
        <v>13</v>
      </c>
      <c r="E218" s="4">
        <v>35</v>
      </c>
      <c r="F218" s="4" t="str">
        <f>IF(Table15678[[#This Row],[Age]]&lt;=19,"Teenager",IF(Table15678[[#This Row],[Age]]&lt;=40,"Median","Old"))</f>
        <v>Median</v>
      </c>
      <c r="G218" s="4" t="s">
        <v>16</v>
      </c>
      <c r="H218" s="4">
        <v>4</v>
      </c>
      <c r="I218" s="4">
        <v>50</v>
      </c>
      <c r="J218" s="4">
        <v>200</v>
      </c>
      <c r="K218" s="4" t="str" cm="1">
        <f t="array" ref="K218">_xlfn.IFS(AND(Table15678[[#This Row],[Total Amount]]&gt;=1500),"Critical",AND(Table15678[[#This Row],[Total Amount]]&gt;=1000),"High",TRUE,"Normal")</f>
        <v>Normal</v>
      </c>
      <c r="L218" s="4" t="str">
        <f>IF(Table15678[[#This Row],[Total Amount]]&gt;=1000,"High",(IF(Table15678[[#This Row],[Total Amount]]&gt;=500,"Medium","Low")))</f>
        <v>Low</v>
      </c>
      <c r="M218" s="4" t="str" cm="1">
        <f t="array" ref="M21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18" s="4" cm="1">
        <f t="array" ref="N21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</v>
      </c>
      <c r="O218" s="4">
        <f>Table15678[[#This Row],[Total Amount]]-Table15678[[#This Row],[Discount Amount]]</f>
        <v>160</v>
      </c>
      <c r="P218" s="4" t="str">
        <f>IF(Table15678[[#This Row],[Total Amount]]&gt;=1000,"High","Low")</f>
        <v>Low</v>
      </c>
      <c r="Q218" s="4" t="str" cm="1">
        <f t="array" ref="Q218">_xlfn.IFS(AND(Table15678[[#This Row],[Total Amount]]&gt;=1500,"Critical"),AND(Table15678[[#This Row],[Total Amount]]&gt;=1000,"High"),TRUE,"Normal")</f>
        <v>Normal</v>
      </c>
      <c r="R218" s="4" t="str">
        <f>CONCATENATE(Table15678[[#This Row],[Customer ID]], "-",Table15678[[#This Row],[Age]])</f>
        <v>CUST217-35</v>
      </c>
      <c r="S218" s="4" t="str">
        <f>TEXT(Table15678[[#This Row],[Date]],"mmm")</f>
        <v>Aug</v>
      </c>
      <c r="T218" s="4" t="str">
        <f>TEXT(Table15678[[#This Row],[Date]],"DDD")</f>
        <v>Sun</v>
      </c>
    </row>
    <row r="219" spans="1:20" ht="29" x14ac:dyDescent="0.35">
      <c r="A219" s="4">
        <v>218</v>
      </c>
      <c r="B219" s="5">
        <v>45191</v>
      </c>
      <c r="C219" s="4" t="s">
        <v>231</v>
      </c>
      <c r="D219" s="4" t="s">
        <v>10</v>
      </c>
      <c r="E219" s="4">
        <v>64</v>
      </c>
      <c r="F219" s="4" t="str">
        <f>IF(Table15678[[#This Row],[Age]]&lt;=19,"Teenager",IF(Table15678[[#This Row],[Age]]&lt;=40,"Median","Old"))</f>
        <v>Old</v>
      </c>
      <c r="G219" s="4" t="s">
        <v>11</v>
      </c>
      <c r="H219" s="4">
        <v>3</v>
      </c>
      <c r="I219" s="4">
        <v>30</v>
      </c>
      <c r="J219" s="4">
        <v>90</v>
      </c>
      <c r="K219" s="4" t="str" cm="1">
        <f t="array" ref="K219">_xlfn.IFS(AND(Table15678[[#This Row],[Total Amount]]&gt;=1500),"Critical",AND(Table15678[[#This Row],[Total Amount]]&gt;=1000),"High",TRUE,"Normal")</f>
        <v>Normal</v>
      </c>
      <c r="L219" s="4" t="str">
        <f>IF(Table15678[[#This Row],[Total Amount]]&gt;=1000,"High",(IF(Table15678[[#This Row],[Total Amount]]&gt;=500,"Medium","Low")))</f>
        <v>Low</v>
      </c>
      <c r="M219" s="4" t="str" cm="1">
        <f t="array" ref="M21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19" s="4" cm="1">
        <f t="array" ref="N21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</v>
      </c>
      <c r="O219" s="4">
        <f>Table15678[[#This Row],[Total Amount]]-Table15678[[#This Row],[Discount Amount]]</f>
        <v>81</v>
      </c>
      <c r="P219" s="4" t="str">
        <f>IF(Table15678[[#This Row],[Total Amount]]&gt;=1000,"High","Low")</f>
        <v>Low</v>
      </c>
      <c r="Q219" s="4" t="str" cm="1">
        <f t="array" ref="Q219">_xlfn.IFS(AND(Table15678[[#This Row],[Total Amount]]&gt;=1500,"Critical"),AND(Table15678[[#This Row],[Total Amount]]&gt;=1000,"High"),TRUE,"Normal")</f>
        <v>Normal</v>
      </c>
      <c r="R219" s="4" t="str">
        <f>CONCATENATE(Table15678[[#This Row],[Customer ID]], "-",Table15678[[#This Row],[Age]])</f>
        <v>CUST218-64</v>
      </c>
      <c r="S219" s="4" t="str">
        <f>TEXT(Table15678[[#This Row],[Date]],"mmm")</f>
        <v>Sep</v>
      </c>
      <c r="T219" s="4" t="str">
        <f>TEXT(Table15678[[#This Row],[Date]],"DDD")</f>
        <v>Fri</v>
      </c>
    </row>
    <row r="220" spans="1:20" ht="29" x14ac:dyDescent="0.35">
      <c r="A220" s="4">
        <v>219</v>
      </c>
      <c r="B220" s="5">
        <v>45158</v>
      </c>
      <c r="C220" s="4" t="s">
        <v>232</v>
      </c>
      <c r="D220" s="4" t="s">
        <v>13</v>
      </c>
      <c r="E220" s="4">
        <v>53</v>
      </c>
      <c r="F220" s="4" t="str">
        <f>IF(Table15678[[#This Row],[Age]]&lt;=19,"Teenager",IF(Table15678[[#This Row],[Age]]&lt;=40,"Median","Old"))</f>
        <v>Old</v>
      </c>
      <c r="G220" s="4" t="s">
        <v>16</v>
      </c>
      <c r="H220" s="4">
        <v>3</v>
      </c>
      <c r="I220" s="4">
        <v>30</v>
      </c>
      <c r="J220" s="4">
        <v>90</v>
      </c>
      <c r="K220" s="4" t="str" cm="1">
        <f t="array" ref="K220">_xlfn.IFS(AND(Table15678[[#This Row],[Total Amount]]&gt;=1500),"Critical",AND(Table15678[[#This Row],[Total Amount]]&gt;=1000),"High",TRUE,"Normal")</f>
        <v>Normal</v>
      </c>
      <c r="L220" s="4" t="str">
        <f>IF(Table15678[[#This Row],[Total Amount]]&gt;=1000,"High",(IF(Table15678[[#This Row],[Total Amount]]&gt;=500,"Medium","Low")))</f>
        <v>Low</v>
      </c>
      <c r="M220" s="4" t="str" cm="1">
        <f t="array" ref="M22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20" s="4" cm="1">
        <f t="array" ref="N22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</v>
      </c>
      <c r="O220" s="4">
        <f>Table15678[[#This Row],[Total Amount]]-Table15678[[#This Row],[Discount Amount]]</f>
        <v>72</v>
      </c>
      <c r="P220" s="4" t="str">
        <f>IF(Table15678[[#This Row],[Total Amount]]&gt;=1000,"High","Low")</f>
        <v>Low</v>
      </c>
      <c r="Q220" s="4" t="str" cm="1">
        <f t="array" ref="Q220">_xlfn.IFS(AND(Table15678[[#This Row],[Total Amount]]&gt;=1500,"Critical"),AND(Table15678[[#This Row],[Total Amount]]&gt;=1000,"High"),TRUE,"Normal")</f>
        <v>Normal</v>
      </c>
      <c r="R220" s="4" t="str">
        <f>CONCATENATE(Table15678[[#This Row],[Customer ID]], "-",Table15678[[#This Row],[Age]])</f>
        <v>CUST219-53</v>
      </c>
      <c r="S220" s="4" t="str">
        <f>TEXT(Table15678[[#This Row],[Date]],"mmm")</f>
        <v>Aug</v>
      </c>
      <c r="T220" s="4" t="str">
        <f>TEXT(Table15678[[#This Row],[Date]],"DDD")</f>
        <v>Sun</v>
      </c>
    </row>
    <row r="221" spans="1:20" ht="29" x14ac:dyDescent="0.35">
      <c r="A221" s="4">
        <v>220</v>
      </c>
      <c r="B221" s="5">
        <v>44988</v>
      </c>
      <c r="C221" s="4" t="s">
        <v>233</v>
      </c>
      <c r="D221" s="4" t="s">
        <v>10</v>
      </c>
      <c r="E221" s="4">
        <v>64</v>
      </c>
      <c r="F221" s="4" t="str">
        <f>IF(Table15678[[#This Row],[Age]]&lt;=19,"Teenager",IF(Table15678[[#This Row],[Age]]&lt;=40,"Median","Old"))</f>
        <v>Old</v>
      </c>
      <c r="G221" s="4" t="s">
        <v>11</v>
      </c>
      <c r="H221" s="4">
        <v>1</v>
      </c>
      <c r="I221" s="4">
        <v>500</v>
      </c>
      <c r="J221" s="4">
        <v>500</v>
      </c>
      <c r="K221" s="4" t="str" cm="1">
        <f t="array" ref="K221">_xlfn.IFS(AND(Table15678[[#This Row],[Total Amount]]&gt;=1500),"Critical",AND(Table15678[[#This Row],[Total Amount]]&gt;=1000),"High",TRUE,"Normal")</f>
        <v>Normal</v>
      </c>
      <c r="L221" s="4" t="str">
        <f>IF(Table15678[[#This Row],[Total Amount]]&gt;=1000,"High",(IF(Table15678[[#This Row],[Total Amount]]&gt;=500,"Medium","Low")))</f>
        <v>Medium</v>
      </c>
      <c r="M221" s="4" t="str" cm="1">
        <f t="array" ref="M22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21" s="4" cm="1">
        <f t="array" ref="N22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50</v>
      </c>
      <c r="O221" s="4">
        <f>Table15678[[#This Row],[Total Amount]]-Table15678[[#This Row],[Discount Amount]]</f>
        <v>450</v>
      </c>
      <c r="P221" s="4" t="str">
        <f>IF(Table15678[[#This Row],[Total Amount]]&gt;=1000,"High","Low")</f>
        <v>Low</v>
      </c>
      <c r="Q221" s="4" t="str" cm="1">
        <f t="array" ref="Q221">_xlfn.IFS(AND(Table15678[[#This Row],[Total Amount]]&gt;=1500,"Critical"),AND(Table15678[[#This Row],[Total Amount]]&gt;=1000,"High"),TRUE,"Normal")</f>
        <v>Normal</v>
      </c>
      <c r="R221" s="4" t="str">
        <f>CONCATENATE(Table15678[[#This Row],[Customer ID]], "-",Table15678[[#This Row],[Age]])</f>
        <v>CUST220-64</v>
      </c>
      <c r="S221" s="4" t="str">
        <f>TEXT(Table15678[[#This Row],[Date]],"mmm")</f>
        <v>Mar</v>
      </c>
      <c r="T221" s="4" t="str">
        <f>TEXT(Table15678[[#This Row],[Date]],"DDD")</f>
        <v>Fri</v>
      </c>
    </row>
    <row r="222" spans="1:20" ht="29" x14ac:dyDescent="0.35">
      <c r="A222" s="4">
        <v>221</v>
      </c>
      <c r="B222" s="5">
        <v>45053</v>
      </c>
      <c r="C222" s="4" t="s">
        <v>234</v>
      </c>
      <c r="D222" s="4" t="s">
        <v>10</v>
      </c>
      <c r="E222" s="4">
        <v>39</v>
      </c>
      <c r="F222" s="4" t="str">
        <f>IF(Table15678[[#This Row],[Age]]&lt;=19,"Teenager",IF(Table15678[[#This Row],[Age]]&lt;=40,"Median","Old"))</f>
        <v>Median</v>
      </c>
      <c r="G222" s="4" t="s">
        <v>11</v>
      </c>
      <c r="H222" s="4">
        <v>2</v>
      </c>
      <c r="I222" s="4">
        <v>300</v>
      </c>
      <c r="J222" s="4">
        <v>600</v>
      </c>
      <c r="K222" s="4" t="str" cm="1">
        <f t="array" ref="K222">_xlfn.IFS(AND(Table15678[[#This Row],[Total Amount]]&gt;=1500),"Critical",AND(Table15678[[#This Row],[Total Amount]]&gt;=1000),"High",TRUE,"Normal")</f>
        <v>Normal</v>
      </c>
      <c r="L222" s="4" t="str">
        <f>IF(Table15678[[#This Row],[Total Amount]]&gt;=1000,"High",(IF(Table15678[[#This Row],[Total Amount]]&gt;=500,"Medium","Low")))</f>
        <v>Medium</v>
      </c>
      <c r="M222" s="4" t="str" cm="1">
        <f t="array" ref="M22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22" s="4" cm="1">
        <f t="array" ref="N22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222" s="4">
        <f>Table15678[[#This Row],[Total Amount]]-Table15678[[#This Row],[Discount Amount]]</f>
        <v>540</v>
      </c>
      <c r="P222" s="4" t="str">
        <f>IF(Table15678[[#This Row],[Total Amount]]&gt;=1000,"High","Low")</f>
        <v>Low</v>
      </c>
      <c r="Q222" s="4" t="str" cm="1">
        <f t="array" ref="Q222">_xlfn.IFS(AND(Table15678[[#This Row],[Total Amount]]&gt;=1500,"Critical"),AND(Table15678[[#This Row],[Total Amount]]&gt;=1000,"High"),TRUE,"Normal")</f>
        <v>Normal</v>
      </c>
      <c r="R222" s="4" t="str">
        <f>CONCATENATE(Table15678[[#This Row],[Customer ID]], "-",Table15678[[#This Row],[Age]])</f>
        <v>CUST221-39</v>
      </c>
      <c r="S222" s="4" t="str">
        <f>TEXT(Table15678[[#This Row],[Date]],"mmm")</f>
        <v>May</v>
      </c>
      <c r="T222" s="4" t="str">
        <f>TEXT(Table15678[[#This Row],[Date]],"DDD")</f>
        <v>Sun</v>
      </c>
    </row>
    <row r="223" spans="1:20" ht="29" x14ac:dyDescent="0.35">
      <c r="A223" s="4">
        <v>222</v>
      </c>
      <c r="B223" s="5">
        <v>45042</v>
      </c>
      <c r="C223" s="4" t="s">
        <v>235</v>
      </c>
      <c r="D223" s="4" t="s">
        <v>10</v>
      </c>
      <c r="E223" s="4">
        <v>51</v>
      </c>
      <c r="F223" s="4" t="str">
        <f>IF(Table15678[[#This Row],[Age]]&lt;=19,"Teenager",IF(Table15678[[#This Row],[Age]]&lt;=40,"Median","Old"))</f>
        <v>Old</v>
      </c>
      <c r="G223" s="4" t="s">
        <v>14</v>
      </c>
      <c r="H223" s="4">
        <v>4</v>
      </c>
      <c r="I223" s="4">
        <v>30</v>
      </c>
      <c r="J223" s="4">
        <v>120</v>
      </c>
      <c r="K223" s="4" t="str" cm="1">
        <f t="array" ref="K223">_xlfn.IFS(AND(Table15678[[#This Row],[Total Amount]]&gt;=1500),"Critical",AND(Table15678[[#This Row],[Total Amount]]&gt;=1000),"High",TRUE,"Normal")</f>
        <v>Normal</v>
      </c>
      <c r="L223" s="4" t="str">
        <f>IF(Table15678[[#This Row],[Total Amount]]&gt;=1000,"High",(IF(Table15678[[#This Row],[Total Amount]]&gt;=500,"Medium","Low")))</f>
        <v>Low</v>
      </c>
      <c r="M223" s="4" t="str" cm="1">
        <f t="array" ref="M22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23" s="4" cm="1">
        <f t="array" ref="N22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223" s="4">
        <f>Table15678[[#This Row],[Total Amount]]-Table15678[[#This Row],[Discount Amount]]</f>
        <v>108</v>
      </c>
      <c r="P223" s="4" t="str">
        <f>IF(Table15678[[#This Row],[Total Amount]]&gt;=1000,"High","Low")</f>
        <v>Low</v>
      </c>
      <c r="Q223" s="4" t="str" cm="1">
        <f t="array" ref="Q223">_xlfn.IFS(AND(Table15678[[#This Row],[Total Amount]]&gt;=1500,"Critical"),AND(Table15678[[#This Row],[Total Amount]]&gt;=1000,"High"),TRUE,"Normal")</f>
        <v>Normal</v>
      </c>
      <c r="R223" s="4" t="str">
        <f>CONCATENATE(Table15678[[#This Row],[Customer ID]], "-",Table15678[[#This Row],[Age]])</f>
        <v>CUST222-51</v>
      </c>
      <c r="S223" s="4" t="str">
        <f>TEXT(Table15678[[#This Row],[Date]],"mmm")</f>
        <v>Apr</v>
      </c>
      <c r="T223" s="4" t="str">
        <f>TEXT(Table15678[[#This Row],[Date]],"DDD")</f>
        <v>Wed</v>
      </c>
    </row>
    <row r="224" spans="1:20" ht="29" x14ac:dyDescent="0.35">
      <c r="A224" s="4">
        <v>223</v>
      </c>
      <c r="B224" s="5">
        <v>44959</v>
      </c>
      <c r="C224" s="4" t="s">
        <v>236</v>
      </c>
      <c r="D224" s="4" t="s">
        <v>13</v>
      </c>
      <c r="E224" s="4">
        <v>64</v>
      </c>
      <c r="F224" s="4" t="str">
        <f>IF(Table15678[[#This Row],[Age]]&lt;=19,"Teenager",IF(Table15678[[#This Row],[Age]]&lt;=40,"Median","Old"))</f>
        <v>Old</v>
      </c>
      <c r="G224" s="4" t="s">
        <v>14</v>
      </c>
      <c r="H224" s="4">
        <v>1</v>
      </c>
      <c r="I224" s="4">
        <v>25</v>
      </c>
      <c r="J224" s="4">
        <v>25</v>
      </c>
      <c r="K224" s="4" t="str" cm="1">
        <f t="array" ref="K224">_xlfn.IFS(AND(Table15678[[#This Row],[Total Amount]]&gt;=1500),"Critical",AND(Table15678[[#This Row],[Total Amount]]&gt;=1000),"High",TRUE,"Normal")</f>
        <v>Normal</v>
      </c>
      <c r="L224" s="4" t="str">
        <f>IF(Table15678[[#This Row],[Total Amount]]&gt;=1000,"High",(IF(Table15678[[#This Row],[Total Amount]]&gt;=500,"Medium","Low")))</f>
        <v>Low</v>
      </c>
      <c r="M224" s="4" t="str" cm="1">
        <f t="array" ref="M22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24" s="4" cm="1">
        <f t="array" ref="N22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224" s="4">
        <f>Table15678[[#This Row],[Total Amount]]-Table15678[[#This Row],[Discount Amount]]</f>
        <v>20</v>
      </c>
      <c r="P224" s="4" t="str">
        <f>IF(Table15678[[#This Row],[Total Amount]]&gt;=1000,"High","Low")</f>
        <v>Low</v>
      </c>
      <c r="Q224" s="4" t="str" cm="1">
        <f t="array" ref="Q224">_xlfn.IFS(AND(Table15678[[#This Row],[Total Amount]]&gt;=1500,"Critical"),AND(Table15678[[#This Row],[Total Amount]]&gt;=1000,"High"),TRUE,"Normal")</f>
        <v>Normal</v>
      </c>
      <c r="R224" s="4" t="str">
        <f>CONCATENATE(Table15678[[#This Row],[Customer ID]], "-",Table15678[[#This Row],[Age]])</f>
        <v>CUST223-64</v>
      </c>
      <c r="S224" s="4" t="str">
        <f>TEXT(Table15678[[#This Row],[Date]],"mmm")</f>
        <v>Feb</v>
      </c>
      <c r="T224" s="4" t="str">
        <f>TEXT(Table15678[[#This Row],[Date]],"DDD")</f>
        <v>Thu</v>
      </c>
    </row>
    <row r="225" spans="1:20" ht="29" x14ac:dyDescent="0.35">
      <c r="A225" s="4">
        <v>224</v>
      </c>
      <c r="B225" s="5">
        <v>45100</v>
      </c>
      <c r="C225" s="4" t="s">
        <v>237</v>
      </c>
      <c r="D225" s="4" t="s">
        <v>13</v>
      </c>
      <c r="E225" s="4">
        <v>25</v>
      </c>
      <c r="F225" s="4" t="str">
        <f>IF(Table15678[[#This Row],[Age]]&lt;=19,"Teenager",IF(Table15678[[#This Row],[Age]]&lt;=40,"Median","Old"))</f>
        <v>Median</v>
      </c>
      <c r="G225" s="4" t="s">
        <v>14</v>
      </c>
      <c r="H225" s="4">
        <v>1</v>
      </c>
      <c r="I225" s="4">
        <v>50</v>
      </c>
      <c r="J225" s="4">
        <v>50</v>
      </c>
      <c r="K225" s="4" t="str" cm="1">
        <f t="array" ref="K225">_xlfn.IFS(AND(Table15678[[#This Row],[Total Amount]]&gt;=1500),"Critical",AND(Table15678[[#This Row],[Total Amount]]&gt;=1000),"High",TRUE,"Normal")</f>
        <v>Normal</v>
      </c>
      <c r="L225" s="4" t="str">
        <f>IF(Table15678[[#This Row],[Total Amount]]&gt;=1000,"High",(IF(Table15678[[#This Row],[Total Amount]]&gt;=500,"Medium","Low")))</f>
        <v>Low</v>
      </c>
      <c r="M225" s="4" t="str" cm="1">
        <f t="array" ref="M22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25" s="4" cm="1">
        <f t="array" ref="N22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225" s="4">
        <f>Table15678[[#This Row],[Total Amount]]-Table15678[[#This Row],[Discount Amount]]</f>
        <v>42.5</v>
      </c>
      <c r="P225" s="4" t="str">
        <f>IF(Table15678[[#This Row],[Total Amount]]&gt;=1000,"High","Low")</f>
        <v>Low</v>
      </c>
      <c r="Q225" s="4" t="str" cm="1">
        <f t="array" ref="Q225">_xlfn.IFS(AND(Table15678[[#This Row],[Total Amount]]&gt;=1500,"Critical"),AND(Table15678[[#This Row],[Total Amount]]&gt;=1000,"High"),TRUE,"Normal")</f>
        <v>Normal</v>
      </c>
      <c r="R225" s="4" t="str">
        <f>CONCATENATE(Table15678[[#This Row],[Customer ID]], "-",Table15678[[#This Row],[Age]])</f>
        <v>CUST224-25</v>
      </c>
      <c r="S225" s="4" t="str">
        <f>TEXT(Table15678[[#This Row],[Date]],"mmm")</f>
        <v>Jun</v>
      </c>
      <c r="T225" s="4" t="str">
        <f>TEXT(Table15678[[#This Row],[Date]],"DDD")</f>
        <v>Fri</v>
      </c>
    </row>
    <row r="226" spans="1:20" ht="29" x14ac:dyDescent="0.35">
      <c r="A226" s="4">
        <v>225</v>
      </c>
      <c r="B226" s="5">
        <v>44937</v>
      </c>
      <c r="C226" s="4" t="s">
        <v>238</v>
      </c>
      <c r="D226" s="4" t="s">
        <v>13</v>
      </c>
      <c r="E226" s="4">
        <v>57</v>
      </c>
      <c r="F226" s="4" t="str">
        <f>IF(Table15678[[#This Row],[Age]]&lt;=19,"Teenager",IF(Table15678[[#This Row],[Age]]&lt;=40,"Median","Old"))</f>
        <v>Old</v>
      </c>
      <c r="G226" s="4" t="s">
        <v>11</v>
      </c>
      <c r="H226" s="4">
        <v>4</v>
      </c>
      <c r="I226" s="4">
        <v>25</v>
      </c>
      <c r="J226" s="4">
        <v>100</v>
      </c>
      <c r="K226" s="4" t="str" cm="1">
        <f t="array" ref="K226">_xlfn.IFS(AND(Table15678[[#This Row],[Total Amount]]&gt;=1500),"Critical",AND(Table15678[[#This Row],[Total Amount]]&gt;=1000),"High",TRUE,"Normal")</f>
        <v>Normal</v>
      </c>
      <c r="L226" s="4" t="str">
        <f>IF(Table15678[[#This Row],[Total Amount]]&gt;=1000,"High",(IF(Table15678[[#This Row],[Total Amount]]&gt;=500,"Medium","Low")))</f>
        <v>Low</v>
      </c>
      <c r="M226" s="4" t="str" cm="1">
        <f t="array" ref="M22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26" s="4" cm="1">
        <f t="array" ref="N22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226" s="4">
        <f>Table15678[[#This Row],[Total Amount]]-Table15678[[#This Row],[Discount Amount]]</f>
        <v>80</v>
      </c>
      <c r="P226" s="4" t="str">
        <f>IF(Table15678[[#This Row],[Total Amount]]&gt;=1000,"High","Low")</f>
        <v>Low</v>
      </c>
      <c r="Q226" s="4" t="str" cm="1">
        <f t="array" ref="Q226">_xlfn.IFS(AND(Table15678[[#This Row],[Total Amount]]&gt;=1500,"Critical"),AND(Table15678[[#This Row],[Total Amount]]&gt;=1000,"High"),TRUE,"Normal")</f>
        <v>Normal</v>
      </c>
      <c r="R226" s="4" t="str">
        <f>CONCATENATE(Table15678[[#This Row],[Customer ID]], "-",Table15678[[#This Row],[Age]])</f>
        <v>CUST225-57</v>
      </c>
      <c r="S226" s="4" t="str">
        <f>TEXT(Table15678[[#This Row],[Date]],"mmm")</f>
        <v>Jan</v>
      </c>
      <c r="T226" s="4" t="str">
        <f>TEXT(Table15678[[#This Row],[Date]],"DDD")</f>
        <v>Wed</v>
      </c>
    </row>
    <row r="227" spans="1:20" ht="29" x14ac:dyDescent="0.35">
      <c r="A227" s="4">
        <v>226</v>
      </c>
      <c r="B227" s="5">
        <v>45228</v>
      </c>
      <c r="C227" s="4" t="s">
        <v>239</v>
      </c>
      <c r="D227" s="4" t="s">
        <v>13</v>
      </c>
      <c r="E227" s="4">
        <v>61</v>
      </c>
      <c r="F227" s="4" t="str">
        <f>IF(Table15678[[#This Row],[Age]]&lt;=19,"Teenager",IF(Table15678[[#This Row],[Age]]&lt;=40,"Median","Old"))</f>
        <v>Old</v>
      </c>
      <c r="G227" s="4" t="s">
        <v>14</v>
      </c>
      <c r="H227" s="4">
        <v>1</v>
      </c>
      <c r="I227" s="4">
        <v>50</v>
      </c>
      <c r="J227" s="4">
        <v>50</v>
      </c>
      <c r="K227" s="4" t="str" cm="1">
        <f t="array" ref="K227">_xlfn.IFS(AND(Table15678[[#This Row],[Total Amount]]&gt;=1500),"Critical",AND(Table15678[[#This Row],[Total Amount]]&gt;=1000),"High",TRUE,"Normal")</f>
        <v>Normal</v>
      </c>
      <c r="L227" s="4" t="str">
        <f>IF(Table15678[[#This Row],[Total Amount]]&gt;=1000,"High",(IF(Table15678[[#This Row],[Total Amount]]&gt;=500,"Medium","Low")))</f>
        <v>Low</v>
      </c>
      <c r="M227" s="4" t="str" cm="1">
        <f t="array" ref="M22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27" s="4" cm="1">
        <f t="array" ref="N22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227" s="4">
        <f>Table15678[[#This Row],[Total Amount]]-Table15678[[#This Row],[Discount Amount]]</f>
        <v>40</v>
      </c>
      <c r="P227" s="4" t="str">
        <f>IF(Table15678[[#This Row],[Total Amount]]&gt;=1000,"High","Low")</f>
        <v>Low</v>
      </c>
      <c r="Q227" s="4" t="str" cm="1">
        <f t="array" ref="Q227">_xlfn.IFS(AND(Table15678[[#This Row],[Total Amount]]&gt;=1500,"Critical"),AND(Table15678[[#This Row],[Total Amount]]&gt;=1000,"High"),TRUE,"Normal")</f>
        <v>Normal</v>
      </c>
      <c r="R227" s="4" t="str">
        <f>CONCATENATE(Table15678[[#This Row],[Customer ID]], "-",Table15678[[#This Row],[Age]])</f>
        <v>CUST226-61</v>
      </c>
      <c r="S227" s="4" t="str">
        <f>TEXT(Table15678[[#This Row],[Date]],"mmm")</f>
        <v>Oct</v>
      </c>
      <c r="T227" s="4" t="str">
        <f>TEXT(Table15678[[#This Row],[Date]],"DDD")</f>
        <v>Sun</v>
      </c>
    </row>
    <row r="228" spans="1:20" ht="29" x14ac:dyDescent="0.35">
      <c r="A228" s="4">
        <v>227</v>
      </c>
      <c r="B228" s="5">
        <v>45210</v>
      </c>
      <c r="C228" s="4" t="s">
        <v>240</v>
      </c>
      <c r="D228" s="4" t="s">
        <v>10</v>
      </c>
      <c r="E228" s="4">
        <v>36</v>
      </c>
      <c r="F228" s="4" t="str">
        <f>IF(Table15678[[#This Row],[Age]]&lt;=19,"Teenager",IF(Table15678[[#This Row],[Age]]&lt;=40,"Median","Old"))</f>
        <v>Median</v>
      </c>
      <c r="G228" s="4" t="s">
        <v>16</v>
      </c>
      <c r="H228" s="4">
        <v>2</v>
      </c>
      <c r="I228" s="4">
        <v>50</v>
      </c>
      <c r="J228" s="4">
        <v>100</v>
      </c>
      <c r="K228" s="4" t="str" cm="1">
        <f t="array" ref="K228">_xlfn.IFS(AND(Table15678[[#This Row],[Total Amount]]&gt;=1500),"Critical",AND(Table15678[[#This Row],[Total Amount]]&gt;=1000),"High",TRUE,"Normal")</f>
        <v>Normal</v>
      </c>
      <c r="L228" s="4" t="str">
        <f>IF(Table15678[[#This Row],[Total Amount]]&gt;=1000,"High",(IF(Table15678[[#This Row],[Total Amount]]&gt;=500,"Medium","Low")))</f>
        <v>Low</v>
      </c>
      <c r="M228" s="4" t="str" cm="1">
        <f t="array" ref="M22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28" s="4" cm="1">
        <f t="array" ref="N22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228" s="4">
        <f>Table15678[[#This Row],[Total Amount]]-Table15678[[#This Row],[Discount Amount]]</f>
        <v>90</v>
      </c>
      <c r="P228" s="4" t="str">
        <f>IF(Table15678[[#This Row],[Total Amount]]&gt;=1000,"High","Low")</f>
        <v>Low</v>
      </c>
      <c r="Q228" s="4" t="str" cm="1">
        <f t="array" ref="Q228">_xlfn.IFS(AND(Table15678[[#This Row],[Total Amount]]&gt;=1500,"Critical"),AND(Table15678[[#This Row],[Total Amount]]&gt;=1000,"High"),TRUE,"Normal")</f>
        <v>Normal</v>
      </c>
      <c r="R228" s="4" t="str">
        <f>CONCATENATE(Table15678[[#This Row],[Customer ID]], "-",Table15678[[#This Row],[Age]])</f>
        <v>CUST227-36</v>
      </c>
      <c r="S228" s="4" t="str">
        <f>TEXT(Table15678[[#This Row],[Date]],"mmm")</f>
        <v>Oct</v>
      </c>
      <c r="T228" s="4" t="str">
        <f>TEXT(Table15678[[#This Row],[Date]],"DDD")</f>
        <v>Wed</v>
      </c>
    </row>
    <row r="229" spans="1:20" ht="29" x14ac:dyDescent="0.35">
      <c r="A229" s="4">
        <v>228</v>
      </c>
      <c r="B229" s="5">
        <v>45044</v>
      </c>
      <c r="C229" s="4" t="s">
        <v>241</v>
      </c>
      <c r="D229" s="4" t="s">
        <v>13</v>
      </c>
      <c r="E229" s="4">
        <v>59</v>
      </c>
      <c r="F229" s="4" t="str">
        <f>IF(Table15678[[#This Row],[Age]]&lt;=19,"Teenager",IF(Table15678[[#This Row],[Age]]&lt;=40,"Median","Old"))</f>
        <v>Old</v>
      </c>
      <c r="G229" s="4" t="s">
        <v>16</v>
      </c>
      <c r="H229" s="4">
        <v>2</v>
      </c>
      <c r="I229" s="4">
        <v>30</v>
      </c>
      <c r="J229" s="4">
        <v>60</v>
      </c>
      <c r="K229" s="4" t="str" cm="1">
        <f t="array" ref="K229">_xlfn.IFS(AND(Table15678[[#This Row],[Total Amount]]&gt;=1500),"Critical",AND(Table15678[[#This Row],[Total Amount]]&gt;=1000),"High",TRUE,"Normal")</f>
        <v>Normal</v>
      </c>
      <c r="L229" s="4" t="str">
        <f>IF(Table15678[[#This Row],[Total Amount]]&gt;=1000,"High",(IF(Table15678[[#This Row],[Total Amount]]&gt;=500,"Medium","Low")))</f>
        <v>Low</v>
      </c>
      <c r="M229" s="4" t="str" cm="1">
        <f t="array" ref="M22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29" s="4" cm="1">
        <f t="array" ref="N22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229" s="4">
        <f>Table15678[[#This Row],[Total Amount]]-Table15678[[#This Row],[Discount Amount]]</f>
        <v>48</v>
      </c>
      <c r="P229" s="4" t="str">
        <f>IF(Table15678[[#This Row],[Total Amount]]&gt;=1000,"High","Low")</f>
        <v>Low</v>
      </c>
      <c r="Q229" s="4" t="str" cm="1">
        <f t="array" ref="Q229">_xlfn.IFS(AND(Table15678[[#This Row],[Total Amount]]&gt;=1500,"Critical"),AND(Table15678[[#This Row],[Total Amount]]&gt;=1000,"High"),TRUE,"Normal")</f>
        <v>Normal</v>
      </c>
      <c r="R229" s="4" t="str">
        <f>CONCATENATE(Table15678[[#This Row],[Customer ID]], "-",Table15678[[#This Row],[Age]])</f>
        <v>CUST228-59</v>
      </c>
      <c r="S229" s="4" t="str">
        <f>TEXT(Table15678[[#This Row],[Date]],"mmm")</f>
        <v>Apr</v>
      </c>
      <c r="T229" s="4" t="str">
        <f>TEXT(Table15678[[#This Row],[Date]],"DDD")</f>
        <v>Fri</v>
      </c>
    </row>
    <row r="230" spans="1:20" ht="29" x14ac:dyDescent="0.35">
      <c r="A230" s="4">
        <v>229</v>
      </c>
      <c r="B230" s="5">
        <v>45228</v>
      </c>
      <c r="C230" s="4" t="s">
        <v>242</v>
      </c>
      <c r="D230" s="4" t="s">
        <v>10</v>
      </c>
      <c r="E230" s="4">
        <v>58</v>
      </c>
      <c r="F230" s="4" t="str">
        <f>IF(Table15678[[#This Row],[Age]]&lt;=19,"Teenager",IF(Table15678[[#This Row],[Age]]&lt;=40,"Median","Old"))</f>
        <v>Old</v>
      </c>
      <c r="G230" s="4" t="s">
        <v>11</v>
      </c>
      <c r="H230" s="4">
        <v>3</v>
      </c>
      <c r="I230" s="4">
        <v>30</v>
      </c>
      <c r="J230" s="4">
        <v>90</v>
      </c>
      <c r="K230" s="4" t="str" cm="1">
        <f t="array" ref="K230">_xlfn.IFS(AND(Table15678[[#This Row],[Total Amount]]&gt;=1500),"Critical",AND(Table15678[[#This Row],[Total Amount]]&gt;=1000),"High",TRUE,"Normal")</f>
        <v>Normal</v>
      </c>
      <c r="L230" s="4" t="str">
        <f>IF(Table15678[[#This Row],[Total Amount]]&gt;=1000,"High",(IF(Table15678[[#This Row],[Total Amount]]&gt;=500,"Medium","Low")))</f>
        <v>Low</v>
      </c>
      <c r="M230" s="4" t="str" cm="1">
        <f t="array" ref="M23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30" s="4" cm="1">
        <f t="array" ref="N23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</v>
      </c>
      <c r="O230" s="4">
        <f>Table15678[[#This Row],[Total Amount]]-Table15678[[#This Row],[Discount Amount]]</f>
        <v>81</v>
      </c>
      <c r="P230" s="4" t="str">
        <f>IF(Table15678[[#This Row],[Total Amount]]&gt;=1000,"High","Low")</f>
        <v>Low</v>
      </c>
      <c r="Q230" s="4" t="str" cm="1">
        <f t="array" ref="Q230">_xlfn.IFS(AND(Table15678[[#This Row],[Total Amount]]&gt;=1500,"Critical"),AND(Table15678[[#This Row],[Total Amount]]&gt;=1000,"High"),TRUE,"Normal")</f>
        <v>Normal</v>
      </c>
      <c r="R230" s="4" t="str">
        <f>CONCATENATE(Table15678[[#This Row],[Customer ID]], "-",Table15678[[#This Row],[Age]])</f>
        <v>CUST229-58</v>
      </c>
      <c r="S230" s="4" t="str">
        <f>TEXT(Table15678[[#This Row],[Date]],"mmm")</f>
        <v>Oct</v>
      </c>
      <c r="T230" s="4" t="str">
        <f>TEXT(Table15678[[#This Row],[Date]],"DDD")</f>
        <v>Sun</v>
      </c>
    </row>
    <row r="231" spans="1:20" ht="29" x14ac:dyDescent="0.35">
      <c r="A231" s="4">
        <v>230</v>
      </c>
      <c r="B231" s="5">
        <v>45039</v>
      </c>
      <c r="C231" s="4" t="s">
        <v>243</v>
      </c>
      <c r="D231" s="4" t="s">
        <v>10</v>
      </c>
      <c r="E231" s="4">
        <v>54</v>
      </c>
      <c r="F231" s="4" t="str">
        <f>IF(Table15678[[#This Row],[Age]]&lt;=19,"Teenager",IF(Table15678[[#This Row],[Age]]&lt;=40,"Median","Old"))</f>
        <v>Old</v>
      </c>
      <c r="G231" s="4" t="s">
        <v>11</v>
      </c>
      <c r="H231" s="4">
        <v>1</v>
      </c>
      <c r="I231" s="4">
        <v>25</v>
      </c>
      <c r="J231" s="4">
        <v>25</v>
      </c>
      <c r="K231" s="4" t="str" cm="1">
        <f t="array" ref="K231">_xlfn.IFS(AND(Table15678[[#This Row],[Total Amount]]&gt;=1500),"Critical",AND(Table15678[[#This Row],[Total Amount]]&gt;=1000),"High",TRUE,"Normal")</f>
        <v>Normal</v>
      </c>
      <c r="L231" s="4" t="str">
        <f>IF(Table15678[[#This Row],[Total Amount]]&gt;=1000,"High",(IF(Table15678[[#This Row],[Total Amount]]&gt;=500,"Medium","Low")))</f>
        <v>Low</v>
      </c>
      <c r="M231" s="4" t="str" cm="1">
        <f t="array" ref="M23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31" s="4" cm="1">
        <f t="array" ref="N23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2.5</v>
      </c>
      <c r="O231" s="4">
        <f>Table15678[[#This Row],[Total Amount]]-Table15678[[#This Row],[Discount Amount]]</f>
        <v>22.5</v>
      </c>
      <c r="P231" s="4" t="str">
        <f>IF(Table15678[[#This Row],[Total Amount]]&gt;=1000,"High","Low")</f>
        <v>Low</v>
      </c>
      <c r="Q231" s="4" t="str" cm="1">
        <f t="array" ref="Q231">_xlfn.IFS(AND(Table15678[[#This Row],[Total Amount]]&gt;=1500,"Critical"),AND(Table15678[[#This Row],[Total Amount]]&gt;=1000,"High"),TRUE,"Normal")</f>
        <v>Normal</v>
      </c>
      <c r="R231" s="4" t="str">
        <f>CONCATENATE(Table15678[[#This Row],[Customer ID]], "-",Table15678[[#This Row],[Age]])</f>
        <v>CUST230-54</v>
      </c>
      <c r="S231" s="4" t="str">
        <f>TEXT(Table15678[[#This Row],[Date]],"mmm")</f>
        <v>Apr</v>
      </c>
      <c r="T231" s="4" t="str">
        <f>TEXT(Table15678[[#This Row],[Date]],"DDD")</f>
        <v>Sun</v>
      </c>
    </row>
    <row r="232" spans="1:20" ht="29" x14ac:dyDescent="0.35">
      <c r="A232" s="4">
        <v>231</v>
      </c>
      <c r="B232" s="5">
        <v>44930</v>
      </c>
      <c r="C232" s="4" t="s">
        <v>244</v>
      </c>
      <c r="D232" s="4" t="s">
        <v>13</v>
      </c>
      <c r="E232" s="4">
        <v>23</v>
      </c>
      <c r="F232" s="4" t="str">
        <f>IF(Table15678[[#This Row],[Age]]&lt;=19,"Teenager",IF(Table15678[[#This Row],[Age]]&lt;=40,"Median","Old"))</f>
        <v>Median</v>
      </c>
      <c r="G232" s="4" t="s">
        <v>14</v>
      </c>
      <c r="H232" s="4">
        <v>3</v>
      </c>
      <c r="I232" s="4">
        <v>50</v>
      </c>
      <c r="J232" s="4">
        <v>150</v>
      </c>
      <c r="K232" s="4" t="str" cm="1">
        <f t="array" ref="K232">_xlfn.IFS(AND(Table15678[[#This Row],[Total Amount]]&gt;=1500),"Critical",AND(Table15678[[#This Row],[Total Amount]]&gt;=1000),"High",TRUE,"Normal")</f>
        <v>Normal</v>
      </c>
      <c r="L232" s="4" t="str">
        <f>IF(Table15678[[#This Row],[Total Amount]]&gt;=1000,"High",(IF(Table15678[[#This Row],[Total Amount]]&gt;=500,"Medium","Low")))</f>
        <v>Low</v>
      </c>
      <c r="M232" s="4" t="str" cm="1">
        <f t="array" ref="M23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232" s="4" cm="1">
        <f t="array" ref="N23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232" s="4">
        <f>Table15678[[#This Row],[Total Amount]]-Table15678[[#This Row],[Discount Amount]]</f>
        <v>150</v>
      </c>
      <c r="P232" s="4" t="str">
        <f>IF(Table15678[[#This Row],[Total Amount]]&gt;=1000,"High","Low")</f>
        <v>Low</v>
      </c>
      <c r="Q232" s="4" t="str" cm="1">
        <f t="array" ref="Q232">_xlfn.IFS(AND(Table15678[[#This Row],[Total Amount]]&gt;=1500,"Critical"),AND(Table15678[[#This Row],[Total Amount]]&gt;=1000,"High"),TRUE,"Normal")</f>
        <v>Normal</v>
      </c>
      <c r="R232" s="4" t="str">
        <f>CONCATENATE(Table15678[[#This Row],[Customer ID]], "-",Table15678[[#This Row],[Age]])</f>
        <v>CUST231-23</v>
      </c>
      <c r="S232" s="4" t="str">
        <f>TEXT(Table15678[[#This Row],[Date]],"mmm")</f>
        <v>Jan</v>
      </c>
      <c r="T232" s="4" t="str">
        <f>TEXT(Table15678[[#This Row],[Date]],"DDD")</f>
        <v>Wed</v>
      </c>
    </row>
    <row r="233" spans="1:20" ht="29" x14ac:dyDescent="0.35">
      <c r="A233" s="4">
        <v>232</v>
      </c>
      <c r="B233" s="5">
        <v>44963</v>
      </c>
      <c r="C233" s="4" t="s">
        <v>245</v>
      </c>
      <c r="D233" s="4" t="s">
        <v>13</v>
      </c>
      <c r="E233" s="4">
        <v>43</v>
      </c>
      <c r="F233" s="4" t="str">
        <f>IF(Table15678[[#This Row],[Age]]&lt;=19,"Teenager",IF(Table15678[[#This Row],[Age]]&lt;=40,"Median","Old"))</f>
        <v>Old</v>
      </c>
      <c r="G233" s="4" t="s">
        <v>11</v>
      </c>
      <c r="H233" s="4">
        <v>1</v>
      </c>
      <c r="I233" s="4">
        <v>25</v>
      </c>
      <c r="J233" s="4">
        <v>25</v>
      </c>
      <c r="K233" s="4" t="str" cm="1">
        <f t="array" ref="K233">_xlfn.IFS(AND(Table15678[[#This Row],[Total Amount]]&gt;=1500),"Critical",AND(Table15678[[#This Row],[Total Amount]]&gt;=1000),"High",TRUE,"Normal")</f>
        <v>Normal</v>
      </c>
      <c r="L233" s="4" t="str">
        <f>IF(Table15678[[#This Row],[Total Amount]]&gt;=1000,"High",(IF(Table15678[[#This Row],[Total Amount]]&gt;=500,"Medium","Low")))</f>
        <v>Low</v>
      </c>
      <c r="M233" s="4" t="str" cm="1">
        <f t="array" ref="M23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33" s="4" cm="1">
        <f t="array" ref="N23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233" s="4">
        <f>Table15678[[#This Row],[Total Amount]]-Table15678[[#This Row],[Discount Amount]]</f>
        <v>20</v>
      </c>
      <c r="P233" s="4" t="str">
        <f>IF(Table15678[[#This Row],[Total Amount]]&gt;=1000,"High","Low")</f>
        <v>Low</v>
      </c>
      <c r="Q233" s="4" t="str" cm="1">
        <f t="array" ref="Q233">_xlfn.IFS(AND(Table15678[[#This Row],[Total Amount]]&gt;=1500,"Critical"),AND(Table15678[[#This Row],[Total Amount]]&gt;=1000,"High"),TRUE,"Normal")</f>
        <v>Normal</v>
      </c>
      <c r="R233" s="4" t="str">
        <f>CONCATENATE(Table15678[[#This Row],[Customer ID]], "-",Table15678[[#This Row],[Age]])</f>
        <v>CUST232-43</v>
      </c>
      <c r="S233" s="4" t="str">
        <f>TEXT(Table15678[[#This Row],[Date]],"mmm")</f>
        <v>Feb</v>
      </c>
      <c r="T233" s="4" t="str">
        <f>TEXT(Table15678[[#This Row],[Date]],"DDD")</f>
        <v>Mon</v>
      </c>
    </row>
    <row r="234" spans="1:20" ht="29" x14ac:dyDescent="0.35">
      <c r="A234" s="4">
        <v>233</v>
      </c>
      <c r="B234" s="5">
        <v>45289</v>
      </c>
      <c r="C234" s="4" t="s">
        <v>246</v>
      </c>
      <c r="D234" s="4" t="s">
        <v>13</v>
      </c>
      <c r="E234" s="4">
        <v>51</v>
      </c>
      <c r="F234" s="4" t="str">
        <f>IF(Table15678[[#This Row],[Age]]&lt;=19,"Teenager",IF(Table15678[[#This Row],[Age]]&lt;=40,"Median","Old"))</f>
        <v>Old</v>
      </c>
      <c r="G234" s="4" t="s">
        <v>11</v>
      </c>
      <c r="H234" s="4">
        <v>2</v>
      </c>
      <c r="I234" s="4">
        <v>300</v>
      </c>
      <c r="J234" s="4">
        <v>600</v>
      </c>
      <c r="K234" s="4" t="str" cm="1">
        <f t="array" ref="K234">_xlfn.IFS(AND(Table15678[[#This Row],[Total Amount]]&gt;=1500),"Critical",AND(Table15678[[#This Row],[Total Amount]]&gt;=1000),"High",TRUE,"Normal")</f>
        <v>Normal</v>
      </c>
      <c r="L234" s="4" t="str">
        <f>IF(Table15678[[#This Row],[Total Amount]]&gt;=1000,"High",(IF(Table15678[[#This Row],[Total Amount]]&gt;=500,"Medium","Low")))</f>
        <v>Medium</v>
      </c>
      <c r="M234" s="4" t="str" cm="1">
        <f t="array" ref="M23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34" s="4" cm="1">
        <f t="array" ref="N23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120</v>
      </c>
      <c r="O234" s="4">
        <f>Table15678[[#This Row],[Total Amount]]-Table15678[[#This Row],[Discount Amount]]</f>
        <v>480</v>
      </c>
      <c r="P234" s="4" t="str">
        <f>IF(Table15678[[#This Row],[Total Amount]]&gt;=1000,"High","Low")</f>
        <v>Low</v>
      </c>
      <c r="Q234" s="4" t="str" cm="1">
        <f t="array" ref="Q234">_xlfn.IFS(AND(Table15678[[#This Row],[Total Amount]]&gt;=1500,"Critical"),AND(Table15678[[#This Row],[Total Amount]]&gt;=1000,"High"),TRUE,"Normal")</f>
        <v>Normal</v>
      </c>
      <c r="R234" s="4" t="str">
        <f>CONCATENATE(Table15678[[#This Row],[Customer ID]], "-",Table15678[[#This Row],[Age]])</f>
        <v>CUST233-51</v>
      </c>
      <c r="S234" s="4" t="str">
        <f>TEXT(Table15678[[#This Row],[Date]],"mmm")</f>
        <v>Dec</v>
      </c>
      <c r="T234" s="4" t="str">
        <f>TEXT(Table15678[[#This Row],[Date]],"DDD")</f>
        <v>Fri</v>
      </c>
    </row>
    <row r="235" spans="1:20" ht="29" x14ac:dyDescent="0.35">
      <c r="A235" s="4">
        <v>234</v>
      </c>
      <c r="B235" s="5">
        <v>45250</v>
      </c>
      <c r="C235" s="4" t="s">
        <v>247</v>
      </c>
      <c r="D235" s="4" t="s">
        <v>13</v>
      </c>
      <c r="E235" s="4">
        <v>62</v>
      </c>
      <c r="F235" s="4" t="str">
        <f>IF(Table15678[[#This Row],[Age]]&lt;=19,"Teenager",IF(Table15678[[#This Row],[Age]]&lt;=40,"Median","Old"))</f>
        <v>Old</v>
      </c>
      <c r="G235" s="4" t="s">
        <v>16</v>
      </c>
      <c r="H235" s="4">
        <v>2</v>
      </c>
      <c r="I235" s="4">
        <v>25</v>
      </c>
      <c r="J235" s="4">
        <v>50</v>
      </c>
      <c r="K235" s="4" t="str" cm="1">
        <f t="array" ref="K235">_xlfn.IFS(AND(Table15678[[#This Row],[Total Amount]]&gt;=1500),"Critical",AND(Table15678[[#This Row],[Total Amount]]&gt;=1000),"High",TRUE,"Normal")</f>
        <v>Normal</v>
      </c>
      <c r="L235" s="4" t="str">
        <f>IF(Table15678[[#This Row],[Total Amount]]&gt;=1000,"High",(IF(Table15678[[#This Row],[Total Amount]]&gt;=500,"Medium","Low")))</f>
        <v>Low</v>
      </c>
      <c r="M235" s="4" t="str" cm="1">
        <f t="array" ref="M23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35" s="4" cm="1">
        <f t="array" ref="N23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235" s="4">
        <f>Table15678[[#This Row],[Total Amount]]-Table15678[[#This Row],[Discount Amount]]</f>
        <v>40</v>
      </c>
      <c r="P235" s="4" t="str">
        <f>IF(Table15678[[#This Row],[Total Amount]]&gt;=1000,"High","Low")</f>
        <v>Low</v>
      </c>
      <c r="Q235" s="4" t="str" cm="1">
        <f t="array" ref="Q235">_xlfn.IFS(AND(Table15678[[#This Row],[Total Amount]]&gt;=1500,"Critical"),AND(Table15678[[#This Row],[Total Amount]]&gt;=1000,"High"),TRUE,"Normal")</f>
        <v>Normal</v>
      </c>
      <c r="R235" s="4" t="str">
        <f>CONCATENATE(Table15678[[#This Row],[Customer ID]], "-",Table15678[[#This Row],[Age]])</f>
        <v>CUST234-62</v>
      </c>
      <c r="S235" s="4" t="str">
        <f>TEXT(Table15678[[#This Row],[Date]],"mmm")</f>
        <v>Nov</v>
      </c>
      <c r="T235" s="4" t="str">
        <f>TEXT(Table15678[[#This Row],[Date]],"DDD")</f>
        <v>Mon</v>
      </c>
    </row>
    <row r="236" spans="1:20" ht="29" x14ac:dyDescent="0.35">
      <c r="A236" s="4">
        <v>235</v>
      </c>
      <c r="B236" s="5">
        <v>44957</v>
      </c>
      <c r="C236" s="4" t="s">
        <v>248</v>
      </c>
      <c r="D236" s="4" t="s">
        <v>13</v>
      </c>
      <c r="E236" s="4">
        <v>23</v>
      </c>
      <c r="F236" s="4" t="str">
        <f>IF(Table15678[[#This Row],[Age]]&lt;=19,"Teenager",IF(Table15678[[#This Row],[Age]]&lt;=40,"Median","Old"))</f>
        <v>Median</v>
      </c>
      <c r="G236" s="4" t="s">
        <v>16</v>
      </c>
      <c r="H236" s="4">
        <v>2</v>
      </c>
      <c r="I236" s="4">
        <v>500</v>
      </c>
      <c r="J236" s="4">
        <v>1000</v>
      </c>
      <c r="K236" s="4" t="str" cm="1">
        <f t="array" ref="K236">_xlfn.IFS(AND(Table15678[[#This Row],[Total Amount]]&gt;=1500),"Critical",AND(Table15678[[#This Row],[Total Amount]]&gt;=1000),"High",TRUE,"Normal")</f>
        <v>High</v>
      </c>
      <c r="L236" s="4" t="str">
        <f>IF(Table15678[[#This Row],[Total Amount]]&gt;=1000,"High",(IF(Table15678[[#This Row],[Total Amount]]&gt;=500,"Medium","Low")))</f>
        <v>High</v>
      </c>
      <c r="M236" s="4" t="str" cm="1">
        <f t="array" ref="M23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236" s="4" cm="1">
        <f t="array" ref="N23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236" s="4">
        <f>Table15678[[#This Row],[Total Amount]]-Table15678[[#This Row],[Discount Amount]]</f>
        <v>1000</v>
      </c>
      <c r="P236" s="4" t="str">
        <f>IF(Table15678[[#This Row],[Total Amount]]&gt;=1000,"High","Low")</f>
        <v>High</v>
      </c>
      <c r="Q236" s="4" t="str" cm="1">
        <f t="array" ref="Q236">_xlfn.IFS(AND(Table15678[[#This Row],[Total Amount]]&gt;=1500,"Critical"),AND(Table15678[[#This Row],[Total Amount]]&gt;=1000,"High"),TRUE,"Normal")</f>
        <v>Normal</v>
      </c>
      <c r="R236" s="4" t="str">
        <f>CONCATENATE(Table15678[[#This Row],[Customer ID]], "-",Table15678[[#This Row],[Age]])</f>
        <v>CUST235-23</v>
      </c>
      <c r="S236" s="4" t="str">
        <f>TEXT(Table15678[[#This Row],[Date]],"mmm")</f>
        <v>Jan</v>
      </c>
      <c r="T236" s="4" t="str">
        <f>TEXT(Table15678[[#This Row],[Date]],"DDD")</f>
        <v>Tue</v>
      </c>
    </row>
    <row r="237" spans="1:20" ht="29" x14ac:dyDescent="0.35">
      <c r="A237" s="4">
        <v>236</v>
      </c>
      <c r="B237" s="5">
        <v>45044</v>
      </c>
      <c r="C237" s="4" t="s">
        <v>249</v>
      </c>
      <c r="D237" s="4" t="s">
        <v>13</v>
      </c>
      <c r="E237" s="4">
        <v>54</v>
      </c>
      <c r="F237" s="4" t="str">
        <f>IF(Table15678[[#This Row],[Age]]&lt;=19,"Teenager",IF(Table15678[[#This Row],[Age]]&lt;=40,"Median","Old"))</f>
        <v>Old</v>
      </c>
      <c r="G237" s="4" t="s">
        <v>14</v>
      </c>
      <c r="H237" s="4">
        <v>1</v>
      </c>
      <c r="I237" s="4">
        <v>25</v>
      </c>
      <c r="J237" s="4">
        <v>25</v>
      </c>
      <c r="K237" s="4" t="str" cm="1">
        <f t="array" ref="K237">_xlfn.IFS(AND(Table15678[[#This Row],[Total Amount]]&gt;=1500),"Critical",AND(Table15678[[#This Row],[Total Amount]]&gt;=1000),"High",TRUE,"Normal")</f>
        <v>Normal</v>
      </c>
      <c r="L237" s="4" t="str">
        <f>IF(Table15678[[#This Row],[Total Amount]]&gt;=1000,"High",(IF(Table15678[[#This Row],[Total Amount]]&gt;=500,"Medium","Low")))</f>
        <v>Low</v>
      </c>
      <c r="M237" s="4" t="str" cm="1">
        <f t="array" ref="M23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37" s="4" cm="1">
        <f t="array" ref="N23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237" s="4">
        <f>Table15678[[#This Row],[Total Amount]]-Table15678[[#This Row],[Discount Amount]]</f>
        <v>20</v>
      </c>
      <c r="P237" s="4" t="str">
        <f>IF(Table15678[[#This Row],[Total Amount]]&gt;=1000,"High","Low")</f>
        <v>Low</v>
      </c>
      <c r="Q237" s="4" t="str" cm="1">
        <f t="array" ref="Q237">_xlfn.IFS(AND(Table15678[[#This Row],[Total Amount]]&gt;=1500,"Critical"),AND(Table15678[[#This Row],[Total Amount]]&gt;=1000,"High"),TRUE,"Normal")</f>
        <v>Normal</v>
      </c>
      <c r="R237" s="4" t="str">
        <f>CONCATENATE(Table15678[[#This Row],[Customer ID]], "-",Table15678[[#This Row],[Age]])</f>
        <v>CUST236-54</v>
      </c>
      <c r="S237" s="4" t="str">
        <f>TEXT(Table15678[[#This Row],[Date]],"mmm")</f>
        <v>Apr</v>
      </c>
      <c r="T237" s="4" t="str">
        <f>TEXT(Table15678[[#This Row],[Date]],"DDD")</f>
        <v>Fri</v>
      </c>
    </row>
    <row r="238" spans="1:20" ht="29" x14ac:dyDescent="0.35">
      <c r="A238" s="4">
        <v>237</v>
      </c>
      <c r="B238" s="5">
        <v>44961</v>
      </c>
      <c r="C238" s="4" t="s">
        <v>250</v>
      </c>
      <c r="D238" s="4" t="s">
        <v>13</v>
      </c>
      <c r="E238" s="4">
        <v>50</v>
      </c>
      <c r="F238" s="4" t="str">
        <f>IF(Table15678[[#This Row],[Age]]&lt;=19,"Teenager",IF(Table15678[[#This Row],[Age]]&lt;=40,"Median","Old"))</f>
        <v>Old</v>
      </c>
      <c r="G238" s="4" t="s">
        <v>11</v>
      </c>
      <c r="H238" s="4">
        <v>2</v>
      </c>
      <c r="I238" s="4">
        <v>500</v>
      </c>
      <c r="J238" s="4">
        <v>1000</v>
      </c>
      <c r="K238" s="4" t="str" cm="1">
        <f t="array" ref="K238">_xlfn.IFS(AND(Table15678[[#This Row],[Total Amount]]&gt;=1500),"Critical",AND(Table15678[[#This Row],[Total Amount]]&gt;=1000),"High",TRUE,"Normal")</f>
        <v>High</v>
      </c>
      <c r="L238" s="4" t="str">
        <f>IF(Table15678[[#This Row],[Total Amount]]&gt;=1000,"High",(IF(Table15678[[#This Row],[Total Amount]]&gt;=500,"Medium","Low")))</f>
        <v>High</v>
      </c>
      <c r="M238" s="4" t="str" cm="1">
        <f t="array" ref="M23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38" s="4" cm="1">
        <f t="array" ref="N23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238" s="4">
        <f>Table15678[[#This Row],[Total Amount]]-Table15678[[#This Row],[Discount Amount]]</f>
        <v>800</v>
      </c>
      <c r="P238" s="4" t="str">
        <f>IF(Table15678[[#This Row],[Total Amount]]&gt;=1000,"High","Low")</f>
        <v>High</v>
      </c>
      <c r="Q238" s="4" t="str" cm="1">
        <f t="array" ref="Q238">_xlfn.IFS(AND(Table15678[[#This Row],[Total Amount]]&gt;=1500,"Critical"),AND(Table15678[[#This Row],[Total Amount]]&gt;=1000,"High"),TRUE,"Normal")</f>
        <v>Normal</v>
      </c>
      <c r="R238" s="4" t="str">
        <f>CONCATENATE(Table15678[[#This Row],[Customer ID]], "-",Table15678[[#This Row],[Age]])</f>
        <v>CUST237-50</v>
      </c>
      <c r="S238" s="4" t="str">
        <f>TEXT(Table15678[[#This Row],[Date]],"mmm")</f>
        <v>Feb</v>
      </c>
      <c r="T238" s="4" t="str">
        <f>TEXT(Table15678[[#This Row],[Date]],"DDD")</f>
        <v>Sat</v>
      </c>
    </row>
    <row r="239" spans="1:20" ht="29" x14ac:dyDescent="0.35">
      <c r="A239" s="4">
        <v>238</v>
      </c>
      <c r="B239" s="5">
        <v>44943</v>
      </c>
      <c r="C239" s="4" t="s">
        <v>251</v>
      </c>
      <c r="D239" s="4" t="s">
        <v>13</v>
      </c>
      <c r="E239" s="4">
        <v>39</v>
      </c>
      <c r="F239" s="4" t="str">
        <f>IF(Table15678[[#This Row],[Age]]&lt;=19,"Teenager",IF(Table15678[[#This Row],[Age]]&lt;=40,"Median","Old"))</f>
        <v>Median</v>
      </c>
      <c r="G239" s="4" t="s">
        <v>11</v>
      </c>
      <c r="H239" s="4">
        <v>1</v>
      </c>
      <c r="I239" s="4">
        <v>500</v>
      </c>
      <c r="J239" s="4">
        <v>500</v>
      </c>
      <c r="K239" s="4" t="str" cm="1">
        <f t="array" ref="K239">_xlfn.IFS(AND(Table15678[[#This Row],[Total Amount]]&gt;=1500),"Critical",AND(Table15678[[#This Row],[Total Amount]]&gt;=1000),"High",TRUE,"Normal")</f>
        <v>Normal</v>
      </c>
      <c r="L239" s="4" t="str">
        <f>IF(Table15678[[#This Row],[Total Amount]]&gt;=1000,"High",(IF(Table15678[[#This Row],[Total Amount]]&gt;=500,"Medium","Low")))</f>
        <v>Medium</v>
      </c>
      <c r="M239" s="4" t="str" cm="1">
        <f t="array" ref="M23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39" s="4" cm="1">
        <f t="array" ref="N23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239" s="4">
        <f>Table15678[[#This Row],[Total Amount]]-Table15678[[#This Row],[Discount Amount]]</f>
        <v>400</v>
      </c>
      <c r="P239" s="4" t="str">
        <f>IF(Table15678[[#This Row],[Total Amount]]&gt;=1000,"High","Low")</f>
        <v>Low</v>
      </c>
      <c r="Q239" s="4" t="str" cm="1">
        <f t="array" ref="Q239">_xlfn.IFS(AND(Table15678[[#This Row],[Total Amount]]&gt;=1500,"Critical"),AND(Table15678[[#This Row],[Total Amount]]&gt;=1000,"High"),TRUE,"Normal")</f>
        <v>Normal</v>
      </c>
      <c r="R239" s="4" t="str">
        <f>CONCATENATE(Table15678[[#This Row],[Customer ID]], "-",Table15678[[#This Row],[Age]])</f>
        <v>CUST238-39</v>
      </c>
      <c r="S239" s="4" t="str">
        <f>TEXT(Table15678[[#This Row],[Date]],"mmm")</f>
        <v>Jan</v>
      </c>
      <c r="T239" s="4" t="str">
        <f>TEXT(Table15678[[#This Row],[Date]],"DDD")</f>
        <v>Tue</v>
      </c>
    </row>
    <row r="240" spans="1:20" ht="29" x14ac:dyDescent="0.35">
      <c r="A240" s="4">
        <v>239</v>
      </c>
      <c r="B240" s="5">
        <v>45096</v>
      </c>
      <c r="C240" s="4" t="s">
        <v>252</v>
      </c>
      <c r="D240" s="4" t="s">
        <v>10</v>
      </c>
      <c r="E240" s="4">
        <v>38</v>
      </c>
      <c r="F240" s="4" t="str">
        <f>IF(Table15678[[#This Row],[Age]]&lt;=19,"Teenager",IF(Table15678[[#This Row],[Age]]&lt;=40,"Median","Old"))</f>
        <v>Median</v>
      </c>
      <c r="G240" s="4" t="s">
        <v>16</v>
      </c>
      <c r="H240" s="4">
        <v>3</v>
      </c>
      <c r="I240" s="4">
        <v>500</v>
      </c>
      <c r="J240" s="4">
        <v>1500</v>
      </c>
      <c r="K240" s="4" t="str" cm="1">
        <f t="array" ref="K240">_xlfn.IFS(AND(Table15678[[#This Row],[Total Amount]]&gt;=1500),"Critical",AND(Table15678[[#This Row],[Total Amount]]&gt;=1000),"High",TRUE,"Normal")</f>
        <v>Critical</v>
      </c>
      <c r="L240" s="4" t="str">
        <f>IF(Table15678[[#This Row],[Total Amount]]&gt;=1000,"High",(IF(Table15678[[#This Row],[Total Amount]]&gt;=500,"Medium","Low")))</f>
        <v>High</v>
      </c>
      <c r="M240" s="4" t="str" cm="1">
        <f t="array" ref="M24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40" s="4" cm="1">
        <f t="array" ref="N24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150</v>
      </c>
      <c r="O240" s="4">
        <f>Table15678[[#This Row],[Total Amount]]-Table15678[[#This Row],[Discount Amount]]</f>
        <v>1350</v>
      </c>
      <c r="P240" s="4" t="str">
        <f>IF(Table15678[[#This Row],[Total Amount]]&gt;=1000,"High","Low")</f>
        <v>High</v>
      </c>
      <c r="Q240" s="4" t="b" cm="1">
        <f t="array" ref="Q240">_xlfn.IFS(AND(Table15678[[#This Row],[Total Amount]]&gt;=1500,"Critical"),AND(Table15678[[#This Row],[Total Amount]]&gt;=1000,"High"),TRUE,"Normal")</f>
        <v>1</v>
      </c>
      <c r="R240" s="4" t="str">
        <f>CONCATENATE(Table15678[[#This Row],[Customer ID]], "-",Table15678[[#This Row],[Age]])</f>
        <v>CUST239-38</v>
      </c>
      <c r="S240" s="4" t="str">
        <f>TEXT(Table15678[[#This Row],[Date]],"mmm")</f>
        <v>Jun</v>
      </c>
      <c r="T240" s="4" t="str">
        <f>TEXT(Table15678[[#This Row],[Date]],"DDD")</f>
        <v>Mon</v>
      </c>
    </row>
    <row r="241" spans="1:20" ht="29" x14ac:dyDescent="0.35">
      <c r="A241" s="4">
        <v>240</v>
      </c>
      <c r="B241" s="5">
        <v>44963</v>
      </c>
      <c r="C241" s="4" t="s">
        <v>253</v>
      </c>
      <c r="D241" s="4" t="s">
        <v>13</v>
      </c>
      <c r="E241" s="4">
        <v>23</v>
      </c>
      <c r="F241" s="4" t="str">
        <f>IF(Table15678[[#This Row],[Age]]&lt;=19,"Teenager",IF(Table15678[[#This Row],[Age]]&lt;=40,"Median","Old"))</f>
        <v>Median</v>
      </c>
      <c r="G241" s="4" t="s">
        <v>11</v>
      </c>
      <c r="H241" s="4">
        <v>1</v>
      </c>
      <c r="I241" s="4">
        <v>300</v>
      </c>
      <c r="J241" s="4">
        <v>300</v>
      </c>
      <c r="K241" s="4" t="str" cm="1">
        <f t="array" ref="K241">_xlfn.IFS(AND(Table15678[[#This Row],[Total Amount]]&gt;=1500),"Critical",AND(Table15678[[#This Row],[Total Amount]]&gt;=1000),"High",TRUE,"Normal")</f>
        <v>Normal</v>
      </c>
      <c r="L241" s="4" t="str">
        <f>IF(Table15678[[#This Row],[Total Amount]]&gt;=1000,"High",(IF(Table15678[[#This Row],[Total Amount]]&gt;=500,"Medium","Low")))</f>
        <v>Low</v>
      </c>
      <c r="M241" s="4" t="str" cm="1">
        <f t="array" ref="M24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241" s="4" cm="1">
        <f t="array" ref="N24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241" s="4">
        <f>Table15678[[#This Row],[Total Amount]]-Table15678[[#This Row],[Discount Amount]]</f>
        <v>300</v>
      </c>
      <c r="P241" s="4" t="str">
        <f>IF(Table15678[[#This Row],[Total Amount]]&gt;=1000,"High","Low")</f>
        <v>Low</v>
      </c>
      <c r="Q241" s="4" t="str" cm="1">
        <f t="array" ref="Q241">_xlfn.IFS(AND(Table15678[[#This Row],[Total Amount]]&gt;=1500,"Critical"),AND(Table15678[[#This Row],[Total Amount]]&gt;=1000,"High"),TRUE,"Normal")</f>
        <v>Normal</v>
      </c>
      <c r="R241" s="4" t="str">
        <f>CONCATENATE(Table15678[[#This Row],[Customer ID]], "-",Table15678[[#This Row],[Age]])</f>
        <v>CUST240-23</v>
      </c>
      <c r="S241" s="4" t="str">
        <f>TEXT(Table15678[[#This Row],[Date]],"mmm")</f>
        <v>Feb</v>
      </c>
      <c r="T241" s="4" t="str">
        <f>TEXT(Table15678[[#This Row],[Date]],"DDD")</f>
        <v>Mon</v>
      </c>
    </row>
    <row r="242" spans="1:20" ht="29" x14ac:dyDescent="0.35">
      <c r="A242" s="4">
        <v>241</v>
      </c>
      <c r="B242" s="5">
        <v>45190</v>
      </c>
      <c r="C242" s="4" t="s">
        <v>254</v>
      </c>
      <c r="D242" s="4" t="s">
        <v>13</v>
      </c>
      <c r="E242" s="4">
        <v>23</v>
      </c>
      <c r="F242" s="4" t="str">
        <f>IF(Table15678[[#This Row],[Age]]&lt;=19,"Teenager",IF(Table15678[[#This Row],[Age]]&lt;=40,"Median","Old"))</f>
        <v>Median</v>
      </c>
      <c r="G242" s="4" t="s">
        <v>16</v>
      </c>
      <c r="H242" s="4">
        <v>3</v>
      </c>
      <c r="I242" s="4">
        <v>25</v>
      </c>
      <c r="J242" s="4">
        <v>75</v>
      </c>
      <c r="K242" s="4" t="str" cm="1">
        <f t="array" ref="K242">_xlfn.IFS(AND(Table15678[[#This Row],[Total Amount]]&gt;=1500),"Critical",AND(Table15678[[#This Row],[Total Amount]]&gt;=1000),"High",TRUE,"Normal")</f>
        <v>Normal</v>
      </c>
      <c r="L242" s="4" t="str">
        <f>IF(Table15678[[#This Row],[Total Amount]]&gt;=1000,"High",(IF(Table15678[[#This Row],[Total Amount]]&gt;=500,"Medium","Low")))</f>
        <v>Low</v>
      </c>
      <c r="M242" s="4" t="str" cm="1">
        <f t="array" ref="M24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242" s="4" cm="1">
        <f t="array" ref="N24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242" s="4">
        <f>Table15678[[#This Row],[Total Amount]]-Table15678[[#This Row],[Discount Amount]]</f>
        <v>75</v>
      </c>
      <c r="P242" s="4" t="str">
        <f>IF(Table15678[[#This Row],[Total Amount]]&gt;=1000,"High","Low")</f>
        <v>Low</v>
      </c>
      <c r="Q242" s="4" t="str" cm="1">
        <f t="array" ref="Q242">_xlfn.IFS(AND(Table15678[[#This Row],[Total Amount]]&gt;=1500,"Critical"),AND(Table15678[[#This Row],[Total Amount]]&gt;=1000,"High"),TRUE,"Normal")</f>
        <v>Normal</v>
      </c>
      <c r="R242" s="4" t="str">
        <f>CONCATENATE(Table15678[[#This Row],[Customer ID]], "-",Table15678[[#This Row],[Age]])</f>
        <v>CUST241-23</v>
      </c>
      <c r="S242" s="4" t="str">
        <f>TEXT(Table15678[[#This Row],[Date]],"mmm")</f>
        <v>Sep</v>
      </c>
      <c r="T242" s="4" t="str">
        <f>TEXT(Table15678[[#This Row],[Date]],"DDD")</f>
        <v>Thu</v>
      </c>
    </row>
    <row r="243" spans="1:20" ht="29" x14ac:dyDescent="0.35">
      <c r="A243" s="4">
        <v>242</v>
      </c>
      <c r="B243" s="5">
        <v>45048</v>
      </c>
      <c r="C243" s="4" t="s">
        <v>255</v>
      </c>
      <c r="D243" s="4" t="s">
        <v>10</v>
      </c>
      <c r="E243" s="4">
        <v>21</v>
      </c>
      <c r="F243" s="4" t="str">
        <f>IF(Table15678[[#This Row],[Age]]&lt;=19,"Teenager",IF(Table15678[[#This Row],[Age]]&lt;=40,"Median","Old"))</f>
        <v>Median</v>
      </c>
      <c r="G243" s="4" t="s">
        <v>14</v>
      </c>
      <c r="H243" s="4">
        <v>1</v>
      </c>
      <c r="I243" s="4">
        <v>25</v>
      </c>
      <c r="J243" s="4">
        <v>25</v>
      </c>
      <c r="K243" s="4" t="str" cm="1">
        <f t="array" ref="K243">_xlfn.IFS(AND(Table15678[[#This Row],[Total Amount]]&gt;=1500),"Critical",AND(Table15678[[#This Row],[Total Amount]]&gt;=1000),"High",TRUE,"Normal")</f>
        <v>Normal</v>
      </c>
      <c r="L243" s="4" t="str">
        <f>IF(Table15678[[#This Row],[Total Amount]]&gt;=1000,"High",(IF(Table15678[[#This Row],[Total Amount]]&gt;=500,"Medium","Low")))</f>
        <v>Low</v>
      </c>
      <c r="M243" s="4" t="str" cm="1">
        <f t="array" ref="M24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243" s="4" cm="1">
        <f t="array" ref="N24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243" s="4">
        <f>Table15678[[#This Row],[Total Amount]]-Table15678[[#This Row],[Discount Amount]]</f>
        <v>25</v>
      </c>
      <c r="P243" s="4" t="str">
        <f>IF(Table15678[[#This Row],[Total Amount]]&gt;=1000,"High","Low")</f>
        <v>Low</v>
      </c>
      <c r="Q243" s="4" t="str" cm="1">
        <f t="array" ref="Q243">_xlfn.IFS(AND(Table15678[[#This Row],[Total Amount]]&gt;=1500,"Critical"),AND(Table15678[[#This Row],[Total Amount]]&gt;=1000,"High"),TRUE,"Normal")</f>
        <v>Normal</v>
      </c>
      <c r="R243" s="4" t="str">
        <f>CONCATENATE(Table15678[[#This Row],[Customer ID]], "-",Table15678[[#This Row],[Age]])</f>
        <v>CUST242-21</v>
      </c>
      <c r="S243" s="4" t="str">
        <f>TEXT(Table15678[[#This Row],[Date]],"mmm")</f>
        <v>May</v>
      </c>
      <c r="T243" s="4" t="str">
        <f>TEXT(Table15678[[#This Row],[Date]],"DDD")</f>
        <v>Tue</v>
      </c>
    </row>
    <row r="244" spans="1:20" ht="29" x14ac:dyDescent="0.35">
      <c r="A244" s="4">
        <v>243</v>
      </c>
      <c r="B244" s="5">
        <v>45069</v>
      </c>
      <c r="C244" s="4" t="s">
        <v>256</v>
      </c>
      <c r="D244" s="4" t="s">
        <v>13</v>
      </c>
      <c r="E244" s="4">
        <v>47</v>
      </c>
      <c r="F244" s="4" t="str">
        <f>IF(Table15678[[#This Row],[Age]]&lt;=19,"Teenager",IF(Table15678[[#This Row],[Age]]&lt;=40,"Median","Old"))</f>
        <v>Old</v>
      </c>
      <c r="G244" s="4" t="s">
        <v>16</v>
      </c>
      <c r="H244" s="4">
        <v>3</v>
      </c>
      <c r="I244" s="4">
        <v>300</v>
      </c>
      <c r="J244" s="4">
        <v>900</v>
      </c>
      <c r="K244" s="4" t="str" cm="1">
        <f t="array" ref="K244">_xlfn.IFS(AND(Table15678[[#This Row],[Total Amount]]&gt;=1500),"Critical",AND(Table15678[[#This Row],[Total Amount]]&gt;=1000),"High",TRUE,"Normal")</f>
        <v>Normal</v>
      </c>
      <c r="L244" s="4" t="str">
        <f>IF(Table15678[[#This Row],[Total Amount]]&gt;=1000,"High",(IF(Table15678[[#This Row],[Total Amount]]&gt;=500,"Medium","Low")))</f>
        <v>Medium</v>
      </c>
      <c r="M244" s="4" t="str" cm="1">
        <f t="array" ref="M24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44" s="4" cm="1">
        <f t="array" ref="N24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244" s="4">
        <f>Table15678[[#This Row],[Total Amount]]-Table15678[[#This Row],[Discount Amount]]</f>
        <v>720</v>
      </c>
      <c r="P244" s="4" t="str">
        <f>IF(Table15678[[#This Row],[Total Amount]]&gt;=1000,"High","Low")</f>
        <v>Low</v>
      </c>
      <c r="Q244" s="4" t="str" cm="1">
        <f t="array" ref="Q244">_xlfn.IFS(AND(Table15678[[#This Row],[Total Amount]]&gt;=1500,"Critical"),AND(Table15678[[#This Row],[Total Amount]]&gt;=1000,"High"),TRUE,"Normal")</f>
        <v>Normal</v>
      </c>
      <c r="R244" s="4" t="str">
        <f>CONCATENATE(Table15678[[#This Row],[Customer ID]], "-",Table15678[[#This Row],[Age]])</f>
        <v>CUST243-47</v>
      </c>
      <c r="S244" s="4" t="str">
        <f>TEXT(Table15678[[#This Row],[Date]],"mmm")</f>
        <v>May</v>
      </c>
      <c r="T244" s="4" t="str">
        <f>TEXT(Table15678[[#This Row],[Date]],"DDD")</f>
        <v>Tue</v>
      </c>
    </row>
    <row r="245" spans="1:20" ht="29" x14ac:dyDescent="0.35">
      <c r="A245" s="4">
        <v>244</v>
      </c>
      <c r="B245" s="5">
        <v>45269</v>
      </c>
      <c r="C245" s="4" t="s">
        <v>257</v>
      </c>
      <c r="D245" s="4" t="s">
        <v>10</v>
      </c>
      <c r="E245" s="4">
        <v>28</v>
      </c>
      <c r="F245" s="4" t="str">
        <f>IF(Table15678[[#This Row],[Age]]&lt;=19,"Teenager",IF(Table15678[[#This Row],[Age]]&lt;=40,"Median","Old"))</f>
        <v>Median</v>
      </c>
      <c r="G245" s="4" t="s">
        <v>11</v>
      </c>
      <c r="H245" s="4">
        <v>2</v>
      </c>
      <c r="I245" s="4">
        <v>50</v>
      </c>
      <c r="J245" s="4">
        <v>100</v>
      </c>
      <c r="K245" s="4" t="str" cm="1">
        <f t="array" ref="K245">_xlfn.IFS(AND(Table15678[[#This Row],[Total Amount]]&gt;=1500),"Critical",AND(Table15678[[#This Row],[Total Amount]]&gt;=1000),"High",TRUE,"Normal")</f>
        <v>Normal</v>
      </c>
      <c r="L245" s="4" t="str">
        <f>IF(Table15678[[#This Row],[Total Amount]]&gt;=1000,"High",(IF(Table15678[[#This Row],[Total Amount]]&gt;=500,"Medium","Low")))</f>
        <v>Low</v>
      </c>
      <c r="M245" s="4" t="str" cm="1">
        <f t="array" ref="M24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45" s="4" cm="1">
        <f t="array" ref="N24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245" s="4">
        <f>Table15678[[#This Row],[Total Amount]]-Table15678[[#This Row],[Discount Amount]]</f>
        <v>85</v>
      </c>
      <c r="P245" s="4" t="str">
        <f>IF(Table15678[[#This Row],[Total Amount]]&gt;=1000,"High","Low")</f>
        <v>Low</v>
      </c>
      <c r="Q245" s="4" t="str" cm="1">
        <f t="array" ref="Q245">_xlfn.IFS(AND(Table15678[[#This Row],[Total Amount]]&gt;=1500,"Critical"),AND(Table15678[[#This Row],[Total Amount]]&gt;=1000,"High"),TRUE,"Normal")</f>
        <v>Normal</v>
      </c>
      <c r="R245" s="4" t="str">
        <f>CONCATENATE(Table15678[[#This Row],[Customer ID]], "-",Table15678[[#This Row],[Age]])</f>
        <v>CUST244-28</v>
      </c>
      <c r="S245" s="4" t="str">
        <f>TEXT(Table15678[[#This Row],[Date]],"mmm")</f>
        <v>Dec</v>
      </c>
      <c r="T245" s="4" t="str">
        <f>TEXT(Table15678[[#This Row],[Date]],"DDD")</f>
        <v>Sat</v>
      </c>
    </row>
    <row r="246" spans="1:20" ht="29" x14ac:dyDescent="0.35">
      <c r="A246" s="4">
        <v>245</v>
      </c>
      <c r="B246" s="5">
        <v>45175</v>
      </c>
      <c r="C246" s="4" t="s">
        <v>258</v>
      </c>
      <c r="D246" s="4" t="s">
        <v>10</v>
      </c>
      <c r="E246" s="4">
        <v>47</v>
      </c>
      <c r="F246" s="4" t="str">
        <f>IF(Table15678[[#This Row],[Age]]&lt;=19,"Teenager",IF(Table15678[[#This Row],[Age]]&lt;=40,"Median","Old"))</f>
        <v>Old</v>
      </c>
      <c r="G246" s="4" t="s">
        <v>14</v>
      </c>
      <c r="H246" s="4">
        <v>3</v>
      </c>
      <c r="I246" s="4">
        <v>30</v>
      </c>
      <c r="J246" s="4">
        <v>90</v>
      </c>
      <c r="K246" s="4" t="str" cm="1">
        <f t="array" ref="K246">_xlfn.IFS(AND(Table15678[[#This Row],[Total Amount]]&gt;=1500),"Critical",AND(Table15678[[#This Row],[Total Amount]]&gt;=1000),"High",TRUE,"Normal")</f>
        <v>Normal</v>
      </c>
      <c r="L246" s="4" t="str">
        <f>IF(Table15678[[#This Row],[Total Amount]]&gt;=1000,"High",(IF(Table15678[[#This Row],[Total Amount]]&gt;=500,"Medium","Low")))</f>
        <v>Low</v>
      </c>
      <c r="M246" s="4" t="str" cm="1">
        <f t="array" ref="M24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46" s="4" cm="1">
        <f t="array" ref="N24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</v>
      </c>
      <c r="O246" s="4">
        <f>Table15678[[#This Row],[Total Amount]]-Table15678[[#This Row],[Discount Amount]]</f>
        <v>81</v>
      </c>
      <c r="P246" s="4" t="str">
        <f>IF(Table15678[[#This Row],[Total Amount]]&gt;=1000,"High","Low")</f>
        <v>Low</v>
      </c>
      <c r="Q246" s="4" t="str" cm="1">
        <f t="array" ref="Q246">_xlfn.IFS(AND(Table15678[[#This Row],[Total Amount]]&gt;=1500,"Critical"),AND(Table15678[[#This Row],[Total Amount]]&gt;=1000,"High"),TRUE,"Normal")</f>
        <v>Normal</v>
      </c>
      <c r="R246" s="4" t="str">
        <f>CONCATENATE(Table15678[[#This Row],[Customer ID]], "-",Table15678[[#This Row],[Age]])</f>
        <v>CUST245-47</v>
      </c>
      <c r="S246" s="4" t="str">
        <f>TEXT(Table15678[[#This Row],[Date]],"mmm")</f>
        <v>Sep</v>
      </c>
      <c r="T246" s="4" t="str">
        <f>TEXT(Table15678[[#This Row],[Date]],"DDD")</f>
        <v>Wed</v>
      </c>
    </row>
    <row r="247" spans="1:20" ht="29" x14ac:dyDescent="0.35">
      <c r="A247" s="4">
        <v>246</v>
      </c>
      <c r="B247" s="5">
        <v>45036</v>
      </c>
      <c r="C247" s="4" t="s">
        <v>259</v>
      </c>
      <c r="D247" s="4" t="s">
        <v>13</v>
      </c>
      <c r="E247" s="4">
        <v>48</v>
      </c>
      <c r="F247" s="4" t="str">
        <f>IF(Table15678[[#This Row],[Age]]&lt;=19,"Teenager",IF(Table15678[[#This Row],[Age]]&lt;=40,"Median","Old"))</f>
        <v>Old</v>
      </c>
      <c r="G247" s="4" t="s">
        <v>16</v>
      </c>
      <c r="H247" s="4">
        <v>2</v>
      </c>
      <c r="I247" s="4">
        <v>25</v>
      </c>
      <c r="J247" s="4">
        <v>50</v>
      </c>
      <c r="K247" s="4" t="str" cm="1">
        <f t="array" ref="K247">_xlfn.IFS(AND(Table15678[[#This Row],[Total Amount]]&gt;=1500),"Critical",AND(Table15678[[#This Row],[Total Amount]]&gt;=1000),"High",TRUE,"Normal")</f>
        <v>Normal</v>
      </c>
      <c r="L247" s="4" t="str">
        <f>IF(Table15678[[#This Row],[Total Amount]]&gt;=1000,"High",(IF(Table15678[[#This Row],[Total Amount]]&gt;=500,"Medium","Low")))</f>
        <v>Low</v>
      </c>
      <c r="M247" s="4" t="str" cm="1">
        <f t="array" ref="M24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47" s="4" cm="1">
        <f t="array" ref="N24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247" s="4">
        <f>Table15678[[#This Row],[Total Amount]]-Table15678[[#This Row],[Discount Amount]]</f>
        <v>40</v>
      </c>
      <c r="P247" s="4" t="str">
        <f>IF(Table15678[[#This Row],[Total Amount]]&gt;=1000,"High","Low")</f>
        <v>Low</v>
      </c>
      <c r="Q247" s="4" t="str" cm="1">
        <f t="array" ref="Q247">_xlfn.IFS(AND(Table15678[[#This Row],[Total Amount]]&gt;=1500,"Critical"),AND(Table15678[[#This Row],[Total Amount]]&gt;=1000,"High"),TRUE,"Normal")</f>
        <v>Normal</v>
      </c>
      <c r="R247" s="4" t="str">
        <f>CONCATENATE(Table15678[[#This Row],[Customer ID]], "-",Table15678[[#This Row],[Age]])</f>
        <v>CUST246-48</v>
      </c>
      <c r="S247" s="4" t="str">
        <f>TEXT(Table15678[[#This Row],[Date]],"mmm")</f>
        <v>Apr</v>
      </c>
      <c r="T247" s="4" t="str">
        <f>TEXT(Table15678[[#This Row],[Date]],"DDD")</f>
        <v>Thu</v>
      </c>
    </row>
    <row r="248" spans="1:20" ht="29" x14ac:dyDescent="0.35">
      <c r="A248" s="4">
        <v>247</v>
      </c>
      <c r="B248" s="5">
        <v>45203</v>
      </c>
      <c r="C248" s="4" t="s">
        <v>260</v>
      </c>
      <c r="D248" s="4" t="s">
        <v>10</v>
      </c>
      <c r="E248" s="4">
        <v>41</v>
      </c>
      <c r="F248" s="4" t="str">
        <f>IF(Table15678[[#This Row],[Age]]&lt;=19,"Teenager",IF(Table15678[[#This Row],[Age]]&lt;=40,"Median","Old"))</f>
        <v>Old</v>
      </c>
      <c r="G248" s="4" t="s">
        <v>16</v>
      </c>
      <c r="H248" s="4">
        <v>2</v>
      </c>
      <c r="I248" s="4">
        <v>30</v>
      </c>
      <c r="J248" s="4">
        <v>60</v>
      </c>
      <c r="K248" s="4" t="str" cm="1">
        <f t="array" ref="K248">_xlfn.IFS(AND(Table15678[[#This Row],[Total Amount]]&gt;=1500),"Critical",AND(Table15678[[#This Row],[Total Amount]]&gt;=1000),"High",TRUE,"Normal")</f>
        <v>Normal</v>
      </c>
      <c r="L248" s="4" t="str">
        <f>IF(Table15678[[#This Row],[Total Amount]]&gt;=1000,"High",(IF(Table15678[[#This Row],[Total Amount]]&gt;=500,"Medium","Low")))</f>
        <v>Low</v>
      </c>
      <c r="M248" s="4" t="str" cm="1">
        <f t="array" ref="M24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48" s="4" cm="1">
        <f t="array" ref="N24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248" s="4">
        <f>Table15678[[#This Row],[Total Amount]]-Table15678[[#This Row],[Discount Amount]]</f>
        <v>54</v>
      </c>
      <c r="P248" s="4" t="str">
        <f>IF(Table15678[[#This Row],[Total Amount]]&gt;=1000,"High","Low")</f>
        <v>Low</v>
      </c>
      <c r="Q248" s="4" t="str" cm="1">
        <f t="array" ref="Q248">_xlfn.IFS(AND(Table15678[[#This Row],[Total Amount]]&gt;=1500,"Critical"),AND(Table15678[[#This Row],[Total Amount]]&gt;=1000,"High"),TRUE,"Normal")</f>
        <v>Normal</v>
      </c>
      <c r="R248" s="4" t="str">
        <f>CONCATENATE(Table15678[[#This Row],[Customer ID]], "-",Table15678[[#This Row],[Age]])</f>
        <v>CUST247-41</v>
      </c>
      <c r="S248" s="4" t="str">
        <f>TEXT(Table15678[[#This Row],[Date]],"mmm")</f>
        <v>Oct</v>
      </c>
      <c r="T248" s="4" t="str">
        <f>TEXT(Table15678[[#This Row],[Date]],"DDD")</f>
        <v>Wed</v>
      </c>
    </row>
    <row r="249" spans="1:20" ht="29" x14ac:dyDescent="0.35">
      <c r="A249" s="4">
        <v>248</v>
      </c>
      <c r="B249" s="5">
        <v>44994</v>
      </c>
      <c r="C249" s="4" t="s">
        <v>261</v>
      </c>
      <c r="D249" s="4" t="s">
        <v>10</v>
      </c>
      <c r="E249" s="4">
        <v>26</v>
      </c>
      <c r="F249" s="4" t="str">
        <f>IF(Table15678[[#This Row],[Age]]&lt;=19,"Teenager",IF(Table15678[[#This Row],[Age]]&lt;=40,"Median","Old"))</f>
        <v>Median</v>
      </c>
      <c r="G249" s="4" t="s">
        <v>14</v>
      </c>
      <c r="H249" s="4">
        <v>3</v>
      </c>
      <c r="I249" s="4">
        <v>300</v>
      </c>
      <c r="J249" s="4">
        <v>900</v>
      </c>
      <c r="K249" s="4" t="str" cm="1">
        <f t="array" ref="K249">_xlfn.IFS(AND(Table15678[[#This Row],[Total Amount]]&gt;=1500),"Critical",AND(Table15678[[#This Row],[Total Amount]]&gt;=1000),"High",TRUE,"Normal")</f>
        <v>Normal</v>
      </c>
      <c r="L249" s="4" t="str">
        <f>IF(Table15678[[#This Row],[Total Amount]]&gt;=1000,"High",(IF(Table15678[[#This Row],[Total Amount]]&gt;=500,"Medium","Low")))</f>
        <v>Medium</v>
      </c>
      <c r="M249" s="4" t="str" cm="1">
        <f t="array" ref="M24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49" s="4" cm="1">
        <f t="array" ref="N24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135</v>
      </c>
      <c r="O249" s="4">
        <f>Table15678[[#This Row],[Total Amount]]-Table15678[[#This Row],[Discount Amount]]</f>
        <v>765</v>
      </c>
      <c r="P249" s="4" t="str">
        <f>IF(Table15678[[#This Row],[Total Amount]]&gt;=1000,"High","Low")</f>
        <v>Low</v>
      </c>
      <c r="Q249" s="4" t="str" cm="1">
        <f t="array" ref="Q249">_xlfn.IFS(AND(Table15678[[#This Row],[Total Amount]]&gt;=1500,"Critical"),AND(Table15678[[#This Row],[Total Amount]]&gt;=1000,"High"),TRUE,"Normal")</f>
        <v>Normal</v>
      </c>
      <c r="R249" s="4" t="str">
        <f>CONCATENATE(Table15678[[#This Row],[Customer ID]], "-",Table15678[[#This Row],[Age]])</f>
        <v>CUST248-26</v>
      </c>
      <c r="S249" s="4" t="str">
        <f>TEXT(Table15678[[#This Row],[Date]],"mmm")</f>
        <v>Mar</v>
      </c>
      <c r="T249" s="4" t="str">
        <f>TEXT(Table15678[[#This Row],[Date]],"DDD")</f>
        <v>Thu</v>
      </c>
    </row>
    <row r="250" spans="1:20" ht="29" x14ac:dyDescent="0.35">
      <c r="A250" s="4">
        <v>249</v>
      </c>
      <c r="B250" s="5">
        <v>45219</v>
      </c>
      <c r="C250" s="4" t="s">
        <v>262</v>
      </c>
      <c r="D250" s="4" t="s">
        <v>10</v>
      </c>
      <c r="E250" s="4">
        <v>20</v>
      </c>
      <c r="F250" s="4" t="str">
        <f>IF(Table15678[[#This Row],[Age]]&lt;=19,"Teenager",IF(Table15678[[#This Row],[Age]]&lt;=40,"Median","Old"))</f>
        <v>Median</v>
      </c>
      <c r="G250" s="4" t="s">
        <v>14</v>
      </c>
      <c r="H250" s="4">
        <v>1</v>
      </c>
      <c r="I250" s="4">
        <v>50</v>
      </c>
      <c r="J250" s="4">
        <v>50</v>
      </c>
      <c r="K250" s="4" t="str" cm="1">
        <f t="array" ref="K250">_xlfn.IFS(AND(Table15678[[#This Row],[Total Amount]]&gt;=1500),"Critical",AND(Table15678[[#This Row],[Total Amount]]&gt;=1000),"High",TRUE,"Normal")</f>
        <v>Normal</v>
      </c>
      <c r="L250" s="4" t="str">
        <f>IF(Table15678[[#This Row],[Total Amount]]&gt;=1000,"High",(IF(Table15678[[#This Row],[Total Amount]]&gt;=500,"Medium","Low")))</f>
        <v>Low</v>
      </c>
      <c r="M250" s="4" t="str" cm="1">
        <f t="array" ref="M25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250" s="4" cm="1">
        <f t="array" ref="N25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250" s="4">
        <f>Table15678[[#This Row],[Total Amount]]-Table15678[[#This Row],[Discount Amount]]</f>
        <v>50</v>
      </c>
      <c r="P250" s="4" t="str">
        <f>IF(Table15678[[#This Row],[Total Amount]]&gt;=1000,"High","Low")</f>
        <v>Low</v>
      </c>
      <c r="Q250" s="4" t="str" cm="1">
        <f t="array" ref="Q250">_xlfn.IFS(AND(Table15678[[#This Row],[Total Amount]]&gt;=1500,"Critical"),AND(Table15678[[#This Row],[Total Amount]]&gt;=1000,"High"),TRUE,"Normal")</f>
        <v>Normal</v>
      </c>
      <c r="R250" s="4" t="str">
        <f>CONCATENATE(Table15678[[#This Row],[Customer ID]], "-",Table15678[[#This Row],[Age]])</f>
        <v>CUST249-20</v>
      </c>
      <c r="S250" s="4" t="str">
        <f>TEXT(Table15678[[#This Row],[Date]],"mmm")</f>
        <v>Oct</v>
      </c>
      <c r="T250" s="4" t="str">
        <f>TEXT(Table15678[[#This Row],[Date]],"DDD")</f>
        <v>Fri</v>
      </c>
    </row>
    <row r="251" spans="1:20" ht="29" x14ac:dyDescent="0.35">
      <c r="A251" s="4">
        <v>250</v>
      </c>
      <c r="B251" s="5">
        <v>45222</v>
      </c>
      <c r="C251" s="4" t="s">
        <v>263</v>
      </c>
      <c r="D251" s="4" t="s">
        <v>10</v>
      </c>
      <c r="E251" s="4">
        <v>48</v>
      </c>
      <c r="F251" s="4" t="str">
        <f>IF(Table15678[[#This Row],[Age]]&lt;=19,"Teenager",IF(Table15678[[#This Row],[Age]]&lt;=40,"Median","Old"))</f>
        <v>Old</v>
      </c>
      <c r="G251" s="4" t="s">
        <v>16</v>
      </c>
      <c r="H251" s="4">
        <v>1</v>
      </c>
      <c r="I251" s="4">
        <v>50</v>
      </c>
      <c r="J251" s="4">
        <v>50</v>
      </c>
      <c r="K251" s="4" t="str" cm="1">
        <f t="array" ref="K251">_xlfn.IFS(AND(Table15678[[#This Row],[Total Amount]]&gt;=1500),"Critical",AND(Table15678[[#This Row],[Total Amount]]&gt;=1000),"High",TRUE,"Normal")</f>
        <v>Normal</v>
      </c>
      <c r="L251" s="4" t="str">
        <f>IF(Table15678[[#This Row],[Total Amount]]&gt;=1000,"High",(IF(Table15678[[#This Row],[Total Amount]]&gt;=500,"Medium","Low")))</f>
        <v>Low</v>
      </c>
      <c r="M251" s="4" t="str" cm="1">
        <f t="array" ref="M25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51" s="4" cm="1">
        <f t="array" ref="N25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251" s="4">
        <f>Table15678[[#This Row],[Total Amount]]-Table15678[[#This Row],[Discount Amount]]</f>
        <v>45</v>
      </c>
      <c r="P251" s="4" t="str">
        <f>IF(Table15678[[#This Row],[Total Amount]]&gt;=1000,"High","Low")</f>
        <v>Low</v>
      </c>
      <c r="Q251" s="4" t="str" cm="1">
        <f t="array" ref="Q251">_xlfn.IFS(AND(Table15678[[#This Row],[Total Amount]]&gt;=1500,"Critical"),AND(Table15678[[#This Row],[Total Amount]]&gt;=1000,"High"),TRUE,"Normal")</f>
        <v>Normal</v>
      </c>
      <c r="R251" s="4" t="str">
        <f>CONCATENATE(Table15678[[#This Row],[Customer ID]], "-",Table15678[[#This Row],[Age]])</f>
        <v>CUST250-48</v>
      </c>
      <c r="S251" s="4" t="str">
        <f>TEXT(Table15678[[#This Row],[Date]],"mmm")</f>
        <v>Oct</v>
      </c>
      <c r="T251" s="4" t="str">
        <f>TEXT(Table15678[[#This Row],[Date]],"DDD")</f>
        <v>Mon</v>
      </c>
    </row>
    <row r="252" spans="1:20" ht="29" x14ac:dyDescent="0.35">
      <c r="A252" s="4">
        <v>251</v>
      </c>
      <c r="B252" s="5">
        <v>45169</v>
      </c>
      <c r="C252" s="4" t="s">
        <v>264</v>
      </c>
      <c r="D252" s="4" t="s">
        <v>13</v>
      </c>
      <c r="E252" s="4">
        <v>57</v>
      </c>
      <c r="F252" s="4" t="str">
        <f>IF(Table15678[[#This Row],[Age]]&lt;=19,"Teenager",IF(Table15678[[#This Row],[Age]]&lt;=40,"Median","Old"))</f>
        <v>Old</v>
      </c>
      <c r="G252" s="4" t="s">
        <v>11</v>
      </c>
      <c r="H252" s="4">
        <v>4</v>
      </c>
      <c r="I252" s="4">
        <v>50</v>
      </c>
      <c r="J252" s="4">
        <v>200</v>
      </c>
      <c r="K252" s="4" t="str" cm="1">
        <f t="array" ref="K252">_xlfn.IFS(AND(Table15678[[#This Row],[Total Amount]]&gt;=1500),"Critical",AND(Table15678[[#This Row],[Total Amount]]&gt;=1000),"High",TRUE,"Normal")</f>
        <v>Normal</v>
      </c>
      <c r="L252" s="4" t="str">
        <f>IF(Table15678[[#This Row],[Total Amount]]&gt;=1000,"High",(IF(Table15678[[#This Row],[Total Amount]]&gt;=500,"Medium","Low")))</f>
        <v>Low</v>
      </c>
      <c r="M252" s="4" t="str" cm="1">
        <f t="array" ref="M25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52" s="4" cm="1">
        <f t="array" ref="N25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</v>
      </c>
      <c r="O252" s="4">
        <f>Table15678[[#This Row],[Total Amount]]-Table15678[[#This Row],[Discount Amount]]</f>
        <v>160</v>
      </c>
      <c r="P252" s="4" t="str">
        <f>IF(Table15678[[#This Row],[Total Amount]]&gt;=1000,"High","Low")</f>
        <v>Low</v>
      </c>
      <c r="Q252" s="4" t="str" cm="1">
        <f t="array" ref="Q252">_xlfn.IFS(AND(Table15678[[#This Row],[Total Amount]]&gt;=1500,"Critical"),AND(Table15678[[#This Row],[Total Amount]]&gt;=1000,"High"),TRUE,"Normal")</f>
        <v>Normal</v>
      </c>
      <c r="R252" s="4" t="str">
        <f>CONCATENATE(Table15678[[#This Row],[Customer ID]], "-",Table15678[[#This Row],[Age]])</f>
        <v>CUST251-57</v>
      </c>
      <c r="S252" s="4" t="str">
        <f>TEXT(Table15678[[#This Row],[Date]],"mmm")</f>
        <v>Aug</v>
      </c>
      <c r="T252" s="4" t="str">
        <f>TEXT(Table15678[[#This Row],[Date]],"DDD")</f>
        <v>Thu</v>
      </c>
    </row>
    <row r="253" spans="1:20" ht="29" x14ac:dyDescent="0.35">
      <c r="A253" s="4">
        <v>252</v>
      </c>
      <c r="B253" s="5">
        <v>45051</v>
      </c>
      <c r="C253" s="4" t="s">
        <v>265</v>
      </c>
      <c r="D253" s="4" t="s">
        <v>10</v>
      </c>
      <c r="E253" s="4">
        <v>54</v>
      </c>
      <c r="F253" s="4" t="str">
        <f>IF(Table15678[[#This Row],[Age]]&lt;=19,"Teenager",IF(Table15678[[#This Row],[Age]]&lt;=40,"Median","Old"))</f>
        <v>Old</v>
      </c>
      <c r="G253" s="4" t="s">
        <v>16</v>
      </c>
      <c r="H253" s="4">
        <v>1</v>
      </c>
      <c r="I253" s="4">
        <v>300</v>
      </c>
      <c r="J253" s="4">
        <v>300</v>
      </c>
      <c r="K253" s="4" t="str" cm="1">
        <f t="array" ref="K253">_xlfn.IFS(AND(Table15678[[#This Row],[Total Amount]]&gt;=1500),"Critical",AND(Table15678[[#This Row],[Total Amount]]&gt;=1000),"High",TRUE,"Normal")</f>
        <v>Normal</v>
      </c>
      <c r="L253" s="4" t="str">
        <f>IF(Table15678[[#This Row],[Total Amount]]&gt;=1000,"High",(IF(Table15678[[#This Row],[Total Amount]]&gt;=500,"Medium","Low")))</f>
        <v>Low</v>
      </c>
      <c r="M253" s="4" t="str" cm="1">
        <f t="array" ref="M25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53" s="4" cm="1">
        <f t="array" ref="N25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253" s="4">
        <f>Table15678[[#This Row],[Total Amount]]-Table15678[[#This Row],[Discount Amount]]</f>
        <v>270</v>
      </c>
      <c r="P253" s="4" t="str">
        <f>IF(Table15678[[#This Row],[Total Amount]]&gt;=1000,"High","Low")</f>
        <v>Low</v>
      </c>
      <c r="Q253" s="4" t="str" cm="1">
        <f t="array" ref="Q253">_xlfn.IFS(AND(Table15678[[#This Row],[Total Amount]]&gt;=1500,"Critical"),AND(Table15678[[#This Row],[Total Amount]]&gt;=1000,"High"),TRUE,"Normal")</f>
        <v>Normal</v>
      </c>
      <c r="R253" s="4" t="str">
        <f>CONCATENATE(Table15678[[#This Row],[Customer ID]], "-",Table15678[[#This Row],[Age]])</f>
        <v>CUST252-54</v>
      </c>
      <c r="S253" s="4" t="str">
        <f>TEXT(Table15678[[#This Row],[Date]],"mmm")</f>
        <v>May</v>
      </c>
      <c r="T253" s="4" t="str">
        <f>TEXT(Table15678[[#This Row],[Date]],"DDD")</f>
        <v>Fri</v>
      </c>
    </row>
    <row r="254" spans="1:20" ht="29" x14ac:dyDescent="0.35">
      <c r="A254" s="4">
        <v>253</v>
      </c>
      <c r="B254" s="5">
        <v>45169</v>
      </c>
      <c r="C254" s="4" t="s">
        <v>266</v>
      </c>
      <c r="D254" s="4" t="s">
        <v>13</v>
      </c>
      <c r="E254" s="4">
        <v>53</v>
      </c>
      <c r="F254" s="4" t="str">
        <f>IF(Table15678[[#This Row],[Age]]&lt;=19,"Teenager",IF(Table15678[[#This Row],[Age]]&lt;=40,"Median","Old"))</f>
        <v>Old</v>
      </c>
      <c r="G254" s="4" t="s">
        <v>14</v>
      </c>
      <c r="H254" s="4">
        <v>4</v>
      </c>
      <c r="I254" s="4">
        <v>500</v>
      </c>
      <c r="J254" s="4">
        <v>2000</v>
      </c>
      <c r="K254" s="4" t="str" cm="1">
        <f t="array" ref="K254">_xlfn.IFS(AND(Table15678[[#This Row],[Total Amount]]&gt;=1500),"Critical",AND(Table15678[[#This Row],[Total Amount]]&gt;=1000),"High",TRUE,"Normal")</f>
        <v>Critical</v>
      </c>
      <c r="L254" s="4" t="str">
        <f>IF(Table15678[[#This Row],[Total Amount]]&gt;=1000,"High",(IF(Table15678[[#This Row],[Total Amount]]&gt;=500,"Medium","Low")))</f>
        <v>High</v>
      </c>
      <c r="M254" s="4" t="str" cm="1">
        <f t="array" ref="M25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54" s="4" cm="1">
        <f t="array" ref="N25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400</v>
      </c>
      <c r="O254" s="4">
        <f>Table15678[[#This Row],[Total Amount]]-Table15678[[#This Row],[Discount Amount]]</f>
        <v>1600</v>
      </c>
      <c r="P254" s="4" t="str">
        <f>IF(Table15678[[#This Row],[Total Amount]]&gt;=1000,"High","Low")</f>
        <v>High</v>
      </c>
      <c r="Q254" s="4" t="b" cm="1">
        <f t="array" ref="Q254">_xlfn.IFS(AND(Table15678[[#This Row],[Total Amount]]&gt;=1500,"Critical"),AND(Table15678[[#This Row],[Total Amount]]&gt;=1000,"High"),TRUE,"Normal")</f>
        <v>1</v>
      </c>
      <c r="R254" s="4" t="str">
        <f>CONCATENATE(Table15678[[#This Row],[Customer ID]], "-",Table15678[[#This Row],[Age]])</f>
        <v>CUST253-53</v>
      </c>
      <c r="S254" s="4" t="str">
        <f>TEXT(Table15678[[#This Row],[Date]],"mmm")</f>
        <v>Aug</v>
      </c>
      <c r="T254" s="4" t="str">
        <f>TEXT(Table15678[[#This Row],[Date]],"DDD")</f>
        <v>Thu</v>
      </c>
    </row>
    <row r="255" spans="1:20" ht="29" x14ac:dyDescent="0.35">
      <c r="A255" s="4">
        <v>254</v>
      </c>
      <c r="B255" s="5">
        <v>45135</v>
      </c>
      <c r="C255" s="4" t="s">
        <v>267</v>
      </c>
      <c r="D255" s="4" t="s">
        <v>10</v>
      </c>
      <c r="E255" s="4">
        <v>41</v>
      </c>
      <c r="F255" s="4" t="str">
        <f>IF(Table15678[[#This Row],[Age]]&lt;=19,"Teenager",IF(Table15678[[#This Row],[Age]]&lt;=40,"Median","Old"))</f>
        <v>Old</v>
      </c>
      <c r="G255" s="4" t="s">
        <v>16</v>
      </c>
      <c r="H255" s="4">
        <v>1</v>
      </c>
      <c r="I255" s="4">
        <v>500</v>
      </c>
      <c r="J255" s="4">
        <v>500</v>
      </c>
      <c r="K255" s="4" t="str" cm="1">
        <f t="array" ref="K255">_xlfn.IFS(AND(Table15678[[#This Row],[Total Amount]]&gt;=1500),"Critical",AND(Table15678[[#This Row],[Total Amount]]&gt;=1000),"High",TRUE,"Normal")</f>
        <v>Normal</v>
      </c>
      <c r="L255" s="4" t="str">
        <f>IF(Table15678[[#This Row],[Total Amount]]&gt;=1000,"High",(IF(Table15678[[#This Row],[Total Amount]]&gt;=500,"Medium","Low")))</f>
        <v>Medium</v>
      </c>
      <c r="M255" s="4" t="str" cm="1">
        <f t="array" ref="M25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55" s="4" cm="1">
        <f t="array" ref="N25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50</v>
      </c>
      <c r="O255" s="4">
        <f>Table15678[[#This Row],[Total Amount]]-Table15678[[#This Row],[Discount Amount]]</f>
        <v>450</v>
      </c>
      <c r="P255" s="4" t="str">
        <f>IF(Table15678[[#This Row],[Total Amount]]&gt;=1000,"High","Low")</f>
        <v>Low</v>
      </c>
      <c r="Q255" s="4" t="str" cm="1">
        <f t="array" ref="Q255">_xlfn.IFS(AND(Table15678[[#This Row],[Total Amount]]&gt;=1500,"Critical"),AND(Table15678[[#This Row],[Total Amount]]&gt;=1000,"High"),TRUE,"Normal")</f>
        <v>Normal</v>
      </c>
      <c r="R255" s="4" t="str">
        <f>CONCATENATE(Table15678[[#This Row],[Customer ID]], "-",Table15678[[#This Row],[Age]])</f>
        <v>CUST254-41</v>
      </c>
      <c r="S255" s="4" t="str">
        <f>TEXT(Table15678[[#This Row],[Date]],"mmm")</f>
        <v>Jul</v>
      </c>
      <c r="T255" s="4" t="str">
        <f>TEXT(Table15678[[#This Row],[Date]],"DDD")</f>
        <v>Fri</v>
      </c>
    </row>
    <row r="256" spans="1:20" ht="29" x14ac:dyDescent="0.35">
      <c r="A256" s="4">
        <v>255</v>
      </c>
      <c r="B256" s="5">
        <v>45024</v>
      </c>
      <c r="C256" s="4" t="s">
        <v>268</v>
      </c>
      <c r="D256" s="4" t="s">
        <v>10</v>
      </c>
      <c r="E256" s="4">
        <v>48</v>
      </c>
      <c r="F256" s="4" t="str">
        <f>IF(Table15678[[#This Row],[Age]]&lt;=19,"Teenager",IF(Table15678[[#This Row],[Age]]&lt;=40,"Median","Old"))</f>
        <v>Old</v>
      </c>
      <c r="G256" s="4" t="s">
        <v>14</v>
      </c>
      <c r="H256" s="4">
        <v>1</v>
      </c>
      <c r="I256" s="4">
        <v>30</v>
      </c>
      <c r="J256" s="4">
        <v>30</v>
      </c>
      <c r="K256" s="4" t="str" cm="1">
        <f t="array" ref="K256">_xlfn.IFS(AND(Table15678[[#This Row],[Total Amount]]&gt;=1500),"Critical",AND(Table15678[[#This Row],[Total Amount]]&gt;=1000),"High",TRUE,"Normal")</f>
        <v>Normal</v>
      </c>
      <c r="L256" s="4" t="str">
        <f>IF(Table15678[[#This Row],[Total Amount]]&gt;=1000,"High",(IF(Table15678[[#This Row],[Total Amount]]&gt;=500,"Medium","Low")))</f>
        <v>Low</v>
      </c>
      <c r="M256" s="4" t="str" cm="1">
        <f t="array" ref="M25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56" s="4" cm="1">
        <f t="array" ref="N25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</v>
      </c>
      <c r="O256" s="4">
        <f>Table15678[[#This Row],[Total Amount]]-Table15678[[#This Row],[Discount Amount]]</f>
        <v>27</v>
      </c>
      <c r="P256" s="4" t="str">
        <f>IF(Table15678[[#This Row],[Total Amount]]&gt;=1000,"High","Low")</f>
        <v>Low</v>
      </c>
      <c r="Q256" s="4" t="str" cm="1">
        <f t="array" ref="Q256">_xlfn.IFS(AND(Table15678[[#This Row],[Total Amount]]&gt;=1500,"Critical"),AND(Table15678[[#This Row],[Total Amount]]&gt;=1000,"High"),TRUE,"Normal")</f>
        <v>Normal</v>
      </c>
      <c r="R256" s="4" t="str">
        <f>CONCATENATE(Table15678[[#This Row],[Customer ID]], "-",Table15678[[#This Row],[Age]])</f>
        <v>CUST255-48</v>
      </c>
      <c r="S256" s="4" t="str">
        <f>TEXT(Table15678[[#This Row],[Date]],"mmm")</f>
        <v>Apr</v>
      </c>
      <c r="T256" s="4" t="str">
        <f>TEXT(Table15678[[#This Row],[Date]],"DDD")</f>
        <v>Sat</v>
      </c>
    </row>
    <row r="257" spans="1:20" ht="29" x14ac:dyDescent="0.35">
      <c r="A257" s="4">
        <v>256</v>
      </c>
      <c r="B257" s="5">
        <v>44975</v>
      </c>
      <c r="C257" s="4" t="s">
        <v>269</v>
      </c>
      <c r="D257" s="4" t="s">
        <v>10</v>
      </c>
      <c r="E257" s="4">
        <v>23</v>
      </c>
      <c r="F257" s="4" t="str">
        <f>IF(Table15678[[#This Row],[Age]]&lt;=19,"Teenager",IF(Table15678[[#This Row],[Age]]&lt;=40,"Median","Old"))</f>
        <v>Median</v>
      </c>
      <c r="G257" s="4" t="s">
        <v>14</v>
      </c>
      <c r="H257" s="4">
        <v>2</v>
      </c>
      <c r="I257" s="4">
        <v>500</v>
      </c>
      <c r="J257" s="4">
        <v>1000</v>
      </c>
      <c r="K257" s="4" t="str" cm="1">
        <f t="array" ref="K257">_xlfn.IFS(AND(Table15678[[#This Row],[Total Amount]]&gt;=1500),"Critical",AND(Table15678[[#This Row],[Total Amount]]&gt;=1000),"High",TRUE,"Normal")</f>
        <v>High</v>
      </c>
      <c r="L257" s="4" t="str">
        <f>IF(Table15678[[#This Row],[Total Amount]]&gt;=1000,"High",(IF(Table15678[[#This Row],[Total Amount]]&gt;=500,"Medium","Low")))</f>
        <v>High</v>
      </c>
      <c r="M257" s="4" t="str" cm="1">
        <f t="array" ref="M25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257" s="4" cm="1">
        <f t="array" ref="N25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257" s="4">
        <f>Table15678[[#This Row],[Total Amount]]-Table15678[[#This Row],[Discount Amount]]</f>
        <v>1000</v>
      </c>
      <c r="P257" s="4" t="str">
        <f>IF(Table15678[[#This Row],[Total Amount]]&gt;=1000,"High","Low")</f>
        <v>High</v>
      </c>
      <c r="Q257" s="4" t="str" cm="1">
        <f t="array" ref="Q257">_xlfn.IFS(AND(Table15678[[#This Row],[Total Amount]]&gt;=1500,"Critical"),AND(Table15678[[#This Row],[Total Amount]]&gt;=1000,"High"),TRUE,"Normal")</f>
        <v>Normal</v>
      </c>
      <c r="R257" s="4" t="str">
        <f>CONCATENATE(Table15678[[#This Row],[Customer ID]], "-",Table15678[[#This Row],[Age]])</f>
        <v>CUST256-23</v>
      </c>
      <c r="S257" s="4" t="str">
        <f>TEXT(Table15678[[#This Row],[Date]],"mmm")</f>
        <v>Feb</v>
      </c>
      <c r="T257" s="4" t="str">
        <f>TEXT(Table15678[[#This Row],[Date]],"DDD")</f>
        <v>Sat</v>
      </c>
    </row>
    <row r="258" spans="1:20" ht="29" x14ac:dyDescent="0.35">
      <c r="A258" s="4">
        <v>257</v>
      </c>
      <c r="B258" s="5">
        <v>44976</v>
      </c>
      <c r="C258" s="4" t="s">
        <v>270</v>
      </c>
      <c r="D258" s="4" t="s">
        <v>10</v>
      </c>
      <c r="E258" s="4">
        <v>19</v>
      </c>
      <c r="F258" s="4" t="str">
        <f>IF(Table15678[[#This Row],[Age]]&lt;=19,"Teenager",IF(Table15678[[#This Row],[Age]]&lt;=40,"Median","Old"))</f>
        <v>Teenager</v>
      </c>
      <c r="G258" s="4" t="s">
        <v>11</v>
      </c>
      <c r="H258" s="4">
        <v>4</v>
      </c>
      <c r="I258" s="4">
        <v>500</v>
      </c>
      <c r="J258" s="4">
        <v>2000</v>
      </c>
      <c r="K258" s="4" t="str" cm="1">
        <f t="array" ref="K258">_xlfn.IFS(AND(Table15678[[#This Row],[Total Amount]]&gt;=1500),"Critical",AND(Table15678[[#This Row],[Total Amount]]&gt;=1000),"High",TRUE,"Normal")</f>
        <v>Critical</v>
      </c>
      <c r="L258" s="4" t="str">
        <f>IF(Table15678[[#This Row],[Total Amount]]&gt;=1000,"High",(IF(Table15678[[#This Row],[Total Amount]]&gt;=500,"Medium","Low")))</f>
        <v>High</v>
      </c>
      <c r="M258" s="4" t="str" cm="1">
        <f t="array" ref="M25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258" s="4" cm="1">
        <f t="array" ref="N25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258" s="4">
        <f>Table15678[[#This Row],[Total Amount]]-Table15678[[#This Row],[Discount Amount]]</f>
        <v>2000</v>
      </c>
      <c r="P258" s="4" t="str">
        <f>IF(Table15678[[#This Row],[Total Amount]]&gt;=1000,"High","Low")</f>
        <v>High</v>
      </c>
      <c r="Q258" s="4" t="b" cm="1">
        <f t="array" ref="Q258">_xlfn.IFS(AND(Table15678[[#This Row],[Total Amount]]&gt;=1500,"Critical"),AND(Table15678[[#This Row],[Total Amount]]&gt;=1000,"High"),TRUE,"Normal")</f>
        <v>1</v>
      </c>
      <c r="R258" s="4" t="str">
        <f>CONCATENATE(Table15678[[#This Row],[Customer ID]], "-",Table15678[[#This Row],[Age]])</f>
        <v>CUST257-19</v>
      </c>
      <c r="S258" s="4" t="str">
        <f>TEXT(Table15678[[#This Row],[Date]],"mmm")</f>
        <v>Feb</v>
      </c>
      <c r="T258" s="4" t="str">
        <f>TEXT(Table15678[[#This Row],[Date]],"DDD")</f>
        <v>Sun</v>
      </c>
    </row>
    <row r="259" spans="1:20" ht="29" x14ac:dyDescent="0.35">
      <c r="A259" s="4">
        <v>258</v>
      </c>
      <c r="B259" s="5">
        <v>45264</v>
      </c>
      <c r="C259" s="4" t="s">
        <v>271</v>
      </c>
      <c r="D259" s="4" t="s">
        <v>13</v>
      </c>
      <c r="E259" s="4">
        <v>37</v>
      </c>
      <c r="F259" s="4" t="str">
        <f>IF(Table15678[[#This Row],[Age]]&lt;=19,"Teenager",IF(Table15678[[#This Row],[Age]]&lt;=40,"Median","Old"))</f>
        <v>Median</v>
      </c>
      <c r="G259" s="4" t="s">
        <v>14</v>
      </c>
      <c r="H259" s="4">
        <v>1</v>
      </c>
      <c r="I259" s="4">
        <v>50</v>
      </c>
      <c r="J259" s="4">
        <v>50</v>
      </c>
      <c r="K259" s="4" t="str" cm="1">
        <f t="array" ref="K259">_xlfn.IFS(AND(Table15678[[#This Row],[Total Amount]]&gt;=1500),"Critical",AND(Table15678[[#This Row],[Total Amount]]&gt;=1000),"High",TRUE,"Normal")</f>
        <v>Normal</v>
      </c>
      <c r="L259" s="4" t="str">
        <f>IF(Table15678[[#This Row],[Total Amount]]&gt;=1000,"High",(IF(Table15678[[#This Row],[Total Amount]]&gt;=500,"Medium","Low")))</f>
        <v>Low</v>
      </c>
      <c r="M259" s="4" t="str" cm="1">
        <f t="array" ref="M25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59" s="4" cm="1">
        <f t="array" ref="N25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259" s="4">
        <f>Table15678[[#This Row],[Total Amount]]-Table15678[[#This Row],[Discount Amount]]</f>
        <v>40</v>
      </c>
      <c r="P259" s="4" t="str">
        <f>IF(Table15678[[#This Row],[Total Amount]]&gt;=1000,"High","Low")</f>
        <v>Low</v>
      </c>
      <c r="Q259" s="4" t="str" cm="1">
        <f t="array" ref="Q259">_xlfn.IFS(AND(Table15678[[#This Row],[Total Amount]]&gt;=1500,"Critical"),AND(Table15678[[#This Row],[Total Amount]]&gt;=1000,"High"),TRUE,"Normal")</f>
        <v>Normal</v>
      </c>
      <c r="R259" s="4" t="str">
        <f>CONCATENATE(Table15678[[#This Row],[Customer ID]], "-",Table15678[[#This Row],[Age]])</f>
        <v>CUST258-37</v>
      </c>
      <c r="S259" s="4" t="str">
        <f>TEXT(Table15678[[#This Row],[Date]],"mmm")</f>
        <v>Dec</v>
      </c>
      <c r="T259" s="4" t="str">
        <f>TEXT(Table15678[[#This Row],[Date]],"DDD")</f>
        <v>Mon</v>
      </c>
    </row>
    <row r="260" spans="1:20" ht="29" x14ac:dyDescent="0.35">
      <c r="A260" s="4">
        <v>259</v>
      </c>
      <c r="B260" s="5">
        <v>45147</v>
      </c>
      <c r="C260" s="4" t="s">
        <v>272</v>
      </c>
      <c r="D260" s="4" t="s">
        <v>13</v>
      </c>
      <c r="E260" s="4">
        <v>45</v>
      </c>
      <c r="F260" s="4" t="str">
        <f>IF(Table15678[[#This Row],[Age]]&lt;=19,"Teenager",IF(Table15678[[#This Row],[Age]]&lt;=40,"Median","Old"))</f>
        <v>Old</v>
      </c>
      <c r="G260" s="4" t="s">
        <v>14</v>
      </c>
      <c r="H260" s="4">
        <v>4</v>
      </c>
      <c r="I260" s="4">
        <v>50</v>
      </c>
      <c r="J260" s="4">
        <v>200</v>
      </c>
      <c r="K260" s="4" t="str" cm="1">
        <f t="array" ref="K260">_xlfn.IFS(AND(Table15678[[#This Row],[Total Amount]]&gt;=1500),"Critical",AND(Table15678[[#This Row],[Total Amount]]&gt;=1000),"High",TRUE,"Normal")</f>
        <v>Normal</v>
      </c>
      <c r="L260" s="4" t="str">
        <f>IF(Table15678[[#This Row],[Total Amount]]&gt;=1000,"High",(IF(Table15678[[#This Row],[Total Amount]]&gt;=500,"Medium","Low")))</f>
        <v>Low</v>
      </c>
      <c r="M260" s="4" t="str" cm="1">
        <f t="array" ref="M26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60" s="4" cm="1">
        <f t="array" ref="N26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</v>
      </c>
      <c r="O260" s="4">
        <f>Table15678[[#This Row],[Total Amount]]-Table15678[[#This Row],[Discount Amount]]</f>
        <v>160</v>
      </c>
      <c r="P260" s="4" t="str">
        <f>IF(Table15678[[#This Row],[Total Amount]]&gt;=1000,"High","Low")</f>
        <v>Low</v>
      </c>
      <c r="Q260" s="4" t="str" cm="1">
        <f t="array" ref="Q260">_xlfn.IFS(AND(Table15678[[#This Row],[Total Amount]]&gt;=1500,"Critical"),AND(Table15678[[#This Row],[Total Amount]]&gt;=1000,"High"),TRUE,"Normal")</f>
        <v>Normal</v>
      </c>
      <c r="R260" s="4" t="str">
        <f>CONCATENATE(Table15678[[#This Row],[Customer ID]], "-",Table15678[[#This Row],[Age]])</f>
        <v>CUST259-45</v>
      </c>
      <c r="S260" s="4" t="str">
        <f>TEXT(Table15678[[#This Row],[Date]],"mmm")</f>
        <v>Aug</v>
      </c>
      <c r="T260" s="4" t="str">
        <f>TEXT(Table15678[[#This Row],[Date]],"DDD")</f>
        <v>Wed</v>
      </c>
    </row>
    <row r="261" spans="1:20" ht="29" x14ac:dyDescent="0.35">
      <c r="A261" s="4">
        <v>260</v>
      </c>
      <c r="B261" s="5">
        <v>45108</v>
      </c>
      <c r="C261" s="4" t="s">
        <v>273</v>
      </c>
      <c r="D261" s="4" t="s">
        <v>10</v>
      </c>
      <c r="E261" s="4">
        <v>28</v>
      </c>
      <c r="F261" s="4" t="str">
        <f>IF(Table15678[[#This Row],[Age]]&lt;=19,"Teenager",IF(Table15678[[#This Row],[Age]]&lt;=40,"Median","Old"))</f>
        <v>Median</v>
      </c>
      <c r="G261" s="4" t="s">
        <v>11</v>
      </c>
      <c r="H261" s="4">
        <v>2</v>
      </c>
      <c r="I261" s="4">
        <v>30</v>
      </c>
      <c r="J261" s="4">
        <v>60</v>
      </c>
      <c r="K261" s="4" t="str" cm="1">
        <f t="array" ref="K261">_xlfn.IFS(AND(Table15678[[#This Row],[Total Amount]]&gt;=1500),"Critical",AND(Table15678[[#This Row],[Total Amount]]&gt;=1000),"High",TRUE,"Normal")</f>
        <v>Normal</v>
      </c>
      <c r="L261" s="4" t="str">
        <f>IF(Table15678[[#This Row],[Total Amount]]&gt;=1000,"High",(IF(Table15678[[#This Row],[Total Amount]]&gt;=500,"Medium","Low")))</f>
        <v>Low</v>
      </c>
      <c r="M261" s="4" t="str" cm="1">
        <f t="array" ref="M26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61" s="4" cm="1">
        <f t="array" ref="N26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</v>
      </c>
      <c r="O261" s="4">
        <f>Table15678[[#This Row],[Total Amount]]-Table15678[[#This Row],[Discount Amount]]</f>
        <v>51</v>
      </c>
      <c r="P261" s="4" t="str">
        <f>IF(Table15678[[#This Row],[Total Amount]]&gt;=1000,"High","Low")</f>
        <v>Low</v>
      </c>
      <c r="Q261" s="4" t="str" cm="1">
        <f t="array" ref="Q261">_xlfn.IFS(AND(Table15678[[#This Row],[Total Amount]]&gt;=1500,"Critical"),AND(Table15678[[#This Row],[Total Amount]]&gt;=1000,"High"),TRUE,"Normal")</f>
        <v>Normal</v>
      </c>
      <c r="R261" s="4" t="str">
        <f>CONCATENATE(Table15678[[#This Row],[Customer ID]], "-",Table15678[[#This Row],[Age]])</f>
        <v>CUST260-28</v>
      </c>
      <c r="S261" s="4" t="str">
        <f>TEXT(Table15678[[#This Row],[Date]],"mmm")</f>
        <v>Jul</v>
      </c>
      <c r="T261" s="4" t="str">
        <f>TEXT(Table15678[[#This Row],[Date]],"DDD")</f>
        <v>Sat</v>
      </c>
    </row>
    <row r="262" spans="1:20" ht="29" x14ac:dyDescent="0.35">
      <c r="A262" s="4">
        <v>261</v>
      </c>
      <c r="B262" s="5">
        <v>45143</v>
      </c>
      <c r="C262" s="4" t="s">
        <v>274</v>
      </c>
      <c r="D262" s="4" t="s">
        <v>10</v>
      </c>
      <c r="E262" s="4">
        <v>21</v>
      </c>
      <c r="F262" s="4" t="str">
        <f>IF(Table15678[[#This Row],[Age]]&lt;=19,"Teenager",IF(Table15678[[#This Row],[Age]]&lt;=40,"Median","Old"))</f>
        <v>Median</v>
      </c>
      <c r="G262" s="4" t="s">
        <v>14</v>
      </c>
      <c r="H262" s="4">
        <v>2</v>
      </c>
      <c r="I262" s="4">
        <v>25</v>
      </c>
      <c r="J262" s="4">
        <v>50</v>
      </c>
      <c r="K262" s="4" t="str" cm="1">
        <f t="array" ref="K262">_xlfn.IFS(AND(Table15678[[#This Row],[Total Amount]]&gt;=1500),"Critical",AND(Table15678[[#This Row],[Total Amount]]&gt;=1000),"High",TRUE,"Normal")</f>
        <v>Normal</v>
      </c>
      <c r="L262" s="4" t="str">
        <f>IF(Table15678[[#This Row],[Total Amount]]&gt;=1000,"High",(IF(Table15678[[#This Row],[Total Amount]]&gt;=500,"Medium","Low")))</f>
        <v>Low</v>
      </c>
      <c r="M262" s="4" t="str" cm="1">
        <f t="array" ref="M26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262" s="4" cm="1">
        <f t="array" ref="N26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262" s="4">
        <f>Table15678[[#This Row],[Total Amount]]-Table15678[[#This Row],[Discount Amount]]</f>
        <v>50</v>
      </c>
      <c r="P262" s="4" t="str">
        <f>IF(Table15678[[#This Row],[Total Amount]]&gt;=1000,"High","Low")</f>
        <v>Low</v>
      </c>
      <c r="Q262" s="4" t="str" cm="1">
        <f t="array" ref="Q262">_xlfn.IFS(AND(Table15678[[#This Row],[Total Amount]]&gt;=1500,"Critical"),AND(Table15678[[#This Row],[Total Amount]]&gt;=1000,"High"),TRUE,"Normal")</f>
        <v>Normal</v>
      </c>
      <c r="R262" s="4" t="str">
        <f>CONCATENATE(Table15678[[#This Row],[Customer ID]], "-",Table15678[[#This Row],[Age]])</f>
        <v>CUST261-21</v>
      </c>
      <c r="S262" s="4" t="str">
        <f>TEXT(Table15678[[#This Row],[Date]],"mmm")</f>
        <v>Aug</v>
      </c>
      <c r="T262" s="4" t="str">
        <f>TEXT(Table15678[[#This Row],[Date]],"DDD")</f>
        <v>Sat</v>
      </c>
    </row>
    <row r="263" spans="1:20" ht="29" x14ac:dyDescent="0.35">
      <c r="A263" s="4">
        <v>262</v>
      </c>
      <c r="B263" s="5">
        <v>45137</v>
      </c>
      <c r="C263" s="4" t="s">
        <v>275</v>
      </c>
      <c r="D263" s="4" t="s">
        <v>13</v>
      </c>
      <c r="E263" s="4">
        <v>32</v>
      </c>
      <c r="F263" s="4" t="str">
        <f>IF(Table15678[[#This Row],[Age]]&lt;=19,"Teenager",IF(Table15678[[#This Row],[Age]]&lt;=40,"Median","Old"))</f>
        <v>Median</v>
      </c>
      <c r="G263" s="4" t="s">
        <v>11</v>
      </c>
      <c r="H263" s="4">
        <v>4</v>
      </c>
      <c r="I263" s="4">
        <v>30</v>
      </c>
      <c r="J263" s="4">
        <v>120</v>
      </c>
      <c r="K263" s="4" t="str" cm="1">
        <f t="array" ref="K263">_xlfn.IFS(AND(Table15678[[#This Row],[Total Amount]]&gt;=1500),"Critical",AND(Table15678[[#This Row],[Total Amount]]&gt;=1000),"High",TRUE,"Normal")</f>
        <v>Normal</v>
      </c>
      <c r="L263" s="4" t="str">
        <f>IF(Table15678[[#This Row],[Total Amount]]&gt;=1000,"High",(IF(Table15678[[#This Row],[Total Amount]]&gt;=500,"Medium","Low")))</f>
        <v>Low</v>
      </c>
      <c r="M263" s="4" t="str" cm="1">
        <f t="array" ref="M26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63" s="4" cm="1">
        <f t="array" ref="N26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</v>
      </c>
      <c r="O263" s="4">
        <f>Table15678[[#This Row],[Total Amount]]-Table15678[[#This Row],[Discount Amount]]</f>
        <v>102</v>
      </c>
      <c r="P263" s="4" t="str">
        <f>IF(Table15678[[#This Row],[Total Amount]]&gt;=1000,"High","Low")</f>
        <v>Low</v>
      </c>
      <c r="Q263" s="4" t="str" cm="1">
        <f t="array" ref="Q263">_xlfn.IFS(AND(Table15678[[#This Row],[Total Amount]]&gt;=1500,"Critical"),AND(Table15678[[#This Row],[Total Amount]]&gt;=1000,"High"),TRUE,"Normal")</f>
        <v>Normal</v>
      </c>
      <c r="R263" s="4" t="str">
        <f>CONCATENATE(Table15678[[#This Row],[Customer ID]], "-",Table15678[[#This Row],[Age]])</f>
        <v>CUST262-32</v>
      </c>
      <c r="S263" s="4" t="str">
        <f>TEXT(Table15678[[#This Row],[Date]],"mmm")</f>
        <v>Jul</v>
      </c>
      <c r="T263" s="4" t="str">
        <f>TEXT(Table15678[[#This Row],[Date]],"DDD")</f>
        <v>Sun</v>
      </c>
    </row>
    <row r="264" spans="1:20" ht="29" x14ac:dyDescent="0.35">
      <c r="A264" s="4">
        <v>263</v>
      </c>
      <c r="B264" s="5">
        <v>45166</v>
      </c>
      <c r="C264" s="4" t="s">
        <v>276</v>
      </c>
      <c r="D264" s="4" t="s">
        <v>10</v>
      </c>
      <c r="E264" s="4">
        <v>23</v>
      </c>
      <c r="F264" s="4" t="str">
        <f>IF(Table15678[[#This Row],[Age]]&lt;=19,"Teenager",IF(Table15678[[#This Row],[Age]]&lt;=40,"Median","Old"))</f>
        <v>Median</v>
      </c>
      <c r="G264" s="4" t="s">
        <v>11</v>
      </c>
      <c r="H264" s="4">
        <v>2</v>
      </c>
      <c r="I264" s="4">
        <v>30</v>
      </c>
      <c r="J264" s="4">
        <v>60</v>
      </c>
      <c r="K264" s="4" t="str" cm="1">
        <f t="array" ref="K264">_xlfn.IFS(AND(Table15678[[#This Row],[Total Amount]]&gt;=1500),"Critical",AND(Table15678[[#This Row],[Total Amount]]&gt;=1000),"High",TRUE,"Normal")</f>
        <v>Normal</v>
      </c>
      <c r="L264" s="4" t="str">
        <f>IF(Table15678[[#This Row],[Total Amount]]&gt;=1000,"High",(IF(Table15678[[#This Row],[Total Amount]]&gt;=500,"Medium","Low")))</f>
        <v>Low</v>
      </c>
      <c r="M264" s="4" t="str" cm="1">
        <f t="array" ref="M26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264" s="4" cm="1">
        <f t="array" ref="N26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264" s="4">
        <f>Table15678[[#This Row],[Total Amount]]-Table15678[[#This Row],[Discount Amount]]</f>
        <v>60</v>
      </c>
      <c r="P264" s="4" t="str">
        <f>IF(Table15678[[#This Row],[Total Amount]]&gt;=1000,"High","Low")</f>
        <v>Low</v>
      </c>
      <c r="Q264" s="4" t="str" cm="1">
        <f t="array" ref="Q264">_xlfn.IFS(AND(Table15678[[#This Row],[Total Amount]]&gt;=1500,"Critical"),AND(Table15678[[#This Row],[Total Amount]]&gt;=1000,"High"),TRUE,"Normal")</f>
        <v>Normal</v>
      </c>
      <c r="R264" s="4" t="str">
        <f>CONCATENATE(Table15678[[#This Row],[Customer ID]], "-",Table15678[[#This Row],[Age]])</f>
        <v>CUST263-23</v>
      </c>
      <c r="S264" s="4" t="str">
        <f>TEXT(Table15678[[#This Row],[Date]],"mmm")</f>
        <v>Aug</v>
      </c>
      <c r="T264" s="4" t="str">
        <f>TEXT(Table15678[[#This Row],[Date]],"DDD")</f>
        <v>Mon</v>
      </c>
    </row>
    <row r="265" spans="1:20" ht="29" x14ac:dyDescent="0.35">
      <c r="A265" s="4">
        <v>264</v>
      </c>
      <c r="B265" s="5">
        <v>44954</v>
      </c>
      <c r="C265" s="4" t="s">
        <v>277</v>
      </c>
      <c r="D265" s="4" t="s">
        <v>10</v>
      </c>
      <c r="E265" s="4">
        <v>47</v>
      </c>
      <c r="F265" s="4" t="str">
        <f>IF(Table15678[[#This Row],[Age]]&lt;=19,"Teenager",IF(Table15678[[#This Row],[Age]]&lt;=40,"Median","Old"))</f>
        <v>Old</v>
      </c>
      <c r="G265" s="4" t="s">
        <v>14</v>
      </c>
      <c r="H265" s="4">
        <v>3</v>
      </c>
      <c r="I265" s="4">
        <v>300</v>
      </c>
      <c r="J265" s="4">
        <v>900</v>
      </c>
      <c r="K265" s="4" t="str" cm="1">
        <f t="array" ref="K265">_xlfn.IFS(AND(Table15678[[#This Row],[Total Amount]]&gt;=1500),"Critical",AND(Table15678[[#This Row],[Total Amount]]&gt;=1000),"High",TRUE,"Normal")</f>
        <v>Normal</v>
      </c>
      <c r="L265" s="4" t="str">
        <f>IF(Table15678[[#This Row],[Total Amount]]&gt;=1000,"High",(IF(Table15678[[#This Row],[Total Amount]]&gt;=500,"Medium","Low")))</f>
        <v>Medium</v>
      </c>
      <c r="M265" s="4" t="str" cm="1">
        <f t="array" ref="M26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65" s="4" cm="1">
        <f t="array" ref="N26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265" s="4">
        <f>Table15678[[#This Row],[Total Amount]]-Table15678[[#This Row],[Discount Amount]]</f>
        <v>810</v>
      </c>
      <c r="P265" s="4" t="str">
        <f>IF(Table15678[[#This Row],[Total Amount]]&gt;=1000,"High","Low")</f>
        <v>Low</v>
      </c>
      <c r="Q265" s="4" t="str" cm="1">
        <f t="array" ref="Q265">_xlfn.IFS(AND(Table15678[[#This Row],[Total Amount]]&gt;=1500,"Critical"),AND(Table15678[[#This Row],[Total Amount]]&gt;=1000,"High"),TRUE,"Normal")</f>
        <v>Normal</v>
      </c>
      <c r="R265" s="4" t="str">
        <f>CONCATENATE(Table15678[[#This Row],[Customer ID]], "-",Table15678[[#This Row],[Age]])</f>
        <v>CUST264-47</v>
      </c>
      <c r="S265" s="4" t="str">
        <f>TEXT(Table15678[[#This Row],[Date]],"mmm")</f>
        <v>Jan</v>
      </c>
      <c r="T265" s="4" t="str">
        <f>TEXT(Table15678[[#This Row],[Date]],"DDD")</f>
        <v>Sat</v>
      </c>
    </row>
    <row r="266" spans="1:20" ht="29" x14ac:dyDescent="0.35">
      <c r="A266" s="4">
        <v>265</v>
      </c>
      <c r="B266" s="5">
        <v>45271</v>
      </c>
      <c r="C266" s="4" t="s">
        <v>278</v>
      </c>
      <c r="D266" s="4" t="s">
        <v>10</v>
      </c>
      <c r="E266" s="4">
        <v>55</v>
      </c>
      <c r="F266" s="4" t="str">
        <f>IF(Table15678[[#This Row],[Age]]&lt;=19,"Teenager",IF(Table15678[[#This Row],[Age]]&lt;=40,"Median","Old"))</f>
        <v>Old</v>
      </c>
      <c r="G266" s="4" t="s">
        <v>14</v>
      </c>
      <c r="H266" s="4">
        <v>3</v>
      </c>
      <c r="I266" s="4">
        <v>300</v>
      </c>
      <c r="J266" s="4">
        <v>900</v>
      </c>
      <c r="K266" s="4" t="str" cm="1">
        <f t="array" ref="K266">_xlfn.IFS(AND(Table15678[[#This Row],[Total Amount]]&gt;=1500),"Critical",AND(Table15678[[#This Row],[Total Amount]]&gt;=1000),"High",TRUE,"Normal")</f>
        <v>Normal</v>
      </c>
      <c r="L266" s="4" t="str">
        <f>IF(Table15678[[#This Row],[Total Amount]]&gt;=1000,"High",(IF(Table15678[[#This Row],[Total Amount]]&gt;=500,"Medium","Low")))</f>
        <v>Medium</v>
      </c>
      <c r="M266" s="4" t="str" cm="1">
        <f t="array" ref="M26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66" s="4" cm="1">
        <f t="array" ref="N26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266" s="4">
        <f>Table15678[[#This Row],[Total Amount]]-Table15678[[#This Row],[Discount Amount]]</f>
        <v>810</v>
      </c>
      <c r="P266" s="4" t="str">
        <f>IF(Table15678[[#This Row],[Total Amount]]&gt;=1000,"High","Low")</f>
        <v>Low</v>
      </c>
      <c r="Q266" s="4" t="str" cm="1">
        <f t="array" ref="Q266">_xlfn.IFS(AND(Table15678[[#This Row],[Total Amount]]&gt;=1500,"Critical"),AND(Table15678[[#This Row],[Total Amount]]&gt;=1000,"High"),TRUE,"Normal")</f>
        <v>Normal</v>
      </c>
      <c r="R266" s="4" t="str">
        <f>CONCATENATE(Table15678[[#This Row],[Customer ID]], "-",Table15678[[#This Row],[Age]])</f>
        <v>CUST265-55</v>
      </c>
      <c r="S266" s="4" t="str">
        <f>TEXT(Table15678[[#This Row],[Date]],"mmm")</f>
        <v>Dec</v>
      </c>
      <c r="T266" s="4" t="str">
        <f>TEXT(Table15678[[#This Row],[Date]],"DDD")</f>
        <v>Mon</v>
      </c>
    </row>
    <row r="267" spans="1:20" ht="29" x14ac:dyDescent="0.35">
      <c r="A267" s="4">
        <v>266</v>
      </c>
      <c r="B267" s="5">
        <v>45261</v>
      </c>
      <c r="C267" s="4" t="s">
        <v>279</v>
      </c>
      <c r="D267" s="4" t="s">
        <v>13</v>
      </c>
      <c r="E267" s="4">
        <v>19</v>
      </c>
      <c r="F267" s="4" t="str">
        <f>IF(Table15678[[#This Row],[Age]]&lt;=19,"Teenager",IF(Table15678[[#This Row],[Age]]&lt;=40,"Median","Old"))</f>
        <v>Teenager</v>
      </c>
      <c r="G267" s="4" t="s">
        <v>16</v>
      </c>
      <c r="H267" s="4">
        <v>2</v>
      </c>
      <c r="I267" s="4">
        <v>30</v>
      </c>
      <c r="J267" s="4">
        <v>60</v>
      </c>
      <c r="K267" s="4" t="str" cm="1">
        <f t="array" ref="K267">_xlfn.IFS(AND(Table15678[[#This Row],[Total Amount]]&gt;=1500),"Critical",AND(Table15678[[#This Row],[Total Amount]]&gt;=1000),"High",TRUE,"Normal")</f>
        <v>Normal</v>
      </c>
      <c r="L267" s="4" t="str">
        <f>IF(Table15678[[#This Row],[Total Amount]]&gt;=1000,"High",(IF(Table15678[[#This Row],[Total Amount]]&gt;=500,"Medium","Low")))</f>
        <v>Low</v>
      </c>
      <c r="M267" s="4" t="str" cm="1">
        <f t="array" ref="M26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267" s="4" cm="1">
        <f t="array" ref="N26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267" s="4">
        <f>Table15678[[#This Row],[Total Amount]]-Table15678[[#This Row],[Discount Amount]]</f>
        <v>60</v>
      </c>
      <c r="P267" s="4" t="str">
        <f>IF(Table15678[[#This Row],[Total Amount]]&gt;=1000,"High","Low")</f>
        <v>Low</v>
      </c>
      <c r="Q267" s="4" t="str" cm="1">
        <f t="array" ref="Q267">_xlfn.IFS(AND(Table15678[[#This Row],[Total Amount]]&gt;=1500,"Critical"),AND(Table15678[[#This Row],[Total Amount]]&gt;=1000,"High"),TRUE,"Normal")</f>
        <v>Normal</v>
      </c>
      <c r="R267" s="4" t="str">
        <f>CONCATENATE(Table15678[[#This Row],[Customer ID]], "-",Table15678[[#This Row],[Age]])</f>
        <v>CUST266-19</v>
      </c>
      <c r="S267" s="4" t="str">
        <f>TEXT(Table15678[[#This Row],[Date]],"mmm")</f>
        <v>Dec</v>
      </c>
      <c r="T267" s="4" t="str">
        <f>TEXT(Table15678[[#This Row],[Date]],"DDD")</f>
        <v>Fri</v>
      </c>
    </row>
    <row r="268" spans="1:20" ht="29" x14ac:dyDescent="0.35">
      <c r="A268" s="4">
        <v>267</v>
      </c>
      <c r="B268" s="5">
        <v>45257</v>
      </c>
      <c r="C268" s="4" t="s">
        <v>280</v>
      </c>
      <c r="D268" s="4" t="s">
        <v>13</v>
      </c>
      <c r="E268" s="4">
        <v>32</v>
      </c>
      <c r="F268" s="4" t="str">
        <f>IF(Table15678[[#This Row],[Age]]&lt;=19,"Teenager",IF(Table15678[[#This Row],[Age]]&lt;=40,"Median","Old"))</f>
        <v>Median</v>
      </c>
      <c r="G268" s="4" t="s">
        <v>11</v>
      </c>
      <c r="H268" s="4">
        <v>3</v>
      </c>
      <c r="I268" s="4">
        <v>30</v>
      </c>
      <c r="J268" s="4">
        <v>90</v>
      </c>
      <c r="K268" s="4" t="str" cm="1">
        <f t="array" ref="K268">_xlfn.IFS(AND(Table15678[[#This Row],[Total Amount]]&gt;=1500),"Critical",AND(Table15678[[#This Row],[Total Amount]]&gt;=1000),"High",TRUE,"Normal")</f>
        <v>Normal</v>
      </c>
      <c r="L268" s="4" t="str">
        <f>IF(Table15678[[#This Row],[Total Amount]]&gt;=1000,"High",(IF(Table15678[[#This Row],[Total Amount]]&gt;=500,"Medium","Low")))</f>
        <v>Low</v>
      </c>
      <c r="M268" s="4" t="str" cm="1">
        <f t="array" ref="M26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68" s="4" cm="1">
        <f t="array" ref="N26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13.5</v>
      </c>
      <c r="O268" s="4">
        <f>Table15678[[#This Row],[Total Amount]]-Table15678[[#This Row],[Discount Amount]]</f>
        <v>76.5</v>
      </c>
      <c r="P268" s="4" t="str">
        <f>IF(Table15678[[#This Row],[Total Amount]]&gt;=1000,"High","Low")</f>
        <v>Low</v>
      </c>
      <c r="Q268" s="4" t="str" cm="1">
        <f t="array" ref="Q268">_xlfn.IFS(AND(Table15678[[#This Row],[Total Amount]]&gt;=1500,"Critical"),AND(Table15678[[#This Row],[Total Amount]]&gt;=1000,"High"),TRUE,"Normal")</f>
        <v>Normal</v>
      </c>
      <c r="R268" s="4" t="str">
        <f>CONCATENATE(Table15678[[#This Row],[Customer ID]], "-",Table15678[[#This Row],[Age]])</f>
        <v>CUST267-32</v>
      </c>
      <c r="S268" s="4" t="str">
        <f>TEXT(Table15678[[#This Row],[Date]],"mmm")</f>
        <v>Nov</v>
      </c>
      <c r="T268" s="4" t="str">
        <f>TEXT(Table15678[[#This Row],[Date]],"DDD")</f>
        <v>Mon</v>
      </c>
    </row>
    <row r="269" spans="1:20" ht="29" x14ac:dyDescent="0.35">
      <c r="A269" s="4">
        <v>268</v>
      </c>
      <c r="B269" s="5">
        <v>44977</v>
      </c>
      <c r="C269" s="4" t="s">
        <v>281</v>
      </c>
      <c r="D269" s="4" t="s">
        <v>13</v>
      </c>
      <c r="E269" s="4">
        <v>28</v>
      </c>
      <c r="F269" s="4" t="str">
        <f>IF(Table15678[[#This Row],[Age]]&lt;=19,"Teenager",IF(Table15678[[#This Row],[Age]]&lt;=40,"Median","Old"))</f>
        <v>Median</v>
      </c>
      <c r="G269" s="4" t="s">
        <v>16</v>
      </c>
      <c r="H269" s="4">
        <v>1</v>
      </c>
      <c r="I269" s="4">
        <v>30</v>
      </c>
      <c r="J269" s="4">
        <v>30</v>
      </c>
      <c r="K269" s="4" t="str" cm="1">
        <f t="array" ref="K269">_xlfn.IFS(AND(Table15678[[#This Row],[Total Amount]]&gt;=1500),"Critical",AND(Table15678[[#This Row],[Total Amount]]&gt;=1000),"High",TRUE,"Normal")</f>
        <v>Normal</v>
      </c>
      <c r="L269" s="4" t="str">
        <f>IF(Table15678[[#This Row],[Total Amount]]&gt;=1000,"High",(IF(Table15678[[#This Row],[Total Amount]]&gt;=500,"Medium","Low")))</f>
        <v>Low</v>
      </c>
      <c r="M269" s="4" t="str" cm="1">
        <f t="array" ref="M26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69" s="4" cm="1">
        <f t="array" ref="N26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4.5</v>
      </c>
      <c r="O269" s="4">
        <f>Table15678[[#This Row],[Total Amount]]-Table15678[[#This Row],[Discount Amount]]</f>
        <v>25.5</v>
      </c>
      <c r="P269" s="4" t="str">
        <f>IF(Table15678[[#This Row],[Total Amount]]&gt;=1000,"High","Low")</f>
        <v>Low</v>
      </c>
      <c r="Q269" s="4" t="str" cm="1">
        <f t="array" ref="Q269">_xlfn.IFS(AND(Table15678[[#This Row],[Total Amount]]&gt;=1500,"Critical"),AND(Table15678[[#This Row],[Total Amount]]&gt;=1000,"High"),TRUE,"Normal")</f>
        <v>Normal</v>
      </c>
      <c r="R269" s="4" t="str">
        <f>CONCATENATE(Table15678[[#This Row],[Customer ID]], "-",Table15678[[#This Row],[Age]])</f>
        <v>CUST268-28</v>
      </c>
      <c r="S269" s="4" t="str">
        <f>TEXT(Table15678[[#This Row],[Date]],"mmm")</f>
        <v>Feb</v>
      </c>
      <c r="T269" s="4" t="str">
        <f>TEXT(Table15678[[#This Row],[Date]],"DDD")</f>
        <v>Mon</v>
      </c>
    </row>
    <row r="270" spans="1:20" ht="29" x14ac:dyDescent="0.35">
      <c r="A270" s="4">
        <v>269</v>
      </c>
      <c r="B270" s="5">
        <v>44958</v>
      </c>
      <c r="C270" s="4" t="s">
        <v>282</v>
      </c>
      <c r="D270" s="4" t="s">
        <v>10</v>
      </c>
      <c r="E270" s="4">
        <v>25</v>
      </c>
      <c r="F270" s="4" t="str">
        <f>IF(Table15678[[#This Row],[Age]]&lt;=19,"Teenager",IF(Table15678[[#This Row],[Age]]&lt;=40,"Median","Old"))</f>
        <v>Median</v>
      </c>
      <c r="G270" s="4" t="s">
        <v>14</v>
      </c>
      <c r="H270" s="4">
        <v>4</v>
      </c>
      <c r="I270" s="4">
        <v>500</v>
      </c>
      <c r="J270" s="4">
        <v>2000</v>
      </c>
      <c r="K270" s="4" t="str" cm="1">
        <f t="array" ref="K270">_xlfn.IFS(AND(Table15678[[#This Row],[Total Amount]]&gt;=1500),"Critical",AND(Table15678[[#This Row],[Total Amount]]&gt;=1000),"High",TRUE,"Normal")</f>
        <v>Critical</v>
      </c>
      <c r="L270" s="4" t="str">
        <f>IF(Table15678[[#This Row],[Total Amount]]&gt;=1000,"High",(IF(Table15678[[#This Row],[Total Amount]]&gt;=500,"Medium","Low")))</f>
        <v>High</v>
      </c>
      <c r="M270" s="4" t="str" cm="1">
        <f t="array" ref="M27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70" s="4" cm="1">
        <f t="array" ref="N27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270" s="4">
        <f>Table15678[[#This Row],[Total Amount]]-Table15678[[#This Row],[Discount Amount]]</f>
        <v>1700</v>
      </c>
      <c r="P270" s="4" t="str">
        <f>IF(Table15678[[#This Row],[Total Amount]]&gt;=1000,"High","Low")</f>
        <v>High</v>
      </c>
      <c r="Q270" s="4" t="b" cm="1">
        <f t="array" ref="Q270">_xlfn.IFS(AND(Table15678[[#This Row],[Total Amount]]&gt;=1500,"Critical"),AND(Table15678[[#This Row],[Total Amount]]&gt;=1000,"High"),TRUE,"Normal")</f>
        <v>1</v>
      </c>
      <c r="R270" s="4" t="str">
        <f>CONCATENATE(Table15678[[#This Row],[Customer ID]], "-",Table15678[[#This Row],[Age]])</f>
        <v>CUST269-25</v>
      </c>
      <c r="S270" s="4" t="str">
        <f>TEXT(Table15678[[#This Row],[Date]],"mmm")</f>
        <v>Feb</v>
      </c>
      <c r="T270" s="4" t="str">
        <f>TEXT(Table15678[[#This Row],[Date]],"DDD")</f>
        <v>Wed</v>
      </c>
    </row>
    <row r="271" spans="1:20" ht="29" x14ac:dyDescent="0.35">
      <c r="A271" s="4">
        <v>270</v>
      </c>
      <c r="B271" s="5">
        <v>45133</v>
      </c>
      <c r="C271" s="4" t="s">
        <v>283</v>
      </c>
      <c r="D271" s="4" t="s">
        <v>10</v>
      </c>
      <c r="E271" s="4">
        <v>43</v>
      </c>
      <c r="F271" s="4" t="str">
        <f>IF(Table15678[[#This Row],[Age]]&lt;=19,"Teenager",IF(Table15678[[#This Row],[Age]]&lt;=40,"Median","Old"))</f>
        <v>Old</v>
      </c>
      <c r="G271" s="4" t="s">
        <v>16</v>
      </c>
      <c r="H271" s="4">
        <v>1</v>
      </c>
      <c r="I271" s="4">
        <v>300</v>
      </c>
      <c r="J271" s="4">
        <v>300</v>
      </c>
      <c r="K271" s="4" t="str" cm="1">
        <f t="array" ref="K271">_xlfn.IFS(AND(Table15678[[#This Row],[Total Amount]]&gt;=1500),"Critical",AND(Table15678[[#This Row],[Total Amount]]&gt;=1000),"High",TRUE,"Normal")</f>
        <v>Normal</v>
      </c>
      <c r="L271" s="4" t="str">
        <f>IF(Table15678[[#This Row],[Total Amount]]&gt;=1000,"High",(IF(Table15678[[#This Row],[Total Amount]]&gt;=500,"Medium","Low")))</f>
        <v>Low</v>
      </c>
      <c r="M271" s="4" t="str" cm="1">
        <f t="array" ref="M27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71" s="4" cm="1">
        <f t="array" ref="N27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271" s="4">
        <f>Table15678[[#This Row],[Total Amount]]-Table15678[[#This Row],[Discount Amount]]</f>
        <v>270</v>
      </c>
      <c r="P271" s="4" t="str">
        <f>IF(Table15678[[#This Row],[Total Amount]]&gt;=1000,"High","Low")</f>
        <v>Low</v>
      </c>
      <c r="Q271" s="4" t="str" cm="1">
        <f t="array" ref="Q271">_xlfn.IFS(AND(Table15678[[#This Row],[Total Amount]]&gt;=1500,"Critical"),AND(Table15678[[#This Row],[Total Amount]]&gt;=1000,"High"),TRUE,"Normal")</f>
        <v>Normal</v>
      </c>
      <c r="R271" s="4" t="str">
        <f>CONCATENATE(Table15678[[#This Row],[Customer ID]], "-",Table15678[[#This Row],[Age]])</f>
        <v>CUST270-43</v>
      </c>
      <c r="S271" s="4" t="str">
        <f>TEXT(Table15678[[#This Row],[Date]],"mmm")</f>
        <v>Jul</v>
      </c>
      <c r="T271" s="4" t="str">
        <f>TEXT(Table15678[[#This Row],[Date]],"DDD")</f>
        <v>Wed</v>
      </c>
    </row>
    <row r="272" spans="1:20" ht="29" x14ac:dyDescent="0.35">
      <c r="A272" s="4">
        <v>271</v>
      </c>
      <c r="B272" s="5">
        <v>45100</v>
      </c>
      <c r="C272" s="4" t="s">
        <v>284</v>
      </c>
      <c r="D272" s="4" t="s">
        <v>13</v>
      </c>
      <c r="E272" s="4">
        <v>62</v>
      </c>
      <c r="F272" s="4" t="str">
        <f>IF(Table15678[[#This Row],[Age]]&lt;=19,"Teenager",IF(Table15678[[#This Row],[Age]]&lt;=40,"Median","Old"))</f>
        <v>Old</v>
      </c>
      <c r="G272" s="4" t="s">
        <v>11</v>
      </c>
      <c r="H272" s="4">
        <v>4</v>
      </c>
      <c r="I272" s="4">
        <v>30</v>
      </c>
      <c r="J272" s="4">
        <v>120</v>
      </c>
      <c r="K272" s="4" t="str" cm="1">
        <f t="array" ref="K272">_xlfn.IFS(AND(Table15678[[#This Row],[Total Amount]]&gt;=1500),"Critical",AND(Table15678[[#This Row],[Total Amount]]&gt;=1000),"High",TRUE,"Normal")</f>
        <v>Normal</v>
      </c>
      <c r="L272" s="4" t="str">
        <f>IF(Table15678[[#This Row],[Total Amount]]&gt;=1000,"High",(IF(Table15678[[#This Row],[Total Amount]]&gt;=500,"Medium","Low")))</f>
        <v>Low</v>
      </c>
      <c r="M272" s="4" t="str" cm="1">
        <f t="array" ref="M27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72" s="4" cm="1">
        <f t="array" ref="N27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</v>
      </c>
      <c r="O272" s="4">
        <f>Table15678[[#This Row],[Total Amount]]-Table15678[[#This Row],[Discount Amount]]</f>
        <v>96</v>
      </c>
      <c r="P272" s="4" t="str">
        <f>IF(Table15678[[#This Row],[Total Amount]]&gt;=1000,"High","Low")</f>
        <v>Low</v>
      </c>
      <c r="Q272" s="4" t="str" cm="1">
        <f t="array" ref="Q272">_xlfn.IFS(AND(Table15678[[#This Row],[Total Amount]]&gt;=1500,"Critical"),AND(Table15678[[#This Row],[Total Amount]]&gt;=1000,"High"),TRUE,"Normal")</f>
        <v>Normal</v>
      </c>
      <c r="R272" s="4" t="str">
        <f>CONCATENATE(Table15678[[#This Row],[Customer ID]], "-",Table15678[[#This Row],[Age]])</f>
        <v>CUST271-62</v>
      </c>
      <c r="S272" s="4" t="str">
        <f>TEXT(Table15678[[#This Row],[Date]],"mmm")</f>
        <v>Jun</v>
      </c>
      <c r="T272" s="4" t="str">
        <f>TEXT(Table15678[[#This Row],[Date]],"DDD")</f>
        <v>Fri</v>
      </c>
    </row>
    <row r="273" spans="1:20" ht="29" x14ac:dyDescent="0.35">
      <c r="A273" s="4">
        <v>272</v>
      </c>
      <c r="B273" s="5">
        <v>44982</v>
      </c>
      <c r="C273" s="4" t="s">
        <v>285</v>
      </c>
      <c r="D273" s="4" t="s">
        <v>13</v>
      </c>
      <c r="E273" s="4">
        <v>61</v>
      </c>
      <c r="F273" s="4" t="str">
        <f>IF(Table15678[[#This Row],[Age]]&lt;=19,"Teenager",IF(Table15678[[#This Row],[Age]]&lt;=40,"Median","Old"))</f>
        <v>Old</v>
      </c>
      <c r="G273" s="4" t="s">
        <v>16</v>
      </c>
      <c r="H273" s="4">
        <v>2</v>
      </c>
      <c r="I273" s="4">
        <v>50</v>
      </c>
      <c r="J273" s="4">
        <v>100</v>
      </c>
      <c r="K273" s="4" t="str" cm="1">
        <f t="array" ref="K273">_xlfn.IFS(AND(Table15678[[#This Row],[Total Amount]]&gt;=1500),"Critical",AND(Table15678[[#This Row],[Total Amount]]&gt;=1000),"High",TRUE,"Normal")</f>
        <v>Normal</v>
      </c>
      <c r="L273" s="4" t="str">
        <f>IF(Table15678[[#This Row],[Total Amount]]&gt;=1000,"High",(IF(Table15678[[#This Row],[Total Amount]]&gt;=500,"Medium","Low")))</f>
        <v>Low</v>
      </c>
      <c r="M273" s="4" t="str" cm="1">
        <f t="array" ref="M27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73" s="4" cm="1">
        <f t="array" ref="N27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273" s="4">
        <f>Table15678[[#This Row],[Total Amount]]-Table15678[[#This Row],[Discount Amount]]</f>
        <v>80</v>
      </c>
      <c r="P273" s="4" t="str">
        <f>IF(Table15678[[#This Row],[Total Amount]]&gt;=1000,"High","Low")</f>
        <v>Low</v>
      </c>
      <c r="Q273" s="4" t="str" cm="1">
        <f t="array" ref="Q273">_xlfn.IFS(AND(Table15678[[#This Row],[Total Amount]]&gt;=1500,"Critical"),AND(Table15678[[#This Row],[Total Amount]]&gt;=1000,"High"),TRUE,"Normal")</f>
        <v>Normal</v>
      </c>
      <c r="R273" s="4" t="str">
        <f>CONCATENATE(Table15678[[#This Row],[Customer ID]], "-",Table15678[[#This Row],[Age]])</f>
        <v>CUST272-61</v>
      </c>
      <c r="S273" s="4" t="str">
        <f>TEXT(Table15678[[#This Row],[Date]],"mmm")</f>
        <v>Feb</v>
      </c>
      <c r="T273" s="4" t="str">
        <f>TEXT(Table15678[[#This Row],[Date]],"DDD")</f>
        <v>Sat</v>
      </c>
    </row>
    <row r="274" spans="1:20" ht="29" x14ac:dyDescent="0.35">
      <c r="A274" s="4">
        <v>273</v>
      </c>
      <c r="B274" s="5">
        <v>45054</v>
      </c>
      <c r="C274" s="4" t="s">
        <v>286</v>
      </c>
      <c r="D274" s="4" t="s">
        <v>13</v>
      </c>
      <c r="E274" s="4">
        <v>22</v>
      </c>
      <c r="F274" s="4" t="str">
        <f>IF(Table15678[[#This Row],[Age]]&lt;=19,"Teenager",IF(Table15678[[#This Row],[Age]]&lt;=40,"Median","Old"))</f>
        <v>Median</v>
      </c>
      <c r="G274" s="4" t="s">
        <v>11</v>
      </c>
      <c r="H274" s="4">
        <v>1</v>
      </c>
      <c r="I274" s="4">
        <v>50</v>
      </c>
      <c r="J274" s="4">
        <v>50</v>
      </c>
      <c r="K274" s="4" t="str" cm="1">
        <f t="array" ref="K274">_xlfn.IFS(AND(Table15678[[#This Row],[Total Amount]]&gt;=1500),"Critical",AND(Table15678[[#This Row],[Total Amount]]&gt;=1000),"High",TRUE,"Normal")</f>
        <v>Normal</v>
      </c>
      <c r="L274" s="4" t="str">
        <f>IF(Table15678[[#This Row],[Total Amount]]&gt;=1000,"High",(IF(Table15678[[#This Row],[Total Amount]]&gt;=500,"Medium","Low")))</f>
        <v>Low</v>
      </c>
      <c r="M274" s="4" t="str" cm="1">
        <f t="array" ref="M27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274" s="4" cm="1">
        <f t="array" ref="N27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274" s="4">
        <f>Table15678[[#This Row],[Total Amount]]-Table15678[[#This Row],[Discount Amount]]</f>
        <v>50</v>
      </c>
      <c r="P274" s="4" t="str">
        <f>IF(Table15678[[#This Row],[Total Amount]]&gt;=1000,"High","Low")</f>
        <v>Low</v>
      </c>
      <c r="Q274" s="4" t="str" cm="1">
        <f t="array" ref="Q274">_xlfn.IFS(AND(Table15678[[#This Row],[Total Amount]]&gt;=1500,"Critical"),AND(Table15678[[#This Row],[Total Amount]]&gt;=1000,"High"),TRUE,"Normal")</f>
        <v>Normal</v>
      </c>
      <c r="R274" s="4" t="str">
        <f>CONCATENATE(Table15678[[#This Row],[Customer ID]], "-",Table15678[[#This Row],[Age]])</f>
        <v>CUST273-22</v>
      </c>
      <c r="S274" s="4" t="str">
        <f>TEXT(Table15678[[#This Row],[Date]],"mmm")</f>
        <v>May</v>
      </c>
      <c r="T274" s="4" t="str">
        <f>TEXT(Table15678[[#This Row],[Date]],"DDD")</f>
        <v>Mon</v>
      </c>
    </row>
    <row r="275" spans="1:20" ht="29" x14ac:dyDescent="0.35">
      <c r="A275" s="4">
        <v>274</v>
      </c>
      <c r="B275" s="5">
        <v>45025</v>
      </c>
      <c r="C275" s="4" t="s">
        <v>287</v>
      </c>
      <c r="D275" s="4" t="s">
        <v>13</v>
      </c>
      <c r="E275" s="4">
        <v>23</v>
      </c>
      <c r="F275" s="4" t="str">
        <f>IF(Table15678[[#This Row],[Age]]&lt;=19,"Teenager",IF(Table15678[[#This Row],[Age]]&lt;=40,"Median","Old"))</f>
        <v>Median</v>
      </c>
      <c r="G275" s="4" t="s">
        <v>14</v>
      </c>
      <c r="H275" s="4">
        <v>2</v>
      </c>
      <c r="I275" s="4">
        <v>500</v>
      </c>
      <c r="J275" s="4">
        <v>1000</v>
      </c>
      <c r="K275" s="4" t="str" cm="1">
        <f t="array" ref="K275">_xlfn.IFS(AND(Table15678[[#This Row],[Total Amount]]&gt;=1500),"Critical",AND(Table15678[[#This Row],[Total Amount]]&gt;=1000),"High",TRUE,"Normal")</f>
        <v>High</v>
      </c>
      <c r="L275" s="4" t="str">
        <f>IF(Table15678[[#This Row],[Total Amount]]&gt;=1000,"High",(IF(Table15678[[#This Row],[Total Amount]]&gt;=500,"Medium","Low")))</f>
        <v>High</v>
      </c>
      <c r="M275" s="4" t="str" cm="1">
        <f t="array" ref="M27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275" s="4" cm="1">
        <f t="array" ref="N27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275" s="4">
        <f>Table15678[[#This Row],[Total Amount]]-Table15678[[#This Row],[Discount Amount]]</f>
        <v>1000</v>
      </c>
      <c r="P275" s="4" t="str">
        <f>IF(Table15678[[#This Row],[Total Amount]]&gt;=1000,"High","Low")</f>
        <v>High</v>
      </c>
      <c r="Q275" s="4" t="str" cm="1">
        <f t="array" ref="Q275">_xlfn.IFS(AND(Table15678[[#This Row],[Total Amount]]&gt;=1500,"Critical"),AND(Table15678[[#This Row],[Total Amount]]&gt;=1000,"High"),TRUE,"Normal")</f>
        <v>Normal</v>
      </c>
      <c r="R275" s="4" t="str">
        <f>CONCATENATE(Table15678[[#This Row],[Customer ID]], "-",Table15678[[#This Row],[Age]])</f>
        <v>CUST274-23</v>
      </c>
      <c r="S275" s="4" t="str">
        <f>TEXT(Table15678[[#This Row],[Date]],"mmm")</f>
        <v>Apr</v>
      </c>
      <c r="T275" s="4" t="str">
        <f>TEXT(Table15678[[#This Row],[Date]],"DDD")</f>
        <v>Sun</v>
      </c>
    </row>
    <row r="276" spans="1:20" ht="29" x14ac:dyDescent="0.35">
      <c r="A276" s="4">
        <v>275</v>
      </c>
      <c r="B276" s="5">
        <v>45024</v>
      </c>
      <c r="C276" s="4" t="s">
        <v>288</v>
      </c>
      <c r="D276" s="4" t="s">
        <v>10</v>
      </c>
      <c r="E276" s="4">
        <v>43</v>
      </c>
      <c r="F276" s="4" t="str">
        <f>IF(Table15678[[#This Row],[Age]]&lt;=19,"Teenager",IF(Table15678[[#This Row],[Age]]&lt;=40,"Median","Old"))</f>
        <v>Old</v>
      </c>
      <c r="G276" s="4" t="s">
        <v>14</v>
      </c>
      <c r="H276" s="4">
        <v>2</v>
      </c>
      <c r="I276" s="4">
        <v>500</v>
      </c>
      <c r="J276" s="4">
        <v>1000</v>
      </c>
      <c r="K276" s="4" t="str" cm="1">
        <f t="array" ref="K276">_xlfn.IFS(AND(Table15678[[#This Row],[Total Amount]]&gt;=1500),"Critical",AND(Table15678[[#This Row],[Total Amount]]&gt;=1000),"High",TRUE,"Normal")</f>
        <v>High</v>
      </c>
      <c r="L276" s="4" t="str">
        <f>IF(Table15678[[#This Row],[Total Amount]]&gt;=1000,"High",(IF(Table15678[[#This Row],[Total Amount]]&gt;=500,"Medium","Low")))</f>
        <v>High</v>
      </c>
      <c r="M276" s="4" t="str" cm="1">
        <f t="array" ref="M27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76" s="4" cm="1">
        <f t="array" ref="N27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276" s="4">
        <f>Table15678[[#This Row],[Total Amount]]-Table15678[[#This Row],[Discount Amount]]</f>
        <v>900</v>
      </c>
      <c r="P276" s="4" t="str">
        <f>IF(Table15678[[#This Row],[Total Amount]]&gt;=1000,"High","Low")</f>
        <v>High</v>
      </c>
      <c r="Q276" s="4" t="str" cm="1">
        <f t="array" ref="Q276">_xlfn.IFS(AND(Table15678[[#This Row],[Total Amount]]&gt;=1500,"Critical"),AND(Table15678[[#This Row],[Total Amount]]&gt;=1000,"High"),TRUE,"Normal")</f>
        <v>Normal</v>
      </c>
      <c r="R276" s="4" t="str">
        <f>CONCATENATE(Table15678[[#This Row],[Customer ID]], "-",Table15678[[#This Row],[Age]])</f>
        <v>CUST275-43</v>
      </c>
      <c r="S276" s="4" t="str">
        <f>TEXT(Table15678[[#This Row],[Date]],"mmm")</f>
        <v>Apr</v>
      </c>
      <c r="T276" s="4" t="str">
        <f>TEXT(Table15678[[#This Row],[Date]],"DDD")</f>
        <v>Sat</v>
      </c>
    </row>
    <row r="277" spans="1:20" ht="29" x14ac:dyDescent="0.35">
      <c r="A277" s="4">
        <v>276</v>
      </c>
      <c r="B277" s="5">
        <v>45201</v>
      </c>
      <c r="C277" s="4" t="s">
        <v>289</v>
      </c>
      <c r="D277" s="4" t="s">
        <v>13</v>
      </c>
      <c r="E277" s="4">
        <v>21</v>
      </c>
      <c r="F277" s="4" t="str">
        <f>IF(Table15678[[#This Row],[Age]]&lt;=19,"Teenager",IF(Table15678[[#This Row],[Age]]&lt;=40,"Median","Old"))</f>
        <v>Median</v>
      </c>
      <c r="G277" s="4" t="s">
        <v>11</v>
      </c>
      <c r="H277" s="4">
        <v>4</v>
      </c>
      <c r="I277" s="4">
        <v>25</v>
      </c>
      <c r="J277" s="4">
        <v>100</v>
      </c>
      <c r="K277" s="4" t="str" cm="1">
        <f t="array" ref="K277">_xlfn.IFS(AND(Table15678[[#This Row],[Total Amount]]&gt;=1500),"Critical",AND(Table15678[[#This Row],[Total Amount]]&gt;=1000),"High",TRUE,"Normal")</f>
        <v>Normal</v>
      </c>
      <c r="L277" s="4" t="str">
        <f>IF(Table15678[[#This Row],[Total Amount]]&gt;=1000,"High",(IF(Table15678[[#This Row],[Total Amount]]&gt;=500,"Medium","Low")))</f>
        <v>Low</v>
      </c>
      <c r="M277" s="4" t="str" cm="1">
        <f t="array" ref="M27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277" s="4" cm="1">
        <f t="array" ref="N27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277" s="4">
        <f>Table15678[[#This Row],[Total Amount]]-Table15678[[#This Row],[Discount Amount]]</f>
        <v>100</v>
      </c>
      <c r="P277" s="4" t="str">
        <f>IF(Table15678[[#This Row],[Total Amount]]&gt;=1000,"High","Low")</f>
        <v>Low</v>
      </c>
      <c r="Q277" s="4" t="str" cm="1">
        <f t="array" ref="Q277">_xlfn.IFS(AND(Table15678[[#This Row],[Total Amount]]&gt;=1500,"Critical"),AND(Table15678[[#This Row],[Total Amount]]&gt;=1000,"High"),TRUE,"Normal")</f>
        <v>Normal</v>
      </c>
      <c r="R277" s="4" t="str">
        <f>CONCATENATE(Table15678[[#This Row],[Customer ID]], "-",Table15678[[#This Row],[Age]])</f>
        <v>CUST276-21</v>
      </c>
      <c r="S277" s="4" t="str">
        <f>TEXT(Table15678[[#This Row],[Date]],"mmm")</f>
        <v>Oct</v>
      </c>
      <c r="T277" s="4" t="str">
        <f>TEXT(Table15678[[#This Row],[Date]],"DDD")</f>
        <v>Mon</v>
      </c>
    </row>
    <row r="278" spans="1:20" ht="29" x14ac:dyDescent="0.35">
      <c r="A278" s="4">
        <v>277</v>
      </c>
      <c r="B278" s="5">
        <v>45156</v>
      </c>
      <c r="C278" s="4" t="s">
        <v>290</v>
      </c>
      <c r="D278" s="4" t="s">
        <v>10</v>
      </c>
      <c r="E278" s="4">
        <v>36</v>
      </c>
      <c r="F278" s="4" t="str">
        <f>IF(Table15678[[#This Row],[Age]]&lt;=19,"Teenager",IF(Table15678[[#This Row],[Age]]&lt;=40,"Median","Old"))</f>
        <v>Median</v>
      </c>
      <c r="G278" s="4" t="s">
        <v>14</v>
      </c>
      <c r="H278" s="4">
        <v>4</v>
      </c>
      <c r="I278" s="4">
        <v>25</v>
      </c>
      <c r="J278" s="4">
        <v>100</v>
      </c>
      <c r="K278" s="4" t="str" cm="1">
        <f t="array" ref="K278">_xlfn.IFS(AND(Table15678[[#This Row],[Total Amount]]&gt;=1500),"Critical",AND(Table15678[[#This Row],[Total Amount]]&gt;=1000),"High",TRUE,"Normal")</f>
        <v>Normal</v>
      </c>
      <c r="L278" s="4" t="str">
        <f>IF(Table15678[[#This Row],[Total Amount]]&gt;=1000,"High",(IF(Table15678[[#This Row],[Total Amount]]&gt;=500,"Medium","Low")))</f>
        <v>Low</v>
      </c>
      <c r="M278" s="4" t="str" cm="1">
        <f t="array" ref="M27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78" s="4" cm="1">
        <f t="array" ref="N27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278" s="4">
        <f>Table15678[[#This Row],[Total Amount]]-Table15678[[#This Row],[Discount Amount]]</f>
        <v>90</v>
      </c>
      <c r="P278" s="4" t="str">
        <f>IF(Table15678[[#This Row],[Total Amount]]&gt;=1000,"High","Low")</f>
        <v>Low</v>
      </c>
      <c r="Q278" s="4" t="str" cm="1">
        <f t="array" ref="Q278">_xlfn.IFS(AND(Table15678[[#This Row],[Total Amount]]&gt;=1500,"Critical"),AND(Table15678[[#This Row],[Total Amount]]&gt;=1000,"High"),TRUE,"Normal")</f>
        <v>Normal</v>
      </c>
      <c r="R278" s="4" t="str">
        <f>CONCATENATE(Table15678[[#This Row],[Customer ID]], "-",Table15678[[#This Row],[Age]])</f>
        <v>CUST277-36</v>
      </c>
      <c r="S278" s="4" t="str">
        <f>TEXT(Table15678[[#This Row],[Date]],"mmm")</f>
        <v>Aug</v>
      </c>
      <c r="T278" s="4" t="str">
        <f>TEXT(Table15678[[#This Row],[Date]],"DDD")</f>
        <v>Fri</v>
      </c>
    </row>
    <row r="279" spans="1:20" ht="29" x14ac:dyDescent="0.35">
      <c r="A279" s="4">
        <v>278</v>
      </c>
      <c r="B279" s="5">
        <v>44998</v>
      </c>
      <c r="C279" s="4" t="s">
        <v>291</v>
      </c>
      <c r="D279" s="4" t="s">
        <v>13</v>
      </c>
      <c r="E279" s="4">
        <v>37</v>
      </c>
      <c r="F279" s="4" t="str">
        <f>IF(Table15678[[#This Row],[Age]]&lt;=19,"Teenager",IF(Table15678[[#This Row],[Age]]&lt;=40,"Median","Old"))</f>
        <v>Median</v>
      </c>
      <c r="G279" s="4" t="s">
        <v>14</v>
      </c>
      <c r="H279" s="4">
        <v>4</v>
      </c>
      <c r="I279" s="4">
        <v>25</v>
      </c>
      <c r="J279" s="4">
        <v>100</v>
      </c>
      <c r="K279" s="4" t="str" cm="1">
        <f t="array" ref="K279">_xlfn.IFS(AND(Table15678[[#This Row],[Total Amount]]&gt;=1500),"Critical",AND(Table15678[[#This Row],[Total Amount]]&gt;=1000),"High",TRUE,"Normal")</f>
        <v>Normal</v>
      </c>
      <c r="L279" s="4" t="str">
        <f>IF(Table15678[[#This Row],[Total Amount]]&gt;=1000,"High",(IF(Table15678[[#This Row],[Total Amount]]&gt;=500,"Medium","Low")))</f>
        <v>Low</v>
      </c>
      <c r="M279" s="4" t="str" cm="1">
        <f t="array" ref="M27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79" s="4" cm="1">
        <f t="array" ref="N27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279" s="4">
        <f>Table15678[[#This Row],[Total Amount]]-Table15678[[#This Row],[Discount Amount]]</f>
        <v>80</v>
      </c>
      <c r="P279" s="4" t="str">
        <f>IF(Table15678[[#This Row],[Total Amount]]&gt;=1000,"High","Low")</f>
        <v>Low</v>
      </c>
      <c r="Q279" s="4" t="str" cm="1">
        <f t="array" ref="Q279">_xlfn.IFS(AND(Table15678[[#This Row],[Total Amount]]&gt;=1500,"Critical"),AND(Table15678[[#This Row],[Total Amount]]&gt;=1000,"High"),TRUE,"Normal")</f>
        <v>Normal</v>
      </c>
      <c r="R279" s="4" t="str">
        <f>CONCATENATE(Table15678[[#This Row],[Customer ID]], "-",Table15678[[#This Row],[Age]])</f>
        <v>CUST278-37</v>
      </c>
      <c r="S279" s="4" t="str">
        <f>TEXT(Table15678[[#This Row],[Date]],"mmm")</f>
        <v>Mar</v>
      </c>
      <c r="T279" s="4" t="str">
        <f>TEXT(Table15678[[#This Row],[Date]],"DDD")</f>
        <v>Mon</v>
      </c>
    </row>
    <row r="280" spans="1:20" ht="29" x14ac:dyDescent="0.35">
      <c r="A280" s="4">
        <v>279</v>
      </c>
      <c r="B280" s="5">
        <v>45143</v>
      </c>
      <c r="C280" s="4" t="s">
        <v>292</v>
      </c>
      <c r="D280" s="4" t="s">
        <v>10</v>
      </c>
      <c r="E280" s="4">
        <v>50</v>
      </c>
      <c r="F280" s="4" t="str">
        <f>IF(Table15678[[#This Row],[Age]]&lt;=19,"Teenager",IF(Table15678[[#This Row],[Age]]&lt;=40,"Median","Old"))</f>
        <v>Old</v>
      </c>
      <c r="G280" s="4" t="s">
        <v>14</v>
      </c>
      <c r="H280" s="4">
        <v>1</v>
      </c>
      <c r="I280" s="4">
        <v>500</v>
      </c>
      <c r="J280" s="4">
        <v>500</v>
      </c>
      <c r="K280" s="4" t="str" cm="1">
        <f t="array" ref="K280">_xlfn.IFS(AND(Table15678[[#This Row],[Total Amount]]&gt;=1500),"Critical",AND(Table15678[[#This Row],[Total Amount]]&gt;=1000),"High",TRUE,"Normal")</f>
        <v>Normal</v>
      </c>
      <c r="L280" s="4" t="str">
        <f>IF(Table15678[[#This Row],[Total Amount]]&gt;=1000,"High",(IF(Table15678[[#This Row],[Total Amount]]&gt;=500,"Medium","Low")))</f>
        <v>Medium</v>
      </c>
      <c r="M280" s="4" t="str" cm="1">
        <f t="array" ref="M28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80" s="4" cm="1">
        <f t="array" ref="N28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50</v>
      </c>
      <c r="O280" s="4">
        <f>Table15678[[#This Row],[Total Amount]]-Table15678[[#This Row],[Discount Amount]]</f>
        <v>450</v>
      </c>
      <c r="P280" s="4" t="str">
        <f>IF(Table15678[[#This Row],[Total Amount]]&gt;=1000,"High","Low")</f>
        <v>Low</v>
      </c>
      <c r="Q280" s="4" t="str" cm="1">
        <f t="array" ref="Q280">_xlfn.IFS(AND(Table15678[[#This Row],[Total Amount]]&gt;=1500,"Critical"),AND(Table15678[[#This Row],[Total Amount]]&gt;=1000,"High"),TRUE,"Normal")</f>
        <v>Normal</v>
      </c>
      <c r="R280" s="4" t="str">
        <f>CONCATENATE(Table15678[[#This Row],[Customer ID]], "-",Table15678[[#This Row],[Age]])</f>
        <v>CUST279-50</v>
      </c>
      <c r="S280" s="4" t="str">
        <f>TEXT(Table15678[[#This Row],[Date]],"mmm")</f>
        <v>Aug</v>
      </c>
      <c r="T280" s="4" t="str">
        <f>TEXT(Table15678[[#This Row],[Date]],"DDD")</f>
        <v>Sat</v>
      </c>
    </row>
    <row r="281" spans="1:20" ht="29" x14ac:dyDescent="0.35">
      <c r="A281" s="4">
        <v>280</v>
      </c>
      <c r="B281" s="5">
        <v>45020</v>
      </c>
      <c r="C281" s="4" t="s">
        <v>293</v>
      </c>
      <c r="D281" s="4" t="s">
        <v>13</v>
      </c>
      <c r="E281" s="4">
        <v>37</v>
      </c>
      <c r="F281" s="4" t="str">
        <f>IF(Table15678[[#This Row],[Age]]&lt;=19,"Teenager",IF(Table15678[[#This Row],[Age]]&lt;=40,"Median","Old"))</f>
        <v>Median</v>
      </c>
      <c r="G281" s="4" t="s">
        <v>14</v>
      </c>
      <c r="H281" s="4">
        <v>3</v>
      </c>
      <c r="I281" s="4">
        <v>500</v>
      </c>
      <c r="J281" s="4">
        <v>1500</v>
      </c>
      <c r="K281" s="4" t="str" cm="1">
        <f t="array" ref="K281">_xlfn.IFS(AND(Table15678[[#This Row],[Total Amount]]&gt;=1500),"Critical",AND(Table15678[[#This Row],[Total Amount]]&gt;=1000),"High",TRUE,"Normal")</f>
        <v>Critical</v>
      </c>
      <c r="L281" s="4" t="str">
        <f>IF(Table15678[[#This Row],[Total Amount]]&gt;=1000,"High",(IF(Table15678[[#This Row],[Total Amount]]&gt;=500,"Medium","Low")))</f>
        <v>High</v>
      </c>
      <c r="M281" s="4" t="str" cm="1">
        <f t="array" ref="M28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81" s="4" cm="1">
        <f t="array" ref="N28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281" s="4">
        <f>Table15678[[#This Row],[Total Amount]]-Table15678[[#This Row],[Discount Amount]]</f>
        <v>1200</v>
      </c>
      <c r="P281" s="4" t="str">
        <f>IF(Table15678[[#This Row],[Total Amount]]&gt;=1000,"High","Low")</f>
        <v>High</v>
      </c>
      <c r="Q281" s="4" t="b" cm="1">
        <f t="array" ref="Q281">_xlfn.IFS(AND(Table15678[[#This Row],[Total Amount]]&gt;=1500,"Critical"),AND(Table15678[[#This Row],[Total Amount]]&gt;=1000,"High"),TRUE,"Normal")</f>
        <v>1</v>
      </c>
      <c r="R281" s="4" t="str">
        <f>CONCATENATE(Table15678[[#This Row],[Customer ID]], "-",Table15678[[#This Row],[Age]])</f>
        <v>CUST280-37</v>
      </c>
      <c r="S281" s="4" t="str">
        <f>TEXT(Table15678[[#This Row],[Date]],"mmm")</f>
        <v>Apr</v>
      </c>
      <c r="T281" s="4" t="str">
        <f>TEXT(Table15678[[#This Row],[Date]],"DDD")</f>
        <v>Tue</v>
      </c>
    </row>
    <row r="282" spans="1:20" ht="29" x14ac:dyDescent="0.35">
      <c r="A282" s="4">
        <v>281</v>
      </c>
      <c r="B282" s="5">
        <v>45069</v>
      </c>
      <c r="C282" s="4" t="s">
        <v>294</v>
      </c>
      <c r="D282" s="4" t="s">
        <v>13</v>
      </c>
      <c r="E282" s="4">
        <v>29</v>
      </c>
      <c r="F282" s="4" t="str">
        <f>IF(Table15678[[#This Row],[Age]]&lt;=19,"Teenager",IF(Table15678[[#This Row],[Age]]&lt;=40,"Median","Old"))</f>
        <v>Median</v>
      </c>
      <c r="G282" s="4" t="s">
        <v>11</v>
      </c>
      <c r="H282" s="4">
        <v>4</v>
      </c>
      <c r="I282" s="4">
        <v>500</v>
      </c>
      <c r="J282" s="4">
        <v>2000</v>
      </c>
      <c r="K282" s="4" t="str" cm="1">
        <f t="array" ref="K282">_xlfn.IFS(AND(Table15678[[#This Row],[Total Amount]]&gt;=1500),"Critical",AND(Table15678[[#This Row],[Total Amount]]&gt;=1000),"High",TRUE,"Normal")</f>
        <v>Critical</v>
      </c>
      <c r="L282" s="4" t="str">
        <f>IF(Table15678[[#This Row],[Total Amount]]&gt;=1000,"High",(IF(Table15678[[#This Row],[Total Amount]]&gt;=500,"Medium","Low")))</f>
        <v>High</v>
      </c>
      <c r="M282" s="4" t="str" cm="1">
        <f t="array" ref="M28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82" s="4" cm="1">
        <f t="array" ref="N28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282" s="4">
        <f>Table15678[[#This Row],[Total Amount]]-Table15678[[#This Row],[Discount Amount]]</f>
        <v>1700</v>
      </c>
      <c r="P282" s="4" t="str">
        <f>IF(Table15678[[#This Row],[Total Amount]]&gt;=1000,"High","Low")</f>
        <v>High</v>
      </c>
      <c r="Q282" s="4" t="b" cm="1">
        <f t="array" ref="Q282">_xlfn.IFS(AND(Table15678[[#This Row],[Total Amount]]&gt;=1500,"Critical"),AND(Table15678[[#This Row],[Total Amount]]&gt;=1000,"High"),TRUE,"Normal")</f>
        <v>1</v>
      </c>
      <c r="R282" s="4" t="str">
        <f>CONCATENATE(Table15678[[#This Row],[Customer ID]], "-",Table15678[[#This Row],[Age]])</f>
        <v>CUST281-29</v>
      </c>
      <c r="S282" s="4" t="str">
        <f>TEXT(Table15678[[#This Row],[Date]],"mmm")</f>
        <v>May</v>
      </c>
      <c r="T282" s="4" t="str">
        <f>TEXT(Table15678[[#This Row],[Date]],"DDD")</f>
        <v>Tue</v>
      </c>
    </row>
    <row r="283" spans="1:20" ht="29" x14ac:dyDescent="0.35">
      <c r="A283" s="4">
        <v>282</v>
      </c>
      <c r="B283" s="5">
        <v>45163</v>
      </c>
      <c r="C283" s="4" t="s">
        <v>295</v>
      </c>
      <c r="D283" s="4" t="s">
        <v>13</v>
      </c>
      <c r="E283" s="4">
        <v>64</v>
      </c>
      <c r="F283" s="4" t="str">
        <f>IF(Table15678[[#This Row],[Age]]&lt;=19,"Teenager",IF(Table15678[[#This Row],[Age]]&lt;=40,"Median","Old"))</f>
        <v>Old</v>
      </c>
      <c r="G283" s="4" t="s">
        <v>16</v>
      </c>
      <c r="H283" s="4">
        <v>4</v>
      </c>
      <c r="I283" s="4">
        <v>50</v>
      </c>
      <c r="J283" s="4">
        <v>200</v>
      </c>
      <c r="K283" s="4" t="str" cm="1">
        <f t="array" ref="K283">_xlfn.IFS(AND(Table15678[[#This Row],[Total Amount]]&gt;=1500),"Critical",AND(Table15678[[#This Row],[Total Amount]]&gt;=1000),"High",TRUE,"Normal")</f>
        <v>Normal</v>
      </c>
      <c r="L283" s="4" t="str">
        <f>IF(Table15678[[#This Row],[Total Amount]]&gt;=1000,"High",(IF(Table15678[[#This Row],[Total Amount]]&gt;=500,"Medium","Low")))</f>
        <v>Low</v>
      </c>
      <c r="M283" s="4" t="str" cm="1">
        <f t="array" ref="M28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83" s="4" cm="1">
        <f t="array" ref="N28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</v>
      </c>
      <c r="O283" s="4">
        <f>Table15678[[#This Row],[Total Amount]]-Table15678[[#This Row],[Discount Amount]]</f>
        <v>160</v>
      </c>
      <c r="P283" s="4" t="str">
        <f>IF(Table15678[[#This Row],[Total Amount]]&gt;=1000,"High","Low")</f>
        <v>Low</v>
      </c>
      <c r="Q283" s="4" t="str" cm="1">
        <f t="array" ref="Q283">_xlfn.IFS(AND(Table15678[[#This Row],[Total Amount]]&gt;=1500,"Critical"),AND(Table15678[[#This Row],[Total Amount]]&gt;=1000,"High"),TRUE,"Normal")</f>
        <v>Normal</v>
      </c>
      <c r="R283" s="4" t="str">
        <f>CONCATENATE(Table15678[[#This Row],[Customer ID]], "-",Table15678[[#This Row],[Age]])</f>
        <v>CUST282-64</v>
      </c>
      <c r="S283" s="4" t="str">
        <f>TEXT(Table15678[[#This Row],[Date]],"mmm")</f>
        <v>Aug</v>
      </c>
      <c r="T283" s="4" t="str">
        <f>TEXT(Table15678[[#This Row],[Date]],"DDD")</f>
        <v>Fri</v>
      </c>
    </row>
    <row r="284" spans="1:20" ht="29" x14ac:dyDescent="0.35">
      <c r="A284" s="4">
        <v>283</v>
      </c>
      <c r="B284" s="5">
        <v>45054</v>
      </c>
      <c r="C284" s="4" t="s">
        <v>296</v>
      </c>
      <c r="D284" s="4" t="s">
        <v>13</v>
      </c>
      <c r="E284" s="4">
        <v>18</v>
      </c>
      <c r="F284" s="4" t="str">
        <f>IF(Table15678[[#This Row],[Age]]&lt;=19,"Teenager",IF(Table15678[[#This Row],[Age]]&lt;=40,"Median","Old"))</f>
        <v>Teenager</v>
      </c>
      <c r="G284" s="4" t="s">
        <v>16</v>
      </c>
      <c r="H284" s="4">
        <v>1</v>
      </c>
      <c r="I284" s="4">
        <v>500</v>
      </c>
      <c r="J284" s="4">
        <v>500</v>
      </c>
      <c r="K284" s="4" t="str" cm="1">
        <f t="array" ref="K284">_xlfn.IFS(AND(Table15678[[#This Row],[Total Amount]]&gt;=1500),"Critical",AND(Table15678[[#This Row],[Total Amount]]&gt;=1000),"High",TRUE,"Normal")</f>
        <v>Normal</v>
      </c>
      <c r="L284" s="4" t="str">
        <f>IF(Table15678[[#This Row],[Total Amount]]&gt;=1000,"High",(IF(Table15678[[#This Row],[Total Amount]]&gt;=500,"Medium","Low")))</f>
        <v>Medium</v>
      </c>
      <c r="M284" s="4" t="str" cm="1">
        <f t="array" ref="M28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284" s="4" cm="1">
        <f t="array" ref="N28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284" s="4">
        <f>Table15678[[#This Row],[Total Amount]]-Table15678[[#This Row],[Discount Amount]]</f>
        <v>500</v>
      </c>
      <c r="P284" s="4" t="str">
        <f>IF(Table15678[[#This Row],[Total Amount]]&gt;=1000,"High","Low")</f>
        <v>Low</v>
      </c>
      <c r="Q284" s="4" t="str" cm="1">
        <f t="array" ref="Q284">_xlfn.IFS(AND(Table15678[[#This Row],[Total Amount]]&gt;=1500,"Critical"),AND(Table15678[[#This Row],[Total Amount]]&gt;=1000,"High"),TRUE,"Normal")</f>
        <v>Normal</v>
      </c>
      <c r="R284" s="4" t="str">
        <f>CONCATENATE(Table15678[[#This Row],[Customer ID]], "-",Table15678[[#This Row],[Age]])</f>
        <v>CUST283-18</v>
      </c>
      <c r="S284" s="4" t="str">
        <f>TEXT(Table15678[[#This Row],[Date]],"mmm")</f>
        <v>May</v>
      </c>
      <c r="T284" s="4" t="str">
        <f>TEXT(Table15678[[#This Row],[Date]],"DDD")</f>
        <v>Mon</v>
      </c>
    </row>
    <row r="285" spans="1:20" ht="29" x14ac:dyDescent="0.35">
      <c r="A285" s="4">
        <v>284</v>
      </c>
      <c r="B285" s="5">
        <v>44965</v>
      </c>
      <c r="C285" s="4" t="s">
        <v>297</v>
      </c>
      <c r="D285" s="4" t="s">
        <v>10</v>
      </c>
      <c r="E285" s="4">
        <v>43</v>
      </c>
      <c r="F285" s="4" t="str">
        <f>IF(Table15678[[#This Row],[Age]]&lt;=19,"Teenager",IF(Table15678[[#This Row],[Age]]&lt;=40,"Median","Old"))</f>
        <v>Old</v>
      </c>
      <c r="G285" s="4" t="s">
        <v>14</v>
      </c>
      <c r="H285" s="4">
        <v>4</v>
      </c>
      <c r="I285" s="4">
        <v>50</v>
      </c>
      <c r="J285" s="4">
        <v>200</v>
      </c>
      <c r="K285" s="4" t="str" cm="1">
        <f t="array" ref="K285">_xlfn.IFS(AND(Table15678[[#This Row],[Total Amount]]&gt;=1500),"Critical",AND(Table15678[[#This Row],[Total Amount]]&gt;=1000),"High",TRUE,"Normal")</f>
        <v>Normal</v>
      </c>
      <c r="L285" s="4" t="str">
        <f>IF(Table15678[[#This Row],[Total Amount]]&gt;=1000,"High",(IF(Table15678[[#This Row],[Total Amount]]&gt;=500,"Medium","Low")))</f>
        <v>Low</v>
      </c>
      <c r="M285" s="4" t="str" cm="1">
        <f t="array" ref="M28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85" s="4" cm="1">
        <f t="array" ref="N28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285" s="4">
        <f>Table15678[[#This Row],[Total Amount]]-Table15678[[#This Row],[Discount Amount]]</f>
        <v>180</v>
      </c>
      <c r="P285" s="4" t="str">
        <f>IF(Table15678[[#This Row],[Total Amount]]&gt;=1000,"High","Low")</f>
        <v>Low</v>
      </c>
      <c r="Q285" s="4" t="str" cm="1">
        <f t="array" ref="Q285">_xlfn.IFS(AND(Table15678[[#This Row],[Total Amount]]&gt;=1500,"Critical"),AND(Table15678[[#This Row],[Total Amount]]&gt;=1000,"High"),TRUE,"Normal")</f>
        <v>Normal</v>
      </c>
      <c r="R285" s="4" t="str">
        <f>CONCATENATE(Table15678[[#This Row],[Customer ID]], "-",Table15678[[#This Row],[Age]])</f>
        <v>CUST284-43</v>
      </c>
      <c r="S285" s="4" t="str">
        <f>TEXT(Table15678[[#This Row],[Date]],"mmm")</f>
        <v>Feb</v>
      </c>
      <c r="T285" s="4" t="str">
        <f>TEXT(Table15678[[#This Row],[Date]],"DDD")</f>
        <v>Wed</v>
      </c>
    </row>
    <row r="286" spans="1:20" ht="29" x14ac:dyDescent="0.35">
      <c r="A286" s="4">
        <v>285</v>
      </c>
      <c r="B286" s="5">
        <v>45153</v>
      </c>
      <c r="C286" s="4" t="s">
        <v>298</v>
      </c>
      <c r="D286" s="4" t="s">
        <v>13</v>
      </c>
      <c r="E286" s="4">
        <v>31</v>
      </c>
      <c r="F286" s="4" t="str">
        <f>IF(Table15678[[#This Row],[Age]]&lt;=19,"Teenager",IF(Table15678[[#This Row],[Age]]&lt;=40,"Median","Old"))</f>
        <v>Median</v>
      </c>
      <c r="G286" s="4" t="s">
        <v>16</v>
      </c>
      <c r="H286" s="4">
        <v>1</v>
      </c>
      <c r="I286" s="4">
        <v>25</v>
      </c>
      <c r="J286" s="4">
        <v>25</v>
      </c>
      <c r="K286" s="4" t="str" cm="1">
        <f t="array" ref="K286">_xlfn.IFS(AND(Table15678[[#This Row],[Total Amount]]&gt;=1500),"Critical",AND(Table15678[[#This Row],[Total Amount]]&gt;=1000),"High",TRUE,"Normal")</f>
        <v>Normal</v>
      </c>
      <c r="L286" s="4" t="str">
        <f>IF(Table15678[[#This Row],[Total Amount]]&gt;=1000,"High",(IF(Table15678[[#This Row],[Total Amount]]&gt;=500,"Medium","Low")))</f>
        <v>Low</v>
      </c>
      <c r="M286" s="4" t="str" cm="1">
        <f t="array" ref="M28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86" s="4" cm="1">
        <f t="array" ref="N28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3.75</v>
      </c>
      <c r="O286" s="4">
        <f>Table15678[[#This Row],[Total Amount]]-Table15678[[#This Row],[Discount Amount]]</f>
        <v>21.25</v>
      </c>
      <c r="P286" s="4" t="str">
        <f>IF(Table15678[[#This Row],[Total Amount]]&gt;=1000,"High","Low")</f>
        <v>Low</v>
      </c>
      <c r="Q286" s="4" t="str" cm="1">
        <f t="array" ref="Q286">_xlfn.IFS(AND(Table15678[[#This Row],[Total Amount]]&gt;=1500,"Critical"),AND(Table15678[[#This Row],[Total Amount]]&gt;=1000,"High"),TRUE,"Normal")</f>
        <v>Normal</v>
      </c>
      <c r="R286" s="4" t="str">
        <f>CONCATENATE(Table15678[[#This Row],[Customer ID]], "-",Table15678[[#This Row],[Age]])</f>
        <v>CUST285-31</v>
      </c>
      <c r="S286" s="4" t="str">
        <f>TEXT(Table15678[[#This Row],[Date]],"mmm")</f>
        <v>Aug</v>
      </c>
      <c r="T286" s="4" t="str">
        <f>TEXT(Table15678[[#This Row],[Date]],"DDD")</f>
        <v>Tue</v>
      </c>
    </row>
    <row r="287" spans="1:20" ht="29" x14ac:dyDescent="0.35">
      <c r="A287" s="4">
        <v>286</v>
      </c>
      <c r="B287" s="5">
        <v>45208</v>
      </c>
      <c r="C287" s="4" t="s">
        <v>299</v>
      </c>
      <c r="D287" s="4" t="s">
        <v>10</v>
      </c>
      <c r="E287" s="4">
        <v>55</v>
      </c>
      <c r="F287" s="4" t="str">
        <f>IF(Table15678[[#This Row],[Age]]&lt;=19,"Teenager",IF(Table15678[[#This Row],[Age]]&lt;=40,"Median","Old"))</f>
        <v>Old</v>
      </c>
      <c r="G287" s="4" t="s">
        <v>16</v>
      </c>
      <c r="H287" s="4">
        <v>2</v>
      </c>
      <c r="I287" s="4">
        <v>25</v>
      </c>
      <c r="J287" s="4">
        <v>50</v>
      </c>
      <c r="K287" s="4" t="str" cm="1">
        <f t="array" ref="K287">_xlfn.IFS(AND(Table15678[[#This Row],[Total Amount]]&gt;=1500),"Critical",AND(Table15678[[#This Row],[Total Amount]]&gt;=1000),"High",TRUE,"Normal")</f>
        <v>Normal</v>
      </c>
      <c r="L287" s="4" t="str">
        <f>IF(Table15678[[#This Row],[Total Amount]]&gt;=1000,"High",(IF(Table15678[[#This Row],[Total Amount]]&gt;=500,"Medium","Low")))</f>
        <v>Low</v>
      </c>
      <c r="M287" s="4" t="str" cm="1">
        <f t="array" ref="M28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87" s="4" cm="1">
        <f t="array" ref="N28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287" s="4">
        <f>Table15678[[#This Row],[Total Amount]]-Table15678[[#This Row],[Discount Amount]]</f>
        <v>45</v>
      </c>
      <c r="P287" s="4" t="str">
        <f>IF(Table15678[[#This Row],[Total Amount]]&gt;=1000,"High","Low")</f>
        <v>Low</v>
      </c>
      <c r="Q287" s="4" t="str" cm="1">
        <f t="array" ref="Q287">_xlfn.IFS(AND(Table15678[[#This Row],[Total Amount]]&gt;=1500,"Critical"),AND(Table15678[[#This Row],[Total Amount]]&gt;=1000,"High"),TRUE,"Normal")</f>
        <v>Normal</v>
      </c>
      <c r="R287" s="4" t="str">
        <f>CONCATENATE(Table15678[[#This Row],[Customer ID]], "-",Table15678[[#This Row],[Age]])</f>
        <v>CUST286-55</v>
      </c>
      <c r="S287" s="4" t="str">
        <f>TEXT(Table15678[[#This Row],[Date]],"mmm")</f>
        <v>Oct</v>
      </c>
      <c r="T287" s="4" t="str">
        <f>TEXT(Table15678[[#This Row],[Date]],"DDD")</f>
        <v>Mon</v>
      </c>
    </row>
    <row r="288" spans="1:20" ht="29" x14ac:dyDescent="0.35">
      <c r="A288" s="4">
        <v>287</v>
      </c>
      <c r="B288" s="5">
        <v>44977</v>
      </c>
      <c r="C288" s="4" t="s">
        <v>300</v>
      </c>
      <c r="D288" s="4" t="s">
        <v>10</v>
      </c>
      <c r="E288" s="4">
        <v>54</v>
      </c>
      <c r="F288" s="4" t="str">
        <f>IF(Table15678[[#This Row],[Age]]&lt;=19,"Teenager",IF(Table15678[[#This Row],[Age]]&lt;=40,"Median","Old"))</f>
        <v>Old</v>
      </c>
      <c r="G288" s="4" t="s">
        <v>14</v>
      </c>
      <c r="H288" s="4">
        <v>4</v>
      </c>
      <c r="I288" s="4">
        <v>25</v>
      </c>
      <c r="J288" s="4">
        <v>100</v>
      </c>
      <c r="K288" s="4" t="str" cm="1">
        <f t="array" ref="K288">_xlfn.IFS(AND(Table15678[[#This Row],[Total Amount]]&gt;=1500),"Critical",AND(Table15678[[#This Row],[Total Amount]]&gt;=1000),"High",TRUE,"Normal")</f>
        <v>Normal</v>
      </c>
      <c r="L288" s="4" t="str">
        <f>IF(Table15678[[#This Row],[Total Amount]]&gt;=1000,"High",(IF(Table15678[[#This Row],[Total Amount]]&gt;=500,"Medium","Low")))</f>
        <v>Low</v>
      </c>
      <c r="M288" s="4" t="str" cm="1">
        <f t="array" ref="M28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88" s="4" cm="1">
        <f t="array" ref="N28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288" s="4">
        <f>Table15678[[#This Row],[Total Amount]]-Table15678[[#This Row],[Discount Amount]]</f>
        <v>90</v>
      </c>
      <c r="P288" s="4" t="str">
        <f>IF(Table15678[[#This Row],[Total Amount]]&gt;=1000,"High","Low")</f>
        <v>Low</v>
      </c>
      <c r="Q288" s="4" t="str" cm="1">
        <f t="array" ref="Q288">_xlfn.IFS(AND(Table15678[[#This Row],[Total Amount]]&gt;=1500,"Critical"),AND(Table15678[[#This Row],[Total Amount]]&gt;=1000,"High"),TRUE,"Normal")</f>
        <v>Normal</v>
      </c>
      <c r="R288" s="4" t="str">
        <f>CONCATENATE(Table15678[[#This Row],[Customer ID]], "-",Table15678[[#This Row],[Age]])</f>
        <v>CUST287-54</v>
      </c>
      <c r="S288" s="4" t="str">
        <f>TEXT(Table15678[[#This Row],[Date]],"mmm")</f>
        <v>Feb</v>
      </c>
      <c r="T288" s="4" t="str">
        <f>TEXT(Table15678[[#This Row],[Date]],"DDD")</f>
        <v>Mon</v>
      </c>
    </row>
    <row r="289" spans="1:20" ht="29" x14ac:dyDescent="0.35">
      <c r="A289" s="4">
        <v>288</v>
      </c>
      <c r="B289" s="5">
        <v>44952</v>
      </c>
      <c r="C289" s="4" t="s">
        <v>301</v>
      </c>
      <c r="D289" s="4" t="s">
        <v>10</v>
      </c>
      <c r="E289" s="4">
        <v>28</v>
      </c>
      <c r="F289" s="4" t="str">
        <f>IF(Table15678[[#This Row],[Age]]&lt;=19,"Teenager",IF(Table15678[[#This Row],[Age]]&lt;=40,"Median","Old"))</f>
        <v>Median</v>
      </c>
      <c r="G289" s="4" t="s">
        <v>14</v>
      </c>
      <c r="H289" s="4">
        <v>4</v>
      </c>
      <c r="I289" s="4">
        <v>30</v>
      </c>
      <c r="J289" s="4">
        <v>120</v>
      </c>
      <c r="K289" s="4" t="str" cm="1">
        <f t="array" ref="K289">_xlfn.IFS(AND(Table15678[[#This Row],[Total Amount]]&gt;=1500),"Critical",AND(Table15678[[#This Row],[Total Amount]]&gt;=1000),"High",TRUE,"Normal")</f>
        <v>Normal</v>
      </c>
      <c r="L289" s="4" t="str">
        <f>IF(Table15678[[#This Row],[Total Amount]]&gt;=1000,"High",(IF(Table15678[[#This Row],[Total Amount]]&gt;=500,"Medium","Low")))</f>
        <v>Low</v>
      </c>
      <c r="M289" s="4" t="str" cm="1">
        <f t="array" ref="M28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89" s="4" cm="1">
        <f t="array" ref="N28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</v>
      </c>
      <c r="O289" s="4">
        <f>Table15678[[#This Row],[Total Amount]]-Table15678[[#This Row],[Discount Amount]]</f>
        <v>102</v>
      </c>
      <c r="P289" s="4" t="str">
        <f>IF(Table15678[[#This Row],[Total Amount]]&gt;=1000,"High","Low")</f>
        <v>Low</v>
      </c>
      <c r="Q289" s="4" t="str" cm="1">
        <f t="array" ref="Q289">_xlfn.IFS(AND(Table15678[[#This Row],[Total Amount]]&gt;=1500,"Critical"),AND(Table15678[[#This Row],[Total Amount]]&gt;=1000,"High"),TRUE,"Normal")</f>
        <v>Normal</v>
      </c>
      <c r="R289" s="4" t="str">
        <f>CONCATENATE(Table15678[[#This Row],[Customer ID]], "-",Table15678[[#This Row],[Age]])</f>
        <v>CUST288-28</v>
      </c>
      <c r="S289" s="4" t="str">
        <f>TEXT(Table15678[[#This Row],[Date]],"mmm")</f>
        <v>Jan</v>
      </c>
      <c r="T289" s="4" t="str">
        <f>TEXT(Table15678[[#This Row],[Date]],"DDD")</f>
        <v>Thu</v>
      </c>
    </row>
    <row r="290" spans="1:20" ht="29" x14ac:dyDescent="0.35">
      <c r="A290" s="4">
        <v>289</v>
      </c>
      <c r="B290" s="5">
        <v>45260</v>
      </c>
      <c r="C290" s="4" t="s">
        <v>302</v>
      </c>
      <c r="D290" s="4" t="s">
        <v>10</v>
      </c>
      <c r="E290" s="4">
        <v>53</v>
      </c>
      <c r="F290" s="4" t="str">
        <f>IF(Table15678[[#This Row],[Age]]&lt;=19,"Teenager",IF(Table15678[[#This Row],[Age]]&lt;=40,"Median","Old"))</f>
        <v>Old</v>
      </c>
      <c r="G290" s="4" t="s">
        <v>16</v>
      </c>
      <c r="H290" s="4">
        <v>2</v>
      </c>
      <c r="I290" s="4">
        <v>30</v>
      </c>
      <c r="J290" s="4">
        <v>60</v>
      </c>
      <c r="K290" s="4" t="str" cm="1">
        <f t="array" ref="K290">_xlfn.IFS(AND(Table15678[[#This Row],[Total Amount]]&gt;=1500),"Critical",AND(Table15678[[#This Row],[Total Amount]]&gt;=1000),"High",TRUE,"Normal")</f>
        <v>Normal</v>
      </c>
      <c r="L290" s="4" t="str">
        <f>IF(Table15678[[#This Row],[Total Amount]]&gt;=1000,"High",(IF(Table15678[[#This Row],[Total Amount]]&gt;=500,"Medium","Low")))</f>
        <v>Low</v>
      </c>
      <c r="M290" s="4" t="str" cm="1">
        <f t="array" ref="M29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90" s="4" cm="1">
        <f t="array" ref="N29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290" s="4">
        <f>Table15678[[#This Row],[Total Amount]]-Table15678[[#This Row],[Discount Amount]]</f>
        <v>54</v>
      </c>
      <c r="P290" s="4" t="str">
        <f>IF(Table15678[[#This Row],[Total Amount]]&gt;=1000,"High","Low")</f>
        <v>Low</v>
      </c>
      <c r="Q290" s="4" t="str" cm="1">
        <f t="array" ref="Q290">_xlfn.IFS(AND(Table15678[[#This Row],[Total Amount]]&gt;=1500,"Critical"),AND(Table15678[[#This Row],[Total Amount]]&gt;=1000,"High"),TRUE,"Normal")</f>
        <v>Normal</v>
      </c>
      <c r="R290" s="4" t="str">
        <f>CONCATENATE(Table15678[[#This Row],[Customer ID]], "-",Table15678[[#This Row],[Age]])</f>
        <v>CUST289-53</v>
      </c>
      <c r="S290" s="4" t="str">
        <f>TEXT(Table15678[[#This Row],[Date]],"mmm")</f>
        <v>Nov</v>
      </c>
      <c r="T290" s="4" t="str">
        <f>TEXT(Table15678[[#This Row],[Date]],"DDD")</f>
        <v>Thu</v>
      </c>
    </row>
    <row r="291" spans="1:20" ht="29" x14ac:dyDescent="0.35">
      <c r="A291" s="4">
        <v>290</v>
      </c>
      <c r="B291" s="5">
        <v>45203</v>
      </c>
      <c r="C291" s="4" t="s">
        <v>303</v>
      </c>
      <c r="D291" s="4" t="s">
        <v>13</v>
      </c>
      <c r="E291" s="4">
        <v>30</v>
      </c>
      <c r="F291" s="4" t="str">
        <f>IF(Table15678[[#This Row],[Age]]&lt;=19,"Teenager",IF(Table15678[[#This Row],[Age]]&lt;=40,"Median","Old"))</f>
        <v>Median</v>
      </c>
      <c r="G291" s="4" t="s">
        <v>11</v>
      </c>
      <c r="H291" s="4">
        <v>2</v>
      </c>
      <c r="I291" s="4">
        <v>300</v>
      </c>
      <c r="J291" s="4">
        <v>600</v>
      </c>
      <c r="K291" s="4" t="str" cm="1">
        <f t="array" ref="K291">_xlfn.IFS(AND(Table15678[[#This Row],[Total Amount]]&gt;=1500),"Critical",AND(Table15678[[#This Row],[Total Amount]]&gt;=1000),"High",TRUE,"Normal")</f>
        <v>Normal</v>
      </c>
      <c r="L291" s="4" t="str">
        <f>IF(Table15678[[#This Row],[Total Amount]]&gt;=1000,"High",(IF(Table15678[[#This Row],[Total Amount]]&gt;=500,"Medium","Low")))</f>
        <v>Medium</v>
      </c>
      <c r="M291" s="4" t="str" cm="1">
        <f t="array" ref="M29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91" s="4" cm="1">
        <f t="array" ref="N29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291" s="4">
        <f>Table15678[[#This Row],[Total Amount]]-Table15678[[#This Row],[Discount Amount]]</f>
        <v>510</v>
      </c>
      <c r="P291" s="4" t="str">
        <f>IF(Table15678[[#This Row],[Total Amount]]&gt;=1000,"High","Low")</f>
        <v>Low</v>
      </c>
      <c r="Q291" s="4" t="str" cm="1">
        <f t="array" ref="Q291">_xlfn.IFS(AND(Table15678[[#This Row],[Total Amount]]&gt;=1500,"Critical"),AND(Table15678[[#This Row],[Total Amount]]&gt;=1000,"High"),TRUE,"Normal")</f>
        <v>Normal</v>
      </c>
      <c r="R291" s="4" t="str">
        <f>CONCATENATE(Table15678[[#This Row],[Customer ID]], "-",Table15678[[#This Row],[Age]])</f>
        <v>CUST290-30</v>
      </c>
      <c r="S291" s="4" t="str">
        <f>TEXT(Table15678[[#This Row],[Date]],"mmm")</f>
        <v>Oct</v>
      </c>
      <c r="T291" s="4" t="str">
        <f>TEXT(Table15678[[#This Row],[Date]],"DDD")</f>
        <v>Wed</v>
      </c>
    </row>
    <row r="292" spans="1:20" ht="29" x14ac:dyDescent="0.35">
      <c r="A292" s="4">
        <v>291</v>
      </c>
      <c r="B292" s="5">
        <v>44934</v>
      </c>
      <c r="C292" s="4" t="s">
        <v>304</v>
      </c>
      <c r="D292" s="4" t="s">
        <v>10</v>
      </c>
      <c r="E292" s="4">
        <v>60</v>
      </c>
      <c r="F292" s="4" t="str">
        <f>IF(Table15678[[#This Row],[Age]]&lt;=19,"Teenager",IF(Table15678[[#This Row],[Age]]&lt;=40,"Median","Old"))</f>
        <v>Old</v>
      </c>
      <c r="G292" s="4" t="s">
        <v>14</v>
      </c>
      <c r="H292" s="4">
        <v>2</v>
      </c>
      <c r="I292" s="4">
        <v>300</v>
      </c>
      <c r="J292" s="4">
        <v>600</v>
      </c>
      <c r="K292" s="4" t="str" cm="1">
        <f t="array" ref="K292">_xlfn.IFS(AND(Table15678[[#This Row],[Total Amount]]&gt;=1500),"Critical",AND(Table15678[[#This Row],[Total Amount]]&gt;=1000),"High",TRUE,"Normal")</f>
        <v>Normal</v>
      </c>
      <c r="L292" s="4" t="str">
        <f>IF(Table15678[[#This Row],[Total Amount]]&gt;=1000,"High",(IF(Table15678[[#This Row],[Total Amount]]&gt;=500,"Medium","Low")))</f>
        <v>Medium</v>
      </c>
      <c r="M292" s="4" t="str" cm="1">
        <f t="array" ref="M29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92" s="4" cm="1">
        <f t="array" ref="N29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292" s="4">
        <f>Table15678[[#This Row],[Total Amount]]-Table15678[[#This Row],[Discount Amount]]</f>
        <v>540</v>
      </c>
      <c r="P292" s="4" t="str">
        <f>IF(Table15678[[#This Row],[Total Amount]]&gt;=1000,"High","Low")</f>
        <v>Low</v>
      </c>
      <c r="Q292" s="4" t="str" cm="1">
        <f t="array" ref="Q292">_xlfn.IFS(AND(Table15678[[#This Row],[Total Amount]]&gt;=1500,"Critical"),AND(Table15678[[#This Row],[Total Amount]]&gt;=1000,"High"),TRUE,"Normal")</f>
        <v>Normal</v>
      </c>
      <c r="R292" s="4" t="str">
        <f>CONCATENATE(Table15678[[#This Row],[Customer ID]], "-",Table15678[[#This Row],[Age]])</f>
        <v>CUST291-60</v>
      </c>
      <c r="S292" s="4" t="str">
        <f>TEXT(Table15678[[#This Row],[Date]],"mmm")</f>
        <v>Jan</v>
      </c>
      <c r="T292" s="4" t="str">
        <f>TEXT(Table15678[[#This Row],[Date]],"DDD")</f>
        <v>Sun</v>
      </c>
    </row>
    <row r="293" spans="1:20" ht="29" x14ac:dyDescent="0.35">
      <c r="A293" s="4">
        <v>292</v>
      </c>
      <c r="B293" s="5">
        <v>44974</v>
      </c>
      <c r="C293" s="4" t="s">
        <v>305</v>
      </c>
      <c r="D293" s="4" t="s">
        <v>10</v>
      </c>
      <c r="E293" s="4">
        <v>20</v>
      </c>
      <c r="F293" s="4" t="str">
        <f>IF(Table15678[[#This Row],[Age]]&lt;=19,"Teenager",IF(Table15678[[#This Row],[Age]]&lt;=40,"Median","Old"))</f>
        <v>Median</v>
      </c>
      <c r="G293" s="4" t="s">
        <v>11</v>
      </c>
      <c r="H293" s="4">
        <v>4</v>
      </c>
      <c r="I293" s="4">
        <v>300</v>
      </c>
      <c r="J293" s="4">
        <v>1200</v>
      </c>
      <c r="K293" s="4" t="str" cm="1">
        <f t="array" ref="K293">_xlfn.IFS(AND(Table15678[[#This Row],[Total Amount]]&gt;=1500),"Critical",AND(Table15678[[#This Row],[Total Amount]]&gt;=1000),"High",TRUE,"Normal")</f>
        <v>High</v>
      </c>
      <c r="L293" s="4" t="str">
        <f>IF(Table15678[[#This Row],[Total Amount]]&gt;=1000,"High",(IF(Table15678[[#This Row],[Total Amount]]&gt;=500,"Medium","Low")))</f>
        <v>High</v>
      </c>
      <c r="M293" s="4" t="str" cm="1">
        <f t="array" ref="M29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293" s="4" cm="1">
        <f t="array" ref="N29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293" s="4">
        <f>Table15678[[#This Row],[Total Amount]]-Table15678[[#This Row],[Discount Amount]]</f>
        <v>1200</v>
      </c>
      <c r="P293" s="4" t="str">
        <f>IF(Table15678[[#This Row],[Total Amount]]&gt;=1000,"High","Low")</f>
        <v>High</v>
      </c>
      <c r="Q293" s="4" t="str" cm="1">
        <f t="array" ref="Q293">_xlfn.IFS(AND(Table15678[[#This Row],[Total Amount]]&gt;=1500,"Critical"),AND(Table15678[[#This Row],[Total Amount]]&gt;=1000,"High"),TRUE,"Normal")</f>
        <v>Normal</v>
      </c>
      <c r="R293" s="4" t="str">
        <f>CONCATENATE(Table15678[[#This Row],[Customer ID]], "-",Table15678[[#This Row],[Age]])</f>
        <v>CUST292-20</v>
      </c>
      <c r="S293" s="4" t="str">
        <f>TEXT(Table15678[[#This Row],[Date]],"mmm")</f>
        <v>Feb</v>
      </c>
      <c r="T293" s="4" t="str">
        <f>TEXT(Table15678[[#This Row],[Date]],"DDD")</f>
        <v>Fri</v>
      </c>
    </row>
    <row r="294" spans="1:20" ht="29" x14ac:dyDescent="0.35">
      <c r="A294" s="4">
        <v>293</v>
      </c>
      <c r="B294" s="5">
        <v>45048</v>
      </c>
      <c r="C294" s="4" t="s">
        <v>306</v>
      </c>
      <c r="D294" s="4" t="s">
        <v>10</v>
      </c>
      <c r="E294" s="4">
        <v>50</v>
      </c>
      <c r="F294" s="4" t="str">
        <f>IF(Table15678[[#This Row],[Age]]&lt;=19,"Teenager",IF(Table15678[[#This Row],[Age]]&lt;=40,"Median","Old"))</f>
        <v>Old</v>
      </c>
      <c r="G294" s="4" t="s">
        <v>16</v>
      </c>
      <c r="H294" s="4">
        <v>3</v>
      </c>
      <c r="I294" s="4">
        <v>30</v>
      </c>
      <c r="J294" s="4">
        <v>90</v>
      </c>
      <c r="K294" s="4" t="str" cm="1">
        <f t="array" ref="K294">_xlfn.IFS(AND(Table15678[[#This Row],[Total Amount]]&gt;=1500),"Critical",AND(Table15678[[#This Row],[Total Amount]]&gt;=1000),"High",TRUE,"Normal")</f>
        <v>Normal</v>
      </c>
      <c r="L294" s="4" t="str">
        <f>IF(Table15678[[#This Row],[Total Amount]]&gt;=1000,"High",(IF(Table15678[[#This Row],[Total Amount]]&gt;=500,"Medium","Low")))</f>
        <v>Low</v>
      </c>
      <c r="M294" s="4" t="str" cm="1">
        <f t="array" ref="M29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94" s="4" cm="1">
        <f t="array" ref="N29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</v>
      </c>
      <c r="O294" s="4">
        <f>Table15678[[#This Row],[Total Amount]]-Table15678[[#This Row],[Discount Amount]]</f>
        <v>81</v>
      </c>
      <c r="P294" s="4" t="str">
        <f>IF(Table15678[[#This Row],[Total Amount]]&gt;=1000,"High","Low")</f>
        <v>Low</v>
      </c>
      <c r="Q294" s="4" t="str" cm="1">
        <f t="array" ref="Q294">_xlfn.IFS(AND(Table15678[[#This Row],[Total Amount]]&gt;=1500,"Critical"),AND(Table15678[[#This Row],[Total Amount]]&gt;=1000,"High"),TRUE,"Normal")</f>
        <v>Normal</v>
      </c>
      <c r="R294" s="4" t="str">
        <f>CONCATENATE(Table15678[[#This Row],[Customer ID]], "-",Table15678[[#This Row],[Age]])</f>
        <v>CUST293-50</v>
      </c>
      <c r="S294" s="4" t="str">
        <f>TEXT(Table15678[[#This Row],[Date]],"mmm")</f>
        <v>May</v>
      </c>
      <c r="T294" s="4" t="str">
        <f>TEXT(Table15678[[#This Row],[Date]],"DDD")</f>
        <v>Tue</v>
      </c>
    </row>
    <row r="295" spans="1:20" ht="29" x14ac:dyDescent="0.35">
      <c r="A295" s="4">
        <v>294</v>
      </c>
      <c r="B295" s="5">
        <v>45012</v>
      </c>
      <c r="C295" s="4" t="s">
        <v>307</v>
      </c>
      <c r="D295" s="4" t="s">
        <v>13</v>
      </c>
      <c r="E295" s="4">
        <v>23</v>
      </c>
      <c r="F295" s="4" t="str">
        <f>IF(Table15678[[#This Row],[Age]]&lt;=19,"Teenager",IF(Table15678[[#This Row],[Age]]&lt;=40,"Median","Old"))</f>
        <v>Median</v>
      </c>
      <c r="G295" s="4" t="s">
        <v>14</v>
      </c>
      <c r="H295" s="4">
        <v>3</v>
      </c>
      <c r="I295" s="4">
        <v>30</v>
      </c>
      <c r="J295" s="4">
        <v>90</v>
      </c>
      <c r="K295" s="4" t="str" cm="1">
        <f t="array" ref="K295">_xlfn.IFS(AND(Table15678[[#This Row],[Total Amount]]&gt;=1500),"Critical",AND(Table15678[[#This Row],[Total Amount]]&gt;=1000),"High",TRUE,"Normal")</f>
        <v>Normal</v>
      </c>
      <c r="L295" s="4" t="str">
        <f>IF(Table15678[[#This Row],[Total Amount]]&gt;=1000,"High",(IF(Table15678[[#This Row],[Total Amount]]&gt;=500,"Medium","Low")))</f>
        <v>Low</v>
      </c>
      <c r="M295" s="4" t="str" cm="1">
        <f t="array" ref="M29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295" s="4" cm="1">
        <f t="array" ref="N29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295" s="4">
        <f>Table15678[[#This Row],[Total Amount]]-Table15678[[#This Row],[Discount Amount]]</f>
        <v>90</v>
      </c>
      <c r="P295" s="4" t="str">
        <f>IF(Table15678[[#This Row],[Total Amount]]&gt;=1000,"High","Low")</f>
        <v>Low</v>
      </c>
      <c r="Q295" s="4" t="str" cm="1">
        <f t="array" ref="Q295">_xlfn.IFS(AND(Table15678[[#This Row],[Total Amount]]&gt;=1500,"Critical"),AND(Table15678[[#This Row],[Total Amount]]&gt;=1000,"High"),TRUE,"Normal")</f>
        <v>Normal</v>
      </c>
      <c r="R295" s="4" t="str">
        <f>CONCATENATE(Table15678[[#This Row],[Customer ID]], "-",Table15678[[#This Row],[Age]])</f>
        <v>CUST294-23</v>
      </c>
      <c r="S295" s="4" t="str">
        <f>TEXT(Table15678[[#This Row],[Date]],"mmm")</f>
        <v>Mar</v>
      </c>
      <c r="T295" s="4" t="str">
        <f>TEXT(Table15678[[#This Row],[Date]],"DDD")</f>
        <v>Mon</v>
      </c>
    </row>
    <row r="296" spans="1:20" ht="29" x14ac:dyDescent="0.35">
      <c r="A296" s="4">
        <v>295</v>
      </c>
      <c r="B296" s="5">
        <v>45135</v>
      </c>
      <c r="C296" s="4" t="s">
        <v>308</v>
      </c>
      <c r="D296" s="4" t="s">
        <v>13</v>
      </c>
      <c r="E296" s="4">
        <v>27</v>
      </c>
      <c r="F296" s="4" t="str">
        <f>IF(Table15678[[#This Row],[Age]]&lt;=19,"Teenager",IF(Table15678[[#This Row],[Age]]&lt;=40,"Median","Old"))</f>
        <v>Median</v>
      </c>
      <c r="G296" s="4" t="s">
        <v>11</v>
      </c>
      <c r="H296" s="4">
        <v>3</v>
      </c>
      <c r="I296" s="4">
        <v>300</v>
      </c>
      <c r="J296" s="4">
        <v>900</v>
      </c>
      <c r="K296" s="4" t="str" cm="1">
        <f t="array" ref="K296">_xlfn.IFS(AND(Table15678[[#This Row],[Total Amount]]&gt;=1500),"Critical",AND(Table15678[[#This Row],[Total Amount]]&gt;=1000),"High",TRUE,"Normal")</f>
        <v>Normal</v>
      </c>
      <c r="L296" s="4" t="str">
        <f>IF(Table15678[[#This Row],[Total Amount]]&gt;=1000,"High",(IF(Table15678[[#This Row],[Total Amount]]&gt;=500,"Medium","Low")))</f>
        <v>Medium</v>
      </c>
      <c r="M296" s="4" t="str" cm="1">
        <f t="array" ref="M29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96" s="4" cm="1">
        <f t="array" ref="N29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135</v>
      </c>
      <c r="O296" s="4">
        <f>Table15678[[#This Row],[Total Amount]]-Table15678[[#This Row],[Discount Amount]]</f>
        <v>765</v>
      </c>
      <c r="P296" s="4" t="str">
        <f>IF(Table15678[[#This Row],[Total Amount]]&gt;=1000,"High","Low")</f>
        <v>Low</v>
      </c>
      <c r="Q296" s="4" t="str" cm="1">
        <f t="array" ref="Q296">_xlfn.IFS(AND(Table15678[[#This Row],[Total Amount]]&gt;=1500,"Critical"),AND(Table15678[[#This Row],[Total Amount]]&gt;=1000,"High"),TRUE,"Normal")</f>
        <v>Normal</v>
      </c>
      <c r="R296" s="4" t="str">
        <f>CONCATENATE(Table15678[[#This Row],[Customer ID]], "-",Table15678[[#This Row],[Age]])</f>
        <v>CUST295-27</v>
      </c>
      <c r="S296" s="4" t="str">
        <f>TEXT(Table15678[[#This Row],[Date]],"mmm")</f>
        <v>Jul</v>
      </c>
      <c r="T296" s="4" t="str">
        <f>TEXT(Table15678[[#This Row],[Date]],"DDD")</f>
        <v>Fri</v>
      </c>
    </row>
    <row r="297" spans="1:20" ht="29" x14ac:dyDescent="0.35">
      <c r="A297" s="4">
        <v>296</v>
      </c>
      <c r="B297" s="5">
        <v>45175</v>
      </c>
      <c r="C297" s="4" t="s">
        <v>309</v>
      </c>
      <c r="D297" s="4" t="s">
        <v>13</v>
      </c>
      <c r="E297" s="4">
        <v>22</v>
      </c>
      <c r="F297" s="4" t="str">
        <f>IF(Table15678[[#This Row],[Age]]&lt;=19,"Teenager",IF(Table15678[[#This Row],[Age]]&lt;=40,"Median","Old"))</f>
        <v>Median</v>
      </c>
      <c r="G297" s="4" t="s">
        <v>14</v>
      </c>
      <c r="H297" s="4">
        <v>4</v>
      </c>
      <c r="I297" s="4">
        <v>300</v>
      </c>
      <c r="J297" s="4">
        <v>1200</v>
      </c>
      <c r="K297" s="4" t="str" cm="1">
        <f t="array" ref="K297">_xlfn.IFS(AND(Table15678[[#This Row],[Total Amount]]&gt;=1500),"Critical",AND(Table15678[[#This Row],[Total Amount]]&gt;=1000),"High",TRUE,"Normal")</f>
        <v>High</v>
      </c>
      <c r="L297" s="4" t="str">
        <f>IF(Table15678[[#This Row],[Total Amount]]&gt;=1000,"High",(IF(Table15678[[#This Row],[Total Amount]]&gt;=500,"Medium","Low")))</f>
        <v>High</v>
      </c>
      <c r="M297" s="4" t="str" cm="1">
        <f t="array" ref="M29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297" s="4" cm="1">
        <f t="array" ref="N29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297" s="4">
        <f>Table15678[[#This Row],[Total Amount]]-Table15678[[#This Row],[Discount Amount]]</f>
        <v>1200</v>
      </c>
      <c r="P297" s="4" t="str">
        <f>IF(Table15678[[#This Row],[Total Amount]]&gt;=1000,"High","Low")</f>
        <v>High</v>
      </c>
      <c r="Q297" s="4" t="str" cm="1">
        <f t="array" ref="Q297">_xlfn.IFS(AND(Table15678[[#This Row],[Total Amount]]&gt;=1500,"Critical"),AND(Table15678[[#This Row],[Total Amount]]&gt;=1000,"High"),TRUE,"Normal")</f>
        <v>Normal</v>
      </c>
      <c r="R297" s="4" t="str">
        <f>CONCATENATE(Table15678[[#This Row],[Customer ID]], "-",Table15678[[#This Row],[Age]])</f>
        <v>CUST296-22</v>
      </c>
      <c r="S297" s="4" t="str">
        <f>TEXT(Table15678[[#This Row],[Date]],"mmm")</f>
        <v>Sep</v>
      </c>
      <c r="T297" s="4" t="str">
        <f>TEXT(Table15678[[#This Row],[Date]],"DDD")</f>
        <v>Wed</v>
      </c>
    </row>
    <row r="298" spans="1:20" ht="29" x14ac:dyDescent="0.35">
      <c r="A298" s="4">
        <v>297</v>
      </c>
      <c r="B298" s="5">
        <v>45173</v>
      </c>
      <c r="C298" s="4" t="s">
        <v>310</v>
      </c>
      <c r="D298" s="4" t="s">
        <v>13</v>
      </c>
      <c r="E298" s="4">
        <v>40</v>
      </c>
      <c r="F298" s="4" t="str">
        <f>IF(Table15678[[#This Row],[Age]]&lt;=19,"Teenager",IF(Table15678[[#This Row],[Age]]&lt;=40,"Median","Old"))</f>
        <v>Median</v>
      </c>
      <c r="G298" s="4" t="s">
        <v>16</v>
      </c>
      <c r="H298" s="4">
        <v>2</v>
      </c>
      <c r="I298" s="4">
        <v>500</v>
      </c>
      <c r="J298" s="4">
        <v>1000</v>
      </c>
      <c r="K298" s="4" t="str" cm="1">
        <f t="array" ref="K298">_xlfn.IFS(AND(Table15678[[#This Row],[Total Amount]]&gt;=1500),"Critical",AND(Table15678[[#This Row],[Total Amount]]&gt;=1000),"High",TRUE,"Normal")</f>
        <v>High</v>
      </c>
      <c r="L298" s="4" t="str">
        <f>IF(Table15678[[#This Row],[Total Amount]]&gt;=1000,"High",(IF(Table15678[[#This Row],[Total Amount]]&gt;=500,"Medium","Low")))</f>
        <v>High</v>
      </c>
      <c r="M298" s="4" t="str" cm="1">
        <f t="array" ref="M29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98" s="4" cm="1">
        <f t="array" ref="N29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298" s="4">
        <f>Table15678[[#This Row],[Total Amount]]-Table15678[[#This Row],[Discount Amount]]</f>
        <v>800</v>
      </c>
      <c r="P298" s="4" t="str">
        <f>IF(Table15678[[#This Row],[Total Amount]]&gt;=1000,"High","Low")</f>
        <v>High</v>
      </c>
      <c r="Q298" s="4" t="str" cm="1">
        <f t="array" ref="Q298">_xlfn.IFS(AND(Table15678[[#This Row],[Total Amount]]&gt;=1500,"Critical"),AND(Table15678[[#This Row],[Total Amount]]&gt;=1000,"High"),TRUE,"Normal")</f>
        <v>Normal</v>
      </c>
      <c r="R298" s="4" t="str">
        <f>CONCATENATE(Table15678[[#This Row],[Customer ID]], "-",Table15678[[#This Row],[Age]])</f>
        <v>CUST297-40</v>
      </c>
      <c r="S298" s="4" t="str">
        <f>TEXT(Table15678[[#This Row],[Date]],"mmm")</f>
        <v>Sep</v>
      </c>
      <c r="T298" s="4" t="str">
        <f>TEXT(Table15678[[#This Row],[Date]],"DDD")</f>
        <v>Mon</v>
      </c>
    </row>
    <row r="299" spans="1:20" ht="29" x14ac:dyDescent="0.35">
      <c r="A299" s="4">
        <v>298</v>
      </c>
      <c r="B299" s="5">
        <v>45036</v>
      </c>
      <c r="C299" s="4" t="s">
        <v>311</v>
      </c>
      <c r="D299" s="4" t="s">
        <v>10</v>
      </c>
      <c r="E299" s="4">
        <v>27</v>
      </c>
      <c r="F299" s="4" t="str">
        <f>IF(Table15678[[#This Row],[Age]]&lt;=19,"Teenager",IF(Table15678[[#This Row],[Age]]&lt;=40,"Median","Old"))</f>
        <v>Median</v>
      </c>
      <c r="G299" s="4" t="s">
        <v>11</v>
      </c>
      <c r="H299" s="4">
        <v>4</v>
      </c>
      <c r="I299" s="4">
        <v>300</v>
      </c>
      <c r="J299" s="4">
        <v>1200</v>
      </c>
      <c r="K299" s="4" t="str" cm="1">
        <f t="array" ref="K299">_xlfn.IFS(AND(Table15678[[#This Row],[Total Amount]]&gt;=1500),"Critical",AND(Table15678[[#This Row],[Total Amount]]&gt;=1000),"High",TRUE,"Normal")</f>
        <v>High</v>
      </c>
      <c r="L299" s="4" t="str">
        <f>IF(Table15678[[#This Row],[Total Amount]]&gt;=1000,"High",(IF(Table15678[[#This Row],[Total Amount]]&gt;=500,"Medium","Low")))</f>
        <v>High</v>
      </c>
      <c r="M299" s="4" t="str" cm="1">
        <f t="array" ref="M29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299" s="4" cm="1">
        <f t="array" ref="N29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299" s="4">
        <f>Table15678[[#This Row],[Total Amount]]-Table15678[[#This Row],[Discount Amount]]</f>
        <v>1020</v>
      </c>
      <c r="P299" s="4" t="str">
        <f>IF(Table15678[[#This Row],[Total Amount]]&gt;=1000,"High","Low")</f>
        <v>High</v>
      </c>
      <c r="Q299" s="4" t="str" cm="1">
        <f t="array" ref="Q299">_xlfn.IFS(AND(Table15678[[#This Row],[Total Amount]]&gt;=1500,"Critical"),AND(Table15678[[#This Row],[Total Amount]]&gt;=1000,"High"),TRUE,"Normal")</f>
        <v>Normal</v>
      </c>
      <c r="R299" s="4" t="str">
        <f>CONCATENATE(Table15678[[#This Row],[Customer ID]], "-",Table15678[[#This Row],[Age]])</f>
        <v>CUST298-27</v>
      </c>
      <c r="S299" s="4" t="str">
        <f>TEXT(Table15678[[#This Row],[Date]],"mmm")</f>
        <v>Apr</v>
      </c>
      <c r="T299" s="4" t="str">
        <f>TEXT(Table15678[[#This Row],[Date]],"DDD")</f>
        <v>Thu</v>
      </c>
    </row>
    <row r="300" spans="1:20" ht="29" x14ac:dyDescent="0.35">
      <c r="A300" s="4">
        <v>299</v>
      </c>
      <c r="B300" s="5">
        <v>45132</v>
      </c>
      <c r="C300" s="4" t="s">
        <v>312</v>
      </c>
      <c r="D300" s="4" t="s">
        <v>10</v>
      </c>
      <c r="E300" s="4">
        <v>61</v>
      </c>
      <c r="F300" s="4" t="str">
        <f>IF(Table15678[[#This Row],[Age]]&lt;=19,"Teenager",IF(Table15678[[#This Row],[Age]]&lt;=40,"Median","Old"))</f>
        <v>Old</v>
      </c>
      <c r="G300" s="4" t="s">
        <v>16</v>
      </c>
      <c r="H300" s="4">
        <v>2</v>
      </c>
      <c r="I300" s="4">
        <v>500</v>
      </c>
      <c r="J300" s="4">
        <v>1000</v>
      </c>
      <c r="K300" s="4" t="str" cm="1">
        <f t="array" ref="K300">_xlfn.IFS(AND(Table15678[[#This Row],[Total Amount]]&gt;=1500),"Critical",AND(Table15678[[#This Row],[Total Amount]]&gt;=1000),"High",TRUE,"Normal")</f>
        <v>High</v>
      </c>
      <c r="L300" s="4" t="str">
        <f>IF(Table15678[[#This Row],[Total Amount]]&gt;=1000,"High",(IF(Table15678[[#This Row],[Total Amount]]&gt;=500,"Medium","Low")))</f>
        <v>High</v>
      </c>
      <c r="M300" s="4" t="str" cm="1">
        <f t="array" ref="M30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00" s="4" cm="1">
        <f t="array" ref="N30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300" s="4">
        <f>Table15678[[#This Row],[Total Amount]]-Table15678[[#This Row],[Discount Amount]]</f>
        <v>900</v>
      </c>
      <c r="P300" s="4" t="str">
        <f>IF(Table15678[[#This Row],[Total Amount]]&gt;=1000,"High","Low")</f>
        <v>High</v>
      </c>
      <c r="Q300" s="4" t="str" cm="1">
        <f t="array" ref="Q300">_xlfn.IFS(AND(Table15678[[#This Row],[Total Amount]]&gt;=1500,"Critical"),AND(Table15678[[#This Row],[Total Amount]]&gt;=1000,"High"),TRUE,"Normal")</f>
        <v>Normal</v>
      </c>
      <c r="R300" s="4" t="str">
        <f>CONCATENATE(Table15678[[#This Row],[Customer ID]], "-",Table15678[[#This Row],[Age]])</f>
        <v>CUST299-61</v>
      </c>
      <c r="S300" s="4" t="str">
        <f>TEXT(Table15678[[#This Row],[Date]],"mmm")</f>
        <v>Jul</v>
      </c>
      <c r="T300" s="4" t="str">
        <f>TEXT(Table15678[[#This Row],[Date]],"DDD")</f>
        <v>Tue</v>
      </c>
    </row>
    <row r="301" spans="1:20" ht="29" x14ac:dyDescent="0.35">
      <c r="A301" s="4">
        <v>300</v>
      </c>
      <c r="B301" s="5">
        <v>44957</v>
      </c>
      <c r="C301" s="4" t="s">
        <v>313</v>
      </c>
      <c r="D301" s="4" t="s">
        <v>13</v>
      </c>
      <c r="E301" s="4">
        <v>19</v>
      </c>
      <c r="F301" s="4" t="str">
        <f>IF(Table15678[[#This Row],[Age]]&lt;=19,"Teenager",IF(Table15678[[#This Row],[Age]]&lt;=40,"Median","Old"))</f>
        <v>Teenager</v>
      </c>
      <c r="G301" s="4" t="s">
        <v>16</v>
      </c>
      <c r="H301" s="4">
        <v>4</v>
      </c>
      <c r="I301" s="4">
        <v>50</v>
      </c>
      <c r="J301" s="4">
        <v>200</v>
      </c>
      <c r="K301" s="4" t="str" cm="1">
        <f t="array" ref="K301">_xlfn.IFS(AND(Table15678[[#This Row],[Total Amount]]&gt;=1500),"Critical",AND(Table15678[[#This Row],[Total Amount]]&gt;=1000),"High",TRUE,"Normal")</f>
        <v>Normal</v>
      </c>
      <c r="L301" s="4" t="str">
        <f>IF(Table15678[[#This Row],[Total Amount]]&gt;=1000,"High",(IF(Table15678[[#This Row],[Total Amount]]&gt;=500,"Medium","Low")))</f>
        <v>Low</v>
      </c>
      <c r="M301" s="4" t="str" cm="1">
        <f t="array" ref="M30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301" s="4" cm="1">
        <f t="array" ref="N30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301" s="4">
        <f>Table15678[[#This Row],[Total Amount]]-Table15678[[#This Row],[Discount Amount]]</f>
        <v>200</v>
      </c>
      <c r="P301" s="4" t="str">
        <f>IF(Table15678[[#This Row],[Total Amount]]&gt;=1000,"High","Low")</f>
        <v>Low</v>
      </c>
      <c r="Q301" s="4" t="str" cm="1">
        <f t="array" ref="Q301">_xlfn.IFS(AND(Table15678[[#This Row],[Total Amount]]&gt;=1500,"Critical"),AND(Table15678[[#This Row],[Total Amount]]&gt;=1000,"High"),TRUE,"Normal")</f>
        <v>Normal</v>
      </c>
      <c r="R301" s="4" t="str">
        <f>CONCATENATE(Table15678[[#This Row],[Customer ID]], "-",Table15678[[#This Row],[Age]])</f>
        <v>CUST300-19</v>
      </c>
      <c r="S301" s="4" t="str">
        <f>TEXT(Table15678[[#This Row],[Date]],"mmm")</f>
        <v>Jan</v>
      </c>
      <c r="T301" s="4" t="str">
        <f>TEXT(Table15678[[#This Row],[Date]],"DDD")</f>
        <v>Tue</v>
      </c>
    </row>
    <row r="302" spans="1:20" ht="29" x14ac:dyDescent="0.35">
      <c r="A302" s="4">
        <v>301</v>
      </c>
      <c r="B302" s="5">
        <v>45011</v>
      </c>
      <c r="C302" s="4" t="s">
        <v>314</v>
      </c>
      <c r="D302" s="4" t="s">
        <v>10</v>
      </c>
      <c r="E302" s="4">
        <v>30</v>
      </c>
      <c r="F302" s="4" t="str">
        <f>IF(Table15678[[#This Row],[Age]]&lt;=19,"Teenager",IF(Table15678[[#This Row],[Age]]&lt;=40,"Median","Old"))</f>
        <v>Median</v>
      </c>
      <c r="G302" s="4" t="s">
        <v>14</v>
      </c>
      <c r="H302" s="4">
        <v>4</v>
      </c>
      <c r="I302" s="4">
        <v>30</v>
      </c>
      <c r="J302" s="4">
        <v>120</v>
      </c>
      <c r="K302" s="4" t="str" cm="1">
        <f t="array" ref="K302">_xlfn.IFS(AND(Table15678[[#This Row],[Total Amount]]&gt;=1500),"Critical",AND(Table15678[[#This Row],[Total Amount]]&gt;=1000),"High",TRUE,"Normal")</f>
        <v>Normal</v>
      </c>
      <c r="L302" s="4" t="str">
        <f>IF(Table15678[[#This Row],[Total Amount]]&gt;=1000,"High",(IF(Table15678[[#This Row],[Total Amount]]&gt;=500,"Medium","Low")))</f>
        <v>Low</v>
      </c>
      <c r="M302" s="4" t="str" cm="1">
        <f t="array" ref="M30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02" s="4" cm="1">
        <f t="array" ref="N30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</v>
      </c>
      <c r="O302" s="4">
        <f>Table15678[[#This Row],[Total Amount]]-Table15678[[#This Row],[Discount Amount]]</f>
        <v>102</v>
      </c>
      <c r="P302" s="4" t="str">
        <f>IF(Table15678[[#This Row],[Total Amount]]&gt;=1000,"High","Low")</f>
        <v>Low</v>
      </c>
      <c r="Q302" s="4" t="str" cm="1">
        <f t="array" ref="Q302">_xlfn.IFS(AND(Table15678[[#This Row],[Total Amount]]&gt;=1500,"Critical"),AND(Table15678[[#This Row],[Total Amount]]&gt;=1000,"High"),TRUE,"Normal")</f>
        <v>Normal</v>
      </c>
      <c r="R302" s="4" t="str">
        <f>CONCATENATE(Table15678[[#This Row],[Customer ID]], "-",Table15678[[#This Row],[Age]])</f>
        <v>CUST301-30</v>
      </c>
      <c r="S302" s="4" t="str">
        <f>TEXT(Table15678[[#This Row],[Date]],"mmm")</f>
        <v>Mar</v>
      </c>
      <c r="T302" s="4" t="str">
        <f>TEXT(Table15678[[#This Row],[Date]],"DDD")</f>
        <v>Sun</v>
      </c>
    </row>
    <row r="303" spans="1:20" ht="29" x14ac:dyDescent="0.35">
      <c r="A303" s="4">
        <v>302</v>
      </c>
      <c r="B303" s="5">
        <v>45121</v>
      </c>
      <c r="C303" s="4" t="s">
        <v>315</v>
      </c>
      <c r="D303" s="4" t="s">
        <v>10</v>
      </c>
      <c r="E303" s="4">
        <v>57</v>
      </c>
      <c r="F303" s="4" t="str">
        <f>IF(Table15678[[#This Row],[Age]]&lt;=19,"Teenager",IF(Table15678[[#This Row],[Age]]&lt;=40,"Median","Old"))</f>
        <v>Old</v>
      </c>
      <c r="G303" s="4" t="s">
        <v>11</v>
      </c>
      <c r="H303" s="4">
        <v>2</v>
      </c>
      <c r="I303" s="4">
        <v>300</v>
      </c>
      <c r="J303" s="4">
        <v>600</v>
      </c>
      <c r="K303" s="4" t="str" cm="1">
        <f t="array" ref="K303">_xlfn.IFS(AND(Table15678[[#This Row],[Total Amount]]&gt;=1500),"Critical",AND(Table15678[[#This Row],[Total Amount]]&gt;=1000),"High",TRUE,"Normal")</f>
        <v>Normal</v>
      </c>
      <c r="L303" s="4" t="str">
        <f>IF(Table15678[[#This Row],[Total Amount]]&gt;=1000,"High",(IF(Table15678[[#This Row],[Total Amount]]&gt;=500,"Medium","Low")))</f>
        <v>Medium</v>
      </c>
      <c r="M303" s="4" t="str" cm="1">
        <f t="array" ref="M30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03" s="4" cm="1">
        <f t="array" ref="N30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303" s="4">
        <f>Table15678[[#This Row],[Total Amount]]-Table15678[[#This Row],[Discount Amount]]</f>
        <v>540</v>
      </c>
      <c r="P303" s="4" t="str">
        <f>IF(Table15678[[#This Row],[Total Amount]]&gt;=1000,"High","Low")</f>
        <v>Low</v>
      </c>
      <c r="Q303" s="4" t="str" cm="1">
        <f t="array" ref="Q303">_xlfn.IFS(AND(Table15678[[#This Row],[Total Amount]]&gt;=1500,"Critical"),AND(Table15678[[#This Row],[Total Amount]]&gt;=1000,"High"),TRUE,"Normal")</f>
        <v>Normal</v>
      </c>
      <c r="R303" s="4" t="str">
        <f>CONCATENATE(Table15678[[#This Row],[Customer ID]], "-",Table15678[[#This Row],[Age]])</f>
        <v>CUST302-57</v>
      </c>
      <c r="S303" s="4" t="str">
        <f>TEXT(Table15678[[#This Row],[Date]],"mmm")</f>
        <v>Jul</v>
      </c>
      <c r="T303" s="4" t="str">
        <f>TEXT(Table15678[[#This Row],[Date]],"DDD")</f>
        <v>Fri</v>
      </c>
    </row>
    <row r="304" spans="1:20" ht="29" x14ac:dyDescent="0.35">
      <c r="A304" s="4">
        <v>303</v>
      </c>
      <c r="B304" s="5">
        <v>44928</v>
      </c>
      <c r="C304" s="4" t="s">
        <v>316</v>
      </c>
      <c r="D304" s="4" t="s">
        <v>10</v>
      </c>
      <c r="E304" s="4">
        <v>19</v>
      </c>
      <c r="F304" s="4" t="str">
        <f>IF(Table15678[[#This Row],[Age]]&lt;=19,"Teenager",IF(Table15678[[#This Row],[Age]]&lt;=40,"Median","Old"))</f>
        <v>Teenager</v>
      </c>
      <c r="G304" s="4" t="s">
        <v>16</v>
      </c>
      <c r="H304" s="4">
        <v>3</v>
      </c>
      <c r="I304" s="4">
        <v>30</v>
      </c>
      <c r="J304" s="4">
        <v>90</v>
      </c>
      <c r="K304" s="4" t="str" cm="1">
        <f t="array" ref="K304">_xlfn.IFS(AND(Table15678[[#This Row],[Total Amount]]&gt;=1500),"Critical",AND(Table15678[[#This Row],[Total Amount]]&gt;=1000),"High",TRUE,"Normal")</f>
        <v>Normal</v>
      </c>
      <c r="L304" s="4" t="str">
        <f>IF(Table15678[[#This Row],[Total Amount]]&gt;=1000,"High",(IF(Table15678[[#This Row],[Total Amount]]&gt;=500,"Medium","Low")))</f>
        <v>Low</v>
      </c>
      <c r="M304" s="4" t="str" cm="1">
        <f t="array" ref="M30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304" s="4" cm="1">
        <f t="array" ref="N30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304" s="4">
        <f>Table15678[[#This Row],[Total Amount]]-Table15678[[#This Row],[Discount Amount]]</f>
        <v>90</v>
      </c>
      <c r="P304" s="4" t="str">
        <f>IF(Table15678[[#This Row],[Total Amount]]&gt;=1000,"High","Low")</f>
        <v>Low</v>
      </c>
      <c r="Q304" s="4" t="str" cm="1">
        <f t="array" ref="Q304">_xlfn.IFS(AND(Table15678[[#This Row],[Total Amount]]&gt;=1500,"Critical"),AND(Table15678[[#This Row],[Total Amount]]&gt;=1000,"High"),TRUE,"Normal")</f>
        <v>Normal</v>
      </c>
      <c r="R304" s="4" t="str">
        <f>CONCATENATE(Table15678[[#This Row],[Customer ID]], "-",Table15678[[#This Row],[Age]])</f>
        <v>CUST303-19</v>
      </c>
      <c r="S304" s="4" t="str">
        <f>TEXT(Table15678[[#This Row],[Date]],"mmm")</f>
        <v>Jan</v>
      </c>
      <c r="T304" s="4" t="str">
        <f>TEXT(Table15678[[#This Row],[Date]],"DDD")</f>
        <v>Mon</v>
      </c>
    </row>
    <row r="305" spans="1:20" ht="29" x14ac:dyDescent="0.35">
      <c r="A305" s="4">
        <v>304</v>
      </c>
      <c r="B305" s="5">
        <v>45126</v>
      </c>
      <c r="C305" s="4" t="s">
        <v>317</v>
      </c>
      <c r="D305" s="4" t="s">
        <v>13</v>
      </c>
      <c r="E305" s="4">
        <v>37</v>
      </c>
      <c r="F305" s="4" t="str">
        <f>IF(Table15678[[#This Row],[Age]]&lt;=19,"Teenager",IF(Table15678[[#This Row],[Age]]&lt;=40,"Median","Old"))</f>
        <v>Median</v>
      </c>
      <c r="G305" s="4" t="s">
        <v>16</v>
      </c>
      <c r="H305" s="4">
        <v>2</v>
      </c>
      <c r="I305" s="4">
        <v>30</v>
      </c>
      <c r="J305" s="4">
        <v>60</v>
      </c>
      <c r="K305" s="4" t="str" cm="1">
        <f t="array" ref="K305">_xlfn.IFS(AND(Table15678[[#This Row],[Total Amount]]&gt;=1500),"Critical",AND(Table15678[[#This Row],[Total Amount]]&gt;=1000),"High",TRUE,"Normal")</f>
        <v>Normal</v>
      </c>
      <c r="L305" s="4" t="str">
        <f>IF(Table15678[[#This Row],[Total Amount]]&gt;=1000,"High",(IF(Table15678[[#This Row],[Total Amount]]&gt;=500,"Medium","Low")))</f>
        <v>Low</v>
      </c>
      <c r="M305" s="4" t="str" cm="1">
        <f t="array" ref="M30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05" s="4" cm="1">
        <f t="array" ref="N30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305" s="4">
        <f>Table15678[[#This Row],[Total Amount]]-Table15678[[#This Row],[Discount Amount]]</f>
        <v>48</v>
      </c>
      <c r="P305" s="4" t="str">
        <f>IF(Table15678[[#This Row],[Total Amount]]&gt;=1000,"High","Low")</f>
        <v>Low</v>
      </c>
      <c r="Q305" s="4" t="str" cm="1">
        <f t="array" ref="Q305">_xlfn.IFS(AND(Table15678[[#This Row],[Total Amount]]&gt;=1500,"Critical"),AND(Table15678[[#This Row],[Total Amount]]&gt;=1000,"High"),TRUE,"Normal")</f>
        <v>Normal</v>
      </c>
      <c r="R305" s="4" t="str">
        <f>CONCATENATE(Table15678[[#This Row],[Customer ID]], "-",Table15678[[#This Row],[Age]])</f>
        <v>CUST304-37</v>
      </c>
      <c r="S305" s="4" t="str">
        <f>TEXT(Table15678[[#This Row],[Date]],"mmm")</f>
        <v>Jul</v>
      </c>
      <c r="T305" s="4" t="str">
        <f>TEXT(Table15678[[#This Row],[Date]],"DDD")</f>
        <v>Wed</v>
      </c>
    </row>
    <row r="306" spans="1:20" ht="29" x14ac:dyDescent="0.35">
      <c r="A306" s="4">
        <v>305</v>
      </c>
      <c r="B306" s="5">
        <v>45062</v>
      </c>
      <c r="C306" s="4" t="s">
        <v>318</v>
      </c>
      <c r="D306" s="4" t="s">
        <v>13</v>
      </c>
      <c r="E306" s="4">
        <v>18</v>
      </c>
      <c r="F306" s="4" t="str">
        <f>IF(Table15678[[#This Row],[Age]]&lt;=19,"Teenager",IF(Table15678[[#This Row],[Age]]&lt;=40,"Median","Old"))</f>
        <v>Teenager</v>
      </c>
      <c r="G306" s="4" t="s">
        <v>11</v>
      </c>
      <c r="H306" s="4">
        <v>1</v>
      </c>
      <c r="I306" s="4">
        <v>30</v>
      </c>
      <c r="J306" s="4">
        <v>30</v>
      </c>
      <c r="K306" s="4" t="str" cm="1">
        <f t="array" ref="K306">_xlfn.IFS(AND(Table15678[[#This Row],[Total Amount]]&gt;=1500),"Critical",AND(Table15678[[#This Row],[Total Amount]]&gt;=1000),"High",TRUE,"Normal")</f>
        <v>Normal</v>
      </c>
      <c r="L306" s="4" t="str">
        <f>IF(Table15678[[#This Row],[Total Amount]]&gt;=1000,"High",(IF(Table15678[[#This Row],[Total Amount]]&gt;=500,"Medium","Low")))</f>
        <v>Low</v>
      </c>
      <c r="M306" s="4" t="str" cm="1">
        <f t="array" ref="M30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306" s="4" cm="1">
        <f t="array" ref="N30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306" s="4">
        <f>Table15678[[#This Row],[Total Amount]]-Table15678[[#This Row],[Discount Amount]]</f>
        <v>30</v>
      </c>
      <c r="P306" s="4" t="str">
        <f>IF(Table15678[[#This Row],[Total Amount]]&gt;=1000,"High","Low")</f>
        <v>Low</v>
      </c>
      <c r="Q306" s="4" t="str" cm="1">
        <f t="array" ref="Q306">_xlfn.IFS(AND(Table15678[[#This Row],[Total Amount]]&gt;=1500,"Critical"),AND(Table15678[[#This Row],[Total Amount]]&gt;=1000,"High"),TRUE,"Normal")</f>
        <v>Normal</v>
      </c>
      <c r="R306" s="4" t="str">
        <f>CONCATENATE(Table15678[[#This Row],[Customer ID]], "-",Table15678[[#This Row],[Age]])</f>
        <v>CUST305-18</v>
      </c>
      <c r="S306" s="4" t="str">
        <f>TEXT(Table15678[[#This Row],[Date]],"mmm")</f>
        <v>May</v>
      </c>
      <c r="T306" s="4" t="str">
        <f>TEXT(Table15678[[#This Row],[Date]],"DDD")</f>
        <v>Tue</v>
      </c>
    </row>
    <row r="307" spans="1:20" ht="29" x14ac:dyDescent="0.35">
      <c r="A307" s="4">
        <v>306</v>
      </c>
      <c r="B307" s="5">
        <v>45159</v>
      </c>
      <c r="C307" s="4" t="s">
        <v>319</v>
      </c>
      <c r="D307" s="4" t="s">
        <v>10</v>
      </c>
      <c r="E307" s="4">
        <v>54</v>
      </c>
      <c r="F307" s="4" t="str">
        <f>IF(Table15678[[#This Row],[Age]]&lt;=19,"Teenager",IF(Table15678[[#This Row],[Age]]&lt;=40,"Median","Old"))</f>
        <v>Old</v>
      </c>
      <c r="G307" s="4" t="s">
        <v>16</v>
      </c>
      <c r="H307" s="4">
        <v>1</v>
      </c>
      <c r="I307" s="4">
        <v>50</v>
      </c>
      <c r="J307" s="4">
        <v>50</v>
      </c>
      <c r="K307" s="4" t="str" cm="1">
        <f t="array" ref="K307">_xlfn.IFS(AND(Table15678[[#This Row],[Total Amount]]&gt;=1500),"Critical",AND(Table15678[[#This Row],[Total Amount]]&gt;=1000),"High",TRUE,"Normal")</f>
        <v>Normal</v>
      </c>
      <c r="L307" s="4" t="str">
        <f>IF(Table15678[[#This Row],[Total Amount]]&gt;=1000,"High",(IF(Table15678[[#This Row],[Total Amount]]&gt;=500,"Medium","Low")))</f>
        <v>Low</v>
      </c>
      <c r="M307" s="4" t="str" cm="1">
        <f t="array" ref="M30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07" s="4" cm="1">
        <f t="array" ref="N30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307" s="4">
        <f>Table15678[[#This Row],[Total Amount]]-Table15678[[#This Row],[Discount Amount]]</f>
        <v>45</v>
      </c>
      <c r="P307" s="4" t="str">
        <f>IF(Table15678[[#This Row],[Total Amount]]&gt;=1000,"High","Low")</f>
        <v>Low</v>
      </c>
      <c r="Q307" s="4" t="str" cm="1">
        <f t="array" ref="Q307">_xlfn.IFS(AND(Table15678[[#This Row],[Total Amount]]&gt;=1500,"Critical"),AND(Table15678[[#This Row],[Total Amount]]&gt;=1000,"High"),TRUE,"Normal")</f>
        <v>Normal</v>
      </c>
      <c r="R307" s="4" t="str">
        <f>CONCATENATE(Table15678[[#This Row],[Customer ID]], "-",Table15678[[#This Row],[Age]])</f>
        <v>CUST306-54</v>
      </c>
      <c r="S307" s="4" t="str">
        <f>TEXT(Table15678[[#This Row],[Date]],"mmm")</f>
        <v>Aug</v>
      </c>
      <c r="T307" s="4" t="str">
        <f>TEXT(Table15678[[#This Row],[Date]],"DDD")</f>
        <v>Mon</v>
      </c>
    </row>
    <row r="308" spans="1:20" ht="29" x14ac:dyDescent="0.35">
      <c r="A308" s="4">
        <v>307</v>
      </c>
      <c r="B308" s="5">
        <v>45073</v>
      </c>
      <c r="C308" s="4" t="s">
        <v>320</v>
      </c>
      <c r="D308" s="4" t="s">
        <v>13</v>
      </c>
      <c r="E308" s="4">
        <v>26</v>
      </c>
      <c r="F308" s="4" t="str">
        <f>IF(Table15678[[#This Row],[Age]]&lt;=19,"Teenager",IF(Table15678[[#This Row],[Age]]&lt;=40,"Median","Old"))</f>
        <v>Median</v>
      </c>
      <c r="G308" s="4" t="s">
        <v>16</v>
      </c>
      <c r="H308" s="4">
        <v>2</v>
      </c>
      <c r="I308" s="4">
        <v>25</v>
      </c>
      <c r="J308" s="4">
        <v>50</v>
      </c>
      <c r="K308" s="4" t="str" cm="1">
        <f t="array" ref="K308">_xlfn.IFS(AND(Table15678[[#This Row],[Total Amount]]&gt;=1500),"Critical",AND(Table15678[[#This Row],[Total Amount]]&gt;=1000),"High",TRUE,"Normal")</f>
        <v>Normal</v>
      </c>
      <c r="L308" s="4" t="str">
        <f>IF(Table15678[[#This Row],[Total Amount]]&gt;=1000,"High",(IF(Table15678[[#This Row],[Total Amount]]&gt;=500,"Medium","Low")))</f>
        <v>Low</v>
      </c>
      <c r="M308" s="4" t="str" cm="1">
        <f t="array" ref="M30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08" s="4" cm="1">
        <f t="array" ref="N30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308" s="4">
        <f>Table15678[[#This Row],[Total Amount]]-Table15678[[#This Row],[Discount Amount]]</f>
        <v>42.5</v>
      </c>
      <c r="P308" s="4" t="str">
        <f>IF(Table15678[[#This Row],[Total Amount]]&gt;=1000,"High","Low")</f>
        <v>Low</v>
      </c>
      <c r="Q308" s="4" t="str" cm="1">
        <f t="array" ref="Q308">_xlfn.IFS(AND(Table15678[[#This Row],[Total Amount]]&gt;=1500,"Critical"),AND(Table15678[[#This Row],[Total Amount]]&gt;=1000,"High"),TRUE,"Normal")</f>
        <v>Normal</v>
      </c>
      <c r="R308" s="4" t="str">
        <f>CONCATENATE(Table15678[[#This Row],[Customer ID]], "-",Table15678[[#This Row],[Age]])</f>
        <v>CUST307-26</v>
      </c>
      <c r="S308" s="4" t="str">
        <f>TEXT(Table15678[[#This Row],[Date]],"mmm")</f>
        <v>May</v>
      </c>
      <c r="T308" s="4" t="str">
        <f>TEXT(Table15678[[#This Row],[Date]],"DDD")</f>
        <v>Sat</v>
      </c>
    </row>
    <row r="309" spans="1:20" ht="29" x14ac:dyDescent="0.35">
      <c r="A309" s="4">
        <v>308</v>
      </c>
      <c r="B309" s="5">
        <v>45143</v>
      </c>
      <c r="C309" s="4" t="s">
        <v>321</v>
      </c>
      <c r="D309" s="4" t="s">
        <v>13</v>
      </c>
      <c r="E309" s="4">
        <v>34</v>
      </c>
      <c r="F309" s="4" t="str">
        <f>IF(Table15678[[#This Row],[Age]]&lt;=19,"Teenager",IF(Table15678[[#This Row],[Age]]&lt;=40,"Median","Old"))</f>
        <v>Median</v>
      </c>
      <c r="G309" s="4" t="s">
        <v>11</v>
      </c>
      <c r="H309" s="4">
        <v>4</v>
      </c>
      <c r="I309" s="4">
        <v>300</v>
      </c>
      <c r="J309" s="4">
        <v>1200</v>
      </c>
      <c r="K309" s="4" t="str" cm="1">
        <f t="array" ref="K309">_xlfn.IFS(AND(Table15678[[#This Row],[Total Amount]]&gt;=1500),"Critical",AND(Table15678[[#This Row],[Total Amount]]&gt;=1000),"High",TRUE,"Normal")</f>
        <v>High</v>
      </c>
      <c r="L309" s="4" t="str">
        <f>IF(Table15678[[#This Row],[Total Amount]]&gt;=1000,"High",(IF(Table15678[[#This Row],[Total Amount]]&gt;=500,"Medium","Low")))</f>
        <v>High</v>
      </c>
      <c r="M309" s="4" t="str" cm="1">
        <f t="array" ref="M30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09" s="4" cm="1">
        <f t="array" ref="N30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309" s="4">
        <f>Table15678[[#This Row],[Total Amount]]-Table15678[[#This Row],[Discount Amount]]</f>
        <v>1020</v>
      </c>
      <c r="P309" s="4" t="str">
        <f>IF(Table15678[[#This Row],[Total Amount]]&gt;=1000,"High","Low")</f>
        <v>High</v>
      </c>
      <c r="Q309" s="4" t="str" cm="1">
        <f t="array" ref="Q309">_xlfn.IFS(AND(Table15678[[#This Row],[Total Amount]]&gt;=1500,"Critical"),AND(Table15678[[#This Row],[Total Amount]]&gt;=1000,"High"),TRUE,"Normal")</f>
        <v>Normal</v>
      </c>
      <c r="R309" s="4" t="str">
        <f>CONCATENATE(Table15678[[#This Row],[Customer ID]], "-",Table15678[[#This Row],[Age]])</f>
        <v>CUST308-34</v>
      </c>
      <c r="S309" s="4" t="str">
        <f>TEXT(Table15678[[#This Row],[Date]],"mmm")</f>
        <v>Aug</v>
      </c>
      <c r="T309" s="4" t="str">
        <f>TEXT(Table15678[[#This Row],[Date]],"DDD")</f>
        <v>Sat</v>
      </c>
    </row>
    <row r="310" spans="1:20" ht="29" x14ac:dyDescent="0.35">
      <c r="A310" s="4">
        <v>309</v>
      </c>
      <c r="B310" s="5">
        <v>45283</v>
      </c>
      <c r="C310" s="4" t="s">
        <v>322</v>
      </c>
      <c r="D310" s="4" t="s">
        <v>13</v>
      </c>
      <c r="E310" s="4">
        <v>26</v>
      </c>
      <c r="F310" s="4" t="str">
        <f>IF(Table15678[[#This Row],[Age]]&lt;=19,"Teenager",IF(Table15678[[#This Row],[Age]]&lt;=40,"Median","Old"))</f>
        <v>Median</v>
      </c>
      <c r="G310" s="4" t="s">
        <v>11</v>
      </c>
      <c r="H310" s="4">
        <v>1</v>
      </c>
      <c r="I310" s="4">
        <v>25</v>
      </c>
      <c r="J310" s="4">
        <v>25</v>
      </c>
      <c r="K310" s="4" t="str" cm="1">
        <f t="array" ref="K310">_xlfn.IFS(AND(Table15678[[#This Row],[Total Amount]]&gt;=1500),"Critical",AND(Table15678[[#This Row],[Total Amount]]&gt;=1000),"High",TRUE,"Normal")</f>
        <v>Normal</v>
      </c>
      <c r="L310" s="4" t="str">
        <f>IF(Table15678[[#This Row],[Total Amount]]&gt;=1000,"High",(IF(Table15678[[#This Row],[Total Amount]]&gt;=500,"Medium","Low")))</f>
        <v>Low</v>
      </c>
      <c r="M310" s="4" t="str" cm="1">
        <f t="array" ref="M31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10" s="4" cm="1">
        <f t="array" ref="N31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3.75</v>
      </c>
      <c r="O310" s="4">
        <f>Table15678[[#This Row],[Total Amount]]-Table15678[[#This Row],[Discount Amount]]</f>
        <v>21.25</v>
      </c>
      <c r="P310" s="4" t="str">
        <f>IF(Table15678[[#This Row],[Total Amount]]&gt;=1000,"High","Low")</f>
        <v>Low</v>
      </c>
      <c r="Q310" s="4" t="str" cm="1">
        <f t="array" ref="Q310">_xlfn.IFS(AND(Table15678[[#This Row],[Total Amount]]&gt;=1500,"Critical"),AND(Table15678[[#This Row],[Total Amount]]&gt;=1000,"High"),TRUE,"Normal")</f>
        <v>Normal</v>
      </c>
      <c r="R310" s="4" t="str">
        <f>CONCATENATE(Table15678[[#This Row],[Customer ID]], "-",Table15678[[#This Row],[Age]])</f>
        <v>CUST309-26</v>
      </c>
      <c r="S310" s="4" t="str">
        <f>TEXT(Table15678[[#This Row],[Date]],"mmm")</f>
        <v>Dec</v>
      </c>
      <c r="T310" s="4" t="str">
        <f>TEXT(Table15678[[#This Row],[Date]],"DDD")</f>
        <v>Sat</v>
      </c>
    </row>
    <row r="311" spans="1:20" ht="29" x14ac:dyDescent="0.35">
      <c r="A311" s="4">
        <v>310</v>
      </c>
      <c r="B311" s="5">
        <v>45211</v>
      </c>
      <c r="C311" s="4" t="s">
        <v>323</v>
      </c>
      <c r="D311" s="4" t="s">
        <v>13</v>
      </c>
      <c r="E311" s="4">
        <v>28</v>
      </c>
      <c r="F311" s="4" t="str">
        <f>IF(Table15678[[#This Row],[Age]]&lt;=19,"Teenager",IF(Table15678[[#This Row],[Age]]&lt;=40,"Median","Old"))</f>
        <v>Median</v>
      </c>
      <c r="G311" s="4" t="s">
        <v>11</v>
      </c>
      <c r="H311" s="4">
        <v>1</v>
      </c>
      <c r="I311" s="4">
        <v>25</v>
      </c>
      <c r="J311" s="4">
        <v>25</v>
      </c>
      <c r="K311" s="4" t="str" cm="1">
        <f t="array" ref="K311">_xlfn.IFS(AND(Table15678[[#This Row],[Total Amount]]&gt;=1500),"Critical",AND(Table15678[[#This Row],[Total Amount]]&gt;=1000),"High",TRUE,"Normal")</f>
        <v>Normal</v>
      </c>
      <c r="L311" s="4" t="str">
        <f>IF(Table15678[[#This Row],[Total Amount]]&gt;=1000,"High",(IF(Table15678[[#This Row],[Total Amount]]&gt;=500,"Medium","Low")))</f>
        <v>Low</v>
      </c>
      <c r="M311" s="4" t="str" cm="1">
        <f t="array" ref="M31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11" s="4" cm="1">
        <f t="array" ref="N31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3.75</v>
      </c>
      <c r="O311" s="4">
        <f>Table15678[[#This Row],[Total Amount]]-Table15678[[#This Row],[Discount Amount]]</f>
        <v>21.25</v>
      </c>
      <c r="P311" s="4" t="str">
        <f>IF(Table15678[[#This Row],[Total Amount]]&gt;=1000,"High","Low")</f>
        <v>Low</v>
      </c>
      <c r="Q311" s="4" t="str" cm="1">
        <f t="array" ref="Q311">_xlfn.IFS(AND(Table15678[[#This Row],[Total Amount]]&gt;=1500,"Critical"),AND(Table15678[[#This Row],[Total Amount]]&gt;=1000,"High"),TRUE,"Normal")</f>
        <v>Normal</v>
      </c>
      <c r="R311" s="4" t="str">
        <f>CONCATENATE(Table15678[[#This Row],[Customer ID]], "-",Table15678[[#This Row],[Age]])</f>
        <v>CUST310-28</v>
      </c>
      <c r="S311" s="4" t="str">
        <f>TEXT(Table15678[[#This Row],[Date]],"mmm")</f>
        <v>Oct</v>
      </c>
      <c r="T311" s="4" t="str">
        <f>TEXT(Table15678[[#This Row],[Date]],"DDD")</f>
        <v>Thu</v>
      </c>
    </row>
    <row r="312" spans="1:20" ht="29" x14ac:dyDescent="0.35">
      <c r="A312" s="4">
        <v>311</v>
      </c>
      <c r="B312" s="5">
        <v>45265</v>
      </c>
      <c r="C312" s="4" t="s">
        <v>324</v>
      </c>
      <c r="D312" s="4" t="s">
        <v>13</v>
      </c>
      <c r="E312" s="4">
        <v>32</v>
      </c>
      <c r="F312" s="4" t="str">
        <f>IF(Table15678[[#This Row],[Age]]&lt;=19,"Teenager",IF(Table15678[[#This Row],[Age]]&lt;=40,"Median","Old"))</f>
        <v>Median</v>
      </c>
      <c r="G312" s="4" t="s">
        <v>11</v>
      </c>
      <c r="H312" s="4">
        <v>4</v>
      </c>
      <c r="I312" s="4">
        <v>25</v>
      </c>
      <c r="J312" s="4">
        <v>100</v>
      </c>
      <c r="K312" s="4" t="str" cm="1">
        <f t="array" ref="K312">_xlfn.IFS(AND(Table15678[[#This Row],[Total Amount]]&gt;=1500),"Critical",AND(Table15678[[#This Row],[Total Amount]]&gt;=1000),"High",TRUE,"Normal")</f>
        <v>Normal</v>
      </c>
      <c r="L312" s="4" t="str">
        <f>IF(Table15678[[#This Row],[Total Amount]]&gt;=1000,"High",(IF(Table15678[[#This Row],[Total Amount]]&gt;=500,"Medium","Low")))</f>
        <v>Low</v>
      </c>
      <c r="M312" s="4" t="str" cm="1">
        <f t="array" ref="M31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12" s="4" cm="1">
        <f t="array" ref="N31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312" s="4">
        <f>Table15678[[#This Row],[Total Amount]]-Table15678[[#This Row],[Discount Amount]]</f>
        <v>85</v>
      </c>
      <c r="P312" s="4" t="str">
        <f>IF(Table15678[[#This Row],[Total Amount]]&gt;=1000,"High","Low")</f>
        <v>Low</v>
      </c>
      <c r="Q312" s="4" t="str" cm="1">
        <f t="array" ref="Q312">_xlfn.IFS(AND(Table15678[[#This Row],[Total Amount]]&gt;=1500,"Critical"),AND(Table15678[[#This Row],[Total Amount]]&gt;=1000,"High"),TRUE,"Normal")</f>
        <v>Normal</v>
      </c>
      <c r="R312" s="4" t="str">
        <f>CONCATENATE(Table15678[[#This Row],[Customer ID]], "-",Table15678[[#This Row],[Age]])</f>
        <v>CUST311-32</v>
      </c>
      <c r="S312" s="4" t="str">
        <f>TEXT(Table15678[[#This Row],[Date]],"mmm")</f>
        <v>Dec</v>
      </c>
      <c r="T312" s="4" t="str">
        <f>TEXT(Table15678[[#This Row],[Date]],"DDD")</f>
        <v>Tue</v>
      </c>
    </row>
    <row r="313" spans="1:20" ht="29" x14ac:dyDescent="0.35">
      <c r="A313" s="4">
        <v>312</v>
      </c>
      <c r="B313" s="5">
        <v>45176</v>
      </c>
      <c r="C313" s="4" t="s">
        <v>325</v>
      </c>
      <c r="D313" s="4" t="s">
        <v>10</v>
      </c>
      <c r="E313" s="4">
        <v>41</v>
      </c>
      <c r="F313" s="4" t="str">
        <f>IF(Table15678[[#This Row],[Age]]&lt;=19,"Teenager",IF(Table15678[[#This Row],[Age]]&lt;=40,"Median","Old"))</f>
        <v>Old</v>
      </c>
      <c r="G313" s="4" t="s">
        <v>14</v>
      </c>
      <c r="H313" s="4">
        <v>4</v>
      </c>
      <c r="I313" s="4">
        <v>30</v>
      </c>
      <c r="J313" s="4">
        <v>120</v>
      </c>
      <c r="K313" s="4" t="str" cm="1">
        <f t="array" ref="K313">_xlfn.IFS(AND(Table15678[[#This Row],[Total Amount]]&gt;=1500),"Critical",AND(Table15678[[#This Row],[Total Amount]]&gt;=1000),"High",TRUE,"Normal")</f>
        <v>Normal</v>
      </c>
      <c r="L313" s="4" t="str">
        <f>IF(Table15678[[#This Row],[Total Amount]]&gt;=1000,"High",(IF(Table15678[[#This Row],[Total Amount]]&gt;=500,"Medium","Low")))</f>
        <v>Low</v>
      </c>
      <c r="M313" s="4" t="str" cm="1">
        <f t="array" ref="M31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13" s="4" cm="1">
        <f t="array" ref="N31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313" s="4">
        <f>Table15678[[#This Row],[Total Amount]]-Table15678[[#This Row],[Discount Amount]]</f>
        <v>108</v>
      </c>
      <c r="P313" s="4" t="str">
        <f>IF(Table15678[[#This Row],[Total Amount]]&gt;=1000,"High","Low")</f>
        <v>Low</v>
      </c>
      <c r="Q313" s="4" t="str" cm="1">
        <f t="array" ref="Q313">_xlfn.IFS(AND(Table15678[[#This Row],[Total Amount]]&gt;=1500,"Critical"),AND(Table15678[[#This Row],[Total Amount]]&gt;=1000,"High"),TRUE,"Normal")</f>
        <v>Normal</v>
      </c>
      <c r="R313" s="4" t="str">
        <f>CONCATENATE(Table15678[[#This Row],[Customer ID]], "-",Table15678[[#This Row],[Age]])</f>
        <v>CUST312-41</v>
      </c>
      <c r="S313" s="4" t="str">
        <f>TEXT(Table15678[[#This Row],[Date]],"mmm")</f>
        <v>Sep</v>
      </c>
      <c r="T313" s="4" t="str">
        <f>TEXT(Table15678[[#This Row],[Date]],"DDD")</f>
        <v>Thu</v>
      </c>
    </row>
    <row r="314" spans="1:20" ht="29" x14ac:dyDescent="0.35">
      <c r="A314" s="4">
        <v>313</v>
      </c>
      <c r="B314" s="5">
        <v>45006</v>
      </c>
      <c r="C314" s="4" t="s">
        <v>326</v>
      </c>
      <c r="D314" s="4" t="s">
        <v>13</v>
      </c>
      <c r="E314" s="4">
        <v>55</v>
      </c>
      <c r="F314" s="4" t="str">
        <f>IF(Table15678[[#This Row],[Age]]&lt;=19,"Teenager",IF(Table15678[[#This Row],[Age]]&lt;=40,"Median","Old"))</f>
        <v>Old</v>
      </c>
      <c r="G314" s="4" t="s">
        <v>11</v>
      </c>
      <c r="H314" s="4">
        <v>3</v>
      </c>
      <c r="I314" s="4">
        <v>500</v>
      </c>
      <c r="J314" s="4">
        <v>1500</v>
      </c>
      <c r="K314" s="4" t="str" cm="1">
        <f t="array" ref="K314">_xlfn.IFS(AND(Table15678[[#This Row],[Total Amount]]&gt;=1500),"Critical",AND(Table15678[[#This Row],[Total Amount]]&gt;=1000),"High",TRUE,"Normal")</f>
        <v>Critical</v>
      </c>
      <c r="L314" s="4" t="str">
        <f>IF(Table15678[[#This Row],[Total Amount]]&gt;=1000,"High",(IF(Table15678[[#This Row],[Total Amount]]&gt;=500,"Medium","Low")))</f>
        <v>High</v>
      </c>
      <c r="M314" s="4" t="str" cm="1">
        <f t="array" ref="M31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14" s="4" cm="1">
        <f t="array" ref="N31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314" s="4">
        <f>Table15678[[#This Row],[Total Amount]]-Table15678[[#This Row],[Discount Amount]]</f>
        <v>1200</v>
      </c>
      <c r="P314" s="4" t="str">
        <f>IF(Table15678[[#This Row],[Total Amount]]&gt;=1000,"High","Low")</f>
        <v>High</v>
      </c>
      <c r="Q314" s="4" t="b" cm="1">
        <f t="array" ref="Q314">_xlfn.IFS(AND(Table15678[[#This Row],[Total Amount]]&gt;=1500,"Critical"),AND(Table15678[[#This Row],[Total Amount]]&gt;=1000,"High"),TRUE,"Normal")</f>
        <v>1</v>
      </c>
      <c r="R314" s="4" t="str">
        <f>CONCATENATE(Table15678[[#This Row],[Customer ID]], "-",Table15678[[#This Row],[Age]])</f>
        <v>CUST313-55</v>
      </c>
      <c r="S314" s="4" t="str">
        <f>TEXT(Table15678[[#This Row],[Date]],"mmm")</f>
        <v>Mar</v>
      </c>
      <c r="T314" s="4" t="str">
        <f>TEXT(Table15678[[#This Row],[Date]],"DDD")</f>
        <v>Tue</v>
      </c>
    </row>
    <row r="315" spans="1:20" ht="29" x14ac:dyDescent="0.35">
      <c r="A315" s="4">
        <v>314</v>
      </c>
      <c r="B315" s="5">
        <v>45024</v>
      </c>
      <c r="C315" s="4" t="s">
        <v>327</v>
      </c>
      <c r="D315" s="4" t="s">
        <v>10</v>
      </c>
      <c r="E315" s="4">
        <v>52</v>
      </c>
      <c r="F315" s="4" t="str">
        <f>IF(Table15678[[#This Row],[Age]]&lt;=19,"Teenager",IF(Table15678[[#This Row],[Age]]&lt;=40,"Median","Old"))</f>
        <v>Old</v>
      </c>
      <c r="G315" s="4" t="s">
        <v>14</v>
      </c>
      <c r="H315" s="4">
        <v>4</v>
      </c>
      <c r="I315" s="4">
        <v>30</v>
      </c>
      <c r="J315" s="4">
        <v>120</v>
      </c>
      <c r="K315" s="4" t="str" cm="1">
        <f t="array" ref="K315">_xlfn.IFS(AND(Table15678[[#This Row],[Total Amount]]&gt;=1500),"Critical",AND(Table15678[[#This Row],[Total Amount]]&gt;=1000),"High",TRUE,"Normal")</f>
        <v>Normal</v>
      </c>
      <c r="L315" s="4" t="str">
        <f>IF(Table15678[[#This Row],[Total Amount]]&gt;=1000,"High",(IF(Table15678[[#This Row],[Total Amount]]&gt;=500,"Medium","Low")))</f>
        <v>Low</v>
      </c>
      <c r="M315" s="4" t="str" cm="1">
        <f t="array" ref="M31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15" s="4" cm="1">
        <f t="array" ref="N31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315" s="4">
        <f>Table15678[[#This Row],[Total Amount]]-Table15678[[#This Row],[Discount Amount]]</f>
        <v>108</v>
      </c>
      <c r="P315" s="4" t="str">
        <f>IF(Table15678[[#This Row],[Total Amount]]&gt;=1000,"High","Low")</f>
        <v>Low</v>
      </c>
      <c r="Q315" s="4" t="str" cm="1">
        <f t="array" ref="Q315">_xlfn.IFS(AND(Table15678[[#This Row],[Total Amount]]&gt;=1500,"Critical"),AND(Table15678[[#This Row],[Total Amount]]&gt;=1000,"High"),TRUE,"Normal")</f>
        <v>Normal</v>
      </c>
      <c r="R315" s="4" t="str">
        <f>CONCATENATE(Table15678[[#This Row],[Customer ID]], "-",Table15678[[#This Row],[Age]])</f>
        <v>CUST314-52</v>
      </c>
      <c r="S315" s="4" t="str">
        <f>TEXT(Table15678[[#This Row],[Date]],"mmm")</f>
        <v>Apr</v>
      </c>
      <c r="T315" s="4" t="str">
        <f>TEXT(Table15678[[#This Row],[Date]],"DDD")</f>
        <v>Sat</v>
      </c>
    </row>
    <row r="316" spans="1:20" ht="29" x14ac:dyDescent="0.35">
      <c r="A316" s="4">
        <v>315</v>
      </c>
      <c r="B316" s="5">
        <v>45078</v>
      </c>
      <c r="C316" s="4" t="s">
        <v>328</v>
      </c>
      <c r="D316" s="4" t="s">
        <v>10</v>
      </c>
      <c r="E316" s="4">
        <v>47</v>
      </c>
      <c r="F316" s="4" t="str">
        <f>IF(Table15678[[#This Row],[Age]]&lt;=19,"Teenager",IF(Table15678[[#This Row],[Age]]&lt;=40,"Median","Old"))</f>
        <v>Old</v>
      </c>
      <c r="G316" s="4" t="s">
        <v>14</v>
      </c>
      <c r="H316" s="4">
        <v>2</v>
      </c>
      <c r="I316" s="4">
        <v>30</v>
      </c>
      <c r="J316" s="4">
        <v>60</v>
      </c>
      <c r="K316" s="4" t="str" cm="1">
        <f t="array" ref="K316">_xlfn.IFS(AND(Table15678[[#This Row],[Total Amount]]&gt;=1500),"Critical",AND(Table15678[[#This Row],[Total Amount]]&gt;=1000),"High",TRUE,"Normal")</f>
        <v>Normal</v>
      </c>
      <c r="L316" s="4" t="str">
        <f>IF(Table15678[[#This Row],[Total Amount]]&gt;=1000,"High",(IF(Table15678[[#This Row],[Total Amount]]&gt;=500,"Medium","Low")))</f>
        <v>Low</v>
      </c>
      <c r="M316" s="4" t="str" cm="1">
        <f t="array" ref="M31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16" s="4" cm="1">
        <f t="array" ref="N31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316" s="4">
        <f>Table15678[[#This Row],[Total Amount]]-Table15678[[#This Row],[Discount Amount]]</f>
        <v>54</v>
      </c>
      <c r="P316" s="4" t="str">
        <f>IF(Table15678[[#This Row],[Total Amount]]&gt;=1000,"High","Low")</f>
        <v>Low</v>
      </c>
      <c r="Q316" s="4" t="str" cm="1">
        <f t="array" ref="Q316">_xlfn.IFS(AND(Table15678[[#This Row],[Total Amount]]&gt;=1500,"Critical"),AND(Table15678[[#This Row],[Total Amount]]&gt;=1000,"High"),TRUE,"Normal")</f>
        <v>Normal</v>
      </c>
      <c r="R316" s="4" t="str">
        <f>CONCATENATE(Table15678[[#This Row],[Customer ID]], "-",Table15678[[#This Row],[Age]])</f>
        <v>CUST315-47</v>
      </c>
      <c r="S316" s="4" t="str">
        <f>TEXT(Table15678[[#This Row],[Date]],"mmm")</f>
        <v>Jun</v>
      </c>
      <c r="T316" s="4" t="str">
        <f>TEXT(Table15678[[#This Row],[Date]],"DDD")</f>
        <v>Thu</v>
      </c>
    </row>
    <row r="317" spans="1:20" ht="29" x14ac:dyDescent="0.35">
      <c r="A317" s="4">
        <v>316</v>
      </c>
      <c r="B317" s="5">
        <v>45038</v>
      </c>
      <c r="C317" s="4" t="s">
        <v>329</v>
      </c>
      <c r="D317" s="4" t="s">
        <v>13</v>
      </c>
      <c r="E317" s="4">
        <v>48</v>
      </c>
      <c r="F317" s="4" t="str">
        <f>IF(Table15678[[#This Row],[Age]]&lt;=19,"Teenager",IF(Table15678[[#This Row],[Age]]&lt;=40,"Median","Old"))</f>
        <v>Old</v>
      </c>
      <c r="G317" s="4" t="s">
        <v>14</v>
      </c>
      <c r="H317" s="4">
        <v>2</v>
      </c>
      <c r="I317" s="4">
        <v>25</v>
      </c>
      <c r="J317" s="4">
        <v>50</v>
      </c>
      <c r="K317" s="4" t="str" cm="1">
        <f t="array" ref="K317">_xlfn.IFS(AND(Table15678[[#This Row],[Total Amount]]&gt;=1500),"Critical",AND(Table15678[[#This Row],[Total Amount]]&gt;=1000),"High",TRUE,"Normal")</f>
        <v>Normal</v>
      </c>
      <c r="L317" s="4" t="str">
        <f>IF(Table15678[[#This Row],[Total Amount]]&gt;=1000,"High",(IF(Table15678[[#This Row],[Total Amount]]&gt;=500,"Medium","Low")))</f>
        <v>Low</v>
      </c>
      <c r="M317" s="4" t="str" cm="1">
        <f t="array" ref="M31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17" s="4" cm="1">
        <f t="array" ref="N31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317" s="4">
        <f>Table15678[[#This Row],[Total Amount]]-Table15678[[#This Row],[Discount Amount]]</f>
        <v>40</v>
      </c>
      <c r="P317" s="4" t="str">
        <f>IF(Table15678[[#This Row],[Total Amount]]&gt;=1000,"High","Low")</f>
        <v>Low</v>
      </c>
      <c r="Q317" s="4" t="str" cm="1">
        <f t="array" ref="Q317">_xlfn.IFS(AND(Table15678[[#This Row],[Total Amount]]&gt;=1500,"Critical"),AND(Table15678[[#This Row],[Total Amount]]&gt;=1000,"High"),TRUE,"Normal")</f>
        <v>Normal</v>
      </c>
      <c r="R317" s="4" t="str">
        <f>CONCATENATE(Table15678[[#This Row],[Customer ID]], "-",Table15678[[#This Row],[Age]])</f>
        <v>CUST316-48</v>
      </c>
      <c r="S317" s="4" t="str">
        <f>TEXT(Table15678[[#This Row],[Date]],"mmm")</f>
        <v>Apr</v>
      </c>
      <c r="T317" s="4" t="str">
        <f>TEXT(Table15678[[#This Row],[Date]],"DDD")</f>
        <v>Sat</v>
      </c>
    </row>
    <row r="318" spans="1:20" ht="29" x14ac:dyDescent="0.35">
      <c r="A318" s="4">
        <v>317</v>
      </c>
      <c r="B318" s="5">
        <v>44956</v>
      </c>
      <c r="C318" s="4" t="s">
        <v>330</v>
      </c>
      <c r="D318" s="4" t="s">
        <v>10</v>
      </c>
      <c r="E318" s="4">
        <v>22</v>
      </c>
      <c r="F318" s="4" t="str">
        <f>IF(Table15678[[#This Row],[Age]]&lt;=19,"Teenager",IF(Table15678[[#This Row],[Age]]&lt;=40,"Median","Old"))</f>
        <v>Median</v>
      </c>
      <c r="G318" s="4" t="s">
        <v>16</v>
      </c>
      <c r="H318" s="4">
        <v>3</v>
      </c>
      <c r="I318" s="4">
        <v>30</v>
      </c>
      <c r="J318" s="4">
        <v>90</v>
      </c>
      <c r="K318" s="4" t="str" cm="1">
        <f t="array" ref="K318">_xlfn.IFS(AND(Table15678[[#This Row],[Total Amount]]&gt;=1500),"Critical",AND(Table15678[[#This Row],[Total Amount]]&gt;=1000),"High",TRUE,"Normal")</f>
        <v>Normal</v>
      </c>
      <c r="L318" s="4" t="str">
        <f>IF(Table15678[[#This Row],[Total Amount]]&gt;=1000,"High",(IF(Table15678[[#This Row],[Total Amount]]&gt;=500,"Medium","Low")))</f>
        <v>Low</v>
      </c>
      <c r="M318" s="4" t="str" cm="1">
        <f t="array" ref="M31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318" s="4" cm="1">
        <f t="array" ref="N31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318" s="4">
        <f>Table15678[[#This Row],[Total Amount]]-Table15678[[#This Row],[Discount Amount]]</f>
        <v>90</v>
      </c>
      <c r="P318" s="4" t="str">
        <f>IF(Table15678[[#This Row],[Total Amount]]&gt;=1000,"High","Low")</f>
        <v>Low</v>
      </c>
      <c r="Q318" s="4" t="str" cm="1">
        <f t="array" ref="Q318">_xlfn.IFS(AND(Table15678[[#This Row],[Total Amount]]&gt;=1500,"Critical"),AND(Table15678[[#This Row],[Total Amount]]&gt;=1000,"High"),TRUE,"Normal")</f>
        <v>Normal</v>
      </c>
      <c r="R318" s="4" t="str">
        <f>CONCATENATE(Table15678[[#This Row],[Customer ID]], "-",Table15678[[#This Row],[Age]])</f>
        <v>CUST317-22</v>
      </c>
      <c r="S318" s="4" t="str">
        <f>TEXT(Table15678[[#This Row],[Date]],"mmm")</f>
        <v>Jan</v>
      </c>
      <c r="T318" s="4" t="str">
        <f>TEXT(Table15678[[#This Row],[Date]],"DDD")</f>
        <v>Mon</v>
      </c>
    </row>
    <row r="319" spans="1:20" ht="29" x14ac:dyDescent="0.35">
      <c r="A319" s="4">
        <v>318</v>
      </c>
      <c r="B319" s="5">
        <v>45223</v>
      </c>
      <c r="C319" s="4" t="s">
        <v>331</v>
      </c>
      <c r="D319" s="4" t="s">
        <v>10</v>
      </c>
      <c r="E319" s="4">
        <v>61</v>
      </c>
      <c r="F319" s="4" t="str">
        <f>IF(Table15678[[#This Row],[Age]]&lt;=19,"Teenager",IF(Table15678[[#This Row],[Age]]&lt;=40,"Median","Old"))</f>
        <v>Old</v>
      </c>
      <c r="G319" s="4" t="s">
        <v>14</v>
      </c>
      <c r="H319" s="4">
        <v>1</v>
      </c>
      <c r="I319" s="4">
        <v>25</v>
      </c>
      <c r="J319" s="4">
        <v>25</v>
      </c>
      <c r="K319" s="4" t="str" cm="1">
        <f t="array" ref="K319">_xlfn.IFS(AND(Table15678[[#This Row],[Total Amount]]&gt;=1500),"Critical",AND(Table15678[[#This Row],[Total Amount]]&gt;=1000),"High",TRUE,"Normal")</f>
        <v>Normal</v>
      </c>
      <c r="L319" s="4" t="str">
        <f>IF(Table15678[[#This Row],[Total Amount]]&gt;=1000,"High",(IF(Table15678[[#This Row],[Total Amount]]&gt;=500,"Medium","Low")))</f>
        <v>Low</v>
      </c>
      <c r="M319" s="4" t="str" cm="1">
        <f t="array" ref="M31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19" s="4" cm="1">
        <f t="array" ref="N31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2.5</v>
      </c>
      <c r="O319" s="4">
        <f>Table15678[[#This Row],[Total Amount]]-Table15678[[#This Row],[Discount Amount]]</f>
        <v>22.5</v>
      </c>
      <c r="P319" s="4" t="str">
        <f>IF(Table15678[[#This Row],[Total Amount]]&gt;=1000,"High","Low")</f>
        <v>Low</v>
      </c>
      <c r="Q319" s="4" t="str" cm="1">
        <f t="array" ref="Q319">_xlfn.IFS(AND(Table15678[[#This Row],[Total Amount]]&gt;=1500,"Critical"),AND(Table15678[[#This Row],[Total Amount]]&gt;=1000,"High"),TRUE,"Normal")</f>
        <v>Normal</v>
      </c>
      <c r="R319" s="4" t="str">
        <f>CONCATENATE(Table15678[[#This Row],[Customer ID]], "-",Table15678[[#This Row],[Age]])</f>
        <v>CUST318-61</v>
      </c>
      <c r="S319" s="4" t="str">
        <f>TEXT(Table15678[[#This Row],[Date]],"mmm")</f>
        <v>Oct</v>
      </c>
      <c r="T319" s="4" t="str">
        <f>TEXT(Table15678[[#This Row],[Date]],"DDD")</f>
        <v>Tue</v>
      </c>
    </row>
    <row r="320" spans="1:20" ht="29" x14ac:dyDescent="0.35">
      <c r="A320" s="4">
        <v>319</v>
      </c>
      <c r="B320" s="5">
        <v>45204</v>
      </c>
      <c r="C320" s="4" t="s">
        <v>332</v>
      </c>
      <c r="D320" s="4" t="s">
        <v>10</v>
      </c>
      <c r="E320" s="4">
        <v>31</v>
      </c>
      <c r="F320" s="4" t="str">
        <f>IF(Table15678[[#This Row],[Age]]&lt;=19,"Teenager",IF(Table15678[[#This Row],[Age]]&lt;=40,"Median","Old"))</f>
        <v>Median</v>
      </c>
      <c r="G320" s="4" t="s">
        <v>14</v>
      </c>
      <c r="H320" s="4">
        <v>1</v>
      </c>
      <c r="I320" s="4">
        <v>500</v>
      </c>
      <c r="J320" s="4">
        <v>500</v>
      </c>
      <c r="K320" s="4" t="str" cm="1">
        <f t="array" ref="K320">_xlfn.IFS(AND(Table15678[[#This Row],[Total Amount]]&gt;=1500),"Critical",AND(Table15678[[#This Row],[Total Amount]]&gt;=1000),"High",TRUE,"Normal")</f>
        <v>Normal</v>
      </c>
      <c r="L320" s="4" t="str">
        <f>IF(Table15678[[#This Row],[Total Amount]]&gt;=1000,"High",(IF(Table15678[[#This Row],[Total Amount]]&gt;=500,"Medium","Low")))</f>
        <v>Medium</v>
      </c>
      <c r="M320" s="4" t="str" cm="1">
        <f t="array" ref="M32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20" s="4" cm="1">
        <f t="array" ref="N32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75</v>
      </c>
      <c r="O320" s="4">
        <f>Table15678[[#This Row],[Total Amount]]-Table15678[[#This Row],[Discount Amount]]</f>
        <v>425</v>
      </c>
      <c r="P320" s="4" t="str">
        <f>IF(Table15678[[#This Row],[Total Amount]]&gt;=1000,"High","Low")</f>
        <v>Low</v>
      </c>
      <c r="Q320" s="4" t="str" cm="1">
        <f t="array" ref="Q320">_xlfn.IFS(AND(Table15678[[#This Row],[Total Amount]]&gt;=1500,"Critical"),AND(Table15678[[#This Row],[Total Amount]]&gt;=1000,"High"),TRUE,"Normal")</f>
        <v>Normal</v>
      </c>
      <c r="R320" s="4" t="str">
        <f>CONCATENATE(Table15678[[#This Row],[Customer ID]], "-",Table15678[[#This Row],[Age]])</f>
        <v>CUST319-31</v>
      </c>
      <c r="S320" s="4" t="str">
        <f>TEXT(Table15678[[#This Row],[Date]],"mmm")</f>
        <v>Oct</v>
      </c>
      <c r="T320" s="4" t="str">
        <f>TEXT(Table15678[[#This Row],[Date]],"DDD")</f>
        <v>Thu</v>
      </c>
    </row>
    <row r="321" spans="1:20" ht="29" x14ac:dyDescent="0.35">
      <c r="A321" s="4">
        <v>320</v>
      </c>
      <c r="B321" s="5">
        <v>44958</v>
      </c>
      <c r="C321" s="4" t="s">
        <v>333</v>
      </c>
      <c r="D321" s="4" t="s">
        <v>13</v>
      </c>
      <c r="E321" s="4">
        <v>28</v>
      </c>
      <c r="F321" s="4" t="str">
        <f>IF(Table15678[[#This Row],[Age]]&lt;=19,"Teenager",IF(Table15678[[#This Row],[Age]]&lt;=40,"Median","Old"))</f>
        <v>Median</v>
      </c>
      <c r="G321" s="4" t="s">
        <v>16</v>
      </c>
      <c r="H321" s="4">
        <v>4</v>
      </c>
      <c r="I321" s="4">
        <v>300</v>
      </c>
      <c r="J321" s="4">
        <v>1200</v>
      </c>
      <c r="K321" s="4" t="str" cm="1">
        <f t="array" ref="K321">_xlfn.IFS(AND(Table15678[[#This Row],[Total Amount]]&gt;=1500),"Critical",AND(Table15678[[#This Row],[Total Amount]]&gt;=1000),"High",TRUE,"Normal")</f>
        <v>High</v>
      </c>
      <c r="L321" s="4" t="str">
        <f>IF(Table15678[[#This Row],[Total Amount]]&gt;=1000,"High",(IF(Table15678[[#This Row],[Total Amount]]&gt;=500,"Medium","Low")))</f>
        <v>High</v>
      </c>
      <c r="M321" s="4" t="str" cm="1">
        <f t="array" ref="M32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21" s="4" cm="1">
        <f t="array" ref="N32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321" s="4">
        <f>Table15678[[#This Row],[Total Amount]]-Table15678[[#This Row],[Discount Amount]]</f>
        <v>1020</v>
      </c>
      <c r="P321" s="4" t="str">
        <f>IF(Table15678[[#This Row],[Total Amount]]&gt;=1000,"High","Low")</f>
        <v>High</v>
      </c>
      <c r="Q321" s="4" t="str" cm="1">
        <f t="array" ref="Q321">_xlfn.IFS(AND(Table15678[[#This Row],[Total Amount]]&gt;=1500,"Critical"),AND(Table15678[[#This Row],[Total Amount]]&gt;=1000,"High"),TRUE,"Normal")</f>
        <v>Normal</v>
      </c>
      <c r="R321" s="4" t="str">
        <f>CONCATENATE(Table15678[[#This Row],[Customer ID]], "-",Table15678[[#This Row],[Age]])</f>
        <v>CUST320-28</v>
      </c>
      <c r="S321" s="4" t="str">
        <f>TEXT(Table15678[[#This Row],[Date]],"mmm")</f>
        <v>Feb</v>
      </c>
      <c r="T321" s="4" t="str">
        <f>TEXT(Table15678[[#This Row],[Date]],"DDD")</f>
        <v>Wed</v>
      </c>
    </row>
    <row r="322" spans="1:20" ht="29" x14ac:dyDescent="0.35">
      <c r="A322" s="4">
        <v>321</v>
      </c>
      <c r="B322" s="5">
        <v>45087</v>
      </c>
      <c r="C322" s="4" t="s">
        <v>334</v>
      </c>
      <c r="D322" s="4" t="s">
        <v>13</v>
      </c>
      <c r="E322" s="4">
        <v>26</v>
      </c>
      <c r="F322" s="4" t="str">
        <f>IF(Table15678[[#This Row],[Age]]&lt;=19,"Teenager",IF(Table15678[[#This Row],[Age]]&lt;=40,"Median","Old"))</f>
        <v>Median</v>
      </c>
      <c r="G322" s="4" t="s">
        <v>16</v>
      </c>
      <c r="H322" s="4">
        <v>2</v>
      </c>
      <c r="I322" s="4">
        <v>25</v>
      </c>
      <c r="J322" s="4">
        <v>50</v>
      </c>
      <c r="K322" s="4" t="str" cm="1">
        <f t="array" ref="K322">_xlfn.IFS(AND(Table15678[[#This Row],[Total Amount]]&gt;=1500),"Critical",AND(Table15678[[#This Row],[Total Amount]]&gt;=1000),"High",TRUE,"Normal")</f>
        <v>Normal</v>
      </c>
      <c r="L322" s="4" t="str">
        <f>IF(Table15678[[#This Row],[Total Amount]]&gt;=1000,"High",(IF(Table15678[[#This Row],[Total Amount]]&gt;=500,"Medium","Low")))</f>
        <v>Low</v>
      </c>
      <c r="M322" s="4" t="str" cm="1">
        <f t="array" ref="M32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22" s="4" cm="1">
        <f t="array" ref="N32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322" s="4">
        <f>Table15678[[#This Row],[Total Amount]]-Table15678[[#This Row],[Discount Amount]]</f>
        <v>42.5</v>
      </c>
      <c r="P322" s="4" t="str">
        <f>IF(Table15678[[#This Row],[Total Amount]]&gt;=1000,"High","Low")</f>
        <v>Low</v>
      </c>
      <c r="Q322" s="4" t="str" cm="1">
        <f t="array" ref="Q322">_xlfn.IFS(AND(Table15678[[#This Row],[Total Amount]]&gt;=1500,"Critical"),AND(Table15678[[#This Row],[Total Amount]]&gt;=1000,"High"),TRUE,"Normal")</f>
        <v>Normal</v>
      </c>
      <c r="R322" s="4" t="str">
        <f>CONCATENATE(Table15678[[#This Row],[Customer ID]], "-",Table15678[[#This Row],[Age]])</f>
        <v>CUST321-26</v>
      </c>
      <c r="S322" s="4" t="str">
        <f>TEXT(Table15678[[#This Row],[Date]],"mmm")</f>
        <v>Jun</v>
      </c>
      <c r="T322" s="4" t="str">
        <f>TEXT(Table15678[[#This Row],[Date]],"DDD")</f>
        <v>Sat</v>
      </c>
    </row>
    <row r="323" spans="1:20" ht="29" x14ac:dyDescent="0.35">
      <c r="A323" s="4">
        <v>322</v>
      </c>
      <c r="B323" s="5">
        <v>44956</v>
      </c>
      <c r="C323" s="4" t="s">
        <v>335</v>
      </c>
      <c r="D323" s="4" t="s">
        <v>10</v>
      </c>
      <c r="E323" s="4">
        <v>51</v>
      </c>
      <c r="F323" s="4" t="str">
        <f>IF(Table15678[[#This Row],[Age]]&lt;=19,"Teenager",IF(Table15678[[#This Row],[Age]]&lt;=40,"Median","Old"))</f>
        <v>Old</v>
      </c>
      <c r="G323" s="4" t="s">
        <v>16</v>
      </c>
      <c r="H323" s="4">
        <v>1</v>
      </c>
      <c r="I323" s="4">
        <v>500</v>
      </c>
      <c r="J323" s="4">
        <v>500</v>
      </c>
      <c r="K323" s="4" t="str" cm="1">
        <f t="array" ref="K323">_xlfn.IFS(AND(Table15678[[#This Row],[Total Amount]]&gt;=1500),"Critical",AND(Table15678[[#This Row],[Total Amount]]&gt;=1000),"High",TRUE,"Normal")</f>
        <v>Normal</v>
      </c>
      <c r="L323" s="4" t="str">
        <f>IF(Table15678[[#This Row],[Total Amount]]&gt;=1000,"High",(IF(Table15678[[#This Row],[Total Amount]]&gt;=500,"Medium","Low")))</f>
        <v>Medium</v>
      </c>
      <c r="M323" s="4" t="str" cm="1">
        <f t="array" ref="M32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23" s="4" cm="1">
        <f t="array" ref="N32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50</v>
      </c>
      <c r="O323" s="4">
        <f>Table15678[[#This Row],[Total Amount]]-Table15678[[#This Row],[Discount Amount]]</f>
        <v>450</v>
      </c>
      <c r="P323" s="4" t="str">
        <f>IF(Table15678[[#This Row],[Total Amount]]&gt;=1000,"High","Low")</f>
        <v>Low</v>
      </c>
      <c r="Q323" s="4" t="str" cm="1">
        <f t="array" ref="Q323">_xlfn.IFS(AND(Table15678[[#This Row],[Total Amount]]&gt;=1500,"Critical"),AND(Table15678[[#This Row],[Total Amount]]&gt;=1000,"High"),TRUE,"Normal")</f>
        <v>Normal</v>
      </c>
      <c r="R323" s="4" t="str">
        <f>CONCATENATE(Table15678[[#This Row],[Customer ID]], "-",Table15678[[#This Row],[Age]])</f>
        <v>CUST322-51</v>
      </c>
      <c r="S323" s="4" t="str">
        <f>TEXT(Table15678[[#This Row],[Date]],"mmm")</f>
        <v>Jan</v>
      </c>
      <c r="T323" s="4" t="str">
        <f>TEXT(Table15678[[#This Row],[Date]],"DDD")</f>
        <v>Mon</v>
      </c>
    </row>
    <row r="324" spans="1:20" ht="29" x14ac:dyDescent="0.35">
      <c r="A324" s="4">
        <v>323</v>
      </c>
      <c r="B324" s="5">
        <v>44952</v>
      </c>
      <c r="C324" s="4" t="s">
        <v>336</v>
      </c>
      <c r="D324" s="4" t="s">
        <v>13</v>
      </c>
      <c r="E324" s="4">
        <v>29</v>
      </c>
      <c r="F324" s="4" t="str">
        <f>IF(Table15678[[#This Row],[Age]]&lt;=19,"Teenager",IF(Table15678[[#This Row],[Age]]&lt;=40,"Median","Old"))</f>
        <v>Median</v>
      </c>
      <c r="G324" s="4" t="s">
        <v>11</v>
      </c>
      <c r="H324" s="4">
        <v>3</v>
      </c>
      <c r="I324" s="4">
        <v>300</v>
      </c>
      <c r="J324" s="4">
        <v>900</v>
      </c>
      <c r="K324" s="4" t="str" cm="1">
        <f t="array" ref="K324">_xlfn.IFS(AND(Table15678[[#This Row],[Total Amount]]&gt;=1500),"Critical",AND(Table15678[[#This Row],[Total Amount]]&gt;=1000),"High",TRUE,"Normal")</f>
        <v>Normal</v>
      </c>
      <c r="L324" s="4" t="str">
        <f>IF(Table15678[[#This Row],[Total Amount]]&gt;=1000,"High",(IF(Table15678[[#This Row],[Total Amount]]&gt;=500,"Medium","Low")))</f>
        <v>Medium</v>
      </c>
      <c r="M324" s="4" t="str" cm="1">
        <f t="array" ref="M32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24" s="4" cm="1">
        <f t="array" ref="N32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135</v>
      </c>
      <c r="O324" s="4">
        <f>Table15678[[#This Row],[Total Amount]]-Table15678[[#This Row],[Discount Amount]]</f>
        <v>765</v>
      </c>
      <c r="P324" s="4" t="str">
        <f>IF(Table15678[[#This Row],[Total Amount]]&gt;=1000,"High","Low")</f>
        <v>Low</v>
      </c>
      <c r="Q324" s="4" t="str" cm="1">
        <f t="array" ref="Q324">_xlfn.IFS(AND(Table15678[[#This Row],[Total Amount]]&gt;=1500,"Critical"),AND(Table15678[[#This Row],[Total Amount]]&gt;=1000,"High"),TRUE,"Normal")</f>
        <v>Normal</v>
      </c>
      <c r="R324" s="4" t="str">
        <f>CONCATENATE(Table15678[[#This Row],[Customer ID]], "-",Table15678[[#This Row],[Age]])</f>
        <v>CUST323-29</v>
      </c>
      <c r="S324" s="4" t="str">
        <f>TEXT(Table15678[[#This Row],[Date]],"mmm")</f>
        <v>Jan</v>
      </c>
      <c r="T324" s="4" t="str">
        <f>TEXT(Table15678[[#This Row],[Date]],"DDD")</f>
        <v>Thu</v>
      </c>
    </row>
    <row r="325" spans="1:20" ht="29" x14ac:dyDescent="0.35">
      <c r="A325" s="4">
        <v>324</v>
      </c>
      <c r="B325" s="5">
        <v>45226</v>
      </c>
      <c r="C325" s="4" t="s">
        <v>337</v>
      </c>
      <c r="D325" s="4" t="s">
        <v>13</v>
      </c>
      <c r="E325" s="4">
        <v>52</v>
      </c>
      <c r="F325" s="4" t="str">
        <f>IF(Table15678[[#This Row],[Age]]&lt;=19,"Teenager",IF(Table15678[[#This Row],[Age]]&lt;=40,"Median","Old"))</f>
        <v>Old</v>
      </c>
      <c r="G325" s="4" t="s">
        <v>16</v>
      </c>
      <c r="H325" s="4">
        <v>3</v>
      </c>
      <c r="I325" s="4">
        <v>50</v>
      </c>
      <c r="J325" s="4">
        <v>150</v>
      </c>
      <c r="K325" s="4" t="str" cm="1">
        <f t="array" ref="K325">_xlfn.IFS(AND(Table15678[[#This Row],[Total Amount]]&gt;=1500),"Critical",AND(Table15678[[#This Row],[Total Amount]]&gt;=1000),"High",TRUE,"Normal")</f>
        <v>Normal</v>
      </c>
      <c r="L325" s="4" t="str">
        <f>IF(Table15678[[#This Row],[Total Amount]]&gt;=1000,"High",(IF(Table15678[[#This Row],[Total Amount]]&gt;=500,"Medium","Low")))</f>
        <v>Low</v>
      </c>
      <c r="M325" s="4" t="str" cm="1">
        <f t="array" ref="M32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25" s="4" cm="1">
        <f t="array" ref="N32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325" s="4">
        <f>Table15678[[#This Row],[Total Amount]]-Table15678[[#This Row],[Discount Amount]]</f>
        <v>120</v>
      </c>
      <c r="P325" s="4" t="str">
        <f>IF(Table15678[[#This Row],[Total Amount]]&gt;=1000,"High","Low")</f>
        <v>Low</v>
      </c>
      <c r="Q325" s="4" t="str" cm="1">
        <f t="array" ref="Q325">_xlfn.IFS(AND(Table15678[[#This Row],[Total Amount]]&gt;=1500,"Critical"),AND(Table15678[[#This Row],[Total Amount]]&gt;=1000,"High"),TRUE,"Normal")</f>
        <v>Normal</v>
      </c>
      <c r="R325" s="4" t="str">
        <f>CONCATENATE(Table15678[[#This Row],[Customer ID]], "-",Table15678[[#This Row],[Age]])</f>
        <v>CUST324-52</v>
      </c>
      <c r="S325" s="4" t="str">
        <f>TEXT(Table15678[[#This Row],[Date]],"mmm")</f>
        <v>Oct</v>
      </c>
      <c r="T325" s="4" t="str">
        <f>TEXT(Table15678[[#This Row],[Date]],"DDD")</f>
        <v>Fri</v>
      </c>
    </row>
    <row r="326" spans="1:20" ht="29" x14ac:dyDescent="0.35">
      <c r="A326" s="4">
        <v>325</v>
      </c>
      <c r="B326" s="5">
        <v>45171</v>
      </c>
      <c r="C326" s="4" t="s">
        <v>338</v>
      </c>
      <c r="D326" s="4" t="s">
        <v>13</v>
      </c>
      <c r="E326" s="4">
        <v>52</v>
      </c>
      <c r="F326" s="4" t="str">
        <f>IF(Table15678[[#This Row],[Age]]&lt;=19,"Teenager",IF(Table15678[[#This Row],[Age]]&lt;=40,"Median","Old"))</f>
        <v>Old</v>
      </c>
      <c r="G326" s="4" t="s">
        <v>16</v>
      </c>
      <c r="H326" s="4">
        <v>2</v>
      </c>
      <c r="I326" s="4">
        <v>25</v>
      </c>
      <c r="J326" s="4">
        <v>50</v>
      </c>
      <c r="K326" s="4" t="str" cm="1">
        <f t="array" ref="K326">_xlfn.IFS(AND(Table15678[[#This Row],[Total Amount]]&gt;=1500),"Critical",AND(Table15678[[#This Row],[Total Amount]]&gt;=1000),"High",TRUE,"Normal")</f>
        <v>Normal</v>
      </c>
      <c r="L326" s="4" t="str">
        <f>IF(Table15678[[#This Row],[Total Amount]]&gt;=1000,"High",(IF(Table15678[[#This Row],[Total Amount]]&gt;=500,"Medium","Low")))</f>
        <v>Low</v>
      </c>
      <c r="M326" s="4" t="str" cm="1">
        <f t="array" ref="M32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26" s="4" cm="1">
        <f t="array" ref="N32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326" s="4">
        <f>Table15678[[#This Row],[Total Amount]]-Table15678[[#This Row],[Discount Amount]]</f>
        <v>40</v>
      </c>
      <c r="P326" s="4" t="str">
        <f>IF(Table15678[[#This Row],[Total Amount]]&gt;=1000,"High","Low")</f>
        <v>Low</v>
      </c>
      <c r="Q326" s="4" t="str" cm="1">
        <f t="array" ref="Q326">_xlfn.IFS(AND(Table15678[[#This Row],[Total Amount]]&gt;=1500,"Critical"),AND(Table15678[[#This Row],[Total Amount]]&gt;=1000,"High"),TRUE,"Normal")</f>
        <v>Normal</v>
      </c>
      <c r="R326" s="4" t="str">
        <f>CONCATENATE(Table15678[[#This Row],[Customer ID]], "-",Table15678[[#This Row],[Age]])</f>
        <v>CUST325-52</v>
      </c>
      <c r="S326" s="4" t="str">
        <f>TEXT(Table15678[[#This Row],[Date]],"mmm")</f>
        <v>Sep</v>
      </c>
      <c r="T326" s="4" t="str">
        <f>TEXT(Table15678[[#This Row],[Date]],"DDD")</f>
        <v>Sat</v>
      </c>
    </row>
    <row r="327" spans="1:20" ht="29" x14ac:dyDescent="0.35">
      <c r="A327" s="4">
        <v>326</v>
      </c>
      <c r="B327" s="5">
        <v>45184</v>
      </c>
      <c r="C327" s="4" t="s">
        <v>339</v>
      </c>
      <c r="D327" s="4" t="s">
        <v>13</v>
      </c>
      <c r="E327" s="4">
        <v>18</v>
      </c>
      <c r="F327" s="4" t="str">
        <f>IF(Table15678[[#This Row],[Age]]&lt;=19,"Teenager",IF(Table15678[[#This Row],[Age]]&lt;=40,"Median","Old"))</f>
        <v>Teenager</v>
      </c>
      <c r="G327" s="4" t="s">
        <v>14</v>
      </c>
      <c r="H327" s="4">
        <v>3</v>
      </c>
      <c r="I327" s="4">
        <v>25</v>
      </c>
      <c r="J327" s="4">
        <v>75</v>
      </c>
      <c r="K327" s="4" t="str" cm="1">
        <f t="array" ref="K327">_xlfn.IFS(AND(Table15678[[#This Row],[Total Amount]]&gt;=1500),"Critical",AND(Table15678[[#This Row],[Total Amount]]&gt;=1000),"High",TRUE,"Normal")</f>
        <v>Normal</v>
      </c>
      <c r="L327" s="4" t="str">
        <f>IF(Table15678[[#This Row],[Total Amount]]&gt;=1000,"High",(IF(Table15678[[#This Row],[Total Amount]]&gt;=500,"Medium","Low")))</f>
        <v>Low</v>
      </c>
      <c r="M327" s="4" t="str" cm="1">
        <f t="array" ref="M32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327" s="4" cm="1">
        <f t="array" ref="N32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327" s="4">
        <f>Table15678[[#This Row],[Total Amount]]-Table15678[[#This Row],[Discount Amount]]</f>
        <v>75</v>
      </c>
      <c r="P327" s="4" t="str">
        <f>IF(Table15678[[#This Row],[Total Amount]]&gt;=1000,"High","Low")</f>
        <v>Low</v>
      </c>
      <c r="Q327" s="4" t="str" cm="1">
        <f t="array" ref="Q327">_xlfn.IFS(AND(Table15678[[#This Row],[Total Amount]]&gt;=1500,"Critical"),AND(Table15678[[#This Row],[Total Amount]]&gt;=1000,"High"),TRUE,"Normal")</f>
        <v>Normal</v>
      </c>
      <c r="R327" s="4" t="str">
        <f>CONCATENATE(Table15678[[#This Row],[Customer ID]], "-",Table15678[[#This Row],[Age]])</f>
        <v>CUST326-18</v>
      </c>
      <c r="S327" s="4" t="str">
        <f>TEXT(Table15678[[#This Row],[Date]],"mmm")</f>
        <v>Sep</v>
      </c>
      <c r="T327" s="4" t="str">
        <f>TEXT(Table15678[[#This Row],[Date]],"DDD")</f>
        <v>Fri</v>
      </c>
    </row>
    <row r="328" spans="1:20" ht="29" x14ac:dyDescent="0.35">
      <c r="A328" s="4">
        <v>327</v>
      </c>
      <c r="B328" s="5">
        <v>45198</v>
      </c>
      <c r="C328" s="4" t="s">
        <v>340</v>
      </c>
      <c r="D328" s="4" t="s">
        <v>10</v>
      </c>
      <c r="E328" s="4">
        <v>57</v>
      </c>
      <c r="F328" s="4" t="str">
        <f>IF(Table15678[[#This Row],[Age]]&lt;=19,"Teenager",IF(Table15678[[#This Row],[Age]]&lt;=40,"Median","Old"))</f>
        <v>Old</v>
      </c>
      <c r="G328" s="4" t="s">
        <v>16</v>
      </c>
      <c r="H328" s="4">
        <v>3</v>
      </c>
      <c r="I328" s="4">
        <v>50</v>
      </c>
      <c r="J328" s="4">
        <v>150</v>
      </c>
      <c r="K328" s="4" t="str" cm="1">
        <f t="array" ref="K328">_xlfn.IFS(AND(Table15678[[#This Row],[Total Amount]]&gt;=1500),"Critical",AND(Table15678[[#This Row],[Total Amount]]&gt;=1000),"High",TRUE,"Normal")</f>
        <v>Normal</v>
      </c>
      <c r="L328" s="4" t="str">
        <f>IF(Table15678[[#This Row],[Total Amount]]&gt;=1000,"High",(IF(Table15678[[#This Row],[Total Amount]]&gt;=500,"Medium","Low")))</f>
        <v>Low</v>
      </c>
      <c r="M328" s="4" t="str" cm="1">
        <f t="array" ref="M32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28" s="4" cm="1">
        <f t="array" ref="N32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328" s="4">
        <f>Table15678[[#This Row],[Total Amount]]-Table15678[[#This Row],[Discount Amount]]</f>
        <v>135</v>
      </c>
      <c r="P328" s="4" t="str">
        <f>IF(Table15678[[#This Row],[Total Amount]]&gt;=1000,"High","Low")</f>
        <v>Low</v>
      </c>
      <c r="Q328" s="4" t="str" cm="1">
        <f t="array" ref="Q328">_xlfn.IFS(AND(Table15678[[#This Row],[Total Amount]]&gt;=1500,"Critical"),AND(Table15678[[#This Row],[Total Amount]]&gt;=1000,"High"),TRUE,"Normal")</f>
        <v>Normal</v>
      </c>
      <c r="R328" s="4" t="str">
        <f>CONCATENATE(Table15678[[#This Row],[Customer ID]], "-",Table15678[[#This Row],[Age]])</f>
        <v>CUST327-57</v>
      </c>
      <c r="S328" s="4" t="str">
        <f>TEXT(Table15678[[#This Row],[Date]],"mmm")</f>
        <v>Sep</v>
      </c>
      <c r="T328" s="4" t="str">
        <f>TEXT(Table15678[[#This Row],[Date]],"DDD")</f>
        <v>Fri</v>
      </c>
    </row>
    <row r="329" spans="1:20" ht="29" x14ac:dyDescent="0.35">
      <c r="A329" s="4">
        <v>328</v>
      </c>
      <c r="B329" s="5">
        <v>45007</v>
      </c>
      <c r="C329" s="4" t="s">
        <v>341</v>
      </c>
      <c r="D329" s="4" t="s">
        <v>10</v>
      </c>
      <c r="E329" s="4">
        <v>39</v>
      </c>
      <c r="F329" s="4" t="str">
        <f>IF(Table15678[[#This Row],[Age]]&lt;=19,"Teenager",IF(Table15678[[#This Row],[Age]]&lt;=40,"Median","Old"))</f>
        <v>Median</v>
      </c>
      <c r="G329" s="4" t="s">
        <v>11</v>
      </c>
      <c r="H329" s="4">
        <v>2</v>
      </c>
      <c r="I329" s="4">
        <v>50</v>
      </c>
      <c r="J329" s="4">
        <v>100</v>
      </c>
      <c r="K329" s="4" t="str" cm="1">
        <f t="array" ref="K329">_xlfn.IFS(AND(Table15678[[#This Row],[Total Amount]]&gt;=1500),"Critical",AND(Table15678[[#This Row],[Total Amount]]&gt;=1000),"High",TRUE,"Normal")</f>
        <v>Normal</v>
      </c>
      <c r="L329" s="4" t="str">
        <f>IF(Table15678[[#This Row],[Total Amount]]&gt;=1000,"High",(IF(Table15678[[#This Row],[Total Amount]]&gt;=500,"Medium","Low")))</f>
        <v>Low</v>
      </c>
      <c r="M329" s="4" t="str" cm="1">
        <f t="array" ref="M32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29" s="4" cm="1">
        <f t="array" ref="N32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329" s="4">
        <f>Table15678[[#This Row],[Total Amount]]-Table15678[[#This Row],[Discount Amount]]</f>
        <v>90</v>
      </c>
      <c r="P329" s="4" t="str">
        <f>IF(Table15678[[#This Row],[Total Amount]]&gt;=1000,"High","Low")</f>
        <v>Low</v>
      </c>
      <c r="Q329" s="4" t="str" cm="1">
        <f t="array" ref="Q329">_xlfn.IFS(AND(Table15678[[#This Row],[Total Amount]]&gt;=1500,"Critical"),AND(Table15678[[#This Row],[Total Amount]]&gt;=1000,"High"),TRUE,"Normal")</f>
        <v>Normal</v>
      </c>
      <c r="R329" s="4" t="str">
        <f>CONCATENATE(Table15678[[#This Row],[Customer ID]], "-",Table15678[[#This Row],[Age]])</f>
        <v>CUST328-39</v>
      </c>
      <c r="S329" s="4" t="str">
        <f>TEXT(Table15678[[#This Row],[Date]],"mmm")</f>
        <v>Mar</v>
      </c>
      <c r="T329" s="4" t="str">
        <f>TEXT(Table15678[[#This Row],[Date]],"DDD")</f>
        <v>Wed</v>
      </c>
    </row>
    <row r="330" spans="1:20" ht="29" x14ac:dyDescent="0.35">
      <c r="A330" s="4">
        <v>329</v>
      </c>
      <c r="B330" s="5">
        <v>44956</v>
      </c>
      <c r="C330" s="4" t="s">
        <v>342</v>
      </c>
      <c r="D330" s="4" t="s">
        <v>13</v>
      </c>
      <c r="E330" s="4">
        <v>46</v>
      </c>
      <c r="F330" s="4" t="str">
        <f>IF(Table15678[[#This Row],[Age]]&lt;=19,"Teenager",IF(Table15678[[#This Row],[Age]]&lt;=40,"Median","Old"))</f>
        <v>Old</v>
      </c>
      <c r="G330" s="4" t="s">
        <v>16</v>
      </c>
      <c r="H330" s="4">
        <v>4</v>
      </c>
      <c r="I330" s="4">
        <v>25</v>
      </c>
      <c r="J330" s="4">
        <v>100</v>
      </c>
      <c r="K330" s="4" t="str" cm="1">
        <f t="array" ref="K330">_xlfn.IFS(AND(Table15678[[#This Row],[Total Amount]]&gt;=1500),"Critical",AND(Table15678[[#This Row],[Total Amount]]&gt;=1000),"High",TRUE,"Normal")</f>
        <v>Normal</v>
      </c>
      <c r="L330" s="4" t="str">
        <f>IF(Table15678[[#This Row],[Total Amount]]&gt;=1000,"High",(IF(Table15678[[#This Row],[Total Amount]]&gt;=500,"Medium","Low")))</f>
        <v>Low</v>
      </c>
      <c r="M330" s="4" t="str" cm="1">
        <f t="array" ref="M33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30" s="4" cm="1">
        <f t="array" ref="N33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330" s="4">
        <f>Table15678[[#This Row],[Total Amount]]-Table15678[[#This Row],[Discount Amount]]</f>
        <v>80</v>
      </c>
      <c r="P330" s="4" t="str">
        <f>IF(Table15678[[#This Row],[Total Amount]]&gt;=1000,"High","Low")</f>
        <v>Low</v>
      </c>
      <c r="Q330" s="4" t="str" cm="1">
        <f t="array" ref="Q330">_xlfn.IFS(AND(Table15678[[#This Row],[Total Amount]]&gt;=1500,"Critical"),AND(Table15678[[#This Row],[Total Amount]]&gt;=1000,"High"),TRUE,"Normal")</f>
        <v>Normal</v>
      </c>
      <c r="R330" s="4" t="str">
        <f>CONCATENATE(Table15678[[#This Row],[Customer ID]], "-",Table15678[[#This Row],[Age]])</f>
        <v>CUST329-46</v>
      </c>
      <c r="S330" s="4" t="str">
        <f>TEXT(Table15678[[#This Row],[Date]],"mmm")</f>
        <v>Jan</v>
      </c>
      <c r="T330" s="4" t="str">
        <f>TEXT(Table15678[[#This Row],[Date]],"DDD")</f>
        <v>Mon</v>
      </c>
    </row>
    <row r="331" spans="1:20" ht="29" x14ac:dyDescent="0.35">
      <c r="A331" s="4">
        <v>330</v>
      </c>
      <c r="B331" s="5">
        <v>45187</v>
      </c>
      <c r="C331" s="4" t="s">
        <v>343</v>
      </c>
      <c r="D331" s="4" t="s">
        <v>13</v>
      </c>
      <c r="E331" s="4">
        <v>25</v>
      </c>
      <c r="F331" s="4" t="str">
        <f>IF(Table15678[[#This Row],[Age]]&lt;=19,"Teenager",IF(Table15678[[#This Row],[Age]]&lt;=40,"Median","Old"))</f>
        <v>Median</v>
      </c>
      <c r="G331" s="4" t="s">
        <v>11</v>
      </c>
      <c r="H331" s="4">
        <v>4</v>
      </c>
      <c r="I331" s="4">
        <v>50</v>
      </c>
      <c r="J331" s="4">
        <v>200</v>
      </c>
      <c r="K331" s="4" t="str" cm="1">
        <f t="array" ref="K331">_xlfn.IFS(AND(Table15678[[#This Row],[Total Amount]]&gt;=1500),"Critical",AND(Table15678[[#This Row],[Total Amount]]&gt;=1000),"High",TRUE,"Normal")</f>
        <v>Normal</v>
      </c>
      <c r="L331" s="4" t="str">
        <f>IF(Table15678[[#This Row],[Total Amount]]&gt;=1000,"High",(IF(Table15678[[#This Row],[Total Amount]]&gt;=500,"Medium","Low")))</f>
        <v>Low</v>
      </c>
      <c r="M331" s="4" t="str" cm="1">
        <f t="array" ref="M33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31" s="4" cm="1">
        <f t="array" ref="N33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331" s="4">
        <f>Table15678[[#This Row],[Total Amount]]-Table15678[[#This Row],[Discount Amount]]</f>
        <v>170</v>
      </c>
      <c r="P331" s="4" t="str">
        <f>IF(Table15678[[#This Row],[Total Amount]]&gt;=1000,"High","Low")</f>
        <v>Low</v>
      </c>
      <c r="Q331" s="4" t="str" cm="1">
        <f t="array" ref="Q331">_xlfn.IFS(AND(Table15678[[#This Row],[Total Amount]]&gt;=1500,"Critical"),AND(Table15678[[#This Row],[Total Amount]]&gt;=1000,"High"),TRUE,"Normal")</f>
        <v>Normal</v>
      </c>
      <c r="R331" s="4" t="str">
        <f>CONCATENATE(Table15678[[#This Row],[Customer ID]], "-",Table15678[[#This Row],[Age]])</f>
        <v>CUST330-25</v>
      </c>
      <c r="S331" s="4" t="str">
        <f>TEXT(Table15678[[#This Row],[Date]],"mmm")</f>
        <v>Sep</v>
      </c>
      <c r="T331" s="4" t="str">
        <f>TEXT(Table15678[[#This Row],[Date]],"DDD")</f>
        <v>Mon</v>
      </c>
    </row>
    <row r="332" spans="1:20" ht="29" x14ac:dyDescent="0.35">
      <c r="A332" s="4">
        <v>331</v>
      </c>
      <c r="B332" s="5">
        <v>44968</v>
      </c>
      <c r="C332" s="4" t="s">
        <v>344</v>
      </c>
      <c r="D332" s="4" t="s">
        <v>10</v>
      </c>
      <c r="E332" s="4">
        <v>28</v>
      </c>
      <c r="F332" s="4" t="str">
        <f>IF(Table15678[[#This Row],[Age]]&lt;=19,"Teenager",IF(Table15678[[#This Row],[Age]]&lt;=40,"Median","Old"))</f>
        <v>Median</v>
      </c>
      <c r="G332" s="4" t="s">
        <v>16</v>
      </c>
      <c r="H332" s="4">
        <v>3</v>
      </c>
      <c r="I332" s="4">
        <v>30</v>
      </c>
      <c r="J332" s="4">
        <v>90</v>
      </c>
      <c r="K332" s="4" t="str" cm="1">
        <f t="array" ref="K332">_xlfn.IFS(AND(Table15678[[#This Row],[Total Amount]]&gt;=1500),"Critical",AND(Table15678[[#This Row],[Total Amount]]&gt;=1000),"High",TRUE,"Normal")</f>
        <v>Normal</v>
      </c>
      <c r="L332" s="4" t="str">
        <f>IF(Table15678[[#This Row],[Total Amount]]&gt;=1000,"High",(IF(Table15678[[#This Row],[Total Amount]]&gt;=500,"Medium","Low")))</f>
        <v>Low</v>
      </c>
      <c r="M332" s="4" t="str" cm="1">
        <f t="array" ref="M33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32" s="4" cm="1">
        <f t="array" ref="N33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13.5</v>
      </c>
      <c r="O332" s="4">
        <f>Table15678[[#This Row],[Total Amount]]-Table15678[[#This Row],[Discount Amount]]</f>
        <v>76.5</v>
      </c>
      <c r="P332" s="4" t="str">
        <f>IF(Table15678[[#This Row],[Total Amount]]&gt;=1000,"High","Low")</f>
        <v>Low</v>
      </c>
      <c r="Q332" s="4" t="str" cm="1">
        <f t="array" ref="Q332">_xlfn.IFS(AND(Table15678[[#This Row],[Total Amount]]&gt;=1500,"Critical"),AND(Table15678[[#This Row],[Total Amount]]&gt;=1000,"High"),TRUE,"Normal")</f>
        <v>Normal</v>
      </c>
      <c r="R332" s="4" t="str">
        <f>CONCATENATE(Table15678[[#This Row],[Customer ID]], "-",Table15678[[#This Row],[Age]])</f>
        <v>CUST331-28</v>
      </c>
      <c r="S332" s="4" t="str">
        <f>TEXT(Table15678[[#This Row],[Date]],"mmm")</f>
        <v>Feb</v>
      </c>
      <c r="T332" s="4" t="str">
        <f>TEXT(Table15678[[#This Row],[Date]],"DDD")</f>
        <v>Sat</v>
      </c>
    </row>
    <row r="333" spans="1:20" ht="29" x14ac:dyDescent="0.35">
      <c r="A333" s="4">
        <v>332</v>
      </c>
      <c r="B333" s="5">
        <v>45022</v>
      </c>
      <c r="C333" s="4" t="s">
        <v>345</v>
      </c>
      <c r="D333" s="4" t="s">
        <v>10</v>
      </c>
      <c r="E333" s="4">
        <v>58</v>
      </c>
      <c r="F333" s="4" t="str">
        <f>IF(Table15678[[#This Row],[Age]]&lt;=19,"Teenager",IF(Table15678[[#This Row],[Age]]&lt;=40,"Median","Old"))</f>
        <v>Old</v>
      </c>
      <c r="G333" s="4" t="s">
        <v>16</v>
      </c>
      <c r="H333" s="4">
        <v>4</v>
      </c>
      <c r="I333" s="4">
        <v>300</v>
      </c>
      <c r="J333" s="4">
        <v>1200</v>
      </c>
      <c r="K333" s="4" t="str" cm="1">
        <f t="array" ref="K333">_xlfn.IFS(AND(Table15678[[#This Row],[Total Amount]]&gt;=1500),"Critical",AND(Table15678[[#This Row],[Total Amount]]&gt;=1000),"High",TRUE,"Normal")</f>
        <v>High</v>
      </c>
      <c r="L333" s="4" t="str">
        <f>IF(Table15678[[#This Row],[Total Amount]]&gt;=1000,"High",(IF(Table15678[[#This Row],[Total Amount]]&gt;=500,"Medium","Low")))</f>
        <v>High</v>
      </c>
      <c r="M333" s="4" t="str" cm="1">
        <f t="array" ref="M33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33" s="4" cm="1">
        <f t="array" ref="N33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120</v>
      </c>
      <c r="O333" s="4">
        <f>Table15678[[#This Row],[Total Amount]]-Table15678[[#This Row],[Discount Amount]]</f>
        <v>1080</v>
      </c>
      <c r="P333" s="4" t="str">
        <f>IF(Table15678[[#This Row],[Total Amount]]&gt;=1000,"High","Low")</f>
        <v>High</v>
      </c>
      <c r="Q333" s="4" t="str" cm="1">
        <f t="array" ref="Q333">_xlfn.IFS(AND(Table15678[[#This Row],[Total Amount]]&gt;=1500,"Critical"),AND(Table15678[[#This Row],[Total Amount]]&gt;=1000,"High"),TRUE,"Normal")</f>
        <v>Normal</v>
      </c>
      <c r="R333" s="4" t="str">
        <f>CONCATENATE(Table15678[[#This Row],[Customer ID]], "-",Table15678[[#This Row],[Age]])</f>
        <v>CUST332-58</v>
      </c>
      <c r="S333" s="4" t="str">
        <f>TEXT(Table15678[[#This Row],[Date]],"mmm")</f>
        <v>Apr</v>
      </c>
      <c r="T333" s="4" t="str">
        <f>TEXT(Table15678[[#This Row],[Date]],"DDD")</f>
        <v>Thu</v>
      </c>
    </row>
    <row r="334" spans="1:20" ht="29" x14ac:dyDescent="0.35">
      <c r="A334" s="4">
        <v>333</v>
      </c>
      <c r="B334" s="5">
        <v>44962</v>
      </c>
      <c r="C334" s="4" t="s">
        <v>346</v>
      </c>
      <c r="D334" s="4" t="s">
        <v>13</v>
      </c>
      <c r="E334" s="4">
        <v>54</v>
      </c>
      <c r="F334" s="4" t="str">
        <f>IF(Table15678[[#This Row],[Age]]&lt;=19,"Teenager",IF(Table15678[[#This Row],[Age]]&lt;=40,"Median","Old"))</f>
        <v>Old</v>
      </c>
      <c r="G334" s="4" t="s">
        <v>16</v>
      </c>
      <c r="H334" s="4">
        <v>4</v>
      </c>
      <c r="I334" s="4">
        <v>300</v>
      </c>
      <c r="J334" s="4">
        <v>1200</v>
      </c>
      <c r="K334" s="4" t="str" cm="1">
        <f t="array" ref="K334">_xlfn.IFS(AND(Table15678[[#This Row],[Total Amount]]&gt;=1500),"Critical",AND(Table15678[[#This Row],[Total Amount]]&gt;=1000),"High",TRUE,"Normal")</f>
        <v>High</v>
      </c>
      <c r="L334" s="4" t="str">
        <f>IF(Table15678[[#This Row],[Total Amount]]&gt;=1000,"High",(IF(Table15678[[#This Row],[Total Amount]]&gt;=500,"Medium","Low")))</f>
        <v>High</v>
      </c>
      <c r="M334" s="4" t="str" cm="1">
        <f t="array" ref="M33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34" s="4" cm="1">
        <f t="array" ref="N33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240</v>
      </c>
      <c r="O334" s="4">
        <f>Table15678[[#This Row],[Total Amount]]-Table15678[[#This Row],[Discount Amount]]</f>
        <v>960</v>
      </c>
      <c r="P334" s="4" t="str">
        <f>IF(Table15678[[#This Row],[Total Amount]]&gt;=1000,"High","Low")</f>
        <v>High</v>
      </c>
      <c r="Q334" s="4" t="str" cm="1">
        <f t="array" ref="Q334">_xlfn.IFS(AND(Table15678[[#This Row],[Total Amount]]&gt;=1500,"Critical"),AND(Table15678[[#This Row],[Total Amount]]&gt;=1000,"High"),TRUE,"Normal")</f>
        <v>Normal</v>
      </c>
      <c r="R334" s="4" t="str">
        <f>CONCATENATE(Table15678[[#This Row],[Customer ID]], "-",Table15678[[#This Row],[Age]])</f>
        <v>CUST333-54</v>
      </c>
      <c r="S334" s="4" t="str">
        <f>TEXT(Table15678[[#This Row],[Date]],"mmm")</f>
        <v>Feb</v>
      </c>
      <c r="T334" s="4" t="str">
        <f>TEXT(Table15678[[#This Row],[Date]],"DDD")</f>
        <v>Sun</v>
      </c>
    </row>
    <row r="335" spans="1:20" ht="29" x14ac:dyDescent="0.35">
      <c r="A335" s="4">
        <v>334</v>
      </c>
      <c r="B335" s="5">
        <v>45231</v>
      </c>
      <c r="C335" s="4" t="s">
        <v>347</v>
      </c>
      <c r="D335" s="4" t="s">
        <v>10</v>
      </c>
      <c r="E335" s="4">
        <v>31</v>
      </c>
      <c r="F335" s="4" t="str">
        <f>IF(Table15678[[#This Row],[Age]]&lt;=19,"Teenager",IF(Table15678[[#This Row],[Age]]&lt;=40,"Median","Old"))</f>
        <v>Median</v>
      </c>
      <c r="G335" s="4" t="s">
        <v>16</v>
      </c>
      <c r="H335" s="4">
        <v>3</v>
      </c>
      <c r="I335" s="4">
        <v>300</v>
      </c>
      <c r="J335" s="4">
        <v>900</v>
      </c>
      <c r="K335" s="4" t="str" cm="1">
        <f t="array" ref="K335">_xlfn.IFS(AND(Table15678[[#This Row],[Total Amount]]&gt;=1500),"Critical",AND(Table15678[[#This Row],[Total Amount]]&gt;=1000),"High",TRUE,"Normal")</f>
        <v>Normal</v>
      </c>
      <c r="L335" s="4" t="str">
        <f>IF(Table15678[[#This Row],[Total Amount]]&gt;=1000,"High",(IF(Table15678[[#This Row],[Total Amount]]&gt;=500,"Medium","Low")))</f>
        <v>Medium</v>
      </c>
      <c r="M335" s="4" t="str" cm="1">
        <f t="array" ref="M33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35" s="4" cm="1">
        <f t="array" ref="N33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135</v>
      </c>
      <c r="O335" s="4">
        <f>Table15678[[#This Row],[Total Amount]]-Table15678[[#This Row],[Discount Amount]]</f>
        <v>765</v>
      </c>
      <c r="P335" s="4" t="str">
        <f>IF(Table15678[[#This Row],[Total Amount]]&gt;=1000,"High","Low")</f>
        <v>Low</v>
      </c>
      <c r="Q335" s="4" t="str" cm="1">
        <f t="array" ref="Q335">_xlfn.IFS(AND(Table15678[[#This Row],[Total Amount]]&gt;=1500,"Critical"),AND(Table15678[[#This Row],[Total Amount]]&gt;=1000,"High"),TRUE,"Normal")</f>
        <v>Normal</v>
      </c>
      <c r="R335" s="4" t="str">
        <f>CONCATENATE(Table15678[[#This Row],[Customer ID]], "-",Table15678[[#This Row],[Age]])</f>
        <v>CUST334-31</v>
      </c>
      <c r="S335" s="4" t="str">
        <f>TEXT(Table15678[[#This Row],[Date]],"mmm")</f>
        <v>Nov</v>
      </c>
      <c r="T335" s="4" t="str">
        <f>TEXT(Table15678[[#This Row],[Date]],"DDD")</f>
        <v>Wed</v>
      </c>
    </row>
    <row r="336" spans="1:20" ht="29" x14ac:dyDescent="0.35">
      <c r="A336" s="4">
        <v>335</v>
      </c>
      <c r="B336" s="5">
        <v>44961</v>
      </c>
      <c r="C336" s="4" t="s">
        <v>348</v>
      </c>
      <c r="D336" s="4" t="s">
        <v>13</v>
      </c>
      <c r="E336" s="4">
        <v>47</v>
      </c>
      <c r="F336" s="4" t="str">
        <f>IF(Table15678[[#This Row],[Age]]&lt;=19,"Teenager",IF(Table15678[[#This Row],[Age]]&lt;=40,"Median","Old"))</f>
        <v>Old</v>
      </c>
      <c r="G336" s="4" t="s">
        <v>11</v>
      </c>
      <c r="H336" s="4">
        <v>4</v>
      </c>
      <c r="I336" s="4">
        <v>30</v>
      </c>
      <c r="J336" s="4">
        <v>120</v>
      </c>
      <c r="K336" s="4" t="str" cm="1">
        <f t="array" ref="K336">_xlfn.IFS(AND(Table15678[[#This Row],[Total Amount]]&gt;=1500),"Critical",AND(Table15678[[#This Row],[Total Amount]]&gt;=1000),"High",TRUE,"Normal")</f>
        <v>Normal</v>
      </c>
      <c r="L336" s="4" t="str">
        <f>IF(Table15678[[#This Row],[Total Amount]]&gt;=1000,"High",(IF(Table15678[[#This Row],[Total Amount]]&gt;=500,"Medium","Low")))</f>
        <v>Low</v>
      </c>
      <c r="M336" s="4" t="str" cm="1">
        <f t="array" ref="M33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36" s="4" cm="1">
        <f t="array" ref="N33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</v>
      </c>
      <c r="O336" s="4">
        <f>Table15678[[#This Row],[Total Amount]]-Table15678[[#This Row],[Discount Amount]]</f>
        <v>96</v>
      </c>
      <c r="P336" s="4" t="str">
        <f>IF(Table15678[[#This Row],[Total Amount]]&gt;=1000,"High","Low")</f>
        <v>Low</v>
      </c>
      <c r="Q336" s="4" t="str" cm="1">
        <f t="array" ref="Q336">_xlfn.IFS(AND(Table15678[[#This Row],[Total Amount]]&gt;=1500,"Critical"),AND(Table15678[[#This Row],[Total Amount]]&gt;=1000,"High"),TRUE,"Normal")</f>
        <v>Normal</v>
      </c>
      <c r="R336" s="4" t="str">
        <f>CONCATENATE(Table15678[[#This Row],[Customer ID]], "-",Table15678[[#This Row],[Age]])</f>
        <v>CUST335-47</v>
      </c>
      <c r="S336" s="4" t="str">
        <f>TEXT(Table15678[[#This Row],[Date]],"mmm")</f>
        <v>Feb</v>
      </c>
      <c r="T336" s="4" t="str">
        <f>TEXT(Table15678[[#This Row],[Date]],"DDD")</f>
        <v>Sat</v>
      </c>
    </row>
    <row r="337" spans="1:20" ht="29" x14ac:dyDescent="0.35">
      <c r="A337" s="4">
        <v>336</v>
      </c>
      <c r="B337" s="5">
        <v>45272</v>
      </c>
      <c r="C337" s="4" t="s">
        <v>349</v>
      </c>
      <c r="D337" s="4" t="s">
        <v>13</v>
      </c>
      <c r="E337" s="4">
        <v>52</v>
      </c>
      <c r="F337" s="4" t="str">
        <f>IF(Table15678[[#This Row],[Age]]&lt;=19,"Teenager",IF(Table15678[[#This Row],[Age]]&lt;=40,"Median","Old"))</f>
        <v>Old</v>
      </c>
      <c r="G337" s="4" t="s">
        <v>11</v>
      </c>
      <c r="H337" s="4">
        <v>3</v>
      </c>
      <c r="I337" s="4">
        <v>50</v>
      </c>
      <c r="J337" s="4">
        <v>150</v>
      </c>
      <c r="K337" s="4" t="str" cm="1">
        <f t="array" ref="K337">_xlfn.IFS(AND(Table15678[[#This Row],[Total Amount]]&gt;=1500),"Critical",AND(Table15678[[#This Row],[Total Amount]]&gt;=1000),"High",TRUE,"Normal")</f>
        <v>Normal</v>
      </c>
      <c r="L337" s="4" t="str">
        <f>IF(Table15678[[#This Row],[Total Amount]]&gt;=1000,"High",(IF(Table15678[[#This Row],[Total Amount]]&gt;=500,"Medium","Low")))</f>
        <v>Low</v>
      </c>
      <c r="M337" s="4" t="str" cm="1">
        <f t="array" ref="M33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37" s="4" cm="1">
        <f t="array" ref="N33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337" s="4">
        <f>Table15678[[#This Row],[Total Amount]]-Table15678[[#This Row],[Discount Amount]]</f>
        <v>120</v>
      </c>
      <c r="P337" s="4" t="str">
        <f>IF(Table15678[[#This Row],[Total Amount]]&gt;=1000,"High","Low")</f>
        <v>Low</v>
      </c>
      <c r="Q337" s="4" t="str" cm="1">
        <f t="array" ref="Q337">_xlfn.IFS(AND(Table15678[[#This Row],[Total Amount]]&gt;=1500,"Critical"),AND(Table15678[[#This Row],[Total Amount]]&gt;=1000,"High"),TRUE,"Normal")</f>
        <v>Normal</v>
      </c>
      <c r="R337" s="4" t="str">
        <f>CONCATENATE(Table15678[[#This Row],[Customer ID]], "-",Table15678[[#This Row],[Age]])</f>
        <v>CUST336-52</v>
      </c>
      <c r="S337" s="4" t="str">
        <f>TEXT(Table15678[[#This Row],[Date]],"mmm")</f>
        <v>Dec</v>
      </c>
      <c r="T337" s="4" t="str">
        <f>TEXT(Table15678[[#This Row],[Date]],"DDD")</f>
        <v>Tue</v>
      </c>
    </row>
    <row r="338" spans="1:20" ht="29" x14ac:dyDescent="0.35">
      <c r="A338" s="4">
        <v>337</v>
      </c>
      <c r="B338" s="5">
        <v>45047</v>
      </c>
      <c r="C338" s="4" t="s">
        <v>350</v>
      </c>
      <c r="D338" s="4" t="s">
        <v>10</v>
      </c>
      <c r="E338" s="4">
        <v>38</v>
      </c>
      <c r="F338" s="4" t="str">
        <f>IF(Table15678[[#This Row],[Age]]&lt;=19,"Teenager",IF(Table15678[[#This Row],[Age]]&lt;=40,"Median","Old"))</f>
        <v>Median</v>
      </c>
      <c r="G338" s="4" t="s">
        <v>14</v>
      </c>
      <c r="H338" s="4">
        <v>1</v>
      </c>
      <c r="I338" s="4">
        <v>500</v>
      </c>
      <c r="J338" s="4">
        <v>500</v>
      </c>
      <c r="K338" s="4" t="str" cm="1">
        <f t="array" ref="K338">_xlfn.IFS(AND(Table15678[[#This Row],[Total Amount]]&gt;=1500),"Critical",AND(Table15678[[#This Row],[Total Amount]]&gt;=1000),"High",TRUE,"Normal")</f>
        <v>Normal</v>
      </c>
      <c r="L338" s="4" t="str">
        <f>IF(Table15678[[#This Row],[Total Amount]]&gt;=1000,"High",(IF(Table15678[[#This Row],[Total Amount]]&gt;=500,"Medium","Low")))</f>
        <v>Medium</v>
      </c>
      <c r="M338" s="4" t="str" cm="1">
        <f t="array" ref="M33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38" s="4" cm="1">
        <f t="array" ref="N33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50</v>
      </c>
      <c r="O338" s="4">
        <f>Table15678[[#This Row],[Total Amount]]-Table15678[[#This Row],[Discount Amount]]</f>
        <v>450</v>
      </c>
      <c r="P338" s="4" t="str">
        <f>IF(Table15678[[#This Row],[Total Amount]]&gt;=1000,"High","Low")</f>
        <v>Low</v>
      </c>
      <c r="Q338" s="4" t="str" cm="1">
        <f t="array" ref="Q338">_xlfn.IFS(AND(Table15678[[#This Row],[Total Amount]]&gt;=1500,"Critical"),AND(Table15678[[#This Row],[Total Amount]]&gt;=1000,"High"),TRUE,"Normal")</f>
        <v>Normal</v>
      </c>
      <c r="R338" s="4" t="str">
        <f>CONCATENATE(Table15678[[#This Row],[Customer ID]], "-",Table15678[[#This Row],[Age]])</f>
        <v>CUST337-38</v>
      </c>
      <c r="S338" s="4" t="str">
        <f>TEXT(Table15678[[#This Row],[Date]],"mmm")</f>
        <v>May</v>
      </c>
      <c r="T338" s="4" t="str">
        <f>TEXT(Table15678[[#This Row],[Date]],"DDD")</f>
        <v>Mon</v>
      </c>
    </row>
    <row r="339" spans="1:20" ht="29" x14ac:dyDescent="0.35">
      <c r="A339" s="4">
        <v>338</v>
      </c>
      <c r="B339" s="5">
        <v>45133</v>
      </c>
      <c r="C339" s="4" t="s">
        <v>351</v>
      </c>
      <c r="D339" s="4" t="s">
        <v>10</v>
      </c>
      <c r="E339" s="4">
        <v>54</v>
      </c>
      <c r="F339" s="4" t="str">
        <f>IF(Table15678[[#This Row],[Age]]&lt;=19,"Teenager",IF(Table15678[[#This Row],[Age]]&lt;=40,"Median","Old"))</f>
        <v>Old</v>
      </c>
      <c r="G339" s="4" t="s">
        <v>11</v>
      </c>
      <c r="H339" s="4">
        <v>2</v>
      </c>
      <c r="I339" s="4">
        <v>50</v>
      </c>
      <c r="J339" s="4">
        <v>100</v>
      </c>
      <c r="K339" s="4" t="str" cm="1">
        <f t="array" ref="K339">_xlfn.IFS(AND(Table15678[[#This Row],[Total Amount]]&gt;=1500),"Critical",AND(Table15678[[#This Row],[Total Amount]]&gt;=1000),"High",TRUE,"Normal")</f>
        <v>Normal</v>
      </c>
      <c r="L339" s="4" t="str">
        <f>IF(Table15678[[#This Row],[Total Amount]]&gt;=1000,"High",(IF(Table15678[[#This Row],[Total Amount]]&gt;=500,"Medium","Low")))</f>
        <v>Low</v>
      </c>
      <c r="M339" s="4" t="str" cm="1">
        <f t="array" ref="M33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39" s="4" cm="1">
        <f t="array" ref="N33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339" s="4">
        <f>Table15678[[#This Row],[Total Amount]]-Table15678[[#This Row],[Discount Amount]]</f>
        <v>90</v>
      </c>
      <c r="P339" s="4" t="str">
        <f>IF(Table15678[[#This Row],[Total Amount]]&gt;=1000,"High","Low")</f>
        <v>Low</v>
      </c>
      <c r="Q339" s="4" t="str" cm="1">
        <f t="array" ref="Q339">_xlfn.IFS(AND(Table15678[[#This Row],[Total Amount]]&gt;=1500,"Critical"),AND(Table15678[[#This Row],[Total Amount]]&gt;=1000,"High"),TRUE,"Normal")</f>
        <v>Normal</v>
      </c>
      <c r="R339" s="4" t="str">
        <f>CONCATENATE(Table15678[[#This Row],[Customer ID]], "-",Table15678[[#This Row],[Age]])</f>
        <v>CUST338-54</v>
      </c>
      <c r="S339" s="4" t="str">
        <f>TEXT(Table15678[[#This Row],[Date]],"mmm")</f>
        <v>Jul</v>
      </c>
      <c r="T339" s="4" t="str">
        <f>TEXT(Table15678[[#This Row],[Date]],"DDD")</f>
        <v>Wed</v>
      </c>
    </row>
    <row r="340" spans="1:20" ht="29" x14ac:dyDescent="0.35">
      <c r="A340" s="4">
        <v>339</v>
      </c>
      <c r="B340" s="5">
        <v>44988</v>
      </c>
      <c r="C340" s="4" t="s">
        <v>352</v>
      </c>
      <c r="D340" s="4" t="s">
        <v>13</v>
      </c>
      <c r="E340" s="4">
        <v>22</v>
      </c>
      <c r="F340" s="4" t="str">
        <f>IF(Table15678[[#This Row],[Age]]&lt;=19,"Teenager",IF(Table15678[[#This Row],[Age]]&lt;=40,"Median","Old"))</f>
        <v>Median</v>
      </c>
      <c r="G340" s="4" t="s">
        <v>16</v>
      </c>
      <c r="H340" s="4">
        <v>2</v>
      </c>
      <c r="I340" s="4">
        <v>25</v>
      </c>
      <c r="J340" s="4">
        <v>50</v>
      </c>
      <c r="K340" s="4" t="str" cm="1">
        <f t="array" ref="K340">_xlfn.IFS(AND(Table15678[[#This Row],[Total Amount]]&gt;=1500),"Critical",AND(Table15678[[#This Row],[Total Amount]]&gt;=1000),"High",TRUE,"Normal")</f>
        <v>Normal</v>
      </c>
      <c r="L340" s="4" t="str">
        <f>IF(Table15678[[#This Row],[Total Amount]]&gt;=1000,"High",(IF(Table15678[[#This Row],[Total Amount]]&gt;=500,"Medium","Low")))</f>
        <v>Low</v>
      </c>
      <c r="M340" s="4" t="str" cm="1">
        <f t="array" ref="M34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340" s="4" cm="1">
        <f t="array" ref="N34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340" s="4">
        <f>Table15678[[#This Row],[Total Amount]]-Table15678[[#This Row],[Discount Amount]]</f>
        <v>50</v>
      </c>
      <c r="P340" s="4" t="str">
        <f>IF(Table15678[[#This Row],[Total Amount]]&gt;=1000,"High","Low")</f>
        <v>Low</v>
      </c>
      <c r="Q340" s="4" t="str" cm="1">
        <f t="array" ref="Q340">_xlfn.IFS(AND(Table15678[[#This Row],[Total Amount]]&gt;=1500,"Critical"),AND(Table15678[[#This Row],[Total Amount]]&gt;=1000,"High"),TRUE,"Normal")</f>
        <v>Normal</v>
      </c>
      <c r="R340" s="4" t="str">
        <f>CONCATENATE(Table15678[[#This Row],[Customer ID]], "-",Table15678[[#This Row],[Age]])</f>
        <v>CUST339-22</v>
      </c>
      <c r="S340" s="4" t="str">
        <f>TEXT(Table15678[[#This Row],[Date]],"mmm")</f>
        <v>Mar</v>
      </c>
      <c r="T340" s="4" t="str">
        <f>TEXT(Table15678[[#This Row],[Date]],"DDD")</f>
        <v>Fri</v>
      </c>
    </row>
    <row r="341" spans="1:20" ht="29" x14ac:dyDescent="0.35">
      <c r="A341" s="4">
        <v>340</v>
      </c>
      <c r="B341" s="5">
        <v>45218</v>
      </c>
      <c r="C341" s="4" t="s">
        <v>353</v>
      </c>
      <c r="D341" s="4" t="s">
        <v>13</v>
      </c>
      <c r="E341" s="4">
        <v>36</v>
      </c>
      <c r="F341" s="4" t="str">
        <f>IF(Table15678[[#This Row],[Age]]&lt;=19,"Teenager",IF(Table15678[[#This Row],[Age]]&lt;=40,"Median","Old"))</f>
        <v>Median</v>
      </c>
      <c r="G341" s="4" t="s">
        <v>14</v>
      </c>
      <c r="H341" s="4">
        <v>4</v>
      </c>
      <c r="I341" s="4">
        <v>300</v>
      </c>
      <c r="J341" s="4">
        <v>1200</v>
      </c>
      <c r="K341" s="4" t="str" cm="1">
        <f t="array" ref="K341">_xlfn.IFS(AND(Table15678[[#This Row],[Total Amount]]&gt;=1500),"Critical",AND(Table15678[[#This Row],[Total Amount]]&gt;=1000),"High",TRUE,"Normal")</f>
        <v>High</v>
      </c>
      <c r="L341" s="4" t="str">
        <f>IF(Table15678[[#This Row],[Total Amount]]&gt;=1000,"High",(IF(Table15678[[#This Row],[Total Amount]]&gt;=500,"Medium","Low")))</f>
        <v>High</v>
      </c>
      <c r="M341" s="4" t="str" cm="1">
        <f t="array" ref="M34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41" s="4" cm="1">
        <f t="array" ref="N34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240</v>
      </c>
      <c r="O341" s="4">
        <f>Table15678[[#This Row],[Total Amount]]-Table15678[[#This Row],[Discount Amount]]</f>
        <v>960</v>
      </c>
      <c r="P341" s="4" t="str">
        <f>IF(Table15678[[#This Row],[Total Amount]]&gt;=1000,"High","Low")</f>
        <v>High</v>
      </c>
      <c r="Q341" s="4" t="str" cm="1">
        <f t="array" ref="Q341">_xlfn.IFS(AND(Table15678[[#This Row],[Total Amount]]&gt;=1500,"Critical"),AND(Table15678[[#This Row],[Total Amount]]&gt;=1000,"High"),TRUE,"Normal")</f>
        <v>Normal</v>
      </c>
      <c r="R341" s="4" t="str">
        <f>CONCATENATE(Table15678[[#This Row],[Customer ID]], "-",Table15678[[#This Row],[Age]])</f>
        <v>CUST340-36</v>
      </c>
      <c r="S341" s="4" t="str">
        <f>TEXT(Table15678[[#This Row],[Date]],"mmm")</f>
        <v>Oct</v>
      </c>
      <c r="T341" s="4" t="str">
        <f>TEXT(Table15678[[#This Row],[Date]],"DDD")</f>
        <v>Thu</v>
      </c>
    </row>
    <row r="342" spans="1:20" ht="29" x14ac:dyDescent="0.35">
      <c r="A342" s="4">
        <v>341</v>
      </c>
      <c r="B342" s="5">
        <v>45053</v>
      </c>
      <c r="C342" s="4" t="s">
        <v>354</v>
      </c>
      <c r="D342" s="4" t="s">
        <v>10</v>
      </c>
      <c r="E342" s="4">
        <v>31</v>
      </c>
      <c r="F342" s="4" t="str">
        <f>IF(Table15678[[#This Row],[Age]]&lt;=19,"Teenager",IF(Table15678[[#This Row],[Age]]&lt;=40,"Median","Old"))</f>
        <v>Median</v>
      </c>
      <c r="G342" s="4" t="s">
        <v>14</v>
      </c>
      <c r="H342" s="4">
        <v>4</v>
      </c>
      <c r="I342" s="4">
        <v>50</v>
      </c>
      <c r="J342" s="4">
        <v>200</v>
      </c>
      <c r="K342" s="4" t="str" cm="1">
        <f t="array" ref="K342">_xlfn.IFS(AND(Table15678[[#This Row],[Total Amount]]&gt;=1500),"Critical",AND(Table15678[[#This Row],[Total Amount]]&gt;=1000),"High",TRUE,"Normal")</f>
        <v>Normal</v>
      </c>
      <c r="L342" s="4" t="str">
        <f>IF(Table15678[[#This Row],[Total Amount]]&gt;=1000,"High",(IF(Table15678[[#This Row],[Total Amount]]&gt;=500,"Medium","Low")))</f>
        <v>Low</v>
      </c>
      <c r="M342" s="4" t="str" cm="1">
        <f t="array" ref="M34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42" s="4" cm="1">
        <f t="array" ref="N34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342" s="4">
        <f>Table15678[[#This Row],[Total Amount]]-Table15678[[#This Row],[Discount Amount]]</f>
        <v>170</v>
      </c>
      <c r="P342" s="4" t="str">
        <f>IF(Table15678[[#This Row],[Total Amount]]&gt;=1000,"High","Low")</f>
        <v>Low</v>
      </c>
      <c r="Q342" s="4" t="str" cm="1">
        <f t="array" ref="Q342">_xlfn.IFS(AND(Table15678[[#This Row],[Total Amount]]&gt;=1500,"Critical"),AND(Table15678[[#This Row],[Total Amount]]&gt;=1000,"High"),TRUE,"Normal")</f>
        <v>Normal</v>
      </c>
      <c r="R342" s="4" t="str">
        <f>CONCATENATE(Table15678[[#This Row],[Customer ID]], "-",Table15678[[#This Row],[Age]])</f>
        <v>CUST341-31</v>
      </c>
      <c r="S342" s="4" t="str">
        <f>TEXT(Table15678[[#This Row],[Date]],"mmm")</f>
        <v>May</v>
      </c>
      <c r="T342" s="4" t="str">
        <f>TEXT(Table15678[[#This Row],[Date]],"DDD")</f>
        <v>Sun</v>
      </c>
    </row>
    <row r="343" spans="1:20" ht="29" x14ac:dyDescent="0.35">
      <c r="A343" s="4">
        <v>342</v>
      </c>
      <c r="B343" s="5">
        <v>45223</v>
      </c>
      <c r="C343" s="4" t="s">
        <v>355</v>
      </c>
      <c r="D343" s="4" t="s">
        <v>13</v>
      </c>
      <c r="E343" s="4">
        <v>43</v>
      </c>
      <c r="F343" s="4" t="str">
        <f>IF(Table15678[[#This Row],[Age]]&lt;=19,"Teenager",IF(Table15678[[#This Row],[Age]]&lt;=40,"Median","Old"))</f>
        <v>Old</v>
      </c>
      <c r="G343" s="4" t="s">
        <v>14</v>
      </c>
      <c r="H343" s="4">
        <v>4</v>
      </c>
      <c r="I343" s="4">
        <v>500</v>
      </c>
      <c r="J343" s="4">
        <v>2000</v>
      </c>
      <c r="K343" s="4" t="str" cm="1">
        <f t="array" ref="K343">_xlfn.IFS(AND(Table15678[[#This Row],[Total Amount]]&gt;=1500),"Critical",AND(Table15678[[#This Row],[Total Amount]]&gt;=1000),"High",TRUE,"Normal")</f>
        <v>Critical</v>
      </c>
      <c r="L343" s="4" t="str">
        <f>IF(Table15678[[#This Row],[Total Amount]]&gt;=1000,"High",(IF(Table15678[[#This Row],[Total Amount]]&gt;=500,"Medium","Low")))</f>
        <v>High</v>
      </c>
      <c r="M343" s="4" t="str" cm="1">
        <f t="array" ref="M34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43" s="4" cm="1">
        <f t="array" ref="N34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400</v>
      </c>
      <c r="O343" s="4">
        <f>Table15678[[#This Row],[Total Amount]]-Table15678[[#This Row],[Discount Amount]]</f>
        <v>1600</v>
      </c>
      <c r="P343" s="4" t="str">
        <f>IF(Table15678[[#This Row],[Total Amount]]&gt;=1000,"High","Low")</f>
        <v>High</v>
      </c>
      <c r="Q343" s="4" t="b" cm="1">
        <f t="array" ref="Q343">_xlfn.IFS(AND(Table15678[[#This Row],[Total Amount]]&gt;=1500,"Critical"),AND(Table15678[[#This Row],[Total Amount]]&gt;=1000,"High"),TRUE,"Normal")</f>
        <v>1</v>
      </c>
      <c r="R343" s="4" t="str">
        <f>CONCATENATE(Table15678[[#This Row],[Customer ID]], "-",Table15678[[#This Row],[Age]])</f>
        <v>CUST342-43</v>
      </c>
      <c r="S343" s="4" t="str">
        <f>TEXT(Table15678[[#This Row],[Date]],"mmm")</f>
        <v>Oct</v>
      </c>
      <c r="T343" s="4" t="str">
        <f>TEXT(Table15678[[#This Row],[Date]],"DDD")</f>
        <v>Tue</v>
      </c>
    </row>
    <row r="344" spans="1:20" ht="29" x14ac:dyDescent="0.35">
      <c r="A344" s="4">
        <v>343</v>
      </c>
      <c r="B344" s="5">
        <v>45231</v>
      </c>
      <c r="C344" s="4" t="s">
        <v>356</v>
      </c>
      <c r="D344" s="4" t="s">
        <v>10</v>
      </c>
      <c r="E344" s="4">
        <v>21</v>
      </c>
      <c r="F344" s="4" t="str">
        <f>IF(Table15678[[#This Row],[Age]]&lt;=19,"Teenager",IF(Table15678[[#This Row],[Age]]&lt;=40,"Median","Old"))</f>
        <v>Median</v>
      </c>
      <c r="G344" s="4" t="s">
        <v>16</v>
      </c>
      <c r="H344" s="4">
        <v>2</v>
      </c>
      <c r="I344" s="4">
        <v>25</v>
      </c>
      <c r="J344" s="4">
        <v>50</v>
      </c>
      <c r="K344" s="4" t="str" cm="1">
        <f t="array" ref="K344">_xlfn.IFS(AND(Table15678[[#This Row],[Total Amount]]&gt;=1500),"Critical",AND(Table15678[[#This Row],[Total Amount]]&gt;=1000),"High",TRUE,"Normal")</f>
        <v>Normal</v>
      </c>
      <c r="L344" s="4" t="str">
        <f>IF(Table15678[[#This Row],[Total Amount]]&gt;=1000,"High",(IF(Table15678[[#This Row],[Total Amount]]&gt;=500,"Medium","Low")))</f>
        <v>Low</v>
      </c>
      <c r="M344" s="4" t="str" cm="1">
        <f t="array" ref="M34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344" s="4" cm="1">
        <f t="array" ref="N34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344" s="4">
        <f>Table15678[[#This Row],[Total Amount]]-Table15678[[#This Row],[Discount Amount]]</f>
        <v>50</v>
      </c>
      <c r="P344" s="4" t="str">
        <f>IF(Table15678[[#This Row],[Total Amount]]&gt;=1000,"High","Low")</f>
        <v>Low</v>
      </c>
      <c r="Q344" s="4" t="str" cm="1">
        <f t="array" ref="Q344">_xlfn.IFS(AND(Table15678[[#This Row],[Total Amount]]&gt;=1500,"Critical"),AND(Table15678[[#This Row],[Total Amount]]&gt;=1000,"High"),TRUE,"Normal")</f>
        <v>Normal</v>
      </c>
      <c r="R344" s="4" t="str">
        <f>CONCATENATE(Table15678[[#This Row],[Customer ID]], "-",Table15678[[#This Row],[Age]])</f>
        <v>CUST343-21</v>
      </c>
      <c r="S344" s="4" t="str">
        <f>TEXT(Table15678[[#This Row],[Date]],"mmm")</f>
        <v>Nov</v>
      </c>
      <c r="T344" s="4" t="str">
        <f>TEXT(Table15678[[#This Row],[Date]],"DDD")</f>
        <v>Wed</v>
      </c>
    </row>
    <row r="345" spans="1:20" ht="29" x14ac:dyDescent="0.35">
      <c r="A345" s="4">
        <v>344</v>
      </c>
      <c r="B345" s="5">
        <v>44947</v>
      </c>
      <c r="C345" s="4" t="s">
        <v>357</v>
      </c>
      <c r="D345" s="4" t="s">
        <v>13</v>
      </c>
      <c r="E345" s="4">
        <v>42</v>
      </c>
      <c r="F345" s="4" t="str">
        <f>IF(Table15678[[#This Row],[Age]]&lt;=19,"Teenager",IF(Table15678[[#This Row],[Age]]&lt;=40,"Median","Old"))</f>
        <v>Old</v>
      </c>
      <c r="G345" s="4" t="s">
        <v>11</v>
      </c>
      <c r="H345" s="4">
        <v>1</v>
      </c>
      <c r="I345" s="4">
        <v>30</v>
      </c>
      <c r="J345" s="4">
        <v>30</v>
      </c>
      <c r="K345" s="4" t="str" cm="1">
        <f t="array" ref="K345">_xlfn.IFS(AND(Table15678[[#This Row],[Total Amount]]&gt;=1500),"Critical",AND(Table15678[[#This Row],[Total Amount]]&gt;=1000),"High",TRUE,"Normal")</f>
        <v>Normal</v>
      </c>
      <c r="L345" s="4" t="str">
        <f>IF(Table15678[[#This Row],[Total Amount]]&gt;=1000,"High",(IF(Table15678[[#This Row],[Total Amount]]&gt;=500,"Medium","Low")))</f>
        <v>Low</v>
      </c>
      <c r="M345" s="4" t="str" cm="1">
        <f t="array" ref="M34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45" s="4" cm="1">
        <f t="array" ref="N34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345" s="4">
        <f>Table15678[[#This Row],[Total Amount]]-Table15678[[#This Row],[Discount Amount]]</f>
        <v>24</v>
      </c>
      <c r="P345" s="4" t="str">
        <f>IF(Table15678[[#This Row],[Total Amount]]&gt;=1000,"High","Low")</f>
        <v>Low</v>
      </c>
      <c r="Q345" s="4" t="str" cm="1">
        <f t="array" ref="Q345">_xlfn.IFS(AND(Table15678[[#This Row],[Total Amount]]&gt;=1500,"Critical"),AND(Table15678[[#This Row],[Total Amount]]&gt;=1000,"High"),TRUE,"Normal")</f>
        <v>Normal</v>
      </c>
      <c r="R345" s="4" t="str">
        <f>CONCATENATE(Table15678[[#This Row],[Customer ID]], "-",Table15678[[#This Row],[Age]])</f>
        <v>CUST344-42</v>
      </c>
      <c r="S345" s="4" t="str">
        <f>TEXT(Table15678[[#This Row],[Date]],"mmm")</f>
        <v>Jan</v>
      </c>
      <c r="T345" s="4" t="str">
        <f>TEXT(Table15678[[#This Row],[Date]],"DDD")</f>
        <v>Sat</v>
      </c>
    </row>
    <row r="346" spans="1:20" ht="29" x14ac:dyDescent="0.35">
      <c r="A346" s="4">
        <v>345</v>
      </c>
      <c r="B346" s="5">
        <v>45244</v>
      </c>
      <c r="C346" s="4" t="s">
        <v>358</v>
      </c>
      <c r="D346" s="4" t="s">
        <v>10</v>
      </c>
      <c r="E346" s="4">
        <v>62</v>
      </c>
      <c r="F346" s="4" t="str">
        <f>IF(Table15678[[#This Row],[Age]]&lt;=19,"Teenager",IF(Table15678[[#This Row],[Age]]&lt;=40,"Median","Old"))</f>
        <v>Old</v>
      </c>
      <c r="G346" s="4" t="s">
        <v>16</v>
      </c>
      <c r="H346" s="4">
        <v>1</v>
      </c>
      <c r="I346" s="4">
        <v>30</v>
      </c>
      <c r="J346" s="4">
        <v>30</v>
      </c>
      <c r="K346" s="4" t="str" cm="1">
        <f t="array" ref="K346">_xlfn.IFS(AND(Table15678[[#This Row],[Total Amount]]&gt;=1500),"Critical",AND(Table15678[[#This Row],[Total Amount]]&gt;=1000),"High",TRUE,"Normal")</f>
        <v>Normal</v>
      </c>
      <c r="L346" s="4" t="str">
        <f>IF(Table15678[[#This Row],[Total Amount]]&gt;=1000,"High",(IF(Table15678[[#This Row],[Total Amount]]&gt;=500,"Medium","Low")))</f>
        <v>Low</v>
      </c>
      <c r="M346" s="4" t="str" cm="1">
        <f t="array" ref="M34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46" s="4" cm="1">
        <f t="array" ref="N34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</v>
      </c>
      <c r="O346" s="4">
        <f>Table15678[[#This Row],[Total Amount]]-Table15678[[#This Row],[Discount Amount]]</f>
        <v>27</v>
      </c>
      <c r="P346" s="4" t="str">
        <f>IF(Table15678[[#This Row],[Total Amount]]&gt;=1000,"High","Low")</f>
        <v>Low</v>
      </c>
      <c r="Q346" s="4" t="str" cm="1">
        <f t="array" ref="Q346">_xlfn.IFS(AND(Table15678[[#This Row],[Total Amount]]&gt;=1500,"Critical"),AND(Table15678[[#This Row],[Total Amount]]&gt;=1000,"High"),TRUE,"Normal")</f>
        <v>Normal</v>
      </c>
      <c r="R346" s="4" t="str">
        <f>CONCATENATE(Table15678[[#This Row],[Customer ID]], "-",Table15678[[#This Row],[Age]])</f>
        <v>CUST345-62</v>
      </c>
      <c r="S346" s="4" t="str">
        <f>TEXT(Table15678[[#This Row],[Date]],"mmm")</f>
        <v>Nov</v>
      </c>
      <c r="T346" s="4" t="str">
        <f>TEXT(Table15678[[#This Row],[Date]],"DDD")</f>
        <v>Tue</v>
      </c>
    </row>
    <row r="347" spans="1:20" ht="29" x14ac:dyDescent="0.35">
      <c r="A347" s="4">
        <v>346</v>
      </c>
      <c r="B347" s="5">
        <v>44968</v>
      </c>
      <c r="C347" s="4" t="s">
        <v>359</v>
      </c>
      <c r="D347" s="4" t="s">
        <v>10</v>
      </c>
      <c r="E347" s="4">
        <v>59</v>
      </c>
      <c r="F347" s="4" t="str">
        <f>IF(Table15678[[#This Row],[Age]]&lt;=19,"Teenager",IF(Table15678[[#This Row],[Age]]&lt;=40,"Median","Old"))</f>
        <v>Old</v>
      </c>
      <c r="G347" s="4" t="s">
        <v>14</v>
      </c>
      <c r="H347" s="4">
        <v>2</v>
      </c>
      <c r="I347" s="4">
        <v>500</v>
      </c>
      <c r="J347" s="4">
        <v>1000</v>
      </c>
      <c r="K347" s="4" t="str" cm="1">
        <f t="array" ref="K347">_xlfn.IFS(AND(Table15678[[#This Row],[Total Amount]]&gt;=1500),"Critical",AND(Table15678[[#This Row],[Total Amount]]&gt;=1000),"High",TRUE,"Normal")</f>
        <v>High</v>
      </c>
      <c r="L347" s="4" t="str">
        <f>IF(Table15678[[#This Row],[Total Amount]]&gt;=1000,"High",(IF(Table15678[[#This Row],[Total Amount]]&gt;=500,"Medium","Low")))</f>
        <v>High</v>
      </c>
      <c r="M347" s="4" t="str" cm="1">
        <f t="array" ref="M34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47" s="4" cm="1">
        <f t="array" ref="N34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347" s="4">
        <f>Table15678[[#This Row],[Total Amount]]-Table15678[[#This Row],[Discount Amount]]</f>
        <v>900</v>
      </c>
      <c r="P347" s="4" t="str">
        <f>IF(Table15678[[#This Row],[Total Amount]]&gt;=1000,"High","Low")</f>
        <v>High</v>
      </c>
      <c r="Q347" s="4" t="str" cm="1">
        <f t="array" ref="Q347">_xlfn.IFS(AND(Table15678[[#This Row],[Total Amount]]&gt;=1500,"Critical"),AND(Table15678[[#This Row],[Total Amount]]&gt;=1000,"High"),TRUE,"Normal")</f>
        <v>Normal</v>
      </c>
      <c r="R347" s="4" t="str">
        <f>CONCATENATE(Table15678[[#This Row],[Customer ID]], "-",Table15678[[#This Row],[Age]])</f>
        <v>CUST346-59</v>
      </c>
      <c r="S347" s="4" t="str">
        <f>TEXT(Table15678[[#This Row],[Date]],"mmm")</f>
        <v>Feb</v>
      </c>
      <c r="T347" s="4" t="str">
        <f>TEXT(Table15678[[#This Row],[Date]],"DDD")</f>
        <v>Sat</v>
      </c>
    </row>
    <row r="348" spans="1:20" ht="29" x14ac:dyDescent="0.35">
      <c r="A348" s="4">
        <v>347</v>
      </c>
      <c r="B348" s="5">
        <v>45141</v>
      </c>
      <c r="C348" s="4" t="s">
        <v>360</v>
      </c>
      <c r="D348" s="4" t="s">
        <v>10</v>
      </c>
      <c r="E348" s="4">
        <v>42</v>
      </c>
      <c r="F348" s="4" t="str">
        <f>IF(Table15678[[#This Row],[Age]]&lt;=19,"Teenager",IF(Table15678[[#This Row],[Age]]&lt;=40,"Median","Old"))</f>
        <v>Old</v>
      </c>
      <c r="G348" s="4" t="s">
        <v>16</v>
      </c>
      <c r="H348" s="4">
        <v>1</v>
      </c>
      <c r="I348" s="4">
        <v>25</v>
      </c>
      <c r="J348" s="4">
        <v>25</v>
      </c>
      <c r="K348" s="4" t="str" cm="1">
        <f t="array" ref="K348">_xlfn.IFS(AND(Table15678[[#This Row],[Total Amount]]&gt;=1500),"Critical",AND(Table15678[[#This Row],[Total Amount]]&gt;=1000),"High",TRUE,"Normal")</f>
        <v>Normal</v>
      </c>
      <c r="L348" s="4" t="str">
        <f>IF(Table15678[[#This Row],[Total Amount]]&gt;=1000,"High",(IF(Table15678[[#This Row],[Total Amount]]&gt;=500,"Medium","Low")))</f>
        <v>Low</v>
      </c>
      <c r="M348" s="4" t="str" cm="1">
        <f t="array" ref="M34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48" s="4" cm="1">
        <f t="array" ref="N34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2.5</v>
      </c>
      <c r="O348" s="4">
        <f>Table15678[[#This Row],[Total Amount]]-Table15678[[#This Row],[Discount Amount]]</f>
        <v>22.5</v>
      </c>
      <c r="P348" s="4" t="str">
        <f>IF(Table15678[[#This Row],[Total Amount]]&gt;=1000,"High","Low")</f>
        <v>Low</v>
      </c>
      <c r="Q348" s="4" t="str" cm="1">
        <f t="array" ref="Q348">_xlfn.IFS(AND(Table15678[[#This Row],[Total Amount]]&gt;=1500,"Critical"),AND(Table15678[[#This Row],[Total Amount]]&gt;=1000,"High"),TRUE,"Normal")</f>
        <v>Normal</v>
      </c>
      <c r="R348" s="4" t="str">
        <f>CONCATENATE(Table15678[[#This Row],[Customer ID]], "-",Table15678[[#This Row],[Age]])</f>
        <v>CUST347-42</v>
      </c>
      <c r="S348" s="4" t="str">
        <f>TEXT(Table15678[[#This Row],[Date]],"mmm")</f>
        <v>Aug</v>
      </c>
      <c r="T348" s="4" t="str">
        <f>TEXT(Table15678[[#This Row],[Date]],"DDD")</f>
        <v>Thu</v>
      </c>
    </row>
    <row r="349" spans="1:20" ht="29" x14ac:dyDescent="0.35">
      <c r="A349" s="4">
        <v>348</v>
      </c>
      <c r="B349" s="5">
        <v>45263</v>
      </c>
      <c r="C349" s="4" t="s">
        <v>361</v>
      </c>
      <c r="D349" s="4" t="s">
        <v>13</v>
      </c>
      <c r="E349" s="4">
        <v>35</v>
      </c>
      <c r="F349" s="4" t="str">
        <f>IF(Table15678[[#This Row],[Age]]&lt;=19,"Teenager",IF(Table15678[[#This Row],[Age]]&lt;=40,"Median","Old"))</f>
        <v>Median</v>
      </c>
      <c r="G349" s="4" t="s">
        <v>16</v>
      </c>
      <c r="H349" s="4">
        <v>2</v>
      </c>
      <c r="I349" s="4">
        <v>300</v>
      </c>
      <c r="J349" s="4">
        <v>600</v>
      </c>
      <c r="K349" s="4" t="str" cm="1">
        <f t="array" ref="K349">_xlfn.IFS(AND(Table15678[[#This Row],[Total Amount]]&gt;=1500),"Critical",AND(Table15678[[#This Row],[Total Amount]]&gt;=1000),"High",TRUE,"Normal")</f>
        <v>Normal</v>
      </c>
      <c r="L349" s="4" t="str">
        <f>IF(Table15678[[#This Row],[Total Amount]]&gt;=1000,"High",(IF(Table15678[[#This Row],[Total Amount]]&gt;=500,"Medium","Low")))</f>
        <v>Medium</v>
      </c>
      <c r="M349" s="4" t="str" cm="1">
        <f t="array" ref="M34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49" s="4" cm="1">
        <f t="array" ref="N34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120</v>
      </c>
      <c r="O349" s="4">
        <f>Table15678[[#This Row],[Total Amount]]-Table15678[[#This Row],[Discount Amount]]</f>
        <v>480</v>
      </c>
      <c r="P349" s="4" t="str">
        <f>IF(Table15678[[#This Row],[Total Amount]]&gt;=1000,"High","Low")</f>
        <v>Low</v>
      </c>
      <c r="Q349" s="4" t="str" cm="1">
        <f t="array" ref="Q349">_xlfn.IFS(AND(Table15678[[#This Row],[Total Amount]]&gt;=1500,"Critical"),AND(Table15678[[#This Row],[Total Amount]]&gt;=1000,"High"),TRUE,"Normal")</f>
        <v>Normal</v>
      </c>
      <c r="R349" s="4" t="str">
        <f>CONCATENATE(Table15678[[#This Row],[Customer ID]], "-",Table15678[[#This Row],[Age]])</f>
        <v>CUST348-35</v>
      </c>
      <c r="S349" s="4" t="str">
        <f>TEXT(Table15678[[#This Row],[Date]],"mmm")</f>
        <v>Dec</v>
      </c>
      <c r="T349" s="4" t="str">
        <f>TEXT(Table15678[[#This Row],[Date]],"DDD")</f>
        <v>Sun</v>
      </c>
    </row>
    <row r="350" spans="1:20" ht="29" x14ac:dyDescent="0.35">
      <c r="A350" s="4">
        <v>349</v>
      </c>
      <c r="B350" s="5">
        <v>45225</v>
      </c>
      <c r="C350" s="4" t="s">
        <v>362</v>
      </c>
      <c r="D350" s="4" t="s">
        <v>13</v>
      </c>
      <c r="E350" s="4">
        <v>57</v>
      </c>
      <c r="F350" s="4" t="str">
        <f>IF(Table15678[[#This Row],[Age]]&lt;=19,"Teenager",IF(Table15678[[#This Row],[Age]]&lt;=40,"Median","Old"))</f>
        <v>Old</v>
      </c>
      <c r="G350" s="4" t="s">
        <v>11</v>
      </c>
      <c r="H350" s="4">
        <v>1</v>
      </c>
      <c r="I350" s="4">
        <v>50</v>
      </c>
      <c r="J350" s="4">
        <v>50</v>
      </c>
      <c r="K350" s="4" t="str" cm="1">
        <f t="array" ref="K350">_xlfn.IFS(AND(Table15678[[#This Row],[Total Amount]]&gt;=1500),"Critical",AND(Table15678[[#This Row],[Total Amount]]&gt;=1000),"High",TRUE,"Normal")</f>
        <v>Normal</v>
      </c>
      <c r="L350" s="4" t="str">
        <f>IF(Table15678[[#This Row],[Total Amount]]&gt;=1000,"High",(IF(Table15678[[#This Row],[Total Amount]]&gt;=500,"Medium","Low")))</f>
        <v>Low</v>
      </c>
      <c r="M350" s="4" t="str" cm="1">
        <f t="array" ref="M35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50" s="4" cm="1">
        <f t="array" ref="N35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350" s="4">
        <f>Table15678[[#This Row],[Total Amount]]-Table15678[[#This Row],[Discount Amount]]</f>
        <v>40</v>
      </c>
      <c r="P350" s="4" t="str">
        <f>IF(Table15678[[#This Row],[Total Amount]]&gt;=1000,"High","Low")</f>
        <v>Low</v>
      </c>
      <c r="Q350" s="4" t="str" cm="1">
        <f t="array" ref="Q350">_xlfn.IFS(AND(Table15678[[#This Row],[Total Amount]]&gt;=1500,"Critical"),AND(Table15678[[#This Row],[Total Amount]]&gt;=1000,"High"),TRUE,"Normal")</f>
        <v>Normal</v>
      </c>
      <c r="R350" s="4" t="str">
        <f>CONCATENATE(Table15678[[#This Row],[Customer ID]], "-",Table15678[[#This Row],[Age]])</f>
        <v>CUST349-57</v>
      </c>
      <c r="S350" s="4" t="str">
        <f>TEXT(Table15678[[#This Row],[Date]],"mmm")</f>
        <v>Oct</v>
      </c>
      <c r="T350" s="4" t="str">
        <f>TEXT(Table15678[[#This Row],[Date]],"DDD")</f>
        <v>Thu</v>
      </c>
    </row>
    <row r="351" spans="1:20" ht="29" x14ac:dyDescent="0.35">
      <c r="A351" s="4">
        <v>350</v>
      </c>
      <c r="B351" s="5">
        <v>45216</v>
      </c>
      <c r="C351" s="4" t="s">
        <v>363</v>
      </c>
      <c r="D351" s="4" t="s">
        <v>10</v>
      </c>
      <c r="E351" s="4">
        <v>25</v>
      </c>
      <c r="F351" s="4" t="str">
        <f>IF(Table15678[[#This Row],[Age]]&lt;=19,"Teenager",IF(Table15678[[#This Row],[Age]]&lt;=40,"Median","Old"))</f>
        <v>Median</v>
      </c>
      <c r="G351" s="4" t="s">
        <v>11</v>
      </c>
      <c r="H351" s="4">
        <v>3</v>
      </c>
      <c r="I351" s="4">
        <v>25</v>
      </c>
      <c r="J351" s="4">
        <v>75</v>
      </c>
      <c r="K351" s="4" t="str" cm="1">
        <f t="array" ref="K351">_xlfn.IFS(AND(Table15678[[#This Row],[Total Amount]]&gt;=1500),"Critical",AND(Table15678[[#This Row],[Total Amount]]&gt;=1000),"High",TRUE,"Normal")</f>
        <v>Normal</v>
      </c>
      <c r="L351" s="4" t="str">
        <f>IF(Table15678[[#This Row],[Total Amount]]&gt;=1000,"High",(IF(Table15678[[#This Row],[Total Amount]]&gt;=500,"Medium","Low")))</f>
        <v>Low</v>
      </c>
      <c r="M351" s="4" t="str" cm="1">
        <f t="array" ref="M35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51" s="4" cm="1">
        <f t="array" ref="N35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11.25</v>
      </c>
      <c r="O351" s="4">
        <f>Table15678[[#This Row],[Total Amount]]-Table15678[[#This Row],[Discount Amount]]</f>
        <v>63.75</v>
      </c>
      <c r="P351" s="4" t="str">
        <f>IF(Table15678[[#This Row],[Total Amount]]&gt;=1000,"High","Low")</f>
        <v>Low</v>
      </c>
      <c r="Q351" s="4" t="str" cm="1">
        <f t="array" ref="Q351">_xlfn.IFS(AND(Table15678[[#This Row],[Total Amount]]&gt;=1500,"Critical"),AND(Table15678[[#This Row],[Total Amount]]&gt;=1000,"High"),TRUE,"Normal")</f>
        <v>Normal</v>
      </c>
      <c r="R351" s="4" t="str">
        <f>CONCATENATE(Table15678[[#This Row],[Customer ID]], "-",Table15678[[#This Row],[Age]])</f>
        <v>CUST350-25</v>
      </c>
      <c r="S351" s="4" t="str">
        <f>TEXT(Table15678[[#This Row],[Date]],"mmm")</f>
        <v>Oct</v>
      </c>
      <c r="T351" s="4" t="str">
        <f>TEXT(Table15678[[#This Row],[Date]],"DDD")</f>
        <v>Tue</v>
      </c>
    </row>
    <row r="352" spans="1:20" ht="29" x14ac:dyDescent="0.35">
      <c r="A352" s="4">
        <v>351</v>
      </c>
      <c r="B352" s="5">
        <v>45194</v>
      </c>
      <c r="C352" s="4" t="s">
        <v>364</v>
      </c>
      <c r="D352" s="4" t="s">
        <v>13</v>
      </c>
      <c r="E352" s="4">
        <v>56</v>
      </c>
      <c r="F352" s="4" t="str">
        <f>IF(Table15678[[#This Row],[Age]]&lt;=19,"Teenager",IF(Table15678[[#This Row],[Age]]&lt;=40,"Median","Old"))</f>
        <v>Old</v>
      </c>
      <c r="G352" s="4" t="s">
        <v>14</v>
      </c>
      <c r="H352" s="4">
        <v>3</v>
      </c>
      <c r="I352" s="4">
        <v>30</v>
      </c>
      <c r="J352" s="4">
        <v>90</v>
      </c>
      <c r="K352" s="4" t="str" cm="1">
        <f t="array" ref="K352">_xlfn.IFS(AND(Table15678[[#This Row],[Total Amount]]&gt;=1500),"Critical",AND(Table15678[[#This Row],[Total Amount]]&gt;=1000),"High",TRUE,"Normal")</f>
        <v>Normal</v>
      </c>
      <c r="L352" s="4" t="str">
        <f>IF(Table15678[[#This Row],[Total Amount]]&gt;=1000,"High",(IF(Table15678[[#This Row],[Total Amount]]&gt;=500,"Medium","Low")))</f>
        <v>Low</v>
      </c>
      <c r="M352" s="4" t="str" cm="1">
        <f t="array" ref="M35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52" s="4" cm="1">
        <f t="array" ref="N35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</v>
      </c>
      <c r="O352" s="4">
        <f>Table15678[[#This Row],[Total Amount]]-Table15678[[#This Row],[Discount Amount]]</f>
        <v>72</v>
      </c>
      <c r="P352" s="4" t="str">
        <f>IF(Table15678[[#This Row],[Total Amount]]&gt;=1000,"High","Low")</f>
        <v>Low</v>
      </c>
      <c r="Q352" s="4" t="str" cm="1">
        <f t="array" ref="Q352">_xlfn.IFS(AND(Table15678[[#This Row],[Total Amount]]&gt;=1500,"Critical"),AND(Table15678[[#This Row],[Total Amount]]&gt;=1000,"High"),TRUE,"Normal")</f>
        <v>Normal</v>
      </c>
      <c r="R352" s="4" t="str">
        <f>CONCATENATE(Table15678[[#This Row],[Customer ID]], "-",Table15678[[#This Row],[Age]])</f>
        <v>CUST351-56</v>
      </c>
      <c r="S352" s="4" t="str">
        <f>TEXT(Table15678[[#This Row],[Date]],"mmm")</f>
        <v>Sep</v>
      </c>
      <c r="T352" s="4" t="str">
        <f>TEXT(Table15678[[#This Row],[Date]],"DDD")</f>
        <v>Mon</v>
      </c>
    </row>
    <row r="353" spans="1:20" ht="29" x14ac:dyDescent="0.35">
      <c r="A353" s="4">
        <v>352</v>
      </c>
      <c r="B353" s="5">
        <v>45088</v>
      </c>
      <c r="C353" s="4" t="s">
        <v>365</v>
      </c>
      <c r="D353" s="4" t="s">
        <v>10</v>
      </c>
      <c r="E353" s="4">
        <v>57</v>
      </c>
      <c r="F353" s="4" t="str">
        <f>IF(Table15678[[#This Row],[Age]]&lt;=19,"Teenager",IF(Table15678[[#This Row],[Age]]&lt;=40,"Median","Old"))</f>
        <v>Old</v>
      </c>
      <c r="G353" s="4" t="s">
        <v>16</v>
      </c>
      <c r="H353" s="4">
        <v>2</v>
      </c>
      <c r="I353" s="4">
        <v>500</v>
      </c>
      <c r="J353" s="4">
        <v>1000</v>
      </c>
      <c r="K353" s="4" t="str" cm="1">
        <f t="array" ref="K353">_xlfn.IFS(AND(Table15678[[#This Row],[Total Amount]]&gt;=1500),"Critical",AND(Table15678[[#This Row],[Total Amount]]&gt;=1000),"High",TRUE,"Normal")</f>
        <v>High</v>
      </c>
      <c r="L353" s="4" t="str">
        <f>IF(Table15678[[#This Row],[Total Amount]]&gt;=1000,"High",(IF(Table15678[[#This Row],[Total Amount]]&gt;=500,"Medium","Low")))</f>
        <v>High</v>
      </c>
      <c r="M353" s="4" t="str" cm="1">
        <f t="array" ref="M35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53" s="4" cm="1">
        <f t="array" ref="N35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353" s="4">
        <f>Table15678[[#This Row],[Total Amount]]-Table15678[[#This Row],[Discount Amount]]</f>
        <v>900</v>
      </c>
      <c r="P353" s="4" t="str">
        <f>IF(Table15678[[#This Row],[Total Amount]]&gt;=1000,"High","Low")</f>
        <v>High</v>
      </c>
      <c r="Q353" s="4" t="str" cm="1">
        <f t="array" ref="Q353">_xlfn.IFS(AND(Table15678[[#This Row],[Total Amount]]&gt;=1500,"Critical"),AND(Table15678[[#This Row],[Total Amount]]&gt;=1000,"High"),TRUE,"Normal")</f>
        <v>Normal</v>
      </c>
      <c r="R353" s="4" t="str">
        <f>CONCATENATE(Table15678[[#This Row],[Customer ID]], "-",Table15678[[#This Row],[Age]])</f>
        <v>CUST352-57</v>
      </c>
      <c r="S353" s="4" t="str">
        <f>TEXT(Table15678[[#This Row],[Date]],"mmm")</f>
        <v>Jun</v>
      </c>
      <c r="T353" s="4" t="str">
        <f>TEXT(Table15678[[#This Row],[Date]],"DDD")</f>
        <v>Sun</v>
      </c>
    </row>
    <row r="354" spans="1:20" ht="29" x14ac:dyDescent="0.35">
      <c r="A354" s="4">
        <v>353</v>
      </c>
      <c r="B354" s="5">
        <v>45060</v>
      </c>
      <c r="C354" s="4" t="s">
        <v>366</v>
      </c>
      <c r="D354" s="4" t="s">
        <v>10</v>
      </c>
      <c r="E354" s="4">
        <v>31</v>
      </c>
      <c r="F354" s="4" t="str">
        <f>IF(Table15678[[#This Row],[Age]]&lt;=19,"Teenager",IF(Table15678[[#This Row],[Age]]&lt;=40,"Median","Old"))</f>
        <v>Median</v>
      </c>
      <c r="G354" s="4" t="s">
        <v>16</v>
      </c>
      <c r="H354" s="4">
        <v>1</v>
      </c>
      <c r="I354" s="4">
        <v>500</v>
      </c>
      <c r="J354" s="4">
        <v>500</v>
      </c>
      <c r="K354" s="4" t="str" cm="1">
        <f t="array" ref="K354">_xlfn.IFS(AND(Table15678[[#This Row],[Total Amount]]&gt;=1500),"Critical",AND(Table15678[[#This Row],[Total Amount]]&gt;=1000),"High",TRUE,"Normal")</f>
        <v>Normal</v>
      </c>
      <c r="L354" s="4" t="str">
        <f>IF(Table15678[[#This Row],[Total Amount]]&gt;=1000,"High",(IF(Table15678[[#This Row],[Total Amount]]&gt;=500,"Medium","Low")))</f>
        <v>Medium</v>
      </c>
      <c r="M354" s="4" t="str" cm="1">
        <f t="array" ref="M35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54" s="4" cm="1">
        <f t="array" ref="N35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75</v>
      </c>
      <c r="O354" s="4">
        <f>Table15678[[#This Row],[Total Amount]]-Table15678[[#This Row],[Discount Amount]]</f>
        <v>425</v>
      </c>
      <c r="P354" s="4" t="str">
        <f>IF(Table15678[[#This Row],[Total Amount]]&gt;=1000,"High","Low")</f>
        <v>Low</v>
      </c>
      <c r="Q354" s="4" t="str" cm="1">
        <f t="array" ref="Q354">_xlfn.IFS(AND(Table15678[[#This Row],[Total Amount]]&gt;=1500,"Critical"),AND(Table15678[[#This Row],[Total Amount]]&gt;=1000,"High"),TRUE,"Normal")</f>
        <v>Normal</v>
      </c>
      <c r="R354" s="4" t="str">
        <f>CONCATENATE(Table15678[[#This Row],[Customer ID]], "-",Table15678[[#This Row],[Age]])</f>
        <v>CUST353-31</v>
      </c>
      <c r="S354" s="4" t="str">
        <f>TEXT(Table15678[[#This Row],[Date]],"mmm")</f>
        <v>May</v>
      </c>
      <c r="T354" s="4" t="str">
        <f>TEXT(Table15678[[#This Row],[Date]],"DDD")</f>
        <v>Sun</v>
      </c>
    </row>
    <row r="355" spans="1:20" ht="29" x14ac:dyDescent="0.35">
      <c r="A355" s="4">
        <v>354</v>
      </c>
      <c r="B355" s="5">
        <v>45031</v>
      </c>
      <c r="C355" s="4" t="s">
        <v>367</v>
      </c>
      <c r="D355" s="4" t="s">
        <v>13</v>
      </c>
      <c r="E355" s="4">
        <v>49</v>
      </c>
      <c r="F355" s="4" t="str">
        <f>IF(Table15678[[#This Row],[Age]]&lt;=19,"Teenager",IF(Table15678[[#This Row],[Age]]&lt;=40,"Median","Old"))</f>
        <v>Old</v>
      </c>
      <c r="G355" s="4" t="s">
        <v>11</v>
      </c>
      <c r="H355" s="4">
        <v>4</v>
      </c>
      <c r="I355" s="4">
        <v>50</v>
      </c>
      <c r="J355" s="4">
        <v>200</v>
      </c>
      <c r="K355" s="4" t="str" cm="1">
        <f t="array" ref="K355">_xlfn.IFS(AND(Table15678[[#This Row],[Total Amount]]&gt;=1500),"Critical",AND(Table15678[[#This Row],[Total Amount]]&gt;=1000),"High",TRUE,"Normal")</f>
        <v>Normal</v>
      </c>
      <c r="L355" s="4" t="str">
        <f>IF(Table15678[[#This Row],[Total Amount]]&gt;=1000,"High",(IF(Table15678[[#This Row],[Total Amount]]&gt;=500,"Medium","Low")))</f>
        <v>Low</v>
      </c>
      <c r="M355" s="4" t="str" cm="1">
        <f t="array" ref="M35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55" s="4" cm="1">
        <f t="array" ref="N35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</v>
      </c>
      <c r="O355" s="4">
        <f>Table15678[[#This Row],[Total Amount]]-Table15678[[#This Row],[Discount Amount]]</f>
        <v>160</v>
      </c>
      <c r="P355" s="4" t="str">
        <f>IF(Table15678[[#This Row],[Total Amount]]&gt;=1000,"High","Low")</f>
        <v>Low</v>
      </c>
      <c r="Q355" s="4" t="str" cm="1">
        <f t="array" ref="Q355">_xlfn.IFS(AND(Table15678[[#This Row],[Total Amount]]&gt;=1500,"Critical"),AND(Table15678[[#This Row],[Total Amount]]&gt;=1000,"High"),TRUE,"Normal")</f>
        <v>Normal</v>
      </c>
      <c r="R355" s="4" t="str">
        <f>CONCATENATE(Table15678[[#This Row],[Customer ID]], "-",Table15678[[#This Row],[Age]])</f>
        <v>CUST354-49</v>
      </c>
      <c r="S355" s="4" t="str">
        <f>TEXT(Table15678[[#This Row],[Date]],"mmm")</f>
        <v>Apr</v>
      </c>
      <c r="T355" s="4" t="str">
        <f>TEXT(Table15678[[#This Row],[Date]],"DDD")</f>
        <v>Sat</v>
      </c>
    </row>
    <row r="356" spans="1:20" ht="29" x14ac:dyDescent="0.35">
      <c r="A356" s="4">
        <v>355</v>
      </c>
      <c r="B356" s="5">
        <v>45269</v>
      </c>
      <c r="C356" s="4" t="s">
        <v>368</v>
      </c>
      <c r="D356" s="4" t="s">
        <v>13</v>
      </c>
      <c r="E356" s="4">
        <v>55</v>
      </c>
      <c r="F356" s="4" t="str">
        <f>IF(Table15678[[#This Row],[Age]]&lt;=19,"Teenager",IF(Table15678[[#This Row],[Age]]&lt;=40,"Median","Old"))</f>
        <v>Old</v>
      </c>
      <c r="G356" s="4" t="s">
        <v>16</v>
      </c>
      <c r="H356" s="4">
        <v>1</v>
      </c>
      <c r="I356" s="4">
        <v>500</v>
      </c>
      <c r="J356" s="4">
        <v>500</v>
      </c>
      <c r="K356" s="4" t="str" cm="1">
        <f t="array" ref="K356">_xlfn.IFS(AND(Table15678[[#This Row],[Total Amount]]&gt;=1500),"Critical",AND(Table15678[[#This Row],[Total Amount]]&gt;=1000),"High",TRUE,"Normal")</f>
        <v>Normal</v>
      </c>
      <c r="L356" s="4" t="str">
        <f>IF(Table15678[[#This Row],[Total Amount]]&gt;=1000,"High",(IF(Table15678[[#This Row],[Total Amount]]&gt;=500,"Medium","Low")))</f>
        <v>Medium</v>
      </c>
      <c r="M356" s="4" t="str" cm="1">
        <f t="array" ref="M35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56" s="4" cm="1">
        <f t="array" ref="N35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356" s="4">
        <f>Table15678[[#This Row],[Total Amount]]-Table15678[[#This Row],[Discount Amount]]</f>
        <v>400</v>
      </c>
      <c r="P356" s="4" t="str">
        <f>IF(Table15678[[#This Row],[Total Amount]]&gt;=1000,"High","Low")</f>
        <v>Low</v>
      </c>
      <c r="Q356" s="4" t="str" cm="1">
        <f t="array" ref="Q356">_xlfn.IFS(AND(Table15678[[#This Row],[Total Amount]]&gt;=1500,"Critical"),AND(Table15678[[#This Row],[Total Amount]]&gt;=1000,"High"),TRUE,"Normal")</f>
        <v>Normal</v>
      </c>
      <c r="R356" s="4" t="str">
        <f>CONCATENATE(Table15678[[#This Row],[Customer ID]], "-",Table15678[[#This Row],[Age]])</f>
        <v>CUST355-55</v>
      </c>
      <c r="S356" s="4" t="str">
        <f>TEXT(Table15678[[#This Row],[Date]],"mmm")</f>
        <v>Dec</v>
      </c>
      <c r="T356" s="4" t="str">
        <f>TEXT(Table15678[[#This Row],[Date]],"DDD")</f>
        <v>Sat</v>
      </c>
    </row>
    <row r="357" spans="1:20" ht="29" x14ac:dyDescent="0.35">
      <c r="A357" s="4">
        <v>356</v>
      </c>
      <c r="B357" s="5">
        <v>45087</v>
      </c>
      <c r="C357" s="4" t="s">
        <v>369</v>
      </c>
      <c r="D357" s="4" t="s">
        <v>10</v>
      </c>
      <c r="E357" s="4">
        <v>50</v>
      </c>
      <c r="F357" s="4" t="str">
        <f>IF(Table15678[[#This Row],[Age]]&lt;=19,"Teenager",IF(Table15678[[#This Row],[Age]]&lt;=40,"Median","Old"))</f>
        <v>Old</v>
      </c>
      <c r="G357" s="4" t="s">
        <v>16</v>
      </c>
      <c r="H357" s="4">
        <v>3</v>
      </c>
      <c r="I357" s="4">
        <v>500</v>
      </c>
      <c r="J357" s="4">
        <v>1500</v>
      </c>
      <c r="K357" s="4" t="str" cm="1">
        <f t="array" ref="K357">_xlfn.IFS(AND(Table15678[[#This Row],[Total Amount]]&gt;=1500),"Critical",AND(Table15678[[#This Row],[Total Amount]]&gt;=1000),"High",TRUE,"Normal")</f>
        <v>Critical</v>
      </c>
      <c r="L357" s="4" t="str">
        <f>IF(Table15678[[#This Row],[Total Amount]]&gt;=1000,"High",(IF(Table15678[[#This Row],[Total Amount]]&gt;=500,"Medium","Low")))</f>
        <v>High</v>
      </c>
      <c r="M357" s="4" t="str" cm="1">
        <f t="array" ref="M35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57" s="4" cm="1">
        <f t="array" ref="N35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150</v>
      </c>
      <c r="O357" s="4">
        <f>Table15678[[#This Row],[Total Amount]]-Table15678[[#This Row],[Discount Amount]]</f>
        <v>1350</v>
      </c>
      <c r="P357" s="4" t="str">
        <f>IF(Table15678[[#This Row],[Total Amount]]&gt;=1000,"High","Low")</f>
        <v>High</v>
      </c>
      <c r="Q357" s="4" t="b" cm="1">
        <f t="array" ref="Q357">_xlfn.IFS(AND(Table15678[[#This Row],[Total Amount]]&gt;=1500,"Critical"),AND(Table15678[[#This Row],[Total Amount]]&gt;=1000,"High"),TRUE,"Normal")</f>
        <v>1</v>
      </c>
      <c r="R357" s="4" t="str">
        <f>CONCATENATE(Table15678[[#This Row],[Customer ID]], "-",Table15678[[#This Row],[Age]])</f>
        <v>CUST356-50</v>
      </c>
      <c r="S357" s="4" t="str">
        <f>TEXT(Table15678[[#This Row],[Date]],"mmm")</f>
        <v>Jun</v>
      </c>
      <c r="T357" s="4" t="str">
        <f>TEXT(Table15678[[#This Row],[Date]],"DDD")</f>
        <v>Sat</v>
      </c>
    </row>
    <row r="358" spans="1:20" ht="29" x14ac:dyDescent="0.35">
      <c r="A358" s="4">
        <v>357</v>
      </c>
      <c r="B358" s="5">
        <v>45049</v>
      </c>
      <c r="C358" s="4" t="s">
        <v>370</v>
      </c>
      <c r="D358" s="4" t="s">
        <v>13</v>
      </c>
      <c r="E358" s="4">
        <v>40</v>
      </c>
      <c r="F358" s="4" t="str">
        <f>IF(Table15678[[#This Row],[Age]]&lt;=19,"Teenager",IF(Table15678[[#This Row],[Age]]&lt;=40,"Median","Old"))</f>
        <v>Median</v>
      </c>
      <c r="G358" s="4" t="s">
        <v>16</v>
      </c>
      <c r="H358" s="4">
        <v>3</v>
      </c>
      <c r="I358" s="4">
        <v>25</v>
      </c>
      <c r="J358" s="4">
        <v>75</v>
      </c>
      <c r="K358" s="4" t="str" cm="1">
        <f t="array" ref="K358">_xlfn.IFS(AND(Table15678[[#This Row],[Total Amount]]&gt;=1500),"Critical",AND(Table15678[[#This Row],[Total Amount]]&gt;=1000),"High",TRUE,"Normal")</f>
        <v>Normal</v>
      </c>
      <c r="L358" s="4" t="str">
        <f>IF(Table15678[[#This Row],[Total Amount]]&gt;=1000,"High",(IF(Table15678[[#This Row],[Total Amount]]&gt;=500,"Medium","Low")))</f>
        <v>Low</v>
      </c>
      <c r="M358" s="4" t="str" cm="1">
        <f t="array" ref="M35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58" s="4" cm="1">
        <f t="array" ref="N35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358" s="4">
        <f>Table15678[[#This Row],[Total Amount]]-Table15678[[#This Row],[Discount Amount]]</f>
        <v>60</v>
      </c>
      <c r="P358" s="4" t="str">
        <f>IF(Table15678[[#This Row],[Total Amount]]&gt;=1000,"High","Low")</f>
        <v>Low</v>
      </c>
      <c r="Q358" s="4" t="str" cm="1">
        <f t="array" ref="Q358">_xlfn.IFS(AND(Table15678[[#This Row],[Total Amount]]&gt;=1500,"Critical"),AND(Table15678[[#This Row],[Total Amount]]&gt;=1000,"High"),TRUE,"Normal")</f>
        <v>Normal</v>
      </c>
      <c r="R358" s="4" t="str">
        <f>CONCATENATE(Table15678[[#This Row],[Customer ID]], "-",Table15678[[#This Row],[Age]])</f>
        <v>CUST357-40</v>
      </c>
      <c r="S358" s="4" t="str">
        <f>TEXT(Table15678[[#This Row],[Date]],"mmm")</f>
        <v>May</v>
      </c>
      <c r="T358" s="4" t="str">
        <f>TEXT(Table15678[[#This Row],[Date]],"DDD")</f>
        <v>Wed</v>
      </c>
    </row>
    <row r="359" spans="1:20" ht="29" x14ac:dyDescent="0.35">
      <c r="A359" s="4">
        <v>358</v>
      </c>
      <c r="B359" s="5">
        <v>45062</v>
      </c>
      <c r="C359" s="4" t="s">
        <v>371</v>
      </c>
      <c r="D359" s="4" t="s">
        <v>13</v>
      </c>
      <c r="E359" s="4">
        <v>32</v>
      </c>
      <c r="F359" s="4" t="str">
        <f>IF(Table15678[[#This Row],[Age]]&lt;=19,"Teenager",IF(Table15678[[#This Row],[Age]]&lt;=40,"Median","Old"))</f>
        <v>Median</v>
      </c>
      <c r="G359" s="4" t="s">
        <v>11</v>
      </c>
      <c r="H359" s="4">
        <v>1</v>
      </c>
      <c r="I359" s="4">
        <v>300</v>
      </c>
      <c r="J359" s="4">
        <v>300</v>
      </c>
      <c r="K359" s="4" t="str" cm="1">
        <f t="array" ref="K359">_xlfn.IFS(AND(Table15678[[#This Row],[Total Amount]]&gt;=1500),"Critical",AND(Table15678[[#This Row],[Total Amount]]&gt;=1000),"High",TRUE,"Normal")</f>
        <v>Normal</v>
      </c>
      <c r="L359" s="4" t="str">
        <f>IF(Table15678[[#This Row],[Total Amount]]&gt;=1000,"High",(IF(Table15678[[#This Row],[Total Amount]]&gt;=500,"Medium","Low")))</f>
        <v>Low</v>
      </c>
      <c r="M359" s="4" t="str" cm="1">
        <f t="array" ref="M35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59" s="4" cm="1">
        <f t="array" ref="N35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45</v>
      </c>
      <c r="O359" s="4">
        <f>Table15678[[#This Row],[Total Amount]]-Table15678[[#This Row],[Discount Amount]]</f>
        <v>255</v>
      </c>
      <c r="P359" s="4" t="str">
        <f>IF(Table15678[[#This Row],[Total Amount]]&gt;=1000,"High","Low")</f>
        <v>Low</v>
      </c>
      <c r="Q359" s="4" t="str" cm="1">
        <f t="array" ref="Q359">_xlfn.IFS(AND(Table15678[[#This Row],[Total Amount]]&gt;=1500,"Critical"),AND(Table15678[[#This Row],[Total Amount]]&gt;=1000,"High"),TRUE,"Normal")</f>
        <v>Normal</v>
      </c>
      <c r="R359" s="4" t="str">
        <f>CONCATENATE(Table15678[[#This Row],[Customer ID]], "-",Table15678[[#This Row],[Age]])</f>
        <v>CUST358-32</v>
      </c>
      <c r="S359" s="4" t="str">
        <f>TEXT(Table15678[[#This Row],[Date]],"mmm")</f>
        <v>May</v>
      </c>
      <c r="T359" s="4" t="str">
        <f>TEXT(Table15678[[#This Row],[Date]],"DDD")</f>
        <v>Tue</v>
      </c>
    </row>
    <row r="360" spans="1:20" ht="29" x14ac:dyDescent="0.35">
      <c r="A360" s="4">
        <v>359</v>
      </c>
      <c r="B360" s="5">
        <v>45129</v>
      </c>
      <c r="C360" s="4" t="s">
        <v>372</v>
      </c>
      <c r="D360" s="4" t="s">
        <v>10</v>
      </c>
      <c r="E360" s="4">
        <v>50</v>
      </c>
      <c r="F360" s="4" t="str">
        <f>IF(Table15678[[#This Row],[Age]]&lt;=19,"Teenager",IF(Table15678[[#This Row],[Age]]&lt;=40,"Median","Old"))</f>
        <v>Old</v>
      </c>
      <c r="G360" s="4" t="s">
        <v>14</v>
      </c>
      <c r="H360" s="4">
        <v>1</v>
      </c>
      <c r="I360" s="4">
        <v>50</v>
      </c>
      <c r="J360" s="4">
        <v>50</v>
      </c>
      <c r="K360" s="4" t="str" cm="1">
        <f t="array" ref="K360">_xlfn.IFS(AND(Table15678[[#This Row],[Total Amount]]&gt;=1500),"Critical",AND(Table15678[[#This Row],[Total Amount]]&gt;=1000),"High",TRUE,"Normal")</f>
        <v>Normal</v>
      </c>
      <c r="L360" s="4" t="str">
        <f>IF(Table15678[[#This Row],[Total Amount]]&gt;=1000,"High",(IF(Table15678[[#This Row],[Total Amount]]&gt;=500,"Medium","Low")))</f>
        <v>Low</v>
      </c>
      <c r="M360" s="4" t="str" cm="1">
        <f t="array" ref="M36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60" s="4" cm="1">
        <f t="array" ref="N36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360" s="4">
        <f>Table15678[[#This Row],[Total Amount]]-Table15678[[#This Row],[Discount Amount]]</f>
        <v>45</v>
      </c>
      <c r="P360" s="4" t="str">
        <f>IF(Table15678[[#This Row],[Total Amount]]&gt;=1000,"High","Low")</f>
        <v>Low</v>
      </c>
      <c r="Q360" s="4" t="str" cm="1">
        <f t="array" ref="Q360">_xlfn.IFS(AND(Table15678[[#This Row],[Total Amount]]&gt;=1500,"Critical"),AND(Table15678[[#This Row],[Total Amount]]&gt;=1000,"High"),TRUE,"Normal")</f>
        <v>Normal</v>
      </c>
      <c r="R360" s="4" t="str">
        <f>CONCATENATE(Table15678[[#This Row],[Customer ID]], "-",Table15678[[#This Row],[Age]])</f>
        <v>CUST359-50</v>
      </c>
      <c r="S360" s="4" t="str">
        <f>TEXT(Table15678[[#This Row],[Date]],"mmm")</f>
        <v>Jul</v>
      </c>
      <c r="T360" s="4" t="str">
        <f>TEXT(Table15678[[#This Row],[Date]],"DDD")</f>
        <v>Sat</v>
      </c>
    </row>
    <row r="361" spans="1:20" ht="29" x14ac:dyDescent="0.35">
      <c r="A361" s="4">
        <v>360</v>
      </c>
      <c r="B361" s="5">
        <v>44994</v>
      </c>
      <c r="C361" s="4" t="s">
        <v>373</v>
      </c>
      <c r="D361" s="4" t="s">
        <v>10</v>
      </c>
      <c r="E361" s="4">
        <v>42</v>
      </c>
      <c r="F361" s="4" t="str">
        <f>IF(Table15678[[#This Row],[Age]]&lt;=19,"Teenager",IF(Table15678[[#This Row],[Age]]&lt;=40,"Median","Old"))</f>
        <v>Old</v>
      </c>
      <c r="G361" s="4" t="s">
        <v>14</v>
      </c>
      <c r="H361" s="4">
        <v>4</v>
      </c>
      <c r="I361" s="4">
        <v>25</v>
      </c>
      <c r="J361" s="4">
        <v>100</v>
      </c>
      <c r="K361" s="4" t="str" cm="1">
        <f t="array" ref="K361">_xlfn.IFS(AND(Table15678[[#This Row],[Total Amount]]&gt;=1500),"Critical",AND(Table15678[[#This Row],[Total Amount]]&gt;=1000),"High",TRUE,"Normal")</f>
        <v>Normal</v>
      </c>
      <c r="L361" s="4" t="str">
        <f>IF(Table15678[[#This Row],[Total Amount]]&gt;=1000,"High",(IF(Table15678[[#This Row],[Total Amount]]&gt;=500,"Medium","Low")))</f>
        <v>Low</v>
      </c>
      <c r="M361" s="4" t="str" cm="1">
        <f t="array" ref="M36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61" s="4" cm="1">
        <f t="array" ref="N36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361" s="4">
        <f>Table15678[[#This Row],[Total Amount]]-Table15678[[#This Row],[Discount Amount]]</f>
        <v>90</v>
      </c>
      <c r="P361" s="4" t="str">
        <f>IF(Table15678[[#This Row],[Total Amount]]&gt;=1000,"High","Low")</f>
        <v>Low</v>
      </c>
      <c r="Q361" s="4" t="str" cm="1">
        <f t="array" ref="Q361">_xlfn.IFS(AND(Table15678[[#This Row],[Total Amount]]&gt;=1500,"Critical"),AND(Table15678[[#This Row],[Total Amount]]&gt;=1000,"High"),TRUE,"Normal")</f>
        <v>Normal</v>
      </c>
      <c r="R361" s="4" t="str">
        <f>CONCATENATE(Table15678[[#This Row],[Customer ID]], "-",Table15678[[#This Row],[Age]])</f>
        <v>CUST360-42</v>
      </c>
      <c r="S361" s="4" t="str">
        <f>TEXT(Table15678[[#This Row],[Date]],"mmm")</f>
        <v>Mar</v>
      </c>
      <c r="T361" s="4" t="str">
        <f>TEXT(Table15678[[#This Row],[Date]],"DDD")</f>
        <v>Thu</v>
      </c>
    </row>
    <row r="362" spans="1:20" ht="29" x14ac:dyDescent="0.35">
      <c r="A362" s="4">
        <v>361</v>
      </c>
      <c r="B362" s="5">
        <v>45270</v>
      </c>
      <c r="C362" s="4" t="s">
        <v>374</v>
      </c>
      <c r="D362" s="4" t="s">
        <v>13</v>
      </c>
      <c r="E362" s="4">
        <v>34</v>
      </c>
      <c r="F362" s="4" t="str">
        <f>IF(Table15678[[#This Row],[Age]]&lt;=19,"Teenager",IF(Table15678[[#This Row],[Age]]&lt;=40,"Median","Old"))</f>
        <v>Median</v>
      </c>
      <c r="G362" s="4" t="s">
        <v>16</v>
      </c>
      <c r="H362" s="4">
        <v>4</v>
      </c>
      <c r="I362" s="4">
        <v>300</v>
      </c>
      <c r="J362" s="4">
        <v>1200</v>
      </c>
      <c r="K362" s="4" t="str" cm="1">
        <f t="array" ref="K362">_xlfn.IFS(AND(Table15678[[#This Row],[Total Amount]]&gt;=1500),"Critical",AND(Table15678[[#This Row],[Total Amount]]&gt;=1000),"High",TRUE,"Normal")</f>
        <v>High</v>
      </c>
      <c r="L362" s="4" t="str">
        <f>IF(Table15678[[#This Row],[Total Amount]]&gt;=1000,"High",(IF(Table15678[[#This Row],[Total Amount]]&gt;=500,"Medium","Low")))</f>
        <v>High</v>
      </c>
      <c r="M362" s="4" t="str" cm="1">
        <f t="array" ref="M36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62" s="4" cm="1">
        <f t="array" ref="N36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362" s="4">
        <f>Table15678[[#This Row],[Total Amount]]-Table15678[[#This Row],[Discount Amount]]</f>
        <v>1020</v>
      </c>
      <c r="P362" s="4" t="str">
        <f>IF(Table15678[[#This Row],[Total Amount]]&gt;=1000,"High","Low")</f>
        <v>High</v>
      </c>
      <c r="Q362" s="4" t="str" cm="1">
        <f t="array" ref="Q362">_xlfn.IFS(AND(Table15678[[#This Row],[Total Amount]]&gt;=1500,"Critical"),AND(Table15678[[#This Row],[Total Amount]]&gt;=1000,"High"),TRUE,"Normal")</f>
        <v>Normal</v>
      </c>
      <c r="R362" s="4" t="str">
        <f>CONCATENATE(Table15678[[#This Row],[Customer ID]], "-",Table15678[[#This Row],[Age]])</f>
        <v>CUST361-34</v>
      </c>
      <c r="S362" s="4" t="str">
        <f>TEXT(Table15678[[#This Row],[Date]],"mmm")</f>
        <v>Dec</v>
      </c>
      <c r="T362" s="4" t="str">
        <f>TEXT(Table15678[[#This Row],[Date]],"DDD")</f>
        <v>Sun</v>
      </c>
    </row>
    <row r="363" spans="1:20" ht="29" x14ac:dyDescent="0.35">
      <c r="A363" s="4">
        <v>362</v>
      </c>
      <c r="B363" s="5">
        <v>45257</v>
      </c>
      <c r="C363" s="4" t="s">
        <v>375</v>
      </c>
      <c r="D363" s="4" t="s">
        <v>10</v>
      </c>
      <c r="E363" s="4">
        <v>50</v>
      </c>
      <c r="F363" s="4" t="str">
        <f>IF(Table15678[[#This Row],[Age]]&lt;=19,"Teenager",IF(Table15678[[#This Row],[Age]]&lt;=40,"Median","Old"))</f>
        <v>Old</v>
      </c>
      <c r="G363" s="4" t="s">
        <v>14</v>
      </c>
      <c r="H363" s="4">
        <v>1</v>
      </c>
      <c r="I363" s="4">
        <v>25</v>
      </c>
      <c r="J363" s="4">
        <v>25</v>
      </c>
      <c r="K363" s="4" t="str" cm="1">
        <f t="array" ref="K363">_xlfn.IFS(AND(Table15678[[#This Row],[Total Amount]]&gt;=1500),"Critical",AND(Table15678[[#This Row],[Total Amount]]&gt;=1000),"High",TRUE,"Normal")</f>
        <v>Normal</v>
      </c>
      <c r="L363" s="4" t="str">
        <f>IF(Table15678[[#This Row],[Total Amount]]&gt;=1000,"High",(IF(Table15678[[#This Row],[Total Amount]]&gt;=500,"Medium","Low")))</f>
        <v>Low</v>
      </c>
      <c r="M363" s="4" t="str" cm="1">
        <f t="array" ref="M36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63" s="4" cm="1">
        <f t="array" ref="N36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2.5</v>
      </c>
      <c r="O363" s="4">
        <f>Table15678[[#This Row],[Total Amount]]-Table15678[[#This Row],[Discount Amount]]</f>
        <v>22.5</v>
      </c>
      <c r="P363" s="4" t="str">
        <f>IF(Table15678[[#This Row],[Total Amount]]&gt;=1000,"High","Low")</f>
        <v>Low</v>
      </c>
      <c r="Q363" s="4" t="str" cm="1">
        <f t="array" ref="Q363">_xlfn.IFS(AND(Table15678[[#This Row],[Total Amount]]&gt;=1500,"Critical"),AND(Table15678[[#This Row],[Total Amount]]&gt;=1000,"High"),TRUE,"Normal")</f>
        <v>Normal</v>
      </c>
      <c r="R363" s="4" t="str">
        <f>CONCATENATE(Table15678[[#This Row],[Customer ID]], "-",Table15678[[#This Row],[Age]])</f>
        <v>CUST362-50</v>
      </c>
      <c r="S363" s="4" t="str">
        <f>TEXT(Table15678[[#This Row],[Date]],"mmm")</f>
        <v>Nov</v>
      </c>
      <c r="T363" s="4" t="str">
        <f>TEXT(Table15678[[#This Row],[Date]],"DDD")</f>
        <v>Mon</v>
      </c>
    </row>
    <row r="364" spans="1:20" ht="29" x14ac:dyDescent="0.35">
      <c r="A364" s="4">
        <v>363</v>
      </c>
      <c r="B364" s="5">
        <v>45080</v>
      </c>
      <c r="C364" s="4" t="s">
        <v>376</v>
      </c>
      <c r="D364" s="4" t="s">
        <v>10</v>
      </c>
      <c r="E364" s="4">
        <v>64</v>
      </c>
      <c r="F364" s="4" t="str">
        <f>IF(Table15678[[#This Row],[Age]]&lt;=19,"Teenager",IF(Table15678[[#This Row],[Age]]&lt;=40,"Median","Old"))</f>
        <v>Old</v>
      </c>
      <c r="G364" s="4" t="s">
        <v>11</v>
      </c>
      <c r="H364" s="4">
        <v>1</v>
      </c>
      <c r="I364" s="4">
        <v>25</v>
      </c>
      <c r="J364" s="4">
        <v>25</v>
      </c>
      <c r="K364" s="4" t="str" cm="1">
        <f t="array" ref="K364">_xlfn.IFS(AND(Table15678[[#This Row],[Total Amount]]&gt;=1500),"Critical",AND(Table15678[[#This Row],[Total Amount]]&gt;=1000),"High",TRUE,"Normal")</f>
        <v>Normal</v>
      </c>
      <c r="L364" s="4" t="str">
        <f>IF(Table15678[[#This Row],[Total Amount]]&gt;=1000,"High",(IF(Table15678[[#This Row],[Total Amount]]&gt;=500,"Medium","Low")))</f>
        <v>Low</v>
      </c>
      <c r="M364" s="4" t="str" cm="1">
        <f t="array" ref="M36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64" s="4" cm="1">
        <f t="array" ref="N36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2.5</v>
      </c>
      <c r="O364" s="4">
        <f>Table15678[[#This Row],[Total Amount]]-Table15678[[#This Row],[Discount Amount]]</f>
        <v>22.5</v>
      </c>
      <c r="P364" s="4" t="str">
        <f>IF(Table15678[[#This Row],[Total Amount]]&gt;=1000,"High","Low")</f>
        <v>Low</v>
      </c>
      <c r="Q364" s="4" t="str" cm="1">
        <f t="array" ref="Q364">_xlfn.IFS(AND(Table15678[[#This Row],[Total Amount]]&gt;=1500,"Critical"),AND(Table15678[[#This Row],[Total Amount]]&gt;=1000,"High"),TRUE,"Normal")</f>
        <v>Normal</v>
      </c>
      <c r="R364" s="4" t="str">
        <f>CONCATENATE(Table15678[[#This Row],[Customer ID]], "-",Table15678[[#This Row],[Age]])</f>
        <v>CUST363-64</v>
      </c>
      <c r="S364" s="4" t="str">
        <f>TEXT(Table15678[[#This Row],[Date]],"mmm")</f>
        <v>Jun</v>
      </c>
      <c r="T364" s="4" t="str">
        <f>TEXT(Table15678[[#This Row],[Date]],"DDD")</f>
        <v>Sat</v>
      </c>
    </row>
    <row r="365" spans="1:20" ht="29" x14ac:dyDescent="0.35">
      <c r="A365" s="4">
        <v>364</v>
      </c>
      <c r="B365" s="5">
        <v>45161</v>
      </c>
      <c r="C365" s="4" t="s">
        <v>377</v>
      </c>
      <c r="D365" s="4" t="s">
        <v>13</v>
      </c>
      <c r="E365" s="4">
        <v>19</v>
      </c>
      <c r="F365" s="4" t="str">
        <f>IF(Table15678[[#This Row],[Age]]&lt;=19,"Teenager",IF(Table15678[[#This Row],[Age]]&lt;=40,"Median","Old"))</f>
        <v>Teenager</v>
      </c>
      <c r="G365" s="4" t="s">
        <v>11</v>
      </c>
      <c r="H365" s="4">
        <v>1</v>
      </c>
      <c r="I365" s="4">
        <v>500</v>
      </c>
      <c r="J365" s="4">
        <v>500</v>
      </c>
      <c r="K365" s="4" t="str" cm="1">
        <f t="array" ref="K365">_xlfn.IFS(AND(Table15678[[#This Row],[Total Amount]]&gt;=1500),"Critical",AND(Table15678[[#This Row],[Total Amount]]&gt;=1000),"High",TRUE,"Normal")</f>
        <v>Normal</v>
      </c>
      <c r="L365" s="4" t="str">
        <f>IF(Table15678[[#This Row],[Total Amount]]&gt;=1000,"High",(IF(Table15678[[#This Row],[Total Amount]]&gt;=500,"Medium","Low")))</f>
        <v>Medium</v>
      </c>
      <c r="M365" s="4" t="str" cm="1">
        <f t="array" ref="M36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365" s="4" cm="1">
        <f t="array" ref="N36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365" s="4">
        <f>Table15678[[#This Row],[Total Amount]]-Table15678[[#This Row],[Discount Amount]]</f>
        <v>500</v>
      </c>
      <c r="P365" s="4" t="str">
        <f>IF(Table15678[[#This Row],[Total Amount]]&gt;=1000,"High","Low")</f>
        <v>Low</v>
      </c>
      <c r="Q365" s="4" t="str" cm="1">
        <f t="array" ref="Q365">_xlfn.IFS(AND(Table15678[[#This Row],[Total Amount]]&gt;=1500,"Critical"),AND(Table15678[[#This Row],[Total Amount]]&gt;=1000,"High"),TRUE,"Normal")</f>
        <v>Normal</v>
      </c>
      <c r="R365" s="4" t="str">
        <f>CONCATENATE(Table15678[[#This Row],[Customer ID]], "-",Table15678[[#This Row],[Age]])</f>
        <v>CUST364-19</v>
      </c>
      <c r="S365" s="4" t="str">
        <f>TEXT(Table15678[[#This Row],[Date]],"mmm")</f>
        <v>Aug</v>
      </c>
      <c r="T365" s="4" t="str">
        <f>TEXT(Table15678[[#This Row],[Date]],"DDD")</f>
        <v>Wed</v>
      </c>
    </row>
    <row r="366" spans="1:20" ht="29" x14ac:dyDescent="0.35">
      <c r="A366" s="4">
        <v>365</v>
      </c>
      <c r="B366" s="5">
        <v>45088</v>
      </c>
      <c r="C366" s="4" t="s">
        <v>378</v>
      </c>
      <c r="D366" s="4" t="s">
        <v>10</v>
      </c>
      <c r="E366" s="4">
        <v>31</v>
      </c>
      <c r="F366" s="4" t="str">
        <f>IF(Table15678[[#This Row],[Age]]&lt;=19,"Teenager",IF(Table15678[[#This Row],[Age]]&lt;=40,"Median","Old"))</f>
        <v>Median</v>
      </c>
      <c r="G366" s="4" t="s">
        <v>14</v>
      </c>
      <c r="H366" s="4">
        <v>1</v>
      </c>
      <c r="I366" s="4">
        <v>300</v>
      </c>
      <c r="J366" s="4">
        <v>300</v>
      </c>
      <c r="K366" s="4" t="str" cm="1">
        <f t="array" ref="K366">_xlfn.IFS(AND(Table15678[[#This Row],[Total Amount]]&gt;=1500),"Critical",AND(Table15678[[#This Row],[Total Amount]]&gt;=1000),"High",TRUE,"Normal")</f>
        <v>Normal</v>
      </c>
      <c r="L366" s="4" t="str">
        <f>IF(Table15678[[#This Row],[Total Amount]]&gt;=1000,"High",(IF(Table15678[[#This Row],[Total Amount]]&gt;=500,"Medium","Low")))</f>
        <v>Low</v>
      </c>
      <c r="M366" s="4" t="str" cm="1">
        <f t="array" ref="M36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66" s="4" cm="1">
        <f t="array" ref="N36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45</v>
      </c>
      <c r="O366" s="4">
        <f>Table15678[[#This Row],[Total Amount]]-Table15678[[#This Row],[Discount Amount]]</f>
        <v>255</v>
      </c>
      <c r="P366" s="4" t="str">
        <f>IF(Table15678[[#This Row],[Total Amount]]&gt;=1000,"High","Low")</f>
        <v>Low</v>
      </c>
      <c r="Q366" s="4" t="str" cm="1">
        <f t="array" ref="Q366">_xlfn.IFS(AND(Table15678[[#This Row],[Total Amount]]&gt;=1500,"Critical"),AND(Table15678[[#This Row],[Total Amount]]&gt;=1000,"High"),TRUE,"Normal")</f>
        <v>Normal</v>
      </c>
      <c r="R366" s="4" t="str">
        <f>CONCATENATE(Table15678[[#This Row],[Customer ID]], "-",Table15678[[#This Row],[Age]])</f>
        <v>CUST365-31</v>
      </c>
      <c r="S366" s="4" t="str">
        <f>TEXT(Table15678[[#This Row],[Date]],"mmm")</f>
        <v>Jun</v>
      </c>
      <c r="T366" s="4" t="str">
        <f>TEXT(Table15678[[#This Row],[Date]],"DDD")</f>
        <v>Sun</v>
      </c>
    </row>
    <row r="367" spans="1:20" ht="29" x14ac:dyDescent="0.35">
      <c r="A367" s="4">
        <v>366</v>
      </c>
      <c r="B367" s="5">
        <v>44964</v>
      </c>
      <c r="C367" s="4" t="s">
        <v>379</v>
      </c>
      <c r="D367" s="4" t="s">
        <v>10</v>
      </c>
      <c r="E367" s="4">
        <v>57</v>
      </c>
      <c r="F367" s="4" t="str">
        <f>IF(Table15678[[#This Row],[Age]]&lt;=19,"Teenager",IF(Table15678[[#This Row],[Age]]&lt;=40,"Median","Old"))</f>
        <v>Old</v>
      </c>
      <c r="G367" s="4" t="s">
        <v>14</v>
      </c>
      <c r="H367" s="4">
        <v>2</v>
      </c>
      <c r="I367" s="4">
        <v>50</v>
      </c>
      <c r="J367" s="4">
        <v>100</v>
      </c>
      <c r="K367" s="4" t="str" cm="1">
        <f t="array" ref="K367">_xlfn.IFS(AND(Table15678[[#This Row],[Total Amount]]&gt;=1500),"Critical",AND(Table15678[[#This Row],[Total Amount]]&gt;=1000),"High",TRUE,"Normal")</f>
        <v>Normal</v>
      </c>
      <c r="L367" s="4" t="str">
        <f>IF(Table15678[[#This Row],[Total Amount]]&gt;=1000,"High",(IF(Table15678[[#This Row],[Total Amount]]&gt;=500,"Medium","Low")))</f>
        <v>Low</v>
      </c>
      <c r="M367" s="4" t="str" cm="1">
        <f t="array" ref="M36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67" s="4" cm="1">
        <f t="array" ref="N36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367" s="4">
        <f>Table15678[[#This Row],[Total Amount]]-Table15678[[#This Row],[Discount Amount]]</f>
        <v>90</v>
      </c>
      <c r="P367" s="4" t="str">
        <f>IF(Table15678[[#This Row],[Total Amount]]&gt;=1000,"High","Low")</f>
        <v>Low</v>
      </c>
      <c r="Q367" s="4" t="str" cm="1">
        <f t="array" ref="Q367">_xlfn.IFS(AND(Table15678[[#This Row],[Total Amount]]&gt;=1500,"Critical"),AND(Table15678[[#This Row],[Total Amount]]&gt;=1000,"High"),TRUE,"Normal")</f>
        <v>Normal</v>
      </c>
      <c r="R367" s="4" t="str">
        <f>CONCATENATE(Table15678[[#This Row],[Customer ID]], "-",Table15678[[#This Row],[Age]])</f>
        <v>CUST366-57</v>
      </c>
      <c r="S367" s="4" t="str">
        <f>TEXT(Table15678[[#This Row],[Date]],"mmm")</f>
        <v>Feb</v>
      </c>
      <c r="T367" s="4" t="str">
        <f>TEXT(Table15678[[#This Row],[Date]],"DDD")</f>
        <v>Tue</v>
      </c>
    </row>
    <row r="368" spans="1:20" ht="29" x14ac:dyDescent="0.35">
      <c r="A368" s="4">
        <v>367</v>
      </c>
      <c r="B368" s="5">
        <v>44931</v>
      </c>
      <c r="C368" s="4" t="s">
        <v>380</v>
      </c>
      <c r="D368" s="4" t="s">
        <v>13</v>
      </c>
      <c r="E368" s="4">
        <v>57</v>
      </c>
      <c r="F368" s="4" t="str">
        <f>IF(Table15678[[#This Row],[Age]]&lt;=19,"Teenager",IF(Table15678[[#This Row],[Age]]&lt;=40,"Median","Old"))</f>
        <v>Old</v>
      </c>
      <c r="G368" s="4" t="s">
        <v>16</v>
      </c>
      <c r="H368" s="4">
        <v>1</v>
      </c>
      <c r="I368" s="4">
        <v>50</v>
      </c>
      <c r="J368" s="4">
        <v>50</v>
      </c>
      <c r="K368" s="4" t="str" cm="1">
        <f t="array" ref="K368">_xlfn.IFS(AND(Table15678[[#This Row],[Total Amount]]&gt;=1500),"Critical",AND(Table15678[[#This Row],[Total Amount]]&gt;=1000),"High",TRUE,"Normal")</f>
        <v>Normal</v>
      </c>
      <c r="L368" s="4" t="str">
        <f>IF(Table15678[[#This Row],[Total Amount]]&gt;=1000,"High",(IF(Table15678[[#This Row],[Total Amount]]&gt;=500,"Medium","Low")))</f>
        <v>Low</v>
      </c>
      <c r="M368" s="4" t="str" cm="1">
        <f t="array" ref="M36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68" s="4" cm="1">
        <f t="array" ref="N36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368" s="4">
        <f>Table15678[[#This Row],[Total Amount]]-Table15678[[#This Row],[Discount Amount]]</f>
        <v>40</v>
      </c>
      <c r="P368" s="4" t="str">
        <f>IF(Table15678[[#This Row],[Total Amount]]&gt;=1000,"High","Low")</f>
        <v>Low</v>
      </c>
      <c r="Q368" s="4" t="str" cm="1">
        <f t="array" ref="Q368">_xlfn.IFS(AND(Table15678[[#This Row],[Total Amount]]&gt;=1500,"Critical"),AND(Table15678[[#This Row],[Total Amount]]&gt;=1000,"High"),TRUE,"Normal")</f>
        <v>Normal</v>
      </c>
      <c r="R368" s="4" t="str">
        <f>CONCATENATE(Table15678[[#This Row],[Customer ID]], "-",Table15678[[#This Row],[Age]])</f>
        <v>CUST367-57</v>
      </c>
      <c r="S368" s="4" t="str">
        <f>TEXT(Table15678[[#This Row],[Date]],"mmm")</f>
        <v>Jan</v>
      </c>
      <c r="T368" s="4" t="str">
        <f>TEXT(Table15678[[#This Row],[Date]],"DDD")</f>
        <v>Thu</v>
      </c>
    </row>
    <row r="369" spans="1:20" ht="29" x14ac:dyDescent="0.35">
      <c r="A369" s="4">
        <v>368</v>
      </c>
      <c r="B369" s="5">
        <v>45161</v>
      </c>
      <c r="C369" s="4" t="s">
        <v>381</v>
      </c>
      <c r="D369" s="4" t="s">
        <v>13</v>
      </c>
      <c r="E369" s="4">
        <v>56</v>
      </c>
      <c r="F369" s="4" t="str">
        <f>IF(Table15678[[#This Row],[Age]]&lt;=19,"Teenager",IF(Table15678[[#This Row],[Age]]&lt;=40,"Median","Old"))</f>
        <v>Old</v>
      </c>
      <c r="G369" s="4" t="s">
        <v>14</v>
      </c>
      <c r="H369" s="4">
        <v>4</v>
      </c>
      <c r="I369" s="4">
        <v>300</v>
      </c>
      <c r="J369" s="4">
        <v>1200</v>
      </c>
      <c r="K369" s="4" t="str" cm="1">
        <f t="array" ref="K369">_xlfn.IFS(AND(Table15678[[#This Row],[Total Amount]]&gt;=1500),"Critical",AND(Table15678[[#This Row],[Total Amount]]&gt;=1000),"High",TRUE,"Normal")</f>
        <v>High</v>
      </c>
      <c r="L369" s="4" t="str">
        <f>IF(Table15678[[#This Row],[Total Amount]]&gt;=1000,"High",(IF(Table15678[[#This Row],[Total Amount]]&gt;=500,"Medium","Low")))</f>
        <v>High</v>
      </c>
      <c r="M369" s="4" t="str" cm="1">
        <f t="array" ref="M36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69" s="4" cm="1">
        <f t="array" ref="N36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240</v>
      </c>
      <c r="O369" s="4">
        <f>Table15678[[#This Row],[Total Amount]]-Table15678[[#This Row],[Discount Amount]]</f>
        <v>960</v>
      </c>
      <c r="P369" s="4" t="str">
        <f>IF(Table15678[[#This Row],[Total Amount]]&gt;=1000,"High","Low")</f>
        <v>High</v>
      </c>
      <c r="Q369" s="4" t="str" cm="1">
        <f t="array" ref="Q369">_xlfn.IFS(AND(Table15678[[#This Row],[Total Amount]]&gt;=1500,"Critical"),AND(Table15678[[#This Row],[Total Amount]]&gt;=1000,"High"),TRUE,"Normal")</f>
        <v>Normal</v>
      </c>
      <c r="R369" s="4" t="str">
        <f>CONCATENATE(Table15678[[#This Row],[Customer ID]], "-",Table15678[[#This Row],[Age]])</f>
        <v>CUST368-56</v>
      </c>
      <c r="S369" s="4" t="str">
        <f>TEXT(Table15678[[#This Row],[Date]],"mmm")</f>
        <v>Aug</v>
      </c>
      <c r="T369" s="4" t="str">
        <f>TEXT(Table15678[[#This Row],[Date]],"DDD")</f>
        <v>Wed</v>
      </c>
    </row>
    <row r="370" spans="1:20" ht="29" x14ac:dyDescent="0.35">
      <c r="A370" s="4">
        <v>369</v>
      </c>
      <c r="B370" s="5">
        <v>45245</v>
      </c>
      <c r="C370" s="4" t="s">
        <v>382</v>
      </c>
      <c r="D370" s="4" t="s">
        <v>10</v>
      </c>
      <c r="E370" s="4">
        <v>23</v>
      </c>
      <c r="F370" s="4" t="str">
        <f>IF(Table15678[[#This Row],[Age]]&lt;=19,"Teenager",IF(Table15678[[#This Row],[Age]]&lt;=40,"Median","Old"))</f>
        <v>Median</v>
      </c>
      <c r="G370" s="4" t="s">
        <v>16</v>
      </c>
      <c r="H370" s="4">
        <v>3</v>
      </c>
      <c r="I370" s="4">
        <v>500</v>
      </c>
      <c r="J370" s="4">
        <v>1500</v>
      </c>
      <c r="K370" s="4" t="str" cm="1">
        <f t="array" ref="K370">_xlfn.IFS(AND(Table15678[[#This Row],[Total Amount]]&gt;=1500),"Critical",AND(Table15678[[#This Row],[Total Amount]]&gt;=1000),"High",TRUE,"Normal")</f>
        <v>Critical</v>
      </c>
      <c r="L370" s="4" t="str">
        <f>IF(Table15678[[#This Row],[Total Amount]]&gt;=1000,"High",(IF(Table15678[[#This Row],[Total Amount]]&gt;=500,"Medium","Low")))</f>
        <v>High</v>
      </c>
      <c r="M370" s="4" t="str" cm="1">
        <f t="array" ref="M37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370" s="4" cm="1">
        <f t="array" ref="N37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370" s="4">
        <f>Table15678[[#This Row],[Total Amount]]-Table15678[[#This Row],[Discount Amount]]</f>
        <v>1500</v>
      </c>
      <c r="P370" s="4" t="str">
        <f>IF(Table15678[[#This Row],[Total Amount]]&gt;=1000,"High","Low")</f>
        <v>High</v>
      </c>
      <c r="Q370" s="4" t="b" cm="1">
        <f t="array" ref="Q370">_xlfn.IFS(AND(Table15678[[#This Row],[Total Amount]]&gt;=1500,"Critical"),AND(Table15678[[#This Row],[Total Amount]]&gt;=1000,"High"),TRUE,"Normal")</f>
        <v>1</v>
      </c>
      <c r="R370" s="4" t="str">
        <f>CONCATENATE(Table15678[[#This Row],[Customer ID]], "-",Table15678[[#This Row],[Age]])</f>
        <v>CUST369-23</v>
      </c>
      <c r="S370" s="4" t="str">
        <f>TEXT(Table15678[[#This Row],[Date]],"mmm")</f>
        <v>Nov</v>
      </c>
      <c r="T370" s="4" t="str">
        <f>TEXT(Table15678[[#This Row],[Date]],"DDD")</f>
        <v>Wed</v>
      </c>
    </row>
    <row r="371" spans="1:20" ht="29" x14ac:dyDescent="0.35">
      <c r="A371" s="4">
        <v>370</v>
      </c>
      <c r="B371" s="5">
        <v>45215</v>
      </c>
      <c r="C371" s="4" t="s">
        <v>383</v>
      </c>
      <c r="D371" s="4" t="s">
        <v>10</v>
      </c>
      <c r="E371" s="4">
        <v>23</v>
      </c>
      <c r="F371" s="4" t="str">
        <f>IF(Table15678[[#This Row],[Age]]&lt;=19,"Teenager",IF(Table15678[[#This Row],[Age]]&lt;=40,"Median","Old"))</f>
        <v>Median</v>
      </c>
      <c r="G371" s="4" t="s">
        <v>16</v>
      </c>
      <c r="H371" s="4">
        <v>2</v>
      </c>
      <c r="I371" s="4">
        <v>30</v>
      </c>
      <c r="J371" s="4">
        <v>60</v>
      </c>
      <c r="K371" s="4" t="str" cm="1">
        <f t="array" ref="K371">_xlfn.IFS(AND(Table15678[[#This Row],[Total Amount]]&gt;=1500),"Critical",AND(Table15678[[#This Row],[Total Amount]]&gt;=1000),"High",TRUE,"Normal")</f>
        <v>Normal</v>
      </c>
      <c r="L371" s="4" t="str">
        <f>IF(Table15678[[#This Row],[Total Amount]]&gt;=1000,"High",(IF(Table15678[[#This Row],[Total Amount]]&gt;=500,"Medium","Low")))</f>
        <v>Low</v>
      </c>
      <c r="M371" s="4" t="str" cm="1">
        <f t="array" ref="M37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371" s="4" cm="1">
        <f t="array" ref="N37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371" s="4">
        <f>Table15678[[#This Row],[Total Amount]]-Table15678[[#This Row],[Discount Amount]]</f>
        <v>60</v>
      </c>
      <c r="P371" s="4" t="str">
        <f>IF(Table15678[[#This Row],[Total Amount]]&gt;=1000,"High","Low")</f>
        <v>Low</v>
      </c>
      <c r="Q371" s="4" t="str" cm="1">
        <f t="array" ref="Q371">_xlfn.IFS(AND(Table15678[[#This Row],[Total Amount]]&gt;=1500,"Critical"),AND(Table15678[[#This Row],[Total Amount]]&gt;=1000,"High"),TRUE,"Normal")</f>
        <v>Normal</v>
      </c>
      <c r="R371" s="4" t="str">
        <f>CONCATENATE(Table15678[[#This Row],[Customer ID]], "-",Table15678[[#This Row],[Age]])</f>
        <v>CUST370-23</v>
      </c>
      <c r="S371" s="4" t="str">
        <f>TEXT(Table15678[[#This Row],[Date]],"mmm")</f>
        <v>Oct</v>
      </c>
      <c r="T371" s="4" t="str">
        <f>TEXT(Table15678[[#This Row],[Date]],"DDD")</f>
        <v>Mon</v>
      </c>
    </row>
    <row r="372" spans="1:20" ht="29" x14ac:dyDescent="0.35">
      <c r="A372" s="4">
        <v>371</v>
      </c>
      <c r="B372" s="5">
        <v>44978</v>
      </c>
      <c r="C372" s="4" t="s">
        <v>384</v>
      </c>
      <c r="D372" s="4" t="s">
        <v>13</v>
      </c>
      <c r="E372" s="4">
        <v>20</v>
      </c>
      <c r="F372" s="4" t="str">
        <f>IF(Table15678[[#This Row],[Age]]&lt;=19,"Teenager",IF(Table15678[[#This Row],[Age]]&lt;=40,"Median","Old"))</f>
        <v>Median</v>
      </c>
      <c r="G372" s="4" t="s">
        <v>11</v>
      </c>
      <c r="H372" s="4">
        <v>1</v>
      </c>
      <c r="I372" s="4">
        <v>25</v>
      </c>
      <c r="J372" s="4">
        <v>25</v>
      </c>
      <c r="K372" s="4" t="str" cm="1">
        <f t="array" ref="K372">_xlfn.IFS(AND(Table15678[[#This Row],[Total Amount]]&gt;=1500),"Critical",AND(Table15678[[#This Row],[Total Amount]]&gt;=1000),"High",TRUE,"Normal")</f>
        <v>Normal</v>
      </c>
      <c r="L372" s="4" t="str">
        <f>IF(Table15678[[#This Row],[Total Amount]]&gt;=1000,"High",(IF(Table15678[[#This Row],[Total Amount]]&gt;=500,"Medium","Low")))</f>
        <v>Low</v>
      </c>
      <c r="M372" s="4" t="str" cm="1">
        <f t="array" ref="M37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372" s="4" cm="1">
        <f t="array" ref="N37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372" s="4">
        <f>Table15678[[#This Row],[Total Amount]]-Table15678[[#This Row],[Discount Amount]]</f>
        <v>25</v>
      </c>
      <c r="P372" s="4" t="str">
        <f>IF(Table15678[[#This Row],[Total Amount]]&gt;=1000,"High","Low")</f>
        <v>Low</v>
      </c>
      <c r="Q372" s="4" t="str" cm="1">
        <f t="array" ref="Q372">_xlfn.IFS(AND(Table15678[[#This Row],[Total Amount]]&gt;=1500,"Critical"),AND(Table15678[[#This Row],[Total Amount]]&gt;=1000,"High"),TRUE,"Normal")</f>
        <v>Normal</v>
      </c>
      <c r="R372" s="4" t="str">
        <f>CONCATENATE(Table15678[[#This Row],[Customer ID]], "-",Table15678[[#This Row],[Age]])</f>
        <v>CUST371-20</v>
      </c>
      <c r="S372" s="4" t="str">
        <f>TEXT(Table15678[[#This Row],[Date]],"mmm")</f>
        <v>Feb</v>
      </c>
      <c r="T372" s="4" t="str">
        <f>TEXT(Table15678[[#This Row],[Date]],"DDD")</f>
        <v>Tue</v>
      </c>
    </row>
    <row r="373" spans="1:20" ht="29" x14ac:dyDescent="0.35">
      <c r="A373" s="4">
        <v>372</v>
      </c>
      <c r="B373" s="5">
        <v>44964</v>
      </c>
      <c r="C373" s="4" t="s">
        <v>385</v>
      </c>
      <c r="D373" s="4" t="s">
        <v>13</v>
      </c>
      <c r="E373" s="4">
        <v>24</v>
      </c>
      <c r="F373" s="4" t="str">
        <f>IF(Table15678[[#This Row],[Age]]&lt;=19,"Teenager",IF(Table15678[[#This Row],[Age]]&lt;=40,"Median","Old"))</f>
        <v>Median</v>
      </c>
      <c r="G373" s="4" t="s">
        <v>11</v>
      </c>
      <c r="H373" s="4">
        <v>3</v>
      </c>
      <c r="I373" s="4">
        <v>500</v>
      </c>
      <c r="J373" s="4">
        <v>1500</v>
      </c>
      <c r="K373" s="4" t="str" cm="1">
        <f t="array" ref="K373">_xlfn.IFS(AND(Table15678[[#This Row],[Total Amount]]&gt;=1500),"Critical",AND(Table15678[[#This Row],[Total Amount]]&gt;=1000),"High",TRUE,"Normal")</f>
        <v>Critical</v>
      </c>
      <c r="L373" s="4" t="str">
        <f>IF(Table15678[[#This Row],[Total Amount]]&gt;=1000,"High",(IF(Table15678[[#This Row],[Total Amount]]&gt;=500,"Medium","Low")))</f>
        <v>High</v>
      </c>
      <c r="M373" s="4" t="str" cm="1">
        <f t="array" ref="M37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373" s="4" cm="1">
        <f t="array" ref="N37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373" s="4">
        <f>Table15678[[#This Row],[Total Amount]]-Table15678[[#This Row],[Discount Amount]]</f>
        <v>1500</v>
      </c>
      <c r="P373" s="4" t="str">
        <f>IF(Table15678[[#This Row],[Total Amount]]&gt;=1000,"High","Low")</f>
        <v>High</v>
      </c>
      <c r="Q373" s="4" t="b" cm="1">
        <f t="array" ref="Q373">_xlfn.IFS(AND(Table15678[[#This Row],[Total Amount]]&gt;=1500,"Critical"),AND(Table15678[[#This Row],[Total Amount]]&gt;=1000,"High"),TRUE,"Normal")</f>
        <v>1</v>
      </c>
      <c r="R373" s="4" t="str">
        <f>CONCATENATE(Table15678[[#This Row],[Customer ID]], "-",Table15678[[#This Row],[Age]])</f>
        <v>CUST372-24</v>
      </c>
      <c r="S373" s="4" t="str">
        <f>TEXT(Table15678[[#This Row],[Date]],"mmm")</f>
        <v>Feb</v>
      </c>
      <c r="T373" s="4" t="str">
        <f>TEXT(Table15678[[#This Row],[Date]],"DDD")</f>
        <v>Tue</v>
      </c>
    </row>
    <row r="374" spans="1:20" ht="29" x14ac:dyDescent="0.35">
      <c r="A374" s="4">
        <v>373</v>
      </c>
      <c r="B374" s="5">
        <v>45202</v>
      </c>
      <c r="C374" s="4" t="s">
        <v>386</v>
      </c>
      <c r="D374" s="4" t="s">
        <v>13</v>
      </c>
      <c r="E374" s="4">
        <v>25</v>
      </c>
      <c r="F374" s="4" t="str">
        <f>IF(Table15678[[#This Row],[Age]]&lt;=19,"Teenager",IF(Table15678[[#This Row],[Age]]&lt;=40,"Median","Old"))</f>
        <v>Median</v>
      </c>
      <c r="G374" s="4" t="s">
        <v>11</v>
      </c>
      <c r="H374" s="4">
        <v>2</v>
      </c>
      <c r="I374" s="4">
        <v>300</v>
      </c>
      <c r="J374" s="4">
        <v>600</v>
      </c>
      <c r="K374" s="4" t="str" cm="1">
        <f t="array" ref="K374">_xlfn.IFS(AND(Table15678[[#This Row],[Total Amount]]&gt;=1500),"Critical",AND(Table15678[[#This Row],[Total Amount]]&gt;=1000),"High",TRUE,"Normal")</f>
        <v>Normal</v>
      </c>
      <c r="L374" s="4" t="str">
        <f>IF(Table15678[[#This Row],[Total Amount]]&gt;=1000,"High",(IF(Table15678[[#This Row],[Total Amount]]&gt;=500,"Medium","Low")))</f>
        <v>Medium</v>
      </c>
      <c r="M374" s="4" t="str" cm="1">
        <f t="array" ref="M37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74" s="4" cm="1">
        <f t="array" ref="N37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374" s="4">
        <f>Table15678[[#This Row],[Total Amount]]-Table15678[[#This Row],[Discount Amount]]</f>
        <v>510</v>
      </c>
      <c r="P374" s="4" t="str">
        <f>IF(Table15678[[#This Row],[Total Amount]]&gt;=1000,"High","Low")</f>
        <v>Low</v>
      </c>
      <c r="Q374" s="4" t="str" cm="1">
        <f t="array" ref="Q374">_xlfn.IFS(AND(Table15678[[#This Row],[Total Amount]]&gt;=1500,"Critical"),AND(Table15678[[#This Row],[Total Amount]]&gt;=1000,"High"),TRUE,"Normal")</f>
        <v>Normal</v>
      </c>
      <c r="R374" s="4" t="str">
        <f>CONCATENATE(Table15678[[#This Row],[Customer ID]], "-",Table15678[[#This Row],[Age]])</f>
        <v>CUST373-25</v>
      </c>
      <c r="S374" s="4" t="str">
        <f>TEXT(Table15678[[#This Row],[Date]],"mmm")</f>
        <v>Oct</v>
      </c>
      <c r="T374" s="4" t="str">
        <f>TEXT(Table15678[[#This Row],[Date]],"DDD")</f>
        <v>Tue</v>
      </c>
    </row>
    <row r="375" spans="1:20" ht="29" x14ac:dyDescent="0.35">
      <c r="A375" s="4">
        <v>374</v>
      </c>
      <c r="B375" s="5">
        <v>45036</v>
      </c>
      <c r="C375" s="4" t="s">
        <v>387</v>
      </c>
      <c r="D375" s="4" t="s">
        <v>13</v>
      </c>
      <c r="E375" s="4">
        <v>59</v>
      </c>
      <c r="F375" s="4" t="str">
        <f>IF(Table15678[[#This Row],[Age]]&lt;=19,"Teenager",IF(Table15678[[#This Row],[Age]]&lt;=40,"Median","Old"))</f>
        <v>Old</v>
      </c>
      <c r="G375" s="4" t="s">
        <v>11</v>
      </c>
      <c r="H375" s="4">
        <v>3</v>
      </c>
      <c r="I375" s="4">
        <v>25</v>
      </c>
      <c r="J375" s="4">
        <v>75</v>
      </c>
      <c r="K375" s="4" t="str" cm="1">
        <f t="array" ref="K375">_xlfn.IFS(AND(Table15678[[#This Row],[Total Amount]]&gt;=1500),"Critical",AND(Table15678[[#This Row],[Total Amount]]&gt;=1000),"High",TRUE,"Normal")</f>
        <v>Normal</v>
      </c>
      <c r="L375" s="4" t="str">
        <f>IF(Table15678[[#This Row],[Total Amount]]&gt;=1000,"High",(IF(Table15678[[#This Row],[Total Amount]]&gt;=500,"Medium","Low")))</f>
        <v>Low</v>
      </c>
      <c r="M375" s="4" t="str" cm="1">
        <f t="array" ref="M37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75" s="4" cm="1">
        <f t="array" ref="N37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375" s="4">
        <f>Table15678[[#This Row],[Total Amount]]-Table15678[[#This Row],[Discount Amount]]</f>
        <v>60</v>
      </c>
      <c r="P375" s="4" t="str">
        <f>IF(Table15678[[#This Row],[Total Amount]]&gt;=1000,"High","Low")</f>
        <v>Low</v>
      </c>
      <c r="Q375" s="4" t="str" cm="1">
        <f t="array" ref="Q375">_xlfn.IFS(AND(Table15678[[#This Row],[Total Amount]]&gt;=1500,"Critical"),AND(Table15678[[#This Row],[Total Amount]]&gt;=1000,"High"),TRUE,"Normal")</f>
        <v>Normal</v>
      </c>
      <c r="R375" s="4" t="str">
        <f>CONCATENATE(Table15678[[#This Row],[Customer ID]], "-",Table15678[[#This Row],[Age]])</f>
        <v>CUST374-59</v>
      </c>
      <c r="S375" s="4" t="str">
        <f>TEXT(Table15678[[#This Row],[Date]],"mmm")</f>
        <v>Apr</v>
      </c>
      <c r="T375" s="4" t="str">
        <f>TEXT(Table15678[[#This Row],[Date]],"DDD")</f>
        <v>Thu</v>
      </c>
    </row>
    <row r="376" spans="1:20" ht="29" x14ac:dyDescent="0.35">
      <c r="A376" s="4">
        <v>375</v>
      </c>
      <c r="B376" s="5">
        <v>45186</v>
      </c>
      <c r="C376" s="4" t="s">
        <v>388</v>
      </c>
      <c r="D376" s="4" t="s">
        <v>10</v>
      </c>
      <c r="E376" s="4">
        <v>32</v>
      </c>
      <c r="F376" s="4" t="str">
        <f>IF(Table15678[[#This Row],[Age]]&lt;=19,"Teenager",IF(Table15678[[#This Row],[Age]]&lt;=40,"Median","Old"))</f>
        <v>Median</v>
      </c>
      <c r="G376" s="4" t="s">
        <v>14</v>
      </c>
      <c r="H376" s="4">
        <v>1</v>
      </c>
      <c r="I376" s="4">
        <v>50</v>
      </c>
      <c r="J376" s="4">
        <v>50</v>
      </c>
      <c r="K376" s="4" t="str" cm="1">
        <f t="array" ref="K376">_xlfn.IFS(AND(Table15678[[#This Row],[Total Amount]]&gt;=1500),"Critical",AND(Table15678[[#This Row],[Total Amount]]&gt;=1000),"High",TRUE,"Normal")</f>
        <v>Normal</v>
      </c>
      <c r="L376" s="4" t="str">
        <f>IF(Table15678[[#This Row],[Total Amount]]&gt;=1000,"High",(IF(Table15678[[#This Row],[Total Amount]]&gt;=500,"Medium","Low")))</f>
        <v>Low</v>
      </c>
      <c r="M376" s="4" t="str" cm="1">
        <f t="array" ref="M37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76" s="4" cm="1">
        <f t="array" ref="N37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376" s="4">
        <f>Table15678[[#This Row],[Total Amount]]-Table15678[[#This Row],[Discount Amount]]</f>
        <v>42.5</v>
      </c>
      <c r="P376" s="4" t="str">
        <f>IF(Table15678[[#This Row],[Total Amount]]&gt;=1000,"High","Low")</f>
        <v>Low</v>
      </c>
      <c r="Q376" s="4" t="str" cm="1">
        <f t="array" ref="Q376">_xlfn.IFS(AND(Table15678[[#This Row],[Total Amount]]&gt;=1500,"Critical"),AND(Table15678[[#This Row],[Total Amount]]&gt;=1000,"High"),TRUE,"Normal")</f>
        <v>Normal</v>
      </c>
      <c r="R376" s="4" t="str">
        <f>CONCATENATE(Table15678[[#This Row],[Customer ID]], "-",Table15678[[#This Row],[Age]])</f>
        <v>CUST375-32</v>
      </c>
      <c r="S376" s="4" t="str">
        <f>TEXT(Table15678[[#This Row],[Date]],"mmm")</f>
        <v>Sep</v>
      </c>
      <c r="T376" s="4" t="str">
        <f>TEXT(Table15678[[#This Row],[Date]],"DDD")</f>
        <v>Sun</v>
      </c>
    </row>
    <row r="377" spans="1:20" ht="29" x14ac:dyDescent="0.35">
      <c r="A377" s="4">
        <v>376</v>
      </c>
      <c r="B377" s="5">
        <v>45062</v>
      </c>
      <c r="C377" s="4" t="s">
        <v>389</v>
      </c>
      <c r="D377" s="4" t="s">
        <v>13</v>
      </c>
      <c r="E377" s="4">
        <v>64</v>
      </c>
      <c r="F377" s="4" t="str">
        <f>IF(Table15678[[#This Row],[Age]]&lt;=19,"Teenager",IF(Table15678[[#This Row],[Age]]&lt;=40,"Median","Old"))</f>
        <v>Old</v>
      </c>
      <c r="G377" s="4" t="s">
        <v>11</v>
      </c>
      <c r="H377" s="4">
        <v>1</v>
      </c>
      <c r="I377" s="4">
        <v>30</v>
      </c>
      <c r="J377" s="4">
        <v>30</v>
      </c>
      <c r="K377" s="4" t="str" cm="1">
        <f t="array" ref="K377">_xlfn.IFS(AND(Table15678[[#This Row],[Total Amount]]&gt;=1500),"Critical",AND(Table15678[[#This Row],[Total Amount]]&gt;=1000),"High",TRUE,"Normal")</f>
        <v>Normal</v>
      </c>
      <c r="L377" s="4" t="str">
        <f>IF(Table15678[[#This Row],[Total Amount]]&gt;=1000,"High",(IF(Table15678[[#This Row],[Total Amount]]&gt;=500,"Medium","Low")))</f>
        <v>Low</v>
      </c>
      <c r="M377" s="4" t="str" cm="1">
        <f t="array" ref="M37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77" s="4" cm="1">
        <f t="array" ref="N37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377" s="4">
        <f>Table15678[[#This Row],[Total Amount]]-Table15678[[#This Row],[Discount Amount]]</f>
        <v>24</v>
      </c>
      <c r="P377" s="4" t="str">
        <f>IF(Table15678[[#This Row],[Total Amount]]&gt;=1000,"High","Low")</f>
        <v>Low</v>
      </c>
      <c r="Q377" s="4" t="str" cm="1">
        <f t="array" ref="Q377">_xlfn.IFS(AND(Table15678[[#This Row],[Total Amount]]&gt;=1500,"Critical"),AND(Table15678[[#This Row],[Total Amount]]&gt;=1000,"High"),TRUE,"Normal")</f>
        <v>Normal</v>
      </c>
      <c r="R377" s="4" t="str">
        <f>CONCATENATE(Table15678[[#This Row],[Customer ID]], "-",Table15678[[#This Row],[Age]])</f>
        <v>CUST376-64</v>
      </c>
      <c r="S377" s="4" t="str">
        <f>TEXT(Table15678[[#This Row],[Date]],"mmm")</f>
        <v>May</v>
      </c>
      <c r="T377" s="4" t="str">
        <f>TEXT(Table15678[[#This Row],[Date]],"DDD")</f>
        <v>Tue</v>
      </c>
    </row>
    <row r="378" spans="1:20" ht="29" x14ac:dyDescent="0.35">
      <c r="A378" s="4">
        <v>377</v>
      </c>
      <c r="B378" s="5">
        <v>44994</v>
      </c>
      <c r="C378" s="4" t="s">
        <v>390</v>
      </c>
      <c r="D378" s="4" t="s">
        <v>13</v>
      </c>
      <c r="E378" s="4">
        <v>46</v>
      </c>
      <c r="F378" s="4" t="str">
        <f>IF(Table15678[[#This Row],[Age]]&lt;=19,"Teenager",IF(Table15678[[#This Row],[Age]]&lt;=40,"Median","Old"))</f>
        <v>Old</v>
      </c>
      <c r="G378" s="4" t="s">
        <v>14</v>
      </c>
      <c r="H378" s="4">
        <v>4</v>
      </c>
      <c r="I378" s="4">
        <v>50</v>
      </c>
      <c r="J378" s="4">
        <v>200</v>
      </c>
      <c r="K378" s="4" t="str" cm="1">
        <f t="array" ref="K378">_xlfn.IFS(AND(Table15678[[#This Row],[Total Amount]]&gt;=1500),"Critical",AND(Table15678[[#This Row],[Total Amount]]&gt;=1000),"High",TRUE,"Normal")</f>
        <v>Normal</v>
      </c>
      <c r="L378" s="4" t="str">
        <f>IF(Table15678[[#This Row],[Total Amount]]&gt;=1000,"High",(IF(Table15678[[#This Row],[Total Amount]]&gt;=500,"Medium","Low")))</f>
        <v>Low</v>
      </c>
      <c r="M378" s="4" t="str" cm="1">
        <f t="array" ref="M37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78" s="4" cm="1">
        <f t="array" ref="N37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</v>
      </c>
      <c r="O378" s="4">
        <f>Table15678[[#This Row],[Total Amount]]-Table15678[[#This Row],[Discount Amount]]</f>
        <v>160</v>
      </c>
      <c r="P378" s="4" t="str">
        <f>IF(Table15678[[#This Row],[Total Amount]]&gt;=1000,"High","Low")</f>
        <v>Low</v>
      </c>
      <c r="Q378" s="4" t="str" cm="1">
        <f t="array" ref="Q378">_xlfn.IFS(AND(Table15678[[#This Row],[Total Amount]]&gt;=1500,"Critical"),AND(Table15678[[#This Row],[Total Amount]]&gt;=1000,"High"),TRUE,"Normal")</f>
        <v>Normal</v>
      </c>
      <c r="R378" s="4" t="str">
        <f>CONCATENATE(Table15678[[#This Row],[Customer ID]], "-",Table15678[[#This Row],[Age]])</f>
        <v>CUST377-46</v>
      </c>
      <c r="S378" s="4" t="str">
        <f>TEXT(Table15678[[#This Row],[Date]],"mmm")</f>
        <v>Mar</v>
      </c>
      <c r="T378" s="4" t="str">
        <f>TEXT(Table15678[[#This Row],[Date]],"DDD")</f>
        <v>Thu</v>
      </c>
    </row>
    <row r="379" spans="1:20" ht="29" x14ac:dyDescent="0.35">
      <c r="A379" s="4">
        <v>378</v>
      </c>
      <c r="B379" s="5">
        <v>45105</v>
      </c>
      <c r="C379" s="4" t="s">
        <v>391</v>
      </c>
      <c r="D379" s="4" t="s">
        <v>10</v>
      </c>
      <c r="E379" s="4">
        <v>50</v>
      </c>
      <c r="F379" s="4" t="str">
        <f>IF(Table15678[[#This Row],[Age]]&lt;=19,"Teenager",IF(Table15678[[#This Row],[Age]]&lt;=40,"Median","Old"))</f>
        <v>Old</v>
      </c>
      <c r="G379" s="4" t="s">
        <v>11</v>
      </c>
      <c r="H379" s="4">
        <v>1</v>
      </c>
      <c r="I379" s="4">
        <v>300</v>
      </c>
      <c r="J379" s="4">
        <v>300</v>
      </c>
      <c r="K379" s="4" t="str" cm="1">
        <f t="array" ref="K379">_xlfn.IFS(AND(Table15678[[#This Row],[Total Amount]]&gt;=1500),"Critical",AND(Table15678[[#This Row],[Total Amount]]&gt;=1000),"High",TRUE,"Normal")</f>
        <v>Normal</v>
      </c>
      <c r="L379" s="4" t="str">
        <f>IF(Table15678[[#This Row],[Total Amount]]&gt;=1000,"High",(IF(Table15678[[#This Row],[Total Amount]]&gt;=500,"Medium","Low")))</f>
        <v>Low</v>
      </c>
      <c r="M379" s="4" t="str" cm="1">
        <f t="array" ref="M37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79" s="4" cm="1">
        <f t="array" ref="N37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379" s="4">
        <f>Table15678[[#This Row],[Total Amount]]-Table15678[[#This Row],[Discount Amount]]</f>
        <v>270</v>
      </c>
      <c r="P379" s="4" t="str">
        <f>IF(Table15678[[#This Row],[Total Amount]]&gt;=1000,"High","Low")</f>
        <v>Low</v>
      </c>
      <c r="Q379" s="4" t="str" cm="1">
        <f t="array" ref="Q379">_xlfn.IFS(AND(Table15678[[#This Row],[Total Amount]]&gt;=1500,"Critical"),AND(Table15678[[#This Row],[Total Amount]]&gt;=1000,"High"),TRUE,"Normal")</f>
        <v>Normal</v>
      </c>
      <c r="R379" s="4" t="str">
        <f>CONCATENATE(Table15678[[#This Row],[Customer ID]], "-",Table15678[[#This Row],[Age]])</f>
        <v>CUST378-50</v>
      </c>
      <c r="S379" s="4" t="str">
        <f>TEXT(Table15678[[#This Row],[Date]],"mmm")</f>
        <v>Jun</v>
      </c>
      <c r="T379" s="4" t="str">
        <f>TEXT(Table15678[[#This Row],[Date]],"DDD")</f>
        <v>Wed</v>
      </c>
    </row>
    <row r="380" spans="1:20" ht="29" x14ac:dyDescent="0.35">
      <c r="A380" s="4">
        <v>379</v>
      </c>
      <c r="B380" s="5">
        <v>44962</v>
      </c>
      <c r="C380" s="4" t="s">
        <v>392</v>
      </c>
      <c r="D380" s="4" t="s">
        <v>13</v>
      </c>
      <c r="E380" s="4">
        <v>47</v>
      </c>
      <c r="F380" s="4" t="str">
        <f>IF(Table15678[[#This Row],[Age]]&lt;=19,"Teenager",IF(Table15678[[#This Row],[Age]]&lt;=40,"Median","Old"))</f>
        <v>Old</v>
      </c>
      <c r="G380" s="4" t="s">
        <v>14</v>
      </c>
      <c r="H380" s="4">
        <v>1</v>
      </c>
      <c r="I380" s="4">
        <v>25</v>
      </c>
      <c r="J380" s="4">
        <v>25</v>
      </c>
      <c r="K380" s="4" t="str" cm="1">
        <f t="array" ref="K380">_xlfn.IFS(AND(Table15678[[#This Row],[Total Amount]]&gt;=1500),"Critical",AND(Table15678[[#This Row],[Total Amount]]&gt;=1000),"High",TRUE,"Normal")</f>
        <v>Normal</v>
      </c>
      <c r="L380" s="4" t="str">
        <f>IF(Table15678[[#This Row],[Total Amount]]&gt;=1000,"High",(IF(Table15678[[#This Row],[Total Amount]]&gt;=500,"Medium","Low")))</f>
        <v>Low</v>
      </c>
      <c r="M380" s="4" t="str" cm="1">
        <f t="array" ref="M38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80" s="4" cm="1">
        <f t="array" ref="N38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380" s="4">
        <f>Table15678[[#This Row],[Total Amount]]-Table15678[[#This Row],[Discount Amount]]</f>
        <v>20</v>
      </c>
      <c r="P380" s="4" t="str">
        <f>IF(Table15678[[#This Row],[Total Amount]]&gt;=1000,"High","Low")</f>
        <v>Low</v>
      </c>
      <c r="Q380" s="4" t="str" cm="1">
        <f t="array" ref="Q380">_xlfn.IFS(AND(Table15678[[#This Row],[Total Amount]]&gt;=1500,"Critical"),AND(Table15678[[#This Row],[Total Amount]]&gt;=1000,"High"),TRUE,"Normal")</f>
        <v>Normal</v>
      </c>
      <c r="R380" s="4" t="str">
        <f>CONCATENATE(Table15678[[#This Row],[Customer ID]], "-",Table15678[[#This Row],[Age]])</f>
        <v>CUST379-47</v>
      </c>
      <c r="S380" s="4" t="str">
        <f>TEXT(Table15678[[#This Row],[Date]],"mmm")</f>
        <v>Feb</v>
      </c>
      <c r="T380" s="4" t="str">
        <f>TEXT(Table15678[[#This Row],[Date]],"DDD")</f>
        <v>Sun</v>
      </c>
    </row>
    <row r="381" spans="1:20" ht="29" x14ac:dyDescent="0.35">
      <c r="A381" s="4">
        <v>380</v>
      </c>
      <c r="B381" s="5">
        <v>45052</v>
      </c>
      <c r="C381" s="4" t="s">
        <v>393</v>
      </c>
      <c r="D381" s="4" t="s">
        <v>10</v>
      </c>
      <c r="E381" s="4">
        <v>56</v>
      </c>
      <c r="F381" s="4" t="str">
        <f>IF(Table15678[[#This Row],[Age]]&lt;=19,"Teenager",IF(Table15678[[#This Row],[Age]]&lt;=40,"Median","Old"))</f>
        <v>Old</v>
      </c>
      <c r="G381" s="4" t="s">
        <v>16</v>
      </c>
      <c r="H381" s="4">
        <v>2</v>
      </c>
      <c r="I381" s="4">
        <v>300</v>
      </c>
      <c r="J381" s="4">
        <v>600</v>
      </c>
      <c r="K381" s="4" t="str" cm="1">
        <f t="array" ref="K381">_xlfn.IFS(AND(Table15678[[#This Row],[Total Amount]]&gt;=1500),"Critical",AND(Table15678[[#This Row],[Total Amount]]&gt;=1000),"High",TRUE,"Normal")</f>
        <v>Normal</v>
      </c>
      <c r="L381" s="4" t="str">
        <f>IF(Table15678[[#This Row],[Total Amount]]&gt;=1000,"High",(IF(Table15678[[#This Row],[Total Amount]]&gt;=500,"Medium","Low")))</f>
        <v>Medium</v>
      </c>
      <c r="M381" s="4" t="str" cm="1">
        <f t="array" ref="M38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81" s="4" cm="1">
        <f t="array" ref="N38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381" s="4">
        <f>Table15678[[#This Row],[Total Amount]]-Table15678[[#This Row],[Discount Amount]]</f>
        <v>540</v>
      </c>
      <c r="P381" s="4" t="str">
        <f>IF(Table15678[[#This Row],[Total Amount]]&gt;=1000,"High","Low")</f>
        <v>Low</v>
      </c>
      <c r="Q381" s="4" t="str" cm="1">
        <f t="array" ref="Q381">_xlfn.IFS(AND(Table15678[[#This Row],[Total Amount]]&gt;=1500,"Critical"),AND(Table15678[[#This Row],[Total Amount]]&gt;=1000,"High"),TRUE,"Normal")</f>
        <v>Normal</v>
      </c>
      <c r="R381" s="4" t="str">
        <f>CONCATENATE(Table15678[[#This Row],[Customer ID]], "-",Table15678[[#This Row],[Age]])</f>
        <v>CUST380-56</v>
      </c>
      <c r="S381" s="4" t="str">
        <f>TEXT(Table15678[[#This Row],[Date]],"mmm")</f>
        <v>May</v>
      </c>
      <c r="T381" s="4" t="str">
        <f>TEXT(Table15678[[#This Row],[Date]],"DDD")</f>
        <v>Sat</v>
      </c>
    </row>
    <row r="382" spans="1:20" ht="29" x14ac:dyDescent="0.35">
      <c r="A382" s="4">
        <v>381</v>
      </c>
      <c r="B382" s="5">
        <v>45116</v>
      </c>
      <c r="C382" s="4" t="s">
        <v>394</v>
      </c>
      <c r="D382" s="4" t="s">
        <v>13</v>
      </c>
      <c r="E382" s="4">
        <v>44</v>
      </c>
      <c r="F382" s="4" t="str">
        <f>IF(Table15678[[#This Row],[Age]]&lt;=19,"Teenager",IF(Table15678[[#This Row],[Age]]&lt;=40,"Median","Old"))</f>
        <v>Old</v>
      </c>
      <c r="G382" s="4" t="s">
        <v>14</v>
      </c>
      <c r="H382" s="4">
        <v>4</v>
      </c>
      <c r="I382" s="4">
        <v>25</v>
      </c>
      <c r="J382" s="4">
        <v>100</v>
      </c>
      <c r="K382" s="4" t="str" cm="1">
        <f t="array" ref="K382">_xlfn.IFS(AND(Table15678[[#This Row],[Total Amount]]&gt;=1500),"Critical",AND(Table15678[[#This Row],[Total Amount]]&gt;=1000),"High",TRUE,"Normal")</f>
        <v>Normal</v>
      </c>
      <c r="L382" s="4" t="str">
        <f>IF(Table15678[[#This Row],[Total Amount]]&gt;=1000,"High",(IF(Table15678[[#This Row],[Total Amount]]&gt;=500,"Medium","Low")))</f>
        <v>Low</v>
      </c>
      <c r="M382" s="4" t="str" cm="1">
        <f t="array" ref="M38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82" s="4" cm="1">
        <f t="array" ref="N38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382" s="4">
        <f>Table15678[[#This Row],[Total Amount]]-Table15678[[#This Row],[Discount Amount]]</f>
        <v>80</v>
      </c>
      <c r="P382" s="4" t="str">
        <f>IF(Table15678[[#This Row],[Total Amount]]&gt;=1000,"High","Low")</f>
        <v>Low</v>
      </c>
      <c r="Q382" s="4" t="str" cm="1">
        <f t="array" ref="Q382">_xlfn.IFS(AND(Table15678[[#This Row],[Total Amount]]&gt;=1500,"Critical"),AND(Table15678[[#This Row],[Total Amount]]&gt;=1000,"High"),TRUE,"Normal")</f>
        <v>Normal</v>
      </c>
      <c r="R382" s="4" t="str">
        <f>CONCATENATE(Table15678[[#This Row],[Customer ID]], "-",Table15678[[#This Row],[Age]])</f>
        <v>CUST381-44</v>
      </c>
      <c r="S382" s="4" t="str">
        <f>TEXT(Table15678[[#This Row],[Date]],"mmm")</f>
        <v>Jul</v>
      </c>
      <c r="T382" s="4" t="str">
        <f>TEXT(Table15678[[#This Row],[Date]],"DDD")</f>
        <v>Sun</v>
      </c>
    </row>
    <row r="383" spans="1:20" ht="29" x14ac:dyDescent="0.35">
      <c r="A383" s="4">
        <v>382</v>
      </c>
      <c r="B383" s="5">
        <v>45072</v>
      </c>
      <c r="C383" s="4" t="s">
        <v>395</v>
      </c>
      <c r="D383" s="4" t="s">
        <v>13</v>
      </c>
      <c r="E383" s="4">
        <v>53</v>
      </c>
      <c r="F383" s="4" t="str">
        <f>IF(Table15678[[#This Row],[Age]]&lt;=19,"Teenager",IF(Table15678[[#This Row],[Age]]&lt;=40,"Median","Old"))</f>
        <v>Old</v>
      </c>
      <c r="G383" s="4" t="s">
        <v>14</v>
      </c>
      <c r="H383" s="4">
        <v>2</v>
      </c>
      <c r="I383" s="4">
        <v>500</v>
      </c>
      <c r="J383" s="4">
        <v>1000</v>
      </c>
      <c r="K383" s="4" t="str" cm="1">
        <f t="array" ref="K383">_xlfn.IFS(AND(Table15678[[#This Row],[Total Amount]]&gt;=1500),"Critical",AND(Table15678[[#This Row],[Total Amount]]&gt;=1000),"High",TRUE,"Normal")</f>
        <v>High</v>
      </c>
      <c r="L383" s="4" t="str">
        <f>IF(Table15678[[#This Row],[Total Amount]]&gt;=1000,"High",(IF(Table15678[[#This Row],[Total Amount]]&gt;=500,"Medium","Low")))</f>
        <v>High</v>
      </c>
      <c r="M383" s="4" t="str" cm="1">
        <f t="array" ref="M38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83" s="4" cm="1">
        <f t="array" ref="N38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383" s="4">
        <f>Table15678[[#This Row],[Total Amount]]-Table15678[[#This Row],[Discount Amount]]</f>
        <v>800</v>
      </c>
      <c r="P383" s="4" t="str">
        <f>IF(Table15678[[#This Row],[Total Amount]]&gt;=1000,"High","Low")</f>
        <v>High</v>
      </c>
      <c r="Q383" s="4" t="str" cm="1">
        <f t="array" ref="Q383">_xlfn.IFS(AND(Table15678[[#This Row],[Total Amount]]&gt;=1500,"Critical"),AND(Table15678[[#This Row],[Total Amount]]&gt;=1000,"High"),TRUE,"Normal")</f>
        <v>Normal</v>
      </c>
      <c r="R383" s="4" t="str">
        <f>CONCATENATE(Table15678[[#This Row],[Customer ID]], "-",Table15678[[#This Row],[Age]])</f>
        <v>CUST382-53</v>
      </c>
      <c r="S383" s="4" t="str">
        <f>TEXT(Table15678[[#This Row],[Date]],"mmm")</f>
        <v>May</v>
      </c>
      <c r="T383" s="4" t="str">
        <f>TEXT(Table15678[[#This Row],[Date]],"DDD")</f>
        <v>Fri</v>
      </c>
    </row>
    <row r="384" spans="1:20" ht="29" x14ac:dyDescent="0.35">
      <c r="A384" s="4">
        <v>383</v>
      </c>
      <c r="B384" s="5">
        <v>45007</v>
      </c>
      <c r="C384" s="4" t="s">
        <v>396</v>
      </c>
      <c r="D384" s="4" t="s">
        <v>13</v>
      </c>
      <c r="E384" s="4">
        <v>46</v>
      </c>
      <c r="F384" s="4" t="str">
        <f>IF(Table15678[[#This Row],[Age]]&lt;=19,"Teenager",IF(Table15678[[#This Row],[Age]]&lt;=40,"Median","Old"))</f>
        <v>Old</v>
      </c>
      <c r="G384" s="4" t="s">
        <v>11</v>
      </c>
      <c r="H384" s="4">
        <v>3</v>
      </c>
      <c r="I384" s="4">
        <v>30</v>
      </c>
      <c r="J384" s="4">
        <v>90</v>
      </c>
      <c r="K384" s="4" t="str" cm="1">
        <f t="array" ref="K384">_xlfn.IFS(AND(Table15678[[#This Row],[Total Amount]]&gt;=1500),"Critical",AND(Table15678[[#This Row],[Total Amount]]&gt;=1000),"High",TRUE,"Normal")</f>
        <v>Normal</v>
      </c>
      <c r="L384" s="4" t="str">
        <f>IF(Table15678[[#This Row],[Total Amount]]&gt;=1000,"High",(IF(Table15678[[#This Row],[Total Amount]]&gt;=500,"Medium","Low")))</f>
        <v>Low</v>
      </c>
      <c r="M384" s="4" t="str" cm="1">
        <f t="array" ref="M38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84" s="4" cm="1">
        <f t="array" ref="N38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</v>
      </c>
      <c r="O384" s="4">
        <f>Table15678[[#This Row],[Total Amount]]-Table15678[[#This Row],[Discount Amount]]</f>
        <v>72</v>
      </c>
      <c r="P384" s="4" t="str">
        <f>IF(Table15678[[#This Row],[Total Amount]]&gt;=1000,"High","Low")</f>
        <v>Low</v>
      </c>
      <c r="Q384" s="4" t="str" cm="1">
        <f t="array" ref="Q384">_xlfn.IFS(AND(Table15678[[#This Row],[Total Amount]]&gt;=1500,"Critical"),AND(Table15678[[#This Row],[Total Amount]]&gt;=1000,"High"),TRUE,"Normal")</f>
        <v>Normal</v>
      </c>
      <c r="R384" s="4" t="str">
        <f>CONCATENATE(Table15678[[#This Row],[Customer ID]], "-",Table15678[[#This Row],[Age]])</f>
        <v>CUST383-46</v>
      </c>
      <c r="S384" s="4" t="str">
        <f>TEXT(Table15678[[#This Row],[Date]],"mmm")</f>
        <v>Mar</v>
      </c>
      <c r="T384" s="4" t="str">
        <f>TEXT(Table15678[[#This Row],[Date]],"DDD")</f>
        <v>Wed</v>
      </c>
    </row>
    <row r="385" spans="1:20" ht="29" x14ac:dyDescent="0.35">
      <c r="A385" s="4">
        <v>384</v>
      </c>
      <c r="B385" s="5">
        <v>45151</v>
      </c>
      <c r="C385" s="4" t="s">
        <v>397</v>
      </c>
      <c r="D385" s="4" t="s">
        <v>10</v>
      </c>
      <c r="E385" s="4">
        <v>55</v>
      </c>
      <c r="F385" s="4" t="str">
        <f>IF(Table15678[[#This Row],[Age]]&lt;=19,"Teenager",IF(Table15678[[#This Row],[Age]]&lt;=40,"Median","Old"))</f>
        <v>Old</v>
      </c>
      <c r="G385" s="4" t="s">
        <v>14</v>
      </c>
      <c r="H385" s="4">
        <v>1</v>
      </c>
      <c r="I385" s="4">
        <v>500</v>
      </c>
      <c r="J385" s="4">
        <v>500</v>
      </c>
      <c r="K385" s="4" t="str" cm="1">
        <f t="array" ref="K385">_xlfn.IFS(AND(Table15678[[#This Row],[Total Amount]]&gt;=1500),"Critical",AND(Table15678[[#This Row],[Total Amount]]&gt;=1000),"High",TRUE,"Normal")</f>
        <v>Normal</v>
      </c>
      <c r="L385" s="4" t="str">
        <f>IF(Table15678[[#This Row],[Total Amount]]&gt;=1000,"High",(IF(Table15678[[#This Row],[Total Amount]]&gt;=500,"Medium","Low")))</f>
        <v>Medium</v>
      </c>
      <c r="M385" s="4" t="str" cm="1">
        <f t="array" ref="M38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85" s="4" cm="1">
        <f t="array" ref="N38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50</v>
      </c>
      <c r="O385" s="4">
        <f>Table15678[[#This Row],[Total Amount]]-Table15678[[#This Row],[Discount Amount]]</f>
        <v>450</v>
      </c>
      <c r="P385" s="4" t="str">
        <f>IF(Table15678[[#This Row],[Total Amount]]&gt;=1000,"High","Low")</f>
        <v>Low</v>
      </c>
      <c r="Q385" s="4" t="str" cm="1">
        <f t="array" ref="Q385">_xlfn.IFS(AND(Table15678[[#This Row],[Total Amount]]&gt;=1500,"Critical"),AND(Table15678[[#This Row],[Total Amount]]&gt;=1000,"High"),TRUE,"Normal")</f>
        <v>Normal</v>
      </c>
      <c r="R385" s="4" t="str">
        <f>CONCATENATE(Table15678[[#This Row],[Customer ID]], "-",Table15678[[#This Row],[Age]])</f>
        <v>CUST384-55</v>
      </c>
      <c r="S385" s="4" t="str">
        <f>TEXT(Table15678[[#This Row],[Date]],"mmm")</f>
        <v>Aug</v>
      </c>
      <c r="T385" s="4" t="str">
        <f>TEXT(Table15678[[#This Row],[Date]],"DDD")</f>
        <v>Sun</v>
      </c>
    </row>
    <row r="386" spans="1:20" ht="29" x14ac:dyDescent="0.35">
      <c r="A386" s="4">
        <v>385</v>
      </c>
      <c r="B386" s="5">
        <v>45205</v>
      </c>
      <c r="C386" s="4" t="s">
        <v>398</v>
      </c>
      <c r="D386" s="4" t="s">
        <v>10</v>
      </c>
      <c r="E386" s="4">
        <v>50</v>
      </c>
      <c r="F386" s="4" t="str">
        <f>IF(Table15678[[#This Row],[Age]]&lt;=19,"Teenager",IF(Table15678[[#This Row],[Age]]&lt;=40,"Median","Old"))</f>
        <v>Old</v>
      </c>
      <c r="G386" s="4" t="s">
        <v>16</v>
      </c>
      <c r="H386" s="4">
        <v>3</v>
      </c>
      <c r="I386" s="4">
        <v>500</v>
      </c>
      <c r="J386" s="4">
        <v>1500</v>
      </c>
      <c r="K386" s="4" t="str" cm="1">
        <f t="array" ref="K386">_xlfn.IFS(AND(Table15678[[#This Row],[Total Amount]]&gt;=1500),"Critical",AND(Table15678[[#This Row],[Total Amount]]&gt;=1000),"High",TRUE,"Normal")</f>
        <v>Critical</v>
      </c>
      <c r="L386" s="4" t="str">
        <f>IF(Table15678[[#This Row],[Total Amount]]&gt;=1000,"High",(IF(Table15678[[#This Row],[Total Amount]]&gt;=500,"Medium","Low")))</f>
        <v>High</v>
      </c>
      <c r="M386" s="4" t="str" cm="1">
        <f t="array" ref="M38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86" s="4" cm="1">
        <f t="array" ref="N38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150</v>
      </c>
      <c r="O386" s="4">
        <f>Table15678[[#This Row],[Total Amount]]-Table15678[[#This Row],[Discount Amount]]</f>
        <v>1350</v>
      </c>
      <c r="P386" s="4" t="str">
        <f>IF(Table15678[[#This Row],[Total Amount]]&gt;=1000,"High","Low")</f>
        <v>High</v>
      </c>
      <c r="Q386" s="4" t="b" cm="1">
        <f t="array" ref="Q386">_xlfn.IFS(AND(Table15678[[#This Row],[Total Amount]]&gt;=1500,"Critical"),AND(Table15678[[#This Row],[Total Amount]]&gt;=1000,"High"),TRUE,"Normal")</f>
        <v>1</v>
      </c>
      <c r="R386" s="4" t="str">
        <f>CONCATENATE(Table15678[[#This Row],[Customer ID]], "-",Table15678[[#This Row],[Age]])</f>
        <v>CUST385-50</v>
      </c>
      <c r="S386" s="4" t="str">
        <f>TEXT(Table15678[[#This Row],[Date]],"mmm")</f>
        <v>Oct</v>
      </c>
      <c r="T386" s="4" t="str">
        <f>TEXT(Table15678[[#This Row],[Date]],"DDD")</f>
        <v>Fri</v>
      </c>
    </row>
    <row r="387" spans="1:20" ht="29" x14ac:dyDescent="0.35">
      <c r="A387" s="4">
        <v>386</v>
      </c>
      <c r="B387" s="5">
        <v>45287</v>
      </c>
      <c r="C387" s="4" t="s">
        <v>399</v>
      </c>
      <c r="D387" s="4" t="s">
        <v>13</v>
      </c>
      <c r="E387" s="4">
        <v>54</v>
      </c>
      <c r="F387" s="4" t="str">
        <f>IF(Table15678[[#This Row],[Age]]&lt;=19,"Teenager",IF(Table15678[[#This Row],[Age]]&lt;=40,"Median","Old"))</f>
        <v>Old</v>
      </c>
      <c r="G387" s="4" t="s">
        <v>16</v>
      </c>
      <c r="H387" s="4">
        <v>2</v>
      </c>
      <c r="I387" s="4">
        <v>300</v>
      </c>
      <c r="J387" s="4">
        <v>600</v>
      </c>
      <c r="K387" s="4" t="str" cm="1">
        <f t="array" ref="K387">_xlfn.IFS(AND(Table15678[[#This Row],[Total Amount]]&gt;=1500),"Critical",AND(Table15678[[#This Row],[Total Amount]]&gt;=1000),"High",TRUE,"Normal")</f>
        <v>Normal</v>
      </c>
      <c r="L387" s="4" t="str">
        <f>IF(Table15678[[#This Row],[Total Amount]]&gt;=1000,"High",(IF(Table15678[[#This Row],[Total Amount]]&gt;=500,"Medium","Low")))</f>
        <v>Medium</v>
      </c>
      <c r="M387" s="4" t="str" cm="1">
        <f t="array" ref="M38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87" s="4" cm="1">
        <f t="array" ref="N38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120</v>
      </c>
      <c r="O387" s="4">
        <f>Table15678[[#This Row],[Total Amount]]-Table15678[[#This Row],[Discount Amount]]</f>
        <v>480</v>
      </c>
      <c r="P387" s="4" t="str">
        <f>IF(Table15678[[#This Row],[Total Amount]]&gt;=1000,"High","Low")</f>
        <v>Low</v>
      </c>
      <c r="Q387" s="4" t="str" cm="1">
        <f t="array" ref="Q387">_xlfn.IFS(AND(Table15678[[#This Row],[Total Amount]]&gt;=1500,"Critical"),AND(Table15678[[#This Row],[Total Amount]]&gt;=1000,"High"),TRUE,"Normal")</f>
        <v>Normal</v>
      </c>
      <c r="R387" s="4" t="str">
        <f>CONCATENATE(Table15678[[#This Row],[Customer ID]], "-",Table15678[[#This Row],[Age]])</f>
        <v>CUST386-54</v>
      </c>
      <c r="S387" s="4" t="str">
        <f>TEXT(Table15678[[#This Row],[Date]],"mmm")</f>
        <v>Dec</v>
      </c>
      <c r="T387" s="4" t="str">
        <f>TEXT(Table15678[[#This Row],[Date]],"DDD")</f>
        <v>Wed</v>
      </c>
    </row>
    <row r="388" spans="1:20" ht="29" x14ac:dyDescent="0.35">
      <c r="A388" s="4">
        <v>387</v>
      </c>
      <c r="B388" s="5">
        <v>45081</v>
      </c>
      <c r="C388" s="4" t="s">
        <v>400</v>
      </c>
      <c r="D388" s="4" t="s">
        <v>10</v>
      </c>
      <c r="E388" s="4">
        <v>44</v>
      </c>
      <c r="F388" s="4" t="str">
        <f>IF(Table15678[[#This Row],[Age]]&lt;=19,"Teenager",IF(Table15678[[#This Row],[Age]]&lt;=40,"Median","Old"))</f>
        <v>Old</v>
      </c>
      <c r="G388" s="4" t="s">
        <v>11</v>
      </c>
      <c r="H388" s="4">
        <v>1</v>
      </c>
      <c r="I388" s="4">
        <v>30</v>
      </c>
      <c r="J388" s="4">
        <v>30</v>
      </c>
      <c r="K388" s="4" t="str" cm="1">
        <f t="array" ref="K388">_xlfn.IFS(AND(Table15678[[#This Row],[Total Amount]]&gt;=1500),"Critical",AND(Table15678[[#This Row],[Total Amount]]&gt;=1000),"High",TRUE,"Normal")</f>
        <v>Normal</v>
      </c>
      <c r="L388" s="4" t="str">
        <f>IF(Table15678[[#This Row],[Total Amount]]&gt;=1000,"High",(IF(Table15678[[#This Row],[Total Amount]]&gt;=500,"Medium","Low")))</f>
        <v>Low</v>
      </c>
      <c r="M388" s="4" t="str" cm="1">
        <f t="array" ref="M38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88" s="4" cm="1">
        <f t="array" ref="N38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</v>
      </c>
      <c r="O388" s="4">
        <f>Table15678[[#This Row],[Total Amount]]-Table15678[[#This Row],[Discount Amount]]</f>
        <v>27</v>
      </c>
      <c r="P388" s="4" t="str">
        <f>IF(Table15678[[#This Row],[Total Amount]]&gt;=1000,"High","Low")</f>
        <v>Low</v>
      </c>
      <c r="Q388" s="4" t="str" cm="1">
        <f t="array" ref="Q388">_xlfn.IFS(AND(Table15678[[#This Row],[Total Amount]]&gt;=1500,"Critical"),AND(Table15678[[#This Row],[Total Amount]]&gt;=1000,"High"),TRUE,"Normal")</f>
        <v>Normal</v>
      </c>
      <c r="R388" s="4" t="str">
        <f>CONCATENATE(Table15678[[#This Row],[Customer ID]], "-",Table15678[[#This Row],[Age]])</f>
        <v>CUST387-44</v>
      </c>
      <c r="S388" s="4" t="str">
        <f>TEXT(Table15678[[#This Row],[Date]],"mmm")</f>
        <v>Jun</v>
      </c>
      <c r="T388" s="4" t="str">
        <f>TEXT(Table15678[[#This Row],[Date]],"DDD")</f>
        <v>Sun</v>
      </c>
    </row>
    <row r="389" spans="1:20" ht="29" x14ac:dyDescent="0.35">
      <c r="A389" s="4">
        <v>388</v>
      </c>
      <c r="B389" s="5">
        <v>45240</v>
      </c>
      <c r="C389" s="4" t="s">
        <v>401</v>
      </c>
      <c r="D389" s="4" t="s">
        <v>10</v>
      </c>
      <c r="E389" s="4">
        <v>50</v>
      </c>
      <c r="F389" s="4" t="str">
        <f>IF(Table15678[[#This Row],[Age]]&lt;=19,"Teenager",IF(Table15678[[#This Row],[Age]]&lt;=40,"Median","Old"))</f>
        <v>Old</v>
      </c>
      <c r="G389" s="4" t="s">
        <v>16</v>
      </c>
      <c r="H389" s="4">
        <v>1</v>
      </c>
      <c r="I389" s="4">
        <v>25</v>
      </c>
      <c r="J389" s="4">
        <v>25</v>
      </c>
      <c r="K389" s="4" t="str" cm="1">
        <f t="array" ref="K389">_xlfn.IFS(AND(Table15678[[#This Row],[Total Amount]]&gt;=1500),"Critical",AND(Table15678[[#This Row],[Total Amount]]&gt;=1000),"High",TRUE,"Normal")</f>
        <v>Normal</v>
      </c>
      <c r="L389" s="4" t="str">
        <f>IF(Table15678[[#This Row],[Total Amount]]&gt;=1000,"High",(IF(Table15678[[#This Row],[Total Amount]]&gt;=500,"Medium","Low")))</f>
        <v>Low</v>
      </c>
      <c r="M389" s="4" t="str" cm="1">
        <f t="array" ref="M38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89" s="4" cm="1">
        <f t="array" ref="N38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2.5</v>
      </c>
      <c r="O389" s="4">
        <f>Table15678[[#This Row],[Total Amount]]-Table15678[[#This Row],[Discount Amount]]</f>
        <v>22.5</v>
      </c>
      <c r="P389" s="4" t="str">
        <f>IF(Table15678[[#This Row],[Total Amount]]&gt;=1000,"High","Low")</f>
        <v>Low</v>
      </c>
      <c r="Q389" s="4" t="str" cm="1">
        <f t="array" ref="Q389">_xlfn.IFS(AND(Table15678[[#This Row],[Total Amount]]&gt;=1500,"Critical"),AND(Table15678[[#This Row],[Total Amount]]&gt;=1000,"High"),TRUE,"Normal")</f>
        <v>Normal</v>
      </c>
      <c r="R389" s="4" t="str">
        <f>CONCATENATE(Table15678[[#This Row],[Customer ID]], "-",Table15678[[#This Row],[Age]])</f>
        <v>CUST388-50</v>
      </c>
      <c r="S389" s="4" t="str">
        <f>TEXT(Table15678[[#This Row],[Date]],"mmm")</f>
        <v>Nov</v>
      </c>
      <c r="T389" s="4" t="str">
        <f>TEXT(Table15678[[#This Row],[Date]],"DDD")</f>
        <v>Fri</v>
      </c>
    </row>
    <row r="390" spans="1:20" ht="29" x14ac:dyDescent="0.35">
      <c r="A390" s="4">
        <v>389</v>
      </c>
      <c r="B390" s="5">
        <v>45261</v>
      </c>
      <c r="C390" s="4" t="s">
        <v>402</v>
      </c>
      <c r="D390" s="4" t="s">
        <v>10</v>
      </c>
      <c r="E390" s="4">
        <v>21</v>
      </c>
      <c r="F390" s="4" t="str">
        <f>IF(Table15678[[#This Row],[Age]]&lt;=19,"Teenager",IF(Table15678[[#This Row],[Age]]&lt;=40,"Median","Old"))</f>
        <v>Median</v>
      </c>
      <c r="G390" s="4" t="s">
        <v>14</v>
      </c>
      <c r="H390" s="4">
        <v>2</v>
      </c>
      <c r="I390" s="4">
        <v>25</v>
      </c>
      <c r="J390" s="4">
        <v>50</v>
      </c>
      <c r="K390" s="4" t="str" cm="1">
        <f t="array" ref="K390">_xlfn.IFS(AND(Table15678[[#This Row],[Total Amount]]&gt;=1500),"Critical",AND(Table15678[[#This Row],[Total Amount]]&gt;=1000),"High",TRUE,"Normal")</f>
        <v>Normal</v>
      </c>
      <c r="L390" s="4" t="str">
        <f>IF(Table15678[[#This Row],[Total Amount]]&gt;=1000,"High",(IF(Table15678[[#This Row],[Total Amount]]&gt;=500,"Medium","Low")))</f>
        <v>Low</v>
      </c>
      <c r="M390" s="4" t="str" cm="1">
        <f t="array" ref="M39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390" s="4" cm="1">
        <f t="array" ref="N39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390" s="4">
        <f>Table15678[[#This Row],[Total Amount]]-Table15678[[#This Row],[Discount Amount]]</f>
        <v>50</v>
      </c>
      <c r="P390" s="4" t="str">
        <f>IF(Table15678[[#This Row],[Total Amount]]&gt;=1000,"High","Low")</f>
        <v>Low</v>
      </c>
      <c r="Q390" s="4" t="str" cm="1">
        <f t="array" ref="Q390">_xlfn.IFS(AND(Table15678[[#This Row],[Total Amount]]&gt;=1500,"Critical"),AND(Table15678[[#This Row],[Total Amount]]&gt;=1000,"High"),TRUE,"Normal")</f>
        <v>Normal</v>
      </c>
      <c r="R390" s="4" t="str">
        <f>CONCATENATE(Table15678[[#This Row],[Customer ID]], "-",Table15678[[#This Row],[Age]])</f>
        <v>CUST389-21</v>
      </c>
      <c r="S390" s="4" t="str">
        <f>TEXT(Table15678[[#This Row],[Date]],"mmm")</f>
        <v>Dec</v>
      </c>
      <c r="T390" s="4" t="str">
        <f>TEXT(Table15678[[#This Row],[Date]],"DDD")</f>
        <v>Fri</v>
      </c>
    </row>
    <row r="391" spans="1:20" ht="29" x14ac:dyDescent="0.35">
      <c r="A391" s="4">
        <v>390</v>
      </c>
      <c r="B391" s="5">
        <v>45197</v>
      </c>
      <c r="C391" s="4" t="s">
        <v>403</v>
      </c>
      <c r="D391" s="4" t="s">
        <v>10</v>
      </c>
      <c r="E391" s="4">
        <v>39</v>
      </c>
      <c r="F391" s="4" t="str">
        <f>IF(Table15678[[#This Row],[Age]]&lt;=19,"Teenager",IF(Table15678[[#This Row],[Age]]&lt;=40,"Median","Old"))</f>
        <v>Median</v>
      </c>
      <c r="G391" s="4" t="s">
        <v>16</v>
      </c>
      <c r="H391" s="4">
        <v>2</v>
      </c>
      <c r="I391" s="4">
        <v>50</v>
      </c>
      <c r="J391" s="4">
        <v>100</v>
      </c>
      <c r="K391" s="4" t="str" cm="1">
        <f t="array" ref="K391">_xlfn.IFS(AND(Table15678[[#This Row],[Total Amount]]&gt;=1500),"Critical",AND(Table15678[[#This Row],[Total Amount]]&gt;=1000),"High",TRUE,"Normal")</f>
        <v>Normal</v>
      </c>
      <c r="L391" s="4" t="str">
        <f>IF(Table15678[[#This Row],[Total Amount]]&gt;=1000,"High",(IF(Table15678[[#This Row],[Total Amount]]&gt;=500,"Medium","Low")))</f>
        <v>Low</v>
      </c>
      <c r="M391" s="4" t="str" cm="1">
        <f t="array" ref="M39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91" s="4" cm="1">
        <f t="array" ref="N39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391" s="4">
        <f>Table15678[[#This Row],[Total Amount]]-Table15678[[#This Row],[Discount Amount]]</f>
        <v>90</v>
      </c>
      <c r="P391" s="4" t="str">
        <f>IF(Table15678[[#This Row],[Total Amount]]&gt;=1000,"High","Low")</f>
        <v>Low</v>
      </c>
      <c r="Q391" s="4" t="str" cm="1">
        <f t="array" ref="Q391">_xlfn.IFS(AND(Table15678[[#This Row],[Total Amount]]&gt;=1500,"Critical"),AND(Table15678[[#This Row],[Total Amount]]&gt;=1000,"High"),TRUE,"Normal")</f>
        <v>Normal</v>
      </c>
      <c r="R391" s="4" t="str">
        <f>CONCATENATE(Table15678[[#This Row],[Customer ID]], "-",Table15678[[#This Row],[Age]])</f>
        <v>CUST390-39</v>
      </c>
      <c r="S391" s="4" t="str">
        <f>TEXT(Table15678[[#This Row],[Date]],"mmm")</f>
        <v>Sep</v>
      </c>
      <c r="T391" s="4" t="str">
        <f>TEXT(Table15678[[#This Row],[Date]],"DDD")</f>
        <v>Thu</v>
      </c>
    </row>
    <row r="392" spans="1:20" ht="29" x14ac:dyDescent="0.35">
      <c r="A392" s="4">
        <v>391</v>
      </c>
      <c r="B392" s="5">
        <v>44931</v>
      </c>
      <c r="C392" s="4" t="s">
        <v>404</v>
      </c>
      <c r="D392" s="4" t="s">
        <v>10</v>
      </c>
      <c r="E392" s="4">
        <v>19</v>
      </c>
      <c r="F392" s="4" t="str">
        <f>IF(Table15678[[#This Row],[Age]]&lt;=19,"Teenager",IF(Table15678[[#This Row],[Age]]&lt;=40,"Median","Old"))</f>
        <v>Teenager</v>
      </c>
      <c r="G392" s="4" t="s">
        <v>11</v>
      </c>
      <c r="H392" s="4">
        <v>2</v>
      </c>
      <c r="I392" s="4">
        <v>25</v>
      </c>
      <c r="J392" s="4">
        <v>50</v>
      </c>
      <c r="K392" s="4" t="str" cm="1">
        <f t="array" ref="K392">_xlfn.IFS(AND(Table15678[[#This Row],[Total Amount]]&gt;=1500),"Critical",AND(Table15678[[#This Row],[Total Amount]]&gt;=1000),"High",TRUE,"Normal")</f>
        <v>Normal</v>
      </c>
      <c r="L392" s="4" t="str">
        <f>IF(Table15678[[#This Row],[Total Amount]]&gt;=1000,"High",(IF(Table15678[[#This Row],[Total Amount]]&gt;=500,"Medium","Low")))</f>
        <v>Low</v>
      </c>
      <c r="M392" s="4" t="str" cm="1">
        <f t="array" ref="M39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392" s="4" cm="1">
        <f t="array" ref="N39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392" s="4">
        <f>Table15678[[#This Row],[Total Amount]]-Table15678[[#This Row],[Discount Amount]]</f>
        <v>50</v>
      </c>
      <c r="P392" s="4" t="str">
        <f>IF(Table15678[[#This Row],[Total Amount]]&gt;=1000,"High","Low")</f>
        <v>Low</v>
      </c>
      <c r="Q392" s="4" t="str" cm="1">
        <f t="array" ref="Q392">_xlfn.IFS(AND(Table15678[[#This Row],[Total Amount]]&gt;=1500,"Critical"),AND(Table15678[[#This Row],[Total Amount]]&gt;=1000,"High"),TRUE,"Normal")</f>
        <v>Normal</v>
      </c>
      <c r="R392" s="4" t="str">
        <f>CONCATENATE(Table15678[[#This Row],[Customer ID]], "-",Table15678[[#This Row],[Age]])</f>
        <v>CUST391-19</v>
      </c>
      <c r="S392" s="4" t="str">
        <f>TEXT(Table15678[[#This Row],[Date]],"mmm")</f>
        <v>Jan</v>
      </c>
      <c r="T392" s="4" t="str">
        <f>TEXT(Table15678[[#This Row],[Date]],"DDD")</f>
        <v>Thu</v>
      </c>
    </row>
    <row r="393" spans="1:20" ht="29" x14ac:dyDescent="0.35">
      <c r="A393" s="4">
        <v>392</v>
      </c>
      <c r="B393" s="5">
        <v>45268</v>
      </c>
      <c r="C393" s="4" t="s">
        <v>405</v>
      </c>
      <c r="D393" s="4" t="s">
        <v>10</v>
      </c>
      <c r="E393" s="4">
        <v>27</v>
      </c>
      <c r="F393" s="4" t="str">
        <f>IF(Table15678[[#This Row],[Age]]&lt;=19,"Teenager",IF(Table15678[[#This Row],[Age]]&lt;=40,"Median","Old"))</f>
        <v>Median</v>
      </c>
      <c r="G393" s="4" t="s">
        <v>14</v>
      </c>
      <c r="H393" s="4">
        <v>2</v>
      </c>
      <c r="I393" s="4">
        <v>300</v>
      </c>
      <c r="J393" s="4">
        <v>600</v>
      </c>
      <c r="K393" s="4" t="str" cm="1">
        <f t="array" ref="K393">_xlfn.IFS(AND(Table15678[[#This Row],[Total Amount]]&gt;=1500),"Critical",AND(Table15678[[#This Row],[Total Amount]]&gt;=1000),"High",TRUE,"Normal")</f>
        <v>Normal</v>
      </c>
      <c r="L393" s="4" t="str">
        <f>IF(Table15678[[#This Row],[Total Amount]]&gt;=1000,"High",(IF(Table15678[[#This Row],[Total Amount]]&gt;=500,"Medium","Low")))</f>
        <v>Medium</v>
      </c>
      <c r="M393" s="4" t="str" cm="1">
        <f t="array" ref="M39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93" s="4" cm="1">
        <f t="array" ref="N39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393" s="4">
        <f>Table15678[[#This Row],[Total Amount]]-Table15678[[#This Row],[Discount Amount]]</f>
        <v>510</v>
      </c>
      <c r="P393" s="4" t="str">
        <f>IF(Table15678[[#This Row],[Total Amount]]&gt;=1000,"High","Low")</f>
        <v>Low</v>
      </c>
      <c r="Q393" s="4" t="str" cm="1">
        <f t="array" ref="Q393">_xlfn.IFS(AND(Table15678[[#This Row],[Total Amount]]&gt;=1500,"Critical"),AND(Table15678[[#This Row],[Total Amount]]&gt;=1000,"High"),TRUE,"Normal")</f>
        <v>Normal</v>
      </c>
      <c r="R393" s="4" t="str">
        <f>CONCATENATE(Table15678[[#This Row],[Customer ID]], "-",Table15678[[#This Row],[Age]])</f>
        <v>CUST392-27</v>
      </c>
      <c r="S393" s="4" t="str">
        <f>TEXT(Table15678[[#This Row],[Date]],"mmm")</f>
        <v>Dec</v>
      </c>
      <c r="T393" s="4" t="str">
        <f>TEXT(Table15678[[#This Row],[Date]],"DDD")</f>
        <v>Fri</v>
      </c>
    </row>
    <row r="394" spans="1:20" ht="29" x14ac:dyDescent="0.35">
      <c r="A394" s="4">
        <v>393</v>
      </c>
      <c r="B394" s="5">
        <v>45210</v>
      </c>
      <c r="C394" s="4" t="s">
        <v>406</v>
      </c>
      <c r="D394" s="4" t="s">
        <v>13</v>
      </c>
      <c r="E394" s="4">
        <v>22</v>
      </c>
      <c r="F394" s="4" t="str">
        <f>IF(Table15678[[#This Row],[Age]]&lt;=19,"Teenager",IF(Table15678[[#This Row],[Age]]&lt;=40,"Median","Old"))</f>
        <v>Median</v>
      </c>
      <c r="G394" s="4" t="s">
        <v>11</v>
      </c>
      <c r="H394" s="4">
        <v>2</v>
      </c>
      <c r="I394" s="4">
        <v>500</v>
      </c>
      <c r="J394" s="4">
        <v>1000</v>
      </c>
      <c r="K394" s="4" t="str" cm="1">
        <f t="array" ref="K394">_xlfn.IFS(AND(Table15678[[#This Row],[Total Amount]]&gt;=1500),"Critical",AND(Table15678[[#This Row],[Total Amount]]&gt;=1000),"High",TRUE,"Normal")</f>
        <v>High</v>
      </c>
      <c r="L394" s="4" t="str">
        <f>IF(Table15678[[#This Row],[Total Amount]]&gt;=1000,"High",(IF(Table15678[[#This Row],[Total Amount]]&gt;=500,"Medium","Low")))</f>
        <v>High</v>
      </c>
      <c r="M394" s="4" t="str" cm="1">
        <f t="array" ref="M39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394" s="4" cm="1">
        <f t="array" ref="N39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394" s="4">
        <f>Table15678[[#This Row],[Total Amount]]-Table15678[[#This Row],[Discount Amount]]</f>
        <v>1000</v>
      </c>
      <c r="P394" s="4" t="str">
        <f>IF(Table15678[[#This Row],[Total Amount]]&gt;=1000,"High","Low")</f>
        <v>High</v>
      </c>
      <c r="Q394" s="4" t="str" cm="1">
        <f t="array" ref="Q394">_xlfn.IFS(AND(Table15678[[#This Row],[Total Amount]]&gt;=1500,"Critical"),AND(Table15678[[#This Row],[Total Amount]]&gt;=1000,"High"),TRUE,"Normal")</f>
        <v>Normal</v>
      </c>
      <c r="R394" s="4" t="str">
        <f>CONCATENATE(Table15678[[#This Row],[Customer ID]], "-",Table15678[[#This Row],[Age]])</f>
        <v>CUST393-22</v>
      </c>
      <c r="S394" s="4" t="str">
        <f>TEXT(Table15678[[#This Row],[Date]],"mmm")</f>
        <v>Oct</v>
      </c>
      <c r="T394" s="4" t="str">
        <f>TEXT(Table15678[[#This Row],[Date]],"DDD")</f>
        <v>Wed</v>
      </c>
    </row>
    <row r="395" spans="1:20" ht="29" x14ac:dyDescent="0.35">
      <c r="A395" s="4">
        <v>394</v>
      </c>
      <c r="B395" s="5">
        <v>45080</v>
      </c>
      <c r="C395" s="4" t="s">
        <v>407</v>
      </c>
      <c r="D395" s="4" t="s">
        <v>13</v>
      </c>
      <c r="E395" s="4">
        <v>27</v>
      </c>
      <c r="F395" s="4" t="str">
        <f>IF(Table15678[[#This Row],[Age]]&lt;=19,"Teenager",IF(Table15678[[#This Row],[Age]]&lt;=40,"Median","Old"))</f>
        <v>Median</v>
      </c>
      <c r="G395" s="4" t="s">
        <v>14</v>
      </c>
      <c r="H395" s="4">
        <v>1</v>
      </c>
      <c r="I395" s="4">
        <v>500</v>
      </c>
      <c r="J395" s="4">
        <v>500</v>
      </c>
      <c r="K395" s="4" t="str" cm="1">
        <f t="array" ref="K395">_xlfn.IFS(AND(Table15678[[#This Row],[Total Amount]]&gt;=1500),"Critical",AND(Table15678[[#This Row],[Total Amount]]&gt;=1000),"High",TRUE,"Normal")</f>
        <v>Normal</v>
      </c>
      <c r="L395" s="4" t="str">
        <f>IF(Table15678[[#This Row],[Total Amount]]&gt;=1000,"High",(IF(Table15678[[#This Row],[Total Amount]]&gt;=500,"Medium","Low")))</f>
        <v>Medium</v>
      </c>
      <c r="M395" s="4" t="str" cm="1">
        <f t="array" ref="M39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95" s="4" cm="1">
        <f t="array" ref="N39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75</v>
      </c>
      <c r="O395" s="4">
        <f>Table15678[[#This Row],[Total Amount]]-Table15678[[#This Row],[Discount Amount]]</f>
        <v>425</v>
      </c>
      <c r="P395" s="4" t="str">
        <f>IF(Table15678[[#This Row],[Total Amount]]&gt;=1000,"High","Low")</f>
        <v>Low</v>
      </c>
      <c r="Q395" s="4" t="str" cm="1">
        <f t="array" ref="Q395">_xlfn.IFS(AND(Table15678[[#This Row],[Total Amount]]&gt;=1500,"Critical"),AND(Table15678[[#This Row],[Total Amount]]&gt;=1000,"High"),TRUE,"Normal")</f>
        <v>Normal</v>
      </c>
      <c r="R395" s="4" t="str">
        <f>CONCATENATE(Table15678[[#This Row],[Customer ID]], "-",Table15678[[#This Row],[Age]])</f>
        <v>CUST394-27</v>
      </c>
      <c r="S395" s="4" t="str">
        <f>TEXT(Table15678[[#This Row],[Date]],"mmm")</f>
        <v>Jun</v>
      </c>
      <c r="T395" s="4" t="str">
        <f>TEXT(Table15678[[#This Row],[Date]],"DDD")</f>
        <v>Sat</v>
      </c>
    </row>
    <row r="396" spans="1:20" ht="29" x14ac:dyDescent="0.35">
      <c r="A396" s="4">
        <v>395</v>
      </c>
      <c r="B396" s="5">
        <v>45266</v>
      </c>
      <c r="C396" s="4" t="s">
        <v>408</v>
      </c>
      <c r="D396" s="4" t="s">
        <v>10</v>
      </c>
      <c r="E396" s="4">
        <v>50</v>
      </c>
      <c r="F396" s="4" t="str">
        <f>IF(Table15678[[#This Row],[Age]]&lt;=19,"Teenager",IF(Table15678[[#This Row],[Age]]&lt;=40,"Median","Old"))</f>
        <v>Old</v>
      </c>
      <c r="G396" s="4" t="s">
        <v>16</v>
      </c>
      <c r="H396" s="4">
        <v>2</v>
      </c>
      <c r="I396" s="4">
        <v>500</v>
      </c>
      <c r="J396" s="4">
        <v>1000</v>
      </c>
      <c r="K396" s="4" t="str" cm="1">
        <f t="array" ref="K396">_xlfn.IFS(AND(Table15678[[#This Row],[Total Amount]]&gt;=1500),"Critical",AND(Table15678[[#This Row],[Total Amount]]&gt;=1000),"High",TRUE,"Normal")</f>
        <v>High</v>
      </c>
      <c r="L396" s="4" t="str">
        <f>IF(Table15678[[#This Row],[Total Amount]]&gt;=1000,"High",(IF(Table15678[[#This Row],[Total Amount]]&gt;=500,"Medium","Low")))</f>
        <v>High</v>
      </c>
      <c r="M396" s="4" t="str" cm="1">
        <f t="array" ref="M39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96" s="4" cm="1">
        <f t="array" ref="N39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396" s="4">
        <f>Table15678[[#This Row],[Total Amount]]-Table15678[[#This Row],[Discount Amount]]</f>
        <v>900</v>
      </c>
      <c r="P396" s="4" t="str">
        <f>IF(Table15678[[#This Row],[Total Amount]]&gt;=1000,"High","Low")</f>
        <v>High</v>
      </c>
      <c r="Q396" s="4" t="str" cm="1">
        <f t="array" ref="Q396">_xlfn.IFS(AND(Table15678[[#This Row],[Total Amount]]&gt;=1500,"Critical"),AND(Table15678[[#This Row],[Total Amount]]&gt;=1000,"High"),TRUE,"Normal")</f>
        <v>Normal</v>
      </c>
      <c r="R396" s="4" t="str">
        <f>CONCATENATE(Table15678[[#This Row],[Customer ID]], "-",Table15678[[#This Row],[Age]])</f>
        <v>CUST395-50</v>
      </c>
      <c r="S396" s="4" t="str">
        <f>TEXT(Table15678[[#This Row],[Date]],"mmm")</f>
        <v>Dec</v>
      </c>
      <c r="T396" s="4" t="str">
        <f>TEXT(Table15678[[#This Row],[Date]],"DDD")</f>
        <v>Wed</v>
      </c>
    </row>
    <row r="397" spans="1:20" ht="29" x14ac:dyDescent="0.35">
      <c r="A397" s="4">
        <v>396</v>
      </c>
      <c r="B397" s="5">
        <v>44980</v>
      </c>
      <c r="C397" s="4" t="s">
        <v>409</v>
      </c>
      <c r="D397" s="4" t="s">
        <v>13</v>
      </c>
      <c r="E397" s="4">
        <v>55</v>
      </c>
      <c r="F397" s="4" t="str">
        <f>IF(Table15678[[#This Row],[Age]]&lt;=19,"Teenager",IF(Table15678[[#This Row],[Age]]&lt;=40,"Median","Old"))</f>
        <v>Old</v>
      </c>
      <c r="G397" s="4" t="s">
        <v>11</v>
      </c>
      <c r="H397" s="4">
        <v>1</v>
      </c>
      <c r="I397" s="4">
        <v>30</v>
      </c>
      <c r="J397" s="4">
        <v>30</v>
      </c>
      <c r="K397" s="4" t="str" cm="1">
        <f t="array" ref="K397">_xlfn.IFS(AND(Table15678[[#This Row],[Total Amount]]&gt;=1500),"Critical",AND(Table15678[[#This Row],[Total Amount]]&gt;=1000),"High",TRUE,"Normal")</f>
        <v>Normal</v>
      </c>
      <c r="L397" s="4" t="str">
        <f>IF(Table15678[[#This Row],[Total Amount]]&gt;=1000,"High",(IF(Table15678[[#This Row],[Total Amount]]&gt;=500,"Medium","Low")))</f>
        <v>Low</v>
      </c>
      <c r="M397" s="4" t="str" cm="1">
        <f t="array" ref="M39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97" s="4" cm="1">
        <f t="array" ref="N39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397" s="4">
        <f>Table15678[[#This Row],[Total Amount]]-Table15678[[#This Row],[Discount Amount]]</f>
        <v>24</v>
      </c>
      <c r="P397" s="4" t="str">
        <f>IF(Table15678[[#This Row],[Total Amount]]&gt;=1000,"High","Low")</f>
        <v>Low</v>
      </c>
      <c r="Q397" s="4" t="str" cm="1">
        <f t="array" ref="Q397">_xlfn.IFS(AND(Table15678[[#This Row],[Total Amount]]&gt;=1500,"Critical"),AND(Table15678[[#This Row],[Total Amount]]&gt;=1000,"High"),TRUE,"Normal")</f>
        <v>Normal</v>
      </c>
      <c r="R397" s="4" t="str">
        <f>CONCATENATE(Table15678[[#This Row],[Customer ID]], "-",Table15678[[#This Row],[Age]])</f>
        <v>CUST396-55</v>
      </c>
      <c r="S397" s="4" t="str">
        <f>TEXT(Table15678[[#This Row],[Date]],"mmm")</f>
        <v>Feb</v>
      </c>
      <c r="T397" s="4" t="str">
        <f>TEXT(Table15678[[#This Row],[Date]],"DDD")</f>
        <v>Thu</v>
      </c>
    </row>
    <row r="398" spans="1:20" ht="29" x14ac:dyDescent="0.35">
      <c r="A398" s="4">
        <v>397</v>
      </c>
      <c r="B398" s="5">
        <v>44995</v>
      </c>
      <c r="C398" s="4" t="s">
        <v>410</v>
      </c>
      <c r="D398" s="4" t="s">
        <v>13</v>
      </c>
      <c r="E398" s="4">
        <v>30</v>
      </c>
      <c r="F398" s="4" t="str">
        <f>IF(Table15678[[#This Row],[Age]]&lt;=19,"Teenager",IF(Table15678[[#This Row],[Age]]&lt;=40,"Median","Old"))</f>
        <v>Median</v>
      </c>
      <c r="G398" s="4" t="s">
        <v>11</v>
      </c>
      <c r="H398" s="4">
        <v>1</v>
      </c>
      <c r="I398" s="4">
        <v>25</v>
      </c>
      <c r="J398" s="4">
        <v>25</v>
      </c>
      <c r="K398" s="4" t="str" cm="1">
        <f t="array" ref="K398">_xlfn.IFS(AND(Table15678[[#This Row],[Total Amount]]&gt;=1500),"Critical",AND(Table15678[[#This Row],[Total Amount]]&gt;=1000),"High",TRUE,"Normal")</f>
        <v>Normal</v>
      </c>
      <c r="L398" s="4" t="str">
        <f>IF(Table15678[[#This Row],[Total Amount]]&gt;=1000,"High",(IF(Table15678[[#This Row],[Total Amount]]&gt;=500,"Medium","Low")))</f>
        <v>Low</v>
      </c>
      <c r="M398" s="4" t="str" cm="1">
        <f t="array" ref="M39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98" s="4" cm="1">
        <f t="array" ref="N39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3.75</v>
      </c>
      <c r="O398" s="4">
        <f>Table15678[[#This Row],[Total Amount]]-Table15678[[#This Row],[Discount Amount]]</f>
        <v>21.25</v>
      </c>
      <c r="P398" s="4" t="str">
        <f>IF(Table15678[[#This Row],[Total Amount]]&gt;=1000,"High","Low")</f>
        <v>Low</v>
      </c>
      <c r="Q398" s="4" t="str" cm="1">
        <f t="array" ref="Q398">_xlfn.IFS(AND(Table15678[[#This Row],[Total Amount]]&gt;=1500,"Critical"),AND(Table15678[[#This Row],[Total Amount]]&gt;=1000,"High"),TRUE,"Normal")</f>
        <v>Normal</v>
      </c>
      <c r="R398" s="4" t="str">
        <f>CONCATENATE(Table15678[[#This Row],[Customer ID]], "-",Table15678[[#This Row],[Age]])</f>
        <v>CUST397-30</v>
      </c>
      <c r="S398" s="4" t="str">
        <f>TEXT(Table15678[[#This Row],[Date]],"mmm")</f>
        <v>Mar</v>
      </c>
      <c r="T398" s="4" t="str">
        <f>TEXT(Table15678[[#This Row],[Date]],"DDD")</f>
        <v>Fri</v>
      </c>
    </row>
    <row r="399" spans="1:20" ht="29" x14ac:dyDescent="0.35">
      <c r="A399" s="4">
        <v>398</v>
      </c>
      <c r="B399" s="5">
        <v>45062</v>
      </c>
      <c r="C399" s="4" t="s">
        <v>411</v>
      </c>
      <c r="D399" s="4" t="s">
        <v>13</v>
      </c>
      <c r="E399" s="4">
        <v>48</v>
      </c>
      <c r="F399" s="4" t="str">
        <f>IF(Table15678[[#This Row],[Age]]&lt;=19,"Teenager",IF(Table15678[[#This Row],[Age]]&lt;=40,"Median","Old"))</f>
        <v>Old</v>
      </c>
      <c r="G399" s="4" t="s">
        <v>14</v>
      </c>
      <c r="H399" s="4">
        <v>2</v>
      </c>
      <c r="I399" s="4">
        <v>300</v>
      </c>
      <c r="J399" s="4">
        <v>600</v>
      </c>
      <c r="K399" s="4" t="str" cm="1">
        <f t="array" ref="K399">_xlfn.IFS(AND(Table15678[[#This Row],[Total Amount]]&gt;=1500),"Critical",AND(Table15678[[#This Row],[Total Amount]]&gt;=1000),"High",TRUE,"Normal")</f>
        <v>Normal</v>
      </c>
      <c r="L399" s="4" t="str">
        <f>IF(Table15678[[#This Row],[Total Amount]]&gt;=1000,"High",(IF(Table15678[[#This Row],[Total Amount]]&gt;=500,"Medium","Low")))</f>
        <v>Medium</v>
      </c>
      <c r="M399" s="4" t="str" cm="1">
        <f t="array" ref="M39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399" s="4" cm="1">
        <f t="array" ref="N39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120</v>
      </c>
      <c r="O399" s="4">
        <f>Table15678[[#This Row],[Total Amount]]-Table15678[[#This Row],[Discount Amount]]</f>
        <v>480</v>
      </c>
      <c r="P399" s="4" t="str">
        <f>IF(Table15678[[#This Row],[Total Amount]]&gt;=1000,"High","Low")</f>
        <v>Low</v>
      </c>
      <c r="Q399" s="4" t="str" cm="1">
        <f t="array" ref="Q399">_xlfn.IFS(AND(Table15678[[#This Row],[Total Amount]]&gt;=1500,"Critical"),AND(Table15678[[#This Row],[Total Amount]]&gt;=1000,"High"),TRUE,"Normal")</f>
        <v>Normal</v>
      </c>
      <c r="R399" s="4" t="str">
        <f>CONCATENATE(Table15678[[#This Row],[Customer ID]], "-",Table15678[[#This Row],[Age]])</f>
        <v>CUST398-48</v>
      </c>
      <c r="S399" s="4" t="str">
        <f>TEXT(Table15678[[#This Row],[Date]],"mmm")</f>
        <v>May</v>
      </c>
      <c r="T399" s="4" t="str">
        <f>TEXT(Table15678[[#This Row],[Date]],"DDD")</f>
        <v>Tue</v>
      </c>
    </row>
    <row r="400" spans="1:20" ht="29" x14ac:dyDescent="0.35">
      <c r="A400" s="4">
        <v>399</v>
      </c>
      <c r="B400" s="5">
        <v>44986</v>
      </c>
      <c r="C400" s="4" t="s">
        <v>412</v>
      </c>
      <c r="D400" s="4" t="s">
        <v>13</v>
      </c>
      <c r="E400" s="4">
        <v>64</v>
      </c>
      <c r="F400" s="4" t="str">
        <f>IF(Table15678[[#This Row],[Age]]&lt;=19,"Teenager",IF(Table15678[[#This Row],[Age]]&lt;=40,"Median","Old"))</f>
        <v>Old</v>
      </c>
      <c r="G400" s="4" t="s">
        <v>11</v>
      </c>
      <c r="H400" s="4">
        <v>2</v>
      </c>
      <c r="I400" s="4">
        <v>30</v>
      </c>
      <c r="J400" s="4">
        <v>60</v>
      </c>
      <c r="K400" s="4" t="str" cm="1">
        <f t="array" ref="K400">_xlfn.IFS(AND(Table15678[[#This Row],[Total Amount]]&gt;=1500),"Critical",AND(Table15678[[#This Row],[Total Amount]]&gt;=1000),"High",TRUE,"Normal")</f>
        <v>Normal</v>
      </c>
      <c r="L400" s="4" t="str">
        <f>IF(Table15678[[#This Row],[Total Amount]]&gt;=1000,"High",(IF(Table15678[[#This Row],[Total Amount]]&gt;=500,"Medium","Low")))</f>
        <v>Low</v>
      </c>
      <c r="M400" s="4" t="str" cm="1">
        <f t="array" ref="M40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00" s="4" cm="1">
        <f t="array" ref="N40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400" s="4">
        <f>Table15678[[#This Row],[Total Amount]]-Table15678[[#This Row],[Discount Amount]]</f>
        <v>48</v>
      </c>
      <c r="P400" s="4" t="str">
        <f>IF(Table15678[[#This Row],[Total Amount]]&gt;=1000,"High","Low")</f>
        <v>Low</v>
      </c>
      <c r="Q400" s="4" t="str" cm="1">
        <f t="array" ref="Q400">_xlfn.IFS(AND(Table15678[[#This Row],[Total Amount]]&gt;=1500,"Critical"),AND(Table15678[[#This Row],[Total Amount]]&gt;=1000,"High"),TRUE,"Normal")</f>
        <v>Normal</v>
      </c>
      <c r="R400" s="4" t="str">
        <f>CONCATENATE(Table15678[[#This Row],[Customer ID]], "-",Table15678[[#This Row],[Age]])</f>
        <v>CUST399-64</v>
      </c>
      <c r="S400" s="4" t="str">
        <f>TEXT(Table15678[[#This Row],[Date]],"mmm")</f>
        <v>Mar</v>
      </c>
      <c r="T400" s="4" t="str">
        <f>TEXT(Table15678[[#This Row],[Date]],"DDD")</f>
        <v>Wed</v>
      </c>
    </row>
    <row r="401" spans="1:20" ht="29" x14ac:dyDescent="0.35">
      <c r="A401" s="4">
        <v>400</v>
      </c>
      <c r="B401" s="5">
        <v>44981</v>
      </c>
      <c r="C401" s="4" t="s">
        <v>413</v>
      </c>
      <c r="D401" s="4" t="s">
        <v>10</v>
      </c>
      <c r="E401" s="4">
        <v>53</v>
      </c>
      <c r="F401" s="4" t="str">
        <f>IF(Table15678[[#This Row],[Age]]&lt;=19,"Teenager",IF(Table15678[[#This Row],[Age]]&lt;=40,"Median","Old"))</f>
        <v>Old</v>
      </c>
      <c r="G401" s="4" t="s">
        <v>14</v>
      </c>
      <c r="H401" s="4">
        <v>4</v>
      </c>
      <c r="I401" s="4">
        <v>50</v>
      </c>
      <c r="J401" s="4">
        <v>200</v>
      </c>
      <c r="K401" s="4" t="str" cm="1">
        <f t="array" ref="K401">_xlfn.IFS(AND(Table15678[[#This Row],[Total Amount]]&gt;=1500),"Critical",AND(Table15678[[#This Row],[Total Amount]]&gt;=1000),"High",TRUE,"Normal")</f>
        <v>Normal</v>
      </c>
      <c r="L401" s="4" t="str">
        <f>IF(Table15678[[#This Row],[Total Amount]]&gt;=1000,"High",(IF(Table15678[[#This Row],[Total Amount]]&gt;=500,"Medium","Low")))</f>
        <v>Low</v>
      </c>
      <c r="M401" s="4" t="str" cm="1">
        <f t="array" ref="M40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01" s="4" cm="1">
        <f t="array" ref="N40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401" s="4">
        <f>Table15678[[#This Row],[Total Amount]]-Table15678[[#This Row],[Discount Amount]]</f>
        <v>180</v>
      </c>
      <c r="P401" s="4" t="str">
        <f>IF(Table15678[[#This Row],[Total Amount]]&gt;=1000,"High","Low")</f>
        <v>Low</v>
      </c>
      <c r="Q401" s="4" t="str" cm="1">
        <f t="array" ref="Q401">_xlfn.IFS(AND(Table15678[[#This Row],[Total Amount]]&gt;=1500,"Critical"),AND(Table15678[[#This Row],[Total Amount]]&gt;=1000,"High"),TRUE,"Normal")</f>
        <v>Normal</v>
      </c>
      <c r="R401" s="4" t="str">
        <f>CONCATENATE(Table15678[[#This Row],[Customer ID]], "-",Table15678[[#This Row],[Age]])</f>
        <v>CUST400-53</v>
      </c>
      <c r="S401" s="4" t="str">
        <f>TEXT(Table15678[[#This Row],[Date]],"mmm")</f>
        <v>Feb</v>
      </c>
      <c r="T401" s="4" t="str">
        <f>TEXT(Table15678[[#This Row],[Date]],"DDD")</f>
        <v>Fri</v>
      </c>
    </row>
    <row r="402" spans="1:20" ht="29" x14ac:dyDescent="0.35">
      <c r="A402" s="4">
        <v>401</v>
      </c>
      <c r="B402" s="5">
        <v>45210</v>
      </c>
      <c r="C402" s="4" t="s">
        <v>414</v>
      </c>
      <c r="D402" s="4" t="s">
        <v>13</v>
      </c>
      <c r="E402" s="4">
        <v>62</v>
      </c>
      <c r="F402" s="4" t="str">
        <f>IF(Table15678[[#This Row],[Age]]&lt;=19,"Teenager",IF(Table15678[[#This Row],[Age]]&lt;=40,"Median","Old"))</f>
        <v>Old</v>
      </c>
      <c r="G402" s="4" t="s">
        <v>14</v>
      </c>
      <c r="H402" s="4">
        <v>1</v>
      </c>
      <c r="I402" s="4">
        <v>300</v>
      </c>
      <c r="J402" s="4">
        <v>300</v>
      </c>
      <c r="K402" s="4" t="str" cm="1">
        <f t="array" ref="K402">_xlfn.IFS(AND(Table15678[[#This Row],[Total Amount]]&gt;=1500),"Critical",AND(Table15678[[#This Row],[Total Amount]]&gt;=1000),"High",TRUE,"Normal")</f>
        <v>Normal</v>
      </c>
      <c r="L402" s="4" t="str">
        <f>IF(Table15678[[#This Row],[Total Amount]]&gt;=1000,"High",(IF(Table15678[[#This Row],[Total Amount]]&gt;=500,"Medium","Low")))</f>
        <v>Low</v>
      </c>
      <c r="M402" s="4" t="str" cm="1">
        <f t="array" ref="M40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02" s="4" cm="1">
        <f t="array" ref="N40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402" s="4">
        <f>Table15678[[#This Row],[Total Amount]]-Table15678[[#This Row],[Discount Amount]]</f>
        <v>240</v>
      </c>
      <c r="P402" s="4" t="str">
        <f>IF(Table15678[[#This Row],[Total Amount]]&gt;=1000,"High","Low")</f>
        <v>Low</v>
      </c>
      <c r="Q402" s="4" t="str" cm="1">
        <f t="array" ref="Q402">_xlfn.IFS(AND(Table15678[[#This Row],[Total Amount]]&gt;=1500,"Critical"),AND(Table15678[[#This Row],[Total Amount]]&gt;=1000,"High"),TRUE,"Normal")</f>
        <v>Normal</v>
      </c>
      <c r="R402" s="4" t="str">
        <f>CONCATENATE(Table15678[[#This Row],[Customer ID]], "-",Table15678[[#This Row],[Age]])</f>
        <v>CUST401-62</v>
      </c>
      <c r="S402" s="4" t="str">
        <f>TEXT(Table15678[[#This Row],[Date]],"mmm")</f>
        <v>Oct</v>
      </c>
      <c r="T402" s="4" t="str">
        <f>TEXT(Table15678[[#This Row],[Date]],"DDD")</f>
        <v>Wed</v>
      </c>
    </row>
    <row r="403" spans="1:20" ht="29" x14ac:dyDescent="0.35">
      <c r="A403" s="4">
        <v>402</v>
      </c>
      <c r="B403" s="5">
        <v>45006</v>
      </c>
      <c r="C403" s="4" t="s">
        <v>415</v>
      </c>
      <c r="D403" s="4" t="s">
        <v>13</v>
      </c>
      <c r="E403" s="4">
        <v>41</v>
      </c>
      <c r="F403" s="4" t="str">
        <f>IF(Table15678[[#This Row],[Age]]&lt;=19,"Teenager",IF(Table15678[[#This Row],[Age]]&lt;=40,"Median","Old"))</f>
        <v>Old</v>
      </c>
      <c r="G403" s="4" t="s">
        <v>14</v>
      </c>
      <c r="H403" s="4">
        <v>2</v>
      </c>
      <c r="I403" s="4">
        <v>300</v>
      </c>
      <c r="J403" s="4">
        <v>600</v>
      </c>
      <c r="K403" s="4" t="str" cm="1">
        <f t="array" ref="K403">_xlfn.IFS(AND(Table15678[[#This Row],[Total Amount]]&gt;=1500),"Critical",AND(Table15678[[#This Row],[Total Amount]]&gt;=1000),"High",TRUE,"Normal")</f>
        <v>Normal</v>
      </c>
      <c r="L403" s="4" t="str">
        <f>IF(Table15678[[#This Row],[Total Amount]]&gt;=1000,"High",(IF(Table15678[[#This Row],[Total Amount]]&gt;=500,"Medium","Low")))</f>
        <v>Medium</v>
      </c>
      <c r="M403" s="4" t="str" cm="1">
        <f t="array" ref="M40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03" s="4" cm="1">
        <f t="array" ref="N40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120</v>
      </c>
      <c r="O403" s="4">
        <f>Table15678[[#This Row],[Total Amount]]-Table15678[[#This Row],[Discount Amount]]</f>
        <v>480</v>
      </c>
      <c r="P403" s="4" t="str">
        <f>IF(Table15678[[#This Row],[Total Amount]]&gt;=1000,"High","Low")</f>
        <v>Low</v>
      </c>
      <c r="Q403" s="4" t="str" cm="1">
        <f t="array" ref="Q403">_xlfn.IFS(AND(Table15678[[#This Row],[Total Amount]]&gt;=1500,"Critical"),AND(Table15678[[#This Row],[Total Amount]]&gt;=1000,"High"),TRUE,"Normal")</f>
        <v>Normal</v>
      </c>
      <c r="R403" s="4" t="str">
        <f>CONCATENATE(Table15678[[#This Row],[Customer ID]], "-",Table15678[[#This Row],[Age]])</f>
        <v>CUST402-41</v>
      </c>
      <c r="S403" s="4" t="str">
        <f>TEXT(Table15678[[#This Row],[Date]],"mmm")</f>
        <v>Mar</v>
      </c>
      <c r="T403" s="4" t="str">
        <f>TEXT(Table15678[[#This Row],[Date]],"DDD")</f>
        <v>Tue</v>
      </c>
    </row>
    <row r="404" spans="1:20" ht="29" x14ac:dyDescent="0.35">
      <c r="A404" s="4">
        <v>403</v>
      </c>
      <c r="B404" s="5">
        <v>45066</v>
      </c>
      <c r="C404" s="4" t="s">
        <v>416</v>
      </c>
      <c r="D404" s="4" t="s">
        <v>10</v>
      </c>
      <c r="E404" s="4">
        <v>32</v>
      </c>
      <c r="F404" s="4" t="str">
        <f>IF(Table15678[[#This Row],[Age]]&lt;=19,"Teenager",IF(Table15678[[#This Row],[Age]]&lt;=40,"Median","Old"))</f>
        <v>Median</v>
      </c>
      <c r="G404" s="4" t="s">
        <v>14</v>
      </c>
      <c r="H404" s="4">
        <v>2</v>
      </c>
      <c r="I404" s="4">
        <v>300</v>
      </c>
      <c r="J404" s="4">
        <v>600</v>
      </c>
      <c r="K404" s="4" t="str" cm="1">
        <f t="array" ref="K404">_xlfn.IFS(AND(Table15678[[#This Row],[Total Amount]]&gt;=1500),"Critical",AND(Table15678[[#This Row],[Total Amount]]&gt;=1000),"High",TRUE,"Normal")</f>
        <v>Normal</v>
      </c>
      <c r="L404" s="4" t="str">
        <f>IF(Table15678[[#This Row],[Total Amount]]&gt;=1000,"High",(IF(Table15678[[#This Row],[Total Amount]]&gt;=500,"Medium","Low")))</f>
        <v>Medium</v>
      </c>
      <c r="M404" s="4" t="str" cm="1">
        <f t="array" ref="M40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04" s="4" cm="1">
        <f t="array" ref="N40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404" s="4">
        <f>Table15678[[#This Row],[Total Amount]]-Table15678[[#This Row],[Discount Amount]]</f>
        <v>510</v>
      </c>
      <c r="P404" s="4" t="str">
        <f>IF(Table15678[[#This Row],[Total Amount]]&gt;=1000,"High","Low")</f>
        <v>Low</v>
      </c>
      <c r="Q404" s="4" t="str" cm="1">
        <f t="array" ref="Q404">_xlfn.IFS(AND(Table15678[[#This Row],[Total Amount]]&gt;=1500,"Critical"),AND(Table15678[[#This Row],[Total Amount]]&gt;=1000,"High"),TRUE,"Normal")</f>
        <v>Normal</v>
      </c>
      <c r="R404" s="4" t="str">
        <f>CONCATENATE(Table15678[[#This Row],[Customer ID]], "-",Table15678[[#This Row],[Age]])</f>
        <v>CUST403-32</v>
      </c>
      <c r="S404" s="4" t="str">
        <f>TEXT(Table15678[[#This Row],[Date]],"mmm")</f>
        <v>May</v>
      </c>
      <c r="T404" s="4" t="str">
        <f>TEXT(Table15678[[#This Row],[Date]],"DDD")</f>
        <v>Sat</v>
      </c>
    </row>
    <row r="405" spans="1:20" ht="29" x14ac:dyDescent="0.35">
      <c r="A405" s="4">
        <v>404</v>
      </c>
      <c r="B405" s="5">
        <v>45071</v>
      </c>
      <c r="C405" s="4" t="s">
        <v>417</v>
      </c>
      <c r="D405" s="4" t="s">
        <v>10</v>
      </c>
      <c r="E405" s="4">
        <v>46</v>
      </c>
      <c r="F405" s="4" t="str">
        <f>IF(Table15678[[#This Row],[Age]]&lt;=19,"Teenager",IF(Table15678[[#This Row],[Age]]&lt;=40,"Median","Old"))</f>
        <v>Old</v>
      </c>
      <c r="G405" s="4" t="s">
        <v>16</v>
      </c>
      <c r="H405" s="4">
        <v>2</v>
      </c>
      <c r="I405" s="4">
        <v>500</v>
      </c>
      <c r="J405" s="4">
        <v>1000</v>
      </c>
      <c r="K405" s="4" t="str" cm="1">
        <f t="array" ref="K405">_xlfn.IFS(AND(Table15678[[#This Row],[Total Amount]]&gt;=1500),"Critical",AND(Table15678[[#This Row],[Total Amount]]&gt;=1000),"High",TRUE,"Normal")</f>
        <v>High</v>
      </c>
      <c r="L405" s="4" t="str">
        <f>IF(Table15678[[#This Row],[Total Amount]]&gt;=1000,"High",(IF(Table15678[[#This Row],[Total Amount]]&gt;=500,"Medium","Low")))</f>
        <v>High</v>
      </c>
      <c r="M405" s="4" t="str" cm="1">
        <f t="array" ref="M40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05" s="4" cm="1">
        <f t="array" ref="N40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405" s="4">
        <f>Table15678[[#This Row],[Total Amount]]-Table15678[[#This Row],[Discount Amount]]</f>
        <v>900</v>
      </c>
      <c r="P405" s="4" t="str">
        <f>IF(Table15678[[#This Row],[Total Amount]]&gt;=1000,"High","Low")</f>
        <v>High</v>
      </c>
      <c r="Q405" s="4" t="str" cm="1">
        <f t="array" ref="Q405">_xlfn.IFS(AND(Table15678[[#This Row],[Total Amount]]&gt;=1500,"Critical"),AND(Table15678[[#This Row],[Total Amount]]&gt;=1000,"High"),TRUE,"Normal")</f>
        <v>Normal</v>
      </c>
      <c r="R405" s="4" t="str">
        <f>CONCATENATE(Table15678[[#This Row],[Customer ID]], "-",Table15678[[#This Row],[Age]])</f>
        <v>CUST404-46</v>
      </c>
      <c r="S405" s="4" t="str">
        <f>TEXT(Table15678[[#This Row],[Date]],"mmm")</f>
        <v>May</v>
      </c>
      <c r="T405" s="4" t="str">
        <f>TEXT(Table15678[[#This Row],[Date]],"DDD")</f>
        <v>Thu</v>
      </c>
    </row>
    <row r="406" spans="1:20" ht="29" x14ac:dyDescent="0.35">
      <c r="A406" s="4">
        <v>405</v>
      </c>
      <c r="B406" s="5">
        <v>45236</v>
      </c>
      <c r="C406" s="4" t="s">
        <v>418</v>
      </c>
      <c r="D406" s="4" t="s">
        <v>13</v>
      </c>
      <c r="E406" s="4">
        <v>25</v>
      </c>
      <c r="F406" s="4" t="str">
        <f>IF(Table15678[[#This Row],[Age]]&lt;=19,"Teenager",IF(Table15678[[#This Row],[Age]]&lt;=40,"Median","Old"))</f>
        <v>Median</v>
      </c>
      <c r="G406" s="4" t="s">
        <v>14</v>
      </c>
      <c r="H406" s="4">
        <v>4</v>
      </c>
      <c r="I406" s="4">
        <v>300</v>
      </c>
      <c r="J406" s="4">
        <v>1200</v>
      </c>
      <c r="K406" s="4" t="str" cm="1">
        <f t="array" ref="K406">_xlfn.IFS(AND(Table15678[[#This Row],[Total Amount]]&gt;=1500),"Critical",AND(Table15678[[#This Row],[Total Amount]]&gt;=1000),"High",TRUE,"Normal")</f>
        <v>High</v>
      </c>
      <c r="L406" s="4" t="str">
        <f>IF(Table15678[[#This Row],[Total Amount]]&gt;=1000,"High",(IF(Table15678[[#This Row],[Total Amount]]&gt;=500,"Medium","Low")))</f>
        <v>High</v>
      </c>
      <c r="M406" s="4" t="str" cm="1">
        <f t="array" ref="M40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06" s="4" cm="1">
        <f t="array" ref="N40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406" s="4">
        <f>Table15678[[#This Row],[Total Amount]]-Table15678[[#This Row],[Discount Amount]]</f>
        <v>1020</v>
      </c>
      <c r="P406" s="4" t="str">
        <f>IF(Table15678[[#This Row],[Total Amount]]&gt;=1000,"High","Low")</f>
        <v>High</v>
      </c>
      <c r="Q406" s="4" t="str" cm="1">
        <f t="array" ref="Q406">_xlfn.IFS(AND(Table15678[[#This Row],[Total Amount]]&gt;=1500,"Critical"),AND(Table15678[[#This Row],[Total Amount]]&gt;=1000,"High"),TRUE,"Normal")</f>
        <v>Normal</v>
      </c>
      <c r="R406" s="4" t="str">
        <f>CONCATENATE(Table15678[[#This Row],[Customer ID]], "-",Table15678[[#This Row],[Age]])</f>
        <v>CUST405-25</v>
      </c>
      <c r="S406" s="4" t="str">
        <f>TEXT(Table15678[[#This Row],[Date]],"mmm")</f>
        <v>Nov</v>
      </c>
      <c r="T406" s="4" t="str">
        <f>TEXT(Table15678[[#This Row],[Date]],"DDD")</f>
        <v>Mon</v>
      </c>
    </row>
    <row r="407" spans="1:20" ht="29" x14ac:dyDescent="0.35">
      <c r="A407" s="4">
        <v>406</v>
      </c>
      <c r="B407" s="5">
        <v>45034</v>
      </c>
      <c r="C407" s="4" t="s">
        <v>419</v>
      </c>
      <c r="D407" s="4" t="s">
        <v>13</v>
      </c>
      <c r="E407" s="4">
        <v>22</v>
      </c>
      <c r="F407" s="4" t="str">
        <f>IF(Table15678[[#This Row],[Age]]&lt;=19,"Teenager",IF(Table15678[[#This Row],[Age]]&lt;=40,"Median","Old"))</f>
        <v>Median</v>
      </c>
      <c r="G407" s="4" t="s">
        <v>11</v>
      </c>
      <c r="H407" s="4">
        <v>4</v>
      </c>
      <c r="I407" s="4">
        <v>25</v>
      </c>
      <c r="J407" s="4">
        <v>100</v>
      </c>
      <c r="K407" s="4" t="str" cm="1">
        <f t="array" ref="K407">_xlfn.IFS(AND(Table15678[[#This Row],[Total Amount]]&gt;=1500),"Critical",AND(Table15678[[#This Row],[Total Amount]]&gt;=1000),"High",TRUE,"Normal")</f>
        <v>Normal</v>
      </c>
      <c r="L407" s="4" t="str">
        <f>IF(Table15678[[#This Row],[Total Amount]]&gt;=1000,"High",(IF(Table15678[[#This Row],[Total Amount]]&gt;=500,"Medium","Low")))</f>
        <v>Low</v>
      </c>
      <c r="M407" s="4" t="str" cm="1">
        <f t="array" ref="M40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407" s="4" cm="1">
        <f t="array" ref="N40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407" s="4">
        <f>Table15678[[#This Row],[Total Amount]]-Table15678[[#This Row],[Discount Amount]]</f>
        <v>100</v>
      </c>
      <c r="P407" s="4" t="str">
        <f>IF(Table15678[[#This Row],[Total Amount]]&gt;=1000,"High","Low")</f>
        <v>Low</v>
      </c>
      <c r="Q407" s="4" t="str" cm="1">
        <f t="array" ref="Q407">_xlfn.IFS(AND(Table15678[[#This Row],[Total Amount]]&gt;=1500,"Critical"),AND(Table15678[[#This Row],[Total Amount]]&gt;=1000,"High"),TRUE,"Normal")</f>
        <v>Normal</v>
      </c>
      <c r="R407" s="4" t="str">
        <f>CONCATENATE(Table15678[[#This Row],[Customer ID]], "-",Table15678[[#This Row],[Age]])</f>
        <v>CUST406-22</v>
      </c>
      <c r="S407" s="4" t="str">
        <f>TEXT(Table15678[[#This Row],[Date]],"mmm")</f>
        <v>Apr</v>
      </c>
      <c r="T407" s="4" t="str">
        <f>TEXT(Table15678[[#This Row],[Date]],"DDD")</f>
        <v>Tue</v>
      </c>
    </row>
    <row r="408" spans="1:20" ht="29" x14ac:dyDescent="0.35">
      <c r="A408" s="4">
        <v>407</v>
      </c>
      <c r="B408" s="5">
        <v>45102</v>
      </c>
      <c r="C408" s="4" t="s">
        <v>420</v>
      </c>
      <c r="D408" s="4" t="s">
        <v>13</v>
      </c>
      <c r="E408" s="4">
        <v>46</v>
      </c>
      <c r="F408" s="4" t="str">
        <f>IF(Table15678[[#This Row],[Age]]&lt;=19,"Teenager",IF(Table15678[[#This Row],[Age]]&lt;=40,"Median","Old"))</f>
        <v>Old</v>
      </c>
      <c r="G408" s="4" t="s">
        <v>16</v>
      </c>
      <c r="H408" s="4">
        <v>3</v>
      </c>
      <c r="I408" s="4">
        <v>300</v>
      </c>
      <c r="J408" s="4">
        <v>900</v>
      </c>
      <c r="K408" s="4" t="str" cm="1">
        <f t="array" ref="K408">_xlfn.IFS(AND(Table15678[[#This Row],[Total Amount]]&gt;=1500),"Critical",AND(Table15678[[#This Row],[Total Amount]]&gt;=1000),"High",TRUE,"Normal")</f>
        <v>Normal</v>
      </c>
      <c r="L408" s="4" t="str">
        <f>IF(Table15678[[#This Row],[Total Amount]]&gt;=1000,"High",(IF(Table15678[[#This Row],[Total Amount]]&gt;=500,"Medium","Low")))</f>
        <v>Medium</v>
      </c>
      <c r="M408" s="4" t="str" cm="1">
        <f t="array" ref="M40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08" s="4" cm="1">
        <f t="array" ref="N40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408" s="4">
        <f>Table15678[[#This Row],[Total Amount]]-Table15678[[#This Row],[Discount Amount]]</f>
        <v>720</v>
      </c>
      <c r="P408" s="4" t="str">
        <f>IF(Table15678[[#This Row],[Total Amount]]&gt;=1000,"High","Low")</f>
        <v>Low</v>
      </c>
      <c r="Q408" s="4" t="str" cm="1">
        <f t="array" ref="Q408">_xlfn.IFS(AND(Table15678[[#This Row],[Total Amount]]&gt;=1500,"Critical"),AND(Table15678[[#This Row],[Total Amount]]&gt;=1000,"High"),TRUE,"Normal")</f>
        <v>Normal</v>
      </c>
      <c r="R408" s="4" t="str">
        <f>CONCATENATE(Table15678[[#This Row],[Customer ID]], "-",Table15678[[#This Row],[Age]])</f>
        <v>CUST407-46</v>
      </c>
      <c r="S408" s="4" t="str">
        <f>TEXT(Table15678[[#This Row],[Date]],"mmm")</f>
        <v>Jun</v>
      </c>
      <c r="T408" s="4" t="str">
        <f>TEXT(Table15678[[#This Row],[Date]],"DDD")</f>
        <v>Sun</v>
      </c>
    </row>
    <row r="409" spans="1:20" ht="29" x14ac:dyDescent="0.35">
      <c r="A409" s="4">
        <v>408</v>
      </c>
      <c r="B409" s="5">
        <v>45031</v>
      </c>
      <c r="C409" s="4" t="s">
        <v>421</v>
      </c>
      <c r="D409" s="4" t="s">
        <v>13</v>
      </c>
      <c r="E409" s="4">
        <v>64</v>
      </c>
      <c r="F409" s="4" t="str">
        <f>IF(Table15678[[#This Row],[Age]]&lt;=19,"Teenager",IF(Table15678[[#This Row],[Age]]&lt;=40,"Median","Old"))</f>
        <v>Old</v>
      </c>
      <c r="G409" s="4" t="s">
        <v>11</v>
      </c>
      <c r="H409" s="4">
        <v>1</v>
      </c>
      <c r="I409" s="4">
        <v>500</v>
      </c>
      <c r="J409" s="4">
        <v>500</v>
      </c>
      <c r="K409" s="4" t="str" cm="1">
        <f t="array" ref="K409">_xlfn.IFS(AND(Table15678[[#This Row],[Total Amount]]&gt;=1500),"Critical",AND(Table15678[[#This Row],[Total Amount]]&gt;=1000),"High",TRUE,"Normal")</f>
        <v>Normal</v>
      </c>
      <c r="L409" s="4" t="str">
        <f>IF(Table15678[[#This Row],[Total Amount]]&gt;=1000,"High",(IF(Table15678[[#This Row],[Total Amount]]&gt;=500,"Medium","Low")))</f>
        <v>Medium</v>
      </c>
      <c r="M409" s="4" t="str" cm="1">
        <f t="array" ref="M40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09" s="4" cm="1">
        <f t="array" ref="N40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409" s="4">
        <f>Table15678[[#This Row],[Total Amount]]-Table15678[[#This Row],[Discount Amount]]</f>
        <v>400</v>
      </c>
      <c r="P409" s="4" t="str">
        <f>IF(Table15678[[#This Row],[Total Amount]]&gt;=1000,"High","Low")</f>
        <v>Low</v>
      </c>
      <c r="Q409" s="4" t="str" cm="1">
        <f t="array" ref="Q409">_xlfn.IFS(AND(Table15678[[#This Row],[Total Amount]]&gt;=1500,"Critical"),AND(Table15678[[#This Row],[Total Amount]]&gt;=1000,"High"),TRUE,"Normal")</f>
        <v>Normal</v>
      </c>
      <c r="R409" s="4" t="str">
        <f>CONCATENATE(Table15678[[#This Row],[Customer ID]], "-",Table15678[[#This Row],[Age]])</f>
        <v>CUST408-64</v>
      </c>
      <c r="S409" s="4" t="str">
        <f>TEXT(Table15678[[#This Row],[Date]],"mmm")</f>
        <v>Apr</v>
      </c>
      <c r="T409" s="4" t="str">
        <f>TEXT(Table15678[[#This Row],[Date]],"DDD")</f>
        <v>Sat</v>
      </c>
    </row>
    <row r="410" spans="1:20" ht="29" x14ac:dyDescent="0.35">
      <c r="A410" s="4">
        <v>409</v>
      </c>
      <c r="B410" s="5">
        <v>45278</v>
      </c>
      <c r="C410" s="4" t="s">
        <v>422</v>
      </c>
      <c r="D410" s="4" t="s">
        <v>13</v>
      </c>
      <c r="E410" s="4">
        <v>21</v>
      </c>
      <c r="F410" s="4" t="str">
        <f>IF(Table15678[[#This Row],[Age]]&lt;=19,"Teenager",IF(Table15678[[#This Row],[Age]]&lt;=40,"Median","Old"))</f>
        <v>Median</v>
      </c>
      <c r="G410" s="4" t="s">
        <v>16</v>
      </c>
      <c r="H410" s="4">
        <v>3</v>
      </c>
      <c r="I410" s="4">
        <v>300</v>
      </c>
      <c r="J410" s="4">
        <v>900</v>
      </c>
      <c r="K410" s="4" t="str" cm="1">
        <f t="array" ref="K410">_xlfn.IFS(AND(Table15678[[#This Row],[Total Amount]]&gt;=1500),"Critical",AND(Table15678[[#This Row],[Total Amount]]&gt;=1000),"High",TRUE,"Normal")</f>
        <v>Normal</v>
      </c>
      <c r="L410" s="4" t="str">
        <f>IF(Table15678[[#This Row],[Total Amount]]&gt;=1000,"High",(IF(Table15678[[#This Row],[Total Amount]]&gt;=500,"Medium","Low")))</f>
        <v>Medium</v>
      </c>
      <c r="M410" s="4" t="str" cm="1">
        <f t="array" ref="M41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410" s="4" cm="1">
        <f t="array" ref="N41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410" s="4">
        <f>Table15678[[#This Row],[Total Amount]]-Table15678[[#This Row],[Discount Amount]]</f>
        <v>900</v>
      </c>
      <c r="P410" s="4" t="str">
        <f>IF(Table15678[[#This Row],[Total Amount]]&gt;=1000,"High","Low")</f>
        <v>Low</v>
      </c>
      <c r="Q410" s="4" t="str" cm="1">
        <f t="array" ref="Q410">_xlfn.IFS(AND(Table15678[[#This Row],[Total Amount]]&gt;=1500,"Critical"),AND(Table15678[[#This Row],[Total Amount]]&gt;=1000,"High"),TRUE,"Normal")</f>
        <v>Normal</v>
      </c>
      <c r="R410" s="4" t="str">
        <f>CONCATENATE(Table15678[[#This Row],[Customer ID]], "-",Table15678[[#This Row],[Age]])</f>
        <v>CUST409-21</v>
      </c>
      <c r="S410" s="4" t="str">
        <f>TEXT(Table15678[[#This Row],[Date]],"mmm")</f>
        <v>Dec</v>
      </c>
      <c r="T410" s="4" t="str">
        <f>TEXT(Table15678[[#This Row],[Date]],"DDD")</f>
        <v>Mon</v>
      </c>
    </row>
    <row r="411" spans="1:20" ht="29" x14ac:dyDescent="0.35">
      <c r="A411" s="4">
        <v>410</v>
      </c>
      <c r="B411" s="5">
        <v>45251</v>
      </c>
      <c r="C411" s="4" t="s">
        <v>423</v>
      </c>
      <c r="D411" s="4" t="s">
        <v>13</v>
      </c>
      <c r="E411" s="4">
        <v>29</v>
      </c>
      <c r="F411" s="4" t="str">
        <f>IF(Table15678[[#This Row],[Age]]&lt;=19,"Teenager",IF(Table15678[[#This Row],[Age]]&lt;=40,"Median","Old"))</f>
        <v>Median</v>
      </c>
      <c r="G411" s="4" t="s">
        <v>14</v>
      </c>
      <c r="H411" s="4">
        <v>2</v>
      </c>
      <c r="I411" s="4">
        <v>50</v>
      </c>
      <c r="J411" s="4">
        <v>100</v>
      </c>
      <c r="K411" s="4" t="str" cm="1">
        <f t="array" ref="K411">_xlfn.IFS(AND(Table15678[[#This Row],[Total Amount]]&gt;=1500),"Critical",AND(Table15678[[#This Row],[Total Amount]]&gt;=1000),"High",TRUE,"Normal")</f>
        <v>Normal</v>
      </c>
      <c r="L411" s="4" t="str">
        <f>IF(Table15678[[#This Row],[Total Amount]]&gt;=1000,"High",(IF(Table15678[[#This Row],[Total Amount]]&gt;=500,"Medium","Low")))</f>
        <v>Low</v>
      </c>
      <c r="M411" s="4" t="str" cm="1">
        <f t="array" ref="M41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11" s="4" cm="1">
        <f t="array" ref="N41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411" s="4">
        <f>Table15678[[#This Row],[Total Amount]]-Table15678[[#This Row],[Discount Amount]]</f>
        <v>85</v>
      </c>
      <c r="P411" s="4" t="str">
        <f>IF(Table15678[[#This Row],[Total Amount]]&gt;=1000,"High","Low")</f>
        <v>Low</v>
      </c>
      <c r="Q411" s="4" t="str" cm="1">
        <f t="array" ref="Q411">_xlfn.IFS(AND(Table15678[[#This Row],[Total Amount]]&gt;=1500,"Critical"),AND(Table15678[[#This Row],[Total Amount]]&gt;=1000,"High"),TRUE,"Normal")</f>
        <v>Normal</v>
      </c>
      <c r="R411" s="4" t="str">
        <f>CONCATENATE(Table15678[[#This Row],[Customer ID]], "-",Table15678[[#This Row],[Age]])</f>
        <v>CUST410-29</v>
      </c>
      <c r="S411" s="4" t="str">
        <f>TEXT(Table15678[[#This Row],[Date]],"mmm")</f>
        <v>Nov</v>
      </c>
      <c r="T411" s="4" t="str">
        <f>TEXT(Table15678[[#This Row],[Date]],"DDD")</f>
        <v>Tue</v>
      </c>
    </row>
    <row r="412" spans="1:20" ht="29" x14ac:dyDescent="0.35">
      <c r="A412" s="4">
        <v>411</v>
      </c>
      <c r="B412" s="5">
        <v>45062</v>
      </c>
      <c r="C412" s="4" t="s">
        <v>424</v>
      </c>
      <c r="D412" s="4" t="s">
        <v>10</v>
      </c>
      <c r="E412" s="4">
        <v>62</v>
      </c>
      <c r="F412" s="4" t="str">
        <f>IF(Table15678[[#This Row],[Age]]&lt;=19,"Teenager",IF(Table15678[[#This Row],[Age]]&lt;=40,"Median","Old"))</f>
        <v>Old</v>
      </c>
      <c r="G412" s="4" t="s">
        <v>16</v>
      </c>
      <c r="H412" s="4">
        <v>4</v>
      </c>
      <c r="I412" s="4">
        <v>50</v>
      </c>
      <c r="J412" s="4">
        <v>200</v>
      </c>
      <c r="K412" s="4" t="str" cm="1">
        <f t="array" ref="K412">_xlfn.IFS(AND(Table15678[[#This Row],[Total Amount]]&gt;=1500),"Critical",AND(Table15678[[#This Row],[Total Amount]]&gt;=1000),"High",TRUE,"Normal")</f>
        <v>Normal</v>
      </c>
      <c r="L412" s="4" t="str">
        <f>IF(Table15678[[#This Row],[Total Amount]]&gt;=1000,"High",(IF(Table15678[[#This Row],[Total Amount]]&gt;=500,"Medium","Low")))</f>
        <v>Low</v>
      </c>
      <c r="M412" s="4" t="str" cm="1">
        <f t="array" ref="M41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12" s="4" cm="1">
        <f t="array" ref="N41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412" s="4">
        <f>Table15678[[#This Row],[Total Amount]]-Table15678[[#This Row],[Discount Amount]]</f>
        <v>180</v>
      </c>
      <c r="P412" s="4" t="str">
        <f>IF(Table15678[[#This Row],[Total Amount]]&gt;=1000,"High","Low")</f>
        <v>Low</v>
      </c>
      <c r="Q412" s="4" t="str" cm="1">
        <f t="array" ref="Q412">_xlfn.IFS(AND(Table15678[[#This Row],[Total Amount]]&gt;=1500,"Critical"),AND(Table15678[[#This Row],[Total Amount]]&gt;=1000,"High"),TRUE,"Normal")</f>
        <v>Normal</v>
      </c>
      <c r="R412" s="4" t="str">
        <f>CONCATENATE(Table15678[[#This Row],[Customer ID]], "-",Table15678[[#This Row],[Age]])</f>
        <v>CUST411-62</v>
      </c>
      <c r="S412" s="4" t="str">
        <f>TEXT(Table15678[[#This Row],[Date]],"mmm")</f>
        <v>May</v>
      </c>
      <c r="T412" s="4" t="str">
        <f>TEXT(Table15678[[#This Row],[Date]],"DDD")</f>
        <v>Tue</v>
      </c>
    </row>
    <row r="413" spans="1:20" ht="29" x14ac:dyDescent="0.35">
      <c r="A413" s="4">
        <v>412</v>
      </c>
      <c r="B413" s="5">
        <v>45185</v>
      </c>
      <c r="C413" s="4" t="s">
        <v>425</v>
      </c>
      <c r="D413" s="4" t="s">
        <v>13</v>
      </c>
      <c r="E413" s="4">
        <v>19</v>
      </c>
      <c r="F413" s="4" t="str">
        <f>IF(Table15678[[#This Row],[Age]]&lt;=19,"Teenager",IF(Table15678[[#This Row],[Age]]&lt;=40,"Median","Old"))</f>
        <v>Teenager</v>
      </c>
      <c r="G413" s="4" t="s">
        <v>16</v>
      </c>
      <c r="H413" s="4">
        <v>4</v>
      </c>
      <c r="I413" s="4">
        <v>500</v>
      </c>
      <c r="J413" s="4">
        <v>2000</v>
      </c>
      <c r="K413" s="4" t="str" cm="1">
        <f t="array" ref="K413">_xlfn.IFS(AND(Table15678[[#This Row],[Total Amount]]&gt;=1500),"Critical",AND(Table15678[[#This Row],[Total Amount]]&gt;=1000),"High",TRUE,"Normal")</f>
        <v>Critical</v>
      </c>
      <c r="L413" s="4" t="str">
        <f>IF(Table15678[[#This Row],[Total Amount]]&gt;=1000,"High",(IF(Table15678[[#This Row],[Total Amount]]&gt;=500,"Medium","Low")))</f>
        <v>High</v>
      </c>
      <c r="M413" s="4" t="str" cm="1">
        <f t="array" ref="M41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413" s="4" cm="1">
        <f t="array" ref="N41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413" s="4">
        <f>Table15678[[#This Row],[Total Amount]]-Table15678[[#This Row],[Discount Amount]]</f>
        <v>2000</v>
      </c>
      <c r="P413" s="4" t="str">
        <f>IF(Table15678[[#This Row],[Total Amount]]&gt;=1000,"High","Low")</f>
        <v>High</v>
      </c>
      <c r="Q413" s="4" t="b" cm="1">
        <f t="array" ref="Q413">_xlfn.IFS(AND(Table15678[[#This Row],[Total Amount]]&gt;=1500,"Critical"),AND(Table15678[[#This Row],[Total Amount]]&gt;=1000,"High"),TRUE,"Normal")</f>
        <v>1</v>
      </c>
      <c r="R413" s="4" t="str">
        <f>CONCATENATE(Table15678[[#This Row],[Customer ID]], "-",Table15678[[#This Row],[Age]])</f>
        <v>CUST412-19</v>
      </c>
      <c r="S413" s="4" t="str">
        <f>TEXT(Table15678[[#This Row],[Date]],"mmm")</f>
        <v>Sep</v>
      </c>
      <c r="T413" s="4" t="str">
        <f>TEXT(Table15678[[#This Row],[Date]],"DDD")</f>
        <v>Sat</v>
      </c>
    </row>
    <row r="414" spans="1:20" ht="29" x14ac:dyDescent="0.35">
      <c r="A414" s="4">
        <v>413</v>
      </c>
      <c r="B414" s="5">
        <v>45177</v>
      </c>
      <c r="C414" s="4" t="s">
        <v>426</v>
      </c>
      <c r="D414" s="4" t="s">
        <v>13</v>
      </c>
      <c r="E414" s="4">
        <v>44</v>
      </c>
      <c r="F414" s="4" t="str">
        <f>IF(Table15678[[#This Row],[Age]]&lt;=19,"Teenager",IF(Table15678[[#This Row],[Age]]&lt;=40,"Median","Old"))</f>
        <v>Old</v>
      </c>
      <c r="G414" s="4" t="s">
        <v>11</v>
      </c>
      <c r="H414" s="4">
        <v>3</v>
      </c>
      <c r="I414" s="4">
        <v>25</v>
      </c>
      <c r="J414" s="4">
        <v>75</v>
      </c>
      <c r="K414" s="4" t="str" cm="1">
        <f t="array" ref="K414">_xlfn.IFS(AND(Table15678[[#This Row],[Total Amount]]&gt;=1500),"Critical",AND(Table15678[[#This Row],[Total Amount]]&gt;=1000),"High",TRUE,"Normal")</f>
        <v>Normal</v>
      </c>
      <c r="L414" s="4" t="str">
        <f>IF(Table15678[[#This Row],[Total Amount]]&gt;=1000,"High",(IF(Table15678[[#This Row],[Total Amount]]&gt;=500,"Medium","Low")))</f>
        <v>Low</v>
      </c>
      <c r="M414" s="4" t="str" cm="1">
        <f t="array" ref="M41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14" s="4" cm="1">
        <f t="array" ref="N41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414" s="4">
        <f>Table15678[[#This Row],[Total Amount]]-Table15678[[#This Row],[Discount Amount]]</f>
        <v>60</v>
      </c>
      <c r="P414" s="4" t="str">
        <f>IF(Table15678[[#This Row],[Total Amount]]&gt;=1000,"High","Low")</f>
        <v>Low</v>
      </c>
      <c r="Q414" s="4" t="str" cm="1">
        <f t="array" ref="Q414">_xlfn.IFS(AND(Table15678[[#This Row],[Total Amount]]&gt;=1500,"Critical"),AND(Table15678[[#This Row],[Total Amount]]&gt;=1000,"High"),TRUE,"Normal")</f>
        <v>Normal</v>
      </c>
      <c r="R414" s="4" t="str">
        <f>CONCATENATE(Table15678[[#This Row],[Customer ID]], "-",Table15678[[#This Row],[Age]])</f>
        <v>CUST413-44</v>
      </c>
      <c r="S414" s="4" t="str">
        <f>TEXT(Table15678[[#This Row],[Date]],"mmm")</f>
        <v>Sep</v>
      </c>
      <c r="T414" s="4" t="str">
        <f>TEXT(Table15678[[#This Row],[Date]],"DDD")</f>
        <v>Fri</v>
      </c>
    </row>
    <row r="415" spans="1:20" ht="29" x14ac:dyDescent="0.35">
      <c r="A415" s="4">
        <v>414</v>
      </c>
      <c r="B415" s="5">
        <v>45055</v>
      </c>
      <c r="C415" s="4" t="s">
        <v>427</v>
      </c>
      <c r="D415" s="4" t="s">
        <v>10</v>
      </c>
      <c r="E415" s="4">
        <v>48</v>
      </c>
      <c r="F415" s="4" t="str">
        <f>IF(Table15678[[#This Row],[Age]]&lt;=19,"Teenager",IF(Table15678[[#This Row],[Age]]&lt;=40,"Median","Old"))</f>
        <v>Old</v>
      </c>
      <c r="G415" s="4" t="s">
        <v>11</v>
      </c>
      <c r="H415" s="4">
        <v>4</v>
      </c>
      <c r="I415" s="4">
        <v>25</v>
      </c>
      <c r="J415" s="4">
        <v>100</v>
      </c>
      <c r="K415" s="4" t="str" cm="1">
        <f t="array" ref="K415">_xlfn.IFS(AND(Table15678[[#This Row],[Total Amount]]&gt;=1500),"Critical",AND(Table15678[[#This Row],[Total Amount]]&gt;=1000),"High",TRUE,"Normal")</f>
        <v>Normal</v>
      </c>
      <c r="L415" s="4" t="str">
        <f>IF(Table15678[[#This Row],[Total Amount]]&gt;=1000,"High",(IF(Table15678[[#This Row],[Total Amount]]&gt;=500,"Medium","Low")))</f>
        <v>Low</v>
      </c>
      <c r="M415" s="4" t="str" cm="1">
        <f t="array" ref="M41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15" s="4" cm="1">
        <f t="array" ref="N41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415" s="4">
        <f>Table15678[[#This Row],[Total Amount]]-Table15678[[#This Row],[Discount Amount]]</f>
        <v>90</v>
      </c>
      <c r="P415" s="4" t="str">
        <f>IF(Table15678[[#This Row],[Total Amount]]&gt;=1000,"High","Low")</f>
        <v>Low</v>
      </c>
      <c r="Q415" s="4" t="str" cm="1">
        <f t="array" ref="Q415">_xlfn.IFS(AND(Table15678[[#This Row],[Total Amount]]&gt;=1500,"Critical"),AND(Table15678[[#This Row],[Total Amount]]&gt;=1000,"High"),TRUE,"Normal")</f>
        <v>Normal</v>
      </c>
      <c r="R415" s="4" t="str">
        <f>CONCATENATE(Table15678[[#This Row],[Customer ID]], "-",Table15678[[#This Row],[Age]])</f>
        <v>CUST414-48</v>
      </c>
      <c r="S415" s="4" t="str">
        <f>TEXT(Table15678[[#This Row],[Date]],"mmm")</f>
        <v>May</v>
      </c>
      <c r="T415" s="4" t="str">
        <f>TEXT(Table15678[[#This Row],[Date]],"DDD")</f>
        <v>Tue</v>
      </c>
    </row>
    <row r="416" spans="1:20" ht="29" x14ac:dyDescent="0.35">
      <c r="A416" s="4">
        <v>415</v>
      </c>
      <c r="B416" s="5">
        <v>44953</v>
      </c>
      <c r="C416" s="4" t="s">
        <v>428</v>
      </c>
      <c r="D416" s="4" t="s">
        <v>10</v>
      </c>
      <c r="E416" s="4">
        <v>53</v>
      </c>
      <c r="F416" s="4" t="str">
        <f>IF(Table15678[[#This Row],[Age]]&lt;=19,"Teenager",IF(Table15678[[#This Row],[Age]]&lt;=40,"Median","Old"))</f>
        <v>Old</v>
      </c>
      <c r="G416" s="4" t="s">
        <v>14</v>
      </c>
      <c r="H416" s="4">
        <v>2</v>
      </c>
      <c r="I416" s="4">
        <v>30</v>
      </c>
      <c r="J416" s="4">
        <v>60</v>
      </c>
      <c r="K416" s="4" t="str" cm="1">
        <f t="array" ref="K416">_xlfn.IFS(AND(Table15678[[#This Row],[Total Amount]]&gt;=1500),"Critical",AND(Table15678[[#This Row],[Total Amount]]&gt;=1000),"High",TRUE,"Normal")</f>
        <v>Normal</v>
      </c>
      <c r="L416" s="4" t="str">
        <f>IF(Table15678[[#This Row],[Total Amount]]&gt;=1000,"High",(IF(Table15678[[#This Row],[Total Amount]]&gt;=500,"Medium","Low")))</f>
        <v>Low</v>
      </c>
      <c r="M416" s="4" t="str" cm="1">
        <f t="array" ref="M41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16" s="4" cm="1">
        <f t="array" ref="N41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416" s="4">
        <f>Table15678[[#This Row],[Total Amount]]-Table15678[[#This Row],[Discount Amount]]</f>
        <v>54</v>
      </c>
      <c r="P416" s="4" t="str">
        <f>IF(Table15678[[#This Row],[Total Amount]]&gt;=1000,"High","Low")</f>
        <v>Low</v>
      </c>
      <c r="Q416" s="4" t="str" cm="1">
        <f t="array" ref="Q416">_xlfn.IFS(AND(Table15678[[#This Row],[Total Amount]]&gt;=1500,"Critical"),AND(Table15678[[#This Row],[Total Amount]]&gt;=1000,"High"),TRUE,"Normal")</f>
        <v>Normal</v>
      </c>
      <c r="R416" s="4" t="str">
        <f>CONCATENATE(Table15678[[#This Row],[Customer ID]], "-",Table15678[[#This Row],[Age]])</f>
        <v>CUST415-53</v>
      </c>
      <c r="S416" s="4" t="str">
        <f>TEXT(Table15678[[#This Row],[Date]],"mmm")</f>
        <v>Jan</v>
      </c>
      <c r="T416" s="4" t="str">
        <f>TEXT(Table15678[[#This Row],[Date]],"DDD")</f>
        <v>Fri</v>
      </c>
    </row>
    <row r="417" spans="1:20" ht="29" x14ac:dyDescent="0.35">
      <c r="A417" s="4">
        <v>416</v>
      </c>
      <c r="B417" s="5">
        <v>44974</v>
      </c>
      <c r="C417" s="4" t="s">
        <v>429</v>
      </c>
      <c r="D417" s="4" t="s">
        <v>10</v>
      </c>
      <c r="E417" s="4">
        <v>53</v>
      </c>
      <c r="F417" s="4" t="str">
        <f>IF(Table15678[[#This Row],[Age]]&lt;=19,"Teenager",IF(Table15678[[#This Row],[Age]]&lt;=40,"Median","Old"))</f>
        <v>Old</v>
      </c>
      <c r="G417" s="4" t="s">
        <v>16</v>
      </c>
      <c r="H417" s="4">
        <v>4</v>
      </c>
      <c r="I417" s="4">
        <v>500</v>
      </c>
      <c r="J417" s="4">
        <v>2000</v>
      </c>
      <c r="K417" s="4" t="str" cm="1">
        <f t="array" ref="K417">_xlfn.IFS(AND(Table15678[[#This Row],[Total Amount]]&gt;=1500),"Critical",AND(Table15678[[#This Row],[Total Amount]]&gt;=1000),"High",TRUE,"Normal")</f>
        <v>Critical</v>
      </c>
      <c r="L417" s="4" t="str">
        <f>IF(Table15678[[#This Row],[Total Amount]]&gt;=1000,"High",(IF(Table15678[[#This Row],[Total Amount]]&gt;=500,"Medium","Low")))</f>
        <v>High</v>
      </c>
      <c r="M417" s="4" t="str" cm="1">
        <f t="array" ref="M41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17" s="4" cm="1">
        <f t="array" ref="N41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417" s="4">
        <f>Table15678[[#This Row],[Total Amount]]-Table15678[[#This Row],[Discount Amount]]</f>
        <v>1800</v>
      </c>
      <c r="P417" s="4" t="str">
        <f>IF(Table15678[[#This Row],[Total Amount]]&gt;=1000,"High","Low")</f>
        <v>High</v>
      </c>
      <c r="Q417" s="4" t="b" cm="1">
        <f t="array" ref="Q417">_xlfn.IFS(AND(Table15678[[#This Row],[Total Amount]]&gt;=1500,"Critical"),AND(Table15678[[#This Row],[Total Amount]]&gt;=1000,"High"),TRUE,"Normal")</f>
        <v>1</v>
      </c>
      <c r="R417" s="4" t="str">
        <f>CONCATENATE(Table15678[[#This Row],[Customer ID]], "-",Table15678[[#This Row],[Age]])</f>
        <v>CUST416-53</v>
      </c>
      <c r="S417" s="4" t="str">
        <f>TEXT(Table15678[[#This Row],[Date]],"mmm")</f>
        <v>Feb</v>
      </c>
      <c r="T417" s="4" t="str">
        <f>TEXT(Table15678[[#This Row],[Date]],"DDD")</f>
        <v>Fri</v>
      </c>
    </row>
    <row r="418" spans="1:20" ht="29" x14ac:dyDescent="0.35">
      <c r="A418" s="4">
        <v>417</v>
      </c>
      <c r="B418" s="5">
        <v>45251</v>
      </c>
      <c r="C418" s="4" t="s">
        <v>430</v>
      </c>
      <c r="D418" s="4" t="s">
        <v>10</v>
      </c>
      <c r="E418" s="4">
        <v>43</v>
      </c>
      <c r="F418" s="4" t="str">
        <f>IF(Table15678[[#This Row],[Age]]&lt;=19,"Teenager",IF(Table15678[[#This Row],[Age]]&lt;=40,"Median","Old"))</f>
        <v>Old</v>
      </c>
      <c r="G418" s="4" t="s">
        <v>16</v>
      </c>
      <c r="H418" s="4">
        <v>3</v>
      </c>
      <c r="I418" s="4">
        <v>300</v>
      </c>
      <c r="J418" s="4">
        <v>900</v>
      </c>
      <c r="K418" s="4" t="str" cm="1">
        <f t="array" ref="K418">_xlfn.IFS(AND(Table15678[[#This Row],[Total Amount]]&gt;=1500),"Critical",AND(Table15678[[#This Row],[Total Amount]]&gt;=1000),"High",TRUE,"Normal")</f>
        <v>Normal</v>
      </c>
      <c r="L418" s="4" t="str">
        <f>IF(Table15678[[#This Row],[Total Amount]]&gt;=1000,"High",(IF(Table15678[[#This Row],[Total Amount]]&gt;=500,"Medium","Low")))</f>
        <v>Medium</v>
      </c>
      <c r="M418" s="4" t="str" cm="1">
        <f t="array" ref="M41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18" s="4" cm="1">
        <f t="array" ref="N41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418" s="4">
        <f>Table15678[[#This Row],[Total Amount]]-Table15678[[#This Row],[Discount Amount]]</f>
        <v>810</v>
      </c>
      <c r="P418" s="4" t="str">
        <f>IF(Table15678[[#This Row],[Total Amount]]&gt;=1000,"High","Low")</f>
        <v>Low</v>
      </c>
      <c r="Q418" s="4" t="str" cm="1">
        <f t="array" ref="Q418">_xlfn.IFS(AND(Table15678[[#This Row],[Total Amount]]&gt;=1500,"Critical"),AND(Table15678[[#This Row],[Total Amount]]&gt;=1000,"High"),TRUE,"Normal")</f>
        <v>Normal</v>
      </c>
      <c r="R418" s="4" t="str">
        <f>CONCATENATE(Table15678[[#This Row],[Customer ID]], "-",Table15678[[#This Row],[Age]])</f>
        <v>CUST417-43</v>
      </c>
      <c r="S418" s="4" t="str">
        <f>TEXT(Table15678[[#This Row],[Date]],"mmm")</f>
        <v>Nov</v>
      </c>
      <c r="T418" s="4" t="str">
        <f>TEXT(Table15678[[#This Row],[Date]],"DDD")</f>
        <v>Tue</v>
      </c>
    </row>
    <row r="419" spans="1:20" ht="29" x14ac:dyDescent="0.35">
      <c r="A419" s="4">
        <v>418</v>
      </c>
      <c r="B419" s="5">
        <v>45143</v>
      </c>
      <c r="C419" s="4" t="s">
        <v>431</v>
      </c>
      <c r="D419" s="4" t="s">
        <v>13</v>
      </c>
      <c r="E419" s="4">
        <v>60</v>
      </c>
      <c r="F419" s="4" t="str">
        <f>IF(Table15678[[#This Row],[Age]]&lt;=19,"Teenager",IF(Table15678[[#This Row],[Age]]&lt;=40,"Median","Old"))</f>
        <v>Old</v>
      </c>
      <c r="G419" s="4" t="s">
        <v>16</v>
      </c>
      <c r="H419" s="4">
        <v>2</v>
      </c>
      <c r="I419" s="4">
        <v>500</v>
      </c>
      <c r="J419" s="4">
        <v>1000</v>
      </c>
      <c r="K419" s="4" t="str" cm="1">
        <f t="array" ref="K419">_xlfn.IFS(AND(Table15678[[#This Row],[Total Amount]]&gt;=1500),"Critical",AND(Table15678[[#This Row],[Total Amount]]&gt;=1000),"High",TRUE,"Normal")</f>
        <v>High</v>
      </c>
      <c r="L419" s="4" t="str">
        <f>IF(Table15678[[#This Row],[Total Amount]]&gt;=1000,"High",(IF(Table15678[[#This Row],[Total Amount]]&gt;=500,"Medium","Low")))</f>
        <v>High</v>
      </c>
      <c r="M419" s="4" t="str" cm="1">
        <f t="array" ref="M41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19" s="4" cm="1">
        <f t="array" ref="N41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419" s="4">
        <f>Table15678[[#This Row],[Total Amount]]-Table15678[[#This Row],[Discount Amount]]</f>
        <v>800</v>
      </c>
      <c r="P419" s="4" t="str">
        <f>IF(Table15678[[#This Row],[Total Amount]]&gt;=1000,"High","Low")</f>
        <v>High</v>
      </c>
      <c r="Q419" s="4" t="str" cm="1">
        <f t="array" ref="Q419">_xlfn.IFS(AND(Table15678[[#This Row],[Total Amount]]&gt;=1500,"Critical"),AND(Table15678[[#This Row],[Total Amount]]&gt;=1000,"High"),TRUE,"Normal")</f>
        <v>Normal</v>
      </c>
      <c r="R419" s="4" t="str">
        <f>CONCATENATE(Table15678[[#This Row],[Customer ID]], "-",Table15678[[#This Row],[Age]])</f>
        <v>CUST418-60</v>
      </c>
      <c r="S419" s="4" t="str">
        <f>TEXT(Table15678[[#This Row],[Date]],"mmm")</f>
        <v>Aug</v>
      </c>
      <c r="T419" s="4" t="str">
        <f>TEXT(Table15678[[#This Row],[Date]],"DDD")</f>
        <v>Sat</v>
      </c>
    </row>
    <row r="420" spans="1:20" ht="29" x14ac:dyDescent="0.35">
      <c r="A420" s="4">
        <v>419</v>
      </c>
      <c r="B420" s="5">
        <v>45068</v>
      </c>
      <c r="C420" s="4" t="s">
        <v>432</v>
      </c>
      <c r="D420" s="4" t="s">
        <v>13</v>
      </c>
      <c r="E420" s="4">
        <v>44</v>
      </c>
      <c r="F420" s="4" t="str">
        <f>IF(Table15678[[#This Row],[Age]]&lt;=19,"Teenager",IF(Table15678[[#This Row],[Age]]&lt;=40,"Median","Old"))</f>
        <v>Old</v>
      </c>
      <c r="G420" s="4" t="s">
        <v>14</v>
      </c>
      <c r="H420" s="4">
        <v>3</v>
      </c>
      <c r="I420" s="4">
        <v>30</v>
      </c>
      <c r="J420" s="4">
        <v>90</v>
      </c>
      <c r="K420" s="4" t="str" cm="1">
        <f t="array" ref="K420">_xlfn.IFS(AND(Table15678[[#This Row],[Total Amount]]&gt;=1500),"Critical",AND(Table15678[[#This Row],[Total Amount]]&gt;=1000),"High",TRUE,"Normal")</f>
        <v>Normal</v>
      </c>
      <c r="L420" s="4" t="str">
        <f>IF(Table15678[[#This Row],[Total Amount]]&gt;=1000,"High",(IF(Table15678[[#This Row],[Total Amount]]&gt;=500,"Medium","Low")))</f>
        <v>Low</v>
      </c>
      <c r="M420" s="4" t="str" cm="1">
        <f t="array" ref="M42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20" s="4" cm="1">
        <f t="array" ref="N42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</v>
      </c>
      <c r="O420" s="4">
        <f>Table15678[[#This Row],[Total Amount]]-Table15678[[#This Row],[Discount Amount]]</f>
        <v>72</v>
      </c>
      <c r="P420" s="4" t="str">
        <f>IF(Table15678[[#This Row],[Total Amount]]&gt;=1000,"High","Low")</f>
        <v>Low</v>
      </c>
      <c r="Q420" s="4" t="str" cm="1">
        <f t="array" ref="Q420">_xlfn.IFS(AND(Table15678[[#This Row],[Total Amount]]&gt;=1500,"Critical"),AND(Table15678[[#This Row],[Total Amount]]&gt;=1000,"High"),TRUE,"Normal")</f>
        <v>Normal</v>
      </c>
      <c r="R420" s="4" t="str">
        <f>CONCATENATE(Table15678[[#This Row],[Customer ID]], "-",Table15678[[#This Row],[Age]])</f>
        <v>CUST419-44</v>
      </c>
      <c r="S420" s="4" t="str">
        <f>TEXT(Table15678[[#This Row],[Date]],"mmm")</f>
        <v>May</v>
      </c>
      <c r="T420" s="4" t="str">
        <f>TEXT(Table15678[[#This Row],[Date]],"DDD")</f>
        <v>Mon</v>
      </c>
    </row>
    <row r="421" spans="1:20" ht="29" x14ac:dyDescent="0.35">
      <c r="A421" s="4">
        <v>420</v>
      </c>
      <c r="B421" s="5">
        <v>44949</v>
      </c>
      <c r="C421" s="4" t="s">
        <v>433</v>
      </c>
      <c r="D421" s="4" t="s">
        <v>13</v>
      </c>
      <c r="E421" s="4">
        <v>22</v>
      </c>
      <c r="F421" s="4" t="str">
        <f>IF(Table15678[[#This Row],[Age]]&lt;=19,"Teenager",IF(Table15678[[#This Row],[Age]]&lt;=40,"Median","Old"))</f>
        <v>Median</v>
      </c>
      <c r="G421" s="4" t="s">
        <v>14</v>
      </c>
      <c r="H421" s="4">
        <v>4</v>
      </c>
      <c r="I421" s="4">
        <v>500</v>
      </c>
      <c r="J421" s="4">
        <v>2000</v>
      </c>
      <c r="K421" s="4" t="str" cm="1">
        <f t="array" ref="K421">_xlfn.IFS(AND(Table15678[[#This Row],[Total Amount]]&gt;=1500),"Critical",AND(Table15678[[#This Row],[Total Amount]]&gt;=1000),"High",TRUE,"Normal")</f>
        <v>Critical</v>
      </c>
      <c r="L421" s="4" t="str">
        <f>IF(Table15678[[#This Row],[Total Amount]]&gt;=1000,"High",(IF(Table15678[[#This Row],[Total Amount]]&gt;=500,"Medium","Low")))</f>
        <v>High</v>
      </c>
      <c r="M421" s="4" t="str" cm="1">
        <f t="array" ref="M42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421" s="4" cm="1">
        <f t="array" ref="N42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421" s="4">
        <f>Table15678[[#This Row],[Total Amount]]-Table15678[[#This Row],[Discount Amount]]</f>
        <v>2000</v>
      </c>
      <c r="P421" s="4" t="str">
        <f>IF(Table15678[[#This Row],[Total Amount]]&gt;=1000,"High","Low")</f>
        <v>High</v>
      </c>
      <c r="Q421" s="4" t="b" cm="1">
        <f t="array" ref="Q421">_xlfn.IFS(AND(Table15678[[#This Row],[Total Amount]]&gt;=1500,"Critical"),AND(Table15678[[#This Row],[Total Amount]]&gt;=1000,"High"),TRUE,"Normal")</f>
        <v>1</v>
      </c>
      <c r="R421" s="4" t="str">
        <f>CONCATENATE(Table15678[[#This Row],[Customer ID]], "-",Table15678[[#This Row],[Age]])</f>
        <v>CUST420-22</v>
      </c>
      <c r="S421" s="4" t="str">
        <f>TEXT(Table15678[[#This Row],[Date]],"mmm")</f>
        <v>Jan</v>
      </c>
      <c r="T421" s="4" t="str">
        <f>TEXT(Table15678[[#This Row],[Date]],"DDD")</f>
        <v>Mon</v>
      </c>
    </row>
    <row r="422" spans="1:20" ht="29" x14ac:dyDescent="0.35">
      <c r="A422" s="4">
        <v>421</v>
      </c>
      <c r="B422" s="5">
        <v>44928</v>
      </c>
      <c r="C422" s="4" t="s">
        <v>434</v>
      </c>
      <c r="D422" s="4" t="s">
        <v>13</v>
      </c>
      <c r="E422" s="4">
        <v>37</v>
      </c>
      <c r="F422" s="4" t="str">
        <f>IF(Table15678[[#This Row],[Age]]&lt;=19,"Teenager",IF(Table15678[[#This Row],[Age]]&lt;=40,"Median","Old"))</f>
        <v>Median</v>
      </c>
      <c r="G422" s="4" t="s">
        <v>14</v>
      </c>
      <c r="H422" s="4">
        <v>3</v>
      </c>
      <c r="I422" s="4">
        <v>500</v>
      </c>
      <c r="J422" s="4">
        <v>1500</v>
      </c>
      <c r="K422" s="4" t="str" cm="1">
        <f t="array" ref="K422">_xlfn.IFS(AND(Table15678[[#This Row],[Total Amount]]&gt;=1500),"Critical",AND(Table15678[[#This Row],[Total Amount]]&gt;=1000),"High",TRUE,"Normal")</f>
        <v>Critical</v>
      </c>
      <c r="L422" s="4" t="str">
        <f>IF(Table15678[[#This Row],[Total Amount]]&gt;=1000,"High",(IF(Table15678[[#This Row],[Total Amount]]&gt;=500,"Medium","Low")))</f>
        <v>High</v>
      </c>
      <c r="M422" s="4" t="str" cm="1">
        <f t="array" ref="M42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22" s="4" cm="1">
        <f t="array" ref="N42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422" s="4">
        <f>Table15678[[#This Row],[Total Amount]]-Table15678[[#This Row],[Discount Amount]]</f>
        <v>1200</v>
      </c>
      <c r="P422" s="4" t="str">
        <f>IF(Table15678[[#This Row],[Total Amount]]&gt;=1000,"High","Low")</f>
        <v>High</v>
      </c>
      <c r="Q422" s="4" t="b" cm="1">
        <f t="array" ref="Q422">_xlfn.IFS(AND(Table15678[[#This Row],[Total Amount]]&gt;=1500,"Critical"),AND(Table15678[[#This Row],[Total Amount]]&gt;=1000,"High"),TRUE,"Normal")</f>
        <v>1</v>
      </c>
      <c r="R422" s="4" t="str">
        <f>CONCATENATE(Table15678[[#This Row],[Customer ID]], "-",Table15678[[#This Row],[Age]])</f>
        <v>CUST421-37</v>
      </c>
      <c r="S422" s="4" t="str">
        <f>TEXT(Table15678[[#This Row],[Date]],"mmm")</f>
        <v>Jan</v>
      </c>
      <c r="T422" s="4" t="str">
        <f>TEXT(Table15678[[#This Row],[Date]],"DDD")</f>
        <v>Mon</v>
      </c>
    </row>
    <row r="423" spans="1:20" ht="29" x14ac:dyDescent="0.35">
      <c r="A423" s="4">
        <v>422</v>
      </c>
      <c r="B423" s="5">
        <v>45097</v>
      </c>
      <c r="C423" s="4" t="s">
        <v>435</v>
      </c>
      <c r="D423" s="4" t="s">
        <v>13</v>
      </c>
      <c r="E423" s="4">
        <v>28</v>
      </c>
      <c r="F423" s="4" t="str">
        <f>IF(Table15678[[#This Row],[Age]]&lt;=19,"Teenager",IF(Table15678[[#This Row],[Age]]&lt;=40,"Median","Old"))</f>
        <v>Median</v>
      </c>
      <c r="G423" s="4" t="s">
        <v>14</v>
      </c>
      <c r="H423" s="4">
        <v>3</v>
      </c>
      <c r="I423" s="4">
        <v>30</v>
      </c>
      <c r="J423" s="4">
        <v>90</v>
      </c>
      <c r="K423" s="4" t="str" cm="1">
        <f t="array" ref="K423">_xlfn.IFS(AND(Table15678[[#This Row],[Total Amount]]&gt;=1500),"Critical",AND(Table15678[[#This Row],[Total Amount]]&gt;=1000),"High",TRUE,"Normal")</f>
        <v>Normal</v>
      </c>
      <c r="L423" s="4" t="str">
        <f>IF(Table15678[[#This Row],[Total Amount]]&gt;=1000,"High",(IF(Table15678[[#This Row],[Total Amount]]&gt;=500,"Medium","Low")))</f>
        <v>Low</v>
      </c>
      <c r="M423" s="4" t="str" cm="1">
        <f t="array" ref="M42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23" s="4" cm="1">
        <f t="array" ref="N42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13.5</v>
      </c>
      <c r="O423" s="4">
        <f>Table15678[[#This Row],[Total Amount]]-Table15678[[#This Row],[Discount Amount]]</f>
        <v>76.5</v>
      </c>
      <c r="P423" s="4" t="str">
        <f>IF(Table15678[[#This Row],[Total Amount]]&gt;=1000,"High","Low")</f>
        <v>Low</v>
      </c>
      <c r="Q423" s="4" t="str" cm="1">
        <f t="array" ref="Q423">_xlfn.IFS(AND(Table15678[[#This Row],[Total Amount]]&gt;=1500,"Critical"),AND(Table15678[[#This Row],[Total Amount]]&gt;=1000,"High"),TRUE,"Normal")</f>
        <v>Normal</v>
      </c>
      <c r="R423" s="4" t="str">
        <f>CONCATENATE(Table15678[[#This Row],[Customer ID]], "-",Table15678[[#This Row],[Age]])</f>
        <v>CUST422-28</v>
      </c>
      <c r="S423" s="4" t="str">
        <f>TEXT(Table15678[[#This Row],[Date]],"mmm")</f>
        <v>Jun</v>
      </c>
      <c r="T423" s="4" t="str">
        <f>TEXT(Table15678[[#This Row],[Date]],"DDD")</f>
        <v>Tue</v>
      </c>
    </row>
    <row r="424" spans="1:20" ht="29" x14ac:dyDescent="0.35">
      <c r="A424" s="4">
        <v>423</v>
      </c>
      <c r="B424" s="5">
        <v>44993</v>
      </c>
      <c r="C424" s="4" t="s">
        <v>436</v>
      </c>
      <c r="D424" s="4" t="s">
        <v>13</v>
      </c>
      <c r="E424" s="4">
        <v>27</v>
      </c>
      <c r="F424" s="4" t="str">
        <f>IF(Table15678[[#This Row],[Age]]&lt;=19,"Teenager",IF(Table15678[[#This Row],[Age]]&lt;=40,"Median","Old"))</f>
        <v>Median</v>
      </c>
      <c r="G424" s="4" t="s">
        <v>14</v>
      </c>
      <c r="H424" s="4">
        <v>1</v>
      </c>
      <c r="I424" s="4">
        <v>25</v>
      </c>
      <c r="J424" s="4">
        <v>25</v>
      </c>
      <c r="K424" s="4" t="str" cm="1">
        <f t="array" ref="K424">_xlfn.IFS(AND(Table15678[[#This Row],[Total Amount]]&gt;=1500),"Critical",AND(Table15678[[#This Row],[Total Amount]]&gt;=1000),"High",TRUE,"Normal")</f>
        <v>Normal</v>
      </c>
      <c r="L424" s="4" t="str">
        <f>IF(Table15678[[#This Row],[Total Amount]]&gt;=1000,"High",(IF(Table15678[[#This Row],[Total Amount]]&gt;=500,"Medium","Low")))</f>
        <v>Low</v>
      </c>
      <c r="M424" s="4" t="str" cm="1">
        <f t="array" ref="M42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24" s="4" cm="1">
        <f t="array" ref="N42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3.75</v>
      </c>
      <c r="O424" s="4">
        <f>Table15678[[#This Row],[Total Amount]]-Table15678[[#This Row],[Discount Amount]]</f>
        <v>21.25</v>
      </c>
      <c r="P424" s="4" t="str">
        <f>IF(Table15678[[#This Row],[Total Amount]]&gt;=1000,"High","Low")</f>
        <v>Low</v>
      </c>
      <c r="Q424" s="4" t="str" cm="1">
        <f t="array" ref="Q424">_xlfn.IFS(AND(Table15678[[#This Row],[Total Amount]]&gt;=1500,"Critical"),AND(Table15678[[#This Row],[Total Amount]]&gt;=1000,"High"),TRUE,"Normal")</f>
        <v>Normal</v>
      </c>
      <c r="R424" s="4" t="str">
        <f>CONCATENATE(Table15678[[#This Row],[Customer ID]], "-",Table15678[[#This Row],[Age]])</f>
        <v>CUST423-27</v>
      </c>
      <c r="S424" s="4" t="str">
        <f>TEXT(Table15678[[#This Row],[Date]],"mmm")</f>
        <v>Mar</v>
      </c>
      <c r="T424" s="4" t="str">
        <f>TEXT(Table15678[[#This Row],[Date]],"DDD")</f>
        <v>Wed</v>
      </c>
    </row>
    <row r="425" spans="1:20" ht="29" x14ac:dyDescent="0.35">
      <c r="A425" s="4">
        <v>424</v>
      </c>
      <c r="B425" s="5">
        <v>45253</v>
      </c>
      <c r="C425" s="4" t="s">
        <v>437</v>
      </c>
      <c r="D425" s="4" t="s">
        <v>10</v>
      </c>
      <c r="E425" s="4">
        <v>57</v>
      </c>
      <c r="F425" s="4" t="str">
        <f>IF(Table15678[[#This Row],[Age]]&lt;=19,"Teenager",IF(Table15678[[#This Row],[Age]]&lt;=40,"Median","Old"))</f>
        <v>Old</v>
      </c>
      <c r="G425" s="4" t="s">
        <v>11</v>
      </c>
      <c r="H425" s="4">
        <v>4</v>
      </c>
      <c r="I425" s="4">
        <v>300</v>
      </c>
      <c r="J425" s="4">
        <v>1200</v>
      </c>
      <c r="K425" s="4" t="str" cm="1">
        <f t="array" ref="K425">_xlfn.IFS(AND(Table15678[[#This Row],[Total Amount]]&gt;=1500),"Critical",AND(Table15678[[#This Row],[Total Amount]]&gt;=1000),"High",TRUE,"Normal")</f>
        <v>High</v>
      </c>
      <c r="L425" s="4" t="str">
        <f>IF(Table15678[[#This Row],[Total Amount]]&gt;=1000,"High",(IF(Table15678[[#This Row],[Total Amount]]&gt;=500,"Medium","Low")))</f>
        <v>High</v>
      </c>
      <c r="M425" s="4" t="str" cm="1">
        <f t="array" ref="M42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25" s="4" cm="1">
        <f t="array" ref="N42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120</v>
      </c>
      <c r="O425" s="4">
        <f>Table15678[[#This Row],[Total Amount]]-Table15678[[#This Row],[Discount Amount]]</f>
        <v>1080</v>
      </c>
      <c r="P425" s="4" t="str">
        <f>IF(Table15678[[#This Row],[Total Amount]]&gt;=1000,"High","Low")</f>
        <v>High</v>
      </c>
      <c r="Q425" s="4" t="str" cm="1">
        <f t="array" ref="Q425">_xlfn.IFS(AND(Table15678[[#This Row],[Total Amount]]&gt;=1500,"Critical"),AND(Table15678[[#This Row],[Total Amount]]&gt;=1000,"High"),TRUE,"Normal")</f>
        <v>Normal</v>
      </c>
      <c r="R425" s="4" t="str">
        <f>CONCATENATE(Table15678[[#This Row],[Customer ID]], "-",Table15678[[#This Row],[Age]])</f>
        <v>CUST424-57</v>
      </c>
      <c r="S425" s="4" t="str">
        <f>TEXT(Table15678[[#This Row],[Date]],"mmm")</f>
        <v>Nov</v>
      </c>
      <c r="T425" s="4" t="str">
        <f>TEXT(Table15678[[#This Row],[Date]],"DDD")</f>
        <v>Thu</v>
      </c>
    </row>
    <row r="426" spans="1:20" ht="29" x14ac:dyDescent="0.35">
      <c r="A426" s="4">
        <v>425</v>
      </c>
      <c r="B426" s="5">
        <v>45061</v>
      </c>
      <c r="C426" s="4" t="s">
        <v>438</v>
      </c>
      <c r="D426" s="4" t="s">
        <v>13</v>
      </c>
      <c r="E426" s="4">
        <v>55</v>
      </c>
      <c r="F426" s="4" t="str">
        <f>IF(Table15678[[#This Row],[Age]]&lt;=19,"Teenager",IF(Table15678[[#This Row],[Age]]&lt;=40,"Median","Old"))</f>
        <v>Old</v>
      </c>
      <c r="G426" s="4" t="s">
        <v>16</v>
      </c>
      <c r="H426" s="4">
        <v>4</v>
      </c>
      <c r="I426" s="4">
        <v>30</v>
      </c>
      <c r="J426" s="4">
        <v>120</v>
      </c>
      <c r="K426" s="4" t="str" cm="1">
        <f t="array" ref="K426">_xlfn.IFS(AND(Table15678[[#This Row],[Total Amount]]&gt;=1500),"Critical",AND(Table15678[[#This Row],[Total Amount]]&gt;=1000),"High",TRUE,"Normal")</f>
        <v>Normal</v>
      </c>
      <c r="L426" s="4" t="str">
        <f>IF(Table15678[[#This Row],[Total Amount]]&gt;=1000,"High",(IF(Table15678[[#This Row],[Total Amount]]&gt;=500,"Medium","Low")))</f>
        <v>Low</v>
      </c>
      <c r="M426" s="4" t="str" cm="1">
        <f t="array" ref="M42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26" s="4" cm="1">
        <f t="array" ref="N42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</v>
      </c>
      <c r="O426" s="4">
        <f>Table15678[[#This Row],[Total Amount]]-Table15678[[#This Row],[Discount Amount]]</f>
        <v>96</v>
      </c>
      <c r="P426" s="4" t="str">
        <f>IF(Table15678[[#This Row],[Total Amount]]&gt;=1000,"High","Low")</f>
        <v>Low</v>
      </c>
      <c r="Q426" s="4" t="str" cm="1">
        <f t="array" ref="Q426">_xlfn.IFS(AND(Table15678[[#This Row],[Total Amount]]&gt;=1500,"Critical"),AND(Table15678[[#This Row],[Total Amount]]&gt;=1000,"High"),TRUE,"Normal")</f>
        <v>Normal</v>
      </c>
      <c r="R426" s="4" t="str">
        <f>CONCATENATE(Table15678[[#This Row],[Customer ID]], "-",Table15678[[#This Row],[Age]])</f>
        <v>CUST425-55</v>
      </c>
      <c r="S426" s="4" t="str">
        <f>TEXT(Table15678[[#This Row],[Date]],"mmm")</f>
        <v>May</v>
      </c>
      <c r="T426" s="4" t="str">
        <f>TEXT(Table15678[[#This Row],[Date]],"DDD")</f>
        <v>Mon</v>
      </c>
    </row>
    <row r="427" spans="1:20" ht="29" x14ac:dyDescent="0.35">
      <c r="A427" s="4">
        <v>426</v>
      </c>
      <c r="B427" s="5">
        <v>45009</v>
      </c>
      <c r="C427" s="4" t="s">
        <v>439</v>
      </c>
      <c r="D427" s="4" t="s">
        <v>10</v>
      </c>
      <c r="E427" s="4">
        <v>23</v>
      </c>
      <c r="F427" s="4" t="str">
        <f>IF(Table15678[[#This Row],[Age]]&lt;=19,"Teenager",IF(Table15678[[#This Row],[Age]]&lt;=40,"Median","Old"))</f>
        <v>Median</v>
      </c>
      <c r="G427" s="4" t="s">
        <v>16</v>
      </c>
      <c r="H427" s="4">
        <v>3</v>
      </c>
      <c r="I427" s="4">
        <v>50</v>
      </c>
      <c r="J427" s="4">
        <v>150</v>
      </c>
      <c r="K427" s="4" t="str" cm="1">
        <f t="array" ref="K427">_xlfn.IFS(AND(Table15678[[#This Row],[Total Amount]]&gt;=1500),"Critical",AND(Table15678[[#This Row],[Total Amount]]&gt;=1000),"High",TRUE,"Normal")</f>
        <v>Normal</v>
      </c>
      <c r="L427" s="4" t="str">
        <f>IF(Table15678[[#This Row],[Total Amount]]&gt;=1000,"High",(IF(Table15678[[#This Row],[Total Amount]]&gt;=500,"Medium","Low")))</f>
        <v>Low</v>
      </c>
      <c r="M427" s="4" t="str" cm="1">
        <f t="array" ref="M42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427" s="4" cm="1">
        <f t="array" ref="N42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427" s="4">
        <f>Table15678[[#This Row],[Total Amount]]-Table15678[[#This Row],[Discount Amount]]</f>
        <v>150</v>
      </c>
      <c r="P427" s="4" t="str">
        <f>IF(Table15678[[#This Row],[Total Amount]]&gt;=1000,"High","Low")</f>
        <v>Low</v>
      </c>
      <c r="Q427" s="4" t="str" cm="1">
        <f t="array" ref="Q427">_xlfn.IFS(AND(Table15678[[#This Row],[Total Amount]]&gt;=1500,"Critical"),AND(Table15678[[#This Row],[Total Amount]]&gt;=1000,"High"),TRUE,"Normal")</f>
        <v>Normal</v>
      </c>
      <c r="R427" s="4" t="str">
        <f>CONCATENATE(Table15678[[#This Row],[Customer ID]], "-",Table15678[[#This Row],[Age]])</f>
        <v>CUST426-23</v>
      </c>
      <c r="S427" s="4" t="str">
        <f>TEXT(Table15678[[#This Row],[Date]],"mmm")</f>
        <v>Mar</v>
      </c>
      <c r="T427" s="4" t="str">
        <f>TEXT(Table15678[[#This Row],[Date]],"DDD")</f>
        <v>Fri</v>
      </c>
    </row>
    <row r="428" spans="1:20" ht="29" x14ac:dyDescent="0.35">
      <c r="A428" s="4">
        <v>427</v>
      </c>
      <c r="B428" s="5">
        <v>45153</v>
      </c>
      <c r="C428" s="4" t="s">
        <v>440</v>
      </c>
      <c r="D428" s="4" t="s">
        <v>10</v>
      </c>
      <c r="E428" s="4">
        <v>25</v>
      </c>
      <c r="F428" s="4" t="str">
        <f>IF(Table15678[[#This Row],[Age]]&lt;=19,"Teenager",IF(Table15678[[#This Row],[Age]]&lt;=40,"Median","Old"))</f>
        <v>Median</v>
      </c>
      <c r="G428" s="4" t="s">
        <v>16</v>
      </c>
      <c r="H428" s="4">
        <v>1</v>
      </c>
      <c r="I428" s="4">
        <v>25</v>
      </c>
      <c r="J428" s="4">
        <v>25</v>
      </c>
      <c r="K428" s="4" t="str" cm="1">
        <f t="array" ref="K428">_xlfn.IFS(AND(Table15678[[#This Row],[Total Amount]]&gt;=1500),"Critical",AND(Table15678[[#This Row],[Total Amount]]&gt;=1000),"High",TRUE,"Normal")</f>
        <v>Normal</v>
      </c>
      <c r="L428" s="4" t="str">
        <f>IF(Table15678[[#This Row],[Total Amount]]&gt;=1000,"High",(IF(Table15678[[#This Row],[Total Amount]]&gt;=500,"Medium","Low")))</f>
        <v>Low</v>
      </c>
      <c r="M428" s="4" t="str" cm="1">
        <f t="array" ref="M42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28" s="4" cm="1">
        <f t="array" ref="N42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3.75</v>
      </c>
      <c r="O428" s="4">
        <f>Table15678[[#This Row],[Total Amount]]-Table15678[[#This Row],[Discount Amount]]</f>
        <v>21.25</v>
      </c>
      <c r="P428" s="4" t="str">
        <f>IF(Table15678[[#This Row],[Total Amount]]&gt;=1000,"High","Low")</f>
        <v>Low</v>
      </c>
      <c r="Q428" s="4" t="str" cm="1">
        <f t="array" ref="Q428">_xlfn.IFS(AND(Table15678[[#This Row],[Total Amount]]&gt;=1500,"Critical"),AND(Table15678[[#This Row],[Total Amount]]&gt;=1000,"High"),TRUE,"Normal")</f>
        <v>Normal</v>
      </c>
      <c r="R428" s="4" t="str">
        <f>CONCATENATE(Table15678[[#This Row],[Customer ID]], "-",Table15678[[#This Row],[Age]])</f>
        <v>CUST427-25</v>
      </c>
      <c r="S428" s="4" t="str">
        <f>TEXT(Table15678[[#This Row],[Date]],"mmm")</f>
        <v>Aug</v>
      </c>
      <c r="T428" s="4" t="str">
        <f>TEXT(Table15678[[#This Row],[Date]],"DDD")</f>
        <v>Tue</v>
      </c>
    </row>
    <row r="429" spans="1:20" ht="29" x14ac:dyDescent="0.35">
      <c r="A429" s="4">
        <v>428</v>
      </c>
      <c r="B429" s="5">
        <v>45209</v>
      </c>
      <c r="C429" s="4" t="s">
        <v>441</v>
      </c>
      <c r="D429" s="4" t="s">
        <v>13</v>
      </c>
      <c r="E429" s="4">
        <v>40</v>
      </c>
      <c r="F429" s="4" t="str">
        <f>IF(Table15678[[#This Row],[Age]]&lt;=19,"Teenager",IF(Table15678[[#This Row],[Age]]&lt;=40,"Median","Old"))</f>
        <v>Median</v>
      </c>
      <c r="G429" s="4" t="s">
        <v>16</v>
      </c>
      <c r="H429" s="4">
        <v>4</v>
      </c>
      <c r="I429" s="4">
        <v>50</v>
      </c>
      <c r="J429" s="4">
        <v>200</v>
      </c>
      <c r="K429" s="4" t="str" cm="1">
        <f t="array" ref="K429">_xlfn.IFS(AND(Table15678[[#This Row],[Total Amount]]&gt;=1500),"Critical",AND(Table15678[[#This Row],[Total Amount]]&gt;=1000),"High",TRUE,"Normal")</f>
        <v>Normal</v>
      </c>
      <c r="L429" s="4" t="str">
        <f>IF(Table15678[[#This Row],[Total Amount]]&gt;=1000,"High",(IF(Table15678[[#This Row],[Total Amount]]&gt;=500,"Medium","Low")))</f>
        <v>Low</v>
      </c>
      <c r="M429" s="4" t="str" cm="1">
        <f t="array" ref="M42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29" s="4" cm="1">
        <f t="array" ref="N42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</v>
      </c>
      <c r="O429" s="4">
        <f>Table15678[[#This Row],[Total Amount]]-Table15678[[#This Row],[Discount Amount]]</f>
        <v>160</v>
      </c>
      <c r="P429" s="4" t="str">
        <f>IF(Table15678[[#This Row],[Total Amount]]&gt;=1000,"High","Low")</f>
        <v>Low</v>
      </c>
      <c r="Q429" s="4" t="str" cm="1">
        <f t="array" ref="Q429">_xlfn.IFS(AND(Table15678[[#This Row],[Total Amount]]&gt;=1500,"Critical"),AND(Table15678[[#This Row],[Total Amount]]&gt;=1000,"High"),TRUE,"Normal")</f>
        <v>Normal</v>
      </c>
      <c r="R429" s="4" t="str">
        <f>CONCATENATE(Table15678[[#This Row],[Customer ID]], "-",Table15678[[#This Row],[Age]])</f>
        <v>CUST428-40</v>
      </c>
      <c r="S429" s="4" t="str">
        <f>TEXT(Table15678[[#This Row],[Date]],"mmm")</f>
        <v>Oct</v>
      </c>
      <c r="T429" s="4" t="str">
        <f>TEXT(Table15678[[#This Row],[Date]],"DDD")</f>
        <v>Tue</v>
      </c>
    </row>
    <row r="430" spans="1:20" ht="29" x14ac:dyDescent="0.35">
      <c r="A430" s="4">
        <v>429</v>
      </c>
      <c r="B430" s="5">
        <v>45288</v>
      </c>
      <c r="C430" s="4" t="s">
        <v>442</v>
      </c>
      <c r="D430" s="4" t="s">
        <v>10</v>
      </c>
      <c r="E430" s="4">
        <v>64</v>
      </c>
      <c r="F430" s="4" t="str">
        <f>IF(Table15678[[#This Row],[Age]]&lt;=19,"Teenager",IF(Table15678[[#This Row],[Age]]&lt;=40,"Median","Old"))</f>
        <v>Old</v>
      </c>
      <c r="G430" s="4" t="s">
        <v>16</v>
      </c>
      <c r="H430" s="4">
        <v>2</v>
      </c>
      <c r="I430" s="4">
        <v>25</v>
      </c>
      <c r="J430" s="4">
        <v>50</v>
      </c>
      <c r="K430" s="4" t="str" cm="1">
        <f t="array" ref="K430">_xlfn.IFS(AND(Table15678[[#This Row],[Total Amount]]&gt;=1500),"Critical",AND(Table15678[[#This Row],[Total Amount]]&gt;=1000),"High",TRUE,"Normal")</f>
        <v>Normal</v>
      </c>
      <c r="L430" s="4" t="str">
        <f>IF(Table15678[[#This Row],[Total Amount]]&gt;=1000,"High",(IF(Table15678[[#This Row],[Total Amount]]&gt;=500,"Medium","Low")))</f>
        <v>Low</v>
      </c>
      <c r="M430" s="4" t="str" cm="1">
        <f t="array" ref="M43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30" s="4" cm="1">
        <f t="array" ref="N43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430" s="4">
        <f>Table15678[[#This Row],[Total Amount]]-Table15678[[#This Row],[Discount Amount]]</f>
        <v>45</v>
      </c>
      <c r="P430" s="4" t="str">
        <f>IF(Table15678[[#This Row],[Total Amount]]&gt;=1000,"High","Low")</f>
        <v>Low</v>
      </c>
      <c r="Q430" s="4" t="str" cm="1">
        <f t="array" ref="Q430">_xlfn.IFS(AND(Table15678[[#This Row],[Total Amount]]&gt;=1500,"Critical"),AND(Table15678[[#This Row],[Total Amount]]&gt;=1000,"High"),TRUE,"Normal")</f>
        <v>Normal</v>
      </c>
      <c r="R430" s="4" t="str">
        <f>CONCATENATE(Table15678[[#This Row],[Customer ID]], "-",Table15678[[#This Row],[Age]])</f>
        <v>CUST429-64</v>
      </c>
      <c r="S430" s="4" t="str">
        <f>TEXT(Table15678[[#This Row],[Date]],"mmm")</f>
        <v>Dec</v>
      </c>
      <c r="T430" s="4" t="str">
        <f>TEXT(Table15678[[#This Row],[Date]],"DDD")</f>
        <v>Thu</v>
      </c>
    </row>
    <row r="431" spans="1:20" ht="29" x14ac:dyDescent="0.35">
      <c r="A431" s="4">
        <v>430</v>
      </c>
      <c r="B431" s="5">
        <v>45145</v>
      </c>
      <c r="C431" s="4" t="s">
        <v>443</v>
      </c>
      <c r="D431" s="4" t="s">
        <v>13</v>
      </c>
      <c r="E431" s="4">
        <v>43</v>
      </c>
      <c r="F431" s="4" t="str">
        <f>IF(Table15678[[#This Row],[Age]]&lt;=19,"Teenager",IF(Table15678[[#This Row],[Age]]&lt;=40,"Median","Old"))</f>
        <v>Old</v>
      </c>
      <c r="G431" s="4" t="s">
        <v>16</v>
      </c>
      <c r="H431" s="4">
        <v>3</v>
      </c>
      <c r="I431" s="4">
        <v>300</v>
      </c>
      <c r="J431" s="4">
        <v>900</v>
      </c>
      <c r="K431" s="4" t="str" cm="1">
        <f t="array" ref="K431">_xlfn.IFS(AND(Table15678[[#This Row],[Total Amount]]&gt;=1500),"Critical",AND(Table15678[[#This Row],[Total Amount]]&gt;=1000),"High",TRUE,"Normal")</f>
        <v>Normal</v>
      </c>
      <c r="L431" s="4" t="str">
        <f>IF(Table15678[[#This Row],[Total Amount]]&gt;=1000,"High",(IF(Table15678[[#This Row],[Total Amount]]&gt;=500,"Medium","Low")))</f>
        <v>Medium</v>
      </c>
      <c r="M431" s="4" t="str" cm="1">
        <f t="array" ref="M43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31" s="4" cm="1">
        <f t="array" ref="N43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431" s="4">
        <f>Table15678[[#This Row],[Total Amount]]-Table15678[[#This Row],[Discount Amount]]</f>
        <v>720</v>
      </c>
      <c r="P431" s="4" t="str">
        <f>IF(Table15678[[#This Row],[Total Amount]]&gt;=1000,"High","Low")</f>
        <v>Low</v>
      </c>
      <c r="Q431" s="4" t="str" cm="1">
        <f t="array" ref="Q431">_xlfn.IFS(AND(Table15678[[#This Row],[Total Amount]]&gt;=1500,"Critical"),AND(Table15678[[#This Row],[Total Amount]]&gt;=1000,"High"),TRUE,"Normal")</f>
        <v>Normal</v>
      </c>
      <c r="R431" s="4" t="str">
        <f>CONCATENATE(Table15678[[#This Row],[Customer ID]], "-",Table15678[[#This Row],[Age]])</f>
        <v>CUST430-43</v>
      </c>
      <c r="S431" s="4" t="str">
        <f>TEXT(Table15678[[#This Row],[Date]],"mmm")</f>
        <v>Aug</v>
      </c>
      <c r="T431" s="4" t="str">
        <f>TEXT(Table15678[[#This Row],[Date]],"DDD")</f>
        <v>Mon</v>
      </c>
    </row>
    <row r="432" spans="1:20" ht="29" x14ac:dyDescent="0.35">
      <c r="A432" s="4">
        <v>431</v>
      </c>
      <c r="B432" s="5">
        <v>45214</v>
      </c>
      <c r="C432" s="4" t="s">
        <v>444</v>
      </c>
      <c r="D432" s="4" t="s">
        <v>10</v>
      </c>
      <c r="E432" s="4">
        <v>63</v>
      </c>
      <c r="F432" s="4" t="str">
        <f>IF(Table15678[[#This Row],[Age]]&lt;=19,"Teenager",IF(Table15678[[#This Row],[Age]]&lt;=40,"Median","Old"))</f>
        <v>Old</v>
      </c>
      <c r="G432" s="4" t="s">
        <v>16</v>
      </c>
      <c r="H432" s="4">
        <v>4</v>
      </c>
      <c r="I432" s="4">
        <v>300</v>
      </c>
      <c r="J432" s="4">
        <v>1200</v>
      </c>
      <c r="K432" s="4" t="str" cm="1">
        <f t="array" ref="K432">_xlfn.IFS(AND(Table15678[[#This Row],[Total Amount]]&gt;=1500),"Critical",AND(Table15678[[#This Row],[Total Amount]]&gt;=1000),"High",TRUE,"Normal")</f>
        <v>High</v>
      </c>
      <c r="L432" s="4" t="str">
        <f>IF(Table15678[[#This Row],[Total Amount]]&gt;=1000,"High",(IF(Table15678[[#This Row],[Total Amount]]&gt;=500,"Medium","Low")))</f>
        <v>High</v>
      </c>
      <c r="M432" s="4" t="str" cm="1">
        <f t="array" ref="M43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32" s="4" cm="1">
        <f t="array" ref="N43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120</v>
      </c>
      <c r="O432" s="4">
        <f>Table15678[[#This Row],[Total Amount]]-Table15678[[#This Row],[Discount Amount]]</f>
        <v>1080</v>
      </c>
      <c r="P432" s="4" t="str">
        <f>IF(Table15678[[#This Row],[Total Amount]]&gt;=1000,"High","Low")</f>
        <v>High</v>
      </c>
      <c r="Q432" s="4" t="str" cm="1">
        <f t="array" ref="Q432">_xlfn.IFS(AND(Table15678[[#This Row],[Total Amount]]&gt;=1500,"Critical"),AND(Table15678[[#This Row],[Total Amount]]&gt;=1000,"High"),TRUE,"Normal")</f>
        <v>Normal</v>
      </c>
      <c r="R432" s="4" t="str">
        <f>CONCATENATE(Table15678[[#This Row],[Customer ID]], "-",Table15678[[#This Row],[Age]])</f>
        <v>CUST431-63</v>
      </c>
      <c r="S432" s="4" t="str">
        <f>TEXT(Table15678[[#This Row],[Date]],"mmm")</f>
        <v>Oct</v>
      </c>
      <c r="T432" s="4" t="str">
        <f>TEXT(Table15678[[#This Row],[Date]],"DDD")</f>
        <v>Sun</v>
      </c>
    </row>
    <row r="433" spans="1:20" ht="29" x14ac:dyDescent="0.35">
      <c r="A433" s="4">
        <v>432</v>
      </c>
      <c r="B433" s="5">
        <v>44931</v>
      </c>
      <c r="C433" s="4" t="s">
        <v>445</v>
      </c>
      <c r="D433" s="4" t="s">
        <v>13</v>
      </c>
      <c r="E433" s="4">
        <v>60</v>
      </c>
      <c r="F433" s="4" t="str">
        <f>IF(Table15678[[#This Row],[Age]]&lt;=19,"Teenager",IF(Table15678[[#This Row],[Age]]&lt;=40,"Median","Old"))</f>
        <v>Old</v>
      </c>
      <c r="G433" s="4" t="s">
        <v>16</v>
      </c>
      <c r="H433" s="4">
        <v>2</v>
      </c>
      <c r="I433" s="4">
        <v>500</v>
      </c>
      <c r="J433" s="4">
        <v>1000</v>
      </c>
      <c r="K433" s="4" t="str" cm="1">
        <f t="array" ref="K433">_xlfn.IFS(AND(Table15678[[#This Row],[Total Amount]]&gt;=1500),"Critical",AND(Table15678[[#This Row],[Total Amount]]&gt;=1000),"High",TRUE,"Normal")</f>
        <v>High</v>
      </c>
      <c r="L433" s="4" t="str">
        <f>IF(Table15678[[#This Row],[Total Amount]]&gt;=1000,"High",(IF(Table15678[[#This Row],[Total Amount]]&gt;=500,"Medium","Low")))</f>
        <v>High</v>
      </c>
      <c r="M433" s="4" t="str" cm="1">
        <f t="array" ref="M43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33" s="4" cm="1">
        <f t="array" ref="N43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433" s="4">
        <f>Table15678[[#This Row],[Total Amount]]-Table15678[[#This Row],[Discount Amount]]</f>
        <v>800</v>
      </c>
      <c r="P433" s="4" t="str">
        <f>IF(Table15678[[#This Row],[Total Amount]]&gt;=1000,"High","Low")</f>
        <v>High</v>
      </c>
      <c r="Q433" s="4" t="str" cm="1">
        <f t="array" ref="Q433">_xlfn.IFS(AND(Table15678[[#This Row],[Total Amount]]&gt;=1500,"Critical"),AND(Table15678[[#This Row],[Total Amount]]&gt;=1000,"High"),TRUE,"Normal")</f>
        <v>Normal</v>
      </c>
      <c r="R433" s="4" t="str">
        <f>CONCATENATE(Table15678[[#This Row],[Customer ID]], "-",Table15678[[#This Row],[Age]])</f>
        <v>CUST432-60</v>
      </c>
      <c r="S433" s="4" t="str">
        <f>TEXT(Table15678[[#This Row],[Date]],"mmm")</f>
        <v>Jan</v>
      </c>
      <c r="T433" s="4" t="str">
        <f>TEXT(Table15678[[#This Row],[Date]],"DDD")</f>
        <v>Thu</v>
      </c>
    </row>
    <row r="434" spans="1:20" ht="29" x14ac:dyDescent="0.35">
      <c r="A434" s="4">
        <v>433</v>
      </c>
      <c r="B434" s="5">
        <v>44984</v>
      </c>
      <c r="C434" s="4" t="s">
        <v>446</v>
      </c>
      <c r="D434" s="4" t="s">
        <v>10</v>
      </c>
      <c r="E434" s="4">
        <v>29</v>
      </c>
      <c r="F434" s="4" t="str">
        <f>IF(Table15678[[#This Row],[Age]]&lt;=19,"Teenager",IF(Table15678[[#This Row],[Age]]&lt;=40,"Median","Old"))</f>
        <v>Median</v>
      </c>
      <c r="G434" s="4" t="s">
        <v>11</v>
      </c>
      <c r="H434" s="4">
        <v>4</v>
      </c>
      <c r="I434" s="4">
        <v>50</v>
      </c>
      <c r="J434" s="4">
        <v>200</v>
      </c>
      <c r="K434" s="4" t="str" cm="1">
        <f t="array" ref="K434">_xlfn.IFS(AND(Table15678[[#This Row],[Total Amount]]&gt;=1500),"Critical",AND(Table15678[[#This Row],[Total Amount]]&gt;=1000),"High",TRUE,"Normal")</f>
        <v>Normal</v>
      </c>
      <c r="L434" s="4" t="str">
        <f>IF(Table15678[[#This Row],[Total Amount]]&gt;=1000,"High",(IF(Table15678[[#This Row],[Total Amount]]&gt;=500,"Medium","Low")))</f>
        <v>Low</v>
      </c>
      <c r="M434" s="4" t="str" cm="1">
        <f t="array" ref="M43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34" s="4" cm="1">
        <f t="array" ref="N43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434" s="4">
        <f>Table15678[[#This Row],[Total Amount]]-Table15678[[#This Row],[Discount Amount]]</f>
        <v>170</v>
      </c>
      <c r="P434" s="4" t="str">
        <f>IF(Table15678[[#This Row],[Total Amount]]&gt;=1000,"High","Low")</f>
        <v>Low</v>
      </c>
      <c r="Q434" s="4" t="str" cm="1">
        <f t="array" ref="Q434">_xlfn.IFS(AND(Table15678[[#This Row],[Total Amount]]&gt;=1500,"Critical"),AND(Table15678[[#This Row],[Total Amount]]&gt;=1000,"High"),TRUE,"Normal")</f>
        <v>Normal</v>
      </c>
      <c r="R434" s="4" t="str">
        <f>CONCATENATE(Table15678[[#This Row],[Customer ID]], "-",Table15678[[#This Row],[Age]])</f>
        <v>CUST433-29</v>
      </c>
      <c r="S434" s="4" t="str">
        <f>TEXT(Table15678[[#This Row],[Date]],"mmm")</f>
        <v>Feb</v>
      </c>
      <c r="T434" s="4" t="str">
        <f>TEXT(Table15678[[#This Row],[Date]],"DDD")</f>
        <v>Mon</v>
      </c>
    </row>
    <row r="435" spans="1:20" ht="29" x14ac:dyDescent="0.35">
      <c r="A435" s="4">
        <v>434</v>
      </c>
      <c r="B435" s="5">
        <v>44965</v>
      </c>
      <c r="C435" s="4" t="s">
        <v>447</v>
      </c>
      <c r="D435" s="4" t="s">
        <v>13</v>
      </c>
      <c r="E435" s="4">
        <v>43</v>
      </c>
      <c r="F435" s="4" t="str">
        <f>IF(Table15678[[#This Row],[Age]]&lt;=19,"Teenager",IF(Table15678[[#This Row],[Age]]&lt;=40,"Median","Old"))</f>
        <v>Old</v>
      </c>
      <c r="G435" s="4" t="s">
        <v>16</v>
      </c>
      <c r="H435" s="4">
        <v>2</v>
      </c>
      <c r="I435" s="4">
        <v>25</v>
      </c>
      <c r="J435" s="4">
        <v>50</v>
      </c>
      <c r="K435" s="4" t="str" cm="1">
        <f t="array" ref="K435">_xlfn.IFS(AND(Table15678[[#This Row],[Total Amount]]&gt;=1500),"Critical",AND(Table15678[[#This Row],[Total Amount]]&gt;=1000),"High",TRUE,"Normal")</f>
        <v>Normal</v>
      </c>
      <c r="L435" s="4" t="str">
        <f>IF(Table15678[[#This Row],[Total Amount]]&gt;=1000,"High",(IF(Table15678[[#This Row],[Total Amount]]&gt;=500,"Medium","Low")))</f>
        <v>Low</v>
      </c>
      <c r="M435" s="4" t="str" cm="1">
        <f t="array" ref="M43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35" s="4" cm="1">
        <f t="array" ref="N43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435" s="4">
        <f>Table15678[[#This Row],[Total Amount]]-Table15678[[#This Row],[Discount Amount]]</f>
        <v>40</v>
      </c>
      <c r="P435" s="4" t="str">
        <f>IF(Table15678[[#This Row],[Total Amount]]&gt;=1000,"High","Low")</f>
        <v>Low</v>
      </c>
      <c r="Q435" s="4" t="str" cm="1">
        <f t="array" ref="Q435">_xlfn.IFS(AND(Table15678[[#This Row],[Total Amount]]&gt;=1500,"Critical"),AND(Table15678[[#This Row],[Total Amount]]&gt;=1000,"High"),TRUE,"Normal")</f>
        <v>Normal</v>
      </c>
      <c r="R435" s="4" t="str">
        <f>CONCATENATE(Table15678[[#This Row],[Customer ID]], "-",Table15678[[#This Row],[Age]])</f>
        <v>CUST434-43</v>
      </c>
      <c r="S435" s="4" t="str">
        <f>TEXT(Table15678[[#This Row],[Date]],"mmm")</f>
        <v>Feb</v>
      </c>
      <c r="T435" s="4" t="str">
        <f>TEXT(Table15678[[#This Row],[Date]],"DDD")</f>
        <v>Wed</v>
      </c>
    </row>
    <row r="436" spans="1:20" ht="29" x14ac:dyDescent="0.35">
      <c r="A436" s="4">
        <v>435</v>
      </c>
      <c r="B436" s="5">
        <v>45280</v>
      </c>
      <c r="C436" s="4" t="s">
        <v>448</v>
      </c>
      <c r="D436" s="4" t="s">
        <v>13</v>
      </c>
      <c r="E436" s="4">
        <v>30</v>
      </c>
      <c r="F436" s="4" t="str">
        <f>IF(Table15678[[#This Row],[Age]]&lt;=19,"Teenager",IF(Table15678[[#This Row],[Age]]&lt;=40,"Median","Old"))</f>
        <v>Median</v>
      </c>
      <c r="G436" s="4" t="s">
        <v>11</v>
      </c>
      <c r="H436" s="4">
        <v>3</v>
      </c>
      <c r="I436" s="4">
        <v>300</v>
      </c>
      <c r="J436" s="4">
        <v>900</v>
      </c>
      <c r="K436" s="4" t="str" cm="1">
        <f t="array" ref="K436">_xlfn.IFS(AND(Table15678[[#This Row],[Total Amount]]&gt;=1500),"Critical",AND(Table15678[[#This Row],[Total Amount]]&gt;=1000),"High",TRUE,"Normal")</f>
        <v>Normal</v>
      </c>
      <c r="L436" s="4" t="str">
        <f>IF(Table15678[[#This Row],[Total Amount]]&gt;=1000,"High",(IF(Table15678[[#This Row],[Total Amount]]&gt;=500,"Medium","Low")))</f>
        <v>Medium</v>
      </c>
      <c r="M436" s="4" t="str" cm="1">
        <f t="array" ref="M43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36" s="4" cm="1">
        <f t="array" ref="N43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135</v>
      </c>
      <c r="O436" s="4">
        <f>Table15678[[#This Row],[Total Amount]]-Table15678[[#This Row],[Discount Amount]]</f>
        <v>765</v>
      </c>
      <c r="P436" s="4" t="str">
        <f>IF(Table15678[[#This Row],[Total Amount]]&gt;=1000,"High","Low")</f>
        <v>Low</v>
      </c>
      <c r="Q436" s="4" t="str" cm="1">
        <f t="array" ref="Q436">_xlfn.IFS(AND(Table15678[[#This Row],[Total Amount]]&gt;=1500,"Critical"),AND(Table15678[[#This Row],[Total Amount]]&gt;=1000,"High"),TRUE,"Normal")</f>
        <v>Normal</v>
      </c>
      <c r="R436" s="4" t="str">
        <f>CONCATENATE(Table15678[[#This Row],[Customer ID]], "-",Table15678[[#This Row],[Age]])</f>
        <v>CUST435-30</v>
      </c>
      <c r="S436" s="4" t="str">
        <f>TEXT(Table15678[[#This Row],[Date]],"mmm")</f>
        <v>Dec</v>
      </c>
      <c r="T436" s="4" t="str">
        <f>TEXT(Table15678[[#This Row],[Date]],"DDD")</f>
        <v>Wed</v>
      </c>
    </row>
    <row r="437" spans="1:20" ht="29" x14ac:dyDescent="0.35">
      <c r="A437" s="4">
        <v>436</v>
      </c>
      <c r="B437" s="5">
        <v>45003</v>
      </c>
      <c r="C437" s="4" t="s">
        <v>449</v>
      </c>
      <c r="D437" s="4" t="s">
        <v>13</v>
      </c>
      <c r="E437" s="4">
        <v>57</v>
      </c>
      <c r="F437" s="4" t="str">
        <f>IF(Table15678[[#This Row],[Age]]&lt;=19,"Teenager",IF(Table15678[[#This Row],[Age]]&lt;=40,"Median","Old"))</f>
        <v>Old</v>
      </c>
      <c r="G437" s="4" t="s">
        <v>14</v>
      </c>
      <c r="H437" s="4">
        <v>4</v>
      </c>
      <c r="I437" s="4">
        <v>30</v>
      </c>
      <c r="J437" s="4">
        <v>120</v>
      </c>
      <c r="K437" s="4" t="str" cm="1">
        <f t="array" ref="K437">_xlfn.IFS(AND(Table15678[[#This Row],[Total Amount]]&gt;=1500),"Critical",AND(Table15678[[#This Row],[Total Amount]]&gt;=1000),"High",TRUE,"Normal")</f>
        <v>Normal</v>
      </c>
      <c r="L437" s="4" t="str">
        <f>IF(Table15678[[#This Row],[Total Amount]]&gt;=1000,"High",(IF(Table15678[[#This Row],[Total Amount]]&gt;=500,"Medium","Low")))</f>
        <v>Low</v>
      </c>
      <c r="M437" s="4" t="str" cm="1">
        <f t="array" ref="M43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37" s="4" cm="1">
        <f t="array" ref="N43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</v>
      </c>
      <c r="O437" s="4">
        <f>Table15678[[#This Row],[Total Amount]]-Table15678[[#This Row],[Discount Amount]]</f>
        <v>96</v>
      </c>
      <c r="P437" s="4" t="str">
        <f>IF(Table15678[[#This Row],[Total Amount]]&gt;=1000,"High","Low")</f>
        <v>Low</v>
      </c>
      <c r="Q437" s="4" t="str" cm="1">
        <f t="array" ref="Q437">_xlfn.IFS(AND(Table15678[[#This Row],[Total Amount]]&gt;=1500,"Critical"),AND(Table15678[[#This Row],[Total Amount]]&gt;=1000,"High"),TRUE,"Normal")</f>
        <v>Normal</v>
      </c>
      <c r="R437" s="4" t="str">
        <f>CONCATENATE(Table15678[[#This Row],[Customer ID]], "-",Table15678[[#This Row],[Age]])</f>
        <v>CUST436-57</v>
      </c>
      <c r="S437" s="4" t="str">
        <f>TEXT(Table15678[[#This Row],[Date]],"mmm")</f>
        <v>Mar</v>
      </c>
      <c r="T437" s="4" t="str">
        <f>TEXT(Table15678[[#This Row],[Date]],"DDD")</f>
        <v>Sat</v>
      </c>
    </row>
    <row r="438" spans="1:20" ht="29" x14ac:dyDescent="0.35">
      <c r="A438" s="4">
        <v>437</v>
      </c>
      <c r="B438" s="5">
        <v>45206</v>
      </c>
      <c r="C438" s="4" t="s">
        <v>450</v>
      </c>
      <c r="D438" s="4" t="s">
        <v>13</v>
      </c>
      <c r="E438" s="4">
        <v>35</v>
      </c>
      <c r="F438" s="4" t="str">
        <f>IF(Table15678[[#This Row],[Age]]&lt;=19,"Teenager",IF(Table15678[[#This Row],[Age]]&lt;=40,"Median","Old"))</f>
        <v>Median</v>
      </c>
      <c r="G438" s="4" t="s">
        <v>16</v>
      </c>
      <c r="H438" s="4">
        <v>4</v>
      </c>
      <c r="I438" s="4">
        <v>300</v>
      </c>
      <c r="J438" s="4">
        <v>1200</v>
      </c>
      <c r="K438" s="4" t="str" cm="1">
        <f t="array" ref="K438">_xlfn.IFS(AND(Table15678[[#This Row],[Total Amount]]&gt;=1500),"Critical",AND(Table15678[[#This Row],[Total Amount]]&gt;=1000),"High",TRUE,"Normal")</f>
        <v>High</v>
      </c>
      <c r="L438" s="4" t="str">
        <f>IF(Table15678[[#This Row],[Total Amount]]&gt;=1000,"High",(IF(Table15678[[#This Row],[Total Amount]]&gt;=500,"Medium","Low")))</f>
        <v>High</v>
      </c>
      <c r="M438" s="4" t="str" cm="1">
        <f t="array" ref="M43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38" s="4" cm="1">
        <f t="array" ref="N43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240</v>
      </c>
      <c r="O438" s="4">
        <f>Table15678[[#This Row],[Total Amount]]-Table15678[[#This Row],[Discount Amount]]</f>
        <v>960</v>
      </c>
      <c r="P438" s="4" t="str">
        <f>IF(Table15678[[#This Row],[Total Amount]]&gt;=1000,"High","Low")</f>
        <v>High</v>
      </c>
      <c r="Q438" s="4" t="str" cm="1">
        <f t="array" ref="Q438">_xlfn.IFS(AND(Table15678[[#This Row],[Total Amount]]&gt;=1500,"Critical"),AND(Table15678[[#This Row],[Total Amount]]&gt;=1000,"High"),TRUE,"Normal")</f>
        <v>Normal</v>
      </c>
      <c r="R438" s="4" t="str">
        <f>CONCATENATE(Table15678[[#This Row],[Customer ID]], "-",Table15678[[#This Row],[Age]])</f>
        <v>CUST437-35</v>
      </c>
      <c r="S438" s="4" t="str">
        <f>TEXT(Table15678[[#This Row],[Date]],"mmm")</f>
        <v>Oct</v>
      </c>
      <c r="T438" s="4" t="str">
        <f>TEXT(Table15678[[#This Row],[Date]],"DDD")</f>
        <v>Sat</v>
      </c>
    </row>
    <row r="439" spans="1:20" ht="29" x14ac:dyDescent="0.35">
      <c r="A439" s="4">
        <v>438</v>
      </c>
      <c r="B439" s="5">
        <v>44945</v>
      </c>
      <c r="C439" s="4" t="s">
        <v>451</v>
      </c>
      <c r="D439" s="4" t="s">
        <v>13</v>
      </c>
      <c r="E439" s="4">
        <v>42</v>
      </c>
      <c r="F439" s="4" t="str">
        <f>IF(Table15678[[#This Row],[Age]]&lt;=19,"Teenager",IF(Table15678[[#This Row],[Age]]&lt;=40,"Median","Old"))</f>
        <v>Old</v>
      </c>
      <c r="G439" s="4" t="s">
        <v>14</v>
      </c>
      <c r="H439" s="4">
        <v>1</v>
      </c>
      <c r="I439" s="4">
        <v>30</v>
      </c>
      <c r="J439" s="4">
        <v>30</v>
      </c>
      <c r="K439" s="4" t="str" cm="1">
        <f t="array" ref="K439">_xlfn.IFS(AND(Table15678[[#This Row],[Total Amount]]&gt;=1500),"Critical",AND(Table15678[[#This Row],[Total Amount]]&gt;=1000),"High",TRUE,"Normal")</f>
        <v>Normal</v>
      </c>
      <c r="L439" s="4" t="str">
        <f>IF(Table15678[[#This Row],[Total Amount]]&gt;=1000,"High",(IF(Table15678[[#This Row],[Total Amount]]&gt;=500,"Medium","Low")))</f>
        <v>Low</v>
      </c>
      <c r="M439" s="4" t="str" cm="1">
        <f t="array" ref="M43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39" s="4" cm="1">
        <f t="array" ref="N43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439" s="4">
        <f>Table15678[[#This Row],[Total Amount]]-Table15678[[#This Row],[Discount Amount]]</f>
        <v>24</v>
      </c>
      <c r="P439" s="4" t="str">
        <f>IF(Table15678[[#This Row],[Total Amount]]&gt;=1000,"High","Low")</f>
        <v>Low</v>
      </c>
      <c r="Q439" s="4" t="str" cm="1">
        <f t="array" ref="Q439">_xlfn.IFS(AND(Table15678[[#This Row],[Total Amount]]&gt;=1500,"Critical"),AND(Table15678[[#This Row],[Total Amount]]&gt;=1000,"High"),TRUE,"Normal")</f>
        <v>Normal</v>
      </c>
      <c r="R439" s="4" t="str">
        <f>CONCATENATE(Table15678[[#This Row],[Customer ID]], "-",Table15678[[#This Row],[Age]])</f>
        <v>CUST438-42</v>
      </c>
      <c r="S439" s="4" t="str">
        <f>TEXT(Table15678[[#This Row],[Date]],"mmm")</f>
        <v>Jan</v>
      </c>
      <c r="T439" s="4" t="str">
        <f>TEXT(Table15678[[#This Row],[Date]],"DDD")</f>
        <v>Thu</v>
      </c>
    </row>
    <row r="440" spans="1:20" ht="29" x14ac:dyDescent="0.35">
      <c r="A440" s="4">
        <v>439</v>
      </c>
      <c r="B440" s="5">
        <v>45116</v>
      </c>
      <c r="C440" s="4" t="s">
        <v>452</v>
      </c>
      <c r="D440" s="4" t="s">
        <v>10</v>
      </c>
      <c r="E440" s="4">
        <v>50</v>
      </c>
      <c r="F440" s="4" t="str">
        <f>IF(Table15678[[#This Row],[Age]]&lt;=19,"Teenager",IF(Table15678[[#This Row],[Age]]&lt;=40,"Median","Old"))</f>
        <v>Old</v>
      </c>
      <c r="G440" s="4" t="s">
        <v>14</v>
      </c>
      <c r="H440" s="4">
        <v>3</v>
      </c>
      <c r="I440" s="4">
        <v>25</v>
      </c>
      <c r="J440" s="4">
        <v>75</v>
      </c>
      <c r="K440" s="4" t="str" cm="1">
        <f t="array" ref="K440">_xlfn.IFS(AND(Table15678[[#This Row],[Total Amount]]&gt;=1500),"Critical",AND(Table15678[[#This Row],[Total Amount]]&gt;=1000),"High",TRUE,"Normal")</f>
        <v>Normal</v>
      </c>
      <c r="L440" s="4" t="str">
        <f>IF(Table15678[[#This Row],[Total Amount]]&gt;=1000,"High",(IF(Table15678[[#This Row],[Total Amount]]&gt;=500,"Medium","Low")))</f>
        <v>Low</v>
      </c>
      <c r="M440" s="4" t="str" cm="1">
        <f t="array" ref="M44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40" s="4" cm="1">
        <f t="array" ref="N44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440" s="4">
        <f>Table15678[[#This Row],[Total Amount]]-Table15678[[#This Row],[Discount Amount]]</f>
        <v>67.5</v>
      </c>
      <c r="P440" s="4" t="str">
        <f>IF(Table15678[[#This Row],[Total Amount]]&gt;=1000,"High","Low")</f>
        <v>Low</v>
      </c>
      <c r="Q440" s="4" t="str" cm="1">
        <f t="array" ref="Q440">_xlfn.IFS(AND(Table15678[[#This Row],[Total Amount]]&gt;=1500,"Critical"),AND(Table15678[[#This Row],[Total Amount]]&gt;=1000,"High"),TRUE,"Normal")</f>
        <v>Normal</v>
      </c>
      <c r="R440" s="4" t="str">
        <f>CONCATENATE(Table15678[[#This Row],[Customer ID]], "-",Table15678[[#This Row],[Age]])</f>
        <v>CUST439-50</v>
      </c>
      <c r="S440" s="4" t="str">
        <f>TEXT(Table15678[[#This Row],[Date]],"mmm")</f>
        <v>Jul</v>
      </c>
      <c r="T440" s="4" t="str">
        <f>TEXT(Table15678[[#This Row],[Date]],"DDD")</f>
        <v>Sun</v>
      </c>
    </row>
    <row r="441" spans="1:20" ht="29" x14ac:dyDescent="0.35">
      <c r="A441" s="4">
        <v>440</v>
      </c>
      <c r="B441" s="5">
        <v>45225</v>
      </c>
      <c r="C441" s="4" t="s">
        <v>453</v>
      </c>
      <c r="D441" s="4" t="s">
        <v>10</v>
      </c>
      <c r="E441" s="4">
        <v>64</v>
      </c>
      <c r="F441" s="4" t="str">
        <f>IF(Table15678[[#This Row],[Age]]&lt;=19,"Teenager",IF(Table15678[[#This Row],[Age]]&lt;=40,"Median","Old"))</f>
        <v>Old</v>
      </c>
      <c r="G441" s="4" t="s">
        <v>14</v>
      </c>
      <c r="H441" s="4">
        <v>2</v>
      </c>
      <c r="I441" s="4">
        <v>300</v>
      </c>
      <c r="J441" s="4">
        <v>600</v>
      </c>
      <c r="K441" s="4" t="str" cm="1">
        <f t="array" ref="K441">_xlfn.IFS(AND(Table15678[[#This Row],[Total Amount]]&gt;=1500),"Critical",AND(Table15678[[#This Row],[Total Amount]]&gt;=1000),"High",TRUE,"Normal")</f>
        <v>Normal</v>
      </c>
      <c r="L441" s="4" t="str">
        <f>IF(Table15678[[#This Row],[Total Amount]]&gt;=1000,"High",(IF(Table15678[[#This Row],[Total Amount]]&gt;=500,"Medium","Low")))</f>
        <v>Medium</v>
      </c>
      <c r="M441" s="4" t="str" cm="1">
        <f t="array" ref="M44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41" s="4" cm="1">
        <f t="array" ref="N44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441" s="4">
        <f>Table15678[[#This Row],[Total Amount]]-Table15678[[#This Row],[Discount Amount]]</f>
        <v>540</v>
      </c>
      <c r="P441" s="4" t="str">
        <f>IF(Table15678[[#This Row],[Total Amount]]&gt;=1000,"High","Low")</f>
        <v>Low</v>
      </c>
      <c r="Q441" s="4" t="str" cm="1">
        <f t="array" ref="Q441">_xlfn.IFS(AND(Table15678[[#This Row],[Total Amount]]&gt;=1500,"Critical"),AND(Table15678[[#This Row],[Total Amount]]&gt;=1000,"High"),TRUE,"Normal")</f>
        <v>Normal</v>
      </c>
      <c r="R441" s="4" t="str">
        <f>CONCATENATE(Table15678[[#This Row],[Customer ID]], "-",Table15678[[#This Row],[Age]])</f>
        <v>CUST440-64</v>
      </c>
      <c r="S441" s="4" t="str">
        <f>TEXT(Table15678[[#This Row],[Date]],"mmm")</f>
        <v>Oct</v>
      </c>
      <c r="T441" s="4" t="str">
        <f>TEXT(Table15678[[#This Row],[Date]],"DDD")</f>
        <v>Thu</v>
      </c>
    </row>
    <row r="442" spans="1:20" ht="29" x14ac:dyDescent="0.35">
      <c r="A442" s="4">
        <v>441</v>
      </c>
      <c r="B442" s="5">
        <v>45209</v>
      </c>
      <c r="C442" s="4" t="s">
        <v>454</v>
      </c>
      <c r="D442" s="4" t="s">
        <v>10</v>
      </c>
      <c r="E442" s="4">
        <v>57</v>
      </c>
      <c r="F442" s="4" t="str">
        <f>IF(Table15678[[#This Row],[Age]]&lt;=19,"Teenager",IF(Table15678[[#This Row],[Age]]&lt;=40,"Median","Old"))</f>
        <v>Old</v>
      </c>
      <c r="G442" s="4" t="s">
        <v>11</v>
      </c>
      <c r="H442" s="4">
        <v>4</v>
      </c>
      <c r="I442" s="4">
        <v>300</v>
      </c>
      <c r="J442" s="4">
        <v>1200</v>
      </c>
      <c r="K442" s="4" t="str" cm="1">
        <f t="array" ref="K442">_xlfn.IFS(AND(Table15678[[#This Row],[Total Amount]]&gt;=1500),"Critical",AND(Table15678[[#This Row],[Total Amount]]&gt;=1000),"High",TRUE,"Normal")</f>
        <v>High</v>
      </c>
      <c r="L442" s="4" t="str">
        <f>IF(Table15678[[#This Row],[Total Amount]]&gt;=1000,"High",(IF(Table15678[[#This Row],[Total Amount]]&gt;=500,"Medium","Low")))</f>
        <v>High</v>
      </c>
      <c r="M442" s="4" t="str" cm="1">
        <f t="array" ref="M44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42" s="4" cm="1">
        <f t="array" ref="N44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120</v>
      </c>
      <c r="O442" s="4">
        <f>Table15678[[#This Row],[Total Amount]]-Table15678[[#This Row],[Discount Amount]]</f>
        <v>1080</v>
      </c>
      <c r="P442" s="4" t="str">
        <f>IF(Table15678[[#This Row],[Total Amount]]&gt;=1000,"High","Low")</f>
        <v>High</v>
      </c>
      <c r="Q442" s="4" t="str" cm="1">
        <f t="array" ref="Q442">_xlfn.IFS(AND(Table15678[[#This Row],[Total Amount]]&gt;=1500,"Critical"),AND(Table15678[[#This Row],[Total Amount]]&gt;=1000,"High"),TRUE,"Normal")</f>
        <v>Normal</v>
      </c>
      <c r="R442" s="4" t="str">
        <f>CONCATENATE(Table15678[[#This Row],[Customer ID]], "-",Table15678[[#This Row],[Age]])</f>
        <v>CUST441-57</v>
      </c>
      <c r="S442" s="4" t="str">
        <f>TEXT(Table15678[[#This Row],[Date]],"mmm")</f>
        <v>Oct</v>
      </c>
      <c r="T442" s="4" t="str">
        <f>TEXT(Table15678[[#This Row],[Date]],"DDD")</f>
        <v>Tue</v>
      </c>
    </row>
    <row r="443" spans="1:20" ht="29" x14ac:dyDescent="0.35">
      <c r="A443" s="4">
        <v>442</v>
      </c>
      <c r="B443" s="5">
        <v>45002</v>
      </c>
      <c r="C443" s="4" t="s">
        <v>455</v>
      </c>
      <c r="D443" s="4" t="s">
        <v>13</v>
      </c>
      <c r="E443" s="4">
        <v>60</v>
      </c>
      <c r="F443" s="4" t="str">
        <f>IF(Table15678[[#This Row],[Age]]&lt;=19,"Teenager",IF(Table15678[[#This Row],[Age]]&lt;=40,"Median","Old"))</f>
        <v>Old</v>
      </c>
      <c r="G443" s="4" t="s">
        <v>14</v>
      </c>
      <c r="H443" s="4">
        <v>4</v>
      </c>
      <c r="I443" s="4">
        <v>25</v>
      </c>
      <c r="J443" s="4">
        <v>100</v>
      </c>
      <c r="K443" s="4" t="str" cm="1">
        <f t="array" ref="K443">_xlfn.IFS(AND(Table15678[[#This Row],[Total Amount]]&gt;=1500),"Critical",AND(Table15678[[#This Row],[Total Amount]]&gt;=1000),"High",TRUE,"Normal")</f>
        <v>Normal</v>
      </c>
      <c r="L443" s="4" t="str">
        <f>IF(Table15678[[#This Row],[Total Amount]]&gt;=1000,"High",(IF(Table15678[[#This Row],[Total Amount]]&gt;=500,"Medium","Low")))</f>
        <v>Low</v>
      </c>
      <c r="M443" s="4" t="str" cm="1">
        <f t="array" ref="M44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43" s="4" cm="1">
        <f t="array" ref="N44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443" s="4">
        <f>Table15678[[#This Row],[Total Amount]]-Table15678[[#This Row],[Discount Amount]]</f>
        <v>80</v>
      </c>
      <c r="P443" s="4" t="str">
        <f>IF(Table15678[[#This Row],[Total Amount]]&gt;=1000,"High","Low")</f>
        <v>Low</v>
      </c>
      <c r="Q443" s="4" t="str" cm="1">
        <f t="array" ref="Q443">_xlfn.IFS(AND(Table15678[[#This Row],[Total Amount]]&gt;=1500,"Critical"),AND(Table15678[[#This Row],[Total Amount]]&gt;=1000,"High"),TRUE,"Normal")</f>
        <v>Normal</v>
      </c>
      <c r="R443" s="4" t="str">
        <f>CONCATENATE(Table15678[[#This Row],[Customer ID]], "-",Table15678[[#This Row],[Age]])</f>
        <v>CUST442-60</v>
      </c>
      <c r="S443" s="4" t="str">
        <f>TEXT(Table15678[[#This Row],[Date]],"mmm")</f>
        <v>Mar</v>
      </c>
      <c r="T443" s="4" t="str">
        <f>TEXT(Table15678[[#This Row],[Date]],"DDD")</f>
        <v>Fri</v>
      </c>
    </row>
    <row r="444" spans="1:20" ht="29" x14ac:dyDescent="0.35">
      <c r="A444" s="4">
        <v>443</v>
      </c>
      <c r="B444" s="5">
        <v>45147</v>
      </c>
      <c r="C444" s="4" t="s">
        <v>456</v>
      </c>
      <c r="D444" s="4" t="s">
        <v>10</v>
      </c>
      <c r="E444" s="4">
        <v>29</v>
      </c>
      <c r="F444" s="4" t="str">
        <f>IF(Table15678[[#This Row],[Age]]&lt;=19,"Teenager",IF(Table15678[[#This Row],[Age]]&lt;=40,"Median","Old"))</f>
        <v>Median</v>
      </c>
      <c r="G444" s="4" t="s">
        <v>14</v>
      </c>
      <c r="H444" s="4">
        <v>2</v>
      </c>
      <c r="I444" s="4">
        <v>300</v>
      </c>
      <c r="J444" s="4">
        <v>600</v>
      </c>
      <c r="K444" s="4" t="str" cm="1">
        <f t="array" ref="K444">_xlfn.IFS(AND(Table15678[[#This Row],[Total Amount]]&gt;=1500),"Critical",AND(Table15678[[#This Row],[Total Amount]]&gt;=1000),"High",TRUE,"Normal")</f>
        <v>Normal</v>
      </c>
      <c r="L444" s="4" t="str">
        <f>IF(Table15678[[#This Row],[Total Amount]]&gt;=1000,"High",(IF(Table15678[[#This Row],[Total Amount]]&gt;=500,"Medium","Low")))</f>
        <v>Medium</v>
      </c>
      <c r="M444" s="4" t="str" cm="1">
        <f t="array" ref="M44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44" s="4" cm="1">
        <f t="array" ref="N44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444" s="4">
        <f>Table15678[[#This Row],[Total Amount]]-Table15678[[#This Row],[Discount Amount]]</f>
        <v>510</v>
      </c>
      <c r="P444" s="4" t="str">
        <f>IF(Table15678[[#This Row],[Total Amount]]&gt;=1000,"High","Low")</f>
        <v>Low</v>
      </c>
      <c r="Q444" s="4" t="str" cm="1">
        <f t="array" ref="Q444">_xlfn.IFS(AND(Table15678[[#This Row],[Total Amount]]&gt;=1500,"Critical"),AND(Table15678[[#This Row],[Total Amount]]&gt;=1000,"High"),TRUE,"Normal")</f>
        <v>Normal</v>
      </c>
      <c r="R444" s="4" t="str">
        <f>CONCATENATE(Table15678[[#This Row],[Customer ID]], "-",Table15678[[#This Row],[Age]])</f>
        <v>CUST443-29</v>
      </c>
      <c r="S444" s="4" t="str">
        <f>TEXT(Table15678[[#This Row],[Date]],"mmm")</f>
        <v>Aug</v>
      </c>
      <c r="T444" s="4" t="str">
        <f>TEXT(Table15678[[#This Row],[Date]],"DDD")</f>
        <v>Wed</v>
      </c>
    </row>
    <row r="445" spans="1:20" ht="29" x14ac:dyDescent="0.35">
      <c r="A445" s="4">
        <v>444</v>
      </c>
      <c r="B445" s="5">
        <v>44992</v>
      </c>
      <c r="C445" s="4" t="s">
        <v>457</v>
      </c>
      <c r="D445" s="4" t="s">
        <v>13</v>
      </c>
      <c r="E445" s="4">
        <v>61</v>
      </c>
      <c r="F445" s="4" t="str">
        <f>IF(Table15678[[#This Row],[Age]]&lt;=19,"Teenager",IF(Table15678[[#This Row],[Age]]&lt;=40,"Median","Old"))</f>
        <v>Old</v>
      </c>
      <c r="G445" s="4" t="s">
        <v>14</v>
      </c>
      <c r="H445" s="4">
        <v>3</v>
      </c>
      <c r="I445" s="4">
        <v>30</v>
      </c>
      <c r="J445" s="4">
        <v>90</v>
      </c>
      <c r="K445" s="4" t="str" cm="1">
        <f t="array" ref="K445">_xlfn.IFS(AND(Table15678[[#This Row],[Total Amount]]&gt;=1500),"Critical",AND(Table15678[[#This Row],[Total Amount]]&gt;=1000),"High",TRUE,"Normal")</f>
        <v>Normal</v>
      </c>
      <c r="L445" s="4" t="str">
        <f>IF(Table15678[[#This Row],[Total Amount]]&gt;=1000,"High",(IF(Table15678[[#This Row],[Total Amount]]&gt;=500,"Medium","Low")))</f>
        <v>Low</v>
      </c>
      <c r="M445" s="4" t="str" cm="1">
        <f t="array" ref="M44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45" s="4" cm="1">
        <f t="array" ref="N44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</v>
      </c>
      <c r="O445" s="4">
        <f>Table15678[[#This Row],[Total Amount]]-Table15678[[#This Row],[Discount Amount]]</f>
        <v>72</v>
      </c>
      <c r="P445" s="4" t="str">
        <f>IF(Table15678[[#This Row],[Total Amount]]&gt;=1000,"High","Low")</f>
        <v>Low</v>
      </c>
      <c r="Q445" s="4" t="str" cm="1">
        <f t="array" ref="Q445">_xlfn.IFS(AND(Table15678[[#This Row],[Total Amount]]&gt;=1500,"Critical"),AND(Table15678[[#This Row],[Total Amount]]&gt;=1000,"High"),TRUE,"Normal")</f>
        <v>Normal</v>
      </c>
      <c r="R445" s="4" t="str">
        <f>CONCATENATE(Table15678[[#This Row],[Customer ID]], "-",Table15678[[#This Row],[Age]])</f>
        <v>CUST444-61</v>
      </c>
      <c r="S445" s="4" t="str">
        <f>TEXT(Table15678[[#This Row],[Date]],"mmm")</f>
        <v>Mar</v>
      </c>
      <c r="T445" s="4" t="str">
        <f>TEXT(Table15678[[#This Row],[Date]],"DDD")</f>
        <v>Tue</v>
      </c>
    </row>
    <row r="446" spans="1:20" ht="29" x14ac:dyDescent="0.35">
      <c r="A446" s="4">
        <v>445</v>
      </c>
      <c r="B446" s="5">
        <v>44948</v>
      </c>
      <c r="C446" s="4" t="s">
        <v>458</v>
      </c>
      <c r="D446" s="4" t="s">
        <v>13</v>
      </c>
      <c r="E446" s="4">
        <v>53</v>
      </c>
      <c r="F446" s="4" t="str">
        <f>IF(Table15678[[#This Row],[Age]]&lt;=19,"Teenager",IF(Table15678[[#This Row],[Age]]&lt;=40,"Median","Old"))</f>
        <v>Old</v>
      </c>
      <c r="G446" s="4" t="s">
        <v>16</v>
      </c>
      <c r="H446" s="4">
        <v>1</v>
      </c>
      <c r="I446" s="4">
        <v>300</v>
      </c>
      <c r="J446" s="4">
        <v>300</v>
      </c>
      <c r="K446" s="4" t="str" cm="1">
        <f t="array" ref="K446">_xlfn.IFS(AND(Table15678[[#This Row],[Total Amount]]&gt;=1500),"Critical",AND(Table15678[[#This Row],[Total Amount]]&gt;=1000),"High",TRUE,"Normal")</f>
        <v>Normal</v>
      </c>
      <c r="L446" s="4" t="str">
        <f>IF(Table15678[[#This Row],[Total Amount]]&gt;=1000,"High",(IF(Table15678[[#This Row],[Total Amount]]&gt;=500,"Medium","Low")))</f>
        <v>Low</v>
      </c>
      <c r="M446" s="4" t="str" cm="1">
        <f t="array" ref="M44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46" s="4" cm="1">
        <f t="array" ref="N44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446" s="4">
        <f>Table15678[[#This Row],[Total Amount]]-Table15678[[#This Row],[Discount Amount]]</f>
        <v>240</v>
      </c>
      <c r="P446" s="4" t="str">
        <f>IF(Table15678[[#This Row],[Total Amount]]&gt;=1000,"High","Low")</f>
        <v>Low</v>
      </c>
      <c r="Q446" s="4" t="str" cm="1">
        <f t="array" ref="Q446">_xlfn.IFS(AND(Table15678[[#This Row],[Total Amount]]&gt;=1500,"Critical"),AND(Table15678[[#This Row],[Total Amount]]&gt;=1000,"High"),TRUE,"Normal")</f>
        <v>Normal</v>
      </c>
      <c r="R446" s="4" t="str">
        <f>CONCATENATE(Table15678[[#This Row],[Customer ID]], "-",Table15678[[#This Row],[Age]])</f>
        <v>CUST445-53</v>
      </c>
      <c r="S446" s="4" t="str">
        <f>TEXT(Table15678[[#This Row],[Date]],"mmm")</f>
        <v>Jan</v>
      </c>
      <c r="T446" s="4" t="str">
        <f>TEXT(Table15678[[#This Row],[Date]],"DDD")</f>
        <v>Sun</v>
      </c>
    </row>
    <row r="447" spans="1:20" ht="29" x14ac:dyDescent="0.35">
      <c r="A447" s="4">
        <v>446</v>
      </c>
      <c r="B447" s="5">
        <v>45084</v>
      </c>
      <c r="C447" s="4" t="s">
        <v>459</v>
      </c>
      <c r="D447" s="4" t="s">
        <v>10</v>
      </c>
      <c r="E447" s="4">
        <v>21</v>
      </c>
      <c r="F447" s="4" t="str">
        <f>IF(Table15678[[#This Row],[Age]]&lt;=19,"Teenager",IF(Table15678[[#This Row],[Age]]&lt;=40,"Median","Old"))</f>
        <v>Median</v>
      </c>
      <c r="G447" s="4" t="s">
        <v>16</v>
      </c>
      <c r="H447" s="4">
        <v>1</v>
      </c>
      <c r="I447" s="4">
        <v>50</v>
      </c>
      <c r="J447" s="4">
        <v>50</v>
      </c>
      <c r="K447" s="4" t="str" cm="1">
        <f t="array" ref="K447">_xlfn.IFS(AND(Table15678[[#This Row],[Total Amount]]&gt;=1500),"Critical",AND(Table15678[[#This Row],[Total Amount]]&gt;=1000),"High",TRUE,"Normal")</f>
        <v>Normal</v>
      </c>
      <c r="L447" s="4" t="str">
        <f>IF(Table15678[[#This Row],[Total Amount]]&gt;=1000,"High",(IF(Table15678[[#This Row],[Total Amount]]&gt;=500,"Medium","Low")))</f>
        <v>Low</v>
      </c>
      <c r="M447" s="4" t="str" cm="1">
        <f t="array" ref="M44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447" s="4" cm="1">
        <f t="array" ref="N44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447" s="4">
        <f>Table15678[[#This Row],[Total Amount]]-Table15678[[#This Row],[Discount Amount]]</f>
        <v>50</v>
      </c>
      <c r="P447" s="4" t="str">
        <f>IF(Table15678[[#This Row],[Total Amount]]&gt;=1000,"High","Low")</f>
        <v>Low</v>
      </c>
      <c r="Q447" s="4" t="str" cm="1">
        <f t="array" ref="Q447">_xlfn.IFS(AND(Table15678[[#This Row],[Total Amount]]&gt;=1500,"Critical"),AND(Table15678[[#This Row],[Total Amount]]&gt;=1000,"High"),TRUE,"Normal")</f>
        <v>Normal</v>
      </c>
      <c r="R447" s="4" t="str">
        <f>CONCATENATE(Table15678[[#This Row],[Customer ID]], "-",Table15678[[#This Row],[Age]])</f>
        <v>CUST446-21</v>
      </c>
      <c r="S447" s="4" t="str">
        <f>TEXT(Table15678[[#This Row],[Date]],"mmm")</f>
        <v>Jun</v>
      </c>
      <c r="T447" s="4" t="str">
        <f>TEXT(Table15678[[#This Row],[Date]],"DDD")</f>
        <v>Wed</v>
      </c>
    </row>
    <row r="448" spans="1:20" ht="29" x14ac:dyDescent="0.35">
      <c r="A448" s="4">
        <v>447</v>
      </c>
      <c r="B448" s="5">
        <v>45113</v>
      </c>
      <c r="C448" s="4" t="s">
        <v>460</v>
      </c>
      <c r="D448" s="4" t="s">
        <v>10</v>
      </c>
      <c r="E448" s="4">
        <v>22</v>
      </c>
      <c r="F448" s="4" t="str">
        <f>IF(Table15678[[#This Row],[Age]]&lt;=19,"Teenager",IF(Table15678[[#This Row],[Age]]&lt;=40,"Median","Old"))</f>
        <v>Median</v>
      </c>
      <c r="G448" s="4" t="s">
        <v>11</v>
      </c>
      <c r="H448" s="4">
        <v>4</v>
      </c>
      <c r="I448" s="4">
        <v>500</v>
      </c>
      <c r="J448" s="4">
        <v>2000</v>
      </c>
      <c r="K448" s="4" t="str" cm="1">
        <f t="array" ref="K448">_xlfn.IFS(AND(Table15678[[#This Row],[Total Amount]]&gt;=1500),"Critical",AND(Table15678[[#This Row],[Total Amount]]&gt;=1000),"High",TRUE,"Normal")</f>
        <v>Critical</v>
      </c>
      <c r="L448" s="4" t="str">
        <f>IF(Table15678[[#This Row],[Total Amount]]&gt;=1000,"High",(IF(Table15678[[#This Row],[Total Amount]]&gt;=500,"Medium","Low")))</f>
        <v>High</v>
      </c>
      <c r="M448" s="4" t="str" cm="1">
        <f t="array" ref="M44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448" s="4" cm="1">
        <f t="array" ref="N44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448" s="4">
        <f>Table15678[[#This Row],[Total Amount]]-Table15678[[#This Row],[Discount Amount]]</f>
        <v>2000</v>
      </c>
      <c r="P448" s="4" t="str">
        <f>IF(Table15678[[#This Row],[Total Amount]]&gt;=1000,"High","Low")</f>
        <v>High</v>
      </c>
      <c r="Q448" s="4" t="b" cm="1">
        <f t="array" ref="Q448">_xlfn.IFS(AND(Table15678[[#This Row],[Total Amount]]&gt;=1500,"Critical"),AND(Table15678[[#This Row],[Total Amount]]&gt;=1000,"High"),TRUE,"Normal")</f>
        <v>1</v>
      </c>
      <c r="R448" s="4" t="str">
        <f>CONCATENATE(Table15678[[#This Row],[Customer ID]], "-",Table15678[[#This Row],[Age]])</f>
        <v>CUST447-22</v>
      </c>
      <c r="S448" s="4" t="str">
        <f>TEXT(Table15678[[#This Row],[Date]],"mmm")</f>
        <v>Jul</v>
      </c>
      <c r="T448" s="4" t="str">
        <f>TEXT(Table15678[[#This Row],[Date]],"DDD")</f>
        <v>Thu</v>
      </c>
    </row>
    <row r="449" spans="1:20" ht="29" x14ac:dyDescent="0.35">
      <c r="A449" s="4">
        <v>448</v>
      </c>
      <c r="B449" s="5">
        <v>44947</v>
      </c>
      <c r="C449" s="4" t="s">
        <v>461</v>
      </c>
      <c r="D449" s="4" t="s">
        <v>13</v>
      </c>
      <c r="E449" s="4">
        <v>54</v>
      </c>
      <c r="F449" s="4" t="str">
        <f>IF(Table15678[[#This Row],[Age]]&lt;=19,"Teenager",IF(Table15678[[#This Row],[Age]]&lt;=40,"Median","Old"))</f>
        <v>Old</v>
      </c>
      <c r="G449" s="4" t="s">
        <v>11</v>
      </c>
      <c r="H449" s="4">
        <v>2</v>
      </c>
      <c r="I449" s="4">
        <v>30</v>
      </c>
      <c r="J449" s="4">
        <v>60</v>
      </c>
      <c r="K449" s="4" t="str" cm="1">
        <f t="array" ref="K449">_xlfn.IFS(AND(Table15678[[#This Row],[Total Amount]]&gt;=1500),"Critical",AND(Table15678[[#This Row],[Total Amount]]&gt;=1000),"High",TRUE,"Normal")</f>
        <v>Normal</v>
      </c>
      <c r="L449" s="4" t="str">
        <f>IF(Table15678[[#This Row],[Total Amount]]&gt;=1000,"High",(IF(Table15678[[#This Row],[Total Amount]]&gt;=500,"Medium","Low")))</f>
        <v>Low</v>
      </c>
      <c r="M449" s="4" t="str" cm="1">
        <f t="array" ref="M44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49" s="4" cm="1">
        <f t="array" ref="N44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449" s="4">
        <f>Table15678[[#This Row],[Total Amount]]-Table15678[[#This Row],[Discount Amount]]</f>
        <v>48</v>
      </c>
      <c r="P449" s="4" t="str">
        <f>IF(Table15678[[#This Row],[Total Amount]]&gt;=1000,"High","Low")</f>
        <v>Low</v>
      </c>
      <c r="Q449" s="4" t="str" cm="1">
        <f t="array" ref="Q449">_xlfn.IFS(AND(Table15678[[#This Row],[Total Amount]]&gt;=1500,"Critical"),AND(Table15678[[#This Row],[Total Amount]]&gt;=1000,"High"),TRUE,"Normal")</f>
        <v>Normal</v>
      </c>
      <c r="R449" s="4" t="str">
        <f>CONCATENATE(Table15678[[#This Row],[Customer ID]], "-",Table15678[[#This Row],[Age]])</f>
        <v>CUST448-54</v>
      </c>
      <c r="S449" s="4" t="str">
        <f>TEXT(Table15678[[#This Row],[Date]],"mmm")</f>
        <v>Jan</v>
      </c>
      <c r="T449" s="4" t="str">
        <f>TEXT(Table15678[[#This Row],[Date]],"DDD")</f>
        <v>Sat</v>
      </c>
    </row>
    <row r="450" spans="1:20" ht="29" x14ac:dyDescent="0.35">
      <c r="A450" s="4">
        <v>449</v>
      </c>
      <c r="B450" s="5">
        <v>45110</v>
      </c>
      <c r="C450" s="4" t="s">
        <v>462</v>
      </c>
      <c r="D450" s="4" t="s">
        <v>10</v>
      </c>
      <c r="E450" s="4">
        <v>25</v>
      </c>
      <c r="F450" s="4" t="str">
        <f>IF(Table15678[[#This Row],[Age]]&lt;=19,"Teenager",IF(Table15678[[#This Row],[Age]]&lt;=40,"Median","Old"))</f>
        <v>Median</v>
      </c>
      <c r="G450" s="4" t="s">
        <v>16</v>
      </c>
      <c r="H450" s="4">
        <v>4</v>
      </c>
      <c r="I450" s="4">
        <v>50</v>
      </c>
      <c r="J450" s="4">
        <v>200</v>
      </c>
      <c r="K450" s="4" t="str" cm="1">
        <f t="array" ref="K450">_xlfn.IFS(AND(Table15678[[#This Row],[Total Amount]]&gt;=1500),"Critical",AND(Table15678[[#This Row],[Total Amount]]&gt;=1000),"High",TRUE,"Normal")</f>
        <v>Normal</v>
      </c>
      <c r="L450" s="4" t="str">
        <f>IF(Table15678[[#This Row],[Total Amount]]&gt;=1000,"High",(IF(Table15678[[#This Row],[Total Amount]]&gt;=500,"Medium","Low")))</f>
        <v>Low</v>
      </c>
      <c r="M450" s="4" t="str" cm="1">
        <f t="array" ref="M45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50" s="4" cm="1">
        <f t="array" ref="N45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450" s="4">
        <f>Table15678[[#This Row],[Total Amount]]-Table15678[[#This Row],[Discount Amount]]</f>
        <v>170</v>
      </c>
      <c r="P450" s="4" t="str">
        <f>IF(Table15678[[#This Row],[Total Amount]]&gt;=1000,"High","Low")</f>
        <v>Low</v>
      </c>
      <c r="Q450" s="4" t="str" cm="1">
        <f t="array" ref="Q450">_xlfn.IFS(AND(Table15678[[#This Row],[Total Amount]]&gt;=1500,"Critical"),AND(Table15678[[#This Row],[Total Amount]]&gt;=1000,"High"),TRUE,"Normal")</f>
        <v>Normal</v>
      </c>
      <c r="R450" s="4" t="str">
        <f>CONCATENATE(Table15678[[#This Row],[Customer ID]], "-",Table15678[[#This Row],[Age]])</f>
        <v>CUST449-25</v>
      </c>
      <c r="S450" s="4" t="str">
        <f>TEXT(Table15678[[#This Row],[Date]],"mmm")</f>
        <v>Jul</v>
      </c>
      <c r="T450" s="4" t="str">
        <f>TEXT(Table15678[[#This Row],[Date]],"DDD")</f>
        <v>Mon</v>
      </c>
    </row>
    <row r="451" spans="1:20" ht="29" x14ac:dyDescent="0.35">
      <c r="A451" s="4">
        <v>450</v>
      </c>
      <c r="B451" s="5">
        <v>45034</v>
      </c>
      <c r="C451" s="4" t="s">
        <v>463</v>
      </c>
      <c r="D451" s="4" t="s">
        <v>13</v>
      </c>
      <c r="E451" s="4">
        <v>59</v>
      </c>
      <c r="F451" s="4" t="str">
        <f>IF(Table15678[[#This Row],[Age]]&lt;=19,"Teenager",IF(Table15678[[#This Row],[Age]]&lt;=40,"Median","Old"))</f>
        <v>Old</v>
      </c>
      <c r="G451" s="4" t="s">
        <v>11</v>
      </c>
      <c r="H451" s="4">
        <v>2</v>
      </c>
      <c r="I451" s="4">
        <v>25</v>
      </c>
      <c r="J451" s="4">
        <v>50</v>
      </c>
      <c r="K451" s="4" t="str" cm="1">
        <f t="array" ref="K451">_xlfn.IFS(AND(Table15678[[#This Row],[Total Amount]]&gt;=1500),"Critical",AND(Table15678[[#This Row],[Total Amount]]&gt;=1000),"High",TRUE,"Normal")</f>
        <v>Normal</v>
      </c>
      <c r="L451" s="4" t="str">
        <f>IF(Table15678[[#This Row],[Total Amount]]&gt;=1000,"High",(IF(Table15678[[#This Row],[Total Amount]]&gt;=500,"Medium","Low")))</f>
        <v>Low</v>
      </c>
      <c r="M451" s="4" t="str" cm="1">
        <f t="array" ref="M45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51" s="4" cm="1">
        <f t="array" ref="N45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451" s="4">
        <f>Table15678[[#This Row],[Total Amount]]-Table15678[[#This Row],[Discount Amount]]</f>
        <v>40</v>
      </c>
      <c r="P451" s="4" t="str">
        <f>IF(Table15678[[#This Row],[Total Amount]]&gt;=1000,"High","Low")</f>
        <v>Low</v>
      </c>
      <c r="Q451" s="4" t="str" cm="1">
        <f t="array" ref="Q451">_xlfn.IFS(AND(Table15678[[#This Row],[Total Amount]]&gt;=1500,"Critical"),AND(Table15678[[#This Row],[Total Amount]]&gt;=1000,"High"),TRUE,"Normal")</f>
        <v>Normal</v>
      </c>
      <c r="R451" s="4" t="str">
        <f>CONCATENATE(Table15678[[#This Row],[Customer ID]], "-",Table15678[[#This Row],[Age]])</f>
        <v>CUST450-59</v>
      </c>
      <c r="S451" s="4" t="str">
        <f>TEXT(Table15678[[#This Row],[Date]],"mmm")</f>
        <v>Apr</v>
      </c>
      <c r="T451" s="4" t="str">
        <f>TEXT(Table15678[[#This Row],[Date]],"DDD")</f>
        <v>Tue</v>
      </c>
    </row>
    <row r="452" spans="1:20" ht="29" x14ac:dyDescent="0.35">
      <c r="A452" s="4">
        <v>451</v>
      </c>
      <c r="B452" s="5">
        <v>45276</v>
      </c>
      <c r="C452" s="4" t="s">
        <v>464</v>
      </c>
      <c r="D452" s="4" t="s">
        <v>13</v>
      </c>
      <c r="E452" s="4">
        <v>45</v>
      </c>
      <c r="F452" s="4" t="str">
        <f>IF(Table15678[[#This Row],[Age]]&lt;=19,"Teenager",IF(Table15678[[#This Row],[Age]]&lt;=40,"Median","Old"))</f>
        <v>Old</v>
      </c>
      <c r="G452" s="4" t="s">
        <v>16</v>
      </c>
      <c r="H452" s="4">
        <v>1</v>
      </c>
      <c r="I452" s="4">
        <v>30</v>
      </c>
      <c r="J452" s="4">
        <v>30</v>
      </c>
      <c r="K452" s="4" t="str" cm="1">
        <f t="array" ref="K452">_xlfn.IFS(AND(Table15678[[#This Row],[Total Amount]]&gt;=1500),"Critical",AND(Table15678[[#This Row],[Total Amount]]&gt;=1000),"High",TRUE,"Normal")</f>
        <v>Normal</v>
      </c>
      <c r="L452" s="4" t="str">
        <f>IF(Table15678[[#This Row],[Total Amount]]&gt;=1000,"High",(IF(Table15678[[#This Row],[Total Amount]]&gt;=500,"Medium","Low")))</f>
        <v>Low</v>
      </c>
      <c r="M452" s="4" t="str" cm="1">
        <f t="array" ref="M45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52" s="4" cm="1">
        <f t="array" ref="N45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452" s="4">
        <f>Table15678[[#This Row],[Total Amount]]-Table15678[[#This Row],[Discount Amount]]</f>
        <v>24</v>
      </c>
      <c r="P452" s="4" t="str">
        <f>IF(Table15678[[#This Row],[Total Amount]]&gt;=1000,"High","Low")</f>
        <v>Low</v>
      </c>
      <c r="Q452" s="4" t="str" cm="1">
        <f t="array" ref="Q452">_xlfn.IFS(AND(Table15678[[#This Row],[Total Amount]]&gt;=1500,"Critical"),AND(Table15678[[#This Row],[Total Amount]]&gt;=1000,"High"),TRUE,"Normal")</f>
        <v>Normal</v>
      </c>
      <c r="R452" s="4" t="str">
        <f>CONCATENATE(Table15678[[#This Row],[Customer ID]], "-",Table15678[[#This Row],[Age]])</f>
        <v>CUST451-45</v>
      </c>
      <c r="S452" s="4" t="str">
        <f>TEXT(Table15678[[#This Row],[Date]],"mmm")</f>
        <v>Dec</v>
      </c>
      <c r="T452" s="4" t="str">
        <f>TEXT(Table15678[[#This Row],[Date]],"DDD")</f>
        <v>Sat</v>
      </c>
    </row>
    <row r="453" spans="1:20" ht="29" x14ac:dyDescent="0.35">
      <c r="A453" s="4">
        <v>452</v>
      </c>
      <c r="B453" s="5">
        <v>45054</v>
      </c>
      <c r="C453" s="4" t="s">
        <v>465</v>
      </c>
      <c r="D453" s="4" t="s">
        <v>13</v>
      </c>
      <c r="E453" s="4">
        <v>48</v>
      </c>
      <c r="F453" s="4" t="str">
        <f>IF(Table15678[[#This Row],[Age]]&lt;=19,"Teenager",IF(Table15678[[#This Row],[Age]]&lt;=40,"Median","Old"))</f>
        <v>Old</v>
      </c>
      <c r="G453" s="4" t="s">
        <v>14</v>
      </c>
      <c r="H453" s="4">
        <v>3</v>
      </c>
      <c r="I453" s="4">
        <v>500</v>
      </c>
      <c r="J453" s="4">
        <v>1500</v>
      </c>
      <c r="K453" s="4" t="str" cm="1">
        <f t="array" ref="K453">_xlfn.IFS(AND(Table15678[[#This Row],[Total Amount]]&gt;=1500),"Critical",AND(Table15678[[#This Row],[Total Amount]]&gt;=1000),"High",TRUE,"Normal")</f>
        <v>Critical</v>
      </c>
      <c r="L453" s="4" t="str">
        <f>IF(Table15678[[#This Row],[Total Amount]]&gt;=1000,"High",(IF(Table15678[[#This Row],[Total Amount]]&gt;=500,"Medium","Low")))</f>
        <v>High</v>
      </c>
      <c r="M453" s="4" t="str" cm="1">
        <f t="array" ref="M45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53" s="4" cm="1">
        <f t="array" ref="N45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453" s="4">
        <f>Table15678[[#This Row],[Total Amount]]-Table15678[[#This Row],[Discount Amount]]</f>
        <v>1200</v>
      </c>
      <c r="P453" s="4" t="str">
        <f>IF(Table15678[[#This Row],[Total Amount]]&gt;=1000,"High","Low")</f>
        <v>High</v>
      </c>
      <c r="Q453" s="4" t="b" cm="1">
        <f t="array" ref="Q453">_xlfn.IFS(AND(Table15678[[#This Row],[Total Amount]]&gt;=1500,"Critical"),AND(Table15678[[#This Row],[Total Amount]]&gt;=1000,"High"),TRUE,"Normal")</f>
        <v>1</v>
      </c>
      <c r="R453" s="4" t="str">
        <f>CONCATENATE(Table15678[[#This Row],[Customer ID]], "-",Table15678[[#This Row],[Age]])</f>
        <v>CUST452-48</v>
      </c>
      <c r="S453" s="4" t="str">
        <f>TEXT(Table15678[[#This Row],[Date]],"mmm")</f>
        <v>May</v>
      </c>
      <c r="T453" s="4" t="str">
        <f>TEXT(Table15678[[#This Row],[Date]],"DDD")</f>
        <v>Mon</v>
      </c>
    </row>
    <row r="454" spans="1:20" ht="29" x14ac:dyDescent="0.35">
      <c r="A454" s="4">
        <v>453</v>
      </c>
      <c r="B454" s="5">
        <v>45268</v>
      </c>
      <c r="C454" s="4" t="s">
        <v>466</v>
      </c>
      <c r="D454" s="4" t="s">
        <v>13</v>
      </c>
      <c r="E454" s="4">
        <v>26</v>
      </c>
      <c r="F454" s="4" t="str">
        <f>IF(Table15678[[#This Row],[Age]]&lt;=19,"Teenager",IF(Table15678[[#This Row],[Age]]&lt;=40,"Median","Old"))</f>
        <v>Median</v>
      </c>
      <c r="G454" s="4" t="s">
        <v>14</v>
      </c>
      <c r="H454" s="4">
        <v>2</v>
      </c>
      <c r="I454" s="4">
        <v>500</v>
      </c>
      <c r="J454" s="4">
        <v>1000</v>
      </c>
      <c r="K454" s="4" t="str" cm="1">
        <f t="array" ref="K454">_xlfn.IFS(AND(Table15678[[#This Row],[Total Amount]]&gt;=1500),"Critical",AND(Table15678[[#This Row],[Total Amount]]&gt;=1000),"High",TRUE,"Normal")</f>
        <v>High</v>
      </c>
      <c r="L454" s="4" t="str">
        <f>IF(Table15678[[#This Row],[Total Amount]]&gt;=1000,"High",(IF(Table15678[[#This Row],[Total Amount]]&gt;=500,"Medium","Low")))</f>
        <v>High</v>
      </c>
      <c r="M454" s="4" t="str" cm="1">
        <f t="array" ref="M45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54" s="4" cm="1">
        <f t="array" ref="N45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150</v>
      </c>
      <c r="O454" s="4">
        <f>Table15678[[#This Row],[Total Amount]]-Table15678[[#This Row],[Discount Amount]]</f>
        <v>850</v>
      </c>
      <c r="P454" s="4" t="str">
        <f>IF(Table15678[[#This Row],[Total Amount]]&gt;=1000,"High","Low")</f>
        <v>High</v>
      </c>
      <c r="Q454" s="4" t="str" cm="1">
        <f t="array" ref="Q454">_xlfn.IFS(AND(Table15678[[#This Row],[Total Amount]]&gt;=1500,"Critical"),AND(Table15678[[#This Row],[Total Amount]]&gt;=1000,"High"),TRUE,"Normal")</f>
        <v>Normal</v>
      </c>
      <c r="R454" s="4" t="str">
        <f>CONCATENATE(Table15678[[#This Row],[Customer ID]], "-",Table15678[[#This Row],[Age]])</f>
        <v>CUST453-26</v>
      </c>
      <c r="S454" s="4" t="str">
        <f>TEXT(Table15678[[#This Row],[Date]],"mmm")</f>
        <v>Dec</v>
      </c>
      <c r="T454" s="4" t="str">
        <f>TEXT(Table15678[[#This Row],[Date]],"DDD")</f>
        <v>Fri</v>
      </c>
    </row>
    <row r="455" spans="1:20" ht="29" x14ac:dyDescent="0.35">
      <c r="A455" s="4">
        <v>454</v>
      </c>
      <c r="B455" s="5">
        <v>44979</v>
      </c>
      <c r="C455" s="4" t="s">
        <v>467</v>
      </c>
      <c r="D455" s="4" t="s">
        <v>13</v>
      </c>
      <c r="E455" s="4">
        <v>46</v>
      </c>
      <c r="F455" s="4" t="str">
        <f>IF(Table15678[[#This Row],[Age]]&lt;=19,"Teenager",IF(Table15678[[#This Row],[Age]]&lt;=40,"Median","Old"))</f>
        <v>Old</v>
      </c>
      <c r="G455" s="4" t="s">
        <v>11</v>
      </c>
      <c r="H455" s="4">
        <v>1</v>
      </c>
      <c r="I455" s="4">
        <v>25</v>
      </c>
      <c r="J455" s="4">
        <v>25</v>
      </c>
      <c r="K455" s="4" t="str" cm="1">
        <f t="array" ref="K455">_xlfn.IFS(AND(Table15678[[#This Row],[Total Amount]]&gt;=1500),"Critical",AND(Table15678[[#This Row],[Total Amount]]&gt;=1000),"High",TRUE,"Normal")</f>
        <v>Normal</v>
      </c>
      <c r="L455" s="4" t="str">
        <f>IF(Table15678[[#This Row],[Total Amount]]&gt;=1000,"High",(IF(Table15678[[#This Row],[Total Amount]]&gt;=500,"Medium","Low")))</f>
        <v>Low</v>
      </c>
      <c r="M455" s="4" t="str" cm="1">
        <f t="array" ref="M45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55" s="4" cm="1">
        <f t="array" ref="N45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455" s="4">
        <f>Table15678[[#This Row],[Total Amount]]-Table15678[[#This Row],[Discount Amount]]</f>
        <v>20</v>
      </c>
      <c r="P455" s="4" t="str">
        <f>IF(Table15678[[#This Row],[Total Amount]]&gt;=1000,"High","Low")</f>
        <v>Low</v>
      </c>
      <c r="Q455" s="4" t="str" cm="1">
        <f t="array" ref="Q455">_xlfn.IFS(AND(Table15678[[#This Row],[Total Amount]]&gt;=1500,"Critical"),AND(Table15678[[#This Row],[Total Amount]]&gt;=1000,"High"),TRUE,"Normal")</f>
        <v>Normal</v>
      </c>
      <c r="R455" s="4" t="str">
        <f>CONCATENATE(Table15678[[#This Row],[Customer ID]], "-",Table15678[[#This Row],[Age]])</f>
        <v>CUST454-46</v>
      </c>
      <c r="S455" s="4" t="str">
        <f>TEXT(Table15678[[#This Row],[Date]],"mmm")</f>
        <v>Feb</v>
      </c>
      <c r="T455" s="4" t="str">
        <f>TEXT(Table15678[[#This Row],[Date]],"DDD")</f>
        <v>Wed</v>
      </c>
    </row>
    <row r="456" spans="1:20" ht="29" x14ac:dyDescent="0.35">
      <c r="A456" s="4">
        <v>455</v>
      </c>
      <c r="B456" s="5">
        <v>45108</v>
      </c>
      <c r="C456" s="4" t="s">
        <v>468</v>
      </c>
      <c r="D456" s="4" t="s">
        <v>10</v>
      </c>
      <c r="E456" s="4">
        <v>31</v>
      </c>
      <c r="F456" s="4" t="str">
        <f>IF(Table15678[[#This Row],[Age]]&lt;=19,"Teenager",IF(Table15678[[#This Row],[Age]]&lt;=40,"Median","Old"))</f>
        <v>Median</v>
      </c>
      <c r="G456" s="4" t="s">
        <v>16</v>
      </c>
      <c r="H456" s="4">
        <v>4</v>
      </c>
      <c r="I456" s="4">
        <v>25</v>
      </c>
      <c r="J456" s="4">
        <v>100</v>
      </c>
      <c r="K456" s="4" t="str" cm="1">
        <f t="array" ref="K456">_xlfn.IFS(AND(Table15678[[#This Row],[Total Amount]]&gt;=1500),"Critical",AND(Table15678[[#This Row],[Total Amount]]&gt;=1000),"High",TRUE,"Normal")</f>
        <v>Normal</v>
      </c>
      <c r="L456" s="4" t="str">
        <f>IF(Table15678[[#This Row],[Total Amount]]&gt;=1000,"High",(IF(Table15678[[#This Row],[Total Amount]]&gt;=500,"Medium","Low")))</f>
        <v>Low</v>
      </c>
      <c r="M456" s="4" t="str" cm="1">
        <f t="array" ref="M45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56" s="4" cm="1">
        <f t="array" ref="N45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456" s="4">
        <f>Table15678[[#This Row],[Total Amount]]-Table15678[[#This Row],[Discount Amount]]</f>
        <v>85</v>
      </c>
      <c r="P456" s="4" t="str">
        <f>IF(Table15678[[#This Row],[Total Amount]]&gt;=1000,"High","Low")</f>
        <v>Low</v>
      </c>
      <c r="Q456" s="4" t="str" cm="1">
        <f t="array" ref="Q456">_xlfn.IFS(AND(Table15678[[#This Row],[Total Amount]]&gt;=1500,"Critical"),AND(Table15678[[#This Row],[Total Amount]]&gt;=1000,"High"),TRUE,"Normal")</f>
        <v>Normal</v>
      </c>
      <c r="R456" s="4" t="str">
        <f>CONCATENATE(Table15678[[#This Row],[Customer ID]], "-",Table15678[[#This Row],[Age]])</f>
        <v>CUST455-31</v>
      </c>
      <c r="S456" s="4" t="str">
        <f>TEXT(Table15678[[#This Row],[Date]],"mmm")</f>
        <v>Jul</v>
      </c>
      <c r="T456" s="4" t="str">
        <f>TEXT(Table15678[[#This Row],[Date]],"DDD")</f>
        <v>Sat</v>
      </c>
    </row>
    <row r="457" spans="1:20" ht="29" x14ac:dyDescent="0.35">
      <c r="A457" s="4">
        <v>456</v>
      </c>
      <c r="B457" s="5">
        <v>45213</v>
      </c>
      <c r="C457" s="4" t="s">
        <v>469</v>
      </c>
      <c r="D457" s="4" t="s">
        <v>10</v>
      </c>
      <c r="E457" s="4">
        <v>57</v>
      </c>
      <c r="F457" s="4" t="str">
        <f>IF(Table15678[[#This Row],[Age]]&lt;=19,"Teenager",IF(Table15678[[#This Row],[Age]]&lt;=40,"Median","Old"))</f>
        <v>Old</v>
      </c>
      <c r="G457" s="4" t="s">
        <v>16</v>
      </c>
      <c r="H457" s="4">
        <v>2</v>
      </c>
      <c r="I457" s="4">
        <v>30</v>
      </c>
      <c r="J457" s="4">
        <v>60</v>
      </c>
      <c r="K457" s="4" t="str" cm="1">
        <f t="array" ref="K457">_xlfn.IFS(AND(Table15678[[#This Row],[Total Amount]]&gt;=1500),"Critical",AND(Table15678[[#This Row],[Total Amount]]&gt;=1000),"High",TRUE,"Normal")</f>
        <v>Normal</v>
      </c>
      <c r="L457" s="4" t="str">
        <f>IF(Table15678[[#This Row],[Total Amount]]&gt;=1000,"High",(IF(Table15678[[#This Row],[Total Amount]]&gt;=500,"Medium","Low")))</f>
        <v>Low</v>
      </c>
      <c r="M457" s="4" t="str" cm="1">
        <f t="array" ref="M45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57" s="4" cm="1">
        <f t="array" ref="N45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457" s="4">
        <f>Table15678[[#This Row],[Total Amount]]-Table15678[[#This Row],[Discount Amount]]</f>
        <v>54</v>
      </c>
      <c r="P457" s="4" t="str">
        <f>IF(Table15678[[#This Row],[Total Amount]]&gt;=1000,"High","Low")</f>
        <v>Low</v>
      </c>
      <c r="Q457" s="4" t="str" cm="1">
        <f t="array" ref="Q457">_xlfn.IFS(AND(Table15678[[#This Row],[Total Amount]]&gt;=1500,"Critical"),AND(Table15678[[#This Row],[Total Amount]]&gt;=1000,"High"),TRUE,"Normal")</f>
        <v>Normal</v>
      </c>
      <c r="R457" s="4" t="str">
        <f>CONCATENATE(Table15678[[#This Row],[Customer ID]], "-",Table15678[[#This Row],[Age]])</f>
        <v>CUST456-57</v>
      </c>
      <c r="S457" s="4" t="str">
        <f>TEXT(Table15678[[#This Row],[Date]],"mmm")</f>
        <v>Oct</v>
      </c>
      <c r="T457" s="4" t="str">
        <f>TEXT(Table15678[[#This Row],[Date]],"DDD")</f>
        <v>Sat</v>
      </c>
    </row>
    <row r="458" spans="1:20" ht="29" x14ac:dyDescent="0.35">
      <c r="A458" s="4">
        <v>457</v>
      </c>
      <c r="B458" s="5">
        <v>45135</v>
      </c>
      <c r="C458" s="4" t="s">
        <v>470</v>
      </c>
      <c r="D458" s="4" t="s">
        <v>13</v>
      </c>
      <c r="E458" s="4">
        <v>58</v>
      </c>
      <c r="F458" s="4" t="str">
        <f>IF(Table15678[[#This Row],[Age]]&lt;=19,"Teenager",IF(Table15678[[#This Row],[Age]]&lt;=40,"Median","Old"))</f>
        <v>Old</v>
      </c>
      <c r="G458" s="4" t="s">
        <v>11</v>
      </c>
      <c r="H458" s="4">
        <v>3</v>
      </c>
      <c r="I458" s="4">
        <v>300</v>
      </c>
      <c r="J458" s="4">
        <v>900</v>
      </c>
      <c r="K458" s="4" t="str" cm="1">
        <f t="array" ref="K458">_xlfn.IFS(AND(Table15678[[#This Row],[Total Amount]]&gt;=1500),"Critical",AND(Table15678[[#This Row],[Total Amount]]&gt;=1000),"High",TRUE,"Normal")</f>
        <v>Normal</v>
      </c>
      <c r="L458" s="4" t="str">
        <f>IF(Table15678[[#This Row],[Total Amount]]&gt;=1000,"High",(IF(Table15678[[#This Row],[Total Amount]]&gt;=500,"Medium","Low")))</f>
        <v>Medium</v>
      </c>
      <c r="M458" s="4" t="str" cm="1">
        <f t="array" ref="M45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58" s="4" cm="1">
        <f t="array" ref="N45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458" s="4">
        <f>Table15678[[#This Row],[Total Amount]]-Table15678[[#This Row],[Discount Amount]]</f>
        <v>720</v>
      </c>
      <c r="P458" s="4" t="str">
        <f>IF(Table15678[[#This Row],[Total Amount]]&gt;=1000,"High","Low")</f>
        <v>Low</v>
      </c>
      <c r="Q458" s="4" t="str" cm="1">
        <f t="array" ref="Q458">_xlfn.IFS(AND(Table15678[[#This Row],[Total Amount]]&gt;=1500,"Critical"),AND(Table15678[[#This Row],[Total Amount]]&gt;=1000,"High"),TRUE,"Normal")</f>
        <v>Normal</v>
      </c>
      <c r="R458" s="4" t="str">
        <f>CONCATENATE(Table15678[[#This Row],[Customer ID]], "-",Table15678[[#This Row],[Age]])</f>
        <v>CUST457-58</v>
      </c>
      <c r="S458" s="4" t="str">
        <f>TEXT(Table15678[[#This Row],[Date]],"mmm")</f>
        <v>Jul</v>
      </c>
      <c r="T458" s="4" t="str">
        <f>TEXT(Table15678[[#This Row],[Date]],"DDD")</f>
        <v>Fri</v>
      </c>
    </row>
    <row r="459" spans="1:20" ht="29" x14ac:dyDescent="0.35">
      <c r="A459" s="4">
        <v>458</v>
      </c>
      <c r="B459" s="5">
        <v>45244</v>
      </c>
      <c r="C459" s="4" t="s">
        <v>471</v>
      </c>
      <c r="D459" s="4" t="s">
        <v>13</v>
      </c>
      <c r="E459" s="4">
        <v>39</v>
      </c>
      <c r="F459" s="4" t="str">
        <f>IF(Table15678[[#This Row],[Age]]&lt;=19,"Teenager",IF(Table15678[[#This Row],[Age]]&lt;=40,"Median","Old"))</f>
        <v>Median</v>
      </c>
      <c r="G459" s="4" t="s">
        <v>16</v>
      </c>
      <c r="H459" s="4">
        <v>4</v>
      </c>
      <c r="I459" s="4">
        <v>25</v>
      </c>
      <c r="J459" s="4">
        <v>100</v>
      </c>
      <c r="K459" s="4" t="str" cm="1">
        <f t="array" ref="K459">_xlfn.IFS(AND(Table15678[[#This Row],[Total Amount]]&gt;=1500),"Critical",AND(Table15678[[#This Row],[Total Amount]]&gt;=1000),"High",TRUE,"Normal")</f>
        <v>Normal</v>
      </c>
      <c r="L459" s="4" t="str">
        <f>IF(Table15678[[#This Row],[Total Amount]]&gt;=1000,"High",(IF(Table15678[[#This Row],[Total Amount]]&gt;=500,"Medium","Low")))</f>
        <v>Low</v>
      </c>
      <c r="M459" s="4" t="str" cm="1">
        <f t="array" ref="M45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59" s="4" cm="1">
        <f t="array" ref="N45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459" s="4">
        <f>Table15678[[#This Row],[Total Amount]]-Table15678[[#This Row],[Discount Amount]]</f>
        <v>80</v>
      </c>
      <c r="P459" s="4" t="str">
        <f>IF(Table15678[[#This Row],[Total Amount]]&gt;=1000,"High","Low")</f>
        <v>Low</v>
      </c>
      <c r="Q459" s="4" t="str" cm="1">
        <f t="array" ref="Q459">_xlfn.IFS(AND(Table15678[[#This Row],[Total Amount]]&gt;=1500,"Critical"),AND(Table15678[[#This Row],[Total Amount]]&gt;=1000,"High"),TRUE,"Normal")</f>
        <v>Normal</v>
      </c>
      <c r="R459" s="4" t="str">
        <f>CONCATENATE(Table15678[[#This Row],[Customer ID]], "-",Table15678[[#This Row],[Age]])</f>
        <v>CUST458-39</v>
      </c>
      <c r="S459" s="4" t="str">
        <f>TEXT(Table15678[[#This Row],[Date]],"mmm")</f>
        <v>Nov</v>
      </c>
      <c r="T459" s="4" t="str">
        <f>TEXT(Table15678[[#This Row],[Date]],"DDD")</f>
        <v>Tue</v>
      </c>
    </row>
    <row r="460" spans="1:20" ht="29" x14ac:dyDescent="0.35">
      <c r="A460" s="4">
        <v>459</v>
      </c>
      <c r="B460" s="5">
        <v>45006</v>
      </c>
      <c r="C460" s="4" t="s">
        <v>472</v>
      </c>
      <c r="D460" s="4" t="s">
        <v>10</v>
      </c>
      <c r="E460" s="4">
        <v>28</v>
      </c>
      <c r="F460" s="4" t="str">
        <f>IF(Table15678[[#This Row],[Age]]&lt;=19,"Teenager",IF(Table15678[[#This Row],[Age]]&lt;=40,"Median","Old"))</f>
        <v>Median</v>
      </c>
      <c r="G460" s="4" t="s">
        <v>14</v>
      </c>
      <c r="H460" s="4">
        <v>4</v>
      </c>
      <c r="I460" s="4">
        <v>300</v>
      </c>
      <c r="J460" s="4">
        <v>1200</v>
      </c>
      <c r="K460" s="4" t="str" cm="1">
        <f t="array" ref="K460">_xlfn.IFS(AND(Table15678[[#This Row],[Total Amount]]&gt;=1500),"Critical",AND(Table15678[[#This Row],[Total Amount]]&gt;=1000),"High",TRUE,"Normal")</f>
        <v>High</v>
      </c>
      <c r="L460" s="4" t="str">
        <f>IF(Table15678[[#This Row],[Total Amount]]&gt;=1000,"High",(IF(Table15678[[#This Row],[Total Amount]]&gt;=500,"Medium","Low")))</f>
        <v>High</v>
      </c>
      <c r="M460" s="4" t="str" cm="1">
        <f t="array" ref="M46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60" s="4" cm="1">
        <f t="array" ref="N46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460" s="4">
        <f>Table15678[[#This Row],[Total Amount]]-Table15678[[#This Row],[Discount Amount]]</f>
        <v>1020</v>
      </c>
      <c r="P460" s="4" t="str">
        <f>IF(Table15678[[#This Row],[Total Amount]]&gt;=1000,"High","Low")</f>
        <v>High</v>
      </c>
      <c r="Q460" s="4" t="str" cm="1">
        <f t="array" ref="Q460">_xlfn.IFS(AND(Table15678[[#This Row],[Total Amount]]&gt;=1500,"Critical"),AND(Table15678[[#This Row],[Total Amount]]&gt;=1000,"High"),TRUE,"Normal")</f>
        <v>Normal</v>
      </c>
      <c r="R460" s="4" t="str">
        <f>CONCATENATE(Table15678[[#This Row],[Customer ID]], "-",Table15678[[#This Row],[Age]])</f>
        <v>CUST459-28</v>
      </c>
      <c r="S460" s="4" t="str">
        <f>TEXT(Table15678[[#This Row],[Date]],"mmm")</f>
        <v>Mar</v>
      </c>
      <c r="T460" s="4" t="str">
        <f>TEXT(Table15678[[#This Row],[Date]],"DDD")</f>
        <v>Tue</v>
      </c>
    </row>
    <row r="461" spans="1:20" ht="29" x14ac:dyDescent="0.35">
      <c r="A461" s="4">
        <v>460</v>
      </c>
      <c r="B461" s="5">
        <v>45048</v>
      </c>
      <c r="C461" s="4" t="s">
        <v>473</v>
      </c>
      <c r="D461" s="4" t="s">
        <v>10</v>
      </c>
      <c r="E461" s="4">
        <v>40</v>
      </c>
      <c r="F461" s="4" t="str">
        <f>IF(Table15678[[#This Row],[Age]]&lt;=19,"Teenager",IF(Table15678[[#This Row],[Age]]&lt;=40,"Median","Old"))</f>
        <v>Median</v>
      </c>
      <c r="G461" s="4" t="s">
        <v>11</v>
      </c>
      <c r="H461" s="4">
        <v>1</v>
      </c>
      <c r="I461" s="4">
        <v>50</v>
      </c>
      <c r="J461" s="4">
        <v>50</v>
      </c>
      <c r="K461" s="4" t="str" cm="1">
        <f t="array" ref="K461">_xlfn.IFS(AND(Table15678[[#This Row],[Total Amount]]&gt;=1500),"Critical",AND(Table15678[[#This Row],[Total Amount]]&gt;=1000),"High",TRUE,"Normal")</f>
        <v>Normal</v>
      </c>
      <c r="L461" s="4" t="str">
        <f>IF(Table15678[[#This Row],[Total Amount]]&gt;=1000,"High",(IF(Table15678[[#This Row],[Total Amount]]&gt;=500,"Medium","Low")))</f>
        <v>Low</v>
      </c>
      <c r="M461" s="4" t="str" cm="1">
        <f t="array" ref="M46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61" s="4" cm="1">
        <f t="array" ref="N46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461" s="4">
        <f>Table15678[[#This Row],[Total Amount]]-Table15678[[#This Row],[Discount Amount]]</f>
        <v>45</v>
      </c>
      <c r="P461" s="4" t="str">
        <f>IF(Table15678[[#This Row],[Total Amount]]&gt;=1000,"High","Low")</f>
        <v>Low</v>
      </c>
      <c r="Q461" s="4" t="str" cm="1">
        <f t="array" ref="Q461">_xlfn.IFS(AND(Table15678[[#This Row],[Total Amount]]&gt;=1500,"Critical"),AND(Table15678[[#This Row],[Total Amount]]&gt;=1000,"High"),TRUE,"Normal")</f>
        <v>Normal</v>
      </c>
      <c r="R461" s="4" t="str">
        <f>CONCATENATE(Table15678[[#This Row],[Customer ID]], "-",Table15678[[#This Row],[Age]])</f>
        <v>CUST460-40</v>
      </c>
      <c r="S461" s="4" t="str">
        <f>TEXT(Table15678[[#This Row],[Date]],"mmm")</f>
        <v>May</v>
      </c>
      <c r="T461" s="4" t="str">
        <f>TEXT(Table15678[[#This Row],[Date]],"DDD")</f>
        <v>Tue</v>
      </c>
    </row>
    <row r="462" spans="1:20" ht="29" x14ac:dyDescent="0.35">
      <c r="A462" s="4">
        <v>461</v>
      </c>
      <c r="B462" s="5">
        <v>45010</v>
      </c>
      <c r="C462" s="4" t="s">
        <v>474</v>
      </c>
      <c r="D462" s="4" t="s">
        <v>13</v>
      </c>
      <c r="E462" s="4">
        <v>18</v>
      </c>
      <c r="F462" s="4" t="str">
        <f>IF(Table15678[[#This Row],[Age]]&lt;=19,"Teenager",IF(Table15678[[#This Row],[Age]]&lt;=40,"Median","Old"))</f>
        <v>Teenager</v>
      </c>
      <c r="G462" s="4" t="s">
        <v>11</v>
      </c>
      <c r="H462" s="4">
        <v>2</v>
      </c>
      <c r="I462" s="4">
        <v>500</v>
      </c>
      <c r="J462" s="4">
        <v>1000</v>
      </c>
      <c r="K462" s="4" t="str" cm="1">
        <f t="array" ref="K462">_xlfn.IFS(AND(Table15678[[#This Row],[Total Amount]]&gt;=1500),"Critical",AND(Table15678[[#This Row],[Total Amount]]&gt;=1000),"High",TRUE,"Normal")</f>
        <v>High</v>
      </c>
      <c r="L462" s="4" t="str">
        <f>IF(Table15678[[#This Row],[Total Amount]]&gt;=1000,"High",(IF(Table15678[[#This Row],[Total Amount]]&gt;=500,"Medium","Low")))</f>
        <v>High</v>
      </c>
      <c r="M462" s="4" t="str" cm="1">
        <f t="array" ref="M46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462" s="4" cm="1">
        <f t="array" ref="N46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462" s="4">
        <f>Table15678[[#This Row],[Total Amount]]-Table15678[[#This Row],[Discount Amount]]</f>
        <v>1000</v>
      </c>
      <c r="P462" s="4" t="str">
        <f>IF(Table15678[[#This Row],[Total Amount]]&gt;=1000,"High","Low")</f>
        <v>High</v>
      </c>
      <c r="Q462" s="4" t="str" cm="1">
        <f t="array" ref="Q462">_xlfn.IFS(AND(Table15678[[#This Row],[Total Amount]]&gt;=1500,"Critical"),AND(Table15678[[#This Row],[Total Amount]]&gt;=1000,"High"),TRUE,"Normal")</f>
        <v>Normal</v>
      </c>
      <c r="R462" s="4" t="str">
        <f>CONCATENATE(Table15678[[#This Row],[Customer ID]], "-",Table15678[[#This Row],[Age]])</f>
        <v>CUST461-18</v>
      </c>
      <c r="S462" s="4" t="str">
        <f>TEXT(Table15678[[#This Row],[Date]],"mmm")</f>
        <v>Mar</v>
      </c>
      <c r="T462" s="4" t="str">
        <f>TEXT(Table15678[[#This Row],[Date]],"DDD")</f>
        <v>Sat</v>
      </c>
    </row>
    <row r="463" spans="1:20" ht="29" x14ac:dyDescent="0.35">
      <c r="A463" s="4">
        <v>462</v>
      </c>
      <c r="B463" s="5">
        <v>45017</v>
      </c>
      <c r="C463" s="4" t="s">
        <v>475</v>
      </c>
      <c r="D463" s="4" t="s">
        <v>10</v>
      </c>
      <c r="E463" s="4">
        <v>63</v>
      </c>
      <c r="F463" s="4" t="str">
        <f>IF(Table15678[[#This Row],[Age]]&lt;=19,"Teenager",IF(Table15678[[#This Row],[Age]]&lt;=40,"Median","Old"))</f>
        <v>Old</v>
      </c>
      <c r="G463" s="4" t="s">
        <v>16</v>
      </c>
      <c r="H463" s="4">
        <v>4</v>
      </c>
      <c r="I463" s="4">
        <v>300</v>
      </c>
      <c r="J463" s="4">
        <v>1200</v>
      </c>
      <c r="K463" s="4" t="str" cm="1">
        <f t="array" ref="K463">_xlfn.IFS(AND(Table15678[[#This Row],[Total Amount]]&gt;=1500),"Critical",AND(Table15678[[#This Row],[Total Amount]]&gt;=1000),"High",TRUE,"Normal")</f>
        <v>High</v>
      </c>
      <c r="L463" s="4" t="str">
        <f>IF(Table15678[[#This Row],[Total Amount]]&gt;=1000,"High",(IF(Table15678[[#This Row],[Total Amount]]&gt;=500,"Medium","Low")))</f>
        <v>High</v>
      </c>
      <c r="M463" s="4" t="str" cm="1">
        <f t="array" ref="M46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63" s="4" cm="1">
        <f t="array" ref="N46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120</v>
      </c>
      <c r="O463" s="4">
        <f>Table15678[[#This Row],[Total Amount]]-Table15678[[#This Row],[Discount Amount]]</f>
        <v>1080</v>
      </c>
      <c r="P463" s="4" t="str">
        <f>IF(Table15678[[#This Row],[Total Amount]]&gt;=1000,"High","Low")</f>
        <v>High</v>
      </c>
      <c r="Q463" s="4" t="str" cm="1">
        <f t="array" ref="Q463">_xlfn.IFS(AND(Table15678[[#This Row],[Total Amount]]&gt;=1500,"Critical"),AND(Table15678[[#This Row],[Total Amount]]&gt;=1000,"High"),TRUE,"Normal")</f>
        <v>Normal</v>
      </c>
      <c r="R463" s="4" t="str">
        <f>CONCATENATE(Table15678[[#This Row],[Customer ID]], "-",Table15678[[#This Row],[Age]])</f>
        <v>CUST462-63</v>
      </c>
      <c r="S463" s="4" t="str">
        <f>TEXT(Table15678[[#This Row],[Date]],"mmm")</f>
        <v>Apr</v>
      </c>
      <c r="T463" s="4" t="str">
        <f>TEXT(Table15678[[#This Row],[Date]],"DDD")</f>
        <v>Sat</v>
      </c>
    </row>
    <row r="464" spans="1:20" ht="29" x14ac:dyDescent="0.35">
      <c r="A464" s="4">
        <v>463</v>
      </c>
      <c r="B464" s="5">
        <v>45138</v>
      </c>
      <c r="C464" s="4" t="s">
        <v>476</v>
      </c>
      <c r="D464" s="4" t="s">
        <v>13</v>
      </c>
      <c r="E464" s="4">
        <v>54</v>
      </c>
      <c r="F464" s="4" t="str">
        <f>IF(Table15678[[#This Row],[Age]]&lt;=19,"Teenager",IF(Table15678[[#This Row],[Age]]&lt;=40,"Median","Old"))</f>
        <v>Old</v>
      </c>
      <c r="G464" s="4" t="s">
        <v>11</v>
      </c>
      <c r="H464" s="4">
        <v>3</v>
      </c>
      <c r="I464" s="4">
        <v>500</v>
      </c>
      <c r="J464" s="4">
        <v>1500</v>
      </c>
      <c r="K464" s="4" t="str" cm="1">
        <f t="array" ref="K464">_xlfn.IFS(AND(Table15678[[#This Row],[Total Amount]]&gt;=1500),"Critical",AND(Table15678[[#This Row],[Total Amount]]&gt;=1000),"High",TRUE,"Normal")</f>
        <v>Critical</v>
      </c>
      <c r="L464" s="4" t="str">
        <f>IF(Table15678[[#This Row],[Total Amount]]&gt;=1000,"High",(IF(Table15678[[#This Row],[Total Amount]]&gt;=500,"Medium","Low")))</f>
        <v>High</v>
      </c>
      <c r="M464" s="4" t="str" cm="1">
        <f t="array" ref="M46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64" s="4" cm="1">
        <f t="array" ref="N46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464" s="4">
        <f>Table15678[[#This Row],[Total Amount]]-Table15678[[#This Row],[Discount Amount]]</f>
        <v>1200</v>
      </c>
      <c r="P464" s="4" t="str">
        <f>IF(Table15678[[#This Row],[Total Amount]]&gt;=1000,"High","Low")</f>
        <v>High</v>
      </c>
      <c r="Q464" s="4" t="b" cm="1">
        <f t="array" ref="Q464">_xlfn.IFS(AND(Table15678[[#This Row],[Total Amount]]&gt;=1500,"Critical"),AND(Table15678[[#This Row],[Total Amount]]&gt;=1000,"High"),TRUE,"Normal")</f>
        <v>1</v>
      </c>
      <c r="R464" s="4" t="str">
        <f>CONCATENATE(Table15678[[#This Row],[Customer ID]], "-",Table15678[[#This Row],[Age]])</f>
        <v>CUST463-54</v>
      </c>
      <c r="S464" s="4" t="str">
        <f>TEXT(Table15678[[#This Row],[Date]],"mmm")</f>
        <v>Jul</v>
      </c>
      <c r="T464" s="4" t="str">
        <f>TEXT(Table15678[[#This Row],[Date]],"DDD")</f>
        <v>Mon</v>
      </c>
    </row>
    <row r="465" spans="1:20" ht="29" x14ac:dyDescent="0.35">
      <c r="A465" s="4">
        <v>464</v>
      </c>
      <c r="B465" s="5">
        <v>44939</v>
      </c>
      <c r="C465" s="4" t="s">
        <v>477</v>
      </c>
      <c r="D465" s="4" t="s">
        <v>10</v>
      </c>
      <c r="E465" s="4">
        <v>38</v>
      </c>
      <c r="F465" s="4" t="str">
        <f>IF(Table15678[[#This Row],[Age]]&lt;=19,"Teenager",IF(Table15678[[#This Row],[Age]]&lt;=40,"Median","Old"))</f>
        <v>Median</v>
      </c>
      <c r="G465" s="4" t="s">
        <v>16</v>
      </c>
      <c r="H465" s="4">
        <v>2</v>
      </c>
      <c r="I465" s="4">
        <v>300</v>
      </c>
      <c r="J465" s="4">
        <v>600</v>
      </c>
      <c r="K465" s="4" t="str" cm="1">
        <f t="array" ref="K465">_xlfn.IFS(AND(Table15678[[#This Row],[Total Amount]]&gt;=1500),"Critical",AND(Table15678[[#This Row],[Total Amount]]&gt;=1000),"High",TRUE,"Normal")</f>
        <v>Normal</v>
      </c>
      <c r="L465" s="4" t="str">
        <f>IF(Table15678[[#This Row],[Total Amount]]&gt;=1000,"High",(IF(Table15678[[#This Row],[Total Amount]]&gt;=500,"Medium","Low")))</f>
        <v>Medium</v>
      </c>
      <c r="M465" s="4" t="str" cm="1">
        <f t="array" ref="M46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65" s="4" cm="1">
        <f t="array" ref="N46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465" s="4">
        <f>Table15678[[#This Row],[Total Amount]]-Table15678[[#This Row],[Discount Amount]]</f>
        <v>540</v>
      </c>
      <c r="P465" s="4" t="str">
        <f>IF(Table15678[[#This Row],[Total Amount]]&gt;=1000,"High","Low")</f>
        <v>Low</v>
      </c>
      <c r="Q465" s="4" t="str" cm="1">
        <f t="array" ref="Q465">_xlfn.IFS(AND(Table15678[[#This Row],[Total Amount]]&gt;=1500,"Critical"),AND(Table15678[[#This Row],[Total Amount]]&gt;=1000,"High"),TRUE,"Normal")</f>
        <v>Normal</v>
      </c>
      <c r="R465" s="4" t="str">
        <f>CONCATENATE(Table15678[[#This Row],[Customer ID]], "-",Table15678[[#This Row],[Age]])</f>
        <v>CUST464-38</v>
      </c>
      <c r="S465" s="4" t="str">
        <f>TEXT(Table15678[[#This Row],[Date]],"mmm")</f>
        <v>Jan</v>
      </c>
      <c r="T465" s="4" t="str">
        <f>TEXT(Table15678[[#This Row],[Date]],"DDD")</f>
        <v>Fri</v>
      </c>
    </row>
    <row r="466" spans="1:20" ht="29" x14ac:dyDescent="0.35">
      <c r="A466" s="4">
        <v>465</v>
      </c>
      <c r="B466" s="5">
        <v>45018</v>
      </c>
      <c r="C466" s="4" t="s">
        <v>478</v>
      </c>
      <c r="D466" s="4" t="s">
        <v>13</v>
      </c>
      <c r="E466" s="4">
        <v>43</v>
      </c>
      <c r="F466" s="4" t="str">
        <f>IF(Table15678[[#This Row],[Age]]&lt;=19,"Teenager",IF(Table15678[[#This Row],[Age]]&lt;=40,"Median","Old"))</f>
        <v>Old</v>
      </c>
      <c r="G466" s="4" t="s">
        <v>16</v>
      </c>
      <c r="H466" s="4">
        <v>3</v>
      </c>
      <c r="I466" s="4">
        <v>50</v>
      </c>
      <c r="J466" s="4">
        <v>150</v>
      </c>
      <c r="K466" s="4" t="str" cm="1">
        <f t="array" ref="K466">_xlfn.IFS(AND(Table15678[[#This Row],[Total Amount]]&gt;=1500),"Critical",AND(Table15678[[#This Row],[Total Amount]]&gt;=1000),"High",TRUE,"Normal")</f>
        <v>Normal</v>
      </c>
      <c r="L466" s="4" t="str">
        <f>IF(Table15678[[#This Row],[Total Amount]]&gt;=1000,"High",(IF(Table15678[[#This Row],[Total Amount]]&gt;=500,"Medium","Low")))</f>
        <v>Low</v>
      </c>
      <c r="M466" s="4" t="str" cm="1">
        <f t="array" ref="M46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66" s="4" cm="1">
        <f t="array" ref="N46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466" s="4">
        <f>Table15678[[#This Row],[Total Amount]]-Table15678[[#This Row],[Discount Amount]]</f>
        <v>120</v>
      </c>
      <c r="P466" s="4" t="str">
        <f>IF(Table15678[[#This Row],[Total Amount]]&gt;=1000,"High","Low")</f>
        <v>Low</v>
      </c>
      <c r="Q466" s="4" t="str" cm="1">
        <f t="array" ref="Q466">_xlfn.IFS(AND(Table15678[[#This Row],[Total Amount]]&gt;=1500,"Critical"),AND(Table15678[[#This Row],[Total Amount]]&gt;=1000,"High"),TRUE,"Normal")</f>
        <v>Normal</v>
      </c>
      <c r="R466" s="4" t="str">
        <f>CONCATENATE(Table15678[[#This Row],[Customer ID]], "-",Table15678[[#This Row],[Age]])</f>
        <v>CUST465-43</v>
      </c>
      <c r="S466" s="4" t="str">
        <f>TEXT(Table15678[[#This Row],[Date]],"mmm")</f>
        <v>Apr</v>
      </c>
      <c r="T466" s="4" t="str">
        <f>TEXT(Table15678[[#This Row],[Date]],"DDD")</f>
        <v>Sun</v>
      </c>
    </row>
    <row r="467" spans="1:20" ht="29" x14ac:dyDescent="0.35">
      <c r="A467" s="4">
        <v>466</v>
      </c>
      <c r="B467" s="5">
        <v>45097</v>
      </c>
      <c r="C467" s="4" t="s">
        <v>479</v>
      </c>
      <c r="D467" s="4" t="s">
        <v>10</v>
      </c>
      <c r="E467" s="4">
        <v>63</v>
      </c>
      <c r="F467" s="4" t="str">
        <f>IF(Table15678[[#This Row],[Age]]&lt;=19,"Teenager",IF(Table15678[[#This Row],[Age]]&lt;=40,"Median","Old"))</f>
        <v>Old</v>
      </c>
      <c r="G467" s="4" t="s">
        <v>16</v>
      </c>
      <c r="H467" s="4">
        <v>4</v>
      </c>
      <c r="I467" s="4">
        <v>25</v>
      </c>
      <c r="J467" s="4">
        <v>100</v>
      </c>
      <c r="K467" s="4" t="str" cm="1">
        <f t="array" ref="K467">_xlfn.IFS(AND(Table15678[[#This Row],[Total Amount]]&gt;=1500),"Critical",AND(Table15678[[#This Row],[Total Amount]]&gt;=1000),"High",TRUE,"Normal")</f>
        <v>Normal</v>
      </c>
      <c r="L467" s="4" t="str">
        <f>IF(Table15678[[#This Row],[Total Amount]]&gt;=1000,"High",(IF(Table15678[[#This Row],[Total Amount]]&gt;=500,"Medium","Low")))</f>
        <v>Low</v>
      </c>
      <c r="M467" s="4" t="str" cm="1">
        <f t="array" ref="M46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67" s="4" cm="1">
        <f t="array" ref="N46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467" s="4">
        <f>Table15678[[#This Row],[Total Amount]]-Table15678[[#This Row],[Discount Amount]]</f>
        <v>90</v>
      </c>
      <c r="P467" s="4" t="str">
        <f>IF(Table15678[[#This Row],[Total Amount]]&gt;=1000,"High","Low")</f>
        <v>Low</v>
      </c>
      <c r="Q467" s="4" t="str" cm="1">
        <f t="array" ref="Q467">_xlfn.IFS(AND(Table15678[[#This Row],[Total Amount]]&gt;=1500,"Critical"),AND(Table15678[[#This Row],[Total Amount]]&gt;=1000,"High"),TRUE,"Normal")</f>
        <v>Normal</v>
      </c>
      <c r="R467" s="4" t="str">
        <f>CONCATENATE(Table15678[[#This Row],[Customer ID]], "-",Table15678[[#This Row],[Age]])</f>
        <v>CUST466-63</v>
      </c>
      <c r="S467" s="4" t="str">
        <f>TEXT(Table15678[[#This Row],[Date]],"mmm")</f>
        <v>Jun</v>
      </c>
      <c r="T467" s="4" t="str">
        <f>TEXT(Table15678[[#This Row],[Date]],"DDD")</f>
        <v>Tue</v>
      </c>
    </row>
    <row r="468" spans="1:20" ht="29" x14ac:dyDescent="0.35">
      <c r="A468" s="4">
        <v>467</v>
      </c>
      <c r="B468" s="5">
        <v>45137</v>
      </c>
      <c r="C468" s="4" t="s">
        <v>480</v>
      </c>
      <c r="D468" s="4" t="s">
        <v>13</v>
      </c>
      <c r="E468" s="4">
        <v>53</v>
      </c>
      <c r="F468" s="4" t="str">
        <f>IF(Table15678[[#This Row],[Age]]&lt;=19,"Teenager",IF(Table15678[[#This Row],[Age]]&lt;=40,"Median","Old"))</f>
        <v>Old</v>
      </c>
      <c r="G468" s="4" t="s">
        <v>16</v>
      </c>
      <c r="H468" s="4">
        <v>3</v>
      </c>
      <c r="I468" s="4">
        <v>50</v>
      </c>
      <c r="J468" s="4">
        <v>150</v>
      </c>
      <c r="K468" s="4" t="str" cm="1">
        <f t="array" ref="K468">_xlfn.IFS(AND(Table15678[[#This Row],[Total Amount]]&gt;=1500),"Critical",AND(Table15678[[#This Row],[Total Amount]]&gt;=1000),"High",TRUE,"Normal")</f>
        <v>Normal</v>
      </c>
      <c r="L468" s="4" t="str">
        <f>IF(Table15678[[#This Row],[Total Amount]]&gt;=1000,"High",(IF(Table15678[[#This Row],[Total Amount]]&gt;=500,"Medium","Low")))</f>
        <v>Low</v>
      </c>
      <c r="M468" s="4" t="str" cm="1">
        <f t="array" ref="M46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68" s="4" cm="1">
        <f t="array" ref="N46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468" s="4">
        <f>Table15678[[#This Row],[Total Amount]]-Table15678[[#This Row],[Discount Amount]]</f>
        <v>120</v>
      </c>
      <c r="P468" s="4" t="str">
        <f>IF(Table15678[[#This Row],[Total Amount]]&gt;=1000,"High","Low")</f>
        <v>Low</v>
      </c>
      <c r="Q468" s="4" t="str" cm="1">
        <f t="array" ref="Q468">_xlfn.IFS(AND(Table15678[[#This Row],[Total Amount]]&gt;=1500,"Critical"),AND(Table15678[[#This Row],[Total Amount]]&gt;=1000,"High"),TRUE,"Normal")</f>
        <v>Normal</v>
      </c>
      <c r="R468" s="4" t="str">
        <f>CONCATENATE(Table15678[[#This Row],[Customer ID]], "-",Table15678[[#This Row],[Age]])</f>
        <v>CUST467-53</v>
      </c>
      <c r="S468" s="4" t="str">
        <f>TEXT(Table15678[[#This Row],[Date]],"mmm")</f>
        <v>Jul</v>
      </c>
      <c r="T468" s="4" t="str">
        <f>TEXT(Table15678[[#This Row],[Date]],"DDD")</f>
        <v>Sun</v>
      </c>
    </row>
    <row r="469" spans="1:20" ht="29" x14ac:dyDescent="0.35">
      <c r="A469" s="4">
        <v>468</v>
      </c>
      <c r="B469" s="5">
        <v>45269</v>
      </c>
      <c r="C469" s="4" t="s">
        <v>481</v>
      </c>
      <c r="D469" s="4" t="s">
        <v>10</v>
      </c>
      <c r="E469" s="4">
        <v>40</v>
      </c>
      <c r="F469" s="4" t="str">
        <f>IF(Table15678[[#This Row],[Age]]&lt;=19,"Teenager",IF(Table15678[[#This Row],[Age]]&lt;=40,"Median","Old"))</f>
        <v>Median</v>
      </c>
      <c r="G469" s="4" t="s">
        <v>16</v>
      </c>
      <c r="H469" s="4">
        <v>1</v>
      </c>
      <c r="I469" s="4">
        <v>25</v>
      </c>
      <c r="J469" s="4">
        <v>25</v>
      </c>
      <c r="K469" s="4" t="str" cm="1">
        <f t="array" ref="K469">_xlfn.IFS(AND(Table15678[[#This Row],[Total Amount]]&gt;=1500),"Critical",AND(Table15678[[#This Row],[Total Amount]]&gt;=1000),"High",TRUE,"Normal")</f>
        <v>Normal</v>
      </c>
      <c r="L469" s="4" t="str">
        <f>IF(Table15678[[#This Row],[Total Amount]]&gt;=1000,"High",(IF(Table15678[[#This Row],[Total Amount]]&gt;=500,"Medium","Low")))</f>
        <v>Low</v>
      </c>
      <c r="M469" s="4" t="str" cm="1">
        <f t="array" ref="M46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69" s="4" cm="1">
        <f t="array" ref="N46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2.5</v>
      </c>
      <c r="O469" s="4">
        <f>Table15678[[#This Row],[Total Amount]]-Table15678[[#This Row],[Discount Amount]]</f>
        <v>22.5</v>
      </c>
      <c r="P469" s="4" t="str">
        <f>IF(Table15678[[#This Row],[Total Amount]]&gt;=1000,"High","Low")</f>
        <v>Low</v>
      </c>
      <c r="Q469" s="4" t="str" cm="1">
        <f t="array" ref="Q469">_xlfn.IFS(AND(Table15678[[#This Row],[Total Amount]]&gt;=1500,"Critical"),AND(Table15678[[#This Row],[Total Amount]]&gt;=1000,"High"),TRUE,"Normal")</f>
        <v>Normal</v>
      </c>
      <c r="R469" s="4" t="str">
        <f>CONCATENATE(Table15678[[#This Row],[Customer ID]], "-",Table15678[[#This Row],[Age]])</f>
        <v>CUST468-40</v>
      </c>
      <c r="S469" s="4" t="str">
        <f>TEXT(Table15678[[#This Row],[Date]],"mmm")</f>
        <v>Dec</v>
      </c>
      <c r="T469" s="4" t="str">
        <f>TEXT(Table15678[[#This Row],[Date]],"DDD")</f>
        <v>Sat</v>
      </c>
    </row>
    <row r="470" spans="1:20" ht="29" x14ac:dyDescent="0.35">
      <c r="A470" s="4">
        <v>469</v>
      </c>
      <c r="B470" s="5">
        <v>45054</v>
      </c>
      <c r="C470" s="4" t="s">
        <v>482</v>
      </c>
      <c r="D470" s="4" t="s">
        <v>10</v>
      </c>
      <c r="E470" s="4">
        <v>18</v>
      </c>
      <c r="F470" s="4" t="str">
        <f>IF(Table15678[[#This Row],[Age]]&lt;=19,"Teenager",IF(Table15678[[#This Row],[Age]]&lt;=40,"Median","Old"))</f>
        <v>Teenager</v>
      </c>
      <c r="G470" s="4" t="s">
        <v>11</v>
      </c>
      <c r="H470" s="4">
        <v>3</v>
      </c>
      <c r="I470" s="4">
        <v>25</v>
      </c>
      <c r="J470" s="4">
        <v>75</v>
      </c>
      <c r="K470" s="4" t="str" cm="1">
        <f t="array" ref="K470">_xlfn.IFS(AND(Table15678[[#This Row],[Total Amount]]&gt;=1500),"Critical",AND(Table15678[[#This Row],[Total Amount]]&gt;=1000),"High",TRUE,"Normal")</f>
        <v>Normal</v>
      </c>
      <c r="L470" s="4" t="str">
        <f>IF(Table15678[[#This Row],[Total Amount]]&gt;=1000,"High",(IF(Table15678[[#This Row],[Total Amount]]&gt;=500,"Medium","Low")))</f>
        <v>Low</v>
      </c>
      <c r="M470" s="4" t="str" cm="1">
        <f t="array" ref="M47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470" s="4" cm="1">
        <f t="array" ref="N47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470" s="4">
        <f>Table15678[[#This Row],[Total Amount]]-Table15678[[#This Row],[Discount Amount]]</f>
        <v>75</v>
      </c>
      <c r="P470" s="4" t="str">
        <f>IF(Table15678[[#This Row],[Total Amount]]&gt;=1000,"High","Low")</f>
        <v>Low</v>
      </c>
      <c r="Q470" s="4" t="str" cm="1">
        <f t="array" ref="Q470">_xlfn.IFS(AND(Table15678[[#This Row],[Total Amount]]&gt;=1500,"Critical"),AND(Table15678[[#This Row],[Total Amount]]&gt;=1000,"High"),TRUE,"Normal")</f>
        <v>Normal</v>
      </c>
      <c r="R470" s="4" t="str">
        <f>CONCATENATE(Table15678[[#This Row],[Customer ID]], "-",Table15678[[#This Row],[Age]])</f>
        <v>CUST469-18</v>
      </c>
      <c r="S470" s="4" t="str">
        <f>TEXT(Table15678[[#This Row],[Date]],"mmm")</f>
        <v>May</v>
      </c>
      <c r="T470" s="4" t="str">
        <f>TEXT(Table15678[[#This Row],[Date]],"DDD")</f>
        <v>Mon</v>
      </c>
    </row>
    <row r="471" spans="1:20" ht="29" x14ac:dyDescent="0.35">
      <c r="A471" s="4">
        <v>470</v>
      </c>
      <c r="B471" s="5">
        <v>45063</v>
      </c>
      <c r="C471" s="4" t="s">
        <v>483</v>
      </c>
      <c r="D471" s="4" t="s">
        <v>13</v>
      </c>
      <c r="E471" s="4">
        <v>57</v>
      </c>
      <c r="F471" s="4" t="str">
        <f>IF(Table15678[[#This Row],[Age]]&lt;=19,"Teenager",IF(Table15678[[#This Row],[Age]]&lt;=40,"Median","Old"))</f>
        <v>Old</v>
      </c>
      <c r="G471" s="4" t="s">
        <v>14</v>
      </c>
      <c r="H471" s="4">
        <v>2</v>
      </c>
      <c r="I471" s="4">
        <v>500</v>
      </c>
      <c r="J471" s="4">
        <v>1000</v>
      </c>
      <c r="K471" s="4" t="str" cm="1">
        <f t="array" ref="K471">_xlfn.IFS(AND(Table15678[[#This Row],[Total Amount]]&gt;=1500),"Critical",AND(Table15678[[#This Row],[Total Amount]]&gt;=1000),"High",TRUE,"Normal")</f>
        <v>High</v>
      </c>
      <c r="L471" s="4" t="str">
        <f>IF(Table15678[[#This Row],[Total Amount]]&gt;=1000,"High",(IF(Table15678[[#This Row],[Total Amount]]&gt;=500,"Medium","Low")))</f>
        <v>High</v>
      </c>
      <c r="M471" s="4" t="str" cm="1">
        <f t="array" ref="M47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71" s="4" cm="1">
        <f t="array" ref="N47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471" s="4">
        <f>Table15678[[#This Row],[Total Amount]]-Table15678[[#This Row],[Discount Amount]]</f>
        <v>800</v>
      </c>
      <c r="P471" s="4" t="str">
        <f>IF(Table15678[[#This Row],[Total Amount]]&gt;=1000,"High","Low")</f>
        <v>High</v>
      </c>
      <c r="Q471" s="4" t="str" cm="1">
        <f t="array" ref="Q471">_xlfn.IFS(AND(Table15678[[#This Row],[Total Amount]]&gt;=1500,"Critical"),AND(Table15678[[#This Row],[Total Amount]]&gt;=1000,"High"),TRUE,"Normal")</f>
        <v>Normal</v>
      </c>
      <c r="R471" s="4" t="str">
        <f>CONCATENATE(Table15678[[#This Row],[Customer ID]], "-",Table15678[[#This Row],[Age]])</f>
        <v>CUST470-57</v>
      </c>
      <c r="S471" s="4" t="str">
        <f>TEXT(Table15678[[#This Row],[Date]],"mmm")</f>
        <v>May</v>
      </c>
      <c r="T471" s="4" t="str">
        <f>TEXT(Table15678[[#This Row],[Date]],"DDD")</f>
        <v>Wed</v>
      </c>
    </row>
    <row r="472" spans="1:20" ht="29" x14ac:dyDescent="0.35">
      <c r="A472" s="4">
        <v>471</v>
      </c>
      <c r="B472" s="5">
        <v>45008</v>
      </c>
      <c r="C472" s="4" t="s">
        <v>484</v>
      </c>
      <c r="D472" s="4" t="s">
        <v>10</v>
      </c>
      <c r="E472" s="4">
        <v>32</v>
      </c>
      <c r="F472" s="4" t="str">
        <f>IF(Table15678[[#This Row],[Age]]&lt;=19,"Teenager",IF(Table15678[[#This Row],[Age]]&lt;=40,"Median","Old"))</f>
        <v>Median</v>
      </c>
      <c r="G472" s="4" t="s">
        <v>14</v>
      </c>
      <c r="H472" s="4">
        <v>3</v>
      </c>
      <c r="I472" s="4">
        <v>50</v>
      </c>
      <c r="J472" s="4">
        <v>150</v>
      </c>
      <c r="K472" s="4" t="str" cm="1">
        <f t="array" ref="K472">_xlfn.IFS(AND(Table15678[[#This Row],[Total Amount]]&gt;=1500),"Critical",AND(Table15678[[#This Row],[Total Amount]]&gt;=1000),"High",TRUE,"Normal")</f>
        <v>Normal</v>
      </c>
      <c r="L472" s="4" t="str">
        <f>IF(Table15678[[#This Row],[Total Amount]]&gt;=1000,"High",(IF(Table15678[[#This Row],[Total Amount]]&gt;=500,"Medium","Low")))</f>
        <v>Low</v>
      </c>
      <c r="M472" s="4" t="str" cm="1">
        <f t="array" ref="M47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72" s="4" cm="1">
        <f t="array" ref="N47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22.5</v>
      </c>
      <c r="O472" s="4">
        <f>Table15678[[#This Row],[Total Amount]]-Table15678[[#This Row],[Discount Amount]]</f>
        <v>127.5</v>
      </c>
      <c r="P472" s="4" t="str">
        <f>IF(Table15678[[#This Row],[Total Amount]]&gt;=1000,"High","Low")</f>
        <v>Low</v>
      </c>
      <c r="Q472" s="4" t="str" cm="1">
        <f t="array" ref="Q472">_xlfn.IFS(AND(Table15678[[#This Row],[Total Amount]]&gt;=1500,"Critical"),AND(Table15678[[#This Row],[Total Amount]]&gt;=1000,"High"),TRUE,"Normal")</f>
        <v>Normal</v>
      </c>
      <c r="R472" s="4" t="str">
        <f>CONCATENATE(Table15678[[#This Row],[Customer ID]], "-",Table15678[[#This Row],[Age]])</f>
        <v>CUST471-32</v>
      </c>
      <c r="S472" s="4" t="str">
        <f>TEXT(Table15678[[#This Row],[Date]],"mmm")</f>
        <v>Mar</v>
      </c>
      <c r="T472" s="4" t="str">
        <f>TEXT(Table15678[[#This Row],[Date]],"DDD")</f>
        <v>Thu</v>
      </c>
    </row>
    <row r="473" spans="1:20" ht="29" x14ac:dyDescent="0.35">
      <c r="A473" s="4">
        <v>472</v>
      </c>
      <c r="B473" s="5">
        <v>45286</v>
      </c>
      <c r="C473" s="4" t="s">
        <v>485</v>
      </c>
      <c r="D473" s="4" t="s">
        <v>13</v>
      </c>
      <c r="E473" s="4">
        <v>38</v>
      </c>
      <c r="F473" s="4" t="str">
        <f>IF(Table15678[[#This Row],[Age]]&lt;=19,"Teenager",IF(Table15678[[#This Row],[Age]]&lt;=40,"Median","Old"))</f>
        <v>Median</v>
      </c>
      <c r="G473" s="4" t="s">
        <v>11</v>
      </c>
      <c r="H473" s="4">
        <v>3</v>
      </c>
      <c r="I473" s="4">
        <v>300</v>
      </c>
      <c r="J473" s="4">
        <v>900</v>
      </c>
      <c r="K473" s="4" t="str" cm="1">
        <f t="array" ref="K473">_xlfn.IFS(AND(Table15678[[#This Row],[Total Amount]]&gt;=1500),"Critical",AND(Table15678[[#This Row],[Total Amount]]&gt;=1000),"High",TRUE,"Normal")</f>
        <v>Normal</v>
      </c>
      <c r="L473" s="4" t="str">
        <f>IF(Table15678[[#This Row],[Total Amount]]&gt;=1000,"High",(IF(Table15678[[#This Row],[Total Amount]]&gt;=500,"Medium","Low")))</f>
        <v>Medium</v>
      </c>
      <c r="M473" s="4" t="str" cm="1">
        <f t="array" ref="M47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73" s="4" cm="1">
        <f t="array" ref="N47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473" s="4">
        <f>Table15678[[#This Row],[Total Amount]]-Table15678[[#This Row],[Discount Amount]]</f>
        <v>720</v>
      </c>
      <c r="P473" s="4" t="str">
        <f>IF(Table15678[[#This Row],[Total Amount]]&gt;=1000,"High","Low")</f>
        <v>Low</v>
      </c>
      <c r="Q473" s="4" t="str" cm="1">
        <f t="array" ref="Q473">_xlfn.IFS(AND(Table15678[[#This Row],[Total Amount]]&gt;=1500,"Critical"),AND(Table15678[[#This Row],[Total Amount]]&gt;=1000,"High"),TRUE,"Normal")</f>
        <v>Normal</v>
      </c>
      <c r="R473" s="4" t="str">
        <f>CONCATENATE(Table15678[[#This Row],[Customer ID]], "-",Table15678[[#This Row],[Age]])</f>
        <v>CUST472-38</v>
      </c>
      <c r="S473" s="4" t="str">
        <f>TEXT(Table15678[[#This Row],[Date]],"mmm")</f>
        <v>Dec</v>
      </c>
      <c r="T473" s="4" t="str">
        <f>TEXT(Table15678[[#This Row],[Date]],"DDD")</f>
        <v>Tue</v>
      </c>
    </row>
    <row r="474" spans="1:20" ht="29" x14ac:dyDescent="0.35">
      <c r="A474" s="4">
        <v>473</v>
      </c>
      <c r="B474" s="5">
        <v>44982</v>
      </c>
      <c r="C474" s="4" t="s">
        <v>486</v>
      </c>
      <c r="D474" s="4" t="s">
        <v>10</v>
      </c>
      <c r="E474" s="4">
        <v>64</v>
      </c>
      <c r="F474" s="4" t="str">
        <f>IF(Table15678[[#This Row],[Age]]&lt;=19,"Teenager",IF(Table15678[[#This Row],[Age]]&lt;=40,"Median","Old"))</f>
        <v>Old</v>
      </c>
      <c r="G474" s="4" t="s">
        <v>11</v>
      </c>
      <c r="H474" s="4">
        <v>1</v>
      </c>
      <c r="I474" s="4">
        <v>50</v>
      </c>
      <c r="J474" s="4">
        <v>50</v>
      </c>
      <c r="K474" s="4" t="str" cm="1">
        <f t="array" ref="K474">_xlfn.IFS(AND(Table15678[[#This Row],[Total Amount]]&gt;=1500),"Critical",AND(Table15678[[#This Row],[Total Amount]]&gt;=1000),"High",TRUE,"Normal")</f>
        <v>Normal</v>
      </c>
      <c r="L474" s="4" t="str">
        <f>IF(Table15678[[#This Row],[Total Amount]]&gt;=1000,"High",(IF(Table15678[[#This Row],[Total Amount]]&gt;=500,"Medium","Low")))</f>
        <v>Low</v>
      </c>
      <c r="M474" s="4" t="str" cm="1">
        <f t="array" ref="M47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74" s="4" cm="1">
        <f t="array" ref="N47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474" s="4">
        <f>Table15678[[#This Row],[Total Amount]]-Table15678[[#This Row],[Discount Amount]]</f>
        <v>45</v>
      </c>
      <c r="P474" s="4" t="str">
        <f>IF(Table15678[[#This Row],[Total Amount]]&gt;=1000,"High","Low")</f>
        <v>Low</v>
      </c>
      <c r="Q474" s="4" t="str" cm="1">
        <f t="array" ref="Q474">_xlfn.IFS(AND(Table15678[[#This Row],[Total Amount]]&gt;=1500,"Critical"),AND(Table15678[[#This Row],[Total Amount]]&gt;=1000,"High"),TRUE,"Normal")</f>
        <v>Normal</v>
      </c>
      <c r="R474" s="4" t="str">
        <f>CONCATENATE(Table15678[[#This Row],[Customer ID]], "-",Table15678[[#This Row],[Age]])</f>
        <v>CUST473-64</v>
      </c>
      <c r="S474" s="4" t="str">
        <f>TEXT(Table15678[[#This Row],[Date]],"mmm")</f>
        <v>Feb</v>
      </c>
      <c r="T474" s="4" t="str">
        <f>TEXT(Table15678[[#This Row],[Date]],"DDD")</f>
        <v>Sat</v>
      </c>
    </row>
    <row r="475" spans="1:20" ht="29" x14ac:dyDescent="0.35">
      <c r="A475" s="4">
        <v>474</v>
      </c>
      <c r="B475" s="5">
        <v>45122</v>
      </c>
      <c r="C475" s="4" t="s">
        <v>487</v>
      </c>
      <c r="D475" s="4" t="s">
        <v>13</v>
      </c>
      <c r="E475" s="4">
        <v>26</v>
      </c>
      <c r="F475" s="4" t="str">
        <f>IF(Table15678[[#This Row],[Age]]&lt;=19,"Teenager",IF(Table15678[[#This Row],[Age]]&lt;=40,"Median","Old"))</f>
        <v>Median</v>
      </c>
      <c r="G475" s="4" t="s">
        <v>14</v>
      </c>
      <c r="H475" s="4">
        <v>3</v>
      </c>
      <c r="I475" s="4">
        <v>500</v>
      </c>
      <c r="J475" s="4">
        <v>1500</v>
      </c>
      <c r="K475" s="4" t="str" cm="1">
        <f t="array" ref="K475">_xlfn.IFS(AND(Table15678[[#This Row],[Total Amount]]&gt;=1500),"Critical",AND(Table15678[[#This Row],[Total Amount]]&gt;=1000),"High",TRUE,"Normal")</f>
        <v>Critical</v>
      </c>
      <c r="L475" s="4" t="str">
        <f>IF(Table15678[[#This Row],[Total Amount]]&gt;=1000,"High",(IF(Table15678[[#This Row],[Total Amount]]&gt;=500,"Medium","Low")))</f>
        <v>High</v>
      </c>
      <c r="M475" s="4" t="str" cm="1">
        <f t="array" ref="M47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75" s="4" cm="1">
        <f t="array" ref="N47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225</v>
      </c>
      <c r="O475" s="4">
        <f>Table15678[[#This Row],[Total Amount]]-Table15678[[#This Row],[Discount Amount]]</f>
        <v>1275</v>
      </c>
      <c r="P475" s="4" t="str">
        <f>IF(Table15678[[#This Row],[Total Amount]]&gt;=1000,"High","Low")</f>
        <v>High</v>
      </c>
      <c r="Q475" s="4" t="b" cm="1">
        <f t="array" ref="Q475">_xlfn.IFS(AND(Table15678[[#This Row],[Total Amount]]&gt;=1500,"Critical"),AND(Table15678[[#This Row],[Total Amount]]&gt;=1000,"High"),TRUE,"Normal")</f>
        <v>1</v>
      </c>
      <c r="R475" s="4" t="str">
        <f>CONCATENATE(Table15678[[#This Row],[Customer ID]], "-",Table15678[[#This Row],[Age]])</f>
        <v>CUST474-26</v>
      </c>
      <c r="S475" s="4" t="str">
        <f>TEXT(Table15678[[#This Row],[Date]],"mmm")</f>
        <v>Jul</v>
      </c>
      <c r="T475" s="4" t="str">
        <f>TEXT(Table15678[[#This Row],[Date]],"DDD")</f>
        <v>Sat</v>
      </c>
    </row>
    <row r="476" spans="1:20" ht="29" x14ac:dyDescent="0.35">
      <c r="A476" s="4">
        <v>475</v>
      </c>
      <c r="B476" s="5">
        <v>44946</v>
      </c>
      <c r="C476" s="4" t="s">
        <v>488</v>
      </c>
      <c r="D476" s="4" t="s">
        <v>10</v>
      </c>
      <c r="E476" s="4">
        <v>26</v>
      </c>
      <c r="F476" s="4" t="str">
        <f>IF(Table15678[[#This Row],[Age]]&lt;=19,"Teenager",IF(Table15678[[#This Row],[Age]]&lt;=40,"Median","Old"))</f>
        <v>Median</v>
      </c>
      <c r="G476" s="4" t="s">
        <v>14</v>
      </c>
      <c r="H476" s="4">
        <v>3</v>
      </c>
      <c r="I476" s="4">
        <v>25</v>
      </c>
      <c r="J476" s="4">
        <v>75</v>
      </c>
      <c r="K476" s="4" t="str" cm="1">
        <f t="array" ref="K476">_xlfn.IFS(AND(Table15678[[#This Row],[Total Amount]]&gt;=1500),"Critical",AND(Table15678[[#This Row],[Total Amount]]&gt;=1000),"High",TRUE,"Normal")</f>
        <v>Normal</v>
      </c>
      <c r="L476" s="4" t="str">
        <f>IF(Table15678[[#This Row],[Total Amount]]&gt;=1000,"High",(IF(Table15678[[#This Row],[Total Amount]]&gt;=500,"Medium","Low")))</f>
        <v>Low</v>
      </c>
      <c r="M476" s="4" t="str" cm="1">
        <f t="array" ref="M47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76" s="4" cm="1">
        <f t="array" ref="N47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11.25</v>
      </c>
      <c r="O476" s="4">
        <f>Table15678[[#This Row],[Total Amount]]-Table15678[[#This Row],[Discount Amount]]</f>
        <v>63.75</v>
      </c>
      <c r="P476" s="4" t="str">
        <f>IF(Table15678[[#This Row],[Total Amount]]&gt;=1000,"High","Low")</f>
        <v>Low</v>
      </c>
      <c r="Q476" s="4" t="str" cm="1">
        <f t="array" ref="Q476">_xlfn.IFS(AND(Table15678[[#This Row],[Total Amount]]&gt;=1500,"Critical"),AND(Table15678[[#This Row],[Total Amount]]&gt;=1000,"High"),TRUE,"Normal")</f>
        <v>Normal</v>
      </c>
      <c r="R476" s="4" t="str">
        <f>CONCATENATE(Table15678[[#This Row],[Customer ID]], "-",Table15678[[#This Row],[Age]])</f>
        <v>CUST475-26</v>
      </c>
      <c r="S476" s="4" t="str">
        <f>TEXT(Table15678[[#This Row],[Date]],"mmm")</f>
        <v>Jan</v>
      </c>
      <c r="T476" s="4" t="str">
        <f>TEXT(Table15678[[#This Row],[Date]],"DDD")</f>
        <v>Fri</v>
      </c>
    </row>
    <row r="477" spans="1:20" ht="29" x14ac:dyDescent="0.35">
      <c r="A477" s="4">
        <v>476</v>
      </c>
      <c r="B477" s="5">
        <v>45167</v>
      </c>
      <c r="C477" s="4" t="s">
        <v>489</v>
      </c>
      <c r="D477" s="4" t="s">
        <v>13</v>
      </c>
      <c r="E477" s="4">
        <v>27</v>
      </c>
      <c r="F477" s="4" t="str">
        <f>IF(Table15678[[#This Row],[Age]]&lt;=19,"Teenager",IF(Table15678[[#This Row],[Age]]&lt;=40,"Median","Old"))</f>
        <v>Median</v>
      </c>
      <c r="G477" s="4" t="s">
        <v>14</v>
      </c>
      <c r="H477" s="4">
        <v>4</v>
      </c>
      <c r="I477" s="4">
        <v>500</v>
      </c>
      <c r="J477" s="4">
        <v>2000</v>
      </c>
      <c r="K477" s="4" t="str" cm="1">
        <f t="array" ref="K477">_xlfn.IFS(AND(Table15678[[#This Row],[Total Amount]]&gt;=1500),"Critical",AND(Table15678[[#This Row],[Total Amount]]&gt;=1000),"High",TRUE,"Normal")</f>
        <v>Critical</v>
      </c>
      <c r="L477" s="4" t="str">
        <f>IF(Table15678[[#This Row],[Total Amount]]&gt;=1000,"High",(IF(Table15678[[#This Row],[Total Amount]]&gt;=500,"Medium","Low")))</f>
        <v>High</v>
      </c>
      <c r="M477" s="4" t="str" cm="1">
        <f t="array" ref="M47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77" s="4" cm="1">
        <f t="array" ref="N47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477" s="4">
        <f>Table15678[[#This Row],[Total Amount]]-Table15678[[#This Row],[Discount Amount]]</f>
        <v>1700</v>
      </c>
      <c r="P477" s="4" t="str">
        <f>IF(Table15678[[#This Row],[Total Amount]]&gt;=1000,"High","Low")</f>
        <v>High</v>
      </c>
      <c r="Q477" s="4" t="b" cm="1">
        <f t="array" ref="Q477">_xlfn.IFS(AND(Table15678[[#This Row],[Total Amount]]&gt;=1500,"Critical"),AND(Table15678[[#This Row],[Total Amount]]&gt;=1000,"High"),TRUE,"Normal")</f>
        <v>1</v>
      </c>
      <c r="R477" s="4" t="str">
        <f>CONCATENATE(Table15678[[#This Row],[Customer ID]], "-",Table15678[[#This Row],[Age]])</f>
        <v>CUST476-27</v>
      </c>
      <c r="S477" s="4" t="str">
        <f>TEXT(Table15678[[#This Row],[Date]],"mmm")</f>
        <v>Aug</v>
      </c>
      <c r="T477" s="4" t="str">
        <f>TEXT(Table15678[[#This Row],[Date]],"DDD")</f>
        <v>Tue</v>
      </c>
    </row>
    <row r="478" spans="1:20" ht="29" x14ac:dyDescent="0.35">
      <c r="A478" s="4">
        <v>477</v>
      </c>
      <c r="B478" s="5">
        <v>45040</v>
      </c>
      <c r="C478" s="4" t="s">
        <v>490</v>
      </c>
      <c r="D478" s="4" t="s">
        <v>10</v>
      </c>
      <c r="E478" s="4">
        <v>43</v>
      </c>
      <c r="F478" s="4" t="str">
        <f>IF(Table15678[[#This Row],[Age]]&lt;=19,"Teenager",IF(Table15678[[#This Row],[Age]]&lt;=40,"Median","Old"))</f>
        <v>Old</v>
      </c>
      <c r="G478" s="4" t="s">
        <v>14</v>
      </c>
      <c r="H478" s="4">
        <v>4</v>
      </c>
      <c r="I478" s="4">
        <v>30</v>
      </c>
      <c r="J478" s="4">
        <v>120</v>
      </c>
      <c r="K478" s="4" t="str" cm="1">
        <f t="array" ref="K478">_xlfn.IFS(AND(Table15678[[#This Row],[Total Amount]]&gt;=1500),"Critical",AND(Table15678[[#This Row],[Total Amount]]&gt;=1000),"High",TRUE,"Normal")</f>
        <v>Normal</v>
      </c>
      <c r="L478" s="4" t="str">
        <f>IF(Table15678[[#This Row],[Total Amount]]&gt;=1000,"High",(IF(Table15678[[#This Row],[Total Amount]]&gt;=500,"Medium","Low")))</f>
        <v>Low</v>
      </c>
      <c r="M478" s="4" t="str" cm="1">
        <f t="array" ref="M47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78" s="4" cm="1">
        <f t="array" ref="N47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478" s="4">
        <f>Table15678[[#This Row],[Total Amount]]-Table15678[[#This Row],[Discount Amount]]</f>
        <v>108</v>
      </c>
      <c r="P478" s="4" t="str">
        <f>IF(Table15678[[#This Row],[Total Amount]]&gt;=1000,"High","Low")</f>
        <v>Low</v>
      </c>
      <c r="Q478" s="4" t="str" cm="1">
        <f t="array" ref="Q478">_xlfn.IFS(AND(Table15678[[#This Row],[Total Amount]]&gt;=1500,"Critical"),AND(Table15678[[#This Row],[Total Amount]]&gt;=1000,"High"),TRUE,"Normal")</f>
        <v>Normal</v>
      </c>
      <c r="R478" s="4" t="str">
        <f>CONCATENATE(Table15678[[#This Row],[Customer ID]], "-",Table15678[[#This Row],[Age]])</f>
        <v>CUST477-43</v>
      </c>
      <c r="S478" s="4" t="str">
        <f>TEXT(Table15678[[#This Row],[Date]],"mmm")</f>
        <v>Apr</v>
      </c>
      <c r="T478" s="4" t="str">
        <f>TEXT(Table15678[[#This Row],[Date]],"DDD")</f>
        <v>Mon</v>
      </c>
    </row>
    <row r="479" spans="1:20" ht="29" x14ac:dyDescent="0.35">
      <c r="A479" s="4">
        <v>478</v>
      </c>
      <c r="B479" s="5">
        <v>45029</v>
      </c>
      <c r="C479" s="4" t="s">
        <v>491</v>
      </c>
      <c r="D479" s="4" t="s">
        <v>13</v>
      </c>
      <c r="E479" s="4">
        <v>58</v>
      </c>
      <c r="F479" s="4" t="str">
        <f>IF(Table15678[[#This Row],[Age]]&lt;=19,"Teenager",IF(Table15678[[#This Row],[Age]]&lt;=40,"Median","Old"))</f>
        <v>Old</v>
      </c>
      <c r="G479" s="4" t="s">
        <v>14</v>
      </c>
      <c r="H479" s="4">
        <v>2</v>
      </c>
      <c r="I479" s="4">
        <v>30</v>
      </c>
      <c r="J479" s="4">
        <v>60</v>
      </c>
      <c r="K479" s="4" t="str" cm="1">
        <f t="array" ref="K479">_xlfn.IFS(AND(Table15678[[#This Row],[Total Amount]]&gt;=1500),"Critical",AND(Table15678[[#This Row],[Total Amount]]&gt;=1000),"High",TRUE,"Normal")</f>
        <v>Normal</v>
      </c>
      <c r="L479" s="4" t="str">
        <f>IF(Table15678[[#This Row],[Total Amount]]&gt;=1000,"High",(IF(Table15678[[#This Row],[Total Amount]]&gt;=500,"Medium","Low")))</f>
        <v>Low</v>
      </c>
      <c r="M479" s="4" t="str" cm="1">
        <f t="array" ref="M47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79" s="4" cm="1">
        <f t="array" ref="N47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479" s="4">
        <f>Table15678[[#This Row],[Total Amount]]-Table15678[[#This Row],[Discount Amount]]</f>
        <v>48</v>
      </c>
      <c r="P479" s="4" t="str">
        <f>IF(Table15678[[#This Row],[Total Amount]]&gt;=1000,"High","Low")</f>
        <v>Low</v>
      </c>
      <c r="Q479" s="4" t="str" cm="1">
        <f t="array" ref="Q479">_xlfn.IFS(AND(Table15678[[#This Row],[Total Amount]]&gt;=1500,"Critical"),AND(Table15678[[#This Row],[Total Amount]]&gt;=1000,"High"),TRUE,"Normal")</f>
        <v>Normal</v>
      </c>
      <c r="R479" s="4" t="str">
        <f>CONCATENATE(Table15678[[#This Row],[Customer ID]], "-",Table15678[[#This Row],[Age]])</f>
        <v>CUST478-58</v>
      </c>
      <c r="S479" s="4" t="str">
        <f>TEXT(Table15678[[#This Row],[Date]],"mmm")</f>
        <v>Apr</v>
      </c>
      <c r="T479" s="4" t="str">
        <f>TEXT(Table15678[[#This Row],[Date]],"DDD")</f>
        <v>Thu</v>
      </c>
    </row>
    <row r="480" spans="1:20" ht="29" x14ac:dyDescent="0.35">
      <c r="A480" s="4">
        <v>479</v>
      </c>
      <c r="B480" s="5">
        <v>45162</v>
      </c>
      <c r="C480" s="4" t="s">
        <v>492</v>
      </c>
      <c r="D480" s="4" t="s">
        <v>10</v>
      </c>
      <c r="E480" s="4">
        <v>52</v>
      </c>
      <c r="F480" s="4" t="str">
        <f>IF(Table15678[[#This Row],[Age]]&lt;=19,"Teenager",IF(Table15678[[#This Row],[Age]]&lt;=40,"Median","Old"))</f>
        <v>Old</v>
      </c>
      <c r="G480" s="4" t="s">
        <v>16</v>
      </c>
      <c r="H480" s="4">
        <v>4</v>
      </c>
      <c r="I480" s="4">
        <v>300</v>
      </c>
      <c r="J480" s="4">
        <v>1200</v>
      </c>
      <c r="K480" s="4" t="str" cm="1">
        <f t="array" ref="K480">_xlfn.IFS(AND(Table15678[[#This Row],[Total Amount]]&gt;=1500),"Critical",AND(Table15678[[#This Row],[Total Amount]]&gt;=1000),"High",TRUE,"Normal")</f>
        <v>High</v>
      </c>
      <c r="L480" s="4" t="str">
        <f>IF(Table15678[[#This Row],[Total Amount]]&gt;=1000,"High",(IF(Table15678[[#This Row],[Total Amount]]&gt;=500,"Medium","Low")))</f>
        <v>High</v>
      </c>
      <c r="M480" s="4" t="str" cm="1">
        <f t="array" ref="M48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80" s="4" cm="1">
        <f t="array" ref="N48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120</v>
      </c>
      <c r="O480" s="4">
        <f>Table15678[[#This Row],[Total Amount]]-Table15678[[#This Row],[Discount Amount]]</f>
        <v>1080</v>
      </c>
      <c r="P480" s="4" t="str">
        <f>IF(Table15678[[#This Row],[Total Amount]]&gt;=1000,"High","Low")</f>
        <v>High</v>
      </c>
      <c r="Q480" s="4" t="str" cm="1">
        <f t="array" ref="Q480">_xlfn.IFS(AND(Table15678[[#This Row],[Total Amount]]&gt;=1500,"Critical"),AND(Table15678[[#This Row],[Total Amount]]&gt;=1000,"High"),TRUE,"Normal")</f>
        <v>Normal</v>
      </c>
      <c r="R480" s="4" t="str">
        <f>CONCATENATE(Table15678[[#This Row],[Customer ID]], "-",Table15678[[#This Row],[Age]])</f>
        <v>CUST479-52</v>
      </c>
      <c r="S480" s="4" t="str">
        <f>TEXT(Table15678[[#This Row],[Date]],"mmm")</f>
        <v>Aug</v>
      </c>
      <c r="T480" s="4" t="str">
        <f>TEXT(Table15678[[#This Row],[Date]],"DDD")</f>
        <v>Thu</v>
      </c>
    </row>
    <row r="481" spans="1:20" ht="29" x14ac:dyDescent="0.35">
      <c r="A481" s="4">
        <v>480</v>
      </c>
      <c r="B481" s="5">
        <v>45106</v>
      </c>
      <c r="C481" s="4" t="s">
        <v>493</v>
      </c>
      <c r="D481" s="4" t="s">
        <v>13</v>
      </c>
      <c r="E481" s="4">
        <v>42</v>
      </c>
      <c r="F481" s="4" t="str">
        <f>IF(Table15678[[#This Row],[Age]]&lt;=19,"Teenager",IF(Table15678[[#This Row],[Age]]&lt;=40,"Median","Old"))</f>
        <v>Old</v>
      </c>
      <c r="G481" s="4" t="s">
        <v>11</v>
      </c>
      <c r="H481" s="4">
        <v>4</v>
      </c>
      <c r="I481" s="4">
        <v>500</v>
      </c>
      <c r="J481" s="4">
        <v>2000</v>
      </c>
      <c r="K481" s="4" t="str" cm="1">
        <f t="array" ref="K481">_xlfn.IFS(AND(Table15678[[#This Row],[Total Amount]]&gt;=1500),"Critical",AND(Table15678[[#This Row],[Total Amount]]&gt;=1000),"High",TRUE,"Normal")</f>
        <v>Critical</v>
      </c>
      <c r="L481" s="4" t="str">
        <f>IF(Table15678[[#This Row],[Total Amount]]&gt;=1000,"High",(IF(Table15678[[#This Row],[Total Amount]]&gt;=500,"Medium","Low")))</f>
        <v>High</v>
      </c>
      <c r="M481" s="4" t="str" cm="1">
        <f t="array" ref="M48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81" s="4" cm="1">
        <f t="array" ref="N48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400</v>
      </c>
      <c r="O481" s="4">
        <f>Table15678[[#This Row],[Total Amount]]-Table15678[[#This Row],[Discount Amount]]</f>
        <v>1600</v>
      </c>
      <c r="P481" s="4" t="str">
        <f>IF(Table15678[[#This Row],[Total Amount]]&gt;=1000,"High","Low")</f>
        <v>High</v>
      </c>
      <c r="Q481" s="4" t="b" cm="1">
        <f t="array" ref="Q481">_xlfn.IFS(AND(Table15678[[#This Row],[Total Amount]]&gt;=1500,"Critical"),AND(Table15678[[#This Row],[Total Amount]]&gt;=1000,"High"),TRUE,"Normal")</f>
        <v>1</v>
      </c>
      <c r="R481" s="4" t="str">
        <f>CONCATENATE(Table15678[[#This Row],[Customer ID]], "-",Table15678[[#This Row],[Age]])</f>
        <v>CUST480-42</v>
      </c>
      <c r="S481" s="4" t="str">
        <f>TEXT(Table15678[[#This Row],[Date]],"mmm")</f>
        <v>Jun</v>
      </c>
      <c r="T481" s="4" t="str">
        <f>TEXT(Table15678[[#This Row],[Date]],"DDD")</f>
        <v>Thu</v>
      </c>
    </row>
    <row r="482" spans="1:20" ht="29" x14ac:dyDescent="0.35">
      <c r="A482" s="4">
        <v>481</v>
      </c>
      <c r="B482" s="5">
        <v>45083</v>
      </c>
      <c r="C482" s="4" t="s">
        <v>494</v>
      </c>
      <c r="D482" s="4" t="s">
        <v>13</v>
      </c>
      <c r="E482" s="4">
        <v>43</v>
      </c>
      <c r="F482" s="4" t="str">
        <f>IF(Table15678[[#This Row],[Age]]&lt;=19,"Teenager",IF(Table15678[[#This Row],[Age]]&lt;=40,"Median","Old"))</f>
        <v>Old</v>
      </c>
      <c r="G482" s="4" t="s">
        <v>16</v>
      </c>
      <c r="H482" s="4">
        <v>4</v>
      </c>
      <c r="I482" s="4">
        <v>300</v>
      </c>
      <c r="J482" s="4">
        <v>1200</v>
      </c>
      <c r="K482" s="4" t="str" cm="1">
        <f t="array" ref="K482">_xlfn.IFS(AND(Table15678[[#This Row],[Total Amount]]&gt;=1500),"Critical",AND(Table15678[[#This Row],[Total Amount]]&gt;=1000),"High",TRUE,"Normal")</f>
        <v>High</v>
      </c>
      <c r="L482" s="4" t="str">
        <f>IF(Table15678[[#This Row],[Total Amount]]&gt;=1000,"High",(IF(Table15678[[#This Row],[Total Amount]]&gt;=500,"Medium","Low")))</f>
        <v>High</v>
      </c>
      <c r="M482" s="4" t="str" cm="1">
        <f t="array" ref="M48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82" s="4" cm="1">
        <f t="array" ref="N48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240</v>
      </c>
      <c r="O482" s="4">
        <f>Table15678[[#This Row],[Total Amount]]-Table15678[[#This Row],[Discount Amount]]</f>
        <v>960</v>
      </c>
      <c r="P482" s="4" t="str">
        <f>IF(Table15678[[#This Row],[Total Amount]]&gt;=1000,"High","Low")</f>
        <v>High</v>
      </c>
      <c r="Q482" s="4" t="str" cm="1">
        <f t="array" ref="Q482">_xlfn.IFS(AND(Table15678[[#This Row],[Total Amount]]&gt;=1500,"Critical"),AND(Table15678[[#This Row],[Total Amount]]&gt;=1000,"High"),TRUE,"Normal")</f>
        <v>Normal</v>
      </c>
      <c r="R482" s="4" t="str">
        <f>CONCATENATE(Table15678[[#This Row],[Customer ID]], "-",Table15678[[#This Row],[Age]])</f>
        <v>CUST481-43</v>
      </c>
      <c r="S482" s="4" t="str">
        <f>TEXT(Table15678[[#This Row],[Date]],"mmm")</f>
        <v>Jun</v>
      </c>
      <c r="T482" s="4" t="str">
        <f>TEXT(Table15678[[#This Row],[Date]],"DDD")</f>
        <v>Tue</v>
      </c>
    </row>
    <row r="483" spans="1:20" ht="29" x14ac:dyDescent="0.35">
      <c r="A483" s="4">
        <v>482</v>
      </c>
      <c r="B483" s="5">
        <v>45043</v>
      </c>
      <c r="C483" s="4" t="s">
        <v>495</v>
      </c>
      <c r="D483" s="4" t="s">
        <v>13</v>
      </c>
      <c r="E483" s="4">
        <v>28</v>
      </c>
      <c r="F483" s="4" t="str">
        <f>IF(Table15678[[#This Row],[Age]]&lt;=19,"Teenager",IF(Table15678[[#This Row],[Age]]&lt;=40,"Median","Old"))</f>
        <v>Median</v>
      </c>
      <c r="G483" s="4" t="s">
        <v>14</v>
      </c>
      <c r="H483" s="4">
        <v>4</v>
      </c>
      <c r="I483" s="4">
        <v>300</v>
      </c>
      <c r="J483" s="4">
        <v>1200</v>
      </c>
      <c r="K483" s="4" t="str" cm="1">
        <f t="array" ref="K483">_xlfn.IFS(AND(Table15678[[#This Row],[Total Amount]]&gt;=1500),"Critical",AND(Table15678[[#This Row],[Total Amount]]&gt;=1000),"High",TRUE,"Normal")</f>
        <v>High</v>
      </c>
      <c r="L483" s="4" t="str">
        <f>IF(Table15678[[#This Row],[Total Amount]]&gt;=1000,"High",(IF(Table15678[[#This Row],[Total Amount]]&gt;=500,"Medium","Low")))</f>
        <v>High</v>
      </c>
      <c r="M483" s="4" t="str" cm="1">
        <f t="array" ref="M48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83" s="4" cm="1">
        <f t="array" ref="N48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483" s="4">
        <f>Table15678[[#This Row],[Total Amount]]-Table15678[[#This Row],[Discount Amount]]</f>
        <v>1020</v>
      </c>
      <c r="P483" s="4" t="str">
        <f>IF(Table15678[[#This Row],[Total Amount]]&gt;=1000,"High","Low")</f>
        <v>High</v>
      </c>
      <c r="Q483" s="4" t="str" cm="1">
        <f t="array" ref="Q483">_xlfn.IFS(AND(Table15678[[#This Row],[Total Amount]]&gt;=1500,"Critical"),AND(Table15678[[#This Row],[Total Amount]]&gt;=1000,"High"),TRUE,"Normal")</f>
        <v>Normal</v>
      </c>
      <c r="R483" s="4" t="str">
        <f>CONCATENATE(Table15678[[#This Row],[Customer ID]], "-",Table15678[[#This Row],[Age]])</f>
        <v>CUST482-28</v>
      </c>
      <c r="S483" s="4" t="str">
        <f>TEXT(Table15678[[#This Row],[Date]],"mmm")</f>
        <v>Apr</v>
      </c>
      <c r="T483" s="4" t="str">
        <f>TEXT(Table15678[[#This Row],[Date]],"DDD")</f>
        <v>Thu</v>
      </c>
    </row>
    <row r="484" spans="1:20" ht="29" x14ac:dyDescent="0.35">
      <c r="A484" s="4">
        <v>483</v>
      </c>
      <c r="B484" s="5">
        <v>45041</v>
      </c>
      <c r="C484" s="4" t="s">
        <v>496</v>
      </c>
      <c r="D484" s="4" t="s">
        <v>10</v>
      </c>
      <c r="E484" s="4">
        <v>55</v>
      </c>
      <c r="F484" s="4" t="str">
        <f>IF(Table15678[[#This Row],[Age]]&lt;=19,"Teenager",IF(Table15678[[#This Row],[Age]]&lt;=40,"Median","Old"))</f>
        <v>Old</v>
      </c>
      <c r="G484" s="4" t="s">
        <v>14</v>
      </c>
      <c r="H484" s="4">
        <v>1</v>
      </c>
      <c r="I484" s="4">
        <v>30</v>
      </c>
      <c r="J484" s="4">
        <v>30</v>
      </c>
      <c r="K484" s="4" t="str" cm="1">
        <f t="array" ref="K484">_xlfn.IFS(AND(Table15678[[#This Row],[Total Amount]]&gt;=1500),"Critical",AND(Table15678[[#This Row],[Total Amount]]&gt;=1000),"High",TRUE,"Normal")</f>
        <v>Normal</v>
      </c>
      <c r="L484" s="4" t="str">
        <f>IF(Table15678[[#This Row],[Total Amount]]&gt;=1000,"High",(IF(Table15678[[#This Row],[Total Amount]]&gt;=500,"Medium","Low")))</f>
        <v>Low</v>
      </c>
      <c r="M484" s="4" t="str" cm="1">
        <f t="array" ref="M48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84" s="4" cm="1">
        <f t="array" ref="N48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</v>
      </c>
      <c r="O484" s="4">
        <f>Table15678[[#This Row],[Total Amount]]-Table15678[[#This Row],[Discount Amount]]</f>
        <v>27</v>
      </c>
      <c r="P484" s="4" t="str">
        <f>IF(Table15678[[#This Row],[Total Amount]]&gt;=1000,"High","Low")</f>
        <v>Low</v>
      </c>
      <c r="Q484" s="4" t="str" cm="1">
        <f t="array" ref="Q484">_xlfn.IFS(AND(Table15678[[#This Row],[Total Amount]]&gt;=1500,"Critical"),AND(Table15678[[#This Row],[Total Amount]]&gt;=1000,"High"),TRUE,"Normal")</f>
        <v>Normal</v>
      </c>
      <c r="R484" s="4" t="str">
        <f>CONCATENATE(Table15678[[#This Row],[Customer ID]], "-",Table15678[[#This Row],[Age]])</f>
        <v>CUST483-55</v>
      </c>
      <c r="S484" s="4" t="str">
        <f>TEXT(Table15678[[#This Row],[Date]],"mmm")</f>
        <v>Apr</v>
      </c>
      <c r="T484" s="4" t="str">
        <f>TEXT(Table15678[[#This Row],[Date]],"DDD")</f>
        <v>Tue</v>
      </c>
    </row>
    <row r="485" spans="1:20" ht="29" x14ac:dyDescent="0.35">
      <c r="A485" s="4">
        <v>484</v>
      </c>
      <c r="B485" s="5">
        <v>44939</v>
      </c>
      <c r="C485" s="4" t="s">
        <v>497</v>
      </c>
      <c r="D485" s="4" t="s">
        <v>13</v>
      </c>
      <c r="E485" s="4">
        <v>19</v>
      </c>
      <c r="F485" s="4" t="str">
        <f>IF(Table15678[[#This Row],[Age]]&lt;=19,"Teenager",IF(Table15678[[#This Row],[Age]]&lt;=40,"Median","Old"))</f>
        <v>Teenager</v>
      </c>
      <c r="G485" s="4" t="s">
        <v>14</v>
      </c>
      <c r="H485" s="4">
        <v>4</v>
      </c>
      <c r="I485" s="4">
        <v>300</v>
      </c>
      <c r="J485" s="4">
        <v>1200</v>
      </c>
      <c r="K485" s="4" t="str" cm="1">
        <f t="array" ref="K485">_xlfn.IFS(AND(Table15678[[#This Row],[Total Amount]]&gt;=1500),"Critical",AND(Table15678[[#This Row],[Total Amount]]&gt;=1000),"High",TRUE,"Normal")</f>
        <v>High</v>
      </c>
      <c r="L485" s="4" t="str">
        <f>IF(Table15678[[#This Row],[Total Amount]]&gt;=1000,"High",(IF(Table15678[[#This Row],[Total Amount]]&gt;=500,"Medium","Low")))</f>
        <v>High</v>
      </c>
      <c r="M485" s="4" t="str" cm="1">
        <f t="array" ref="M48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485" s="4" cm="1">
        <f t="array" ref="N48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485" s="4">
        <f>Table15678[[#This Row],[Total Amount]]-Table15678[[#This Row],[Discount Amount]]</f>
        <v>1200</v>
      </c>
      <c r="P485" s="4" t="str">
        <f>IF(Table15678[[#This Row],[Total Amount]]&gt;=1000,"High","Low")</f>
        <v>High</v>
      </c>
      <c r="Q485" s="4" t="str" cm="1">
        <f t="array" ref="Q485">_xlfn.IFS(AND(Table15678[[#This Row],[Total Amount]]&gt;=1500,"Critical"),AND(Table15678[[#This Row],[Total Amount]]&gt;=1000,"High"),TRUE,"Normal")</f>
        <v>Normal</v>
      </c>
      <c r="R485" s="4" t="str">
        <f>CONCATENATE(Table15678[[#This Row],[Customer ID]], "-",Table15678[[#This Row],[Age]])</f>
        <v>CUST484-19</v>
      </c>
      <c r="S485" s="4" t="str">
        <f>TEXT(Table15678[[#This Row],[Date]],"mmm")</f>
        <v>Jan</v>
      </c>
      <c r="T485" s="4" t="str">
        <f>TEXT(Table15678[[#This Row],[Date]],"DDD")</f>
        <v>Fri</v>
      </c>
    </row>
    <row r="486" spans="1:20" ht="29" x14ac:dyDescent="0.35">
      <c r="A486" s="4">
        <v>485</v>
      </c>
      <c r="B486" s="5">
        <v>45264</v>
      </c>
      <c r="C486" s="4" t="s">
        <v>498</v>
      </c>
      <c r="D486" s="4" t="s">
        <v>10</v>
      </c>
      <c r="E486" s="4">
        <v>24</v>
      </c>
      <c r="F486" s="4" t="str">
        <f>IF(Table15678[[#This Row],[Age]]&lt;=19,"Teenager",IF(Table15678[[#This Row],[Age]]&lt;=40,"Median","Old"))</f>
        <v>Median</v>
      </c>
      <c r="G486" s="4" t="s">
        <v>16</v>
      </c>
      <c r="H486" s="4">
        <v>1</v>
      </c>
      <c r="I486" s="4">
        <v>30</v>
      </c>
      <c r="J486" s="4">
        <v>30</v>
      </c>
      <c r="K486" s="4" t="str" cm="1">
        <f t="array" ref="K486">_xlfn.IFS(AND(Table15678[[#This Row],[Total Amount]]&gt;=1500),"Critical",AND(Table15678[[#This Row],[Total Amount]]&gt;=1000),"High",TRUE,"Normal")</f>
        <v>Normal</v>
      </c>
      <c r="L486" s="4" t="str">
        <f>IF(Table15678[[#This Row],[Total Amount]]&gt;=1000,"High",(IF(Table15678[[#This Row],[Total Amount]]&gt;=500,"Medium","Low")))</f>
        <v>Low</v>
      </c>
      <c r="M486" s="4" t="str" cm="1">
        <f t="array" ref="M48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486" s="4" cm="1">
        <f t="array" ref="N48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486" s="4">
        <f>Table15678[[#This Row],[Total Amount]]-Table15678[[#This Row],[Discount Amount]]</f>
        <v>30</v>
      </c>
      <c r="P486" s="4" t="str">
        <f>IF(Table15678[[#This Row],[Total Amount]]&gt;=1000,"High","Low")</f>
        <v>Low</v>
      </c>
      <c r="Q486" s="4" t="str" cm="1">
        <f t="array" ref="Q486">_xlfn.IFS(AND(Table15678[[#This Row],[Total Amount]]&gt;=1500,"Critical"),AND(Table15678[[#This Row],[Total Amount]]&gt;=1000,"High"),TRUE,"Normal")</f>
        <v>Normal</v>
      </c>
      <c r="R486" s="4" t="str">
        <f>CONCATENATE(Table15678[[#This Row],[Customer ID]], "-",Table15678[[#This Row],[Age]])</f>
        <v>CUST485-24</v>
      </c>
      <c r="S486" s="4" t="str">
        <f>TEXT(Table15678[[#This Row],[Date]],"mmm")</f>
        <v>Dec</v>
      </c>
      <c r="T486" s="4" t="str">
        <f>TEXT(Table15678[[#This Row],[Date]],"DDD")</f>
        <v>Mon</v>
      </c>
    </row>
    <row r="487" spans="1:20" ht="29" x14ac:dyDescent="0.35">
      <c r="A487" s="4">
        <v>486</v>
      </c>
      <c r="B487" s="5">
        <v>45025</v>
      </c>
      <c r="C487" s="4" t="s">
        <v>499</v>
      </c>
      <c r="D487" s="4" t="s">
        <v>13</v>
      </c>
      <c r="E487" s="4">
        <v>35</v>
      </c>
      <c r="F487" s="4" t="str">
        <f>IF(Table15678[[#This Row],[Age]]&lt;=19,"Teenager",IF(Table15678[[#This Row],[Age]]&lt;=40,"Median","Old"))</f>
        <v>Median</v>
      </c>
      <c r="G487" s="4" t="s">
        <v>16</v>
      </c>
      <c r="H487" s="4">
        <v>1</v>
      </c>
      <c r="I487" s="4">
        <v>25</v>
      </c>
      <c r="J487" s="4">
        <v>25</v>
      </c>
      <c r="K487" s="4" t="str" cm="1">
        <f t="array" ref="K487">_xlfn.IFS(AND(Table15678[[#This Row],[Total Amount]]&gt;=1500),"Critical",AND(Table15678[[#This Row],[Total Amount]]&gt;=1000),"High",TRUE,"Normal")</f>
        <v>Normal</v>
      </c>
      <c r="L487" s="4" t="str">
        <f>IF(Table15678[[#This Row],[Total Amount]]&gt;=1000,"High",(IF(Table15678[[#This Row],[Total Amount]]&gt;=500,"Medium","Low")))</f>
        <v>Low</v>
      </c>
      <c r="M487" s="4" t="str" cm="1">
        <f t="array" ref="M48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87" s="4" cm="1">
        <f t="array" ref="N48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487" s="4">
        <f>Table15678[[#This Row],[Total Amount]]-Table15678[[#This Row],[Discount Amount]]</f>
        <v>20</v>
      </c>
      <c r="P487" s="4" t="str">
        <f>IF(Table15678[[#This Row],[Total Amount]]&gt;=1000,"High","Low")</f>
        <v>Low</v>
      </c>
      <c r="Q487" s="4" t="str" cm="1">
        <f t="array" ref="Q487">_xlfn.IFS(AND(Table15678[[#This Row],[Total Amount]]&gt;=1500,"Critical"),AND(Table15678[[#This Row],[Total Amount]]&gt;=1000,"High"),TRUE,"Normal")</f>
        <v>Normal</v>
      </c>
      <c r="R487" s="4" t="str">
        <f>CONCATENATE(Table15678[[#This Row],[Customer ID]], "-",Table15678[[#This Row],[Age]])</f>
        <v>CUST486-35</v>
      </c>
      <c r="S487" s="4" t="str">
        <f>TEXT(Table15678[[#This Row],[Date]],"mmm")</f>
        <v>Apr</v>
      </c>
      <c r="T487" s="4" t="str">
        <f>TEXT(Table15678[[#This Row],[Date]],"DDD")</f>
        <v>Sun</v>
      </c>
    </row>
    <row r="488" spans="1:20" ht="29" x14ac:dyDescent="0.35">
      <c r="A488" s="4">
        <v>487</v>
      </c>
      <c r="B488" s="5">
        <v>45131</v>
      </c>
      <c r="C488" s="4" t="s">
        <v>500</v>
      </c>
      <c r="D488" s="4" t="s">
        <v>10</v>
      </c>
      <c r="E488" s="4">
        <v>44</v>
      </c>
      <c r="F488" s="4" t="str">
        <f>IF(Table15678[[#This Row],[Age]]&lt;=19,"Teenager",IF(Table15678[[#This Row],[Age]]&lt;=40,"Median","Old"))</f>
        <v>Old</v>
      </c>
      <c r="G488" s="4" t="s">
        <v>14</v>
      </c>
      <c r="H488" s="4">
        <v>4</v>
      </c>
      <c r="I488" s="4">
        <v>500</v>
      </c>
      <c r="J488" s="4">
        <v>2000</v>
      </c>
      <c r="K488" s="4" t="str" cm="1">
        <f t="array" ref="K488">_xlfn.IFS(AND(Table15678[[#This Row],[Total Amount]]&gt;=1500),"Critical",AND(Table15678[[#This Row],[Total Amount]]&gt;=1000),"High",TRUE,"Normal")</f>
        <v>Critical</v>
      </c>
      <c r="L488" s="4" t="str">
        <f>IF(Table15678[[#This Row],[Total Amount]]&gt;=1000,"High",(IF(Table15678[[#This Row],[Total Amount]]&gt;=500,"Medium","Low")))</f>
        <v>High</v>
      </c>
      <c r="M488" s="4" t="str" cm="1">
        <f t="array" ref="M48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88" s="4" cm="1">
        <f t="array" ref="N48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488" s="4">
        <f>Table15678[[#This Row],[Total Amount]]-Table15678[[#This Row],[Discount Amount]]</f>
        <v>1800</v>
      </c>
      <c r="P488" s="4" t="str">
        <f>IF(Table15678[[#This Row],[Total Amount]]&gt;=1000,"High","Low")</f>
        <v>High</v>
      </c>
      <c r="Q488" s="4" t="b" cm="1">
        <f t="array" ref="Q488">_xlfn.IFS(AND(Table15678[[#This Row],[Total Amount]]&gt;=1500,"Critical"),AND(Table15678[[#This Row],[Total Amount]]&gt;=1000,"High"),TRUE,"Normal")</f>
        <v>1</v>
      </c>
      <c r="R488" s="4" t="str">
        <f>CONCATENATE(Table15678[[#This Row],[Customer ID]], "-",Table15678[[#This Row],[Age]])</f>
        <v>CUST487-44</v>
      </c>
      <c r="S488" s="4" t="str">
        <f>TEXT(Table15678[[#This Row],[Date]],"mmm")</f>
        <v>Jul</v>
      </c>
      <c r="T488" s="4" t="str">
        <f>TEXT(Table15678[[#This Row],[Date]],"DDD")</f>
        <v>Mon</v>
      </c>
    </row>
    <row r="489" spans="1:20" ht="29" x14ac:dyDescent="0.35">
      <c r="A489" s="4">
        <v>488</v>
      </c>
      <c r="B489" s="5">
        <v>45095</v>
      </c>
      <c r="C489" s="4" t="s">
        <v>501</v>
      </c>
      <c r="D489" s="4" t="s">
        <v>13</v>
      </c>
      <c r="E489" s="4">
        <v>51</v>
      </c>
      <c r="F489" s="4" t="str">
        <f>IF(Table15678[[#This Row],[Age]]&lt;=19,"Teenager",IF(Table15678[[#This Row],[Age]]&lt;=40,"Median","Old"))</f>
        <v>Old</v>
      </c>
      <c r="G489" s="4" t="s">
        <v>16</v>
      </c>
      <c r="H489" s="4">
        <v>3</v>
      </c>
      <c r="I489" s="4">
        <v>300</v>
      </c>
      <c r="J489" s="4">
        <v>900</v>
      </c>
      <c r="K489" s="4" t="str" cm="1">
        <f t="array" ref="K489">_xlfn.IFS(AND(Table15678[[#This Row],[Total Amount]]&gt;=1500),"Critical",AND(Table15678[[#This Row],[Total Amount]]&gt;=1000),"High",TRUE,"Normal")</f>
        <v>Normal</v>
      </c>
      <c r="L489" s="4" t="str">
        <f>IF(Table15678[[#This Row],[Total Amount]]&gt;=1000,"High",(IF(Table15678[[#This Row],[Total Amount]]&gt;=500,"Medium","Low")))</f>
        <v>Medium</v>
      </c>
      <c r="M489" s="4" t="str" cm="1">
        <f t="array" ref="M48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89" s="4" cm="1">
        <f t="array" ref="N48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489" s="4">
        <f>Table15678[[#This Row],[Total Amount]]-Table15678[[#This Row],[Discount Amount]]</f>
        <v>720</v>
      </c>
      <c r="P489" s="4" t="str">
        <f>IF(Table15678[[#This Row],[Total Amount]]&gt;=1000,"High","Low")</f>
        <v>Low</v>
      </c>
      <c r="Q489" s="4" t="str" cm="1">
        <f t="array" ref="Q489">_xlfn.IFS(AND(Table15678[[#This Row],[Total Amount]]&gt;=1500,"Critical"),AND(Table15678[[#This Row],[Total Amount]]&gt;=1000,"High"),TRUE,"Normal")</f>
        <v>Normal</v>
      </c>
      <c r="R489" s="4" t="str">
        <f>CONCATENATE(Table15678[[#This Row],[Customer ID]], "-",Table15678[[#This Row],[Age]])</f>
        <v>CUST488-51</v>
      </c>
      <c r="S489" s="4" t="str">
        <f>TEXT(Table15678[[#This Row],[Date]],"mmm")</f>
        <v>Jun</v>
      </c>
      <c r="T489" s="4" t="str">
        <f>TEXT(Table15678[[#This Row],[Date]],"DDD")</f>
        <v>Sun</v>
      </c>
    </row>
    <row r="490" spans="1:20" ht="29" x14ac:dyDescent="0.35">
      <c r="A490" s="4">
        <v>489</v>
      </c>
      <c r="B490" s="5">
        <v>45069</v>
      </c>
      <c r="C490" s="4" t="s">
        <v>502</v>
      </c>
      <c r="D490" s="4" t="s">
        <v>10</v>
      </c>
      <c r="E490" s="4">
        <v>44</v>
      </c>
      <c r="F490" s="4" t="str">
        <f>IF(Table15678[[#This Row],[Age]]&lt;=19,"Teenager",IF(Table15678[[#This Row],[Age]]&lt;=40,"Median","Old"))</f>
        <v>Old</v>
      </c>
      <c r="G490" s="4" t="s">
        <v>16</v>
      </c>
      <c r="H490" s="4">
        <v>1</v>
      </c>
      <c r="I490" s="4">
        <v>30</v>
      </c>
      <c r="J490" s="4">
        <v>30</v>
      </c>
      <c r="K490" s="4" t="str" cm="1">
        <f t="array" ref="K490">_xlfn.IFS(AND(Table15678[[#This Row],[Total Amount]]&gt;=1500),"Critical",AND(Table15678[[#This Row],[Total Amount]]&gt;=1000),"High",TRUE,"Normal")</f>
        <v>Normal</v>
      </c>
      <c r="L490" s="4" t="str">
        <f>IF(Table15678[[#This Row],[Total Amount]]&gt;=1000,"High",(IF(Table15678[[#This Row],[Total Amount]]&gt;=500,"Medium","Low")))</f>
        <v>Low</v>
      </c>
      <c r="M490" s="4" t="str" cm="1">
        <f t="array" ref="M49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90" s="4" cm="1">
        <f t="array" ref="N49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</v>
      </c>
      <c r="O490" s="4">
        <f>Table15678[[#This Row],[Total Amount]]-Table15678[[#This Row],[Discount Amount]]</f>
        <v>27</v>
      </c>
      <c r="P490" s="4" t="str">
        <f>IF(Table15678[[#This Row],[Total Amount]]&gt;=1000,"High","Low")</f>
        <v>Low</v>
      </c>
      <c r="Q490" s="4" t="str" cm="1">
        <f t="array" ref="Q490">_xlfn.IFS(AND(Table15678[[#This Row],[Total Amount]]&gt;=1500,"Critical"),AND(Table15678[[#This Row],[Total Amount]]&gt;=1000,"High"),TRUE,"Normal")</f>
        <v>Normal</v>
      </c>
      <c r="R490" s="4" t="str">
        <f>CONCATENATE(Table15678[[#This Row],[Customer ID]], "-",Table15678[[#This Row],[Age]])</f>
        <v>CUST489-44</v>
      </c>
      <c r="S490" s="4" t="str">
        <f>TEXT(Table15678[[#This Row],[Date]],"mmm")</f>
        <v>May</v>
      </c>
      <c r="T490" s="4" t="str">
        <f>TEXT(Table15678[[#This Row],[Date]],"DDD")</f>
        <v>Tue</v>
      </c>
    </row>
    <row r="491" spans="1:20" ht="29" x14ac:dyDescent="0.35">
      <c r="A491" s="4">
        <v>490</v>
      </c>
      <c r="B491" s="5">
        <v>44962</v>
      </c>
      <c r="C491" s="4" t="s">
        <v>503</v>
      </c>
      <c r="D491" s="4" t="s">
        <v>10</v>
      </c>
      <c r="E491" s="4">
        <v>34</v>
      </c>
      <c r="F491" s="4" t="str">
        <f>IF(Table15678[[#This Row],[Age]]&lt;=19,"Teenager",IF(Table15678[[#This Row],[Age]]&lt;=40,"Median","Old"))</f>
        <v>Median</v>
      </c>
      <c r="G491" s="4" t="s">
        <v>14</v>
      </c>
      <c r="H491" s="4">
        <v>3</v>
      </c>
      <c r="I491" s="4">
        <v>50</v>
      </c>
      <c r="J491" s="4">
        <v>150</v>
      </c>
      <c r="K491" s="4" t="str" cm="1">
        <f t="array" ref="K491">_xlfn.IFS(AND(Table15678[[#This Row],[Total Amount]]&gt;=1500),"Critical",AND(Table15678[[#This Row],[Total Amount]]&gt;=1000),"High",TRUE,"Normal")</f>
        <v>Normal</v>
      </c>
      <c r="L491" s="4" t="str">
        <f>IF(Table15678[[#This Row],[Total Amount]]&gt;=1000,"High",(IF(Table15678[[#This Row],[Total Amount]]&gt;=500,"Medium","Low")))</f>
        <v>Low</v>
      </c>
      <c r="M491" s="4" t="str" cm="1">
        <f t="array" ref="M49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91" s="4" cm="1">
        <f t="array" ref="N49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22.5</v>
      </c>
      <c r="O491" s="4">
        <f>Table15678[[#This Row],[Total Amount]]-Table15678[[#This Row],[Discount Amount]]</f>
        <v>127.5</v>
      </c>
      <c r="P491" s="4" t="str">
        <f>IF(Table15678[[#This Row],[Total Amount]]&gt;=1000,"High","Low")</f>
        <v>Low</v>
      </c>
      <c r="Q491" s="4" t="str" cm="1">
        <f t="array" ref="Q491">_xlfn.IFS(AND(Table15678[[#This Row],[Total Amount]]&gt;=1500,"Critical"),AND(Table15678[[#This Row],[Total Amount]]&gt;=1000,"High"),TRUE,"Normal")</f>
        <v>Normal</v>
      </c>
      <c r="R491" s="4" t="str">
        <f>CONCATENATE(Table15678[[#This Row],[Customer ID]], "-",Table15678[[#This Row],[Age]])</f>
        <v>CUST490-34</v>
      </c>
      <c r="S491" s="4" t="str">
        <f>TEXT(Table15678[[#This Row],[Date]],"mmm")</f>
        <v>Feb</v>
      </c>
      <c r="T491" s="4" t="str">
        <f>TEXT(Table15678[[#This Row],[Date]],"DDD")</f>
        <v>Sun</v>
      </c>
    </row>
    <row r="492" spans="1:20" ht="29" x14ac:dyDescent="0.35">
      <c r="A492" s="4">
        <v>491</v>
      </c>
      <c r="B492" s="5">
        <v>45069</v>
      </c>
      <c r="C492" s="4" t="s">
        <v>504</v>
      </c>
      <c r="D492" s="4" t="s">
        <v>13</v>
      </c>
      <c r="E492" s="4">
        <v>60</v>
      </c>
      <c r="F492" s="4" t="str">
        <f>IF(Table15678[[#This Row],[Age]]&lt;=19,"Teenager",IF(Table15678[[#This Row],[Age]]&lt;=40,"Median","Old"))</f>
        <v>Old</v>
      </c>
      <c r="G492" s="4" t="s">
        <v>16</v>
      </c>
      <c r="H492" s="4">
        <v>3</v>
      </c>
      <c r="I492" s="4">
        <v>300</v>
      </c>
      <c r="J492" s="4">
        <v>900</v>
      </c>
      <c r="K492" s="4" t="str" cm="1">
        <f t="array" ref="K492">_xlfn.IFS(AND(Table15678[[#This Row],[Total Amount]]&gt;=1500),"Critical",AND(Table15678[[#This Row],[Total Amount]]&gt;=1000),"High",TRUE,"Normal")</f>
        <v>Normal</v>
      </c>
      <c r="L492" s="4" t="str">
        <f>IF(Table15678[[#This Row],[Total Amount]]&gt;=1000,"High",(IF(Table15678[[#This Row],[Total Amount]]&gt;=500,"Medium","Low")))</f>
        <v>Medium</v>
      </c>
      <c r="M492" s="4" t="str" cm="1">
        <f t="array" ref="M49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92" s="4" cm="1">
        <f t="array" ref="N49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492" s="4">
        <f>Table15678[[#This Row],[Total Amount]]-Table15678[[#This Row],[Discount Amount]]</f>
        <v>720</v>
      </c>
      <c r="P492" s="4" t="str">
        <f>IF(Table15678[[#This Row],[Total Amount]]&gt;=1000,"High","Low")</f>
        <v>Low</v>
      </c>
      <c r="Q492" s="4" t="str" cm="1">
        <f t="array" ref="Q492">_xlfn.IFS(AND(Table15678[[#This Row],[Total Amount]]&gt;=1500,"Critical"),AND(Table15678[[#This Row],[Total Amount]]&gt;=1000,"High"),TRUE,"Normal")</f>
        <v>Normal</v>
      </c>
      <c r="R492" s="4" t="str">
        <f>CONCATENATE(Table15678[[#This Row],[Customer ID]], "-",Table15678[[#This Row],[Age]])</f>
        <v>CUST491-60</v>
      </c>
      <c r="S492" s="4" t="str">
        <f>TEXT(Table15678[[#This Row],[Date]],"mmm")</f>
        <v>May</v>
      </c>
      <c r="T492" s="4" t="str">
        <f>TEXT(Table15678[[#This Row],[Date]],"DDD")</f>
        <v>Tue</v>
      </c>
    </row>
    <row r="493" spans="1:20" ht="29" x14ac:dyDescent="0.35">
      <c r="A493" s="4">
        <v>492</v>
      </c>
      <c r="B493" s="5">
        <v>45106</v>
      </c>
      <c r="C493" s="4" t="s">
        <v>505</v>
      </c>
      <c r="D493" s="4" t="s">
        <v>10</v>
      </c>
      <c r="E493" s="4">
        <v>61</v>
      </c>
      <c r="F493" s="4" t="str">
        <f>IF(Table15678[[#This Row],[Age]]&lt;=19,"Teenager",IF(Table15678[[#This Row],[Age]]&lt;=40,"Median","Old"))</f>
        <v>Old</v>
      </c>
      <c r="G493" s="4" t="s">
        <v>11</v>
      </c>
      <c r="H493" s="4">
        <v>4</v>
      </c>
      <c r="I493" s="4">
        <v>25</v>
      </c>
      <c r="J493" s="4">
        <v>100</v>
      </c>
      <c r="K493" s="4" t="str" cm="1">
        <f t="array" ref="K493">_xlfn.IFS(AND(Table15678[[#This Row],[Total Amount]]&gt;=1500),"Critical",AND(Table15678[[#This Row],[Total Amount]]&gt;=1000),"High",TRUE,"Normal")</f>
        <v>Normal</v>
      </c>
      <c r="L493" s="4" t="str">
        <f>IF(Table15678[[#This Row],[Total Amount]]&gt;=1000,"High",(IF(Table15678[[#This Row],[Total Amount]]&gt;=500,"Medium","Low")))</f>
        <v>Low</v>
      </c>
      <c r="M493" s="4" t="str" cm="1">
        <f t="array" ref="M49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93" s="4" cm="1">
        <f t="array" ref="N49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493" s="4">
        <f>Table15678[[#This Row],[Total Amount]]-Table15678[[#This Row],[Discount Amount]]</f>
        <v>90</v>
      </c>
      <c r="P493" s="4" t="str">
        <f>IF(Table15678[[#This Row],[Total Amount]]&gt;=1000,"High","Low")</f>
        <v>Low</v>
      </c>
      <c r="Q493" s="4" t="str" cm="1">
        <f t="array" ref="Q493">_xlfn.IFS(AND(Table15678[[#This Row],[Total Amount]]&gt;=1500,"Critical"),AND(Table15678[[#This Row],[Total Amount]]&gt;=1000,"High"),TRUE,"Normal")</f>
        <v>Normal</v>
      </c>
      <c r="R493" s="4" t="str">
        <f>CONCATENATE(Table15678[[#This Row],[Customer ID]], "-",Table15678[[#This Row],[Age]])</f>
        <v>CUST492-61</v>
      </c>
      <c r="S493" s="4" t="str">
        <f>TEXT(Table15678[[#This Row],[Date]],"mmm")</f>
        <v>Jun</v>
      </c>
      <c r="T493" s="4" t="str">
        <f>TEXT(Table15678[[#This Row],[Date]],"DDD")</f>
        <v>Thu</v>
      </c>
    </row>
    <row r="494" spans="1:20" ht="29" x14ac:dyDescent="0.35">
      <c r="A494" s="4">
        <v>493</v>
      </c>
      <c r="B494" s="5">
        <v>45255</v>
      </c>
      <c r="C494" s="4" t="s">
        <v>506</v>
      </c>
      <c r="D494" s="4" t="s">
        <v>10</v>
      </c>
      <c r="E494" s="4">
        <v>41</v>
      </c>
      <c r="F494" s="4" t="str">
        <f>IF(Table15678[[#This Row],[Age]]&lt;=19,"Teenager",IF(Table15678[[#This Row],[Age]]&lt;=40,"Median","Old"))</f>
        <v>Old</v>
      </c>
      <c r="G494" s="4" t="s">
        <v>11</v>
      </c>
      <c r="H494" s="4">
        <v>2</v>
      </c>
      <c r="I494" s="4">
        <v>25</v>
      </c>
      <c r="J494" s="4">
        <v>50</v>
      </c>
      <c r="K494" s="4" t="str" cm="1">
        <f t="array" ref="K494">_xlfn.IFS(AND(Table15678[[#This Row],[Total Amount]]&gt;=1500),"Critical",AND(Table15678[[#This Row],[Total Amount]]&gt;=1000),"High",TRUE,"Normal")</f>
        <v>Normal</v>
      </c>
      <c r="L494" s="4" t="str">
        <f>IF(Table15678[[#This Row],[Total Amount]]&gt;=1000,"High",(IF(Table15678[[#This Row],[Total Amount]]&gt;=500,"Medium","Low")))</f>
        <v>Low</v>
      </c>
      <c r="M494" s="4" t="str" cm="1">
        <f t="array" ref="M49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94" s="4" cm="1">
        <f t="array" ref="N49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494" s="4">
        <f>Table15678[[#This Row],[Total Amount]]-Table15678[[#This Row],[Discount Amount]]</f>
        <v>45</v>
      </c>
      <c r="P494" s="4" t="str">
        <f>IF(Table15678[[#This Row],[Total Amount]]&gt;=1000,"High","Low")</f>
        <v>Low</v>
      </c>
      <c r="Q494" s="4" t="str" cm="1">
        <f t="array" ref="Q494">_xlfn.IFS(AND(Table15678[[#This Row],[Total Amount]]&gt;=1500,"Critical"),AND(Table15678[[#This Row],[Total Amount]]&gt;=1000,"High"),TRUE,"Normal")</f>
        <v>Normal</v>
      </c>
      <c r="R494" s="4" t="str">
        <f>CONCATENATE(Table15678[[#This Row],[Customer ID]], "-",Table15678[[#This Row],[Age]])</f>
        <v>CUST493-41</v>
      </c>
      <c r="S494" s="4" t="str">
        <f>TEXT(Table15678[[#This Row],[Date]],"mmm")</f>
        <v>Nov</v>
      </c>
      <c r="T494" s="4" t="str">
        <f>TEXT(Table15678[[#This Row],[Date]],"DDD")</f>
        <v>Sat</v>
      </c>
    </row>
    <row r="495" spans="1:20" ht="29" x14ac:dyDescent="0.35">
      <c r="A495" s="4">
        <v>494</v>
      </c>
      <c r="B495" s="5">
        <v>45187</v>
      </c>
      <c r="C495" s="4" t="s">
        <v>507</v>
      </c>
      <c r="D495" s="4" t="s">
        <v>13</v>
      </c>
      <c r="E495" s="4">
        <v>42</v>
      </c>
      <c r="F495" s="4" t="str">
        <f>IF(Table15678[[#This Row],[Age]]&lt;=19,"Teenager",IF(Table15678[[#This Row],[Age]]&lt;=40,"Median","Old"))</f>
        <v>Old</v>
      </c>
      <c r="G495" s="4" t="s">
        <v>11</v>
      </c>
      <c r="H495" s="4">
        <v>4</v>
      </c>
      <c r="I495" s="4">
        <v>50</v>
      </c>
      <c r="J495" s="4">
        <v>200</v>
      </c>
      <c r="K495" s="4" t="str" cm="1">
        <f t="array" ref="K495">_xlfn.IFS(AND(Table15678[[#This Row],[Total Amount]]&gt;=1500),"Critical",AND(Table15678[[#This Row],[Total Amount]]&gt;=1000),"High",TRUE,"Normal")</f>
        <v>Normal</v>
      </c>
      <c r="L495" s="4" t="str">
        <f>IF(Table15678[[#This Row],[Total Amount]]&gt;=1000,"High",(IF(Table15678[[#This Row],[Total Amount]]&gt;=500,"Medium","Low")))</f>
        <v>Low</v>
      </c>
      <c r="M495" s="4" t="str" cm="1">
        <f t="array" ref="M49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95" s="4" cm="1">
        <f t="array" ref="N49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</v>
      </c>
      <c r="O495" s="4">
        <f>Table15678[[#This Row],[Total Amount]]-Table15678[[#This Row],[Discount Amount]]</f>
        <v>160</v>
      </c>
      <c r="P495" s="4" t="str">
        <f>IF(Table15678[[#This Row],[Total Amount]]&gt;=1000,"High","Low")</f>
        <v>Low</v>
      </c>
      <c r="Q495" s="4" t="str" cm="1">
        <f t="array" ref="Q495">_xlfn.IFS(AND(Table15678[[#This Row],[Total Amount]]&gt;=1500,"Critical"),AND(Table15678[[#This Row],[Total Amount]]&gt;=1000,"High"),TRUE,"Normal")</f>
        <v>Normal</v>
      </c>
      <c r="R495" s="4" t="str">
        <f>CONCATENATE(Table15678[[#This Row],[Customer ID]], "-",Table15678[[#This Row],[Age]])</f>
        <v>CUST494-42</v>
      </c>
      <c r="S495" s="4" t="str">
        <f>TEXT(Table15678[[#This Row],[Date]],"mmm")</f>
        <v>Sep</v>
      </c>
      <c r="T495" s="4" t="str">
        <f>TEXT(Table15678[[#This Row],[Date]],"DDD")</f>
        <v>Mon</v>
      </c>
    </row>
    <row r="496" spans="1:20" ht="29" x14ac:dyDescent="0.35">
      <c r="A496" s="4">
        <v>495</v>
      </c>
      <c r="B496" s="5">
        <v>45131</v>
      </c>
      <c r="C496" s="4" t="s">
        <v>508</v>
      </c>
      <c r="D496" s="4" t="s">
        <v>10</v>
      </c>
      <c r="E496" s="4">
        <v>24</v>
      </c>
      <c r="F496" s="4" t="str">
        <f>IF(Table15678[[#This Row],[Age]]&lt;=19,"Teenager",IF(Table15678[[#This Row],[Age]]&lt;=40,"Median","Old"))</f>
        <v>Median</v>
      </c>
      <c r="G496" s="4" t="s">
        <v>11</v>
      </c>
      <c r="H496" s="4">
        <v>2</v>
      </c>
      <c r="I496" s="4">
        <v>30</v>
      </c>
      <c r="J496" s="4">
        <v>60</v>
      </c>
      <c r="K496" s="4" t="str" cm="1">
        <f t="array" ref="K496">_xlfn.IFS(AND(Table15678[[#This Row],[Total Amount]]&gt;=1500),"Critical",AND(Table15678[[#This Row],[Total Amount]]&gt;=1000),"High",TRUE,"Normal")</f>
        <v>Normal</v>
      </c>
      <c r="L496" s="4" t="str">
        <f>IF(Table15678[[#This Row],[Total Amount]]&gt;=1000,"High",(IF(Table15678[[#This Row],[Total Amount]]&gt;=500,"Medium","Low")))</f>
        <v>Low</v>
      </c>
      <c r="M496" s="4" t="str" cm="1">
        <f t="array" ref="M49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496" s="4" cm="1">
        <f t="array" ref="N49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496" s="4">
        <f>Table15678[[#This Row],[Total Amount]]-Table15678[[#This Row],[Discount Amount]]</f>
        <v>60</v>
      </c>
      <c r="P496" s="4" t="str">
        <f>IF(Table15678[[#This Row],[Total Amount]]&gt;=1000,"High","Low")</f>
        <v>Low</v>
      </c>
      <c r="Q496" s="4" t="str" cm="1">
        <f t="array" ref="Q496">_xlfn.IFS(AND(Table15678[[#This Row],[Total Amount]]&gt;=1500,"Critical"),AND(Table15678[[#This Row],[Total Amount]]&gt;=1000,"High"),TRUE,"Normal")</f>
        <v>Normal</v>
      </c>
      <c r="R496" s="4" t="str">
        <f>CONCATENATE(Table15678[[#This Row],[Customer ID]], "-",Table15678[[#This Row],[Age]])</f>
        <v>CUST495-24</v>
      </c>
      <c r="S496" s="4" t="str">
        <f>TEXT(Table15678[[#This Row],[Date]],"mmm")</f>
        <v>Jul</v>
      </c>
      <c r="T496" s="4" t="str">
        <f>TEXT(Table15678[[#This Row],[Date]],"DDD")</f>
        <v>Mon</v>
      </c>
    </row>
    <row r="497" spans="1:20" ht="29" x14ac:dyDescent="0.35">
      <c r="A497" s="4">
        <v>496</v>
      </c>
      <c r="B497" s="5">
        <v>45274</v>
      </c>
      <c r="C497" s="4" t="s">
        <v>509</v>
      </c>
      <c r="D497" s="4" t="s">
        <v>10</v>
      </c>
      <c r="E497" s="4">
        <v>23</v>
      </c>
      <c r="F497" s="4" t="str">
        <f>IF(Table15678[[#This Row],[Age]]&lt;=19,"Teenager",IF(Table15678[[#This Row],[Age]]&lt;=40,"Median","Old"))</f>
        <v>Median</v>
      </c>
      <c r="G497" s="4" t="s">
        <v>14</v>
      </c>
      <c r="H497" s="4">
        <v>2</v>
      </c>
      <c r="I497" s="4">
        <v>300</v>
      </c>
      <c r="J497" s="4">
        <v>600</v>
      </c>
      <c r="K497" s="4" t="str" cm="1">
        <f t="array" ref="K497">_xlfn.IFS(AND(Table15678[[#This Row],[Total Amount]]&gt;=1500),"Critical",AND(Table15678[[#This Row],[Total Amount]]&gt;=1000),"High",TRUE,"Normal")</f>
        <v>Normal</v>
      </c>
      <c r="L497" s="4" t="str">
        <f>IF(Table15678[[#This Row],[Total Amount]]&gt;=1000,"High",(IF(Table15678[[#This Row],[Total Amount]]&gt;=500,"Medium","Low")))</f>
        <v>Medium</v>
      </c>
      <c r="M497" s="4" t="str" cm="1">
        <f t="array" ref="M49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497" s="4" cm="1">
        <f t="array" ref="N49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497" s="4">
        <f>Table15678[[#This Row],[Total Amount]]-Table15678[[#This Row],[Discount Amount]]</f>
        <v>600</v>
      </c>
      <c r="P497" s="4" t="str">
        <f>IF(Table15678[[#This Row],[Total Amount]]&gt;=1000,"High","Low")</f>
        <v>Low</v>
      </c>
      <c r="Q497" s="4" t="str" cm="1">
        <f t="array" ref="Q497">_xlfn.IFS(AND(Table15678[[#This Row],[Total Amount]]&gt;=1500,"Critical"),AND(Table15678[[#This Row],[Total Amount]]&gt;=1000,"High"),TRUE,"Normal")</f>
        <v>Normal</v>
      </c>
      <c r="R497" s="4" t="str">
        <f>CONCATENATE(Table15678[[#This Row],[Customer ID]], "-",Table15678[[#This Row],[Age]])</f>
        <v>CUST496-23</v>
      </c>
      <c r="S497" s="4" t="str">
        <f>TEXT(Table15678[[#This Row],[Date]],"mmm")</f>
        <v>Dec</v>
      </c>
      <c r="T497" s="4" t="str">
        <f>TEXT(Table15678[[#This Row],[Date]],"DDD")</f>
        <v>Thu</v>
      </c>
    </row>
    <row r="498" spans="1:20" ht="29" x14ac:dyDescent="0.35">
      <c r="A498" s="4">
        <v>497</v>
      </c>
      <c r="B498" s="5">
        <v>45201</v>
      </c>
      <c r="C498" s="4" t="s">
        <v>510</v>
      </c>
      <c r="D498" s="4" t="s">
        <v>10</v>
      </c>
      <c r="E498" s="4">
        <v>41</v>
      </c>
      <c r="F498" s="4" t="str">
        <f>IF(Table15678[[#This Row],[Age]]&lt;=19,"Teenager",IF(Table15678[[#This Row],[Age]]&lt;=40,"Median","Old"))</f>
        <v>Old</v>
      </c>
      <c r="G498" s="4" t="s">
        <v>14</v>
      </c>
      <c r="H498" s="4">
        <v>4</v>
      </c>
      <c r="I498" s="4">
        <v>30</v>
      </c>
      <c r="J498" s="4">
        <v>120</v>
      </c>
      <c r="K498" s="4" t="str" cm="1">
        <f t="array" ref="K498">_xlfn.IFS(AND(Table15678[[#This Row],[Total Amount]]&gt;=1500),"Critical",AND(Table15678[[#This Row],[Total Amount]]&gt;=1000),"High",TRUE,"Normal")</f>
        <v>Normal</v>
      </c>
      <c r="L498" s="4" t="str">
        <f>IF(Table15678[[#This Row],[Total Amount]]&gt;=1000,"High",(IF(Table15678[[#This Row],[Total Amount]]&gt;=500,"Medium","Low")))</f>
        <v>Low</v>
      </c>
      <c r="M498" s="4" t="str" cm="1">
        <f t="array" ref="M49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98" s="4" cm="1">
        <f t="array" ref="N49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498" s="4">
        <f>Table15678[[#This Row],[Total Amount]]-Table15678[[#This Row],[Discount Amount]]</f>
        <v>108</v>
      </c>
      <c r="P498" s="4" t="str">
        <f>IF(Table15678[[#This Row],[Total Amount]]&gt;=1000,"High","Low")</f>
        <v>Low</v>
      </c>
      <c r="Q498" s="4" t="str" cm="1">
        <f t="array" ref="Q498">_xlfn.IFS(AND(Table15678[[#This Row],[Total Amount]]&gt;=1500,"Critical"),AND(Table15678[[#This Row],[Total Amount]]&gt;=1000,"High"),TRUE,"Normal")</f>
        <v>Normal</v>
      </c>
      <c r="R498" s="4" t="str">
        <f>CONCATENATE(Table15678[[#This Row],[Customer ID]], "-",Table15678[[#This Row],[Age]])</f>
        <v>CUST497-41</v>
      </c>
      <c r="S498" s="4" t="str">
        <f>TEXT(Table15678[[#This Row],[Date]],"mmm")</f>
        <v>Oct</v>
      </c>
      <c r="T498" s="4" t="str">
        <f>TEXT(Table15678[[#This Row],[Date]],"DDD")</f>
        <v>Mon</v>
      </c>
    </row>
    <row r="499" spans="1:20" ht="29" x14ac:dyDescent="0.35">
      <c r="A499" s="4">
        <v>498</v>
      </c>
      <c r="B499" s="5">
        <v>45096</v>
      </c>
      <c r="C499" s="4" t="s">
        <v>511</v>
      </c>
      <c r="D499" s="4" t="s">
        <v>13</v>
      </c>
      <c r="E499" s="4">
        <v>50</v>
      </c>
      <c r="F499" s="4" t="str">
        <f>IF(Table15678[[#This Row],[Age]]&lt;=19,"Teenager",IF(Table15678[[#This Row],[Age]]&lt;=40,"Median","Old"))</f>
        <v>Old</v>
      </c>
      <c r="G499" s="4" t="s">
        <v>14</v>
      </c>
      <c r="H499" s="4">
        <v>4</v>
      </c>
      <c r="I499" s="4">
        <v>25</v>
      </c>
      <c r="J499" s="4">
        <v>100</v>
      </c>
      <c r="K499" s="4" t="str" cm="1">
        <f t="array" ref="K499">_xlfn.IFS(AND(Table15678[[#This Row],[Total Amount]]&gt;=1500),"Critical",AND(Table15678[[#This Row],[Total Amount]]&gt;=1000),"High",TRUE,"Normal")</f>
        <v>Normal</v>
      </c>
      <c r="L499" s="4" t="str">
        <f>IF(Table15678[[#This Row],[Total Amount]]&gt;=1000,"High",(IF(Table15678[[#This Row],[Total Amount]]&gt;=500,"Medium","Low")))</f>
        <v>Low</v>
      </c>
      <c r="M499" s="4" t="str" cm="1">
        <f t="array" ref="M49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499" s="4" cm="1">
        <f t="array" ref="N49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499" s="4">
        <f>Table15678[[#This Row],[Total Amount]]-Table15678[[#This Row],[Discount Amount]]</f>
        <v>80</v>
      </c>
      <c r="P499" s="4" t="str">
        <f>IF(Table15678[[#This Row],[Total Amount]]&gt;=1000,"High","Low")</f>
        <v>Low</v>
      </c>
      <c r="Q499" s="4" t="str" cm="1">
        <f t="array" ref="Q499">_xlfn.IFS(AND(Table15678[[#This Row],[Total Amount]]&gt;=1500,"Critical"),AND(Table15678[[#This Row],[Total Amount]]&gt;=1000,"High"),TRUE,"Normal")</f>
        <v>Normal</v>
      </c>
      <c r="R499" s="4" t="str">
        <f>CONCATENATE(Table15678[[#This Row],[Customer ID]], "-",Table15678[[#This Row],[Age]])</f>
        <v>CUST498-50</v>
      </c>
      <c r="S499" s="4" t="str">
        <f>TEXT(Table15678[[#This Row],[Date]],"mmm")</f>
        <v>Jun</v>
      </c>
      <c r="T499" s="4" t="str">
        <f>TEXT(Table15678[[#This Row],[Date]],"DDD")</f>
        <v>Mon</v>
      </c>
    </row>
    <row r="500" spans="1:20" ht="29" x14ac:dyDescent="0.35">
      <c r="A500" s="4">
        <v>499</v>
      </c>
      <c r="B500" s="5">
        <v>44941</v>
      </c>
      <c r="C500" s="4" t="s">
        <v>512</v>
      </c>
      <c r="D500" s="4" t="s">
        <v>10</v>
      </c>
      <c r="E500" s="4">
        <v>46</v>
      </c>
      <c r="F500" s="4" t="str">
        <f>IF(Table15678[[#This Row],[Age]]&lt;=19,"Teenager",IF(Table15678[[#This Row],[Age]]&lt;=40,"Median","Old"))</f>
        <v>Old</v>
      </c>
      <c r="G500" s="4" t="s">
        <v>11</v>
      </c>
      <c r="H500" s="4">
        <v>2</v>
      </c>
      <c r="I500" s="4">
        <v>30</v>
      </c>
      <c r="J500" s="4">
        <v>60</v>
      </c>
      <c r="K500" s="4" t="str" cm="1">
        <f t="array" ref="K500">_xlfn.IFS(AND(Table15678[[#This Row],[Total Amount]]&gt;=1500),"Critical",AND(Table15678[[#This Row],[Total Amount]]&gt;=1000),"High",TRUE,"Normal")</f>
        <v>Normal</v>
      </c>
      <c r="L500" s="4" t="str">
        <f>IF(Table15678[[#This Row],[Total Amount]]&gt;=1000,"High",(IF(Table15678[[#This Row],[Total Amount]]&gt;=500,"Medium","Low")))</f>
        <v>Low</v>
      </c>
      <c r="M500" s="4" t="str" cm="1">
        <f t="array" ref="M50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00" s="4" cm="1">
        <f t="array" ref="N50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500" s="4">
        <f>Table15678[[#This Row],[Total Amount]]-Table15678[[#This Row],[Discount Amount]]</f>
        <v>54</v>
      </c>
      <c r="P500" s="4" t="str">
        <f>IF(Table15678[[#This Row],[Total Amount]]&gt;=1000,"High","Low")</f>
        <v>Low</v>
      </c>
      <c r="Q500" s="4" t="str" cm="1">
        <f t="array" ref="Q500">_xlfn.IFS(AND(Table15678[[#This Row],[Total Amount]]&gt;=1500,"Critical"),AND(Table15678[[#This Row],[Total Amount]]&gt;=1000,"High"),TRUE,"Normal")</f>
        <v>Normal</v>
      </c>
      <c r="R500" s="4" t="str">
        <f>CONCATENATE(Table15678[[#This Row],[Customer ID]], "-",Table15678[[#This Row],[Age]])</f>
        <v>CUST499-46</v>
      </c>
      <c r="S500" s="4" t="str">
        <f>TEXT(Table15678[[#This Row],[Date]],"mmm")</f>
        <v>Jan</v>
      </c>
      <c r="T500" s="4" t="str">
        <f>TEXT(Table15678[[#This Row],[Date]],"DDD")</f>
        <v>Sun</v>
      </c>
    </row>
    <row r="501" spans="1:20" ht="29" x14ac:dyDescent="0.35">
      <c r="A501" s="4">
        <v>500</v>
      </c>
      <c r="B501" s="5">
        <v>44986</v>
      </c>
      <c r="C501" s="4" t="s">
        <v>513</v>
      </c>
      <c r="D501" s="4" t="s">
        <v>13</v>
      </c>
      <c r="E501" s="4">
        <v>60</v>
      </c>
      <c r="F501" s="4" t="str">
        <f>IF(Table15678[[#This Row],[Age]]&lt;=19,"Teenager",IF(Table15678[[#This Row],[Age]]&lt;=40,"Median","Old"))</f>
        <v>Old</v>
      </c>
      <c r="G501" s="4" t="s">
        <v>11</v>
      </c>
      <c r="H501" s="4">
        <v>4</v>
      </c>
      <c r="I501" s="4">
        <v>25</v>
      </c>
      <c r="J501" s="4">
        <v>100</v>
      </c>
      <c r="K501" s="4" t="str" cm="1">
        <f t="array" ref="K501">_xlfn.IFS(AND(Table15678[[#This Row],[Total Amount]]&gt;=1500),"Critical",AND(Table15678[[#This Row],[Total Amount]]&gt;=1000),"High",TRUE,"Normal")</f>
        <v>Normal</v>
      </c>
      <c r="L501" s="4" t="str">
        <f>IF(Table15678[[#This Row],[Total Amount]]&gt;=1000,"High",(IF(Table15678[[#This Row],[Total Amount]]&gt;=500,"Medium","Low")))</f>
        <v>Low</v>
      </c>
      <c r="M501" s="4" t="str" cm="1">
        <f t="array" ref="M50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01" s="4" cm="1">
        <f t="array" ref="N50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501" s="4">
        <f>Table15678[[#This Row],[Total Amount]]-Table15678[[#This Row],[Discount Amount]]</f>
        <v>80</v>
      </c>
      <c r="P501" s="4" t="str">
        <f>IF(Table15678[[#This Row],[Total Amount]]&gt;=1000,"High","Low")</f>
        <v>Low</v>
      </c>
      <c r="Q501" s="4" t="str" cm="1">
        <f t="array" ref="Q501">_xlfn.IFS(AND(Table15678[[#This Row],[Total Amount]]&gt;=1500,"Critical"),AND(Table15678[[#This Row],[Total Amount]]&gt;=1000,"High"),TRUE,"Normal")</f>
        <v>Normal</v>
      </c>
      <c r="R501" s="4" t="str">
        <f>CONCATENATE(Table15678[[#This Row],[Customer ID]], "-",Table15678[[#This Row],[Age]])</f>
        <v>CUST500-60</v>
      </c>
      <c r="S501" s="4" t="str">
        <f>TEXT(Table15678[[#This Row],[Date]],"mmm")</f>
        <v>Mar</v>
      </c>
      <c r="T501" s="4" t="str">
        <f>TEXT(Table15678[[#This Row],[Date]],"DDD")</f>
        <v>Wed</v>
      </c>
    </row>
    <row r="502" spans="1:20" ht="29" x14ac:dyDescent="0.35">
      <c r="A502" s="4">
        <v>501</v>
      </c>
      <c r="B502" s="5">
        <v>45060</v>
      </c>
      <c r="C502" s="4" t="s">
        <v>514</v>
      </c>
      <c r="D502" s="4" t="s">
        <v>10</v>
      </c>
      <c r="E502" s="4">
        <v>39</v>
      </c>
      <c r="F502" s="4" t="str">
        <f>IF(Table15678[[#This Row],[Age]]&lt;=19,"Teenager",IF(Table15678[[#This Row],[Age]]&lt;=40,"Median","Old"))</f>
        <v>Median</v>
      </c>
      <c r="G502" s="4" t="s">
        <v>16</v>
      </c>
      <c r="H502" s="4">
        <v>2</v>
      </c>
      <c r="I502" s="4">
        <v>30</v>
      </c>
      <c r="J502" s="4">
        <v>60</v>
      </c>
      <c r="K502" s="4" t="str" cm="1">
        <f t="array" ref="K502">_xlfn.IFS(AND(Table15678[[#This Row],[Total Amount]]&gt;=1500),"Critical",AND(Table15678[[#This Row],[Total Amount]]&gt;=1000),"High",TRUE,"Normal")</f>
        <v>Normal</v>
      </c>
      <c r="L502" s="4" t="str">
        <f>IF(Table15678[[#This Row],[Total Amount]]&gt;=1000,"High",(IF(Table15678[[#This Row],[Total Amount]]&gt;=500,"Medium","Low")))</f>
        <v>Low</v>
      </c>
      <c r="M502" s="4" t="str" cm="1">
        <f t="array" ref="M50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02" s="4" cm="1">
        <f t="array" ref="N50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502" s="4">
        <f>Table15678[[#This Row],[Total Amount]]-Table15678[[#This Row],[Discount Amount]]</f>
        <v>54</v>
      </c>
      <c r="P502" s="4" t="str">
        <f>IF(Table15678[[#This Row],[Total Amount]]&gt;=1000,"High","Low")</f>
        <v>Low</v>
      </c>
      <c r="Q502" s="4" t="str" cm="1">
        <f t="array" ref="Q502">_xlfn.IFS(AND(Table15678[[#This Row],[Total Amount]]&gt;=1500,"Critical"),AND(Table15678[[#This Row],[Total Amount]]&gt;=1000,"High"),TRUE,"Normal")</f>
        <v>Normal</v>
      </c>
      <c r="R502" s="4" t="str">
        <f>CONCATENATE(Table15678[[#This Row],[Customer ID]], "-",Table15678[[#This Row],[Age]])</f>
        <v>CUST501-39</v>
      </c>
      <c r="S502" s="4" t="str">
        <f>TEXT(Table15678[[#This Row],[Date]],"mmm")</f>
        <v>May</v>
      </c>
      <c r="T502" s="4" t="str">
        <f>TEXT(Table15678[[#This Row],[Date]],"DDD")</f>
        <v>Sun</v>
      </c>
    </row>
    <row r="503" spans="1:20" ht="29" x14ac:dyDescent="0.35">
      <c r="A503" s="4">
        <v>502</v>
      </c>
      <c r="B503" s="5">
        <v>45018</v>
      </c>
      <c r="C503" s="4" t="s">
        <v>515</v>
      </c>
      <c r="D503" s="4" t="s">
        <v>10</v>
      </c>
      <c r="E503" s="4">
        <v>43</v>
      </c>
      <c r="F503" s="4" t="str">
        <f>IF(Table15678[[#This Row],[Age]]&lt;=19,"Teenager",IF(Table15678[[#This Row],[Age]]&lt;=40,"Median","Old"))</f>
        <v>Old</v>
      </c>
      <c r="G503" s="4" t="s">
        <v>16</v>
      </c>
      <c r="H503" s="4">
        <v>3</v>
      </c>
      <c r="I503" s="4">
        <v>50</v>
      </c>
      <c r="J503" s="4">
        <v>150</v>
      </c>
      <c r="K503" s="4" t="str" cm="1">
        <f t="array" ref="K503">_xlfn.IFS(AND(Table15678[[#This Row],[Total Amount]]&gt;=1500),"Critical",AND(Table15678[[#This Row],[Total Amount]]&gt;=1000),"High",TRUE,"Normal")</f>
        <v>Normal</v>
      </c>
      <c r="L503" s="4" t="str">
        <f>IF(Table15678[[#This Row],[Total Amount]]&gt;=1000,"High",(IF(Table15678[[#This Row],[Total Amount]]&gt;=500,"Medium","Low")))</f>
        <v>Low</v>
      </c>
      <c r="M503" s="4" t="str" cm="1">
        <f t="array" ref="M50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03" s="4" cm="1">
        <f t="array" ref="N50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503" s="4">
        <f>Table15678[[#This Row],[Total Amount]]-Table15678[[#This Row],[Discount Amount]]</f>
        <v>135</v>
      </c>
      <c r="P503" s="4" t="str">
        <f>IF(Table15678[[#This Row],[Total Amount]]&gt;=1000,"High","Low")</f>
        <v>Low</v>
      </c>
      <c r="Q503" s="4" t="str" cm="1">
        <f t="array" ref="Q503">_xlfn.IFS(AND(Table15678[[#This Row],[Total Amount]]&gt;=1500,"Critical"),AND(Table15678[[#This Row],[Total Amount]]&gt;=1000,"High"),TRUE,"Normal")</f>
        <v>Normal</v>
      </c>
      <c r="R503" s="4" t="str">
        <f>CONCATENATE(Table15678[[#This Row],[Customer ID]], "-",Table15678[[#This Row],[Age]])</f>
        <v>CUST502-43</v>
      </c>
      <c r="S503" s="4" t="str">
        <f>TEXT(Table15678[[#This Row],[Date]],"mmm")</f>
        <v>Apr</v>
      </c>
      <c r="T503" s="4" t="str">
        <f>TEXT(Table15678[[#This Row],[Date]],"DDD")</f>
        <v>Sun</v>
      </c>
    </row>
    <row r="504" spans="1:20" ht="29" x14ac:dyDescent="0.35">
      <c r="A504" s="4">
        <v>503</v>
      </c>
      <c r="B504" s="5">
        <v>45224</v>
      </c>
      <c r="C504" s="4" t="s">
        <v>516</v>
      </c>
      <c r="D504" s="4" t="s">
        <v>10</v>
      </c>
      <c r="E504" s="4">
        <v>45</v>
      </c>
      <c r="F504" s="4" t="str">
        <f>IF(Table15678[[#This Row],[Age]]&lt;=19,"Teenager",IF(Table15678[[#This Row],[Age]]&lt;=40,"Median","Old"))</f>
        <v>Old</v>
      </c>
      <c r="G504" s="4" t="s">
        <v>11</v>
      </c>
      <c r="H504" s="4">
        <v>4</v>
      </c>
      <c r="I504" s="4">
        <v>500</v>
      </c>
      <c r="J504" s="4">
        <v>2000</v>
      </c>
      <c r="K504" s="4" t="str" cm="1">
        <f t="array" ref="K504">_xlfn.IFS(AND(Table15678[[#This Row],[Total Amount]]&gt;=1500),"Critical",AND(Table15678[[#This Row],[Total Amount]]&gt;=1000),"High",TRUE,"Normal")</f>
        <v>Critical</v>
      </c>
      <c r="L504" s="4" t="str">
        <f>IF(Table15678[[#This Row],[Total Amount]]&gt;=1000,"High",(IF(Table15678[[#This Row],[Total Amount]]&gt;=500,"Medium","Low")))</f>
        <v>High</v>
      </c>
      <c r="M504" s="4" t="str" cm="1">
        <f t="array" ref="M50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04" s="4" cm="1">
        <f t="array" ref="N50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504" s="4">
        <f>Table15678[[#This Row],[Total Amount]]-Table15678[[#This Row],[Discount Amount]]</f>
        <v>1800</v>
      </c>
      <c r="P504" s="4" t="str">
        <f>IF(Table15678[[#This Row],[Total Amount]]&gt;=1000,"High","Low")</f>
        <v>High</v>
      </c>
      <c r="Q504" s="4" t="b" cm="1">
        <f t="array" ref="Q504">_xlfn.IFS(AND(Table15678[[#This Row],[Total Amount]]&gt;=1500,"Critical"),AND(Table15678[[#This Row],[Total Amount]]&gt;=1000,"High"),TRUE,"Normal")</f>
        <v>1</v>
      </c>
      <c r="R504" s="4" t="str">
        <f>CONCATENATE(Table15678[[#This Row],[Customer ID]], "-",Table15678[[#This Row],[Age]])</f>
        <v>CUST503-45</v>
      </c>
      <c r="S504" s="4" t="str">
        <f>TEXT(Table15678[[#This Row],[Date]],"mmm")</f>
        <v>Oct</v>
      </c>
      <c r="T504" s="4" t="str">
        <f>TEXT(Table15678[[#This Row],[Date]],"DDD")</f>
        <v>Wed</v>
      </c>
    </row>
    <row r="505" spans="1:20" ht="29" x14ac:dyDescent="0.35">
      <c r="A505" s="4">
        <v>504</v>
      </c>
      <c r="B505" s="5">
        <v>45062</v>
      </c>
      <c r="C505" s="4" t="s">
        <v>517</v>
      </c>
      <c r="D505" s="4" t="s">
        <v>13</v>
      </c>
      <c r="E505" s="4">
        <v>38</v>
      </c>
      <c r="F505" s="4" t="str">
        <f>IF(Table15678[[#This Row],[Age]]&lt;=19,"Teenager",IF(Table15678[[#This Row],[Age]]&lt;=40,"Median","Old"))</f>
        <v>Median</v>
      </c>
      <c r="G505" s="4" t="s">
        <v>11</v>
      </c>
      <c r="H505" s="4">
        <v>3</v>
      </c>
      <c r="I505" s="4">
        <v>50</v>
      </c>
      <c r="J505" s="4">
        <v>150</v>
      </c>
      <c r="K505" s="4" t="str" cm="1">
        <f t="array" ref="K505">_xlfn.IFS(AND(Table15678[[#This Row],[Total Amount]]&gt;=1500),"Critical",AND(Table15678[[#This Row],[Total Amount]]&gt;=1000),"High",TRUE,"Normal")</f>
        <v>Normal</v>
      </c>
      <c r="L505" s="4" t="str">
        <f>IF(Table15678[[#This Row],[Total Amount]]&gt;=1000,"High",(IF(Table15678[[#This Row],[Total Amount]]&gt;=500,"Medium","Low")))</f>
        <v>Low</v>
      </c>
      <c r="M505" s="4" t="str" cm="1">
        <f t="array" ref="M50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05" s="4" cm="1">
        <f t="array" ref="N50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505" s="4">
        <f>Table15678[[#This Row],[Total Amount]]-Table15678[[#This Row],[Discount Amount]]</f>
        <v>120</v>
      </c>
      <c r="P505" s="4" t="str">
        <f>IF(Table15678[[#This Row],[Total Amount]]&gt;=1000,"High","Low")</f>
        <v>Low</v>
      </c>
      <c r="Q505" s="4" t="str" cm="1">
        <f t="array" ref="Q505">_xlfn.IFS(AND(Table15678[[#This Row],[Total Amount]]&gt;=1500,"Critical"),AND(Table15678[[#This Row],[Total Amount]]&gt;=1000,"High"),TRUE,"Normal")</f>
        <v>Normal</v>
      </c>
      <c r="R505" s="4" t="str">
        <f>CONCATENATE(Table15678[[#This Row],[Customer ID]], "-",Table15678[[#This Row],[Age]])</f>
        <v>CUST504-38</v>
      </c>
      <c r="S505" s="4" t="str">
        <f>TEXT(Table15678[[#This Row],[Date]],"mmm")</f>
        <v>May</v>
      </c>
      <c r="T505" s="4" t="str">
        <f>TEXT(Table15678[[#This Row],[Date]],"DDD")</f>
        <v>Tue</v>
      </c>
    </row>
    <row r="506" spans="1:20" ht="29" x14ac:dyDescent="0.35">
      <c r="A506" s="4">
        <v>505</v>
      </c>
      <c r="B506" s="5">
        <v>44946</v>
      </c>
      <c r="C506" s="4" t="s">
        <v>518</v>
      </c>
      <c r="D506" s="4" t="s">
        <v>10</v>
      </c>
      <c r="E506" s="4">
        <v>24</v>
      </c>
      <c r="F506" s="4" t="str">
        <f>IF(Table15678[[#This Row],[Age]]&lt;=19,"Teenager",IF(Table15678[[#This Row],[Age]]&lt;=40,"Median","Old"))</f>
        <v>Median</v>
      </c>
      <c r="G506" s="4" t="s">
        <v>11</v>
      </c>
      <c r="H506" s="4">
        <v>1</v>
      </c>
      <c r="I506" s="4">
        <v>50</v>
      </c>
      <c r="J506" s="4">
        <v>50</v>
      </c>
      <c r="K506" s="4" t="str" cm="1">
        <f t="array" ref="K506">_xlfn.IFS(AND(Table15678[[#This Row],[Total Amount]]&gt;=1500),"Critical",AND(Table15678[[#This Row],[Total Amount]]&gt;=1000),"High",TRUE,"Normal")</f>
        <v>Normal</v>
      </c>
      <c r="L506" s="4" t="str">
        <f>IF(Table15678[[#This Row],[Total Amount]]&gt;=1000,"High",(IF(Table15678[[#This Row],[Total Amount]]&gt;=500,"Medium","Low")))</f>
        <v>Low</v>
      </c>
      <c r="M506" s="4" t="str" cm="1">
        <f t="array" ref="M50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506" s="4" cm="1">
        <f t="array" ref="N50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506" s="4">
        <f>Table15678[[#This Row],[Total Amount]]-Table15678[[#This Row],[Discount Amount]]</f>
        <v>50</v>
      </c>
      <c r="P506" s="4" t="str">
        <f>IF(Table15678[[#This Row],[Total Amount]]&gt;=1000,"High","Low")</f>
        <v>Low</v>
      </c>
      <c r="Q506" s="4" t="str" cm="1">
        <f t="array" ref="Q506">_xlfn.IFS(AND(Table15678[[#This Row],[Total Amount]]&gt;=1500,"Critical"),AND(Table15678[[#This Row],[Total Amount]]&gt;=1000,"High"),TRUE,"Normal")</f>
        <v>Normal</v>
      </c>
      <c r="R506" s="4" t="str">
        <f>CONCATENATE(Table15678[[#This Row],[Customer ID]], "-",Table15678[[#This Row],[Age]])</f>
        <v>CUST505-24</v>
      </c>
      <c r="S506" s="4" t="str">
        <f>TEXT(Table15678[[#This Row],[Date]],"mmm")</f>
        <v>Jan</v>
      </c>
      <c r="T506" s="4" t="str">
        <f>TEXT(Table15678[[#This Row],[Date]],"DDD")</f>
        <v>Fri</v>
      </c>
    </row>
    <row r="507" spans="1:20" ht="29" x14ac:dyDescent="0.35">
      <c r="A507" s="4">
        <v>506</v>
      </c>
      <c r="B507" s="5">
        <v>44982</v>
      </c>
      <c r="C507" s="4" t="s">
        <v>519</v>
      </c>
      <c r="D507" s="4" t="s">
        <v>10</v>
      </c>
      <c r="E507" s="4">
        <v>34</v>
      </c>
      <c r="F507" s="4" t="str">
        <f>IF(Table15678[[#This Row],[Age]]&lt;=19,"Teenager",IF(Table15678[[#This Row],[Age]]&lt;=40,"Median","Old"))</f>
        <v>Median</v>
      </c>
      <c r="G507" s="4" t="s">
        <v>11</v>
      </c>
      <c r="H507" s="4">
        <v>3</v>
      </c>
      <c r="I507" s="4">
        <v>500</v>
      </c>
      <c r="J507" s="4">
        <v>1500</v>
      </c>
      <c r="K507" s="4" t="str" cm="1">
        <f t="array" ref="K507">_xlfn.IFS(AND(Table15678[[#This Row],[Total Amount]]&gt;=1500),"Critical",AND(Table15678[[#This Row],[Total Amount]]&gt;=1000),"High",TRUE,"Normal")</f>
        <v>Critical</v>
      </c>
      <c r="L507" s="4" t="str">
        <f>IF(Table15678[[#This Row],[Total Amount]]&gt;=1000,"High",(IF(Table15678[[#This Row],[Total Amount]]&gt;=500,"Medium","Low")))</f>
        <v>High</v>
      </c>
      <c r="M507" s="4" t="str" cm="1">
        <f t="array" ref="M50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07" s="4" cm="1">
        <f t="array" ref="N50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225</v>
      </c>
      <c r="O507" s="4">
        <f>Table15678[[#This Row],[Total Amount]]-Table15678[[#This Row],[Discount Amount]]</f>
        <v>1275</v>
      </c>
      <c r="P507" s="4" t="str">
        <f>IF(Table15678[[#This Row],[Total Amount]]&gt;=1000,"High","Low")</f>
        <v>High</v>
      </c>
      <c r="Q507" s="4" t="b" cm="1">
        <f t="array" ref="Q507">_xlfn.IFS(AND(Table15678[[#This Row],[Total Amount]]&gt;=1500,"Critical"),AND(Table15678[[#This Row],[Total Amount]]&gt;=1000,"High"),TRUE,"Normal")</f>
        <v>1</v>
      </c>
      <c r="R507" s="4" t="str">
        <f>CONCATENATE(Table15678[[#This Row],[Customer ID]], "-",Table15678[[#This Row],[Age]])</f>
        <v>CUST506-34</v>
      </c>
      <c r="S507" s="4" t="str">
        <f>TEXT(Table15678[[#This Row],[Date]],"mmm")</f>
        <v>Feb</v>
      </c>
      <c r="T507" s="4" t="str">
        <f>TEXT(Table15678[[#This Row],[Date]],"DDD")</f>
        <v>Sat</v>
      </c>
    </row>
    <row r="508" spans="1:20" ht="29" x14ac:dyDescent="0.35">
      <c r="A508" s="4">
        <v>507</v>
      </c>
      <c r="B508" s="5">
        <v>45232</v>
      </c>
      <c r="C508" s="4" t="s">
        <v>520</v>
      </c>
      <c r="D508" s="4" t="s">
        <v>13</v>
      </c>
      <c r="E508" s="4">
        <v>37</v>
      </c>
      <c r="F508" s="4" t="str">
        <f>IF(Table15678[[#This Row],[Age]]&lt;=19,"Teenager",IF(Table15678[[#This Row],[Age]]&lt;=40,"Median","Old"))</f>
        <v>Median</v>
      </c>
      <c r="G508" s="4" t="s">
        <v>16</v>
      </c>
      <c r="H508" s="4">
        <v>3</v>
      </c>
      <c r="I508" s="4">
        <v>500</v>
      </c>
      <c r="J508" s="4">
        <v>1500</v>
      </c>
      <c r="K508" s="4" t="str" cm="1">
        <f t="array" ref="K508">_xlfn.IFS(AND(Table15678[[#This Row],[Total Amount]]&gt;=1500),"Critical",AND(Table15678[[#This Row],[Total Amount]]&gt;=1000),"High",TRUE,"Normal")</f>
        <v>Critical</v>
      </c>
      <c r="L508" s="4" t="str">
        <f>IF(Table15678[[#This Row],[Total Amount]]&gt;=1000,"High",(IF(Table15678[[#This Row],[Total Amount]]&gt;=500,"Medium","Low")))</f>
        <v>High</v>
      </c>
      <c r="M508" s="4" t="str" cm="1">
        <f t="array" ref="M50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08" s="4" cm="1">
        <f t="array" ref="N50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508" s="4">
        <f>Table15678[[#This Row],[Total Amount]]-Table15678[[#This Row],[Discount Amount]]</f>
        <v>1200</v>
      </c>
      <c r="P508" s="4" t="str">
        <f>IF(Table15678[[#This Row],[Total Amount]]&gt;=1000,"High","Low")</f>
        <v>High</v>
      </c>
      <c r="Q508" s="4" t="b" cm="1">
        <f t="array" ref="Q508">_xlfn.IFS(AND(Table15678[[#This Row],[Total Amount]]&gt;=1500,"Critical"),AND(Table15678[[#This Row],[Total Amount]]&gt;=1000,"High"),TRUE,"Normal")</f>
        <v>1</v>
      </c>
      <c r="R508" s="4" t="str">
        <f>CONCATENATE(Table15678[[#This Row],[Customer ID]], "-",Table15678[[#This Row],[Age]])</f>
        <v>CUST507-37</v>
      </c>
      <c r="S508" s="4" t="str">
        <f>TEXT(Table15678[[#This Row],[Date]],"mmm")</f>
        <v>Nov</v>
      </c>
      <c r="T508" s="4" t="str">
        <f>TEXT(Table15678[[#This Row],[Date]],"DDD")</f>
        <v>Thu</v>
      </c>
    </row>
    <row r="509" spans="1:20" ht="29" x14ac:dyDescent="0.35">
      <c r="A509" s="4">
        <v>508</v>
      </c>
      <c r="B509" s="5">
        <v>45149</v>
      </c>
      <c r="C509" s="4" t="s">
        <v>521</v>
      </c>
      <c r="D509" s="4" t="s">
        <v>10</v>
      </c>
      <c r="E509" s="4">
        <v>58</v>
      </c>
      <c r="F509" s="4" t="str">
        <f>IF(Table15678[[#This Row],[Age]]&lt;=19,"Teenager",IF(Table15678[[#This Row],[Age]]&lt;=40,"Median","Old"))</f>
        <v>Old</v>
      </c>
      <c r="G509" s="4" t="s">
        <v>11</v>
      </c>
      <c r="H509" s="4">
        <v>2</v>
      </c>
      <c r="I509" s="4">
        <v>300</v>
      </c>
      <c r="J509" s="4">
        <v>600</v>
      </c>
      <c r="K509" s="4" t="str" cm="1">
        <f t="array" ref="K509">_xlfn.IFS(AND(Table15678[[#This Row],[Total Amount]]&gt;=1500),"Critical",AND(Table15678[[#This Row],[Total Amount]]&gt;=1000),"High",TRUE,"Normal")</f>
        <v>Normal</v>
      </c>
      <c r="L509" s="4" t="str">
        <f>IF(Table15678[[#This Row],[Total Amount]]&gt;=1000,"High",(IF(Table15678[[#This Row],[Total Amount]]&gt;=500,"Medium","Low")))</f>
        <v>Medium</v>
      </c>
      <c r="M509" s="4" t="str" cm="1">
        <f t="array" ref="M50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09" s="4" cm="1">
        <f t="array" ref="N50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509" s="4">
        <f>Table15678[[#This Row],[Total Amount]]-Table15678[[#This Row],[Discount Amount]]</f>
        <v>540</v>
      </c>
      <c r="P509" s="4" t="str">
        <f>IF(Table15678[[#This Row],[Total Amount]]&gt;=1000,"High","Low")</f>
        <v>Low</v>
      </c>
      <c r="Q509" s="4" t="str" cm="1">
        <f t="array" ref="Q509">_xlfn.IFS(AND(Table15678[[#This Row],[Total Amount]]&gt;=1500,"Critical"),AND(Table15678[[#This Row],[Total Amount]]&gt;=1000,"High"),TRUE,"Normal")</f>
        <v>Normal</v>
      </c>
      <c r="R509" s="4" t="str">
        <f>CONCATENATE(Table15678[[#This Row],[Customer ID]], "-",Table15678[[#This Row],[Age]])</f>
        <v>CUST508-58</v>
      </c>
      <c r="S509" s="4" t="str">
        <f>TEXT(Table15678[[#This Row],[Date]],"mmm")</f>
        <v>Aug</v>
      </c>
      <c r="T509" s="4" t="str">
        <f>TEXT(Table15678[[#This Row],[Date]],"DDD")</f>
        <v>Fri</v>
      </c>
    </row>
    <row r="510" spans="1:20" ht="29" x14ac:dyDescent="0.35">
      <c r="A510" s="4">
        <v>509</v>
      </c>
      <c r="B510" s="5">
        <v>45103</v>
      </c>
      <c r="C510" s="4" t="s">
        <v>522</v>
      </c>
      <c r="D510" s="4" t="s">
        <v>13</v>
      </c>
      <c r="E510" s="4">
        <v>37</v>
      </c>
      <c r="F510" s="4" t="str">
        <f>IF(Table15678[[#This Row],[Age]]&lt;=19,"Teenager",IF(Table15678[[#This Row],[Age]]&lt;=40,"Median","Old"))</f>
        <v>Median</v>
      </c>
      <c r="G510" s="4" t="s">
        <v>16</v>
      </c>
      <c r="H510" s="4">
        <v>3</v>
      </c>
      <c r="I510" s="4">
        <v>300</v>
      </c>
      <c r="J510" s="4">
        <v>900</v>
      </c>
      <c r="K510" s="4" t="str" cm="1">
        <f t="array" ref="K510">_xlfn.IFS(AND(Table15678[[#This Row],[Total Amount]]&gt;=1500),"Critical",AND(Table15678[[#This Row],[Total Amount]]&gt;=1000),"High",TRUE,"Normal")</f>
        <v>Normal</v>
      </c>
      <c r="L510" s="4" t="str">
        <f>IF(Table15678[[#This Row],[Total Amount]]&gt;=1000,"High",(IF(Table15678[[#This Row],[Total Amount]]&gt;=500,"Medium","Low")))</f>
        <v>Medium</v>
      </c>
      <c r="M510" s="4" t="str" cm="1">
        <f t="array" ref="M51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10" s="4" cm="1">
        <f t="array" ref="N51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510" s="4">
        <f>Table15678[[#This Row],[Total Amount]]-Table15678[[#This Row],[Discount Amount]]</f>
        <v>720</v>
      </c>
      <c r="P510" s="4" t="str">
        <f>IF(Table15678[[#This Row],[Total Amount]]&gt;=1000,"High","Low")</f>
        <v>Low</v>
      </c>
      <c r="Q510" s="4" t="str" cm="1">
        <f t="array" ref="Q510">_xlfn.IFS(AND(Table15678[[#This Row],[Total Amount]]&gt;=1500,"Critical"),AND(Table15678[[#This Row],[Total Amount]]&gt;=1000,"High"),TRUE,"Normal")</f>
        <v>Normal</v>
      </c>
      <c r="R510" s="4" t="str">
        <f>CONCATENATE(Table15678[[#This Row],[Customer ID]], "-",Table15678[[#This Row],[Age]])</f>
        <v>CUST509-37</v>
      </c>
      <c r="S510" s="4" t="str">
        <f>TEXT(Table15678[[#This Row],[Date]],"mmm")</f>
        <v>Jun</v>
      </c>
      <c r="T510" s="4" t="str">
        <f>TEXT(Table15678[[#This Row],[Date]],"DDD")</f>
        <v>Mon</v>
      </c>
    </row>
    <row r="511" spans="1:20" ht="29" x14ac:dyDescent="0.35">
      <c r="A511" s="4">
        <v>510</v>
      </c>
      <c r="B511" s="5">
        <v>45087</v>
      </c>
      <c r="C511" s="4" t="s">
        <v>523</v>
      </c>
      <c r="D511" s="4" t="s">
        <v>13</v>
      </c>
      <c r="E511" s="4">
        <v>39</v>
      </c>
      <c r="F511" s="4" t="str">
        <f>IF(Table15678[[#This Row],[Age]]&lt;=19,"Teenager",IF(Table15678[[#This Row],[Age]]&lt;=40,"Median","Old"))</f>
        <v>Median</v>
      </c>
      <c r="G511" s="4" t="s">
        <v>11</v>
      </c>
      <c r="H511" s="4">
        <v>4</v>
      </c>
      <c r="I511" s="4">
        <v>50</v>
      </c>
      <c r="J511" s="4">
        <v>200</v>
      </c>
      <c r="K511" s="4" t="str" cm="1">
        <f t="array" ref="K511">_xlfn.IFS(AND(Table15678[[#This Row],[Total Amount]]&gt;=1500),"Critical",AND(Table15678[[#This Row],[Total Amount]]&gt;=1000),"High",TRUE,"Normal")</f>
        <v>Normal</v>
      </c>
      <c r="L511" s="4" t="str">
        <f>IF(Table15678[[#This Row],[Total Amount]]&gt;=1000,"High",(IF(Table15678[[#This Row],[Total Amount]]&gt;=500,"Medium","Low")))</f>
        <v>Low</v>
      </c>
      <c r="M511" s="4" t="str" cm="1">
        <f t="array" ref="M51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11" s="4" cm="1">
        <f t="array" ref="N51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</v>
      </c>
      <c r="O511" s="4">
        <f>Table15678[[#This Row],[Total Amount]]-Table15678[[#This Row],[Discount Amount]]</f>
        <v>160</v>
      </c>
      <c r="P511" s="4" t="str">
        <f>IF(Table15678[[#This Row],[Total Amount]]&gt;=1000,"High","Low")</f>
        <v>Low</v>
      </c>
      <c r="Q511" s="4" t="str" cm="1">
        <f t="array" ref="Q511">_xlfn.IFS(AND(Table15678[[#This Row],[Total Amount]]&gt;=1500,"Critical"),AND(Table15678[[#This Row],[Total Amount]]&gt;=1000,"High"),TRUE,"Normal")</f>
        <v>Normal</v>
      </c>
      <c r="R511" s="4" t="str">
        <f>CONCATENATE(Table15678[[#This Row],[Customer ID]], "-",Table15678[[#This Row],[Age]])</f>
        <v>CUST510-39</v>
      </c>
      <c r="S511" s="4" t="str">
        <f>TEXT(Table15678[[#This Row],[Date]],"mmm")</f>
        <v>Jun</v>
      </c>
      <c r="T511" s="4" t="str">
        <f>TEXT(Table15678[[#This Row],[Date]],"DDD")</f>
        <v>Sat</v>
      </c>
    </row>
    <row r="512" spans="1:20" ht="29" x14ac:dyDescent="0.35">
      <c r="A512" s="4">
        <v>511</v>
      </c>
      <c r="B512" s="5">
        <v>45150</v>
      </c>
      <c r="C512" s="4" t="s">
        <v>524</v>
      </c>
      <c r="D512" s="4" t="s">
        <v>10</v>
      </c>
      <c r="E512" s="4">
        <v>45</v>
      </c>
      <c r="F512" s="4" t="str">
        <f>IF(Table15678[[#This Row],[Age]]&lt;=19,"Teenager",IF(Table15678[[#This Row],[Age]]&lt;=40,"Median","Old"))</f>
        <v>Old</v>
      </c>
      <c r="G512" s="4" t="s">
        <v>11</v>
      </c>
      <c r="H512" s="4">
        <v>2</v>
      </c>
      <c r="I512" s="4">
        <v>50</v>
      </c>
      <c r="J512" s="4">
        <v>100</v>
      </c>
      <c r="K512" s="4" t="str" cm="1">
        <f t="array" ref="K512">_xlfn.IFS(AND(Table15678[[#This Row],[Total Amount]]&gt;=1500),"Critical",AND(Table15678[[#This Row],[Total Amount]]&gt;=1000),"High",TRUE,"Normal")</f>
        <v>Normal</v>
      </c>
      <c r="L512" s="4" t="str">
        <f>IF(Table15678[[#This Row],[Total Amount]]&gt;=1000,"High",(IF(Table15678[[#This Row],[Total Amount]]&gt;=500,"Medium","Low")))</f>
        <v>Low</v>
      </c>
      <c r="M512" s="4" t="str" cm="1">
        <f t="array" ref="M51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12" s="4" cm="1">
        <f t="array" ref="N51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512" s="4">
        <f>Table15678[[#This Row],[Total Amount]]-Table15678[[#This Row],[Discount Amount]]</f>
        <v>90</v>
      </c>
      <c r="P512" s="4" t="str">
        <f>IF(Table15678[[#This Row],[Total Amount]]&gt;=1000,"High","Low")</f>
        <v>Low</v>
      </c>
      <c r="Q512" s="4" t="str" cm="1">
        <f t="array" ref="Q512">_xlfn.IFS(AND(Table15678[[#This Row],[Total Amount]]&gt;=1500,"Critical"),AND(Table15678[[#This Row],[Total Amount]]&gt;=1000,"High"),TRUE,"Normal")</f>
        <v>Normal</v>
      </c>
      <c r="R512" s="4" t="str">
        <f>CONCATENATE(Table15678[[#This Row],[Customer ID]], "-",Table15678[[#This Row],[Age]])</f>
        <v>CUST511-45</v>
      </c>
      <c r="S512" s="4" t="str">
        <f>TEXT(Table15678[[#This Row],[Date]],"mmm")</f>
        <v>Aug</v>
      </c>
      <c r="T512" s="4" t="str">
        <f>TEXT(Table15678[[#This Row],[Date]],"DDD")</f>
        <v>Sat</v>
      </c>
    </row>
    <row r="513" spans="1:20" ht="29" x14ac:dyDescent="0.35">
      <c r="A513" s="4">
        <v>512</v>
      </c>
      <c r="B513" s="5">
        <v>45237</v>
      </c>
      <c r="C513" s="4" t="s">
        <v>525</v>
      </c>
      <c r="D513" s="4" t="s">
        <v>13</v>
      </c>
      <c r="E513" s="4">
        <v>57</v>
      </c>
      <c r="F513" s="4" t="str">
        <f>IF(Table15678[[#This Row],[Age]]&lt;=19,"Teenager",IF(Table15678[[#This Row],[Age]]&lt;=40,"Median","Old"))</f>
        <v>Old</v>
      </c>
      <c r="G513" s="4" t="s">
        <v>11</v>
      </c>
      <c r="H513" s="4">
        <v>1</v>
      </c>
      <c r="I513" s="4">
        <v>25</v>
      </c>
      <c r="J513" s="4">
        <v>25</v>
      </c>
      <c r="K513" s="4" t="str" cm="1">
        <f t="array" ref="K513">_xlfn.IFS(AND(Table15678[[#This Row],[Total Amount]]&gt;=1500),"Critical",AND(Table15678[[#This Row],[Total Amount]]&gt;=1000),"High",TRUE,"Normal")</f>
        <v>Normal</v>
      </c>
      <c r="L513" s="4" t="str">
        <f>IF(Table15678[[#This Row],[Total Amount]]&gt;=1000,"High",(IF(Table15678[[#This Row],[Total Amount]]&gt;=500,"Medium","Low")))</f>
        <v>Low</v>
      </c>
      <c r="M513" s="4" t="str" cm="1">
        <f t="array" ref="M51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13" s="4" cm="1">
        <f t="array" ref="N51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513" s="4">
        <f>Table15678[[#This Row],[Total Amount]]-Table15678[[#This Row],[Discount Amount]]</f>
        <v>20</v>
      </c>
      <c r="P513" s="4" t="str">
        <f>IF(Table15678[[#This Row],[Total Amount]]&gt;=1000,"High","Low")</f>
        <v>Low</v>
      </c>
      <c r="Q513" s="4" t="str" cm="1">
        <f t="array" ref="Q513">_xlfn.IFS(AND(Table15678[[#This Row],[Total Amount]]&gt;=1500,"Critical"),AND(Table15678[[#This Row],[Total Amount]]&gt;=1000,"High"),TRUE,"Normal")</f>
        <v>Normal</v>
      </c>
      <c r="R513" s="4" t="str">
        <f>CONCATENATE(Table15678[[#This Row],[Customer ID]], "-",Table15678[[#This Row],[Age]])</f>
        <v>CUST512-57</v>
      </c>
      <c r="S513" s="4" t="str">
        <f>TEXT(Table15678[[#This Row],[Date]],"mmm")</f>
        <v>Nov</v>
      </c>
      <c r="T513" s="4" t="str">
        <f>TEXT(Table15678[[#This Row],[Date]],"DDD")</f>
        <v>Tue</v>
      </c>
    </row>
    <row r="514" spans="1:20" ht="29" x14ac:dyDescent="0.35">
      <c r="A514" s="4">
        <v>513</v>
      </c>
      <c r="B514" s="5">
        <v>45188</v>
      </c>
      <c r="C514" s="4" t="s">
        <v>526</v>
      </c>
      <c r="D514" s="4" t="s">
        <v>10</v>
      </c>
      <c r="E514" s="4">
        <v>24</v>
      </c>
      <c r="F514" s="4" t="str">
        <f>IF(Table15678[[#This Row],[Age]]&lt;=19,"Teenager",IF(Table15678[[#This Row],[Age]]&lt;=40,"Median","Old"))</f>
        <v>Median</v>
      </c>
      <c r="G514" s="4" t="s">
        <v>16</v>
      </c>
      <c r="H514" s="4">
        <v>4</v>
      </c>
      <c r="I514" s="4">
        <v>25</v>
      </c>
      <c r="J514" s="4">
        <v>100</v>
      </c>
      <c r="K514" s="4" t="str" cm="1">
        <f t="array" ref="K514">_xlfn.IFS(AND(Table15678[[#This Row],[Total Amount]]&gt;=1500),"Critical",AND(Table15678[[#This Row],[Total Amount]]&gt;=1000),"High",TRUE,"Normal")</f>
        <v>Normal</v>
      </c>
      <c r="L514" s="4" t="str">
        <f>IF(Table15678[[#This Row],[Total Amount]]&gt;=1000,"High",(IF(Table15678[[#This Row],[Total Amount]]&gt;=500,"Medium","Low")))</f>
        <v>Low</v>
      </c>
      <c r="M514" s="4" t="str" cm="1">
        <f t="array" ref="M51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514" s="4" cm="1">
        <f t="array" ref="N51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514" s="4">
        <f>Table15678[[#This Row],[Total Amount]]-Table15678[[#This Row],[Discount Amount]]</f>
        <v>100</v>
      </c>
      <c r="P514" s="4" t="str">
        <f>IF(Table15678[[#This Row],[Total Amount]]&gt;=1000,"High","Low")</f>
        <v>Low</v>
      </c>
      <c r="Q514" s="4" t="str" cm="1">
        <f t="array" ref="Q514">_xlfn.IFS(AND(Table15678[[#This Row],[Total Amount]]&gt;=1500,"Critical"),AND(Table15678[[#This Row],[Total Amount]]&gt;=1000,"High"),TRUE,"Normal")</f>
        <v>Normal</v>
      </c>
      <c r="R514" s="4" t="str">
        <f>CONCATENATE(Table15678[[#This Row],[Customer ID]], "-",Table15678[[#This Row],[Age]])</f>
        <v>CUST513-24</v>
      </c>
      <c r="S514" s="4" t="str">
        <f>TEXT(Table15678[[#This Row],[Date]],"mmm")</f>
        <v>Sep</v>
      </c>
      <c r="T514" s="4" t="str">
        <f>TEXT(Table15678[[#This Row],[Date]],"DDD")</f>
        <v>Tue</v>
      </c>
    </row>
    <row r="515" spans="1:20" ht="29" x14ac:dyDescent="0.35">
      <c r="A515" s="4">
        <v>514</v>
      </c>
      <c r="B515" s="5">
        <v>44986</v>
      </c>
      <c r="C515" s="4" t="s">
        <v>527</v>
      </c>
      <c r="D515" s="4" t="s">
        <v>13</v>
      </c>
      <c r="E515" s="4">
        <v>18</v>
      </c>
      <c r="F515" s="4" t="str">
        <f>IF(Table15678[[#This Row],[Age]]&lt;=19,"Teenager",IF(Table15678[[#This Row],[Age]]&lt;=40,"Median","Old"))</f>
        <v>Teenager</v>
      </c>
      <c r="G515" s="4" t="s">
        <v>16</v>
      </c>
      <c r="H515" s="4">
        <v>1</v>
      </c>
      <c r="I515" s="4">
        <v>300</v>
      </c>
      <c r="J515" s="4">
        <v>300</v>
      </c>
      <c r="K515" s="4" t="str" cm="1">
        <f t="array" ref="K515">_xlfn.IFS(AND(Table15678[[#This Row],[Total Amount]]&gt;=1500),"Critical",AND(Table15678[[#This Row],[Total Amount]]&gt;=1000),"High",TRUE,"Normal")</f>
        <v>Normal</v>
      </c>
      <c r="L515" s="4" t="str">
        <f>IF(Table15678[[#This Row],[Total Amount]]&gt;=1000,"High",(IF(Table15678[[#This Row],[Total Amount]]&gt;=500,"Medium","Low")))</f>
        <v>Low</v>
      </c>
      <c r="M515" s="4" t="str" cm="1">
        <f t="array" ref="M51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515" s="4" cm="1">
        <f t="array" ref="N51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515" s="4">
        <f>Table15678[[#This Row],[Total Amount]]-Table15678[[#This Row],[Discount Amount]]</f>
        <v>300</v>
      </c>
      <c r="P515" s="4" t="str">
        <f>IF(Table15678[[#This Row],[Total Amount]]&gt;=1000,"High","Low")</f>
        <v>Low</v>
      </c>
      <c r="Q515" s="4" t="str" cm="1">
        <f t="array" ref="Q515">_xlfn.IFS(AND(Table15678[[#This Row],[Total Amount]]&gt;=1500,"Critical"),AND(Table15678[[#This Row],[Total Amount]]&gt;=1000,"High"),TRUE,"Normal")</f>
        <v>Normal</v>
      </c>
      <c r="R515" s="4" t="str">
        <f>CONCATENATE(Table15678[[#This Row],[Customer ID]], "-",Table15678[[#This Row],[Age]])</f>
        <v>CUST514-18</v>
      </c>
      <c r="S515" s="4" t="str">
        <f>TEXT(Table15678[[#This Row],[Date]],"mmm")</f>
        <v>Mar</v>
      </c>
      <c r="T515" s="4" t="str">
        <f>TEXT(Table15678[[#This Row],[Date]],"DDD")</f>
        <v>Wed</v>
      </c>
    </row>
    <row r="516" spans="1:20" ht="29" x14ac:dyDescent="0.35">
      <c r="A516" s="4">
        <v>515</v>
      </c>
      <c r="B516" s="5">
        <v>45124</v>
      </c>
      <c r="C516" s="4" t="s">
        <v>528</v>
      </c>
      <c r="D516" s="4" t="s">
        <v>13</v>
      </c>
      <c r="E516" s="4">
        <v>49</v>
      </c>
      <c r="F516" s="4" t="str">
        <f>IF(Table15678[[#This Row],[Age]]&lt;=19,"Teenager",IF(Table15678[[#This Row],[Age]]&lt;=40,"Median","Old"))</f>
        <v>Old</v>
      </c>
      <c r="G516" s="4" t="s">
        <v>14</v>
      </c>
      <c r="H516" s="4">
        <v>3</v>
      </c>
      <c r="I516" s="4">
        <v>300</v>
      </c>
      <c r="J516" s="4">
        <v>900</v>
      </c>
      <c r="K516" s="4" t="str" cm="1">
        <f t="array" ref="K516">_xlfn.IFS(AND(Table15678[[#This Row],[Total Amount]]&gt;=1500),"Critical",AND(Table15678[[#This Row],[Total Amount]]&gt;=1000),"High",TRUE,"Normal")</f>
        <v>Normal</v>
      </c>
      <c r="L516" s="4" t="str">
        <f>IF(Table15678[[#This Row],[Total Amount]]&gt;=1000,"High",(IF(Table15678[[#This Row],[Total Amount]]&gt;=500,"Medium","Low")))</f>
        <v>Medium</v>
      </c>
      <c r="M516" s="4" t="str" cm="1">
        <f t="array" ref="M51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16" s="4" cm="1">
        <f t="array" ref="N51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516" s="4">
        <f>Table15678[[#This Row],[Total Amount]]-Table15678[[#This Row],[Discount Amount]]</f>
        <v>720</v>
      </c>
      <c r="P516" s="4" t="str">
        <f>IF(Table15678[[#This Row],[Total Amount]]&gt;=1000,"High","Low")</f>
        <v>Low</v>
      </c>
      <c r="Q516" s="4" t="str" cm="1">
        <f t="array" ref="Q516">_xlfn.IFS(AND(Table15678[[#This Row],[Total Amount]]&gt;=1500,"Critical"),AND(Table15678[[#This Row],[Total Amount]]&gt;=1000,"High"),TRUE,"Normal")</f>
        <v>Normal</v>
      </c>
      <c r="R516" s="4" t="str">
        <f>CONCATENATE(Table15678[[#This Row],[Customer ID]], "-",Table15678[[#This Row],[Age]])</f>
        <v>CUST515-49</v>
      </c>
      <c r="S516" s="4" t="str">
        <f>TEXT(Table15678[[#This Row],[Date]],"mmm")</f>
        <v>Jul</v>
      </c>
      <c r="T516" s="4" t="str">
        <f>TEXT(Table15678[[#This Row],[Date]],"DDD")</f>
        <v>Mon</v>
      </c>
    </row>
    <row r="517" spans="1:20" ht="29" x14ac:dyDescent="0.35">
      <c r="A517" s="4">
        <v>516</v>
      </c>
      <c r="B517" s="5">
        <v>45222</v>
      </c>
      <c r="C517" s="4" t="s">
        <v>529</v>
      </c>
      <c r="D517" s="4" t="s">
        <v>10</v>
      </c>
      <c r="E517" s="4">
        <v>30</v>
      </c>
      <c r="F517" s="4" t="str">
        <f>IF(Table15678[[#This Row],[Age]]&lt;=19,"Teenager",IF(Table15678[[#This Row],[Age]]&lt;=40,"Median","Old"))</f>
        <v>Median</v>
      </c>
      <c r="G517" s="4" t="s">
        <v>11</v>
      </c>
      <c r="H517" s="4">
        <v>4</v>
      </c>
      <c r="I517" s="4">
        <v>25</v>
      </c>
      <c r="J517" s="4">
        <v>100</v>
      </c>
      <c r="K517" s="4" t="str" cm="1">
        <f t="array" ref="K517">_xlfn.IFS(AND(Table15678[[#This Row],[Total Amount]]&gt;=1500),"Critical",AND(Table15678[[#This Row],[Total Amount]]&gt;=1000),"High",TRUE,"Normal")</f>
        <v>Normal</v>
      </c>
      <c r="L517" s="4" t="str">
        <f>IF(Table15678[[#This Row],[Total Amount]]&gt;=1000,"High",(IF(Table15678[[#This Row],[Total Amount]]&gt;=500,"Medium","Low")))</f>
        <v>Low</v>
      </c>
      <c r="M517" s="4" t="str" cm="1">
        <f t="array" ref="M51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17" s="4" cm="1">
        <f t="array" ref="N51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517" s="4">
        <f>Table15678[[#This Row],[Total Amount]]-Table15678[[#This Row],[Discount Amount]]</f>
        <v>85</v>
      </c>
      <c r="P517" s="4" t="str">
        <f>IF(Table15678[[#This Row],[Total Amount]]&gt;=1000,"High","Low")</f>
        <v>Low</v>
      </c>
      <c r="Q517" s="4" t="str" cm="1">
        <f t="array" ref="Q517">_xlfn.IFS(AND(Table15678[[#This Row],[Total Amount]]&gt;=1500,"Critical"),AND(Table15678[[#This Row],[Total Amount]]&gt;=1000,"High"),TRUE,"Normal")</f>
        <v>Normal</v>
      </c>
      <c r="R517" s="4" t="str">
        <f>CONCATENATE(Table15678[[#This Row],[Customer ID]], "-",Table15678[[#This Row],[Age]])</f>
        <v>CUST516-30</v>
      </c>
      <c r="S517" s="4" t="str">
        <f>TEXT(Table15678[[#This Row],[Date]],"mmm")</f>
        <v>Oct</v>
      </c>
      <c r="T517" s="4" t="str">
        <f>TEXT(Table15678[[#This Row],[Date]],"DDD")</f>
        <v>Mon</v>
      </c>
    </row>
    <row r="518" spans="1:20" ht="29" x14ac:dyDescent="0.35">
      <c r="A518" s="4">
        <v>517</v>
      </c>
      <c r="B518" s="5">
        <v>45024</v>
      </c>
      <c r="C518" s="4" t="s">
        <v>530</v>
      </c>
      <c r="D518" s="4" t="s">
        <v>13</v>
      </c>
      <c r="E518" s="4">
        <v>47</v>
      </c>
      <c r="F518" s="4" t="str">
        <f>IF(Table15678[[#This Row],[Age]]&lt;=19,"Teenager",IF(Table15678[[#This Row],[Age]]&lt;=40,"Median","Old"))</f>
        <v>Old</v>
      </c>
      <c r="G518" s="4" t="s">
        <v>14</v>
      </c>
      <c r="H518" s="4">
        <v>4</v>
      </c>
      <c r="I518" s="4">
        <v>25</v>
      </c>
      <c r="J518" s="4">
        <v>100</v>
      </c>
      <c r="K518" s="4" t="str" cm="1">
        <f t="array" ref="K518">_xlfn.IFS(AND(Table15678[[#This Row],[Total Amount]]&gt;=1500),"Critical",AND(Table15678[[#This Row],[Total Amount]]&gt;=1000),"High",TRUE,"Normal")</f>
        <v>Normal</v>
      </c>
      <c r="L518" s="4" t="str">
        <f>IF(Table15678[[#This Row],[Total Amount]]&gt;=1000,"High",(IF(Table15678[[#This Row],[Total Amount]]&gt;=500,"Medium","Low")))</f>
        <v>Low</v>
      </c>
      <c r="M518" s="4" t="str" cm="1">
        <f t="array" ref="M51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18" s="4" cm="1">
        <f t="array" ref="N51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518" s="4">
        <f>Table15678[[#This Row],[Total Amount]]-Table15678[[#This Row],[Discount Amount]]</f>
        <v>80</v>
      </c>
      <c r="P518" s="4" t="str">
        <f>IF(Table15678[[#This Row],[Total Amount]]&gt;=1000,"High","Low")</f>
        <v>Low</v>
      </c>
      <c r="Q518" s="4" t="str" cm="1">
        <f t="array" ref="Q518">_xlfn.IFS(AND(Table15678[[#This Row],[Total Amount]]&gt;=1500,"Critical"),AND(Table15678[[#This Row],[Total Amount]]&gt;=1000,"High"),TRUE,"Normal")</f>
        <v>Normal</v>
      </c>
      <c r="R518" s="4" t="str">
        <f>CONCATENATE(Table15678[[#This Row],[Customer ID]], "-",Table15678[[#This Row],[Age]])</f>
        <v>CUST517-47</v>
      </c>
      <c r="S518" s="4" t="str">
        <f>TEXT(Table15678[[#This Row],[Date]],"mmm")</f>
        <v>Apr</v>
      </c>
      <c r="T518" s="4" t="str">
        <f>TEXT(Table15678[[#This Row],[Date]],"DDD")</f>
        <v>Sat</v>
      </c>
    </row>
    <row r="519" spans="1:20" ht="29" x14ac:dyDescent="0.35">
      <c r="A519" s="4">
        <v>518</v>
      </c>
      <c r="B519" s="5">
        <v>45057</v>
      </c>
      <c r="C519" s="4" t="s">
        <v>531</v>
      </c>
      <c r="D519" s="4" t="s">
        <v>13</v>
      </c>
      <c r="E519" s="4">
        <v>40</v>
      </c>
      <c r="F519" s="4" t="str">
        <f>IF(Table15678[[#This Row],[Age]]&lt;=19,"Teenager",IF(Table15678[[#This Row],[Age]]&lt;=40,"Median","Old"))</f>
        <v>Median</v>
      </c>
      <c r="G519" s="4" t="s">
        <v>14</v>
      </c>
      <c r="H519" s="4">
        <v>1</v>
      </c>
      <c r="I519" s="4">
        <v>30</v>
      </c>
      <c r="J519" s="4">
        <v>30</v>
      </c>
      <c r="K519" s="4" t="str" cm="1">
        <f t="array" ref="K519">_xlfn.IFS(AND(Table15678[[#This Row],[Total Amount]]&gt;=1500),"Critical",AND(Table15678[[#This Row],[Total Amount]]&gt;=1000),"High",TRUE,"Normal")</f>
        <v>Normal</v>
      </c>
      <c r="L519" s="4" t="str">
        <f>IF(Table15678[[#This Row],[Total Amount]]&gt;=1000,"High",(IF(Table15678[[#This Row],[Total Amount]]&gt;=500,"Medium","Low")))</f>
        <v>Low</v>
      </c>
      <c r="M519" s="4" t="str" cm="1">
        <f t="array" ref="M51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19" s="4" cm="1">
        <f t="array" ref="N51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519" s="4">
        <f>Table15678[[#This Row],[Total Amount]]-Table15678[[#This Row],[Discount Amount]]</f>
        <v>24</v>
      </c>
      <c r="P519" s="4" t="str">
        <f>IF(Table15678[[#This Row],[Total Amount]]&gt;=1000,"High","Low")</f>
        <v>Low</v>
      </c>
      <c r="Q519" s="4" t="str" cm="1">
        <f t="array" ref="Q519">_xlfn.IFS(AND(Table15678[[#This Row],[Total Amount]]&gt;=1500,"Critical"),AND(Table15678[[#This Row],[Total Amount]]&gt;=1000,"High"),TRUE,"Normal")</f>
        <v>Normal</v>
      </c>
      <c r="R519" s="4" t="str">
        <f>CONCATENATE(Table15678[[#This Row],[Customer ID]], "-",Table15678[[#This Row],[Age]])</f>
        <v>CUST518-40</v>
      </c>
      <c r="S519" s="4" t="str">
        <f>TEXT(Table15678[[#This Row],[Date]],"mmm")</f>
        <v>May</v>
      </c>
      <c r="T519" s="4" t="str">
        <f>TEXT(Table15678[[#This Row],[Date]],"DDD")</f>
        <v>Thu</v>
      </c>
    </row>
    <row r="520" spans="1:20" ht="29" x14ac:dyDescent="0.35">
      <c r="A520" s="4">
        <v>519</v>
      </c>
      <c r="B520" s="5">
        <v>44949</v>
      </c>
      <c r="C520" s="4" t="s">
        <v>532</v>
      </c>
      <c r="D520" s="4" t="s">
        <v>13</v>
      </c>
      <c r="E520" s="4">
        <v>36</v>
      </c>
      <c r="F520" s="4" t="str">
        <f>IF(Table15678[[#This Row],[Age]]&lt;=19,"Teenager",IF(Table15678[[#This Row],[Age]]&lt;=40,"Median","Old"))</f>
        <v>Median</v>
      </c>
      <c r="G520" s="4" t="s">
        <v>16</v>
      </c>
      <c r="H520" s="4">
        <v>4</v>
      </c>
      <c r="I520" s="4">
        <v>30</v>
      </c>
      <c r="J520" s="4">
        <v>120</v>
      </c>
      <c r="K520" s="4" t="str" cm="1">
        <f t="array" ref="K520">_xlfn.IFS(AND(Table15678[[#This Row],[Total Amount]]&gt;=1500),"Critical",AND(Table15678[[#This Row],[Total Amount]]&gt;=1000),"High",TRUE,"Normal")</f>
        <v>Normal</v>
      </c>
      <c r="L520" s="4" t="str">
        <f>IF(Table15678[[#This Row],[Total Amount]]&gt;=1000,"High",(IF(Table15678[[#This Row],[Total Amount]]&gt;=500,"Medium","Low")))</f>
        <v>Low</v>
      </c>
      <c r="M520" s="4" t="str" cm="1">
        <f t="array" ref="M52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20" s="4" cm="1">
        <f t="array" ref="N52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</v>
      </c>
      <c r="O520" s="4">
        <f>Table15678[[#This Row],[Total Amount]]-Table15678[[#This Row],[Discount Amount]]</f>
        <v>96</v>
      </c>
      <c r="P520" s="4" t="str">
        <f>IF(Table15678[[#This Row],[Total Amount]]&gt;=1000,"High","Low")</f>
        <v>Low</v>
      </c>
      <c r="Q520" s="4" t="str" cm="1">
        <f t="array" ref="Q520">_xlfn.IFS(AND(Table15678[[#This Row],[Total Amount]]&gt;=1500,"Critical"),AND(Table15678[[#This Row],[Total Amount]]&gt;=1000,"High"),TRUE,"Normal")</f>
        <v>Normal</v>
      </c>
      <c r="R520" s="4" t="str">
        <f>CONCATENATE(Table15678[[#This Row],[Customer ID]], "-",Table15678[[#This Row],[Age]])</f>
        <v>CUST519-36</v>
      </c>
      <c r="S520" s="4" t="str">
        <f>TEXT(Table15678[[#This Row],[Date]],"mmm")</f>
        <v>Jan</v>
      </c>
      <c r="T520" s="4" t="str">
        <f>TEXT(Table15678[[#This Row],[Date]],"DDD")</f>
        <v>Mon</v>
      </c>
    </row>
    <row r="521" spans="1:20" ht="29" x14ac:dyDescent="0.35">
      <c r="A521" s="4">
        <v>520</v>
      </c>
      <c r="B521" s="5">
        <v>45289</v>
      </c>
      <c r="C521" s="4" t="s">
        <v>533</v>
      </c>
      <c r="D521" s="4" t="s">
        <v>13</v>
      </c>
      <c r="E521" s="4">
        <v>49</v>
      </c>
      <c r="F521" s="4" t="str">
        <f>IF(Table15678[[#This Row],[Age]]&lt;=19,"Teenager",IF(Table15678[[#This Row],[Age]]&lt;=40,"Median","Old"))</f>
        <v>Old</v>
      </c>
      <c r="G521" s="4" t="s">
        <v>16</v>
      </c>
      <c r="H521" s="4">
        <v>4</v>
      </c>
      <c r="I521" s="4">
        <v>25</v>
      </c>
      <c r="J521" s="4">
        <v>100</v>
      </c>
      <c r="K521" s="4" t="str" cm="1">
        <f t="array" ref="K521">_xlfn.IFS(AND(Table15678[[#This Row],[Total Amount]]&gt;=1500),"Critical",AND(Table15678[[#This Row],[Total Amount]]&gt;=1000),"High",TRUE,"Normal")</f>
        <v>Normal</v>
      </c>
      <c r="L521" s="4" t="str">
        <f>IF(Table15678[[#This Row],[Total Amount]]&gt;=1000,"High",(IF(Table15678[[#This Row],[Total Amount]]&gt;=500,"Medium","Low")))</f>
        <v>Low</v>
      </c>
      <c r="M521" s="4" t="str" cm="1">
        <f t="array" ref="M52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21" s="4" cm="1">
        <f t="array" ref="N52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521" s="4">
        <f>Table15678[[#This Row],[Total Amount]]-Table15678[[#This Row],[Discount Amount]]</f>
        <v>80</v>
      </c>
      <c r="P521" s="4" t="str">
        <f>IF(Table15678[[#This Row],[Total Amount]]&gt;=1000,"High","Low")</f>
        <v>Low</v>
      </c>
      <c r="Q521" s="4" t="str" cm="1">
        <f t="array" ref="Q521">_xlfn.IFS(AND(Table15678[[#This Row],[Total Amount]]&gt;=1500,"Critical"),AND(Table15678[[#This Row],[Total Amount]]&gt;=1000,"High"),TRUE,"Normal")</f>
        <v>Normal</v>
      </c>
      <c r="R521" s="4" t="str">
        <f>CONCATENATE(Table15678[[#This Row],[Customer ID]], "-",Table15678[[#This Row],[Age]])</f>
        <v>CUST520-49</v>
      </c>
      <c r="S521" s="4" t="str">
        <f>TEXT(Table15678[[#This Row],[Date]],"mmm")</f>
        <v>Dec</v>
      </c>
      <c r="T521" s="4" t="str">
        <f>TEXT(Table15678[[#This Row],[Date]],"DDD")</f>
        <v>Fri</v>
      </c>
    </row>
    <row r="522" spans="1:20" ht="29" x14ac:dyDescent="0.35">
      <c r="A522" s="4">
        <v>521</v>
      </c>
      <c r="B522" s="5">
        <v>45150</v>
      </c>
      <c r="C522" s="4" t="s">
        <v>534</v>
      </c>
      <c r="D522" s="4" t="s">
        <v>13</v>
      </c>
      <c r="E522" s="4">
        <v>47</v>
      </c>
      <c r="F522" s="4" t="str">
        <f>IF(Table15678[[#This Row],[Age]]&lt;=19,"Teenager",IF(Table15678[[#This Row],[Age]]&lt;=40,"Median","Old"))</f>
        <v>Old</v>
      </c>
      <c r="G522" s="4" t="s">
        <v>14</v>
      </c>
      <c r="H522" s="4">
        <v>4</v>
      </c>
      <c r="I522" s="4">
        <v>30</v>
      </c>
      <c r="J522" s="4">
        <v>120</v>
      </c>
      <c r="K522" s="4" t="str" cm="1">
        <f t="array" ref="K522">_xlfn.IFS(AND(Table15678[[#This Row],[Total Amount]]&gt;=1500),"Critical",AND(Table15678[[#This Row],[Total Amount]]&gt;=1000),"High",TRUE,"Normal")</f>
        <v>Normal</v>
      </c>
      <c r="L522" s="4" t="str">
        <f>IF(Table15678[[#This Row],[Total Amount]]&gt;=1000,"High",(IF(Table15678[[#This Row],[Total Amount]]&gt;=500,"Medium","Low")))</f>
        <v>Low</v>
      </c>
      <c r="M522" s="4" t="str" cm="1">
        <f t="array" ref="M52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22" s="4" cm="1">
        <f t="array" ref="N52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</v>
      </c>
      <c r="O522" s="4">
        <f>Table15678[[#This Row],[Total Amount]]-Table15678[[#This Row],[Discount Amount]]</f>
        <v>96</v>
      </c>
      <c r="P522" s="4" t="str">
        <f>IF(Table15678[[#This Row],[Total Amount]]&gt;=1000,"High","Low")</f>
        <v>Low</v>
      </c>
      <c r="Q522" s="4" t="str" cm="1">
        <f t="array" ref="Q522">_xlfn.IFS(AND(Table15678[[#This Row],[Total Amount]]&gt;=1500,"Critical"),AND(Table15678[[#This Row],[Total Amount]]&gt;=1000,"High"),TRUE,"Normal")</f>
        <v>Normal</v>
      </c>
      <c r="R522" s="4" t="str">
        <f>CONCATENATE(Table15678[[#This Row],[Customer ID]], "-",Table15678[[#This Row],[Age]])</f>
        <v>CUST521-47</v>
      </c>
      <c r="S522" s="4" t="str">
        <f>TEXT(Table15678[[#This Row],[Date]],"mmm")</f>
        <v>Aug</v>
      </c>
      <c r="T522" s="4" t="str">
        <f>TEXT(Table15678[[#This Row],[Date]],"DDD")</f>
        <v>Sat</v>
      </c>
    </row>
    <row r="523" spans="1:20" ht="29" x14ac:dyDescent="0.35">
      <c r="A523" s="4">
        <v>522</v>
      </c>
      <c r="B523" s="5">
        <v>44927</v>
      </c>
      <c r="C523" s="4" t="s">
        <v>535</v>
      </c>
      <c r="D523" s="4" t="s">
        <v>10</v>
      </c>
      <c r="E523" s="4">
        <v>46</v>
      </c>
      <c r="F523" s="4" t="str">
        <f>IF(Table15678[[#This Row],[Age]]&lt;=19,"Teenager",IF(Table15678[[#This Row],[Age]]&lt;=40,"Median","Old"))</f>
        <v>Old</v>
      </c>
      <c r="G523" s="4" t="s">
        <v>11</v>
      </c>
      <c r="H523" s="4">
        <v>3</v>
      </c>
      <c r="I523" s="4">
        <v>500</v>
      </c>
      <c r="J523" s="4">
        <v>1500</v>
      </c>
      <c r="K523" s="4" t="str" cm="1">
        <f t="array" ref="K523">_xlfn.IFS(AND(Table15678[[#This Row],[Total Amount]]&gt;=1500),"Critical",AND(Table15678[[#This Row],[Total Amount]]&gt;=1000),"High",TRUE,"Normal")</f>
        <v>Critical</v>
      </c>
      <c r="L523" s="4" t="str">
        <f>IF(Table15678[[#This Row],[Total Amount]]&gt;=1000,"High",(IF(Table15678[[#This Row],[Total Amount]]&gt;=500,"Medium","Low")))</f>
        <v>High</v>
      </c>
      <c r="M523" s="4" t="str" cm="1">
        <f t="array" ref="M52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23" s="4" cm="1">
        <f t="array" ref="N52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150</v>
      </c>
      <c r="O523" s="4">
        <f>Table15678[[#This Row],[Total Amount]]-Table15678[[#This Row],[Discount Amount]]</f>
        <v>1350</v>
      </c>
      <c r="P523" s="4" t="str">
        <f>IF(Table15678[[#This Row],[Total Amount]]&gt;=1000,"High","Low")</f>
        <v>High</v>
      </c>
      <c r="Q523" s="4" t="b" cm="1">
        <f t="array" ref="Q523">_xlfn.IFS(AND(Table15678[[#This Row],[Total Amount]]&gt;=1500,"Critical"),AND(Table15678[[#This Row],[Total Amount]]&gt;=1000,"High"),TRUE,"Normal")</f>
        <v>1</v>
      </c>
      <c r="R523" s="4" t="str">
        <f>CONCATENATE(Table15678[[#This Row],[Customer ID]], "-",Table15678[[#This Row],[Age]])</f>
        <v>CUST522-46</v>
      </c>
      <c r="S523" s="4" t="str">
        <f>TEXT(Table15678[[#This Row],[Date]],"mmm")</f>
        <v>Jan</v>
      </c>
      <c r="T523" s="4" t="str">
        <f>TEXT(Table15678[[#This Row],[Date]],"DDD")</f>
        <v>Sun</v>
      </c>
    </row>
    <row r="524" spans="1:20" ht="29" x14ac:dyDescent="0.35">
      <c r="A524" s="4">
        <v>523</v>
      </c>
      <c r="B524" s="5">
        <v>45193</v>
      </c>
      <c r="C524" s="4" t="s">
        <v>536</v>
      </c>
      <c r="D524" s="4" t="s">
        <v>13</v>
      </c>
      <c r="E524" s="4">
        <v>62</v>
      </c>
      <c r="F524" s="4" t="str">
        <f>IF(Table15678[[#This Row],[Age]]&lt;=19,"Teenager",IF(Table15678[[#This Row],[Age]]&lt;=40,"Median","Old"))</f>
        <v>Old</v>
      </c>
      <c r="G524" s="4" t="s">
        <v>16</v>
      </c>
      <c r="H524" s="4">
        <v>1</v>
      </c>
      <c r="I524" s="4">
        <v>300</v>
      </c>
      <c r="J524" s="4">
        <v>300</v>
      </c>
      <c r="K524" s="4" t="str" cm="1">
        <f t="array" ref="K524">_xlfn.IFS(AND(Table15678[[#This Row],[Total Amount]]&gt;=1500),"Critical",AND(Table15678[[#This Row],[Total Amount]]&gt;=1000),"High",TRUE,"Normal")</f>
        <v>Normal</v>
      </c>
      <c r="L524" s="4" t="str">
        <f>IF(Table15678[[#This Row],[Total Amount]]&gt;=1000,"High",(IF(Table15678[[#This Row],[Total Amount]]&gt;=500,"Medium","Low")))</f>
        <v>Low</v>
      </c>
      <c r="M524" s="4" t="str" cm="1">
        <f t="array" ref="M52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24" s="4" cm="1">
        <f t="array" ref="N52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524" s="4">
        <f>Table15678[[#This Row],[Total Amount]]-Table15678[[#This Row],[Discount Amount]]</f>
        <v>240</v>
      </c>
      <c r="P524" s="4" t="str">
        <f>IF(Table15678[[#This Row],[Total Amount]]&gt;=1000,"High","Low")</f>
        <v>Low</v>
      </c>
      <c r="Q524" s="4" t="str" cm="1">
        <f t="array" ref="Q524">_xlfn.IFS(AND(Table15678[[#This Row],[Total Amount]]&gt;=1500,"Critical"),AND(Table15678[[#This Row],[Total Amount]]&gt;=1000,"High"),TRUE,"Normal")</f>
        <v>Normal</v>
      </c>
      <c r="R524" s="4" t="str">
        <f>CONCATENATE(Table15678[[#This Row],[Customer ID]], "-",Table15678[[#This Row],[Age]])</f>
        <v>CUST523-62</v>
      </c>
      <c r="S524" s="4" t="str">
        <f>TEXT(Table15678[[#This Row],[Date]],"mmm")</f>
        <v>Sep</v>
      </c>
      <c r="T524" s="4" t="str">
        <f>TEXT(Table15678[[#This Row],[Date]],"DDD")</f>
        <v>Sun</v>
      </c>
    </row>
    <row r="525" spans="1:20" ht="29" x14ac:dyDescent="0.35">
      <c r="A525" s="4">
        <v>524</v>
      </c>
      <c r="B525" s="5">
        <v>45202</v>
      </c>
      <c r="C525" s="4" t="s">
        <v>537</v>
      </c>
      <c r="D525" s="4" t="s">
        <v>10</v>
      </c>
      <c r="E525" s="4">
        <v>46</v>
      </c>
      <c r="F525" s="4" t="str">
        <f>IF(Table15678[[#This Row],[Age]]&lt;=19,"Teenager",IF(Table15678[[#This Row],[Age]]&lt;=40,"Median","Old"))</f>
        <v>Old</v>
      </c>
      <c r="G525" s="4" t="s">
        <v>11</v>
      </c>
      <c r="H525" s="4">
        <v>4</v>
      </c>
      <c r="I525" s="4">
        <v>300</v>
      </c>
      <c r="J525" s="4">
        <v>1200</v>
      </c>
      <c r="K525" s="4" t="str" cm="1">
        <f t="array" ref="K525">_xlfn.IFS(AND(Table15678[[#This Row],[Total Amount]]&gt;=1500),"Critical",AND(Table15678[[#This Row],[Total Amount]]&gt;=1000),"High",TRUE,"Normal")</f>
        <v>High</v>
      </c>
      <c r="L525" s="4" t="str">
        <f>IF(Table15678[[#This Row],[Total Amount]]&gt;=1000,"High",(IF(Table15678[[#This Row],[Total Amount]]&gt;=500,"Medium","Low")))</f>
        <v>High</v>
      </c>
      <c r="M525" s="4" t="str" cm="1">
        <f t="array" ref="M52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25" s="4" cm="1">
        <f t="array" ref="N52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120</v>
      </c>
      <c r="O525" s="4">
        <f>Table15678[[#This Row],[Total Amount]]-Table15678[[#This Row],[Discount Amount]]</f>
        <v>1080</v>
      </c>
      <c r="P525" s="4" t="str">
        <f>IF(Table15678[[#This Row],[Total Amount]]&gt;=1000,"High","Low")</f>
        <v>High</v>
      </c>
      <c r="Q525" s="4" t="str" cm="1">
        <f t="array" ref="Q525">_xlfn.IFS(AND(Table15678[[#This Row],[Total Amount]]&gt;=1500,"Critical"),AND(Table15678[[#This Row],[Total Amount]]&gt;=1000,"High"),TRUE,"Normal")</f>
        <v>Normal</v>
      </c>
      <c r="R525" s="4" t="str">
        <f>CONCATENATE(Table15678[[#This Row],[Customer ID]], "-",Table15678[[#This Row],[Age]])</f>
        <v>CUST524-46</v>
      </c>
      <c r="S525" s="4" t="str">
        <f>TEXT(Table15678[[#This Row],[Date]],"mmm")</f>
        <v>Oct</v>
      </c>
      <c r="T525" s="4" t="str">
        <f>TEXT(Table15678[[#This Row],[Date]],"DDD")</f>
        <v>Tue</v>
      </c>
    </row>
    <row r="526" spans="1:20" ht="29" x14ac:dyDescent="0.35">
      <c r="A526" s="4">
        <v>525</v>
      </c>
      <c r="B526" s="5">
        <v>45278</v>
      </c>
      <c r="C526" s="4" t="s">
        <v>538</v>
      </c>
      <c r="D526" s="4" t="s">
        <v>13</v>
      </c>
      <c r="E526" s="4">
        <v>47</v>
      </c>
      <c r="F526" s="4" t="str">
        <f>IF(Table15678[[#This Row],[Age]]&lt;=19,"Teenager",IF(Table15678[[#This Row],[Age]]&lt;=40,"Median","Old"))</f>
        <v>Old</v>
      </c>
      <c r="G526" s="4" t="s">
        <v>11</v>
      </c>
      <c r="H526" s="4">
        <v>2</v>
      </c>
      <c r="I526" s="4">
        <v>25</v>
      </c>
      <c r="J526" s="4">
        <v>50</v>
      </c>
      <c r="K526" s="4" t="str" cm="1">
        <f t="array" ref="K526">_xlfn.IFS(AND(Table15678[[#This Row],[Total Amount]]&gt;=1500),"Critical",AND(Table15678[[#This Row],[Total Amount]]&gt;=1000),"High",TRUE,"Normal")</f>
        <v>Normal</v>
      </c>
      <c r="L526" s="4" t="str">
        <f>IF(Table15678[[#This Row],[Total Amount]]&gt;=1000,"High",(IF(Table15678[[#This Row],[Total Amount]]&gt;=500,"Medium","Low")))</f>
        <v>Low</v>
      </c>
      <c r="M526" s="4" t="str" cm="1">
        <f t="array" ref="M52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26" s="4" cm="1">
        <f t="array" ref="N52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526" s="4">
        <f>Table15678[[#This Row],[Total Amount]]-Table15678[[#This Row],[Discount Amount]]</f>
        <v>40</v>
      </c>
      <c r="P526" s="4" t="str">
        <f>IF(Table15678[[#This Row],[Total Amount]]&gt;=1000,"High","Low")</f>
        <v>Low</v>
      </c>
      <c r="Q526" s="4" t="str" cm="1">
        <f t="array" ref="Q526">_xlfn.IFS(AND(Table15678[[#This Row],[Total Amount]]&gt;=1500,"Critical"),AND(Table15678[[#This Row],[Total Amount]]&gt;=1000,"High"),TRUE,"Normal")</f>
        <v>Normal</v>
      </c>
      <c r="R526" s="4" t="str">
        <f>CONCATENATE(Table15678[[#This Row],[Customer ID]], "-",Table15678[[#This Row],[Age]])</f>
        <v>CUST525-47</v>
      </c>
      <c r="S526" s="4" t="str">
        <f>TEXT(Table15678[[#This Row],[Date]],"mmm")</f>
        <v>Dec</v>
      </c>
      <c r="T526" s="4" t="str">
        <f>TEXT(Table15678[[#This Row],[Date]],"DDD")</f>
        <v>Mon</v>
      </c>
    </row>
    <row r="527" spans="1:20" ht="29" x14ac:dyDescent="0.35">
      <c r="A527" s="4">
        <v>526</v>
      </c>
      <c r="B527" s="5">
        <v>45270</v>
      </c>
      <c r="C527" s="4" t="s">
        <v>539</v>
      </c>
      <c r="D527" s="4" t="s">
        <v>10</v>
      </c>
      <c r="E527" s="4">
        <v>33</v>
      </c>
      <c r="F527" s="4" t="str">
        <f>IF(Table15678[[#This Row],[Age]]&lt;=19,"Teenager",IF(Table15678[[#This Row],[Age]]&lt;=40,"Median","Old"))</f>
        <v>Median</v>
      </c>
      <c r="G527" s="4" t="s">
        <v>14</v>
      </c>
      <c r="H527" s="4">
        <v>2</v>
      </c>
      <c r="I527" s="4">
        <v>50</v>
      </c>
      <c r="J527" s="4">
        <v>100</v>
      </c>
      <c r="K527" s="4" t="str" cm="1">
        <f t="array" ref="K527">_xlfn.IFS(AND(Table15678[[#This Row],[Total Amount]]&gt;=1500),"Critical",AND(Table15678[[#This Row],[Total Amount]]&gt;=1000),"High",TRUE,"Normal")</f>
        <v>Normal</v>
      </c>
      <c r="L527" s="4" t="str">
        <f>IF(Table15678[[#This Row],[Total Amount]]&gt;=1000,"High",(IF(Table15678[[#This Row],[Total Amount]]&gt;=500,"Medium","Low")))</f>
        <v>Low</v>
      </c>
      <c r="M527" s="4" t="str" cm="1">
        <f t="array" ref="M52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27" s="4" cm="1">
        <f t="array" ref="N52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527" s="4">
        <f>Table15678[[#This Row],[Total Amount]]-Table15678[[#This Row],[Discount Amount]]</f>
        <v>85</v>
      </c>
      <c r="P527" s="4" t="str">
        <f>IF(Table15678[[#This Row],[Total Amount]]&gt;=1000,"High","Low")</f>
        <v>Low</v>
      </c>
      <c r="Q527" s="4" t="str" cm="1">
        <f t="array" ref="Q527">_xlfn.IFS(AND(Table15678[[#This Row],[Total Amount]]&gt;=1500,"Critical"),AND(Table15678[[#This Row],[Total Amount]]&gt;=1000,"High"),TRUE,"Normal")</f>
        <v>Normal</v>
      </c>
      <c r="R527" s="4" t="str">
        <f>CONCATENATE(Table15678[[#This Row],[Customer ID]], "-",Table15678[[#This Row],[Age]])</f>
        <v>CUST526-33</v>
      </c>
      <c r="S527" s="4" t="str">
        <f>TEXT(Table15678[[#This Row],[Date]],"mmm")</f>
        <v>Dec</v>
      </c>
      <c r="T527" s="4" t="str">
        <f>TEXT(Table15678[[#This Row],[Date]],"DDD")</f>
        <v>Sun</v>
      </c>
    </row>
    <row r="528" spans="1:20" ht="29" x14ac:dyDescent="0.35">
      <c r="A528" s="4">
        <v>527</v>
      </c>
      <c r="B528" s="5">
        <v>45027</v>
      </c>
      <c r="C528" s="4" t="s">
        <v>540</v>
      </c>
      <c r="D528" s="4" t="s">
        <v>10</v>
      </c>
      <c r="E528" s="4">
        <v>57</v>
      </c>
      <c r="F528" s="4" t="str">
        <f>IF(Table15678[[#This Row],[Age]]&lt;=19,"Teenager",IF(Table15678[[#This Row],[Age]]&lt;=40,"Median","Old"))</f>
        <v>Old</v>
      </c>
      <c r="G528" s="4" t="s">
        <v>14</v>
      </c>
      <c r="H528" s="4">
        <v>2</v>
      </c>
      <c r="I528" s="4">
        <v>25</v>
      </c>
      <c r="J528" s="4">
        <v>50</v>
      </c>
      <c r="K528" s="4" t="str" cm="1">
        <f t="array" ref="K528">_xlfn.IFS(AND(Table15678[[#This Row],[Total Amount]]&gt;=1500),"Critical",AND(Table15678[[#This Row],[Total Amount]]&gt;=1000),"High",TRUE,"Normal")</f>
        <v>Normal</v>
      </c>
      <c r="L528" s="4" t="str">
        <f>IF(Table15678[[#This Row],[Total Amount]]&gt;=1000,"High",(IF(Table15678[[#This Row],[Total Amount]]&gt;=500,"Medium","Low")))</f>
        <v>Low</v>
      </c>
      <c r="M528" s="4" t="str" cm="1">
        <f t="array" ref="M52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28" s="4" cm="1">
        <f t="array" ref="N52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528" s="4">
        <f>Table15678[[#This Row],[Total Amount]]-Table15678[[#This Row],[Discount Amount]]</f>
        <v>45</v>
      </c>
      <c r="P528" s="4" t="str">
        <f>IF(Table15678[[#This Row],[Total Amount]]&gt;=1000,"High","Low")</f>
        <v>Low</v>
      </c>
      <c r="Q528" s="4" t="str" cm="1">
        <f t="array" ref="Q528">_xlfn.IFS(AND(Table15678[[#This Row],[Total Amount]]&gt;=1500,"Critical"),AND(Table15678[[#This Row],[Total Amount]]&gt;=1000,"High"),TRUE,"Normal")</f>
        <v>Normal</v>
      </c>
      <c r="R528" s="4" t="str">
        <f>CONCATENATE(Table15678[[#This Row],[Customer ID]], "-",Table15678[[#This Row],[Age]])</f>
        <v>CUST527-57</v>
      </c>
      <c r="S528" s="4" t="str">
        <f>TEXT(Table15678[[#This Row],[Date]],"mmm")</f>
        <v>Apr</v>
      </c>
      <c r="T528" s="4" t="str">
        <f>TEXT(Table15678[[#This Row],[Date]],"DDD")</f>
        <v>Tue</v>
      </c>
    </row>
    <row r="529" spans="1:20" ht="29" x14ac:dyDescent="0.35">
      <c r="A529" s="4">
        <v>528</v>
      </c>
      <c r="B529" s="5">
        <v>45113</v>
      </c>
      <c r="C529" s="4" t="s">
        <v>541</v>
      </c>
      <c r="D529" s="4" t="s">
        <v>13</v>
      </c>
      <c r="E529" s="4">
        <v>36</v>
      </c>
      <c r="F529" s="4" t="str">
        <f>IF(Table15678[[#This Row],[Age]]&lt;=19,"Teenager",IF(Table15678[[#This Row],[Age]]&lt;=40,"Median","Old"))</f>
        <v>Median</v>
      </c>
      <c r="G529" s="4" t="s">
        <v>14</v>
      </c>
      <c r="H529" s="4">
        <v>2</v>
      </c>
      <c r="I529" s="4">
        <v>30</v>
      </c>
      <c r="J529" s="4">
        <v>60</v>
      </c>
      <c r="K529" s="4" t="str" cm="1">
        <f t="array" ref="K529">_xlfn.IFS(AND(Table15678[[#This Row],[Total Amount]]&gt;=1500),"Critical",AND(Table15678[[#This Row],[Total Amount]]&gt;=1000),"High",TRUE,"Normal")</f>
        <v>Normal</v>
      </c>
      <c r="L529" s="4" t="str">
        <f>IF(Table15678[[#This Row],[Total Amount]]&gt;=1000,"High",(IF(Table15678[[#This Row],[Total Amount]]&gt;=500,"Medium","Low")))</f>
        <v>Low</v>
      </c>
      <c r="M529" s="4" t="str" cm="1">
        <f t="array" ref="M52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29" s="4" cm="1">
        <f t="array" ref="N52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529" s="4">
        <f>Table15678[[#This Row],[Total Amount]]-Table15678[[#This Row],[Discount Amount]]</f>
        <v>48</v>
      </c>
      <c r="P529" s="4" t="str">
        <f>IF(Table15678[[#This Row],[Total Amount]]&gt;=1000,"High","Low")</f>
        <v>Low</v>
      </c>
      <c r="Q529" s="4" t="str" cm="1">
        <f t="array" ref="Q529">_xlfn.IFS(AND(Table15678[[#This Row],[Total Amount]]&gt;=1500,"Critical"),AND(Table15678[[#This Row],[Total Amount]]&gt;=1000,"High"),TRUE,"Normal")</f>
        <v>Normal</v>
      </c>
      <c r="R529" s="4" t="str">
        <f>CONCATENATE(Table15678[[#This Row],[Customer ID]], "-",Table15678[[#This Row],[Age]])</f>
        <v>CUST528-36</v>
      </c>
      <c r="S529" s="4" t="str">
        <f>TEXT(Table15678[[#This Row],[Date]],"mmm")</f>
        <v>Jul</v>
      </c>
      <c r="T529" s="4" t="str">
        <f>TEXT(Table15678[[#This Row],[Date]],"DDD")</f>
        <v>Thu</v>
      </c>
    </row>
    <row r="530" spans="1:20" ht="29" x14ac:dyDescent="0.35">
      <c r="A530" s="4">
        <v>529</v>
      </c>
      <c r="B530" s="5">
        <v>45147</v>
      </c>
      <c r="C530" s="4" t="s">
        <v>542</v>
      </c>
      <c r="D530" s="4" t="s">
        <v>13</v>
      </c>
      <c r="E530" s="4">
        <v>35</v>
      </c>
      <c r="F530" s="4" t="str">
        <f>IF(Table15678[[#This Row],[Age]]&lt;=19,"Teenager",IF(Table15678[[#This Row],[Age]]&lt;=40,"Median","Old"))</f>
        <v>Median</v>
      </c>
      <c r="G530" s="4" t="s">
        <v>14</v>
      </c>
      <c r="H530" s="4">
        <v>3</v>
      </c>
      <c r="I530" s="4">
        <v>50</v>
      </c>
      <c r="J530" s="4">
        <v>150</v>
      </c>
      <c r="K530" s="4" t="str" cm="1">
        <f t="array" ref="K530">_xlfn.IFS(AND(Table15678[[#This Row],[Total Amount]]&gt;=1500),"Critical",AND(Table15678[[#This Row],[Total Amount]]&gt;=1000),"High",TRUE,"Normal")</f>
        <v>Normal</v>
      </c>
      <c r="L530" s="4" t="str">
        <f>IF(Table15678[[#This Row],[Total Amount]]&gt;=1000,"High",(IF(Table15678[[#This Row],[Total Amount]]&gt;=500,"Medium","Low")))</f>
        <v>Low</v>
      </c>
      <c r="M530" s="4" t="str" cm="1">
        <f t="array" ref="M53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30" s="4" cm="1">
        <f t="array" ref="N53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530" s="4">
        <f>Table15678[[#This Row],[Total Amount]]-Table15678[[#This Row],[Discount Amount]]</f>
        <v>120</v>
      </c>
      <c r="P530" s="4" t="str">
        <f>IF(Table15678[[#This Row],[Total Amount]]&gt;=1000,"High","Low")</f>
        <v>Low</v>
      </c>
      <c r="Q530" s="4" t="str" cm="1">
        <f t="array" ref="Q530">_xlfn.IFS(AND(Table15678[[#This Row],[Total Amount]]&gt;=1500,"Critical"),AND(Table15678[[#This Row],[Total Amount]]&gt;=1000,"High"),TRUE,"Normal")</f>
        <v>Normal</v>
      </c>
      <c r="R530" s="4" t="str">
        <f>CONCATENATE(Table15678[[#This Row],[Customer ID]], "-",Table15678[[#This Row],[Age]])</f>
        <v>CUST529-35</v>
      </c>
      <c r="S530" s="4" t="str">
        <f>TEXT(Table15678[[#This Row],[Date]],"mmm")</f>
        <v>Aug</v>
      </c>
      <c r="T530" s="4" t="str">
        <f>TEXT(Table15678[[#This Row],[Date]],"DDD")</f>
        <v>Wed</v>
      </c>
    </row>
    <row r="531" spans="1:20" ht="29" x14ac:dyDescent="0.35">
      <c r="A531" s="4">
        <v>530</v>
      </c>
      <c r="B531" s="5">
        <v>44962</v>
      </c>
      <c r="C531" s="4" t="s">
        <v>543</v>
      </c>
      <c r="D531" s="4" t="s">
        <v>13</v>
      </c>
      <c r="E531" s="4">
        <v>18</v>
      </c>
      <c r="F531" s="4" t="str">
        <f>IF(Table15678[[#This Row],[Age]]&lt;=19,"Teenager",IF(Table15678[[#This Row],[Age]]&lt;=40,"Median","Old"))</f>
        <v>Teenager</v>
      </c>
      <c r="G531" s="4" t="s">
        <v>16</v>
      </c>
      <c r="H531" s="4">
        <v>4</v>
      </c>
      <c r="I531" s="4">
        <v>30</v>
      </c>
      <c r="J531" s="4">
        <v>120</v>
      </c>
      <c r="K531" s="4" t="str" cm="1">
        <f t="array" ref="K531">_xlfn.IFS(AND(Table15678[[#This Row],[Total Amount]]&gt;=1500),"Critical",AND(Table15678[[#This Row],[Total Amount]]&gt;=1000),"High",TRUE,"Normal")</f>
        <v>Normal</v>
      </c>
      <c r="L531" s="4" t="str">
        <f>IF(Table15678[[#This Row],[Total Amount]]&gt;=1000,"High",(IF(Table15678[[#This Row],[Total Amount]]&gt;=500,"Medium","Low")))</f>
        <v>Low</v>
      </c>
      <c r="M531" s="4" t="str" cm="1">
        <f t="array" ref="M53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531" s="4" cm="1">
        <f t="array" ref="N53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531" s="4">
        <f>Table15678[[#This Row],[Total Amount]]-Table15678[[#This Row],[Discount Amount]]</f>
        <v>120</v>
      </c>
      <c r="P531" s="4" t="str">
        <f>IF(Table15678[[#This Row],[Total Amount]]&gt;=1000,"High","Low")</f>
        <v>Low</v>
      </c>
      <c r="Q531" s="4" t="str" cm="1">
        <f t="array" ref="Q531">_xlfn.IFS(AND(Table15678[[#This Row],[Total Amount]]&gt;=1500,"Critical"),AND(Table15678[[#This Row],[Total Amount]]&gt;=1000,"High"),TRUE,"Normal")</f>
        <v>Normal</v>
      </c>
      <c r="R531" s="4" t="str">
        <f>CONCATENATE(Table15678[[#This Row],[Customer ID]], "-",Table15678[[#This Row],[Age]])</f>
        <v>CUST530-18</v>
      </c>
      <c r="S531" s="4" t="str">
        <f>TEXT(Table15678[[#This Row],[Date]],"mmm")</f>
        <v>Feb</v>
      </c>
      <c r="T531" s="4" t="str">
        <f>TEXT(Table15678[[#This Row],[Date]],"DDD")</f>
        <v>Sun</v>
      </c>
    </row>
    <row r="532" spans="1:20" ht="29" x14ac:dyDescent="0.35">
      <c r="A532" s="4">
        <v>531</v>
      </c>
      <c r="B532" s="5">
        <v>45267</v>
      </c>
      <c r="C532" s="4" t="s">
        <v>544</v>
      </c>
      <c r="D532" s="4" t="s">
        <v>10</v>
      </c>
      <c r="E532" s="4">
        <v>31</v>
      </c>
      <c r="F532" s="4" t="str">
        <f>IF(Table15678[[#This Row],[Age]]&lt;=19,"Teenager",IF(Table15678[[#This Row],[Age]]&lt;=40,"Median","Old"))</f>
        <v>Median</v>
      </c>
      <c r="G532" s="4" t="s">
        <v>16</v>
      </c>
      <c r="H532" s="4">
        <v>1</v>
      </c>
      <c r="I532" s="4">
        <v>500</v>
      </c>
      <c r="J532" s="4">
        <v>500</v>
      </c>
      <c r="K532" s="4" t="str" cm="1">
        <f t="array" ref="K532">_xlfn.IFS(AND(Table15678[[#This Row],[Total Amount]]&gt;=1500),"Critical",AND(Table15678[[#This Row],[Total Amount]]&gt;=1000),"High",TRUE,"Normal")</f>
        <v>Normal</v>
      </c>
      <c r="L532" s="4" t="str">
        <f>IF(Table15678[[#This Row],[Total Amount]]&gt;=1000,"High",(IF(Table15678[[#This Row],[Total Amount]]&gt;=500,"Medium","Low")))</f>
        <v>Medium</v>
      </c>
      <c r="M532" s="4" t="str" cm="1">
        <f t="array" ref="M53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32" s="4" cm="1">
        <f t="array" ref="N53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75</v>
      </c>
      <c r="O532" s="4">
        <f>Table15678[[#This Row],[Total Amount]]-Table15678[[#This Row],[Discount Amount]]</f>
        <v>425</v>
      </c>
      <c r="P532" s="4" t="str">
        <f>IF(Table15678[[#This Row],[Total Amount]]&gt;=1000,"High","Low")</f>
        <v>Low</v>
      </c>
      <c r="Q532" s="4" t="str" cm="1">
        <f t="array" ref="Q532">_xlfn.IFS(AND(Table15678[[#This Row],[Total Amount]]&gt;=1500,"Critical"),AND(Table15678[[#This Row],[Total Amount]]&gt;=1000,"High"),TRUE,"Normal")</f>
        <v>Normal</v>
      </c>
      <c r="R532" s="4" t="str">
        <f>CONCATENATE(Table15678[[#This Row],[Customer ID]], "-",Table15678[[#This Row],[Age]])</f>
        <v>CUST531-31</v>
      </c>
      <c r="S532" s="4" t="str">
        <f>TEXT(Table15678[[#This Row],[Date]],"mmm")</f>
        <v>Dec</v>
      </c>
      <c r="T532" s="4" t="str">
        <f>TEXT(Table15678[[#This Row],[Date]],"DDD")</f>
        <v>Thu</v>
      </c>
    </row>
    <row r="533" spans="1:20" ht="29" x14ac:dyDescent="0.35">
      <c r="A533" s="4">
        <v>532</v>
      </c>
      <c r="B533" s="5">
        <v>45096</v>
      </c>
      <c r="C533" s="4" t="s">
        <v>545</v>
      </c>
      <c r="D533" s="4" t="s">
        <v>13</v>
      </c>
      <c r="E533" s="4">
        <v>64</v>
      </c>
      <c r="F533" s="4" t="str">
        <f>IF(Table15678[[#This Row],[Age]]&lt;=19,"Teenager",IF(Table15678[[#This Row],[Age]]&lt;=40,"Median","Old"))</f>
        <v>Old</v>
      </c>
      <c r="G533" s="4" t="s">
        <v>14</v>
      </c>
      <c r="H533" s="4">
        <v>4</v>
      </c>
      <c r="I533" s="4">
        <v>30</v>
      </c>
      <c r="J533" s="4">
        <v>120</v>
      </c>
      <c r="K533" s="4" t="str" cm="1">
        <f t="array" ref="K533">_xlfn.IFS(AND(Table15678[[#This Row],[Total Amount]]&gt;=1500),"Critical",AND(Table15678[[#This Row],[Total Amount]]&gt;=1000),"High",TRUE,"Normal")</f>
        <v>Normal</v>
      </c>
      <c r="L533" s="4" t="str">
        <f>IF(Table15678[[#This Row],[Total Amount]]&gt;=1000,"High",(IF(Table15678[[#This Row],[Total Amount]]&gt;=500,"Medium","Low")))</f>
        <v>Low</v>
      </c>
      <c r="M533" s="4" t="str" cm="1">
        <f t="array" ref="M53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33" s="4" cm="1">
        <f t="array" ref="N53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</v>
      </c>
      <c r="O533" s="4">
        <f>Table15678[[#This Row],[Total Amount]]-Table15678[[#This Row],[Discount Amount]]</f>
        <v>96</v>
      </c>
      <c r="P533" s="4" t="str">
        <f>IF(Table15678[[#This Row],[Total Amount]]&gt;=1000,"High","Low")</f>
        <v>Low</v>
      </c>
      <c r="Q533" s="4" t="str" cm="1">
        <f t="array" ref="Q533">_xlfn.IFS(AND(Table15678[[#This Row],[Total Amount]]&gt;=1500,"Critical"),AND(Table15678[[#This Row],[Total Amount]]&gt;=1000,"High"),TRUE,"Normal")</f>
        <v>Normal</v>
      </c>
      <c r="R533" s="4" t="str">
        <f>CONCATENATE(Table15678[[#This Row],[Customer ID]], "-",Table15678[[#This Row],[Age]])</f>
        <v>CUST532-64</v>
      </c>
      <c r="S533" s="4" t="str">
        <f>TEXT(Table15678[[#This Row],[Date]],"mmm")</f>
        <v>Jun</v>
      </c>
      <c r="T533" s="4" t="str">
        <f>TEXT(Table15678[[#This Row],[Date]],"DDD")</f>
        <v>Mon</v>
      </c>
    </row>
    <row r="534" spans="1:20" ht="29" x14ac:dyDescent="0.35">
      <c r="A534" s="4">
        <v>533</v>
      </c>
      <c r="B534" s="5">
        <v>45246</v>
      </c>
      <c r="C534" s="4" t="s">
        <v>546</v>
      </c>
      <c r="D534" s="4" t="s">
        <v>10</v>
      </c>
      <c r="E534" s="4">
        <v>19</v>
      </c>
      <c r="F534" s="4" t="str">
        <f>IF(Table15678[[#This Row],[Age]]&lt;=19,"Teenager",IF(Table15678[[#This Row],[Age]]&lt;=40,"Median","Old"))</f>
        <v>Teenager</v>
      </c>
      <c r="G534" s="4" t="s">
        <v>16</v>
      </c>
      <c r="H534" s="4">
        <v>3</v>
      </c>
      <c r="I534" s="4">
        <v>500</v>
      </c>
      <c r="J534" s="4">
        <v>1500</v>
      </c>
      <c r="K534" s="4" t="str" cm="1">
        <f t="array" ref="K534">_xlfn.IFS(AND(Table15678[[#This Row],[Total Amount]]&gt;=1500),"Critical",AND(Table15678[[#This Row],[Total Amount]]&gt;=1000),"High",TRUE,"Normal")</f>
        <v>Critical</v>
      </c>
      <c r="L534" s="4" t="str">
        <f>IF(Table15678[[#This Row],[Total Amount]]&gt;=1000,"High",(IF(Table15678[[#This Row],[Total Amount]]&gt;=500,"Medium","Low")))</f>
        <v>High</v>
      </c>
      <c r="M534" s="4" t="str" cm="1">
        <f t="array" ref="M53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534" s="4" cm="1">
        <f t="array" ref="N53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534" s="4">
        <f>Table15678[[#This Row],[Total Amount]]-Table15678[[#This Row],[Discount Amount]]</f>
        <v>1500</v>
      </c>
      <c r="P534" s="4" t="str">
        <f>IF(Table15678[[#This Row],[Total Amount]]&gt;=1000,"High","Low")</f>
        <v>High</v>
      </c>
      <c r="Q534" s="4" t="b" cm="1">
        <f t="array" ref="Q534">_xlfn.IFS(AND(Table15678[[#This Row],[Total Amount]]&gt;=1500,"Critical"),AND(Table15678[[#This Row],[Total Amount]]&gt;=1000,"High"),TRUE,"Normal")</f>
        <v>1</v>
      </c>
      <c r="R534" s="4" t="str">
        <f>CONCATENATE(Table15678[[#This Row],[Customer ID]], "-",Table15678[[#This Row],[Age]])</f>
        <v>CUST533-19</v>
      </c>
      <c r="S534" s="4" t="str">
        <f>TEXT(Table15678[[#This Row],[Date]],"mmm")</f>
        <v>Nov</v>
      </c>
      <c r="T534" s="4" t="str">
        <f>TEXT(Table15678[[#This Row],[Date]],"DDD")</f>
        <v>Thu</v>
      </c>
    </row>
    <row r="535" spans="1:20" ht="29" x14ac:dyDescent="0.35">
      <c r="A535" s="4">
        <v>534</v>
      </c>
      <c r="B535" s="5">
        <v>45087</v>
      </c>
      <c r="C535" s="4" t="s">
        <v>547</v>
      </c>
      <c r="D535" s="4" t="s">
        <v>10</v>
      </c>
      <c r="E535" s="4">
        <v>45</v>
      </c>
      <c r="F535" s="4" t="str">
        <f>IF(Table15678[[#This Row],[Age]]&lt;=19,"Teenager",IF(Table15678[[#This Row],[Age]]&lt;=40,"Median","Old"))</f>
        <v>Old</v>
      </c>
      <c r="G535" s="4" t="s">
        <v>14</v>
      </c>
      <c r="H535" s="4">
        <v>2</v>
      </c>
      <c r="I535" s="4">
        <v>500</v>
      </c>
      <c r="J535" s="4">
        <v>1000</v>
      </c>
      <c r="K535" s="4" t="str" cm="1">
        <f t="array" ref="K535">_xlfn.IFS(AND(Table15678[[#This Row],[Total Amount]]&gt;=1500),"Critical",AND(Table15678[[#This Row],[Total Amount]]&gt;=1000),"High",TRUE,"Normal")</f>
        <v>High</v>
      </c>
      <c r="L535" s="4" t="str">
        <f>IF(Table15678[[#This Row],[Total Amount]]&gt;=1000,"High",(IF(Table15678[[#This Row],[Total Amount]]&gt;=500,"Medium","Low")))</f>
        <v>High</v>
      </c>
      <c r="M535" s="4" t="str" cm="1">
        <f t="array" ref="M53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35" s="4" cm="1">
        <f t="array" ref="N53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535" s="4">
        <f>Table15678[[#This Row],[Total Amount]]-Table15678[[#This Row],[Discount Amount]]</f>
        <v>900</v>
      </c>
      <c r="P535" s="4" t="str">
        <f>IF(Table15678[[#This Row],[Total Amount]]&gt;=1000,"High","Low")</f>
        <v>High</v>
      </c>
      <c r="Q535" s="4" t="str" cm="1">
        <f t="array" ref="Q535">_xlfn.IFS(AND(Table15678[[#This Row],[Total Amount]]&gt;=1500,"Critical"),AND(Table15678[[#This Row],[Total Amount]]&gt;=1000,"High"),TRUE,"Normal")</f>
        <v>Normal</v>
      </c>
      <c r="R535" s="4" t="str">
        <f>CONCATENATE(Table15678[[#This Row],[Customer ID]], "-",Table15678[[#This Row],[Age]])</f>
        <v>CUST534-45</v>
      </c>
      <c r="S535" s="4" t="str">
        <f>TEXT(Table15678[[#This Row],[Date]],"mmm")</f>
        <v>Jun</v>
      </c>
      <c r="T535" s="4" t="str">
        <f>TEXT(Table15678[[#This Row],[Date]],"DDD")</f>
        <v>Sat</v>
      </c>
    </row>
    <row r="536" spans="1:20" ht="29" x14ac:dyDescent="0.35">
      <c r="A536" s="4">
        <v>535</v>
      </c>
      <c r="B536" s="5">
        <v>45266</v>
      </c>
      <c r="C536" s="4" t="s">
        <v>548</v>
      </c>
      <c r="D536" s="4" t="s">
        <v>10</v>
      </c>
      <c r="E536" s="4">
        <v>47</v>
      </c>
      <c r="F536" s="4" t="str">
        <f>IF(Table15678[[#This Row],[Age]]&lt;=19,"Teenager",IF(Table15678[[#This Row],[Age]]&lt;=40,"Median","Old"))</f>
        <v>Old</v>
      </c>
      <c r="G536" s="4" t="s">
        <v>11</v>
      </c>
      <c r="H536" s="4">
        <v>3</v>
      </c>
      <c r="I536" s="4">
        <v>30</v>
      </c>
      <c r="J536" s="4">
        <v>90</v>
      </c>
      <c r="K536" s="4" t="str" cm="1">
        <f t="array" ref="K536">_xlfn.IFS(AND(Table15678[[#This Row],[Total Amount]]&gt;=1500),"Critical",AND(Table15678[[#This Row],[Total Amount]]&gt;=1000),"High",TRUE,"Normal")</f>
        <v>Normal</v>
      </c>
      <c r="L536" s="4" t="str">
        <f>IF(Table15678[[#This Row],[Total Amount]]&gt;=1000,"High",(IF(Table15678[[#This Row],[Total Amount]]&gt;=500,"Medium","Low")))</f>
        <v>Low</v>
      </c>
      <c r="M536" s="4" t="str" cm="1">
        <f t="array" ref="M53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36" s="4" cm="1">
        <f t="array" ref="N53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</v>
      </c>
      <c r="O536" s="4">
        <f>Table15678[[#This Row],[Total Amount]]-Table15678[[#This Row],[Discount Amount]]</f>
        <v>81</v>
      </c>
      <c r="P536" s="4" t="str">
        <f>IF(Table15678[[#This Row],[Total Amount]]&gt;=1000,"High","Low")</f>
        <v>Low</v>
      </c>
      <c r="Q536" s="4" t="str" cm="1">
        <f t="array" ref="Q536">_xlfn.IFS(AND(Table15678[[#This Row],[Total Amount]]&gt;=1500,"Critical"),AND(Table15678[[#This Row],[Total Amount]]&gt;=1000,"High"),TRUE,"Normal")</f>
        <v>Normal</v>
      </c>
      <c r="R536" s="4" t="str">
        <f>CONCATENATE(Table15678[[#This Row],[Customer ID]], "-",Table15678[[#This Row],[Age]])</f>
        <v>CUST535-47</v>
      </c>
      <c r="S536" s="4" t="str">
        <f>TEXT(Table15678[[#This Row],[Date]],"mmm")</f>
        <v>Dec</v>
      </c>
      <c r="T536" s="4" t="str">
        <f>TEXT(Table15678[[#This Row],[Date]],"DDD")</f>
        <v>Wed</v>
      </c>
    </row>
    <row r="537" spans="1:20" ht="29" x14ac:dyDescent="0.35">
      <c r="A537" s="4">
        <v>536</v>
      </c>
      <c r="B537" s="5">
        <v>44990</v>
      </c>
      <c r="C537" s="4" t="s">
        <v>549</v>
      </c>
      <c r="D537" s="4" t="s">
        <v>13</v>
      </c>
      <c r="E537" s="4">
        <v>55</v>
      </c>
      <c r="F537" s="4" t="str">
        <f>IF(Table15678[[#This Row],[Age]]&lt;=19,"Teenager",IF(Table15678[[#This Row],[Age]]&lt;=40,"Median","Old"))</f>
        <v>Old</v>
      </c>
      <c r="G537" s="4" t="s">
        <v>11</v>
      </c>
      <c r="H537" s="4">
        <v>4</v>
      </c>
      <c r="I537" s="4">
        <v>30</v>
      </c>
      <c r="J537" s="4">
        <v>120</v>
      </c>
      <c r="K537" s="4" t="str" cm="1">
        <f t="array" ref="K537">_xlfn.IFS(AND(Table15678[[#This Row],[Total Amount]]&gt;=1500),"Critical",AND(Table15678[[#This Row],[Total Amount]]&gt;=1000),"High",TRUE,"Normal")</f>
        <v>Normal</v>
      </c>
      <c r="L537" s="4" t="str">
        <f>IF(Table15678[[#This Row],[Total Amount]]&gt;=1000,"High",(IF(Table15678[[#This Row],[Total Amount]]&gt;=500,"Medium","Low")))</f>
        <v>Low</v>
      </c>
      <c r="M537" s="4" t="str" cm="1">
        <f t="array" ref="M53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37" s="4" cm="1">
        <f t="array" ref="N53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</v>
      </c>
      <c r="O537" s="4">
        <f>Table15678[[#This Row],[Total Amount]]-Table15678[[#This Row],[Discount Amount]]</f>
        <v>96</v>
      </c>
      <c r="P537" s="4" t="str">
        <f>IF(Table15678[[#This Row],[Total Amount]]&gt;=1000,"High","Low")</f>
        <v>Low</v>
      </c>
      <c r="Q537" s="4" t="str" cm="1">
        <f t="array" ref="Q537">_xlfn.IFS(AND(Table15678[[#This Row],[Total Amount]]&gt;=1500,"Critical"),AND(Table15678[[#This Row],[Total Amount]]&gt;=1000,"High"),TRUE,"Normal")</f>
        <v>Normal</v>
      </c>
      <c r="R537" s="4" t="str">
        <f>CONCATENATE(Table15678[[#This Row],[Customer ID]], "-",Table15678[[#This Row],[Age]])</f>
        <v>CUST536-55</v>
      </c>
      <c r="S537" s="4" t="str">
        <f>TEXT(Table15678[[#This Row],[Date]],"mmm")</f>
        <v>Mar</v>
      </c>
      <c r="T537" s="4" t="str">
        <f>TEXT(Table15678[[#This Row],[Date]],"DDD")</f>
        <v>Sun</v>
      </c>
    </row>
    <row r="538" spans="1:20" ht="29" x14ac:dyDescent="0.35">
      <c r="A538" s="4">
        <v>537</v>
      </c>
      <c r="B538" s="5">
        <v>45080</v>
      </c>
      <c r="C538" s="4" t="s">
        <v>550</v>
      </c>
      <c r="D538" s="4" t="s">
        <v>13</v>
      </c>
      <c r="E538" s="4">
        <v>21</v>
      </c>
      <c r="F538" s="4" t="str">
        <f>IF(Table15678[[#This Row],[Age]]&lt;=19,"Teenager",IF(Table15678[[#This Row],[Age]]&lt;=40,"Median","Old"))</f>
        <v>Median</v>
      </c>
      <c r="G538" s="4" t="s">
        <v>11</v>
      </c>
      <c r="H538" s="4">
        <v>1</v>
      </c>
      <c r="I538" s="4">
        <v>500</v>
      </c>
      <c r="J538" s="4">
        <v>500</v>
      </c>
      <c r="K538" s="4" t="str" cm="1">
        <f t="array" ref="K538">_xlfn.IFS(AND(Table15678[[#This Row],[Total Amount]]&gt;=1500),"Critical",AND(Table15678[[#This Row],[Total Amount]]&gt;=1000),"High",TRUE,"Normal")</f>
        <v>Normal</v>
      </c>
      <c r="L538" s="4" t="str">
        <f>IF(Table15678[[#This Row],[Total Amount]]&gt;=1000,"High",(IF(Table15678[[#This Row],[Total Amount]]&gt;=500,"Medium","Low")))</f>
        <v>Medium</v>
      </c>
      <c r="M538" s="4" t="str" cm="1">
        <f t="array" ref="M53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538" s="4" cm="1">
        <f t="array" ref="N53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538" s="4">
        <f>Table15678[[#This Row],[Total Amount]]-Table15678[[#This Row],[Discount Amount]]</f>
        <v>500</v>
      </c>
      <c r="P538" s="4" t="str">
        <f>IF(Table15678[[#This Row],[Total Amount]]&gt;=1000,"High","Low")</f>
        <v>Low</v>
      </c>
      <c r="Q538" s="4" t="str" cm="1">
        <f t="array" ref="Q538">_xlfn.IFS(AND(Table15678[[#This Row],[Total Amount]]&gt;=1500,"Critical"),AND(Table15678[[#This Row],[Total Amount]]&gt;=1000,"High"),TRUE,"Normal")</f>
        <v>Normal</v>
      </c>
      <c r="R538" s="4" t="str">
        <f>CONCATENATE(Table15678[[#This Row],[Customer ID]], "-",Table15678[[#This Row],[Age]])</f>
        <v>CUST537-21</v>
      </c>
      <c r="S538" s="4" t="str">
        <f>TEXT(Table15678[[#This Row],[Date]],"mmm")</f>
        <v>Jun</v>
      </c>
      <c r="T538" s="4" t="str">
        <f>TEXT(Table15678[[#This Row],[Date]],"DDD")</f>
        <v>Sat</v>
      </c>
    </row>
    <row r="539" spans="1:20" ht="29" x14ac:dyDescent="0.35">
      <c r="A539" s="4">
        <v>538</v>
      </c>
      <c r="B539" s="5">
        <v>45186</v>
      </c>
      <c r="C539" s="4" t="s">
        <v>551</v>
      </c>
      <c r="D539" s="4" t="s">
        <v>10</v>
      </c>
      <c r="E539" s="4">
        <v>18</v>
      </c>
      <c r="F539" s="4" t="str">
        <f>IF(Table15678[[#This Row],[Age]]&lt;=19,"Teenager",IF(Table15678[[#This Row],[Age]]&lt;=40,"Median","Old"))</f>
        <v>Teenager</v>
      </c>
      <c r="G539" s="4" t="s">
        <v>14</v>
      </c>
      <c r="H539" s="4">
        <v>3</v>
      </c>
      <c r="I539" s="4">
        <v>50</v>
      </c>
      <c r="J539" s="4">
        <v>150</v>
      </c>
      <c r="K539" s="4" t="str" cm="1">
        <f t="array" ref="K539">_xlfn.IFS(AND(Table15678[[#This Row],[Total Amount]]&gt;=1500),"Critical",AND(Table15678[[#This Row],[Total Amount]]&gt;=1000),"High",TRUE,"Normal")</f>
        <v>Normal</v>
      </c>
      <c r="L539" s="4" t="str">
        <f>IF(Table15678[[#This Row],[Total Amount]]&gt;=1000,"High",(IF(Table15678[[#This Row],[Total Amount]]&gt;=500,"Medium","Low")))</f>
        <v>Low</v>
      </c>
      <c r="M539" s="4" t="str" cm="1">
        <f t="array" ref="M53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539" s="4" cm="1">
        <f t="array" ref="N53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539" s="4">
        <f>Table15678[[#This Row],[Total Amount]]-Table15678[[#This Row],[Discount Amount]]</f>
        <v>150</v>
      </c>
      <c r="P539" s="4" t="str">
        <f>IF(Table15678[[#This Row],[Total Amount]]&gt;=1000,"High","Low")</f>
        <v>Low</v>
      </c>
      <c r="Q539" s="4" t="str" cm="1">
        <f t="array" ref="Q539">_xlfn.IFS(AND(Table15678[[#This Row],[Total Amount]]&gt;=1500,"Critical"),AND(Table15678[[#This Row],[Total Amount]]&gt;=1000,"High"),TRUE,"Normal")</f>
        <v>Normal</v>
      </c>
      <c r="R539" s="4" t="str">
        <f>CONCATENATE(Table15678[[#This Row],[Customer ID]], "-",Table15678[[#This Row],[Age]])</f>
        <v>CUST538-18</v>
      </c>
      <c r="S539" s="4" t="str">
        <f>TEXT(Table15678[[#This Row],[Date]],"mmm")</f>
        <v>Sep</v>
      </c>
      <c r="T539" s="4" t="str">
        <f>TEXT(Table15678[[#This Row],[Date]],"DDD")</f>
        <v>Sun</v>
      </c>
    </row>
    <row r="540" spans="1:20" ht="29" x14ac:dyDescent="0.35">
      <c r="A540" s="4">
        <v>539</v>
      </c>
      <c r="B540" s="5">
        <v>45085</v>
      </c>
      <c r="C540" s="4" t="s">
        <v>552</v>
      </c>
      <c r="D540" s="4" t="s">
        <v>10</v>
      </c>
      <c r="E540" s="4">
        <v>25</v>
      </c>
      <c r="F540" s="4" t="str">
        <f>IF(Table15678[[#This Row],[Age]]&lt;=19,"Teenager",IF(Table15678[[#This Row],[Age]]&lt;=40,"Median","Old"))</f>
        <v>Median</v>
      </c>
      <c r="G540" s="4" t="s">
        <v>11</v>
      </c>
      <c r="H540" s="4">
        <v>1</v>
      </c>
      <c r="I540" s="4">
        <v>500</v>
      </c>
      <c r="J540" s="4">
        <v>500</v>
      </c>
      <c r="K540" s="4" t="str" cm="1">
        <f t="array" ref="K540">_xlfn.IFS(AND(Table15678[[#This Row],[Total Amount]]&gt;=1500),"Critical",AND(Table15678[[#This Row],[Total Amount]]&gt;=1000),"High",TRUE,"Normal")</f>
        <v>Normal</v>
      </c>
      <c r="L540" s="4" t="str">
        <f>IF(Table15678[[#This Row],[Total Amount]]&gt;=1000,"High",(IF(Table15678[[#This Row],[Total Amount]]&gt;=500,"Medium","Low")))</f>
        <v>Medium</v>
      </c>
      <c r="M540" s="4" t="str" cm="1">
        <f t="array" ref="M54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40" s="4" cm="1">
        <f t="array" ref="N54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75</v>
      </c>
      <c r="O540" s="4">
        <f>Table15678[[#This Row],[Total Amount]]-Table15678[[#This Row],[Discount Amount]]</f>
        <v>425</v>
      </c>
      <c r="P540" s="4" t="str">
        <f>IF(Table15678[[#This Row],[Total Amount]]&gt;=1000,"High","Low")</f>
        <v>Low</v>
      </c>
      <c r="Q540" s="4" t="str" cm="1">
        <f t="array" ref="Q540">_xlfn.IFS(AND(Table15678[[#This Row],[Total Amount]]&gt;=1500,"Critical"),AND(Table15678[[#This Row],[Total Amount]]&gt;=1000,"High"),TRUE,"Normal")</f>
        <v>Normal</v>
      </c>
      <c r="R540" s="4" t="str">
        <f>CONCATENATE(Table15678[[#This Row],[Customer ID]], "-",Table15678[[#This Row],[Age]])</f>
        <v>CUST539-25</v>
      </c>
      <c r="S540" s="4" t="str">
        <f>TEXT(Table15678[[#This Row],[Date]],"mmm")</f>
        <v>Jun</v>
      </c>
      <c r="T540" s="4" t="str">
        <f>TEXT(Table15678[[#This Row],[Date]],"DDD")</f>
        <v>Thu</v>
      </c>
    </row>
    <row r="541" spans="1:20" ht="29" x14ac:dyDescent="0.35">
      <c r="A541" s="4">
        <v>540</v>
      </c>
      <c r="B541" s="5">
        <v>45268</v>
      </c>
      <c r="C541" s="4" t="s">
        <v>553</v>
      </c>
      <c r="D541" s="4" t="s">
        <v>13</v>
      </c>
      <c r="E541" s="4">
        <v>46</v>
      </c>
      <c r="F541" s="4" t="str">
        <f>IF(Table15678[[#This Row],[Age]]&lt;=19,"Teenager",IF(Table15678[[#This Row],[Age]]&lt;=40,"Median","Old"))</f>
        <v>Old</v>
      </c>
      <c r="G541" s="4" t="s">
        <v>16</v>
      </c>
      <c r="H541" s="4">
        <v>3</v>
      </c>
      <c r="I541" s="4">
        <v>300</v>
      </c>
      <c r="J541" s="4">
        <v>900</v>
      </c>
      <c r="K541" s="4" t="str" cm="1">
        <f t="array" ref="K541">_xlfn.IFS(AND(Table15678[[#This Row],[Total Amount]]&gt;=1500),"Critical",AND(Table15678[[#This Row],[Total Amount]]&gt;=1000),"High",TRUE,"Normal")</f>
        <v>Normal</v>
      </c>
      <c r="L541" s="4" t="str">
        <f>IF(Table15678[[#This Row],[Total Amount]]&gt;=1000,"High",(IF(Table15678[[#This Row],[Total Amount]]&gt;=500,"Medium","Low")))</f>
        <v>Medium</v>
      </c>
      <c r="M541" s="4" t="str" cm="1">
        <f t="array" ref="M54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41" s="4" cm="1">
        <f t="array" ref="N54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541" s="4">
        <f>Table15678[[#This Row],[Total Amount]]-Table15678[[#This Row],[Discount Amount]]</f>
        <v>720</v>
      </c>
      <c r="P541" s="4" t="str">
        <f>IF(Table15678[[#This Row],[Total Amount]]&gt;=1000,"High","Low")</f>
        <v>Low</v>
      </c>
      <c r="Q541" s="4" t="str" cm="1">
        <f t="array" ref="Q541">_xlfn.IFS(AND(Table15678[[#This Row],[Total Amount]]&gt;=1500,"Critical"),AND(Table15678[[#This Row],[Total Amount]]&gt;=1000,"High"),TRUE,"Normal")</f>
        <v>Normal</v>
      </c>
      <c r="R541" s="4" t="str">
        <f>CONCATENATE(Table15678[[#This Row],[Customer ID]], "-",Table15678[[#This Row],[Age]])</f>
        <v>CUST540-46</v>
      </c>
      <c r="S541" s="4" t="str">
        <f>TEXT(Table15678[[#This Row],[Date]],"mmm")</f>
        <v>Dec</v>
      </c>
      <c r="T541" s="4" t="str">
        <f>TEXT(Table15678[[#This Row],[Date]],"DDD")</f>
        <v>Fri</v>
      </c>
    </row>
    <row r="542" spans="1:20" ht="29" x14ac:dyDescent="0.35">
      <c r="A542" s="4">
        <v>541</v>
      </c>
      <c r="B542" s="5">
        <v>45136</v>
      </c>
      <c r="C542" s="4" t="s">
        <v>554</v>
      </c>
      <c r="D542" s="4" t="s">
        <v>10</v>
      </c>
      <c r="E542" s="4">
        <v>56</v>
      </c>
      <c r="F542" s="4" t="str">
        <f>IF(Table15678[[#This Row],[Age]]&lt;=19,"Teenager",IF(Table15678[[#This Row],[Age]]&lt;=40,"Median","Old"))</f>
        <v>Old</v>
      </c>
      <c r="G542" s="4" t="s">
        <v>11</v>
      </c>
      <c r="H542" s="4">
        <v>1</v>
      </c>
      <c r="I542" s="4">
        <v>500</v>
      </c>
      <c r="J542" s="4">
        <v>500</v>
      </c>
      <c r="K542" s="4" t="str" cm="1">
        <f t="array" ref="K542">_xlfn.IFS(AND(Table15678[[#This Row],[Total Amount]]&gt;=1500),"Critical",AND(Table15678[[#This Row],[Total Amount]]&gt;=1000),"High",TRUE,"Normal")</f>
        <v>Normal</v>
      </c>
      <c r="L542" s="4" t="str">
        <f>IF(Table15678[[#This Row],[Total Amount]]&gt;=1000,"High",(IF(Table15678[[#This Row],[Total Amount]]&gt;=500,"Medium","Low")))</f>
        <v>Medium</v>
      </c>
      <c r="M542" s="4" t="str" cm="1">
        <f t="array" ref="M54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42" s="4" cm="1">
        <f t="array" ref="N54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50</v>
      </c>
      <c r="O542" s="4">
        <f>Table15678[[#This Row],[Total Amount]]-Table15678[[#This Row],[Discount Amount]]</f>
        <v>450</v>
      </c>
      <c r="P542" s="4" t="str">
        <f>IF(Table15678[[#This Row],[Total Amount]]&gt;=1000,"High","Low")</f>
        <v>Low</v>
      </c>
      <c r="Q542" s="4" t="str" cm="1">
        <f t="array" ref="Q542">_xlfn.IFS(AND(Table15678[[#This Row],[Total Amount]]&gt;=1500,"Critical"),AND(Table15678[[#This Row],[Total Amount]]&gt;=1000,"High"),TRUE,"Normal")</f>
        <v>Normal</v>
      </c>
      <c r="R542" s="4" t="str">
        <f>CONCATENATE(Table15678[[#This Row],[Customer ID]], "-",Table15678[[#This Row],[Age]])</f>
        <v>CUST541-56</v>
      </c>
      <c r="S542" s="4" t="str">
        <f>TEXT(Table15678[[#This Row],[Date]],"mmm")</f>
        <v>Jul</v>
      </c>
      <c r="T542" s="4" t="str">
        <f>TEXT(Table15678[[#This Row],[Date]],"DDD")</f>
        <v>Sat</v>
      </c>
    </row>
    <row r="543" spans="1:20" ht="29" x14ac:dyDescent="0.35">
      <c r="A543" s="4">
        <v>542</v>
      </c>
      <c r="B543" s="5">
        <v>45094</v>
      </c>
      <c r="C543" s="4" t="s">
        <v>555</v>
      </c>
      <c r="D543" s="4" t="s">
        <v>13</v>
      </c>
      <c r="E543" s="4">
        <v>20</v>
      </c>
      <c r="F543" s="4" t="str">
        <f>IF(Table15678[[#This Row],[Age]]&lt;=19,"Teenager",IF(Table15678[[#This Row],[Age]]&lt;=40,"Median","Old"))</f>
        <v>Median</v>
      </c>
      <c r="G543" s="4" t="s">
        <v>11</v>
      </c>
      <c r="H543" s="4">
        <v>1</v>
      </c>
      <c r="I543" s="4">
        <v>50</v>
      </c>
      <c r="J543" s="4">
        <v>50</v>
      </c>
      <c r="K543" s="4" t="str" cm="1">
        <f t="array" ref="K543">_xlfn.IFS(AND(Table15678[[#This Row],[Total Amount]]&gt;=1500),"Critical",AND(Table15678[[#This Row],[Total Amount]]&gt;=1000),"High",TRUE,"Normal")</f>
        <v>Normal</v>
      </c>
      <c r="L543" s="4" t="str">
        <f>IF(Table15678[[#This Row],[Total Amount]]&gt;=1000,"High",(IF(Table15678[[#This Row],[Total Amount]]&gt;=500,"Medium","Low")))</f>
        <v>Low</v>
      </c>
      <c r="M543" s="4" t="str" cm="1">
        <f t="array" ref="M54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543" s="4" cm="1">
        <f t="array" ref="N54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543" s="4">
        <f>Table15678[[#This Row],[Total Amount]]-Table15678[[#This Row],[Discount Amount]]</f>
        <v>50</v>
      </c>
      <c r="P543" s="4" t="str">
        <f>IF(Table15678[[#This Row],[Total Amount]]&gt;=1000,"High","Low")</f>
        <v>Low</v>
      </c>
      <c r="Q543" s="4" t="str" cm="1">
        <f t="array" ref="Q543">_xlfn.IFS(AND(Table15678[[#This Row],[Total Amount]]&gt;=1500,"Critical"),AND(Table15678[[#This Row],[Total Amount]]&gt;=1000,"High"),TRUE,"Normal")</f>
        <v>Normal</v>
      </c>
      <c r="R543" s="4" t="str">
        <f>CONCATENATE(Table15678[[#This Row],[Customer ID]], "-",Table15678[[#This Row],[Age]])</f>
        <v>CUST542-20</v>
      </c>
      <c r="S543" s="4" t="str">
        <f>TEXT(Table15678[[#This Row],[Date]],"mmm")</f>
        <v>Jun</v>
      </c>
      <c r="T543" s="4" t="str">
        <f>TEXT(Table15678[[#This Row],[Date]],"DDD")</f>
        <v>Sat</v>
      </c>
    </row>
    <row r="544" spans="1:20" ht="29" x14ac:dyDescent="0.35">
      <c r="A544" s="4">
        <v>543</v>
      </c>
      <c r="B544" s="5">
        <v>45133</v>
      </c>
      <c r="C544" s="4" t="s">
        <v>556</v>
      </c>
      <c r="D544" s="4" t="s">
        <v>10</v>
      </c>
      <c r="E544" s="4">
        <v>49</v>
      </c>
      <c r="F544" s="4" t="str">
        <f>IF(Table15678[[#This Row],[Age]]&lt;=19,"Teenager",IF(Table15678[[#This Row],[Age]]&lt;=40,"Median","Old"))</f>
        <v>Old</v>
      </c>
      <c r="G544" s="4" t="s">
        <v>11</v>
      </c>
      <c r="H544" s="4">
        <v>2</v>
      </c>
      <c r="I544" s="4">
        <v>300</v>
      </c>
      <c r="J544" s="4">
        <v>600</v>
      </c>
      <c r="K544" s="4" t="str" cm="1">
        <f t="array" ref="K544">_xlfn.IFS(AND(Table15678[[#This Row],[Total Amount]]&gt;=1500),"Critical",AND(Table15678[[#This Row],[Total Amount]]&gt;=1000),"High",TRUE,"Normal")</f>
        <v>Normal</v>
      </c>
      <c r="L544" s="4" t="str">
        <f>IF(Table15678[[#This Row],[Total Amount]]&gt;=1000,"High",(IF(Table15678[[#This Row],[Total Amount]]&gt;=500,"Medium","Low")))</f>
        <v>Medium</v>
      </c>
      <c r="M544" s="4" t="str" cm="1">
        <f t="array" ref="M54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44" s="4" cm="1">
        <f t="array" ref="N54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544" s="4">
        <f>Table15678[[#This Row],[Total Amount]]-Table15678[[#This Row],[Discount Amount]]</f>
        <v>540</v>
      </c>
      <c r="P544" s="4" t="str">
        <f>IF(Table15678[[#This Row],[Total Amount]]&gt;=1000,"High","Low")</f>
        <v>Low</v>
      </c>
      <c r="Q544" s="4" t="str" cm="1">
        <f t="array" ref="Q544">_xlfn.IFS(AND(Table15678[[#This Row],[Total Amount]]&gt;=1500,"Critical"),AND(Table15678[[#This Row],[Total Amount]]&gt;=1000,"High"),TRUE,"Normal")</f>
        <v>Normal</v>
      </c>
      <c r="R544" s="4" t="str">
        <f>CONCATENATE(Table15678[[#This Row],[Customer ID]], "-",Table15678[[#This Row],[Age]])</f>
        <v>CUST543-49</v>
      </c>
      <c r="S544" s="4" t="str">
        <f>TEXT(Table15678[[#This Row],[Date]],"mmm")</f>
        <v>Jul</v>
      </c>
      <c r="T544" s="4" t="str">
        <f>TEXT(Table15678[[#This Row],[Date]],"DDD")</f>
        <v>Wed</v>
      </c>
    </row>
    <row r="545" spans="1:20" ht="29" x14ac:dyDescent="0.35">
      <c r="A545" s="4">
        <v>544</v>
      </c>
      <c r="B545" s="5">
        <v>45283</v>
      </c>
      <c r="C545" s="4" t="s">
        <v>557</v>
      </c>
      <c r="D545" s="4" t="s">
        <v>13</v>
      </c>
      <c r="E545" s="4">
        <v>27</v>
      </c>
      <c r="F545" s="4" t="str">
        <f>IF(Table15678[[#This Row],[Age]]&lt;=19,"Teenager",IF(Table15678[[#This Row],[Age]]&lt;=40,"Median","Old"))</f>
        <v>Median</v>
      </c>
      <c r="G545" s="4" t="s">
        <v>16</v>
      </c>
      <c r="H545" s="4">
        <v>1</v>
      </c>
      <c r="I545" s="4">
        <v>25</v>
      </c>
      <c r="J545" s="4">
        <v>25</v>
      </c>
      <c r="K545" s="4" t="str" cm="1">
        <f t="array" ref="K545">_xlfn.IFS(AND(Table15678[[#This Row],[Total Amount]]&gt;=1500),"Critical",AND(Table15678[[#This Row],[Total Amount]]&gt;=1000),"High",TRUE,"Normal")</f>
        <v>Normal</v>
      </c>
      <c r="L545" s="4" t="str">
        <f>IF(Table15678[[#This Row],[Total Amount]]&gt;=1000,"High",(IF(Table15678[[#This Row],[Total Amount]]&gt;=500,"Medium","Low")))</f>
        <v>Low</v>
      </c>
      <c r="M545" s="4" t="str" cm="1">
        <f t="array" ref="M54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45" s="4" cm="1">
        <f t="array" ref="N54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3.75</v>
      </c>
      <c r="O545" s="4">
        <f>Table15678[[#This Row],[Total Amount]]-Table15678[[#This Row],[Discount Amount]]</f>
        <v>21.25</v>
      </c>
      <c r="P545" s="4" t="str">
        <f>IF(Table15678[[#This Row],[Total Amount]]&gt;=1000,"High","Low")</f>
        <v>Low</v>
      </c>
      <c r="Q545" s="4" t="str" cm="1">
        <f t="array" ref="Q545">_xlfn.IFS(AND(Table15678[[#This Row],[Total Amount]]&gt;=1500,"Critical"),AND(Table15678[[#This Row],[Total Amount]]&gt;=1000,"High"),TRUE,"Normal")</f>
        <v>Normal</v>
      </c>
      <c r="R545" s="4" t="str">
        <f>CONCATENATE(Table15678[[#This Row],[Customer ID]], "-",Table15678[[#This Row],[Age]])</f>
        <v>CUST544-27</v>
      </c>
      <c r="S545" s="4" t="str">
        <f>TEXT(Table15678[[#This Row],[Date]],"mmm")</f>
        <v>Dec</v>
      </c>
      <c r="T545" s="4" t="str">
        <f>TEXT(Table15678[[#This Row],[Date]],"DDD")</f>
        <v>Sat</v>
      </c>
    </row>
    <row r="546" spans="1:20" ht="29" x14ac:dyDescent="0.35">
      <c r="A546" s="4">
        <v>545</v>
      </c>
      <c r="B546" s="5">
        <v>45078</v>
      </c>
      <c r="C546" s="4" t="s">
        <v>558</v>
      </c>
      <c r="D546" s="4" t="s">
        <v>10</v>
      </c>
      <c r="E546" s="4">
        <v>27</v>
      </c>
      <c r="F546" s="4" t="str">
        <f>IF(Table15678[[#This Row],[Age]]&lt;=19,"Teenager",IF(Table15678[[#This Row],[Age]]&lt;=40,"Median","Old"))</f>
        <v>Median</v>
      </c>
      <c r="G546" s="4" t="s">
        <v>14</v>
      </c>
      <c r="H546" s="4">
        <v>2</v>
      </c>
      <c r="I546" s="4">
        <v>25</v>
      </c>
      <c r="J546" s="4">
        <v>50</v>
      </c>
      <c r="K546" s="4" t="str" cm="1">
        <f t="array" ref="K546">_xlfn.IFS(AND(Table15678[[#This Row],[Total Amount]]&gt;=1500),"Critical",AND(Table15678[[#This Row],[Total Amount]]&gt;=1000),"High",TRUE,"Normal")</f>
        <v>Normal</v>
      </c>
      <c r="L546" s="4" t="str">
        <f>IF(Table15678[[#This Row],[Total Amount]]&gt;=1000,"High",(IF(Table15678[[#This Row],[Total Amount]]&gt;=500,"Medium","Low")))</f>
        <v>Low</v>
      </c>
      <c r="M546" s="4" t="str" cm="1">
        <f t="array" ref="M54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46" s="4" cm="1">
        <f t="array" ref="N54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546" s="4">
        <f>Table15678[[#This Row],[Total Amount]]-Table15678[[#This Row],[Discount Amount]]</f>
        <v>42.5</v>
      </c>
      <c r="P546" s="4" t="str">
        <f>IF(Table15678[[#This Row],[Total Amount]]&gt;=1000,"High","Low")</f>
        <v>Low</v>
      </c>
      <c r="Q546" s="4" t="str" cm="1">
        <f t="array" ref="Q546">_xlfn.IFS(AND(Table15678[[#This Row],[Total Amount]]&gt;=1500,"Critical"),AND(Table15678[[#This Row],[Total Amount]]&gt;=1000,"High"),TRUE,"Normal")</f>
        <v>Normal</v>
      </c>
      <c r="R546" s="4" t="str">
        <f>CONCATENATE(Table15678[[#This Row],[Customer ID]], "-",Table15678[[#This Row],[Age]])</f>
        <v>CUST545-27</v>
      </c>
      <c r="S546" s="4" t="str">
        <f>TEXT(Table15678[[#This Row],[Date]],"mmm")</f>
        <v>Jun</v>
      </c>
      <c r="T546" s="4" t="str">
        <f>TEXT(Table15678[[#This Row],[Date]],"DDD")</f>
        <v>Thu</v>
      </c>
    </row>
    <row r="547" spans="1:20" ht="29" x14ac:dyDescent="0.35">
      <c r="A547" s="4">
        <v>546</v>
      </c>
      <c r="B547" s="5">
        <v>45210</v>
      </c>
      <c r="C547" s="4" t="s">
        <v>559</v>
      </c>
      <c r="D547" s="4" t="s">
        <v>13</v>
      </c>
      <c r="E547" s="4">
        <v>36</v>
      </c>
      <c r="F547" s="4" t="str">
        <f>IF(Table15678[[#This Row],[Age]]&lt;=19,"Teenager",IF(Table15678[[#This Row],[Age]]&lt;=40,"Median","Old"))</f>
        <v>Median</v>
      </c>
      <c r="G547" s="4" t="s">
        <v>16</v>
      </c>
      <c r="H547" s="4">
        <v>4</v>
      </c>
      <c r="I547" s="4">
        <v>50</v>
      </c>
      <c r="J547" s="4">
        <v>200</v>
      </c>
      <c r="K547" s="4" t="str" cm="1">
        <f t="array" ref="K547">_xlfn.IFS(AND(Table15678[[#This Row],[Total Amount]]&gt;=1500),"Critical",AND(Table15678[[#This Row],[Total Amount]]&gt;=1000),"High",TRUE,"Normal")</f>
        <v>Normal</v>
      </c>
      <c r="L547" s="4" t="str">
        <f>IF(Table15678[[#This Row],[Total Amount]]&gt;=1000,"High",(IF(Table15678[[#This Row],[Total Amount]]&gt;=500,"Medium","Low")))</f>
        <v>Low</v>
      </c>
      <c r="M547" s="4" t="str" cm="1">
        <f t="array" ref="M54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47" s="4" cm="1">
        <f t="array" ref="N54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</v>
      </c>
      <c r="O547" s="4">
        <f>Table15678[[#This Row],[Total Amount]]-Table15678[[#This Row],[Discount Amount]]</f>
        <v>160</v>
      </c>
      <c r="P547" s="4" t="str">
        <f>IF(Table15678[[#This Row],[Total Amount]]&gt;=1000,"High","Low")</f>
        <v>Low</v>
      </c>
      <c r="Q547" s="4" t="str" cm="1">
        <f t="array" ref="Q547">_xlfn.IFS(AND(Table15678[[#This Row],[Total Amount]]&gt;=1500,"Critical"),AND(Table15678[[#This Row],[Total Amount]]&gt;=1000,"High"),TRUE,"Normal")</f>
        <v>Normal</v>
      </c>
      <c r="R547" s="4" t="str">
        <f>CONCATENATE(Table15678[[#This Row],[Customer ID]], "-",Table15678[[#This Row],[Age]])</f>
        <v>CUST546-36</v>
      </c>
      <c r="S547" s="4" t="str">
        <f>TEXT(Table15678[[#This Row],[Date]],"mmm")</f>
        <v>Oct</v>
      </c>
      <c r="T547" s="4" t="str">
        <f>TEXT(Table15678[[#This Row],[Date]],"DDD")</f>
        <v>Wed</v>
      </c>
    </row>
    <row r="548" spans="1:20" ht="29" x14ac:dyDescent="0.35">
      <c r="A548" s="4">
        <v>547</v>
      </c>
      <c r="B548" s="5">
        <v>44992</v>
      </c>
      <c r="C548" s="4" t="s">
        <v>560</v>
      </c>
      <c r="D548" s="4" t="s">
        <v>10</v>
      </c>
      <c r="E548" s="4">
        <v>63</v>
      </c>
      <c r="F548" s="4" t="str">
        <f>IF(Table15678[[#This Row],[Age]]&lt;=19,"Teenager",IF(Table15678[[#This Row],[Age]]&lt;=40,"Median","Old"))</f>
        <v>Old</v>
      </c>
      <c r="G548" s="4" t="s">
        <v>14</v>
      </c>
      <c r="H548" s="4">
        <v>4</v>
      </c>
      <c r="I548" s="4">
        <v>500</v>
      </c>
      <c r="J548" s="4">
        <v>2000</v>
      </c>
      <c r="K548" s="4" t="str" cm="1">
        <f t="array" ref="K548">_xlfn.IFS(AND(Table15678[[#This Row],[Total Amount]]&gt;=1500),"Critical",AND(Table15678[[#This Row],[Total Amount]]&gt;=1000),"High",TRUE,"Normal")</f>
        <v>Critical</v>
      </c>
      <c r="L548" s="4" t="str">
        <f>IF(Table15678[[#This Row],[Total Amount]]&gt;=1000,"High",(IF(Table15678[[#This Row],[Total Amount]]&gt;=500,"Medium","Low")))</f>
        <v>High</v>
      </c>
      <c r="M548" s="4" t="str" cm="1">
        <f t="array" ref="M54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48" s="4" cm="1">
        <f t="array" ref="N54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548" s="4">
        <f>Table15678[[#This Row],[Total Amount]]-Table15678[[#This Row],[Discount Amount]]</f>
        <v>1800</v>
      </c>
      <c r="P548" s="4" t="str">
        <f>IF(Table15678[[#This Row],[Total Amount]]&gt;=1000,"High","Low")</f>
        <v>High</v>
      </c>
      <c r="Q548" s="4" t="b" cm="1">
        <f t="array" ref="Q548">_xlfn.IFS(AND(Table15678[[#This Row],[Total Amount]]&gt;=1500,"Critical"),AND(Table15678[[#This Row],[Total Amount]]&gt;=1000,"High"),TRUE,"Normal")</f>
        <v>1</v>
      </c>
      <c r="R548" s="4" t="str">
        <f>CONCATENATE(Table15678[[#This Row],[Customer ID]], "-",Table15678[[#This Row],[Age]])</f>
        <v>CUST547-63</v>
      </c>
      <c r="S548" s="4" t="str">
        <f>TEXT(Table15678[[#This Row],[Date]],"mmm")</f>
        <v>Mar</v>
      </c>
      <c r="T548" s="4" t="str">
        <f>TEXT(Table15678[[#This Row],[Date]],"DDD")</f>
        <v>Tue</v>
      </c>
    </row>
    <row r="549" spans="1:20" ht="29" x14ac:dyDescent="0.35">
      <c r="A549" s="4">
        <v>548</v>
      </c>
      <c r="B549" s="5">
        <v>45025</v>
      </c>
      <c r="C549" s="4" t="s">
        <v>561</v>
      </c>
      <c r="D549" s="4" t="s">
        <v>13</v>
      </c>
      <c r="E549" s="4">
        <v>51</v>
      </c>
      <c r="F549" s="4" t="str">
        <f>IF(Table15678[[#This Row],[Age]]&lt;=19,"Teenager",IF(Table15678[[#This Row],[Age]]&lt;=40,"Median","Old"))</f>
        <v>Old</v>
      </c>
      <c r="G549" s="4" t="s">
        <v>14</v>
      </c>
      <c r="H549" s="4">
        <v>2</v>
      </c>
      <c r="I549" s="4">
        <v>30</v>
      </c>
      <c r="J549" s="4">
        <v>60</v>
      </c>
      <c r="K549" s="4" t="str" cm="1">
        <f t="array" ref="K549">_xlfn.IFS(AND(Table15678[[#This Row],[Total Amount]]&gt;=1500),"Critical",AND(Table15678[[#This Row],[Total Amount]]&gt;=1000),"High",TRUE,"Normal")</f>
        <v>Normal</v>
      </c>
      <c r="L549" s="4" t="str">
        <f>IF(Table15678[[#This Row],[Total Amount]]&gt;=1000,"High",(IF(Table15678[[#This Row],[Total Amount]]&gt;=500,"Medium","Low")))</f>
        <v>Low</v>
      </c>
      <c r="M549" s="4" t="str" cm="1">
        <f t="array" ref="M54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49" s="4" cm="1">
        <f t="array" ref="N54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549" s="4">
        <f>Table15678[[#This Row],[Total Amount]]-Table15678[[#This Row],[Discount Amount]]</f>
        <v>48</v>
      </c>
      <c r="P549" s="4" t="str">
        <f>IF(Table15678[[#This Row],[Total Amount]]&gt;=1000,"High","Low")</f>
        <v>Low</v>
      </c>
      <c r="Q549" s="4" t="str" cm="1">
        <f t="array" ref="Q549">_xlfn.IFS(AND(Table15678[[#This Row],[Total Amount]]&gt;=1500,"Critical"),AND(Table15678[[#This Row],[Total Amount]]&gt;=1000,"High"),TRUE,"Normal")</f>
        <v>Normal</v>
      </c>
      <c r="R549" s="4" t="str">
        <f>CONCATENATE(Table15678[[#This Row],[Customer ID]], "-",Table15678[[#This Row],[Age]])</f>
        <v>CUST548-51</v>
      </c>
      <c r="S549" s="4" t="str">
        <f>TEXT(Table15678[[#This Row],[Date]],"mmm")</f>
        <v>Apr</v>
      </c>
      <c r="T549" s="4" t="str">
        <f>TEXT(Table15678[[#This Row],[Date]],"DDD")</f>
        <v>Sun</v>
      </c>
    </row>
    <row r="550" spans="1:20" ht="29" x14ac:dyDescent="0.35">
      <c r="A550" s="4">
        <v>549</v>
      </c>
      <c r="B550" s="5">
        <v>45142</v>
      </c>
      <c r="C550" s="4" t="s">
        <v>562</v>
      </c>
      <c r="D550" s="4" t="s">
        <v>13</v>
      </c>
      <c r="E550" s="4">
        <v>50</v>
      </c>
      <c r="F550" s="4" t="str">
        <f>IF(Table15678[[#This Row],[Age]]&lt;=19,"Teenager",IF(Table15678[[#This Row],[Age]]&lt;=40,"Median","Old"))</f>
        <v>Old</v>
      </c>
      <c r="G550" s="4" t="s">
        <v>11</v>
      </c>
      <c r="H550" s="4">
        <v>2</v>
      </c>
      <c r="I550" s="4">
        <v>50</v>
      </c>
      <c r="J550" s="4">
        <v>100</v>
      </c>
      <c r="K550" s="4" t="str" cm="1">
        <f t="array" ref="K550">_xlfn.IFS(AND(Table15678[[#This Row],[Total Amount]]&gt;=1500),"Critical",AND(Table15678[[#This Row],[Total Amount]]&gt;=1000),"High",TRUE,"Normal")</f>
        <v>Normal</v>
      </c>
      <c r="L550" s="4" t="str">
        <f>IF(Table15678[[#This Row],[Total Amount]]&gt;=1000,"High",(IF(Table15678[[#This Row],[Total Amount]]&gt;=500,"Medium","Low")))</f>
        <v>Low</v>
      </c>
      <c r="M550" s="4" t="str" cm="1">
        <f t="array" ref="M55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50" s="4" cm="1">
        <f t="array" ref="N55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550" s="4">
        <f>Table15678[[#This Row],[Total Amount]]-Table15678[[#This Row],[Discount Amount]]</f>
        <v>80</v>
      </c>
      <c r="P550" s="4" t="str">
        <f>IF(Table15678[[#This Row],[Total Amount]]&gt;=1000,"High","Low")</f>
        <v>Low</v>
      </c>
      <c r="Q550" s="4" t="str" cm="1">
        <f t="array" ref="Q550">_xlfn.IFS(AND(Table15678[[#This Row],[Total Amount]]&gt;=1500,"Critical"),AND(Table15678[[#This Row],[Total Amount]]&gt;=1000,"High"),TRUE,"Normal")</f>
        <v>Normal</v>
      </c>
      <c r="R550" s="4" t="str">
        <f>CONCATENATE(Table15678[[#This Row],[Customer ID]], "-",Table15678[[#This Row],[Age]])</f>
        <v>CUST549-50</v>
      </c>
      <c r="S550" s="4" t="str">
        <f>TEXT(Table15678[[#This Row],[Date]],"mmm")</f>
        <v>Aug</v>
      </c>
      <c r="T550" s="4" t="str">
        <f>TEXT(Table15678[[#This Row],[Date]],"DDD")</f>
        <v>Fri</v>
      </c>
    </row>
    <row r="551" spans="1:20" ht="29" x14ac:dyDescent="0.35">
      <c r="A551" s="4">
        <v>550</v>
      </c>
      <c r="B551" s="5">
        <v>45267</v>
      </c>
      <c r="C551" s="4" t="s">
        <v>563</v>
      </c>
      <c r="D551" s="4" t="s">
        <v>10</v>
      </c>
      <c r="E551" s="4">
        <v>40</v>
      </c>
      <c r="F551" s="4" t="str">
        <f>IF(Table15678[[#This Row],[Age]]&lt;=19,"Teenager",IF(Table15678[[#This Row],[Age]]&lt;=40,"Median","Old"))</f>
        <v>Median</v>
      </c>
      <c r="G551" s="4" t="s">
        <v>14</v>
      </c>
      <c r="H551" s="4">
        <v>3</v>
      </c>
      <c r="I551" s="4">
        <v>300</v>
      </c>
      <c r="J551" s="4">
        <v>900</v>
      </c>
      <c r="K551" s="4" t="str" cm="1">
        <f t="array" ref="K551">_xlfn.IFS(AND(Table15678[[#This Row],[Total Amount]]&gt;=1500),"Critical",AND(Table15678[[#This Row],[Total Amount]]&gt;=1000),"High",TRUE,"Normal")</f>
        <v>Normal</v>
      </c>
      <c r="L551" s="4" t="str">
        <f>IF(Table15678[[#This Row],[Total Amount]]&gt;=1000,"High",(IF(Table15678[[#This Row],[Total Amount]]&gt;=500,"Medium","Low")))</f>
        <v>Medium</v>
      </c>
      <c r="M551" s="4" t="str" cm="1">
        <f t="array" ref="M55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51" s="4" cm="1">
        <f t="array" ref="N55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551" s="4">
        <f>Table15678[[#This Row],[Total Amount]]-Table15678[[#This Row],[Discount Amount]]</f>
        <v>810</v>
      </c>
      <c r="P551" s="4" t="str">
        <f>IF(Table15678[[#This Row],[Total Amount]]&gt;=1000,"High","Low")</f>
        <v>Low</v>
      </c>
      <c r="Q551" s="4" t="str" cm="1">
        <f t="array" ref="Q551">_xlfn.IFS(AND(Table15678[[#This Row],[Total Amount]]&gt;=1500,"Critical"),AND(Table15678[[#This Row],[Total Amount]]&gt;=1000,"High"),TRUE,"Normal")</f>
        <v>Normal</v>
      </c>
      <c r="R551" s="4" t="str">
        <f>CONCATENATE(Table15678[[#This Row],[Customer ID]], "-",Table15678[[#This Row],[Age]])</f>
        <v>CUST550-40</v>
      </c>
      <c r="S551" s="4" t="str">
        <f>TEXT(Table15678[[#This Row],[Date]],"mmm")</f>
        <v>Dec</v>
      </c>
      <c r="T551" s="4" t="str">
        <f>TEXT(Table15678[[#This Row],[Date]],"DDD")</f>
        <v>Thu</v>
      </c>
    </row>
    <row r="552" spans="1:20" ht="29" x14ac:dyDescent="0.35">
      <c r="A552" s="4">
        <v>551</v>
      </c>
      <c r="B552" s="5">
        <v>45121</v>
      </c>
      <c r="C552" s="4" t="s">
        <v>564</v>
      </c>
      <c r="D552" s="4" t="s">
        <v>10</v>
      </c>
      <c r="E552" s="4">
        <v>45</v>
      </c>
      <c r="F552" s="4" t="str">
        <f>IF(Table15678[[#This Row],[Age]]&lt;=19,"Teenager",IF(Table15678[[#This Row],[Age]]&lt;=40,"Median","Old"))</f>
        <v>Old</v>
      </c>
      <c r="G552" s="4" t="s">
        <v>16</v>
      </c>
      <c r="H552" s="4">
        <v>3</v>
      </c>
      <c r="I552" s="4">
        <v>300</v>
      </c>
      <c r="J552" s="4">
        <v>900</v>
      </c>
      <c r="K552" s="4" t="str" cm="1">
        <f t="array" ref="K552">_xlfn.IFS(AND(Table15678[[#This Row],[Total Amount]]&gt;=1500),"Critical",AND(Table15678[[#This Row],[Total Amount]]&gt;=1000),"High",TRUE,"Normal")</f>
        <v>Normal</v>
      </c>
      <c r="L552" s="4" t="str">
        <f>IF(Table15678[[#This Row],[Total Amount]]&gt;=1000,"High",(IF(Table15678[[#This Row],[Total Amount]]&gt;=500,"Medium","Low")))</f>
        <v>Medium</v>
      </c>
      <c r="M552" s="4" t="str" cm="1">
        <f t="array" ref="M55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52" s="4" cm="1">
        <f t="array" ref="N55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552" s="4">
        <f>Table15678[[#This Row],[Total Amount]]-Table15678[[#This Row],[Discount Amount]]</f>
        <v>810</v>
      </c>
      <c r="P552" s="4" t="str">
        <f>IF(Table15678[[#This Row],[Total Amount]]&gt;=1000,"High","Low")</f>
        <v>Low</v>
      </c>
      <c r="Q552" s="4" t="str" cm="1">
        <f t="array" ref="Q552">_xlfn.IFS(AND(Table15678[[#This Row],[Total Amount]]&gt;=1500,"Critical"),AND(Table15678[[#This Row],[Total Amount]]&gt;=1000,"High"),TRUE,"Normal")</f>
        <v>Normal</v>
      </c>
      <c r="R552" s="4" t="str">
        <f>CONCATENATE(Table15678[[#This Row],[Customer ID]], "-",Table15678[[#This Row],[Age]])</f>
        <v>CUST551-45</v>
      </c>
      <c r="S552" s="4" t="str">
        <f>TEXT(Table15678[[#This Row],[Date]],"mmm")</f>
        <v>Jul</v>
      </c>
      <c r="T552" s="4" t="str">
        <f>TEXT(Table15678[[#This Row],[Date]],"DDD")</f>
        <v>Fri</v>
      </c>
    </row>
    <row r="553" spans="1:20" ht="29" x14ac:dyDescent="0.35">
      <c r="A553" s="4">
        <v>552</v>
      </c>
      <c r="B553" s="5">
        <v>45273</v>
      </c>
      <c r="C553" s="4" t="s">
        <v>565</v>
      </c>
      <c r="D553" s="4" t="s">
        <v>13</v>
      </c>
      <c r="E553" s="4">
        <v>49</v>
      </c>
      <c r="F553" s="4" t="str">
        <f>IF(Table15678[[#This Row],[Age]]&lt;=19,"Teenager",IF(Table15678[[#This Row],[Age]]&lt;=40,"Median","Old"))</f>
        <v>Old</v>
      </c>
      <c r="G553" s="4" t="s">
        <v>16</v>
      </c>
      <c r="H553" s="4">
        <v>3</v>
      </c>
      <c r="I553" s="4">
        <v>25</v>
      </c>
      <c r="J553" s="4">
        <v>75</v>
      </c>
      <c r="K553" s="4" t="str" cm="1">
        <f t="array" ref="K553">_xlfn.IFS(AND(Table15678[[#This Row],[Total Amount]]&gt;=1500),"Critical",AND(Table15678[[#This Row],[Total Amount]]&gt;=1000),"High",TRUE,"Normal")</f>
        <v>Normal</v>
      </c>
      <c r="L553" s="4" t="str">
        <f>IF(Table15678[[#This Row],[Total Amount]]&gt;=1000,"High",(IF(Table15678[[#This Row],[Total Amount]]&gt;=500,"Medium","Low")))</f>
        <v>Low</v>
      </c>
      <c r="M553" s="4" t="str" cm="1">
        <f t="array" ref="M55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53" s="4" cm="1">
        <f t="array" ref="N55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553" s="4">
        <f>Table15678[[#This Row],[Total Amount]]-Table15678[[#This Row],[Discount Amount]]</f>
        <v>60</v>
      </c>
      <c r="P553" s="4" t="str">
        <f>IF(Table15678[[#This Row],[Total Amount]]&gt;=1000,"High","Low")</f>
        <v>Low</v>
      </c>
      <c r="Q553" s="4" t="str" cm="1">
        <f t="array" ref="Q553">_xlfn.IFS(AND(Table15678[[#This Row],[Total Amount]]&gt;=1500,"Critical"),AND(Table15678[[#This Row],[Total Amount]]&gt;=1000,"High"),TRUE,"Normal")</f>
        <v>Normal</v>
      </c>
      <c r="R553" s="4" t="str">
        <f>CONCATENATE(Table15678[[#This Row],[Customer ID]], "-",Table15678[[#This Row],[Age]])</f>
        <v>CUST552-49</v>
      </c>
      <c r="S553" s="4" t="str">
        <f>TEXT(Table15678[[#This Row],[Date]],"mmm")</f>
        <v>Dec</v>
      </c>
      <c r="T553" s="4" t="str">
        <f>TEXT(Table15678[[#This Row],[Date]],"DDD")</f>
        <v>Wed</v>
      </c>
    </row>
    <row r="554" spans="1:20" ht="29" x14ac:dyDescent="0.35">
      <c r="A554" s="4">
        <v>553</v>
      </c>
      <c r="B554" s="5">
        <v>45016</v>
      </c>
      <c r="C554" s="4" t="s">
        <v>566</v>
      </c>
      <c r="D554" s="4" t="s">
        <v>10</v>
      </c>
      <c r="E554" s="4">
        <v>24</v>
      </c>
      <c r="F554" s="4" t="str">
        <f>IF(Table15678[[#This Row],[Age]]&lt;=19,"Teenager",IF(Table15678[[#This Row],[Age]]&lt;=40,"Median","Old"))</f>
        <v>Median</v>
      </c>
      <c r="G554" s="4" t="s">
        <v>14</v>
      </c>
      <c r="H554" s="4">
        <v>4</v>
      </c>
      <c r="I554" s="4">
        <v>300</v>
      </c>
      <c r="J554" s="4">
        <v>1200</v>
      </c>
      <c r="K554" s="4" t="str" cm="1">
        <f t="array" ref="K554">_xlfn.IFS(AND(Table15678[[#This Row],[Total Amount]]&gt;=1500),"Critical",AND(Table15678[[#This Row],[Total Amount]]&gt;=1000),"High",TRUE,"Normal")</f>
        <v>High</v>
      </c>
      <c r="L554" s="4" t="str">
        <f>IF(Table15678[[#This Row],[Total Amount]]&gt;=1000,"High",(IF(Table15678[[#This Row],[Total Amount]]&gt;=500,"Medium","Low")))</f>
        <v>High</v>
      </c>
      <c r="M554" s="4" t="str" cm="1">
        <f t="array" ref="M55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554" s="4" cm="1">
        <f t="array" ref="N55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554" s="4">
        <f>Table15678[[#This Row],[Total Amount]]-Table15678[[#This Row],[Discount Amount]]</f>
        <v>1200</v>
      </c>
      <c r="P554" s="4" t="str">
        <f>IF(Table15678[[#This Row],[Total Amount]]&gt;=1000,"High","Low")</f>
        <v>High</v>
      </c>
      <c r="Q554" s="4" t="str" cm="1">
        <f t="array" ref="Q554">_xlfn.IFS(AND(Table15678[[#This Row],[Total Amount]]&gt;=1500,"Critical"),AND(Table15678[[#This Row],[Total Amount]]&gt;=1000,"High"),TRUE,"Normal")</f>
        <v>Normal</v>
      </c>
      <c r="R554" s="4" t="str">
        <f>CONCATENATE(Table15678[[#This Row],[Customer ID]], "-",Table15678[[#This Row],[Age]])</f>
        <v>CUST553-24</v>
      </c>
      <c r="S554" s="4" t="str">
        <f>TEXT(Table15678[[#This Row],[Date]],"mmm")</f>
        <v>Mar</v>
      </c>
      <c r="T554" s="4" t="str">
        <f>TEXT(Table15678[[#This Row],[Date]],"DDD")</f>
        <v>Fri</v>
      </c>
    </row>
    <row r="555" spans="1:20" ht="29" x14ac:dyDescent="0.35">
      <c r="A555" s="4">
        <v>554</v>
      </c>
      <c r="B555" s="5">
        <v>45242</v>
      </c>
      <c r="C555" s="4" t="s">
        <v>567</v>
      </c>
      <c r="D555" s="4" t="s">
        <v>13</v>
      </c>
      <c r="E555" s="4">
        <v>46</v>
      </c>
      <c r="F555" s="4" t="str">
        <f>IF(Table15678[[#This Row],[Age]]&lt;=19,"Teenager",IF(Table15678[[#This Row],[Age]]&lt;=40,"Median","Old"))</f>
        <v>Old</v>
      </c>
      <c r="G555" s="4" t="s">
        <v>11</v>
      </c>
      <c r="H555" s="4">
        <v>3</v>
      </c>
      <c r="I555" s="4">
        <v>50</v>
      </c>
      <c r="J555" s="4">
        <v>150</v>
      </c>
      <c r="K555" s="4" t="str" cm="1">
        <f t="array" ref="K555">_xlfn.IFS(AND(Table15678[[#This Row],[Total Amount]]&gt;=1500),"Critical",AND(Table15678[[#This Row],[Total Amount]]&gt;=1000),"High",TRUE,"Normal")</f>
        <v>Normal</v>
      </c>
      <c r="L555" s="4" t="str">
        <f>IF(Table15678[[#This Row],[Total Amount]]&gt;=1000,"High",(IF(Table15678[[#This Row],[Total Amount]]&gt;=500,"Medium","Low")))</f>
        <v>Low</v>
      </c>
      <c r="M555" s="4" t="str" cm="1">
        <f t="array" ref="M55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55" s="4" cm="1">
        <f t="array" ref="N55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555" s="4">
        <f>Table15678[[#This Row],[Total Amount]]-Table15678[[#This Row],[Discount Amount]]</f>
        <v>120</v>
      </c>
      <c r="P555" s="4" t="str">
        <f>IF(Table15678[[#This Row],[Total Amount]]&gt;=1000,"High","Low")</f>
        <v>Low</v>
      </c>
      <c r="Q555" s="4" t="str" cm="1">
        <f t="array" ref="Q555">_xlfn.IFS(AND(Table15678[[#This Row],[Total Amount]]&gt;=1500,"Critical"),AND(Table15678[[#This Row],[Total Amount]]&gt;=1000,"High"),TRUE,"Normal")</f>
        <v>Normal</v>
      </c>
      <c r="R555" s="4" t="str">
        <f>CONCATENATE(Table15678[[#This Row],[Customer ID]], "-",Table15678[[#This Row],[Age]])</f>
        <v>CUST554-46</v>
      </c>
      <c r="S555" s="4" t="str">
        <f>TEXT(Table15678[[#This Row],[Date]],"mmm")</f>
        <v>Nov</v>
      </c>
      <c r="T555" s="4" t="str">
        <f>TEXT(Table15678[[#This Row],[Date]],"DDD")</f>
        <v>Sun</v>
      </c>
    </row>
    <row r="556" spans="1:20" ht="29" x14ac:dyDescent="0.35">
      <c r="A556" s="4">
        <v>555</v>
      </c>
      <c r="B556" s="5">
        <v>45218</v>
      </c>
      <c r="C556" s="4" t="s">
        <v>568</v>
      </c>
      <c r="D556" s="4" t="s">
        <v>10</v>
      </c>
      <c r="E556" s="4">
        <v>25</v>
      </c>
      <c r="F556" s="4" t="str">
        <f>IF(Table15678[[#This Row],[Age]]&lt;=19,"Teenager",IF(Table15678[[#This Row],[Age]]&lt;=40,"Median","Old"))</f>
        <v>Median</v>
      </c>
      <c r="G556" s="4" t="s">
        <v>11</v>
      </c>
      <c r="H556" s="4">
        <v>1</v>
      </c>
      <c r="I556" s="4">
        <v>300</v>
      </c>
      <c r="J556" s="4">
        <v>300</v>
      </c>
      <c r="K556" s="4" t="str" cm="1">
        <f t="array" ref="K556">_xlfn.IFS(AND(Table15678[[#This Row],[Total Amount]]&gt;=1500),"Critical",AND(Table15678[[#This Row],[Total Amount]]&gt;=1000),"High",TRUE,"Normal")</f>
        <v>Normal</v>
      </c>
      <c r="L556" s="4" t="str">
        <f>IF(Table15678[[#This Row],[Total Amount]]&gt;=1000,"High",(IF(Table15678[[#This Row],[Total Amount]]&gt;=500,"Medium","Low")))</f>
        <v>Low</v>
      </c>
      <c r="M556" s="4" t="str" cm="1">
        <f t="array" ref="M55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56" s="4" cm="1">
        <f t="array" ref="N55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45</v>
      </c>
      <c r="O556" s="4">
        <f>Table15678[[#This Row],[Total Amount]]-Table15678[[#This Row],[Discount Amount]]</f>
        <v>255</v>
      </c>
      <c r="P556" s="4" t="str">
        <f>IF(Table15678[[#This Row],[Total Amount]]&gt;=1000,"High","Low")</f>
        <v>Low</v>
      </c>
      <c r="Q556" s="4" t="str" cm="1">
        <f t="array" ref="Q556">_xlfn.IFS(AND(Table15678[[#This Row],[Total Amount]]&gt;=1500,"Critical"),AND(Table15678[[#This Row],[Total Amount]]&gt;=1000,"High"),TRUE,"Normal")</f>
        <v>Normal</v>
      </c>
      <c r="R556" s="4" t="str">
        <f>CONCATENATE(Table15678[[#This Row],[Customer ID]], "-",Table15678[[#This Row],[Age]])</f>
        <v>CUST555-25</v>
      </c>
      <c r="S556" s="4" t="str">
        <f>TEXT(Table15678[[#This Row],[Date]],"mmm")</f>
        <v>Oct</v>
      </c>
      <c r="T556" s="4" t="str">
        <f>TEXT(Table15678[[#This Row],[Date]],"DDD")</f>
        <v>Thu</v>
      </c>
    </row>
    <row r="557" spans="1:20" ht="29" x14ac:dyDescent="0.35">
      <c r="A557" s="4">
        <v>556</v>
      </c>
      <c r="B557" s="5">
        <v>45081</v>
      </c>
      <c r="C557" s="4" t="s">
        <v>569</v>
      </c>
      <c r="D557" s="4" t="s">
        <v>13</v>
      </c>
      <c r="E557" s="4">
        <v>18</v>
      </c>
      <c r="F557" s="4" t="str">
        <f>IF(Table15678[[#This Row],[Age]]&lt;=19,"Teenager",IF(Table15678[[#This Row],[Age]]&lt;=40,"Median","Old"))</f>
        <v>Teenager</v>
      </c>
      <c r="G557" s="4" t="s">
        <v>16</v>
      </c>
      <c r="H557" s="4">
        <v>1</v>
      </c>
      <c r="I557" s="4">
        <v>50</v>
      </c>
      <c r="J557" s="4">
        <v>50</v>
      </c>
      <c r="K557" s="4" t="str" cm="1">
        <f t="array" ref="K557">_xlfn.IFS(AND(Table15678[[#This Row],[Total Amount]]&gt;=1500),"Critical",AND(Table15678[[#This Row],[Total Amount]]&gt;=1000),"High",TRUE,"Normal")</f>
        <v>Normal</v>
      </c>
      <c r="L557" s="4" t="str">
        <f>IF(Table15678[[#This Row],[Total Amount]]&gt;=1000,"High",(IF(Table15678[[#This Row],[Total Amount]]&gt;=500,"Medium","Low")))</f>
        <v>Low</v>
      </c>
      <c r="M557" s="4" t="str" cm="1">
        <f t="array" ref="M55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557" s="4" cm="1">
        <f t="array" ref="N55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557" s="4">
        <f>Table15678[[#This Row],[Total Amount]]-Table15678[[#This Row],[Discount Amount]]</f>
        <v>50</v>
      </c>
      <c r="P557" s="4" t="str">
        <f>IF(Table15678[[#This Row],[Total Amount]]&gt;=1000,"High","Low")</f>
        <v>Low</v>
      </c>
      <c r="Q557" s="4" t="str" cm="1">
        <f t="array" ref="Q557">_xlfn.IFS(AND(Table15678[[#This Row],[Total Amount]]&gt;=1500,"Critical"),AND(Table15678[[#This Row],[Total Amount]]&gt;=1000,"High"),TRUE,"Normal")</f>
        <v>Normal</v>
      </c>
      <c r="R557" s="4" t="str">
        <f>CONCATENATE(Table15678[[#This Row],[Customer ID]], "-",Table15678[[#This Row],[Age]])</f>
        <v>CUST556-18</v>
      </c>
      <c r="S557" s="4" t="str">
        <f>TEXT(Table15678[[#This Row],[Date]],"mmm")</f>
        <v>Jun</v>
      </c>
      <c r="T557" s="4" t="str">
        <f>TEXT(Table15678[[#This Row],[Date]],"DDD")</f>
        <v>Sun</v>
      </c>
    </row>
    <row r="558" spans="1:20" ht="29" x14ac:dyDescent="0.35">
      <c r="A558" s="4">
        <v>557</v>
      </c>
      <c r="B558" s="5">
        <v>45134</v>
      </c>
      <c r="C558" s="4" t="s">
        <v>570</v>
      </c>
      <c r="D558" s="4" t="s">
        <v>13</v>
      </c>
      <c r="E558" s="4">
        <v>20</v>
      </c>
      <c r="F558" s="4" t="str">
        <f>IF(Table15678[[#This Row],[Age]]&lt;=19,"Teenager",IF(Table15678[[#This Row],[Age]]&lt;=40,"Median","Old"))</f>
        <v>Median</v>
      </c>
      <c r="G558" s="4" t="s">
        <v>11</v>
      </c>
      <c r="H558" s="4">
        <v>3</v>
      </c>
      <c r="I558" s="4">
        <v>30</v>
      </c>
      <c r="J558" s="4">
        <v>90</v>
      </c>
      <c r="K558" s="4" t="str" cm="1">
        <f t="array" ref="K558">_xlfn.IFS(AND(Table15678[[#This Row],[Total Amount]]&gt;=1500),"Critical",AND(Table15678[[#This Row],[Total Amount]]&gt;=1000),"High",TRUE,"Normal")</f>
        <v>Normal</v>
      </c>
      <c r="L558" s="4" t="str">
        <f>IF(Table15678[[#This Row],[Total Amount]]&gt;=1000,"High",(IF(Table15678[[#This Row],[Total Amount]]&gt;=500,"Medium","Low")))</f>
        <v>Low</v>
      </c>
      <c r="M558" s="4" t="str" cm="1">
        <f t="array" ref="M55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558" s="4" cm="1">
        <f t="array" ref="N55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558" s="4">
        <f>Table15678[[#This Row],[Total Amount]]-Table15678[[#This Row],[Discount Amount]]</f>
        <v>90</v>
      </c>
      <c r="P558" s="4" t="str">
        <f>IF(Table15678[[#This Row],[Total Amount]]&gt;=1000,"High","Low")</f>
        <v>Low</v>
      </c>
      <c r="Q558" s="4" t="str" cm="1">
        <f t="array" ref="Q558">_xlfn.IFS(AND(Table15678[[#This Row],[Total Amount]]&gt;=1500,"Critical"),AND(Table15678[[#This Row],[Total Amount]]&gt;=1000,"High"),TRUE,"Normal")</f>
        <v>Normal</v>
      </c>
      <c r="R558" s="4" t="str">
        <f>CONCATENATE(Table15678[[#This Row],[Customer ID]], "-",Table15678[[#This Row],[Age]])</f>
        <v>CUST557-20</v>
      </c>
      <c r="S558" s="4" t="str">
        <f>TEXT(Table15678[[#This Row],[Date]],"mmm")</f>
        <v>Jul</v>
      </c>
      <c r="T558" s="4" t="str">
        <f>TEXT(Table15678[[#This Row],[Date]],"DDD")</f>
        <v>Thu</v>
      </c>
    </row>
    <row r="559" spans="1:20" ht="29" x14ac:dyDescent="0.35">
      <c r="A559" s="4">
        <v>558</v>
      </c>
      <c r="B559" s="5">
        <v>45207</v>
      </c>
      <c r="C559" s="4" t="s">
        <v>571</v>
      </c>
      <c r="D559" s="4" t="s">
        <v>13</v>
      </c>
      <c r="E559" s="4">
        <v>41</v>
      </c>
      <c r="F559" s="4" t="str">
        <f>IF(Table15678[[#This Row],[Age]]&lt;=19,"Teenager",IF(Table15678[[#This Row],[Age]]&lt;=40,"Median","Old"))</f>
        <v>Old</v>
      </c>
      <c r="G559" s="4" t="s">
        <v>14</v>
      </c>
      <c r="H559" s="4">
        <v>1</v>
      </c>
      <c r="I559" s="4">
        <v>25</v>
      </c>
      <c r="J559" s="4">
        <v>25</v>
      </c>
      <c r="K559" s="4" t="str" cm="1">
        <f t="array" ref="K559">_xlfn.IFS(AND(Table15678[[#This Row],[Total Amount]]&gt;=1500),"Critical",AND(Table15678[[#This Row],[Total Amount]]&gt;=1000),"High",TRUE,"Normal")</f>
        <v>Normal</v>
      </c>
      <c r="L559" s="4" t="str">
        <f>IF(Table15678[[#This Row],[Total Amount]]&gt;=1000,"High",(IF(Table15678[[#This Row],[Total Amount]]&gt;=500,"Medium","Low")))</f>
        <v>Low</v>
      </c>
      <c r="M559" s="4" t="str" cm="1">
        <f t="array" ref="M55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59" s="4" cm="1">
        <f t="array" ref="N55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559" s="4">
        <f>Table15678[[#This Row],[Total Amount]]-Table15678[[#This Row],[Discount Amount]]</f>
        <v>20</v>
      </c>
      <c r="P559" s="4" t="str">
        <f>IF(Table15678[[#This Row],[Total Amount]]&gt;=1000,"High","Low")</f>
        <v>Low</v>
      </c>
      <c r="Q559" s="4" t="str" cm="1">
        <f t="array" ref="Q559">_xlfn.IFS(AND(Table15678[[#This Row],[Total Amount]]&gt;=1500,"Critical"),AND(Table15678[[#This Row],[Total Amount]]&gt;=1000,"High"),TRUE,"Normal")</f>
        <v>Normal</v>
      </c>
      <c r="R559" s="4" t="str">
        <f>CONCATENATE(Table15678[[#This Row],[Customer ID]], "-",Table15678[[#This Row],[Age]])</f>
        <v>CUST558-41</v>
      </c>
      <c r="S559" s="4" t="str">
        <f>TEXT(Table15678[[#This Row],[Date]],"mmm")</f>
        <v>Oct</v>
      </c>
      <c r="T559" s="4" t="str">
        <f>TEXT(Table15678[[#This Row],[Date]],"DDD")</f>
        <v>Sun</v>
      </c>
    </row>
    <row r="560" spans="1:20" ht="29" x14ac:dyDescent="0.35">
      <c r="A560" s="4">
        <v>559</v>
      </c>
      <c r="B560" s="5">
        <v>44927</v>
      </c>
      <c r="C560" s="4" t="s">
        <v>572</v>
      </c>
      <c r="D560" s="4" t="s">
        <v>13</v>
      </c>
      <c r="E560" s="4">
        <v>40</v>
      </c>
      <c r="F560" s="4" t="str">
        <f>IF(Table15678[[#This Row],[Age]]&lt;=19,"Teenager",IF(Table15678[[#This Row],[Age]]&lt;=40,"Median","Old"))</f>
        <v>Median</v>
      </c>
      <c r="G560" s="4" t="s">
        <v>14</v>
      </c>
      <c r="H560" s="4">
        <v>4</v>
      </c>
      <c r="I560" s="4">
        <v>300</v>
      </c>
      <c r="J560" s="4">
        <v>1200</v>
      </c>
      <c r="K560" s="4" t="str" cm="1">
        <f t="array" ref="K560">_xlfn.IFS(AND(Table15678[[#This Row],[Total Amount]]&gt;=1500),"Critical",AND(Table15678[[#This Row],[Total Amount]]&gt;=1000),"High",TRUE,"Normal")</f>
        <v>High</v>
      </c>
      <c r="L560" s="4" t="str">
        <f>IF(Table15678[[#This Row],[Total Amount]]&gt;=1000,"High",(IF(Table15678[[#This Row],[Total Amount]]&gt;=500,"Medium","Low")))</f>
        <v>High</v>
      </c>
      <c r="M560" s="4" t="str" cm="1">
        <f t="array" ref="M56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60" s="4" cm="1">
        <f t="array" ref="N56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240</v>
      </c>
      <c r="O560" s="4">
        <f>Table15678[[#This Row],[Total Amount]]-Table15678[[#This Row],[Discount Amount]]</f>
        <v>960</v>
      </c>
      <c r="P560" s="4" t="str">
        <f>IF(Table15678[[#This Row],[Total Amount]]&gt;=1000,"High","Low")</f>
        <v>High</v>
      </c>
      <c r="Q560" s="4" t="str" cm="1">
        <f t="array" ref="Q560">_xlfn.IFS(AND(Table15678[[#This Row],[Total Amount]]&gt;=1500,"Critical"),AND(Table15678[[#This Row],[Total Amount]]&gt;=1000,"High"),TRUE,"Normal")</f>
        <v>Normal</v>
      </c>
      <c r="R560" s="4" t="str">
        <f>CONCATENATE(Table15678[[#This Row],[Customer ID]], "-",Table15678[[#This Row],[Age]])</f>
        <v>CUST559-40</v>
      </c>
      <c r="S560" s="4" t="str">
        <f>TEXT(Table15678[[#This Row],[Date]],"mmm")</f>
        <v>Jan</v>
      </c>
      <c r="T560" s="4" t="str">
        <f>TEXT(Table15678[[#This Row],[Date]],"DDD")</f>
        <v>Sun</v>
      </c>
    </row>
    <row r="561" spans="1:20" ht="29" x14ac:dyDescent="0.35">
      <c r="A561" s="4">
        <v>560</v>
      </c>
      <c r="B561" s="5">
        <v>45082</v>
      </c>
      <c r="C561" s="4" t="s">
        <v>573</v>
      </c>
      <c r="D561" s="4" t="s">
        <v>13</v>
      </c>
      <c r="E561" s="4">
        <v>25</v>
      </c>
      <c r="F561" s="4" t="str">
        <f>IF(Table15678[[#This Row],[Age]]&lt;=19,"Teenager",IF(Table15678[[#This Row],[Age]]&lt;=40,"Median","Old"))</f>
        <v>Median</v>
      </c>
      <c r="G561" s="4" t="s">
        <v>16</v>
      </c>
      <c r="H561" s="4">
        <v>1</v>
      </c>
      <c r="I561" s="4">
        <v>50</v>
      </c>
      <c r="J561" s="4">
        <v>50</v>
      </c>
      <c r="K561" s="4" t="str" cm="1">
        <f t="array" ref="K561">_xlfn.IFS(AND(Table15678[[#This Row],[Total Amount]]&gt;=1500),"Critical",AND(Table15678[[#This Row],[Total Amount]]&gt;=1000),"High",TRUE,"Normal")</f>
        <v>Normal</v>
      </c>
      <c r="L561" s="4" t="str">
        <f>IF(Table15678[[#This Row],[Total Amount]]&gt;=1000,"High",(IF(Table15678[[#This Row],[Total Amount]]&gt;=500,"Medium","Low")))</f>
        <v>Low</v>
      </c>
      <c r="M561" s="4" t="str" cm="1">
        <f t="array" ref="M56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61" s="4" cm="1">
        <f t="array" ref="N56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561" s="4">
        <f>Table15678[[#This Row],[Total Amount]]-Table15678[[#This Row],[Discount Amount]]</f>
        <v>42.5</v>
      </c>
      <c r="P561" s="4" t="str">
        <f>IF(Table15678[[#This Row],[Total Amount]]&gt;=1000,"High","Low")</f>
        <v>Low</v>
      </c>
      <c r="Q561" s="4" t="str" cm="1">
        <f t="array" ref="Q561">_xlfn.IFS(AND(Table15678[[#This Row],[Total Amount]]&gt;=1500,"Critical"),AND(Table15678[[#This Row],[Total Amount]]&gt;=1000,"High"),TRUE,"Normal")</f>
        <v>Normal</v>
      </c>
      <c r="R561" s="4" t="str">
        <f>CONCATENATE(Table15678[[#This Row],[Customer ID]], "-",Table15678[[#This Row],[Age]])</f>
        <v>CUST560-25</v>
      </c>
      <c r="S561" s="4" t="str">
        <f>TEXT(Table15678[[#This Row],[Date]],"mmm")</f>
        <v>Jun</v>
      </c>
      <c r="T561" s="4" t="str">
        <f>TEXT(Table15678[[#This Row],[Date]],"DDD")</f>
        <v>Mon</v>
      </c>
    </row>
    <row r="562" spans="1:20" ht="29" x14ac:dyDescent="0.35">
      <c r="A562" s="4">
        <v>561</v>
      </c>
      <c r="B562" s="5">
        <v>45073</v>
      </c>
      <c r="C562" s="4" t="s">
        <v>574</v>
      </c>
      <c r="D562" s="4" t="s">
        <v>13</v>
      </c>
      <c r="E562" s="4">
        <v>64</v>
      </c>
      <c r="F562" s="4" t="str">
        <f>IF(Table15678[[#This Row],[Age]]&lt;=19,"Teenager",IF(Table15678[[#This Row],[Age]]&lt;=40,"Median","Old"))</f>
        <v>Old</v>
      </c>
      <c r="G562" s="4" t="s">
        <v>14</v>
      </c>
      <c r="H562" s="4">
        <v>4</v>
      </c>
      <c r="I562" s="4">
        <v>500</v>
      </c>
      <c r="J562" s="4">
        <v>2000</v>
      </c>
      <c r="K562" s="4" t="str" cm="1">
        <f t="array" ref="K562">_xlfn.IFS(AND(Table15678[[#This Row],[Total Amount]]&gt;=1500),"Critical",AND(Table15678[[#This Row],[Total Amount]]&gt;=1000),"High",TRUE,"Normal")</f>
        <v>Critical</v>
      </c>
      <c r="L562" s="4" t="str">
        <f>IF(Table15678[[#This Row],[Total Amount]]&gt;=1000,"High",(IF(Table15678[[#This Row],[Total Amount]]&gt;=500,"Medium","Low")))</f>
        <v>High</v>
      </c>
      <c r="M562" s="4" t="str" cm="1">
        <f t="array" ref="M56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62" s="4" cm="1">
        <f t="array" ref="N56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400</v>
      </c>
      <c r="O562" s="4">
        <f>Table15678[[#This Row],[Total Amount]]-Table15678[[#This Row],[Discount Amount]]</f>
        <v>1600</v>
      </c>
      <c r="P562" s="4" t="str">
        <f>IF(Table15678[[#This Row],[Total Amount]]&gt;=1000,"High","Low")</f>
        <v>High</v>
      </c>
      <c r="Q562" s="4" t="b" cm="1">
        <f t="array" ref="Q562">_xlfn.IFS(AND(Table15678[[#This Row],[Total Amount]]&gt;=1500,"Critical"),AND(Table15678[[#This Row],[Total Amount]]&gt;=1000,"High"),TRUE,"Normal")</f>
        <v>1</v>
      </c>
      <c r="R562" s="4" t="str">
        <f>CONCATENATE(Table15678[[#This Row],[Customer ID]], "-",Table15678[[#This Row],[Age]])</f>
        <v>CUST561-64</v>
      </c>
      <c r="S562" s="4" t="str">
        <f>TEXT(Table15678[[#This Row],[Date]],"mmm")</f>
        <v>May</v>
      </c>
      <c r="T562" s="4" t="str">
        <f>TEXT(Table15678[[#This Row],[Date]],"DDD")</f>
        <v>Sat</v>
      </c>
    </row>
    <row r="563" spans="1:20" ht="29" x14ac:dyDescent="0.35">
      <c r="A563" s="4">
        <v>562</v>
      </c>
      <c r="B563" s="5">
        <v>45034</v>
      </c>
      <c r="C563" s="4" t="s">
        <v>575</v>
      </c>
      <c r="D563" s="4" t="s">
        <v>10</v>
      </c>
      <c r="E563" s="4">
        <v>54</v>
      </c>
      <c r="F563" s="4" t="str">
        <f>IF(Table15678[[#This Row],[Age]]&lt;=19,"Teenager",IF(Table15678[[#This Row],[Age]]&lt;=40,"Median","Old"))</f>
        <v>Old</v>
      </c>
      <c r="G563" s="4" t="s">
        <v>16</v>
      </c>
      <c r="H563" s="4">
        <v>2</v>
      </c>
      <c r="I563" s="4">
        <v>25</v>
      </c>
      <c r="J563" s="4">
        <v>50</v>
      </c>
      <c r="K563" s="4" t="str" cm="1">
        <f t="array" ref="K563">_xlfn.IFS(AND(Table15678[[#This Row],[Total Amount]]&gt;=1500),"Critical",AND(Table15678[[#This Row],[Total Amount]]&gt;=1000),"High",TRUE,"Normal")</f>
        <v>Normal</v>
      </c>
      <c r="L563" s="4" t="str">
        <f>IF(Table15678[[#This Row],[Total Amount]]&gt;=1000,"High",(IF(Table15678[[#This Row],[Total Amount]]&gt;=500,"Medium","Low")))</f>
        <v>Low</v>
      </c>
      <c r="M563" s="4" t="str" cm="1">
        <f t="array" ref="M56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63" s="4" cm="1">
        <f t="array" ref="N56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563" s="4">
        <f>Table15678[[#This Row],[Total Amount]]-Table15678[[#This Row],[Discount Amount]]</f>
        <v>45</v>
      </c>
      <c r="P563" s="4" t="str">
        <f>IF(Table15678[[#This Row],[Total Amount]]&gt;=1000,"High","Low")</f>
        <v>Low</v>
      </c>
      <c r="Q563" s="4" t="str" cm="1">
        <f t="array" ref="Q563">_xlfn.IFS(AND(Table15678[[#This Row],[Total Amount]]&gt;=1500,"Critical"),AND(Table15678[[#This Row],[Total Amount]]&gt;=1000,"High"),TRUE,"Normal")</f>
        <v>Normal</v>
      </c>
      <c r="R563" s="4" t="str">
        <f>CONCATENATE(Table15678[[#This Row],[Customer ID]], "-",Table15678[[#This Row],[Age]])</f>
        <v>CUST562-54</v>
      </c>
      <c r="S563" s="4" t="str">
        <f>TEXT(Table15678[[#This Row],[Date]],"mmm")</f>
        <v>Apr</v>
      </c>
      <c r="T563" s="4" t="str">
        <f>TEXT(Table15678[[#This Row],[Date]],"DDD")</f>
        <v>Tue</v>
      </c>
    </row>
    <row r="564" spans="1:20" ht="29" x14ac:dyDescent="0.35">
      <c r="A564" s="4">
        <v>563</v>
      </c>
      <c r="B564" s="5">
        <v>45147</v>
      </c>
      <c r="C564" s="4" t="s">
        <v>576</v>
      </c>
      <c r="D564" s="4" t="s">
        <v>10</v>
      </c>
      <c r="E564" s="4">
        <v>20</v>
      </c>
      <c r="F564" s="4" t="str">
        <f>IF(Table15678[[#This Row],[Age]]&lt;=19,"Teenager",IF(Table15678[[#This Row],[Age]]&lt;=40,"Median","Old"))</f>
        <v>Median</v>
      </c>
      <c r="G564" s="4" t="s">
        <v>14</v>
      </c>
      <c r="H564" s="4">
        <v>2</v>
      </c>
      <c r="I564" s="4">
        <v>30</v>
      </c>
      <c r="J564" s="4">
        <v>60</v>
      </c>
      <c r="K564" s="4" t="str" cm="1">
        <f t="array" ref="K564">_xlfn.IFS(AND(Table15678[[#This Row],[Total Amount]]&gt;=1500),"Critical",AND(Table15678[[#This Row],[Total Amount]]&gt;=1000),"High",TRUE,"Normal")</f>
        <v>Normal</v>
      </c>
      <c r="L564" s="4" t="str">
        <f>IF(Table15678[[#This Row],[Total Amount]]&gt;=1000,"High",(IF(Table15678[[#This Row],[Total Amount]]&gt;=500,"Medium","Low")))</f>
        <v>Low</v>
      </c>
      <c r="M564" s="4" t="str" cm="1">
        <f t="array" ref="M56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564" s="4" cm="1">
        <f t="array" ref="N56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564" s="4">
        <f>Table15678[[#This Row],[Total Amount]]-Table15678[[#This Row],[Discount Amount]]</f>
        <v>60</v>
      </c>
      <c r="P564" s="4" t="str">
        <f>IF(Table15678[[#This Row],[Total Amount]]&gt;=1000,"High","Low")</f>
        <v>Low</v>
      </c>
      <c r="Q564" s="4" t="str" cm="1">
        <f t="array" ref="Q564">_xlfn.IFS(AND(Table15678[[#This Row],[Total Amount]]&gt;=1500,"Critical"),AND(Table15678[[#This Row],[Total Amount]]&gt;=1000,"High"),TRUE,"Normal")</f>
        <v>Normal</v>
      </c>
      <c r="R564" s="4" t="str">
        <f>CONCATENATE(Table15678[[#This Row],[Customer ID]], "-",Table15678[[#This Row],[Age]])</f>
        <v>CUST563-20</v>
      </c>
      <c r="S564" s="4" t="str">
        <f>TEXT(Table15678[[#This Row],[Date]],"mmm")</f>
        <v>Aug</v>
      </c>
      <c r="T564" s="4" t="str">
        <f>TEXT(Table15678[[#This Row],[Date]],"DDD")</f>
        <v>Wed</v>
      </c>
    </row>
    <row r="565" spans="1:20" ht="29" x14ac:dyDescent="0.35">
      <c r="A565" s="4">
        <v>564</v>
      </c>
      <c r="B565" s="5">
        <v>45223</v>
      </c>
      <c r="C565" s="4" t="s">
        <v>577</v>
      </c>
      <c r="D565" s="4" t="s">
        <v>10</v>
      </c>
      <c r="E565" s="4">
        <v>50</v>
      </c>
      <c r="F565" s="4" t="str">
        <f>IF(Table15678[[#This Row],[Age]]&lt;=19,"Teenager",IF(Table15678[[#This Row],[Age]]&lt;=40,"Median","Old"))</f>
        <v>Old</v>
      </c>
      <c r="G565" s="4" t="s">
        <v>16</v>
      </c>
      <c r="H565" s="4">
        <v>2</v>
      </c>
      <c r="I565" s="4">
        <v>50</v>
      </c>
      <c r="J565" s="4">
        <v>100</v>
      </c>
      <c r="K565" s="4" t="str" cm="1">
        <f t="array" ref="K565">_xlfn.IFS(AND(Table15678[[#This Row],[Total Amount]]&gt;=1500),"Critical",AND(Table15678[[#This Row],[Total Amount]]&gt;=1000),"High",TRUE,"Normal")</f>
        <v>Normal</v>
      </c>
      <c r="L565" s="4" t="str">
        <f>IF(Table15678[[#This Row],[Total Amount]]&gt;=1000,"High",(IF(Table15678[[#This Row],[Total Amount]]&gt;=500,"Medium","Low")))</f>
        <v>Low</v>
      </c>
      <c r="M565" s="4" t="str" cm="1">
        <f t="array" ref="M56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65" s="4" cm="1">
        <f t="array" ref="N56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565" s="4">
        <f>Table15678[[#This Row],[Total Amount]]-Table15678[[#This Row],[Discount Amount]]</f>
        <v>90</v>
      </c>
      <c r="P565" s="4" t="str">
        <f>IF(Table15678[[#This Row],[Total Amount]]&gt;=1000,"High","Low")</f>
        <v>Low</v>
      </c>
      <c r="Q565" s="4" t="str" cm="1">
        <f t="array" ref="Q565">_xlfn.IFS(AND(Table15678[[#This Row],[Total Amount]]&gt;=1500,"Critical"),AND(Table15678[[#This Row],[Total Amount]]&gt;=1000,"High"),TRUE,"Normal")</f>
        <v>Normal</v>
      </c>
      <c r="R565" s="4" t="str">
        <f>CONCATENATE(Table15678[[#This Row],[Customer ID]], "-",Table15678[[#This Row],[Age]])</f>
        <v>CUST564-50</v>
      </c>
      <c r="S565" s="4" t="str">
        <f>TEXT(Table15678[[#This Row],[Date]],"mmm")</f>
        <v>Oct</v>
      </c>
      <c r="T565" s="4" t="str">
        <f>TEXT(Table15678[[#This Row],[Date]],"DDD")</f>
        <v>Tue</v>
      </c>
    </row>
    <row r="566" spans="1:20" ht="29" x14ac:dyDescent="0.35">
      <c r="A566" s="4">
        <v>565</v>
      </c>
      <c r="B566" s="5">
        <v>45237</v>
      </c>
      <c r="C566" s="4" t="s">
        <v>578</v>
      </c>
      <c r="D566" s="4" t="s">
        <v>13</v>
      </c>
      <c r="E566" s="4">
        <v>45</v>
      </c>
      <c r="F566" s="4" t="str">
        <f>IF(Table15678[[#This Row],[Age]]&lt;=19,"Teenager",IF(Table15678[[#This Row],[Age]]&lt;=40,"Median","Old"))</f>
        <v>Old</v>
      </c>
      <c r="G566" s="4" t="s">
        <v>11</v>
      </c>
      <c r="H566" s="4">
        <v>2</v>
      </c>
      <c r="I566" s="4">
        <v>30</v>
      </c>
      <c r="J566" s="4">
        <v>60</v>
      </c>
      <c r="K566" s="4" t="str" cm="1">
        <f t="array" ref="K566">_xlfn.IFS(AND(Table15678[[#This Row],[Total Amount]]&gt;=1500),"Critical",AND(Table15678[[#This Row],[Total Amount]]&gt;=1000),"High",TRUE,"Normal")</f>
        <v>Normal</v>
      </c>
      <c r="L566" s="4" t="str">
        <f>IF(Table15678[[#This Row],[Total Amount]]&gt;=1000,"High",(IF(Table15678[[#This Row],[Total Amount]]&gt;=500,"Medium","Low")))</f>
        <v>Low</v>
      </c>
      <c r="M566" s="4" t="str" cm="1">
        <f t="array" ref="M56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66" s="4" cm="1">
        <f t="array" ref="N56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566" s="4">
        <f>Table15678[[#This Row],[Total Amount]]-Table15678[[#This Row],[Discount Amount]]</f>
        <v>48</v>
      </c>
      <c r="P566" s="4" t="str">
        <f>IF(Table15678[[#This Row],[Total Amount]]&gt;=1000,"High","Low")</f>
        <v>Low</v>
      </c>
      <c r="Q566" s="4" t="str" cm="1">
        <f t="array" ref="Q566">_xlfn.IFS(AND(Table15678[[#This Row],[Total Amount]]&gt;=1500,"Critical"),AND(Table15678[[#This Row],[Total Amount]]&gt;=1000,"High"),TRUE,"Normal")</f>
        <v>Normal</v>
      </c>
      <c r="R566" s="4" t="str">
        <f>CONCATENATE(Table15678[[#This Row],[Customer ID]], "-",Table15678[[#This Row],[Age]])</f>
        <v>CUST565-45</v>
      </c>
      <c r="S566" s="4" t="str">
        <f>TEXT(Table15678[[#This Row],[Date]],"mmm")</f>
        <v>Nov</v>
      </c>
      <c r="T566" s="4" t="str">
        <f>TEXT(Table15678[[#This Row],[Date]],"DDD")</f>
        <v>Tue</v>
      </c>
    </row>
    <row r="567" spans="1:20" ht="29" x14ac:dyDescent="0.35">
      <c r="A567" s="4">
        <v>566</v>
      </c>
      <c r="B567" s="5">
        <v>45262</v>
      </c>
      <c r="C567" s="4" t="s">
        <v>579</v>
      </c>
      <c r="D567" s="4" t="s">
        <v>13</v>
      </c>
      <c r="E567" s="4">
        <v>64</v>
      </c>
      <c r="F567" s="4" t="str">
        <f>IF(Table15678[[#This Row],[Age]]&lt;=19,"Teenager",IF(Table15678[[#This Row],[Age]]&lt;=40,"Median","Old"))</f>
        <v>Old</v>
      </c>
      <c r="G567" s="4" t="s">
        <v>14</v>
      </c>
      <c r="H567" s="4">
        <v>1</v>
      </c>
      <c r="I567" s="4">
        <v>30</v>
      </c>
      <c r="J567" s="4">
        <v>30</v>
      </c>
      <c r="K567" s="4" t="str" cm="1">
        <f t="array" ref="K567">_xlfn.IFS(AND(Table15678[[#This Row],[Total Amount]]&gt;=1500),"Critical",AND(Table15678[[#This Row],[Total Amount]]&gt;=1000),"High",TRUE,"Normal")</f>
        <v>Normal</v>
      </c>
      <c r="L567" s="4" t="str">
        <f>IF(Table15678[[#This Row],[Total Amount]]&gt;=1000,"High",(IF(Table15678[[#This Row],[Total Amount]]&gt;=500,"Medium","Low")))</f>
        <v>Low</v>
      </c>
      <c r="M567" s="4" t="str" cm="1">
        <f t="array" ref="M56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67" s="4" cm="1">
        <f t="array" ref="N56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567" s="4">
        <f>Table15678[[#This Row],[Total Amount]]-Table15678[[#This Row],[Discount Amount]]</f>
        <v>24</v>
      </c>
      <c r="P567" s="4" t="str">
        <f>IF(Table15678[[#This Row],[Total Amount]]&gt;=1000,"High","Low")</f>
        <v>Low</v>
      </c>
      <c r="Q567" s="4" t="str" cm="1">
        <f t="array" ref="Q567">_xlfn.IFS(AND(Table15678[[#This Row],[Total Amount]]&gt;=1500,"Critical"),AND(Table15678[[#This Row],[Total Amount]]&gt;=1000,"High"),TRUE,"Normal")</f>
        <v>Normal</v>
      </c>
      <c r="R567" s="4" t="str">
        <f>CONCATENATE(Table15678[[#This Row],[Customer ID]], "-",Table15678[[#This Row],[Age]])</f>
        <v>CUST566-64</v>
      </c>
      <c r="S567" s="4" t="str">
        <f>TEXT(Table15678[[#This Row],[Date]],"mmm")</f>
        <v>Dec</v>
      </c>
      <c r="T567" s="4" t="str">
        <f>TEXT(Table15678[[#This Row],[Date]],"DDD")</f>
        <v>Sat</v>
      </c>
    </row>
    <row r="568" spans="1:20" ht="29" x14ac:dyDescent="0.35">
      <c r="A568" s="4">
        <v>567</v>
      </c>
      <c r="B568" s="5">
        <v>45091</v>
      </c>
      <c r="C568" s="4" t="s">
        <v>580</v>
      </c>
      <c r="D568" s="4" t="s">
        <v>13</v>
      </c>
      <c r="E568" s="4">
        <v>25</v>
      </c>
      <c r="F568" s="4" t="str">
        <f>IF(Table15678[[#This Row],[Age]]&lt;=19,"Teenager",IF(Table15678[[#This Row],[Age]]&lt;=40,"Median","Old"))</f>
        <v>Median</v>
      </c>
      <c r="G568" s="4" t="s">
        <v>14</v>
      </c>
      <c r="H568" s="4">
        <v>3</v>
      </c>
      <c r="I568" s="4">
        <v>300</v>
      </c>
      <c r="J568" s="4">
        <v>900</v>
      </c>
      <c r="K568" s="4" t="str" cm="1">
        <f t="array" ref="K568">_xlfn.IFS(AND(Table15678[[#This Row],[Total Amount]]&gt;=1500),"Critical",AND(Table15678[[#This Row],[Total Amount]]&gt;=1000),"High",TRUE,"Normal")</f>
        <v>Normal</v>
      </c>
      <c r="L568" s="4" t="str">
        <f>IF(Table15678[[#This Row],[Total Amount]]&gt;=1000,"High",(IF(Table15678[[#This Row],[Total Amount]]&gt;=500,"Medium","Low")))</f>
        <v>Medium</v>
      </c>
      <c r="M568" s="4" t="str" cm="1">
        <f t="array" ref="M56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68" s="4" cm="1">
        <f t="array" ref="N56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135</v>
      </c>
      <c r="O568" s="4">
        <f>Table15678[[#This Row],[Total Amount]]-Table15678[[#This Row],[Discount Amount]]</f>
        <v>765</v>
      </c>
      <c r="P568" s="4" t="str">
        <f>IF(Table15678[[#This Row],[Total Amount]]&gt;=1000,"High","Low")</f>
        <v>Low</v>
      </c>
      <c r="Q568" s="4" t="str" cm="1">
        <f t="array" ref="Q568">_xlfn.IFS(AND(Table15678[[#This Row],[Total Amount]]&gt;=1500,"Critical"),AND(Table15678[[#This Row],[Total Amount]]&gt;=1000,"High"),TRUE,"Normal")</f>
        <v>Normal</v>
      </c>
      <c r="R568" s="4" t="str">
        <f>CONCATENATE(Table15678[[#This Row],[Customer ID]], "-",Table15678[[#This Row],[Age]])</f>
        <v>CUST567-25</v>
      </c>
      <c r="S568" s="4" t="str">
        <f>TEXT(Table15678[[#This Row],[Date]],"mmm")</f>
        <v>Jun</v>
      </c>
      <c r="T568" s="4" t="str">
        <f>TEXT(Table15678[[#This Row],[Date]],"DDD")</f>
        <v>Wed</v>
      </c>
    </row>
    <row r="569" spans="1:20" ht="29" x14ac:dyDescent="0.35">
      <c r="A569" s="4">
        <v>568</v>
      </c>
      <c r="B569" s="5">
        <v>45165</v>
      </c>
      <c r="C569" s="4" t="s">
        <v>581</v>
      </c>
      <c r="D569" s="4" t="s">
        <v>13</v>
      </c>
      <c r="E569" s="4">
        <v>51</v>
      </c>
      <c r="F569" s="4" t="str">
        <f>IF(Table15678[[#This Row],[Age]]&lt;=19,"Teenager",IF(Table15678[[#This Row],[Age]]&lt;=40,"Median","Old"))</f>
        <v>Old</v>
      </c>
      <c r="G569" s="4" t="s">
        <v>16</v>
      </c>
      <c r="H569" s="4">
        <v>1</v>
      </c>
      <c r="I569" s="4">
        <v>300</v>
      </c>
      <c r="J569" s="4">
        <v>300</v>
      </c>
      <c r="K569" s="4" t="str" cm="1">
        <f t="array" ref="K569">_xlfn.IFS(AND(Table15678[[#This Row],[Total Amount]]&gt;=1500),"Critical",AND(Table15678[[#This Row],[Total Amount]]&gt;=1000),"High",TRUE,"Normal")</f>
        <v>Normal</v>
      </c>
      <c r="L569" s="4" t="str">
        <f>IF(Table15678[[#This Row],[Total Amount]]&gt;=1000,"High",(IF(Table15678[[#This Row],[Total Amount]]&gt;=500,"Medium","Low")))</f>
        <v>Low</v>
      </c>
      <c r="M569" s="4" t="str" cm="1">
        <f t="array" ref="M56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69" s="4" cm="1">
        <f t="array" ref="N56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569" s="4">
        <f>Table15678[[#This Row],[Total Amount]]-Table15678[[#This Row],[Discount Amount]]</f>
        <v>240</v>
      </c>
      <c r="P569" s="4" t="str">
        <f>IF(Table15678[[#This Row],[Total Amount]]&gt;=1000,"High","Low")</f>
        <v>Low</v>
      </c>
      <c r="Q569" s="4" t="str" cm="1">
        <f t="array" ref="Q569">_xlfn.IFS(AND(Table15678[[#This Row],[Total Amount]]&gt;=1500,"Critical"),AND(Table15678[[#This Row],[Total Amount]]&gt;=1000,"High"),TRUE,"Normal")</f>
        <v>Normal</v>
      </c>
      <c r="R569" s="4" t="str">
        <f>CONCATENATE(Table15678[[#This Row],[Customer ID]], "-",Table15678[[#This Row],[Age]])</f>
        <v>CUST568-51</v>
      </c>
      <c r="S569" s="4" t="str">
        <f>TEXT(Table15678[[#This Row],[Date]],"mmm")</f>
        <v>Aug</v>
      </c>
      <c r="T569" s="4" t="str">
        <f>TEXT(Table15678[[#This Row],[Date]],"DDD")</f>
        <v>Sun</v>
      </c>
    </row>
    <row r="570" spans="1:20" ht="29" x14ac:dyDescent="0.35">
      <c r="A570" s="4">
        <v>569</v>
      </c>
      <c r="B570" s="5">
        <v>45153</v>
      </c>
      <c r="C570" s="4" t="s">
        <v>582</v>
      </c>
      <c r="D570" s="4" t="s">
        <v>10</v>
      </c>
      <c r="E570" s="4">
        <v>52</v>
      </c>
      <c r="F570" s="4" t="str">
        <f>IF(Table15678[[#This Row],[Age]]&lt;=19,"Teenager",IF(Table15678[[#This Row],[Age]]&lt;=40,"Median","Old"))</f>
        <v>Old</v>
      </c>
      <c r="G570" s="4" t="s">
        <v>16</v>
      </c>
      <c r="H570" s="4">
        <v>4</v>
      </c>
      <c r="I570" s="4">
        <v>50</v>
      </c>
      <c r="J570" s="4">
        <v>200</v>
      </c>
      <c r="K570" s="4" t="str" cm="1">
        <f t="array" ref="K570">_xlfn.IFS(AND(Table15678[[#This Row],[Total Amount]]&gt;=1500),"Critical",AND(Table15678[[#This Row],[Total Amount]]&gt;=1000),"High",TRUE,"Normal")</f>
        <v>Normal</v>
      </c>
      <c r="L570" s="4" t="str">
        <f>IF(Table15678[[#This Row],[Total Amount]]&gt;=1000,"High",(IF(Table15678[[#This Row],[Total Amount]]&gt;=500,"Medium","Low")))</f>
        <v>Low</v>
      </c>
      <c r="M570" s="4" t="str" cm="1">
        <f t="array" ref="M57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70" s="4" cm="1">
        <f t="array" ref="N57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570" s="4">
        <f>Table15678[[#This Row],[Total Amount]]-Table15678[[#This Row],[Discount Amount]]</f>
        <v>180</v>
      </c>
      <c r="P570" s="4" t="str">
        <f>IF(Table15678[[#This Row],[Total Amount]]&gt;=1000,"High","Low")</f>
        <v>Low</v>
      </c>
      <c r="Q570" s="4" t="str" cm="1">
        <f t="array" ref="Q570">_xlfn.IFS(AND(Table15678[[#This Row],[Total Amount]]&gt;=1500,"Critical"),AND(Table15678[[#This Row],[Total Amount]]&gt;=1000,"High"),TRUE,"Normal")</f>
        <v>Normal</v>
      </c>
      <c r="R570" s="4" t="str">
        <f>CONCATENATE(Table15678[[#This Row],[Customer ID]], "-",Table15678[[#This Row],[Age]])</f>
        <v>CUST569-52</v>
      </c>
      <c r="S570" s="4" t="str">
        <f>TEXT(Table15678[[#This Row],[Date]],"mmm")</f>
        <v>Aug</v>
      </c>
      <c r="T570" s="4" t="str">
        <f>TEXT(Table15678[[#This Row],[Date]],"DDD")</f>
        <v>Tue</v>
      </c>
    </row>
    <row r="571" spans="1:20" ht="29" x14ac:dyDescent="0.35">
      <c r="A571" s="4">
        <v>570</v>
      </c>
      <c r="B571" s="5">
        <v>45153</v>
      </c>
      <c r="C571" s="4" t="s">
        <v>583</v>
      </c>
      <c r="D571" s="4" t="s">
        <v>10</v>
      </c>
      <c r="E571" s="4">
        <v>49</v>
      </c>
      <c r="F571" s="4" t="str">
        <f>IF(Table15678[[#This Row],[Age]]&lt;=19,"Teenager",IF(Table15678[[#This Row],[Age]]&lt;=40,"Median","Old"))</f>
        <v>Old</v>
      </c>
      <c r="G571" s="4" t="s">
        <v>14</v>
      </c>
      <c r="H571" s="4">
        <v>1</v>
      </c>
      <c r="I571" s="4">
        <v>500</v>
      </c>
      <c r="J571" s="4">
        <v>500</v>
      </c>
      <c r="K571" s="4" t="str" cm="1">
        <f t="array" ref="K571">_xlfn.IFS(AND(Table15678[[#This Row],[Total Amount]]&gt;=1500),"Critical",AND(Table15678[[#This Row],[Total Amount]]&gt;=1000),"High",TRUE,"Normal")</f>
        <v>Normal</v>
      </c>
      <c r="L571" s="4" t="str">
        <f>IF(Table15678[[#This Row],[Total Amount]]&gt;=1000,"High",(IF(Table15678[[#This Row],[Total Amount]]&gt;=500,"Medium","Low")))</f>
        <v>Medium</v>
      </c>
      <c r="M571" s="4" t="str" cm="1">
        <f t="array" ref="M57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71" s="4" cm="1">
        <f t="array" ref="N57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50</v>
      </c>
      <c r="O571" s="4">
        <f>Table15678[[#This Row],[Total Amount]]-Table15678[[#This Row],[Discount Amount]]</f>
        <v>450</v>
      </c>
      <c r="P571" s="4" t="str">
        <f>IF(Table15678[[#This Row],[Total Amount]]&gt;=1000,"High","Low")</f>
        <v>Low</v>
      </c>
      <c r="Q571" s="4" t="str" cm="1">
        <f t="array" ref="Q571">_xlfn.IFS(AND(Table15678[[#This Row],[Total Amount]]&gt;=1500,"Critical"),AND(Table15678[[#This Row],[Total Amount]]&gt;=1000,"High"),TRUE,"Normal")</f>
        <v>Normal</v>
      </c>
      <c r="R571" s="4" t="str">
        <f>CONCATENATE(Table15678[[#This Row],[Customer ID]], "-",Table15678[[#This Row],[Age]])</f>
        <v>CUST570-49</v>
      </c>
      <c r="S571" s="4" t="str">
        <f>TEXT(Table15678[[#This Row],[Date]],"mmm")</f>
        <v>Aug</v>
      </c>
      <c r="T571" s="4" t="str">
        <f>TEXT(Table15678[[#This Row],[Date]],"DDD")</f>
        <v>Tue</v>
      </c>
    </row>
    <row r="572" spans="1:20" ht="29" x14ac:dyDescent="0.35">
      <c r="A572" s="4">
        <v>571</v>
      </c>
      <c r="B572" s="5">
        <v>45272</v>
      </c>
      <c r="C572" s="4" t="s">
        <v>584</v>
      </c>
      <c r="D572" s="4" t="s">
        <v>13</v>
      </c>
      <c r="E572" s="4">
        <v>41</v>
      </c>
      <c r="F572" s="4" t="str">
        <f>IF(Table15678[[#This Row],[Age]]&lt;=19,"Teenager",IF(Table15678[[#This Row],[Age]]&lt;=40,"Median","Old"))</f>
        <v>Old</v>
      </c>
      <c r="G572" s="4" t="s">
        <v>16</v>
      </c>
      <c r="H572" s="4">
        <v>1</v>
      </c>
      <c r="I572" s="4">
        <v>50</v>
      </c>
      <c r="J572" s="4">
        <v>50</v>
      </c>
      <c r="K572" s="4" t="str" cm="1">
        <f t="array" ref="K572">_xlfn.IFS(AND(Table15678[[#This Row],[Total Amount]]&gt;=1500),"Critical",AND(Table15678[[#This Row],[Total Amount]]&gt;=1000),"High",TRUE,"Normal")</f>
        <v>Normal</v>
      </c>
      <c r="L572" s="4" t="str">
        <f>IF(Table15678[[#This Row],[Total Amount]]&gt;=1000,"High",(IF(Table15678[[#This Row],[Total Amount]]&gt;=500,"Medium","Low")))</f>
        <v>Low</v>
      </c>
      <c r="M572" s="4" t="str" cm="1">
        <f t="array" ref="M57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72" s="4" cm="1">
        <f t="array" ref="N57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572" s="4">
        <f>Table15678[[#This Row],[Total Amount]]-Table15678[[#This Row],[Discount Amount]]</f>
        <v>40</v>
      </c>
      <c r="P572" s="4" t="str">
        <f>IF(Table15678[[#This Row],[Total Amount]]&gt;=1000,"High","Low")</f>
        <v>Low</v>
      </c>
      <c r="Q572" s="4" t="str" cm="1">
        <f t="array" ref="Q572">_xlfn.IFS(AND(Table15678[[#This Row],[Total Amount]]&gt;=1500,"Critical"),AND(Table15678[[#This Row],[Total Amount]]&gt;=1000,"High"),TRUE,"Normal")</f>
        <v>Normal</v>
      </c>
      <c r="R572" s="4" t="str">
        <f>CONCATENATE(Table15678[[#This Row],[Customer ID]], "-",Table15678[[#This Row],[Age]])</f>
        <v>CUST571-41</v>
      </c>
      <c r="S572" s="4" t="str">
        <f>TEXT(Table15678[[#This Row],[Date]],"mmm")</f>
        <v>Dec</v>
      </c>
      <c r="T572" s="4" t="str">
        <f>TEXT(Table15678[[#This Row],[Date]],"DDD")</f>
        <v>Tue</v>
      </c>
    </row>
    <row r="573" spans="1:20" ht="29" x14ac:dyDescent="0.35">
      <c r="A573" s="4">
        <v>572</v>
      </c>
      <c r="B573" s="5">
        <v>45036</v>
      </c>
      <c r="C573" s="4" t="s">
        <v>585</v>
      </c>
      <c r="D573" s="4" t="s">
        <v>10</v>
      </c>
      <c r="E573" s="4">
        <v>31</v>
      </c>
      <c r="F573" s="4" t="str">
        <f>IF(Table15678[[#This Row],[Age]]&lt;=19,"Teenager",IF(Table15678[[#This Row],[Age]]&lt;=40,"Median","Old"))</f>
        <v>Median</v>
      </c>
      <c r="G573" s="4" t="s">
        <v>14</v>
      </c>
      <c r="H573" s="4">
        <v>4</v>
      </c>
      <c r="I573" s="4">
        <v>500</v>
      </c>
      <c r="J573" s="4">
        <v>2000</v>
      </c>
      <c r="K573" s="4" t="str" cm="1">
        <f t="array" ref="K573">_xlfn.IFS(AND(Table15678[[#This Row],[Total Amount]]&gt;=1500),"Critical",AND(Table15678[[#This Row],[Total Amount]]&gt;=1000),"High",TRUE,"Normal")</f>
        <v>Critical</v>
      </c>
      <c r="L573" s="4" t="str">
        <f>IF(Table15678[[#This Row],[Total Amount]]&gt;=1000,"High",(IF(Table15678[[#This Row],[Total Amount]]&gt;=500,"Medium","Low")))</f>
        <v>High</v>
      </c>
      <c r="M573" s="4" t="str" cm="1">
        <f t="array" ref="M57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73" s="4" cm="1">
        <f t="array" ref="N57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573" s="4">
        <f>Table15678[[#This Row],[Total Amount]]-Table15678[[#This Row],[Discount Amount]]</f>
        <v>1700</v>
      </c>
      <c r="P573" s="4" t="str">
        <f>IF(Table15678[[#This Row],[Total Amount]]&gt;=1000,"High","Low")</f>
        <v>High</v>
      </c>
      <c r="Q573" s="4" t="b" cm="1">
        <f t="array" ref="Q573">_xlfn.IFS(AND(Table15678[[#This Row],[Total Amount]]&gt;=1500,"Critical"),AND(Table15678[[#This Row],[Total Amount]]&gt;=1000,"High"),TRUE,"Normal")</f>
        <v>1</v>
      </c>
      <c r="R573" s="4" t="str">
        <f>CONCATENATE(Table15678[[#This Row],[Customer ID]], "-",Table15678[[#This Row],[Age]])</f>
        <v>CUST572-31</v>
      </c>
      <c r="S573" s="4" t="str">
        <f>TEXT(Table15678[[#This Row],[Date]],"mmm")</f>
        <v>Apr</v>
      </c>
      <c r="T573" s="4" t="str">
        <f>TEXT(Table15678[[#This Row],[Date]],"DDD")</f>
        <v>Thu</v>
      </c>
    </row>
    <row r="574" spans="1:20" ht="29" x14ac:dyDescent="0.35">
      <c r="A574" s="4">
        <v>573</v>
      </c>
      <c r="B574" s="5">
        <v>45188</v>
      </c>
      <c r="C574" s="4" t="s">
        <v>586</v>
      </c>
      <c r="D574" s="4" t="s">
        <v>10</v>
      </c>
      <c r="E574" s="4">
        <v>49</v>
      </c>
      <c r="F574" s="4" t="str">
        <f>IF(Table15678[[#This Row],[Age]]&lt;=19,"Teenager",IF(Table15678[[#This Row],[Age]]&lt;=40,"Median","Old"))</f>
        <v>Old</v>
      </c>
      <c r="G574" s="4" t="s">
        <v>11</v>
      </c>
      <c r="H574" s="4">
        <v>2</v>
      </c>
      <c r="I574" s="4">
        <v>30</v>
      </c>
      <c r="J574" s="4">
        <v>60</v>
      </c>
      <c r="K574" s="4" t="str" cm="1">
        <f t="array" ref="K574">_xlfn.IFS(AND(Table15678[[#This Row],[Total Amount]]&gt;=1500),"Critical",AND(Table15678[[#This Row],[Total Amount]]&gt;=1000),"High",TRUE,"Normal")</f>
        <v>Normal</v>
      </c>
      <c r="L574" s="4" t="str">
        <f>IF(Table15678[[#This Row],[Total Amount]]&gt;=1000,"High",(IF(Table15678[[#This Row],[Total Amount]]&gt;=500,"Medium","Low")))</f>
        <v>Low</v>
      </c>
      <c r="M574" s="4" t="str" cm="1">
        <f t="array" ref="M57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74" s="4" cm="1">
        <f t="array" ref="N57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574" s="4">
        <f>Table15678[[#This Row],[Total Amount]]-Table15678[[#This Row],[Discount Amount]]</f>
        <v>54</v>
      </c>
      <c r="P574" s="4" t="str">
        <f>IF(Table15678[[#This Row],[Total Amount]]&gt;=1000,"High","Low")</f>
        <v>Low</v>
      </c>
      <c r="Q574" s="4" t="str" cm="1">
        <f t="array" ref="Q574">_xlfn.IFS(AND(Table15678[[#This Row],[Total Amount]]&gt;=1500,"Critical"),AND(Table15678[[#This Row],[Total Amount]]&gt;=1000,"High"),TRUE,"Normal")</f>
        <v>Normal</v>
      </c>
      <c r="R574" s="4" t="str">
        <f>CONCATENATE(Table15678[[#This Row],[Customer ID]], "-",Table15678[[#This Row],[Age]])</f>
        <v>CUST573-49</v>
      </c>
      <c r="S574" s="4" t="str">
        <f>TEXT(Table15678[[#This Row],[Date]],"mmm")</f>
        <v>Sep</v>
      </c>
      <c r="T574" s="4" t="str">
        <f>TEXT(Table15678[[#This Row],[Date]],"DDD")</f>
        <v>Tue</v>
      </c>
    </row>
    <row r="575" spans="1:20" ht="29" x14ac:dyDescent="0.35">
      <c r="A575" s="4">
        <v>574</v>
      </c>
      <c r="B575" s="5">
        <v>45169</v>
      </c>
      <c r="C575" s="4" t="s">
        <v>587</v>
      </c>
      <c r="D575" s="4" t="s">
        <v>13</v>
      </c>
      <c r="E575" s="4">
        <v>63</v>
      </c>
      <c r="F575" s="4" t="str">
        <f>IF(Table15678[[#This Row],[Age]]&lt;=19,"Teenager",IF(Table15678[[#This Row],[Age]]&lt;=40,"Median","Old"))</f>
        <v>Old</v>
      </c>
      <c r="G575" s="4" t="s">
        <v>16</v>
      </c>
      <c r="H575" s="4">
        <v>2</v>
      </c>
      <c r="I575" s="4">
        <v>25</v>
      </c>
      <c r="J575" s="4">
        <v>50</v>
      </c>
      <c r="K575" s="4" t="str" cm="1">
        <f t="array" ref="K575">_xlfn.IFS(AND(Table15678[[#This Row],[Total Amount]]&gt;=1500),"Critical",AND(Table15678[[#This Row],[Total Amount]]&gt;=1000),"High",TRUE,"Normal")</f>
        <v>Normal</v>
      </c>
      <c r="L575" s="4" t="str">
        <f>IF(Table15678[[#This Row],[Total Amount]]&gt;=1000,"High",(IF(Table15678[[#This Row],[Total Amount]]&gt;=500,"Medium","Low")))</f>
        <v>Low</v>
      </c>
      <c r="M575" s="4" t="str" cm="1">
        <f t="array" ref="M57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75" s="4" cm="1">
        <f t="array" ref="N57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575" s="4">
        <f>Table15678[[#This Row],[Total Amount]]-Table15678[[#This Row],[Discount Amount]]</f>
        <v>40</v>
      </c>
      <c r="P575" s="4" t="str">
        <f>IF(Table15678[[#This Row],[Total Amount]]&gt;=1000,"High","Low")</f>
        <v>Low</v>
      </c>
      <c r="Q575" s="4" t="str" cm="1">
        <f t="array" ref="Q575">_xlfn.IFS(AND(Table15678[[#This Row],[Total Amount]]&gt;=1500,"Critical"),AND(Table15678[[#This Row],[Total Amount]]&gt;=1000,"High"),TRUE,"Normal")</f>
        <v>Normal</v>
      </c>
      <c r="R575" s="4" t="str">
        <f>CONCATENATE(Table15678[[#This Row],[Customer ID]], "-",Table15678[[#This Row],[Age]])</f>
        <v>CUST574-63</v>
      </c>
      <c r="S575" s="4" t="str">
        <f>TEXT(Table15678[[#This Row],[Date]],"mmm")</f>
        <v>Aug</v>
      </c>
      <c r="T575" s="4" t="str">
        <f>TEXT(Table15678[[#This Row],[Date]],"DDD")</f>
        <v>Thu</v>
      </c>
    </row>
    <row r="576" spans="1:20" ht="29" x14ac:dyDescent="0.35">
      <c r="A576" s="4">
        <v>575</v>
      </c>
      <c r="B576" s="5">
        <v>45013</v>
      </c>
      <c r="C576" s="4" t="s">
        <v>588</v>
      </c>
      <c r="D576" s="4" t="s">
        <v>10</v>
      </c>
      <c r="E576" s="4">
        <v>60</v>
      </c>
      <c r="F576" s="4" t="str">
        <f>IF(Table15678[[#This Row],[Age]]&lt;=19,"Teenager",IF(Table15678[[#This Row],[Age]]&lt;=40,"Median","Old"))</f>
        <v>Old</v>
      </c>
      <c r="G576" s="4" t="s">
        <v>14</v>
      </c>
      <c r="H576" s="4">
        <v>2</v>
      </c>
      <c r="I576" s="4">
        <v>50</v>
      </c>
      <c r="J576" s="4">
        <v>100</v>
      </c>
      <c r="K576" s="4" t="str" cm="1">
        <f t="array" ref="K576">_xlfn.IFS(AND(Table15678[[#This Row],[Total Amount]]&gt;=1500),"Critical",AND(Table15678[[#This Row],[Total Amount]]&gt;=1000),"High",TRUE,"Normal")</f>
        <v>Normal</v>
      </c>
      <c r="L576" s="4" t="str">
        <f>IF(Table15678[[#This Row],[Total Amount]]&gt;=1000,"High",(IF(Table15678[[#This Row],[Total Amount]]&gt;=500,"Medium","Low")))</f>
        <v>Low</v>
      </c>
      <c r="M576" s="4" t="str" cm="1">
        <f t="array" ref="M57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76" s="4" cm="1">
        <f t="array" ref="N57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576" s="4">
        <f>Table15678[[#This Row],[Total Amount]]-Table15678[[#This Row],[Discount Amount]]</f>
        <v>90</v>
      </c>
      <c r="P576" s="4" t="str">
        <f>IF(Table15678[[#This Row],[Total Amount]]&gt;=1000,"High","Low")</f>
        <v>Low</v>
      </c>
      <c r="Q576" s="4" t="str" cm="1">
        <f t="array" ref="Q576">_xlfn.IFS(AND(Table15678[[#This Row],[Total Amount]]&gt;=1500,"Critical"),AND(Table15678[[#This Row],[Total Amount]]&gt;=1000,"High"),TRUE,"Normal")</f>
        <v>Normal</v>
      </c>
      <c r="R576" s="4" t="str">
        <f>CONCATENATE(Table15678[[#This Row],[Customer ID]], "-",Table15678[[#This Row],[Age]])</f>
        <v>CUST575-60</v>
      </c>
      <c r="S576" s="4" t="str">
        <f>TEXT(Table15678[[#This Row],[Date]],"mmm")</f>
        <v>Mar</v>
      </c>
      <c r="T576" s="4" t="str">
        <f>TEXT(Table15678[[#This Row],[Date]],"DDD")</f>
        <v>Tue</v>
      </c>
    </row>
    <row r="577" spans="1:20" ht="29" x14ac:dyDescent="0.35">
      <c r="A577" s="4">
        <v>576</v>
      </c>
      <c r="B577" s="5">
        <v>45264</v>
      </c>
      <c r="C577" s="4" t="s">
        <v>589</v>
      </c>
      <c r="D577" s="4" t="s">
        <v>13</v>
      </c>
      <c r="E577" s="4">
        <v>33</v>
      </c>
      <c r="F577" s="4" t="str">
        <f>IF(Table15678[[#This Row],[Age]]&lt;=19,"Teenager",IF(Table15678[[#This Row],[Age]]&lt;=40,"Median","Old"))</f>
        <v>Median</v>
      </c>
      <c r="G577" s="4" t="s">
        <v>11</v>
      </c>
      <c r="H577" s="4">
        <v>3</v>
      </c>
      <c r="I577" s="4">
        <v>50</v>
      </c>
      <c r="J577" s="4">
        <v>150</v>
      </c>
      <c r="K577" s="4" t="str" cm="1">
        <f t="array" ref="K577">_xlfn.IFS(AND(Table15678[[#This Row],[Total Amount]]&gt;=1500),"Critical",AND(Table15678[[#This Row],[Total Amount]]&gt;=1000),"High",TRUE,"Normal")</f>
        <v>Normal</v>
      </c>
      <c r="L577" s="4" t="str">
        <f>IF(Table15678[[#This Row],[Total Amount]]&gt;=1000,"High",(IF(Table15678[[#This Row],[Total Amount]]&gt;=500,"Medium","Low")))</f>
        <v>Low</v>
      </c>
      <c r="M577" s="4" t="str" cm="1">
        <f t="array" ref="M57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77" s="4" cm="1">
        <f t="array" ref="N57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22.5</v>
      </c>
      <c r="O577" s="4">
        <f>Table15678[[#This Row],[Total Amount]]-Table15678[[#This Row],[Discount Amount]]</f>
        <v>127.5</v>
      </c>
      <c r="P577" s="4" t="str">
        <f>IF(Table15678[[#This Row],[Total Amount]]&gt;=1000,"High","Low")</f>
        <v>Low</v>
      </c>
      <c r="Q577" s="4" t="str" cm="1">
        <f t="array" ref="Q577">_xlfn.IFS(AND(Table15678[[#This Row],[Total Amount]]&gt;=1500,"Critical"),AND(Table15678[[#This Row],[Total Amount]]&gt;=1000,"High"),TRUE,"Normal")</f>
        <v>Normal</v>
      </c>
      <c r="R577" s="4" t="str">
        <f>CONCATENATE(Table15678[[#This Row],[Customer ID]], "-",Table15678[[#This Row],[Age]])</f>
        <v>CUST576-33</v>
      </c>
      <c r="S577" s="4" t="str">
        <f>TEXT(Table15678[[#This Row],[Date]],"mmm")</f>
        <v>Dec</v>
      </c>
      <c r="T577" s="4" t="str">
        <f>TEXT(Table15678[[#This Row],[Date]],"DDD")</f>
        <v>Mon</v>
      </c>
    </row>
    <row r="578" spans="1:20" ht="29" x14ac:dyDescent="0.35">
      <c r="A578" s="4">
        <v>577</v>
      </c>
      <c r="B578" s="5">
        <v>44970</v>
      </c>
      <c r="C578" s="4" t="s">
        <v>590</v>
      </c>
      <c r="D578" s="4" t="s">
        <v>10</v>
      </c>
      <c r="E578" s="4">
        <v>21</v>
      </c>
      <c r="F578" s="4" t="str">
        <f>IF(Table15678[[#This Row],[Age]]&lt;=19,"Teenager",IF(Table15678[[#This Row],[Age]]&lt;=40,"Median","Old"))</f>
        <v>Median</v>
      </c>
      <c r="G578" s="4" t="s">
        <v>11</v>
      </c>
      <c r="H578" s="4">
        <v>4</v>
      </c>
      <c r="I578" s="4">
        <v>500</v>
      </c>
      <c r="J578" s="4">
        <v>2000</v>
      </c>
      <c r="K578" s="4" t="str" cm="1">
        <f t="array" ref="K578">_xlfn.IFS(AND(Table15678[[#This Row],[Total Amount]]&gt;=1500),"Critical",AND(Table15678[[#This Row],[Total Amount]]&gt;=1000),"High",TRUE,"Normal")</f>
        <v>Critical</v>
      </c>
      <c r="L578" s="4" t="str">
        <f>IF(Table15678[[#This Row],[Total Amount]]&gt;=1000,"High",(IF(Table15678[[#This Row],[Total Amount]]&gt;=500,"Medium","Low")))</f>
        <v>High</v>
      </c>
      <c r="M578" s="4" t="str" cm="1">
        <f t="array" ref="M57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578" s="4" cm="1">
        <f t="array" ref="N57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578" s="4">
        <f>Table15678[[#This Row],[Total Amount]]-Table15678[[#This Row],[Discount Amount]]</f>
        <v>2000</v>
      </c>
      <c r="P578" s="4" t="str">
        <f>IF(Table15678[[#This Row],[Total Amount]]&gt;=1000,"High","Low")</f>
        <v>High</v>
      </c>
      <c r="Q578" s="4" t="b" cm="1">
        <f t="array" ref="Q578">_xlfn.IFS(AND(Table15678[[#This Row],[Total Amount]]&gt;=1500,"Critical"),AND(Table15678[[#This Row],[Total Amount]]&gt;=1000,"High"),TRUE,"Normal")</f>
        <v>1</v>
      </c>
      <c r="R578" s="4" t="str">
        <f>CONCATENATE(Table15678[[#This Row],[Customer ID]], "-",Table15678[[#This Row],[Age]])</f>
        <v>CUST577-21</v>
      </c>
      <c r="S578" s="4" t="str">
        <f>TEXT(Table15678[[#This Row],[Date]],"mmm")</f>
        <v>Feb</v>
      </c>
      <c r="T578" s="4" t="str">
        <f>TEXT(Table15678[[#This Row],[Date]],"DDD")</f>
        <v>Mon</v>
      </c>
    </row>
    <row r="579" spans="1:20" ht="29" x14ac:dyDescent="0.35">
      <c r="A579" s="4">
        <v>578</v>
      </c>
      <c r="B579" s="5">
        <v>45072</v>
      </c>
      <c r="C579" s="4" t="s">
        <v>591</v>
      </c>
      <c r="D579" s="4" t="s">
        <v>13</v>
      </c>
      <c r="E579" s="4">
        <v>54</v>
      </c>
      <c r="F579" s="4" t="str">
        <f>IF(Table15678[[#This Row],[Age]]&lt;=19,"Teenager",IF(Table15678[[#This Row],[Age]]&lt;=40,"Median","Old"))</f>
        <v>Old</v>
      </c>
      <c r="G579" s="4" t="s">
        <v>14</v>
      </c>
      <c r="H579" s="4">
        <v>4</v>
      </c>
      <c r="I579" s="4">
        <v>30</v>
      </c>
      <c r="J579" s="4">
        <v>120</v>
      </c>
      <c r="K579" s="4" t="str" cm="1">
        <f t="array" ref="K579">_xlfn.IFS(AND(Table15678[[#This Row],[Total Amount]]&gt;=1500),"Critical",AND(Table15678[[#This Row],[Total Amount]]&gt;=1000),"High",TRUE,"Normal")</f>
        <v>Normal</v>
      </c>
      <c r="L579" s="4" t="str">
        <f>IF(Table15678[[#This Row],[Total Amount]]&gt;=1000,"High",(IF(Table15678[[#This Row],[Total Amount]]&gt;=500,"Medium","Low")))</f>
        <v>Low</v>
      </c>
      <c r="M579" s="4" t="str" cm="1">
        <f t="array" ref="M57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79" s="4" cm="1">
        <f t="array" ref="N57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</v>
      </c>
      <c r="O579" s="4">
        <f>Table15678[[#This Row],[Total Amount]]-Table15678[[#This Row],[Discount Amount]]</f>
        <v>96</v>
      </c>
      <c r="P579" s="4" t="str">
        <f>IF(Table15678[[#This Row],[Total Amount]]&gt;=1000,"High","Low")</f>
        <v>Low</v>
      </c>
      <c r="Q579" s="4" t="str" cm="1">
        <f t="array" ref="Q579">_xlfn.IFS(AND(Table15678[[#This Row],[Total Amount]]&gt;=1500,"Critical"),AND(Table15678[[#This Row],[Total Amount]]&gt;=1000,"High"),TRUE,"Normal")</f>
        <v>Normal</v>
      </c>
      <c r="R579" s="4" t="str">
        <f>CONCATENATE(Table15678[[#This Row],[Customer ID]], "-",Table15678[[#This Row],[Age]])</f>
        <v>CUST578-54</v>
      </c>
      <c r="S579" s="4" t="str">
        <f>TEXT(Table15678[[#This Row],[Date]],"mmm")</f>
        <v>May</v>
      </c>
      <c r="T579" s="4" t="str">
        <f>TEXT(Table15678[[#This Row],[Date]],"DDD")</f>
        <v>Fri</v>
      </c>
    </row>
    <row r="580" spans="1:20" ht="29" x14ac:dyDescent="0.35">
      <c r="A580" s="4">
        <v>579</v>
      </c>
      <c r="B580" s="5">
        <v>45190</v>
      </c>
      <c r="C580" s="4" t="s">
        <v>592</v>
      </c>
      <c r="D580" s="4" t="s">
        <v>13</v>
      </c>
      <c r="E580" s="4">
        <v>38</v>
      </c>
      <c r="F580" s="4" t="str">
        <f>IF(Table15678[[#This Row],[Age]]&lt;=19,"Teenager",IF(Table15678[[#This Row],[Age]]&lt;=40,"Median","Old"))</f>
        <v>Median</v>
      </c>
      <c r="G580" s="4" t="s">
        <v>16</v>
      </c>
      <c r="H580" s="4">
        <v>1</v>
      </c>
      <c r="I580" s="4">
        <v>30</v>
      </c>
      <c r="J580" s="4">
        <v>30</v>
      </c>
      <c r="K580" s="4" t="str" cm="1">
        <f t="array" ref="K580">_xlfn.IFS(AND(Table15678[[#This Row],[Total Amount]]&gt;=1500),"Critical",AND(Table15678[[#This Row],[Total Amount]]&gt;=1000),"High",TRUE,"Normal")</f>
        <v>Normal</v>
      </c>
      <c r="L580" s="4" t="str">
        <f>IF(Table15678[[#This Row],[Total Amount]]&gt;=1000,"High",(IF(Table15678[[#This Row],[Total Amount]]&gt;=500,"Medium","Low")))</f>
        <v>Low</v>
      </c>
      <c r="M580" s="4" t="str" cm="1">
        <f t="array" ref="M58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80" s="4" cm="1">
        <f t="array" ref="N58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580" s="4">
        <f>Table15678[[#This Row],[Total Amount]]-Table15678[[#This Row],[Discount Amount]]</f>
        <v>24</v>
      </c>
      <c r="P580" s="4" t="str">
        <f>IF(Table15678[[#This Row],[Total Amount]]&gt;=1000,"High","Low")</f>
        <v>Low</v>
      </c>
      <c r="Q580" s="4" t="str" cm="1">
        <f t="array" ref="Q580">_xlfn.IFS(AND(Table15678[[#This Row],[Total Amount]]&gt;=1500,"Critical"),AND(Table15678[[#This Row],[Total Amount]]&gt;=1000,"High"),TRUE,"Normal")</f>
        <v>Normal</v>
      </c>
      <c r="R580" s="4" t="str">
        <f>CONCATENATE(Table15678[[#This Row],[Customer ID]], "-",Table15678[[#This Row],[Age]])</f>
        <v>CUST579-38</v>
      </c>
      <c r="S580" s="4" t="str">
        <f>TEXT(Table15678[[#This Row],[Date]],"mmm")</f>
        <v>Sep</v>
      </c>
      <c r="T580" s="4" t="str">
        <f>TEXT(Table15678[[#This Row],[Date]],"DDD")</f>
        <v>Thu</v>
      </c>
    </row>
    <row r="581" spans="1:20" ht="29" x14ac:dyDescent="0.35">
      <c r="A581" s="4">
        <v>580</v>
      </c>
      <c r="B581" s="5">
        <v>45266</v>
      </c>
      <c r="C581" s="4" t="s">
        <v>593</v>
      </c>
      <c r="D581" s="4" t="s">
        <v>13</v>
      </c>
      <c r="E581" s="4">
        <v>31</v>
      </c>
      <c r="F581" s="4" t="str">
        <f>IF(Table15678[[#This Row],[Age]]&lt;=19,"Teenager",IF(Table15678[[#This Row],[Age]]&lt;=40,"Median","Old"))</f>
        <v>Median</v>
      </c>
      <c r="G581" s="4" t="s">
        <v>14</v>
      </c>
      <c r="H581" s="4">
        <v>3</v>
      </c>
      <c r="I581" s="4">
        <v>500</v>
      </c>
      <c r="J581" s="4">
        <v>1500</v>
      </c>
      <c r="K581" s="4" t="str" cm="1">
        <f t="array" ref="K581">_xlfn.IFS(AND(Table15678[[#This Row],[Total Amount]]&gt;=1500),"Critical",AND(Table15678[[#This Row],[Total Amount]]&gt;=1000),"High",TRUE,"Normal")</f>
        <v>Critical</v>
      </c>
      <c r="L581" s="4" t="str">
        <f>IF(Table15678[[#This Row],[Total Amount]]&gt;=1000,"High",(IF(Table15678[[#This Row],[Total Amount]]&gt;=500,"Medium","Low")))</f>
        <v>High</v>
      </c>
      <c r="M581" s="4" t="str" cm="1">
        <f t="array" ref="M58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81" s="4" cm="1">
        <f t="array" ref="N58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225</v>
      </c>
      <c r="O581" s="4">
        <f>Table15678[[#This Row],[Total Amount]]-Table15678[[#This Row],[Discount Amount]]</f>
        <v>1275</v>
      </c>
      <c r="P581" s="4" t="str">
        <f>IF(Table15678[[#This Row],[Total Amount]]&gt;=1000,"High","Low")</f>
        <v>High</v>
      </c>
      <c r="Q581" s="4" t="b" cm="1">
        <f t="array" ref="Q581">_xlfn.IFS(AND(Table15678[[#This Row],[Total Amount]]&gt;=1500,"Critical"),AND(Table15678[[#This Row],[Total Amount]]&gt;=1000,"High"),TRUE,"Normal")</f>
        <v>1</v>
      </c>
      <c r="R581" s="4" t="str">
        <f>CONCATENATE(Table15678[[#This Row],[Customer ID]], "-",Table15678[[#This Row],[Age]])</f>
        <v>CUST580-31</v>
      </c>
      <c r="S581" s="4" t="str">
        <f>TEXT(Table15678[[#This Row],[Date]],"mmm")</f>
        <v>Dec</v>
      </c>
      <c r="T581" s="4" t="str">
        <f>TEXT(Table15678[[#This Row],[Date]],"DDD")</f>
        <v>Wed</v>
      </c>
    </row>
    <row r="582" spans="1:20" ht="29" x14ac:dyDescent="0.35">
      <c r="A582" s="4">
        <v>581</v>
      </c>
      <c r="B582" s="5">
        <v>45251</v>
      </c>
      <c r="C582" s="4" t="s">
        <v>594</v>
      </c>
      <c r="D582" s="4" t="s">
        <v>13</v>
      </c>
      <c r="E582" s="4">
        <v>48</v>
      </c>
      <c r="F582" s="4" t="str">
        <f>IF(Table15678[[#This Row],[Age]]&lt;=19,"Teenager",IF(Table15678[[#This Row],[Age]]&lt;=40,"Median","Old"))</f>
        <v>Old</v>
      </c>
      <c r="G582" s="4" t="s">
        <v>11</v>
      </c>
      <c r="H582" s="4">
        <v>2</v>
      </c>
      <c r="I582" s="4">
        <v>30</v>
      </c>
      <c r="J582" s="4">
        <v>60</v>
      </c>
      <c r="K582" s="4" t="str" cm="1">
        <f t="array" ref="K582">_xlfn.IFS(AND(Table15678[[#This Row],[Total Amount]]&gt;=1500),"Critical",AND(Table15678[[#This Row],[Total Amount]]&gt;=1000),"High",TRUE,"Normal")</f>
        <v>Normal</v>
      </c>
      <c r="L582" s="4" t="str">
        <f>IF(Table15678[[#This Row],[Total Amount]]&gt;=1000,"High",(IF(Table15678[[#This Row],[Total Amount]]&gt;=500,"Medium","Low")))</f>
        <v>Low</v>
      </c>
      <c r="M582" s="4" t="str" cm="1">
        <f t="array" ref="M58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82" s="4" cm="1">
        <f t="array" ref="N58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582" s="4">
        <f>Table15678[[#This Row],[Total Amount]]-Table15678[[#This Row],[Discount Amount]]</f>
        <v>48</v>
      </c>
      <c r="P582" s="4" t="str">
        <f>IF(Table15678[[#This Row],[Total Amount]]&gt;=1000,"High","Low")</f>
        <v>Low</v>
      </c>
      <c r="Q582" s="4" t="str" cm="1">
        <f t="array" ref="Q582">_xlfn.IFS(AND(Table15678[[#This Row],[Total Amount]]&gt;=1500,"Critical"),AND(Table15678[[#This Row],[Total Amount]]&gt;=1000,"High"),TRUE,"Normal")</f>
        <v>Normal</v>
      </c>
      <c r="R582" s="4" t="str">
        <f>CONCATENATE(Table15678[[#This Row],[Customer ID]], "-",Table15678[[#This Row],[Age]])</f>
        <v>CUST581-48</v>
      </c>
      <c r="S582" s="4" t="str">
        <f>TEXT(Table15678[[#This Row],[Date]],"mmm")</f>
        <v>Nov</v>
      </c>
      <c r="T582" s="4" t="str">
        <f>TEXT(Table15678[[#This Row],[Date]],"DDD")</f>
        <v>Tue</v>
      </c>
    </row>
    <row r="583" spans="1:20" ht="29" x14ac:dyDescent="0.35">
      <c r="A583" s="4">
        <v>582</v>
      </c>
      <c r="B583" s="5">
        <v>45244</v>
      </c>
      <c r="C583" s="4" t="s">
        <v>595</v>
      </c>
      <c r="D583" s="4" t="s">
        <v>10</v>
      </c>
      <c r="E583" s="4">
        <v>35</v>
      </c>
      <c r="F583" s="4" t="str">
        <f>IF(Table15678[[#This Row],[Age]]&lt;=19,"Teenager",IF(Table15678[[#This Row],[Age]]&lt;=40,"Median","Old"))</f>
        <v>Median</v>
      </c>
      <c r="G583" s="4" t="s">
        <v>14</v>
      </c>
      <c r="H583" s="4">
        <v>3</v>
      </c>
      <c r="I583" s="4">
        <v>300</v>
      </c>
      <c r="J583" s="4">
        <v>900</v>
      </c>
      <c r="K583" s="4" t="str" cm="1">
        <f t="array" ref="K583">_xlfn.IFS(AND(Table15678[[#This Row],[Total Amount]]&gt;=1500),"Critical",AND(Table15678[[#This Row],[Total Amount]]&gt;=1000),"High",TRUE,"Normal")</f>
        <v>Normal</v>
      </c>
      <c r="L583" s="4" t="str">
        <f>IF(Table15678[[#This Row],[Total Amount]]&gt;=1000,"High",(IF(Table15678[[#This Row],[Total Amount]]&gt;=500,"Medium","Low")))</f>
        <v>Medium</v>
      </c>
      <c r="M583" s="4" t="str" cm="1">
        <f t="array" ref="M58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83" s="4" cm="1">
        <f t="array" ref="N58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583" s="4">
        <f>Table15678[[#This Row],[Total Amount]]-Table15678[[#This Row],[Discount Amount]]</f>
        <v>810</v>
      </c>
      <c r="P583" s="4" t="str">
        <f>IF(Table15678[[#This Row],[Total Amount]]&gt;=1000,"High","Low")</f>
        <v>Low</v>
      </c>
      <c r="Q583" s="4" t="str" cm="1">
        <f t="array" ref="Q583">_xlfn.IFS(AND(Table15678[[#This Row],[Total Amount]]&gt;=1500,"Critical"),AND(Table15678[[#This Row],[Total Amount]]&gt;=1000,"High"),TRUE,"Normal")</f>
        <v>Normal</v>
      </c>
      <c r="R583" s="4" t="str">
        <f>CONCATENATE(Table15678[[#This Row],[Customer ID]], "-",Table15678[[#This Row],[Age]])</f>
        <v>CUST582-35</v>
      </c>
      <c r="S583" s="4" t="str">
        <f>TEXT(Table15678[[#This Row],[Date]],"mmm")</f>
        <v>Nov</v>
      </c>
      <c r="T583" s="4" t="str">
        <f>TEXT(Table15678[[#This Row],[Date]],"DDD")</f>
        <v>Tue</v>
      </c>
    </row>
    <row r="584" spans="1:20" ht="29" x14ac:dyDescent="0.35">
      <c r="A584" s="4">
        <v>583</v>
      </c>
      <c r="B584" s="5">
        <v>45098</v>
      </c>
      <c r="C584" s="4" t="s">
        <v>596</v>
      </c>
      <c r="D584" s="4" t="s">
        <v>13</v>
      </c>
      <c r="E584" s="4">
        <v>24</v>
      </c>
      <c r="F584" s="4" t="str">
        <f>IF(Table15678[[#This Row],[Age]]&lt;=19,"Teenager",IF(Table15678[[#This Row],[Age]]&lt;=40,"Median","Old"))</f>
        <v>Median</v>
      </c>
      <c r="G584" s="4" t="s">
        <v>16</v>
      </c>
      <c r="H584" s="4">
        <v>4</v>
      </c>
      <c r="I584" s="4">
        <v>25</v>
      </c>
      <c r="J584" s="4">
        <v>100</v>
      </c>
      <c r="K584" s="4" t="str" cm="1">
        <f t="array" ref="K584">_xlfn.IFS(AND(Table15678[[#This Row],[Total Amount]]&gt;=1500),"Critical",AND(Table15678[[#This Row],[Total Amount]]&gt;=1000),"High",TRUE,"Normal")</f>
        <v>Normal</v>
      </c>
      <c r="L584" s="4" t="str">
        <f>IF(Table15678[[#This Row],[Total Amount]]&gt;=1000,"High",(IF(Table15678[[#This Row],[Total Amount]]&gt;=500,"Medium","Low")))</f>
        <v>Low</v>
      </c>
      <c r="M584" s="4" t="str" cm="1">
        <f t="array" ref="M58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584" s="4" cm="1">
        <f t="array" ref="N58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584" s="4">
        <f>Table15678[[#This Row],[Total Amount]]-Table15678[[#This Row],[Discount Amount]]</f>
        <v>100</v>
      </c>
      <c r="P584" s="4" t="str">
        <f>IF(Table15678[[#This Row],[Total Amount]]&gt;=1000,"High","Low")</f>
        <v>Low</v>
      </c>
      <c r="Q584" s="4" t="str" cm="1">
        <f t="array" ref="Q584">_xlfn.IFS(AND(Table15678[[#This Row],[Total Amount]]&gt;=1500,"Critical"),AND(Table15678[[#This Row],[Total Amount]]&gt;=1000,"High"),TRUE,"Normal")</f>
        <v>Normal</v>
      </c>
      <c r="R584" s="4" t="str">
        <f>CONCATENATE(Table15678[[#This Row],[Customer ID]], "-",Table15678[[#This Row],[Age]])</f>
        <v>CUST583-24</v>
      </c>
      <c r="S584" s="4" t="str">
        <f>TEXT(Table15678[[#This Row],[Date]],"mmm")</f>
        <v>Jun</v>
      </c>
      <c r="T584" s="4" t="str">
        <f>TEXT(Table15678[[#This Row],[Date]],"DDD")</f>
        <v>Wed</v>
      </c>
    </row>
    <row r="585" spans="1:20" ht="29" x14ac:dyDescent="0.35">
      <c r="A585" s="4">
        <v>584</v>
      </c>
      <c r="B585" s="5">
        <v>44974</v>
      </c>
      <c r="C585" s="4" t="s">
        <v>597</v>
      </c>
      <c r="D585" s="4" t="s">
        <v>13</v>
      </c>
      <c r="E585" s="4">
        <v>27</v>
      </c>
      <c r="F585" s="4" t="str">
        <f>IF(Table15678[[#This Row],[Age]]&lt;=19,"Teenager",IF(Table15678[[#This Row],[Age]]&lt;=40,"Median","Old"))</f>
        <v>Median</v>
      </c>
      <c r="G585" s="4" t="s">
        <v>11</v>
      </c>
      <c r="H585" s="4">
        <v>4</v>
      </c>
      <c r="I585" s="4">
        <v>50</v>
      </c>
      <c r="J585" s="4">
        <v>200</v>
      </c>
      <c r="K585" s="4" t="str" cm="1">
        <f t="array" ref="K585">_xlfn.IFS(AND(Table15678[[#This Row],[Total Amount]]&gt;=1500),"Critical",AND(Table15678[[#This Row],[Total Amount]]&gt;=1000),"High",TRUE,"Normal")</f>
        <v>Normal</v>
      </c>
      <c r="L585" s="4" t="str">
        <f>IF(Table15678[[#This Row],[Total Amount]]&gt;=1000,"High",(IF(Table15678[[#This Row],[Total Amount]]&gt;=500,"Medium","Low")))</f>
        <v>Low</v>
      </c>
      <c r="M585" s="4" t="str" cm="1">
        <f t="array" ref="M58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85" s="4" cm="1">
        <f t="array" ref="N58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585" s="4">
        <f>Table15678[[#This Row],[Total Amount]]-Table15678[[#This Row],[Discount Amount]]</f>
        <v>170</v>
      </c>
      <c r="P585" s="4" t="str">
        <f>IF(Table15678[[#This Row],[Total Amount]]&gt;=1000,"High","Low")</f>
        <v>Low</v>
      </c>
      <c r="Q585" s="4" t="str" cm="1">
        <f t="array" ref="Q585">_xlfn.IFS(AND(Table15678[[#This Row],[Total Amount]]&gt;=1500,"Critical"),AND(Table15678[[#This Row],[Total Amount]]&gt;=1000,"High"),TRUE,"Normal")</f>
        <v>Normal</v>
      </c>
      <c r="R585" s="4" t="str">
        <f>CONCATENATE(Table15678[[#This Row],[Customer ID]], "-",Table15678[[#This Row],[Age]])</f>
        <v>CUST584-27</v>
      </c>
      <c r="S585" s="4" t="str">
        <f>TEXT(Table15678[[#This Row],[Date]],"mmm")</f>
        <v>Feb</v>
      </c>
      <c r="T585" s="4" t="str">
        <f>TEXT(Table15678[[#This Row],[Date]],"DDD")</f>
        <v>Fri</v>
      </c>
    </row>
    <row r="586" spans="1:20" ht="29" x14ac:dyDescent="0.35">
      <c r="A586" s="4">
        <v>585</v>
      </c>
      <c r="B586" s="5">
        <v>45047</v>
      </c>
      <c r="C586" s="4" t="s">
        <v>598</v>
      </c>
      <c r="D586" s="4" t="s">
        <v>13</v>
      </c>
      <c r="E586" s="4">
        <v>24</v>
      </c>
      <c r="F586" s="4" t="str">
        <f>IF(Table15678[[#This Row],[Age]]&lt;=19,"Teenager",IF(Table15678[[#This Row],[Age]]&lt;=40,"Median","Old"))</f>
        <v>Median</v>
      </c>
      <c r="G586" s="4" t="s">
        <v>14</v>
      </c>
      <c r="H586" s="4">
        <v>1</v>
      </c>
      <c r="I586" s="4">
        <v>25</v>
      </c>
      <c r="J586" s="4">
        <v>25</v>
      </c>
      <c r="K586" s="4" t="str" cm="1">
        <f t="array" ref="K586">_xlfn.IFS(AND(Table15678[[#This Row],[Total Amount]]&gt;=1500),"Critical",AND(Table15678[[#This Row],[Total Amount]]&gt;=1000),"High",TRUE,"Normal")</f>
        <v>Normal</v>
      </c>
      <c r="L586" s="4" t="str">
        <f>IF(Table15678[[#This Row],[Total Amount]]&gt;=1000,"High",(IF(Table15678[[#This Row],[Total Amount]]&gt;=500,"Medium","Low")))</f>
        <v>Low</v>
      </c>
      <c r="M586" s="4" t="str" cm="1">
        <f t="array" ref="M58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586" s="4" cm="1">
        <f t="array" ref="N58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586" s="4">
        <f>Table15678[[#This Row],[Total Amount]]-Table15678[[#This Row],[Discount Amount]]</f>
        <v>25</v>
      </c>
      <c r="P586" s="4" t="str">
        <f>IF(Table15678[[#This Row],[Total Amount]]&gt;=1000,"High","Low")</f>
        <v>Low</v>
      </c>
      <c r="Q586" s="4" t="str" cm="1">
        <f t="array" ref="Q586">_xlfn.IFS(AND(Table15678[[#This Row],[Total Amount]]&gt;=1500,"Critical"),AND(Table15678[[#This Row],[Total Amount]]&gt;=1000,"High"),TRUE,"Normal")</f>
        <v>Normal</v>
      </c>
      <c r="R586" s="4" t="str">
        <f>CONCATENATE(Table15678[[#This Row],[Customer ID]], "-",Table15678[[#This Row],[Age]])</f>
        <v>CUST585-24</v>
      </c>
      <c r="S586" s="4" t="str">
        <f>TEXT(Table15678[[#This Row],[Date]],"mmm")</f>
        <v>May</v>
      </c>
      <c r="T586" s="4" t="str">
        <f>TEXT(Table15678[[#This Row],[Date]],"DDD")</f>
        <v>Mon</v>
      </c>
    </row>
    <row r="587" spans="1:20" ht="29" x14ac:dyDescent="0.35">
      <c r="A587" s="4">
        <v>586</v>
      </c>
      <c r="B587" s="5">
        <v>45271</v>
      </c>
      <c r="C587" s="4" t="s">
        <v>599</v>
      </c>
      <c r="D587" s="4" t="s">
        <v>10</v>
      </c>
      <c r="E587" s="4">
        <v>50</v>
      </c>
      <c r="F587" s="4" t="str">
        <f>IF(Table15678[[#This Row],[Age]]&lt;=19,"Teenager",IF(Table15678[[#This Row],[Age]]&lt;=40,"Median","Old"))</f>
        <v>Old</v>
      </c>
      <c r="G587" s="4" t="s">
        <v>16</v>
      </c>
      <c r="H587" s="4">
        <v>1</v>
      </c>
      <c r="I587" s="4">
        <v>50</v>
      </c>
      <c r="J587" s="4">
        <v>50</v>
      </c>
      <c r="K587" s="4" t="str" cm="1">
        <f t="array" ref="K587">_xlfn.IFS(AND(Table15678[[#This Row],[Total Amount]]&gt;=1500),"Critical",AND(Table15678[[#This Row],[Total Amount]]&gt;=1000),"High",TRUE,"Normal")</f>
        <v>Normal</v>
      </c>
      <c r="L587" s="4" t="str">
        <f>IF(Table15678[[#This Row],[Total Amount]]&gt;=1000,"High",(IF(Table15678[[#This Row],[Total Amount]]&gt;=500,"Medium","Low")))</f>
        <v>Low</v>
      </c>
      <c r="M587" s="4" t="str" cm="1">
        <f t="array" ref="M58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87" s="4" cm="1">
        <f t="array" ref="N58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587" s="4">
        <f>Table15678[[#This Row],[Total Amount]]-Table15678[[#This Row],[Discount Amount]]</f>
        <v>45</v>
      </c>
      <c r="P587" s="4" t="str">
        <f>IF(Table15678[[#This Row],[Total Amount]]&gt;=1000,"High","Low")</f>
        <v>Low</v>
      </c>
      <c r="Q587" s="4" t="str" cm="1">
        <f t="array" ref="Q587">_xlfn.IFS(AND(Table15678[[#This Row],[Total Amount]]&gt;=1500,"Critical"),AND(Table15678[[#This Row],[Total Amount]]&gt;=1000,"High"),TRUE,"Normal")</f>
        <v>Normal</v>
      </c>
      <c r="R587" s="4" t="str">
        <f>CONCATENATE(Table15678[[#This Row],[Customer ID]], "-",Table15678[[#This Row],[Age]])</f>
        <v>CUST586-50</v>
      </c>
      <c r="S587" s="4" t="str">
        <f>TEXT(Table15678[[#This Row],[Date]],"mmm")</f>
        <v>Dec</v>
      </c>
      <c r="T587" s="4" t="str">
        <f>TEXT(Table15678[[#This Row],[Date]],"DDD")</f>
        <v>Mon</v>
      </c>
    </row>
    <row r="588" spans="1:20" ht="29" x14ac:dyDescent="0.35">
      <c r="A588" s="4">
        <v>587</v>
      </c>
      <c r="B588" s="5">
        <v>45085</v>
      </c>
      <c r="C588" s="4" t="s">
        <v>600</v>
      </c>
      <c r="D588" s="4" t="s">
        <v>13</v>
      </c>
      <c r="E588" s="4">
        <v>40</v>
      </c>
      <c r="F588" s="4" t="str">
        <f>IF(Table15678[[#This Row],[Age]]&lt;=19,"Teenager",IF(Table15678[[#This Row],[Age]]&lt;=40,"Median","Old"))</f>
        <v>Median</v>
      </c>
      <c r="G588" s="4" t="s">
        <v>11</v>
      </c>
      <c r="H588" s="4">
        <v>4</v>
      </c>
      <c r="I588" s="4">
        <v>300</v>
      </c>
      <c r="J588" s="4">
        <v>1200</v>
      </c>
      <c r="K588" s="4" t="str" cm="1">
        <f t="array" ref="K588">_xlfn.IFS(AND(Table15678[[#This Row],[Total Amount]]&gt;=1500),"Critical",AND(Table15678[[#This Row],[Total Amount]]&gt;=1000),"High",TRUE,"Normal")</f>
        <v>High</v>
      </c>
      <c r="L588" s="4" t="str">
        <f>IF(Table15678[[#This Row],[Total Amount]]&gt;=1000,"High",(IF(Table15678[[#This Row],[Total Amount]]&gt;=500,"Medium","Low")))</f>
        <v>High</v>
      </c>
      <c r="M588" s="4" t="str" cm="1">
        <f t="array" ref="M58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88" s="4" cm="1">
        <f t="array" ref="N58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240</v>
      </c>
      <c r="O588" s="4">
        <f>Table15678[[#This Row],[Total Amount]]-Table15678[[#This Row],[Discount Amount]]</f>
        <v>960</v>
      </c>
      <c r="P588" s="4" t="str">
        <f>IF(Table15678[[#This Row],[Total Amount]]&gt;=1000,"High","Low")</f>
        <v>High</v>
      </c>
      <c r="Q588" s="4" t="str" cm="1">
        <f t="array" ref="Q588">_xlfn.IFS(AND(Table15678[[#This Row],[Total Amount]]&gt;=1500,"Critical"),AND(Table15678[[#This Row],[Total Amount]]&gt;=1000,"High"),TRUE,"Normal")</f>
        <v>Normal</v>
      </c>
      <c r="R588" s="4" t="str">
        <f>CONCATENATE(Table15678[[#This Row],[Customer ID]], "-",Table15678[[#This Row],[Age]])</f>
        <v>CUST587-40</v>
      </c>
      <c r="S588" s="4" t="str">
        <f>TEXT(Table15678[[#This Row],[Date]],"mmm")</f>
        <v>Jun</v>
      </c>
      <c r="T588" s="4" t="str">
        <f>TEXT(Table15678[[#This Row],[Date]],"DDD")</f>
        <v>Thu</v>
      </c>
    </row>
    <row r="589" spans="1:20" ht="29" x14ac:dyDescent="0.35">
      <c r="A589" s="4">
        <v>588</v>
      </c>
      <c r="B589" s="5">
        <v>45042</v>
      </c>
      <c r="C589" s="4" t="s">
        <v>601</v>
      </c>
      <c r="D589" s="4" t="s">
        <v>10</v>
      </c>
      <c r="E589" s="4">
        <v>38</v>
      </c>
      <c r="F589" s="4" t="str">
        <f>IF(Table15678[[#This Row],[Age]]&lt;=19,"Teenager",IF(Table15678[[#This Row],[Age]]&lt;=40,"Median","Old"))</f>
        <v>Median</v>
      </c>
      <c r="G589" s="4" t="s">
        <v>16</v>
      </c>
      <c r="H589" s="4">
        <v>2</v>
      </c>
      <c r="I589" s="4">
        <v>30</v>
      </c>
      <c r="J589" s="4">
        <v>60</v>
      </c>
      <c r="K589" s="4" t="str" cm="1">
        <f t="array" ref="K589">_xlfn.IFS(AND(Table15678[[#This Row],[Total Amount]]&gt;=1500),"Critical",AND(Table15678[[#This Row],[Total Amount]]&gt;=1000),"High",TRUE,"Normal")</f>
        <v>Normal</v>
      </c>
      <c r="L589" s="4" t="str">
        <f>IF(Table15678[[#This Row],[Total Amount]]&gt;=1000,"High",(IF(Table15678[[#This Row],[Total Amount]]&gt;=500,"Medium","Low")))</f>
        <v>Low</v>
      </c>
      <c r="M589" s="4" t="str" cm="1">
        <f t="array" ref="M58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89" s="4" cm="1">
        <f t="array" ref="N58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589" s="4">
        <f>Table15678[[#This Row],[Total Amount]]-Table15678[[#This Row],[Discount Amount]]</f>
        <v>54</v>
      </c>
      <c r="P589" s="4" t="str">
        <f>IF(Table15678[[#This Row],[Total Amount]]&gt;=1000,"High","Low")</f>
        <v>Low</v>
      </c>
      <c r="Q589" s="4" t="str" cm="1">
        <f t="array" ref="Q589">_xlfn.IFS(AND(Table15678[[#This Row],[Total Amount]]&gt;=1500,"Critical"),AND(Table15678[[#This Row],[Total Amount]]&gt;=1000,"High"),TRUE,"Normal")</f>
        <v>Normal</v>
      </c>
      <c r="R589" s="4" t="str">
        <f>CONCATENATE(Table15678[[#This Row],[Customer ID]], "-",Table15678[[#This Row],[Age]])</f>
        <v>CUST588-38</v>
      </c>
      <c r="S589" s="4" t="str">
        <f>TEXT(Table15678[[#This Row],[Date]],"mmm")</f>
        <v>Apr</v>
      </c>
      <c r="T589" s="4" t="str">
        <f>TEXT(Table15678[[#This Row],[Date]],"DDD")</f>
        <v>Wed</v>
      </c>
    </row>
    <row r="590" spans="1:20" ht="29" x14ac:dyDescent="0.35">
      <c r="A590" s="4">
        <v>589</v>
      </c>
      <c r="B590" s="5">
        <v>45028</v>
      </c>
      <c r="C590" s="4" t="s">
        <v>602</v>
      </c>
      <c r="D590" s="4" t="s">
        <v>13</v>
      </c>
      <c r="E590" s="4">
        <v>36</v>
      </c>
      <c r="F590" s="4" t="str">
        <f>IF(Table15678[[#This Row],[Age]]&lt;=19,"Teenager",IF(Table15678[[#This Row],[Age]]&lt;=40,"Median","Old"))</f>
        <v>Median</v>
      </c>
      <c r="G590" s="4" t="s">
        <v>11</v>
      </c>
      <c r="H590" s="4">
        <v>2</v>
      </c>
      <c r="I590" s="4">
        <v>500</v>
      </c>
      <c r="J590" s="4">
        <v>1000</v>
      </c>
      <c r="K590" s="4" t="str" cm="1">
        <f t="array" ref="K590">_xlfn.IFS(AND(Table15678[[#This Row],[Total Amount]]&gt;=1500),"Critical",AND(Table15678[[#This Row],[Total Amount]]&gt;=1000),"High",TRUE,"Normal")</f>
        <v>High</v>
      </c>
      <c r="L590" s="4" t="str">
        <f>IF(Table15678[[#This Row],[Total Amount]]&gt;=1000,"High",(IF(Table15678[[#This Row],[Total Amount]]&gt;=500,"Medium","Low")))</f>
        <v>High</v>
      </c>
      <c r="M590" s="4" t="str" cm="1">
        <f t="array" ref="M59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90" s="4" cm="1">
        <f t="array" ref="N59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590" s="4">
        <f>Table15678[[#This Row],[Total Amount]]-Table15678[[#This Row],[Discount Amount]]</f>
        <v>800</v>
      </c>
      <c r="P590" s="4" t="str">
        <f>IF(Table15678[[#This Row],[Total Amount]]&gt;=1000,"High","Low")</f>
        <v>High</v>
      </c>
      <c r="Q590" s="4" t="str" cm="1">
        <f t="array" ref="Q590">_xlfn.IFS(AND(Table15678[[#This Row],[Total Amount]]&gt;=1500,"Critical"),AND(Table15678[[#This Row],[Total Amount]]&gt;=1000,"High"),TRUE,"Normal")</f>
        <v>Normal</v>
      </c>
      <c r="R590" s="4" t="str">
        <f>CONCATENATE(Table15678[[#This Row],[Customer ID]], "-",Table15678[[#This Row],[Age]])</f>
        <v>CUST589-36</v>
      </c>
      <c r="S590" s="4" t="str">
        <f>TEXT(Table15678[[#This Row],[Date]],"mmm")</f>
        <v>Apr</v>
      </c>
      <c r="T590" s="4" t="str">
        <f>TEXT(Table15678[[#This Row],[Date]],"DDD")</f>
        <v>Wed</v>
      </c>
    </row>
    <row r="591" spans="1:20" ht="29" x14ac:dyDescent="0.35">
      <c r="A591" s="4">
        <v>590</v>
      </c>
      <c r="B591" s="5">
        <v>45002</v>
      </c>
      <c r="C591" s="4" t="s">
        <v>603</v>
      </c>
      <c r="D591" s="4" t="s">
        <v>10</v>
      </c>
      <c r="E591" s="4">
        <v>36</v>
      </c>
      <c r="F591" s="4" t="str">
        <f>IF(Table15678[[#This Row],[Age]]&lt;=19,"Teenager",IF(Table15678[[#This Row],[Age]]&lt;=40,"Median","Old"))</f>
        <v>Median</v>
      </c>
      <c r="G591" s="4" t="s">
        <v>14</v>
      </c>
      <c r="H591" s="4">
        <v>3</v>
      </c>
      <c r="I591" s="4">
        <v>300</v>
      </c>
      <c r="J591" s="4">
        <v>900</v>
      </c>
      <c r="K591" s="4" t="str" cm="1">
        <f t="array" ref="K591">_xlfn.IFS(AND(Table15678[[#This Row],[Total Amount]]&gt;=1500),"Critical",AND(Table15678[[#This Row],[Total Amount]]&gt;=1000),"High",TRUE,"Normal")</f>
        <v>Normal</v>
      </c>
      <c r="L591" s="4" t="str">
        <f>IF(Table15678[[#This Row],[Total Amount]]&gt;=1000,"High",(IF(Table15678[[#This Row],[Total Amount]]&gt;=500,"Medium","Low")))</f>
        <v>Medium</v>
      </c>
      <c r="M591" s="4" t="str" cm="1">
        <f t="array" ref="M59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91" s="4" cm="1">
        <f t="array" ref="N59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591" s="4">
        <f>Table15678[[#This Row],[Total Amount]]-Table15678[[#This Row],[Discount Amount]]</f>
        <v>810</v>
      </c>
      <c r="P591" s="4" t="str">
        <f>IF(Table15678[[#This Row],[Total Amount]]&gt;=1000,"High","Low")</f>
        <v>Low</v>
      </c>
      <c r="Q591" s="4" t="str" cm="1">
        <f t="array" ref="Q591">_xlfn.IFS(AND(Table15678[[#This Row],[Total Amount]]&gt;=1500,"Critical"),AND(Table15678[[#This Row],[Total Amount]]&gt;=1000,"High"),TRUE,"Normal")</f>
        <v>Normal</v>
      </c>
      <c r="R591" s="4" t="str">
        <f>CONCATENATE(Table15678[[#This Row],[Customer ID]], "-",Table15678[[#This Row],[Age]])</f>
        <v>CUST590-36</v>
      </c>
      <c r="S591" s="4" t="str">
        <f>TEXT(Table15678[[#This Row],[Date]],"mmm")</f>
        <v>Mar</v>
      </c>
      <c r="T591" s="4" t="str">
        <f>TEXT(Table15678[[#This Row],[Date]],"DDD")</f>
        <v>Fri</v>
      </c>
    </row>
    <row r="592" spans="1:20" ht="29" x14ac:dyDescent="0.35">
      <c r="A592" s="4">
        <v>591</v>
      </c>
      <c r="B592" s="5">
        <v>44939</v>
      </c>
      <c r="C592" s="4" t="s">
        <v>604</v>
      </c>
      <c r="D592" s="4" t="s">
        <v>10</v>
      </c>
      <c r="E592" s="4">
        <v>53</v>
      </c>
      <c r="F592" s="4" t="str">
        <f>IF(Table15678[[#This Row],[Age]]&lt;=19,"Teenager",IF(Table15678[[#This Row],[Age]]&lt;=40,"Median","Old"))</f>
        <v>Old</v>
      </c>
      <c r="G592" s="4" t="s">
        <v>16</v>
      </c>
      <c r="H592" s="4">
        <v>4</v>
      </c>
      <c r="I592" s="4">
        <v>25</v>
      </c>
      <c r="J592" s="4">
        <v>100</v>
      </c>
      <c r="K592" s="4" t="str" cm="1">
        <f t="array" ref="K592">_xlfn.IFS(AND(Table15678[[#This Row],[Total Amount]]&gt;=1500),"Critical",AND(Table15678[[#This Row],[Total Amount]]&gt;=1000),"High",TRUE,"Normal")</f>
        <v>Normal</v>
      </c>
      <c r="L592" s="4" t="str">
        <f>IF(Table15678[[#This Row],[Total Amount]]&gt;=1000,"High",(IF(Table15678[[#This Row],[Total Amount]]&gt;=500,"Medium","Low")))</f>
        <v>Low</v>
      </c>
      <c r="M592" s="4" t="str" cm="1">
        <f t="array" ref="M59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92" s="4" cm="1">
        <f t="array" ref="N59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592" s="4">
        <f>Table15678[[#This Row],[Total Amount]]-Table15678[[#This Row],[Discount Amount]]</f>
        <v>90</v>
      </c>
      <c r="P592" s="4" t="str">
        <f>IF(Table15678[[#This Row],[Total Amount]]&gt;=1000,"High","Low")</f>
        <v>Low</v>
      </c>
      <c r="Q592" s="4" t="str" cm="1">
        <f t="array" ref="Q592">_xlfn.IFS(AND(Table15678[[#This Row],[Total Amount]]&gt;=1500,"Critical"),AND(Table15678[[#This Row],[Total Amount]]&gt;=1000,"High"),TRUE,"Normal")</f>
        <v>Normal</v>
      </c>
      <c r="R592" s="4" t="str">
        <f>CONCATENATE(Table15678[[#This Row],[Customer ID]], "-",Table15678[[#This Row],[Age]])</f>
        <v>CUST591-53</v>
      </c>
      <c r="S592" s="4" t="str">
        <f>TEXT(Table15678[[#This Row],[Date]],"mmm")</f>
        <v>Jan</v>
      </c>
      <c r="T592" s="4" t="str">
        <f>TEXT(Table15678[[#This Row],[Date]],"DDD")</f>
        <v>Fri</v>
      </c>
    </row>
    <row r="593" spans="1:20" ht="29" x14ac:dyDescent="0.35">
      <c r="A593" s="4">
        <v>592</v>
      </c>
      <c r="B593" s="5">
        <v>44950</v>
      </c>
      <c r="C593" s="4" t="s">
        <v>605</v>
      </c>
      <c r="D593" s="4" t="s">
        <v>13</v>
      </c>
      <c r="E593" s="4">
        <v>46</v>
      </c>
      <c r="F593" s="4" t="str">
        <f>IF(Table15678[[#This Row],[Age]]&lt;=19,"Teenager",IF(Table15678[[#This Row],[Age]]&lt;=40,"Median","Old"))</f>
        <v>Old</v>
      </c>
      <c r="G593" s="4" t="s">
        <v>11</v>
      </c>
      <c r="H593" s="4">
        <v>4</v>
      </c>
      <c r="I593" s="4">
        <v>500</v>
      </c>
      <c r="J593" s="4">
        <v>2000</v>
      </c>
      <c r="K593" s="4" t="str" cm="1">
        <f t="array" ref="K593">_xlfn.IFS(AND(Table15678[[#This Row],[Total Amount]]&gt;=1500),"Critical",AND(Table15678[[#This Row],[Total Amount]]&gt;=1000),"High",TRUE,"Normal")</f>
        <v>Critical</v>
      </c>
      <c r="L593" s="4" t="str">
        <f>IF(Table15678[[#This Row],[Total Amount]]&gt;=1000,"High",(IF(Table15678[[#This Row],[Total Amount]]&gt;=500,"Medium","Low")))</f>
        <v>High</v>
      </c>
      <c r="M593" s="4" t="str" cm="1">
        <f t="array" ref="M59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93" s="4" cm="1">
        <f t="array" ref="N59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400</v>
      </c>
      <c r="O593" s="4">
        <f>Table15678[[#This Row],[Total Amount]]-Table15678[[#This Row],[Discount Amount]]</f>
        <v>1600</v>
      </c>
      <c r="P593" s="4" t="str">
        <f>IF(Table15678[[#This Row],[Total Amount]]&gt;=1000,"High","Low")</f>
        <v>High</v>
      </c>
      <c r="Q593" s="4" t="b" cm="1">
        <f t="array" ref="Q593">_xlfn.IFS(AND(Table15678[[#This Row],[Total Amount]]&gt;=1500,"Critical"),AND(Table15678[[#This Row],[Total Amount]]&gt;=1000,"High"),TRUE,"Normal")</f>
        <v>1</v>
      </c>
      <c r="R593" s="4" t="str">
        <f>CONCATENATE(Table15678[[#This Row],[Customer ID]], "-",Table15678[[#This Row],[Age]])</f>
        <v>CUST592-46</v>
      </c>
      <c r="S593" s="4" t="str">
        <f>TEXT(Table15678[[#This Row],[Date]],"mmm")</f>
        <v>Jan</v>
      </c>
      <c r="T593" s="4" t="str">
        <f>TEXT(Table15678[[#This Row],[Date]],"DDD")</f>
        <v>Tue</v>
      </c>
    </row>
    <row r="594" spans="1:20" ht="29" x14ac:dyDescent="0.35">
      <c r="A594" s="4">
        <v>593</v>
      </c>
      <c r="B594" s="5">
        <v>45052</v>
      </c>
      <c r="C594" s="4" t="s">
        <v>606</v>
      </c>
      <c r="D594" s="4" t="s">
        <v>10</v>
      </c>
      <c r="E594" s="4">
        <v>35</v>
      </c>
      <c r="F594" s="4" t="str">
        <f>IF(Table15678[[#This Row],[Age]]&lt;=19,"Teenager",IF(Table15678[[#This Row],[Age]]&lt;=40,"Median","Old"))</f>
        <v>Median</v>
      </c>
      <c r="G594" s="4" t="s">
        <v>16</v>
      </c>
      <c r="H594" s="4">
        <v>2</v>
      </c>
      <c r="I594" s="4">
        <v>30</v>
      </c>
      <c r="J594" s="4">
        <v>60</v>
      </c>
      <c r="K594" s="4" t="str" cm="1">
        <f t="array" ref="K594">_xlfn.IFS(AND(Table15678[[#This Row],[Total Amount]]&gt;=1500),"Critical",AND(Table15678[[#This Row],[Total Amount]]&gt;=1000),"High",TRUE,"Normal")</f>
        <v>Normal</v>
      </c>
      <c r="L594" s="4" t="str">
        <f>IF(Table15678[[#This Row],[Total Amount]]&gt;=1000,"High",(IF(Table15678[[#This Row],[Total Amount]]&gt;=500,"Medium","Low")))</f>
        <v>Low</v>
      </c>
      <c r="M594" s="4" t="str" cm="1">
        <f t="array" ref="M59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94" s="4" cm="1">
        <f t="array" ref="N59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594" s="4">
        <f>Table15678[[#This Row],[Total Amount]]-Table15678[[#This Row],[Discount Amount]]</f>
        <v>54</v>
      </c>
      <c r="P594" s="4" t="str">
        <f>IF(Table15678[[#This Row],[Total Amount]]&gt;=1000,"High","Low")</f>
        <v>Low</v>
      </c>
      <c r="Q594" s="4" t="str" cm="1">
        <f t="array" ref="Q594">_xlfn.IFS(AND(Table15678[[#This Row],[Total Amount]]&gt;=1500,"Critical"),AND(Table15678[[#This Row],[Total Amount]]&gt;=1000,"High"),TRUE,"Normal")</f>
        <v>Normal</v>
      </c>
      <c r="R594" s="4" t="str">
        <f>CONCATENATE(Table15678[[#This Row],[Customer ID]], "-",Table15678[[#This Row],[Age]])</f>
        <v>CUST593-35</v>
      </c>
      <c r="S594" s="4" t="str">
        <f>TEXT(Table15678[[#This Row],[Date]],"mmm")</f>
        <v>May</v>
      </c>
      <c r="T594" s="4" t="str">
        <f>TEXT(Table15678[[#This Row],[Date]],"DDD")</f>
        <v>Sat</v>
      </c>
    </row>
    <row r="595" spans="1:20" ht="29" x14ac:dyDescent="0.35">
      <c r="A595" s="4">
        <v>594</v>
      </c>
      <c r="B595" s="5">
        <v>45170</v>
      </c>
      <c r="C595" s="4" t="s">
        <v>607</v>
      </c>
      <c r="D595" s="4" t="s">
        <v>13</v>
      </c>
      <c r="E595" s="4">
        <v>19</v>
      </c>
      <c r="F595" s="4" t="str">
        <f>IF(Table15678[[#This Row],[Age]]&lt;=19,"Teenager",IF(Table15678[[#This Row],[Age]]&lt;=40,"Median","Old"))</f>
        <v>Teenager</v>
      </c>
      <c r="G595" s="4" t="s">
        <v>16</v>
      </c>
      <c r="H595" s="4">
        <v>2</v>
      </c>
      <c r="I595" s="4">
        <v>300</v>
      </c>
      <c r="J595" s="4">
        <v>600</v>
      </c>
      <c r="K595" s="4" t="str" cm="1">
        <f t="array" ref="K595">_xlfn.IFS(AND(Table15678[[#This Row],[Total Amount]]&gt;=1500),"Critical",AND(Table15678[[#This Row],[Total Amount]]&gt;=1000),"High",TRUE,"Normal")</f>
        <v>Normal</v>
      </c>
      <c r="L595" s="4" t="str">
        <f>IF(Table15678[[#This Row],[Total Amount]]&gt;=1000,"High",(IF(Table15678[[#This Row],[Total Amount]]&gt;=500,"Medium","Low")))</f>
        <v>Medium</v>
      </c>
      <c r="M595" s="4" t="str" cm="1">
        <f t="array" ref="M59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595" s="4" cm="1">
        <f t="array" ref="N59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595" s="4">
        <f>Table15678[[#This Row],[Total Amount]]-Table15678[[#This Row],[Discount Amount]]</f>
        <v>600</v>
      </c>
      <c r="P595" s="4" t="str">
        <f>IF(Table15678[[#This Row],[Total Amount]]&gt;=1000,"High","Low")</f>
        <v>Low</v>
      </c>
      <c r="Q595" s="4" t="str" cm="1">
        <f t="array" ref="Q595">_xlfn.IFS(AND(Table15678[[#This Row],[Total Amount]]&gt;=1500,"Critical"),AND(Table15678[[#This Row],[Total Amount]]&gt;=1000,"High"),TRUE,"Normal")</f>
        <v>Normal</v>
      </c>
      <c r="R595" s="4" t="str">
        <f>CONCATENATE(Table15678[[#This Row],[Customer ID]], "-",Table15678[[#This Row],[Age]])</f>
        <v>CUST594-19</v>
      </c>
      <c r="S595" s="4" t="str">
        <f>TEXT(Table15678[[#This Row],[Date]],"mmm")</f>
        <v>Sep</v>
      </c>
      <c r="T595" s="4" t="str">
        <f>TEXT(Table15678[[#This Row],[Date]],"DDD")</f>
        <v>Fri</v>
      </c>
    </row>
    <row r="596" spans="1:20" ht="29" x14ac:dyDescent="0.35">
      <c r="A596" s="4">
        <v>595</v>
      </c>
      <c r="B596" s="5">
        <v>45239</v>
      </c>
      <c r="C596" s="4" t="s">
        <v>608</v>
      </c>
      <c r="D596" s="4" t="s">
        <v>13</v>
      </c>
      <c r="E596" s="4">
        <v>18</v>
      </c>
      <c r="F596" s="4" t="str">
        <f>IF(Table15678[[#This Row],[Age]]&lt;=19,"Teenager",IF(Table15678[[#This Row],[Age]]&lt;=40,"Median","Old"))</f>
        <v>Teenager</v>
      </c>
      <c r="G596" s="4" t="s">
        <v>14</v>
      </c>
      <c r="H596" s="4">
        <v>4</v>
      </c>
      <c r="I596" s="4">
        <v>500</v>
      </c>
      <c r="J596" s="4">
        <v>2000</v>
      </c>
      <c r="K596" s="4" t="str" cm="1">
        <f t="array" ref="K596">_xlfn.IFS(AND(Table15678[[#This Row],[Total Amount]]&gt;=1500),"Critical",AND(Table15678[[#This Row],[Total Amount]]&gt;=1000),"High",TRUE,"Normal")</f>
        <v>Critical</v>
      </c>
      <c r="L596" s="4" t="str">
        <f>IF(Table15678[[#This Row],[Total Amount]]&gt;=1000,"High",(IF(Table15678[[#This Row],[Total Amount]]&gt;=500,"Medium","Low")))</f>
        <v>High</v>
      </c>
      <c r="M596" s="4" t="str" cm="1">
        <f t="array" ref="M59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596" s="4" cm="1">
        <f t="array" ref="N59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596" s="4">
        <f>Table15678[[#This Row],[Total Amount]]-Table15678[[#This Row],[Discount Amount]]</f>
        <v>2000</v>
      </c>
      <c r="P596" s="4" t="str">
        <f>IF(Table15678[[#This Row],[Total Amount]]&gt;=1000,"High","Low")</f>
        <v>High</v>
      </c>
      <c r="Q596" s="4" t="b" cm="1">
        <f t="array" ref="Q596">_xlfn.IFS(AND(Table15678[[#This Row],[Total Amount]]&gt;=1500,"Critical"),AND(Table15678[[#This Row],[Total Amount]]&gt;=1000,"High"),TRUE,"Normal")</f>
        <v>1</v>
      </c>
      <c r="R596" s="4" t="str">
        <f>CONCATENATE(Table15678[[#This Row],[Customer ID]], "-",Table15678[[#This Row],[Age]])</f>
        <v>CUST595-18</v>
      </c>
      <c r="S596" s="4" t="str">
        <f>TEXT(Table15678[[#This Row],[Date]],"mmm")</f>
        <v>Nov</v>
      </c>
      <c r="T596" s="4" t="str">
        <f>TEXT(Table15678[[#This Row],[Date]],"DDD")</f>
        <v>Thu</v>
      </c>
    </row>
    <row r="597" spans="1:20" ht="29" x14ac:dyDescent="0.35">
      <c r="A597" s="4">
        <v>596</v>
      </c>
      <c r="B597" s="5">
        <v>44964</v>
      </c>
      <c r="C597" s="4" t="s">
        <v>609</v>
      </c>
      <c r="D597" s="4" t="s">
        <v>13</v>
      </c>
      <c r="E597" s="4">
        <v>64</v>
      </c>
      <c r="F597" s="4" t="str">
        <f>IF(Table15678[[#This Row],[Age]]&lt;=19,"Teenager",IF(Table15678[[#This Row],[Age]]&lt;=40,"Median","Old"))</f>
        <v>Old</v>
      </c>
      <c r="G597" s="4" t="s">
        <v>16</v>
      </c>
      <c r="H597" s="4">
        <v>1</v>
      </c>
      <c r="I597" s="4">
        <v>300</v>
      </c>
      <c r="J597" s="4">
        <v>300</v>
      </c>
      <c r="K597" s="4" t="str" cm="1">
        <f t="array" ref="K597">_xlfn.IFS(AND(Table15678[[#This Row],[Total Amount]]&gt;=1500),"Critical",AND(Table15678[[#This Row],[Total Amount]]&gt;=1000),"High",TRUE,"Normal")</f>
        <v>Normal</v>
      </c>
      <c r="L597" s="4" t="str">
        <f>IF(Table15678[[#This Row],[Total Amount]]&gt;=1000,"High",(IF(Table15678[[#This Row],[Total Amount]]&gt;=500,"Medium","Low")))</f>
        <v>Low</v>
      </c>
      <c r="M597" s="4" t="str" cm="1">
        <f t="array" ref="M59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97" s="4" cm="1">
        <f t="array" ref="N59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597" s="4">
        <f>Table15678[[#This Row],[Total Amount]]-Table15678[[#This Row],[Discount Amount]]</f>
        <v>240</v>
      </c>
      <c r="P597" s="4" t="str">
        <f>IF(Table15678[[#This Row],[Total Amount]]&gt;=1000,"High","Low")</f>
        <v>Low</v>
      </c>
      <c r="Q597" s="4" t="str" cm="1">
        <f t="array" ref="Q597">_xlfn.IFS(AND(Table15678[[#This Row],[Total Amount]]&gt;=1500,"Critical"),AND(Table15678[[#This Row],[Total Amount]]&gt;=1000,"High"),TRUE,"Normal")</f>
        <v>Normal</v>
      </c>
      <c r="R597" s="4" t="str">
        <f>CONCATENATE(Table15678[[#This Row],[Customer ID]], "-",Table15678[[#This Row],[Age]])</f>
        <v>CUST596-64</v>
      </c>
      <c r="S597" s="4" t="str">
        <f>TEXT(Table15678[[#This Row],[Date]],"mmm")</f>
        <v>Feb</v>
      </c>
      <c r="T597" s="4" t="str">
        <f>TEXT(Table15678[[#This Row],[Date]],"DDD")</f>
        <v>Tue</v>
      </c>
    </row>
    <row r="598" spans="1:20" ht="29" x14ac:dyDescent="0.35">
      <c r="A598" s="4">
        <v>597</v>
      </c>
      <c r="B598" s="5">
        <v>45160</v>
      </c>
      <c r="C598" s="4" t="s">
        <v>610</v>
      </c>
      <c r="D598" s="4" t="s">
        <v>10</v>
      </c>
      <c r="E598" s="4">
        <v>22</v>
      </c>
      <c r="F598" s="4" t="str">
        <f>IF(Table15678[[#This Row],[Age]]&lt;=19,"Teenager",IF(Table15678[[#This Row],[Age]]&lt;=40,"Median","Old"))</f>
        <v>Median</v>
      </c>
      <c r="G598" s="4" t="s">
        <v>11</v>
      </c>
      <c r="H598" s="4">
        <v>4</v>
      </c>
      <c r="I598" s="4">
        <v>300</v>
      </c>
      <c r="J598" s="4">
        <v>1200</v>
      </c>
      <c r="K598" s="4" t="str" cm="1">
        <f t="array" ref="K598">_xlfn.IFS(AND(Table15678[[#This Row],[Total Amount]]&gt;=1500),"Critical",AND(Table15678[[#This Row],[Total Amount]]&gt;=1000),"High",TRUE,"Normal")</f>
        <v>High</v>
      </c>
      <c r="L598" s="4" t="str">
        <f>IF(Table15678[[#This Row],[Total Amount]]&gt;=1000,"High",(IF(Table15678[[#This Row],[Total Amount]]&gt;=500,"Medium","Low")))</f>
        <v>High</v>
      </c>
      <c r="M598" s="4" t="str" cm="1">
        <f t="array" ref="M59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598" s="4" cm="1">
        <f t="array" ref="N59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598" s="4">
        <f>Table15678[[#This Row],[Total Amount]]-Table15678[[#This Row],[Discount Amount]]</f>
        <v>1200</v>
      </c>
      <c r="P598" s="4" t="str">
        <f>IF(Table15678[[#This Row],[Total Amount]]&gt;=1000,"High","Low")</f>
        <v>High</v>
      </c>
      <c r="Q598" s="4" t="str" cm="1">
        <f t="array" ref="Q598">_xlfn.IFS(AND(Table15678[[#This Row],[Total Amount]]&gt;=1500,"Critical"),AND(Table15678[[#This Row],[Total Amount]]&gt;=1000,"High"),TRUE,"Normal")</f>
        <v>Normal</v>
      </c>
      <c r="R598" s="4" t="str">
        <f>CONCATENATE(Table15678[[#This Row],[Customer ID]], "-",Table15678[[#This Row],[Age]])</f>
        <v>CUST597-22</v>
      </c>
      <c r="S598" s="4" t="str">
        <f>TEXT(Table15678[[#This Row],[Date]],"mmm")</f>
        <v>Aug</v>
      </c>
      <c r="T598" s="4" t="str">
        <f>TEXT(Table15678[[#This Row],[Date]],"DDD")</f>
        <v>Tue</v>
      </c>
    </row>
    <row r="599" spans="1:20" ht="29" x14ac:dyDescent="0.35">
      <c r="A599" s="4">
        <v>598</v>
      </c>
      <c r="B599" s="5">
        <v>45139</v>
      </c>
      <c r="C599" s="4" t="s">
        <v>611</v>
      </c>
      <c r="D599" s="4" t="s">
        <v>10</v>
      </c>
      <c r="E599" s="4">
        <v>37</v>
      </c>
      <c r="F599" s="4" t="str">
        <f>IF(Table15678[[#This Row],[Age]]&lt;=19,"Teenager",IF(Table15678[[#This Row],[Age]]&lt;=40,"Median","Old"))</f>
        <v>Median</v>
      </c>
      <c r="G599" s="4" t="s">
        <v>11</v>
      </c>
      <c r="H599" s="4">
        <v>4</v>
      </c>
      <c r="I599" s="4">
        <v>30</v>
      </c>
      <c r="J599" s="4">
        <v>120</v>
      </c>
      <c r="K599" s="4" t="str" cm="1">
        <f t="array" ref="K599">_xlfn.IFS(AND(Table15678[[#This Row],[Total Amount]]&gt;=1500),"Critical",AND(Table15678[[#This Row],[Total Amount]]&gt;=1000),"High",TRUE,"Normal")</f>
        <v>Normal</v>
      </c>
      <c r="L599" s="4" t="str">
        <f>IF(Table15678[[#This Row],[Total Amount]]&gt;=1000,"High",(IF(Table15678[[#This Row],[Total Amount]]&gt;=500,"Medium","Low")))</f>
        <v>Low</v>
      </c>
      <c r="M599" s="4" t="str" cm="1">
        <f t="array" ref="M59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599" s="4" cm="1">
        <f t="array" ref="N59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599" s="4">
        <f>Table15678[[#This Row],[Total Amount]]-Table15678[[#This Row],[Discount Amount]]</f>
        <v>108</v>
      </c>
      <c r="P599" s="4" t="str">
        <f>IF(Table15678[[#This Row],[Total Amount]]&gt;=1000,"High","Low")</f>
        <v>Low</v>
      </c>
      <c r="Q599" s="4" t="str" cm="1">
        <f t="array" ref="Q599">_xlfn.IFS(AND(Table15678[[#This Row],[Total Amount]]&gt;=1500,"Critical"),AND(Table15678[[#This Row],[Total Amount]]&gt;=1000,"High"),TRUE,"Normal")</f>
        <v>Normal</v>
      </c>
      <c r="R599" s="4" t="str">
        <f>CONCATENATE(Table15678[[#This Row],[Customer ID]], "-",Table15678[[#This Row],[Age]])</f>
        <v>CUST598-37</v>
      </c>
      <c r="S599" s="4" t="str">
        <f>TEXT(Table15678[[#This Row],[Date]],"mmm")</f>
        <v>Aug</v>
      </c>
      <c r="T599" s="4" t="str">
        <f>TEXT(Table15678[[#This Row],[Date]],"DDD")</f>
        <v>Tue</v>
      </c>
    </row>
    <row r="600" spans="1:20" ht="29" x14ac:dyDescent="0.35">
      <c r="A600" s="4">
        <v>599</v>
      </c>
      <c r="B600" s="5">
        <v>45249</v>
      </c>
      <c r="C600" s="4" t="s">
        <v>612</v>
      </c>
      <c r="D600" s="4" t="s">
        <v>13</v>
      </c>
      <c r="E600" s="4">
        <v>28</v>
      </c>
      <c r="F600" s="4" t="str">
        <f>IF(Table15678[[#This Row],[Age]]&lt;=19,"Teenager",IF(Table15678[[#This Row],[Age]]&lt;=40,"Median","Old"))</f>
        <v>Median</v>
      </c>
      <c r="G600" s="4" t="s">
        <v>11</v>
      </c>
      <c r="H600" s="4">
        <v>2</v>
      </c>
      <c r="I600" s="4">
        <v>50</v>
      </c>
      <c r="J600" s="4">
        <v>100</v>
      </c>
      <c r="K600" s="4" t="str" cm="1">
        <f t="array" ref="K600">_xlfn.IFS(AND(Table15678[[#This Row],[Total Amount]]&gt;=1500),"Critical",AND(Table15678[[#This Row],[Total Amount]]&gt;=1000),"High",TRUE,"Normal")</f>
        <v>Normal</v>
      </c>
      <c r="L600" s="4" t="str">
        <f>IF(Table15678[[#This Row],[Total Amount]]&gt;=1000,"High",(IF(Table15678[[#This Row],[Total Amount]]&gt;=500,"Medium","Low")))</f>
        <v>Low</v>
      </c>
      <c r="M600" s="4" t="str" cm="1">
        <f t="array" ref="M60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00" s="4" cm="1">
        <f t="array" ref="N60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600" s="4">
        <f>Table15678[[#This Row],[Total Amount]]-Table15678[[#This Row],[Discount Amount]]</f>
        <v>85</v>
      </c>
      <c r="P600" s="4" t="str">
        <f>IF(Table15678[[#This Row],[Total Amount]]&gt;=1000,"High","Low")</f>
        <v>Low</v>
      </c>
      <c r="Q600" s="4" t="str" cm="1">
        <f t="array" ref="Q600">_xlfn.IFS(AND(Table15678[[#This Row],[Total Amount]]&gt;=1500,"Critical"),AND(Table15678[[#This Row],[Total Amount]]&gt;=1000,"High"),TRUE,"Normal")</f>
        <v>Normal</v>
      </c>
      <c r="R600" s="4" t="str">
        <f>CONCATENATE(Table15678[[#This Row],[Customer ID]], "-",Table15678[[#This Row],[Age]])</f>
        <v>CUST599-28</v>
      </c>
      <c r="S600" s="4" t="str">
        <f>TEXT(Table15678[[#This Row],[Date]],"mmm")</f>
        <v>Nov</v>
      </c>
      <c r="T600" s="4" t="str">
        <f>TEXT(Table15678[[#This Row],[Date]],"DDD")</f>
        <v>Sun</v>
      </c>
    </row>
    <row r="601" spans="1:20" ht="29" x14ac:dyDescent="0.35">
      <c r="A601" s="4">
        <v>600</v>
      </c>
      <c r="B601" s="5">
        <v>45221</v>
      </c>
      <c r="C601" s="4" t="s">
        <v>613</v>
      </c>
      <c r="D601" s="4" t="s">
        <v>13</v>
      </c>
      <c r="E601" s="4">
        <v>59</v>
      </c>
      <c r="F601" s="4" t="str">
        <f>IF(Table15678[[#This Row],[Age]]&lt;=19,"Teenager",IF(Table15678[[#This Row],[Age]]&lt;=40,"Median","Old"))</f>
        <v>Old</v>
      </c>
      <c r="G601" s="4" t="s">
        <v>11</v>
      </c>
      <c r="H601" s="4">
        <v>2</v>
      </c>
      <c r="I601" s="4">
        <v>500</v>
      </c>
      <c r="J601" s="4">
        <v>1000</v>
      </c>
      <c r="K601" s="4" t="str" cm="1">
        <f t="array" ref="K601">_xlfn.IFS(AND(Table15678[[#This Row],[Total Amount]]&gt;=1500),"Critical",AND(Table15678[[#This Row],[Total Amount]]&gt;=1000),"High",TRUE,"Normal")</f>
        <v>High</v>
      </c>
      <c r="L601" s="4" t="str">
        <f>IF(Table15678[[#This Row],[Total Amount]]&gt;=1000,"High",(IF(Table15678[[#This Row],[Total Amount]]&gt;=500,"Medium","Low")))</f>
        <v>High</v>
      </c>
      <c r="M601" s="4" t="str" cm="1">
        <f t="array" ref="M60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01" s="4" cm="1">
        <f t="array" ref="N60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601" s="4">
        <f>Table15678[[#This Row],[Total Amount]]-Table15678[[#This Row],[Discount Amount]]</f>
        <v>800</v>
      </c>
      <c r="P601" s="4" t="str">
        <f>IF(Table15678[[#This Row],[Total Amount]]&gt;=1000,"High","Low")</f>
        <v>High</v>
      </c>
      <c r="Q601" s="4" t="str" cm="1">
        <f t="array" ref="Q601">_xlfn.IFS(AND(Table15678[[#This Row],[Total Amount]]&gt;=1500,"Critical"),AND(Table15678[[#This Row],[Total Amount]]&gt;=1000,"High"),TRUE,"Normal")</f>
        <v>Normal</v>
      </c>
      <c r="R601" s="4" t="str">
        <f>CONCATENATE(Table15678[[#This Row],[Customer ID]], "-",Table15678[[#This Row],[Age]])</f>
        <v>CUST600-59</v>
      </c>
      <c r="S601" s="4" t="str">
        <f>TEXT(Table15678[[#This Row],[Date]],"mmm")</f>
        <v>Oct</v>
      </c>
      <c r="T601" s="4" t="str">
        <f>TEXT(Table15678[[#This Row],[Date]],"DDD")</f>
        <v>Sun</v>
      </c>
    </row>
    <row r="602" spans="1:20" ht="29" x14ac:dyDescent="0.35">
      <c r="A602" s="4">
        <v>601</v>
      </c>
      <c r="B602" s="5">
        <v>45026</v>
      </c>
      <c r="C602" s="4" t="s">
        <v>614</v>
      </c>
      <c r="D602" s="4" t="s">
        <v>10</v>
      </c>
      <c r="E602" s="4">
        <v>19</v>
      </c>
      <c r="F602" s="4" t="str">
        <f>IF(Table15678[[#This Row],[Age]]&lt;=19,"Teenager",IF(Table15678[[#This Row],[Age]]&lt;=40,"Median","Old"))</f>
        <v>Teenager</v>
      </c>
      <c r="G602" s="4" t="s">
        <v>14</v>
      </c>
      <c r="H602" s="4">
        <v>1</v>
      </c>
      <c r="I602" s="4">
        <v>30</v>
      </c>
      <c r="J602" s="4">
        <v>30</v>
      </c>
      <c r="K602" s="4" t="str" cm="1">
        <f t="array" ref="K602">_xlfn.IFS(AND(Table15678[[#This Row],[Total Amount]]&gt;=1500),"Critical",AND(Table15678[[#This Row],[Total Amount]]&gt;=1000),"High",TRUE,"Normal")</f>
        <v>Normal</v>
      </c>
      <c r="L602" s="4" t="str">
        <f>IF(Table15678[[#This Row],[Total Amount]]&gt;=1000,"High",(IF(Table15678[[#This Row],[Total Amount]]&gt;=500,"Medium","Low")))</f>
        <v>Low</v>
      </c>
      <c r="M602" s="4" t="str" cm="1">
        <f t="array" ref="M60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602" s="4" cm="1">
        <f t="array" ref="N60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602" s="4">
        <f>Table15678[[#This Row],[Total Amount]]-Table15678[[#This Row],[Discount Amount]]</f>
        <v>30</v>
      </c>
      <c r="P602" s="4" t="str">
        <f>IF(Table15678[[#This Row],[Total Amount]]&gt;=1000,"High","Low")</f>
        <v>Low</v>
      </c>
      <c r="Q602" s="4" t="str" cm="1">
        <f t="array" ref="Q602">_xlfn.IFS(AND(Table15678[[#This Row],[Total Amount]]&gt;=1500,"Critical"),AND(Table15678[[#This Row],[Total Amount]]&gt;=1000,"High"),TRUE,"Normal")</f>
        <v>Normal</v>
      </c>
      <c r="R602" s="4" t="str">
        <f>CONCATENATE(Table15678[[#This Row],[Customer ID]], "-",Table15678[[#This Row],[Age]])</f>
        <v>CUST601-19</v>
      </c>
      <c r="S602" s="4" t="str">
        <f>TEXT(Table15678[[#This Row],[Date]],"mmm")</f>
        <v>Apr</v>
      </c>
      <c r="T602" s="4" t="str">
        <f>TEXT(Table15678[[#This Row],[Date]],"DDD")</f>
        <v>Mon</v>
      </c>
    </row>
    <row r="603" spans="1:20" ht="29" x14ac:dyDescent="0.35">
      <c r="A603" s="4">
        <v>602</v>
      </c>
      <c r="B603" s="5">
        <v>45283</v>
      </c>
      <c r="C603" s="4" t="s">
        <v>615</v>
      </c>
      <c r="D603" s="4" t="s">
        <v>13</v>
      </c>
      <c r="E603" s="4">
        <v>20</v>
      </c>
      <c r="F603" s="4" t="str">
        <f>IF(Table15678[[#This Row],[Age]]&lt;=19,"Teenager",IF(Table15678[[#This Row],[Age]]&lt;=40,"Median","Old"))</f>
        <v>Median</v>
      </c>
      <c r="G603" s="4" t="s">
        <v>16</v>
      </c>
      <c r="H603" s="4">
        <v>1</v>
      </c>
      <c r="I603" s="4">
        <v>300</v>
      </c>
      <c r="J603" s="4">
        <v>300</v>
      </c>
      <c r="K603" s="4" t="str" cm="1">
        <f t="array" ref="K603">_xlfn.IFS(AND(Table15678[[#This Row],[Total Amount]]&gt;=1500),"Critical",AND(Table15678[[#This Row],[Total Amount]]&gt;=1000),"High",TRUE,"Normal")</f>
        <v>Normal</v>
      </c>
      <c r="L603" s="4" t="str">
        <f>IF(Table15678[[#This Row],[Total Amount]]&gt;=1000,"High",(IF(Table15678[[#This Row],[Total Amount]]&gt;=500,"Medium","Low")))</f>
        <v>Low</v>
      </c>
      <c r="M603" s="4" t="str" cm="1">
        <f t="array" ref="M60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603" s="4" cm="1">
        <f t="array" ref="N60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603" s="4">
        <f>Table15678[[#This Row],[Total Amount]]-Table15678[[#This Row],[Discount Amount]]</f>
        <v>300</v>
      </c>
      <c r="P603" s="4" t="str">
        <f>IF(Table15678[[#This Row],[Total Amount]]&gt;=1000,"High","Low")</f>
        <v>Low</v>
      </c>
      <c r="Q603" s="4" t="str" cm="1">
        <f t="array" ref="Q603">_xlfn.IFS(AND(Table15678[[#This Row],[Total Amount]]&gt;=1500,"Critical"),AND(Table15678[[#This Row],[Total Amount]]&gt;=1000,"High"),TRUE,"Normal")</f>
        <v>Normal</v>
      </c>
      <c r="R603" s="4" t="str">
        <f>CONCATENATE(Table15678[[#This Row],[Customer ID]], "-",Table15678[[#This Row],[Age]])</f>
        <v>CUST602-20</v>
      </c>
      <c r="S603" s="4" t="str">
        <f>TEXT(Table15678[[#This Row],[Date]],"mmm")</f>
        <v>Dec</v>
      </c>
      <c r="T603" s="4" t="str">
        <f>TEXT(Table15678[[#This Row],[Date]],"DDD")</f>
        <v>Sat</v>
      </c>
    </row>
    <row r="604" spans="1:20" ht="29" x14ac:dyDescent="0.35">
      <c r="A604" s="4">
        <v>603</v>
      </c>
      <c r="B604" s="5">
        <v>45123</v>
      </c>
      <c r="C604" s="4" t="s">
        <v>616</v>
      </c>
      <c r="D604" s="4" t="s">
        <v>13</v>
      </c>
      <c r="E604" s="4">
        <v>40</v>
      </c>
      <c r="F604" s="4" t="str">
        <f>IF(Table15678[[#This Row],[Age]]&lt;=19,"Teenager",IF(Table15678[[#This Row],[Age]]&lt;=40,"Median","Old"))</f>
        <v>Median</v>
      </c>
      <c r="G604" s="4" t="s">
        <v>14</v>
      </c>
      <c r="H604" s="4">
        <v>3</v>
      </c>
      <c r="I604" s="4">
        <v>30</v>
      </c>
      <c r="J604" s="4">
        <v>90</v>
      </c>
      <c r="K604" s="4" t="str" cm="1">
        <f t="array" ref="K604">_xlfn.IFS(AND(Table15678[[#This Row],[Total Amount]]&gt;=1500),"Critical",AND(Table15678[[#This Row],[Total Amount]]&gt;=1000),"High",TRUE,"Normal")</f>
        <v>Normal</v>
      </c>
      <c r="L604" s="4" t="str">
        <f>IF(Table15678[[#This Row],[Total Amount]]&gt;=1000,"High",(IF(Table15678[[#This Row],[Total Amount]]&gt;=500,"Medium","Low")))</f>
        <v>Low</v>
      </c>
      <c r="M604" s="4" t="str" cm="1">
        <f t="array" ref="M60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04" s="4" cm="1">
        <f t="array" ref="N60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</v>
      </c>
      <c r="O604" s="4">
        <f>Table15678[[#This Row],[Total Amount]]-Table15678[[#This Row],[Discount Amount]]</f>
        <v>72</v>
      </c>
      <c r="P604" s="4" t="str">
        <f>IF(Table15678[[#This Row],[Total Amount]]&gt;=1000,"High","Low")</f>
        <v>Low</v>
      </c>
      <c r="Q604" s="4" t="str" cm="1">
        <f t="array" ref="Q604">_xlfn.IFS(AND(Table15678[[#This Row],[Total Amount]]&gt;=1500,"Critical"),AND(Table15678[[#This Row],[Total Amount]]&gt;=1000,"High"),TRUE,"Normal")</f>
        <v>Normal</v>
      </c>
      <c r="R604" s="4" t="str">
        <f>CONCATENATE(Table15678[[#This Row],[Customer ID]], "-",Table15678[[#This Row],[Age]])</f>
        <v>CUST603-40</v>
      </c>
      <c r="S604" s="4" t="str">
        <f>TEXT(Table15678[[#This Row],[Date]],"mmm")</f>
        <v>Jul</v>
      </c>
      <c r="T604" s="4" t="str">
        <f>TEXT(Table15678[[#This Row],[Date]],"DDD")</f>
        <v>Sun</v>
      </c>
    </row>
    <row r="605" spans="1:20" ht="29" x14ac:dyDescent="0.35">
      <c r="A605" s="4">
        <v>604</v>
      </c>
      <c r="B605" s="5">
        <v>45180</v>
      </c>
      <c r="C605" s="4" t="s">
        <v>617</v>
      </c>
      <c r="D605" s="4" t="s">
        <v>13</v>
      </c>
      <c r="E605" s="4">
        <v>29</v>
      </c>
      <c r="F605" s="4" t="str">
        <f>IF(Table15678[[#This Row],[Age]]&lt;=19,"Teenager",IF(Table15678[[#This Row],[Age]]&lt;=40,"Median","Old"))</f>
        <v>Median</v>
      </c>
      <c r="G605" s="4" t="s">
        <v>16</v>
      </c>
      <c r="H605" s="4">
        <v>4</v>
      </c>
      <c r="I605" s="4">
        <v>50</v>
      </c>
      <c r="J605" s="4">
        <v>200</v>
      </c>
      <c r="K605" s="4" t="str" cm="1">
        <f t="array" ref="K605">_xlfn.IFS(AND(Table15678[[#This Row],[Total Amount]]&gt;=1500),"Critical",AND(Table15678[[#This Row],[Total Amount]]&gt;=1000),"High",TRUE,"Normal")</f>
        <v>Normal</v>
      </c>
      <c r="L605" s="4" t="str">
        <f>IF(Table15678[[#This Row],[Total Amount]]&gt;=1000,"High",(IF(Table15678[[#This Row],[Total Amount]]&gt;=500,"Medium","Low")))</f>
        <v>Low</v>
      </c>
      <c r="M605" s="4" t="str" cm="1">
        <f t="array" ref="M60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05" s="4" cm="1">
        <f t="array" ref="N60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605" s="4">
        <f>Table15678[[#This Row],[Total Amount]]-Table15678[[#This Row],[Discount Amount]]</f>
        <v>170</v>
      </c>
      <c r="P605" s="4" t="str">
        <f>IF(Table15678[[#This Row],[Total Amount]]&gt;=1000,"High","Low")</f>
        <v>Low</v>
      </c>
      <c r="Q605" s="4" t="str" cm="1">
        <f t="array" ref="Q605">_xlfn.IFS(AND(Table15678[[#This Row],[Total Amount]]&gt;=1500,"Critical"),AND(Table15678[[#This Row],[Total Amount]]&gt;=1000,"High"),TRUE,"Normal")</f>
        <v>Normal</v>
      </c>
      <c r="R605" s="4" t="str">
        <f>CONCATENATE(Table15678[[#This Row],[Customer ID]], "-",Table15678[[#This Row],[Age]])</f>
        <v>CUST604-29</v>
      </c>
      <c r="S605" s="4" t="str">
        <f>TEXT(Table15678[[#This Row],[Date]],"mmm")</f>
        <v>Sep</v>
      </c>
      <c r="T605" s="4" t="str">
        <f>TEXT(Table15678[[#This Row],[Date]],"DDD")</f>
        <v>Mon</v>
      </c>
    </row>
    <row r="606" spans="1:20" ht="29" x14ac:dyDescent="0.35">
      <c r="A606" s="4">
        <v>605</v>
      </c>
      <c r="B606" s="5">
        <v>45131</v>
      </c>
      <c r="C606" s="4" t="s">
        <v>618</v>
      </c>
      <c r="D606" s="4" t="s">
        <v>10</v>
      </c>
      <c r="E606" s="4">
        <v>37</v>
      </c>
      <c r="F606" s="4" t="str">
        <f>IF(Table15678[[#This Row],[Age]]&lt;=19,"Teenager",IF(Table15678[[#This Row],[Age]]&lt;=40,"Median","Old"))</f>
        <v>Median</v>
      </c>
      <c r="G606" s="4" t="s">
        <v>16</v>
      </c>
      <c r="H606" s="4">
        <v>2</v>
      </c>
      <c r="I606" s="4">
        <v>500</v>
      </c>
      <c r="J606" s="4">
        <v>1000</v>
      </c>
      <c r="K606" s="4" t="str" cm="1">
        <f t="array" ref="K606">_xlfn.IFS(AND(Table15678[[#This Row],[Total Amount]]&gt;=1500),"Critical",AND(Table15678[[#This Row],[Total Amount]]&gt;=1000),"High",TRUE,"Normal")</f>
        <v>High</v>
      </c>
      <c r="L606" s="4" t="str">
        <f>IF(Table15678[[#This Row],[Total Amount]]&gt;=1000,"High",(IF(Table15678[[#This Row],[Total Amount]]&gt;=500,"Medium","Low")))</f>
        <v>High</v>
      </c>
      <c r="M606" s="4" t="str" cm="1">
        <f t="array" ref="M60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06" s="4" cm="1">
        <f t="array" ref="N60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606" s="4">
        <f>Table15678[[#This Row],[Total Amount]]-Table15678[[#This Row],[Discount Amount]]</f>
        <v>900</v>
      </c>
      <c r="P606" s="4" t="str">
        <f>IF(Table15678[[#This Row],[Total Amount]]&gt;=1000,"High","Low")</f>
        <v>High</v>
      </c>
      <c r="Q606" s="4" t="str" cm="1">
        <f t="array" ref="Q606">_xlfn.IFS(AND(Table15678[[#This Row],[Total Amount]]&gt;=1500,"Critical"),AND(Table15678[[#This Row],[Total Amount]]&gt;=1000,"High"),TRUE,"Normal")</f>
        <v>Normal</v>
      </c>
      <c r="R606" s="4" t="str">
        <f>CONCATENATE(Table15678[[#This Row],[Customer ID]], "-",Table15678[[#This Row],[Age]])</f>
        <v>CUST605-37</v>
      </c>
      <c r="S606" s="4" t="str">
        <f>TEXT(Table15678[[#This Row],[Date]],"mmm")</f>
        <v>Jul</v>
      </c>
      <c r="T606" s="4" t="str">
        <f>TEXT(Table15678[[#This Row],[Date]],"DDD")</f>
        <v>Mon</v>
      </c>
    </row>
    <row r="607" spans="1:20" ht="29" x14ac:dyDescent="0.35">
      <c r="A607" s="4">
        <v>606</v>
      </c>
      <c r="B607" s="5">
        <v>45051</v>
      </c>
      <c r="C607" s="4" t="s">
        <v>619</v>
      </c>
      <c r="D607" s="4" t="s">
        <v>10</v>
      </c>
      <c r="E607" s="4">
        <v>22</v>
      </c>
      <c r="F607" s="4" t="str">
        <f>IF(Table15678[[#This Row],[Age]]&lt;=19,"Teenager",IF(Table15678[[#This Row],[Age]]&lt;=40,"Median","Old"))</f>
        <v>Median</v>
      </c>
      <c r="G607" s="4" t="s">
        <v>16</v>
      </c>
      <c r="H607" s="4">
        <v>1</v>
      </c>
      <c r="I607" s="4">
        <v>50</v>
      </c>
      <c r="J607" s="4">
        <v>50</v>
      </c>
      <c r="K607" s="4" t="str" cm="1">
        <f t="array" ref="K607">_xlfn.IFS(AND(Table15678[[#This Row],[Total Amount]]&gt;=1500),"Critical",AND(Table15678[[#This Row],[Total Amount]]&gt;=1000),"High",TRUE,"Normal")</f>
        <v>Normal</v>
      </c>
      <c r="L607" s="4" t="str">
        <f>IF(Table15678[[#This Row],[Total Amount]]&gt;=1000,"High",(IF(Table15678[[#This Row],[Total Amount]]&gt;=500,"Medium","Low")))</f>
        <v>Low</v>
      </c>
      <c r="M607" s="4" t="str" cm="1">
        <f t="array" ref="M60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607" s="4" cm="1">
        <f t="array" ref="N60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607" s="4">
        <f>Table15678[[#This Row],[Total Amount]]-Table15678[[#This Row],[Discount Amount]]</f>
        <v>50</v>
      </c>
      <c r="P607" s="4" t="str">
        <f>IF(Table15678[[#This Row],[Total Amount]]&gt;=1000,"High","Low")</f>
        <v>Low</v>
      </c>
      <c r="Q607" s="4" t="str" cm="1">
        <f t="array" ref="Q607">_xlfn.IFS(AND(Table15678[[#This Row],[Total Amount]]&gt;=1500,"Critical"),AND(Table15678[[#This Row],[Total Amount]]&gt;=1000,"High"),TRUE,"Normal")</f>
        <v>Normal</v>
      </c>
      <c r="R607" s="4" t="str">
        <f>CONCATENATE(Table15678[[#This Row],[Customer ID]], "-",Table15678[[#This Row],[Age]])</f>
        <v>CUST606-22</v>
      </c>
      <c r="S607" s="4" t="str">
        <f>TEXT(Table15678[[#This Row],[Date]],"mmm")</f>
        <v>May</v>
      </c>
      <c r="T607" s="4" t="str">
        <f>TEXT(Table15678[[#This Row],[Date]],"DDD")</f>
        <v>Fri</v>
      </c>
    </row>
    <row r="608" spans="1:20" ht="29" x14ac:dyDescent="0.35">
      <c r="A608" s="4">
        <v>607</v>
      </c>
      <c r="B608" s="5">
        <v>45002</v>
      </c>
      <c r="C608" s="4" t="s">
        <v>620</v>
      </c>
      <c r="D608" s="4" t="s">
        <v>10</v>
      </c>
      <c r="E608" s="4">
        <v>54</v>
      </c>
      <c r="F608" s="4" t="str">
        <f>IF(Table15678[[#This Row],[Age]]&lt;=19,"Teenager",IF(Table15678[[#This Row],[Age]]&lt;=40,"Median","Old"))</f>
        <v>Old</v>
      </c>
      <c r="G608" s="4" t="s">
        <v>14</v>
      </c>
      <c r="H608" s="4">
        <v>3</v>
      </c>
      <c r="I608" s="4">
        <v>25</v>
      </c>
      <c r="J608" s="4">
        <v>75</v>
      </c>
      <c r="K608" s="4" t="str" cm="1">
        <f t="array" ref="K608">_xlfn.IFS(AND(Table15678[[#This Row],[Total Amount]]&gt;=1500),"Critical",AND(Table15678[[#This Row],[Total Amount]]&gt;=1000),"High",TRUE,"Normal")</f>
        <v>Normal</v>
      </c>
      <c r="L608" s="4" t="str">
        <f>IF(Table15678[[#This Row],[Total Amount]]&gt;=1000,"High",(IF(Table15678[[#This Row],[Total Amount]]&gt;=500,"Medium","Low")))</f>
        <v>Low</v>
      </c>
      <c r="M608" s="4" t="str" cm="1">
        <f t="array" ref="M60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08" s="4" cm="1">
        <f t="array" ref="N60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608" s="4">
        <f>Table15678[[#This Row],[Total Amount]]-Table15678[[#This Row],[Discount Amount]]</f>
        <v>67.5</v>
      </c>
      <c r="P608" s="4" t="str">
        <f>IF(Table15678[[#This Row],[Total Amount]]&gt;=1000,"High","Low")</f>
        <v>Low</v>
      </c>
      <c r="Q608" s="4" t="str" cm="1">
        <f t="array" ref="Q608">_xlfn.IFS(AND(Table15678[[#This Row],[Total Amount]]&gt;=1500,"Critical"),AND(Table15678[[#This Row],[Total Amount]]&gt;=1000,"High"),TRUE,"Normal")</f>
        <v>Normal</v>
      </c>
      <c r="R608" s="4" t="str">
        <f>CONCATENATE(Table15678[[#This Row],[Customer ID]], "-",Table15678[[#This Row],[Age]])</f>
        <v>CUST607-54</v>
      </c>
      <c r="S608" s="4" t="str">
        <f>TEXT(Table15678[[#This Row],[Date]],"mmm")</f>
        <v>Mar</v>
      </c>
      <c r="T608" s="4" t="str">
        <f>TEXT(Table15678[[#This Row],[Date]],"DDD")</f>
        <v>Fri</v>
      </c>
    </row>
    <row r="609" spans="1:20" ht="29" x14ac:dyDescent="0.35">
      <c r="A609" s="4">
        <v>608</v>
      </c>
      <c r="B609" s="5">
        <v>45262</v>
      </c>
      <c r="C609" s="4" t="s">
        <v>621</v>
      </c>
      <c r="D609" s="4" t="s">
        <v>13</v>
      </c>
      <c r="E609" s="4">
        <v>55</v>
      </c>
      <c r="F609" s="4" t="str">
        <f>IF(Table15678[[#This Row],[Age]]&lt;=19,"Teenager",IF(Table15678[[#This Row],[Age]]&lt;=40,"Median","Old"))</f>
        <v>Old</v>
      </c>
      <c r="G609" s="4" t="s">
        <v>16</v>
      </c>
      <c r="H609" s="4">
        <v>3</v>
      </c>
      <c r="I609" s="4">
        <v>500</v>
      </c>
      <c r="J609" s="4">
        <v>1500</v>
      </c>
      <c r="K609" s="4" t="str" cm="1">
        <f t="array" ref="K609">_xlfn.IFS(AND(Table15678[[#This Row],[Total Amount]]&gt;=1500),"Critical",AND(Table15678[[#This Row],[Total Amount]]&gt;=1000),"High",TRUE,"Normal")</f>
        <v>Critical</v>
      </c>
      <c r="L609" s="4" t="str">
        <f>IF(Table15678[[#This Row],[Total Amount]]&gt;=1000,"High",(IF(Table15678[[#This Row],[Total Amount]]&gt;=500,"Medium","Low")))</f>
        <v>High</v>
      </c>
      <c r="M609" s="4" t="str" cm="1">
        <f t="array" ref="M60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09" s="4" cm="1">
        <f t="array" ref="N60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609" s="4">
        <f>Table15678[[#This Row],[Total Amount]]-Table15678[[#This Row],[Discount Amount]]</f>
        <v>1200</v>
      </c>
      <c r="P609" s="4" t="str">
        <f>IF(Table15678[[#This Row],[Total Amount]]&gt;=1000,"High","Low")</f>
        <v>High</v>
      </c>
      <c r="Q609" s="4" t="b" cm="1">
        <f t="array" ref="Q609">_xlfn.IFS(AND(Table15678[[#This Row],[Total Amount]]&gt;=1500,"Critical"),AND(Table15678[[#This Row],[Total Amount]]&gt;=1000,"High"),TRUE,"Normal")</f>
        <v>1</v>
      </c>
      <c r="R609" s="4" t="str">
        <f>CONCATENATE(Table15678[[#This Row],[Customer ID]], "-",Table15678[[#This Row],[Age]])</f>
        <v>CUST608-55</v>
      </c>
      <c r="S609" s="4" t="str">
        <f>TEXT(Table15678[[#This Row],[Date]],"mmm")</f>
        <v>Dec</v>
      </c>
      <c r="T609" s="4" t="str">
        <f>TEXT(Table15678[[#This Row],[Date]],"DDD")</f>
        <v>Sat</v>
      </c>
    </row>
    <row r="610" spans="1:20" ht="29" x14ac:dyDescent="0.35">
      <c r="A610" s="4">
        <v>609</v>
      </c>
      <c r="B610" s="5">
        <v>45279</v>
      </c>
      <c r="C610" s="4" t="s">
        <v>622</v>
      </c>
      <c r="D610" s="4" t="s">
        <v>13</v>
      </c>
      <c r="E610" s="4">
        <v>47</v>
      </c>
      <c r="F610" s="4" t="str">
        <f>IF(Table15678[[#This Row],[Age]]&lt;=19,"Teenager",IF(Table15678[[#This Row],[Age]]&lt;=40,"Median","Old"))</f>
        <v>Old</v>
      </c>
      <c r="G610" s="4" t="s">
        <v>14</v>
      </c>
      <c r="H610" s="4">
        <v>2</v>
      </c>
      <c r="I610" s="4">
        <v>50</v>
      </c>
      <c r="J610" s="4">
        <v>100</v>
      </c>
      <c r="K610" s="4" t="str" cm="1">
        <f t="array" ref="K610">_xlfn.IFS(AND(Table15678[[#This Row],[Total Amount]]&gt;=1500),"Critical",AND(Table15678[[#This Row],[Total Amount]]&gt;=1000),"High",TRUE,"Normal")</f>
        <v>Normal</v>
      </c>
      <c r="L610" s="4" t="str">
        <f>IF(Table15678[[#This Row],[Total Amount]]&gt;=1000,"High",(IF(Table15678[[#This Row],[Total Amount]]&gt;=500,"Medium","Low")))</f>
        <v>Low</v>
      </c>
      <c r="M610" s="4" t="str" cm="1">
        <f t="array" ref="M61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10" s="4" cm="1">
        <f t="array" ref="N61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610" s="4">
        <f>Table15678[[#This Row],[Total Amount]]-Table15678[[#This Row],[Discount Amount]]</f>
        <v>80</v>
      </c>
      <c r="P610" s="4" t="str">
        <f>IF(Table15678[[#This Row],[Total Amount]]&gt;=1000,"High","Low")</f>
        <v>Low</v>
      </c>
      <c r="Q610" s="4" t="str" cm="1">
        <f t="array" ref="Q610">_xlfn.IFS(AND(Table15678[[#This Row],[Total Amount]]&gt;=1500,"Critical"),AND(Table15678[[#This Row],[Total Amount]]&gt;=1000,"High"),TRUE,"Normal")</f>
        <v>Normal</v>
      </c>
      <c r="R610" s="4" t="str">
        <f>CONCATENATE(Table15678[[#This Row],[Customer ID]], "-",Table15678[[#This Row],[Age]])</f>
        <v>CUST609-47</v>
      </c>
      <c r="S610" s="4" t="str">
        <f>TEXT(Table15678[[#This Row],[Date]],"mmm")</f>
        <v>Dec</v>
      </c>
      <c r="T610" s="4" t="str">
        <f>TEXT(Table15678[[#This Row],[Date]],"DDD")</f>
        <v>Tue</v>
      </c>
    </row>
    <row r="611" spans="1:20" ht="29" x14ac:dyDescent="0.35">
      <c r="A611" s="4">
        <v>610</v>
      </c>
      <c r="B611" s="5">
        <v>44929</v>
      </c>
      <c r="C611" s="4" t="s">
        <v>623</v>
      </c>
      <c r="D611" s="4" t="s">
        <v>13</v>
      </c>
      <c r="E611" s="4">
        <v>26</v>
      </c>
      <c r="F611" s="4" t="str">
        <f>IF(Table15678[[#This Row],[Age]]&lt;=19,"Teenager",IF(Table15678[[#This Row],[Age]]&lt;=40,"Median","Old"))</f>
        <v>Median</v>
      </c>
      <c r="G611" s="4" t="s">
        <v>11</v>
      </c>
      <c r="H611" s="4">
        <v>2</v>
      </c>
      <c r="I611" s="4">
        <v>300</v>
      </c>
      <c r="J611" s="4">
        <v>600</v>
      </c>
      <c r="K611" s="4" t="str" cm="1">
        <f t="array" ref="K611">_xlfn.IFS(AND(Table15678[[#This Row],[Total Amount]]&gt;=1500),"Critical",AND(Table15678[[#This Row],[Total Amount]]&gt;=1000),"High",TRUE,"Normal")</f>
        <v>Normal</v>
      </c>
      <c r="L611" s="4" t="str">
        <f>IF(Table15678[[#This Row],[Total Amount]]&gt;=1000,"High",(IF(Table15678[[#This Row],[Total Amount]]&gt;=500,"Medium","Low")))</f>
        <v>Medium</v>
      </c>
      <c r="M611" s="4" t="str" cm="1">
        <f t="array" ref="M61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11" s="4" cm="1">
        <f t="array" ref="N61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611" s="4">
        <f>Table15678[[#This Row],[Total Amount]]-Table15678[[#This Row],[Discount Amount]]</f>
        <v>510</v>
      </c>
      <c r="P611" s="4" t="str">
        <f>IF(Table15678[[#This Row],[Total Amount]]&gt;=1000,"High","Low")</f>
        <v>Low</v>
      </c>
      <c r="Q611" s="4" t="str" cm="1">
        <f t="array" ref="Q611">_xlfn.IFS(AND(Table15678[[#This Row],[Total Amount]]&gt;=1500,"Critical"),AND(Table15678[[#This Row],[Total Amount]]&gt;=1000,"High"),TRUE,"Normal")</f>
        <v>Normal</v>
      </c>
      <c r="R611" s="4" t="str">
        <f>CONCATENATE(Table15678[[#This Row],[Customer ID]], "-",Table15678[[#This Row],[Age]])</f>
        <v>CUST610-26</v>
      </c>
      <c r="S611" s="4" t="str">
        <f>TEXT(Table15678[[#This Row],[Date]],"mmm")</f>
        <v>Jan</v>
      </c>
      <c r="T611" s="4" t="str">
        <f>TEXT(Table15678[[#This Row],[Date]],"DDD")</f>
        <v>Tue</v>
      </c>
    </row>
    <row r="612" spans="1:20" ht="29" x14ac:dyDescent="0.35">
      <c r="A612" s="4">
        <v>611</v>
      </c>
      <c r="B612" s="5">
        <v>44981</v>
      </c>
      <c r="C612" s="4" t="s">
        <v>624</v>
      </c>
      <c r="D612" s="4" t="s">
        <v>10</v>
      </c>
      <c r="E612" s="4">
        <v>51</v>
      </c>
      <c r="F612" s="4" t="str">
        <f>IF(Table15678[[#This Row],[Age]]&lt;=19,"Teenager",IF(Table15678[[#This Row],[Age]]&lt;=40,"Median","Old"))</f>
        <v>Old</v>
      </c>
      <c r="G612" s="4" t="s">
        <v>11</v>
      </c>
      <c r="H612" s="4">
        <v>3</v>
      </c>
      <c r="I612" s="4">
        <v>500</v>
      </c>
      <c r="J612" s="4">
        <v>1500</v>
      </c>
      <c r="K612" s="4" t="str" cm="1">
        <f t="array" ref="K612">_xlfn.IFS(AND(Table15678[[#This Row],[Total Amount]]&gt;=1500),"Critical",AND(Table15678[[#This Row],[Total Amount]]&gt;=1000),"High",TRUE,"Normal")</f>
        <v>Critical</v>
      </c>
      <c r="L612" s="4" t="str">
        <f>IF(Table15678[[#This Row],[Total Amount]]&gt;=1000,"High",(IF(Table15678[[#This Row],[Total Amount]]&gt;=500,"Medium","Low")))</f>
        <v>High</v>
      </c>
      <c r="M612" s="4" t="str" cm="1">
        <f t="array" ref="M61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12" s="4" cm="1">
        <f t="array" ref="N61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150</v>
      </c>
      <c r="O612" s="4">
        <f>Table15678[[#This Row],[Total Amount]]-Table15678[[#This Row],[Discount Amount]]</f>
        <v>1350</v>
      </c>
      <c r="P612" s="4" t="str">
        <f>IF(Table15678[[#This Row],[Total Amount]]&gt;=1000,"High","Low")</f>
        <v>High</v>
      </c>
      <c r="Q612" s="4" t="b" cm="1">
        <f t="array" ref="Q612">_xlfn.IFS(AND(Table15678[[#This Row],[Total Amount]]&gt;=1500,"Critical"),AND(Table15678[[#This Row],[Total Amount]]&gt;=1000,"High"),TRUE,"Normal")</f>
        <v>1</v>
      </c>
      <c r="R612" s="4" t="str">
        <f>CONCATENATE(Table15678[[#This Row],[Customer ID]], "-",Table15678[[#This Row],[Age]])</f>
        <v>CUST611-51</v>
      </c>
      <c r="S612" s="4" t="str">
        <f>TEXT(Table15678[[#This Row],[Date]],"mmm")</f>
        <v>Feb</v>
      </c>
      <c r="T612" s="4" t="str">
        <f>TEXT(Table15678[[#This Row],[Date]],"DDD")</f>
        <v>Fri</v>
      </c>
    </row>
    <row r="613" spans="1:20" ht="29" x14ac:dyDescent="0.35">
      <c r="A613" s="4">
        <v>612</v>
      </c>
      <c r="B613" s="5">
        <v>45144</v>
      </c>
      <c r="C613" s="4" t="s">
        <v>625</v>
      </c>
      <c r="D613" s="4" t="s">
        <v>13</v>
      </c>
      <c r="E613" s="4">
        <v>61</v>
      </c>
      <c r="F613" s="4" t="str">
        <f>IF(Table15678[[#This Row],[Age]]&lt;=19,"Teenager",IF(Table15678[[#This Row],[Age]]&lt;=40,"Median","Old"))</f>
        <v>Old</v>
      </c>
      <c r="G613" s="4" t="s">
        <v>16</v>
      </c>
      <c r="H613" s="4">
        <v>1</v>
      </c>
      <c r="I613" s="4">
        <v>500</v>
      </c>
      <c r="J613" s="4">
        <v>500</v>
      </c>
      <c r="K613" s="4" t="str" cm="1">
        <f t="array" ref="K613">_xlfn.IFS(AND(Table15678[[#This Row],[Total Amount]]&gt;=1500),"Critical",AND(Table15678[[#This Row],[Total Amount]]&gt;=1000),"High",TRUE,"Normal")</f>
        <v>Normal</v>
      </c>
      <c r="L613" s="4" t="str">
        <f>IF(Table15678[[#This Row],[Total Amount]]&gt;=1000,"High",(IF(Table15678[[#This Row],[Total Amount]]&gt;=500,"Medium","Low")))</f>
        <v>Medium</v>
      </c>
      <c r="M613" s="4" t="str" cm="1">
        <f t="array" ref="M61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13" s="4" cm="1">
        <f t="array" ref="N61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613" s="4">
        <f>Table15678[[#This Row],[Total Amount]]-Table15678[[#This Row],[Discount Amount]]</f>
        <v>400</v>
      </c>
      <c r="P613" s="4" t="str">
        <f>IF(Table15678[[#This Row],[Total Amount]]&gt;=1000,"High","Low")</f>
        <v>Low</v>
      </c>
      <c r="Q613" s="4" t="str" cm="1">
        <f t="array" ref="Q613">_xlfn.IFS(AND(Table15678[[#This Row],[Total Amount]]&gt;=1500,"Critical"),AND(Table15678[[#This Row],[Total Amount]]&gt;=1000,"High"),TRUE,"Normal")</f>
        <v>Normal</v>
      </c>
      <c r="R613" s="4" t="str">
        <f>CONCATENATE(Table15678[[#This Row],[Customer ID]], "-",Table15678[[#This Row],[Age]])</f>
        <v>CUST612-61</v>
      </c>
      <c r="S613" s="4" t="str">
        <f>TEXT(Table15678[[#This Row],[Date]],"mmm")</f>
        <v>Aug</v>
      </c>
      <c r="T613" s="4" t="str">
        <f>TEXT(Table15678[[#This Row],[Date]],"DDD")</f>
        <v>Sun</v>
      </c>
    </row>
    <row r="614" spans="1:20" ht="29" x14ac:dyDescent="0.35">
      <c r="A614" s="4">
        <v>613</v>
      </c>
      <c r="B614" s="5">
        <v>45039</v>
      </c>
      <c r="C614" s="4" t="s">
        <v>626</v>
      </c>
      <c r="D614" s="4" t="s">
        <v>13</v>
      </c>
      <c r="E614" s="4">
        <v>52</v>
      </c>
      <c r="F614" s="4" t="str">
        <f>IF(Table15678[[#This Row],[Age]]&lt;=19,"Teenager",IF(Table15678[[#This Row],[Age]]&lt;=40,"Median","Old"))</f>
        <v>Old</v>
      </c>
      <c r="G614" s="4" t="s">
        <v>14</v>
      </c>
      <c r="H614" s="4">
        <v>3</v>
      </c>
      <c r="I614" s="4">
        <v>30</v>
      </c>
      <c r="J614" s="4">
        <v>90</v>
      </c>
      <c r="K614" s="4" t="str" cm="1">
        <f t="array" ref="K614">_xlfn.IFS(AND(Table15678[[#This Row],[Total Amount]]&gt;=1500),"Critical",AND(Table15678[[#This Row],[Total Amount]]&gt;=1000),"High",TRUE,"Normal")</f>
        <v>Normal</v>
      </c>
      <c r="L614" s="4" t="str">
        <f>IF(Table15678[[#This Row],[Total Amount]]&gt;=1000,"High",(IF(Table15678[[#This Row],[Total Amount]]&gt;=500,"Medium","Low")))</f>
        <v>Low</v>
      </c>
      <c r="M614" s="4" t="str" cm="1">
        <f t="array" ref="M61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14" s="4" cm="1">
        <f t="array" ref="N61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</v>
      </c>
      <c r="O614" s="4">
        <f>Table15678[[#This Row],[Total Amount]]-Table15678[[#This Row],[Discount Amount]]</f>
        <v>72</v>
      </c>
      <c r="P614" s="4" t="str">
        <f>IF(Table15678[[#This Row],[Total Amount]]&gt;=1000,"High","Low")</f>
        <v>Low</v>
      </c>
      <c r="Q614" s="4" t="str" cm="1">
        <f t="array" ref="Q614">_xlfn.IFS(AND(Table15678[[#This Row],[Total Amount]]&gt;=1500,"Critical"),AND(Table15678[[#This Row],[Total Amount]]&gt;=1000,"High"),TRUE,"Normal")</f>
        <v>Normal</v>
      </c>
      <c r="R614" s="4" t="str">
        <f>CONCATENATE(Table15678[[#This Row],[Customer ID]], "-",Table15678[[#This Row],[Age]])</f>
        <v>CUST613-52</v>
      </c>
      <c r="S614" s="4" t="str">
        <f>TEXT(Table15678[[#This Row],[Date]],"mmm")</f>
        <v>Apr</v>
      </c>
      <c r="T614" s="4" t="str">
        <f>TEXT(Table15678[[#This Row],[Date]],"DDD")</f>
        <v>Sun</v>
      </c>
    </row>
    <row r="615" spans="1:20" ht="29" x14ac:dyDescent="0.35">
      <c r="A615" s="4">
        <v>614</v>
      </c>
      <c r="B615" s="5">
        <v>45017</v>
      </c>
      <c r="C615" s="4" t="s">
        <v>627</v>
      </c>
      <c r="D615" s="4" t="s">
        <v>13</v>
      </c>
      <c r="E615" s="4">
        <v>39</v>
      </c>
      <c r="F615" s="4" t="str">
        <f>IF(Table15678[[#This Row],[Age]]&lt;=19,"Teenager",IF(Table15678[[#This Row],[Age]]&lt;=40,"Median","Old"))</f>
        <v>Median</v>
      </c>
      <c r="G615" s="4" t="s">
        <v>11</v>
      </c>
      <c r="H615" s="4">
        <v>4</v>
      </c>
      <c r="I615" s="4">
        <v>300</v>
      </c>
      <c r="J615" s="4">
        <v>1200</v>
      </c>
      <c r="K615" s="4" t="str" cm="1">
        <f t="array" ref="K615">_xlfn.IFS(AND(Table15678[[#This Row],[Total Amount]]&gt;=1500),"Critical",AND(Table15678[[#This Row],[Total Amount]]&gt;=1000),"High",TRUE,"Normal")</f>
        <v>High</v>
      </c>
      <c r="L615" s="4" t="str">
        <f>IF(Table15678[[#This Row],[Total Amount]]&gt;=1000,"High",(IF(Table15678[[#This Row],[Total Amount]]&gt;=500,"Medium","Low")))</f>
        <v>High</v>
      </c>
      <c r="M615" s="4" t="str" cm="1">
        <f t="array" ref="M61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15" s="4" cm="1">
        <f t="array" ref="N61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240</v>
      </c>
      <c r="O615" s="4">
        <f>Table15678[[#This Row],[Total Amount]]-Table15678[[#This Row],[Discount Amount]]</f>
        <v>960</v>
      </c>
      <c r="P615" s="4" t="str">
        <f>IF(Table15678[[#This Row],[Total Amount]]&gt;=1000,"High","Low")</f>
        <v>High</v>
      </c>
      <c r="Q615" s="4" t="str" cm="1">
        <f t="array" ref="Q615">_xlfn.IFS(AND(Table15678[[#This Row],[Total Amount]]&gt;=1500,"Critical"),AND(Table15678[[#This Row],[Total Amount]]&gt;=1000,"High"),TRUE,"Normal")</f>
        <v>Normal</v>
      </c>
      <c r="R615" s="4" t="str">
        <f>CONCATENATE(Table15678[[#This Row],[Customer ID]], "-",Table15678[[#This Row],[Age]])</f>
        <v>CUST614-39</v>
      </c>
      <c r="S615" s="4" t="str">
        <f>TEXT(Table15678[[#This Row],[Date]],"mmm")</f>
        <v>Apr</v>
      </c>
      <c r="T615" s="4" t="str">
        <f>TEXT(Table15678[[#This Row],[Date]],"DDD")</f>
        <v>Sat</v>
      </c>
    </row>
    <row r="616" spans="1:20" ht="29" x14ac:dyDescent="0.35">
      <c r="A616" s="4">
        <v>615</v>
      </c>
      <c r="B616" s="5">
        <v>45283</v>
      </c>
      <c r="C616" s="4" t="s">
        <v>628</v>
      </c>
      <c r="D616" s="4" t="s">
        <v>13</v>
      </c>
      <c r="E616" s="4">
        <v>61</v>
      </c>
      <c r="F616" s="4" t="str">
        <f>IF(Table15678[[#This Row],[Age]]&lt;=19,"Teenager",IF(Table15678[[#This Row],[Age]]&lt;=40,"Median","Old"))</f>
        <v>Old</v>
      </c>
      <c r="G616" s="4" t="s">
        <v>14</v>
      </c>
      <c r="H616" s="4">
        <v>4</v>
      </c>
      <c r="I616" s="4">
        <v>25</v>
      </c>
      <c r="J616" s="4">
        <v>100</v>
      </c>
      <c r="K616" s="4" t="str" cm="1">
        <f t="array" ref="K616">_xlfn.IFS(AND(Table15678[[#This Row],[Total Amount]]&gt;=1500),"Critical",AND(Table15678[[#This Row],[Total Amount]]&gt;=1000),"High",TRUE,"Normal")</f>
        <v>Normal</v>
      </c>
      <c r="L616" s="4" t="str">
        <f>IF(Table15678[[#This Row],[Total Amount]]&gt;=1000,"High",(IF(Table15678[[#This Row],[Total Amount]]&gt;=500,"Medium","Low")))</f>
        <v>Low</v>
      </c>
      <c r="M616" s="4" t="str" cm="1">
        <f t="array" ref="M61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16" s="4" cm="1">
        <f t="array" ref="N61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616" s="4">
        <f>Table15678[[#This Row],[Total Amount]]-Table15678[[#This Row],[Discount Amount]]</f>
        <v>80</v>
      </c>
      <c r="P616" s="4" t="str">
        <f>IF(Table15678[[#This Row],[Total Amount]]&gt;=1000,"High","Low")</f>
        <v>Low</v>
      </c>
      <c r="Q616" s="4" t="str" cm="1">
        <f t="array" ref="Q616">_xlfn.IFS(AND(Table15678[[#This Row],[Total Amount]]&gt;=1500,"Critical"),AND(Table15678[[#This Row],[Total Amount]]&gt;=1000,"High"),TRUE,"Normal")</f>
        <v>Normal</v>
      </c>
      <c r="R616" s="4" t="str">
        <f>CONCATENATE(Table15678[[#This Row],[Customer ID]], "-",Table15678[[#This Row],[Age]])</f>
        <v>CUST615-61</v>
      </c>
      <c r="S616" s="4" t="str">
        <f>TEXT(Table15678[[#This Row],[Date]],"mmm")</f>
        <v>Dec</v>
      </c>
      <c r="T616" s="4" t="str">
        <f>TEXT(Table15678[[#This Row],[Date]],"DDD")</f>
        <v>Sat</v>
      </c>
    </row>
    <row r="617" spans="1:20" ht="29" x14ac:dyDescent="0.35">
      <c r="A617" s="4">
        <v>616</v>
      </c>
      <c r="B617" s="5">
        <v>45192</v>
      </c>
      <c r="C617" s="4" t="s">
        <v>629</v>
      </c>
      <c r="D617" s="4" t="s">
        <v>10</v>
      </c>
      <c r="E617" s="4">
        <v>41</v>
      </c>
      <c r="F617" s="4" t="str">
        <f>IF(Table15678[[#This Row],[Age]]&lt;=19,"Teenager",IF(Table15678[[#This Row],[Age]]&lt;=40,"Median","Old"))</f>
        <v>Old</v>
      </c>
      <c r="G617" s="4" t="s">
        <v>14</v>
      </c>
      <c r="H617" s="4">
        <v>2</v>
      </c>
      <c r="I617" s="4">
        <v>50</v>
      </c>
      <c r="J617" s="4">
        <v>100</v>
      </c>
      <c r="K617" s="4" t="str" cm="1">
        <f t="array" ref="K617">_xlfn.IFS(AND(Table15678[[#This Row],[Total Amount]]&gt;=1500),"Critical",AND(Table15678[[#This Row],[Total Amount]]&gt;=1000),"High",TRUE,"Normal")</f>
        <v>Normal</v>
      </c>
      <c r="L617" s="4" t="str">
        <f>IF(Table15678[[#This Row],[Total Amount]]&gt;=1000,"High",(IF(Table15678[[#This Row],[Total Amount]]&gt;=500,"Medium","Low")))</f>
        <v>Low</v>
      </c>
      <c r="M617" s="4" t="str" cm="1">
        <f t="array" ref="M61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17" s="4" cm="1">
        <f t="array" ref="N61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617" s="4">
        <f>Table15678[[#This Row],[Total Amount]]-Table15678[[#This Row],[Discount Amount]]</f>
        <v>90</v>
      </c>
      <c r="P617" s="4" t="str">
        <f>IF(Table15678[[#This Row],[Total Amount]]&gt;=1000,"High","Low")</f>
        <v>Low</v>
      </c>
      <c r="Q617" s="4" t="str" cm="1">
        <f t="array" ref="Q617">_xlfn.IFS(AND(Table15678[[#This Row],[Total Amount]]&gt;=1500,"Critical"),AND(Table15678[[#This Row],[Total Amount]]&gt;=1000,"High"),TRUE,"Normal")</f>
        <v>Normal</v>
      </c>
      <c r="R617" s="4" t="str">
        <f>CONCATENATE(Table15678[[#This Row],[Customer ID]], "-",Table15678[[#This Row],[Age]])</f>
        <v>CUST616-41</v>
      </c>
      <c r="S617" s="4" t="str">
        <f>TEXT(Table15678[[#This Row],[Date]],"mmm")</f>
        <v>Sep</v>
      </c>
      <c r="T617" s="4" t="str">
        <f>TEXT(Table15678[[#This Row],[Date]],"DDD")</f>
        <v>Sat</v>
      </c>
    </row>
    <row r="618" spans="1:20" ht="29" x14ac:dyDescent="0.35">
      <c r="A618" s="4">
        <v>617</v>
      </c>
      <c r="B618" s="5">
        <v>45164</v>
      </c>
      <c r="C618" s="4" t="s">
        <v>630</v>
      </c>
      <c r="D618" s="4" t="s">
        <v>10</v>
      </c>
      <c r="E618" s="4">
        <v>34</v>
      </c>
      <c r="F618" s="4" t="str">
        <f>IF(Table15678[[#This Row],[Age]]&lt;=19,"Teenager",IF(Table15678[[#This Row],[Age]]&lt;=40,"Median","Old"))</f>
        <v>Median</v>
      </c>
      <c r="G618" s="4" t="s">
        <v>16</v>
      </c>
      <c r="H618" s="4">
        <v>1</v>
      </c>
      <c r="I618" s="4">
        <v>30</v>
      </c>
      <c r="J618" s="4">
        <v>30</v>
      </c>
      <c r="K618" s="4" t="str" cm="1">
        <f t="array" ref="K618">_xlfn.IFS(AND(Table15678[[#This Row],[Total Amount]]&gt;=1500),"Critical",AND(Table15678[[#This Row],[Total Amount]]&gt;=1000),"High",TRUE,"Normal")</f>
        <v>Normal</v>
      </c>
      <c r="L618" s="4" t="str">
        <f>IF(Table15678[[#This Row],[Total Amount]]&gt;=1000,"High",(IF(Table15678[[#This Row],[Total Amount]]&gt;=500,"Medium","Low")))</f>
        <v>Low</v>
      </c>
      <c r="M618" s="4" t="str" cm="1">
        <f t="array" ref="M61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18" s="4" cm="1">
        <f t="array" ref="N61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4.5</v>
      </c>
      <c r="O618" s="4">
        <f>Table15678[[#This Row],[Total Amount]]-Table15678[[#This Row],[Discount Amount]]</f>
        <v>25.5</v>
      </c>
      <c r="P618" s="4" t="str">
        <f>IF(Table15678[[#This Row],[Total Amount]]&gt;=1000,"High","Low")</f>
        <v>Low</v>
      </c>
      <c r="Q618" s="4" t="str" cm="1">
        <f t="array" ref="Q618">_xlfn.IFS(AND(Table15678[[#This Row],[Total Amount]]&gt;=1500,"Critical"),AND(Table15678[[#This Row],[Total Amount]]&gt;=1000,"High"),TRUE,"Normal")</f>
        <v>Normal</v>
      </c>
      <c r="R618" s="4" t="str">
        <f>CONCATENATE(Table15678[[#This Row],[Customer ID]], "-",Table15678[[#This Row],[Age]])</f>
        <v>CUST617-34</v>
      </c>
      <c r="S618" s="4" t="str">
        <f>TEXT(Table15678[[#This Row],[Date]],"mmm")</f>
        <v>Aug</v>
      </c>
      <c r="T618" s="4" t="str">
        <f>TEXT(Table15678[[#This Row],[Date]],"DDD")</f>
        <v>Sat</v>
      </c>
    </row>
    <row r="619" spans="1:20" ht="29" x14ac:dyDescent="0.35">
      <c r="A619" s="4">
        <v>618</v>
      </c>
      <c r="B619" s="5">
        <v>44952</v>
      </c>
      <c r="C619" s="4" t="s">
        <v>631</v>
      </c>
      <c r="D619" s="4" t="s">
        <v>13</v>
      </c>
      <c r="E619" s="4">
        <v>27</v>
      </c>
      <c r="F619" s="4" t="str">
        <f>IF(Table15678[[#This Row],[Age]]&lt;=19,"Teenager",IF(Table15678[[#This Row],[Age]]&lt;=40,"Median","Old"))</f>
        <v>Median</v>
      </c>
      <c r="G619" s="4" t="s">
        <v>11</v>
      </c>
      <c r="H619" s="4">
        <v>1</v>
      </c>
      <c r="I619" s="4">
        <v>50</v>
      </c>
      <c r="J619" s="4">
        <v>50</v>
      </c>
      <c r="K619" s="4" t="str" cm="1">
        <f t="array" ref="K619">_xlfn.IFS(AND(Table15678[[#This Row],[Total Amount]]&gt;=1500),"Critical",AND(Table15678[[#This Row],[Total Amount]]&gt;=1000),"High",TRUE,"Normal")</f>
        <v>Normal</v>
      </c>
      <c r="L619" s="4" t="str">
        <f>IF(Table15678[[#This Row],[Total Amount]]&gt;=1000,"High",(IF(Table15678[[#This Row],[Total Amount]]&gt;=500,"Medium","Low")))</f>
        <v>Low</v>
      </c>
      <c r="M619" s="4" t="str" cm="1">
        <f t="array" ref="M61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19" s="4" cm="1">
        <f t="array" ref="N61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619" s="4">
        <f>Table15678[[#This Row],[Total Amount]]-Table15678[[#This Row],[Discount Amount]]</f>
        <v>42.5</v>
      </c>
      <c r="P619" s="4" t="str">
        <f>IF(Table15678[[#This Row],[Total Amount]]&gt;=1000,"High","Low")</f>
        <v>Low</v>
      </c>
      <c r="Q619" s="4" t="str" cm="1">
        <f t="array" ref="Q619">_xlfn.IFS(AND(Table15678[[#This Row],[Total Amount]]&gt;=1500,"Critical"),AND(Table15678[[#This Row],[Total Amount]]&gt;=1000,"High"),TRUE,"Normal")</f>
        <v>Normal</v>
      </c>
      <c r="R619" s="4" t="str">
        <f>CONCATENATE(Table15678[[#This Row],[Customer ID]], "-",Table15678[[#This Row],[Age]])</f>
        <v>CUST618-27</v>
      </c>
      <c r="S619" s="4" t="str">
        <f>TEXT(Table15678[[#This Row],[Date]],"mmm")</f>
        <v>Jan</v>
      </c>
      <c r="T619" s="4" t="str">
        <f>TEXT(Table15678[[#This Row],[Date]],"DDD")</f>
        <v>Thu</v>
      </c>
    </row>
    <row r="620" spans="1:20" ht="29" x14ac:dyDescent="0.35">
      <c r="A620" s="4">
        <v>619</v>
      </c>
      <c r="B620" s="5">
        <v>45212</v>
      </c>
      <c r="C620" s="4" t="s">
        <v>632</v>
      </c>
      <c r="D620" s="4" t="s">
        <v>10</v>
      </c>
      <c r="E620" s="4">
        <v>47</v>
      </c>
      <c r="F620" s="4" t="str">
        <f>IF(Table15678[[#This Row],[Age]]&lt;=19,"Teenager",IF(Table15678[[#This Row],[Age]]&lt;=40,"Median","Old"))</f>
        <v>Old</v>
      </c>
      <c r="G620" s="4" t="s">
        <v>16</v>
      </c>
      <c r="H620" s="4">
        <v>4</v>
      </c>
      <c r="I620" s="4">
        <v>25</v>
      </c>
      <c r="J620" s="4">
        <v>100</v>
      </c>
      <c r="K620" s="4" t="str" cm="1">
        <f t="array" ref="K620">_xlfn.IFS(AND(Table15678[[#This Row],[Total Amount]]&gt;=1500),"Critical",AND(Table15678[[#This Row],[Total Amount]]&gt;=1000),"High",TRUE,"Normal")</f>
        <v>Normal</v>
      </c>
      <c r="L620" s="4" t="str">
        <f>IF(Table15678[[#This Row],[Total Amount]]&gt;=1000,"High",(IF(Table15678[[#This Row],[Total Amount]]&gt;=500,"Medium","Low")))</f>
        <v>Low</v>
      </c>
      <c r="M620" s="4" t="str" cm="1">
        <f t="array" ref="M62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20" s="4" cm="1">
        <f t="array" ref="N62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620" s="4">
        <f>Table15678[[#This Row],[Total Amount]]-Table15678[[#This Row],[Discount Amount]]</f>
        <v>90</v>
      </c>
      <c r="P620" s="4" t="str">
        <f>IF(Table15678[[#This Row],[Total Amount]]&gt;=1000,"High","Low")</f>
        <v>Low</v>
      </c>
      <c r="Q620" s="4" t="str" cm="1">
        <f t="array" ref="Q620">_xlfn.IFS(AND(Table15678[[#This Row],[Total Amount]]&gt;=1500,"Critical"),AND(Table15678[[#This Row],[Total Amount]]&gt;=1000,"High"),TRUE,"Normal")</f>
        <v>Normal</v>
      </c>
      <c r="R620" s="4" t="str">
        <f>CONCATENATE(Table15678[[#This Row],[Customer ID]], "-",Table15678[[#This Row],[Age]])</f>
        <v>CUST619-47</v>
      </c>
      <c r="S620" s="4" t="str">
        <f>TEXT(Table15678[[#This Row],[Date]],"mmm")</f>
        <v>Oct</v>
      </c>
      <c r="T620" s="4" t="str">
        <f>TEXT(Table15678[[#This Row],[Date]],"DDD")</f>
        <v>Fri</v>
      </c>
    </row>
    <row r="621" spans="1:20" ht="29" x14ac:dyDescent="0.35">
      <c r="A621" s="4">
        <v>620</v>
      </c>
      <c r="B621" s="5">
        <v>45054</v>
      </c>
      <c r="C621" s="4" t="s">
        <v>633</v>
      </c>
      <c r="D621" s="4" t="s">
        <v>10</v>
      </c>
      <c r="E621" s="4">
        <v>63</v>
      </c>
      <c r="F621" s="4" t="str">
        <f>IF(Table15678[[#This Row],[Age]]&lt;=19,"Teenager",IF(Table15678[[#This Row],[Age]]&lt;=40,"Median","Old"))</f>
        <v>Old</v>
      </c>
      <c r="G621" s="4" t="s">
        <v>16</v>
      </c>
      <c r="H621" s="4">
        <v>3</v>
      </c>
      <c r="I621" s="4">
        <v>25</v>
      </c>
      <c r="J621" s="4">
        <v>75</v>
      </c>
      <c r="K621" s="4" t="str" cm="1">
        <f t="array" ref="K621">_xlfn.IFS(AND(Table15678[[#This Row],[Total Amount]]&gt;=1500),"Critical",AND(Table15678[[#This Row],[Total Amount]]&gt;=1000),"High",TRUE,"Normal")</f>
        <v>Normal</v>
      </c>
      <c r="L621" s="4" t="str">
        <f>IF(Table15678[[#This Row],[Total Amount]]&gt;=1000,"High",(IF(Table15678[[#This Row],[Total Amount]]&gt;=500,"Medium","Low")))</f>
        <v>Low</v>
      </c>
      <c r="M621" s="4" t="str" cm="1">
        <f t="array" ref="M62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21" s="4" cm="1">
        <f t="array" ref="N62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621" s="4">
        <f>Table15678[[#This Row],[Total Amount]]-Table15678[[#This Row],[Discount Amount]]</f>
        <v>67.5</v>
      </c>
      <c r="P621" s="4" t="str">
        <f>IF(Table15678[[#This Row],[Total Amount]]&gt;=1000,"High","Low")</f>
        <v>Low</v>
      </c>
      <c r="Q621" s="4" t="str" cm="1">
        <f t="array" ref="Q621">_xlfn.IFS(AND(Table15678[[#This Row],[Total Amount]]&gt;=1500,"Critical"),AND(Table15678[[#This Row],[Total Amount]]&gt;=1000,"High"),TRUE,"Normal")</f>
        <v>Normal</v>
      </c>
      <c r="R621" s="4" t="str">
        <f>CONCATENATE(Table15678[[#This Row],[Customer ID]], "-",Table15678[[#This Row],[Age]])</f>
        <v>CUST620-63</v>
      </c>
      <c r="S621" s="4" t="str">
        <f>TEXT(Table15678[[#This Row],[Date]],"mmm")</f>
        <v>May</v>
      </c>
      <c r="T621" s="4" t="str">
        <f>TEXT(Table15678[[#This Row],[Date]],"DDD")</f>
        <v>Mon</v>
      </c>
    </row>
    <row r="622" spans="1:20" ht="29" x14ac:dyDescent="0.35">
      <c r="A622" s="4">
        <v>621</v>
      </c>
      <c r="B622" s="5">
        <v>44989</v>
      </c>
      <c r="C622" s="4" t="s">
        <v>634</v>
      </c>
      <c r="D622" s="4" t="s">
        <v>13</v>
      </c>
      <c r="E622" s="4">
        <v>40</v>
      </c>
      <c r="F622" s="4" t="str">
        <f>IF(Table15678[[#This Row],[Age]]&lt;=19,"Teenager",IF(Table15678[[#This Row],[Age]]&lt;=40,"Median","Old"))</f>
        <v>Median</v>
      </c>
      <c r="G622" s="4" t="s">
        <v>11</v>
      </c>
      <c r="H622" s="4">
        <v>2</v>
      </c>
      <c r="I622" s="4">
        <v>500</v>
      </c>
      <c r="J622" s="4">
        <v>1000</v>
      </c>
      <c r="K622" s="4" t="str" cm="1">
        <f t="array" ref="K622">_xlfn.IFS(AND(Table15678[[#This Row],[Total Amount]]&gt;=1500),"Critical",AND(Table15678[[#This Row],[Total Amount]]&gt;=1000),"High",TRUE,"Normal")</f>
        <v>High</v>
      </c>
      <c r="L622" s="4" t="str">
        <f>IF(Table15678[[#This Row],[Total Amount]]&gt;=1000,"High",(IF(Table15678[[#This Row],[Total Amount]]&gt;=500,"Medium","Low")))</f>
        <v>High</v>
      </c>
      <c r="M622" s="4" t="str" cm="1">
        <f t="array" ref="M62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22" s="4" cm="1">
        <f t="array" ref="N62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622" s="4">
        <f>Table15678[[#This Row],[Total Amount]]-Table15678[[#This Row],[Discount Amount]]</f>
        <v>800</v>
      </c>
      <c r="P622" s="4" t="str">
        <f>IF(Table15678[[#This Row],[Total Amount]]&gt;=1000,"High","Low")</f>
        <v>High</v>
      </c>
      <c r="Q622" s="4" t="str" cm="1">
        <f t="array" ref="Q622">_xlfn.IFS(AND(Table15678[[#This Row],[Total Amount]]&gt;=1500,"Critical"),AND(Table15678[[#This Row],[Total Amount]]&gt;=1000,"High"),TRUE,"Normal")</f>
        <v>Normal</v>
      </c>
      <c r="R622" s="4" t="str">
        <f>CONCATENATE(Table15678[[#This Row],[Customer ID]], "-",Table15678[[#This Row],[Age]])</f>
        <v>CUST621-40</v>
      </c>
      <c r="S622" s="4" t="str">
        <f>TEXT(Table15678[[#This Row],[Date]],"mmm")</f>
        <v>Mar</v>
      </c>
      <c r="T622" s="4" t="str">
        <f>TEXT(Table15678[[#This Row],[Date]],"DDD")</f>
        <v>Sat</v>
      </c>
    </row>
    <row r="623" spans="1:20" ht="29" x14ac:dyDescent="0.35">
      <c r="A623" s="4">
        <v>622</v>
      </c>
      <c r="B623" s="5">
        <v>45160</v>
      </c>
      <c r="C623" s="4" t="s">
        <v>635</v>
      </c>
      <c r="D623" s="4" t="s">
        <v>13</v>
      </c>
      <c r="E623" s="4">
        <v>49</v>
      </c>
      <c r="F623" s="4" t="str">
        <f>IF(Table15678[[#This Row],[Age]]&lt;=19,"Teenager",IF(Table15678[[#This Row],[Age]]&lt;=40,"Median","Old"))</f>
        <v>Old</v>
      </c>
      <c r="G623" s="4" t="s">
        <v>11</v>
      </c>
      <c r="H623" s="4">
        <v>3</v>
      </c>
      <c r="I623" s="4">
        <v>25</v>
      </c>
      <c r="J623" s="4">
        <v>75</v>
      </c>
      <c r="K623" s="4" t="str" cm="1">
        <f t="array" ref="K623">_xlfn.IFS(AND(Table15678[[#This Row],[Total Amount]]&gt;=1500),"Critical",AND(Table15678[[#This Row],[Total Amount]]&gt;=1000),"High",TRUE,"Normal")</f>
        <v>Normal</v>
      </c>
      <c r="L623" s="4" t="str">
        <f>IF(Table15678[[#This Row],[Total Amount]]&gt;=1000,"High",(IF(Table15678[[#This Row],[Total Amount]]&gt;=500,"Medium","Low")))</f>
        <v>Low</v>
      </c>
      <c r="M623" s="4" t="str" cm="1">
        <f t="array" ref="M62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23" s="4" cm="1">
        <f t="array" ref="N62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623" s="4">
        <f>Table15678[[#This Row],[Total Amount]]-Table15678[[#This Row],[Discount Amount]]</f>
        <v>60</v>
      </c>
      <c r="P623" s="4" t="str">
        <f>IF(Table15678[[#This Row],[Total Amount]]&gt;=1000,"High","Low")</f>
        <v>Low</v>
      </c>
      <c r="Q623" s="4" t="str" cm="1">
        <f t="array" ref="Q623">_xlfn.IFS(AND(Table15678[[#This Row],[Total Amount]]&gt;=1500,"Critical"),AND(Table15678[[#This Row],[Total Amount]]&gt;=1000,"High"),TRUE,"Normal")</f>
        <v>Normal</v>
      </c>
      <c r="R623" s="4" t="str">
        <f>CONCATENATE(Table15678[[#This Row],[Customer ID]], "-",Table15678[[#This Row],[Age]])</f>
        <v>CUST622-49</v>
      </c>
      <c r="S623" s="4" t="str">
        <f>TEXT(Table15678[[#This Row],[Date]],"mmm")</f>
        <v>Aug</v>
      </c>
      <c r="T623" s="4" t="str">
        <f>TEXT(Table15678[[#This Row],[Date]],"DDD")</f>
        <v>Tue</v>
      </c>
    </row>
    <row r="624" spans="1:20" ht="29" x14ac:dyDescent="0.35">
      <c r="A624" s="4">
        <v>623</v>
      </c>
      <c r="B624" s="5">
        <v>44995</v>
      </c>
      <c r="C624" s="4" t="s">
        <v>636</v>
      </c>
      <c r="D624" s="4" t="s">
        <v>10</v>
      </c>
      <c r="E624" s="4">
        <v>34</v>
      </c>
      <c r="F624" s="4" t="str">
        <f>IF(Table15678[[#This Row],[Age]]&lt;=19,"Teenager",IF(Table15678[[#This Row],[Age]]&lt;=40,"Median","Old"))</f>
        <v>Median</v>
      </c>
      <c r="G624" s="4" t="s">
        <v>14</v>
      </c>
      <c r="H624" s="4">
        <v>3</v>
      </c>
      <c r="I624" s="4">
        <v>50</v>
      </c>
      <c r="J624" s="4">
        <v>150</v>
      </c>
      <c r="K624" s="4" t="str" cm="1">
        <f t="array" ref="K624">_xlfn.IFS(AND(Table15678[[#This Row],[Total Amount]]&gt;=1500),"Critical",AND(Table15678[[#This Row],[Total Amount]]&gt;=1000),"High",TRUE,"Normal")</f>
        <v>Normal</v>
      </c>
      <c r="L624" s="4" t="str">
        <f>IF(Table15678[[#This Row],[Total Amount]]&gt;=1000,"High",(IF(Table15678[[#This Row],[Total Amount]]&gt;=500,"Medium","Low")))</f>
        <v>Low</v>
      </c>
      <c r="M624" s="4" t="str" cm="1">
        <f t="array" ref="M62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24" s="4" cm="1">
        <f t="array" ref="N62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22.5</v>
      </c>
      <c r="O624" s="4">
        <f>Table15678[[#This Row],[Total Amount]]-Table15678[[#This Row],[Discount Amount]]</f>
        <v>127.5</v>
      </c>
      <c r="P624" s="4" t="str">
        <f>IF(Table15678[[#This Row],[Total Amount]]&gt;=1000,"High","Low")</f>
        <v>Low</v>
      </c>
      <c r="Q624" s="4" t="str" cm="1">
        <f t="array" ref="Q624">_xlfn.IFS(AND(Table15678[[#This Row],[Total Amount]]&gt;=1500,"Critical"),AND(Table15678[[#This Row],[Total Amount]]&gt;=1000,"High"),TRUE,"Normal")</f>
        <v>Normal</v>
      </c>
      <c r="R624" s="4" t="str">
        <f>CONCATENATE(Table15678[[#This Row],[Customer ID]], "-",Table15678[[#This Row],[Age]])</f>
        <v>CUST623-34</v>
      </c>
      <c r="S624" s="4" t="str">
        <f>TEXT(Table15678[[#This Row],[Date]],"mmm")</f>
        <v>Mar</v>
      </c>
      <c r="T624" s="4" t="str">
        <f>TEXT(Table15678[[#This Row],[Date]],"DDD")</f>
        <v>Fri</v>
      </c>
    </row>
    <row r="625" spans="1:20" ht="29" x14ac:dyDescent="0.35">
      <c r="A625" s="4">
        <v>624</v>
      </c>
      <c r="B625" s="5">
        <v>45164</v>
      </c>
      <c r="C625" s="4" t="s">
        <v>637</v>
      </c>
      <c r="D625" s="4" t="s">
        <v>13</v>
      </c>
      <c r="E625" s="4">
        <v>34</v>
      </c>
      <c r="F625" s="4" t="str">
        <f>IF(Table15678[[#This Row],[Age]]&lt;=19,"Teenager",IF(Table15678[[#This Row],[Age]]&lt;=40,"Median","Old"))</f>
        <v>Median</v>
      </c>
      <c r="G625" s="4" t="s">
        <v>11</v>
      </c>
      <c r="H625" s="4">
        <v>3</v>
      </c>
      <c r="I625" s="4">
        <v>300</v>
      </c>
      <c r="J625" s="4">
        <v>900</v>
      </c>
      <c r="K625" s="4" t="str" cm="1">
        <f t="array" ref="K625">_xlfn.IFS(AND(Table15678[[#This Row],[Total Amount]]&gt;=1500),"Critical",AND(Table15678[[#This Row],[Total Amount]]&gt;=1000),"High",TRUE,"Normal")</f>
        <v>Normal</v>
      </c>
      <c r="L625" s="4" t="str">
        <f>IF(Table15678[[#This Row],[Total Amount]]&gt;=1000,"High",(IF(Table15678[[#This Row],[Total Amount]]&gt;=500,"Medium","Low")))</f>
        <v>Medium</v>
      </c>
      <c r="M625" s="4" t="str" cm="1">
        <f t="array" ref="M62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25" s="4" cm="1">
        <f t="array" ref="N62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135</v>
      </c>
      <c r="O625" s="4">
        <f>Table15678[[#This Row],[Total Amount]]-Table15678[[#This Row],[Discount Amount]]</f>
        <v>765</v>
      </c>
      <c r="P625" s="4" t="str">
        <f>IF(Table15678[[#This Row],[Total Amount]]&gt;=1000,"High","Low")</f>
        <v>Low</v>
      </c>
      <c r="Q625" s="4" t="str" cm="1">
        <f t="array" ref="Q625">_xlfn.IFS(AND(Table15678[[#This Row],[Total Amount]]&gt;=1500,"Critical"),AND(Table15678[[#This Row],[Total Amount]]&gt;=1000,"High"),TRUE,"Normal")</f>
        <v>Normal</v>
      </c>
      <c r="R625" s="4" t="str">
        <f>CONCATENATE(Table15678[[#This Row],[Customer ID]], "-",Table15678[[#This Row],[Age]])</f>
        <v>CUST624-34</v>
      </c>
      <c r="S625" s="4" t="str">
        <f>TEXT(Table15678[[#This Row],[Date]],"mmm")</f>
        <v>Aug</v>
      </c>
      <c r="T625" s="4" t="str">
        <f>TEXT(Table15678[[#This Row],[Date]],"DDD")</f>
        <v>Sat</v>
      </c>
    </row>
    <row r="626" spans="1:20" ht="29" x14ac:dyDescent="0.35">
      <c r="A626" s="4">
        <v>625</v>
      </c>
      <c r="B626" s="5">
        <v>45268</v>
      </c>
      <c r="C626" s="4" t="s">
        <v>638</v>
      </c>
      <c r="D626" s="4" t="s">
        <v>10</v>
      </c>
      <c r="E626" s="4">
        <v>31</v>
      </c>
      <c r="F626" s="4" t="str">
        <f>IF(Table15678[[#This Row],[Age]]&lt;=19,"Teenager",IF(Table15678[[#This Row],[Age]]&lt;=40,"Median","Old"))</f>
        <v>Median</v>
      </c>
      <c r="G626" s="4" t="s">
        <v>14</v>
      </c>
      <c r="H626" s="4">
        <v>1</v>
      </c>
      <c r="I626" s="4">
        <v>300</v>
      </c>
      <c r="J626" s="4">
        <v>300</v>
      </c>
      <c r="K626" s="4" t="str" cm="1">
        <f t="array" ref="K626">_xlfn.IFS(AND(Table15678[[#This Row],[Total Amount]]&gt;=1500),"Critical",AND(Table15678[[#This Row],[Total Amount]]&gt;=1000),"High",TRUE,"Normal")</f>
        <v>Normal</v>
      </c>
      <c r="L626" s="4" t="str">
        <f>IF(Table15678[[#This Row],[Total Amount]]&gt;=1000,"High",(IF(Table15678[[#This Row],[Total Amount]]&gt;=500,"Medium","Low")))</f>
        <v>Low</v>
      </c>
      <c r="M626" s="4" t="str" cm="1">
        <f t="array" ref="M62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26" s="4" cm="1">
        <f t="array" ref="N62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45</v>
      </c>
      <c r="O626" s="4">
        <f>Table15678[[#This Row],[Total Amount]]-Table15678[[#This Row],[Discount Amount]]</f>
        <v>255</v>
      </c>
      <c r="P626" s="4" t="str">
        <f>IF(Table15678[[#This Row],[Total Amount]]&gt;=1000,"High","Low")</f>
        <v>Low</v>
      </c>
      <c r="Q626" s="4" t="str" cm="1">
        <f t="array" ref="Q626">_xlfn.IFS(AND(Table15678[[#This Row],[Total Amount]]&gt;=1500,"Critical"),AND(Table15678[[#This Row],[Total Amount]]&gt;=1000,"High"),TRUE,"Normal")</f>
        <v>Normal</v>
      </c>
      <c r="R626" s="4" t="str">
        <f>CONCATENATE(Table15678[[#This Row],[Customer ID]], "-",Table15678[[#This Row],[Age]])</f>
        <v>CUST625-31</v>
      </c>
      <c r="S626" s="4" t="str">
        <f>TEXT(Table15678[[#This Row],[Date]],"mmm")</f>
        <v>Dec</v>
      </c>
      <c r="T626" s="4" t="str">
        <f>TEXT(Table15678[[#This Row],[Date]],"DDD")</f>
        <v>Fri</v>
      </c>
    </row>
    <row r="627" spans="1:20" ht="29" x14ac:dyDescent="0.35">
      <c r="A627" s="4">
        <v>626</v>
      </c>
      <c r="B627" s="5">
        <v>45198</v>
      </c>
      <c r="C627" s="4" t="s">
        <v>639</v>
      </c>
      <c r="D627" s="4" t="s">
        <v>13</v>
      </c>
      <c r="E627" s="4">
        <v>26</v>
      </c>
      <c r="F627" s="4" t="str">
        <f>IF(Table15678[[#This Row],[Age]]&lt;=19,"Teenager",IF(Table15678[[#This Row],[Age]]&lt;=40,"Median","Old"))</f>
        <v>Median</v>
      </c>
      <c r="G627" s="4" t="s">
        <v>14</v>
      </c>
      <c r="H627" s="4">
        <v>4</v>
      </c>
      <c r="I627" s="4">
        <v>500</v>
      </c>
      <c r="J627" s="4">
        <v>2000</v>
      </c>
      <c r="K627" s="4" t="str" cm="1">
        <f t="array" ref="K627">_xlfn.IFS(AND(Table15678[[#This Row],[Total Amount]]&gt;=1500),"Critical",AND(Table15678[[#This Row],[Total Amount]]&gt;=1000),"High",TRUE,"Normal")</f>
        <v>Critical</v>
      </c>
      <c r="L627" s="4" t="str">
        <f>IF(Table15678[[#This Row],[Total Amount]]&gt;=1000,"High",(IF(Table15678[[#This Row],[Total Amount]]&gt;=500,"Medium","Low")))</f>
        <v>High</v>
      </c>
      <c r="M627" s="4" t="str" cm="1">
        <f t="array" ref="M62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27" s="4" cm="1">
        <f t="array" ref="N62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627" s="4">
        <f>Table15678[[#This Row],[Total Amount]]-Table15678[[#This Row],[Discount Amount]]</f>
        <v>1700</v>
      </c>
      <c r="P627" s="4" t="str">
        <f>IF(Table15678[[#This Row],[Total Amount]]&gt;=1000,"High","Low")</f>
        <v>High</v>
      </c>
      <c r="Q627" s="4" t="b" cm="1">
        <f t="array" ref="Q627">_xlfn.IFS(AND(Table15678[[#This Row],[Total Amount]]&gt;=1500,"Critical"),AND(Table15678[[#This Row],[Total Amount]]&gt;=1000,"High"),TRUE,"Normal")</f>
        <v>1</v>
      </c>
      <c r="R627" s="4" t="str">
        <f>CONCATENATE(Table15678[[#This Row],[Customer ID]], "-",Table15678[[#This Row],[Age]])</f>
        <v>CUST626-26</v>
      </c>
      <c r="S627" s="4" t="str">
        <f>TEXT(Table15678[[#This Row],[Date]],"mmm")</f>
        <v>Sep</v>
      </c>
      <c r="T627" s="4" t="str">
        <f>TEXT(Table15678[[#This Row],[Date]],"DDD")</f>
        <v>Fri</v>
      </c>
    </row>
    <row r="628" spans="1:20" ht="29" x14ac:dyDescent="0.35">
      <c r="A628" s="4">
        <v>627</v>
      </c>
      <c r="B628" s="5">
        <v>45213</v>
      </c>
      <c r="C628" s="4" t="s">
        <v>640</v>
      </c>
      <c r="D628" s="4" t="s">
        <v>10</v>
      </c>
      <c r="E628" s="4">
        <v>57</v>
      </c>
      <c r="F628" s="4" t="str">
        <f>IF(Table15678[[#This Row],[Age]]&lt;=19,"Teenager",IF(Table15678[[#This Row],[Age]]&lt;=40,"Median","Old"))</f>
        <v>Old</v>
      </c>
      <c r="G628" s="4" t="s">
        <v>14</v>
      </c>
      <c r="H628" s="4">
        <v>1</v>
      </c>
      <c r="I628" s="4">
        <v>50</v>
      </c>
      <c r="J628" s="4">
        <v>50</v>
      </c>
      <c r="K628" s="4" t="str" cm="1">
        <f t="array" ref="K628">_xlfn.IFS(AND(Table15678[[#This Row],[Total Amount]]&gt;=1500),"Critical",AND(Table15678[[#This Row],[Total Amount]]&gt;=1000),"High",TRUE,"Normal")</f>
        <v>Normal</v>
      </c>
      <c r="L628" s="4" t="str">
        <f>IF(Table15678[[#This Row],[Total Amount]]&gt;=1000,"High",(IF(Table15678[[#This Row],[Total Amount]]&gt;=500,"Medium","Low")))</f>
        <v>Low</v>
      </c>
      <c r="M628" s="4" t="str" cm="1">
        <f t="array" ref="M62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28" s="4" cm="1">
        <f t="array" ref="N62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628" s="4">
        <f>Table15678[[#This Row],[Total Amount]]-Table15678[[#This Row],[Discount Amount]]</f>
        <v>45</v>
      </c>
      <c r="P628" s="4" t="str">
        <f>IF(Table15678[[#This Row],[Total Amount]]&gt;=1000,"High","Low")</f>
        <v>Low</v>
      </c>
      <c r="Q628" s="4" t="str" cm="1">
        <f t="array" ref="Q628">_xlfn.IFS(AND(Table15678[[#This Row],[Total Amount]]&gt;=1500,"Critical"),AND(Table15678[[#This Row],[Total Amount]]&gt;=1000,"High"),TRUE,"Normal")</f>
        <v>Normal</v>
      </c>
      <c r="R628" s="4" t="str">
        <f>CONCATENATE(Table15678[[#This Row],[Customer ID]], "-",Table15678[[#This Row],[Age]])</f>
        <v>CUST627-57</v>
      </c>
      <c r="S628" s="4" t="str">
        <f>TEXT(Table15678[[#This Row],[Date]],"mmm")</f>
        <v>Oct</v>
      </c>
      <c r="T628" s="4" t="str">
        <f>TEXT(Table15678[[#This Row],[Date]],"DDD")</f>
        <v>Sat</v>
      </c>
    </row>
    <row r="629" spans="1:20" ht="29" x14ac:dyDescent="0.35">
      <c r="A629" s="4">
        <v>628</v>
      </c>
      <c r="B629" s="5">
        <v>45231</v>
      </c>
      <c r="C629" s="4" t="s">
        <v>641</v>
      </c>
      <c r="D629" s="4" t="s">
        <v>13</v>
      </c>
      <c r="E629" s="4">
        <v>19</v>
      </c>
      <c r="F629" s="4" t="str">
        <f>IF(Table15678[[#This Row],[Age]]&lt;=19,"Teenager",IF(Table15678[[#This Row],[Age]]&lt;=40,"Median","Old"))</f>
        <v>Teenager</v>
      </c>
      <c r="G629" s="4" t="s">
        <v>11</v>
      </c>
      <c r="H629" s="4">
        <v>4</v>
      </c>
      <c r="I629" s="4">
        <v>50</v>
      </c>
      <c r="J629" s="4">
        <v>200</v>
      </c>
      <c r="K629" s="4" t="str" cm="1">
        <f t="array" ref="K629">_xlfn.IFS(AND(Table15678[[#This Row],[Total Amount]]&gt;=1500),"Critical",AND(Table15678[[#This Row],[Total Amount]]&gt;=1000),"High",TRUE,"Normal")</f>
        <v>Normal</v>
      </c>
      <c r="L629" s="4" t="str">
        <f>IF(Table15678[[#This Row],[Total Amount]]&gt;=1000,"High",(IF(Table15678[[#This Row],[Total Amount]]&gt;=500,"Medium","Low")))</f>
        <v>Low</v>
      </c>
      <c r="M629" s="4" t="str" cm="1">
        <f t="array" ref="M62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629" s="4" cm="1">
        <f t="array" ref="N62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629" s="4">
        <f>Table15678[[#This Row],[Total Amount]]-Table15678[[#This Row],[Discount Amount]]</f>
        <v>200</v>
      </c>
      <c r="P629" s="4" t="str">
        <f>IF(Table15678[[#This Row],[Total Amount]]&gt;=1000,"High","Low")</f>
        <v>Low</v>
      </c>
      <c r="Q629" s="4" t="str" cm="1">
        <f t="array" ref="Q629">_xlfn.IFS(AND(Table15678[[#This Row],[Total Amount]]&gt;=1500,"Critical"),AND(Table15678[[#This Row],[Total Amount]]&gt;=1000,"High"),TRUE,"Normal")</f>
        <v>Normal</v>
      </c>
      <c r="R629" s="4" t="str">
        <f>CONCATENATE(Table15678[[#This Row],[Customer ID]], "-",Table15678[[#This Row],[Age]])</f>
        <v>CUST628-19</v>
      </c>
      <c r="S629" s="4" t="str">
        <f>TEXT(Table15678[[#This Row],[Date]],"mmm")</f>
        <v>Nov</v>
      </c>
      <c r="T629" s="4" t="str">
        <f>TEXT(Table15678[[#This Row],[Date]],"DDD")</f>
        <v>Wed</v>
      </c>
    </row>
    <row r="630" spans="1:20" ht="29" x14ac:dyDescent="0.35">
      <c r="A630" s="4">
        <v>629</v>
      </c>
      <c r="B630" s="5">
        <v>45089</v>
      </c>
      <c r="C630" s="4" t="s">
        <v>642</v>
      </c>
      <c r="D630" s="4" t="s">
        <v>10</v>
      </c>
      <c r="E630" s="4">
        <v>62</v>
      </c>
      <c r="F630" s="4" t="str">
        <f>IF(Table15678[[#This Row],[Age]]&lt;=19,"Teenager",IF(Table15678[[#This Row],[Age]]&lt;=40,"Median","Old"))</f>
        <v>Old</v>
      </c>
      <c r="G630" s="4" t="s">
        <v>16</v>
      </c>
      <c r="H630" s="4">
        <v>2</v>
      </c>
      <c r="I630" s="4">
        <v>25</v>
      </c>
      <c r="J630" s="4">
        <v>50</v>
      </c>
      <c r="K630" s="4" t="str" cm="1">
        <f t="array" ref="K630">_xlfn.IFS(AND(Table15678[[#This Row],[Total Amount]]&gt;=1500),"Critical",AND(Table15678[[#This Row],[Total Amount]]&gt;=1000),"High",TRUE,"Normal")</f>
        <v>Normal</v>
      </c>
      <c r="L630" s="4" t="str">
        <f>IF(Table15678[[#This Row],[Total Amount]]&gt;=1000,"High",(IF(Table15678[[#This Row],[Total Amount]]&gt;=500,"Medium","Low")))</f>
        <v>Low</v>
      </c>
      <c r="M630" s="4" t="str" cm="1">
        <f t="array" ref="M63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30" s="4" cm="1">
        <f t="array" ref="N63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630" s="4">
        <f>Table15678[[#This Row],[Total Amount]]-Table15678[[#This Row],[Discount Amount]]</f>
        <v>45</v>
      </c>
      <c r="P630" s="4" t="str">
        <f>IF(Table15678[[#This Row],[Total Amount]]&gt;=1000,"High","Low")</f>
        <v>Low</v>
      </c>
      <c r="Q630" s="4" t="str" cm="1">
        <f t="array" ref="Q630">_xlfn.IFS(AND(Table15678[[#This Row],[Total Amount]]&gt;=1500,"Critical"),AND(Table15678[[#This Row],[Total Amount]]&gt;=1000,"High"),TRUE,"Normal")</f>
        <v>Normal</v>
      </c>
      <c r="R630" s="4" t="str">
        <f>CONCATENATE(Table15678[[#This Row],[Customer ID]], "-",Table15678[[#This Row],[Age]])</f>
        <v>CUST629-62</v>
      </c>
      <c r="S630" s="4" t="str">
        <f>TEXT(Table15678[[#This Row],[Date]],"mmm")</f>
        <v>Jun</v>
      </c>
      <c r="T630" s="4" t="str">
        <f>TEXT(Table15678[[#This Row],[Date]],"DDD")</f>
        <v>Mon</v>
      </c>
    </row>
    <row r="631" spans="1:20" ht="29" x14ac:dyDescent="0.35">
      <c r="A631" s="4">
        <v>630</v>
      </c>
      <c r="B631" s="5">
        <v>45153</v>
      </c>
      <c r="C631" s="4" t="s">
        <v>643</v>
      </c>
      <c r="D631" s="4" t="s">
        <v>10</v>
      </c>
      <c r="E631" s="4">
        <v>42</v>
      </c>
      <c r="F631" s="4" t="str">
        <f>IF(Table15678[[#This Row],[Age]]&lt;=19,"Teenager",IF(Table15678[[#This Row],[Age]]&lt;=40,"Median","Old"))</f>
        <v>Old</v>
      </c>
      <c r="G631" s="4" t="s">
        <v>14</v>
      </c>
      <c r="H631" s="4">
        <v>2</v>
      </c>
      <c r="I631" s="4">
        <v>50</v>
      </c>
      <c r="J631" s="4">
        <v>100</v>
      </c>
      <c r="K631" s="4" t="str" cm="1">
        <f t="array" ref="K631">_xlfn.IFS(AND(Table15678[[#This Row],[Total Amount]]&gt;=1500),"Critical",AND(Table15678[[#This Row],[Total Amount]]&gt;=1000),"High",TRUE,"Normal")</f>
        <v>Normal</v>
      </c>
      <c r="L631" s="4" t="str">
        <f>IF(Table15678[[#This Row],[Total Amount]]&gt;=1000,"High",(IF(Table15678[[#This Row],[Total Amount]]&gt;=500,"Medium","Low")))</f>
        <v>Low</v>
      </c>
      <c r="M631" s="4" t="str" cm="1">
        <f t="array" ref="M63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31" s="4" cm="1">
        <f t="array" ref="N63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631" s="4">
        <f>Table15678[[#This Row],[Total Amount]]-Table15678[[#This Row],[Discount Amount]]</f>
        <v>90</v>
      </c>
      <c r="P631" s="4" t="str">
        <f>IF(Table15678[[#This Row],[Total Amount]]&gt;=1000,"High","Low")</f>
        <v>Low</v>
      </c>
      <c r="Q631" s="4" t="str" cm="1">
        <f t="array" ref="Q631">_xlfn.IFS(AND(Table15678[[#This Row],[Total Amount]]&gt;=1500,"Critical"),AND(Table15678[[#This Row],[Total Amount]]&gt;=1000,"High"),TRUE,"Normal")</f>
        <v>Normal</v>
      </c>
      <c r="R631" s="4" t="str">
        <f>CONCATENATE(Table15678[[#This Row],[Customer ID]], "-",Table15678[[#This Row],[Age]])</f>
        <v>CUST630-42</v>
      </c>
      <c r="S631" s="4" t="str">
        <f>TEXT(Table15678[[#This Row],[Date]],"mmm")</f>
        <v>Aug</v>
      </c>
      <c r="T631" s="4" t="str">
        <f>TEXT(Table15678[[#This Row],[Date]],"DDD")</f>
        <v>Tue</v>
      </c>
    </row>
    <row r="632" spans="1:20" ht="29" x14ac:dyDescent="0.35">
      <c r="A632" s="4">
        <v>631</v>
      </c>
      <c r="B632" s="5">
        <v>45240</v>
      </c>
      <c r="C632" s="4" t="s">
        <v>644</v>
      </c>
      <c r="D632" s="4" t="s">
        <v>10</v>
      </c>
      <c r="E632" s="4">
        <v>56</v>
      </c>
      <c r="F632" s="4" t="str">
        <f>IF(Table15678[[#This Row],[Age]]&lt;=19,"Teenager",IF(Table15678[[#This Row],[Age]]&lt;=40,"Median","Old"))</f>
        <v>Old</v>
      </c>
      <c r="G632" s="4" t="s">
        <v>16</v>
      </c>
      <c r="H632" s="4">
        <v>3</v>
      </c>
      <c r="I632" s="4">
        <v>30</v>
      </c>
      <c r="J632" s="4">
        <v>90</v>
      </c>
      <c r="K632" s="4" t="str" cm="1">
        <f t="array" ref="K632">_xlfn.IFS(AND(Table15678[[#This Row],[Total Amount]]&gt;=1500),"Critical",AND(Table15678[[#This Row],[Total Amount]]&gt;=1000),"High",TRUE,"Normal")</f>
        <v>Normal</v>
      </c>
      <c r="L632" s="4" t="str">
        <f>IF(Table15678[[#This Row],[Total Amount]]&gt;=1000,"High",(IF(Table15678[[#This Row],[Total Amount]]&gt;=500,"Medium","Low")))</f>
        <v>Low</v>
      </c>
      <c r="M632" s="4" t="str" cm="1">
        <f t="array" ref="M63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32" s="4" cm="1">
        <f t="array" ref="N63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</v>
      </c>
      <c r="O632" s="4">
        <f>Table15678[[#This Row],[Total Amount]]-Table15678[[#This Row],[Discount Amount]]</f>
        <v>81</v>
      </c>
      <c r="P632" s="4" t="str">
        <f>IF(Table15678[[#This Row],[Total Amount]]&gt;=1000,"High","Low")</f>
        <v>Low</v>
      </c>
      <c r="Q632" s="4" t="str" cm="1">
        <f t="array" ref="Q632">_xlfn.IFS(AND(Table15678[[#This Row],[Total Amount]]&gt;=1500,"Critical"),AND(Table15678[[#This Row],[Total Amount]]&gt;=1000,"High"),TRUE,"Normal")</f>
        <v>Normal</v>
      </c>
      <c r="R632" s="4" t="str">
        <f>CONCATENATE(Table15678[[#This Row],[Customer ID]], "-",Table15678[[#This Row],[Age]])</f>
        <v>CUST631-56</v>
      </c>
      <c r="S632" s="4" t="str">
        <f>TEXT(Table15678[[#This Row],[Date]],"mmm")</f>
        <v>Nov</v>
      </c>
      <c r="T632" s="4" t="str">
        <f>TEXT(Table15678[[#This Row],[Date]],"DDD")</f>
        <v>Fri</v>
      </c>
    </row>
    <row r="633" spans="1:20" ht="29" x14ac:dyDescent="0.35">
      <c r="A633" s="4">
        <v>632</v>
      </c>
      <c r="B633" s="5">
        <v>45185</v>
      </c>
      <c r="C633" s="4" t="s">
        <v>645</v>
      </c>
      <c r="D633" s="4" t="s">
        <v>13</v>
      </c>
      <c r="E633" s="4">
        <v>26</v>
      </c>
      <c r="F633" s="4" t="str">
        <f>IF(Table15678[[#This Row],[Age]]&lt;=19,"Teenager",IF(Table15678[[#This Row],[Age]]&lt;=40,"Median","Old"))</f>
        <v>Median</v>
      </c>
      <c r="G633" s="4" t="s">
        <v>16</v>
      </c>
      <c r="H633" s="4">
        <v>4</v>
      </c>
      <c r="I633" s="4">
        <v>25</v>
      </c>
      <c r="J633" s="4">
        <v>100</v>
      </c>
      <c r="K633" s="4" t="str" cm="1">
        <f t="array" ref="K633">_xlfn.IFS(AND(Table15678[[#This Row],[Total Amount]]&gt;=1500),"Critical",AND(Table15678[[#This Row],[Total Amount]]&gt;=1000),"High",TRUE,"Normal")</f>
        <v>Normal</v>
      </c>
      <c r="L633" s="4" t="str">
        <f>IF(Table15678[[#This Row],[Total Amount]]&gt;=1000,"High",(IF(Table15678[[#This Row],[Total Amount]]&gt;=500,"Medium","Low")))</f>
        <v>Low</v>
      </c>
      <c r="M633" s="4" t="str" cm="1">
        <f t="array" ref="M63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33" s="4" cm="1">
        <f t="array" ref="N63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633" s="4">
        <f>Table15678[[#This Row],[Total Amount]]-Table15678[[#This Row],[Discount Amount]]</f>
        <v>85</v>
      </c>
      <c r="P633" s="4" t="str">
        <f>IF(Table15678[[#This Row],[Total Amount]]&gt;=1000,"High","Low")</f>
        <v>Low</v>
      </c>
      <c r="Q633" s="4" t="str" cm="1">
        <f t="array" ref="Q633">_xlfn.IFS(AND(Table15678[[#This Row],[Total Amount]]&gt;=1500,"Critical"),AND(Table15678[[#This Row],[Total Amount]]&gt;=1000,"High"),TRUE,"Normal")</f>
        <v>Normal</v>
      </c>
      <c r="R633" s="4" t="str">
        <f>CONCATENATE(Table15678[[#This Row],[Customer ID]], "-",Table15678[[#This Row],[Age]])</f>
        <v>CUST632-26</v>
      </c>
      <c r="S633" s="4" t="str">
        <f>TEXT(Table15678[[#This Row],[Date]],"mmm")</f>
        <v>Sep</v>
      </c>
      <c r="T633" s="4" t="str">
        <f>TEXT(Table15678[[#This Row],[Date]],"DDD")</f>
        <v>Sat</v>
      </c>
    </row>
    <row r="634" spans="1:20" ht="29" x14ac:dyDescent="0.35">
      <c r="A634" s="4">
        <v>633</v>
      </c>
      <c r="B634" s="5">
        <v>45145</v>
      </c>
      <c r="C634" s="4" t="s">
        <v>646</v>
      </c>
      <c r="D634" s="4" t="s">
        <v>10</v>
      </c>
      <c r="E634" s="4">
        <v>39</v>
      </c>
      <c r="F634" s="4" t="str">
        <f>IF(Table15678[[#This Row],[Age]]&lt;=19,"Teenager",IF(Table15678[[#This Row],[Age]]&lt;=40,"Median","Old"))</f>
        <v>Median</v>
      </c>
      <c r="G634" s="4" t="s">
        <v>11</v>
      </c>
      <c r="H634" s="4">
        <v>4</v>
      </c>
      <c r="I634" s="4">
        <v>30</v>
      </c>
      <c r="J634" s="4">
        <v>120</v>
      </c>
      <c r="K634" s="4" t="str" cm="1">
        <f t="array" ref="K634">_xlfn.IFS(AND(Table15678[[#This Row],[Total Amount]]&gt;=1500),"Critical",AND(Table15678[[#This Row],[Total Amount]]&gt;=1000),"High",TRUE,"Normal")</f>
        <v>Normal</v>
      </c>
      <c r="L634" s="4" t="str">
        <f>IF(Table15678[[#This Row],[Total Amount]]&gt;=1000,"High",(IF(Table15678[[#This Row],[Total Amount]]&gt;=500,"Medium","Low")))</f>
        <v>Low</v>
      </c>
      <c r="M634" s="4" t="str" cm="1">
        <f t="array" ref="M63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34" s="4" cm="1">
        <f t="array" ref="N63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634" s="4">
        <f>Table15678[[#This Row],[Total Amount]]-Table15678[[#This Row],[Discount Amount]]</f>
        <v>108</v>
      </c>
      <c r="P634" s="4" t="str">
        <f>IF(Table15678[[#This Row],[Total Amount]]&gt;=1000,"High","Low")</f>
        <v>Low</v>
      </c>
      <c r="Q634" s="4" t="str" cm="1">
        <f t="array" ref="Q634">_xlfn.IFS(AND(Table15678[[#This Row],[Total Amount]]&gt;=1500,"Critical"),AND(Table15678[[#This Row],[Total Amount]]&gt;=1000,"High"),TRUE,"Normal")</f>
        <v>Normal</v>
      </c>
      <c r="R634" s="4" t="str">
        <f>CONCATENATE(Table15678[[#This Row],[Customer ID]], "-",Table15678[[#This Row],[Age]])</f>
        <v>CUST633-39</v>
      </c>
      <c r="S634" s="4" t="str">
        <f>TEXT(Table15678[[#This Row],[Date]],"mmm")</f>
        <v>Aug</v>
      </c>
      <c r="T634" s="4" t="str">
        <f>TEXT(Table15678[[#This Row],[Date]],"DDD")</f>
        <v>Mon</v>
      </c>
    </row>
    <row r="635" spans="1:20" ht="29" x14ac:dyDescent="0.35">
      <c r="A635" s="4">
        <v>634</v>
      </c>
      <c r="B635" s="5">
        <v>45207</v>
      </c>
      <c r="C635" s="4" t="s">
        <v>647</v>
      </c>
      <c r="D635" s="4" t="s">
        <v>10</v>
      </c>
      <c r="E635" s="4">
        <v>60</v>
      </c>
      <c r="F635" s="4" t="str">
        <f>IF(Table15678[[#This Row],[Age]]&lt;=19,"Teenager",IF(Table15678[[#This Row],[Age]]&lt;=40,"Median","Old"))</f>
        <v>Old</v>
      </c>
      <c r="G635" s="4" t="s">
        <v>16</v>
      </c>
      <c r="H635" s="4">
        <v>4</v>
      </c>
      <c r="I635" s="4">
        <v>500</v>
      </c>
      <c r="J635" s="4">
        <v>2000</v>
      </c>
      <c r="K635" s="4" t="str" cm="1">
        <f t="array" ref="K635">_xlfn.IFS(AND(Table15678[[#This Row],[Total Amount]]&gt;=1500),"Critical",AND(Table15678[[#This Row],[Total Amount]]&gt;=1000),"High",TRUE,"Normal")</f>
        <v>Critical</v>
      </c>
      <c r="L635" s="4" t="str">
        <f>IF(Table15678[[#This Row],[Total Amount]]&gt;=1000,"High",(IF(Table15678[[#This Row],[Total Amount]]&gt;=500,"Medium","Low")))</f>
        <v>High</v>
      </c>
      <c r="M635" s="4" t="str" cm="1">
        <f t="array" ref="M63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35" s="4" cm="1">
        <f t="array" ref="N63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635" s="4">
        <f>Table15678[[#This Row],[Total Amount]]-Table15678[[#This Row],[Discount Amount]]</f>
        <v>1800</v>
      </c>
      <c r="P635" s="4" t="str">
        <f>IF(Table15678[[#This Row],[Total Amount]]&gt;=1000,"High","Low")</f>
        <v>High</v>
      </c>
      <c r="Q635" s="4" t="b" cm="1">
        <f t="array" ref="Q635">_xlfn.IFS(AND(Table15678[[#This Row],[Total Amount]]&gt;=1500,"Critical"),AND(Table15678[[#This Row],[Total Amount]]&gt;=1000,"High"),TRUE,"Normal")</f>
        <v>1</v>
      </c>
      <c r="R635" s="4" t="str">
        <f>CONCATENATE(Table15678[[#This Row],[Customer ID]], "-",Table15678[[#This Row],[Age]])</f>
        <v>CUST634-60</v>
      </c>
      <c r="S635" s="4" t="str">
        <f>TEXT(Table15678[[#This Row],[Date]],"mmm")</f>
        <v>Oct</v>
      </c>
      <c r="T635" s="4" t="str">
        <f>TEXT(Table15678[[#This Row],[Date]],"DDD")</f>
        <v>Sun</v>
      </c>
    </row>
    <row r="636" spans="1:20" ht="29" x14ac:dyDescent="0.35">
      <c r="A636" s="4">
        <v>635</v>
      </c>
      <c r="B636" s="5">
        <v>45155</v>
      </c>
      <c r="C636" s="4" t="s">
        <v>648</v>
      </c>
      <c r="D636" s="4" t="s">
        <v>13</v>
      </c>
      <c r="E636" s="4">
        <v>63</v>
      </c>
      <c r="F636" s="4" t="str">
        <f>IF(Table15678[[#This Row],[Age]]&lt;=19,"Teenager",IF(Table15678[[#This Row],[Age]]&lt;=40,"Median","Old"))</f>
        <v>Old</v>
      </c>
      <c r="G636" s="4" t="s">
        <v>16</v>
      </c>
      <c r="H636" s="4">
        <v>3</v>
      </c>
      <c r="I636" s="4">
        <v>300</v>
      </c>
      <c r="J636" s="4">
        <v>900</v>
      </c>
      <c r="K636" s="4" t="str" cm="1">
        <f t="array" ref="K636">_xlfn.IFS(AND(Table15678[[#This Row],[Total Amount]]&gt;=1500),"Critical",AND(Table15678[[#This Row],[Total Amount]]&gt;=1000),"High",TRUE,"Normal")</f>
        <v>Normal</v>
      </c>
      <c r="L636" s="4" t="str">
        <f>IF(Table15678[[#This Row],[Total Amount]]&gt;=1000,"High",(IF(Table15678[[#This Row],[Total Amount]]&gt;=500,"Medium","Low")))</f>
        <v>Medium</v>
      </c>
      <c r="M636" s="4" t="str" cm="1">
        <f t="array" ref="M63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36" s="4" cm="1">
        <f t="array" ref="N63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636" s="4">
        <f>Table15678[[#This Row],[Total Amount]]-Table15678[[#This Row],[Discount Amount]]</f>
        <v>720</v>
      </c>
      <c r="P636" s="4" t="str">
        <f>IF(Table15678[[#This Row],[Total Amount]]&gt;=1000,"High","Low")</f>
        <v>Low</v>
      </c>
      <c r="Q636" s="4" t="str" cm="1">
        <f t="array" ref="Q636">_xlfn.IFS(AND(Table15678[[#This Row],[Total Amount]]&gt;=1500,"Critical"),AND(Table15678[[#This Row],[Total Amount]]&gt;=1000,"High"),TRUE,"Normal")</f>
        <v>Normal</v>
      </c>
      <c r="R636" s="4" t="str">
        <f>CONCATENATE(Table15678[[#This Row],[Customer ID]], "-",Table15678[[#This Row],[Age]])</f>
        <v>CUST635-63</v>
      </c>
      <c r="S636" s="4" t="str">
        <f>TEXT(Table15678[[#This Row],[Date]],"mmm")</f>
        <v>Aug</v>
      </c>
      <c r="T636" s="4" t="str">
        <f>TEXT(Table15678[[#This Row],[Date]],"DDD")</f>
        <v>Thu</v>
      </c>
    </row>
    <row r="637" spans="1:20" ht="29" x14ac:dyDescent="0.35">
      <c r="A637" s="4">
        <v>636</v>
      </c>
      <c r="B637" s="5">
        <v>45008</v>
      </c>
      <c r="C637" s="4" t="s">
        <v>649</v>
      </c>
      <c r="D637" s="4" t="s">
        <v>13</v>
      </c>
      <c r="E637" s="4">
        <v>21</v>
      </c>
      <c r="F637" s="4" t="str">
        <f>IF(Table15678[[#This Row],[Age]]&lt;=19,"Teenager",IF(Table15678[[#This Row],[Age]]&lt;=40,"Median","Old"))</f>
        <v>Median</v>
      </c>
      <c r="G637" s="4" t="s">
        <v>11</v>
      </c>
      <c r="H637" s="4">
        <v>3</v>
      </c>
      <c r="I637" s="4">
        <v>500</v>
      </c>
      <c r="J637" s="4">
        <v>1500</v>
      </c>
      <c r="K637" s="4" t="str" cm="1">
        <f t="array" ref="K637">_xlfn.IFS(AND(Table15678[[#This Row],[Total Amount]]&gt;=1500),"Critical",AND(Table15678[[#This Row],[Total Amount]]&gt;=1000),"High",TRUE,"Normal")</f>
        <v>Critical</v>
      </c>
      <c r="L637" s="4" t="str">
        <f>IF(Table15678[[#This Row],[Total Amount]]&gt;=1000,"High",(IF(Table15678[[#This Row],[Total Amount]]&gt;=500,"Medium","Low")))</f>
        <v>High</v>
      </c>
      <c r="M637" s="4" t="str" cm="1">
        <f t="array" ref="M63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637" s="4" cm="1">
        <f t="array" ref="N63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637" s="4">
        <f>Table15678[[#This Row],[Total Amount]]-Table15678[[#This Row],[Discount Amount]]</f>
        <v>1500</v>
      </c>
      <c r="P637" s="4" t="str">
        <f>IF(Table15678[[#This Row],[Total Amount]]&gt;=1000,"High","Low")</f>
        <v>High</v>
      </c>
      <c r="Q637" s="4" t="b" cm="1">
        <f t="array" ref="Q637">_xlfn.IFS(AND(Table15678[[#This Row],[Total Amount]]&gt;=1500,"Critical"),AND(Table15678[[#This Row],[Total Amount]]&gt;=1000,"High"),TRUE,"Normal")</f>
        <v>1</v>
      </c>
      <c r="R637" s="4" t="str">
        <f>CONCATENATE(Table15678[[#This Row],[Customer ID]], "-",Table15678[[#This Row],[Age]])</f>
        <v>CUST636-21</v>
      </c>
      <c r="S637" s="4" t="str">
        <f>TEXT(Table15678[[#This Row],[Date]],"mmm")</f>
        <v>Mar</v>
      </c>
      <c r="T637" s="4" t="str">
        <f>TEXT(Table15678[[#This Row],[Date]],"DDD")</f>
        <v>Thu</v>
      </c>
    </row>
    <row r="638" spans="1:20" ht="29" x14ac:dyDescent="0.35">
      <c r="A638" s="4">
        <v>637</v>
      </c>
      <c r="B638" s="5">
        <v>45170</v>
      </c>
      <c r="C638" s="4" t="s">
        <v>650</v>
      </c>
      <c r="D638" s="4" t="s">
        <v>10</v>
      </c>
      <c r="E638" s="4">
        <v>43</v>
      </c>
      <c r="F638" s="4" t="str">
        <f>IF(Table15678[[#This Row],[Age]]&lt;=19,"Teenager",IF(Table15678[[#This Row],[Age]]&lt;=40,"Median","Old"))</f>
        <v>Old</v>
      </c>
      <c r="G638" s="4" t="s">
        <v>14</v>
      </c>
      <c r="H638" s="4">
        <v>2</v>
      </c>
      <c r="I638" s="4">
        <v>300</v>
      </c>
      <c r="J638" s="4">
        <v>600</v>
      </c>
      <c r="K638" s="4" t="str" cm="1">
        <f t="array" ref="K638">_xlfn.IFS(AND(Table15678[[#This Row],[Total Amount]]&gt;=1500),"Critical",AND(Table15678[[#This Row],[Total Amount]]&gt;=1000),"High",TRUE,"Normal")</f>
        <v>Normal</v>
      </c>
      <c r="L638" s="4" t="str">
        <f>IF(Table15678[[#This Row],[Total Amount]]&gt;=1000,"High",(IF(Table15678[[#This Row],[Total Amount]]&gt;=500,"Medium","Low")))</f>
        <v>Medium</v>
      </c>
      <c r="M638" s="4" t="str" cm="1">
        <f t="array" ref="M63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38" s="4" cm="1">
        <f t="array" ref="N63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638" s="4">
        <f>Table15678[[#This Row],[Total Amount]]-Table15678[[#This Row],[Discount Amount]]</f>
        <v>540</v>
      </c>
      <c r="P638" s="4" t="str">
        <f>IF(Table15678[[#This Row],[Total Amount]]&gt;=1000,"High","Low")</f>
        <v>Low</v>
      </c>
      <c r="Q638" s="4" t="str" cm="1">
        <f t="array" ref="Q638">_xlfn.IFS(AND(Table15678[[#This Row],[Total Amount]]&gt;=1500,"Critical"),AND(Table15678[[#This Row],[Total Amount]]&gt;=1000,"High"),TRUE,"Normal")</f>
        <v>Normal</v>
      </c>
      <c r="R638" s="4" t="str">
        <f>CONCATENATE(Table15678[[#This Row],[Customer ID]], "-",Table15678[[#This Row],[Age]])</f>
        <v>CUST637-43</v>
      </c>
      <c r="S638" s="4" t="str">
        <f>TEXT(Table15678[[#This Row],[Date]],"mmm")</f>
        <v>Sep</v>
      </c>
      <c r="T638" s="4" t="str">
        <f>TEXT(Table15678[[#This Row],[Date]],"DDD")</f>
        <v>Fri</v>
      </c>
    </row>
    <row r="639" spans="1:20" ht="29" x14ac:dyDescent="0.35">
      <c r="A639" s="4">
        <v>638</v>
      </c>
      <c r="B639" s="5">
        <v>45157</v>
      </c>
      <c r="C639" s="4" t="s">
        <v>651</v>
      </c>
      <c r="D639" s="4" t="s">
        <v>10</v>
      </c>
      <c r="E639" s="4">
        <v>46</v>
      </c>
      <c r="F639" s="4" t="str">
        <f>IF(Table15678[[#This Row],[Age]]&lt;=19,"Teenager",IF(Table15678[[#This Row],[Age]]&lt;=40,"Median","Old"))</f>
        <v>Old</v>
      </c>
      <c r="G639" s="4" t="s">
        <v>16</v>
      </c>
      <c r="H639" s="4">
        <v>1</v>
      </c>
      <c r="I639" s="4">
        <v>500</v>
      </c>
      <c r="J639" s="4">
        <v>500</v>
      </c>
      <c r="K639" s="4" t="str" cm="1">
        <f t="array" ref="K639">_xlfn.IFS(AND(Table15678[[#This Row],[Total Amount]]&gt;=1500),"Critical",AND(Table15678[[#This Row],[Total Amount]]&gt;=1000),"High",TRUE,"Normal")</f>
        <v>Normal</v>
      </c>
      <c r="L639" s="4" t="str">
        <f>IF(Table15678[[#This Row],[Total Amount]]&gt;=1000,"High",(IF(Table15678[[#This Row],[Total Amount]]&gt;=500,"Medium","Low")))</f>
        <v>Medium</v>
      </c>
      <c r="M639" s="4" t="str" cm="1">
        <f t="array" ref="M63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39" s="4" cm="1">
        <f t="array" ref="N63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50</v>
      </c>
      <c r="O639" s="4">
        <f>Table15678[[#This Row],[Total Amount]]-Table15678[[#This Row],[Discount Amount]]</f>
        <v>450</v>
      </c>
      <c r="P639" s="4" t="str">
        <f>IF(Table15678[[#This Row],[Total Amount]]&gt;=1000,"High","Low")</f>
        <v>Low</v>
      </c>
      <c r="Q639" s="4" t="str" cm="1">
        <f t="array" ref="Q639">_xlfn.IFS(AND(Table15678[[#This Row],[Total Amount]]&gt;=1500,"Critical"),AND(Table15678[[#This Row],[Total Amount]]&gt;=1000,"High"),TRUE,"Normal")</f>
        <v>Normal</v>
      </c>
      <c r="R639" s="4" t="str">
        <f>CONCATENATE(Table15678[[#This Row],[Customer ID]], "-",Table15678[[#This Row],[Age]])</f>
        <v>CUST638-46</v>
      </c>
      <c r="S639" s="4" t="str">
        <f>TEXT(Table15678[[#This Row],[Date]],"mmm")</f>
        <v>Aug</v>
      </c>
      <c r="T639" s="4" t="str">
        <f>TEXT(Table15678[[#This Row],[Date]],"DDD")</f>
        <v>Sat</v>
      </c>
    </row>
    <row r="640" spans="1:20" ht="29" x14ac:dyDescent="0.35">
      <c r="A640" s="4">
        <v>639</v>
      </c>
      <c r="B640" s="5">
        <v>45059</v>
      </c>
      <c r="C640" s="4" t="s">
        <v>652</v>
      </c>
      <c r="D640" s="4" t="s">
        <v>13</v>
      </c>
      <c r="E640" s="4">
        <v>62</v>
      </c>
      <c r="F640" s="4" t="str">
        <f>IF(Table15678[[#This Row],[Age]]&lt;=19,"Teenager",IF(Table15678[[#This Row],[Age]]&lt;=40,"Median","Old"))</f>
        <v>Old</v>
      </c>
      <c r="G640" s="4" t="s">
        <v>11</v>
      </c>
      <c r="H640" s="4">
        <v>4</v>
      </c>
      <c r="I640" s="4">
        <v>50</v>
      </c>
      <c r="J640" s="4">
        <v>200</v>
      </c>
      <c r="K640" s="4" t="str" cm="1">
        <f t="array" ref="K640">_xlfn.IFS(AND(Table15678[[#This Row],[Total Amount]]&gt;=1500),"Critical",AND(Table15678[[#This Row],[Total Amount]]&gt;=1000),"High",TRUE,"Normal")</f>
        <v>Normal</v>
      </c>
      <c r="L640" s="4" t="str">
        <f>IF(Table15678[[#This Row],[Total Amount]]&gt;=1000,"High",(IF(Table15678[[#This Row],[Total Amount]]&gt;=500,"Medium","Low")))</f>
        <v>Low</v>
      </c>
      <c r="M640" s="4" t="str" cm="1">
        <f t="array" ref="M64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40" s="4" cm="1">
        <f t="array" ref="N64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</v>
      </c>
      <c r="O640" s="4">
        <f>Table15678[[#This Row],[Total Amount]]-Table15678[[#This Row],[Discount Amount]]</f>
        <v>160</v>
      </c>
      <c r="P640" s="4" t="str">
        <f>IF(Table15678[[#This Row],[Total Amount]]&gt;=1000,"High","Low")</f>
        <v>Low</v>
      </c>
      <c r="Q640" s="4" t="str" cm="1">
        <f t="array" ref="Q640">_xlfn.IFS(AND(Table15678[[#This Row],[Total Amount]]&gt;=1500,"Critical"),AND(Table15678[[#This Row],[Total Amount]]&gt;=1000,"High"),TRUE,"Normal")</f>
        <v>Normal</v>
      </c>
      <c r="R640" s="4" t="str">
        <f>CONCATENATE(Table15678[[#This Row],[Customer ID]], "-",Table15678[[#This Row],[Age]])</f>
        <v>CUST639-62</v>
      </c>
      <c r="S640" s="4" t="str">
        <f>TEXT(Table15678[[#This Row],[Date]],"mmm")</f>
        <v>May</v>
      </c>
      <c r="T640" s="4" t="str">
        <f>TEXT(Table15678[[#This Row],[Date]],"DDD")</f>
        <v>Sat</v>
      </c>
    </row>
    <row r="641" spans="1:20" ht="29" x14ac:dyDescent="0.35">
      <c r="A641" s="4">
        <v>640</v>
      </c>
      <c r="B641" s="5">
        <v>45053</v>
      </c>
      <c r="C641" s="4" t="s">
        <v>653</v>
      </c>
      <c r="D641" s="4" t="s">
        <v>13</v>
      </c>
      <c r="E641" s="4">
        <v>51</v>
      </c>
      <c r="F641" s="4" t="str">
        <f>IF(Table15678[[#This Row],[Age]]&lt;=19,"Teenager",IF(Table15678[[#This Row],[Age]]&lt;=40,"Median","Old"))</f>
        <v>Old</v>
      </c>
      <c r="G641" s="4" t="s">
        <v>16</v>
      </c>
      <c r="H641" s="4">
        <v>4</v>
      </c>
      <c r="I641" s="4">
        <v>30</v>
      </c>
      <c r="J641" s="4">
        <v>120</v>
      </c>
      <c r="K641" s="4" t="str" cm="1">
        <f t="array" ref="K641">_xlfn.IFS(AND(Table15678[[#This Row],[Total Amount]]&gt;=1500),"Critical",AND(Table15678[[#This Row],[Total Amount]]&gt;=1000),"High",TRUE,"Normal")</f>
        <v>Normal</v>
      </c>
      <c r="L641" s="4" t="str">
        <f>IF(Table15678[[#This Row],[Total Amount]]&gt;=1000,"High",(IF(Table15678[[#This Row],[Total Amount]]&gt;=500,"Medium","Low")))</f>
        <v>Low</v>
      </c>
      <c r="M641" s="4" t="str" cm="1">
        <f t="array" ref="M64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41" s="4" cm="1">
        <f t="array" ref="N64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</v>
      </c>
      <c r="O641" s="4">
        <f>Table15678[[#This Row],[Total Amount]]-Table15678[[#This Row],[Discount Amount]]</f>
        <v>96</v>
      </c>
      <c r="P641" s="4" t="str">
        <f>IF(Table15678[[#This Row],[Total Amount]]&gt;=1000,"High","Low")</f>
        <v>Low</v>
      </c>
      <c r="Q641" s="4" t="str" cm="1">
        <f t="array" ref="Q641">_xlfn.IFS(AND(Table15678[[#This Row],[Total Amount]]&gt;=1500,"Critical"),AND(Table15678[[#This Row],[Total Amount]]&gt;=1000,"High"),TRUE,"Normal")</f>
        <v>Normal</v>
      </c>
      <c r="R641" s="4" t="str">
        <f>CONCATENATE(Table15678[[#This Row],[Customer ID]], "-",Table15678[[#This Row],[Age]])</f>
        <v>CUST640-51</v>
      </c>
      <c r="S641" s="4" t="str">
        <f>TEXT(Table15678[[#This Row],[Date]],"mmm")</f>
        <v>May</v>
      </c>
      <c r="T641" s="4" t="str">
        <f>TEXT(Table15678[[#This Row],[Date]],"DDD")</f>
        <v>Sun</v>
      </c>
    </row>
    <row r="642" spans="1:20" ht="29" x14ac:dyDescent="0.35">
      <c r="A642" s="4">
        <v>641</v>
      </c>
      <c r="B642" s="5">
        <v>45253</v>
      </c>
      <c r="C642" s="4" t="s">
        <v>654</v>
      </c>
      <c r="D642" s="4" t="s">
        <v>13</v>
      </c>
      <c r="E642" s="4">
        <v>40</v>
      </c>
      <c r="F642" s="4" t="str">
        <f>IF(Table15678[[#This Row],[Age]]&lt;=19,"Teenager",IF(Table15678[[#This Row],[Age]]&lt;=40,"Median","Old"))</f>
        <v>Median</v>
      </c>
      <c r="G642" s="4" t="s">
        <v>16</v>
      </c>
      <c r="H642" s="4">
        <v>1</v>
      </c>
      <c r="I642" s="4">
        <v>300</v>
      </c>
      <c r="J642" s="4">
        <v>300</v>
      </c>
      <c r="K642" s="4" t="str" cm="1">
        <f t="array" ref="K642">_xlfn.IFS(AND(Table15678[[#This Row],[Total Amount]]&gt;=1500),"Critical",AND(Table15678[[#This Row],[Total Amount]]&gt;=1000),"High",TRUE,"Normal")</f>
        <v>Normal</v>
      </c>
      <c r="L642" s="4" t="str">
        <f>IF(Table15678[[#This Row],[Total Amount]]&gt;=1000,"High",(IF(Table15678[[#This Row],[Total Amount]]&gt;=500,"Medium","Low")))</f>
        <v>Low</v>
      </c>
      <c r="M642" s="4" t="str" cm="1">
        <f t="array" ref="M64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42" s="4" cm="1">
        <f t="array" ref="N64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642" s="4">
        <f>Table15678[[#This Row],[Total Amount]]-Table15678[[#This Row],[Discount Amount]]</f>
        <v>240</v>
      </c>
      <c r="P642" s="4" t="str">
        <f>IF(Table15678[[#This Row],[Total Amount]]&gt;=1000,"High","Low")</f>
        <v>Low</v>
      </c>
      <c r="Q642" s="4" t="str" cm="1">
        <f t="array" ref="Q642">_xlfn.IFS(AND(Table15678[[#This Row],[Total Amount]]&gt;=1500,"Critical"),AND(Table15678[[#This Row],[Total Amount]]&gt;=1000,"High"),TRUE,"Normal")</f>
        <v>Normal</v>
      </c>
      <c r="R642" s="4" t="str">
        <f>CONCATENATE(Table15678[[#This Row],[Customer ID]], "-",Table15678[[#This Row],[Age]])</f>
        <v>CUST641-40</v>
      </c>
      <c r="S642" s="4" t="str">
        <f>TEXT(Table15678[[#This Row],[Date]],"mmm")</f>
        <v>Nov</v>
      </c>
      <c r="T642" s="4" t="str">
        <f>TEXT(Table15678[[#This Row],[Date]],"DDD")</f>
        <v>Thu</v>
      </c>
    </row>
    <row r="643" spans="1:20" ht="29" x14ac:dyDescent="0.35">
      <c r="A643" s="4">
        <v>642</v>
      </c>
      <c r="B643" s="5">
        <v>45068</v>
      </c>
      <c r="C643" s="4" t="s">
        <v>655</v>
      </c>
      <c r="D643" s="4" t="s">
        <v>13</v>
      </c>
      <c r="E643" s="4">
        <v>54</v>
      </c>
      <c r="F643" s="4" t="str">
        <f>IF(Table15678[[#This Row],[Age]]&lt;=19,"Teenager",IF(Table15678[[#This Row],[Age]]&lt;=40,"Median","Old"))</f>
        <v>Old</v>
      </c>
      <c r="G643" s="4" t="s">
        <v>14</v>
      </c>
      <c r="H643" s="4">
        <v>4</v>
      </c>
      <c r="I643" s="4">
        <v>25</v>
      </c>
      <c r="J643" s="4">
        <v>100</v>
      </c>
      <c r="K643" s="4" t="str" cm="1">
        <f t="array" ref="K643">_xlfn.IFS(AND(Table15678[[#This Row],[Total Amount]]&gt;=1500),"Critical",AND(Table15678[[#This Row],[Total Amount]]&gt;=1000),"High",TRUE,"Normal")</f>
        <v>Normal</v>
      </c>
      <c r="L643" s="4" t="str">
        <f>IF(Table15678[[#This Row],[Total Amount]]&gt;=1000,"High",(IF(Table15678[[#This Row],[Total Amount]]&gt;=500,"Medium","Low")))</f>
        <v>Low</v>
      </c>
      <c r="M643" s="4" t="str" cm="1">
        <f t="array" ref="M64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43" s="4" cm="1">
        <f t="array" ref="N64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643" s="4">
        <f>Table15678[[#This Row],[Total Amount]]-Table15678[[#This Row],[Discount Amount]]</f>
        <v>80</v>
      </c>
      <c r="P643" s="4" t="str">
        <f>IF(Table15678[[#This Row],[Total Amount]]&gt;=1000,"High","Low")</f>
        <v>Low</v>
      </c>
      <c r="Q643" s="4" t="str" cm="1">
        <f t="array" ref="Q643">_xlfn.IFS(AND(Table15678[[#This Row],[Total Amount]]&gt;=1500,"Critical"),AND(Table15678[[#This Row],[Total Amount]]&gt;=1000,"High"),TRUE,"Normal")</f>
        <v>Normal</v>
      </c>
      <c r="R643" s="4" t="str">
        <f>CONCATENATE(Table15678[[#This Row],[Customer ID]], "-",Table15678[[#This Row],[Age]])</f>
        <v>CUST642-54</v>
      </c>
      <c r="S643" s="4" t="str">
        <f>TEXT(Table15678[[#This Row],[Date]],"mmm")</f>
        <v>May</v>
      </c>
      <c r="T643" s="4" t="str">
        <f>TEXT(Table15678[[#This Row],[Date]],"DDD")</f>
        <v>Mon</v>
      </c>
    </row>
    <row r="644" spans="1:20" ht="29" x14ac:dyDescent="0.35">
      <c r="A644" s="4">
        <v>643</v>
      </c>
      <c r="B644" s="5">
        <v>45193</v>
      </c>
      <c r="C644" s="4" t="s">
        <v>656</v>
      </c>
      <c r="D644" s="4" t="s">
        <v>13</v>
      </c>
      <c r="E644" s="4">
        <v>28</v>
      </c>
      <c r="F644" s="4" t="str">
        <f>IF(Table15678[[#This Row],[Age]]&lt;=19,"Teenager",IF(Table15678[[#This Row],[Age]]&lt;=40,"Median","Old"))</f>
        <v>Median</v>
      </c>
      <c r="G644" s="4" t="s">
        <v>16</v>
      </c>
      <c r="H644" s="4">
        <v>3</v>
      </c>
      <c r="I644" s="4">
        <v>30</v>
      </c>
      <c r="J644" s="4">
        <v>90</v>
      </c>
      <c r="K644" s="4" t="str" cm="1">
        <f t="array" ref="K644">_xlfn.IFS(AND(Table15678[[#This Row],[Total Amount]]&gt;=1500),"Critical",AND(Table15678[[#This Row],[Total Amount]]&gt;=1000),"High",TRUE,"Normal")</f>
        <v>Normal</v>
      </c>
      <c r="L644" s="4" t="str">
        <f>IF(Table15678[[#This Row],[Total Amount]]&gt;=1000,"High",(IF(Table15678[[#This Row],[Total Amount]]&gt;=500,"Medium","Low")))</f>
        <v>Low</v>
      </c>
      <c r="M644" s="4" t="str" cm="1">
        <f t="array" ref="M64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44" s="4" cm="1">
        <f t="array" ref="N64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13.5</v>
      </c>
      <c r="O644" s="4">
        <f>Table15678[[#This Row],[Total Amount]]-Table15678[[#This Row],[Discount Amount]]</f>
        <v>76.5</v>
      </c>
      <c r="P644" s="4" t="str">
        <f>IF(Table15678[[#This Row],[Total Amount]]&gt;=1000,"High","Low")</f>
        <v>Low</v>
      </c>
      <c r="Q644" s="4" t="str" cm="1">
        <f t="array" ref="Q644">_xlfn.IFS(AND(Table15678[[#This Row],[Total Amount]]&gt;=1500,"Critical"),AND(Table15678[[#This Row],[Total Amount]]&gt;=1000,"High"),TRUE,"Normal")</f>
        <v>Normal</v>
      </c>
      <c r="R644" s="4" t="str">
        <f>CONCATENATE(Table15678[[#This Row],[Customer ID]], "-",Table15678[[#This Row],[Age]])</f>
        <v>CUST643-28</v>
      </c>
      <c r="S644" s="4" t="str">
        <f>TEXT(Table15678[[#This Row],[Date]],"mmm")</f>
        <v>Sep</v>
      </c>
      <c r="T644" s="4" t="str">
        <f>TEXT(Table15678[[#This Row],[Date]],"DDD")</f>
        <v>Sun</v>
      </c>
    </row>
    <row r="645" spans="1:20" ht="29" x14ac:dyDescent="0.35">
      <c r="A645" s="4">
        <v>644</v>
      </c>
      <c r="B645" s="5">
        <v>45175</v>
      </c>
      <c r="C645" s="4" t="s">
        <v>657</v>
      </c>
      <c r="D645" s="4" t="s">
        <v>10</v>
      </c>
      <c r="E645" s="4">
        <v>23</v>
      </c>
      <c r="F645" s="4" t="str">
        <f>IF(Table15678[[#This Row],[Age]]&lt;=19,"Teenager",IF(Table15678[[#This Row],[Age]]&lt;=40,"Median","Old"))</f>
        <v>Median</v>
      </c>
      <c r="G645" s="4" t="s">
        <v>11</v>
      </c>
      <c r="H645" s="4">
        <v>3</v>
      </c>
      <c r="I645" s="4">
        <v>25</v>
      </c>
      <c r="J645" s="4">
        <v>75</v>
      </c>
      <c r="K645" s="4" t="str" cm="1">
        <f t="array" ref="K645">_xlfn.IFS(AND(Table15678[[#This Row],[Total Amount]]&gt;=1500),"Critical",AND(Table15678[[#This Row],[Total Amount]]&gt;=1000),"High",TRUE,"Normal")</f>
        <v>Normal</v>
      </c>
      <c r="L645" s="4" t="str">
        <f>IF(Table15678[[#This Row],[Total Amount]]&gt;=1000,"High",(IF(Table15678[[#This Row],[Total Amount]]&gt;=500,"Medium","Low")))</f>
        <v>Low</v>
      </c>
      <c r="M645" s="4" t="str" cm="1">
        <f t="array" ref="M64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645" s="4" cm="1">
        <f t="array" ref="N64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645" s="4">
        <f>Table15678[[#This Row],[Total Amount]]-Table15678[[#This Row],[Discount Amount]]</f>
        <v>75</v>
      </c>
      <c r="P645" s="4" t="str">
        <f>IF(Table15678[[#This Row],[Total Amount]]&gt;=1000,"High","Low")</f>
        <v>Low</v>
      </c>
      <c r="Q645" s="4" t="str" cm="1">
        <f t="array" ref="Q645">_xlfn.IFS(AND(Table15678[[#This Row],[Total Amount]]&gt;=1500,"Critical"),AND(Table15678[[#This Row],[Total Amount]]&gt;=1000,"High"),TRUE,"Normal")</f>
        <v>Normal</v>
      </c>
      <c r="R645" s="4" t="str">
        <f>CONCATENATE(Table15678[[#This Row],[Customer ID]], "-",Table15678[[#This Row],[Age]])</f>
        <v>CUST644-23</v>
      </c>
      <c r="S645" s="4" t="str">
        <f>TEXT(Table15678[[#This Row],[Date]],"mmm")</f>
        <v>Sep</v>
      </c>
      <c r="T645" s="4" t="str">
        <f>TEXT(Table15678[[#This Row],[Date]],"DDD")</f>
        <v>Wed</v>
      </c>
    </row>
    <row r="646" spans="1:20" ht="29" x14ac:dyDescent="0.35">
      <c r="A646" s="4">
        <v>645</v>
      </c>
      <c r="B646" s="5">
        <v>45247</v>
      </c>
      <c r="C646" s="4" t="s">
        <v>658</v>
      </c>
      <c r="D646" s="4" t="s">
        <v>13</v>
      </c>
      <c r="E646" s="4">
        <v>35</v>
      </c>
      <c r="F646" s="4" t="str">
        <f>IF(Table15678[[#This Row],[Age]]&lt;=19,"Teenager",IF(Table15678[[#This Row],[Age]]&lt;=40,"Median","Old"))</f>
        <v>Median</v>
      </c>
      <c r="G646" s="4" t="s">
        <v>16</v>
      </c>
      <c r="H646" s="4">
        <v>4</v>
      </c>
      <c r="I646" s="4">
        <v>30</v>
      </c>
      <c r="J646" s="4">
        <v>120</v>
      </c>
      <c r="K646" s="4" t="str" cm="1">
        <f t="array" ref="K646">_xlfn.IFS(AND(Table15678[[#This Row],[Total Amount]]&gt;=1500),"Critical",AND(Table15678[[#This Row],[Total Amount]]&gt;=1000),"High",TRUE,"Normal")</f>
        <v>Normal</v>
      </c>
      <c r="L646" s="4" t="str">
        <f>IF(Table15678[[#This Row],[Total Amount]]&gt;=1000,"High",(IF(Table15678[[#This Row],[Total Amount]]&gt;=500,"Medium","Low")))</f>
        <v>Low</v>
      </c>
      <c r="M646" s="4" t="str" cm="1">
        <f t="array" ref="M64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46" s="4" cm="1">
        <f t="array" ref="N64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</v>
      </c>
      <c r="O646" s="4">
        <f>Table15678[[#This Row],[Total Amount]]-Table15678[[#This Row],[Discount Amount]]</f>
        <v>96</v>
      </c>
      <c r="P646" s="4" t="str">
        <f>IF(Table15678[[#This Row],[Total Amount]]&gt;=1000,"High","Low")</f>
        <v>Low</v>
      </c>
      <c r="Q646" s="4" t="str" cm="1">
        <f t="array" ref="Q646">_xlfn.IFS(AND(Table15678[[#This Row],[Total Amount]]&gt;=1500,"Critical"),AND(Table15678[[#This Row],[Total Amount]]&gt;=1000,"High"),TRUE,"Normal")</f>
        <v>Normal</v>
      </c>
      <c r="R646" s="4" t="str">
        <f>CONCATENATE(Table15678[[#This Row],[Customer ID]], "-",Table15678[[#This Row],[Age]])</f>
        <v>CUST645-35</v>
      </c>
      <c r="S646" s="4" t="str">
        <f>TEXT(Table15678[[#This Row],[Date]],"mmm")</f>
        <v>Nov</v>
      </c>
      <c r="T646" s="4" t="str">
        <f>TEXT(Table15678[[#This Row],[Date]],"DDD")</f>
        <v>Fri</v>
      </c>
    </row>
    <row r="647" spans="1:20" ht="29" x14ac:dyDescent="0.35">
      <c r="A647" s="4">
        <v>646</v>
      </c>
      <c r="B647" s="5">
        <v>45049</v>
      </c>
      <c r="C647" s="4" t="s">
        <v>659</v>
      </c>
      <c r="D647" s="4" t="s">
        <v>10</v>
      </c>
      <c r="E647" s="4">
        <v>38</v>
      </c>
      <c r="F647" s="4" t="str">
        <f>IF(Table15678[[#This Row],[Age]]&lt;=19,"Teenager",IF(Table15678[[#This Row],[Age]]&lt;=40,"Median","Old"))</f>
        <v>Median</v>
      </c>
      <c r="G647" s="4" t="s">
        <v>14</v>
      </c>
      <c r="H647" s="4">
        <v>3</v>
      </c>
      <c r="I647" s="4">
        <v>30</v>
      </c>
      <c r="J647" s="4">
        <v>90</v>
      </c>
      <c r="K647" s="4" t="str" cm="1">
        <f t="array" ref="K647">_xlfn.IFS(AND(Table15678[[#This Row],[Total Amount]]&gt;=1500),"Critical",AND(Table15678[[#This Row],[Total Amount]]&gt;=1000),"High",TRUE,"Normal")</f>
        <v>Normal</v>
      </c>
      <c r="L647" s="4" t="str">
        <f>IF(Table15678[[#This Row],[Total Amount]]&gt;=1000,"High",(IF(Table15678[[#This Row],[Total Amount]]&gt;=500,"Medium","Low")))</f>
        <v>Low</v>
      </c>
      <c r="M647" s="4" t="str" cm="1">
        <f t="array" ref="M64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47" s="4" cm="1">
        <f t="array" ref="N64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</v>
      </c>
      <c r="O647" s="4">
        <f>Table15678[[#This Row],[Total Amount]]-Table15678[[#This Row],[Discount Amount]]</f>
        <v>81</v>
      </c>
      <c r="P647" s="4" t="str">
        <f>IF(Table15678[[#This Row],[Total Amount]]&gt;=1000,"High","Low")</f>
        <v>Low</v>
      </c>
      <c r="Q647" s="4" t="str" cm="1">
        <f t="array" ref="Q647">_xlfn.IFS(AND(Table15678[[#This Row],[Total Amount]]&gt;=1500,"Critical"),AND(Table15678[[#This Row],[Total Amount]]&gt;=1000,"High"),TRUE,"Normal")</f>
        <v>Normal</v>
      </c>
      <c r="R647" s="4" t="str">
        <f>CONCATENATE(Table15678[[#This Row],[Customer ID]], "-",Table15678[[#This Row],[Age]])</f>
        <v>CUST646-38</v>
      </c>
      <c r="S647" s="4" t="str">
        <f>TEXT(Table15678[[#This Row],[Date]],"mmm")</f>
        <v>May</v>
      </c>
      <c r="T647" s="4" t="str">
        <f>TEXT(Table15678[[#This Row],[Date]],"DDD")</f>
        <v>Wed</v>
      </c>
    </row>
    <row r="648" spans="1:20" ht="29" x14ac:dyDescent="0.35">
      <c r="A648" s="4">
        <v>647</v>
      </c>
      <c r="B648" s="5">
        <v>45067</v>
      </c>
      <c r="C648" s="4" t="s">
        <v>660</v>
      </c>
      <c r="D648" s="4" t="s">
        <v>10</v>
      </c>
      <c r="E648" s="4">
        <v>59</v>
      </c>
      <c r="F648" s="4" t="str">
        <f>IF(Table15678[[#This Row],[Age]]&lt;=19,"Teenager",IF(Table15678[[#This Row],[Age]]&lt;=40,"Median","Old"))</f>
        <v>Old</v>
      </c>
      <c r="G648" s="4" t="s">
        <v>14</v>
      </c>
      <c r="H648" s="4">
        <v>3</v>
      </c>
      <c r="I648" s="4">
        <v>500</v>
      </c>
      <c r="J648" s="4">
        <v>1500</v>
      </c>
      <c r="K648" s="4" t="str" cm="1">
        <f t="array" ref="K648">_xlfn.IFS(AND(Table15678[[#This Row],[Total Amount]]&gt;=1500),"Critical",AND(Table15678[[#This Row],[Total Amount]]&gt;=1000),"High",TRUE,"Normal")</f>
        <v>Critical</v>
      </c>
      <c r="L648" s="4" t="str">
        <f>IF(Table15678[[#This Row],[Total Amount]]&gt;=1000,"High",(IF(Table15678[[#This Row],[Total Amount]]&gt;=500,"Medium","Low")))</f>
        <v>High</v>
      </c>
      <c r="M648" s="4" t="str" cm="1">
        <f t="array" ref="M64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48" s="4" cm="1">
        <f t="array" ref="N64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150</v>
      </c>
      <c r="O648" s="4">
        <f>Table15678[[#This Row],[Total Amount]]-Table15678[[#This Row],[Discount Amount]]</f>
        <v>1350</v>
      </c>
      <c r="P648" s="4" t="str">
        <f>IF(Table15678[[#This Row],[Total Amount]]&gt;=1000,"High","Low")</f>
        <v>High</v>
      </c>
      <c r="Q648" s="4" t="b" cm="1">
        <f t="array" ref="Q648">_xlfn.IFS(AND(Table15678[[#This Row],[Total Amount]]&gt;=1500,"Critical"),AND(Table15678[[#This Row],[Total Amount]]&gt;=1000,"High"),TRUE,"Normal")</f>
        <v>1</v>
      </c>
      <c r="R648" s="4" t="str">
        <f>CONCATENATE(Table15678[[#This Row],[Customer ID]], "-",Table15678[[#This Row],[Age]])</f>
        <v>CUST647-59</v>
      </c>
      <c r="S648" s="4" t="str">
        <f>TEXT(Table15678[[#This Row],[Date]],"mmm")</f>
        <v>May</v>
      </c>
      <c r="T648" s="4" t="str">
        <f>TEXT(Table15678[[#This Row],[Date]],"DDD")</f>
        <v>Sun</v>
      </c>
    </row>
    <row r="649" spans="1:20" ht="29" x14ac:dyDescent="0.35">
      <c r="A649" s="4">
        <v>648</v>
      </c>
      <c r="B649" s="5">
        <v>45152</v>
      </c>
      <c r="C649" s="4" t="s">
        <v>661</v>
      </c>
      <c r="D649" s="4" t="s">
        <v>10</v>
      </c>
      <c r="E649" s="4">
        <v>53</v>
      </c>
      <c r="F649" s="4" t="str">
        <f>IF(Table15678[[#This Row],[Age]]&lt;=19,"Teenager",IF(Table15678[[#This Row],[Age]]&lt;=40,"Median","Old"))</f>
        <v>Old</v>
      </c>
      <c r="G649" s="4" t="s">
        <v>11</v>
      </c>
      <c r="H649" s="4">
        <v>4</v>
      </c>
      <c r="I649" s="4">
        <v>300</v>
      </c>
      <c r="J649" s="4">
        <v>1200</v>
      </c>
      <c r="K649" s="4" t="str" cm="1">
        <f t="array" ref="K649">_xlfn.IFS(AND(Table15678[[#This Row],[Total Amount]]&gt;=1500),"Critical",AND(Table15678[[#This Row],[Total Amount]]&gt;=1000),"High",TRUE,"Normal")</f>
        <v>High</v>
      </c>
      <c r="L649" s="4" t="str">
        <f>IF(Table15678[[#This Row],[Total Amount]]&gt;=1000,"High",(IF(Table15678[[#This Row],[Total Amount]]&gt;=500,"Medium","Low")))</f>
        <v>High</v>
      </c>
      <c r="M649" s="4" t="str" cm="1">
        <f t="array" ref="M64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49" s="4" cm="1">
        <f t="array" ref="N64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120</v>
      </c>
      <c r="O649" s="4">
        <f>Table15678[[#This Row],[Total Amount]]-Table15678[[#This Row],[Discount Amount]]</f>
        <v>1080</v>
      </c>
      <c r="P649" s="4" t="str">
        <f>IF(Table15678[[#This Row],[Total Amount]]&gt;=1000,"High","Low")</f>
        <v>High</v>
      </c>
      <c r="Q649" s="4" t="str" cm="1">
        <f t="array" ref="Q649">_xlfn.IFS(AND(Table15678[[#This Row],[Total Amount]]&gt;=1500,"Critical"),AND(Table15678[[#This Row],[Total Amount]]&gt;=1000,"High"),TRUE,"Normal")</f>
        <v>Normal</v>
      </c>
      <c r="R649" s="4" t="str">
        <f>CONCATENATE(Table15678[[#This Row],[Customer ID]], "-",Table15678[[#This Row],[Age]])</f>
        <v>CUST648-53</v>
      </c>
      <c r="S649" s="4" t="str">
        <f>TEXT(Table15678[[#This Row],[Date]],"mmm")</f>
        <v>Aug</v>
      </c>
      <c r="T649" s="4" t="str">
        <f>TEXT(Table15678[[#This Row],[Date]],"DDD")</f>
        <v>Mon</v>
      </c>
    </row>
    <row r="650" spans="1:20" ht="29" x14ac:dyDescent="0.35">
      <c r="A650" s="4">
        <v>649</v>
      </c>
      <c r="B650" s="5">
        <v>44966</v>
      </c>
      <c r="C650" s="4" t="s">
        <v>662</v>
      </c>
      <c r="D650" s="4" t="s">
        <v>13</v>
      </c>
      <c r="E650" s="4">
        <v>58</v>
      </c>
      <c r="F650" s="4" t="str">
        <f>IF(Table15678[[#This Row],[Age]]&lt;=19,"Teenager",IF(Table15678[[#This Row],[Age]]&lt;=40,"Median","Old"))</f>
        <v>Old</v>
      </c>
      <c r="G650" s="4" t="s">
        <v>14</v>
      </c>
      <c r="H650" s="4">
        <v>2</v>
      </c>
      <c r="I650" s="4">
        <v>300</v>
      </c>
      <c r="J650" s="4">
        <v>600</v>
      </c>
      <c r="K650" s="4" t="str" cm="1">
        <f t="array" ref="K650">_xlfn.IFS(AND(Table15678[[#This Row],[Total Amount]]&gt;=1500),"Critical",AND(Table15678[[#This Row],[Total Amount]]&gt;=1000),"High",TRUE,"Normal")</f>
        <v>Normal</v>
      </c>
      <c r="L650" s="4" t="str">
        <f>IF(Table15678[[#This Row],[Total Amount]]&gt;=1000,"High",(IF(Table15678[[#This Row],[Total Amount]]&gt;=500,"Medium","Low")))</f>
        <v>Medium</v>
      </c>
      <c r="M650" s="4" t="str" cm="1">
        <f t="array" ref="M65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50" s="4" cm="1">
        <f t="array" ref="N65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120</v>
      </c>
      <c r="O650" s="4">
        <f>Table15678[[#This Row],[Total Amount]]-Table15678[[#This Row],[Discount Amount]]</f>
        <v>480</v>
      </c>
      <c r="P650" s="4" t="str">
        <f>IF(Table15678[[#This Row],[Total Amount]]&gt;=1000,"High","Low")</f>
        <v>Low</v>
      </c>
      <c r="Q650" s="4" t="str" cm="1">
        <f t="array" ref="Q650">_xlfn.IFS(AND(Table15678[[#This Row],[Total Amount]]&gt;=1500,"Critical"),AND(Table15678[[#This Row],[Total Amount]]&gt;=1000,"High"),TRUE,"Normal")</f>
        <v>Normal</v>
      </c>
      <c r="R650" s="4" t="str">
        <f>CONCATENATE(Table15678[[#This Row],[Customer ID]], "-",Table15678[[#This Row],[Age]])</f>
        <v>CUST649-58</v>
      </c>
      <c r="S650" s="4" t="str">
        <f>TEXT(Table15678[[#This Row],[Date]],"mmm")</f>
        <v>Feb</v>
      </c>
      <c r="T650" s="4" t="str">
        <f>TEXT(Table15678[[#This Row],[Date]],"DDD")</f>
        <v>Thu</v>
      </c>
    </row>
    <row r="651" spans="1:20" ht="29" x14ac:dyDescent="0.35">
      <c r="A651" s="4">
        <v>650</v>
      </c>
      <c r="B651" s="5">
        <v>45292</v>
      </c>
      <c r="C651" s="4" t="s">
        <v>663</v>
      </c>
      <c r="D651" s="4" t="s">
        <v>10</v>
      </c>
      <c r="E651" s="4">
        <v>55</v>
      </c>
      <c r="F651" s="4" t="str">
        <f>IF(Table15678[[#This Row],[Age]]&lt;=19,"Teenager",IF(Table15678[[#This Row],[Age]]&lt;=40,"Median","Old"))</f>
        <v>Old</v>
      </c>
      <c r="G651" s="4" t="s">
        <v>16</v>
      </c>
      <c r="H651" s="4">
        <v>1</v>
      </c>
      <c r="I651" s="4">
        <v>30</v>
      </c>
      <c r="J651" s="4">
        <v>30</v>
      </c>
      <c r="K651" s="4" t="str" cm="1">
        <f t="array" ref="K651">_xlfn.IFS(AND(Table15678[[#This Row],[Total Amount]]&gt;=1500),"Critical",AND(Table15678[[#This Row],[Total Amount]]&gt;=1000),"High",TRUE,"Normal")</f>
        <v>Normal</v>
      </c>
      <c r="L651" s="4" t="str">
        <f>IF(Table15678[[#This Row],[Total Amount]]&gt;=1000,"High",(IF(Table15678[[#This Row],[Total Amount]]&gt;=500,"Medium","Low")))</f>
        <v>Low</v>
      </c>
      <c r="M651" s="4" t="str" cm="1">
        <f t="array" ref="M65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51" s="4" cm="1">
        <f t="array" ref="N65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</v>
      </c>
      <c r="O651" s="4">
        <f>Table15678[[#This Row],[Total Amount]]-Table15678[[#This Row],[Discount Amount]]</f>
        <v>27</v>
      </c>
      <c r="P651" s="4" t="str">
        <f>IF(Table15678[[#This Row],[Total Amount]]&gt;=1000,"High","Low")</f>
        <v>Low</v>
      </c>
      <c r="Q651" s="4" t="str" cm="1">
        <f t="array" ref="Q651">_xlfn.IFS(AND(Table15678[[#This Row],[Total Amount]]&gt;=1500,"Critical"),AND(Table15678[[#This Row],[Total Amount]]&gt;=1000,"High"),TRUE,"Normal")</f>
        <v>Normal</v>
      </c>
      <c r="R651" s="4" t="str">
        <f>CONCATENATE(Table15678[[#This Row],[Customer ID]], "-",Table15678[[#This Row],[Age]])</f>
        <v>CUST650-55</v>
      </c>
      <c r="S651" s="4" t="str">
        <f>TEXT(Table15678[[#This Row],[Date]],"mmm")</f>
        <v>Jan</v>
      </c>
      <c r="T651" s="4" t="str">
        <f>TEXT(Table15678[[#This Row],[Date]],"DDD")</f>
        <v>Mon</v>
      </c>
    </row>
    <row r="652" spans="1:20" ht="29" x14ac:dyDescent="0.35">
      <c r="A652" s="4">
        <v>651</v>
      </c>
      <c r="B652" s="5">
        <v>45073</v>
      </c>
      <c r="C652" s="4" t="s">
        <v>664</v>
      </c>
      <c r="D652" s="4" t="s">
        <v>10</v>
      </c>
      <c r="E652" s="4">
        <v>51</v>
      </c>
      <c r="F652" s="4" t="str">
        <f>IF(Table15678[[#This Row],[Age]]&lt;=19,"Teenager",IF(Table15678[[#This Row],[Age]]&lt;=40,"Median","Old"))</f>
        <v>Old</v>
      </c>
      <c r="G652" s="4" t="s">
        <v>14</v>
      </c>
      <c r="H652" s="4">
        <v>3</v>
      </c>
      <c r="I652" s="4">
        <v>50</v>
      </c>
      <c r="J652" s="4">
        <v>150</v>
      </c>
      <c r="K652" s="4" t="str" cm="1">
        <f t="array" ref="K652">_xlfn.IFS(AND(Table15678[[#This Row],[Total Amount]]&gt;=1500),"Critical",AND(Table15678[[#This Row],[Total Amount]]&gt;=1000),"High",TRUE,"Normal")</f>
        <v>Normal</v>
      </c>
      <c r="L652" s="4" t="str">
        <f>IF(Table15678[[#This Row],[Total Amount]]&gt;=1000,"High",(IF(Table15678[[#This Row],[Total Amount]]&gt;=500,"Medium","Low")))</f>
        <v>Low</v>
      </c>
      <c r="M652" s="4" t="str" cm="1">
        <f t="array" ref="M65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52" s="4" cm="1">
        <f t="array" ref="N65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652" s="4">
        <f>Table15678[[#This Row],[Total Amount]]-Table15678[[#This Row],[Discount Amount]]</f>
        <v>135</v>
      </c>
      <c r="P652" s="4" t="str">
        <f>IF(Table15678[[#This Row],[Total Amount]]&gt;=1000,"High","Low")</f>
        <v>Low</v>
      </c>
      <c r="Q652" s="4" t="str" cm="1">
        <f t="array" ref="Q652">_xlfn.IFS(AND(Table15678[[#This Row],[Total Amount]]&gt;=1500,"Critical"),AND(Table15678[[#This Row],[Total Amount]]&gt;=1000,"High"),TRUE,"Normal")</f>
        <v>Normal</v>
      </c>
      <c r="R652" s="4" t="str">
        <f>CONCATENATE(Table15678[[#This Row],[Customer ID]], "-",Table15678[[#This Row],[Age]])</f>
        <v>CUST651-51</v>
      </c>
      <c r="S652" s="4" t="str">
        <f>TEXT(Table15678[[#This Row],[Date]],"mmm")</f>
        <v>May</v>
      </c>
      <c r="T652" s="4" t="str">
        <f>TEXT(Table15678[[#This Row],[Date]],"DDD")</f>
        <v>Sat</v>
      </c>
    </row>
    <row r="653" spans="1:20" ht="29" x14ac:dyDescent="0.35">
      <c r="A653" s="4">
        <v>652</v>
      </c>
      <c r="B653" s="5">
        <v>45047</v>
      </c>
      <c r="C653" s="4" t="s">
        <v>665</v>
      </c>
      <c r="D653" s="4" t="s">
        <v>13</v>
      </c>
      <c r="E653" s="4">
        <v>34</v>
      </c>
      <c r="F653" s="4" t="str">
        <f>IF(Table15678[[#This Row],[Age]]&lt;=19,"Teenager",IF(Table15678[[#This Row],[Age]]&lt;=40,"Median","Old"))</f>
        <v>Median</v>
      </c>
      <c r="G653" s="4" t="s">
        <v>11</v>
      </c>
      <c r="H653" s="4">
        <v>2</v>
      </c>
      <c r="I653" s="4">
        <v>50</v>
      </c>
      <c r="J653" s="4">
        <v>100</v>
      </c>
      <c r="K653" s="4" t="str" cm="1">
        <f t="array" ref="K653">_xlfn.IFS(AND(Table15678[[#This Row],[Total Amount]]&gt;=1500),"Critical",AND(Table15678[[#This Row],[Total Amount]]&gt;=1000),"High",TRUE,"Normal")</f>
        <v>Normal</v>
      </c>
      <c r="L653" s="4" t="str">
        <f>IF(Table15678[[#This Row],[Total Amount]]&gt;=1000,"High",(IF(Table15678[[#This Row],[Total Amount]]&gt;=500,"Medium","Low")))</f>
        <v>Low</v>
      </c>
      <c r="M653" s="4" t="str" cm="1">
        <f t="array" ref="M65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53" s="4" cm="1">
        <f t="array" ref="N65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653" s="4">
        <f>Table15678[[#This Row],[Total Amount]]-Table15678[[#This Row],[Discount Amount]]</f>
        <v>85</v>
      </c>
      <c r="P653" s="4" t="str">
        <f>IF(Table15678[[#This Row],[Total Amount]]&gt;=1000,"High","Low")</f>
        <v>Low</v>
      </c>
      <c r="Q653" s="4" t="str" cm="1">
        <f t="array" ref="Q653">_xlfn.IFS(AND(Table15678[[#This Row],[Total Amount]]&gt;=1500,"Critical"),AND(Table15678[[#This Row],[Total Amount]]&gt;=1000,"High"),TRUE,"Normal")</f>
        <v>Normal</v>
      </c>
      <c r="R653" s="4" t="str">
        <f>CONCATENATE(Table15678[[#This Row],[Customer ID]], "-",Table15678[[#This Row],[Age]])</f>
        <v>CUST652-34</v>
      </c>
      <c r="S653" s="4" t="str">
        <f>TEXT(Table15678[[#This Row],[Date]],"mmm")</f>
        <v>May</v>
      </c>
      <c r="T653" s="4" t="str">
        <f>TEXT(Table15678[[#This Row],[Date]],"DDD")</f>
        <v>Mon</v>
      </c>
    </row>
    <row r="654" spans="1:20" ht="29" x14ac:dyDescent="0.35">
      <c r="A654" s="4">
        <v>653</v>
      </c>
      <c r="B654" s="5">
        <v>45066</v>
      </c>
      <c r="C654" s="4" t="s">
        <v>666</v>
      </c>
      <c r="D654" s="4" t="s">
        <v>10</v>
      </c>
      <c r="E654" s="4">
        <v>54</v>
      </c>
      <c r="F654" s="4" t="str">
        <f>IF(Table15678[[#This Row],[Age]]&lt;=19,"Teenager",IF(Table15678[[#This Row],[Age]]&lt;=40,"Median","Old"))</f>
        <v>Old</v>
      </c>
      <c r="G654" s="4" t="s">
        <v>14</v>
      </c>
      <c r="H654" s="4">
        <v>3</v>
      </c>
      <c r="I654" s="4">
        <v>25</v>
      </c>
      <c r="J654" s="4">
        <v>75</v>
      </c>
      <c r="K654" s="4" t="str" cm="1">
        <f t="array" ref="K654">_xlfn.IFS(AND(Table15678[[#This Row],[Total Amount]]&gt;=1500),"Critical",AND(Table15678[[#This Row],[Total Amount]]&gt;=1000),"High",TRUE,"Normal")</f>
        <v>Normal</v>
      </c>
      <c r="L654" s="4" t="str">
        <f>IF(Table15678[[#This Row],[Total Amount]]&gt;=1000,"High",(IF(Table15678[[#This Row],[Total Amount]]&gt;=500,"Medium","Low")))</f>
        <v>Low</v>
      </c>
      <c r="M654" s="4" t="str" cm="1">
        <f t="array" ref="M65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54" s="4" cm="1">
        <f t="array" ref="N65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654" s="4">
        <f>Table15678[[#This Row],[Total Amount]]-Table15678[[#This Row],[Discount Amount]]</f>
        <v>67.5</v>
      </c>
      <c r="P654" s="4" t="str">
        <f>IF(Table15678[[#This Row],[Total Amount]]&gt;=1000,"High","Low")</f>
        <v>Low</v>
      </c>
      <c r="Q654" s="4" t="str" cm="1">
        <f t="array" ref="Q654">_xlfn.IFS(AND(Table15678[[#This Row],[Total Amount]]&gt;=1500,"Critical"),AND(Table15678[[#This Row],[Total Amount]]&gt;=1000,"High"),TRUE,"Normal")</f>
        <v>Normal</v>
      </c>
      <c r="R654" s="4" t="str">
        <f>CONCATENATE(Table15678[[#This Row],[Customer ID]], "-",Table15678[[#This Row],[Age]])</f>
        <v>CUST653-54</v>
      </c>
      <c r="S654" s="4" t="str">
        <f>TEXT(Table15678[[#This Row],[Date]],"mmm")</f>
        <v>May</v>
      </c>
      <c r="T654" s="4" t="str">
        <f>TEXT(Table15678[[#This Row],[Date]],"DDD")</f>
        <v>Sat</v>
      </c>
    </row>
    <row r="655" spans="1:20" ht="29" x14ac:dyDescent="0.35">
      <c r="A655" s="4">
        <v>654</v>
      </c>
      <c r="B655" s="5">
        <v>45098</v>
      </c>
      <c r="C655" s="4" t="s">
        <v>667</v>
      </c>
      <c r="D655" s="4" t="s">
        <v>10</v>
      </c>
      <c r="E655" s="4">
        <v>42</v>
      </c>
      <c r="F655" s="4" t="str">
        <f>IF(Table15678[[#This Row],[Age]]&lt;=19,"Teenager",IF(Table15678[[#This Row],[Age]]&lt;=40,"Median","Old"))</f>
        <v>Old</v>
      </c>
      <c r="G655" s="4" t="s">
        <v>14</v>
      </c>
      <c r="H655" s="4">
        <v>3</v>
      </c>
      <c r="I655" s="4">
        <v>25</v>
      </c>
      <c r="J655" s="4">
        <v>75</v>
      </c>
      <c r="K655" s="4" t="str" cm="1">
        <f t="array" ref="K655">_xlfn.IFS(AND(Table15678[[#This Row],[Total Amount]]&gt;=1500),"Critical",AND(Table15678[[#This Row],[Total Amount]]&gt;=1000),"High",TRUE,"Normal")</f>
        <v>Normal</v>
      </c>
      <c r="L655" s="4" t="str">
        <f>IF(Table15678[[#This Row],[Total Amount]]&gt;=1000,"High",(IF(Table15678[[#This Row],[Total Amount]]&gt;=500,"Medium","Low")))</f>
        <v>Low</v>
      </c>
      <c r="M655" s="4" t="str" cm="1">
        <f t="array" ref="M65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55" s="4" cm="1">
        <f t="array" ref="N65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655" s="4">
        <f>Table15678[[#This Row],[Total Amount]]-Table15678[[#This Row],[Discount Amount]]</f>
        <v>67.5</v>
      </c>
      <c r="P655" s="4" t="str">
        <f>IF(Table15678[[#This Row],[Total Amount]]&gt;=1000,"High","Low")</f>
        <v>Low</v>
      </c>
      <c r="Q655" s="4" t="str" cm="1">
        <f t="array" ref="Q655">_xlfn.IFS(AND(Table15678[[#This Row],[Total Amount]]&gt;=1500,"Critical"),AND(Table15678[[#This Row],[Total Amount]]&gt;=1000,"High"),TRUE,"Normal")</f>
        <v>Normal</v>
      </c>
      <c r="R655" s="4" t="str">
        <f>CONCATENATE(Table15678[[#This Row],[Customer ID]], "-",Table15678[[#This Row],[Age]])</f>
        <v>CUST654-42</v>
      </c>
      <c r="S655" s="4" t="str">
        <f>TEXT(Table15678[[#This Row],[Date]],"mmm")</f>
        <v>Jun</v>
      </c>
      <c r="T655" s="4" t="str">
        <f>TEXT(Table15678[[#This Row],[Date]],"DDD")</f>
        <v>Wed</v>
      </c>
    </row>
    <row r="656" spans="1:20" ht="29" x14ac:dyDescent="0.35">
      <c r="A656" s="4">
        <v>655</v>
      </c>
      <c r="B656" s="5">
        <v>45090</v>
      </c>
      <c r="C656" s="4" t="s">
        <v>668</v>
      </c>
      <c r="D656" s="4" t="s">
        <v>13</v>
      </c>
      <c r="E656" s="4">
        <v>55</v>
      </c>
      <c r="F656" s="4" t="str">
        <f>IF(Table15678[[#This Row],[Age]]&lt;=19,"Teenager",IF(Table15678[[#This Row],[Age]]&lt;=40,"Median","Old"))</f>
        <v>Old</v>
      </c>
      <c r="G656" s="4" t="s">
        <v>14</v>
      </c>
      <c r="H656" s="4">
        <v>1</v>
      </c>
      <c r="I656" s="4">
        <v>500</v>
      </c>
      <c r="J656" s="4">
        <v>500</v>
      </c>
      <c r="K656" s="4" t="str" cm="1">
        <f t="array" ref="K656">_xlfn.IFS(AND(Table15678[[#This Row],[Total Amount]]&gt;=1500),"Critical",AND(Table15678[[#This Row],[Total Amount]]&gt;=1000),"High",TRUE,"Normal")</f>
        <v>Normal</v>
      </c>
      <c r="L656" s="4" t="str">
        <f>IF(Table15678[[#This Row],[Total Amount]]&gt;=1000,"High",(IF(Table15678[[#This Row],[Total Amount]]&gt;=500,"Medium","Low")))</f>
        <v>Medium</v>
      </c>
      <c r="M656" s="4" t="str" cm="1">
        <f t="array" ref="M65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56" s="4" cm="1">
        <f t="array" ref="N65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656" s="4">
        <f>Table15678[[#This Row],[Total Amount]]-Table15678[[#This Row],[Discount Amount]]</f>
        <v>400</v>
      </c>
      <c r="P656" s="4" t="str">
        <f>IF(Table15678[[#This Row],[Total Amount]]&gt;=1000,"High","Low")</f>
        <v>Low</v>
      </c>
      <c r="Q656" s="4" t="str" cm="1">
        <f t="array" ref="Q656">_xlfn.IFS(AND(Table15678[[#This Row],[Total Amount]]&gt;=1500,"Critical"),AND(Table15678[[#This Row],[Total Amount]]&gt;=1000,"High"),TRUE,"Normal")</f>
        <v>Normal</v>
      </c>
      <c r="R656" s="4" t="str">
        <f>CONCATENATE(Table15678[[#This Row],[Customer ID]], "-",Table15678[[#This Row],[Age]])</f>
        <v>CUST655-55</v>
      </c>
      <c r="S656" s="4" t="str">
        <f>TEXT(Table15678[[#This Row],[Date]],"mmm")</f>
        <v>Jun</v>
      </c>
      <c r="T656" s="4" t="str">
        <f>TEXT(Table15678[[#This Row],[Date]],"DDD")</f>
        <v>Tue</v>
      </c>
    </row>
    <row r="657" spans="1:20" ht="29" x14ac:dyDescent="0.35">
      <c r="A657" s="4">
        <v>656</v>
      </c>
      <c r="B657" s="5">
        <v>45203</v>
      </c>
      <c r="C657" s="4" t="s">
        <v>669</v>
      </c>
      <c r="D657" s="4" t="s">
        <v>10</v>
      </c>
      <c r="E657" s="4">
        <v>29</v>
      </c>
      <c r="F657" s="4" t="str">
        <f>IF(Table15678[[#This Row],[Age]]&lt;=19,"Teenager",IF(Table15678[[#This Row],[Age]]&lt;=40,"Median","Old"))</f>
        <v>Median</v>
      </c>
      <c r="G657" s="4" t="s">
        <v>11</v>
      </c>
      <c r="H657" s="4">
        <v>3</v>
      </c>
      <c r="I657" s="4">
        <v>30</v>
      </c>
      <c r="J657" s="4">
        <v>90</v>
      </c>
      <c r="K657" s="4" t="str" cm="1">
        <f t="array" ref="K657">_xlfn.IFS(AND(Table15678[[#This Row],[Total Amount]]&gt;=1500),"Critical",AND(Table15678[[#This Row],[Total Amount]]&gt;=1000),"High",TRUE,"Normal")</f>
        <v>Normal</v>
      </c>
      <c r="L657" s="4" t="str">
        <f>IF(Table15678[[#This Row],[Total Amount]]&gt;=1000,"High",(IF(Table15678[[#This Row],[Total Amount]]&gt;=500,"Medium","Low")))</f>
        <v>Low</v>
      </c>
      <c r="M657" s="4" t="str" cm="1">
        <f t="array" ref="M65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57" s="4" cm="1">
        <f t="array" ref="N65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13.5</v>
      </c>
      <c r="O657" s="4">
        <f>Table15678[[#This Row],[Total Amount]]-Table15678[[#This Row],[Discount Amount]]</f>
        <v>76.5</v>
      </c>
      <c r="P657" s="4" t="str">
        <f>IF(Table15678[[#This Row],[Total Amount]]&gt;=1000,"High","Low")</f>
        <v>Low</v>
      </c>
      <c r="Q657" s="4" t="str" cm="1">
        <f t="array" ref="Q657">_xlfn.IFS(AND(Table15678[[#This Row],[Total Amount]]&gt;=1500,"Critical"),AND(Table15678[[#This Row],[Total Amount]]&gt;=1000,"High"),TRUE,"Normal")</f>
        <v>Normal</v>
      </c>
      <c r="R657" s="4" t="str">
        <f>CONCATENATE(Table15678[[#This Row],[Customer ID]], "-",Table15678[[#This Row],[Age]])</f>
        <v>CUST656-29</v>
      </c>
      <c r="S657" s="4" t="str">
        <f>TEXT(Table15678[[#This Row],[Date]],"mmm")</f>
        <v>Oct</v>
      </c>
      <c r="T657" s="4" t="str">
        <f>TEXT(Table15678[[#This Row],[Date]],"DDD")</f>
        <v>Wed</v>
      </c>
    </row>
    <row r="658" spans="1:20" ht="29" x14ac:dyDescent="0.35">
      <c r="A658" s="4">
        <v>657</v>
      </c>
      <c r="B658" s="5">
        <v>44968</v>
      </c>
      <c r="C658" s="4" t="s">
        <v>670</v>
      </c>
      <c r="D658" s="4" t="s">
        <v>10</v>
      </c>
      <c r="E658" s="4">
        <v>40</v>
      </c>
      <c r="F658" s="4" t="str">
        <f>IF(Table15678[[#This Row],[Age]]&lt;=19,"Teenager",IF(Table15678[[#This Row],[Age]]&lt;=40,"Median","Old"))</f>
        <v>Median</v>
      </c>
      <c r="G658" s="4" t="s">
        <v>14</v>
      </c>
      <c r="H658" s="4">
        <v>1</v>
      </c>
      <c r="I658" s="4">
        <v>25</v>
      </c>
      <c r="J658" s="4">
        <v>25</v>
      </c>
      <c r="K658" s="4" t="str" cm="1">
        <f t="array" ref="K658">_xlfn.IFS(AND(Table15678[[#This Row],[Total Amount]]&gt;=1500),"Critical",AND(Table15678[[#This Row],[Total Amount]]&gt;=1000),"High",TRUE,"Normal")</f>
        <v>Normal</v>
      </c>
      <c r="L658" s="4" t="str">
        <f>IF(Table15678[[#This Row],[Total Amount]]&gt;=1000,"High",(IF(Table15678[[#This Row],[Total Amount]]&gt;=500,"Medium","Low")))</f>
        <v>Low</v>
      </c>
      <c r="M658" s="4" t="str" cm="1">
        <f t="array" ref="M65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58" s="4" cm="1">
        <f t="array" ref="N65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2.5</v>
      </c>
      <c r="O658" s="4">
        <f>Table15678[[#This Row],[Total Amount]]-Table15678[[#This Row],[Discount Amount]]</f>
        <v>22.5</v>
      </c>
      <c r="P658" s="4" t="str">
        <f>IF(Table15678[[#This Row],[Total Amount]]&gt;=1000,"High","Low")</f>
        <v>Low</v>
      </c>
      <c r="Q658" s="4" t="str" cm="1">
        <f t="array" ref="Q658">_xlfn.IFS(AND(Table15678[[#This Row],[Total Amount]]&gt;=1500,"Critical"),AND(Table15678[[#This Row],[Total Amount]]&gt;=1000,"High"),TRUE,"Normal")</f>
        <v>Normal</v>
      </c>
      <c r="R658" s="4" t="str">
        <f>CONCATENATE(Table15678[[#This Row],[Customer ID]], "-",Table15678[[#This Row],[Age]])</f>
        <v>CUST657-40</v>
      </c>
      <c r="S658" s="4" t="str">
        <f>TEXT(Table15678[[#This Row],[Date]],"mmm")</f>
        <v>Feb</v>
      </c>
      <c r="T658" s="4" t="str">
        <f>TEXT(Table15678[[#This Row],[Date]],"DDD")</f>
        <v>Sat</v>
      </c>
    </row>
    <row r="659" spans="1:20" ht="29" x14ac:dyDescent="0.35">
      <c r="A659" s="4">
        <v>658</v>
      </c>
      <c r="B659" s="5">
        <v>44997</v>
      </c>
      <c r="C659" s="4" t="s">
        <v>671</v>
      </c>
      <c r="D659" s="4" t="s">
        <v>10</v>
      </c>
      <c r="E659" s="4">
        <v>59</v>
      </c>
      <c r="F659" s="4" t="str">
        <f>IF(Table15678[[#This Row],[Age]]&lt;=19,"Teenager",IF(Table15678[[#This Row],[Age]]&lt;=40,"Median","Old"))</f>
        <v>Old</v>
      </c>
      <c r="G659" s="4" t="s">
        <v>14</v>
      </c>
      <c r="H659" s="4">
        <v>1</v>
      </c>
      <c r="I659" s="4">
        <v>25</v>
      </c>
      <c r="J659" s="4">
        <v>25</v>
      </c>
      <c r="K659" s="4" t="str" cm="1">
        <f t="array" ref="K659">_xlfn.IFS(AND(Table15678[[#This Row],[Total Amount]]&gt;=1500),"Critical",AND(Table15678[[#This Row],[Total Amount]]&gt;=1000),"High",TRUE,"Normal")</f>
        <v>Normal</v>
      </c>
      <c r="L659" s="4" t="str">
        <f>IF(Table15678[[#This Row],[Total Amount]]&gt;=1000,"High",(IF(Table15678[[#This Row],[Total Amount]]&gt;=500,"Medium","Low")))</f>
        <v>Low</v>
      </c>
      <c r="M659" s="4" t="str" cm="1">
        <f t="array" ref="M65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59" s="4" cm="1">
        <f t="array" ref="N65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2.5</v>
      </c>
      <c r="O659" s="4">
        <f>Table15678[[#This Row],[Total Amount]]-Table15678[[#This Row],[Discount Amount]]</f>
        <v>22.5</v>
      </c>
      <c r="P659" s="4" t="str">
        <f>IF(Table15678[[#This Row],[Total Amount]]&gt;=1000,"High","Low")</f>
        <v>Low</v>
      </c>
      <c r="Q659" s="4" t="str" cm="1">
        <f t="array" ref="Q659">_xlfn.IFS(AND(Table15678[[#This Row],[Total Amount]]&gt;=1500,"Critical"),AND(Table15678[[#This Row],[Total Amount]]&gt;=1000,"High"),TRUE,"Normal")</f>
        <v>Normal</v>
      </c>
      <c r="R659" s="4" t="str">
        <f>CONCATENATE(Table15678[[#This Row],[Customer ID]], "-",Table15678[[#This Row],[Age]])</f>
        <v>CUST658-59</v>
      </c>
      <c r="S659" s="4" t="str">
        <f>TEXT(Table15678[[#This Row],[Date]],"mmm")</f>
        <v>Mar</v>
      </c>
      <c r="T659" s="4" t="str">
        <f>TEXT(Table15678[[#This Row],[Date]],"DDD")</f>
        <v>Sun</v>
      </c>
    </row>
    <row r="660" spans="1:20" ht="29" x14ac:dyDescent="0.35">
      <c r="A660" s="4">
        <v>659</v>
      </c>
      <c r="B660" s="5">
        <v>45004</v>
      </c>
      <c r="C660" s="4" t="s">
        <v>672</v>
      </c>
      <c r="D660" s="4" t="s">
        <v>13</v>
      </c>
      <c r="E660" s="4">
        <v>39</v>
      </c>
      <c r="F660" s="4" t="str">
        <f>IF(Table15678[[#This Row],[Age]]&lt;=19,"Teenager",IF(Table15678[[#This Row],[Age]]&lt;=40,"Median","Old"))</f>
        <v>Median</v>
      </c>
      <c r="G660" s="4" t="s">
        <v>16</v>
      </c>
      <c r="H660" s="4">
        <v>1</v>
      </c>
      <c r="I660" s="4">
        <v>30</v>
      </c>
      <c r="J660" s="4">
        <v>30</v>
      </c>
      <c r="K660" s="4" t="str" cm="1">
        <f t="array" ref="K660">_xlfn.IFS(AND(Table15678[[#This Row],[Total Amount]]&gt;=1500),"Critical",AND(Table15678[[#This Row],[Total Amount]]&gt;=1000),"High",TRUE,"Normal")</f>
        <v>Normal</v>
      </c>
      <c r="L660" s="4" t="str">
        <f>IF(Table15678[[#This Row],[Total Amount]]&gt;=1000,"High",(IF(Table15678[[#This Row],[Total Amount]]&gt;=500,"Medium","Low")))</f>
        <v>Low</v>
      </c>
      <c r="M660" s="4" t="str" cm="1">
        <f t="array" ref="M66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60" s="4" cm="1">
        <f t="array" ref="N66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660" s="4">
        <f>Table15678[[#This Row],[Total Amount]]-Table15678[[#This Row],[Discount Amount]]</f>
        <v>24</v>
      </c>
      <c r="P660" s="4" t="str">
        <f>IF(Table15678[[#This Row],[Total Amount]]&gt;=1000,"High","Low")</f>
        <v>Low</v>
      </c>
      <c r="Q660" s="4" t="str" cm="1">
        <f t="array" ref="Q660">_xlfn.IFS(AND(Table15678[[#This Row],[Total Amount]]&gt;=1500,"Critical"),AND(Table15678[[#This Row],[Total Amount]]&gt;=1000,"High"),TRUE,"Normal")</f>
        <v>Normal</v>
      </c>
      <c r="R660" s="4" t="str">
        <f>CONCATENATE(Table15678[[#This Row],[Customer ID]], "-",Table15678[[#This Row],[Age]])</f>
        <v>CUST659-39</v>
      </c>
      <c r="S660" s="4" t="str">
        <f>TEXT(Table15678[[#This Row],[Date]],"mmm")</f>
        <v>Mar</v>
      </c>
      <c r="T660" s="4" t="str">
        <f>TEXT(Table15678[[#This Row],[Date]],"DDD")</f>
        <v>Sun</v>
      </c>
    </row>
    <row r="661" spans="1:20" ht="29" x14ac:dyDescent="0.35">
      <c r="A661" s="4">
        <v>660</v>
      </c>
      <c r="B661" s="5">
        <v>45045</v>
      </c>
      <c r="C661" s="4" t="s">
        <v>673</v>
      </c>
      <c r="D661" s="4" t="s">
        <v>13</v>
      </c>
      <c r="E661" s="4">
        <v>38</v>
      </c>
      <c r="F661" s="4" t="str">
        <f>IF(Table15678[[#This Row],[Age]]&lt;=19,"Teenager",IF(Table15678[[#This Row],[Age]]&lt;=40,"Median","Old"))</f>
        <v>Median</v>
      </c>
      <c r="G661" s="4" t="s">
        <v>11</v>
      </c>
      <c r="H661" s="4">
        <v>2</v>
      </c>
      <c r="I661" s="4">
        <v>500</v>
      </c>
      <c r="J661" s="4">
        <v>1000</v>
      </c>
      <c r="K661" s="4" t="str" cm="1">
        <f t="array" ref="K661">_xlfn.IFS(AND(Table15678[[#This Row],[Total Amount]]&gt;=1500),"Critical",AND(Table15678[[#This Row],[Total Amount]]&gt;=1000),"High",TRUE,"Normal")</f>
        <v>High</v>
      </c>
      <c r="L661" s="4" t="str">
        <f>IF(Table15678[[#This Row],[Total Amount]]&gt;=1000,"High",(IF(Table15678[[#This Row],[Total Amount]]&gt;=500,"Medium","Low")))</f>
        <v>High</v>
      </c>
      <c r="M661" s="4" t="str" cm="1">
        <f t="array" ref="M66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61" s="4" cm="1">
        <f t="array" ref="N66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661" s="4">
        <f>Table15678[[#This Row],[Total Amount]]-Table15678[[#This Row],[Discount Amount]]</f>
        <v>800</v>
      </c>
      <c r="P661" s="4" t="str">
        <f>IF(Table15678[[#This Row],[Total Amount]]&gt;=1000,"High","Low")</f>
        <v>High</v>
      </c>
      <c r="Q661" s="4" t="str" cm="1">
        <f t="array" ref="Q661">_xlfn.IFS(AND(Table15678[[#This Row],[Total Amount]]&gt;=1500,"Critical"),AND(Table15678[[#This Row],[Total Amount]]&gt;=1000,"High"),TRUE,"Normal")</f>
        <v>Normal</v>
      </c>
      <c r="R661" s="4" t="str">
        <f>CONCATENATE(Table15678[[#This Row],[Customer ID]], "-",Table15678[[#This Row],[Age]])</f>
        <v>CUST660-38</v>
      </c>
      <c r="S661" s="4" t="str">
        <f>TEXT(Table15678[[#This Row],[Date]],"mmm")</f>
        <v>Apr</v>
      </c>
      <c r="T661" s="4" t="str">
        <f>TEXT(Table15678[[#This Row],[Date]],"DDD")</f>
        <v>Sat</v>
      </c>
    </row>
    <row r="662" spans="1:20" ht="29" x14ac:dyDescent="0.35">
      <c r="A662" s="4">
        <v>661</v>
      </c>
      <c r="B662" s="5">
        <v>45123</v>
      </c>
      <c r="C662" s="4" t="s">
        <v>674</v>
      </c>
      <c r="D662" s="4" t="s">
        <v>13</v>
      </c>
      <c r="E662" s="4">
        <v>44</v>
      </c>
      <c r="F662" s="4" t="str">
        <f>IF(Table15678[[#This Row],[Age]]&lt;=19,"Teenager",IF(Table15678[[#This Row],[Age]]&lt;=40,"Median","Old"))</f>
        <v>Old</v>
      </c>
      <c r="G662" s="4" t="s">
        <v>14</v>
      </c>
      <c r="H662" s="4">
        <v>4</v>
      </c>
      <c r="I662" s="4">
        <v>25</v>
      </c>
      <c r="J662" s="4">
        <v>100</v>
      </c>
      <c r="K662" s="4" t="str" cm="1">
        <f t="array" ref="K662">_xlfn.IFS(AND(Table15678[[#This Row],[Total Amount]]&gt;=1500),"Critical",AND(Table15678[[#This Row],[Total Amount]]&gt;=1000),"High",TRUE,"Normal")</f>
        <v>Normal</v>
      </c>
      <c r="L662" s="4" t="str">
        <f>IF(Table15678[[#This Row],[Total Amount]]&gt;=1000,"High",(IF(Table15678[[#This Row],[Total Amount]]&gt;=500,"Medium","Low")))</f>
        <v>Low</v>
      </c>
      <c r="M662" s="4" t="str" cm="1">
        <f t="array" ref="M66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62" s="4" cm="1">
        <f t="array" ref="N66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662" s="4">
        <f>Table15678[[#This Row],[Total Amount]]-Table15678[[#This Row],[Discount Amount]]</f>
        <v>80</v>
      </c>
      <c r="P662" s="4" t="str">
        <f>IF(Table15678[[#This Row],[Total Amount]]&gt;=1000,"High","Low")</f>
        <v>Low</v>
      </c>
      <c r="Q662" s="4" t="str" cm="1">
        <f t="array" ref="Q662">_xlfn.IFS(AND(Table15678[[#This Row],[Total Amount]]&gt;=1500,"Critical"),AND(Table15678[[#This Row],[Total Amount]]&gt;=1000,"High"),TRUE,"Normal")</f>
        <v>Normal</v>
      </c>
      <c r="R662" s="4" t="str">
        <f>CONCATENATE(Table15678[[#This Row],[Customer ID]], "-",Table15678[[#This Row],[Age]])</f>
        <v>CUST661-44</v>
      </c>
      <c r="S662" s="4" t="str">
        <f>TEXT(Table15678[[#This Row],[Date]],"mmm")</f>
        <v>Jul</v>
      </c>
      <c r="T662" s="4" t="str">
        <f>TEXT(Table15678[[#This Row],[Date]],"DDD")</f>
        <v>Sun</v>
      </c>
    </row>
    <row r="663" spans="1:20" ht="29" x14ac:dyDescent="0.35">
      <c r="A663" s="4">
        <v>662</v>
      </c>
      <c r="B663" s="5">
        <v>45282</v>
      </c>
      <c r="C663" s="4" t="s">
        <v>675</v>
      </c>
      <c r="D663" s="4" t="s">
        <v>10</v>
      </c>
      <c r="E663" s="4">
        <v>48</v>
      </c>
      <c r="F663" s="4" t="str">
        <f>IF(Table15678[[#This Row],[Age]]&lt;=19,"Teenager",IF(Table15678[[#This Row],[Age]]&lt;=40,"Median","Old"))</f>
        <v>Old</v>
      </c>
      <c r="G663" s="4" t="s">
        <v>11</v>
      </c>
      <c r="H663" s="4">
        <v>2</v>
      </c>
      <c r="I663" s="4">
        <v>500</v>
      </c>
      <c r="J663" s="4">
        <v>1000</v>
      </c>
      <c r="K663" s="4" t="str" cm="1">
        <f t="array" ref="K663">_xlfn.IFS(AND(Table15678[[#This Row],[Total Amount]]&gt;=1500),"Critical",AND(Table15678[[#This Row],[Total Amount]]&gt;=1000),"High",TRUE,"Normal")</f>
        <v>High</v>
      </c>
      <c r="L663" s="4" t="str">
        <f>IF(Table15678[[#This Row],[Total Amount]]&gt;=1000,"High",(IF(Table15678[[#This Row],[Total Amount]]&gt;=500,"Medium","Low")))</f>
        <v>High</v>
      </c>
      <c r="M663" s="4" t="str" cm="1">
        <f t="array" ref="M66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63" s="4" cm="1">
        <f t="array" ref="N66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663" s="4">
        <f>Table15678[[#This Row],[Total Amount]]-Table15678[[#This Row],[Discount Amount]]</f>
        <v>900</v>
      </c>
      <c r="P663" s="4" t="str">
        <f>IF(Table15678[[#This Row],[Total Amount]]&gt;=1000,"High","Low")</f>
        <v>High</v>
      </c>
      <c r="Q663" s="4" t="str" cm="1">
        <f t="array" ref="Q663">_xlfn.IFS(AND(Table15678[[#This Row],[Total Amount]]&gt;=1500,"Critical"),AND(Table15678[[#This Row],[Total Amount]]&gt;=1000,"High"),TRUE,"Normal")</f>
        <v>Normal</v>
      </c>
      <c r="R663" s="4" t="str">
        <f>CONCATENATE(Table15678[[#This Row],[Customer ID]], "-",Table15678[[#This Row],[Age]])</f>
        <v>CUST662-48</v>
      </c>
      <c r="S663" s="4" t="str">
        <f>TEXT(Table15678[[#This Row],[Date]],"mmm")</f>
        <v>Dec</v>
      </c>
      <c r="T663" s="4" t="str">
        <f>TEXT(Table15678[[#This Row],[Date]],"DDD")</f>
        <v>Fri</v>
      </c>
    </row>
    <row r="664" spans="1:20" ht="29" x14ac:dyDescent="0.35">
      <c r="A664" s="4">
        <v>663</v>
      </c>
      <c r="B664" s="5">
        <v>45005</v>
      </c>
      <c r="C664" s="4" t="s">
        <v>676</v>
      </c>
      <c r="D664" s="4" t="s">
        <v>10</v>
      </c>
      <c r="E664" s="4">
        <v>23</v>
      </c>
      <c r="F664" s="4" t="str">
        <f>IF(Table15678[[#This Row],[Age]]&lt;=19,"Teenager",IF(Table15678[[#This Row],[Age]]&lt;=40,"Median","Old"))</f>
        <v>Median</v>
      </c>
      <c r="G664" s="4" t="s">
        <v>14</v>
      </c>
      <c r="H664" s="4">
        <v>4</v>
      </c>
      <c r="I664" s="4">
        <v>300</v>
      </c>
      <c r="J664" s="4">
        <v>1200</v>
      </c>
      <c r="K664" s="4" t="str" cm="1">
        <f t="array" ref="K664">_xlfn.IFS(AND(Table15678[[#This Row],[Total Amount]]&gt;=1500),"Critical",AND(Table15678[[#This Row],[Total Amount]]&gt;=1000),"High",TRUE,"Normal")</f>
        <v>High</v>
      </c>
      <c r="L664" s="4" t="str">
        <f>IF(Table15678[[#This Row],[Total Amount]]&gt;=1000,"High",(IF(Table15678[[#This Row],[Total Amount]]&gt;=500,"Medium","Low")))</f>
        <v>High</v>
      </c>
      <c r="M664" s="4" t="str" cm="1">
        <f t="array" ref="M66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664" s="4" cm="1">
        <f t="array" ref="N66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664" s="4">
        <f>Table15678[[#This Row],[Total Amount]]-Table15678[[#This Row],[Discount Amount]]</f>
        <v>1200</v>
      </c>
      <c r="P664" s="4" t="str">
        <f>IF(Table15678[[#This Row],[Total Amount]]&gt;=1000,"High","Low")</f>
        <v>High</v>
      </c>
      <c r="Q664" s="4" t="str" cm="1">
        <f t="array" ref="Q664">_xlfn.IFS(AND(Table15678[[#This Row],[Total Amount]]&gt;=1500,"Critical"),AND(Table15678[[#This Row],[Total Amount]]&gt;=1000,"High"),TRUE,"Normal")</f>
        <v>Normal</v>
      </c>
      <c r="R664" s="4" t="str">
        <f>CONCATENATE(Table15678[[#This Row],[Customer ID]], "-",Table15678[[#This Row],[Age]])</f>
        <v>CUST663-23</v>
      </c>
      <c r="S664" s="4" t="str">
        <f>TEXT(Table15678[[#This Row],[Date]],"mmm")</f>
        <v>Mar</v>
      </c>
      <c r="T664" s="4" t="str">
        <f>TEXT(Table15678[[#This Row],[Date]],"DDD")</f>
        <v>Mon</v>
      </c>
    </row>
    <row r="665" spans="1:20" ht="29" x14ac:dyDescent="0.35">
      <c r="A665" s="4">
        <v>664</v>
      </c>
      <c r="B665" s="5">
        <v>45288</v>
      </c>
      <c r="C665" s="4" t="s">
        <v>677</v>
      </c>
      <c r="D665" s="4" t="s">
        <v>13</v>
      </c>
      <c r="E665" s="4">
        <v>44</v>
      </c>
      <c r="F665" s="4" t="str">
        <f>IF(Table15678[[#This Row],[Age]]&lt;=19,"Teenager",IF(Table15678[[#This Row],[Age]]&lt;=40,"Median","Old"))</f>
        <v>Old</v>
      </c>
      <c r="G665" s="4" t="s">
        <v>14</v>
      </c>
      <c r="H665" s="4">
        <v>4</v>
      </c>
      <c r="I665" s="4">
        <v>500</v>
      </c>
      <c r="J665" s="4">
        <v>2000</v>
      </c>
      <c r="K665" s="4" t="str" cm="1">
        <f t="array" ref="K665">_xlfn.IFS(AND(Table15678[[#This Row],[Total Amount]]&gt;=1500),"Critical",AND(Table15678[[#This Row],[Total Amount]]&gt;=1000),"High",TRUE,"Normal")</f>
        <v>Critical</v>
      </c>
      <c r="L665" s="4" t="str">
        <f>IF(Table15678[[#This Row],[Total Amount]]&gt;=1000,"High",(IF(Table15678[[#This Row],[Total Amount]]&gt;=500,"Medium","Low")))</f>
        <v>High</v>
      </c>
      <c r="M665" s="4" t="str" cm="1">
        <f t="array" ref="M66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65" s="4" cm="1">
        <f t="array" ref="N66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400</v>
      </c>
      <c r="O665" s="4">
        <f>Table15678[[#This Row],[Total Amount]]-Table15678[[#This Row],[Discount Amount]]</f>
        <v>1600</v>
      </c>
      <c r="P665" s="4" t="str">
        <f>IF(Table15678[[#This Row],[Total Amount]]&gt;=1000,"High","Low")</f>
        <v>High</v>
      </c>
      <c r="Q665" s="4" t="b" cm="1">
        <f t="array" ref="Q665">_xlfn.IFS(AND(Table15678[[#This Row],[Total Amount]]&gt;=1500,"Critical"),AND(Table15678[[#This Row],[Total Amount]]&gt;=1000,"High"),TRUE,"Normal")</f>
        <v>1</v>
      </c>
      <c r="R665" s="4" t="str">
        <f>CONCATENATE(Table15678[[#This Row],[Customer ID]], "-",Table15678[[#This Row],[Age]])</f>
        <v>CUST664-44</v>
      </c>
      <c r="S665" s="4" t="str">
        <f>TEXT(Table15678[[#This Row],[Date]],"mmm")</f>
        <v>Dec</v>
      </c>
      <c r="T665" s="4" t="str">
        <f>TEXT(Table15678[[#This Row],[Date]],"DDD")</f>
        <v>Thu</v>
      </c>
    </row>
    <row r="666" spans="1:20" ht="29" x14ac:dyDescent="0.35">
      <c r="A666" s="4">
        <v>665</v>
      </c>
      <c r="B666" s="5">
        <v>45036</v>
      </c>
      <c r="C666" s="4" t="s">
        <v>678</v>
      </c>
      <c r="D666" s="4" t="s">
        <v>10</v>
      </c>
      <c r="E666" s="4">
        <v>57</v>
      </c>
      <c r="F666" s="4" t="str">
        <f>IF(Table15678[[#This Row],[Age]]&lt;=19,"Teenager",IF(Table15678[[#This Row],[Age]]&lt;=40,"Median","Old"))</f>
        <v>Old</v>
      </c>
      <c r="G666" s="4" t="s">
        <v>14</v>
      </c>
      <c r="H666" s="4">
        <v>1</v>
      </c>
      <c r="I666" s="4">
        <v>50</v>
      </c>
      <c r="J666" s="4">
        <v>50</v>
      </c>
      <c r="K666" s="4" t="str" cm="1">
        <f t="array" ref="K666">_xlfn.IFS(AND(Table15678[[#This Row],[Total Amount]]&gt;=1500),"Critical",AND(Table15678[[#This Row],[Total Amount]]&gt;=1000),"High",TRUE,"Normal")</f>
        <v>Normal</v>
      </c>
      <c r="L666" s="4" t="str">
        <f>IF(Table15678[[#This Row],[Total Amount]]&gt;=1000,"High",(IF(Table15678[[#This Row],[Total Amount]]&gt;=500,"Medium","Low")))</f>
        <v>Low</v>
      </c>
      <c r="M666" s="4" t="str" cm="1">
        <f t="array" ref="M66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66" s="4" cm="1">
        <f t="array" ref="N66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666" s="4">
        <f>Table15678[[#This Row],[Total Amount]]-Table15678[[#This Row],[Discount Amount]]</f>
        <v>45</v>
      </c>
      <c r="P666" s="4" t="str">
        <f>IF(Table15678[[#This Row],[Total Amount]]&gt;=1000,"High","Low")</f>
        <v>Low</v>
      </c>
      <c r="Q666" s="4" t="str" cm="1">
        <f t="array" ref="Q666">_xlfn.IFS(AND(Table15678[[#This Row],[Total Amount]]&gt;=1500,"Critical"),AND(Table15678[[#This Row],[Total Amount]]&gt;=1000,"High"),TRUE,"Normal")</f>
        <v>Normal</v>
      </c>
      <c r="R666" s="4" t="str">
        <f>CONCATENATE(Table15678[[#This Row],[Customer ID]], "-",Table15678[[#This Row],[Age]])</f>
        <v>CUST665-57</v>
      </c>
      <c r="S666" s="4" t="str">
        <f>TEXT(Table15678[[#This Row],[Date]],"mmm")</f>
        <v>Apr</v>
      </c>
      <c r="T666" s="4" t="str">
        <f>TEXT(Table15678[[#This Row],[Date]],"DDD")</f>
        <v>Thu</v>
      </c>
    </row>
    <row r="667" spans="1:20" ht="29" x14ac:dyDescent="0.35">
      <c r="A667" s="4">
        <v>666</v>
      </c>
      <c r="B667" s="5">
        <v>44959</v>
      </c>
      <c r="C667" s="4" t="s">
        <v>679</v>
      </c>
      <c r="D667" s="4" t="s">
        <v>10</v>
      </c>
      <c r="E667" s="4">
        <v>51</v>
      </c>
      <c r="F667" s="4" t="str">
        <f>IF(Table15678[[#This Row],[Age]]&lt;=19,"Teenager",IF(Table15678[[#This Row],[Age]]&lt;=40,"Median","Old"))</f>
        <v>Old</v>
      </c>
      <c r="G667" s="4" t="s">
        <v>16</v>
      </c>
      <c r="H667" s="4">
        <v>3</v>
      </c>
      <c r="I667" s="4">
        <v>50</v>
      </c>
      <c r="J667" s="4">
        <v>150</v>
      </c>
      <c r="K667" s="4" t="str" cm="1">
        <f t="array" ref="K667">_xlfn.IFS(AND(Table15678[[#This Row],[Total Amount]]&gt;=1500),"Critical",AND(Table15678[[#This Row],[Total Amount]]&gt;=1000),"High",TRUE,"Normal")</f>
        <v>Normal</v>
      </c>
      <c r="L667" s="4" t="str">
        <f>IF(Table15678[[#This Row],[Total Amount]]&gt;=1000,"High",(IF(Table15678[[#This Row],[Total Amount]]&gt;=500,"Medium","Low")))</f>
        <v>Low</v>
      </c>
      <c r="M667" s="4" t="str" cm="1">
        <f t="array" ref="M66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67" s="4" cm="1">
        <f t="array" ref="N66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667" s="4">
        <f>Table15678[[#This Row],[Total Amount]]-Table15678[[#This Row],[Discount Amount]]</f>
        <v>135</v>
      </c>
      <c r="P667" s="4" t="str">
        <f>IF(Table15678[[#This Row],[Total Amount]]&gt;=1000,"High","Low")</f>
        <v>Low</v>
      </c>
      <c r="Q667" s="4" t="str" cm="1">
        <f t="array" ref="Q667">_xlfn.IFS(AND(Table15678[[#This Row],[Total Amount]]&gt;=1500,"Critical"),AND(Table15678[[#This Row],[Total Amount]]&gt;=1000,"High"),TRUE,"Normal")</f>
        <v>Normal</v>
      </c>
      <c r="R667" s="4" t="str">
        <f>CONCATENATE(Table15678[[#This Row],[Customer ID]], "-",Table15678[[#This Row],[Age]])</f>
        <v>CUST666-51</v>
      </c>
      <c r="S667" s="4" t="str">
        <f>TEXT(Table15678[[#This Row],[Date]],"mmm")</f>
        <v>Feb</v>
      </c>
      <c r="T667" s="4" t="str">
        <f>TEXT(Table15678[[#This Row],[Date]],"DDD")</f>
        <v>Thu</v>
      </c>
    </row>
    <row r="668" spans="1:20" ht="29" x14ac:dyDescent="0.35">
      <c r="A668" s="4">
        <v>667</v>
      </c>
      <c r="B668" s="5">
        <v>45139</v>
      </c>
      <c r="C668" s="4" t="s">
        <v>680</v>
      </c>
      <c r="D668" s="4" t="s">
        <v>13</v>
      </c>
      <c r="E668" s="4">
        <v>29</v>
      </c>
      <c r="F668" s="4" t="str">
        <f>IF(Table15678[[#This Row],[Age]]&lt;=19,"Teenager",IF(Table15678[[#This Row],[Age]]&lt;=40,"Median","Old"))</f>
        <v>Median</v>
      </c>
      <c r="G668" s="4" t="s">
        <v>16</v>
      </c>
      <c r="H668" s="4">
        <v>1</v>
      </c>
      <c r="I668" s="4">
        <v>500</v>
      </c>
      <c r="J668" s="4">
        <v>500</v>
      </c>
      <c r="K668" s="4" t="str" cm="1">
        <f t="array" ref="K668">_xlfn.IFS(AND(Table15678[[#This Row],[Total Amount]]&gt;=1500),"Critical",AND(Table15678[[#This Row],[Total Amount]]&gt;=1000),"High",TRUE,"Normal")</f>
        <v>Normal</v>
      </c>
      <c r="L668" s="4" t="str">
        <f>IF(Table15678[[#This Row],[Total Amount]]&gt;=1000,"High",(IF(Table15678[[#This Row],[Total Amount]]&gt;=500,"Medium","Low")))</f>
        <v>Medium</v>
      </c>
      <c r="M668" s="4" t="str" cm="1">
        <f t="array" ref="M66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68" s="4" cm="1">
        <f t="array" ref="N66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75</v>
      </c>
      <c r="O668" s="4">
        <f>Table15678[[#This Row],[Total Amount]]-Table15678[[#This Row],[Discount Amount]]</f>
        <v>425</v>
      </c>
      <c r="P668" s="4" t="str">
        <f>IF(Table15678[[#This Row],[Total Amount]]&gt;=1000,"High","Low")</f>
        <v>Low</v>
      </c>
      <c r="Q668" s="4" t="str" cm="1">
        <f t="array" ref="Q668">_xlfn.IFS(AND(Table15678[[#This Row],[Total Amount]]&gt;=1500,"Critical"),AND(Table15678[[#This Row],[Total Amount]]&gt;=1000,"High"),TRUE,"Normal")</f>
        <v>Normal</v>
      </c>
      <c r="R668" s="4" t="str">
        <f>CONCATENATE(Table15678[[#This Row],[Customer ID]], "-",Table15678[[#This Row],[Age]])</f>
        <v>CUST667-29</v>
      </c>
      <c r="S668" s="4" t="str">
        <f>TEXT(Table15678[[#This Row],[Date]],"mmm")</f>
        <v>Aug</v>
      </c>
      <c r="T668" s="4" t="str">
        <f>TEXT(Table15678[[#This Row],[Date]],"DDD")</f>
        <v>Tue</v>
      </c>
    </row>
    <row r="669" spans="1:20" ht="29" x14ac:dyDescent="0.35">
      <c r="A669" s="4">
        <v>668</v>
      </c>
      <c r="B669" s="5">
        <v>45135</v>
      </c>
      <c r="C669" s="4" t="s">
        <v>681</v>
      </c>
      <c r="D669" s="4" t="s">
        <v>13</v>
      </c>
      <c r="E669" s="4">
        <v>62</v>
      </c>
      <c r="F669" s="4" t="str">
        <f>IF(Table15678[[#This Row],[Age]]&lt;=19,"Teenager",IF(Table15678[[#This Row],[Age]]&lt;=40,"Median","Old"))</f>
        <v>Old</v>
      </c>
      <c r="G669" s="4" t="s">
        <v>16</v>
      </c>
      <c r="H669" s="4">
        <v>3</v>
      </c>
      <c r="I669" s="4">
        <v>50</v>
      </c>
      <c r="J669" s="4">
        <v>150</v>
      </c>
      <c r="K669" s="4" t="str" cm="1">
        <f t="array" ref="K669">_xlfn.IFS(AND(Table15678[[#This Row],[Total Amount]]&gt;=1500),"Critical",AND(Table15678[[#This Row],[Total Amount]]&gt;=1000),"High",TRUE,"Normal")</f>
        <v>Normal</v>
      </c>
      <c r="L669" s="4" t="str">
        <f>IF(Table15678[[#This Row],[Total Amount]]&gt;=1000,"High",(IF(Table15678[[#This Row],[Total Amount]]&gt;=500,"Medium","Low")))</f>
        <v>Low</v>
      </c>
      <c r="M669" s="4" t="str" cm="1">
        <f t="array" ref="M66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69" s="4" cm="1">
        <f t="array" ref="N66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669" s="4">
        <f>Table15678[[#This Row],[Total Amount]]-Table15678[[#This Row],[Discount Amount]]</f>
        <v>120</v>
      </c>
      <c r="P669" s="4" t="str">
        <f>IF(Table15678[[#This Row],[Total Amount]]&gt;=1000,"High","Low")</f>
        <v>Low</v>
      </c>
      <c r="Q669" s="4" t="str" cm="1">
        <f t="array" ref="Q669">_xlfn.IFS(AND(Table15678[[#This Row],[Total Amount]]&gt;=1500,"Critical"),AND(Table15678[[#This Row],[Total Amount]]&gt;=1000,"High"),TRUE,"Normal")</f>
        <v>Normal</v>
      </c>
      <c r="R669" s="4" t="str">
        <f>CONCATENATE(Table15678[[#This Row],[Customer ID]], "-",Table15678[[#This Row],[Age]])</f>
        <v>CUST668-62</v>
      </c>
      <c r="S669" s="4" t="str">
        <f>TEXT(Table15678[[#This Row],[Date]],"mmm")</f>
        <v>Jul</v>
      </c>
      <c r="T669" s="4" t="str">
        <f>TEXT(Table15678[[#This Row],[Date]],"DDD")</f>
        <v>Fri</v>
      </c>
    </row>
    <row r="670" spans="1:20" ht="29" x14ac:dyDescent="0.35">
      <c r="A670" s="4">
        <v>669</v>
      </c>
      <c r="B670" s="5">
        <v>45096</v>
      </c>
      <c r="C670" s="4" t="s">
        <v>682</v>
      </c>
      <c r="D670" s="4" t="s">
        <v>10</v>
      </c>
      <c r="E670" s="4">
        <v>24</v>
      </c>
      <c r="F670" s="4" t="str">
        <f>IF(Table15678[[#This Row],[Age]]&lt;=19,"Teenager",IF(Table15678[[#This Row],[Age]]&lt;=40,"Median","Old"))</f>
        <v>Median</v>
      </c>
      <c r="G670" s="4" t="s">
        <v>11</v>
      </c>
      <c r="H670" s="4">
        <v>4</v>
      </c>
      <c r="I670" s="4">
        <v>300</v>
      </c>
      <c r="J670" s="4">
        <v>1200</v>
      </c>
      <c r="K670" s="4" t="str" cm="1">
        <f t="array" ref="K670">_xlfn.IFS(AND(Table15678[[#This Row],[Total Amount]]&gt;=1500),"Critical",AND(Table15678[[#This Row],[Total Amount]]&gt;=1000),"High",TRUE,"Normal")</f>
        <v>High</v>
      </c>
      <c r="L670" s="4" t="str">
        <f>IF(Table15678[[#This Row],[Total Amount]]&gt;=1000,"High",(IF(Table15678[[#This Row],[Total Amount]]&gt;=500,"Medium","Low")))</f>
        <v>High</v>
      </c>
      <c r="M670" s="4" t="str" cm="1">
        <f t="array" ref="M67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670" s="4" cm="1">
        <f t="array" ref="N67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670" s="4">
        <f>Table15678[[#This Row],[Total Amount]]-Table15678[[#This Row],[Discount Amount]]</f>
        <v>1200</v>
      </c>
      <c r="P670" s="4" t="str">
        <f>IF(Table15678[[#This Row],[Total Amount]]&gt;=1000,"High","Low")</f>
        <v>High</v>
      </c>
      <c r="Q670" s="4" t="str" cm="1">
        <f t="array" ref="Q670">_xlfn.IFS(AND(Table15678[[#This Row],[Total Amount]]&gt;=1500,"Critical"),AND(Table15678[[#This Row],[Total Amount]]&gt;=1000,"High"),TRUE,"Normal")</f>
        <v>Normal</v>
      </c>
      <c r="R670" s="4" t="str">
        <f>CONCATENATE(Table15678[[#This Row],[Customer ID]], "-",Table15678[[#This Row],[Age]])</f>
        <v>CUST669-24</v>
      </c>
      <c r="S670" s="4" t="str">
        <f>TEXT(Table15678[[#This Row],[Date]],"mmm")</f>
        <v>Jun</v>
      </c>
      <c r="T670" s="4" t="str">
        <f>TEXT(Table15678[[#This Row],[Date]],"DDD")</f>
        <v>Mon</v>
      </c>
    </row>
    <row r="671" spans="1:20" ht="29" x14ac:dyDescent="0.35">
      <c r="A671" s="4">
        <v>670</v>
      </c>
      <c r="B671" s="5">
        <v>45204</v>
      </c>
      <c r="C671" s="4" t="s">
        <v>683</v>
      </c>
      <c r="D671" s="4" t="s">
        <v>10</v>
      </c>
      <c r="E671" s="4">
        <v>27</v>
      </c>
      <c r="F671" s="4" t="str">
        <f>IF(Table15678[[#This Row],[Age]]&lt;=19,"Teenager",IF(Table15678[[#This Row],[Age]]&lt;=40,"Median","Old"))</f>
        <v>Median</v>
      </c>
      <c r="G671" s="4" t="s">
        <v>11</v>
      </c>
      <c r="H671" s="4">
        <v>1</v>
      </c>
      <c r="I671" s="4">
        <v>30</v>
      </c>
      <c r="J671" s="4">
        <v>30</v>
      </c>
      <c r="K671" s="4" t="str" cm="1">
        <f t="array" ref="K671">_xlfn.IFS(AND(Table15678[[#This Row],[Total Amount]]&gt;=1500),"Critical",AND(Table15678[[#This Row],[Total Amount]]&gt;=1000),"High",TRUE,"Normal")</f>
        <v>Normal</v>
      </c>
      <c r="L671" s="4" t="str">
        <f>IF(Table15678[[#This Row],[Total Amount]]&gt;=1000,"High",(IF(Table15678[[#This Row],[Total Amount]]&gt;=500,"Medium","Low")))</f>
        <v>Low</v>
      </c>
      <c r="M671" s="4" t="str" cm="1">
        <f t="array" ref="M67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71" s="4" cm="1">
        <f t="array" ref="N67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4.5</v>
      </c>
      <c r="O671" s="4">
        <f>Table15678[[#This Row],[Total Amount]]-Table15678[[#This Row],[Discount Amount]]</f>
        <v>25.5</v>
      </c>
      <c r="P671" s="4" t="str">
        <f>IF(Table15678[[#This Row],[Total Amount]]&gt;=1000,"High","Low")</f>
        <v>Low</v>
      </c>
      <c r="Q671" s="4" t="str" cm="1">
        <f t="array" ref="Q671">_xlfn.IFS(AND(Table15678[[#This Row],[Total Amount]]&gt;=1500,"Critical"),AND(Table15678[[#This Row],[Total Amount]]&gt;=1000,"High"),TRUE,"Normal")</f>
        <v>Normal</v>
      </c>
      <c r="R671" s="4" t="str">
        <f>CONCATENATE(Table15678[[#This Row],[Customer ID]], "-",Table15678[[#This Row],[Age]])</f>
        <v>CUST670-27</v>
      </c>
      <c r="S671" s="4" t="str">
        <f>TEXT(Table15678[[#This Row],[Date]],"mmm")</f>
        <v>Oct</v>
      </c>
      <c r="T671" s="4" t="str">
        <f>TEXT(Table15678[[#This Row],[Date]],"DDD")</f>
        <v>Thu</v>
      </c>
    </row>
    <row r="672" spans="1:20" ht="29" x14ac:dyDescent="0.35">
      <c r="A672" s="4">
        <v>671</v>
      </c>
      <c r="B672" s="5">
        <v>45165</v>
      </c>
      <c r="C672" s="4" t="s">
        <v>684</v>
      </c>
      <c r="D672" s="4" t="s">
        <v>10</v>
      </c>
      <c r="E672" s="4">
        <v>62</v>
      </c>
      <c r="F672" s="4" t="str">
        <f>IF(Table15678[[#This Row],[Age]]&lt;=19,"Teenager",IF(Table15678[[#This Row],[Age]]&lt;=40,"Median","Old"))</f>
        <v>Old</v>
      </c>
      <c r="G672" s="4" t="s">
        <v>16</v>
      </c>
      <c r="H672" s="4">
        <v>3</v>
      </c>
      <c r="I672" s="4">
        <v>50</v>
      </c>
      <c r="J672" s="4">
        <v>150</v>
      </c>
      <c r="K672" s="4" t="str" cm="1">
        <f t="array" ref="K672">_xlfn.IFS(AND(Table15678[[#This Row],[Total Amount]]&gt;=1500),"Critical",AND(Table15678[[#This Row],[Total Amount]]&gt;=1000),"High",TRUE,"Normal")</f>
        <v>Normal</v>
      </c>
      <c r="L672" s="4" t="str">
        <f>IF(Table15678[[#This Row],[Total Amount]]&gt;=1000,"High",(IF(Table15678[[#This Row],[Total Amount]]&gt;=500,"Medium","Low")))</f>
        <v>Low</v>
      </c>
      <c r="M672" s="4" t="str" cm="1">
        <f t="array" ref="M67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72" s="4" cm="1">
        <f t="array" ref="N67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672" s="4">
        <f>Table15678[[#This Row],[Total Amount]]-Table15678[[#This Row],[Discount Amount]]</f>
        <v>135</v>
      </c>
      <c r="P672" s="4" t="str">
        <f>IF(Table15678[[#This Row],[Total Amount]]&gt;=1000,"High","Low")</f>
        <v>Low</v>
      </c>
      <c r="Q672" s="4" t="str" cm="1">
        <f t="array" ref="Q672">_xlfn.IFS(AND(Table15678[[#This Row],[Total Amount]]&gt;=1500,"Critical"),AND(Table15678[[#This Row],[Total Amount]]&gt;=1000,"High"),TRUE,"Normal")</f>
        <v>Normal</v>
      </c>
      <c r="R672" s="4" t="str">
        <f>CONCATENATE(Table15678[[#This Row],[Customer ID]], "-",Table15678[[#This Row],[Age]])</f>
        <v>CUST671-62</v>
      </c>
      <c r="S672" s="4" t="str">
        <f>TEXT(Table15678[[#This Row],[Date]],"mmm")</f>
        <v>Aug</v>
      </c>
      <c r="T672" s="4" t="str">
        <f>TEXT(Table15678[[#This Row],[Date]],"DDD")</f>
        <v>Sun</v>
      </c>
    </row>
    <row r="673" spans="1:20" ht="29" x14ac:dyDescent="0.35">
      <c r="A673" s="4">
        <v>672</v>
      </c>
      <c r="B673" s="5">
        <v>45139</v>
      </c>
      <c r="C673" s="4" t="s">
        <v>685</v>
      </c>
      <c r="D673" s="4" t="s">
        <v>13</v>
      </c>
      <c r="E673" s="4">
        <v>34</v>
      </c>
      <c r="F673" s="4" t="str">
        <f>IF(Table15678[[#This Row],[Age]]&lt;=19,"Teenager",IF(Table15678[[#This Row],[Age]]&lt;=40,"Median","Old"))</f>
        <v>Median</v>
      </c>
      <c r="G673" s="4" t="s">
        <v>11</v>
      </c>
      <c r="H673" s="4">
        <v>2</v>
      </c>
      <c r="I673" s="4">
        <v>50</v>
      </c>
      <c r="J673" s="4">
        <v>100</v>
      </c>
      <c r="K673" s="4" t="str" cm="1">
        <f t="array" ref="K673">_xlfn.IFS(AND(Table15678[[#This Row],[Total Amount]]&gt;=1500),"Critical",AND(Table15678[[#This Row],[Total Amount]]&gt;=1000),"High",TRUE,"Normal")</f>
        <v>Normal</v>
      </c>
      <c r="L673" s="4" t="str">
        <f>IF(Table15678[[#This Row],[Total Amount]]&gt;=1000,"High",(IF(Table15678[[#This Row],[Total Amount]]&gt;=500,"Medium","Low")))</f>
        <v>Low</v>
      </c>
      <c r="M673" s="4" t="str" cm="1">
        <f t="array" ref="M67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73" s="4" cm="1">
        <f t="array" ref="N67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673" s="4">
        <f>Table15678[[#This Row],[Total Amount]]-Table15678[[#This Row],[Discount Amount]]</f>
        <v>85</v>
      </c>
      <c r="P673" s="4" t="str">
        <f>IF(Table15678[[#This Row],[Total Amount]]&gt;=1000,"High","Low")</f>
        <v>Low</v>
      </c>
      <c r="Q673" s="4" t="str" cm="1">
        <f t="array" ref="Q673">_xlfn.IFS(AND(Table15678[[#This Row],[Total Amount]]&gt;=1500,"Critical"),AND(Table15678[[#This Row],[Total Amount]]&gt;=1000,"High"),TRUE,"Normal")</f>
        <v>Normal</v>
      </c>
      <c r="R673" s="4" t="str">
        <f>CONCATENATE(Table15678[[#This Row],[Customer ID]], "-",Table15678[[#This Row],[Age]])</f>
        <v>CUST672-34</v>
      </c>
      <c r="S673" s="4" t="str">
        <f>TEXT(Table15678[[#This Row],[Date]],"mmm")</f>
        <v>Aug</v>
      </c>
      <c r="T673" s="4" t="str">
        <f>TEXT(Table15678[[#This Row],[Date]],"DDD")</f>
        <v>Tue</v>
      </c>
    </row>
    <row r="674" spans="1:20" ht="29" x14ac:dyDescent="0.35">
      <c r="A674" s="4">
        <v>673</v>
      </c>
      <c r="B674" s="5">
        <v>44958</v>
      </c>
      <c r="C674" s="4" t="s">
        <v>686</v>
      </c>
      <c r="D674" s="4" t="s">
        <v>13</v>
      </c>
      <c r="E674" s="4">
        <v>43</v>
      </c>
      <c r="F674" s="4" t="str">
        <f>IF(Table15678[[#This Row],[Age]]&lt;=19,"Teenager",IF(Table15678[[#This Row],[Age]]&lt;=40,"Median","Old"))</f>
        <v>Old</v>
      </c>
      <c r="G674" s="4" t="s">
        <v>14</v>
      </c>
      <c r="H674" s="4">
        <v>3</v>
      </c>
      <c r="I674" s="4">
        <v>500</v>
      </c>
      <c r="J674" s="4">
        <v>1500</v>
      </c>
      <c r="K674" s="4" t="str" cm="1">
        <f t="array" ref="K674">_xlfn.IFS(AND(Table15678[[#This Row],[Total Amount]]&gt;=1500),"Critical",AND(Table15678[[#This Row],[Total Amount]]&gt;=1000),"High",TRUE,"Normal")</f>
        <v>Critical</v>
      </c>
      <c r="L674" s="4" t="str">
        <f>IF(Table15678[[#This Row],[Total Amount]]&gt;=1000,"High",(IF(Table15678[[#This Row],[Total Amount]]&gt;=500,"Medium","Low")))</f>
        <v>High</v>
      </c>
      <c r="M674" s="4" t="str" cm="1">
        <f t="array" ref="M67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74" s="4" cm="1">
        <f t="array" ref="N67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674" s="4">
        <f>Table15678[[#This Row],[Total Amount]]-Table15678[[#This Row],[Discount Amount]]</f>
        <v>1200</v>
      </c>
      <c r="P674" s="4" t="str">
        <f>IF(Table15678[[#This Row],[Total Amount]]&gt;=1000,"High","Low")</f>
        <v>High</v>
      </c>
      <c r="Q674" s="4" t="b" cm="1">
        <f t="array" ref="Q674">_xlfn.IFS(AND(Table15678[[#This Row],[Total Amount]]&gt;=1500,"Critical"),AND(Table15678[[#This Row],[Total Amount]]&gt;=1000,"High"),TRUE,"Normal")</f>
        <v>1</v>
      </c>
      <c r="R674" s="4" t="str">
        <f>CONCATENATE(Table15678[[#This Row],[Customer ID]], "-",Table15678[[#This Row],[Age]])</f>
        <v>CUST673-43</v>
      </c>
      <c r="S674" s="4" t="str">
        <f>TEXT(Table15678[[#This Row],[Date]],"mmm")</f>
        <v>Feb</v>
      </c>
      <c r="T674" s="4" t="str">
        <f>TEXT(Table15678[[#This Row],[Date]],"DDD")</f>
        <v>Wed</v>
      </c>
    </row>
    <row r="675" spans="1:20" ht="29" x14ac:dyDescent="0.35">
      <c r="A675" s="4">
        <v>674</v>
      </c>
      <c r="B675" s="5">
        <v>45032</v>
      </c>
      <c r="C675" s="4" t="s">
        <v>687</v>
      </c>
      <c r="D675" s="4" t="s">
        <v>13</v>
      </c>
      <c r="E675" s="4">
        <v>38</v>
      </c>
      <c r="F675" s="4" t="str">
        <f>IF(Table15678[[#This Row],[Age]]&lt;=19,"Teenager",IF(Table15678[[#This Row],[Age]]&lt;=40,"Median","Old"))</f>
        <v>Median</v>
      </c>
      <c r="G675" s="4" t="s">
        <v>14</v>
      </c>
      <c r="H675" s="4">
        <v>1</v>
      </c>
      <c r="I675" s="4">
        <v>300</v>
      </c>
      <c r="J675" s="4">
        <v>300</v>
      </c>
      <c r="K675" s="4" t="str" cm="1">
        <f t="array" ref="K675">_xlfn.IFS(AND(Table15678[[#This Row],[Total Amount]]&gt;=1500),"Critical",AND(Table15678[[#This Row],[Total Amount]]&gt;=1000),"High",TRUE,"Normal")</f>
        <v>Normal</v>
      </c>
      <c r="L675" s="4" t="str">
        <f>IF(Table15678[[#This Row],[Total Amount]]&gt;=1000,"High",(IF(Table15678[[#This Row],[Total Amount]]&gt;=500,"Medium","Low")))</f>
        <v>Low</v>
      </c>
      <c r="M675" s="4" t="str" cm="1">
        <f t="array" ref="M67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75" s="4" cm="1">
        <f t="array" ref="N67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675" s="4">
        <f>Table15678[[#This Row],[Total Amount]]-Table15678[[#This Row],[Discount Amount]]</f>
        <v>240</v>
      </c>
      <c r="P675" s="4" t="str">
        <f>IF(Table15678[[#This Row],[Total Amount]]&gt;=1000,"High","Low")</f>
        <v>Low</v>
      </c>
      <c r="Q675" s="4" t="str" cm="1">
        <f t="array" ref="Q675">_xlfn.IFS(AND(Table15678[[#This Row],[Total Amount]]&gt;=1500,"Critical"),AND(Table15678[[#This Row],[Total Amount]]&gt;=1000,"High"),TRUE,"Normal")</f>
        <v>Normal</v>
      </c>
      <c r="R675" s="4" t="str">
        <f>CONCATENATE(Table15678[[#This Row],[Customer ID]], "-",Table15678[[#This Row],[Age]])</f>
        <v>CUST674-38</v>
      </c>
      <c r="S675" s="4" t="str">
        <f>TEXT(Table15678[[#This Row],[Date]],"mmm")</f>
        <v>Apr</v>
      </c>
      <c r="T675" s="4" t="str">
        <f>TEXT(Table15678[[#This Row],[Date]],"DDD")</f>
        <v>Sun</v>
      </c>
    </row>
    <row r="676" spans="1:20" ht="29" x14ac:dyDescent="0.35">
      <c r="A676" s="4">
        <v>675</v>
      </c>
      <c r="B676" s="5">
        <v>45142</v>
      </c>
      <c r="C676" s="4" t="s">
        <v>688</v>
      </c>
      <c r="D676" s="4" t="s">
        <v>13</v>
      </c>
      <c r="E676" s="4">
        <v>45</v>
      </c>
      <c r="F676" s="4" t="str">
        <f>IF(Table15678[[#This Row],[Age]]&lt;=19,"Teenager",IF(Table15678[[#This Row],[Age]]&lt;=40,"Median","Old"))</f>
        <v>Old</v>
      </c>
      <c r="G676" s="4" t="s">
        <v>14</v>
      </c>
      <c r="H676" s="4">
        <v>2</v>
      </c>
      <c r="I676" s="4">
        <v>30</v>
      </c>
      <c r="J676" s="4">
        <v>60</v>
      </c>
      <c r="K676" s="4" t="str" cm="1">
        <f t="array" ref="K676">_xlfn.IFS(AND(Table15678[[#This Row],[Total Amount]]&gt;=1500),"Critical",AND(Table15678[[#This Row],[Total Amount]]&gt;=1000),"High",TRUE,"Normal")</f>
        <v>Normal</v>
      </c>
      <c r="L676" s="4" t="str">
        <f>IF(Table15678[[#This Row],[Total Amount]]&gt;=1000,"High",(IF(Table15678[[#This Row],[Total Amount]]&gt;=500,"Medium","Low")))</f>
        <v>Low</v>
      </c>
      <c r="M676" s="4" t="str" cm="1">
        <f t="array" ref="M67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76" s="4" cm="1">
        <f t="array" ref="N67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676" s="4">
        <f>Table15678[[#This Row],[Total Amount]]-Table15678[[#This Row],[Discount Amount]]</f>
        <v>48</v>
      </c>
      <c r="P676" s="4" t="str">
        <f>IF(Table15678[[#This Row],[Total Amount]]&gt;=1000,"High","Low")</f>
        <v>Low</v>
      </c>
      <c r="Q676" s="4" t="str" cm="1">
        <f t="array" ref="Q676">_xlfn.IFS(AND(Table15678[[#This Row],[Total Amount]]&gt;=1500,"Critical"),AND(Table15678[[#This Row],[Total Amount]]&gt;=1000,"High"),TRUE,"Normal")</f>
        <v>Normal</v>
      </c>
      <c r="R676" s="4" t="str">
        <f>CONCATENATE(Table15678[[#This Row],[Customer ID]], "-",Table15678[[#This Row],[Age]])</f>
        <v>CUST675-45</v>
      </c>
      <c r="S676" s="4" t="str">
        <f>TEXT(Table15678[[#This Row],[Date]],"mmm")</f>
        <v>Aug</v>
      </c>
      <c r="T676" s="4" t="str">
        <f>TEXT(Table15678[[#This Row],[Date]],"DDD")</f>
        <v>Fri</v>
      </c>
    </row>
    <row r="677" spans="1:20" ht="29" x14ac:dyDescent="0.35">
      <c r="A677" s="4">
        <v>676</v>
      </c>
      <c r="B677" s="5">
        <v>45126</v>
      </c>
      <c r="C677" s="4" t="s">
        <v>689</v>
      </c>
      <c r="D677" s="4" t="s">
        <v>10</v>
      </c>
      <c r="E677" s="4">
        <v>63</v>
      </c>
      <c r="F677" s="4" t="str">
        <f>IF(Table15678[[#This Row],[Age]]&lt;=19,"Teenager",IF(Table15678[[#This Row],[Age]]&lt;=40,"Median","Old"))</f>
        <v>Old</v>
      </c>
      <c r="G677" s="4" t="s">
        <v>16</v>
      </c>
      <c r="H677" s="4">
        <v>3</v>
      </c>
      <c r="I677" s="4">
        <v>500</v>
      </c>
      <c r="J677" s="4">
        <v>1500</v>
      </c>
      <c r="K677" s="4" t="str" cm="1">
        <f t="array" ref="K677">_xlfn.IFS(AND(Table15678[[#This Row],[Total Amount]]&gt;=1500),"Critical",AND(Table15678[[#This Row],[Total Amount]]&gt;=1000),"High",TRUE,"Normal")</f>
        <v>Critical</v>
      </c>
      <c r="L677" s="4" t="str">
        <f>IF(Table15678[[#This Row],[Total Amount]]&gt;=1000,"High",(IF(Table15678[[#This Row],[Total Amount]]&gt;=500,"Medium","Low")))</f>
        <v>High</v>
      </c>
      <c r="M677" s="4" t="str" cm="1">
        <f t="array" ref="M67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77" s="4" cm="1">
        <f t="array" ref="N67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150</v>
      </c>
      <c r="O677" s="4">
        <f>Table15678[[#This Row],[Total Amount]]-Table15678[[#This Row],[Discount Amount]]</f>
        <v>1350</v>
      </c>
      <c r="P677" s="4" t="str">
        <f>IF(Table15678[[#This Row],[Total Amount]]&gt;=1000,"High","Low")</f>
        <v>High</v>
      </c>
      <c r="Q677" s="4" t="b" cm="1">
        <f t="array" ref="Q677">_xlfn.IFS(AND(Table15678[[#This Row],[Total Amount]]&gt;=1500,"Critical"),AND(Table15678[[#This Row],[Total Amount]]&gt;=1000,"High"),TRUE,"Normal")</f>
        <v>1</v>
      </c>
      <c r="R677" s="4" t="str">
        <f>CONCATENATE(Table15678[[#This Row],[Customer ID]], "-",Table15678[[#This Row],[Age]])</f>
        <v>CUST676-63</v>
      </c>
      <c r="S677" s="4" t="str">
        <f>TEXT(Table15678[[#This Row],[Date]],"mmm")</f>
        <v>Jul</v>
      </c>
      <c r="T677" s="4" t="str">
        <f>TEXT(Table15678[[#This Row],[Date]],"DDD")</f>
        <v>Wed</v>
      </c>
    </row>
    <row r="678" spans="1:20" ht="29" x14ac:dyDescent="0.35">
      <c r="A678" s="4">
        <v>677</v>
      </c>
      <c r="B678" s="5">
        <v>45226</v>
      </c>
      <c r="C678" s="4" t="s">
        <v>690</v>
      </c>
      <c r="D678" s="4" t="s">
        <v>13</v>
      </c>
      <c r="E678" s="4">
        <v>19</v>
      </c>
      <c r="F678" s="4" t="str">
        <f>IF(Table15678[[#This Row],[Age]]&lt;=19,"Teenager",IF(Table15678[[#This Row],[Age]]&lt;=40,"Median","Old"))</f>
        <v>Teenager</v>
      </c>
      <c r="G678" s="4" t="s">
        <v>11</v>
      </c>
      <c r="H678" s="4">
        <v>3</v>
      </c>
      <c r="I678" s="4">
        <v>500</v>
      </c>
      <c r="J678" s="4">
        <v>1500</v>
      </c>
      <c r="K678" s="4" t="str" cm="1">
        <f t="array" ref="K678">_xlfn.IFS(AND(Table15678[[#This Row],[Total Amount]]&gt;=1500),"Critical",AND(Table15678[[#This Row],[Total Amount]]&gt;=1000),"High",TRUE,"Normal")</f>
        <v>Critical</v>
      </c>
      <c r="L678" s="4" t="str">
        <f>IF(Table15678[[#This Row],[Total Amount]]&gt;=1000,"High",(IF(Table15678[[#This Row],[Total Amount]]&gt;=500,"Medium","Low")))</f>
        <v>High</v>
      </c>
      <c r="M678" s="4" t="str" cm="1">
        <f t="array" ref="M67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678" s="4" cm="1">
        <f t="array" ref="N67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678" s="4">
        <f>Table15678[[#This Row],[Total Amount]]-Table15678[[#This Row],[Discount Amount]]</f>
        <v>1500</v>
      </c>
      <c r="P678" s="4" t="str">
        <f>IF(Table15678[[#This Row],[Total Amount]]&gt;=1000,"High","Low")</f>
        <v>High</v>
      </c>
      <c r="Q678" s="4" t="b" cm="1">
        <f t="array" ref="Q678">_xlfn.IFS(AND(Table15678[[#This Row],[Total Amount]]&gt;=1500,"Critical"),AND(Table15678[[#This Row],[Total Amount]]&gt;=1000,"High"),TRUE,"Normal")</f>
        <v>1</v>
      </c>
      <c r="R678" s="4" t="str">
        <f>CONCATENATE(Table15678[[#This Row],[Customer ID]], "-",Table15678[[#This Row],[Age]])</f>
        <v>CUST677-19</v>
      </c>
      <c r="S678" s="4" t="str">
        <f>TEXT(Table15678[[#This Row],[Date]],"mmm")</f>
        <v>Oct</v>
      </c>
      <c r="T678" s="4" t="str">
        <f>TEXT(Table15678[[#This Row],[Date]],"DDD")</f>
        <v>Fri</v>
      </c>
    </row>
    <row r="679" spans="1:20" ht="29" x14ac:dyDescent="0.35">
      <c r="A679" s="4">
        <v>678</v>
      </c>
      <c r="B679" s="5">
        <v>45283</v>
      </c>
      <c r="C679" s="4" t="s">
        <v>691</v>
      </c>
      <c r="D679" s="4" t="s">
        <v>13</v>
      </c>
      <c r="E679" s="4">
        <v>60</v>
      </c>
      <c r="F679" s="4" t="str">
        <f>IF(Table15678[[#This Row],[Age]]&lt;=19,"Teenager",IF(Table15678[[#This Row],[Age]]&lt;=40,"Median","Old"))</f>
        <v>Old</v>
      </c>
      <c r="G679" s="4" t="s">
        <v>16</v>
      </c>
      <c r="H679" s="4">
        <v>3</v>
      </c>
      <c r="I679" s="4">
        <v>300</v>
      </c>
      <c r="J679" s="4">
        <v>900</v>
      </c>
      <c r="K679" s="4" t="str" cm="1">
        <f t="array" ref="K679">_xlfn.IFS(AND(Table15678[[#This Row],[Total Amount]]&gt;=1500),"Critical",AND(Table15678[[#This Row],[Total Amount]]&gt;=1000),"High",TRUE,"Normal")</f>
        <v>Normal</v>
      </c>
      <c r="L679" s="4" t="str">
        <f>IF(Table15678[[#This Row],[Total Amount]]&gt;=1000,"High",(IF(Table15678[[#This Row],[Total Amount]]&gt;=500,"Medium","Low")))</f>
        <v>Medium</v>
      </c>
      <c r="M679" s="4" t="str" cm="1">
        <f t="array" ref="M67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79" s="4" cm="1">
        <f t="array" ref="N67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679" s="4">
        <f>Table15678[[#This Row],[Total Amount]]-Table15678[[#This Row],[Discount Amount]]</f>
        <v>720</v>
      </c>
      <c r="P679" s="4" t="str">
        <f>IF(Table15678[[#This Row],[Total Amount]]&gt;=1000,"High","Low")</f>
        <v>Low</v>
      </c>
      <c r="Q679" s="4" t="str" cm="1">
        <f t="array" ref="Q679">_xlfn.IFS(AND(Table15678[[#This Row],[Total Amount]]&gt;=1500,"Critical"),AND(Table15678[[#This Row],[Total Amount]]&gt;=1000,"High"),TRUE,"Normal")</f>
        <v>Normal</v>
      </c>
      <c r="R679" s="4" t="str">
        <f>CONCATENATE(Table15678[[#This Row],[Customer ID]], "-",Table15678[[#This Row],[Age]])</f>
        <v>CUST678-60</v>
      </c>
      <c r="S679" s="4" t="str">
        <f>TEXT(Table15678[[#This Row],[Date]],"mmm")</f>
        <v>Dec</v>
      </c>
      <c r="T679" s="4" t="str">
        <f>TEXT(Table15678[[#This Row],[Date]],"DDD")</f>
        <v>Sat</v>
      </c>
    </row>
    <row r="680" spans="1:20" ht="29" x14ac:dyDescent="0.35">
      <c r="A680" s="4">
        <v>679</v>
      </c>
      <c r="B680" s="5">
        <v>44937</v>
      </c>
      <c r="C680" s="4" t="s">
        <v>692</v>
      </c>
      <c r="D680" s="4" t="s">
        <v>13</v>
      </c>
      <c r="E680" s="4">
        <v>18</v>
      </c>
      <c r="F680" s="4" t="str">
        <f>IF(Table15678[[#This Row],[Age]]&lt;=19,"Teenager",IF(Table15678[[#This Row],[Age]]&lt;=40,"Median","Old"))</f>
        <v>Teenager</v>
      </c>
      <c r="G680" s="4" t="s">
        <v>11</v>
      </c>
      <c r="H680" s="4">
        <v>3</v>
      </c>
      <c r="I680" s="4">
        <v>30</v>
      </c>
      <c r="J680" s="4">
        <v>90</v>
      </c>
      <c r="K680" s="4" t="str" cm="1">
        <f t="array" ref="K680">_xlfn.IFS(AND(Table15678[[#This Row],[Total Amount]]&gt;=1500),"Critical",AND(Table15678[[#This Row],[Total Amount]]&gt;=1000),"High",TRUE,"Normal")</f>
        <v>Normal</v>
      </c>
      <c r="L680" s="4" t="str">
        <f>IF(Table15678[[#This Row],[Total Amount]]&gt;=1000,"High",(IF(Table15678[[#This Row],[Total Amount]]&gt;=500,"Medium","Low")))</f>
        <v>Low</v>
      </c>
      <c r="M680" s="4" t="str" cm="1">
        <f t="array" ref="M68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680" s="4" cm="1">
        <f t="array" ref="N68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680" s="4">
        <f>Table15678[[#This Row],[Total Amount]]-Table15678[[#This Row],[Discount Amount]]</f>
        <v>90</v>
      </c>
      <c r="P680" s="4" t="str">
        <f>IF(Table15678[[#This Row],[Total Amount]]&gt;=1000,"High","Low")</f>
        <v>Low</v>
      </c>
      <c r="Q680" s="4" t="str" cm="1">
        <f t="array" ref="Q680">_xlfn.IFS(AND(Table15678[[#This Row],[Total Amount]]&gt;=1500,"Critical"),AND(Table15678[[#This Row],[Total Amount]]&gt;=1000,"High"),TRUE,"Normal")</f>
        <v>Normal</v>
      </c>
      <c r="R680" s="4" t="str">
        <f>CONCATENATE(Table15678[[#This Row],[Customer ID]], "-",Table15678[[#This Row],[Age]])</f>
        <v>CUST679-18</v>
      </c>
      <c r="S680" s="4" t="str">
        <f>TEXT(Table15678[[#This Row],[Date]],"mmm")</f>
        <v>Jan</v>
      </c>
      <c r="T680" s="4" t="str">
        <f>TEXT(Table15678[[#This Row],[Date]],"DDD")</f>
        <v>Wed</v>
      </c>
    </row>
    <row r="681" spans="1:20" ht="29" x14ac:dyDescent="0.35">
      <c r="A681" s="4">
        <v>680</v>
      </c>
      <c r="B681" s="5">
        <v>45221</v>
      </c>
      <c r="C681" s="4" t="s">
        <v>693</v>
      </c>
      <c r="D681" s="4" t="s">
        <v>13</v>
      </c>
      <c r="E681" s="4">
        <v>53</v>
      </c>
      <c r="F681" s="4" t="str">
        <f>IF(Table15678[[#This Row],[Age]]&lt;=19,"Teenager",IF(Table15678[[#This Row],[Age]]&lt;=40,"Median","Old"))</f>
        <v>Old</v>
      </c>
      <c r="G681" s="4" t="s">
        <v>14</v>
      </c>
      <c r="H681" s="4">
        <v>3</v>
      </c>
      <c r="I681" s="4">
        <v>300</v>
      </c>
      <c r="J681" s="4">
        <v>900</v>
      </c>
      <c r="K681" s="4" t="str" cm="1">
        <f t="array" ref="K681">_xlfn.IFS(AND(Table15678[[#This Row],[Total Amount]]&gt;=1500),"Critical",AND(Table15678[[#This Row],[Total Amount]]&gt;=1000),"High",TRUE,"Normal")</f>
        <v>Normal</v>
      </c>
      <c r="L681" s="4" t="str">
        <f>IF(Table15678[[#This Row],[Total Amount]]&gt;=1000,"High",(IF(Table15678[[#This Row],[Total Amount]]&gt;=500,"Medium","Low")))</f>
        <v>Medium</v>
      </c>
      <c r="M681" s="4" t="str" cm="1">
        <f t="array" ref="M68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81" s="4" cm="1">
        <f t="array" ref="N68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681" s="4">
        <f>Table15678[[#This Row],[Total Amount]]-Table15678[[#This Row],[Discount Amount]]</f>
        <v>720</v>
      </c>
      <c r="P681" s="4" t="str">
        <f>IF(Table15678[[#This Row],[Total Amount]]&gt;=1000,"High","Low")</f>
        <v>Low</v>
      </c>
      <c r="Q681" s="4" t="str" cm="1">
        <f t="array" ref="Q681">_xlfn.IFS(AND(Table15678[[#This Row],[Total Amount]]&gt;=1500,"Critical"),AND(Table15678[[#This Row],[Total Amount]]&gt;=1000,"High"),TRUE,"Normal")</f>
        <v>Normal</v>
      </c>
      <c r="R681" s="4" t="str">
        <f>CONCATENATE(Table15678[[#This Row],[Customer ID]], "-",Table15678[[#This Row],[Age]])</f>
        <v>CUST680-53</v>
      </c>
      <c r="S681" s="4" t="str">
        <f>TEXT(Table15678[[#This Row],[Date]],"mmm")</f>
        <v>Oct</v>
      </c>
      <c r="T681" s="4" t="str">
        <f>TEXT(Table15678[[#This Row],[Date]],"DDD")</f>
        <v>Sun</v>
      </c>
    </row>
    <row r="682" spans="1:20" ht="29" x14ac:dyDescent="0.35">
      <c r="A682" s="4">
        <v>681</v>
      </c>
      <c r="B682" s="5">
        <v>45121</v>
      </c>
      <c r="C682" s="4" t="s">
        <v>694</v>
      </c>
      <c r="D682" s="4" t="s">
        <v>13</v>
      </c>
      <c r="E682" s="4">
        <v>43</v>
      </c>
      <c r="F682" s="4" t="str">
        <f>IF(Table15678[[#This Row],[Age]]&lt;=19,"Teenager",IF(Table15678[[#This Row],[Age]]&lt;=40,"Median","Old"))</f>
        <v>Old</v>
      </c>
      <c r="G682" s="4" t="s">
        <v>16</v>
      </c>
      <c r="H682" s="4">
        <v>2</v>
      </c>
      <c r="I682" s="4">
        <v>30</v>
      </c>
      <c r="J682" s="4">
        <v>60</v>
      </c>
      <c r="K682" s="4" t="str" cm="1">
        <f t="array" ref="K682">_xlfn.IFS(AND(Table15678[[#This Row],[Total Amount]]&gt;=1500),"Critical",AND(Table15678[[#This Row],[Total Amount]]&gt;=1000),"High",TRUE,"Normal")</f>
        <v>Normal</v>
      </c>
      <c r="L682" s="4" t="str">
        <f>IF(Table15678[[#This Row],[Total Amount]]&gt;=1000,"High",(IF(Table15678[[#This Row],[Total Amount]]&gt;=500,"Medium","Low")))</f>
        <v>Low</v>
      </c>
      <c r="M682" s="4" t="str" cm="1">
        <f t="array" ref="M68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82" s="4" cm="1">
        <f t="array" ref="N68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682" s="4">
        <f>Table15678[[#This Row],[Total Amount]]-Table15678[[#This Row],[Discount Amount]]</f>
        <v>48</v>
      </c>
      <c r="P682" s="4" t="str">
        <f>IF(Table15678[[#This Row],[Total Amount]]&gt;=1000,"High","Low")</f>
        <v>Low</v>
      </c>
      <c r="Q682" s="4" t="str" cm="1">
        <f t="array" ref="Q682">_xlfn.IFS(AND(Table15678[[#This Row],[Total Amount]]&gt;=1500,"Critical"),AND(Table15678[[#This Row],[Total Amount]]&gt;=1000,"High"),TRUE,"Normal")</f>
        <v>Normal</v>
      </c>
      <c r="R682" s="4" t="str">
        <f>CONCATENATE(Table15678[[#This Row],[Customer ID]], "-",Table15678[[#This Row],[Age]])</f>
        <v>CUST681-43</v>
      </c>
      <c r="S682" s="4" t="str">
        <f>TEXT(Table15678[[#This Row],[Date]],"mmm")</f>
        <v>Jul</v>
      </c>
      <c r="T682" s="4" t="str">
        <f>TEXT(Table15678[[#This Row],[Date]],"DDD")</f>
        <v>Fri</v>
      </c>
    </row>
    <row r="683" spans="1:20" ht="29" x14ac:dyDescent="0.35">
      <c r="A683" s="4">
        <v>682</v>
      </c>
      <c r="B683" s="5">
        <v>45171</v>
      </c>
      <c r="C683" s="4" t="s">
        <v>695</v>
      </c>
      <c r="D683" s="4" t="s">
        <v>10</v>
      </c>
      <c r="E683" s="4">
        <v>46</v>
      </c>
      <c r="F683" s="4" t="str">
        <f>IF(Table15678[[#This Row],[Age]]&lt;=19,"Teenager",IF(Table15678[[#This Row],[Age]]&lt;=40,"Median","Old"))</f>
        <v>Old</v>
      </c>
      <c r="G683" s="4" t="s">
        <v>11</v>
      </c>
      <c r="H683" s="4">
        <v>4</v>
      </c>
      <c r="I683" s="4">
        <v>300</v>
      </c>
      <c r="J683" s="4">
        <v>1200</v>
      </c>
      <c r="K683" s="4" t="str" cm="1">
        <f t="array" ref="K683">_xlfn.IFS(AND(Table15678[[#This Row],[Total Amount]]&gt;=1500),"Critical",AND(Table15678[[#This Row],[Total Amount]]&gt;=1000),"High",TRUE,"Normal")</f>
        <v>High</v>
      </c>
      <c r="L683" s="4" t="str">
        <f>IF(Table15678[[#This Row],[Total Amount]]&gt;=1000,"High",(IF(Table15678[[#This Row],[Total Amount]]&gt;=500,"Medium","Low")))</f>
        <v>High</v>
      </c>
      <c r="M683" s="4" t="str" cm="1">
        <f t="array" ref="M68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83" s="4" cm="1">
        <f t="array" ref="N68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120</v>
      </c>
      <c r="O683" s="4">
        <f>Table15678[[#This Row],[Total Amount]]-Table15678[[#This Row],[Discount Amount]]</f>
        <v>1080</v>
      </c>
      <c r="P683" s="4" t="str">
        <f>IF(Table15678[[#This Row],[Total Amount]]&gt;=1000,"High","Low")</f>
        <v>High</v>
      </c>
      <c r="Q683" s="4" t="str" cm="1">
        <f t="array" ref="Q683">_xlfn.IFS(AND(Table15678[[#This Row],[Total Amount]]&gt;=1500,"Critical"),AND(Table15678[[#This Row],[Total Amount]]&gt;=1000,"High"),TRUE,"Normal")</f>
        <v>Normal</v>
      </c>
      <c r="R683" s="4" t="str">
        <f>CONCATENATE(Table15678[[#This Row],[Customer ID]], "-",Table15678[[#This Row],[Age]])</f>
        <v>CUST682-46</v>
      </c>
      <c r="S683" s="4" t="str">
        <f>TEXT(Table15678[[#This Row],[Date]],"mmm")</f>
        <v>Sep</v>
      </c>
      <c r="T683" s="4" t="str">
        <f>TEXT(Table15678[[#This Row],[Date]],"DDD")</f>
        <v>Sat</v>
      </c>
    </row>
    <row r="684" spans="1:20" ht="29" x14ac:dyDescent="0.35">
      <c r="A684" s="4">
        <v>683</v>
      </c>
      <c r="B684" s="5">
        <v>44930</v>
      </c>
      <c r="C684" s="4" t="s">
        <v>696</v>
      </c>
      <c r="D684" s="4" t="s">
        <v>10</v>
      </c>
      <c r="E684" s="4">
        <v>38</v>
      </c>
      <c r="F684" s="4" t="str">
        <f>IF(Table15678[[#This Row],[Age]]&lt;=19,"Teenager",IF(Table15678[[#This Row],[Age]]&lt;=40,"Median","Old"))</f>
        <v>Median</v>
      </c>
      <c r="G684" s="4" t="s">
        <v>11</v>
      </c>
      <c r="H684" s="4">
        <v>2</v>
      </c>
      <c r="I684" s="4">
        <v>500</v>
      </c>
      <c r="J684" s="4">
        <v>1000</v>
      </c>
      <c r="K684" s="4" t="str" cm="1">
        <f t="array" ref="K684">_xlfn.IFS(AND(Table15678[[#This Row],[Total Amount]]&gt;=1500),"Critical",AND(Table15678[[#This Row],[Total Amount]]&gt;=1000),"High",TRUE,"Normal")</f>
        <v>High</v>
      </c>
      <c r="L684" s="4" t="str">
        <f>IF(Table15678[[#This Row],[Total Amount]]&gt;=1000,"High",(IF(Table15678[[#This Row],[Total Amount]]&gt;=500,"Medium","Low")))</f>
        <v>High</v>
      </c>
      <c r="M684" s="4" t="str" cm="1">
        <f t="array" ref="M68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84" s="4" cm="1">
        <f t="array" ref="N68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684" s="4">
        <f>Table15678[[#This Row],[Total Amount]]-Table15678[[#This Row],[Discount Amount]]</f>
        <v>900</v>
      </c>
      <c r="P684" s="4" t="str">
        <f>IF(Table15678[[#This Row],[Total Amount]]&gt;=1000,"High","Low")</f>
        <v>High</v>
      </c>
      <c r="Q684" s="4" t="str" cm="1">
        <f t="array" ref="Q684">_xlfn.IFS(AND(Table15678[[#This Row],[Total Amount]]&gt;=1500,"Critical"),AND(Table15678[[#This Row],[Total Amount]]&gt;=1000,"High"),TRUE,"Normal")</f>
        <v>Normal</v>
      </c>
      <c r="R684" s="4" t="str">
        <f>CONCATENATE(Table15678[[#This Row],[Customer ID]], "-",Table15678[[#This Row],[Age]])</f>
        <v>CUST683-38</v>
      </c>
      <c r="S684" s="4" t="str">
        <f>TEXT(Table15678[[#This Row],[Date]],"mmm")</f>
        <v>Jan</v>
      </c>
      <c r="T684" s="4" t="str">
        <f>TEXT(Table15678[[#This Row],[Date]],"DDD")</f>
        <v>Wed</v>
      </c>
    </row>
    <row r="685" spans="1:20" ht="29" x14ac:dyDescent="0.35">
      <c r="A685" s="4">
        <v>684</v>
      </c>
      <c r="B685" s="5">
        <v>45107</v>
      </c>
      <c r="C685" s="4" t="s">
        <v>697</v>
      </c>
      <c r="D685" s="4" t="s">
        <v>13</v>
      </c>
      <c r="E685" s="4">
        <v>28</v>
      </c>
      <c r="F685" s="4" t="str">
        <f>IF(Table15678[[#This Row],[Age]]&lt;=19,"Teenager",IF(Table15678[[#This Row],[Age]]&lt;=40,"Median","Old"))</f>
        <v>Median</v>
      </c>
      <c r="G685" s="4" t="s">
        <v>14</v>
      </c>
      <c r="H685" s="4">
        <v>2</v>
      </c>
      <c r="I685" s="4">
        <v>500</v>
      </c>
      <c r="J685" s="4">
        <v>1000</v>
      </c>
      <c r="K685" s="4" t="str" cm="1">
        <f t="array" ref="K685">_xlfn.IFS(AND(Table15678[[#This Row],[Total Amount]]&gt;=1500),"Critical",AND(Table15678[[#This Row],[Total Amount]]&gt;=1000),"High",TRUE,"Normal")</f>
        <v>High</v>
      </c>
      <c r="L685" s="4" t="str">
        <f>IF(Table15678[[#This Row],[Total Amount]]&gt;=1000,"High",(IF(Table15678[[#This Row],[Total Amount]]&gt;=500,"Medium","Low")))</f>
        <v>High</v>
      </c>
      <c r="M685" s="4" t="str" cm="1">
        <f t="array" ref="M68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85" s="4" cm="1">
        <f t="array" ref="N68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150</v>
      </c>
      <c r="O685" s="4">
        <f>Table15678[[#This Row],[Total Amount]]-Table15678[[#This Row],[Discount Amount]]</f>
        <v>850</v>
      </c>
      <c r="P685" s="4" t="str">
        <f>IF(Table15678[[#This Row],[Total Amount]]&gt;=1000,"High","Low")</f>
        <v>High</v>
      </c>
      <c r="Q685" s="4" t="str" cm="1">
        <f t="array" ref="Q685">_xlfn.IFS(AND(Table15678[[#This Row],[Total Amount]]&gt;=1500,"Critical"),AND(Table15678[[#This Row],[Total Amount]]&gt;=1000,"High"),TRUE,"Normal")</f>
        <v>Normal</v>
      </c>
      <c r="R685" s="4" t="str">
        <f>CONCATENATE(Table15678[[#This Row],[Customer ID]], "-",Table15678[[#This Row],[Age]])</f>
        <v>CUST684-28</v>
      </c>
      <c r="S685" s="4" t="str">
        <f>TEXT(Table15678[[#This Row],[Date]],"mmm")</f>
        <v>Jun</v>
      </c>
      <c r="T685" s="4" t="str">
        <f>TEXT(Table15678[[#This Row],[Date]],"DDD")</f>
        <v>Fri</v>
      </c>
    </row>
    <row r="686" spans="1:20" ht="29" x14ac:dyDescent="0.35">
      <c r="A686" s="4">
        <v>685</v>
      </c>
      <c r="B686" s="5">
        <v>45079</v>
      </c>
      <c r="C686" s="4" t="s">
        <v>698</v>
      </c>
      <c r="D686" s="4" t="s">
        <v>10</v>
      </c>
      <c r="E686" s="4">
        <v>57</v>
      </c>
      <c r="F686" s="4" t="str">
        <f>IF(Table15678[[#This Row],[Age]]&lt;=19,"Teenager",IF(Table15678[[#This Row],[Age]]&lt;=40,"Median","Old"))</f>
        <v>Old</v>
      </c>
      <c r="G686" s="4" t="s">
        <v>16</v>
      </c>
      <c r="H686" s="4">
        <v>2</v>
      </c>
      <c r="I686" s="4">
        <v>25</v>
      </c>
      <c r="J686" s="4">
        <v>50</v>
      </c>
      <c r="K686" s="4" t="str" cm="1">
        <f t="array" ref="K686">_xlfn.IFS(AND(Table15678[[#This Row],[Total Amount]]&gt;=1500),"Critical",AND(Table15678[[#This Row],[Total Amount]]&gt;=1000),"High",TRUE,"Normal")</f>
        <v>Normal</v>
      </c>
      <c r="L686" s="4" t="str">
        <f>IF(Table15678[[#This Row],[Total Amount]]&gt;=1000,"High",(IF(Table15678[[#This Row],[Total Amount]]&gt;=500,"Medium","Low")))</f>
        <v>Low</v>
      </c>
      <c r="M686" s="4" t="str" cm="1">
        <f t="array" ref="M68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86" s="4" cm="1">
        <f t="array" ref="N68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686" s="4">
        <f>Table15678[[#This Row],[Total Amount]]-Table15678[[#This Row],[Discount Amount]]</f>
        <v>45</v>
      </c>
      <c r="P686" s="4" t="str">
        <f>IF(Table15678[[#This Row],[Total Amount]]&gt;=1000,"High","Low")</f>
        <v>Low</v>
      </c>
      <c r="Q686" s="4" t="str" cm="1">
        <f t="array" ref="Q686">_xlfn.IFS(AND(Table15678[[#This Row],[Total Amount]]&gt;=1500,"Critical"),AND(Table15678[[#This Row],[Total Amount]]&gt;=1000,"High"),TRUE,"Normal")</f>
        <v>Normal</v>
      </c>
      <c r="R686" s="4" t="str">
        <f>CONCATENATE(Table15678[[#This Row],[Customer ID]], "-",Table15678[[#This Row],[Age]])</f>
        <v>CUST685-57</v>
      </c>
      <c r="S686" s="4" t="str">
        <f>TEXT(Table15678[[#This Row],[Date]],"mmm")</f>
        <v>Jun</v>
      </c>
      <c r="T686" s="4" t="str">
        <f>TEXT(Table15678[[#This Row],[Date]],"DDD")</f>
        <v>Fri</v>
      </c>
    </row>
    <row r="687" spans="1:20" ht="29" x14ac:dyDescent="0.35">
      <c r="A687" s="4">
        <v>686</v>
      </c>
      <c r="B687" s="5">
        <v>45126</v>
      </c>
      <c r="C687" s="4" t="s">
        <v>699</v>
      </c>
      <c r="D687" s="4" t="s">
        <v>13</v>
      </c>
      <c r="E687" s="4">
        <v>28</v>
      </c>
      <c r="F687" s="4" t="str">
        <f>IF(Table15678[[#This Row],[Age]]&lt;=19,"Teenager",IF(Table15678[[#This Row],[Age]]&lt;=40,"Median","Old"))</f>
        <v>Median</v>
      </c>
      <c r="G687" s="4" t="s">
        <v>16</v>
      </c>
      <c r="H687" s="4">
        <v>4</v>
      </c>
      <c r="I687" s="4">
        <v>50</v>
      </c>
      <c r="J687" s="4">
        <v>200</v>
      </c>
      <c r="K687" s="4" t="str" cm="1">
        <f t="array" ref="K687">_xlfn.IFS(AND(Table15678[[#This Row],[Total Amount]]&gt;=1500),"Critical",AND(Table15678[[#This Row],[Total Amount]]&gt;=1000),"High",TRUE,"Normal")</f>
        <v>Normal</v>
      </c>
      <c r="L687" s="4" t="str">
        <f>IF(Table15678[[#This Row],[Total Amount]]&gt;=1000,"High",(IF(Table15678[[#This Row],[Total Amount]]&gt;=500,"Medium","Low")))</f>
        <v>Low</v>
      </c>
      <c r="M687" s="4" t="str" cm="1">
        <f t="array" ref="M68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87" s="4" cm="1">
        <f t="array" ref="N68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687" s="4">
        <f>Table15678[[#This Row],[Total Amount]]-Table15678[[#This Row],[Discount Amount]]</f>
        <v>170</v>
      </c>
      <c r="P687" s="4" t="str">
        <f>IF(Table15678[[#This Row],[Total Amount]]&gt;=1000,"High","Low")</f>
        <v>Low</v>
      </c>
      <c r="Q687" s="4" t="str" cm="1">
        <f t="array" ref="Q687">_xlfn.IFS(AND(Table15678[[#This Row],[Total Amount]]&gt;=1500,"Critical"),AND(Table15678[[#This Row],[Total Amount]]&gt;=1000,"High"),TRUE,"Normal")</f>
        <v>Normal</v>
      </c>
      <c r="R687" s="4" t="str">
        <f>CONCATENATE(Table15678[[#This Row],[Customer ID]], "-",Table15678[[#This Row],[Age]])</f>
        <v>CUST686-28</v>
      </c>
      <c r="S687" s="4" t="str">
        <f>TEXT(Table15678[[#This Row],[Date]],"mmm")</f>
        <v>Jul</v>
      </c>
      <c r="T687" s="4" t="str">
        <f>TEXT(Table15678[[#This Row],[Date]],"DDD")</f>
        <v>Wed</v>
      </c>
    </row>
    <row r="688" spans="1:20" ht="29" x14ac:dyDescent="0.35">
      <c r="A688" s="4">
        <v>687</v>
      </c>
      <c r="B688" s="5">
        <v>45141</v>
      </c>
      <c r="C688" s="4" t="s">
        <v>700</v>
      </c>
      <c r="D688" s="4" t="s">
        <v>13</v>
      </c>
      <c r="E688" s="4">
        <v>53</v>
      </c>
      <c r="F688" s="4" t="str">
        <f>IF(Table15678[[#This Row],[Age]]&lt;=19,"Teenager",IF(Table15678[[#This Row],[Age]]&lt;=40,"Median","Old"))</f>
        <v>Old</v>
      </c>
      <c r="G688" s="4" t="s">
        <v>16</v>
      </c>
      <c r="H688" s="4">
        <v>1</v>
      </c>
      <c r="I688" s="4">
        <v>300</v>
      </c>
      <c r="J688" s="4">
        <v>300</v>
      </c>
      <c r="K688" s="4" t="str" cm="1">
        <f t="array" ref="K688">_xlfn.IFS(AND(Table15678[[#This Row],[Total Amount]]&gt;=1500),"Critical",AND(Table15678[[#This Row],[Total Amount]]&gt;=1000),"High",TRUE,"Normal")</f>
        <v>Normal</v>
      </c>
      <c r="L688" s="4" t="str">
        <f>IF(Table15678[[#This Row],[Total Amount]]&gt;=1000,"High",(IF(Table15678[[#This Row],[Total Amount]]&gt;=500,"Medium","Low")))</f>
        <v>Low</v>
      </c>
      <c r="M688" s="4" t="str" cm="1">
        <f t="array" ref="M68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88" s="4" cm="1">
        <f t="array" ref="N68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688" s="4">
        <f>Table15678[[#This Row],[Total Amount]]-Table15678[[#This Row],[Discount Amount]]</f>
        <v>240</v>
      </c>
      <c r="P688" s="4" t="str">
        <f>IF(Table15678[[#This Row],[Total Amount]]&gt;=1000,"High","Low")</f>
        <v>Low</v>
      </c>
      <c r="Q688" s="4" t="str" cm="1">
        <f t="array" ref="Q688">_xlfn.IFS(AND(Table15678[[#This Row],[Total Amount]]&gt;=1500,"Critical"),AND(Table15678[[#This Row],[Total Amount]]&gt;=1000,"High"),TRUE,"Normal")</f>
        <v>Normal</v>
      </c>
      <c r="R688" s="4" t="str">
        <f>CONCATENATE(Table15678[[#This Row],[Customer ID]], "-",Table15678[[#This Row],[Age]])</f>
        <v>CUST687-53</v>
      </c>
      <c r="S688" s="4" t="str">
        <f>TEXT(Table15678[[#This Row],[Date]],"mmm")</f>
        <v>Aug</v>
      </c>
      <c r="T688" s="4" t="str">
        <f>TEXT(Table15678[[#This Row],[Date]],"DDD")</f>
        <v>Thu</v>
      </c>
    </row>
    <row r="689" spans="1:20" ht="29" x14ac:dyDescent="0.35">
      <c r="A689" s="4">
        <v>688</v>
      </c>
      <c r="B689" s="5">
        <v>45202</v>
      </c>
      <c r="C689" s="4" t="s">
        <v>701</v>
      </c>
      <c r="D689" s="4" t="s">
        <v>10</v>
      </c>
      <c r="E689" s="4">
        <v>56</v>
      </c>
      <c r="F689" s="4" t="str">
        <f>IF(Table15678[[#This Row],[Age]]&lt;=19,"Teenager",IF(Table15678[[#This Row],[Age]]&lt;=40,"Median","Old"))</f>
        <v>Old</v>
      </c>
      <c r="G689" s="4" t="s">
        <v>14</v>
      </c>
      <c r="H689" s="4">
        <v>4</v>
      </c>
      <c r="I689" s="4">
        <v>25</v>
      </c>
      <c r="J689" s="4">
        <v>100</v>
      </c>
      <c r="K689" s="4" t="str" cm="1">
        <f t="array" ref="K689">_xlfn.IFS(AND(Table15678[[#This Row],[Total Amount]]&gt;=1500),"Critical",AND(Table15678[[#This Row],[Total Amount]]&gt;=1000),"High",TRUE,"Normal")</f>
        <v>Normal</v>
      </c>
      <c r="L689" s="4" t="str">
        <f>IF(Table15678[[#This Row],[Total Amount]]&gt;=1000,"High",(IF(Table15678[[#This Row],[Total Amount]]&gt;=500,"Medium","Low")))</f>
        <v>Low</v>
      </c>
      <c r="M689" s="4" t="str" cm="1">
        <f t="array" ref="M68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89" s="4" cm="1">
        <f t="array" ref="N68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689" s="4">
        <f>Table15678[[#This Row],[Total Amount]]-Table15678[[#This Row],[Discount Amount]]</f>
        <v>90</v>
      </c>
      <c r="P689" s="4" t="str">
        <f>IF(Table15678[[#This Row],[Total Amount]]&gt;=1000,"High","Low")</f>
        <v>Low</v>
      </c>
      <c r="Q689" s="4" t="str" cm="1">
        <f t="array" ref="Q689">_xlfn.IFS(AND(Table15678[[#This Row],[Total Amount]]&gt;=1500,"Critical"),AND(Table15678[[#This Row],[Total Amount]]&gt;=1000,"High"),TRUE,"Normal")</f>
        <v>Normal</v>
      </c>
      <c r="R689" s="4" t="str">
        <f>CONCATENATE(Table15678[[#This Row],[Customer ID]], "-",Table15678[[#This Row],[Age]])</f>
        <v>CUST688-56</v>
      </c>
      <c r="S689" s="4" t="str">
        <f>TEXT(Table15678[[#This Row],[Date]],"mmm")</f>
        <v>Oct</v>
      </c>
      <c r="T689" s="4" t="str">
        <f>TEXT(Table15678[[#This Row],[Date]],"DDD")</f>
        <v>Tue</v>
      </c>
    </row>
    <row r="690" spans="1:20" ht="29" x14ac:dyDescent="0.35">
      <c r="A690" s="4">
        <v>689</v>
      </c>
      <c r="B690" s="5">
        <v>45206</v>
      </c>
      <c r="C690" s="4" t="s">
        <v>702</v>
      </c>
      <c r="D690" s="4" t="s">
        <v>10</v>
      </c>
      <c r="E690" s="4">
        <v>57</v>
      </c>
      <c r="F690" s="4" t="str">
        <f>IF(Table15678[[#This Row],[Age]]&lt;=19,"Teenager",IF(Table15678[[#This Row],[Age]]&lt;=40,"Median","Old"))</f>
        <v>Old</v>
      </c>
      <c r="G690" s="4" t="s">
        <v>16</v>
      </c>
      <c r="H690" s="4">
        <v>2</v>
      </c>
      <c r="I690" s="4">
        <v>50</v>
      </c>
      <c r="J690" s="4">
        <v>100</v>
      </c>
      <c r="K690" s="4" t="str" cm="1">
        <f t="array" ref="K690">_xlfn.IFS(AND(Table15678[[#This Row],[Total Amount]]&gt;=1500),"Critical",AND(Table15678[[#This Row],[Total Amount]]&gt;=1000),"High",TRUE,"Normal")</f>
        <v>Normal</v>
      </c>
      <c r="L690" s="4" t="str">
        <f>IF(Table15678[[#This Row],[Total Amount]]&gt;=1000,"High",(IF(Table15678[[#This Row],[Total Amount]]&gt;=500,"Medium","Low")))</f>
        <v>Low</v>
      </c>
      <c r="M690" s="4" t="str" cm="1">
        <f t="array" ref="M69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90" s="4" cm="1">
        <f t="array" ref="N69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690" s="4">
        <f>Table15678[[#This Row],[Total Amount]]-Table15678[[#This Row],[Discount Amount]]</f>
        <v>90</v>
      </c>
      <c r="P690" s="4" t="str">
        <f>IF(Table15678[[#This Row],[Total Amount]]&gt;=1000,"High","Low")</f>
        <v>Low</v>
      </c>
      <c r="Q690" s="4" t="str" cm="1">
        <f t="array" ref="Q690">_xlfn.IFS(AND(Table15678[[#This Row],[Total Amount]]&gt;=1500,"Critical"),AND(Table15678[[#This Row],[Total Amount]]&gt;=1000,"High"),TRUE,"Normal")</f>
        <v>Normal</v>
      </c>
      <c r="R690" s="4" t="str">
        <f>CONCATENATE(Table15678[[#This Row],[Customer ID]], "-",Table15678[[#This Row],[Age]])</f>
        <v>CUST689-57</v>
      </c>
      <c r="S690" s="4" t="str">
        <f>TEXT(Table15678[[#This Row],[Date]],"mmm")</f>
        <v>Oct</v>
      </c>
      <c r="T690" s="4" t="str">
        <f>TEXT(Table15678[[#This Row],[Date]],"DDD")</f>
        <v>Sat</v>
      </c>
    </row>
    <row r="691" spans="1:20" ht="29" x14ac:dyDescent="0.35">
      <c r="A691" s="4">
        <v>690</v>
      </c>
      <c r="B691" s="5">
        <v>45235</v>
      </c>
      <c r="C691" s="4" t="s">
        <v>703</v>
      </c>
      <c r="D691" s="4" t="s">
        <v>13</v>
      </c>
      <c r="E691" s="4">
        <v>52</v>
      </c>
      <c r="F691" s="4" t="str">
        <f>IF(Table15678[[#This Row],[Age]]&lt;=19,"Teenager",IF(Table15678[[#This Row],[Age]]&lt;=40,"Median","Old"))</f>
        <v>Old</v>
      </c>
      <c r="G691" s="4" t="s">
        <v>14</v>
      </c>
      <c r="H691" s="4">
        <v>3</v>
      </c>
      <c r="I691" s="4">
        <v>300</v>
      </c>
      <c r="J691" s="4">
        <v>900</v>
      </c>
      <c r="K691" s="4" t="str" cm="1">
        <f t="array" ref="K691">_xlfn.IFS(AND(Table15678[[#This Row],[Total Amount]]&gt;=1500),"Critical",AND(Table15678[[#This Row],[Total Amount]]&gt;=1000),"High",TRUE,"Normal")</f>
        <v>Normal</v>
      </c>
      <c r="L691" s="4" t="str">
        <f>IF(Table15678[[#This Row],[Total Amount]]&gt;=1000,"High",(IF(Table15678[[#This Row],[Total Amount]]&gt;=500,"Medium","Low")))</f>
        <v>Medium</v>
      </c>
      <c r="M691" s="4" t="str" cm="1">
        <f t="array" ref="M69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91" s="4" cm="1">
        <f t="array" ref="N69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691" s="4">
        <f>Table15678[[#This Row],[Total Amount]]-Table15678[[#This Row],[Discount Amount]]</f>
        <v>720</v>
      </c>
      <c r="P691" s="4" t="str">
        <f>IF(Table15678[[#This Row],[Total Amount]]&gt;=1000,"High","Low")</f>
        <v>Low</v>
      </c>
      <c r="Q691" s="4" t="str" cm="1">
        <f t="array" ref="Q691">_xlfn.IFS(AND(Table15678[[#This Row],[Total Amount]]&gt;=1500,"Critical"),AND(Table15678[[#This Row],[Total Amount]]&gt;=1000,"High"),TRUE,"Normal")</f>
        <v>Normal</v>
      </c>
      <c r="R691" s="4" t="str">
        <f>CONCATENATE(Table15678[[#This Row],[Customer ID]], "-",Table15678[[#This Row],[Age]])</f>
        <v>CUST690-52</v>
      </c>
      <c r="S691" s="4" t="str">
        <f>TEXT(Table15678[[#This Row],[Date]],"mmm")</f>
        <v>Nov</v>
      </c>
      <c r="T691" s="4" t="str">
        <f>TEXT(Table15678[[#This Row],[Date]],"DDD")</f>
        <v>Sun</v>
      </c>
    </row>
    <row r="692" spans="1:20" ht="29" x14ac:dyDescent="0.35">
      <c r="A692" s="4">
        <v>691</v>
      </c>
      <c r="B692" s="5">
        <v>45039</v>
      </c>
      <c r="C692" s="4" t="s">
        <v>704</v>
      </c>
      <c r="D692" s="4" t="s">
        <v>13</v>
      </c>
      <c r="E692" s="4">
        <v>51</v>
      </c>
      <c r="F692" s="4" t="str">
        <f>IF(Table15678[[#This Row],[Age]]&lt;=19,"Teenager",IF(Table15678[[#This Row],[Age]]&lt;=40,"Median","Old"))</f>
        <v>Old</v>
      </c>
      <c r="G692" s="4" t="s">
        <v>14</v>
      </c>
      <c r="H692" s="4">
        <v>3</v>
      </c>
      <c r="I692" s="4">
        <v>30</v>
      </c>
      <c r="J692" s="4">
        <v>90</v>
      </c>
      <c r="K692" s="4" t="str" cm="1">
        <f t="array" ref="K692">_xlfn.IFS(AND(Table15678[[#This Row],[Total Amount]]&gt;=1500),"Critical",AND(Table15678[[#This Row],[Total Amount]]&gt;=1000),"High",TRUE,"Normal")</f>
        <v>Normal</v>
      </c>
      <c r="L692" s="4" t="str">
        <f>IF(Table15678[[#This Row],[Total Amount]]&gt;=1000,"High",(IF(Table15678[[#This Row],[Total Amount]]&gt;=500,"Medium","Low")))</f>
        <v>Low</v>
      </c>
      <c r="M692" s="4" t="str" cm="1">
        <f t="array" ref="M69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92" s="4" cm="1">
        <f t="array" ref="N69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</v>
      </c>
      <c r="O692" s="4">
        <f>Table15678[[#This Row],[Total Amount]]-Table15678[[#This Row],[Discount Amount]]</f>
        <v>72</v>
      </c>
      <c r="P692" s="4" t="str">
        <f>IF(Table15678[[#This Row],[Total Amount]]&gt;=1000,"High","Low")</f>
        <v>Low</v>
      </c>
      <c r="Q692" s="4" t="str" cm="1">
        <f t="array" ref="Q692">_xlfn.IFS(AND(Table15678[[#This Row],[Total Amount]]&gt;=1500,"Critical"),AND(Table15678[[#This Row],[Total Amount]]&gt;=1000,"High"),TRUE,"Normal")</f>
        <v>Normal</v>
      </c>
      <c r="R692" s="4" t="str">
        <f>CONCATENATE(Table15678[[#This Row],[Customer ID]], "-",Table15678[[#This Row],[Age]])</f>
        <v>CUST691-51</v>
      </c>
      <c r="S692" s="4" t="str">
        <f>TEXT(Table15678[[#This Row],[Date]],"mmm")</f>
        <v>Apr</v>
      </c>
      <c r="T692" s="4" t="str">
        <f>TEXT(Table15678[[#This Row],[Date]],"DDD")</f>
        <v>Sun</v>
      </c>
    </row>
    <row r="693" spans="1:20" ht="29" x14ac:dyDescent="0.35">
      <c r="A693" s="4">
        <v>692</v>
      </c>
      <c r="B693" s="5">
        <v>45176</v>
      </c>
      <c r="C693" s="4" t="s">
        <v>705</v>
      </c>
      <c r="D693" s="4" t="s">
        <v>13</v>
      </c>
      <c r="E693" s="4">
        <v>64</v>
      </c>
      <c r="F693" s="4" t="str">
        <f>IF(Table15678[[#This Row],[Age]]&lt;=19,"Teenager",IF(Table15678[[#This Row],[Age]]&lt;=40,"Median","Old"))</f>
        <v>Old</v>
      </c>
      <c r="G693" s="4" t="s">
        <v>14</v>
      </c>
      <c r="H693" s="4">
        <v>2</v>
      </c>
      <c r="I693" s="4">
        <v>50</v>
      </c>
      <c r="J693" s="4">
        <v>100</v>
      </c>
      <c r="K693" s="4" t="str" cm="1">
        <f t="array" ref="K693">_xlfn.IFS(AND(Table15678[[#This Row],[Total Amount]]&gt;=1500),"Critical",AND(Table15678[[#This Row],[Total Amount]]&gt;=1000),"High",TRUE,"Normal")</f>
        <v>Normal</v>
      </c>
      <c r="L693" s="4" t="str">
        <f>IF(Table15678[[#This Row],[Total Amount]]&gt;=1000,"High",(IF(Table15678[[#This Row],[Total Amount]]&gt;=500,"Medium","Low")))</f>
        <v>Low</v>
      </c>
      <c r="M693" s="4" t="str" cm="1">
        <f t="array" ref="M69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93" s="4" cm="1">
        <f t="array" ref="N69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693" s="4">
        <f>Table15678[[#This Row],[Total Amount]]-Table15678[[#This Row],[Discount Amount]]</f>
        <v>80</v>
      </c>
      <c r="P693" s="4" t="str">
        <f>IF(Table15678[[#This Row],[Total Amount]]&gt;=1000,"High","Low")</f>
        <v>Low</v>
      </c>
      <c r="Q693" s="4" t="str" cm="1">
        <f t="array" ref="Q693">_xlfn.IFS(AND(Table15678[[#This Row],[Total Amount]]&gt;=1500,"Critical"),AND(Table15678[[#This Row],[Total Amount]]&gt;=1000,"High"),TRUE,"Normal")</f>
        <v>Normal</v>
      </c>
      <c r="R693" s="4" t="str">
        <f>CONCATENATE(Table15678[[#This Row],[Customer ID]], "-",Table15678[[#This Row],[Age]])</f>
        <v>CUST692-64</v>
      </c>
      <c r="S693" s="4" t="str">
        <f>TEXT(Table15678[[#This Row],[Date]],"mmm")</f>
        <v>Sep</v>
      </c>
      <c r="T693" s="4" t="str">
        <f>TEXT(Table15678[[#This Row],[Date]],"DDD")</f>
        <v>Thu</v>
      </c>
    </row>
    <row r="694" spans="1:20" ht="29" x14ac:dyDescent="0.35">
      <c r="A694" s="4">
        <v>693</v>
      </c>
      <c r="B694" s="5">
        <v>45039</v>
      </c>
      <c r="C694" s="4" t="s">
        <v>706</v>
      </c>
      <c r="D694" s="4" t="s">
        <v>10</v>
      </c>
      <c r="E694" s="4">
        <v>41</v>
      </c>
      <c r="F694" s="4" t="str">
        <f>IF(Table15678[[#This Row],[Age]]&lt;=19,"Teenager",IF(Table15678[[#This Row],[Age]]&lt;=40,"Median","Old"))</f>
        <v>Old</v>
      </c>
      <c r="G694" s="4" t="s">
        <v>11</v>
      </c>
      <c r="H694" s="4">
        <v>3</v>
      </c>
      <c r="I694" s="4">
        <v>500</v>
      </c>
      <c r="J694" s="4">
        <v>1500</v>
      </c>
      <c r="K694" s="4" t="str" cm="1">
        <f t="array" ref="K694">_xlfn.IFS(AND(Table15678[[#This Row],[Total Amount]]&gt;=1500),"Critical",AND(Table15678[[#This Row],[Total Amount]]&gt;=1000),"High",TRUE,"Normal")</f>
        <v>Critical</v>
      </c>
      <c r="L694" s="4" t="str">
        <f>IF(Table15678[[#This Row],[Total Amount]]&gt;=1000,"High",(IF(Table15678[[#This Row],[Total Amount]]&gt;=500,"Medium","Low")))</f>
        <v>High</v>
      </c>
      <c r="M694" s="4" t="str" cm="1">
        <f t="array" ref="M69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94" s="4" cm="1">
        <f t="array" ref="N69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150</v>
      </c>
      <c r="O694" s="4">
        <f>Table15678[[#This Row],[Total Amount]]-Table15678[[#This Row],[Discount Amount]]</f>
        <v>1350</v>
      </c>
      <c r="P694" s="4" t="str">
        <f>IF(Table15678[[#This Row],[Total Amount]]&gt;=1000,"High","Low")</f>
        <v>High</v>
      </c>
      <c r="Q694" s="4" t="b" cm="1">
        <f t="array" ref="Q694">_xlfn.IFS(AND(Table15678[[#This Row],[Total Amount]]&gt;=1500,"Critical"),AND(Table15678[[#This Row],[Total Amount]]&gt;=1000,"High"),TRUE,"Normal")</f>
        <v>1</v>
      </c>
      <c r="R694" s="4" t="str">
        <f>CONCATENATE(Table15678[[#This Row],[Customer ID]], "-",Table15678[[#This Row],[Age]])</f>
        <v>CUST693-41</v>
      </c>
      <c r="S694" s="4" t="str">
        <f>TEXT(Table15678[[#This Row],[Date]],"mmm")</f>
        <v>Apr</v>
      </c>
      <c r="T694" s="4" t="str">
        <f>TEXT(Table15678[[#This Row],[Date]],"DDD")</f>
        <v>Sun</v>
      </c>
    </row>
    <row r="695" spans="1:20" ht="29" x14ac:dyDescent="0.35">
      <c r="A695" s="4">
        <v>694</v>
      </c>
      <c r="B695" s="5">
        <v>45066</v>
      </c>
      <c r="C695" s="4" t="s">
        <v>707</v>
      </c>
      <c r="D695" s="4" t="s">
        <v>13</v>
      </c>
      <c r="E695" s="4">
        <v>39</v>
      </c>
      <c r="F695" s="4" t="str">
        <f>IF(Table15678[[#This Row],[Age]]&lt;=19,"Teenager",IF(Table15678[[#This Row],[Age]]&lt;=40,"Median","Old"))</f>
        <v>Median</v>
      </c>
      <c r="G695" s="4" t="s">
        <v>16</v>
      </c>
      <c r="H695" s="4">
        <v>2</v>
      </c>
      <c r="I695" s="4">
        <v>25</v>
      </c>
      <c r="J695" s="4">
        <v>50</v>
      </c>
      <c r="K695" s="4" t="str" cm="1">
        <f t="array" ref="K695">_xlfn.IFS(AND(Table15678[[#This Row],[Total Amount]]&gt;=1500),"Critical",AND(Table15678[[#This Row],[Total Amount]]&gt;=1000),"High",TRUE,"Normal")</f>
        <v>Normal</v>
      </c>
      <c r="L695" s="4" t="str">
        <f>IF(Table15678[[#This Row],[Total Amount]]&gt;=1000,"High",(IF(Table15678[[#This Row],[Total Amount]]&gt;=500,"Medium","Low")))</f>
        <v>Low</v>
      </c>
      <c r="M695" s="4" t="str" cm="1">
        <f t="array" ref="M69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95" s="4" cm="1">
        <f t="array" ref="N69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695" s="4">
        <f>Table15678[[#This Row],[Total Amount]]-Table15678[[#This Row],[Discount Amount]]</f>
        <v>40</v>
      </c>
      <c r="P695" s="4" t="str">
        <f>IF(Table15678[[#This Row],[Total Amount]]&gt;=1000,"High","Low")</f>
        <v>Low</v>
      </c>
      <c r="Q695" s="4" t="str" cm="1">
        <f t="array" ref="Q695">_xlfn.IFS(AND(Table15678[[#This Row],[Total Amount]]&gt;=1500,"Critical"),AND(Table15678[[#This Row],[Total Amount]]&gt;=1000,"High"),TRUE,"Normal")</f>
        <v>Normal</v>
      </c>
      <c r="R695" s="4" t="str">
        <f>CONCATENATE(Table15678[[#This Row],[Customer ID]], "-",Table15678[[#This Row],[Age]])</f>
        <v>CUST694-39</v>
      </c>
      <c r="S695" s="4" t="str">
        <f>TEXT(Table15678[[#This Row],[Date]],"mmm")</f>
        <v>May</v>
      </c>
      <c r="T695" s="4" t="str">
        <f>TEXT(Table15678[[#This Row],[Date]],"DDD")</f>
        <v>Sat</v>
      </c>
    </row>
    <row r="696" spans="1:20" ht="29" x14ac:dyDescent="0.35">
      <c r="A696" s="4">
        <v>695</v>
      </c>
      <c r="B696" s="5">
        <v>45150</v>
      </c>
      <c r="C696" s="4" t="s">
        <v>708</v>
      </c>
      <c r="D696" s="4" t="s">
        <v>13</v>
      </c>
      <c r="E696" s="4">
        <v>22</v>
      </c>
      <c r="F696" s="4" t="str">
        <f>IF(Table15678[[#This Row],[Age]]&lt;=19,"Teenager",IF(Table15678[[#This Row],[Age]]&lt;=40,"Median","Old"))</f>
        <v>Median</v>
      </c>
      <c r="G696" s="4" t="s">
        <v>16</v>
      </c>
      <c r="H696" s="4">
        <v>3</v>
      </c>
      <c r="I696" s="4">
        <v>50</v>
      </c>
      <c r="J696" s="4">
        <v>150</v>
      </c>
      <c r="K696" s="4" t="str" cm="1">
        <f t="array" ref="K696">_xlfn.IFS(AND(Table15678[[#This Row],[Total Amount]]&gt;=1500),"Critical",AND(Table15678[[#This Row],[Total Amount]]&gt;=1000),"High",TRUE,"Normal")</f>
        <v>Normal</v>
      </c>
      <c r="L696" s="4" t="str">
        <f>IF(Table15678[[#This Row],[Total Amount]]&gt;=1000,"High",(IF(Table15678[[#This Row],[Total Amount]]&gt;=500,"Medium","Low")))</f>
        <v>Low</v>
      </c>
      <c r="M696" s="4" t="str" cm="1">
        <f t="array" ref="M69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696" s="4" cm="1">
        <f t="array" ref="N69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696" s="4">
        <f>Table15678[[#This Row],[Total Amount]]-Table15678[[#This Row],[Discount Amount]]</f>
        <v>150</v>
      </c>
      <c r="P696" s="4" t="str">
        <f>IF(Table15678[[#This Row],[Total Amount]]&gt;=1000,"High","Low")</f>
        <v>Low</v>
      </c>
      <c r="Q696" s="4" t="str" cm="1">
        <f t="array" ref="Q696">_xlfn.IFS(AND(Table15678[[#This Row],[Total Amount]]&gt;=1500,"Critical"),AND(Table15678[[#This Row],[Total Amount]]&gt;=1000,"High"),TRUE,"Normal")</f>
        <v>Normal</v>
      </c>
      <c r="R696" s="4" t="str">
        <f>CONCATENATE(Table15678[[#This Row],[Customer ID]], "-",Table15678[[#This Row],[Age]])</f>
        <v>CUST695-22</v>
      </c>
      <c r="S696" s="4" t="str">
        <f>TEXT(Table15678[[#This Row],[Date]],"mmm")</f>
        <v>Aug</v>
      </c>
      <c r="T696" s="4" t="str">
        <f>TEXT(Table15678[[#This Row],[Date]],"DDD")</f>
        <v>Sat</v>
      </c>
    </row>
    <row r="697" spans="1:20" ht="29" x14ac:dyDescent="0.35">
      <c r="A697" s="4">
        <v>696</v>
      </c>
      <c r="B697" s="5">
        <v>45175</v>
      </c>
      <c r="C697" s="4" t="s">
        <v>709</v>
      </c>
      <c r="D697" s="4" t="s">
        <v>13</v>
      </c>
      <c r="E697" s="4">
        <v>50</v>
      </c>
      <c r="F697" s="4" t="str">
        <f>IF(Table15678[[#This Row],[Age]]&lt;=19,"Teenager",IF(Table15678[[#This Row],[Age]]&lt;=40,"Median","Old"))</f>
        <v>Old</v>
      </c>
      <c r="G697" s="4" t="s">
        <v>14</v>
      </c>
      <c r="H697" s="4">
        <v>4</v>
      </c>
      <c r="I697" s="4">
        <v>50</v>
      </c>
      <c r="J697" s="4">
        <v>200</v>
      </c>
      <c r="K697" s="4" t="str" cm="1">
        <f t="array" ref="K697">_xlfn.IFS(AND(Table15678[[#This Row],[Total Amount]]&gt;=1500),"Critical",AND(Table15678[[#This Row],[Total Amount]]&gt;=1000),"High",TRUE,"Normal")</f>
        <v>Normal</v>
      </c>
      <c r="L697" s="4" t="str">
        <f>IF(Table15678[[#This Row],[Total Amount]]&gt;=1000,"High",(IF(Table15678[[#This Row],[Total Amount]]&gt;=500,"Medium","Low")))</f>
        <v>Low</v>
      </c>
      <c r="M697" s="4" t="str" cm="1">
        <f t="array" ref="M69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97" s="4" cm="1">
        <f t="array" ref="N69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</v>
      </c>
      <c r="O697" s="4">
        <f>Table15678[[#This Row],[Total Amount]]-Table15678[[#This Row],[Discount Amount]]</f>
        <v>160</v>
      </c>
      <c r="P697" s="4" t="str">
        <f>IF(Table15678[[#This Row],[Total Amount]]&gt;=1000,"High","Low")</f>
        <v>Low</v>
      </c>
      <c r="Q697" s="4" t="str" cm="1">
        <f t="array" ref="Q697">_xlfn.IFS(AND(Table15678[[#This Row],[Total Amount]]&gt;=1500,"Critical"),AND(Table15678[[#This Row],[Total Amount]]&gt;=1000,"High"),TRUE,"Normal")</f>
        <v>Normal</v>
      </c>
      <c r="R697" s="4" t="str">
        <f>CONCATENATE(Table15678[[#This Row],[Customer ID]], "-",Table15678[[#This Row],[Age]])</f>
        <v>CUST696-50</v>
      </c>
      <c r="S697" s="4" t="str">
        <f>TEXT(Table15678[[#This Row],[Date]],"mmm")</f>
        <v>Sep</v>
      </c>
      <c r="T697" s="4" t="str">
        <f>TEXT(Table15678[[#This Row],[Date]],"DDD")</f>
        <v>Wed</v>
      </c>
    </row>
    <row r="698" spans="1:20" ht="29" x14ac:dyDescent="0.35">
      <c r="A698" s="4">
        <v>697</v>
      </c>
      <c r="B698" s="5">
        <v>44941</v>
      </c>
      <c r="C698" s="4" t="s">
        <v>710</v>
      </c>
      <c r="D698" s="4" t="s">
        <v>10</v>
      </c>
      <c r="E698" s="4">
        <v>53</v>
      </c>
      <c r="F698" s="4" t="str">
        <f>IF(Table15678[[#This Row],[Age]]&lt;=19,"Teenager",IF(Table15678[[#This Row],[Age]]&lt;=40,"Median","Old"))</f>
        <v>Old</v>
      </c>
      <c r="G698" s="4" t="s">
        <v>14</v>
      </c>
      <c r="H698" s="4">
        <v>1</v>
      </c>
      <c r="I698" s="4">
        <v>500</v>
      </c>
      <c r="J698" s="4">
        <v>500</v>
      </c>
      <c r="K698" s="4" t="str" cm="1">
        <f t="array" ref="K698">_xlfn.IFS(AND(Table15678[[#This Row],[Total Amount]]&gt;=1500),"Critical",AND(Table15678[[#This Row],[Total Amount]]&gt;=1000),"High",TRUE,"Normal")</f>
        <v>Normal</v>
      </c>
      <c r="L698" s="4" t="str">
        <f>IF(Table15678[[#This Row],[Total Amount]]&gt;=1000,"High",(IF(Table15678[[#This Row],[Total Amount]]&gt;=500,"Medium","Low")))</f>
        <v>Medium</v>
      </c>
      <c r="M698" s="4" t="str" cm="1">
        <f t="array" ref="M69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98" s="4" cm="1">
        <f t="array" ref="N69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50</v>
      </c>
      <c r="O698" s="4">
        <f>Table15678[[#This Row],[Total Amount]]-Table15678[[#This Row],[Discount Amount]]</f>
        <v>450</v>
      </c>
      <c r="P698" s="4" t="str">
        <f>IF(Table15678[[#This Row],[Total Amount]]&gt;=1000,"High","Low")</f>
        <v>Low</v>
      </c>
      <c r="Q698" s="4" t="str" cm="1">
        <f t="array" ref="Q698">_xlfn.IFS(AND(Table15678[[#This Row],[Total Amount]]&gt;=1500,"Critical"),AND(Table15678[[#This Row],[Total Amount]]&gt;=1000,"High"),TRUE,"Normal")</f>
        <v>Normal</v>
      </c>
      <c r="R698" s="4" t="str">
        <f>CONCATENATE(Table15678[[#This Row],[Customer ID]], "-",Table15678[[#This Row],[Age]])</f>
        <v>CUST697-53</v>
      </c>
      <c r="S698" s="4" t="str">
        <f>TEXT(Table15678[[#This Row],[Date]],"mmm")</f>
        <v>Jan</v>
      </c>
      <c r="T698" s="4" t="str">
        <f>TEXT(Table15678[[#This Row],[Date]],"DDD")</f>
        <v>Sun</v>
      </c>
    </row>
    <row r="699" spans="1:20" ht="29" x14ac:dyDescent="0.35">
      <c r="A699" s="4">
        <v>698</v>
      </c>
      <c r="B699" s="5">
        <v>45126</v>
      </c>
      <c r="C699" s="4" t="s">
        <v>711</v>
      </c>
      <c r="D699" s="4" t="s">
        <v>13</v>
      </c>
      <c r="E699" s="4">
        <v>64</v>
      </c>
      <c r="F699" s="4" t="str">
        <f>IF(Table15678[[#This Row],[Age]]&lt;=19,"Teenager",IF(Table15678[[#This Row],[Age]]&lt;=40,"Median","Old"))</f>
        <v>Old</v>
      </c>
      <c r="G699" s="4" t="s">
        <v>16</v>
      </c>
      <c r="H699" s="4">
        <v>1</v>
      </c>
      <c r="I699" s="4">
        <v>300</v>
      </c>
      <c r="J699" s="4">
        <v>300</v>
      </c>
      <c r="K699" s="4" t="str" cm="1">
        <f t="array" ref="K699">_xlfn.IFS(AND(Table15678[[#This Row],[Total Amount]]&gt;=1500),"Critical",AND(Table15678[[#This Row],[Total Amount]]&gt;=1000),"High",TRUE,"Normal")</f>
        <v>Normal</v>
      </c>
      <c r="L699" s="4" t="str">
        <f>IF(Table15678[[#This Row],[Total Amount]]&gt;=1000,"High",(IF(Table15678[[#This Row],[Total Amount]]&gt;=500,"Medium","Low")))</f>
        <v>Low</v>
      </c>
      <c r="M699" s="4" t="str" cm="1">
        <f t="array" ref="M69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699" s="4" cm="1">
        <f t="array" ref="N69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699" s="4">
        <f>Table15678[[#This Row],[Total Amount]]-Table15678[[#This Row],[Discount Amount]]</f>
        <v>240</v>
      </c>
      <c r="P699" s="4" t="str">
        <f>IF(Table15678[[#This Row],[Total Amount]]&gt;=1000,"High","Low")</f>
        <v>Low</v>
      </c>
      <c r="Q699" s="4" t="str" cm="1">
        <f t="array" ref="Q699">_xlfn.IFS(AND(Table15678[[#This Row],[Total Amount]]&gt;=1500,"Critical"),AND(Table15678[[#This Row],[Total Amount]]&gt;=1000,"High"),TRUE,"Normal")</f>
        <v>Normal</v>
      </c>
      <c r="R699" s="4" t="str">
        <f>CONCATENATE(Table15678[[#This Row],[Customer ID]], "-",Table15678[[#This Row],[Age]])</f>
        <v>CUST698-64</v>
      </c>
      <c r="S699" s="4" t="str">
        <f>TEXT(Table15678[[#This Row],[Date]],"mmm")</f>
        <v>Jul</v>
      </c>
      <c r="T699" s="4" t="str">
        <f>TEXT(Table15678[[#This Row],[Date]],"DDD")</f>
        <v>Wed</v>
      </c>
    </row>
    <row r="700" spans="1:20" ht="29" x14ac:dyDescent="0.35">
      <c r="A700" s="4">
        <v>699</v>
      </c>
      <c r="B700" s="5">
        <v>45099</v>
      </c>
      <c r="C700" s="4" t="s">
        <v>712</v>
      </c>
      <c r="D700" s="4" t="s">
        <v>13</v>
      </c>
      <c r="E700" s="4">
        <v>37</v>
      </c>
      <c r="F700" s="4" t="str">
        <f>IF(Table15678[[#This Row],[Age]]&lt;=19,"Teenager",IF(Table15678[[#This Row],[Age]]&lt;=40,"Median","Old"))</f>
        <v>Median</v>
      </c>
      <c r="G700" s="4" t="s">
        <v>14</v>
      </c>
      <c r="H700" s="4">
        <v>4</v>
      </c>
      <c r="I700" s="4">
        <v>30</v>
      </c>
      <c r="J700" s="4">
        <v>120</v>
      </c>
      <c r="K700" s="4" t="str" cm="1">
        <f t="array" ref="K700">_xlfn.IFS(AND(Table15678[[#This Row],[Total Amount]]&gt;=1500),"Critical",AND(Table15678[[#This Row],[Total Amount]]&gt;=1000),"High",TRUE,"Normal")</f>
        <v>Normal</v>
      </c>
      <c r="L700" s="4" t="str">
        <f>IF(Table15678[[#This Row],[Total Amount]]&gt;=1000,"High",(IF(Table15678[[#This Row],[Total Amount]]&gt;=500,"Medium","Low")))</f>
        <v>Low</v>
      </c>
      <c r="M700" s="4" t="str" cm="1">
        <f t="array" ref="M70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00" s="4" cm="1">
        <f t="array" ref="N70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</v>
      </c>
      <c r="O700" s="4">
        <f>Table15678[[#This Row],[Total Amount]]-Table15678[[#This Row],[Discount Amount]]</f>
        <v>96</v>
      </c>
      <c r="P700" s="4" t="str">
        <f>IF(Table15678[[#This Row],[Total Amount]]&gt;=1000,"High","Low")</f>
        <v>Low</v>
      </c>
      <c r="Q700" s="4" t="str" cm="1">
        <f t="array" ref="Q700">_xlfn.IFS(AND(Table15678[[#This Row],[Total Amount]]&gt;=1500,"Critical"),AND(Table15678[[#This Row],[Total Amount]]&gt;=1000,"High"),TRUE,"Normal")</f>
        <v>Normal</v>
      </c>
      <c r="R700" s="4" t="str">
        <f>CONCATENATE(Table15678[[#This Row],[Customer ID]], "-",Table15678[[#This Row],[Age]])</f>
        <v>CUST699-37</v>
      </c>
      <c r="S700" s="4" t="str">
        <f>TEXT(Table15678[[#This Row],[Date]],"mmm")</f>
        <v>Jun</v>
      </c>
      <c r="T700" s="4" t="str">
        <f>TEXT(Table15678[[#This Row],[Date]],"DDD")</f>
        <v>Thu</v>
      </c>
    </row>
    <row r="701" spans="1:20" ht="29" x14ac:dyDescent="0.35">
      <c r="A701" s="4">
        <v>700</v>
      </c>
      <c r="B701" s="5">
        <v>45269</v>
      </c>
      <c r="C701" s="4" t="s">
        <v>713</v>
      </c>
      <c r="D701" s="4" t="s">
        <v>10</v>
      </c>
      <c r="E701" s="4">
        <v>36</v>
      </c>
      <c r="F701" s="4" t="str">
        <f>IF(Table15678[[#This Row],[Age]]&lt;=19,"Teenager",IF(Table15678[[#This Row],[Age]]&lt;=40,"Median","Old"))</f>
        <v>Median</v>
      </c>
      <c r="G701" s="4" t="s">
        <v>16</v>
      </c>
      <c r="H701" s="4">
        <v>4</v>
      </c>
      <c r="I701" s="4">
        <v>500</v>
      </c>
      <c r="J701" s="4">
        <v>2000</v>
      </c>
      <c r="K701" s="4" t="str" cm="1">
        <f t="array" ref="K701">_xlfn.IFS(AND(Table15678[[#This Row],[Total Amount]]&gt;=1500),"Critical",AND(Table15678[[#This Row],[Total Amount]]&gt;=1000),"High",TRUE,"Normal")</f>
        <v>Critical</v>
      </c>
      <c r="L701" s="4" t="str">
        <f>IF(Table15678[[#This Row],[Total Amount]]&gt;=1000,"High",(IF(Table15678[[#This Row],[Total Amount]]&gt;=500,"Medium","Low")))</f>
        <v>High</v>
      </c>
      <c r="M701" s="4" t="str" cm="1">
        <f t="array" ref="M70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01" s="4" cm="1">
        <f t="array" ref="N70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701" s="4">
        <f>Table15678[[#This Row],[Total Amount]]-Table15678[[#This Row],[Discount Amount]]</f>
        <v>1800</v>
      </c>
      <c r="P701" s="4" t="str">
        <f>IF(Table15678[[#This Row],[Total Amount]]&gt;=1000,"High","Low")</f>
        <v>High</v>
      </c>
      <c r="Q701" s="4" t="b" cm="1">
        <f t="array" ref="Q701">_xlfn.IFS(AND(Table15678[[#This Row],[Total Amount]]&gt;=1500,"Critical"),AND(Table15678[[#This Row],[Total Amount]]&gt;=1000,"High"),TRUE,"Normal")</f>
        <v>1</v>
      </c>
      <c r="R701" s="4" t="str">
        <f>CONCATENATE(Table15678[[#This Row],[Customer ID]], "-",Table15678[[#This Row],[Age]])</f>
        <v>CUST700-36</v>
      </c>
      <c r="S701" s="4" t="str">
        <f>TEXT(Table15678[[#This Row],[Date]],"mmm")</f>
        <v>Dec</v>
      </c>
      <c r="T701" s="4" t="str">
        <f>TEXT(Table15678[[#This Row],[Date]],"DDD")</f>
        <v>Sat</v>
      </c>
    </row>
    <row r="702" spans="1:20" ht="29" x14ac:dyDescent="0.35">
      <c r="A702" s="4">
        <v>701</v>
      </c>
      <c r="B702" s="5">
        <v>45274</v>
      </c>
      <c r="C702" s="4" t="s">
        <v>714</v>
      </c>
      <c r="D702" s="4" t="s">
        <v>13</v>
      </c>
      <c r="E702" s="4">
        <v>52</v>
      </c>
      <c r="F702" s="4" t="str">
        <f>IF(Table15678[[#This Row],[Age]]&lt;=19,"Teenager",IF(Table15678[[#This Row],[Age]]&lt;=40,"Median","Old"))</f>
        <v>Old</v>
      </c>
      <c r="G702" s="4" t="s">
        <v>11</v>
      </c>
      <c r="H702" s="4">
        <v>2</v>
      </c>
      <c r="I702" s="4">
        <v>30</v>
      </c>
      <c r="J702" s="4">
        <v>60</v>
      </c>
      <c r="K702" s="4" t="str" cm="1">
        <f t="array" ref="K702">_xlfn.IFS(AND(Table15678[[#This Row],[Total Amount]]&gt;=1500),"Critical",AND(Table15678[[#This Row],[Total Amount]]&gt;=1000),"High",TRUE,"Normal")</f>
        <v>Normal</v>
      </c>
      <c r="L702" s="4" t="str">
        <f>IF(Table15678[[#This Row],[Total Amount]]&gt;=1000,"High",(IF(Table15678[[#This Row],[Total Amount]]&gt;=500,"Medium","Low")))</f>
        <v>Low</v>
      </c>
      <c r="M702" s="4" t="str" cm="1">
        <f t="array" ref="M70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02" s="4" cm="1">
        <f t="array" ref="N70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702" s="4">
        <f>Table15678[[#This Row],[Total Amount]]-Table15678[[#This Row],[Discount Amount]]</f>
        <v>48</v>
      </c>
      <c r="P702" s="4" t="str">
        <f>IF(Table15678[[#This Row],[Total Amount]]&gt;=1000,"High","Low")</f>
        <v>Low</v>
      </c>
      <c r="Q702" s="4" t="str" cm="1">
        <f t="array" ref="Q702">_xlfn.IFS(AND(Table15678[[#This Row],[Total Amount]]&gt;=1500,"Critical"),AND(Table15678[[#This Row],[Total Amount]]&gt;=1000,"High"),TRUE,"Normal")</f>
        <v>Normal</v>
      </c>
      <c r="R702" s="4" t="str">
        <f>CONCATENATE(Table15678[[#This Row],[Customer ID]], "-",Table15678[[#This Row],[Age]])</f>
        <v>CUST701-52</v>
      </c>
      <c r="S702" s="4" t="str">
        <f>TEXT(Table15678[[#This Row],[Date]],"mmm")</f>
        <v>Dec</v>
      </c>
      <c r="T702" s="4" t="str">
        <f>TEXT(Table15678[[#This Row],[Date]],"DDD")</f>
        <v>Thu</v>
      </c>
    </row>
    <row r="703" spans="1:20" ht="29" x14ac:dyDescent="0.35">
      <c r="A703" s="4">
        <v>702</v>
      </c>
      <c r="B703" s="5">
        <v>45134</v>
      </c>
      <c r="C703" s="4" t="s">
        <v>715</v>
      </c>
      <c r="D703" s="4" t="s">
        <v>13</v>
      </c>
      <c r="E703" s="4">
        <v>60</v>
      </c>
      <c r="F703" s="4" t="str">
        <f>IF(Table15678[[#This Row],[Age]]&lt;=19,"Teenager",IF(Table15678[[#This Row],[Age]]&lt;=40,"Median","Old"))</f>
        <v>Old</v>
      </c>
      <c r="G703" s="4" t="s">
        <v>14</v>
      </c>
      <c r="H703" s="4">
        <v>2</v>
      </c>
      <c r="I703" s="4">
        <v>300</v>
      </c>
      <c r="J703" s="4">
        <v>600</v>
      </c>
      <c r="K703" s="4" t="str" cm="1">
        <f t="array" ref="K703">_xlfn.IFS(AND(Table15678[[#This Row],[Total Amount]]&gt;=1500),"Critical",AND(Table15678[[#This Row],[Total Amount]]&gt;=1000),"High",TRUE,"Normal")</f>
        <v>Normal</v>
      </c>
      <c r="L703" s="4" t="str">
        <f>IF(Table15678[[#This Row],[Total Amount]]&gt;=1000,"High",(IF(Table15678[[#This Row],[Total Amount]]&gt;=500,"Medium","Low")))</f>
        <v>Medium</v>
      </c>
      <c r="M703" s="4" t="str" cm="1">
        <f t="array" ref="M70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03" s="4" cm="1">
        <f t="array" ref="N70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120</v>
      </c>
      <c r="O703" s="4">
        <f>Table15678[[#This Row],[Total Amount]]-Table15678[[#This Row],[Discount Amount]]</f>
        <v>480</v>
      </c>
      <c r="P703" s="4" t="str">
        <f>IF(Table15678[[#This Row],[Total Amount]]&gt;=1000,"High","Low")</f>
        <v>Low</v>
      </c>
      <c r="Q703" s="4" t="str" cm="1">
        <f t="array" ref="Q703">_xlfn.IFS(AND(Table15678[[#This Row],[Total Amount]]&gt;=1500,"Critical"),AND(Table15678[[#This Row],[Total Amount]]&gt;=1000,"High"),TRUE,"Normal")</f>
        <v>Normal</v>
      </c>
      <c r="R703" s="4" t="str">
        <f>CONCATENATE(Table15678[[#This Row],[Customer ID]], "-",Table15678[[#This Row],[Age]])</f>
        <v>CUST702-60</v>
      </c>
      <c r="S703" s="4" t="str">
        <f>TEXT(Table15678[[#This Row],[Date]],"mmm")</f>
        <v>Jul</v>
      </c>
      <c r="T703" s="4" t="str">
        <f>TEXT(Table15678[[#This Row],[Date]],"DDD")</f>
        <v>Thu</v>
      </c>
    </row>
    <row r="704" spans="1:20" ht="29" x14ac:dyDescent="0.35">
      <c r="A704" s="4">
        <v>703</v>
      </c>
      <c r="B704" s="5">
        <v>45011</v>
      </c>
      <c r="C704" s="4" t="s">
        <v>716</v>
      </c>
      <c r="D704" s="4" t="s">
        <v>10</v>
      </c>
      <c r="E704" s="4">
        <v>34</v>
      </c>
      <c r="F704" s="4" t="str">
        <f>IF(Table15678[[#This Row],[Age]]&lt;=19,"Teenager",IF(Table15678[[#This Row],[Age]]&lt;=40,"Median","Old"))</f>
        <v>Median</v>
      </c>
      <c r="G704" s="4" t="s">
        <v>16</v>
      </c>
      <c r="H704" s="4">
        <v>2</v>
      </c>
      <c r="I704" s="4">
        <v>50</v>
      </c>
      <c r="J704" s="4">
        <v>100</v>
      </c>
      <c r="K704" s="4" t="str" cm="1">
        <f t="array" ref="K704">_xlfn.IFS(AND(Table15678[[#This Row],[Total Amount]]&gt;=1500),"Critical",AND(Table15678[[#This Row],[Total Amount]]&gt;=1000),"High",TRUE,"Normal")</f>
        <v>Normal</v>
      </c>
      <c r="L704" s="4" t="str">
        <f>IF(Table15678[[#This Row],[Total Amount]]&gt;=1000,"High",(IF(Table15678[[#This Row],[Total Amount]]&gt;=500,"Medium","Low")))</f>
        <v>Low</v>
      </c>
      <c r="M704" s="4" t="str" cm="1">
        <f t="array" ref="M70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04" s="4" cm="1">
        <f t="array" ref="N70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704" s="4">
        <f>Table15678[[#This Row],[Total Amount]]-Table15678[[#This Row],[Discount Amount]]</f>
        <v>85</v>
      </c>
      <c r="P704" s="4" t="str">
        <f>IF(Table15678[[#This Row],[Total Amount]]&gt;=1000,"High","Low")</f>
        <v>Low</v>
      </c>
      <c r="Q704" s="4" t="str" cm="1">
        <f t="array" ref="Q704">_xlfn.IFS(AND(Table15678[[#This Row],[Total Amount]]&gt;=1500,"Critical"),AND(Table15678[[#This Row],[Total Amount]]&gt;=1000,"High"),TRUE,"Normal")</f>
        <v>Normal</v>
      </c>
      <c r="R704" s="4" t="str">
        <f>CONCATENATE(Table15678[[#This Row],[Customer ID]], "-",Table15678[[#This Row],[Age]])</f>
        <v>CUST703-34</v>
      </c>
      <c r="S704" s="4" t="str">
        <f>TEXT(Table15678[[#This Row],[Date]],"mmm")</f>
        <v>Mar</v>
      </c>
      <c r="T704" s="4" t="str">
        <f>TEXT(Table15678[[#This Row],[Date]],"DDD")</f>
        <v>Sun</v>
      </c>
    </row>
    <row r="705" spans="1:20" ht="29" x14ac:dyDescent="0.35">
      <c r="A705" s="4">
        <v>704</v>
      </c>
      <c r="B705" s="5">
        <v>45166</v>
      </c>
      <c r="C705" s="4" t="s">
        <v>717</v>
      </c>
      <c r="D705" s="4" t="s">
        <v>13</v>
      </c>
      <c r="E705" s="4">
        <v>62</v>
      </c>
      <c r="F705" s="4" t="str">
        <f>IF(Table15678[[#This Row],[Age]]&lt;=19,"Teenager",IF(Table15678[[#This Row],[Age]]&lt;=40,"Median","Old"))</f>
        <v>Old</v>
      </c>
      <c r="G705" s="4" t="s">
        <v>14</v>
      </c>
      <c r="H705" s="4">
        <v>3</v>
      </c>
      <c r="I705" s="4">
        <v>30</v>
      </c>
      <c r="J705" s="4">
        <v>90</v>
      </c>
      <c r="K705" s="4" t="str" cm="1">
        <f t="array" ref="K705">_xlfn.IFS(AND(Table15678[[#This Row],[Total Amount]]&gt;=1500),"Critical",AND(Table15678[[#This Row],[Total Amount]]&gt;=1000),"High",TRUE,"Normal")</f>
        <v>Normal</v>
      </c>
      <c r="L705" s="4" t="str">
        <f>IF(Table15678[[#This Row],[Total Amount]]&gt;=1000,"High",(IF(Table15678[[#This Row],[Total Amount]]&gt;=500,"Medium","Low")))</f>
        <v>Low</v>
      </c>
      <c r="M705" s="4" t="str" cm="1">
        <f t="array" ref="M70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05" s="4" cm="1">
        <f t="array" ref="N70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</v>
      </c>
      <c r="O705" s="4">
        <f>Table15678[[#This Row],[Total Amount]]-Table15678[[#This Row],[Discount Amount]]</f>
        <v>72</v>
      </c>
      <c r="P705" s="4" t="str">
        <f>IF(Table15678[[#This Row],[Total Amount]]&gt;=1000,"High","Low")</f>
        <v>Low</v>
      </c>
      <c r="Q705" s="4" t="str" cm="1">
        <f t="array" ref="Q705">_xlfn.IFS(AND(Table15678[[#This Row],[Total Amount]]&gt;=1500,"Critical"),AND(Table15678[[#This Row],[Total Amount]]&gt;=1000,"High"),TRUE,"Normal")</f>
        <v>Normal</v>
      </c>
      <c r="R705" s="4" t="str">
        <f>CONCATENATE(Table15678[[#This Row],[Customer ID]], "-",Table15678[[#This Row],[Age]])</f>
        <v>CUST704-62</v>
      </c>
      <c r="S705" s="4" t="str">
        <f>TEXT(Table15678[[#This Row],[Date]],"mmm")</f>
        <v>Aug</v>
      </c>
      <c r="T705" s="4" t="str">
        <f>TEXT(Table15678[[#This Row],[Date]],"DDD")</f>
        <v>Mon</v>
      </c>
    </row>
    <row r="706" spans="1:20" ht="29" x14ac:dyDescent="0.35">
      <c r="A706" s="4">
        <v>705</v>
      </c>
      <c r="B706" s="5">
        <v>44992</v>
      </c>
      <c r="C706" s="4" t="s">
        <v>718</v>
      </c>
      <c r="D706" s="4" t="s">
        <v>10</v>
      </c>
      <c r="E706" s="4">
        <v>60</v>
      </c>
      <c r="F706" s="4" t="str">
        <f>IF(Table15678[[#This Row],[Age]]&lt;=19,"Teenager",IF(Table15678[[#This Row],[Age]]&lt;=40,"Median","Old"))</f>
        <v>Old</v>
      </c>
      <c r="G706" s="4" t="s">
        <v>16</v>
      </c>
      <c r="H706" s="4">
        <v>2</v>
      </c>
      <c r="I706" s="4">
        <v>25</v>
      </c>
      <c r="J706" s="4">
        <v>50</v>
      </c>
      <c r="K706" s="4" t="str" cm="1">
        <f t="array" ref="K706">_xlfn.IFS(AND(Table15678[[#This Row],[Total Amount]]&gt;=1500),"Critical",AND(Table15678[[#This Row],[Total Amount]]&gt;=1000),"High",TRUE,"Normal")</f>
        <v>Normal</v>
      </c>
      <c r="L706" s="4" t="str">
        <f>IF(Table15678[[#This Row],[Total Amount]]&gt;=1000,"High",(IF(Table15678[[#This Row],[Total Amount]]&gt;=500,"Medium","Low")))</f>
        <v>Low</v>
      </c>
      <c r="M706" s="4" t="str" cm="1">
        <f t="array" ref="M70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06" s="4" cm="1">
        <f t="array" ref="N70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706" s="4">
        <f>Table15678[[#This Row],[Total Amount]]-Table15678[[#This Row],[Discount Amount]]</f>
        <v>45</v>
      </c>
      <c r="P706" s="4" t="str">
        <f>IF(Table15678[[#This Row],[Total Amount]]&gt;=1000,"High","Low")</f>
        <v>Low</v>
      </c>
      <c r="Q706" s="4" t="str" cm="1">
        <f t="array" ref="Q706">_xlfn.IFS(AND(Table15678[[#This Row],[Total Amount]]&gt;=1500,"Critical"),AND(Table15678[[#This Row],[Total Amount]]&gt;=1000,"High"),TRUE,"Normal")</f>
        <v>Normal</v>
      </c>
      <c r="R706" s="4" t="str">
        <f>CONCATENATE(Table15678[[#This Row],[Customer ID]], "-",Table15678[[#This Row],[Age]])</f>
        <v>CUST705-60</v>
      </c>
      <c r="S706" s="4" t="str">
        <f>TEXT(Table15678[[#This Row],[Date]],"mmm")</f>
        <v>Mar</v>
      </c>
      <c r="T706" s="4" t="str">
        <f>TEXT(Table15678[[#This Row],[Date]],"DDD")</f>
        <v>Tue</v>
      </c>
    </row>
    <row r="707" spans="1:20" ht="29" x14ac:dyDescent="0.35">
      <c r="A707" s="4">
        <v>706</v>
      </c>
      <c r="B707" s="5">
        <v>45245</v>
      </c>
      <c r="C707" s="4" t="s">
        <v>719</v>
      </c>
      <c r="D707" s="4" t="s">
        <v>10</v>
      </c>
      <c r="E707" s="4">
        <v>51</v>
      </c>
      <c r="F707" s="4" t="str">
        <f>IF(Table15678[[#This Row],[Age]]&lt;=19,"Teenager",IF(Table15678[[#This Row],[Age]]&lt;=40,"Median","Old"))</f>
        <v>Old</v>
      </c>
      <c r="G707" s="4" t="s">
        <v>16</v>
      </c>
      <c r="H707" s="4">
        <v>4</v>
      </c>
      <c r="I707" s="4">
        <v>25</v>
      </c>
      <c r="J707" s="4">
        <v>100</v>
      </c>
      <c r="K707" s="4" t="str" cm="1">
        <f t="array" ref="K707">_xlfn.IFS(AND(Table15678[[#This Row],[Total Amount]]&gt;=1500),"Critical",AND(Table15678[[#This Row],[Total Amount]]&gt;=1000),"High",TRUE,"Normal")</f>
        <v>Normal</v>
      </c>
      <c r="L707" s="4" t="str">
        <f>IF(Table15678[[#This Row],[Total Amount]]&gt;=1000,"High",(IF(Table15678[[#This Row],[Total Amount]]&gt;=500,"Medium","Low")))</f>
        <v>Low</v>
      </c>
      <c r="M707" s="4" t="str" cm="1">
        <f t="array" ref="M70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07" s="4" cm="1">
        <f t="array" ref="N70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707" s="4">
        <f>Table15678[[#This Row],[Total Amount]]-Table15678[[#This Row],[Discount Amount]]</f>
        <v>90</v>
      </c>
      <c r="P707" s="4" t="str">
        <f>IF(Table15678[[#This Row],[Total Amount]]&gt;=1000,"High","Low")</f>
        <v>Low</v>
      </c>
      <c r="Q707" s="4" t="str" cm="1">
        <f t="array" ref="Q707">_xlfn.IFS(AND(Table15678[[#This Row],[Total Amount]]&gt;=1500,"Critical"),AND(Table15678[[#This Row],[Total Amount]]&gt;=1000,"High"),TRUE,"Normal")</f>
        <v>Normal</v>
      </c>
      <c r="R707" s="4" t="str">
        <f>CONCATENATE(Table15678[[#This Row],[Customer ID]], "-",Table15678[[#This Row],[Age]])</f>
        <v>CUST706-51</v>
      </c>
      <c r="S707" s="4" t="str">
        <f>TEXT(Table15678[[#This Row],[Date]],"mmm")</f>
        <v>Nov</v>
      </c>
      <c r="T707" s="4" t="str">
        <f>TEXT(Table15678[[#This Row],[Date]],"DDD")</f>
        <v>Wed</v>
      </c>
    </row>
    <row r="708" spans="1:20" ht="29" x14ac:dyDescent="0.35">
      <c r="A708" s="4">
        <v>707</v>
      </c>
      <c r="B708" s="5">
        <v>45200</v>
      </c>
      <c r="C708" s="4" t="s">
        <v>720</v>
      </c>
      <c r="D708" s="4" t="s">
        <v>13</v>
      </c>
      <c r="E708" s="4">
        <v>26</v>
      </c>
      <c r="F708" s="4" t="str">
        <f>IF(Table15678[[#This Row],[Age]]&lt;=19,"Teenager",IF(Table15678[[#This Row],[Age]]&lt;=40,"Median","Old"))</f>
        <v>Median</v>
      </c>
      <c r="G708" s="4" t="s">
        <v>14</v>
      </c>
      <c r="H708" s="4">
        <v>1</v>
      </c>
      <c r="I708" s="4">
        <v>500</v>
      </c>
      <c r="J708" s="4">
        <v>500</v>
      </c>
      <c r="K708" s="4" t="str" cm="1">
        <f t="array" ref="K708">_xlfn.IFS(AND(Table15678[[#This Row],[Total Amount]]&gt;=1500),"Critical",AND(Table15678[[#This Row],[Total Amount]]&gt;=1000),"High",TRUE,"Normal")</f>
        <v>Normal</v>
      </c>
      <c r="L708" s="4" t="str">
        <f>IF(Table15678[[#This Row],[Total Amount]]&gt;=1000,"High",(IF(Table15678[[#This Row],[Total Amount]]&gt;=500,"Medium","Low")))</f>
        <v>Medium</v>
      </c>
      <c r="M708" s="4" t="str" cm="1">
        <f t="array" ref="M70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08" s="4" cm="1">
        <f t="array" ref="N70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75</v>
      </c>
      <c r="O708" s="4">
        <f>Table15678[[#This Row],[Total Amount]]-Table15678[[#This Row],[Discount Amount]]</f>
        <v>425</v>
      </c>
      <c r="P708" s="4" t="str">
        <f>IF(Table15678[[#This Row],[Total Amount]]&gt;=1000,"High","Low")</f>
        <v>Low</v>
      </c>
      <c r="Q708" s="4" t="str" cm="1">
        <f t="array" ref="Q708">_xlfn.IFS(AND(Table15678[[#This Row],[Total Amount]]&gt;=1500,"Critical"),AND(Table15678[[#This Row],[Total Amount]]&gt;=1000,"High"),TRUE,"Normal")</f>
        <v>Normal</v>
      </c>
      <c r="R708" s="4" t="str">
        <f>CONCATENATE(Table15678[[#This Row],[Customer ID]], "-",Table15678[[#This Row],[Age]])</f>
        <v>CUST707-26</v>
      </c>
      <c r="S708" s="4" t="str">
        <f>TEXT(Table15678[[#This Row],[Date]],"mmm")</f>
        <v>Oct</v>
      </c>
      <c r="T708" s="4" t="str">
        <f>TEXT(Table15678[[#This Row],[Date]],"DDD")</f>
        <v>Sun</v>
      </c>
    </row>
    <row r="709" spans="1:20" ht="29" x14ac:dyDescent="0.35">
      <c r="A709" s="4">
        <v>708</v>
      </c>
      <c r="B709" s="5">
        <v>44940</v>
      </c>
      <c r="C709" s="4" t="s">
        <v>721</v>
      </c>
      <c r="D709" s="4" t="s">
        <v>13</v>
      </c>
      <c r="E709" s="4">
        <v>43</v>
      </c>
      <c r="F709" s="4" t="str">
        <f>IF(Table15678[[#This Row],[Age]]&lt;=19,"Teenager",IF(Table15678[[#This Row],[Age]]&lt;=40,"Median","Old"))</f>
        <v>Old</v>
      </c>
      <c r="G709" s="4" t="s">
        <v>11</v>
      </c>
      <c r="H709" s="4">
        <v>3</v>
      </c>
      <c r="I709" s="4">
        <v>300</v>
      </c>
      <c r="J709" s="4">
        <v>900</v>
      </c>
      <c r="K709" s="4" t="str" cm="1">
        <f t="array" ref="K709">_xlfn.IFS(AND(Table15678[[#This Row],[Total Amount]]&gt;=1500),"Critical",AND(Table15678[[#This Row],[Total Amount]]&gt;=1000),"High",TRUE,"Normal")</f>
        <v>Normal</v>
      </c>
      <c r="L709" s="4" t="str">
        <f>IF(Table15678[[#This Row],[Total Amount]]&gt;=1000,"High",(IF(Table15678[[#This Row],[Total Amount]]&gt;=500,"Medium","Low")))</f>
        <v>Medium</v>
      </c>
      <c r="M709" s="4" t="str" cm="1">
        <f t="array" ref="M70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09" s="4" cm="1">
        <f t="array" ref="N70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709" s="4">
        <f>Table15678[[#This Row],[Total Amount]]-Table15678[[#This Row],[Discount Amount]]</f>
        <v>720</v>
      </c>
      <c r="P709" s="4" t="str">
        <f>IF(Table15678[[#This Row],[Total Amount]]&gt;=1000,"High","Low")</f>
        <v>Low</v>
      </c>
      <c r="Q709" s="4" t="str" cm="1">
        <f t="array" ref="Q709">_xlfn.IFS(AND(Table15678[[#This Row],[Total Amount]]&gt;=1500,"Critical"),AND(Table15678[[#This Row],[Total Amount]]&gt;=1000,"High"),TRUE,"Normal")</f>
        <v>Normal</v>
      </c>
      <c r="R709" s="4" t="str">
        <f>CONCATENATE(Table15678[[#This Row],[Customer ID]], "-",Table15678[[#This Row],[Age]])</f>
        <v>CUST708-43</v>
      </c>
      <c r="S709" s="4" t="str">
        <f>TEXT(Table15678[[#This Row],[Date]],"mmm")</f>
        <v>Jan</v>
      </c>
      <c r="T709" s="4" t="str">
        <f>TEXT(Table15678[[#This Row],[Date]],"DDD")</f>
        <v>Sat</v>
      </c>
    </row>
    <row r="710" spans="1:20" ht="29" x14ac:dyDescent="0.35">
      <c r="A710" s="4">
        <v>709</v>
      </c>
      <c r="B710" s="5">
        <v>45128</v>
      </c>
      <c r="C710" s="4" t="s">
        <v>722</v>
      </c>
      <c r="D710" s="4" t="s">
        <v>13</v>
      </c>
      <c r="E710" s="4">
        <v>19</v>
      </c>
      <c r="F710" s="4" t="str">
        <f>IF(Table15678[[#This Row],[Age]]&lt;=19,"Teenager",IF(Table15678[[#This Row],[Age]]&lt;=40,"Median","Old"))</f>
        <v>Teenager</v>
      </c>
      <c r="G710" s="4" t="s">
        <v>16</v>
      </c>
      <c r="H710" s="4">
        <v>2</v>
      </c>
      <c r="I710" s="4">
        <v>500</v>
      </c>
      <c r="J710" s="4">
        <v>1000</v>
      </c>
      <c r="K710" s="4" t="str" cm="1">
        <f t="array" ref="K710">_xlfn.IFS(AND(Table15678[[#This Row],[Total Amount]]&gt;=1500),"Critical",AND(Table15678[[#This Row],[Total Amount]]&gt;=1000),"High",TRUE,"Normal")</f>
        <v>High</v>
      </c>
      <c r="L710" s="4" t="str">
        <f>IF(Table15678[[#This Row],[Total Amount]]&gt;=1000,"High",(IF(Table15678[[#This Row],[Total Amount]]&gt;=500,"Medium","Low")))</f>
        <v>High</v>
      </c>
      <c r="M710" s="4" t="str" cm="1">
        <f t="array" ref="M71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710" s="4" cm="1">
        <f t="array" ref="N71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710" s="4">
        <f>Table15678[[#This Row],[Total Amount]]-Table15678[[#This Row],[Discount Amount]]</f>
        <v>1000</v>
      </c>
      <c r="P710" s="4" t="str">
        <f>IF(Table15678[[#This Row],[Total Amount]]&gt;=1000,"High","Low")</f>
        <v>High</v>
      </c>
      <c r="Q710" s="4" t="str" cm="1">
        <f t="array" ref="Q710">_xlfn.IFS(AND(Table15678[[#This Row],[Total Amount]]&gt;=1500,"Critical"),AND(Table15678[[#This Row],[Total Amount]]&gt;=1000,"High"),TRUE,"Normal")</f>
        <v>Normal</v>
      </c>
      <c r="R710" s="4" t="str">
        <f>CONCATENATE(Table15678[[#This Row],[Customer ID]], "-",Table15678[[#This Row],[Age]])</f>
        <v>CUST709-19</v>
      </c>
      <c r="S710" s="4" t="str">
        <f>TEXT(Table15678[[#This Row],[Date]],"mmm")</f>
        <v>Jul</v>
      </c>
      <c r="T710" s="4" t="str">
        <f>TEXT(Table15678[[#This Row],[Date]],"DDD")</f>
        <v>Fri</v>
      </c>
    </row>
    <row r="711" spans="1:20" ht="29" x14ac:dyDescent="0.35">
      <c r="A711" s="4">
        <v>710</v>
      </c>
      <c r="B711" s="5">
        <v>45230</v>
      </c>
      <c r="C711" s="4" t="s">
        <v>723</v>
      </c>
      <c r="D711" s="4" t="s">
        <v>13</v>
      </c>
      <c r="E711" s="4">
        <v>26</v>
      </c>
      <c r="F711" s="4" t="str">
        <f>IF(Table15678[[#This Row],[Age]]&lt;=19,"Teenager",IF(Table15678[[#This Row],[Age]]&lt;=40,"Median","Old"))</f>
        <v>Median</v>
      </c>
      <c r="G711" s="4" t="s">
        <v>16</v>
      </c>
      <c r="H711" s="4">
        <v>3</v>
      </c>
      <c r="I711" s="4">
        <v>500</v>
      </c>
      <c r="J711" s="4">
        <v>1500</v>
      </c>
      <c r="K711" s="4" t="str" cm="1">
        <f t="array" ref="K711">_xlfn.IFS(AND(Table15678[[#This Row],[Total Amount]]&gt;=1500),"Critical",AND(Table15678[[#This Row],[Total Amount]]&gt;=1000),"High",TRUE,"Normal")</f>
        <v>Critical</v>
      </c>
      <c r="L711" s="4" t="str">
        <f>IF(Table15678[[#This Row],[Total Amount]]&gt;=1000,"High",(IF(Table15678[[#This Row],[Total Amount]]&gt;=500,"Medium","Low")))</f>
        <v>High</v>
      </c>
      <c r="M711" s="4" t="str" cm="1">
        <f t="array" ref="M71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11" s="4" cm="1">
        <f t="array" ref="N71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225</v>
      </c>
      <c r="O711" s="4">
        <f>Table15678[[#This Row],[Total Amount]]-Table15678[[#This Row],[Discount Amount]]</f>
        <v>1275</v>
      </c>
      <c r="P711" s="4" t="str">
        <f>IF(Table15678[[#This Row],[Total Amount]]&gt;=1000,"High","Low")</f>
        <v>High</v>
      </c>
      <c r="Q711" s="4" t="b" cm="1">
        <f t="array" ref="Q711">_xlfn.IFS(AND(Table15678[[#This Row],[Total Amount]]&gt;=1500,"Critical"),AND(Table15678[[#This Row],[Total Amount]]&gt;=1000,"High"),TRUE,"Normal")</f>
        <v>1</v>
      </c>
      <c r="R711" s="4" t="str">
        <f>CONCATENATE(Table15678[[#This Row],[Customer ID]], "-",Table15678[[#This Row],[Age]])</f>
        <v>CUST710-26</v>
      </c>
      <c r="S711" s="4" t="str">
        <f>TEXT(Table15678[[#This Row],[Date]],"mmm")</f>
        <v>Oct</v>
      </c>
      <c r="T711" s="4" t="str">
        <f>TEXT(Table15678[[#This Row],[Date]],"DDD")</f>
        <v>Tue</v>
      </c>
    </row>
    <row r="712" spans="1:20" ht="29" x14ac:dyDescent="0.35">
      <c r="A712" s="4">
        <v>711</v>
      </c>
      <c r="B712" s="5">
        <v>45215</v>
      </c>
      <c r="C712" s="4" t="s">
        <v>724</v>
      </c>
      <c r="D712" s="4" t="s">
        <v>10</v>
      </c>
      <c r="E712" s="4">
        <v>26</v>
      </c>
      <c r="F712" s="4" t="str">
        <f>IF(Table15678[[#This Row],[Age]]&lt;=19,"Teenager",IF(Table15678[[#This Row],[Age]]&lt;=40,"Median","Old"))</f>
        <v>Median</v>
      </c>
      <c r="G712" s="4" t="s">
        <v>16</v>
      </c>
      <c r="H712" s="4">
        <v>3</v>
      </c>
      <c r="I712" s="4">
        <v>500</v>
      </c>
      <c r="J712" s="4">
        <v>1500</v>
      </c>
      <c r="K712" s="4" t="str" cm="1">
        <f t="array" ref="K712">_xlfn.IFS(AND(Table15678[[#This Row],[Total Amount]]&gt;=1500),"Critical",AND(Table15678[[#This Row],[Total Amount]]&gt;=1000),"High",TRUE,"Normal")</f>
        <v>Critical</v>
      </c>
      <c r="L712" s="4" t="str">
        <f>IF(Table15678[[#This Row],[Total Amount]]&gt;=1000,"High",(IF(Table15678[[#This Row],[Total Amount]]&gt;=500,"Medium","Low")))</f>
        <v>High</v>
      </c>
      <c r="M712" s="4" t="str" cm="1">
        <f t="array" ref="M71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12" s="4" cm="1">
        <f t="array" ref="N71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225</v>
      </c>
      <c r="O712" s="4">
        <f>Table15678[[#This Row],[Total Amount]]-Table15678[[#This Row],[Discount Amount]]</f>
        <v>1275</v>
      </c>
      <c r="P712" s="4" t="str">
        <f>IF(Table15678[[#This Row],[Total Amount]]&gt;=1000,"High","Low")</f>
        <v>High</v>
      </c>
      <c r="Q712" s="4" t="b" cm="1">
        <f t="array" ref="Q712">_xlfn.IFS(AND(Table15678[[#This Row],[Total Amount]]&gt;=1500,"Critical"),AND(Table15678[[#This Row],[Total Amount]]&gt;=1000,"High"),TRUE,"Normal")</f>
        <v>1</v>
      </c>
      <c r="R712" s="4" t="str">
        <f>CONCATENATE(Table15678[[#This Row],[Customer ID]], "-",Table15678[[#This Row],[Age]])</f>
        <v>CUST711-26</v>
      </c>
      <c r="S712" s="4" t="str">
        <f>TEXT(Table15678[[#This Row],[Date]],"mmm")</f>
        <v>Oct</v>
      </c>
      <c r="T712" s="4" t="str">
        <f>TEXT(Table15678[[#This Row],[Date]],"DDD")</f>
        <v>Mon</v>
      </c>
    </row>
    <row r="713" spans="1:20" ht="29" x14ac:dyDescent="0.35">
      <c r="A713" s="4">
        <v>712</v>
      </c>
      <c r="B713" s="5">
        <v>45266</v>
      </c>
      <c r="C713" s="4" t="s">
        <v>725</v>
      </c>
      <c r="D713" s="4" t="s">
        <v>13</v>
      </c>
      <c r="E713" s="4">
        <v>57</v>
      </c>
      <c r="F713" s="4" t="str">
        <f>IF(Table15678[[#This Row],[Age]]&lt;=19,"Teenager",IF(Table15678[[#This Row],[Age]]&lt;=40,"Median","Old"))</f>
        <v>Old</v>
      </c>
      <c r="G713" s="4" t="s">
        <v>11</v>
      </c>
      <c r="H713" s="4">
        <v>2</v>
      </c>
      <c r="I713" s="4">
        <v>25</v>
      </c>
      <c r="J713" s="4">
        <v>50</v>
      </c>
      <c r="K713" s="4" t="str" cm="1">
        <f t="array" ref="K713">_xlfn.IFS(AND(Table15678[[#This Row],[Total Amount]]&gt;=1500),"Critical",AND(Table15678[[#This Row],[Total Amount]]&gt;=1000),"High",TRUE,"Normal")</f>
        <v>Normal</v>
      </c>
      <c r="L713" s="4" t="str">
        <f>IF(Table15678[[#This Row],[Total Amount]]&gt;=1000,"High",(IF(Table15678[[#This Row],[Total Amount]]&gt;=500,"Medium","Low")))</f>
        <v>Low</v>
      </c>
      <c r="M713" s="4" t="str" cm="1">
        <f t="array" ref="M71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13" s="4" cm="1">
        <f t="array" ref="N71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713" s="4">
        <f>Table15678[[#This Row],[Total Amount]]-Table15678[[#This Row],[Discount Amount]]</f>
        <v>40</v>
      </c>
      <c r="P713" s="4" t="str">
        <f>IF(Table15678[[#This Row],[Total Amount]]&gt;=1000,"High","Low")</f>
        <v>Low</v>
      </c>
      <c r="Q713" s="4" t="str" cm="1">
        <f t="array" ref="Q713">_xlfn.IFS(AND(Table15678[[#This Row],[Total Amount]]&gt;=1500,"Critical"),AND(Table15678[[#This Row],[Total Amount]]&gt;=1000,"High"),TRUE,"Normal")</f>
        <v>Normal</v>
      </c>
      <c r="R713" s="4" t="str">
        <f>CONCATENATE(Table15678[[#This Row],[Customer ID]], "-",Table15678[[#This Row],[Age]])</f>
        <v>CUST712-57</v>
      </c>
      <c r="S713" s="4" t="str">
        <f>TEXT(Table15678[[#This Row],[Date]],"mmm")</f>
        <v>Dec</v>
      </c>
      <c r="T713" s="4" t="str">
        <f>TEXT(Table15678[[#This Row],[Date]],"DDD")</f>
        <v>Wed</v>
      </c>
    </row>
    <row r="714" spans="1:20" ht="29" x14ac:dyDescent="0.35">
      <c r="A714" s="4">
        <v>713</v>
      </c>
      <c r="B714" s="5">
        <v>44940</v>
      </c>
      <c r="C714" s="4" t="s">
        <v>726</v>
      </c>
      <c r="D714" s="4" t="s">
        <v>10</v>
      </c>
      <c r="E714" s="4">
        <v>34</v>
      </c>
      <c r="F714" s="4" t="str">
        <f>IF(Table15678[[#This Row],[Age]]&lt;=19,"Teenager",IF(Table15678[[#This Row],[Age]]&lt;=40,"Median","Old"))</f>
        <v>Median</v>
      </c>
      <c r="G714" s="4" t="s">
        <v>11</v>
      </c>
      <c r="H714" s="4">
        <v>3</v>
      </c>
      <c r="I714" s="4">
        <v>25</v>
      </c>
      <c r="J714" s="4">
        <v>75</v>
      </c>
      <c r="K714" s="4" t="str" cm="1">
        <f t="array" ref="K714">_xlfn.IFS(AND(Table15678[[#This Row],[Total Amount]]&gt;=1500),"Critical",AND(Table15678[[#This Row],[Total Amount]]&gt;=1000),"High",TRUE,"Normal")</f>
        <v>Normal</v>
      </c>
      <c r="L714" s="4" t="str">
        <f>IF(Table15678[[#This Row],[Total Amount]]&gt;=1000,"High",(IF(Table15678[[#This Row],[Total Amount]]&gt;=500,"Medium","Low")))</f>
        <v>Low</v>
      </c>
      <c r="M714" s="4" t="str" cm="1">
        <f t="array" ref="M71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14" s="4" cm="1">
        <f t="array" ref="N71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11.25</v>
      </c>
      <c r="O714" s="4">
        <f>Table15678[[#This Row],[Total Amount]]-Table15678[[#This Row],[Discount Amount]]</f>
        <v>63.75</v>
      </c>
      <c r="P714" s="4" t="str">
        <f>IF(Table15678[[#This Row],[Total Amount]]&gt;=1000,"High","Low")</f>
        <v>Low</v>
      </c>
      <c r="Q714" s="4" t="str" cm="1">
        <f t="array" ref="Q714">_xlfn.IFS(AND(Table15678[[#This Row],[Total Amount]]&gt;=1500,"Critical"),AND(Table15678[[#This Row],[Total Amount]]&gt;=1000,"High"),TRUE,"Normal")</f>
        <v>Normal</v>
      </c>
      <c r="R714" s="4" t="str">
        <f>CONCATENATE(Table15678[[#This Row],[Customer ID]], "-",Table15678[[#This Row],[Age]])</f>
        <v>CUST713-34</v>
      </c>
      <c r="S714" s="4" t="str">
        <f>TEXT(Table15678[[#This Row],[Date]],"mmm")</f>
        <v>Jan</v>
      </c>
      <c r="T714" s="4" t="str">
        <f>TEXT(Table15678[[#This Row],[Date]],"DDD")</f>
        <v>Sat</v>
      </c>
    </row>
    <row r="715" spans="1:20" ht="29" x14ac:dyDescent="0.35">
      <c r="A715" s="4">
        <v>714</v>
      </c>
      <c r="B715" s="5">
        <v>44969</v>
      </c>
      <c r="C715" s="4" t="s">
        <v>727</v>
      </c>
      <c r="D715" s="4" t="s">
        <v>13</v>
      </c>
      <c r="E715" s="4">
        <v>18</v>
      </c>
      <c r="F715" s="4" t="str">
        <f>IF(Table15678[[#This Row],[Age]]&lt;=19,"Teenager",IF(Table15678[[#This Row],[Age]]&lt;=40,"Median","Old"))</f>
        <v>Teenager</v>
      </c>
      <c r="G715" s="4" t="s">
        <v>14</v>
      </c>
      <c r="H715" s="4">
        <v>1</v>
      </c>
      <c r="I715" s="4">
        <v>500</v>
      </c>
      <c r="J715" s="4">
        <v>500</v>
      </c>
      <c r="K715" s="4" t="str" cm="1">
        <f t="array" ref="K715">_xlfn.IFS(AND(Table15678[[#This Row],[Total Amount]]&gt;=1500),"Critical",AND(Table15678[[#This Row],[Total Amount]]&gt;=1000),"High",TRUE,"Normal")</f>
        <v>Normal</v>
      </c>
      <c r="L715" s="4" t="str">
        <f>IF(Table15678[[#This Row],[Total Amount]]&gt;=1000,"High",(IF(Table15678[[#This Row],[Total Amount]]&gt;=500,"Medium","Low")))</f>
        <v>Medium</v>
      </c>
      <c r="M715" s="4" t="str" cm="1">
        <f t="array" ref="M71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715" s="4" cm="1">
        <f t="array" ref="N71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715" s="4">
        <f>Table15678[[#This Row],[Total Amount]]-Table15678[[#This Row],[Discount Amount]]</f>
        <v>500</v>
      </c>
      <c r="P715" s="4" t="str">
        <f>IF(Table15678[[#This Row],[Total Amount]]&gt;=1000,"High","Low")</f>
        <v>Low</v>
      </c>
      <c r="Q715" s="4" t="str" cm="1">
        <f t="array" ref="Q715">_xlfn.IFS(AND(Table15678[[#This Row],[Total Amount]]&gt;=1500,"Critical"),AND(Table15678[[#This Row],[Total Amount]]&gt;=1000,"High"),TRUE,"Normal")</f>
        <v>Normal</v>
      </c>
      <c r="R715" s="4" t="str">
        <f>CONCATENATE(Table15678[[#This Row],[Customer ID]], "-",Table15678[[#This Row],[Age]])</f>
        <v>CUST714-18</v>
      </c>
      <c r="S715" s="4" t="str">
        <f>TEXT(Table15678[[#This Row],[Date]],"mmm")</f>
        <v>Feb</v>
      </c>
      <c r="T715" s="4" t="str">
        <f>TEXT(Table15678[[#This Row],[Date]],"DDD")</f>
        <v>Sun</v>
      </c>
    </row>
    <row r="716" spans="1:20" ht="29" x14ac:dyDescent="0.35">
      <c r="A716" s="4">
        <v>715</v>
      </c>
      <c r="B716" s="5">
        <v>45256</v>
      </c>
      <c r="C716" s="4" t="s">
        <v>728</v>
      </c>
      <c r="D716" s="4" t="s">
        <v>13</v>
      </c>
      <c r="E716" s="4">
        <v>42</v>
      </c>
      <c r="F716" s="4" t="str">
        <f>IF(Table15678[[#This Row],[Age]]&lt;=19,"Teenager",IF(Table15678[[#This Row],[Age]]&lt;=40,"Median","Old"))</f>
        <v>Old</v>
      </c>
      <c r="G716" s="4" t="s">
        <v>11</v>
      </c>
      <c r="H716" s="4">
        <v>4</v>
      </c>
      <c r="I716" s="4">
        <v>25</v>
      </c>
      <c r="J716" s="4">
        <v>100</v>
      </c>
      <c r="K716" s="4" t="str" cm="1">
        <f t="array" ref="K716">_xlfn.IFS(AND(Table15678[[#This Row],[Total Amount]]&gt;=1500),"Critical",AND(Table15678[[#This Row],[Total Amount]]&gt;=1000),"High",TRUE,"Normal")</f>
        <v>Normal</v>
      </c>
      <c r="L716" s="4" t="str">
        <f>IF(Table15678[[#This Row],[Total Amount]]&gt;=1000,"High",(IF(Table15678[[#This Row],[Total Amount]]&gt;=500,"Medium","Low")))</f>
        <v>Low</v>
      </c>
      <c r="M716" s="4" t="str" cm="1">
        <f t="array" ref="M71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16" s="4" cm="1">
        <f t="array" ref="N71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716" s="4">
        <f>Table15678[[#This Row],[Total Amount]]-Table15678[[#This Row],[Discount Amount]]</f>
        <v>80</v>
      </c>
      <c r="P716" s="4" t="str">
        <f>IF(Table15678[[#This Row],[Total Amount]]&gt;=1000,"High","Low")</f>
        <v>Low</v>
      </c>
      <c r="Q716" s="4" t="str" cm="1">
        <f t="array" ref="Q716">_xlfn.IFS(AND(Table15678[[#This Row],[Total Amount]]&gt;=1500,"Critical"),AND(Table15678[[#This Row],[Total Amount]]&gt;=1000,"High"),TRUE,"Normal")</f>
        <v>Normal</v>
      </c>
      <c r="R716" s="4" t="str">
        <f>CONCATENATE(Table15678[[#This Row],[Customer ID]], "-",Table15678[[#This Row],[Age]])</f>
        <v>CUST715-42</v>
      </c>
      <c r="S716" s="4" t="str">
        <f>TEXT(Table15678[[#This Row],[Date]],"mmm")</f>
        <v>Nov</v>
      </c>
      <c r="T716" s="4" t="str">
        <f>TEXT(Table15678[[#This Row],[Date]],"DDD")</f>
        <v>Sun</v>
      </c>
    </row>
    <row r="717" spans="1:20" ht="29" x14ac:dyDescent="0.35">
      <c r="A717" s="4">
        <v>716</v>
      </c>
      <c r="B717" s="5">
        <v>45146</v>
      </c>
      <c r="C717" s="4" t="s">
        <v>729</v>
      </c>
      <c r="D717" s="4" t="s">
        <v>13</v>
      </c>
      <c r="E717" s="4">
        <v>60</v>
      </c>
      <c r="F717" s="4" t="str">
        <f>IF(Table15678[[#This Row],[Age]]&lt;=19,"Teenager",IF(Table15678[[#This Row],[Age]]&lt;=40,"Median","Old"))</f>
        <v>Old</v>
      </c>
      <c r="G717" s="4" t="s">
        <v>14</v>
      </c>
      <c r="H717" s="4">
        <v>4</v>
      </c>
      <c r="I717" s="4">
        <v>300</v>
      </c>
      <c r="J717" s="4">
        <v>1200</v>
      </c>
      <c r="K717" s="4" t="str" cm="1">
        <f t="array" ref="K717">_xlfn.IFS(AND(Table15678[[#This Row],[Total Amount]]&gt;=1500),"Critical",AND(Table15678[[#This Row],[Total Amount]]&gt;=1000),"High",TRUE,"Normal")</f>
        <v>High</v>
      </c>
      <c r="L717" s="4" t="str">
        <f>IF(Table15678[[#This Row],[Total Amount]]&gt;=1000,"High",(IF(Table15678[[#This Row],[Total Amount]]&gt;=500,"Medium","Low")))</f>
        <v>High</v>
      </c>
      <c r="M717" s="4" t="str" cm="1">
        <f t="array" ref="M71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17" s="4" cm="1">
        <f t="array" ref="N71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240</v>
      </c>
      <c r="O717" s="4">
        <f>Table15678[[#This Row],[Total Amount]]-Table15678[[#This Row],[Discount Amount]]</f>
        <v>960</v>
      </c>
      <c r="P717" s="4" t="str">
        <f>IF(Table15678[[#This Row],[Total Amount]]&gt;=1000,"High","Low")</f>
        <v>High</v>
      </c>
      <c r="Q717" s="4" t="str" cm="1">
        <f t="array" ref="Q717">_xlfn.IFS(AND(Table15678[[#This Row],[Total Amount]]&gt;=1500,"Critical"),AND(Table15678[[#This Row],[Total Amount]]&gt;=1000,"High"),TRUE,"Normal")</f>
        <v>Normal</v>
      </c>
      <c r="R717" s="4" t="str">
        <f>CONCATENATE(Table15678[[#This Row],[Customer ID]], "-",Table15678[[#This Row],[Age]])</f>
        <v>CUST716-60</v>
      </c>
      <c r="S717" s="4" t="str">
        <f>TEXT(Table15678[[#This Row],[Date]],"mmm")</f>
        <v>Aug</v>
      </c>
      <c r="T717" s="4" t="str">
        <f>TEXT(Table15678[[#This Row],[Date]],"DDD")</f>
        <v>Tue</v>
      </c>
    </row>
    <row r="718" spans="1:20" ht="29" x14ac:dyDescent="0.35">
      <c r="A718" s="4">
        <v>717</v>
      </c>
      <c r="B718" s="5">
        <v>44996</v>
      </c>
      <c r="C718" s="4" t="s">
        <v>730</v>
      </c>
      <c r="D718" s="4" t="s">
        <v>10</v>
      </c>
      <c r="E718" s="4">
        <v>57</v>
      </c>
      <c r="F718" s="4" t="str">
        <f>IF(Table15678[[#This Row],[Age]]&lt;=19,"Teenager",IF(Table15678[[#This Row],[Age]]&lt;=40,"Median","Old"))</f>
        <v>Old</v>
      </c>
      <c r="G718" s="4" t="s">
        <v>14</v>
      </c>
      <c r="H718" s="4">
        <v>1</v>
      </c>
      <c r="I718" s="4">
        <v>500</v>
      </c>
      <c r="J718" s="4">
        <v>500</v>
      </c>
      <c r="K718" s="4" t="str" cm="1">
        <f t="array" ref="K718">_xlfn.IFS(AND(Table15678[[#This Row],[Total Amount]]&gt;=1500),"Critical",AND(Table15678[[#This Row],[Total Amount]]&gt;=1000),"High",TRUE,"Normal")</f>
        <v>Normal</v>
      </c>
      <c r="L718" s="4" t="str">
        <f>IF(Table15678[[#This Row],[Total Amount]]&gt;=1000,"High",(IF(Table15678[[#This Row],[Total Amount]]&gt;=500,"Medium","Low")))</f>
        <v>Medium</v>
      </c>
      <c r="M718" s="4" t="str" cm="1">
        <f t="array" ref="M71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18" s="4" cm="1">
        <f t="array" ref="N71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50</v>
      </c>
      <c r="O718" s="4">
        <f>Table15678[[#This Row],[Total Amount]]-Table15678[[#This Row],[Discount Amount]]</f>
        <v>450</v>
      </c>
      <c r="P718" s="4" t="str">
        <f>IF(Table15678[[#This Row],[Total Amount]]&gt;=1000,"High","Low")</f>
        <v>Low</v>
      </c>
      <c r="Q718" s="4" t="str" cm="1">
        <f t="array" ref="Q718">_xlfn.IFS(AND(Table15678[[#This Row],[Total Amount]]&gt;=1500,"Critical"),AND(Table15678[[#This Row],[Total Amount]]&gt;=1000,"High"),TRUE,"Normal")</f>
        <v>Normal</v>
      </c>
      <c r="R718" s="4" t="str">
        <f>CONCATENATE(Table15678[[#This Row],[Customer ID]], "-",Table15678[[#This Row],[Age]])</f>
        <v>CUST717-57</v>
      </c>
      <c r="S718" s="4" t="str">
        <f>TEXT(Table15678[[#This Row],[Date]],"mmm")</f>
        <v>Mar</v>
      </c>
      <c r="T718" s="4" t="str">
        <f>TEXT(Table15678[[#This Row],[Date]],"DDD")</f>
        <v>Sat</v>
      </c>
    </row>
    <row r="719" spans="1:20" ht="29" x14ac:dyDescent="0.35">
      <c r="A719" s="4">
        <v>718</v>
      </c>
      <c r="B719" s="5">
        <v>45163</v>
      </c>
      <c r="C719" s="4" t="s">
        <v>731</v>
      </c>
      <c r="D719" s="4" t="s">
        <v>13</v>
      </c>
      <c r="E719" s="4">
        <v>59</v>
      </c>
      <c r="F719" s="4" t="str">
        <f>IF(Table15678[[#This Row],[Age]]&lt;=19,"Teenager",IF(Table15678[[#This Row],[Age]]&lt;=40,"Median","Old"))</f>
        <v>Old</v>
      </c>
      <c r="G719" s="4" t="s">
        <v>11</v>
      </c>
      <c r="H719" s="4">
        <v>3</v>
      </c>
      <c r="I719" s="4">
        <v>25</v>
      </c>
      <c r="J719" s="4">
        <v>75</v>
      </c>
      <c r="K719" s="4" t="str" cm="1">
        <f t="array" ref="K719">_xlfn.IFS(AND(Table15678[[#This Row],[Total Amount]]&gt;=1500),"Critical",AND(Table15678[[#This Row],[Total Amount]]&gt;=1000),"High",TRUE,"Normal")</f>
        <v>Normal</v>
      </c>
      <c r="L719" s="4" t="str">
        <f>IF(Table15678[[#This Row],[Total Amount]]&gt;=1000,"High",(IF(Table15678[[#This Row],[Total Amount]]&gt;=500,"Medium","Low")))</f>
        <v>Low</v>
      </c>
      <c r="M719" s="4" t="str" cm="1">
        <f t="array" ref="M71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19" s="4" cm="1">
        <f t="array" ref="N71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719" s="4">
        <f>Table15678[[#This Row],[Total Amount]]-Table15678[[#This Row],[Discount Amount]]</f>
        <v>60</v>
      </c>
      <c r="P719" s="4" t="str">
        <f>IF(Table15678[[#This Row],[Total Amount]]&gt;=1000,"High","Low")</f>
        <v>Low</v>
      </c>
      <c r="Q719" s="4" t="str" cm="1">
        <f t="array" ref="Q719">_xlfn.IFS(AND(Table15678[[#This Row],[Total Amount]]&gt;=1500,"Critical"),AND(Table15678[[#This Row],[Total Amount]]&gt;=1000,"High"),TRUE,"Normal")</f>
        <v>Normal</v>
      </c>
      <c r="R719" s="4" t="str">
        <f>CONCATENATE(Table15678[[#This Row],[Customer ID]], "-",Table15678[[#This Row],[Age]])</f>
        <v>CUST718-59</v>
      </c>
      <c r="S719" s="4" t="str">
        <f>TEXT(Table15678[[#This Row],[Date]],"mmm")</f>
        <v>Aug</v>
      </c>
      <c r="T719" s="4" t="str">
        <f>TEXT(Table15678[[#This Row],[Date]],"DDD")</f>
        <v>Fri</v>
      </c>
    </row>
    <row r="720" spans="1:20" ht="29" x14ac:dyDescent="0.35">
      <c r="A720" s="4">
        <v>719</v>
      </c>
      <c r="B720" s="5">
        <v>45020</v>
      </c>
      <c r="C720" s="4" t="s">
        <v>732</v>
      </c>
      <c r="D720" s="4" t="s">
        <v>13</v>
      </c>
      <c r="E720" s="4">
        <v>42</v>
      </c>
      <c r="F720" s="4" t="str">
        <f>IF(Table15678[[#This Row],[Age]]&lt;=19,"Teenager",IF(Table15678[[#This Row],[Age]]&lt;=40,"Median","Old"))</f>
        <v>Old</v>
      </c>
      <c r="G720" s="4" t="s">
        <v>14</v>
      </c>
      <c r="H720" s="4">
        <v>2</v>
      </c>
      <c r="I720" s="4">
        <v>30</v>
      </c>
      <c r="J720" s="4">
        <v>60</v>
      </c>
      <c r="K720" s="4" t="str" cm="1">
        <f t="array" ref="K720">_xlfn.IFS(AND(Table15678[[#This Row],[Total Amount]]&gt;=1500),"Critical",AND(Table15678[[#This Row],[Total Amount]]&gt;=1000),"High",TRUE,"Normal")</f>
        <v>Normal</v>
      </c>
      <c r="L720" s="4" t="str">
        <f>IF(Table15678[[#This Row],[Total Amount]]&gt;=1000,"High",(IF(Table15678[[#This Row],[Total Amount]]&gt;=500,"Medium","Low")))</f>
        <v>Low</v>
      </c>
      <c r="M720" s="4" t="str" cm="1">
        <f t="array" ref="M72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20" s="4" cm="1">
        <f t="array" ref="N72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720" s="4">
        <f>Table15678[[#This Row],[Total Amount]]-Table15678[[#This Row],[Discount Amount]]</f>
        <v>48</v>
      </c>
      <c r="P720" s="4" t="str">
        <f>IF(Table15678[[#This Row],[Total Amount]]&gt;=1000,"High","Low")</f>
        <v>Low</v>
      </c>
      <c r="Q720" s="4" t="str" cm="1">
        <f t="array" ref="Q720">_xlfn.IFS(AND(Table15678[[#This Row],[Total Amount]]&gt;=1500,"Critical"),AND(Table15678[[#This Row],[Total Amount]]&gt;=1000,"High"),TRUE,"Normal")</f>
        <v>Normal</v>
      </c>
      <c r="R720" s="4" t="str">
        <f>CONCATENATE(Table15678[[#This Row],[Customer ID]], "-",Table15678[[#This Row],[Age]])</f>
        <v>CUST719-42</v>
      </c>
      <c r="S720" s="4" t="str">
        <f>TEXT(Table15678[[#This Row],[Date]],"mmm")</f>
        <v>Apr</v>
      </c>
      <c r="T720" s="4" t="str">
        <f>TEXT(Table15678[[#This Row],[Date]],"DDD")</f>
        <v>Tue</v>
      </c>
    </row>
    <row r="721" spans="1:20" ht="29" x14ac:dyDescent="0.35">
      <c r="A721" s="4">
        <v>720</v>
      </c>
      <c r="B721" s="5">
        <v>44952</v>
      </c>
      <c r="C721" s="4" t="s">
        <v>733</v>
      </c>
      <c r="D721" s="4" t="s">
        <v>13</v>
      </c>
      <c r="E721" s="4">
        <v>56</v>
      </c>
      <c r="F721" s="4" t="str">
        <f>IF(Table15678[[#This Row],[Age]]&lt;=19,"Teenager",IF(Table15678[[#This Row],[Age]]&lt;=40,"Median","Old"))</f>
        <v>Old</v>
      </c>
      <c r="G721" s="4" t="s">
        <v>11</v>
      </c>
      <c r="H721" s="4">
        <v>3</v>
      </c>
      <c r="I721" s="4">
        <v>500</v>
      </c>
      <c r="J721" s="4">
        <v>1500</v>
      </c>
      <c r="K721" s="4" t="str" cm="1">
        <f t="array" ref="K721">_xlfn.IFS(AND(Table15678[[#This Row],[Total Amount]]&gt;=1500),"Critical",AND(Table15678[[#This Row],[Total Amount]]&gt;=1000),"High",TRUE,"Normal")</f>
        <v>Critical</v>
      </c>
      <c r="L721" s="4" t="str">
        <f>IF(Table15678[[#This Row],[Total Amount]]&gt;=1000,"High",(IF(Table15678[[#This Row],[Total Amount]]&gt;=500,"Medium","Low")))</f>
        <v>High</v>
      </c>
      <c r="M721" s="4" t="str" cm="1">
        <f t="array" ref="M72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21" s="4" cm="1">
        <f t="array" ref="N72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721" s="4">
        <f>Table15678[[#This Row],[Total Amount]]-Table15678[[#This Row],[Discount Amount]]</f>
        <v>1200</v>
      </c>
      <c r="P721" s="4" t="str">
        <f>IF(Table15678[[#This Row],[Total Amount]]&gt;=1000,"High","Low")</f>
        <v>High</v>
      </c>
      <c r="Q721" s="4" t="b" cm="1">
        <f t="array" ref="Q721">_xlfn.IFS(AND(Table15678[[#This Row],[Total Amount]]&gt;=1500,"Critical"),AND(Table15678[[#This Row],[Total Amount]]&gt;=1000,"High"),TRUE,"Normal")</f>
        <v>1</v>
      </c>
      <c r="R721" s="4" t="str">
        <f>CONCATENATE(Table15678[[#This Row],[Customer ID]], "-",Table15678[[#This Row],[Age]])</f>
        <v>CUST720-56</v>
      </c>
      <c r="S721" s="4" t="str">
        <f>TEXT(Table15678[[#This Row],[Date]],"mmm")</f>
        <v>Jan</v>
      </c>
      <c r="T721" s="4" t="str">
        <f>TEXT(Table15678[[#This Row],[Date]],"DDD")</f>
        <v>Thu</v>
      </c>
    </row>
    <row r="722" spans="1:20" ht="29" x14ac:dyDescent="0.35">
      <c r="A722" s="4">
        <v>721</v>
      </c>
      <c r="B722" s="5">
        <v>45060</v>
      </c>
      <c r="C722" s="4" t="s">
        <v>734</v>
      </c>
      <c r="D722" s="4" t="s">
        <v>13</v>
      </c>
      <c r="E722" s="4">
        <v>52</v>
      </c>
      <c r="F722" s="4" t="str">
        <f>IF(Table15678[[#This Row],[Age]]&lt;=19,"Teenager",IF(Table15678[[#This Row],[Age]]&lt;=40,"Median","Old"))</f>
        <v>Old</v>
      </c>
      <c r="G722" s="4" t="s">
        <v>14</v>
      </c>
      <c r="H722" s="4">
        <v>1</v>
      </c>
      <c r="I722" s="4">
        <v>500</v>
      </c>
      <c r="J722" s="4">
        <v>500</v>
      </c>
      <c r="K722" s="4" t="str" cm="1">
        <f t="array" ref="K722">_xlfn.IFS(AND(Table15678[[#This Row],[Total Amount]]&gt;=1500),"Critical",AND(Table15678[[#This Row],[Total Amount]]&gt;=1000),"High",TRUE,"Normal")</f>
        <v>Normal</v>
      </c>
      <c r="L722" s="4" t="str">
        <f>IF(Table15678[[#This Row],[Total Amount]]&gt;=1000,"High",(IF(Table15678[[#This Row],[Total Amount]]&gt;=500,"Medium","Low")))</f>
        <v>Medium</v>
      </c>
      <c r="M722" s="4" t="str" cm="1">
        <f t="array" ref="M72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22" s="4" cm="1">
        <f t="array" ref="N72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722" s="4">
        <f>Table15678[[#This Row],[Total Amount]]-Table15678[[#This Row],[Discount Amount]]</f>
        <v>400</v>
      </c>
      <c r="P722" s="4" t="str">
        <f>IF(Table15678[[#This Row],[Total Amount]]&gt;=1000,"High","Low")</f>
        <v>Low</v>
      </c>
      <c r="Q722" s="4" t="str" cm="1">
        <f t="array" ref="Q722">_xlfn.IFS(AND(Table15678[[#This Row],[Total Amount]]&gt;=1500,"Critical"),AND(Table15678[[#This Row],[Total Amount]]&gt;=1000,"High"),TRUE,"Normal")</f>
        <v>Normal</v>
      </c>
      <c r="R722" s="4" t="str">
        <f>CONCATENATE(Table15678[[#This Row],[Customer ID]], "-",Table15678[[#This Row],[Age]])</f>
        <v>CUST721-52</v>
      </c>
      <c r="S722" s="4" t="str">
        <f>TEXT(Table15678[[#This Row],[Date]],"mmm")</f>
        <v>May</v>
      </c>
      <c r="T722" s="4" t="str">
        <f>TEXT(Table15678[[#This Row],[Date]],"DDD")</f>
        <v>Sun</v>
      </c>
    </row>
    <row r="723" spans="1:20" ht="29" x14ac:dyDescent="0.35">
      <c r="A723" s="4">
        <v>722</v>
      </c>
      <c r="B723" s="5">
        <v>45121</v>
      </c>
      <c r="C723" s="4" t="s">
        <v>735</v>
      </c>
      <c r="D723" s="4" t="s">
        <v>10</v>
      </c>
      <c r="E723" s="4">
        <v>20</v>
      </c>
      <c r="F723" s="4" t="str">
        <f>IF(Table15678[[#This Row],[Age]]&lt;=19,"Teenager",IF(Table15678[[#This Row],[Age]]&lt;=40,"Median","Old"))</f>
        <v>Median</v>
      </c>
      <c r="G723" s="4" t="s">
        <v>11</v>
      </c>
      <c r="H723" s="4">
        <v>3</v>
      </c>
      <c r="I723" s="4">
        <v>300</v>
      </c>
      <c r="J723" s="4">
        <v>900</v>
      </c>
      <c r="K723" s="4" t="str" cm="1">
        <f t="array" ref="K723">_xlfn.IFS(AND(Table15678[[#This Row],[Total Amount]]&gt;=1500),"Critical",AND(Table15678[[#This Row],[Total Amount]]&gt;=1000),"High",TRUE,"Normal")</f>
        <v>Normal</v>
      </c>
      <c r="L723" s="4" t="str">
        <f>IF(Table15678[[#This Row],[Total Amount]]&gt;=1000,"High",(IF(Table15678[[#This Row],[Total Amount]]&gt;=500,"Medium","Low")))</f>
        <v>Medium</v>
      </c>
      <c r="M723" s="4" t="str" cm="1">
        <f t="array" ref="M72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723" s="4" cm="1">
        <f t="array" ref="N72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723" s="4">
        <f>Table15678[[#This Row],[Total Amount]]-Table15678[[#This Row],[Discount Amount]]</f>
        <v>900</v>
      </c>
      <c r="P723" s="4" t="str">
        <f>IF(Table15678[[#This Row],[Total Amount]]&gt;=1000,"High","Low")</f>
        <v>Low</v>
      </c>
      <c r="Q723" s="4" t="str" cm="1">
        <f t="array" ref="Q723">_xlfn.IFS(AND(Table15678[[#This Row],[Total Amount]]&gt;=1500,"Critical"),AND(Table15678[[#This Row],[Total Amount]]&gt;=1000,"High"),TRUE,"Normal")</f>
        <v>Normal</v>
      </c>
      <c r="R723" s="4" t="str">
        <f>CONCATENATE(Table15678[[#This Row],[Customer ID]], "-",Table15678[[#This Row],[Age]])</f>
        <v>CUST722-20</v>
      </c>
      <c r="S723" s="4" t="str">
        <f>TEXT(Table15678[[#This Row],[Date]],"mmm")</f>
        <v>Jul</v>
      </c>
      <c r="T723" s="4" t="str">
        <f>TEXT(Table15678[[#This Row],[Date]],"DDD")</f>
        <v>Fri</v>
      </c>
    </row>
    <row r="724" spans="1:20" ht="29" x14ac:dyDescent="0.35">
      <c r="A724" s="4">
        <v>723</v>
      </c>
      <c r="B724" s="5">
        <v>45094</v>
      </c>
      <c r="C724" s="4" t="s">
        <v>736</v>
      </c>
      <c r="D724" s="4" t="s">
        <v>13</v>
      </c>
      <c r="E724" s="4">
        <v>54</v>
      </c>
      <c r="F724" s="4" t="str">
        <f>IF(Table15678[[#This Row],[Age]]&lt;=19,"Teenager",IF(Table15678[[#This Row],[Age]]&lt;=40,"Median","Old"))</f>
        <v>Old</v>
      </c>
      <c r="G724" s="4" t="s">
        <v>11</v>
      </c>
      <c r="H724" s="4">
        <v>4</v>
      </c>
      <c r="I724" s="4">
        <v>50</v>
      </c>
      <c r="J724" s="4">
        <v>200</v>
      </c>
      <c r="K724" s="4" t="str" cm="1">
        <f t="array" ref="K724">_xlfn.IFS(AND(Table15678[[#This Row],[Total Amount]]&gt;=1500),"Critical",AND(Table15678[[#This Row],[Total Amount]]&gt;=1000),"High",TRUE,"Normal")</f>
        <v>Normal</v>
      </c>
      <c r="L724" s="4" t="str">
        <f>IF(Table15678[[#This Row],[Total Amount]]&gt;=1000,"High",(IF(Table15678[[#This Row],[Total Amount]]&gt;=500,"Medium","Low")))</f>
        <v>Low</v>
      </c>
      <c r="M724" s="4" t="str" cm="1">
        <f t="array" ref="M72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24" s="4" cm="1">
        <f t="array" ref="N72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</v>
      </c>
      <c r="O724" s="4">
        <f>Table15678[[#This Row],[Total Amount]]-Table15678[[#This Row],[Discount Amount]]</f>
        <v>160</v>
      </c>
      <c r="P724" s="4" t="str">
        <f>IF(Table15678[[#This Row],[Total Amount]]&gt;=1000,"High","Low")</f>
        <v>Low</v>
      </c>
      <c r="Q724" s="4" t="str" cm="1">
        <f t="array" ref="Q724">_xlfn.IFS(AND(Table15678[[#This Row],[Total Amount]]&gt;=1500,"Critical"),AND(Table15678[[#This Row],[Total Amount]]&gt;=1000,"High"),TRUE,"Normal")</f>
        <v>Normal</v>
      </c>
      <c r="R724" s="4" t="str">
        <f>CONCATENATE(Table15678[[#This Row],[Customer ID]], "-",Table15678[[#This Row],[Age]])</f>
        <v>CUST723-54</v>
      </c>
      <c r="S724" s="4" t="str">
        <f>TEXT(Table15678[[#This Row],[Date]],"mmm")</f>
        <v>Jun</v>
      </c>
      <c r="T724" s="4" t="str">
        <f>TEXT(Table15678[[#This Row],[Date]],"DDD")</f>
        <v>Sat</v>
      </c>
    </row>
    <row r="725" spans="1:20" ht="29" x14ac:dyDescent="0.35">
      <c r="A725" s="4">
        <v>724</v>
      </c>
      <c r="B725" s="5">
        <v>45035</v>
      </c>
      <c r="C725" s="4" t="s">
        <v>737</v>
      </c>
      <c r="D725" s="4" t="s">
        <v>10</v>
      </c>
      <c r="E725" s="4">
        <v>61</v>
      </c>
      <c r="F725" s="4" t="str">
        <f>IF(Table15678[[#This Row],[Age]]&lt;=19,"Teenager",IF(Table15678[[#This Row],[Age]]&lt;=40,"Median","Old"))</f>
        <v>Old</v>
      </c>
      <c r="G725" s="4" t="s">
        <v>14</v>
      </c>
      <c r="H725" s="4">
        <v>3</v>
      </c>
      <c r="I725" s="4">
        <v>50</v>
      </c>
      <c r="J725" s="4">
        <v>150</v>
      </c>
      <c r="K725" s="4" t="str" cm="1">
        <f t="array" ref="K725">_xlfn.IFS(AND(Table15678[[#This Row],[Total Amount]]&gt;=1500),"Critical",AND(Table15678[[#This Row],[Total Amount]]&gt;=1000),"High",TRUE,"Normal")</f>
        <v>Normal</v>
      </c>
      <c r="L725" s="4" t="str">
        <f>IF(Table15678[[#This Row],[Total Amount]]&gt;=1000,"High",(IF(Table15678[[#This Row],[Total Amount]]&gt;=500,"Medium","Low")))</f>
        <v>Low</v>
      </c>
      <c r="M725" s="4" t="str" cm="1">
        <f t="array" ref="M72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25" s="4" cm="1">
        <f t="array" ref="N72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725" s="4">
        <f>Table15678[[#This Row],[Total Amount]]-Table15678[[#This Row],[Discount Amount]]</f>
        <v>135</v>
      </c>
      <c r="P725" s="4" t="str">
        <f>IF(Table15678[[#This Row],[Total Amount]]&gt;=1000,"High","Low")</f>
        <v>Low</v>
      </c>
      <c r="Q725" s="4" t="str" cm="1">
        <f t="array" ref="Q725">_xlfn.IFS(AND(Table15678[[#This Row],[Total Amount]]&gt;=1500,"Critical"),AND(Table15678[[#This Row],[Total Amount]]&gt;=1000,"High"),TRUE,"Normal")</f>
        <v>Normal</v>
      </c>
      <c r="R725" s="4" t="str">
        <f>CONCATENATE(Table15678[[#This Row],[Customer ID]], "-",Table15678[[#This Row],[Age]])</f>
        <v>CUST724-61</v>
      </c>
      <c r="S725" s="4" t="str">
        <f>TEXT(Table15678[[#This Row],[Date]],"mmm")</f>
        <v>Apr</v>
      </c>
      <c r="T725" s="4" t="str">
        <f>TEXT(Table15678[[#This Row],[Date]],"DDD")</f>
        <v>Wed</v>
      </c>
    </row>
    <row r="726" spans="1:20" ht="29" x14ac:dyDescent="0.35">
      <c r="A726" s="4">
        <v>725</v>
      </c>
      <c r="B726" s="5">
        <v>45159</v>
      </c>
      <c r="C726" s="4" t="s">
        <v>738</v>
      </c>
      <c r="D726" s="4" t="s">
        <v>10</v>
      </c>
      <c r="E726" s="4">
        <v>61</v>
      </c>
      <c r="F726" s="4" t="str">
        <f>IF(Table15678[[#This Row],[Age]]&lt;=19,"Teenager",IF(Table15678[[#This Row],[Age]]&lt;=40,"Median","Old"))</f>
        <v>Old</v>
      </c>
      <c r="G726" s="4" t="s">
        <v>16</v>
      </c>
      <c r="H726" s="4">
        <v>1</v>
      </c>
      <c r="I726" s="4">
        <v>300</v>
      </c>
      <c r="J726" s="4">
        <v>300</v>
      </c>
      <c r="K726" s="4" t="str" cm="1">
        <f t="array" ref="K726">_xlfn.IFS(AND(Table15678[[#This Row],[Total Amount]]&gt;=1500),"Critical",AND(Table15678[[#This Row],[Total Amount]]&gt;=1000),"High",TRUE,"Normal")</f>
        <v>Normal</v>
      </c>
      <c r="L726" s="4" t="str">
        <f>IF(Table15678[[#This Row],[Total Amount]]&gt;=1000,"High",(IF(Table15678[[#This Row],[Total Amount]]&gt;=500,"Medium","Low")))</f>
        <v>Low</v>
      </c>
      <c r="M726" s="4" t="str" cm="1">
        <f t="array" ref="M72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26" s="4" cm="1">
        <f t="array" ref="N72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726" s="4">
        <f>Table15678[[#This Row],[Total Amount]]-Table15678[[#This Row],[Discount Amount]]</f>
        <v>270</v>
      </c>
      <c r="P726" s="4" t="str">
        <f>IF(Table15678[[#This Row],[Total Amount]]&gt;=1000,"High","Low")</f>
        <v>Low</v>
      </c>
      <c r="Q726" s="4" t="str" cm="1">
        <f t="array" ref="Q726">_xlfn.IFS(AND(Table15678[[#This Row],[Total Amount]]&gt;=1500,"Critical"),AND(Table15678[[#This Row],[Total Amount]]&gt;=1000,"High"),TRUE,"Normal")</f>
        <v>Normal</v>
      </c>
      <c r="R726" s="4" t="str">
        <f>CONCATENATE(Table15678[[#This Row],[Customer ID]], "-",Table15678[[#This Row],[Age]])</f>
        <v>CUST725-61</v>
      </c>
      <c r="S726" s="4" t="str">
        <f>TEXT(Table15678[[#This Row],[Date]],"mmm")</f>
        <v>Aug</v>
      </c>
      <c r="T726" s="4" t="str">
        <f>TEXT(Table15678[[#This Row],[Date]],"DDD")</f>
        <v>Mon</v>
      </c>
    </row>
    <row r="727" spans="1:20" ht="29" x14ac:dyDescent="0.35">
      <c r="A727" s="4">
        <v>726</v>
      </c>
      <c r="B727" s="5">
        <v>45094</v>
      </c>
      <c r="C727" s="4" t="s">
        <v>739</v>
      </c>
      <c r="D727" s="4" t="s">
        <v>10</v>
      </c>
      <c r="E727" s="4">
        <v>47</v>
      </c>
      <c r="F727" s="4" t="str">
        <f>IF(Table15678[[#This Row],[Age]]&lt;=19,"Teenager",IF(Table15678[[#This Row],[Age]]&lt;=40,"Median","Old"))</f>
        <v>Old</v>
      </c>
      <c r="G727" s="4" t="s">
        <v>14</v>
      </c>
      <c r="H727" s="4">
        <v>4</v>
      </c>
      <c r="I727" s="4">
        <v>300</v>
      </c>
      <c r="J727" s="4">
        <v>1200</v>
      </c>
      <c r="K727" s="4" t="str" cm="1">
        <f t="array" ref="K727">_xlfn.IFS(AND(Table15678[[#This Row],[Total Amount]]&gt;=1500),"Critical",AND(Table15678[[#This Row],[Total Amount]]&gt;=1000),"High",TRUE,"Normal")</f>
        <v>High</v>
      </c>
      <c r="L727" s="4" t="str">
        <f>IF(Table15678[[#This Row],[Total Amount]]&gt;=1000,"High",(IF(Table15678[[#This Row],[Total Amount]]&gt;=500,"Medium","Low")))</f>
        <v>High</v>
      </c>
      <c r="M727" s="4" t="str" cm="1">
        <f t="array" ref="M72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27" s="4" cm="1">
        <f t="array" ref="N72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120</v>
      </c>
      <c r="O727" s="4">
        <f>Table15678[[#This Row],[Total Amount]]-Table15678[[#This Row],[Discount Amount]]</f>
        <v>1080</v>
      </c>
      <c r="P727" s="4" t="str">
        <f>IF(Table15678[[#This Row],[Total Amount]]&gt;=1000,"High","Low")</f>
        <v>High</v>
      </c>
      <c r="Q727" s="4" t="str" cm="1">
        <f t="array" ref="Q727">_xlfn.IFS(AND(Table15678[[#This Row],[Total Amount]]&gt;=1500,"Critical"),AND(Table15678[[#This Row],[Total Amount]]&gt;=1000,"High"),TRUE,"Normal")</f>
        <v>Normal</v>
      </c>
      <c r="R727" s="4" t="str">
        <f>CONCATENATE(Table15678[[#This Row],[Customer ID]], "-",Table15678[[#This Row],[Age]])</f>
        <v>CUST726-47</v>
      </c>
      <c r="S727" s="4" t="str">
        <f>TEXT(Table15678[[#This Row],[Date]],"mmm")</f>
        <v>Jun</v>
      </c>
      <c r="T727" s="4" t="str">
        <f>TEXT(Table15678[[#This Row],[Date]],"DDD")</f>
        <v>Sat</v>
      </c>
    </row>
    <row r="728" spans="1:20" ht="29" x14ac:dyDescent="0.35">
      <c r="A728" s="4">
        <v>727</v>
      </c>
      <c r="B728" s="5">
        <v>45099</v>
      </c>
      <c r="C728" s="4" t="s">
        <v>740</v>
      </c>
      <c r="D728" s="4" t="s">
        <v>10</v>
      </c>
      <c r="E728" s="4">
        <v>55</v>
      </c>
      <c r="F728" s="4" t="str">
        <f>IF(Table15678[[#This Row],[Age]]&lt;=19,"Teenager",IF(Table15678[[#This Row],[Age]]&lt;=40,"Median","Old"))</f>
        <v>Old</v>
      </c>
      <c r="G728" s="4" t="s">
        <v>11</v>
      </c>
      <c r="H728" s="4">
        <v>3</v>
      </c>
      <c r="I728" s="4">
        <v>300</v>
      </c>
      <c r="J728" s="4">
        <v>900</v>
      </c>
      <c r="K728" s="4" t="str" cm="1">
        <f t="array" ref="K728">_xlfn.IFS(AND(Table15678[[#This Row],[Total Amount]]&gt;=1500),"Critical",AND(Table15678[[#This Row],[Total Amount]]&gt;=1000),"High",TRUE,"Normal")</f>
        <v>Normal</v>
      </c>
      <c r="L728" s="4" t="str">
        <f>IF(Table15678[[#This Row],[Total Amount]]&gt;=1000,"High",(IF(Table15678[[#This Row],[Total Amount]]&gt;=500,"Medium","Low")))</f>
        <v>Medium</v>
      </c>
      <c r="M728" s="4" t="str" cm="1">
        <f t="array" ref="M72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28" s="4" cm="1">
        <f t="array" ref="N72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728" s="4">
        <f>Table15678[[#This Row],[Total Amount]]-Table15678[[#This Row],[Discount Amount]]</f>
        <v>810</v>
      </c>
      <c r="P728" s="4" t="str">
        <f>IF(Table15678[[#This Row],[Total Amount]]&gt;=1000,"High","Low")</f>
        <v>Low</v>
      </c>
      <c r="Q728" s="4" t="str" cm="1">
        <f t="array" ref="Q728">_xlfn.IFS(AND(Table15678[[#This Row],[Total Amount]]&gt;=1500,"Critical"),AND(Table15678[[#This Row],[Total Amount]]&gt;=1000,"High"),TRUE,"Normal")</f>
        <v>Normal</v>
      </c>
      <c r="R728" s="4" t="str">
        <f>CONCATENATE(Table15678[[#This Row],[Customer ID]], "-",Table15678[[#This Row],[Age]])</f>
        <v>CUST727-55</v>
      </c>
      <c r="S728" s="4" t="str">
        <f>TEXT(Table15678[[#This Row],[Date]],"mmm")</f>
        <v>Jun</v>
      </c>
      <c r="T728" s="4" t="str">
        <f>TEXT(Table15678[[#This Row],[Date]],"DDD")</f>
        <v>Thu</v>
      </c>
    </row>
    <row r="729" spans="1:20" ht="29" x14ac:dyDescent="0.35">
      <c r="A729" s="4">
        <v>728</v>
      </c>
      <c r="B729" s="5">
        <v>45121</v>
      </c>
      <c r="C729" s="4" t="s">
        <v>741</v>
      </c>
      <c r="D729" s="4" t="s">
        <v>10</v>
      </c>
      <c r="E729" s="4">
        <v>51</v>
      </c>
      <c r="F729" s="4" t="str">
        <f>IF(Table15678[[#This Row],[Age]]&lt;=19,"Teenager",IF(Table15678[[#This Row],[Age]]&lt;=40,"Median","Old"))</f>
        <v>Old</v>
      </c>
      <c r="G729" s="4" t="s">
        <v>16</v>
      </c>
      <c r="H729" s="4">
        <v>3</v>
      </c>
      <c r="I729" s="4">
        <v>50</v>
      </c>
      <c r="J729" s="4">
        <v>150</v>
      </c>
      <c r="K729" s="4" t="str" cm="1">
        <f t="array" ref="K729">_xlfn.IFS(AND(Table15678[[#This Row],[Total Amount]]&gt;=1500),"Critical",AND(Table15678[[#This Row],[Total Amount]]&gt;=1000),"High",TRUE,"Normal")</f>
        <v>Normal</v>
      </c>
      <c r="L729" s="4" t="str">
        <f>IF(Table15678[[#This Row],[Total Amount]]&gt;=1000,"High",(IF(Table15678[[#This Row],[Total Amount]]&gt;=500,"Medium","Low")))</f>
        <v>Low</v>
      </c>
      <c r="M729" s="4" t="str" cm="1">
        <f t="array" ref="M72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29" s="4" cm="1">
        <f t="array" ref="N72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729" s="4">
        <f>Table15678[[#This Row],[Total Amount]]-Table15678[[#This Row],[Discount Amount]]</f>
        <v>135</v>
      </c>
      <c r="P729" s="4" t="str">
        <f>IF(Table15678[[#This Row],[Total Amount]]&gt;=1000,"High","Low")</f>
        <v>Low</v>
      </c>
      <c r="Q729" s="4" t="str" cm="1">
        <f t="array" ref="Q729">_xlfn.IFS(AND(Table15678[[#This Row],[Total Amount]]&gt;=1500,"Critical"),AND(Table15678[[#This Row],[Total Amount]]&gt;=1000,"High"),TRUE,"Normal")</f>
        <v>Normal</v>
      </c>
      <c r="R729" s="4" t="str">
        <f>CONCATENATE(Table15678[[#This Row],[Customer ID]], "-",Table15678[[#This Row],[Age]])</f>
        <v>CUST728-51</v>
      </c>
      <c r="S729" s="4" t="str">
        <f>TEXT(Table15678[[#This Row],[Date]],"mmm")</f>
        <v>Jul</v>
      </c>
      <c r="T729" s="4" t="str">
        <f>TEXT(Table15678[[#This Row],[Date]],"DDD")</f>
        <v>Fri</v>
      </c>
    </row>
    <row r="730" spans="1:20" ht="29" x14ac:dyDescent="0.35">
      <c r="A730" s="4">
        <v>729</v>
      </c>
      <c r="B730" s="5">
        <v>45069</v>
      </c>
      <c r="C730" s="4" t="s">
        <v>742</v>
      </c>
      <c r="D730" s="4" t="s">
        <v>10</v>
      </c>
      <c r="E730" s="4">
        <v>29</v>
      </c>
      <c r="F730" s="4" t="str">
        <f>IF(Table15678[[#This Row],[Age]]&lt;=19,"Teenager",IF(Table15678[[#This Row],[Age]]&lt;=40,"Median","Old"))</f>
        <v>Median</v>
      </c>
      <c r="G730" s="4" t="s">
        <v>14</v>
      </c>
      <c r="H730" s="4">
        <v>4</v>
      </c>
      <c r="I730" s="4">
        <v>300</v>
      </c>
      <c r="J730" s="4">
        <v>1200</v>
      </c>
      <c r="K730" s="4" t="str" cm="1">
        <f t="array" ref="K730">_xlfn.IFS(AND(Table15678[[#This Row],[Total Amount]]&gt;=1500),"Critical",AND(Table15678[[#This Row],[Total Amount]]&gt;=1000),"High",TRUE,"Normal")</f>
        <v>High</v>
      </c>
      <c r="L730" s="4" t="str">
        <f>IF(Table15678[[#This Row],[Total Amount]]&gt;=1000,"High",(IF(Table15678[[#This Row],[Total Amount]]&gt;=500,"Medium","Low")))</f>
        <v>High</v>
      </c>
      <c r="M730" s="4" t="str" cm="1">
        <f t="array" ref="M73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30" s="4" cm="1">
        <f t="array" ref="N73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730" s="4">
        <f>Table15678[[#This Row],[Total Amount]]-Table15678[[#This Row],[Discount Amount]]</f>
        <v>1020</v>
      </c>
      <c r="P730" s="4" t="str">
        <f>IF(Table15678[[#This Row],[Total Amount]]&gt;=1000,"High","Low")</f>
        <v>High</v>
      </c>
      <c r="Q730" s="4" t="str" cm="1">
        <f t="array" ref="Q730">_xlfn.IFS(AND(Table15678[[#This Row],[Total Amount]]&gt;=1500,"Critical"),AND(Table15678[[#This Row],[Total Amount]]&gt;=1000,"High"),TRUE,"Normal")</f>
        <v>Normal</v>
      </c>
      <c r="R730" s="4" t="str">
        <f>CONCATENATE(Table15678[[#This Row],[Customer ID]], "-",Table15678[[#This Row],[Age]])</f>
        <v>CUST729-29</v>
      </c>
      <c r="S730" s="4" t="str">
        <f>TEXT(Table15678[[#This Row],[Date]],"mmm")</f>
        <v>May</v>
      </c>
      <c r="T730" s="4" t="str">
        <f>TEXT(Table15678[[#This Row],[Date]],"DDD")</f>
        <v>Tue</v>
      </c>
    </row>
    <row r="731" spans="1:20" ht="29" x14ac:dyDescent="0.35">
      <c r="A731" s="4">
        <v>730</v>
      </c>
      <c r="B731" s="5">
        <v>45142</v>
      </c>
      <c r="C731" s="4" t="s">
        <v>743</v>
      </c>
      <c r="D731" s="4" t="s">
        <v>13</v>
      </c>
      <c r="E731" s="4">
        <v>36</v>
      </c>
      <c r="F731" s="4" t="str">
        <f>IF(Table15678[[#This Row],[Age]]&lt;=19,"Teenager",IF(Table15678[[#This Row],[Age]]&lt;=40,"Median","Old"))</f>
        <v>Median</v>
      </c>
      <c r="G731" s="4" t="s">
        <v>14</v>
      </c>
      <c r="H731" s="4">
        <v>2</v>
      </c>
      <c r="I731" s="4">
        <v>25</v>
      </c>
      <c r="J731" s="4">
        <v>50</v>
      </c>
      <c r="K731" s="4" t="str" cm="1">
        <f t="array" ref="K731">_xlfn.IFS(AND(Table15678[[#This Row],[Total Amount]]&gt;=1500),"Critical",AND(Table15678[[#This Row],[Total Amount]]&gt;=1000),"High",TRUE,"Normal")</f>
        <v>Normal</v>
      </c>
      <c r="L731" s="4" t="str">
        <f>IF(Table15678[[#This Row],[Total Amount]]&gt;=1000,"High",(IF(Table15678[[#This Row],[Total Amount]]&gt;=500,"Medium","Low")))</f>
        <v>Low</v>
      </c>
      <c r="M731" s="4" t="str" cm="1">
        <f t="array" ref="M73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31" s="4" cm="1">
        <f t="array" ref="N73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731" s="4">
        <f>Table15678[[#This Row],[Total Amount]]-Table15678[[#This Row],[Discount Amount]]</f>
        <v>40</v>
      </c>
      <c r="P731" s="4" t="str">
        <f>IF(Table15678[[#This Row],[Total Amount]]&gt;=1000,"High","Low")</f>
        <v>Low</v>
      </c>
      <c r="Q731" s="4" t="str" cm="1">
        <f t="array" ref="Q731">_xlfn.IFS(AND(Table15678[[#This Row],[Total Amount]]&gt;=1500,"Critical"),AND(Table15678[[#This Row],[Total Amount]]&gt;=1000,"High"),TRUE,"Normal")</f>
        <v>Normal</v>
      </c>
      <c r="R731" s="4" t="str">
        <f>CONCATENATE(Table15678[[#This Row],[Customer ID]], "-",Table15678[[#This Row],[Age]])</f>
        <v>CUST730-36</v>
      </c>
      <c r="S731" s="4" t="str">
        <f>TEXT(Table15678[[#This Row],[Date]],"mmm")</f>
        <v>Aug</v>
      </c>
      <c r="T731" s="4" t="str">
        <f>TEXT(Table15678[[#This Row],[Date]],"DDD")</f>
        <v>Fri</v>
      </c>
    </row>
    <row r="732" spans="1:20" ht="29" x14ac:dyDescent="0.35">
      <c r="A732" s="4">
        <v>731</v>
      </c>
      <c r="B732" s="5">
        <v>45056</v>
      </c>
      <c r="C732" s="4" t="s">
        <v>744</v>
      </c>
      <c r="D732" s="4" t="s">
        <v>10</v>
      </c>
      <c r="E732" s="4">
        <v>54</v>
      </c>
      <c r="F732" s="4" t="str">
        <f>IF(Table15678[[#This Row],[Age]]&lt;=19,"Teenager",IF(Table15678[[#This Row],[Age]]&lt;=40,"Median","Old"))</f>
        <v>Old</v>
      </c>
      <c r="G732" s="4" t="s">
        <v>14</v>
      </c>
      <c r="H732" s="4">
        <v>4</v>
      </c>
      <c r="I732" s="4">
        <v>500</v>
      </c>
      <c r="J732" s="4">
        <v>2000</v>
      </c>
      <c r="K732" s="4" t="str" cm="1">
        <f t="array" ref="K732">_xlfn.IFS(AND(Table15678[[#This Row],[Total Amount]]&gt;=1500),"Critical",AND(Table15678[[#This Row],[Total Amount]]&gt;=1000),"High",TRUE,"Normal")</f>
        <v>Critical</v>
      </c>
      <c r="L732" s="4" t="str">
        <f>IF(Table15678[[#This Row],[Total Amount]]&gt;=1000,"High",(IF(Table15678[[#This Row],[Total Amount]]&gt;=500,"Medium","Low")))</f>
        <v>High</v>
      </c>
      <c r="M732" s="4" t="str" cm="1">
        <f t="array" ref="M73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32" s="4" cm="1">
        <f t="array" ref="N73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732" s="4">
        <f>Table15678[[#This Row],[Total Amount]]-Table15678[[#This Row],[Discount Amount]]</f>
        <v>1800</v>
      </c>
      <c r="P732" s="4" t="str">
        <f>IF(Table15678[[#This Row],[Total Amount]]&gt;=1000,"High","Low")</f>
        <v>High</v>
      </c>
      <c r="Q732" s="4" t="b" cm="1">
        <f t="array" ref="Q732">_xlfn.IFS(AND(Table15678[[#This Row],[Total Amount]]&gt;=1500,"Critical"),AND(Table15678[[#This Row],[Total Amount]]&gt;=1000,"High"),TRUE,"Normal")</f>
        <v>1</v>
      </c>
      <c r="R732" s="4" t="str">
        <f>CONCATENATE(Table15678[[#This Row],[Customer ID]], "-",Table15678[[#This Row],[Age]])</f>
        <v>CUST731-54</v>
      </c>
      <c r="S732" s="4" t="str">
        <f>TEXT(Table15678[[#This Row],[Date]],"mmm")</f>
        <v>May</v>
      </c>
      <c r="T732" s="4" t="str">
        <f>TEXT(Table15678[[#This Row],[Date]],"DDD")</f>
        <v>Wed</v>
      </c>
    </row>
    <row r="733" spans="1:20" ht="29" x14ac:dyDescent="0.35">
      <c r="A733" s="4">
        <v>732</v>
      </c>
      <c r="B733" s="5">
        <v>44968</v>
      </c>
      <c r="C733" s="4" t="s">
        <v>745</v>
      </c>
      <c r="D733" s="4" t="s">
        <v>10</v>
      </c>
      <c r="E733" s="4">
        <v>61</v>
      </c>
      <c r="F733" s="4" t="str">
        <f>IF(Table15678[[#This Row],[Age]]&lt;=19,"Teenager",IF(Table15678[[#This Row],[Age]]&lt;=40,"Median","Old"))</f>
        <v>Old</v>
      </c>
      <c r="G733" s="4" t="s">
        <v>16</v>
      </c>
      <c r="H733" s="4">
        <v>2</v>
      </c>
      <c r="I733" s="4">
        <v>500</v>
      </c>
      <c r="J733" s="4">
        <v>1000</v>
      </c>
      <c r="K733" s="4" t="str" cm="1">
        <f t="array" ref="K733">_xlfn.IFS(AND(Table15678[[#This Row],[Total Amount]]&gt;=1500),"Critical",AND(Table15678[[#This Row],[Total Amount]]&gt;=1000),"High",TRUE,"Normal")</f>
        <v>High</v>
      </c>
      <c r="L733" s="4" t="str">
        <f>IF(Table15678[[#This Row],[Total Amount]]&gt;=1000,"High",(IF(Table15678[[#This Row],[Total Amount]]&gt;=500,"Medium","Low")))</f>
        <v>High</v>
      </c>
      <c r="M733" s="4" t="str" cm="1">
        <f t="array" ref="M73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33" s="4" cm="1">
        <f t="array" ref="N73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733" s="4">
        <f>Table15678[[#This Row],[Total Amount]]-Table15678[[#This Row],[Discount Amount]]</f>
        <v>900</v>
      </c>
      <c r="P733" s="4" t="str">
        <f>IF(Table15678[[#This Row],[Total Amount]]&gt;=1000,"High","Low")</f>
        <v>High</v>
      </c>
      <c r="Q733" s="4" t="str" cm="1">
        <f t="array" ref="Q733">_xlfn.IFS(AND(Table15678[[#This Row],[Total Amount]]&gt;=1500,"Critical"),AND(Table15678[[#This Row],[Total Amount]]&gt;=1000,"High"),TRUE,"Normal")</f>
        <v>Normal</v>
      </c>
      <c r="R733" s="4" t="str">
        <f>CONCATENATE(Table15678[[#This Row],[Customer ID]], "-",Table15678[[#This Row],[Age]])</f>
        <v>CUST732-61</v>
      </c>
      <c r="S733" s="4" t="str">
        <f>TEXT(Table15678[[#This Row],[Date]],"mmm")</f>
        <v>Feb</v>
      </c>
      <c r="T733" s="4" t="str">
        <f>TEXT(Table15678[[#This Row],[Date]],"DDD")</f>
        <v>Sat</v>
      </c>
    </row>
    <row r="734" spans="1:20" ht="29" x14ac:dyDescent="0.35">
      <c r="A734" s="4">
        <v>733</v>
      </c>
      <c r="B734" s="5">
        <v>45167</v>
      </c>
      <c r="C734" s="4" t="s">
        <v>746</v>
      </c>
      <c r="D734" s="4" t="s">
        <v>10</v>
      </c>
      <c r="E734" s="4">
        <v>34</v>
      </c>
      <c r="F734" s="4" t="str">
        <f>IF(Table15678[[#This Row],[Age]]&lt;=19,"Teenager",IF(Table15678[[#This Row],[Age]]&lt;=40,"Median","Old"))</f>
        <v>Median</v>
      </c>
      <c r="G734" s="4" t="s">
        <v>11</v>
      </c>
      <c r="H734" s="4">
        <v>1</v>
      </c>
      <c r="I734" s="4">
        <v>30</v>
      </c>
      <c r="J734" s="4">
        <v>30</v>
      </c>
      <c r="K734" s="4" t="str" cm="1">
        <f t="array" ref="K734">_xlfn.IFS(AND(Table15678[[#This Row],[Total Amount]]&gt;=1500),"Critical",AND(Table15678[[#This Row],[Total Amount]]&gt;=1000),"High",TRUE,"Normal")</f>
        <v>Normal</v>
      </c>
      <c r="L734" s="4" t="str">
        <f>IF(Table15678[[#This Row],[Total Amount]]&gt;=1000,"High",(IF(Table15678[[#This Row],[Total Amount]]&gt;=500,"Medium","Low")))</f>
        <v>Low</v>
      </c>
      <c r="M734" s="4" t="str" cm="1">
        <f t="array" ref="M73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34" s="4" cm="1">
        <f t="array" ref="N73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4.5</v>
      </c>
      <c r="O734" s="4">
        <f>Table15678[[#This Row],[Total Amount]]-Table15678[[#This Row],[Discount Amount]]</f>
        <v>25.5</v>
      </c>
      <c r="P734" s="4" t="str">
        <f>IF(Table15678[[#This Row],[Total Amount]]&gt;=1000,"High","Low")</f>
        <v>Low</v>
      </c>
      <c r="Q734" s="4" t="str" cm="1">
        <f t="array" ref="Q734">_xlfn.IFS(AND(Table15678[[#This Row],[Total Amount]]&gt;=1500,"Critical"),AND(Table15678[[#This Row],[Total Amount]]&gt;=1000,"High"),TRUE,"Normal")</f>
        <v>Normal</v>
      </c>
      <c r="R734" s="4" t="str">
        <f>CONCATENATE(Table15678[[#This Row],[Customer ID]], "-",Table15678[[#This Row],[Age]])</f>
        <v>CUST733-34</v>
      </c>
      <c r="S734" s="4" t="str">
        <f>TEXT(Table15678[[#This Row],[Date]],"mmm")</f>
        <v>Aug</v>
      </c>
      <c r="T734" s="4" t="str">
        <f>TEXT(Table15678[[#This Row],[Date]],"DDD")</f>
        <v>Tue</v>
      </c>
    </row>
    <row r="735" spans="1:20" ht="29" x14ac:dyDescent="0.35">
      <c r="A735" s="4">
        <v>734</v>
      </c>
      <c r="B735" s="5">
        <v>44936</v>
      </c>
      <c r="C735" s="4" t="s">
        <v>747</v>
      </c>
      <c r="D735" s="4" t="s">
        <v>13</v>
      </c>
      <c r="E735" s="4">
        <v>27</v>
      </c>
      <c r="F735" s="4" t="str">
        <f>IF(Table15678[[#This Row],[Age]]&lt;=19,"Teenager",IF(Table15678[[#This Row],[Age]]&lt;=40,"Median","Old"))</f>
        <v>Median</v>
      </c>
      <c r="G735" s="4" t="s">
        <v>14</v>
      </c>
      <c r="H735" s="4">
        <v>1</v>
      </c>
      <c r="I735" s="4">
        <v>30</v>
      </c>
      <c r="J735" s="4">
        <v>30</v>
      </c>
      <c r="K735" s="4" t="str" cm="1">
        <f t="array" ref="K735">_xlfn.IFS(AND(Table15678[[#This Row],[Total Amount]]&gt;=1500),"Critical",AND(Table15678[[#This Row],[Total Amount]]&gt;=1000),"High",TRUE,"Normal")</f>
        <v>Normal</v>
      </c>
      <c r="L735" s="4" t="str">
        <f>IF(Table15678[[#This Row],[Total Amount]]&gt;=1000,"High",(IF(Table15678[[#This Row],[Total Amount]]&gt;=500,"Medium","Low")))</f>
        <v>Low</v>
      </c>
      <c r="M735" s="4" t="str" cm="1">
        <f t="array" ref="M73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35" s="4" cm="1">
        <f t="array" ref="N73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4.5</v>
      </c>
      <c r="O735" s="4">
        <f>Table15678[[#This Row],[Total Amount]]-Table15678[[#This Row],[Discount Amount]]</f>
        <v>25.5</v>
      </c>
      <c r="P735" s="4" t="str">
        <f>IF(Table15678[[#This Row],[Total Amount]]&gt;=1000,"High","Low")</f>
        <v>Low</v>
      </c>
      <c r="Q735" s="4" t="str" cm="1">
        <f t="array" ref="Q735">_xlfn.IFS(AND(Table15678[[#This Row],[Total Amount]]&gt;=1500,"Critical"),AND(Table15678[[#This Row],[Total Amount]]&gt;=1000,"High"),TRUE,"Normal")</f>
        <v>Normal</v>
      </c>
      <c r="R735" s="4" t="str">
        <f>CONCATENATE(Table15678[[#This Row],[Customer ID]], "-",Table15678[[#This Row],[Age]])</f>
        <v>CUST734-27</v>
      </c>
      <c r="S735" s="4" t="str">
        <f>TEXT(Table15678[[#This Row],[Date]],"mmm")</f>
        <v>Jan</v>
      </c>
      <c r="T735" s="4" t="str">
        <f>TEXT(Table15678[[#This Row],[Date]],"DDD")</f>
        <v>Tue</v>
      </c>
    </row>
    <row r="736" spans="1:20" ht="29" x14ac:dyDescent="0.35">
      <c r="A736" s="4">
        <v>735</v>
      </c>
      <c r="B736" s="5">
        <v>45203</v>
      </c>
      <c r="C736" s="4" t="s">
        <v>748</v>
      </c>
      <c r="D736" s="4" t="s">
        <v>13</v>
      </c>
      <c r="E736" s="4">
        <v>64</v>
      </c>
      <c r="F736" s="4" t="str">
        <f>IF(Table15678[[#This Row],[Age]]&lt;=19,"Teenager",IF(Table15678[[#This Row],[Age]]&lt;=40,"Median","Old"))</f>
        <v>Old</v>
      </c>
      <c r="G736" s="4" t="s">
        <v>14</v>
      </c>
      <c r="H736" s="4">
        <v>4</v>
      </c>
      <c r="I736" s="4">
        <v>500</v>
      </c>
      <c r="J736" s="4">
        <v>2000</v>
      </c>
      <c r="K736" s="4" t="str" cm="1">
        <f t="array" ref="K736">_xlfn.IFS(AND(Table15678[[#This Row],[Total Amount]]&gt;=1500),"Critical",AND(Table15678[[#This Row],[Total Amount]]&gt;=1000),"High",TRUE,"Normal")</f>
        <v>Critical</v>
      </c>
      <c r="L736" s="4" t="str">
        <f>IF(Table15678[[#This Row],[Total Amount]]&gt;=1000,"High",(IF(Table15678[[#This Row],[Total Amount]]&gt;=500,"Medium","Low")))</f>
        <v>High</v>
      </c>
      <c r="M736" s="4" t="str" cm="1">
        <f t="array" ref="M73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36" s="4" cm="1">
        <f t="array" ref="N73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400</v>
      </c>
      <c r="O736" s="4">
        <f>Table15678[[#This Row],[Total Amount]]-Table15678[[#This Row],[Discount Amount]]</f>
        <v>1600</v>
      </c>
      <c r="P736" s="4" t="str">
        <f>IF(Table15678[[#This Row],[Total Amount]]&gt;=1000,"High","Low")</f>
        <v>High</v>
      </c>
      <c r="Q736" s="4" t="b" cm="1">
        <f t="array" ref="Q736">_xlfn.IFS(AND(Table15678[[#This Row],[Total Amount]]&gt;=1500,"Critical"),AND(Table15678[[#This Row],[Total Amount]]&gt;=1000,"High"),TRUE,"Normal")</f>
        <v>1</v>
      </c>
      <c r="R736" s="4" t="str">
        <f>CONCATENATE(Table15678[[#This Row],[Customer ID]], "-",Table15678[[#This Row],[Age]])</f>
        <v>CUST735-64</v>
      </c>
      <c r="S736" s="4" t="str">
        <f>TEXT(Table15678[[#This Row],[Date]],"mmm")</f>
        <v>Oct</v>
      </c>
      <c r="T736" s="4" t="str">
        <f>TEXT(Table15678[[#This Row],[Date]],"DDD")</f>
        <v>Wed</v>
      </c>
    </row>
    <row r="737" spans="1:20" ht="29" x14ac:dyDescent="0.35">
      <c r="A737" s="4">
        <v>736</v>
      </c>
      <c r="B737" s="5">
        <v>44953</v>
      </c>
      <c r="C737" s="4" t="s">
        <v>749</v>
      </c>
      <c r="D737" s="4" t="s">
        <v>10</v>
      </c>
      <c r="E737" s="4">
        <v>29</v>
      </c>
      <c r="F737" s="4" t="str">
        <f>IF(Table15678[[#This Row],[Age]]&lt;=19,"Teenager",IF(Table15678[[#This Row],[Age]]&lt;=40,"Median","Old"))</f>
        <v>Median</v>
      </c>
      <c r="G737" s="4" t="s">
        <v>14</v>
      </c>
      <c r="H737" s="4">
        <v>4</v>
      </c>
      <c r="I737" s="4">
        <v>25</v>
      </c>
      <c r="J737" s="4">
        <v>100</v>
      </c>
      <c r="K737" s="4" t="str" cm="1">
        <f t="array" ref="K737">_xlfn.IFS(AND(Table15678[[#This Row],[Total Amount]]&gt;=1500),"Critical",AND(Table15678[[#This Row],[Total Amount]]&gt;=1000),"High",TRUE,"Normal")</f>
        <v>Normal</v>
      </c>
      <c r="L737" s="4" t="str">
        <f>IF(Table15678[[#This Row],[Total Amount]]&gt;=1000,"High",(IF(Table15678[[#This Row],[Total Amount]]&gt;=500,"Medium","Low")))</f>
        <v>Low</v>
      </c>
      <c r="M737" s="4" t="str" cm="1">
        <f t="array" ref="M73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37" s="4" cm="1">
        <f t="array" ref="N73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737" s="4">
        <f>Table15678[[#This Row],[Total Amount]]-Table15678[[#This Row],[Discount Amount]]</f>
        <v>85</v>
      </c>
      <c r="P737" s="4" t="str">
        <f>IF(Table15678[[#This Row],[Total Amount]]&gt;=1000,"High","Low")</f>
        <v>Low</v>
      </c>
      <c r="Q737" s="4" t="str" cm="1">
        <f t="array" ref="Q737">_xlfn.IFS(AND(Table15678[[#This Row],[Total Amount]]&gt;=1500,"Critical"),AND(Table15678[[#This Row],[Total Amount]]&gt;=1000,"High"),TRUE,"Normal")</f>
        <v>Normal</v>
      </c>
      <c r="R737" s="4" t="str">
        <f>CONCATENATE(Table15678[[#This Row],[Customer ID]], "-",Table15678[[#This Row],[Age]])</f>
        <v>CUST736-29</v>
      </c>
      <c r="S737" s="4" t="str">
        <f>TEXT(Table15678[[#This Row],[Date]],"mmm")</f>
        <v>Jan</v>
      </c>
      <c r="T737" s="4" t="str">
        <f>TEXT(Table15678[[#This Row],[Date]],"DDD")</f>
        <v>Fri</v>
      </c>
    </row>
    <row r="738" spans="1:20" ht="29" x14ac:dyDescent="0.35">
      <c r="A738" s="4">
        <v>737</v>
      </c>
      <c r="B738" s="5">
        <v>45106</v>
      </c>
      <c r="C738" s="4" t="s">
        <v>750</v>
      </c>
      <c r="D738" s="4" t="s">
        <v>13</v>
      </c>
      <c r="E738" s="4">
        <v>33</v>
      </c>
      <c r="F738" s="4" t="str">
        <f>IF(Table15678[[#This Row],[Age]]&lt;=19,"Teenager",IF(Table15678[[#This Row],[Age]]&lt;=40,"Median","Old"))</f>
        <v>Median</v>
      </c>
      <c r="G738" s="4" t="s">
        <v>14</v>
      </c>
      <c r="H738" s="4">
        <v>1</v>
      </c>
      <c r="I738" s="4">
        <v>50</v>
      </c>
      <c r="J738" s="4">
        <v>50</v>
      </c>
      <c r="K738" s="4" t="str" cm="1">
        <f t="array" ref="K738">_xlfn.IFS(AND(Table15678[[#This Row],[Total Amount]]&gt;=1500),"Critical",AND(Table15678[[#This Row],[Total Amount]]&gt;=1000),"High",TRUE,"Normal")</f>
        <v>Normal</v>
      </c>
      <c r="L738" s="4" t="str">
        <f>IF(Table15678[[#This Row],[Total Amount]]&gt;=1000,"High",(IF(Table15678[[#This Row],[Total Amount]]&gt;=500,"Medium","Low")))</f>
        <v>Low</v>
      </c>
      <c r="M738" s="4" t="str" cm="1">
        <f t="array" ref="M73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38" s="4" cm="1">
        <f t="array" ref="N73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738" s="4">
        <f>Table15678[[#This Row],[Total Amount]]-Table15678[[#This Row],[Discount Amount]]</f>
        <v>42.5</v>
      </c>
      <c r="P738" s="4" t="str">
        <f>IF(Table15678[[#This Row],[Total Amount]]&gt;=1000,"High","Low")</f>
        <v>Low</v>
      </c>
      <c r="Q738" s="4" t="str" cm="1">
        <f t="array" ref="Q738">_xlfn.IFS(AND(Table15678[[#This Row],[Total Amount]]&gt;=1500,"Critical"),AND(Table15678[[#This Row],[Total Amount]]&gt;=1000,"High"),TRUE,"Normal")</f>
        <v>Normal</v>
      </c>
      <c r="R738" s="4" t="str">
        <f>CONCATENATE(Table15678[[#This Row],[Customer ID]], "-",Table15678[[#This Row],[Age]])</f>
        <v>CUST737-33</v>
      </c>
      <c r="S738" s="4" t="str">
        <f>TEXT(Table15678[[#This Row],[Date]],"mmm")</f>
        <v>Jun</v>
      </c>
      <c r="T738" s="4" t="str">
        <f>TEXT(Table15678[[#This Row],[Date]],"DDD")</f>
        <v>Thu</v>
      </c>
    </row>
    <row r="739" spans="1:20" ht="29" x14ac:dyDescent="0.35">
      <c r="A739" s="4">
        <v>738</v>
      </c>
      <c r="B739" s="5">
        <v>45041</v>
      </c>
      <c r="C739" s="4" t="s">
        <v>751</v>
      </c>
      <c r="D739" s="4" t="s">
        <v>10</v>
      </c>
      <c r="E739" s="4">
        <v>41</v>
      </c>
      <c r="F739" s="4" t="str">
        <f>IF(Table15678[[#This Row],[Age]]&lt;=19,"Teenager",IF(Table15678[[#This Row],[Age]]&lt;=40,"Median","Old"))</f>
        <v>Old</v>
      </c>
      <c r="G739" s="4" t="s">
        <v>14</v>
      </c>
      <c r="H739" s="4">
        <v>2</v>
      </c>
      <c r="I739" s="4">
        <v>50</v>
      </c>
      <c r="J739" s="4">
        <v>100</v>
      </c>
      <c r="K739" s="4" t="str" cm="1">
        <f t="array" ref="K739">_xlfn.IFS(AND(Table15678[[#This Row],[Total Amount]]&gt;=1500),"Critical",AND(Table15678[[#This Row],[Total Amount]]&gt;=1000),"High",TRUE,"Normal")</f>
        <v>Normal</v>
      </c>
      <c r="L739" s="4" t="str">
        <f>IF(Table15678[[#This Row],[Total Amount]]&gt;=1000,"High",(IF(Table15678[[#This Row],[Total Amount]]&gt;=500,"Medium","Low")))</f>
        <v>Low</v>
      </c>
      <c r="M739" s="4" t="str" cm="1">
        <f t="array" ref="M73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39" s="4" cm="1">
        <f t="array" ref="N73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739" s="4">
        <f>Table15678[[#This Row],[Total Amount]]-Table15678[[#This Row],[Discount Amount]]</f>
        <v>90</v>
      </c>
      <c r="P739" s="4" t="str">
        <f>IF(Table15678[[#This Row],[Total Amount]]&gt;=1000,"High","Low")</f>
        <v>Low</v>
      </c>
      <c r="Q739" s="4" t="str" cm="1">
        <f t="array" ref="Q739">_xlfn.IFS(AND(Table15678[[#This Row],[Total Amount]]&gt;=1500,"Critical"),AND(Table15678[[#This Row],[Total Amount]]&gt;=1000,"High"),TRUE,"Normal")</f>
        <v>Normal</v>
      </c>
      <c r="R739" s="4" t="str">
        <f>CONCATENATE(Table15678[[#This Row],[Customer ID]], "-",Table15678[[#This Row],[Age]])</f>
        <v>CUST738-41</v>
      </c>
      <c r="S739" s="4" t="str">
        <f>TEXT(Table15678[[#This Row],[Date]],"mmm")</f>
        <v>Apr</v>
      </c>
      <c r="T739" s="4" t="str">
        <f>TEXT(Table15678[[#This Row],[Date]],"DDD")</f>
        <v>Tue</v>
      </c>
    </row>
    <row r="740" spans="1:20" ht="29" x14ac:dyDescent="0.35">
      <c r="A740" s="4">
        <v>739</v>
      </c>
      <c r="B740" s="5">
        <v>45259</v>
      </c>
      <c r="C740" s="4" t="s">
        <v>752</v>
      </c>
      <c r="D740" s="4" t="s">
        <v>10</v>
      </c>
      <c r="E740" s="4">
        <v>36</v>
      </c>
      <c r="F740" s="4" t="str">
        <f>IF(Table15678[[#This Row],[Age]]&lt;=19,"Teenager",IF(Table15678[[#This Row],[Age]]&lt;=40,"Median","Old"))</f>
        <v>Median</v>
      </c>
      <c r="G740" s="4" t="s">
        <v>11</v>
      </c>
      <c r="H740" s="4">
        <v>1</v>
      </c>
      <c r="I740" s="4">
        <v>25</v>
      </c>
      <c r="J740" s="4">
        <v>25</v>
      </c>
      <c r="K740" s="4" t="str" cm="1">
        <f t="array" ref="K740">_xlfn.IFS(AND(Table15678[[#This Row],[Total Amount]]&gt;=1500),"Critical",AND(Table15678[[#This Row],[Total Amount]]&gt;=1000),"High",TRUE,"Normal")</f>
        <v>Normal</v>
      </c>
      <c r="L740" s="4" t="str">
        <f>IF(Table15678[[#This Row],[Total Amount]]&gt;=1000,"High",(IF(Table15678[[#This Row],[Total Amount]]&gt;=500,"Medium","Low")))</f>
        <v>Low</v>
      </c>
      <c r="M740" s="4" t="str" cm="1">
        <f t="array" ref="M74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40" s="4" cm="1">
        <f t="array" ref="N74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2.5</v>
      </c>
      <c r="O740" s="4">
        <f>Table15678[[#This Row],[Total Amount]]-Table15678[[#This Row],[Discount Amount]]</f>
        <v>22.5</v>
      </c>
      <c r="P740" s="4" t="str">
        <f>IF(Table15678[[#This Row],[Total Amount]]&gt;=1000,"High","Low")</f>
        <v>Low</v>
      </c>
      <c r="Q740" s="4" t="str" cm="1">
        <f t="array" ref="Q740">_xlfn.IFS(AND(Table15678[[#This Row],[Total Amount]]&gt;=1500,"Critical"),AND(Table15678[[#This Row],[Total Amount]]&gt;=1000,"High"),TRUE,"Normal")</f>
        <v>Normal</v>
      </c>
      <c r="R740" s="4" t="str">
        <f>CONCATENATE(Table15678[[#This Row],[Customer ID]], "-",Table15678[[#This Row],[Age]])</f>
        <v>CUST739-36</v>
      </c>
      <c r="S740" s="4" t="str">
        <f>TEXT(Table15678[[#This Row],[Date]],"mmm")</f>
        <v>Nov</v>
      </c>
      <c r="T740" s="4" t="str">
        <f>TEXT(Table15678[[#This Row],[Date]],"DDD")</f>
        <v>Wed</v>
      </c>
    </row>
    <row r="741" spans="1:20" ht="29" x14ac:dyDescent="0.35">
      <c r="A741" s="4">
        <v>740</v>
      </c>
      <c r="B741" s="5">
        <v>44962</v>
      </c>
      <c r="C741" s="4" t="s">
        <v>753</v>
      </c>
      <c r="D741" s="4" t="s">
        <v>13</v>
      </c>
      <c r="E741" s="4">
        <v>25</v>
      </c>
      <c r="F741" s="4" t="str">
        <f>IF(Table15678[[#This Row],[Age]]&lt;=19,"Teenager",IF(Table15678[[#This Row],[Age]]&lt;=40,"Median","Old"))</f>
        <v>Median</v>
      </c>
      <c r="G741" s="4" t="s">
        <v>11</v>
      </c>
      <c r="H741" s="4">
        <v>4</v>
      </c>
      <c r="I741" s="4">
        <v>50</v>
      </c>
      <c r="J741" s="4">
        <v>200</v>
      </c>
      <c r="K741" s="4" t="str" cm="1">
        <f t="array" ref="K741">_xlfn.IFS(AND(Table15678[[#This Row],[Total Amount]]&gt;=1500),"Critical",AND(Table15678[[#This Row],[Total Amount]]&gt;=1000),"High",TRUE,"Normal")</f>
        <v>Normal</v>
      </c>
      <c r="L741" s="4" t="str">
        <f>IF(Table15678[[#This Row],[Total Amount]]&gt;=1000,"High",(IF(Table15678[[#This Row],[Total Amount]]&gt;=500,"Medium","Low")))</f>
        <v>Low</v>
      </c>
      <c r="M741" s="4" t="str" cm="1">
        <f t="array" ref="M74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41" s="4" cm="1">
        <f t="array" ref="N74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741" s="4">
        <f>Table15678[[#This Row],[Total Amount]]-Table15678[[#This Row],[Discount Amount]]</f>
        <v>170</v>
      </c>
      <c r="P741" s="4" t="str">
        <f>IF(Table15678[[#This Row],[Total Amount]]&gt;=1000,"High","Low")</f>
        <v>Low</v>
      </c>
      <c r="Q741" s="4" t="str" cm="1">
        <f t="array" ref="Q741">_xlfn.IFS(AND(Table15678[[#This Row],[Total Amount]]&gt;=1500,"Critical"),AND(Table15678[[#This Row],[Total Amount]]&gt;=1000,"High"),TRUE,"Normal")</f>
        <v>Normal</v>
      </c>
      <c r="R741" s="4" t="str">
        <f>CONCATENATE(Table15678[[#This Row],[Customer ID]], "-",Table15678[[#This Row],[Age]])</f>
        <v>CUST740-25</v>
      </c>
      <c r="S741" s="4" t="str">
        <f>TEXT(Table15678[[#This Row],[Date]],"mmm")</f>
        <v>Feb</v>
      </c>
      <c r="T741" s="4" t="str">
        <f>TEXT(Table15678[[#This Row],[Date]],"DDD")</f>
        <v>Sun</v>
      </c>
    </row>
    <row r="742" spans="1:20" ht="29" x14ac:dyDescent="0.35">
      <c r="A742" s="4">
        <v>741</v>
      </c>
      <c r="B742" s="5">
        <v>45260</v>
      </c>
      <c r="C742" s="4" t="s">
        <v>754</v>
      </c>
      <c r="D742" s="4" t="s">
        <v>10</v>
      </c>
      <c r="E742" s="4">
        <v>48</v>
      </c>
      <c r="F742" s="4" t="str">
        <f>IF(Table15678[[#This Row],[Age]]&lt;=19,"Teenager",IF(Table15678[[#This Row],[Age]]&lt;=40,"Median","Old"))</f>
        <v>Old</v>
      </c>
      <c r="G742" s="4" t="s">
        <v>14</v>
      </c>
      <c r="H742" s="4">
        <v>1</v>
      </c>
      <c r="I742" s="4">
        <v>300</v>
      </c>
      <c r="J742" s="4">
        <v>300</v>
      </c>
      <c r="K742" s="4" t="str" cm="1">
        <f t="array" ref="K742">_xlfn.IFS(AND(Table15678[[#This Row],[Total Amount]]&gt;=1500),"Critical",AND(Table15678[[#This Row],[Total Amount]]&gt;=1000),"High",TRUE,"Normal")</f>
        <v>Normal</v>
      </c>
      <c r="L742" s="4" t="str">
        <f>IF(Table15678[[#This Row],[Total Amount]]&gt;=1000,"High",(IF(Table15678[[#This Row],[Total Amount]]&gt;=500,"Medium","Low")))</f>
        <v>Low</v>
      </c>
      <c r="M742" s="4" t="str" cm="1">
        <f t="array" ref="M74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42" s="4" cm="1">
        <f t="array" ref="N74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742" s="4">
        <f>Table15678[[#This Row],[Total Amount]]-Table15678[[#This Row],[Discount Amount]]</f>
        <v>270</v>
      </c>
      <c r="P742" s="4" t="str">
        <f>IF(Table15678[[#This Row],[Total Amount]]&gt;=1000,"High","Low")</f>
        <v>Low</v>
      </c>
      <c r="Q742" s="4" t="str" cm="1">
        <f t="array" ref="Q742">_xlfn.IFS(AND(Table15678[[#This Row],[Total Amount]]&gt;=1500,"Critical"),AND(Table15678[[#This Row],[Total Amount]]&gt;=1000,"High"),TRUE,"Normal")</f>
        <v>Normal</v>
      </c>
      <c r="R742" s="4" t="str">
        <f>CONCATENATE(Table15678[[#This Row],[Customer ID]], "-",Table15678[[#This Row],[Age]])</f>
        <v>CUST741-48</v>
      </c>
      <c r="S742" s="4" t="str">
        <f>TEXT(Table15678[[#This Row],[Date]],"mmm")</f>
        <v>Nov</v>
      </c>
      <c r="T742" s="4" t="str">
        <f>TEXT(Table15678[[#This Row],[Date]],"DDD")</f>
        <v>Thu</v>
      </c>
    </row>
    <row r="743" spans="1:20" ht="29" x14ac:dyDescent="0.35">
      <c r="A743" s="4">
        <v>742</v>
      </c>
      <c r="B743" s="5">
        <v>44947</v>
      </c>
      <c r="C743" s="4" t="s">
        <v>755</v>
      </c>
      <c r="D743" s="4" t="s">
        <v>13</v>
      </c>
      <c r="E743" s="4">
        <v>38</v>
      </c>
      <c r="F743" s="4" t="str">
        <f>IF(Table15678[[#This Row],[Age]]&lt;=19,"Teenager",IF(Table15678[[#This Row],[Age]]&lt;=40,"Median","Old"))</f>
        <v>Median</v>
      </c>
      <c r="G743" s="4" t="s">
        <v>16</v>
      </c>
      <c r="H743" s="4">
        <v>4</v>
      </c>
      <c r="I743" s="4">
        <v>500</v>
      </c>
      <c r="J743" s="4">
        <v>2000</v>
      </c>
      <c r="K743" s="4" t="str" cm="1">
        <f t="array" ref="K743">_xlfn.IFS(AND(Table15678[[#This Row],[Total Amount]]&gt;=1500),"Critical",AND(Table15678[[#This Row],[Total Amount]]&gt;=1000),"High",TRUE,"Normal")</f>
        <v>Critical</v>
      </c>
      <c r="L743" s="4" t="str">
        <f>IF(Table15678[[#This Row],[Total Amount]]&gt;=1000,"High",(IF(Table15678[[#This Row],[Total Amount]]&gt;=500,"Medium","Low")))</f>
        <v>High</v>
      </c>
      <c r="M743" s="4" t="str" cm="1">
        <f t="array" ref="M74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43" s="4" cm="1">
        <f t="array" ref="N74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400</v>
      </c>
      <c r="O743" s="4">
        <f>Table15678[[#This Row],[Total Amount]]-Table15678[[#This Row],[Discount Amount]]</f>
        <v>1600</v>
      </c>
      <c r="P743" s="4" t="str">
        <f>IF(Table15678[[#This Row],[Total Amount]]&gt;=1000,"High","Low")</f>
        <v>High</v>
      </c>
      <c r="Q743" s="4" t="b" cm="1">
        <f t="array" ref="Q743">_xlfn.IFS(AND(Table15678[[#This Row],[Total Amount]]&gt;=1500,"Critical"),AND(Table15678[[#This Row],[Total Amount]]&gt;=1000,"High"),TRUE,"Normal")</f>
        <v>1</v>
      </c>
      <c r="R743" s="4" t="str">
        <f>CONCATENATE(Table15678[[#This Row],[Customer ID]], "-",Table15678[[#This Row],[Age]])</f>
        <v>CUST742-38</v>
      </c>
      <c r="S743" s="4" t="str">
        <f>TEXT(Table15678[[#This Row],[Date]],"mmm")</f>
        <v>Jan</v>
      </c>
      <c r="T743" s="4" t="str">
        <f>TEXT(Table15678[[#This Row],[Date]],"DDD")</f>
        <v>Sat</v>
      </c>
    </row>
    <row r="744" spans="1:20" ht="29" x14ac:dyDescent="0.35">
      <c r="A744" s="4">
        <v>743</v>
      </c>
      <c r="B744" s="5">
        <v>44942</v>
      </c>
      <c r="C744" s="4" t="s">
        <v>756</v>
      </c>
      <c r="D744" s="4" t="s">
        <v>13</v>
      </c>
      <c r="E744" s="4">
        <v>34</v>
      </c>
      <c r="F744" s="4" t="str">
        <f>IF(Table15678[[#This Row],[Age]]&lt;=19,"Teenager",IF(Table15678[[#This Row],[Age]]&lt;=40,"Median","Old"))</f>
        <v>Median</v>
      </c>
      <c r="G744" s="4" t="s">
        <v>11</v>
      </c>
      <c r="H744" s="4">
        <v>4</v>
      </c>
      <c r="I744" s="4">
        <v>500</v>
      </c>
      <c r="J744" s="4">
        <v>2000</v>
      </c>
      <c r="K744" s="4" t="str" cm="1">
        <f t="array" ref="K744">_xlfn.IFS(AND(Table15678[[#This Row],[Total Amount]]&gt;=1500),"Critical",AND(Table15678[[#This Row],[Total Amount]]&gt;=1000),"High",TRUE,"Normal")</f>
        <v>Critical</v>
      </c>
      <c r="L744" s="4" t="str">
        <f>IF(Table15678[[#This Row],[Total Amount]]&gt;=1000,"High",(IF(Table15678[[#This Row],[Total Amount]]&gt;=500,"Medium","Low")))</f>
        <v>High</v>
      </c>
      <c r="M744" s="4" t="str" cm="1">
        <f t="array" ref="M74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44" s="4" cm="1">
        <f t="array" ref="N74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744" s="4">
        <f>Table15678[[#This Row],[Total Amount]]-Table15678[[#This Row],[Discount Amount]]</f>
        <v>1700</v>
      </c>
      <c r="P744" s="4" t="str">
        <f>IF(Table15678[[#This Row],[Total Amount]]&gt;=1000,"High","Low")</f>
        <v>High</v>
      </c>
      <c r="Q744" s="4" t="b" cm="1">
        <f t="array" ref="Q744">_xlfn.IFS(AND(Table15678[[#This Row],[Total Amount]]&gt;=1500,"Critical"),AND(Table15678[[#This Row],[Total Amount]]&gt;=1000,"High"),TRUE,"Normal")</f>
        <v>1</v>
      </c>
      <c r="R744" s="4" t="str">
        <f>CONCATENATE(Table15678[[#This Row],[Customer ID]], "-",Table15678[[#This Row],[Age]])</f>
        <v>CUST743-34</v>
      </c>
      <c r="S744" s="4" t="str">
        <f>TEXT(Table15678[[#This Row],[Date]],"mmm")</f>
        <v>Jan</v>
      </c>
      <c r="T744" s="4" t="str">
        <f>TEXT(Table15678[[#This Row],[Date]],"DDD")</f>
        <v>Mon</v>
      </c>
    </row>
    <row r="745" spans="1:20" ht="29" x14ac:dyDescent="0.35">
      <c r="A745" s="4">
        <v>744</v>
      </c>
      <c r="B745" s="5">
        <v>45053</v>
      </c>
      <c r="C745" s="4" t="s">
        <v>757</v>
      </c>
      <c r="D745" s="4" t="s">
        <v>10</v>
      </c>
      <c r="E745" s="4">
        <v>40</v>
      </c>
      <c r="F745" s="4" t="str">
        <f>IF(Table15678[[#This Row],[Age]]&lt;=19,"Teenager",IF(Table15678[[#This Row],[Age]]&lt;=40,"Median","Old"))</f>
        <v>Median</v>
      </c>
      <c r="G745" s="4" t="s">
        <v>16</v>
      </c>
      <c r="H745" s="4">
        <v>1</v>
      </c>
      <c r="I745" s="4">
        <v>25</v>
      </c>
      <c r="J745" s="4">
        <v>25</v>
      </c>
      <c r="K745" s="4" t="str" cm="1">
        <f t="array" ref="K745">_xlfn.IFS(AND(Table15678[[#This Row],[Total Amount]]&gt;=1500),"Critical",AND(Table15678[[#This Row],[Total Amount]]&gt;=1000),"High",TRUE,"Normal")</f>
        <v>Normal</v>
      </c>
      <c r="L745" s="4" t="str">
        <f>IF(Table15678[[#This Row],[Total Amount]]&gt;=1000,"High",(IF(Table15678[[#This Row],[Total Amount]]&gt;=500,"Medium","Low")))</f>
        <v>Low</v>
      </c>
      <c r="M745" s="4" t="str" cm="1">
        <f t="array" ref="M74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45" s="4" cm="1">
        <f t="array" ref="N74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2.5</v>
      </c>
      <c r="O745" s="4">
        <f>Table15678[[#This Row],[Total Amount]]-Table15678[[#This Row],[Discount Amount]]</f>
        <v>22.5</v>
      </c>
      <c r="P745" s="4" t="str">
        <f>IF(Table15678[[#This Row],[Total Amount]]&gt;=1000,"High","Low")</f>
        <v>Low</v>
      </c>
      <c r="Q745" s="4" t="str" cm="1">
        <f t="array" ref="Q745">_xlfn.IFS(AND(Table15678[[#This Row],[Total Amount]]&gt;=1500,"Critical"),AND(Table15678[[#This Row],[Total Amount]]&gt;=1000,"High"),TRUE,"Normal")</f>
        <v>Normal</v>
      </c>
      <c r="R745" s="4" t="str">
        <f>CONCATENATE(Table15678[[#This Row],[Customer ID]], "-",Table15678[[#This Row],[Age]])</f>
        <v>CUST744-40</v>
      </c>
      <c r="S745" s="4" t="str">
        <f>TEXT(Table15678[[#This Row],[Date]],"mmm")</f>
        <v>May</v>
      </c>
      <c r="T745" s="4" t="str">
        <f>TEXT(Table15678[[#This Row],[Date]],"DDD")</f>
        <v>Sun</v>
      </c>
    </row>
    <row r="746" spans="1:20" ht="29" x14ac:dyDescent="0.35">
      <c r="A746" s="4">
        <v>745</v>
      </c>
      <c r="B746" s="5">
        <v>45029</v>
      </c>
      <c r="C746" s="4" t="s">
        <v>758</v>
      </c>
      <c r="D746" s="4" t="s">
        <v>10</v>
      </c>
      <c r="E746" s="4">
        <v>54</v>
      </c>
      <c r="F746" s="4" t="str">
        <f>IF(Table15678[[#This Row],[Age]]&lt;=19,"Teenager",IF(Table15678[[#This Row],[Age]]&lt;=40,"Median","Old"))</f>
        <v>Old</v>
      </c>
      <c r="G746" s="4" t="s">
        <v>11</v>
      </c>
      <c r="H746" s="4">
        <v>2</v>
      </c>
      <c r="I746" s="4">
        <v>50</v>
      </c>
      <c r="J746" s="4">
        <v>100</v>
      </c>
      <c r="K746" s="4" t="str" cm="1">
        <f t="array" ref="K746">_xlfn.IFS(AND(Table15678[[#This Row],[Total Amount]]&gt;=1500),"Critical",AND(Table15678[[#This Row],[Total Amount]]&gt;=1000),"High",TRUE,"Normal")</f>
        <v>Normal</v>
      </c>
      <c r="L746" s="4" t="str">
        <f>IF(Table15678[[#This Row],[Total Amount]]&gt;=1000,"High",(IF(Table15678[[#This Row],[Total Amount]]&gt;=500,"Medium","Low")))</f>
        <v>Low</v>
      </c>
      <c r="M746" s="4" t="str" cm="1">
        <f t="array" ref="M74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46" s="4" cm="1">
        <f t="array" ref="N74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746" s="4">
        <f>Table15678[[#This Row],[Total Amount]]-Table15678[[#This Row],[Discount Amount]]</f>
        <v>90</v>
      </c>
      <c r="P746" s="4" t="str">
        <f>IF(Table15678[[#This Row],[Total Amount]]&gt;=1000,"High","Low")</f>
        <v>Low</v>
      </c>
      <c r="Q746" s="4" t="str" cm="1">
        <f t="array" ref="Q746">_xlfn.IFS(AND(Table15678[[#This Row],[Total Amount]]&gt;=1500,"Critical"),AND(Table15678[[#This Row],[Total Amount]]&gt;=1000,"High"),TRUE,"Normal")</f>
        <v>Normal</v>
      </c>
      <c r="R746" s="4" t="str">
        <f>CONCATENATE(Table15678[[#This Row],[Customer ID]], "-",Table15678[[#This Row],[Age]])</f>
        <v>CUST745-54</v>
      </c>
      <c r="S746" s="4" t="str">
        <f>TEXT(Table15678[[#This Row],[Date]],"mmm")</f>
        <v>Apr</v>
      </c>
      <c r="T746" s="4" t="str">
        <f>TEXT(Table15678[[#This Row],[Date]],"DDD")</f>
        <v>Thu</v>
      </c>
    </row>
    <row r="747" spans="1:20" ht="29" x14ac:dyDescent="0.35">
      <c r="A747" s="4">
        <v>746</v>
      </c>
      <c r="B747" s="5">
        <v>44937</v>
      </c>
      <c r="C747" s="4" t="s">
        <v>759</v>
      </c>
      <c r="D747" s="4" t="s">
        <v>13</v>
      </c>
      <c r="E747" s="4">
        <v>33</v>
      </c>
      <c r="F747" s="4" t="str">
        <f>IF(Table15678[[#This Row],[Age]]&lt;=19,"Teenager",IF(Table15678[[#This Row],[Age]]&lt;=40,"Median","Old"))</f>
        <v>Median</v>
      </c>
      <c r="G747" s="4" t="s">
        <v>14</v>
      </c>
      <c r="H747" s="4">
        <v>3</v>
      </c>
      <c r="I747" s="4">
        <v>30</v>
      </c>
      <c r="J747" s="4">
        <v>90</v>
      </c>
      <c r="K747" s="4" t="str" cm="1">
        <f t="array" ref="K747">_xlfn.IFS(AND(Table15678[[#This Row],[Total Amount]]&gt;=1500),"Critical",AND(Table15678[[#This Row],[Total Amount]]&gt;=1000),"High",TRUE,"Normal")</f>
        <v>Normal</v>
      </c>
      <c r="L747" s="4" t="str">
        <f>IF(Table15678[[#This Row],[Total Amount]]&gt;=1000,"High",(IF(Table15678[[#This Row],[Total Amount]]&gt;=500,"Medium","Low")))</f>
        <v>Low</v>
      </c>
      <c r="M747" s="4" t="str" cm="1">
        <f t="array" ref="M74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47" s="4" cm="1">
        <f t="array" ref="N74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13.5</v>
      </c>
      <c r="O747" s="4">
        <f>Table15678[[#This Row],[Total Amount]]-Table15678[[#This Row],[Discount Amount]]</f>
        <v>76.5</v>
      </c>
      <c r="P747" s="4" t="str">
        <f>IF(Table15678[[#This Row],[Total Amount]]&gt;=1000,"High","Low")</f>
        <v>Low</v>
      </c>
      <c r="Q747" s="4" t="str" cm="1">
        <f t="array" ref="Q747">_xlfn.IFS(AND(Table15678[[#This Row],[Total Amount]]&gt;=1500,"Critical"),AND(Table15678[[#This Row],[Total Amount]]&gt;=1000,"High"),TRUE,"Normal")</f>
        <v>Normal</v>
      </c>
      <c r="R747" s="4" t="str">
        <f>CONCATENATE(Table15678[[#This Row],[Customer ID]], "-",Table15678[[#This Row],[Age]])</f>
        <v>CUST746-33</v>
      </c>
      <c r="S747" s="4" t="str">
        <f>TEXT(Table15678[[#This Row],[Date]],"mmm")</f>
        <v>Jan</v>
      </c>
      <c r="T747" s="4" t="str">
        <f>TEXT(Table15678[[#This Row],[Date]],"DDD")</f>
        <v>Wed</v>
      </c>
    </row>
    <row r="748" spans="1:20" ht="29" x14ac:dyDescent="0.35">
      <c r="A748" s="4">
        <v>747</v>
      </c>
      <c r="B748" s="5">
        <v>45245</v>
      </c>
      <c r="C748" s="4" t="s">
        <v>760</v>
      </c>
      <c r="D748" s="4" t="s">
        <v>10</v>
      </c>
      <c r="E748" s="4">
        <v>23</v>
      </c>
      <c r="F748" s="4" t="str">
        <f>IF(Table15678[[#This Row],[Age]]&lt;=19,"Teenager",IF(Table15678[[#This Row],[Age]]&lt;=40,"Median","Old"))</f>
        <v>Median</v>
      </c>
      <c r="G748" s="4" t="s">
        <v>11</v>
      </c>
      <c r="H748" s="4">
        <v>1</v>
      </c>
      <c r="I748" s="4">
        <v>30</v>
      </c>
      <c r="J748" s="4">
        <v>30</v>
      </c>
      <c r="K748" s="4" t="str" cm="1">
        <f t="array" ref="K748">_xlfn.IFS(AND(Table15678[[#This Row],[Total Amount]]&gt;=1500),"Critical",AND(Table15678[[#This Row],[Total Amount]]&gt;=1000),"High",TRUE,"Normal")</f>
        <v>Normal</v>
      </c>
      <c r="L748" s="4" t="str">
        <f>IF(Table15678[[#This Row],[Total Amount]]&gt;=1000,"High",(IF(Table15678[[#This Row],[Total Amount]]&gt;=500,"Medium","Low")))</f>
        <v>Low</v>
      </c>
      <c r="M748" s="4" t="str" cm="1">
        <f t="array" ref="M74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748" s="4" cm="1">
        <f t="array" ref="N74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748" s="4">
        <f>Table15678[[#This Row],[Total Amount]]-Table15678[[#This Row],[Discount Amount]]</f>
        <v>30</v>
      </c>
      <c r="P748" s="4" t="str">
        <f>IF(Table15678[[#This Row],[Total Amount]]&gt;=1000,"High","Low")</f>
        <v>Low</v>
      </c>
      <c r="Q748" s="4" t="str" cm="1">
        <f t="array" ref="Q748">_xlfn.IFS(AND(Table15678[[#This Row],[Total Amount]]&gt;=1500,"Critical"),AND(Table15678[[#This Row],[Total Amount]]&gt;=1000,"High"),TRUE,"Normal")</f>
        <v>Normal</v>
      </c>
      <c r="R748" s="4" t="str">
        <f>CONCATENATE(Table15678[[#This Row],[Customer ID]], "-",Table15678[[#This Row],[Age]])</f>
        <v>CUST747-23</v>
      </c>
      <c r="S748" s="4" t="str">
        <f>TEXT(Table15678[[#This Row],[Date]],"mmm")</f>
        <v>Nov</v>
      </c>
      <c r="T748" s="4" t="str">
        <f>TEXT(Table15678[[#This Row],[Date]],"DDD")</f>
        <v>Wed</v>
      </c>
    </row>
    <row r="749" spans="1:20" ht="29" x14ac:dyDescent="0.35">
      <c r="A749" s="4">
        <v>748</v>
      </c>
      <c r="B749" s="5">
        <v>45005</v>
      </c>
      <c r="C749" s="4" t="s">
        <v>761</v>
      </c>
      <c r="D749" s="4" t="s">
        <v>10</v>
      </c>
      <c r="E749" s="4">
        <v>25</v>
      </c>
      <c r="F749" s="4" t="str">
        <f>IF(Table15678[[#This Row],[Age]]&lt;=19,"Teenager",IF(Table15678[[#This Row],[Age]]&lt;=40,"Median","Old"))</f>
        <v>Median</v>
      </c>
      <c r="G749" s="4" t="s">
        <v>14</v>
      </c>
      <c r="H749" s="4">
        <v>3</v>
      </c>
      <c r="I749" s="4">
        <v>50</v>
      </c>
      <c r="J749" s="4">
        <v>150</v>
      </c>
      <c r="K749" s="4" t="str" cm="1">
        <f t="array" ref="K749">_xlfn.IFS(AND(Table15678[[#This Row],[Total Amount]]&gt;=1500),"Critical",AND(Table15678[[#This Row],[Total Amount]]&gt;=1000),"High",TRUE,"Normal")</f>
        <v>Normal</v>
      </c>
      <c r="L749" s="4" t="str">
        <f>IF(Table15678[[#This Row],[Total Amount]]&gt;=1000,"High",(IF(Table15678[[#This Row],[Total Amount]]&gt;=500,"Medium","Low")))</f>
        <v>Low</v>
      </c>
      <c r="M749" s="4" t="str" cm="1">
        <f t="array" ref="M74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49" s="4" cm="1">
        <f t="array" ref="N74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22.5</v>
      </c>
      <c r="O749" s="4">
        <f>Table15678[[#This Row],[Total Amount]]-Table15678[[#This Row],[Discount Amount]]</f>
        <v>127.5</v>
      </c>
      <c r="P749" s="4" t="str">
        <f>IF(Table15678[[#This Row],[Total Amount]]&gt;=1000,"High","Low")</f>
        <v>Low</v>
      </c>
      <c r="Q749" s="4" t="str" cm="1">
        <f t="array" ref="Q749">_xlfn.IFS(AND(Table15678[[#This Row],[Total Amount]]&gt;=1500,"Critical"),AND(Table15678[[#This Row],[Total Amount]]&gt;=1000,"High"),TRUE,"Normal")</f>
        <v>Normal</v>
      </c>
      <c r="R749" s="4" t="str">
        <f>CONCATENATE(Table15678[[#This Row],[Customer ID]], "-",Table15678[[#This Row],[Age]])</f>
        <v>CUST748-25</v>
      </c>
      <c r="S749" s="4" t="str">
        <f>TEXT(Table15678[[#This Row],[Date]],"mmm")</f>
        <v>Mar</v>
      </c>
      <c r="T749" s="4" t="str">
        <f>TEXT(Table15678[[#This Row],[Date]],"DDD")</f>
        <v>Mon</v>
      </c>
    </row>
    <row r="750" spans="1:20" ht="29" x14ac:dyDescent="0.35">
      <c r="A750" s="4">
        <v>749</v>
      </c>
      <c r="B750" s="5">
        <v>45049</v>
      </c>
      <c r="C750" s="4" t="s">
        <v>762</v>
      </c>
      <c r="D750" s="4" t="s">
        <v>10</v>
      </c>
      <c r="E750" s="4">
        <v>42</v>
      </c>
      <c r="F750" s="4" t="str">
        <f>IF(Table15678[[#This Row],[Age]]&lt;=19,"Teenager",IF(Table15678[[#This Row],[Age]]&lt;=40,"Median","Old"))</f>
        <v>Old</v>
      </c>
      <c r="G750" s="4" t="s">
        <v>11</v>
      </c>
      <c r="H750" s="4">
        <v>1</v>
      </c>
      <c r="I750" s="4">
        <v>30</v>
      </c>
      <c r="J750" s="4">
        <v>30</v>
      </c>
      <c r="K750" s="4" t="str" cm="1">
        <f t="array" ref="K750">_xlfn.IFS(AND(Table15678[[#This Row],[Total Amount]]&gt;=1500),"Critical",AND(Table15678[[#This Row],[Total Amount]]&gt;=1000),"High",TRUE,"Normal")</f>
        <v>Normal</v>
      </c>
      <c r="L750" s="4" t="str">
        <f>IF(Table15678[[#This Row],[Total Amount]]&gt;=1000,"High",(IF(Table15678[[#This Row],[Total Amount]]&gt;=500,"Medium","Low")))</f>
        <v>Low</v>
      </c>
      <c r="M750" s="4" t="str" cm="1">
        <f t="array" ref="M75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50" s="4" cm="1">
        <f t="array" ref="N75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</v>
      </c>
      <c r="O750" s="4">
        <f>Table15678[[#This Row],[Total Amount]]-Table15678[[#This Row],[Discount Amount]]</f>
        <v>27</v>
      </c>
      <c r="P750" s="4" t="str">
        <f>IF(Table15678[[#This Row],[Total Amount]]&gt;=1000,"High","Low")</f>
        <v>Low</v>
      </c>
      <c r="Q750" s="4" t="str" cm="1">
        <f t="array" ref="Q750">_xlfn.IFS(AND(Table15678[[#This Row],[Total Amount]]&gt;=1500,"Critical"),AND(Table15678[[#This Row],[Total Amount]]&gt;=1000,"High"),TRUE,"Normal")</f>
        <v>Normal</v>
      </c>
      <c r="R750" s="4" t="str">
        <f>CONCATENATE(Table15678[[#This Row],[Customer ID]], "-",Table15678[[#This Row],[Age]])</f>
        <v>CUST749-42</v>
      </c>
      <c r="S750" s="4" t="str">
        <f>TEXT(Table15678[[#This Row],[Date]],"mmm")</f>
        <v>May</v>
      </c>
      <c r="T750" s="4" t="str">
        <f>TEXT(Table15678[[#This Row],[Date]],"DDD")</f>
        <v>Wed</v>
      </c>
    </row>
    <row r="751" spans="1:20" ht="29" x14ac:dyDescent="0.35">
      <c r="A751" s="4">
        <v>750</v>
      </c>
      <c r="B751" s="5">
        <v>44991</v>
      </c>
      <c r="C751" s="4" t="s">
        <v>763</v>
      </c>
      <c r="D751" s="4" t="s">
        <v>13</v>
      </c>
      <c r="E751" s="4">
        <v>35</v>
      </c>
      <c r="F751" s="4" t="str">
        <f>IF(Table15678[[#This Row],[Age]]&lt;=19,"Teenager",IF(Table15678[[#This Row],[Age]]&lt;=40,"Median","Old"))</f>
        <v>Median</v>
      </c>
      <c r="G751" s="4" t="s">
        <v>14</v>
      </c>
      <c r="H751" s="4">
        <v>3</v>
      </c>
      <c r="I751" s="4">
        <v>25</v>
      </c>
      <c r="J751" s="4">
        <v>75</v>
      </c>
      <c r="K751" s="4" t="str" cm="1">
        <f t="array" ref="K751">_xlfn.IFS(AND(Table15678[[#This Row],[Total Amount]]&gt;=1500),"Critical",AND(Table15678[[#This Row],[Total Amount]]&gt;=1000),"High",TRUE,"Normal")</f>
        <v>Normal</v>
      </c>
      <c r="L751" s="4" t="str">
        <f>IF(Table15678[[#This Row],[Total Amount]]&gt;=1000,"High",(IF(Table15678[[#This Row],[Total Amount]]&gt;=500,"Medium","Low")))</f>
        <v>Low</v>
      </c>
      <c r="M751" s="4" t="str" cm="1">
        <f t="array" ref="M75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51" s="4" cm="1">
        <f t="array" ref="N75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751" s="4">
        <f>Table15678[[#This Row],[Total Amount]]-Table15678[[#This Row],[Discount Amount]]</f>
        <v>60</v>
      </c>
      <c r="P751" s="4" t="str">
        <f>IF(Table15678[[#This Row],[Total Amount]]&gt;=1000,"High","Low")</f>
        <v>Low</v>
      </c>
      <c r="Q751" s="4" t="str" cm="1">
        <f t="array" ref="Q751">_xlfn.IFS(AND(Table15678[[#This Row],[Total Amount]]&gt;=1500,"Critical"),AND(Table15678[[#This Row],[Total Amount]]&gt;=1000,"High"),TRUE,"Normal")</f>
        <v>Normal</v>
      </c>
      <c r="R751" s="4" t="str">
        <f>CONCATENATE(Table15678[[#This Row],[Customer ID]], "-",Table15678[[#This Row],[Age]])</f>
        <v>CUST750-35</v>
      </c>
      <c r="S751" s="4" t="str">
        <f>TEXT(Table15678[[#This Row],[Date]],"mmm")</f>
        <v>Mar</v>
      </c>
      <c r="T751" s="4" t="str">
        <f>TEXT(Table15678[[#This Row],[Date]],"DDD")</f>
        <v>Mon</v>
      </c>
    </row>
    <row r="752" spans="1:20" ht="29" x14ac:dyDescent="0.35">
      <c r="A752" s="4">
        <v>751</v>
      </c>
      <c r="B752" s="5">
        <v>45169</v>
      </c>
      <c r="C752" s="4" t="s">
        <v>764</v>
      </c>
      <c r="D752" s="4" t="s">
        <v>13</v>
      </c>
      <c r="E752" s="4">
        <v>42</v>
      </c>
      <c r="F752" s="4" t="str">
        <f>IF(Table15678[[#This Row],[Age]]&lt;=19,"Teenager",IF(Table15678[[#This Row],[Age]]&lt;=40,"Median","Old"))</f>
        <v>Old</v>
      </c>
      <c r="G752" s="4" t="s">
        <v>14</v>
      </c>
      <c r="H752" s="4">
        <v>2</v>
      </c>
      <c r="I752" s="4">
        <v>25</v>
      </c>
      <c r="J752" s="4">
        <v>50</v>
      </c>
      <c r="K752" s="4" t="str" cm="1">
        <f t="array" ref="K752">_xlfn.IFS(AND(Table15678[[#This Row],[Total Amount]]&gt;=1500),"Critical",AND(Table15678[[#This Row],[Total Amount]]&gt;=1000),"High",TRUE,"Normal")</f>
        <v>Normal</v>
      </c>
      <c r="L752" s="4" t="str">
        <f>IF(Table15678[[#This Row],[Total Amount]]&gt;=1000,"High",(IF(Table15678[[#This Row],[Total Amount]]&gt;=500,"Medium","Low")))</f>
        <v>Low</v>
      </c>
      <c r="M752" s="4" t="str" cm="1">
        <f t="array" ref="M75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52" s="4" cm="1">
        <f t="array" ref="N75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752" s="4">
        <f>Table15678[[#This Row],[Total Amount]]-Table15678[[#This Row],[Discount Amount]]</f>
        <v>40</v>
      </c>
      <c r="P752" s="4" t="str">
        <f>IF(Table15678[[#This Row],[Total Amount]]&gt;=1000,"High","Low")</f>
        <v>Low</v>
      </c>
      <c r="Q752" s="4" t="str" cm="1">
        <f t="array" ref="Q752">_xlfn.IFS(AND(Table15678[[#This Row],[Total Amount]]&gt;=1500,"Critical"),AND(Table15678[[#This Row],[Total Amount]]&gt;=1000,"High"),TRUE,"Normal")</f>
        <v>Normal</v>
      </c>
      <c r="R752" s="4" t="str">
        <f>CONCATENATE(Table15678[[#This Row],[Customer ID]], "-",Table15678[[#This Row],[Age]])</f>
        <v>CUST751-42</v>
      </c>
      <c r="S752" s="4" t="str">
        <f>TEXT(Table15678[[#This Row],[Date]],"mmm")</f>
        <v>Aug</v>
      </c>
      <c r="T752" s="4" t="str">
        <f>TEXT(Table15678[[#This Row],[Date]],"DDD")</f>
        <v>Thu</v>
      </c>
    </row>
    <row r="753" spans="1:20" ht="29" x14ac:dyDescent="0.35">
      <c r="A753" s="4">
        <v>752</v>
      </c>
      <c r="B753" s="5">
        <v>45269</v>
      </c>
      <c r="C753" s="4" t="s">
        <v>765</v>
      </c>
      <c r="D753" s="4" t="s">
        <v>10</v>
      </c>
      <c r="E753" s="4">
        <v>29</v>
      </c>
      <c r="F753" s="4" t="str">
        <f>IF(Table15678[[#This Row],[Age]]&lt;=19,"Teenager",IF(Table15678[[#This Row],[Age]]&lt;=40,"Median","Old"))</f>
        <v>Median</v>
      </c>
      <c r="G753" s="4" t="s">
        <v>14</v>
      </c>
      <c r="H753" s="4">
        <v>2</v>
      </c>
      <c r="I753" s="4">
        <v>50</v>
      </c>
      <c r="J753" s="4">
        <v>100</v>
      </c>
      <c r="K753" s="4" t="str" cm="1">
        <f t="array" ref="K753">_xlfn.IFS(AND(Table15678[[#This Row],[Total Amount]]&gt;=1500),"Critical",AND(Table15678[[#This Row],[Total Amount]]&gt;=1000),"High",TRUE,"Normal")</f>
        <v>Normal</v>
      </c>
      <c r="L753" s="4" t="str">
        <f>IF(Table15678[[#This Row],[Total Amount]]&gt;=1000,"High",(IF(Table15678[[#This Row],[Total Amount]]&gt;=500,"Medium","Low")))</f>
        <v>Low</v>
      </c>
      <c r="M753" s="4" t="str" cm="1">
        <f t="array" ref="M75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53" s="4" cm="1">
        <f t="array" ref="N75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753" s="4">
        <f>Table15678[[#This Row],[Total Amount]]-Table15678[[#This Row],[Discount Amount]]</f>
        <v>85</v>
      </c>
      <c r="P753" s="4" t="str">
        <f>IF(Table15678[[#This Row],[Total Amount]]&gt;=1000,"High","Low")</f>
        <v>Low</v>
      </c>
      <c r="Q753" s="4" t="str" cm="1">
        <f t="array" ref="Q753">_xlfn.IFS(AND(Table15678[[#This Row],[Total Amount]]&gt;=1500,"Critical"),AND(Table15678[[#This Row],[Total Amount]]&gt;=1000,"High"),TRUE,"Normal")</f>
        <v>Normal</v>
      </c>
      <c r="R753" s="4" t="str">
        <f>CONCATENATE(Table15678[[#This Row],[Customer ID]], "-",Table15678[[#This Row],[Age]])</f>
        <v>CUST752-29</v>
      </c>
      <c r="S753" s="4" t="str">
        <f>TEXT(Table15678[[#This Row],[Date]],"mmm")</f>
        <v>Dec</v>
      </c>
      <c r="T753" s="4" t="str">
        <f>TEXT(Table15678[[#This Row],[Date]],"DDD")</f>
        <v>Sat</v>
      </c>
    </row>
    <row r="754" spans="1:20" ht="29" x14ac:dyDescent="0.35">
      <c r="A754" s="4">
        <v>753</v>
      </c>
      <c r="B754" s="5">
        <v>44985</v>
      </c>
      <c r="C754" s="4" t="s">
        <v>766</v>
      </c>
      <c r="D754" s="4" t="s">
        <v>13</v>
      </c>
      <c r="E754" s="4">
        <v>32</v>
      </c>
      <c r="F754" s="4" t="str">
        <f>IF(Table15678[[#This Row],[Age]]&lt;=19,"Teenager",IF(Table15678[[#This Row],[Age]]&lt;=40,"Median","Old"))</f>
        <v>Median</v>
      </c>
      <c r="G754" s="4" t="s">
        <v>14</v>
      </c>
      <c r="H754" s="4">
        <v>1</v>
      </c>
      <c r="I754" s="4">
        <v>30</v>
      </c>
      <c r="J754" s="4">
        <v>30</v>
      </c>
      <c r="K754" s="4" t="str" cm="1">
        <f t="array" ref="K754">_xlfn.IFS(AND(Table15678[[#This Row],[Total Amount]]&gt;=1500),"Critical",AND(Table15678[[#This Row],[Total Amount]]&gt;=1000),"High",TRUE,"Normal")</f>
        <v>Normal</v>
      </c>
      <c r="L754" s="4" t="str">
        <f>IF(Table15678[[#This Row],[Total Amount]]&gt;=1000,"High",(IF(Table15678[[#This Row],[Total Amount]]&gt;=500,"Medium","Low")))</f>
        <v>Low</v>
      </c>
      <c r="M754" s="4" t="str" cm="1">
        <f t="array" ref="M75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54" s="4" cm="1">
        <f t="array" ref="N75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4.5</v>
      </c>
      <c r="O754" s="4">
        <f>Table15678[[#This Row],[Total Amount]]-Table15678[[#This Row],[Discount Amount]]</f>
        <v>25.5</v>
      </c>
      <c r="P754" s="4" t="str">
        <f>IF(Table15678[[#This Row],[Total Amount]]&gt;=1000,"High","Low")</f>
        <v>Low</v>
      </c>
      <c r="Q754" s="4" t="str" cm="1">
        <f t="array" ref="Q754">_xlfn.IFS(AND(Table15678[[#This Row],[Total Amount]]&gt;=1500,"Critical"),AND(Table15678[[#This Row],[Total Amount]]&gt;=1000,"High"),TRUE,"Normal")</f>
        <v>Normal</v>
      </c>
      <c r="R754" s="4" t="str">
        <f>CONCATENATE(Table15678[[#This Row],[Customer ID]], "-",Table15678[[#This Row],[Age]])</f>
        <v>CUST753-32</v>
      </c>
      <c r="S754" s="4" t="str">
        <f>TEXT(Table15678[[#This Row],[Date]],"mmm")</f>
        <v>Feb</v>
      </c>
      <c r="T754" s="4" t="str">
        <f>TEXT(Table15678[[#This Row],[Date]],"DDD")</f>
        <v>Tue</v>
      </c>
    </row>
    <row r="755" spans="1:20" ht="29" x14ac:dyDescent="0.35">
      <c r="A755" s="4">
        <v>754</v>
      </c>
      <c r="B755" s="5">
        <v>45215</v>
      </c>
      <c r="C755" s="4" t="s">
        <v>767</v>
      </c>
      <c r="D755" s="4" t="s">
        <v>13</v>
      </c>
      <c r="E755" s="4">
        <v>43</v>
      </c>
      <c r="F755" s="4" t="str">
        <f>IF(Table15678[[#This Row],[Age]]&lt;=19,"Teenager",IF(Table15678[[#This Row],[Age]]&lt;=40,"Median","Old"))</f>
        <v>Old</v>
      </c>
      <c r="G755" s="4" t="s">
        <v>16</v>
      </c>
      <c r="H755" s="4">
        <v>4</v>
      </c>
      <c r="I755" s="4">
        <v>25</v>
      </c>
      <c r="J755" s="4">
        <v>100</v>
      </c>
      <c r="K755" s="4" t="str" cm="1">
        <f t="array" ref="K755">_xlfn.IFS(AND(Table15678[[#This Row],[Total Amount]]&gt;=1500),"Critical",AND(Table15678[[#This Row],[Total Amount]]&gt;=1000),"High",TRUE,"Normal")</f>
        <v>Normal</v>
      </c>
      <c r="L755" s="4" t="str">
        <f>IF(Table15678[[#This Row],[Total Amount]]&gt;=1000,"High",(IF(Table15678[[#This Row],[Total Amount]]&gt;=500,"Medium","Low")))</f>
        <v>Low</v>
      </c>
      <c r="M755" s="4" t="str" cm="1">
        <f t="array" ref="M75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55" s="4" cm="1">
        <f t="array" ref="N75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755" s="4">
        <f>Table15678[[#This Row],[Total Amount]]-Table15678[[#This Row],[Discount Amount]]</f>
        <v>80</v>
      </c>
      <c r="P755" s="4" t="str">
        <f>IF(Table15678[[#This Row],[Total Amount]]&gt;=1000,"High","Low")</f>
        <v>Low</v>
      </c>
      <c r="Q755" s="4" t="str" cm="1">
        <f t="array" ref="Q755">_xlfn.IFS(AND(Table15678[[#This Row],[Total Amount]]&gt;=1500,"Critical"),AND(Table15678[[#This Row],[Total Amount]]&gt;=1000,"High"),TRUE,"Normal")</f>
        <v>Normal</v>
      </c>
      <c r="R755" s="4" t="str">
        <f>CONCATENATE(Table15678[[#This Row],[Customer ID]], "-",Table15678[[#This Row],[Age]])</f>
        <v>CUST754-43</v>
      </c>
      <c r="S755" s="4" t="str">
        <f>TEXT(Table15678[[#This Row],[Date]],"mmm")</f>
        <v>Oct</v>
      </c>
      <c r="T755" s="4" t="str">
        <f>TEXT(Table15678[[#This Row],[Date]],"DDD")</f>
        <v>Mon</v>
      </c>
    </row>
    <row r="756" spans="1:20" ht="29" x14ac:dyDescent="0.35">
      <c r="A756" s="4">
        <v>755</v>
      </c>
      <c r="B756" s="5">
        <v>45038</v>
      </c>
      <c r="C756" s="4" t="s">
        <v>768</v>
      </c>
      <c r="D756" s="4" t="s">
        <v>13</v>
      </c>
      <c r="E756" s="4">
        <v>58</v>
      </c>
      <c r="F756" s="4" t="str">
        <f>IF(Table15678[[#This Row],[Age]]&lt;=19,"Teenager",IF(Table15678[[#This Row],[Age]]&lt;=40,"Median","Old"))</f>
        <v>Old</v>
      </c>
      <c r="G756" s="4" t="s">
        <v>14</v>
      </c>
      <c r="H756" s="4">
        <v>3</v>
      </c>
      <c r="I756" s="4">
        <v>25</v>
      </c>
      <c r="J756" s="4">
        <v>75</v>
      </c>
      <c r="K756" s="4" t="str" cm="1">
        <f t="array" ref="K756">_xlfn.IFS(AND(Table15678[[#This Row],[Total Amount]]&gt;=1500),"Critical",AND(Table15678[[#This Row],[Total Amount]]&gt;=1000),"High",TRUE,"Normal")</f>
        <v>Normal</v>
      </c>
      <c r="L756" s="4" t="str">
        <f>IF(Table15678[[#This Row],[Total Amount]]&gt;=1000,"High",(IF(Table15678[[#This Row],[Total Amount]]&gt;=500,"Medium","Low")))</f>
        <v>Low</v>
      </c>
      <c r="M756" s="4" t="str" cm="1">
        <f t="array" ref="M75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56" s="4" cm="1">
        <f t="array" ref="N75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756" s="4">
        <f>Table15678[[#This Row],[Total Amount]]-Table15678[[#This Row],[Discount Amount]]</f>
        <v>60</v>
      </c>
      <c r="P756" s="4" t="str">
        <f>IF(Table15678[[#This Row],[Total Amount]]&gt;=1000,"High","Low")</f>
        <v>Low</v>
      </c>
      <c r="Q756" s="4" t="str" cm="1">
        <f t="array" ref="Q756">_xlfn.IFS(AND(Table15678[[#This Row],[Total Amount]]&gt;=1500,"Critical"),AND(Table15678[[#This Row],[Total Amount]]&gt;=1000,"High"),TRUE,"Normal")</f>
        <v>Normal</v>
      </c>
      <c r="R756" s="4" t="str">
        <f>CONCATENATE(Table15678[[#This Row],[Customer ID]], "-",Table15678[[#This Row],[Age]])</f>
        <v>CUST755-58</v>
      </c>
      <c r="S756" s="4" t="str">
        <f>TEXT(Table15678[[#This Row],[Date]],"mmm")</f>
        <v>Apr</v>
      </c>
      <c r="T756" s="4" t="str">
        <f>TEXT(Table15678[[#This Row],[Date]],"DDD")</f>
        <v>Sat</v>
      </c>
    </row>
    <row r="757" spans="1:20" ht="29" x14ac:dyDescent="0.35">
      <c r="A757" s="4">
        <v>756</v>
      </c>
      <c r="B757" s="5">
        <v>45165</v>
      </c>
      <c r="C757" s="4" t="s">
        <v>769</v>
      </c>
      <c r="D757" s="4" t="s">
        <v>13</v>
      </c>
      <c r="E757" s="4">
        <v>62</v>
      </c>
      <c r="F757" s="4" t="str">
        <f>IF(Table15678[[#This Row],[Age]]&lt;=19,"Teenager",IF(Table15678[[#This Row],[Age]]&lt;=40,"Median","Old"))</f>
        <v>Old</v>
      </c>
      <c r="G757" s="4" t="s">
        <v>16</v>
      </c>
      <c r="H757" s="4">
        <v>4</v>
      </c>
      <c r="I757" s="4">
        <v>300</v>
      </c>
      <c r="J757" s="4">
        <v>1200</v>
      </c>
      <c r="K757" s="4" t="str" cm="1">
        <f t="array" ref="K757">_xlfn.IFS(AND(Table15678[[#This Row],[Total Amount]]&gt;=1500),"Critical",AND(Table15678[[#This Row],[Total Amount]]&gt;=1000),"High",TRUE,"Normal")</f>
        <v>High</v>
      </c>
      <c r="L757" s="4" t="str">
        <f>IF(Table15678[[#This Row],[Total Amount]]&gt;=1000,"High",(IF(Table15678[[#This Row],[Total Amount]]&gt;=500,"Medium","Low")))</f>
        <v>High</v>
      </c>
      <c r="M757" s="4" t="str" cm="1">
        <f t="array" ref="M75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57" s="4" cm="1">
        <f t="array" ref="N75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240</v>
      </c>
      <c r="O757" s="4">
        <f>Table15678[[#This Row],[Total Amount]]-Table15678[[#This Row],[Discount Amount]]</f>
        <v>960</v>
      </c>
      <c r="P757" s="4" t="str">
        <f>IF(Table15678[[#This Row],[Total Amount]]&gt;=1000,"High","Low")</f>
        <v>High</v>
      </c>
      <c r="Q757" s="4" t="str" cm="1">
        <f t="array" ref="Q757">_xlfn.IFS(AND(Table15678[[#This Row],[Total Amount]]&gt;=1500,"Critical"),AND(Table15678[[#This Row],[Total Amount]]&gt;=1000,"High"),TRUE,"Normal")</f>
        <v>Normal</v>
      </c>
      <c r="R757" s="4" t="str">
        <f>CONCATENATE(Table15678[[#This Row],[Customer ID]], "-",Table15678[[#This Row],[Age]])</f>
        <v>CUST756-62</v>
      </c>
      <c r="S757" s="4" t="str">
        <f>TEXT(Table15678[[#This Row],[Date]],"mmm")</f>
        <v>Aug</v>
      </c>
      <c r="T757" s="4" t="str">
        <f>TEXT(Table15678[[#This Row],[Date]],"DDD")</f>
        <v>Sun</v>
      </c>
    </row>
    <row r="758" spans="1:20" ht="29" x14ac:dyDescent="0.35">
      <c r="A758" s="4">
        <v>757</v>
      </c>
      <c r="B758" s="5">
        <v>45285</v>
      </c>
      <c r="C758" s="4" t="s">
        <v>770</v>
      </c>
      <c r="D758" s="4" t="s">
        <v>13</v>
      </c>
      <c r="E758" s="4">
        <v>43</v>
      </c>
      <c r="F758" s="4" t="str">
        <f>IF(Table15678[[#This Row],[Age]]&lt;=19,"Teenager",IF(Table15678[[#This Row],[Age]]&lt;=40,"Median","Old"))</f>
        <v>Old</v>
      </c>
      <c r="G758" s="4" t="s">
        <v>16</v>
      </c>
      <c r="H758" s="4">
        <v>4</v>
      </c>
      <c r="I758" s="4">
        <v>300</v>
      </c>
      <c r="J758" s="4">
        <v>1200</v>
      </c>
      <c r="K758" s="4" t="str" cm="1">
        <f t="array" ref="K758">_xlfn.IFS(AND(Table15678[[#This Row],[Total Amount]]&gt;=1500),"Critical",AND(Table15678[[#This Row],[Total Amount]]&gt;=1000),"High",TRUE,"Normal")</f>
        <v>High</v>
      </c>
      <c r="L758" s="4" t="str">
        <f>IF(Table15678[[#This Row],[Total Amount]]&gt;=1000,"High",(IF(Table15678[[#This Row],[Total Amount]]&gt;=500,"Medium","Low")))</f>
        <v>High</v>
      </c>
      <c r="M758" s="4" t="str" cm="1">
        <f t="array" ref="M75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58" s="4" cm="1">
        <f t="array" ref="N75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240</v>
      </c>
      <c r="O758" s="4">
        <f>Table15678[[#This Row],[Total Amount]]-Table15678[[#This Row],[Discount Amount]]</f>
        <v>960</v>
      </c>
      <c r="P758" s="4" t="str">
        <f>IF(Table15678[[#This Row],[Total Amount]]&gt;=1000,"High","Low")</f>
        <v>High</v>
      </c>
      <c r="Q758" s="4" t="str" cm="1">
        <f t="array" ref="Q758">_xlfn.IFS(AND(Table15678[[#This Row],[Total Amount]]&gt;=1500,"Critical"),AND(Table15678[[#This Row],[Total Amount]]&gt;=1000,"High"),TRUE,"Normal")</f>
        <v>Normal</v>
      </c>
      <c r="R758" s="4" t="str">
        <f>CONCATENATE(Table15678[[#This Row],[Customer ID]], "-",Table15678[[#This Row],[Age]])</f>
        <v>CUST757-43</v>
      </c>
      <c r="S758" s="4" t="str">
        <f>TEXT(Table15678[[#This Row],[Date]],"mmm")</f>
        <v>Dec</v>
      </c>
      <c r="T758" s="4" t="str">
        <f>TEXT(Table15678[[#This Row],[Date]],"DDD")</f>
        <v>Mon</v>
      </c>
    </row>
    <row r="759" spans="1:20" ht="29" x14ac:dyDescent="0.35">
      <c r="A759" s="4">
        <v>758</v>
      </c>
      <c r="B759" s="5">
        <v>45058</v>
      </c>
      <c r="C759" s="4" t="s">
        <v>771</v>
      </c>
      <c r="D759" s="4" t="s">
        <v>10</v>
      </c>
      <c r="E759" s="4">
        <v>64</v>
      </c>
      <c r="F759" s="4" t="str">
        <f>IF(Table15678[[#This Row],[Age]]&lt;=19,"Teenager",IF(Table15678[[#This Row],[Age]]&lt;=40,"Median","Old"))</f>
        <v>Old</v>
      </c>
      <c r="G759" s="4" t="s">
        <v>14</v>
      </c>
      <c r="H759" s="4">
        <v>4</v>
      </c>
      <c r="I759" s="4">
        <v>25</v>
      </c>
      <c r="J759" s="4">
        <v>100</v>
      </c>
      <c r="K759" s="4" t="str" cm="1">
        <f t="array" ref="K759">_xlfn.IFS(AND(Table15678[[#This Row],[Total Amount]]&gt;=1500),"Critical",AND(Table15678[[#This Row],[Total Amount]]&gt;=1000),"High",TRUE,"Normal")</f>
        <v>Normal</v>
      </c>
      <c r="L759" s="4" t="str">
        <f>IF(Table15678[[#This Row],[Total Amount]]&gt;=1000,"High",(IF(Table15678[[#This Row],[Total Amount]]&gt;=500,"Medium","Low")))</f>
        <v>Low</v>
      </c>
      <c r="M759" s="4" t="str" cm="1">
        <f t="array" ref="M75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59" s="4" cm="1">
        <f t="array" ref="N75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759" s="4">
        <f>Table15678[[#This Row],[Total Amount]]-Table15678[[#This Row],[Discount Amount]]</f>
        <v>90</v>
      </c>
      <c r="P759" s="4" t="str">
        <f>IF(Table15678[[#This Row],[Total Amount]]&gt;=1000,"High","Low")</f>
        <v>Low</v>
      </c>
      <c r="Q759" s="4" t="str" cm="1">
        <f t="array" ref="Q759">_xlfn.IFS(AND(Table15678[[#This Row],[Total Amount]]&gt;=1500,"Critical"),AND(Table15678[[#This Row],[Total Amount]]&gt;=1000,"High"),TRUE,"Normal")</f>
        <v>Normal</v>
      </c>
      <c r="R759" s="4" t="str">
        <f>CONCATENATE(Table15678[[#This Row],[Customer ID]], "-",Table15678[[#This Row],[Age]])</f>
        <v>CUST758-64</v>
      </c>
      <c r="S759" s="4" t="str">
        <f>TEXT(Table15678[[#This Row],[Date]],"mmm")</f>
        <v>May</v>
      </c>
      <c r="T759" s="4" t="str">
        <f>TEXT(Table15678[[#This Row],[Date]],"DDD")</f>
        <v>Fri</v>
      </c>
    </row>
    <row r="760" spans="1:20" ht="29" x14ac:dyDescent="0.35">
      <c r="A760" s="4">
        <v>759</v>
      </c>
      <c r="B760" s="5">
        <v>45115</v>
      </c>
      <c r="C760" s="4" t="s">
        <v>772</v>
      </c>
      <c r="D760" s="4" t="s">
        <v>10</v>
      </c>
      <c r="E760" s="4">
        <v>49</v>
      </c>
      <c r="F760" s="4" t="str">
        <f>IF(Table15678[[#This Row],[Age]]&lt;=19,"Teenager",IF(Table15678[[#This Row],[Age]]&lt;=40,"Median","Old"))</f>
        <v>Old</v>
      </c>
      <c r="G760" s="4" t="s">
        <v>16</v>
      </c>
      <c r="H760" s="4">
        <v>2</v>
      </c>
      <c r="I760" s="4">
        <v>50</v>
      </c>
      <c r="J760" s="4">
        <v>100</v>
      </c>
      <c r="K760" s="4" t="str" cm="1">
        <f t="array" ref="K760">_xlfn.IFS(AND(Table15678[[#This Row],[Total Amount]]&gt;=1500),"Critical",AND(Table15678[[#This Row],[Total Amount]]&gt;=1000),"High",TRUE,"Normal")</f>
        <v>Normal</v>
      </c>
      <c r="L760" s="4" t="str">
        <f>IF(Table15678[[#This Row],[Total Amount]]&gt;=1000,"High",(IF(Table15678[[#This Row],[Total Amount]]&gt;=500,"Medium","Low")))</f>
        <v>Low</v>
      </c>
      <c r="M760" s="4" t="str" cm="1">
        <f t="array" ref="M76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60" s="4" cm="1">
        <f t="array" ref="N76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760" s="4">
        <f>Table15678[[#This Row],[Total Amount]]-Table15678[[#This Row],[Discount Amount]]</f>
        <v>90</v>
      </c>
      <c r="P760" s="4" t="str">
        <f>IF(Table15678[[#This Row],[Total Amount]]&gt;=1000,"High","Low")</f>
        <v>Low</v>
      </c>
      <c r="Q760" s="4" t="str" cm="1">
        <f t="array" ref="Q760">_xlfn.IFS(AND(Table15678[[#This Row],[Total Amount]]&gt;=1500,"Critical"),AND(Table15678[[#This Row],[Total Amount]]&gt;=1000,"High"),TRUE,"Normal")</f>
        <v>Normal</v>
      </c>
      <c r="R760" s="4" t="str">
        <f>CONCATENATE(Table15678[[#This Row],[Customer ID]], "-",Table15678[[#This Row],[Age]])</f>
        <v>CUST759-49</v>
      </c>
      <c r="S760" s="4" t="str">
        <f>TEXT(Table15678[[#This Row],[Date]],"mmm")</f>
        <v>Jul</v>
      </c>
      <c r="T760" s="4" t="str">
        <f>TEXT(Table15678[[#This Row],[Date]],"DDD")</f>
        <v>Sat</v>
      </c>
    </row>
    <row r="761" spans="1:20" ht="29" x14ac:dyDescent="0.35">
      <c r="A761" s="4">
        <v>760</v>
      </c>
      <c r="B761" s="5">
        <v>45012</v>
      </c>
      <c r="C761" s="4" t="s">
        <v>773</v>
      </c>
      <c r="D761" s="4" t="s">
        <v>10</v>
      </c>
      <c r="E761" s="4">
        <v>27</v>
      </c>
      <c r="F761" s="4" t="str">
        <f>IF(Table15678[[#This Row],[Age]]&lt;=19,"Teenager",IF(Table15678[[#This Row],[Age]]&lt;=40,"Median","Old"))</f>
        <v>Median</v>
      </c>
      <c r="G761" s="4" t="s">
        <v>11</v>
      </c>
      <c r="H761" s="4">
        <v>1</v>
      </c>
      <c r="I761" s="4">
        <v>500</v>
      </c>
      <c r="J761" s="4">
        <v>500</v>
      </c>
      <c r="K761" s="4" t="str" cm="1">
        <f t="array" ref="K761">_xlfn.IFS(AND(Table15678[[#This Row],[Total Amount]]&gt;=1500),"Critical",AND(Table15678[[#This Row],[Total Amount]]&gt;=1000),"High",TRUE,"Normal")</f>
        <v>Normal</v>
      </c>
      <c r="L761" s="4" t="str">
        <f>IF(Table15678[[#This Row],[Total Amount]]&gt;=1000,"High",(IF(Table15678[[#This Row],[Total Amount]]&gt;=500,"Medium","Low")))</f>
        <v>Medium</v>
      </c>
      <c r="M761" s="4" t="str" cm="1">
        <f t="array" ref="M76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61" s="4" cm="1">
        <f t="array" ref="N76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75</v>
      </c>
      <c r="O761" s="4">
        <f>Table15678[[#This Row],[Total Amount]]-Table15678[[#This Row],[Discount Amount]]</f>
        <v>425</v>
      </c>
      <c r="P761" s="4" t="str">
        <f>IF(Table15678[[#This Row],[Total Amount]]&gt;=1000,"High","Low")</f>
        <v>Low</v>
      </c>
      <c r="Q761" s="4" t="str" cm="1">
        <f t="array" ref="Q761">_xlfn.IFS(AND(Table15678[[#This Row],[Total Amount]]&gt;=1500,"Critical"),AND(Table15678[[#This Row],[Total Amount]]&gt;=1000,"High"),TRUE,"Normal")</f>
        <v>Normal</v>
      </c>
      <c r="R761" s="4" t="str">
        <f>CONCATENATE(Table15678[[#This Row],[Customer ID]], "-",Table15678[[#This Row],[Age]])</f>
        <v>CUST760-27</v>
      </c>
      <c r="S761" s="4" t="str">
        <f>TEXT(Table15678[[#This Row],[Date]],"mmm")</f>
        <v>Mar</v>
      </c>
      <c r="T761" s="4" t="str">
        <f>TEXT(Table15678[[#This Row],[Date]],"DDD")</f>
        <v>Mon</v>
      </c>
    </row>
    <row r="762" spans="1:20" ht="29" x14ac:dyDescent="0.35">
      <c r="A762" s="4">
        <v>761</v>
      </c>
      <c r="B762" s="5">
        <v>45237</v>
      </c>
      <c r="C762" s="4" t="s">
        <v>774</v>
      </c>
      <c r="D762" s="4" t="s">
        <v>13</v>
      </c>
      <c r="E762" s="4">
        <v>33</v>
      </c>
      <c r="F762" s="4" t="str">
        <f>IF(Table15678[[#This Row],[Age]]&lt;=19,"Teenager",IF(Table15678[[#This Row],[Age]]&lt;=40,"Median","Old"))</f>
        <v>Median</v>
      </c>
      <c r="G762" s="4" t="s">
        <v>14</v>
      </c>
      <c r="H762" s="4">
        <v>1</v>
      </c>
      <c r="I762" s="4">
        <v>500</v>
      </c>
      <c r="J762" s="4">
        <v>500</v>
      </c>
      <c r="K762" s="4" t="str" cm="1">
        <f t="array" ref="K762">_xlfn.IFS(AND(Table15678[[#This Row],[Total Amount]]&gt;=1500),"Critical",AND(Table15678[[#This Row],[Total Amount]]&gt;=1000),"High",TRUE,"Normal")</f>
        <v>Normal</v>
      </c>
      <c r="L762" s="4" t="str">
        <f>IF(Table15678[[#This Row],[Total Amount]]&gt;=1000,"High",(IF(Table15678[[#This Row],[Total Amount]]&gt;=500,"Medium","Low")))</f>
        <v>Medium</v>
      </c>
      <c r="M762" s="4" t="str" cm="1">
        <f t="array" ref="M76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62" s="4" cm="1">
        <f t="array" ref="N76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75</v>
      </c>
      <c r="O762" s="4">
        <f>Table15678[[#This Row],[Total Amount]]-Table15678[[#This Row],[Discount Amount]]</f>
        <v>425</v>
      </c>
      <c r="P762" s="4" t="str">
        <f>IF(Table15678[[#This Row],[Total Amount]]&gt;=1000,"High","Low")</f>
        <v>Low</v>
      </c>
      <c r="Q762" s="4" t="str" cm="1">
        <f t="array" ref="Q762">_xlfn.IFS(AND(Table15678[[#This Row],[Total Amount]]&gt;=1500,"Critical"),AND(Table15678[[#This Row],[Total Amount]]&gt;=1000,"High"),TRUE,"Normal")</f>
        <v>Normal</v>
      </c>
      <c r="R762" s="4" t="str">
        <f>CONCATENATE(Table15678[[#This Row],[Customer ID]], "-",Table15678[[#This Row],[Age]])</f>
        <v>CUST761-33</v>
      </c>
      <c r="S762" s="4" t="str">
        <f>TEXT(Table15678[[#This Row],[Date]],"mmm")</f>
        <v>Nov</v>
      </c>
      <c r="T762" s="4" t="str">
        <f>TEXT(Table15678[[#This Row],[Date]],"DDD")</f>
        <v>Tue</v>
      </c>
    </row>
    <row r="763" spans="1:20" ht="29" x14ac:dyDescent="0.35">
      <c r="A763" s="4">
        <v>762</v>
      </c>
      <c r="B763" s="5">
        <v>45237</v>
      </c>
      <c r="C763" s="4" t="s">
        <v>775</v>
      </c>
      <c r="D763" s="4" t="s">
        <v>13</v>
      </c>
      <c r="E763" s="4">
        <v>24</v>
      </c>
      <c r="F763" s="4" t="str">
        <f>IF(Table15678[[#This Row],[Age]]&lt;=19,"Teenager",IF(Table15678[[#This Row],[Age]]&lt;=40,"Median","Old"))</f>
        <v>Median</v>
      </c>
      <c r="G763" s="4" t="s">
        <v>16</v>
      </c>
      <c r="H763" s="4">
        <v>2</v>
      </c>
      <c r="I763" s="4">
        <v>25</v>
      </c>
      <c r="J763" s="4">
        <v>50</v>
      </c>
      <c r="K763" s="4" t="str" cm="1">
        <f t="array" ref="K763">_xlfn.IFS(AND(Table15678[[#This Row],[Total Amount]]&gt;=1500),"Critical",AND(Table15678[[#This Row],[Total Amount]]&gt;=1000),"High",TRUE,"Normal")</f>
        <v>Normal</v>
      </c>
      <c r="L763" s="4" t="str">
        <f>IF(Table15678[[#This Row],[Total Amount]]&gt;=1000,"High",(IF(Table15678[[#This Row],[Total Amount]]&gt;=500,"Medium","Low")))</f>
        <v>Low</v>
      </c>
      <c r="M763" s="4" t="str" cm="1">
        <f t="array" ref="M76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763" s="4" cm="1">
        <f t="array" ref="N76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763" s="4">
        <f>Table15678[[#This Row],[Total Amount]]-Table15678[[#This Row],[Discount Amount]]</f>
        <v>50</v>
      </c>
      <c r="P763" s="4" t="str">
        <f>IF(Table15678[[#This Row],[Total Amount]]&gt;=1000,"High","Low")</f>
        <v>Low</v>
      </c>
      <c r="Q763" s="4" t="str" cm="1">
        <f t="array" ref="Q763">_xlfn.IFS(AND(Table15678[[#This Row],[Total Amount]]&gt;=1500,"Critical"),AND(Table15678[[#This Row],[Total Amount]]&gt;=1000,"High"),TRUE,"Normal")</f>
        <v>Normal</v>
      </c>
      <c r="R763" s="4" t="str">
        <f>CONCATENATE(Table15678[[#This Row],[Customer ID]], "-",Table15678[[#This Row],[Age]])</f>
        <v>CUST762-24</v>
      </c>
      <c r="S763" s="4" t="str">
        <f>TEXT(Table15678[[#This Row],[Date]],"mmm")</f>
        <v>Nov</v>
      </c>
      <c r="T763" s="4" t="str">
        <f>TEXT(Table15678[[#This Row],[Date]],"DDD")</f>
        <v>Tue</v>
      </c>
    </row>
    <row r="764" spans="1:20" ht="29" x14ac:dyDescent="0.35">
      <c r="A764" s="4">
        <v>763</v>
      </c>
      <c r="B764" s="5">
        <v>44985</v>
      </c>
      <c r="C764" s="4" t="s">
        <v>776</v>
      </c>
      <c r="D764" s="4" t="s">
        <v>10</v>
      </c>
      <c r="E764" s="4">
        <v>34</v>
      </c>
      <c r="F764" s="4" t="str">
        <f>IF(Table15678[[#This Row],[Age]]&lt;=19,"Teenager",IF(Table15678[[#This Row],[Age]]&lt;=40,"Median","Old"))</f>
        <v>Median</v>
      </c>
      <c r="G764" s="4" t="s">
        <v>14</v>
      </c>
      <c r="H764" s="4">
        <v>2</v>
      </c>
      <c r="I764" s="4">
        <v>25</v>
      </c>
      <c r="J764" s="4">
        <v>50</v>
      </c>
      <c r="K764" s="4" t="str" cm="1">
        <f t="array" ref="K764">_xlfn.IFS(AND(Table15678[[#This Row],[Total Amount]]&gt;=1500),"Critical",AND(Table15678[[#This Row],[Total Amount]]&gt;=1000),"High",TRUE,"Normal")</f>
        <v>Normal</v>
      </c>
      <c r="L764" s="4" t="str">
        <f>IF(Table15678[[#This Row],[Total Amount]]&gt;=1000,"High",(IF(Table15678[[#This Row],[Total Amount]]&gt;=500,"Medium","Low")))</f>
        <v>Low</v>
      </c>
      <c r="M764" s="4" t="str" cm="1">
        <f t="array" ref="M76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64" s="4" cm="1">
        <f t="array" ref="N76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764" s="4">
        <f>Table15678[[#This Row],[Total Amount]]-Table15678[[#This Row],[Discount Amount]]</f>
        <v>42.5</v>
      </c>
      <c r="P764" s="4" t="str">
        <f>IF(Table15678[[#This Row],[Total Amount]]&gt;=1000,"High","Low")</f>
        <v>Low</v>
      </c>
      <c r="Q764" s="4" t="str" cm="1">
        <f t="array" ref="Q764">_xlfn.IFS(AND(Table15678[[#This Row],[Total Amount]]&gt;=1500,"Critical"),AND(Table15678[[#This Row],[Total Amount]]&gt;=1000,"High"),TRUE,"Normal")</f>
        <v>Normal</v>
      </c>
      <c r="R764" s="4" t="str">
        <f>CONCATENATE(Table15678[[#This Row],[Customer ID]], "-",Table15678[[#This Row],[Age]])</f>
        <v>CUST763-34</v>
      </c>
      <c r="S764" s="4" t="str">
        <f>TEXT(Table15678[[#This Row],[Date]],"mmm")</f>
        <v>Feb</v>
      </c>
      <c r="T764" s="4" t="str">
        <f>TEXT(Table15678[[#This Row],[Date]],"DDD")</f>
        <v>Tue</v>
      </c>
    </row>
    <row r="765" spans="1:20" ht="29" x14ac:dyDescent="0.35">
      <c r="A765" s="4">
        <v>764</v>
      </c>
      <c r="B765" s="5">
        <v>45010</v>
      </c>
      <c r="C765" s="4" t="s">
        <v>777</v>
      </c>
      <c r="D765" s="4" t="s">
        <v>13</v>
      </c>
      <c r="E765" s="4">
        <v>40</v>
      </c>
      <c r="F765" s="4" t="str">
        <f>IF(Table15678[[#This Row],[Age]]&lt;=19,"Teenager",IF(Table15678[[#This Row],[Age]]&lt;=40,"Median","Old"))</f>
        <v>Median</v>
      </c>
      <c r="G765" s="4" t="s">
        <v>14</v>
      </c>
      <c r="H765" s="4">
        <v>1</v>
      </c>
      <c r="I765" s="4">
        <v>25</v>
      </c>
      <c r="J765" s="4">
        <v>25</v>
      </c>
      <c r="K765" s="4" t="str" cm="1">
        <f t="array" ref="K765">_xlfn.IFS(AND(Table15678[[#This Row],[Total Amount]]&gt;=1500),"Critical",AND(Table15678[[#This Row],[Total Amount]]&gt;=1000),"High",TRUE,"Normal")</f>
        <v>Normal</v>
      </c>
      <c r="L765" s="4" t="str">
        <f>IF(Table15678[[#This Row],[Total Amount]]&gt;=1000,"High",(IF(Table15678[[#This Row],[Total Amount]]&gt;=500,"Medium","Low")))</f>
        <v>Low</v>
      </c>
      <c r="M765" s="4" t="str" cm="1">
        <f t="array" ref="M76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65" s="4" cm="1">
        <f t="array" ref="N76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765" s="4">
        <f>Table15678[[#This Row],[Total Amount]]-Table15678[[#This Row],[Discount Amount]]</f>
        <v>20</v>
      </c>
      <c r="P765" s="4" t="str">
        <f>IF(Table15678[[#This Row],[Total Amount]]&gt;=1000,"High","Low")</f>
        <v>Low</v>
      </c>
      <c r="Q765" s="4" t="str" cm="1">
        <f t="array" ref="Q765">_xlfn.IFS(AND(Table15678[[#This Row],[Total Amount]]&gt;=1500,"Critical"),AND(Table15678[[#This Row],[Total Amount]]&gt;=1000,"High"),TRUE,"Normal")</f>
        <v>Normal</v>
      </c>
      <c r="R765" s="4" t="str">
        <f>CONCATENATE(Table15678[[#This Row],[Customer ID]], "-",Table15678[[#This Row],[Age]])</f>
        <v>CUST764-40</v>
      </c>
      <c r="S765" s="4" t="str">
        <f>TEXT(Table15678[[#This Row],[Date]],"mmm")</f>
        <v>Mar</v>
      </c>
      <c r="T765" s="4" t="str">
        <f>TEXT(Table15678[[#This Row],[Date]],"DDD")</f>
        <v>Sat</v>
      </c>
    </row>
    <row r="766" spans="1:20" ht="29" x14ac:dyDescent="0.35">
      <c r="A766" s="4">
        <v>765</v>
      </c>
      <c r="B766" s="5">
        <v>45086</v>
      </c>
      <c r="C766" s="4" t="s">
        <v>778</v>
      </c>
      <c r="D766" s="4" t="s">
        <v>10</v>
      </c>
      <c r="E766" s="4">
        <v>43</v>
      </c>
      <c r="F766" s="4" t="str">
        <f>IF(Table15678[[#This Row],[Age]]&lt;=19,"Teenager",IF(Table15678[[#This Row],[Age]]&lt;=40,"Median","Old"))</f>
        <v>Old</v>
      </c>
      <c r="G766" s="4" t="s">
        <v>14</v>
      </c>
      <c r="H766" s="4">
        <v>4</v>
      </c>
      <c r="I766" s="4">
        <v>50</v>
      </c>
      <c r="J766" s="4">
        <v>200</v>
      </c>
      <c r="K766" s="4" t="str" cm="1">
        <f t="array" ref="K766">_xlfn.IFS(AND(Table15678[[#This Row],[Total Amount]]&gt;=1500),"Critical",AND(Table15678[[#This Row],[Total Amount]]&gt;=1000),"High",TRUE,"Normal")</f>
        <v>Normal</v>
      </c>
      <c r="L766" s="4" t="str">
        <f>IF(Table15678[[#This Row],[Total Amount]]&gt;=1000,"High",(IF(Table15678[[#This Row],[Total Amount]]&gt;=500,"Medium","Low")))</f>
        <v>Low</v>
      </c>
      <c r="M766" s="4" t="str" cm="1">
        <f t="array" ref="M76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66" s="4" cm="1">
        <f t="array" ref="N76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766" s="4">
        <f>Table15678[[#This Row],[Total Amount]]-Table15678[[#This Row],[Discount Amount]]</f>
        <v>180</v>
      </c>
      <c r="P766" s="4" t="str">
        <f>IF(Table15678[[#This Row],[Total Amount]]&gt;=1000,"High","Low")</f>
        <v>Low</v>
      </c>
      <c r="Q766" s="4" t="str" cm="1">
        <f t="array" ref="Q766">_xlfn.IFS(AND(Table15678[[#This Row],[Total Amount]]&gt;=1500,"Critical"),AND(Table15678[[#This Row],[Total Amount]]&gt;=1000,"High"),TRUE,"Normal")</f>
        <v>Normal</v>
      </c>
      <c r="R766" s="4" t="str">
        <f>CONCATENATE(Table15678[[#This Row],[Customer ID]], "-",Table15678[[#This Row],[Age]])</f>
        <v>CUST765-43</v>
      </c>
      <c r="S766" s="4" t="str">
        <f>TEXT(Table15678[[#This Row],[Date]],"mmm")</f>
        <v>Jun</v>
      </c>
      <c r="T766" s="4" t="str">
        <f>TEXT(Table15678[[#This Row],[Date]],"DDD")</f>
        <v>Fri</v>
      </c>
    </row>
    <row r="767" spans="1:20" ht="29" x14ac:dyDescent="0.35">
      <c r="A767" s="4">
        <v>766</v>
      </c>
      <c r="B767" s="5">
        <v>44982</v>
      </c>
      <c r="C767" s="4" t="s">
        <v>779</v>
      </c>
      <c r="D767" s="4" t="s">
        <v>10</v>
      </c>
      <c r="E767" s="4">
        <v>38</v>
      </c>
      <c r="F767" s="4" t="str">
        <f>IF(Table15678[[#This Row],[Age]]&lt;=19,"Teenager",IF(Table15678[[#This Row],[Age]]&lt;=40,"Median","Old"))</f>
        <v>Median</v>
      </c>
      <c r="G767" s="4" t="s">
        <v>16</v>
      </c>
      <c r="H767" s="4">
        <v>3</v>
      </c>
      <c r="I767" s="4">
        <v>300</v>
      </c>
      <c r="J767" s="4">
        <v>900</v>
      </c>
      <c r="K767" s="4" t="str" cm="1">
        <f t="array" ref="K767">_xlfn.IFS(AND(Table15678[[#This Row],[Total Amount]]&gt;=1500),"Critical",AND(Table15678[[#This Row],[Total Amount]]&gt;=1000),"High",TRUE,"Normal")</f>
        <v>Normal</v>
      </c>
      <c r="L767" s="4" t="str">
        <f>IF(Table15678[[#This Row],[Total Amount]]&gt;=1000,"High",(IF(Table15678[[#This Row],[Total Amount]]&gt;=500,"Medium","Low")))</f>
        <v>Medium</v>
      </c>
      <c r="M767" s="4" t="str" cm="1">
        <f t="array" ref="M76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67" s="4" cm="1">
        <f t="array" ref="N76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767" s="4">
        <f>Table15678[[#This Row],[Total Amount]]-Table15678[[#This Row],[Discount Amount]]</f>
        <v>810</v>
      </c>
      <c r="P767" s="4" t="str">
        <f>IF(Table15678[[#This Row],[Total Amount]]&gt;=1000,"High","Low")</f>
        <v>Low</v>
      </c>
      <c r="Q767" s="4" t="str" cm="1">
        <f t="array" ref="Q767">_xlfn.IFS(AND(Table15678[[#This Row],[Total Amount]]&gt;=1500,"Critical"),AND(Table15678[[#This Row],[Total Amount]]&gt;=1000,"High"),TRUE,"Normal")</f>
        <v>Normal</v>
      </c>
      <c r="R767" s="4" t="str">
        <f>CONCATENATE(Table15678[[#This Row],[Customer ID]], "-",Table15678[[#This Row],[Age]])</f>
        <v>CUST766-38</v>
      </c>
      <c r="S767" s="4" t="str">
        <f>TEXT(Table15678[[#This Row],[Date]],"mmm")</f>
        <v>Feb</v>
      </c>
      <c r="T767" s="4" t="str">
        <f>TEXT(Table15678[[#This Row],[Date]],"DDD")</f>
        <v>Sat</v>
      </c>
    </row>
    <row r="768" spans="1:20" ht="29" x14ac:dyDescent="0.35">
      <c r="A768" s="4">
        <v>767</v>
      </c>
      <c r="B768" s="5">
        <v>45223</v>
      </c>
      <c r="C768" s="4" t="s">
        <v>780</v>
      </c>
      <c r="D768" s="4" t="s">
        <v>10</v>
      </c>
      <c r="E768" s="4">
        <v>39</v>
      </c>
      <c r="F768" s="4" t="str">
        <f>IF(Table15678[[#This Row],[Age]]&lt;=19,"Teenager",IF(Table15678[[#This Row],[Age]]&lt;=40,"Median","Old"))</f>
        <v>Median</v>
      </c>
      <c r="G768" s="4" t="s">
        <v>11</v>
      </c>
      <c r="H768" s="4">
        <v>3</v>
      </c>
      <c r="I768" s="4">
        <v>25</v>
      </c>
      <c r="J768" s="4">
        <v>75</v>
      </c>
      <c r="K768" s="4" t="str" cm="1">
        <f t="array" ref="K768">_xlfn.IFS(AND(Table15678[[#This Row],[Total Amount]]&gt;=1500),"Critical",AND(Table15678[[#This Row],[Total Amount]]&gt;=1000),"High",TRUE,"Normal")</f>
        <v>Normal</v>
      </c>
      <c r="L768" s="4" t="str">
        <f>IF(Table15678[[#This Row],[Total Amount]]&gt;=1000,"High",(IF(Table15678[[#This Row],[Total Amount]]&gt;=500,"Medium","Low")))</f>
        <v>Low</v>
      </c>
      <c r="M768" s="4" t="str" cm="1">
        <f t="array" ref="M76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68" s="4" cm="1">
        <f t="array" ref="N76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768" s="4">
        <f>Table15678[[#This Row],[Total Amount]]-Table15678[[#This Row],[Discount Amount]]</f>
        <v>67.5</v>
      </c>
      <c r="P768" s="4" t="str">
        <f>IF(Table15678[[#This Row],[Total Amount]]&gt;=1000,"High","Low")</f>
        <v>Low</v>
      </c>
      <c r="Q768" s="4" t="str" cm="1">
        <f t="array" ref="Q768">_xlfn.IFS(AND(Table15678[[#This Row],[Total Amount]]&gt;=1500,"Critical"),AND(Table15678[[#This Row],[Total Amount]]&gt;=1000,"High"),TRUE,"Normal")</f>
        <v>Normal</v>
      </c>
      <c r="R768" s="4" t="str">
        <f>CONCATENATE(Table15678[[#This Row],[Customer ID]], "-",Table15678[[#This Row],[Age]])</f>
        <v>CUST767-39</v>
      </c>
      <c r="S768" s="4" t="str">
        <f>TEXT(Table15678[[#This Row],[Date]],"mmm")</f>
        <v>Oct</v>
      </c>
      <c r="T768" s="4" t="str">
        <f>TEXT(Table15678[[#This Row],[Date]],"DDD")</f>
        <v>Tue</v>
      </c>
    </row>
    <row r="769" spans="1:20" ht="29" x14ac:dyDescent="0.35">
      <c r="A769" s="4">
        <v>768</v>
      </c>
      <c r="B769" s="5">
        <v>44940</v>
      </c>
      <c r="C769" s="4" t="s">
        <v>781</v>
      </c>
      <c r="D769" s="4" t="s">
        <v>13</v>
      </c>
      <c r="E769" s="4">
        <v>24</v>
      </c>
      <c r="F769" s="4" t="str">
        <f>IF(Table15678[[#This Row],[Age]]&lt;=19,"Teenager",IF(Table15678[[#This Row],[Age]]&lt;=40,"Median","Old"))</f>
        <v>Median</v>
      </c>
      <c r="G769" s="4" t="s">
        <v>11</v>
      </c>
      <c r="H769" s="4">
        <v>3</v>
      </c>
      <c r="I769" s="4">
        <v>25</v>
      </c>
      <c r="J769" s="4">
        <v>75</v>
      </c>
      <c r="K769" s="4" t="str" cm="1">
        <f t="array" ref="K769">_xlfn.IFS(AND(Table15678[[#This Row],[Total Amount]]&gt;=1500),"Critical",AND(Table15678[[#This Row],[Total Amount]]&gt;=1000),"High",TRUE,"Normal")</f>
        <v>Normal</v>
      </c>
      <c r="L769" s="4" t="str">
        <f>IF(Table15678[[#This Row],[Total Amount]]&gt;=1000,"High",(IF(Table15678[[#This Row],[Total Amount]]&gt;=500,"Medium","Low")))</f>
        <v>Low</v>
      </c>
      <c r="M769" s="4" t="str" cm="1">
        <f t="array" ref="M76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769" s="4" cm="1">
        <f t="array" ref="N76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769" s="4">
        <f>Table15678[[#This Row],[Total Amount]]-Table15678[[#This Row],[Discount Amount]]</f>
        <v>75</v>
      </c>
      <c r="P769" s="4" t="str">
        <f>IF(Table15678[[#This Row],[Total Amount]]&gt;=1000,"High","Low")</f>
        <v>Low</v>
      </c>
      <c r="Q769" s="4" t="str" cm="1">
        <f t="array" ref="Q769">_xlfn.IFS(AND(Table15678[[#This Row],[Total Amount]]&gt;=1500,"Critical"),AND(Table15678[[#This Row],[Total Amount]]&gt;=1000,"High"),TRUE,"Normal")</f>
        <v>Normal</v>
      </c>
      <c r="R769" s="4" t="str">
        <f>CONCATENATE(Table15678[[#This Row],[Customer ID]], "-",Table15678[[#This Row],[Age]])</f>
        <v>CUST768-24</v>
      </c>
      <c r="S769" s="4" t="str">
        <f>TEXT(Table15678[[#This Row],[Date]],"mmm")</f>
        <v>Jan</v>
      </c>
      <c r="T769" s="4" t="str">
        <f>TEXT(Table15678[[#This Row],[Date]],"DDD")</f>
        <v>Sat</v>
      </c>
    </row>
    <row r="770" spans="1:20" ht="29" x14ac:dyDescent="0.35">
      <c r="A770" s="4">
        <v>769</v>
      </c>
      <c r="B770" s="5">
        <v>45086</v>
      </c>
      <c r="C770" s="4" t="s">
        <v>782</v>
      </c>
      <c r="D770" s="4" t="s">
        <v>13</v>
      </c>
      <c r="E770" s="4">
        <v>31</v>
      </c>
      <c r="F770" s="4" t="str">
        <f>IF(Table15678[[#This Row],[Age]]&lt;=19,"Teenager",IF(Table15678[[#This Row],[Age]]&lt;=40,"Median","Old"))</f>
        <v>Median</v>
      </c>
      <c r="G770" s="4" t="s">
        <v>16</v>
      </c>
      <c r="H770" s="4">
        <v>4</v>
      </c>
      <c r="I770" s="4">
        <v>30</v>
      </c>
      <c r="J770" s="4">
        <v>120</v>
      </c>
      <c r="K770" s="4" t="str" cm="1">
        <f t="array" ref="K770">_xlfn.IFS(AND(Table15678[[#This Row],[Total Amount]]&gt;=1500),"Critical",AND(Table15678[[#This Row],[Total Amount]]&gt;=1000),"High",TRUE,"Normal")</f>
        <v>Normal</v>
      </c>
      <c r="L770" s="4" t="str">
        <f>IF(Table15678[[#This Row],[Total Amount]]&gt;=1000,"High",(IF(Table15678[[#This Row],[Total Amount]]&gt;=500,"Medium","Low")))</f>
        <v>Low</v>
      </c>
      <c r="M770" s="4" t="str" cm="1">
        <f t="array" ref="M77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70" s="4" cm="1">
        <f t="array" ref="N77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</v>
      </c>
      <c r="O770" s="4">
        <f>Table15678[[#This Row],[Total Amount]]-Table15678[[#This Row],[Discount Amount]]</f>
        <v>102</v>
      </c>
      <c r="P770" s="4" t="str">
        <f>IF(Table15678[[#This Row],[Total Amount]]&gt;=1000,"High","Low")</f>
        <v>Low</v>
      </c>
      <c r="Q770" s="4" t="str" cm="1">
        <f t="array" ref="Q770">_xlfn.IFS(AND(Table15678[[#This Row],[Total Amount]]&gt;=1500,"Critical"),AND(Table15678[[#This Row],[Total Amount]]&gt;=1000,"High"),TRUE,"Normal")</f>
        <v>Normal</v>
      </c>
      <c r="R770" s="4" t="str">
        <f>CONCATENATE(Table15678[[#This Row],[Customer ID]], "-",Table15678[[#This Row],[Age]])</f>
        <v>CUST769-31</v>
      </c>
      <c r="S770" s="4" t="str">
        <f>TEXT(Table15678[[#This Row],[Date]],"mmm")</f>
        <v>Jun</v>
      </c>
      <c r="T770" s="4" t="str">
        <f>TEXT(Table15678[[#This Row],[Date]],"DDD")</f>
        <v>Fri</v>
      </c>
    </row>
    <row r="771" spans="1:20" ht="29" x14ac:dyDescent="0.35">
      <c r="A771" s="4">
        <v>770</v>
      </c>
      <c r="B771" s="5">
        <v>45221</v>
      </c>
      <c r="C771" s="4" t="s">
        <v>783</v>
      </c>
      <c r="D771" s="4" t="s">
        <v>10</v>
      </c>
      <c r="E771" s="4">
        <v>32</v>
      </c>
      <c r="F771" s="4" t="str">
        <f>IF(Table15678[[#This Row],[Age]]&lt;=19,"Teenager",IF(Table15678[[#This Row],[Age]]&lt;=40,"Median","Old"))</f>
        <v>Median</v>
      </c>
      <c r="G771" s="4" t="s">
        <v>14</v>
      </c>
      <c r="H771" s="4">
        <v>1</v>
      </c>
      <c r="I771" s="4">
        <v>50</v>
      </c>
      <c r="J771" s="4">
        <v>50</v>
      </c>
      <c r="K771" s="4" t="str" cm="1">
        <f t="array" ref="K771">_xlfn.IFS(AND(Table15678[[#This Row],[Total Amount]]&gt;=1500),"Critical",AND(Table15678[[#This Row],[Total Amount]]&gt;=1000),"High",TRUE,"Normal")</f>
        <v>Normal</v>
      </c>
      <c r="L771" s="4" t="str">
        <f>IF(Table15678[[#This Row],[Total Amount]]&gt;=1000,"High",(IF(Table15678[[#This Row],[Total Amount]]&gt;=500,"Medium","Low")))</f>
        <v>Low</v>
      </c>
      <c r="M771" s="4" t="str" cm="1">
        <f t="array" ref="M77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71" s="4" cm="1">
        <f t="array" ref="N77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771" s="4">
        <f>Table15678[[#This Row],[Total Amount]]-Table15678[[#This Row],[Discount Amount]]</f>
        <v>42.5</v>
      </c>
      <c r="P771" s="4" t="str">
        <f>IF(Table15678[[#This Row],[Total Amount]]&gt;=1000,"High","Low")</f>
        <v>Low</v>
      </c>
      <c r="Q771" s="4" t="str" cm="1">
        <f t="array" ref="Q771">_xlfn.IFS(AND(Table15678[[#This Row],[Total Amount]]&gt;=1500,"Critical"),AND(Table15678[[#This Row],[Total Amount]]&gt;=1000,"High"),TRUE,"Normal")</f>
        <v>Normal</v>
      </c>
      <c r="R771" s="4" t="str">
        <f>CONCATENATE(Table15678[[#This Row],[Customer ID]], "-",Table15678[[#This Row],[Age]])</f>
        <v>CUST770-32</v>
      </c>
      <c r="S771" s="4" t="str">
        <f>TEXT(Table15678[[#This Row],[Date]],"mmm")</f>
        <v>Oct</v>
      </c>
      <c r="T771" s="4" t="str">
        <f>TEXT(Table15678[[#This Row],[Date]],"DDD")</f>
        <v>Sun</v>
      </c>
    </row>
    <row r="772" spans="1:20" ht="29" x14ac:dyDescent="0.35">
      <c r="A772" s="4">
        <v>771</v>
      </c>
      <c r="B772" s="5">
        <v>45273</v>
      </c>
      <c r="C772" s="4" t="s">
        <v>784</v>
      </c>
      <c r="D772" s="4" t="s">
        <v>10</v>
      </c>
      <c r="E772" s="4">
        <v>24</v>
      </c>
      <c r="F772" s="4" t="str">
        <f>IF(Table15678[[#This Row],[Age]]&lt;=19,"Teenager",IF(Table15678[[#This Row],[Age]]&lt;=40,"Median","Old"))</f>
        <v>Median</v>
      </c>
      <c r="G772" s="4" t="s">
        <v>16</v>
      </c>
      <c r="H772" s="4">
        <v>2</v>
      </c>
      <c r="I772" s="4">
        <v>25</v>
      </c>
      <c r="J772" s="4">
        <v>50</v>
      </c>
      <c r="K772" s="4" t="str" cm="1">
        <f t="array" ref="K772">_xlfn.IFS(AND(Table15678[[#This Row],[Total Amount]]&gt;=1500),"Critical",AND(Table15678[[#This Row],[Total Amount]]&gt;=1000),"High",TRUE,"Normal")</f>
        <v>Normal</v>
      </c>
      <c r="L772" s="4" t="str">
        <f>IF(Table15678[[#This Row],[Total Amount]]&gt;=1000,"High",(IF(Table15678[[#This Row],[Total Amount]]&gt;=500,"Medium","Low")))</f>
        <v>Low</v>
      </c>
      <c r="M772" s="4" t="str" cm="1">
        <f t="array" ref="M77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772" s="4" cm="1">
        <f t="array" ref="N77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772" s="4">
        <f>Table15678[[#This Row],[Total Amount]]-Table15678[[#This Row],[Discount Amount]]</f>
        <v>50</v>
      </c>
      <c r="P772" s="4" t="str">
        <f>IF(Table15678[[#This Row],[Total Amount]]&gt;=1000,"High","Low")</f>
        <v>Low</v>
      </c>
      <c r="Q772" s="4" t="str" cm="1">
        <f t="array" ref="Q772">_xlfn.IFS(AND(Table15678[[#This Row],[Total Amount]]&gt;=1500,"Critical"),AND(Table15678[[#This Row],[Total Amount]]&gt;=1000,"High"),TRUE,"Normal")</f>
        <v>Normal</v>
      </c>
      <c r="R772" s="4" t="str">
        <f>CONCATENATE(Table15678[[#This Row],[Customer ID]], "-",Table15678[[#This Row],[Age]])</f>
        <v>CUST771-24</v>
      </c>
      <c r="S772" s="4" t="str">
        <f>TEXT(Table15678[[#This Row],[Date]],"mmm")</f>
        <v>Dec</v>
      </c>
      <c r="T772" s="4" t="str">
        <f>TEXT(Table15678[[#This Row],[Date]],"DDD")</f>
        <v>Wed</v>
      </c>
    </row>
    <row r="773" spans="1:20" ht="29" x14ac:dyDescent="0.35">
      <c r="A773" s="4">
        <v>772</v>
      </c>
      <c r="B773" s="5">
        <v>45119</v>
      </c>
      <c r="C773" s="4" t="s">
        <v>785</v>
      </c>
      <c r="D773" s="4" t="s">
        <v>10</v>
      </c>
      <c r="E773" s="4">
        <v>26</v>
      </c>
      <c r="F773" s="4" t="str">
        <f>IF(Table15678[[#This Row],[Age]]&lt;=19,"Teenager",IF(Table15678[[#This Row],[Age]]&lt;=40,"Median","Old"))</f>
        <v>Median</v>
      </c>
      <c r="G773" s="4" t="s">
        <v>16</v>
      </c>
      <c r="H773" s="4">
        <v>1</v>
      </c>
      <c r="I773" s="4">
        <v>30</v>
      </c>
      <c r="J773" s="4">
        <v>30</v>
      </c>
      <c r="K773" s="4" t="str" cm="1">
        <f t="array" ref="K773">_xlfn.IFS(AND(Table15678[[#This Row],[Total Amount]]&gt;=1500),"Critical",AND(Table15678[[#This Row],[Total Amount]]&gt;=1000),"High",TRUE,"Normal")</f>
        <v>Normal</v>
      </c>
      <c r="L773" s="4" t="str">
        <f>IF(Table15678[[#This Row],[Total Amount]]&gt;=1000,"High",(IF(Table15678[[#This Row],[Total Amount]]&gt;=500,"Medium","Low")))</f>
        <v>Low</v>
      </c>
      <c r="M773" s="4" t="str" cm="1">
        <f t="array" ref="M77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73" s="4" cm="1">
        <f t="array" ref="N77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4.5</v>
      </c>
      <c r="O773" s="4">
        <f>Table15678[[#This Row],[Total Amount]]-Table15678[[#This Row],[Discount Amount]]</f>
        <v>25.5</v>
      </c>
      <c r="P773" s="4" t="str">
        <f>IF(Table15678[[#This Row],[Total Amount]]&gt;=1000,"High","Low")</f>
        <v>Low</v>
      </c>
      <c r="Q773" s="4" t="str" cm="1">
        <f t="array" ref="Q773">_xlfn.IFS(AND(Table15678[[#This Row],[Total Amount]]&gt;=1500,"Critical"),AND(Table15678[[#This Row],[Total Amount]]&gt;=1000,"High"),TRUE,"Normal")</f>
        <v>Normal</v>
      </c>
      <c r="R773" s="4" t="str">
        <f>CONCATENATE(Table15678[[#This Row],[Customer ID]], "-",Table15678[[#This Row],[Age]])</f>
        <v>CUST772-26</v>
      </c>
      <c r="S773" s="4" t="str">
        <f>TEXT(Table15678[[#This Row],[Date]],"mmm")</f>
        <v>Jul</v>
      </c>
      <c r="T773" s="4" t="str">
        <f>TEXT(Table15678[[#This Row],[Date]],"DDD")</f>
        <v>Wed</v>
      </c>
    </row>
    <row r="774" spans="1:20" ht="29" x14ac:dyDescent="0.35">
      <c r="A774" s="4">
        <v>773</v>
      </c>
      <c r="B774" s="5">
        <v>45130</v>
      </c>
      <c r="C774" s="4" t="s">
        <v>786</v>
      </c>
      <c r="D774" s="4" t="s">
        <v>10</v>
      </c>
      <c r="E774" s="4">
        <v>25</v>
      </c>
      <c r="F774" s="4" t="str">
        <f>IF(Table15678[[#This Row],[Age]]&lt;=19,"Teenager",IF(Table15678[[#This Row],[Age]]&lt;=40,"Median","Old"))</f>
        <v>Median</v>
      </c>
      <c r="G774" s="4" t="s">
        <v>16</v>
      </c>
      <c r="H774" s="4">
        <v>4</v>
      </c>
      <c r="I774" s="4">
        <v>500</v>
      </c>
      <c r="J774" s="4">
        <v>2000</v>
      </c>
      <c r="K774" s="4" t="str" cm="1">
        <f t="array" ref="K774">_xlfn.IFS(AND(Table15678[[#This Row],[Total Amount]]&gt;=1500),"Critical",AND(Table15678[[#This Row],[Total Amount]]&gt;=1000),"High",TRUE,"Normal")</f>
        <v>Critical</v>
      </c>
      <c r="L774" s="4" t="str">
        <f>IF(Table15678[[#This Row],[Total Amount]]&gt;=1000,"High",(IF(Table15678[[#This Row],[Total Amount]]&gt;=500,"Medium","Low")))</f>
        <v>High</v>
      </c>
      <c r="M774" s="4" t="str" cm="1">
        <f t="array" ref="M77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74" s="4" cm="1">
        <f t="array" ref="N77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774" s="4">
        <f>Table15678[[#This Row],[Total Amount]]-Table15678[[#This Row],[Discount Amount]]</f>
        <v>1700</v>
      </c>
      <c r="P774" s="4" t="str">
        <f>IF(Table15678[[#This Row],[Total Amount]]&gt;=1000,"High","Low")</f>
        <v>High</v>
      </c>
      <c r="Q774" s="4" t="b" cm="1">
        <f t="array" ref="Q774">_xlfn.IFS(AND(Table15678[[#This Row],[Total Amount]]&gt;=1500,"Critical"),AND(Table15678[[#This Row],[Total Amount]]&gt;=1000,"High"),TRUE,"Normal")</f>
        <v>1</v>
      </c>
      <c r="R774" s="4" t="str">
        <f>CONCATENATE(Table15678[[#This Row],[Customer ID]], "-",Table15678[[#This Row],[Age]])</f>
        <v>CUST773-25</v>
      </c>
      <c r="S774" s="4" t="str">
        <f>TEXT(Table15678[[#This Row],[Date]],"mmm")</f>
        <v>Jul</v>
      </c>
      <c r="T774" s="4" t="str">
        <f>TEXT(Table15678[[#This Row],[Date]],"DDD")</f>
        <v>Sun</v>
      </c>
    </row>
    <row r="775" spans="1:20" ht="29" x14ac:dyDescent="0.35">
      <c r="A775" s="4">
        <v>774</v>
      </c>
      <c r="B775" s="5">
        <v>45028</v>
      </c>
      <c r="C775" s="4" t="s">
        <v>787</v>
      </c>
      <c r="D775" s="4" t="s">
        <v>13</v>
      </c>
      <c r="E775" s="4">
        <v>40</v>
      </c>
      <c r="F775" s="4" t="str">
        <f>IF(Table15678[[#This Row],[Age]]&lt;=19,"Teenager",IF(Table15678[[#This Row],[Age]]&lt;=40,"Median","Old"))</f>
        <v>Median</v>
      </c>
      <c r="G775" s="4" t="s">
        <v>14</v>
      </c>
      <c r="H775" s="4">
        <v>2</v>
      </c>
      <c r="I775" s="4">
        <v>25</v>
      </c>
      <c r="J775" s="4">
        <v>50</v>
      </c>
      <c r="K775" s="4" t="str" cm="1">
        <f t="array" ref="K775">_xlfn.IFS(AND(Table15678[[#This Row],[Total Amount]]&gt;=1500),"Critical",AND(Table15678[[#This Row],[Total Amount]]&gt;=1000),"High",TRUE,"Normal")</f>
        <v>Normal</v>
      </c>
      <c r="L775" s="4" t="str">
        <f>IF(Table15678[[#This Row],[Total Amount]]&gt;=1000,"High",(IF(Table15678[[#This Row],[Total Amount]]&gt;=500,"Medium","Low")))</f>
        <v>Low</v>
      </c>
      <c r="M775" s="4" t="str" cm="1">
        <f t="array" ref="M77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75" s="4" cm="1">
        <f t="array" ref="N77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775" s="4">
        <f>Table15678[[#This Row],[Total Amount]]-Table15678[[#This Row],[Discount Amount]]</f>
        <v>40</v>
      </c>
      <c r="P775" s="4" t="str">
        <f>IF(Table15678[[#This Row],[Total Amount]]&gt;=1000,"High","Low")</f>
        <v>Low</v>
      </c>
      <c r="Q775" s="4" t="str" cm="1">
        <f t="array" ref="Q775">_xlfn.IFS(AND(Table15678[[#This Row],[Total Amount]]&gt;=1500,"Critical"),AND(Table15678[[#This Row],[Total Amount]]&gt;=1000,"High"),TRUE,"Normal")</f>
        <v>Normal</v>
      </c>
      <c r="R775" s="4" t="str">
        <f>CONCATENATE(Table15678[[#This Row],[Customer ID]], "-",Table15678[[#This Row],[Age]])</f>
        <v>CUST774-40</v>
      </c>
      <c r="S775" s="4" t="str">
        <f>TEXT(Table15678[[#This Row],[Date]],"mmm")</f>
        <v>Apr</v>
      </c>
      <c r="T775" s="4" t="str">
        <f>TEXT(Table15678[[#This Row],[Date]],"DDD")</f>
        <v>Wed</v>
      </c>
    </row>
    <row r="776" spans="1:20" ht="29" x14ac:dyDescent="0.35">
      <c r="A776" s="4">
        <v>775</v>
      </c>
      <c r="B776" s="5">
        <v>44965</v>
      </c>
      <c r="C776" s="4" t="s">
        <v>788</v>
      </c>
      <c r="D776" s="4" t="s">
        <v>13</v>
      </c>
      <c r="E776" s="4">
        <v>46</v>
      </c>
      <c r="F776" s="4" t="str">
        <f>IF(Table15678[[#This Row],[Age]]&lt;=19,"Teenager",IF(Table15678[[#This Row],[Age]]&lt;=40,"Median","Old"))</f>
        <v>Old</v>
      </c>
      <c r="G776" s="4" t="s">
        <v>16</v>
      </c>
      <c r="H776" s="4">
        <v>4</v>
      </c>
      <c r="I776" s="4">
        <v>25</v>
      </c>
      <c r="J776" s="4">
        <v>100</v>
      </c>
      <c r="K776" s="4" t="str" cm="1">
        <f t="array" ref="K776">_xlfn.IFS(AND(Table15678[[#This Row],[Total Amount]]&gt;=1500),"Critical",AND(Table15678[[#This Row],[Total Amount]]&gt;=1000),"High",TRUE,"Normal")</f>
        <v>Normal</v>
      </c>
      <c r="L776" s="4" t="str">
        <f>IF(Table15678[[#This Row],[Total Amount]]&gt;=1000,"High",(IF(Table15678[[#This Row],[Total Amount]]&gt;=500,"Medium","Low")))</f>
        <v>Low</v>
      </c>
      <c r="M776" s="4" t="str" cm="1">
        <f t="array" ref="M77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76" s="4" cm="1">
        <f t="array" ref="N77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776" s="4">
        <f>Table15678[[#This Row],[Total Amount]]-Table15678[[#This Row],[Discount Amount]]</f>
        <v>80</v>
      </c>
      <c r="P776" s="4" t="str">
        <f>IF(Table15678[[#This Row],[Total Amount]]&gt;=1000,"High","Low")</f>
        <v>Low</v>
      </c>
      <c r="Q776" s="4" t="str" cm="1">
        <f t="array" ref="Q776">_xlfn.IFS(AND(Table15678[[#This Row],[Total Amount]]&gt;=1500,"Critical"),AND(Table15678[[#This Row],[Total Amount]]&gt;=1000,"High"),TRUE,"Normal")</f>
        <v>Normal</v>
      </c>
      <c r="R776" s="4" t="str">
        <f>CONCATENATE(Table15678[[#This Row],[Customer ID]], "-",Table15678[[#This Row],[Age]])</f>
        <v>CUST775-46</v>
      </c>
      <c r="S776" s="4" t="str">
        <f>TEXT(Table15678[[#This Row],[Date]],"mmm")</f>
        <v>Feb</v>
      </c>
      <c r="T776" s="4" t="str">
        <f>TEXT(Table15678[[#This Row],[Date]],"DDD")</f>
        <v>Wed</v>
      </c>
    </row>
    <row r="777" spans="1:20" ht="29" x14ac:dyDescent="0.35">
      <c r="A777" s="4">
        <v>776</v>
      </c>
      <c r="B777" s="5">
        <v>45230</v>
      </c>
      <c r="C777" s="4" t="s">
        <v>789</v>
      </c>
      <c r="D777" s="4" t="s">
        <v>10</v>
      </c>
      <c r="E777" s="4">
        <v>35</v>
      </c>
      <c r="F777" s="4" t="str">
        <f>IF(Table15678[[#This Row],[Age]]&lt;=19,"Teenager",IF(Table15678[[#This Row],[Age]]&lt;=40,"Median","Old"))</f>
        <v>Median</v>
      </c>
      <c r="G777" s="4" t="s">
        <v>14</v>
      </c>
      <c r="H777" s="4">
        <v>3</v>
      </c>
      <c r="I777" s="4">
        <v>30</v>
      </c>
      <c r="J777" s="4">
        <v>90</v>
      </c>
      <c r="K777" s="4" t="str" cm="1">
        <f t="array" ref="K777">_xlfn.IFS(AND(Table15678[[#This Row],[Total Amount]]&gt;=1500),"Critical",AND(Table15678[[#This Row],[Total Amount]]&gt;=1000),"High",TRUE,"Normal")</f>
        <v>Normal</v>
      </c>
      <c r="L777" s="4" t="str">
        <f>IF(Table15678[[#This Row],[Total Amount]]&gt;=1000,"High",(IF(Table15678[[#This Row],[Total Amount]]&gt;=500,"Medium","Low")))</f>
        <v>Low</v>
      </c>
      <c r="M777" s="4" t="str" cm="1">
        <f t="array" ref="M77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77" s="4" cm="1">
        <f t="array" ref="N77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</v>
      </c>
      <c r="O777" s="4">
        <f>Table15678[[#This Row],[Total Amount]]-Table15678[[#This Row],[Discount Amount]]</f>
        <v>81</v>
      </c>
      <c r="P777" s="4" t="str">
        <f>IF(Table15678[[#This Row],[Total Amount]]&gt;=1000,"High","Low")</f>
        <v>Low</v>
      </c>
      <c r="Q777" s="4" t="str" cm="1">
        <f t="array" ref="Q777">_xlfn.IFS(AND(Table15678[[#This Row],[Total Amount]]&gt;=1500,"Critical"),AND(Table15678[[#This Row],[Total Amount]]&gt;=1000,"High"),TRUE,"Normal")</f>
        <v>Normal</v>
      </c>
      <c r="R777" s="4" t="str">
        <f>CONCATENATE(Table15678[[#This Row],[Customer ID]], "-",Table15678[[#This Row],[Age]])</f>
        <v>CUST776-35</v>
      </c>
      <c r="S777" s="4" t="str">
        <f>TEXT(Table15678[[#This Row],[Date]],"mmm")</f>
        <v>Oct</v>
      </c>
      <c r="T777" s="4" t="str">
        <f>TEXT(Table15678[[#This Row],[Date]],"DDD")</f>
        <v>Tue</v>
      </c>
    </row>
    <row r="778" spans="1:20" ht="29" x14ac:dyDescent="0.35">
      <c r="A778" s="4">
        <v>777</v>
      </c>
      <c r="B778" s="5">
        <v>45280</v>
      </c>
      <c r="C778" s="4" t="s">
        <v>790</v>
      </c>
      <c r="D778" s="4" t="s">
        <v>10</v>
      </c>
      <c r="E778" s="4">
        <v>48</v>
      </c>
      <c r="F778" s="4" t="str">
        <f>IF(Table15678[[#This Row],[Age]]&lt;=19,"Teenager",IF(Table15678[[#This Row],[Age]]&lt;=40,"Median","Old"))</f>
        <v>Old</v>
      </c>
      <c r="G778" s="4" t="s">
        <v>16</v>
      </c>
      <c r="H778" s="4">
        <v>3</v>
      </c>
      <c r="I778" s="4">
        <v>50</v>
      </c>
      <c r="J778" s="4">
        <v>150</v>
      </c>
      <c r="K778" s="4" t="str" cm="1">
        <f t="array" ref="K778">_xlfn.IFS(AND(Table15678[[#This Row],[Total Amount]]&gt;=1500),"Critical",AND(Table15678[[#This Row],[Total Amount]]&gt;=1000),"High",TRUE,"Normal")</f>
        <v>Normal</v>
      </c>
      <c r="L778" s="4" t="str">
        <f>IF(Table15678[[#This Row],[Total Amount]]&gt;=1000,"High",(IF(Table15678[[#This Row],[Total Amount]]&gt;=500,"Medium","Low")))</f>
        <v>Low</v>
      </c>
      <c r="M778" s="4" t="str" cm="1">
        <f t="array" ref="M77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78" s="4" cm="1">
        <f t="array" ref="N77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778" s="4">
        <f>Table15678[[#This Row],[Total Amount]]-Table15678[[#This Row],[Discount Amount]]</f>
        <v>135</v>
      </c>
      <c r="P778" s="4" t="str">
        <f>IF(Table15678[[#This Row],[Total Amount]]&gt;=1000,"High","Low")</f>
        <v>Low</v>
      </c>
      <c r="Q778" s="4" t="str" cm="1">
        <f t="array" ref="Q778">_xlfn.IFS(AND(Table15678[[#This Row],[Total Amount]]&gt;=1500,"Critical"),AND(Table15678[[#This Row],[Total Amount]]&gt;=1000,"High"),TRUE,"Normal")</f>
        <v>Normal</v>
      </c>
      <c r="R778" s="4" t="str">
        <f>CONCATENATE(Table15678[[#This Row],[Customer ID]], "-",Table15678[[#This Row],[Age]])</f>
        <v>CUST777-48</v>
      </c>
      <c r="S778" s="4" t="str">
        <f>TEXT(Table15678[[#This Row],[Date]],"mmm")</f>
        <v>Dec</v>
      </c>
      <c r="T778" s="4" t="str">
        <f>TEXT(Table15678[[#This Row],[Date]],"DDD")</f>
        <v>Wed</v>
      </c>
    </row>
    <row r="779" spans="1:20" ht="29" x14ac:dyDescent="0.35">
      <c r="A779" s="4">
        <v>778</v>
      </c>
      <c r="B779" s="5">
        <v>45248</v>
      </c>
      <c r="C779" s="4" t="s">
        <v>791</v>
      </c>
      <c r="D779" s="4" t="s">
        <v>13</v>
      </c>
      <c r="E779" s="4">
        <v>47</v>
      </c>
      <c r="F779" s="4" t="str">
        <f>IF(Table15678[[#This Row],[Age]]&lt;=19,"Teenager",IF(Table15678[[#This Row],[Age]]&lt;=40,"Median","Old"))</f>
        <v>Old</v>
      </c>
      <c r="G779" s="4" t="s">
        <v>11</v>
      </c>
      <c r="H779" s="4">
        <v>4</v>
      </c>
      <c r="I779" s="4">
        <v>25</v>
      </c>
      <c r="J779" s="4">
        <v>100</v>
      </c>
      <c r="K779" s="4" t="str" cm="1">
        <f t="array" ref="K779">_xlfn.IFS(AND(Table15678[[#This Row],[Total Amount]]&gt;=1500),"Critical",AND(Table15678[[#This Row],[Total Amount]]&gt;=1000),"High",TRUE,"Normal")</f>
        <v>Normal</v>
      </c>
      <c r="L779" s="4" t="str">
        <f>IF(Table15678[[#This Row],[Total Amount]]&gt;=1000,"High",(IF(Table15678[[#This Row],[Total Amount]]&gt;=500,"Medium","Low")))</f>
        <v>Low</v>
      </c>
      <c r="M779" s="4" t="str" cm="1">
        <f t="array" ref="M77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79" s="4" cm="1">
        <f t="array" ref="N77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779" s="4">
        <f>Table15678[[#This Row],[Total Amount]]-Table15678[[#This Row],[Discount Amount]]</f>
        <v>80</v>
      </c>
      <c r="P779" s="4" t="str">
        <f>IF(Table15678[[#This Row],[Total Amount]]&gt;=1000,"High","Low")</f>
        <v>Low</v>
      </c>
      <c r="Q779" s="4" t="str" cm="1">
        <f t="array" ref="Q779">_xlfn.IFS(AND(Table15678[[#This Row],[Total Amount]]&gt;=1500,"Critical"),AND(Table15678[[#This Row],[Total Amount]]&gt;=1000,"High"),TRUE,"Normal")</f>
        <v>Normal</v>
      </c>
      <c r="R779" s="4" t="str">
        <f>CONCATENATE(Table15678[[#This Row],[Customer ID]], "-",Table15678[[#This Row],[Age]])</f>
        <v>CUST778-47</v>
      </c>
      <c r="S779" s="4" t="str">
        <f>TEXT(Table15678[[#This Row],[Date]],"mmm")</f>
        <v>Nov</v>
      </c>
      <c r="T779" s="4" t="str">
        <f>TEXT(Table15678[[#This Row],[Date]],"DDD")</f>
        <v>Sat</v>
      </c>
    </row>
    <row r="780" spans="1:20" ht="29" x14ac:dyDescent="0.35">
      <c r="A780" s="4">
        <v>779</v>
      </c>
      <c r="B780" s="5">
        <v>45051</v>
      </c>
      <c r="C780" s="4" t="s">
        <v>792</v>
      </c>
      <c r="D780" s="4" t="s">
        <v>13</v>
      </c>
      <c r="E780" s="4">
        <v>56</v>
      </c>
      <c r="F780" s="4" t="str">
        <f>IF(Table15678[[#This Row],[Age]]&lt;=19,"Teenager",IF(Table15678[[#This Row],[Age]]&lt;=40,"Median","Old"))</f>
        <v>Old</v>
      </c>
      <c r="G780" s="4" t="s">
        <v>16</v>
      </c>
      <c r="H780" s="4">
        <v>2</v>
      </c>
      <c r="I780" s="4">
        <v>500</v>
      </c>
      <c r="J780" s="4">
        <v>1000</v>
      </c>
      <c r="K780" s="4" t="str" cm="1">
        <f t="array" ref="K780">_xlfn.IFS(AND(Table15678[[#This Row],[Total Amount]]&gt;=1500),"Critical",AND(Table15678[[#This Row],[Total Amount]]&gt;=1000),"High",TRUE,"Normal")</f>
        <v>High</v>
      </c>
      <c r="L780" s="4" t="str">
        <f>IF(Table15678[[#This Row],[Total Amount]]&gt;=1000,"High",(IF(Table15678[[#This Row],[Total Amount]]&gt;=500,"Medium","Low")))</f>
        <v>High</v>
      </c>
      <c r="M780" s="4" t="str" cm="1">
        <f t="array" ref="M78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80" s="4" cm="1">
        <f t="array" ref="N78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780" s="4">
        <f>Table15678[[#This Row],[Total Amount]]-Table15678[[#This Row],[Discount Amount]]</f>
        <v>800</v>
      </c>
      <c r="P780" s="4" t="str">
        <f>IF(Table15678[[#This Row],[Total Amount]]&gt;=1000,"High","Low")</f>
        <v>High</v>
      </c>
      <c r="Q780" s="4" t="str" cm="1">
        <f t="array" ref="Q780">_xlfn.IFS(AND(Table15678[[#This Row],[Total Amount]]&gt;=1500,"Critical"),AND(Table15678[[#This Row],[Total Amount]]&gt;=1000,"High"),TRUE,"Normal")</f>
        <v>Normal</v>
      </c>
      <c r="R780" s="4" t="str">
        <f>CONCATENATE(Table15678[[#This Row],[Customer ID]], "-",Table15678[[#This Row],[Age]])</f>
        <v>CUST779-56</v>
      </c>
      <c r="S780" s="4" t="str">
        <f>TEXT(Table15678[[#This Row],[Date]],"mmm")</f>
        <v>May</v>
      </c>
      <c r="T780" s="4" t="str">
        <f>TEXT(Table15678[[#This Row],[Date]],"DDD")</f>
        <v>Fri</v>
      </c>
    </row>
    <row r="781" spans="1:20" ht="29" x14ac:dyDescent="0.35">
      <c r="A781" s="4">
        <v>780</v>
      </c>
      <c r="B781" s="5">
        <v>44979</v>
      </c>
      <c r="C781" s="4" t="s">
        <v>793</v>
      </c>
      <c r="D781" s="4" t="s">
        <v>10</v>
      </c>
      <c r="E781" s="4">
        <v>52</v>
      </c>
      <c r="F781" s="4" t="str">
        <f>IF(Table15678[[#This Row],[Age]]&lt;=19,"Teenager",IF(Table15678[[#This Row],[Age]]&lt;=40,"Median","Old"))</f>
        <v>Old</v>
      </c>
      <c r="G781" s="4" t="s">
        <v>16</v>
      </c>
      <c r="H781" s="4">
        <v>2</v>
      </c>
      <c r="I781" s="4">
        <v>25</v>
      </c>
      <c r="J781" s="4">
        <v>50</v>
      </c>
      <c r="K781" s="4" t="str" cm="1">
        <f t="array" ref="K781">_xlfn.IFS(AND(Table15678[[#This Row],[Total Amount]]&gt;=1500),"Critical",AND(Table15678[[#This Row],[Total Amount]]&gt;=1000),"High",TRUE,"Normal")</f>
        <v>Normal</v>
      </c>
      <c r="L781" s="4" t="str">
        <f>IF(Table15678[[#This Row],[Total Amount]]&gt;=1000,"High",(IF(Table15678[[#This Row],[Total Amount]]&gt;=500,"Medium","Low")))</f>
        <v>Low</v>
      </c>
      <c r="M781" s="4" t="str" cm="1">
        <f t="array" ref="M78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81" s="4" cm="1">
        <f t="array" ref="N78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781" s="4">
        <f>Table15678[[#This Row],[Total Amount]]-Table15678[[#This Row],[Discount Amount]]</f>
        <v>45</v>
      </c>
      <c r="P781" s="4" t="str">
        <f>IF(Table15678[[#This Row],[Total Amount]]&gt;=1000,"High","Low")</f>
        <v>Low</v>
      </c>
      <c r="Q781" s="4" t="str" cm="1">
        <f t="array" ref="Q781">_xlfn.IFS(AND(Table15678[[#This Row],[Total Amount]]&gt;=1500,"Critical"),AND(Table15678[[#This Row],[Total Amount]]&gt;=1000,"High"),TRUE,"Normal")</f>
        <v>Normal</v>
      </c>
      <c r="R781" s="4" t="str">
        <f>CONCATENATE(Table15678[[#This Row],[Customer ID]], "-",Table15678[[#This Row],[Age]])</f>
        <v>CUST780-52</v>
      </c>
      <c r="S781" s="4" t="str">
        <f>TEXT(Table15678[[#This Row],[Date]],"mmm")</f>
        <v>Feb</v>
      </c>
      <c r="T781" s="4" t="str">
        <f>TEXT(Table15678[[#This Row],[Date]],"DDD")</f>
        <v>Wed</v>
      </c>
    </row>
    <row r="782" spans="1:20" ht="29" x14ac:dyDescent="0.35">
      <c r="A782" s="4">
        <v>781</v>
      </c>
      <c r="B782" s="5">
        <v>45283</v>
      </c>
      <c r="C782" s="4" t="s">
        <v>794</v>
      </c>
      <c r="D782" s="4" t="s">
        <v>10</v>
      </c>
      <c r="E782" s="4">
        <v>35</v>
      </c>
      <c r="F782" s="4" t="str">
        <f>IF(Table15678[[#This Row],[Age]]&lt;=19,"Teenager",IF(Table15678[[#This Row],[Age]]&lt;=40,"Median","Old"))</f>
        <v>Median</v>
      </c>
      <c r="G782" s="4" t="s">
        <v>11</v>
      </c>
      <c r="H782" s="4">
        <v>1</v>
      </c>
      <c r="I782" s="4">
        <v>500</v>
      </c>
      <c r="J782" s="4">
        <v>500</v>
      </c>
      <c r="K782" s="4" t="str" cm="1">
        <f t="array" ref="K782">_xlfn.IFS(AND(Table15678[[#This Row],[Total Amount]]&gt;=1500),"Critical",AND(Table15678[[#This Row],[Total Amount]]&gt;=1000),"High",TRUE,"Normal")</f>
        <v>Normal</v>
      </c>
      <c r="L782" s="4" t="str">
        <f>IF(Table15678[[#This Row],[Total Amount]]&gt;=1000,"High",(IF(Table15678[[#This Row],[Total Amount]]&gt;=500,"Medium","Low")))</f>
        <v>Medium</v>
      </c>
      <c r="M782" s="4" t="str" cm="1">
        <f t="array" ref="M78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82" s="4" cm="1">
        <f t="array" ref="N78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50</v>
      </c>
      <c r="O782" s="4">
        <f>Table15678[[#This Row],[Total Amount]]-Table15678[[#This Row],[Discount Amount]]</f>
        <v>450</v>
      </c>
      <c r="P782" s="4" t="str">
        <f>IF(Table15678[[#This Row],[Total Amount]]&gt;=1000,"High","Low")</f>
        <v>Low</v>
      </c>
      <c r="Q782" s="4" t="str" cm="1">
        <f t="array" ref="Q782">_xlfn.IFS(AND(Table15678[[#This Row],[Total Amount]]&gt;=1500,"Critical"),AND(Table15678[[#This Row],[Total Amount]]&gt;=1000,"High"),TRUE,"Normal")</f>
        <v>Normal</v>
      </c>
      <c r="R782" s="4" t="str">
        <f>CONCATENATE(Table15678[[#This Row],[Customer ID]], "-",Table15678[[#This Row],[Age]])</f>
        <v>CUST781-35</v>
      </c>
      <c r="S782" s="4" t="str">
        <f>TEXT(Table15678[[#This Row],[Date]],"mmm")</f>
        <v>Dec</v>
      </c>
      <c r="T782" s="4" t="str">
        <f>TEXT(Table15678[[#This Row],[Date]],"DDD")</f>
        <v>Sat</v>
      </c>
    </row>
    <row r="783" spans="1:20" ht="29" x14ac:dyDescent="0.35">
      <c r="A783" s="4">
        <v>782</v>
      </c>
      <c r="B783" s="5">
        <v>45081</v>
      </c>
      <c r="C783" s="4" t="s">
        <v>795</v>
      </c>
      <c r="D783" s="4" t="s">
        <v>10</v>
      </c>
      <c r="E783" s="4">
        <v>59</v>
      </c>
      <c r="F783" s="4" t="str">
        <f>IF(Table15678[[#This Row],[Age]]&lt;=19,"Teenager",IF(Table15678[[#This Row],[Age]]&lt;=40,"Median","Old"))</f>
        <v>Old</v>
      </c>
      <c r="G783" s="4" t="s">
        <v>14</v>
      </c>
      <c r="H783" s="4">
        <v>3</v>
      </c>
      <c r="I783" s="4">
        <v>300</v>
      </c>
      <c r="J783" s="4">
        <v>900</v>
      </c>
      <c r="K783" s="4" t="str" cm="1">
        <f t="array" ref="K783">_xlfn.IFS(AND(Table15678[[#This Row],[Total Amount]]&gt;=1500),"Critical",AND(Table15678[[#This Row],[Total Amount]]&gt;=1000),"High",TRUE,"Normal")</f>
        <v>Normal</v>
      </c>
      <c r="L783" s="4" t="str">
        <f>IF(Table15678[[#This Row],[Total Amount]]&gt;=1000,"High",(IF(Table15678[[#This Row],[Total Amount]]&gt;=500,"Medium","Low")))</f>
        <v>Medium</v>
      </c>
      <c r="M783" s="4" t="str" cm="1">
        <f t="array" ref="M78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83" s="4" cm="1">
        <f t="array" ref="N78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783" s="4">
        <f>Table15678[[#This Row],[Total Amount]]-Table15678[[#This Row],[Discount Amount]]</f>
        <v>810</v>
      </c>
      <c r="P783" s="4" t="str">
        <f>IF(Table15678[[#This Row],[Total Amount]]&gt;=1000,"High","Low")</f>
        <v>Low</v>
      </c>
      <c r="Q783" s="4" t="str" cm="1">
        <f t="array" ref="Q783">_xlfn.IFS(AND(Table15678[[#This Row],[Total Amount]]&gt;=1500,"Critical"),AND(Table15678[[#This Row],[Total Amount]]&gt;=1000,"High"),TRUE,"Normal")</f>
        <v>Normal</v>
      </c>
      <c r="R783" s="4" t="str">
        <f>CONCATENATE(Table15678[[#This Row],[Customer ID]], "-",Table15678[[#This Row],[Age]])</f>
        <v>CUST782-59</v>
      </c>
      <c r="S783" s="4" t="str">
        <f>TEXT(Table15678[[#This Row],[Date]],"mmm")</f>
        <v>Jun</v>
      </c>
      <c r="T783" s="4" t="str">
        <f>TEXT(Table15678[[#This Row],[Date]],"DDD")</f>
        <v>Sun</v>
      </c>
    </row>
    <row r="784" spans="1:20" ht="29" x14ac:dyDescent="0.35">
      <c r="A784" s="4">
        <v>783</v>
      </c>
      <c r="B784" s="5">
        <v>45277</v>
      </c>
      <c r="C784" s="4" t="s">
        <v>796</v>
      </c>
      <c r="D784" s="4" t="s">
        <v>13</v>
      </c>
      <c r="E784" s="4">
        <v>56</v>
      </c>
      <c r="F784" s="4" t="str">
        <f>IF(Table15678[[#This Row],[Age]]&lt;=19,"Teenager",IF(Table15678[[#This Row],[Age]]&lt;=40,"Median","Old"))</f>
        <v>Old</v>
      </c>
      <c r="G784" s="4" t="s">
        <v>14</v>
      </c>
      <c r="H784" s="4">
        <v>1</v>
      </c>
      <c r="I784" s="4">
        <v>300</v>
      </c>
      <c r="J784" s="4">
        <v>300</v>
      </c>
      <c r="K784" s="4" t="str" cm="1">
        <f t="array" ref="K784">_xlfn.IFS(AND(Table15678[[#This Row],[Total Amount]]&gt;=1500),"Critical",AND(Table15678[[#This Row],[Total Amount]]&gt;=1000),"High",TRUE,"Normal")</f>
        <v>Normal</v>
      </c>
      <c r="L784" s="4" t="str">
        <f>IF(Table15678[[#This Row],[Total Amount]]&gt;=1000,"High",(IF(Table15678[[#This Row],[Total Amount]]&gt;=500,"Medium","Low")))</f>
        <v>Low</v>
      </c>
      <c r="M784" s="4" t="str" cm="1">
        <f t="array" ref="M78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84" s="4" cm="1">
        <f t="array" ref="N78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784" s="4">
        <f>Table15678[[#This Row],[Total Amount]]-Table15678[[#This Row],[Discount Amount]]</f>
        <v>240</v>
      </c>
      <c r="P784" s="4" t="str">
        <f>IF(Table15678[[#This Row],[Total Amount]]&gt;=1000,"High","Low")</f>
        <v>Low</v>
      </c>
      <c r="Q784" s="4" t="str" cm="1">
        <f t="array" ref="Q784">_xlfn.IFS(AND(Table15678[[#This Row],[Total Amount]]&gt;=1500,"Critical"),AND(Table15678[[#This Row],[Total Amount]]&gt;=1000,"High"),TRUE,"Normal")</f>
        <v>Normal</v>
      </c>
      <c r="R784" s="4" t="str">
        <f>CONCATENATE(Table15678[[#This Row],[Customer ID]], "-",Table15678[[#This Row],[Age]])</f>
        <v>CUST783-56</v>
      </c>
      <c r="S784" s="4" t="str">
        <f>TEXT(Table15678[[#This Row],[Date]],"mmm")</f>
        <v>Dec</v>
      </c>
      <c r="T784" s="4" t="str">
        <f>TEXT(Table15678[[#This Row],[Date]],"DDD")</f>
        <v>Sun</v>
      </c>
    </row>
    <row r="785" spans="1:20" ht="29" x14ac:dyDescent="0.35">
      <c r="A785" s="4">
        <v>784</v>
      </c>
      <c r="B785" s="5">
        <v>45234</v>
      </c>
      <c r="C785" s="4" t="s">
        <v>797</v>
      </c>
      <c r="D785" s="4" t="s">
        <v>13</v>
      </c>
      <c r="E785" s="4">
        <v>34</v>
      </c>
      <c r="F785" s="4" t="str">
        <f>IF(Table15678[[#This Row],[Age]]&lt;=19,"Teenager",IF(Table15678[[#This Row],[Age]]&lt;=40,"Median","Old"))</f>
        <v>Median</v>
      </c>
      <c r="G785" s="4" t="s">
        <v>16</v>
      </c>
      <c r="H785" s="4">
        <v>1</v>
      </c>
      <c r="I785" s="4">
        <v>500</v>
      </c>
      <c r="J785" s="4">
        <v>500</v>
      </c>
      <c r="K785" s="4" t="str" cm="1">
        <f t="array" ref="K785">_xlfn.IFS(AND(Table15678[[#This Row],[Total Amount]]&gt;=1500),"Critical",AND(Table15678[[#This Row],[Total Amount]]&gt;=1000),"High",TRUE,"Normal")</f>
        <v>Normal</v>
      </c>
      <c r="L785" s="4" t="str">
        <f>IF(Table15678[[#This Row],[Total Amount]]&gt;=1000,"High",(IF(Table15678[[#This Row],[Total Amount]]&gt;=500,"Medium","Low")))</f>
        <v>Medium</v>
      </c>
      <c r="M785" s="4" t="str" cm="1">
        <f t="array" ref="M78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85" s="4" cm="1">
        <f t="array" ref="N78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75</v>
      </c>
      <c r="O785" s="4">
        <f>Table15678[[#This Row],[Total Amount]]-Table15678[[#This Row],[Discount Amount]]</f>
        <v>425</v>
      </c>
      <c r="P785" s="4" t="str">
        <f>IF(Table15678[[#This Row],[Total Amount]]&gt;=1000,"High","Low")</f>
        <v>Low</v>
      </c>
      <c r="Q785" s="4" t="str" cm="1">
        <f t="array" ref="Q785">_xlfn.IFS(AND(Table15678[[#This Row],[Total Amount]]&gt;=1500,"Critical"),AND(Table15678[[#This Row],[Total Amount]]&gt;=1000,"High"),TRUE,"Normal")</f>
        <v>Normal</v>
      </c>
      <c r="R785" s="4" t="str">
        <f>CONCATENATE(Table15678[[#This Row],[Customer ID]], "-",Table15678[[#This Row],[Age]])</f>
        <v>CUST784-34</v>
      </c>
      <c r="S785" s="4" t="str">
        <f>TEXT(Table15678[[#This Row],[Date]],"mmm")</f>
        <v>Nov</v>
      </c>
      <c r="T785" s="4" t="str">
        <f>TEXT(Table15678[[#This Row],[Date]],"DDD")</f>
        <v>Sat</v>
      </c>
    </row>
    <row r="786" spans="1:20" ht="29" x14ac:dyDescent="0.35">
      <c r="A786" s="4">
        <v>785</v>
      </c>
      <c r="B786" s="5">
        <v>44988</v>
      </c>
      <c r="C786" s="4" t="s">
        <v>798</v>
      </c>
      <c r="D786" s="4" t="s">
        <v>13</v>
      </c>
      <c r="E786" s="4">
        <v>31</v>
      </c>
      <c r="F786" s="4" t="str">
        <f>IF(Table15678[[#This Row],[Age]]&lt;=19,"Teenager",IF(Table15678[[#This Row],[Age]]&lt;=40,"Median","Old"))</f>
        <v>Median</v>
      </c>
      <c r="G786" s="4" t="s">
        <v>11</v>
      </c>
      <c r="H786" s="4">
        <v>4</v>
      </c>
      <c r="I786" s="4">
        <v>50</v>
      </c>
      <c r="J786" s="4">
        <v>200</v>
      </c>
      <c r="K786" s="4" t="str" cm="1">
        <f t="array" ref="K786">_xlfn.IFS(AND(Table15678[[#This Row],[Total Amount]]&gt;=1500),"Critical",AND(Table15678[[#This Row],[Total Amount]]&gt;=1000),"High",TRUE,"Normal")</f>
        <v>Normal</v>
      </c>
      <c r="L786" s="4" t="str">
        <f>IF(Table15678[[#This Row],[Total Amount]]&gt;=1000,"High",(IF(Table15678[[#This Row],[Total Amount]]&gt;=500,"Medium","Low")))</f>
        <v>Low</v>
      </c>
      <c r="M786" s="4" t="str" cm="1">
        <f t="array" ref="M78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86" s="4" cm="1">
        <f t="array" ref="N78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786" s="4">
        <f>Table15678[[#This Row],[Total Amount]]-Table15678[[#This Row],[Discount Amount]]</f>
        <v>170</v>
      </c>
      <c r="P786" s="4" t="str">
        <f>IF(Table15678[[#This Row],[Total Amount]]&gt;=1000,"High","Low")</f>
        <v>Low</v>
      </c>
      <c r="Q786" s="4" t="str" cm="1">
        <f t="array" ref="Q786">_xlfn.IFS(AND(Table15678[[#This Row],[Total Amount]]&gt;=1500,"Critical"),AND(Table15678[[#This Row],[Total Amount]]&gt;=1000,"High"),TRUE,"Normal")</f>
        <v>Normal</v>
      </c>
      <c r="R786" s="4" t="str">
        <f>CONCATENATE(Table15678[[#This Row],[Customer ID]], "-",Table15678[[#This Row],[Age]])</f>
        <v>CUST785-31</v>
      </c>
      <c r="S786" s="4" t="str">
        <f>TEXT(Table15678[[#This Row],[Date]],"mmm")</f>
        <v>Mar</v>
      </c>
      <c r="T786" s="4" t="str">
        <f>TEXT(Table15678[[#This Row],[Date]],"DDD")</f>
        <v>Fri</v>
      </c>
    </row>
    <row r="787" spans="1:20" ht="29" x14ac:dyDescent="0.35">
      <c r="A787" s="4">
        <v>786</v>
      </c>
      <c r="B787" s="5">
        <v>45216</v>
      </c>
      <c r="C787" s="4" t="s">
        <v>799</v>
      </c>
      <c r="D787" s="4" t="s">
        <v>10</v>
      </c>
      <c r="E787" s="4">
        <v>48</v>
      </c>
      <c r="F787" s="4" t="str">
        <f>IF(Table15678[[#This Row],[Age]]&lt;=19,"Teenager",IF(Table15678[[#This Row],[Age]]&lt;=40,"Median","Old"))</f>
        <v>Old</v>
      </c>
      <c r="G787" s="4" t="s">
        <v>14</v>
      </c>
      <c r="H787" s="4">
        <v>4</v>
      </c>
      <c r="I787" s="4">
        <v>25</v>
      </c>
      <c r="J787" s="4">
        <v>100</v>
      </c>
      <c r="K787" s="4" t="str" cm="1">
        <f t="array" ref="K787">_xlfn.IFS(AND(Table15678[[#This Row],[Total Amount]]&gt;=1500),"Critical",AND(Table15678[[#This Row],[Total Amount]]&gt;=1000),"High",TRUE,"Normal")</f>
        <v>Normal</v>
      </c>
      <c r="L787" s="4" t="str">
        <f>IF(Table15678[[#This Row],[Total Amount]]&gt;=1000,"High",(IF(Table15678[[#This Row],[Total Amount]]&gt;=500,"Medium","Low")))</f>
        <v>Low</v>
      </c>
      <c r="M787" s="4" t="str" cm="1">
        <f t="array" ref="M78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87" s="4" cm="1">
        <f t="array" ref="N78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787" s="4">
        <f>Table15678[[#This Row],[Total Amount]]-Table15678[[#This Row],[Discount Amount]]</f>
        <v>90</v>
      </c>
      <c r="P787" s="4" t="str">
        <f>IF(Table15678[[#This Row],[Total Amount]]&gt;=1000,"High","Low")</f>
        <v>Low</v>
      </c>
      <c r="Q787" s="4" t="str" cm="1">
        <f t="array" ref="Q787">_xlfn.IFS(AND(Table15678[[#This Row],[Total Amount]]&gt;=1500,"Critical"),AND(Table15678[[#This Row],[Total Amount]]&gt;=1000,"High"),TRUE,"Normal")</f>
        <v>Normal</v>
      </c>
      <c r="R787" s="4" t="str">
        <f>CONCATENATE(Table15678[[#This Row],[Customer ID]], "-",Table15678[[#This Row],[Age]])</f>
        <v>CUST786-48</v>
      </c>
      <c r="S787" s="4" t="str">
        <f>TEXT(Table15678[[#This Row],[Date]],"mmm")</f>
        <v>Oct</v>
      </c>
      <c r="T787" s="4" t="str">
        <f>TEXT(Table15678[[#This Row],[Date]],"DDD")</f>
        <v>Tue</v>
      </c>
    </row>
    <row r="788" spans="1:20" ht="29" x14ac:dyDescent="0.35">
      <c r="A788" s="4">
        <v>787</v>
      </c>
      <c r="B788" s="5">
        <v>44948</v>
      </c>
      <c r="C788" s="4" t="s">
        <v>800</v>
      </c>
      <c r="D788" s="4" t="s">
        <v>10</v>
      </c>
      <c r="E788" s="4">
        <v>41</v>
      </c>
      <c r="F788" s="4" t="str">
        <f>IF(Table15678[[#This Row],[Age]]&lt;=19,"Teenager",IF(Table15678[[#This Row],[Age]]&lt;=40,"Median","Old"))</f>
        <v>Old</v>
      </c>
      <c r="G788" s="4" t="s">
        <v>16</v>
      </c>
      <c r="H788" s="4">
        <v>1</v>
      </c>
      <c r="I788" s="4">
        <v>25</v>
      </c>
      <c r="J788" s="4">
        <v>25</v>
      </c>
      <c r="K788" s="4" t="str" cm="1">
        <f t="array" ref="K788">_xlfn.IFS(AND(Table15678[[#This Row],[Total Amount]]&gt;=1500),"Critical",AND(Table15678[[#This Row],[Total Amount]]&gt;=1000),"High",TRUE,"Normal")</f>
        <v>Normal</v>
      </c>
      <c r="L788" s="4" t="str">
        <f>IF(Table15678[[#This Row],[Total Amount]]&gt;=1000,"High",(IF(Table15678[[#This Row],[Total Amount]]&gt;=500,"Medium","Low")))</f>
        <v>Low</v>
      </c>
      <c r="M788" s="4" t="str" cm="1">
        <f t="array" ref="M78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88" s="4" cm="1">
        <f t="array" ref="N78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2.5</v>
      </c>
      <c r="O788" s="4">
        <f>Table15678[[#This Row],[Total Amount]]-Table15678[[#This Row],[Discount Amount]]</f>
        <v>22.5</v>
      </c>
      <c r="P788" s="4" t="str">
        <f>IF(Table15678[[#This Row],[Total Amount]]&gt;=1000,"High","Low")</f>
        <v>Low</v>
      </c>
      <c r="Q788" s="4" t="str" cm="1">
        <f t="array" ref="Q788">_xlfn.IFS(AND(Table15678[[#This Row],[Total Amount]]&gt;=1500,"Critical"),AND(Table15678[[#This Row],[Total Amount]]&gt;=1000,"High"),TRUE,"Normal")</f>
        <v>Normal</v>
      </c>
      <c r="R788" s="4" t="str">
        <f>CONCATENATE(Table15678[[#This Row],[Customer ID]], "-",Table15678[[#This Row],[Age]])</f>
        <v>CUST787-41</v>
      </c>
      <c r="S788" s="4" t="str">
        <f>TEXT(Table15678[[#This Row],[Date]],"mmm")</f>
        <v>Jan</v>
      </c>
      <c r="T788" s="4" t="str">
        <f>TEXT(Table15678[[#This Row],[Date]],"DDD")</f>
        <v>Sun</v>
      </c>
    </row>
    <row r="789" spans="1:20" ht="29" x14ac:dyDescent="0.35">
      <c r="A789" s="4">
        <v>788</v>
      </c>
      <c r="B789" s="5">
        <v>45104</v>
      </c>
      <c r="C789" s="4" t="s">
        <v>801</v>
      </c>
      <c r="D789" s="4" t="s">
        <v>13</v>
      </c>
      <c r="E789" s="4">
        <v>52</v>
      </c>
      <c r="F789" s="4" t="str">
        <f>IF(Table15678[[#This Row],[Age]]&lt;=19,"Teenager",IF(Table15678[[#This Row],[Age]]&lt;=40,"Median","Old"))</f>
        <v>Old</v>
      </c>
      <c r="G789" s="4" t="s">
        <v>11</v>
      </c>
      <c r="H789" s="4">
        <v>3</v>
      </c>
      <c r="I789" s="4">
        <v>300</v>
      </c>
      <c r="J789" s="4">
        <v>900</v>
      </c>
      <c r="K789" s="4" t="str" cm="1">
        <f t="array" ref="K789">_xlfn.IFS(AND(Table15678[[#This Row],[Total Amount]]&gt;=1500),"Critical",AND(Table15678[[#This Row],[Total Amount]]&gt;=1000),"High",TRUE,"Normal")</f>
        <v>Normal</v>
      </c>
      <c r="L789" s="4" t="str">
        <f>IF(Table15678[[#This Row],[Total Amount]]&gt;=1000,"High",(IF(Table15678[[#This Row],[Total Amount]]&gt;=500,"Medium","Low")))</f>
        <v>Medium</v>
      </c>
      <c r="M789" s="4" t="str" cm="1">
        <f t="array" ref="M78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89" s="4" cm="1">
        <f t="array" ref="N78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789" s="4">
        <f>Table15678[[#This Row],[Total Amount]]-Table15678[[#This Row],[Discount Amount]]</f>
        <v>720</v>
      </c>
      <c r="P789" s="4" t="str">
        <f>IF(Table15678[[#This Row],[Total Amount]]&gt;=1000,"High","Low")</f>
        <v>Low</v>
      </c>
      <c r="Q789" s="4" t="str" cm="1">
        <f t="array" ref="Q789">_xlfn.IFS(AND(Table15678[[#This Row],[Total Amount]]&gt;=1500,"Critical"),AND(Table15678[[#This Row],[Total Amount]]&gt;=1000,"High"),TRUE,"Normal")</f>
        <v>Normal</v>
      </c>
      <c r="R789" s="4" t="str">
        <f>CONCATENATE(Table15678[[#This Row],[Customer ID]], "-",Table15678[[#This Row],[Age]])</f>
        <v>CUST788-52</v>
      </c>
      <c r="S789" s="4" t="str">
        <f>TEXT(Table15678[[#This Row],[Date]],"mmm")</f>
        <v>Jun</v>
      </c>
      <c r="T789" s="4" t="str">
        <f>TEXT(Table15678[[#This Row],[Date]],"DDD")</f>
        <v>Tue</v>
      </c>
    </row>
    <row r="790" spans="1:20" ht="29" x14ac:dyDescent="0.35">
      <c r="A790" s="4">
        <v>789</v>
      </c>
      <c r="B790" s="5">
        <v>45199</v>
      </c>
      <c r="C790" s="4" t="s">
        <v>802</v>
      </c>
      <c r="D790" s="4" t="s">
        <v>13</v>
      </c>
      <c r="E790" s="4">
        <v>61</v>
      </c>
      <c r="F790" s="4" t="str">
        <f>IF(Table15678[[#This Row],[Age]]&lt;=19,"Teenager",IF(Table15678[[#This Row],[Age]]&lt;=40,"Median","Old"))</f>
        <v>Old</v>
      </c>
      <c r="G790" s="4" t="s">
        <v>14</v>
      </c>
      <c r="H790" s="4">
        <v>4</v>
      </c>
      <c r="I790" s="4">
        <v>500</v>
      </c>
      <c r="J790" s="4">
        <v>2000</v>
      </c>
      <c r="K790" s="4" t="str" cm="1">
        <f t="array" ref="K790">_xlfn.IFS(AND(Table15678[[#This Row],[Total Amount]]&gt;=1500),"Critical",AND(Table15678[[#This Row],[Total Amount]]&gt;=1000),"High",TRUE,"Normal")</f>
        <v>Critical</v>
      </c>
      <c r="L790" s="4" t="str">
        <f>IF(Table15678[[#This Row],[Total Amount]]&gt;=1000,"High",(IF(Table15678[[#This Row],[Total Amount]]&gt;=500,"Medium","Low")))</f>
        <v>High</v>
      </c>
      <c r="M790" s="4" t="str" cm="1">
        <f t="array" ref="M79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90" s="4" cm="1">
        <f t="array" ref="N79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400</v>
      </c>
      <c r="O790" s="4">
        <f>Table15678[[#This Row],[Total Amount]]-Table15678[[#This Row],[Discount Amount]]</f>
        <v>1600</v>
      </c>
      <c r="P790" s="4" t="str">
        <f>IF(Table15678[[#This Row],[Total Amount]]&gt;=1000,"High","Low")</f>
        <v>High</v>
      </c>
      <c r="Q790" s="4" t="b" cm="1">
        <f t="array" ref="Q790">_xlfn.IFS(AND(Table15678[[#This Row],[Total Amount]]&gt;=1500,"Critical"),AND(Table15678[[#This Row],[Total Amount]]&gt;=1000,"High"),TRUE,"Normal")</f>
        <v>1</v>
      </c>
      <c r="R790" s="4" t="str">
        <f>CONCATENATE(Table15678[[#This Row],[Customer ID]], "-",Table15678[[#This Row],[Age]])</f>
        <v>CUST789-61</v>
      </c>
      <c r="S790" s="4" t="str">
        <f>TEXT(Table15678[[#This Row],[Date]],"mmm")</f>
        <v>Sep</v>
      </c>
      <c r="T790" s="4" t="str">
        <f>TEXT(Table15678[[#This Row],[Date]],"DDD")</f>
        <v>Sat</v>
      </c>
    </row>
    <row r="791" spans="1:20" ht="29" x14ac:dyDescent="0.35">
      <c r="A791" s="4">
        <v>790</v>
      </c>
      <c r="B791" s="5">
        <v>45146</v>
      </c>
      <c r="C791" s="4" t="s">
        <v>803</v>
      </c>
      <c r="D791" s="4" t="s">
        <v>10</v>
      </c>
      <c r="E791" s="4">
        <v>62</v>
      </c>
      <c r="F791" s="4" t="str">
        <f>IF(Table15678[[#This Row],[Age]]&lt;=19,"Teenager",IF(Table15678[[#This Row],[Age]]&lt;=40,"Median","Old"))</f>
        <v>Old</v>
      </c>
      <c r="G791" s="4" t="s">
        <v>14</v>
      </c>
      <c r="H791" s="4">
        <v>1</v>
      </c>
      <c r="I791" s="4">
        <v>25</v>
      </c>
      <c r="J791" s="4">
        <v>25</v>
      </c>
      <c r="K791" s="4" t="str" cm="1">
        <f t="array" ref="K791">_xlfn.IFS(AND(Table15678[[#This Row],[Total Amount]]&gt;=1500),"Critical",AND(Table15678[[#This Row],[Total Amount]]&gt;=1000),"High",TRUE,"Normal")</f>
        <v>Normal</v>
      </c>
      <c r="L791" s="4" t="str">
        <f>IF(Table15678[[#This Row],[Total Amount]]&gt;=1000,"High",(IF(Table15678[[#This Row],[Total Amount]]&gt;=500,"Medium","Low")))</f>
        <v>Low</v>
      </c>
      <c r="M791" s="4" t="str" cm="1">
        <f t="array" ref="M79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91" s="4" cm="1">
        <f t="array" ref="N79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2.5</v>
      </c>
      <c r="O791" s="4">
        <f>Table15678[[#This Row],[Total Amount]]-Table15678[[#This Row],[Discount Amount]]</f>
        <v>22.5</v>
      </c>
      <c r="P791" s="4" t="str">
        <f>IF(Table15678[[#This Row],[Total Amount]]&gt;=1000,"High","Low")</f>
        <v>Low</v>
      </c>
      <c r="Q791" s="4" t="str" cm="1">
        <f t="array" ref="Q791">_xlfn.IFS(AND(Table15678[[#This Row],[Total Amount]]&gt;=1500,"Critical"),AND(Table15678[[#This Row],[Total Amount]]&gt;=1000,"High"),TRUE,"Normal")</f>
        <v>Normal</v>
      </c>
      <c r="R791" s="4" t="str">
        <f>CONCATENATE(Table15678[[#This Row],[Customer ID]], "-",Table15678[[#This Row],[Age]])</f>
        <v>CUST790-62</v>
      </c>
      <c r="S791" s="4" t="str">
        <f>TEXT(Table15678[[#This Row],[Date]],"mmm")</f>
        <v>Aug</v>
      </c>
      <c r="T791" s="4" t="str">
        <f>TEXT(Table15678[[#This Row],[Date]],"DDD")</f>
        <v>Tue</v>
      </c>
    </row>
    <row r="792" spans="1:20" ht="29" x14ac:dyDescent="0.35">
      <c r="A792" s="4">
        <v>791</v>
      </c>
      <c r="B792" s="5">
        <v>45265</v>
      </c>
      <c r="C792" s="4" t="s">
        <v>804</v>
      </c>
      <c r="D792" s="4" t="s">
        <v>13</v>
      </c>
      <c r="E792" s="4">
        <v>51</v>
      </c>
      <c r="F792" s="4" t="str">
        <f>IF(Table15678[[#This Row],[Age]]&lt;=19,"Teenager",IF(Table15678[[#This Row],[Age]]&lt;=40,"Median","Old"))</f>
        <v>Old</v>
      </c>
      <c r="G792" s="4" t="s">
        <v>11</v>
      </c>
      <c r="H792" s="4">
        <v>1</v>
      </c>
      <c r="I792" s="4">
        <v>25</v>
      </c>
      <c r="J792" s="4">
        <v>25</v>
      </c>
      <c r="K792" s="4" t="str" cm="1">
        <f t="array" ref="K792">_xlfn.IFS(AND(Table15678[[#This Row],[Total Amount]]&gt;=1500),"Critical",AND(Table15678[[#This Row],[Total Amount]]&gt;=1000),"High",TRUE,"Normal")</f>
        <v>Normal</v>
      </c>
      <c r="L792" s="4" t="str">
        <f>IF(Table15678[[#This Row],[Total Amount]]&gt;=1000,"High",(IF(Table15678[[#This Row],[Total Amount]]&gt;=500,"Medium","Low")))</f>
        <v>Low</v>
      </c>
      <c r="M792" s="4" t="str" cm="1">
        <f t="array" ref="M79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92" s="4" cm="1">
        <f t="array" ref="N79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792" s="4">
        <f>Table15678[[#This Row],[Total Amount]]-Table15678[[#This Row],[Discount Amount]]</f>
        <v>20</v>
      </c>
      <c r="P792" s="4" t="str">
        <f>IF(Table15678[[#This Row],[Total Amount]]&gt;=1000,"High","Low")</f>
        <v>Low</v>
      </c>
      <c r="Q792" s="4" t="str" cm="1">
        <f t="array" ref="Q792">_xlfn.IFS(AND(Table15678[[#This Row],[Total Amount]]&gt;=1500,"Critical"),AND(Table15678[[#This Row],[Total Amount]]&gt;=1000,"High"),TRUE,"Normal")</f>
        <v>Normal</v>
      </c>
      <c r="R792" s="4" t="str">
        <f>CONCATENATE(Table15678[[#This Row],[Customer ID]], "-",Table15678[[#This Row],[Age]])</f>
        <v>CUST791-51</v>
      </c>
      <c r="S792" s="4" t="str">
        <f>TEXT(Table15678[[#This Row],[Date]],"mmm")</f>
        <v>Dec</v>
      </c>
      <c r="T792" s="4" t="str">
        <f>TEXT(Table15678[[#This Row],[Date]],"DDD")</f>
        <v>Tue</v>
      </c>
    </row>
    <row r="793" spans="1:20" ht="29" x14ac:dyDescent="0.35">
      <c r="A793" s="4">
        <v>792</v>
      </c>
      <c r="B793" s="5">
        <v>45116</v>
      </c>
      <c r="C793" s="4" t="s">
        <v>805</v>
      </c>
      <c r="D793" s="4" t="s">
        <v>13</v>
      </c>
      <c r="E793" s="4">
        <v>20</v>
      </c>
      <c r="F793" s="4" t="str">
        <f>IF(Table15678[[#This Row],[Age]]&lt;=19,"Teenager",IF(Table15678[[#This Row],[Age]]&lt;=40,"Median","Old"))</f>
        <v>Median</v>
      </c>
      <c r="G793" s="4" t="s">
        <v>11</v>
      </c>
      <c r="H793" s="4">
        <v>1</v>
      </c>
      <c r="I793" s="4">
        <v>50</v>
      </c>
      <c r="J793" s="4">
        <v>50</v>
      </c>
      <c r="K793" s="4" t="str" cm="1">
        <f t="array" ref="K793">_xlfn.IFS(AND(Table15678[[#This Row],[Total Amount]]&gt;=1500),"Critical",AND(Table15678[[#This Row],[Total Amount]]&gt;=1000),"High",TRUE,"Normal")</f>
        <v>Normal</v>
      </c>
      <c r="L793" s="4" t="str">
        <f>IF(Table15678[[#This Row],[Total Amount]]&gt;=1000,"High",(IF(Table15678[[#This Row],[Total Amount]]&gt;=500,"Medium","Low")))</f>
        <v>Low</v>
      </c>
      <c r="M793" s="4" t="str" cm="1">
        <f t="array" ref="M79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793" s="4" cm="1">
        <f t="array" ref="N79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793" s="4">
        <f>Table15678[[#This Row],[Total Amount]]-Table15678[[#This Row],[Discount Amount]]</f>
        <v>50</v>
      </c>
      <c r="P793" s="4" t="str">
        <f>IF(Table15678[[#This Row],[Total Amount]]&gt;=1000,"High","Low")</f>
        <v>Low</v>
      </c>
      <c r="Q793" s="4" t="str" cm="1">
        <f t="array" ref="Q793">_xlfn.IFS(AND(Table15678[[#This Row],[Total Amount]]&gt;=1500,"Critical"),AND(Table15678[[#This Row],[Total Amount]]&gt;=1000,"High"),TRUE,"Normal")</f>
        <v>Normal</v>
      </c>
      <c r="R793" s="4" t="str">
        <f>CONCATENATE(Table15678[[#This Row],[Customer ID]], "-",Table15678[[#This Row],[Age]])</f>
        <v>CUST792-20</v>
      </c>
      <c r="S793" s="4" t="str">
        <f>TEXT(Table15678[[#This Row],[Date]],"mmm")</f>
        <v>Jul</v>
      </c>
      <c r="T793" s="4" t="str">
        <f>TEXT(Table15678[[#This Row],[Date]],"DDD")</f>
        <v>Sun</v>
      </c>
    </row>
    <row r="794" spans="1:20" ht="29" x14ac:dyDescent="0.35">
      <c r="A794" s="4">
        <v>793</v>
      </c>
      <c r="B794" s="5">
        <v>44962</v>
      </c>
      <c r="C794" s="4" t="s">
        <v>806</v>
      </c>
      <c r="D794" s="4" t="s">
        <v>10</v>
      </c>
      <c r="E794" s="4">
        <v>54</v>
      </c>
      <c r="F794" s="4" t="str">
        <f>IF(Table15678[[#This Row],[Age]]&lt;=19,"Teenager",IF(Table15678[[#This Row],[Age]]&lt;=40,"Median","Old"))</f>
        <v>Old</v>
      </c>
      <c r="G794" s="4" t="s">
        <v>11</v>
      </c>
      <c r="H794" s="4">
        <v>1</v>
      </c>
      <c r="I794" s="4">
        <v>30</v>
      </c>
      <c r="J794" s="4">
        <v>30</v>
      </c>
      <c r="K794" s="4" t="str" cm="1">
        <f t="array" ref="K794">_xlfn.IFS(AND(Table15678[[#This Row],[Total Amount]]&gt;=1500),"Critical",AND(Table15678[[#This Row],[Total Amount]]&gt;=1000),"High",TRUE,"Normal")</f>
        <v>Normal</v>
      </c>
      <c r="L794" s="4" t="str">
        <f>IF(Table15678[[#This Row],[Total Amount]]&gt;=1000,"High",(IF(Table15678[[#This Row],[Total Amount]]&gt;=500,"Medium","Low")))</f>
        <v>Low</v>
      </c>
      <c r="M794" s="4" t="str" cm="1">
        <f t="array" ref="M79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94" s="4" cm="1">
        <f t="array" ref="N79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</v>
      </c>
      <c r="O794" s="4">
        <f>Table15678[[#This Row],[Total Amount]]-Table15678[[#This Row],[Discount Amount]]</f>
        <v>27</v>
      </c>
      <c r="P794" s="4" t="str">
        <f>IF(Table15678[[#This Row],[Total Amount]]&gt;=1000,"High","Low")</f>
        <v>Low</v>
      </c>
      <c r="Q794" s="4" t="str" cm="1">
        <f t="array" ref="Q794">_xlfn.IFS(AND(Table15678[[#This Row],[Total Amount]]&gt;=1500,"Critical"),AND(Table15678[[#This Row],[Total Amount]]&gt;=1000,"High"),TRUE,"Normal")</f>
        <v>Normal</v>
      </c>
      <c r="R794" s="4" t="str">
        <f>CONCATENATE(Table15678[[#This Row],[Customer ID]], "-",Table15678[[#This Row],[Age]])</f>
        <v>CUST793-54</v>
      </c>
      <c r="S794" s="4" t="str">
        <f>TEXT(Table15678[[#This Row],[Date]],"mmm")</f>
        <v>Feb</v>
      </c>
      <c r="T794" s="4" t="str">
        <f>TEXT(Table15678[[#This Row],[Date]],"DDD")</f>
        <v>Sun</v>
      </c>
    </row>
    <row r="795" spans="1:20" ht="29" x14ac:dyDescent="0.35">
      <c r="A795" s="4">
        <v>794</v>
      </c>
      <c r="B795" s="5">
        <v>45186</v>
      </c>
      <c r="C795" s="4" t="s">
        <v>807</v>
      </c>
      <c r="D795" s="4" t="s">
        <v>13</v>
      </c>
      <c r="E795" s="4">
        <v>60</v>
      </c>
      <c r="F795" s="4" t="str">
        <f>IF(Table15678[[#This Row],[Age]]&lt;=19,"Teenager",IF(Table15678[[#This Row],[Age]]&lt;=40,"Median","Old"))</f>
        <v>Old</v>
      </c>
      <c r="G795" s="4" t="s">
        <v>11</v>
      </c>
      <c r="H795" s="4">
        <v>1</v>
      </c>
      <c r="I795" s="4">
        <v>300</v>
      </c>
      <c r="J795" s="4">
        <v>300</v>
      </c>
      <c r="K795" s="4" t="str" cm="1">
        <f t="array" ref="K795">_xlfn.IFS(AND(Table15678[[#This Row],[Total Amount]]&gt;=1500),"Critical",AND(Table15678[[#This Row],[Total Amount]]&gt;=1000),"High",TRUE,"Normal")</f>
        <v>Normal</v>
      </c>
      <c r="L795" s="4" t="str">
        <f>IF(Table15678[[#This Row],[Total Amount]]&gt;=1000,"High",(IF(Table15678[[#This Row],[Total Amount]]&gt;=500,"Medium","Low")))</f>
        <v>Low</v>
      </c>
      <c r="M795" s="4" t="str" cm="1">
        <f t="array" ref="M79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95" s="4" cm="1">
        <f t="array" ref="N79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795" s="4">
        <f>Table15678[[#This Row],[Total Amount]]-Table15678[[#This Row],[Discount Amount]]</f>
        <v>240</v>
      </c>
      <c r="P795" s="4" t="str">
        <f>IF(Table15678[[#This Row],[Total Amount]]&gt;=1000,"High","Low")</f>
        <v>Low</v>
      </c>
      <c r="Q795" s="4" t="str" cm="1">
        <f t="array" ref="Q795">_xlfn.IFS(AND(Table15678[[#This Row],[Total Amount]]&gt;=1500,"Critical"),AND(Table15678[[#This Row],[Total Amount]]&gt;=1000,"High"),TRUE,"Normal")</f>
        <v>Normal</v>
      </c>
      <c r="R795" s="4" t="str">
        <f>CONCATENATE(Table15678[[#This Row],[Customer ID]], "-",Table15678[[#This Row],[Age]])</f>
        <v>CUST794-60</v>
      </c>
      <c r="S795" s="4" t="str">
        <f>TEXT(Table15678[[#This Row],[Date]],"mmm")</f>
        <v>Sep</v>
      </c>
      <c r="T795" s="4" t="str">
        <f>TEXT(Table15678[[#This Row],[Date]],"DDD")</f>
        <v>Sun</v>
      </c>
    </row>
    <row r="796" spans="1:20" ht="29" x14ac:dyDescent="0.35">
      <c r="A796" s="4">
        <v>795</v>
      </c>
      <c r="B796" s="5">
        <v>45258</v>
      </c>
      <c r="C796" s="4" t="s">
        <v>808</v>
      </c>
      <c r="D796" s="4" t="s">
        <v>10</v>
      </c>
      <c r="E796" s="4">
        <v>57</v>
      </c>
      <c r="F796" s="4" t="str">
        <f>IF(Table15678[[#This Row],[Age]]&lt;=19,"Teenager",IF(Table15678[[#This Row],[Age]]&lt;=40,"Median","Old"))</f>
        <v>Old</v>
      </c>
      <c r="G796" s="4" t="s">
        <v>16</v>
      </c>
      <c r="H796" s="4">
        <v>1</v>
      </c>
      <c r="I796" s="4">
        <v>300</v>
      </c>
      <c r="J796" s="4">
        <v>300</v>
      </c>
      <c r="K796" s="4" t="str" cm="1">
        <f t="array" ref="K796">_xlfn.IFS(AND(Table15678[[#This Row],[Total Amount]]&gt;=1500),"Critical",AND(Table15678[[#This Row],[Total Amount]]&gt;=1000),"High",TRUE,"Normal")</f>
        <v>Normal</v>
      </c>
      <c r="L796" s="4" t="str">
        <f>IF(Table15678[[#This Row],[Total Amount]]&gt;=1000,"High",(IF(Table15678[[#This Row],[Total Amount]]&gt;=500,"Medium","Low")))</f>
        <v>Low</v>
      </c>
      <c r="M796" s="4" t="str" cm="1">
        <f t="array" ref="M79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96" s="4" cm="1">
        <f t="array" ref="N79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796" s="4">
        <f>Table15678[[#This Row],[Total Amount]]-Table15678[[#This Row],[Discount Amount]]</f>
        <v>270</v>
      </c>
      <c r="P796" s="4" t="str">
        <f>IF(Table15678[[#This Row],[Total Amount]]&gt;=1000,"High","Low")</f>
        <v>Low</v>
      </c>
      <c r="Q796" s="4" t="str" cm="1">
        <f t="array" ref="Q796">_xlfn.IFS(AND(Table15678[[#This Row],[Total Amount]]&gt;=1500,"Critical"),AND(Table15678[[#This Row],[Total Amount]]&gt;=1000,"High"),TRUE,"Normal")</f>
        <v>Normal</v>
      </c>
      <c r="R796" s="4" t="str">
        <f>CONCATENATE(Table15678[[#This Row],[Customer ID]], "-",Table15678[[#This Row],[Age]])</f>
        <v>CUST795-57</v>
      </c>
      <c r="S796" s="4" t="str">
        <f>TEXT(Table15678[[#This Row],[Date]],"mmm")</f>
        <v>Nov</v>
      </c>
      <c r="T796" s="4" t="str">
        <f>TEXT(Table15678[[#This Row],[Date]],"DDD")</f>
        <v>Tue</v>
      </c>
    </row>
    <row r="797" spans="1:20" ht="29" x14ac:dyDescent="0.35">
      <c r="A797" s="4">
        <v>796</v>
      </c>
      <c r="B797" s="5">
        <v>45101</v>
      </c>
      <c r="C797" s="4" t="s">
        <v>809</v>
      </c>
      <c r="D797" s="4" t="s">
        <v>10</v>
      </c>
      <c r="E797" s="4">
        <v>43</v>
      </c>
      <c r="F797" s="4" t="str">
        <f>IF(Table15678[[#This Row],[Age]]&lt;=19,"Teenager",IF(Table15678[[#This Row],[Age]]&lt;=40,"Median","Old"))</f>
        <v>Old</v>
      </c>
      <c r="G797" s="4" t="s">
        <v>11</v>
      </c>
      <c r="H797" s="4">
        <v>4</v>
      </c>
      <c r="I797" s="4">
        <v>30</v>
      </c>
      <c r="J797" s="4">
        <v>120</v>
      </c>
      <c r="K797" s="4" t="str" cm="1">
        <f t="array" ref="K797">_xlfn.IFS(AND(Table15678[[#This Row],[Total Amount]]&gt;=1500),"Critical",AND(Table15678[[#This Row],[Total Amount]]&gt;=1000),"High",TRUE,"Normal")</f>
        <v>Normal</v>
      </c>
      <c r="L797" s="4" t="str">
        <f>IF(Table15678[[#This Row],[Total Amount]]&gt;=1000,"High",(IF(Table15678[[#This Row],[Total Amount]]&gt;=500,"Medium","Low")))</f>
        <v>Low</v>
      </c>
      <c r="M797" s="4" t="str" cm="1">
        <f t="array" ref="M79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97" s="4" cm="1">
        <f t="array" ref="N79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797" s="4">
        <f>Table15678[[#This Row],[Total Amount]]-Table15678[[#This Row],[Discount Amount]]</f>
        <v>108</v>
      </c>
      <c r="P797" s="4" t="str">
        <f>IF(Table15678[[#This Row],[Total Amount]]&gt;=1000,"High","Low")</f>
        <v>Low</v>
      </c>
      <c r="Q797" s="4" t="str" cm="1">
        <f t="array" ref="Q797">_xlfn.IFS(AND(Table15678[[#This Row],[Total Amount]]&gt;=1500,"Critical"),AND(Table15678[[#This Row],[Total Amount]]&gt;=1000,"High"),TRUE,"Normal")</f>
        <v>Normal</v>
      </c>
      <c r="R797" s="4" t="str">
        <f>CONCATENATE(Table15678[[#This Row],[Customer ID]], "-",Table15678[[#This Row],[Age]])</f>
        <v>CUST796-43</v>
      </c>
      <c r="S797" s="4" t="str">
        <f>TEXT(Table15678[[#This Row],[Date]],"mmm")</f>
        <v>Jun</v>
      </c>
      <c r="T797" s="4" t="str">
        <f>TEXT(Table15678[[#This Row],[Date]],"DDD")</f>
        <v>Sat</v>
      </c>
    </row>
    <row r="798" spans="1:20" ht="29" x14ac:dyDescent="0.35">
      <c r="A798" s="4">
        <v>797</v>
      </c>
      <c r="B798" s="5">
        <v>44933</v>
      </c>
      <c r="C798" s="4" t="s">
        <v>810</v>
      </c>
      <c r="D798" s="4" t="s">
        <v>10</v>
      </c>
      <c r="E798" s="4">
        <v>40</v>
      </c>
      <c r="F798" s="4" t="str">
        <f>IF(Table15678[[#This Row],[Age]]&lt;=19,"Teenager",IF(Table15678[[#This Row],[Age]]&lt;=40,"Median","Old"))</f>
        <v>Median</v>
      </c>
      <c r="G798" s="4" t="s">
        <v>14</v>
      </c>
      <c r="H798" s="4">
        <v>3</v>
      </c>
      <c r="I798" s="4">
        <v>25</v>
      </c>
      <c r="J798" s="4">
        <v>75</v>
      </c>
      <c r="K798" s="4" t="str" cm="1">
        <f t="array" ref="K798">_xlfn.IFS(AND(Table15678[[#This Row],[Total Amount]]&gt;=1500),"Critical",AND(Table15678[[#This Row],[Total Amount]]&gt;=1000),"High",TRUE,"Normal")</f>
        <v>Normal</v>
      </c>
      <c r="L798" s="4" t="str">
        <f>IF(Table15678[[#This Row],[Total Amount]]&gt;=1000,"High",(IF(Table15678[[#This Row],[Total Amount]]&gt;=500,"Medium","Low")))</f>
        <v>Low</v>
      </c>
      <c r="M798" s="4" t="str" cm="1">
        <f t="array" ref="M79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98" s="4" cm="1">
        <f t="array" ref="N79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798" s="4">
        <f>Table15678[[#This Row],[Total Amount]]-Table15678[[#This Row],[Discount Amount]]</f>
        <v>67.5</v>
      </c>
      <c r="P798" s="4" t="str">
        <f>IF(Table15678[[#This Row],[Total Amount]]&gt;=1000,"High","Low")</f>
        <v>Low</v>
      </c>
      <c r="Q798" s="4" t="str" cm="1">
        <f t="array" ref="Q798">_xlfn.IFS(AND(Table15678[[#This Row],[Total Amount]]&gt;=1500,"Critical"),AND(Table15678[[#This Row],[Total Amount]]&gt;=1000,"High"),TRUE,"Normal")</f>
        <v>Normal</v>
      </c>
      <c r="R798" s="4" t="str">
        <f>CONCATENATE(Table15678[[#This Row],[Customer ID]], "-",Table15678[[#This Row],[Age]])</f>
        <v>CUST797-40</v>
      </c>
      <c r="S798" s="4" t="str">
        <f>TEXT(Table15678[[#This Row],[Date]],"mmm")</f>
        <v>Jan</v>
      </c>
      <c r="T798" s="4" t="str">
        <f>TEXT(Table15678[[#This Row],[Date]],"DDD")</f>
        <v>Sat</v>
      </c>
    </row>
    <row r="799" spans="1:20" ht="29" x14ac:dyDescent="0.35">
      <c r="A799" s="4">
        <v>798</v>
      </c>
      <c r="B799" s="5">
        <v>45142</v>
      </c>
      <c r="C799" s="4" t="s">
        <v>811</v>
      </c>
      <c r="D799" s="4" t="s">
        <v>10</v>
      </c>
      <c r="E799" s="4">
        <v>61</v>
      </c>
      <c r="F799" s="4" t="str">
        <f>IF(Table15678[[#This Row],[Age]]&lt;=19,"Teenager",IF(Table15678[[#This Row],[Age]]&lt;=40,"Median","Old"))</f>
        <v>Old</v>
      </c>
      <c r="G799" s="4" t="s">
        <v>14</v>
      </c>
      <c r="H799" s="4">
        <v>1</v>
      </c>
      <c r="I799" s="4">
        <v>50</v>
      </c>
      <c r="J799" s="4">
        <v>50</v>
      </c>
      <c r="K799" s="4" t="str" cm="1">
        <f t="array" ref="K799">_xlfn.IFS(AND(Table15678[[#This Row],[Total Amount]]&gt;=1500),"Critical",AND(Table15678[[#This Row],[Total Amount]]&gt;=1000),"High",TRUE,"Normal")</f>
        <v>Normal</v>
      </c>
      <c r="L799" s="4" t="str">
        <f>IF(Table15678[[#This Row],[Total Amount]]&gt;=1000,"High",(IF(Table15678[[#This Row],[Total Amount]]&gt;=500,"Medium","Low")))</f>
        <v>Low</v>
      </c>
      <c r="M799" s="4" t="str" cm="1">
        <f t="array" ref="M79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799" s="4" cm="1">
        <f t="array" ref="N79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799" s="4">
        <f>Table15678[[#This Row],[Total Amount]]-Table15678[[#This Row],[Discount Amount]]</f>
        <v>45</v>
      </c>
      <c r="P799" s="4" t="str">
        <f>IF(Table15678[[#This Row],[Total Amount]]&gt;=1000,"High","Low")</f>
        <v>Low</v>
      </c>
      <c r="Q799" s="4" t="str" cm="1">
        <f t="array" ref="Q799">_xlfn.IFS(AND(Table15678[[#This Row],[Total Amount]]&gt;=1500,"Critical"),AND(Table15678[[#This Row],[Total Amount]]&gt;=1000,"High"),TRUE,"Normal")</f>
        <v>Normal</v>
      </c>
      <c r="R799" s="4" t="str">
        <f>CONCATENATE(Table15678[[#This Row],[Customer ID]], "-",Table15678[[#This Row],[Age]])</f>
        <v>CUST798-61</v>
      </c>
      <c r="S799" s="4" t="str">
        <f>TEXT(Table15678[[#This Row],[Date]],"mmm")</f>
        <v>Aug</v>
      </c>
      <c r="T799" s="4" t="str">
        <f>TEXT(Table15678[[#This Row],[Date]],"DDD")</f>
        <v>Fri</v>
      </c>
    </row>
    <row r="800" spans="1:20" ht="29" x14ac:dyDescent="0.35">
      <c r="A800" s="4">
        <v>799</v>
      </c>
      <c r="B800" s="5">
        <v>45177</v>
      </c>
      <c r="C800" s="4" t="s">
        <v>812</v>
      </c>
      <c r="D800" s="4" t="s">
        <v>10</v>
      </c>
      <c r="E800" s="4">
        <v>56</v>
      </c>
      <c r="F800" s="4" t="str">
        <f>IF(Table15678[[#This Row],[Age]]&lt;=19,"Teenager",IF(Table15678[[#This Row],[Age]]&lt;=40,"Median","Old"))</f>
        <v>Old</v>
      </c>
      <c r="G800" s="4" t="s">
        <v>16</v>
      </c>
      <c r="H800" s="4">
        <v>2</v>
      </c>
      <c r="I800" s="4">
        <v>50</v>
      </c>
      <c r="J800" s="4">
        <v>100</v>
      </c>
      <c r="K800" s="4" t="str" cm="1">
        <f t="array" ref="K800">_xlfn.IFS(AND(Table15678[[#This Row],[Total Amount]]&gt;=1500),"Critical",AND(Table15678[[#This Row],[Total Amount]]&gt;=1000),"High",TRUE,"Normal")</f>
        <v>Normal</v>
      </c>
      <c r="L800" s="4" t="str">
        <f>IF(Table15678[[#This Row],[Total Amount]]&gt;=1000,"High",(IF(Table15678[[#This Row],[Total Amount]]&gt;=500,"Medium","Low")))</f>
        <v>Low</v>
      </c>
      <c r="M800" s="4" t="str" cm="1">
        <f t="array" ref="M80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00" s="4" cm="1">
        <f t="array" ref="N80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800" s="4">
        <f>Table15678[[#This Row],[Total Amount]]-Table15678[[#This Row],[Discount Amount]]</f>
        <v>90</v>
      </c>
      <c r="P800" s="4" t="str">
        <f>IF(Table15678[[#This Row],[Total Amount]]&gt;=1000,"High","Low")</f>
        <v>Low</v>
      </c>
      <c r="Q800" s="4" t="str" cm="1">
        <f t="array" ref="Q800">_xlfn.IFS(AND(Table15678[[#This Row],[Total Amount]]&gt;=1500,"Critical"),AND(Table15678[[#This Row],[Total Amount]]&gt;=1000,"High"),TRUE,"Normal")</f>
        <v>Normal</v>
      </c>
      <c r="R800" s="4" t="str">
        <f>CONCATENATE(Table15678[[#This Row],[Customer ID]], "-",Table15678[[#This Row],[Age]])</f>
        <v>CUST799-56</v>
      </c>
      <c r="S800" s="4" t="str">
        <f>TEXT(Table15678[[#This Row],[Date]],"mmm")</f>
        <v>Sep</v>
      </c>
      <c r="T800" s="4" t="str">
        <f>TEXT(Table15678[[#This Row],[Date]],"DDD")</f>
        <v>Fri</v>
      </c>
    </row>
    <row r="801" spans="1:20" ht="29" x14ac:dyDescent="0.35">
      <c r="A801" s="4">
        <v>800</v>
      </c>
      <c r="B801" s="5">
        <v>44981</v>
      </c>
      <c r="C801" s="4" t="s">
        <v>813</v>
      </c>
      <c r="D801" s="4" t="s">
        <v>10</v>
      </c>
      <c r="E801" s="4">
        <v>32</v>
      </c>
      <c r="F801" s="4" t="str">
        <f>IF(Table15678[[#This Row],[Age]]&lt;=19,"Teenager",IF(Table15678[[#This Row],[Age]]&lt;=40,"Median","Old"))</f>
        <v>Median</v>
      </c>
      <c r="G801" s="4" t="s">
        <v>14</v>
      </c>
      <c r="H801" s="4">
        <v>4</v>
      </c>
      <c r="I801" s="4">
        <v>300</v>
      </c>
      <c r="J801" s="4">
        <v>1200</v>
      </c>
      <c r="K801" s="4" t="str" cm="1">
        <f t="array" ref="K801">_xlfn.IFS(AND(Table15678[[#This Row],[Total Amount]]&gt;=1500),"Critical",AND(Table15678[[#This Row],[Total Amount]]&gt;=1000),"High",TRUE,"Normal")</f>
        <v>High</v>
      </c>
      <c r="L801" s="4" t="str">
        <f>IF(Table15678[[#This Row],[Total Amount]]&gt;=1000,"High",(IF(Table15678[[#This Row],[Total Amount]]&gt;=500,"Medium","Low")))</f>
        <v>High</v>
      </c>
      <c r="M801" s="4" t="str" cm="1">
        <f t="array" ref="M80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01" s="4" cm="1">
        <f t="array" ref="N80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801" s="4">
        <f>Table15678[[#This Row],[Total Amount]]-Table15678[[#This Row],[Discount Amount]]</f>
        <v>1020</v>
      </c>
      <c r="P801" s="4" t="str">
        <f>IF(Table15678[[#This Row],[Total Amount]]&gt;=1000,"High","Low")</f>
        <v>High</v>
      </c>
      <c r="Q801" s="4" t="str" cm="1">
        <f t="array" ref="Q801">_xlfn.IFS(AND(Table15678[[#This Row],[Total Amount]]&gt;=1500,"Critical"),AND(Table15678[[#This Row],[Total Amount]]&gt;=1000,"High"),TRUE,"Normal")</f>
        <v>Normal</v>
      </c>
      <c r="R801" s="4" t="str">
        <f>CONCATENATE(Table15678[[#This Row],[Customer ID]], "-",Table15678[[#This Row],[Age]])</f>
        <v>CUST800-32</v>
      </c>
      <c r="S801" s="4" t="str">
        <f>TEXT(Table15678[[#This Row],[Date]],"mmm")</f>
        <v>Feb</v>
      </c>
      <c r="T801" s="4" t="str">
        <f>TEXT(Table15678[[#This Row],[Date]],"DDD")</f>
        <v>Fri</v>
      </c>
    </row>
    <row r="802" spans="1:20" ht="29" x14ac:dyDescent="0.35">
      <c r="A802" s="4">
        <v>801</v>
      </c>
      <c r="B802" s="5">
        <v>45148</v>
      </c>
      <c r="C802" s="4" t="s">
        <v>814</v>
      </c>
      <c r="D802" s="4" t="s">
        <v>10</v>
      </c>
      <c r="E802" s="4">
        <v>21</v>
      </c>
      <c r="F802" s="4" t="str">
        <f>IF(Table15678[[#This Row],[Age]]&lt;=19,"Teenager",IF(Table15678[[#This Row],[Age]]&lt;=40,"Median","Old"))</f>
        <v>Median</v>
      </c>
      <c r="G802" s="4" t="s">
        <v>14</v>
      </c>
      <c r="H802" s="4">
        <v>4</v>
      </c>
      <c r="I802" s="4">
        <v>50</v>
      </c>
      <c r="J802" s="4">
        <v>200</v>
      </c>
      <c r="K802" s="4" t="str" cm="1">
        <f t="array" ref="K802">_xlfn.IFS(AND(Table15678[[#This Row],[Total Amount]]&gt;=1500),"Critical",AND(Table15678[[#This Row],[Total Amount]]&gt;=1000),"High",TRUE,"Normal")</f>
        <v>Normal</v>
      </c>
      <c r="L802" s="4" t="str">
        <f>IF(Table15678[[#This Row],[Total Amount]]&gt;=1000,"High",(IF(Table15678[[#This Row],[Total Amount]]&gt;=500,"Medium","Low")))</f>
        <v>Low</v>
      </c>
      <c r="M802" s="4" t="str" cm="1">
        <f t="array" ref="M80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802" s="4" cm="1">
        <f t="array" ref="N80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802" s="4">
        <f>Table15678[[#This Row],[Total Amount]]-Table15678[[#This Row],[Discount Amount]]</f>
        <v>200</v>
      </c>
      <c r="P802" s="4" t="str">
        <f>IF(Table15678[[#This Row],[Total Amount]]&gt;=1000,"High","Low")</f>
        <v>Low</v>
      </c>
      <c r="Q802" s="4" t="str" cm="1">
        <f t="array" ref="Q802">_xlfn.IFS(AND(Table15678[[#This Row],[Total Amount]]&gt;=1500,"Critical"),AND(Table15678[[#This Row],[Total Amount]]&gt;=1000,"High"),TRUE,"Normal")</f>
        <v>Normal</v>
      </c>
      <c r="R802" s="4" t="str">
        <f>CONCATENATE(Table15678[[#This Row],[Customer ID]], "-",Table15678[[#This Row],[Age]])</f>
        <v>CUST801-21</v>
      </c>
      <c r="S802" s="4" t="str">
        <f>TEXT(Table15678[[#This Row],[Date]],"mmm")</f>
        <v>Aug</v>
      </c>
      <c r="T802" s="4" t="str">
        <f>TEXT(Table15678[[#This Row],[Date]],"DDD")</f>
        <v>Thu</v>
      </c>
    </row>
    <row r="803" spans="1:20" ht="29" x14ac:dyDescent="0.35">
      <c r="A803" s="4">
        <v>802</v>
      </c>
      <c r="B803" s="5">
        <v>45112</v>
      </c>
      <c r="C803" s="4" t="s">
        <v>815</v>
      </c>
      <c r="D803" s="4" t="s">
        <v>13</v>
      </c>
      <c r="E803" s="4">
        <v>46</v>
      </c>
      <c r="F803" s="4" t="str">
        <f>IF(Table15678[[#This Row],[Age]]&lt;=19,"Teenager",IF(Table15678[[#This Row],[Age]]&lt;=40,"Median","Old"))</f>
        <v>Old</v>
      </c>
      <c r="G803" s="4" t="s">
        <v>11</v>
      </c>
      <c r="H803" s="4">
        <v>1</v>
      </c>
      <c r="I803" s="4">
        <v>30</v>
      </c>
      <c r="J803" s="4">
        <v>30</v>
      </c>
      <c r="K803" s="4" t="str" cm="1">
        <f t="array" ref="K803">_xlfn.IFS(AND(Table15678[[#This Row],[Total Amount]]&gt;=1500),"Critical",AND(Table15678[[#This Row],[Total Amount]]&gt;=1000),"High",TRUE,"Normal")</f>
        <v>Normal</v>
      </c>
      <c r="L803" s="4" t="str">
        <f>IF(Table15678[[#This Row],[Total Amount]]&gt;=1000,"High",(IF(Table15678[[#This Row],[Total Amount]]&gt;=500,"Medium","Low")))</f>
        <v>Low</v>
      </c>
      <c r="M803" s="4" t="str" cm="1">
        <f t="array" ref="M80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03" s="4" cm="1">
        <f t="array" ref="N80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803" s="4">
        <f>Table15678[[#This Row],[Total Amount]]-Table15678[[#This Row],[Discount Amount]]</f>
        <v>24</v>
      </c>
      <c r="P803" s="4" t="str">
        <f>IF(Table15678[[#This Row],[Total Amount]]&gt;=1000,"High","Low")</f>
        <v>Low</v>
      </c>
      <c r="Q803" s="4" t="str" cm="1">
        <f t="array" ref="Q803">_xlfn.IFS(AND(Table15678[[#This Row],[Total Amount]]&gt;=1500,"Critical"),AND(Table15678[[#This Row],[Total Amount]]&gt;=1000,"High"),TRUE,"Normal")</f>
        <v>Normal</v>
      </c>
      <c r="R803" s="4" t="str">
        <f>CONCATENATE(Table15678[[#This Row],[Customer ID]], "-",Table15678[[#This Row],[Age]])</f>
        <v>CUST802-46</v>
      </c>
      <c r="S803" s="4" t="str">
        <f>TEXT(Table15678[[#This Row],[Date]],"mmm")</f>
        <v>Jul</v>
      </c>
      <c r="T803" s="4" t="str">
        <f>TEXT(Table15678[[#This Row],[Date]],"DDD")</f>
        <v>Wed</v>
      </c>
    </row>
    <row r="804" spans="1:20" ht="29" x14ac:dyDescent="0.35">
      <c r="A804" s="4">
        <v>803</v>
      </c>
      <c r="B804" s="5">
        <v>45252</v>
      </c>
      <c r="C804" s="4" t="s">
        <v>816</v>
      </c>
      <c r="D804" s="4" t="s">
        <v>10</v>
      </c>
      <c r="E804" s="4">
        <v>39</v>
      </c>
      <c r="F804" s="4" t="str">
        <f>IF(Table15678[[#This Row],[Age]]&lt;=19,"Teenager",IF(Table15678[[#This Row],[Age]]&lt;=40,"Median","Old"))</f>
        <v>Median</v>
      </c>
      <c r="G804" s="4" t="s">
        <v>14</v>
      </c>
      <c r="H804" s="4">
        <v>4</v>
      </c>
      <c r="I804" s="4">
        <v>25</v>
      </c>
      <c r="J804" s="4">
        <v>100</v>
      </c>
      <c r="K804" s="4" t="str" cm="1">
        <f t="array" ref="K804">_xlfn.IFS(AND(Table15678[[#This Row],[Total Amount]]&gt;=1500),"Critical",AND(Table15678[[#This Row],[Total Amount]]&gt;=1000),"High",TRUE,"Normal")</f>
        <v>Normal</v>
      </c>
      <c r="L804" s="4" t="str">
        <f>IF(Table15678[[#This Row],[Total Amount]]&gt;=1000,"High",(IF(Table15678[[#This Row],[Total Amount]]&gt;=500,"Medium","Low")))</f>
        <v>Low</v>
      </c>
      <c r="M804" s="4" t="str" cm="1">
        <f t="array" ref="M80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04" s="4" cm="1">
        <f t="array" ref="N80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804" s="4">
        <f>Table15678[[#This Row],[Total Amount]]-Table15678[[#This Row],[Discount Amount]]</f>
        <v>90</v>
      </c>
      <c r="P804" s="4" t="str">
        <f>IF(Table15678[[#This Row],[Total Amount]]&gt;=1000,"High","Low")</f>
        <v>Low</v>
      </c>
      <c r="Q804" s="4" t="str" cm="1">
        <f t="array" ref="Q804">_xlfn.IFS(AND(Table15678[[#This Row],[Total Amount]]&gt;=1500,"Critical"),AND(Table15678[[#This Row],[Total Amount]]&gt;=1000,"High"),TRUE,"Normal")</f>
        <v>Normal</v>
      </c>
      <c r="R804" s="4" t="str">
        <f>CONCATENATE(Table15678[[#This Row],[Customer ID]], "-",Table15678[[#This Row],[Age]])</f>
        <v>CUST803-39</v>
      </c>
      <c r="S804" s="4" t="str">
        <f>TEXT(Table15678[[#This Row],[Date]],"mmm")</f>
        <v>Nov</v>
      </c>
      <c r="T804" s="4" t="str">
        <f>TEXT(Table15678[[#This Row],[Date]],"DDD")</f>
        <v>Wed</v>
      </c>
    </row>
    <row r="805" spans="1:20" ht="29" x14ac:dyDescent="0.35">
      <c r="A805" s="4">
        <v>804</v>
      </c>
      <c r="B805" s="5">
        <v>45162</v>
      </c>
      <c r="C805" s="4" t="s">
        <v>817</v>
      </c>
      <c r="D805" s="4" t="s">
        <v>10</v>
      </c>
      <c r="E805" s="4">
        <v>42</v>
      </c>
      <c r="F805" s="4" t="str">
        <f>IF(Table15678[[#This Row],[Age]]&lt;=19,"Teenager",IF(Table15678[[#This Row],[Age]]&lt;=40,"Median","Old"))</f>
        <v>Old</v>
      </c>
      <c r="G805" s="4" t="s">
        <v>16</v>
      </c>
      <c r="H805" s="4">
        <v>1</v>
      </c>
      <c r="I805" s="4">
        <v>30</v>
      </c>
      <c r="J805" s="4">
        <v>30</v>
      </c>
      <c r="K805" s="4" t="str" cm="1">
        <f t="array" ref="K805">_xlfn.IFS(AND(Table15678[[#This Row],[Total Amount]]&gt;=1500),"Critical",AND(Table15678[[#This Row],[Total Amount]]&gt;=1000),"High",TRUE,"Normal")</f>
        <v>Normal</v>
      </c>
      <c r="L805" s="4" t="str">
        <f>IF(Table15678[[#This Row],[Total Amount]]&gt;=1000,"High",(IF(Table15678[[#This Row],[Total Amount]]&gt;=500,"Medium","Low")))</f>
        <v>Low</v>
      </c>
      <c r="M805" s="4" t="str" cm="1">
        <f t="array" ref="M80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05" s="4" cm="1">
        <f t="array" ref="N80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</v>
      </c>
      <c r="O805" s="4">
        <f>Table15678[[#This Row],[Total Amount]]-Table15678[[#This Row],[Discount Amount]]</f>
        <v>27</v>
      </c>
      <c r="P805" s="4" t="str">
        <f>IF(Table15678[[#This Row],[Total Amount]]&gt;=1000,"High","Low")</f>
        <v>Low</v>
      </c>
      <c r="Q805" s="4" t="str" cm="1">
        <f t="array" ref="Q805">_xlfn.IFS(AND(Table15678[[#This Row],[Total Amount]]&gt;=1500,"Critical"),AND(Table15678[[#This Row],[Total Amount]]&gt;=1000,"High"),TRUE,"Normal")</f>
        <v>Normal</v>
      </c>
      <c r="R805" s="4" t="str">
        <f>CONCATENATE(Table15678[[#This Row],[Customer ID]], "-",Table15678[[#This Row],[Age]])</f>
        <v>CUST804-42</v>
      </c>
      <c r="S805" s="4" t="str">
        <f>TEXT(Table15678[[#This Row],[Date]],"mmm")</f>
        <v>Aug</v>
      </c>
      <c r="T805" s="4" t="str">
        <f>TEXT(Table15678[[#This Row],[Date]],"DDD")</f>
        <v>Thu</v>
      </c>
    </row>
    <row r="806" spans="1:20" ht="29" x14ac:dyDescent="0.35">
      <c r="A806" s="4">
        <v>805</v>
      </c>
      <c r="B806" s="5">
        <v>45289</v>
      </c>
      <c r="C806" s="4" t="s">
        <v>818</v>
      </c>
      <c r="D806" s="4" t="s">
        <v>13</v>
      </c>
      <c r="E806" s="4">
        <v>30</v>
      </c>
      <c r="F806" s="4" t="str">
        <f>IF(Table15678[[#This Row],[Age]]&lt;=19,"Teenager",IF(Table15678[[#This Row],[Age]]&lt;=40,"Median","Old"))</f>
        <v>Median</v>
      </c>
      <c r="G806" s="4" t="s">
        <v>11</v>
      </c>
      <c r="H806" s="4">
        <v>3</v>
      </c>
      <c r="I806" s="4">
        <v>500</v>
      </c>
      <c r="J806" s="4">
        <v>1500</v>
      </c>
      <c r="K806" s="4" t="str" cm="1">
        <f t="array" ref="K806">_xlfn.IFS(AND(Table15678[[#This Row],[Total Amount]]&gt;=1500),"Critical",AND(Table15678[[#This Row],[Total Amount]]&gt;=1000),"High",TRUE,"Normal")</f>
        <v>Critical</v>
      </c>
      <c r="L806" s="4" t="str">
        <f>IF(Table15678[[#This Row],[Total Amount]]&gt;=1000,"High",(IF(Table15678[[#This Row],[Total Amount]]&gt;=500,"Medium","Low")))</f>
        <v>High</v>
      </c>
      <c r="M806" s="4" t="str" cm="1">
        <f t="array" ref="M80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06" s="4" cm="1">
        <f t="array" ref="N80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225</v>
      </c>
      <c r="O806" s="4">
        <f>Table15678[[#This Row],[Total Amount]]-Table15678[[#This Row],[Discount Amount]]</f>
        <v>1275</v>
      </c>
      <c r="P806" s="4" t="str">
        <f>IF(Table15678[[#This Row],[Total Amount]]&gt;=1000,"High","Low")</f>
        <v>High</v>
      </c>
      <c r="Q806" s="4" t="b" cm="1">
        <f t="array" ref="Q806">_xlfn.IFS(AND(Table15678[[#This Row],[Total Amount]]&gt;=1500,"Critical"),AND(Table15678[[#This Row],[Total Amount]]&gt;=1000,"High"),TRUE,"Normal")</f>
        <v>1</v>
      </c>
      <c r="R806" s="4" t="str">
        <f>CONCATENATE(Table15678[[#This Row],[Customer ID]], "-",Table15678[[#This Row],[Age]])</f>
        <v>CUST805-30</v>
      </c>
      <c r="S806" s="4" t="str">
        <f>TEXT(Table15678[[#This Row],[Date]],"mmm")</f>
        <v>Dec</v>
      </c>
      <c r="T806" s="4" t="str">
        <f>TEXT(Table15678[[#This Row],[Date]],"DDD")</f>
        <v>Fri</v>
      </c>
    </row>
    <row r="807" spans="1:20" ht="29" x14ac:dyDescent="0.35">
      <c r="A807" s="4">
        <v>806</v>
      </c>
      <c r="B807" s="5">
        <v>45005</v>
      </c>
      <c r="C807" s="4" t="s">
        <v>819</v>
      </c>
      <c r="D807" s="4" t="s">
        <v>13</v>
      </c>
      <c r="E807" s="4">
        <v>35</v>
      </c>
      <c r="F807" s="4" t="str">
        <f>IF(Table15678[[#This Row],[Age]]&lt;=19,"Teenager",IF(Table15678[[#This Row],[Age]]&lt;=40,"Median","Old"))</f>
        <v>Median</v>
      </c>
      <c r="G807" s="4" t="s">
        <v>11</v>
      </c>
      <c r="H807" s="4">
        <v>3</v>
      </c>
      <c r="I807" s="4">
        <v>300</v>
      </c>
      <c r="J807" s="4">
        <v>900</v>
      </c>
      <c r="K807" s="4" t="str" cm="1">
        <f t="array" ref="K807">_xlfn.IFS(AND(Table15678[[#This Row],[Total Amount]]&gt;=1500),"Critical",AND(Table15678[[#This Row],[Total Amount]]&gt;=1000),"High",TRUE,"Normal")</f>
        <v>Normal</v>
      </c>
      <c r="L807" s="4" t="str">
        <f>IF(Table15678[[#This Row],[Total Amount]]&gt;=1000,"High",(IF(Table15678[[#This Row],[Total Amount]]&gt;=500,"Medium","Low")))</f>
        <v>Medium</v>
      </c>
      <c r="M807" s="4" t="str" cm="1">
        <f t="array" ref="M80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07" s="4" cm="1">
        <f t="array" ref="N80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807" s="4">
        <f>Table15678[[#This Row],[Total Amount]]-Table15678[[#This Row],[Discount Amount]]</f>
        <v>720</v>
      </c>
      <c r="P807" s="4" t="str">
        <f>IF(Table15678[[#This Row],[Total Amount]]&gt;=1000,"High","Low")</f>
        <v>Low</v>
      </c>
      <c r="Q807" s="4" t="str" cm="1">
        <f t="array" ref="Q807">_xlfn.IFS(AND(Table15678[[#This Row],[Total Amount]]&gt;=1500,"Critical"),AND(Table15678[[#This Row],[Total Amount]]&gt;=1000,"High"),TRUE,"Normal")</f>
        <v>Normal</v>
      </c>
      <c r="R807" s="4" t="str">
        <f>CONCATENATE(Table15678[[#This Row],[Customer ID]], "-",Table15678[[#This Row],[Age]])</f>
        <v>CUST806-35</v>
      </c>
      <c r="S807" s="4" t="str">
        <f>TEXT(Table15678[[#This Row],[Date]],"mmm")</f>
        <v>Mar</v>
      </c>
      <c r="T807" s="4" t="str">
        <f>TEXT(Table15678[[#This Row],[Date]],"DDD")</f>
        <v>Mon</v>
      </c>
    </row>
    <row r="808" spans="1:20" ht="29" x14ac:dyDescent="0.35">
      <c r="A808" s="4">
        <v>807</v>
      </c>
      <c r="B808" s="5">
        <v>45149</v>
      </c>
      <c r="C808" s="4" t="s">
        <v>820</v>
      </c>
      <c r="D808" s="4" t="s">
        <v>13</v>
      </c>
      <c r="E808" s="4">
        <v>50</v>
      </c>
      <c r="F808" s="4" t="str">
        <f>IF(Table15678[[#This Row],[Age]]&lt;=19,"Teenager",IF(Table15678[[#This Row],[Age]]&lt;=40,"Median","Old"))</f>
        <v>Old</v>
      </c>
      <c r="G808" s="4" t="s">
        <v>16</v>
      </c>
      <c r="H808" s="4">
        <v>4</v>
      </c>
      <c r="I808" s="4">
        <v>50</v>
      </c>
      <c r="J808" s="4">
        <v>200</v>
      </c>
      <c r="K808" s="4" t="str" cm="1">
        <f t="array" ref="K808">_xlfn.IFS(AND(Table15678[[#This Row],[Total Amount]]&gt;=1500),"Critical",AND(Table15678[[#This Row],[Total Amount]]&gt;=1000),"High",TRUE,"Normal")</f>
        <v>Normal</v>
      </c>
      <c r="L808" s="4" t="str">
        <f>IF(Table15678[[#This Row],[Total Amount]]&gt;=1000,"High",(IF(Table15678[[#This Row],[Total Amount]]&gt;=500,"Medium","Low")))</f>
        <v>Low</v>
      </c>
      <c r="M808" s="4" t="str" cm="1">
        <f t="array" ref="M80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08" s="4" cm="1">
        <f t="array" ref="N80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</v>
      </c>
      <c r="O808" s="4">
        <f>Table15678[[#This Row],[Total Amount]]-Table15678[[#This Row],[Discount Amount]]</f>
        <v>160</v>
      </c>
      <c r="P808" s="4" t="str">
        <f>IF(Table15678[[#This Row],[Total Amount]]&gt;=1000,"High","Low")</f>
        <v>Low</v>
      </c>
      <c r="Q808" s="4" t="str" cm="1">
        <f t="array" ref="Q808">_xlfn.IFS(AND(Table15678[[#This Row],[Total Amount]]&gt;=1500,"Critical"),AND(Table15678[[#This Row],[Total Amount]]&gt;=1000,"High"),TRUE,"Normal")</f>
        <v>Normal</v>
      </c>
      <c r="R808" s="4" t="str">
        <f>CONCATENATE(Table15678[[#This Row],[Customer ID]], "-",Table15678[[#This Row],[Age]])</f>
        <v>CUST807-50</v>
      </c>
      <c r="S808" s="4" t="str">
        <f>TEXT(Table15678[[#This Row],[Date]],"mmm")</f>
        <v>Aug</v>
      </c>
      <c r="T808" s="4" t="str">
        <f>TEXT(Table15678[[#This Row],[Date]],"DDD")</f>
        <v>Fri</v>
      </c>
    </row>
    <row r="809" spans="1:20" ht="29" x14ac:dyDescent="0.35">
      <c r="A809" s="4">
        <v>808</v>
      </c>
      <c r="B809" s="5">
        <v>45017</v>
      </c>
      <c r="C809" s="4" t="s">
        <v>821</v>
      </c>
      <c r="D809" s="4" t="s">
        <v>10</v>
      </c>
      <c r="E809" s="4">
        <v>33</v>
      </c>
      <c r="F809" s="4" t="str">
        <f>IF(Table15678[[#This Row],[Age]]&lt;=19,"Teenager",IF(Table15678[[#This Row],[Age]]&lt;=40,"Median","Old"))</f>
        <v>Median</v>
      </c>
      <c r="G809" s="4" t="s">
        <v>11</v>
      </c>
      <c r="H809" s="4">
        <v>4</v>
      </c>
      <c r="I809" s="4">
        <v>500</v>
      </c>
      <c r="J809" s="4">
        <v>2000</v>
      </c>
      <c r="K809" s="4" t="str" cm="1">
        <f t="array" ref="K809">_xlfn.IFS(AND(Table15678[[#This Row],[Total Amount]]&gt;=1500),"Critical",AND(Table15678[[#This Row],[Total Amount]]&gt;=1000),"High",TRUE,"Normal")</f>
        <v>Critical</v>
      </c>
      <c r="L809" s="4" t="str">
        <f>IF(Table15678[[#This Row],[Total Amount]]&gt;=1000,"High",(IF(Table15678[[#This Row],[Total Amount]]&gt;=500,"Medium","Low")))</f>
        <v>High</v>
      </c>
      <c r="M809" s="4" t="str" cm="1">
        <f t="array" ref="M80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09" s="4" cm="1">
        <f t="array" ref="N80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809" s="4">
        <f>Table15678[[#This Row],[Total Amount]]-Table15678[[#This Row],[Discount Amount]]</f>
        <v>1700</v>
      </c>
      <c r="P809" s="4" t="str">
        <f>IF(Table15678[[#This Row],[Total Amount]]&gt;=1000,"High","Low")</f>
        <v>High</v>
      </c>
      <c r="Q809" s="4" t="b" cm="1">
        <f t="array" ref="Q809">_xlfn.IFS(AND(Table15678[[#This Row],[Total Amount]]&gt;=1500,"Critical"),AND(Table15678[[#This Row],[Total Amount]]&gt;=1000,"High"),TRUE,"Normal")</f>
        <v>1</v>
      </c>
      <c r="R809" s="4" t="str">
        <f>CONCATENATE(Table15678[[#This Row],[Customer ID]], "-",Table15678[[#This Row],[Age]])</f>
        <v>CUST808-33</v>
      </c>
      <c r="S809" s="4" t="str">
        <f>TEXT(Table15678[[#This Row],[Date]],"mmm")</f>
        <v>Apr</v>
      </c>
      <c r="T809" s="4" t="str">
        <f>TEXT(Table15678[[#This Row],[Date]],"DDD")</f>
        <v>Sat</v>
      </c>
    </row>
    <row r="810" spans="1:20" ht="29" x14ac:dyDescent="0.35">
      <c r="A810" s="4">
        <v>809</v>
      </c>
      <c r="B810" s="5">
        <v>45194</v>
      </c>
      <c r="C810" s="4" t="s">
        <v>822</v>
      </c>
      <c r="D810" s="4" t="s">
        <v>13</v>
      </c>
      <c r="E810" s="4">
        <v>62</v>
      </c>
      <c r="F810" s="4" t="str">
        <f>IF(Table15678[[#This Row],[Age]]&lt;=19,"Teenager",IF(Table15678[[#This Row],[Age]]&lt;=40,"Median","Old"))</f>
        <v>Old</v>
      </c>
      <c r="G810" s="4" t="s">
        <v>11</v>
      </c>
      <c r="H810" s="4">
        <v>2</v>
      </c>
      <c r="I810" s="4">
        <v>50</v>
      </c>
      <c r="J810" s="4">
        <v>100</v>
      </c>
      <c r="K810" s="4" t="str" cm="1">
        <f t="array" ref="K810">_xlfn.IFS(AND(Table15678[[#This Row],[Total Amount]]&gt;=1500),"Critical",AND(Table15678[[#This Row],[Total Amount]]&gt;=1000),"High",TRUE,"Normal")</f>
        <v>Normal</v>
      </c>
      <c r="L810" s="4" t="str">
        <f>IF(Table15678[[#This Row],[Total Amount]]&gt;=1000,"High",(IF(Table15678[[#This Row],[Total Amount]]&gt;=500,"Medium","Low")))</f>
        <v>Low</v>
      </c>
      <c r="M810" s="4" t="str" cm="1">
        <f t="array" ref="M81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10" s="4" cm="1">
        <f t="array" ref="N81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810" s="4">
        <f>Table15678[[#This Row],[Total Amount]]-Table15678[[#This Row],[Discount Amount]]</f>
        <v>80</v>
      </c>
      <c r="P810" s="4" t="str">
        <f>IF(Table15678[[#This Row],[Total Amount]]&gt;=1000,"High","Low")</f>
        <v>Low</v>
      </c>
      <c r="Q810" s="4" t="str" cm="1">
        <f t="array" ref="Q810">_xlfn.IFS(AND(Table15678[[#This Row],[Total Amount]]&gt;=1500,"Critical"),AND(Table15678[[#This Row],[Total Amount]]&gt;=1000,"High"),TRUE,"Normal")</f>
        <v>Normal</v>
      </c>
      <c r="R810" s="4" t="str">
        <f>CONCATENATE(Table15678[[#This Row],[Customer ID]], "-",Table15678[[#This Row],[Age]])</f>
        <v>CUST809-62</v>
      </c>
      <c r="S810" s="4" t="str">
        <f>TEXT(Table15678[[#This Row],[Date]],"mmm")</f>
        <v>Sep</v>
      </c>
      <c r="T810" s="4" t="str">
        <f>TEXT(Table15678[[#This Row],[Date]],"DDD")</f>
        <v>Mon</v>
      </c>
    </row>
    <row r="811" spans="1:20" ht="29" x14ac:dyDescent="0.35">
      <c r="A811" s="4">
        <v>810</v>
      </c>
      <c r="B811" s="5">
        <v>45260</v>
      </c>
      <c r="C811" s="4" t="s">
        <v>823</v>
      </c>
      <c r="D811" s="4" t="s">
        <v>10</v>
      </c>
      <c r="E811" s="4">
        <v>59</v>
      </c>
      <c r="F811" s="4" t="str">
        <f>IF(Table15678[[#This Row],[Age]]&lt;=19,"Teenager",IF(Table15678[[#This Row],[Age]]&lt;=40,"Median","Old"))</f>
        <v>Old</v>
      </c>
      <c r="G811" s="4" t="s">
        <v>16</v>
      </c>
      <c r="H811" s="4">
        <v>4</v>
      </c>
      <c r="I811" s="4">
        <v>25</v>
      </c>
      <c r="J811" s="4">
        <v>100</v>
      </c>
      <c r="K811" s="4" t="str" cm="1">
        <f t="array" ref="K811">_xlfn.IFS(AND(Table15678[[#This Row],[Total Amount]]&gt;=1500),"Critical",AND(Table15678[[#This Row],[Total Amount]]&gt;=1000),"High",TRUE,"Normal")</f>
        <v>Normal</v>
      </c>
      <c r="L811" s="4" t="str">
        <f>IF(Table15678[[#This Row],[Total Amount]]&gt;=1000,"High",(IF(Table15678[[#This Row],[Total Amount]]&gt;=500,"Medium","Low")))</f>
        <v>Low</v>
      </c>
      <c r="M811" s="4" t="str" cm="1">
        <f t="array" ref="M81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11" s="4" cm="1">
        <f t="array" ref="N81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811" s="4">
        <f>Table15678[[#This Row],[Total Amount]]-Table15678[[#This Row],[Discount Amount]]</f>
        <v>90</v>
      </c>
      <c r="P811" s="4" t="str">
        <f>IF(Table15678[[#This Row],[Total Amount]]&gt;=1000,"High","Low")</f>
        <v>Low</v>
      </c>
      <c r="Q811" s="4" t="str" cm="1">
        <f t="array" ref="Q811">_xlfn.IFS(AND(Table15678[[#This Row],[Total Amount]]&gt;=1500,"Critical"),AND(Table15678[[#This Row],[Total Amount]]&gt;=1000,"High"),TRUE,"Normal")</f>
        <v>Normal</v>
      </c>
      <c r="R811" s="4" t="str">
        <f>CONCATENATE(Table15678[[#This Row],[Customer ID]], "-",Table15678[[#This Row],[Age]])</f>
        <v>CUST810-59</v>
      </c>
      <c r="S811" s="4" t="str">
        <f>TEXT(Table15678[[#This Row],[Date]],"mmm")</f>
        <v>Nov</v>
      </c>
      <c r="T811" s="4" t="str">
        <f>TEXT(Table15678[[#This Row],[Date]],"DDD")</f>
        <v>Thu</v>
      </c>
    </row>
    <row r="812" spans="1:20" ht="29" x14ac:dyDescent="0.35">
      <c r="A812" s="4">
        <v>811</v>
      </c>
      <c r="B812" s="5">
        <v>45065</v>
      </c>
      <c r="C812" s="4" t="s">
        <v>824</v>
      </c>
      <c r="D812" s="4" t="s">
        <v>10</v>
      </c>
      <c r="E812" s="4">
        <v>61</v>
      </c>
      <c r="F812" s="4" t="str">
        <f>IF(Table15678[[#This Row],[Age]]&lt;=19,"Teenager",IF(Table15678[[#This Row],[Age]]&lt;=40,"Median","Old"))</f>
        <v>Old</v>
      </c>
      <c r="G812" s="4" t="s">
        <v>11</v>
      </c>
      <c r="H812" s="4">
        <v>2</v>
      </c>
      <c r="I812" s="4">
        <v>25</v>
      </c>
      <c r="J812" s="4">
        <v>50</v>
      </c>
      <c r="K812" s="4" t="str" cm="1">
        <f t="array" ref="K812">_xlfn.IFS(AND(Table15678[[#This Row],[Total Amount]]&gt;=1500),"Critical",AND(Table15678[[#This Row],[Total Amount]]&gt;=1000),"High",TRUE,"Normal")</f>
        <v>Normal</v>
      </c>
      <c r="L812" s="4" t="str">
        <f>IF(Table15678[[#This Row],[Total Amount]]&gt;=1000,"High",(IF(Table15678[[#This Row],[Total Amount]]&gt;=500,"Medium","Low")))</f>
        <v>Low</v>
      </c>
      <c r="M812" s="4" t="str" cm="1">
        <f t="array" ref="M81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12" s="4" cm="1">
        <f t="array" ref="N81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812" s="4">
        <f>Table15678[[#This Row],[Total Amount]]-Table15678[[#This Row],[Discount Amount]]</f>
        <v>45</v>
      </c>
      <c r="P812" s="4" t="str">
        <f>IF(Table15678[[#This Row],[Total Amount]]&gt;=1000,"High","Low")</f>
        <v>Low</v>
      </c>
      <c r="Q812" s="4" t="str" cm="1">
        <f t="array" ref="Q812">_xlfn.IFS(AND(Table15678[[#This Row],[Total Amount]]&gt;=1500,"Critical"),AND(Table15678[[#This Row],[Total Amount]]&gt;=1000,"High"),TRUE,"Normal")</f>
        <v>Normal</v>
      </c>
      <c r="R812" s="4" t="str">
        <f>CONCATENATE(Table15678[[#This Row],[Customer ID]], "-",Table15678[[#This Row],[Age]])</f>
        <v>CUST811-61</v>
      </c>
      <c r="S812" s="4" t="str">
        <f>TEXT(Table15678[[#This Row],[Date]],"mmm")</f>
        <v>May</v>
      </c>
      <c r="T812" s="4" t="str">
        <f>TEXT(Table15678[[#This Row],[Date]],"DDD")</f>
        <v>Fri</v>
      </c>
    </row>
    <row r="813" spans="1:20" ht="29" x14ac:dyDescent="0.35">
      <c r="A813" s="4">
        <v>812</v>
      </c>
      <c r="B813" s="5">
        <v>45242</v>
      </c>
      <c r="C813" s="4" t="s">
        <v>825</v>
      </c>
      <c r="D813" s="4" t="s">
        <v>10</v>
      </c>
      <c r="E813" s="4">
        <v>19</v>
      </c>
      <c r="F813" s="4" t="str">
        <f>IF(Table15678[[#This Row],[Age]]&lt;=19,"Teenager",IF(Table15678[[#This Row],[Age]]&lt;=40,"Median","Old"))</f>
        <v>Teenager</v>
      </c>
      <c r="G813" s="4" t="s">
        <v>16</v>
      </c>
      <c r="H813" s="4">
        <v>3</v>
      </c>
      <c r="I813" s="4">
        <v>25</v>
      </c>
      <c r="J813" s="4">
        <v>75</v>
      </c>
      <c r="K813" s="4" t="str" cm="1">
        <f t="array" ref="K813">_xlfn.IFS(AND(Table15678[[#This Row],[Total Amount]]&gt;=1500),"Critical",AND(Table15678[[#This Row],[Total Amount]]&gt;=1000),"High",TRUE,"Normal")</f>
        <v>Normal</v>
      </c>
      <c r="L813" s="4" t="str">
        <f>IF(Table15678[[#This Row],[Total Amount]]&gt;=1000,"High",(IF(Table15678[[#This Row],[Total Amount]]&gt;=500,"Medium","Low")))</f>
        <v>Low</v>
      </c>
      <c r="M813" s="4" t="str" cm="1">
        <f t="array" ref="M81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813" s="4" cm="1">
        <f t="array" ref="N81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813" s="4">
        <f>Table15678[[#This Row],[Total Amount]]-Table15678[[#This Row],[Discount Amount]]</f>
        <v>75</v>
      </c>
      <c r="P813" s="4" t="str">
        <f>IF(Table15678[[#This Row],[Total Amount]]&gt;=1000,"High","Low")</f>
        <v>Low</v>
      </c>
      <c r="Q813" s="4" t="str" cm="1">
        <f t="array" ref="Q813">_xlfn.IFS(AND(Table15678[[#This Row],[Total Amount]]&gt;=1500,"Critical"),AND(Table15678[[#This Row],[Total Amount]]&gt;=1000,"High"),TRUE,"Normal")</f>
        <v>Normal</v>
      </c>
      <c r="R813" s="4" t="str">
        <f>CONCATENATE(Table15678[[#This Row],[Customer ID]], "-",Table15678[[#This Row],[Age]])</f>
        <v>CUST812-19</v>
      </c>
      <c r="S813" s="4" t="str">
        <f>TEXT(Table15678[[#This Row],[Date]],"mmm")</f>
        <v>Nov</v>
      </c>
      <c r="T813" s="4" t="str">
        <f>TEXT(Table15678[[#This Row],[Date]],"DDD")</f>
        <v>Sun</v>
      </c>
    </row>
    <row r="814" spans="1:20" ht="29" x14ac:dyDescent="0.35">
      <c r="A814" s="4">
        <v>813</v>
      </c>
      <c r="B814" s="5">
        <v>45202</v>
      </c>
      <c r="C814" s="4" t="s">
        <v>826</v>
      </c>
      <c r="D814" s="4" t="s">
        <v>10</v>
      </c>
      <c r="E814" s="4">
        <v>52</v>
      </c>
      <c r="F814" s="4" t="str">
        <f>IF(Table15678[[#This Row],[Age]]&lt;=19,"Teenager",IF(Table15678[[#This Row],[Age]]&lt;=40,"Median","Old"))</f>
        <v>Old</v>
      </c>
      <c r="G814" s="4" t="s">
        <v>16</v>
      </c>
      <c r="H814" s="4">
        <v>3</v>
      </c>
      <c r="I814" s="4">
        <v>50</v>
      </c>
      <c r="J814" s="4">
        <v>150</v>
      </c>
      <c r="K814" s="4" t="str" cm="1">
        <f t="array" ref="K814">_xlfn.IFS(AND(Table15678[[#This Row],[Total Amount]]&gt;=1500),"Critical",AND(Table15678[[#This Row],[Total Amount]]&gt;=1000),"High",TRUE,"Normal")</f>
        <v>Normal</v>
      </c>
      <c r="L814" s="4" t="str">
        <f>IF(Table15678[[#This Row],[Total Amount]]&gt;=1000,"High",(IF(Table15678[[#This Row],[Total Amount]]&gt;=500,"Medium","Low")))</f>
        <v>Low</v>
      </c>
      <c r="M814" s="4" t="str" cm="1">
        <f t="array" ref="M81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14" s="4" cm="1">
        <f t="array" ref="N81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814" s="4">
        <f>Table15678[[#This Row],[Total Amount]]-Table15678[[#This Row],[Discount Amount]]</f>
        <v>135</v>
      </c>
      <c r="P814" s="4" t="str">
        <f>IF(Table15678[[#This Row],[Total Amount]]&gt;=1000,"High","Low")</f>
        <v>Low</v>
      </c>
      <c r="Q814" s="4" t="str" cm="1">
        <f t="array" ref="Q814">_xlfn.IFS(AND(Table15678[[#This Row],[Total Amount]]&gt;=1500,"Critical"),AND(Table15678[[#This Row],[Total Amount]]&gt;=1000,"High"),TRUE,"Normal")</f>
        <v>Normal</v>
      </c>
      <c r="R814" s="4" t="str">
        <f>CONCATENATE(Table15678[[#This Row],[Customer ID]], "-",Table15678[[#This Row],[Age]])</f>
        <v>CUST813-52</v>
      </c>
      <c r="S814" s="4" t="str">
        <f>TEXT(Table15678[[#This Row],[Date]],"mmm")</f>
        <v>Oct</v>
      </c>
      <c r="T814" s="4" t="str">
        <f>TEXT(Table15678[[#This Row],[Date]],"DDD")</f>
        <v>Tue</v>
      </c>
    </row>
    <row r="815" spans="1:20" ht="29" x14ac:dyDescent="0.35">
      <c r="A815" s="4">
        <v>814</v>
      </c>
      <c r="B815" s="5">
        <v>45174</v>
      </c>
      <c r="C815" s="4" t="s">
        <v>827</v>
      </c>
      <c r="D815" s="4" t="s">
        <v>13</v>
      </c>
      <c r="E815" s="4">
        <v>59</v>
      </c>
      <c r="F815" s="4" t="str">
        <f>IF(Table15678[[#This Row],[Age]]&lt;=19,"Teenager",IF(Table15678[[#This Row],[Age]]&lt;=40,"Median","Old"))</f>
        <v>Old</v>
      </c>
      <c r="G815" s="4" t="s">
        <v>14</v>
      </c>
      <c r="H815" s="4">
        <v>1</v>
      </c>
      <c r="I815" s="4">
        <v>500</v>
      </c>
      <c r="J815" s="4">
        <v>500</v>
      </c>
      <c r="K815" s="4" t="str" cm="1">
        <f t="array" ref="K815">_xlfn.IFS(AND(Table15678[[#This Row],[Total Amount]]&gt;=1500),"Critical",AND(Table15678[[#This Row],[Total Amount]]&gt;=1000),"High",TRUE,"Normal")</f>
        <v>Normal</v>
      </c>
      <c r="L815" s="4" t="str">
        <f>IF(Table15678[[#This Row],[Total Amount]]&gt;=1000,"High",(IF(Table15678[[#This Row],[Total Amount]]&gt;=500,"Medium","Low")))</f>
        <v>Medium</v>
      </c>
      <c r="M815" s="4" t="str" cm="1">
        <f t="array" ref="M81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15" s="4" cm="1">
        <f t="array" ref="N81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815" s="4">
        <f>Table15678[[#This Row],[Total Amount]]-Table15678[[#This Row],[Discount Amount]]</f>
        <v>400</v>
      </c>
      <c r="P815" s="4" t="str">
        <f>IF(Table15678[[#This Row],[Total Amount]]&gt;=1000,"High","Low")</f>
        <v>Low</v>
      </c>
      <c r="Q815" s="4" t="str" cm="1">
        <f t="array" ref="Q815">_xlfn.IFS(AND(Table15678[[#This Row],[Total Amount]]&gt;=1500,"Critical"),AND(Table15678[[#This Row],[Total Amount]]&gt;=1000,"High"),TRUE,"Normal")</f>
        <v>Normal</v>
      </c>
      <c r="R815" s="4" t="str">
        <f>CONCATENATE(Table15678[[#This Row],[Customer ID]], "-",Table15678[[#This Row],[Age]])</f>
        <v>CUST814-59</v>
      </c>
      <c r="S815" s="4" t="str">
        <f>TEXT(Table15678[[#This Row],[Date]],"mmm")</f>
        <v>Sep</v>
      </c>
      <c r="T815" s="4" t="str">
        <f>TEXT(Table15678[[#This Row],[Date]],"DDD")</f>
        <v>Tue</v>
      </c>
    </row>
    <row r="816" spans="1:20" ht="29" x14ac:dyDescent="0.35">
      <c r="A816" s="4">
        <v>815</v>
      </c>
      <c r="B816" s="5">
        <v>45165</v>
      </c>
      <c r="C816" s="4" t="s">
        <v>828</v>
      </c>
      <c r="D816" s="4" t="s">
        <v>13</v>
      </c>
      <c r="E816" s="4">
        <v>51</v>
      </c>
      <c r="F816" s="4" t="str">
        <f>IF(Table15678[[#This Row],[Age]]&lt;=19,"Teenager",IF(Table15678[[#This Row],[Age]]&lt;=40,"Median","Old"))</f>
        <v>Old</v>
      </c>
      <c r="G816" s="4" t="s">
        <v>14</v>
      </c>
      <c r="H816" s="4">
        <v>3</v>
      </c>
      <c r="I816" s="4">
        <v>25</v>
      </c>
      <c r="J816" s="4">
        <v>75</v>
      </c>
      <c r="K816" s="4" t="str" cm="1">
        <f t="array" ref="K816">_xlfn.IFS(AND(Table15678[[#This Row],[Total Amount]]&gt;=1500),"Critical",AND(Table15678[[#This Row],[Total Amount]]&gt;=1000),"High",TRUE,"Normal")</f>
        <v>Normal</v>
      </c>
      <c r="L816" s="4" t="str">
        <f>IF(Table15678[[#This Row],[Total Amount]]&gt;=1000,"High",(IF(Table15678[[#This Row],[Total Amount]]&gt;=500,"Medium","Low")))</f>
        <v>Low</v>
      </c>
      <c r="M816" s="4" t="str" cm="1">
        <f t="array" ref="M81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16" s="4" cm="1">
        <f t="array" ref="N81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816" s="4">
        <f>Table15678[[#This Row],[Total Amount]]-Table15678[[#This Row],[Discount Amount]]</f>
        <v>60</v>
      </c>
      <c r="P816" s="4" t="str">
        <f>IF(Table15678[[#This Row],[Total Amount]]&gt;=1000,"High","Low")</f>
        <v>Low</v>
      </c>
      <c r="Q816" s="4" t="str" cm="1">
        <f t="array" ref="Q816">_xlfn.IFS(AND(Table15678[[#This Row],[Total Amount]]&gt;=1500,"Critical"),AND(Table15678[[#This Row],[Total Amount]]&gt;=1000,"High"),TRUE,"Normal")</f>
        <v>Normal</v>
      </c>
      <c r="R816" s="4" t="str">
        <f>CONCATENATE(Table15678[[#This Row],[Customer ID]], "-",Table15678[[#This Row],[Age]])</f>
        <v>CUST815-51</v>
      </c>
      <c r="S816" s="4" t="str">
        <f>TEXT(Table15678[[#This Row],[Date]],"mmm")</f>
        <v>Aug</v>
      </c>
      <c r="T816" s="4" t="str">
        <f>TEXT(Table15678[[#This Row],[Date]],"DDD")</f>
        <v>Sun</v>
      </c>
    </row>
    <row r="817" spans="1:20" ht="29" x14ac:dyDescent="0.35">
      <c r="A817" s="4">
        <v>816</v>
      </c>
      <c r="B817" s="5">
        <v>45150</v>
      </c>
      <c r="C817" s="4" t="s">
        <v>829</v>
      </c>
      <c r="D817" s="4" t="s">
        <v>10</v>
      </c>
      <c r="E817" s="4">
        <v>47</v>
      </c>
      <c r="F817" s="4" t="str">
        <f>IF(Table15678[[#This Row],[Age]]&lt;=19,"Teenager",IF(Table15678[[#This Row],[Age]]&lt;=40,"Median","Old"))</f>
        <v>Old</v>
      </c>
      <c r="G817" s="4" t="s">
        <v>11</v>
      </c>
      <c r="H817" s="4">
        <v>2</v>
      </c>
      <c r="I817" s="4">
        <v>500</v>
      </c>
      <c r="J817" s="4">
        <v>1000</v>
      </c>
      <c r="K817" s="4" t="str" cm="1">
        <f t="array" ref="K817">_xlfn.IFS(AND(Table15678[[#This Row],[Total Amount]]&gt;=1500),"Critical",AND(Table15678[[#This Row],[Total Amount]]&gt;=1000),"High",TRUE,"Normal")</f>
        <v>High</v>
      </c>
      <c r="L817" s="4" t="str">
        <f>IF(Table15678[[#This Row],[Total Amount]]&gt;=1000,"High",(IF(Table15678[[#This Row],[Total Amount]]&gt;=500,"Medium","Low")))</f>
        <v>High</v>
      </c>
      <c r="M817" s="4" t="str" cm="1">
        <f t="array" ref="M81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17" s="4" cm="1">
        <f t="array" ref="N81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817" s="4">
        <f>Table15678[[#This Row],[Total Amount]]-Table15678[[#This Row],[Discount Amount]]</f>
        <v>900</v>
      </c>
      <c r="P817" s="4" t="str">
        <f>IF(Table15678[[#This Row],[Total Amount]]&gt;=1000,"High","Low")</f>
        <v>High</v>
      </c>
      <c r="Q817" s="4" t="str" cm="1">
        <f t="array" ref="Q817">_xlfn.IFS(AND(Table15678[[#This Row],[Total Amount]]&gt;=1500,"Critical"),AND(Table15678[[#This Row],[Total Amount]]&gt;=1000,"High"),TRUE,"Normal")</f>
        <v>Normal</v>
      </c>
      <c r="R817" s="4" t="str">
        <f>CONCATENATE(Table15678[[#This Row],[Customer ID]], "-",Table15678[[#This Row],[Age]])</f>
        <v>CUST816-47</v>
      </c>
      <c r="S817" s="4" t="str">
        <f>TEXT(Table15678[[#This Row],[Date]],"mmm")</f>
        <v>Aug</v>
      </c>
      <c r="T817" s="4" t="str">
        <f>TEXT(Table15678[[#This Row],[Date]],"DDD")</f>
        <v>Sat</v>
      </c>
    </row>
    <row r="818" spans="1:20" ht="29" x14ac:dyDescent="0.35">
      <c r="A818" s="4">
        <v>817</v>
      </c>
      <c r="B818" s="5">
        <v>45230</v>
      </c>
      <c r="C818" s="4" t="s">
        <v>830</v>
      </c>
      <c r="D818" s="4" t="s">
        <v>10</v>
      </c>
      <c r="E818" s="4">
        <v>30</v>
      </c>
      <c r="F818" s="4" t="str">
        <f>IF(Table15678[[#This Row],[Age]]&lt;=19,"Teenager",IF(Table15678[[#This Row],[Age]]&lt;=40,"Median","Old"))</f>
        <v>Median</v>
      </c>
      <c r="G818" s="4" t="s">
        <v>11</v>
      </c>
      <c r="H818" s="4">
        <v>4</v>
      </c>
      <c r="I818" s="4">
        <v>50</v>
      </c>
      <c r="J818" s="4">
        <v>200</v>
      </c>
      <c r="K818" s="4" t="str" cm="1">
        <f t="array" ref="K818">_xlfn.IFS(AND(Table15678[[#This Row],[Total Amount]]&gt;=1500),"Critical",AND(Table15678[[#This Row],[Total Amount]]&gt;=1000),"High",TRUE,"Normal")</f>
        <v>Normal</v>
      </c>
      <c r="L818" s="4" t="str">
        <f>IF(Table15678[[#This Row],[Total Amount]]&gt;=1000,"High",(IF(Table15678[[#This Row],[Total Amount]]&gt;=500,"Medium","Low")))</f>
        <v>Low</v>
      </c>
      <c r="M818" s="4" t="str" cm="1">
        <f t="array" ref="M81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18" s="4" cm="1">
        <f t="array" ref="N81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818" s="4">
        <f>Table15678[[#This Row],[Total Amount]]-Table15678[[#This Row],[Discount Amount]]</f>
        <v>170</v>
      </c>
      <c r="P818" s="4" t="str">
        <f>IF(Table15678[[#This Row],[Total Amount]]&gt;=1000,"High","Low")</f>
        <v>Low</v>
      </c>
      <c r="Q818" s="4" t="str" cm="1">
        <f t="array" ref="Q818">_xlfn.IFS(AND(Table15678[[#This Row],[Total Amount]]&gt;=1500,"Critical"),AND(Table15678[[#This Row],[Total Amount]]&gt;=1000,"High"),TRUE,"Normal")</f>
        <v>Normal</v>
      </c>
      <c r="R818" s="4" t="str">
        <f>CONCATENATE(Table15678[[#This Row],[Customer ID]], "-",Table15678[[#This Row],[Age]])</f>
        <v>CUST817-30</v>
      </c>
      <c r="S818" s="4" t="str">
        <f>TEXT(Table15678[[#This Row],[Date]],"mmm")</f>
        <v>Oct</v>
      </c>
      <c r="T818" s="4" t="str">
        <f>TEXT(Table15678[[#This Row],[Date]],"DDD")</f>
        <v>Tue</v>
      </c>
    </row>
    <row r="819" spans="1:20" ht="29" x14ac:dyDescent="0.35">
      <c r="A819" s="4">
        <v>818</v>
      </c>
      <c r="B819" s="5">
        <v>45064</v>
      </c>
      <c r="C819" s="4" t="s">
        <v>831</v>
      </c>
      <c r="D819" s="4" t="s">
        <v>10</v>
      </c>
      <c r="E819" s="4">
        <v>30</v>
      </c>
      <c r="F819" s="4" t="str">
        <f>IF(Table15678[[#This Row],[Age]]&lt;=19,"Teenager",IF(Table15678[[#This Row],[Age]]&lt;=40,"Median","Old"))</f>
        <v>Median</v>
      </c>
      <c r="G819" s="4" t="s">
        <v>16</v>
      </c>
      <c r="H819" s="4">
        <v>1</v>
      </c>
      <c r="I819" s="4">
        <v>500</v>
      </c>
      <c r="J819" s="4">
        <v>500</v>
      </c>
      <c r="K819" s="4" t="str" cm="1">
        <f t="array" ref="K819">_xlfn.IFS(AND(Table15678[[#This Row],[Total Amount]]&gt;=1500),"Critical",AND(Table15678[[#This Row],[Total Amount]]&gt;=1000),"High",TRUE,"Normal")</f>
        <v>Normal</v>
      </c>
      <c r="L819" s="4" t="str">
        <f>IF(Table15678[[#This Row],[Total Amount]]&gt;=1000,"High",(IF(Table15678[[#This Row],[Total Amount]]&gt;=500,"Medium","Low")))</f>
        <v>Medium</v>
      </c>
      <c r="M819" s="4" t="str" cm="1">
        <f t="array" ref="M81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19" s="4" cm="1">
        <f t="array" ref="N81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75</v>
      </c>
      <c r="O819" s="4">
        <f>Table15678[[#This Row],[Total Amount]]-Table15678[[#This Row],[Discount Amount]]</f>
        <v>425</v>
      </c>
      <c r="P819" s="4" t="str">
        <f>IF(Table15678[[#This Row],[Total Amount]]&gt;=1000,"High","Low")</f>
        <v>Low</v>
      </c>
      <c r="Q819" s="4" t="str" cm="1">
        <f t="array" ref="Q819">_xlfn.IFS(AND(Table15678[[#This Row],[Total Amount]]&gt;=1500,"Critical"),AND(Table15678[[#This Row],[Total Amount]]&gt;=1000,"High"),TRUE,"Normal")</f>
        <v>Normal</v>
      </c>
      <c r="R819" s="4" t="str">
        <f>CONCATENATE(Table15678[[#This Row],[Customer ID]], "-",Table15678[[#This Row],[Age]])</f>
        <v>CUST818-30</v>
      </c>
      <c r="S819" s="4" t="str">
        <f>TEXT(Table15678[[#This Row],[Date]],"mmm")</f>
        <v>May</v>
      </c>
      <c r="T819" s="4" t="str">
        <f>TEXT(Table15678[[#This Row],[Date]],"DDD")</f>
        <v>Thu</v>
      </c>
    </row>
    <row r="820" spans="1:20" ht="29" x14ac:dyDescent="0.35">
      <c r="A820" s="4">
        <v>819</v>
      </c>
      <c r="B820" s="5">
        <v>45092</v>
      </c>
      <c r="C820" s="4" t="s">
        <v>832</v>
      </c>
      <c r="D820" s="4" t="s">
        <v>13</v>
      </c>
      <c r="E820" s="4">
        <v>35</v>
      </c>
      <c r="F820" s="4" t="str">
        <f>IF(Table15678[[#This Row],[Age]]&lt;=19,"Teenager",IF(Table15678[[#This Row],[Age]]&lt;=40,"Median","Old"))</f>
        <v>Median</v>
      </c>
      <c r="G820" s="4" t="s">
        <v>11</v>
      </c>
      <c r="H820" s="4">
        <v>2</v>
      </c>
      <c r="I820" s="4">
        <v>50</v>
      </c>
      <c r="J820" s="4">
        <v>100</v>
      </c>
      <c r="K820" s="4" t="str" cm="1">
        <f t="array" ref="K820">_xlfn.IFS(AND(Table15678[[#This Row],[Total Amount]]&gt;=1500),"Critical",AND(Table15678[[#This Row],[Total Amount]]&gt;=1000),"High",TRUE,"Normal")</f>
        <v>Normal</v>
      </c>
      <c r="L820" s="4" t="str">
        <f>IF(Table15678[[#This Row],[Total Amount]]&gt;=1000,"High",(IF(Table15678[[#This Row],[Total Amount]]&gt;=500,"Medium","Low")))</f>
        <v>Low</v>
      </c>
      <c r="M820" s="4" t="str" cm="1">
        <f t="array" ref="M82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20" s="4" cm="1">
        <f t="array" ref="N82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820" s="4">
        <f>Table15678[[#This Row],[Total Amount]]-Table15678[[#This Row],[Discount Amount]]</f>
        <v>80</v>
      </c>
      <c r="P820" s="4" t="str">
        <f>IF(Table15678[[#This Row],[Total Amount]]&gt;=1000,"High","Low")</f>
        <v>Low</v>
      </c>
      <c r="Q820" s="4" t="str" cm="1">
        <f t="array" ref="Q820">_xlfn.IFS(AND(Table15678[[#This Row],[Total Amount]]&gt;=1500,"Critical"),AND(Table15678[[#This Row],[Total Amount]]&gt;=1000,"High"),TRUE,"Normal")</f>
        <v>Normal</v>
      </c>
      <c r="R820" s="4" t="str">
        <f>CONCATENATE(Table15678[[#This Row],[Customer ID]], "-",Table15678[[#This Row],[Age]])</f>
        <v>CUST819-35</v>
      </c>
      <c r="S820" s="4" t="str">
        <f>TEXT(Table15678[[#This Row],[Date]],"mmm")</f>
        <v>Jun</v>
      </c>
      <c r="T820" s="4" t="str">
        <f>TEXT(Table15678[[#This Row],[Date]],"DDD")</f>
        <v>Thu</v>
      </c>
    </row>
    <row r="821" spans="1:20" ht="29" x14ac:dyDescent="0.35">
      <c r="A821" s="4">
        <v>820</v>
      </c>
      <c r="B821" s="5">
        <v>45052</v>
      </c>
      <c r="C821" s="4" t="s">
        <v>833</v>
      </c>
      <c r="D821" s="4" t="s">
        <v>10</v>
      </c>
      <c r="E821" s="4">
        <v>49</v>
      </c>
      <c r="F821" s="4" t="str">
        <f>IF(Table15678[[#This Row],[Age]]&lt;=19,"Teenager",IF(Table15678[[#This Row],[Age]]&lt;=40,"Median","Old"))</f>
        <v>Old</v>
      </c>
      <c r="G821" s="4" t="s">
        <v>16</v>
      </c>
      <c r="H821" s="4">
        <v>4</v>
      </c>
      <c r="I821" s="4">
        <v>50</v>
      </c>
      <c r="J821" s="4">
        <v>200</v>
      </c>
      <c r="K821" s="4" t="str" cm="1">
        <f t="array" ref="K821">_xlfn.IFS(AND(Table15678[[#This Row],[Total Amount]]&gt;=1500),"Critical",AND(Table15678[[#This Row],[Total Amount]]&gt;=1000),"High",TRUE,"Normal")</f>
        <v>Normal</v>
      </c>
      <c r="L821" s="4" t="str">
        <f>IF(Table15678[[#This Row],[Total Amount]]&gt;=1000,"High",(IF(Table15678[[#This Row],[Total Amount]]&gt;=500,"Medium","Low")))</f>
        <v>Low</v>
      </c>
      <c r="M821" s="4" t="str" cm="1">
        <f t="array" ref="M82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21" s="4" cm="1">
        <f t="array" ref="N82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821" s="4">
        <f>Table15678[[#This Row],[Total Amount]]-Table15678[[#This Row],[Discount Amount]]</f>
        <v>180</v>
      </c>
      <c r="P821" s="4" t="str">
        <f>IF(Table15678[[#This Row],[Total Amount]]&gt;=1000,"High","Low")</f>
        <v>Low</v>
      </c>
      <c r="Q821" s="4" t="str" cm="1">
        <f t="array" ref="Q821">_xlfn.IFS(AND(Table15678[[#This Row],[Total Amount]]&gt;=1500,"Critical"),AND(Table15678[[#This Row],[Total Amount]]&gt;=1000,"High"),TRUE,"Normal")</f>
        <v>Normal</v>
      </c>
      <c r="R821" s="4" t="str">
        <f>CONCATENATE(Table15678[[#This Row],[Customer ID]], "-",Table15678[[#This Row],[Age]])</f>
        <v>CUST820-49</v>
      </c>
      <c r="S821" s="4" t="str">
        <f>TEXT(Table15678[[#This Row],[Date]],"mmm")</f>
        <v>May</v>
      </c>
      <c r="T821" s="4" t="str">
        <f>TEXT(Table15678[[#This Row],[Date]],"DDD")</f>
        <v>Sat</v>
      </c>
    </row>
    <row r="822" spans="1:20" ht="29" x14ac:dyDescent="0.35">
      <c r="A822" s="4">
        <v>821</v>
      </c>
      <c r="B822" s="5">
        <v>44971</v>
      </c>
      <c r="C822" s="4" t="s">
        <v>834</v>
      </c>
      <c r="D822" s="4" t="s">
        <v>10</v>
      </c>
      <c r="E822" s="4">
        <v>49</v>
      </c>
      <c r="F822" s="4" t="str">
        <f>IF(Table15678[[#This Row],[Age]]&lt;=19,"Teenager",IF(Table15678[[#This Row],[Age]]&lt;=40,"Median","Old"))</f>
        <v>Old</v>
      </c>
      <c r="G822" s="4" t="s">
        <v>16</v>
      </c>
      <c r="H822" s="4">
        <v>1</v>
      </c>
      <c r="I822" s="4">
        <v>300</v>
      </c>
      <c r="J822" s="4">
        <v>300</v>
      </c>
      <c r="K822" s="4" t="str" cm="1">
        <f t="array" ref="K822">_xlfn.IFS(AND(Table15678[[#This Row],[Total Amount]]&gt;=1500),"Critical",AND(Table15678[[#This Row],[Total Amount]]&gt;=1000),"High",TRUE,"Normal")</f>
        <v>Normal</v>
      </c>
      <c r="L822" s="4" t="str">
        <f>IF(Table15678[[#This Row],[Total Amount]]&gt;=1000,"High",(IF(Table15678[[#This Row],[Total Amount]]&gt;=500,"Medium","Low")))</f>
        <v>Low</v>
      </c>
      <c r="M822" s="4" t="str" cm="1">
        <f t="array" ref="M82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22" s="4" cm="1">
        <f t="array" ref="N82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822" s="4">
        <f>Table15678[[#This Row],[Total Amount]]-Table15678[[#This Row],[Discount Amount]]</f>
        <v>270</v>
      </c>
      <c r="P822" s="4" t="str">
        <f>IF(Table15678[[#This Row],[Total Amount]]&gt;=1000,"High","Low")</f>
        <v>Low</v>
      </c>
      <c r="Q822" s="4" t="str" cm="1">
        <f t="array" ref="Q822">_xlfn.IFS(AND(Table15678[[#This Row],[Total Amount]]&gt;=1500,"Critical"),AND(Table15678[[#This Row],[Total Amount]]&gt;=1000,"High"),TRUE,"Normal")</f>
        <v>Normal</v>
      </c>
      <c r="R822" s="4" t="str">
        <f>CONCATENATE(Table15678[[#This Row],[Customer ID]], "-",Table15678[[#This Row],[Age]])</f>
        <v>CUST821-49</v>
      </c>
      <c r="S822" s="4" t="str">
        <f>TEXT(Table15678[[#This Row],[Date]],"mmm")</f>
        <v>Feb</v>
      </c>
      <c r="T822" s="4" t="str">
        <f>TEXT(Table15678[[#This Row],[Date]],"DDD")</f>
        <v>Tue</v>
      </c>
    </row>
    <row r="823" spans="1:20" ht="29" x14ac:dyDescent="0.35">
      <c r="A823" s="4">
        <v>822</v>
      </c>
      <c r="B823" s="5">
        <v>45069</v>
      </c>
      <c r="C823" s="4" t="s">
        <v>835</v>
      </c>
      <c r="D823" s="4" t="s">
        <v>13</v>
      </c>
      <c r="E823" s="4">
        <v>52</v>
      </c>
      <c r="F823" s="4" t="str">
        <f>IF(Table15678[[#This Row],[Age]]&lt;=19,"Teenager",IF(Table15678[[#This Row],[Age]]&lt;=40,"Median","Old"))</f>
        <v>Old</v>
      </c>
      <c r="G823" s="4" t="s">
        <v>11</v>
      </c>
      <c r="H823" s="4">
        <v>3</v>
      </c>
      <c r="I823" s="4">
        <v>50</v>
      </c>
      <c r="J823" s="4">
        <v>150</v>
      </c>
      <c r="K823" s="4" t="str" cm="1">
        <f t="array" ref="K823">_xlfn.IFS(AND(Table15678[[#This Row],[Total Amount]]&gt;=1500),"Critical",AND(Table15678[[#This Row],[Total Amount]]&gt;=1000),"High",TRUE,"Normal")</f>
        <v>Normal</v>
      </c>
      <c r="L823" s="4" t="str">
        <f>IF(Table15678[[#This Row],[Total Amount]]&gt;=1000,"High",(IF(Table15678[[#This Row],[Total Amount]]&gt;=500,"Medium","Low")))</f>
        <v>Low</v>
      </c>
      <c r="M823" s="4" t="str" cm="1">
        <f t="array" ref="M82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23" s="4" cm="1">
        <f t="array" ref="N82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823" s="4">
        <f>Table15678[[#This Row],[Total Amount]]-Table15678[[#This Row],[Discount Amount]]</f>
        <v>120</v>
      </c>
      <c r="P823" s="4" t="str">
        <f>IF(Table15678[[#This Row],[Total Amount]]&gt;=1000,"High","Low")</f>
        <v>Low</v>
      </c>
      <c r="Q823" s="4" t="str" cm="1">
        <f t="array" ref="Q823">_xlfn.IFS(AND(Table15678[[#This Row],[Total Amount]]&gt;=1500,"Critical"),AND(Table15678[[#This Row],[Total Amount]]&gt;=1000,"High"),TRUE,"Normal")</f>
        <v>Normal</v>
      </c>
      <c r="R823" s="4" t="str">
        <f>CONCATENATE(Table15678[[#This Row],[Customer ID]], "-",Table15678[[#This Row],[Age]])</f>
        <v>CUST822-52</v>
      </c>
      <c r="S823" s="4" t="str">
        <f>TEXT(Table15678[[#This Row],[Date]],"mmm")</f>
        <v>May</v>
      </c>
      <c r="T823" s="4" t="str">
        <f>TEXT(Table15678[[#This Row],[Date]],"DDD")</f>
        <v>Tue</v>
      </c>
    </row>
    <row r="824" spans="1:20" ht="29" x14ac:dyDescent="0.35">
      <c r="A824" s="4">
        <v>823</v>
      </c>
      <c r="B824" s="5">
        <v>45157</v>
      </c>
      <c r="C824" s="4" t="s">
        <v>836</v>
      </c>
      <c r="D824" s="4" t="s">
        <v>13</v>
      </c>
      <c r="E824" s="4">
        <v>56</v>
      </c>
      <c r="F824" s="4" t="str">
        <f>IF(Table15678[[#This Row],[Age]]&lt;=19,"Teenager",IF(Table15678[[#This Row],[Age]]&lt;=40,"Median","Old"))</f>
        <v>Old</v>
      </c>
      <c r="G824" s="4" t="s">
        <v>16</v>
      </c>
      <c r="H824" s="4">
        <v>2</v>
      </c>
      <c r="I824" s="4">
        <v>50</v>
      </c>
      <c r="J824" s="4">
        <v>100</v>
      </c>
      <c r="K824" s="4" t="str" cm="1">
        <f t="array" ref="K824">_xlfn.IFS(AND(Table15678[[#This Row],[Total Amount]]&gt;=1500),"Critical",AND(Table15678[[#This Row],[Total Amount]]&gt;=1000),"High",TRUE,"Normal")</f>
        <v>Normal</v>
      </c>
      <c r="L824" s="4" t="str">
        <f>IF(Table15678[[#This Row],[Total Amount]]&gt;=1000,"High",(IF(Table15678[[#This Row],[Total Amount]]&gt;=500,"Medium","Low")))</f>
        <v>Low</v>
      </c>
      <c r="M824" s="4" t="str" cm="1">
        <f t="array" ref="M82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24" s="4" cm="1">
        <f t="array" ref="N82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824" s="4">
        <f>Table15678[[#This Row],[Total Amount]]-Table15678[[#This Row],[Discount Amount]]</f>
        <v>80</v>
      </c>
      <c r="P824" s="4" t="str">
        <f>IF(Table15678[[#This Row],[Total Amount]]&gt;=1000,"High","Low")</f>
        <v>Low</v>
      </c>
      <c r="Q824" s="4" t="str" cm="1">
        <f t="array" ref="Q824">_xlfn.IFS(AND(Table15678[[#This Row],[Total Amount]]&gt;=1500,"Critical"),AND(Table15678[[#This Row],[Total Amount]]&gt;=1000,"High"),TRUE,"Normal")</f>
        <v>Normal</v>
      </c>
      <c r="R824" s="4" t="str">
        <f>CONCATENATE(Table15678[[#This Row],[Customer ID]], "-",Table15678[[#This Row],[Age]])</f>
        <v>CUST823-56</v>
      </c>
      <c r="S824" s="4" t="str">
        <f>TEXT(Table15678[[#This Row],[Date]],"mmm")</f>
        <v>Aug</v>
      </c>
      <c r="T824" s="4" t="str">
        <f>TEXT(Table15678[[#This Row],[Date]],"DDD")</f>
        <v>Sat</v>
      </c>
    </row>
    <row r="825" spans="1:20" ht="29" x14ac:dyDescent="0.35">
      <c r="A825" s="4">
        <v>824</v>
      </c>
      <c r="B825" s="5">
        <v>45051</v>
      </c>
      <c r="C825" s="4" t="s">
        <v>837</v>
      </c>
      <c r="D825" s="4" t="s">
        <v>10</v>
      </c>
      <c r="E825" s="4">
        <v>63</v>
      </c>
      <c r="F825" s="4" t="str">
        <f>IF(Table15678[[#This Row],[Age]]&lt;=19,"Teenager",IF(Table15678[[#This Row],[Age]]&lt;=40,"Median","Old"))</f>
        <v>Old</v>
      </c>
      <c r="G825" s="4" t="s">
        <v>14</v>
      </c>
      <c r="H825" s="4">
        <v>4</v>
      </c>
      <c r="I825" s="4">
        <v>30</v>
      </c>
      <c r="J825" s="4">
        <v>120</v>
      </c>
      <c r="K825" s="4" t="str" cm="1">
        <f t="array" ref="K825">_xlfn.IFS(AND(Table15678[[#This Row],[Total Amount]]&gt;=1500),"Critical",AND(Table15678[[#This Row],[Total Amount]]&gt;=1000),"High",TRUE,"Normal")</f>
        <v>Normal</v>
      </c>
      <c r="L825" s="4" t="str">
        <f>IF(Table15678[[#This Row],[Total Amount]]&gt;=1000,"High",(IF(Table15678[[#This Row],[Total Amount]]&gt;=500,"Medium","Low")))</f>
        <v>Low</v>
      </c>
      <c r="M825" s="4" t="str" cm="1">
        <f t="array" ref="M82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25" s="4" cm="1">
        <f t="array" ref="N82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825" s="4">
        <f>Table15678[[#This Row],[Total Amount]]-Table15678[[#This Row],[Discount Amount]]</f>
        <v>108</v>
      </c>
      <c r="P825" s="4" t="str">
        <f>IF(Table15678[[#This Row],[Total Amount]]&gt;=1000,"High","Low")</f>
        <v>Low</v>
      </c>
      <c r="Q825" s="4" t="str" cm="1">
        <f t="array" ref="Q825">_xlfn.IFS(AND(Table15678[[#This Row],[Total Amount]]&gt;=1500,"Critical"),AND(Table15678[[#This Row],[Total Amount]]&gt;=1000,"High"),TRUE,"Normal")</f>
        <v>Normal</v>
      </c>
      <c r="R825" s="4" t="str">
        <f>CONCATENATE(Table15678[[#This Row],[Customer ID]], "-",Table15678[[#This Row],[Age]])</f>
        <v>CUST824-63</v>
      </c>
      <c r="S825" s="4" t="str">
        <f>TEXT(Table15678[[#This Row],[Date]],"mmm")</f>
        <v>May</v>
      </c>
      <c r="T825" s="4" t="str">
        <f>TEXT(Table15678[[#This Row],[Date]],"DDD")</f>
        <v>Fri</v>
      </c>
    </row>
    <row r="826" spans="1:20" ht="29" x14ac:dyDescent="0.35">
      <c r="A826" s="4">
        <v>825</v>
      </c>
      <c r="B826" s="5">
        <v>45164</v>
      </c>
      <c r="C826" s="4" t="s">
        <v>838</v>
      </c>
      <c r="D826" s="4" t="s">
        <v>13</v>
      </c>
      <c r="E826" s="4">
        <v>46</v>
      </c>
      <c r="F826" s="4" t="str">
        <f>IF(Table15678[[#This Row],[Age]]&lt;=19,"Teenager",IF(Table15678[[#This Row],[Age]]&lt;=40,"Median","Old"))</f>
        <v>Old</v>
      </c>
      <c r="G826" s="4" t="s">
        <v>11</v>
      </c>
      <c r="H826" s="4">
        <v>1</v>
      </c>
      <c r="I826" s="4">
        <v>25</v>
      </c>
      <c r="J826" s="4">
        <v>25</v>
      </c>
      <c r="K826" s="4" t="str" cm="1">
        <f t="array" ref="K826">_xlfn.IFS(AND(Table15678[[#This Row],[Total Amount]]&gt;=1500),"Critical",AND(Table15678[[#This Row],[Total Amount]]&gt;=1000),"High",TRUE,"Normal")</f>
        <v>Normal</v>
      </c>
      <c r="L826" s="4" t="str">
        <f>IF(Table15678[[#This Row],[Total Amount]]&gt;=1000,"High",(IF(Table15678[[#This Row],[Total Amount]]&gt;=500,"Medium","Low")))</f>
        <v>Low</v>
      </c>
      <c r="M826" s="4" t="str" cm="1">
        <f t="array" ref="M82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26" s="4" cm="1">
        <f t="array" ref="N82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826" s="4">
        <f>Table15678[[#This Row],[Total Amount]]-Table15678[[#This Row],[Discount Amount]]</f>
        <v>20</v>
      </c>
      <c r="P826" s="4" t="str">
        <f>IF(Table15678[[#This Row],[Total Amount]]&gt;=1000,"High","Low")</f>
        <v>Low</v>
      </c>
      <c r="Q826" s="4" t="str" cm="1">
        <f t="array" ref="Q826">_xlfn.IFS(AND(Table15678[[#This Row],[Total Amount]]&gt;=1500,"Critical"),AND(Table15678[[#This Row],[Total Amount]]&gt;=1000,"High"),TRUE,"Normal")</f>
        <v>Normal</v>
      </c>
      <c r="R826" s="4" t="str">
        <f>CONCATENATE(Table15678[[#This Row],[Customer ID]], "-",Table15678[[#This Row],[Age]])</f>
        <v>CUST825-46</v>
      </c>
      <c r="S826" s="4" t="str">
        <f>TEXT(Table15678[[#This Row],[Date]],"mmm")</f>
        <v>Aug</v>
      </c>
      <c r="T826" s="4" t="str">
        <f>TEXT(Table15678[[#This Row],[Date]],"DDD")</f>
        <v>Sat</v>
      </c>
    </row>
    <row r="827" spans="1:20" ht="29" x14ac:dyDescent="0.35">
      <c r="A827" s="4">
        <v>826</v>
      </c>
      <c r="B827" s="5">
        <v>45218</v>
      </c>
      <c r="C827" s="4" t="s">
        <v>839</v>
      </c>
      <c r="D827" s="4" t="s">
        <v>13</v>
      </c>
      <c r="E827" s="4">
        <v>46</v>
      </c>
      <c r="F827" s="4" t="str">
        <f>IF(Table15678[[#This Row],[Age]]&lt;=19,"Teenager",IF(Table15678[[#This Row],[Age]]&lt;=40,"Median","Old"))</f>
        <v>Old</v>
      </c>
      <c r="G827" s="4" t="s">
        <v>14</v>
      </c>
      <c r="H827" s="4">
        <v>1</v>
      </c>
      <c r="I827" s="4">
        <v>300</v>
      </c>
      <c r="J827" s="4">
        <v>300</v>
      </c>
      <c r="K827" s="4" t="str" cm="1">
        <f t="array" ref="K827">_xlfn.IFS(AND(Table15678[[#This Row],[Total Amount]]&gt;=1500),"Critical",AND(Table15678[[#This Row],[Total Amount]]&gt;=1000),"High",TRUE,"Normal")</f>
        <v>Normal</v>
      </c>
      <c r="L827" s="4" t="str">
        <f>IF(Table15678[[#This Row],[Total Amount]]&gt;=1000,"High",(IF(Table15678[[#This Row],[Total Amount]]&gt;=500,"Medium","Low")))</f>
        <v>Low</v>
      </c>
      <c r="M827" s="4" t="str" cm="1">
        <f t="array" ref="M82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27" s="4" cm="1">
        <f t="array" ref="N82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827" s="4">
        <f>Table15678[[#This Row],[Total Amount]]-Table15678[[#This Row],[Discount Amount]]</f>
        <v>240</v>
      </c>
      <c r="P827" s="4" t="str">
        <f>IF(Table15678[[#This Row],[Total Amount]]&gt;=1000,"High","Low")</f>
        <v>Low</v>
      </c>
      <c r="Q827" s="4" t="str" cm="1">
        <f t="array" ref="Q827">_xlfn.IFS(AND(Table15678[[#This Row],[Total Amount]]&gt;=1500,"Critical"),AND(Table15678[[#This Row],[Total Amount]]&gt;=1000,"High"),TRUE,"Normal")</f>
        <v>Normal</v>
      </c>
      <c r="R827" s="4" t="str">
        <f>CONCATENATE(Table15678[[#This Row],[Customer ID]], "-",Table15678[[#This Row],[Age]])</f>
        <v>CUST826-46</v>
      </c>
      <c r="S827" s="4" t="str">
        <f>TEXT(Table15678[[#This Row],[Date]],"mmm")</f>
        <v>Oct</v>
      </c>
      <c r="T827" s="4" t="str">
        <f>TEXT(Table15678[[#This Row],[Date]],"DDD")</f>
        <v>Thu</v>
      </c>
    </row>
    <row r="828" spans="1:20" ht="29" x14ac:dyDescent="0.35">
      <c r="A828" s="4">
        <v>827</v>
      </c>
      <c r="B828" s="5">
        <v>45239</v>
      </c>
      <c r="C828" s="4" t="s">
        <v>840</v>
      </c>
      <c r="D828" s="4" t="s">
        <v>10</v>
      </c>
      <c r="E828" s="4">
        <v>61</v>
      </c>
      <c r="F828" s="4" t="str">
        <f>IF(Table15678[[#This Row],[Age]]&lt;=19,"Teenager",IF(Table15678[[#This Row],[Age]]&lt;=40,"Median","Old"))</f>
        <v>Old</v>
      </c>
      <c r="G828" s="4" t="s">
        <v>11</v>
      </c>
      <c r="H828" s="4">
        <v>3</v>
      </c>
      <c r="I828" s="4">
        <v>300</v>
      </c>
      <c r="J828" s="4">
        <v>900</v>
      </c>
      <c r="K828" s="4" t="str" cm="1">
        <f t="array" ref="K828">_xlfn.IFS(AND(Table15678[[#This Row],[Total Amount]]&gt;=1500),"Critical",AND(Table15678[[#This Row],[Total Amount]]&gt;=1000),"High",TRUE,"Normal")</f>
        <v>Normal</v>
      </c>
      <c r="L828" s="4" t="str">
        <f>IF(Table15678[[#This Row],[Total Amount]]&gt;=1000,"High",(IF(Table15678[[#This Row],[Total Amount]]&gt;=500,"Medium","Low")))</f>
        <v>Medium</v>
      </c>
      <c r="M828" s="4" t="str" cm="1">
        <f t="array" ref="M82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28" s="4" cm="1">
        <f t="array" ref="N82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828" s="4">
        <f>Table15678[[#This Row],[Total Amount]]-Table15678[[#This Row],[Discount Amount]]</f>
        <v>810</v>
      </c>
      <c r="P828" s="4" t="str">
        <f>IF(Table15678[[#This Row],[Total Amount]]&gt;=1000,"High","Low")</f>
        <v>Low</v>
      </c>
      <c r="Q828" s="4" t="str" cm="1">
        <f t="array" ref="Q828">_xlfn.IFS(AND(Table15678[[#This Row],[Total Amount]]&gt;=1500,"Critical"),AND(Table15678[[#This Row],[Total Amount]]&gt;=1000,"High"),TRUE,"Normal")</f>
        <v>Normal</v>
      </c>
      <c r="R828" s="4" t="str">
        <f>CONCATENATE(Table15678[[#This Row],[Customer ID]], "-",Table15678[[#This Row],[Age]])</f>
        <v>CUST827-61</v>
      </c>
      <c r="S828" s="4" t="str">
        <f>TEXT(Table15678[[#This Row],[Date]],"mmm")</f>
        <v>Nov</v>
      </c>
      <c r="T828" s="4" t="str">
        <f>TEXT(Table15678[[#This Row],[Date]],"DDD")</f>
        <v>Thu</v>
      </c>
    </row>
    <row r="829" spans="1:20" ht="29" x14ac:dyDescent="0.35">
      <c r="A829" s="4">
        <v>828</v>
      </c>
      <c r="B829" s="5">
        <v>45269</v>
      </c>
      <c r="C829" s="4" t="s">
        <v>841</v>
      </c>
      <c r="D829" s="4" t="s">
        <v>13</v>
      </c>
      <c r="E829" s="4">
        <v>33</v>
      </c>
      <c r="F829" s="4" t="str">
        <f>IF(Table15678[[#This Row],[Age]]&lt;=19,"Teenager",IF(Table15678[[#This Row],[Age]]&lt;=40,"Median","Old"))</f>
        <v>Median</v>
      </c>
      <c r="G829" s="4" t="s">
        <v>16</v>
      </c>
      <c r="H829" s="4">
        <v>4</v>
      </c>
      <c r="I829" s="4">
        <v>300</v>
      </c>
      <c r="J829" s="4">
        <v>1200</v>
      </c>
      <c r="K829" s="4" t="str" cm="1">
        <f t="array" ref="K829">_xlfn.IFS(AND(Table15678[[#This Row],[Total Amount]]&gt;=1500),"Critical",AND(Table15678[[#This Row],[Total Amount]]&gt;=1000),"High",TRUE,"Normal")</f>
        <v>High</v>
      </c>
      <c r="L829" s="4" t="str">
        <f>IF(Table15678[[#This Row],[Total Amount]]&gt;=1000,"High",(IF(Table15678[[#This Row],[Total Amount]]&gt;=500,"Medium","Low")))</f>
        <v>High</v>
      </c>
      <c r="M829" s="4" t="str" cm="1">
        <f t="array" ref="M82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29" s="4" cm="1">
        <f t="array" ref="N82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829" s="4">
        <f>Table15678[[#This Row],[Total Amount]]-Table15678[[#This Row],[Discount Amount]]</f>
        <v>1020</v>
      </c>
      <c r="P829" s="4" t="str">
        <f>IF(Table15678[[#This Row],[Total Amount]]&gt;=1000,"High","Low")</f>
        <v>High</v>
      </c>
      <c r="Q829" s="4" t="str" cm="1">
        <f t="array" ref="Q829">_xlfn.IFS(AND(Table15678[[#This Row],[Total Amount]]&gt;=1500,"Critical"),AND(Table15678[[#This Row],[Total Amount]]&gt;=1000,"High"),TRUE,"Normal")</f>
        <v>Normal</v>
      </c>
      <c r="R829" s="4" t="str">
        <f>CONCATENATE(Table15678[[#This Row],[Customer ID]], "-",Table15678[[#This Row],[Age]])</f>
        <v>CUST828-33</v>
      </c>
      <c r="S829" s="4" t="str">
        <f>TEXT(Table15678[[#This Row],[Date]],"mmm")</f>
        <v>Dec</v>
      </c>
      <c r="T829" s="4" t="str">
        <f>TEXT(Table15678[[#This Row],[Date]],"DDD")</f>
        <v>Sat</v>
      </c>
    </row>
    <row r="830" spans="1:20" ht="29" x14ac:dyDescent="0.35">
      <c r="A830" s="4">
        <v>829</v>
      </c>
      <c r="B830" s="5">
        <v>45121</v>
      </c>
      <c r="C830" s="4" t="s">
        <v>842</v>
      </c>
      <c r="D830" s="4" t="s">
        <v>10</v>
      </c>
      <c r="E830" s="4">
        <v>61</v>
      </c>
      <c r="F830" s="4" t="str">
        <f>IF(Table15678[[#This Row],[Age]]&lt;=19,"Teenager",IF(Table15678[[#This Row],[Age]]&lt;=40,"Median","Old"))</f>
        <v>Old</v>
      </c>
      <c r="G830" s="4" t="s">
        <v>11</v>
      </c>
      <c r="H830" s="4">
        <v>3</v>
      </c>
      <c r="I830" s="4">
        <v>30</v>
      </c>
      <c r="J830" s="4">
        <v>90</v>
      </c>
      <c r="K830" s="4" t="str" cm="1">
        <f t="array" ref="K830">_xlfn.IFS(AND(Table15678[[#This Row],[Total Amount]]&gt;=1500),"Critical",AND(Table15678[[#This Row],[Total Amount]]&gt;=1000),"High",TRUE,"Normal")</f>
        <v>Normal</v>
      </c>
      <c r="L830" s="4" t="str">
        <f>IF(Table15678[[#This Row],[Total Amount]]&gt;=1000,"High",(IF(Table15678[[#This Row],[Total Amount]]&gt;=500,"Medium","Low")))</f>
        <v>Low</v>
      </c>
      <c r="M830" s="4" t="str" cm="1">
        <f t="array" ref="M83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30" s="4" cm="1">
        <f t="array" ref="N83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</v>
      </c>
      <c r="O830" s="4">
        <f>Table15678[[#This Row],[Total Amount]]-Table15678[[#This Row],[Discount Amount]]</f>
        <v>81</v>
      </c>
      <c r="P830" s="4" t="str">
        <f>IF(Table15678[[#This Row],[Total Amount]]&gt;=1000,"High","Low")</f>
        <v>Low</v>
      </c>
      <c r="Q830" s="4" t="str" cm="1">
        <f t="array" ref="Q830">_xlfn.IFS(AND(Table15678[[#This Row],[Total Amount]]&gt;=1500,"Critical"),AND(Table15678[[#This Row],[Total Amount]]&gt;=1000,"High"),TRUE,"Normal")</f>
        <v>Normal</v>
      </c>
      <c r="R830" s="4" t="str">
        <f>CONCATENATE(Table15678[[#This Row],[Customer ID]], "-",Table15678[[#This Row],[Age]])</f>
        <v>CUST829-61</v>
      </c>
      <c r="S830" s="4" t="str">
        <f>TEXT(Table15678[[#This Row],[Date]],"mmm")</f>
        <v>Jul</v>
      </c>
      <c r="T830" s="4" t="str">
        <f>TEXT(Table15678[[#This Row],[Date]],"DDD")</f>
        <v>Fri</v>
      </c>
    </row>
    <row r="831" spans="1:20" ht="29" x14ac:dyDescent="0.35">
      <c r="A831" s="4">
        <v>830</v>
      </c>
      <c r="B831" s="5">
        <v>45099</v>
      </c>
      <c r="C831" s="4" t="s">
        <v>843</v>
      </c>
      <c r="D831" s="4" t="s">
        <v>13</v>
      </c>
      <c r="E831" s="4">
        <v>64</v>
      </c>
      <c r="F831" s="4" t="str">
        <f>IF(Table15678[[#This Row],[Age]]&lt;=19,"Teenager",IF(Table15678[[#This Row],[Age]]&lt;=40,"Median","Old"))</f>
        <v>Old</v>
      </c>
      <c r="G831" s="4" t="s">
        <v>14</v>
      </c>
      <c r="H831" s="4">
        <v>3</v>
      </c>
      <c r="I831" s="4">
        <v>50</v>
      </c>
      <c r="J831" s="4">
        <v>150</v>
      </c>
      <c r="K831" s="4" t="str" cm="1">
        <f t="array" ref="K831">_xlfn.IFS(AND(Table15678[[#This Row],[Total Amount]]&gt;=1500),"Critical",AND(Table15678[[#This Row],[Total Amount]]&gt;=1000),"High",TRUE,"Normal")</f>
        <v>Normal</v>
      </c>
      <c r="L831" s="4" t="str">
        <f>IF(Table15678[[#This Row],[Total Amount]]&gt;=1000,"High",(IF(Table15678[[#This Row],[Total Amount]]&gt;=500,"Medium","Low")))</f>
        <v>Low</v>
      </c>
      <c r="M831" s="4" t="str" cm="1">
        <f t="array" ref="M83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31" s="4" cm="1">
        <f t="array" ref="N83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831" s="4">
        <f>Table15678[[#This Row],[Total Amount]]-Table15678[[#This Row],[Discount Amount]]</f>
        <v>120</v>
      </c>
      <c r="P831" s="4" t="str">
        <f>IF(Table15678[[#This Row],[Total Amount]]&gt;=1000,"High","Low")</f>
        <v>Low</v>
      </c>
      <c r="Q831" s="4" t="str" cm="1">
        <f t="array" ref="Q831">_xlfn.IFS(AND(Table15678[[#This Row],[Total Amount]]&gt;=1500,"Critical"),AND(Table15678[[#This Row],[Total Amount]]&gt;=1000,"High"),TRUE,"Normal")</f>
        <v>Normal</v>
      </c>
      <c r="R831" s="4" t="str">
        <f>CONCATENATE(Table15678[[#This Row],[Customer ID]], "-",Table15678[[#This Row],[Age]])</f>
        <v>CUST830-64</v>
      </c>
      <c r="S831" s="4" t="str">
        <f>TEXT(Table15678[[#This Row],[Date]],"mmm")</f>
        <v>Jun</v>
      </c>
      <c r="T831" s="4" t="str">
        <f>TEXT(Table15678[[#This Row],[Date]],"DDD")</f>
        <v>Thu</v>
      </c>
    </row>
    <row r="832" spans="1:20" ht="29" x14ac:dyDescent="0.35">
      <c r="A832" s="4">
        <v>831</v>
      </c>
      <c r="B832" s="5">
        <v>44941</v>
      </c>
      <c r="C832" s="4" t="s">
        <v>844</v>
      </c>
      <c r="D832" s="4" t="s">
        <v>10</v>
      </c>
      <c r="E832" s="4">
        <v>27</v>
      </c>
      <c r="F832" s="4" t="str">
        <f>IF(Table15678[[#This Row],[Age]]&lt;=19,"Teenager",IF(Table15678[[#This Row],[Age]]&lt;=40,"Median","Old"))</f>
        <v>Median</v>
      </c>
      <c r="G832" s="4" t="s">
        <v>16</v>
      </c>
      <c r="H832" s="4">
        <v>4</v>
      </c>
      <c r="I832" s="4">
        <v>25</v>
      </c>
      <c r="J832" s="4">
        <v>100</v>
      </c>
      <c r="K832" s="4" t="str" cm="1">
        <f t="array" ref="K832">_xlfn.IFS(AND(Table15678[[#This Row],[Total Amount]]&gt;=1500),"Critical",AND(Table15678[[#This Row],[Total Amount]]&gt;=1000),"High",TRUE,"Normal")</f>
        <v>Normal</v>
      </c>
      <c r="L832" s="4" t="str">
        <f>IF(Table15678[[#This Row],[Total Amount]]&gt;=1000,"High",(IF(Table15678[[#This Row],[Total Amount]]&gt;=500,"Medium","Low")))</f>
        <v>Low</v>
      </c>
      <c r="M832" s="4" t="str" cm="1">
        <f t="array" ref="M83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32" s="4" cm="1">
        <f t="array" ref="N83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832" s="4">
        <f>Table15678[[#This Row],[Total Amount]]-Table15678[[#This Row],[Discount Amount]]</f>
        <v>85</v>
      </c>
      <c r="P832" s="4" t="str">
        <f>IF(Table15678[[#This Row],[Total Amount]]&gt;=1000,"High","Low")</f>
        <v>Low</v>
      </c>
      <c r="Q832" s="4" t="str" cm="1">
        <f t="array" ref="Q832">_xlfn.IFS(AND(Table15678[[#This Row],[Total Amount]]&gt;=1500,"Critical"),AND(Table15678[[#This Row],[Total Amount]]&gt;=1000,"High"),TRUE,"Normal")</f>
        <v>Normal</v>
      </c>
      <c r="R832" s="4" t="str">
        <f>CONCATENATE(Table15678[[#This Row],[Customer ID]], "-",Table15678[[#This Row],[Age]])</f>
        <v>CUST831-27</v>
      </c>
      <c r="S832" s="4" t="str">
        <f>TEXT(Table15678[[#This Row],[Date]],"mmm")</f>
        <v>Jan</v>
      </c>
      <c r="T832" s="4" t="str">
        <f>TEXT(Table15678[[#This Row],[Date]],"DDD")</f>
        <v>Sun</v>
      </c>
    </row>
    <row r="833" spans="1:20" ht="29" x14ac:dyDescent="0.35">
      <c r="A833" s="4">
        <v>832</v>
      </c>
      <c r="B833" s="5">
        <v>45180</v>
      </c>
      <c r="C833" s="4" t="s">
        <v>845</v>
      </c>
      <c r="D833" s="4" t="s">
        <v>10</v>
      </c>
      <c r="E833" s="4">
        <v>47</v>
      </c>
      <c r="F833" s="4" t="str">
        <f>IF(Table15678[[#This Row],[Age]]&lt;=19,"Teenager",IF(Table15678[[#This Row],[Age]]&lt;=40,"Median","Old"))</f>
        <v>Old</v>
      </c>
      <c r="G833" s="4" t="s">
        <v>11</v>
      </c>
      <c r="H833" s="4">
        <v>4</v>
      </c>
      <c r="I833" s="4">
        <v>500</v>
      </c>
      <c r="J833" s="4">
        <v>2000</v>
      </c>
      <c r="K833" s="4" t="str" cm="1">
        <f t="array" ref="K833">_xlfn.IFS(AND(Table15678[[#This Row],[Total Amount]]&gt;=1500),"Critical",AND(Table15678[[#This Row],[Total Amount]]&gt;=1000),"High",TRUE,"Normal")</f>
        <v>Critical</v>
      </c>
      <c r="L833" s="4" t="str">
        <f>IF(Table15678[[#This Row],[Total Amount]]&gt;=1000,"High",(IF(Table15678[[#This Row],[Total Amount]]&gt;=500,"Medium","Low")))</f>
        <v>High</v>
      </c>
      <c r="M833" s="4" t="str" cm="1">
        <f t="array" ref="M83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33" s="4" cm="1">
        <f t="array" ref="N83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833" s="4">
        <f>Table15678[[#This Row],[Total Amount]]-Table15678[[#This Row],[Discount Amount]]</f>
        <v>1800</v>
      </c>
      <c r="P833" s="4" t="str">
        <f>IF(Table15678[[#This Row],[Total Amount]]&gt;=1000,"High","Low")</f>
        <v>High</v>
      </c>
      <c r="Q833" s="4" t="b" cm="1">
        <f t="array" ref="Q833">_xlfn.IFS(AND(Table15678[[#This Row],[Total Amount]]&gt;=1500,"Critical"),AND(Table15678[[#This Row],[Total Amount]]&gt;=1000,"High"),TRUE,"Normal")</f>
        <v>1</v>
      </c>
      <c r="R833" s="4" t="str">
        <f>CONCATENATE(Table15678[[#This Row],[Customer ID]], "-",Table15678[[#This Row],[Age]])</f>
        <v>CUST832-47</v>
      </c>
      <c r="S833" s="4" t="str">
        <f>TEXT(Table15678[[#This Row],[Date]],"mmm")</f>
        <v>Sep</v>
      </c>
      <c r="T833" s="4" t="str">
        <f>TEXT(Table15678[[#This Row],[Date]],"DDD")</f>
        <v>Mon</v>
      </c>
    </row>
    <row r="834" spans="1:20" ht="29" x14ac:dyDescent="0.35">
      <c r="A834" s="4">
        <v>833</v>
      </c>
      <c r="B834" s="5">
        <v>45093</v>
      </c>
      <c r="C834" s="4" t="s">
        <v>846</v>
      </c>
      <c r="D834" s="4" t="s">
        <v>10</v>
      </c>
      <c r="E834" s="4">
        <v>42</v>
      </c>
      <c r="F834" s="4" t="str">
        <f>IF(Table15678[[#This Row],[Age]]&lt;=19,"Teenager",IF(Table15678[[#This Row],[Age]]&lt;=40,"Median","Old"))</f>
        <v>Old</v>
      </c>
      <c r="G834" s="4" t="s">
        <v>11</v>
      </c>
      <c r="H834" s="4">
        <v>4</v>
      </c>
      <c r="I834" s="4">
        <v>50</v>
      </c>
      <c r="J834" s="4">
        <v>200</v>
      </c>
      <c r="K834" s="4" t="str" cm="1">
        <f t="array" ref="K834">_xlfn.IFS(AND(Table15678[[#This Row],[Total Amount]]&gt;=1500),"Critical",AND(Table15678[[#This Row],[Total Amount]]&gt;=1000),"High",TRUE,"Normal")</f>
        <v>Normal</v>
      </c>
      <c r="L834" s="4" t="str">
        <f>IF(Table15678[[#This Row],[Total Amount]]&gt;=1000,"High",(IF(Table15678[[#This Row],[Total Amount]]&gt;=500,"Medium","Low")))</f>
        <v>Low</v>
      </c>
      <c r="M834" s="4" t="str" cm="1">
        <f t="array" ref="M83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34" s="4" cm="1">
        <f t="array" ref="N83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834" s="4">
        <f>Table15678[[#This Row],[Total Amount]]-Table15678[[#This Row],[Discount Amount]]</f>
        <v>180</v>
      </c>
      <c r="P834" s="4" t="str">
        <f>IF(Table15678[[#This Row],[Total Amount]]&gt;=1000,"High","Low")</f>
        <v>Low</v>
      </c>
      <c r="Q834" s="4" t="str" cm="1">
        <f t="array" ref="Q834">_xlfn.IFS(AND(Table15678[[#This Row],[Total Amount]]&gt;=1500,"Critical"),AND(Table15678[[#This Row],[Total Amount]]&gt;=1000,"High"),TRUE,"Normal")</f>
        <v>Normal</v>
      </c>
      <c r="R834" s="4" t="str">
        <f>CONCATENATE(Table15678[[#This Row],[Customer ID]], "-",Table15678[[#This Row],[Age]])</f>
        <v>CUST833-42</v>
      </c>
      <c r="S834" s="4" t="str">
        <f>TEXT(Table15678[[#This Row],[Date]],"mmm")</f>
        <v>Jun</v>
      </c>
      <c r="T834" s="4" t="str">
        <f>TEXT(Table15678[[#This Row],[Date]],"DDD")</f>
        <v>Fri</v>
      </c>
    </row>
    <row r="835" spans="1:20" ht="29" x14ac:dyDescent="0.35">
      <c r="A835" s="4">
        <v>834</v>
      </c>
      <c r="B835" s="5">
        <v>45020</v>
      </c>
      <c r="C835" s="4" t="s">
        <v>847</v>
      </c>
      <c r="D835" s="4" t="s">
        <v>13</v>
      </c>
      <c r="E835" s="4">
        <v>56</v>
      </c>
      <c r="F835" s="4" t="str">
        <f>IF(Table15678[[#This Row],[Age]]&lt;=19,"Teenager",IF(Table15678[[#This Row],[Age]]&lt;=40,"Median","Old"))</f>
        <v>Old</v>
      </c>
      <c r="G835" s="4" t="s">
        <v>11</v>
      </c>
      <c r="H835" s="4">
        <v>2</v>
      </c>
      <c r="I835" s="4">
        <v>30</v>
      </c>
      <c r="J835" s="4">
        <v>60</v>
      </c>
      <c r="K835" s="4" t="str" cm="1">
        <f t="array" ref="K835">_xlfn.IFS(AND(Table15678[[#This Row],[Total Amount]]&gt;=1500),"Critical",AND(Table15678[[#This Row],[Total Amount]]&gt;=1000),"High",TRUE,"Normal")</f>
        <v>Normal</v>
      </c>
      <c r="L835" s="4" t="str">
        <f>IF(Table15678[[#This Row],[Total Amount]]&gt;=1000,"High",(IF(Table15678[[#This Row],[Total Amount]]&gt;=500,"Medium","Low")))</f>
        <v>Low</v>
      </c>
      <c r="M835" s="4" t="str" cm="1">
        <f t="array" ref="M83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35" s="4" cm="1">
        <f t="array" ref="N83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835" s="4">
        <f>Table15678[[#This Row],[Total Amount]]-Table15678[[#This Row],[Discount Amount]]</f>
        <v>48</v>
      </c>
      <c r="P835" s="4" t="str">
        <f>IF(Table15678[[#This Row],[Total Amount]]&gt;=1000,"High","Low")</f>
        <v>Low</v>
      </c>
      <c r="Q835" s="4" t="str" cm="1">
        <f t="array" ref="Q835">_xlfn.IFS(AND(Table15678[[#This Row],[Total Amount]]&gt;=1500,"Critical"),AND(Table15678[[#This Row],[Total Amount]]&gt;=1000,"High"),TRUE,"Normal")</f>
        <v>Normal</v>
      </c>
      <c r="R835" s="4" t="str">
        <f>CONCATENATE(Table15678[[#This Row],[Customer ID]], "-",Table15678[[#This Row],[Age]])</f>
        <v>CUST834-56</v>
      </c>
      <c r="S835" s="4" t="str">
        <f>TEXT(Table15678[[#This Row],[Date]],"mmm")</f>
        <v>Apr</v>
      </c>
      <c r="T835" s="4" t="str">
        <f>TEXT(Table15678[[#This Row],[Date]],"DDD")</f>
        <v>Tue</v>
      </c>
    </row>
    <row r="836" spans="1:20" ht="29" x14ac:dyDescent="0.35">
      <c r="A836" s="4">
        <v>835</v>
      </c>
      <c r="B836" s="5">
        <v>45176</v>
      </c>
      <c r="C836" s="4" t="s">
        <v>848</v>
      </c>
      <c r="D836" s="4" t="s">
        <v>10</v>
      </c>
      <c r="E836" s="4">
        <v>37</v>
      </c>
      <c r="F836" s="4" t="str">
        <f>IF(Table15678[[#This Row],[Age]]&lt;=19,"Teenager",IF(Table15678[[#This Row],[Age]]&lt;=40,"Median","Old"))</f>
        <v>Median</v>
      </c>
      <c r="G836" s="4" t="s">
        <v>14</v>
      </c>
      <c r="H836" s="4">
        <v>4</v>
      </c>
      <c r="I836" s="4">
        <v>50</v>
      </c>
      <c r="J836" s="4">
        <v>200</v>
      </c>
      <c r="K836" s="4" t="str" cm="1">
        <f t="array" ref="K836">_xlfn.IFS(AND(Table15678[[#This Row],[Total Amount]]&gt;=1500),"Critical",AND(Table15678[[#This Row],[Total Amount]]&gt;=1000),"High",TRUE,"Normal")</f>
        <v>Normal</v>
      </c>
      <c r="L836" s="4" t="str">
        <f>IF(Table15678[[#This Row],[Total Amount]]&gt;=1000,"High",(IF(Table15678[[#This Row],[Total Amount]]&gt;=500,"Medium","Low")))</f>
        <v>Low</v>
      </c>
      <c r="M836" s="4" t="str" cm="1">
        <f t="array" ref="M83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36" s="4" cm="1">
        <f t="array" ref="N83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836" s="4">
        <f>Table15678[[#This Row],[Total Amount]]-Table15678[[#This Row],[Discount Amount]]</f>
        <v>180</v>
      </c>
      <c r="P836" s="4" t="str">
        <f>IF(Table15678[[#This Row],[Total Amount]]&gt;=1000,"High","Low")</f>
        <v>Low</v>
      </c>
      <c r="Q836" s="4" t="str" cm="1">
        <f t="array" ref="Q836">_xlfn.IFS(AND(Table15678[[#This Row],[Total Amount]]&gt;=1500,"Critical"),AND(Table15678[[#This Row],[Total Amount]]&gt;=1000,"High"),TRUE,"Normal")</f>
        <v>Normal</v>
      </c>
      <c r="R836" s="4" t="str">
        <f>CONCATENATE(Table15678[[#This Row],[Customer ID]], "-",Table15678[[#This Row],[Age]])</f>
        <v>CUST835-37</v>
      </c>
      <c r="S836" s="4" t="str">
        <f>TEXT(Table15678[[#This Row],[Date]],"mmm")</f>
        <v>Sep</v>
      </c>
      <c r="T836" s="4" t="str">
        <f>TEXT(Table15678[[#This Row],[Date]],"DDD")</f>
        <v>Thu</v>
      </c>
    </row>
    <row r="837" spans="1:20" ht="29" x14ac:dyDescent="0.35">
      <c r="A837" s="4">
        <v>836</v>
      </c>
      <c r="B837" s="5">
        <v>45035</v>
      </c>
      <c r="C837" s="4" t="s">
        <v>849</v>
      </c>
      <c r="D837" s="4" t="s">
        <v>13</v>
      </c>
      <c r="E837" s="4">
        <v>22</v>
      </c>
      <c r="F837" s="4" t="str">
        <f>IF(Table15678[[#This Row],[Age]]&lt;=19,"Teenager",IF(Table15678[[#This Row],[Age]]&lt;=40,"Median","Old"))</f>
        <v>Median</v>
      </c>
      <c r="G837" s="4" t="s">
        <v>14</v>
      </c>
      <c r="H837" s="4">
        <v>1</v>
      </c>
      <c r="I837" s="4">
        <v>50</v>
      </c>
      <c r="J837" s="4">
        <v>50</v>
      </c>
      <c r="K837" s="4" t="str" cm="1">
        <f t="array" ref="K837">_xlfn.IFS(AND(Table15678[[#This Row],[Total Amount]]&gt;=1500),"Critical",AND(Table15678[[#This Row],[Total Amount]]&gt;=1000),"High",TRUE,"Normal")</f>
        <v>Normal</v>
      </c>
      <c r="L837" s="4" t="str">
        <f>IF(Table15678[[#This Row],[Total Amount]]&gt;=1000,"High",(IF(Table15678[[#This Row],[Total Amount]]&gt;=500,"Medium","Low")))</f>
        <v>Low</v>
      </c>
      <c r="M837" s="4" t="str" cm="1">
        <f t="array" ref="M83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837" s="4" cm="1">
        <f t="array" ref="N83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837" s="4">
        <f>Table15678[[#This Row],[Total Amount]]-Table15678[[#This Row],[Discount Amount]]</f>
        <v>50</v>
      </c>
      <c r="P837" s="4" t="str">
        <f>IF(Table15678[[#This Row],[Total Amount]]&gt;=1000,"High","Low")</f>
        <v>Low</v>
      </c>
      <c r="Q837" s="4" t="str" cm="1">
        <f t="array" ref="Q837">_xlfn.IFS(AND(Table15678[[#This Row],[Total Amount]]&gt;=1500,"Critical"),AND(Table15678[[#This Row],[Total Amount]]&gt;=1000,"High"),TRUE,"Normal")</f>
        <v>Normal</v>
      </c>
      <c r="R837" s="4" t="str">
        <f>CONCATENATE(Table15678[[#This Row],[Customer ID]], "-",Table15678[[#This Row],[Age]])</f>
        <v>CUST836-22</v>
      </c>
      <c r="S837" s="4" t="str">
        <f>TEXT(Table15678[[#This Row],[Date]],"mmm")</f>
        <v>Apr</v>
      </c>
      <c r="T837" s="4" t="str">
        <f>TEXT(Table15678[[#This Row],[Date]],"DDD")</f>
        <v>Wed</v>
      </c>
    </row>
    <row r="838" spans="1:20" ht="29" x14ac:dyDescent="0.35">
      <c r="A838" s="4">
        <v>837</v>
      </c>
      <c r="B838" s="5">
        <v>45108</v>
      </c>
      <c r="C838" s="4" t="s">
        <v>850</v>
      </c>
      <c r="D838" s="4" t="s">
        <v>10</v>
      </c>
      <c r="E838" s="4">
        <v>18</v>
      </c>
      <c r="F838" s="4" t="str">
        <f>IF(Table15678[[#This Row],[Age]]&lt;=19,"Teenager",IF(Table15678[[#This Row],[Age]]&lt;=40,"Median","Old"))</f>
        <v>Teenager</v>
      </c>
      <c r="G838" s="4" t="s">
        <v>11</v>
      </c>
      <c r="H838" s="4">
        <v>3</v>
      </c>
      <c r="I838" s="4">
        <v>30</v>
      </c>
      <c r="J838" s="4">
        <v>90</v>
      </c>
      <c r="K838" s="4" t="str" cm="1">
        <f t="array" ref="K838">_xlfn.IFS(AND(Table15678[[#This Row],[Total Amount]]&gt;=1500),"Critical",AND(Table15678[[#This Row],[Total Amount]]&gt;=1000),"High",TRUE,"Normal")</f>
        <v>Normal</v>
      </c>
      <c r="L838" s="4" t="str">
        <f>IF(Table15678[[#This Row],[Total Amount]]&gt;=1000,"High",(IF(Table15678[[#This Row],[Total Amount]]&gt;=500,"Medium","Low")))</f>
        <v>Low</v>
      </c>
      <c r="M838" s="4" t="str" cm="1">
        <f t="array" ref="M83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838" s="4" cm="1">
        <f t="array" ref="N83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838" s="4">
        <f>Table15678[[#This Row],[Total Amount]]-Table15678[[#This Row],[Discount Amount]]</f>
        <v>90</v>
      </c>
      <c r="P838" s="4" t="str">
        <f>IF(Table15678[[#This Row],[Total Amount]]&gt;=1000,"High","Low")</f>
        <v>Low</v>
      </c>
      <c r="Q838" s="4" t="str" cm="1">
        <f t="array" ref="Q838">_xlfn.IFS(AND(Table15678[[#This Row],[Total Amount]]&gt;=1500,"Critical"),AND(Table15678[[#This Row],[Total Amount]]&gt;=1000,"High"),TRUE,"Normal")</f>
        <v>Normal</v>
      </c>
      <c r="R838" s="4" t="str">
        <f>CONCATENATE(Table15678[[#This Row],[Customer ID]], "-",Table15678[[#This Row],[Age]])</f>
        <v>CUST837-18</v>
      </c>
      <c r="S838" s="4" t="str">
        <f>TEXT(Table15678[[#This Row],[Date]],"mmm")</f>
        <v>Jul</v>
      </c>
      <c r="T838" s="4" t="str">
        <f>TEXT(Table15678[[#This Row],[Date]],"DDD")</f>
        <v>Sat</v>
      </c>
    </row>
    <row r="839" spans="1:20" ht="29" x14ac:dyDescent="0.35">
      <c r="A839" s="4">
        <v>838</v>
      </c>
      <c r="B839" s="5">
        <v>45059</v>
      </c>
      <c r="C839" s="4" t="s">
        <v>851</v>
      </c>
      <c r="D839" s="4" t="s">
        <v>10</v>
      </c>
      <c r="E839" s="4">
        <v>47</v>
      </c>
      <c r="F839" s="4" t="str">
        <f>IF(Table15678[[#This Row],[Age]]&lt;=19,"Teenager",IF(Table15678[[#This Row],[Age]]&lt;=40,"Median","Old"))</f>
        <v>Old</v>
      </c>
      <c r="G839" s="4" t="s">
        <v>16</v>
      </c>
      <c r="H839" s="4">
        <v>2</v>
      </c>
      <c r="I839" s="4">
        <v>300</v>
      </c>
      <c r="J839" s="4">
        <v>600</v>
      </c>
      <c r="K839" s="4" t="str" cm="1">
        <f t="array" ref="K839">_xlfn.IFS(AND(Table15678[[#This Row],[Total Amount]]&gt;=1500),"Critical",AND(Table15678[[#This Row],[Total Amount]]&gt;=1000),"High",TRUE,"Normal")</f>
        <v>Normal</v>
      </c>
      <c r="L839" s="4" t="str">
        <f>IF(Table15678[[#This Row],[Total Amount]]&gt;=1000,"High",(IF(Table15678[[#This Row],[Total Amount]]&gt;=500,"Medium","Low")))</f>
        <v>Medium</v>
      </c>
      <c r="M839" s="4" t="str" cm="1">
        <f t="array" ref="M83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39" s="4" cm="1">
        <f t="array" ref="N83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839" s="4">
        <f>Table15678[[#This Row],[Total Amount]]-Table15678[[#This Row],[Discount Amount]]</f>
        <v>540</v>
      </c>
      <c r="P839" s="4" t="str">
        <f>IF(Table15678[[#This Row],[Total Amount]]&gt;=1000,"High","Low")</f>
        <v>Low</v>
      </c>
      <c r="Q839" s="4" t="str" cm="1">
        <f t="array" ref="Q839">_xlfn.IFS(AND(Table15678[[#This Row],[Total Amount]]&gt;=1500,"Critical"),AND(Table15678[[#This Row],[Total Amount]]&gt;=1000,"High"),TRUE,"Normal")</f>
        <v>Normal</v>
      </c>
      <c r="R839" s="4" t="str">
        <f>CONCATENATE(Table15678[[#This Row],[Customer ID]], "-",Table15678[[#This Row],[Age]])</f>
        <v>CUST838-47</v>
      </c>
      <c r="S839" s="4" t="str">
        <f>TEXT(Table15678[[#This Row],[Date]],"mmm")</f>
        <v>May</v>
      </c>
      <c r="T839" s="4" t="str">
        <f>TEXT(Table15678[[#This Row],[Date]],"DDD")</f>
        <v>Sat</v>
      </c>
    </row>
    <row r="840" spans="1:20" ht="29" x14ac:dyDescent="0.35">
      <c r="A840" s="4">
        <v>839</v>
      </c>
      <c r="B840" s="5">
        <v>45101</v>
      </c>
      <c r="C840" s="4" t="s">
        <v>852</v>
      </c>
      <c r="D840" s="4" t="s">
        <v>13</v>
      </c>
      <c r="E840" s="4">
        <v>20</v>
      </c>
      <c r="F840" s="4" t="str">
        <f>IF(Table15678[[#This Row],[Age]]&lt;=19,"Teenager",IF(Table15678[[#This Row],[Age]]&lt;=40,"Median","Old"))</f>
        <v>Median</v>
      </c>
      <c r="G840" s="4" t="s">
        <v>16</v>
      </c>
      <c r="H840" s="4">
        <v>4</v>
      </c>
      <c r="I840" s="4">
        <v>300</v>
      </c>
      <c r="J840" s="4">
        <v>1200</v>
      </c>
      <c r="K840" s="4" t="str" cm="1">
        <f t="array" ref="K840">_xlfn.IFS(AND(Table15678[[#This Row],[Total Amount]]&gt;=1500),"Critical",AND(Table15678[[#This Row],[Total Amount]]&gt;=1000),"High",TRUE,"Normal")</f>
        <v>High</v>
      </c>
      <c r="L840" s="4" t="str">
        <f>IF(Table15678[[#This Row],[Total Amount]]&gt;=1000,"High",(IF(Table15678[[#This Row],[Total Amount]]&gt;=500,"Medium","Low")))</f>
        <v>High</v>
      </c>
      <c r="M840" s="4" t="str" cm="1">
        <f t="array" ref="M84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840" s="4" cm="1">
        <f t="array" ref="N84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840" s="4">
        <f>Table15678[[#This Row],[Total Amount]]-Table15678[[#This Row],[Discount Amount]]</f>
        <v>1200</v>
      </c>
      <c r="P840" s="4" t="str">
        <f>IF(Table15678[[#This Row],[Total Amount]]&gt;=1000,"High","Low")</f>
        <v>High</v>
      </c>
      <c r="Q840" s="4" t="str" cm="1">
        <f t="array" ref="Q840">_xlfn.IFS(AND(Table15678[[#This Row],[Total Amount]]&gt;=1500,"Critical"),AND(Table15678[[#This Row],[Total Amount]]&gt;=1000,"High"),TRUE,"Normal")</f>
        <v>Normal</v>
      </c>
      <c r="R840" s="4" t="str">
        <f>CONCATENATE(Table15678[[#This Row],[Customer ID]], "-",Table15678[[#This Row],[Age]])</f>
        <v>CUST839-20</v>
      </c>
      <c r="S840" s="4" t="str">
        <f>TEXT(Table15678[[#This Row],[Date]],"mmm")</f>
        <v>Jun</v>
      </c>
      <c r="T840" s="4" t="str">
        <f>TEXT(Table15678[[#This Row],[Date]],"DDD")</f>
        <v>Sat</v>
      </c>
    </row>
    <row r="841" spans="1:20" ht="29" x14ac:dyDescent="0.35">
      <c r="A841" s="4">
        <v>840</v>
      </c>
      <c r="B841" s="5">
        <v>45070</v>
      </c>
      <c r="C841" s="4" t="s">
        <v>853</v>
      </c>
      <c r="D841" s="4" t="s">
        <v>10</v>
      </c>
      <c r="E841" s="4">
        <v>62</v>
      </c>
      <c r="F841" s="4" t="str">
        <f>IF(Table15678[[#This Row],[Age]]&lt;=19,"Teenager",IF(Table15678[[#This Row],[Age]]&lt;=40,"Median","Old"))</f>
        <v>Old</v>
      </c>
      <c r="G841" s="4" t="s">
        <v>14</v>
      </c>
      <c r="H841" s="4">
        <v>2</v>
      </c>
      <c r="I841" s="4">
        <v>25</v>
      </c>
      <c r="J841" s="4">
        <v>50</v>
      </c>
      <c r="K841" s="4" t="str" cm="1">
        <f t="array" ref="K841">_xlfn.IFS(AND(Table15678[[#This Row],[Total Amount]]&gt;=1500),"Critical",AND(Table15678[[#This Row],[Total Amount]]&gt;=1000),"High",TRUE,"Normal")</f>
        <v>Normal</v>
      </c>
      <c r="L841" s="4" t="str">
        <f>IF(Table15678[[#This Row],[Total Amount]]&gt;=1000,"High",(IF(Table15678[[#This Row],[Total Amount]]&gt;=500,"Medium","Low")))</f>
        <v>Low</v>
      </c>
      <c r="M841" s="4" t="str" cm="1">
        <f t="array" ref="M84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41" s="4" cm="1">
        <f t="array" ref="N84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841" s="4">
        <f>Table15678[[#This Row],[Total Amount]]-Table15678[[#This Row],[Discount Amount]]</f>
        <v>45</v>
      </c>
      <c r="P841" s="4" t="str">
        <f>IF(Table15678[[#This Row],[Total Amount]]&gt;=1000,"High","Low")</f>
        <v>Low</v>
      </c>
      <c r="Q841" s="4" t="str" cm="1">
        <f t="array" ref="Q841">_xlfn.IFS(AND(Table15678[[#This Row],[Total Amount]]&gt;=1500,"Critical"),AND(Table15678[[#This Row],[Total Amount]]&gt;=1000,"High"),TRUE,"Normal")</f>
        <v>Normal</v>
      </c>
      <c r="R841" s="4" t="str">
        <f>CONCATENATE(Table15678[[#This Row],[Customer ID]], "-",Table15678[[#This Row],[Age]])</f>
        <v>CUST840-62</v>
      </c>
      <c r="S841" s="4" t="str">
        <f>TEXT(Table15678[[#This Row],[Date]],"mmm")</f>
        <v>May</v>
      </c>
      <c r="T841" s="4" t="str">
        <f>TEXT(Table15678[[#This Row],[Date]],"DDD")</f>
        <v>Wed</v>
      </c>
    </row>
    <row r="842" spans="1:20" ht="29" x14ac:dyDescent="0.35">
      <c r="A842" s="4">
        <v>841</v>
      </c>
      <c r="B842" s="5">
        <v>45232</v>
      </c>
      <c r="C842" s="4" t="s">
        <v>854</v>
      </c>
      <c r="D842" s="4" t="s">
        <v>10</v>
      </c>
      <c r="E842" s="4">
        <v>31</v>
      </c>
      <c r="F842" s="4" t="str">
        <f>IF(Table15678[[#This Row],[Age]]&lt;=19,"Teenager",IF(Table15678[[#This Row],[Age]]&lt;=40,"Median","Old"))</f>
        <v>Median</v>
      </c>
      <c r="G842" s="4" t="s">
        <v>16</v>
      </c>
      <c r="H842" s="4">
        <v>4</v>
      </c>
      <c r="I842" s="4">
        <v>25</v>
      </c>
      <c r="J842" s="4">
        <v>100</v>
      </c>
      <c r="K842" s="4" t="str" cm="1">
        <f t="array" ref="K842">_xlfn.IFS(AND(Table15678[[#This Row],[Total Amount]]&gt;=1500),"Critical",AND(Table15678[[#This Row],[Total Amount]]&gt;=1000),"High",TRUE,"Normal")</f>
        <v>Normal</v>
      </c>
      <c r="L842" s="4" t="str">
        <f>IF(Table15678[[#This Row],[Total Amount]]&gt;=1000,"High",(IF(Table15678[[#This Row],[Total Amount]]&gt;=500,"Medium","Low")))</f>
        <v>Low</v>
      </c>
      <c r="M842" s="4" t="str" cm="1">
        <f t="array" ref="M84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42" s="4" cm="1">
        <f t="array" ref="N84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842" s="4">
        <f>Table15678[[#This Row],[Total Amount]]-Table15678[[#This Row],[Discount Amount]]</f>
        <v>85</v>
      </c>
      <c r="P842" s="4" t="str">
        <f>IF(Table15678[[#This Row],[Total Amount]]&gt;=1000,"High","Low")</f>
        <v>Low</v>
      </c>
      <c r="Q842" s="4" t="str" cm="1">
        <f t="array" ref="Q842">_xlfn.IFS(AND(Table15678[[#This Row],[Total Amount]]&gt;=1500,"Critical"),AND(Table15678[[#This Row],[Total Amount]]&gt;=1000,"High"),TRUE,"Normal")</f>
        <v>Normal</v>
      </c>
      <c r="R842" s="4" t="str">
        <f>CONCATENATE(Table15678[[#This Row],[Customer ID]], "-",Table15678[[#This Row],[Age]])</f>
        <v>CUST841-31</v>
      </c>
      <c r="S842" s="4" t="str">
        <f>TEXT(Table15678[[#This Row],[Date]],"mmm")</f>
        <v>Nov</v>
      </c>
      <c r="T842" s="4" t="str">
        <f>TEXT(Table15678[[#This Row],[Date]],"DDD")</f>
        <v>Thu</v>
      </c>
    </row>
    <row r="843" spans="1:20" ht="29" x14ac:dyDescent="0.35">
      <c r="A843" s="4">
        <v>842</v>
      </c>
      <c r="B843" s="5">
        <v>45286</v>
      </c>
      <c r="C843" s="4" t="s">
        <v>855</v>
      </c>
      <c r="D843" s="4" t="s">
        <v>13</v>
      </c>
      <c r="E843" s="4">
        <v>47</v>
      </c>
      <c r="F843" s="4" t="str">
        <f>IF(Table15678[[#This Row],[Age]]&lt;=19,"Teenager",IF(Table15678[[#This Row],[Age]]&lt;=40,"Median","Old"))</f>
        <v>Old</v>
      </c>
      <c r="G843" s="4" t="s">
        <v>14</v>
      </c>
      <c r="H843" s="4">
        <v>2</v>
      </c>
      <c r="I843" s="4">
        <v>300</v>
      </c>
      <c r="J843" s="4">
        <v>600</v>
      </c>
      <c r="K843" s="4" t="str" cm="1">
        <f t="array" ref="K843">_xlfn.IFS(AND(Table15678[[#This Row],[Total Amount]]&gt;=1500),"Critical",AND(Table15678[[#This Row],[Total Amount]]&gt;=1000),"High",TRUE,"Normal")</f>
        <v>Normal</v>
      </c>
      <c r="L843" s="4" t="str">
        <f>IF(Table15678[[#This Row],[Total Amount]]&gt;=1000,"High",(IF(Table15678[[#This Row],[Total Amount]]&gt;=500,"Medium","Low")))</f>
        <v>Medium</v>
      </c>
      <c r="M843" s="4" t="str" cm="1">
        <f t="array" ref="M84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43" s="4" cm="1">
        <f t="array" ref="N84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120</v>
      </c>
      <c r="O843" s="4">
        <f>Table15678[[#This Row],[Total Amount]]-Table15678[[#This Row],[Discount Amount]]</f>
        <v>480</v>
      </c>
      <c r="P843" s="4" t="str">
        <f>IF(Table15678[[#This Row],[Total Amount]]&gt;=1000,"High","Low")</f>
        <v>Low</v>
      </c>
      <c r="Q843" s="4" t="str" cm="1">
        <f t="array" ref="Q843">_xlfn.IFS(AND(Table15678[[#This Row],[Total Amount]]&gt;=1500,"Critical"),AND(Table15678[[#This Row],[Total Amount]]&gt;=1000,"High"),TRUE,"Normal")</f>
        <v>Normal</v>
      </c>
      <c r="R843" s="4" t="str">
        <f>CONCATENATE(Table15678[[#This Row],[Customer ID]], "-",Table15678[[#This Row],[Age]])</f>
        <v>CUST842-47</v>
      </c>
      <c r="S843" s="4" t="str">
        <f>TEXT(Table15678[[#This Row],[Date]],"mmm")</f>
        <v>Dec</v>
      </c>
      <c r="T843" s="4" t="str">
        <f>TEXT(Table15678[[#This Row],[Date]],"DDD")</f>
        <v>Tue</v>
      </c>
    </row>
    <row r="844" spans="1:20" ht="29" x14ac:dyDescent="0.35">
      <c r="A844" s="4">
        <v>843</v>
      </c>
      <c r="B844" s="5">
        <v>45068</v>
      </c>
      <c r="C844" s="4" t="s">
        <v>856</v>
      </c>
      <c r="D844" s="4" t="s">
        <v>10</v>
      </c>
      <c r="E844" s="4">
        <v>21</v>
      </c>
      <c r="F844" s="4" t="str">
        <f>IF(Table15678[[#This Row],[Age]]&lt;=19,"Teenager",IF(Table15678[[#This Row],[Age]]&lt;=40,"Median","Old"))</f>
        <v>Median</v>
      </c>
      <c r="G844" s="4" t="s">
        <v>11</v>
      </c>
      <c r="H844" s="4">
        <v>3</v>
      </c>
      <c r="I844" s="4">
        <v>500</v>
      </c>
      <c r="J844" s="4">
        <v>1500</v>
      </c>
      <c r="K844" s="4" t="str" cm="1">
        <f t="array" ref="K844">_xlfn.IFS(AND(Table15678[[#This Row],[Total Amount]]&gt;=1500),"Critical",AND(Table15678[[#This Row],[Total Amount]]&gt;=1000),"High",TRUE,"Normal")</f>
        <v>Critical</v>
      </c>
      <c r="L844" s="4" t="str">
        <f>IF(Table15678[[#This Row],[Total Amount]]&gt;=1000,"High",(IF(Table15678[[#This Row],[Total Amount]]&gt;=500,"Medium","Low")))</f>
        <v>High</v>
      </c>
      <c r="M844" s="4" t="str" cm="1">
        <f t="array" ref="M84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844" s="4" cm="1">
        <f t="array" ref="N84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844" s="4">
        <f>Table15678[[#This Row],[Total Amount]]-Table15678[[#This Row],[Discount Amount]]</f>
        <v>1500</v>
      </c>
      <c r="P844" s="4" t="str">
        <f>IF(Table15678[[#This Row],[Total Amount]]&gt;=1000,"High","Low")</f>
        <v>High</v>
      </c>
      <c r="Q844" s="4" t="b" cm="1">
        <f t="array" ref="Q844">_xlfn.IFS(AND(Table15678[[#This Row],[Total Amount]]&gt;=1500,"Critical"),AND(Table15678[[#This Row],[Total Amount]]&gt;=1000,"High"),TRUE,"Normal")</f>
        <v>1</v>
      </c>
      <c r="R844" s="4" t="str">
        <f>CONCATENATE(Table15678[[#This Row],[Customer ID]], "-",Table15678[[#This Row],[Age]])</f>
        <v>CUST843-21</v>
      </c>
      <c r="S844" s="4" t="str">
        <f>TEXT(Table15678[[#This Row],[Date]],"mmm")</f>
        <v>May</v>
      </c>
      <c r="T844" s="4" t="str">
        <f>TEXT(Table15678[[#This Row],[Date]],"DDD")</f>
        <v>Mon</v>
      </c>
    </row>
    <row r="845" spans="1:20" ht="29" x14ac:dyDescent="0.35">
      <c r="A845" s="4">
        <v>844</v>
      </c>
      <c r="B845" s="5">
        <v>45211</v>
      </c>
      <c r="C845" s="4" t="s">
        <v>857</v>
      </c>
      <c r="D845" s="4" t="s">
        <v>10</v>
      </c>
      <c r="E845" s="4">
        <v>35</v>
      </c>
      <c r="F845" s="4" t="str">
        <f>IF(Table15678[[#This Row],[Age]]&lt;=19,"Teenager",IF(Table15678[[#This Row],[Age]]&lt;=40,"Median","Old"))</f>
        <v>Median</v>
      </c>
      <c r="G845" s="4" t="s">
        <v>14</v>
      </c>
      <c r="H845" s="4">
        <v>3</v>
      </c>
      <c r="I845" s="4">
        <v>50</v>
      </c>
      <c r="J845" s="4">
        <v>150</v>
      </c>
      <c r="K845" s="4" t="str" cm="1">
        <f t="array" ref="K845">_xlfn.IFS(AND(Table15678[[#This Row],[Total Amount]]&gt;=1500),"Critical",AND(Table15678[[#This Row],[Total Amount]]&gt;=1000),"High",TRUE,"Normal")</f>
        <v>Normal</v>
      </c>
      <c r="L845" s="4" t="str">
        <f>IF(Table15678[[#This Row],[Total Amount]]&gt;=1000,"High",(IF(Table15678[[#This Row],[Total Amount]]&gt;=500,"Medium","Low")))</f>
        <v>Low</v>
      </c>
      <c r="M845" s="4" t="str" cm="1">
        <f t="array" ref="M84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45" s="4" cm="1">
        <f t="array" ref="N84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845" s="4">
        <f>Table15678[[#This Row],[Total Amount]]-Table15678[[#This Row],[Discount Amount]]</f>
        <v>135</v>
      </c>
      <c r="P845" s="4" t="str">
        <f>IF(Table15678[[#This Row],[Total Amount]]&gt;=1000,"High","Low")</f>
        <v>Low</v>
      </c>
      <c r="Q845" s="4" t="str" cm="1">
        <f t="array" ref="Q845">_xlfn.IFS(AND(Table15678[[#This Row],[Total Amount]]&gt;=1500,"Critical"),AND(Table15678[[#This Row],[Total Amount]]&gt;=1000,"High"),TRUE,"Normal")</f>
        <v>Normal</v>
      </c>
      <c r="R845" s="4" t="str">
        <f>CONCATENATE(Table15678[[#This Row],[Customer ID]], "-",Table15678[[#This Row],[Age]])</f>
        <v>CUST844-35</v>
      </c>
      <c r="S845" s="4" t="str">
        <f>TEXT(Table15678[[#This Row],[Date]],"mmm")</f>
        <v>Oct</v>
      </c>
      <c r="T845" s="4" t="str">
        <f>TEXT(Table15678[[#This Row],[Date]],"DDD")</f>
        <v>Thu</v>
      </c>
    </row>
    <row r="846" spans="1:20" ht="29" x14ac:dyDescent="0.35">
      <c r="A846" s="4">
        <v>845</v>
      </c>
      <c r="B846" s="5">
        <v>44932</v>
      </c>
      <c r="C846" s="4" t="s">
        <v>858</v>
      </c>
      <c r="D846" s="4" t="s">
        <v>10</v>
      </c>
      <c r="E846" s="4">
        <v>54</v>
      </c>
      <c r="F846" s="4" t="str">
        <f>IF(Table15678[[#This Row],[Age]]&lt;=19,"Teenager",IF(Table15678[[#This Row],[Age]]&lt;=40,"Median","Old"))</f>
        <v>Old</v>
      </c>
      <c r="G846" s="4" t="s">
        <v>14</v>
      </c>
      <c r="H846" s="4">
        <v>1</v>
      </c>
      <c r="I846" s="4">
        <v>500</v>
      </c>
      <c r="J846" s="4">
        <v>500</v>
      </c>
      <c r="K846" s="4" t="str" cm="1">
        <f t="array" ref="K846">_xlfn.IFS(AND(Table15678[[#This Row],[Total Amount]]&gt;=1500),"Critical",AND(Table15678[[#This Row],[Total Amount]]&gt;=1000),"High",TRUE,"Normal")</f>
        <v>Normal</v>
      </c>
      <c r="L846" s="4" t="str">
        <f>IF(Table15678[[#This Row],[Total Amount]]&gt;=1000,"High",(IF(Table15678[[#This Row],[Total Amount]]&gt;=500,"Medium","Low")))</f>
        <v>Medium</v>
      </c>
      <c r="M846" s="4" t="str" cm="1">
        <f t="array" ref="M84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46" s="4" cm="1">
        <f t="array" ref="N84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50</v>
      </c>
      <c r="O846" s="4">
        <f>Table15678[[#This Row],[Total Amount]]-Table15678[[#This Row],[Discount Amount]]</f>
        <v>450</v>
      </c>
      <c r="P846" s="4" t="str">
        <f>IF(Table15678[[#This Row],[Total Amount]]&gt;=1000,"High","Low")</f>
        <v>Low</v>
      </c>
      <c r="Q846" s="4" t="str" cm="1">
        <f t="array" ref="Q846">_xlfn.IFS(AND(Table15678[[#This Row],[Total Amount]]&gt;=1500,"Critical"),AND(Table15678[[#This Row],[Total Amount]]&gt;=1000,"High"),TRUE,"Normal")</f>
        <v>Normal</v>
      </c>
      <c r="R846" s="4" t="str">
        <f>CONCATENATE(Table15678[[#This Row],[Customer ID]], "-",Table15678[[#This Row],[Age]])</f>
        <v>CUST845-54</v>
      </c>
      <c r="S846" s="4" t="str">
        <f>TEXT(Table15678[[#This Row],[Date]],"mmm")</f>
        <v>Jan</v>
      </c>
      <c r="T846" s="4" t="str">
        <f>TEXT(Table15678[[#This Row],[Date]],"DDD")</f>
        <v>Fri</v>
      </c>
    </row>
    <row r="847" spans="1:20" ht="29" x14ac:dyDescent="0.35">
      <c r="A847" s="4">
        <v>846</v>
      </c>
      <c r="B847" s="5">
        <v>45191</v>
      </c>
      <c r="C847" s="4" t="s">
        <v>859</v>
      </c>
      <c r="D847" s="4" t="s">
        <v>10</v>
      </c>
      <c r="E847" s="4">
        <v>42</v>
      </c>
      <c r="F847" s="4" t="str">
        <f>IF(Table15678[[#This Row],[Age]]&lt;=19,"Teenager",IF(Table15678[[#This Row],[Age]]&lt;=40,"Median","Old"))</f>
        <v>Old</v>
      </c>
      <c r="G847" s="4" t="s">
        <v>11</v>
      </c>
      <c r="H847" s="4">
        <v>1</v>
      </c>
      <c r="I847" s="4">
        <v>50</v>
      </c>
      <c r="J847" s="4">
        <v>50</v>
      </c>
      <c r="K847" s="4" t="str" cm="1">
        <f t="array" ref="K847">_xlfn.IFS(AND(Table15678[[#This Row],[Total Amount]]&gt;=1500),"Critical",AND(Table15678[[#This Row],[Total Amount]]&gt;=1000),"High",TRUE,"Normal")</f>
        <v>Normal</v>
      </c>
      <c r="L847" s="4" t="str">
        <f>IF(Table15678[[#This Row],[Total Amount]]&gt;=1000,"High",(IF(Table15678[[#This Row],[Total Amount]]&gt;=500,"Medium","Low")))</f>
        <v>Low</v>
      </c>
      <c r="M847" s="4" t="str" cm="1">
        <f t="array" ref="M84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47" s="4" cm="1">
        <f t="array" ref="N84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847" s="4">
        <f>Table15678[[#This Row],[Total Amount]]-Table15678[[#This Row],[Discount Amount]]</f>
        <v>45</v>
      </c>
      <c r="P847" s="4" t="str">
        <f>IF(Table15678[[#This Row],[Total Amount]]&gt;=1000,"High","Low")</f>
        <v>Low</v>
      </c>
      <c r="Q847" s="4" t="str" cm="1">
        <f t="array" ref="Q847">_xlfn.IFS(AND(Table15678[[#This Row],[Total Amount]]&gt;=1500,"Critical"),AND(Table15678[[#This Row],[Total Amount]]&gt;=1000,"High"),TRUE,"Normal")</f>
        <v>Normal</v>
      </c>
      <c r="R847" s="4" t="str">
        <f>CONCATENATE(Table15678[[#This Row],[Customer ID]], "-",Table15678[[#This Row],[Age]])</f>
        <v>CUST846-42</v>
      </c>
      <c r="S847" s="4" t="str">
        <f>TEXT(Table15678[[#This Row],[Date]],"mmm")</f>
        <v>Sep</v>
      </c>
      <c r="T847" s="4" t="str">
        <f>TEXT(Table15678[[#This Row],[Date]],"DDD")</f>
        <v>Fri</v>
      </c>
    </row>
    <row r="848" spans="1:20" ht="29" x14ac:dyDescent="0.35">
      <c r="A848" s="4">
        <v>847</v>
      </c>
      <c r="B848" s="5">
        <v>45024</v>
      </c>
      <c r="C848" s="4" t="s">
        <v>860</v>
      </c>
      <c r="D848" s="4" t="s">
        <v>13</v>
      </c>
      <c r="E848" s="4">
        <v>18</v>
      </c>
      <c r="F848" s="4" t="str">
        <f>IF(Table15678[[#This Row],[Age]]&lt;=19,"Teenager",IF(Table15678[[#This Row],[Age]]&lt;=40,"Median","Old"))</f>
        <v>Teenager</v>
      </c>
      <c r="G848" s="4" t="s">
        <v>16</v>
      </c>
      <c r="H848" s="4">
        <v>4</v>
      </c>
      <c r="I848" s="4">
        <v>300</v>
      </c>
      <c r="J848" s="4">
        <v>1200</v>
      </c>
      <c r="K848" s="4" t="str" cm="1">
        <f t="array" ref="K848">_xlfn.IFS(AND(Table15678[[#This Row],[Total Amount]]&gt;=1500),"Critical",AND(Table15678[[#This Row],[Total Amount]]&gt;=1000),"High",TRUE,"Normal")</f>
        <v>High</v>
      </c>
      <c r="L848" s="4" t="str">
        <f>IF(Table15678[[#This Row],[Total Amount]]&gt;=1000,"High",(IF(Table15678[[#This Row],[Total Amount]]&gt;=500,"Medium","Low")))</f>
        <v>High</v>
      </c>
      <c r="M848" s="4" t="str" cm="1">
        <f t="array" ref="M84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848" s="4" cm="1">
        <f t="array" ref="N84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848" s="4">
        <f>Table15678[[#This Row],[Total Amount]]-Table15678[[#This Row],[Discount Amount]]</f>
        <v>1200</v>
      </c>
      <c r="P848" s="4" t="str">
        <f>IF(Table15678[[#This Row],[Total Amount]]&gt;=1000,"High","Low")</f>
        <v>High</v>
      </c>
      <c r="Q848" s="4" t="str" cm="1">
        <f t="array" ref="Q848">_xlfn.IFS(AND(Table15678[[#This Row],[Total Amount]]&gt;=1500,"Critical"),AND(Table15678[[#This Row],[Total Amount]]&gt;=1000,"High"),TRUE,"Normal")</f>
        <v>Normal</v>
      </c>
      <c r="R848" s="4" t="str">
        <f>CONCATENATE(Table15678[[#This Row],[Customer ID]], "-",Table15678[[#This Row],[Age]])</f>
        <v>CUST847-18</v>
      </c>
      <c r="S848" s="4" t="str">
        <f>TEXT(Table15678[[#This Row],[Date]],"mmm")</f>
        <v>Apr</v>
      </c>
      <c r="T848" s="4" t="str">
        <f>TEXT(Table15678[[#This Row],[Date]],"DDD")</f>
        <v>Sat</v>
      </c>
    </row>
    <row r="849" spans="1:20" ht="29" x14ac:dyDescent="0.35">
      <c r="A849" s="4">
        <v>848</v>
      </c>
      <c r="B849" s="5">
        <v>44970</v>
      </c>
      <c r="C849" s="4" t="s">
        <v>861</v>
      </c>
      <c r="D849" s="4" t="s">
        <v>13</v>
      </c>
      <c r="E849" s="4">
        <v>63</v>
      </c>
      <c r="F849" s="4" t="str">
        <f>IF(Table15678[[#This Row],[Age]]&lt;=19,"Teenager",IF(Table15678[[#This Row],[Age]]&lt;=40,"Median","Old"))</f>
        <v>Old</v>
      </c>
      <c r="G849" s="4" t="s">
        <v>14</v>
      </c>
      <c r="H849" s="4">
        <v>3</v>
      </c>
      <c r="I849" s="4">
        <v>25</v>
      </c>
      <c r="J849" s="4">
        <v>75</v>
      </c>
      <c r="K849" s="4" t="str" cm="1">
        <f t="array" ref="K849">_xlfn.IFS(AND(Table15678[[#This Row],[Total Amount]]&gt;=1500),"Critical",AND(Table15678[[#This Row],[Total Amount]]&gt;=1000),"High",TRUE,"Normal")</f>
        <v>Normal</v>
      </c>
      <c r="L849" s="4" t="str">
        <f>IF(Table15678[[#This Row],[Total Amount]]&gt;=1000,"High",(IF(Table15678[[#This Row],[Total Amount]]&gt;=500,"Medium","Low")))</f>
        <v>Low</v>
      </c>
      <c r="M849" s="4" t="str" cm="1">
        <f t="array" ref="M84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49" s="4" cm="1">
        <f t="array" ref="N84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849" s="4">
        <f>Table15678[[#This Row],[Total Amount]]-Table15678[[#This Row],[Discount Amount]]</f>
        <v>60</v>
      </c>
      <c r="P849" s="4" t="str">
        <f>IF(Table15678[[#This Row],[Total Amount]]&gt;=1000,"High","Low")</f>
        <v>Low</v>
      </c>
      <c r="Q849" s="4" t="str" cm="1">
        <f t="array" ref="Q849">_xlfn.IFS(AND(Table15678[[#This Row],[Total Amount]]&gt;=1500,"Critical"),AND(Table15678[[#This Row],[Total Amount]]&gt;=1000,"High"),TRUE,"Normal")</f>
        <v>Normal</v>
      </c>
      <c r="R849" s="4" t="str">
        <f>CONCATENATE(Table15678[[#This Row],[Customer ID]], "-",Table15678[[#This Row],[Age]])</f>
        <v>CUST848-63</v>
      </c>
      <c r="S849" s="4" t="str">
        <f>TEXT(Table15678[[#This Row],[Date]],"mmm")</f>
        <v>Feb</v>
      </c>
      <c r="T849" s="4" t="str">
        <f>TEXT(Table15678[[#This Row],[Date]],"DDD")</f>
        <v>Mon</v>
      </c>
    </row>
    <row r="850" spans="1:20" ht="29" x14ac:dyDescent="0.35">
      <c r="A850" s="4">
        <v>849</v>
      </c>
      <c r="B850" s="5">
        <v>45050</v>
      </c>
      <c r="C850" s="4" t="s">
        <v>862</v>
      </c>
      <c r="D850" s="4" t="s">
        <v>10</v>
      </c>
      <c r="E850" s="4">
        <v>32</v>
      </c>
      <c r="F850" s="4" t="str">
        <f>IF(Table15678[[#This Row],[Age]]&lt;=19,"Teenager",IF(Table15678[[#This Row],[Age]]&lt;=40,"Median","Old"))</f>
        <v>Median</v>
      </c>
      <c r="G850" s="4" t="s">
        <v>14</v>
      </c>
      <c r="H850" s="4">
        <v>2</v>
      </c>
      <c r="I850" s="4">
        <v>25</v>
      </c>
      <c r="J850" s="4">
        <v>50</v>
      </c>
      <c r="K850" s="4" t="str" cm="1">
        <f t="array" ref="K850">_xlfn.IFS(AND(Table15678[[#This Row],[Total Amount]]&gt;=1500),"Critical",AND(Table15678[[#This Row],[Total Amount]]&gt;=1000),"High",TRUE,"Normal")</f>
        <v>Normal</v>
      </c>
      <c r="L850" s="4" t="str">
        <f>IF(Table15678[[#This Row],[Total Amount]]&gt;=1000,"High",(IF(Table15678[[#This Row],[Total Amount]]&gt;=500,"Medium","Low")))</f>
        <v>Low</v>
      </c>
      <c r="M850" s="4" t="str" cm="1">
        <f t="array" ref="M85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50" s="4" cm="1">
        <f t="array" ref="N85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850" s="4">
        <f>Table15678[[#This Row],[Total Amount]]-Table15678[[#This Row],[Discount Amount]]</f>
        <v>42.5</v>
      </c>
      <c r="P850" s="4" t="str">
        <f>IF(Table15678[[#This Row],[Total Amount]]&gt;=1000,"High","Low")</f>
        <v>Low</v>
      </c>
      <c r="Q850" s="4" t="str" cm="1">
        <f t="array" ref="Q850">_xlfn.IFS(AND(Table15678[[#This Row],[Total Amount]]&gt;=1500,"Critical"),AND(Table15678[[#This Row],[Total Amount]]&gt;=1000,"High"),TRUE,"Normal")</f>
        <v>Normal</v>
      </c>
      <c r="R850" s="4" t="str">
        <f>CONCATENATE(Table15678[[#This Row],[Customer ID]], "-",Table15678[[#This Row],[Age]])</f>
        <v>CUST849-32</v>
      </c>
      <c r="S850" s="4" t="str">
        <f>TEXT(Table15678[[#This Row],[Date]],"mmm")</f>
        <v>May</v>
      </c>
      <c r="T850" s="4" t="str">
        <f>TEXT(Table15678[[#This Row],[Date]],"DDD")</f>
        <v>Thu</v>
      </c>
    </row>
    <row r="851" spans="1:20" ht="29" x14ac:dyDescent="0.35">
      <c r="A851" s="4">
        <v>850</v>
      </c>
      <c r="B851" s="5">
        <v>45135</v>
      </c>
      <c r="C851" s="4" t="s">
        <v>863</v>
      </c>
      <c r="D851" s="4" t="s">
        <v>13</v>
      </c>
      <c r="E851" s="4">
        <v>26</v>
      </c>
      <c r="F851" s="4" t="str">
        <f>IF(Table15678[[#This Row],[Age]]&lt;=19,"Teenager",IF(Table15678[[#This Row],[Age]]&lt;=40,"Median","Old"))</f>
        <v>Median</v>
      </c>
      <c r="G851" s="4" t="s">
        <v>11</v>
      </c>
      <c r="H851" s="4">
        <v>2</v>
      </c>
      <c r="I851" s="4">
        <v>500</v>
      </c>
      <c r="J851" s="4">
        <v>1000</v>
      </c>
      <c r="K851" s="4" t="str" cm="1">
        <f t="array" ref="K851">_xlfn.IFS(AND(Table15678[[#This Row],[Total Amount]]&gt;=1500),"Critical",AND(Table15678[[#This Row],[Total Amount]]&gt;=1000),"High",TRUE,"Normal")</f>
        <v>High</v>
      </c>
      <c r="L851" s="4" t="str">
        <f>IF(Table15678[[#This Row],[Total Amount]]&gt;=1000,"High",(IF(Table15678[[#This Row],[Total Amount]]&gt;=500,"Medium","Low")))</f>
        <v>High</v>
      </c>
      <c r="M851" s="4" t="str" cm="1">
        <f t="array" ref="M85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51" s="4" cm="1">
        <f t="array" ref="N85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150</v>
      </c>
      <c r="O851" s="4">
        <f>Table15678[[#This Row],[Total Amount]]-Table15678[[#This Row],[Discount Amount]]</f>
        <v>850</v>
      </c>
      <c r="P851" s="4" t="str">
        <f>IF(Table15678[[#This Row],[Total Amount]]&gt;=1000,"High","Low")</f>
        <v>High</v>
      </c>
      <c r="Q851" s="4" t="str" cm="1">
        <f t="array" ref="Q851">_xlfn.IFS(AND(Table15678[[#This Row],[Total Amount]]&gt;=1500,"Critical"),AND(Table15678[[#This Row],[Total Amount]]&gt;=1000,"High"),TRUE,"Normal")</f>
        <v>Normal</v>
      </c>
      <c r="R851" s="4" t="str">
        <f>CONCATENATE(Table15678[[#This Row],[Customer ID]], "-",Table15678[[#This Row],[Age]])</f>
        <v>CUST850-26</v>
      </c>
      <c r="S851" s="4" t="str">
        <f>TEXT(Table15678[[#This Row],[Date]],"mmm")</f>
        <v>Jul</v>
      </c>
      <c r="T851" s="4" t="str">
        <f>TEXT(Table15678[[#This Row],[Date]],"DDD")</f>
        <v>Fri</v>
      </c>
    </row>
    <row r="852" spans="1:20" ht="29" x14ac:dyDescent="0.35">
      <c r="A852" s="4">
        <v>851</v>
      </c>
      <c r="B852" s="5">
        <v>45177</v>
      </c>
      <c r="C852" s="4" t="s">
        <v>864</v>
      </c>
      <c r="D852" s="4" t="s">
        <v>10</v>
      </c>
      <c r="E852" s="4">
        <v>32</v>
      </c>
      <c r="F852" s="4" t="str">
        <f>IF(Table15678[[#This Row],[Age]]&lt;=19,"Teenager",IF(Table15678[[#This Row],[Age]]&lt;=40,"Median","Old"))</f>
        <v>Median</v>
      </c>
      <c r="G852" s="4" t="s">
        <v>16</v>
      </c>
      <c r="H852" s="4">
        <v>2</v>
      </c>
      <c r="I852" s="4">
        <v>25</v>
      </c>
      <c r="J852" s="4">
        <v>50</v>
      </c>
      <c r="K852" s="4" t="str" cm="1">
        <f t="array" ref="K852">_xlfn.IFS(AND(Table15678[[#This Row],[Total Amount]]&gt;=1500),"Critical",AND(Table15678[[#This Row],[Total Amount]]&gt;=1000),"High",TRUE,"Normal")</f>
        <v>Normal</v>
      </c>
      <c r="L852" s="4" t="str">
        <f>IF(Table15678[[#This Row],[Total Amount]]&gt;=1000,"High",(IF(Table15678[[#This Row],[Total Amount]]&gt;=500,"Medium","Low")))</f>
        <v>Low</v>
      </c>
      <c r="M852" s="4" t="str" cm="1">
        <f t="array" ref="M85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52" s="4" cm="1">
        <f t="array" ref="N85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852" s="4">
        <f>Table15678[[#This Row],[Total Amount]]-Table15678[[#This Row],[Discount Amount]]</f>
        <v>42.5</v>
      </c>
      <c r="P852" s="4" t="str">
        <f>IF(Table15678[[#This Row],[Total Amount]]&gt;=1000,"High","Low")</f>
        <v>Low</v>
      </c>
      <c r="Q852" s="4" t="str" cm="1">
        <f t="array" ref="Q852">_xlfn.IFS(AND(Table15678[[#This Row],[Total Amount]]&gt;=1500,"Critical"),AND(Table15678[[#This Row],[Total Amount]]&gt;=1000,"High"),TRUE,"Normal")</f>
        <v>Normal</v>
      </c>
      <c r="R852" s="4" t="str">
        <f>CONCATENATE(Table15678[[#This Row],[Customer ID]], "-",Table15678[[#This Row],[Age]])</f>
        <v>CUST851-32</v>
      </c>
      <c r="S852" s="4" t="str">
        <f>TEXT(Table15678[[#This Row],[Date]],"mmm")</f>
        <v>Sep</v>
      </c>
      <c r="T852" s="4" t="str">
        <f>TEXT(Table15678[[#This Row],[Date]],"DDD")</f>
        <v>Fri</v>
      </c>
    </row>
    <row r="853" spans="1:20" ht="29" x14ac:dyDescent="0.35">
      <c r="A853" s="4">
        <v>852</v>
      </c>
      <c r="B853" s="5">
        <v>45211</v>
      </c>
      <c r="C853" s="4" t="s">
        <v>865</v>
      </c>
      <c r="D853" s="4" t="s">
        <v>13</v>
      </c>
      <c r="E853" s="4">
        <v>41</v>
      </c>
      <c r="F853" s="4" t="str">
        <f>IF(Table15678[[#This Row],[Age]]&lt;=19,"Teenager",IF(Table15678[[#This Row],[Age]]&lt;=40,"Median","Old"))</f>
        <v>Old</v>
      </c>
      <c r="G853" s="4" t="s">
        <v>14</v>
      </c>
      <c r="H853" s="4">
        <v>1</v>
      </c>
      <c r="I853" s="4">
        <v>300</v>
      </c>
      <c r="J853" s="4">
        <v>300</v>
      </c>
      <c r="K853" s="4" t="str" cm="1">
        <f t="array" ref="K853">_xlfn.IFS(AND(Table15678[[#This Row],[Total Amount]]&gt;=1500),"Critical",AND(Table15678[[#This Row],[Total Amount]]&gt;=1000),"High",TRUE,"Normal")</f>
        <v>Normal</v>
      </c>
      <c r="L853" s="4" t="str">
        <f>IF(Table15678[[#This Row],[Total Amount]]&gt;=1000,"High",(IF(Table15678[[#This Row],[Total Amount]]&gt;=500,"Medium","Low")))</f>
        <v>Low</v>
      </c>
      <c r="M853" s="4" t="str" cm="1">
        <f t="array" ref="M85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53" s="4" cm="1">
        <f t="array" ref="N85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853" s="4">
        <f>Table15678[[#This Row],[Total Amount]]-Table15678[[#This Row],[Discount Amount]]</f>
        <v>240</v>
      </c>
      <c r="P853" s="4" t="str">
        <f>IF(Table15678[[#This Row],[Total Amount]]&gt;=1000,"High","Low")</f>
        <v>Low</v>
      </c>
      <c r="Q853" s="4" t="str" cm="1">
        <f t="array" ref="Q853">_xlfn.IFS(AND(Table15678[[#This Row],[Total Amount]]&gt;=1500,"Critical"),AND(Table15678[[#This Row],[Total Amount]]&gt;=1000,"High"),TRUE,"Normal")</f>
        <v>Normal</v>
      </c>
      <c r="R853" s="4" t="str">
        <f>CONCATENATE(Table15678[[#This Row],[Customer ID]], "-",Table15678[[#This Row],[Age]])</f>
        <v>CUST852-41</v>
      </c>
      <c r="S853" s="4" t="str">
        <f>TEXT(Table15678[[#This Row],[Date]],"mmm")</f>
        <v>Oct</v>
      </c>
      <c r="T853" s="4" t="str">
        <f>TEXT(Table15678[[#This Row],[Date]],"DDD")</f>
        <v>Thu</v>
      </c>
    </row>
    <row r="854" spans="1:20" ht="29" x14ac:dyDescent="0.35">
      <c r="A854" s="4">
        <v>853</v>
      </c>
      <c r="B854" s="5">
        <v>45050</v>
      </c>
      <c r="C854" s="4" t="s">
        <v>866</v>
      </c>
      <c r="D854" s="4" t="s">
        <v>10</v>
      </c>
      <c r="E854" s="4">
        <v>21</v>
      </c>
      <c r="F854" s="4" t="str">
        <f>IF(Table15678[[#This Row],[Age]]&lt;=19,"Teenager",IF(Table15678[[#This Row],[Age]]&lt;=40,"Median","Old"))</f>
        <v>Median</v>
      </c>
      <c r="G854" s="4" t="s">
        <v>11</v>
      </c>
      <c r="H854" s="4">
        <v>2</v>
      </c>
      <c r="I854" s="4">
        <v>500</v>
      </c>
      <c r="J854" s="4">
        <v>1000</v>
      </c>
      <c r="K854" s="4" t="str" cm="1">
        <f t="array" ref="K854">_xlfn.IFS(AND(Table15678[[#This Row],[Total Amount]]&gt;=1500),"Critical",AND(Table15678[[#This Row],[Total Amount]]&gt;=1000),"High",TRUE,"Normal")</f>
        <v>High</v>
      </c>
      <c r="L854" s="4" t="str">
        <f>IF(Table15678[[#This Row],[Total Amount]]&gt;=1000,"High",(IF(Table15678[[#This Row],[Total Amount]]&gt;=500,"Medium","Low")))</f>
        <v>High</v>
      </c>
      <c r="M854" s="4" t="str" cm="1">
        <f t="array" ref="M85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854" s="4" cm="1">
        <f t="array" ref="N85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854" s="4">
        <f>Table15678[[#This Row],[Total Amount]]-Table15678[[#This Row],[Discount Amount]]</f>
        <v>1000</v>
      </c>
      <c r="P854" s="4" t="str">
        <f>IF(Table15678[[#This Row],[Total Amount]]&gt;=1000,"High","Low")</f>
        <v>High</v>
      </c>
      <c r="Q854" s="4" t="str" cm="1">
        <f t="array" ref="Q854">_xlfn.IFS(AND(Table15678[[#This Row],[Total Amount]]&gt;=1500,"Critical"),AND(Table15678[[#This Row],[Total Amount]]&gt;=1000,"High"),TRUE,"Normal")</f>
        <v>Normal</v>
      </c>
      <c r="R854" s="4" t="str">
        <f>CONCATENATE(Table15678[[#This Row],[Customer ID]], "-",Table15678[[#This Row],[Age]])</f>
        <v>CUST853-21</v>
      </c>
      <c r="S854" s="4" t="str">
        <f>TEXT(Table15678[[#This Row],[Date]],"mmm")</f>
        <v>May</v>
      </c>
      <c r="T854" s="4" t="str">
        <f>TEXT(Table15678[[#This Row],[Date]],"DDD")</f>
        <v>Thu</v>
      </c>
    </row>
    <row r="855" spans="1:20" ht="29" x14ac:dyDescent="0.35">
      <c r="A855" s="4">
        <v>854</v>
      </c>
      <c r="B855" s="5">
        <v>45280</v>
      </c>
      <c r="C855" s="4" t="s">
        <v>867</v>
      </c>
      <c r="D855" s="4" t="s">
        <v>10</v>
      </c>
      <c r="E855" s="4">
        <v>29</v>
      </c>
      <c r="F855" s="4" t="str">
        <f>IF(Table15678[[#This Row],[Age]]&lt;=19,"Teenager",IF(Table15678[[#This Row],[Age]]&lt;=40,"Median","Old"))</f>
        <v>Median</v>
      </c>
      <c r="G855" s="4" t="s">
        <v>14</v>
      </c>
      <c r="H855" s="4">
        <v>1</v>
      </c>
      <c r="I855" s="4">
        <v>50</v>
      </c>
      <c r="J855" s="4">
        <v>50</v>
      </c>
      <c r="K855" s="4" t="str" cm="1">
        <f t="array" ref="K855">_xlfn.IFS(AND(Table15678[[#This Row],[Total Amount]]&gt;=1500),"Critical",AND(Table15678[[#This Row],[Total Amount]]&gt;=1000),"High",TRUE,"Normal")</f>
        <v>Normal</v>
      </c>
      <c r="L855" s="4" t="str">
        <f>IF(Table15678[[#This Row],[Total Amount]]&gt;=1000,"High",(IF(Table15678[[#This Row],[Total Amount]]&gt;=500,"Medium","Low")))</f>
        <v>Low</v>
      </c>
      <c r="M855" s="4" t="str" cm="1">
        <f t="array" ref="M85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55" s="4" cm="1">
        <f t="array" ref="N85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855" s="4">
        <f>Table15678[[#This Row],[Total Amount]]-Table15678[[#This Row],[Discount Amount]]</f>
        <v>42.5</v>
      </c>
      <c r="P855" s="4" t="str">
        <f>IF(Table15678[[#This Row],[Total Amount]]&gt;=1000,"High","Low")</f>
        <v>Low</v>
      </c>
      <c r="Q855" s="4" t="str" cm="1">
        <f t="array" ref="Q855">_xlfn.IFS(AND(Table15678[[#This Row],[Total Amount]]&gt;=1500,"Critical"),AND(Table15678[[#This Row],[Total Amount]]&gt;=1000,"High"),TRUE,"Normal")</f>
        <v>Normal</v>
      </c>
      <c r="R855" s="4" t="str">
        <f>CONCATENATE(Table15678[[#This Row],[Customer ID]], "-",Table15678[[#This Row],[Age]])</f>
        <v>CUST854-29</v>
      </c>
      <c r="S855" s="4" t="str">
        <f>TEXT(Table15678[[#This Row],[Date]],"mmm")</f>
        <v>Dec</v>
      </c>
      <c r="T855" s="4" t="str">
        <f>TEXT(Table15678[[#This Row],[Date]],"DDD")</f>
        <v>Wed</v>
      </c>
    </row>
    <row r="856" spans="1:20" ht="29" x14ac:dyDescent="0.35">
      <c r="A856" s="4">
        <v>855</v>
      </c>
      <c r="B856" s="5">
        <v>45170</v>
      </c>
      <c r="C856" s="4" t="s">
        <v>868</v>
      </c>
      <c r="D856" s="4" t="s">
        <v>10</v>
      </c>
      <c r="E856" s="4">
        <v>54</v>
      </c>
      <c r="F856" s="4" t="str">
        <f>IF(Table15678[[#This Row],[Age]]&lt;=19,"Teenager",IF(Table15678[[#This Row],[Age]]&lt;=40,"Median","Old"))</f>
        <v>Old</v>
      </c>
      <c r="G856" s="4" t="s">
        <v>11</v>
      </c>
      <c r="H856" s="4">
        <v>1</v>
      </c>
      <c r="I856" s="4">
        <v>25</v>
      </c>
      <c r="J856" s="4">
        <v>25</v>
      </c>
      <c r="K856" s="4" t="str" cm="1">
        <f t="array" ref="K856">_xlfn.IFS(AND(Table15678[[#This Row],[Total Amount]]&gt;=1500),"Critical",AND(Table15678[[#This Row],[Total Amount]]&gt;=1000),"High",TRUE,"Normal")</f>
        <v>Normal</v>
      </c>
      <c r="L856" s="4" t="str">
        <f>IF(Table15678[[#This Row],[Total Amount]]&gt;=1000,"High",(IF(Table15678[[#This Row],[Total Amount]]&gt;=500,"Medium","Low")))</f>
        <v>Low</v>
      </c>
      <c r="M856" s="4" t="str" cm="1">
        <f t="array" ref="M85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56" s="4" cm="1">
        <f t="array" ref="N85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2.5</v>
      </c>
      <c r="O856" s="4">
        <f>Table15678[[#This Row],[Total Amount]]-Table15678[[#This Row],[Discount Amount]]</f>
        <v>22.5</v>
      </c>
      <c r="P856" s="4" t="str">
        <f>IF(Table15678[[#This Row],[Total Amount]]&gt;=1000,"High","Low")</f>
        <v>Low</v>
      </c>
      <c r="Q856" s="4" t="str" cm="1">
        <f t="array" ref="Q856">_xlfn.IFS(AND(Table15678[[#This Row],[Total Amount]]&gt;=1500,"Critical"),AND(Table15678[[#This Row],[Total Amount]]&gt;=1000,"High"),TRUE,"Normal")</f>
        <v>Normal</v>
      </c>
      <c r="R856" s="4" t="str">
        <f>CONCATENATE(Table15678[[#This Row],[Customer ID]], "-",Table15678[[#This Row],[Age]])</f>
        <v>CUST855-54</v>
      </c>
      <c r="S856" s="4" t="str">
        <f>TEXT(Table15678[[#This Row],[Date]],"mmm")</f>
        <v>Sep</v>
      </c>
      <c r="T856" s="4" t="str">
        <f>TEXT(Table15678[[#This Row],[Date]],"DDD")</f>
        <v>Fri</v>
      </c>
    </row>
    <row r="857" spans="1:20" ht="29" x14ac:dyDescent="0.35">
      <c r="A857" s="4">
        <v>856</v>
      </c>
      <c r="B857" s="5">
        <v>45257</v>
      </c>
      <c r="C857" s="4" t="s">
        <v>869</v>
      </c>
      <c r="D857" s="4" t="s">
        <v>10</v>
      </c>
      <c r="E857" s="4">
        <v>54</v>
      </c>
      <c r="F857" s="4" t="str">
        <f>IF(Table15678[[#This Row],[Age]]&lt;=19,"Teenager",IF(Table15678[[#This Row],[Age]]&lt;=40,"Median","Old"))</f>
        <v>Old</v>
      </c>
      <c r="G857" s="4" t="s">
        <v>16</v>
      </c>
      <c r="H857" s="4">
        <v>4</v>
      </c>
      <c r="I857" s="4">
        <v>30</v>
      </c>
      <c r="J857" s="4">
        <v>120</v>
      </c>
      <c r="K857" s="4" t="str" cm="1">
        <f t="array" ref="K857">_xlfn.IFS(AND(Table15678[[#This Row],[Total Amount]]&gt;=1500),"Critical",AND(Table15678[[#This Row],[Total Amount]]&gt;=1000),"High",TRUE,"Normal")</f>
        <v>Normal</v>
      </c>
      <c r="L857" s="4" t="str">
        <f>IF(Table15678[[#This Row],[Total Amount]]&gt;=1000,"High",(IF(Table15678[[#This Row],[Total Amount]]&gt;=500,"Medium","Low")))</f>
        <v>Low</v>
      </c>
      <c r="M857" s="4" t="str" cm="1">
        <f t="array" ref="M85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57" s="4" cm="1">
        <f t="array" ref="N85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857" s="4">
        <f>Table15678[[#This Row],[Total Amount]]-Table15678[[#This Row],[Discount Amount]]</f>
        <v>108</v>
      </c>
      <c r="P857" s="4" t="str">
        <f>IF(Table15678[[#This Row],[Total Amount]]&gt;=1000,"High","Low")</f>
        <v>Low</v>
      </c>
      <c r="Q857" s="4" t="str" cm="1">
        <f t="array" ref="Q857">_xlfn.IFS(AND(Table15678[[#This Row],[Total Amount]]&gt;=1500,"Critical"),AND(Table15678[[#This Row],[Total Amount]]&gt;=1000,"High"),TRUE,"Normal")</f>
        <v>Normal</v>
      </c>
      <c r="R857" s="4" t="str">
        <f>CONCATENATE(Table15678[[#This Row],[Customer ID]], "-",Table15678[[#This Row],[Age]])</f>
        <v>CUST856-54</v>
      </c>
      <c r="S857" s="4" t="str">
        <f>TEXT(Table15678[[#This Row],[Date]],"mmm")</f>
        <v>Nov</v>
      </c>
      <c r="T857" s="4" t="str">
        <f>TEXT(Table15678[[#This Row],[Date]],"DDD")</f>
        <v>Mon</v>
      </c>
    </row>
    <row r="858" spans="1:20" ht="29" x14ac:dyDescent="0.35">
      <c r="A858" s="4">
        <v>857</v>
      </c>
      <c r="B858" s="5">
        <v>45291</v>
      </c>
      <c r="C858" s="4" t="s">
        <v>870</v>
      </c>
      <c r="D858" s="4" t="s">
        <v>10</v>
      </c>
      <c r="E858" s="4">
        <v>60</v>
      </c>
      <c r="F858" s="4" t="str">
        <f>IF(Table15678[[#This Row],[Age]]&lt;=19,"Teenager",IF(Table15678[[#This Row],[Age]]&lt;=40,"Median","Old"))</f>
        <v>Old</v>
      </c>
      <c r="G858" s="4" t="s">
        <v>16</v>
      </c>
      <c r="H858" s="4">
        <v>2</v>
      </c>
      <c r="I858" s="4">
        <v>25</v>
      </c>
      <c r="J858" s="4">
        <v>50</v>
      </c>
      <c r="K858" s="4" t="str" cm="1">
        <f t="array" ref="K858">_xlfn.IFS(AND(Table15678[[#This Row],[Total Amount]]&gt;=1500),"Critical",AND(Table15678[[#This Row],[Total Amount]]&gt;=1000),"High",TRUE,"Normal")</f>
        <v>Normal</v>
      </c>
      <c r="L858" s="4" t="str">
        <f>IF(Table15678[[#This Row],[Total Amount]]&gt;=1000,"High",(IF(Table15678[[#This Row],[Total Amount]]&gt;=500,"Medium","Low")))</f>
        <v>Low</v>
      </c>
      <c r="M858" s="4" t="str" cm="1">
        <f t="array" ref="M85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58" s="4" cm="1">
        <f t="array" ref="N85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858" s="4">
        <f>Table15678[[#This Row],[Total Amount]]-Table15678[[#This Row],[Discount Amount]]</f>
        <v>45</v>
      </c>
      <c r="P858" s="4" t="str">
        <f>IF(Table15678[[#This Row],[Total Amount]]&gt;=1000,"High","Low")</f>
        <v>Low</v>
      </c>
      <c r="Q858" s="4" t="str" cm="1">
        <f t="array" ref="Q858">_xlfn.IFS(AND(Table15678[[#This Row],[Total Amount]]&gt;=1500,"Critical"),AND(Table15678[[#This Row],[Total Amount]]&gt;=1000,"High"),TRUE,"Normal")</f>
        <v>Normal</v>
      </c>
      <c r="R858" s="4" t="str">
        <f>CONCATENATE(Table15678[[#This Row],[Customer ID]], "-",Table15678[[#This Row],[Age]])</f>
        <v>CUST857-60</v>
      </c>
      <c r="S858" s="4" t="str">
        <f>TEXT(Table15678[[#This Row],[Date]],"mmm")</f>
        <v>Dec</v>
      </c>
      <c r="T858" s="4" t="str">
        <f>TEXT(Table15678[[#This Row],[Date]],"DDD")</f>
        <v>Sun</v>
      </c>
    </row>
    <row r="859" spans="1:20" ht="29" x14ac:dyDescent="0.35">
      <c r="A859" s="4">
        <v>858</v>
      </c>
      <c r="B859" s="5">
        <v>45178</v>
      </c>
      <c r="C859" s="4" t="s">
        <v>871</v>
      </c>
      <c r="D859" s="4" t="s">
        <v>10</v>
      </c>
      <c r="E859" s="4">
        <v>23</v>
      </c>
      <c r="F859" s="4" t="str">
        <f>IF(Table15678[[#This Row],[Age]]&lt;=19,"Teenager",IF(Table15678[[#This Row],[Age]]&lt;=40,"Median","Old"))</f>
        <v>Median</v>
      </c>
      <c r="G859" s="4" t="s">
        <v>16</v>
      </c>
      <c r="H859" s="4">
        <v>2</v>
      </c>
      <c r="I859" s="4">
        <v>50</v>
      </c>
      <c r="J859" s="4">
        <v>100</v>
      </c>
      <c r="K859" s="4" t="str" cm="1">
        <f t="array" ref="K859">_xlfn.IFS(AND(Table15678[[#This Row],[Total Amount]]&gt;=1500),"Critical",AND(Table15678[[#This Row],[Total Amount]]&gt;=1000),"High",TRUE,"Normal")</f>
        <v>Normal</v>
      </c>
      <c r="L859" s="4" t="str">
        <f>IF(Table15678[[#This Row],[Total Amount]]&gt;=1000,"High",(IF(Table15678[[#This Row],[Total Amount]]&gt;=500,"Medium","Low")))</f>
        <v>Low</v>
      </c>
      <c r="M859" s="4" t="str" cm="1">
        <f t="array" ref="M85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859" s="4" cm="1">
        <f t="array" ref="N85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859" s="4">
        <f>Table15678[[#This Row],[Total Amount]]-Table15678[[#This Row],[Discount Amount]]</f>
        <v>100</v>
      </c>
      <c r="P859" s="4" t="str">
        <f>IF(Table15678[[#This Row],[Total Amount]]&gt;=1000,"High","Low")</f>
        <v>Low</v>
      </c>
      <c r="Q859" s="4" t="str" cm="1">
        <f t="array" ref="Q859">_xlfn.IFS(AND(Table15678[[#This Row],[Total Amount]]&gt;=1500,"Critical"),AND(Table15678[[#This Row],[Total Amount]]&gt;=1000,"High"),TRUE,"Normal")</f>
        <v>Normal</v>
      </c>
      <c r="R859" s="4" t="str">
        <f>CONCATENATE(Table15678[[#This Row],[Customer ID]], "-",Table15678[[#This Row],[Age]])</f>
        <v>CUST858-23</v>
      </c>
      <c r="S859" s="4" t="str">
        <f>TEXT(Table15678[[#This Row],[Date]],"mmm")</f>
        <v>Sep</v>
      </c>
      <c r="T859" s="4" t="str">
        <f>TEXT(Table15678[[#This Row],[Date]],"DDD")</f>
        <v>Sat</v>
      </c>
    </row>
    <row r="860" spans="1:20" ht="29" x14ac:dyDescent="0.35">
      <c r="A860" s="4">
        <v>859</v>
      </c>
      <c r="B860" s="5">
        <v>45156</v>
      </c>
      <c r="C860" s="4" t="s">
        <v>872</v>
      </c>
      <c r="D860" s="4" t="s">
        <v>13</v>
      </c>
      <c r="E860" s="4">
        <v>56</v>
      </c>
      <c r="F860" s="4" t="str">
        <f>IF(Table15678[[#This Row],[Age]]&lt;=19,"Teenager",IF(Table15678[[#This Row],[Age]]&lt;=40,"Median","Old"))</f>
        <v>Old</v>
      </c>
      <c r="G860" s="4" t="s">
        <v>16</v>
      </c>
      <c r="H860" s="4">
        <v>3</v>
      </c>
      <c r="I860" s="4">
        <v>500</v>
      </c>
      <c r="J860" s="4">
        <v>1500</v>
      </c>
      <c r="K860" s="4" t="str" cm="1">
        <f t="array" ref="K860">_xlfn.IFS(AND(Table15678[[#This Row],[Total Amount]]&gt;=1500),"Critical",AND(Table15678[[#This Row],[Total Amount]]&gt;=1000),"High",TRUE,"Normal")</f>
        <v>Critical</v>
      </c>
      <c r="L860" s="4" t="str">
        <f>IF(Table15678[[#This Row],[Total Amount]]&gt;=1000,"High",(IF(Table15678[[#This Row],[Total Amount]]&gt;=500,"Medium","Low")))</f>
        <v>High</v>
      </c>
      <c r="M860" s="4" t="str" cm="1">
        <f t="array" ref="M86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60" s="4" cm="1">
        <f t="array" ref="N86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300</v>
      </c>
      <c r="O860" s="4">
        <f>Table15678[[#This Row],[Total Amount]]-Table15678[[#This Row],[Discount Amount]]</f>
        <v>1200</v>
      </c>
      <c r="P860" s="4" t="str">
        <f>IF(Table15678[[#This Row],[Total Amount]]&gt;=1000,"High","Low")</f>
        <v>High</v>
      </c>
      <c r="Q860" s="4" t="b" cm="1">
        <f t="array" ref="Q860">_xlfn.IFS(AND(Table15678[[#This Row],[Total Amount]]&gt;=1500,"Critical"),AND(Table15678[[#This Row],[Total Amount]]&gt;=1000,"High"),TRUE,"Normal")</f>
        <v>1</v>
      </c>
      <c r="R860" s="4" t="str">
        <f>CONCATENATE(Table15678[[#This Row],[Customer ID]], "-",Table15678[[#This Row],[Age]])</f>
        <v>CUST859-56</v>
      </c>
      <c r="S860" s="4" t="str">
        <f>TEXT(Table15678[[#This Row],[Date]],"mmm")</f>
        <v>Aug</v>
      </c>
      <c r="T860" s="4" t="str">
        <f>TEXT(Table15678[[#This Row],[Date]],"DDD")</f>
        <v>Fri</v>
      </c>
    </row>
    <row r="861" spans="1:20" ht="29" x14ac:dyDescent="0.35">
      <c r="A861" s="4">
        <v>860</v>
      </c>
      <c r="B861" s="5">
        <v>44935</v>
      </c>
      <c r="C861" s="4" t="s">
        <v>873</v>
      </c>
      <c r="D861" s="4" t="s">
        <v>10</v>
      </c>
      <c r="E861" s="4">
        <v>63</v>
      </c>
      <c r="F861" s="4" t="str">
        <f>IF(Table15678[[#This Row],[Age]]&lt;=19,"Teenager",IF(Table15678[[#This Row],[Age]]&lt;=40,"Median","Old"))</f>
        <v>Old</v>
      </c>
      <c r="G861" s="4" t="s">
        <v>14</v>
      </c>
      <c r="H861" s="4">
        <v>4</v>
      </c>
      <c r="I861" s="4">
        <v>50</v>
      </c>
      <c r="J861" s="4">
        <v>200</v>
      </c>
      <c r="K861" s="4" t="str" cm="1">
        <f t="array" ref="K861">_xlfn.IFS(AND(Table15678[[#This Row],[Total Amount]]&gt;=1500),"Critical",AND(Table15678[[#This Row],[Total Amount]]&gt;=1000),"High",TRUE,"Normal")</f>
        <v>Normal</v>
      </c>
      <c r="L861" s="4" t="str">
        <f>IF(Table15678[[#This Row],[Total Amount]]&gt;=1000,"High",(IF(Table15678[[#This Row],[Total Amount]]&gt;=500,"Medium","Low")))</f>
        <v>Low</v>
      </c>
      <c r="M861" s="4" t="str" cm="1">
        <f t="array" ref="M86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61" s="4" cm="1">
        <f t="array" ref="N86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861" s="4">
        <f>Table15678[[#This Row],[Total Amount]]-Table15678[[#This Row],[Discount Amount]]</f>
        <v>180</v>
      </c>
      <c r="P861" s="4" t="str">
        <f>IF(Table15678[[#This Row],[Total Amount]]&gt;=1000,"High","Low")</f>
        <v>Low</v>
      </c>
      <c r="Q861" s="4" t="str" cm="1">
        <f t="array" ref="Q861">_xlfn.IFS(AND(Table15678[[#This Row],[Total Amount]]&gt;=1500,"Critical"),AND(Table15678[[#This Row],[Total Amount]]&gt;=1000,"High"),TRUE,"Normal")</f>
        <v>Normal</v>
      </c>
      <c r="R861" s="4" t="str">
        <f>CONCATENATE(Table15678[[#This Row],[Customer ID]], "-",Table15678[[#This Row],[Age]])</f>
        <v>CUST860-63</v>
      </c>
      <c r="S861" s="4" t="str">
        <f>TEXT(Table15678[[#This Row],[Date]],"mmm")</f>
        <v>Jan</v>
      </c>
      <c r="T861" s="4" t="str">
        <f>TEXT(Table15678[[#This Row],[Date]],"DDD")</f>
        <v>Mon</v>
      </c>
    </row>
    <row r="862" spans="1:20" ht="29" x14ac:dyDescent="0.35">
      <c r="A862" s="4">
        <v>861</v>
      </c>
      <c r="B862" s="5">
        <v>44974</v>
      </c>
      <c r="C862" s="4" t="s">
        <v>874</v>
      </c>
      <c r="D862" s="4" t="s">
        <v>13</v>
      </c>
      <c r="E862" s="4">
        <v>41</v>
      </c>
      <c r="F862" s="4" t="str">
        <f>IF(Table15678[[#This Row],[Age]]&lt;=19,"Teenager",IF(Table15678[[#This Row],[Age]]&lt;=40,"Median","Old"))</f>
        <v>Old</v>
      </c>
      <c r="G862" s="4" t="s">
        <v>14</v>
      </c>
      <c r="H862" s="4">
        <v>3</v>
      </c>
      <c r="I862" s="4">
        <v>30</v>
      </c>
      <c r="J862" s="4">
        <v>90</v>
      </c>
      <c r="K862" s="4" t="str" cm="1">
        <f t="array" ref="K862">_xlfn.IFS(AND(Table15678[[#This Row],[Total Amount]]&gt;=1500),"Critical",AND(Table15678[[#This Row],[Total Amount]]&gt;=1000),"High",TRUE,"Normal")</f>
        <v>Normal</v>
      </c>
      <c r="L862" s="4" t="str">
        <f>IF(Table15678[[#This Row],[Total Amount]]&gt;=1000,"High",(IF(Table15678[[#This Row],[Total Amount]]&gt;=500,"Medium","Low")))</f>
        <v>Low</v>
      </c>
      <c r="M862" s="4" t="str" cm="1">
        <f t="array" ref="M86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62" s="4" cm="1">
        <f t="array" ref="N86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</v>
      </c>
      <c r="O862" s="4">
        <f>Table15678[[#This Row],[Total Amount]]-Table15678[[#This Row],[Discount Amount]]</f>
        <v>72</v>
      </c>
      <c r="P862" s="4" t="str">
        <f>IF(Table15678[[#This Row],[Total Amount]]&gt;=1000,"High","Low")</f>
        <v>Low</v>
      </c>
      <c r="Q862" s="4" t="str" cm="1">
        <f t="array" ref="Q862">_xlfn.IFS(AND(Table15678[[#This Row],[Total Amount]]&gt;=1500,"Critical"),AND(Table15678[[#This Row],[Total Amount]]&gt;=1000,"High"),TRUE,"Normal")</f>
        <v>Normal</v>
      </c>
      <c r="R862" s="4" t="str">
        <f>CONCATENATE(Table15678[[#This Row],[Customer ID]], "-",Table15678[[#This Row],[Age]])</f>
        <v>CUST861-41</v>
      </c>
      <c r="S862" s="4" t="str">
        <f>TEXT(Table15678[[#This Row],[Date]],"mmm")</f>
        <v>Feb</v>
      </c>
      <c r="T862" s="4" t="str">
        <f>TEXT(Table15678[[#This Row],[Date]],"DDD")</f>
        <v>Fri</v>
      </c>
    </row>
    <row r="863" spans="1:20" ht="29" x14ac:dyDescent="0.35">
      <c r="A863" s="4">
        <v>862</v>
      </c>
      <c r="B863" s="5">
        <v>45077</v>
      </c>
      <c r="C863" s="4" t="s">
        <v>875</v>
      </c>
      <c r="D863" s="4" t="s">
        <v>10</v>
      </c>
      <c r="E863" s="4">
        <v>28</v>
      </c>
      <c r="F863" s="4" t="str">
        <f>IF(Table15678[[#This Row],[Age]]&lt;=19,"Teenager",IF(Table15678[[#This Row],[Age]]&lt;=40,"Median","Old"))</f>
        <v>Median</v>
      </c>
      <c r="G863" s="4" t="s">
        <v>16</v>
      </c>
      <c r="H863" s="4">
        <v>4</v>
      </c>
      <c r="I863" s="4">
        <v>300</v>
      </c>
      <c r="J863" s="4">
        <v>1200</v>
      </c>
      <c r="K863" s="4" t="str" cm="1">
        <f t="array" ref="K863">_xlfn.IFS(AND(Table15678[[#This Row],[Total Amount]]&gt;=1500),"Critical",AND(Table15678[[#This Row],[Total Amount]]&gt;=1000),"High",TRUE,"Normal")</f>
        <v>High</v>
      </c>
      <c r="L863" s="4" t="str">
        <f>IF(Table15678[[#This Row],[Total Amount]]&gt;=1000,"High",(IF(Table15678[[#This Row],[Total Amount]]&gt;=500,"Medium","Low")))</f>
        <v>High</v>
      </c>
      <c r="M863" s="4" t="str" cm="1">
        <f t="array" ref="M86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63" s="4" cm="1">
        <f t="array" ref="N86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863" s="4">
        <f>Table15678[[#This Row],[Total Amount]]-Table15678[[#This Row],[Discount Amount]]</f>
        <v>1020</v>
      </c>
      <c r="P863" s="4" t="str">
        <f>IF(Table15678[[#This Row],[Total Amount]]&gt;=1000,"High","Low")</f>
        <v>High</v>
      </c>
      <c r="Q863" s="4" t="str" cm="1">
        <f t="array" ref="Q863">_xlfn.IFS(AND(Table15678[[#This Row],[Total Amount]]&gt;=1500,"Critical"),AND(Table15678[[#This Row],[Total Amount]]&gt;=1000,"High"),TRUE,"Normal")</f>
        <v>Normal</v>
      </c>
      <c r="R863" s="4" t="str">
        <f>CONCATENATE(Table15678[[#This Row],[Customer ID]], "-",Table15678[[#This Row],[Age]])</f>
        <v>CUST862-28</v>
      </c>
      <c r="S863" s="4" t="str">
        <f>TEXT(Table15678[[#This Row],[Date]],"mmm")</f>
        <v>May</v>
      </c>
      <c r="T863" s="4" t="str">
        <f>TEXT(Table15678[[#This Row],[Date]],"DDD")</f>
        <v>Wed</v>
      </c>
    </row>
    <row r="864" spans="1:20" ht="29" x14ac:dyDescent="0.35">
      <c r="A864" s="4">
        <v>863</v>
      </c>
      <c r="B864" s="5">
        <v>45040</v>
      </c>
      <c r="C864" s="4" t="s">
        <v>876</v>
      </c>
      <c r="D864" s="4" t="s">
        <v>13</v>
      </c>
      <c r="E864" s="4">
        <v>30</v>
      </c>
      <c r="F864" s="4" t="str">
        <f>IF(Table15678[[#This Row],[Age]]&lt;=19,"Teenager",IF(Table15678[[#This Row],[Age]]&lt;=40,"Median","Old"))</f>
        <v>Median</v>
      </c>
      <c r="G864" s="4" t="s">
        <v>16</v>
      </c>
      <c r="H864" s="4">
        <v>2</v>
      </c>
      <c r="I864" s="4">
        <v>25</v>
      </c>
      <c r="J864" s="4">
        <v>50</v>
      </c>
      <c r="K864" s="4" t="str" cm="1">
        <f t="array" ref="K864">_xlfn.IFS(AND(Table15678[[#This Row],[Total Amount]]&gt;=1500),"Critical",AND(Table15678[[#This Row],[Total Amount]]&gt;=1000),"High",TRUE,"Normal")</f>
        <v>Normal</v>
      </c>
      <c r="L864" s="4" t="str">
        <f>IF(Table15678[[#This Row],[Total Amount]]&gt;=1000,"High",(IF(Table15678[[#This Row],[Total Amount]]&gt;=500,"Medium","Low")))</f>
        <v>Low</v>
      </c>
      <c r="M864" s="4" t="str" cm="1">
        <f t="array" ref="M86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64" s="4" cm="1">
        <f t="array" ref="N86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864" s="4">
        <f>Table15678[[#This Row],[Total Amount]]-Table15678[[#This Row],[Discount Amount]]</f>
        <v>42.5</v>
      </c>
      <c r="P864" s="4" t="str">
        <f>IF(Table15678[[#This Row],[Total Amount]]&gt;=1000,"High","Low")</f>
        <v>Low</v>
      </c>
      <c r="Q864" s="4" t="str" cm="1">
        <f t="array" ref="Q864">_xlfn.IFS(AND(Table15678[[#This Row],[Total Amount]]&gt;=1500,"Critical"),AND(Table15678[[#This Row],[Total Amount]]&gt;=1000,"High"),TRUE,"Normal")</f>
        <v>Normal</v>
      </c>
      <c r="R864" s="4" t="str">
        <f>CONCATENATE(Table15678[[#This Row],[Customer ID]], "-",Table15678[[#This Row],[Age]])</f>
        <v>CUST863-30</v>
      </c>
      <c r="S864" s="4" t="str">
        <f>TEXT(Table15678[[#This Row],[Date]],"mmm")</f>
        <v>Apr</v>
      </c>
      <c r="T864" s="4" t="str">
        <f>TEXT(Table15678[[#This Row],[Date]],"DDD")</f>
        <v>Mon</v>
      </c>
    </row>
    <row r="865" spans="1:20" ht="29" x14ac:dyDescent="0.35">
      <c r="A865" s="4">
        <v>864</v>
      </c>
      <c r="B865" s="5">
        <v>45134</v>
      </c>
      <c r="C865" s="4" t="s">
        <v>877</v>
      </c>
      <c r="D865" s="4" t="s">
        <v>13</v>
      </c>
      <c r="E865" s="4">
        <v>51</v>
      </c>
      <c r="F865" s="4" t="str">
        <f>IF(Table15678[[#This Row],[Age]]&lt;=19,"Teenager",IF(Table15678[[#This Row],[Age]]&lt;=40,"Median","Old"))</f>
        <v>Old</v>
      </c>
      <c r="G865" s="4" t="s">
        <v>16</v>
      </c>
      <c r="H865" s="4">
        <v>1</v>
      </c>
      <c r="I865" s="4">
        <v>500</v>
      </c>
      <c r="J865" s="4">
        <v>500</v>
      </c>
      <c r="K865" s="4" t="str" cm="1">
        <f t="array" ref="K865">_xlfn.IFS(AND(Table15678[[#This Row],[Total Amount]]&gt;=1500),"Critical",AND(Table15678[[#This Row],[Total Amount]]&gt;=1000),"High",TRUE,"Normal")</f>
        <v>Normal</v>
      </c>
      <c r="L865" s="4" t="str">
        <f>IF(Table15678[[#This Row],[Total Amount]]&gt;=1000,"High",(IF(Table15678[[#This Row],[Total Amount]]&gt;=500,"Medium","Low")))</f>
        <v>Medium</v>
      </c>
      <c r="M865" s="4" t="str" cm="1">
        <f t="array" ref="M86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65" s="4" cm="1">
        <f t="array" ref="N86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865" s="4">
        <f>Table15678[[#This Row],[Total Amount]]-Table15678[[#This Row],[Discount Amount]]</f>
        <v>400</v>
      </c>
      <c r="P865" s="4" t="str">
        <f>IF(Table15678[[#This Row],[Total Amount]]&gt;=1000,"High","Low")</f>
        <v>Low</v>
      </c>
      <c r="Q865" s="4" t="str" cm="1">
        <f t="array" ref="Q865">_xlfn.IFS(AND(Table15678[[#This Row],[Total Amount]]&gt;=1500,"Critical"),AND(Table15678[[#This Row],[Total Amount]]&gt;=1000,"High"),TRUE,"Normal")</f>
        <v>Normal</v>
      </c>
      <c r="R865" s="4" t="str">
        <f>CONCATENATE(Table15678[[#This Row],[Customer ID]], "-",Table15678[[#This Row],[Age]])</f>
        <v>CUST864-51</v>
      </c>
      <c r="S865" s="4" t="str">
        <f>TEXT(Table15678[[#This Row],[Date]],"mmm")</f>
        <v>Jul</v>
      </c>
      <c r="T865" s="4" t="str">
        <f>TEXT(Table15678[[#This Row],[Date]],"DDD")</f>
        <v>Thu</v>
      </c>
    </row>
    <row r="866" spans="1:20" ht="29" x14ac:dyDescent="0.35">
      <c r="A866" s="4">
        <v>865</v>
      </c>
      <c r="B866" s="5">
        <v>45281</v>
      </c>
      <c r="C866" s="4" t="s">
        <v>878</v>
      </c>
      <c r="D866" s="4" t="s">
        <v>13</v>
      </c>
      <c r="E866" s="4">
        <v>42</v>
      </c>
      <c r="F866" s="4" t="str">
        <f>IF(Table15678[[#This Row],[Age]]&lt;=19,"Teenager",IF(Table15678[[#This Row],[Age]]&lt;=40,"Median","Old"))</f>
        <v>Old</v>
      </c>
      <c r="G866" s="4" t="s">
        <v>14</v>
      </c>
      <c r="H866" s="4">
        <v>1</v>
      </c>
      <c r="I866" s="4">
        <v>300</v>
      </c>
      <c r="J866" s="4">
        <v>300</v>
      </c>
      <c r="K866" s="4" t="str" cm="1">
        <f t="array" ref="K866">_xlfn.IFS(AND(Table15678[[#This Row],[Total Amount]]&gt;=1500),"Critical",AND(Table15678[[#This Row],[Total Amount]]&gt;=1000),"High",TRUE,"Normal")</f>
        <v>Normal</v>
      </c>
      <c r="L866" s="4" t="str">
        <f>IF(Table15678[[#This Row],[Total Amount]]&gt;=1000,"High",(IF(Table15678[[#This Row],[Total Amount]]&gt;=500,"Medium","Low")))</f>
        <v>Low</v>
      </c>
      <c r="M866" s="4" t="str" cm="1">
        <f t="array" ref="M86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66" s="4" cm="1">
        <f t="array" ref="N86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866" s="4">
        <f>Table15678[[#This Row],[Total Amount]]-Table15678[[#This Row],[Discount Amount]]</f>
        <v>240</v>
      </c>
      <c r="P866" s="4" t="str">
        <f>IF(Table15678[[#This Row],[Total Amount]]&gt;=1000,"High","Low")</f>
        <v>Low</v>
      </c>
      <c r="Q866" s="4" t="str" cm="1">
        <f t="array" ref="Q866">_xlfn.IFS(AND(Table15678[[#This Row],[Total Amount]]&gt;=1500,"Critical"),AND(Table15678[[#This Row],[Total Amount]]&gt;=1000,"High"),TRUE,"Normal")</f>
        <v>Normal</v>
      </c>
      <c r="R866" s="4" t="str">
        <f>CONCATENATE(Table15678[[#This Row],[Customer ID]], "-",Table15678[[#This Row],[Age]])</f>
        <v>CUST865-42</v>
      </c>
      <c r="S866" s="4" t="str">
        <f>TEXT(Table15678[[#This Row],[Date]],"mmm")</f>
        <v>Dec</v>
      </c>
      <c r="T866" s="4" t="str">
        <f>TEXT(Table15678[[#This Row],[Date]],"DDD")</f>
        <v>Thu</v>
      </c>
    </row>
    <row r="867" spans="1:20" ht="29" x14ac:dyDescent="0.35">
      <c r="A867" s="4">
        <v>866</v>
      </c>
      <c r="B867" s="5">
        <v>45051</v>
      </c>
      <c r="C867" s="4" t="s">
        <v>879</v>
      </c>
      <c r="D867" s="4" t="s">
        <v>10</v>
      </c>
      <c r="E867" s="4">
        <v>24</v>
      </c>
      <c r="F867" s="4" t="str">
        <f>IF(Table15678[[#This Row],[Age]]&lt;=19,"Teenager",IF(Table15678[[#This Row],[Age]]&lt;=40,"Median","Old"))</f>
        <v>Median</v>
      </c>
      <c r="G867" s="4" t="s">
        <v>16</v>
      </c>
      <c r="H867" s="4">
        <v>1</v>
      </c>
      <c r="I867" s="4">
        <v>50</v>
      </c>
      <c r="J867" s="4">
        <v>50</v>
      </c>
      <c r="K867" s="4" t="str" cm="1">
        <f t="array" ref="K867">_xlfn.IFS(AND(Table15678[[#This Row],[Total Amount]]&gt;=1500),"Critical",AND(Table15678[[#This Row],[Total Amount]]&gt;=1000),"High",TRUE,"Normal")</f>
        <v>Normal</v>
      </c>
      <c r="L867" s="4" t="str">
        <f>IF(Table15678[[#This Row],[Total Amount]]&gt;=1000,"High",(IF(Table15678[[#This Row],[Total Amount]]&gt;=500,"Medium","Low")))</f>
        <v>Low</v>
      </c>
      <c r="M867" s="4" t="str" cm="1">
        <f t="array" ref="M86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867" s="4" cm="1">
        <f t="array" ref="N86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867" s="4">
        <f>Table15678[[#This Row],[Total Amount]]-Table15678[[#This Row],[Discount Amount]]</f>
        <v>50</v>
      </c>
      <c r="P867" s="4" t="str">
        <f>IF(Table15678[[#This Row],[Total Amount]]&gt;=1000,"High","Low")</f>
        <v>Low</v>
      </c>
      <c r="Q867" s="4" t="str" cm="1">
        <f t="array" ref="Q867">_xlfn.IFS(AND(Table15678[[#This Row],[Total Amount]]&gt;=1500,"Critical"),AND(Table15678[[#This Row],[Total Amount]]&gt;=1000,"High"),TRUE,"Normal")</f>
        <v>Normal</v>
      </c>
      <c r="R867" s="4" t="str">
        <f>CONCATENATE(Table15678[[#This Row],[Customer ID]], "-",Table15678[[#This Row],[Age]])</f>
        <v>CUST866-24</v>
      </c>
      <c r="S867" s="4" t="str">
        <f>TEXT(Table15678[[#This Row],[Date]],"mmm")</f>
        <v>May</v>
      </c>
      <c r="T867" s="4" t="str">
        <f>TEXT(Table15678[[#This Row],[Date]],"DDD")</f>
        <v>Fri</v>
      </c>
    </row>
    <row r="868" spans="1:20" ht="29" x14ac:dyDescent="0.35">
      <c r="A868" s="4">
        <v>867</v>
      </c>
      <c r="B868" s="5">
        <v>45083</v>
      </c>
      <c r="C868" s="4" t="s">
        <v>880</v>
      </c>
      <c r="D868" s="4" t="s">
        <v>10</v>
      </c>
      <c r="E868" s="4">
        <v>21</v>
      </c>
      <c r="F868" s="4" t="str">
        <f>IF(Table15678[[#This Row],[Age]]&lt;=19,"Teenager",IF(Table15678[[#This Row],[Age]]&lt;=40,"Median","Old"))</f>
        <v>Median</v>
      </c>
      <c r="G868" s="4" t="s">
        <v>16</v>
      </c>
      <c r="H868" s="4">
        <v>1</v>
      </c>
      <c r="I868" s="4">
        <v>500</v>
      </c>
      <c r="J868" s="4">
        <v>500</v>
      </c>
      <c r="K868" s="4" t="str" cm="1">
        <f t="array" ref="K868">_xlfn.IFS(AND(Table15678[[#This Row],[Total Amount]]&gt;=1500),"Critical",AND(Table15678[[#This Row],[Total Amount]]&gt;=1000),"High",TRUE,"Normal")</f>
        <v>Normal</v>
      </c>
      <c r="L868" s="4" t="str">
        <f>IF(Table15678[[#This Row],[Total Amount]]&gt;=1000,"High",(IF(Table15678[[#This Row],[Total Amount]]&gt;=500,"Medium","Low")))</f>
        <v>Medium</v>
      </c>
      <c r="M868" s="4" t="str" cm="1">
        <f t="array" ref="M86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868" s="4" cm="1">
        <f t="array" ref="N86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868" s="4">
        <f>Table15678[[#This Row],[Total Amount]]-Table15678[[#This Row],[Discount Amount]]</f>
        <v>500</v>
      </c>
      <c r="P868" s="4" t="str">
        <f>IF(Table15678[[#This Row],[Total Amount]]&gt;=1000,"High","Low")</f>
        <v>Low</v>
      </c>
      <c r="Q868" s="4" t="str" cm="1">
        <f t="array" ref="Q868">_xlfn.IFS(AND(Table15678[[#This Row],[Total Amount]]&gt;=1500,"Critical"),AND(Table15678[[#This Row],[Total Amount]]&gt;=1000,"High"),TRUE,"Normal")</f>
        <v>Normal</v>
      </c>
      <c r="R868" s="4" t="str">
        <f>CONCATENATE(Table15678[[#This Row],[Customer ID]], "-",Table15678[[#This Row],[Age]])</f>
        <v>CUST867-21</v>
      </c>
      <c r="S868" s="4" t="str">
        <f>TEXT(Table15678[[#This Row],[Date]],"mmm")</f>
        <v>Jun</v>
      </c>
      <c r="T868" s="4" t="str">
        <f>TEXT(Table15678[[#This Row],[Date]],"DDD")</f>
        <v>Tue</v>
      </c>
    </row>
    <row r="869" spans="1:20" ht="29" x14ac:dyDescent="0.35">
      <c r="A869" s="4">
        <v>868</v>
      </c>
      <c r="B869" s="5">
        <v>45266</v>
      </c>
      <c r="C869" s="4" t="s">
        <v>881</v>
      </c>
      <c r="D869" s="4" t="s">
        <v>13</v>
      </c>
      <c r="E869" s="4">
        <v>25</v>
      </c>
      <c r="F869" s="4" t="str">
        <f>IF(Table15678[[#This Row],[Age]]&lt;=19,"Teenager",IF(Table15678[[#This Row],[Age]]&lt;=40,"Median","Old"))</f>
        <v>Median</v>
      </c>
      <c r="G869" s="4" t="s">
        <v>16</v>
      </c>
      <c r="H869" s="4">
        <v>1</v>
      </c>
      <c r="I869" s="4">
        <v>300</v>
      </c>
      <c r="J869" s="4">
        <v>300</v>
      </c>
      <c r="K869" s="4" t="str" cm="1">
        <f t="array" ref="K869">_xlfn.IFS(AND(Table15678[[#This Row],[Total Amount]]&gt;=1500),"Critical",AND(Table15678[[#This Row],[Total Amount]]&gt;=1000),"High",TRUE,"Normal")</f>
        <v>Normal</v>
      </c>
      <c r="L869" s="4" t="str">
        <f>IF(Table15678[[#This Row],[Total Amount]]&gt;=1000,"High",(IF(Table15678[[#This Row],[Total Amount]]&gt;=500,"Medium","Low")))</f>
        <v>Low</v>
      </c>
      <c r="M869" s="4" t="str" cm="1">
        <f t="array" ref="M86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69" s="4" cm="1">
        <f t="array" ref="N86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45</v>
      </c>
      <c r="O869" s="4">
        <f>Table15678[[#This Row],[Total Amount]]-Table15678[[#This Row],[Discount Amount]]</f>
        <v>255</v>
      </c>
      <c r="P869" s="4" t="str">
        <f>IF(Table15678[[#This Row],[Total Amount]]&gt;=1000,"High","Low")</f>
        <v>Low</v>
      </c>
      <c r="Q869" s="4" t="str" cm="1">
        <f t="array" ref="Q869">_xlfn.IFS(AND(Table15678[[#This Row],[Total Amount]]&gt;=1500,"Critical"),AND(Table15678[[#This Row],[Total Amount]]&gt;=1000,"High"),TRUE,"Normal")</f>
        <v>Normal</v>
      </c>
      <c r="R869" s="4" t="str">
        <f>CONCATENATE(Table15678[[#This Row],[Customer ID]], "-",Table15678[[#This Row],[Age]])</f>
        <v>CUST868-25</v>
      </c>
      <c r="S869" s="4" t="str">
        <f>TEXT(Table15678[[#This Row],[Date]],"mmm")</f>
        <v>Dec</v>
      </c>
      <c r="T869" s="4" t="str">
        <f>TEXT(Table15678[[#This Row],[Date]],"DDD")</f>
        <v>Wed</v>
      </c>
    </row>
    <row r="870" spans="1:20" ht="29" x14ac:dyDescent="0.35">
      <c r="A870" s="4">
        <v>869</v>
      </c>
      <c r="B870" s="5">
        <v>45224</v>
      </c>
      <c r="C870" s="4" t="s">
        <v>882</v>
      </c>
      <c r="D870" s="4" t="s">
        <v>10</v>
      </c>
      <c r="E870" s="4">
        <v>37</v>
      </c>
      <c r="F870" s="4" t="str">
        <f>IF(Table15678[[#This Row],[Age]]&lt;=19,"Teenager",IF(Table15678[[#This Row],[Age]]&lt;=40,"Median","Old"))</f>
        <v>Median</v>
      </c>
      <c r="G870" s="4" t="s">
        <v>11</v>
      </c>
      <c r="H870" s="4">
        <v>3</v>
      </c>
      <c r="I870" s="4">
        <v>500</v>
      </c>
      <c r="J870" s="4">
        <v>1500</v>
      </c>
      <c r="K870" s="4" t="str" cm="1">
        <f t="array" ref="K870">_xlfn.IFS(AND(Table15678[[#This Row],[Total Amount]]&gt;=1500),"Critical",AND(Table15678[[#This Row],[Total Amount]]&gt;=1000),"High",TRUE,"Normal")</f>
        <v>Critical</v>
      </c>
      <c r="L870" s="4" t="str">
        <f>IF(Table15678[[#This Row],[Total Amount]]&gt;=1000,"High",(IF(Table15678[[#This Row],[Total Amount]]&gt;=500,"Medium","Low")))</f>
        <v>High</v>
      </c>
      <c r="M870" s="4" t="str" cm="1">
        <f t="array" ref="M87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70" s="4" cm="1">
        <f t="array" ref="N87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150</v>
      </c>
      <c r="O870" s="4">
        <f>Table15678[[#This Row],[Total Amount]]-Table15678[[#This Row],[Discount Amount]]</f>
        <v>1350</v>
      </c>
      <c r="P870" s="4" t="str">
        <f>IF(Table15678[[#This Row],[Total Amount]]&gt;=1000,"High","Low")</f>
        <v>High</v>
      </c>
      <c r="Q870" s="4" t="b" cm="1">
        <f t="array" ref="Q870">_xlfn.IFS(AND(Table15678[[#This Row],[Total Amount]]&gt;=1500,"Critical"),AND(Table15678[[#This Row],[Total Amount]]&gt;=1000,"High"),TRUE,"Normal")</f>
        <v>1</v>
      </c>
      <c r="R870" s="4" t="str">
        <f>CONCATENATE(Table15678[[#This Row],[Customer ID]], "-",Table15678[[#This Row],[Age]])</f>
        <v>CUST869-37</v>
      </c>
      <c r="S870" s="4" t="str">
        <f>TEXT(Table15678[[#This Row],[Date]],"mmm")</f>
        <v>Oct</v>
      </c>
      <c r="T870" s="4" t="str">
        <f>TEXT(Table15678[[#This Row],[Date]],"DDD")</f>
        <v>Wed</v>
      </c>
    </row>
    <row r="871" spans="1:20" ht="29" x14ac:dyDescent="0.35">
      <c r="A871" s="4">
        <v>870</v>
      </c>
      <c r="B871" s="5">
        <v>45115</v>
      </c>
      <c r="C871" s="4" t="s">
        <v>883</v>
      </c>
      <c r="D871" s="4" t="s">
        <v>13</v>
      </c>
      <c r="E871" s="4">
        <v>46</v>
      </c>
      <c r="F871" s="4" t="str">
        <f>IF(Table15678[[#This Row],[Age]]&lt;=19,"Teenager",IF(Table15678[[#This Row],[Age]]&lt;=40,"Median","Old"))</f>
        <v>Old</v>
      </c>
      <c r="G871" s="4" t="s">
        <v>16</v>
      </c>
      <c r="H871" s="4">
        <v>4</v>
      </c>
      <c r="I871" s="4">
        <v>30</v>
      </c>
      <c r="J871" s="4">
        <v>120</v>
      </c>
      <c r="K871" s="4" t="str" cm="1">
        <f t="array" ref="K871">_xlfn.IFS(AND(Table15678[[#This Row],[Total Amount]]&gt;=1500),"Critical",AND(Table15678[[#This Row],[Total Amount]]&gt;=1000),"High",TRUE,"Normal")</f>
        <v>Normal</v>
      </c>
      <c r="L871" s="4" t="str">
        <f>IF(Table15678[[#This Row],[Total Amount]]&gt;=1000,"High",(IF(Table15678[[#This Row],[Total Amount]]&gt;=500,"Medium","Low")))</f>
        <v>Low</v>
      </c>
      <c r="M871" s="4" t="str" cm="1">
        <f t="array" ref="M87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71" s="4" cm="1">
        <f t="array" ref="N87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</v>
      </c>
      <c r="O871" s="4">
        <f>Table15678[[#This Row],[Total Amount]]-Table15678[[#This Row],[Discount Amount]]</f>
        <v>96</v>
      </c>
      <c r="P871" s="4" t="str">
        <f>IF(Table15678[[#This Row],[Total Amount]]&gt;=1000,"High","Low")</f>
        <v>Low</v>
      </c>
      <c r="Q871" s="4" t="str" cm="1">
        <f t="array" ref="Q871">_xlfn.IFS(AND(Table15678[[#This Row],[Total Amount]]&gt;=1500,"Critical"),AND(Table15678[[#This Row],[Total Amount]]&gt;=1000,"High"),TRUE,"Normal")</f>
        <v>Normal</v>
      </c>
      <c r="R871" s="4" t="str">
        <f>CONCATENATE(Table15678[[#This Row],[Customer ID]], "-",Table15678[[#This Row],[Age]])</f>
        <v>CUST870-46</v>
      </c>
      <c r="S871" s="4" t="str">
        <f>TEXT(Table15678[[#This Row],[Date]],"mmm")</f>
        <v>Jul</v>
      </c>
      <c r="T871" s="4" t="str">
        <f>TEXT(Table15678[[#This Row],[Date]],"DDD")</f>
        <v>Sat</v>
      </c>
    </row>
    <row r="872" spans="1:20" ht="29" x14ac:dyDescent="0.35">
      <c r="A872" s="4">
        <v>871</v>
      </c>
      <c r="B872" s="5">
        <v>45169</v>
      </c>
      <c r="C872" s="4" t="s">
        <v>884</v>
      </c>
      <c r="D872" s="4" t="s">
        <v>10</v>
      </c>
      <c r="E872" s="4">
        <v>62</v>
      </c>
      <c r="F872" s="4" t="str">
        <f>IF(Table15678[[#This Row],[Age]]&lt;=19,"Teenager",IF(Table15678[[#This Row],[Age]]&lt;=40,"Median","Old"))</f>
        <v>Old</v>
      </c>
      <c r="G872" s="4" t="s">
        <v>11</v>
      </c>
      <c r="H872" s="4">
        <v>2</v>
      </c>
      <c r="I872" s="4">
        <v>30</v>
      </c>
      <c r="J872" s="4">
        <v>60</v>
      </c>
      <c r="K872" s="4" t="str" cm="1">
        <f t="array" ref="K872">_xlfn.IFS(AND(Table15678[[#This Row],[Total Amount]]&gt;=1500),"Critical",AND(Table15678[[#This Row],[Total Amount]]&gt;=1000),"High",TRUE,"Normal")</f>
        <v>Normal</v>
      </c>
      <c r="L872" s="4" t="str">
        <f>IF(Table15678[[#This Row],[Total Amount]]&gt;=1000,"High",(IF(Table15678[[#This Row],[Total Amount]]&gt;=500,"Medium","Low")))</f>
        <v>Low</v>
      </c>
      <c r="M872" s="4" t="str" cm="1">
        <f t="array" ref="M87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72" s="4" cm="1">
        <f t="array" ref="N87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872" s="4">
        <f>Table15678[[#This Row],[Total Amount]]-Table15678[[#This Row],[Discount Amount]]</f>
        <v>54</v>
      </c>
      <c r="P872" s="4" t="str">
        <f>IF(Table15678[[#This Row],[Total Amount]]&gt;=1000,"High","Low")</f>
        <v>Low</v>
      </c>
      <c r="Q872" s="4" t="str" cm="1">
        <f t="array" ref="Q872">_xlfn.IFS(AND(Table15678[[#This Row],[Total Amount]]&gt;=1500,"Critical"),AND(Table15678[[#This Row],[Total Amount]]&gt;=1000,"High"),TRUE,"Normal")</f>
        <v>Normal</v>
      </c>
      <c r="R872" s="4" t="str">
        <f>CONCATENATE(Table15678[[#This Row],[Customer ID]], "-",Table15678[[#This Row],[Age]])</f>
        <v>CUST871-62</v>
      </c>
      <c r="S872" s="4" t="str">
        <f>TEXT(Table15678[[#This Row],[Date]],"mmm")</f>
        <v>Aug</v>
      </c>
      <c r="T872" s="4" t="str">
        <f>TEXT(Table15678[[#This Row],[Date]],"DDD")</f>
        <v>Thu</v>
      </c>
    </row>
    <row r="873" spans="1:20" ht="29" x14ac:dyDescent="0.35">
      <c r="A873" s="4">
        <v>872</v>
      </c>
      <c r="B873" s="5">
        <v>45210</v>
      </c>
      <c r="C873" s="4" t="s">
        <v>885</v>
      </c>
      <c r="D873" s="4" t="s">
        <v>13</v>
      </c>
      <c r="E873" s="4">
        <v>63</v>
      </c>
      <c r="F873" s="4" t="str">
        <f>IF(Table15678[[#This Row],[Age]]&lt;=19,"Teenager",IF(Table15678[[#This Row],[Age]]&lt;=40,"Median","Old"))</f>
        <v>Old</v>
      </c>
      <c r="G873" s="4" t="s">
        <v>11</v>
      </c>
      <c r="H873" s="4">
        <v>3</v>
      </c>
      <c r="I873" s="4">
        <v>25</v>
      </c>
      <c r="J873" s="4">
        <v>75</v>
      </c>
      <c r="K873" s="4" t="str" cm="1">
        <f t="array" ref="K873">_xlfn.IFS(AND(Table15678[[#This Row],[Total Amount]]&gt;=1500),"Critical",AND(Table15678[[#This Row],[Total Amount]]&gt;=1000),"High",TRUE,"Normal")</f>
        <v>Normal</v>
      </c>
      <c r="L873" s="4" t="str">
        <f>IF(Table15678[[#This Row],[Total Amount]]&gt;=1000,"High",(IF(Table15678[[#This Row],[Total Amount]]&gt;=500,"Medium","Low")))</f>
        <v>Low</v>
      </c>
      <c r="M873" s="4" t="str" cm="1">
        <f t="array" ref="M87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73" s="4" cm="1">
        <f t="array" ref="N87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873" s="4">
        <f>Table15678[[#This Row],[Total Amount]]-Table15678[[#This Row],[Discount Amount]]</f>
        <v>60</v>
      </c>
      <c r="P873" s="4" t="str">
        <f>IF(Table15678[[#This Row],[Total Amount]]&gt;=1000,"High","Low")</f>
        <v>Low</v>
      </c>
      <c r="Q873" s="4" t="str" cm="1">
        <f t="array" ref="Q873">_xlfn.IFS(AND(Table15678[[#This Row],[Total Amount]]&gt;=1500,"Critical"),AND(Table15678[[#This Row],[Total Amount]]&gt;=1000,"High"),TRUE,"Normal")</f>
        <v>Normal</v>
      </c>
      <c r="R873" s="4" t="str">
        <f>CONCATENATE(Table15678[[#This Row],[Customer ID]], "-",Table15678[[#This Row],[Age]])</f>
        <v>CUST872-63</v>
      </c>
      <c r="S873" s="4" t="str">
        <f>TEXT(Table15678[[#This Row],[Date]],"mmm")</f>
        <v>Oct</v>
      </c>
      <c r="T873" s="4" t="str">
        <f>TEXT(Table15678[[#This Row],[Date]],"DDD")</f>
        <v>Wed</v>
      </c>
    </row>
    <row r="874" spans="1:20" ht="29" x14ac:dyDescent="0.35">
      <c r="A874" s="4">
        <v>873</v>
      </c>
      <c r="B874" s="5">
        <v>45198</v>
      </c>
      <c r="C874" s="4" t="s">
        <v>886</v>
      </c>
      <c r="D874" s="4" t="s">
        <v>13</v>
      </c>
      <c r="E874" s="4">
        <v>27</v>
      </c>
      <c r="F874" s="4" t="str">
        <f>IF(Table15678[[#This Row],[Age]]&lt;=19,"Teenager",IF(Table15678[[#This Row],[Age]]&lt;=40,"Median","Old"))</f>
        <v>Median</v>
      </c>
      <c r="G874" s="4" t="s">
        <v>16</v>
      </c>
      <c r="H874" s="4">
        <v>4</v>
      </c>
      <c r="I874" s="4">
        <v>25</v>
      </c>
      <c r="J874" s="4">
        <v>100</v>
      </c>
      <c r="K874" s="4" t="str" cm="1">
        <f t="array" ref="K874">_xlfn.IFS(AND(Table15678[[#This Row],[Total Amount]]&gt;=1500),"Critical",AND(Table15678[[#This Row],[Total Amount]]&gt;=1000),"High",TRUE,"Normal")</f>
        <v>Normal</v>
      </c>
      <c r="L874" s="4" t="str">
        <f>IF(Table15678[[#This Row],[Total Amount]]&gt;=1000,"High",(IF(Table15678[[#This Row],[Total Amount]]&gt;=500,"Medium","Low")))</f>
        <v>Low</v>
      </c>
      <c r="M874" s="4" t="str" cm="1">
        <f t="array" ref="M87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74" s="4" cm="1">
        <f t="array" ref="N87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874" s="4">
        <f>Table15678[[#This Row],[Total Amount]]-Table15678[[#This Row],[Discount Amount]]</f>
        <v>85</v>
      </c>
      <c r="P874" s="4" t="str">
        <f>IF(Table15678[[#This Row],[Total Amount]]&gt;=1000,"High","Low")</f>
        <v>Low</v>
      </c>
      <c r="Q874" s="4" t="str" cm="1">
        <f t="array" ref="Q874">_xlfn.IFS(AND(Table15678[[#This Row],[Total Amount]]&gt;=1500,"Critical"),AND(Table15678[[#This Row],[Total Amount]]&gt;=1000,"High"),TRUE,"Normal")</f>
        <v>Normal</v>
      </c>
      <c r="R874" s="4" t="str">
        <f>CONCATENATE(Table15678[[#This Row],[Customer ID]], "-",Table15678[[#This Row],[Age]])</f>
        <v>CUST873-27</v>
      </c>
      <c r="S874" s="4" t="str">
        <f>TEXT(Table15678[[#This Row],[Date]],"mmm")</f>
        <v>Sep</v>
      </c>
      <c r="T874" s="4" t="str">
        <f>TEXT(Table15678[[#This Row],[Date]],"DDD")</f>
        <v>Fri</v>
      </c>
    </row>
    <row r="875" spans="1:20" ht="29" x14ac:dyDescent="0.35">
      <c r="A875" s="4">
        <v>874</v>
      </c>
      <c r="B875" s="5">
        <v>45103</v>
      </c>
      <c r="C875" s="4" t="s">
        <v>887</v>
      </c>
      <c r="D875" s="4" t="s">
        <v>10</v>
      </c>
      <c r="E875" s="4">
        <v>60</v>
      </c>
      <c r="F875" s="4" t="str">
        <f>IF(Table15678[[#This Row],[Age]]&lt;=19,"Teenager",IF(Table15678[[#This Row],[Age]]&lt;=40,"Median","Old"))</f>
        <v>Old</v>
      </c>
      <c r="G875" s="4" t="s">
        <v>11</v>
      </c>
      <c r="H875" s="4">
        <v>1</v>
      </c>
      <c r="I875" s="4">
        <v>30</v>
      </c>
      <c r="J875" s="4">
        <v>30</v>
      </c>
      <c r="K875" s="4" t="str" cm="1">
        <f t="array" ref="K875">_xlfn.IFS(AND(Table15678[[#This Row],[Total Amount]]&gt;=1500),"Critical",AND(Table15678[[#This Row],[Total Amount]]&gt;=1000),"High",TRUE,"Normal")</f>
        <v>Normal</v>
      </c>
      <c r="L875" s="4" t="str">
        <f>IF(Table15678[[#This Row],[Total Amount]]&gt;=1000,"High",(IF(Table15678[[#This Row],[Total Amount]]&gt;=500,"Medium","Low")))</f>
        <v>Low</v>
      </c>
      <c r="M875" s="4" t="str" cm="1">
        <f t="array" ref="M87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75" s="4" cm="1">
        <f t="array" ref="N87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</v>
      </c>
      <c r="O875" s="4">
        <f>Table15678[[#This Row],[Total Amount]]-Table15678[[#This Row],[Discount Amount]]</f>
        <v>27</v>
      </c>
      <c r="P875" s="4" t="str">
        <f>IF(Table15678[[#This Row],[Total Amount]]&gt;=1000,"High","Low")</f>
        <v>Low</v>
      </c>
      <c r="Q875" s="4" t="str" cm="1">
        <f t="array" ref="Q875">_xlfn.IFS(AND(Table15678[[#This Row],[Total Amount]]&gt;=1500,"Critical"),AND(Table15678[[#This Row],[Total Amount]]&gt;=1000,"High"),TRUE,"Normal")</f>
        <v>Normal</v>
      </c>
      <c r="R875" s="4" t="str">
        <f>CONCATENATE(Table15678[[#This Row],[Customer ID]], "-",Table15678[[#This Row],[Age]])</f>
        <v>CUST874-60</v>
      </c>
      <c r="S875" s="4" t="str">
        <f>TEXT(Table15678[[#This Row],[Date]],"mmm")</f>
        <v>Jun</v>
      </c>
      <c r="T875" s="4" t="str">
        <f>TEXT(Table15678[[#This Row],[Date]],"DDD")</f>
        <v>Mon</v>
      </c>
    </row>
    <row r="876" spans="1:20" ht="29" x14ac:dyDescent="0.35">
      <c r="A876" s="4">
        <v>875</v>
      </c>
      <c r="B876" s="5">
        <v>45144</v>
      </c>
      <c r="C876" s="4" t="s">
        <v>888</v>
      </c>
      <c r="D876" s="4" t="s">
        <v>13</v>
      </c>
      <c r="E876" s="4">
        <v>51</v>
      </c>
      <c r="F876" s="4" t="str">
        <f>IF(Table15678[[#This Row],[Age]]&lt;=19,"Teenager",IF(Table15678[[#This Row],[Age]]&lt;=40,"Median","Old"))</f>
        <v>Old</v>
      </c>
      <c r="G876" s="4" t="s">
        <v>16</v>
      </c>
      <c r="H876" s="4">
        <v>4</v>
      </c>
      <c r="I876" s="4">
        <v>500</v>
      </c>
      <c r="J876" s="4">
        <v>2000</v>
      </c>
      <c r="K876" s="4" t="str" cm="1">
        <f t="array" ref="K876">_xlfn.IFS(AND(Table15678[[#This Row],[Total Amount]]&gt;=1500),"Critical",AND(Table15678[[#This Row],[Total Amount]]&gt;=1000),"High",TRUE,"Normal")</f>
        <v>Critical</v>
      </c>
      <c r="L876" s="4" t="str">
        <f>IF(Table15678[[#This Row],[Total Amount]]&gt;=1000,"High",(IF(Table15678[[#This Row],[Total Amount]]&gt;=500,"Medium","Low")))</f>
        <v>High</v>
      </c>
      <c r="M876" s="4" t="str" cm="1">
        <f t="array" ref="M87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76" s="4" cm="1">
        <f t="array" ref="N87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400</v>
      </c>
      <c r="O876" s="4">
        <f>Table15678[[#This Row],[Total Amount]]-Table15678[[#This Row],[Discount Amount]]</f>
        <v>1600</v>
      </c>
      <c r="P876" s="4" t="str">
        <f>IF(Table15678[[#This Row],[Total Amount]]&gt;=1000,"High","Low")</f>
        <v>High</v>
      </c>
      <c r="Q876" s="4" t="b" cm="1">
        <f t="array" ref="Q876">_xlfn.IFS(AND(Table15678[[#This Row],[Total Amount]]&gt;=1500,"Critical"),AND(Table15678[[#This Row],[Total Amount]]&gt;=1000,"High"),TRUE,"Normal")</f>
        <v>1</v>
      </c>
      <c r="R876" s="4" t="str">
        <f>CONCATENATE(Table15678[[#This Row],[Customer ID]], "-",Table15678[[#This Row],[Age]])</f>
        <v>CUST875-51</v>
      </c>
      <c r="S876" s="4" t="str">
        <f>TEXT(Table15678[[#This Row],[Date]],"mmm")</f>
        <v>Aug</v>
      </c>
      <c r="T876" s="4" t="str">
        <f>TEXT(Table15678[[#This Row],[Date]],"DDD")</f>
        <v>Sun</v>
      </c>
    </row>
    <row r="877" spans="1:20" ht="29" x14ac:dyDescent="0.35">
      <c r="A877" s="4">
        <v>876</v>
      </c>
      <c r="B877" s="5">
        <v>45208</v>
      </c>
      <c r="C877" s="4" t="s">
        <v>889</v>
      </c>
      <c r="D877" s="4" t="s">
        <v>10</v>
      </c>
      <c r="E877" s="4">
        <v>43</v>
      </c>
      <c r="F877" s="4" t="str">
        <f>IF(Table15678[[#This Row],[Age]]&lt;=19,"Teenager",IF(Table15678[[#This Row],[Age]]&lt;=40,"Median","Old"))</f>
        <v>Old</v>
      </c>
      <c r="G877" s="4" t="s">
        <v>14</v>
      </c>
      <c r="H877" s="4">
        <v>4</v>
      </c>
      <c r="I877" s="4">
        <v>30</v>
      </c>
      <c r="J877" s="4">
        <v>120</v>
      </c>
      <c r="K877" s="4" t="str" cm="1">
        <f t="array" ref="K877">_xlfn.IFS(AND(Table15678[[#This Row],[Total Amount]]&gt;=1500),"Critical",AND(Table15678[[#This Row],[Total Amount]]&gt;=1000),"High",TRUE,"Normal")</f>
        <v>Normal</v>
      </c>
      <c r="L877" s="4" t="str">
        <f>IF(Table15678[[#This Row],[Total Amount]]&gt;=1000,"High",(IF(Table15678[[#This Row],[Total Amount]]&gt;=500,"Medium","Low")))</f>
        <v>Low</v>
      </c>
      <c r="M877" s="4" t="str" cm="1">
        <f t="array" ref="M87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77" s="4" cm="1">
        <f t="array" ref="N87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877" s="4">
        <f>Table15678[[#This Row],[Total Amount]]-Table15678[[#This Row],[Discount Amount]]</f>
        <v>108</v>
      </c>
      <c r="P877" s="4" t="str">
        <f>IF(Table15678[[#This Row],[Total Amount]]&gt;=1000,"High","Low")</f>
        <v>Low</v>
      </c>
      <c r="Q877" s="4" t="str" cm="1">
        <f t="array" ref="Q877">_xlfn.IFS(AND(Table15678[[#This Row],[Total Amount]]&gt;=1500,"Critical"),AND(Table15678[[#This Row],[Total Amount]]&gt;=1000,"High"),TRUE,"Normal")</f>
        <v>Normal</v>
      </c>
      <c r="R877" s="4" t="str">
        <f>CONCATENATE(Table15678[[#This Row],[Customer ID]], "-",Table15678[[#This Row],[Age]])</f>
        <v>CUST876-43</v>
      </c>
      <c r="S877" s="4" t="str">
        <f>TEXT(Table15678[[#This Row],[Date]],"mmm")</f>
        <v>Oct</v>
      </c>
      <c r="T877" s="4" t="str">
        <f>TEXT(Table15678[[#This Row],[Date]],"DDD")</f>
        <v>Mon</v>
      </c>
    </row>
    <row r="878" spans="1:20" ht="29" x14ac:dyDescent="0.35">
      <c r="A878" s="4">
        <v>877</v>
      </c>
      <c r="B878" s="5">
        <v>45096</v>
      </c>
      <c r="C878" s="4" t="s">
        <v>890</v>
      </c>
      <c r="D878" s="4" t="s">
        <v>13</v>
      </c>
      <c r="E878" s="4">
        <v>58</v>
      </c>
      <c r="F878" s="4" t="str">
        <f>IF(Table15678[[#This Row],[Age]]&lt;=19,"Teenager",IF(Table15678[[#This Row],[Age]]&lt;=40,"Median","Old"))</f>
        <v>Old</v>
      </c>
      <c r="G878" s="4" t="s">
        <v>14</v>
      </c>
      <c r="H878" s="4">
        <v>1</v>
      </c>
      <c r="I878" s="4">
        <v>25</v>
      </c>
      <c r="J878" s="4">
        <v>25</v>
      </c>
      <c r="K878" s="4" t="str" cm="1">
        <f t="array" ref="K878">_xlfn.IFS(AND(Table15678[[#This Row],[Total Amount]]&gt;=1500),"Critical",AND(Table15678[[#This Row],[Total Amount]]&gt;=1000),"High",TRUE,"Normal")</f>
        <v>Normal</v>
      </c>
      <c r="L878" s="4" t="str">
        <f>IF(Table15678[[#This Row],[Total Amount]]&gt;=1000,"High",(IF(Table15678[[#This Row],[Total Amount]]&gt;=500,"Medium","Low")))</f>
        <v>Low</v>
      </c>
      <c r="M878" s="4" t="str" cm="1">
        <f t="array" ref="M87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78" s="4" cm="1">
        <f t="array" ref="N87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878" s="4">
        <f>Table15678[[#This Row],[Total Amount]]-Table15678[[#This Row],[Discount Amount]]</f>
        <v>20</v>
      </c>
      <c r="P878" s="4" t="str">
        <f>IF(Table15678[[#This Row],[Total Amount]]&gt;=1000,"High","Low")</f>
        <v>Low</v>
      </c>
      <c r="Q878" s="4" t="str" cm="1">
        <f t="array" ref="Q878">_xlfn.IFS(AND(Table15678[[#This Row],[Total Amount]]&gt;=1500,"Critical"),AND(Table15678[[#This Row],[Total Amount]]&gt;=1000,"High"),TRUE,"Normal")</f>
        <v>Normal</v>
      </c>
      <c r="R878" s="4" t="str">
        <f>CONCATENATE(Table15678[[#This Row],[Customer ID]], "-",Table15678[[#This Row],[Age]])</f>
        <v>CUST877-58</v>
      </c>
      <c r="S878" s="4" t="str">
        <f>TEXT(Table15678[[#This Row],[Date]],"mmm")</f>
        <v>Jun</v>
      </c>
      <c r="T878" s="4" t="str">
        <f>TEXT(Table15678[[#This Row],[Date]],"DDD")</f>
        <v>Mon</v>
      </c>
    </row>
    <row r="879" spans="1:20" ht="29" x14ac:dyDescent="0.35">
      <c r="A879" s="4">
        <v>878</v>
      </c>
      <c r="B879" s="5">
        <v>45107</v>
      </c>
      <c r="C879" s="4" t="s">
        <v>891</v>
      </c>
      <c r="D879" s="4" t="s">
        <v>13</v>
      </c>
      <c r="E879" s="4">
        <v>20</v>
      </c>
      <c r="F879" s="4" t="str">
        <f>IF(Table15678[[#This Row],[Age]]&lt;=19,"Teenager",IF(Table15678[[#This Row],[Age]]&lt;=40,"Median","Old"))</f>
        <v>Median</v>
      </c>
      <c r="G879" s="4" t="s">
        <v>14</v>
      </c>
      <c r="H879" s="4">
        <v>1</v>
      </c>
      <c r="I879" s="4">
        <v>30</v>
      </c>
      <c r="J879" s="4">
        <v>30</v>
      </c>
      <c r="K879" s="4" t="str" cm="1">
        <f t="array" ref="K879">_xlfn.IFS(AND(Table15678[[#This Row],[Total Amount]]&gt;=1500),"Critical",AND(Table15678[[#This Row],[Total Amount]]&gt;=1000),"High",TRUE,"Normal")</f>
        <v>Normal</v>
      </c>
      <c r="L879" s="4" t="str">
        <f>IF(Table15678[[#This Row],[Total Amount]]&gt;=1000,"High",(IF(Table15678[[#This Row],[Total Amount]]&gt;=500,"Medium","Low")))</f>
        <v>Low</v>
      </c>
      <c r="M879" s="4" t="str" cm="1">
        <f t="array" ref="M87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879" s="4" cm="1">
        <f t="array" ref="N87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879" s="4">
        <f>Table15678[[#This Row],[Total Amount]]-Table15678[[#This Row],[Discount Amount]]</f>
        <v>30</v>
      </c>
      <c r="P879" s="4" t="str">
        <f>IF(Table15678[[#This Row],[Total Amount]]&gt;=1000,"High","Low")</f>
        <v>Low</v>
      </c>
      <c r="Q879" s="4" t="str" cm="1">
        <f t="array" ref="Q879">_xlfn.IFS(AND(Table15678[[#This Row],[Total Amount]]&gt;=1500,"Critical"),AND(Table15678[[#This Row],[Total Amount]]&gt;=1000,"High"),TRUE,"Normal")</f>
        <v>Normal</v>
      </c>
      <c r="R879" s="4" t="str">
        <f>CONCATENATE(Table15678[[#This Row],[Customer ID]], "-",Table15678[[#This Row],[Age]])</f>
        <v>CUST878-20</v>
      </c>
      <c r="S879" s="4" t="str">
        <f>TEXT(Table15678[[#This Row],[Date]],"mmm")</f>
        <v>Jun</v>
      </c>
      <c r="T879" s="4" t="str">
        <f>TEXT(Table15678[[#This Row],[Date]],"DDD")</f>
        <v>Fri</v>
      </c>
    </row>
    <row r="880" spans="1:20" ht="29" x14ac:dyDescent="0.35">
      <c r="A880" s="4">
        <v>879</v>
      </c>
      <c r="B880" s="5">
        <v>45286</v>
      </c>
      <c r="C880" s="4" t="s">
        <v>892</v>
      </c>
      <c r="D880" s="4" t="s">
        <v>10</v>
      </c>
      <c r="E880" s="4">
        <v>23</v>
      </c>
      <c r="F880" s="4" t="str">
        <f>IF(Table15678[[#This Row],[Age]]&lt;=19,"Teenager",IF(Table15678[[#This Row],[Age]]&lt;=40,"Median","Old"))</f>
        <v>Median</v>
      </c>
      <c r="G880" s="4" t="s">
        <v>14</v>
      </c>
      <c r="H880" s="4">
        <v>1</v>
      </c>
      <c r="I880" s="4">
        <v>30</v>
      </c>
      <c r="J880" s="4">
        <v>30</v>
      </c>
      <c r="K880" s="4" t="str" cm="1">
        <f t="array" ref="K880">_xlfn.IFS(AND(Table15678[[#This Row],[Total Amount]]&gt;=1500),"Critical",AND(Table15678[[#This Row],[Total Amount]]&gt;=1000),"High",TRUE,"Normal")</f>
        <v>Normal</v>
      </c>
      <c r="L880" s="4" t="str">
        <f>IF(Table15678[[#This Row],[Total Amount]]&gt;=1000,"High",(IF(Table15678[[#This Row],[Total Amount]]&gt;=500,"Medium","Low")))</f>
        <v>Low</v>
      </c>
      <c r="M880" s="4" t="str" cm="1">
        <f t="array" ref="M88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880" s="4" cm="1">
        <f t="array" ref="N88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880" s="4">
        <f>Table15678[[#This Row],[Total Amount]]-Table15678[[#This Row],[Discount Amount]]</f>
        <v>30</v>
      </c>
      <c r="P880" s="4" t="str">
        <f>IF(Table15678[[#This Row],[Total Amount]]&gt;=1000,"High","Low")</f>
        <v>Low</v>
      </c>
      <c r="Q880" s="4" t="str" cm="1">
        <f t="array" ref="Q880">_xlfn.IFS(AND(Table15678[[#This Row],[Total Amount]]&gt;=1500,"Critical"),AND(Table15678[[#This Row],[Total Amount]]&gt;=1000,"High"),TRUE,"Normal")</f>
        <v>Normal</v>
      </c>
      <c r="R880" s="4" t="str">
        <f>CONCATENATE(Table15678[[#This Row],[Customer ID]], "-",Table15678[[#This Row],[Age]])</f>
        <v>CUST879-23</v>
      </c>
      <c r="S880" s="4" t="str">
        <f>TEXT(Table15678[[#This Row],[Date]],"mmm")</f>
        <v>Dec</v>
      </c>
      <c r="T880" s="4" t="str">
        <f>TEXT(Table15678[[#This Row],[Date]],"DDD")</f>
        <v>Tue</v>
      </c>
    </row>
    <row r="881" spans="1:20" ht="29" x14ac:dyDescent="0.35">
      <c r="A881" s="4">
        <v>880</v>
      </c>
      <c r="B881" s="5">
        <v>45159</v>
      </c>
      <c r="C881" s="4" t="s">
        <v>893</v>
      </c>
      <c r="D881" s="4" t="s">
        <v>10</v>
      </c>
      <c r="E881" s="4">
        <v>22</v>
      </c>
      <c r="F881" s="4" t="str">
        <f>IF(Table15678[[#This Row],[Age]]&lt;=19,"Teenager",IF(Table15678[[#This Row],[Age]]&lt;=40,"Median","Old"))</f>
        <v>Median</v>
      </c>
      <c r="G881" s="4" t="s">
        <v>11</v>
      </c>
      <c r="H881" s="4">
        <v>2</v>
      </c>
      <c r="I881" s="4">
        <v>500</v>
      </c>
      <c r="J881" s="4">
        <v>1000</v>
      </c>
      <c r="K881" s="4" t="str" cm="1">
        <f t="array" ref="K881">_xlfn.IFS(AND(Table15678[[#This Row],[Total Amount]]&gt;=1500),"Critical",AND(Table15678[[#This Row],[Total Amount]]&gt;=1000),"High",TRUE,"Normal")</f>
        <v>High</v>
      </c>
      <c r="L881" s="4" t="str">
        <f>IF(Table15678[[#This Row],[Total Amount]]&gt;=1000,"High",(IF(Table15678[[#This Row],[Total Amount]]&gt;=500,"Medium","Low")))</f>
        <v>High</v>
      </c>
      <c r="M881" s="4" t="str" cm="1">
        <f t="array" ref="M88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881" s="4" cm="1">
        <f t="array" ref="N88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881" s="4">
        <f>Table15678[[#This Row],[Total Amount]]-Table15678[[#This Row],[Discount Amount]]</f>
        <v>1000</v>
      </c>
      <c r="P881" s="4" t="str">
        <f>IF(Table15678[[#This Row],[Total Amount]]&gt;=1000,"High","Low")</f>
        <v>High</v>
      </c>
      <c r="Q881" s="4" t="str" cm="1">
        <f t="array" ref="Q881">_xlfn.IFS(AND(Table15678[[#This Row],[Total Amount]]&gt;=1500,"Critical"),AND(Table15678[[#This Row],[Total Amount]]&gt;=1000,"High"),TRUE,"Normal")</f>
        <v>Normal</v>
      </c>
      <c r="R881" s="4" t="str">
        <f>CONCATENATE(Table15678[[#This Row],[Customer ID]], "-",Table15678[[#This Row],[Age]])</f>
        <v>CUST880-22</v>
      </c>
      <c r="S881" s="4" t="str">
        <f>TEXT(Table15678[[#This Row],[Date]],"mmm")</f>
        <v>Aug</v>
      </c>
      <c r="T881" s="4" t="str">
        <f>TEXT(Table15678[[#This Row],[Date]],"DDD")</f>
        <v>Mon</v>
      </c>
    </row>
    <row r="882" spans="1:20" ht="29" x14ac:dyDescent="0.35">
      <c r="A882" s="4">
        <v>881</v>
      </c>
      <c r="B882" s="5">
        <v>45065</v>
      </c>
      <c r="C882" s="4" t="s">
        <v>894</v>
      </c>
      <c r="D882" s="4" t="s">
        <v>10</v>
      </c>
      <c r="E882" s="4">
        <v>22</v>
      </c>
      <c r="F882" s="4" t="str">
        <f>IF(Table15678[[#This Row],[Age]]&lt;=19,"Teenager",IF(Table15678[[#This Row],[Age]]&lt;=40,"Median","Old"))</f>
        <v>Median</v>
      </c>
      <c r="G882" s="4" t="s">
        <v>16</v>
      </c>
      <c r="H882" s="4">
        <v>1</v>
      </c>
      <c r="I882" s="4">
        <v>300</v>
      </c>
      <c r="J882" s="4">
        <v>300</v>
      </c>
      <c r="K882" s="4" t="str" cm="1">
        <f t="array" ref="K882">_xlfn.IFS(AND(Table15678[[#This Row],[Total Amount]]&gt;=1500),"Critical",AND(Table15678[[#This Row],[Total Amount]]&gt;=1000),"High",TRUE,"Normal")</f>
        <v>Normal</v>
      </c>
      <c r="L882" s="4" t="str">
        <f>IF(Table15678[[#This Row],[Total Amount]]&gt;=1000,"High",(IF(Table15678[[#This Row],[Total Amount]]&gt;=500,"Medium","Low")))</f>
        <v>Low</v>
      </c>
      <c r="M882" s="4" t="str" cm="1">
        <f t="array" ref="M88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882" s="4" cm="1">
        <f t="array" ref="N88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882" s="4">
        <f>Table15678[[#This Row],[Total Amount]]-Table15678[[#This Row],[Discount Amount]]</f>
        <v>300</v>
      </c>
      <c r="P882" s="4" t="str">
        <f>IF(Table15678[[#This Row],[Total Amount]]&gt;=1000,"High","Low")</f>
        <v>Low</v>
      </c>
      <c r="Q882" s="4" t="str" cm="1">
        <f t="array" ref="Q882">_xlfn.IFS(AND(Table15678[[#This Row],[Total Amount]]&gt;=1500,"Critical"),AND(Table15678[[#This Row],[Total Amount]]&gt;=1000,"High"),TRUE,"Normal")</f>
        <v>Normal</v>
      </c>
      <c r="R882" s="4" t="str">
        <f>CONCATENATE(Table15678[[#This Row],[Customer ID]], "-",Table15678[[#This Row],[Age]])</f>
        <v>CUST881-22</v>
      </c>
      <c r="S882" s="4" t="str">
        <f>TEXT(Table15678[[#This Row],[Date]],"mmm")</f>
        <v>May</v>
      </c>
      <c r="T882" s="4" t="str">
        <f>TEXT(Table15678[[#This Row],[Date]],"DDD")</f>
        <v>Fri</v>
      </c>
    </row>
    <row r="883" spans="1:20" ht="29" x14ac:dyDescent="0.35">
      <c r="A883" s="4">
        <v>882</v>
      </c>
      <c r="B883" s="5">
        <v>45083</v>
      </c>
      <c r="C883" s="4" t="s">
        <v>895</v>
      </c>
      <c r="D883" s="4" t="s">
        <v>13</v>
      </c>
      <c r="E883" s="4">
        <v>64</v>
      </c>
      <c r="F883" s="4" t="str">
        <f>IF(Table15678[[#This Row],[Age]]&lt;=19,"Teenager",IF(Table15678[[#This Row],[Age]]&lt;=40,"Median","Old"))</f>
        <v>Old</v>
      </c>
      <c r="G883" s="4" t="s">
        <v>16</v>
      </c>
      <c r="H883" s="4">
        <v>2</v>
      </c>
      <c r="I883" s="4">
        <v>25</v>
      </c>
      <c r="J883" s="4">
        <v>50</v>
      </c>
      <c r="K883" s="4" t="str" cm="1">
        <f t="array" ref="K883">_xlfn.IFS(AND(Table15678[[#This Row],[Total Amount]]&gt;=1500),"Critical",AND(Table15678[[#This Row],[Total Amount]]&gt;=1000),"High",TRUE,"Normal")</f>
        <v>Normal</v>
      </c>
      <c r="L883" s="4" t="str">
        <f>IF(Table15678[[#This Row],[Total Amount]]&gt;=1000,"High",(IF(Table15678[[#This Row],[Total Amount]]&gt;=500,"Medium","Low")))</f>
        <v>Low</v>
      </c>
      <c r="M883" s="4" t="str" cm="1">
        <f t="array" ref="M88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83" s="4" cm="1">
        <f t="array" ref="N88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883" s="4">
        <f>Table15678[[#This Row],[Total Amount]]-Table15678[[#This Row],[Discount Amount]]</f>
        <v>40</v>
      </c>
      <c r="P883" s="4" t="str">
        <f>IF(Table15678[[#This Row],[Total Amount]]&gt;=1000,"High","Low")</f>
        <v>Low</v>
      </c>
      <c r="Q883" s="4" t="str" cm="1">
        <f t="array" ref="Q883">_xlfn.IFS(AND(Table15678[[#This Row],[Total Amount]]&gt;=1500,"Critical"),AND(Table15678[[#This Row],[Total Amount]]&gt;=1000,"High"),TRUE,"Normal")</f>
        <v>Normal</v>
      </c>
      <c r="R883" s="4" t="str">
        <f>CONCATENATE(Table15678[[#This Row],[Customer ID]], "-",Table15678[[#This Row],[Age]])</f>
        <v>CUST882-64</v>
      </c>
      <c r="S883" s="4" t="str">
        <f>TEXT(Table15678[[#This Row],[Date]],"mmm")</f>
        <v>Jun</v>
      </c>
      <c r="T883" s="4" t="str">
        <f>TEXT(Table15678[[#This Row],[Date]],"DDD")</f>
        <v>Tue</v>
      </c>
    </row>
    <row r="884" spans="1:20" ht="29" x14ac:dyDescent="0.35">
      <c r="A884" s="4">
        <v>883</v>
      </c>
      <c r="B884" s="5">
        <v>45055</v>
      </c>
      <c r="C884" s="4" t="s">
        <v>896</v>
      </c>
      <c r="D884" s="4" t="s">
        <v>10</v>
      </c>
      <c r="E884" s="4">
        <v>40</v>
      </c>
      <c r="F884" s="4" t="str">
        <f>IF(Table15678[[#This Row],[Age]]&lt;=19,"Teenager",IF(Table15678[[#This Row],[Age]]&lt;=40,"Median","Old"))</f>
        <v>Median</v>
      </c>
      <c r="G884" s="4" t="s">
        <v>16</v>
      </c>
      <c r="H884" s="4">
        <v>1</v>
      </c>
      <c r="I884" s="4">
        <v>500</v>
      </c>
      <c r="J884" s="4">
        <v>500</v>
      </c>
      <c r="K884" s="4" t="str" cm="1">
        <f t="array" ref="K884">_xlfn.IFS(AND(Table15678[[#This Row],[Total Amount]]&gt;=1500),"Critical",AND(Table15678[[#This Row],[Total Amount]]&gt;=1000),"High",TRUE,"Normal")</f>
        <v>Normal</v>
      </c>
      <c r="L884" s="4" t="str">
        <f>IF(Table15678[[#This Row],[Total Amount]]&gt;=1000,"High",(IF(Table15678[[#This Row],[Total Amount]]&gt;=500,"Medium","Low")))</f>
        <v>Medium</v>
      </c>
      <c r="M884" s="4" t="str" cm="1">
        <f t="array" ref="M88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84" s="4" cm="1">
        <f t="array" ref="N88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50</v>
      </c>
      <c r="O884" s="4">
        <f>Table15678[[#This Row],[Total Amount]]-Table15678[[#This Row],[Discount Amount]]</f>
        <v>450</v>
      </c>
      <c r="P884" s="4" t="str">
        <f>IF(Table15678[[#This Row],[Total Amount]]&gt;=1000,"High","Low")</f>
        <v>Low</v>
      </c>
      <c r="Q884" s="4" t="str" cm="1">
        <f t="array" ref="Q884">_xlfn.IFS(AND(Table15678[[#This Row],[Total Amount]]&gt;=1500,"Critical"),AND(Table15678[[#This Row],[Total Amount]]&gt;=1000,"High"),TRUE,"Normal")</f>
        <v>Normal</v>
      </c>
      <c r="R884" s="4" t="str">
        <f>CONCATENATE(Table15678[[#This Row],[Customer ID]], "-",Table15678[[#This Row],[Age]])</f>
        <v>CUST883-40</v>
      </c>
      <c r="S884" s="4" t="str">
        <f>TEXT(Table15678[[#This Row],[Date]],"mmm")</f>
        <v>May</v>
      </c>
      <c r="T884" s="4" t="str">
        <f>TEXT(Table15678[[#This Row],[Date]],"DDD")</f>
        <v>Tue</v>
      </c>
    </row>
    <row r="885" spans="1:20" ht="29" x14ac:dyDescent="0.35">
      <c r="A885" s="4">
        <v>884</v>
      </c>
      <c r="B885" s="5">
        <v>45045</v>
      </c>
      <c r="C885" s="4" t="s">
        <v>897</v>
      </c>
      <c r="D885" s="4" t="s">
        <v>13</v>
      </c>
      <c r="E885" s="4">
        <v>26</v>
      </c>
      <c r="F885" s="4" t="str">
        <f>IF(Table15678[[#This Row],[Age]]&lt;=19,"Teenager",IF(Table15678[[#This Row],[Age]]&lt;=40,"Median","Old"))</f>
        <v>Median</v>
      </c>
      <c r="G885" s="4" t="s">
        <v>14</v>
      </c>
      <c r="H885" s="4">
        <v>2</v>
      </c>
      <c r="I885" s="4">
        <v>30</v>
      </c>
      <c r="J885" s="4">
        <v>60</v>
      </c>
      <c r="K885" s="4" t="str" cm="1">
        <f t="array" ref="K885">_xlfn.IFS(AND(Table15678[[#This Row],[Total Amount]]&gt;=1500),"Critical",AND(Table15678[[#This Row],[Total Amount]]&gt;=1000),"High",TRUE,"Normal")</f>
        <v>Normal</v>
      </c>
      <c r="L885" s="4" t="str">
        <f>IF(Table15678[[#This Row],[Total Amount]]&gt;=1000,"High",(IF(Table15678[[#This Row],[Total Amount]]&gt;=500,"Medium","Low")))</f>
        <v>Low</v>
      </c>
      <c r="M885" s="4" t="str" cm="1">
        <f t="array" ref="M88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85" s="4" cm="1">
        <f t="array" ref="N88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</v>
      </c>
      <c r="O885" s="4">
        <f>Table15678[[#This Row],[Total Amount]]-Table15678[[#This Row],[Discount Amount]]</f>
        <v>51</v>
      </c>
      <c r="P885" s="4" t="str">
        <f>IF(Table15678[[#This Row],[Total Amount]]&gt;=1000,"High","Low")</f>
        <v>Low</v>
      </c>
      <c r="Q885" s="4" t="str" cm="1">
        <f t="array" ref="Q885">_xlfn.IFS(AND(Table15678[[#This Row],[Total Amount]]&gt;=1500,"Critical"),AND(Table15678[[#This Row],[Total Amount]]&gt;=1000,"High"),TRUE,"Normal")</f>
        <v>Normal</v>
      </c>
      <c r="R885" s="4" t="str">
        <f>CONCATENATE(Table15678[[#This Row],[Customer ID]], "-",Table15678[[#This Row],[Age]])</f>
        <v>CUST884-26</v>
      </c>
      <c r="S885" s="4" t="str">
        <f>TEXT(Table15678[[#This Row],[Date]],"mmm")</f>
        <v>Apr</v>
      </c>
      <c r="T885" s="4" t="str">
        <f>TEXT(Table15678[[#This Row],[Date]],"DDD")</f>
        <v>Sat</v>
      </c>
    </row>
    <row r="886" spans="1:20" ht="29" x14ac:dyDescent="0.35">
      <c r="A886" s="4">
        <v>885</v>
      </c>
      <c r="B886" s="5">
        <v>44988</v>
      </c>
      <c r="C886" s="4" t="s">
        <v>898</v>
      </c>
      <c r="D886" s="4" t="s">
        <v>13</v>
      </c>
      <c r="E886" s="4">
        <v>52</v>
      </c>
      <c r="F886" s="4" t="str">
        <f>IF(Table15678[[#This Row],[Age]]&lt;=19,"Teenager",IF(Table15678[[#This Row],[Age]]&lt;=40,"Median","Old"))</f>
        <v>Old</v>
      </c>
      <c r="G886" s="4" t="s">
        <v>14</v>
      </c>
      <c r="H886" s="4">
        <v>4</v>
      </c>
      <c r="I886" s="4">
        <v>30</v>
      </c>
      <c r="J886" s="4">
        <v>120</v>
      </c>
      <c r="K886" s="4" t="str" cm="1">
        <f t="array" ref="K886">_xlfn.IFS(AND(Table15678[[#This Row],[Total Amount]]&gt;=1500),"Critical",AND(Table15678[[#This Row],[Total Amount]]&gt;=1000),"High",TRUE,"Normal")</f>
        <v>Normal</v>
      </c>
      <c r="L886" s="4" t="str">
        <f>IF(Table15678[[#This Row],[Total Amount]]&gt;=1000,"High",(IF(Table15678[[#This Row],[Total Amount]]&gt;=500,"Medium","Low")))</f>
        <v>Low</v>
      </c>
      <c r="M886" s="4" t="str" cm="1">
        <f t="array" ref="M88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86" s="4" cm="1">
        <f t="array" ref="N88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</v>
      </c>
      <c r="O886" s="4">
        <f>Table15678[[#This Row],[Total Amount]]-Table15678[[#This Row],[Discount Amount]]</f>
        <v>96</v>
      </c>
      <c r="P886" s="4" t="str">
        <f>IF(Table15678[[#This Row],[Total Amount]]&gt;=1000,"High","Low")</f>
        <v>Low</v>
      </c>
      <c r="Q886" s="4" t="str" cm="1">
        <f t="array" ref="Q886">_xlfn.IFS(AND(Table15678[[#This Row],[Total Amount]]&gt;=1500,"Critical"),AND(Table15678[[#This Row],[Total Amount]]&gt;=1000,"High"),TRUE,"Normal")</f>
        <v>Normal</v>
      </c>
      <c r="R886" s="4" t="str">
        <f>CONCATENATE(Table15678[[#This Row],[Customer ID]], "-",Table15678[[#This Row],[Age]])</f>
        <v>CUST885-52</v>
      </c>
      <c r="S886" s="4" t="str">
        <f>TEXT(Table15678[[#This Row],[Date]],"mmm")</f>
        <v>Mar</v>
      </c>
      <c r="T886" s="4" t="str">
        <f>TEXT(Table15678[[#This Row],[Date]],"DDD")</f>
        <v>Fri</v>
      </c>
    </row>
    <row r="887" spans="1:20" ht="29" x14ac:dyDescent="0.35">
      <c r="A887" s="4">
        <v>886</v>
      </c>
      <c r="B887" s="5">
        <v>45025</v>
      </c>
      <c r="C887" s="4" t="s">
        <v>899</v>
      </c>
      <c r="D887" s="4" t="s">
        <v>10</v>
      </c>
      <c r="E887" s="4">
        <v>37</v>
      </c>
      <c r="F887" s="4" t="str">
        <f>IF(Table15678[[#This Row],[Age]]&lt;=19,"Teenager",IF(Table15678[[#This Row],[Age]]&lt;=40,"Median","Old"))</f>
        <v>Median</v>
      </c>
      <c r="G887" s="4" t="s">
        <v>16</v>
      </c>
      <c r="H887" s="4">
        <v>3</v>
      </c>
      <c r="I887" s="4">
        <v>300</v>
      </c>
      <c r="J887" s="4">
        <v>900</v>
      </c>
      <c r="K887" s="4" t="str" cm="1">
        <f t="array" ref="K887">_xlfn.IFS(AND(Table15678[[#This Row],[Total Amount]]&gt;=1500),"Critical",AND(Table15678[[#This Row],[Total Amount]]&gt;=1000),"High",TRUE,"Normal")</f>
        <v>Normal</v>
      </c>
      <c r="L887" s="4" t="str">
        <f>IF(Table15678[[#This Row],[Total Amount]]&gt;=1000,"High",(IF(Table15678[[#This Row],[Total Amount]]&gt;=500,"Medium","Low")))</f>
        <v>Medium</v>
      </c>
      <c r="M887" s="4" t="str" cm="1">
        <f t="array" ref="M88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87" s="4" cm="1">
        <f t="array" ref="N88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887" s="4">
        <f>Table15678[[#This Row],[Total Amount]]-Table15678[[#This Row],[Discount Amount]]</f>
        <v>810</v>
      </c>
      <c r="P887" s="4" t="str">
        <f>IF(Table15678[[#This Row],[Total Amount]]&gt;=1000,"High","Low")</f>
        <v>Low</v>
      </c>
      <c r="Q887" s="4" t="str" cm="1">
        <f t="array" ref="Q887">_xlfn.IFS(AND(Table15678[[#This Row],[Total Amount]]&gt;=1500,"Critical"),AND(Table15678[[#This Row],[Total Amount]]&gt;=1000,"High"),TRUE,"Normal")</f>
        <v>Normal</v>
      </c>
      <c r="R887" s="4" t="str">
        <f>CONCATENATE(Table15678[[#This Row],[Customer ID]], "-",Table15678[[#This Row],[Age]])</f>
        <v>CUST886-37</v>
      </c>
      <c r="S887" s="4" t="str">
        <f>TEXT(Table15678[[#This Row],[Date]],"mmm")</f>
        <v>Apr</v>
      </c>
      <c r="T887" s="4" t="str">
        <f>TEXT(Table15678[[#This Row],[Date]],"DDD")</f>
        <v>Sun</v>
      </c>
    </row>
    <row r="888" spans="1:20" ht="29" x14ac:dyDescent="0.35">
      <c r="A888" s="4">
        <v>887</v>
      </c>
      <c r="B888" s="5">
        <v>45088</v>
      </c>
      <c r="C888" s="4" t="s">
        <v>900</v>
      </c>
      <c r="D888" s="4" t="s">
        <v>10</v>
      </c>
      <c r="E888" s="4">
        <v>59</v>
      </c>
      <c r="F888" s="4" t="str">
        <f>IF(Table15678[[#This Row],[Age]]&lt;=19,"Teenager",IF(Table15678[[#This Row],[Age]]&lt;=40,"Median","Old"))</f>
        <v>Old</v>
      </c>
      <c r="G888" s="4" t="s">
        <v>14</v>
      </c>
      <c r="H888" s="4">
        <v>4</v>
      </c>
      <c r="I888" s="4">
        <v>25</v>
      </c>
      <c r="J888" s="4">
        <v>100</v>
      </c>
      <c r="K888" s="4" t="str" cm="1">
        <f t="array" ref="K888">_xlfn.IFS(AND(Table15678[[#This Row],[Total Amount]]&gt;=1500),"Critical",AND(Table15678[[#This Row],[Total Amount]]&gt;=1000),"High",TRUE,"Normal")</f>
        <v>Normal</v>
      </c>
      <c r="L888" s="4" t="str">
        <f>IF(Table15678[[#This Row],[Total Amount]]&gt;=1000,"High",(IF(Table15678[[#This Row],[Total Amount]]&gt;=500,"Medium","Low")))</f>
        <v>Low</v>
      </c>
      <c r="M888" s="4" t="str" cm="1">
        <f t="array" ref="M88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88" s="4" cm="1">
        <f t="array" ref="N88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888" s="4">
        <f>Table15678[[#This Row],[Total Amount]]-Table15678[[#This Row],[Discount Amount]]</f>
        <v>90</v>
      </c>
      <c r="P888" s="4" t="str">
        <f>IF(Table15678[[#This Row],[Total Amount]]&gt;=1000,"High","Low")</f>
        <v>Low</v>
      </c>
      <c r="Q888" s="4" t="str" cm="1">
        <f t="array" ref="Q888">_xlfn.IFS(AND(Table15678[[#This Row],[Total Amount]]&gt;=1500,"Critical"),AND(Table15678[[#This Row],[Total Amount]]&gt;=1000,"High"),TRUE,"Normal")</f>
        <v>Normal</v>
      </c>
      <c r="R888" s="4" t="str">
        <f>CONCATENATE(Table15678[[#This Row],[Customer ID]], "-",Table15678[[#This Row],[Age]])</f>
        <v>CUST887-59</v>
      </c>
      <c r="S888" s="4" t="str">
        <f>TEXT(Table15678[[#This Row],[Date]],"mmm")</f>
        <v>Jun</v>
      </c>
      <c r="T888" s="4" t="str">
        <f>TEXT(Table15678[[#This Row],[Date]],"DDD")</f>
        <v>Sun</v>
      </c>
    </row>
    <row r="889" spans="1:20" ht="29" x14ac:dyDescent="0.35">
      <c r="A889" s="4">
        <v>888</v>
      </c>
      <c r="B889" s="5">
        <v>44988</v>
      </c>
      <c r="C889" s="4" t="s">
        <v>901</v>
      </c>
      <c r="D889" s="4" t="s">
        <v>13</v>
      </c>
      <c r="E889" s="4">
        <v>52</v>
      </c>
      <c r="F889" s="4" t="str">
        <f>IF(Table15678[[#This Row],[Age]]&lt;=19,"Teenager",IF(Table15678[[#This Row],[Age]]&lt;=40,"Median","Old"))</f>
        <v>Old</v>
      </c>
      <c r="G889" s="4" t="s">
        <v>16</v>
      </c>
      <c r="H889" s="4">
        <v>4</v>
      </c>
      <c r="I889" s="4">
        <v>25</v>
      </c>
      <c r="J889" s="4">
        <v>100</v>
      </c>
      <c r="K889" s="4" t="str" cm="1">
        <f t="array" ref="K889">_xlfn.IFS(AND(Table15678[[#This Row],[Total Amount]]&gt;=1500),"Critical",AND(Table15678[[#This Row],[Total Amount]]&gt;=1000),"High",TRUE,"Normal")</f>
        <v>Normal</v>
      </c>
      <c r="L889" s="4" t="str">
        <f>IF(Table15678[[#This Row],[Total Amount]]&gt;=1000,"High",(IF(Table15678[[#This Row],[Total Amount]]&gt;=500,"Medium","Low")))</f>
        <v>Low</v>
      </c>
      <c r="M889" s="4" t="str" cm="1">
        <f t="array" ref="M88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89" s="4" cm="1">
        <f t="array" ref="N88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889" s="4">
        <f>Table15678[[#This Row],[Total Amount]]-Table15678[[#This Row],[Discount Amount]]</f>
        <v>80</v>
      </c>
      <c r="P889" s="4" t="str">
        <f>IF(Table15678[[#This Row],[Total Amount]]&gt;=1000,"High","Low")</f>
        <v>Low</v>
      </c>
      <c r="Q889" s="4" t="str" cm="1">
        <f t="array" ref="Q889">_xlfn.IFS(AND(Table15678[[#This Row],[Total Amount]]&gt;=1500,"Critical"),AND(Table15678[[#This Row],[Total Amount]]&gt;=1000,"High"),TRUE,"Normal")</f>
        <v>Normal</v>
      </c>
      <c r="R889" s="4" t="str">
        <f>CONCATENATE(Table15678[[#This Row],[Customer ID]], "-",Table15678[[#This Row],[Age]])</f>
        <v>CUST888-52</v>
      </c>
      <c r="S889" s="4" t="str">
        <f>TEXT(Table15678[[#This Row],[Date]],"mmm")</f>
        <v>Mar</v>
      </c>
      <c r="T889" s="4" t="str">
        <f>TEXT(Table15678[[#This Row],[Date]],"DDD")</f>
        <v>Fri</v>
      </c>
    </row>
    <row r="890" spans="1:20" ht="29" x14ac:dyDescent="0.35">
      <c r="A890" s="4">
        <v>889</v>
      </c>
      <c r="B890" s="5">
        <v>45201</v>
      </c>
      <c r="C890" s="4" t="s">
        <v>902</v>
      </c>
      <c r="D890" s="4" t="s">
        <v>13</v>
      </c>
      <c r="E890" s="4">
        <v>35</v>
      </c>
      <c r="F890" s="4" t="str">
        <f>IF(Table15678[[#This Row],[Age]]&lt;=19,"Teenager",IF(Table15678[[#This Row],[Age]]&lt;=40,"Median","Old"))</f>
        <v>Median</v>
      </c>
      <c r="G890" s="4" t="s">
        <v>16</v>
      </c>
      <c r="H890" s="4">
        <v>1</v>
      </c>
      <c r="I890" s="4">
        <v>50</v>
      </c>
      <c r="J890" s="4">
        <v>50</v>
      </c>
      <c r="K890" s="4" t="str" cm="1">
        <f t="array" ref="K890">_xlfn.IFS(AND(Table15678[[#This Row],[Total Amount]]&gt;=1500),"Critical",AND(Table15678[[#This Row],[Total Amount]]&gt;=1000),"High",TRUE,"Normal")</f>
        <v>Normal</v>
      </c>
      <c r="L890" s="4" t="str">
        <f>IF(Table15678[[#This Row],[Total Amount]]&gt;=1000,"High",(IF(Table15678[[#This Row],[Total Amount]]&gt;=500,"Medium","Low")))</f>
        <v>Low</v>
      </c>
      <c r="M890" s="4" t="str" cm="1">
        <f t="array" ref="M89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90" s="4" cm="1">
        <f t="array" ref="N89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890" s="4">
        <f>Table15678[[#This Row],[Total Amount]]-Table15678[[#This Row],[Discount Amount]]</f>
        <v>40</v>
      </c>
      <c r="P890" s="4" t="str">
        <f>IF(Table15678[[#This Row],[Total Amount]]&gt;=1000,"High","Low")</f>
        <v>Low</v>
      </c>
      <c r="Q890" s="4" t="str" cm="1">
        <f t="array" ref="Q890">_xlfn.IFS(AND(Table15678[[#This Row],[Total Amount]]&gt;=1500,"Critical"),AND(Table15678[[#This Row],[Total Amount]]&gt;=1000,"High"),TRUE,"Normal")</f>
        <v>Normal</v>
      </c>
      <c r="R890" s="4" t="str">
        <f>CONCATENATE(Table15678[[#This Row],[Customer ID]], "-",Table15678[[#This Row],[Age]])</f>
        <v>CUST889-35</v>
      </c>
      <c r="S890" s="4" t="str">
        <f>TEXT(Table15678[[#This Row],[Date]],"mmm")</f>
        <v>Oct</v>
      </c>
      <c r="T890" s="4" t="str">
        <f>TEXT(Table15678[[#This Row],[Date]],"DDD")</f>
        <v>Mon</v>
      </c>
    </row>
    <row r="891" spans="1:20" ht="29" x14ac:dyDescent="0.35">
      <c r="A891" s="4">
        <v>890</v>
      </c>
      <c r="B891" s="5">
        <v>45280</v>
      </c>
      <c r="C891" s="4" t="s">
        <v>903</v>
      </c>
      <c r="D891" s="4" t="s">
        <v>10</v>
      </c>
      <c r="E891" s="4">
        <v>34</v>
      </c>
      <c r="F891" s="4" t="str">
        <f>IF(Table15678[[#This Row],[Age]]&lt;=19,"Teenager",IF(Table15678[[#This Row],[Age]]&lt;=40,"Median","Old"))</f>
        <v>Median</v>
      </c>
      <c r="G891" s="4" t="s">
        <v>16</v>
      </c>
      <c r="H891" s="4">
        <v>2</v>
      </c>
      <c r="I891" s="4">
        <v>25</v>
      </c>
      <c r="J891" s="4">
        <v>50</v>
      </c>
      <c r="K891" s="4" t="str" cm="1">
        <f t="array" ref="K891">_xlfn.IFS(AND(Table15678[[#This Row],[Total Amount]]&gt;=1500),"Critical",AND(Table15678[[#This Row],[Total Amount]]&gt;=1000),"High",TRUE,"Normal")</f>
        <v>Normal</v>
      </c>
      <c r="L891" s="4" t="str">
        <f>IF(Table15678[[#This Row],[Total Amount]]&gt;=1000,"High",(IF(Table15678[[#This Row],[Total Amount]]&gt;=500,"Medium","Low")))</f>
        <v>Low</v>
      </c>
      <c r="M891" s="4" t="str" cm="1">
        <f t="array" ref="M89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91" s="4" cm="1">
        <f t="array" ref="N89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891" s="4">
        <f>Table15678[[#This Row],[Total Amount]]-Table15678[[#This Row],[Discount Amount]]</f>
        <v>42.5</v>
      </c>
      <c r="P891" s="4" t="str">
        <f>IF(Table15678[[#This Row],[Total Amount]]&gt;=1000,"High","Low")</f>
        <v>Low</v>
      </c>
      <c r="Q891" s="4" t="str" cm="1">
        <f t="array" ref="Q891">_xlfn.IFS(AND(Table15678[[#This Row],[Total Amount]]&gt;=1500,"Critical"),AND(Table15678[[#This Row],[Total Amount]]&gt;=1000,"High"),TRUE,"Normal")</f>
        <v>Normal</v>
      </c>
      <c r="R891" s="4" t="str">
        <f>CONCATENATE(Table15678[[#This Row],[Customer ID]], "-",Table15678[[#This Row],[Age]])</f>
        <v>CUST890-34</v>
      </c>
      <c r="S891" s="4" t="str">
        <f>TEXT(Table15678[[#This Row],[Date]],"mmm")</f>
        <v>Dec</v>
      </c>
      <c r="T891" s="4" t="str">
        <f>TEXT(Table15678[[#This Row],[Date]],"DDD")</f>
        <v>Wed</v>
      </c>
    </row>
    <row r="892" spans="1:20" ht="29" x14ac:dyDescent="0.35">
      <c r="A892" s="4">
        <v>891</v>
      </c>
      <c r="B892" s="5">
        <v>45021</v>
      </c>
      <c r="C892" s="4" t="s">
        <v>904</v>
      </c>
      <c r="D892" s="4" t="s">
        <v>10</v>
      </c>
      <c r="E892" s="4">
        <v>41</v>
      </c>
      <c r="F892" s="4" t="str">
        <f>IF(Table15678[[#This Row],[Age]]&lt;=19,"Teenager",IF(Table15678[[#This Row],[Age]]&lt;=40,"Median","Old"))</f>
        <v>Old</v>
      </c>
      <c r="G892" s="4" t="s">
        <v>16</v>
      </c>
      <c r="H892" s="4">
        <v>3</v>
      </c>
      <c r="I892" s="4">
        <v>300</v>
      </c>
      <c r="J892" s="4">
        <v>900</v>
      </c>
      <c r="K892" s="4" t="str" cm="1">
        <f t="array" ref="K892">_xlfn.IFS(AND(Table15678[[#This Row],[Total Amount]]&gt;=1500),"Critical",AND(Table15678[[#This Row],[Total Amount]]&gt;=1000),"High",TRUE,"Normal")</f>
        <v>Normal</v>
      </c>
      <c r="L892" s="4" t="str">
        <f>IF(Table15678[[#This Row],[Total Amount]]&gt;=1000,"High",(IF(Table15678[[#This Row],[Total Amount]]&gt;=500,"Medium","Low")))</f>
        <v>Medium</v>
      </c>
      <c r="M892" s="4" t="str" cm="1">
        <f t="array" ref="M89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92" s="4" cm="1">
        <f t="array" ref="N89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892" s="4">
        <f>Table15678[[#This Row],[Total Amount]]-Table15678[[#This Row],[Discount Amount]]</f>
        <v>810</v>
      </c>
      <c r="P892" s="4" t="str">
        <f>IF(Table15678[[#This Row],[Total Amount]]&gt;=1000,"High","Low")</f>
        <v>Low</v>
      </c>
      <c r="Q892" s="4" t="str" cm="1">
        <f t="array" ref="Q892">_xlfn.IFS(AND(Table15678[[#This Row],[Total Amount]]&gt;=1500,"Critical"),AND(Table15678[[#This Row],[Total Amount]]&gt;=1000,"High"),TRUE,"Normal")</f>
        <v>Normal</v>
      </c>
      <c r="R892" s="4" t="str">
        <f>CONCATENATE(Table15678[[#This Row],[Customer ID]], "-",Table15678[[#This Row],[Age]])</f>
        <v>CUST891-41</v>
      </c>
      <c r="S892" s="4" t="str">
        <f>TEXT(Table15678[[#This Row],[Date]],"mmm")</f>
        <v>Apr</v>
      </c>
      <c r="T892" s="4" t="str">
        <f>TEXT(Table15678[[#This Row],[Date]],"DDD")</f>
        <v>Wed</v>
      </c>
    </row>
    <row r="893" spans="1:20" ht="29" x14ac:dyDescent="0.35">
      <c r="A893" s="4">
        <v>892</v>
      </c>
      <c r="B893" s="5">
        <v>45025</v>
      </c>
      <c r="C893" s="4" t="s">
        <v>905</v>
      </c>
      <c r="D893" s="4" t="s">
        <v>10</v>
      </c>
      <c r="E893" s="4">
        <v>20</v>
      </c>
      <c r="F893" s="4" t="str">
        <f>IF(Table15678[[#This Row],[Age]]&lt;=19,"Teenager",IF(Table15678[[#This Row],[Age]]&lt;=40,"Median","Old"))</f>
        <v>Median</v>
      </c>
      <c r="G893" s="4" t="s">
        <v>16</v>
      </c>
      <c r="H893" s="4">
        <v>1</v>
      </c>
      <c r="I893" s="4">
        <v>50</v>
      </c>
      <c r="J893" s="4">
        <v>50</v>
      </c>
      <c r="K893" s="4" t="str" cm="1">
        <f t="array" ref="K893">_xlfn.IFS(AND(Table15678[[#This Row],[Total Amount]]&gt;=1500),"Critical",AND(Table15678[[#This Row],[Total Amount]]&gt;=1000),"High",TRUE,"Normal")</f>
        <v>Normal</v>
      </c>
      <c r="L893" s="4" t="str">
        <f>IF(Table15678[[#This Row],[Total Amount]]&gt;=1000,"High",(IF(Table15678[[#This Row],[Total Amount]]&gt;=500,"Medium","Low")))</f>
        <v>Low</v>
      </c>
      <c r="M893" s="4" t="str" cm="1">
        <f t="array" ref="M89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893" s="4" cm="1">
        <f t="array" ref="N89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893" s="4">
        <f>Table15678[[#This Row],[Total Amount]]-Table15678[[#This Row],[Discount Amount]]</f>
        <v>50</v>
      </c>
      <c r="P893" s="4" t="str">
        <f>IF(Table15678[[#This Row],[Total Amount]]&gt;=1000,"High","Low")</f>
        <v>Low</v>
      </c>
      <c r="Q893" s="4" t="str" cm="1">
        <f t="array" ref="Q893">_xlfn.IFS(AND(Table15678[[#This Row],[Total Amount]]&gt;=1500,"Critical"),AND(Table15678[[#This Row],[Total Amount]]&gt;=1000,"High"),TRUE,"Normal")</f>
        <v>Normal</v>
      </c>
      <c r="R893" s="4" t="str">
        <f>CONCATENATE(Table15678[[#This Row],[Customer ID]], "-",Table15678[[#This Row],[Age]])</f>
        <v>CUST892-20</v>
      </c>
      <c r="S893" s="4" t="str">
        <f>TEXT(Table15678[[#This Row],[Date]],"mmm")</f>
        <v>Apr</v>
      </c>
      <c r="T893" s="4" t="str">
        <f>TEXT(Table15678[[#This Row],[Date]],"DDD")</f>
        <v>Sun</v>
      </c>
    </row>
    <row r="894" spans="1:20" ht="29" x14ac:dyDescent="0.35">
      <c r="A894" s="4">
        <v>893</v>
      </c>
      <c r="B894" s="5">
        <v>45037</v>
      </c>
      <c r="C894" s="4" t="s">
        <v>906</v>
      </c>
      <c r="D894" s="4" t="s">
        <v>10</v>
      </c>
      <c r="E894" s="4">
        <v>49</v>
      </c>
      <c r="F894" s="4" t="str">
        <f>IF(Table15678[[#This Row],[Age]]&lt;=19,"Teenager",IF(Table15678[[#This Row],[Age]]&lt;=40,"Median","Old"))</f>
        <v>Old</v>
      </c>
      <c r="G894" s="4" t="s">
        <v>16</v>
      </c>
      <c r="H894" s="4">
        <v>1</v>
      </c>
      <c r="I894" s="4">
        <v>50</v>
      </c>
      <c r="J894" s="4">
        <v>50</v>
      </c>
      <c r="K894" s="4" t="str" cm="1">
        <f t="array" ref="K894">_xlfn.IFS(AND(Table15678[[#This Row],[Total Amount]]&gt;=1500),"Critical",AND(Table15678[[#This Row],[Total Amount]]&gt;=1000),"High",TRUE,"Normal")</f>
        <v>Normal</v>
      </c>
      <c r="L894" s="4" t="str">
        <f>IF(Table15678[[#This Row],[Total Amount]]&gt;=1000,"High",(IF(Table15678[[#This Row],[Total Amount]]&gt;=500,"Medium","Low")))</f>
        <v>Low</v>
      </c>
      <c r="M894" s="4" t="str" cm="1">
        <f t="array" ref="M89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94" s="4" cm="1">
        <f t="array" ref="N89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894" s="4">
        <f>Table15678[[#This Row],[Total Amount]]-Table15678[[#This Row],[Discount Amount]]</f>
        <v>45</v>
      </c>
      <c r="P894" s="4" t="str">
        <f>IF(Table15678[[#This Row],[Total Amount]]&gt;=1000,"High","Low")</f>
        <v>Low</v>
      </c>
      <c r="Q894" s="4" t="str" cm="1">
        <f t="array" ref="Q894">_xlfn.IFS(AND(Table15678[[#This Row],[Total Amount]]&gt;=1500,"Critical"),AND(Table15678[[#This Row],[Total Amount]]&gt;=1000,"High"),TRUE,"Normal")</f>
        <v>Normal</v>
      </c>
      <c r="R894" s="4" t="str">
        <f>CONCATENATE(Table15678[[#This Row],[Customer ID]], "-",Table15678[[#This Row],[Age]])</f>
        <v>CUST893-49</v>
      </c>
      <c r="S894" s="4" t="str">
        <f>TEXT(Table15678[[#This Row],[Date]],"mmm")</f>
        <v>Apr</v>
      </c>
      <c r="T894" s="4" t="str">
        <f>TEXT(Table15678[[#This Row],[Date]],"DDD")</f>
        <v>Fri</v>
      </c>
    </row>
    <row r="895" spans="1:20" ht="29" x14ac:dyDescent="0.35">
      <c r="A895" s="4">
        <v>894</v>
      </c>
      <c r="B895" s="5">
        <v>45174</v>
      </c>
      <c r="C895" s="4" t="s">
        <v>907</v>
      </c>
      <c r="D895" s="4" t="s">
        <v>10</v>
      </c>
      <c r="E895" s="4">
        <v>52</v>
      </c>
      <c r="F895" s="4" t="str">
        <f>IF(Table15678[[#This Row],[Age]]&lt;=19,"Teenager",IF(Table15678[[#This Row],[Age]]&lt;=40,"Median","Old"))</f>
        <v>Old</v>
      </c>
      <c r="G895" s="4" t="s">
        <v>16</v>
      </c>
      <c r="H895" s="4">
        <v>1</v>
      </c>
      <c r="I895" s="4">
        <v>30</v>
      </c>
      <c r="J895" s="4">
        <v>30</v>
      </c>
      <c r="K895" s="4" t="str" cm="1">
        <f t="array" ref="K895">_xlfn.IFS(AND(Table15678[[#This Row],[Total Amount]]&gt;=1500),"Critical",AND(Table15678[[#This Row],[Total Amount]]&gt;=1000),"High",TRUE,"Normal")</f>
        <v>Normal</v>
      </c>
      <c r="L895" s="4" t="str">
        <f>IF(Table15678[[#This Row],[Total Amount]]&gt;=1000,"High",(IF(Table15678[[#This Row],[Total Amount]]&gt;=500,"Medium","Low")))</f>
        <v>Low</v>
      </c>
      <c r="M895" s="4" t="str" cm="1">
        <f t="array" ref="M89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95" s="4" cm="1">
        <f t="array" ref="N89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</v>
      </c>
      <c r="O895" s="4">
        <f>Table15678[[#This Row],[Total Amount]]-Table15678[[#This Row],[Discount Amount]]</f>
        <v>27</v>
      </c>
      <c r="P895" s="4" t="str">
        <f>IF(Table15678[[#This Row],[Total Amount]]&gt;=1000,"High","Low")</f>
        <v>Low</v>
      </c>
      <c r="Q895" s="4" t="str" cm="1">
        <f t="array" ref="Q895">_xlfn.IFS(AND(Table15678[[#This Row],[Total Amount]]&gt;=1500,"Critical"),AND(Table15678[[#This Row],[Total Amount]]&gt;=1000,"High"),TRUE,"Normal")</f>
        <v>Normal</v>
      </c>
      <c r="R895" s="4" t="str">
        <f>CONCATENATE(Table15678[[#This Row],[Customer ID]], "-",Table15678[[#This Row],[Age]])</f>
        <v>CUST894-52</v>
      </c>
      <c r="S895" s="4" t="str">
        <f>TEXT(Table15678[[#This Row],[Date]],"mmm")</f>
        <v>Sep</v>
      </c>
      <c r="T895" s="4" t="str">
        <f>TEXT(Table15678[[#This Row],[Date]],"DDD")</f>
        <v>Tue</v>
      </c>
    </row>
    <row r="896" spans="1:20" ht="29" x14ac:dyDescent="0.35">
      <c r="A896" s="4">
        <v>895</v>
      </c>
      <c r="B896" s="5">
        <v>45068</v>
      </c>
      <c r="C896" s="4" t="s">
        <v>908</v>
      </c>
      <c r="D896" s="4" t="s">
        <v>13</v>
      </c>
      <c r="E896" s="4">
        <v>55</v>
      </c>
      <c r="F896" s="4" t="str">
        <f>IF(Table15678[[#This Row],[Age]]&lt;=19,"Teenager",IF(Table15678[[#This Row],[Age]]&lt;=40,"Median","Old"))</f>
        <v>Old</v>
      </c>
      <c r="G896" s="4" t="s">
        <v>14</v>
      </c>
      <c r="H896" s="4">
        <v>4</v>
      </c>
      <c r="I896" s="4">
        <v>30</v>
      </c>
      <c r="J896" s="4">
        <v>120</v>
      </c>
      <c r="K896" s="4" t="str" cm="1">
        <f t="array" ref="K896">_xlfn.IFS(AND(Table15678[[#This Row],[Total Amount]]&gt;=1500),"Critical",AND(Table15678[[#This Row],[Total Amount]]&gt;=1000),"High",TRUE,"Normal")</f>
        <v>Normal</v>
      </c>
      <c r="L896" s="4" t="str">
        <f>IF(Table15678[[#This Row],[Total Amount]]&gt;=1000,"High",(IF(Table15678[[#This Row],[Total Amount]]&gt;=500,"Medium","Low")))</f>
        <v>Low</v>
      </c>
      <c r="M896" s="4" t="str" cm="1">
        <f t="array" ref="M89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96" s="4" cm="1">
        <f t="array" ref="N89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</v>
      </c>
      <c r="O896" s="4">
        <f>Table15678[[#This Row],[Total Amount]]-Table15678[[#This Row],[Discount Amount]]</f>
        <v>96</v>
      </c>
      <c r="P896" s="4" t="str">
        <f>IF(Table15678[[#This Row],[Total Amount]]&gt;=1000,"High","Low")</f>
        <v>Low</v>
      </c>
      <c r="Q896" s="4" t="str" cm="1">
        <f t="array" ref="Q896">_xlfn.IFS(AND(Table15678[[#This Row],[Total Amount]]&gt;=1500,"Critical"),AND(Table15678[[#This Row],[Total Amount]]&gt;=1000,"High"),TRUE,"Normal")</f>
        <v>Normal</v>
      </c>
      <c r="R896" s="4" t="str">
        <f>CONCATENATE(Table15678[[#This Row],[Customer ID]], "-",Table15678[[#This Row],[Age]])</f>
        <v>CUST895-55</v>
      </c>
      <c r="S896" s="4" t="str">
        <f>TEXT(Table15678[[#This Row],[Date]],"mmm")</f>
        <v>May</v>
      </c>
      <c r="T896" s="4" t="str">
        <f>TEXT(Table15678[[#This Row],[Date]],"DDD")</f>
        <v>Mon</v>
      </c>
    </row>
    <row r="897" spans="1:20" ht="29" x14ac:dyDescent="0.35">
      <c r="A897" s="4">
        <v>896</v>
      </c>
      <c r="B897" s="5">
        <v>45228</v>
      </c>
      <c r="C897" s="4" t="s">
        <v>909</v>
      </c>
      <c r="D897" s="4" t="s">
        <v>13</v>
      </c>
      <c r="E897" s="4">
        <v>30</v>
      </c>
      <c r="F897" s="4" t="str">
        <f>IF(Table15678[[#This Row],[Age]]&lt;=19,"Teenager",IF(Table15678[[#This Row],[Age]]&lt;=40,"Median","Old"))</f>
        <v>Median</v>
      </c>
      <c r="G897" s="4" t="s">
        <v>16</v>
      </c>
      <c r="H897" s="4">
        <v>2</v>
      </c>
      <c r="I897" s="4">
        <v>25</v>
      </c>
      <c r="J897" s="4">
        <v>50</v>
      </c>
      <c r="K897" s="4" t="str" cm="1">
        <f t="array" ref="K897">_xlfn.IFS(AND(Table15678[[#This Row],[Total Amount]]&gt;=1500),"Critical",AND(Table15678[[#This Row],[Total Amount]]&gt;=1000),"High",TRUE,"Normal")</f>
        <v>Normal</v>
      </c>
      <c r="L897" s="4" t="str">
        <f>IF(Table15678[[#This Row],[Total Amount]]&gt;=1000,"High",(IF(Table15678[[#This Row],[Total Amount]]&gt;=500,"Medium","Low")))</f>
        <v>Low</v>
      </c>
      <c r="M897" s="4" t="str" cm="1">
        <f t="array" ref="M89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97" s="4" cm="1">
        <f t="array" ref="N89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897" s="4">
        <f>Table15678[[#This Row],[Total Amount]]-Table15678[[#This Row],[Discount Amount]]</f>
        <v>42.5</v>
      </c>
      <c r="P897" s="4" t="str">
        <f>IF(Table15678[[#This Row],[Total Amount]]&gt;=1000,"High","Low")</f>
        <v>Low</v>
      </c>
      <c r="Q897" s="4" t="str" cm="1">
        <f t="array" ref="Q897">_xlfn.IFS(AND(Table15678[[#This Row],[Total Amount]]&gt;=1500,"Critical"),AND(Table15678[[#This Row],[Total Amount]]&gt;=1000,"High"),TRUE,"Normal")</f>
        <v>Normal</v>
      </c>
      <c r="R897" s="4" t="str">
        <f>CONCATENATE(Table15678[[#This Row],[Customer ID]], "-",Table15678[[#This Row],[Age]])</f>
        <v>CUST896-30</v>
      </c>
      <c r="S897" s="4" t="str">
        <f>TEXT(Table15678[[#This Row],[Date]],"mmm")</f>
        <v>Oct</v>
      </c>
      <c r="T897" s="4" t="str">
        <f>TEXT(Table15678[[#This Row],[Date]],"DDD")</f>
        <v>Sun</v>
      </c>
    </row>
    <row r="898" spans="1:20" ht="29" x14ac:dyDescent="0.35">
      <c r="A898" s="4">
        <v>897</v>
      </c>
      <c r="B898" s="5">
        <v>45195</v>
      </c>
      <c r="C898" s="4" t="s">
        <v>910</v>
      </c>
      <c r="D898" s="4" t="s">
        <v>13</v>
      </c>
      <c r="E898" s="4">
        <v>64</v>
      </c>
      <c r="F898" s="4" t="str">
        <f>IF(Table15678[[#This Row],[Age]]&lt;=19,"Teenager",IF(Table15678[[#This Row],[Age]]&lt;=40,"Median","Old"))</f>
        <v>Old</v>
      </c>
      <c r="G898" s="4" t="s">
        <v>16</v>
      </c>
      <c r="H898" s="4">
        <v>2</v>
      </c>
      <c r="I898" s="4">
        <v>50</v>
      </c>
      <c r="J898" s="4">
        <v>100</v>
      </c>
      <c r="K898" s="4" t="str" cm="1">
        <f t="array" ref="K898">_xlfn.IFS(AND(Table15678[[#This Row],[Total Amount]]&gt;=1500),"Critical",AND(Table15678[[#This Row],[Total Amount]]&gt;=1000),"High",TRUE,"Normal")</f>
        <v>Normal</v>
      </c>
      <c r="L898" s="4" t="str">
        <f>IF(Table15678[[#This Row],[Total Amount]]&gt;=1000,"High",(IF(Table15678[[#This Row],[Total Amount]]&gt;=500,"Medium","Low")))</f>
        <v>Low</v>
      </c>
      <c r="M898" s="4" t="str" cm="1">
        <f t="array" ref="M89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98" s="4" cm="1">
        <f t="array" ref="N89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898" s="4">
        <f>Table15678[[#This Row],[Total Amount]]-Table15678[[#This Row],[Discount Amount]]</f>
        <v>80</v>
      </c>
      <c r="P898" s="4" t="str">
        <f>IF(Table15678[[#This Row],[Total Amount]]&gt;=1000,"High","Low")</f>
        <v>Low</v>
      </c>
      <c r="Q898" s="4" t="str" cm="1">
        <f t="array" ref="Q898">_xlfn.IFS(AND(Table15678[[#This Row],[Total Amount]]&gt;=1500,"Critical"),AND(Table15678[[#This Row],[Total Amount]]&gt;=1000,"High"),TRUE,"Normal")</f>
        <v>Normal</v>
      </c>
      <c r="R898" s="4" t="str">
        <f>CONCATENATE(Table15678[[#This Row],[Customer ID]], "-",Table15678[[#This Row],[Age]])</f>
        <v>CUST897-64</v>
      </c>
      <c r="S898" s="4" t="str">
        <f>TEXT(Table15678[[#This Row],[Date]],"mmm")</f>
        <v>Sep</v>
      </c>
      <c r="T898" s="4" t="str">
        <f>TEXT(Table15678[[#This Row],[Date]],"DDD")</f>
        <v>Tue</v>
      </c>
    </row>
    <row r="899" spans="1:20" ht="29" x14ac:dyDescent="0.35">
      <c r="A899" s="4">
        <v>898</v>
      </c>
      <c r="B899" s="5">
        <v>45232</v>
      </c>
      <c r="C899" s="4" t="s">
        <v>911</v>
      </c>
      <c r="D899" s="4" t="s">
        <v>13</v>
      </c>
      <c r="E899" s="4">
        <v>42</v>
      </c>
      <c r="F899" s="4" t="str">
        <f>IF(Table15678[[#This Row],[Age]]&lt;=19,"Teenager",IF(Table15678[[#This Row],[Age]]&lt;=40,"Median","Old"))</f>
        <v>Old</v>
      </c>
      <c r="G899" s="4" t="s">
        <v>14</v>
      </c>
      <c r="H899" s="4">
        <v>3</v>
      </c>
      <c r="I899" s="4">
        <v>30</v>
      </c>
      <c r="J899" s="4">
        <v>90</v>
      </c>
      <c r="K899" s="4" t="str" cm="1">
        <f t="array" ref="K899">_xlfn.IFS(AND(Table15678[[#This Row],[Total Amount]]&gt;=1500),"Critical",AND(Table15678[[#This Row],[Total Amount]]&gt;=1000),"High",TRUE,"Normal")</f>
        <v>Normal</v>
      </c>
      <c r="L899" s="4" t="str">
        <f>IF(Table15678[[#This Row],[Total Amount]]&gt;=1000,"High",(IF(Table15678[[#This Row],[Total Amount]]&gt;=500,"Medium","Low")))</f>
        <v>Low</v>
      </c>
      <c r="M899" s="4" t="str" cm="1">
        <f t="array" ref="M89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899" s="4" cm="1">
        <f t="array" ref="N89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</v>
      </c>
      <c r="O899" s="4">
        <f>Table15678[[#This Row],[Total Amount]]-Table15678[[#This Row],[Discount Amount]]</f>
        <v>72</v>
      </c>
      <c r="P899" s="4" t="str">
        <f>IF(Table15678[[#This Row],[Total Amount]]&gt;=1000,"High","Low")</f>
        <v>Low</v>
      </c>
      <c r="Q899" s="4" t="str" cm="1">
        <f t="array" ref="Q899">_xlfn.IFS(AND(Table15678[[#This Row],[Total Amount]]&gt;=1500,"Critical"),AND(Table15678[[#This Row],[Total Amount]]&gt;=1000,"High"),TRUE,"Normal")</f>
        <v>Normal</v>
      </c>
      <c r="R899" s="4" t="str">
        <f>CONCATENATE(Table15678[[#This Row],[Customer ID]], "-",Table15678[[#This Row],[Age]])</f>
        <v>CUST898-42</v>
      </c>
      <c r="S899" s="4" t="str">
        <f>TEXT(Table15678[[#This Row],[Date]],"mmm")</f>
        <v>Nov</v>
      </c>
      <c r="T899" s="4" t="str">
        <f>TEXT(Table15678[[#This Row],[Date]],"DDD")</f>
        <v>Thu</v>
      </c>
    </row>
    <row r="900" spans="1:20" ht="29" x14ac:dyDescent="0.35">
      <c r="A900" s="4">
        <v>899</v>
      </c>
      <c r="B900" s="5">
        <v>45071</v>
      </c>
      <c r="C900" s="4" t="s">
        <v>912</v>
      </c>
      <c r="D900" s="4" t="s">
        <v>10</v>
      </c>
      <c r="E900" s="4">
        <v>26</v>
      </c>
      <c r="F900" s="4" t="str">
        <f>IF(Table15678[[#This Row],[Age]]&lt;=19,"Teenager",IF(Table15678[[#This Row],[Age]]&lt;=40,"Median","Old"))</f>
        <v>Median</v>
      </c>
      <c r="G900" s="4" t="s">
        <v>14</v>
      </c>
      <c r="H900" s="4">
        <v>2</v>
      </c>
      <c r="I900" s="4">
        <v>300</v>
      </c>
      <c r="J900" s="4">
        <v>600</v>
      </c>
      <c r="K900" s="4" t="str" cm="1">
        <f t="array" ref="K900">_xlfn.IFS(AND(Table15678[[#This Row],[Total Amount]]&gt;=1500),"Critical",AND(Table15678[[#This Row],[Total Amount]]&gt;=1000),"High",TRUE,"Normal")</f>
        <v>Normal</v>
      </c>
      <c r="L900" s="4" t="str">
        <f>IF(Table15678[[#This Row],[Total Amount]]&gt;=1000,"High",(IF(Table15678[[#This Row],[Total Amount]]&gt;=500,"Medium","Low")))</f>
        <v>Medium</v>
      </c>
      <c r="M900" s="4" t="str" cm="1">
        <f t="array" ref="M90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00" s="4" cm="1">
        <f t="array" ref="N90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900" s="4">
        <f>Table15678[[#This Row],[Total Amount]]-Table15678[[#This Row],[Discount Amount]]</f>
        <v>510</v>
      </c>
      <c r="P900" s="4" t="str">
        <f>IF(Table15678[[#This Row],[Total Amount]]&gt;=1000,"High","Low")</f>
        <v>Low</v>
      </c>
      <c r="Q900" s="4" t="str" cm="1">
        <f t="array" ref="Q900">_xlfn.IFS(AND(Table15678[[#This Row],[Total Amount]]&gt;=1500,"Critical"),AND(Table15678[[#This Row],[Total Amount]]&gt;=1000,"High"),TRUE,"Normal")</f>
        <v>Normal</v>
      </c>
      <c r="R900" s="4" t="str">
        <f>CONCATENATE(Table15678[[#This Row],[Customer ID]], "-",Table15678[[#This Row],[Age]])</f>
        <v>CUST899-26</v>
      </c>
      <c r="S900" s="4" t="str">
        <f>TEXT(Table15678[[#This Row],[Date]],"mmm")</f>
        <v>May</v>
      </c>
      <c r="T900" s="4" t="str">
        <f>TEXT(Table15678[[#This Row],[Date]],"DDD")</f>
        <v>Thu</v>
      </c>
    </row>
    <row r="901" spans="1:20" ht="29" x14ac:dyDescent="0.35">
      <c r="A901" s="4">
        <v>900</v>
      </c>
      <c r="B901" s="5">
        <v>44978</v>
      </c>
      <c r="C901" s="4" t="s">
        <v>913</v>
      </c>
      <c r="D901" s="4" t="s">
        <v>10</v>
      </c>
      <c r="E901" s="4">
        <v>21</v>
      </c>
      <c r="F901" s="4" t="str">
        <f>IF(Table15678[[#This Row],[Age]]&lt;=19,"Teenager",IF(Table15678[[#This Row],[Age]]&lt;=40,"Median","Old"))</f>
        <v>Median</v>
      </c>
      <c r="G901" s="4" t="s">
        <v>14</v>
      </c>
      <c r="H901" s="4">
        <v>2</v>
      </c>
      <c r="I901" s="4">
        <v>30</v>
      </c>
      <c r="J901" s="4">
        <v>60</v>
      </c>
      <c r="K901" s="4" t="str" cm="1">
        <f t="array" ref="K901">_xlfn.IFS(AND(Table15678[[#This Row],[Total Amount]]&gt;=1500),"Critical",AND(Table15678[[#This Row],[Total Amount]]&gt;=1000),"High",TRUE,"Normal")</f>
        <v>Normal</v>
      </c>
      <c r="L901" s="4" t="str">
        <f>IF(Table15678[[#This Row],[Total Amount]]&gt;=1000,"High",(IF(Table15678[[#This Row],[Total Amount]]&gt;=500,"Medium","Low")))</f>
        <v>Low</v>
      </c>
      <c r="M901" s="4" t="str" cm="1">
        <f t="array" ref="M90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901" s="4" cm="1">
        <f t="array" ref="N90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901" s="4">
        <f>Table15678[[#This Row],[Total Amount]]-Table15678[[#This Row],[Discount Amount]]</f>
        <v>60</v>
      </c>
      <c r="P901" s="4" t="str">
        <f>IF(Table15678[[#This Row],[Total Amount]]&gt;=1000,"High","Low")</f>
        <v>Low</v>
      </c>
      <c r="Q901" s="4" t="str" cm="1">
        <f t="array" ref="Q901">_xlfn.IFS(AND(Table15678[[#This Row],[Total Amount]]&gt;=1500,"Critical"),AND(Table15678[[#This Row],[Total Amount]]&gt;=1000,"High"),TRUE,"Normal")</f>
        <v>Normal</v>
      </c>
      <c r="R901" s="4" t="str">
        <f>CONCATENATE(Table15678[[#This Row],[Customer ID]], "-",Table15678[[#This Row],[Age]])</f>
        <v>CUST900-21</v>
      </c>
      <c r="S901" s="4" t="str">
        <f>TEXT(Table15678[[#This Row],[Date]],"mmm")</f>
        <v>Feb</v>
      </c>
      <c r="T901" s="4" t="str">
        <f>TEXT(Table15678[[#This Row],[Date]],"DDD")</f>
        <v>Tue</v>
      </c>
    </row>
    <row r="902" spans="1:20" ht="29" x14ac:dyDescent="0.35">
      <c r="A902" s="4">
        <v>901</v>
      </c>
      <c r="B902" s="5">
        <v>45026</v>
      </c>
      <c r="C902" s="4" t="s">
        <v>914</v>
      </c>
      <c r="D902" s="4" t="s">
        <v>10</v>
      </c>
      <c r="E902" s="4">
        <v>31</v>
      </c>
      <c r="F902" s="4" t="str">
        <f>IF(Table15678[[#This Row],[Age]]&lt;=19,"Teenager",IF(Table15678[[#This Row],[Age]]&lt;=40,"Median","Old"))</f>
        <v>Median</v>
      </c>
      <c r="G902" s="4" t="s">
        <v>16</v>
      </c>
      <c r="H902" s="4">
        <v>1</v>
      </c>
      <c r="I902" s="4">
        <v>30</v>
      </c>
      <c r="J902" s="4">
        <v>30</v>
      </c>
      <c r="K902" s="4" t="str" cm="1">
        <f t="array" ref="K902">_xlfn.IFS(AND(Table15678[[#This Row],[Total Amount]]&gt;=1500),"Critical",AND(Table15678[[#This Row],[Total Amount]]&gt;=1000),"High",TRUE,"Normal")</f>
        <v>Normal</v>
      </c>
      <c r="L902" s="4" t="str">
        <f>IF(Table15678[[#This Row],[Total Amount]]&gt;=1000,"High",(IF(Table15678[[#This Row],[Total Amount]]&gt;=500,"Medium","Low")))</f>
        <v>Low</v>
      </c>
      <c r="M902" s="4" t="str" cm="1">
        <f t="array" ref="M90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02" s="4" cm="1">
        <f t="array" ref="N90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4.5</v>
      </c>
      <c r="O902" s="4">
        <f>Table15678[[#This Row],[Total Amount]]-Table15678[[#This Row],[Discount Amount]]</f>
        <v>25.5</v>
      </c>
      <c r="P902" s="4" t="str">
        <f>IF(Table15678[[#This Row],[Total Amount]]&gt;=1000,"High","Low")</f>
        <v>Low</v>
      </c>
      <c r="Q902" s="4" t="str" cm="1">
        <f t="array" ref="Q902">_xlfn.IFS(AND(Table15678[[#This Row],[Total Amount]]&gt;=1500,"Critical"),AND(Table15678[[#This Row],[Total Amount]]&gt;=1000,"High"),TRUE,"Normal")</f>
        <v>Normal</v>
      </c>
      <c r="R902" s="4" t="str">
        <f>CONCATENATE(Table15678[[#This Row],[Customer ID]], "-",Table15678[[#This Row],[Age]])</f>
        <v>CUST901-31</v>
      </c>
      <c r="S902" s="4" t="str">
        <f>TEXT(Table15678[[#This Row],[Date]],"mmm")</f>
        <v>Apr</v>
      </c>
      <c r="T902" s="4" t="str">
        <f>TEXT(Table15678[[#This Row],[Date]],"DDD")</f>
        <v>Mon</v>
      </c>
    </row>
    <row r="903" spans="1:20" ht="29" x14ac:dyDescent="0.35">
      <c r="A903" s="4">
        <v>902</v>
      </c>
      <c r="B903" s="5">
        <v>45078</v>
      </c>
      <c r="C903" s="4" t="s">
        <v>915</v>
      </c>
      <c r="D903" s="4" t="s">
        <v>13</v>
      </c>
      <c r="E903" s="4">
        <v>54</v>
      </c>
      <c r="F903" s="4" t="str">
        <f>IF(Table15678[[#This Row],[Age]]&lt;=19,"Teenager",IF(Table15678[[#This Row],[Age]]&lt;=40,"Median","Old"))</f>
        <v>Old</v>
      </c>
      <c r="G903" s="4" t="s">
        <v>11</v>
      </c>
      <c r="H903" s="4">
        <v>1</v>
      </c>
      <c r="I903" s="4">
        <v>50</v>
      </c>
      <c r="J903" s="4">
        <v>50</v>
      </c>
      <c r="K903" s="4" t="str" cm="1">
        <f t="array" ref="K903">_xlfn.IFS(AND(Table15678[[#This Row],[Total Amount]]&gt;=1500),"Critical",AND(Table15678[[#This Row],[Total Amount]]&gt;=1000),"High",TRUE,"Normal")</f>
        <v>Normal</v>
      </c>
      <c r="L903" s="4" t="str">
        <f>IF(Table15678[[#This Row],[Total Amount]]&gt;=1000,"High",(IF(Table15678[[#This Row],[Total Amount]]&gt;=500,"Medium","Low")))</f>
        <v>Low</v>
      </c>
      <c r="M903" s="4" t="str" cm="1">
        <f t="array" ref="M90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03" s="4" cm="1">
        <f t="array" ref="N90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903" s="4">
        <f>Table15678[[#This Row],[Total Amount]]-Table15678[[#This Row],[Discount Amount]]</f>
        <v>40</v>
      </c>
      <c r="P903" s="4" t="str">
        <f>IF(Table15678[[#This Row],[Total Amount]]&gt;=1000,"High","Low")</f>
        <v>Low</v>
      </c>
      <c r="Q903" s="4" t="str" cm="1">
        <f t="array" ref="Q903">_xlfn.IFS(AND(Table15678[[#This Row],[Total Amount]]&gt;=1500,"Critical"),AND(Table15678[[#This Row],[Total Amount]]&gt;=1000,"High"),TRUE,"Normal")</f>
        <v>Normal</v>
      </c>
      <c r="R903" s="4" t="str">
        <f>CONCATENATE(Table15678[[#This Row],[Customer ID]], "-",Table15678[[#This Row],[Age]])</f>
        <v>CUST902-54</v>
      </c>
      <c r="S903" s="4" t="str">
        <f>TEXT(Table15678[[#This Row],[Date]],"mmm")</f>
        <v>Jun</v>
      </c>
      <c r="T903" s="4" t="str">
        <f>TEXT(Table15678[[#This Row],[Date]],"DDD")</f>
        <v>Thu</v>
      </c>
    </row>
    <row r="904" spans="1:20" ht="29" x14ac:dyDescent="0.35">
      <c r="A904" s="4">
        <v>903</v>
      </c>
      <c r="B904" s="5">
        <v>45043</v>
      </c>
      <c r="C904" s="4" t="s">
        <v>916</v>
      </c>
      <c r="D904" s="4" t="s">
        <v>13</v>
      </c>
      <c r="E904" s="4">
        <v>51</v>
      </c>
      <c r="F904" s="4" t="str">
        <f>IF(Table15678[[#This Row],[Age]]&lt;=19,"Teenager",IF(Table15678[[#This Row],[Age]]&lt;=40,"Median","Old"))</f>
        <v>Old</v>
      </c>
      <c r="G904" s="4" t="s">
        <v>11</v>
      </c>
      <c r="H904" s="4">
        <v>4</v>
      </c>
      <c r="I904" s="4">
        <v>50</v>
      </c>
      <c r="J904" s="4">
        <v>200</v>
      </c>
      <c r="K904" s="4" t="str" cm="1">
        <f t="array" ref="K904">_xlfn.IFS(AND(Table15678[[#This Row],[Total Amount]]&gt;=1500),"Critical",AND(Table15678[[#This Row],[Total Amount]]&gt;=1000),"High",TRUE,"Normal")</f>
        <v>Normal</v>
      </c>
      <c r="L904" s="4" t="str">
        <f>IF(Table15678[[#This Row],[Total Amount]]&gt;=1000,"High",(IF(Table15678[[#This Row],[Total Amount]]&gt;=500,"Medium","Low")))</f>
        <v>Low</v>
      </c>
      <c r="M904" s="4" t="str" cm="1">
        <f t="array" ref="M90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04" s="4" cm="1">
        <f t="array" ref="N90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</v>
      </c>
      <c r="O904" s="4">
        <f>Table15678[[#This Row],[Total Amount]]-Table15678[[#This Row],[Discount Amount]]</f>
        <v>160</v>
      </c>
      <c r="P904" s="4" t="str">
        <f>IF(Table15678[[#This Row],[Total Amount]]&gt;=1000,"High","Low")</f>
        <v>Low</v>
      </c>
      <c r="Q904" s="4" t="str" cm="1">
        <f t="array" ref="Q904">_xlfn.IFS(AND(Table15678[[#This Row],[Total Amount]]&gt;=1500,"Critical"),AND(Table15678[[#This Row],[Total Amount]]&gt;=1000,"High"),TRUE,"Normal")</f>
        <v>Normal</v>
      </c>
      <c r="R904" s="4" t="str">
        <f>CONCATENATE(Table15678[[#This Row],[Customer ID]], "-",Table15678[[#This Row],[Age]])</f>
        <v>CUST903-51</v>
      </c>
      <c r="S904" s="4" t="str">
        <f>TEXT(Table15678[[#This Row],[Date]],"mmm")</f>
        <v>Apr</v>
      </c>
      <c r="T904" s="4" t="str">
        <f>TEXT(Table15678[[#This Row],[Date]],"DDD")</f>
        <v>Thu</v>
      </c>
    </row>
    <row r="905" spans="1:20" ht="29" x14ac:dyDescent="0.35">
      <c r="A905" s="4">
        <v>904</v>
      </c>
      <c r="B905" s="5">
        <v>45111</v>
      </c>
      <c r="C905" s="4" t="s">
        <v>917</v>
      </c>
      <c r="D905" s="4" t="s">
        <v>10</v>
      </c>
      <c r="E905" s="4">
        <v>28</v>
      </c>
      <c r="F905" s="4" t="str">
        <f>IF(Table15678[[#This Row],[Age]]&lt;=19,"Teenager",IF(Table15678[[#This Row],[Age]]&lt;=40,"Median","Old"))</f>
        <v>Median</v>
      </c>
      <c r="G905" s="4" t="s">
        <v>14</v>
      </c>
      <c r="H905" s="4">
        <v>1</v>
      </c>
      <c r="I905" s="4">
        <v>500</v>
      </c>
      <c r="J905" s="4">
        <v>500</v>
      </c>
      <c r="K905" s="4" t="str" cm="1">
        <f t="array" ref="K905">_xlfn.IFS(AND(Table15678[[#This Row],[Total Amount]]&gt;=1500),"Critical",AND(Table15678[[#This Row],[Total Amount]]&gt;=1000),"High",TRUE,"Normal")</f>
        <v>Normal</v>
      </c>
      <c r="L905" s="4" t="str">
        <f>IF(Table15678[[#This Row],[Total Amount]]&gt;=1000,"High",(IF(Table15678[[#This Row],[Total Amount]]&gt;=500,"Medium","Low")))</f>
        <v>Medium</v>
      </c>
      <c r="M905" s="4" t="str" cm="1">
        <f t="array" ref="M90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05" s="4" cm="1">
        <f t="array" ref="N90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75</v>
      </c>
      <c r="O905" s="4">
        <f>Table15678[[#This Row],[Total Amount]]-Table15678[[#This Row],[Discount Amount]]</f>
        <v>425</v>
      </c>
      <c r="P905" s="4" t="str">
        <f>IF(Table15678[[#This Row],[Total Amount]]&gt;=1000,"High","Low")</f>
        <v>Low</v>
      </c>
      <c r="Q905" s="4" t="str" cm="1">
        <f t="array" ref="Q905">_xlfn.IFS(AND(Table15678[[#This Row],[Total Amount]]&gt;=1500,"Critical"),AND(Table15678[[#This Row],[Total Amount]]&gt;=1000,"High"),TRUE,"Normal")</f>
        <v>Normal</v>
      </c>
      <c r="R905" s="4" t="str">
        <f>CONCATENATE(Table15678[[#This Row],[Customer ID]], "-",Table15678[[#This Row],[Age]])</f>
        <v>CUST904-28</v>
      </c>
      <c r="S905" s="4" t="str">
        <f>TEXT(Table15678[[#This Row],[Date]],"mmm")</f>
        <v>Jul</v>
      </c>
      <c r="T905" s="4" t="str">
        <f>TEXT(Table15678[[#This Row],[Date]],"DDD")</f>
        <v>Tue</v>
      </c>
    </row>
    <row r="906" spans="1:20" ht="29" x14ac:dyDescent="0.35">
      <c r="A906" s="4">
        <v>905</v>
      </c>
      <c r="B906" s="5">
        <v>45018</v>
      </c>
      <c r="C906" s="4" t="s">
        <v>918</v>
      </c>
      <c r="D906" s="4" t="s">
        <v>10</v>
      </c>
      <c r="E906" s="4">
        <v>58</v>
      </c>
      <c r="F906" s="4" t="str">
        <f>IF(Table15678[[#This Row],[Age]]&lt;=19,"Teenager",IF(Table15678[[#This Row],[Age]]&lt;=40,"Median","Old"))</f>
        <v>Old</v>
      </c>
      <c r="G906" s="4" t="s">
        <v>11</v>
      </c>
      <c r="H906" s="4">
        <v>1</v>
      </c>
      <c r="I906" s="4">
        <v>300</v>
      </c>
      <c r="J906" s="4">
        <v>300</v>
      </c>
      <c r="K906" s="4" t="str" cm="1">
        <f t="array" ref="K906">_xlfn.IFS(AND(Table15678[[#This Row],[Total Amount]]&gt;=1500),"Critical",AND(Table15678[[#This Row],[Total Amount]]&gt;=1000),"High",TRUE,"Normal")</f>
        <v>Normal</v>
      </c>
      <c r="L906" s="4" t="str">
        <f>IF(Table15678[[#This Row],[Total Amount]]&gt;=1000,"High",(IF(Table15678[[#This Row],[Total Amount]]&gt;=500,"Medium","Low")))</f>
        <v>Low</v>
      </c>
      <c r="M906" s="4" t="str" cm="1">
        <f t="array" ref="M90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06" s="4" cm="1">
        <f t="array" ref="N90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906" s="4">
        <f>Table15678[[#This Row],[Total Amount]]-Table15678[[#This Row],[Discount Amount]]</f>
        <v>270</v>
      </c>
      <c r="P906" s="4" t="str">
        <f>IF(Table15678[[#This Row],[Total Amount]]&gt;=1000,"High","Low")</f>
        <v>Low</v>
      </c>
      <c r="Q906" s="4" t="str" cm="1">
        <f t="array" ref="Q906">_xlfn.IFS(AND(Table15678[[#This Row],[Total Amount]]&gt;=1500,"Critical"),AND(Table15678[[#This Row],[Total Amount]]&gt;=1000,"High"),TRUE,"Normal")</f>
        <v>Normal</v>
      </c>
      <c r="R906" s="4" t="str">
        <f>CONCATENATE(Table15678[[#This Row],[Customer ID]], "-",Table15678[[#This Row],[Age]])</f>
        <v>CUST905-58</v>
      </c>
      <c r="S906" s="4" t="str">
        <f>TEXT(Table15678[[#This Row],[Date]],"mmm")</f>
        <v>Apr</v>
      </c>
      <c r="T906" s="4" t="str">
        <f>TEXT(Table15678[[#This Row],[Date]],"DDD")</f>
        <v>Sun</v>
      </c>
    </row>
    <row r="907" spans="1:20" ht="29" x14ac:dyDescent="0.35">
      <c r="A907" s="4">
        <v>906</v>
      </c>
      <c r="B907" s="5">
        <v>45081</v>
      </c>
      <c r="C907" s="4" t="s">
        <v>919</v>
      </c>
      <c r="D907" s="4" t="s">
        <v>13</v>
      </c>
      <c r="E907" s="4">
        <v>20</v>
      </c>
      <c r="F907" s="4" t="str">
        <f>IF(Table15678[[#This Row],[Age]]&lt;=19,"Teenager",IF(Table15678[[#This Row],[Age]]&lt;=40,"Median","Old"))</f>
        <v>Median</v>
      </c>
      <c r="G907" s="4" t="s">
        <v>14</v>
      </c>
      <c r="H907" s="4">
        <v>1</v>
      </c>
      <c r="I907" s="4">
        <v>50</v>
      </c>
      <c r="J907" s="4">
        <v>50</v>
      </c>
      <c r="K907" s="4" t="str" cm="1">
        <f t="array" ref="K907">_xlfn.IFS(AND(Table15678[[#This Row],[Total Amount]]&gt;=1500),"Critical",AND(Table15678[[#This Row],[Total Amount]]&gt;=1000),"High",TRUE,"Normal")</f>
        <v>Normal</v>
      </c>
      <c r="L907" s="4" t="str">
        <f>IF(Table15678[[#This Row],[Total Amount]]&gt;=1000,"High",(IF(Table15678[[#This Row],[Total Amount]]&gt;=500,"Medium","Low")))</f>
        <v>Low</v>
      </c>
      <c r="M907" s="4" t="str" cm="1">
        <f t="array" ref="M90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907" s="4" cm="1">
        <f t="array" ref="N90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907" s="4">
        <f>Table15678[[#This Row],[Total Amount]]-Table15678[[#This Row],[Discount Amount]]</f>
        <v>50</v>
      </c>
      <c r="P907" s="4" t="str">
        <f>IF(Table15678[[#This Row],[Total Amount]]&gt;=1000,"High","Low")</f>
        <v>Low</v>
      </c>
      <c r="Q907" s="4" t="str" cm="1">
        <f t="array" ref="Q907">_xlfn.IFS(AND(Table15678[[#This Row],[Total Amount]]&gt;=1500,"Critical"),AND(Table15678[[#This Row],[Total Amount]]&gt;=1000,"High"),TRUE,"Normal")</f>
        <v>Normal</v>
      </c>
      <c r="R907" s="4" t="str">
        <f>CONCATENATE(Table15678[[#This Row],[Customer ID]], "-",Table15678[[#This Row],[Age]])</f>
        <v>CUST906-20</v>
      </c>
      <c r="S907" s="4" t="str">
        <f>TEXT(Table15678[[#This Row],[Date]],"mmm")</f>
        <v>Jun</v>
      </c>
      <c r="T907" s="4" t="str">
        <f>TEXT(Table15678[[#This Row],[Date]],"DDD")</f>
        <v>Sun</v>
      </c>
    </row>
    <row r="908" spans="1:20" ht="29" x14ac:dyDescent="0.35">
      <c r="A908" s="4">
        <v>907</v>
      </c>
      <c r="B908" s="5">
        <v>44934</v>
      </c>
      <c r="C908" s="4" t="s">
        <v>920</v>
      </c>
      <c r="D908" s="4" t="s">
        <v>13</v>
      </c>
      <c r="E908" s="4">
        <v>45</v>
      </c>
      <c r="F908" s="4" t="str">
        <f>IF(Table15678[[#This Row],[Age]]&lt;=19,"Teenager",IF(Table15678[[#This Row],[Age]]&lt;=40,"Median","Old"))</f>
        <v>Old</v>
      </c>
      <c r="G908" s="4" t="s">
        <v>16</v>
      </c>
      <c r="H908" s="4">
        <v>1</v>
      </c>
      <c r="I908" s="4">
        <v>25</v>
      </c>
      <c r="J908" s="4">
        <v>25</v>
      </c>
      <c r="K908" s="4" t="str" cm="1">
        <f t="array" ref="K908">_xlfn.IFS(AND(Table15678[[#This Row],[Total Amount]]&gt;=1500),"Critical",AND(Table15678[[#This Row],[Total Amount]]&gt;=1000),"High",TRUE,"Normal")</f>
        <v>Normal</v>
      </c>
      <c r="L908" s="4" t="str">
        <f>IF(Table15678[[#This Row],[Total Amount]]&gt;=1000,"High",(IF(Table15678[[#This Row],[Total Amount]]&gt;=500,"Medium","Low")))</f>
        <v>Low</v>
      </c>
      <c r="M908" s="4" t="str" cm="1">
        <f t="array" ref="M90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08" s="4" cm="1">
        <f t="array" ref="N90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908" s="4">
        <f>Table15678[[#This Row],[Total Amount]]-Table15678[[#This Row],[Discount Amount]]</f>
        <v>20</v>
      </c>
      <c r="P908" s="4" t="str">
        <f>IF(Table15678[[#This Row],[Total Amount]]&gt;=1000,"High","Low")</f>
        <v>Low</v>
      </c>
      <c r="Q908" s="4" t="str" cm="1">
        <f t="array" ref="Q908">_xlfn.IFS(AND(Table15678[[#This Row],[Total Amount]]&gt;=1500,"Critical"),AND(Table15678[[#This Row],[Total Amount]]&gt;=1000,"High"),TRUE,"Normal")</f>
        <v>Normal</v>
      </c>
      <c r="R908" s="4" t="str">
        <f>CONCATENATE(Table15678[[#This Row],[Customer ID]], "-",Table15678[[#This Row],[Age]])</f>
        <v>CUST907-45</v>
      </c>
      <c r="S908" s="4" t="str">
        <f>TEXT(Table15678[[#This Row],[Date]],"mmm")</f>
        <v>Jan</v>
      </c>
      <c r="T908" s="4" t="str">
        <f>TEXT(Table15678[[#This Row],[Date]],"DDD")</f>
        <v>Sun</v>
      </c>
    </row>
    <row r="909" spans="1:20" ht="29" x14ac:dyDescent="0.35">
      <c r="A909" s="4">
        <v>908</v>
      </c>
      <c r="B909" s="5">
        <v>45289</v>
      </c>
      <c r="C909" s="4" t="s">
        <v>921</v>
      </c>
      <c r="D909" s="4" t="s">
        <v>10</v>
      </c>
      <c r="E909" s="4">
        <v>46</v>
      </c>
      <c r="F909" s="4" t="str">
        <f>IF(Table15678[[#This Row],[Age]]&lt;=19,"Teenager",IF(Table15678[[#This Row],[Age]]&lt;=40,"Median","Old"))</f>
        <v>Old</v>
      </c>
      <c r="G909" s="4" t="s">
        <v>11</v>
      </c>
      <c r="H909" s="4">
        <v>4</v>
      </c>
      <c r="I909" s="4">
        <v>300</v>
      </c>
      <c r="J909" s="4">
        <v>1200</v>
      </c>
      <c r="K909" s="4" t="str" cm="1">
        <f t="array" ref="K909">_xlfn.IFS(AND(Table15678[[#This Row],[Total Amount]]&gt;=1500),"Critical",AND(Table15678[[#This Row],[Total Amount]]&gt;=1000),"High",TRUE,"Normal")</f>
        <v>High</v>
      </c>
      <c r="L909" s="4" t="str">
        <f>IF(Table15678[[#This Row],[Total Amount]]&gt;=1000,"High",(IF(Table15678[[#This Row],[Total Amount]]&gt;=500,"Medium","Low")))</f>
        <v>High</v>
      </c>
      <c r="M909" s="4" t="str" cm="1">
        <f t="array" ref="M90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09" s="4" cm="1">
        <f t="array" ref="N90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120</v>
      </c>
      <c r="O909" s="4">
        <f>Table15678[[#This Row],[Total Amount]]-Table15678[[#This Row],[Discount Amount]]</f>
        <v>1080</v>
      </c>
      <c r="P909" s="4" t="str">
        <f>IF(Table15678[[#This Row],[Total Amount]]&gt;=1000,"High","Low")</f>
        <v>High</v>
      </c>
      <c r="Q909" s="4" t="str" cm="1">
        <f t="array" ref="Q909">_xlfn.IFS(AND(Table15678[[#This Row],[Total Amount]]&gt;=1500,"Critical"),AND(Table15678[[#This Row],[Total Amount]]&gt;=1000,"High"),TRUE,"Normal")</f>
        <v>Normal</v>
      </c>
      <c r="R909" s="4" t="str">
        <f>CONCATENATE(Table15678[[#This Row],[Customer ID]], "-",Table15678[[#This Row],[Age]])</f>
        <v>CUST908-46</v>
      </c>
      <c r="S909" s="4" t="str">
        <f>TEXT(Table15678[[#This Row],[Date]],"mmm")</f>
        <v>Dec</v>
      </c>
      <c r="T909" s="4" t="str">
        <f>TEXT(Table15678[[#This Row],[Date]],"DDD")</f>
        <v>Fri</v>
      </c>
    </row>
    <row r="910" spans="1:20" ht="29" x14ac:dyDescent="0.35">
      <c r="A910" s="4">
        <v>909</v>
      </c>
      <c r="B910" s="5">
        <v>45200</v>
      </c>
      <c r="C910" s="4" t="s">
        <v>922</v>
      </c>
      <c r="D910" s="4" t="s">
        <v>10</v>
      </c>
      <c r="E910" s="4">
        <v>26</v>
      </c>
      <c r="F910" s="4" t="str">
        <f>IF(Table15678[[#This Row],[Age]]&lt;=19,"Teenager",IF(Table15678[[#This Row],[Age]]&lt;=40,"Median","Old"))</f>
        <v>Median</v>
      </c>
      <c r="G910" s="4" t="s">
        <v>16</v>
      </c>
      <c r="H910" s="4">
        <v>1</v>
      </c>
      <c r="I910" s="4">
        <v>300</v>
      </c>
      <c r="J910" s="4">
        <v>300</v>
      </c>
      <c r="K910" s="4" t="str" cm="1">
        <f t="array" ref="K910">_xlfn.IFS(AND(Table15678[[#This Row],[Total Amount]]&gt;=1500),"Critical",AND(Table15678[[#This Row],[Total Amount]]&gt;=1000),"High",TRUE,"Normal")</f>
        <v>Normal</v>
      </c>
      <c r="L910" s="4" t="str">
        <f>IF(Table15678[[#This Row],[Total Amount]]&gt;=1000,"High",(IF(Table15678[[#This Row],[Total Amount]]&gt;=500,"Medium","Low")))</f>
        <v>Low</v>
      </c>
      <c r="M910" s="4" t="str" cm="1">
        <f t="array" ref="M91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10" s="4" cm="1">
        <f t="array" ref="N91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45</v>
      </c>
      <c r="O910" s="4">
        <f>Table15678[[#This Row],[Total Amount]]-Table15678[[#This Row],[Discount Amount]]</f>
        <v>255</v>
      </c>
      <c r="P910" s="4" t="str">
        <f>IF(Table15678[[#This Row],[Total Amount]]&gt;=1000,"High","Low")</f>
        <v>Low</v>
      </c>
      <c r="Q910" s="4" t="str" cm="1">
        <f t="array" ref="Q910">_xlfn.IFS(AND(Table15678[[#This Row],[Total Amount]]&gt;=1500,"Critical"),AND(Table15678[[#This Row],[Total Amount]]&gt;=1000,"High"),TRUE,"Normal")</f>
        <v>Normal</v>
      </c>
      <c r="R910" s="4" t="str">
        <f>CONCATENATE(Table15678[[#This Row],[Customer ID]], "-",Table15678[[#This Row],[Age]])</f>
        <v>CUST909-26</v>
      </c>
      <c r="S910" s="4" t="str">
        <f>TEXT(Table15678[[#This Row],[Date]],"mmm")</f>
        <v>Oct</v>
      </c>
      <c r="T910" s="4" t="str">
        <f>TEXT(Table15678[[#This Row],[Date]],"DDD")</f>
        <v>Sun</v>
      </c>
    </row>
    <row r="911" spans="1:20" ht="29" x14ac:dyDescent="0.35">
      <c r="A911" s="4">
        <v>910</v>
      </c>
      <c r="B911" s="5">
        <v>44991</v>
      </c>
      <c r="C911" s="4" t="s">
        <v>923</v>
      </c>
      <c r="D911" s="4" t="s">
        <v>13</v>
      </c>
      <c r="E911" s="4">
        <v>20</v>
      </c>
      <c r="F911" s="4" t="str">
        <f>IF(Table15678[[#This Row],[Age]]&lt;=19,"Teenager",IF(Table15678[[#This Row],[Age]]&lt;=40,"Median","Old"))</f>
        <v>Median</v>
      </c>
      <c r="G911" s="4" t="s">
        <v>11</v>
      </c>
      <c r="H911" s="4">
        <v>3</v>
      </c>
      <c r="I911" s="4">
        <v>50</v>
      </c>
      <c r="J911" s="4">
        <v>150</v>
      </c>
      <c r="K911" s="4" t="str" cm="1">
        <f t="array" ref="K911">_xlfn.IFS(AND(Table15678[[#This Row],[Total Amount]]&gt;=1500),"Critical",AND(Table15678[[#This Row],[Total Amount]]&gt;=1000),"High",TRUE,"Normal")</f>
        <v>Normal</v>
      </c>
      <c r="L911" s="4" t="str">
        <f>IF(Table15678[[#This Row],[Total Amount]]&gt;=1000,"High",(IF(Table15678[[#This Row],[Total Amount]]&gt;=500,"Medium","Low")))</f>
        <v>Low</v>
      </c>
      <c r="M911" s="4" t="str" cm="1">
        <f t="array" ref="M91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911" s="4" cm="1">
        <f t="array" ref="N91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911" s="4">
        <f>Table15678[[#This Row],[Total Amount]]-Table15678[[#This Row],[Discount Amount]]</f>
        <v>150</v>
      </c>
      <c r="P911" s="4" t="str">
        <f>IF(Table15678[[#This Row],[Total Amount]]&gt;=1000,"High","Low")</f>
        <v>Low</v>
      </c>
      <c r="Q911" s="4" t="str" cm="1">
        <f t="array" ref="Q911">_xlfn.IFS(AND(Table15678[[#This Row],[Total Amount]]&gt;=1500,"Critical"),AND(Table15678[[#This Row],[Total Amount]]&gt;=1000,"High"),TRUE,"Normal")</f>
        <v>Normal</v>
      </c>
      <c r="R911" s="4" t="str">
        <f>CONCATENATE(Table15678[[#This Row],[Customer ID]], "-",Table15678[[#This Row],[Age]])</f>
        <v>CUST910-20</v>
      </c>
      <c r="S911" s="4" t="str">
        <f>TEXT(Table15678[[#This Row],[Date]],"mmm")</f>
        <v>Mar</v>
      </c>
      <c r="T911" s="4" t="str">
        <f>TEXT(Table15678[[#This Row],[Date]],"DDD")</f>
        <v>Mon</v>
      </c>
    </row>
    <row r="912" spans="1:20" ht="29" x14ac:dyDescent="0.35">
      <c r="A912" s="4">
        <v>911</v>
      </c>
      <c r="B912" s="5">
        <v>45067</v>
      </c>
      <c r="C912" s="4" t="s">
        <v>924</v>
      </c>
      <c r="D912" s="4" t="s">
        <v>10</v>
      </c>
      <c r="E912" s="4">
        <v>42</v>
      </c>
      <c r="F912" s="4" t="str">
        <f>IF(Table15678[[#This Row],[Age]]&lt;=19,"Teenager",IF(Table15678[[#This Row],[Age]]&lt;=40,"Median","Old"))</f>
        <v>Old</v>
      </c>
      <c r="G912" s="4" t="s">
        <v>16</v>
      </c>
      <c r="H912" s="4">
        <v>3</v>
      </c>
      <c r="I912" s="4">
        <v>300</v>
      </c>
      <c r="J912" s="4">
        <v>900</v>
      </c>
      <c r="K912" s="4" t="str" cm="1">
        <f t="array" ref="K912">_xlfn.IFS(AND(Table15678[[#This Row],[Total Amount]]&gt;=1500),"Critical",AND(Table15678[[#This Row],[Total Amount]]&gt;=1000),"High",TRUE,"Normal")</f>
        <v>Normal</v>
      </c>
      <c r="L912" s="4" t="str">
        <f>IF(Table15678[[#This Row],[Total Amount]]&gt;=1000,"High",(IF(Table15678[[#This Row],[Total Amount]]&gt;=500,"Medium","Low")))</f>
        <v>Medium</v>
      </c>
      <c r="M912" s="4" t="str" cm="1">
        <f t="array" ref="M91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12" s="4" cm="1">
        <f t="array" ref="N91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912" s="4">
        <f>Table15678[[#This Row],[Total Amount]]-Table15678[[#This Row],[Discount Amount]]</f>
        <v>810</v>
      </c>
      <c r="P912" s="4" t="str">
        <f>IF(Table15678[[#This Row],[Total Amount]]&gt;=1000,"High","Low")</f>
        <v>Low</v>
      </c>
      <c r="Q912" s="4" t="str" cm="1">
        <f t="array" ref="Q912">_xlfn.IFS(AND(Table15678[[#This Row],[Total Amount]]&gt;=1500,"Critical"),AND(Table15678[[#This Row],[Total Amount]]&gt;=1000,"High"),TRUE,"Normal")</f>
        <v>Normal</v>
      </c>
      <c r="R912" s="4" t="str">
        <f>CONCATENATE(Table15678[[#This Row],[Customer ID]], "-",Table15678[[#This Row],[Age]])</f>
        <v>CUST911-42</v>
      </c>
      <c r="S912" s="4" t="str">
        <f>TEXT(Table15678[[#This Row],[Date]],"mmm")</f>
        <v>May</v>
      </c>
      <c r="T912" s="4" t="str">
        <f>TEXT(Table15678[[#This Row],[Date]],"DDD")</f>
        <v>Sun</v>
      </c>
    </row>
    <row r="913" spans="1:20" ht="29" x14ac:dyDescent="0.35">
      <c r="A913" s="4">
        <v>912</v>
      </c>
      <c r="B913" s="5">
        <v>44950</v>
      </c>
      <c r="C913" s="4" t="s">
        <v>925</v>
      </c>
      <c r="D913" s="4" t="s">
        <v>10</v>
      </c>
      <c r="E913" s="4">
        <v>51</v>
      </c>
      <c r="F913" s="4" t="str">
        <f>IF(Table15678[[#This Row],[Age]]&lt;=19,"Teenager",IF(Table15678[[#This Row],[Age]]&lt;=40,"Median","Old"))</f>
        <v>Old</v>
      </c>
      <c r="G913" s="4" t="s">
        <v>11</v>
      </c>
      <c r="H913" s="4">
        <v>3</v>
      </c>
      <c r="I913" s="4">
        <v>50</v>
      </c>
      <c r="J913" s="4">
        <v>150</v>
      </c>
      <c r="K913" s="4" t="str" cm="1">
        <f t="array" ref="K913">_xlfn.IFS(AND(Table15678[[#This Row],[Total Amount]]&gt;=1500),"Critical",AND(Table15678[[#This Row],[Total Amount]]&gt;=1000),"High",TRUE,"Normal")</f>
        <v>Normal</v>
      </c>
      <c r="L913" s="4" t="str">
        <f>IF(Table15678[[#This Row],[Total Amount]]&gt;=1000,"High",(IF(Table15678[[#This Row],[Total Amount]]&gt;=500,"Medium","Low")))</f>
        <v>Low</v>
      </c>
      <c r="M913" s="4" t="str" cm="1">
        <f t="array" ref="M91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13" s="4" cm="1">
        <f t="array" ref="N91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913" s="4">
        <f>Table15678[[#This Row],[Total Amount]]-Table15678[[#This Row],[Discount Amount]]</f>
        <v>135</v>
      </c>
      <c r="P913" s="4" t="str">
        <f>IF(Table15678[[#This Row],[Total Amount]]&gt;=1000,"High","Low")</f>
        <v>Low</v>
      </c>
      <c r="Q913" s="4" t="str" cm="1">
        <f t="array" ref="Q913">_xlfn.IFS(AND(Table15678[[#This Row],[Total Amount]]&gt;=1500,"Critical"),AND(Table15678[[#This Row],[Total Amount]]&gt;=1000,"High"),TRUE,"Normal")</f>
        <v>Normal</v>
      </c>
      <c r="R913" s="4" t="str">
        <f>CONCATENATE(Table15678[[#This Row],[Customer ID]], "-",Table15678[[#This Row],[Age]])</f>
        <v>CUST912-51</v>
      </c>
      <c r="S913" s="4" t="str">
        <f>TEXT(Table15678[[#This Row],[Date]],"mmm")</f>
        <v>Jan</v>
      </c>
      <c r="T913" s="4" t="str">
        <f>TEXT(Table15678[[#This Row],[Date]],"DDD")</f>
        <v>Tue</v>
      </c>
    </row>
    <row r="914" spans="1:20" ht="29" x14ac:dyDescent="0.35">
      <c r="A914" s="4">
        <v>913</v>
      </c>
      <c r="B914" s="5">
        <v>44954</v>
      </c>
      <c r="C914" s="4" t="s">
        <v>926</v>
      </c>
      <c r="D914" s="4" t="s">
        <v>10</v>
      </c>
      <c r="E914" s="4">
        <v>29</v>
      </c>
      <c r="F914" s="4" t="str">
        <f>IF(Table15678[[#This Row],[Age]]&lt;=19,"Teenager",IF(Table15678[[#This Row],[Age]]&lt;=40,"Median","Old"))</f>
        <v>Median</v>
      </c>
      <c r="G914" s="4" t="s">
        <v>16</v>
      </c>
      <c r="H914" s="4">
        <v>3</v>
      </c>
      <c r="I914" s="4">
        <v>30</v>
      </c>
      <c r="J914" s="4">
        <v>90</v>
      </c>
      <c r="K914" s="4" t="str" cm="1">
        <f t="array" ref="K914">_xlfn.IFS(AND(Table15678[[#This Row],[Total Amount]]&gt;=1500),"Critical",AND(Table15678[[#This Row],[Total Amount]]&gt;=1000),"High",TRUE,"Normal")</f>
        <v>Normal</v>
      </c>
      <c r="L914" s="4" t="str">
        <f>IF(Table15678[[#This Row],[Total Amount]]&gt;=1000,"High",(IF(Table15678[[#This Row],[Total Amount]]&gt;=500,"Medium","Low")))</f>
        <v>Low</v>
      </c>
      <c r="M914" s="4" t="str" cm="1">
        <f t="array" ref="M91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14" s="4" cm="1">
        <f t="array" ref="N91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13.5</v>
      </c>
      <c r="O914" s="4">
        <f>Table15678[[#This Row],[Total Amount]]-Table15678[[#This Row],[Discount Amount]]</f>
        <v>76.5</v>
      </c>
      <c r="P914" s="4" t="str">
        <f>IF(Table15678[[#This Row],[Total Amount]]&gt;=1000,"High","Low")</f>
        <v>Low</v>
      </c>
      <c r="Q914" s="4" t="str" cm="1">
        <f t="array" ref="Q914">_xlfn.IFS(AND(Table15678[[#This Row],[Total Amount]]&gt;=1500,"Critical"),AND(Table15678[[#This Row],[Total Amount]]&gt;=1000,"High"),TRUE,"Normal")</f>
        <v>Normal</v>
      </c>
      <c r="R914" s="4" t="str">
        <f>CONCATENATE(Table15678[[#This Row],[Customer ID]], "-",Table15678[[#This Row],[Age]])</f>
        <v>CUST913-29</v>
      </c>
      <c r="S914" s="4" t="str">
        <f>TEXT(Table15678[[#This Row],[Date]],"mmm")</f>
        <v>Jan</v>
      </c>
      <c r="T914" s="4" t="str">
        <f>TEXT(Table15678[[#This Row],[Date]],"DDD")</f>
        <v>Sat</v>
      </c>
    </row>
    <row r="915" spans="1:20" ht="29" x14ac:dyDescent="0.35">
      <c r="A915" s="4">
        <v>914</v>
      </c>
      <c r="B915" s="5">
        <v>45210</v>
      </c>
      <c r="C915" s="4" t="s">
        <v>927</v>
      </c>
      <c r="D915" s="4" t="s">
        <v>13</v>
      </c>
      <c r="E915" s="4">
        <v>59</v>
      </c>
      <c r="F915" s="4" t="str">
        <f>IF(Table15678[[#This Row],[Age]]&lt;=19,"Teenager",IF(Table15678[[#This Row],[Age]]&lt;=40,"Median","Old"))</f>
        <v>Old</v>
      </c>
      <c r="G915" s="4" t="s">
        <v>16</v>
      </c>
      <c r="H915" s="4">
        <v>1</v>
      </c>
      <c r="I915" s="4">
        <v>500</v>
      </c>
      <c r="J915" s="4">
        <v>500</v>
      </c>
      <c r="K915" s="4" t="str" cm="1">
        <f t="array" ref="K915">_xlfn.IFS(AND(Table15678[[#This Row],[Total Amount]]&gt;=1500),"Critical",AND(Table15678[[#This Row],[Total Amount]]&gt;=1000),"High",TRUE,"Normal")</f>
        <v>Normal</v>
      </c>
      <c r="L915" s="4" t="str">
        <f>IF(Table15678[[#This Row],[Total Amount]]&gt;=1000,"High",(IF(Table15678[[#This Row],[Total Amount]]&gt;=500,"Medium","Low")))</f>
        <v>Medium</v>
      </c>
      <c r="M915" s="4" t="str" cm="1">
        <f t="array" ref="M91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15" s="4" cm="1">
        <f t="array" ref="N91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915" s="4">
        <f>Table15678[[#This Row],[Total Amount]]-Table15678[[#This Row],[Discount Amount]]</f>
        <v>400</v>
      </c>
      <c r="P915" s="4" t="str">
        <f>IF(Table15678[[#This Row],[Total Amount]]&gt;=1000,"High","Low")</f>
        <v>Low</v>
      </c>
      <c r="Q915" s="4" t="str" cm="1">
        <f t="array" ref="Q915">_xlfn.IFS(AND(Table15678[[#This Row],[Total Amount]]&gt;=1500,"Critical"),AND(Table15678[[#This Row],[Total Amount]]&gt;=1000,"High"),TRUE,"Normal")</f>
        <v>Normal</v>
      </c>
      <c r="R915" s="4" t="str">
        <f>CONCATENATE(Table15678[[#This Row],[Customer ID]], "-",Table15678[[#This Row],[Age]])</f>
        <v>CUST914-59</v>
      </c>
      <c r="S915" s="4" t="str">
        <f>TEXT(Table15678[[#This Row],[Date]],"mmm")</f>
        <v>Oct</v>
      </c>
      <c r="T915" s="4" t="str">
        <f>TEXT(Table15678[[#This Row],[Date]],"DDD")</f>
        <v>Wed</v>
      </c>
    </row>
    <row r="916" spans="1:20" ht="29" x14ac:dyDescent="0.35">
      <c r="A916" s="4">
        <v>915</v>
      </c>
      <c r="B916" s="5">
        <v>45076</v>
      </c>
      <c r="C916" s="4" t="s">
        <v>928</v>
      </c>
      <c r="D916" s="4" t="s">
        <v>13</v>
      </c>
      <c r="E916" s="4">
        <v>26</v>
      </c>
      <c r="F916" s="4" t="str">
        <f>IF(Table15678[[#This Row],[Age]]&lt;=19,"Teenager",IF(Table15678[[#This Row],[Age]]&lt;=40,"Median","Old"))</f>
        <v>Median</v>
      </c>
      <c r="G916" s="4" t="s">
        <v>11</v>
      </c>
      <c r="H916" s="4">
        <v>3</v>
      </c>
      <c r="I916" s="4">
        <v>30</v>
      </c>
      <c r="J916" s="4">
        <v>90</v>
      </c>
      <c r="K916" s="4" t="str" cm="1">
        <f t="array" ref="K916">_xlfn.IFS(AND(Table15678[[#This Row],[Total Amount]]&gt;=1500),"Critical",AND(Table15678[[#This Row],[Total Amount]]&gt;=1000),"High",TRUE,"Normal")</f>
        <v>Normal</v>
      </c>
      <c r="L916" s="4" t="str">
        <f>IF(Table15678[[#This Row],[Total Amount]]&gt;=1000,"High",(IF(Table15678[[#This Row],[Total Amount]]&gt;=500,"Medium","Low")))</f>
        <v>Low</v>
      </c>
      <c r="M916" s="4" t="str" cm="1">
        <f t="array" ref="M91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16" s="4" cm="1">
        <f t="array" ref="N91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13.5</v>
      </c>
      <c r="O916" s="4">
        <f>Table15678[[#This Row],[Total Amount]]-Table15678[[#This Row],[Discount Amount]]</f>
        <v>76.5</v>
      </c>
      <c r="P916" s="4" t="str">
        <f>IF(Table15678[[#This Row],[Total Amount]]&gt;=1000,"High","Low")</f>
        <v>Low</v>
      </c>
      <c r="Q916" s="4" t="str" cm="1">
        <f t="array" ref="Q916">_xlfn.IFS(AND(Table15678[[#This Row],[Total Amount]]&gt;=1500,"Critical"),AND(Table15678[[#This Row],[Total Amount]]&gt;=1000,"High"),TRUE,"Normal")</f>
        <v>Normal</v>
      </c>
      <c r="R916" s="4" t="str">
        <f>CONCATENATE(Table15678[[#This Row],[Customer ID]], "-",Table15678[[#This Row],[Age]])</f>
        <v>CUST915-26</v>
      </c>
      <c r="S916" s="4" t="str">
        <f>TEXT(Table15678[[#This Row],[Date]],"mmm")</f>
        <v>May</v>
      </c>
      <c r="T916" s="4" t="str">
        <f>TEXT(Table15678[[#This Row],[Date]],"DDD")</f>
        <v>Tue</v>
      </c>
    </row>
    <row r="917" spans="1:20" ht="29" x14ac:dyDescent="0.35">
      <c r="A917" s="4">
        <v>916</v>
      </c>
      <c r="B917" s="5">
        <v>45284</v>
      </c>
      <c r="C917" s="4" t="s">
        <v>929</v>
      </c>
      <c r="D917" s="4" t="s">
        <v>13</v>
      </c>
      <c r="E917" s="4">
        <v>32</v>
      </c>
      <c r="F917" s="4" t="str">
        <f>IF(Table15678[[#This Row],[Age]]&lt;=19,"Teenager",IF(Table15678[[#This Row],[Age]]&lt;=40,"Median","Old"))</f>
        <v>Median</v>
      </c>
      <c r="G917" s="4" t="s">
        <v>16</v>
      </c>
      <c r="H917" s="4">
        <v>1</v>
      </c>
      <c r="I917" s="4">
        <v>50</v>
      </c>
      <c r="J917" s="4">
        <v>50</v>
      </c>
      <c r="K917" s="4" t="str" cm="1">
        <f t="array" ref="K917">_xlfn.IFS(AND(Table15678[[#This Row],[Total Amount]]&gt;=1500),"Critical",AND(Table15678[[#This Row],[Total Amount]]&gt;=1000),"High",TRUE,"Normal")</f>
        <v>Normal</v>
      </c>
      <c r="L917" s="4" t="str">
        <f>IF(Table15678[[#This Row],[Total Amount]]&gt;=1000,"High",(IF(Table15678[[#This Row],[Total Amount]]&gt;=500,"Medium","Low")))</f>
        <v>Low</v>
      </c>
      <c r="M917" s="4" t="str" cm="1">
        <f t="array" ref="M91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17" s="4" cm="1">
        <f t="array" ref="N91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917" s="4">
        <f>Table15678[[#This Row],[Total Amount]]-Table15678[[#This Row],[Discount Amount]]</f>
        <v>42.5</v>
      </c>
      <c r="P917" s="4" t="str">
        <f>IF(Table15678[[#This Row],[Total Amount]]&gt;=1000,"High","Low")</f>
        <v>Low</v>
      </c>
      <c r="Q917" s="4" t="str" cm="1">
        <f t="array" ref="Q917">_xlfn.IFS(AND(Table15678[[#This Row],[Total Amount]]&gt;=1500,"Critical"),AND(Table15678[[#This Row],[Total Amount]]&gt;=1000,"High"),TRUE,"Normal")</f>
        <v>Normal</v>
      </c>
      <c r="R917" s="4" t="str">
        <f>CONCATENATE(Table15678[[#This Row],[Customer ID]], "-",Table15678[[#This Row],[Age]])</f>
        <v>CUST916-32</v>
      </c>
      <c r="S917" s="4" t="str">
        <f>TEXT(Table15678[[#This Row],[Date]],"mmm")</f>
        <v>Dec</v>
      </c>
      <c r="T917" s="4" t="str">
        <f>TEXT(Table15678[[#This Row],[Date]],"DDD")</f>
        <v>Sun</v>
      </c>
    </row>
    <row r="918" spans="1:20" ht="29" x14ac:dyDescent="0.35">
      <c r="A918" s="4">
        <v>917</v>
      </c>
      <c r="B918" s="5">
        <v>44991</v>
      </c>
      <c r="C918" s="4" t="s">
        <v>930</v>
      </c>
      <c r="D918" s="4" t="s">
        <v>13</v>
      </c>
      <c r="E918" s="4">
        <v>57</v>
      </c>
      <c r="F918" s="4" t="str">
        <f>IF(Table15678[[#This Row],[Age]]&lt;=19,"Teenager",IF(Table15678[[#This Row],[Age]]&lt;=40,"Median","Old"))</f>
        <v>Old</v>
      </c>
      <c r="G918" s="4" t="s">
        <v>16</v>
      </c>
      <c r="H918" s="4">
        <v>4</v>
      </c>
      <c r="I918" s="4">
        <v>50</v>
      </c>
      <c r="J918" s="4">
        <v>200</v>
      </c>
      <c r="K918" s="4" t="str" cm="1">
        <f t="array" ref="K918">_xlfn.IFS(AND(Table15678[[#This Row],[Total Amount]]&gt;=1500),"Critical",AND(Table15678[[#This Row],[Total Amount]]&gt;=1000),"High",TRUE,"Normal")</f>
        <v>Normal</v>
      </c>
      <c r="L918" s="4" t="str">
        <f>IF(Table15678[[#This Row],[Total Amount]]&gt;=1000,"High",(IF(Table15678[[#This Row],[Total Amount]]&gt;=500,"Medium","Low")))</f>
        <v>Low</v>
      </c>
      <c r="M918" s="4" t="str" cm="1">
        <f t="array" ref="M91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18" s="4" cm="1">
        <f t="array" ref="N91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</v>
      </c>
      <c r="O918" s="4">
        <f>Table15678[[#This Row],[Total Amount]]-Table15678[[#This Row],[Discount Amount]]</f>
        <v>160</v>
      </c>
      <c r="P918" s="4" t="str">
        <f>IF(Table15678[[#This Row],[Total Amount]]&gt;=1000,"High","Low")</f>
        <v>Low</v>
      </c>
      <c r="Q918" s="4" t="str" cm="1">
        <f t="array" ref="Q918">_xlfn.IFS(AND(Table15678[[#This Row],[Total Amount]]&gt;=1500,"Critical"),AND(Table15678[[#This Row],[Total Amount]]&gt;=1000,"High"),TRUE,"Normal")</f>
        <v>Normal</v>
      </c>
      <c r="R918" s="4" t="str">
        <f>CONCATENATE(Table15678[[#This Row],[Customer ID]], "-",Table15678[[#This Row],[Age]])</f>
        <v>CUST917-57</v>
      </c>
      <c r="S918" s="4" t="str">
        <f>TEXT(Table15678[[#This Row],[Date]],"mmm")</f>
        <v>Mar</v>
      </c>
      <c r="T918" s="4" t="str">
        <f>TEXT(Table15678[[#This Row],[Date]],"DDD")</f>
        <v>Mon</v>
      </c>
    </row>
    <row r="919" spans="1:20" ht="29" x14ac:dyDescent="0.35">
      <c r="A919" s="4">
        <v>918</v>
      </c>
      <c r="B919" s="5">
        <v>45253</v>
      </c>
      <c r="C919" s="4" t="s">
        <v>931</v>
      </c>
      <c r="D919" s="4" t="s">
        <v>13</v>
      </c>
      <c r="E919" s="4">
        <v>42</v>
      </c>
      <c r="F919" s="4" t="str">
        <f>IF(Table15678[[#This Row],[Age]]&lt;=19,"Teenager",IF(Table15678[[#This Row],[Age]]&lt;=40,"Median","Old"))</f>
        <v>Old</v>
      </c>
      <c r="G919" s="4" t="s">
        <v>16</v>
      </c>
      <c r="H919" s="4">
        <v>3</v>
      </c>
      <c r="I919" s="4">
        <v>30</v>
      </c>
      <c r="J919" s="4">
        <v>90</v>
      </c>
      <c r="K919" s="4" t="str" cm="1">
        <f t="array" ref="K919">_xlfn.IFS(AND(Table15678[[#This Row],[Total Amount]]&gt;=1500),"Critical",AND(Table15678[[#This Row],[Total Amount]]&gt;=1000),"High",TRUE,"Normal")</f>
        <v>Normal</v>
      </c>
      <c r="L919" s="4" t="str">
        <f>IF(Table15678[[#This Row],[Total Amount]]&gt;=1000,"High",(IF(Table15678[[#This Row],[Total Amount]]&gt;=500,"Medium","Low")))</f>
        <v>Low</v>
      </c>
      <c r="M919" s="4" t="str" cm="1">
        <f t="array" ref="M91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19" s="4" cm="1">
        <f t="array" ref="N91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</v>
      </c>
      <c r="O919" s="4">
        <f>Table15678[[#This Row],[Total Amount]]-Table15678[[#This Row],[Discount Amount]]</f>
        <v>72</v>
      </c>
      <c r="P919" s="4" t="str">
        <f>IF(Table15678[[#This Row],[Total Amount]]&gt;=1000,"High","Low")</f>
        <v>Low</v>
      </c>
      <c r="Q919" s="4" t="str" cm="1">
        <f t="array" ref="Q919">_xlfn.IFS(AND(Table15678[[#This Row],[Total Amount]]&gt;=1500,"Critical"),AND(Table15678[[#This Row],[Total Amount]]&gt;=1000,"High"),TRUE,"Normal")</f>
        <v>Normal</v>
      </c>
      <c r="R919" s="4" t="str">
        <f>CONCATENATE(Table15678[[#This Row],[Customer ID]], "-",Table15678[[#This Row],[Age]])</f>
        <v>CUST918-42</v>
      </c>
      <c r="S919" s="4" t="str">
        <f>TEXT(Table15678[[#This Row],[Date]],"mmm")</f>
        <v>Nov</v>
      </c>
      <c r="T919" s="4" t="str">
        <f>TEXT(Table15678[[#This Row],[Date]],"DDD")</f>
        <v>Thu</v>
      </c>
    </row>
    <row r="920" spans="1:20" ht="29" x14ac:dyDescent="0.35">
      <c r="A920" s="4">
        <v>919</v>
      </c>
      <c r="B920" s="5">
        <v>45178</v>
      </c>
      <c r="C920" s="4" t="s">
        <v>932</v>
      </c>
      <c r="D920" s="4" t="s">
        <v>13</v>
      </c>
      <c r="E920" s="4">
        <v>22</v>
      </c>
      <c r="F920" s="4" t="str">
        <f>IF(Table15678[[#This Row],[Age]]&lt;=19,"Teenager",IF(Table15678[[#This Row],[Age]]&lt;=40,"Median","Old"))</f>
        <v>Median</v>
      </c>
      <c r="G920" s="4" t="s">
        <v>11</v>
      </c>
      <c r="H920" s="4">
        <v>2</v>
      </c>
      <c r="I920" s="4">
        <v>25</v>
      </c>
      <c r="J920" s="4">
        <v>50</v>
      </c>
      <c r="K920" s="4" t="str" cm="1">
        <f t="array" ref="K920">_xlfn.IFS(AND(Table15678[[#This Row],[Total Amount]]&gt;=1500),"Critical",AND(Table15678[[#This Row],[Total Amount]]&gt;=1000),"High",TRUE,"Normal")</f>
        <v>Normal</v>
      </c>
      <c r="L920" s="4" t="str">
        <f>IF(Table15678[[#This Row],[Total Amount]]&gt;=1000,"High",(IF(Table15678[[#This Row],[Total Amount]]&gt;=500,"Medium","Low")))</f>
        <v>Low</v>
      </c>
      <c r="M920" s="4" t="str" cm="1">
        <f t="array" ref="M92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920" s="4" cm="1">
        <f t="array" ref="N92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920" s="4">
        <f>Table15678[[#This Row],[Total Amount]]-Table15678[[#This Row],[Discount Amount]]</f>
        <v>50</v>
      </c>
      <c r="P920" s="4" t="str">
        <f>IF(Table15678[[#This Row],[Total Amount]]&gt;=1000,"High","Low")</f>
        <v>Low</v>
      </c>
      <c r="Q920" s="4" t="str" cm="1">
        <f t="array" ref="Q920">_xlfn.IFS(AND(Table15678[[#This Row],[Total Amount]]&gt;=1500,"Critical"),AND(Table15678[[#This Row],[Total Amount]]&gt;=1000,"High"),TRUE,"Normal")</f>
        <v>Normal</v>
      </c>
      <c r="R920" s="4" t="str">
        <f>CONCATENATE(Table15678[[#This Row],[Customer ID]], "-",Table15678[[#This Row],[Age]])</f>
        <v>CUST919-22</v>
      </c>
      <c r="S920" s="4" t="str">
        <f>TEXT(Table15678[[#This Row],[Date]],"mmm")</f>
        <v>Sep</v>
      </c>
      <c r="T920" s="4" t="str">
        <f>TEXT(Table15678[[#This Row],[Date]],"DDD")</f>
        <v>Sat</v>
      </c>
    </row>
    <row r="921" spans="1:20" ht="29" x14ac:dyDescent="0.35">
      <c r="A921" s="4">
        <v>920</v>
      </c>
      <c r="B921" s="5">
        <v>44979</v>
      </c>
      <c r="C921" s="4" t="s">
        <v>933</v>
      </c>
      <c r="D921" s="4" t="s">
        <v>13</v>
      </c>
      <c r="E921" s="4">
        <v>28</v>
      </c>
      <c r="F921" s="4" t="str">
        <f>IF(Table15678[[#This Row],[Age]]&lt;=19,"Teenager",IF(Table15678[[#This Row],[Age]]&lt;=40,"Median","Old"))</f>
        <v>Median</v>
      </c>
      <c r="G921" s="4" t="s">
        <v>11</v>
      </c>
      <c r="H921" s="4">
        <v>3</v>
      </c>
      <c r="I921" s="4">
        <v>25</v>
      </c>
      <c r="J921" s="4">
        <v>75</v>
      </c>
      <c r="K921" s="4" t="str" cm="1">
        <f t="array" ref="K921">_xlfn.IFS(AND(Table15678[[#This Row],[Total Amount]]&gt;=1500),"Critical",AND(Table15678[[#This Row],[Total Amount]]&gt;=1000),"High",TRUE,"Normal")</f>
        <v>Normal</v>
      </c>
      <c r="L921" s="4" t="str">
        <f>IF(Table15678[[#This Row],[Total Amount]]&gt;=1000,"High",(IF(Table15678[[#This Row],[Total Amount]]&gt;=500,"Medium","Low")))</f>
        <v>Low</v>
      </c>
      <c r="M921" s="4" t="str" cm="1">
        <f t="array" ref="M92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21" s="4" cm="1">
        <f t="array" ref="N92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11.25</v>
      </c>
      <c r="O921" s="4">
        <f>Table15678[[#This Row],[Total Amount]]-Table15678[[#This Row],[Discount Amount]]</f>
        <v>63.75</v>
      </c>
      <c r="P921" s="4" t="str">
        <f>IF(Table15678[[#This Row],[Total Amount]]&gt;=1000,"High","Low")</f>
        <v>Low</v>
      </c>
      <c r="Q921" s="4" t="str" cm="1">
        <f t="array" ref="Q921">_xlfn.IFS(AND(Table15678[[#This Row],[Total Amount]]&gt;=1500,"Critical"),AND(Table15678[[#This Row],[Total Amount]]&gt;=1000,"High"),TRUE,"Normal")</f>
        <v>Normal</v>
      </c>
      <c r="R921" s="4" t="str">
        <f>CONCATENATE(Table15678[[#This Row],[Customer ID]], "-",Table15678[[#This Row],[Age]])</f>
        <v>CUST920-28</v>
      </c>
      <c r="S921" s="4" t="str">
        <f>TEXT(Table15678[[#This Row],[Date]],"mmm")</f>
        <v>Feb</v>
      </c>
      <c r="T921" s="4" t="str">
        <f>TEXT(Table15678[[#This Row],[Date]],"DDD")</f>
        <v>Wed</v>
      </c>
    </row>
    <row r="922" spans="1:20" ht="29" x14ac:dyDescent="0.35">
      <c r="A922" s="4">
        <v>921</v>
      </c>
      <c r="B922" s="5">
        <v>44933</v>
      </c>
      <c r="C922" s="4" t="s">
        <v>934</v>
      </c>
      <c r="D922" s="4" t="s">
        <v>10</v>
      </c>
      <c r="E922" s="4">
        <v>51</v>
      </c>
      <c r="F922" s="4" t="str">
        <f>IF(Table15678[[#This Row],[Age]]&lt;=19,"Teenager",IF(Table15678[[#This Row],[Age]]&lt;=40,"Median","Old"))</f>
        <v>Old</v>
      </c>
      <c r="G922" s="4" t="s">
        <v>16</v>
      </c>
      <c r="H922" s="4">
        <v>3</v>
      </c>
      <c r="I922" s="4">
        <v>25</v>
      </c>
      <c r="J922" s="4">
        <v>75</v>
      </c>
      <c r="K922" s="4" t="str" cm="1">
        <f t="array" ref="K922">_xlfn.IFS(AND(Table15678[[#This Row],[Total Amount]]&gt;=1500),"Critical",AND(Table15678[[#This Row],[Total Amount]]&gt;=1000),"High",TRUE,"Normal")</f>
        <v>Normal</v>
      </c>
      <c r="L922" s="4" t="str">
        <f>IF(Table15678[[#This Row],[Total Amount]]&gt;=1000,"High",(IF(Table15678[[#This Row],[Total Amount]]&gt;=500,"Medium","Low")))</f>
        <v>Low</v>
      </c>
      <c r="M922" s="4" t="str" cm="1">
        <f t="array" ref="M92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22" s="4" cm="1">
        <f t="array" ref="N92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922" s="4">
        <f>Table15678[[#This Row],[Total Amount]]-Table15678[[#This Row],[Discount Amount]]</f>
        <v>67.5</v>
      </c>
      <c r="P922" s="4" t="str">
        <f>IF(Table15678[[#This Row],[Total Amount]]&gt;=1000,"High","Low")</f>
        <v>Low</v>
      </c>
      <c r="Q922" s="4" t="str" cm="1">
        <f t="array" ref="Q922">_xlfn.IFS(AND(Table15678[[#This Row],[Total Amount]]&gt;=1500,"Critical"),AND(Table15678[[#This Row],[Total Amount]]&gt;=1000,"High"),TRUE,"Normal")</f>
        <v>Normal</v>
      </c>
      <c r="R922" s="4" t="str">
        <f>CONCATENATE(Table15678[[#This Row],[Customer ID]], "-",Table15678[[#This Row],[Age]])</f>
        <v>CUST921-51</v>
      </c>
      <c r="S922" s="4" t="str">
        <f>TEXT(Table15678[[#This Row],[Date]],"mmm")</f>
        <v>Jan</v>
      </c>
      <c r="T922" s="4" t="str">
        <f>TEXT(Table15678[[#This Row],[Date]],"DDD")</f>
        <v>Sat</v>
      </c>
    </row>
    <row r="923" spans="1:20" ht="29" x14ac:dyDescent="0.35">
      <c r="A923" s="4">
        <v>922</v>
      </c>
      <c r="B923" s="5">
        <v>45220</v>
      </c>
      <c r="C923" s="4" t="s">
        <v>935</v>
      </c>
      <c r="D923" s="4" t="s">
        <v>10</v>
      </c>
      <c r="E923" s="4">
        <v>41</v>
      </c>
      <c r="F923" s="4" t="str">
        <f>IF(Table15678[[#This Row],[Age]]&lt;=19,"Teenager",IF(Table15678[[#This Row],[Age]]&lt;=40,"Median","Old"))</f>
        <v>Old</v>
      </c>
      <c r="G923" s="4" t="s">
        <v>16</v>
      </c>
      <c r="H923" s="4">
        <v>1</v>
      </c>
      <c r="I923" s="4">
        <v>50</v>
      </c>
      <c r="J923" s="4">
        <v>50</v>
      </c>
      <c r="K923" s="4" t="str" cm="1">
        <f t="array" ref="K923">_xlfn.IFS(AND(Table15678[[#This Row],[Total Amount]]&gt;=1500),"Critical",AND(Table15678[[#This Row],[Total Amount]]&gt;=1000),"High",TRUE,"Normal")</f>
        <v>Normal</v>
      </c>
      <c r="L923" s="4" t="str">
        <f>IF(Table15678[[#This Row],[Total Amount]]&gt;=1000,"High",(IF(Table15678[[#This Row],[Total Amount]]&gt;=500,"Medium","Low")))</f>
        <v>Low</v>
      </c>
      <c r="M923" s="4" t="str" cm="1">
        <f t="array" ref="M92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23" s="4" cm="1">
        <f t="array" ref="N92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923" s="4">
        <f>Table15678[[#This Row],[Total Amount]]-Table15678[[#This Row],[Discount Amount]]</f>
        <v>45</v>
      </c>
      <c r="P923" s="4" t="str">
        <f>IF(Table15678[[#This Row],[Total Amount]]&gt;=1000,"High","Low")</f>
        <v>Low</v>
      </c>
      <c r="Q923" s="4" t="str" cm="1">
        <f t="array" ref="Q923">_xlfn.IFS(AND(Table15678[[#This Row],[Total Amount]]&gt;=1500,"Critical"),AND(Table15678[[#This Row],[Total Amount]]&gt;=1000,"High"),TRUE,"Normal")</f>
        <v>Normal</v>
      </c>
      <c r="R923" s="4" t="str">
        <f>CONCATENATE(Table15678[[#This Row],[Customer ID]], "-",Table15678[[#This Row],[Age]])</f>
        <v>CUST922-41</v>
      </c>
      <c r="S923" s="4" t="str">
        <f>TEXT(Table15678[[#This Row],[Date]],"mmm")</f>
        <v>Oct</v>
      </c>
      <c r="T923" s="4" t="str">
        <f>TEXT(Table15678[[#This Row],[Date]],"DDD")</f>
        <v>Sat</v>
      </c>
    </row>
    <row r="924" spans="1:20" ht="29" x14ac:dyDescent="0.35">
      <c r="A924" s="4">
        <v>923</v>
      </c>
      <c r="B924" s="5">
        <v>45072</v>
      </c>
      <c r="C924" s="4" t="s">
        <v>936</v>
      </c>
      <c r="D924" s="4" t="s">
        <v>10</v>
      </c>
      <c r="E924" s="4">
        <v>32</v>
      </c>
      <c r="F924" s="4" t="str">
        <f>IF(Table15678[[#This Row],[Age]]&lt;=19,"Teenager",IF(Table15678[[#This Row],[Age]]&lt;=40,"Median","Old"))</f>
        <v>Median</v>
      </c>
      <c r="G924" s="4" t="s">
        <v>11</v>
      </c>
      <c r="H924" s="4">
        <v>3</v>
      </c>
      <c r="I924" s="4">
        <v>300</v>
      </c>
      <c r="J924" s="4">
        <v>900</v>
      </c>
      <c r="K924" s="4" t="str" cm="1">
        <f t="array" ref="K924">_xlfn.IFS(AND(Table15678[[#This Row],[Total Amount]]&gt;=1500),"Critical",AND(Table15678[[#This Row],[Total Amount]]&gt;=1000),"High",TRUE,"Normal")</f>
        <v>Normal</v>
      </c>
      <c r="L924" s="4" t="str">
        <f>IF(Table15678[[#This Row],[Total Amount]]&gt;=1000,"High",(IF(Table15678[[#This Row],[Total Amount]]&gt;=500,"Medium","Low")))</f>
        <v>Medium</v>
      </c>
      <c r="M924" s="4" t="str" cm="1">
        <f t="array" ref="M92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24" s="4" cm="1">
        <f t="array" ref="N92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135</v>
      </c>
      <c r="O924" s="4">
        <f>Table15678[[#This Row],[Total Amount]]-Table15678[[#This Row],[Discount Amount]]</f>
        <v>765</v>
      </c>
      <c r="P924" s="4" t="str">
        <f>IF(Table15678[[#This Row],[Total Amount]]&gt;=1000,"High","Low")</f>
        <v>Low</v>
      </c>
      <c r="Q924" s="4" t="str" cm="1">
        <f t="array" ref="Q924">_xlfn.IFS(AND(Table15678[[#This Row],[Total Amount]]&gt;=1500,"Critical"),AND(Table15678[[#This Row],[Total Amount]]&gt;=1000,"High"),TRUE,"Normal")</f>
        <v>Normal</v>
      </c>
      <c r="R924" s="4" t="str">
        <f>CONCATENATE(Table15678[[#This Row],[Customer ID]], "-",Table15678[[#This Row],[Age]])</f>
        <v>CUST923-32</v>
      </c>
      <c r="S924" s="4" t="str">
        <f>TEXT(Table15678[[#This Row],[Date]],"mmm")</f>
        <v>May</v>
      </c>
      <c r="T924" s="4" t="str">
        <f>TEXT(Table15678[[#This Row],[Date]],"DDD")</f>
        <v>Fri</v>
      </c>
    </row>
    <row r="925" spans="1:20" ht="29" x14ac:dyDescent="0.35">
      <c r="A925" s="4">
        <v>924</v>
      </c>
      <c r="B925" s="5">
        <v>45167</v>
      </c>
      <c r="C925" s="4" t="s">
        <v>937</v>
      </c>
      <c r="D925" s="4" t="s">
        <v>10</v>
      </c>
      <c r="E925" s="4">
        <v>55</v>
      </c>
      <c r="F925" s="4" t="str">
        <f>IF(Table15678[[#This Row],[Age]]&lt;=19,"Teenager",IF(Table15678[[#This Row],[Age]]&lt;=40,"Median","Old"))</f>
        <v>Old</v>
      </c>
      <c r="G925" s="4" t="s">
        <v>11</v>
      </c>
      <c r="H925" s="4">
        <v>2</v>
      </c>
      <c r="I925" s="4">
        <v>50</v>
      </c>
      <c r="J925" s="4">
        <v>100</v>
      </c>
      <c r="K925" s="4" t="str" cm="1">
        <f t="array" ref="K925">_xlfn.IFS(AND(Table15678[[#This Row],[Total Amount]]&gt;=1500),"Critical",AND(Table15678[[#This Row],[Total Amount]]&gt;=1000),"High",TRUE,"Normal")</f>
        <v>Normal</v>
      </c>
      <c r="L925" s="4" t="str">
        <f>IF(Table15678[[#This Row],[Total Amount]]&gt;=1000,"High",(IF(Table15678[[#This Row],[Total Amount]]&gt;=500,"Medium","Low")))</f>
        <v>Low</v>
      </c>
      <c r="M925" s="4" t="str" cm="1">
        <f t="array" ref="M92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25" s="4" cm="1">
        <f t="array" ref="N92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925" s="4">
        <f>Table15678[[#This Row],[Total Amount]]-Table15678[[#This Row],[Discount Amount]]</f>
        <v>90</v>
      </c>
      <c r="P925" s="4" t="str">
        <f>IF(Table15678[[#This Row],[Total Amount]]&gt;=1000,"High","Low")</f>
        <v>Low</v>
      </c>
      <c r="Q925" s="4" t="str" cm="1">
        <f t="array" ref="Q925">_xlfn.IFS(AND(Table15678[[#This Row],[Total Amount]]&gt;=1500,"Critical"),AND(Table15678[[#This Row],[Total Amount]]&gt;=1000,"High"),TRUE,"Normal")</f>
        <v>Normal</v>
      </c>
      <c r="R925" s="4" t="str">
        <f>CONCATENATE(Table15678[[#This Row],[Customer ID]], "-",Table15678[[#This Row],[Age]])</f>
        <v>CUST924-55</v>
      </c>
      <c r="S925" s="4" t="str">
        <f>TEXT(Table15678[[#This Row],[Date]],"mmm")</f>
        <v>Aug</v>
      </c>
      <c r="T925" s="4" t="str">
        <f>TEXT(Table15678[[#This Row],[Date]],"DDD")</f>
        <v>Tue</v>
      </c>
    </row>
    <row r="926" spans="1:20" ht="29" x14ac:dyDescent="0.35">
      <c r="A926" s="4">
        <v>925</v>
      </c>
      <c r="B926" s="5">
        <v>45172</v>
      </c>
      <c r="C926" s="4" t="s">
        <v>938</v>
      </c>
      <c r="D926" s="4" t="s">
        <v>10</v>
      </c>
      <c r="E926" s="4">
        <v>25</v>
      </c>
      <c r="F926" s="4" t="str">
        <f>IF(Table15678[[#This Row],[Age]]&lt;=19,"Teenager",IF(Table15678[[#This Row],[Age]]&lt;=40,"Median","Old"))</f>
        <v>Median</v>
      </c>
      <c r="G926" s="4" t="s">
        <v>16</v>
      </c>
      <c r="H926" s="4">
        <v>1</v>
      </c>
      <c r="I926" s="4">
        <v>300</v>
      </c>
      <c r="J926" s="4">
        <v>300</v>
      </c>
      <c r="K926" s="4" t="str" cm="1">
        <f t="array" ref="K926">_xlfn.IFS(AND(Table15678[[#This Row],[Total Amount]]&gt;=1500),"Critical",AND(Table15678[[#This Row],[Total Amount]]&gt;=1000),"High",TRUE,"Normal")</f>
        <v>Normal</v>
      </c>
      <c r="L926" s="4" t="str">
        <f>IF(Table15678[[#This Row],[Total Amount]]&gt;=1000,"High",(IF(Table15678[[#This Row],[Total Amount]]&gt;=500,"Medium","Low")))</f>
        <v>Low</v>
      </c>
      <c r="M926" s="4" t="str" cm="1">
        <f t="array" ref="M92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26" s="4" cm="1">
        <f t="array" ref="N92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45</v>
      </c>
      <c r="O926" s="4">
        <f>Table15678[[#This Row],[Total Amount]]-Table15678[[#This Row],[Discount Amount]]</f>
        <v>255</v>
      </c>
      <c r="P926" s="4" t="str">
        <f>IF(Table15678[[#This Row],[Total Amount]]&gt;=1000,"High","Low")</f>
        <v>Low</v>
      </c>
      <c r="Q926" s="4" t="str" cm="1">
        <f t="array" ref="Q926">_xlfn.IFS(AND(Table15678[[#This Row],[Total Amount]]&gt;=1500,"Critical"),AND(Table15678[[#This Row],[Total Amount]]&gt;=1000,"High"),TRUE,"Normal")</f>
        <v>Normal</v>
      </c>
      <c r="R926" s="4" t="str">
        <f>CONCATENATE(Table15678[[#This Row],[Customer ID]], "-",Table15678[[#This Row],[Age]])</f>
        <v>CUST925-25</v>
      </c>
      <c r="S926" s="4" t="str">
        <f>TEXT(Table15678[[#This Row],[Date]],"mmm")</f>
        <v>Sep</v>
      </c>
      <c r="T926" s="4" t="str">
        <f>TEXT(Table15678[[#This Row],[Date]],"DDD")</f>
        <v>Sun</v>
      </c>
    </row>
    <row r="927" spans="1:20" ht="29" x14ac:dyDescent="0.35">
      <c r="A927" s="4">
        <v>926</v>
      </c>
      <c r="B927" s="5">
        <v>45152</v>
      </c>
      <c r="C927" s="4" t="s">
        <v>939</v>
      </c>
      <c r="D927" s="4" t="s">
        <v>10</v>
      </c>
      <c r="E927" s="4">
        <v>22</v>
      </c>
      <c r="F927" s="4" t="str">
        <f>IF(Table15678[[#This Row],[Age]]&lt;=19,"Teenager",IF(Table15678[[#This Row],[Age]]&lt;=40,"Median","Old"))</f>
        <v>Median</v>
      </c>
      <c r="G927" s="4" t="s">
        <v>16</v>
      </c>
      <c r="H927" s="4">
        <v>1</v>
      </c>
      <c r="I927" s="4">
        <v>30</v>
      </c>
      <c r="J927" s="4">
        <v>30</v>
      </c>
      <c r="K927" s="4" t="str" cm="1">
        <f t="array" ref="K927">_xlfn.IFS(AND(Table15678[[#This Row],[Total Amount]]&gt;=1500),"Critical",AND(Table15678[[#This Row],[Total Amount]]&gt;=1000),"High",TRUE,"Normal")</f>
        <v>Normal</v>
      </c>
      <c r="L927" s="4" t="str">
        <f>IF(Table15678[[#This Row],[Total Amount]]&gt;=1000,"High",(IF(Table15678[[#This Row],[Total Amount]]&gt;=500,"Medium","Low")))</f>
        <v>Low</v>
      </c>
      <c r="M927" s="4" t="str" cm="1">
        <f t="array" ref="M92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927" s="4" cm="1">
        <f t="array" ref="N92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927" s="4">
        <f>Table15678[[#This Row],[Total Amount]]-Table15678[[#This Row],[Discount Amount]]</f>
        <v>30</v>
      </c>
      <c r="P927" s="4" t="str">
        <f>IF(Table15678[[#This Row],[Total Amount]]&gt;=1000,"High","Low")</f>
        <v>Low</v>
      </c>
      <c r="Q927" s="4" t="str" cm="1">
        <f t="array" ref="Q927">_xlfn.IFS(AND(Table15678[[#This Row],[Total Amount]]&gt;=1500,"Critical"),AND(Table15678[[#This Row],[Total Amount]]&gt;=1000,"High"),TRUE,"Normal")</f>
        <v>Normal</v>
      </c>
      <c r="R927" s="4" t="str">
        <f>CONCATENATE(Table15678[[#This Row],[Customer ID]], "-",Table15678[[#This Row],[Age]])</f>
        <v>CUST926-22</v>
      </c>
      <c r="S927" s="4" t="str">
        <f>TEXT(Table15678[[#This Row],[Date]],"mmm")</f>
        <v>Aug</v>
      </c>
      <c r="T927" s="4" t="str">
        <f>TEXT(Table15678[[#This Row],[Date]],"DDD")</f>
        <v>Mon</v>
      </c>
    </row>
    <row r="928" spans="1:20" ht="29" x14ac:dyDescent="0.35">
      <c r="A928" s="4">
        <v>927</v>
      </c>
      <c r="B928" s="5">
        <v>45101</v>
      </c>
      <c r="C928" s="4" t="s">
        <v>940</v>
      </c>
      <c r="D928" s="4" t="s">
        <v>10</v>
      </c>
      <c r="E928" s="4">
        <v>43</v>
      </c>
      <c r="F928" s="4" t="str">
        <f>IF(Table15678[[#This Row],[Age]]&lt;=19,"Teenager",IF(Table15678[[#This Row],[Age]]&lt;=40,"Median","Old"))</f>
        <v>Old</v>
      </c>
      <c r="G928" s="4" t="s">
        <v>16</v>
      </c>
      <c r="H928" s="4">
        <v>4</v>
      </c>
      <c r="I928" s="4">
        <v>500</v>
      </c>
      <c r="J928" s="4">
        <v>2000</v>
      </c>
      <c r="K928" s="4" t="str" cm="1">
        <f t="array" ref="K928">_xlfn.IFS(AND(Table15678[[#This Row],[Total Amount]]&gt;=1500),"Critical",AND(Table15678[[#This Row],[Total Amount]]&gt;=1000),"High",TRUE,"Normal")</f>
        <v>Critical</v>
      </c>
      <c r="L928" s="4" t="str">
        <f>IF(Table15678[[#This Row],[Total Amount]]&gt;=1000,"High",(IF(Table15678[[#This Row],[Total Amount]]&gt;=500,"Medium","Low")))</f>
        <v>High</v>
      </c>
      <c r="M928" s="4" t="str" cm="1">
        <f t="array" ref="M92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28" s="4" cm="1">
        <f t="array" ref="N92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928" s="4">
        <f>Table15678[[#This Row],[Total Amount]]-Table15678[[#This Row],[Discount Amount]]</f>
        <v>1800</v>
      </c>
      <c r="P928" s="4" t="str">
        <f>IF(Table15678[[#This Row],[Total Amount]]&gt;=1000,"High","Low")</f>
        <v>High</v>
      </c>
      <c r="Q928" s="4" t="b" cm="1">
        <f t="array" ref="Q928">_xlfn.IFS(AND(Table15678[[#This Row],[Total Amount]]&gt;=1500,"Critical"),AND(Table15678[[#This Row],[Total Amount]]&gt;=1000,"High"),TRUE,"Normal")</f>
        <v>1</v>
      </c>
      <c r="R928" s="4" t="str">
        <f>CONCATENATE(Table15678[[#This Row],[Customer ID]], "-",Table15678[[#This Row],[Age]])</f>
        <v>CUST927-43</v>
      </c>
      <c r="S928" s="4" t="str">
        <f>TEXT(Table15678[[#This Row],[Date]],"mmm")</f>
        <v>Jun</v>
      </c>
      <c r="T928" s="4" t="str">
        <f>TEXT(Table15678[[#This Row],[Date]],"DDD")</f>
        <v>Sat</v>
      </c>
    </row>
    <row r="929" spans="1:20" ht="29" x14ac:dyDescent="0.35">
      <c r="A929" s="4">
        <v>928</v>
      </c>
      <c r="B929" s="5">
        <v>45021</v>
      </c>
      <c r="C929" s="4" t="s">
        <v>941</v>
      </c>
      <c r="D929" s="4" t="s">
        <v>13</v>
      </c>
      <c r="E929" s="4">
        <v>35</v>
      </c>
      <c r="F929" s="4" t="str">
        <f>IF(Table15678[[#This Row],[Age]]&lt;=19,"Teenager",IF(Table15678[[#This Row],[Age]]&lt;=40,"Median","Old"))</f>
        <v>Median</v>
      </c>
      <c r="G929" s="4" t="s">
        <v>14</v>
      </c>
      <c r="H929" s="4">
        <v>4</v>
      </c>
      <c r="I929" s="4">
        <v>300</v>
      </c>
      <c r="J929" s="4">
        <v>1200</v>
      </c>
      <c r="K929" s="4" t="str" cm="1">
        <f t="array" ref="K929">_xlfn.IFS(AND(Table15678[[#This Row],[Total Amount]]&gt;=1500),"Critical",AND(Table15678[[#This Row],[Total Amount]]&gt;=1000),"High",TRUE,"Normal")</f>
        <v>High</v>
      </c>
      <c r="L929" s="4" t="str">
        <f>IF(Table15678[[#This Row],[Total Amount]]&gt;=1000,"High",(IF(Table15678[[#This Row],[Total Amount]]&gt;=500,"Medium","Low")))</f>
        <v>High</v>
      </c>
      <c r="M929" s="4" t="str" cm="1">
        <f t="array" ref="M92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29" s="4" cm="1">
        <f t="array" ref="N92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240</v>
      </c>
      <c r="O929" s="4">
        <f>Table15678[[#This Row],[Total Amount]]-Table15678[[#This Row],[Discount Amount]]</f>
        <v>960</v>
      </c>
      <c r="P929" s="4" t="str">
        <f>IF(Table15678[[#This Row],[Total Amount]]&gt;=1000,"High","Low")</f>
        <v>High</v>
      </c>
      <c r="Q929" s="4" t="str" cm="1">
        <f t="array" ref="Q929">_xlfn.IFS(AND(Table15678[[#This Row],[Total Amount]]&gt;=1500,"Critical"),AND(Table15678[[#This Row],[Total Amount]]&gt;=1000,"High"),TRUE,"Normal")</f>
        <v>Normal</v>
      </c>
      <c r="R929" s="4" t="str">
        <f>CONCATENATE(Table15678[[#This Row],[Customer ID]], "-",Table15678[[#This Row],[Age]])</f>
        <v>CUST928-35</v>
      </c>
      <c r="S929" s="4" t="str">
        <f>TEXT(Table15678[[#This Row],[Date]],"mmm")</f>
        <v>Apr</v>
      </c>
      <c r="T929" s="4" t="str">
        <f>TEXT(Table15678[[#This Row],[Date]],"DDD")</f>
        <v>Wed</v>
      </c>
    </row>
    <row r="930" spans="1:20" ht="29" x14ac:dyDescent="0.35">
      <c r="A930" s="4">
        <v>929</v>
      </c>
      <c r="B930" s="5">
        <v>44953</v>
      </c>
      <c r="C930" s="4" t="s">
        <v>942</v>
      </c>
      <c r="D930" s="4" t="s">
        <v>13</v>
      </c>
      <c r="E930" s="4">
        <v>23</v>
      </c>
      <c r="F930" s="4" t="str">
        <f>IF(Table15678[[#This Row],[Age]]&lt;=19,"Teenager",IF(Table15678[[#This Row],[Age]]&lt;=40,"Median","Old"))</f>
        <v>Median</v>
      </c>
      <c r="G930" s="4" t="s">
        <v>11</v>
      </c>
      <c r="H930" s="4">
        <v>3</v>
      </c>
      <c r="I930" s="4">
        <v>25</v>
      </c>
      <c r="J930" s="4">
        <v>75</v>
      </c>
      <c r="K930" s="4" t="str" cm="1">
        <f t="array" ref="K930">_xlfn.IFS(AND(Table15678[[#This Row],[Total Amount]]&gt;=1500),"Critical",AND(Table15678[[#This Row],[Total Amount]]&gt;=1000),"High",TRUE,"Normal")</f>
        <v>Normal</v>
      </c>
      <c r="L930" s="4" t="str">
        <f>IF(Table15678[[#This Row],[Total Amount]]&gt;=1000,"High",(IF(Table15678[[#This Row],[Total Amount]]&gt;=500,"Medium","Low")))</f>
        <v>Low</v>
      </c>
      <c r="M930" s="4" t="str" cm="1">
        <f t="array" ref="M93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930" s="4" cm="1">
        <f t="array" ref="N93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930" s="4">
        <f>Table15678[[#This Row],[Total Amount]]-Table15678[[#This Row],[Discount Amount]]</f>
        <v>75</v>
      </c>
      <c r="P930" s="4" t="str">
        <f>IF(Table15678[[#This Row],[Total Amount]]&gt;=1000,"High","Low")</f>
        <v>Low</v>
      </c>
      <c r="Q930" s="4" t="str" cm="1">
        <f t="array" ref="Q930">_xlfn.IFS(AND(Table15678[[#This Row],[Total Amount]]&gt;=1500,"Critical"),AND(Table15678[[#This Row],[Total Amount]]&gt;=1000,"High"),TRUE,"Normal")</f>
        <v>Normal</v>
      </c>
      <c r="R930" s="4" t="str">
        <f>CONCATENATE(Table15678[[#This Row],[Customer ID]], "-",Table15678[[#This Row],[Age]])</f>
        <v>CUST929-23</v>
      </c>
      <c r="S930" s="4" t="str">
        <f>TEXT(Table15678[[#This Row],[Date]],"mmm")</f>
        <v>Jan</v>
      </c>
      <c r="T930" s="4" t="str">
        <f>TEXT(Table15678[[#This Row],[Date]],"DDD")</f>
        <v>Fri</v>
      </c>
    </row>
    <row r="931" spans="1:20" ht="29" x14ac:dyDescent="0.35">
      <c r="A931" s="4">
        <v>930</v>
      </c>
      <c r="B931" s="5">
        <v>45056</v>
      </c>
      <c r="C931" s="4" t="s">
        <v>943</v>
      </c>
      <c r="D931" s="4" t="s">
        <v>10</v>
      </c>
      <c r="E931" s="4">
        <v>54</v>
      </c>
      <c r="F931" s="4" t="str">
        <f>IF(Table15678[[#This Row],[Age]]&lt;=19,"Teenager",IF(Table15678[[#This Row],[Age]]&lt;=40,"Median","Old"))</f>
        <v>Old</v>
      </c>
      <c r="G931" s="4" t="s">
        <v>14</v>
      </c>
      <c r="H931" s="4">
        <v>4</v>
      </c>
      <c r="I931" s="4">
        <v>50</v>
      </c>
      <c r="J931" s="4">
        <v>200</v>
      </c>
      <c r="K931" s="4" t="str" cm="1">
        <f t="array" ref="K931">_xlfn.IFS(AND(Table15678[[#This Row],[Total Amount]]&gt;=1500),"Critical",AND(Table15678[[#This Row],[Total Amount]]&gt;=1000),"High",TRUE,"Normal")</f>
        <v>Normal</v>
      </c>
      <c r="L931" s="4" t="str">
        <f>IF(Table15678[[#This Row],[Total Amount]]&gt;=1000,"High",(IF(Table15678[[#This Row],[Total Amount]]&gt;=500,"Medium","Low")))</f>
        <v>Low</v>
      </c>
      <c r="M931" s="4" t="str" cm="1">
        <f t="array" ref="M93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31" s="4" cm="1">
        <f t="array" ref="N93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931" s="4">
        <f>Table15678[[#This Row],[Total Amount]]-Table15678[[#This Row],[Discount Amount]]</f>
        <v>180</v>
      </c>
      <c r="P931" s="4" t="str">
        <f>IF(Table15678[[#This Row],[Total Amount]]&gt;=1000,"High","Low")</f>
        <v>Low</v>
      </c>
      <c r="Q931" s="4" t="str" cm="1">
        <f t="array" ref="Q931">_xlfn.IFS(AND(Table15678[[#This Row],[Total Amount]]&gt;=1500,"Critical"),AND(Table15678[[#This Row],[Total Amount]]&gt;=1000,"High"),TRUE,"Normal")</f>
        <v>Normal</v>
      </c>
      <c r="R931" s="4" t="str">
        <f>CONCATENATE(Table15678[[#This Row],[Customer ID]], "-",Table15678[[#This Row],[Age]])</f>
        <v>CUST930-54</v>
      </c>
      <c r="S931" s="4" t="str">
        <f>TEXT(Table15678[[#This Row],[Date]],"mmm")</f>
        <v>May</v>
      </c>
      <c r="T931" s="4" t="str">
        <f>TEXT(Table15678[[#This Row],[Date]],"DDD")</f>
        <v>Wed</v>
      </c>
    </row>
    <row r="932" spans="1:20" ht="29" x14ac:dyDescent="0.35">
      <c r="A932" s="4">
        <v>931</v>
      </c>
      <c r="B932" s="5">
        <v>45171</v>
      </c>
      <c r="C932" s="4" t="s">
        <v>944</v>
      </c>
      <c r="D932" s="4" t="s">
        <v>10</v>
      </c>
      <c r="E932" s="4">
        <v>30</v>
      </c>
      <c r="F932" s="4" t="str">
        <f>IF(Table15678[[#This Row],[Age]]&lt;=19,"Teenager",IF(Table15678[[#This Row],[Age]]&lt;=40,"Median","Old"))</f>
        <v>Median</v>
      </c>
      <c r="G932" s="4" t="s">
        <v>11</v>
      </c>
      <c r="H932" s="4">
        <v>4</v>
      </c>
      <c r="I932" s="4">
        <v>30</v>
      </c>
      <c r="J932" s="4">
        <v>120</v>
      </c>
      <c r="K932" s="4" t="str" cm="1">
        <f t="array" ref="K932">_xlfn.IFS(AND(Table15678[[#This Row],[Total Amount]]&gt;=1500),"Critical",AND(Table15678[[#This Row],[Total Amount]]&gt;=1000),"High",TRUE,"Normal")</f>
        <v>Normal</v>
      </c>
      <c r="L932" s="4" t="str">
        <f>IF(Table15678[[#This Row],[Total Amount]]&gt;=1000,"High",(IF(Table15678[[#This Row],[Total Amount]]&gt;=500,"Medium","Low")))</f>
        <v>Low</v>
      </c>
      <c r="M932" s="4" t="str" cm="1">
        <f t="array" ref="M93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32" s="4" cm="1">
        <f t="array" ref="N93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</v>
      </c>
      <c r="O932" s="4">
        <f>Table15678[[#This Row],[Total Amount]]-Table15678[[#This Row],[Discount Amount]]</f>
        <v>102</v>
      </c>
      <c r="P932" s="4" t="str">
        <f>IF(Table15678[[#This Row],[Total Amount]]&gt;=1000,"High","Low")</f>
        <v>Low</v>
      </c>
      <c r="Q932" s="4" t="str" cm="1">
        <f t="array" ref="Q932">_xlfn.IFS(AND(Table15678[[#This Row],[Total Amount]]&gt;=1500,"Critical"),AND(Table15678[[#This Row],[Total Amount]]&gt;=1000,"High"),TRUE,"Normal")</f>
        <v>Normal</v>
      </c>
      <c r="R932" s="4" t="str">
        <f>CONCATENATE(Table15678[[#This Row],[Customer ID]], "-",Table15678[[#This Row],[Age]])</f>
        <v>CUST931-30</v>
      </c>
      <c r="S932" s="4" t="str">
        <f>TEXT(Table15678[[#This Row],[Date]],"mmm")</f>
        <v>Sep</v>
      </c>
      <c r="T932" s="4" t="str">
        <f>TEXT(Table15678[[#This Row],[Date]],"DDD")</f>
        <v>Sat</v>
      </c>
    </row>
    <row r="933" spans="1:20" ht="29" x14ac:dyDescent="0.35">
      <c r="A933" s="4">
        <v>932</v>
      </c>
      <c r="B933" s="5">
        <v>44985</v>
      </c>
      <c r="C933" s="4" t="s">
        <v>945</v>
      </c>
      <c r="D933" s="4" t="s">
        <v>13</v>
      </c>
      <c r="E933" s="4">
        <v>45</v>
      </c>
      <c r="F933" s="4" t="str">
        <f>IF(Table15678[[#This Row],[Age]]&lt;=19,"Teenager",IF(Table15678[[#This Row],[Age]]&lt;=40,"Median","Old"))</f>
        <v>Old</v>
      </c>
      <c r="G933" s="4" t="s">
        <v>11</v>
      </c>
      <c r="H933" s="4">
        <v>4</v>
      </c>
      <c r="I933" s="4">
        <v>25</v>
      </c>
      <c r="J933" s="4">
        <v>100</v>
      </c>
      <c r="K933" s="4" t="str" cm="1">
        <f t="array" ref="K933">_xlfn.IFS(AND(Table15678[[#This Row],[Total Amount]]&gt;=1500),"Critical",AND(Table15678[[#This Row],[Total Amount]]&gt;=1000),"High",TRUE,"Normal")</f>
        <v>Normal</v>
      </c>
      <c r="L933" s="4" t="str">
        <f>IF(Table15678[[#This Row],[Total Amount]]&gt;=1000,"High",(IF(Table15678[[#This Row],[Total Amount]]&gt;=500,"Medium","Low")))</f>
        <v>Low</v>
      </c>
      <c r="M933" s="4" t="str" cm="1">
        <f t="array" ref="M93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33" s="4" cm="1">
        <f t="array" ref="N93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933" s="4">
        <f>Table15678[[#This Row],[Total Amount]]-Table15678[[#This Row],[Discount Amount]]</f>
        <v>80</v>
      </c>
      <c r="P933" s="4" t="str">
        <f>IF(Table15678[[#This Row],[Total Amount]]&gt;=1000,"High","Low")</f>
        <v>Low</v>
      </c>
      <c r="Q933" s="4" t="str" cm="1">
        <f t="array" ref="Q933">_xlfn.IFS(AND(Table15678[[#This Row],[Total Amount]]&gt;=1500,"Critical"),AND(Table15678[[#This Row],[Total Amount]]&gt;=1000,"High"),TRUE,"Normal")</f>
        <v>Normal</v>
      </c>
      <c r="R933" s="4" t="str">
        <f>CONCATENATE(Table15678[[#This Row],[Customer ID]], "-",Table15678[[#This Row],[Age]])</f>
        <v>CUST932-45</v>
      </c>
      <c r="S933" s="4" t="str">
        <f>TEXT(Table15678[[#This Row],[Date]],"mmm")</f>
        <v>Feb</v>
      </c>
      <c r="T933" s="4" t="str">
        <f>TEXT(Table15678[[#This Row],[Date]],"DDD")</f>
        <v>Tue</v>
      </c>
    </row>
    <row r="934" spans="1:20" ht="29" x14ac:dyDescent="0.35">
      <c r="A934" s="4">
        <v>933</v>
      </c>
      <c r="B934" s="5">
        <v>44960</v>
      </c>
      <c r="C934" s="4" t="s">
        <v>946</v>
      </c>
      <c r="D934" s="4" t="s">
        <v>10</v>
      </c>
      <c r="E934" s="4">
        <v>22</v>
      </c>
      <c r="F934" s="4" t="str">
        <f>IF(Table15678[[#This Row],[Age]]&lt;=19,"Teenager",IF(Table15678[[#This Row],[Age]]&lt;=40,"Median","Old"))</f>
        <v>Median</v>
      </c>
      <c r="G934" s="4" t="s">
        <v>11</v>
      </c>
      <c r="H934" s="4">
        <v>1</v>
      </c>
      <c r="I934" s="4">
        <v>30</v>
      </c>
      <c r="J934" s="4">
        <v>30</v>
      </c>
      <c r="K934" s="4" t="str" cm="1">
        <f t="array" ref="K934">_xlfn.IFS(AND(Table15678[[#This Row],[Total Amount]]&gt;=1500),"Critical",AND(Table15678[[#This Row],[Total Amount]]&gt;=1000),"High",TRUE,"Normal")</f>
        <v>Normal</v>
      </c>
      <c r="L934" s="4" t="str">
        <f>IF(Table15678[[#This Row],[Total Amount]]&gt;=1000,"High",(IF(Table15678[[#This Row],[Total Amount]]&gt;=500,"Medium","Low")))</f>
        <v>Low</v>
      </c>
      <c r="M934" s="4" t="str" cm="1">
        <f t="array" ref="M93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934" s="4" cm="1">
        <f t="array" ref="N93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934" s="4">
        <f>Table15678[[#This Row],[Total Amount]]-Table15678[[#This Row],[Discount Amount]]</f>
        <v>30</v>
      </c>
      <c r="P934" s="4" t="str">
        <f>IF(Table15678[[#This Row],[Total Amount]]&gt;=1000,"High","Low")</f>
        <v>Low</v>
      </c>
      <c r="Q934" s="4" t="str" cm="1">
        <f t="array" ref="Q934">_xlfn.IFS(AND(Table15678[[#This Row],[Total Amount]]&gt;=1500,"Critical"),AND(Table15678[[#This Row],[Total Amount]]&gt;=1000,"High"),TRUE,"Normal")</f>
        <v>Normal</v>
      </c>
      <c r="R934" s="4" t="str">
        <f>CONCATENATE(Table15678[[#This Row],[Customer ID]], "-",Table15678[[#This Row],[Age]])</f>
        <v>CUST933-22</v>
      </c>
      <c r="S934" s="4" t="str">
        <f>TEXT(Table15678[[#This Row],[Date]],"mmm")</f>
        <v>Feb</v>
      </c>
      <c r="T934" s="4" t="str">
        <f>TEXT(Table15678[[#This Row],[Date]],"DDD")</f>
        <v>Fri</v>
      </c>
    </row>
    <row r="935" spans="1:20" ht="29" x14ac:dyDescent="0.35">
      <c r="A935" s="4">
        <v>934</v>
      </c>
      <c r="B935" s="5">
        <v>45132</v>
      </c>
      <c r="C935" s="4" t="s">
        <v>947</v>
      </c>
      <c r="D935" s="4" t="s">
        <v>10</v>
      </c>
      <c r="E935" s="4">
        <v>30</v>
      </c>
      <c r="F935" s="4" t="str">
        <f>IF(Table15678[[#This Row],[Age]]&lt;=19,"Teenager",IF(Table15678[[#This Row],[Age]]&lt;=40,"Median","Old"))</f>
        <v>Median</v>
      </c>
      <c r="G935" s="4" t="s">
        <v>11</v>
      </c>
      <c r="H935" s="4">
        <v>1</v>
      </c>
      <c r="I935" s="4">
        <v>500</v>
      </c>
      <c r="J935" s="4">
        <v>500</v>
      </c>
      <c r="K935" s="4" t="str" cm="1">
        <f t="array" ref="K935">_xlfn.IFS(AND(Table15678[[#This Row],[Total Amount]]&gt;=1500),"Critical",AND(Table15678[[#This Row],[Total Amount]]&gt;=1000),"High",TRUE,"Normal")</f>
        <v>Normal</v>
      </c>
      <c r="L935" s="4" t="str">
        <f>IF(Table15678[[#This Row],[Total Amount]]&gt;=1000,"High",(IF(Table15678[[#This Row],[Total Amount]]&gt;=500,"Medium","Low")))</f>
        <v>Medium</v>
      </c>
      <c r="M935" s="4" t="str" cm="1">
        <f t="array" ref="M93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35" s="4" cm="1">
        <f t="array" ref="N93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75</v>
      </c>
      <c r="O935" s="4">
        <f>Table15678[[#This Row],[Total Amount]]-Table15678[[#This Row],[Discount Amount]]</f>
        <v>425</v>
      </c>
      <c r="P935" s="4" t="str">
        <f>IF(Table15678[[#This Row],[Total Amount]]&gt;=1000,"High","Low")</f>
        <v>Low</v>
      </c>
      <c r="Q935" s="4" t="str" cm="1">
        <f t="array" ref="Q935">_xlfn.IFS(AND(Table15678[[#This Row],[Total Amount]]&gt;=1500,"Critical"),AND(Table15678[[#This Row],[Total Amount]]&gt;=1000,"High"),TRUE,"Normal")</f>
        <v>Normal</v>
      </c>
      <c r="R935" s="4" t="str">
        <f>CONCATENATE(Table15678[[#This Row],[Customer ID]], "-",Table15678[[#This Row],[Age]])</f>
        <v>CUST934-30</v>
      </c>
      <c r="S935" s="4" t="str">
        <f>TEXT(Table15678[[#This Row],[Date]],"mmm")</f>
        <v>Jul</v>
      </c>
      <c r="T935" s="4" t="str">
        <f>TEXT(Table15678[[#This Row],[Date]],"DDD")</f>
        <v>Tue</v>
      </c>
    </row>
    <row r="936" spans="1:20" ht="29" x14ac:dyDescent="0.35">
      <c r="A936" s="4">
        <v>935</v>
      </c>
      <c r="B936" s="5">
        <v>45178</v>
      </c>
      <c r="C936" s="4" t="s">
        <v>948</v>
      </c>
      <c r="D936" s="4" t="s">
        <v>13</v>
      </c>
      <c r="E936" s="4">
        <v>34</v>
      </c>
      <c r="F936" s="4" t="str">
        <f>IF(Table15678[[#This Row],[Age]]&lt;=19,"Teenager",IF(Table15678[[#This Row],[Age]]&lt;=40,"Median","Old"))</f>
        <v>Median</v>
      </c>
      <c r="G936" s="4" t="s">
        <v>11</v>
      </c>
      <c r="H936" s="4">
        <v>1</v>
      </c>
      <c r="I936" s="4">
        <v>50</v>
      </c>
      <c r="J936" s="4">
        <v>50</v>
      </c>
      <c r="K936" s="4" t="str" cm="1">
        <f t="array" ref="K936">_xlfn.IFS(AND(Table15678[[#This Row],[Total Amount]]&gt;=1500),"Critical",AND(Table15678[[#This Row],[Total Amount]]&gt;=1000),"High",TRUE,"Normal")</f>
        <v>Normal</v>
      </c>
      <c r="L936" s="4" t="str">
        <f>IF(Table15678[[#This Row],[Total Amount]]&gt;=1000,"High",(IF(Table15678[[#This Row],[Total Amount]]&gt;=500,"Medium","Low")))</f>
        <v>Low</v>
      </c>
      <c r="M936" s="4" t="str" cm="1">
        <f t="array" ref="M93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36" s="4" cm="1">
        <f t="array" ref="N93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7.5</v>
      </c>
      <c r="O936" s="4">
        <f>Table15678[[#This Row],[Total Amount]]-Table15678[[#This Row],[Discount Amount]]</f>
        <v>42.5</v>
      </c>
      <c r="P936" s="4" t="str">
        <f>IF(Table15678[[#This Row],[Total Amount]]&gt;=1000,"High","Low")</f>
        <v>Low</v>
      </c>
      <c r="Q936" s="4" t="str" cm="1">
        <f t="array" ref="Q936">_xlfn.IFS(AND(Table15678[[#This Row],[Total Amount]]&gt;=1500,"Critical"),AND(Table15678[[#This Row],[Total Amount]]&gt;=1000,"High"),TRUE,"Normal")</f>
        <v>Normal</v>
      </c>
      <c r="R936" s="4" t="str">
        <f>CONCATENATE(Table15678[[#This Row],[Customer ID]], "-",Table15678[[#This Row],[Age]])</f>
        <v>CUST935-34</v>
      </c>
      <c r="S936" s="4" t="str">
        <f>TEXT(Table15678[[#This Row],[Date]],"mmm")</f>
        <v>Sep</v>
      </c>
      <c r="T936" s="4" t="str">
        <f>TEXT(Table15678[[#This Row],[Date]],"DDD")</f>
        <v>Sat</v>
      </c>
    </row>
    <row r="937" spans="1:20" ht="29" x14ac:dyDescent="0.35">
      <c r="A937" s="4">
        <v>936</v>
      </c>
      <c r="B937" s="5">
        <v>44964</v>
      </c>
      <c r="C937" s="4" t="s">
        <v>949</v>
      </c>
      <c r="D937" s="4" t="s">
        <v>10</v>
      </c>
      <c r="E937" s="4">
        <v>57</v>
      </c>
      <c r="F937" s="4" t="str">
        <f>IF(Table15678[[#This Row],[Age]]&lt;=19,"Teenager",IF(Table15678[[#This Row],[Age]]&lt;=40,"Median","Old"))</f>
        <v>Old</v>
      </c>
      <c r="G937" s="4" t="s">
        <v>11</v>
      </c>
      <c r="H937" s="4">
        <v>4</v>
      </c>
      <c r="I937" s="4">
        <v>50</v>
      </c>
      <c r="J937" s="4">
        <v>200</v>
      </c>
      <c r="K937" s="4" t="str" cm="1">
        <f t="array" ref="K937">_xlfn.IFS(AND(Table15678[[#This Row],[Total Amount]]&gt;=1500),"Critical",AND(Table15678[[#This Row],[Total Amount]]&gt;=1000),"High",TRUE,"Normal")</f>
        <v>Normal</v>
      </c>
      <c r="L937" s="4" t="str">
        <f>IF(Table15678[[#This Row],[Total Amount]]&gt;=1000,"High",(IF(Table15678[[#This Row],[Total Amount]]&gt;=500,"Medium","Low")))</f>
        <v>Low</v>
      </c>
      <c r="M937" s="4" t="str" cm="1">
        <f t="array" ref="M93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37" s="4" cm="1">
        <f t="array" ref="N93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937" s="4">
        <f>Table15678[[#This Row],[Total Amount]]-Table15678[[#This Row],[Discount Amount]]</f>
        <v>180</v>
      </c>
      <c r="P937" s="4" t="str">
        <f>IF(Table15678[[#This Row],[Total Amount]]&gt;=1000,"High","Low")</f>
        <v>Low</v>
      </c>
      <c r="Q937" s="4" t="str" cm="1">
        <f t="array" ref="Q937">_xlfn.IFS(AND(Table15678[[#This Row],[Total Amount]]&gt;=1500,"Critical"),AND(Table15678[[#This Row],[Total Amount]]&gt;=1000,"High"),TRUE,"Normal")</f>
        <v>Normal</v>
      </c>
      <c r="R937" s="4" t="str">
        <f>CONCATENATE(Table15678[[#This Row],[Customer ID]], "-",Table15678[[#This Row],[Age]])</f>
        <v>CUST936-57</v>
      </c>
      <c r="S937" s="4" t="str">
        <f>TEXT(Table15678[[#This Row],[Date]],"mmm")</f>
        <v>Feb</v>
      </c>
      <c r="T937" s="4" t="str">
        <f>TEXT(Table15678[[#This Row],[Date]],"DDD")</f>
        <v>Tue</v>
      </c>
    </row>
    <row r="938" spans="1:20" ht="29" x14ac:dyDescent="0.35">
      <c r="A938" s="4">
        <v>937</v>
      </c>
      <c r="B938" s="5">
        <v>45222</v>
      </c>
      <c r="C938" s="4" t="s">
        <v>950</v>
      </c>
      <c r="D938" s="4" t="s">
        <v>13</v>
      </c>
      <c r="E938" s="4">
        <v>62</v>
      </c>
      <c r="F938" s="4" t="str">
        <f>IF(Table15678[[#This Row],[Age]]&lt;=19,"Teenager",IF(Table15678[[#This Row],[Age]]&lt;=40,"Median","Old"))</f>
        <v>Old</v>
      </c>
      <c r="G938" s="4" t="s">
        <v>11</v>
      </c>
      <c r="H938" s="4">
        <v>1</v>
      </c>
      <c r="I938" s="4">
        <v>500</v>
      </c>
      <c r="J938" s="4">
        <v>500</v>
      </c>
      <c r="K938" s="4" t="str" cm="1">
        <f t="array" ref="K938">_xlfn.IFS(AND(Table15678[[#This Row],[Total Amount]]&gt;=1500),"Critical",AND(Table15678[[#This Row],[Total Amount]]&gt;=1000),"High",TRUE,"Normal")</f>
        <v>Normal</v>
      </c>
      <c r="L938" s="4" t="str">
        <f>IF(Table15678[[#This Row],[Total Amount]]&gt;=1000,"High",(IF(Table15678[[#This Row],[Total Amount]]&gt;=500,"Medium","Low")))</f>
        <v>Medium</v>
      </c>
      <c r="M938" s="4" t="str" cm="1">
        <f t="array" ref="M93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38" s="4" cm="1">
        <f t="array" ref="N93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938" s="4">
        <f>Table15678[[#This Row],[Total Amount]]-Table15678[[#This Row],[Discount Amount]]</f>
        <v>400</v>
      </c>
      <c r="P938" s="4" t="str">
        <f>IF(Table15678[[#This Row],[Total Amount]]&gt;=1000,"High","Low")</f>
        <v>Low</v>
      </c>
      <c r="Q938" s="4" t="str" cm="1">
        <f t="array" ref="Q938">_xlfn.IFS(AND(Table15678[[#This Row],[Total Amount]]&gt;=1500,"Critical"),AND(Table15678[[#This Row],[Total Amount]]&gt;=1000,"High"),TRUE,"Normal")</f>
        <v>Normal</v>
      </c>
      <c r="R938" s="4" t="str">
        <f>CONCATENATE(Table15678[[#This Row],[Customer ID]], "-",Table15678[[#This Row],[Age]])</f>
        <v>CUST937-62</v>
      </c>
      <c r="S938" s="4" t="str">
        <f>TEXT(Table15678[[#This Row],[Date]],"mmm")</f>
        <v>Oct</v>
      </c>
      <c r="T938" s="4" t="str">
        <f>TEXT(Table15678[[#This Row],[Date]],"DDD")</f>
        <v>Mon</v>
      </c>
    </row>
    <row r="939" spans="1:20" ht="29" x14ac:dyDescent="0.35">
      <c r="A939" s="4">
        <v>938</v>
      </c>
      <c r="B939" s="5">
        <v>45249</v>
      </c>
      <c r="C939" s="4" t="s">
        <v>951</v>
      </c>
      <c r="D939" s="4" t="s">
        <v>10</v>
      </c>
      <c r="E939" s="4">
        <v>49</v>
      </c>
      <c r="F939" s="4" t="str">
        <f>IF(Table15678[[#This Row],[Age]]&lt;=19,"Teenager",IF(Table15678[[#This Row],[Age]]&lt;=40,"Median","Old"))</f>
        <v>Old</v>
      </c>
      <c r="G939" s="4" t="s">
        <v>14</v>
      </c>
      <c r="H939" s="4">
        <v>4</v>
      </c>
      <c r="I939" s="4">
        <v>50</v>
      </c>
      <c r="J939" s="4">
        <v>200</v>
      </c>
      <c r="K939" s="4" t="str" cm="1">
        <f t="array" ref="K939">_xlfn.IFS(AND(Table15678[[#This Row],[Total Amount]]&gt;=1500),"Critical",AND(Table15678[[#This Row],[Total Amount]]&gt;=1000),"High",TRUE,"Normal")</f>
        <v>Normal</v>
      </c>
      <c r="L939" s="4" t="str">
        <f>IF(Table15678[[#This Row],[Total Amount]]&gt;=1000,"High",(IF(Table15678[[#This Row],[Total Amount]]&gt;=500,"Medium","Low")))</f>
        <v>Low</v>
      </c>
      <c r="M939" s="4" t="str" cm="1">
        <f t="array" ref="M93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39" s="4" cm="1">
        <f t="array" ref="N93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939" s="4">
        <f>Table15678[[#This Row],[Total Amount]]-Table15678[[#This Row],[Discount Amount]]</f>
        <v>180</v>
      </c>
      <c r="P939" s="4" t="str">
        <f>IF(Table15678[[#This Row],[Total Amount]]&gt;=1000,"High","Low")</f>
        <v>Low</v>
      </c>
      <c r="Q939" s="4" t="str" cm="1">
        <f t="array" ref="Q939">_xlfn.IFS(AND(Table15678[[#This Row],[Total Amount]]&gt;=1500,"Critical"),AND(Table15678[[#This Row],[Total Amount]]&gt;=1000,"High"),TRUE,"Normal")</f>
        <v>Normal</v>
      </c>
      <c r="R939" s="4" t="str">
        <f>CONCATENATE(Table15678[[#This Row],[Customer ID]], "-",Table15678[[#This Row],[Age]])</f>
        <v>CUST938-49</v>
      </c>
      <c r="S939" s="4" t="str">
        <f>TEXT(Table15678[[#This Row],[Date]],"mmm")</f>
        <v>Nov</v>
      </c>
      <c r="T939" s="4" t="str">
        <f>TEXT(Table15678[[#This Row],[Date]],"DDD")</f>
        <v>Sun</v>
      </c>
    </row>
    <row r="940" spans="1:20" ht="29" x14ac:dyDescent="0.35">
      <c r="A940" s="4">
        <v>939</v>
      </c>
      <c r="B940" s="5">
        <v>45278</v>
      </c>
      <c r="C940" s="4" t="s">
        <v>952</v>
      </c>
      <c r="D940" s="4" t="s">
        <v>13</v>
      </c>
      <c r="E940" s="4">
        <v>46</v>
      </c>
      <c r="F940" s="4" t="str">
        <f>IF(Table15678[[#This Row],[Age]]&lt;=19,"Teenager",IF(Table15678[[#This Row],[Age]]&lt;=40,"Median","Old"))</f>
        <v>Old</v>
      </c>
      <c r="G940" s="4" t="s">
        <v>16</v>
      </c>
      <c r="H940" s="4">
        <v>1</v>
      </c>
      <c r="I940" s="4">
        <v>300</v>
      </c>
      <c r="J940" s="4">
        <v>300</v>
      </c>
      <c r="K940" s="4" t="str" cm="1">
        <f t="array" ref="K940">_xlfn.IFS(AND(Table15678[[#This Row],[Total Amount]]&gt;=1500),"Critical",AND(Table15678[[#This Row],[Total Amount]]&gt;=1000),"High",TRUE,"Normal")</f>
        <v>Normal</v>
      </c>
      <c r="L940" s="4" t="str">
        <f>IF(Table15678[[#This Row],[Total Amount]]&gt;=1000,"High",(IF(Table15678[[#This Row],[Total Amount]]&gt;=500,"Medium","Low")))</f>
        <v>Low</v>
      </c>
      <c r="M940" s="4" t="str" cm="1">
        <f t="array" ref="M94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40" s="4" cm="1">
        <f t="array" ref="N94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60</v>
      </c>
      <c r="O940" s="4">
        <f>Table15678[[#This Row],[Total Amount]]-Table15678[[#This Row],[Discount Amount]]</f>
        <v>240</v>
      </c>
      <c r="P940" s="4" t="str">
        <f>IF(Table15678[[#This Row],[Total Amount]]&gt;=1000,"High","Low")</f>
        <v>Low</v>
      </c>
      <c r="Q940" s="4" t="str" cm="1">
        <f t="array" ref="Q940">_xlfn.IFS(AND(Table15678[[#This Row],[Total Amount]]&gt;=1500,"Critical"),AND(Table15678[[#This Row],[Total Amount]]&gt;=1000,"High"),TRUE,"Normal")</f>
        <v>Normal</v>
      </c>
      <c r="R940" s="4" t="str">
        <f>CONCATENATE(Table15678[[#This Row],[Customer ID]], "-",Table15678[[#This Row],[Age]])</f>
        <v>CUST939-46</v>
      </c>
      <c r="S940" s="4" t="str">
        <f>TEXT(Table15678[[#This Row],[Date]],"mmm")</f>
        <v>Dec</v>
      </c>
      <c r="T940" s="4" t="str">
        <f>TEXT(Table15678[[#This Row],[Date]],"DDD")</f>
        <v>Mon</v>
      </c>
    </row>
    <row r="941" spans="1:20" ht="29" x14ac:dyDescent="0.35">
      <c r="A941" s="4">
        <v>940</v>
      </c>
      <c r="B941" s="5">
        <v>44954</v>
      </c>
      <c r="C941" s="4" t="s">
        <v>953</v>
      </c>
      <c r="D941" s="4" t="s">
        <v>13</v>
      </c>
      <c r="E941" s="4">
        <v>20</v>
      </c>
      <c r="F941" s="4" t="str">
        <f>IF(Table15678[[#This Row],[Age]]&lt;=19,"Teenager",IF(Table15678[[#This Row],[Age]]&lt;=40,"Median","Old"))</f>
        <v>Median</v>
      </c>
      <c r="G941" s="4" t="s">
        <v>16</v>
      </c>
      <c r="H941" s="4">
        <v>1</v>
      </c>
      <c r="I941" s="4">
        <v>30</v>
      </c>
      <c r="J941" s="4">
        <v>30</v>
      </c>
      <c r="K941" s="4" t="str" cm="1">
        <f t="array" ref="K941">_xlfn.IFS(AND(Table15678[[#This Row],[Total Amount]]&gt;=1500),"Critical",AND(Table15678[[#This Row],[Total Amount]]&gt;=1000),"High",TRUE,"Normal")</f>
        <v>Normal</v>
      </c>
      <c r="L941" s="4" t="str">
        <f>IF(Table15678[[#This Row],[Total Amount]]&gt;=1000,"High",(IF(Table15678[[#This Row],[Total Amount]]&gt;=500,"Medium","Low")))</f>
        <v>Low</v>
      </c>
      <c r="M941" s="4" t="str" cm="1">
        <f t="array" ref="M94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941" s="4" cm="1">
        <f t="array" ref="N94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941" s="4">
        <f>Table15678[[#This Row],[Total Amount]]-Table15678[[#This Row],[Discount Amount]]</f>
        <v>30</v>
      </c>
      <c r="P941" s="4" t="str">
        <f>IF(Table15678[[#This Row],[Total Amount]]&gt;=1000,"High","Low")</f>
        <v>Low</v>
      </c>
      <c r="Q941" s="4" t="str" cm="1">
        <f t="array" ref="Q941">_xlfn.IFS(AND(Table15678[[#This Row],[Total Amount]]&gt;=1500,"Critical"),AND(Table15678[[#This Row],[Total Amount]]&gt;=1000,"High"),TRUE,"Normal")</f>
        <v>Normal</v>
      </c>
      <c r="R941" s="4" t="str">
        <f>CONCATENATE(Table15678[[#This Row],[Customer ID]], "-",Table15678[[#This Row],[Age]])</f>
        <v>CUST940-20</v>
      </c>
      <c r="S941" s="4" t="str">
        <f>TEXT(Table15678[[#This Row],[Date]],"mmm")</f>
        <v>Jan</v>
      </c>
      <c r="T941" s="4" t="str">
        <f>TEXT(Table15678[[#This Row],[Date]],"DDD")</f>
        <v>Sat</v>
      </c>
    </row>
    <row r="942" spans="1:20" ht="29" x14ac:dyDescent="0.35">
      <c r="A942" s="4">
        <v>941</v>
      </c>
      <c r="B942" s="5">
        <v>45004</v>
      </c>
      <c r="C942" s="4" t="s">
        <v>954</v>
      </c>
      <c r="D942" s="4" t="s">
        <v>13</v>
      </c>
      <c r="E942" s="4">
        <v>57</v>
      </c>
      <c r="F942" s="4" t="str">
        <f>IF(Table15678[[#This Row],[Age]]&lt;=19,"Teenager",IF(Table15678[[#This Row],[Age]]&lt;=40,"Median","Old"))</f>
        <v>Old</v>
      </c>
      <c r="G942" s="4" t="s">
        <v>14</v>
      </c>
      <c r="H942" s="4">
        <v>2</v>
      </c>
      <c r="I942" s="4">
        <v>25</v>
      </c>
      <c r="J942" s="4">
        <v>50</v>
      </c>
      <c r="K942" s="4" t="str" cm="1">
        <f t="array" ref="K942">_xlfn.IFS(AND(Table15678[[#This Row],[Total Amount]]&gt;=1500),"Critical",AND(Table15678[[#This Row],[Total Amount]]&gt;=1000),"High",TRUE,"Normal")</f>
        <v>Normal</v>
      </c>
      <c r="L942" s="4" t="str">
        <f>IF(Table15678[[#This Row],[Total Amount]]&gt;=1000,"High",(IF(Table15678[[#This Row],[Total Amount]]&gt;=500,"Medium","Low")))</f>
        <v>Low</v>
      </c>
      <c r="M942" s="4" t="str" cm="1">
        <f t="array" ref="M94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42" s="4" cm="1">
        <f t="array" ref="N94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942" s="4">
        <f>Table15678[[#This Row],[Total Amount]]-Table15678[[#This Row],[Discount Amount]]</f>
        <v>40</v>
      </c>
      <c r="P942" s="4" t="str">
        <f>IF(Table15678[[#This Row],[Total Amount]]&gt;=1000,"High","Low")</f>
        <v>Low</v>
      </c>
      <c r="Q942" s="4" t="str" cm="1">
        <f t="array" ref="Q942">_xlfn.IFS(AND(Table15678[[#This Row],[Total Amount]]&gt;=1500,"Critical"),AND(Table15678[[#This Row],[Total Amount]]&gt;=1000,"High"),TRUE,"Normal")</f>
        <v>Normal</v>
      </c>
      <c r="R942" s="4" t="str">
        <f>CONCATENATE(Table15678[[#This Row],[Customer ID]], "-",Table15678[[#This Row],[Age]])</f>
        <v>CUST941-57</v>
      </c>
      <c r="S942" s="4" t="str">
        <f>TEXT(Table15678[[#This Row],[Date]],"mmm")</f>
        <v>Mar</v>
      </c>
      <c r="T942" s="4" t="str">
        <f>TEXT(Table15678[[#This Row],[Date]],"DDD")</f>
        <v>Sun</v>
      </c>
    </row>
    <row r="943" spans="1:20" ht="29" x14ac:dyDescent="0.35">
      <c r="A943" s="4">
        <v>942</v>
      </c>
      <c r="B943" s="5">
        <v>45003</v>
      </c>
      <c r="C943" s="4" t="s">
        <v>955</v>
      </c>
      <c r="D943" s="4" t="s">
        <v>10</v>
      </c>
      <c r="E943" s="4">
        <v>51</v>
      </c>
      <c r="F943" s="4" t="str">
        <f>IF(Table15678[[#This Row],[Age]]&lt;=19,"Teenager",IF(Table15678[[#This Row],[Age]]&lt;=40,"Median","Old"))</f>
        <v>Old</v>
      </c>
      <c r="G943" s="4" t="s">
        <v>14</v>
      </c>
      <c r="H943" s="4">
        <v>3</v>
      </c>
      <c r="I943" s="4">
        <v>500</v>
      </c>
      <c r="J943" s="4">
        <v>1500</v>
      </c>
      <c r="K943" s="4" t="str" cm="1">
        <f t="array" ref="K943">_xlfn.IFS(AND(Table15678[[#This Row],[Total Amount]]&gt;=1500),"Critical",AND(Table15678[[#This Row],[Total Amount]]&gt;=1000),"High",TRUE,"Normal")</f>
        <v>Critical</v>
      </c>
      <c r="L943" s="4" t="str">
        <f>IF(Table15678[[#This Row],[Total Amount]]&gt;=1000,"High",(IF(Table15678[[#This Row],[Total Amount]]&gt;=500,"Medium","Low")))</f>
        <v>High</v>
      </c>
      <c r="M943" s="4" t="str" cm="1">
        <f t="array" ref="M94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43" s="4" cm="1">
        <f t="array" ref="N94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150</v>
      </c>
      <c r="O943" s="4">
        <f>Table15678[[#This Row],[Total Amount]]-Table15678[[#This Row],[Discount Amount]]</f>
        <v>1350</v>
      </c>
      <c r="P943" s="4" t="str">
        <f>IF(Table15678[[#This Row],[Total Amount]]&gt;=1000,"High","Low")</f>
        <v>High</v>
      </c>
      <c r="Q943" s="4" t="b" cm="1">
        <f t="array" ref="Q943">_xlfn.IFS(AND(Table15678[[#This Row],[Total Amount]]&gt;=1500,"Critical"),AND(Table15678[[#This Row],[Total Amount]]&gt;=1000,"High"),TRUE,"Normal")</f>
        <v>1</v>
      </c>
      <c r="R943" s="4" t="str">
        <f>CONCATENATE(Table15678[[#This Row],[Customer ID]], "-",Table15678[[#This Row],[Age]])</f>
        <v>CUST942-51</v>
      </c>
      <c r="S943" s="4" t="str">
        <f>TEXT(Table15678[[#This Row],[Date]],"mmm")</f>
        <v>Mar</v>
      </c>
      <c r="T943" s="4" t="str">
        <f>TEXT(Table15678[[#This Row],[Date]],"DDD")</f>
        <v>Sat</v>
      </c>
    </row>
    <row r="944" spans="1:20" ht="29" x14ac:dyDescent="0.35">
      <c r="A944" s="4">
        <v>943</v>
      </c>
      <c r="B944" s="5">
        <v>45215</v>
      </c>
      <c r="C944" s="4" t="s">
        <v>956</v>
      </c>
      <c r="D944" s="4" t="s">
        <v>13</v>
      </c>
      <c r="E944" s="4">
        <v>57</v>
      </c>
      <c r="F944" s="4" t="str">
        <f>IF(Table15678[[#This Row],[Age]]&lt;=19,"Teenager",IF(Table15678[[#This Row],[Age]]&lt;=40,"Median","Old"))</f>
        <v>Old</v>
      </c>
      <c r="G944" s="4" t="s">
        <v>14</v>
      </c>
      <c r="H944" s="4">
        <v>4</v>
      </c>
      <c r="I944" s="4">
        <v>300</v>
      </c>
      <c r="J944" s="4">
        <v>1200</v>
      </c>
      <c r="K944" s="4" t="str" cm="1">
        <f t="array" ref="K944">_xlfn.IFS(AND(Table15678[[#This Row],[Total Amount]]&gt;=1500),"Critical",AND(Table15678[[#This Row],[Total Amount]]&gt;=1000),"High",TRUE,"Normal")</f>
        <v>High</v>
      </c>
      <c r="L944" s="4" t="str">
        <f>IF(Table15678[[#This Row],[Total Amount]]&gt;=1000,"High",(IF(Table15678[[#This Row],[Total Amount]]&gt;=500,"Medium","Low")))</f>
        <v>High</v>
      </c>
      <c r="M944" s="4" t="str" cm="1">
        <f t="array" ref="M94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44" s="4" cm="1">
        <f t="array" ref="N94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240</v>
      </c>
      <c r="O944" s="4">
        <f>Table15678[[#This Row],[Total Amount]]-Table15678[[#This Row],[Discount Amount]]</f>
        <v>960</v>
      </c>
      <c r="P944" s="4" t="str">
        <f>IF(Table15678[[#This Row],[Total Amount]]&gt;=1000,"High","Low")</f>
        <v>High</v>
      </c>
      <c r="Q944" s="4" t="str" cm="1">
        <f t="array" ref="Q944">_xlfn.IFS(AND(Table15678[[#This Row],[Total Amount]]&gt;=1500,"Critical"),AND(Table15678[[#This Row],[Total Amount]]&gt;=1000,"High"),TRUE,"Normal")</f>
        <v>Normal</v>
      </c>
      <c r="R944" s="4" t="str">
        <f>CONCATENATE(Table15678[[#This Row],[Customer ID]], "-",Table15678[[#This Row],[Age]])</f>
        <v>CUST943-57</v>
      </c>
      <c r="S944" s="4" t="str">
        <f>TEXT(Table15678[[#This Row],[Date]],"mmm")</f>
        <v>Oct</v>
      </c>
      <c r="T944" s="4" t="str">
        <f>TEXT(Table15678[[#This Row],[Date]],"DDD")</f>
        <v>Mon</v>
      </c>
    </row>
    <row r="945" spans="1:20" ht="29" x14ac:dyDescent="0.35">
      <c r="A945" s="4">
        <v>944</v>
      </c>
      <c r="B945" s="5">
        <v>45082</v>
      </c>
      <c r="C945" s="4" t="s">
        <v>957</v>
      </c>
      <c r="D945" s="4" t="s">
        <v>10</v>
      </c>
      <c r="E945" s="4">
        <v>44</v>
      </c>
      <c r="F945" s="4" t="str">
        <f>IF(Table15678[[#This Row],[Age]]&lt;=19,"Teenager",IF(Table15678[[#This Row],[Age]]&lt;=40,"Median","Old"))</f>
        <v>Old</v>
      </c>
      <c r="G945" s="4" t="s">
        <v>14</v>
      </c>
      <c r="H945" s="4">
        <v>2</v>
      </c>
      <c r="I945" s="4">
        <v>25</v>
      </c>
      <c r="J945" s="4">
        <v>50</v>
      </c>
      <c r="K945" s="4" t="str" cm="1">
        <f t="array" ref="K945">_xlfn.IFS(AND(Table15678[[#This Row],[Total Amount]]&gt;=1500),"Critical",AND(Table15678[[#This Row],[Total Amount]]&gt;=1000),"High",TRUE,"Normal")</f>
        <v>Normal</v>
      </c>
      <c r="L945" s="4" t="str">
        <f>IF(Table15678[[#This Row],[Total Amount]]&gt;=1000,"High",(IF(Table15678[[#This Row],[Total Amount]]&gt;=500,"Medium","Low")))</f>
        <v>Low</v>
      </c>
      <c r="M945" s="4" t="str" cm="1">
        <f t="array" ref="M94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45" s="4" cm="1">
        <f t="array" ref="N94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945" s="4">
        <f>Table15678[[#This Row],[Total Amount]]-Table15678[[#This Row],[Discount Amount]]</f>
        <v>45</v>
      </c>
      <c r="P945" s="4" t="str">
        <f>IF(Table15678[[#This Row],[Total Amount]]&gt;=1000,"High","Low")</f>
        <v>Low</v>
      </c>
      <c r="Q945" s="4" t="str" cm="1">
        <f t="array" ref="Q945">_xlfn.IFS(AND(Table15678[[#This Row],[Total Amount]]&gt;=1500,"Critical"),AND(Table15678[[#This Row],[Total Amount]]&gt;=1000,"High"),TRUE,"Normal")</f>
        <v>Normal</v>
      </c>
      <c r="R945" s="4" t="str">
        <f>CONCATENATE(Table15678[[#This Row],[Customer ID]], "-",Table15678[[#This Row],[Age]])</f>
        <v>CUST944-44</v>
      </c>
      <c r="S945" s="4" t="str">
        <f>TEXT(Table15678[[#This Row],[Date]],"mmm")</f>
        <v>Jun</v>
      </c>
      <c r="T945" s="4" t="str">
        <f>TEXT(Table15678[[#This Row],[Date]],"DDD")</f>
        <v>Mon</v>
      </c>
    </row>
    <row r="946" spans="1:20" ht="29" x14ac:dyDescent="0.35">
      <c r="A946" s="4">
        <v>945</v>
      </c>
      <c r="B946" s="5">
        <v>44970</v>
      </c>
      <c r="C946" s="4" t="s">
        <v>958</v>
      </c>
      <c r="D946" s="4" t="s">
        <v>10</v>
      </c>
      <c r="E946" s="4">
        <v>30</v>
      </c>
      <c r="F946" s="4" t="str">
        <f>IF(Table15678[[#This Row],[Age]]&lt;=19,"Teenager",IF(Table15678[[#This Row],[Age]]&lt;=40,"Median","Old"))</f>
        <v>Median</v>
      </c>
      <c r="G946" s="4" t="s">
        <v>11</v>
      </c>
      <c r="H946" s="4">
        <v>1</v>
      </c>
      <c r="I946" s="4">
        <v>25</v>
      </c>
      <c r="J946" s="4">
        <v>25</v>
      </c>
      <c r="K946" s="4" t="str" cm="1">
        <f t="array" ref="K946">_xlfn.IFS(AND(Table15678[[#This Row],[Total Amount]]&gt;=1500),"Critical",AND(Table15678[[#This Row],[Total Amount]]&gt;=1000),"High",TRUE,"Normal")</f>
        <v>Normal</v>
      </c>
      <c r="L946" s="4" t="str">
        <f>IF(Table15678[[#This Row],[Total Amount]]&gt;=1000,"High",(IF(Table15678[[#This Row],[Total Amount]]&gt;=500,"Medium","Low")))</f>
        <v>Low</v>
      </c>
      <c r="M946" s="4" t="str" cm="1">
        <f t="array" ref="M94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46" s="4" cm="1">
        <f t="array" ref="N94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3.75</v>
      </c>
      <c r="O946" s="4">
        <f>Table15678[[#This Row],[Total Amount]]-Table15678[[#This Row],[Discount Amount]]</f>
        <v>21.25</v>
      </c>
      <c r="P946" s="4" t="str">
        <f>IF(Table15678[[#This Row],[Total Amount]]&gt;=1000,"High","Low")</f>
        <v>Low</v>
      </c>
      <c r="Q946" s="4" t="str" cm="1">
        <f t="array" ref="Q946">_xlfn.IFS(AND(Table15678[[#This Row],[Total Amount]]&gt;=1500,"Critical"),AND(Table15678[[#This Row],[Total Amount]]&gt;=1000,"High"),TRUE,"Normal")</f>
        <v>Normal</v>
      </c>
      <c r="R946" s="4" t="str">
        <f>CONCATENATE(Table15678[[#This Row],[Customer ID]], "-",Table15678[[#This Row],[Age]])</f>
        <v>CUST945-30</v>
      </c>
      <c r="S946" s="4" t="str">
        <f>TEXT(Table15678[[#This Row],[Date]],"mmm")</f>
        <v>Feb</v>
      </c>
      <c r="T946" s="4" t="str">
        <f>TEXT(Table15678[[#This Row],[Date]],"DDD")</f>
        <v>Mon</v>
      </c>
    </row>
    <row r="947" spans="1:20" ht="29" x14ac:dyDescent="0.35">
      <c r="A947" s="4">
        <v>946</v>
      </c>
      <c r="B947" s="5">
        <v>45054</v>
      </c>
      <c r="C947" s="4" t="s">
        <v>959</v>
      </c>
      <c r="D947" s="4" t="s">
        <v>10</v>
      </c>
      <c r="E947" s="4">
        <v>62</v>
      </c>
      <c r="F947" s="4" t="str">
        <f>IF(Table15678[[#This Row],[Age]]&lt;=19,"Teenager",IF(Table15678[[#This Row],[Age]]&lt;=40,"Median","Old"))</f>
        <v>Old</v>
      </c>
      <c r="G947" s="4" t="s">
        <v>16</v>
      </c>
      <c r="H947" s="4">
        <v>4</v>
      </c>
      <c r="I947" s="4">
        <v>500</v>
      </c>
      <c r="J947" s="4">
        <v>2000</v>
      </c>
      <c r="K947" s="4" t="str" cm="1">
        <f t="array" ref="K947">_xlfn.IFS(AND(Table15678[[#This Row],[Total Amount]]&gt;=1500),"Critical",AND(Table15678[[#This Row],[Total Amount]]&gt;=1000),"High",TRUE,"Normal")</f>
        <v>Critical</v>
      </c>
      <c r="L947" s="4" t="str">
        <f>IF(Table15678[[#This Row],[Total Amount]]&gt;=1000,"High",(IF(Table15678[[#This Row],[Total Amount]]&gt;=500,"Medium","Low")))</f>
        <v>High</v>
      </c>
      <c r="M947" s="4" t="str" cm="1">
        <f t="array" ref="M94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47" s="4" cm="1">
        <f t="array" ref="N94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947" s="4">
        <f>Table15678[[#This Row],[Total Amount]]-Table15678[[#This Row],[Discount Amount]]</f>
        <v>1800</v>
      </c>
      <c r="P947" s="4" t="str">
        <f>IF(Table15678[[#This Row],[Total Amount]]&gt;=1000,"High","Low")</f>
        <v>High</v>
      </c>
      <c r="Q947" s="4" t="b" cm="1">
        <f t="array" ref="Q947">_xlfn.IFS(AND(Table15678[[#This Row],[Total Amount]]&gt;=1500,"Critical"),AND(Table15678[[#This Row],[Total Amount]]&gt;=1000,"High"),TRUE,"Normal")</f>
        <v>1</v>
      </c>
      <c r="R947" s="4" t="str">
        <f>CONCATENATE(Table15678[[#This Row],[Customer ID]], "-",Table15678[[#This Row],[Age]])</f>
        <v>CUST946-62</v>
      </c>
      <c r="S947" s="4" t="str">
        <f>TEXT(Table15678[[#This Row],[Date]],"mmm")</f>
        <v>May</v>
      </c>
      <c r="T947" s="4" t="str">
        <f>TEXT(Table15678[[#This Row],[Date]],"DDD")</f>
        <v>Mon</v>
      </c>
    </row>
    <row r="948" spans="1:20" ht="29" x14ac:dyDescent="0.35">
      <c r="A948" s="4">
        <v>947</v>
      </c>
      <c r="B948" s="5">
        <v>44987</v>
      </c>
      <c r="C948" s="4" t="s">
        <v>960</v>
      </c>
      <c r="D948" s="4" t="s">
        <v>10</v>
      </c>
      <c r="E948" s="4">
        <v>50</v>
      </c>
      <c r="F948" s="4" t="str">
        <f>IF(Table15678[[#This Row],[Age]]&lt;=19,"Teenager",IF(Table15678[[#This Row],[Age]]&lt;=40,"Median","Old"))</f>
        <v>Old</v>
      </c>
      <c r="G948" s="4" t="s">
        <v>11</v>
      </c>
      <c r="H948" s="4">
        <v>1</v>
      </c>
      <c r="I948" s="4">
        <v>300</v>
      </c>
      <c r="J948" s="4">
        <v>300</v>
      </c>
      <c r="K948" s="4" t="str" cm="1">
        <f t="array" ref="K948">_xlfn.IFS(AND(Table15678[[#This Row],[Total Amount]]&gt;=1500),"Critical",AND(Table15678[[#This Row],[Total Amount]]&gt;=1000),"High",TRUE,"Normal")</f>
        <v>Normal</v>
      </c>
      <c r="L948" s="4" t="str">
        <f>IF(Table15678[[#This Row],[Total Amount]]&gt;=1000,"High",(IF(Table15678[[#This Row],[Total Amount]]&gt;=500,"Medium","Low")))</f>
        <v>Low</v>
      </c>
      <c r="M948" s="4" t="str" cm="1">
        <f t="array" ref="M94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48" s="4" cm="1">
        <f t="array" ref="N94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948" s="4">
        <f>Table15678[[#This Row],[Total Amount]]-Table15678[[#This Row],[Discount Amount]]</f>
        <v>270</v>
      </c>
      <c r="P948" s="4" t="str">
        <f>IF(Table15678[[#This Row],[Total Amount]]&gt;=1000,"High","Low")</f>
        <v>Low</v>
      </c>
      <c r="Q948" s="4" t="str" cm="1">
        <f t="array" ref="Q948">_xlfn.IFS(AND(Table15678[[#This Row],[Total Amount]]&gt;=1500,"Critical"),AND(Table15678[[#This Row],[Total Amount]]&gt;=1000,"High"),TRUE,"Normal")</f>
        <v>Normal</v>
      </c>
      <c r="R948" s="4" t="str">
        <f>CONCATENATE(Table15678[[#This Row],[Customer ID]], "-",Table15678[[#This Row],[Age]])</f>
        <v>CUST947-50</v>
      </c>
      <c r="S948" s="4" t="str">
        <f>TEXT(Table15678[[#This Row],[Date]],"mmm")</f>
        <v>Mar</v>
      </c>
      <c r="T948" s="4" t="str">
        <f>TEXT(Table15678[[#This Row],[Date]],"DDD")</f>
        <v>Thu</v>
      </c>
    </row>
    <row r="949" spans="1:20" ht="29" x14ac:dyDescent="0.35">
      <c r="A949" s="4">
        <v>948</v>
      </c>
      <c r="B949" s="5">
        <v>45212</v>
      </c>
      <c r="C949" s="4" t="s">
        <v>961</v>
      </c>
      <c r="D949" s="4" t="s">
        <v>13</v>
      </c>
      <c r="E949" s="4">
        <v>23</v>
      </c>
      <c r="F949" s="4" t="str">
        <f>IF(Table15678[[#This Row],[Age]]&lt;=19,"Teenager",IF(Table15678[[#This Row],[Age]]&lt;=40,"Median","Old"))</f>
        <v>Median</v>
      </c>
      <c r="G949" s="4" t="s">
        <v>16</v>
      </c>
      <c r="H949" s="4">
        <v>3</v>
      </c>
      <c r="I949" s="4">
        <v>25</v>
      </c>
      <c r="J949" s="4">
        <v>75</v>
      </c>
      <c r="K949" s="4" t="str" cm="1">
        <f t="array" ref="K949">_xlfn.IFS(AND(Table15678[[#This Row],[Total Amount]]&gt;=1500),"Critical",AND(Table15678[[#This Row],[Total Amount]]&gt;=1000),"High",TRUE,"Normal")</f>
        <v>Normal</v>
      </c>
      <c r="L949" s="4" t="str">
        <f>IF(Table15678[[#This Row],[Total Amount]]&gt;=1000,"High",(IF(Table15678[[#This Row],[Total Amount]]&gt;=500,"Medium","Low")))</f>
        <v>Low</v>
      </c>
      <c r="M949" s="4" t="str" cm="1">
        <f t="array" ref="M94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949" s="4" cm="1">
        <f t="array" ref="N94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949" s="4">
        <f>Table15678[[#This Row],[Total Amount]]-Table15678[[#This Row],[Discount Amount]]</f>
        <v>75</v>
      </c>
      <c r="P949" s="4" t="str">
        <f>IF(Table15678[[#This Row],[Total Amount]]&gt;=1000,"High","Low")</f>
        <v>Low</v>
      </c>
      <c r="Q949" s="4" t="str" cm="1">
        <f t="array" ref="Q949">_xlfn.IFS(AND(Table15678[[#This Row],[Total Amount]]&gt;=1500,"Critical"),AND(Table15678[[#This Row],[Total Amount]]&gt;=1000,"High"),TRUE,"Normal")</f>
        <v>Normal</v>
      </c>
      <c r="R949" s="4" t="str">
        <f>CONCATENATE(Table15678[[#This Row],[Customer ID]], "-",Table15678[[#This Row],[Age]])</f>
        <v>CUST948-23</v>
      </c>
      <c r="S949" s="4" t="str">
        <f>TEXT(Table15678[[#This Row],[Date]],"mmm")</f>
        <v>Oct</v>
      </c>
      <c r="T949" s="4" t="str">
        <f>TEXT(Table15678[[#This Row],[Date]],"DDD")</f>
        <v>Fri</v>
      </c>
    </row>
    <row r="950" spans="1:20" ht="29" x14ac:dyDescent="0.35">
      <c r="A950" s="4">
        <v>949</v>
      </c>
      <c r="B950" s="5">
        <v>45140</v>
      </c>
      <c r="C950" s="4" t="s">
        <v>962</v>
      </c>
      <c r="D950" s="4" t="s">
        <v>13</v>
      </c>
      <c r="E950" s="4">
        <v>41</v>
      </c>
      <c r="F950" s="4" t="str">
        <f>IF(Table15678[[#This Row],[Age]]&lt;=19,"Teenager",IF(Table15678[[#This Row],[Age]]&lt;=40,"Median","Old"))</f>
        <v>Old</v>
      </c>
      <c r="G950" s="4" t="s">
        <v>16</v>
      </c>
      <c r="H950" s="4">
        <v>2</v>
      </c>
      <c r="I950" s="4">
        <v>25</v>
      </c>
      <c r="J950" s="4">
        <v>50</v>
      </c>
      <c r="K950" s="4" t="str" cm="1">
        <f t="array" ref="K950">_xlfn.IFS(AND(Table15678[[#This Row],[Total Amount]]&gt;=1500),"Critical",AND(Table15678[[#This Row],[Total Amount]]&gt;=1000),"High",TRUE,"Normal")</f>
        <v>Normal</v>
      </c>
      <c r="L950" s="4" t="str">
        <f>IF(Table15678[[#This Row],[Total Amount]]&gt;=1000,"High",(IF(Table15678[[#This Row],[Total Amount]]&gt;=500,"Medium","Low")))</f>
        <v>Low</v>
      </c>
      <c r="M950" s="4" t="str" cm="1">
        <f t="array" ref="M95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50" s="4" cm="1">
        <f t="array" ref="N95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950" s="4">
        <f>Table15678[[#This Row],[Total Amount]]-Table15678[[#This Row],[Discount Amount]]</f>
        <v>40</v>
      </c>
      <c r="P950" s="4" t="str">
        <f>IF(Table15678[[#This Row],[Total Amount]]&gt;=1000,"High","Low")</f>
        <v>Low</v>
      </c>
      <c r="Q950" s="4" t="str" cm="1">
        <f t="array" ref="Q950">_xlfn.IFS(AND(Table15678[[#This Row],[Total Amount]]&gt;=1500,"Critical"),AND(Table15678[[#This Row],[Total Amount]]&gt;=1000,"High"),TRUE,"Normal")</f>
        <v>Normal</v>
      </c>
      <c r="R950" s="4" t="str">
        <f>CONCATENATE(Table15678[[#This Row],[Customer ID]], "-",Table15678[[#This Row],[Age]])</f>
        <v>CUST949-41</v>
      </c>
      <c r="S950" s="4" t="str">
        <f>TEXT(Table15678[[#This Row],[Date]],"mmm")</f>
        <v>Aug</v>
      </c>
      <c r="T950" s="4" t="str">
        <f>TEXT(Table15678[[#This Row],[Date]],"DDD")</f>
        <v>Wed</v>
      </c>
    </row>
    <row r="951" spans="1:20" ht="29" x14ac:dyDescent="0.35">
      <c r="A951" s="4">
        <v>950</v>
      </c>
      <c r="B951" s="5">
        <v>45237</v>
      </c>
      <c r="C951" s="4" t="s">
        <v>963</v>
      </c>
      <c r="D951" s="4" t="s">
        <v>10</v>
      </c>
      <c r="E951" s="4">
        <v>36</v>
      </c>
      <c r="F951" s="4" t="str">
        <f>IF(Table15678[[#This Row],[Age]]&lt;=19,"Teenager",IF(Table15678[[#This Row],[Age]]&lt;=40,"Median","Old"))</f>
        <v>Median</v>
      </c>
      <c r="G951" s="4" t="s">
        <v>14</v>
      </c>
      <c r="H951" s="4">
        <v>3</v>
      </c>
      <c r="I951" s="4">
        <v>300</v>
      </c>
      <c r="J951" s="4">
        <v>900</v>
      </c>
      <c r="K951" s="4" t="str" cm="1">
        <f t="array" ref="K951">_xlfn.IFS(AND(Table15678[[#This Row],[Total Amount]]&gt;=1500),"Critical",AND(Table15678[[#This Row],[Total Amount]]&gt;=1000),"High",TRUE,"Normal")</f>
        <v>Normal</v>
      </c>
      <c r="L951" s="4" t="str">
        <f>IF(Table15678[[#This Row],[Total Amount]]&gt;=1000,"High",(IF(Table15678[[#This Row],[Total Amount]]&gt;=500,"Medium","Low")))</f>
        <v>Medium</v>
      </c>
      <c r="M951" s="4" t="str" cm="1">
        <f t="array" ref="M95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51" s="4" cm="1">
        <f t="array" ref="N95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90</v>
      </c>
      <c r="O951" s="4">
        <f>Table15678[[#This Row],[Total Amount]]-Table15678[[#This Row],[Discount Amount]]</f>
        <v>810</v>
      </c>
      <c r="P951" s="4" t="str">
        <f>IF(Table15678[[#This Row],[Total Amount]]&gt;=1000,"High","Low")</f>
        <v>Low</v>
      </c>
      <c r="Q951" s="4" t="str" cm="1">
        <f t="array" ref="Q951">_xlfn.IFS(AND(Table15678[[#This Row],[Total Amount]]&gt;=1500,"Critical"),AND(Table15678[[#This Row],[Total Amount]]&gt;=1000,"High"),TRUE,"Normal")</f>
        <v>Normal</v>
      </c>
      <c r="R951" s="4" t="str">
        <f>CONCATENATE(Table15678[[#This Row],[Customer ID]], "-",Table15678[[#This Row],[Age]])</f>
        <v>CUST950-36</v>
      </c>
      <c r="S951" s="4" t="str">
        <f>TEXT(Table15678[[#This Row],[Date]],"mmm")</f>
        <v>Nov</v>
      </c>
      <c r="T951" s="4" t="str">
        <f>TEXT(Table15678[[#This Row],[Date]],"DDD")</f>
        <v>Tue</v>
      </c>
    </row>
    <row r="952" spans="1:20" ht="29" x14ac:dyDescent="0.35">
      <c r="A952" s="4">
        <v>951</v>
      </c>
      <c r="B952" s="5">
        <v>45232</v>
      </c>
      <c r="C952" s="4" t="s">
        <v>964</v>
      </c>
      <c r="D952" s="4" t="s">
        <v>10</v>
      </c>
      <c r="E952" s="4">
        <v>33</v>
      </c>
      <c r="F952" s="4" t="str">
        <f>IF(Table15678[[#This Row],[Age]]&lt;=19,"Teenager",IF(Table15678[[#This Row],[Age]]&lt;=40,"Median","Old"))</f>
        <v>Median</v>
      </c>
      <c r="G952" s="4" t="s">
        <v>11</v>
      </c>
      <c r="H952" s="4">
        <v>2</v>
      </c>
      <c r="I952" s="4">
        <v>50</v>
      </c>
      <c r="J952" s="4">
        <v>100</v>
      </c>
      <c r="K952" s="4" t="str" cm="1">
        <f t="array" ref="K952">_xlfn.IFS(AND(Table15678[[#This Row],[Total Amount]]&gt;=1500),"Critical",AND(Table15678[[#This Row],[Total Amount]]&gt;=1000),"High",TRUE,"Normal")</f>
        <v>Normal</v>
      </c>
      <c r="L952" s="4" t="str">
        <f>IF(Table15678[[#This Row],[Total Amount]]&gt;=1000,"High",(IF(Table15678[[#This Row],[Total Amount]]&gt;=500,"Medium","Low")))</f>
        <v>Low</v>
      </c>
      <c r="M952" s="4" t="str" cm="1">
        <f t="array" ref="M95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52" s="4" cm="1">
        <f t="array" ref="N95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952" s="4">
        <f>Table15678[[#This Row],[Total Amount]]-Table15678[[#This Row],[Discount Amount]]</f>
        <v>85</v>
      </c>
      <c r="P952" s="4" t="str">
        <f>IF(Table15678[[#This Row],[Total Amount]]&gt;=1000,"High","Low")</f>
        <v>Low</v>
      </c>
      <c r="Q952" s="4" t="str" cm="1">
        <f t="array" ref="Q952">_xlfn.IFS(AND(Table15678[[#This Row],[Total Amount]]&gt;=1500,"Critical"),AND(Table15678[[#This Row],[Total Amount]]&gt;=1000,"High"),TRUE,"Normal")</f>
        <v>Normal</v>
      </c>
      <c r="R952" s="4" t="str">
        <f>CONCATENATE(Table15678[[#This Row],[Customer ID]], "-",Table15678[[#This Row],[Age]])</f>
        <v>CUST951-33</v>
      </c>
      <c r="S952" s="4" t="str">
        <f>TEXT(Table15678[[#This Row],[Date]],"mmm")</f>
        <v>Nov</v>
      </c>
      <c r="T952" s="4" t="str">
        <f>TEXT(Table15678[[#This Row],[Date]],"DDD")</f>
        <v>Thu</v>
      </c>
    </row>
    <row r="953" spans="1:20" ht="29" x14ac:dyDescent="0.35">
      <c r="A953" s="4">
        <v>952</v>
      </c>
      <c r="B953" s="5">
        <v>45243</v>
      </c>
      <c r="C953" s="4" t="s">
        <v>965</v>
      </c>
      <c r="D953" s="4" t="s">
        <v>13</v>
      </c>
      <c r="E953" s="4">
        <v>57</v>
      </c>
      <c r="F953" s="4" t="str">
        <f>IF(Table15678[[#This Row],[Age]]&lt;=19,"Teenager",IF(Table15678[[#This Row],[Age]]&lt;=40,"Median","Old"))</f>
        <v>Old</v>
      </c>
      <c r="G953" s="4" t="s">
        <v>14</v>
      </c>
      <c r="H953" s="4">
        <v>1</v>
      </c>
      <c r="I953" s="4">
        <v>25</v>
      </c>
      <c r="J953" s="4">
        <v>25</v>
      </c>
      <c r="K953" s="4" t="str" cm="1">
        <f t="array" ref="K953">_xlfn.IFS(AND(Table15678[[#This Row],[Total Amount]]&gt;=1500),"Critical",AND(Table15678[[#This Row],[Total Amount]]&gt;=1000),"High",TRUE,"Normal")</f>
        <v>Normal</v>
      </c>
      <c r="L953" s="4" t="str">
        <f>IF(Table15678[[#This Row],[Total Amount]]&gt;=1000,"High",(IF(Table15678[[#This Row],[Total Amount]]&gt;=500,"Medium","Low")))</f>
        <v>Low</v>
      </c>
      <c r="M953" s="4" t="str" cm="1">
        <f t="array" ref="M95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53" s="4" cm="1">
        <f t="array" ref="N95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953" s="4">
        <f>Table15678[[#This Row],[Total Amount]]-Table15678[[#This Row],[Discount Amount]]</f>
        <v>20</v>
      </c>
      <c r="P953" s="4" t="str">
        <f>IF(Table15678[[#This Row],[Total Amount]]&gt;=1000,"High","Low")</f>
        <v>Low</v>
      </c>
      <c r="Q953" s="4" t="str" cm="1">
        <f t="array" ref="Q953">_xlfn.IFS(AND(Table15678[[#This Row],[Total Amount]]&gt;=1500,"Critical"),AND(Table15678[[#This Row],[Total Amount]]&gt;=1000,"High"),TRUE,"Normal")</f>
        <v>Normal</v>
      </c>
      <c r="R953" s="4" t="str">
        <f>CONCATENATE(Table15678[[#This Row],[Customer ID]], "-",Table15678[[#This Row],[Age]])</f>
        <v>CUST952-57</v>
      </c>
      <c r="S953" s="4" t="str">
        <f>TEXT(Table15678[[#This Row],[Date]],"mmm")</f>
        <v>Nov</v>
      </c>
      <c r="T953" s="4" t="str">
        <f>TEXT(Table15678[[#This Row],[Date]],"DDD")</f>
        <v>Mon</v>
      </c>
    </row>
    <row r="954" spans="1:20" ht="29" x14ac:dyDescent="0.35">
      <c r="A954" s="4">
        <v>953</v>
      </c>
      <c r="B954" s="5">
        <v>45042</v>
      </c>
      <c r="C954" s="4" t="s">
        <v>966</v>
      </c>
      <c r="D954" s="4" t="s">
        <v>10</v>
      </c>
      <c r="E954" s="4">
        <v>45</v>
      </c>
      <c r="F954" s="4" t="str">
        <f>IF(Table15678[[#This Row],[Age]]&lt;=19,"Teenager",IF(Table15678[[#This Row],[Age]]&lt;=40,"Median","Old"))</f>
        <v>Old</v>
      </c>
      <c r="G954" s="4" t="s">
        <v>11</v>
      </c>
      <c r="H954" s="4">
        <v>3</v>
      </c>
      <c r="I954" s="4">
        <v>30</v>
      </c>
      <c r="J954" s="4">
        <v>90</v>
      </c>
      <c r="K954" s="4" t="str" cm="1">
        <f t="array" ref="K954">_xlfn.IFS(AND(Table15678[[#This Row],[Total Amount]]&gt;=1500),"Critical",AND(Table15678[[#This Row],[Total Amount]]&gt;=1000),"High",TRUE,"Normal")</f>
        <v>Normal</v>
      </c>
      <c r="L954" s="4" t="str">
        <f>IF(Table15678[[#This Row],[Total Amount]]&gt;=1000,"High",(IF(Table15678[[#This Row],[Total Amount]]&gt;=500,"Medium","Low")))</f>
        <v>Low</v>
      </c>
      <c r="M954" s="4" t="str" cm="1">
        <f t="array" ref="M95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54" s="4" cm="1">
        <f t="array" ref="N95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</v>
      </c>
      <c r="O954" s="4">
        <f>Table15678[[#This Row],[Total Amount]]-Table15678[[#This Row],[Discount Amount]]</f>
        <v>81</v>
      </c>
      <c r="P954" s="4" t="str">
        <f>IF(Table15678[[#This Row],[Total Amount]]&gt;=1000,"High","Low")</f>
        <v>Low</v>
      </c>
      <c r="Q954" s="4" t="str" cm="1">
        <f t="array" ref="Q954">_xlfn.IFS(AND(Table15678[[#This Row],[Total Amount]]&gt;=1500,"Critical"),AND(Table15678[[#This Row],[Total Amount]]&gt;=1000,"High"),TRUE,"Normal")</f>
        <v>Normal</v>
      </c>
      <c r="R954" s="4" t="str">
        <f>CONCATENATE(Table15678[[#This Row],[Customer ID]], "-",Table15678[[#This Row],[Age]])</f>
        <v>CUST953-45</v>
      </c>
      <c r="S954" s="4" t="str">
        <f>TEXT(Table15678[[#This Row],[Date]],"mmm")</f>
        <v>Apr</v>
      </c>
      <c r="T954" s="4" t="str">
        <f>TEXT(Table15678[[#This Row],[Date]],"DDD")</f>
        <v>Wed</v>
      </c>
    </row>
    <row r="955" spans="1:20" ht="29" x14ac:dyDescent="0.35">
      <c r="A955" s="4">
        <v>954</v>
      </c>
      <c r="B955" s="5">
        <v>45194</v>
      </c>
      <c r="C955" s="4" t="s">
        <v>967</v>
      </c>
      <c r="D955" s="4" t="s">
        <v>13</v>
      </c>
      <c r="E955" s="4">
        <v>50</v>
      </c>
      <c r="F955" s="4" t="str">
        <f>IF(Table15678[[#This Row],[Age]]&lt;=19,"Teenager",IF(Table15678[[#This Row],[Age]]&lt;=40,"Median","Old"))</f>
        <v>Old</v>
      </c>
      <c r="G955" s="4" t="s">
        <v>16</v>
      </c>
      <c r="H955" s="4">
        <v>3</v>
      </c>
      <c r="I955" s="4">
        <v>300</v>
      </c>
      <c r="J955" s="4">
        <v>900</v>
      </c>
      <c r="K955" s="4" t="str" cm="1">
        <f t="array" ref="K955">_xlfn.IFS(AND(Table15678[[#This Row],[Total Amount]]&gt;=1500),"Critical",AND(Table15678[[#This Row],[Total Amount]]&gt;=1000),"High",TRUE,"Normal")</f>
        <v>Normal</v>
      </c>
      <c r="L955" s="4" t="str">
        <f>IF(Table15678[[#This Row],[Total Amount]]&gt;=1000,"High",(IF(Table15678[[#This Row],[Total Amount]]&gt;=500,"Medium","Low")))</f>
        <v>Medium</v>
      </c>
      <c r="M955" s="4" t="str" cm="1">
        <f t="array" ref="M95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55" s="4" cm="1">
        <f t="array" ref="N95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955" s="4">
        <f>Table15678[[#This Row],[Total Amount]]-Table15678[[#This Row],[Discount Amount]]</f>
        <v>720</v>
      </c>
      <c r="P955" s="4" t="str">
        <f>IF(Table15678[[#This Row],[Total Amount]]&gt;=1000,"High","Low")</f>
        <v>Low</v>
      </c>
      <c r="Q955" s="4" t="str" cm="1">
        <f t="array" ref="Q955">_xlfn.IFS(AND(Table15678[[#This Row],[Total Amount]]&gt;=1500,"Critical"),AND(Table15678[[#This Row],[Total Amount]]&gt;=1000,"High"),TRUE,"Normal")</f>
        <v>Normal</v>
      </c>
      <c r="R955" s="4" t="str">
        <f>CONCATENATE(Table15678[[#This Row],[Customer ID]], "-",Table15678[[#This Row],[Age]])</f>
        <v>CUST954-50</v>
      </c>
      <c r="S955" s="4" t="str">
        <f>TEXT(Table15678[[#This Row],[Date]],"mmm")</f>
        <v>Sep</v>
      </c>
      <c r="T955" s="4" t="str">
        <f>TEXT(Table15678[[#This Row],[Date]],"DDD")</f>
        <v>Mon</v>
      </c>
    </row>
    <row r="956" spans="1:20" ht="29" x14ac:dyDescent="0.35">
      <c r="A956" s="4">
        <v>955</v>
      </c>
      <c r="B956" s="5">
        <v>45121</v>
      </c>
      <c r="C956" s="4" t="s">
        <v>968</v>
      </c>
      <c r="D956" s="4" t="s">
        <v>10</v>
      </c>
      <c r="E956" s="4">
        <v>58</v>
      </c>
      <c r="F956" s="4" t="str">
        <f>IF(Table15678[[#This Row],[Age]]&lt;=19,"Teenager",IF(Table15678[[#This Row],[Age]]&lt;=40,"Median","Old"))</f>
        <v>Old</v>
      </c>
      <c r="G956" s="4" t="s">
        <v>14</v>
      </c>
      <c r="H956" s="4">
        <v>1</v>
      </c>
      <c r="I956" s="4">
        <v>25</v>
      </c>
      <c r="J956" s="4">
        <v>25</v>
      </c>
      <c r="K956" s="4" t="str" cm="1">
        <f t="array" ref="K956">_xlfn.IFS(AND(Table15678[[#This Row],[Total Amount]]&gt;=1500),"Critical",AND(Table15678[[#This Row],[Total Amount]]&gt;=1000),"High",TRUE,"Normal")</f>
        <v>Normal</v>
      </c>
      <c r="L956" s="4" t="str">
        <f>IF(Table15678[[#This Row],[Total Amount]]&gt;=1000,"High",(IF(Table15678[[#This Row],[Total Amount]]&gt;=500,"Medium","Low")))</f>
        <v>Low</v>
      </c>
      <c r="M956" s="4" t="str" cm="1">
        <f t="array" ref="M95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56" s="4" cm="1">
        <f t="array" ref="N95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2.5</v>
      </c>
      <c r="O956" s="4">
        <f>Table15678[[#This Row],[Total Amount]]-Table15678[[#This Row],[Discount Amount]]</f>
        <v>22.5</v>
      </c>
      <c r="P956" s="4" t="str">
        <f>IF(Table15678[[#This Row],[Total Amount]]&gt;=1000,"High","Low")</f>
        <v>Low</v>
      </c>
      <c r="Q956" s="4" t="str" cm="1">
        <f t="array" ref="Q956">_xlfn.IFS(AND(Table15678[[#This Row],[Total Amount]]&gt;=1500,"Critical"),AND(Table15678[[#This Row],[Total Amount]]&gt;=1000,"High"),TRUE,"Normal")</f>
        <v>Normal</v>
      </c>
      <c r="R956" s="4" t="str">
        <f>CONCATENATE(Table15678[[#This Row],[Customer ID]], "-",Table15678[[#This Row],[Age]])</f>
        <v>CUST955-58</v>
      </c>
      <c r="S956" s="4" t="str">
        <f>TEXT(Table15678[[#This Row],[Date]],"mmm")</f>
        <v>Jul</v>
      </c>
      <c r="T956" s="4" t="str">
        <f>TEXT(Table15678[[#This Row],[Date]],"DDD")</f>
        <v>Fri</v>
      </c>
    </row>
    <row r="957" spans="1:20" ht="29" x14ac:dyDescent="0.35">
      <c r="A957" s="4">
        <v>956</v>
      </c>
      <c r="B957" s="5">
        <v>45157</v>
      </c>
      <c r="C957" s="4" t="s">
        <v>969</v>
      </c>
      <c r="D957" s="4" t="s">
        <v>10</v>
      </c>
      <c r="E957" s="4">
        <v>30</v>
      </c>
      <c r="F957" s="4" t="str">
        <f>IF(Table15678[[#This Row],[Age]]&lt;=19,"Teenager",IF(Table15678[[#This Row],[Age]]&lt;=40,"Median","Old"))</f>
        <v>Median</v>
      </c>
      <c r="G957" s="4" t="s">
        <v>14</v>
      </c>
      <c r="H957" s="4">
        <v>3</v>
      </c>
      <c r="I957" s="4">
        <v>500</v>
      </c>
      <c r="J957" s="4">
        <v>1500</v>
      </c>
      <c r="K957" s="4" t="str" cm="1">
        <f t="array" ref="K957">_xlfn.IFS(AND(Table15678[[#This Row],[Total Amount]]&gt;=1500),"Critical",AND(Table15678[[#This Row],[Total Amount]]&gt;=1000),"High",TRUE,"Normal")</f>
        <v>Critical</v>
      </c>
      <c r="L957" s="4" t="str">
        <f>IF(Table15678[[#This Row],[Total Amount]]&gt;=1000,"High",(IF(Table15678[[#This Row],[Total Amount]]&gt;=500,"Medium","Low")))</f>
        <v>High</v>
      </c>
      <c r="M957" s="4" t="str" cm="1">
        <f t="array" ref="M95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57" s="4" cm="1">
        <f t="array" ref="N95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225</v>
      </c>
      <c r="O957" s="4">
        <f>Table15678[[#This Row],[Total Amount]]-Table15678[[#This Row],[Discount Amount]]</f>
        <v>1275</v>
      </c>
      <c r="P957" s="4" t="str">
        <f>IF(Table15678[[#This Row],[Total Amount]]&gt;=1000,"High","Low")</f>
        <v>High</v>
      </c>
      <c r="Q957" s="4" t="b" cm="1">
        <f t="array" ref="Q957">_xlfn.IFS(AND(Table15678[[#This Row],[Total Amount]]&gt;=1500,"Critical"),AND(Table15678[[#This Row],[Total Amount]]&gt;=1000,"High"),TRUE,"Normal")</f>
        <v>1</v>
      </c>
      <c r="R957" s="4" t="str">
        <f>CONCATENATE(Table15678[[#This Row],[Customer ID]], "-",Table15678[[#This Row],[Age]])</f>
        <v>CUST956-30</v>
      </c>
      <c r="S957" s="4" t="str">
        <f>TEXT(Table15678[[#This Row],[Date]],"mmm")</f>
        <v>Aug</v>
      </c>
      <c r="T957" s="4" t="str">
        <f>TEXT(Table15678[[#This Row],[Date]],"DDD")</f>
        <v>Sat</v>
      </c>
    </row>
    <row r="958" spans="1:20" ht="29" x14ac:dyDescent="0.35">
      <c r="A958" s="4">
        <v>957</v>
      </c>
      <c r="B958" s="5">
        <v>45153</v>
      </c>
      <c r="C958" s="4" t="s">
        <v>970</v>
      </c>
      <c r="D958" s="4" t="s">
        <v>13</v>
      </c>
      <c r="E958" s="4">
        <v>60</v>
      </c>
      <c r="F958" s="4" t="str">
        <f>IF(Table15678[[#This Row],[Age]]&lt;=19,"Teenager",IF(Table15678[[#This Row],[Age]]&lt;=40,"Median","Old"))</f>
        <v>Old</v>
      </c>
      <c r="G958" s="4" t="s">
        <v>16</v>
      </c>
      <c r="H958" s="4">
        <v>4</v>
      </c>
      <c r="I958" s="4">
        <v>30</v>
      </c>
      <c r="J958" s="4">
        <v>120</v>
      </c>
      <c r="K958" s="4" t="str" cm="1">
        <f t="array" ref="K958">_xlfn.IFS(AND(Table15678[[#This Row],[Total Amount]]&gt;=1500),"Critical",AND(Table15678[[#This Row],[Total Amount]]&gt;=1000),"High",TRUE,"Normal")</f>
        <v>Normal</v>
      </c>
      <c r="L958" s="4" t="str">
        <f>IF(Table15678[[#This Row],[Total Amount]]&gt;=1000,"High",(IF(Table15678[[#This Row],[Total Amount]]&gt;=500,"Medium","Low")))</f>
        <v>Low</v>
      </c>
      <c r="M958" s="4" t="str" cm="1">
        <f t="array" ref="M95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58" s="4" cm="1">
        <f t="array" ref="N95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24</v>
      </c>
      <c r="O958" s="4">
        <f>Table15678[[#This Row],[Total Amount]]-Table15678[[#This Row],[Discount Amount]]</f>
        <v>96</v>
      </c>
      <c r="P958" s="4" t="str">
        <f>IF(Table15678[[#This Row],[Total Amount]]&gt;=1000,"High","Low")</f>
        <v>Low</v>
      </c>
      <c r="Q958" s="4" t="str" cm="1">
        <f t="array" ref="Q958">_xlfn.IFS(AND(Table15678[[#This Row],[Total Amount]]&gt;=1500,"Critical"),AND(Table15678[[#This Row],[Total Amount]]&gt;=1000,"High"),TRUE,"Normal")</f>
        <v>Normal</v>
      </c>
      <c r="R958" s="4" t="str">
        <f>CONCATENATE(Table15678[[#This Row],[Customer ID]], "-",Table15678[[#This Row],[Age]])</f>
        <v>CUST957-60</v>
      </c>
      <c r="S958" s="4" t="str">
        <f>TEXT(Table15678[[#This Row],[Date]],"mmm")</f>
        <v>Aug</v>
      </c>
      <c r="T958" s="4" t="str">
        <f>TEXT(Table15678[[#This Row],[Date]],"DDD")</f>
        <v>Tue</v>
      </c>
    </row>
    <row r="959" spans="1:20" ht="29" x14ac:dyDescent="0.35">
      <c r="A959" s="4">
        <v>958</v>
      </c>
      <c r="B959" s="5">
        <v>45079</v>
      </c>
      <c r="C959" s="4" t="s">
        <v>971</v>
      </c>
      <c r="D959" s="4" t="s">
        <v>10</v>
      </c>
      <c r="E959" s="4">
        <v>62</v>
      </c>
      <c r="F959" s="4" t="str">
        <f>IF(Table15678[[#This Row],[Age]]&lt;=19,"Teenager",IF(Table15678[[#This Row],[Age]]&lt;=40,"Median","Old"))</f>
        <v>Old</v>
      </c>
      <c r="G959" s="4" t="s">
        <v>16</v>
      </c>
      <c r="H959" s="4">
        <v>2</v>
      </c>
      <c r="I959" s="4">
        <v>25</v>
      </c>
      <c r="J959" s="4">
        <v>50</v>
      </c>
      <c r="K959" s="4" t="str" cm="1">
        <f t="array" ref="K959">_xlfn.IFS(AND(Table15678[[#This Row],[Total Amount]]&gt;=1500),"Critical",AND(Table15678[[#This Row],[Total Amount]]&gt;=1000),"High",TRUE,"Normal")</f>
        <v>Normal</v>
      </c>
      <c r="L959" s="4" t="str">
        <f>IF(Table15678[[#This Row],[Total Amount]]&gt;=1000,"High",(IF(Table15678[[#This Row],[Total Amount]]&gt;=500,"Medium","Low")))</f>
        <v>Low</v>
      </c>
      <c r="M959" s="4" t="str" cm="1">
        <f t="array" ref="M95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59" s="4" cm="1">
        <f t="array" ref="N95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959" s="4">
        <f>Table15678[[#This Row],[Total Amount]]-Table15678[[#This Row],[Discount Amount]]</f>
        <v>45</v>
      </c>
      <c r="P959" s="4" t="str">
        <f>IF(Table15678[[#This Row],[Total Amount]]&gt;=1000,"High","Low")</f>
        <v>Low</v>
      </c>
      <c r="Q959" s="4" t="str" cm="1">
        <f t="array" ref="Q959">_xlfn.IFS(AND(Table15678[[#This Row],[Total Amount]]&gt;=1500,"Critical"),AND(Table15678[[#This Row],[Total Amount]]&gt;=1000,"High"),TRUE,"Normal")</f>
        <v>Normal</v>
      </c>
      <c r="R959" s="4" t="str">
        <f>CONCATENATE(Table15678[[#This Row],[Customer ID]], "-",Table15678[[#This Row],[Age]])</f>
        <v>CUST958-62</v>
      </c>
      <c r="S959" s="4" t="str">
        <f>TEXT(Table15678[[#This Row],[Date]],"mmm")</f>
        <v>Jun</v>
      </c>
      <c r="T959" s="4" t="str">
        <f>TEXT(Table15678[[#This Row],[Date]],"DDD")</f>
        <v>Fri</v>
      </c>
    </row>
    <row r="960" spans="1:20" ht="29" x14ac:dyDescent="0.35">
      <c r="A960" s="4">
        <v>959</v>
      </c>
      <c r="B960" s="5">
        <v>45228</v>
      </c>
      <c r="C960" s="4" t="s">
        <v>972</v>
      </c>
      <c r="D960" s="4" t="s">
        <v>13</v>
      </c>
      <c r="E960" s="4">
        <v>42</v>
      </c>
      <c r="F960" s="4" t="str">
        <f>IF(Table15678[[#This Row],[Age]]&lt;=19,"Teenager",IF(Table15678[[#This Row],[Age]]&lt;=40,"Median","Old"))</f>
        <v>Old</v>
      </c>
      <c r="G960" s="4" t="s">
        <v>16</v>
      </c>
      <c r="H960" s="4">
        <v>2</v>
      </c>
      <c r="I960" s="4">
        <v>30</v>
      </c>
      <c r="J960" s="4">
        <v>60</v>
      </c>
      <c r="K960" s="4" t="str" cm="1">
        <f t="array" ref="K960">_xlfn.IFS(AND(Table15678[[#This Row],[Total Amount]]&gt;=1500),"Critical",AND(Table15678[[#This Row],[Total Amount]]&gt;=1000),"High",TRUE,"Normal")</f>
        <v>Normal</v>
      </c>
      <c r="L960" s="4" t="str">
        <f>IF(Table15678[[#This Row],[Total Amount]]&gt;=1000,"High",(IF(Table15678[[#This Row],[Total Amount]]&gt;=500,"Medium","Low")))</f>
        <v>Low</v>
      </c>
      <c r="M960" s="4" t="str" cm="1">
        <f t="array" ref="M96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60" s="4" cm="1">
        <f t="array" ref="N96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960" s="4">
        <f>Table15678[[#This Row],[Total Amount]]-Table15678[[#This Row],[Discount Amount]]</f>
        <v>48</v>
      </c>
      <c r="P960" s="4" t="str">
        <f>IF(Table15678[[#This Row],[Total Amount]]&gt;=1000,"High","Low")</f>
        <v>Low</v>
      </c>
      <c r="Q960" s="4" t="str" cm="1">
        <f t="array" ref="Q960">_xlfn.IFS(AND(Table15678[[#This Row],[Total Amount]]&gt;=1500,"Critical"),AND(Table15678[[#This Row],[Total Amount]]&gt;=1000,"High"),TRUE,"Normal")</f>
        <v>Normal</v>
      </c>
      <c r="R960" s="4" t="str">
        <f>CONCATENATE(Table15678[[#This Row],[Customer ID]], "-",Table15678[[#This Row],[Age]])</f>
        <v>CUST959-42</v>
      </c>
      <c r="S960" s="4" t="str">
        <f>TEXT(Table15678[[#This Row],[Date]],"mmm")</f>
        <v>Oct</v>
      </c>
      <c r="T960" s="4" t="str">
        <f>TEXT(Table15678[[#This Row],[Date]],"DDD")</f>
        <v>Sun</v>
      </c>
    </row>
    <row r="961" spans="1:20" ht="29" x14ac:dyDescent="0.35">
      <c r="A961" s="4">
        <v>960</v>
      </c>
      <c r="B961" s="5">
        <v>45146</v>
      </c>
      <c r="C961" s="4" t="s">
        <v>973</v>
      </c>
      <c r="D961" s="4" t="s">
        <v>10</v>
      </c>
      <c r="E961" s="4">
        <v>59</v>
      </c>
      <c r="F961" s="4" t="str">
        <f>IF(Table15678[[#This Row],[Age]]&lt;=19,"Teenager",IF(Table15678[[#This Row],[Age]]&lt;=40,"Median","Old"))</f>
        <v>Old</v>
      </c>
      <c r="G961" s="4" t="s">
        <v>14</v>
      </c>
      <c r="H961" s="4">
        <v>2</v>
      </c>
      <c r="I961" s="4">
        <v>30</v>
      </c>
      <c r="J961" s="4">
        <v>60</v>
      </c>
      <c r="K961" s="4" t="str" cm="1">
        <f t="array" ref="K961">_xlfn.IFS(AND(Table15678[[#This Row],[Total Amount]]&gt;=1500),"Critical",AND(Table15678[[#This Row],[Total Amount]]&gt;=1000),"High",TRUE,"Normal")</f>
        <v>Normal</v>
      </c>
      <c r="L961" s="4" t="str">
        <f>IF(Table15678[[#This Row],[Total Amount]]&gt;=1000,"High",(IF(Table15678[[#This Row],[Total Amount]]&gt;=500,"Medium","Low")))</f>
        <v>Low</v>
      </c>
      <c r="M961" s="4" t="str" cm="1">
        <f t="array" ref="M96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61" s="4" cm="1">
        <f t="array" ref="N96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961" s="4">
        <f>Table15678[[#This Row],[Total Amount]]-Table15678[[#This Row],[Discount Amount]]</f>
        <v>54</v>
      </c>
      <c r="P961" s="4" t="str">
        <f>IF(Table15678[[#This Row],[Total Amount]]&gt;=1000,"High","Low")</f>
        <v>Low</v>
      </c>
      <c r="Q961" s="4" t="str" cm="1">
        <f t="array" ref="Q961">_xlfn.IFS(AND(Table15678[[#This Row],[Total Amount]]&gt;=1500,"Critical"),AND(Table15678[[#This Row],[Total Amount]]&gt;=1000,"High"),TRUE,"Normal")</f>
        <v>Normal</v>
      </c>
      <c r="R961" s="4" t="str">
        <f>CONCATENATE(Table15678[[#This Row],[Customer ID]], "-",Table15678[[#This Row],[Age]])</f>
        <v>CUST960-59</v>
      </c>
      <c r="S961" s="4" t="str">
        <f>TEXT(Table15678[[#This Row],[Date]],"mmm")</f>
        <v>Aug</v>
      </c>
      <c r="T961" s="4" t="str">
        <f>TEXT(Table15678[[#This Row],[Date]],"DDD")</f>
        <v>Tue</v>
      </c>
    </row>
    <row r="962" spans="1:20" ht="29" x14ac:dyDescent="0.35">
      <c r="A962" s="4">
        <v>961</v>
      </c>
      <c r="B962" s="5">
        <v>45083</v>
      </c>
      <c r="C962" s="4" t="s">
        <v>974</v>
      </c>
      <c r="D962" s="4" t="s">
        <v>10</v>
      </c>
      <c r="E962" s="4">
        <v>53</v>
      </c>
      <c r="F962" s="4" t="str">
        <f>IF(Table15678[[#This Row],[Age]]&lt;=19,"Teenager",IF(Table15678[[#This Row],[Age]]&lt;=40,"Median","Old"))</f>
        <v>Old</v>
      </c>
      <c r="G962" s="4" t="s">
        <v>11</v>
      </c>
      <c r="H962" s="4">
        <v>4</v>
      </c>
      <c r="I962" s="4">
        <v>50</v>
      </c>
      <c r="J962" s="4">
        <v>200</v>
      </c>
      <c r="K962" s="4" t="str" cm="1">
        <f t="array" ref="K962">_xlfn.IFS(AND(Table15678[[#This Row],[Total Amount]]&gt;=1500),"Critical",AND(Table15678[[#This Row],[Total Amount]]&gt;=1000),"High",TRUE,"Normal")</f>
        <v>Normal</v>
      </c>
      <c r="L962" s="4" t="str">
        <f>IF(Table15678[[#This Row],[Total Amount]]&gt;=1000,"High",(IF(Table15678[[#This Row],[Total Amount]]&gt;=500,"Medium","Low")))</f>
        <v>Low</v>
      </c>
      <c r="M962" s="4" t="str" cm="1">
        <f t="array" ref="M96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62" s="4" cm="1">
        <f t="array" ref="N96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</v>
      </c>
      <c r="O962" s="4">
        <f>Table15678[[#This Row],[Total Amount]]-Table15678[[#This Row],[Discount Amount]]</f>
        <v>180</v>
      </c>
      <c r="P962" s="4" t="str">
        <f>IF(Table15678[[#This Row],[Total Amount]]&gt;=1000,"High","Low")</f>
        <v>Low</v>
      </c>
      <c r="Q962" s="4" t="str" cm="1">
        <f t="array" ref="Q962">_xlfn.IFS(AND(Table15678[[#This Row],[Total Amount]]&gt;=1500,"Critical"),AND(Table15678[[#This Row],[Total Amount]]&gt;=1000,"High"),TRUE,"Normal")</f>
        <v>Normal</v>
      </c>
      <c r="R962" s="4" t="str">
        <f>CONCATENATE(Table15678[[#This Row],[Customer ID]], "-",Table15678[[#This Row],[Age]])</f>
        <v>CUST961-53</v>
      </c>
      <c r="S962" s="4" t="str">
        <f>TEXT(Table15678[[#This Row],[Date]],"mmm")</f>
        <v>Jun</v>
      </c>
      <c r="T962" s="4" t="str">
        <f>TEXT(Table15678[[#This Row],[Date]],"DDD")</f>
        <v>Tue</v>
      </c>
    </row>
    <row r="963" spans="1:20" ht="29" x14ac:dyDescent="0.35">
      <c r="A963" s="4">
        <v>962</v>
      </c>
      <c r="B963" s="5">
        <v>45218</v>
      </c>
      <c r="C963" s="4" t="s">
        <v>975</v>
      </c>
      <c r="D963" s="4" t="s">
        <v>10</v>
      </c>
      <c r="E963" s="4">
        <v>44</v>
      </c>
      <c r="F963" s="4" t="str">
        <f>IF(Table15678[[#This Row],[Age]]&lt;=19,"Teenager",IF(Table15678[[#This Row],[Age]]&lt;=40,"Median","Old"))</f>
        <v>Old</v>
      </c>
      <c r="G963" s="4" t="s">
        <v>14</v>
      </c>
      <c r="H963" s="4">
        <v>2</v>
      </c>
      <c r="I963" s="4">
        <v>30</v>
      </c>
      <c r="J963" s="4">
        <v>60</v>
      </c>
      <c r="K963" s="4" t="str" cm="1">
        <f t="array" ref="K963">_xlfn.IFS(AND(Table15678[[#This Row],[Total Amount]]&gt;=1500),"Critical",AND(Table15678[[#This Row],[Total Amount]]&gt;=1000),"High",TRUE,"Normal")</f>
        <v>Normal</v>
      </c>
      <c r="L963" s="4" t="str">
        <f>IF(Table15678[[#This Row],[Total Amount]]&gt;=1000,"High",(IF(Table15678[[#This Row],[Total Amount]]&gt;=500,"Medium","Low")))</f>
        <v>Low</v>
      </c>
      <c r="M963" s="4" t="str" cm="1">
        <f t="array" ref="M96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63" s="4" cm="1">
        <f t="array" ref="N96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963" s="4">
        <f>Table15678[[#This Row],[Total Amount]]-Table15678[[#This Row],[Discount Amount]]</f>
        <v>54</v>
      </c>
      <c r="P963" s="4" t="str">
        <f>IF(Table15678[[#This Row],[Total Amount]]&gt;=1000,"High","Low")</f>
        <v>Low</v>
      </c>
      <c r="Q963" s="4" t="str" cm="1">
        <f t="array" ref="Q963">_xlfn.IFS(AND(Table15678[[#This Row],[Total Amount]]&gt;=1500,"Critical"),AND(Table15678[[#This Row],[Total Amount]]&gt;=1000,"High"),TRUE,"Normal")</f>
        <v>Normal</v>
      </c>
      <c r="R963" s="4" t="str">
        <f>CONCATENATE(Table15678[[#This Row],[Customer ID]], "-",Table15678[[#This Row],[Age]])</f>
        <v>CUST962-44</v>
      </c>
      <c r="S963" s="4" t="str">
        <f>TEXT(Table15678[[#This Row],[Date]],"mmm")</f>
        <v>Oct</v>
      </c>
      <c r="T963" s="4" t="str">
        <f>TEXT(Table15678[[#This Row],[Date]],"DDD")</f>
        <v>Thu</v>
      </c>
    </row>
    <row r="964" spans="1:20" ht="29" x14ac:dyDescent="0.35">
      <c r="A964" s="4">
        <v>963</v>
      </c>
      <c r="B964" s="5">
        <v>45244</v>
      </c>
      <c r="C964" s="4" t="s">
        <v>976</v>
      </c>
      <c r="D964" s="4" t="s">
        <v>13</v>
      </c>
      <c r="E964" s="4">
        <v>55</v>
      </c>
      <c r="F964" s="4" t="str">
        <f>IF(Table15678[[#This Row],[Age]]&lt;=19,"Teenager",IF(Table15678[[#This Row],[Age]]&lt;=40,"Median","Old"))</f>
        <v>Old</v>
      </c>
      <c r="G964" s="4" t="s">
        <v>11</v>
      </c>
      <c r="H964" s="4">
        <v>1</v>
      </c>
      <c r="I964" s="4">
        <v>50</v>
      </c>
      <c r="J964" s="4">
        <v>50</v>
      </c>
      <c r="K964" s="4" t="str" cm="1">
        <f t="array" ref="K964">_xlfn.IFS(AND(Table15678[[#This Row],[Total Amount]]&gt;=1500),"Critical",AND(Table15678[[#This Row],[Total Amount]]&gt;=1000),"High",TRUE,"Normal")</f>
        <v>Normal</v>
      </c>
      <c r="L964" s="4" t="str">
        <f>IF(Table15678[[#This Row],[Total Amount]]&gt;=1000,"High",(IF(Table15678[[#This Row],[Total Amount]]&gt;=500,"Medium","Low")))</f>
        <v>Low</v>
      </c>
      <c r="M964" s="4" t="str" cm="1">
        <f t="array" ref="M96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64" s="4" cm="1">
        <f t="array" ref="N96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964" s="4">
        <f>Table15678[[#This Row],[Total Amount]]-Table15678[[#This Row],[Discount Amount]]</f>
        <v>40</v>
      </c>
      <c r="P964" s="4" t="str">
        <f>IF(Table15678[[#This Row],[Total Amount]]&gt;=1000,"High","Low")</f>
        <v>Low</v>
      </c>
      <c r="Q964" s="4" t="str" cm="1">
        <f t="array" ref="Q964">_xlfn.IFS(AND(Table15678[[#This Row],[Total Amount]]&gt;=1500,"Critical"),AND(Table15678[[#This Row],[Total Amount]]&gt;=1000,"High"),TRUE,"Normal")</f>
        <v>Normal</v>
      </c>
      <c r="R964" s="4" t="str">
        <f>CONCATENATE(Table15678[[#This Row],[Customer ID]], "-",Table15678[[#This Row],[Age]])</f>
        <v>CUST963-55</v>
      </c>
      <c r="S964" s="4" t="str">
        <f>TEXT(Table15678[[#This Row],[Date]],"mmm")</f>
        <v>Nov</v>
      </c>
      <c r="T964" s="4" t="str">
        <f>TEXT(Table15678[[#This Row],[Date]],"DDD")</f>
        <v>Tue</v>
      </c>
    </row>
    <row r="965" spans="1:20" ht="29" x14ac:dyDescent="0.35">
      <c r="A965" s="4">
        <v>964</v>
      </c>
      <c r="B965" s="5">
        <v>44957</v>
      </c>
      <c r="C965" s="4" t="s">
        <v>977</v>
      </c>
      <c r="D965" s="4" t="s">
        <v>10</v>
      </c>
      <c r="E965" s="4">
        <v>24</v>
      </c>
      <c r="F965" s="4" t="str">
        <f>IF(Table15678[[#This Row],[Age]]&lt;=19,"Teenager",IF(Table15678[[#This Row],[Age]]&lt;=40,"Median","Old"))</f>
        <v>Median</v>
      </c>
      <c r="G965" s="4" t="s">
        <v>14</v>
      </c>
      <c r="H965" s="4">
        <v>3</v>
      </c>
      <c r="I965" s="4">
        <v>300</v>
      </c>
      <c r="J965" s="4">
        <v>900</v>
      </c>
      <c r="K965" s="4" t="str" cm="1">
        <f t="array" ref="K965">_xlfn.IFS(AND(Table15678[[#This Row],[Total Amount]]&gt;=1500),"Critical",AND(Table15678[[#This Row],[Total Amount]]&gt;=1000),"High",TRUE,"Normal")</f>
        <v>Normal</v>
      </c>
      <c r="L965" s="4" t="str">
        <f>IF(Table15678[[#This Row],[Total Amount]]&gt;=1000,"High",(IF(Table15678[[#This Row],[Total Amount]]&gt;=500,"Medium","Low")))</f>
        <v>Medium</v>
      </c>
      <c r="M965" s="4" t="str" cm="1">
        <f t="array" ref="M96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965" s="4" cm="1">
        <f t="array" ref="N96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965" s="4">
        <f>Table15678[[#This Row],[Total Amount]]-Table15678[[#This Row],[Discount Amount]]</f>
        <v>900</v>
      </c>
      <c r="P965" s="4" t="str">
        <f>IF(Table15678[[#This Row],[Total Amount]]&gt;=1000,"High","Low")</f>
        <v>Low</v>
      </c>
      <c r="Q965" s="4" t="str" cm="1">
        <f t="array" ref="Q965">_xlfn.IFS(AND(Table15678[[#This Row],[Total Amount]]&gt;=1500,"Critical"),AND(Table15678[[#This Row],[Total Amount]]&gt;=1000,"High"),TRUE,"Normal")</f>
        <v>Normal</v>
      </c>
      <c r="R965" s="4" t="str">
        <f>CONCATENATE(Table15678[[#This Row],[Customer ID]], "-",Table15678[[#This Row],[Age]])</f>
        <v>CUST964-24</v>
      </c>
      <c r="S965" s="4" t="str">
        <f>TEXT(Table15678[[#This Row],[Date]],"mmm")</f>
        <v>Jan</v>
      </c>
      <c r="T965" s="4" t="str">
        <f>TEXT(Table15678[[#This Row],[Date]],"DDD")</f>
        <v>Tue</v>
      </c>
    </row>
    <row r="966" spans="1:20" ht="29" x14ac:dyDescent="0.35">
      <c r="A966" s="4">
        <v>965</v>
      </c>
      <c r="B966" s="5">
        <v>45239</v>
      </c>
      <c r="C966" s="4" t="s">
        <v>978</v>
      </c>
      <c r="D966" s="4" t="s">
        <v>10</v>
      </c>
      <c r="E966" s="4">
        <v>22</v>
      </c>
      <c r="F966" s="4" t="str">
        <f>IF(Table15678[[#This Row],[Age]]&lt;=19,"Teenager",IF(Table15678[[#This Row],[Age]]&lt;=40,"Median","Old"))</f>
        <v>Median</v>
      </c>
      <c r="G966" s="4" t="s">
        <v>14</v>
      </c>
      <c r="H966" s="4">
        <v>4</v>
      </c>
      <c r="I966" s="4">
        <v>50</v>
      </c>
      <c r="J966" s="4">
        <v>200</v>
      </c>
      <c r="K966" s="4" t="str" cm="1">
        <f t="array" ref="K966">_xlfn.IFS(AND(Table15678[[#This Row],[Total Amount]]&gt;=1500),"Critical",AND(Table15678[[#This Row],[Total Amount]]&gt;=1000),"High",TRUE,"Normal")</f>
        <v>Normal</v>
      </c>
      <c r="L966" s="4" t="str">
        <f>IF(Table15678[[#This Row],[Total Amount]]&gt;=1000,"High",(IF(Table15678[[#This Row],[Total Amount]]&gt;=500,"Medium","Low")))</f>
        <v>Low</v>
      </c>
      <c r="M966" s="4" t="str" cm="1">
        <f t="array" ref="M96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966" s="4" cm="1">
        <f t="array" ref="N96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966" s="4">
        <f>Table15678[[#This Row],[Total Amount]]-Table15678[[#This Row],[Discount Amount]]</f>
        <v>200</v>
      </c>
      <c r="P966" s="4" t="str">
        <f>IF(Table15678[[#This Row],[Total Amount]]&gt;=1000,"High","Low")</f>
        <v>Low</v>
      </c>
      <c r="Q966" s="4" t="str" cm="1">
        <f t="array" ref="Q966">_xlfn.IFS(AND(Table15678[[#This Row],[Total Amount]]&gt;=1500,"Critical"),AND(Table15678[[#This Row],[Total Amount]]&gt;=1000,"High"),TRUE,"Normal")</f>
        <v>Normal</v>
      </c>
      <c r="R966" s="4" t="str">
        <f>CONCATENATE(Table15678[[#This Row],[Customer ID]], "-",Table15678[[#This Row],[Age]])</f>
        <v>CUST965-22</v>
      </c>
      <c r="S966" s="4" t="str">
        <f>TEXT(Table15678[[#This Row],[Date]],"mmm")</f>
        <v>Nov</v>
      </c>
      <c r="T966" s="4" t="str">
        <f>TEXT(Table15678[[#This Row],[Date]],"DDD")</f>
        <v>Thu</v>
      </c>
    </row>
    <row r="967" spans="1:20" ht="29" x14ac:dyDescent="0.35">
      <c r="A967" s="4">
        <v>966</v>
      </c>
      <c r="B967" s="5">
        <v>44977</v>
      </c>
      <c r="C967" s="4" t="s">
        <v>979</v>
      </c>
      <c r="D967" s="4" t="s">
        <v>10</v>
      </c>
      <c r="E967" s="4">
        <v>60</v>
      </c>
      <c r="F967" s="4" t="str">
        <f>IF(Table15678[[#This Row],[Age]]&lt;=19,"Teenager",IF(Table15678[[#This Row],[Age]]&lt;=40,"Median","Old"))</f>
        <v>Old</v>
      </c>
      <c r="G967" s="4" t="s">
        <v>16</v>
      </c>
      <c r="H967" s="4">
        <v>2</v>
      </c>
      <c r="I967" s="4">
        <v>500</v>
      </c>
      <c r="J967" s="4">
        <v>1000</v>
      </c>
      <c r="K967" s="4" t="str" cm="1">
        <f t="array" ref="K967">_xlfn.IFS(AND(Table15678[[#This Row],[Total Amount]]&gt;=1500),"Critical",AND(Table15678[[#This Row],[Total Amount]]&gt;=1000),"High",TRUE,"Normal")</f>
        <v>High</v>
      </c>
      <c r="L967" s="4" t="str">
        <f>IF(Table15678[[#This Row],[Total Amount]]&gt;=1000,"High",(IF(Table15678[[#This Row],[Total Amount]]&gt;=500,"Medium","Low")))</f>
        <v>High</v>
      </c>
      <c r="M967" s="4" t="str" cm="1">
        <f t="array" ref="M96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67" s="4" cm="1">
        <f t="array" ref="N96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100</v>
      </c>
      <c r="O967" s="4">
        <f>Table15678[[#This Row],[Total Amount]]-Table15678[[#This Row],[Discount Amount]]</f>
        <v>900</v>
      </c>
      <c r="P967" s="4" t="str">
        <f>IF(Table15678[[#This Row],[Total Amount]]&gt;=1000,"High","Low")</f>
        <v>High</v>
      </c>
      <c r="Q967" s="4" t="str" cm="1">
        <f t="array" ref="Q967">_xlfn.IFS(AND(Table15678[[#This Row],[Total Amount]]&gt;=1500,"Critical"),AND(Table15678[[#This Row],[Total Amount]]&gt;=1000,"High"),TRUE,"Normal")</f>
        <v>Normal</v>
      </c>
      <c r="R967" s="4" t="str">
        <f>CONCATENATE(Table15678[[#This Row],[Customer ID]], "-",Table15678[[#This Row],[Age]])</f>
        <v>CUST966-60</v>
      </c>
      <c r="S967" s="4" t="str">
        <f>TEXT(Table15678[[#This Row],[Date]],"mmm")</f>
        <v>Feb</v>
      </c>
      <c r="T967" s="4" t="str">
        <f>TEXT(Table15678[[#This Row],[Date]],"DDD")</f>
        <v>Mon</v>
      </c>
    </row>
    <row r="968" spans="1:20" ht="29" x14ac:dyDescent="0.35">
      <c r="A968" s="4">
        <v>967</v>
      </c>
      <c r="B968" s="5">
        <v>45033</v>
      </c>
      <c r="C968" s="4" t="s">
        <v>980</v>
      </c>
      <c r="D968" s="4" t="s">
        <v>10</v>
      </c>
      <c r="E968" s="4">
        <v>62</v>
      </c>
      <c r="F968" s="4" t="str">
        <f>IF(Table15678[[#This Row],[Age]]&lt;=19,"Teenager",IF(Table15678[[#This Row],[Age]]&lt;=40,"Median","Old"))</f>
        <v>Old</v>
      </c>
      <c r="G968" s="4" t="s">
        <v>11</v>
      </c>
      <c r="H968" s="4">
        <v>1</v>
      </c>
      <c r="I968" s="4">
        <v>25</v>
      </c>
      <c r="J968" s="4">
        <v>25</v>
      </c>
      <c r="K968" s="4" t="str" cm="1">
        <f t="array" ref="K968">_xlfn.IFS(AND(Table15678[[#This Row],[Total Amount]]&gt;=1500),"Critical",AND(Table15678[[#This Row],[Total Amount]]&gt;=1000),"High",TRUE,"Normal")</f>
        <v>Normal</v>
      </c>
      <c r="L968" s="4" t="str">
        <f>IF(Table15678[[#This Row],[Total Amount]]&gt;=1000,"High",(IF(Table15678[[#This Row],[Total Amount]]&gt;=500,"Medium","Low")))</f>
        <v>Low</v>
      </c>
      <c r="M968" s="4" t="str" cm="1">
        <f t="array" ref="M96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68" s="4" cm="1">
        <f t="array" ref="N96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2.5</v>
      </c>
      <c r="O968" s="4">
        <f>Table15678[[#This Row],[Total Amount]]-Table15678[[#This Row],[Discount Amount]]</f>
        <v>22.5</v>
      </c>
      <c r="P968" s="4" t="str">
        <f>IF(Table15678[[#This Row],[Total Amount]]&gt;=1000,"High","Low")</f>
        <v>Low</v>
      </c>
      <c r="Q968" s="4" t="str" cm="1">
        <f t="array" ref="Q968">_xlfn.IFS(AND(Table15678[[#This Row],[Total Amount]]&gt;=1500,"Critical"),AND(Table15678[[#This Row],[Total Amount]]&gt;=1000,"High"),TRUE,"Normal")</f>
        <v>Normal</v>
      </c>
      <c r="R968" s="4" t="str">
        <f>CONCATENATE(Table15678[[#This Row],[Customer ID]], "-",Table15678[[#This Row],[Age]])</f>
        <v>CUST967-62</v>
      </c>
      <c r="S968" s="4" t="str">
        <f>TEXT(Table15678[[#This Row],[Date]],"mmm")</f>
        <v>Apr</v>
      </c>
      <c r="T968" s="4" t="str">
        <f>TEXT(Table15678[[#This Row],[Date]],"DDD")</f>
        <v>Mon</v>
      </c>
    </row>
    <row r="969" spans="1:20" ht="29" x14ac:dyDescent="0.35">
      <c r="A969" s="4">
        <v>968</v>
      </c>
      <c r="B969" s="5">
        <v>45247</v>
      </c>
      <c r="C969" s="4" t="s">
        <v>981</v>
      </c>
      <c r="D969" s="4" t="s">
        <v>13</v>
      </c>
      <c r="E969" s="4">
        <v>48</v>
      </c>
      <c r="F969" s="4" t="str">
        <f>IF(Table15678[[#This Row],[Age]]&lt;=19,"Teenager",IF(Table15678[[#This Row],[Age]]&lt;=40,"Median","Old"))</f>
        <v>Old</v>
      </c>
      <c r="G969" s="4" t="s">
        <v>14</v>
      </c>
      <c r="H969" s="4">
        <v>3</v>
      </c>
      <c r="I969" s="4">
        <v>300</v>
      </c>
      <c r="J969" s="4">
        <v>900</v>
      </c>
      <c r="K969" s="4" t="str" cm="1">
        <f t="array" ref="K969">_xlfn.IFS(AND(Table15678[[#This Row],[Total Amount]]&gt;=1500),"Critical",AND(Table15678[[#This Row],[Total Amount]]&gt;=1000),"High",TRUE,"Normal")</f>
        <v>Normal</v>
      </c>
      <c r="L969" s="4" t="str">
        <f>IF(Table15678[[#This Row],[Total Amount]]&gt;=1000,"High",(IF(Table15678[[#This Row],[Total Amount]]&gt;=500,"Medium","Low")))</f>
        <v>Medium</v>
      </c>
      <c r="M969" s="4" t="str" cm="1">
        <f t="array" ref="M96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69" s="4" cm="1">
        <f t="array" ref="N96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969" s="4">
        <f>Table15678[[#This Row],[Total Amount]]-Table15678[[#This Row],[Discount Amount]]</f>
        <v>720</v>
      </c>
      <c r="P969" s="4" t="str">
        <f>IF(Table15678[[#This Row],[Total Amount]]&gt;=1000,"High","Low")</f>
        <v>Low</v>
      </c>
      <c r="Q969" s="4" t="str" cm="1">
        <f t="array" ref="Q969">_xlfn.IFS(AND(Table15678[[#This Row],[Total Amount]]&gt;=1500,"Critical"),AND(Table15678[[#This Row],[Total Amount]]&gt;=1000,"High"),TRUE,"Normal")</f>
        <v>Normal</v>
      </c>
      <c r="R969" s="4" t="str">
        <f>CONCATENATE(Table15678[[#This Row],[Customer ID]], "-",Table15678[[#This Row],[Age]])</f>
        <v>CUST968-48</v>
      </c>
      <c r="S969" s="4" t="str">
        <f>TEXT(Table15678[[#This Row],[Date]],"mmm")</f>
        <v>Nov</v>
      </c>
      <c r="T969" s="4" t="str">
        <f>TEXT(Table15678[[#This Row],[Date]],"DDD")</f>
        <v>Fri</v>
      </c>
    </row>
    <row r="970" spans="1:20" ht="29" x14ac:dyDescent="0.35">
      <c r="A970" s="4">
        <v>969</v>
      </c>
      <c r="B970" s="5">
        <v>45035</v>
      </c>
      <c r="C970" s="4" t="s">
        <v>982</v>
      </c>
      <c r="D970" s="4" t="s">
        <v>13</v>
      </c>
      <c r="E970" s="4">
        <v>40</v>
      </c>
      <c r="F970" s="4" t="str">
        <f>IF(Table15678[[#This Row],[Age]]&lt;=19,"Teenager",IF(Table15678[[#This Row],[Age]]&lt;=40,"Median","Old"))</f>
        <v>Median</v>
      </c>
      <c r="G970" s="4" t="s">
        <v>14</v>
      </c>
      <c r="H970" s="4">
        <v>3</v>
      </c>
      <c r="I970" s="4">
        <v>300</v>
      </c>
      <c r="J970" s="4">
        <v>900</v>
      </c>
      <c r="K970" s="4" t="str" cm="1">
        <f t="array" ref="K970">_xlfn.IFS(AND(Table15678[[#This Row],[Total Amount]]&gt;=1500),"Critical",AND(Table15678[[#This Row],[Total Amount]]&gt;=1000),"High",TRUE,"Normal")</f>
        <v>Normal</v>
      </c>
      <c r="L970" s="4" t="str">
        <f>IF(Table15678[[#This Row],[Total Amount]]&gt;=1000,"High",(IF(Table15678[[#This Row],[Total Amount]]&gt;=500,"Medium","Low")))</f>
        <v>Medium</v>
      </c>
      <c r="M970" s="4" t="str" cm="1">
        <f t="array" ref="M97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70" s="4" cm="1">
        <f t="array" ref="N97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180</v>
      </c>
      <c r="O970" s="4">
        <f>Table15678[[#This Row],[Total Amount]]-Table15678[[#This Row],[Discount Amount]]</f>
        <v>720</v>
      </c>
      <c r="P970" s="4" t="str">
        <f>IF(Table15678[[#This Row],[Total Amount]]&gt;=1000,"High","Low")</f>
        <v>Low</v>
      </c>
      <c r="Q970" s="4" t="str" cm="1">
        <f t="array" ref="Q970">_xlfn.IFS(AND(Table15678[[#This Row],[Total Amount]]&gt;=1500,"Critical"),AND(Table15678[[#This Row],[Total Amount]]&gt;=1000,"High"),TRUE,"Normal")</f>
        <v>Normal</v>
      </c>
      <c r="R970" s="4" t="str">
        <f>CONCATENATE(Table15678[[#This Row],[Customer ID]], "-",Table15678[[#This Row],[Age]])</f>
        <v>CUST969-40</v>
      </c>
      <c r="S970" s="4" t="str">
        <f>TEXT(Table15678[[#This Row],[Date]],"mmm")</f>
        <v>Apr</v>
      </c>
      <c r="T970" s="4" t="str">
        <f>TEXT(Table15678[[#This Row],[Date]],"DDD")</f>
        <v>Wed</v>
      </c>
    </row>
    <row r="971" spans="1:20" ht="29" x14ac:dyDescent="0.35">
      <c r="A971" s="4">
        <v>970</v>
      </c>
      <c r="B971" s="5">
        <v>45062</v>
      </c>
      <c r="C971" s="4" t="s">
        <v>983</v>
      </c>
      <c r="D971" s="4" t="s">
        <v>10</v>
      </c>
      <c r="E971" s="4">
        <v>59</v>
      </c>
      <c r="F971" s="4" t="str">
        <f>IF(Table15678[[#This Row],[Age]]&lt;=19,"Teenager",IF(Table15678[[#This Row],[Age]]&lt;=40,"Median","Old"))</f>
        <v>Old</v>
      </c>
      <c r="G971" s="4" t="s">
        <v>16</v>
      </c>
      <c r="H971" s="4">
        <v>4</v>
      </c>
      <c r="I971" s="4">
        <v>500</v>
      </c>
      <c r="J971" s="4">
        <v>2000</v>
      </c>
      <c r="K971" s="4" t="str" cm="1">
        <f t="array" ref="K971">_xlfn.IFS(AND(Table15678[[#This Row],[Total Amount]]&gt;=1500),"Critical",AND(Table15678[[#This Row],[Total Amount]]&gt;=1000),"High",TRUE,"Normal")</f>
        <v>Critical</v>
      </c>
      <c r="L971" s="4" t="str">
        <f>IF(Table15678[[#This Row],[Total Amount]]&gt;=1000,"High",(IF(Table15678[[#This Row],[Total Amount]]&gt;=500,"Medium","Low")))</f>
        <v>High</v>
      </c>
      <c r="M971" s="4" t="str" cm="1">
        <f t="array" ref="M97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71" s="4" cm="1">
        <f t="array" ref="N97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971" s="4">
        <f>Table15678[[#This Row],[Total Amount]]-Table15678[[#This Row],[Discount Amount]]</f>
        <v>1800</v>
      </c>
      <c r="P971" s="4" t="str">
        <f>IF(Table15678[[#This Row],[Total Amount]]&gt;=1000,"High","Low")</f>
        <v>High</v>
      </c>
      <c r="Q971" s="4" t="b" cm="1">
        <f t="array" ref="Q971">_xlfn.IFS(AND(Table15678[[#This Row],[Total Amount]]&gt;=1500,"Critical"),AND(Table15678[[#This Row],[Total Amount]]&gt;=1000,"High"),TRUE,"Normal")</f>
        <v>1</v>
      </c>
      <c r="R971" s="4" t="str">
        <f>CONCATENATE(Table15678[[#This Row],[Customer ID]], "-",Table15678[[#This Row],[Age]])</f>
        <v>CUST970-59</v>
      </c>
      <c r="S971" s="4" t="str">
        <f>TEXT(Table15678[[#This Row],[Date]],"mmm")</f>
        <v>May</v>
      </c>
      <c r="T971" s="4" t="str">
        <f>TEXT(Table15678[[#This Row],[Date]],"DDD")</f>
        <v>Tue</v>
      </c>
    </row>
    <row r="972" spans="1:20" ht="29" x14ac:dyDescent="0.35">
      <c r="A972" s="4">
        <v>971</v>
      </c>
      <c r="B972" s="5">
        <v>45265</v>
      </c>
      <c r="C972" s="4" t="s">
        <v>984</v>
      </c>
      <c r="D972" s="4" t="s">
        <v>13</v>
      </c>
      <c r="E972" s="4">
        <v>27</v>
      </c>
      <c r="F972" s="4" t="str">
        <f>IF(Table15678[[#This Row],[Age]]&lt;=19,"Teenager",IF(Table15678[[#This Row],[Age]]&lt;=40,"Median","Old"))</f>
        <v>Median</v>
      </c>
      <c r="G972" s="4" t="s">
        <v>16</v>
      </c>
      <c r="H972" s="4">
        <v>4</v>
      </c>
      <c r="I972" s="4">
        <v>50</v>
      </c>
      <c r="J972" s="4">
        <v>200</v>
      </c>
      <c r="K972" s="4" t="str" cm="1">
        <f t="array" ref="K972">_xlfn.IFS(AND(Table15678[[#This Row],[Total Amount]]&gt;=1500),"Critical",AND(Table15678[[#This Row],[Total Amount]]&gt;=1000),"High",TRUE,"Normal")</f>
        <v>Normal</v>
      </c>
      <c r="L972" s="4" t="str">
        <f>IF(Table15678[[#This Row],[Total Amount]]&gt;=1000,"High",(IF(Table15678[[#This Row],[Total Amount]]&gt;=500,"Medium","Low")))</f>
        <v>Low</v>
      </c>
      <c r="M972" s="4" t="str" cm="1">
        <f t="array" ref="M97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72" s="4" cm="1">
        <f t="array" ref="N97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972" s="4">
        <f>Table15678[[#This Row],[Total Amount]]-Table15678[[#This Row],[Discount Amount]]</f>
        <v>170</v>
      </c>
      <c r="P972" s="4" t="str">
        <f>IF(Table15678[[#This Row],[Total Amount]]&gt;=1000,"High","Low")</f>
        <v>Low</v>
      </c>
      <c r="Q972" s="4" t="str" cm="1">
        <f t="array" ref="Q972">_xlfn.IFS(AND(Table15678[[#This Row],[Total Amount]]&gt;=1500,"Critical"),AND(Table15678[[#This Row],[Total Amount]]&gt;=1000,"High"),TRUE,"Normal")</f>
        <v>Normal</v>
      </c>
      <c r="R972" s="4" t="str">
        <f>CONCATENATE(Table15678[[#This Row],[Customer ID]], "-",Table15678[[#This Row],[Age]])</f>
        <v>CUST971-27</v>
      </c>
      <c r="S972" s="4" t="str">
        <f>TEXT(Table15678[[#This Row],[Date]],"mmm")</f>
        <v>Dec</v>
      </c>
      <c r="T972" s="4" t="str">
        <f>TEXT(Table15678[[#This Row],[Date]],"DDD")</f>
        <v>Tue</v>
      </c>
    </row>
    <row r="973" spans="1:20" ht="29" x14ac:dyDescent="0.35">
      <c r="A973" s="4">
        <v>972</v>
      </c>
      <c r="B973" s="5">
        <v>44968</v>
      </c>
      <c r="C973" s="4" t="s">
        <v>985</v>
      </c>
      <c r="D973" s="4" t="s">
        <v>10</v>
      </c>
      <c r="E973" s="4">
        <v>49</v>
      </c>
      <c r="F973" s="4" t="str">
        <f>IF(Table15678[[#This Row],[Age]]&lt;=19,"Teenager",IF(Table15678[[#This Row],[Age]]&lt;=40,"Median","Old"))</f>
        <v>Old</v>
      </c>
      <c r="G973" s="4" t="s">
        <v>11</v>
      </c>
      <c r="H973" s="4">
        <v>4</v>
      </c>
      <c r="I973" s="4">
        <v>25</v>
      </c>
      <c r="J973" s="4">
        <v>100</v>
      </c>
      <c r="K973" s="4" t="str" cm="1">
        <f t="array" ref="K973">_xlfn.IFS(AND(Table15678[[#This Row],[Total Amount]]&gt;=1500),"Critical",AND(Table15678[[#This Row],[Total Amount]]&gt;=1000),"High",TRUE,"Normal")</f>
        <v>Normal</v>
      </c>
      <c r="L973" s="4" t="str">
        <f>IF(Table15678[[#This Row],[Total Amount]]&gt;=1000,"High",(IF(Table15678[[#This Row],[Total Amount]]&gt;=500,"Medium","Low")))</f>
        <v>Low</v>
      </c>
      <c r="M973" s="4" t="str" cm="1">
        <f t="array" ref="M97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73" s="4" cm="1">
        <f t="array" ref="N97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10</v>
      </c>
      <c r="O973" s="4">
        <f>Table15678[[#This Row],[Total Amount]]-Table15678[[#This Row],[Discount Amount]]</f>
        <v>90</v>
      </c>
      <c r="P973" s="4" t="str">
        <f>IF(Table15678[[#This Row],[Total Amount]]&gt;=1000,"High","Low")</f>
        <v>Low</v>
      </c>
      <c r="Q973" s="4" t="str" cm="1">
        <f t="array" ref="Q973">_xlfn.IFS(AND(Table15678[[#This Row],[Total Amount]]&gt;=1500,"Critical"),AND(Table15678[[#This Row],[Total Amount]]&gt;=1000,"High"),TRUE,"Normal")</f>
        <v>Normal</v>
      </c>
      <c r="R973" s="4" t="str">
        <f>CONCATENATE(Table15678[[#This Row],[Customer ID]], "-",Table15678[[#This Row],[Age]])</f>
        <v>CUST972-49</v>
      </c>
      <c r="S973" s="4" t="str">
        <f>TEXT(Table15678[[#This Row],[Date]],"mmm")</f>
        <v>Feb</v>
      </c>
      <c r="T973" s="4" t="str">
        <f>TEXT(Table15678[[#This Row],[Date]],"DDD")</f>
        <v>Sat</v>
      </c>
    </row>
    <row r="974" spans="1:20" ht="29" x14ac:dyDescent="0.35">
      <c r="A974" s="4">
        <v>973</v>
      </c>
      <c r="B974" s="5">
        <v>45007</v>
      </c>
      <c r="C974" s="4" t="s">
        <v>986</v>
      </c>
      <c r="D974" s="4" t="s">
        <v>10</v>
      </c>
      <c r="E974" s="4">
        <v>60</v>
      </c>
      <c r="F974" s="4" t="str">
        <f>IF(Table15678[[#This Row],[Age]]&lt;=19,"Teenager",IF(Table15678[[#This Row],[Age]]&lt;=40,"Median","Old"))</f>
        <v>Old</v>
      </c>
      <c r="G974" s="4" t="s">
        <v>14</v>
      </c>
      <c r="H974" s="4">
        <v>1</v>
      </c>
      <c r="I974" s="4">
        <v>50</v>
      </c>
      <c r="J974" s="4">
        <v>50</v>
      </c>
      <c r="K974" s="4" t="str" cm="1">
        <f t="array" ref="K974">_xlfn.IFS(AND(Table15678[[#This Row],[Total Amount]]&gt;=1500),"Critical",AND(Table15678[[#This Row],[Total Amount]]&gt;=1000),"High",TRUE,"Normal")</f>
        <v>Normal</v>
      </c>
      <c r="L974" s="4" t="str">
        <f>IF(Table15678[[#This Row],[Total Amount]]&gt;=1000,"High",(IF(Table15678[[#This Row],[Total Amount]]&gt;=500,"Medium","Low")))</f>
        <v>Low</v>
      </c>
      <c r="M974" s="4" t="str" cm="1">
        <f t="array" ref="M97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74" s="4" cm="1">
        <f t="array" ref="N97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974" s="4">
        <f>Table15678[[#This Row],[Total Amount]]-Table15678[[#This Row],[Discount Amount]]</f>
        <v>45</v>
      </c>
      <c r="P974" s="4" t="str">
        <f>IF(Table15678[[#This Row],[Total Amount]]&gt;=1000,"High","Low")</f>
        <v>Low</v>
      </c>
      <c r="Q974" s="4" t="str" cm="1">
        <f t="array" ref="Q974">_xlfn.IFS(AND(Table15678[[#This Row],[Total Amount]]&gt;=1500,"Critical"),AND(Table15678[[#This Row],[Total Amount]]&gt;=1000,"High"),TRUE,"Normal")</f>
        <v>Normal</v>
      </c>
      <c r="R974" s="4" t="str">
        <f>CONCATENATE(Table15678[[#This Row],[Customer ID]], "-",Table15678[[#This Row],[Age]])</f>
        <v>CUST973-60</v>
      </c>
      <c r="S974" s="4" t="str">
        <f>TEXT(Table15678[[#This Row],[Date]],"mmm")</f>
        <v>Mar</v>
      </c>
      <c r="T974" s="4" t="str">
        <f>TEXT(Table15678[[#This Row],[Date]],"DDD")</f>
        <v>Wed</v>
      </c>
    </row>
    <row r="975" spans="1:20" ht="29" x14ac:dyDescent="0.35">
      <c r="A975" s="4">
        <v>974</v>
      </c>
      <c r="B975" s="5">
        <v>45049</v>
      </c>
      <c r="C975" s="4" t="s">
        <v>987</v>
      </c>
      <c r="D975" s="4" t="s">
        <v>10</v>
      </c>
      <c r="E975" s="4">
        <v>47</v>
      </c>
      <c r="F975" s="4" t="str">
        <f>IF(Table15678[[#This Row],[Age]]&lt;=19,"Teenager",IF(Table15678[[#This Row],[Age]]&lt;=40,"Median","Old"))</f>
        <v>Old</v>
      </c>
      <c r="G975" s="4" t="s">
        <v>11</v>
      </c>
      <c r="H975" s="4">
        <v>1</v>
      </c>
      <c r="I975" s="4">
        <v>30</v>
      </c>
      <c r="J975" s="4">
        <v>30</v>
      </c>
      <c r="K975" s="4" t="str" cm="1">
        <f t="array" ref="K975">_xlfn.IFS(AND(Table15678[[#This Row],[Total Amount]]&gt;=1500),"Critical",AND(Table15678[[#This Row],[Total Amount]]&gt;=1000),"High",TRUE,"Normal")</f>
        <v>Normal</v>
      </c>
      <c r="L975" s="4" t="str">
        <f>IF(Table15678[[#This Row],[Total Amount]]&gt;=1000,"High",(IF(Table15678[[#This Row],[Total Amount]]&gt;=500,"Medium","Low")))</f>
        <v>Low</v>
      </c>
      <c r="M975" s="4" t="str" cm="1">
        <f t="array" ref="M97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75" s="4" cm="1">
        <f t="array" ref="N97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</v>
      </c>
      <c r="O975" s="4">
        <f>Table15678[[#This Row],[Total Amount]]-Table15678[[#This Row],[Discount Amount]]</f>
        <v>27</v>
      </c>
      <c r="P975" s="4" t="str">
        <f>IF(Table15678[[#This Row],[Total Amount]]&gt;=1000,"High","Low")</f>
        <v>Low</v>
      </c>
      <c r="Q975" s="4" t="str" cm="1">
        <f t="array" ref="Q975">_xlfn.IFS(AND(Table15678[[#This Row],[Total Amount]]&gt;=1500,"Critical"),AND(Table15678[[#This Row],[Total Amount]]&gt;=1000,"High"),TRUE,"Normal")</f>
        <v>Normal</v>
      </c>
      <c r="R975" s="4" t="str">
        <f>CONCATENATE(Table15678[[#This Row],[Customer ID]], "-",Table15678[[#This Row],[Age]])</f>
        <v>CUST974-47</v>
      </c>
      <c r="S975" s="4" t="str">
        <f>TEXT(Table15678[[#This Row],[Date]],"mmm")</f>
        <v>May</v>
      </c>
      <c r="T975" s="4" t="str">
        <f>TEXT(Table15678[[#This Row],[Date]],"DDD")</f>
        <v>Wed</v>
      </c>
    </row>
    <row r="976" spans="1:20" ht="29" x14ac:dyDescent="0.35">
      <c r="A976" s="4">
        <v>975</v>
      </c>
      <c r="B976" s="5">
        <v>45015</v>
      </c>
      <c r="C976" s="4" t="s">
        <v>988</v>
      </c>
      <c r="D976" s="4" t="s">
        <v>13</v>
      </c>
      <c r="E976" s="4">
        <v>56</v>
      </c>
      <c r="F976" s="4" t="str">
        <f>IF(Table15678[[#This Row],[Age]]&lt;=19,"Teenager",IF(Table15678[[#This Row],[Age]]&lt;=40,"Median","Old"))</f>
        <v>Old</v>
      </c>
      <c r="G976" s="4" t="s">
        <v>14</v>
      </c>
      <c r="H976" s="4">
        <v>4</v>
      </c>
      <c r="I976" s="4">
        <v>50</v>
      </c>
      <c r="J976" s="4">
        <v>200</v>
      </c>
      <c r="K976" s="4" t="str" cm="1">
        <f t="array" ref="K976">_xlfn.IFS(AND(Table15678[[#This Row],[Total Amount]]&gt;=1500),"Critical",AND(Table15678[[#This Row],[Total Amount]]&gt;=1000),"High",TRUE,"Normal")</f>
        <v>Normal</v>
      </c>
      <c r="L976" s="4" t="str">
        <f>IF(Table15678[[#This Row],[Total Amount]]&gt;=1000,"High",(IF(Table15678[[#This Row],[Total Amount]]&gt;=500,"Medium","Low")))</f>
        <v>Low</v>
      </c>
      <c r="M976" s="4" t="str" cm="1">
        <f t="array" ref="M97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76" s="4" cm="1">
        <f t="array" ref="N97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40</v>
      </c>
      <c r="O976" s="4">
        <f>Table15678[[#This Row],[Total Amount]]-Table15678[[#This Row],[Discount Amount]]</f>
        <v>160</v>
      </c>
      <c r="P976" s="4" t="str">
        <f>IF(Table15678[[#This Row],[Total Amount]]&gt;=1000,"High","Low")</f>
        <v>Low</v>
      </c>
      <c r="Q976" s="4" t="str" cm="1">
        <f t="array" ref="Q976">_xlfn.IFS(AND(Table15678[[#This Row],[Total Amount]]&gt;=1500,"Critical"),AND(Table15678[[#This Row],[Total Amount]]&gt;=1000,"High"),TRUE,"Normal")</f>
        <v>Normal</v>
      </c>
      <c r="R976" s="4" t="str">
        <f>CONCATENATE(Table15678[[#This Row],[Customer ID]], "-",Table15678[[#This Row],[Age]])</f>
        <v>CUST975-56</v>
      </c>
      <c r="S976" s="4" t="str">
        <f>TEXT(Table15678[[#This Row],[Date]],"mmm")</f>
        <v>Mar</v>
      </c>
      <c r="T976" s="4" t="str">
        <f>TEXT(Table15678[[#This Row],[Date]],"DDD")</f>
        <v>Thu</v>
      </c>
    </row>
    <row r="977" spans="1:20" ht="29" x14ac:dyDescent="0.35">
      <c r="A977" s="4">
        <v>976</v>
      </c>
      <c r="B977" s="5">
        <v>45209</v>
      </c>
      <c r="C977" s="4" t="s">
        <v>989</v>
      </c>
      <c r="D977" s="4" t="s">
        <v>13</v>
      </c>
      <c r="E977" s="4">
        <v>48</v>
      </c>
      <c r="F977" s="4" t="str">
        <f>IF(Table15678[[#This Row],[Age]]&lt;=19,"Teenager",IF(Table15678[[#This Row],[Age]]&lt;=40,"Median","Old"))</f>
        <v>Old</v>
      </c>
      <c r="G977" s="4" t="s">
        <v>11</v>
      </c>
      <c r="H977" s="4">
        <v>2</v>
      </c>
      <c r="I977" s="4">
        <v>300</v>
      </c>
      <c r="J977" s="4">
        <v>600</v>
      </c>
      <c r="K977" s="4" t="str" cm="1">
        <f t="array" ref="K977">_xlfn.IFS(AND(Table15678[[#This Row],[Total Amount]]&gt;=1500),"Critical",AND(Table15678[[#This Row],[Total Amount]]&gt;=1000),"High",TRUE,"Normal")</f>
        <v>Normal</v>
      </c>
      <c r="L977" s="4" t="str">
        <f>IF(Table15678[[#This Row],[Total Amount]]&gt;=1000,"High",(IF(Table15678[[#This Row],[Total Amount]]&gt;=500,"Medium","Low")))</f>
        <v>Medium</v>
      </c>
      <c r="M977" s="4" t="str" cm="1">
        <f t="array" ref="M97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77" s="4" cm="1">
        <f t="array" ref="N97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120</v>
      </c>
      <c r="O977" s="4">
        <f>Table15678[[#This Row],[Total Amount]]-Table15678[[#This Row],[Discount Amount]]</f>
        <v>480</v>
      </c>
      <c r="P977" s="4" t="str">
        <f>IF(Table15678[[#This Row],[Total Amount]]&gt;=1000,"High","Low")</f>
        <v>Low</v>
      </c>
      <c r="Q977" s="4" t="str" cm="1">
        <f t="array" ref="Q977">_xlfn.IFS(AND(Table15678[[#This Row],[Total Amount]]&gt;=1500,"Critical"),AND(Table15678[[#This Row],[Total Amount]]&gt;=1000,"High"),TRUE,"Normal")</f>
        <v>Normal</v>
      </c>
      <c r="R977" s="4" t="str">
        <f>CONCATENATE(Table15678[[#This Row],[Customer ID]], "-",Table15678[[#This Row],[Age]])</f>
        <v>CUST976-48</v>
      </c>
      <c r="S977" s="4" t="str">
        <f>TEXT(Table15678[[#This Row],[Date]],"mmm")</f>
        <v>Oct</v>
      </c>
      <c r="T977" s="4" t="str">
        <f>TEXT(Table15678[[#This Row],[Date]],"DDD")</f>
        <v>Tue</v>
      </c>
    </row>
    <row r="978" spans="1:20" ht="29" x14ac:dyDescent="0.35">
      <c r="A978" s="4">
        <v>977</v>
      </c>
      <c r="B978" s="5">
        <v>44965</v>
      </c>
      <c r="C978" s="4" t="s">
        <v>990</v>
      </c>
      <c r="D978" s="4" t="s">
        <v>13</v>
      </c>
      <c r="E978" s="4">
        <v>35</v>
      </c>
      <c r="F978" s="4" t="str">
        <f>IF(Table15678[[#This Row],[Age]]&lt;=19,"Teenager",IF(Table15678[[#This Row],[Age]]&lt;=40,"Median","Old"))</f>
        <v>Median</v>
      </c>
      <c r="G978" s="4" t="s">
        <v>16</v>
      </c>
      <c r="H978" s="4">
        <v>3</v>
      </c>
      <c r="I978" s="4">
        <v>25</v>
      </c>
      <c r="J978" s="4">
        <v>75</v>
      </c>
      <c r="K978" s="4" t="str" cm="1">
        <f t="array" ref="K978">_xlfn.IFS(AND(Table15678[[#This Row],[Total Amount]]&gt;=1500),"Critical",AND(Table15678[[#This Row],[Total Amount]]&gt;=1000),"High",TRUE,"Normal")</f>
        <v>Normal</v>
      </c>
      <c r="L978" s="4" t="str">
        <f>IF(Table15678[[#This Row],[Total Amount]]&gt;=1000,"High",(IF(Table15678[[#This Row],[Total Amount]]&gt;=500,"Medium","Low")))</f>
        <v>Low</v>
      </c>
      <c r="M978" s="4" t="str" cm="1">
        <f t="array" ref="M97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78" s="4" cm="1">
        <f t="array" ref="N97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978" s="4">
        <f>Table15678[[#This Row],[Total Amount]]-Table15678[[#This Row],[Discount Amount]]</f>
        <v>60</v>
      </c>
      <c r="P978" s="4" t="str">
        <f>IF(Table15678[[#This Row],[Total Amount]]&gt;=1000,"High","Low")</f>
        <v>Low</v>
      </c>
      <c r="Q978" s="4" t="str" cm="1">
        <f t="array" ref="Q978">_xlfn.IFS(AND(Table15678[[#This Row],[Total Amount]]&gt;=1500,"Critical"),AND(Table15678[[#This Row],[Total Amount]]&gt;=1000,"High"),TRUE,"Normal")</f>
        <v>Normal</v>
      </c>
      <c r="R978" s="4" t="str">
        <f>CONCATENATE(Table15678[[#This Row],[Customer ID]], "-",Table15678[[#This Row],[Age]])</f>
        <v>CUST977-35</v>
      </c>
      <c r="S978" s="4" t="str">
        <f>TEXT(Table15678[[#This Row],[Date]],"mmm")</f>
        <v>Feb</v>
      </c>
      <c r="T978" s="4" t="str">
        <f>TEXT(Table15678[[#This Row],[Date]],"DDD")</f>
        <v>Wed</v>
      </c>
    </row>
    <row r="979" spans="1:20" ht="29" x14ac:dyDescent="0.35">
      <c r="A979" s="4">
        <v>978</v>
      </c>
      <c r="B979" s="5">
        <v>45007</v>
      </c>
      <c r="C979" s="4" t="s">
        <v>991</v>
      </c>
      <c r="D979" s="4" t="s">
        <v>13</v>
      </c>
      <c r="E979" s="4">
        <v>53</v>
      </c>
      <c r="F979" s="4" t="str">
        <f>IF(Table15678[[#This Row],[Age]]&lt;=19,"Teenager",IF(Table15678[[#This Row],[Age]]&lt;=40,"Median","Old"))</f>
        <v>Old</v>
      </c>
      <c r="G979" s="4" t="s">
        <v>14</v>
      </c>
      <c r="H979" s="4">
        <v>3</v>
      </c>
      <c r="I979" s="4">
        <v>50</v>
      </c>
      <c r="J979" s="4">
        <v>150</v>
      </c>
      <c r="K979" s="4" t="str" cm="1">
        <f t="array" ref="K979">_xlfn.IFS(AND(Table15678[[#This Row],[Total Amount]]&gt;=1500),"Critical",AND(Table15678[[#This Row],[Total Amount]]&gt;=1000),"High",TRUE,"Normal")</f>
        <v>Normal</v>
      </c>
      <c r="L979" s="4" t="str">
        <f>IF(Table15678[[#This Row],[Total Amount]]&gt;=1000,"High",(IF(Table15678[[#This Row],[Total Amount]]&gt;=500,"Medium","Low")))</f>
        <v>Low</v>
      </c>
      <c r="M979" s="4" t="str" cm="1">
        <f t="array" ref="M97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79" s="4" cm="1">
        <f t="array" ref="N97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979" s="4">
        <f>Table15678[[#This Row],[Total Amount]]-Table15678[[#This Row],[Discount Amount]]</f>
        <v>120</v>
      </c>
      <c r="P979" s="4" t="str">
        <f>IF(Table15678[[#This Row],[Total Amount]]&gt;=1000,"High","Low")</f>
        <v>Low</v>
      </c>
      <c r="Q979" s="4" t="str" cm="1">
        <f t="array" ref="Q979">_xlfn.IFS(AND(Table15678[[#This Row],[Total Amount]]&gt;=1500,"Critical"),AND(Table15678[[#This Row],[Total Amount]]&gt;=1000,"High"),TRUE,"Normal")</f>
        <v>Normal</v>
      </c>
      <c r="R979" s="4" t="str">
        <f>CONCATENATE(Table15678[[#This Row],[Customer ID]], "-",Table15678[[#This Row],[Age]])</f>
        <v>CUST978-53</v>
      </c>
      <c r="S979" s="4" t="str">
        <f>TEXT(Table15678[[#This Row],[Date]],"mmm")</f>
        <v>Mar</v>
      </c>
      <c r="T979" s="4" t="str">
        <f>TEXT(Table15678[[#This Row],[Date]],"DDD")</f>
        <v>Wed</v>
      </c>
    </row>
    <row r="980" spans="1:20" ht="29" x14ac:dyDescent="0.35">
      <c r="A980" s="4">
        <v>979</v>
      </c>
      <c r="B980" s="5">
        <v>44928</v>
      </c>
      <c r="C980" s="4" t="s">
        <v>992</v>
      </c>
      <c r="D980" s="4" t="s">
        <v>13</v>
      </c>
      <c r="E980" s="4">
        <v>19</v>
      </c>
      <c r="F980" s="4" t="str">
        <f>IF(Table15678[[#This Row],[Age]]&lt;=19,"Teenager",IF(Table15678[[#This Row],[Age]]&lt;=40,"Median","Old"))</f>
        <v>Teenager</v>
      </c>
      <c r="G980" s="4" t="s">
        <v>11</v>
      </c>
      <c r="H980" s="4">
        <v>1</v>
      </c>
      <c r="I980" s="4">
        <v>25</v>
      </c>
      <c r="J980" s="4">
        <v>25</v>
      </c>
      <c r="K980" s="4" t="str" cm="1">
        <f t="array" ref="K980">_xlfn.IFS(AND(Table15678[[#This Row],[Total Amount]]&gt;=1500),"Critical",AND(Table15678[[#This Row],[Total Amount]]&gt;=1000),"High",TRUE,"Normal")</f>
        <v>Normal</v>
      </c>
      <c r="L980" s="4" t="str">
        <f>IF(Table15678[[#This Row],[Total Amount]]&gt;=1000,"High",(IF(Table15678[[#This Row],[Total Amount]]&gt;=500,"Medium","Low")))</f>
        <v>Low</v>
      </c>
      <c r="M980" s="4" t="str" cm="1">
        <f t="array" ref="M98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980" s="4" cm="1">
        <f t="array" ref="N98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980" s="4">
        <f>Table15678[[#This Row],[Total Amount]]-Table15678[[#This Row],[Discount Amount]]</f>
        <v>25</v>
      </c>
      <c r="P980" s="4" t="str">
        <f>IF(Table15678[[#This Row],[Total Amount]]&gt;=1000,"High","Low")</f>
        <v>Low</v>
      </c>
      <c r="Q980" s="4" t="str" cm="1">
        <f t="array" ref="Q980">_xlfn.IFS(AND(Table15678[[#This Row],[Total Amount]]&gt;=1500,"Critical"),AND(Table15678[[#This Row],[Total Amount]]&gt;=1000,"High"),TRUE,"Normal")</f>
        <v>Normal</v>
      </c>
      <c r="R980" s="4" t="str">
        <f>CONCATENATE(Table15678[[#This Row],[Customer ID]], "-",Table15678[[#This Row],[Age]])</f>
        <v>CUST979-19</v>
      </c>
      <c r="S980" s="4" t="str">
        <f>TEXT(Table15678[[#This Row],[Date]],"mmm")</f>
        <v>Jan</v>
      </c>
      <c r="T980" s="4" t="str">
        <f>TEXT(Table15678[[#This Row],[Date]],"DDD")</f>
        <v>Mon</v>
      </c>
    </row>
    <row r="981" spans="1:20" ht="29" x14ac:dyDescent="0.35">
      <c r="A981" s="4">
        <v>980</v>
      </c>
      <c r="B981" s="5">
        <v>45136</v>
      </c>
      <c r="C981" s="4" t="s">
        <v>993</v>
      </c>
      <c r="D981" s="4" t="s">
        <v>13</v>
      </c>
      <c r="E981" s="4">
        <v>31</v>
      </c>
      <c r="F981" s="4" t="str">
        <f>IF(Table15678[[#This Row],[Age]]&lt;=19,"Teenager",IF(Table15678[[#This Row],[Age]]&lt;=40,"Median","Old"))</f>
        <v>Median</v>
      </c>
      <c r="G981" s="4" t="s">
        <v>16</v>
      </c>
      <c r="H981" s="4">
        <v>3</v>
      </c>
      <c r="I981" s="4">
        <v>25</v>
      </c>
      <c r="J981" s="4">
        <v>75</v>
      </c>
      <c r="K981" s="4" t="str" cm="1">
        <f t="array" ref="K981">_xlfn.IFS(AND(Table15678[[#This Row],[Total Amount]]&gt;=1500),"Critical",AND(Table15678[[#This Row],[Total Amount]]&gt;=1000),"High",TRUE,"Normal")</f>
        <v>Normal</v>
      </c>
      <c r="L981" s="4" t="str">
        <f>IF(Table15678[[#This Row],[Total Amount]]&gt;=1000,"High",(IF(Table15678[[#This Row],[Total Amount]]&gt;=500,"Medium","Low")))</f>
        <v>Low</v>
      </c>
      <c r="M981" s="4" t="str" cm="1">
        <f t="array" ref="M98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81" s="4" cm="1">
        <f t="array" ref="N98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11.25</v>
      </c>
      <c r="O981" s="4">
        <f>Table15678[[#This Row],[Total Amount]]-Table15678[[#This Row],[Discount Amount]]</f>
        <v>63.75</v>
      </c>
      <c r="P981" s="4" t="str">
        <f>IF(Table15678[[#This Row],[Total Amount]]&gt;=1000,"High","Low")</f>
        <v>Low</v>
      </c>
      <c r="Q981" s="4" t="str" cm="1">
        <f t="array" ref="Q981">_xlfn.IFS(AND(Table15678[[#This Row],[Total Amount]]&gt;=1500,"Critical"),AND(Table15678[[#This Row],[Total Amount]]&gt;=1000,"High"),TRUE,"Normal")</f>
        <v>Normal</v>
      </c>
      <c r="R981" s="4" t="str">
        <f>CONCATENATE(Table15678[[#This Row],[Customer ID]], "-",Table15678[[#This Row],[Age]])</f>
        <v>CUST980-31</v>
      </c>
      <c r="S981" s="4" t="str">
        <f>TEXT(Table15678[[#This Row],[Date]],"mmm")</f>
        <v>Jul</v>
      </c>
      <c r="T981" s="4" t="str">
        <f>TEXT(Table15678[[#This Row],[Date]],"DDD")</f>
        <v>Sat</v>
      </c>
    </row>
    <row r="982" spans="1:20" ht="29" x14ac:dyDescent="0.35">
      <c r="A982" s="4">
        <v>981</v>
      </c>
      <c r="B982" s="5">
        <v>45157</v>
      </c>
      <c r="C982" s="4" t="s">
        <v>994</v>
      </c>
      <c r="D982" s="4" t="s">
        <v>13</v>
      </c>
      <c r="E982" s="4">
        <v>30</v>
      </c>
      <c r="F982" s="4" t="str">
        <f>IF(Table15678[[#This Row],[Age]]&lt;=19,"Teenager",IF(Table15678[[#This Row],[Age]]&lt;=40,"Median","Old"))</f>
        <v>Median</v>
      </c>
      <c r="G982" s="4" t="s">
        <v>16</v>
      </c>
      <c r="H982" s="4">
        <v>2</v>
      </c>
      <c r="I982" s="4">
        <v>30</v>
      </c>
      <c r="J982" s="4">
        <v>60</v>
      </c>
      <c r="K982" s="4" t="str" cm="1">
        <f t="array" ref="K982">_xlfn.IFS(AND(Table15678[[#This Row],[Total Amount]]&gt;=1500),"Critical",AND(Table15678[[#This Row],[Total Amount]]&gt;=1000),"High",TRUE,"Normal")</f>
        <v>Normal</v>
      </c>
      <c r="L982" s="4" t="str">
        <f>IF(Table15678[[#This Row],[Total Amount]]&gt;=1000,"High",(IF(Table15678[[#This Row],[Total Amount]]&gt;=500,"Medium","Low")))</f>
        <v>Low</v>
      </c>
      <c r="M982" s="4" t="str" cm="1">
        <f t="array" ref="M98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82" s="4" cm="1">
        <f t="array" ref="N98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</v>
      </c>
      <c r="O982" s="4">
        <f>Table15678[[#This Row],[Total Amount]]-Table15678[[#This Row],[Discount Amount]]</f>
        <v>51</v>
      </c>
      <c r="P982" s="4" t="str">
        <f>IF(Table15678[[#This Row],[Total Amount]]&gt;=1000,"High","Low")</f>
        <v>Low</v>
      </c>
      <c r="Q982" s="4" t="str" cm="1">
        <f t="array" ref="Q982">_xlfn.IFS(AND(Table15678[[#This Row],[Total Amount]]&gt;=1500,"Critical"),AND(Table15678[[#This Row],[Total Amount]]&gt;=1000,"High"),TRUE,"Normal")</f>
        <v>Normal</v>
      </c>
      <c r="R982" s="4" t="str">
        <f>CONCATENATE(Table15678[[#This Row],[Customer ID]], "-",Table15678[[#This Row],[Age]])</f>
        <v>CUST981-30</v>
      </c>
      <c r="S982" s="4" t="str">
        <f>TEXT(Table15678[[#This Row],[Date]],"mmm")</f>
        <v>Aug</v>
      </c>
      <c r="T982" s="4" t="str">
        <f>TEXT(Table15678[[#This Row],[Date]],"DDD")</f>
        <v>Sat</v>
      </c>
    </row>
    <row r="983" spans="1:20" ht="29" x14ac:dyDescent="0.35">
      <c r="A983" s="4">
        <v>982</v>
      </c>
      <c r="B983" s="5">
        <v>45279</v>
      </c>
      <c r="C983" s="4" t="s">
        <v>995</v>
      </c>
      <c r="D983" s="4" t="s">
        <v>13</v>
      </c>
      <c r="E983" s="4">
        <v>46</v>
      </c>
      <c r="F983" s="4" t="str">
        <f>IF(Table15678[[#This Row],[Age]]&lt;=19,"Teenager",IF(Table15678[[#This Row],[Age]]&lt;=40,"Median","Old"))</f>
        <v>Old</v>
      </c>
      <c r="G983" s="4" t="s">
        <v>11</v>
      </c>
      <c r="H983" s="4">
        <v>3</v>
      </c>
      <c r="I983" s="4">
        <v>30</v>
      </c>
      <c r="J983" s="4">
        <v>90</v>
      </c>
      <c r="K983" s="4" t="str" cm="1">
        <f t="array" ref="K983">_xlfn.IFS(AND(Table15678[[#This Row],[Total Amount]]&gt;=1500),"Critical",AND(Table15678[[#This Row],[Total Amount]]&gt;=1000),"High",TRUE,"Normal")</f>
        <v>Normal</v>
      </c>
      <c r="L983" s="4" t="str">
        <f>IF(Table15678[[#This Row],[Total Amount]]&gt;=1000,"High",(IF(Table15678[[#This Row],[Total Amount]]&gt;=500,"Medium","Low")))</f>
        <v>Low</v>
      </c>
      <c r="M983" s="4" t="str" cm="1">
        <f t="array" ref="M98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83" s="4" cm="1">
        <f t="array" ref="N98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18</v>
      </c>
      <c r="O983" s="4">
        <f>Table15678[[#This Row],[Total Amount]]-Table15678[[#This Row],[Discount Amount]]</f>
        <v>72</v>
      </c>
      <c r="P983" s="4" t="str">
        <f>IF(Table15678[[#This Row],[Total Amount]]&gt;=1000,"High","Low")</f>
        <v>Low</v>
      </c>
      <c r="Q983" s="4" t="str" cm="1">
        <f t="array" ref="Q983">_xlfn.IFS(AND(Table15678[[#This Row],[Total Amount]]&gt;=1500,"Critical"),AND(Table15678[[#This Row],[Total Amount]]&gt;=1000,"High"),TRUE,"Normal")</f>
        <v>Normal</v>
      </c>
      <c r="R983" s="4" t="str">
        <f>CONCATENATE(Table15678[[#This Row],[Customer ID]], "-",Table15678[[#This Row],[Age]])</f>
        <v>CUST982-46</v>
      </c>
      <c r="S983" s="4" t="str">
        <f>TEXT(Table15678[[#This Row],[Date]],"mmm")</f>
        <v>Dec</v>
      </c>
      <c r="T983" s="4" t="str">
        <f>TEXT(Table15678[[#This Row],[Date]],"DDD")</f>
        <v>Tue</v>
      </c>
    </row>
    <row r="984" spans="1:20" ht="29" x14ac:dyDescent="0.35">
      <c r="A984" s="4">
        <v>983</v>
      </c>
      <c r="B984" s="5">
        <v>45231</v>
      </c>
      <c r="C984" s="4" t="s">
        <v>996</v>
      </c>
      <c r="D984" s="4" t="s">
        <v>13</v>
      </c>
      <c r="E984" s="4">
        <v>29</v>
      </c>
      <c r="F984" s="4" t="str">
        <f>IF(Table15678[[#This Row],[Age]]&lt;=19,"Teenager",IF(Table15678[[#This Row],[Age]]&lt;=40,"Median","Old"))</f>
        <v>Median</v>
      </c>
      <c r="G984" s="4" t="s">
        <v>14</v>
      </c>
      <c r="H984" s="4">
        <v>1</v>
      </c>
      <c r="I984" s="4">
        <v>300</v>
      </c>
      <c r="J984" s="4">
        <v>300</v>
      </c>
      <c r="K984" s="4" t="str" cm="1">
        <f t="array" ref="K984">_xlfn.IFS(AND(Table15678[[#This Row],[Total Amount]]&gt;=1500),"Critical",AND(Table15678[[#This Row],[Total Amount]]&gt;=1000),"High",TRUE,"Normal")</f>
        <v>Normal</v>
      </c>
      <c r="L984" s="4" t="str">
        <f>IF(Table15678[[#This Row],[Total Amount]]&gt;=1000,"High",(IF(Table15678[[#This Row],[Total Amount]]&gt;=500,"Medium","Low")))</f>
        <v>Low</v>
      </c>
      <c r="M984" s="4" t="str" cm="1">
        <f t="array" ref="M98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84" s="4" cm="1">
        <f t="array" ref="N98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45</v>
      </c>
      <c r="O984" s="4">
        <f>Table15678[[#This Row],[Total Amount]]-Table15678[[#This Row],[Discount Amount]]</f>
        <v>255</v>
      </c>
      <c r="P984" s="4" t="str">
        <f>IF(Table15678[[#This Row],[Total Amount]]&gt;=1000,"High","Low")</f>
        <v>Low</v>
      </c>
      <c r="Q984" s="4" t="str" cm="1">
        <f t="array" ref="Q984">_xlfn.IFS(AND(Table15678[[#This Row],[Total Amount]]&gt;=1500,"Critical"),AND(Table15678[[#This Row],[Total Amount]]&gt;=1000,"High"),TRUE,"Normal")</f>
        <v>Normal</v>
      </c>
      <c r="R984" s="4" t="str">
        <f>CONCATENATE(Table15678[[#This Row],[Customer ID]], "-",Table15678[[#This Row],[Age]])</f>
        <v>CUST983-29</v>
      </c>
      <c r="S984" s="4" t="str">
        <f>TEXT(Table15678[[#This Row],[Date]],"mmm")</f>
        <v>Nov</v>
      </c>
      <c r="T984" s="4" t="str">
        <f>TEXT(Table15678[[#This Row],[Date]],"DDD")</f>
        <v>Wed</v>
      </c>
    </row>
    <row r="985" spans="1:20" ht="29" x14ac:dyDescent="0.35">
      <c r="A985" s="4">
        <v>984</v>
      </c>
      <c r="B985" s="5">
        <v>45167</v>
      </c>
      <c r="C985" s="4" t="s">
        <v>997</v>
      </c>
      <c r="D985" s="4" t="s">
        <v>10</v>
      </c>
      <c r="E985" s="4">
        <v>56</v>
      </c>
      <c r="F985" s="4" t="str">
        <f>IF(Table15678[[#This Row],[Age]]&lt;=19,"Teenager",IF(Table15678[[#This Row],[Age]]&lt;=40,"Median","Old"))</f>
        <v>Old</v>
      </c>
      <c r="G985" s="4" t="s">
        <v>14</v>
      </c>
      <c r="H985" s="4">
        <v>1</v>
      </c>
      <c r="I985" s="4">
        <v>500</v>
      </c>
      <c r="J985" s="4">
        <v>500</v>
      </c>
      <c r="K985" s="4" t="str" cm="1">
        <f t="array" ref="K985">_xlfn.IFS(AND(Table15678[[#This Row],[Total Amount]]&gt;=1500),"Critical",AND(Table15678[[#This Row],[Total Amount]]&gt;=1000),"High",TRUE,"Normal")</f>
        <v>Normal</v>
      </c>
      <c r="L985" s="4" t="str">
        <f>IF(Table15678[[#This Row],[Total Amount]]&gt;=1000,"High",(IF(Table15678[[#This Row],[Total Amount]]&gt;=500,"Medium","Low")))</f>
        <v>Medium</v>
      </c>
      <c r="M985" s="4" t="str" cm="1">
        <f t="array" ref="M98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85" s="4" cm="1">
        <f t="array" ref="N98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50</v>
      </c>
      <c r="O985" s="4">
        <f>Table15678[[#This Row],[Total Amount]]-Table15678[[#This Row],[Discount Amount]]</f>
        <v>450</v>
      </c>
      <c r="P985" s="4" t="str">
        <f>IF(Table15678[[#This Row],[Total Amount]]&gt;=1000,"High","Low")</f>
        <v>Low</v>
      </c>
      <c r="Q985" s="4" t="str" cm="1">
        <f t="array" ref="Q985">_xlfn.IFS(AND(Table15678[[#This Row],[Total Amount]]&gt;=1500,"Critical"),AND(Table15678[[#This Row],[Total Amount]]&gt;=1000,"High"),TRUE,"Normal")</f>
        <v>Normal</v>
      </c>
      <c r="R985" s="4" t="str">
        <f>CONCATENATE(Table15678[[#This Row],[Customer ID]], "-",Table15678[[#This Row],[Age]])</f>
        <v>CUST984-56</v>
      </c>
      <c r="S985" s="4" t="str">
        <f>TEXT(Table15678[[#This Row],[Date]],"mmm")</f>
        <v>Aug</v>
      </c>
      <c r="T985" s="4" t="str">
        <f>TEXT(Table15678[[#This Row],[Date]],"DDD")</f>
        <v>Tue</v>
      </c>
    </row>
    <row r="986" spans="1:20" ht="29" x14ac:dyDescent="0.35">
      <c r="A986" s="4">
        <v>985</v>
      </c>
      <c r="B986" s="5">
        <v>45076</v>
      </c>
      <c r="C986" s="4" t="s">
        <v>998</v>
      </c>
      <c r="D986" s="4" t="s">
        <v>13</v>
      </c>
      <c r="E986" s="4">
        <v>19</v>
      </c>
      <c r="F986" s="4" t="str">
        <f>IF(Table15678[[#This Row],[Age]]&lt;=19,"Teenager",IF(Table15678[[#This Row],[Age]]&lt;=40,"Median","Old"))</f>
        <v>Teenager</v>
      </c>
      <c r="G986" s="4" t="s">
        <v>16</v>
      </c>
      <c r="H986" s="4">
        <v>2</v>
      </c>
      <c r="I986" s="4">
        <v>25</v>
      </c>
      <c r="J986" s="4">
        <v>50</v>
      </c>
      <c r="K986" s="4" t="str" cm="1">
        <f t="array" ref="K986">_xlfn.IFS(AND(Table15678[[#This Row],[Total Amount]]&gt;=1500),"Critical",AND(Table15678[[#This Row],[Total Amount]]&gt;=1000),"High",TRUE,"Normal")</f>
        <v>Normal</v>
      </c>
      <c r="L986" s="4" t="str">
        <f>IF(Table15678[[#This Row],[Total Amount]]&gt;=1000,"High",(IF(Table15678[[#This Row],[Total Amount]]&gt;=500,"Medium","Low")))</f>
        <v>Low</v>
      </c>
      <c r="M986" s="4" t="str" cm="1">
        <f t="array" ref="M98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986" s="4" cm="1">
        <f t="array" ref="N98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986" s="4">
        <f>Table15678[[#This Row],[Total Amount]]-Table15678[[#This Row],[Discount Amount]]</f>
        <v>50</v>
      </c>
      <c r="P986" s="4" t="str">
        <f>IF(Table15678[[#This Row],[Total Amount]]&gt;=1000,"High","Low")</f>
        <v>Low</v>
      </c>
      <c r="Q986" s="4" t="str" cm="1">
        <f t="array" ref="Q986">_xlfn.IFS(AND(Table15678[[#This Row],[Total Amount]]&gt;=1500,"Critical"),AND(Table15678[[#This Row],[Total Amount]]&gt;=1000,"High"),TRUE,"Normal")</f>
        <v>Normal</v>
      </c>
      <c r="R986" s="4" t="str">
        <f>CONCATENATE(Table15678[[#This Row],[Customer ID]], "-",Table15678[[#This Row],[Age]])</f>
        <v>CUST985-19</v>
      </c>
      <c r="S986" s="4" t="str">
        <f>TEXT(Table15678[[#This Row],[Date]],"mmm")</f>
        <v>May</v>
      </c>
      <c r="T986" s="4" t="str">
        <f>TEXT(Table15678[[#This Row],[Date]],"DDD")</f>
        <v>Tue</v>
      </c>
    </row>
    <row r="987" spans="1:20" ht="29" x14ac:dyDescent="0.35">
      <c r="A987" s="4">
        <v>986</v>
      </c>
      <c r="B987" s="5">
        <v>44943</v>
      </c>
      <c r="C987" s="4" t="s">
        <v>999</v>
      </c>
      <c r="D987" s="4" t="s">
        <v>13</v>
      </c>
      <c r="E987" s="4">
        <v>49</v>
      </c>
      <c r="F987" s="4" t="str">
        <f>IF(Table15678[[#This Row],[Age]]&lt;=19,"Teenager",IF(Table15678[[#This Row],[Age]]&lt;=40,"Median","Old"))</f>
        <v>Old</v>
      </c>
      <c r="G987" s="4" t="s">
        <v>14</v>
      </c>
      <c r="H987" s="4">
        <v>2</v>
      </c>
      <c r="I987" s="4">
        <v>500</v>
      </c>
      <c r="J987" s="4">
        <v>1000</v>
      </c>
      <c r="K987" s="4" t="str" cm="1">
        <f t="array" ref="K987">_xlfn.IFS(AND(Table15678[[#This Row],[Total Amount]]&gt;=1500),"Critical",AND(Table15678[[#This Row],[Total Amount]]&gt;=1000),"High",TRUE,"Normal")</f>
        <v>High</v>
      </c>
      <c r="L987" s="4" t="str">
        <f>IF(Table15678[[#This Row],[Total Amount]]&gt;=1000,"High",(IF(Table15678[[#This Row],[Total Amount]]&gt;=500,"Medium","Low")))</f>
        <v>High</v>
      </c>
      <c r="M987" s="4" t="str" cm="1">
        <f t="array" ref="M98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87" s="4" cm="1">
        <f t="array" ref="N98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987" s="4">
        <f>Table15678[[#This Row],[Total Amount]]-Table15678[[#This Row],[Discount Amount]]</f>
        <v>800</v>
      </c>
      <c r="P987" s="4" t="str">
        <f>IF(Table15678[[#This Row],[Total Amount]]&gt;=1000,"High","Low")</f>
        <v>High</v>
      </c>
      <c r="Q987" s="4" t="str" cm="1">
        <f t="array" ref="Q987">_xlfn.IFS(AND(Table15678[[#This Row],[Total Amount]]&gt;=1500,"Critical"),AND(Table15678[[#This Row],[Total Amount]]&gt;=1000,"High"),TRUE,"Normal")</f>
        <v>Normal</v>
      </c>
      <c r="R987" s="4" t="str">
        <f>CONCATENATE(Table15678[[#This Row],[Customer ID]], "-",Table15678[[#This Row],[Age]])</f>
        <v>CUST986-49</v>
      </c>
      <c r="S987" s="4" t="str">
        <f>TEXT(Table15678[[#This Row],[Date]],"mmm")</f>
        <v>Jan</v>
      </c>
      <c r="T987" s="4" t="str">
        <f>TEXT(Table15678[[#This Row],[Date]],"DDD")</f>
        <v>Tue</v>
      </c>
    </row>
    <row r="988" spans="1:20" ht="29" x14ac:dyDescent="0.35">
      <c r="A988" s="4">
        <v>987</v>
      </c>
      <c r="B988" s="5">
        <v>45045</v>
      </c>
      <c r="C988" s="4" t="s">
        <v>1000</v>
      </c>
      <c r="D988" s="4" t="s">
        <v>13</v>
      </c>
      <c r="E988" s="4">
        <v>30</v>
      </c>
      <c r="F988" s="4" t="str">
        <f>IF(Table15678[[#This Row],[Age]]&lt;=19,"Teenager",IF(Table15678[[#This Row],[Age]]&lt;=40,"Median","Old"))</f>
        <v>Median</v>
      </c>
      <c r="G988" s="4" t="s">
        <v>14</v>
      </c>
      <c r="H988" s="4">
        <v>3</v>
      </c>
      <c r="I988" s="4">
        <v>300</v>
      </c>
      <c r="J988" s="4">
        <v>900</v>
      </c>
      <c r="K988" s="4" t="str" cm="1">
        <f t="array" ref="K988">_xlfn.IFS(AND(Table15678[[#This Row],[Total Amount]]&gt;=1500),"Critical",AND(Table15678[[#This Row],[Total Amount]]&gt;=1000),"High",TRUE,"Normal")</f>
        <v>Normal</v>
      </c>
      <c r="L988" s="4" t="str">
        <f>IF(Table15678[[#This Row],[Total Amount]]&gt;=1000,"High",(IF(Table15678[[#This Row],[Total Amount]]&gt;=500,"Medium","Low")))</f>
        <v>Medium</v>
      </c>
      <c r="M988" s="4" t="str" cm="1">
        <f t="array" ref="M98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88" s="4" cm="1">
        <f t="array" ref="N98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135</v>
      </c>
      <c r="O988" s="4">
        <f>Table15678[[#This Row],[Total Amount]]-Table15678[[#This Row],[Discount Amount]]</f>
        <v>765</v>
      </c>
      <c r="P988" s="4" t="str">
        <f>IF(Table15678[[#This Row],[Total Amount]]&gt;=1000,"High","Low")</f>
        <v>Low</v>
      </c>
      <c r="Q988" s="4" t="str" cm="1">
        <f t="array" ref="Q988">_xlfn.IFS(AND(Table15678[[#This Row],[Total Amount]]&gt;=1500,"Critical"),AND(Table15678[[#This Row],[Total Amount]]&gt;=1000,"High"),TRUE,"Normal")</f>
        <v>Normal</v>
      </c>
      <c r="R988" s="4" t="str">
        <f>CONCATENATE(Table15678[[#This Row],[Customer ID]], "-",Table15678[[#This Row],[Age]])</f>
        <v>CUST987-30</v>
      </c>
      <c r="S988" s="4" t="str">
        <f>TEXT(Table15678[[#This Row],[Date]],"mmm")</f>
        <v>Apr</v>
      </c>
      <c r="T988" s="4" t="str">
        <f>TEXT(Table15678[[#This Row],[Date]],"DDD")</f>
        <v>Sat</v>
      </c>
    </row>
    <row r="989" spans="1:20" ht="29" x14ac:dyDescent="0.35">
      <c r="A989" s="4">
        <v>988</v>
      </c>
      <c r="B989" s="5">
        <v>45074</v>
      </c>
      <c r="C989" s="4" t="s">
        <v>1001</v>
      </c>
      <c r="D989" s="4" t="s">
        <v>13</v>
      </c>
      <c r="E989" s="4">
        <v>63</v>
      </c>
      <c r="F989" s="4" t="str">
        <f>IF(Table15678[[#This Row],[Age]]&lt;=19,"Teenager",IF(Table15678[[#This Row],[Age]]&lt;=40,"Median","Old"))</f>
        <v>Old</v>
      </c>
      <c r="G989" s="4" t="s">
        <v>14</v>
      </c>
      <c r="H989" s="4">
        <v>3</v>
      </c>
      <c r="I989" s="4">
        <v>25</v>
      </c>
      <c r="J989" s="4">
        <v>75</v>
      </c>
      <c r="K989" s="4" t="str" cm="1">
        <f t="array" ref="K989">_xlfn.IFS(AND(Table15678[[#This Row],[Total Amount]]&gt;=1500),"Critical",AND(Table15678[[#This Row],[Total Amount]]&gt;=1000),"High",TRUE,"Normal")</f>
        <v>Normal</v>
      </c>
      <c r="L989" s="4" t="str">
        <f>IF(Table15678[[#This Row],[Total Amount]]&gt;=1000,"High",(IF(Table15678[[#This Row],[Total Amount]]&gt;=500,"Medium","Low")))</f>
        <v>Low</v>
      </c>
      <c r="M989" s="4" t="str" cm="1">
        <f t="array" ref="M98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89" s="4" cm="1">
        <f t="array" ref="N98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989" s="4">
        <f>Table15678[[#This Row],[Total Amount]]-Table15678[[#This Row],[Discount Amount]]</f>
        <v>60</v>
      </c>
      <c r="P989" s="4" t="str">
        <f>IF(Table15678[[#This Row],[Total Amount]]&gt;=1000,"High","Low")</f>
        <v>Low</v>
      </c>
      <c r="Q989" s="4" t="str" cm="1">
        <f t="array" ref="Q989">_xlfn.IFS(AND(Table15678[[#This Row],[Total Amount]]&gt;=1500,"Critical"),AND(Table15678[[#This Row],[Total Amount]]&gt;=1000,"High"),TRUE,"Normal")</f>
        <v>Normal</v>
      </c>
      <c r="R989" s="4" t="str">
        <f>CONCATENATE(Table15678[[#This Row],[Customer ID]], "-",Table15678[[#This Row],[Age]])</f>
        <v>CUST988-63</v>
      </c>
      <c r="S989" s="4" t="str">
        <f>TEXT(Table15678[[#This Row],[Date]],"mmm")</f>
        <v>May</v>
      </c>
      <c r="T989" s="4" t="str">
        <f>TEXT(Table15678[[#This Row],[Date]],"DDD")</f>
        <v>Sun</v>
      </c>
    </row>
    <row r="990" spans="1:20" ht="29" x14ac:dyDescent="0.35">
      <c r="A990" s="4">
        <v>989</v>
      </c>
      <c r="B990" s="5">
        <v>45288</v>
      </c>
      <c r="C990" s="4" t="s">
        <v>1002</v>
      </c>
      <c r="D990" s="4" t="s">
        <v>13</v>
      </c>
      <c r="E990" s="4">
        <v>44</v>
      </c>
      <c r="F990" s="4" t="str">
        <f>IF(Table15678[[#This Row],[Age]]&lt;=19,"Teenager",IF(Table15678[[#This Row],[Age]]&lt;=40,"Median","Old"))</f>
        <v>Old</v>
      </c>
      <c r="G990" s="4" t="s">
        <v>16</v>
      </c>
      <c r="H990" s="4">
        <v>1</v>
      </c>
      <c r="I990" s="4">
        <v>25</v>
      </c>
      <c r="J990" s="4">
        <v>25</v>
      </c>
      <c r="K990" s="4" t="str" cm="1">
        <f t="array" ref="K990">_xlfn.IFS(AND(Table15678[[#This Row],[Total Amount]]&gt;=1500),"Critical",AND(Table15678[[#This Row],[Total Amount]]&gt;=1000),"High",TRUE,"Normal")</f>
        <v>Normal</v>
      </c>
      <c r="L990" s="4" t="str">
        <f>IF(Table15678[[#This Row],[Total Amount]]&gt;=1000,"High",(IF(Table15678[[#This Row],[Total Amount]]&gt;=500,"Medium","Low")))</f>
        <v>Low</v>
      </c>
      <c r="M990" s="4" t="str" cm="1">
        <f t="array" ref="M99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90" s="4" cm="1">
        <f t="array" ref="N99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990" s="4">
        <f>Table15678[[#This Row],[Total Amount]]-Table15678[[#This Row],[Discount Amount]]</f>
        <v>20</v>
      </c>
      <c r="P990" s="4" t="str">
        <f>IF(Table15678[[#This Row],[Total Amount]]&gt;=1000,"High","Low")</f>
        <v>Low</v>
      </c>
      <c r="Q990" s="4" t="str" cm="1">
        <f t="array" ref="Q990">_xlfn.IFS(AND(Table15678[[#This Row],[Total Amount]]&gt;=1500,"Critical"),AND(Table15678[[#This Row],[Total Amount]]&gt;=1000,"High"),TRUE,"Normal")</f>
        <v>Normal</v>
      </c>
      <c r="R990" s="4" t="str">
        <f>CONCATENATE(Table15678[[#This Row],[Customer ID]], "-",Table15678[[#This Row],[Age]])</f>
        <v>CUST989-44</v>
      </c>
      <c r="S990" s="4" t="str">
        <f>TEXT(Table15678[[#This Row],[Date]],"mmm")</f>
        <v>Dec</v>
      </c>
      <c r="T990" s="4" t="str">
        <f>TEXT(Table15678[[#This Row],[Date]],"DDD")</f>
        <v>Thu</v>
      </c>
    </row>
    <row r="991" spans="1:20" ht="29" x14ac:dyDescent="0.35">
      <c r="A991" s="4">
        <v>990</v>
      </c>
      <c r="B991" s="5">
        <v>45071</v>
      </c>
      <c r="C991" s="4" t="s">
        <v>1003</v>
      </c>
      <c r="D991" s="4" t="s">
        <v>13</v>
      </c>
      <c r="E991" s="4">
        <v>58</v>
      </c>
      <c r="F991" s="4" t="str">
        <f>IF(Table15678[[#This Row],[Age]]&lt;=19,"Teenager",IF(Table15678[[#This Row],[Age]]&lt;=40,"Median","Old"))</f>
        <v>Old</v>
      </c>
      <c r="G991" s="4" t="s">
        <v>11</v>
      </c>
      <c r="H991" s="4">
        <v>2</v>
      </c>
      <c r="I991" s="4">
        <v>500</v>
      </c>
      <c r="J991" s="4">
        <v>1000</v>
      </c>
      <c r="K991" s="4" t="str" cm="1">
        <f t="array" ref="K991">_xlfn.IFS(AND(Table15678[[#This Row],[Total Amount]]&gt;=1500),"Critical",AND(Table15678[[#This Row],[Total Amount]]&gt;=1000),"High",TRUE,"Normal")</f>
        <v>High</v>
      </c>
      <c r="L991" s="4" t="str">
        <f>IF(Table15678[[#This Row],[Total Amount]]&gt;=1000,"High",(IF(Table15678[[#This Row],[Total Amount]]&gt;=500,"Medium","Low")))</f>
        <v>High</v>
      </c>
      <c r="M991" s="4" t="str" cm="1">
        <f t="array" ref="M99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91" s="4" cm="1">
        <f t="array" ref="N99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991" s="4">
        <f>Table15678[[#This Row],[Total Amount]]-Table15678[[#This Row],[Discount Amount]]</f>
        <v>800</v>
      </c>
      <c r="P991" s="4" t="str">
        <f>IF(Table15678[[#This Row],[Total Amount]]&gt;=1000,"High","Low")</f>
        <v>High</v>
      </c>
      <c r="Q991" s="4" t="str" cm="1">
        <f t="array" ref="Q991">_xlfn.IFS(AND(Table15678[[#This Row],[Total Amount]]&gt;=1500,"Critical"),AND(Table15678[[#This Row],[Total Amount]]&gt;=1000,"High"),TRUE,"Normal")</f>
        <v>Normal</v>
      </c>
      <c r="R991" s="4" t="str">
        <f>CONCATENATE(Table15678[[#This Row],[Customer ID]], "-",Table15678[[#This Row],[Age]])</f>
        <v>CUST990-58</v>
      </c>
      <c r="S991" s="4" t="str">
        <f>TEXT(Table15678[[#This Row],[Date]],"mmm")</f>
        <v>May</v>
      </c>
      <c r="T991" s="4" t="str">
        <f>TEXT(Table15678[[#This Row],[Date]],"DDD")</f>
        <v>Thu</v>
      </c>
    </row>
    <row r="992" spans="1:20" ht="29" x14ac:dyDescent="0.35">
      <c r="A992" s="4">
        <v>991</v>
      </c>
      <c r="B992" s="5">
        <v>45286</v>
      </c>
      <c r="C992" s="4" t="s">
        <v>1004</v>
      </c>
      <c r="D992" s="4" t="s">
        <v>13</v>
      </c>
      <c r="E992" s="4">
        <v>34</v>
      </c>
      <c r="F992" s="4" t="str">
        <f>IF(Table15678[[#This Row],[Age]]&lt;=19,"Teenager",IF(Table15678[[#This Row],[Age]]&lt;=40,"Median","Old"))</f>
        <v>Median</v>
      </c>
      <c r="G992" s="4" t="s">
        <v>14</v>
      </c>
      <c r="H992" s="4">
        <v>2</v>
      </c>
      <c r="I992" s="4">
        <v>50</v>
      </c>
      <c r="J992" s="4">
        <v>100</v>
      </c>
      <c r="K992" s="4" t="str" cm="1">
        <f t="array" ref="K992">_xlfn.IFS(AND(Table15678[[#This Row],[Total Amount]]&gt;=1500),"Critical",AND(Table15678[[#This Row],[Total Amount]]&gt;=1000),"High",TRUE,"Normal")</f>
        <v>Normal</v>
      </c>
      <c r="L992" s="4" t="str">
        <f>IF(Table15678[[#This Row],[Total Amount]]&gt;=1000,"High",(IF(Table15678[[#This Row],[Total Amount]]&gt;=500,"Medium","Low")))</f>
        <v>Low</v>
      </c>
      <c r="M992" s="4" t="str" cm="1">
        <f t="array" ref="M992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92" s="4" cm="1">
        <f t="array" ref="N992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15</v>
      </c>
      <c r="O992" s="4">
        <f>Table15678[[#This Row],[Total Amount]]-Table15678[[#This Row],[Discount Amount]]</f>
        <v>85</v>
      </c>
      <c r="P992" s="4" t="str">
        <f>IF(Table15678[[#This Row],[Total Amount]]&gt;=1000,"High","Low")</f>
        <v>Low</v>
      </c>
      <c r="Q992" s="4" t="str" cm="1">
        <f t="array" ref="Q992">_xlfn.IFS(AND(Table15678[[#This Row],[Total Amount]]&gt;=1500,"Critical"),AND(Table15678[[#This Row],[Total Amount]]&gt;=1000,"High"),TRUE,"Normal")</f>
        <v>Normal</v>
      </c>
      <c r="R992" s="4" t="str">
        <f>CONCATENATE(Table15678[[#This Row],[Customer ID]], "-",Table15678[[#This Row],[Age]])</f>
        <v>CUST991-34</v>
      </c>
      <c r="S992" s="4" t="str">
        <f>TEXT(Table15678[[#This Row],[Date]],"mmm")</f>
        <v>Dec</v>
      </c>
      <c r="T992" s="4" t="str">
        <f>TEXT(Table15678[[#This Row],[Date]],"DDD")</f>
        <v>Tue</v>
      </c>
    </row>
    <row r="993" spans="1:20" ht="29" x14ac:dyDescent="0.35">
      <c r="A993" s="4">
        <v>992</v>
      </c>
      <c r="B993" s="5">
        <v>45159</v>
      </c>
      <c r="C993" s="4" t="s">
        <v>1005</v>
      </c>
      <c r="D993" s="4" t="s">
        <v>13</v>
      </c>
      <c r="E993" s="4">
        <v>57</v>
      </c>
      <c r="F993" s="4" t="str">
        <f>IF(Table15678[[#This Row],[Age]]&lt;=19,"Teenager",IF(Table15678[[#This Row],[Age]]&lt;=40,"Median","Old"))</f>
        <v>Old</v>
      </c>
      <c r="G993" s="4" t="s">
        <v>16</v>
      </c>
      <c r="H993" s="4">
        <v>2</v>
      </c>
      <c r="I993" s="4">
        <v>30</v>
      </c>
      <c r="J993" s="4">
        <v>60</v>
      </c>
      <c r="K993" s="4" t="str" cm="1">
        <f t="array" ref="K993">_xlfn.IFS(AND(Table15678[[#This Row],[Total Amount]]&gt;=1500),"Critical",AND(Table15678[[#This Row],[Total Amount]]&gt;=1000),"High",TRUE,"Normal")</f>
        <v>Normal</v>
      </c>
      <c r="L993" s="4" t="str">
        <f>IF(Table15678[[#This Row],[Total Amount]]&gt;=1000,"High",(IF(Table15678[[#This Row],[Total Amount]]&gt;=500,"Medium","Low")))</f>
        <v>Low</v>
      </c>
      <c r="M993" s="4" t="str" cm="1">
        <f t="array" ref="M993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93" s="4" cm="1">
        <f t="array" ref="N993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993" s="4">
        <f>Table15678[[#This Row],[Total Amount]]-Table15678[[#This Row],[Discount Amount]]</f>
        <v>48</v>
      </c>
      <c r="P993" s="4" t="str">
        <f>IF(Table15678[[#This Row],[Total Amount]]&gt;=1000,"High","Low")</f>
        <v>Low</v>
      </c>
      <c r="Q993" s="4" t="str" cm="1">
        <f t="array" ref="Q993">_xlfn.IFS(AND(Table15678[[#This Row],[Total Amount]]&gt;=1500,"Critical"),AND(Table15678[[#This Row],[Total Amount]]&gt;=1000,"High"),TRUE,"Normal")</f>
        <v>Normal</v>
      </c>
      <c r="R993" s="4" t="str">
        <f>CONCATENATE(Table15678[[#This Row],[Customer ID]], "-",Table15678[[#This Row],[Age]])</f>
        <v>CUST992-57</v>
      </c>
      <c r="S993" s="4" t="str">
        <f>TEXT(Table15678[[#This Row],[Date]],"mmm")</f>
        <v>Aug</v>
      </c>
      <c r="T993" s="4" t="str">
        <f>TEXT(Table15678[[#This Row],[Date]],"DDD")</f>
        <v>Mon</v>
      </c>
    </row>
    <row r="994" spans="1:20" ht="29" x14ac:dyDescent="0.35">
      <c r="A994" s="4">
        <v>993</v>
      </c>
      <c r="B994" s="5">
        <v>44963</v>
      </c>
      <c r="C994" s="4" t="s">
        <v>1006</v>
      </c>
      <c r="D994" s="4" t="s">
        <v>13</v>
      </c>
      <c r="E994" s="4">
        <v>48</v>
      </c>
      <c r="F994" s="4" t="str">
        <f>IF(Table15678[[#This Row],[Age]]&lt;=19,"Teenager",IF(Table15678[[#This Row],[Age]]&lt;=40,"Median","Old"))</f>
        <v>Old</v>
      </c>
      <c r="G994" s="4" t="s">
        <v>16</v>
      </c>
      <c r="H994" s="4">
        <v>3</v>
      </c>
      <c r="I994" s="4">
        <v>50</v>
      </c>
      <c r="J994" s="4">
        <v>150</v>
      </c>
      <c r="K994" s="4" t="str" cm="1">
        <f t="array" ref="K994">_xlfn.IFS(AND(Table15678[[#This Row],[Total Amount]]&gt;=1500),"Critical",AND(Table15678[[#This Row],[Total Amount]]&gt;=1000),"High",TRUE,"Normal")</f>
        <v>Normal</v>
      </c>
      <c r="L994" s="4" t="str">
        <f>IF(Table15678[[#This Row],[Total Amount]]&gt;=1000,"High",(IF(Table15678[[#This Row],[Total Amount]]&gt;=500,"Medium","Low")))</f>
        <v>Low</v>
      </c>
      <c r="M994" s="4" t="str" cm="1">
        <f t="array" ref="M994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94" s="4" cm="1">
        <f t="array" ref="N994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994" s="4">
        <f>Table15678[[#This Row],[Total Amount]]-Table15678[[#This Row],[Discount Amount]]</f>
        <v>120</v>
      </c>
      <c r="P994" s="4" t="str">
        <f>IF(Table15678[[#This Row],[Total Amount]]&gt;=1000,"High","Low")</f>
        <v>Low</v>
      </c>
      <c r="Q994" s="4" t="str" cm="1">
        <f t="array" ref="Q994">_xlfn.IFS(AND(Table15678[[#This Row],[Total Amount]]&gt;=1500,"Critical"),AND(Table15678[[#This Row],[Total Amount]]&gt;=1000,"High"),TRUE,"Normal")</f>
        <v>Normal</v>
      </c>
      <c r="R994" s="4" t="str">
        <f>CONCATENATE(Table15678[[#This Row],[Customer ID]], "-",Table15678[[#This Row],[Age]])</f>
        <v>CUST993-48</v>
      </c>
      <c r="S994" s="4" t="str">
        <f>TEXT(Table15678[[#This Row],[Date]],"mmm")</f>
        <v>Feb</v>
      </c>
      <c r="T994" s="4" t="str">
        <f>TEXT(Table15678[[#This Row],[Date]],"DDD")</f>
        <v>Mon</v>
      </c>
    </row>
    <row r="995" spans="1:20" ht="29" x14ac:dyDescent="0.35">
      <c r="A995" s="4">
        <v>994</v>
      </c>
      <c r="B995" s="5">
        <v>45278</v>
      </c>
      <c r="C995" s="4" t="s">
        <v>1007</v>
      </c>
      <c r="D995" s="4" t="s">
        <v>13</v>
      </c>
      <c r="E995" s="4">
        <v>51</v>
      </c>
      <c r="F995" s="4" t="str">
        <f>IF(Table15678[[#This Row],[Age]]&lt;=19,"Teenager",IF(Table15678[[#This Row],[Age]]&lt;=40,"Median","Old"))</f>
        <v>Old</v>
      </c>
      <c r="G995" s="4" t="s">
        <v>11</v>
      </c>
      <c r="H995" s="4">
        <v>2</v>
      </c>
      <c r="I995" s="4">
        <v>500</v>
      </c>
      <c r="J995" s="4">
        <v>1000</v>
      </c>
      <c r="K995" s="4" t="str" cm="1">
        <f t="array" ref="K995">_xlfn.IFS(AND(Table15678[[#This Row],[Total Amount]]&gt;=1500),"Critical",AND(Table15678[[#This Row],[Total Amount]]&gt;=1000),"High",TRUE,"Normal")</f>
        <v>High</v>
      </c>
      <c r="L995" s="4" t="str">
        <f>IF(Table15678[[#This Row],[Total Amount]]&gt;=1000,"High",(IF(Table15678[[#This Row],[Total Amount]]&gt;=500,"Medium","Low")))</f>
        <v>High</v>
      </c>
      <c r="M995" s="4" t="str" cm="1">
        <f t="array" ref="M995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95" s="4" cm="1">
        <f t="array" ref="N995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200</v>
      </c>
      <c r="O995" s="4">
        <f>Table15678[[#This Row],[Total Amount]]-Table15678[[#This Row],[Discount Amount]]</f>
        <v>800</v>
      </c>
      <c r="P995" s="4" t="str">
        <f>IF(Table15678[[#This Row],[Total Amount]]&gt;=1000,"High","Low")</f>
        <v>High</v>
      </c>
      <c r="Q995" s="4" t="str" cm="1">
        <f t="array" ref="Q995">_xlfn.IFS(AND(Table15678[[#This Row],[Total Amount]]&gt;=1500,"Critical"),AND(Table15678[[#This Row],[Total Amount]]&gt;=1000,"High"),TRUE,"Normal")</f>
        <v>Normal</v>
      </c>
      <c r="R995" s="4" t="str">
        <f>CONCATENATE(Table15678[[#This Row],[Customer ID]], "-",Table15678[[#This Row],[Age]])</f>
        <v>CUST994-51</v>
      </c>
      <c r="S995" s="4" t="str">
        <f>TEXT(Table15678[[#This Row],[Date]],"mmm")</f>
        <v>Dec</v>
      </c>
      <c r="T995" s="4" t="str">
        <f>TEXT(Table15678[[#This Row],[Date]],"DDD")</f>
        <v>Mon</v>
      </c>
    </row>
    <row r="996" spans="1:20" ht="29" x14ac:dyDescent="0.35">
      <c r="A996" s="4">
        <v>995</v>
      </c>
      <c r="B996" s="5">
        <v>45046</v>
      </c>
      <c r="C996" s="4" t="s">
        <v>1008</v>
      </c>
      <c r="D996" s="4" t="s">
        <v>13</v>
      </c>
      <c r="E996" s="4">
        <v>41</v>
      </c>
      <c r="F996" s="4" t="str">
        <f>IF(Table15678[[#This Row],[Age]]&lt;=19,"Teenager",IF(Table15678[[#This Row],[Age]]&lt;=40,"Median","Old"))</f>
        <v>Old</v>
      </c>
      <c r="G996" s="4" t="s">
        <v>14</v>
      </c>
      <c r="H996" s="4">
        <v>1</v>
      </c>
      <c r="I996" s="4">
        <v>30</v>
      </c>
      <c r="J996" s="4">
        <v>30</v>
      </c>
      <c r="K996" s="4" t="str" cm="1">
        <f t="array" ref="K996">_xlfn.IFS(AND(Table15678[[#This Row],[Total Amount]]&gt;=1500),"Critical",AND(Table15678[[#This Row],[Total Amount]]&gt;=1000),"High",TRUE,"Normal")</f>
        <v>Normal</v>
      </c>
      <c r="L996" s="4" t="str">
        <f>IF(Table15678[[#This Row],[Total Amount]]&gt;=1000,"High",(IF(Table15678[[#This Row],[Total Amount]]&gt;=500,"Medium","Low")))</f>
        <v>Low</v>
      </c>
      <c r="M996" s="4" t="str" cm="1">
        <f t="array" ref="M996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96" s="4" cm="1">
        <f t="array" ref="N996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6</v>
      </c>
      <c r="O996" s="4">
        <f>Table15678[[#This Row],[Total Amount]]-Table15678[[#This Row],[Discount Amount]]</f>
        <v>24</v>
      </c>
      <c r="P996" s="4" t="str">
        <f>IF(Table15678[[#This Row],[Total Amount]]&gt;=1000,"High","Low")</f>
        <v>Low</v>
      </c>
      <c r="Q996" s="4" t="str" cm="1">
        <f t="array" ref="Q996">_xlfn.IFS(AND(Table15678[[#This Row],[Total Amount]]&gt;=1500,"Critical"),AND(Table15678[[#This Row],[Total Amount]]&gt;=1000,"High"),TRUE,"Normal")</f>
        <v>Normal</v>
      </c>
      <c r="R996" s="4" t="str">
        <f>CONCATENATE(Table15678[[#This Row],[Customer ID]], "-",Table15678[[#This Row],[Age]])</f>
        <v>CUST995-41</v>
      </c>
      <c r="S996" s="4" t="str">
        <f>TEXT(Table15678[[#This Row],[Date]],"mmm")</f>
        <v>Apr</v>
      </c>
      <c r="T996" s="4" t="str">
        <f>TEXT(Table15678[[#This Row],[Date]],"DDD")</f>
        <v>Sun</v>
      </c>
    </row>
    <row r="997" spans="1:20" ht="29" x14ac:dyDescent="0.35">
      <c r="A997" s="4">
        <v>996</v>
      </c>
      <c r="B997" s="5">
        <v>45062</v>
      </c>
      <c r="C997" s="4" t="s">
        <v>1009</v>
      </c>
      <c r="D997" s="4" t="s">
        <v>10</v>
      </c>
      <c r="E997" s="4">
        <v>62</v>
      </c>
      <c r="F997" s="4" t="str">
        <f>IF(Table15678[[#This Row],[Age]]&lt;=19,"Teenager",IF(Table15678[[#This Row],[Age]]&lt;=40,"Median","Old"))</f>
        <v>Old</v>
      </c>
      <c r="G997" s="4" t="s">
        <v>14</v>
      </c>
      <c r="H997" s="4">
        <v>1</v>
      </c>
      <c r="I997" s="4">
        <v>50</v>
      </c>
      <c r="J997" s="4">
        <v>50</v>
      </c>
      <c r="K997" s="4" t="str" cm="1">
        <f t="array" ref="K997">_xlfn.IFS(AND(Table15678[[#This Row],[Total Amount]]&gt;=1500),"Critical",AND(Table15678[[#This Row],[Total Amount]]&gt;=1000),"High",TRUE,"Normal")</f>
        <v>Normal</v>
      </c>
      <c r="L997" s="4" t="str">
        <f>IF(Table15678[[#This Row],[Total Amount]]&gt;=1000,"High",(IF(Table15678[[#This Row],[Total Amount]]&gt;=500,"Medium","Low")))</f>
        <v>Low</v>
      </c>
      <c r="M997" s="4" t="str" cm="1">
        <f t="array" ref="M997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97" s="4" cm="1">
        <f t="array" ref="N997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5</v>
      </c>
      <c r="O997" s="4">
        <f>Table15678[[#This Row],[Total Amount]]-Table15678[[#This Row],[Discount Amount]]</f>
        <v>45</v>
      </c>
      <c r="P997" s="4" t="str">
        <f>IF(Table15678[[#This Row],[Total Amount]]&gt;=1000,"High","Low")</f>
        <v>Low</v>
      </c>
      <c r="Q997" s="4" t="str" cm="1">
        <f t="array" ref="Q997">_xlfn.IFS(AND(Table15678[[#This Row],[Total Amount]]&gt;=1500,"Critical"),AND(Table15678[[#This Row],[Total Amount]]&gt;=1000,"High"),TRUE,"Normal")</f>
        <v>Normal</v>
      </c>
      <c r="R997" s="4" t="str">
        <f>CONCATENATE(Table15678[[#This Row],[Customer ID]], "-",Table15678[[#This Row],[Age]])</f>
        <v>CUST996-62</v>
      </c>
      <c r="S997" s="4" t="str">
        <f>TEXT(Table15678[[#This Row],[Date]],"mmm")</f>
        <v>May</v>
      </c>
      <c r="T997" s="4" t="str">
        <f>TEXT(Table15678[[#This Row],[Date]],"DDD")</f>
        <v>Tue</v>
      </c>
    </row>
    <row r="998" spans="1:20" ht="29" x14ac:dyDescent="0.35">
      <c r="A998" s="4">
        <v>997</v>
      </c>
      <c r="B998" s="5">
        <v>45247</v>
      </c>
      <c r="C998" s="4" t="s">
        <v>1010</v>
      </c>
      <c r="D998" s="4" t="s">
        <v>10</v>
      </c>
      <c r="E998" s="4">
        <v>52</v>
      </c>
      <c r="F998" s="4" t="str">
        <f>IF(Table15678[[#This Row],[Age]]&lt;=19,"Teenager",IF(Table15678[[#This Row],[Age]]&lt;=40,"Median","Old"))</f>
        <v>Old</v>
      </c>
      <c r="G998" s="4" t="s">
        <v>11</v>
      </c>
      <c r="H998" s="4">
        <v>3</v>
      </c>
      <c r="I998" s="4">
        <v>30</v>
      </c>
      <c r="J998" s="4">
        <v>90</v>
      </c>
      <c r="K998" s="4" t="str" cm="1">
        <f t="array" ref="K998">_xlfn.IFS(AND(Table15678[[#This Row],[Total Amount]]&gt;=1500),"Critical",AND(Table15678[[#This Row],[Total Amount]]&gt;=1000),"High",TRUE,"Normal")</f>
        <v>Normal</v>
      </c>
      <c r="L998" s="4" t="str">
        <f>IF(Table15678[[#This Row],[Total Amount]]&gt;=1000,"High",(IF(Table15678[[#This Row],[Total Amount]]&gt;=500,"Medium","Low")))</f>
        <v>Low</v>
      </c>
      <c r="M998" s="4" t="str" cm="1">
        <f t="array" ref="M998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998" s="4" cm="1">
        <f t="array" ref="N998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9</v>
      </c>
      <c r="O998" s="4">
        <f>Table15678[[#This Row],[Total Amount]]-Table15678[[#This Row],[Discount Amount]]</f>
        <v>81</v>
      </c>
      <c r="P998" s="4" t="str">
        <f>IF(Table15678[[#This Row],[Total Amount]]&gt;=1000,"High","Low")</f>
        <v>Low</v>
      </c>
      <c r="Q998" s="4" t="str" cm="1">
        <f t="array" ref="Q998">_xlfn.IFS(AND(Table15678[[#This Row],[Total Amount]]&gt;=1500,"Critical"),AND(Table15678[[#This Row],[Total Amount]]&gt;=1000,"High"),TRUE,"Normal")</f>
        <v>Normal</v>
      </c>
      <c r="R998" s="4" t="str">
        <f>CONCATENATE(Table15678[[#This Row],[Customer ID]], "-",Table15678[[#This Row],[Age]])</f>
        <v>CUST997-52</v>
      </c>
      <c r="S998" s="4" t="str">
        <f>TEXT(Table15678[[#This Row],[Date]],"mmm")</f>
        <v>Nov</v>
      </c>
      <c r="T998" s="4" t="str">
        <f>TEXT(Table15678[[#This Row],[Date]],"DDD")</f>
        <v>Fri</v>
      </c>
    </row>
    <row r="999" spans="1:20" ht="29" x14ac:dyDescent="0.35">
      <c r="A999" s="4">
        <v>998</v>
      </c>
      <c r="B999" s="5">
        <v>45228</v>
      </c>
      <c r="C999" s="4" t="s">
        <v>1011</v>
      </c>
      <c r="D999" s="4" t="s">
        <v>13</v>
      </c>
      <c r="E999" s="4">
        <v>23</v>
      </c>
      <c r="F999" s="4" t="str">
        <f>IF(Table15678[[#This Row],[Age]]&lt;=19,"Teenager",IF(Table15678[[#This Row],[Age]]&lt;=40,"Median","Old"))</f>
        <v>Median</v>
      </c>
      <c r="G999" s="4" t="s">
        <v>11</v>
      </c>
      <c r="H999" s="4">
        <v>4</v>
      </c>
      <c r="I999" s="4">
        <v>25</v>
      </c>
      <c r="J999" s="4">
        <v>100</v>
      </c>
      <c r="K999" s="4" t="str" cm="1">
        <f t="array" ref="K999">_xlfn.IFS(AND(Table15678[[#This Row],[Total Amount]]&gt;=1500),"Critical",AND(Table15678[[#This Row],[Total Amount]]&gt;=1000),"High",TRUE,"Normal")</f>
        <v>Normal</v>
      </c>
      <c r="L999" s="4" t="str">
        <f>IF(Table15678[[#This Row],[Total Amount]]&gt;=1000,"High",(IF(Table15678[[#This Row],[Total Amount]]&gt;=500,"Medium","Low")))</f>
        <v>Low</v>
      </c>
      <c r="M999" s="4" t="str" cm="1">
        <f t="array" ref="M999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No</v>
      </c>
      <c r="N999" s="4" cm="1">
        <f t="array" ref="N999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0</v>
      </c>
      <c r="O999" s="4">
        <f>Table15678[[#This Row],[Total Amount]]-Table15678[[#This Row],[Discount Amount]]</f>
        <v>100</v>
      </c>
      <c r="P999" s="4" t="str">
        <f>IF(Table15678[[#This Row],[Total Amount]]&gt;=1000,"High","Low")</f>
        <v>Low</v>
      </c>
      <c r="Q999" s="4" t="str" cm="1">
        <f t="array" ref="Q999">_xlfn.IFS(AND(Table15678[[#This Row],[Total Amount]]&gt;=1500,"Critical"),AND(Table15678[[#This Row],[Total Amount]]&gt;=1000,"High"),TRUE,"Normal")</f>
        <v>Normal</v>
      </c>
      <c r="R999" s="4" t="str">
        <f>CONCATENATE(Table15678[[#This Row],[Customer ID]], "-",Table15678[[#This Row],[Age]])</f>
        <v>CUST998-23</v>
      </c>
      <c r="S999" s="4" t="str">
        <f>TEXT(Table15678[[#This Row],[Date]],"mmm")</f>
        <v>Oct</v>
      </c>
      <c r="T999" s="4" t="str">
        <f>TEXT(Table15678[[#This Row],[Date]],"DDD")</f>
        <v>Sun</v>
      </c>
    </row>
    <row r="1000" spans="1:20" ht="29" x14ac:dyDescent="0.35">
      <c r="A1000" s="4">
        <v>999</v>
      </c>
      <c r="B1000" s="5">
        <v>45265</v>
      </c>
      <c r="C1000" s="4" t="s">
        <v>1012</v>
      </c>
      <c r="D1000" s="4" t="s">
        <v>13</v>
      </c>
      <c r="E1000" s="4">
        <v>36</v>
      </c>
      <c r="F1000" s="4" t="str">
        <f>IF(Table15678[[#This Row],[Age]]&lt;=19,"Teenager",IF(Table15678[[#This Row],[Age]]&lt;=40,"Median","Old"))</f>
        <v>Median</v>
      </c>
      <c r="G1000" s="4" t="s">
        <v>16</v>
      </c>
      <c r="H1000" s="4">
        <v>3</v>
      </c>
      <c r="I1000" s="4">
        <v>50</v>
      </c>
      <c r="J1000" s="4">
        <v>150</v>
      </c>
      <c r="K1000" s="4" t="str" cm="1">
        <f t="array" ref="K1000">_xlfn.IFS(AND(Table15678[[#This Row],[Total Amount]]&gt;=1500),"Critical",AND(Table15678[[#This Row],[Total Amount]]&gt;=1000),"High",TRUE,"Normal")</f>
        <v>Normal</v>
      </c>
      <c r="L1000" s="4" t="str">
        <f>IF(Table15678[[#This Row],[Total Amount]]&gt;=1000,"High",(IF(Table15678[[#This Row],[Total Amount]]&gt;=500,"Medium","Low")))</f>
        <v>Low</v>
      </c>
      <c r="M1000" s="4" t="str" cm="1">
        <f t="array" ref="M1000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000" s="4" cm="1">
        <f t="array" ref="N1000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30</v>
      </c>
      <c r="O1000" s="4">
        <f>Table15678[[#This Row],[Total Amount]]-Table15678[[#This Row],[Discount Amount]]</f>
        <v>120</v>
      </c>
      <c r="P1000" s="4" t="str">
        <f>IF(Table15678[[#This Row],[Total Amount]]&gt;=1000,"High","Low")</f>
        <v>Low</v>
      </c>
      <c r="Q1000" s="4" t="str" cm="1">
        <f t="array" ref="Q1000">_xlfn.IFS(AND(Table15678[[#This Row],[Total Amount]]&gt;=1500,"Critical"),AND(Table15678[[#This Row],[Total Amount]]&gt;=1000,"High"),TRUE,"Normal")</f>
        <v>Normal</v>
      </c>
      <c r="R1000" s="4" t="str">
        <f>CONCATENATE(Table15678[[#This Row],[Customer ID]], "-",Table15678[[#This Row],[Age]])</f>
        <v>CUST999-36</v>
      </c>
      <c r="S1000" s="4" t="str">
        <f>TEXT(Table15678[[#This Row],[Date]],"mmm")</f>
        <v>Dec</v>
      </c>
      <c r="T1000" s="4" t="str">
        <f>TEXT(Table15678[[#This Row],[Date]],"DDD")</f>
        <v>Tue</v>
      </c>
    </row>
    <row r="1001" spans="1:20" ht="29" x14ac:dyDescent="0.35">
      <c r="A1001" s="4">
        <v>1000</v>
      </c>
      <c r="B1001" s="5">
        <v>45028</v>
      </c>
      <c r="C1001" s="4" t="s">
        <v>1013</v>
      </c>
      <c r="D1001" s="4" t="s">
        <v>10</v>
      </c>
      <c r="E1001" s="4">
        <v>47</v>
      </c>
      <c r="F1001" s="4" t="str">
        <f>IF(Table15678[[#This Row],[Age]]&lt;=19,"Teenager",IF(Table15678[[#This Row],[Age]]&lt;=40,"Median","Old"))</f>
        <v>Old</v>
      </c>
      <c r="G1001" s="4" t="s">
        <v>16</v>
      </c>
      <c r="H1001" s="4">
        <v>4</v>
      </c>
      <c r="I1001" s="4">
        <v>30</v>
      </c>
      <c r="J1001" s="4">
        <v>120</v>
      </c>
      <c r="K1001" s="4" t="str" cm="1">
        <f t="array" ref="K1001">_xlfn.IFS(AND(Table15678[[#This Row],[Total Amount]]&gt;=1500),"Critical",AND(Table15678[[#This Row],[Total Amount]]&gt;=1000),"High",TRUE,"Normal")</f>
        <v>Normal</v>
      </c>
      <c r="L1001" s="4" t="str">
        <f>IF(Table15678[[#This Row],[Total Amount]]&gt;=1000,"High",(IF(Table15678[[#This Row],[Total Amount]]&gt;=500,"Medium","Low")))</f>
        <v>Low</v>
      </c>
      <c r="M1001" s="4" t="str" cm="1">
        <f t="array" ref="M1001">_xlfn.IFS(AND(Table15678[[#This Row],[Gender]]="Male",Table15678[[#This Row],[Age]]&gt;=35),"Yes",AND(Table15678[[#This Row],[Gender]]="Male",Table15678[[#This Row],[Age]]&gt;=25),"Yes",AND(Table15678[[#This Row],[Gender]]="Female",Table15678[[#This Row],[Age]]&gt;=35),"Yes",AND(Table15678[[#This Row],[Gender]]="Female",Table15678[[#This Row],[Age]]&gt;=25),"Yes",TRUE,"No")</f>
        <v>Yes</v>
      </c>
      <c r="N1001" s="4" cm="1">
        <f t="array" ref="N1001">_xlfn.IFS(AND(Table15678[[#This Row],[Gender]]="Male",Table15678[[#This Row],[Age]]&gt;=35),Table15678[[#This Row],[Total Amount]]*0.1,AND(Table15678[[#This Row],[Gender]]="Male",Table15678[[#This Row],[Age]]&gt;=25),Table15678[[#This Row],[Total Amount]]*0.15,AND(Table15678[[#This Row],[Gender]]="Female",Table15678[[#This Row],[Age]]&gt;=35),Table15678[[#This Row],[Total Amount]]*0.2,AND(Table15678[[#This Row],[Gender]]="Female",Table15678[[#This Row],[Age]]&gt;=25),Table15678[[#This Row],[Total Amount]]*0.15,TRUE,0 )</f>
        <v>12</v>
      </c>
      <c r="O1001" s="4">
        <f>Table15678[[#This Row],[Total Amount]]-Table15678[[#This Row],[Discount Amount]]</f>
        <v>108</v>
      </c>
      <c r="P1001" s="4" t="str">
        <f>IF(Table15678[[#This Row],[Total Amount]]&gt;=1000,"High","Low")</f>
        <v>Low</v>
      </c>
      <c r="Q1001" s="4" t="str" cm="1">
        <f t="array" ref="Q1001">_xlfn.IFS(AND(Table15678[[#This Row],[Total Amount]]&gt;=1500,"Critical"),AND(Table15678[[#This Row],[Total Amount]]&gt;=1000,"High"),TRUE,"Normal")</f>
        <v>Normal</v>
      </c>
      <c r="R1001" s="4" t="str">
        <f>CONCATENATE(Table15678[[#This Row],[Customer ID]], "-",Table15678[[#This Row],[Age]])</f>
        <v>CUST1000-47</v>
      </c>
      <c r="S1001" s="4" t="str">
        <f>TEXT(Table15678[[#This Row],[Date]],"mmm")</f>
        <v>Apr</v>
      </c>
      <c r="T1001" s="4" t="str">
        <f>TEXT(Table15678[[#This Row],[Date]],"DDD")</f>
        <v>Wed</v>
      </c>
    </row>
    <row r="1002" spans="1:20" ht="101.5" x14ac:dyDescent="0.35">
      <c r="A1002" s="6"/>
      <c r="B1002" s="7"/>
      <c r="C1002" s="10" t="s">
        <v>1030</v>
      </c>
      <c r="D1002" s="6">
        <f>COUNTIF(Table15678[Gender],"Male")</f>
        <v>490</v>
      </c>
      <c r="E1002" s="6"/>
      <c r="F1002" s="6"/>
      <c r="G1002" s="6"/>
      <c r="H1002" s="6"/>
      <c r="I1002" s="10" t="s">
        <v>1032</v>
      </c>
      <c r="J1002" s="6">
        <f>COUNTIF(Table15678[Total Amount],"&gt;=1000")</f>
        <v>202</v>
      </c>
      <c r="K1002" s="12" t="s">
        <v>1037</v>
      </c>
      <c r="L1002" s="6">
        <f>COUNTIFS(Table15678[Gender],"Female",Table15678[Age],"&gt;=30")</f>
        <v>381</v>
      </c>
      <c r="M1002" s="6"/>
      <c r="N1002" s="6"/>
      <c r="O1002" s="6"/>
      <c r="P1002" s="6"/>
      <c r="Q1002" s="6"/>
      <c r="R1002" s="9"/>
      <c r="S1002" s="9"/>
      <c r="T1002" s="9"/>
    </row>
    <row r="1003" spans="1:20" ht="87" x14ac:dyDescent="0.35">
      <c r="A1003" s="8"/>
      <c r="B1003" s="8"/>
      <c r="C1003" s="11" t="s">
        <v>1031</v>
      </c>
      <c r="D1003" s="9">
        <f>COUNTIF(Table15678[Gender],"Female")</f>
        <v>510</v>
      </c>
      <c r="E1003" s="8"/>
      <c r="F1003" s="8"/>
      <c r="G1003" s="8"/>
      <c r="H1003" s="8"/>
      <c r="I1003" s="10" t="s">
        <v>1033</v>
      </c>
      <c r="J1003" s="8">
        <f>SUMIF(Table15678[Gender],"Female",Table15678[Total Amount])</f>
        <v>232840</v>
      </c>
      <c r="K1003" s="13" t="s">
        <v>1038</v>
      </c>
      <c r="L1003" s="14">
        <f>SUMIFS(Table15678[Total Amount],Table15678[Gender],"Male",Table15678[Product Category],"Electronics")</f>
        <v>80170</v>
      </c>
      <c r="M1003" s="8"/>
      <c r="N1003" s="8"/>
      <c r="O1003" s="8"/>
      <c r="P1003" s="8"/>
      <c r="Q1003" s="8"/>
    </row>
    <row r="1004" spans="1:20" s="6" customFormat="1" ht="101.5" x14ac:dyDescent="0.35">
      <c r="I1004" s="10" t="s">
        <v>1034</v>
      </c>
      <c r="J1004" s="6">
        <f>SUMIF(Table15678[Total Amount],"&gt;=1000",Table15678[Total Amount])</f>
        <v>286800</v>
      </c>
      <c r="K1004" s="12" t="s">
        <v>1039</v>
      </c>
      <c r="L1004" s="6">
        <f>AVERAGEIFS(Table15678[Total Amount],Table15678[Product Category],"Clothing",Table15678[Age],25)</f>
        <v>725</v>
      </c>
    </row>
    <row r="1005" spans="1:20" s="6" customFormat="1" ht="116" x14ac:dyDescent="0.35">
      <c r="I1005" s="10" t="s">
        <v>1035</v>
      </c>
      <c r="J1005" s="6">
        <f>COUNTIFS(Table15678[Age],"&gt;=30",Table15678[Total Amount],"&gt;=1000")</f>
        <v>141</v>
      </c>
    </row>
    <row r="1006" spans="1:20" s="6" customFormat="1" ht="101.5" x14ac:dyDescent="0.35">
      <c r="I1006" s="10" t="s">
        <v>1036</v>
      </c>
      <c r="J1006" s="6">
        <f>SUMIFS(Table15678[Total Amount],Table15678[Age],"&gt;=30",Table15678[Total Amount],"&gt;=1000")</f>
        <v>201800</v>
      </c>
    </row>
    <row r="1007" spans="1:20" s="6" customFormat="1" x14ac:dyDescent="0.35"/>
  </sheetData>
  <conditionalFormatting sqref="J2">
    <cfRule type="cellIs" dxfId="6" priority="5" operator="greaterThan">
      <formula>1000</formula>
    </cfRule>
  </conditionalFormatting>
  <conditionalFormatting sqref="L2:N1001">
    <cfRule type="containsText" dxfId="5" priority="1" operator="containsText" text="Low">
      <formula>NOT(ISERROR(SEARCH("Low",L2)))</formula>
    </cfRule>
    <cfRule type="containsText" dxfId="4" priority="2" operator="containsText" text="Medium">
      <formula>NOT(ISERROR(SEARCH("Medium",L2)))</formula>
    </cfRule>
    <cfRule type="containsText" dxfId="3" priority="4" operator="containsText" text="High">
      <formula>NOT(ISERROR(SEARCH("High",L2)))</formula>
    </cfRule>
  </conditionalFormatting>
  <conditionalFormatting sqref="L965:N965">
    <cfRule type="containsText" dxfId="2" priority="3" operator="containsText" text="Medium">
      <formula>NOT(ISERROR(SEARCH("Medium",L965)))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57A96-0454-48BF-9676-FF0DCC670E99}">
  <dimension ref="A1:J17"/>
  <sheetViews>
    <sheetView tabSelected="1" topLeftCell="A4" zoomScale="87" zoomScaleNormal="87" workbookViewId="0">
      <selection activeCell="N16" sqref="N16"/>
    </sheetView>
  </sheetViews>
  <sheetFormatPr defaultRowHeight="14.5" x14ac:dyDescent="0.35"/>
  <cols>
    <col min="1" max="1" width="14.7265625" bestFit="1" customWidth="1"/>
    <col min="2" max="2" width="18.1796875" bestFit="1" customWidth="1"/>
    <col min="3" max="3" width="14.453125" bestFit="1" customWidth="1"/>
    <col min="4" max="4" width="14.26953125" bestFit="1" customWidth="1"/>
    <col min="5" max="5" width="11.1796875" customWidth="1"/>
    <col min="6" max="6" width="16.26953125" customWidth="1"/>
  </cols>
  <sheetData>
    <row r="1" spans="1:10" x14ac:dyDescent="0.35">
      <c r="A1" s="41" t="s">
        <v>1068</v>
      </c>
      <c r="B1" s="41"/>
      <c r="C1" s="41"/>
      <c r="D1" s="41"/>
      <c r="E1" s="41"/>
      <c r="F1" s="41"/>
      <c r="G1" s="41"/>
      <c r="H1" s="41"/>
      <c r="I1" s="41"/>
      <c r="J1" s="41"/>
    </row>
    <row r="2" spans="1:10" x14ac:dyDescent="0.35">
      <c r="A2" s="41"/>
      <c r="B2" s="41"/>
      <c r="C2" s="41"/>
      <c r="D2" s="41"/>
      <c r="E2" s="41"/>
      <c r="F2" s="41"/>
      <c r="G2" s="41"/>
      <c r="H2" s="41"/>
      <c r="I2" s="41"/>
      <c r="J2" s="41"/>
    </row>
    <row r="3" spans="1:10" ht="43.5" x14ac:dyDescent="0.35">
      <c r="A3" s="18" t="s">
        <v>1043</v>
      </c>
      <c r="B3" s="19" t="s">
        <v>1045</v>
      </c>
      <c r="C3" s="19" t="s">
        <v>1047</v>
      </c>
      <c r="D3" s="19" t="s">
        <v>1046</v>
      </c>
      <c r="E3" s="23" t="s">
        <v>1043</v>
      </c>
      <c r="F3" s="6" t="s">
        <v>1045</v>
      </c>
      <c r="G3" s="23" t="s">
        <v>1043</v>
      </c>
      <c r="H3" s="25" t="s">
        <v>1045</v>
      </c>
      <c r="I3" s="27" t="s">
        <v>1043</v>
      </c>
      <c r="J3" s="28" t="s">
        <v>1045</v>
      </c>
    </row>
    <row r="4" spans="1:10" x14ac:dyDescent="0.35">
      <c r="A4" s="19" t="s">
        <v>11</v>
      </c>
      <c r="B4" s="20">
        <v>143515</v>
      </c>
      <c r="C4" s="20">
        <v>307</v>
      </c>
      <c r="D4" s="20">
        <v>771</v>
      </c>
      <c r="E4" s="10" t="s">
        <v>13</v>
      </c>
      <c r="F4" s="34">
        <v>232840</v>
      </c>
      <c r="G4" s="6" t="s">
        <v>1050</v>
      </c>
      <c r="H4" s="26">
        <v>202810</v>
      </c>
      <c r="I4" s="29" t="s">
        <v>1053</v>
      </c>
      <c r="J4" s="30">
        <v>36980</v>
      </c>
    </row>
    <row r="5" spans="1:10" x14ac:dyDescent="0.35">
      <c r="A5" s="35" t="s">
        <v>14</v>
      </c>
      <c r="B5" s="36">
        <v>155580</v>
      </c>
      <c r="C5" s="20">
        <v>351</v>
      </c>
      <c r="D5" s="20">
        <v>894</v>
      </c>
      <c r="E5" s="6" t="s">
        <v>10</v>
      </c>
      <c r="F5" s="24">
        <v>223160</v>
      </c>
      <c r="G5" s="10" t="s">
        <v>1051</v>
      </c>
      <c r="H5" s="33">
        <v>227105</v>
      </c>
      <c r="I5" s="29" t="s">
        <v>1054</v>
      </c>
      <c r="J5" s="30">
        <v>44060</v>
      </c>
    </row>
    <row r="6" spans="1:10" x14ac:dyDescent="0.35">
      <c r="A6" s="19" t="s">
        <v>16</v>
      </c>
      <c r="B6" s="20">
        <v>156905</v>
      </c>
      <c r="C6" s="20">
        <v>342</v>
      </c>
      <c r="D6" s="20">
        <v>849</v>
      </c>
      <c r="E6" s="6" t="s">
        <v>1044</v>
      </c>
      <c r="F6" s="24">
        <v>456000</v>
      </c>
      <c r="G6" s="6" t="s">
        <v>1052</v>
      </c>
      <c r="H6" s="26">
        <v>26085</v>
      </c>
      <c r="I6" s="29" t="s">
        <v>1055</v>
      </c>
      <c r="J6" s="30">
        <v>28990</v>
      </c>
    </row>
    <row r="7" spans="1:10" ht="29" x14ac:dyDescent="0.35">
      <c r="A7" s="14" t="s">
        <v>1044</v>
      </c>
      <c r="B7" s="21">
        <v>456000</v>
      </c>
      <c r="C7" s="21">
        <v>1000</v>
      </c>
      <c r="D7" s="21">
        <v>2514</v>
      </c>
      <c r="E7" s="9"/>
      <c r="F7" s="9"/>
      <c r="G7" s="9" t="s">
        <v>1044</v>
      </c>
      <c r="H7" s="37">
        <v>456000</v>
      </c>
      <c r="I7" s="29" t="s">
        <v>1056</v>
      </c>
      <c r="J7" s="30">
        <v>33870</v>
      </c>
    </row>
    <row r="8" spans="1:10" ht="43.5" customHeight="1" x14ac:dyDescent="0.35">
      <c r="A8" s="38" t="s">
        <v>1049</v>
      </c>
      <c r="B8" s="38"/>
      <c r="C8" s="38"/>
      <c r="D8" s="38"/>
      <c r="E8" s="38"/>
      <c r="F8" s="38"/>
      <c r="G8" s="38"/>
      <c r="H8" s="38"/>
      <c r="I8" s="31" t="s">
        <v>1057</v>
      </c>
      <c r="J8" s="32">
        <v>53150</v>
      </c>
    </row>
    <row r="9" spans="1:10" ht="14.5" customHeight="1" x14ac:dyDescent="0.35">
      <c r="A9" s="22" t="s">
        <v>1048</v>
      </c>
      <c r="B9" s="22"/>
      <c r="C9" s="22"/>
      <c r="D9" s="22"/>
      <c r="E9" s="22"/>
      <c r="F9" s="22"/>
      <c r="G9" s="22"/>
      <c r="H9" s="22"/>
      <c r="I9" s="29" t="s">
        <v>1058</v>
      </c>
      <c r="J9" s="30">
        <v>36715</v>
      </c>
    </row>
    <row r="10" spans="1:10" x14ac:dyDescent="0.35">
      <c r="A10" s="22" t="s">
        <v>1065</v>
      </c>
      <c r="B10" s="22"/>
      <c r="C10" s="22"/>
      <c r="D10" s="22"/>
      <c r="E10" s="22"/>
      <c r="F10" s="22"/>
      <c r="G10" s="22"/>
      <c r="H10" s="22"/>
      <c r="I10" s="29" t="s">
        <v>1059</v>
      </c>
      <c r="J10" s="30">
        <v>35465</v>
      </c>
    </row>
    <row r="11" spans="1:10" x14ac:dyDescent="0.35">
      <c r="A11" s="22"/>
      <c r="B11" s="22"/>
      <c r="C11" s="22"/>
      <c r="D11" s="22"/>
      <c r="E11" s="22"/>
      <c r="F11" s="22"/>
      <c r="G11" s="22"/>
      <c r="H11" s="22"/>
      <c r="I11" s="29" t="s">
        <v>1060</v>
      </c>
      <c r="J11" s="30">
        <v>36960</v>
      </c>
    </row>
    <row r="12" spans="1:10" x14ac:dyDescent="0.35">
      <c r="A12" s="22"/>
      <c r="B12" s="22"/>
      <c r="C12" s="22"/>
      <c r="D12" s="22"/>
      <c r="E12" s="22"/>
      <c r="F12" s="22"/>
      <c r="G12" s="22"/>
      <c r="H12" s="22"/>
      <c r="I12" s="29" t="s">
        <v>1061</v>
      </c>
      <c r="J12" s="30">
        <v>23620</v>
      </c>
    </row>
    <row r="13" spans="1:10" ht="14.5" customHeight="1" x14ac:dyDescent="0.35">
      <c r="A13" s="38" t="s">
        <v>1066</v>
      </c>
      <c r="B13" s="22"/>
      <c r="C13" s="22"/>
      <c r="D13" s="22"/>
      <c r="E13" s="22"/>
      <c r="F13" s="22"/>
      <c r="G13" s="22"/>
      <c r="H13" s="22"/>
      <c r="I13" s="29" t="s">
        <v>1062</v>
      </c>
      <c r="J13" s="30">
        <v>46580</v>
      </c>
    </row>
    <row r="14" spans="1:10" x14ac:dyDescent="0.35">
      <c r="A14" s="22"/>
      <c r="B14" s="22"/>
      <c r="C14" s="22"/>
      <c r="D14" s="22"/>
      <c r="E14" s="22"/>
      <c r="F14" s="22"/>
      <c r="G14" s="22"/>
      <c r="H14" s="22"/>
      <c r="I14" s="29" t="s">
        <v>1063</v>
      </c>
      <c r="J14" s="30">
        <v>34920</v>
      </c>
    </row>
    <row r="15" spans="1:10" x14ac:dyDescent="0.35">
      <c r="A15" s="22"/>
      <c r="B15" s="22"/>
      <c r="C15" s="22"/>
      <c r="D15" s="22"/>
      <c r="E15" s="22"/>
      <c r="F15" s="22"/>
      <c r="G15" s="22"/>
      <c r="H15" s="22"/>
      <c r="I15" s="29" t="s">
        <v>1064</v>
      </c>
      <c r="J15" s="30">
        <v>44690</v>
      </c>
    </row>
    <row r="16" spans="1:10" ht="29" x14ac:dyDescent="0.35">
      <c r="A16" s="40" t="s">
        <v>1067</v>
      </c>
      <c r="B16" s="22"/>
      <c r="C16" s="22"/>
      <c r="D16" s="22"/>
      <c r="E16" s="22"/>
      <c r="F16" s="22"/>
      <c r="G16" s="22"/>
      <c r="H16" s="22"/>
      <c r="I16" s="39" t="s">
        <v>1044</v>
      </c>
      <c r="J16" s="24">
        <v>456000</v>
      </c>
    </row>
    <row r="17" spans="1:10" ht="29" customHeight="1" x14ac:dyDescent="0.35">
      <c r="A17" s="22"/>
      <c r="B17" s="22"/>
      <c r="C17" s="22"/>
      <c r="D17" s="22"/>
      <c r="E17" s="22"/>
      <c r="F17" s="22"/>
      <c r="G17" s="22"/>
      <c r="H17" s="22"/>
      <c r="I17" s="42" t="s">
        <v>1069</v>
      </c>
      <c r="J17" s="43">
        <f>MAX(J4:J15)</f>
        <v>53150</v>
      </c>
    </row>
  </sheetData>
  <mergeCells count="6">
    <mergeCell ref="A1:J2"/>
    <mergeCell ref="A8:H8"/>
    <mergeCell ref="A9:H9"/>
    <mergeCell ref="A10:H12"/>
    <mergeCell ref="A13:H15"/>
    <mergeCell ref="A16:H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retail_sales_dataset</vt:lpstr>
      <vt:lpstr>Day1_Analysis</vt:lpstr>
      <vt:lpstr>Day_2</vt:lpstr>
      <vt:lpstr>Day-3</vt:lpstr>
      <vt:lpstr>Day_4</vt:lpstr>
      <vt:lpstr>Day_5</vt:lpstr>
      <vt:lpstr>Sheet5</vt:lpstr>
      <vt:lpstr>Sheet6</vt:lpstr>
      <vt:lpstr>Day_6</vt:lpstr>
      <vt:lpstr>Day_6_Pivot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Al Rafsan</dc:creator>
  <cp:lastModifiedBy>Ahmed Al Rafsan</cp:lastModifiedBy>
  <dcterms:created xsi:type="dcterms:W3CDTF">2025-12-22T10:33:35Z</dcterms:created>
  <dcterms:modified xsi:type="dcterms:W3CDTF">2025-12-23T22:42:41Z</dcterms:modified>
</cp:coreProperties>
</file>